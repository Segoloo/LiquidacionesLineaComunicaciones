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OCTUBRE/LIQUIDACIONES REDEBAN/"/>
    </mc:Choice>
  </mc:AlternateContent>
  <xr:revisionPtr revIDLastSave="2" documentId="13_ncr:1_{CB0F5DCA-D5BB-47A1-8926-D3A60ABC0458}" xr6:coauthVersionLast="47" xr6:coauthVersionMax="47" xr10:uidLastSave="{2FB108A4-6114-4072-BD32-051C72201749}"/>
  <bookViews>
    <workbookView xWindow="-120" yWindow="-120" windowWidth="29040" windowHeight="15840" tabRatio="896" firstSheet="1" activeTab="1" xr2:uid="{00000000-000D-0000-FFFF-FFFF00000000}"/>
  </bookViews>
  <sheets>
    <sheet name="BASE LIQUIDACION" sheetId="1" state="hidden" r:id="rId1"/>
    <sheet name="RESUMEN LIQUIDACIONES" sheetId="5" r:id="rId2"/>
    <sheet name="ADECUCACIONES" sheetId="2" r:id="rId3"/>
    <sheet name="INCIDENTES" sheetId="3" r:id="rId4"/>
    <sheet name="OC" sheetId="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2" hidden="1">ADECUCACIONES!$A$1:$AE$21</definedName>
    <definedName name="_xlnm._FilterDatabase" localSheetId="3" hidden="1">INCIDENTES!$A$1:$AH$116</definedName>
    <definedName name="_xlnm._FilterDatabase" localSheetId="4" hidden="1">OC!$A$1:$AG$11</definedName>
    <definedName name="A">#REF!</definedName>
    <definedName name="Actividad">[1]Formulas!$H$2:$H$5000</definedName>
    <definedName name="arearesponsable">'[2]Listas desplegables'!$BB$2:$BB$100</definedName>
    <definedName name="Clientes">[1]Clientes!$A$2:$A$100</definedName>
    <definedName name="COORDINADOR">[3]Hoja2!$D$2:$D$30</definedName>
    <definedName name="Coordinadores">[1]Coordinadores!$A$2:$A$1000</definedName>
    <definedName name="DOCUMENTADOR">[3]Hoja2!$A$2:$A$30</definedName>
    <definedName name="ES">[3]Hoja2!$K$2:$K$30</definedName>
    <definedName name="ESS">[3]Hoja2!$K$2:$K$30</definedName>
    <definedName name="Estado">[1]Formulas!$K$2:$K$5000</definedName>
    <definedName name="ESTADOACTIVIDAD">[3]Hoja2!$M$2:$M$30</definedName>
    <definedName name="ESTADOS">'[4]Listas desplegables'!$B$1:$D$1</definedName>
    <definedName name="ESTADOSCIERRES">'[5]lista desplegable'!$CX$1:$DA$1</definedName>
    <definedName name="Facturacion">'[6]Listas desplegables'!$AO$1:$AR$1</definedName>
    <definedName name="FACTURACIÓN">'[4]Listas desplegables'!$Y$1:$AB$1</definedName>
    <definedName name="falla">#REF!</definedName>
    <definedName name="Fallas">'[7]Listas desplegables'!$F$2:$L$2</definedName>
    <definedName name="Grupo_Falla">'[8]Listas Desplegables'!$CH$2:$CH$5</definedName>
    <definedName name="inconservmanager">'[9]Listas desplegables'!$BC$2:$BC$100</definedName>
    <definedName name="INCUMPLIMIENTO">'[2]Listas desplegables'!$AK$1:$AN$1</definedName>
    <definedName name="LISTA">[10]Dptos!$A$1139:$A$1171</definedName>
    <definedName name="LISTA2">#REF!</definedName>
    <definedName name="LOLO">[11]Coordinadores!$A$2:$A$1000</definedName>
    <definedName name="solicitudes">'[12]Listas desplegables'!$AF$1:$AQ$1</definedName>
    <definedName name="Tecnicos">[1]Tecnicos!$A$2:$A$1000</definedName>
    <definedName name="Version">[1]Formulas!$I$2:$I$3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I5" i="5" s="1"/>
  <c r="I12" i="5" s="1"/>
  <c r="B8" i="5"/>
  <c r="AG12" i="4"/>
  <c r="D8" i="5" s="1"/>
  <c r="B7" i="5"/>
  <c r="AH116" i="3"/>
  <c r="D7" i="5" s="1"/>
  <c r="B6" i="5"/>
  <c r="I11" i="5"/>
  <c r="J11" i="5" s="1"/>
  <c r="I10" i="5"/>
  <c r="J10" i="5" s="1"/>
  <c r="I9" i="5"/>
  <c r="J9" i="5" s="1"/>
  <c r="I8" i="5"/>
  <c r="J8" i="5" s="1"/>
  <c r="I7" i="5"/>
  <c r="J7" i="5" s="1"/>
  <c r="I6" i="5"/>
  <c r="J6" i="5" s="1"/>
  <c r="F2" i="5"/>
  <c r="AE22" i="2"/>
  <c r="D6" i="5" s="1"/>
  <c r="B15" i="1"/>
  <c r="B14" i="1"/>
  <c r="B13" i="1"/>
  <c r="B12" i="1"/>
  <c r="B11" i="1"/>
  <c r="B10" i="1"/>
  <c r="D7" i="1"/>
  <c r="C7" i="1"/>
  <c r="D6" i="1"/>
  <c r="C6" i="1"/>
  <c r="D5" i="1"/>
  <c r="C5" i="1"/>
  <c r="D4" i="1"/>
  <c r="C4" i="1"/>
  <c r="D3" i="1"/>
  <c r="C3" i="1"/>
  <c r="H12" i="5" l="1"/>
  <c r="J5" i="5"/>
  <c r="J12" i="5" s="1"/>
  <c r="D9" i="5" s="1"/>
  <c r="D10" i="5" s="1"/>
  <c r="D11" i="5" l="1"/>
  <c r="D12" i="5" s="1"/>
</calcChain>
</file>

<file path=xl/sharedStrings.xml><?xml version="1.0" encoding="utf-8"?>
<sst xmlns="http://schemas.openxmlformats.org/spreadsheetml/2006/main" count="3584" uniqueCount="1217">
  <si>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</si>
  <si>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</si>
  <si>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</si>
  <si>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</si>
  <si>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</si>
  <si>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</si>
  <si>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</si>
  <si>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</si>
  <si>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</si>
  <si>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</si>
  <si>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</si>
  <si>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</si>
  <si>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</si>
  <si>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</si>
  <si>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</si>
  <si>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</si>
  <si>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</si>
  <si>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</si>
  <si>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</si>
  <si>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</si>
  <si>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</si>
  <si>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</si>
  <si>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</si>
  <si>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</si>
  <si>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</si>
  <si>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</si>
  <si>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</si>
  <si>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</si>
  <si>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</si>
  <si>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</si>
  <si>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</si>
  <si>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</si>
  <si>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</si>
  <si>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</si>
  <si>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</si>
  <si>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</si>
  <si>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</si>
  <si>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</si>
  <si>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</si>
  <si>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</si>
  <si>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</si>
  <si>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</si>
  <si>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</si>
  <si>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</si>
  <si>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</si>
  <si>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</si>
  <si>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</si>
  <si>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ACOMETIDA DATOS</t>
  </si>
  <si>
    <t>ACOMETIDA ELECTRICA</t>
  </si>
  <si>
    <t>SWITCH</t>
  </si>
  <si>
    <t>ROUTER</t>
  </si>
  <si>
    <t>VALOR DIAS ACTIVIDAD FACTURABLES</t>
  </si>
  <si>
    <t>DIAS ACTIVIDAD FACTURABLES</t>
  </si>
  <si>
    <t>VALOR TOTAL INSTALACION DE PUBLICIDAD</t>
  </si>
  <si>
    <t>PASTO</t>
  </si>
  <si>
    <t>SUROCCIDENTE Y EJE CAFETERO</t>
  </si>
  <si>
    <t>0004-0003</t>
  </si>
  <si>
    <t>86568</t>
  </si>
  <si>
    <t>TA-25-1145877</t>
  </si>
  <si>
    <t>3007081676</t>
  </si>
  <si>
    <t>APERTURA</t>
  </si>
  <si>
    <t>CB CRECIMIENTO ALIANZA - NUEVO</t>
  </si>
  <si>
    <t>PUTUMAYO</t>
  </si>
  <si>
    <t>PUERTO ASIS</t>
  </si>
  <si>
    <t>DISTRICOL FERRETERIA PRADO HC</t>
  </si>
  <si>
    <t>REDEBAN</t>
  </si>
  <si>
    <t>FO-25-1577758</t>
  </si>
  <si>
    <t>AGREGADOR</t>
  </si>
  <si>
    <t>DISTRICOL</t>
  </si>
  <si>
    <t>EJECUTADO/CANCELADO</t>
  </si>
  <si>
    <t>24/09/2025 24-09 PROGRAMACIÓN REALIZADA POR LA ALIANZA | 30/09/2025 NO SE OGRA LLEGAR EL DIA DE HOY A SITIO POR PROBLEMAS EN LAS VIAS , SE LLEGARA EL DIA DE MAÑANA PARA ATENCION DE ACTIVIDADES | 02/10/2025 SE VISITA EL COMERCIO PARA REVISAR APERTURA DEL CORRESPONSAL PERO NO ES POSIBLE POR DIRECCIÓN ERRADA, EN CÁMARA DE COMERCIO APARECE DIRECCIÓN CR 27 CL 22 BRR EL PRADO Y EL COMERCIO ESTÁ UBICADO EN DIRECCIÓN CRA 22 # 27 POR LO TANTO SE CANCELA LA INSTALACIÓN</t>
  </si>
  <si>
    <t>VISITA TECNICA</t>
  </si>
  <si>
    <t>TIPO IV</t>
  </si>
  <si>
    <t>TERRESTRE</t>
  </si>
  <si>
    <t>GUERRERO RAMIREZ OSCAR DARIO</t>
  </si>
  <si>
    <t>CALI</t>
  </si>
  <si>
    <t>76001</t>
  </si>
  <si>
    <t>TA-25-1157236</t>
  </si>
  <si>
    <t>3007081704</t>
  </si>
  <si>
    <t>VALLE DEL CAUCA</t>
  </si>
  <si>
    <t>DISTRICOL DISTRIB EL GRANJERO</t>
  </si>
  <si>
    <t>FO-25-1598686</t>
  </si>
  <si>
    <t>29/09/2025 29-09 PROGRAMACIÓN REALIZADA POR LA ALIANZA | 22/10/2025 SE LLAMA AL CLIENTE SE VÁLIDA LA INFORMACIÓN, DISPONIBILIDAD Y LUGAR DE LA DIRECCIÓN DE LA INSTALACIÓN, SE LLEGA AL COMERCIO SE EVIDENCIA PROXIMIDAD 30 MTS CON OTRO CORRESPONSAL 1 A 1 AL FRENTE CB 40569 BARRIO LA BUITRERA EL PORTENTO CALI, EL CASO SE ESCALA PARA CONSULTAR LA INSTALACIÓN DE AUTORIZACIÓN</t>
  </si>
  <si>
    <t>TIPO I</t>
  </si>
  <si>
    <t>HERRERA MONAR GEOVANNY</t>
  </si>
  <si>
    <t>MEDELLIN</t>
  </si>
  <si>
    <t>NOROCCIDENTE</t>
  </si>
  <si>
    <t>0004-0005</t>
  </si>
  <si>
    <t>5360</t>
  </si>
  <si>
    <t>TA-25-1165179</t>
  </si>
  <si>
    <t>3007081728</t>
  </si>
  <si>
    <t>ANTIOQUIA</t>
  </si>
  <si>
    <t>ITAGUI</t>
  </si>
  <si>
    <t>DISTRICOL RG</t>
  </si>
  <si>
    <t>FO-25-1624400 | FO-25-1611140</t>
  </si>
  <si>
    <t>EJECUTADO | EJECUTADO/CANCELADO</t>
  </si>
  <si>
    <t>06/10/2025 SE INSTALA CORRESPONSAL OK</t>
  </si>
  <si>
    <t>SUZZZ674</t>
  </si>
  <si>
    <t>RUA ALVAREZ RICHARD ANDRES</t>
  </si>
  <si>
    <t>19698</t>
  </si>
  <si>
    <t>TA-25-1165186</t>
  </si>
  <si>
    <t>3007081737</t>
  </si>
  <si>
    <t>CAUCA</t>
  </si>
  <si>
    <t>SANTANDER DE QUILICHAO</t>
  </si>
  <si>
    <t>DISTRICOL DANICELL PLUS</t>
  </si>
  <si>
    <t>FO-25-1611165</t>
  </si>
  <si>
    <t>01/10/2025 01-10 PROGRAMACIÓN REALIZADA POR LA ALIANZA | 02/10/2025 SE REALIZA VISITA TÉCNICA PERO AL MOMENTO DE INICIALIZAR EL EQUIPO ARROJA ERROR EN CONEXIÓN SE COMPRUEBAN CONEXIONES Y TODO OK, EL COMERCIO NO CUENTA CON INTERNET EN EL MOMENTO SE ESPERAN AL REDEDOR DE 30-40MIN PERO EL PROBLEMA NO ES SOLUCIONADO, EL CLIENTE VALIDA CON EL PROVEEDOR DE INTERNET PERO INDICA QUE NO TIENE FECHA DE SOLUCION.</t>
  </si>
  <si>
    <t>TIPO II</t>
  </si>
  <si>
    <t>MONTERO MUESES GIAN CARLO</t>
  </si>
  <si>
    <t>52687</t>
  </si>
  <si>
    <t>TA-25-1165197</t>
  </si>
  <si>
    <t>3007081735</t>
  </si>
  <si>
    <t>NARIÑO</t>
  </si>
  <si>
    <t>SAN LORENZO</t>
  </si>
  <si>
    <t>DISTRICOL PIPE CELL</t>
  </si>
  <si>
    <t>FO-25-1611190</t>
  </si>
  <si>
    <t>01/10/2025 01-10 PROGRAMACIÓN REALIZADA POR LA ALIANZA | 02/10/2025 NO SE PUEDE REALIZAR DESPLAZAMIENTO A SITIO POR FALTA DE TRANSPORTE Y CUPO, EL CUAL INFORMAN QUE SOLO SALE EN UNA JORNADA DEL MEDIO DÍA Y NO SE ENCUENTRA DISPONIBILIDAD EN HORARIO DE LA MAÑANA, SE LLAMÓ AL CLIENTE INFORMANDO QUE APENAS HAYA TRANSPORTE O CUPO A SITIO SE PROGRAMARÁ LA VISITA | 07/10/2025 SE VISITO E COMERCIO PARA INSTALAR CB NO ES POSIBIE POR DIRECCION ERRADA YA QUE EN SYTEX APARECE CR 3 MZ 10 LADO D CA 22 BRR CENTRO Y EN FACTURA DE SERVICIOS PUBLICOS APARECE CRA 3 M2 10 LADO D CASA 23 POR LO QUE SE CANCELA LA INSTALACION. TAMPOCO ES POSIBLE VALIDAR CON CAMARA DE COMERCIO PORQUE CUENTA CON UNA DIRECCIÓN DIFERENTE</t>
  </si>
  <si>
    <t>BOGOTA</t>
  </si>
  <si>
    <t>CUNDINAMARCA</t>
  </si>
  <si>
    <t>0004-0004</t>
  </si>
  <si>
    <t>11001</t>
  </si>
  <si>
    <t>TA-25-1165210</t>
  </si>
  <si>
    <t>3007081717</t>
  </si>
  <si>
    <t>DISTRICOL TODO A LA MANO</t>
  </si>
  <si>
    <t>FO-25-1611242</t>
  </si>
  <si>
    <t>01/10/2025 01-10 PROGRAMACIÓN REALIZADA POR LA ALIANZA | 02/10/2025 DURANTE LA IMPLEMENTACIÓN DE CORRESPONSAL BANCARIO AL LLEGAR SE EVIDENCIA QUE COMERCIO SU ACTIVIDAD ECONÓMICA ES DE JUEGOS DE AZAR Y APUESTAS LO CUAL, IMPIDE REALIZAR LA IMPLEMENTACIÓN DE CORRESPONSAL, SE REALIZA ESCALAMIENTO A LA ENTIDAD NOS ENCONTRAMOS A LA ESPERA DE RESPUESTA DE LA MISMA PARA REALIZAR CANCELACIÓN DE LA IMPLEMENTACIÓN O CONTINUAR CON LA MISMA SE BRINDA INFORMACIÓN A COMERCIO</t>
  </si>
  <si>
    <t>GALEANO SORIANO JUAN DAVID</t>
  </si>
  <si>
    <t>TA-25-1165214</t>
  </si>
  <si>
    <t>3007081718</t>
  </si>
  <si>
    <t>DISTRICOL TODO EN UNO SUBA</t>
  </si>
  <si>
    <t>FO-25-1611245</t>
  </si>
  <si>
    <t>01/10/2025 01-10 PROGRAMACIÓN REALIZADA POR LA ALIANZA | 02/10/2025 SE VISITA COMERCIO PARA REALIZAR LA INSTALACIÓN DEL CB BANCOLOMBIA RBM, SE EVIDENCIA QUE LA DIRECCIÓN DADA EN LA ORDEN ES (CR 103B #152-32) PERO ESTÁ DIRECCIÓN NO ES LA REAL YA QUE LA CORRECTA DONDE ESTÁ EL ESTABLECIMIENTO ES (CR 103B #152-35) EN LA ACERA DE EN FRENTE, LA CÁMARA Y COMERCIO SI TIENE LA DIRECCIÓN DE LA ORDEN PERO LA DIRECCIÓN DADA SE SITÚA EN EL PATIO DE DESCANSO DE UN COLEGIO, TAMBIÉN SE VÁLIDA Y EL ESTABLECIMIENTO CUENTA COMO ACTIVIDAD REALIZAR APUESTAS (LOTERÍA Y CHANCE) ALGO POR LO QUE NO ESTÁ PERMITIDO REALIZAR INSTALACIÓN EN DICHOS COMERCIOS, SE ESCALA AL COORDINADOR Y A RBM Y LUEGO DAN RESPUESTA DE NO INSTALAR, SE LE EXPLICA LA SITUACION AL CLIENTE Y ENTIENDE.</t>
  </si>
  <si>
    <t>VEGA MANRIQUE JONATAN MAURICIO</t>
  </si>
  <si>
    <t>NEIVA</t>
  </si>
  <si>
    <t>REMOTAS</t>
  </si>
  <si>
    <t>0004-0007</t>
  </si>
  <si>
    <t>41319</t>
  </si>
  <si>
    <t>TA-25-1194778</t>
  </si>
  <si>
    <t>3007081860</t>
  </si>
  <si>
    <t>HUILA</t>
  </si>
  <si>
    <t>GUADALUPE</t>
  </si>
  <si>
    <t>PTM GUADALUPE VARIEDADES ANDRE</t>
  </si>
  <si>
    <t>FO-25-1666972</t>
  </si>
  <si>
    <t>COMCARD - PTM</t>
  </si>
  <si>
    <t>10/10/2025 9/10/2025 PROGRAMACIÓN REALIZADA POR LA ALIANZA| INSTALACIÓN PROGRAMADA PARA EL 2025-10-15 | 15/10/2025 SE REALIZA VISITA PARA IMPLEMENTAR CB PTM 81860, PERO SE EVIDENCIA QUE APROXIMADAMENTE 40 MTS HAY UN CB UNO A UNO INSTALADO (35020), SE ESCALA CASO A ENTIDAD DONDE FUE CANCELADA POR LA MISMA</t>
  </si>
  <si>
    <t>TIPO III</t>
  </si>
  <si>
    <t>ANDRADE HERNANDEZ JUAN CARLOS</t>
  </si>
  <si>
    <t>52001</t>
  </si>
  <si>
    <t>TA-25-1194785</t>
  </si>
  <si>
    <t>3007081861</t>
  </si>
  <si>
    <t>PTM PASTO R&amp;R STORE</t>
  </si>
  <si>
    <t>FO-25-1687223 | FO-25-1666979</t>
  </si>
  <si>
    <t>16/10/2025 SE REALIZÓ LA INSTALACIÓN DE EQUIPOS PUBLICIDAD Y ACCESORIOS PARA APERTURA CB BANCOLOMBIA SE DIO CAPACITACIÓN MANEJO DE DATÁFONO CB Y SOMOS BANCOLOMBIA SE EJECUTAN PRUEBAS TX EXITOSAS QUEDA OPERATIVO</t>
  </si>
  <si>
    <t>VWZZZ800 // VYZZZ068</t>
  </si>
  <si>
    <t>REMICIO AMADO JOHN HEBER</t>
  </si>
  <si>
    <t>BUCARAMANGA</t>
  </si>
  <si>
    <t>SANTANDERES</t>
  </si>
  <si>
    <t>0004-0008</t>
  </si>
  <si>
    <t>68276</t>
  </si>
  <si>
    <t>TA-25-1194794</t>
  </si>
  <si>
    <t>3007081858</t>
  </si>
  <si>
    <t>SANTANDER</t>
  </si>
  <si>
    <t>FLORIDABLANCA</t>
  </si>
  <si>
    <t>PTM FLORIDABLANCA TIENDA LA AN</t>
  </si>
  <si>
    <t>FO-25-1683636 | FO-25-1666991</t>
  </si>
  <si>
    <t>15/10/2025 LUEGO DE CONTESTACION EMITIDA POR LA RED NOS INDICAN QUE SE PROCEDERA CON UN CAMBIO DE TERMINALES SE PROCEDERA CON LA CULMINACIÓN DE LA ACTIVIDAD UNA VEZ INFORME LA RED SE ESTABLECE CONTACTO CON LA USUARIA  QUE A LA VEZ NOS INDICA QUE NOS PODRÁ ATENDER EL DÍA MAÑANA SIN NINGÚN PROBLEMA | 16/10/2025 SE REALIZA INSTALACIÓN DE AVISO EXTERIOR FLANGER DISPLAY LEGAL IDENTIFICADOR DE PUNTO BASE DATÁFONO LECTORA CAMBIO DE SISTEMA OPERATIVO INVERSION 9.90 CREACIÓN DE USUARIOS CAPACITACIÓN ADMINISTRATIVA OPERATIVA PRUEBAS OK SERVICIO OPERATIVO</t>
  </si>
  <si>
    <t>VYZZZ063	/	VWZZZ803</t>
  </si>
  <si>
    <t>ECHEVERRI ECHEVERRI EVELIN DANIELA</t>
  </si>
  <si>
    <t>TA-25-1194800</t>
  </si>
  <si>
    <t>3007081855</t>
  </si>
  <si>
    <t>PTM CALI PAPELERIA Y VARIEDADE</t>
  </si>
  <si>
    <t>FO-25-1686966 | FO-25-1667001</t>
  </si>
  <si>
    <t>15/10/2025 SE INSTALA DATÁFONO SE CAPACITA AL CLIENTE SE ENTREGAN ROLLOS SE HACEN PRUEBAS CB QUEDA FUNCIONANDO CORRECTAMENTE NO SE HACEN MÁS PRUEBAS YA QUE CLIENTE NO TENÍA TARJETA BANCOLOMBIA Y LA DEL TECNICO ESTABA BLOQUEADA</t>
  </si>
  <si>
    <t>VWZZZ805 - VYZZZ065</t>
  </si>
  <si>
    <t>CUERO RUIZ JHONNY</t>
  </si>
  <si>
    <t>SANTA MARTA</t>
  </si>
  <si>
    <t>COSTA</t>
  </si>
  <si>
    <t>0004-0001</t>
  </si>
  <si>
    <t>44090</t>
  </si>
  <si>
    <t>TA-25-1220622</t>
  </si>
  <si>
    <t>3007081877</t>
  </si>
  <si>
    <t>LA GUAJIRA</t>
  </si>
  <si>
    <t>DIBULLA</t>
  </si>
  <si>
    <t>PTM DIBULLA PAPELERIA Y VARIED</t>
  </si>
  <si>
    <t>FO-25-1706158</t>
  </si>
  <si>
    <t>20/10/2025 20-10 PROGRAMACIÓN REALIZADA POR LA ALIANZA| INSTALACIÓN PROGRAMADA PARA EL 2025-10-21 | 21/10/2025 SE REALIZA GESTIÓN TELEFÓNICA, EL USUARIO INFORMA QUE EN EL DÍA DE HOY EL MUNICIPIO NO CONTARÁ CON SERVICIO ELÉCTRICO YA QUE LA VAN A QUITAR DURANTE TODO EL DÍA, QUE SE REPROGRAME LA INSTALACIÓN PARA EL MIÉRCOLES 22 | 22/10/2025 NO SE PUEDE REALIZAR LA APERTURA POR DIRECCIÓN ERRADA YA QUE LA DIRECCIÓN EN EL SISTEMA APARECE DIFERENTE AL DEL PUNTO, SE ESCALA EL CASO CON EL COORDINADOR Y SE CANCELA LA INSTALACIÓN</t>
  </si>
  <si>
    <t>THOMAS  CAMPO SIGIFREDO SEGUNDO</t>
  </si>
  <si>
    <t>TA-25-1220633</t>
  </si>
  <si>
    <t>3007081873</t>
  </si>
  <si>
    <t>PTM BOGOTA FLAG MART</t>
  </si>
  <si>
    <t>FO-25-1716863 | FO-25-1706191</t>
  </si>
  <si>
    <t>22/10/2025 SE REALIZA LA INSTALACIÓN DEL CB PTM BOGOTA FLAG MARY, EL CLIENTE Y TÉCNICO NO MANEJAN TARJETA BANCOLOMBIA SE REALIZAN PRUEBAS ENVIANDO Y RETIRANDO POR NEQUI</t>
  </si>
  <si>
    <t>AE001940</t>
  </si>
  <si>
    <t>ALARCON AREVALO JOHAN STIVEN</t>
  </si>
  <si>
    <t>TA-25-1229179</t>
  </si>
  <si>
    <t>3007081937</t>
  </si>
  <si>
    <t>PTM CALI SKYNET 2.2</t>
  </si>
  <si>
    <t>FO-25-1718419</t>
  </si>
  <si>
    <t>22/10/2025 22-10 PROGRAMACIÓN REALIZADA POR LA ALIANZA| INSTALACIÓN PROGRAMADA PARA EL 2025-10-24 | 24/10/2025 SE CANCELA LA APERTURA POR DIRECCIÓN ERRADA, LA DIRECCIÓN CORRECTA ES CALLE 39A # 43 - 03 QUE ES OA DIRECCIÓN DE LA CAMARA Y COMERCIO Y LA DIRECCIÓN DE LA ORDEN ES KRA 39A # 43 - 03</t>
  </si>
  <si>
    <t>PAREDES CASTILLO DIEGO</t>
  </si>
  <si>
    <t>5001</t>
  </si>
  <si>
    <t>TA-25-1247954</t>
  </si>
  <si>
    <t>3007082076</t>
  </si>
  <si>
    <t>DISTRICOL CANO TIENDA</t>
  </si>
  <si>
    <t>FO-25-1751685</t>
  </si>
  <si>
    <t>29/10/2025 29-10 PROGRAMACIÓN REALIZADA POR LA ALIANZA| INSTALACIÓN PROGRAMADA PARA EL 2025-10-30 | 30/10/2025 VISITA FALLIDA SE LLEGA A LA DIRECCIÓN DADA Y NO SE ENCUENTRA EL COMERCIO INDICADO PARA LA INSTALACIÓN TAMPOCO CONOCEN LA PERSONA  Y NO CONTESTAN LLAMADAS NI WPP EN EL NÚMERO DE CONTACTO SE ESTÁ EN LA DIRECCIÓN Y LOCAL CORRECTO PERO NO SABEN NADA SOBRE LA INSTALACIÓN</t>
  </si>
  <si>
    <t>PAREJA ECHAVARRIA JHON DAVID</t>
  </si>
  <si>
    <t>5736</t>
  </si>
  <si>
    <t>TA-25-1247964</t>
  </si>
  <si>
    <t>3007082061</t>
  </si>
  <si>
    <t>SEGOVIA</t>
  </si>
  <si>
    <t>DISTRICOL PLANETARIO 2000</t>
  </si>
  <si>
    <t>FO-25-1751719</t>
  </si>
  <si>
    <t>29/10/2025 29-10 PROGRAMACIÓN REALIZADA POR LA ALIANZA| INSTALACIÓN PROGRAMADA PARA EL 2025-10-31 | 31/10/2025 SE LLEGA A PUNTO Y EN DIRECCIÓN NO SE ENCUENTRA LOCAL, SE COMUNICA CON CLIENTE Y NO BRINDA UBICACIÓN DEL PUNTO, SE CANCELA</t>
  </si>
  <si>
    <t>QUINTERO SANCHEZ JUAN SEBASTIAN</t>
  </si>
  <si>
    <t>TA-25-1247984</t>
  </si>
  <si>
    <t>3007082052</t>
  </si>
  <si>
    <t>DISTRICOL AS SER TRANS ON LINE</t>
  </si>
  <si>
    <t>FO-25-1751773</t>
  </si>
  <si>
    <t>29/10/2025 29-10 PROGRAMACIÓN REALIZADA POR LA ALIANZA| INSTALACIÓN PROGRAMADA PARA EL 2025-10-31 | 31/10/2025 SE LLEGÓ AL PUNTO PARA EJECUTAR LA IMPLEMENTACIÓN DE CB BANCOLOMBIA POR PARTE DE LA ALIANZA DISTRICOL PERO SE ENCONTRÓ OTRO CORRESPONSAL A MENOS DE 50 M POR LO QUE SE ESCALÓ LA NOVEDAD A RBM Y BANCOLOMBIA NOTIFICANDO A LA HORA QUE LA IMPLEMENTACIÓN DEBE SER CANCELADA SE NOTIFICA AL CLIENTE EL MOTIVO POR EL CUAL NO SE HACE LA IMPLEMENTACIÓN, NO SE ENTREGA NINGÚN ELEMENTO POR ACTIVIDAD CANCELADA.</t>
  </si>
  <si>
    <t>52378</t>
  </si>
  <si>
    <t>TA-25-1247988</t>
  </si>
  <si>
    <t>3007082041</t>
  </si>
  <si>
    <t>LA CRUZ</t>
  </si>
  <si>
    <t>DISTRICOL MASCOTIENDA LA CRUZ</t>
  </si>
  <si>
    <t>FO-25-1751783</t>
  </si>
  <si>
    <t>29/10/2025 29-10 PROGRAMACIÓN REALIZADA POR LA ALIANZA| INSTALACIÓN PROGRAMADA PARA EL 2025-10-31 | 31/10/2025 SE VISITA CLIENTE EN UBICACIÓN INDICADA POR ELLA YA QUE EN ZONA NO HAY NOMENCLATURA. AL LLEGAR AL COMERCIO SE EVIDENCIA QUE EL NOMBRE DEL COMERCIO ES FARMACENTER LA HUMANIDAD 2 Y NO MASCOTIENDA LA CRUZ. SE SOLICITA CÁMARA DE COMERCIO Y EN ELLA EL NOMBRE ES MASCOTIENDA LA CRUZ Y LA DIRECCIÓN ES LA MISMA DEL CORREO ELECTRÓNICO. SE ESCALA A REDEBAN Y LA RESPUESTA ES QUE NO SE PROCEDA A INSTALAR YA QUE LA CÁMARA DE COMERCIO NO COINCIDE CON EL COMERCIO QUE SE VISITA. SE CANCELA INSTALACION PORQUE NOMBRE DE COMERCIO NO COINCIDE CON CAMARA DE COMERCIO</t>
  </si>
  <si>
    <t>CASTILLO HERRERA ALEX RICARDO</t>
  </si>
  <si>
    <t>PEREIRA</t>
  </si>
  <si>
    <t>0004-0002</t>
  </si>
  <si>
    <t>66001</t>
  </si>
  <si>
    <t>TA-25-1247994</t>
  </si>
  <si>
    <t>3007082056</t>
  </si>
  <si>
    <t>RISARALDA</t>
  </si>
  <si>
    <t>DISTRICOL PAPELERIA ALAN JU</t>
  </si>
  <si>
    <t>FO-25-1751801</t>
  </si>
  <si>
    <t>29/10/2025 29-10 PROGRAMACIÓN REALIZADA POR LA ALIANZA| INSTALACIÓN PROGRAMADA PARA EL 2025-10-30 | 30/10/2025 SE LLEGA AL PUNTO, SE EVIDENCIA QUE HAY OTRO CB UNO A UNO CERCA, SE ESCALA CON RBM EL CASO Y SE QUEDA A LA ESPERA DE UNA RESPUESTA.</t>
  </si>
  <si>
    <t>FRANCO CAÑAVERAL YAMID RAUL</t>
  </si>
  <si>
    <t>SINCELEJO</t>
  </si>
  <si>
    <t>70708</t>
  </si>
  <si>
    <t>TA-25-1247995</t>
  </si>
  <si>
    <t>3007082064</t>
  </si>
  <si>
    <t>SUCRE</t>
  </si>
  <si>
    <t>SAN MARCOS</t>
  </si>
  <si>
    <t>DISTRICOL DROGUERÍA FARMASUCRE</t>
  </si>
  <si>
    <t>FO-25-1751804</t>
  </si>
  <si>
    <t>29/10/2025 29-10 PROGRAMACIÓN REALIZADA POR LA ALIANZA| INSTALACIÓN PROGRAMADA PARA EL 2025-10-31 | 31/10/2025 SE VISITA COMERCIO PARA INSTALACIÓN DEL CB, PERO NO ES POSIBLE REALIZAR LA APERTURA YA QUE SE ESCALÓ EL CASO CON RBM, PUESTO QUE EL BARRIO NO CONCUERDA CON EL DE LA ORDEN DE SERVICIO, LA RESPUESTA DADA POR LA ENTIDAD ES CANCELAR LA IMPLEMENTACIÓN.</t>
  </si>
  <si>
    <t>CACERES HERNANDEZ ANDRES</t>
  </si>
  <si>
    <t>FECHA ASIGNACION A LINEA COMUNICACIONES</t>
  </si>
  <si>
    <t>FECHA CIERRE DEL TICKET (DD/MM/AAAA HH:MM)</t>
  </si>
  <si>
    <t>ACOMETIDA</t>
  </si>
  <si>
    <t>GRUPO_FALLA</t>
  </si>
  <si>
    <t>CATEGORIA</t>
  </si>
  <si>
    <t>FALLA</t>
  </si>
  <si>
    <t>OBSERVACION</t>
  </si>
  <si>
    <t>DIAS DE VISITA</t>
  </si>
  <si>
    <t>ACOMETIDA ELÉCTRICA</t>
  </si>
  <si>
    <t>VALOR DIAS ACOMPAÑAMIENTO FACTURABLES</t>
  </si>
  <si>
    <t>41349</t>
  </si>
  <si>
    <t>2807230</t>
  </si>
  <si>
    <t>3007031383</t>
  </si>
  <si>
    <t>INCIDENTE</t>
  </si>
  <si>
    <t>HOBO</t>
  </si>
  <si>
    <t>BARRIO LOS PINOS</t>
  </si>
  <si>
    <t>FO-25-1607884 | FO-25-1598160</t>
  </si>
  <si>
    <t>NO</t>
  </si>
  <si>
    <t>ENTIDAD</t>
  </si>
  <si>
    <t>ERROR DE TRANSACCIONES</t>
  </si>
  <si>
    <t>TRANSACCION NO PERMITIDA</t>
  </si>
  <si>
    <t>CB UNO A UNO</t>
  </si>
  <si>
    <t>EJECUTADO | EJECUTADO / CANCELADO</t>
  </si>
  <si>
    <t>01/10/2025 SE REALIZA VISITA AL PUNTO NUEVAMENTE YA QUE ESTE HABIA QUEDADO EN RECHAZO GENERAL DESPUÉS DEL CAMBIO QUE SE REALIZO POR DAÑO, RG QUE NO SE PUDO GESTIONAR POR FALTA DE SOPORTE POR HORA . SE REALIZA GESTIÓN CON RBM SE INICIALIZA EQUIPO SE REALIZAN PRUEBAS EXITOSAS. SE DEJA EQUIPO CON VR 10.3 PRUEBAS CB OK . ***SE REALIZA LLAMADA A LA LÍNEA DEL BANCO 018000953344, LOS CUALES INDICAN QUE EL PUNTO SE ENCONTRABA BLOQUEADO POR RAZONES SE ASUNTOS INTERNOS, SE DESBLOQUEA PUNTO SE REALIZAN PRUEBAS PERO EN LA LÍNEA INDICAN QUE POSIBLEMENTE LO VOVERAN A BLOQUEAR. SE LE INDICA AL CLIENTE QUE SI ESTO OCURRE DEBE COMUNICACARSE DIRECTAMENTE A LA LÍNEA Y VALIDAR EL MOTIVO DEL BLOQEO .</t>
  </si>
  <si>
    <t>BL01Y558</t>
  </si>
  <si>
    <t>DEVIA REINOSO JUAN CARLOS</t>
  </si>
  <si>
    <t>CUCUTA</t>
  </si>
  <si>
    <t>54874</t>
  </si>
  <si>
    <t>2813895</t>
  </si>
  <si>
    <t>3007071930</t>
  </si>
  <si>
    <t>NORTE DE SANTANDER</t>
  </si>
  <si>
    <t>VILLA DEL ROSARIO</t>
  </si>
  <si>
    <t>PTM LA PALMITA VILLA DEL ROSAR</t>
  </si>
  <si>
    <t>FO-25-1603466</t>
  </si>
  <si>
    <t>CANCELADO</t>
  </si>
  <si>
    <t>30/09/2025 SE ESCALA PARA VISITA. LLAMAR ANTES DE VISITAR, CONFIRMAR FALLA Y DATOS | 01/10/2025 SE REALIZA VISITA, COMERCIO NO EXISTEN EN LA DIRECCIÓN, SE INTENTA CONTACTAR TELEFÓNICAMENTE AL CLIENTE PERO NO RESPONDE, SE VALIDA CON RBM Y LA DIRECCIÓN DE ENCUENTRA CORRECTA Y NO EXISTE INFORMACIÓN DE SOLICITUD DE TRASLADO.</t>
  </si>
  <si>
    <t>NONE - NONE</t>
  </si>
  <si>
    <t>PACHECO BUITRAGO JAVIER ALONSO</t>
  </si>
  <si>
    <t>70742</t>
  </si>
  <si>
    <t>2818336</t>
  </si>
  <si>
    <t>3007046075</t>
  </si>
  <si>
    <t>SAN LUIS DE SINCE</t>
  </si>
  <si>
    <t>PTM SAN LUIS DE SINCE PUNTO SE</t>
  </si>
  <si>
    <t>FO-25-1607028</t>
  </si>
  <si>
    <t>USUARIO</t>
  </si>
  <si>
    <t>CIERRE</t>
  </si>
  <si>
    <t>COMERCIO NO REALIZA CIERRE</t>
  </si>
  <si>
    <t>EJECUTADO</t>
  </si>
  <si>
    <t>30/09/2025 SE ESCALA PARA VISITA. LLAMAR ANTES DE VISITAR, CONFIRMAR FALLA Y DATOS | 01/10/2025 SE VISITA SITIO SE VERIFICA INFORMACIÓN, SE REALIZA PRIMEROS AUXILIOS, CB CON CIERRE ACUMULADO NO IMPRIME, SE REALIZA CIERRE DE TRANS, SE RETROALIMENTA EN EL PROCESO CIERRE, LA FALLA REPORTADA CORRESPONDE A QUE EL OPERARIO REALIZA LA OPERACIÓN DE RECAUDO POR DEPOSITO CTA CTE. SE REALIZA PRUEBA PRUEBAS TRX EXITOSAS.</t>
  </si>
  <si>
    <t>XP004617</t>
  </si>
  <si>
    <t>SANTOS GUZMAN CHRISTIAN FELIPE</t>
  </si>
  <si>
    <t>25754</t>
  </si>
  <si>
    <t>2818811</t>
  </si>
  <si>
    <t>3007068813</t>
  </si>
  <si>
    <t>SOACHA</t>
  </si>
  <si>
    <t>BARRIO HOGAR DEL SOL SOACHA SO</t>
  </si>
  <si>
    <t>FO-25-1608422</t>
  </si>
  <si>
    <t>MANTENIMIENTO</t>
  </si>
  <si>
    <t>MANTENIMIENTO GENERAL</t>
  </si>
  <si>
    <t>01/10/2025 SE PROCEDE A CERRAR ESTE CASO YAQUE QUEDO MAL CREADO YA QUE EL CB ES WOMPI Y QUEDO COMO REDEBAN, SE LE INFORMA AL USUARIO QUE SE DEBE COMUNICAR DE NUEVO PARA GENERAR OTRO RADICADO | 01/10/2025 SE PROCEDE A CERRAR ESTE CASO YAQUE QUEDO MAL CREADO YA QUE EL CB ES WOMPI Y QUEDO COMO REDEBAN, SE LE INFORMA AL USUARIO QUE SE DEBE COMUNICAR DE NUEVO PARA GENERAR OTRO RADICADO | 01/10/2025 SE PROCEDE A CERRAR ESTE CASO YAQUE QUEDO MAL CREADO YA QUE EL CB ES WOMPI Y QUEDO COMO REDEBAN, SE LE INFORMA AL USUARIO QUE SE DEBE COMUNICAR DE NUEVO PARA GENERAR OTRO RADICADO | 01/10/2025 SE PROCEDE A CERRAR ESTE CASO YAQUE QUEDO MAL CREADO YA QUE EL CB ES WOMPI Y QUEDO COMO REDEBAN, SE LE INFORMA AL USUARIO QUE SE DEBE COMUNICAR DE NUEVO PARA GENERAR OTRO RADICADO</t>
  </si>
  <si>
    <t>SOPORTE TELEFONICO</t>
  </si>
  <si>
    <t>ORTIZ MARTINEZ STIVEN</t>
  </si>
  <si>
    <t>YOPAL</t>
  </si>
  <si>
    <t>85001</t>
  </si>
  <si>
    <t>2821677</t>
  </si>
  <si>
    <t>3007036905</t>
  </si>
  <si>
    <t>CASANARE</t>
  </si>
  <si>
    <t>BARRIO YOPAL CASANARE</t>
  </si>
  <si>
    <t>FO-25-1609710</t>
  </si>
  <si>
    <t>01/10/2025 SE ESCALA PARA VISITA. LLAMAR ANTES DE VISITAR, CONFIRMAR FALLA Y DATOS | 01/10/2025 EN COMUNICACIÓN CON LA SEÑORA LAURA SIERRA AL NUMERO 3145591437, SE ORIENTA PARA REALIZAR EL BORRADO TRANS. SE LE INDICA EL PROCESO PARA REALIZAR LOS CIERRES TODOS LOS DIAS.</t>
  </si>
  <si>
    <t>BERNAL ELAICA EDGAR ALEXIS</t>
  </si>
  <si>
    <t>2822103</t>
  </si>
  <si>
    <t>3007080549</t>
  </si>
  <si>
    <t>BARRIO TRAPICHES VILLA DEL ROSARIO</t>
  </si>
  <si>
    <t>FO-25-1610689</t>
  </si>
  <si>
    <t>UNO A UNO</t>
  </si>
  <si>
    <t>01/10/2025 SE ESCALA PARA VISITA. LLAMAR ANTES DE VISITAR, CONFIRMAR FALLA Y DATOS | 01/10/2025 SE REALIZA VISITA, SE REALIZA MANTENIMIENTO, SE REALIZAN PRUEBAS Y CIERRES OK</t>
  </si>
  <si>
    <t>SEZZZ162</t>
  </si>
  <si>
    <t>5615</t>
  </si>
  <si>
    <t>2823798</t>
  </si>
  <si>
    <t>3007074672</t>
  </si>
  <si>
    <t>RIONEGRO</t>
  </si>
  <si>
    <t>PTM LLANOGRANDE MEDELLIN PAPEL</t>
  </si>
  <si>
    <t>FO-25-1611652</t>
  </si>
  <si>
    <t>COMUNICACION</t>
  </si>
  <si>
    <t>CANAL DEL COMERCIO</t>
  </si>
  <si>
    <t>01/10/2025 SE ESCALA PARA VISITA. LLAMAR ANTES DE VISITAR, CONFIRMAR FALLA Y DATOS | 03/10/2025 SE REALIZA VALIDACIÓN DEL CB SE HACEN PRUEBAS OK , SE LLEGA Y USUARIO E UD OCA QUE HABÍA SOLICITADO CAMBIO PERO DEL DATAFONO DEL COMERCIO</t>
  </si>
  <si>
    <t>LNQZZ022</t>
  </si>
  <si>
    <t>MONTOYA VELEZ ANDRES FELIPE</t>
  </si>
  <si>
    <t>76126</t>
  </si>
  <si>
    <t>2823985</t>
  </si>
  <si>
    <t>3007079619</t>
  </si>
  <si>
    <t>CALIMA</t>
  </si>
  <si>
    <t>BARRIO OBRERO CALIMA</t>
  </si>
  <si>
    <t>FO-25-1611647</t>
  </si>
  <si>
    <t>01/10/2025 SE ESCALA PARA VISITA. LLAMAR ANTES DE VISITAR, CONFIRMAR FALLA Y DATOS | 02/10/2025 SE VISITA CORRESPONSAL Y SE RECONFIGURA DATÁFONO. TRANSACCIONES DE PRUEBA EXITOSAS.</t>
  </si>
  <si>
    <t>SXUZZ145</t>
  </si>
  <si>
    <t>BOLAÑOS TABORDA JORGE ENRIQUE</t>
  </si>
  <si>
    <t>2826164</t>
  </si>
  <si>
    <t>3007059017</t>
  </si>
  <si>
    <t>REDY GUADALUPE</t>
  </si>
  <si>
    <t>FO-25-1613641</t>
  </si>
  <si>
    <t>ROBUSTO</t>
  </si>
  <si>
    <t>REDY</t>
  </si>
  <si>
    <t>EJECUTADO / CANCELADO</t>
  </si>
  <si>
    <t>02/10/2025 SE ESCALA PARA VISITA. LLAMAR ANTES DE VISITAR | 02/10/2025 SE REALIZA VISITA TÉCNICA EN DONDE SE ENTREGA EL CARNET Y SE ESPERA 45 MINUTOS EN DONDE NO LE DAN RESPUESTA DE INGRESO Y SE PROCEDE A CERRAR, SE LE INDICA AL CLIENTE QUE POR FAVOR VUELVA A REPORTAR PARA QUE LE GENEREN OTRA VISITA</t>
  </si>
  <si>
    <t>ESCOBAR LENIS JUAN SEBASTIAN</t>
  </si>
  <si>
    <t>19256</t>
  </si>
  <si>
    <t>2827571</t>
  </si>
  <si>
    <t>3007066562</t>
  </si>
  <si>
    <t>EL TAMBO</t>
  </si>
  <si>
    <t>BARRIO LA CAPILLA EL TAMBO</t>
  </si>
  <si>
    <t>FO-25-1614205</t>
  </si>
  <si>
    <t>02/10/2025 SE REALIZAN 3 INTENTOS DE LLAMADA AL NUMERO DE CONTACTO 3226466689 PERO NO FUE POSIBLE LA COMUNICACION | 04/10/2025 SE VALIDA CON EL CLIENTE  POR PROBLEMAS  DE CONEXION , SE LE INDICA QUE POR FAVOR REALIZR REINICIO DEL ROUTER DE INTENET, EL CLIENTE REALIZA LO PERTIENENTE Y CONFIRMA SERVICIO Y OPERATIVIDAD DEL DATAFONO, SE CIERRA CASO</t>
  </si>
  <si>
    <t>HENAO CARDONA DIEGO FERNANDO</t>
  </si>
  <si>
    <t>2829063</t>
  </si>
  <si>
    <t>3007077939</t>
  </si>
  <si>
    <t>BARRIO 20 JULIO VILLA DEL ROSA</t>
  </si>
  <si>
    <t>FO-25-1615600</t>
  </si>
  <si>
    <t>CONEXIONES DE COMERCIO</t>
  </si>
  <si>
    <t>02/10/2025 SE ESCALA PARA VISITA. LLAMAR ANTES DE VISITAR | 03/10/2025 SE VISITA COMERCIO Y SE EVIDENCIA SWITCH DEL CLIENTE DAÑADO, SE ALIMENTAN DATOS DE DATÁFONO DIRECTAMENTE, SE LE INDICA AL CLIENTE EL EQUIPO QUE TIENEN DAÑADO, SE REALIZAN CIERRES Y PRUEBAS OK.</t>
  </si>
  <si>
    <t>A1NZZ992</t>
  </si>
  <si>
    <t>TORRES MANTILLA JOSE DANIEL</t>
  </si>
  <si>
    <t>2829426</t>
  </si>
  <si>
    <t>3007067186</t>
  </si>
  <si>
    <t>DISTRICOL LUXURY GM</t>
  </si>
  <si>
    <t>FO-25-1615579</t>
  </si>
  <si>
    <t>02/10/2025 SE REALIZÓ VISITAR CORRESPONSAL PARA REVISAR FALLAS DE LECTORA Y DE IMPRESIÓN, SE REALIZÓ CONFIGURACIÓN DE LECTORA, Y LIMPIEZA DE DATÁFONO, SE REALIZÓ PRUEBAS EXITOSAS, EL CORRESPONSAL ESTÁ OPERATIVO</t>
  </si>
  <si>
    <t>AAL06527</t>
  </si>
  <si>
    <t>2830256</t>
  </si>
  <si>
    <t>3007034770</t>
  </si>
  <si>
    <t>BARRIO MONTEBELLO 1 CALI</t>
  </si>
  <si>
    <t>FO-25-1616165</t>
  </si>
  <si>
    <t>USUARIOS</t>
  </si>
  <si>
    <t>USUARIOS BLOQUEADOS</t>
  </si>
  <si>
    <t>02/10/2025 SE ESCALA PARA VISITA. LLAMAR ANTES DE VISITAR | 03/10/2025 SE REALIZA VALIDACION CON EL CLIENTE INDICA QUE EL USUARIO SE LE HABIA BLOQUEADO Y NO LE DEJABA INGRESAR PERO , QUE PUDO ORGANIZARLO COMO LO NECESITABA</t>
  </si>
  <si>
    <t>52051</t>
  </si>
  <si>
    <t>2832368</t>
  </si>
  <si>
    <t>3007047683</t>
  </si>
  <si>
    <t>ARBOLEDA</t>
  </si>
  <si>
    <t>DISTRICOL DROGUERIA JUAN JOSE</t>
  </si>
  <si>
    <t>FO-25-1617910</t>
  </si>
  <si>
    <t>02/10/2025 SE COMUNICA CON EL SR RICARDO PARA REPORTAR QUE EL DATÁFONO SE VIENE REINICIANDO A DIARIO 1 VEZ POR DÍA, PER HOY SE HA REINICIADO DE MANERA AUTOMÁTICA MÁS DE 3 VECES, | 04/10/2025 SE VALIDA CON EL CLIENTE  POR PROBLEMAS  DE CONEXION , SE LE INDICA QUE POR FAVOR REALIZR REINICIO DEL ROUTER DE INTENET, EL CLIENTE REALIZA LO PERTIENENTE Y CONFIRMA SERVICIO Y OPERATIVIDAD DEL DATAFONO, SE CIERRA CASO</t>
  </si>
  <si>
    <t>MONTERIA</t>
  </si>
  <si>
    <t>5154</t>
  </si>
  <si>
    <t>2832487</t>
  </si>
  <si>
    <t>3007075821</t>
  </si>
  <si>
    <t>CAUCASIA</t>
  </si>
  <si>
    <t>PTM CAUCASIA PAPELERIA G J</t>
  </si>
  <si>
    <t>FO-25-1626785</t>
  </si>
  <si>
    <t>03/10/2025 SE ESCALA PARA VISITA. LLAMAR ANTES DE VISITAR | 07/10/2025 SE VISITA SITIO, SE INSTALA DATAFONO DEK3500 POR REPOSICIÓN OK. SE INICIALIZA TERMINALES DE CB Y ADQUIRENCIA PERO DATAFONO NO MUESTRA MÓDULO DE CB, SE REALIZA REFRESH DE TERMINALES PERO SIGUE CON NOVEDAD, CB INDICA QUE NO UTILIZA MÓDULO DE ADQUIRENCIA, POR LO CUAL AUTORIZA QUE SE DEJE EQUIPO COMO PURO, SE CAMBIA DATAFONO INSTALADO POR DAÑO RG, NO SE REALIZAN PRUEBAS CB BLOQUEADO POR ENTIDAD</t>
  </si>
  <si>
    <t>VRZZZ270</t>
  </si>
  <si>
    <t>COGOLLO VERTEL EDER LUIS</t>
  </si>
  <si>
    <t>2832687</t>
  </si>
  <si>
    <t>3007068764</t>
  </si>
  <si>
    <t>PTM MEDELLIN DISTRIBUIDORA MOR</t>
  </si>
  <si>
    <t>FO-25-1618123</t>
  </si>
  <si>
    <t>02/10/2025 SE ESCALA PARA VISITA. LLAMAR ANTES DE VISITAR | 03/10/2025 SE VERIFICAN PARÁMETROS SE VERIFICA CABLEADO Y TAMBIÉN SE REALIZA MANTENIMIENTO DE LECTOR DE TARJETAS HACIENDO LIMPIEZA CON ALCOHOL. TODO ESTÁ FUNCIONANDO CORRECTAMENTE.</t>
  </si>
  <si>
    <t>AALUZ190 - AALUZ336</t>
  </si>
  <si>
    <t>RAMIREZ TABARES JUAN DIEGO</t>
  </si>
  <si>
    <t>52835</t>
  </si>
  <si>
    <t>2837077</t>
  </si>
  <si>
    <t>3007046106</t>
  </si>
  <si>
    <t>SAN ANDRES DE TUMACO</t>
  </si>
  <si>
    <t>BARRIO PUENTE ORTIZ SAN ANDRES</t>
  </si>
  <si>
    <t>FO-25-1625936</t>
  </si>
  <si>
    <t>03/10/2025 SE COMUNICA CON EL SR LUIS ANGULO PARA REPORTAR QUE LA IMPRESORA ESTA DAÑADA YA QUE, IMPRIME BORROSO, YA CAMBIO EL ROLLO PERO PERSISTE E INDICA QUE HA TENIDO PROBLEMA CON VARIOS CLIENTES 3003709163 2: 47 PM | 07/10/2025 SE ENCUENTRA DATAFONO CON IMPRESIÓN BORROSA SE REALIZA MANTENIMIENTO GENERAL AL DATAFONO Y SE OBTIENE FUNCIONAMIENTO EXITOSO CONFIGURACIÓN OK PARÁMETROS OK Y SE REALIZAN PRUEBAS EXITOSAS DE TRANSACCIONES</t>
  </si>
  <si>
    <t>TR003801</t>
  </si>
  <si>
    <t>PAZ MARTINEZ RICHARD HUMBERTO</t>
  </si>
  <si>
    <t>VILLAVICENCIO</t>
  </si>
  <si>
    <t>50686</t>
  </si>
  <si>
    <t>2837222</t>
  </si>
  <si>
    <t>3007021483</t>
  </si>
  <si>
    <t>META</t>
  </si>
  <si>
    <t>SAN JUANITO</t>
  </si>
  <si>
    <t>SAN JUANITO META</t>
  </si>
  <si>
    <t>FO-25-1625929</t>
  </si>
  <si>
    <t>03/10/2025 LUIS ANGULO PARA REPORTAR QUE LA IMPRESORA ESTA DAÑADA YA QUE, IMPRIME BORROSO, YA CAMBIO EL ROLLO PERO PERSISTE E INDICA QUE HA TENIDO PROBLEMA CON VARIOS CLIENTES | 06/10/2025 SE CONTACTA AL CLIENTE VIKI ORTIS E INFORMA QUE EL SERVICIO YA SE ENCUENTRA OPERATIVO Y QUE HABÍA LLAMADO A DESISTIR DE LA VISITA TÉCNICO ERA LAS CONEXIONES FÍSICAS</t>
  </si>
  <si>
    <t>ROZO JIMENEZ EDGAR ARMANDO</t>
  </si>
  <si>
    <t>44430</t>
  </si>
  <si>
    <t>2837542</t>
  </si>
  <si>
    <t>3007078712</t>
  </si>
  <si>
    <t>MAICAO</t>
  </si>
  <si>
    <t>PTM MAICAO TIENDA Y VARIEDADES</t>
  </si>
  <si>
    <t>FO-25-1626342</t>
  </si>
  <si>
    <t>03/10/2025 SE COMUNICA CON EL SR HOLMER, DATAFONO ARROJA MUY BORROSO LOS VOUCHER, INTERNET PROPIO Y FUNCIONA BIEN 3115485300 3:25 PM | 06/10/2025 SE REALIZA LA VISITA, EL USUARIO INFORMA QUE YA EL DATÁFONO ESTÁ TRABAJANDO BIEN DE HECHO AL DÍA SIGUIENTE QUE SE PRESENTÓ EL DAÑO, SE REALIZA PRUEBAS DE TRANSACCIÓN Y TODO OK</t>
  </si>
  <si>
    <t>A1RZZ262 - A1RZZ369</t>
  </si>
  <si>
    <t>76892</t>
  </si>
  <si>
    <t>2838376</t>
  </si>
  <si>
    <t>3007079709</t>
  </si>
  <si>
    <t>YUMBO</t>
  </si>
  <si>
    <t>PTM YUMBO PAPELERIA MILU YUMBO</t>
  </si>
  <si>
    <t>FO-25-1626991</t>
  </si>
  <si>
    <t>MALA MANIPULACION POS</t>
  </si>
  <si>
    <t>03/10/2025 SE ESCALA PARA VISITA. LLAMAR ANTES DE VISITAR | 04/10/2025 SE VISITA CORRESPONSAL E INFORMA QUE EL DATÁFONO FUNCIONA CORRECTAMENTE . PIDE CERRAR CASO. NO SE MANIPULAN EQUIPOS NI SE INGRESA AL CB.</t>
  </si>
  <si>
    <t>V1YZZ451</t>
  </si>
  <si>
    <t>BARRANQUILLA</t>
  </si>
  <si>
    <t>47675</t>
  </si>
  <si>
    <t>2838839</t>
  </si>
  <si>
    <t>3007035493</t>
  </si>
  <si>
    <t>MAGDALENA</t>
  </si>
  <si>
    <t>SALAMINA</t>
  </si>
  <si>
    <t>DISTRICOL LA PERSEVERANCIA</t>
  </si>
  <si>
    <t>FO-25-1628331</t>
  </si>
  <si>
    <t>04/10/2025 SE ESCALA PARA VISITA. LLAMAR ANTES DE VISITAR | 06/10/2025 EN COMUNICACIÓN CON EL SEÑOR LUIS PERTUZ AL NÚMERO 3004626987, ME INFORMA QUE YA NO ES NECESARIA LA VISITA , QUE TENÍAN PROBLEMAS CON UNA CONEXIÓN INTERNA, PERO QUE YA LO SOLUCIONARON</t>
  </si>
  <si>
    <t>DE AVILA SIADES ALBERTO ENRIQUE</t>
  </si>
  <si>
    <t>5756</t>
  </si>
  <si>
    <t>2840606</t>
  </si>
  <si>
    <t>3007076637</t>
  </si>
  <si>
    <t>SONSON</t>
  </si>
  <si>
    <t>BARRIO SONSON SONSON 6</t>
  </si>
  <si>
    <t>FO-25-1631222</t>
  </si>
  <si>
    <t>05/10/2025 SE ESCALA PARA VISITA. LLAMAR ANTES DE VISITAR, CONFIRMAR FALLA Y DATOS | 06/10/2025 SE LLAMA AL 3205395286 Y SE HA LA CON ANGIE LA CUAL INFORMA QUE YA FUNCIONA BIEN Y NO NECESITA VISITA</t>
  </si>
  <si>
    <t>ALVAREZ ARENAS VICTOR HUGO</t>
  </si>
  <si>
    <t>2843176</t>
  </si>
  <si>
    <t>3007080876</t>
  </si>
  <si>
    <t>BARRIO ASOVIVIENDA CAUCASIA 2</t>
  </si>
  <si>
    <t>FO-25-1634137</t>
  </si>
  <si>
    <t>06/10/2025 SE ESCALA PARA VISITA. LLAMAR ANTES DE VISITAR, CONFIRMAR FALLA Y DATOS | 07/10/2025 SE VISITA SITIO, SE REALIZA DESBLOQUEO DE TECLADO CON CLAVE SUPERVISOR OK
PRUEBAS EXITOSAS</t>
  </si>
  <si>
    <t>FGZZZ910</t>
  </si>
  <si>
    <t>2845916</t>
  </si>
  <si>
    <t>3007080510</t>
  </si>
  <si>
    <t>DISTRICOL DROGUE FARMA ORIENTE</t>
  </si>
  <si>
    <t>FO-25-1635899</t>
  </si>
  <si>
    <t>06/10/2025 SE ESCALA PARA VISITA. LLAMAR ANTES DE VISITAR, CONFIRMAR FALLA Y DATOS | 06/10/2025 EN COMUNICACIÓN CON LA SEÑORA NICOL ZAPATA 3106889846, INDICA QUE NO REQUIERE LA VISITA, LA FALLA FUE RESUELTA POR PERSONAL DE INTERNET PROPIO. INDICA OPERATIVO EL SERVICIO.</t>
  </si>
  <si>
    <t>2847580</t>
  </si>
  <si>
    <t>3007061294</t>
  </si>
  <si>
    <t>BARRIO BOSA LIBERTAD BOGOTA 4</t>
  </si>
  <si>
    <t>FO-25-1637291</t>
  </si>
  <si>
    <t>06/10/2025 SE ESCALA PARA VISITA. LLAMAR ANTES DE VISITAR, CONFIRMAR FALLA Y DATOS | 07/10/2025 SE REALIZA VISITA AL LLEGAR A CB SE ENCUENTRA CERRADO SE LLAMA A ENCARGADA ALEJANDRA MUÑOZ AL NUMERO 3133404113 EL CUAL NO SE TIENE COMUNICACIÓN SE DEJA REGISTRO FOTOGRÁFICO</t>
  </si>
  <si>
    <t>FUAOH983</t>
  </si>
  <si>
    <t>JAIMES VALERO NELSON RICARDO</t>
  </si>
  <si>
    <t>18001</t>
  </si>
  <si>
    <t>2847972</t>
  </si>
  <si>
    <t>3007076544</t>
  </si>
  <si>
    <t>CAQUETA</t>
  </si>
  <si>
    <t>FLORENCIA</t>
  </si>
  <si>
    <t>OPRAP EXITO GRAN PLAZA FLORENC</t>
  </si>
  <si>
    <t>FO-25-1638491</t>
  </si>
  <si>
    <t>OPRAP</t>
  </si>
  <si>
    <t>07/10/2025 SE ESCALA PARA VISITA. LLAMAR ANTES DE VISITAR, CONFIRMAR FALLA Y DATOS | 07/10/2025 SE REALIZO CONTACTÓ TELEFÓNICO Y VÍA WHATSAPP CON LA SEÑORA MARCELA AL NÚMERO 320 9153649 PARA REALIZAR LA VISITA AL OPPRAP, PERO SE DEBE GENERAR UN PERMISO DE INGRESO POR PARTE DE OPPRAP PARA QUE PUEDA ENTRAR AL ESTACIONAMIENTO, SE ENVÍA CERTIFICADO DE SEGURIDAD SOCIAL PARA EL INGRESO, ESTOY ATENTO A QUE LA SEÑORA MARCELA ME CONFIRME SI PUEDE INGRESAR AL ESTABLECIMIENTO. | 08/10/2025 SE REALIZA BORRADO DE MEMORIA POR LENTITUD EN LAS TRANSACCIONES Y SE ORGANIZAN LOS CABLES YA QUE ESTABAN GENERANDO DESCONEXIÓN EN EL EQUIPO, PRUEBAS CB OK SE DEJA OPERATIVO.</t>
  </si>
  <si>
    <t>103ZZ224</t>
  </si>
  <si>
    <t>BERMUDEZ SANCHEZ JOSE NEYBER</t>
  </si>
  <si>
    <t>2850211</t>
  </si>
  <si>
    <t>3007029176</t>
  </si>
  <si>
    <t>BARRIO CENTENARIO 3 PASTO</t>
  </si>
  <si>
    <t>FO-25-1639582</t>
  </si>
  <si>
    <t>07/10/2025 SE ESCALA PARA VISITA. LLAMAR ANTES DE VISITAR, CONFIRMAR FALLA Y DATOS | 07/10/2025 SE VERIFICÓ FALLA DE ERROR DE CONEXIÓN, SE VERIFICA CABLEADO, SE REVISO CONEXIÓN CON CADA ROUTER DEL CLIENTE PERO FALLA PERSISTE, SE INTENTÓ CONECTAR OTROS DATÁFONOS HACIENDO PRUEBAS DE CONEXIÓN PERO FALLA PERSISTE, SE ESTABLECIÓ IP ESTÁTICA Y LIBRE PERO AÚN SIGUE LA FALLA, POR LO CUAL LA FALLA ES DEL MODEN DEL OPERADOR DE INTERNET PERO ESTE NO SE PUEDE REINICIAR YA QUE ES LA CONEXIÓN PRINCIPAL DEL CLIENTE PORQUE MANEJA CONEXIONES DE SERVIDOR INTERNAS, POR LO CUAL NO SE PUDE RESTABLECER LA CONEXIÓN AL DATÁFONO ASÍ QUE SE LE INDICO AL CLIENTE QUE APENAS EN LA NOCHE CUANDO YA NO REALICEN MÁS ACTIVIDADES DE COMERCIO REINICIEN EL MÓDEM Y REALICEN PRUEBAS DE COMUNICACIÓN EL DÍA SIGUIENTE SI LA FALLA PERSISTE QUE POR FAVOR VERIFIQUEN CON EL OPERADOR DE INTERNET O EN SU CASO REPORTAR NUEVAMENTE A LA ENTIDAD BANCARIA.</t>
  </si>
  <si>
    <t>BBBBI984</t>
  </si>
  <si>
    <t>5353</t>
  </si>
  <si>
    <t>2850255</t>
  </si>
  <si>
    <t>3007038046</t>
  </si>
  <si>
    <t>HISPANIA</t>
  </si>
  <si>
    <t>BARRIO CALLE SALIDA HISPANIA H</t>
  </si>
  <si>
    <t>FO-25-1640061</t>
  </si>
  <si>
    <t>07/10/2025 SE COMUNICA CON LA SRE ELSA PARA REPORTAR QUE EL CABLE QUE VA CONECTADO AL DATAFONO SE DAÑO, Y EL DATAFONO YA NO CONECTA CON LA CAJA, POR QUE E CABLE NO FUNCIONA  3117333003 10:44 | 09/10/2025 SE CAMBIA LECTOR DE BARRAS CON CABLE DAÑADO</t>
  </si>
  <si>
    <t>AA00T745</t>
  </si>
  <si>
    <t>CASTAÑEDA PALACIO CARLOS FELIPE</t>
  </si>
  <si>
    <t>23001</t>
  </si>
  <si>
    <t>2850429</t>
  </si>
  <si>
    <t>3007075532</t>
  </si>
  <si>
    <t>CORDOBA</t>
  </si>
  <si>
    <t>PTM MONTERIA PAPELERIA +X-</t>
  </si>
  <si>
    <t>FO-25-1640048</t>
  </si>
  <si>
    <t>07/10/2025 SE ESCALA PARA VISITA. LLAMAR ANTES DE VISITAR, CONFIRMAR FALLA Y DATOS | 07/10/2025 SE REALIZA VISITA TÉCNICA Y SE ENCONTRÓ FALLAS CON PTO LAN DEL COMERCIO, SE HACE NECESARIO CAMBIAR DE PTO LA CONEXIÓN LAN DEL DATÁFONO PARA VOLVER RESTABLECER EL SERVICIO Y DEJAR OK. SE REALIZAN PRUEBAS OK.</t>
  </si>
  <si>
    <t>SX00J089 - SX00J151</t>
  </si>
  <si>
    <t>CASSIANI PEREZ RAUL RAMIRO</t>
  </si>
  <si>
    <t>20770</t>
  </si>
  <si>
    <t>2851577</t>
  </si>
  <si>
    <t>3007081736</t>
  </si>
  <si>
    <t>CESAR</t>
  </si>
  <si>
    <t>SAN MARTIN</t>
  </si>
  <si>
    <t>DISTRICOL MISCELANIA ISAVIC</t>
  </si>
  <si>
    <t>FO-25-1641179</t>
  </si>
  <si>
    <t>07/10/2025 SE REALIZAN 3 INTENTOS DE LLAMADAS AL NUMERO DE CONTACTO 3165079528 PERO NO FUE POSIBLE LA COMUNICACION | 09/10/2025 EN COMUNICACIÓN CON LA SEÑORA LEIDY GELVEZ , MANIFIESTA Q ERA UNA FALLLA DEL INTERNET QUE EL DATAFONO YA SE ENCUENTRA FUNCIONANDO CORRECTAMENTE ,Y ESTA OPERATIVO, SE LE INDICA AL CLIENTE Q SE PROCEDE A CERRAR ORDEN.</t>
  </si>
  <si>
    <t>GELVEZ MOGOLLON JOSE ELISEO</t>
  </si>
  <si>
    <t>41001</t>
  </si>
  <si>
    <t>2851722</t>
  </si>
  <si>
    <t>3007040764</t>
  </si>
  <si>
    <t>DISTRICOL FRUVER DON EDER</t>
  </si>
  <si>
    <t>FO-25-1641165</t>
  </si>
  <si>
    <t>07/10/2025 SE ESCALA PARA VISITA. LLAMAR ANTES DE VISITAR, CONFIRMAR FALLA Y DATOS | 08/10/2025 SE LLAMA AL CLIENTE EDER PASCUAS AL CELULAR 3152980015 , SE COMENTA QUE DE NUESTRA PARTE NO PODEMOS REALIZAR EL CAMBIO DE NOMBRE DE CB EN EL BAUCHER HASTA QUE DISTRICOL REALICE Y AUTORICE EL CAMBIO DE RAZÓN SOCIAL Y SALGA LA ORDEN COMO INSTALACIÓN NUEVA PARA NOSOTROS PROCEDER CON EL CAMBIO DE EQUIPOS Y ACTUALIZACIÓN DE LA INFORMACIÓN EN EL BAUCHER .</t>
  </si>
  <si>
    <t>2851978</t>
  </si>
  <si>
    <t>3007069146</t>
  </si>
  <si>
    <t>DISTRICOL DIGITAL SAS</t>
  </si>
  <si>
    <t>FO-25-1641699</t>
  </si>
  <si>
    <t>07/10/2025 SE ESCALA PARA VISITA. LLAMAR ANTES DE VISITAR, CONFIRMAR FALLA Y DATOS | 08/10/2025 SE REALIZA LA PONCHADA DEL CONECTOR RJ45 SE HACEN PRUEBAS QUEDA OK</t>
  </si>
  <si>
    <t>A103Z552</t>
  </si>
  <si>
    <t>2854023</t>
  </si>
  <si>
    <t>3007055845</t>
  </si>
  <si>
    <t>PTM BOGOTA DROGUERIA EL GUARDI</t>
  </si>
  <si>
    <t>FO-25-1643246</t>
  </si>
  <si>
    <t>07/10/2025 SE ESCALA PARA VISITA. LLAMAR ANTES DE VISITAR, CONFIRMAR FALLA Y DATOS | 08/10/2025 SE REVISA CONEXIONES, EQUIPO SE REALIZAN PRUEBAS DEL EQUIPO NO SE ENCUENTRA FALLO AL MOMENTO, INDICA QUE EL FALLO SE PRESENTÓ EL DÍA 07-10-2025 CON BLOQUEO DEL DATÁFONO PERO NO SÉ OBSERVAN ANORMALIDADES EN EL EQUIPO NI EN LAS CONEXIONES</t>
  </si>
  <si>
    <t>XPJZZ846 - XPJZZ710</t>
  </si>
  <si>
    <t>76275</t>
  </si>
  <si>
    <t>2855347</t>
  </si>
  <si>
    <t>3007080944</t>
  </si>
  <si>
    <t>FLORIDA</t>
  </si>
  <si>
    <t>BARRIO LA ESPERANZA FLORIDA 1</t>
  </si>
  <si>
    <t>FO-25-1644159</t>
  </si>
  <si>
    <t>08/10/2025 SE ESCALA ACTIVIDAD PARA GESTION WOMPI | 08/10/2025 SE LLAMA AL CLIENTE E INDICA QUE ERA PROBLEMA DE ENERGÍA Y QUE EL DATAFONO YA ESTA FUNCIONANDO CORRECTAMENTE</t>
  </si>
  <si>
    <t>41551</t>
  </si>
  <si>
    <t>2855467</t>
  </si>
  <si>
    <t>3007053192</t>
  </si>
  <si>
    <t>PITALITO</t>
  </si>
  <si>
    <t>BARRIO LOS NOGALES PITALITO 2</t>
  </si>
  <si>
    <t>FO-25-1644778</t>
  </si>
  <si>
    <t>08/10/2025 SE REALIZAN 3 INTENTOS DE LLAMADA AL NUMERO DE CONTACTO 3227711342 PERO NO FUE POSIBLE LA COMUNICACION | 09/10/2025 SE REALIZA FORMATEO, CONFIGURACIÓN E INICIALIZA DATAFONO, SE CREA USUARIO Y CLAVE CON EL CLIENTE, SE REALIZA PRUEBAS OK</t>
  </si>
  <si>
    <t>XP0OZ148</t>
  </si>
  <si>
    <t>2857908</t>
  </si>
  <si>
    <t>3007076411</t>
  </si>
  <si>
    <t>FO-25-1647109</t>
  </si>
  <si>
    <t>08/10/2025 SE ESCALA PARA VISITA. LLAMAR ANTES DE VISITAR, CONFIRMAR FALLA Y DATOS | 09/10/2025 SE VISITA CORRESPONSAL Y CLIENTE INFORMÓ QUE EL DATÁFONO ESTABA IMPRIMIENDO MAL PERO QUE REALIZÓ LIMPIEZA DE IMPRESORA Y QUEDÓ BIEN. PIDE CERRAR CASO Y NO SE INGRESA A CB.</t>
  </si>
  <si>
    <t>A40UZ499</t>
  </si>
  <si>
    <t>2859764</t>
  </si>
  <si>
    <t>FO-25-1648704</t>
  </si>
  <si>
    <t>08/10/2025 SE ESCALA PARA VISITA. LLAMAR ANTES DE VISITAR, CONFIRMAR FALLA Y DATOS | 09/10/2025 SE LLEGO A SITIO PARA VERIFICAR FALLA DE COMUNICACIÓN ERROR DE CONEXIÓN PERO EL CLIENTE NO FORMA QUE EL SISTEMA SE REESTABLECIÓ SOLO EL DÍA DE AYER EN HORAS DE LA TARDE, SE REALIZO PRUEBAS DE CONEXIÓN Y TX EXITOSAS QUEDA OPERATIVO</t>
  </si>
  <si>
    <t>TUNJA</t>
  </si>
  <si>
    <t>15759</t>
  </si>
  <si>
    <t>2861978</t>
  </si>
  <si>
    <t>3007080408</t>
  </si>
  <si>
    <t>BOYACA</t>
  </si>
  <si>
    <t>SOGAMOSO</t>
  </si>
  <si>
    <t>BARRIO LA FLORESTA SOGAMOSO 4</t>
  </si>
  <si>
    <t>FO-25-1652261</t>
  </si>
  <si>
    <t>CREACION DE USUARIOS</t>
  </si>
  <si>
    <t>09/10/2025 SE ESCALA PARA VISITA. LLAMAR ANTES DE VISITAR, CONFIRMAR FALLA Y DATOS | 10/10/2025 SE VISITA PUNTO SE REALIZAR CREACIÓN DE USUARIOS SOLUCIONANDO LA FALLA REPORTADA SE LE INDICA NUEVAMENTE COMO CREAR MODIFICAR O ELIMINAR UN USUARIO PRUEBAS OK CLIENTE CONFORME</t>
  </si>
  <si>
    <t>LBZZZ666</t>
  </si>
  <si>
    <t>RODRIGUEZ MURCIA YERSON IVAN</t>
  </si>
  <si>
    <t>APARTADO</t>
  </si>
  <si>
    <t>5045</t>
  </si>
  <si>
    <t>2862896</t>
  </si>
  <si>
    <t>3007034146</t>
  </si>
  <si>
    <t>DISTRICOL RECARGAS MOVILES</t>
  </si>
  <si>
    <t>FO-25-1654928</t>
  </si>
  <si>
    <t>09/10/2025 SE ESCALA ACTIVIDAD PARA GESTION WOMPI | 09/10/2025 CLIENTE INDICA QUE DATAFONO  FUNCIONA BIEN SOLO SE REINICIA CUANDO INTRODUCE TARJETAS VIEJAS.</t>
  </si>
  <si>
    <t>1QZZZ786</t>
  </si>
  <si>
    <t>CASTRO HENAO DANIEL ESTEBAN</t>
  </si>
  <si>
    <t>86865</t>
  </si>
  <si>
    <t>2865925</t>
  </si>
  <si>
    <t>3007081358</t>
  </si>
  <si>
    <t>VALLE DEL GUAMUEZ</t>
  </si>
  <si>
    <t>DISTRICOL LA ECONOMIA AYS</t>
  </si>
  <si>
    <t>FO-25-1663800</t>
  </si>
  <si>
    <t>09/10/2025 SE ESCALA PARA VISITA. LLAMAR ANTES DE VISITAR, CONFIRMAR FALLA Y DATOS | 12/10/2025 SE DEBE REALIZAR DESPLAZAMIENTO LA PROXIMA SEMANA POR TEMAS DE LA VIA HACIA PUTUMAYO | 15/10/2025 SE REALIZA COMUNICACIÓN TELEFÓNICA CON LA CLIENTE PARA CONFIRMAR VISITA TÉCNICA PERO LA CLIENTE INFORMA QUE EL DETARONO YA SE ENCUENTRA FUNCIONANDO CORRECTAMENTE, PRESENTO FALLA AL HACER CAMBIO DE ROLLO PERO YA SE SOLUCIONÓ. CLIENTE AUTORIZA CERRAR LA ACTIVIDAD.</t>
  </si>
  <si>
    <t>25175</t>
  </si>
  <si>
    <t>2865951</t>
  </si>
  <si>
    <t>3007078315</t>
  </si>
  <si>
    <t>CHIA</t>
  </si>
  <si>
    <t>BARRIO PARQUE PRINCIPAL DE CHI</t>
  </si>
  <si>
    <t>FO-25-1664690</t>
  </si>
  <si>
    <t>10/10/2025 SE ESCALA PARA VISITA. LLAMAR ANTES DE VISITAR, CONFIRMAR FALLA Y DATOS | 10/10/2025 SE LLEGA A COMERCIO SE VÁLIDA QUE CLIENTE TUVO MIGRACIÓN A WOMPI SE LE INFORMA QUE TIENE QUE COMUNICARSE CON LA ENTIDAD YA QUE TIENE INCONFORMIDAD POR QUÉ SALE EL NOMBRE DE TITULAR EN EL BAUCHER</t>
  </si>
  <si>
    <t>NA</t>
  </si>
  <si>
    <t>INFANTE SIERRA MANUEL FERNANDO</t>
  </si>
  <si>
    <t>63001</t>
  </si>
  <si>
    <t>2866147</t>
  </si>
  <si>
    <t>3007045416</t>
  </si>
  <si>
    <t>QUINDIO</t>
  </si>
  <si>
    <t>ARMENIA</t>
  </si>
  <si>
    <t>PTM ARMENIA  PAPELERIA Y VARIE</t>
  </si>
  <si>
    <t>FO-25-1664616</t>
  </si>
  <si>
    <t>10/10/2025 SE ESCALA PARA VISITA. LLAMAR ANTES DE VISITAR, CONFIRMAR FALLA Y DATOS | 11/10/2025 SE VISITA COMERCIO SE ENCUENTRA CERRADO SE LLAMA A CONTACTO VARIAS VECES Y MANDA A BUZÓN DE VOZ SE HACE ESPERA DE 20 MINUTOS AFUERA DE COMERCIO PERO NADIE LLEGA.</t>
  </si>
  <si>
    <t>ACONZ767</t>
  </si>
  <si>
    <t>SANCHEZ SOLORZANO JUAN SEBASTIAN</t>
  </si>
  <si>
    <t>66170</t>
  </si>
  <si>
    <t>2867905</t>
  </si>
  <si>
    <t>3007079380</t>
  </si>
  <si>
    <t>DOSQUEBRADAS</t>
  </si>
  <si>
    <t>BARRIO ZONA INDUSTRIALES LA MA</t>
  </si>
  <si>
    <t>FO-25-1665912</t>
  </si>
  <si>
    <t>10/10/2025 SE ESCALA PARA VISITA. LLAMAR ANTES DE VISITAR, CONFIRMAR FALLA Y DATOS | 10/10/2025 SE VISITA COMERCIO SE IDENTIFICA DATÁFONO CON LENTITUD AL IMPRIMIR CIERRE SE REALIZA BORRADO E INSTALACIÓN DE APLICATIVO SE REALIZA PRUEBAS OK</t>
  </si>
  <si>
    <t>10XZZ918</t>
  </si>
  <si>
    <t>LOAIZA LOPEZ JHON FREDDY</t>
  </si>
  <si>
    <t>MANIZALES</t>
  </si>
  <si>
    <t>17001</t>
  </si>
  <si>
    <t>2868203</t>
  </si>
  <si>
    <t>3007059083</t>
  </si>
  <si>
    <t>CALDAS</t>
  </si>
  <si>
    <t>DISTRICOL DROGERIA FARMI VIDA</t>
  </si>
  <si>
    <t>FO-25-1666651</t>
  </si>
  <si>
    <t>10/10/2025 SE ESCALA PARA VISITA. LLAMAR ANTES DE VISITAR, CONFIRMAR FALLA Y DATOS | 11/10/2025 SE REALIZA VALIDACION CON EL CLIENTE , PERO INDICA QUE YA ANOCHE FUE A REALIZAR EL CIERRE Y YA PUDO REALIZARLO CON NORMALIDAD, LE FUNCIONO LA CLAVE , ENTONCES SE CIERRA CASO.</t>
  </si>
  <si>
    <t>VALLEDUPAR</t>
  </si>
  <si>
    <t>44650</t>
  </si>
  <si>
    <t>2868650</t>
  </si>
  <si>
    <t>3007031484</t>
  </si>
  <si>
    <t>SAN JUAN DEL CESAR</t>
  </si>
  <si>
    <t>ARRIO CENTRO 6</t>
  </si>
  <si>
    <t>FO-25-1674359</t>
  </si>
  <si>
    <t>11/10/2025 SE INTENTA COMUNICACION EN VARIAS OCASIONES CON EL SEÑOR CRISTIAN PEÑA AL NUMERO 3180749290 PARA CONFIRMAR FALLA Y RED PERO NO HA SIDO POSIBLE, SE PROCEDE A CERRAR ESTE CASO YA QUE USUARIO NO FUE CONTACTADO | 11/10/2025 SE INTENTA COMUNICACION EN VARIAS OCASIONES CON EL SEÑOR CRISTIAN PEÑA AL NUMERO 3180749290 PARA CONFIRMAR FALLA Y RED PERO NO HA SIDO POSIBLE, SE PROCEDE A CERRAR ESTE CASO YA QUE USUARIO NO FUE CONTACTADO | 11/10/2025 SE INTENTA COMUNICACION EN VARIAS OCASIONES CON EL SEÑOR CRISTIAN PEÑA AL NUMERO 3180749290 PARA CONFIRMAR FALLA Y RED PERO NO HA SIDO POSIBLE, SE PROCEDE A CERRAR ESTE CASO YA QUE USUARIO NO FUE CONTACTADO</t>
  </si>
  <si>
    <t>DIAZ ACOSTA MARIA ISABEL</t>
  </si>
  <si>
    <t>5088</t>
  </si>
  <si>
    <t>2871335</t>
  </si>
  <si>
    <t>3007035559</t>
  </si>
  <si>
    <t>BELLO</t>
  </si>
  <si>
    <t>COMCARD BELLO REJA BLANCA</t>
  </si>
  <si>
    <t>FO-25-1668594</t>
  </si>
  <si>
    <t>11/10/2025 SE REALIZA VISITA TÉCNICA EN RESPUESTA AL INCIDENTE REPORTADO CON EL DATÁFONO DEL CORRESPONSAL BANCOLOMBIA. EL USUARIO CONFIRMA SU IDENTIDAD Y PROCEDE A INFORMAR QUE EL EQUIPO PRESENTÓ UNA FALLA VISUAL: UNA SOMBRA OSCURA EN LA PANTALLA QUE IMPEDÍA SU CORRECTA OPERACIÓN.
DURANTE LA REVISIÓN, SE REALIZA MANTENIMIENTO PREVENTIVO Y SE VERIFICA EL ESTADO DE LOS CABLES Y CONEXIONES, SIN ENCONTRAR ANOMALÍAS FÍSICAS. SE CONCLUYE QUE EL EQUIPO ESTÁ EN CONDICIONES ÓPTIMAS.
FINALMENTE, SE INSTRUYE AL USUARIO SOBRE EL PROCEDIMIENTO ADECUADO PARA REINICIAR EL DATÁFONO EN CASO DE QUE LA FALLA VUELVA A PRESENTARSE, ASEGURANDO ASÍ UNA CORRECTA GESTIÓN ANTE FUTURAS INCIDENCIAS.</t>
  </si>
  <si>
    <t>AA004690 - II00T240</t>
  </si>
  <si>
    <t>MARTINEZ TOVAR OSCAR DAVID</t>
  </si>
  <si>
    <t>2872794</t>
  </si>
  <si>
    <t>3007081518</t>
  </si>
  <si>
    <t>DISTRICOL DROGUERIA FENIX</t>
  </si>
  <si>
    <t>FO-25-1674815</t>
  </si>
  <si>
    <t>NO ENCIENDE</t>
  </si>
  <si>
    <t>12/10/2025 SE ESCALA PARA VISITA. LLAMAR ANTES DE VISITAR, CONFIRMAR FALLA Y DATOS | 13/10/2025 EN COMUNICACIÓN CON LA SEÑORA LAURA URBINA AL NUMERO 3133841617. INDICA QUE SE ENCUENTRA OPERATIVO EL SERVICIO.</t>
  </si>
  <si>
    <t>41791</t>
  </si>
  <si>
    <t>2874161</t>
  </si>
  <si>
    <t>3007056851</t>
  </si>
  <si>
    <t>TARQUI</t>
  </si>
  <si>
    <t>BARRIO QUITURO TARQUI</t>
  </si>
  <si>
    <t>FO-25-1677091</t>
  </si>
  <si>
    <t>13/10/2025 SE ESCALA PARA VISITA. LLAMAR ANTES DE VISITAR, CONFIRMAR FALLA Y DATOS | 15/10/2025 SE REALIZA CAMBIO CABLE UTP (INTERNET) TENÍA LOS PINES DAÑADOS , SE REALIZA EL CAMBIO , SE REALIZA PRUEBAS OK</t>
  </si>
  <si>
    <t>IIOZZ199</t>
  </si>
  <si>
    <t>41026</t>
  </si>
  <si>
    <t>2874180</t>
  </si>
  <si>
    <t>3007036483</t>
  </si>
  <si>
    <t>ALTAMIRA</t>
  </si>
  <si>
    <t>BARRIO CENTRO ALTAMIRA</t>
  </si>
  <si>
    <t>FO-25-1677076</t>
  </si>
  <si>
    <t>13/10/2025 SE ESCALA PARA VISITA. LLAMAR ANTES DE VISITAR, CONFIRMAR FALLA Y DATOS | 14/10/2025 SE REALIZA CAMBIO CABLE MAGIC BOX,SE PIDE REALIZAR CIERRES , SE FORMATEA , CONFIGURA E INICIALIZA DATAFONO, SE CREA USUARIO Y CLAVE CON EL CLIENTE, SE REALIZA PRUEBAS OK</t>
  </si>
  <si>
    <t>AA00D472</t>
  </si>
  <si>
    <t>2874926</t>
  </si>
  <si>
    <t>3007023457</t>
  </si>
  <si>
    <t>BR PLAZOLETA TRIBUNAS PERE</t>
  </si>
  <si>
    <t>FO-25-1678577</t>
  </si>
  <si>
    <t>14/10/2025 SE ESCALA PARA VISITA. LLAMAR ANTES DE VISITAR, CONFIRMAR FALLA Y DATOS | 14/10/2025 VISITAMOS COMERCIO CLIENTE INDICA QUE EL DATAFO APARECE ERROR EN CONEXIÓN, REVISAMOS EL DATAFONO Y EL CABLEADO PERO TODO ESTÁ BIEN ENCONTRAMOS QUE LOS PUERTOS DEL MÓDEM ESTAN MALOS LE INDICAMOS AL CLIENTE QUE SE DEBE COMUNICAR CON EL PROVEEDOR DE SERVICIO PARA QUE LE SOLUCIONEN LA FALLA CON EL MÓDEM, NO SE HACEN PRUEBAS EXITOSAS YA QUE EL MODEM NO ESTÁ FUNCIONAN.</t>
  </si>
  <si>
    <t>ABC05358</t>
  </si>
  <si>
    <t>ARROYAVE CANO MANUEL GUILLERMO</t>
  </si>
  <si>
    <t>2876291</t>
  </si>
  <si>
    <t>3007062753</t>
  </si>
  <si>
    <t>BARRIO CONJUNTO SANTA CLARA PI</t>
  </si>
  <si>
    <t>FO-25-1679667</t>
  </si>
  <si>
    <t>14/10/2025 SE ESCALA PARA VISITA. LLAMAR ANTES DE VISITAR, CONFIRMAR FALLA Y DATOS | 16/10/2025 SE VISITA PUNTO , CLIENTE INDICA DATAFONO OPERANDO NORMAL , ERA PROBLEMAS DEL PROVEEDOR DE COMUNICACIONES .</t>
  </si>
  <si>
    <t>KA00R028</t>
  </si>
  <si>
    <t>2876478</t>
  </si>
  <si>
    <t>3007021725</t>
  </si>
  <si>
    <t>AKT MONTERIA 1</t>
  </si>
  <si>
    <t>FO-25-1679621</t>
  </si>
  <si>
    <t>CONTIGO</t>
  </si>
  <si>
    <t>14/10/2025 SE ESCALA PARA VISITA. LLAMAR ANTES DE VISITAR, CONFIRMAR FALLA Y DATOS | 14/10/2025 SE LLEGA AL SITIO Y SE REALIZA REVISIÓN AL SISTEMA DE COMUNICACIÓN DE DATÁFONO, SE ENCUENTRA QUE PUNTO DE ETHERNET DE LA TOMA DEL COMERCIO SE ENCUENTRA DAÑADO YA QUE SE PRUEBA COMUNICACIÓN EN OTRO PUERTO Y EL DATAFONOS REACCIONÓ Y FUNCIONÓ CORRECTAMENTE, SE REALIZAN PRUEBAS OK. SE RECOMIENDA AL CLIENTE REALIZAR MANTENIMIENTO AL TOMA DEL PUERTO DE ETHERNET, YA QUE EL DATAFONO SE ENCUENTRA EN PERFECTO ESTADO.</t>
  </si>
  <si>
    <t>AAVZZ244</t>
  </si>
  <si>
    <t>85010</t>
  </si>
  <si>
    <t>2878706</t>
  </si>
  <si>
    <t>3007039888</t>
  </si>
  <si>
    <t>AGUAZUL</t>
  </si>
  <si>
    <t>DISTRICOL DROGUERIA COLFAN</t>
  </si>
  <si>
    <t>FO-25-1681349</t>
  </si>
  <si>
    <t>14/10/2025 SE ESCALA PARA VISITA. LLAMAR ANTES DE VISITAR, CONFIRMAR FALLA Y DATOS | 15/10/2025 EN COMUNICACIÓN CON LA SEÑORA ANGELA RIAÑO AL NUMERO 3132719453 INDICA NO REQUIERE LA VISITA. YA AJUSTO LA TAPA DE IMPRESION. INDICA SE ENCUENTRA OPERATIVO EL</t>
  </si>
  <si>
    <t>2879163</t>
  </si>
  <si>
    <t>FO-25-1681768</t>
  </si>
  <si>
    <t>14/10/2025 SE ESCALA PARA VISITA. LLAMAR ANTES DE VISITAR, CONFIRMAR FALLA Y DATOS | 14/10/2025 SE REALIZA LLAMADA CON USUARIO PARA VALIDAR FALLAS INDICA QUE SE LE PRESENTO EN UN MOMENTO PERO YA SE ENCUENTRA EN BUEN ESTADO Y TRABAJANDO CON NORMALIDAD</t>
  </si>
  <si>
    <t>AGUIRRE HENAO RAUL EDUARDO</t>
  </si>
  <si>
    <t>68425</t>
  </si>
  <si>
    <t>2882996</t>
  </si>
  <si>
    <t>3007027180</t>
  </si>
  <si>
    <t>MACARAVITA</t>
  </si>
  <si>
    <t>BARRIO CENTRO MACARAVITA</t>
  </si>
  <si>
    <t>FO-25-1684794</t>
  </si>
  <si>
    <t>15/10/2025 SE ESCALA PARA VISITA. LLAMAR ANTES DE VISITAR, CONFIRMAR FALLA Y DATOS | 15/10/2025 SE REALIZA LLAMADA TELEFÓNICA PARA ATENDER VISITA POR ERROR EN LA CONEXIÓN, SE HABLA CON SEÑOR ÓSCAR ESTUPIÑÁN QUIEN INDICA QUE SIEMPRE HA TENIDO OPERATIVO UNA ANTENA SATELITAL Y EL INTERNET ES PROPORCIONADO POR BANCOLOMBIA POR LO TANTO SE VERIFICA QUE EL DATÁFONO ESTÁ OPERANDO EN OTRO MÓDEM.
POR LO ANTERIOR SEÑOR ÓSCAR SOLICITO REVISIÓN DEL INTERNET PROPIEDAD DE BANCOLOMBIA YA QUE INDICA NO TENER MÁS OPERADORES PARA MANEJAR EL CORRESPONSAL YA QUE PARA PROBAR LE PRESTARON UN MÓDEM Y ASÍ CONFIRMA QUE EL DATÁFONO ESTÁ OPERANDO CORRECTAMENTE</t>
  </si>
  <si>
    <t>PEÑA DIAZ IVAN YESID</t>
  </si>
  <si>
    <t>2883163</t>
  </si>
  <si>
    <t>3007034992</t>
  </si>
  <si>
    <t>COMCARD PAPELERIA Y MISCELANEA</t>
  </si>
  <si>
    <t>FO-25-1684796</t>
  </si>
  <si>
    <t>15/10/2025 SE ESCALA PARA VISITA. LLAMAR ANTES DE VISITAR, CONFIRMAR FALLA Y DATOS | 15/10/2025 SE REALIZÓ RECONEXIÓN AL DATÁFONO SE REALIZÓ PRUEBA POS OK</t>
  </si>
  <si>
    <t>BL02Z746</t>
  </si>
  <si>
    <t>52323</t>
  </si>
  <si>
    <t>2885371</t>
  </si>
  <si>
    <t>3007010155</t>
  </si>
  <si>
    <t>GUALMATAN</t>
  </si>
  <si>
    <t>GUA MA A   A INO</t>
  </si>
  <si>
    <t>FO-25-1686478</t>
  </si>
  <si>
    <t>15/10/2025 SE ESCALA PARA VISITA. LLAMAR ANTES DE VISITAR, CONFIRMAR FALLA Y DATOS | 16/10/2025 SE ENCUENTRA DATAFONO SIN CONEXIÓN SE LE INFORMA AL CLIENTE QUE ES FALLA DEL CANAL DE INTERNET, SE REALIZA MANTENIMIENTO Y SE OBTIENE CONEXIÓN EXITOSA, CONFIGURACIÓN OK PARÁMETROS OK Y SE REALIZAN PRUEBAS ÉXITOSAS DE TRANSACCIONES</t>
  </si>
  <si>
    <t>IZ7ZZ871</t>
  </si>
  <si>
    <t>50689</t>
  </si>
  <si>
    <t>2885380</t>
  </si>
  <si>
    <t>3007052948</t>
  </si>
  <si>
    <t>PTM SAN MARTIN DROGERIA V&amp;E</t>
  </si>
  <si>
    <t>FO-25-1686475</t>
  </si>
  <si>
    <t>15/10/2025 SE ESCALA PARA VISITA. LLAMAR ANTES DE VISITAR, CONFIRMAR FALLA Y DATOS | 16/10/2025 SE REALIZA VISITA AL CB POR SOLICITUD DE RED, SE VERIFICA LOS CABLES DE ETHERNET SE SUELTA Y SE VUELVE A CONECTAR BIEN Y FUNCIONANDO SIN NINGÚN PROBLEMA QUEDA TODO OK SIN NOVEDAD SE REALIZAN PRUEBAS OK</t>
  </si>
  <si>
    <t>AB11O704</t>
  </si>
  <si>
    <t>MOLINA CASTRO JAVIER ALBERTO</t>
  </si>
  <si>
    <t>23670</t>
  </si>
  <si>
    <t>2885593</t>
  </si>
  <si>
    <t>3007035167</t>
  </si>
  <si>
    <t>SAN ANDRES SOTAVENTO</t>
  </si>
  <si>
    <t>COMCARD SOTAVENTO TUCHIN</t>
  </si>
  <si>
    <t>FO-25-1686891</t>
  </si>
  <si>
    <t>16/10/2025 SE ESCALA PARA VISITA. LLAMAR ANTES DE VISITAR, CONFIRMAR FALLA Y DATOS | 16/10/2025 SE VISITA COMERCIO, SE VERIFICA EL EQUIPO PERO ESTÁ FUNCIONANDO CORRECTAMENTE, TENIA UN PROBLEMA DE CONEXIÓN CON EL CANAL DEL COMERCIO PERO YA SE SOLUCIONÓ YA SE ENCUENTRA FUNCIONANDO CORRECTAMENTE, SE REALIZAN PRUEBAS OK.</t>
  </si>
  <si>
    <t>BL0DZ129</t>
  </si>
  <si>
    <t>2886628</t>
  </si>
  <si>
    <t>3007035510</t>
  </si>
  <si>
    <t>REDY LA PRIMERA</t>
  </si>
  <si>
    <t>FO-25-1688290</t>
  </si>
  <si>
    <t>15/10/2025 SE ESCALA PARA VISITA. LLAMAR ANTES DE VISITAR, CONFIRMAR FALLA Y DATOS | 16/10/2025 SE CONFIGURA EQUIPO POR DHCP PORQUE ESTABA PRESENTAMDO CONFLICTO CON LAS IP DE LAS CAMARAS, CB BANCOLOMBIA PURO, PRUEBAS OK</t>
  </si>
  <si>
    <t>GZ001385</t>
  </si>
  <si>
    <t>2888908</t>
  </si>
  <si>
    <t>3007033080</t>
  </si>
  <si>
    <t>BARRIO PEDREGAL MEDELLIN</t>
  </si>
  <si>
    <t>FO-25-1690464</t>
  </si>
  <si>
    <t>16/10/2025 SE ESCALA PARA VISITA. LLAMAR ANTES DE VISITAR, CONFIRMAR FALLA Y DATOS | 16/10/2025 SE LLAMA AL CLIENTE Y SE LE INDICA COMO REINICIAR EL DATÁFONO, SE REINICIA DATÁFONO Y QUEDA FUNCIONAL</t>
  </si>
  <si>
    <t>CARDONA MOLINA BROLIN STIVEN</t>
  </si>
  <si>
    <t>68001</t>
  </si>
  <si>
    <t>2890461</t>
  </si>
  <si>
    <t>3007044230</t>
  </si>
  <si>
    <t>PAGAFACIL ABASTOS BUCARAMANGA</t>
  </si>
  <si>
    <t>FO-25-1692016</t>
  </si>
  <si>
    <t>SIN CUPO HABILITADO</t>
  </si>
  <si>
    <t>PAGAFACIL</t>
  </si>
  <si>
    <t>17/10/2025 SE ESCALA PARA VISITA. LLAMAR ANTES DE VISITAR, CONFIRMAR FALLA Y DATOS | 17/10/2025 ORDEN SE ESCALA CON PAOLA DE REDEBAN QUIEN INFORMA QUE SE ESCALA CASO DIRECTO CON PAGAFACIL Y AUTORIZA CERRAR ORDEN DE TRABAJO</t>
  </si>
  <si>
    <t>BARRERA ORTEGA MARLON STWAR</t>
  </si>
  <si>
    <t>IBAGUE</t>
  </si>
  <si>
    <t>73411</t>
  </si>
  <si>
    <t>2890573</t>
  </si>
  <si>
    <t>3007079896</t>
  </si>
  <si>
    <t>TOLIMA</t>
  </si>
  <si>
    <t>LIBANO</t>
  </si>
  <si>
    <t>DISTRICOL MAXIFARMA</t>
  </si>
  <si>
    <t>FO-25-1692003</t>
  </si>
  <si>
    <t>16/10/2025 SE ESCALA PARA VISITA. LLAMAR ANTES DE VISITAR, CONFIRMAR FALLA Y DATOS | 17/10/2025 SE LLEGA AL CORRESPONSAL Y SE HABLA CON LA SEÑORA ALBA POVEDA, ME INDICA SOBRE EL PROBLEMA DE LA IMPRESORA, HAGO PRUEBAS Y EL DATÁFONO IMPRIME BIEN Y HACE LAS TRANSACCIONES CORRECTAMENTE. SE LE EXPLICA NUEVAMENTE EL APAGADO Y ENCENDIDO CORRECTAMENTE DEL DATÁFONO. SE HACEN LAS PRUEBAS DE TRANSACCIONES TODO OK</t>
  </si>
  <si>
    <t>SAUZZ974</t>
  </si>
  <si>
    <t>VARGAS HERRERA JHON JAIRO</t>
  </si>
  <si>
    <t>81736</t>
  </si>
  <si>
    <t>2890962</t>
  </si>
  <si>
    <t>3007071366</t>
  </si>
  <si>
    <t>ARAUCA</t>
  </si>
  <si>
    <t>SARAVENA</t>
  </si>
  <si>
    <t>DISTRICOL MULTISERVICIOS ANDRE</t>
  </si>
  <si>
    <t>FO-25-1692799</t>
  </si>
  <si>
    <t>16/10/2025 SE ESCALA PARA VISITA. LLAMAR ANTES DE VISITAR, CONFIRMAR FALLA Y DATOS | 16/10/2025 SE SOLICITA A COORDINADOR DE ZONA CREACIÓN DE ORDEN DE INCIDENTE SOLICITADO POR EL ADMINISTRADOR CON RADICADO RADICADO 14257529. PARA ATENCIÓN DE VISITA. | 16/10/2025 SE REALIZA AJUSTE DE CONEXIÓNES, SE CONECTA DIRECTAMENTE AL MÓDEM Y SE REALIZAN PRUEBAS EXITOSA, SE HACE ACOMPAÑAMIENTO VARIAS TRANSACCIONES EXITOSA.</t>
  </si>
  <si>
    <t>SV00C189</t>
  </si>
  <si>
    <t>TIPO V</t>
  </si>
  <si>
    <t>AEREO</t>
  </si>
  <si>
    <t>MARTINEZ FLOREZ DONIS ALBERTO</t>
  </si>
  <si>
    <t>2894012</t>
  </si>
  <si>
    <t>3007040226</t>
  </si>
  <si>
    <t>PTM BELLO LA CHINCA</t>
  </si>
  <si>
    <t>FO-25-1695498</t>
  </si>
  <si>
    <t>17/10/2025 SE ESCALA PARA VISITA. LLAMAR ANTES DE VISITAR, CONFIRMAR FALLA Y DATOS | 17/10/2025 SE LLEGA A PUNTO Y CLIENTE INDICA QUE TIENE PROBLEMAS CON EL INTERNET Y YA ESTA EL PROVEEDOR DE SERVICIO VERIFICANDO</t>
  </si>
  <si>
    <t>AA0JZ957</t>
  </si>
  <si>
    <t>BADEL ACUÑA LUIS ALBERTO</t>
  </si>
  <si>
    <t>2894773</t>
  </si>
  <si>
    <t>3007075978</t>
  </si>
  <si>
    <t>PTM MEDELLIN DROGUERIA PLENITU</t>
  </si>
  <si>
    <t>FO-25-1696517</t>
  </si>
  <si>
    <t>17/10/2025 SE VALIDA NUEVAMENTE CLAVE DE SUPERVISOR Y SE DEJAN LAS INDICACIONES.</t>
  </si>
  <si>
    <t>FA09Z507 - UVRZZ574</t>
  </si>
  <si>
    <t>MARIN PIEDRAHITA JIMMY ALEXIS</t>
  </si>
  <si>
    <t>2895978</t>
  </si>
  <si>
    <t>3007028195</t>
  </si>
  <si>
    <t>PAGAFACIL   PLAZA CAICEDO II</t>
  </si>
  <si>
    <t>FO-25-1697390</t>
  </si>
  <si>
    <t>17/08/2025 SE ESCALA PARA VISITA. LLAMAR ANTES DE VISITAR, CONFIRMAR FALLA Y DATOS | 17/10/2025 CLIENTE TIENE IP DUPLICADA SE CONFIGURA Y PERSISTE LA FALLA SE LLAMA AL TECNICO DEL INTERNET DEL CLIENTE Y QUEDA FUNCIONANDO CORRECTAMENTE</t>
  </si>
  <si>
    <t>9LZZZ753</t>
  </si>
  <si>
    <t>5129</t>
  </si>
  <si>
    <t>2897272</t>
  </si>
  <si>
    <t>3007024577</t>
  </si>
  <si>
    <t>COMCARD CALDAS SIMOLIS</t>
  </si>
  <si>
    <t>FO-25-1698792</t>
  </si>
  <si>
    <t>17/10/2025 SE ESCALA PARA VISITA. LLAMAR ANTES DE VISITAR, CONFIRMAR FALLA Y DATOS | 18/10/2025 SE LLEGA AL CB SE HABIA CONFIRMADO LA VISITA , PERO CB CERRADO 
SE LLAMA AL USUARIO NUEVAMENTE E INDICA QUE AYER MOVISTAR LE DIO SOLUCIÓN YA QUE ERA PROBLEMA EN EL MODEM DEL OPERADOR DE SERVICIO DE INTERNET E INDICA QUE TODO QUEDO OK CORRESPONSAL OK</t>
  </si>
  <si>
    <t>ABC0Z263</t>
  </si>
  <si>
    <t>2898043</t>
  </si>
  <si>
    <t>3007035666</t>
  </si>
  <si>
    <t>COMCARD KIME COMERCIALIZADORA</t>
  </si>
  <si>
    <t>FO-25-1701583</t>
  </si>
  <si>
    <t>18/10/2025 SE ESCALA PARA VISITA. LLAMAR ANTES DE VISITAR, CONFIRMAR FALLA Y DATOS | 19/10/2025 VISITA SE REALIZARÁ EN DÍA HÁBIL DEBIDO A QUE NOVEDAD DE CONEXIÓN EN SITIO SE DA POR PROBLEMA DE EQUIPO. FIN DE SEMANA NO SE TIENE SOPORTE PARA CAMBIOS. VISITA E REALZARÁ EN DÍA HÁBIL DE LA PRÓXIMA SEMANA. | 24/10/2025 SE LLEGA A PUNTO Y SE VERIFICA FLUCTUACION DE CANAL, EQUIPOS YA FUNCIONAN</t>
  </si>
  <si>
    <t>9A005433</t>
  </si>
  <si>
    <t>5059</t>
  </si>
  <si>
    <t>2898626</t>
  </si>
  <si>
    <t>3007081524</t>
  </si>
  <si>
    <t>PTM ARMENIA DACAFE HOGAR Y FER</t>
  </si>
  <si>
    <t>FO-25-1699999</t>
  </si>
  <si>
    <t>18/10/2025 SE REALIZÓ RECONEXIÓN DE DATÁFONO PRUEBA EXITOSA</t>
  </si>
  <si>
    <t>SPZZZ3301 - FTZZZ821</t>
  </si>
  <si>
    <t>50001</t>
  </si>
  <si>
    <t>2899343</t>
  </si>
  <si>
    <t>3007047991</t>
  </si>
  <si>
    <t>DISTRICOL MASIVOS MINI EXPRESS</t>
  </si>
  <si>
    <t>FO-25-1701000</t>
  </si>
  <si>
    <t>18/10/2025 SE REALIZA CONTACTO TELEFONICO CON EL SEÑOR JORGE Y SE LE RELAIZA SOPORTE Y SE LE REALIZA CAMBIO   DE CONTRASEÑA DE SUPERVISOR</t>
  </si>
  <si>
    <t>PEDREROS CONTRERAS MICHAEL STEVENS</t>
  </si>
  <si>
    <t>2900795</t>
  </si>
  <si>
    <t>3007022852</t>
  </si>
  <si>
    <t>COMCARD MEDELLIN ROBLEDO DIMAS</t>
  </si>
  <si>
    <t>FO-25-1704285</t>
  </si>
  <si>
    <t>19/10/2025 SE ESCALA PARA VISITA. LLAMAR ANTES DE VISITAR, CONFIRMAR FALLA Y DATOS | 20/10/2025 VISITA FALLIDA, SE VISITA PUNTO USUARIA NO PERMITE INGRESO YA QUE EN LA LINEA DE BANCOLOMBIA NO CONTESTAN NI POR LLAMADA NI POR WHATSAPP, USUARIA INDICA QUE LLAMARA DE NUEVO A SOLICITAR RADICADO SE CIERRA CASO</t>
  </si>
  <si>
    <t>NONE</t>
  </si>
  <si>
    <t>2900911</t>
  </si>
  <si>
    <t>3007080461</t>
  </si>
  <si>
    <t>BARRIO FUNDADORES SAN MARTIN 9</t>
  </si>
  <si>
    <t>FO-25-1704144</t>
  </si>
  <si>
    <t>19/10/2025 SE ESCALA PARA VISITA. LLAMAR ANTES DE VISITAR, CONFIRMAR FALLA Y DATOS | 20/10/2025 SE REALIZA CAMBIO DE PUERTO LAN EN EL ROUTER SE REALIZA PRUEBAS OK</t>
  </si>
  <si>
    <t>SAZZZ771</t>
  </si>
  <si>
    <t>25473</t>
  </si>
  <si>
    <t>2902251</t>
  </si>
  <si>
    <t>3007052225</t>
  </si>
  <si>
    <t>MOSQUERA</t>
  </si>
  <si>
    <t>BARRIO PORVENIR RIO MOSQUERA</t>
  </si>
  <si>
    <t>FO-25-1705348</t>
  </si>
  <si>
    <t>20/10/2025 SE ESCALA PARA VISITA. LLAMAR ANTES DE VISITAR, CONFIRMAR FALLA Y DATOS | 20/10/2025 SE VISITA COMERCIO CB BANCOLOMBIA, PERO ESTE YA ESTÁ MIGRADO A WOMPI, EL CLIENTE INDICA QUE LA FALLA LA PRESENTO EN LA MAÑANA Y ERA POR QUÉ LE DECLINABA LAS TRANSACCIONES Y ESTO ES POR QUÉ HAY UNA FALLA A NIVEL GENERAL EN LOS CORRESPONSALES, YA EL SERVICIO ESTÁ RESTABLECIDO Y NO PRESENTA NINGÚN PROBLEMA, SE TOMA EVIDENCIA DE LA VISITA Y NOS RETIRAMOS, NO SE MANIPULAN EQUIPOS.</t>
  </si>
  <si>
    <t>2909827</t>
  </si>
  <si>
    <t>3007057069</t>
  </si>
  <si>
    <t>PTM PEREIRA DROGUERIA MEDICA N</t>
  </si>
  <si>
    <t>FO-25-1709231</t>
  </si>
  <si>
    <t>21/10/2025 SE ESCALA PARA VISITA. LLAMAR ANTES DE VISITAR, CONFIRMAR FALLA Y DATOS | 21/10/2025 SE REALIZA LLAMADA AL CLIENTE PARA VALIDAR INCONVENIENTE PERO INDICA QUE PARECE QUE ERA UN BLOQUEO POR QUE YA ESTA MAÑANA INTENTO REALIZAR EL CIERRE Y LO PUDO REALIZAR SIN PROBLEMA,</t>
  </si>
  <si>
    <t>2910457</t>
  </si>
  <si>
    <t>3007020866</t>
  </si>
  <si>
    <t>BARRIO GALERIA V MANIZALES</t>
  </si>
  <si>
    <t>FO-25-1709221</t>
  </si>
  <si>
    <t>21/10/2025 SE ESCALA PARA VISITA. LLAMAR ANTES DE VISITAR, CONFIRMAR FALLA Y DATOS | 21/10/2025 SE REALIZA VISITA SE VALIDA CABLEADO SE EVIDENCIA QUE CONTABA CON EXTENSOR DE RJ45 EN MAL ESTADO, SE CONECTORIZA RJ45 Y DA CONEXIÓN SE HACEN PRUEBAS SERVICIO OK</t>
  </si>
  <si>
    <t>AAAGZ523</t>
  </si>
  <si>
    <t>15455</t>
  </si>
  <si>
    <t>2915001</t>
  </si>
  <si>
    <t>3007040145</t>
  </si>
  <si>
    <t>MIRAFLORES</t>
  </si>
  <si>
    <t>BARRIO CENTRO MIRAFLORES 1</t>
  </si>
  <si>
    <t>FO-25-1713575</t>
  </si>
  <si>
    <t>21/10/2025 EN COMUNICACIÓN CON LA SR NANCY RAMIREZ AL NUMERO 3128564722 INDICA QUE LA FALLA ES CON EL PROVEEDOR DE INTERNET Y QUE NO REQUIERE VISITA TECNICA. SE PROCEDE A CERRAR RADICADO</t>
  </si>
  <si>
    <t>HERNANDEZ GUARIN MIGUEL JULIAN</t>
  </si>
  <si>
    <t>2919221</t>
  </si>
  <si>
    <t>3007074073</t>
  </si>
  <si>
    <t>PTM MEDELLIN AUTOSERVICIO NARI</t>
  </si>
  <si>
    <t>FO-25-1717796</t>
  </si>
  <si>
    <t>22/10/2025 SE ESCALA PARA VISITA. LLAMAR ANTES DE VISITAR, CONFIRMAR FALLA Y DATOS | 22/10/2025 SE LLEGA A PUNTO SE VERIFICA CONEXIÓN DEL COMERCIO, SE ORGANIZA QUEDA OPERATIVO</t>
  </si>
  <si>
    <t>UV0PZ153 - NN00E890</t>
  </si>
  <si>
    <t>2920304</t>
  </si>
  <si>
    <t>3007052197</t>
  </si>
  <si>
    <t>DISTRICOL DIAMAR SPORT CONF</t>
  </si>
  <si>
    <t>FO-25-1718539</t>
  </si>
  <si>
    <t>22/10/2025 SE ESCALA PARA VISITA. LLAMAR ANTES DE VISITAR, CONFIRMAR FALLA Y DATOS | 23/10/2025 EN VISITA A COMERCIAL POR QUÉ NO RESPONDE LLAMADA , AL MOMENTO DE LLEGAR EL SEÑOR INFORMO QUE EL EQUIPO YA ESTÁ OPERANDO CORRECTAMENTE SE HABÍA DESCONECTADO POR LO TANTO NO NECESITA QUE EL TÉCNICO INGRESE Y CANCELA LA VISITA</t>
  </si>
  <si>
    <t>GB0DZ023</t>
  </si>
  <si>
    <t>50577</t>
  </si>
  <si>
    <t>2920804</t>
  </si>
  <si>
    <t>3007081173</t>
  </si>
  <si>
    <t>PUERTO LLERAS</t>
  </si>
  <si>
    <t>BARRIO CENTRO PUERTO 7 LLERAS</t>
  </si>
  <si>
    <t>FO-25-1719919</t>
  </si>
  <si>
    <t>22/10/2025 SE INTENTA COMUNICACION CON EL USUARIO AL NUMERO 3227618406 , SE ESCALA PARA VISITA. LLAMAR ANTES DE VISITAR, CONFIRMAR FALLA Y DATOS | 23/10/2025 CLIENTE REGRESA LA LLAMADA E INFORMA QUÉ EL DÍA DE HOY ESTÁ FUNCIONANDO SIN NOVEDAD Y NO REQUIERE SERVICIO TÉCNICO Y QUE HASTA EL MOMENTO ESTA FUNCIONANDO SIN NOVEDAD</t>
  </si>
  <si>
    <t>2921504</t>
  </si>
  <si>
    <t>3007071679</t>
  </si>
  <si>
    <t>PTM BUCARAMANGA  PAPELERIA ABA</t>
  </si>
  <si>
    <t>FO-25-1719940</t>
  </si>
  <si>
    <t>22/10/2025 SE ESCALA PARA VISITA. LLAMAR ANTES DE VISITAR, CONFIRMAR FALLA Y DATOS | 23/10/2025 SE REALIZA VISITA AL COMERCIO CB, SE VALIDA Y SE ENCUENTRA QUE EL PROBLEMA RADICO EN LA CONEXIÓN INTERNA, NO ESTABA TOMANDO INTERNET O ERROR EN CONEXIÓN SE ARREGLA Y SE DEJA FUNCIONADO OK, PRUEBAS OK</t>
  </si>
  <si>
    <t>MN00G322 - MN00G394</t>
  </si>
  <si>
    <t>GONZALEZ ESTUPIÑAN YEISON WALTER ANTONIO</t>
  </si>
  <si>
    <t>5376</t>
  </si>
  <si>
    <t>2922606</t>
  </si>
  <si>
    <t>3007038372</t>
  </si>
  <si>
    <t>LA CEJA</t>
  </si>
  <si>
    <t>DISTRICOL SUPERMERCADO COLOMBI</t>
  </si>
  <si>
    <t>FO-25-1720880</t>
  </si>
  <si>
    <t>23/10/2025 SE ESCALA PARA VISITA. LLAMAR ANTES DE VISITAR, CONFIRMAR FALLA Y DATOS | 24/10/2025 USUARIO NOS INDICA QUE NO HABÍAN PUESTO EL ROLLO, REINICIÓ EL DATÁFONO Y PUSO UN ROLLO NUEVO, QUEDA OPERATIVO</t>
  </si>
  <si>
    <t>2923249</t>
  </si>
  <si>
    <t>3007035610</t>
  </si>
  <si>
    <t>DISTRICOL COMUNICACIONES KATEB</t>
  </si>
  <si>
    <t>FO-25-1721724</t>
  </si>
  <si>
    <t>23/10/2025 SE ESCALA PARA VISITA. LLAMAR ANTES DE VISITAR, CONFIRMAR FALLA Y DATOS | 23/10/2025 SE LE INDICA AL CLIENTE QUE EL PIN PAD 1500 NO ES COMPATIBLE CON EL DATAFONO 2600 POR LO TANTO SE LE RECOMIENDA SOLICITAR UN PIN PAD ADICIONAL  LA LINEA BANCOLOMBIA.</t>
  </si>
  <si>
    <t>AA004403</t>
  </si>
  <si>
    <t>2925033</t>
  </si>
  <si>
    <t>3007052580</t>
  </si>
  <si>
    <t>BARRIO EL JARDIN CALI 1</t>
  </si>
  <si>
    <t>FO-25-1723048</t>
  </si>
  <si>
    <t>23/10/2025 SE ESCALA PARA VISITA. LLAMAR ANTES DE VISITAR, CONFIRMAR FALLA Y DATOS | 23/10/2025 CLIENTE HABRE A LAS 2 PM | 23/10/2025 CLIENTE NO CUENTA CON CLAVE DE SUPERVISOR SE LE CREA UNA NUEVA Y QUEDA FUNCIONANDO CORRECTAMENTE</t>
  </si>
  <si>
    <t>1A00N237</t>
  </si>
  <si>
    <t>50450</t>
  </si>
  <si>
    <t>2926323</t>
  </si>
  <si>
    <t>3007078907</t>
  </si>
  <si>
    <t>PUERTO CONCORDIA</t>
  </si>
  <si>
    <t>BARRIO VRD SAN FERNANDO PUERTO CONCORDIA</t>
  </si>
  <si>
    <t>FO-25-1727698</t>
  </si>
  <si>
    <t>23/10/2025 EN COMUNICACION CON EL SR CLAUDIA GAVIRIA AL NUMERO 3124735857 SE CONFIRMAR FALLA Y DATOS . SE ESCALA PARA VISITA. | 24/10/2025 SE REALIZA LLAMADA TELEFÓNICA ALA USUARIA, NOS INFORMA QUE EL PROBLEMA SE SOLUCIONÓ QUE EL DATÁFONO ESTÁ FUNCIONANDO NORMALMENTE, QUE HABÍA SIDO POR FALLAS DEL INTERNET QUE ESTABA ALGO INTERMITENTE PERO QUE YA SE HABÍA ARREGLADO</t>
  </si>
  <si>
    <t>25843</t>
  </si>
  <si>
    <t>2928425</t>
  </si>
  <si>
    <t>3007049326</t>
  </si>
  <si>
    <t>VILLA DE SAN DIEGO DE UBATE</t>
  </si>
  <si>
    <t>BARRIO UBATE VILLA DE SAN DIEG</t>
  </si>
  <si>
    <t>FO-25-1726698</t>
  </si>
  <si>
    <t>23/10/2025 SE ESCALA PARA VISITA. LLAMAR ANTES DE VISITAR, CONFIRMAR FALLA Y DATOS | 24/10/2025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</si>
  <si>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9C00Q176</t>
  </si>
  <si>
    <t>52490</t>
  </si>
  <si>
    <t>2928658</t>
  </si>
  <si>
    <t>3007069331</t>
  </si>
  <si>
    <t>OLAYA HERRERA</t>
  </si>
  <si>
    <t>BARRIO LA ISLA OLAYA HERRERA</t>
  </si>
  <si>
    <t>FO-25-1726970</t>
  </si>
  <si>
    <t>23/10/2025 SE ESCALA PARA VISITA. LLAMAR ANTES DE VISITAR, CONFIRMAR FALLA Y DATOS | 27/10/2025 SE REALIZA LLAMADA TELEFÓNICA PARA CONFIRMAR VISITA, SE CONTACTA CON EL SEÑOR DUVAN SÁNCHEZ EL CUAL INFORMA QUE SE LE ESTABA REINICIANDO Y APAGANDO EL DÍA QUE HIZO EL REPORTE PERO QUE REVISO CONEXIÓNES Y QUE YA EL DATAFONO SE ENCUENTRA FUNCIONANDO CORRECTAMENTE POR LO CUAL YA NO DESEA VISITA</t>
  </si>
  <si>
    <t>FLUVIAL</t>
  </si>
  <si>
    <t>25875</t>
  </si>
  <si>
    <t>2928819</t>
  </si>
  <si>
    <t>3007073822</t>
  </si>
  <si>
    <t>VILLETA</t>
  </si>
  <si>
    <t>BARRIO CENTRO VILLETA 9</t>
  </si>
  <si>
    <t>FO-25-1727374</t>
  </si>
  <si>
    <t>23/10/2025 SE ESCALA PARA VISITA. LLAMAR ANTES DE VISITAR, CONFIRMAR FALLA Y DATOS | 24/10/2025 CB YA SE ENCUENTRA MIGRADO A LA OTRA RED, SE CANCELA SOLICITUD Y SE LE INDICA AL USUARIO QUE DEBE COMUNICARSE DE NUEVO CON LA LINEA PARA GENERAR UN CORRECTO RADICADO.</t>
  </si>
  <si>
    <t>0</t>
  </si>
  <si>
    <t>ARIAS QUILINDO JULIAN</t>
  </si>
  <si>
    <t>2931614</t>
  </si>
  <si>
    <t>3007019537</t>
  </si>
  <si>
    <t>REVAL UBATE</t>
  </si>
  <si>
    <t>FO-25-1730192</t>
  </si>
  <si>
    <t>REVAL</t>
  </si>
  <si>
    <t>24/10/2025 SE ESCALA PARA VISITA. LLAMAR ANTES DE VISITAR, CONFIRMAR FALLA Y DATOS | 24/10/2025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NO SE INGRESA AL CORRESPONSAL REVAL</t>
  </si>
  <si>
    <t>MNZZZ464-AD00B080</t>
  </si>
  <si>
    <t>5390</t>
  </si>
  <si>
    <t>2931701</t>
  </si>
  <si>
    <t>3007010288</t>
  </si>
  <si>
    <t>LA PINTADA</t>
  </si>
  <si>
    <t>LA PINTADA-ANTIOQUIA</t>
  </si>
  <si>
    <t>FO-25-1730186</t>
  </si>
  <si>
    <t>24/10/2025 SE ESCALA PARA VISITA. LLAMAR ANTES DE VISITAR, CONFIRMAR FALLA Y DATOS | 25/10/2025 SE REALIZÓ MANTENIMIENTO GENERAL Y AJUSTE Y LIMPIEZA DE IMPRESORA</t>
  </si>
  <si>
    <t>IZ7ZZ886 - 9B08Z097</t>
  </si>
  <si>
    <t>2931954</t>
  </si>
  <si>
    <t>3007080857</t>
  </si>
  <si>
    <t>PTM MEDELLIN VARIEDADES LA CHI</t>
  </si>
  <si>
    <t>FO-25-1730562</t>
  </si>
  <si>
    <t>24/10/2025 SE ESCALA PARA VISITA. LLAMAR ANTES DE VISITAR, CONFIRMAR FALLA Y DATOS | 25/10/2025 SE HACE SOPORTE TELEFÓNICO Y CLIENTE NOS MANIFIESTA QUE YA ESTA OPERANDO CON NORMALIDAD</t>
  </si>
  <si>
    <t>DIAZ ZABALA FRANCIS DUBAN</t>
  </si>
  <si>
    <t>5607</t>
  </si>
  <si>
    <t>2935004</t>
  </si>
  <si>
    <t>3007014258</t>
  </si>
  <si>
    <t>RETIRO</t>
  </si>
  <si>
    <t>MULTIPAGAS EL RETIRO</t>
  </si>
  <si>
    <t>FO-25-1734206</t>
  </si>
  <si>
    <t>MULTIPAGAS</t>
  </si>
  <si>
    <t>25/10/2025 SE ESCALA PARA VISITA. LLAMAR ANTES DE VISITAR, CONFIRMAR FALLA Y DATOS | 27/10/2025 COMERCIO NO ABRE DÍAS DOMINGOS, VISITA SE REALIZARÁ EN DÍA HABIL DE LA PROXIMA SEMANA. | 27/10/2025 SE LLEGA AL PUNTO Y CLIENTE NOS COMENTA QUE ERA ALGO EXTERNO Y SE PUDO SOLUCIONAR (CABLE PINPAD DESCONECTADO) PAGAFACIL</t>
  </si>
  <si>
    <t>JADZZ364</t>
  </si>
  <si>
    <t>2937239</t>
  </si>
  <si>
    <t>3007014750</t>
  </si>
  <si>
    <t>BARRIO SANTA FE DE MONTERIA MO</t>
  </si>
  <si>
    <t>FO-25-1737574</t>
  </si>
  <si>
    <t>27/10/2025 SE ESCALA PARA VISITA. LLAMAR ANTES DE VISITAR, CONFIRMAR FALLA Y DATOS | 27/10/2025 SE VISITA SITIO, SE VERIFICA DATAFONO, FUNCIONA CORRECTAMENTE, CB INDICA POSIBLE PROBLEMAS CON CANAL DE COMUNICACIÓN 9A0F EN HORAS DE LA MAÑANA .
PRUEBAS EXITOSAS</t>
  </si>
  <si>
    <t>9A0FZ496</t>
  </si>
  <si>
    <t>5656</t>
  </si>
  <si>
    <t>2939239</t>
  </si>
  <si>
    <t>3007034032</t>
  </si>
  <si>
    <t>SAN JERONIMO</t>
  </si>
  <si>
    <t>DISTRICOL AUTOSERVICIO SUPER D</t>
  </si>
  <si>
    <t>FO-25-1738903</t>
  </si>
  <si>
    <t>27/10/2025 SE ESCALA PARA VISITA. LLAMAR ANTES DE VISITAR, CONFIRMAR FALLA Y DATOS | 28/10/2025 SE HABLA CON SEÑOR MIGUEL, SE REALIZA PROCESO PARA VERIFICAR CIERRES Y DUPLICADOS Y FUNCIONAN SIN NOVEDAD, SE CIERRA INCIDENTE, CB OPERATIVO.</t>
  </si>
  <si>
    <t>2940343</t>
  </si>
  <si>
    <t>3007056953</t>
  </si>
  <si>
    <t>PTM MEDELLIN MERCADOS FH AL CO</t>
  </si>
  <si>
    <t>FO-25-1739894</t>
  </si>
  <si>
    <t>27/10/2025 SE ESCALA PARA VISITA. LLAMAR ANTES DE VISITAR, CONFIRMAR FALLA Y DATOS | 28/10/2025 SE LLAMA AL CLIENTE Y DICE QUE ABRE A LAS 9AM, SE LLEGA AL PUNTO Y SE ESPERA 15M, SE REALIZA MANTENIMIENTO Y CAMBIO DE CABLE DE RED POR DAÑO</t>
  </si>
  <si>
    <t>TRQZZ971 - AB11N977</t>
  </si>
  <si>
    <t>2940619</t>
  </si>
  <si>
    <t>3007045297</t>
  </si>
  <si>
    <t>PTM MEDELLIN  VARIEDADES LA 56</t>
  </si>
  <si>
    <t>FO-25-1740159</t>
  </si>
  <si>
    <t>27/10/2025 SE ESCALA PARA VISITA. LLAMAR ANTES DE VISITAR, CONFIRMAR FALLA Y DATOS | 28/10/2025 SE REALIZA MANTENIMIENTO Y CAMBIO DE FUENTE DE PODER YA QUE EL DATÁFONO IMPRIMÍA LENTO, LUEGO DEL CAMBIO QUEDA OPERATIVO</t>
  </si>
  <si>
    <t>9B0NZ740 - TRKZZZ963</t>
  </si>
  <si>
    <t>15001</t>
  </si>
  <si>
    <t>2941411</t>
  </si>
  <si>
    <t>3007069305</t>
  </si>
  <si>
    <t>BARRIO LAS AMERICAS TUNJA</t>
  </si>
  <si>
    <t>FO-25-1740878</t>
  </si>
  <si>
    <t>27/10/2025 SE ESCALA PARA VISITA. LLAMAR ANTES DE VISITAR, CONFIRMAR FALLA Y DATOS | 28/10/2025 SE REALIZA CONFIGURACIÓN DE ROUTER REPETIDOR ENLAZADO AL ROUTER PRINCIPAL DEL COMERCIO , DEJANDO PRUEBAS OK</t>
  </si>
  <si>
    <t>9L6ZZ639</t>
  </si>
  <si>
    <t>ALVARADO MORENO CRISTHIAN</t>
  </si>
  <si>
    <t>2941568</t>
  </si>
  <si>
    <t>3007049692</t>
  </si>
  <si>
    <t>PTM MANIZALES VARIEDADES JUAND</t>
  </si>
  <si>
    <t>FO-25-1741050</t>
  </si>
  <si>
    <t>27/10/2025 SE ESCALA PARA VISITA. LLAMAR ANTES DE VISITAR, CONFIRMAR FALLA Y DATOS | 27/10/2025 SE REALIZA LLAMADA CON USUARIO EL CUAL INDICA QUE CAMBIO DE PROVEEDOR DE INTERNET Y NO LE DABA EL SERVICIO PERO REINICIO EL MODEM DEL NUEVO PROVEEDOR Y QUEDA CON SERVICIO OPERATIVO Y EN BUEN ESTADO, SERVICIO OK</t>
  </si>
  <si>
    <t>8001</t>
  </si>
  <si>
    <t>2942598</t>
  </si>
  <si>
    <t>3007080994</t>
  </si>
  <si>
    <t>ATLANTICO</t>
  </si>
  <si>
    <t>DISTRICOL Q´CHICHA S.A.S.</t>
  </si>
  <si>
    <t>FO-25-1741960</t>
  </si>
  <si>
    <t>27/10/2025 SE ESCALA PARA VISITA. LLAMAR ANTES DE VISITAR, CONFIRMAR FALLA Y DATOS | 28/10/2025 SE REALIZA VISITA SE VALIDA DATAFONO Y TODO OK ,NO TENÍA INTERNET SE PROCEDE A CONFIGURAR NUEVAMENTE Y TODO OK ,PRUEBAS OK, CB OPERATIVO</t>
  </si>
  <si>
    <t>FJZZZ899</t>
  </si>
  <si>
    <t>PORRAS CASTRO DARLON NASCK</t>
  </si>
  <si>
    <t>5887</t>
  </si>
  <si>
    <t>2947985</t>
  </si>
  <si>
    <t>3007031781</t>
  </si>
  <si>
    <t>YARUMAL</t>
  </si>
  <si>
    <t>BARRIO LA ESTACION YARUMAL</t>
  </si>
  <si>
    <t>FO-25-1746861</t>
  </si>
  <si>
    <t>28/10/2025 SE ESCALA PARA VISITA. LLAMAR ANTES DE VISITAR, CONFIRMAR FALLA Y DATOS | 30/10/2025 SE CONTACTÓ AL USUARIO VÍA TELEFÓNICA PARA VERIFICAR EL INCIDENTE PREVIAMENTE REPORTADO RELACIONADO CON EL DATÁFONO. DURANTE LA LLAMADA, EL USUARIO INFORMÓ QUE LA FALLA SE DEBÍA A UNA CONFIGURACIÓN DE RED QUE AFECTABA LA CONEXIÓN A INTERNET DEL DISPOSITIVO. LA EMPRESA PROVEEDORA DEL SERVICIO DE INTERNET YA REALIZÓ LOS AJUSTES NECESARIOS, POR LO QUE EL DATÁFONO SE ENCUENTRA ACTUALMENTE OPERATIVO.
EL USUARIO CONFIRMA QUE LA NOVEDAD HA SIDO SOLUCIONADA Y NO ES NECESARIA UNA VISITA TÉCNICA, YA QUE EL EQUIPO FUNCIONA CON NORMALIDAD.</t>
  </si>
  <si>
    <t>5079</t>
  </si>
  <si>
    <t>2950022</t>
  </si>
  <si>
    <t>3007075750</t>
  </si>
  <si>
    <t>BARBOSA</t>
  </si>
  <si>
    <t>DISTRICOL ATRIUM ASESORIAS</t>
  </si>
  <si>
    <t>FO-25-1748331</t>
  </si>
  <si>
    <t>29/10/2025 SE ESCALA PARA VISITA. LLAMAR ANTES DE VISITAR, CONFIRMAR FALLA Y DATOS | 30/10/2025 USUARIO MANIFIESTA QUE CAMBIO LA CLAVE DE ADMINISTRADOR Y SE LE OLVIDÓ, SE FORMATEA EL DATÁFONO Y SE DEJAN SERVICIOS FUNCIONANDO CORRECTAMENTE</t>
  </si>
  <si>
    <t>V100R776</t>
  </si>
  <si>
    <t>BARRIENTOS HERNANDEZ CRISTIAN HORACIO</t>
  </si>
  <si>
    <t>54660</t>
  </si>
  <si>
    <t>2950423</t>
  </si>
  <si>
    <t>3007077564</t>
  </si>
  <si>
    <t>SALAZAR</t>
  </si>
  <si>
    <t>BARRIO CENTRO SALAZAR</t>
  </si>
  <si>
    <t>FO-25-1749096</t>
  </si>
  <si>
    <t>29/10/2025 SE ESCALA PARA VISITA. LLAMAR ANTES DE VISITAR, CONFIRMAR FALLA Y DATOS | 30/10/2025 SE REALIZA VISITA, COMERCIO SE ENCUENTRA CON CANAL DE COMUNICACIÓN CAÍDO. SE LE INFORMA AL CLIENTE QUE CUANDO TENGA EL CANAL DE DATOS ACTIVO NOS LLAME NUEVAMENTE
SE REALIZA VISITA AL COMERCIO, EL CUAL SE ENCUENTRA CON EL CANAL DE COMUNICACIÓN CAÍDO. SE INFORMA AL CLIENTE QUE, UNA VEZ TENGA EL CANAL DE DATOS ACTIVO O SE LE HAYA SOLUCIONADO EL INCONVENIENTE, DEBERÁ COMUNICARSE NUEVAMENTE CON LA LÍNEA TP DEL BANCO AL 018000 953344.</t>
  </si>
  <si>
    <t>2952011</t>
  </si>
  <si>
    <t>3007080898</t>
  </si>
  <si>
    <t>BARRIO CHUCHURUBI MONTERIA 9</t>
  </si>
  <si>
    <t>FO-25-1750370</t>
  </si>
  <si>
    <t>29/10/2025 SE ESCALA PARA VISITA. LLAMAR ANTES DE VISITAR, CONFIRMAR FALLA Y DATOS | 29/10/2025 SE VISITA SITIO, SE REALIZA VALIDACIÓN DE CIERRE OK SE HACE BORRADO DE TRANSACCIONES Y SE REALIZA CIERRE DE FORMA EXITOSA.
SE LE EXPLICÓ AL CB LA FORMA CORRECTA DE REALIZAR LOS CIERRES.</t>
  </si>
  <si>
    <t>FGZZZ897</t>
  </si>
  <si>
    <t>73268</t>
  </si>
  <si>
    <t>2952246</t>
  </si>
  <si>
    <t>3007057872</t>
  </si>
  <si>
    <t>ESPINAL</t>
  </si>
  <si>
    <t>BARRIO ISAIAS OLIVAR ESPINAL 3</t>
  </si>
  <si>
    <t>FO-25-1750625</t>
  </si>
  <si>
    <t>29/10/2025 SE ESCALA PARA VISITA. LLAMAR ANTES DE VISITAR, CONFIRMAR FALLA Y DATOS | 30/10/2025 SE REVISAN CONEXIONES EVIDENCIA QUE CABLE PASCOR  DEL CB QUE SALE DEL MODEM ESTÁ DESPINADO EN RJ-45
CABLE ES DEL PROPIETARIO MIDE APROXIMADAMENTE 10 METROS 
SE CONECTA A CABLE DE COMPUTADOR EQUIPO ESTÁ FUNCIONANDO 
TRANSACCIONES DE PRUEBA O.K
CB LLEVARA CABLE A PONCHAR</t>
  </si>
  <si>
    <t>9GZZZ919</t>
  </si>
  <si>
    <t>GUTIERREZ  CAMILO ANDRES</t>
  </si>
  <si>
    <t>2953222</t>
  </si>
  <si>
    <t>3007070338</t>
  </si>
  <si>
    <t>BARRIO SALAZAR GOMEZ BOGOTA 5</t>
  </si>
  <si>
    <t>FO-25-1751440</t>
  </si>
  <si>
    <t>29/10/2025 SE ESCALA PARA VISITA. LLAMAR ANTES DE VISITAR, CONFIRMAR FALLA Y DATOS | 30/10/2025 SE REALIZA VISITA A CB PARA ATENDER INCIDENTE BSE LE EXPLICA AL CLIENTE COMO GENERAR CIERRE PARCIAL Y GENERAL ,SE REALIZA BORRADO DE TRANSACCIONES YA QUE TIENE DEMASIADO TIEMPO SIN REALIZAR ,NONSE REALIZAN PRUEBAS EXITOSAS YA QUE CUENTA CON UN BLOQUEO POR ENTIDAD</t>
  </si>
  <si>
    <t>NN005094</t>
  </si>
  <si>
    <t>GALINDO ROJAS LUIS FELIPE</t>
  </si>
  <si>
    <t>2955107</t>
  </si>
  <si>
    <t>3007080830</t>
  </si>
  <si>
    <t>PTM BOGOTA MISCELANEA Y PAPELE</t>
  </si>
  <si>
    <t>FO-25-1753881</t>
  </si>
  <si>
    <t>29/10/2025 SE ESCALA PARA VISITA. LLAMAR ANTES DE VISITAR, CONFIRMAR FALLA Y DATOS | 30/10/2025 SE REALIZA VISITA DONDE COMERCIO INDICA QUE YA LA FALLA DE COMUNICACIÓN YA SE SOLUCIONÓ, Y LES ESTÁ FUNCIONANDO BIEN, CLIENTE NO PERMITE MANIPULAR DATÁFONO, MUESTRAN EVIDENCIA AL REALIZAR UNA PRUEBA DE FUNCIONAMIENTO OK</t>
  </si>
  <si>
    <t>MICHELI LOPEZ MIGUEL ANGEL</t>
  </si>
  <si>
    <t>5893</t>
  </si>
  <si>
    <t>2955394</t>
  </si>
  <si>
    <t>3007010306</t>
  </si>
  <si>
    <t>YONDO</t>
  </si>
  <si>
    <t>YONDO - ANTIOQUIA</t>
  </si>
  <si>
    <t>FO-25-1754278</t>
  </si>
  <si>
    <t>29/10/2025 SE ESCALA PARA VISITA. LLAMAR ANTES DE VISITAR, CONFIRMAR FALLA Y DATOS | 31/10/2025 SE HACEN VALIDACIONES Y CANALES DEL COMERCIO NO FUNCIONABA , SE CAMBIA DE CONEXIÓN Y DATAFONO ENCIENDE Y FUNCIONA CORRECTAMENTE VISITA EXITOSA DATAFONO OPERATIVO PRUEBAS OK</t>
  </si>
  <si>
    <t>A00IZ801</t>
  </si>
  <si>
    <t>CARTAGENA</t>
  </si>
  <si>
    <t>13001</t>
  </si>
  <si>
    <t>2958511</t>
  </si>
  <si>
    <t>3007069104</t>
  </si>
  <si>
    <t>BOLIVAR</t>
  </si>
  <si>
    <t>PTM CARTAGENA PAPELERIA Y VARI</t>
  </si>
  <si>
    <t>FO-25-1757837</t>
  </si>
  <si>
    <t>30/10/2025 SE ESCALA PARA VISITA. LLAMAR ANTES DE VISITAR, CONFIRMAR FALLA Y DATOS | 31/10/2025 SE CONTACTA AL CLIENTE INFORMA QUE PORFAVOR LLEGUEN TIPO MEDIO DIA YA QUE EL PROVEEDOR DE SERVICIOS LE REALIZO UN PROCESO Y AL PARECER TIENE INTERMITENCIA EN EL MOMENTO PERO QUE QUIERE QUE LE REVISEN EL EQUIPO | 31/10/2025 EN SITIO ESPERANDO AUTORIZACIÓN DE INGRESO | 31/10/2025 CABLE DE RED INTERNO DEL CLIENTE CON PROBLEMAS SE INSTALA UNO NUEVO Y QUEDA OPERATIVO</t>
  </si>
  <si>
    <t>A103Z510 - A104Z857</t>
  </si>
  <si>
    <t>MARTINEZ SALGUEDO ANDRES AUGUSTO</t>
  </si>
  <si>
    <t>25053</t>
  </si>
  <si>
    <t>2958915</t>
  </si>
  <si>
    <t>3007081137</t>
  </si>
  <si>
    <t>ARBELAEZ</t>
  </si>
  <si>
    <t>BARRIO CENTRO ARBELAEZ 1</t>
  </si>
  <si>
    <t>FO-25-1759236</t>
  </si>
  <si>
    <t>30/10/2025 SE ESCALA PARA VISITA. LLAMAR ANTES DE VISITAR, CONFIRMAR FALLA Y DATOS | 31/10/2025 SE LLEGA A DIRECCIÓN DE CB PARA ATENDER INCIDENTE POR FALLA EN IMPRESORA, AL LLEGAR EL SEÑOR CESAR INDICA QUE EL EQUIPO YA ESTÁ FUNCIONANDO AL PARECER NO SE HABÍA CERRADO BIEN LA TAPA PERO YA NO REQUIEREN EL SERVICIO TÉCNICO SERVICIO OPERATIVO TÉCNICO NO MANIPULA TERMINAL</t>
  </si>
  <si>
    <t>BUSTOS MORA DIEGO MANUEL</t>
  </si>
  <si>
    <t>2962437</t>
  </si>
  <si>
    <t>3007022446</t>
  </si>
  <si>
    <t>COMCARD MED MANRIQUE GARFIELD</t>
  </si>
  <si>
    <t>FO-25-1766629</t>
  </si>
  <si>
    <t>31/10/2025 EN COMUNICACIÓN CON EL SEÑOR GILBERTO NARANJO MONTOYA   AL NÚMERO 3042850311 CONFIRMA ROBO Y SE LE INDICA QUE DEBE REALIZARSE UN DENUNCIO EN LA FISCALÍA DONDE RELACIONEN LA PLACA DEL DATAFONO ROBADO TAMBIEN SE LE INDICA AL CB QUE UNA VEZ REALICE EL DENUNCIO SE COMUNIQUE A LA LINEA PARA GENERAR UN NUEVO RADICADO | 31/10/2025 EN COMUNICACIÓN CON EL SEÑOR GILBERTO NARANJO MONTOYA   AL NÚMERO 3042850311 CONFIRMA ROBO Y SE LE INDICA QUE DEBE REALIZARSE UN DENUNCIO EN LA FISCALÍA DONDE RELACIONEN LA PLACA DEL DATAFONO ROBADO TAMBIEN SE LE INDICA AL CB QUE UNA VEZ REALICE EL DENUNCIO SE COMUNIQUE A LA LINEA PARA GENERAR UN NUEVO RADICADO</t>
  </si>
  <si>
    <t>ARRAZOLA HERNANDEZ NICOLAS AUGUSTO</t>
  </si>
  <si>
    <t>TA-25-1246884</t>
  </si>
  <si>
    <t>3007014454</t>
  </si>
  <si>
    <t>BARRIO EL JARDIN II CALI</t>
  </si>
  <si>
    <t>FO-25-1748584</t>
  </si>
  <si>
    <t>29/10/2025 ‎SE LLEGA A CB Y SE HABLA CON 3 A 4 PERSONAS DIFERENTES, SE LE EXPLICA EL PROCESO A REALIZAR, QUE POR MOTIVO DE LA TELE CARGA Y LAS FALLAS QUE HAN VENIDO PRESENTANDO SE DEBE DE CAMBIAR LA VERSIÓN EN SITIO.
‎POR LO CUÁL EL JEFE O ADMINISTRADOR DEL SITIO, REALIZA UNA LLAMADA Y DICE QUE LE VA A TOMAR UNA FOTO A EL CARNET DEL TÉCNICO, EL CUÁL YO LE EXPLICO QUE  PUEDE TOMAR EL NOMBRE Y EL NÚMERO DE LA CÉDULA, Y POR MOTIVO PERSONALES NO PERMITO QUE SE LE TOME FOTOGRAFIA A EL DOCUMENTO, POR LO CUÁL EL SEÑOR SE ENOJO Y SÉ FUE DEL LUGAR. POR LO CUÁL NO HAY AUTORIZACIÓN PARA REALIZAR EL PROCESO.
‎SE LE EXPLICÓ QUE PODRÍAN LLEGAR A TENER DESCUADRE Y NO FUE AUTORIZADO INCLUISO.</t>
  </si>
  <si>
    <t>TORRES GARCIA JENDRY JOSE</t>
  </si>
  <si>
    <t>TA-25-1246902</t>
  </si>
  <si>
    <t>3007025491</t>
  </si>
  <si>
    <t>REDY EXITO PRADO</t>
  </si>
  <si>
    <t>FO-25-1748620</t>
  </si>
  <si>
    <t>31/10/2025 SE LLAMA AL PUNTO Y NOS COMENTAN QUE DESDE QUE SE ACTUALIZÓ NO SE HA TENIDO NINGÚN INCONVENIENTE</t>
  </si>
  <si>
    <t>BBBBA862</t>
  </si>
  <si>
    <t>TA-25-1246916</t>
  </si>
  <si>
    <t>3007045965</t>
  </si>
  <si>
    <t>BARRIO ARANJUEZ MEDELLIN 9</t>
  </si>
  <si>
    <t>FO-25-1748665</t>
  </si>
  <si>
    <t>31/10/2025 DEBIDO A LAS FALLAS DE LA TELECARGA SE PRCEDE A BAJAR DE VERSIÓN A 9.90</t>
  </si>
  <si>
    <t>II001560</t>
  </si>
  <si>
    <t>5282</t>
  </si>
  <si>
    <t>TA-25-1246927</t>
  </si>
  <si>
    <t>3007059962</t>
  </si>
  <si>
    <t>FREDONIA</t>
  </si>
  <si>
    <t>BARRIO FREDONIA FREDONIA 2</t>
  </si>
  <si>
    <t>FO-25-1748694</t>
  </si>
  <si>
    <t>30/10/2025 SE LLEGA AL PUNTO Y SE ENCUENTRA CON CLIENTE CERRADO, LE COMENTAMOS QUE HAY VISITA TÉCNICA Y NOS DICE QUE NO NOS PUEDE ATENDER, SE LE EXPLICA LA SITUACIÓN Y NOS COMETANTA QUE EL DATÁFONO NO ESTÁ PRESENTANDO NINGUNA FALLA, SE LE INSISTE PARA BAJAR VERSIÓN Y NOS DICE QUE NO PUEDE ATENDER Y SE RETIRA</t>
  </si>
  <si>
    <t>SOLICITUD</t>
  </si>
  <si>
    <t>DESCRIPCION</t>
  </si>
  <si>
    <t>CAUSAL ESTADO</t>
  </si>
  <si>
    <t>VALOR ACTIVIDAD</t>
  </si>
  <si>
    <t>VALOR TOTAL</t>
  </si>
  <si>
    <t>14207887</t>
  </si>
  <si>
    <t>3007046145</t>
  </si>
  <si>
    <t>OC TRASLADO</t>
  </si>
  <si>
    <t>PTM SAN MARTIN TIENDA Y MULTIS</t>
  </si>
  <si>
    <t>FO-25-1685818</t>
  </si>
  <si>
    <t>TRASLADO</t>
  </si>
  <si>
    <t>TRASLADO EXTERNO</t>
  </si>
  <si>
    <t>CANCELADO POR EL USUARIO</t>
  </si>
  <si>
    <t>15/10/2025 EN COMUNICACIÓN CON LA SEÑORA YURLEY NARANJO  AL NUMERO 3188651011  INDICA QUE YA LE REALIZARON EL TRASLADO EXTERNO, QUE ESTA OPERANDO BIEN, DIRECCION EN VAUCHER CORRECTA Y QUE NO REQUIERE VISITA | 15/10/2025 EN COMUNICACIÓN CON LA SEÑORA YURLEY NARANJO  AL NUMERO 3188651011  INDICA QUE YA LE REALIZARON EL TRASLADO EXTERNO, QUE ESTA OPERANDO BIEN, DIRECCION EN VAUCHER CORRECTA Y QUE NO REQUIERE VISITA | 15/10/2025 EN COMUNICACIÓN CON LA SEÑORA YURLEY NARANJO  AL NUMERO 3188651011  INDICA QUE YA LE REALIZARON EL TRASLADO EXTERNO, QUE ESTA OPERANDO BIEN, DIRECCION EN VAUCHER CORRECTA Y QUE NO REQUIERE VISITA</t>
  </si>
  <si>
    <t>GARCIA CHAVARRIA TATIANA EDELMIRA</t>
  </si>
  <si>
    <t>14207963</t>
  </si>
  <si>
    <t>3007070125</t>
  </si>
  <si>
    <t>PTM CALI  AUTOSERVICIO EL CRUC</t>
  </si>
  <si>
    <t>FO-25-1685815</t>
  </si>
  <si>
    <t>15/10/2025 EN COMUNICACIÓN CON LA SEÑORA ADRIANA MARIA CHAPARRO PARRA AL NUMERO 3156756178 INDICA QUE YA LE REALIZARON EL TRASLADO EXTERNO, QUE ESTA OPERANDO BIEN, DIRECCION EN VAUCHER CORRECTA Y QUE NO REQUIERE VISITA | 15/10/2025 EN COMUNICACIÓN CON LA SEÑORA ADRIANA MARIA CHAPARRO PARRA AL NUMERO 3156756178 INDICA QUE YA LE REALIZARON EL TRASLADO EXTERNO, QUE ESTA OPERANDO BIEN, DIRECCION EN VAUCHER CORRECTA Y QUE NO REQUIERE VISITA | 15/10/2025 EN COMUNICACIÓN CON LA SEÑORA ADRIANA MARIA CHAPARRO PARRA AL NUMERO 3156756178 INDICA QUE YA LE REALIZARON EL TRASLADO EXTERNO, QUE ESTA OPERANDO BIEN, DIRECCION EN VAUCHER CORRECTA Y QUE NO REQUIERE VISITA</t>
  </si>
  <si>
    <t>14208390</t>
  </si>
  <si>
    <t>3007078662</t>
  </si>
  <si>
    <t>DISTRICOL HERMANOS PERLIZ</t>
  </si>
  <si>
    <t>FO-25-1705983</t>
  </si>
  <si>
    <t>20/10/2025 SE INTENTA COMUNICACIÓN AL NÚMERO 3001108807 PERO NO HAY CONTACTO, SE ESCALA PARA VISITA</t>
  </si>
  <si>
    <t>14215933</t>
  </si>
  <si>
    <t>3007076503</t>
  </si>
  <si>
    <t>BARRIO EL PORVENIR FLORENCIA 2</t>
  </si>
  <si>
    <t>FO-25-1726264</t>
  </si>
  <si>
    <t>23/10/2025 SE CONFIRMAN DATOS Y SOLICITUD CON EL USUARIO, SE ESCALA PARA VIISTA-POR FAVOR LLAMAR ANTES DE DESPLAZARSE</t>
  </si>
  <si>
    <t>5364</t>
  </si>
  <si>
    <t>14216119</t>
  </si>
  <si>
    <t>3007030864</t>
  </si>
  <si>
    <t>JARDIN</t>
  </si>
  <si>
    <t>COMCARD JARDIN CITARA</t>
  </si>
  <si>
    <t>FO-25-1707954</t>
  </si>
  <si>
    <t>CANCELADO POR LA RED-SOPORTE TELEFONICO</t>
  </si>
  <si>
    <t>20/10/2025 , EN COMUNICACIÓN CON EL SEÑOR DIEGO SALGADO AL NÚMERO 3128705069 NOS INDICA QUE LA DIRECCIÓN CORRECTA CALLE 9 # 5 - 50 LA CUAL NO COINCIDE CON LA DE LA LISTA DE CHEQUEO, SE ESCALA | 20/10/2025 , EN COMUNICACIÓN CON EL SEÑOR DIEGO SALGADO AL NÚMERO 3128705069 NOS INDICA QUE LA DIRECCIÓN CORRECTA CALLE 9 # 5 - 50 LA CUAL NO COINCIDE CON LA DE LA LISTA DE CHEQUEO | 20/10/2025 , EN COMUNICACIÓN CON EL SEÑOR DIEGO SALGADO AL NÚMERO 3128705069 NOS INDICA QUE LA DIRECCIÓN CORRECTA CALLE 9 # 5 - 50 LA CUAL NO COINCIDE CON LA DE LA LISTA DE CHEQUEO</t>
  </si>
  <si>
    <t>14223011</t>
  </si>
  <si>
    <t>FO-25-1710859</t>
  </si>
  <si>
    <t>21/10/2025 EN COMUNICACIÓN CON LA SRA LUZ PESCADOR AL NÚMERO  3154164882, NOS INFORMA QUE AÚN NO CUENTA CON INTERNET EN LA NUEVA DIRECCIÓN, SE LE INDICA QUE CUANDO TENGA TODAS LAS ADECUACIONES LITSAS SE COMUNIQUE NUEVAMENTE A LA LINEA PARA SOLICITAR EL TRASLADO</t>
  </si>
  <si>
    <t>CONTRERAS ROSSI LITZY YULIETH</t>
  </si>
  <si>
    <t>54001</t>
  </si>
  <si>
    <t>14227681</t>
  </si>
  <si>
    <t>3007071024</t>
  </si>
  <si>
    <t>DISTRICOL MAKARENA CEN BELLEZA</t>
  </si>
  <si>
    <t>FO-25-1731950 | FO-25-1710747</t>
  </si>
  <si>
    <t>EJECUTADO EXITOSO</t>
  </si>
  <si>
    <t>27/10/2025 SE REALIZÓ VISITA A LA DIRECCIÓN ASIGNADA PARA EL TRASLADO Y SE REALIZA TRASLADO DE DATAFONO, LECTORA  SE REALIZA INCIALIZACION DE EQUIPO, DIRECCIÓN OK, PRUEBAS EXITOSAS</t>
  </si>
  <si>
    <t>MN00C098</t>
  </si>
  <si>
    <t>MORA VEGA JEAMPIER</t>
  </si>
  <si>
    <t>19001</t>
  </si>
  <si>
    <t>14256898</t>
  </si>
  <si>
    <t>3007028623</t>
  </si>
  <si>
    <t>POPAYAN</t>
  </si>
  <si>
    <t>BARRIO MODELO 6 POPAYAN</t>
  </si>
  <si>
    <t>FO-25-1747899</t>
  </si>
  <si>
    <t>28/10/2025 NOS LLEGA TRASLADO CON RADICADO 14256898  PARA EL PUNTO 28623 PERO REALIZANDO VALIDACIONES Y LA USUARIA TAMBIÉN NOS INFORMO QUE PERTENECEN A WOMPI, SE PROCEDE A CERRAR EL CASO. | 28/10/2025 NOS LLEGA TRASLADO CON RADICADO 14256898  PARA EL PUNTO 28623 PERO REALIZANDO VALIDACIONES Y LA USUARIA TAMBIÉN NOS INFORMO QUE PERTENECEN A WOMPI, SE PROCEDE A CERRAR EL CASO.</t>
  </si>
  <si>
    <t>TORO CARDONA ELIZABETH</t>
  </si>
  <si>
    <t>14288732</t>
  </si>
  <si>
    <t>3007069977</t>
  </si>
  <si>
    <t>PTM SOACHA  PAPELERIA Y VARIED</t>
  </si>
  <si>
    <t>FO-25-1760907</t>
  </si>
  <si>
    <t>PETICIÓN USUARIO</t>
  </si>
  <si>
    <t>30/10/2025 SE LLAMA A LOS 2 NUMERO NO HAY COMUNICACION | 31/10/2025 SE LLEGA A DIRECCIÓN PARA REALIZAR TRASLADO, EN SITIO EN SERIE CARLOS INDICA QUE NO HAN SOLICITADO TRASLADO DE VALIDA UN VOUCHER EN EL MOMENTO Y EFECTIVAMENTE LA DIRECCIÓN ESTÁ OK, SE ESCALA A COORDINADOR VALIDANDO QUE LOS DATOS ESTÁN OK NO SE MANIPULA TERMINAL CLIENTE REQUIERE DESBLOQUEO PARA PODER REALIZAR TRANSACCIONES EL CUAL SE ATRIBUYE A PTM TÉCNICO NO MANIPULA TERMINAL NO FIRMAN EL CONTROL</t>
  </si>
  <si>
    <t>14290565</t>
  </si>
  <si>
    <t>3007076569</t>
  </si>
  <si>
    <t>BARRIO SAN JOSE VILLA DE SAN DIEGO DE UBATE</t>
  </si>
  <si>
    <t>FO-25-1760674 | FO-25-1747837</t>
  </si>
  <si>
    <t>30/10/2025 SE REALIZA VISITA A COMERCIO, SE PROCEDE A REALIZAR EL TRASLADO DE DATAFONO - LECTOR SE CREAN USUARIOS, PRUEBAS OKAY.</t>
  </si>
  <si>
    <t>103ZZ249</t>
  </si>
  <si>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</si>
  <si>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</si>
  <si>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</si>
  <si>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</si>
  <si>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</si>
  <si>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</si>
  <si>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</si>
  <si>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</si>
  <si>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</si>
  <si>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Adecuaciones CB</t>
  </si>
  <si>
    <t>Incidentes</t>
  </si>
  <si>
    <t>Ordenes de Cambio</t>
  </si>
  <si>
    <t>Tiquetes</t>
  </si>
  <si>
    <t>SUBTOTAL</t>
  </si>
  <si>
    <t>Iva</t>
  </si>
  <si>
    <t>INCIDENTE 2890962</t>
  </si>
  <si>
    <t>ARAUCA-SARAVENA-ARAUCA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</si>
</sst>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 #,##0.00_-;\-&quot;$&quot;\ * #,##0.00_-;_-&quot;$&quot;\ * &quot;-&quot;??_-;_-@_-"/>
    <numFmt numFmtId="43" formatCode="_-* #,##0.00_-;\-* #,##0.00_-;_-* &quot;-&quot;??_-;_-@_-"/>
    <numFmt numFmtId="164" formatCode="_(&quot;$&quot;\ * #,##0_);_(&quot;$&quot;\ * \(#,##0\);_(&quot;$&quot;\ * &quot;-&quot;??_);_(@_)"/>
    <numFmt numFmtId="165" formatCode="_(&quot;$&quot;\ * #,##0.00_);_(&quot;$&quot;\ * \(#,##0.00\);_(&quot;$&quot;\ * &quot;-&quot;??_);_(@_)"/>
    <numFmt numFmtId="166" formatCode="dd/mm/yyyy"/>
    <numFmt numFmtId="167" formatCode="_ &quot;$&quot;\ * #,##0_ ;_ &quot;$&quot;\ * \-#,##0_ ;_ &quot;$&quot;\ * &quot;-&quot;??_ ;_ @_ "/>
    <numFmt numFmtId="168" formatCode="[$-409]d\-m\-yy\ h:mm\ AM/PM;@"/>
    <numFmt numFmtId="169" formatCode="[$-240A]dddd\,\ dd&quot; de &quot;mmmm&quot; de &quot;yyyy"/>
    <numFmt numFmtId="170" formatCode="_ * #,##0.00_ ;_ * \-#,##0.00_ ;_ * &quot;-&quot;??_ ;_ @_ "/>
    <numFmt numFmtId="171" formatCode="_-&quot;$&quot;* #,##0.00_-;\-&quot;$&quot;* #,##0.00_-;_-&quot;$&quot;* &quot;-&quot;??_-;_-@_-"/>
    <numFmt numFmtId="172" formatCode="_ [$€-2]\ * #,##0.00_ ;_ [$€-2]\ * \-#,##0.00_ ;_ [$€-2]\ * &quot;-&quot;??_ "/>
    <numFmt numFmtId="173" formatCode="[$-C0A]d\-mmm\-yy;@"/>
    <numFmt numFmtId="174" formatCode="[$-240A]General"/>
    <numFmt numFmtId="175" formatCode="_-* #,##0.00\ _€_-;\-* #,##0.00\ _€_-;_-* &quot;-&quot;??\ _€_-;_-@_-"/>
    <numFmt numFmtId="176" formatCode="0.000%"/>
    <numFmt numFmtId="177" formatCode="_ * #,##0.00_ ;_ * \-#,##0.00_ ;_ * \-??_ ;_ @_ "/>
    <numFmt numFmtId="178" formatCode="_ &quot;$&quot;\ * #,##0.00_ ;_ &quot;$&quot;\ * \-#,##0.00_ ;_ &quot;$&quot;\ * &quot;-&quot;??_ ;_ @_ "/>
    <numFmt numFmtId="179" formatCode="_-&quot;$&quot;\ * #,##0_-;\-&quot;$&quot;\ * #,##0_-;_-&quot;$&quot;\ * &quot;-&quot;??_-;_-@_-"/>
    <numFmt numFmtId="180" formatCode="&quot;$&quot;\ #,##0"/>
    <numFmt numFmtId="181" formatCode="_-[$$-240A]\ * #,##0.00_-;\-[$$-240A]\ * #,##0.00_-;_-[$$-240A]\ * &quot;-&quot;??_-;_-@_-"/>
  </numFmts>
  <fonts count="81">
    <font>
      <sz val="10"/>
      <name val="Arial"/>
    </font>
    <font>
      <sz val="11"/>
      <color theme="1"/>
      <name val="Calibri"/>
      <family val="2"/>
      <scheme val="minor"/>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b/>
      <sz val="10"/>
      <name val="Gelion Thin"/>
    </font>
    <font>
      <sz val="8"/>
      <color rgb="FF000000"/>
      <name val="Gelion Thin"/>
    </font>
    <font>
      <b/>
      <sz val="11"/>
      <color rgb="FFFFFFFF"/>
      <name val="Arial"/>
      <family val="2"/>
    </font>
    <font>
      <sz val="10"/>
      <name val="Arial"/>
      <family val="2"/>
    </font>
    <font>
      <b/>
      <sz val="10"/>
      <color rgb="FF00B050"/>
      <name val="Arial"/>
      <family val="2"/>
    </font>
    <font>
      <sz val="8"/>
      <name val="Gelion Thin"/>
    </font>
    <font>
      <sz val="8"/>
      <name val="Gelion Light"/>
    </font>
    <font>
      <sz val="9"/>
      <color rgb="FF000000"/>
      <name val="Courier New"/>
      <family val="3"/>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BAF50A"/>
        <bgColor indexed="64"/>
      </patternFill>
    </fill>
    <fill>
      <patternFill patternType="solid">
        <fgColor theme="6" tint="0.79998168889431442"/>
        <bgColor indexed="64"/>
      </patternFill>
    </fill>
    <fill>
      <patternFill patternType="solid">
        <fgColor rgb="FF001D62"/>
        <bgColor rgb="FF001D62"/>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9247">
    <xf numFmtId="0" fontId="0" fillId="0" borderId="0"/>
    <xf numFmtId="167" fontId="4" fillId="0" borderId="0"/>
    <xf numFmtId="0" fontId="4" fillId="0" borderId="0"/>
    <xf numFmtId="0" fontId="4" fillId="0" borderId="0"/>
    <xf numFmtId="0" fontId="1" fillId="0" borderId="0"/>
    <xf numFmtId="165" fontId="4" fillId="0" borderId="0"/>
    <xf numFmtId="0" fontId="4" fillId="0" borderId="0"/>
    <xf numFmtId="168" fontId="1" fillId="0" borderId="0"/>
    <xf numFmtId="0" fontId="2" fillId="0" borderId="0"/>
    <xf numFmtId="169" fontId="4" fillId="0" borderId="0"/>
    <xf numFmtId="168" fontId="1" fillId="0" borderId="0"/>
    <xf numFmtId="0" fontId="3" fillId="0" borderId="0"/>
    <xf numFmtId="0" fontId="3" fillId="0" borderId="0"/>
    <xf numFmtId="0" fontId="1" fillId="0" borderId="0"/>
    <xf numFmtId="0" fontId="1" fillId="0" borderId="0"/>
    <xf numFmtId="0" fontId="1" fillId="0" borderId="0"/>
    <xf numFmtId="43" fontId="1" fillId="0" borderId="0"/>
    <xf numFmtId="0" fontId="4" fillId="0" borderId="0"/>
    <xf numFmtId="170" fontId="4" fillId="0" borderId="0"/>
    <xf numFmtId="0" fontId="4" fillId="0" borderId="0"/>
    <xf numFmtId="168" fontId="4" fillId="0" borderId="0"/>
    <xf numFmtId="0" fontId="1" fillId="0" borderId="0"/>
    <xf numFmtId="168" fontId="4" fillId="0" borderId="0"/>
    <xf numFmtId="0" fontId="4" fillId="0" borderId="0"/>
    <xf numFmtId="0" fontId="1" fillId="0" borderId="0"/>
    <xf numFmtId="0" fontId="1" fillId="0" borderId="0"/>
    <xf numFmtId="0" fontId="1" fillId="0" borderId="0"/>
    <xf numFmtId="0" fontId="4" fillId="0" borderId="0"/>
    <xf numFmtId="43" fontId="4" fillId="0" borderId="0"/>
    <xf numFmtId="0" fontId="4" fillId="0" borderId="0"/>
    <xf numFmtId="165" fontId="4" fillId="0" borderId="0"/>
    <xf numFmtId="165" fontId="1" fillId="0" borderId="0"/>
    <xf numFmtId="0" fontId="5" fillId="0" borderId="0"/>
    <xf numFmtId="0" fontId="1" fillId="0" borderId="0"/>
    <xf numFmtId="168" fontId="1" fillId="0" borderId="0"/>
    <xf numFmtId="0" fontId="1" fillId="0" borderId="0"/>
    <xf numFmtId="0" fontId="1" fillId="0" borderId="0"/>
    <xf numFmtId="170" fontId="4"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xf numFmtId="43" fontId="1" fillId="0" borderId="0"/>
    <xf numFmtId="165" fontId="1" fillId="0" borderId="0"/>
    <xf numFmtId="171" fontId="5" fillId="0" borderId="0"/>
    <xf numFmtId="165"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168" fontId="4" fillId="0" borderId="0"/>
    <xf numFmtId="170" fontId="4" fillId="0" borderId="0"/>
    <xf numFmtId="0" fontId="1" fillId="0" borderId="0"/>
    <xf numFmtId="0" fontId="1" fillId="0" borderId="0"/>
    <xf numFmtId="0" fontId="5" fillId="0" borderId="0"/>
    <xf numFmtId="0" fontId="1" fillId="0" borderId="0"/>
    <xf numFmtId="0" fontId="4" fillId="0" borderId="0"/>
    <xf numFmtId="0" fontId="1" fillId="0" borderId="0"/>
    <xf numFmtId="0" fontId="1" fillId="0" borderId="0"/>
    <xf numFmtId="171" fontId="1" fillId="0" borderId="0"/>
    <xf numFmtId="165" fontId="4" fillId="0" borderId="0"/>
    <xf numFmtId="165" fontId="1" fillId="0" borderId="0"/>
    <xf numFmtId="0" fontId="1" fillId="0" borderId="0"/>
    <xf numFmtId="171" fontId="1" fillId="0" borderId="0"/>
    <xf numFmtId="0" fontId="1" fillId="0" borderId="0"/>
    <xf numFmtId="171" fontId="1" fillId="0" borderId="0"/>
    <xf numFmtId="0"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2" fillId="33" borderId="0"/>
    <xf numFmtId="0" fontId="1" fillId="10" borderId="0"/>
    <xf numFmtId="0" fontId="2" fillId="33" borderId="0"/>
    <xf numFmtId="0" fontId="2" fillId="33" borderId="0"/>
    <xf numFmtId="0" fontId="1" fillId="10" borderId="0"/>
    <xf numFmtId="0" fontId="1" fillId="10" borderId="0"/>
    <xf numFmtId="0" fontId="1" fillId="10" borderId="0"/>
    <xf numFmtId="0" fontId="1" fillId="10" borderId="0"/>
    <xf numFmtId="0" fontId="2" fillId="34" borderId="0"/>
    <xf numFmtId="0" fontId="1" fillId="14" borderId="0"/>
    <xf numFmtId="0" fontId="2" fillId="34" borderId="0"/>
    <xf numFmtId="0" fontId="2" fillId="34" borderId="0"/>
    <xf numFmtId="0" fontId="1" fillId="14" borderId="0"/>
    <xf numFmtId="0" fontId="1" fillId="14" borderId="0"/>
    <xf numFmtId="0" fontId="1" fillId="14" borderId="0"/>
    <xf numFmtId="0" fontId="1" fillId="14" borderId="0"/>
    <xf numFmtId="0" fontId="2" fillId="35" borderId="0"/>
    <xf numFmtId="0" fontId="1" fillId="18" borderId="0"/>
    <xf numFmtId="0" fontId="2" fillId="35" borderId="0"/>
    <xf numFmtId="0" fontId="2" fillId="35" borderId="0"/>
    <xf numFmtId="0" fontId="1" fillId="18" borderId="0"/>
    <xf numFmtId="0" fontId="1" fillId="18" borderId="0"/>
    <xf numFmtId="0" fontId="1" fillId="18" borderId="0"/>
    <xf numFmtId="0" fontId="1" fillId="18" borderId="0"/>
    <xf numFmtId="0" fontId="2" fillId="36" borderId="0"/>
    <xf numFmtId="0" fontId="1" fillId="22" borderId="0"/>
    <xf numFmtId="0" fontId="2" fillId="36" borderId="0"/>
    <xf numFmtId="0" fontId="2" fillId="36" borderId="0"/>
    <xf numFmtId="0" fontId="1" fillId="22" borderId="0"/>
    <xf numFmtId="0" fontId="1" fillId="22" borderId="0"/>
    <xf numFmtId="0" fontId="1" fillId="22" borderId="0"/>
    <xf numFmtId="0" fontId="1" fillId="22" borderId="0"/>
    <xf numFmtId="0" fontId="2" fillId="37" borderId="0"/>
    <xf numFmtId="0" fontId="1" fillId="26" borderId="0"/>
    <xf numFmtId="0" fontId="2" fillId="37" borderId="0"/>
    <xf numFmtId="0" fontId="2" fillId="37" borderId="0"/>
    <xf numFmtId="0" fontId="1" fillId="26" borderId="0"/>
    <xf numFmtId="0" fontId="1" fillId="26" borderId="0"/>
    <xf numFmtId="0" fontId="1" fillId="26" borderId="0"/>
    <xf numFmtId="0" fontId="1" fillId="26" borderId="0"/>
    <xf numFmtId="0" fontId="2" fillId="38" borderId="0"/>
    <xf numFmtId="0" fontId="1" fillId="30" borderId="0"/>
    <xf numFmtId="0" fontId="2" fillId="38" borderId="0"/>
    <xf numFmtId="0" fontId="2" fillId="38" borderId="0"/>
    <xf numFmtId="0" fontId="1" fillId="30" borderId="0"/>
    <xf numFmtId="0" fontId="1" fillId="30" borderId="0"/>
    <xf numFmtId="0" fontId="1" fillId="30" borderId="0"/>
    <xf numFmtId="0" fontId="1" fillId="30" borderId="0"/>
    <xf numFmtId="0" fontId="25" fillId="39" borderId="0"/>
    <xf numFmtId="0" fontId="25" fillId="40" borderId="0"/>
    <xf numFmtId="0" fontId="25" fillId="41" borderId="0"/>
    <xf numFmtId="0" fontId="25" fillId="42" borderId="0"/>
    <xf numFmtId="0" fontId="25" fillId="43" borderId="0"/>
    <xf numFmtId="0" fontId="25"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2" fillId="45" borderId="0"/>
    <xf numFmtId="0" fontId="1" fillId="11" borderId="0"/>
    <xf numFmtId="0" fontId="2" fillId="45" borderId="0"/>
    <xf numFmtId="0" fontId="2" fillId="45" borderId="0"/>
    <xf numFmtId="0" fontId="1" fillId="11" borderId="0"/>
    <xf numFmtId="0" fontId="1" fillId="11" borderId="0"/>
    <xf numFmtId="0" fontId="1" fillId="11" borderId="0"/>
    <xf numFmtId="0" fontId="1" fillId="11" borderId="0"/>
    <xf numFmtId="0" fontId="2" fillId="46" borderId="0"/>
    <xf numFmtId="0" fontId="1" fillId="15" borderId="0"/>
    <xf numFmtId="0" fontId="2" fillId="46" borderId="0"/>
    <xf numFmtId="0" fontId="2" fillId="46" borderId="0"/>
    <xf numFmtId="0" fontId="1" fillId="15" borderId="0"/>
    <xf numFmtId="0" fontId="1" fillId="15" borderId="0"/>
    <xf numFmtId="0" fontId="1" fillId="15" borderId="0"/>
    <xf numFmtId="0" fontId="1" fillId="15" borderId="0"/>
    <xf numFmtId="0" fontId="2" fillId="47" borderId="0"/>
    <xf numFmtId="0" fontId="1" fillId="19" borderId="0"/>
    <xf numFmtId="0" fontId="2" fillId="47" borderId="0"/>
    <xf numFmtId="0" fontId="2" fillId="47" borderId="0"/>
    <xf numFmtId="0" fontId="1" fillId="19" borderId="0"/>
    <xf numFmtId="0" fontId="1" fillId="19" borderId="0"/>
    <xf numFmtId="0" fontId="1" fillId="19" borderId="0"/>
    <xf numFmtId="0" fontId="1" fillId="19" borderId="0"/>
    <xf numFmtId="0" fontId="2" fillId="36" borderId="0"/>
    <xf numFmtId="0" fontId="1" fillId="23" borderId="0"/>
    <xf numFmtId="0" fontId="2" fillId="36" borderId="0"/>
    <xf numFmtId="0" fontId="2" fillId="36" borderId="0"/>
    <xf numFmtId="0" fontId="1" fillId="23" borderId="0"/>
    <xf numFmtId="0" fontId="1" fillId="23" borderId="0"/>
    <xf numFmtId="0" fontId="1" fillId="23" borderId="0"/>
    <xf numFmtId="0" fontId="1" fillId="23" borderId="0"/>
    <xf numFmtId="0" fontId="2" fillId="45" borderId="0"/>
    <xf numFmtId="0" fontId="1" fillId="27" borderId="0"/>
    <xf numFmtId="0" fontId="2" fillId="45" borderId="0"/>
    <xf numFmtId="0" fontId="2" fillId="45" borderId="0"/>
    <xf numFmtId="0" fontId="1" fillId="27" borderId="0"/>
    <xf numFmtId="0" fontId="1" fillId="27" borderId="0"/>
    <xf numFmtId="0" fontId="1" fillId="27" borderId="0"/>
    <xf numFmtId="0" fontId="1" fillId="27" borderId="0"/>
    <xf numFmtId="0" fontId="2" fillId="48" borderId="0"/>
    <xf numFmtId="0" fontId="1" fillId="31" borderId="0"/>
    <xf numFmtId="0" fontId="2" fillId="48" borderId="0"/>
    <xf numFmtId="0" fontId="2" fillId="48" borderId="0"/>
    <xf numFmtId="0" fontId="1" fillId="31" borderId="0"/>
    <xf numFmtId="0" fontId="1" fillId="31" borderId="0"/>
    <xf numFmtId="0" fontId="1" fillId="31" borderId="0"/>
    <xf numFmtId="0" fontId="1" fillId="31" borderId="0"/>
    <xf numFmtId="0" fontId="25" fillId="49" borderId="0"/>
    <xf numFmtId="0" fontId="25" fillId="50" borderId="0"/>
    <xf numFmtId="0" fontId="25" fillId="51" borderId="0"/>
    <xf numFmtId="0" fontId="25" fillId="52" borderId="0"/>
    <xf numFmtId="0" fontId="25" fillId="53" borderId="0"/>
    <xf numFmtId="0" fontId="25" fillId="54" borderId="0"/>
    <xf numFmtId="0" fontId="22" fillId="12" borderId="0"/>
    <xf numFmtId="0" fontId="22" fillId="12" borderId="0"/>
    <xf numFmtId="0" fontId="22" fillId="12" borderId="0"/>
    <xf numFmtId="0" fontId="22" fillId="12" borderId="0"/>
    <xf numFmtId="0" fontId="22" fillId="12" borderId="0"/>
    <xf numFmtId="0" fontId="22" fillId="16" borderId="0"/>
    <xf numFmtId="0" fontId="22" fillId="16" borderId="0"/>
    <xf numFmtId="0" fontId="22" fillId="16" borderId="0"/>
    <xf numFmtId="0" fontId="22" fillId="16" borderId="0"/>
    <xf numFmtId="0" fontId="22" fillId="16" borderId="0"/>
    <xf numFmtId="0" fontId="22" fillId="20" borderId="0"/>
    <xf numFmtId="0" fontId="22" fillId="20" borderId="0"/>
    <xf numFmtId="0" fontId="22" fillId="20" borderId="0"/>
    <xf numFmtId="0" fontId="22" fillId="20" borderId="0"/>
    <xf numFmtId="0" fontId="22" fillId="20" borderId="0"/>
    <xf numFmtId="0" fontId="22" fillId="24" borderId="0"/>
    <xf numFmtId="0" fontId="22" fillId="24" borderId="0"/>
    <xf numFmtId="0" fontId="22" fillId="24" borderId="0"/>
    <xf numFmtId="0" fontId="22" fillId="24" borderId="0"/>
    <xf numFmtId="0" fontId="22" fillId="24" borderId="0"/>
    <xf numFmtId="0" fontId="22" fillId="28" borderId="0"/>
    <xf numFmtId="0" fontId="22" fillId="28" borderId="0"/>
    <xf numFmtId="0" fontId="22" fillId="28" borderId="0"/>
    <xf numFmtId="0" fontId="22" fillId="28" borderId="0"/>
    <xf numFmtId="0" fontId="22" fillId="28" borderId="0"/>
    <xf numFmtId="0" fontId="22" fillId="32" borderId="0"/>
    <xf numFmtId="0" fontId="22" fillId="32" borderId="0"/>
    <xf numFmtId="0" fontId="22" fillId="32" borderId="0"/>
    <xf numFmtId="0" fontId="22" fillId="32" borderId="0"/>
    <xf numFmtId="0" fontId="22" fillId="32" borderId="0"/>
    <xf numFmtId="0" fontId="26" fillId="55" borderId="0"/>
    <xf numFmtId="0" fontId="22" fillId="12" borderId="0"/>
    <xf numFmtId="0" fontId="26" fillId="55" borderId="0"/>
    <xf numFmtId="0" fontId="26" fillId="55" borderId="0"/>
    <xf numFmtId="0" fontId="22" fillId="12" borderId="0"/>
    <xf numFmtId="0" fontId="22" fillId="12" borderId="0"/>
    <xf numFmtId="0" fontId="22" fillId="12" borderId="0"/>
    <xf numFmtId="0" fontId="22" fillId="12" borderId="0"/>
    <xf numFmtId="0" fontId="26" fillId="46" borderId="0"/>
    <xf numFmtId="0" fontId="22" fillId="16" borderId="0"/>
    <xf numFmtId="0" fontId="26" fillId="46" borderId="0"/>
    <xf numFmtId="0" fontId="26" fillId="46" borderId="0"/>
    <xf numFmtId="0" fontId="22" fillId="16" borderId="0"/>
    <xf numFmtId="0" fontId="22" fillId="16" borderId="0"/>
    <xf numFmtId="0" fontId="22" fillId="16" borderId="0"/>
    <xf numFmtId="0" fontId="22" fillId="16" borderId="0"/>
    <xf numFmtId="0" fontId="26" fillId="47" borderId="0"/>
    <xf numFmtId="0" fontId="22" fillId="20" borderId="0"/>
    <xf numFmtId="0" fontId="26" fillId="47" borderId="0"/>
    <xf numFmtId="0" fontId="26" fillId="47" borderId="0"/>
    <xf numFmtId="0" fontId="22" fillId="20" borderId="0"/>
    <xf numFmtId="0" fontId="22" fillId="20" borderId="0"/>
    <xf numFmtId="0" fontId="22" fillId="20" borderId="0"/>
    <xf numFmtId="0" fontId="22" fillId="20" borderId="0"/>
    <xf numFmtId="0" fontId="26" fillId="56" borderId="0"/>
    <xf numFmtId="0" fontId="22" fillId="24" borderId="0"/>
    <xf numFmtId="0" fontId="26" fillId="56" borderId="0"/>
    <xf numFmtId="0" fontId="26" fillId="56" borderId="0"/>
    <xf numFmtId="0" fontId="22" fillId="24" borderId="0"/>
    <xf numFmtId="0" fontId="22" fillId="24" borderId="0"/>
    <xf numFmtId="0" fontId="22" fillId="24" borderId="0"/>
    <xf numFmtId="0" fontId="22" fillId="24" borderId="0"/>
    <xf numFmtId="0" fontId="26" fillId="57" borderId="0"/>
    <xf numFmtId="0" fontId="22" fillId="28" borderId="0"/>
    <xf numFmtId="0" fontId="26" fillId="57" borderId="0"/>
    <xf numFmtId="0" fontId="26" fillId="57" borderId="0"/>
    <xf numFmtId="0" fontId="22" fillId="28" borderId="0"/>
    <xf numFmtId="0" fontId="22" fillId="28" borderId="0"/>
    <xf numFmtId="0" fontId="22" fillId="28" borderId="0"/>
    <xf numFmtId="0" fontId="22" fillId="28" borderId="0"/>
    <xf numFmtId="0" fontId="26" fillId="58" borderId="0"/>
    <xf numFmtId="0" fontId="22" fillId="32" borderId="0"/>
    <xf numFmtId="0" fontId="26" fillId="58" borderId="0"/>
    <xf numFmtId="0" fontId="26" fillId="58" borderId="0"/>
    <xf numFmtId="0" fontId="22" fillId="32" borderId="0"/>
    <xf numFmtId="0" fontId="22" fillId="32" borderId="0"/>
    <xf numFmtId="0" fontId="22" fillId="32" borderId="0"/>
    <xf numFmtId="0" fontId="22" fillId="32" borderId="0"/>
    <xf numFmtId="0" fontId="27" fillId="59" borderId="0"/>
    <xf numFmtId="0" fontId="27" fillId="60" borderId="0"/>
    <xf numFmtId="0" fontId="27" fillId="61" borderId="0"/>
    <xf numFmtId="0" fontId="27" fillId="62" borderId="0"/>
    <xf numFmtId="0" fontId="27" fillId="63" borderId="0"/>
    <xf numFmtId="0" fontId="27" fillId="64" borderId="0"/>
    <xf numFmtId="0" fontId="22" fillId="9" borderId="0"/>
    <xf numFmtId="0" fontId="22" fillId="9" borderId="0"/>
    <xf numFmtId="0" fontId="22" fillId="9" borderId="0"/>
    <xf numFmtId="0" fontId="22" fillId="9" borderId="0"/>
    <xf numFmtId="0" fontId="22" fillId="9" borderId="0"/>
    <xf numFmtId="0" fontId="22" fillId="13" borderId="0"/>
    <xf numFmtId="0" fontId="22" fillId="13" borderId="0"/>
    <xf numFmtId="0" fontId="22" fillId="13" borderId="0"/>
    <xf numFmtId="0" fontId="22" fillId="13" borderId="0"/>
    <xf numFmtId="0" fontId="22" fillId="13" borderId="0"/>
    <xf numFmtId="0" fontId="22" fillId="17" borderId="0"/>
    <xf numFmtId="0" fontId="22" fillId="17" borderId="0"/>
    <xf numFmtId="0" fontId="22" fillId="17" borderId="0"/>
    <xf numFmtId="0" fontId="22" fillId="17" borderId="0"/>
    <xf numFmtId="0" fontId="22" fillId="17" borderId="0"/>
    <xf numFmtId="0" fontId="22" fillId="21" borderId="0"/>
    <xf numFmtId="0" fontId="22" fillId="21" borderId="0"/>
    <xf numFmtId="0" fontId="22" fillId="21" borderId="0"/>
    <xf numFmtId="0" fontId="22" fillId="21" borderId="0"/>
    <xf numFmtId="0" fontId="22" fillId="21" borderId="0"/>
    <xf numFmtId="0" fontId="22" fillId="25" borderId="0"/>
    <xf numFmtId="0" fontId="22" fillId="25" borderId="0"/>
    <xf numFmtId="0" fontId="22" fillId="25" borderId="0"/>
    <xf numFmtId="0" fontId="22" fillId="25" borderId="0"/>
    <xf numFmtId="0" fontId="22" fillId="25" borderId="0"/>
    <xf numFmtId="0" fontId="22" fillId="29" borderId="0"/>
    <xf numFmtId="0" fontId="22" fillId="29" borderId="0"/>
    <xf numFmtId="0" fontId="22" fillId="29" borderId="0"/>
    <xf numFmtId="0" fontId="22" fillId="29" borderId="0"/>
    <xf numFmtId="0" fontId="22" fillId="29" borderId="0"/>
    <xf numFmtId="0" fontId="13" fillId="3" borderId="0"/>
    <xf numFmtId="0" fontId="13" fillId="3" borderId="0"/>
    <xf numFmtId="0" fontId="13" fillId="3" borderId="0"/>
    <xf numFmtId="0" fontId="13" fillId="3" borderId="0"/>
    <xf numFmtId="0" fontId="13" fillId="3" borderId="0"/>
    <xf numFmtId="0" fontId="28" fillId="35" borderId="0"/>
    <xf numFmtId="0" fontId="12" fillId="2" borderId="0"/>
    <xf numFmtId="0" fontId="28" fillId="35" borderId="0"/>
    <xf numFmtId="0" fontId="12" fillId="2" borderId="0"/>
    <xf numFmtId="0" fontId="28" fillId="35" borderId="0"/>
    <xf numFmtId="0" fontId="28" fillId="35" borderId="0"/>
    <xf numFmtId="0" fontId="28" fillId="35" borderId="0"/>
    <xf numFmtId="0" fontId="12" fillId="2" borderId="0"/>
    <xf numFmtId="0" fontId="12" fillId="2" borderId="0"/>
    <xf numFmtId="0" fontId="28" fillId="35" borderId="0"/>
    <xf numFmtId="0" fontId="28" fillId="35" borderId="0"/>
    <xf numFmtId="0" fontId="12" fillId="2" borderId="0"/>
    <xf numFmtId="0" fontId="12" fillId="2" borderId="0"/>
    <xf numFmtId="0" fontId="12" fillId="2" borderId="0"/>
    <xf numFmtId="0" fontId="12" fillId="2" borderId="0"/>
    <xf numFmtId="0" fontId="12" fillId="2" borderId="0"/>
    <xf numFmtId="0" fontId="16" fillId="6" borderId="8"/>
    <xf numFmtId="0" fontId="16" fillId="6" borderId="8"/>
    <xf numFmtId="0" fontId="16" fillId="6" borderId="8"/>
    <xf numFmtId="0" fontId="16" fillId="6" borderId="8"/>
    <xf numFmtId="0" fontId="16" fillId="6" borderId="8"/>
    <xf numFmtId="0" fontId="29" fillId="65" borderId="14"/>
    <xf numFmtId="0" fontId="16" fillId="6" borderId="8"/>
    <xf numFmtId="0" fontId="29" fillId="65" borderId="14"/>
    <xf numFmtId="0" fontId="29" fillId="65" borderId="14"/>
    <xf numFmtId="0" fontId="16" fillId="6" borderId="8"/>
    <xf numFmtId="0" fontId="16" fillId="6" borderId="8"/>
    <xf numFmtId="0" fontId="16" fillId="6" borderId="8"/>
    <xf numFmtId="0" fontId="16" fillId="6" borderId="8"/>
    <xf numFmtId="0" fontId="30" fillId="66" borderId="15"/>
    <xf numFmtId="0" fontId="18" fillId="7" borderId="11"/>
    <xf numFmtId="0" fontId="30" fillId="66" borderId="15"/>
    <xf numFmtId="0" fontId="18" fillId="7" borderId="11"/>
    <xf numFmtId="0" fontId="30" fillId="66" borderId="15"/>
    <xf numFmtId="0" fontId="30" fillId="66" borderId="15"/>
    <xf numFmtId="0" fontId="30" fillId="66" borderId="15"/>
    <xf numFmtId="0" fontId="18" fillId="7" borderId="11"/>
    <xf numFmtId="0" fontId="18" fillId="7" borderId="11"/>
    <xf numFmtId="0" fontId="30" fillId="66" borderId="15"/>
    <xf numFmtId="0" fontId="30" fillId="66" borderId="15"/>
    <xf numFmtId="0" fontId="18" fillId="7" borderId="11"/>
    <xf numFmtId="0" fontId="18" fillId="7" borderId="11"/>
    <xf numFmtId="0" fontId="18" fillId="7" borderId="11"/>
    <xf numFmtId="0" fontId="18" fillId="7" borderId="11"/>
    <xf numFmtId="0" fontId="18" fillId="7" borderId="11"/>
    <xf numFmtId="0" fontId="31" fillId="0" borderId="16"/>
    <xf numFmtId="0" fontId="17" fillId="0" borderId="10"/>
    <xf numFmtId="0" fontId="31" fillId="0" borderId="16"/>
    <xf numFmtId="0" fontId="17" fillId="0" borderId="10"/>
    <xf numFmtId="0" fontId="31" fillId="0" borderId="16"/>
    <xf numFmtId="0" fontId="31" fillId="0" borderId="16"/>
    <xf numFmtId="0" fontId="31" fillId="0" borderId="16"/>
    <xf numFmtId="0" fontId="17" fillId="0" borderId="10"/>
    <xf numFmtId="0" fontId="17" fillId="0" borderId="10"/>
    <xf numFmtId="0" fontId="31" fillId="0" borderId="16"/>
    <xf numFmtId="0" fontId="31" fillId="0" borderId="16"/>
    <xf numFmtId="0" fontId="17" fillId="0" borderId="10"/>
    <xf numFmtId="0" fontId="17" fillId="0" borderId="10"/>
    <xf numFmtId="0" fontId="17" fillId="0" borderId="10"/>
    <xf numFmtId="0" fontId="17" fillId="0" borderId="10"/>
    <xf numFmtId="0" fontId="17" fillId="0" borderId="10"/>
    <xf numFmtId="0" fontId="18" fillId="7" borderId="11"/>
    <xf numFmtId="0" fontId="18" fillId="7" borderId="11"/>
    <xf numFmtId="0" fontId="18" fillId="7" borderId="11"/>
    <xf numFmtId="0" fontId="18" fillId="7" borderId="11"/>
    <xf numFmtId="0" fontId="18" fillId="7" borderId="11"/>
    <xf numFmtId="43" fontId="4" fillId="0" borderId="0"/>
    <xf numFmtId="0" fontId="32" fillId="0" borderId="0"/>
    <xf numFmtId="0" fontId="11" fillId="0" borderId="0"/>
    <xf numFmtId="0" fontId="32" fillId="0" borderId="0"/>
    <xf numFmtId="0" fontId="11" fillId="0" borderId="0"/>
    <xf numFmtId="0" fontId="32" fillId="0" borderId="0"/>
    <xf numFmtId="0" fontId="32" fillId="0" borderId="0"/>
    <xf numFmtId="0" fontId="32" fillId="0" borderId="0"/>
    <xf numFmtId="0" fontId="11" fillId="0" borderId="0"/>
    <xf numFmtId="0" fontId="11" fillId="0" borderId="0"/>
    <xf numFmtId="0" fontId="32" fillId="0" borderId="0"/>
    <xf numFmtId="0" fontId="32" fillId="0" borderId="0"/>
    <xf numFmtId="0" fontId="11" fillId="0" borderId="0"/>
    <xf numFmtId="0" fontId="11" fillId="0" borderId="0"/>
    <xf numFmtId="0" fontId="11" fillId="0" borderId="0"/>
    <xf numFmtId="0" fontId="11" fillId="0" borderId="0"/>
    <xf numFmtId="0" fontId="11" fillId="0" borderId="0"/>
    <xf numFmtId="0" fontId="26" fillId="67" borderId="0"/>
    <xf numFmtId="0" fontId="22" fillId="9" borderId="0"/>
    <xf numFmtId="0" fontId="26" fillId="67" borderId="0"/>
    <xf numFmtId="0" fontId="26" fillId="67" borderId="0"/>
    <xf numFmtId="0" fontId="22" fillId="9" borderId="0"/>
    <xf numFmtId="0" fontId="22" fillId="9" borderId="0"/>
    <xf numFmtId="0" fontId="22" fillId="9" borderId="0"/>
    <xf numFmtId="0" fontId="22" fillId="9" borderId="0"/>
    <xf numFmtId="0" fontId="26" fillId="68" borderId="0"/>
    <xf numFmtId="0" fontId="22" fillId="13" borderId="0"/>
    <xf numFmtId="0" fontId="26" fillId="68" borderId="0"/>
    <xf numFmtId="0" fontId="26" fillId="68" borderId="0"/>
    <xf numFmtId="0" fontId="22" fillId="13" borderId="0"/>
    <xf numFmtId="0" fontId="22" fillId="13" borderId="0"/>
    <xf numFmtId="0" fontId="22" fillId="13" borderId="0"/>
    <xf numFmtId="0" fontId="22" fillId="13" borderId="0"/>
    <xf numFmtId="0" fontId="26" fillId="69" borderId="0"/>
    <xf numFmtId="0" fontId="22" fillId="17" borderId="0"/>
    <xf numFmtId="0" fontId="26" fillId="69" borderId="0"/>
    <xf numFmtId="0" fontId="26" fillId="69" borderId="0"/>
    <xf numFmtId="0" fontId="22" fillId="17" borderId="0"/>
    <xf numFmtId="0" fontId="22" fillId="17" borderId="0"/>
    <xf numFmtId="0" fontId="22" fillId="17" borderId="0"/>
    <xf numFmtId="0" fontId="22" fillId="17" borderId="0"/>
    <xf numFmtId="0" fontId="26" fillId="56" borderId="0"/>
    <xf numFmtId="0" fontId="22" fillId="21" borderId="0"/>
    <xf numFmtId="0" fontId="26" fillId="56" borderId="0"/>
    <xf numFmtId="0" fontId="26" fillId="56" borderId="0"/>
    <xf numFmtId="0" fontId="22" fillId="21" borderId="0"/>
    <xf numFmtId="0" fontId="22" fillId="21" borderId="0"/>
    <xf numFmtId="0" fontId="22" fillId="21" borderId="0"/>
    <xf numFmtId="0" fontId="22" fillId="21" borderId="0"/>
    <xf numFmtId="0" fontId="26" fillId="57" borderId="0"/>
    <xf numFmtId="0" fontId="22" fillId="25" borderId="0"/>
    <xf numFmtId="0" fontId="26" fillId="57" borderId="0"/>
    <xf numFmtId="0" fontId="26" fillId="57" borderId="0"/>
    <xf numFmtId="0" fontId="22" fillId="25" borderId="0"/>
    <xf numFmtId="0" fontId="22" fillId="25" borderId="0"/>
    <xf numFmtId="0" fontId="22" fillId="25" borderId="0"/>
    <xf numFmtId="0" fontId="22" fillId="25" borderId="0"/>
    <xf numFmtId="0" fontId="26" fillId="70" borderId="0"/>
    <xf numFmtId="0" fontId="22" fillId="29" borderId="0"/>
    <xf numFmtId="0" fontId="26" fillId="70" borderId="0"/>
    <xf numFmtId="0" fontId="26" fillId="70" borderId="0"/>
    <xf numFmtId="0" fontId="22" fillId="29" borderId="0"/>
    <xf numFmtId="0" fontId="22" fillId="29" borderId="0"/>
    <xf numFmtId="0" fontId="22" fillId="29" borderId="0"/>
    <xf numFmtId="0" fontId="22" fillId="29" borderId="0"/>
    <xf numFmtId="0" fontId="33" fillId="38" borderId="14"/>
    <xf numFmtId="0" fontId="14" fillId="5" borderId="8"/>
    <xf numFmtId="0" fontId="33" fillId="38" borderId="14"/>
    <xf numFmtId="0" fontId="14" fillId="5" borderId="8"/>
    <xf numFmtId="0" fontId="33" fillId="38" borderId="14"/>
    <xf numFmtId="0" fontId="33" fillId="38" borderId="14"/>
    <xf numFmtId="0" fontId="33" fillId="38" borderId="14"/>
    <xf numFmtId="0" fontId="14" fillId="5" borderId="8"/>
    <xf numFmtId="0" fontId="14" fillId="5" borderId="8"/>
    <xf numFmtId="0" fontId="33" fillId="38" borderId="14"/>
    <xf numFmtId="0" fontId="33" fillId="38" borderId="14"/>
    <xf numFmtId="0" fontId="14" fillId="5" borderId="8"/>
    <xf numFmtId="0" fontId="14" fillId="5" borderId="8"/>
    <xf numFmtId="0" fontId="14" fillId="5" borderId="8"/>
    <xf numFmtId="0" fontId="14" fillId="5" borderId="8"/>
    <xf numFmtId="0" fontId="14" fillId="5" borderId="8"/>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173" fontId="2" fillId="0" borderId="0"/>
    <xf numFmtId="174" fontId="34" fillId="0" borderId="0"/>
    <xf numFmtId="0" fontId="20" fillId="0" borderId="0"/>
    <xf numFmtId="0" fontId="20" fillId="0" borderId="0"/>
    <xf numFmtId="0" fontId="20" fillId="0" borderId="0"/>
    <xf numFmtId="0" fontId="20" fillId="0" borderId="0"/>
    <xf numFmtId="0" fontId="20" fillId="0" borderId="0"/>
    <xf numFmtId="0" fontId="12" fillId="2" borderId="0"/>
    <xf numFmtId="0" fontId="12" fillId="2" borderId="0"/>
    <xf numFmtId="0" fontId="12" fillId="2" borderId="0"/>
    <xf numFmtId="0" fontId="12" fillId="2" borderId="0"/>
    <xf numFmtId="0" fontId="12" fillId="2" borderId="0"/>
    <xf numFmtId="0" fontId="9" fillId="0" borderId="5"/>
    <xf numFmtId="0" fontId="9" fillId="0" borderId="5"/>
    <xf numFmtId="0" fontId="9" fillId="0" borderId="5"/>
    <xf numFmtId="0" fontId="9" fillId="0" borderId="5"/>
    <xf numFmtId="0" fontId="9" fillId="0" borderId="5"/>
    <xf numFmtId="0" fontId="10" fillId="0" borderId="6"/>
    <xf numFmtId="0" fontId="10" fillId="0" borderId="6"/>
    <xf numFmtId="0" fontId="10" fillId="0" borderId="6"/>
    <xf numFmtId="0" fontId="10" fillId="0" borderId="6"/>
    <xf numFmtId="0" fontId="10" fillId="0" borderId="6"/>
    <xf numFmtId="0" fontId="11" fillId="0" borderId="7"/>
    <xf numFmtId="0" fontId="11" fillId="0" borderId="7"/>
    <xf numFmtId="0" fontId="11" fillId="0" borderId="7"/>
    <xf numFmtId="0" fontId="11" fillId="0" borderId="7"/>
    <xf numFmtId="0" fontId="11" fillId="0" borderId="7"/>
    <xf numFmtId="0" fontId="11" fillId="0" borderId="0"/>
    <xf numFmtId="0" fontId="11" fillId="0" borderId="0"/>
    <xf numFmtId="0" fontId="11" fillId="0" borderId="0"/>
    <xf numFmtId="0" fontId="11" fillId="0" borderId="0"/>
    <xf numFmtId="0" fontId="11" fillId="0" borderId="0"/>
    <xf numFmtId="0" fontId="35" fillId="0" borderId="0">
      <alignment vertical="top"/>
      <protection locked="0"/>
    </xf>
    <xf numFmtId="0" fontId="35" fillId="0" borderId="0"/>
    <xf numFmtId="0" fontId="36" fillId="0" borderId="0">
      <alignment vertical="top"/>
      <protection locked="0"/>
    </xf>
    <xf numFmtId="0" fontId="6" fillId="0" borderId="0"/>
    <xf numFmtId="0" fontId="36" fillId="0" borderId="0">
      <alignment vertical="top"/>
      <protection locked="0"/>
    </xf>
    <xf numFmtId="0" fontId="37" fillId="0" borderId="0">
      <alignment vertical="top"/>
      <protection locked="0"/>
    </xf>
    <xf numFmtId="173" fontId="6" fillId="0" borderId="0"/>
    <xf numFmtId="0" fontId="38" fillId="34" borderId="0"/>
    <xf numFmtId="0" fontId="13" fillId="3" borderId="0"/>
    <xf numFmtId="0" fontId="38" fillId="34" borderId="0"/>
    <xf numFmtId="0" fontId="38" fillId="34" borderId="0"/>
    <xf numFmtId="0" fontId="13" fillId="3" borderId="0"/>
    <xf numFmtId="0" fontId="13" fillId="3" borderId="0"/>
    <xf numFmtId="0" fontId="13" fillId="3" borderId="0"/>
    <xf numFmtId="0" fontId="13" fillId="3" borderId="0"/>
    <xf numFmtId="0" fontId="14" fillId="5" borderId="8"/>
    <xf numFmtId="0" fontId="14" fillId="5" borderId="8"/>
    <xf numFmtId="0" fontId="14" fillId="5" borderId="8"/>
    <xf numFmtId="0" fontId="14" fillId="5" borderId="8"/>
    <xf numFmtId="0" fontId="14" fillId="5" borderId="8"/>
    <xf numFmtId="0" fontId="17" fillId="0" borderId="10"/>
    <xf numFmtId="0" fontId="17" fillId="0" borderId="10"/>
    <xf numFmtId="0" fontId="17" fillId="0" borderId="10"/>
    <xf numFmtId="0" fontId="17" fillId="0" borderId="10"/>
    <xf numFmtId="0" fontId="17" fillId="0" borderId="1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43" fontId="1" fillId="0" borderId="0"/>
    <xf numFmtId="170" fontId="4" fillId="0" borderId="0"/>
    <xf numFmtId="170" fontId="4" fillId="0" borderId="0"/>
    <xf numFmtId="43" fontId="7" fillId="0" borderId="0"/>
    <xf numFmtId="170" fontId="4" fillId="0" borderId="0"/>
    <xf numFmtId="170" fontId="4" fillId="0" borderId="0"/>
    <xf numFmtId="170" fontId="4" fillId="0" borderId="0"/>
    <xf numFmtId="176" fontId="4" fillId="0" borderId="0"/>
    <xf numFmtId="170" fontId="4" fillId="0" borderId="0"/>
    <xf numFmtId="43" fontId="1" fillId="0" borderId="0"/>
    <xf numFmtId="170" fontId="4" fillId="0" borderId="0"/>
    <xf numFmtId="170" fontId="4" fillId="0" borderId="0"/>
    <xf numFmtId="43"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7"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7"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7"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43" fontId="7" fillId="0" borderId="0"/>
    <xf numFmtId="170" fontId="4" fillId="0" borderId="0"/>
    <xf numFmtId="170" fontId="4" fillId="0" borderId="0"/>
    <xf numFmtId="175" fontId="1" fillId="0" borderId="0"/>
    <xf numFmtId="170" fontId="4" fillId="0" borderId="0"/>
    <xf numFmtId="170" fontId="4" fillId="0" borderId="0"/>
    <xf numFmtId="43" fontId="7" fillId="0" borderId="0"/>
    <xf numFmtId="170" fontId="4" fillId="0" borderId="0"/>
    <xf numFmtId="170" fontId="4" fillId="0" borderId="0"/>
    <xf numFmtId="43" fontId="7" fillId="0" borderId="0"/>
    <xf numFmtId="170" fontId="4" fillId="0" borderId="0"/>
    <xf numFmtId="170" fontId="4" fillId="0" borderId="0"/>
    <xf numFmtId="43" fontId="7" fillId="0" borderId="0"/>
    <xf numFmtId="170" fontId="4" fillId="0" borderId="0"/>
    <xf numFmtId="170" fontId="4" fillId="0" borderId="0"/>
    <xf numFmtId="170" fontId="4" fillId="0" borderId="0"/>
    <xf numFmtId="170" fontId="4" fillId="0" borderId="0"/>
    <xf numFmtId="43"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5" fontId="1" fillId="0" borderId="0"/>
    <xf numFmtId="175" fontId="1"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5" fontId="1" fillId="0" borderId="0"/>
    <xf numFmtId="175" fontId="1"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5" fontId="1" fillId="0" borderId="0"/>
    <xf numFmtId="170" fontId="4" fillId="0" borderId="0"/>
    <xf numFmtId="175" fontId="1" fillId="0" borderId="0"/>
    <xf numFmtId="170" fontId="4" fillId="0" borderId="0"/>
    <xf numFmtId="175" fontId="1" fillId="0" borderId="0"/>
    <xf numFmtId="175" fontId="1" fillId="0" borderId="0"/>
    <xf numFmtId="170" fontId="4" fillId="0" borderId="0"/>
    <xf numFmtId="175" fontId="1" fillId="0" borderId="0"/>
    <xf numFmtId="175" fontId="1" fillId="0" borderId="0"/>
    <xf numFmtId="175" fontId="1"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5" fontId="1"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8" fontId="4" fillId="0" borderId="0"/>
    <xf numFmtId="165" fontId="1" fillId="0" borderId="0"/>
    <xf numFmtId="165" fontId="1" fillId="0" borderId="0"/>
    <xf numFmtId="178" fontId="4" fillId="0" borderId="0"/>
    <xf numFmtId="165" fontId="1" fillId="0" borderId="0"/>
    <xf numFmtId="178" fontId="4" fillId="0" borderId="0"/>
    <xf numFmtId="165" fontId="1" fillId="0" borderId="0"/>
    <xf numFmtId="178" fontId="4" fillId="0" borderId="0"/>
    <xf numFmtId="165" fontId="1" fillId="0" borderId="0"/>
    <xf numFmtId="178" fontId="4" fillId="0" borderId="0"/>
    <xf numFmtId="178" fontId="4" fillId="0" borderId="0"/>
    <xf numFmtId="178" fontId="4" fillId="0" borderId="0"/>
    <xf numFmtId="178" fontId="4" fillId="0" borderId="0"/>
    <xf numFmtId="178" fontId="4" fillId="0" borderId="0"/>
    <xf numFmtId="165" fontId="4" fillId="0" borderId="0"/>
    <xf numFmtId="165" fontId="4" fillId="0" borderId="0"/>
    <xf numFmtId="178" fontId="4" fillId="0" borderId="0"/>
    <xf numFmtId="178" fontId="4" fillId="0" borderId="0"/>
    <xf numFmtId="178" fontId="4" fillId="0" borderId="0"/>
    <xf numFmtId="178" fontId="4" fillId="0" borderId="0"/>
    <xf numFmtId="178" fontId="4" fillId="0" borderId="0"/>
    <xf numFmtId="178" fontId="4" fillId="0" borderId="0"/>
    <xf numFmtId="178" fontId="4" fillId="0" borderId="0"/>
    <xf numFmtId="178" fontId="4" fillId="0" borderId="0"/>
    <xf numFmtId="171" fontId="1" fillId="0" borderId="0"/>
    <xf numFmtId="178" fontId="4" fillId="0" borderId="0"/>
    <xf numFmtId="178" fontId="4" fillId="0" borderId="0"/>
    <xf numFmtId="178" fontId="4" fillId="0" borderId="0"/>
    <xf numFmtId="178" fontId="4" fillId="0" borderId="0"/>
    <xf numFmtId="178" fontId="4" fillId="0" borderId="0"/>
    <xf numFmtId="171" fontId="1" fillId="0" borderId="0"/>
    <xf numFmtId="171" fontId="1" fillId="0" borderId="0"/>
    <xf numFmtId="165" fontId="1" fillId="0" borderId="0"/>
    <xf numFmtId="0" fontId="39" fillId="71" borderId="0"/>
    <xf numFmtId="0" fontId="39" fillId="71" borderId="0"/>
    <xf numFmtId="0" fontId="39" fillId="71"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8" fontId="4" fillId="0" borderId="0"/>
    <xf numFmtId="0" fontId="1" fillId="0" borderId="0"/>
    <xf numFmtId="0" fontId="4" fillId="0" borderId="0">
      <alignment vertical="top"/>
    </xf>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3"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173" fontId="4" fillId="0" borderId="0"/>
    <xf numFmtId="0"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7"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7"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168"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168"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168"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4"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68" fontId="4"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68" fontId="4"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68" fontId="4" fillId="0" borderId="0"/>
    <xf numFmtId="168" fontId="4" fillId="0" borderId="0"/>
    <xf numFmtId="168" fontId="4"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4" fillId="0" borderId="0"/>
    <xf numFmtId="0" fontId="1"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0" fontId="4" fillId="0" borderId="0">
      <alignment vertical="top"/>
    </xf>
    <xf numFmtId="168" fontId="4" fillId="0" borderId="0"/>
    <xf numFmtId="173" fontId="1" fillId="0" borderId="0"/>
    <xf numFmtId="168" fontId="4" fillId="0" borderId="0"/>
    <xf numFmtId="173" fontId="1" fillId="0" borderId="0"/>
    <xf numFmtId="168"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68" fontId="4"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4" fillId="0" borderId="0"/>
    <xf numFmtId="173" fontId="4" fillId="0" borderId="0"/>
    <xf numFmtId="168" fontId="4" fillId="0" borderId="0"/>
    <xf numFmtId="173" fontId="1" fillId="0" borderId="0"/>
    <xf numFmtId="173" fontId="1" fillId="0" borderId="0"/>
    <xf numFmtId="173" fontId="1" fillId="0" borderId="0"/>
    <xf numFmtId="173" fontId="1" fillId="0" borderId="0"/>
    <xf numFmtId="173" fontId="1" fillId="0" borderId="0"/>
    <xf numFmtId="168"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0" fontId="1" fillId="0" borderId="0"/>
    <xf numFmtId="0" fontId="4" fillId="0" borderId="0"/>
    <xf numFmtId="173" fontId="4" fillId="0" borderId="0"/>
    <xf numFmtId="0"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4"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173" fontId="1" fillId="0" borderId="0"/>
    <xf numFmtId="173" fontId="1" fillId="0" borderId="0"/>
    <xf numFmtId="173" fontId="1" fillId="0" borderId="0"/>
    <xf numFmtId="173" fontId="1"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4"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4" fillId="0" borderId="0"/>
    <xf numFmtId="0" fontId="1" fillId="0" borderId="0"/>
    <xf numFmtId="173" fontId="1" fillId="0" borderId="0"/>
    <xf numFmtId="0" fontId="4" fillId="0" borderId="0"/>
    <xf numFmtId="0" fontId="4" fillId="0" borderId="0"/>
    <xf numFmtId="173" fontId="4" fillId="0" borderId="0"/>
    <xf numFmtId="0" fontId="4" fillId="0" borderId="0"/>
    <xf numFmtId="0" fontId="4" fillId="0" borderId="0"/>
    <xf numFmtId="173" fontId="4" fillId="0" borderId="0"/>
    <xf numFmtId="0" fontId="4" fillId="0" borderId="0"/>
    <xf numFmtId="0" fontId="4" fillId="0" borderId="0"/>
    <xf numFmtId="173" fontId="4" fillId="0" borderId="0"/>
    <xf numFmtId="0" fontId="4" fillId="0" borderId="0"/>
    <xf numFmtId="0" fontId="4" fillId="0" borderId="0"/>
    <xf numFmtId="173"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alignment vertical="top"/>
    </xf>
    <xf numFmtId="0" fontId="4" fillId="0" borderId="0">
      <alignment vertical="top"/>
    </xf>
    <xf numFmtId="0" fontId="4" fillId="0" borderId="0"/>
    <xf numFmtId="173" fontId="7" fillId="0" borderId="0"/>
    <xf numFmtId="0" fontId="4" fillId="0" borderId="0"/>
    <xf numFmtId="0" fontId="4" fillId="0" borderId="0"/>
    <xf numFmtId="173" fontId="4" fillId="0" borderId="0"/>
    <xf numFmtId="0" fontId="4" fillId="0" borderId="0"/>
    <xf numFmtId="0" fontId="4" fillId="0" borderId="0"/>
    <xf numFmtId="173" fontId="7" fillId="0" borderId="0"/>
    <xf numFmtId="0" fontId="4" fillId="0" borderId="0"/>
    <xf numFmtId="0" fontId="4" fillId="0" borderId="0"/>
    <xf numFmtId="173" fontId="4" fillId="0" borderId="0"/>
    <xf numFmtId="0" fontId="4" fillId="0" borderId="0"/>
    <xf numFmtId="0" fontId="4" fillId="0" borderId="0"/>
    <xf numFmtId="173" fontId="7" fillId="0" borderId="0"/>
    <xf numFmtId="0" fontId="4" fillId="0" borderId="0"/>
    <xf numFmtId="0" fontId="4" fillId="0" borderId="0"/>
    <xf numFmtId="173" fontId="4" fillId="0" borderId="0"/>
    <xf numFmtId="0" fontId="4" fillId="0" borderId="0"/>
    <xf numFmtId="0" fontId="4" fillId="0" borderId="0"/>
    <xf numFmtId="173" fontId="7"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4"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0" fontId="4" fillId="0" borderId="0"/>
    <xf numFmtId="173" fontId="4" fillId="0" borderId="0"/>
    <xf numFmtId="0" fontId="4" fillId="0" borderId="0"/>
    <xf numFmtId="0" fontId="4" fillId="0" borderId="0"/>
    <xf numFmtId="0" fontId="25" fillId="0" borderId="0"/>
    <xf numFmtId="173" fontId="7" fillId="0" borderId="0"/>
    <xf numFmtId="0" fontId="4" fillId="0" borderId="0"/>
    <xf numFmtId="0" fontId="4" fillId="0" borderId="0"/>
    <xf numFmtId="0" fontId="25" fillId="0" borderId="0"/>
    <xf numFmtId="173" fontId="7" fillId="0" borderId="0"/>
    <xf numFmtId="0" fontId="4" fillId="0" borderId="0"/>
    <xf numFmtId="0" fontId="4" fillId="0" borderId="0"/>
    <xf numFmtId="0" fontId="41" fillId="0" borderId="0"/>
    <xf numFmtId="0" fontId="25" fillId="0" borderId="0"/>
    <xf numFmtId="0" fontId="41" fillId="0" borderId="0"/>
    <xf numFmtId="0" fontId="41" fillId="0" borderId="0"/>
    <xf numFmtId="0" fontId="25" fillId="0" borderId="0"/>
    <xf numFmtId="173" fontId="7" fillId="0" borderId="0"/>
    <xf numFmtId="0" fontId="41" fillId="0" borderId="0"/>
    <xf numFmtId="0" fontId="25" fillId="0" borderId="0"/>
    <xf numFmtId="0" fontId="41" fillId="0" borderId="0"/>
    <xf numFmtId="0" fontId="4" fillId="0" borderId="0"/>
    <xf numFmtId="0" fontId="4" fillId="0" borderId="0"/>
    <xf numFmtId="0" fontId="25" fillId="0" borderId="0"/>
    <xf numFmtId="173" fontId="4" fillId="0" borderId="0"/>
    <xf numFmtId="0" fontId="4" fillId="0" borderId="0"/>
    <xf numFmtId="0" fontId="4" fillId="0" borderId="0"/>
    <xf numFmtId="0" fontId="25" fillId="0" borderId="0"/>
    <xf numFmtId="173" fontId="7" fillId="0" borderId="0"/>
    <xf numFmtId="0" fontId="4" fillId="0" borderId="0"/>
    <xf numFmtId="0" fontId="4" fillId="0" borderId="0"/>
    <xf numFmtId="0" fontId="41" fillId="0" borderId="0"/>
    <xf numFmtId="173"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25" fillId="0" borderId="0"/>
    <xf numFmtId="0" fontId="4" fillId="0" borderId="0"/>
    <xf numFmtId="0" fontId="25" fillId="0" borderId="0"/>
    <xf numFmtId="0" fontId="25" fillId="0" borderId="0"/>
    <xf numFmtId="0" fontId="4" fillId="0" borderId="0"/>
    <xf numFmtId="0" fontId="25" fillId="0" borderId="0"/>
    <xf numFmtId="0" fontId="4" fillId="0" borderId="0"/>
    <xf numFmtId="168" fontId="7"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7" fillId="0" borderId="0"/>
    <xf numFmtId="0" fontId="7" fillId="0" borderId="0"/>
    <xf numFmtId="0" fontId="4" fillId="0" borderId="0"/>
    <xf numFmtId="168" fontId="7" fillId="0" borderId="0"/>
    <xf numFmtId="0" fontId="4" fillId="0" borderId="0"/>
    <xf numFmtId="0" fontId="25" fillId="0" borderId="0"/>
    <xf numFmtId="173" fontId="7" fillId="0" borderId="0"/>
    <xf numFmtId="0" fontId="25" fillId="0" borderId="0"/>
    <xf numFmtId="168" fontId="7" fillId="0" borderId="0"/>
    <xf numFmtId="0" fontId="25" fillId="0" borderId="0"/>
    <xf numFmtId="0" fontId="25" fillId="0" borderId="0"/>
    <xf numFmtId="0" fontId="25" fillId="0" borderId="0"/>
    <xf numFmtId="0" fontId="25" fillId="0" borderId="0"/>
    <xf numFmtId="0" fontId="4" fillId="0" borderId="0"/>
    <xf numFmtId="0" fontId="4" fillId="0" borderId="0"/>
    <xf numFmtId="173"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168" fontId="4" fillId="0" borderId="0"/>
    <xf numFmtId="173"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4" fillId="0" borderId="0"/>
    <xf numFmtId="0" fontId="4" fillId="0" borderId="0"/>
    <xf numFmtId="0" fontId="4" fillId="0" borderId="0"/>
    <xf numFmtId="173" fontId="4" fillId="0" borderId="0"/>
    <xf numFmtId="0" fontId="4" fillId="0" borderId="0"/>
    <xf numFmtId="0" fontId="4" fillId="0" borderId="0"/>
    <xf numFmtId="173" fontId="7" fillId="0" borderId="0"/>
    <xf numFmtId="0" fontId="4" fillId="0" borderId="0"/>
    <xf numFmtId="0" fontId="4" fillId="0" borderId="0"/>
    <xf numFmtId="173" fontId="4" fillId="0" borderId="0"/>
    <xf numFmtId="0"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0" fontId="4"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7" fillId="0" borderId="0"/>
    <xf numFmtId="0" fontId="4" fillId="0" borderId="0"/>
    <xf numFmtId="173" fontId="4" fillId="0" borderId="0"/>
    <xf numFmtId="0" fontId="25"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68" fontId="1" fillId="0" borderId="0"/>
    <xf numFmtId="168" fontId="1" fillId="0" borderId="0"/>
    <xf numFmtId="173" fontId="4" fillId="0" borderId="0"/>
    <xf numFmtId="0" fontId="41" fillId="0" borderId="0"/>
    <xf numFmtId="173" fontId="4" fillId="0" borderId="0"/>
    <xf numFmtId="173" fontId="4" fillId="0" borderId="0"/>
    <xf numFmtId="173" fontId="4" fillId="0" borderId="0"/>
    <xf numFmtId="173" fontId="4" fillId="0" borderId="0"/>
    <xf numFmtId="0" fontId="4" fillId="0" borderId="0"/>
    <xf numFmtId="173" fontId="7" fillId="0" borderId="0"/>
    <xf numFmtId="173" fontId="4" fillId="0" borderId="0"/>
    <xf numFmtId="0" fontId="4" fillId="0" borderId="0"/>
    <xf numFmtId="173" fontId="4" fillId="0" borderId="0"/>
    <xf numFmtId="0" fontId="25" fillId="0" borderId="0"/>
    <xf numFmtId="173" fontId="4" fillId="0" borderId="0"/>
    <xf numFmtId="0" fontId="41" fillId="0" borderId="0"/>
    <xf numFmtId="173" fontId="4" fillId="0" borderId="0"/>
    <xf numFmtId="0" fontId="41" fillId="0" borderId="0"/>
    <xf numFmtId="173" fontId="4" fillId="0" borderId="0"/>
    <xf numFmtId="173"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173" fontId="4" fillId="0" borderId="0"/>
    <xf numFmtId="0"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0" fontId="4"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7" fillId="0" borderId="0"/>
    <xf numFmtId="173" fontId="4" fillId="0" borderId="0"/>
    <xf numFmtId="0" fontId="4" fillId="0" borderId="0"/>
    <xf numFmtId="173" fontId="7" fillId="0" borderId="0"/>
    <xf numFmtId="173" fontId="4" fillId="0" borderId="0"/>
    <xf numFmtId="173" fontId="4" fillId="0" borderId="0"/>
    <xf numFmtId="173" fontId="4" fillId="0" borderId="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173" fontId="4" fillId="0" borderId="0"/>
    <xf numFmtId="0" fontId="4" fillId="0" borderId="0"/>
    <xf numFmtId="0" fontId="4" fillId="0" borderId="0"/>
    <xf numFmtId="168" fontId="4" fillId="0" borderId="0"/>
    <xf numFmtId="0" fontId="4" fillId="0" borderId="0"/>
    <xf numFmtId="168" fontId="4" fillId="0" borderId="0"/>
    <xf numFmtId="0" fontId="4" fillId="0" borderId="0"/>
    <xf numFmtId="0" fontId="4" fillId="0" borderId="0"/>
    <xf numFmtId="0" fontId="4" fillId="0" borderId="0"/>
    <xf numFmtId="173"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0" fillId="0" borderId="0"/>
    <xf numFmtId="0" fontId="4" fillId="0" borderId="0"/>
    <xf numFmtId="0" fontId="4" fillId="0" borderId="0"/>
    <xf numFmtId="173" fontId="4" fillId="0" borderId="0"/>
    <xf numFmtId="0" fontId="4" fillId="0" borderId="0"/>
    <xf numFmtId="0" fontId="40" fillId="0" borderId="0"/>
    <xf numFmtId="173"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0"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168"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3" fontId="4" fillId="0" borderId="0"/>
    <xf numFmtId="0" fontId="4" fillId="0" borderId="0"/>
    <xf numFmtId="0" fontId="4" fillId="0" borderId="0"/>
    <xf numFmtId="0" fontId="1"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2" fillId="0" borderId="0"/>
    <xf numFmtId="0" fontId="1" fillId="0" borderId="0"/>
    <xf numFmtId="0" fontId="42" fillId="0" borderId="0"/>
    <xf numFmtId="0" fontId="1" fillId="0" borderId="0"/>
    <xf numFmtId="0" fontId="42" fillId="0" borderId="0"/>
    <xf numFmtId="0" fontId="1" fillId="0" borderId="0"/>
    <xf numFmtId="0" fontId="42" fillId="0" borderId="0"/>
    <xf numFmtId="0" fontId="1" fillId="0" borderId="0"/>
    <xf numFmtId="0" fontId="42" fillId="0" borderId="0"/>
    <xf numFmtId="0" fontId="1" fillId="0" borderId="0"/>
    <xf numFmtId="0" fontId="42" fillId="0" borderId="0"/>
    <xf numFmtId="0" fontId="1" fillId="0" borderId="0"/>
    <xf numFmtId="0" fontId="42"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2" fillId="0" borderId="0"/>
    <xf numFmtId="0" fontId="4" fillId="0" borderId="0"/>
    <xf numFmtId="0" fontId="4" fillId="0" borderId="0"/>
    <xf numFmtId="0" fontId="42" fillId="0" borderId="0"/>
    <xf numFmtId="0" fontId="4" fillId="0" borderId="0"/>
    <xf numFmtId="0" fontId="4" fillId="0" borderId="0"/>
    <xf numFmtId="0" fontId="42" fillId="0" borderId="0"/>
    <xf numFmtId="0" fontId="4" fillId="0" borderId="0"/>
    <xf numFmtId="0" fontId="4" fillId="0" borderId="0"/>
    <xf numFmtId="0" fontId="42" fillId="0" borderId="0"/>
    <xf numFmtId="0" fontId="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 fillId="0" borderId="0"/>
    <xf numFmtId="0" fontId="4" fillId="0" borderId="0"/>
    <xf numFmtId="0" fontId="4" fillId="0" borderId="0"/>
    <xf numFmtId="0" fontId="4" fillId="0" borderId="0"/>
    <xf numFmtId="173" fontId="7" fillId="0" borderId="0"/>
    <xf numFmtId="0" fontId="4"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 fillId="0" borderId="0"/>
    <xf numFmtId="0" fontId="4" fillId="0" borderId="0"/>
    <xf numFmtId="0" fontId="4" fillId="0" borderId="0"/>
    <xf numFmtId="0" fontId="4" fillId="0" borderId="0"/>
    <xf numFmtId="173" fontId="7" fillId="0" borderId="0"/>
    <xf numFmtId="0" fontId="4" fillId="0" borderId="0"/>
    <xf numFmtId="0" fontId="42" fillId="0" borderId="0"/>
    <xf numFmtId="0" fontId="42"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1" fillId="0" borderId="0"/>
    <xf numFmtId="0" fontId="4" fillId="0" borderId="0">
      <alignment vertical="top"/>
    </xf>
    <xf numFmtId="173" fontId="7" fillId="0" borderId="0"/>
    <xf numFmtId="0" fontId="4" fillId="0" borderId="0">
      <alignment vertical="top"/>
    </xf>
    <xf numFmtId="0" fontId="4"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4" fillId="0" borderId="0"/>
    <xf numFmtId="0" fontId="4" fillId="0" borderId="0"/>
    <xf numFmtId="173" fontId="7"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alignment vertical="top"/>
    </xf>
    <xf numFmtId="168" fontId="4" fillId="0" borderId="0"/>
    <xf numFmtId="0" fontId="4" fillId="0" borderId="0">
      <alignment vertical="top"/>
    </xf>
    <xf numFmtId="173" fontId="7" fillId="0" borderId="0"/>
    <xf numFmtId="0" fontId="4" fillId="0" borderId="0"/>
    <xf numFmtId="0" fontId="4" fillId="0" borderId="0"/>
    <xf numFmtId="0" fontId="4"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 fillId="0" borderId="0">
      <alignment vertical="top"/>
    </xf>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3"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3" fontId="7"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173" fontId="7"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1" fillId="0" borderId="0"/>
    <xf numFmtId="0" fontId="4" fillId="0" borderId="0"/>
    <xf numFmtId="0" fontId="1" fillId="0" borderId="0"/>
    <xf numFmtId="0" fontId="1" fillId="0" borderId="0"/>
    <xf numFmtId="17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3" fontId="4" fillId="0" borderId="0"/>
    <xf numFmtId="0" fontId="40" fillId="0" borderId="0"/>
    <xf numFmtId="0" fontId="1" fillId="0" borderId="0"/>
    <xf numFmtId="0" fontId="43" fillId="0" borderId="0"/>
    <xf numFmtId="0" fontId="40" fillId="0" borderId="0"/>
    <xf numFmtId="0" fontId="43" fillId="0" borderId="0"/>
    <xf numFmtId="168" fontId="1" fillId="0" borderId="0"/>
    <xf numFmtId="0" fontId="43" fillId="0" borderId="0"/>
    <xf numFmtId="0" fontId="40" fillId="0" borderId="0"/>
    <xf numFmtId="0" fontId="1" fillId="0" borderId="0"/>
    <xf numFmtId="0" fontId="1" fillId="0" borderId="0"/>
    <xf numFmtId="0" fontId="43" fillId="0" borderId="0"/>
    <xf numFmtId="0" fontId="40" fillId="0" borderId="0"/>
    <xf numFmtId="0" fontId="43" fillId="0" borderId="0"/>
    <xf numFmtId="0" fontId="43" fillId="0" borderId="0"/>
    <xf numFmtId="0" fontId="40" fillId="0" borderId="0"/>
    <xf numFmtId="0" fontId="43" fillId="0" borderId="0"/>
    <xf numFmtId="0" fontId="43" fillId="0" borderId="0"/>
    <xf numFmtId="0" fontId="40" fillId="0" borderId="0"/>
    <xf numFmtId="0" fontId="44" fillId="0" borderId="0"/>
    <xf numFmtId="0" fontId="40" fillId="0" borderId="0"/>
    <xf numFmtId="0" fontId="44" fillId="0" borderId="0"/>
    <xf numFmtId="0" fontId="40" fillId="0" borderId="0"/>
    <xf numFmtId="0" fontId="43" fillId="0" borderId="0"/>
    <xf numFmtId="0" fontId="4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8" fontId="4" fillId="0" borderId="0"/>
    <xf numFmtId="173"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0"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45" fillId="0" borderId="0"/>
    <xf numFmtId="0" fontId="1" fillId="0" borderId="0"/>
    <xf numFmtId="0" fontId="4" fillId="0" borderId="0"/>
    <xf numFmtId="0" fontId="4" fillId="0" borderId="0"/>
    <xf numFmtId="0" fontId="4" fillId="0" borderId="0"/>
    <xf numFmtId="0" fontId="4" fillId="0" borderId="0"/>
    <xf numFmtId="167" fontId="4" fillId="0" borderId="0"/>
    <xf numFmtId="173"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168" fontId="4" fillId="0" borderId="0"/>
    <xf numFmtId="168" fontId="4" fillId="0" borderId="0"/>
    <xf numFmtId="168" fontId="4" fillId="0" borderId="0"/>
    <xf numFmtId="0" fontId="1" fillId="0" borderId="0"/>
    <xf numFmtId="0" fontId="1" fillId="0" borderId="0"/>
    <xf numFmtId="168"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0"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0"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0"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0"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0"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2" fillId="72" borderId="17"/>
    <xf numFmtId="0" fontId="4" fillId="72" borderId="17"/>
    <xf numFmtId="0" fontId="2" fillId="8" borderId="12"/>
    <xf numFmtId="0" fontId="4" fillId="72" borderId="17"/>
    <xf numFmtId="0" fontId="2" fillId="8" borderId="12"/>
    <xf numFmtId="0" fontId="4" fillId="72" borderId="17"/>
    <xf numFmtId="0" fontId="4" fillId="72" borderId="17"/>
    <xf numFmtId="0" fontId="4" fillId="72" borderId="17"/>
    <xf numFmtId="0" fontId="1" fillId="0" borderId="0"/>
    <xf numFmtId="0" fontId="1" fillId="0" borderId="0"/>
    <xf numFmtId="0" fontId="4" fillId="72" borderId="17"/>
    <xf numFmtId="0" fontId="2" fillId="8" borderId="12"/>
    <xf numFmtId="0" fontId="2" fillId="8" borderId="12"/>
    <xf numFmtId="0" fontId="1" fillId="0" borderId="0"/>
    <xf numFmtId="0" fontId="1" fillId="0" borderId="0"/>
    <xf numFmtId="0" fontId="2" fillId="8" borderId="12"/>
    <xf numFmtId="0" fontId="4" fillId="72" borderId="17"/>
    <xf numFmtId="0" fontId="4" fillId="72" borderId="17"/>
    <xf numFmtId="0" fontId="1" fillId="0" borderId="0"/>
    <xf numFmtId="0" fontId="1" fillId="0" borderId="0"/>
    <xf numFmtId="0" fontId="4" fillId="72" borderId="17"/>
    <xf numFmtId="0" fontId="4" fillId="72" borderId="17"/>
    <xf numFmtId="0" fontId="4" fillId="72" borderId="17"/>
    <xf numFmtId="0" fontId="4" fillId="72" borderId="17"/>
    <xf numFmtId="0" fontId="1" fillId="0" borderId="0"/>
    <xf numFmtId="0" fontId="1" fillId="0" borderId="0"/>
    <xf numFmtId="0" fontId="4" fillId="72" borderId="17"/>
    <xf numFmtId="0" fontId="4" fillId="72" borderId="17"/>
    <xf numFmtId="0" fontId="4" fillId="72" borderId="17"/>
    <xf numFmtId="0" fontId="4" fillId="72" borderId="17"/>
    <xf numFmtId="0" fontId="1" fillId="0" borderId="0"/>
    <xf numFmtId="0" fontId="1" fillId="0" borderId="0"/>
    <xf numFmtId="0" fontId="4" fillId="72" borderId="17"/>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1" fillId="8" borderId="12"/>
    <xf numFmtId="0" fontId="1" fillId="8" borderId="12"/>
    <xf numFmtId="0" fontId="1" fillId="8" borderId="12"/>
    <xf numFmtId="0" fontId="1" fillId="0" borderId="0"/>
    <xf numFmtId="0" fontId="1" fillId="0" borderId="0"/>
    <xf numFmtId="0" fontId="1" fillId="8" borderId="12"/>
    <xf numFmtId="0" fontId="4" fillId="72" borderId="17"/>
    <xf numFmtId="0" fontId="4" fillId="72" borderId="17"/>
    <xf numFmtId="0" fontId="1" fillId="0" borderId="0"/>
    <xf numFmtId="0" fontId="1" fillId="0" borderId="0"/>
    <xf numFmtId="0" fontId="4" fillId="72" borderId="17"/>
    <xf numFmtId="0" fontId="4" fillId="72" borderId="17"/>
    <xf numFmtId="0" fontId="1" fillId="8" borderId="12"/>
    <xf numFmtId="0" fontId="1" fillId="8" borderId="12"/>
    <xf numFmtId="0" fontId="1" fillId="8" borderId="12"/>
    <xf numFmtId="0" fontId="1" fillId="0" borderId="0"/>
    <xf numFmtId="0" fontId="1" fillId="0" borderId="0"/>
    <xf numFmtId="0" fontId="1" fillId="8" borderId="12"/>
    <xf numFmtId="0" fontId="2" fillId="72" borderId="17"/>
    <xf numFmtId="0" fontId="4" fillId="72" borderId="17"/>
    <xf numFmtId="0" fontId="4" fillId="72" borderId="17"/>
    <xf numFmtId="0" fontId="1" fillId="0" borderId="0"/>
    <xf numFmtId="0" fontId="1" fillId="0" borderId="0"/>
    <xf numFmtId="0" fontId="4" fillId="72" borderId="17"/>
    <xf numFmtId="0" fontId="4" fillId="72" borderId="17"/>
    <xf numFmtId="0" fontId="4" fillId="72" borderId="17"/>
    <xf numFmtId="0" fontId="4" fillId="72" borderId="17"/>
    <xf numFmtId="0" fontId="1" fillId="0" borderId="0"/>
    <xf numFmtId="0" fontId="1" fillId="0" borderId="0"/>
    <xf numFmtId="0" fontId="4" fillId="72" borderId="17"/>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1" fillId="0" borderId="0"/>
    <xf numFmtId="0" fontId="2" fillId="8" borderId="12"/>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2" fillId="8" borderId="12"/>
    <xf numFmtId="0" fontId="1" fillId="0" borderId="0"/>
    <xf numFmtId="0" fontId="1" fillId="0" borderId="0"/>
    <xf numFmtId="0" fontId="2" fillId="8" borderId="12"/>
    <xf numFmtId="0" fontId="2" fillId="8" borderId="12"/>
    <xf numFmtId="0" fontId="2" fillId="8" borderId="12"/>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 fillId="0" borderId="0"/>
    <xf numFmtId="0" fontId="1" fillId="0" borderId="0"/>
    <xf numFmtId="0" fontId="15" fillId="6" borderId="9"/>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0" fontId="1" fillId="0" borderId="0"/>
    <xf numFmtId="0" fontId="15" fillId="6" borderId="9"/>
    <xf numFmtId="0" fontId="46" fillId="65" borderId="18"/>
    <xf numFmtId="0" fontId="46" fillId="65" borderId="18"/>
    <xf numFmtId="0" fontId="46" fillId="65" borderId="18"/>
    <xf numFmtId="0" fontId="1" fillId="0" borderId="0"/>
    <xf numFmtId="0" fontId="15" fillId="6" borderId="9"/>
    <xf numFmtId="0" fontId="1" fillId="0" borderId="0"/>
    <xf numFmtId="0" fontId="46" fillId="65" borderId="18"/>
    <xf numFmtId="0" fontId="46" fillId="65" borderId="18"/>
    <xf numFmtId="0" fontId="46" fillId="65" borderId="18"/>
    <xf numFmtId="0" fontId="46" fillId="65" borderId="18"/>
    <xf numFmtId="0" fontId="1" fillId="0" borderId="0"/>
    <xf numFmtId="0" fontId="1" fillId="0" borderId="0"/>
    <xf numFmtId="0" fontId="46" fillId="65" borderId="18"/>
    <xf numFmtId="0" fontId="46" fillId="65" borderId="18"/>
    <xf numFmtId="0" fontId="46" fillId="65" borderId="18"/>
    <xf numFmtId="0" fontId="46" fillId="65" borderId="18"/>
    <xf numFmtId="0" fontId="1" fillId="0" borderId="0"/>
    <xf numFmtId="0" fontId="1" fillId="0" borderId="0"/>
    <xf numFmtId="0" fontId="46" fillId="65" borderId="18"/>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5" fillId="6" borderId="9"/>
    <xf numFmtId="0" fontId="1" fillId="0" borderId="0"/>
    <xf numFmtId="0" fontId="1" fillId="0" borderId="0"/>
    <xf numFmtId="0" fontId="15" fillId="6" borderId="9"/>
    <xf numFmtId="0" fontId="15" fillId="6" borderId="9"/>
    <xf numFmtId="0" fontId="15" fillId="6" borderId="9"/>
    <xf numFmtId="0" fontId="1" fillId="0" borderId="0"/>
    <xf numFmtId="0" fontId="47" fillId="0" borderId="0"/>
    <xf numFmtId="0" fontId="47" fillId="0" borderId="0"/>
    <xf numFmtId="0" fontId="47" fillId="0" borderId="0"/>
    <xf numFmtId="0" fontId="1" fillId="0" borderId="0"/>
    <xf numFmtId="0" fontId="1" fillId="0" borderId="0"/>
    <xf numFmtId="0" fontId="47" fillId="0" borderId="0"/>
    <xf numFmtId="0" fontId="19" fillId="0" borderId="0"/>
    <xf numFmtId="0" fontId="19" fillId="0" borderId="0"/>
    <xf numFmtId="0" fontId="1" fillId="0" borderId="0"/>
    <xf numFmtId="0" fontId="1" fillId="0" borderId="0"/>
    <xf numFmtId="0" fontId="19" fillId="0" borderId="0"/>
    <xf numFmtId="0" fontId="48" fillId="0" borderId="0"/>
    <xf numFmtId="0" fontId="19" fillId="0" borderId="0"/>
    <xf numFmtId="0" fontId="48" fillId="0" borderId="0"/>
    <xf numFmtId="0" fontId="19"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 fillId="0" borderId="0"/>
    <xf numFmtId="0" fontId="1" fillId="0" borderId="0"/>
    <xf numFmtId="0" fontId="19"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 fillId="0" borderId="0"/>
    <xf numFmtId="0" fontId="20" fillId="0" borderId="0"/>
    <xf numFmtId="0" fontId="49" fillId="0" borderId="0"/>
    <xf numFmtId="0" fontId="49" fillId="0" borderId="0"/>
    <xf numFmtId="0" fontId="49" fillId="0" borderId="0"/>
    <xf numFmtId="0" fontId="1" fillId="0" borderId="0"/>
    <xf numFmtId="0" fontId="20"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1" fillId="0" borderId="0"/>
    <xf numFmtId="0" fontId="1" fillId="0" borderId="0"/>
    <xf numFmtId="0" fontId="24" fillId="0" borderId="0"/>
    <xf numFmtId="0" fontId="1" fillId="0" borderId="0"/>
    <xf numFmtId="0" fontId="9" fillId="0" borderId="5"/>
    <xf numFmtId="0" fontId="50" fillId="0" borderId="19"/>
    <xf numFmtId="0" fontId="50" fillId="0" borderId="19"/>
    <xf numFmtId="0" fontId="50" fillId="0" borderId="19"/>
    <xf numFmtId="0" fontId="1" fillId="0" borderId="0"/>
    <xf numFmtId="0" fontId="1" fillId="0" borderId="0"/>
    <xf numFmtId="0" fontId="50" fillId="0" borderId="19"/>
    <xf numFmtId="0" fontId="50" fillId="0" borderId="19"/>
    <xf numFmtId="0" fontId="50" fillId="0" borderId="19"/>
    <xf numFmtId="0" fontId="50" fillId="0" borderId="19"/>
    <xf numFmtId="0" fontId="1" fillId="0" borderId="0"/>
    <xf numFmtId="0" fontId="1" fillId="0" borderId="0"/>
    <xf numFmtId="0" fontId="50" fillId="0" borderId="19"/>
    <xf numFmtId="0" fontId="50" fillId="0" borderId="19"/>
    <xf numFmtId="0" fontId="50" fillId="0" borderId="19"/>
    <xf numFmtId="0" fontId="50" fillId="0" borderId="19"/>
    <xf numFmtId="0" fontId="1" fillId="0" borderId="0"/>
    <xf numFmtId="0" fontId="1" fillId="0" borderId="0"/>
    <xf numFmtId="0" fontId="50" fillId="0" borderId="19"/>
    <xf numFmtId="0" fontId="9" fillId="0" borderId="5"/>
    <xf numFmtId="0" fontId="9" fillId="0" borderId="5"/>
    <xf numFmtId="0" fontId="9" fillId="0" borderId="5"/>
    <xf numFmtId="0" fontId="1" fillId="0" borderId="0"/>
    <xf numFmtId="0" fontId="1" fillId="0" borderId="0"/>
    <xf numFmtId="0" fontId="9" fillId="0" borderId="5"/>
    <xf numFmtId="0" fontId="9" fillId="0" borderId="5"/>
    <xf numFmtId="0" fontId="9" fillId="0" borderId="5"/>
    <xf numFmtId="0" fontId="9" fillId="0" borderId="5"/>
    <xf numFmtId="0" fontId="1" fillId="0" borderId="0"/>
    <xf numFmtId="0" fontId="1" fillId="0" borderId="0"/>
    <xf numFmtId="0" fontId="9" fillId="0" borderId="5"/>
    <xf numFmtId="0" fontId="9" fillId="0" borderId="5"/>
    <xf numFmtId="0" fontId="9" fillId="0" borderId="5"/>
    <xf numFmtId="0" fontId="9" fillId="0" borderId="5"/>
    <xf numFmtId="0" fontId="1" fillId="0" borderId="0"/>
    <xf numFmtId="0" fontId="1" fillId="0" borderId="0"/>
    <xf numFmtId="0" fontId="9" fillId="0" borderId="5"/>
    <xf numFmtId="0" fontId="9" fillId="0" borderId="5"/>
    <xf numFmtId="0" fontId="9" fillId="0" borderId="5"/>
    <xf numFmtId="0" fontId="9" fillId="0" borderId="5"/>
    <xf numFmtId="0" fontId="1" fillId="0" borderId="0"/>
    <xf numFmtId="0" fontId="1" fillId="0" borderId="0"/>
    <xf numFmtId="0" fontId="9" fillId="0" borderId="5"/>
    <xf numFmtId="0" fontId="9" fillId="0" borderId="5"/>
    <xf numFmtId="0" fontId="9" fillId="0" borderId="5"/>
    <xf numFmtId="0" fontId="1"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1" fillId="0" borderId="0"/>
    <xf numFmtId="0" fontId="1" fillId="0" borderId="0"/>
    <xf numFmtId="0" fontId="24" fillId="0" borderId="0"/>
    <xf numFmtId="0" fontId="1" fillId="0" borderId="0"/>
    <xf numFmtId="0" fontId="10" fillId="0" borderId="6"/>
    <xf numFmtId="0" fontId="51" fillId="0" borderId="20"/>
    <xf numFmtId="0" fontId="51" fillId="0" borderId="20"/>
    <xf numFmtId="0" fontId="51" fillId="0" borderId="20"/>
    <xf numFmtId="0" fontId="1" fillId="0" borderId="0"/>
    <xf numFmtId="0" fontId="10" fillId="0" borderId="6"/>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 fillId="0" borderId="0"/>
    <xf numFmtId="0" fontId="1" fillId="0" borderId="0"/>
    <xf numFmtId="0" fontId="11" fillId="0" borderId="7"/>
    <xf numFmtId="0" fontId="32" fillId="0" borderId="21"/>
    <xf numFmtId="0" fontId="32" fillId="0" borderId="21"/>
    <xf numFmtId="0" fontId="32" fillId="0" borderId="21"/>
    <xf numFmtId="0" fontId="1" fillId="0" borderId="0"/>
    <xf numFmtId="0" fontId="11" fillId="0" borderId="7"/>
    <xf numFmtId="0" fontId="1" fillId="0" borderId="0"/>
    <xf numFmtId="0" fontId="32" fillId="0" borderId="21"/>
    <xf numFmtId="0" fontId="32" fillId="0" borderId="21"/>
    <xf numFmtId="0" fontId="32" fillId="0" borderId="21"/>
    <xf numFmtId="0" fontId="32" fillId="0" borderId="21"/>
    <xf numFmtId="0" fontId="1" fillId="0" borderId="0"/>
    <xf numFmtId="0" fontId="1" fillId="0" borderId="0"/>
    <xf numFmtId="0" fontId="32" fillId="0" borderId="21"/>
    <xf numFmtId="0" fontId="32" fillId="0" borderId="21"/>
    <xf numFmtId="0" fontId="32" fillId="0" borderId="21"/>
    <xf numFmtId="0" fontId="32" fillId="0" borderId="21"/>
    <xf numFmtId="0" fontId="1" fillId="0" borderId="0"/>
    <xf numFmtId="0" fontId="1" fillId="0" borderId="0"/>
    <xf numFmtId="0" fontId="32" fillId="0" borderId="21"/>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 fillId="0" borderId="0"/>
    <xf numFmtId="0" fontId="52" fillId="0" borderId="0"/>
    <xf numFmtId="0" fontId="52" fillId="0" borderId="0"/>
    <xf numFmtId="0" fontId="52" fillId="0" borderId="0"/>
    <xf numFmtId="0" fontId="1" fillId="0" borderId="0"/>
    <xf numFmtId="0" fontId="24" fillId="0" borderId="0"/>
    <xf numFmtId="0" fontId="1" fillId="0" borderId="0"/>
    <xf numFmtId="0" fontId="52" fillId="0" borderId="0"/>
    <xf numFmtId="0" fontId="52" fillId="0" borderId="0"/>
    <xf numFmtId="0" fontId="52" fillId="0" borderId="0"/>
    <xf numFmtId="0" fontId="52" fillId="0" borderId="0"/>
    <xf numFmtId="0" fontId="1" fillId="0" borderId="0"/>
    <xf numFmtId="0" fontId="24" fillId="0" borderId="0"/>
    <xf numFmtId="0" fontId="1" fillId="0" borderId="0"/>
    <xf numFmtId="0" fontId="52" fillId="0" borderId="0"/>
    <xf numFmtId="0" fontId="52" fillId="0" borderId="0"/>
    <xf numFmtId="0" fontId="52" fillId="0" borderId="0"/>
    <xf numFmtId="0" fontId="52" fillId="0" borderId="0"/>
    <xf numFmtId="0" fontId="1" fillId="0" borderId="0"/>
    <xf numFmtId="0" fontId="1" fillId="0" borderId="0"/>
    <xf numFmtId="0" fontId="52"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24" fillId="0" borderId="0"/>
    <xf numFmtId="0" fontId="24" fillId="0" borderId="0"/>
    <xf numFmtId="0" fontId="24" fillId="0" borderId="0"/>
    <xf numFmtId="0" fontId="1" fillId="0" borderId="0"/>
    <xf numFmtId="0" fontId="1" fillId="0" borderId="0"/>
    <xf numFmtId="0" fontId="24" fillId="0" borderId="0"/>
    <xf numFmtId="0" fontId="53" fillId="0" borderId="22"/>
    <xf numFmtId="0" fontId="53" fillId="0" borderId="22"/>
    <xf numFmtId="0" fontId="53" fillId="0" borderId="22"/>
    <xf numFmtId="0" fontId="1" fillId="0" borderId="0"/>
    <xf numFmtId="0" fontId="1" fillId="0" borderId="0"/>
    <xf numFmtId="0" fontId="53" fillId="0" borderId="22"/>
    <xf numFmtId="0" fontId="53" fillId="0" borderId="22"/>
    <xf numFmtId="0" fontId="53" fillId="0" borderId="22"/>
    <xf numFmtId="0" fontId="53" fillId="0" borderId="22"/>
    <xf numFmtId="0" fontId="1" fillId="0" borderId="0"/>
    <xf numFmtId="0" fontId="1" fillId="0" borderId="0"/>
    <xf numFmtId="0" fontId="53" fillId="0" borderId="22"/>
    <xf numFmtId="0" fontId="53" fillId="0" borderId="22"/>
    <xf numFmtId="0" fontId="53" fillId="0" borderId="22"/>
    <xf numFmtId="0" fontId="53" fillId="0" borderId="22"/>
    <xf numFmtId="0" fontId="1" fillId="0" borderId="0"/>
    <xf numFmtId="0" fontId="1" fillId="0" borderId="0"/>
    <xf numFmtId="0" fontId="53" fillId="0" borderId="22"/>
    <xf numFmtId="0" fontId="21" fillId="0" borderId="13"/>
    <xf numFmtId="0" fontId="21" fillId="0" borderId="13"/>
    <xf numFmtId="0" fontId="1" fillId="0" borderId="0"/>
    <xf numFmtId="0" fontId="1" fillId="0" borderId="0"/>
    <xf numFmtId="0" fontId="21" fillId="0" borderId="13"/>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 fillId="0" borderId="0"/>
    <xf numFmtId="0" fontId="1" fillId="0" borderId="0"/>
    <xf numFmtId="0" fontId="19" fillId="0" borderId="0"/>
    <xf numFmtId="0" fontId="54" fillId="2" borderId="0"/>
    <xf numFmtId="0" fontId="55" fillId="3" borderId="0"/>
    <xf numFmtId="0" fontId="27" fillId="73" borderId="0"/>
    <xf numFmtId="0" fontId="27" fillId="74" borderId="0"/>
    <xf numFmtId="0" fontId="27" fillId="75" borderId="0"/>
    <xf numFmtId="0" fontId="27" fillId="76" borderId="0"/>
    <xf numFmtId="0" fontId="27" fillId="77" borderId="0"/>
    <xf numFmtId="0" fontId="27" fillId="78" borderId="0"/>
    <xf numFmtId="0" fontId="56" fillId="0" borderId="0"/>
    <xf numFmtId="0" fontId="57" fillId="0" borderId="23"/>
    <xf numFmtId="0" fontId="58" fillId="0" borderId="24"/>
    <xf numFmtId="0" fontId="59" fillId="0" borderId="25"/>
    <xf numFmtId="0" fontId="59" fillId="0" borderId="0"/>
    <xf numFmtId="0" fontId="60" fillId="7" borderId="11"/>
    <xf numFmtId="0" fontId="61" fillId="0" borderId="26"/>
    <xf numFmtId="0" fontId="25" fillId="8" borderId="12"/>
    <xf numFmtId="0" fontId="62" fillId="0" borderId="0"/>
    <xf numFmtId="0" fontId="63" fillId="0" borderId="0"/>
    <xf numFmtId="0" fontId="64" fillId="6" borderId="8"/>
    <xf numFmtId="0" fontId="65" fillId="5" borderId="8"/>
    <xf numFmtId="0" fontId="66" fillId="6" borderId="9"/>
    <xf numFmtId="0" fontId="67" fillId="4" borderId="0"/>
    <xf numFmtId="0" fontId="68" fillId="0" borderId="10"/>
    <xf numFmtId="0" fontId="5" fillId="0" borderId="0"/>
    <xf numFmtId="0" fontId="69" fillId="0" borderId="0"/>
    <xf numFmtId="0" fontId="6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76" fillId="0" borderId="0" applyFont="0" applyFill="0" applyBorder="0" applyAlignment="0" applyProtection="0"/>
  </cellStyleXfs>
  <cellXfs count="67">
    <xf numFmtId="0" fontId="0" fillId="0" borderId="0" xfId="0"/>
    <xf numFmtId="0" fontId="8" fillId="0" borderId="0" xfId="0" applyFont="1"/>
    <xf numFmtId="164" fontId="8" fillId="0" borderId="0" xfId="0" applyNumberFormat="1" applyFont="1"/>
    <xf numFmtId="0" fontId="71" fillId="0" borderId="0" xfId="0" applyFont="1"/>
    <xf numFmtId="0" fontId="74" fillId="0" borderId="1" xfId="0" applyFont="1" applyBorder="1" applyAlignment="1">
      <alignment vertical="center"/>
    </xf>
    <xf numFmtId="0" fontId="74" fillId="0" borderId="3" xfId="0" applyFont="1" applyBorder="1" applyAlignment="1">
      <alignment vertical="center"/>
    </xf>
    <xf numFmtId="0" fontId="74" fillId="0" borderId="0" xfId="0" applyFont="1" applyAlignment="1">
      <alignment vertical="center"/>
    </xf>
    <xf numFmtId="164" fontId="72" fillId="0" borderId="0" xfId="30" applyNumberFormat="1" applyFont="1" applyAlignment="1">
      <alignment horizontal="center" vertical="center"/>
    </xf>
    <xf numFmtId="165" fontId="70" fillId="79" borderId="1" xfId="30" applyFont="1" applyFill="1" applyBorder="1" applyAlignment="1">
      <alignment horizontal="center" vertical="center"/>
    </xf>
    <xf numFmtId="10" fontId="8" fillId="80" borderId="0" xfId="0" applyNumberFormat="1" applyFont="1" applyFill="1" applyAlignment="1">
      <alignment horizontal="center"/>
    </xf>
    <xf numFmtId="164" fontId="72" fillId="81" borderId="1" xfId="30" applyNumberFormat="1" applyFont="1" applyFill="1" applyBorder="1" applyAlignment="1">
      <alignment horizontal="center" vertical="center"/>
    </xf>
    <xf numFmtId="164" fontId="72" fillId="81" borderId="1" xfId="31" applyNumberFormat="1" applyFont="1" applyFill="1" applyBorder="1" applyAlignment="1">
      <alignment horizontal="center"/>
    </xf>
    <xf numFmtId="0" fontId="75" fillId="82" borderId="0" xfId="0" applyFont="1" applyFill="1" applyAlignment="1">
      <alignment horizontal="center" vertical="center" wrapText="1"/>
    </xf>
    <xf numFmtId="166" fontId="0" fillId="0" borderId="0" xfId="0" applyNumberFormat="1"/>
    <xf numFmtId="1" fontId="0" fillId="0" borderId="0" xfId="0" applyNumberFormat="1"/>
    <xf numFmtId="179" fontId="75" fillId="82" borderId="0" xfId="39246" applyNumberFormat="1" applyFont="1" applyFill="1" applyAlignment="1">
      <alignment horizontal="center" vertical="center" wrapText="1"/>
    </xf>
    <xf numFmtId="179" fontId="0" fillId="0" borderId="0" xfId="39246" applyNumberFormat="1" applyFont="1"/>
    <xf numFmtId="179" fontId="77" fillId="0" borderId="0" xfId="39246" applyNumberFormat="1" applyFont="1"/>
    <xf numFmtId="0" fontId="70" fillId="79" borderId="1" xfId="0" applyFont="1" applyFill="1" applyBorder="1" applyAlignment="1">
      <alignment horizontal="center"/>
    </xf>
    <xf numFmtId="0" fontId="72" fillId="0" borderId="1" xfId="70" applyFont="1" applyBorder="1" applyProtection="1">
      <protection locked="0"/>
    </xf>
    <xf numFmtId="0" fontId="72" fillId="0" borderId="1" xfId="70" applyFont="1" applyBorder="1"/>
    <xf numFmtId="0" fontId="78" fillId="0" borderId="1" xfId="0" applyFont="1" applyBorder="1" applyAlignment="1">
      <alignment horizontal="center"/>
    </xf>
    <xf numFmtId="0" fontId="70" fillId="79" borderId="1" xfId="70" applyFont="1" applyFill="1" applyBorder="1" applyAlignment="1">
      <alignment horizontal="center"/>
    </xf>
    <xf numFmtId="0" fontId="70" fillId="79" borderId="29" xfId="70" applyFont="1" applyFill="1" applyBorder="1" applyAlignment="1">
      <alignment horizontal="center"/>
    </xf>
    <xf numFmtId="180" fontId="70" fillId="79" borderId="1" xfId="70" applyNumberFormat="1" applyFont="1" applyFill="1" applyBorder="1" applyAlignment="1">
      <alignment horizontal="center" vertical="center"/>
    </xf>
    <xf numFmtId="0" fontId="70" fillId="79" borderId="1" xfId="0" applyFont="1" applyFill="1" applyBorder="1"/>
    <xf numFmtId="44" fontId="70" fillId="79" borderId="1" xfId="39246" applyFont="1" applyFill="1" applyBorder="1"/>
    <xf numFmtId="0" fontId="79" fillId="0" borderId="1" xfId="0" applyFont="1" applyBorder="1" applyAlignment="1">
      <alignment horizontal="center"/>
    </xf>
    <xf numFmtId="164" fontId="72" fillId="0" borderId="2" xfId="70" applyNumberFormat="1" applyFont="1" applyBorder="1" applyAlignment="1">
      <alignment vertical="center"/>
    </xf>
    <xf numFmtId="164" fontId="72" fillId="0" borderId="1" xfId="70" applyNumberFormat="1" applyFont="1" applyBorder="1" applyAlignment="1">
      <alignment vertical="center"/>
    </xf>
    <xf numFmtId="0" fontId="78" fillId="0" borderId="1" xfId="0" applyFont="1" applyBorder="1"/>
    <xf numFmtId="181" fontId="78" fillId="0" borderId="1" xfId="0" applyNumberFormat="1" applyFont="1" applyBorder="1" applyAlignment="1">
      <alignment horizontal="center"/>
    </xf>
    <xf numFmtId="164" fontId="78" fillId="0" borderId="1" xfId="39246" applyNumberFormat="1" applyFont="1" applyBorder="1"/>
    <xf numFmtId="164" fontId="78" fillId="0" borderId="1" xfId="39246" applyNumberFormat="1" applyFont="1" applyFill="1" applyBorder="1"/>
    <xf numFmtId="0" fontId="74" fillId="0" borderId="30" xfId="0" applyFont="1" applyBorder="1"/>
    <xf numFmtId="0" fontId="72" fillId="0" borderId="28" xfId="70" applyFont="1" applyBorder="1" applyAlignment="1" applyProtection="1">
      <alignment horizontal="center" vertical="center"/>
      <protection locked="0"/>
    </xf>
    <xf numFmtId="0" fontId="80" fillId="0" borderId="31" xfId="0" applyFont="1" applyBorder="1"/>
    <xf numFmtId="164" fontId="70" fillId="0" borderId="35" xfId="39246" applyNumberFormat="1" applyFont="1" applyBorder="1" applyAlignment="1">
      <alignment horizontal="center" vertical="center"/>
    </xf>
    <xf numFmtId="164" fontId="70" fillId="0" borderId="1" xfId="39246" applyNumberFormat="1" applyFont="1" applyBorder="1"/>
    <xf numFmtId="164" fontId="70" fillId="79" borderId="1" xfId="39246" applyNumberFormat="1" applyFont="1" applyFill="1" applyBorder="1"/>
    <xf numFmtId="180" fontId="70" fillId="79" borderId="28" xfId="70" applyNumberFormat="1" applyFont="1" applyFill="1" applyBorder="1" applyAlignment="1">
      <alignment horizontal="center" vertical="center"/>
    </xf>
    <xf numFmtId="180" fontId="70" fillId="79" borderId="2" xfId="70" applyNumberFormat="1" applyFont="1" applyFill="1" applyBorder="1" applyAlignment="1">
      <alignment horizontal="center" vertical="center"/>
    </xf>
    <xf numFmtId="180" fontId="70" fillId="79" borderId="35" xfId="70" applyNumberFormat="1" applyFont="1" applyFill="1" applyBorder="1" applyAlignment="1">
      <alignment horizontal="center" vertical="center"/>
    </xf>
    <xf numFmtId="0" fontId="73" fillId="79" borderId="1" xfId="0" applyFont="1" applyFill="1" applyBorder="1" applyAlignment="1">
      <alignment horizontal="center"/>
    </xf>
    <xf numFmtId="0" fontId="0" fillId="0" borderId="4" xfId="0" applyBorder="1"/>
    <xf numFmtId="0" fontId="0" fillId="0" borderId="2" xfId="0" applyBorder="1"/>
    <xf numFmtId="0" fontId="74" fillId="0" borderId="1" xfId="0" applyFont="1" applyBorder="1" applyAlignment="1">
      <alignment horizontal="left" vertical="center" wrapText="1"/>
    </xf>
    <xf numFmtId="0" fontId="70" fillId="0" borderId="32" xfId="0" applyFont="1" applyBorder="1" applyAlignment="1">
      <alignment horizontal="right"/>
    </xf>
    <xf numFmtId="0" fontId="70" fillId="0" borderId="33" xfId="0" applyFont="1" applyBorder="1" applyAlignment="1">
      <alignment horizontal="right"/>
    </xf>
    <xf numFmtId="0" fontId="70" fillId="0" borderId="34" xfId="0" applyFont="1" applyBorder="1" applyAlignment="1">
      <alignment horizontal="right"/>
    </xf>
    <xf numFmtId="165" fontId="70" fillId="0" borderId="28" xfId="5" applyFont="1" applyBorder="1" applyAlignment="1">
      <alignment horizontal="right" indent="1"/>
    </xf>
    <xf numFmtId="165" fontId="70" fillId="0" borderId="4" xfId="5" applyFont="1" applyBorder="1" applyAlignment="1">
      <alignment horizontal="right" indent="1"/>
    </xf>
    <xf numFmtId="165" fontId="70" fillId="0" borderId="2" xfId="5" applyFont="1" applyBorder="1" applyAlignment="1">
      <alignment horizontal="right" indent="1"/>
    </xf>
    <xf numFmtId="165" fontId="70" fillId="79" borderId="28" xfId="5" applyFont="1" applyFill="1" applyBorder="1" applyAlignment="1">
      <alignment horizontal="right"/>
    </xf>
    <xf numFmtId="165" fontId="70" fillId="79" borderId="4" xfId="5" applyFont="1" applyFill="1" applyBorder="1" applyAlignment="1">
      <alignment horizontal="right"/>
    </xf>
    <xf numFmtId="165" fontId="70" fillId="79" borderId="2" xfId="5" applyFont="1" applyFill="1" applyBorder="1" applyAlignment="1">
      <alignment horizontal="right"/>
    </xf>
    <xf numFmtId="0" fontId="70" fillId="79" borderId="27" xfId="0" applyFont="1" applyFill="1" applyBorder="1" applyAlignment="1">
      <alignment horizontal="center"/>
    </xf>
    <xf numFmtId="0" fontId="70" fillId="79" borderId="0" xfId="0" applyFont="1" applyFill="1" applyAlignment="1">
      <alignment horizontal="center"/>
    </xf>
    <xf numFmtId="0" fontId="70" fillId="79" borderId="28" xfId="70" applyFont="1" applyFill="1" applyBorder="1" applyAlignment="1">
      <alignment horizontal="center"/>
    </xf>
    <xf numFmtId="0" fontId="70" fillId="79" borderId="4" xfId="70" applyFont="1" applyFill="1" applyBorder="1" applyAlignment="1">
      <alignment horizontal="center"/>
    </xf>
    <xf numFmtId="0" fontId="70" fillId="79" borderId="2" xfId="70" applyFont="1" applyFill="1" applyBorder="1" applyAlignment="1">
      <alignment horizontal="center"/>
    </xf>
    <xf numFmtId="0" fontId="70" fillId="79" borderId="1" xfId="0" applyFont="1" applyFill="1" applyBorder="1" applyAlignment="1">
      <alignment horizontal="center"/>
    </xf>
    <xf numFmtId="17" fontId="70" fillId="79" borderId="28" xfId="70" applyNumberFormat="1" applyFont="1" applyFill="1" applyBorder="1" applyAlignment="1" applyProtection="1">
      <alignment horizontal="center"/>
      <protection locked="0"/>
    </xf>
    <xf numFmtId="17" fontId="70" fillId="79" borderId="4" xfId="70" applyNumberFormat="1" applyFont="1" applyFill="1" applyBorder="1" applyAlignment="1" applyProtection="1">
      <alignment horizontal="center"/>
      <protection locked="0"/>
    </xf>
    <xf numFmtId="17" fontId="70" fillId="79" borderId="2" xfId="70" applyNumberFormat="1" applyFont="1" applyFill="1" applyBorder="1" applyAlignment="1" applyProtection="1">
      <alignment horizontal="center"/>
      <protection locked="0"/>
    </xf>
    <xf numFmtId="17" fontId="70" fillId="79" borderId="1" xfId="0" applyNumberFormat="1" applyFont="1" applyFill="1" applyBorder="1" applyAlignment="1">
      <alignment horizontal="center"/>
    </xf>
    <xf numFmtId="0" fontId="78" fillId="0" borderId="1" xfId="0" applyFont="1" applyBorder="1" applyAlignment="1">
      <alignment horizontal="center"/>
    </xf>
  </cellXfs>
  <cellStyles count="39247">
    <cellStyle name="20% - Accent1" xfId="81" xr:uid="{00000000-0005-0000-0000-000051000000}"/>
    <cellStyle name="20% - Accent1 2" xfId="82" xr:uid="{00000000-0005-0000-0000-000052000000}"/>
    <cellStyle name="20% - Accent1 3" xfId="83" xr:uid="{00000000-0005-0000-0000-000053000000}"/>
    <cellStyle name="20% - Accent1 4" xfId="84" xr:uid="{00000000-0005-0000-0000-000054000000}"/>
    <cellStyle name="20% - Accent1 5" xfId="85" xr:uid="{00000000-0005-0000-0000-000055000000}"/>
    <cellStyle name="20% - Accent2" xfId="86" xr:uid="{00000000-0005-0000-0000-000056000000}"/>
    <cellStyle name="20% - Accent2 2" xfId="87" xr:uid="{00000000-0005-0000-0000-000057000000}"/>
    <cellStyle name="20% - Accent2 3" xfId="88" xr:uid="{00000000-0005-0000-0000-000058000000}"/>
    <cellStyle name="20% - Accent2 4" xfId="89" xr:uid="{00000000-0005-0000-0000-000059000000}"/>
    <cellStyle name="20% - Accent2 5" xfId="90" xr:uid="{00000000-0005-0000-0000-00005A000000}"/>
    <cellStyle name="20% - Accent3" xfId="91" xr:uid="{00000000-0005-0000-0000-00005B000000}"/>
    <cellStyle name="20% - Accent3 2" xfId="92" xr:uid="{00000000-0005-0000-0000-00005C000000}"/>
    <cellStyle name="20% - Accent3 3" xfId="93" xr:uid="{00000000-0005-0000-0000-00005D000000}"/>
    <cellStyle name="20% - Accent3 4" xfId="94" xr:uid="{00000000-0005-0000-0000-00005E000000}"/>
    <cellStyle name="20% - Accent3 5" xfId="95" xr:uid="{00000000-0005-0000-0000-00005F000000}"/>
    <cellStyle name="20% - Accent4" xfId="96" xr:uid="{00000000-0005-0000-0000-000060000000}"/>
    <cellStyle name="20% - Accent4 2" xfId="97" xr:uid="{00000000-0005-0000-0000-000061000000}"/>
    <cellStyle name="20% - Accent4 3" xfId="98" xr:uid="{00000000-0005-0000-0000-000062000000}"/>
    <cellStyle name="20% - Accent4 4" xfId="99" xr:uid="{00000000-0005-0000-0000-000063000000}"/>
    <cellStyle name="20% - Accent4 5" xfId="100" xr:uid="{00000000-0005-0000-0000-000064000000}"/>
    <cellStyle name="20% - Accent5" xfId="101" xr:uid="{00000000-0005-0000-0000-000065000000}"/>
    <cellStyle name="20% - Accent5 2" xfId="102" xr:uid="{00000000-0005-0000-0000-000066000000}"/>
    <cellStyle name="20% - Accent5 3" xfId="103" xr:uid="{00000000-0005-0000-0000-000067000000}"/>
    <cellStyle name="20% - Accent5 4" xfId="104" xr:uid="{00000000-0005-0000-0000-000068000000}"/>
    <cellStyle name="20% - Accent5 5" xfId="105" xr:uid="{00000000-0005-0000-0000-000069000000}"/>
    <cellStyle name="20% - Accent6" xfId="106" xr:uid="{00000000-0005-0000-0000-00006A000000}"/>
    <cellStyle name="20% - Accent6 2" xfId="107" xr:uid="{00000000-0005-0000-0000-00006B000000}"/>
    <cellStyle name="20% - Accent6 3" xfId="108" xr:uid="{00000000-0005-0000-0000-00006C000000}"/>
    <cellStyle name="20% - Accent6 4" xfId="109" xr:uid="{00000000-0005-0000-0000-00006D000000}"/>
    <cellStyle name="20% - Accent6 5" xfId="110" xr:uid="{00000000-0005-0000-0000-00006E000000}"/>
    <cellStyle name="20% - Énfasis1 2" xfId="111" xr:uid="{00000000-0005-0000-0000-00006F000000}"/>
    <cellStyle name="20% - Énfasis1 2 2" xfId="112" xr:uid="{00000000-0005-0000-0000-000070000000}"/>
    <cellStyle name="20% - Énfasis1 3" xfId="113" xr:uid="{00000000-0005-0000-0000-000071000000}"/>
    <cellStyle name="20% - Énfasis1 4" xfId="114" xr:uid="{00000000-0005-0000-0000-000072000000}"/>
    <cellStyle name="20% - Énfasis1 5" xfId="115" xr:uid="{00000000-0005-0000-0000-000073000000}"/>
    <cellStyle name="20% - Énfasis1 6" xfId="116" xr:uid="{00000000-0005-0000-0000-000074000000}"/>
    <cellStyle name="20% - Énfasis1 7" xfId="117" xr:uid="{00000000-0005-0000-0000-000075000000}"/>
    <cellStyle name="20% - Énfasis1 8" xfId="118" xr:uid="{00000000-0005-0000-0000-000076000000}"/>
    <cellStyle name="20% - Énfasis2 2" xfId="119" xr:uid="{00000000-0005-0000-0000-000077000000}"/>
    <cellStyle name="20% - Énfasis2 2 2" xfId="120" xr:uid="{00000000-0005-0000-0000-000078000000}"/>
    <cellStyle name="20% - Énfasis2 3" xfId="121" xr:uid="{00000000-0005-0000-0000-000079000000}"/>
    <cellStyle name="20% - Énfasis2 4" xfId="122" xr:uid="{00000000-0005-0000-0000-00007A000000}"/>
    <cellStyle name="20% - Énfasis2 5" xfId="123" xr:uid="{00000000-0005-0000-0000-00007B000000}"/>
    <cellStyle name="20% - Énfasis2 6" xfId="124" xr:uid="{00000000-0005-0000-0000-00007C000000}"/>
    <cellStyle name="20% - Énfasis2 7" xfId="125" xr:uid="{00000000-0005-0000-0000-00007D000000}"/>
    <cellStyle name="20% - Énfasis2 8" xfId="126" xr:uid="{00000000-0005-0000-0000-00007E000000}"/>
    <cellStyle name="20% - Énfasis3 2" xfId="127" xr:uid="{00000000-0005-0000-0000-00007F000000}"/>
    <cellStyle name="20% - Énfasis3 2 2" xfId="128" xr:uid="{00000000-0005-0000-0000-000080000000}"/>
    <cellStyle name="20% - Énfasis3 3" xfId="129" xr:uid="{00000000-0005-0000-0000-000081000000}"/>
    <cellStyle name="20% - Énfasis3 4" xfId="130" xr:uid="{00000000-0005-0000-0000-000082000000}"/>
    <cellStyle name="20% - Énfasis3 5" xfId="131" xr:uid="{00000000-0005-0000-0000-000083000000}"/>
    <cellStyle name="20% - Énfasis3 6" xfId="132" xr:uid="{00000000-0005-0000-0000-000084000000}"/>
    <cellStyle name="20% - Énfasis3 7" xfId="133" xr:uid="{00000000-0005-0000-0000-000085000000}"/>
    <cellStyle name="20% - Énfasis3 8" xfId="134" xr:uid="{00000000-0005-0000-0000-000086000000}"/>
    <cellStyle name="20% - Énfasis4 2" xfId="135" xr:uid="{00000000-0005-0000-0000-000087000000}"/>
    <cellStyle name="20% - Énfasis4 2 2" xfId="136" xr:uid="{00000000-0005-0000-0000-000088000000}"/>
    <cellStyle name="20% - Énfasis4 3" xfId="137" xr:uid="{00000000-0005-0000-0000-000089000000}"/>
    <cellStyle name="20% - Énfasis4 4" xfId="138" xr:uid="{00000000-0005-0000-0000-00008A000000}"/>
    <cellStyle name="20% - Énfasis4 5" xfId="139" xr:uid="{00000000-0005-0000-0000-00008B000000}"/>
    <cellStyle name="20% - Énfasis4 6" xfId="140" xr:uid="{00000000-0005-0000-0000-00008C000000}"/>
    <cellStyle name="20% - Énfasis4 7" xfId="141" xr:uid="{00000000-0005-0000-0000-00008D000000}"/>
    <cellStyle name="20% - Énfasis4 8" xfId="142" xr:uid="{00000000-0005-0000-0000-00008E000000}"/>
    <cellStyle name="20% - Énfasis5 2" xfId="143" xr:uid="{00000000-0005-0000-0000-00008F000000}"/>
    <cellStyle name="20% - Énfasis5 2 2" xfId="144" xr:uid="{00000000-0005-0000-0000-000090000000}"/>
    <cellStyle name="20% - Énfasis5 3" xfId="145" xr:uid="{00000000-0005-0000-0000-000091000000}"/>
    <cellStyle name="20% - Énfasis5 4" xfId="146" xr:uid="{00000000-0005-0000-0000-000092000000}"/>
    <cellStyle name="20% - Énfasis5 5" xfId="147" xr:uid="{00000000-0005-0000-0000-000093000000}"/>
    <cellStyle name="20% - Énfasis5 6" xfId="148" xr:uid="{00000000-0005-0000-0000-000094000000}"/>
    <cellStyle name="20% - Énfasis5 7" xfId="149" xr:uid="{00000000-0005-0000-0000-000095000000}"/>
    <cellStyle name="20% - Énfasis5 8" xfId="150" xr:uid="{00000000-0005-0000-0000-000096000000}"/>
    <cellStyle name="20% - Énfasis6 2" xfId="151" xr:uid="{00000000-0005-0000-0000-000097000000}"/>
    <cellStyle name="20% - Énfasis6 2 2" xfId="152" xr:uid="{00000000-0005-0000-0000-000098000000}"/>
    <cellStyle name="20% - Énfasis6 3" xfId="153" xr:uid="{00000000-0005-0000-0000-000099000000}"/>
    <cellStyle name="20% - Énfasis6 4" xfId="154" xr:uid="{00000000-0005-0000-0000-00009A000000}"/>
    <cellStyle name="20% - Énfasis6 5" xfId="155" xr:uid="{00000000-0005-0000-0000-00009B000000}"/>
    <cellStyle name="20% - Énfasis6 6" xfId="156" xr:uid="{00000000-0005-0000-0000-00009C000000}"/>
    <cellStyle name="20% - Énfasis6 7" xfId="157" xr:uid="{00000000-0005-0000-0000-00009D000000}"/>
    <cellStyle name="20% - Énfasis6 8" xfId="158" xr:uid="{00000000-0005-0000-0000-00009E000000}"/>
    <cellStyle name="20% - 强调文字颜色 1" xfId="159" xr:uid="{00000000-0005-0000-0000-00009F000000}"/>
    <cellStyle name="20% - 强调文字颜色 2" xfId="160" xr:uid="{00000000-0005-0000-0000-0000A0000000}"/>
    <cellStyle name="20% - 强调文字颜色 3" xfId="161" xr:uid="{00000000-0005-0000-0000-0000A1000000}"/>
    <cellStyle name="20% - 强调文字颜色 4" xfId="162" xr:uid="{00000000-0005-0000-0000-0000A2000000}"/>
    <cellStyle name="20% - 强调文字颜色 5" xfId="163" xr:uid="{00000000-0005-0000-0000-0000A3000000}"/>
    <cellStyle name="20% - 强调文字颜色 6" xfId="164" xr:uid="{00000000-0005-0000-0000-0000A4000000}"/>
    <cellStyle name="40% - Accent1" xfId="165" xr:uid="{00000000-0005-0000-0000-0000A5000000}"/>
    <cellStyle name="40% - Accent1 2" xfId="166" xr:uid="{00000000-0005-0000-0000-0000A6000000}"/>
    <cellStyle name="40% - Accent1 3" xfId="167" xr:uid="{00000000-0005-0000-0000-0000A7000000}"/>
    <cellStyle name="40% - Accent1 4" xfId="168" xr:uid="{00000000-0005-0000-0000-0000A8000000}"/>
    <cellStyle name="40% - Accent1 5" xfId="169" xr:uid="{00000000-0005-0000-0000-0000A9000000}"/>
    <cellStyle name="40% - Accent2" xfId="170" xr:uid="{00000000-0005-0000-0000-0000AA000000}"/>
    <cellStyle name="40% - Accent2 2" xfId="171" xr:uid="{00000000-0005-0000-0000-0000AB000000}"/>
    <cellStyle name="40% - Accent2 3" xfId="172" xr:uid="{00000000-0005-0000-0000-0000AC000000}"/>
    <cellStyle name="40% - Accent2 4" xfId="173" xr:uid="{00000000-0005-0000-0000-0000AD000000}"/>
    <cellStyle name="40% - Accent2 5" xfId="174" xr:uid="{00000000-0005-0000-0000-0000AE000000}"/>
    <cellStyle name="40% - Accent3" xfId="175" xr:uid="{00000000-0005-0000-0000-0000AF000000}"/>
    <cellStyle name="40% - Accent3 2" xfId="176" xr:uid="{00000000-0005-0000-0000-0000B0000000}"/>
    <cellStyle name="40% - Accent3 3" xfId="177" xr:uid="{00000000-0005-0000-0000-0000B1000000}"/>
    <cellStyle name="40% - Accent3 4" xfId="178" xr:uid="{00000000-0005-0000-0000-0000B2000000}"/>
    <cellStyle name="40% - Accent3 5" xfId="179" xr:uid="{00000000-0005-0000-0000-0000B3000000}"/>
    <cellStyle name="40% - Accent4" xfId="180" xr:uid="{00000000-0005-0000-0000-0000B4000000}"/>
    <cellStyle name="40% - Accent4 2" xfId="181" xr:uid="{00000000-0005-0000-0000-0000B5000000}"/>
    <cellStyle name="40% - Accent4 3" xfId="182" xr:uid="{00000000-0005-0000-0000-0000B6000000}"/>
    <cellStyle name="40% - Accent4 4" xfId="183" xr:uid="{00000000-0005-0000-0000-0000B7000000}"/>
    <cellStyle name="40% - Accent4 5" xfId="184" xr:uid="{00000000-0005-0000-0000-0000B8000000}"/>
    <cellStyle name="40% - Accent5" xfId="185" xr:uid="{00000000-0005-0000-0000-0000B9000000}"/>
    <cellStyle name="40% - Accent5 2" xfId="186" xr:uid="{00000000-0005-0000-0000-0000BA000000}"/>
    <cellStyle name="40% - Accent5 3" xfId="187" xr:uid="{00000000-0005-0000-0000-0000BB000000}"/>
    <cellStyle name="40% - Accent5 4" xfId="188" xr:uid="{00000000-0005-0000-0000-0000BC000000}"/>
    <cellStyle name="40% - Accent5 5" xfId="189" xr:uid="{00000000-0005-0000-0000-0000BD000000}"/>
    <cellStyle name="40% - Accent6" xfId="190" xr:uid="{00000000-0005-0000-0000-0000BE000000}"/>
    <cellStyle name="40% - Accent6 2" xfId="191" xr:uid="{00000000-0005-0000-0000-0000BF000000}"/>
    <cellStyle name="40% - Accent6 3" xfId="192" xr:uid="{00000000-0005-0000-0000-0000C0000000}"/>
    <cellStyle name="40% - Accent6 4" xfId="193" xr:uid="{00000000-0005-0000-0000-0000C1000000}"/>
    <cellStyle name="40% - Accent6 5" xfId="194" xr:uid="{00000000-0005-0000-0000-0000C2000000}"/>
    <cellStyle name="40% - Énfasis1 2" xfId="195" xr:uid="{00000000-0005-0000-0000-0000C3000000}"/>
    <cellStyle name="40% - Énfasis1 2 2" xfId="196" xr:uid="{00000000-0005-0000-0000-0000C4000000}"/>
    <cellStyle name="40% - Énfasis1 3" xfId="197" xr:uid="{00000000-0005-0000-0000-0000C5000000}"/>
    <cellStyle name="40% - Énfasis1 4" xfId="198" xr:uid="{00000000-0005-0000-0000-0000C6000000}"/>
    <cellStyle name="40% - Énfasis1 5" xfId="199" xr:uid="{00000000-0005-0000-0000-0000C7000000}"/>
    <cellStyle name="40% - Énfasis1 6" xfId="200" xr:uid="{00000000-0005-0000-0000-0000C8000000}"/>
    <cellStyle name="40% - Énfasis1 7" xfId="201" xr:uid="{00000000-0005-0000-0000-0000C9000000}"/>
    <cellStyle name="40% - Énfasis1 8" xfId="202" xr:uid="{00000000-0005-0000-0000-0000CA000000}"/>
    <cellStyle name="40% - Énfasis2 2" xfId="203" xr:uid="{00000000-0005-0000-0000-0000CB000000}"/>
    <cellStyle name="40% - Énfasis2 2 2" xfId="204" xr:uid="{00000000-0005-0000-0000-0000CC000000}"/>
    <cellStyle name="40% - Énfasis2 3" xfId="205" xr:uid="{00000000-0005-0000-0000-0000CD000000}"/>
    <cellStyle name="40% - Énfasis2 4" xfId="206" xr:uid="{00000000-0005-0000-0000-0000CE000000}"/>
    <cellStyle name="40% - Énfasis2 5" xfId="207" xr:uid="{00000000-0005-0000-0000-0000CF000000}"/>
    <cellStyle name="40% - Énfasis2 6" xfId="208" xr:uid="{00000000-0005-0000-0000-0000D0000000}"/>
    <cellStyle name="40% - Énfasis2 7" xfId="209" xr:uid="{00000000-0005-0000-0000-0000D1000000}"/>
    <cellStyle name="40% - Énfasis2 8" xfId="210" xr:uid="{00000000-0005-0000-0000-0000D2000000}"/>
    <cellStyle name="40% - Énfasis3 2" xfId="211" xr:uid="{00000000-0005-0000-0000-0000D3000000}"/>
    <cellStyle name="40% - Énfasis3 2 2" xfId="212" xr:uid="{00000000-0005-0000-0000-0000D4000000}"/>
    <cellStyle name="40% - Énfasis3 3" xfId="213" xr:uid="{00000000-0005-0000-0000-0000D5000000}"/>
    <cellStyle name="40% - Énfasis3 4" xfId="214" xr:uid="{00000000-0005-0000-0000-0000D6000000}"/>
    <cellStyle name="40% - Énfasis3 5" xfId="215" xr:uid="{00000000-0005-0000-0000-0000D7000000}"/>
    <cellStyle name="40% - Énfasis3 6" xfId="216" xr:uid="{00000000-0005-0000-0000-0000D8000000}"/>
    <cellStyle name="40% - Énfasis3 7" xfId="217" xr:uid="{00000000-0005-0000-0000-0000D9000000}"/>
    <cellStyle name="40% - Énfasis3 8" xfId="218" xr:uid="{00000000-0005-0000-0000-0000DA000000}"/>
    <cellStyle name="40% - Énfasis4 2" xfId="219" xr:uid="{00000000-0005-0000-0000-0000DB000000}"/>
    <cellStyle name="40% - Énfasis4 2 2" xfId="220" xr:uid="{00000000-0005-0000-0000-0000DC000000}"/>
    <cellStyle name="40% - Énfasis4 3" xfId="221" xr:uid="{00000000-0005-0000-0000-0000DD000000}"/>
    <cellStyle name="40% - Énfasis4 4" xfId="222" xr:uid="{00000000-0005-0000-0000-0000DE000000}"/>
    <cellStyle name="40% - Énfasis4 5" xfId="223" xr:uid="{00000000-0005-0000-0000-0000DF000000}"/>
    <cellStyle name="40% - Énfasis4 6" xfId="224" xr:uid="{00000000-0005-0000-0000-0000E0000000}"/>
    <cellStyle name="40% - Énfasis4 7" xfId="225" xr:uid="{00000000-0005-0000-0000-0000E1000000}"/>
    <cellStyle name="40% - Énfasis4 8" xfId="226" xr:uid="{00000000-0005-0000-0000-0000E2000000}"/>
    <cellStyle name="40% - Énfasis5 2" xfId="227" xr:uid="{00000000-0005-0000-0000-0000E3000000}"/>
    <cellStyle name="40% - Énfasis5 2 2" xfId="228" xr:uid="{00000000-0005-0000-0000-0000E4000000}"/>
    <cellStyle name="40% - Énfasis5 3" xfId="229" xr:uid="{00000000-0005-0000-0000-0000E5000000}"/>
    <cellStyle name="40% - Énfasis5 4" xfId="230" xr:uid="{00000000-0005-0000-0000-0000E6000000}"/>
    <cellStyle name="40% - Énfasis5 5" xfId="231" xr:uid="{00000000-0005-0000-0000-0000E7000000}"/>
    <cellStyle name="40% - Énfasis5 6" xfId="232" xr:uid="{00000000-0005-0000-0000-0000E8000000}"/>
    <cellStyle name="40% - Énfasis5 7" xfId="233" xr:uid="{00000000-0005-0000-0000-0000E9000000}"/>
    <cellStyle name="40% - Énfasis5 8" xfId="234" xr:uid="{00000000-0005-0000-0000-0000EA000000}"/>
    <cellStyle name="40% - Énfasis6 2" xfId="235" xr:uid="{00000000-0005-0000-0000-0000EB000000}"/>
    <cellStyle name="40% - Énfasis6 2 2" xfId="236" xr:uid="{00000000-0005-0000-0000-0000EC000000}"/>
    <cellStyle name="40% - Énfasis6 3" xfId="237" xr:uid="{00000000-0005-0000-0000-0000ED000000}"/>
    <cellStyle name="40% - Énfasis6 4" xfId="238" xr:uid="{00000000-0005-0000-0000-0000EE000000}"/>
    <cellStyle name="40% - Énfasis6 5" xfId="239" xr:uid="{00000000-0005-0000-0000-0000EF000000}"/>
    <cellStyle name="40% - Énfasis6 6" xfId="240" xr:uid="{00000000-0005-0000-0000-0000F0000000}"/>
    <cellStyle name="40% - Énfasis6 7" xfId="241" xr:uid="{00000000-0005-0000-0000-0000F1000000}"/>
    <cellStyle name="40% - Énfasis6 8" xfId="242" xr:uid="{00000000-0005-0000-0000-0000F2000000}"/>
    <cellStyle name="40% - 强调文字颜色 1" xfId="243" xr:uid="{00000000-0005-0000-0000-0000F3000000}"/>
    <cellStyle name="40% - 强调文字颜色 2" xfId="244" xr:uid="{00000000-0005-0000-0000-0000F4000000}"/>
    <cellStyle name="40% - 强调文字颜色 3" xfId="245" xr:uid="{00000000-0005-0000-0000-0000F5000000}"/>
    <cellStyle name="40% - 强调文字颜色 4" xfId="246" xr:uid="{00000000-0005-0000-0000-0000F6000000}"/>
    <cellStyle name="40% - 强调文字颜色 5" xfId="247" xr:uid="{00000000-0005-0000-0000-0000F7000000}"/>
    <cellStyle name="40% - 强调文字颜色 6" xfId="248" xr:uid="{00000000-0005-0000-0000-0000F8000000}"/>
    <cellStyle name="60% - Accent1" xfId="249" xr:uid="{00000000-0005-0000-0000-0000F9000000}"/>
    <cellStyle name="60% - Accent1 2" xfId="250" xr:uid="{00000000-0005-0000-0000-0000FA000000}"/>
    <cellStyle name="60% - Accent1 3" xfId="251" xr:uid="{00000000-0005-0000-0000-0000FB000000}"/>
    <cellStyle name="60% - Accent1 4" xfId="252" xr:uid="{00000000-0005-0000-0000-0000FC000000}"/>
    <cellStyle name="60% - Accent1 5" xfId="253" xr:uid="{00000000-0005-0000-0000-0000FD000000}"/>
    <cellStyle name="60% - Accent2" xfId="254" xr:uid="{00000000-0005-0000-0000-0000FE000000}"/>
    <cellStyle name="60% - Accent2 2" xfId="255" xr:uid="{00000000-0005-0000-0000-0000FF000000}"/>
    <cellStyle name="60% - Accent2 3" xfId="256" xr:uid="{00000000-0005-0000-0000-000000010000}"/>
    <cellStyle name="60% - Accent2 4" xfId="257" xr:uid="{00000000-0005-0000-0000-000001010000}"/>
    <cellStyle name="60% - Accent2 5" xfId="258" xr:uid="{00000000-0005-0000-0000-000002010000}"/>
    <cellStyle name="60% - Accent3" xfId="259" xr:uid="{00000000-0005-0000-0000-000003010000}"/>
    <cellStyle name="60% - Accent3 2" xfId="260" xr:uid="{00000000-0005-0000-0000-000004010000}"/>
    <cellStyle name="60% - Accent3 3" xfId="261" xr:uid="{00000000-0005-0000-0000-000005010000}"/>
    <cellStyle name="60% - Accent3 4" xfId="262" xr:uid="{00000000-0005-0000-0000-000006010000}"/>
    <cellStyle name="60% - Accent3 5" xfId="263" xr:uid="{00000000-0005-0000-0000-000007010000}"/>
    <cellStyle name="60% - Accent4" xfId="264" xr:uid="{00000000-0005-0000-0000-000008010000}"/>
    <cellStyle name="60% - Accent4 2" xfId="265" xr:uid="{00000000-0005-0000-0000-000009010000}"/>
    <cellStyle name="60% - Accent4 3" xfId="266" xr:uid="{00000000-0005-0000-0000-00000A010000}"/>
    <cellStyle name="60% - Accent4 4" xfId="267" xr:uid="{00000000-0005-0000-0000-00000B010000}"/>
    <cellStyle name="60% - Accent4 5" xfId="268" xr:uid="{00000000-0005-0000-0000-00000C010000}"/>
    <cellStyle name="60% - Accent5" xfId="269" xr:uid="{00000000-0005-0000-0000-00000D010000}"/>
    <cellStyle name="60% - Accent5 2" xfId="270" xr:uid="{00000000-0005-0000-0000-00000E010000}"/>
    <cellStyle name="60% - Accent5 3" xfId="271" xr:uid="{00000000-0005-0000-0000-00000F010000}"/>
    <cellStyle name="60% - Accent5 4" xfId="272" xr:uid="{00000000-0005-0000-0000-000010010000}"/>
    <cellStyle name="60% - Accent5 5" xfId="273" xr:uid="{00000000-0005-0000-0000-000011010000}"/>
    <cellStyle name="60% - Accent6" xfId="274" xr:uid="{00000000-0005-0000-0000-000012010000}"/>
    <cellStyle name="60% - Accent6 2" xfId="275" xr:uid="{00000000-0005-0000-0000-000013010000}"/>
    <cellStyle name="60% - Accent6 3" xfId="276" xr:uid="{00000000-0005-0000-0000-000014010000}"/>
    <cellStyle name="60% - Accent6 4" xfId="277" xr:uid="{00000000-0005-0000-0000-000015010000}"/>
    <cellStyle name="60% - Accent6 5" xfId="278" xr:uid="{00000000-0005-0000-0000-000016010000}"/>
    <cellStyle name="60% - Énfasis1 2" xfId="279" xr:uid="{00000000-0005-0000-0000-000017010000}"/>
    <cellStyle name="60% - Énfasis1 2 2" xfId="280" xr:uid="{00000000-0005-0000-0000-000018010000}"/>
    <cellStyle name="60% - Énfasis1 3" xfId="281" xr:uid="{00000000-0005-0000-0000-000019010000}"/>
    <cellStyle name="60% - Énfasis1 4" xfId="282" xr:uid="{00000000-0005-0000-0000-00001A010000}"/>
    <cellStyle name="60% - Énfasis1 5" xfId="283" xr:uid="{00000000-0005-0000-0000-00001B010000}"/>
    <cellStyle name="60% - Énfasis1 6" xfId="284" xr:uid="{00000000-0005-0000-0000-00001C010000}"/>
    <cellStyle name="60% - Énfasis1 7" xfId="285" xr:uid="{00000000-0005-0000-0000-00001D010000}"/>
    <cellStyle name="60% - Énfasis1 8" xfId="286" xr:uid="{00000000-0005-0000-0000-00001E010000}"/>
    <cellStyle name="60% - Énfasis2 2" xfId="287" xr:uid="{00000000-0005-0000-0000-00001F010000}"/>
    <cellStyle name="60% - Énfasis2 2 2" xfId="288" xr:uid="{00000000-0005-0000-0000-000020010000}"/>
    <cellStyle name="60% - Énfasis2 3" xfId="289" xr:uid="{00000000-0005-0000-0000-000021010000}"/>
    <cellStyle name="60% - Énfasis2 4" xfId="290" xr:uid="{00000000-0005-0000-0000-000022010000}"/>
    <cellStyle name="60% - Énfasis2 5" xfId="291" xr:uid="{00000000-0005-0000-0000-000023010000}"/>
    <cellStyle name="60% - Énfasis2 6" xfId="292" xr:uid="{00000000-0005-0000-0000-000024010000}"/>
    <cellStyle name="60% - Énfasis2 7" xfId="293" xr:uid="{00000000-0005-0000-0000-000025010000}"/>
    <cellStyle name="60% - Énfasis2 8" xfId="294" xr:uid="{00000000-0005-0000-0000-000026010000}"/>
    <cellStyle name="60% - Énfasis3 2" xfId="295" xr:uid="{00000000-0005-0000-0000-000027010000}"/>
    <cellStyle name="60% - Énfasis3 2 2" xfId="296" xr:uid="{00000000-0005-0000-0000-000028010000}"/>
    <cellStyle name="60% - Énfasis3 3" xfId="297" xr:uid="{00000000-0005-0000-0000-000029010000}"/>
    <cellStyle name="60% - Énfasis3 4" xfId="298" xr:uid="{00000000-0005-0000-0000-00002A010000}"/>
    <cellStyle name="60% - Énfasis3 5" xfId="299" xr:uid="{00000000-0005-0000-0000-00002B010000}"/>
    <cellStyle name="60% - Énfasis3 6" xfId="300" xr:uid="{00000000-0005-0000-0000-00002C010000}"/>
    <cellStyle name="60% - Énfasis3 7" xfId="301" xr:uid="{00000000-0005-0000-0000-00002D010000}"/>
    <cellStyle name="60% - Énfasis3 8" xfId="302" xr:uid="{00000000-0005-0000-0000-00002E010000}"/>
    <cellStyle name="60% - Énfasis4 2" xfId="303" xr:uid="{00000000-0005-0000-0000-00002F010000}"/>
    <cellStyle name="60% - Énfasis4 2 2" xfId="304" xr:uid="{00000000-0005-0000-0000-000030010000}"/>
    <cellStyle name="60% - Énfasis4 3" xfId="305" xr:uid="{00000000-0005-0000-0000-000031010000}"/>
    <cellStyle name="60% - Énfasis4 4" xfId="306" xr:uid="{00000000-0005-0000-0000-000032010000}"/>
    <cellStyle name="60% - Énfasis4 5" xfId="307" xr:uid="{00000000-0005-0000-0000-000033010000}"/>
    <cellStyle name="60% - Énfasis4 6" xfId="308" xr:uid="{00000000-0005-0000-0000-000034010000}"/>
    <cellStyle name="60% - Énfasis4 7" xfId="309" xr:uid="{00000000-0005-0000-0000-000035010000}"/>
    <cellStyle name="60% - Énfasis4 8" xfId="310" xr:uid="{00000000-0005-0000-0000-000036010000}"/>
    <cellStyle name="60% - Énfasis5 2" xfId="311" xr:uid="{00000000-0005-0000-0000-000037010000}"/>
    <cellStyle name="60% - Énfasis5 2 2" xfId="312" xr:uid="{00000000-0005-0000-0000-000038010000}"/>
    <cellStyle name="60% - Énfasis5 3" xfId="313" xr:uid="{00000000-0005-0000-0000-000039010000}"/>
    <cellStyle name="60% - Énfasis5 4" xfId="314" xr:uid="{00000000-0005-0000-0000-00003A010000}"/>
    <cellStyle name="60% - Énfasis5 5" xfId="315" xr:uid="{00000000-0005-0000-0000-00003B010000}"/>
    <cellStyle name="60% - Énfasis5 6" xfId="316" xr:uid="{00000000-0005-0000-0000-00003C010000}"/>
    <cellStyle name="60% - Énfasis5 7" xfId="317" xr:uid="{00000000-0005-0000-0000-00003D010000}"/>
    <cellStyle name="60% - Énfasis5 8" xfId="318" xr:uid="{00000000-0005-0000-0000-00003E010000}"/>
    <cellStyle name="60% - Énfasis6 2" xfId="319" xr:uid="{00000000-0005-0000-0000-00003F010000}"/>
    <cellStyle name="60% - Énfasis6 2 2" xfId="320" xr:uid="{00000000-0005-0000-0000-000040010000}"/>
    <cellStyle name="60% - Énfasis6 3" xfId="321" xr:uid="{00000000-0005-0000-0000-000041010000}"/>
    <cellStyle name="60% - Énfasis6 4" xfId="322" xr:uid="{00000000-0005-0000-0000-000042010000}"/>
    <cellStyle name="60% - Énfasis6 5" xfId="323" xr:uid="{00000000-0005-0000-0000-000043010000}"/>
    <cellStyle name="60% - Énfasis6 6" xfId="324" xr:uid="{00000000-0005-0000-0000-000044010000}"/>
    <cellStyle name="60% - Énfasis6 7" xfId="325" xr:uid="{00000000-0005-0000-0000-000045010000}"/>
    <cellStyle name="60% - Énfasis6 8" xfId="326" xr:uid="{00000000-0005-0000-0000-000046010000}"/>
    <cellStyle name="60% - 强调文字颜色 1" xfId="327" xr:uid="{00000000-0005-0000-0000-000047010000}"/>
    <cellStyle name="60% - 强调文字颜色 2" xfId="328" xr:uid="{00000000-0005-0000-0000-000048010000}"/>
    <cellStyle name="60% - 强调文字颜色 3" xfId="329" xr:uid="{00000000-0005-0000-0000-000049010000}"/>
    <cellStyle name="60% - 强调文字颜色 4" xfId="330" xr:uid="{00000000-0005-0000-0000-00004A010000}"/>
    <cellStyle name="60% - 强调文字颜色 5" xfId="331" xr:uid="{00000000-0005-0000-0000-00004B010000}"/>
    <cellStyle name="60% - 强调文字颜色 6" xfId="332" xr:uid="{00000000-0005-0000-0000-00004C010000}"/>
    <cellStyle name="Accent1" xfId="333" xr:uid="{00000000-0005-0000-0000-00004D010000}"/>
    <cellStyle name="Accent1 2" xfId="334" xr:uid="{00000000-0005-0000-0000-00004E010000}"/>
    <cellStyle name="Accent1 3" xfId="335" xr:uid="{00000000-0005-0000-0000-00004F010000}"/>
    <cellStyle name="Accent1 4" xfId="336" xr:uid="{00000000-0005-0000-0000-000050010000}"/>
    <cellStyle name="Accent1 5" xfId="337" xr:uid="{00000000-0005-0000-0000-000051010000}"/>
    <cellStyle name="Accent2" xfId="338" xr:uid="{00000000-0005-0000-0000-000052010000}"/>
    <cellStyle name="Accent2 2" xfId="339" xr:uid="{00000000-0005-0000-0000-000053010000}"/>
    <cellStyle name="Accent2 3" xfId="340" xr:uid="{00000000-0005-0000-0000-000054010000}"/>
    <cellStyle name="Accent2 4" xfId="341" xr:uid="{00000000-0005-0000-0000-000055010000}"/>
    <cellStyle name="Accent2 5" xfId="342" xr:uid="{00000000-0005-0000-0000-000056010000}"/>
    <cellStyle name="Accent3" xfId="343" xr:uid="{00000000-0005-0000-0000-000057010000}"/>
    <cellStyle name="Accent3 2" xfId="344" xr:uid="{00000000-0005-0000-0000-000058010000}"/>
    <cellStyle name="Accent3 3" xfId="345" xr:uid="{00000000-0005-0000-0000-000059010000}"/>
    <cellStyle name="Accent3 4" xfId="346" xr:uid="{00000000-0005-0000-0000-00005A010000}"/>
    <cellStyle name="Accent3 5" xfId="347" xr:uid="{00000000-0005-0000-0000-00005B010000}"/>
    <cellStyle name="Accent4" xfId="348" xr:uid="{00000000-0005-0000-0000-00005C010000}"/>
    <cellStyle name="Accent4 2" xfId="349" xr:uid="{00000000-0005-0000-0000-00005D010000}"/>
    <cellStyle name="Accent4 3" xfId="350" xr:uid="{00000000-0005-0000-0000-00005E010000}"/>
    <cellStyle name="Accent4 4" xfId="351" xr:uid="{00000000-0005-0000-0000-00005F010000}"/>
    <cellStyle name="Accent4 5" xfId="352" xr:uid="{00000000-0005-0000-0000-000060010000}"/>
    <cellStyle name="Accent5" xfId="353" xr:uid="{00000000-0005-0000-0000-000061010000}"/>
    <cellStyle name="Accent5 2" xfId="354" xr:uid="{00000000-0005-0000-0000-000062010000}"/>
    <cellStyle name="Accent5 3" xfId="355" xr:uid="{00000000-0005-0000-0000-000063010000}"/>
    <cellStyle name="Accent5 4" xfId="356" xr:uid="{00000000-0005-0000-0000-000064010000}"/>
    <cellStyle name="Accent5 5" xfId="357" xr:uid="{00000000-0005-0000-0000-000065010000}"/>
    <cellStyle name="Accent6" xfId="358" xr:uid="{00000000-0005-0000-0000-000066010000}"/>
    <cellStyle name="Accent6 2" xfId="359" xr:uid="{00000000-0005-0000-0000-000067010000}"/>
    <cellStyle name="Accent6 3" xfId="360" xr:uid="{00000000-0005-0000-0000-000068010000}"/>
    <cellStyle name="Accent6 4" xfId="361" xr:uid="{00000000-0005-0000-0000-000069010000}"/>
    <cellStyle name="Accent6 5" xfId="362" xr:uid="{00000000-0005-0000-0000-00006A010000}"/>
    <cellStyle name="Bad" xfId="363" xr:uid="{00000000-0005-0000-0000-00006B010000}"/>
    <cellStyle name="Bad 2" xfId="364" xr:uid="{00000000-0005-0000-0000-00006C010000}"/>
    <cellStyle name="Bad 3" xfId="365" xr:uid="{00000000-0005-0000-0000-00006D010000}"/>
    <cellStyle name="Bad 4" xfId="366" xr:uid="{00000000-0005-0000-0000-00006E010000}"/>
    <cellStyle name="Bad 5" xfId="367" xr:uid="{00000000-0005-0000-0000-00006F010000}"/>
    <cellStyle name="Buena 2" xfId="368" xr:uid="{00000000-0005-0000-0000-000070010000}"/>
    <cellStyle name="Buena 2 2" xfId="369" xr:uid="{00000000-0005-0000-0000-000071010000}"/>
    <cellStyle name="Buena 2 2 2" xfId="370" xr:uid="{00000000-0005-0000-0000-000072010000}"/>
    <cellStyle name="Buena 2 2 2 2" xfId="371" xr:uid="{00000000-0005-0000-0000-000073010000}"/>
    <cellStyle name="Buena 2 2 2 2 2" xfId="372" xr:uid="{00000000-0005-0000-0000-000074010000}"/>
    <cellStyle name="Buena 2 2 3" xfId="373" xr:uid="{00000000-0005-0000-0000-000075010000}"/>
    <cellStyle name="Buena 2 2 4" xfId="374" xr:uid="{00000000-0005-0000-0000-000076010000}"/>
    <cellStyle name="Buena 2 3" xfId="375" xr:uid="{00000000-0005-0000-0000-000077010000}"/>
    <cellStyle name="Buena 2 4" xfId="376" xr:uid="{00000000-0005-0000-0000-000078010000}"/>
    <cellStyle name="Buena 3" xfId="377" xr:uid="{00000000-0005-0000-0000-000079010000}"/>
    <cellStyle name="Buena 4" xfId="378" xr:uid="{00000000-0005-0000-0000-00007A010000}"/>
    <cellStyle name="Buena 5" xfId="379" xr:uid="{00000000-0005-0000-0000-00007B010000}"/>
    <cellStyle name="Buena 6" xfId="380" xr:uid="{00000000-0005-0000-0000-00007C010000}"/>
    <cellStyle name="Buena 7" xfId="381" xr:uid="{00000000-0005-0000-0000-00007D010000}"/>
    <cellStyle name="Buena 8" xfId="382" xr:uid="{00000000-0005-0000-0000-00007E010000}"/>
    <cellStyle name="Buena 9" xfId="383" xr:uid="{00000000-0005-0000-0000-00007F010000}"/>
    <cellStyle name="Calculation" xfId="384" xr:uid="{00000000-0005-0000-0000-000080010000}"/>
    <cellStyle name="Calculation 2" xfId="385" xr:uid="{00000000-0005-0000-0000-000081010000}"/>
    <cellStyle name="Calculation 3" xfId="386" xr:uid="{00000000-0005-0000-0000-000082010000}"/>
    <cellStyle name="Calculation 4" xfId="387" xr:uid="{00000000-0005-0000-0000-000083010000}"/>
    <cellStyle name="Calculation 5" xfId="388" xr:uid="{00000000-0005-0000-0000-000084010000}"/>
    <cellStyle name="Cálculo 2" xfId="389" xr:uid="{00000000-0005-0000-0000-000085010000}"/>
    <cellStyle name="Cálculo 2 2" xfId="390" xr:uid="{00000000-0005-0000-0000-000086010000}"/>
    <cellStyle name="Cálculo 3" xfId="391" xr:uid="{00000000-0005-0000-0000-000087010000}"/>
    <cellStyle name="Cálculo 4" xfId="392" xr:uid="{00000000-0005-0000-0000-000088010000}"/>
    <cellStyle name="Cálculo 5" xfId="393" xr:uid="{00000000-0005-0000-0000-000089010000}"/>
    <cellStyle name="Cálculo 6" xfId="394" xr:uid="{00000000-0005-0000-0000-00008A010000}"/>
    <cellStyle name="Cálculo 7" xfId="395" xr:uid="{00000000-0005-0000-0000-00008B010000}"/>
    <cellStyle name="Cálculo 8" xfId="396" xr:uid="{00000000-0005-0000-0000-00008C010000}"/>
    <cellStyle name="Celda de comprobación 2" xfId="397" xr:uid="{00000000-0005-0000-0000-00008D010000}"/>
    <cellStyle name="Celda de comprobación 2 2" xfId="398" xr:uid="{00000000-0005-0000-0000-00008E010000}"/>
    <cellStyle name="Celda de comprobación 2 2 2" xfId="399" xr:uid="{00000000-0005-0000-0000-00008F010000}"/>
    <cellStyle name="Celda de comprobación 2 2 2 2" xfId="400" xr:uid="{00000000-0005-0000-0000-000090010000}"/>
    <cellStyle name="Celda de comprobación 2 2 2 2 2" xfId="401" xr:uid="{00000000-0005-0000-0000-000091010000}"/>
    <cellStyle name="Celda de comprobación 2 2 3" xfId="402" xr:uid="{00000000-0005-0000-0000-000092010000}"/>
    <cellStyle name="Celda de comprobación 2 2 4" xfId="403" xr:uid="{00000000-0005-0000-0000-000093010000}"/>
    <cellStyle name="Celda de comprobación 2 3" xfId="404" xr:uid="{00000000-0005-0000-0000-000094010000}"/>
    <cellStyle name="Celda de comprobación 2 4" xfId="405" xr:uid="{00000000-0005-0000-0000-000095010000}"/>
    <cellStyle name="Celda de comprobación 3" xfId="406" xr:uid="{00000000-0005-0000-0000-000096010000}"/>
    <cellStyle name="Celda de comprobación 4" xfId="407" xr:uid="{00000000-0005-0000-0000-000097010000}"/>
    <cellStyle name="Celda de comprobación 5" xfId="408" xr:uid="{00000000-0005-0000-0000-000098010000}"/>
    <cellStyle name="Celda de comprobación 6" xfId="409" xr:uid="{00000000-0005-0000-0000-000099010000}"/>
    <cellStyle name="Celda de comprobación 7" xfId="410" xr:uid="{00000000-0005-0000-0000-00009A010000}"/>
    <cellStyle name="Celda de comprobación 8" xfId="411" xr:uid="{00000000-0005-0000-0000-00009B010000}"/>
    <cellStyle name="Celda de comprobación 9" xfId="412" xr:uid="{00000000-0005-0000-0000-00009C010000}"/>
    <cellStyle name="Celda vinculada 2" xfId="413" xr:uid="{00000000-0005-0000-0000-00009D010000}"/>
    <cellStyle name="Celda vinculada 2 2" xfId="414" xr:uid="{00000000-0005-0000-0000-00009E010000}"/>
    <cellStyle name="Celda vinculada 2 2 2" xfId="415" xr:uid="{00000000-0005-0000-0000-00009F010000}"/>
    <cellStyle name="Celda vinculada 2 2 2 2" xfId="416" xr:uid="{00000000-0005-0000-0000-0000A0010000}"/>
    <cellStyle name="Celda vinculada 2 2 2 2 2" xfId="417" xr:uid="{00000000-0005-0000-0000-0000A1010000}"/>
    <cellStyle name="Celda vinculada 2 2 3" xfId="418" xr:uid="{00000000-0005-0000-0000-0000A2010000}"/>
    <cellStyle name="Celda vinculada 2 2 4" xfId="419" xr:uid="{00000000-0005-0000-0000-0000A3010000}"/>
    <cellStyle name="Celda vinculada 2 3" xfId="420" xr:uid="{00000000-0005-0000-0000-0000A4010000}"/>
    <cellStyle name="Celda vinculada 2 4" xfId="421" xr:uid="{00000000-0005-0000-0000-0000A5010000}"/>
    <cellStyle name="Celda vinculada 3" xfId="422" xr:uid="{00000000-0005-0000-0000-0000A6010000}"/>
    <cellStyle name="Celda vinculada 4" xfId="423" xr:uid="{00000000-0005-0000-0000-0000A7010000}"/>
    <cellStyle name="Celda vinculada 5" xfId="424" xr:uid="{00000000-0005-0000-0000-0000A8010000}"/>
    <cellStyle name="Celda vinculada 6" xfId="425" xr:uid="{00000000-0005-0000-0000-0000A9010000}"/>
    <cellStyle name="Celda vinculada 7" xfId="426" xr:uid="{00000000-0005-0000-0000-0000AA010000}"/>
    <cellStyle name="Celda vinculada 8" xfId="427" xr:uid="{00000000-0005-0000-0000-0000AB010000}"/>
    <cellStyle name="Celda vinculada 9" xfId="428" xr:uid="{00000000-0005-0000-0000-0000AC010000}"/>
    <cellStyle name="Check Cell" xfId="429" xr:uid="{00000000-0005-0000-0000-0000AD010000}"/>
    <cellStyle name="Check Cell 2" xfId="430" xr:uid="{00000000-0005-0000-0000-0000AE010000}"/>
    <cellStyle name="Check Cell 3" xfId="431" xr:uid="{00000000-0005-0000-0000-0000AF010000}"/>
    <cellStyle name="Check Cell 4" xfId="432" xr:uid="{00000000-0005-0000-0000-0000B0010000}"/>
    <cellStyle name="Check Cell 5" xfId="433" xr:uid="{00000000-0005-0000-0000-0000B1010000}"/>
    <cellStyle name="Coma 2" xfId="434" xr:uid="{00000000-0005-0000-0000-0000B2010000}"/>
    <cellStyle name="Encabezado 4 2" xfId="435" xr:uid="{00000000-0005-0000-0000-0000B3010000}"/>
    <cellStyle name="Encabezado 4 2 2" xfId="436" xr:uid="{00000000-0005-0000-0000-0000B4010000}"/>
    <cellStyle name="Encabezado 4 2 2 2" xfId="437" xr:uid="{00000000-0005-0000-0000-0000B5010000}"/>
    <cellStyle name="Encabezado 4 2 2 2 2" xfId="438" xr:uid="{00000000-0005-0000-0000-0000B6010000}"/>
    <cellStyle name="Encabezado 4 2 2 2 2 2" xfId="439" xr:uid="{00000000-0005-0000-0000-0000B7010000}"/>
    <cellStyle name="Encabezado 4 2 2 3" xfId="440" xr:uid="{00000000-0005-0000-0000-0000B8010000}"/>
    <cellStyle name="Encabezado 4 2 2 4" xfId="441" xr:uid="{00000000-0005-0000-0000-0000B9010000}"/>
    <cellStyle name="Encabezado 4 2 3" xfId="442" xr:uid="{00000000-0005-0000-0000-0000BA010000}"/>
    <cellStyle name="Encabezado 4 2 4" xfId="443" xr:uid="{00000000-0005-0000-0000-0000BB010000}"/>
    <cellStyle name="Encabezado 4 3" xfId="444" xr:uid="{00000000-0005-0000-0000-0000BC010000}"/>
    <cellStyle name="Encabezado 4 4" xfId="445" xr:uid="{00000000-0005-0000-0000-0000BD010000}"/>
    <cellStyle name="Encabezado 4 5" xfId="446" xr:uid="{00000000-0005-0000-0000-0000BE010000}"/>
    <cellStyle name="Encabezado 4 6" xfId="447" xr:uid="{00000000-0005-0000-0000-0000BF010000}"/>
    <cellStyle name="Encabezado 4 7" xfId="448" xr:uid="{00000000-0005-0000-0000-0000C0010000}"/>
    <cellStyle name="Encabezado 4 8" xfId="449" xr:uid="{00000000-0005-0000-0000-0000C1010000}"/>
    <cellStyle name="Encabezado 4 9" xfId="450" xr:uid="{00000000-0005-0000-0000-0000C2010000}"/>
    <cellStyle name="Énfasis1 2" xfId="451" xr:uid="{00000000-0005-0000-0000-0000C3010000}"/>
    <cellStyle name="Énfasis1 2 2" xfId="452" xr:uid="{00000000-0005-0000-0000-0000C4010000}"/>
    <cellStyle name="Énfasis1 3" xfId="453" xr:uid="{00000000-0005-0000-0000-0000C5010000}"/>
    <cellStyle name="Énfasis1 4" xfId="454" xr:uid="{00000000-0005-0000-0000-0000C6010000}"/>
    <cellStyle name="Énfasis1 5" xfId="455" xr:uid="{00000000-0005-0000-0000-0000C7010000}"/>
    <cellStyle name="Énfasis1 6" xfId="456" xr:uid="{00000000-0005-0000-0000-0000C8010000}"/>
    <cellStyle name="Énfasis1 7" xfId="457" xr:uid="{00000000-0005-0000-0000-0000C9010000}"/>
    <cellStyle name="Énfasis1 8" xfId="458" xr:uid="{00000000-0005-0000-0000-0000CA010000}"/>
    <cellStyle name="Énfasis2 2" xfId="459" xr:uid="{00000000-0005-0000-0000-0000CB010000}"/>
    <cellStyle name="Énfasis2 2 2" xfId="460" xr:uid="{00000000-0005-0000-0000-0000CC010000}"/>
    <cellStyle name="Énfasis2 3" xfId="461" xr:uid="{00000000-0005-0000-0000-0000CD010000}"/>
    <cellStyle name="Énfasis2 4" xfId="462" xr:uid="{00000000-0005-0000-0000-0000CE010000}"/>
    <cellStyle name="Énfasis2 5" xfId="463" xr:uid="{00000000-0005-0000-0000-0000CF010000}"/>
    <cellStyle name="Énfasis2 6" xfId="464" xr:uid="{00000000-0005-0000-0000-0000D0010000}"/>
    <cellStyle name="Énfasis2 7" xfId="465" xr:uid="{00000000-0005-0000-0000-0000D1010000}"/>
    <cellStyle name="Énfasis2 8" xfId="466" xr:uid="{00000000-0005-0000-0000-0000D2010000}"/>
    <cellStyle name="Énfasis3 2" xfId="467" xr:uid="{00000000-0005-0000-0000-0000D3010000}"/>
    <cellStyle name="Énfasis3 2 2" xfId="468" xr:uid="{00000000-0005-0000-0000-0000D4010000}"/>
    <cellStyle name="Énfasis3 3" xfId="469" xr:uid="{00000000-0005-0000-0000-0000D5010000}"/>
    <cellStyle name="Énfasis3 4" xfId="470" xr:uid="{00000000-0005-0000-0000-0000D6010000}"/>
    <cellStyle name="Énfasis3 5" xfId="471" xr:uid="{00000000-0005-0000-0000-0000D7010000}"/>
    <cellStyle name="Énfasis3 6" xfId="472" xr:uid="{00000000-0005-0000-0000-0000D8010000}"/>
    <cellStyle name="Énfasis3 7" xfId="473" xr:uid="{00000000-0005-0000-0000-0000D9010000}"/>
    <cellStyle name="Énfasis3 8" xfId="474" xr:uid="{00000000-0005-0000-0000-0000DA010000}"/>
    <cellStyle name="Énfasis4 2" xfId="475" xr:uid="{00000000-0005-0000-0000-0000DB010000}"/>
    <cellStyle name="Énfasis4 2 2" xfId="476" xr:uid="{00000000-0005-0000-0000-0000DC010000}"/>
    <cellStyle name="Énfasis4 3" xfId="477" xr:uid="{00000000-0005-0000-0000-0000DD010000}"/>
    <cellStyle name="Énfasis4 4" xfId="478" xr:uid="{00000000-0005-0000-0000-0000DE010000}"/>
    <cellStyle name="Énfasis4 5" xfId="479" xr:uid="{00000000-0005-0000-0000-0000DF010000}"/>
    <cellStyle name="Énfasis4 6" xfId="480" xr:uid="{00000000-0005-0000-0000-0000E0010000}"/>
    <cellStyle name="Énfasis4 7" xfId="481" xr:uid="{00000000-0005-0000-0000-0000E1010000}"/>
    <cellStyle name="Énfasis4 8" xfId="482" xr:uid="{00000000-0005-0000-0000-0000E2010000}"/>
    <cellStyle name="Énfasis5 2" xfId="483" xr:uid="{00000000-0005-0000-0000-0000E3010000}"/>
    <cellStyle name="Énfasis5 2 2" xfId="484" xr:uid="{00000000-0005-0000-0000-0000E4010000}"/>
    <cellStyle name="Énfasis5 3" xfId="485" xr:uid="{00000000-0005-0000-0000-0000E5010000}"/>
    <cellStyle name="Énfasis5 4" xfId="486" xr:uid="{00000000-0005-0000-0000-0000E6010000}"/>
    <cellStyle name="Énfasis5 5" xfId="487" xr:uid="{00000000-0005-0000-0000-0000E7010000}"/>
    <cellStyle name="Énfasis5 6" xfId="488" xr:uid="{00000000-0005-0000-0000-0000E8010000}"/>
    <cellStyle name="Énfasis5 7" xfId="489" xr:uid="{00000000-0005-0000-0000-0000E9010000}"/>
    <cellStyle name="Énfasis5 8" xfId="490" xr:uid="{00000000-0005-0000-0000-0000EA010000}"/>
    <cellStyle name="Énfasis6 2" xfId="491" xr:uid="{00000000-0005-0000-0000-0000EB010000}"/>
    <cellStyle name="Énfasis6 2 2" xfId="492" xr:uid="{00000000-0005-0000-0000-0000EC010000}"/>
    <cellStyle name="Énfasis6 3" xfId="493" xr:uid="{00000000-0005-0000-0000-0000ED010000}"/>
    <cellStyle name="Énfasis6 4" xfId="494" xr:uid="{00000000-0005-0000-0000-0000EE010000}"/>
    <cellStyle name="Énfasis6 5" xfId="495" xr:uid="{00000000-0005-0000-0000-0000EF010000}"/>
    <cellStyle name="Énfasis6 6" xfId="496" xr:uid="{00000000-0005-0000-0000-0000F0010000}"/>
    <cellStyle name="Énfasis6 7" xfId="497" xr:uid="{00000000-0005-0000-0000-0000F1010000}"/>
    <cellStyle name="Énfasis6 8" xfId="498" xr:uid="{00000000-0005-0000-0000-0000F2010000}"/>
    <cellStyle name="Entrada 2" xfId="499" xr:uid="{00000000-0005-0000-0000-0000F3010000}"/>
    <cellStyle name="Entrada 2 2" xfId="500" xr:uid="{00000000-0005-0000-0000-0000F4010000}"/>
    <cellStyle name="Entrada 2 2 2" xfId="501" xr:uid="{00000000-0005-0000-0000-0000F5010000}"/>
    <cellStyle name="Entrada 2 2 2 2" xfId="502" xr:uid="{00000000-0005-0000-0000-0000F6010000}"/>
    <cellStyle name="Entrada 2 2 2 2 2" xfId="503" xr:uid="{00000000-0005-0000-0000-0000F7010000}"/>
    <cellStyle name="Entrada 2 2 3" xfId="504" xr:uid="{00000000-0005-0000-0000-0000F8010000}"/>
    <cellStyle name="Entrada 2 2 4" xfId="505" xr:uid="{00000000-0005-0000-0000-0000F9010000}"/>
    <cellStyle name="Entrada 2 3" xfId="506" xr:uid="{00000000-0005-0000-0000-0000FA010000}"/>
    <cellStyle name="Entrada 2 4" xfId="507" xr:uid="{00000000-0005-0000-0000-0000FB010000}"/>
    <cellStyle name="Entrada 3" xfId="508" xr:uid="{00000000-0005-0000-0000-0000FC010000}"/>
    <cellStyle name="Entrada 4" xfId="509" xr:uid="{00000000-0005-0000-0000-0000FD010000}"/>
    <cellStyle name="Entrada 5" xfId="510" xr:uid="{00000000-0005-0000-0000-0000FE010000}"/>
    <cellStyle name="Entrada 6" xfId="511" xr:uid="{00000000-0005-0000-0000-0000FF010000}"/>
    <cellStyle name="Entrada 7" xfId="512" xr:uid="{00000000-0005-0000-0000-000000020000}"/>
    <cellStyle name="Entrada 8" xfId="513" xr:uid="{00000000-0005-0000-0000-000001020000}"/>
    <cellStyle name="Entrada 9" xfId="514" xr:uid="{00000000-0005-0000-0000-000002020000}"/>
    <cellStyle name="Estilo 1" xfId="515" xr:uid="{00000000-0005-0000-0000-000003020000}"/>
    <cellStyle name="Estilo 1 10" xfId="516" xr:uid="{00000000-0005-0000-0000-000004020000}"/>
    <cellStyle name="Estilo 1 10 2" xfId="517" xr:uid="{00000000-0005-0000-0000-000005020000}"/>
    <cellStyle name="Estilo 1 10 3" xfId="518" xr:uid="{00000000-0005-0000-0000-000006020000}"/>
    <cellStyle name="Estilo 1 10_Enlaces" xfId="519" xr:uid="{00000000-0005-0000-0000-000007020000}"/>
    <cellStyle name="Estilo 1 100" xfId="520" xr:uid="{00000000-0005-0000-0000-000008020000}"/>
    <cellStyle name="Estilo 1 100 2" xfId="521" xr:uid="{00000000-0005-0000-0000-000009020000}"/>
    <cellStyle name="Estilo 1 101" xfId="522" xr:uid="{00000000-0005-0000-0000-00000A020000}"/>
    <cellStyle name="Estilo 1 101 2" xfId="523" xr:uid="{00000000-0005-0000-0000-00000B020000}"/>
    <cellStyle name="Estilo 1 102" xfId="524" xr:uid="{00000000-0005-0000-0000-00000C020000}"/>
    <cellStyle name="Estilo 1 102 2" xfId="525" xr:uid="{00000000-0005-0000-0000-00000D020000}"/>
    <cellStyle name="Estilo 1 103" xfId="526" xr:uid="{00000000-0005-0000-0000-00000E020000}"/>
    <cellStyle name="Estilo 1 103 2" xfId="527" xr:uid="{00000000-0005-0000-0000-00000F020000}"/>
    <cellStyle name="Estilo 1 104" xfId="528" xr:uid="{00000000-0005-0000-0000-000010020000}"/>
    <cellStyle name="Estilo 1 104 2" xfId="529" xr:uid="{00000000-0005-0000-0000-000011020000}"/>
    <cellStyle name="Estilo 1 105" xfId="530" xr:uid="{00000000-0005-0000-0000-000012020000}"/>
    <cellStyle name="Estilo 1 105 2" xfId="531" xr:uid="{00000000-0005-0000-0000-000013020000}"/>
    <cellStyle name="Estilo 1 106" xfId="532" xr:uid="{00000000-0005-0000-0000-000014020000}"/>
    <cellStyle name="Estilo 1 106 2" xfId="533" xr:uid="{00000000-0005-0000-0000-000015020000}"/>
    <cellStyle name="Estilo 1 107" xfId="534" xr:uid="{00000000-0005-0000-0000-000016020000}"/>
    <cellStyle name="Estilo 1 107 2" xfId="535" xr:uid="{00000000-0005-0000-0000-000017020000}"/>
    <cellStyle name="Estilo 1 108" xfId="536" xr:uid="{00000000-0005-0000-0000-000018020000}"/>
    <cellStyle name="Estilo 1 108 2" xfId="537" xr:uid="{00000000-0005-0000-0000-000019020000}"/>
    <cellStyle name="Estilo 1 109" xfId="538" xr:uid="{00000000-0005-0000-0000-00001A020000}"/>
    <cellStyle name="Estilo 1 109 2" xfId="539" xr:uid="{00000000-0005-0000-0000-00001B020000}"/>
    <cellStyle name="Estilo 1 11" xfId="540" xr:uid="{00000000-0005-0000-0000-00001C020000}"/>
    <cellStyle name="Estilo 1 11 2" xfId="541" xr:uid="{00000000-0005-0000-0000-00001D020000}"/>
    <cellStyle name="Estilo 1 11 3" xfId="542" xr:uid="{00000000-0005-0000-0000-00001E020000}"/>
    <cellStyle name="Estilo 1 11_Enlaces" xfId="543" xr:uid="{00000000-0005-0000-0000-00001F020000}"/>
    <cellStyle name="Estilo 1 110" xfId="544" xr:uid="{00000000-0005-0000-0000-000020020000}"/>
    <cellStyle name="Estilo 1 110 2" xfId="545" xr:uid="{00000000-0005-0000-0000-000021020000}"/>
    <cellStyle name="Estilo 1 111" xfId="546" xr:uid="{00000000-0005-0000-0000-000022020000}"/>
    <cellStyle name="Estilo 1 111 2" xfId="547" xr:uid="{00000000-0005-0000-0000-000023020000}"/>
    <cellStyle name="Estilo 1 112" xfId="548" xr:uid="{00000000-0005-0000-0000-000024020000}"/>
    <cellStyle name="Estilo 1 112 2" xfId="549" xr:uid="{00000000-0005-0000-0000-000025020000}"/>
    <cellStyle name="Estilo 1 113" xfId="550" xr:uid="{00000000-0005-0000-0000-000026020000}"/>
    <cellStyle name="Estilo 1 113 2" xfId="551" xr:uid="{00000000-0005-0000-0000-000027020000}"/>
    <cellStyle name="Estilo 1 114" xfId="552" xr:uid="{00000000-0005-0000-0000-000028020000}"/>
    <cellStyle name="Estilo 1 114 2" xfId="553" xr:uid="{00000000-0005-0000-0000-000029020000}"/>
    <cellStyle name="Estilo 1 115" xfId="554" xr:uid="{00000000-0005-0000-0000-00002A020000}"/>
    <cellStyle name="Estilo 1 115 2" xfId="555" xr:uid="{00000000-0005-0000-0000-00002B020000}"/>
    <cellStyle name="Estilo 1 116" xfId="556" xr:uid="{00000000-0005-0000-0000-00002C020000}"/>
    <cellStyle name="Estilo 1 116 2" xfId="557" xr:uid="{00000000-0005-0000-0000-00002D020000}"/>
    <cellStyle name="Estilo 1 117" xfId="558" xr:uid="{00000000-0005-0000-0000-00002E020000}"/>
    <cellStyle name="Estilo 1 117 2" xfId="559" xr:uid="{00000000-0005-0000-0000-00002F020000}"/>
    <cellStyle name="Estilo 1 118" xfId="560" xr:uid="{00000000-0005-0000-0000-000030020000}"/>
    <cellStyle name="Estilo 1 118 2" xfId="561" xr:uid="{00000000-0005-0000-0000-000031020000}"/>
    <cellStyle name="Estilo 1 119" xfId="562" xr:uid="{00000000-0005-0000-0000-000032020000}"/>
    <cellStyle name="Estilo 1 119 2" xfId="563" xr:uid="{00000000-0005-0000-0000-000033020000}"/>
    <cellStyle name="Estilo 1 12" xfId="564" xr:uid="{00000000-0005-0000-0000-000034020000}"/>
    <cellStyle name="Estilo 1 12 2" xfId="565" xr:uid="{00000000-0005-0000-0000-000035020000}"/>
    <cellStyle name="Estilo 1 12 3" xfId="566" xr:uid="{00000000-0005-0000-0000-000036020000}"/>
    <cellStyle name="Estilo 1 12_Enlaces" xfId="567" xr:uid="{00000000-0005-0000-0000-000037020000}"/>
    <cellStyle name="Estilo 1 120" xfId="568" xr:uid="{00000000-0005-0000-0000-000038020000}"/>
    <cellStyle name="Estilo 1 120 2" xfId="569" xr:uid="{00000000-0005-0000-0000-000039020000}"/>
    <cellStyle name="Estilo 1 121" xfId="570" xr:uid="{00000000-0005-0000-0000-00003A020000}"/>
    <cellStyle name="Estilo 1 121 2" xfId="571" xr:uid="{00000000-0005-0000-0000-00003B020000}"/>
    <cellStyle name="Estilo 1 122" xfId="572" xr:uid="{00000000-0005-0000-0000-00003C020000}"/>
    <cellStyle name="Estilo 1 122 2" xfId="573" xr:uid="{00000000-0005-0000-0000-00003D020000}"/>
    <cellStyle name="Estilo 1 123" xfId="574" xr:uid="{00000000-0005-0000-0000-00003E020000}"/>
    <cellStyle name="Estilo 1 123 2" xfId="575" xr:uid="{00000000-0005-0000-0000-00003F020000}"/>
    <cellStyle name="Estilo 1 124" xfId="576" xr:uid="{00000000-0005-0000-0000-000040020000}"/>
    <cellStyle name="Estilo 1 124 2" xfId="577" xr:uid="{00000000-0005-0000-0000-000041020000}"/>
    <cellStyle name="Estilo 1 125" xfId="578" xr:uid="{00000000-0005-0000-0000-000042020000}"/>
    <cellStyle name="Estilo 1 125 2" xfId="579" xr:uid="{00000000-0005-0000-0000-000043020000}"/>
    <cellStyle name="Estilo 1 126" xfId="580" xr:uid="{00000000-0005-0000-0000-000044020000}"/>
    <cellStyle name="Estilo 1 126 2" xfId="581" xr:uid="{00000000-0005-0000-0000-000045020000}"/>
    <cellStyle name="Estilo 1 127" xfId="582" xr:uid="{00000000-0005-0000-0000-000046020000}"/>
    <cellStyle name="Estilo 1 127 2" xfId="583" xr:uid="{00000000-0005-0000-0000-000047020000}"/>
    <cellStyle name="Estilo 1 128" xfId="584" xr:uid="{00000000-0005-0000-0000-000048020000}"/>
    <cellStyle name="Estilo 1 128 2" xfId="585" xr:uid="{00000000-0005-0000-0000-000049020000}"/>
    <cellStyle name="Estilo 1 129" xfId="586" xr:uid="{00000000-0005-0000-0000-00004A020000}"/>
    <cellStyle name="Estilo 1 129 2" xfId="587" xr:uid="{00000000-0005-0000-0000-00004B020000}"/>
    <cellStyle name="Estilo 1 13" xfId="588" xr:uid="{00000000-0005-0000-0000-00004C020000}"/>
    <cellStyle name="Estilo 1 13 2" xfId="589" xr:uid="{00000000-0005-0000-0000-00004D020000}"/>
    <cellStyle name="Estilo 1 13 3" xfId="590" xr:uid="{00000000-0005-0000-0000-00004E020000}"/>
    <cellStyle name="Estilo 1 13_Enlaces" xfId="591" xr:uid="{00000000-0005-0000-0000-00004F020000}"/>
    <cellStyle name="Estilo 1 130" xfId="592" xr:uid="{00000000-0005-0000-0000-000050020000}"/>
    <cellStyle name="Estilo 1 130 2" xfId="593" xr:uid="{00000000-0005-0000-0000-000051020000}"/>
    <cellStyle name="Estilo 1 131" xfId="594" xr:uid="{00000000-0005-0000-0000-000052020000}"/>
    <cellStyle name="Estilo 1 131 2" xfId="595" xr:uid="{00000000-0005-0000-0000-000053020000}"/>
    <cellStyle name="Estilo 1 132" xfId="596" xr:uid="{00000000-0005-0000-0000-000054020000}"/>
    <cellStyle name="Estilo 1 132 2" xfId="597" xr:uid="{00000000-0005-0000-0000-000055020000}"/>
    <cellStyle name="Estilo 1 133" xfId="598" xr:uid="{00000000-0005-0000-0000-000056020000}"/>
    <cellStyle name="Estilo 1 133 2" xfId="599" xr:uid="{00000000-0005-0000-0000-000057020000}"/>
    <cellStyle name="Estilo 1 134" xfId="600" xr:uid="{00000000-0005-0000-0000-000058020000}"/>
    <cellStyle name="Estilo 1 134 2" xfId="601" xr:uid="{00000000-0005-0000-0000-000059020000}"/>
    <cellStyle name="Estilo 1 135" xfId="602" xr:uid="{00000000-0005-0000-0000-00005A020000}"/>
    <cellStyle name="Estilo 1 135 2" xfId="603" xr:uid="{00000000-0005-0000-0000-00005B020000}"/>
    <cellStyle name="Estilo 1 136" xfId="604" xr:uid="{00000000-0005-0000-0000-00005C020000}"/>
    <cellStyle name="Estilo 1 136 2" xfId="605" xr:uid="{00000000-0005-0000-0000-00005D020000}"/>
    <cellStyle name="Estilo 1 137" xfId="606" xr:uid="{00000000-0005-0000-0000-00005E020000}"/>
    <cellStyle name="Estilo 1 137 2" xfId="607" xr:uid="{00000000-0005-0000-0000-00005F020000}"/>
    <cellStyle name="Estilo 1 138" xfId="608" xr:uid="{00000000-0005-0000-0000-000060020000}"/>
    <cellStyle name="Estilo 1 138 2" xfId="609" xr:uid="{00000000-0005-0000-0000-000061020000}"/>
    <cellStyle name="Estilo 1 139" xfId="610" xr:uid="{00000000-0005-0000-0000-000062020000}"/>
    <cellStyle name="Estilo 1 139 2" xfId="611" xr:uid="{00000000-0005-0000-0000-000063020000}"/>
    <cellStyle name="Estilo 1 14" xfId="612" xr:uid="{00000000-0005-0000-0000-000064020000}"/>
    <cellStyle name="Estilo 1 14 2" xfId="613" xr:uid="{00000000-0005-0000-0000-000065020000}"/>
    <cellStyle name="Estilo 1 14 3" xfId="614" xr:uid="{00000000-0005-0000-0000-000066020000}"/>
    <cellStyle name="Estilo 1 14_Enlaces" xfId="615" xr:uid="{00000000-0005-0000-0000-000067020000}"/>
    <cellStyle name="Estilo 1 140" xfId="616" xr:uid="{00000000-0005-0000-0000-000068020000}"/>
    <cellStyle name="Estilo 1 140 2" xfId="617" xr:uid="{00000000-0005-0000-0000-000069020000}"/>
    <cellStyle name="Estilo 1 141" xfId="618" xr:uid="{00000000-0005-0000-0000-00006A020000}"/>
    <cellStyle name="Estilo 1 141 2" xfId="619" xr:uid="{00000000-0005-0000-0000-00006B020000}"/>
    <cellStyle name="Estilo 1 142" xfId="620" xr:uid="{00000000-0005-0000-0000-00006C020000}"/>
    <cellStyle name="Estilo 1 142 2" xfId="621" xr:uid="{00000000-0005-0000-0000-00006D020000}"/>
    <cellStyle name="Estilo 1 143" xfId="622" xr:uid="{00000000-0005-0000-0000-00006E020000}"/>
    <cellStyle name="Estilo 1 143 2" xfId="623" xr:uid="{00000000-0005-0000-0000-00006F020000}"/>
    <cellStyle name="Estilo 1 144" xfId="624" xr:uid="{00000000-0005-0000-0000-000070020000}"/>
    <cellStyle name="Estilo 1 144 2" xfId="625" xr:uid="{00000000-0005-0000-0000-000071020000}"/>
    <cellStyle name="Estilo 1 145" xfId="626" xr:uid="{00000000-0005-0000-0000-000072020000}"/>
    <cellStyle name="Estilo 1 145 2" xfId="627" xr:uid="{00000000-0005-0000-0000-000073020000}"/>
    <cellStyle name="Estilo 1 146" xfId="628" xr:uid="{00000000-0005-0000-0000-000074020000}"/>
    <cellStyle name="Estilo 1 146 2" xfId="629" xr:uid="{00000000-0005-0000-0000-000075020000}"/>
    <cellStyle name="Estilo 1 147" xfId="630" xr:uid="{00000000-0005-0000-0000-000076020000}"/>
    <cellStyle name="Estilo 1 147 2" xfId="631" xr:uid="{00000000-0005-0000-0000-000077020000}"/>
    <cellStyle name="Estilo 1 148" xfId="632" xr:uid="{00000000-0005-0000-0000-000078020000}"/>
    <cellStyle name="Estilo 1 148 2" xfId="633" xr:uid="{00000000-0005-0000-0000-000079020000}"/>
    <cellStyle name="Estilo 1 149" xfId="634" xr:uid="{00000000-0005-0000-0000-00007A020000}"/>
    <cellStyle name="Estilo 1 149 2" xfId="635" xr:uid="{00000000-0005-0000-0000-00007B020000}"/>
    <cellStyle name="Estilo 1 15" xfId="636" xr:uid="{00000000-0005-0000-0000-00007C020000}"/>
    <cellStyle name="Estilo 1 15 2" xfId="637" xr:uid="{00000000-0005-0000-0000-00007D020000}"/>
    <cellStyle name="Estilo 1 15 3" xfId="638" xr:uid="{00000000-0005-0000-0000-00007E020000}"/>
    <cellStyle name="Estilo 1 15_Enlaces" xfId="639" xr:uid="{00000000-0005-0000-0000-00007F020000}"/>
    <cellStyle name="Estilo 1 150" xfId="640" xr:uid="{00000000-0005-0000-0000-000080020000}"/>
    <cellStyle name="Estilo 1 150 2" xfId="641" xr:uid="{00000000-0005-0000-0000-000081020000}"/>
    <cellStyle name="Estilo 1 151" xfId="642" xr:uid="{00000000-0005-0000-0000-000082020000}"/>
    <cellStyle name="Estilo 1 151 2" xfId="643" xr:uid="{00000000-0005-0000-0000-000083020000}"/>
    <cellStyle name="Estilo 1 152" xfId="644" xr:uid="{00000000-0005-0000-0000-000084020000}"/>
    <cellStyle name="Estilo 1 152 2" xfId="645" xr:uid="{00000000-0005-0000-0000-000085020000}"/>
    <cellStyle name="Estilo 1 153" xfId="646" xr:uid="{00000000-0005-0000-0000-000086020000}"/>
    <cellStyle name="Estilo 1 153 2" xfId="647" xr:uid="{00000000-0005-0000-0000-000087020000}"/>
    <cellStyle name="Estilo 1 154" xfId="648" xr:uid="{00000000-0005-0000-0000-000088020000}"/>
    <cellStyle name="Estilo 1 154 2" xfId="649" xr:uid="{00000000-0005-0000-0000-000089020000}"/>
    <cellStyle name="Estilo 1 155" xfId="650" xr:uid="{00000000-0005-0000-0000-00008A020000}"/>
    <cellStyle name="Estilo 1 155 2" xfId="651" xr:uid="{00000000-0005-0000-0000-00008B020000}"/>
    <cellStyle name="Estilo 1 156" xfId="652" xr:uid="{00000000-0005-0000-0000-00008C020000}"/>
    <cellStyle name="Estilo 1 156 2" xfId="653" xr:uid="{00000000-0005-0000-0000-00008D020000}"/>
    <cellStyle name="Estilo 1 157" xfId="654" xr:uid="{00000000-0005-0000-0000-00008E020000}"/>
    <cellStyle name="Estilo 1 157 2" xfId="655" xr:uid="{00000000-0005-0000-0000-00008F020000}"/>
    <cellStyle name="Estilo 1 158" xfId="656" xr:uid="{00000000-0005-0000-0000-000090020000}"/>
    <cellStyle name="Estilo 1 158 2" xfId="657" xr:uid="{00000000-0005-0000-0000-000091020000}"/>
    <cellStyle name="Estilo 1 159" xfId="658" xr:uid="{00000000-0005-0000-0000-000092020000}"/>
    <cellStyle name="Estilo 1 159 2" xfId="659" xr:uid="{00000000-0005-0000-0000-000093020000}"/>
    <cellStyle name="Estilo 1 16" xfId="660" xr:uid="{00000000-0005-0000-0000-000094020000}"/>
    <cellStyle name="Estilo 1 16 2" xfId="661" xr:uid="{00000000-0005-0000-0000-000095020000}"/>
    <cellStyle name="Estilo 1 16 3" xfId="662" xr:uid="{00000000-0005-0000-0000-000096020000}"/>
    <cellStyle name="Estilo 1 16_Enlaces" xfId="663" xr:uid="{00000000-0005-0000-0000-000097020000}"/>
    <cellStyle name="Estilo 1 160" xfId="664" xr:uid="{00000000-0005-0000-0000-000098020000}"/>
    <cellStyle name="Estilo 1 160 2" xfId="665" xr:uid="{00000000-0005-0000-0000-000099020000}"/>
    <cellStyle name="Estilo 1 161" xfId="666" xr:uid="{00000000-0005-0000-0000-00009A020000}"/>
    <cellStyle name="Estilo 1 161 2" xfId="667" xr:uid="{00000000-0005-0000-0000-00009B020000}"/>
    <cellStyle name="Estilo 1 162" xfId="668" xr:uid="{00000000-0005-0000-0000-00009C020000}"/>
    <cellStyle name="Estilo 1 162 2" xfId="669" xr:uid="{00000000-0005-0000-0000-00009D020000}"/>
    <cellStyle name="Estilo 1 163" xfId="670" xr:uid="{00000000-0005-0000-0000-00009E020000}"/>
    <cellStyle name="Estilo 1 163 2" xfId="671" xr:uid="{00000000-0005-0000-0000-00009F020000}"/>
    <cellStyle name="Estilo 1 164" xfId="672" xr:uid="{00000000-0005-0000-0000-0000A0020000}"/>
    <cellStyle name="Estilo 1 164 2" xfId="673" xr:uid="{00000000-0005-0000-0000-0000A1020000}"/>
    <cellStyle name="Estilo 1 165" xfId="674" xr:uid="{00000000-0005-0000-0000-0000A2020000}"/>
    <cellStyle name="Estilo 1 165 2" xfId="675" xr:uid="{00000000-0005-0000-0000-0000A3020000}"/>
    <cellStyle name="Estilo 1 166" xfId="676" xr:uid="{00000000-0005-0000-0000-0000A4020000}"/>
    <cellStyle name="Estilo 1 166 2" xfId="677" xr:uid="{00000000-0005-0000-0000-0000A5020000}"/>
    <cellStyle name="Estilo 1 167" xfId="678" xr:uid="{00000000-0005-0000-0000-0000A6020000}"/>
    <cellStyle name="Estilo 1 167 2" xfId="679" xr:uid="{00000000-0005-0000-0000-0000A7020000}"/>
    <cellStyle name="Estilo 1 168" xfId="680" xr:uid="{00000000-0005-0000-0000-0000A8020000}"/>
    <cellStyle name="Estilo 1 168 2" xfId="681" xr:uid="{00000000-0005-0000-0000-0000A9020000}"/>
    <cellStyle name="Estilo 1 169" xfId="682" xr:uid="{00000000-0005-0000-0000-0000AA020000}"/>
    <cellStyle name="Estilo 1 169 2" xfId="683" xr:uid="{00000000-0005-0000-0000-0000AB020000}"/>
    <cellStyle name="Estilo 1 17" xfId="684" xr:uid="{00000000-0005-0000-0000-0000AC020000}"/>
    <cellStyle name="Estilo 1 17 2" xfId="685" xr:uid="{00000000-0005-0000-0000-0000AD020000}"/>
    <cellStyle name="Estilo 1 17 3" xfId="686" xr:uid="{00000000-0005-0000-0000-0000AE020000}"/>
    <cellStyle name="Estilo 1 17_Enlaces" xfId="687" xr:uid="{00000000-0005-0000-0000-0000AF020000}"/>
    <cellStyle name="Estilo 1 170" xfId="688" xr:uid="{00000000-0005-0000-0000-0000B0020000}"/>
    <cellStyle name="Estilo 1 170 2" xfId="689" xr:uid="{00000000-0005-0000-0000-0000B1020000}"/>
    <cellStyle name="Estilo 1 171" xfId="690" xr:uid="{00000000-0005-0000-0000-0000B2020000}"/>
    <cellStyle name="Estilo 1 171 2" xfId="691" xr:uid="{00000000-0005-0000-0000-0000B3020000}"/>
    <cellStyle name="Estilo 1 172" xfId="692" xr:uid="{00000000-0005-0000-0000-0000B4020000}"/>
    <cellStyle name="Estilo 1 172 2" xfId="693" xr:uid="{00000000-0005-0000-0000-0000B5020000}"/>
    <cellStyle name="Estilo 1 173" xfId="694" xr:uid="{00000000-0005-0000-0000-0000B6020000}"/>
    <cellStyle name="Estilo 1 173 2" xfId="695" xr:uid="{00000000-0005-0000-0000-0000B7020000}"/>
    <cellStyle name="Estilo 1 174" xfId="696" xr:uid="{00000000-0005-0000-0000-0000B8020000}"/>
    <cellStyle name="Estilo 1 174 2" xfId="697" xr:uid="{00000000-0005-0000-0000-0000B9020000}"/>
    <cellStyle name="Estilo 1 175" xfId="698" xr:uid="{00000000-0005-0000-0000-0000BA020000}"/>
    <cellStyle name="Estilo 1 175 2" xfId="699" xr:uid="{00000000-0005-0000-0000-0000BB020000}"/>
    <cellStyle name="Estilo 1 176" xfId="700" xr:uid="{00000000-0005-0000-0000-0000BC020000}"/>
    <cellStyle name="Estilo 1 176 2" xfId="701" xr:uid="{00000000-0005-0000-0000-0000BD020000}"/>
    <cellStyle name="Estilo 1 177" xfId="702" xr:uid="{00000000-0005-0000-0000-0000BE020000}"/>
    <cellStyle name="Estilo 1 177 2" xfId="703" xr:uid="{00000000-0005-0000-0000-0000BF020000}"/>
    <cellStyle name="Estilo 1 178" xfId="704" xr:uid="{00000000-0005-0000-0000-0000C0020000}"/>
    <cellStyle name="Estilo 1 178 2" xfId="705" xr:uid="{00000000-0005-0000-0000-0000C1020000}"/>
    <cellStyle name="Estilo 1 179" xfId="706" xr:uid="{00000000-0005-0000-0000-0000C2020000}"/>
    <cellStyle name="Estilo 1 179 2" xfId="707" xr:uid="{00000000-0005-0000-0000-0000C3020000}"/>
    <cellStyle name="Estilo 1 18" xfId="708" xr:uid="{00000000-0005-0000-0000-0000C4020000}"/>
    <cellStyle name="Estilo 1 18 2" xfId="709" xr:uid="{00000000-0005-0000-0000-0000C5020000}"/>
    <cellStyle name="Estilo 1 18 3" xfId="710" xr:uid="{00000000-0005-0000-0000-0000C6020000}"/>
    <cellStyle name="Estilo 1 18_Enlaces" xfId="711" xr:uid="{00000000-0005-0000-0000-0000C7020000}"/>
    <cellStyle name="Estilo 1 180" xfId="712" xr:uid="{00000000-0005-0000-0000-0000C8020000}"/>
    <cellStyle name="Estilo 1 180 2" xfId="713" xr:uid="{00000000-0005-0000-0000-0000C9020000}"/>
    <cellStyle name="Estilo 1 181" xfId="714" xr:uid="{00000000-0005-0000-0000-0000CA020000}"/>
    <cellStyle name="Estilo 1 181 2" xfId="715" xr:uid="{00000000-0005-0000-0000-0000CB020000}"/>
    <cellStyle name="Estilo 1 182" xfId="716" xr:uid="{00000000-0005-0000-0000-0000CC020000}"/>
    <cellStyle name="Estilo 1 182 2" xfId="717" xr:uid="{00000000-0005-0000-0000-0000CD020000}"/>
    <cellStyle name="Estilo 1 183" xfId="718" xr:uid="{00000000-0005-0000-0000-0000CE020000}"/>
    <cellStyle name="Estilo 1 183 2" xfId="719" xr:uid="{00000000-0005-0000-0000-0000CF020000}"/>
    <cellStyle name="Estilo 1 184" xfId="720" xr:uid="{00000000-0005-0000-0000-0000D0020000}"/>
    <cellStyle name="Estilo 1 184 2" xfId="721" xr:uid="{00000000-0005-0000-0000-0000D1020000}"/>
    <cellStyle name="Estilo 1 185" xfId="722" xr:uid="{00000000-0005-0000-0000-0000D2020000}"/>
    <cellStyle name="Estilo 1 185 2" xfId="723" xr:uid="{00000000-0005-0000-0000-0000D3020000}"/>
    <cellStyle name="Estilo 1 186" xfId="724" xr:uid="{00000000-0005-0000-0000-0000D4020000}"/>
    <cellStyle name="Estilo 1 186 2" xfId="725" xr:uid="{00000000-0005-0000-0000-0000D5020000}"/>
    <cellStyle name="Estilo 1 187" xfId="726" xr:uid="{00000000-0005-0000-0000-0000D6020000}"/>
    <cellStyle name="Estilo 1 187 2" xfId="727" xr:uid="{00000000-0005-0000-0000-0000D7020000}"/>
    <cellStyle name="Estilo 1 188" xfId="728" xr:uid="{00000000-0005-0000-0000-0000D8020000}"/>
    <cellStyle name="Estilo 1 188 2" xfId="729" xr:uid="{00000000-0005-0000-0000-0000D9020000}"/>
    <cellStyle name="Estilo 1 189" xfId="730" xr:uid="{00000000-0005-0000-0000-0000DA020000}"/>
    <cellStyle name="Estilo 1 189 2" xfId="731" xr:uid="{00000000-0005-0000-0000-0000DB020000}"/>
    <cellStyle name="Estilo 1 19" xfId="732" xr:uid="{00000000-0005-0000-0000-0000DC020000}"/>
    <cellStyle name="Estilo 1 19 2" xfId="733" xr:uid="{00000000-0005-0000-0000-0000DD020000}"/>
    <cellStyle name="Estilo 1 19 3" xfId="734" xr:uid="{00000000-0005-0000-0000-0000DE020000}"/>
    <cellStyle name="Estilo 1 19_Enlaces" xfId="735" xr:uid="{00000000-0005-0000-0000-0000DF020000}"/>
    <cellStyle name="Estilo 1 190" xfId="736" xr:uid="{00000000-0005-0000-0000-0000E0020000}"/>
    <cellStyle name="Estilo 1 190 2" xfId="737" xr:uid="{00000000-0005-0000-0000-0000E1020000}"/>
    <cellStyle name="Estilo 1 191" xfId="738" xr:uid="{00000000-0005-0000-0000-0000E2020000}"/>
    <cellStyle name="Estilo 1 191 2" xfId="739" xr:uid="{00000000-0005-0000-0000-0000E3020000}"/>
    <cellStyle name="Estilo 1 192" xfId="740" xr:uid="{00000000-0005-0000-0000-0000E4020000}"/>
    <cellStyle name="Estilo 1 192 2" xfId="741" xr:uid="{00000000-0005-0000-0000-0000E5020000}"/>
    <cellStyle name="Estilo 1 193" xfId="742" xr:uid="{00000000-0005-0000-0000-0000E6020000}"/>
    <cellStyle name="Estilo 1 193 2" xfId="743" xr:uid="{00000000-0005-0000-0000-0000E7020000}"/>
    <cellStyle name="Estilo 1 194" xfId="744" xr:uid="{00000000-0005-0000-0000-0000E8020000}"/>
    <cellStyle name="Estilo 1 194 2" xfId="745" xr:uid="{00000000-0005-0000-0000-0000E9020000}"/>
    <cellStyle name="Estilo 1 195" xfId="746" xr:uid="{00000000-0005-0000-0000-0000EA020000}"/>
    <cellStyle name="Estilo 1 195 2" xfId="747" xr:uid="{00000000-0005-0000-0000-0000EB020000}"/>
    <cellStyle name="Estilo 1 196" xfId="748" xr:uid="{00000000-0005-0000-0000-0000EC020000}"/>
    <cellStyle name="Estilo 1 196 2" xfId="749" xr:uid="{00000000-0005-0000-0000-0000ED020000}"/>
    <cellStyle name="Estilo 1 197" xfId="750" xr:uid="{00000000-0005-0000-0000-0000EE020000}"/>
    <cellStyle name="Estilo 1 197 2" xfId="751" xr:uid="{00000000-0005-0000-0000-0000EF020000}"/>
    <cellStyle name="Estilo 1 198" xfId="752" xr:uid="{00000000-0005-0000-0000-0000F0020000}"/>
    <cellStyle name="Estilo 1 198 2" xfId="753" xr:uid="{00000000-0005-0000-0000-0000F1020000}"/>
    <cellStyle name="Estilo 1 199" xfId="754" xr:uid="{00000000-0005-0000-0000-0000F2020000}"/>
    <cellStyle name="Estilo 1 199 2" xfId="755" xr:uid="{00000000-0005-0000-0000-0000F3020000}"/>
    <cellStyle name="Estilo 1 2" xfId="756" xr:uid="{00000000-0005-0000-0000-0000F4020000}"/>
    <cellStyle name="Estilo 1 2 2" xfId="757" xr:uid="{00000000-0005-0000-0000-0000F5020000}"/>
    <cellStyle name="Estilo 1 2 2 2" xfId="758" xr:uid="{00000000-0005-0000-0000-0000F6020000}"/>
    <cellStyle name="Estilo 1 2 3" xfId="759" xr:uid="{00000000-0005-0000-0000-0000F7020000}"/>
    <cellStyle name="Estilo 1 2 3 2" xfId="760" xr:uid="{00000000-0005-0000-0000-0000F8020000}"/>
    <cellStyle name="Estilo 1 2 4" xfId="761" xr:uid="{00000000-0005-0000-0000-0000F9020000}"/>
    <cellStyle name="Estilo 1 2 4 2" xfId="762" xr:uid="{00000000-0005-0000-0000-0000FA020000}"/>
    <cellStyle name="Estilo 1 2 5" xfId="763" xr:uid="{00000000-0005-0000-0000-0000FB020000}"/>
    <cellStyle name="Estilo 1 2 6" xfId="764" xr:uid="{00000000-0005-0000-0000-0000FC020000}"/>
    <cellStyle name="Estilo 1 2 7" xfId="765" xr:uid="{00000000-0005-0000-0000-0000FD020000}"/>
    <cellStyle name="Estilo 1 2 7 2" xfId="766" xr:uid="{00000000-0005-0000-0000-0000FE020000}"/>
    <cellStyle name="Estilo 1 2_Enlaces" xfId="767" xr:uid="{00000000-0005-0000-0000-0000FF020000}"/>
    <cellStyle name="Estilo 1 20" xfId="768" xr:uid="{00000000-0005-0000-0000-000000030000}"/>
    <cellStyle name="Estilo 1 20 2" xfId="769" xr:uid="{00000000-0005-0000-0000-000001030000}"/>
    <cellStyle name="Estilo 1 20 3" xfId="770" xr:uid="{00000000-0005-0000-0000-000002030000}"/>
    <cellStyle name="Estilo 1 20_Enlaces" xfId="771" xr:uid="{00000000-0005-0000-0000-000003030000}"/>
    <cellStyle name="Estilo 1 200" xfId="772" xr:uid="{00000000-0005-0000-0000-000004030000}"/>
    <cellStyle name="Estilo 1 200 2" xfId="773" xr:uid="{00000000-0005-0000-0000-000005030000}"/>
    <cellStyle name="Estilo 1 21" xfId="774" xr:uid="{00000000-0005-0000-0000-000006030000}"/>
    <cellStyle name="Estilo 1 21 2" xfId="775" xr:uid="{00000000-0005-0000-0000-000007030000}"/>
    <cellStyle name="Estilo 1 21_Enlaces" xfId="776" xr:uid="{00000000-0005-0000-0000-000008030000}"/>
    <cellStyle name="Estilo 1 22" xfId="777" xr:uid="{00000000-0005-0000-0000-000009030000}"/>
    <cellStyle name="Estilo 1 22 2" xfId="778" xr:uid="{00000000-0005-0000-0000-00000A030000}"/>
    <cellStyle name="Estilo 1 22_Enlaces" xfId="779" xr:uid="{00000000-0005-0000-0000-00000B030000}"/>
    <cellStyle name="Estilo 1 23" xfId="780" xr:uid="{00000000-0005-0000-0000-00000C030000}"/>
    <cellStyle name="Estilo 1 23 2" xfId="781" xr:uid="{00000000-0005-0000-0000-00000D030000}"/>
    <cellStyle name="Estilo 1 23_Enlaces" xfId="782" xr:uid="{00000000-0005-0000-0000-00000E030000}"/>
    <cellStyle name="Estilo 1 24" xfId="783" xr:uid="{00000000-0005-0000-0000-00000F030000}"/>
    <cellStyle name="Estilo 1 24 2" xfId="784" xr:uid="{00000000-0005-0000-0000-000010030000}"/>
    <cellStyle name="Estilo 1 24_Enlaces" xfId="785" xr:uid="{00000000-0005-0000-0000-000011030000}"/>
    <cellStyle name="Estilo 1 25" xfId="786" xr:uid="{00000000-0005-0000-0000-000012030000}"/>
    <cellStyle name="Estilo 1 25 2" xfId="787" xr:uid="{00000000-0005-0000-0000-000013030000}"/>
    <cellStyle name="Estilo 1 25_Enlaces" xfId="788" xr:uid="{00000000-0005-0000-0000-000014030000}"/>
    <cellStyle name="Estilo 1 26" xfId="789" xr:uid="{00000000-0005-0000-0000-000015030000}"/>
    <cellStyle name="Estilo 1 26 2" xfId="790" xr:uid="{00000000-0005-0000-0000-000016030000}"/>
    <cellStyle name="Estilo 1 26_Enlaces" xfId="791" xr:uid="{00000000-0005-0000-0000-000017030000}"/>
    <cellStyle name="Estilo 1 27" xfId="792" xr:uid="{00000000-0005-0000-0000-000018030000}"/>
    <cellStyle name="Estilo 1 27 2" xfId="793" xr:uid="{00000000-0005-0000-0000-000019030000}"/>
    <cellStyle name="Estilo 1 27_Enlaces" xfId="794" xr:uid="{00000000-0005-0000-0000-00001A030000}"/>
    <cellStyle name="Estilo 1 28" xfId="795" xr:uid="{00000000-0005-0000-0000-00001B030000}"/>
    <cellStyle name="Estilo 1 29" xfId="796" xr:uid="{00000000-0005-0000-0000-00001C030000}"/>
    <cellStyle name="Estilo 1 3" xfId="797" xr:uid="{00000000-0005-0000-0000-00001D030000}"/>
    <cellStyle name="Estilo 1 3 2" xfId="798" xr:uid="{00000000-0005-0000-0000-00001E030000}"/>
    <cellStyle name="Estilo 1 3 3" xfId="799" xr:uid="{00000000-0005-0000-0000-00001F030000}"/>
    <cellStyle name="Estilo 1 3_Enlaces" xfId="800" xr:uid="{00000000-0005-0000-0000-000020030000}"/>
    <cellStyle name="Estilo 1 30" xfId="801" xr:uid="{00000000-0005-0000-0000-000021030000}"/>
    <cellStyle name="Estilo 1 31" xfId="802" xr:uid="{00000000-0005-0000-0000-000022030000}"/>
    <cellStyle name="Estilo 1 32" xfId="803" xr:uid="{00000000-0005-0000-0000-000023030000}"/>
    <cellStyle name="Estilo 1 33" xfId="804" xr:uid="{00000000-0005-0000-0000-000024030000}"/>
    <cellStyle name="Estilo 1 34" xfId="805" xr:uid="{00000000-0005-0000-0000-000025030000}"/>
    <cellStyle name="Estilo 1 35" xfId="806" xr:uid="{00000000-0005-0000-0000-000026030000}"/>
    <cellStyle name="Estilo 1 36" xfId="807" xr:uid="{00000000-0005-0000-0000-000027030000}"/>
    <cellStyle name="Estilo 1 37" xfId="808" xr:uid="{00000000-0005-0000-0000-000028030000}"/>
    <cellStyle name="Estilo 1 38" xfId="809" xr:uid="{00000000-0005-0000-0000-000029030000}"/>
    <cellStyle name="Estilo 1 39" xfId="810" xr:uid="{00000000-0005-0000-0000-00002A030000}"/>
    <cellStyle name="Estilo 1 4" xfId="811" xr:uid="{00000000-0005-0000-0000-00002B030000}"/>
    <cellStyle name="Estilo 1 4 2" xfId="812" xr:uid="{00000000-0005-0000-0000-00002C030000}"/>
    <cellStyle name="Estilo 1 4 3" xfId="813" xr:uid="{00000000-0005-0000-0000-00002D030000}"/>
    <cellStyle name="Estilo 1 4_Enlaces" xfId="814" xr:uid="{00000000-0005-0000-0000-00002E030000}"/>
    <cellStyle name="Estilo 1 40" xfId="815" xr:uid="{00000000-0005-0000-0000-00002F030000}"/>
    <cellStyle name="Estilo 1 41" xfId="816" xr:uid="{00000000-0005-0000-0000-000030030000}"/>
    <cellStyle name="Estilo 1 42" xfId="817" xr:uid="{00000000-0005-0000-0000-000031030000}"/>
    <cellStyle name="Estilo 1 43" xfId="818" xr:uid="{00000000-0005-0000-0000-000032030000}"/>
    <cellStyle name="Estilo 1 44" xfId="819" xr:uid="{00000000-0005-0000-0000-000033030000}"/>
    <cellStyle name="Estilo 1 45" xfId="820" xr:uid="{00000000-0005-0000-0000-000034030000}"/>
    <cellStyle name="Estilo 1 46" xfId="821" xr:uid="{00000000-0005-0000-0000-000035030000}"/>
    <cellStyle name="Estilo 1 47" xfId="822" xr:uid="{00000000-0005-0000-0000-000036030000}"/>
    <cellStyle name="Estilo 1 48" xfId="823" xr:uid="{00000000-0005-0000-0000-000037030000}"/>
    <cellStyle name="Estilo 1 49" xfId="824" xr:uid="{00000000-0005-0000-0000-000038030000}"/>
    <cellStyle name="Estilo 1 5" xfId="825" xr:uid="{00000000-0005-0000-0000-000039030000}"/>
    <cellStyle name="Estilo 1 5 2" xfId="826" xr:uid="{00000000-0005-0000-0000-00003A030000}"/>
    <cellStyle name="Estilo 1 5 3" xfId="827" xr:uid="{00000000-0005-0000-0000-00003B030000}"/>
    <cellStyle name="Estilo 1 5_Enlaces" xfId="828" xr:uid="{00000000-0005-0000-0000-00003C030000}"/>
    <cellStyle name="Estilo 1 50" xfId="829" xr:uid="{00000000-0005-0000-0000-00003D030000}"/>
    <cellStyle name="Estilo 1 51" xfId="830" xr:uid="{00000000-0005-0000-0000-00003E030000}"/>
    <cellStyle name="Estilo 1 52" xfId="831" xr:uid="{00000000-0005-0000-0000-00003F030000}"/>
    <cellStyle name="Estilo 1 53" xfId="832" xr:uid="{00000000-0005-0000-0000-000040030000}"/>
    <cellStyle name="Estilo 1 54" xfId="833" xr:uid="{00000000-0005-0000-0000-000041030000}"/>
    <cellStyle name="Estilo 1 55" xfId="834" xr:uid="{00000000-0005-0000-0000-000042030000}"/>
    <cellStyle name="Estilo 1 56" xfId="835" xr:uid="{00000000-0005-0000-0000-000043030000}"/>
    <cellStyle name="Estilo 1 57" xfId="836" xr:uid="{00000000-0005-0000-0000-000044030000}"/>
    <cellStyle name="Estilo 1 57 2" xfId="837" xr:uid="{00000000-0005-0000-0000-000045030000}"/>
    <cellStyle name="Estilo 1 57 3" xfId="838" xr:uid="{00000000-0005-0000-0000-000046030000}"/>
    <cellStyle name="Estilo 1 57 4" xfId="839" xr:uid="{00000000-0005-0000-0000-000047030000}"/>
    <cellStyle name="Estilo 1 57 5" xfId="840" xr:uid="{00000000-0005-0000-0000-000048030000}"/>
    <cellStyle name="Estilo 1 57 6" xfId="841" xr:uid="{00000000-0005-0000-0000-000049030000}"/>
    <cellStyle name="Estilo 1 58" xfId="842" xr:uid="{00000000-0005-0000-0000-00004A030000}"/>
    <cellStyle name="Estilo 1 58 2" xfId="843" xr:uid="{00000000-0005-0000-0000-00004B030000}"/>
    <cellStyle name="Estilo 1 58 3" xfId="844" xr:uid="{00000000-0005-0000-0000-00004C030000}"/>
    <cellStyle name="Estilo 1 58 4" xfId="845" xr:uid="{00000000-0005-0000-0000-00004D030000}"/>
    <cellStyle name="Estilo 1 58 5" xfId="846" xr:uid="{00000000-0005-0000-0000-00004E030000}"/>
    <cellStyle name="Estilo 1 58 6" xfId="847" xr:uid="{00000000-0005-0000-0000-00004F030000}"/>
    <cellStyle name="Estilo 1 59" xfId="848" xr:uid="{00000000-0005-0000-0000-000050030000}"/>
    <cellStyle name="Estilo 1 59 2" xfId="849" xr:uid="{00000000-0005-0000-0000-000051030000}"/>
    <cellStyle name="Estilo 1 59 3" xfId="850" xr:uid="{00000000-0005-0000-0000-000052030000}"/>
    <cellStyle name="Estilo 1 6" xfId="851" xr:uid="{00000000-0005-0000-0000-000053030000}"/>
    <cellStyle name="Estilo 1 6 2" xfId="852" xr:uid="{00000000-0005-0000-0000-000054030000}"/>
    <cellStyle name="Estilo 1 6 3" xfId="853" xr:uid="{00000000-0005-0000-0000-000055030000}"/>
    <cellStyle name="Estilo 1 6_Enlaces" xfId="854" xr:uid="{00000000-0005-0000-0000-000056030000}"/>
    <cellStyle name="Estilo 1 60" xfId="855" xr:uid="{00000000-0005-0000-0000-000057030000}"/>
    <cellStyle name="Estilo 1 60 2" xfId="856" xr:uid="{00000000-0005-0000-0000-000058030000}"/>
    <cellStyle name="Estilo 1 60 3" xfId="857" xr:uid="{00000000-0005-0000-0000-000059030000}"/>
    <cellStyle name="Estilo 1 61" xfId="858" xr:uid="{00000000-0005-0000-0000-00005A030000}"/>
    <cellStyle name="Estilo 1 61 2" xfId="859" xr:uid="{00000000-0005-0000-0000-00005B030000}"/>
    <cellStyle name="Estilo 1 61 3" xfId="860" xr:uid="{00000000-0005-0000-0000-00005C030000}"/>
    <cellStyle name="Estilo 1 62" xfId="861" xr:uid="{00000000-0005-0000-0000-00005D030000}"/>
    <cellStyle name="Estilo 1 62 2" xfId="862" xr:uid="{00000000-0005-0000-0000-00005E030000}"/>
    <cellStyle name="Estilo 1 62 3" xfId="863" xr:uid="{00000000-0005-0000-0000-00005F030000}"/>
    <cellStyle name="Estilo 1 63" xfId="864" xr:uid="{00000000-0005-0000-0000-000060030000}"/>
    <cellStyle name="Estilo 1 63 2" xfId="865" xr:uid="{00000000-0005-0000-0000-000061030000}"/>
    <cellStyle name="Estilo 1 63 3" xfId="866" xr:uid="{00000000-0005-0000-0000-000062030000}"/>
    <cellStyle name="Estilo 1 64" xfId="867" xr:uid="{00000000-0005-0000-0000-000063030000}"/>
    <cellStyle name="Estilo 1 64 2" xfId="868" xr:uid="{00000000-0005-0000-0000-000064030000}"/>
    <cellStyle name="Estilo 1 64 3" xfId="869" xr:uid="{00000000-0005-0000-0000-000065030000}"/>
    <cellStyle name="Estilo 1 65" xfId="870" xr:uid="{00000000-0005-0000-0000-000066030000}"/>
    <cellStyle name="Estilo 1 65 2" xfId="871" xr:uid="{00000000-0005-0000-0000-000067030000}"/>
    <cellStyle name="Estilo 1 65 3" xfId="872" xr:uid="{00000000-0005-0000-0000-000068030000}"/>
    <cellStyle name="Estilo 1 66" xfId="873" xr:uid="{00000000-0005-0000-0000-000069030000}"/>
    <cellStyle name="Estilo 1 66 2" xfId="874" xr:uid="{00000000-0005-0000-0000-00006A030000}"/>
    <cellStyle name="Estilo 1 66 3" xfId="875" xr:uid="{00000000-0005-0000-0000-00006B030000}"/>
    <cellStyle name="Estilo 1 67" xfId="876" xr:uid="{00000000-0005-0000-0000-00006C030000}"/>
    <cellStyle name="Estilo 1 67 2" xfId="877" xr:uid="{00000000-0005-0000-0000-00006D030000}"/>
    <cellStyle name="Estilo 1 67 3" xfId="878" xr:uid="{00000000-0005-0000-0000-00006E030000}"/>
    <cellStyle name="Estilo 1 68" xfId="879" xr:uid="{00000000-0005-0000-0000-00006F030000}"/>
    <cellStyle name="Estilo 1 68 2" xfId="880" xr:uid="{00000000-0005-0000-0000-000070030000}"/>
    <cellStyle name="Estilo 1 68 3" xfId="881" xr:uid="{00000000-0005-0000-0000-000071030000}"/>
    <cellStyle name="Estilo 1 69" xfId="882" xr:uid="{00000000-0005-0000-0000-000072030000}"/>
    <cellStyle name="Estilo 1 69 2" xfId="883" xr:uid="{00000000-0005-0000-0000-000073030000}"/>
    <cellStyle name="Estilo 1 69 3" xfId="884" xr:uid="{00000000-0005-0000-0000-000074030000}"/>
    <cellStyle name="Estilo 1 7" xfId="885" xr:uid="{00000000-0005-0000-0000-000075030000}"/>
    <cellStyle name="Estilo 1 7 2" xfId="886" xr:uid="{00000000-0005-0000-0000-000076030000}"/>
    <cellStyle name="Estilo 1 7 3" xfId="887" xr:uid="{00000000-0005-0000-0000-000077030000}"/>
    <cellStyle name="Estilo 1 7_Enlaces" xfId="888" xr:uid="{00000000-0005-0000-0000-000078030000}"/>
    <cellStyle name="Estilo 1 70" xfId="889" xr:uid="{00000000-0005-0000-0000-000079030000}"/>
    <cellStyle name="Estilo 1 70 2" xfId="890" xr:uid="{00000000-0005-0000-0000-00007A030000}"/>
    <cellStyle name="Estilo 1 70 3" xfId="891" xr:uid="{00000000-0005-0000-0000-00007B030000}"/>
    <cellStyle name="Estilo 1 71" xfId="892" xr:uid="{00000000-0005-0000-0000-00007C030000}"/>
    <cellStyle name="Estilo 1 71 2" xfId="893" xr:uid="{00000000-0005-0000-0000-00007D030000}"/>
    <cellStyle name="Estilo 1 71 3" xfId="894" xr:uid="{00000000-0005-0000-0000-00007E030000}"/>
    <cellStyle name="Estilo 1 72" xfId="895" xr:uid="{00000000-0005-0000-0000-00007F030000}"/>
    <cellStyle name="Estilo 1 72 2" xfId="896" xr:uid="{00000000-0005-0000-0000-000080030000}"/>
    <cellStyle name="Estilo 1 72 3" xfId="897" xr:uid="{00000000-0005-0000-0000-000081030000}"/>
    <cellStyle name="Estilo 1 73" xfId="898" xr:uid="{00000000-0005-0000-0000-000082030000}"/>
    <cellStyle name="Estilo 1 73 2" xfId="899" xr:uid="{00000000-0005-0000-0000-000083030000}"/>
    <cellStyle name="Estilo 1 73 3" xfId="900" xr:uid="{00000000-0005-0000-0000-000084030000}"/>
    <cellStyle name="Estilo 1 74" xfId="901" xr:uid="{00000000-0005-0000-0000-000085030000}"/>
    <cellStyle name="Estilo 1 74 2" xfId="902" xr:uid="{00000000-0005-0000-0000-000086030000}"/>
    <cellStyle name="Estilo 1 74 3" xfId="903" xr:uid="{00000000-0005-0000-0000-000087030000}"/>
    <cellStyle name="Estilo 1 75" xfId="904" xr:uid="{00000000-0005-0000-0000-000088030000}"/>
    <cellStyle name="Estilo 1 75 2" xfId="905" xr:uid="{00000000-0005-0000-0000-000089030000}"/>
    <cellStyle name="Estilo 1 75 3" xfId="906" xr:uid="{00000000-0005-0000-0000-00008A030000}"/>
    <cellStyle name="Estilo 1 76" xfId="907" xr:uid="{00000000-0005-0000-0000-00008B030000}"/>
    <cellStyle name="Estilo 1 76 2" xfId="908" xr:uid="{00000000-0005-0000-0000-00008C030000}"/>
    <cellStyle name="Estilo 1 76 3" xfId="909" xr:uid="{00000000-0005-0000-0000-00008D030000}"/>
    <cellStyle name="Estilo 1 77" xfId="910" xr:uid="{00000000-0005-0000-0000-00008E030000}"/>
    <cellStyle name="Estilo 1 77 2" xfId="911" xr:uid="{00000000-0005-0000-0000-00008F030000}"/>
    <cellStyle name="Estilo 1 77 3" xfId="912" xr:uid="{00000000-0005-0000-0000-000090030000}"/>
    <cellStyle name="Estilo 1 78" xfId="913" xr:uid="{00000000-0005-0000-0000-000091030000}"/>
    <cellStyle name="Estilo 1 78 2" xfId="914" xr:uid="{00000000-0005-0000-0000-000092030000}"/>
    <cellStyle name="Estilo 1 78 3" xfId="915" xr:uid="{00000000-0005-0000-0000-000093030000}"/>
    <cellStyle name="Estilo 1 79" xfId="916" xr:uid="{00000000-0005-0000-0000-000094030000}"/>
    <cellStyle name="Estilo 1 79 2" xfId="917" xr:uid="{00000000-0005-0000-0000-000095030000}"/>
    <cellStyle name="Estilo 1 79 3" xfId="918" xr:uid="{00000000-0005-0000-0000-000096030000}"/>
    <cellStyle name="Estilo 1 8" xfId="919" xr:uid="{00000000-0005-0000-0000-000097030000}"/>
    <cellStyle name="Estilo 1 8 2" xfId="920" xr:uid="{00000000-0005-0000-0000-000098030000}"/>
    <cellStyle name="Estilo 1 8 3" xfId="921" xr:uid="{00000000-0005-0000-0000-000099030000}"/>
    <cellStyle name="Estilo 1 8_Enlaces" xfId="922" xr:uid="{00000000-0005-0000-0000-00009A030000}"/>
    <cellStyle name="Estilo 1 80" xfId="923" xr:uid="{00000000-0005-0000-0000-00009B030000}"/>
    <cellStyle name="Estilo 1 80 2" xfId="924" xr:uid="{00000000-0005-0000-0000-00009C030000}"/>
    <cellStyle name="Estilo 1 80 3" xfId="925" xr:uid="{00000000-0005-0000-0000-00009D030000}"/>
    <cellStyle name="Estilo 1 81" xfId="926" xr:uid="{00000000-0005-0000-0000-00009E030000}"/>
    <cellStyle name="Estilo 1 81 2" xfId="927" xr:uid="{00000000-0005-0000-0000-00009F030000}"/>
    <cellStyle name="Estilo 1 81 3" xfId="928" xr:uid="{00000000-0005-0000-0000-0000A0030000}"/>
    <cellStyle name="Estilo 1 82" xfId="929" xr:uid="{00000000-0005-0000-0000-0000A1030000}"/>
    <cellStyle name="Estilo 1 82 2" xfId="930" xr:uid="{00000000-0005-0000-0000-0000A2030000}"/>
    <cellStyle name="Estilo 1 82 3" xfId="931" xr:uid="{00000000-0005-0000-0000-0000A3030000}"/>
    <cellStyle name="Estilo 1 83" xfId="932" xr:uid="{00000000-0005-0000-0000-0000A4030000}"/>
    <cellStyle name="Estilo 1 84" xfId="933" xr:uid="{00000000-0005-0000-0000-0000A5030000}"/>
    <cellStyle name="Estilo 1 85" xfId="934" xr:uid="{00000000-0005-0000-0000-0000A6030000}"/>
    <cellStyle name="Estilo 1 86" xfId="935" xr:uid="{00000000-0005-0000-0000-0000A7030000}"/>
    <cellStyle name="Estilo 1 87" xfId="936" xr:uid="{00000000-0005-0000-0000-0000A8030000}"/>
    <cellStyle name="Estilo 1 88" xfId="937" xr:uid="{00000000-0005-0000-0000-0000A9030000}"/>
    <cellStyle name="Estilo 1 89" xfId="938" xr:uid="{00000000-0005-0000-0000-0000AA030000}"/>
    <cellStyle name="Estilo 1 9" xfId="939" xr:uid="{00000000-0005-0000-0000-0000AB030000}"/>
    <cellStyle name="Estilo 1 9 2" xfId="940" xr:uid="{00000000-0005-0000-0000-0000AC030000}"/>
    <cellStyle name="Estilo 1 9 3" xfId="941" xr:uid="{00000000-0005-0000-0000-0000AD030000}"/>
    <cellStyle name="Estilo 1 9_Enlaces" xfId="942" xr:uid="{00000000-0005-0000-0000-0000AE030000}"/>
    <cellStyle name="Estilo 1 90" xfId="943" xr:uid="{00000000-0005-0000-0000-0000AF030000}"/>
    <cellStyle name="Estilo 1 90 2" xfId="944" xr:uid="{00000000-0005-0000-0000-0000B0030000}"/>
    <cellStyle name="Estilo 1 91" xfId="945" xr:uid="{00000000-0005-0000-0000-0000B1030000}"/>
    <cellStyle name="Estilo 1 91 2" xfId="946" xr:uid="{00000000-0005-0000-0000-0000B2030000}"/>
    <cellStyle name="Estilo 1 92" xfId="947" xr:uid="{00000000-0005-0000-0000-0000B3030000}"/>
    <cellStyle name="Estilo 1 92 2" xfId="948" xr:uid="{00000000-0005-0000-0000-0000B4030000}"/>
    <cellStyle name="Estilo 1 93" xfId="949" xr:uid="{00000000-0005-0000-0000-0000B5030000}"/>
    <cellStyle name="Estilo 1 93 2" xfId="950" xr:uid="{00000000-0005-0000-0000-0000B6030000}"/>
    <cellStyle name="Estilo 1 94" xfId="951" xr:uid="{00000000-0005-0000-0000-0000B7030000}"/>
    <cellStyle name="Estilo 1 94 2" xfId="952" xr:uid="{00000000-0005-0000-0000-0000B8030000}"/>
    <cellStyle name="Estilo 1 95" xfId="953" xr:uid="{00000000-0005-0000-0000-0000B9030000}"/>
    <cellStyle name="Estilo 1 95 2" xfId="954" xr:uid="{00000000-0005-0000-0000-0000BA030000}"/>
    <cellStyle name="Estilo 1 96" xfId="955" xr:uid="{00000000-0005-0000-0000-0000BB030000}"/>
    <cellStyle name="Estilo 1 96 2" xfId="956" xr:uid="{00000000-0005-0000-0000-0000BC030000}"/>
    <cellStyle name="Estilo 1 97" xfId="957" xr:uid="{00000000-0005-0000-0000-0000BD030000}"/>
    <cellStyle name="Estilo 1 97 2" xfId="958" xr:uid="{00000000-0005-0000-0000-0000BE030000}"/>
    <cellStyle name="Estilo 1 98" xfId="959" xr:uid="{00000000-0005-0000-0000-0000BF030000}"/>
    <cellStyle name="Estilo 1 98 2" xfId="960" xr:uid="{00000000-0005-0000-0000-0000C0030000}"/>
    <cellStyle name="Estilo 1 99" xfId="961" xr:uid="{00000000-0005-0000-0000-0000C1030000}"/>
    <cellStyle name="Estilo 1 99 2" xfId="962" xr:uid="{00000000-0005-0000-0000-0000C2030000}"/>
    <cellStyle name="Estilo 1_Enlaces" xfId="963" xr:uid="{00000000-0005-0000-0000-0000C3030000}"/>
    <cellStyle name="Euro" xfId="964" xr:uid="{00000000-0005-0000-0000-0000C4030000}"/>
    <cellStyle name="Euro 10" xfId="965" xr:uid="{00000000-0005-0000-0000-0000C5030000}"/>
    <cellStyle name="Euro 11" xfId="966" xr:uid="{00000000-0005-0000-0000-0000C6030000}"/>
    <cellStyle name="Euro 12" xfId="967" xr:uid="{00000000-0005-0000-0000-0000C7030000}"/>
    <cellStyle name="Euro 13" xfId="968" xr:uid="{00000000-0005-0000-0000-0000C8030000}"/>
    <cellStyle name="Euro 14" xfId="969" xr:uid="{00000000-0005-0000-0000-0000C9030000}"/>
    <cellStyle name="Euro 15" xfId="970" xr:uid="{00000000-0005-0000-0000-0000CA030000}"/>
    <cellStyle name="Euro 16" xfId="971" xr:uid="{00000000-0005-0000-0000-0000CB030000}"/>
    <cellStyle name="Euro 17" xfId="972" xr:uid="{00000000-0005-0000-0000-0000CC030000}"/>
    <cellStyle name="Euro 18" xfId="973" xr:uid="{00000000-0005-0000-0000-0000CD030000}"/>
    <cellStyle name="Euro 19" xfId="974" xr:uid="{00000000-0005-0000-0000-0000CE030000}"/>
    <cellStyle name="Euro 2" xfId="975" xr:uid="{00000000-0005-0000-0000-0000CF030000}"/>
    <cellStyle name="Euro 2 2" xfId="976" xr:uid="{00000000-0005-0000-0000-0000D0030000}"/>
    <cellStyle name="Euro 20" xfId="977" xr:uid="{00000000-0005-0000-0000-0000D1030000}"/>
    <cellStyle name="Euro 21" xfId="978" xr:uid="{00000000-0005-0000-0000-0000D2030000}"/>
    <cellStyle name="Euro 3" xfId="979" xr:uid="{00000000-0005-0000-0000-0000D3030000}"/>
    <cellStyle name="Euro 4" xfId="980" xr:uid="{00000000-0005-0000-0000-0000D4030000}"/>
    <cellStyle name="Euro 5" xfId="981" xr:uid="{00000000-0005-0000-0000-0000D5030000}"/>
    <cellStyle name="Euro 6" xfId="982" xr:uid="{00000000-0005-0000-0000-0000D6030000}"/>
    <cellStyle name="Euro 7" xfId="983" xr:uid="{00000000-0005-0000-0000-0000D7030000}"/>
    <cellStyle name="Euro 8" xfId="984" xr:uid="{00000000-0005-0000-0000-0000D8030000}"/>
    <cellStyle name="Euro 9" xfId="985" xr:uid="{00000000-0005-0000-0000-0000D9030000}"/>
    <cellStyle name="Excel Built-in Normal" xfId="8" xr:uid="{00000000-0005-0000-0000-000008000000}"/>
    <cellStyle name="Excel Built-in Normal 2" xfId="986" xr:uid="{00000000-0005-0000-0000-0000DA030000}"/>
    <cellStyle name="Excel Built-in Normal 2 2" xfId="987" xr:uid="{00000000-0005-0000-0000-0000DB030000}"/>
    <cellStyle name="Excel Built-in Normal 3" xfId="988" xr:uid="{00000000-0005-0000-0000-0000DC030000}"/>
    <cellStyle name="Explanatory Text" xfId="989" xr:uid="{00000000-0005-0000-0000-0000DD030000}"/>
    <cellStyle name="Explanatory Text 2" xfId="990" xr:uid="{00000000-0005-0000-0000-0000DE030000}"/>
    <cellStyle name="Explanatory Text 3" xfId="991" xr:uid="{00000000-0005-0000-0000-0000DF030000}"/>
    <cellStyle name="Explanatory Text 4" xfId="992" xr:uid="{00000000-0005-0000-0000-0000E0030000}"/>
    <cellStyle name="Explanatory Text 5" xfId="993" xr:uid="{00000000-0005-0000-0000-0000E1030000}"/>
    <cellStyle name="Good" xfId="994" xr:uid="{00000000-0005-0000-0000-0000E2030000}"/>
    <cellStyle name="Good 2" xfId="995" xr:uid="{00000000-0005-0000-0000-0000E3030000}"/>
    <cellStyle name="Good 3" xfId="996" xr:uid="{00000000-0005-0000-0000-0000E4030000}"/>
    <cellStyle name="Good 4" xfId="997" xr:uid="{00000000-0005-0000-0000-0000E5030000}"/>
    <cellStyle name="Good 5" xfId="998" xr:uid="{00000000-0005-0000-0000-0000E6030000}"/>
    <cellStyle name="Heading 1" xfId="999" xr:uid="{00000000-0005-0000-0000-0000E7030000}"/>
    <cellStyle name="Heading 1 2" xfId="1000" xr:uid="{00000000-0005-0000-0000-0000E8030000}"/>
    <cellStyle name="Heading 1 3" xfId="1001" xr:uid="{00000000-0005-0000-0000-0000E9030000}"/>
    <cellStyle name="Heading 1 4" xfId="1002" xr:uid="{00000000-0005-0000-0000-0000EA030000}"/>
    <cellStyle name="Heading 1 5" xfId="1003" xr:uid="{00000000-0005-0000-0000-0000EB030000}"/>
    <cellStyle name="Heading 2" xfId="1004" xr:uid="{00000000-0005-0000-0000-0000EC030000}"/>
    <cellStyle name="Heading 2 2" xfId="1005" xr:uid="{00000000-0005-0000-0000-0000ED030000}"/>
    <cellStyle name="Heading 2 3" xfId="1006" xr:uid="{00000000-0005-0000-0000-0000EE030000}"/>
    <cellStyle name="Heading 2 4" xfId="1007" xr:uid="{00000000-0005-0000-0000-0000EF030000}"/>
    <cellStyle name="Heading 2 5" xfId="1008" xr:uid="{00000000-0005-0000-0000-0000F0030000}"/>
    <cellStyle name="Heading 3" xfId="1009" xr:uid="{00000000-0005-0000-0000-0000F1030000}"/>
    <cellStyle name="Heading 3 2" xfId="1010" xr:uid="{00000000-0005-0000-0000-0000F2030000}"/>
    <cellStyle name="Heading 3 3" xfId="1011" xr:uid="{00000000-0005-0000-0000-0000F3030000}"/>
    <cellStyle name="Heading 3 4" xfId="1012" xr:uid="{00000000-0005-0000-0000-0000F4030000}"/>
    <cellStyle name="Heading 3 5" xfId="1013" xr:uid="{00000000-0005-0000-0000-0000F5030000}"/>
    <cellStyle name="Heading 4" xfId="1014" xr:uid="{00000000-0005-0000-0000-0000F6030000}"/>
    <cellStyle name="Heading 4 2" xfId="1015" xr:uid="{00000000-0005-0000-0000-0000F7030000}"/>
    <cellStyle name="Heading 4 3" xfId="1016" xr:uid="{00000000-0005-0000-0000-0000F8030000}"/>
    <cellStyle name="Heading 4 4" xfId="1017" xr:uid="{00000000-0005-0000-0000-0000F9030000}"/>
    <cellStyle name="Heading 4 5" xfId="1018" xr:uid="{00000000-0005-0000-0000-0000FA030000}"/>
    <cellStyle name="Hipervínculo 2" xfId="1019" xr:uid="{00000000-0005-0000-0000-0000FB030000}"/>
    <cellStyle name="Hipervínculo 2 2" xfId="1020" xr:uid="{00000000-0005-0000-0000-0000FC030000}"/>
    <cellStyle name="Hipervínculo 3" xfId="1021" xr:uid="{00000000-0005-0000-0000-0000FD030000}"/>
    <cellStyle name="Hipervínculo 3 2" xfId="1022" xr:uid="{00000000-0005-0000-0000-0000FE030000}"/>
    <cellStyle name="Hipervínculo 4" xfId="1023" xr:uid="{00000000-0005-0000-0000-0000FF030000}"/>
    <cellStyle name="Hipervínculo 5" xfId="1024" xr:uid="{00000000-0005-0000-0000-000000040000}"/>
    <cellStyle name="Hipervínculo 6" xfId="1025" xr:uid="{00000000-0005-0000-0000-000001040000}"/>
    <cellStyle name="Hyperlink" xfId="42" xr:uid="{00000000-0005-0000-0000-00002A000000}"/>
    <cellStyle name="Incorrecto 2" xfId="1026" xr:uid="{00000000-0005-0000-0000-000002040000}"/>
    <cellStyle name="Incorrecto 2 2" xfId="1027" xr:uid="{00000000-0005-0000-0000-000003040000}"/>
    <cellStyle name="Incorrecto 3" xfId="1028" xr:uid="{00000000-0005-0000-0000-000004040000}"/>
    <cellStyle name="Incorrecto 4" xfId="1029" xr:uid="{00000000-0005-0000-0000-000005040000}"/>
    <cellStyle name="Incorrecto 5" xfId="1030" xr:uid="{00000000-0005-0000-0000-000006040000}"/>
    <cellStyle name="Incorrecto 6" xfId="1031" xr:uid="{00000000-0005-0000-0000-000007040000}"/>
    <cellStyle name="Incorrecto 7" xfId="1032" xr:uid="{00000000-0005-0000-0000-000008040000}"/>
    <cellStyle name="Incorrecto 8" xfId="1033" xr:uid="{00000000-0005-0000-0000-000009040000}"/>
    <cellStyle name="Input" xfId="1034" xr:uid="{00000000-0005-0000-0000-00000A040000}"/>
    <cellStyle name="Input 2" xfId="1035" xr:uid="{00000000-0005-0000-0000-00000B040000}"/>
    <cellStyle name="Input 3" xfId="1036" xr:uid="{00000000-0005-0000-0000-00000C040000}"/>
    <cellStyle name="Input 4" xfId="1037" xr:uid="{00000000-0005-0000-0000-00000D040000}"/>
    <cellStyle name="Input 5" xfId="1038" xr:uid="{00000000-0005-0000-0000-00000E040000}"/>
    <cellStyle name="Linked Cell" xfId="1039" xr:uid="{00000000-0005-0000-0000-00000F040000}"/>
    <cellStyle name="Linked Cell 2" xfId="1040" xr:uid="{00000000-0005-0000-0000-000010040000}"/>
    <cellStyle name="Linked Cell 3" xfId="1041" xr:uid="{00000000-0005-0000-0000-000011040000}"/>
    <cellStyle name="Linked Cell 4" xfId="1042" xr:uid="{00000000-0005-0000-0000-000012040000}"/>
    <cellStyle name="Linked Cell 5" xfId="1043" xr:uid="{00000000-0005-0000-0000-000013040000}"/>
    <cellStyle name="Millares 10" xfId="1044" xr:uid="{00000000-0005-0000-0000-000014040000}"/>
    <cellStyle name="Millares 10 10" xfId="1045" xr:uid="{00000000-0005-0000-0000-000015040000}"/>
    <cellStyle name="Millares 10 11" xfId="1046" xr:uid="{00000000-0005-0000-0000-000016040000}"/>
    <cellStyle name="Millares 10 12" xfId="1047" xr:uid="{00000000-0005-0000-0000-000017040000}"/>
    <cellStyle name="Millares 10 13" xfId="1048" xr:uid="{00000000-0005-0000-0000-000018040000}"/>
    <cellStyle name="Millares 10 14" xfId="1049" xr:uid="{00000000-0005-0000-0000-000019040000}"/>
    <cellStyle name="Millares 10 15" xfId="1050" xr:uid="{00000000-0005-0000-0000-00001A040000}"/>
    <cellStyle name="Millares 10 16" xfId="1051" xr:uid="{00000000-0005-0000-0000-00001B040000}"/>
    <cellStyle name="Millares 10 17" xfId="1052" xr:uid="{00000000-0005-0000-0000-00001C040000}"/>
    <cellStyle name="Millares 10 18" xfId="1053" xr:uid="{00000000-0005-0000-0000-00001D040000}"/>
    <cellStyle name="Millares 10 19" xfId="1054" xr:uid="{00000000-0005-0000-0000-00001E040000}"/>
    <cellStyle name="Millares 10 2" xfId="1055" xr:uid="{00000000-0005-0000-0000-00001F040000}"/>
    <cellStyle name="Millares 10 2 2" xfId="1056" xr:uid="{00000000-0005-0000-0000-000020040000}"/>
    <cellStyle name="Millares 10 2 3" xfId="1057" xr:uid="{00000000-0005-0000-0000-000021040000}"/>
    <cellStyle name="Millares 10 20" xfId="1058" xr:uid="{00000000-0005-0000-0000-000022040000}"/>
    <cellStyle name="Millares 10 21" xfId="1059" xr:uid="{00000000-0005-0000-0000-000023040000}"/>
    <cellStyle name="Millares 10 22" xfId="1060" xr:uid="{00000000-0005-0000-0000-000024040000}"/>
    <cellStyle name="Millares 10 23" xfId="1061" xr:uid="{00000000-0005-0000-0000-000025040000}"/>
    <cellStyle name="Millares 10 24" xfId="1062" xr:uid="{00000000-0005-0000-0000-000026040000}"/>
    <cellStyle name="Millares 10 25" xfId="1063" xr:uid="{00000000-0005-0000-0000-000027040000}"/>
    <cellStyle name="Millares 10 3" xfId="1064" xr:uid="{00000000-0005-0000-0000-000028040000}"/>
    <cellStyle name="Millares 10 3 2" xfId="1065" xr:uid="{00000000-0005-0000-0000-000029040000}"/>
    <cellStyle name="Millares 10 3 3" xfId="1066" xr:uid="{00000000-0005-0000-0000-00002A040000}"/>
    <cellStyle name="Millares 10 4" xfId="1067" xr:uid="{00000000-0005-0000-0000-00002B040000}"/>
    <cellStyle name="Millares 10 5" xfId="1068" xr:uid="{00000000-0005-0000-0000-00002C040000}"/>
    <cellStyle name="Millares 10 6" xfId="1069" xr:uid="{00000000-0005-0000-0000-00002D040000}"/>
    <cellStyle name="Millares 10 7" xfId="1070" xr:uid="{00000000-0005-0000-0000-00002E040000}"/>
    <cellStyle name="Millares 10 8" xfId="1071" xr:uid="{00000000-0005-0000-0000-00002F040000}"/>
    <cellStyle name="Millares 10 9" xfId="1072" xr:uid="{00000000-0005-0000-0000-000030040000}"/>
    <cellStyle name="Millares 11" xfId="1073" xr:uid="{00000000-0005-0000-0000-000031040000}"/>
    <cellStyle name="Millares 11 2" xfId="1074" xr:uid="{00000000-0005-0000-0000-000032040000}"/>
    <cellStyle name="Millares 12" xfId="1075" xr:uid="{00000000-0005-0000-0000-000033040000}"/>
    <cellStyle name="Millares 12 2" xfId="1076" xr:uid="{00000000-0005-0000-0000-000034040000}"/>
    <cellStyle name="Millares 13" xfId="1077" xr:uid="{00000000-0005-0000-0000-000035040000}"/>
    <cellStyle name="Millares 13 2" xfId="1078" xr:uid="{00000000-0005-0000-0000-000036040000}"/>
    <cellStyle name="Millares 14" xfId="1079" xr:uid="{00000000-0005-0000-0000-000037040000}"/>
    <cellStyle name="Millares 15" xfId="1080" xr:uid="{00000000-0005-0000-0000-000038040000}"/>
    <cellStyle name="Millares 15 2" xfId="1081" xr:uid="{00000000-0005-0000-0000-000039040000}"/>
    <cellStyle name="Millares 16" xfId="1082" xr:uid="{00000000-0005-0000-0000-00003A040000}"/>
    <cellStyle name="Millares 16 2" xfId="1083" xr:uid="{00000000-0005-0000-0000-00003B040000}"/>
    <cellStyle name="Millares 17" xfId="1084" xr:uid="{00000000-0005-0000-0000-00003C040000}"/>
    <cellStyle name="Millares 17 2" xfId="1085" xr:uid="{00000000-0005-0000-0000-00003D040000}"/>
    <cellStyle name="Millares 18" xfId="1086" xr:uid="{00000000-0005-0000-0000-00003E040000}"/>
    <cellStyle name="Millares 19" xfId="1087" xr:uid="{00000000-0005-0000-0000-00003F040000}"/>
    <cellStyle name="Millares 19 2" xfId="1088" xr:uid="{00000000-0005-0000-0000-000040040000}"/>
    <cellStyle name="Millares 19 3" xfId="1089" xr:uid="{00000000-0005-0000-0000-000041040000}"/>
    <cellStyle name="Millares 2" xfId="16" xr:uid="{00000000-0005-0000-0000-000010000000}"/>
    <cellStyle name="Millares 2 10" xfId="1091" xr:uid="{00000000-0005-0000-0000-000043040000}"/>
    <cellStyle name="Millares 2 10 2" xfId="1092" xr:uid="{00000000-0005-0000-0000-000044040000}"/>
    <cellStyle name="Millares 2 10 3" xfId="1093" xr:uid="{00000000-0005-0000-0000-000045040000}"/>
    <cellStyle name="Millares 2 11" xfId="1094" xr:uid="{00000000-0005-0000-0000-000046040000}"/>
    <cellStyle name="Millares 2 12" xfId="1095" xr:uid="{00000000-0005-0000-0000-000047040000}"/>
    <cellStyle name="Millares 2 13" xfId="1096" xr:uid="{00000000-0005-0000-0000-000048040000}"/>
    <cellStyle name="Millares 2 13 2" xfId="1097" xr:uid="{00000000-0005-0000-0000-000049040000}"/>
    <cellStyle name="Millares 2 13 2 2" xfId="1098" xr:uid="{00000000-0005-0000-0000-00004A040000}"/>
    <cellStyle name="Millares 2 14" xfId="1099" xr:uid="{00000000-0005-0000-0000-00004B040000}"/>
    <cellStyle name="Millares 2 14 2" xfId="1100" xr:uid="{00000000-0005-0000-0000-00004C040000}"/>
    <cellStyle name="Millares 2 14 3" xfId="1101" xr:uid="{00000000-0005-0000-0000-00004D040000}"/>
    <cellStyle name="Millares 2 15" xfId="1102" xr:uid="{00000000-0005-0000-0000-00004E040000}"/>
    <cellStyle name="Millares 2 15 2" xfId="1103" xr:uid="{00000000-0005-0000-0000-00004F040000}"/>
    <cellStyle name="Millares 2 15 3" xfId="1104" xr:uid="{00000000-0005-0000-0000-000050040000}"/>
    <cellStyle name="Millares 2 16" xfId="1105" xr:uid="{00000000-0005-0000-0000-000051040000}"/>
    <cellStyle name="Millares 2 16 2" xfId="1106" xr:uid="{00000000-0005-0000-0000-000052040000}"/>
    <cellStyle name="Millares 2 17" xfId="1107" xr:uid="{00000000-0005-0000-0000-000053040000}"/>
    <cellStyle name="Millares 2 17 2" xfId="1108" xr:uid="{00000000-0005-0000-0000-000054040000}"/>
    <cellStyle name="Millares 2 18" xfId="1109" xr:uid="{00000000-0005-0000-0000-000055040000}"/>
    <cellStyle name="Millares 2 19" xfId="1110" xr:uid="{00000000-0005-0000-0000-000056040000}"/>
    <cellStyle name="Millares 2 2" xfId="28" xr:uid="{00000000-0005-0000-0000-00001C000000}"/>
    <cellStyle name="Millares 2 2 10" xfId="1112" xr:uid="{00000000-0005-0000-0000-000058040000}"/>
    <cellStyle name="Millares 2 2 11" xfId="1113" xr:uid="{00000000-0005-0000-0000-000059040000}"/>
    <cellStyle name="Millares 2 2 12" xfId="1114" xr:uid="{00000000-0005-0000-0000-00005A040000}"/>
    <cellStyle name="Millares 2 2 13" xfId="1115" xr:uid="{00000000-0005-0000-0000-00005B040000}"/>
    <cellStyle name="Millares 2 2 14" xfId="1116" xr:uid="{00000000-0005-0000-0000-00005C040000}"/>
    <cellStyle name="Millares 2 2 15" xfId="1117" xr:uid="{00000000-0005-0000-0000-00005D040000}"/>
    <cellStyle name="Millares 2 2 16" xfId="1118" xr:uid="{00000000-0005-0000-0000-00005E040000}"/>
    <cellStyle name="Millares 2 2 17" xfId="1119" xr:uid="{00000000-0005-0000-0000-00005F040000}"/>
    <cellStyle name="Millares 2 2 18" xfId="1120" xr:uid="{00000000-0005-0000-0000-000060040000}"/>
    <cellStyle name="Millares 2 2 19" xfId="1121" xr:uid="{00000000-0005-0000-0000-000061040000}"/>
    <cellStyle name="Millares 2 2 2" xfId="1122" xr:uid="{00000000-0005-0000-0000-000062040000}"/>
    <cellStyle name="Millares 2 2 2 10" xfId="1123" xr:uid="{00000000-0005-0000-0000-000063040000}"/>
    <cellStyle name="Millares 2 2 2 11" xfId="1124" xr:uid="{00000000-0005-0000-0000-000064040000}"/>
    <cellStyle name="Millares 2 2 2 12" xfId="1125" xr:uid="{00000000-0005-0000-0000-000065040000}"/>
    <cellStyle name="Millares 2 2 2 13" xfId="1126" xr:uid="{00000000-0005-0000-0000-000066040000}"/>
    <cellStyle name="Millares 2 2 2 14" xfId="1127" xr:uid="{00000000-0005-0000-0000-000067040000}"/>
    <cellStyle name="Millares 2 2 2 15" xfId="1128" xr:uid="{00000000-0005-0000-0000-000068040000}"/>
    <cellStyle name="Millares 2 2 2 16" xfId="1129" xr:uid="{00000000-0005-0000-0000-000069040000}"/>
    <cellStyle name="Millares 2 2 2 17" xfId="1130" xr:uid="{00000000-0005-0000-0000-00006A040000}"/>
    <cellStyle name="Millares 2 2 2 18" xfId="1131" xr:uid="{00000000-0005-0000-0000-00006B040000}"/>
    <cellStyle name="Millares 2 2 2 19" xfId="1132" xr:uid="{00000000-0005-0000-0000-00006C040000}"/>
    <cellStyle name="Millares 2 2 2 2" xfId="1133" xr:uid="{00000000-0005-0000-0000-00006D040000}"/>
    <cellStyle name="Millares 2 2 2 2 10" xfId="1134" xr:uid="{00000000-0005-0000-0000-00006E040000}"/>
    <cellStyle name="Millares 2 2 2 2 11" xfId="1135" xr:uid="{00000000-0005-0000-0000-00006F040000}"/>
    <cellStyle name="Millares 2 2 2 2 12" xfId="1136" xr:uid="{00000000-0005-0000-0000-000070040000}"/>
    <cellStyle name="Millares 2 2 2 2 13" xfId="1137" xr:uid="{00000000-0005-0000-0000-000071040000}"/>
    <cellStyle name="Millares 2 2 2 2 14" xfId="1138" xr:uid="{00000000-0005-0000-0000-000072040000}"/>
    <cellStyle name="Millares 2 2 2 2 15" xfId="1139" xr:uid="{00000000-0005-0000-0000-000073040000}"/>
    <cellStyle name="Millares 2 2 2 2 16" xfId="1140" xr:uid="{00000000-0005-0000-0000-000074040000}"/>
    <cellStyle name="Millares 2 2 2 2 17" xfId="1141" xr:uid="{00000000-0005-0000-0000-000075040000}"/>
    <cellStyle name="Millares 2 2 2 2 18" xfId="1142" xr:uid="{00000000-0005-0000-0000-000076040000}"/>
    <cellStyle name="Millares 2 2 2 2 19" xfId="1143" xr:uid="{00000000-0005-0000-0000-000077040000}"/>
    <cellStyle name="Millares 2 2 2 2 2" xfId="1144" xr:uid="{00000000-0005-0000-0000-000078040000}"/>
    <cellStyle name="Millares 2 2 2 2 2 10" xfId="1145" xr:uid="{00000000-0005-0000-0000-000079040000}"/>
    <cellStyle name="Millares 2 2 2 2 2 11" xfId="1146" xr:uid="{00000000-0005-0000-0000-00007A040000}"/>
    <cellStyle name="Millares 2 2 2 2 2 12" xfId="1147" xr:uid="{00000000-0005-0000-0000-00007B040000}"/>
    <cellStyle name="Millares 2 2 2 2 2 13" xfId="1148" xr:uid="{00000000-0005-0000-0000-00007C040000}"/>
    <cellStyle name="Millares 2 2 2 2 2 14" xfId="1149" xr:uid="{00000000-0005-0000-0000-00007D040000}"/>
    <cellStyle name="Millares 2 2 2 2 2 15" xfId="1150" xr:uid="{00000000-0005-0000-0000-00007E040000}"/>
    <cellStyle name="Millares 2 2 2 2 2 16" xfId="1151" xr:uid="{00000000-0005-0000-0000-00007F040000}"/>
    <cellStyle name="Millares 2 2 2 2 2 17" xfId="1152" xr:uid="{00000000-0005-0000-0000-000080040000}"/>
    <cellStyle name="Millares 2 2 2 2 2 18" xfId="1153" xr:uid="{00000000-0005-0000-0000-000081040000}"/>
    <cellStyle name="Millares 2 2 2 2 2 19" xfId="1154" xr:uid="{00000000-0005-0000-0000-000082040000}"/>
    <cellStyle name="Millares 2 2 2 2 2 2" xfId="1155" xr:uid="{00000000-0005-0000-0000-000083040000}"/>
    <cellStyle name="Millares 2 2 2 2 2 2 10" xfId="1156" xr:uid="{00000000-0005-0000-0000-000084040000}"/>
    <cellStyle name="Millares 2 2 2 2 2 2 11" xfId="1157" xr:uid="{00000000-0005-0000-0000-000085040000}"/>
    <cellStyle name="Millares 2 2 2 2 2 2 12" xfId="1158" xr:uid="{00000000-0005-0000-0000-000086040000}"/>
    <cellStyle name="Millares 2 2 2 2 2 2 13" xfId="1159" xr:uid="{00000000-0005-0000-0000-000087040000}"/>
    <cellStyle name="Millares 2 2 2 2 2 2 14" xfId="1160" xr:uid="{00000000-0005-0000-0000-000088040000}"/>
    <cellStyle name="Millares 2 2 2 2 2 2 15" xfId="1161" xr:uid="{00000000-0005-0000-0000-000089040000}"/>
    <cellStyle name="Millares 2 2 2 2 2 2 16" xfId="1162" xr:uid="{00000000-0005-0000-0000-00008A040000}"/>
    <cellStyle name="Millares 2 2 2 2 2 2 17" xfId="1163" xr:uid="{00000000-0005-0000-0000-00008B040000}"/>
    <cellStyle name="Millares 2 2 2 2 2 2 18" xfId="1164" xr:uid="{00000000-0005-0000-0000-00008C040000}"/>
    <cellStyle name="Millares 2 2 2 2 2 2 19" xfId="1165" xr:uid="{00000000-0005-0000-0000-00008D040000}"/>
    <cellStyle name="Millares 2 2 2 2 2 2 2" xfId="1166" xr:uid="{00000000-0005-0000-0000-00008E040000}"/>
    <cellStyle name="Millares 2 2 2 2 2 2 2 10" xfId="1167" xr:uid="{00000000-0005-0000-0000-00008F040000}"/>
    <cellStyle name="Millares 2 2 2 2 2 2 2 11" xfId="1168" xr:uid="{00000000-0005-0000-0000-000090040000}"/>
    <cellStyle name="Millares 2 2 2 2 2 2 2 12" xfId="1169" xr:uid="{00000000-0005-0000-0000-000091040000}"/>
    <cellStyle name="Millares 2 2 2 2 2 2 2 13" xfId="1170" xr:uid="{00000000-0005-0000-0000-000092040000}"/>
    <cellStyle name="Millares 2 2 2 2 2 2 2 14" xfId="1171" xr:uid="{00000000-0005-0000-0000-000093040000}"/>
    <cellStyle name="Millares 2 2 2 2 2 2 2 15" xfId="1172" xr:uid="{00000000-0005-0000-0000-000094040000}"/>
    <cellStyle name="Millares 2 2 2 2 2 2 2 16" xfId="1173" xr:uid="{00000000-0005-0000-0000-000095040000}"/>
    <cellStyle name="Millares 2 2 2 2 2 2 2 17" xfId="1174" xr:uid="{00000000-0005-0000-0000-000096040000}"/>
    <cellStyle name="Millares 2 2 2 2 2 2 2 18" xfId="1175" xr:uid="{00000000-0005-0000-0000-000097040000}"/>
    <cellStyle name="Millares 2 2 2 2 2 2 2 19" xfId="1176" xr:uid="{00000000-0005-0000-0000-000098040000}"/>
    <cellStyle name="Millares 2 2 2 2 2 2 2 2" xfId="1177" xr:uid="{00000000-0005-0000-0000-000099040000}"/>
    <cellStyle name="Millares 2 2 2 2 2 2 2 2 10" xfId="1178" xr:uid="{00000000-0005-0000-0000-00009A040000}"/>
    <cellStyle name="Millares 2 2 2 2 2 2 2 2 11" xfId="1179" xr:uid="{00000000-0005-0000-0000-00009B040000}"/>
    <cellStyle name="Millares 2 2 2 2 2 2 2 2 12" xfId="1180" xr:uid="{00000000-0005-0000-0000-00009C040000}"/>
    <cellStyle name="Millares 2 2 2 2 2 2 2 2 13" xfId="1181" xr:uid="{00000000-0005-0000-0000-00009D040000}"/>
    <cellStyle name="Millares 2 2 2 2 2 2 2 2 14" xfId="1182" xr:uid="{00000000-0005-0000-0000-00009E040000}"/>
    <cellStyle name="Millares 2 2 2 2 2 2 2 2 15" xfId="1183" xr:uid="{00000000-0005-0000-0000-00009F040000}"/>
    <cellStyle name="Millares 2 2 2 2 2 2 2 2 2" xfId="1184" xr:uid="{00000000-0005-0000-0000-0000A0040000}"/>
    <cellStyle name="Millares 2 2 2 2 2 2 2 2 2 10" xfId="1185" xr:uid="{00000000-0005-0000-0000-0000A1040000}"/>
    <cellStyle name="Millares 2 2 2 2 2 2 2 2 2 11" xfId="1186" xr:uid="{00000000-0005-0000-0000-0000A2040000}"/>
    <cellStyle name="Millares 2 2 2 2 2 2 2 2 2 12" xfId="1187" xr:uid="{00000000-0005-0000-0000-0000A3040000}"/>
    <cellStyle name="Millares 2 2 2 2 2 2 2 2 2 13" xfId="1188" xr:uid="{00000000-0005-0000-0000-0000A4040000}"/>
    <cellStyle name="Millares 2 2 2 2 2 2 2 2 2 14" xfId="1189" xr:uid="{00000000-0005-0000-0000-0000A5040000}"/>
    <cellStyle name="Millares 2 2 2 2 2 2 2 2 2 15" xfId="1190" xr:uid="{00000000-0005-0000-0000-0000A6040000}"/>
    <cellStyle name="Millares 2 2 2 2 2 2 2 2 2 2" xfId="1191" xr:uid="{00000000-0005-0000-0000-0000A7040000}"/>
    <cellStyle name="Millares 2 2 2 2 2 2 2 2 2 2 10" xfId="1192" xr:uid="{00000000-0005-0000-0000-0000A8040000}"/>
    <cellStyle name="Millares 2 2 2 2 2 2 2 2 2 2 11" xfId="1193" xr:uid="{00000000-0005-0000-0000-0000A9040000}"/>
    <cellStyle name="Millares 2 2 2 2 2 2 2 2 2 2 12" xfId="1194" xr:uid="{00000000-0005-0000-0000-0000AA040000}"/>
    <cellStyle name="Millares 2 2 2 2 2 2 2 2 2 2 2" xfId="1195" xr:uid="{00000000-0005-0000-0000-0000AB040000}"/>
    <cellStyle name="Millares 2 2 2 2 2 2 2 2 2 2 2 10" xfId="1196" xr:uid="{00000000-0005-0000-0000-0000AC040000}"/>
    <cellStyle name="Millares 2 2 2 2 2 2 2 2 2 2 2 2" xfId="1197" xr:uid="{00000000-0005-0000-0000-0000AD040000}"/>
    <cellStyle name="Millares 2 2 2 2 2 2 2 2 2 2 2 3" xfId="1198" xr:uid="{00000000-0005-0000-0000-0000AE040000}"/>
    <cellStyle name="Millares 2 2 2 2 2 2 2 2 2 2 2 4" xfId="1199" xr:uid="{00000000-0005-0000-0000-0000AF040000}"/>
    <cellStyle name="Millares 2 2 2 2 2 2 2 2 2 2 2 5" xfId="1200" xr:uid="{00000000-0005-0000-0000-0000B0040000}"/>
    <cellStyle name="Millares 2 2 2 2 2 2 2 2 2 2 2 6" xfId="1201" xr:uid="{00000000-0005-0000-0000-0000B1040000}"/>
    <cellStyle name="Millares 2 2 2 2 2 2 2 2 2 2 2 7" xfId="1202" xr:uid="{00000000-0005-0000-0000-0000B2040000}"/>
    <cellStyle name="Millares 2 2 2 2 2 2 2 2 2 2 2 8" xfId="1203" xr:uid="{00000000-0005-0000-0000-0000B3040000}"/>
    <cellStyle name="Millares 2 2 2 2 2 2 2 2 2 2 2 9" xfId="1204" xr:uid="{00000000-0005-0000-0000-0000B4040000}"/>
    <cellStyle name="Millares 2 2 2 2 2 2 2 2 2 2 3" xfId="1205" xr:uid="{00000000-0005-0000-0000-0000B5040000}"/>
    <cellStyle name="Millares 2 2 2 2 2 2 2 2 2 2 4" xfId="1206" xr:uid="{00000000-0005-0000-0000-0000B6040000}"/>
    <cellStyle name="Millares 2 2 2 2 2 2 2 2 2 2 5" xfId="1207" xr:uid="{00000000-0005-0000-0000-0000B7040000}"/>
    <cellStyle name="Millares 2 2 2 2 2 2 2 2 2 2 6" xfId="1208" xr:uid="{00000000-0005-0000-0000-0000B8040000}"/>
    <cellStyle name="Millares 2 2 2 2 2 2 2 2 2 2 7" xfId="1209" xr:uid="{00000000-0005-0000-0000-0000B9040000}"/>
    <cellStyle name="Millares 2 2 2 2 2 2 2 2 2 2 8" xfId="1210" xr:uid="{00000000-0005-0000-0000-0000BA040000}"/>
    <cellStyle name="Millares 2 2 2 2 2 2 2 2 2 2 9" xfId="1211" xr:uid="{00000000-0005-0000-0000-0000BB040000}"/>
    <cellStyle name="Millares 2 2 2 2 2 2 2 2 2 3" xfId="1212" xr:uid="{00000000-0005-0000-0000-0000BC040000}"/>
    <cellStyle name="Millares 2 2 2 2 2 2 2 2 2 4" xfId="1213" xr:uid="{00000000-0005-0000-0000-0000BD040000}"/>
    <cellStyle name="Millares 2 2 2 2 2 2 2 2 2 5" xfId="1214" xr:uid="{00000000-0005-0000-0000-0000BE040000}"/>
    <cellStyle name="Millares 2 2 2 2 2 2 2 2 2 6" xfId="1215" xr:uid="{00000000-0005-0000-0000-0000BF040000}"/>
    <cellStyle name="Millares 2 2 2 2 2 2 2 2 2 6 10" xfId="1216" xr:uid="{00000000-0005-0000-0000-0000C0040000}"/>
    <cellStyle name="Millares 2 2 2 2 2 2 2 2 2 6 2" xfId="1217" xr:uid="{00000000-0005-0000-0000-0000C1040000}"/>
    <cellStyle name="Millares 2 2 2 2 2 2 2 2 2 6 3" xfId="1218" xr:uid="{00000000-0005-0000-0000-0000C2040000}"/>
    <cellStyle name="Millares 2 2 2 2 2 2 2 2 2 6 4" xfId="1219" xr:uid="{00000000-0005-0000-0000-0000C3040000}"/>
    <cellStyle name="Millares 2 2 2 2 2 2 2 2 2 6 5" xfId="1220" xr:uid="{00000000-0005-0000-0000-0000C4040000}"/>
    <cellStyle name="Millares 2 2 2 2 2 2 2 2 2 6 6" xfId="1221" xr:uid="{00000000-0005-0000-0000-0000C5040000}"/>
    <cellStyle name="Millares 2 2 2 2 2 2 2 2 2 6 7" xfId="1222" xr:uid="{00000000-0005-0000-0000-0000C6040000}"/>
    <cellStyle name="Millares 2 2 2 2 2 2 2 2 2 6 8" xfId="1223" xr:uid="{00000000-0005-0000-0000-0000C7040000}"/>
    <cellStyle name="Millares 2 2 2 2 2 2 2 2 2 6 9" xfId="1224" xr:uid="{00000000-0005-0000-0000-0000C8040000}"/>
    <cellStyle name="Millares 2 2 2 2 2 2 2 2 2 7" xfId="1225" xr:uid="{00000000-0005-0000-0000-0000C9040000}"/>
    <cellStyle name="Millares 2 2 2 2 2 2 2 2 2 8" xfId="1226" xr:uid="{00000000-0005-0000-0000-0000CA040000}"/>
    <cellStyle name="Millares 2 2 2 2 2 2 2 2 2 9" xfId="1227" xr:uid="{00000000-0005-0000-0000-0000CB040000}"/>
    <cellStyle name="Millares 2 2 2 2 2 2 2 2 3" xfId="1228" xr:uid="{00000000-0005-0000-0000-0000CC040000}"/>
    <cellStyle name="Millares 2 2 2 2 2 2 2 2 4" xfId="1229" xr:uid="{00000000-0005-0000-0000-0000CD040000}"/>
    <cellStyle name="Millares 2 2 2 2 2 2 2 2 5" xfId="1230" xr:uid="{00000000-0005-0000-0000-0000CE040000}"/>
    <cellStyle name="Millares 2 2 2 2 2 2 2 2 6" xfId="1231" xr:uid="{00000000-0005-0000-0000-0000CF040000}"/>
    <cellStyle name="Millares 2 2 2 2 2 2 2 2 6 10" xfId="1232" xr:uid="{00000000-0005-0000-0000-0000D0040000}"/>
    <cellStyle name="Millares 2 2 2 2 2 2 2 2 6 2" xfId="1233" xr:uid="{00000000-0005-0000-0000-0000D1040000}"/>
    <cellStyle name="Millares 2 2 2 2 2 2 2 2 6 3" xfId="1234" xr:uid="{00000000-0005-0000-0000-0000D2040000}"/>
    <cellStyle name="Millares 2 2 2 2 2 2 2 2 6 4" xfId="1235" xr:uid="{00000000-0005-0000-0000-0000D3040000}"/>
    <cellStyle name="Millares 2 2 2 2 2 2 2 2 6 5" xfId="1236" xr:uid="{00000000-0005-0000-0000-0000D4040000}"/>
    <cellStyle name="Millares 2 2 2 2 2 2 2 2 6 6" xfId="1237" xr:uid="{00000000-0005-0000-0000-0000D5040000}"/>
    <cellStyle name="Millares 2 2 2 2 2 2 2 2 6 7" xfId="1238" xr:uid="{00000000-0005-0000-0000-0000D6040000}"/>
    <cellStyle name="Millares 2 2 2 2 2 2 2 2 6 8" xfId="1239" xr:uid="{00000000-0005-0000-0000-0000D7040000}"/>
    <cellStyle name="Millares 2 2 2 2 2 2 2 2 6 9" xfId="1240" xr:uid="{00000000-0005-0000-0000-0000D8040000}"/>
    <cellStyle name="Millares 2 2 2 2 2 2 2 2 7" xfId="1241" xr:uid="{00000000-0005-0000-0000-0000D9040000}"/>
    <cellStyle name="Millares 2 2 2 2 2 2 2 2 8" xfId="1242" xr:uid="{00000000-0005-0000-0000-0000DA040000}"/>
    <cellStyle name="Millares 2 2 2 2 2 2 2 2 9" xfId="1243" xr:uid="{00000000-0005-0000-0000-0000DB040000}"/>
    <cellStyle name="Millares 2 2 2 2 2 2 2 20" xfId="1244" xr:uid="{00000000-0005-0000-0000-0000DC040000}"/>
    <cellStyle name="Millares 2 2 2 2 2 2 2 21" xfId="1245" xr:uid="{00000000-0005-0000-0000-0000DD040000}"/>
    <cellStyle name="Millares 2 2 2 2 2 2 2 22" xfId="1246" xr:uid="{00000000-0005-0000-0000-0000DE040000}"/>
    <cellStyle name="Millares 2 2 2 2 2 2 2 23" xfId="1247" xr:uid="{00000000-0005-0000-0000-0000DF040000}"/>
    <cellStyle name="Millares 2 2 2 2 2 2 2 24" xfId="1248" xr:uid="{00000000-0005-0000-0000-0000E0040000}"/>
    <cellStyle name="Millares 2 2 2 2 2 2 2 25" xfId="1249" xr:uid="{00000000-0005-0000-0000-0000E1040000}"/>
    <cellStyle name="Millares 2 2 2 2 2 2 2 25 10" xfId="1250" xr:uid="{00000000-0005-0000-0000-0000E2040000}"/>
    <cellStyle name="Millares 2 2 2 2 2 2 2 25 2" xfId="1251" xr:uid="{00000000-0005-0000-0000-0000E3040000}"/>
    <cellStyle name="Millares 2 2 2 2 2 2 2 25 3" xfId="1252" xr:uid="{00000000-0005-0000-0000-0000E4040000}"/>
    <cellStyle name="Millares 2 2 2 2 2 2 2 25 4" xfId="1253" xr:uid="{00000000-0005-0000-0000-0000E5040000}"/>
    <cellStyle name="Millares 2 2 2 2 2 2 2 25 5" xfId="1254" xr:uid="{00000000-0005-0000-0000-0000E6040000}"/>
    <cellStyle name="Millares 2 2 2 2 2 2 2 25 6" xfId="1255" xr:uid="{00000000-0005-0000-0000-0000E7040000}"/>
    <cellStyle name="Millares 2 2 2 2 2 2 2 25 7" xfId="1256" xr:uid="{00000000-0005-0000-0000-0000E8040000}"/>
    <cellStyle name="Millares 2 2 2 2 2 2 2 25 8" xfId="1257" xr:uid="{00000000-0005-0000-0000-0000E9040000}"/>
    <cellStyle name="Millares 2 2 2 2 2 2 2 25 9" xfId="1258" xr:uid="{00000000-0005-0000-0000-0000EA040000}"/>
    <cellStyle name="Millares 2 2 2 2 2 2 2 26" xfId="1259" xr:uid="{00000000-0005-0000-0000-0000EB040000}"/>
    <cellStyle name="Millares 2 2 2 2 2 2 2 27" xfId="1260" xr:uid="{00000000-0005-0000-0000-0000EC040000}"/>
    <cellStyle name="Millares 2 2 2 2 2 2 2 28" xfId="1261" xr:uid="{00000000-0005-0000-0000-0000ED040000}"/>
    <cellStyle name="Millares 2 2 2 2 2 2 2 29" xfId="1262" xr:uid="{00000000-0005-0000-0000-0000EE040000}"/>
    <cellStyle name="Millares 2 2 2 2 2 2 2 3" xfId="1263" xr:uid="{00000000-0005-0000-0000-0000EF040000}"/>
    <cellStyle name="Millares 2 2 2 2 2 2 2 30" xfId="1264" xr:uid="{00000000-0005-0000-0000-0000F0040000}"/>
    <cellStyle name="Millares 2 2 2 2 2 2 2 31" xfId="1265" xr:uid="{00000000-0005-0000-0000-0000F1040000}"/>
    <cellStyle name="Millares 2 2 2 2 2 2 2 32" xfId="1266" xr:uid="{00000000-0005-0000-0000-0000F2040000}"/>
    <cellStyle name="Millares 2 2 2 2 2 2 2 33" xfId="1267" xr:uid="{00000000-0005-0000-0000-0000F3040000}"/>
    <cellStyle name="Millares 2 2 2 2 2 2 2 34" xfId="1268" xr:uid="{00000000-0005-0000-0000-0000F4040000}"/>
    <cellStyle name="Millares 2 2 2 2 2 2 2 4" xfId="1269" xr:uid="{00000000-0005-0000-0000-0000F5040000}"/>
    <cellStyle name="Millares 2 2 2 2 2 2 2 5" xfId="1270" xr:uid="{00000000-0005-0000-0000-0000F6040000}"/>
    <cellStyle name="Millares 2 2 2 2 2 2 2 6" xfId="1271" xr:uid="{00000000-0005-0000-0000-0000F7040000}"/>
    <cellStyle name="Millares 2 2 2 2 2 2 2 7" xfId="1272" xr:uid="{00000000-0005-0000-0000-0000F8040000}"/>
    <cellStyle name="Millares 2 2 2 2 2 2 2 8" xfId="1273" xr:uid="{00000000-0005-0000-0000-0000F9040000}"/>
    <cellStyle name="Millares 2 2 2 2 2 2 2 9" xfId="1274" xr:uid="{00000000-0005-0000-0000-0000FA040000}"/>
    <cellStyle name="Millares 2 2 2 2 2 2 20" xfId="1275" xr:uid="{00000000-0005-0000-0000-0000FB040000}"/>
    <cellStyle name="Millares 2 2 2 2 2 2 21" xfId="1276" xr:uid="{00000000-0005-0000-0000-0000FC040000}"/>
    <cellStyle name="Millares 2 2 2 2 2 2 22" xfId="1277" xr:uid="{00000000-0005-0000-0000-0000FD040000}"/>
    <cellStyle name="Millares 2 2 2 2 2 2 23" xfId="1278" xr:uid="{00000000-0005-0000-0000-0000FE040000}"/>
    <cellStyle name="Millares 2 2 2 2 2 2 24" xfId="1279" xr:uid="{00000000-0005-0000-0000-0000FF040000}"/>
    <cellStyle name="Millares 2 2 2 2 2 2 25" xfId="1280" xr:uid="{00000000-0005-0000-0000-000000050000}"/>
    <cellStyle name="Millares 2 2 2 2 2 2 25 10" xfId="1281" xr:uid="{00000000-0005-0000-0000-000001050000}"/>
    <cellStyle name="Millares 2 2 2 2 2 2 25 2" xfId="1282" xr:uid="{00000000-0005-0000-0000-000002050000}"/>
    <cellStyle name="Millares 2 2 2 2 2 2 25 3" xfId="1283" xr:uid="{00000000-0005-0000-0000-000003050000}"/>
    <cellStyle name="Millares 2 2 2 2 2 2 25 4" xfId="1284" xr:uid="{00000000-0005-0000-0000-000004050000}"/>
    <cellStyle name="Millares 2 2 2 2 2 2 25 5" xfId="1285" xr:uid="{00000000-0005-0000-0000-000005050000}"/>
    <cellStyle name="Millares 2 2 2 2 2 2 25 6" xfId="1286" xr:uid="{00000000-0005-0000-0000-000006050000}"/>
    <cellStyle name="Millares 2 2 2 2 2 2 25 7" xfId="1287" xr:uid="{00000000-0005-0000-0000-000007050000}"/>
    <cellStyle name="Millares 2 2 2 2 2 2 25 8" xfId="1288" xr:uid="{00000000-0005-0000-0000-000008050000}"/>
    <cellStyle name="Millares 2 2 2 2 2 2 25 9" xfId="1289" xr:uid="{00000000-0005-0000-0000-000009050000}"/>
    <cellStyle name="Millares 2 2 2 2 2 2 26" xfId="1290" xr:uid="{00000000-0005-0000-0000-00000A050000}"/>
    <cellStyle name="Millares 2 2 2 2 2 2 27" xfId="1291" xr:uid="{00000000-0005-0000-0000-00000B050000}"/>
    <cellStyle name="Millares 2 2 2 2 2 2 28" xfId="1292" xr:uid="{00000000-0005-0000-0000-00000C050000}"/>
    <cellStyle name="Millares 2 2 2 2 2 2 29" xfId="1293" xr:uid="{00000000-0005-0000-0000-00000D050000}"/>
    <cellStyle name="Millares 2 2 2 2 2 2 3" xfId="1294" xr:uid="{00000000-0005-0000-0000-00000E050000}"/>
    <cellStyle name="Millares 2 2 2 2 2 2 30" xfId="1295" xr:uid="{00000000-0005-0000-0000-00000F050000}"/>
    <cellStyle name="Millares 2 2 2 2 2 2 31" xfId="1296" xr:uid="{00000000-0005-0000-0000-000010050000}"/>
    <cellStyle name="Millares 2 2 2 2 2 2 32" xfId="1297" xr:uid="{00000000-0005-0000-0000-000011050000}"/>
    <cellStyle name="Millares 2 2 2 2 2 2 33" xfId="1298" xr:uid="{00000000-0005-0000-0000-000012050000}"/>
    <cellStyle name="Millares 2 2 2 2 2 2 34" xfId="1299" xr:uid="{00000000-0005-0000-0000-000013050000}"/>
    <cellStyle name="Millares 2 2 2 2 2 2 35" xfId="1300" xr:uid="{00000000-0005-0000-0000-000014050000}"/>
    <cellStyle name="Millares 2 2 2 2 2 2 4" xfId="1301" xr:uid="{00000000-0005-0000-0000-000015050000}"/>
    <cellStyle name="Millares 2 2 2 2 2 2 5" xfId="1302" xr:uid="{00000000-0005-0000-0000-000016050000}"/>
    <cellStyle name="Millares 2 2 2 2 2 2 6" xfId="1303" xr:uid="{00000000-0005-0000-0000-000017050000}"/>
    <cellStyle name="Millares 2 2 2 2 2 2 7" xfId="1304" xr:uid="{00000000-0005-0000-0000-000018050000}"/>
    <cellStyle name="Millares 2 2 2 2 2 2 8" xfId="1305" xr:uid="{00000000-0005-0000-0000-000019050000}"/>
    <cellStyle name="Millares 2 2 2 2 2 2 9" xfId="1306" xr:uid="{00000000-0005-0000-0000-00001A050000}"/>
    <cellStyle name="Millares 2 2 2 2 2 20" xfId="1307" xr:uid="{00000000-0005-0000-0000-00001B050000}"/>
    <cellStyle name="Millares 2 2 2 2 2 21" xfId="1308" xr:uid="{00000000-0005-0000-0000-00001C050000}"/>
    <cellStyle name="Millares 2 2 2 2 2 22" xfId="1309" xr:uid="{00000000-0005-0000-0000-00001D050000}"/>
    <cellStyle name="Millares 2 2 2 2 2 23" xfId="1310" xr:uid="{00000000-0005-0000-0000-00001E050000}"/>
    <cellStyle name="Millares 2 2 2 2 2 24" xfId="1311" xr:uid="{00000000-0005-0000-0000-00001F050000}"/>
    <cellStyle name="Millares 2 2 2 2 2 25" xfId="1312" xr:uid="{00000000-0005-0000-0000-000020050000}"/>
    <cellStyle name="Millares 2 2 2 2 2 26" xfId="1313" xr:uid="{00000000-0005-0000-0000-000021050000}"/>
    <cellStyle name="Millares 2 2 2 2 2 27" xfId="1314" xr:uid="{00000000-0005-0000-0000-000022050000}"/>
    <cellStyle name="Millares 2 2 2 2 2 28" xfId="1315" xr:uid="{00000000-0005-0000-0000-000023050000}"/>
    <cellStyle name="Millares 2 2 2 2 2 29" xfId="1316" xr:uid="{00000000-0005-0000-0000-000024050000}"/>
    <cellStyle name="Millares 2 2 2 2 2 3" xfId="1317" xr:uid="{00000000-0005-0000-0000-000025050000}"/>
    <cellStyle name="Millares 2 2 2 2 2 30" xfId="1318" xr:uid="{00000000-0005-0000-0000-000026050000}"/>
    <cellStyle name="Millares 2 2 2 2 2 31" xfId="1319" xr:uid="{00000000-0005-0000-0000-000027050000}"/>
    <cellStyle name="Millares 2 2 2 2 2 32" xfId="1320" xr:uid="{00000000-0005-0000-0000-000028050000}"/>
    <cellStyle name="Millares 2 2 2 2 2 33" xfId="1321" xr:uid="{00000000-0005-0000-0000-000029050000}"/>
    <cellStyle name="Millares 2 2 2 2 2 34" xfId="1322" xr:uid="{00000000-0005-0000-0000-00002A050000}"/>
    <cellStyle name="Millares 2 2 2 2 2 35" xfId="1323" xr:uid="{00000000-0005-0000-0000-00002B050000}"/>
    <cellStyle name="Millares 2 2 2 2 2 36" xfId="1324" xr:uid="{00000000-0005-0000-0000-00002C050000}"/>
    <cellStyle name="Millares 2 2 2 2 2 37" xfId="1325" xr:uid="{00000000-0005-0000-0000-00002D050000}"/>
    <cellStyle name="Millares 2 2 2 2 2 38" xfId="1326" xr:uid="{00000000-0005-0000-0000-00002E050000}"/>
    <cellStyle name="Millares 2 2 2 2 2 38 10" xfId="1327" xr:uid="{00000000-0005-0000-0000-00002F050000}"/>
    <cellStyle name="Millares 2 2 2 2 2 38 2" xfId="1328" xr:uid="{00000000-0005-0000-0000-000030050000}"/>
    <cellStyle name="Millares 2 2 2 2 2 38 3" xfId="1329" xr:uid="{00000000-0005-0000-0000-000031050000}"/>
    <cellStyle name="Millares 2 2 2 2 2 38 4" xfId="1330" xr:uid="{00000000-0005-0000-0000-000032050000}"/>
    <cellStyle name="Millares 2 2 2 2 2 38 5" xfId="1331" xr:uid="{00000000-0005-0000-0000-000033050000}"/>
    <cellStyle name="Millares 2 2 2 2 2 38 6" xfId="1332" xr:uid="{00000000-0005-0000-0000-000034050000}"/>
    <cellStyle name="Millares 2 2 2 2 2 38 7" xfId="1333" xr:uid="{00000000-0005-0000-0000-000035050000}"/>
    <cellStyle name="Millares 2 2 2 2 2 38 8" xfId="1334" xr:uid="{00000000-0005-0000-0000-000036050000}"/>
    <cellStyle name="Millares 2 2 2 2 2 38 9" xfId="1335" xr:uid="{00000000-0005-0000-0000-000037050000}"/>
    <cellStyle name="Millares 2 2 2 2 2 39" xfId="1336" xr:uid="{00000000-0005-0000-0000-000038050000}"/>
    <cellStyle name="Millares 2 2 2 2 2 4" xfId="1337" xr:uid="{00000000-0005-0000-0000-000039050000}"/>
    <cellStyle name="Millares 2 2 2 2 2 40" xfId="1338" xr:uid="{00000000-0005-0000-0000-00003A050000}"/>
    <cellStyle name="Millares 2 2 2 2 2 41" xfId="1339" xr:uid="{00000000-0005-0000-0000-00003B050000}"/>
    <cellStyle name="Millares 2 2 2 2 2 42" xfId="1340" xr:uid="{00000000-0005-0000-0000-00003C050000}"/>
    <cellStyle name="Millares 2 2 2 2 2 43" xfId="1341" xr:uid="{00000000-0005-0000-0000-00003D050000}"/>
    <cellStyle name="Millares 2 2 2 2 2 44" xfId="1342" xr:uid="{00000000-0005-0000-0000-00003E050000}"/>
    <cellStyle name="Millares 2 2 2 2 2 45" xfId="1343" xr:uid="{00000000-0005-0000-0000-00003F050000}"/>
    <cellStyle name="Millares 2 2 2 2 2 46" xfId="1344" xr:uid="{00000000-0005-0000-0000-000040050000}"/>
    <cellStyle name="Millares 2 2 2 2 2 47" xfId="1345" xr:uid="{00000000-0005-0000-0000-000041050000}"/>
    <cellStyle name="Millares 2 2 2 2 2 48" xfId="1346" xr:uid="{00000000-0005-0000-0000-000042050000}"/>
    <cellStyle name="Millares 2 2 2 2 2 5" xfId="1347" xr:uid="{00000000-0005-0000-0000-000043050000}"/>
    <cellStyle name="Millares 2 2 2 2 2 6" xfId="1348" xr:uid="{00000000-0005-0000-0000-000044050000}"/>
    <cellStyle name="Millares 2 2 2 2 2 7" xfId="1349" xr:uid="{00000000-0005-0000-0000-000045050000}"/>
    <cellStyle name="Millares 2 2 2 2 2 8" xfId="1350" xr:uid="{00000000-0005-0000-0000-000046050000}"/>
    <cellStyle name="Millares 2 2 2 2 2 9" xfId="1351" xr:uid="{00000000-0005-0000-0000-000047050000}"/>
    <cellStyle name="Millares 2 2 2 2 20" xfId="1352" xr:uid="{00000000-0005-0000-0000-000048050000}"/>
    <cellStyle name="Millares 2 2 2 2 21" xfId="1353" xr:uid="{00000000-0005-0000-0000-000049050000}"/>
    <cellStyle name="Millares 2 2 2 2 22" xfId="1354" xr:uid="{00000000-0005-0000-0000-00004A050000}"/>
    <cellStyle name="Millares 2 2 2 2 23" xfId="1355" xr:uid="{00000000-0005-0000-0000-00004B050000}"/>
    <cellStyle name="Millares 2 2 2 2 24" xfId="1356" xr:uid="{00000000-0005-0000-0000-00004C050000}"/>
    <cellStyle name="Millares 2 2 2 2 25" xfId="1357" xr:uid="{00000000-0005-0000-0000-00004D050000}"/>
    <cellStyle name="Millares 2 2 2 2 26" xfId="1358" xr:uid="{00000000-0005-0000-0000-00004E050000}"/>
    <cellStyle name="Millares 2 2 2 2 27" xfId="1359" xr:uid="{00000000-0005-0000-0000-00004F050000}"/>
    <cellStyle name="Millares 2 2 2 2 28" xfId="1360" xr:uid="{00000000-0005-0000-0000-000050050000}"/>
    <cellStyle name="Millares 2 2 2 2 29" xfId="1361" xr:uid="{00000000-0005-0000-0000-000051050000}"/>
    <cellStyle name="Millares 2 2 2 2 3" xfId="1362" xr:uid="{00000000-0005-0000-0000-000052050000}"/>
    <cellStyle name="Millares 2 2 2 2 30" xfId="1363" xr:uid="{00000000-0005-0000-0000-000053050000}"/>
    <cellStyle name="Millares 2 2 2 2 31" xfId="1364" xr:uid="{00000000-0005-0000-0000-000054050000}"/>
    <cellStyle name="Millares 2 2 2 2 32" xfId="1365" xr:uid="{00000000-0005-0000-0000-000055050000}"/>
    <cellStyle name="Millares 2 2 2 2 33" xfId="1366" xr:uid="{00000000-0005-0000-0000-000056050000}"/>
    <cellStyle name="Millares 2 2 2 2 34" xfId="1367" xr:uid="{00000000-0005-0000-0000-000057050000}"/>
    <cellStyle name="Millares 2 2 2 2 35" xfId="1368" xr:uid="{00000000-0005-0000-0000-000058050000}"/>
    <cellStyle name="Millares 2 2 2 2 36" xfId="1369" xr:uid="{00000000-0005-0000-0000-000059050000}"/>
    <cellStyle name="Millares 2 2 2 2 37" xfId="1370" xr:uid="{00000000-0005-0000-0000-00005A050000}"/>
    <cellStyle name="Millares 2 2 2 2 38" xfId="1371" xr:uid="{00000000-0005-0000-0000-00005B050000}"/>
    <cellStyle name="Millares 2 2 2 2 39" xfId="1372" xr:uid="{00000000-0005-0000-0000-00005C050000}"/>
    <cellStyle name="Millares 2 2 2 2 39 10" xfId="1373" xr:uid="{00000000-0005-0000-0000-00005D050000}"/>
    <cellStyle name="Millares 2 2 2 2 39 2" xfId="1374" xr:uid="{00000000-0005-0000-0000-00005E050000}"/>
    <cellStyle name="Millares 2 2 2 2 39 3" xfId="1375" xr:uid="{00000000-0005-0000-0000-00005F050000}"/>
    <cellStyle name="Millares 2 2 2 2 39 4" xfId="1376" xr:uid="{00000000-0005-0000-0000-000060050000}"/>
    <cellStyle name="Millares 2 2 2 2 39 5" xfId="1377" xr:uid="{00000000-0005-0000-0000-000061050000}"/>
    <cellStyle name="Millares 2 2 2 2 39 6" xfId="1378" xr:uid="{00000000-0005-0000-0000-000062050000}"/>
    <cellStyle name="Millares 2 2 2 2 39 7" xfId="1379" xr:uid="{00000000-0005-0000-0000-000063050000}"/>
    <cellStyle name="Millares 2 2 2 2 39 8" xfId="1380" xr:uid="{00000000-0005-0000-0000-000064050000}"/>
    <cellStyle name="Millares 2 2 2 2 39 9" xfId="1381" xr:uid="{00000000-0005-0000-0000-000065050000}"/>
    <cellStyle name="Millares 2 2 2 2 4" xfId="1382" xr:uid="{00000000-0005-0000-0000-000066050000}"/>
    <cellStyle name="Millares 2 2 2 2 4 10" xfId="1383" xr:uid="{00000000-0005-0000-0000-000067050000}"/>
    <cellStyle name="Millares 2 2 2 2 4 11" xfId="1384" xr:uid="{00000000-0005-0000-0000-000068050000}"/>
    <cellStyle name="Millares 2 2 2 2 4 12" xfId="1385" xr:uid="{00000000-0005-0000-0000-000069050000}"/>
    <cellStyle name="Millares 2 2 2 2 4 13" xfId="1386" xr:uid="{00000000-0005-0000-0000-00006A050000}"/>
    <cellStyle name="Millares 2 2 2 2 4 14" xfId="1387" xr:uid="{00000000-0005-0000-0000-00006B050000}"/>
    <cellStyle name="Millares 2 2 2 2 4 15" xfId="1388" xr:uid="{00000000-0005-0000-0000-00006C050000}"/>
    <cellStyle name="Millares 2 2 2 2 4 16" xfId="1389" xr:uid="{00000000-0005-0000-0000-00006D050000}"/>
    <cellStyle name="Millares 2 2 2 2 4 17" xfId="1390" xr:uid="{00000000-0005-0000-0000-00006E050000}"/>
    <cellStyle name="Millares 2 2 2 2 4 18" xfId="1391" xr:uid="{00000000-0005-0000-0000-00006F050000}"/>
    <cellStyle name="Millares 2 2 2 2 4 19" xfId="1392" xr:uid="{00000000-0005-0000-0000-000070050000}"/>
    <cellStyle name="Millares 2 2 2 2 4 2" xfId="1393" xr:uid="{00000000-0005-0000-0000-000071050000}"/>
    <cellStyle name="Millares 2 2 2 2 4 2 10" xfId="1394" xr:uid="{00000000-0005-0000-0000-000072050000}"/>
    <cellStyle name="Millares 2 2 2 2 4 2 11" xfId="1395" xr:uid="{00000000-0005-0000-0000-000073050000}"/>
    <cellStyle name="Millares 2 2 2 2 4 2 12" xfId="1396" xr:uid="{00000000-0005-0000-0000-000074050000}"/>
    <cellStyle name="Millares 2 2 2 2 4 2 13" xfId="1397" xr:uid="{00000000-0005-0000-0000-000075050000}"/>
    <cellStyle name="Millares 2 2 2 2 4 2 14" xfId="1398" xr:uid="{00000000-0005-0000-0000-000076050000}"/>
    <cellStyle name="Millares 2 2 2 2 4 2 15" xfId="1399" xr:uid="{00000000-0005-0000-0000-000077050000}"/>
    <cellStyle name="Millares 2 2 2 2 4 2 16" xfId="1400" xr:uid="{00000000-0005-0000-0000-000078050000}"/>
    <cellStyle name="Millares 2 2 2 2 4 2 17" xfId="1401" xr:uid="{00000000-0005-0000-0000-000079050000}"/>
    <cellStyle name="Millares 2 2 2 2 4 2 18" xfId="1402" xr:uid="{00000000-0005-0000-0000-00007A050000}"/>
    <cellStyle name="Millares 2 2 2 2 4 2 19" xfId="1403" xr:uid="{00000000-0005-0000-0000-00007B050000}"/>
    <cellStyle name="Millares 2 2 2 2 4 2 2" xfId="1404" xr:uid="{00000000-0005-0000-0000-00007C050000}"/>
    <cellStyle name="Millares 2 2 2 2 4 2 20" xfId="1405" xr:uid="{00000000-0005-0000-0000-00007D050000}"/>
    <cellStyle name="Millares 2 2 2 2 4 2 3" xfId="1406" xr:uid="{00000000-0005-0000-0000-00007E050000}"/>
    <cellStyle name="Millares 2 2 2 2 4 2 4" xfId="1407" xr:uid="{00000000-0005-0000-0000-00007F050000}"/>
    <cellStyle name="Millares 2 2 2 2 4 2 5" xfId="1408" xr:uid="{00000000-0005-0000-0000-000080050000}"/>
    <cellStyle name="Millares 2 2 2 2 4 2 6" xfId="1409" xr:uid="{00000000-0005-0000-0000-000081050000}"/>
    <cellStyle name="Millares 2 2 2 2 4 2 7" xfId="1410" xr:uid="{00000000-0005-0000-0000-000082050000}"/>
    <cellStyle name="Millares 2 2 2 2 4 2 8" xfId="1411" xr:uid="{00000000-0005-0000-0000-000083050000}"/>
    <cellStyle name="Millares 2 2 2 2 4 2 9" xfId="1412" xr:uid="{00000000-0005-0000-0000-000084050000}"/>
    <cellStyle name="Millares 2 2 2 2 4 20" xfId="1413" xr:uid="{00000000-0005-0000-0000-000085050000}"/>
    <cellStyle name="Millares 2 2 2 2 4 3" xfId="1414" xr:uid="{00000000-0005-0000-0000-000086050000}"/>
    <cellStyle name="Millares 2 2 2 2 4 4" xfId="1415" xr:uid="{00000000-0005-0000-0000-000087050000}"/>
    <cellStyle name="Millares 2 2 2 2 4 5" xfId="1416" xr:uid="{00000000-0005-0000-0000-000088050000}"/>
    <cellStyle name="Millares 2 2 2 2 4 6" xfId="1417" xr:uid="{00000000-0005-0000-0000-000089050000}"/>
    <cellStyle name="Millares 2 2 2 2 4 7" xfId="1418" xr:uid="{00000000-0005-0000-0000-00008A050000}"/>
    <cellStyle name="Millares 2 2 2 2 4 8" xfId="1419" xr:uid="{00000000-0005-0000-0000-00008B050000}"/>
    <cellStyle name="Millares 2 2 2 2 4 9" xfId="1420" xr:uid="{00000000-0005-0000-0000-00008C050000}"/>
    <cellStyle name="Millares 2 2 2 2 40" xfId="1421" xr:uid="{00000000-0005-0000-0000-00008D050000}"/>
    <cellStyle name="Millares 2 2 2 2 41" xfId="1422" xr:uid="{00000000-0005-0000-0000-00008E050000}"/>
    <cellStyle name="Millares 2 2 2 2 42" xfId="1423" xr:uid="{00000000-0005-0000-0000-00008F050000}"/>
    <cellStyle name="Millares 2 2 2 2 43" xfId="1424" xr:uid="{00000000-0005-0000-0000-000090050000}"/>
    <cellStyle name="Millares 2 2 2 2 44" xfId="1425" xr:uid="{00000000-0005-0000-0000-000091050000}"/>
    <cellStyle name="Millares 2 2 2 2 45" xfId="1426" xr:uid="{00000000-0005-0000-0000-000092050000}"/>
    <cellStyle name="Millares 2 2 2 2 46" xfId="1427" xr:uid="{00000000-0005-0000-0000-000093050000}"/>
    <cellStyle name="Millares 2 2 2 2 47" xfId="1428" xr:uid="{00000000-0005-0000-0000-000094050000}"/>
    <cellStyle name="Millares 2 2 2 2 48" xfId="1429" xr:uid="{00000000-0005-0000-0000-000095050000}"/>
    <cellStyle name="Millares 2 2 2 2 5" xfId="1430" xr:uid="{00000000-0005-0000-0000-000096050000}"/>
    <cellStyle name="Millares 2 2 2 2 6" xfId="1431" xr:uid="{00000000-0005-0000-0000-000097050000}"/>
    <cellStyle name="Millares 2 2 2 2 7" xfId="1432" xr:uid="{00000000-0005-0000-0000-000098050000}"/>
    <cellStyle name="Millares 2 2 2 2 8" xfId="1433" xr:uid="{00000000-0005-0000-0000-000099050000}"/>
    <cellStyle name="Millares 2 2 2 2 9" xfId="1434" xr:uid="{00000000-0005-0000-0000-00009A050000}"/>
    <cellStyle name="Millares 2 2 2 20" xfId="1435" xr:uid="{00000000-0005-0000-0000-00009B050000}"/>
    <cellStyle name="Millares 2 2 2 21" xfId="1436" xr:uid="{00000000-0005-0000-0000-00009C050000}"/>
    <cellStyle name="Millares 2 2 2 22" xfId="1437" xr:uid="{00000000-0005-0000-0000-00009D050000}"/>
    <cellStyle name="Millares 2 2 2 23" xfId="1438" xr:uid="{00000000-0005-0000-0000-00009E050000}"/>
    <cellStyle name="Millares 2 2 2 24" xfId="1439" xr:uid="{00000000-0005-0000-0000-00009F050000}"/>
    <cellStyle name="Millares 2 2 2 25" xfId="1440" xr:uid="{00000000-0005-0000-0000-0000A0050000}"/>
    <cellStyle name="Millares 2 2 2 26" xfId="1441" xr:uid="{00000000-0005-0000-0000-0000A1050000}"/>
    <cellStyle name="Millares 2 2 2 27" xfId="1442" xr:uid="{00000000-0005-0000-0000-0000A2050000}"/>
    <cellStyle name="Millares 2 2 2 28" xfId="1443" xr:uid="{00000000-0005-0000-0000-0000A3050000}"/>
    <cellStyle name="Millares 2 2 2 29" xfId="1444" xr:uid="{00000000-0005-0000-0000-0000A4050000}"/>
    <cellStyle name="Millares 2 2 2 3" xfId="1445" xr:uid="{00000000-0005-0000-0000-0000A5050000}"/>
    <cellStyle name="Millares 2 2 2 3 10" xfId="1446" xr:uid="{00000000-0005-0000-0000-0000A6050000}"/>
    <cellStyle name="Millares 2 2 2 3 11" xfId="1447" xr:uid="{00000000-0005-0000-0000-0000A7050000}"/>
    <cellStyle name="Millares 2 2 2 3 12" xfId="1448" xr:uid="{00000000-0005-0000-0000-0000A8050000}"/>
    <cellStyle name="Millares 2 2 2 3 13" xfId="1449" xr:uid="{00000000-0005-0000-0000-0000A9050000}"/>
    <cellStyle name="Millares 2 2 2 3 14" xfId="1450" xr:uid="{00000000-0005-0000-0000-0000AA050000}"/>
    <cellStyle name="Millares 2 2 2 3 15" xfId="1451" xr:uid="{00000000-0005-0000-0000-0000AB050000}"/>
    <cellStyle name="Millares 2 2 2 3 16" xfId="1452" xr:uid="{00000000-0005-0000-0000-0000AC050000}"/>
    <cellStyle name="Millares 2 2 2 3 17" xfId="1453" xr:uid="{00000000-0005-0000-0000-0000AD050000}"/>
    <cellStyle name="Millares 2 2 2 3 18" xfId="1454" xr:uid="{00000000-0005-0000-0000-0000AE050000}"/>
    <cellStyle name="Millares 2 2 2 3 19" xfId="1455" xr:uid="{00000000-0005-0000-0000-0000AF050000}"/>
    <cellStyle name="Millares 2 2 2 3 2" xfId="1456" xr:uid="{00000000-0005-0000-0000-0000B0050000}"/>
    <cellStyle name="Millares 2 2 2 3 2 10" xfId="1457" xr:uid="{00000000-0005-0000-0000-0000B1050000}"/>
    <cellStyle name="Millares 2 2 2 3 2 11" xfId="1458" xr:uid="{00000000-0005-0000-0000-0000B2050000}"/>
    <cellStyle name="Millares 2 2 2 3 2 12" xfId="1459" xr:uid="{00000000-0005-0000-0000-0000B3050000}"/>
    <cellStyle name="Millares 2 2 2 3 2 13" xfId="1460" xr:uid="{00000000-0005-0000-0000-0000B4050000}"/>
    <cellStyle name="Millares 2 2 2 3 2 14" xfId="1461" xr:uid="{00000000-0005-0000-0000-0000B5050000}"/>
    <cellStyle name="Millares 2 2 2 3 2 15" xfId="1462" xr:uid="{00000000-0005-0000-0000-0000B6050000}"/>
    <cellStyle name="Millares 2 2 2 3 2 16" xfId="1463" xr:uid="{00000000-0005-0000-0000-0000B7050000}"/>
    <cellStyle name="Millares 2 2 2 3 2 17" xfId="1464" xr:uid="{00000000-0005-0000-0000-0000B8050000}"/>
    <cellStyle name="Millares 2 2 2 3 2 18" xfId="1465" xr:uid="{00000000-0005-0000-0000-0000B9050000}"/>
    <cellStyle name="Millares 2 2 2 3 2 19" xfId="1466" xr:uid="{00000000-0005-0000-0000-0000BA050000}"/>
    <cellStyle name="Millares 2 2 2 3 2 2" xfId="1467" xr:uid="{00000000-0005-0000-0000-0000BB050000}"/>
    <cellStyle name="Millares 2 2 2 3 2 2 10" xfId="1468" xr:uid="{00000000-0005-0000-0000-0000BC050000}"/>
    <cellStyle name="Millares 2 2 2 3 2 2 11" xfId="1469" xr:uid="{00000000-0005-0000-0000-0000BD050000}"/>
    <cellStyle name="Millares 2 2 2 3 2 2 12" xfId="1470" xr:uid="{00000000-0005-0000-0000-0000BE050000}"/>
    <cellStyle name="Millares 2 2 2 3 2 2 13" xfId="1471" xr:uid="{00000000-0005-0000-0000-0000BF050000}"/>
    <cellStyle name="Millares 2 2 2 3 2 2 14" xfId="1472" xr:uid="{00000000-0005-0000-0000-0000C0050000}"/>
    <cellStyle name="Millares 2 2 2 3 2 2 15" xfId="1473" xr:uid="{00000000-0005-0000-0000-0000C1050000}"/>
    <cellStyle name="Millares 2 2 2 3 2 2 16" xfId="1474" xr:uid="{00000000-0005-0000-0000-0000C2050000}"/>
    <cellStyle name="Millares 2 2 2 3 2 2 17" xfId="1475" xr:uid="{00000000-0005-0000-0000-0000C3050000}"/>
    <cellStyle name="Millares 2 2 2 3 2 2 18" xfId="1476" xr:uid="{00000000-0005-0000-0000-0000C4050000}"/>
    <cellStyle name="Millares 2 2 2 3 2 2 19" xfId="1477" xr:uid="{00000000-0005-0000-0000-0000C5050000}"/>
    <cellStyle name="Millares 2 2 2 3 2 2 2" xfId="1478" xr:uid="{00000000-0005-0000-0000-0000C6050000}"/>
    <cellStyle name="Millares 2 2 2 3 2 2 20" xfId="1479" xr:uid="{00000000-0005-0000-0000-0000C7050000}"/>
    <cellStyle name="Millares 2 2 2 3 2 2 3" xfId="1480" xr:uid="{00000000-0005-0000-0000-0000C8050000}"/>
    <cellStyle name="Millares 2 2 2 3 2 2 4" xfId="1481" xr:uid="{00000000-0005-0000-0000-0000C9050000}"/>
    <cellStyle name="Millares 2 2 2 3 2 2 5" xfId="1482" xr:uid="{00000000-0005-0000-0000-0000CA050000}"/>
    <cellStyle name="Millares 2 2 2 3 2 2 6" xfId="1483" xr:uid="{00000000-0005-0000-0000-0000CB050000}"/>
    <cellStyle name="Millares 2 2 2 3 2 2 7" xfId="1484" xr:uid="{00000000-0005-0000-0000-0000CC050000}"/>
    <cellStyle name="Millares 2 2 2 3 2 2 8" xfId="1485" xr:uid="{00000000-0005-0000-0000-0000CD050000}"/>
    <cellStyle name="Millares 2 2 2 3 2 2 9" xfId="1486" xr:uid="{00000000-0005-0000-0000-0000CE050000}"/>
    <cellStyle name="Millares 2 2 2 3 2 20" xfId="1487" xr:uid="{00000000-0005-0000-0000-0000CF050000}"/>
    <cellStyle name="Millares 2 2 2 3 2 3" xfId="1488" xr:uid="{00000000-0005-0000-0000-0000D0050000}"/>
    <cellStyle name="Millares 2 2 2 3 2 4" xfId="1489" xr:uid="{00000000-0005-0000-0000-0000D1050000}"/>
    <cellStyle name="Millares 2 2 2 3 2 5" xfId="1490" xr:uid="{00000000-0005-0000-0000-0000D2050000}"/>
    <cellStyle name="Millares 2 2 2 3 2 6" xfId="1491" xr:uid="{00000000-0005-0000-0000-0000D3050000}"/>
    <cellStyle name="Millares 2 2 2 3 2 7" xfId="1492" xr:uid="{00000000-0005-0000-0000-0000D4050000}"/>
    <cellStyle name="Millares 2 2 2 3 2 8" xfId="1493" xr:uid="{00000000-0005-0000-0000-0000D5050000}"/>
    <cellStyle name="Millares 2 2 2 3 2 9" xfId="1494" xr:uid="{00000000-0005-0000-0000-0000D6050000}"/>
    <cellStyle name="Millares 2 2 2 3 20" xfId="1495" xr:uid="{00000000-0005-0000-0000-0000D7050000}"/>
    <cellStyle name="Millares 2 2 2 3 21" xfId="1496" xr:uid="{00000000-0005-0000-0000-0000D8050000}"/>
    <cellStyle name="Millares 2 2 2 3 22" xfId="1497" xr:uid="{00000000-0005-0000-0000-0000D9050000}"/>
    <cellStyle name="Millares 2 2 2 3 23" xfId="1498" xr:uid="{00000000-0005-0000-0000-0000DA050000}"/>
    <cellStyle name="Millares 2 2 2 3 24" xfId="1499" xr:uid="{00000000-0005-0000-0000-0000DB050000}"/>
    <cellStyle name="Millares 2 2 2 3 25" xfId="1500" xr:uid="{00000000-0005-0000-0000-0000DC050000}"/>
    <cellStyle name="Millares 2 2 2 3 26" xfId="1501" xr:uid="{00000000-0005-0000-0000-0000DD050000}"/>
    <cellStyle name="Millares 2 2 2 3 27" xfId="1502" xr:uid="{00000000-0005-0000-0000-0000DE050000}"/>
    <cellStyle name="Millares 2 2 2 3 28" xfId="1503" xr:uid="{00000000-0005-0000-0000-0000DF050000}"/>
    <cellStyle name="Millares 2 2 2 3 29" xfId="1504" xr:uid="{00000000-0005-0000-0000-0000E0050000}"/>
    <cellStyle name="Millares 2 2 2 3 3" xfId="1505" xr:uid="{00000000-0005-0000-0000-0000E1050000}"/>
    <cellStyle name="Millares 2 2 2 3 30" xfId="1506" xr:uid="{00000000-0005-0000-0000-0000E2050000}"/>
    <cellStyle name="Millares 2 2 2 3 31" xfId="1507" xr:uid="{00000000-0005-0000-0000-0000E3050000}"/>
    <cellStyle name="Millares 2 2 2 3 32" xfId="1508" xr:uid="{00000000-0005-0000-0000-0000E4050000}"/>
    <cellStyle name="Millares 2 2 2 3 33" xfId="1509" xr:uid="{00000000-0005-0000-0000-0000E5050000}"/>
    <cellStyle name="Millares 2 2 2 3 4" xfId="1510" xr:uid="{00000000-0005-0000-0000-0000E6050000}"/>
    <cellStyle name="Millares 2 2 2 3 5" xfId="1511" xr:uid="{00000000-0005-0000-0000-0000E7050000}"/>
    <cellStyle name="Millares 2 2 2 3 6" xfId="1512" xr:uid="{00000000-0005-0000-0000-0000E8050000}"/>
    <cellStyle name="Millares 2 2 2 3 7" xfId="1513" xr:uid="{00000000-0005-0000-0000-0000E9050000}"/>
    <cellStyle name="Millares 2 2 2 3 8" xfId="1514" xr:uid="{00000000-0005-0000-0000-0000EA050000}"/>
    <cellStyle name="Millares 2 2 2 3 9" xfId="1515" xr:uid="{00000000-0005-0000-0000-0000EB050000}"/>
    <cellStyle name="Millares 2 2 2 30" xfId="1516" xr:uid="{00000000-0005-0000-0000-0000EC050000}"/>
    <cellStyle name="Millares 2 2 2 31" xfId="1517" xr:uid="{00000000-0005-0000-0000-0000ED050000}"/>
    <cellStyle name="Millares 2 2 2 32" xfId="1518" xr:uid="{00000000-0005-0000-0000-0000EE050000}"/>
    <cellStyle name="Millares 2 2 2 33" xfId="1519" xr:uid="{00000000-0005-0000-0000-0000EF050000}"/>
    <cellStyle name="Millares 2 2 2 34" xfId="1520" xr:uid="{00000000-0005-0000-0000-0000F0050000}"/>
    <cellStyle name="Millares 2 2 2 35" xfId="1521" xr:uid="{00000000-0005-0000-0000-0000F1050000}"/>
    <cellStyle name="Millares 2 2 2 36" xfId="1522" xr:uid="{00000000-0005-0000-0000-0000F2050000}"/>
    <cellStyle name="Millares 2 2 2 37" xfId="1523" xr:uid="{00000000-0005-0000-0000-0000F3050000}"/>
    <cellStyle name="Millares 2 2 2 38" xfId="1524" xr:uid="{00000000-0005-0000-0000-0000F4050000}"/>
    <cellStyle name="Millares 2 2 2 39" xfId="1525" xr:uid="{00000000-0005-0000-0000-0000F5050000}"/>
    <cellStyle name="Millares 2 2 2 39 10" xfId="1526" xr:uid="{00000000-0005-0000-0000-0000F6050000}"/>
    <cellStyle name="Millares 2 2 2 39 2" xfId="1527" xr:uid="{00000000-0005-0000-0000-0000F7050000}"/>
    <cellStyle name="Millares 2 2 2 39 3" xfId="1528" xr:uid="{00000000-0005-0000-0000-0000F8050000}"/>
    <cellStyle name="Millares 2 2 2 39 4" xfId="1529" xr:uid="{00000000-0005-0000-0000-0000F9050000}"/>
    <cellStyle name="Millares 2 2 2 39 5" xfId="1530" xr:uid="{00000000-0005-0000-0000-0000FA050000}"/>
    <cellStyle name="Millares 2 2 2 39 6" xfId="1531" xr:uid="{00000000-0005-0000-0000-0000FB050000}"/>
    <cellStyle name="Millares 2 2 2 39 7" xfId="1532" xr:uid="{00000000-0005-0000-0000-0000FC050000}"/>
    <cellStyle name="Millares 2 2 2 39 8" xfId="1533" xr:uid="{00000000-0005-0000-0000-0000FD050000}"/>
    <cellStyle name="Millares 2 2 2 39 9" xfId="1534" xr:uid="{00000000-0005-0000-0000-0000FE050000}"/>
    <cellStyle name="Millares 2 2 2 4" xfId="1535" xr:uid="{00000000-0005-0000-0000-0000FF050000}"/>
    <cellStyle name="Millares 2 2 2 4 10" xfId="1536" xr:uid="{00000000-0005-0000-0000-000000060000}"/>
    <cellStyle name="Millares 2 2 2 4 11" xfId="1537" xr:uid="{00000000-0005-0000-0000-000001060000}"/>
    <cellStyle name="Millares 2 2 2 4 12" xfId="1538" xr:uid="{00000000-0005-0000-0000-000002060000}"/>
    <cellStyle name="Millares 2 2 2 4 13" xfId="1539" xr:uid="{00000000-0005-0000-0000-000003060000}"/>
    <cellStyle name="Millares 2 2 2 4 14" xfId="1540" xr:uid="{00000000-0005-0000-0000-000004060000}"/>
    <cellStyle name="Millares 2 2 2 4 15" xfId="1541" xr:uid="{00000000-0005-0000-0000-000005060000}"/>
    <cellStyle name="Millares 2 2 2 4 16" xfId="1542" xr:uid="{00000000-0005-0000-0000-000006060000}"/>
    <cellStyle name="Millares 2 2 2 4 17" xfId="1543" xr:uid="{00000000-0005-0000-0000-000007060000}"/>
    <cellStyle name="Millares 2 2 2 4 18" xfId="1544" xr:uid="{00000000-0005-0000-0000-000008060000}"/>
    <cellStyle name="Millares 2 2 2 4 19" xfId="1545" xr:uid="{00000000-0005-0000-0000-000009060000}"/>
    <cellStyle name="Millares 2 2 2 4 2" xfId="1546" xr:uid="{00000000-0005-0000-0000-00000A060000}"/>
    <cellStyle name="Millares 2 2 2 4 2 10" xfId="1547" xr:uid="{00000000-0005-0000-0000-00000B060000}"/>
    <cellStyle name="Millares 2 2 2 4 2 11" xfId="1548" xr:uid="{00000000-0005-0000-0000-00000C060000}"/>
    <cellStyle name="Millares 2 2 2 4 2 12" xfId="1549" xr:uid="{00000000-0005-0000-0000-00000D060000}"/>
    <cellStyle name="Millares 2 2 2 4 2 13" xfId="1550" xr:uid="{00000000-0005-0000-0000-00000E060000}"/>
    <cellStyle name="Millares 2 2 2 4 2 14" xfId="1551" xr:uid="{00000000-0005-0000-0000-00000F060000}"/>
    <cellStyle name="Millares 2 2 2 4 2 15" xfId="1552" xr:uid="{00000000-0005-0000-0000-000010060000}"/>
    <cellStyle name="Millares 2 2 2 4 2 16" xfId="1553" xr:uid="{00000000-0005-0000-0000-000011060000}"/>
    <cellStyle name="Millares 2 2 2 4 2 17" xfId="1554" xr:uid="{00000000-0005-0000-0000-000012060000}"/>
    <cellStyle name="Millares 2 2 2 4 2 18" xfId="1555" xr:uid="{00000000-0005-0000-0000-000013060000}"/>
    <cellStyle name="Millares 2 2 2 4 2 19" xfId="1556" xr:uid="{00000000-0005-0000-0000-000014060000}"/>
    <cellStyle name="Millares 2 2 2 4 2 2" xfId="1557" xr:uid="{00000000-0005-0000-0000-000015060000}"/>
    <cellStyle name="Millares 2 2 2 4 2 20" xfId="1558" xr:uid="{00000000-0005-0000-0000-000016060000}"/>
    <cellStyle name="Millares 2 2 2 4 2 3" xfId="1559" xr:uid="{00000000-0005-0000-0000-000017060000}"/>
    <cellStyle name="Millares 2 2 2 4 2 4" xfId="1560" xr:uid="{00000000-0005-0000-0000-000018060000}"/>
    <cellStyle name="Millares 2 2 2 4 2 5" xfId="1561" xr:uid="{00000000-0005-0000-0000-000019060000}"/>
    <cellStyle name="Millares 2 2 2 4 2 6" xfId="1562" xr:uid="{00000000-0005-0000-0000-00001A060000}"/>
    <cellStyle name="Millares 2 2 2 4 2 7" xfId="1563" xr:uid="{00000000-0005-0000-0000-00001B060000}"/>
    <cellStyle name="Millares 2 2 2 4 2 8" xfId="1564" xr:uid="{00000000-0005-0000-0000-00001C060000}"/>
    <cellStyle name="Millares 2 2 2 4 2 9" xfId="1565" xr:uid="{00000000-0005-0000-0000-00001D060000}"/>
    <cellStyle name="Millares 2 2 2 4 20" xfId="1566" xr:uid="{00000000-0005-0000-0000-00001E060000}"/>
    <cellStyle name="Millares 2 2 2 4 3" xfId="1567" xr:uid="{00000000-0005-0000-0000-00001F060000}"/>
    <cellStyle name="Millares 2 2 2 4 4" xfId="1568" xr:uid="{00000000-0005-0000-0000-000020060000}"/>
    <cellStyle name="Millares 2 2 2 4 5" xfId="1569" xr:uid="{00000000-0005-0000-0000-000021060000}"/>
    <cellStyle name="Millares 2 2 2 4 6" xfId="1570" xr:uid="{00000000-0005-0000-0000-000022060000}"/>
    <cellStyle name="Millares 2 2 2 4 7" xfId="1571" xr:uid="{00000000-0005-0000-0000-000023060000}"/>
    <cellStyle name="Millares 2 2 2 4 8" xfId="1572" xr:uid="{00000000-0005-0000-0000-000024060000}"/>
    <cellStyle name="Millares 2 2 2 4 9" xfId="1573" xr:uid="{00000000-0005-0000-0000-000025060000}"/>
    <cellStyle name="Millares 2 2 2 40" xfId="1574" xr:uid="{00000000-0005-0000-0000-000026060000}"/>
    <cellStyle name="Millares 2 2 2 41" xfId="1575" xr:uid="{00000000-0005-0000-0000-000027060000}"/>
    <cellStyle name="Millares 2 2 2 42" xfId="1576" xr:uid="{00000000-0005-0000-0000-000028060000}"/>
    <cellStyle name="Millares 2 2 2 43" xfId="1577" xr:uid="{00000000-0005-0000-0000-000029060000}"/>
    <cellStyle name="Millares 2 2 2 44" xfId="1578" xr:uid="{00000000-0005-0000-0000-00002A060000}"/>
    <cellStyle name="Millares 2 2 2 45" xfId="1579" xr:uid="{00000000-0005-0000-0000-00002B060000}"/>
    <cellStyle name="Millares 2 2 2 46" xfId="1580" xr:uid="{00000000-0005-0000-0000-00002C060000}"/>
    <cellStyle name="Millares 2 2 2 47" xfId="1581" xr:uid="{00000000-0005-0000-0000-00002D060000}"/>
    <cellStyle name="Millares 2 2 2 48" xfId="1582" xr:uid="{00000000-0005-0000-0000-00002E060000}"/>
    <cellStyle name="Millares 2 2 2 49" xfId="1583" xr:uid="{00000000-0005-0000-0000-00002F060000}"/>
    <cellStyle name="Millares 2 2 2 5" xfId="1584" xr:uid="{00000000-0005-0000-0000-000030060000}"/>
    <cellStyle name="Millares 2 2 2 6" xfId="1585" xr:uid="{00000000-0005-0000-0000-000031060000}"/>
    <cellStyle name="Millares 2 2 2 7" xfId="1586" xr:uid="{00000000-0005-0000-0000-000032060000}"/>
    <cellStyle name="Millares 2 2 2 8" xfId="1587" xr:uid="{00000000-0005-0000-0000-000033060000}"/>
    <cellStyle name="Millares 2 2 2 9" xfId="1588" xr:uid="{00000000-0005-0000-0000-000034060000}"/>
    <cellStyle name="Millares 2 2 20" xfId="1589" xr:uid="{00000000-0005-0000-0000-000035060000}"/>
    <cellStyle name="Millares 2 2 21" xfId="1590" xr:uid="{00000000-0005-0000-0000-000036060000}"/>
    <cellStyle name="Millares 2 2 22" xfId="1591" xr:uid="{00000000-0005-0000-0000-000037060000}"/>
    <cellStyle name="Millares 2 2 23" xfId="1592" xr:uid="{00000000-0005-0000-0000-000038060000}"/>
    <cellStyle name="Millares 2 2 24" xfId="1593" xr:uid="{00000000-0005-0000-0000-000039060000}"/>
    <cellStyle name="Millares 2 2 25" xfId="1594" xr:uid="{00000000-0005-0000-0000-00003A060000}"/>
    <cellStyle name="Millares 2 2 26" xfId="1595" xr:uid="{00000000-0005-0000-0000-00003B060000}"/>
    <cellStyle name="Millares 2 2 27" xfId="1596" xr:uid="{00000000-0005-0000-0000-00003C060000}"/>
    <cellStyle name="Millares 2 2 28" xfId="1597" xr:uid="{00000000-0005-0000-0000-00003D060000}"/>
    <cellStyle name="Millares 2 2 29" xfId="1598" xr:uid="{00000000-0005-0000-0000-00003E060000}"/>
    <cellStyle name="Millares 2 2 3" xfId="1599" xr:uid="{00000000-0005-0000-0000-00003F060000}"/>
    <cellStyle name="Millares 2 2 3 10" xfId="1600" xr:uid="{00000000-0005-0000-0000-000040060000}"/>
    <cellStyle name="Millares 2 2 3 11" xfId="1601" xr:uid="{00000000-0005-0000-0000-000041060000}"/>
    <cellStyle name="Millares 2 2 3 12" xfId="1602" xr:uid="{00000000-0005-0000-0000-000042060000}"/>
    <cellStyle name="Millares 2 2 3 13" xfId="1603" xr:uid="{00000000-0005-0000-0000-000043060000}"/>
    <cellStyle name="Millares 2 2 3 14" xfId="1604" xr:uid="{00000000-0005-0000-0000-000044060000}"/>
    <cellStyle name="Millares 2 2 3 15" xfId="1605" xr:uid="{00000000-0005-0000-0000-000045060000}"/>
    <cellStyle name="Millares 2 2 3 16" xfId="1606" xr:uid="{00000000-0005-0000-0000-000046060000}"/>
    <cellStyle name="Millares 2 2 3 17" xfId="1607" xr:uid="{00000000-0005-0000-0000-000047060000}"/>
    <cellStyle name="Millares 2 2 3 18" xfId="1608" xr:uid="{00000000-0005-0000-0000-000048060000}"/>
    <cellStyle name="Millares 2 2 3 19" xfId="1609" xr:uid="{00000000-0005-0000-0000-000049060000}"/>
    <cellStyle name="Millares 2 2 3 2" xfId="1610" xr:uid="{00000000-0005-0000-0000-00004A060000}"/>
    <cellStyle name="Millares 2 2 3 2 10" xfId="1611" xr:uid="{00000000-0005-0000-0000-00004B060000}"/>
    <cellStyle name="Millares 2 2 3 2 11" xfId="1612" xr:uid="{00000000-0005-0000-0000-00004C060000}"/>
    <cellStyle name="Millares 2 2 3 2 12" xfId="1613" xr:uid="{00000000-0005-0000-0000-00004D060000}"/>
    <cellStyle name="Millares 2 2 3 2 13" xfId="1614" xr:uid="{00000000-0005-0000-0000-00004E060000}"/>
    <cellStyle name="Millares 2 2 3 2 14" xfId="1615" xr:uid="{00000000-0005-0000-0000-00004F060000}"/>
    <cellStyle name="Millares 2 2 3 2 15" xfId="1616" xr:uid="{00000000-0005-0000-0000-000050060000}"/>
    <cellStyle name="Millares 2 2 3 2 16" xfId="1617" xr:uid="{00000000-0005-0000-0000-000051060000}"/>
    <cellStyle name="Millares 2 2 3 2 17" xfId="1618" xr:uid="{00000000-0005-0000-0000-000052060000}"/>
    <cellStyle name="Millares 2 2 3 2 18" xfId="1619" xr:uid="{00000000-0005-0000-0000-000053060000}"/>
    <cellStyle name="Millares 2 2 3 2 19" xfId="1620" xr:uid="{00000000-0005-0000-0000-000054060000}"/>
    <cellStyle name="Millares 2 2 3 2 2" xfId="1621" xr:uid="{00000000-0005-0000-0000-000055060000}"/>
    <cellStyle name="Millares 2 2 3 2 2 10" xfId="1622" xr:uid="{00000000-0005-0000-0000-000056060000}"/>
    <cellStyle name="Millares 2 2 3 2 2 11" xfId="1623" xr:uid="{00000000-0005-0000-0000-000057060000}"/>
    <cellStyle name="Millares 2 2 3 2 2 12" xfId="1624" xr:uid="{00000000-0005-0000-0000-000058060000}"/>
    <cellStyle name="Millares 2 2 3 2 2 13" xfId="1625" xr:uid="{00000000-0005-0000-0000-000059060000}"/>
    <cellStyle name="Millares 2 2 3 2 2 14" xfId="1626" xr:uid="{00000000-0005-0000-0000-00005A060000}"/>
    <cellStyle name="Millares 2 2 3 2 2 15" xfId="1627" xr:uid="{00000000-0005-0000-0000-00005B060000}"/>
    <cellStyle name="Millares 2 2 3 2 2 16" xfId="1628" xr:uid="{00000000-0005-0000-0000-00005C060000}"/>
    <cellStyle name="Millares 2 2 3 2 2 17" xfId="1629" xr:uid="{00000000-0005-0000-0000-00005D060000}"/>
    <cellStyle name="Millares 2 2 3 2 2 18" xfId="1630" xr:uid="{00000000-0005-0000-0000-00005E060000}"/>
    <cellStyle name="Millares 2 2 3 2 2 19" xfId="1631" xr:uid="{00000000-0005-0000-0000-00005F060000}"/>
    <cellStyle name="Millares 2 2 3 2 2 2" xfId="1632" xr:uid="{00000000-0005-0000-0000-000060060000}"/>
    <cellStyle name="Millares 2 2 3 2 2 20" xfId="1633" xr:uid="{00000000-0005-0000-0000-000061060000}"/>
    <cellStyle name="Millares 2 2 3 2 2 3" xfId="1634" xr:uid="{00000000-0005-0000-0000-000062060000}"/>
    <cellStyle name="Millares 2 2 3 2 2 4" xfId="1635" xr:uid="{00000000-0005-0000-0000-000063060000}"/>
    <cellStyle name="Millares 2 2 3 2 2 5" xfId="1636" xr:uid="{00000000-0005-0000-0000-000064060000}"/>
    <cellStyle name="Millares 2 2 3 2 2 6" xfId="1637" xr:uid="{00000000-0005-0000-0000-000065060000}"/>
    <cellStyle name="Millares 2 2 3 2 2 7" xfId="1638" xr:uid="{00000000-0005-0000-0000-000066060000}"/>
    <cellStyle name="Millares 2 2 3 2 2 8" xfId="1639" xr:uid="{00000000-0005-0000-0000-000067060000}"/>
    <cellStyle name="Millares 2 2 3 2 2 9" xfId="1640" xr:uid="{00000000-0005-0000-0000-000068060000}"/>
    <cellStyle name="Millares 2 2 3 2 20" xfId="1641" xr:uid="{00000000-0005-0000-0000-000069060000}"/>
    <cellStyle name="Millares 2 2 3 2 3" xfId="1642" xr:uid="{00000000-0005-0000-0000-00006A060000}"/>
    <cellStyle name="Millares 2 2 3 2 4" xfId="1643" xr:uid="{00000000-0005-0000-0000-00006B060000}"/>
    <cellStyle name="Millares 2 2 3 2 5" xfId="1644" xr:uid="{00000000-0005-0000-0000-00006C060000}"/>
    <cellStyle name="Millares 2 2 3 2 6" xfId="1645" xr:uid="{00000000-0005-0000-0000-00006D060000}"/>
    <cellStyle name="Millares 2 2 3 2 7" xfId="1646" xr:uid="{00000000-0005-0000-0000-00006E060000}"/>
    <cellStyle name="Millares 2 2 3 2 8" xfId="1647" xr:uid="{00000000-0005-0000-0000-00006F060000}"/>
    <cellStyle name="Millares 2 2 3 2 9" xfId="1648" xr:uid="{00000000-0005-0000-0000-000070060000}"/>
    <cellStyle name="Millares 2 2 3 20" xfId="1649" xr:uid="{00000000-0005-0000-0000-000071060000}"/>
    <cellStyle name="Millares 2 2 3 21" xfId="1650" xr:uid="{00000000-0005-0000-0000-000072060000}"/>
    <cellStyle name="Millares 2 2 3 22" xfId="1651" xr:uid="{00000000-0005-0000-0000-000073060000}"/>
    <cellStyle name="Millares 2 2 3 23" xfId="1652" xr:uid="{00000000-0005-0000-0000-000074060000}"/>
    <cellStyle name="Millares 2 2 3 24" xfId="1653" xr:uid="{00000000-0005-0000-0000-000075060000}"/>
    <cellStyle name="Millares 2 2 3 25" xfId="1654" xr:uid="{00000000-0005-0000-0000-000076060000}"/>
    <cellStyle name="Millares 2 2 3 26" xfId="1655" xr:uid="{00000000-0005-0000-0000-000077060000}"/>
    <cellStyle name="Millares 2 2 3 27" xfId="1656" xr:uid="{00000000-0005-0000-0000-000078060000}"/>
    <cellStyle name="Millares 2 2 3 28" xfId="1657" xr:uid="{00000000-0005-0000-0000-000079060000}"/>
    <cellStyle name="Millares 2 2 3 29" xfId="1658" xr:uid="{00000000-0005-0000-0000-00007A060000}"/>
    <cellStyle name="Millares 2 2 3 3" xfId="1659" xr:uid="{00000000-0005-0000-0000-00007B060000}"/>
    <cellStyle name="Millares 2 2 3 30" xfId="1660" xr:uid="{00000000-0005-0000-0000-00007C060000}"/>
    <cellStyle name="Millares 2 2 3 31" xfId="1661" xr:uid="{00000000-0005-0000-0000-00007D060000}"/>
    <cellStyle name="Millares 2 2 3 32" xfId="1662" xr:uid="{00000000-0005-0000-0000-00007E060000}"/>
    <cellStyle name="Millares 2 2 3 33" xfId="1663" xr:uid="{00000000-0005-0000-0000-00007F060000}"/>
    <cellStyle name="Millares 2 2 3 34" xfId="1664" xr:uid="{00000000-0005-0000-0000-000080060000}"/>
    <cellStyle name="Millares 2 2 3 35" xfId="1665" xr:uid="{00000000-0005-0000-0000-000081060000}"/>
    <cellStyle name="Millares 2 2 3 4" xfId="1666" xr:uid="{00000000-0005-0000-0000-000082060000}"/>
    <cellStyle name="Millares 2 2 3 5" xfId="1667" xr:uid="{00000000-0005-0000-0000-000083060000}"/>
    <cellStyle name="Millares 2 2 3 6" xfId="1668" xr:uid="{00000000-0005-0000-0000-000084060000}"/>
    <cellStyle name="Millares 2 2 3 7" xfId="1669" xr:uid="{00000000-0005-0000-0000-000085060000}"/>
    <cellStyle name="Millares 2 2 3 8" xfId="1670" xr:uid="{00000000-0005-0000-0000-000086060000}"/>
    <cellStyle name="Millares 2 2 3 9" xfId="1671" xr:uid="{00000000-0005-0000-0000-000087060000}"/>
    <cellStyle name="Millares 2 2 30" xfId="1672" xr:uid="{00000000-0005-0000-0000-000088060000}"/>
    <cellStyle name="Millares 2 2 31" xfId="1673" xr:uid="{00000000-0005-0000-0000-000089060000}"/>
    <cellStyle name="Millares 2 2 32" xfId="1674" xr:uid="{00000000-0005-0000-0000-00008A060000}"/>
    <cellStyle name="Millares 2 2 33" xfId="1675" xr:uid="{00000000-0005-0000-0000-00008B060000}"/>
    <cellStyle name="Millares 2 2 34" xfId="1676" xr:uid="{00000000-0005-0000-0000-00008C060000}"/>
    <cellStyle name="Millares 2 2 35" xfId="1677" xr:uid="{00000000-0005-0000-0000-00008D060000}"/>
    <cellStyle name="Millares 2 2 36" xfId="1678" xr:uid="{00000000-0005-0000-0000-00008E060000}"/>
    <cellStyle name="Millares 2 2 37" xfId="1679" xr:uid="{00000000-0005-0000-0000-00008F060000}"/>
    <cellStyle name="Millares 2 2 38" xfId="1680" xr:uid="{00000000-0005-0000-0000-000090060000}"/>
    <cellStyle name="Millares 2 2 39" xfId="1681" xr:uid="{00000000-0005-0000-0000-000091060000}"/>
    <cellStyle name="Millares 2 2 39 10" xfId="1682" xr:uid="{00000000-0005-0000-0000-000092060000}"/>
    <cellStyle name="Millares 2 2 39 2" xfId="1683" xr:uid="{00000000-0005-0000-0000-000093060000}"/>
    <cellStyle name="Millares 2 2 39 3" xfId="1684" xr:uid="{00000000-0005-0000-0000-000094060000}"/>
    <cellStyle name="Millares 2 2 39 4" xfId="1685" xr:uid="{00000000-0005-0000-0000-000095060000}"/>
    <cellStyle name="Millares 2 2 39 5" xfId="1686" xr:uid="{00000000-0005-0000-0000-000096060000}"/>
    <cellStyle name="Millares 2 2 39 6" xfId="1687" xr:uid="{00000000-0005-0000-0000-000097060000}"/>
    <cellStyle name="Millares 2 2 39 7" xfId="1688" xr:uid="{00000000-0005-0000-0000-000098060000}"/>
    <cellStyle name="Millares 2 2 39 8" xfId="1689" xr:uid="{00000000-0005-0000-0000-000099060000}"/>
    <cellStyle name="Millares 2 2 39 9" xfId="1690" xr:uid="{00000000-0005-0000-0000-00009A060000}"/>
    <cellStyle name="Millares 2 2 4" xfId="1691" xr:uid="{00000000-0005-0000-0000-00009B060000}"/>
    <cellStyle name="Millares 2 2 4 10" xfId="1692" xr:uid="{00000000-0005-0000-0000-00009C060000}"/>
    <cellStyle name="Millares 2 2 4 11" xfId="1693" xr:uid="{00000000-0005-0000-0000-00009D060000}"/>
    <cellStyle name="Millares 2 2 4 12" xfId="1694" xr:uid="{00000000-0005-0000-0000-00009E060000}"/>
    <cellStyle name="Millares 2 2 4 13" xfId="1695" xr:uid="{00000000-0005-0000-0000-00009F060000}"/>
    <cellStyle name="Millares 2 2 4 14" xfId="1696" xr:uid="{00000000-0005-0000-0000-0000A0060000}"/>
    <cellStyle name="Millares 2 2 4 15" xfId="1697" xr:uid="{00000000-0005-0000-0000-0000A1060000}"/>
    <cellStyle name="Millares 2 2 4 16" xfId="1698" xr:uid="{00000000-0005-0000-0000-0000A2060000}"/>
    <cellStyle name="Millares 2 2 4 17" xfId="1699" xr:uid="{00000000-0005-0000-0000-0000A3060000}"/>
    <cellStyle name="Millares 2 2 4 18" xfId="1700" xr:uid="{00000000-0005-0000-0000-0000A4060000}"/>
    <cellStyle name="Millares 2 2 4 19" xfId="1701" xr:uid="{00000000-0005-0000-0000-0000A5060000}"/>
    <cellStyle name="Millares 2 2 4 2" xfId="1702" xr:uid="{00000000-0005-0000-0000-0000A6060000}"/>
    <cellStyle name="Millares 2 2 4 2 10" xfId="1703" xr:uid="{00000000-0005-0000-0000-0000A7060000}"/>
    <cellStyle name="Millares 2 2 4 2 11" xfId="1704" xr:uid="{00000000-0005-0000-0000-0000A8060000}"/>
    <cellStyle name="Millares 2 2 4 2 12" xfId="1705" xr:uid="{00000000-0005-0000-0000-0000A9060000}"/>
    <cellStyle name="Millares 2 2 4 2 13" xfId="1706" xr:uid="{00000000-0005-0000-0000-0000AA060000}"/>
    <cellStyle name="Millares 2 2 4 2 14" xfId="1707" xr:uid="{00000000-0005-0000-0000-0000AB060000}"/>
    <cellStyle name="Millares 2 2 4 2 15" xfId="1708" xr:uid="{00000000-0005-0000-0000-0000AC060000}"/>
    <cellStyle name="Millares 2 2 4 2 16" xfId="1709" xr:uid="{00000000-0005-0000-0000-0000AD060000}"/>
    <cellStyle name="Millares 2 2 4 2 17" xfId="1710" xr:uid="{00000000-0005-0000-0000-0000AE060000}"/>
    <cellStyle name="Millares 2 2 4 2 18" xfId="1711" xr:uid="{00000000-0005-0000-0000-0000AF060000}"/>
    <cellStyle name="Millares 2 2 4 2 19" xfId="1712" xr:uid="{00000000-0005-0000-0000-0000B0060000}"/>
    <cellStyle name="Millares 2 2 4 2 2" xfId="1713" xr:uid="{00000000-0005-0000-0000-0000B1060000}"/>
    <cellStyle name="Millares 2 2 4 2 20" xfId="1714" xr:uid="{00000000-0005-0000-0000-0000B2060000}"/>
    <cellStyle name="Millares 2 2 4 2 3" xfId="1715" xr:uid="{00000000-0005-0000-0000-0000B3060000}"/>
    <cellStyle name="Millares 2 2 4 2 4" xfId="1716" xr:uid="{00000000-0005-0000-0000-0000B4060000}"/>
    <cellStyle name="Millares 2 2 4 2 5" xfId="1717" xr:uid="{00000000-0005-0000-0000-0000B5060000}"/>
    <cellStyle name="Millares 2 2 4 2 6" xfId="1718" xr:uid="{00000000-0005-0000-0000-0000B6060000}"/>
    <cellStyle name="Millares 2 2 4 2 7" xfId="1719" xr:uid="{00000000-0005-0000-0000-0000B7060000}"/>
    <cellStyle name="Millares 2 2 4 2 8" xfId="1720" xr:uid="{00000000-0005-0000-0000-0000B8060000}"/>
    <cellStyle name="Millares 2 2 4 2 9" xfId="1721" xr:uid="{00000000-0005-0000-0000-0000B9060000}"/>
    <cellStyle name="Millares 2 2 4 20" xfId="1722" xr:uid="{00000000-0005-0000-0000-0000BA060000}"/>
    <cellStyle name="Millares 2 2 4 3" xfId="1723" xr:uid="{00000000-0005-0000-0000-0000BB060000}"/>
    <cellStyle name="Millares 2 2 4 4" xfId="1724" xr:uid="{00000000-0005-0000-0000-0000BC060000}"/>
    <cellStyle name="Millares 2 2 4 5" xfId="1725" xr:uid="{00000000-0005-0000-0000-0000BD060000}"/>
    <cellStyle name="Millares 2 2 4 6" xfId="1726" xr:uid="{00000000-0005-0000-0000-0000BE060000}"/>
    <cellStyle name="Millares 2 2 4 7" xfId="1727" xr:uid="{00000000-0005-0000-0000-0000BF060000}"/>
    <cellStyle name="Millares 2 2 4 8" xfId="1728" xr:uid="{00000000-0005-0000-0000-0000C0060000}"/>
    <cellStyle name="Millares 2 2 4 9" xfId="1729" xr:uid="{00000000-0005-0000-0000-0000C1060000}"/>
    <cellStyle name="Millares 2 2 40" xfId="1730" xr:uid="{00000000-0005-0000-0000-0000C2060000}"/>
    <cellStyle name="Millares 2 2 41" xfId="1731" xr:uid="{00000000-0005-0000-0000-0000C3060000}"/>
    <cellStyle name="Millares 2 2 42" xfId="1732" xr:uid="{00000000-0005-0000-0000-0000C4060000}"/>
    <cellStyle name="Millares 2 2 43" xfId="1733" xr:uid="{00000000-0005-0000-0000-0000C5060000}"/>
    <cellStyle name="Millares 2 2 44" xfId="1734" xr:uid="{00000000-0005-0000-0000-0000C6060000}"/>
    <cellStyle name="Millares 2 2 45" xfId="1735" xr:uid="{00000000-0005-0000-0000-0000C7060000}"/>
    <cellStyle name="Millares 2 2 46" xfId="1736" xr:uid="{00000000-0005-0000-0000-0000C8060000}"/>
    <cellStyle name="Millares 2 2 47" xfId="1737" xr:uid="{00000000-0005-0000-0000-0000C9060000}"/>
    <cellStyle name="Millares 2 2 48" xfId="1738" xr:uid="{00000000-0005-0000-0000-0000CA060000}"/>
    <cellStyle name="Millares 2 2 49" xfId="1111" xr:uid="{00000000-0005-0000-0000-000057040000}"/>
    <cellStyle name="Millares 2 2 5" xfId="1739" xr:uid="{00000000-0005-0000-0000-0000CB060000}"/>
    <cellStyle name="Millares 2 2 6" xfId="1740" xr:uid="{00000000-0005-0000-0000-0000CC060000}"/>
    <cellStyle name="Millares 2 2 7" xfId="1741" xr:uid="{00000000-0005-0000-0000-0000CD060000}"/>
    <cellStyle name="Millares 2 2 8" xfId="1742" xr:uid="{00000000-0005-0000-0000-0000CE060000}"/>
    <cellStyle name="Millares 2 2 9" xfId="1743" xr:uid="{00000000-0005-0000-0000-0000CF060000}"/>
    <cellStyle name="Millares 2 20" xfId="1744" xr:uid="{00000000-0005-0000-0000-0000D0060000}"/>
    <cellStyle name="Millares 2 21" xfId="1090" xr:uid="{00000000-0005-0000-0000-000042040000}"/>
    <cellStyle name="Millares 2 22" xfId="1745" xr:uid="{00000000-0005-0000-0000-0000D1060000}"/>
    <cellStyle name="Millares 2 24" xfId="1746" xr:uid="{00000000-0005-0000-0000-0000D2060000}"/>
    <cellStyle name="Millares 2 26" xfId="1747" xr:uid="{00000000-0005-0000-0000-0000D3060000}"/>
    <cellStyle name="Millares 2 28" xfId="1748" xr:uid="{00000000-0005-0000-0000-0000D4060000}"/>
    <cellStyle name="Millares 2 3" xfId="44" xr:uid="{00000000-0005-0000-0000-00002C000000}"/>
    <cellStyle name="Millares 2 3 2" xfId="1750" xr:uid="{00000000-0005-0000-0000-0000D6060000}"/>
    <cellStyle name="Millares 2 3 3" xfId="1751" xr:uid="{00000000-0005-0000-0000-0000D7060000}"/>
    <cellStyle name="Millares 2 3 4" xfId="1752" xr:uid="{00000000-0005-0000-0000-0000D8060000}"/>
    <cellStyle name="Millares 2 3 5" xfId="1753" xr:uid="{00000000-0005-0000-0000-0000D9060000}"/>
    <cellStyle name="Millares 2 3 6" xfId="1754" xr:uid="{00000000-0005-0000-0000-0000DA060000}"/>
    <cellStyle name="Millares 2 3 7" xfId="1749" xr:uid="{00000000-0005-0000-0000-0000D5060000}"/>
    <cellStyle name="Millares 2 30" xfId="1755" xr:uid="{00000000-0005-0000-0000-0000DB060000}"/>
    <cellStyle name="Millares 2 32" xfId="1756" xr:uid="{00000000-0005-0000-0000-0000DC060000}"/>
    <cellStyle name="Millares 2 34" xfId="1757" xr:uid="{00000000-0005-0000-0000-0000DD060000}"/>
    <cellStyle name="Millares 2 36" xfId="1758" xr:uid="{00000000-0005-0000-0000-0000DE060000}"/>
    <cellStyle name="Millares 2 4" xfId="1759" xr:uid="{00000000-0005-0000-0000-0000DF060000}"/>
    <cellStyle name="Millares 2 4 2" xfId="1760" xr:uid="{00000000-0005-0000-0000-0000E0060000}"/>
    <cellStyle name="Millares 2 4 3" xfId="1761" xr:uid="{00000000-0005-0000-0000-0000E1060000}"/>
    <cellStyle name="Millares 2 4 4" xfId="1762" xr:uid="{00000000-0005-0000-0000-0000E2060000}"/>
    <cellStyle name="Millares 2 4 5" xfId="1763" xr:uid="{00000000-0005-0000-0000-0000E3060000}"/>
    <cellStyle name="Millares 2 4 6" xfId="1764" xr:uid="{00000000-0005-0000-0000-0000E4060000}"/>
    <cellStyle name="Millares 2 4 7" xfId="1765" xr:uid="{00000000-0005-0000-0000-0000E5060000}"/>
    <cellStyle name="Millares 2 4 8" xfId="1766" xr:uid="{00000000-0005-0000-0000-0000E6060000}"/>
    <cellStyle name="Millares 2 5" xfId="1767" xr:uid="{00000000-0005-0000-0000-0000E7060000}"/>
    <cellStyle name="Millares 2 6" xfId="1768" xr:uid="{00000000-0005-0000-0000-0000E8060000}"/>
    <cellStyle name="Millares 2 6 2" xfId="1769" xr:uid="{00000000-0005-0000-0000-0000E9060000}"/>
    <cellStyle name="Millares 2 7" xfId="1770" xr:uid="{00000000-0005-0000-0000-0000EA060000}"/>
    <cellStyle name="Millares 2 7 2" xfId="1771" xr:uid="{00000000-0005-0000-0000-0000EB060000}"/>
    <cellStyle name="Millares 2 7 3" xfId="1772" xr:uid="{00000000-0005-0000-0000-0000EC060000}"/>
    <cellStyle name="Millares 2 8" xfId="1773" xr:uid="{00000000-0005-0000-0000-0000ED060000}"/>
    <cellStyle name="Millares 2 8 2" xfId="1774" xr:uid="{00000000-0005-0000-0000-0000EE060000}"/>
    <cellStyle name="Millares 2 8 3" xfId="1775" xr:uid="{00000000-0005-0000-0000-0000EF060000}"/>
    <cellStyle name="Millares 2 9" xfId="1776" xr:uid="{00000000-0005-0000-0000-0000F0060000}"/>
    <cellStyle name="Millares 2 9 2" xfId="1777" xr:uid="{00000000-0005-0000-0000-0000F1060000}"/>
    <cellStyle name="Millares 2 9 3" xfId="1778" xr:uid="{00000000-0005-0000-0000-0000F2060000}"/>
    <cellStyle name="Millares 20" xfId="1779" xr:uid="{00000000-0005-0000-0000-0000F3060000}"/>
    <cellStyle name="Millares 20 2" xfId="1780" xr:uid="{00000000-0005-0000-0000-0000F4060000}"/>
    <cellStyle name="Millares 21" xfId="1781" xr:uid="{00000000-0005-0000-0000-0000F5060000}"/>
    <cellStyle name="Millares 21 2" xfId="1782" xr:uid="{00000000-0005-0000-0000-0000F6060000}"/>
    <cellStyle name="Millares 22" xfId="1783" xr:uid="{00000000-0005-0000-0000-0000F7060000}"/>
    <cellStyle name="Millares 28" xfId="1784" xr:uid="{00000000-0005-0000-0000-0000F8060000}"/>
    <cellStyle name="Millares 28 10" xfId="1785" xr:uid="{00000000-0005-0000-0000-0000F9060000}"/>
    <cellStyle name="Millares 28 11" xfId="1786" xr:uid="{00000000-0005-0000-0000-0000FA060000}"/>
    <cellStyle name="Millares 28 12" xfId="1787" xr:uid="{00000000-0005-0000-0000-0000FB060000}"/>
    <cellStyle name="Millares 28 13" xfId="1788" xr:uid="{00000000-0005-0000-0000-0000FC060000}"/>
    <cellStyle name="Millares 28 14" xfId="1789" xr:uid="{00000000-0005-0000-0000-0000FD060000}"/>
    <cellStyle name="Millares 28 15" xfId="1790" xr:uid="{00000000-0005-0000-0000-0000FE060000}"/>
    <cellStyle name="Millares 28 16" xfId="1791" xr:uid="{00000000-0005-0000-0000-0000FF060000}"/>
    <cellStyle name="Millares 28 17" xfId="1792" xr:uid="{00000000-0005-0000-0000-000000070000}"/>
    <cellStyle name="Millares 28 18" xfId="1793" xr:uid="{00000000-0005-0000-0000-000001070000}"/>
    <cellStyle name="Millares 28 19" xfId="1794" xr:uid="{00000000-0005-0000-0000-000002070000}"/>
    <cellStyle name="Millares 28 2" xfId="1795" xr:uid="{00000000-0005-0000-0000-000003070000}"/>
    <cellStyle name="Millares 28 2 2" xfId="1796" xr:uid="{00000000-0005-0000-0000-000004070000}"/>
    <cellStyle name="Millares 28 2 3" xfId="1797" xr:uid="{00000000-0005-0000-0000-000005070000}"/>
    <cellStyle name="Millares 28 20" xfId="1798" xr:uid="{00000000-0005-0000-0000-000006070000}"/>
    <cellStyle name="Millares 28 21" xfId="1799" xr:uid="{00000000-0005-0000-0000-000007070000}"/>
    <cellStyle name="Millares 28 22" xfId="1800" xr:uid="{00000000-0005-0000-0000-000008070000}"/>
    <cellStyle name="Millares 28 23" xfId="1801" xr:uid="{00000000-0005-0000-0000-000009070000}"/>
    <cellStyle name="Millares 28 24" xfId="1802" xr:uid="{00000000-0005-0000-0000-00000A070000}"/>
    <cellStyle name="Millares 28 25" xfId="1803" xr:uid="{00000000-0005-0000-0000-00000B070000}"/>
    <cellStyle name="Millares 28 3" xfId="1804" xr:uid="{00000000-0005-0000-0000-00000C070000}"/>
    <cellStyle name="Millares 28 3 2" xfId="1805" xr:uid="{00000000-0005-0000-0000-00000D070000}"/>
    <cellStyle name="Millares 28 3 3" xfId="1806" xr:uid="{00000000-0005-0000-0000-00000E070000}"/>
    <cellStyle name="Millares 28 4" xfId="1807" xr:uid="{00000000-0005-0000-0000-00000F070000}"/>
    <cellStyle name="Millares 28 5" xfId="1808" xr:uid="{00000000-0005-0000-0000-000010070000}"/>
    <cellStyle name="Millares 28 6" xfId="1809" xr:uid="{00000000-0005-0000-0000-000011070000}"/>
    <cellStyle name="Millares 28 7" xfId="1810" xr:uid="{00000000-0005-0000-0000-000012070000}"/>
    <cellStyle name="Millares 28 8" xfId="1811" xr:uid="{00000000-0005-0000-0000-000013070000}"/>
    <cellStyle name="Millares 28 9" xfId="1812" xr:uid="{00000000-0005-0000-0000-000014070000}"/>
    <cellStyle name="Millares 29" xfId="1813" xr:uid="{00000000-0005-0000-0000-000015070000}"/>
    <cellStyle name="Millares 29 10" xfId="1814" xr:uid="{00000000-0005-0000-0000-000016070000}"/>
    <cellStyle name="Millares 29 11" xfId="1815" xr:uid="{00000000-0005-0000-0000-000017070000}"/>
    <cellStyle name="Millares 29 12" xfId="1816" xr:uid="{00000000-0005-0000-0000-000018070000}"/>
    <cellStyle name="Millares 29 13" xfId="1817" xr:uid="{00000000-0005-0000-0000-000019070000}"/>
    <cellStyle name="Millares 29 14" xfId="1818" xr:uid="{00000000-0005-0000-0000-00001A070000}"/>
    <cellStyle name="Millares 29 15" xfId="1819" xr:uid="{00000000-0005-0000-0000-00001B070000}"/>
    <cellStyle name="Millares 29 16" xfId="1820" xr:uid="{00000000-0005-0000-0000-00001C070000}"/>
    <cellStyle name="Millares 29 17" xfId="1821" xr:uid="{00000000-0005-0000-0000-00001D070000}"/>
    <cellStyle name="Millares 29 18" xfId="1822" xr:uid="{00000000-0005-0000-0000-00001E070000}"/>
    <cellStyle name="Millares 29 19" xfId="1823" xr:uid="{00000000-0005-0000-0000-00001F070000}"/>
    <cellStyle name="Millares 29 2" xfId="1824" xr:uid="{00000000-0005-0000-0000-000020070000}"/>
    <cellStyle name="Millares 29 2 2" xfId="1825" xr:uid="{00000000-0005-0000-0000-000021070000}"/>
    <cellStyle name="Millares 29 2 3" xfId="1826" xr:uid="{00000000-0005-0000-0000-000022070000}"/>
    <cellStyle name="Millares 29 20" xfId="1827" xr:uid="{00000000-0005-0000-0000-000023070000}"/>
    <cellStyle name="Millares 29 21" xfId="1828" xr:uid="{00000000-0005-0000-0000-000024070000}"/>
    <cellStyle name="Millares 29 22" xfId="1829" xr:uid="{00000000-0005-0000-0000-000025070000}"/>
    <cellStyle name="Millares 29 23" xfId="1830" xr:uid="{00000000-0005-0000-0000-000026070000}"/>
    <cellStyle name="Millares 29 24" xfId="1831" xr:uid="{00000000-0005-0000-0000-000027070000}"/>
    <cellStyle name="Millares 29 25" xfId="1832" xr:uid="{00000000-0005-0000-0000-000028070000}"/>
    <cellStyle name="Millares 29 3" xfId="1833" xr:uid="{00000000-0005-0000-0000-000029070000}"/>
    <cellStyle name="Millares 29 3 2" xfId="1834" xr:uid="{00000000-0005-0000-0000-00002A070000}"/>
    <cellStyle name="Millares 29 3 3" xfId="1835" xr:uid="{00000000-0005-0000-0000-00002B070000}"/>
    <cellStyle name="Millares 29 4" xfId="1836" xr:uid="{00000000-0005-0000-0000-00002C070000}"/>
    <cellStyle name="Millares 29 5" xfId="1837" xr:uid="{00000000-0005-0000-0000-00002D070000}"/>
    <cellStyle name="Millares 29 6" xfId="1838" xr:uid="{00000000-0005-0000-0000-00002E070000}"/>
    <cellStyle name="Millares 29 7" xfId="1839" xr:uid="{00000000-0005-0000-0000-00002F070000}"/>
    <cellStyle name="Millares 29 8" xfId="1840" xr:uid="{00000000-0005-0000-0000-000030070000}"/>
    <cellStyle name="Millares 29 9" xfId="1841" xr:uid="{00000000-0005-0000-0000-000031070000}"/>
    <cellStyle name="Millares 3" xfId="45" xr:uid="{00000000-0005-0000-0000-00002D000000}"/>
    <cellStyle name="Millares 3 10" xfId="1843" xr:uid="{00000000-0005-0000-0000-000033070000}"/>
    <cellStyle name="Millares 3 10 10" xfId="1844" xr:uid="{00000000-0005-0000-0000-000034070000}"/>
    <cellStyle name="Millares 3 10 11" xfId="1845" xr:uid="{00000000-0005-0000-0000-000035070000}"/>
    <cellStyle name="Millares 3 10 12" xfId="1846" xr:uid="{00000000-0005-0000-0000-000036070000}"/>
    <cellStyle name="Millares 3 10 13" xfId="1847" xr:uid="{00000000-0005-0000-0000-000037070000}"/>
    <cellStyle name="Millares 3 10 14" xfId="1848" xr:uid="{00000000-0005-0000-0000-000038070000}"/>
    <cellStyle name="Millares 3 10 15" xfId="1849" xr:uid="{00000000-0005-0000-0000-000039070000}"/>
    <cellStyle name="Millares 3 10 16" xfId="1850" xr:uid="{00000000-0005-0000-0000-00003A070000}"/>
    <cellStyle name="Millares 3 10 17" xfId="1851" xr:uid="{00000000-0005-0000-0000-00003B070000}"/>
    <cellStyle name="Millares 3 10 18" xfId="1852" xr:uid="{00000000-0005-0000-0000-00003C070000}"/>
    <cellStyle name="Millares 3 10 19" xfId="1853" xr:uid="{00000000-0005-0000-0000-00003D070000}"/>
    <cellStyle name="Millares 3 10 2" xfId="1854" xr:uid="{00000000-0005-0000-0000-00003E070000}"/>
    <cellStyle name="Millares 3 10 2 10" xfId="1855" xr:uid="{00000000-0005-0000-0000-00003F070000}"/>
    <cellStyle name="Millares 3 10 2 11" xfId="1856" xr:uid="{00000000-0005-0000-0000-000040070000}"/>
    <cellStyle name="Millares 3 10 2 12" xfId="1857" xr:uid="{00000000-0005-0000-0000-000041070000}"/>
    <cellStyle name="Millares 3 10 2 13" xfId="1858" xr:uid="{00000000-0005-0000-0000-000042070000}"/>
    <cellStyle name="Millares 3 10 2 14" xfId="1859" xr:uid="{00000000-0005-0000-0000-000043070000}"/>
    <cellStyle name="Millares 3 10 2 15" xfId="1860" xr:uid="{00000000-0005-0000-0000-000044070000}"/>
    <cellStyle name="Millares 3 10 2 16" xfId="1861" xr:uid="{00000000-0005-0000-0000-000045070000}"/>
    <cellStyle name="Millares 3 10 2 17" xfId="1862" xr:uid="{00000000-0005-0000-0000-000046070000}"/>
    <cellStyle name="Millares 3 10 2 2" xfId="1863" xr:uid="{00000000-0005-0000-0000-000047070000}"/>
    <cellStyle name="Millares 3 10 2 3" xfId="1864" xr:uid="{00000000-0005-0000-0000-000048070000}"/>
    <cellStyle name="Millares 3 10 2 3 2" xfId="1865" xr:uid="{00000000-0005-0000-0000-000049070000}"/>
    <cellStyle name="Millares 3 10 2 4" xfId="1866" xr:uid="{00000000-0005-0000-0000-00004A070000}"/>
    <cellStyle name="Millares 3 10 2 5" xfId="1867" xr:uid="{00000000-0005-0000-0000-00004B070000}"/>
    <cellStyle name="Millares 3 10 2 6" xfId="1868" xr:uid="{00000000-0005-0000-0000-00004C070000}"/>
    <cellStyle name="Millares 3 10 2 7" xfId="1869" xr:uid="{00000000-0005-0000-0000-00004D070000}"/>
    <cellStyle name="Millares 3 10 2 8" xfId="1870" xr:uid="{00000000-0005-0000-0000-00004E070000}"/>
    <cellStyle name="Millares 3 10 2 9" xfId="1871" xr:uid="{00000000-0005-0000-0000-00004F070000}"/>
    <cellStyle name="Millares 3 10 3" xfId="1872" xr:uid="{00000000-0005-0000-0000-000050070000}"/>
    <cellStyle name="Millares 3 10 4" xfId="1873" xr:uid="{00000000-0005-0000-0000-000051070000}"/>
    <cellStyle name="Millares 3 10 5" xfId="1874" xr:uid="{00000000-0005-0000-0000-000052070000}"/>
    <cellStyle name="Millares 3 10 6" xfId="1875" xr:uid="{00000000-0005-0000-0000-000053070000}"/>
    <cellStyle name="Millares 3 10 7" xfId="1876" xr:uid="{00000000-0005-0000-0000-000054070000}"/>
    <cellStyle name="Millares 3 10 8" xfId="1877" xr:uid="{00000000-0005-0000-0000-000055070000}"/>
    <cellStyle name="Millares 3 10 9" xfId="1878" xr:uid="{00000000-0005-0000-0000-000056070000}"/>
    <cellStyle name="Millares 3 11" xfId="1879" xr:uid="{00000000-0005-0000-0000-000057070000}"/>
    <cellStyle name="Millares 3 11 10" xfId="1880" xr:uid="{00000000-0005-0000-0000-000058070000}"/>
    <cellStyle name="Millares 3 11 11" xfId="1881" xr:uid="{00000000-0005-0000-0000-000059070000}"/>
    <cellStyle name="Millares 3 11 12" xfId="1882" xr:uid="{00000000-0005-0000-0000-00005A070000}"/>
    <cellStyle name="Millares 3 11 13" xfId="1883" xr:uid="{00000000-0005-0000-0000-00005B070000}"/>
    <cellStyle name="Millares 3 11 14" xfId="1884" xr:uid="{00000000-0005-0000-0000-00005C070000}"/>
    <cellStyle name="Millares 3 11 15" xfId="1885" xr:uid="{00000000-0005-0000-0000-00005D070000}"/>
    <cellStyle name="Millares 3 11 16" xfId="1886" xr:uid="{00000000-0005-0000-0000-00005E070000}"/>
    <cellStyle name="Millares 3 11 17" xfId="1887" xr:uid="{00000000-0005-0000-0000-00005F070000}"/>
    <cellStyle name="Millares 3 11 18" xfId="1888" xr:uid="{00000000-0005-0000-0000-000060070000}"/>
    <cellStyle name="Millares 3 11 19" xfId="1889" xr:uid="{00000000-0005-0000-0000-000061070000}"/>
    <cellStyle name="Millares 3 11 2" xfId="1890" xr:uid="{00000000-0005-0000-0000-000062070000}"/>
    <cellStyle name="Millares 3 11 2 10" xfId="1891" xr:uid="{00000000-0005-0000-0000-000063070000}"/>
    <cellStyle name="Millares 3 11 2 11" xfId="1892" xr:uid="{00000000-0005-0000-0000-000064070000}"/>
    <cellStyle name="Millares 3 11 2 12" xfId="1893" xr:uid="{00000000-0005-0000-0000-000065070000}"/>
    <cellStyle name="Millares 3 11 2 13" xfId="1894" xr:uid="{00000000-0005-0000-0000-000066070000}"/>
    <cellStyle name="Millares 3 11 2 14" xfId="1895" xr:uid="{00000000-0005-0000-0000-000067070000}"/>
    <cellStyle name="Millares 3 11 2 15" xfId="1896" xr:uid="{00000000-0005-0000-0000-000068070000}"/>
    <cellStyle name="Millares 3 11 2 16" xfId="1897" xr:uid="{00000000-0005-0000-0000-000069070000}"/>
    <cellStyle name="Millares 3 11 2 17" xfId="1898" xr:uid="{00000000-0005-0000-0000-00006A070000}"/>
    <cellStyle name="Millares 3 11 2 2" xfId="1899" xr:uid="{00000000-0005-0000-0000-00006B070000}"/>
    <cellStyle name="Millares 3 11 2 3" xfId="1900" xr:uid="{00000000-0005-0000-0000-00006C070000}"/>
    <cellStyle name="Millares 3 11 2 3 2" xfId="1901" xr:uid="{00000000-0005-0000-0000-00006D070000}"/>
    <cellStyle name="Millares 3 11 2 4" xfId="1902" xr:uid="{00000000-0005-0000-0000-00006E070000}"/>
    <cellStyle name="Millares 3 11 2 5" xfId="1903" xr:uid="{00000000-0005-0000-0000-00006F070000}"/>
    <cellStyle name="Millares 3 11 2 6" xfId="1904" xr:uid="{00000000-0005-0000-0000-000070070000}"/>
    <cellStyle name="Millares 3 11 2 7" xfId="1905" xr:uid="{00000000-0005-0000-0000-000071070000}"/>
    <cellStyle name="Millares 3 11 2 8" xfId="1906" xr:uid="{00000000-0005-0000-0000-000072070000}"/>
    <cellStyle name="Millares 3 11 2 9" xfId="1907" xr:uid="{00000000-0005-0000-0000-000073070000}"/>
    <cellStyle name="Millares 3 11 3" xfId="1908" xr:uid="{00000000-0005-0000-0000-000074070000}"/>
    <cellStyle name="Millares 3 11 4" xfId="1909" xr:uid="{00000000-0005-0000-0000-000075070000}"/>
    <cellStyle name="Millares 3 11 5" xfId="1910" xr:uid="{00000000-0005-0000-0000-000076070000}"/>
    <cellStyle name="Millares 3 11 6" xfId="1911" xr:uid="{00000000-0005-0000-0000-000077070000}"/>
    <cellStyle name="Millares 3 11 7" xfId="1912" xr:uid="{00000000-0005-0000-0000-000078070000}"/>
    <cellStyle name="Millares 3 11 8" xfId="1913" xr:uid="{00000000-0005-0000-0000-000079070000}"/>
    <cellStyle name="Millares 3 11 9" xfId="1914" xr:uid="{00000000-0005-0000-0000-00007A070000}"/>
    <cellStyle name="Millares 3 12" xfId="1915" xr:uid="{00000000-0005-0000-0000-00007B070000}"/>
    <cellStyle name="Millares 3 12 10" xfId="1916" xr:uid="{00000000-0005-0000-0000-00007C070000}"/>
    <cellStyle name="Millares 3 12 11" xfId="1917" xr:uid="{00000000-0005-0000-0000-00007D070000}"/>
    <cellStyle name="Millares 3 12 12" xfId="1918" xr:uid="{00000000-0005-0000-0000-00007E070000}"/>
    <cellStyle name="Millares 3 12 13" xfId="1919" xr:uid="{00000000-0005-0000-0000-00007F070000}"/>
    <cellStyle name="Millares 3 12 14" xfId="1920" xr:uid="{00000000-0005-0000-0000-000080070000}"/>
    <cellStyle name="Millares 3 12 15" xfId="1921" xr:uid="{00000000-0005-0000-0000-000081070000}"/>
    <cellStyle name="Millares 3 12 16" xfId="1922" xr:uid="{00000000-0005-0000-0000-000082070000}"/>
    <cellStyle name="Millares 3 12 17" xfId="1923" xr:uid="{00000000-0005-0000-0000-000083070000}"/>
    <cellStyle name="Millares 3 12 2" xfId="1924" xr:uid="{00000000-0005-0000-0000-000084070000}"/>
    <cellStyle name="Millares 3 12 3" xfId="1925" xr:uid="{00000000-0005-0000-0000-000085070000}"/>
    <cellStyle name="Millares 3 12 3 2" xfId="1926" xr:uid="{00000000-0005-0000-0000-000086070000}"/>
    <cellStyle name="Millares 3 12 4" xfId="1927" xr:uid="{00000000-0005-0000-0000-000087070000}"/>
    <cellStyle name="Millares 3 12 5" xfId="1928" xr:uid="{00000000-0005-0000-0000-000088070000}"/>
    <cellStyle name="Millares 3 12 6" xfId="1929" xr:uid="{00000000-0005-0000-0000-000089070000}"/>
    <cellStyle name="Millares 3 12 7" xfId="1930" xr:uid="{00000000-0005-0000-0000-00008A070000}"/>
    <cellStyle name="Millares 3 12 8" xfId="1931" xr:uid="{00000000-0005-0000-0000-00008B070000}"/>
    <cellStyle name="Millares 3 12 9" xfId="1932" xr:uid="{00000000-0005-0000-0000-00008C070000}"/>
    <cellStyle name="Millares 3 13" xfId="1933" xr:uid="{00000000-0005-0000-0000-00008D070000}"/>
    <cellStyle name="Millares 3 13 10" xfId="1934" xr:uid="{00000000-0005-0000-0000-00008E070000}"/>
    <cellStyle name="Millares 3 13 11" xfId="1935" xr:uid="{00000000-0005-0000-0000-00008F070000}"/>
    <cellStyle name="Millares 3 13 12" xfId="1936" xr:uid="{00000000-0005-0000-0000-000090070000}"/>
    <cellStyle name="Millares 3 13 13" xfId="1937" xr:uid="{00000000-0005-0000-0000-000091070000}"/>
    <cellStyle name="Millares 3 13 14" xfId="1938" xr:uid="{00000000-0005-0000-0000-000092070000}"/>
    <cellStyle name="Millares 3 13 15" xfId="1939" xr:uid="{00000000-0005-0000-0000-000093070000}"/>
    <cellStyle name="Millares 3 13 16" xfId="1940" xr:uid="{00000000-0005-0000-0000-000094070000}"/>
    <cellStyle name="Millares 3 13 17" xfId="1941" xr:uid="{00000000-0005-0000-0000-000095070000}"/>
    <cellStyle name="Millares 3 13 2" xfId="1942" xr:uid="{00000000-0005-0000-0000-000096070000}"/>
    <cellStyle name="Millares 3 13 3" xfId="1943" xr:uid="{00000000-0005-0000-0000-000097070000}"/>
    <cellStyle name="Millares 3 13 3 2" xfId="1944" xr:uid="{00000000-0005-0000-0000-000098070000}"/>
    <cellStyle name="Millares 3 13 4" xfId="1945" xr:uid="{00000000-0005-0000-0000-000099070000}"/>
    <cellStyle name="Millares 3 13 5" xfId="1946" xr:uid="{00000000-0005-0000-0000-00009A070000}"/>
    <cellStyle name="Millares 3 13 6" xfId="1947" xr:uid="{00000000-0005-0000-0000-00009B070000}"/>
    <cellStyle name="Millares 3 13 7" xfId="1948" xr:uid="{00000000-0005-0000-0000-00009C070000}"/>
    <cellStyle name="Millares 3 13 8" xfId="1949" xr:uid="{00000000-0005-0000-0000-00009D070000}"/>
    <cellStyle name="Millares 3 13 9" xfId="1950" xr:uid="{00000000-0005-0000-0000-00009E070000}"/>
    <cellStyle name="Millares 3 14" xfId="1951" xr:uid="{00000000-0005-0000-0000-00009F070000}"/>
    <cellStyle name="Millares 3 14 10" xfId="1952" xr:uid="{00000000-0005-0000-0000-0000A0070000}"/>
    <cellStyle name="Millares 3 14 11" xfId="1953" xr:uid="{00000000-0005-0000-0000-0000A1070000}"/>
    <cellStyle name="Millares 3 14 12" xfId="1954" xr:uid="{00000000-0005-0000-0000-0000A2070000}"/>
    <cellStyle name="Millares 3 14 13" xfId="1955" xr:uid="{00000000-0005-0000-0000-0000A3070000}"/>
    <cellStyle name="Millares 3 14 14" xfId="1956" xr:uid="{00000000-0005-0000-0000-0000A4070000}"/>
    <cellStyle name="Millares 3 14 15" xfId="1957" xr:uid="{00000000-0005-0000-0000-0000A5070000}"/>
    <cellStyle name="Millares 3 14 16" xfId="1958" xr:uid="{00000000-0005-0000-0000-0000A6070000}"/>
    <cellStyle name="Millares 3 14 17" xfId="1959" xr:uid="{00000000-0005-0000-0000-0000A7070000}"/>
    <cellStyle name="Millares 3 14 2" xfId="1960" xr:uid="{00000000-0005-0000-0000-0000A8070000}"/>
    <cellStyle name="Millares 3 14 3" xfId="1961" xr:uid="{00000000-0005-0000-0000-0000A9070000}"/>
    <cellStyle name="Millares 3 14 3 2" xfId="1962" xr:uid="{00000000-0005-0000-0000-0000AA070000}"/>
    <cellStyle name="Millares 3 14 4" xfId="1963" xr:uid="{00000000-0005-0000-0000-0000AB070000}"/>
    <cellStyle name="Millares 3 14 5" xfId="1964" xr:uid="{00000000-0005-0000-0000-0000AC070000}"/>
    <cellStyle name="Millares 3 14 6" xfId="1965" xr:uid="{00000000-0005-0000-0000-0000AD070000}"/>
    <cellStyle name="Millares 3 14 7" xfId="1966" xr:uid="{00000000-0005-0000-0000-0000AE070000}"/>
    <cellStyle name="Millares 3 14 8" xfId="1967" xr:uid="{00000000-0005-0000-0000-0000AF070000}"/>
    <cellStyle name="Millares 3 14 9" xfId="1968" xr:uid="{00000000-0005-0000-0000-0000B0070000}"/>
    <cellStyle name="Millares 3 15" xfId="1969" xr:uid="{00000000-0005-0000-0000-0000B1070000}"/>
    <cellStyle name="Millares 3 16" xfId="1970" xr:uid="{00000000-0005-0000-0000-0000B2070000}"/>
    <cellStyle name="Millares 3 17" xfId="1971" xr:uid="{00000000-0005-0000-0000-0000B3070000}"/>
    <cellStyle name="Millares 3 18" xfId="1972" xr:uid="{00000000-0005-0000-0000-0000B4070000}"/>
    <cellStyle name="Millares 3 19" xfId="1973" xr:uid="{00000000-0005-0000-0000-0000B5070000}"/>
    <cellStyle name="Millares 3 2" xfId="1974" xr:uid="{00000000-0005-0000-0000-0000B6070000}"/>
    <cellStyle name="Millares 3 2 10" xfId="1975" xr:uid="{00000000-0005-0000-0000-0000B7070000}"/>
    <cellStyle name="Millares 3 2 11" xfId="1976" xr:uid="{00000000-0005-0000-0000-0000B8070000}"/>
    <cellStyle name="Millares 3 2 12" xfId="1977" xr:uid="{00000000-0005-0000-0000-0000B9070000}"/>
    <cellStyle name="Millares 3 2 13" xfId="1978" xr:uid="{00000000-0005-0000-0000-0000BA070000}"/>
    <cellStyle name="Millares 3 2 14" xfId="1979" xr:uid="{00000000-0005-0000-0000-0000BB070000}"/>
    <cellStyle name="Millares 3 2 15" xfId="1980" xr:uid="{00000000-0005-0000-0000-0000BC070000}"/>
    <cellStyle name="Millares 3 2 16" xfId="1981" xr:uid="{00000000-0005-0000-0000-0000BD070000}"/>
    <cellStyle name="Millares 3 2 17" xfId="1982" xr:uid="{00000000-0005-0000-0000-0000BE070000}"/>
    <cellStyle name="Millares 3 2 18" xfId="1983" xr:uid="{00000000-0005-0000-0000-0000BF070000}"/>
    <cellStyle name="Millares 3 2 19" xfId="1984" xr:uid="{00000000-0005-0000-0000-0000C0070000}"/>
    <cellStyle name="Millares 3 2 2" xfId="1985" xr:uid="{00000000-0005-0000-0000-0000C1070000}"/>
    <cellStyle name="Millares 3 2 2 10" xfId="1986" xr:uid="{00000000-0005-0000-0000-0000C2070000}"/>
    <cellStyle name="Millares 3 2 2 11" xfId="1987" xr:uid="{00000000-0005-0000-0000-0000C3070000}"/>
    <cellStyle name="Millares 3 2 2 12" xfId="1988" xr:uid="{00000000-0005-0000-0000-0000C4070000}"/>
    <cellStyle name="Millares 3 2 2 13" xfId="1989" xr:uid="{00000000-0005-0000-0000-0000C5070000}"/>
    <cellStyle name="Millares 3 2 2 14" xfId="1990" xr:uid="{00000000-0005-0000-0000-0000C6070000}"/>
    <cellStyle name="Millares 3 2 2 15" xfId="1991" xr:uid="{00000000-0005-0000-0000-0000C7070000}"/>
    <cellStyle name="Millares 3 2 2 16" xfId="1992" xr:uid="{00000000-0005-0000-0000-0000C8070000}"/>
    <cellStyle name="Millares 3 2 2 17" xfId="1993" xr:uid="{00000000-0005-0000-0000-0000C9070000}"/>
    <cellStyle name="Millares 3 2 2 18" xfId="1994" xr:uid="{00000000-0005-0000-0000-0000CA070000}"/>
    <cellStyle name="Millares 3 2 2 2" xfId="1995" xr:uid="{00000000-0005-0000-0000-0000CB070000}"/>
    <cellStyle name="Millares 3 2 2 2 2" xfId="1996" xr:uid="{00000000-0005-0000-0000-0000CC070000}"/>
    <cellStyle name="Millares 3 2 2 2 2 2" xfId="1997" xr:uid="{00000000-0005-0000-0000-0000CD070000}"/>
    <cellStyle name="Millares 3 2 2 2 2 2 2" xfId="1998" xr:uid="{00000000-0005-0000-0000-0000CE070000}"/>
    <cellStyle name="Millares 3 2 2 2 2 2 2 2" xfId="1999" xr:uid="{00000000-0005-0000-0000-0000CF070000}"/>
    <cellStyle name="Millares 3 2 2 2 2 2 2 3" xfId="2000" xr:uid="{00000000-0005-0000-0000-0000D0070000}"/>
    <cellStyle name="Millares 3 2 2 2 2 2 3" xfId="2001" xr:uid="{00000000-0005-0000-0000-0000D1070000}"/>
    <cellStyle name="Millares 3 2 2 2 2 3" xfId="2002" xr:uid="{00000000-0005-0000-0000-0000D2070000}"/>
    <cellStyle name="Millares 3 2 2 2 2 4" xfId="2003" xr:uid="{00000000-0005-0000-0000-0000D3070000}"/>
    <cellStyle name="Millares 3 2 2 2 2 5" xfId="2004" xr:uid="{00000000-0005-0000-0000-0000D4070000}"/>
    <cellStyle name="Millares 3 2 2 2 3" xfId="2005" xr:uid="{00000000-0005-0000-0000-0000D5070000}"/>
    <cellStyle name="Millares 3 2 2 2 4" xfId="2006" xr:uid="{00000000-0005-0000-0000-0000D6070000}"/>
    <cellStyle name="Millares 3 2 2 2 5" xfId="2007" xr:uid="{00000000-0005-0000-0000-0000D7070000}"/>
    <cellStyle name="Millares 3 2 2 3" xfId="2008" xr:uid="{00000000-0005-0000-0000-0000D8070000}"/>
    <cellStyle name="Millares 3 2 2 4" xfId="2009" xr:uid="{00000000-0005-0000-0000-0000D9070000}"/>
    <cellStyle name="Millares 3 2 2 5" xfId="2010" xr:uid="{00000000-0005-0000-0000-0000DA070000}"/>
    <cellStyle name="Millares 3 2 2 5 10" xfId="2011" xr:uid="{00000000-0005-0000-0000-0000DB070000}"/>
    <cellStyle name="Millares 3 2 2 5 11" xfId="2012" xr:uid="{00000000-0005-0000-0000-0000DC070000}"/>
    <cellStyle name="Millares 3 2 2 5 12" xfId="2013" xr:uid="{00000000-0005-0000-0000-0000DD070000}"/>
    <cellStyle name="Millares 3 2 2 5 13" xfId="2014" xr:uid="{00000000-0005-0000-0000-0000DE070000}"/>
    <cellStyle name="Millares 3 2 2 5 14" xfId="2015" xr:uid="{00000000-0005-0000-0000-0000DF070000}"/>
    <cellStyle name="Millares 3 2 2 5 15" xfId="2016" xr:uid="{00000000-0005-0000-0000-0000E0070000}"/>
    <cellStyle name="Millares 3 2 2 5 16" xfId="2017" xr:uid="{00000000-0005-0000-0000-0000E1070000}"/>
    <cellStyle name="Millares 3 2 2 5 17" xfId="2018" xr:uid="{00000000-0005-0000-0000-0000E2070000}"/>
    <cellStyle name="Millares 3 2 2 5 18" xfId="2019" xr:uid="{00000000-0005-0000-0000-0000E3070000}"/>
    <cellStyle name="Millares 3 2 2 5 2" xfId="2020" xr:uid="{00000000-0005-0000-0000-0000E4070000}"/>
    <cellStyle name="Millares 3 2 2 5 2 10" xfId="2021" xr:uid="{00000000-0005-0000-0000-0000E5070000}"/>
    <cellStyle name="Millares 3 2 2 5 2 11" xfId="2022" xr:uid="{00000000-0005-0000-0000-0000E6070000}"/>
    <cellStyle name="Millares 3 2 2 5 2 12" xfId="2023" xr:uid="{00000000-0005-0000-0000-0000E7070000}"/>
    <cellStyle name="Millares 3 2 2 5 2 13" xfId="2024" xr:uid="{00000000-0005-0000-0000-0000E8070000}"/>
    <cellStyle name="Millares 3 2 2 5 2 14" xfId="2025" xr:uid="{00000000-0005-0000-0000-0000E9070000}"/>
    <cellStyle name="Millares 3 2 2 5 2 15" xfId="2026" xr:uid="{00000000-0005-0000-0000-0000EA070000}"/>
    <cellStyle name="Millares 3 2 2 5 2 2" xfId="2027" xr:uid="{00000000-0005-0000-0000-0000EB070000}"/>
    <cellStyle name="Millares 3 2 2 5 2 2 2" xfId="2028" xr:uid="{00000000-0005-0000-0000-0000EC070000}"/>
    <cellStyle name="Millares 3 2 2 5 2 2 3" xfId="2029" xr:uid="{00000000-0005-0000-0000-0000ED070000}"/>
    <cellStyle name="Millares 3 2 2 5 2 2 4" xfId="2030" xr:uid="{00000000-0005-0000-0000-0000EE070000}"/>
    <cellStyle name="Millares 3 2 2 5 2 2 5" xfId="2031" xr:uid="{00000000-0005-0000-0000-0000EF070000}"/>
    <cellStyle name="Millares 3 2 2 5 2 2 6" xfId="2032" xr:uid="{00000000-0005-0000-0000-0000F0070000}"/>
    <cellStyle name="Millares 3 2 2 5 2 3" xfId="2033" xr:uid="{00000000-0005-0000-0000-0000F1070000}"/>
    <cellStyle name="Millares 3 2 2 5 2 4" xfId="2034" xr:uid="{00000000-0005-0000-0000-0000F2070000}"/>
    <cellStyle name="Millares 3 2 2 5 2 5" xfId="2035" xr:uid="{00000000-0005-0000-0000-0000F3070000}"/>
    <cellStyle name="Millares 3 2 2 5 2 6" xfId="2036" xr:uid="{00000000-0005-0000-0000-0000F4070000}"/>
    <cellStyle name="Millares 3 2 2 5 2 7" xfId="2037" xr:uid="{00000000-0005-0000-0000-0000F5070000}"/>
    <cellStyle name="Millares 3 2 2 5 2 8" xfId="2038" xr:uid="{00000000-0005-0000-0000-0000F6070000}"/>
    <cellStyle name="Millares 3 2 2 5 2 9" xfId="2039" xr:uid="{00000000-0005-0000-0000-0000F7070000}"/>
    <cellStyle name="Millares 3 2 2 5 3" xfId="2040" xr:uid="{00000000-0005-0000-0000-0000F8070000}"/>
    <cellStyle name="Millares 3 2 2 5 3 10" xfId="2041" xr:uid="{00000000-0005-0000-0000-0000F9070000}"/>
    <cellStyle name="Millares 3 2 2 5 3 2" xfId="2042" xr:uid="{00000000-0005-0000-0000-0000FA070000}"/>
    <cellStyle name="Millares 3 2 2 5 3 3" xfId="2043" xr:uid="{00000000-0005-0000-0000-0000FB070000}"/>
    <cellStyle name="Millares 3 2 2 5 3 4" xfId="2044" xr:uid="{00000000-0005-0000-0000-0000FC070000}"/>
    <cellStyle name="Millares 3 2 2 5 3 5" xfId="2045" xr:uid="{00000000-0005-0000-0000-0000FD070000}"/>
    <cellStyle name="Millares 3 2 2 5 3 6" xfId="2046" xr:uid="{00000000-0005-0000-0000-0000FE070000}"/>
    <cellStyle name="Millares 3 2 2 5 3 7" xfId="2047" xr:uid="{00000000-0005-0000-0000-0000FF070000}"/>
    <cellStyle name="Millares 3 2 2 5 3 8" xfId="2048" xr:uid="{00000000-0005-0000-0000-000000080000}"/>
    <cellStyle name="Millares 3 2 2 5 3 9" xfId="2049" xr:uid="{00000000-0005-0000-0000-000001080000}"/>
    <cellStyle name="Millares 3 2 2 5 4" xfId="2050" xr:uid="{00000000-0005-0000-0000-000002080000}"/>
    <cellStyle name="Millares 3 2 2 5 5" xfId="2051" xr:uid="{00000000-0005-0000-0000-000003080000}"/>
    <cellStyle name="Millares 3 2 2 5 6" xfId="2052" xr:uid="{00000000-0005-0000-0000-000004080000}"/>
    <cellStyle name="Millares 3 2 2 5 7" xfId="2053" xr:uid="{00000000-0005-0000-0000-000005080000}"/>
    <cellStyle name="Millares 3 2 2 5 8" xfId="2054" xr:uid="{00000000-0005-0000-0000-000006080000}"/>
    <cellStyle name="Millares 3 2 2 5 9" xfId="2055" xr:uid="{00000000-0005-0000-0000-000007080000}"/>
    <cellStyle name="Millares 3 2 2 6" xfId="2056" xr:uid="{00000000-0005-0000-0000-000008080000}"/>
    <cellStyle name="Millares 3 2 2 7" xfId="2057" xr:uid="{00000000-0005-0000-0000-000009080000}"/>
    <cellStyle name="Millares 3 2 2 8" xfId="2058" xr:uid="{00000000-0005-0000-0000-00000A080000}"/>
    <cellStyle name="Millares 3 2 2 9" xfId="2059" xr:uid="{00000000-0005-0000-0000-00000B080000}"/>
    <cellStyle name="Millares 3 2 20" xfId="2060" xr:uid="{00000000-0005-0000-0000-00000C080000}"/>
    <cellStyle name="Millares 3 2 21" xfId="2061" xr:uid="{00000000-0005-0000-0000-00000D080000}"/>
    <cellStyle name="Millares 3 2 22" xfId="2062" xr:uid="{00000000-0005-0000-0000-00000E080000}"/>
    <cellStyle name="Millares 3 2 23" xfId="2063" xr:uid="{00000000-0005-0000-0000-00000F080000}"/>
    <cellStyle name="Millares 3 2 24" xfId="2064" xr:uid="{00000000-0005-0000-0000-000010080000}"/>
    <cellStyle name="Millares 3 2 3" xfId="2065" xr:uid="{00000000-0005-0000-0000-000011080000}"/>
    <cellStyle name="Millares 3 2 4" xfId="2066" xr:uid="{00000000-0005-0000-0000-000012080000}"/>
    <cellStyle name="Millares 3 2 5" xfId="2067" xr:uid="{00000000-0005-0000-0000-000013080000}"/>
    <cellStyle name="Millares 3 2 6" xfId="2068" xr:uid="{00000000-0005-0000-0000-000014080000}"/>
    <cellStyle name="Millares 3 2 7" xfId="2069" xr:uid="{00000000-0005-0000-0000-000015080000}"/>
    <cellStyle name="Millares 3 2 8" xfId="2070" xr:uid="{00000000-0005-0000-0000-000016080000}"/>
    <cellStyle name="Millares 3 2 9" xfId="2071" xr:uid="{00000000-0005-0000-0000-000017080000}"/>
    <cellStyle name="Millares 3 20" xfId="2072" xr:uid="{00000000-0005-0000-0000-000018080000}"/>
    <cellStyle name="Millares 3 21" xfId="2073" xr:uid="{00000000-0005-0000-0000-000019080000}"/>
    <cellStyle name="Millares 3 22" xfId="2074" xr:uid="{00000000-0005-0000-0000-00001A080000}"/>
    <cellStyle name="Millares 3 23" xfId="2075" xr:uid="{00000000-0005-0000-0000-00001B080000}"/>
    <cellStyle name="Millares 3 24" xfId="2076" xr:uid="{00000000-0005-0000-0000-00001C080000}"/>
    <cellStyle name="Millares 3 25" xfId="2077" xr:uid="{00000000-0005-0000-0000-00001D080000}"/>
    <cellStyle name="Millares 3 26" xfId="2078" xr:uid="{00000000-0005-0000-0000-00001E080000}"/>
    <cellStyle name="Millares 3 27" xfId="2079" xr:uid="{00000000-0005-0000-0000-00001F080000}"/>
    <cellStyle name="Millares 3 28" xfId="2080" xr:uid="{00000000-0005-0000-0000-000020080000}"/>
    <cellStyle name="Millares 3 29" xfId="2081" xr:uid="{00000000-0005-0000-0000-000021080000}"/>
    <cellStyle name="Millares 3 3" xfId="2082" xr:uid="{00000000-0005-0000-0000-000022080000}"/>
    <cellStyle name="Millares 3 30" xfId="2083" xr:uid="{00000000-0005-0000-0000-000023080000}"/>
    <cellStyle name="Millares 3 31" xfId="1842" xr:uid="{00000000-0005-0000-0000-000032070000}"/>
    <cellStyle name="Millares 3 4" xfId="2084" xr:uid="{00000000-0005-0000-0000-000024080000}"/>
    <cellStyle name="Millares 3 5" xfId="2085" xr:uid="{00000000-0005-0000-0000-000025080000}"/>
    <cellStyle name="Millares 3 6" xfId="2086" xr:uid="{00000000-0005-0000-0000-000026080000}"/>
    <cellStyle name="Millares 3 7" xfId="2087" xr:uid="{00000000-0005-0000-0000-000027080000}"/>
    <cellStyle name="Millares 3 8" xfId="2088" xr:uid="{00000000-0005-0000-0000-000028080000}"/>
    <cellStyle name="Millares 3 9" xfId="2089" xr:uid="{00000000-0005-0000-0000-000029080000}"/>
    <cellStyle name="Millares 30" xfId="2090" xr:uid="{00000000-0005-0000-0000-00002A080000}"/>
    <cellStyle name="Millares 30 10" xfId="2091" xr:uid="{00000000-0005-0000-0000-00002B080000}"/>
    <cellStyle name="Millares 30 11" xfId="2092" xr:uid="{00000000-0005-0000-0000-00002C080000}"/>
    <cellStyle name="Millares 30 12" xfId="2093" xr:uid="{00000000-0005-0000-0000-00002D080000}"/>
    <cellStyle name="Millares 30 13" xfId="2094" xr:uid="{00000000-0005-0000-0000-00002E080000}"/>
    <cellStyle name="Millares 30 14" xfId="2095" xr:uid="{00000000-0005-0000-0000-00002F080000}"/>
    <cellStyle name="Millares 30 15" xfId="2096" xr:uid="{00000000-0005-0000-0000-000030080000}"/>
    <cellStyle name="Millares 30 16" xfId="2097" xr:uid="{00000000-0005-0000-0000-000031080000}"/>
    <cellStyle name="Millares 30 17" xfId="2098" xr:uid="{00000000-0005-0000-0000-000032080000}"/>
    <cellStyle name="Millares 30 18" xfId="2099" xr:uid="{00000000-0005-0000-0000-000033080000}"/>
    <cellStyle name="Millares 30 19" xfId="2100" xr:uid="{00000000-0005-0000-0000-000034080000}"/>
    <cellStyle name="Millares 30 2" xfId="2101" xr:uid="{00000000-0005-0000-0000-000035080000}"/>
    <cellStyle name="Millares 30 2 2" xfId="2102" xr:uid="{00000000-0005-0000-0000-000036080000}"/>
    <cellStyle name="Millares 30 2 3" xfId="2103" xr:uid="{00000000-0005-0000-0000-000037080000}"/>
    <cellStyle name="Millares 30 20" xfId="2104" xr:uid="{00000000-0005-0000-0000-000038080000}"/>
    <cellStyle name="Millares 30 21" xfId="2105" xr:uid="{00000000-0005-0000-0000-000039080000}"/>
    <cellStyle name="Millares 30 22" xfId="2106" xr:uid="{00000000-0005-0000-0000-00003A080000}"/>
    <cellStyle name="Millares 30 23" xfId="2107" xr:uid="{00000000-0005-0000-0000-00003B080000}"/>
    <cellStyle name="Millares 30 24" xfId="2108" xr:uid="{00000000-0005-0000-0000-00003C080000}"/>
    <cellStyle name="Millares 30 25" xfId="2109" xr:uid="{00000000-0005-0000-0000-00003D080000}"/>
    <cellStyle name="Millares 30 3" xfId="2110" xr:uid="{00000000-0005-0000-0000-00003E080000}"/>
    <cellStyle name="Millares 30 3 2" xfId="2111" xr:uid="{00000000-0005-0000-0000-00003F080000}"/>
    <cellStyle name="Millares 30 3 3" xfId="2112" xr:uid="{00000000-0005-0000-0000-000040080000}"/>
    <cellStyle name="Millares 30 4" xfId="2113" xr:uid="{00000000-0005-0000-0000-000041080000}"/>
    <cellStyle name="Millares 30 5" xfId="2114" xr:uid="{00000000-0005-0000-0000-000042080000}"/>
    <cellStyle name="Millares 30 6" xfId="2115" xr:uid="{00000000-0005-0000-0000-000043080000}"/>
    <cellStyle name="Millares 30 7" xfId="2116" xr:uid="{00000000-0005-0000-0000-000044080000}"/>
    <cellStyle name="Millares 30 8" xfId="2117" xr:uid="{00000000-0005-0000-0000-000045080000}"/>
    <cellStyle name="Millares 30 9" xfId="2118" xr:uid="{00000000-0005-0000-0000-000046080000}"/>
    <cellStyle name="Millares 4" xfId="2119" xr:uid="{00000000-0005-0000-0000-000047080000}"/>
    <cellStyle name="Millares 4 2" xfId="2120" xr:uid="{00000000-0005-0000-0000-000048080000}"/>
    <cellStyle name="Millares 4 3" xfId="2121" xr:uid="{00000000-0005-0000-0000-000049080000}"/>
    <cellStyle name="Millares 5" xfId="2122" xr:uid="{00000000-0005-0000-0000-00004A080000}"/>
    <cellStyle name="Millares 5 10" xfId="2123" xr:uid="{00000000-0005-0000-0000-00004B080000}"/>
    <cellStyle name="Millares 5 11" xfId="2124" xr:uid="{00000000-0005-0000-0000-00004C080000}"/>
    <cellStyle name="Millares 5 12" xfId="2125" xr:uid="{00000000-0005-0000-0000-00004D080000}"/>
    <cellStyle name="Millares 5 13" xfId="2126" xr:uid="{00000000-0005-0000-0000-00004E080000}"/>
    <cellStyle name="Millares 5 14" xfId="2127" xr:uid="{00000000-0005-0000-0000-00004F080000}"/>
    <cellStyle name="Millares 5 15" xfId="2128" xr:uid="{00000000-0005-0000-0000-000050080000}"/>
    <cellStyle name="Millares 5 16" xfId="2129" xr:uid="{00000000-0005-0000-0000-000051080000}"/>
    <cellStyle name="Millares 5 17" xfId="2130" xr:uid="{00000000-0005-0000-0000-000052080000}"/>
    <cellStyle name="Millares 5 18" xfId="2131" xr:uid="{00000000-0005-0000-0000-000053080000}"/>
    <cellStyle name="Millares 5 19" xfId="2132" xr:uid="{00000000-0005-0000-0000-000054080000}"/>
    <cellStyle name="Millares 5 2" xfId="2133" xr:uid="{00000000-0005-0000-0000-000055080000}"/>
    <cellStyle name="Millares 5 2 2" xfId="2134" xr:uid="{00000000-0005-0000-0000-000056080000}"/>
    <cellStyle name="Millares 5 20" xfId="2135" xr:uid="{00000000-0005-0000-0000-000057080000}"/>
    <cellStyle name="Millares 5 21" xfId="2136" xr:uid="{00000000-0005-0000-0000-000058080000}"/>
    <cellStyle name="Millares 5 22" xfId="2137" xr:uid="{00000000-0005-0000-0000-000059080000}"/>
    <cellStyle name="Millares 5 23" xfId="2138" xr:uid="{00000000-0005-0000-0000-00005A080000}"/>
    <cellStyle name="Millares 5 24" xfId="2139" xr:uid="{00000000-0005-0000-0000-00005B080000}"/>
    <cellStyle name="Millares 5 25" xfId="2140" xr:uid="{00000000-0005-0000-0000-00005C080000}"/>
    <cellStyle name="Millares 5 26" xfId="2141" xr:uid="{00000000-0005-0000-0000-00005D080000}"/>
    <cellStyle name="Millares 5 3" xfId="2142" xr:uid="{00000000-0005-0000-0000-00005E080000}"/>
    <cellStyle name="Millares 5 4" xfId="2143" xr:uid="{00000000-0005-0000-0000-00005F080000}"/>
    <cellStyle name="Millares 5 5" xfId="2144" xr:uid="{00000000-0005-0000-0000-000060080000}"/>
    <cellStyle name="Millares 5 6" xfId="2145" xr:uid="{00000000-0005-0000-0000-000061080000}"/>
    <cellStyle name="Millares 5 7" xfId="2146" xr:uid="{00000000-0005-0000-0000-000062080000}"/>
    <cellStyle name="Millares 5 8" xfId="2147" xr:uid="{00000000-0005-0000-0000-000063080000}"/>
    <cellStyle name="Millares 5 9" xfId="2148" xr:uid="{00000000-0005-0000-0000-000064080000}"/>
    <cellStyle name="Millares 6" xfId="2149" xr:uid="{00000000-0005-0000-0000-000065080000}"/>
    <cellStyle name="Millares 6 2" xfId="2150" xr:uid="{00000000-0005-0000-0000-000066080000}"/>
    <cellStyle name="Millares 7" xfId="2151" xr:uid="{00000000-0005-0000-0000-000067080000}"/>
    <cellStyle name="Millares 7 10" xfId="2152" xr:uid="{00000000-0005-0000-0000-000068080000}"/>
    <cellStyle name="Millares 7 11" xfId="2153" xr:uid="{00000000-0005-0000-0000-000069080000}"/>
    <cellStyle name="Millares 7 12" xfId="2154" xr:uid="{00000000-0005-0000-0000-00006A080000}"/>
    <cellStyle name="Millares 7 13" xfId="2155" xr:uid="{00000000-0005-0000-0000-00006B080000}"/>
    <cellStyle name="Millares 7 14" xfId="2156" xr:uid="{00000000-0005-0000-0000-00006C080000}"/>
    <cellStyle name="Millares 7 15" xfId="2157" xr:uid="{00000000-0005-0000-0000-00006D080000}"/>
    <cellStyle name="Millares 7 16" xfId="2158" xr:uid="{00000000-0005-0000-0000-00006E080000}"/>
    <cellStyle name="Millares 7 17" xfId="2159" xr:uid="{00000000-0005-0000-0000-00006F080000}"/>
    <cellStyle name="Millares 7 18" xfId="2160" xr:uid="{00000000-0005-0000-0000-000070080000}"/>
    <cellStyle name="Millares 7 19" xfId="2161" xr:uid="{00000000-0005-0000-0000-000071080000}"/>
    <cellStyle name="Millares 7 2" xfId="2162" xr:uid="{00000000-0005-0000-0000-000072080000}"/>
    <cellStyle name="Millares 7 20" xfId="2163" xr:uid="{00000000-0005-0000-0000-000073080000}"/>
    <cellStyle name="Millares 7 21" xfId="2164" xr:uid="{00000000-0005-0000-0000-000074080000}"/>
    <cellStyle name="Millares 7 22" xfId="2165" xr:uid="{00000000-0005-0000-0000-000075080000}"/>
    <cellStyle name="Millares 7 23" xfId="2166" xr:uid="{00000000-0005-0000-0000-000076080000}"/>
    <cellStyle name="Millares 7 24" xfId="2167" xr:uid="{00000000-0005-0000-0000-000077080000}"/>
    <cellStyle name="Millares 7 3" xfId="2168" xr:uid="{00000000-0005-0000-0000-000078080000}"/>
    <cellStyle name="Millares 7 4" xfId="2169" xr:uid="{00000000-0005-0000-0000-000079080000}"/>
    <cellStyle name="Millares 7 5" xfId="2170" xr:uid="{00000000-0005-0000-0000-00007A080000}"/>
    <cellStyle name="Millares 7 6" xfId="2171" xr:uid="{00000000-0005-0000-0000-00007B080000}"/>
    <cellStyle name="Millares 7 7" xfId="2172" xr:uid="{00000000-0005-0000-0000-00007C080000}"/>
    <cellStyle name="Millares 7 8" xfId="2173" xr:uid="{00000000-0005-0000-0000-00007D080000}"/>
    <cellStyle name="Millares 7 9" xfId="2174" xr:uid="{00000000-0005-0000-0000-00007E080000}"/>
    <cellStyle name="Millares 8" xfId="2175" xr:uid="{00000000-0005-0000-0000-00007F080000}"/>
    <cellStyle name="Millares 8 10" xfId="2176" xr:uid="{00000000-0005-0000-0000-000080080000}"/>
    <cellStyle name="Millares 8 11" xfId="2177" xr:uid="{00000000-0005-0000-0000-000081080000}"/>
    <cellStyle name="Millares 8 12" xfId="2178" xr:uid="{00000000-0005-0000-0000-000082080000}"/>
    <cellStyle name="Millares 8 13" xfId="2179" xr:uid="{00000000-0005-0000-0000-000083080000}"/>
    <cellStyle name="Millares 8 14" xfId="2180" xr:uid="{00000000-0005-0000-0000-000084080000}"/>
    <cellStyle name="Millares 8 15" xfId="2181" xr:uid="{00000000-0005-0000-0000-000085080000}"/>
    <cellStyle name="Millares 8 16" xfId="2182" xr:uid="{00000000-0005-0000-0000-000086080000}"/>
    <cellStyle name="Millares 8 17" xfId="2183" xr:uid="{00000000-0005-0000-0000-000087080000}"/>
    <cellStyle name="Millares 8 18" xfId="2184" xr:uid="{00000000-0005-0000-0000-000088080000}"/>
    <cellStyle name="Millares 8 19" xfId="2185" xr:uid="{00000000-0005-0000-0000-000089080000}"/>
    <cellStyle name="Millares 8 2" xfId="2186" xr:uid="{00000000-0005-0000-0000-00008A080000}"/>
    <cellStyle name="Millares 8 20" xfId="2187" xr:uid="{00000000-0005-0000-0000-00008B080000}"/>
    <cellStyle name="Millares 8 21" xfId="2188" xr:uid="{00000000-0005-0000-0000-00008C080000}"/>
    <cellStyle name="Millares 8 22" xfId="2189" xr:uid="{00000000-0005-0000-0000-00008D080000}"/>
    <cellStyle name="Millares 8 23" xfId="2190" xr:uid="{00000000-0005-0000-0000-00008E080000}"/>
    <cellStyle name="Millares 8 24" xfId="2191" xr:uid="{00000000-0005-0000-0000-00008F080000}"/>
    <cellStyle name="Millares 8 3" xfId="2192" xr:uid="{00000000-0005-0000-0000-000090080000}"/>
    <cellStyle name="Millares 8 4" xfId="2193" xr:uid="{00000000-0005-0000-0000-000091080000}"/>
    <cellStyle name="Millares 8 5" xfId="2194" xr:uid="{00000000-0005-0000-0000-000092080000}"/>
    <cellStyle name="Millares 8 6" xfId="2195" xr:uid="{00000000-0005-0000-0000-000093080000}"/>
    <cellStyle name="Millares 8 7" xfId="2196" xr:uid="{00000000-0005-0000-0000-000094080000}"/>
    <cellStyle name="Millares 8 8" xfId="2197" xr:uid="{00000000-0005-0000-0000-000095080000}"/>
    <cellStyle name="Millares 8 9" xfId="2198" xr:uid="{00000000-0005-0000-0000-000096080000}"/>
    <cellStyle name="Millares 9" xfId="2199" xr:uid="{00000000-0005-0000-0000-000097080000}"/>
    <cellStyle name="Moneda" xfId="39246" builtinId="4"/>
    <cellStyle name="Moneda 2" xfId="5" xr:uid="{00000000-0005-0000-0000-000005000000}"/>
    <cellStyle name="Moneda 2 10" xfId="30" xr:uid="{00000000-0005-0000-0000-00001E000000}"/>
    <cellStyle name="Moneda 2 10 2" xfId="74" xr:uid="{00000000-0005-0000-0000-00004A000000}"/>
    <cellStyle name="Moneda 2 2" xfId="2200" xr:uid="{00000000-0005-0000-0000-000098080000}"/>
    <cellStyle name="Moneda 2 2 2" xfId="46" xr:uid="{00000000-0005-0000-0000-00002E000000}"/>
    <cellStyle name="Moneda 2 2 2 2" xfId="2201" xr:uid="{00000000-0005-0000-0000-000099080000}"/>
    <cellStyle name="Moneda 2 2 3" xfId="2202" xr:uid="{00000000-0005-0000-0000-00009A080000}"/>
    <cellStyle name="Moneda 2 3" xfId="2203" xr:uid="{00000000-0005-0000-0000-00009B080000}"/>
    <cellStyle name="Moneda 2 3 2" xfId="2204" xr:uid="{00000000-0005-0000-0000-00009C080000}"/>
    <cellStyle name="Moneda 2 4" xfId="2205" xr:uid="{00000000-0005-0000-0000-00009D080000}"/>
    <cellStyle name="Moneda 2 4 2" xfId="2206" xr:uid="{00000000-0005-0000-0000-00009E080000}"/>
    <cellStyle name="Moneda 2 5" xfId="2207" xr:uid="{00000000-0005-0000-0000-00009F080000}"/>
    <cellStyle name="Moneda 2 5 2" xfId="2208" xr:uid="{00000000-0005-0000-0000-0000A0080000}"/>
    <cellStyle name="Moneda 2 6" xfId="2209" xr:uid="{00000000-0005-0000-0000-0000A1080000}"/>
    <cellStyle name="Moneda 2 6 2" xfId="2210" xr:uid="{00000000-0005-0000-0000-0000A2080000}"/>
    <cellStyle name="Moneda 2 7" xfId="2211" xr:uid="{00000000-0005-0000-0000-0000A3080000}"/>
    <cellStyle name="Moneda 2 7 2" xfId="2212" xr:uid="{00000000-0005-0000-0000-0000A4080000}"/>
    <cellStyle name="Moneda 2 8" xfId="2213" xr:uid="{00000000-0005-0000-0000-0000A5080000}"/>
    <cellStyle name="Moneda 2 8 2" xfId="2214" xr:uid="{00000000-0005-0000-0000-0000A6080000}"/>
    <cellStyle name="Moneda 2 9" xfId="2215" xr:uid="{00000000-0005-0000-0000-0000A7080000}"/>
    <cellStyle name="Moneda 26" xfId="2216" xr:uid="{00000000-0005-0000-0000-0000A8080000}"/>
    <cellStyle name="Moneda 26 2" xfId="2217" xr:uid="{00000000-0005-0000-0000-0000A9080000}"/>
    <cellStyle name="Moneda 26 2 2" xfId="2218" xr:uid="{00000000-0005-0000-0000-0000AA080000}"/>
    <cellStyle name="Moneda 26 2 3" xfId="2219" xr:uid="{00000000-0005-0000-0000-0000AB080000}"/>
    <cellStyle name="Moneda 26 3" xfId="2220" xr:uid="{00000000-0005-0000-0000-0000AC080000}"/>
    <cellStyle name="Moneda 26 3 2" xfId="2221" xr:uid="{00000000-0005-0000-0000-0000AD080000}"/>
    <cellStyle name="Moneda 26 3 3" xfId="2222" xr:uid="{00000000-0005-0000-0000-0000AE080000}"/>
    <cellStyle name="Moneda 26 4" xfId="2223" xr:uid="{00000000-0005-0000-0000-0000AF080000}"/>
    <cellStyle name="Moneda 3" xfId="47" xr:uid="{00000000-0005-0000-0000-00002F000000}"/>
    <cellStyle name="Moneda 3 2" xfId="2225" xr:uid="{00000000-0005-0000-0000-0000B1080000}"/>
    <cellStyle name="Moneda 3 3" xfId="2226" xr:uid="{00000000-0005-0000-0000-0000B2080000}"/>
    <cellStyle name="Moneda 3 4" xfId="2227" xr:uid="{00000000-0005-0000-0000-0000B3080000}"/>
    <cellStyle name="Moneda 3 5" xfId="2228" xr:uid="{00000000-0005-0000-0000-0000B4080000}"/>
    <cellStyle name="Moneda 3 6" xfId="2229" xr:uid="{00000000-0005-0000-0000-0000B5080000}"/>
    <cellStyle name="Moneda 3 7" xfId="79" xr:uid="{00000000-0005-0000-0000-00004F000000}"/>
    <cellStyle name="Moneda 3 7 2" xfId="2230" xr:uid="{00000000-0005-0000-0000-0000B6080000}"/>
    <cellStyle name="Moneda 3 8" xfId="2231" xr:uid="{00000000-0005-0000-0000-0000B7080000}"/>
    <cellStyle name="Moneda 3 9" xfId="2224" xr:uid="{00000000-0005-0000-0000-0000B0080000}"/>
    <cellStyle name="Moneda 4" xfId="31" xr:uid="{00000000-0005-0000-0000-00001F000000}"/>
    <cellStyle name="Moneda 4 2" xfId="48" xr:uid="{00000000-0005-0000-0000-000030000000}"/>
    <cellStyle name="Moneda 4 3" xfId="75" xr:uid="{00000000-0005-0000-0000-00004B000000}"/>
    <cellStyle name="Moneda 4 4" xfId="2232" xr:uid="{00000000-0005-0000-0000-0000B8080000}"/>
    <cellStyle name="Moneda 5" xfId="73" xr:uid="{00000000-0005-0000-0000-000049000000}"/>
    <cellStyle name="Moneda 6" xfId="77" xr:uid="{00000000-0005-0000-0000-00004D000000}"/>
    <cellStyle name="Neutral 2" xfId="2233" xr:uid="{00000000-0005-0000-0000-0000B9080000}"/>
    <cellStyle name="Neutral 3" xfId="2234" xr:uid="{00000000-0005-0000-0000-0000BA080000}"/>
    <cellStyle name="Neutral 4" xfId="2235" xr:uid="{00000000-0005-0000-0000-0000BB080000}"/>
    <cellStyle name="Normal" xfId="0" builtinId="0"/>
    <cellStyle name="Normal 10" xfId="32" xr:uid="{00000000-0005-0000-0000-000020000000}"/>
    <cellStyle name="Normal 10 10" xfId="2237" xr:uid="{00000000-0005-0000-0000-0000BD080000}"/>
    <cellStyle name="Normal 10 11" xfId="2238" xr:uid="{00000000-0005-0000-0000-0000BE080000}"/>
    <cellStyle name="Normal 10 12" xfId="2239" xr:uid="{00000000-0005-0000-0000-0000BF080000}"/>
    <cellStyle name="Normal 10 13" xfId="2240" xr:uid="{00000000-0005-0000-0000-0000C0080000}"/>
    <cellStyle name="Normal 10 14" xfId="2241" xr:uid="{00000000-0005-0000-0000-0000C1080000}"/>
    <cellStyle name="Normal 10 15" xfId="2242" xr:uid="{00000000-0005-0000-0000-0000C2080000}"/>
    <cellStyle name="Normal 10 16" xfId="2243" xr:uid="{00000000-0005-0000-0000-0000C3080000}"/>
    <cellStyle name="Normal 10 17" xfId="2244" xr:uid="{00000000-0005-0000-0000-0000C4080000}"/>
    <cellStyle name="Normal 10 18" xfId="2245" xr:uid="{00000000-0005-0000-0000-0000C5080000}"/>
    <cellStyle name="Normal 10 19" xfId="2246" xr:uid="{00000000-0005-0000-0000-0000C6080000}"/>
    <cellStyle name="Normal 10 2" xfId="2247" xr:uid="{00000000-0005-0000-0000-0000C7080000}"/>
    <cellStyle name="Normal 10 2 10" xfId="10" xr:uid="{00000000-0005-0000-0000-00000A000000}"/>
    <cellStyle name="Normal 10 2 10 10" xfId="2249" xr:uid="{00000000-0005-0000-0000-0000C9080000}"/>
    <cellStyle name="Normal 10 2 10 10 10" xfId="2250" xr:uid="{00000000-0005-0000-0000-0000CA080000}"/>
    <cellStyle name="Normal 10 2 10 10 11" xfId="2251" xr:uid="{00000000-0005-0000-0000-0000CB080000}"/>
    <cellStyle name="Normal 10 2 10 10 12" xfId="2252" xr:uid="{00000000-0005-0000-0000-0000CC080000}"/>
    <cellStyle name="Normal 10 2 10 10 13" xfId="2253" xr:uid="{00000000-0005-0000-0000-0000CD080000}"/>
    <cellStyle name="Normal 10 2 10 10 14" xfId="2254" xr:uid="{00000000-0005-0000-0000-0000CE080000}"/>
    <cellStyle name="Normal 10 2 10 10 2" xfId="2255" xr:uid="{00000000-0005-0000-0000-0000CF080000}"/>
    <cellStyle name="Normal 10 2 10 10 2 10" xfId="2256" xr:uid="{00000000-0005-0000-0000-0000D0080000}"/>
    <cellStyle name="Normal 10 2 10 10 2 2" xfId="2257" xr:uid="{00000000-0005-0000-0000-0000D1080000}"/>
    <cellStyle name="Normal 10 2 10 10 2 3" xfId="2258" xr:uid="{00000000-0005-0000-0000-0000D2080000}"/>
    <cellStyle name="Normal 10 2 10 10 2 4" xfId="2259" xr:uid="{00000000-0005-0000-0000-0000D3080000}"/>
    <cellStyle name="Normal 10 2 10 10 2 5" xfId="2260" xr:uid="{00000000-0005-0000-0000-0000D4080000}"/>
    <cellStyle name="Normal 10 2 10 10 2 6" xfId="2261" xr:uid="{00000000-0005-0000-0000-0000D5080000}"/>
    <cellStyle name="Normal 10 2 10 10 2 7" xfId="2262" xr:uid="{00000000-0005-0000-0000-0000D6080000}"/>
    <cellStyle name="Normal 10 2 10 10 2 8" xfId="2263" xr:uid="{00000000-0005-0000-0000-0000D7080000}"/>
    <cellStyle name="Normal 10 2 10 10 2 9" xfId="2264" xr:uid="{00000000-0005-0000-0000-0000D8080000}"/>
    <cellStyle name="Normal 10 2 10 10 3" xfId="2265" xr:uid="{00000000-0005-0000-0000-0000D9080000}"/>
    <cellStyle name="Normal 10 2 10 10 3 10" xfId="2266" xr:uid="{00000000-0005-0000-0000-0000DA080000}"/>
    <cellStyle name="Normal 10 2 10 10 3 2" xfId="2267" xr:uid="{00000000-0005-0000-0000-0000DB080000}"/>
    <cellStyle name="Normal 10 2 10 10 3 3" xfId="2268" xr:uid="{00000000-0005-0000-0000-0000DC080000}"/>
    <cellStyle name="Normal 10 2 10 10 3 4" xfId="2269" xr:uid="{00000000-0005-0000-0000-0000DD080000}"/>
    <cellStyle name="Normal 10 2 10 10 3 5" xfId="2270" xr:uid="{00000000-0005-0000-0000-0000DE080000}"/>
    <cellStyle name="Normal 10 2 10 10 3 6" xfId="2271" xr:uid="{00000000-0005-0000-0000-0000DF080000}"/>
    <cellStyle name="Normal 10 2 10 10 3 7" xfId="2272" xr:uid="{00000000-0005-0000-0000-0000E0080000}"/>
    <cellStyle name="Normal 10 2 10 10 3 8" xfId="2273" xr:uid="{00000000-0005-0000-0000-0000E1080000}"/>
    <cellStyle name="Normal 10 2 10 10 3 9" xfId="2274" xr:uid="{00000000-0005-0000-0000-0000E2080000}"/>
    <cellStyle name="Normal 10 2 10 10 4" xfId="2275" xr:uid="{00000000-0005-0000-0000-0000E3080000}"/>
    <cellStyle name="Normal 10 2 10 10 4 10" xfId="2276" xr:uid="{00000000-0005-0000-0000-0000E4080000}"/>
    <cellStyle name="Normal 10 2 10 10 4 2" xfId="2277" xr:uid="{00000000-0005-0000-0000-0000E5080000}"/>
    <cellStyle name="Normal 10 2 10 10 4 3" xfId="2278" xr:uid="{00000000-0005-0000-0000-0000E6080000}"/>
    <cellStyle name="Normal 10 2 10 10 4 4" xfId="2279" xr:uid="{00000000-0005-0000-0000-0000E7080000}"/>
    <cellStyle name="Normal 10 2 10 10 4 5" xfId="2280" xr:uid="{00000000-0005-0000-0000-0000E8080000}"/>
    <cellStyle name="Normal 10 2 10 10 4 6" xfId="2281" xr:uid="{00000000-0005-0000-0000-0000E9080000}"/>
    <cellStyle name="Normal 10 2 10 10 4 7" xfId="2282" xr:uid="{00000000-0005-0000-0000-0000EA080000}"/>
    <cellStyle name="Normal 10 2 10 10 4 8" xfId="2283" xr:uid="{00000000-0005-0000-0000-0000EB080000}"/>
    <cellStyle name="Normal 10 2 10 10 4 9" xfId="2284" xr:uid="{00000000-0005-0000-0000-0000EC080000}"/>
    <cellStyle name="Normal 10 2 10 10 5" xfId="2285" xr:uid="{00000000-0005-0000-0000-0000ED080000}"/>
    <cellStyle name="Normal 10 2 10 10 5 10" xfId="2286" xr:uid="{00000000-0005-0000-0000-0000EE080000}"/>
    <cellStyle name="Normal 10 2 10 10 5 2" xfId="2287" xr:uid="{00000000-0005-0000-0000-0000EF080000}"/>
    <cellStyle name="Normal 10 2 10 10 5 3" xfId="2288" xr:uid="{00000000-0005-0000-0000-0000F0080000}"/>
    <cellStyle name="Normal 10 2 10 10 5 4" xfId="2289" xr:uid="{00000000-0005-0000-0000-0000F1080000}"/>
    <cellStyle name="Normal 10 2 10 10 5 5" xfId="2290" xr:uid="{00000000-0005-0000-0000-0000F2080000}"/>
    <cellStyle name="Normal 10 2 10 10 5 6" xfId="2291" xr:uid="{00000000-0005-0000-0000-0000F3080000}"/>
    <cellStyle name="Normal 10 2 10 10 5 7" xfId="2292" xr:uid="{00000000-0005-0000-0000-0000F4080000}"/>
    <cellStyle name="Normal 10 2 10 10 5 8" xfId="2293" xr:uid="{00000000-0005-0000-0000-0000F5080000}"/>
    <cellStyle name="Normal 10 2 10 10 5 9" xfId="2294" xr:uid="{00000000-0005-0000-0000-0000F6080000}"/>
    <cellStyle name="Normal 10 2 10 10 6" xfId="2295" xr:uid="{00000000-0005-0000-0000-0000F7080000}"/>
    <cellStyle name="Normal 10 2 10 10 7" xfId="2296" xr:uid="{00000000-0005-0000-0000-0000F8080000}"/>
    <cellStyle name="Normal 10 2 10 10 8" xfId="2297" xr:uid="{00000000-0005-0000-0000-0000F9080000}"/>
    <cellStyle name="Normal 10 2 10 10 9" xfId="2298" xr:uid="{00000000-0005-0000-0000-0000FA080000}"/>
    <cellStyle name="Normal 10 2 10 11" xfId="2299" xr:uid="{00000000-0005-0000-0000-0000FB080000}"/>
    <cellStyle name="Normal 10 2 10 11 10" xfId="2300" xr:uid="{00000000-0005-0000-0000-0000FC080000}"/>
    <cellStyle name="Normal 10 2 10 11 11" xfId="2301" xr:uid="{00000000-0005-0000-0000-0000FD080000}"/>
    <cellStyle name="Normal 10 2 10 11 12" xfId="2302" xr:uid="{00000000-0005-0000-0000-0000FE080000}"/>
    <cellStyle name="Normal 10 2 10 11 13" xfId="2303" xr:uid="{00000000-0005-0000-0000-0000FF080000}"/>
    <cellStyle name="Normal 10 2 10 11 14" xfId="2304" xr:uid="{00000000-0005-0000-0000-000000090000}"/>
    <cellStyle name="Normal 10 2 10 11 2" xfId="2305" xr:uid="{00000000-0005-0000-0000-000001090000}"/>
    <cellStyle name="Normal 10 2 10 11 2 10" xfId="2306" xr:uid="{00000000-0005-0000-0000-000002090000}"/>
    <cellStyle name="Normal 10 2 10 11 2 2" xfId="2307" xr:uid="{00000000-0005-0000-0000-000003090000}"/>
    <cellStyle name="Normal 10 2 10 11 2 3" xfId="2308" xr:uid="{00000000-0005-0000-0000-000004090000}"/>
    <cellStyle name="Normal 10 2 10 11 2 4" xfId="2309" xr:uid="{00000000-0005-0000-0000-000005090000}"/>
    <cellStyle name="Normal 10 2 10 11 2 5" xfId="2310" xr:uid="{00000000-0005-0000-0000-000006090000}"/>
    <cellStyle name="Normal 10 2 10 11 2 6" xfId="2311" xr:uid="{00000000-0005-0000-0000-000007090000}"/>
    <cellStyle name="Normal 10 2 10 11 2 7" xfId="2312" xr:uid="{00000000-0005-0000-0000-000008090000}"/>
    <cellStyle name="Normal 10 2 10 11 2 8" xfId="2313" xr:uid="{00000000-0005-0000-0000-000009090000}"/>
    <cellStyle name="Normal 10 2 10 11 2 9" xfId="2314" xr:uid="{00000000-0005-0000-0000-00000A090000}"/>
    <cellStyle name="Normal 10 2 10 11 3" xfId="2315" xr:uid="{00000000-0005-0000-0000-00000B090000}"/>
    <cellStyle name="Normal 10 2 10 11 3 10" xfId="2316" xr:uid="{00000000-0005-0000-0000-00000C090000}"/>
    <cellStyle name="Normal 10 2 10 11 3 2" xfId="2317" xr:uid="{00000000-0005-0000-0000-00000D090000}"/>
    <cellStyle name="Normal 10 2 10 11 3 3" xfId="2318" xr:uid="{00000000-0005-0000-0000-00000E090000}"/>
    <cellStyle name="Normal 10 2 10 11 3 4" xfId="2319" xr:uid="{00000000-0005-0000-0000-00000F090000}"/>
    <cellStyle name="Normal 10 2 10 11 3 5" xfId="2320" xr:uid="{00000000-0005-0000-0000-000010090000}"/>
    <cellStyle name="Normal 10 2 10 11 3 6" xfId="2321" xr:uid="{00000000-0005-0000-0000-000011090000}"/>
    <cellStyle name="Normal 10 2 10 11 3 7" xfId="2322" xr:uid="{00000000-0005-0000-0000-000012090000}"/>
    <cellStyle name="Normal 10 2 10 11 3 8" xfId="2323" xr:uid="{00000000-0005-0000-0000-000013090000}"/>
    <cellStyle name="Normal 10 2 10 11 3 9" xfId="2324" xr:uid="{00000000-0005-0000-0000-000014090000}"/>
    <cellStyle name="Normal 10 2 10 11 4" xfId="2325" xr:uid="{00000000-0005-0000-0000-000015090000}"/>
    <cellStyle name="Normal 10 2 10 11 4 10" xfId="2326" xr:uid="{00000000-0005-0000-0000-000016090000}"/>
    <cellStyle name="Normal 10 2 10 11 4 2" xfId="2327" xr:uid="{00000000-0005-0000-0000-000017090000}"/>
    <cellStyle name="Normal 10 2 10 11 4 3" xfId="2328" xr:uid="{00000000-0005-0000-0000-000018090000}"/>
    <cellStyle name="Normal 10 2 10 11 4 4" xfId="2329" xr:uid="{00000000-0005-0000-0000-000019090000}"/>
    <cellStyle name="Normal 10 2 10 11 4 5" xfId="2330" xr:uid="{00000000-0005-0000-0000-00001A090000}"/>
    <cellStyle name="Normal 10 2 10 11 4 6" xfId="2331" xr:uid="{00000000-0005-0000-0000-00001B090000}"/>
    <cellStyle name="Normal 10 2 10 11 4 7" xfId="2332" xr:uid="{00000000-0005-0000-0000-00001C090000}"/>
    <cellStyle name="Normal 10 2 10 11 4 8" xfId="2333" xr:uid="{00000000-0005-0000-0000-00001D090000}"/>
    <cellStyle name="Normal 10 2 10 11 4 9" xfId="2334" xr:uid="{00000000-0005-0000-0000-00001E090000}"/>
    <cellStyle name="Normal 10 2 10 11 5" xfId="2335" xr:uid="{00000000-0005-0000-0000-00001F090000}"/>
    <cellStyle name="Normal 10 2 10 11 5 10" xfId="2336" xr:uid="{00000000-0005-0000-0000-000020090000}"/>
    <cellStyle name="Normal 10 2 10 11 5 2" xfId="2337" xr:uid="{00000000-0005-0000-0000-000021090000}"/>
    <cellStyle name="Normal 10 2 10 11 5 3" xfId="2338" xr:uid="{00000000-0005-0000-0000-000022090000}"/>
    <cellStyle name="Normal 10 2 10 11 5 4" xfId="2339" xr:uid="{00000000-0005-0000-0000-000023090000}"/>
    <cellStyle name="Normal 10 2 10 11 5 5" xfId="2340" xr:uid="{00000000-0005-0000-0000-000024090000}"/>
    <cellStyle name="Normal 10 2 10 11 5 6" xfId="2341" xr:uid="{00000000-0005-0000-0000-000025090000}"/>
    <cellStyle name="Normal 10 2 10 11 5 7" xfId="2342" xr:uid="{00000000-0005-0000-0000-000026090000}"/>
    <cellStyle name="Normal 10 2 10 11 5 8" xfId="2343" xr:uid="{00000000-0005-0000-0000-000027090000}"/>
    <cellStyle name="Normal 10 2 10 11 5 9" xfId="2344" xr:uid="{00000000-0005-0000-0000-000028090000}"/>
    <cellStyle name="Normal 10 2 10 11 6" xfId="2345" xr:uid="{00000000-0005-0000-0000-000029090000}"/>
    <cellStyle name="Normal 10 2 10 11 7" xfId="2346" xr:uid="{00000000-0005-0000-0000-00002A090000}"/>
    <cellStyle name="Normal 10 2 10 11 8" xfId="2347" xr:uid="{00000000-0005-0000-0000-00002B090000}"/>
    <cellStyle name="Normal 10 2 10 11 9" xfId="2348" xr:uid="{00000000-0005-0000-0000-00002C090000}"/>
    <cellStyle name="Normal 10 2 10 12" xfId="2349" xr:uid="{00000000-0005-0000-0000-00002D090000}"/>
    <cellStyle name="Normal 10 2 10 12 10" xfId="2350" xr:uid="{00000000-0005-0000-0000-00002E090000}"/>
    <cellStyle name="Normal 10 2 10 12 11" xfId="2351" xr:uid="{00000000-0005-0000-0000-00002F090000}"/>
    <cellStyle name="Normal 10 2 10 12 12" xfId="2352" xr:uid="{00000000-0005-0000-0000-000030090000}"/>
    <cellStyle name="Normal 10 2 10 12 13" xfId="2353" xr:uid="{00000000-0005-0000-0000-000031090000}"/>
    <cellStyle name="Normal 10 2 10 12 14" xfId="2354" xr:uid="{00000000-0005-0000-0000-000032090000}"/>
    <cellStyle name="Normal 10 2 10 12 2" xfId="2355" xr:uid="{00000000-0005-0000-0000-000033090000}"/>
    <cellStyle name="Normal 10 2 10 12 2 10" xfId="2356" xr:uid="{00000000-0005-0000-0000-000034090000}"/>
    <cellStyle name="Normal 10 2 10 12 2 2" xfId="2357" xr:uid="{00000000-0005-0000-0000-000035090000}"/>
    <cellStyle name="Normal 10 2 10 12 2 3" xfId="2358" xr:uid="{00000000-0005-0000-0000-000036090000}"/>
    <cellStyle name="Normal 10 2 10 12 2 4" xfId="2359" xr:uid="{00000000-0005-0000-0000-000037090000}"/>
    <cellStyle name="Normal 10 2 10 12 2 5" xfId="2360" xr:uid="{00000000-0005-0000-0000-000038090000}"/>
    <cellStyle name="Normal 10 2 10 12 2 6" xfId="2361" xr:uid="{00000000-0005-0000-0000-000039090000}"/>
    <cellStyle name="Normal 10 2 10 12 2 7" xfId="2362" xr:uid="{00000000-0005-0000-0000-00003A090000}"/>
    <cellStyle name="Normal 10 2 10 12 2 8" xfId="2363" xr:uid="{00000000-0005-0000-0000-00003B090000}"/>
    <cellStyle name="Normal 10 2 10 12 2 9" xfId="2364" xr:uid="{00000000-0005-0000-0000-00003C090000}"/>
    <cellStyle name="Normal 10 2 10 12 3" xfId="2365" xr:uid="{00000000-0005-0000-0000-00003D090000}"/>
    <cellStyle name="Normal 10 2 10 12 3 10" xfId="2366" xr:uid="{00000000-0005-0000-0000-00003E090000}"/>
    <cellStyle name="Normal 10 2 10 12 3 2" xfId="2367" xr:uid="{00000000-0005-0000-0000-00003F090000}"/>
    <cellStyle name="Normal 10 2 10 12 3 3" xfId="2368" xr:uid="{00000000-0005-0000-0000-000040090000}"/>
    <cellStyle name="Normal 10 2 10 12 3 4" xfId="2369" xr:uid="{00000000-0005-0000-0000-000041090000}"/>
    <cellStyle name="Normal 10 2 10 12 3 5" xfId="2370" xr:uid="{00000000-0005-0000-0000-000042090000}"/>
    <cellStyle name="Normal 10 2 10 12 3 6" xfId="2371" xr:uid="{00000000-0005-0000-0000-000043090000}"/>
    <cellStyle name="Normal 10 2 10 12 3 7" xfId="2372" xr:uid="{00000000-0005-0000-0000-000044090000}"/>
    <cellStyle name="Normal 10 2 10 12 3 8" xfId="2373" xr:uid="{00000000-0005-0000-0000-000045090000}"/>
    <cellStyle name="Normal 10 2 10 12 3 9" xfId="2374" xr:uid="{00000000-0005-0000-0000-000046090000}"/>
    <cellStyle name="Normal 10 2 10 12 4" xfId="2375" xr:uid="{00000000-0005-0000-0000-000047090000}"/>
    <cellStyle name="Normal 10 2 10 12 4 10" xfId="2376" xr:uid="{00000000-0005-0000-0000-000048090000}"/>
    <cellStyle name="Normal 10 2 10 12 4 2" xfId="2377" xr:uid="{00000000-0005-0000-0000-000049090000}"/>
    <cellStyle name="Normal 10 2 10 12 4 3" xfId="2378" xr:uid="{00000000-0005-0000-0000-00004A090000}"/>
    <cellStyle name="Normal 10 2 10 12 4 4" xfId="2379" xr:uid="{00000000-0005-0000-0000-00004B090000}"/>
    <cellStyle name="Normal 10 2 10 12 4 5" xfId="2380" xr:uid="{00000000-0005-0000-0000-00004C090000}"/>
    <cellStyle name="Normal 10 2 10 12 4 6" xfId="2381" xr:uid="{00000000-0005-0000-0000-00004D090000}"/>
    <cellStyle name="Normal 10 2 10 12 4 7" xfId="2382" xr:uid="{00000000-0005-0000-0000-00004E090000}"/>
    <cellStyle name="Normal 10 2 10 12 4 8" xfId="2383" xr:uid="{00000000-0005-0000-0000-00004F090000}"/>
    <cellStyle name="Normal 10 2 10 12 4 9" xfId="2384" xr:uid="{00000000-0005-0000-0000-000050090000}"/>
    <cellStyle name="Normal 10 2 10 12 5" xfId="2385" xr:uid="{00000000-0005-0000-0000-000051090000}"/>
    <cellStyle name="Normal 10 2 10 12 5 10" xfId="2386" xr:uid="{00000000-0005-0000-0000-000052090000}"/>
    <cellStyle name="Normal 10 2 10 12 5 2" xfId="2387" xr:uid="{00000000-0005-0000-0000-000053090000}"/>
    <cellStyle name="Normal 10 2 10 12 5 3" xfId="2388" xr:uid="{00000000-0005-0000-0000-000054090000}"/>
    <cellStyle name="Normal 10 2 10 12 5 4" xfId="2389" xr:uid="{00000000-0005-0000-0000-000055090000}"/>
    <cellStyle name="Normal 10 2 10 12 5 5" xfId="2390" xr:uid="{00000000-0005-0000-0000-000056090000}"/>
    <cellStyle name="Normal 10 2 10 12 5 6" xfId="2391" xr:uid="{00000000-0005-0000-0000-000057090000}"/>
    <cellStyle name="Normal 10 2 10 12 5 7" xfId="2392" xr:uid="{00000000-0005-0000-0000-000058090000}"/>
    <cellStyle name="Normal 10 2 10 12 5 8" xfId="2393" xr:uid="{00000000-0005-0000-0000-000059090000}"/>
    <cellStyle name="Normal 10 2 10 12 5 9" xfId="2394" xr:uid="{00000000-0005-0000-0000-00005A090000}"/>
    <cellStyle name="Normal 10 2 10 12 6" xfId="2395" xr:uid="{00000000-0005-0000-0000-00005B090000}"/>
    <cellStyle name="Normal 10 2 10 12 7" xfId="2396" xr:uid="{00000000-0005-0000-0000-00005C090000}"/>
    <cellStyle name="Normal 10 2 10 12 8" xfId="2397" xr:uid="{00000000-0005-0000-0000-00005D090000}"/>
    <cellStyle name="Normal 10 2 10 12 9" xfId="2398" xr:uid="{00000000-0005-0000-0000-00005E090000}"/>
    <cellStyle name="Normal 10 2 10 13" xfId="2399" xr:uid="{00000000-0005-0000-0000-00005F090000}"/>
    <cellStyle name="Normal 10 2 10 13 10" xfId="2400" xr:uid="{00000000-0005-0000-0000-000060090000}"/>
    <cellStyle name="Normal 10 2 10 13 11" xfId="2401" xr:uid="{00000000-0005-0000-0000-000061090000}"/>
    <cellStyle name="Normal 10 2 10 13 12" xfId="2402" xr:uid="{00000000-0005-0000-0000-000062090000}"/>
    <cellStyle name="Normal 10 2 10 13 13" xfId="2403" xr:uid="{00000000-0005-0000-0000-000063090000}"/>
    <cellStyle name="Normal 10 2 10 13 14" xfId="2404" xr:uid="{00000000-0005-0000-0000-000064090000}"/>
    <cellStyle name="Normal 10 2 10 13 2" xfId="2405" xr:uid="{00000000-0005-0000-0000-000065090000}"/>
    <cellStyle name="Normal 10 2 10 13 2 10" xfId="2406" xr:uid="{00000000-0005-0000-0000-000066090000}"/>
    <cellStyle name="Normal 10 2 10 13 2 2" xfId="2407" xr:uid="{00000000-0005-0000-0000-000067090000}"/>
    <cellStyle name="Normal 10 2 10 13 2 3" xfId="2408" xr:uid="{00000000-0005-0000-0000-000068090000}"/>
    <cellStyle name="Normal 10 2 10 13 2 4" xfId="2409" xr:uid="{00000000-0005-0000-0000-000069090000}"/>
    <cellStyle name="Normal 10 2 10 13 2 5" xfId="2410" xr:uid="{00000000-0005-0000-0000-00006A090000}"/>
    <cellStyle name="Normal 10 2 10 13 2 6" xfId="2411" xr:uid="{00000000-0005-0000-0000-00006B090000}"/>
    <cellStyle name="Normal 10 2 10 13 2 7" xfId="2412" xr:uid="{00000000-0005-0000-0000-00006C090000}"/>
    <cellStyle name="Normal 10 2 10 13 2 8" xfId="2413" xr:uid="{00000000-0005-0000-0000-00006D090000}"/>
    <cellStyle name="Normal 10 2 10 13 2 9" xfId="2414" xr:uid="{00000000-0005-0000-0000-00006E090000}"/>
    <cellStyle name="Normal 10 2 10 13 3" xfId="2415" xr:uid="{00000000-0005-0000-0000-00006F090000}"/>
    <cellStyle name="Normal 10 2 10 13 3 10" xfId="2416" xr:uid="{00000000-0005-0000-0000-000070090000}"/>
    <cellStyle name="Normal 10 2 10 13 3 2" xfId="2417" xr:uid="{00000000-0005-0000-0000-000071090000}"/>
    <cellStyle name="Normal 10 2 10 13 3 3" xfId="2418" xr:uid="{00000000-0005-0000-0000-000072090000}"/>
    <cellStyle name="Normal 10 2 10 13 3 4" xfId="2419" xr:uid="{00000000-0005-0000-0000-000073090000}"/>
    <cellStyle name="Normal 10 2 10 13 3 5" xfId="2420" xr:uid="{00000000-0005-0000-0000-000074090000}"/>
    <cellStyle name="Normal 10 2 10 13 3 6" xfId="2421" xr:uid="{00000000-0005-0000-0000-000075090000}"/>
    <cellStyle name="Normal 10 2 10 13 3 7" xfId="2422" xr:uid="{00000000-0005-0000-0000-000076090000}"/>
    <cellStyle name="Normal 10 2 10 13 3 8" xfId="2423" xr:uid="{00000000-0005-0000-0000-000077090000}"/>
    <cellStyle name="Normal 10 2 10 13 3 9" xfId="2424" xr:uid="{00000000-0005-0000-0000-000078090000}"/>
    <cellStyle name="Normal 10 2 10 13 4" xfId="2425" xr:uid="{00000000-0005-0000-0000-000079090000}"/>
    <cellStyle name="Normal 10 2 10 13 4 10" xfId="2426" xr:uid="{00000000-0005-0000-0000-00007A090000}"/>
    <cellStyle name="Normal 10 2 10 13 4 2" xfId="2427" xr:uid="{00000000-0005-0000-0000-00007B090000}"/>
    <cellStyle name="Normal 10 2 10 13 4 3" xfId="2428" xr:uid="{00000000-0005-0000-0000-00007C090000}"/>
    <cellStyle name="Normal 10 2 10 13 4 4" xfId="2429" xr:uid="{00000000-0005-0000-0000-00007D090000}"/>
    <cellStyle name="Normal 10 2 10 13 4 5" xfId="2430" xr:uid="{00000000-0005-0000-0000-00007E090000}"/>
    <cellStyle name="Normal 10 2 10 13 4 6" xfId="2431" xr:uid="{00000000-0005-0000-0000-00007F090000}"/>
    <cellStyle name="Normal 10 2 10 13 4 7" xfId="2432" xr:uid="{00000000-0005-0000-0000-000080090000}"/>
    <cellStyle name="Normal 10 2 10 13 4 8" xfId="2433" xr:uid="{00000000-0005-0000-0000-000081090000}"/>
    <cellStyle name="Normal 10 2 10 13 4 9" xfId="2434" xr:uid="{00000000-0005-0000-0000-000082090000}"/>
    <cellStyle name="Normal 10 2 10 13 5" xfId="2435" xr:uid="{00000000-0005-0000-0000-000083090000}"/>
    <cellStyle name="Normal 10 2 10 13 5 10" xfId="2436" xr:uid="{00000000-0005-0000-0000-000084090000}"/>
    <cellStyle name="Normal 10 2 10 13 5 2" xfId="2437" xr:uid="{00000000-0005-0000-0000-000085090000}"/>
    <cellStyle name="Normal 10 2 10 13 5 3" xfId="2438" xr:uid="{00000000-0005-0000-0000-000086090000}"/>
    <cellStyle name="Normal 10 2 10 13 5 4" xfId="2439" xr:uid="{00000000-0005-0000-0000-000087090000}"/>
    <cellStyle name="Normal 10 2 10 13 5 5" xfId="2440" xr:uid="{00000000-0005-0000-0000-000088090000}"/>
    <cellStyle name="Normal 10 2 10 13 5 6" xfId="2441" xr:uid="{00000000-0005-0000-0000-000089090000}"/>
    <cellStyle name="Normal 10 2 10 13 5 7" xfId="2442" xr:uid="{00000000-0005-0000-0000-00008A090000}"/>
    <cellStyle name="Normal 10 2 10 13 5 8" xfId="2443" xr:uid="{00000000-0005-0000-0000-00008B090000}"/>
    <cellStyle name="Normal 10 2 10 13 5 9" xfId="2444" xr:uid="{00000000-0005-0000-0000-00008C090000}"/>
    <cellStyle name="Normal 10 2 10 13 6" xfId="2445" xr:uid="{00000000-0005-0000-0000-00008D090000}"/>
    <cellStyle name="Normal 10 2 10 13 7" xfId="2446" xr:uid="{00000000-0005-0000-0000-00008E090000}"/>
    <cellStyle name="Normal 10 2 10 13 8" xfId="2447" xr:uid="{00000000-0005-0000-0000-00008F090000}"/>
    <cellStyle name="Normal 10 2 10 13 9" xfId="2448" xr:uid="{00000000-0005-0000-0000-000090090000}"/>
    <cellStyle name="Normal 10 2 10 14" xfId="2449" xr:uid="{00000000-0005-0000-0000-000091090000}"/>
    <cellStyle name="Normal 10 2 10 14 10" xfId="2450" xr:uid="{00000000-0005-0000-0000-000092090000}"/>
    <cellStyle name="Normal 10 2 10 14 11" xfId="2451" xr:uid="{00000000-0005-0000-0000-000093090000}"/>
    <cellStyle name="Normal 10 2 10 14 12" xfId="2452" xr:uid="{00000000-0005-0000-0000-000094090000}"/>
    <cellStyle name="Normal 10 2 10 14 13" xfId="2453" xr:uid="{00000000-0005-0000-0000-000095090000}"/>
    <cellStyle name="Normal 10 2 10 14 14" xfId="2454" xr:uid="{00000000-0005-0000-0000-000096090000}"/>
    <cellStyle name="Normal 10 2 10 14 2" xfId="2455" xr:uid="{00000000-0005-0000-0000-000097090000}"/>
    <cellStyle name="Normal 10 2 10 14 2 10" xfId="2456" xr:uid="{00000000-0005-0000-0000-000098090000}"/>
    <cellStyle name="Normal 10 2 10 14 2 2" xfId="2457" xr:uid="{00000000-0005-0000-0000-000099090000}"/>
    <cellStyle name="Normal 10 2 10 14 2 3" xfId="2458" xr:uid="{00000000-0005-0000-0000-00009A090000}"/>
    <cellStyle name="Normal 10 2 10 14 2 4" xfId="2459" xr:uid="{00000000-0005-0000-0000-00009B090000}"/>
    <cellStyle name="Normal 10 2 10 14 2 5" xfId="2460" xr:uid="{00000000-0005-0000-0000-00009C090000}"/>
    <cellStyle name="Normal 10 2 10 14 2 6" xfId="2461" xr:uid="{00000000-0005-0000-0000-00009D090000}"/>
    <cellStyle name="Normal 10 2 10 14 2 7" xfId="2462" xr:uid="{00000000-0005-0000-0000-00009E090000}"/>
    <cellStyle name="Normal 10 2 10 14 2 8" xfId="2463" xr:uid="{00000000-0005-0000-0000-00009F090000}"/>
    <cellStyle name="Normal 10 2 10 14 2 9" xfId="2464" xr:uid="{00000000-0005-0000-0000-0000A0090000}"/>
    <cellStyle name="Normal 10 2 10 14 3" xfId="2465" xr:uid="{00000000-0005-0000-0000-0000A1090000}"/>
    <cellStyle name="Normal 10 2 10 14 3 10" xfId="2466" xr:uid="{00000000-0005-0000-0000-0000A2090000}"/>
    <cellStyle name="Normal 10 2 10 14 3 2" xfId="2467" xr:uid="{00000000-0005-0000-0000-0000A3090000}"/>
    <cellStyle name="Normal 10 2 10 14 3 3" xfId="2468" xr:uid="{00000000-0005-0000-0000-0000A4090000}"/>
    <cellStyle name="Normal 10 2 10 14 3 4" xfId="2469" xr:uid="{00000000-0005-0000-0000-0000A5090000}"/>
    <cellStyle name="Normal 10 2 10 14 3 5" xfId="2470" xr:uid="{00000000-0005-0000-0000-0000A6090000}"/>
    <cellStyle name="Normal 10 2 10 14 3 6" xfId="2471" xr:uid="{00000000-0005-0000-0000-0000A7090000}"/>
    <cellStyle name="Normal 10 2 10 14 3 7" xfId="2472" xr:uid="{00000000-0005-0000-0000-0000A8090000}"/>
    <cellStyle name="Normal 10 2 10 14 3 8" xfId="2473" xr:uid="{00000000-0005-0000-0000-0000A9090000}"/>
    <cellStyle name="Normal 10 2 10 14 3 9" xfId="2474" xr:uid="{00000000-0005-0000-0000-0000AA090000}"/>
    <cellStyle name="Normal 10 2 10 14 4" xfId="2475" xr:uid="{00000000-0005-0000-0000-0000AB090000}"/>
    <cellStyle name="Normal 10 2 10 14 4 10" xfId="2476" xr:uid="{00000000-0005-0000-0000-0000AC090000}"/>
    <cellStyle name="Normal 10 2 10 14 4 2" xfId="2477" xr:uid="{00000000-0005-0000-0000-0000AD090000}"/>
    <cellStyle name="Normal 10 2 10 14 4 3" xfId="2478" xr:uid="{00000000-0005-0000-0000-0000AE090000}"/>
    <cellStyle name="Normal 10 2 10 14 4 4" xfId="2479" xr:uid="{00000000-0005-0000-0000-0000AF090000}"/>
    <cellStyle name="Normal 10 2 10 14 4 5" xfId="2480" xr:uid="{00000000-0005-0000-0000-0000B0090000}"/>
    <cellStyle name="Normal 10 2 10 14 4 6" xfId="2481" xr:uid="{00000000-0005-0000-0000-0000B1090000}"/>
    <cellStyle name="Normal 10 2 10 14 4 7" xfId="2482" xr:uid="{00000000-0005-0000-0000-0000B2090000}"/>
    <cellStyle name="Normal 10 2 10 14 4 8" xfId="2483" xr:uid="{00000000-0005-0000-0000-0000B3090000}"/>
    <cellStyle name="Normal 10 2 10 14 4 9" xfId="2484" xr:uid="{00000000-0005-0000-0000-0000B4090000}"/>
    <cellStyle name="Normal 10 2 10 14 5" xfId="2485" xr:uid="{00000000-0005-0000-0000-0000B5090000}"/>
    <cellStyle name="Normal 10 2 10 14 5 10" xfId="2486" xr:uid="{00000000-0005-0000-0000-0000B6090000}"/>
    <cellStyle name="Normal 10 2 10 14 5 2" xfId="2487" xr:uid="{00000000-0005-0000-0000-0000B7090000}"/>
    <cellStyle name="Normal 10 2 10 14 5 3" xfId="2488" xr:uid="{00000000-0005-0000-0000-0000B8090000}"/>
    <cellStyle name="Normal 10 2 10 14 5 4" xfId="2489" xr:uid="{00000000-0005-0000-0000-0000B9090000}"/>
    <cellStyle name="Normal 10 2 10 14 5 5" xfId="2490" xr:uid="{00000000-0005-0000-0000-0000BA090000}"/>
    <cellStyle name="Normal 10 2 10 14 5 6" xfId="2491" xr:uid="{00000000-0005-0000-0000-0000BB090000}"/>
    <cellStyle name="Normal 10 2 10 14 5 7" xfId="2492" xr:uid="{00000000-0005-0000-0000-0000BC090000}"/>
    <cellStyle name="Normal 10 2 10 14 5 8" xfId="2493" xr:uid="{00000000-0005-0000-0000-0000BD090000}"/>
    <cellStyle name="Normal 10 2 10 14 5 9" xfId="2494" xr:uid="{00000000-0005-0000-0000-0000BE090000}"/>
    <cellStyle name="Normal 10 2 10 14 6" xfId="2495" xr:uid="{00000000-0005-0000-0000-0000BF090000}"/>
    <cellStyle name="Normal 10 2 10 14 7" xfId="2496" xr:uid="{00000000-0005-0000-0000-0000C0090000}"/>
    <cellStyle name="Normal 10 2 10 14 8" xfId="2497" xr:uid="{00000000-0005-0000-0000-0000C1090000}"/>
    <cellStyle name="Normal 10 2 10 14 9" xfId="2498" xr:uid="{00000000-0005-0000-0000-0000C2090000}"/>
    <cellStyle name="Normal 10 2 10 15" xfId="2499" xr:uid="{00000000-0005-0000-0000-0000C3090000}"/>
    <cellStyle name="Normal 10 2 10 15 10" xfId="2500" xr:uid="{00000000-0005-0000-0000-0000C4090000}"/>
    <cellStyle name="Normal 10 2 10 15 11" xfId="2501" xr:uid="{00000000-0005-0000-0000-0000C5090000}"/>
    <cellStyle name="Normal 10 2 10 15 12" xfId="2502" xr:uid="{00000000-0005-0000-0000-0000C6090000}"/>
    <cellStyle name="Normal 10 2 10 15 13" xfId="2503" xr:uid="{00000000-0005-0000-0000-0000C7090000}"/>
    <cellStyle name="Normal 10 2 10 15 14" xfId="2504" xr:uid="{00000000-0005-0000-0000-0000C8090000}"/>
    <cellStyle name="Normal 10 2 10 15 2" xfId="2505" xr:uid="{00000000-0005-0000-0000-0000C9090000}"/>
    <cellStyle name="Normal 10 2 10 15 2 10" xfId="2506" xr:uid="{00000000-0005-0000-0000-0000CA090000}"/>
    <cellStyle name="Normal 10 2 10 15 2 2" xfId="2507" xr:uid="{00000000-0005-0000-0000-0000CB090000}"/>
    <cellStyle name="Normal 10 2 10 15 2 3" xfId="2508" xr:uid="{00000000-0005-0000-0000-0000CC090000}"/>
    <cellStyle name="Normal 10 2 10 15 2 4" xfId="2509" xr:uid="{00000000-0005-0000-0000-0000CD090000}"/>
    <cellStyle name="Normal 10 2 10 15 2 5" xfId="2510" xr:uid="{00000000-0005-0000-0000-0000CE090000}"/>
    <cellStyle name="Normal 10 2 10 15 2 6" xfId="2511" xr:uid="{00000000-0005-0000-0000-0000CF090000}"/>
    <cellStyle name="Normal 10 2 10 15 2 7" xfId="2512" xr:uid="{00000000-0005-0000-0000-0000D0090000}"/>
    <cellStyle name="Normal 10 2 10 15 2 8" xfId="2513" xr:uid="{00000000-0005-0000-0000-0000D1090000}"/>
    <cellStyle name="Normal 10 2 10 15 2 9" xfId="2514" xr:uid="{00000000-0005-0000-0000-0000D2090000}"/>
    <cellStyle name="Normal 10 2 10 15 3" xfId="2515" xr:uid="{00000000-0005-0000-0000-0000D3090000}"/>
    <cellStyle name="Normal 10 2 10 15 3 10" xfId="2516" xr:uid="{00000000-0005-0000-0000-0000D4090000}"/>
    <cellStyle name="Normal 10 2 10 15 3 2" xfId="2517" xr:uid="{00000000-0005-0000-0000-0000D5090000}"/>
    <cellStyle name="Normal 10 2 10 15 3 3" xfId="2518" xr:uid="{00000000-0005-0000-0000-0000D6090000}"/>
    <cellStyle name="Normal 10 2 10 15 3 4" xfId="2519" xr:uid="{00000000-0005-0000-0000-0000D7090000}"/>
    <cellStyle name="Normal 10 2 10 15 3 5" xfId="2520" xr:uid="{00000000-0005-0000-0000-0000D8090000}"/>
    <cellStyle name="Normal 10 2 10 15 3 6" xfId="2521" xr:uid="{00000000-0005-0000-0000-0000D9090000}"/>
    <cellStyle name="Normal 10 2 10 15 3 7" xfId="2522" xr:uid="{00000000-0005-0000-0000-0000DA090000}"/>
    <cellStyle name="Normal 10 2 10 15 3 8" xfId="2523" xr:uid="{00000000-0005-0000-0000-0000DB090000}"/>
    <cellStyle name="Normal 10 2 10 15 3 9" xfId="2524" xr:uid="{00000000-0005-0000-0000-0000DC090000}"/>
    <cellStyle name="Normal 10 2 10 15 4" xfId="2525" xr:uid="{00000000-0005-0000-0000-0000DD090000}"/>
    <cellStyle name="Normal 10 2 10 15 4 10" xfId="2526" xr:uid="{00000000-0005-0000-0000-0000DE090000}"/>
    <cellStyle name="Normal 10 2 10 15 4 2" xfId="2527" xr:uid="{00000000-0005-0000-0000-0000DF090000}"/>
    <cellStyle name="Normal 10 2 10 15 4 3" xfId="2528" xr:uid="{00000000-0005-0000-0000-0000E0090000}"/>
    <cellStyle name="Normal 10 2 10 15 4 4" xfId="2529" xr:uid="{00000000-0005-0000-0000-0000E1090000}"/>
    <cellStyle name="Normal 10 2 10 15 4 5" xfId="2530" xr:uid="{00000000-0005-0000-0000-0000E2090000}"/>
    <cellStyle name="Normal 10 2 10 15 4 6" xfId="2531" xr:uid="{00000000-0005-0000-0000-0000E3090000}"/>
    <cellStyle name="Normal 10 2 10 15 4 7" xfId="2532" xr:uid="{00000000-0005-0000-0000-0000E4090000}"/>
    <cellStyle name="Normal 10 2 10 15 4 8" xfId="2533" xr:uid="{00000000-0005-0000-0000-0000E5090000}"/>
    <cellStyle name="Normal 10 2 10 15 4 9" xfId="2534" xr:uid="{00000000-0005-0000-0000-0000E6090000}"/>
    <cellStyle name="Normal 10 2 10 15 5" xfId="2535" xr:uid="{00000000-0005-0000-0000-0000E7090000}"/>
    <cellStyle name="Normal 10 2 10 15 5 10" xfId="2536" xr:uid="{00000000-0005-0000-0000-0000E8090000}"/>
    <cellStyle name="Normal 10 2 10 15 5 2" xfId="2537" xr:uid="{00000000-0005-0000-0000-0000E9090000}"/>
    <cellStyle name="Normal 10 2 10 15 5 3" xfId="2538" xr:uid="{00000000-0005-0000-0000-0000EA090000}"/>
    <cellStyle name="Normal 10 2 10 15 5 4" xfId="2539" xr:uid="{00000000-0005-0000-0000-0000EB090000}"/>
    <cellStyle name="Normal 10 2 10 15 5 5" xfId="2540" xr:uid="{00000000-0005-0000-0000-0000EC090000}"/>
    <cellStyle name="Normal 10 2 10 15 5 6" xfId="2541" xr:uid="{00000000-0005-0000-0000-0000ED090000}"/>
    <cellStyle name="Normal 10 2 10 15 5 7" xfId="2542" xr:uid="{00000000-0005-0000-0000-0000EE090000}"/>
    <cellStyle name="Normal 10 2 10 15 5 8" xfId="2543" xr:uid="{00000000-0005-0000-0000-0000EF090000}"/>
    <cellStyle name="Normal 10 2 10 15 5 9" xfId="2544" xr:uid="{00000000-0005-0000-0000-0000F0090000}"/>
    <cellStyle name="Normal 10 2 10 15 6" xfId="2545" xr:uid="{00000000-0005-0000-0000-0000F1090000}"/>
    <cellStyle name="Normal 10 2 10 15 7" xfId="2546" xr:uid="{00000000-0005-0000-0000-0000F2090000}"/>
    <cellStyle name="Normal 10 2 10 15 8" xfId="2547" xr:uid="{00000000-0005-0000-0000-0000F3090000}"/>
    <cellStyle name="Normal 10 2 10 15 9" xfId="2548" xr:uid="{00000000-0005-0000-0000-0000F4090000}"/>
    <cellStyle name="Normal 10 2 10 16" xfId="2549" xr:uid="{00000000-0005-0000-0000-0000F5090000}"/>
    <cellStyle name="Normal 10 2 10 16 10" xfId="2550" xr:uid="{00000000-0005-0000-0000-0000F6090000}"/>
    <cellStyle name="Normal 10 2 10 16 11" xfId="2551" xr:uid="{00000000-0005-0000-0000-0000F7090000}"/>
    <cellStyle name="Normal 10 2 10 16 12" xfId="2552" xr:uid="{00000000-0005-0000-0000-0000F8090000}"/>
    <cellStyle name="Normal 10 2 10 16 13" xfId="2553" xr:uid="{00000000-0005-0000-0000-0000F9090000}"/>
    <cellStyle name="Normal 10 2 10 16 14" xfId="2554" xr:uid="{00000000-0005-0000-0000-0000FA090000}"/>
    <cellStyle name="Normal 10 2 10 16 2" xfId="2555" xr:uid="{00000000-0005-0000-0000-0000FB090000}"/>
    <cellStyle name="Normal 10 2 10 16 2 10" xfId="2556" xr:uid="{00000000-0005-0000-0000-0000FC090000}"/>
    <cellStyle name="Normal 10 2 10 16 2 2" xfId="2557" xr:uid="{00000000-0005-0000-0000-0000FD090000}"/>
    <cellStyle name="Normal 10 2 10 16 2 3" xfId="2558" xr:uid="{00000000-0005-0000-0000-0000FE090000}"/>
    <cellStyle name="Normal 10 2 10 16 2 4" xfId="2559" xr:uid="{00000000-0005-0000-0000-0000FF090000}"/>
    <cellStyle name="Normal 10 2 10 16 2 5" xfId="2560" xr:uid="{00000000-0005-0000-0000-0000000A0000}"/>
    <cellStyle name="Normal 10 2 10 16 2 6" xfId="2561" xr:uid="{00000000-0005-0000-0000-0000010A0000}"/>
    <cellStyle name="Normal 10 2 10 16 2 7" xfId="2562" xr:uid="{00000000-0005-0000-0000-0000020A0000}"/>
    <cellStyle name="Normal 10 2 10 16 2 8" xfId="2563" xr:uid="{00000000-0005-0000-0000-0000030A0000}"/>
    <cellStyle name="Normal 10 2 10 16 2 9" xfId="2564" xr:uid="{00000000-0005-0000-0000-0000040A0000}"/>
    <cellStyle name="Normal 10 2 10 16 3" xfId="2565" xr:uid="{00000000-0005-0000-0000-0000050A0000}"/>
    <cellStyle name="Normal 10 2 10 16 3 10" xfId="2566" xr:uid="{00000000-0005-0000-0000-0000060A0000}"/>
    <cellStyle name="Normal 10 2 10 16 3 2" xfId="2567" xr:uid="{00000000-0005-0000-0000-0000070A0000}"/>
    <cellStyle name="Normal 10 2 10 16 3 3" xfId="2568" xr:uid="{00000000-0005-0000-0000-0000080A0000}"/>
    <cellStyle name="Normal 10 2 10 16 3 4" xfId="2569" xr:uid="{00000000-0005-0000-0000-0000090A0000}"/>
    <cellStyle name="Normal 10 2 10 16 3 5" xfId="2570" xr:uid="{00000000-0005-0000-0000-00000A0A0000}"/>
    <cellStyle name="Normal 10 2 10 16 3 6" xfId="2571" xr:uid="{00000000-0005-0000-0000-00000B0A0000}"/>
    <cellStyle name="Normal 10 2 10 16 3 7" xfId="2572" xr:uid="{00000000-0005-0000-0000-00000C0A0000}"/>
    <cellStyle name="Normal 10 2 10 16 3 8" xfId="2573" xr:uid="{00000000-0005-0000-0000-00000D0A0000}"/>
    <cellStyle name="Normal 10 2 10 16 3 9" xfId="2574" xr:uid="{00000000-0005-0000-0000-00000E0A0000}"/>
    <cellStyle name="Normal 10 2 10 16 4" xfId="2575" xr:uid="{00000000-0005-0000-0000-00000F0A0000}"/>
    <cellStyle name="Normal 10 2 10 16 4 10" xfId="2576" xr:uid="{00000000-0005-0000-0000-0000100A0000}"/>
    <cellStyle name="Normal 10 2 10 16 4 2" xfId="2577" xr:uid="{00000000-0005-0000-0000-0000110A0000}"/>
    <cellStyle name="Normal 10 2 10 16 4 3" xfId="2578" xr:uid="{00000000-0005-0000-0000-0000120A0000}"/>
    <cellStyle name="Normal 10 2 10 16 4 4" xfId="2579" xr:uid="{00000000-0005-0000-0000-0000130A0000}"/>
    <cellStyle name="Normal 10 2 10 16 4 5" xfId="2580" xr:uid="{00000000-0005-0000-0000-0000140A0000}"/>
    <cellStyle name="Normal 10 2 10 16 4 6" xfId="2581" xr:uid="{00000000-0005-0000-0000-0000150A0000}"/>
    <cellStyle name="Normal 10 2 10 16 4 7" xfId="2582" xr:uid="{00000000-0005-0000-0000-0000160A0000}"/>
    <cellStyle name="Normal 10 2 10 16 4 8" xfId="2583" xr:uid="{00000000-0005-0000-0000-0000170A0000}"/>
    <cellStyle name="Normal 10 2 10 16 4 9" xfId="2584" xr:uid="{00000000-0005-0000-0000-0000180A0000}"/>
    <cellStyle name="Normal 10 2 10 16 5" xfId="2585" xr:uid="{00000000-0005-0000-0000-0000190A0000}"/>
    <cellStyle name="Normal 10 2 10 16 5 10" xfId="2586" xr:uid="{00000000-0005-0000-0000-00001A0A0000}"/>
    <cellStyle name="Normal 10 2 10 16 5 2" xfId="2587" xr:uid="{00000000-0005-0000-0000-00001B0A0000}"/>
    <cellStyle name="Normal 10 2 10 16 5 3" xfId="2588" xr:uid="{00000000-0005-0000-0000-00001C0A0000}"/>
    <cellStyle name="Normal 10 2 10 16 5 4" xfId="2589" xr:uid="{00000000-0005-0000-0000-00001D0A0000}"/>
    <cellStyle name="Normal 10 2 10 16 5 5" xfId="2590" xr:uid="{00000000-0005-0000-0000-00001E0A0000}"/>
    <cellStyle name="Normal 10 2 10 16 5 6" xfId="2591" xr:uid="{00000000-0005-0000-0000-00001F0A0000}"/>
    <cellStyle name="Normal 10 2 10 16 5 7" xfId="2592" xr:uid="{00000000-0005-0000-0000-0000200A0000}"/>
    <cellStyle name="Normal 10 2 10 16 5 8" xfId="2593" xr:uid="{00000000-0005-0000-0000-0000210A0000}"/>
    <cellStyle name="Normal 10 2 10 16 5 9" xfId="2594" xr:uid="{00000000-0005-0000-0000-0000220A0000}"/>
    <cellStyle name="Normal 10 2 10 16 6" xfId="2595" xr:uid="{00000000-0005-0000-0000-0000230A0000}"/>
    <cellStyle name="Normal 10 2 10 16 7" xfId="2596" xr:uid="{00000000-0005-0000-0000-0000240A0000}"/>
    <cellStyle name="Normal 10 2 10 16 8" xfId="2597" xr:uid="{00000000-0005-0000-0000-0000250A0000}"/>
    <cellStyle name="Normal 10 2 10 16 9" xfId="2598" xr:uid="{00000000-0005-0000-0000-0000260A0000}"/>
    <cellStyle name="Normal 10 2 10 17" xfId="2599" xr:uid="{00000000-0005-0000-0000-0000270A0000}"/>
    <cellStyle name="Normal 10 2 10 17 10" xfId="2600" xr:uid="{00000000-0005-0000-0000-0000280A0000}"/>
    <cellStyle name="Normal 10 2 10 17 11" xfId="2601" xr:uid="{00000000-0005-0000-0000-0000290A0000}"/>
    <cellStyle name="Normal 10 2 10 17 12" xfId="2602" xr:uid="{00000000-0005-0000-0000-00002A0A0000}"/>
    <cellStyle name="Normal 10 2 10 17 13" xfId="2603" xr:uid="{00000000-0005-0000-0000-00002B0A0000}"/>
    <cellStyle name="Normal 10 2 10 17 14" xfId="2604" xr:uid="{00000000-0005-0000-0000-00002C0A0000}"/>
    <cellStyle name="Normal 10 2 10 17 2" xfId="2605" xr:uid="{00000000-0005-0000-0000-00002D0A0000}"/>
    <cellStyle name="Normal 10 2 10 17 2 10" xfId="2606" xr:uid="{00000000-0005-0000-0000-00002E0A0000}"/>
    <cellStyle name="Normal 10 2 10 17 2 2" xfId="2607" xr:uid="{00000000-0005-0000-0000-00002F0A0000}"/>
    <cellStyle name="Normal 10 2 10 17 2 3" xfId="2608" xr:uid="{00000000-0005-0000-0000-0000300A0000}"/>
    <cellStyle name="Normal 10 2 10 17 2 4" xfId="2609" xr:uid="{00000000-0005-0000-0000-0000310A0000}"/>
    <cellStyle name="Normal 10 2 10 17 2 5" xfId="2610" xr:uid="{00000000-0005-0000-0000-0000320A0000}"/>
    <cellStyle name="Normal 10 2 10 17 2 6" xfId="2611" xr:uid="{00000000-0005-0000-0000-0000330A0000}"/>
    <cellStyle name="Normal 10 2 10 17 2 7" xfId="2612" xr:uid="{00000000-0005-0000-0000-0000340A0000}"/>
    <cellStyle name="Normal 10 2 10 17 2 8" xfId="2613" xr:uid="{00000000-0005-0000-0000-0000350A0000}"/>
    <cellStyle name="Normal 10 2 10 17 2 9" xfId="2614" xr:uid="{00000000-0005-0000-0000-0000360A0000}"/>
    <cellStyle name="Normal 10 2 10 17 3" xfId="2615" xr:uid="{00000000-0005-0000-0000-0000370A0000}"/>
    <cellStyle name="Normal 10 2 10 17 3 10" xfId="2616" xr:uid="{00000000-0005-0000-0000-0000380A0000}"/>
    <cellStyle name="Normal 10 2 10 17 3 2" xfId="2617" xr:uid="{00000000-0005-0000-0000-0000390A0000}"/>
    <cellStyle name="Normal 10 2 10 17 3 3" xfId="2618" xr:uid="{00000000-0005-0000-0000-00003A0A0000}"/>
    <cellStyle name="Normal 10 2 10 17 3 4" xfId="2619" xr:uid="{00000000-0005-0000-0000-00003B0A0000}"/>
    <cellStyle name="Normal 10 2 10 17 3 5" xfId="2620" xr:uid="{00000000-0005-0000-0000-00003C0A0000}"/>
    <cellStyle name="Normal 10 2 10 17 3 6" xfId="2621" xr:uid="{00000000-0005-0000-0000-00003D0A0000}"/>
    <cellStyle name="Normal 10 2 10 17 3 7" xfId="2622" xr:uid="{00000000-0005-0000-0000-00003E0A0000}"/>
    <cellStyle name="Normal 10 2 10 17 3 8" xfId="2623" xr:uid="{00000000-0005-0000-0000-00003F0A0000}"/>
    <cellStyle name="Normal 10 2 10 17 3 9" xfId="2624" xr:uid="{00000000-0005-0000-0000-0000400A0000}"/>
    <cellStyle name="Normal 10 2 10 17 4" xfId="2625" xr:uid="{00000000-0005-0000-0000-0000410A0000}"/>
    <cellStyle name="Normal 10 2 10 17 4 10" xfId="2626" xr:uid="{00000000-0005-0000-0000-0000420A0000}"/>
    <cellStyle name="Normal 10 2 10 17 4 2" xfId="2627" xr:uid="{00000000-0005-0000-0000-0000430A0000}"/>
    <cellStyle name="Normal 10 2 10 17 4 3" xfId="2628" xr:uid="{00000000-0005-0000-0000-0000440A0000}"/>
    <cellStyle name="Normal 10 2 10 17 4 4" xfId="2629" xr:uid="{00000000-0005-0000-0000-0000450A0000}"/>
    <cellStyle name="Normal 10 2 10 17 4 5" xfId="2630" xr:uid="{00000000-0005-0000-0000-0000460A0000}"/>
    <cellStyle name="Normal 10 2 10 17 4 6" xfId="2631" xr:uid="{00000000-0005-0000-0000-0000470A0000}"/>
    <cellStyle name="Normal 10 2 10 17 4 7" xfId="2632" xr:uid="{00000000-0005-0000-0000-0000480A0000}"/>
    <cellStyle name="Normal 10 2 10 17 4 8" xfId="2633" xr:uid="{00000000-0005-0000-0000-0000490A0000}"/>
    <cellStyle name="Normal 10 2 10 17 4 9" xfId="2634" xr:uid="{00000000-0005-0000-0000-00004A0A0000}"/>
    <cellStyle name="Normal 10 2 10 17 5" xfId="2635" xr:uid="{00000000-0005-0000-0000-00004B0A0000}"/>
    <cellStyle name="Normal 10 2 10 17 5 10" xfId="2636" xr:uid="{00000000-0005-0000-0000-00004C0A0000}"/>
    <cellStyle name="Normal 10 2 10 17 5 2" xfId="2637" xr:uid="{00000000-0005-0000-0000-00004D0A0000}"/>
    <cellStyle name="Normal 10 2 10 17 5 3" xfId="2638" xr:uid="{00000000-0005-0000-0000-00004E0A0000}"/>
    <cellStyle name="Normal 10 2 10 17 5 4" xfId="2639" xr:uid="{00000000-0005-0000-0000-00004F0A0000}"/>
    <cellStyle name="Normal 10 2 10 17 5 5" xfId="2640" xr:uid="{00000000-0005-0000-0000-0000500A0000}"/>
    <cellStyle name="Normal 10 2 10 17 5 6" xfId="2641" xr:uid="{00000000-0005-0000-0000-0000510A0000}"/>
    <cellStyle name="Normal 10 2 10 17 5 7" xfId="2642" xr:uid="{00000000-0005-0000-0000-0000520A0000}"/>
    <cellStyle name="Normal 10 2 10 17 5 8" xfId="2643" xr:uid="{00000000-0005-0000-0000-0000530A0000}"/>
    <cellStyle name="Normal 10 2 10 17 5 9" xfId="2644" xr:uid="{00000000-0005-0000-0000-0000540A0000}"/>
    <cellStyle name="Normal 10 2 10 17 6" xfId="2645" xr:uid="{00000000-0005-0000-0000-0000550A0000}"/>
    <cellStyle name="Normal 10 2 10 17 7" xfId="2646" xr:uid="{00000000-0005-0000-0000-0000560A0000}"/>
    <cellStyle name="Normal 10 2 10 17 8" xfId="2647" xr:uid="{00000000-0005-0000-0000-0000570A0000}"/>
    <cellStyle name="Normal 10 2 10 17 9" xfId="2648" xr:uid="{00000000-0005-0000-0000-0000580A0000}"/>
    <cellStyle name="Normal 10 2 10 18" xfId="2649" xr:uid="{00000000-0005-0000-0000-0000590A0000}"/>
    <cellStyle name="Normal 10 2 10 18 10" xfId="2650" xr:uid="{00000000-0005-0000-0000-00005A0A0000}"/>
    <cellStyle name="Normal 10 2 10 18 11" xfId="2651" xr:uid="{00000000-0005-0000-0000-00005B0A0000}"/>
    <cellStyle name="Normal 10 2 10 18 12" xfId="2652" xr:uid="{00000000-0005-0000-0000-00005C0A0000}"/>
    <cellStyle name="Normal 10 2 10 18 13" xfId="2653" xr:uid="{00000000-0005-0000-0000-00005D0A0000}"/>
    <cellStyle name="Normal 10 2 10 18 14" xfId="2654" xr:uid="{00000000-0005-0000-0000-00005E0A0000}"/>
    <cellStyle name="Normal 10 2 10 18 2" xfId="2655" xr:uid="{00000000-0005-0000-0000-00005F0A0000}"/>
    <cellStyle name="Normal 10 2 10 18 2 10" xfId="2656" xr:uid="{00000000-0005-0000-0000-0000600A0000}"/>
    <cellStyle name="Normal 10 2 10 18 2 2" xfId="2657" xr:uid="{00000000-0005-0000-0000-0000610A0000}"/>
    <cellStyle name="Normal 10 2 10 18 2 3" xfId="2658" xr:uid="{00000000-0005-0000-0000-0000620A0000}"/>
    <cellStyle name="Normal 10 2 10 18 2 4" xfId="2659" xr:uid="{00000000-0005-0000-0000-0000630A0000}"/>
    <cellStyle name="Normal 10 2 10 18 2 5" xfId="2660" xr:uid="{00000000-0005-0000-0000-0000640A0000}"/>
    <cellStyle name="Normal 10 2 10 18 2 6" xfId="2661" xr:uid="{00000000-0005-0000-0000-0000650A0000}"/>
    <cellStyle name="Normal 10 2 10 18 2 7" xfId="2662" xr:uid="{00000000-0005-0000-0000-0000660A0000}"/>
    <cellStyle name="Normal 10 2 10 18 2 8" xfId="2663" xr:uid="{00000000-0005-0000-0000-0000670A0000}"/>
    <cellStyle name="Normal 10 2 10 18 2 9" xfId="2664" xr:uid="{00000000-0005-0000-0000-0000680A0000}"/>
    <cellStyle name="Normal 10 2 10 18 3" xfId="2665" xr:uid="{00000000-0005-0000-0000-0000690A0000}"/>
    <cellStyle name="Normal 10 2 10 18 3 10" xfId="2666" xr:uid="{00000000-0005-0000-0000-00006A0A0000}"/>
    <cellStyle name="Normal 10 2 10 18 3 2" xfId="2667" xr:uid="{00000000-0005-0000-0000-00006B0A0000}"/>
    <cellStyle name="Normal 10 2 10 18 3 3" xfId="2668" xr:uid="{00000000-0005-0000-0000-00006C0A0000}"/>
    <cellStyle name="Normal 10 2 10 18 3 4" xfId="2669" xr:uid="{00000000-0005-0000-0000-00006D0A0000}"/>
    <cellStyle name="Normal 10 2 10 18 3 5" xfId="2670" xr:uid="{00000000-0005-0000-0000-00006E0A0000}"/>
    <cellStyle name="Normal 10 2 10 18 3 6" xfId="2671" xr:uid="{00000000-0005-0000-0000-00006F0A0000}"/>
    <cellStyle name="Normal 10 2 10 18 3 7" xfId="2672" xr:uid="{00000000-0005-0000-0000-0000700A0000}"/>
    <cellStyle name="Normal 10 2 10 18 3 8" xfId="2673" xr:uid="{00000000-0005-0000-0000-0000710A0000}"/>
    <cellStyle name="Normal 10 2 10 18 3 9" xfId="2674" xr:uid="{00000000-0005-0000-0000-0000720A0000}"/>
    <cellStyle name="Normal 10 2 10 18 4" xfId="2675" xr:uid="{00000000-0005-0000-0000-0000730A0000}"/>
    <cellStyle name="Normal 10 2 10 18 4 10" xfId="2676" xr:uid="{00000000-0005-0000-0000-0000740A0000}"/>
    <cellStyle name="Normal 10 2 10 18 4 2" xfId="2677" xr:uid="{00000000-0005-0000-0000-0000750A0000}"/>
    <cellStyle name="Normal 10 2 10 18 4 3" xfId="2678" xr:uid="{00000000-0005-0000-0000-0000760A0000}"/>
    <cellStyle name="Normal 10 2 10 18 4 4" xfId="2679" xr:uid="{00000000-0005-0000-0000-0000770A0000}"/>
    <cellStyle name="Normal 10 2 10 18 4 5" xfId="2680" xr:uid="{00000000-0005-0000-0000-0000780A0000}"/>
    <cellStyle name="Normal 10 2 10 18 4 6" xfId="2681" xr:uid="{00000000-0005-0000-0000-0000790A0000}"/>
    <cellStyle name="Normal 10 2 10 18 4 7" xfId="2682" xr:uid="{00000000-0005-0000-0000-00007A0A0000}"/>
    <cellStyle name="Normal 10 2 10 18 4 8" xfId="2683" xr:uid="{00000000-0005-0000-0000-00007B0A0000}"/>
    <cellStyle name="Normal 10 2 10 18 4 9" xfId="2684" xr:uid="{00000000-0005-0000-0000-00007C0A0000}"/>
    <cellStyle name="Normal 10 2 10 18 5" xfId="2685" xr:uid="{00000000-0005-0000-0000-00007D0A0000}"/>
    <cellStyle name="Normal 10 2 10 18 5 10" xfId="2686" xr:uid="{00000000-0005-0000-0000-00007E0A0000}"/>
    <cellStyle name="Normal 10 2 10 18 5 2" xfId="2687" xr:uid="{00000000-0005-0000-0000-00007F0A0000}"/>
    <cellStyle name="Normal 10 2 10 18 5 3" xfId="2688" xr:uid="{00000000-0005-0000-0000-0000800A0000}"/>
    <cellStyle name="Normal 10 2 10 18 5 4" xfId="2689" xr:uid="{00000000-0005-0000-0000-0000810A0000}"/>
    <cellStyle name="Normal 10 2 10 18 5 5" xfId="2690" xr:uid="{00000000-0005-0000-0000-0000820A0000}"/>
    <cellStyle name="Normal 10 2 10 18 5 6" xfId="2691" xr:uid="{00000000-0005-0000-0000-0000830A0000}"/>
    <cellStyle name="Normal 10 2 10 18 5 7" xfId="2692" xr:uid="{00000000-0005-0000-0000-0000840A0000}"/>
    <cellStyle name="Normal 10 2 10 18 5 8" xfId="2693" xr:uid="{00000000-0005-0000-0000-0000850A0000}"/>
    <cellStyle name="Normal 10 2 10 18 5 9" xfId="2694" xr:uid="{00000000-0005-0000-0000-0000860A0000}"/>
    <cellStyle name="Normal 10 2 10 18 6" xfId="2695" xr:uid="{00000000-0005-0000-0000-0000870A0000}"/>
    <cellStyle name="Normal 10 2 10 18 7" xfId="2696" xr:uid="{00000000-0005-0000-0000-0000880A0000}"/>
    <cellStyle name="Normal 10 2 10 18 8" xfId="2697" xr:uid="{00000000-0005-0000-0000-0000890A0000}"/>
    <cellStyle name="Normal 10 2 10 18 9" xfId="2698" xr:uid="{00000000-0005-0000-0000-00008A0A0000}"/>
    <cellStyle name="Normal 10 2 10 19" xfId="2699" xr:uid="{00000000-0005-0000-0000-00008B0A0000}"/>
    <cellStyle name="Normal 10 2 10 19 10" xfId="2700" xr:uid="{00000000-0005-0000-0000-00008C0A0000}"/>
    <cellStyle name="Normal 10 2 10 19 11" xfId="2701" xr:uid="{00000000-0005-0000-0000-00008D0A0000}"/>
    <cellStyle name="Normal 10 2 10 19 12" xfId="2702" xr:uid="{00000000-0005-0000-0000-00008E0A0000}"/>
    <cellStyle name="Normal 10 2 10 19 13" xfId="2703" xr:uid="{00000000-0005-0000-0000-00008F0A0000}"/>
    <cellStyle name="Normal 10 2 10 19 14" xfId="2704" xr:uid="{00000000-0005-0000-0000-0000900A0000}"/>
    <cellStyle name="Normal 10 2 10 19 2" xfId="2705" xr:uid="{00000000-0005-0000-0000-0000910A0000}"/>
    <cellStyle name="Normal 10 2 10 19 2 10" xfId="2706" xr:uid="{00000000-0005-0000-0000-0000920A0000}"/>
    <cellStyle name="Normal 10 2 10 19 2 2" xfId="2707" xr:uid="{00000000-0005-0000-0000-0000930A0000}"/>
    <cellStyle name="Normal 10 2 10 19 2 3" xfId="2708" xr:uid="{00000000-0005-0000-0000-0000940A0000}"/>
    <cellStyle name="Normal 10 2 10 19 2 4" xfId="2709" xr:uid="{00000000-0005-0000-0000-0000950A0000}"/>
    <cellStyle name="Normal 10 2 10 19 2 5" xfId="2710" xr:uid="{00000000-0005-0000-0000-0000960A0000}"/>
    <cellStyle name="Normal 10 2 10 19 2 6" xfId="2711" xr:uid="{00000000-0005-0000-0000-0000970A0000}"/>
    <cellStyle name="Normal 10 2 10 19 2 7" xfId="2712" xr:uid="{00000000-0005-0000-0000-0000980A0000}"/>
    <cellStyle name="Normal 10 2 10 19 2 8" xfId="2713" xr:uid="{00000000-0005-0000-0000-0000990A0000}"/>
    <cellStyle name="Normal 10 2 10 19 2 9" xfId="2714" xr:uid="{00000000-0005-0000-0000-00009A0A0000}"/>
    <cellStyle name="Normal 10 2 10 19 3" xfId="2715" xr:uid="{00000000-0005-0000-0000-00009B0A0000}"/>
    <cellStyle name="Normal 10 2 10 19 3 10" xfId="2716" xr:uid="{00000000-0005-0000-0000-00009C0A0000}"/>
    <cellStyle name="Normal 10 2 10 19 3 2" xfId="2717" xr:uid="{00000000-0005-0000-0000-00009D0A0000}"/>
    <cellStyle name="Normal 10 2 10 19 3 3" xfId="2718" xr:uid="{00000000-0005-0000-0000-00009E0A0000}"/>
    <cellStyle name="Normal 10 2 10 19 3 4" xfId="2719" xr:uid="{00000000-0005-0000-0000-00009F0A0000}"/>
    <cellStyle name="Normal 10 2 10 19 3 5" xfId="2720" xr:uid="{00000000-0005-0000-0000-0000A00A0000}"/>
    <cellStyle name="Normal 10 2 10 19 3 6" xfId="2721" xr:uid="{00000000-0005-0000-0000-0000A10A0000}"/>
    <cellStyle name="Normal 10 2 10 19 3 7" xfId="2722" xr:uid="{00000000-0005-0000-0000-0000A20A0000}"/>
    <cellStyle name="Normal 10 2 10 19 3 8" xfId="2723" xr:uid="{00000000-0005-0000-0000-0000A30A0000}"/>
    <cellStyle name="Normal 10 2 10 19 3 9" xfId="2724" xr:uid="{00000000-0005-0000-0000-0000A40A0000}"/>
    <cellStyle name="Normal 10 2 10 19 4" xfId="2725" xr:uid="{00000000-0005-0000-0000-0000A50A0000}"/>
    <cellStyle name="Normal 10 2 10 19 4 10" xfId="2726" xr:uid="{00000000-0005-0000-0000-0000A60A0000}"/>
    <cellStyle name="Normal 10 2 10 19 4 2" xfId="2727" xr:uid="{00000000-0005-0000-0000-0000A70A0000}"/>
    <cellStyle name="Normal 10 2 10 19 4 3" xfId="2728" xr:uid="{00000000-0005-0000-0000-0000A80A0000}"/>
    <cellStyle name="Normal 10 2 10 19 4 4" xfId="2729" xr:uid="{00000000-0005-0000-0000-0000A90A0000}"/>
    <cellStyle name="Normal 10 2 10 19 4 5" xfId="2730" xr:uid="{00000000-0005-0000-0000-0000AA0A0000}"/>
    <cellStyle name="Normal 10 2 10 19 4 6" xfId="2731" xr:uid="{00000000-0005-0000-0000-0000AB0A0000}"/>
    <cellStyle name="Normal 10 2 10 19 4 7" xfId="2732" xr:uid="{00000000-0005-0000-0000-0000AC0A0000}"/>
    <cellStyle name="Normal 10 2 10 19 4 8" xfId="2733" xr:uid="{00000000-0005-0000-0000-0000AD0A0000}"/>
    <cellStyle name="Normal 10 2 10 19 4 9" xfId="2734" xr:uid="{00000000-0005-0000-0000-0000AE0A0000}"/>
    <cellStyle name="Normal 10 2 10 19 5" xfId="2735" xr:uid="{00000000-0005-0000-0000-0000AF0A0000}"/>
    <cellStyle name="Normal 10 2 10 19 5 10" xfId="2736" xr:uid="{00000000-0005-0000-0000-0000B00A0000}"/>
    <cellStyle name="Normal 10 2 10 19 5 2" xfId="2737" xr:uid="{00000000-0005-0000-0000-0000B10A0000}"/>
    <cellStyle name="Normal 10 2 10 19 5 3" xfId="2738" xr:uid="{00000000-0005-0000-0000-0000B20A0000}"/>
    <cellStyle name="Normal 10 2 10 19 5 4" xfId="2739" xr:uid="{00000000-0005-0000-0000-0000B30A0000}"/>
    <cellStyle name="Normal 10 2 10 19 5 5" xfId="2740" xr:uid="{00000000-0005-0000-0000-0000B40A0000}"/>
    <cellStyle name="Normal 10 2 10 19 5 6" xfId="2741" xr:uid="{00000000-0005-0000-0000-0000B50A0000}"/>
    <cellStyle name="Normal 10 2 10 19 5 7" xfId="2742" xr:uid="{00000000-0005-0000-0000-0000B60A0000}"/>
    <cellStyle name="Normal 10 2 10 19 5 8" xfId="2743" xr:uid="{00000000-0005-0000-0000-0000B70A0000}"/>
    <cellStyle name="Normal 10 2 10 19 5 9" xfId="2744" xr:uid="{00000000-0005-0000-0000-0000B80A0000}"/>
    <cellStyle name="Normal 10 2 10 19 6" xfId="2745" xr:uid="{00000000-0005-0000-0000-0000B90A0000}"/>
    <cellStyle name="Normal 10 2 10 19 7" xfId="2746" xr:uid="{00000000-0005-0000-0000-0000BA0A0000}"/>
    <cellStyle name="Normal 10 2 10 19 8" xfId="2747" xr:uid="{00000000-0005-0000-0000-0000BB0A0000}"/>
    <cellStyle name="Normal 10 2 10 19 9" xfId="2748" xr:uid="{00000000-0005-0000-0000-0000BC0A0000}"/>
    <cellStyle name="Normal 10 2 10 2" xfId="49" xr:uid="{00000000-0005-0000-0000-000031000000}"/>
    <cellStyle name="Normal 10 2 10 2 10" xfId="2750" xr:uid="{00000000-0005-0000-0000-0000BE0A0000}"/>
    <cellStyle name="Normal 10 2 10 2 10 10" xfId="2751" xr:uid="{00000000-0005-0000-0000-0000BF0A0000}"/>
    <cellStyle name="Normal 10 2 10 2 10 11" xfId="2752" xr:uid="{00000000-0005-0000-0000-0000C00A0000}"/>
    <cellStyle name="Normal 10 2 10 2 10 12" xfId="2753" xr:uid="{00000000-0005-0000-0000-0000C10A0000}"/>
    <cellStyle name="Normal 10 2 10 2 10 13" xfId="2754" xr:uid="{00000000-0005-0000-0000-0000C20A0000}"/>
    <cellStyle name="Normal 10 2 10 2 10 14" xfId="2755" xr:uid="{00000000-0005-0000-0000-0000C30A0000}"/>
    <cellStyle name="Normal 10 2 10 2 10 2" xfId="2756" xr:uid="{00000000-0005-0000-0000-0000C40A0000}"/>
    <cellStyle name="Normal 10 2 10 2 10 2 10" xfId="2757" xr:uid="{00000000-0005-0000-0000-0000C50A0000}"/>
    <cellStyle name="Normal 10 2 10 2 10 2 2" xfId="2758" xr:uid="{00000000-0005-0000-0000-0000C60A0000}"/>
    <cellStyle name="Normal 10 2 10 2 10 2 3" xfId="2759" xr:uid="{00000000-0005-0000-0000-0000C70A0000}"/>
    <cellStyle name="Normal 10 2 10 2 10 2 4" xfId="2760" xr:uid="{00000000-0005-0000-0000-0000C80A0000}"/>
    <cellStyle name="Normal 10 2 10 2 10 2 5" xfId="2761" xr:uid="{00000000-0005-0000-0000-0000C90A0000}"/>
    <cellStyle name="Normal 10 2 10 2 10 2 6" xfId="2762" xr:uid="{00000000-0005-0000-0000-0000CA0A0000}"/>
    <cellStyle name="Normal 10 2 10 2 10 2 7" xfId="2763" xr:uid="{00000000-0005-0000-0000-0000CB0A0000}"/>
    <cellStyle name="Normal 10 2 10 2 10 2 8" xfId="2764" xr:uid="{00000000-0005-0000-0000-0000CC0A0000}"/>
    <cellStyle name="Normal 10 2 10 2 10 2 9" xfId="2765" xr:uid="{00000000-0005-0000-0000-0000CD0A0000}"/>
    <cellStyle name="Normal 10 2 10 2 10 3" xfId="2766" xr:uid="{00000000-0005-0000-0000-0000CE0A0000}"/>
    <cellStyle name="Normal 10 2 10 2 10 3 10" xfId="2767" xr:uid="{00000000-0005-0000-0000-0000CF0A0000}"/>
    <cellStyle name="Normal 10 2 10 2 10 3 2" xfId="2768" xr:uid="{00000000-0005-0000-0000-0000D00A0000}"/>
    <cellStyle name="Normal 10 2 10 2 10 3 3" xfId="2769" xr:uid="{00000000-0005-0000-0000-0000D10A0000}"/>
    <cellStyle name="Normal 10 2 10 2 10 3 4" xfId="2770" xr:uid="{00000000-0005-0000-0000-0000D20A0000}"/>
    <cellStyle name="Normal 10 2 10 2 10 3 5" xfId="2771" xr:uid="{00000000-0005-0000-0000-0000D30A0000}"/>
    <cellStyle name="Normal 10 2 10 2 10 3 6" xfId="2772" xr:uid="{00000000-0005-0000-0000-0000D40A0000}"/>
    <cellStyle name="Normal 10 2 10 2 10 3 7" xfId="2773" xr:uid="{00000000-0005-0000-0000-0000D50A0000}"/>
    <cellStyle name="Normal 10 2 10 2 10 3 8" xfId="2774" xr:uid="{00000000-0005-0000-0000-0000D60A0000}"/>
    <cellStyle name="Normal 10 2 10 2 10 3 9" xfId="2775" xr:uid="{00000000-0005-0000-0000-0000D70A0000}"/>
    <cellStyle name="Normal 10 2 10 2 10 4" xfId="2776" xr:uid="{00000000-0005-0000-0000-0000D80A0000}"/>
    <cellStyle name="Normal 10 2 10 2 10 4 10" xfId="2777" xr:uid="{00000000-0005-0000-0000-0000D90A0000}"/>
    <cellStyle name="Normal 10 2 10 2 10 4 2" xfId="2778" xr:uid="{00000000-0005-0000-0000-0000DA0A0000}"/>
    <cellStyle name="Normal 10 2 10 2 10 4 3" xfId="2779" xr:uid="{00000000-0005-0000-0000-0000DB0A0000}"/>
    <cellStyle name="Normal 10 2 10 2 10 4 4" xfId="2780" xr:uid="{00000000-0005-0000-0000-0000DC0A0000}"/>
    <cellStyle name="Normal 10 2 10 2 10 4 5" xfId="2781" xr:uid="{00000000-0005-0000-0000-0000DD0A0000}"/>
    <cellStyle name="Normal 10 2 10 2 10 4 6" xfId="2782" xr:uid="{00000000-0005-0000-0000-0000DE0A0000}"/>
    <cellStyle name="Normal 10 2 10 2 10 4 7" xfId="2783" xr:uid="{00000000-0005-0000-0000-0000DF0A0000}"/>
    <cellStyle name="Normal 10 2 10 2 10 4 8" xfId="2784" xr:uid="{00000000-0005-0000-0000-0000E00A0000}"/>
    <cellStyle name="Normal 10 2 10 2 10 4 9" xfId="2785" xr:uid="{00000000-0005-0000-0000-0000E10A0000}"/>
    <cellStyle name="Normal 10 2 10 2 10 5" xfId="2786" xr:uid="{00000000-0005-0000-0000-0000E20A0000}"/>
    <cellStyle name="Normal 10 2 10 2 10 5 10" xfId="2787" xr:uid="{00000000-0005-0000-0000-0000E30A0000}"/>
    <cellStyle name="Normal 10 2 10 2 10 5 2" xfId="2788" xr:uid="{00000000-0005-0000-0000-0000E40A0000}"/>
    <cellStyle name="Normal 10 2 10 2 10 5 3" xfId="2789" xr:uid="{00000000-0005-0000-0000-0000E50A0000}"/>
    <cellStyle name="Normal 10 2 10 2 10 5 4" xfId="2790" xr:uid="{00000000-0005-0000-0000-0000E60A0000}"/>
    <cellStyle name="Normal 10 2 10 2 10 5 5" xfId="2791" xr:uid="{00000000-0005-0000-0000-0000E70A0000}"/>
    <cellStyle name="Normal 10 2 10 2 10 5 6" xfId="2792" xr:uid="{00000000-0005-0000-0000-0000E80A0000}"/>
    <cellStyle name="Normal 10 2 10 2 10 5 7" xfId="2793" xr:uid="{00000000-0005-0000-0000-0000E90A0000}"/>
    <cellStyle name="Normal 10 2 10 2 10 5 8" xfId="2794" xr:uid="{00000000-0005-0000-0000-0000EA0A0000}"/>
    <cellStyle name="Normal 10 2 10 2 10 5 9" xfId="2795" xr:uid="{00000000-0005-0000-0000-0000EB0A0000}"/>
    <cellStyle name="Normal 10 2 10 2 10 6" xfId="2796" xr:uid="{00000000-0005-0000-0000-0000EC0A0000}"/>
    <cellStyle name="Normal 10 2 10 2 10 7" xfId="2797" xr:uid="{00000000-0005-0000-0000-0000ED0A0000}"/>
    <cellStyle name="Normal 10 2 10 2 10 8" xfId="2798" xr:uid="{00000000-0005-0000-0000-0000EE0A0000}"/>
    <cellStyle name="Normal 10 2 10 2 10 9" xfId="2799" xr:uid="{00000000-0005-0000-0000-0000EF0A0000}"/>
    <cellStyle name="Normal 10 2 10 2 11" xfId="2800" xr:uid="{00000000-0005-0000-0000-0000F00A0000}"/>
    <cellStyle name="Normal 10 2 10 2 11 10" xfId="2801" xr:uid="{00000000-0005-0000-0000-0000F10A0000}"/>
    <cellStyle name="Normal 10 2 10 2 11 11" xfId="2802" xr:uid="{00000000-0005-0000-0000-0000F20A0000}"/>
    <cellStyle name="Normal 10 2 10 2 11 12" xfId="2803" xr:uid="{00000000-0005-0000-0000-0000F30A0000}"/>
    <cellStyle name="Normal 10 2 10 2 11 13" xfId="2804" xr:uid="{00000000-0005-0000-0000-0000F40A0000}"/>
    <cellStyle name="Normal 10 2 10 2 11 14" xfId="2805" xr:uid="{00000000-0005-0000-0000-0000F50A0000}"/>
    <cellStyle name="Normal 10 2 10 2 11 2" xfId="2806" xr:uid="{00000000-0005-0000-0000-0000F60A0000}"/>
    <cellStyle name="Normal 10 2 10 2 11 2 10" xfId="2807" xr:uid="{00000000-0005-0000-0000-0000F70A0000}"/>
    <cellStyle name="Normal 10 2 10 2 11 2 2" xfId="2808" xr:uid="{00000000-0005-0000-0000-0000F80A0000}"/>
    <cellStyle name="Normal 10 2 10 2 11 2 3" xfId="2809" xr:uid="{00000000-0005-0000-0000-0000F90A0000}"/>
    <cellStyle name="Normal 10 2 10 2 11 2 4" xfId="2810" xr:uid="{00000000-0005-0000-0000-0000FA0A0000}"/>
    <cellStyle name="Normal 10 2 10 2 11 2 5" xfId="2811" xr:uid="{00000000-0005-0000-0000-0000FB0A0000}"/>
    <cellStyle name="Normal 10 2 10 2 11 2 6" xfId="2812" xr:uid="{00000000-0005-0000-0000-0000FC0A0000}"/>
    <cellStyle name="Normal 10 2 10 2 11 2 7" xfId="2813" xr:uid="{00000000-0005-0000-0000-0000FD0A0000}"/>
    <cellStyle name="Normal 10 2 10 2 11 2 8" xfId="2814" xr:uid="{00000000-0005-0000-0000-0000FE0A0000}"/>
    <cellStyle name="Normal 10 2 10 2 11 2 9" xfId="2815" xr:uid="{00000000-0005-0000-0000-0000FF0A0000}"/>
    <cellStyle name="Normal 10 2 10 2 11 3" xfId="2816" xr:uid="{00000000-0005-0000-0000-0000000B0000}"/>
    <cellStyle name="Normal 10 2 10 2 11 3 10" xfId="2817" xr:uid="{00000000-0005-0000-0000-0000010B0000}"/>
    <cellStyle name="Normal 10 2 10 2 11 3 2" xfId="2818" xr:uid="{00000000-0005-0000-0000-0000020B0000}"/>
    <cellStyle name="Normal 10 2 10 2 11 3 3" xfId="2819" xr:uid="{00000000-0005-0000-0000-0000030B0000}"/>
    <cellStyle name="Normal 10 2 10 2 11 3 4" xfId="2820" xr:uid="{00000000-0005-0000-0000-0000040B0000}"/>
    <cellStyle name="Normal 10 2 10 2 11 3 5" xfId="2821" xr:uid="{00000000-0005-0000-0000-0000050B0000}"/>
    <cellStyle name="Normal 10 2 10 2 11 3 6" xfId="2822" xr:uid="{00000000-0005-0000-0000-0000060B0000}"/>
    <cellStyle name="Normal 10 2 10 2 11 3 7" xfId="2823" xr:uid="{00000000-0005-0000-0000-0000070B0000}"/>
    <cellStyle name="Normal 10 2 10 2 11 3 8" xfId="2824" xr:uid="{00000000-0005-0000-0000-0000080B0000}"/>
    <cellStyle name="Normal 10 2 10 2 11 3 9" xfId="2825" xr:uid="{00000000-0005-0000-0000-0000090B0000}"/>
    <cellStyle name="Normal 10 2 10 2 11 4" xfId="2826" xr:uid="{00000000-0005-0000-0000-00000A0B0000}"/>
    <cellStyle name="Normal 10 2 10 2 11 4 10" xfId="2827" xr:uid="{00000000-0005-0000-0000-00000B0B0000}"/>
    <cellStyle name="Normal 10 2 10 2 11 4 2" xfId="2828" xr:uid="{00000000-0005-0000-0000-00000C0B0000}"/>
    <cellStyle name="Normal 10 2 10 2 11 4 3" xfId="2829" xr:uid="{00000000-0005-0000-0000-00000D0B0000}"/>
    <cellStyle name="Normal 10 2 10 2 11 4 4" xfId="2830" xr:uid="{00000000-0005-0000-0000-00000E0B0000}"/>
    <cellStyle name="Normal 10 2 10 2 11 4 5" xfId="2831" xr:uid="{00000000-0005-0000-0000-00000F0B0000}"/>
    <cellStyle name="Normal 10 2 10 2 11 4 6" xfId="2832" xr:uid="{00000000-0005-0000-0000-0000100B0000}"/>
    <cellStyle name="Normal 10 2 10 2 11 4 7" xfId="2833" xr:uid="{00000000-0005-0000-0000-0000110B0000}"/>
    <cellStyle name="Normal 10 2 10 2 11 4 8" xfId="2834" xr:uid="{00000000-0005-0000-0000-0000120B0000}"/>
    <cellStyle name="Normal 10 2 10 2 11 4 9" xfId="2835" xr:uid="{00000000-0005-0000-0000-0000130B0000}"/>
    <cellStyle name="Normal 10 2 10 2 11 5" xfId="2836" xr:uid="{00000000-0005-0000-0000-0000140B0000}"/>
    <cellStyle name="Normal 10 2 10 2 11 5 10" xfId="2837" xr:uid="{00000000-0005-0000-0000-0000150B0000}"/>
    <cellStyle name="Normal 10 2 10 2 11 5 2" xfId="2838" xr:uid="{00000000-0005-0000-0000-0000160B0000}"/>
    <cellStyle name="Normal 10 2 10 2 11 5 3" xfId="2839" xr:uid="{00000000-0005-0000-0000-0000170B0000}"/>
    <cellStyle name="Normal 10 2 10 2 11 5 4" xfId="2840" xr:uid="{00000000-0005-0000-0000-0000180B0000}"/>
    <cellStyle name="Normal 10 2 10 2 11 5 5" xfId="2841" xr:uid="{00000000-0005-0000-0000-0000190B0000}"/>
    <cellStyle name="Normal 10 2 10 2 11 5 6" xfId="2842" xr:uid="{00000000-0005-0000-0000-00001A0B0000}"/>
    <cellStyle name="Normal 10 2 10 2 11 5 7" xfId="2843" xr:uid="{00000000-0005-0000-0000-00001B0B0000}"/>
    <cellStyle name="Normal 10 2 10 2 11 5 8" xfId="2844" xr:uid="{00000000-0005-0000-0000-00001C0B0000}"/>
    <cellStyle name="Normal 10 2 10 2 11 5 9" xfId="2845" xr:uid="{00000000-0005-0000-0000-00001D0B0000}"/>
    <cellStyle name="Normal 10 2 10 2 11 6" xfId="2846" xr:uid="{00000000-0005-0000-0000-00001E0B0000}"/>
    <cellStyle name="Normal 10 2 10 2 11 7" xfId="2847" xr:uid="{00000000-0005-0000-0000-00001F0B0000}"/>
    <cellStyle name="Normal 10 2 10 2 11 8" xfId="2848" xr:uid="{00000000-0005-0000-0000-0000200B0000}"/>
    <cellStyle name="Normal 10 2 10 2 11 9" xfId="2849" xr:uid="{00000000-0005-0000-0000-0000210B0000}"/>
    <cellStyle name="Normal 10 2 10 2 12" xfId="2850" xr:uid="{00000000-0005-0000-0000-0000220B0000}"/>
    <cellStyle name="Normal 10 2 10 2 12 10" xfId="2851" xr:uid="{00000000-0005-0000-0000-0000230B0000}"/>
    <cellStyle name="Normal 10 2 10 2 12 11" xfId="2852" xr:uid="{00000000-0005-0000-0000-0000240B0000}"/>
    <cellStyle name="Normal 10 2 10 2 12 12" xfId="2853" xr:uid="{00000000-0005-0000-0000-0000250B0000}"/>
    <cellStyle name="Normal 10 2 10 2 12 13" xfId="2854" xr:uid="{00000000-0005-0000-0000-0000260B0000}"/>
    <cellStyle name="Normal 10 2 10 2 12 14" xfId="2855" xr:uid="{00000000-0005-0000-0000-0000270B0000}"/>
    <cellStyle name="Normal 10 2 10 2 12 2" xfId="2856" xr:uid="{00000000-0005-0000-0000-0000280B0000}"/>
    <cellStyle name="Normal 10 2 10 2 12 2 10" xfId="2857" xr:uid="{00000000-0005-0000-0000-0000290B0000}"/>
    <cellStyle name="Normal 10 2 10 2 12 2 2" xfId="2858" xr:uid="{00000000-0005-0000-0000-00002A0B0000}"/>
    <cellStyle name="Normal 10 2 10 2 12 2 3" xfId="2859" xr:uid="{00000000-0005-0000-0000-00002B0B0000}"/>
    <cellStyle name="Normal 10 2 10 2 12 2 4" xfId="2860" xr:uid="{00000000-0005-0000-0000-00002C0B0000}"/>
    <cellStyle name="Normal 10 2 10 2 12 2 5" xfId="2861" xr:uid="{00000000-0005-0000-0000-00002D0B0000}"/>
    <cellStyle name="Normal 10 2 10 2 12 2 6" xfId="2862" xr:uid="{00000000-0005-0000-0000-00002E0B0000}"/>
    <cellStyle name="Normal 10 2 10 2 12 2 7" xfId="2863" xr:uid="{00000000-0005-0000-0000-00002F0B0000}"/>
    <cellStyle name="Normal 10 2 10 2 12 2 8" xfId="2864" xr:uid="{00000000-0005-0000-0000-0000300B0000}"/>
    <cellStyle name="Normal 10 2 10 2 12 2 9" xfId="2865" xr:uid="{00000000-0005-0000-0000-0000310B0000}"/>
    <cellStyle name="Normal 10 2 10 2 12 3" xfId="2866" xr:uid="{00000000-0005-0000-0000-0000320B0000}"/>
    <cellStyle name="Normal 10 2 10 2 12 3 10" xfId="2867" xr:uid="{00000000-0005-0000-0000-0000330B0000}"/>
    <cellStyle name="Normal 10 2 10 2 12 3 2" xfId="2868" xr:uid="{00000000-0005-0000-0000-0000340B0000}"/>
    <cellStyle name="Normal 10 2 10 2 12 3 3" xfId="2869" xr:uid="{00000000-0005-0000-0000-0000350B0000}"/>
    <cellStyle name="Normal 10 2 10 2 12 3 4" xfId="2870" xr:uid="{00000000-0005-0000-0000-0000360B0000}"/>
    <cellStyle name="Normal 10 2 10 2 12 3 5" xfId="2871" xr:uid="{00000000-0005-0000-0000-0000370B0000}"/>
    <cellStyle name="Normal 10 2 10 2 12 3 6" xfId="2872" xr:uid="{00000000-0005-0000-0000-0000380B0000}"/>
    <cellStyle name="Normal 10 2 10 2 12 3 7" xfId="2873" xr:uid="{00000000-0005-0000-0000-0000390B0000}"/>
    <cellStyle name="Normal 10 2 10 2 12 3 8" xfId="2874" xr:uid="{00000000-0005-0000-0000-00003A0B0000}"/>
    <cellStyle name="Normal 10 2 10 2 12 3 9" xfId="2875" xr:uid="{00000000-0005-0000-0000-00003B0B0000}"/>
    <cellStyle name="Normal 10 2 10 2 12 4" xfId="2876" xr:uid="{00000000-0005-0000-0000-00003C0B0000}"/>
    <cellStyle name="Normal 10 2 10 2 12 4 10" xfId="2877" xr:uid="{00000000-0005-0000-0000-00003D0B0000}"/>
    <cellStyle name="Normal 10 2 10 2 12 4 2" xfId="2878" xr:uid="{00000000-0005-0000-0000-00003E0B0000}"/>
    <cellStyle name="Normal 10 2 10 2 12 4 3" xfId="2879" xr:uid="{00000000-0005-0000-0000-00003F0B0000}"/>
    <cellStyle name="Normal 10 2 10 2 12 4 4" xfId="2880" xr:uid="{00000000-0005-0000-0000-0000400B0000}"/>
    <cellStyle name="Normal 10 2 10 2 12 4 5" xfId="2881" xr:uid="{00000000-0005-0000-0000-0000410B0000}"/>
    <cellStyle name="Normal 10 2 10 2 12 4 6" xfId="2882" xr:uid="{00000000-0005-0000-0000-0000420B0000}"/>
    <cellStyle name="Normal 10 2 10 2 12 4 7" xfId="2883" xr:uid="{00000000-0005-0000-0000-0000430B0000}"/>
    <cellStyle name="Normal 10 2 10 2 12 4 8" xfId="2884" xr:uid="{00000000-0005-0000-0000-0000440B0000}"/>
    <cellStyle name="Normal 10 2 10 2 12 4 9" xfId="2885" xr:uid="{00000000-0005-0000-0000-0000450B0000}"/>
    <cellStyle name="Normal 10 2 10 2 12 5" xfId="2886" xr:uid="{00000000-0005-0000-0000-0000460B0000}"/>
    <cellStyle name="Normal 10 2 10 2 12 5 10" xfId="2887" xr:uid="{00000000-0005-0000-0000-0000470B0000}"/>
    <cellStyle name="Normal 10 2 10 2 12 5 2" xfId="2888" xr:uid="{00000000-0005-0000-0000-0000480B0000}"/>
    <cellStyle name="Normal 10 2 10 2 12 5 3" xfId="2889" xr:uid="{00000000-0005-0000-0000-0000490B0000}"/>
    <cellStyle name="Normal 10 2 10 2 12 5 4" xfId="2890" xr:uid="{00000000-0005-0000-0000-00004A0B0000}"/>
    <cellStyle name="Normal 10 2 10 2 12 5 5" xfId="2891" xr:uid="{00000000-0005-0000-0000-00004B0B0000}"/>
    <cellStyle name="Normal 10 2 10 2 12 5 6" xfId="2892" xr:uid="{00000000-0005-0000-0000-00004C0B0000}"/>
    <cellStyle name="Normal 10 2 10 2 12 5 7" xfId="2893" xr:uid="{00000000-0005-0000-0000-00004D0B0000}"/>
    <cellStyle name="Normal 10 2 10 2 12 5 8" xfId="2894" xr:uid="{00000000-0005-0000-0000-00004E0B0000}"/>
    <cellStyle name="Normal 10 2 10 2 12 5 9" xfId="2895" xr:uid="{00000000-0005-0000-0000-00004F0B0000}"/>
    <cellStyle name="Normal 10 2 10 2 12 6" xfId="2896" xr:uid="{00000000-0005-0000-0000-0000500B0000}"/>
    <cellStyle name="Normal 10 2 10 2 12 7" xfId="2897" xr:uid="{00000000-0005-0000-0000-0000510B0000}"/>
    <cellStyle name="Normal 10 2 10 2 12 8" xfId="2898" xr:uid="{00000000-0005-0000-0000-0000520B0000}"/>
    <cellStyle name="Normal 10 2 10 2 12 9" xfId="2899" xr:uid="{00000000-0005-0000-0000-0000530B0000}"/>
    <cellStyle name="Normal 10 2 10 2 13" xfId="2900" xr:uid="{00000000-0005-0000-0000-0000540B0000}"/>
    <cellStyle name="Normal 10 2 10 2 13 10" xfId="2901" xr:uid="{00000000-0005-0000-0000-0000550B0000}"/>
    <cellStyle name="Normal 10 2 10 2 13 11" xfId="2902" xr:uid="{00000000-0005-0000-0000-0000560B0000}"/>
    <cellStyle name="Normal 10 2 10 2 13 12" xfId="2903" xr:uid="{00000000-0005-0000-0000-0000570B0000}"/>
    <cellStyle name="Normal 10 2 10 2 13 13" xfId="2904" xr:uid="{00000000-0005-0000-0000-0000580B0000}"/>
    <cellStyle name="Normal 10 2 10 2 13 14" xfId="2905" xr:uid="{00000000-0005-0000-0000-0000590B0000}"/>
    <cellStyle name="Normal 10 2 10 2 13 2" xfId="2906" xr:uid="{00000000-0005-0000-0000-00005A0B0000}"/>
    <cellStyle name="Normal 10 2 10 2 13 2 10" xfId="2907" xr:uid="{00000000-0005-0000-0000-00005B0B0000}"/>
    <cellStyle name="Normal 10 2 10 2 13 2 2" xfId="2908" xr:uid="{00000000-0005-0000-0000-00005C0B0000}"/>
    <cellStyle name="Normal 10 2 10 2 13 2 3" xfId="2909" xr:uid="{00000000-0005-0000-0000-00005D0B0000}"/>
    <cellStyle name="Normal 10 2 10 2 13 2 4" xfId="2910" xr:uid="{00000000-0005-0000-0000-00005E0B0000}"/>
    <cellStyle name="Normal 10 2 10 2 13 2 5" xfId="2911" xr:uid="{00000000-0005-0000-0000-00005F0B0000}"/>
    <cellStyle name="Normal 10 2 10 2 13 2 6" xfId="2912" xr:uid="{00000000-0005-0000-0000-0000600B0000}"/>
    <cellStyle name="Normal 10 2 10 2 13 2 7" xfId="2913" xr:uid="{00000000-0005-0000-0000-0000610B0000}"/>
    <cellStyle name="Normal 10 2 10 2 13 2 8" xfId="2914" xr:uid="{00000000-0005-0000-0000-0000620B0000}"/>
    <cellStyle name="Normal 10 2 10 2 13 2 9" xfId="2915" xr:uid="{00000000-0005-0000-0000-0000630B0000}"/>
    <cellStyle name="Normal 10 2 10 2 13 3" xfId="2916" xr:uid="{00000000-0005-0000-0000-0000640B0000}"/>
    <cellStyle name="Normal 10 2 10 2 13 3 10" xfId="2917" xr:uid="{00000000-0005-0000-0000-0000650B0000}"/>
    <cellStyle name="Normal 10 2 10 2 13 3 2" xfId="2918" xr:uid="{00000000-0005-0000-0000-0000660B0000}"/>
    <cellStyle name="Normal 10 2 10 2 13 3 3" xfId="2919" xr:uid="{00000000-0005-0000-0000-0000670B0000}"/>
    <cellStyle name="Normal 10 2 10 2 13 3 4" xfId="2920" xr:uid="{00000000-0005-0000-0000-0000680B0000}"/>
    <cellStyle name="Normal 10 2 10 2 13 3 5" xfId="2921" xr:uid="{00000000-0005-0000-0000-0000690B0000}"/>
    <cellStyle name="Normal 10 2 10 2 13 3 6" xfId="2922" xr:uid="{00000000-0005-0000-0000-00006A0B0000}"/>
    <cellStyle name="Normal 10 2 10 2 13 3 7" xfId="2923" xr:uid="{00000000-0005-0000-0000-00006B0B0000}"/>
    <cellStyle name="Normal 10 2 10 2 13 3 8" xfId="2924" xr:uid="{00000000-0005-0000-0000-00006C0B0000}"/>
    <cellStyle name="Normal 10 2 10 2 13 3 9" xfId="2925" xr:uid="{00000000-0005-0000-0000-00006D0B0000}"/>
    <cellStyle name="Normal 10 2 10 2 13 4" xfId="2926" xr:uid="{00000000-0005-0000-0000-00006E0B0000}"/>
    <cellStyle name="Normal 10 2 10 2 13 4 10" xfId="2927" xr:uid="{00000000-0005-0000-0000-00006F0B0000}"/>
    <cellStyle name="Normal 10 2 10 2 13 4 2" xfId="2928" xr:uid="{00000000-0005-0000-0000-0000700B0000}"/>
    <cellStyle name="Normal 10 2 10 2 13 4 3" xfId="2929" xr:uid="{00000000-0005-0000-0000-0000710B0000}"/>
    <cellStyle name="Normal 10 2 10 2 13 4 4" xfId="2930" xr:uid="{00000000-0005-0000-0000-0000720B0000}"/>
    <cellStyle name="Normal 10 2 10 2 13 4 5" xfId="2931" xr:uid="{00000000-0005-0000-0000-0000730B0000}"/>
    <cellStyle name="Normal 10 2 10 2 13 4 6" xfId="2932" xr:uid="{00000000-0005-0000-0000-0000740B0000}"/>
    <cellStyle name="Normal 10 2 10 2 13 4 7" xfId="2933" xr:uid="{00000000-0005-0000-0000-0000750B0000}"/>
    <cellStyle name="Normal 10 2 10 2 13 4 8" xfId="2934" xr:uid="{00000000-0005-0000-0000-0000760B0000}"/>
    <cellStyle name="Normal 10 2 10 2 13 4 9" xfId="2935" xr:uid="{00000000-0005-0000-0000-0000770B0000}"/>
    <cellStyle name="Normal 10 2 10 2 13 5" xfId="2936" xr:uid="{00000000-0005-0000-0000-0000780B0000}"/>
    <cellStyle name="Normal 10 2 10 2 13 5 10" xfId="2937" xr:uid="{00000000-0005-0000-0000-0000790B0000}"/>
    <cellStyle name="Normal 10 2 10 2 13 5 2" xfId="2938" xr:uid="{00000000-0005-0000-0000-00007A0B0000}"/>
    <cellStyle name="Normal 10 2 10 2 13 5 3" xfId="2939" xr:uid="{00000000-0005-0000-0000-00007B0B0000}"/>
    <cellStyle name="Normal 10 2 10 2 13 5 4" xfId="2940" xr:uid="{00000000-0005-0000-0000-00007C0B0000}"/>
    <cellStyle name="Normal 10 2 10 2 13 5 5" xfId="2941" xr:uid="{00000000-0005-0000-0000-00007D0B0000}"/>
    <cellStyle name="Normal 10 2 10 2 13 5 6" xfId="2942" xr:uid="{00000000-0005-0000-0000-00007E0B0000}"/>
    <cellStyle name="Normal 10 2 10 2 13 5 7" xfId="2943" xr:uid="{00000000-0005-0000-0000-00007F0B0000}"/>
    <cellStyle name="Normal 10 2 10 2 13 5 8" xfId="2944" xr:uid="{00000000-0005-0000-0000-0000800B0000}"/>
    <cellStyle name="Normal 10 2 10 2 13 5 9" xfId="2945" xr:uid="{00000000-0005-0000-0000-0000810B0000}"/>
    <cellStyle name="Normal 10 2 10 2 13 6" xfId="2946" xr:uid="{00000000-0005-0000-0000-0000820B0000}"/>
    <cellStyle name="Normal 10 2 10 2 13 7" xfId="2947" xr:uid="{00000000-0005-0000-0000-0000830B0000}"/>
    <cellStyle name="Normal 10 2 10 2 13 8" xfId="2948" xr:uid="{00000000-0005-0000-0000-0000840B0000}"/>
    <cellStyle name="Normal 10 2 10 2 13 9" xfId="2949" xr:uid="{00000000-0005-0000-0000-0000850B0000}"/>
    <cellStyle name="Normal 10 2 10 2 14" xfId="2950" xr:uid="{00000000-0005-0000-0000-0000860B0000}"/>
    <cellStyle name="Normal 10 2 10 2 14 10" xfId="2951" xr:uid="{00000000-0005-0000-0000-0000870B0000}"/>
    <cellStyle name="Normal 10 2 10 2 14 11" xfId="2952" xr:uid="{00000000-0005-0000-0000-0000880B0000}"/>
    <cellStyle name="Normal 10 2 10 2 14 12" xfId="2953" xr:uid="{00000000-0005-0000-0000-0000890B0000}"/>
    <cellStyle name="Normal 10 2 10 2 14 13" xfId="2954" xr:uid="{00000000-0005-0000-0000-00008A0B0000}"/>
    <cellStyle name="Normal 10 2 10 2 14 14" xfId="2955" xr:uid="{00000000-0005-0000-0000-00008B0B0000}"/>
    <cellStyle name="Normal 10 2 10 2 14 2" xfId="2956" xr:uid="{00000000-0005-0000-0000-00008C0B0000}"/>
    <cellStyle name="Normal 10 2 10 2 14 2 10" xfId="2957" xr:uid="{00000000-0005-0000-0000-00008D0B0000}"/>
    <cellStyle name="Normal 10 2 10 2 14 2 2" xfId="2958" xr:uid="{00000000-0005-0000-0000-00008E0B0000}"/>
    <cellStyle name="Normal 10 2 10 2 14 2 3" xfId="2959" xr:uid="{00000000-0005-0000-0000-00008F0B0000}"/>
    <cellStyle name="Normal 10 2 10 2 14 2 4" xfId="2960" xr:uid="{00000000-0005-0000-0000-0000900B0000}"/>
    <cellStyle name="Normal 10 2 10 2 14 2 5" xfId="2961" xr:uid="{00000000-0005-0000-0000-0000910B0000}"/>
    <cellStyle name="Normal 10 2 10 2 14 2 6" xfId="2962" xr:uid="{00000000-0005-0000-0000-0000920B0000}"/>
    <cellStyle name="Normal 10 2 10 2 14 2 7" xfId="2963" xr:uid="{00000000-0005-0000-0000-0000930B0000}"/>
    <cellStyle name="Normal 10 2 10 2 14 2 8" xfId="2964" xr:uid="{00000000-0005-0000-0000-0000940B0000}"/>
    <cellStyle name="Normal 10 2 10 2 14 2 9" xfId="2965" xr:uid="{00000000-0005-0000-0000-0000950B0000}"/>
    <cellStyle name="Normal 10 2 10 2 14 3" xfId="2966" xr:uid="{00000000-0005-0000-0000-0000960B0000}"/>
    <cellStyle name="Normal 10 2 10 2 14 3 10" xfId="2967" xr:uid="{00000000-0005-0000-0000-0000970B0000}"/>
    <cellStyle name="Normal 10 2 10 2 14 3 2" xfId="2968" xr:uid="{00000000-0005-0000-0000-0000980B0000}"/>
    <cellStyle name="Normal 10 2 10 2 14 3 3" xfId="2969" xr:uid="{00000000-0005-0000-0000-0000990B0000}"/>
    <cellStyle name="Normal 10 2 10 2 14 3 4" xfId="2970" xr:uid="{00000000-0005-0000-0000-00009A0B0000}"/>
    <cellStyle name="Normal 10 2 10 2 14 3 5" xfId="2971" xr:uid="{00000000-0005-0000-0000-00009B0B0000}"/>
    <cellStyle name="Normal 10 2 10 2 14 3 6" xfId="2972" xr:uid="{00000000-0005-0000-0000-00009C0B0000}"/>
    <cellStyle name="Normal 10 2 10 2 14 3 7" xfId="2973" xr:uid="{00000000-0005-0000-0000-00009D0B0000}"/>
    <cellStyle name="Normal 10 2 10 2 14 3 8" xfId="2974" xr:uid="{00000000-0005-0000-0000-00009E0B0000}"/>
    <cellStyle name="Normal 10 2 10 2 14 3 9" xfId="2975" xr:uid="{00000000-0005-0000-0000-00009F0B0000}"/>
    <cellStyle name="Normal 10 2 10 2 14 4" xfId="2976" xr:uid="{00000000-0005-0000-0000-0000A00B0000}"/>
    <cellStyle name="Normal 10 2 10 2 14 4 10" xfId="2977" xr:uid="{00000000-0005-0000-0000-0000A10B0000}"/>
    <cellStyle name="Normal 10 2 10 2 14 4 2" xfId="2978" xr:uid="{00000000-0005-0000-0000-0000A20B0000}"/>
    <cellStyle name="Normal 10 2 10 2 14 4 3" xfId="2979" xr:uid="{00000000-0005-0000-0000-0000A30B0000}"/>
    <cellStyle name="Normal 10 2 10 2 14 4 4" xfId="2980" xr:uid="{00000000-0005-0000-0000-0000A40B0000}"/>
    <cellStyle name="Normal 10 2 10 2 14 4 5" xfId="2981" xr:uid="{00000000-0005-0000-0000-0000A50B0000}"/>
    <cellStyle name="Normal 10 2 10 2 14 4 6" xfId="2982" xr:uid="{00000000-0005-0000-0000-0000A60B0000}"/>
    <cellStyle name="Normal 10 2 10 2 14 4 7" xfId="2983" xr:uid="{00000000-0005-0000-0000-0000A70B0000}"/>
    <cellStyle name="Normal 10 2 10 2 14 4 8" xfId="2984" xr:uid="{00000000-0005-0000-0000-0000A80B0000}"/>
    <cellStyle name="Normal 10 2 10 2 14 4 9" xfId="2985" xr:uid="{00000000-0005-0000-0000-0000A90B0000}"/>
    <cellStyle name="Normal 10 2 10 2 14 5" xfId="2986" xr:uid="{00000000-0005-0000-0000-0000AA0B0000}"/>
    <cellStyle name="Normal 10 2 10 2 14 5 10" xfId="2987" xr:uid="{00000000-0005-0000-0000-0000AB0B0000}"/>
    <cellStyle name="Normal 10 2 10 2 14 5 2" xfId="2988" xr:uid="{00000000-0005-0000-0000-0000AC0B0000}"/>
    <cellStyle name="Normal 10 2 10 2 14 5 3" xfId="2989" xr:uid="{00000000-0005-0000-0000-0000AD0B0000}"/>
    <cellStyle name="Normal 10 2 10 2 14 5 4" xfId="2990" xr:uid="{00000000-0005-0000-0000-0000AE0B0000}"/>
    <cellStyle name="Normal 10 2 10 2 14 5 5" xfId="2991" xr:uid="{00000000-0005-0000-0000-0000AF0B0000}"/>
    <cellStyle name="Normal 10 2 10 2 14 5 6" xfId="2992" xr:uid="{00000000-0005-0000-0000-0000B00B0000}"/>
    <cellStyle name="Normal 10 2 10 2 14 5 7" xfId="2993" xr:uid="{00000000-0005-0000-0000-0000B10B0000}"/>
    <cellStyle name="Normal 10 2 10 2 14 5 8" xfId="2994" xr:uid="{00000000-0005-0000-0000-0000B20B0000}"/>
    <cellStyle name="Normal 10 2 10 2 14 5 9" xfId="2995" xr:uid="{00000000-0005-0000-0000-0000B30B0000}"/>
    <cellStyle name="Normal 10 2 10 2 14 6" xfId="2996" xr:uid="{00000000-0005-0000-0000-0000B40B0000}"/>
    <cellStyle name="Normal 10 2 10 2 14 7" xfId="2997" xr:uid="{00000000-0005-0000-0000-0000B50B0000}"/>
    <cellStyle name="Normal 10 2 10 2 14 8" xfId="2998" xr:uid="{00000000-0005-0000-0000-0000B60B0000}"/>
    <cellStyle name="Normal 10 2 10 2 14 9" xfId="2999" xr:uid="{00000000-0005-0000-0000-0000B70B0000}"/>
    <cellStyle name="Normal 10 2 10 2 15" xfId="3000" xr:uid="{00000000-0005-0000-0000-0000B80B0000}"/>
    <cellStyle name="Normal 10 2 10 2 15 10" xfId="3001" xr:uid="{00000000-0005-0000-0000-0000B90B0000}"/>
    <cellStyle name="Normal 10 2 10 2 15 11" xfId="3002" xr:uid="{00000000-0005-0000-0000-0000BA0B0000}"/>
    <cellStyle name="Normal 10 2 10 2 15 12" xfId="3003" xr:uid="{00000000-0005-0000-0000-0000BB0B0000}"/>
    <cellStyle name="Normal 10 2 10 2 15 13" xfId="3004" xr:uid="{00000000-0005-0000-0000-0000BC0B0000}"/>
    <cellStyle name="Normal 10 2 10 2 15 14" xfId="3005" xr:uid="{00000000-0005-0000-0000-0000BD0B0000}"/>
    <cellStyle name="Normal 10 2 10 2 15 2" xfId="3006" xr:uid="{00000000-0005-0000-0000-0000BE0B0000}"/>
    <cellStyle name="Normal 10 2 10 2 15 2 10" xfId="3007" xr:uid="{00000000-0005-0000-0000-0000BF0B0000}"/>
    <cellStyle name="Normal 10 2 10 2 15 2 2" xfId="3008" xr:uid="{00000000-0005-0000-0000-0000C00B0000}"/>
    <cellStyle name="Normal 10 2 10 2 15 2 3" xfId="3009" xr:uid="{00000000-0005-0000-0000-0000C10B0000}"/>
    <cellStyle name="Normal 10 2 10 2 15 2 4" xfId="3010" xr:uid="{00000000-0005-0000-0000-0000C20B0000}"/>
    <cellStyle name="Normal 10 2 10 2 15 2 5" xfId="3011" xr:uid="{00000000-0005-0000-0000-0000C30B0000}"/>
    <cellStyle name="Normal 10 2 10 2 15 2 6" xfId="3012" xr:uid="{00000000-0005-0000-0000-0000C40B0000}"/>
    <cellStyle name="Normal 10 2 10 2 15 2 7" xfId="3013" xr:uid="{00000000-0005-0000-0000-0000C50B0000}"/>
    <cellStyle name="Normal 10 2 10 2 15 2 8" xfId="3014" xr:uid="{00000000-0005-0000-0000-0000C60B0000}"/>
    <cellStyle name="Normal 10 2 10 2 15 2 9" xfId="3015" xr:uid="{00000000-0005-0000-0000-0000C70B0000}"/>
    <cellStyle name="Normal 10 2 10 2 15 3" xfId="3016" xr:uid="{00000000-0005-0000-0000-0000C80B0000}"/>
    <cellStyle name="Normal 10 2 10 2 15 3 10" xfId="3017" xr:uid="{00000000-0005-0000-0000-0000C90B0000}"/>
    <cellStyle name="Normal 10 2 10 2 15 3 2" xfId="3018" xr:uid="{00000000-0005-0000-0000-0000CA0B0000}"/>
    <cellStyle name="Normal 10 2 10 2 15 3 3" xfId="3019" xr:uid="{00000000-0005-0000-0000-0000CB0B0000}"/>
    <cellStyle name="Normal 10 2 10 2 15 3 4" xfId="3020" xr:uid="{00000000-0005-0000-0000-0000CC0B0000}"/>
    <cellStyle name="Normal 10 2 10 2 15 3 5" xfId="3021" xr:uid="{00000000-0005-0000-0000-0000CD0B0000}"/>
    <cellStyle name="Normal 10 2 10 2 15 3 6" xfId="3022" xr:uid="{00000000-0005-0000-0000-0000CE0B0000}"/>
    <cellStyle name="Normal 10 2 10 2 15 3 7" xfId="3023" xr:uid="{00000000-0005-0000-0000-0000CF0B0000}"/>
    <cellStyle name="Normal 10 2 10 2 15 3 8" xfId="3024" xr:uid="{00000000-0005-0000-0000-0000D00B0000}"/>
    <cellStyle name="Normal 10 2 10 2 15 3 9" xfId="3025" xr:uid="{00000000-0005-0000-0000-0000D10B0000}"/>
    <cellStyle name="Normal 10 2 10 2 15 4" xfId="3026" xr:uid="{00000000-0005-0000-0000-0000D20B0000}"/>
    <cellStyle name="Normal 10 2 10 2 15 4 10" xfId="3027" xr:uid="{00000000-0005-0000-0000-0000D30B0000}"/>
    <cellStyle name="Normal 10 2 10 2 15 4 2" xfId="3028" xr:uid="{00000000-0005-0000-0000-0000D40B0000}"/>
    <cellStyle name="Normal 10 2 10 2 15 4 3" xfId="3029" xr:uid="{00000000-0005-0000-0000-0000D50B0000}"/>
    <cellStyle name="Normal 10 2 10 2 15 4 4" xfId="3030" xr:uid="{00000000-0005-0000-0000-0000D60B0000}"/>
    <cellStyle name="Normal 10 2 10 2 15 4 5" xfId="3031" xr:uid="{00000000-0005-0000-0000-0000D70B0000}"/>
    <cellStyle name="Normal 10 2 10 2 15 4 6" xfId="3032" xr:uid="{00000000-0005-0000-0000-0000D80B0000}"/>
    <cellStyle name="Normal 10 2 10 2 15 4 7" xfId="3033" xr:uid="{00000000-0005-0000-0000-0000D90B0000}"/>
    <cellStyle name="Normal 10 2 10 2 15 4 8" xfId="3034" xr:uid="{00000000-0005-0000-0000-0000DA0B0000}"/>
    <cellStyle name="Normal 10 2 10 2 15 4 9" xfId="3035" xr:uid="{00000000-0005-0000-0000-0000DB0B0000}"/>
    <cellStyle name="Normal 10 2 10 2 15 5" xfId="3036" xr:uid="{00000000-0005-0000-0000-0000DC0B0000}"/>
    <cellStyle name="Normal 10 2 10 2 15 5 10" xfId="3037" xr:uid="{00000000-0005-0000-0000-0000DD0B0000}"/>
    <cellStyle name="Normal 10 2 10 2 15 5 2" xfId="3038" xr:uid="{00000000-0005-0000-0000-0000DE0B0000}"/>
    <cellStyle name="Normal 10 2 10 2 15 5 3" xfId="3039" xr:uid="{00000000-0005-0000-0000-0000DF0B0000}"/>
    <cellStyle name="Normal 10 2 10 2 15 5 4" xfId="3040" xr:uid="{00000000-0005-0000-0000-0000E00B0000}"/>
    <cellStyle name="Normal 10 2 10 2 15 5 5" xfId="3041" xr:uid="{00000000-0005-0000-0000-0000E10B0000}"/>
    <cellStyle name="Normal 10 2 10 2 15 5 6" xfId="3042" xr:uid="{00000000-0005-0000-0000-0000E20B0000}"/>
    <cellStyle name="Normal 10 2 10 2 15 5 7" xfId="3043" xr:uid="{00000000-0005-0000-0000-0000E30B0000}"/>
    <cellStyle name="Normal 10 2 10 2 15 5 8" xfId="3044" xr:uid="{00000000-0005-0000-0000-0000E40B0000}"/>
    <cellStyle name="Normal 10 2 10 2 15 5 9" xfId="3045" xr:uid="{00000000-0005-0000-0000-0000E50B0000}"/>
    <cellStyle name="Normal 10 2 10 2 15 6" xfId="3046" xr:uid="{00000000-0005-0000-0000-0000E60B0000}"/>
    <cellStyle name="Normal 10 2 10 2 15 7" xfId="3047" xr:uid="{00000000-0005-0000-0000-0000E70B0000}"/>
    <cellStyle name="Normal 10 2 10 2 15 8" xfId="3048" xr:uid="{00000000-0005-0000-0000-0000E80B0000}"/>
    <cellStyle name="Normal 10 2 10 2 15 9" xfId="3049" xr:uid="{00000000-0005-0000-0000-0000E90B0000}"/>
    <cellStyle name="Normal 10 2 10 2 16" xfId="3050" xr:uid="{00000000-0005-0000-0000-0000EA0B0000}"/>
    <cellStyle name="Normal 10 2 10 2 16 10" xfId="3051" xr:uid="{00000000-0005-0000-0000-0000EB0B0000}"/>
    <cellStyle name="Normal 10 2 10 2 16 11" xfId="3052" xr:uid="{00000000-0005-0000-0000-0000EC0B0000}"/>
    <cellStyle name="Normal 10 2 10 2 16 12" xfId="3053" xr:uid="{00000000-0005-0000-0000-0000ED0B0000}"/>
    <cellStyle name="Normal 10 2 10 2 16 13" xfId="3054" xr:uid="{00000000-0005-0000-0000-0000EE0B0000}"/>
    <cellStyle name="Normal 10 2 10 2 16 14" xfId="3055" xr:uid="{00000000-0005-0000-0000-0000EF0B0000}"/>
    <cellStyle name="Normal 10 2 10 2 16 2" xfId="3056" xr:uid="{00000000-0005-0000-0000-0000F00B0000}"/>
    <cellStyle name="Normal 10 2 10 2 16 2 10" xfId="3057" xr:uid="{00000000-0005-0000-0000-0000F10B0000}"/>
    <cellStyle name="Normal 10 2 10 2 16 2 2" xfId="3058" xr:uid="{00000000-0005-0000-0000-0000F20B0000}"/>
    <cellStyle name="Normal 10 2 10 2 16 2 3" xfId="3059" xr:uid="{00000000-0005-0000-0000-0000F30B0000}"/>
    <cellStyle name="Normal 10 2 10 2 16 2 4" xfId="3060" xr:uid="{00000000-0005-0000-0000-0000F40B0000}"/>
    <cellStyle name="Normal 10 2 10 2 16 2 5" xfId="3061" xr:uid="{00000000-0005-0000-0000-0000F50B0000}"/>
    <cellStyle name="Normal 10 2 10 2 16 2 6" xfId="3062" xr:uid="{00000000-0005-0000-0000-0000F60B0000}"/>
    <cellStyle name="Normal 10 2 10 2 16 2 7" xfId="3063" xr:uid="{00000000-0005-0000-0000-0000F70B0000}"/>
    <cellStyle name="Normal 10 2 10 2 16 2 8" xfId="3064" xr:uid="{00000000-0005-0000-0000-0000F80B0000}"/>
    <cellStyle name="Normal 10 2 10 2 16 2 9" xfId="3065" xr:uid="{00000000-0005-0000-0000-0000F90B0000}"/>
    <cellStyle name="Normal 10 2 10 2 16 3" xfId="3066" xr:uid="{00000000-0005-0000-0000-0000FA0B0000}"/>
    <cellStyle name="Normal 10 2 10 2 16 3 10" xfId="3067" xr:uid="{00000000-0005-0000-0000-0000FB0B0000}"/>
    <cellStyle name="Normal 10 2 10 2 16 3 2" xfId="3068" xr:uid="{00000000-0005-0000-0000-0000FC0B0000}"/>
    <cellStyle name="Normal 10 2 10 2 16 3 3" xfId="3069" xr:uid="{00000000-0005-0000-0000-0000FD0B0000}"/>
    <cellStyle name="Normal 10 2 10 2 16 3 4" xfId="3070" xr:uid="{00000000-0005-0000-0000-0000FE0B0000}"/>
    <cellStyle name="Normal 10 2 10 2 16 3 5" xfId="3071" xr:uid="{00000000-0005-0000-0000-0000FF0B0000}"/>
    <cellStyle name="Normal 10 2 10 2 16 3 6" xfId="3072" xr:uid="{00000000-0005-0000-0000-0000000C0000}"/>
    <cellStyle name="Normal 10 2 10 2 16 3 7" xfId="3073" xr:uid="{00000000-0005-0000-0000-0000010C0000}"/>
    <cellStyle name="Normal 10 2 10 2 16 3 8" xfId="3074" xr:uid="{00000000-0005-0000-0000-0000020C0000}"/>
    <cellStyle name="Normal 10 2 10 2 16 3 9" xfId="3075" xr:uid="{00000000-0005-0000-0000-0000030C0000}"/>
    <cellStyle name="Normal 10 2 10 2 16 4" xfId="3076" xr:uid="{00000000-0005-0000-0000-0000040C0000}"/>
    <cellStyle name="Normal 10 2 10 2 16 4 10" xfId="3077" xr:uid="{00000000-0005-0000-0000-0000050C0000}"/>
    <cellStyle name="Normal 10 2 10 2 16 4 2" xfId="3078" xr:uid="{00000000-0005-0000-0000-0000060C0000}"/>
    <cellStyle name="Normal 10 2 10 2 16 4 3" xfId="3079" xr:uid="{00000000-0005-0000-0000-0000070C0000}"/>
    <cellStyle name="Normal 10 2 10 2 16 4 4" xfId="3080" xr:uid="{00000000-0005-0000-0000-0000080C0000}"/>
    <cellStyle name="Normal 10 2 10 2 16 4 5" xfId="3081" xr:uid="{00000000-0005-0000-0000-0000090C0000}"/>
    <cellStyle name="Normal 10 2 10 2 16 4 6" xfId="3082" xr:uid="{00000000-0005-0000-0000-00000A0C0000}"/>
    <cellStyle name="Normal 10 2 10 2 16 4 7" xfId="3083" xr:uid="{00000000-0005-0000-0000-00000B0C0000}"/>
    <cellStyle name="Normal 10 2 10 2 16 4 8" xfId="3084" xr:uid="{00000000-0005-0000-0000-00000C0C0000}"/>
    <cellStyle name="Normal 10 2 10 2 16 4 9" xfId="3085" xr:uid="{00000000-0005-0000-0000-00000D0C0000}"/>
    <cellStyle name="Normal 10 2 10 2 16 5" xfId="3086" xr:uid="{00000000-0005-0000-0000-00000E0C0000}"/>
    <cellStyle name="Normal 10 2 10 2 16 5 10" xfId="3087" xr:uid="{00000000-0005-0000-0000-00000F0C0000}"/>
    <cellStyle name="Normal 10 2 10 2 16 5 2" xfId="3088" xr:uid="{00000000-0005-0000-0000-0000100C0000}"/>
    <cellStyle name="Normal 10 2 10 2 16 5 3" xfId="3089" xr:uid="{00000000-0005-0000-0000-0000110C0000}"/>
    <cellStyle name="Normal 10 2 10 2 16 5 4" xfId="3090" xr:uid="{00000000-0005-0000-0000-0000120C0000}"/>
    <cellStyle name="Normal 10 2 10 2 16 5 5" xfId="3091" xr:uid="{00000000-0005-0000-0000-0000130C0000}"/>
    <cellStyle name="Normal 10 2 10 2 16 5 6" xfId="3092" xr:uid="{00000000-0005-0000-0000-0000140C0000}"/>
    <cellStyle name="Normal 10 2 10 2 16 5 7" xfId="3093" xr:uid="{00000000-0005-0000-0000-0000150C0000}"/>
    <cellStyle name="Normal 10 2 10 2 16 5 8" xfId="3094" xr:uid="{00000000-0005-0000-0000-0000160C0000}"/>
    <cellStyle name="Normal 10 2 10 2 16 5 9" xfId="3095" xr:uid="{00000000-0005-0000-0000-0000170C0000}"/>
    <cellStyle name="Normal 10 2 10 2 16 6" xfId="3096" xr:uid="{00000000-0005-0000-0000-0000180C0000}"/>
    <cellStyle name="Normal 10 2 10 2 16 7" xfId="3097" xr:uid="{00000000-0005-0000-0000-0000190C0000}"/>
    <cellStyle name="Normal 10 2 10 2 16 8" xfId="3098" xr:uid="{00000000-0005-0000-0000-00001A0C0000}"/>
    <cellStyle name="Normal 10 2 10 2 16 9" xfId="3099" xr:uid="{00000000-0005-0000-0000-00001B0C0000}"/>
    <cellStyle name="Normal 10 2 10 2 17" xfId="3100" xr:uid="{00000000-0005-0000-0000-00001C0C0000}"/>
    <cellStyle name="Normal 10 2 10 2 17 10" xfId="3101" xr:uid="{00000000-0005-0000-0000-00001D0C0000}"/>
    <cellStyle name="Normal 10 2 10 2 17 11" xfId="3102" xr:uid="{00000000-0005-0000-0000-00001E0C0000}"/>
    <cellStyle name="Normal 10 2 10 2 17 12" xfId="3103" xr:uid="{00000000-0005-0000-0000-00001F0C0000}"/>
    <cellStyle name="Normal 10 2 10 2 17 13" xfId="3104" xr:uid="{00000000-0005-0000-0000-0000200C0000}"/>
    <cellStyle name="Normal 10 2 10 2 17 14" xfId="3105" xr:uid="{00000000-0005-0000-0000-0000210C0000}"/>
    <cellStyle name="Normal 10 2 10 2 17 2" xfId="3106" xr:uid="{00000000-0005-0000-0000-0000220C0000}"/>
    <cellStyle name="Normal 10 2 10 2 17 2 10" xfId="3107" xr:uid="{00000000-0005-0000-0000-0000230C0000}"/>
    <cellStyle name="Normal 10 2 10 2 17 2 2" xfId="3108" xr:uid="{00000000-0005-0000-0000-0000240C0000}"/>
    <cellStyle name="Normal 10 2 10 2 17 2 3" xfId="3109" xr:uid="{00000000-0005-0000-0000-0000250C0000}"/>
    <cellStyle name="Normal 10 2 10 2 17 2 4" xfId="3110" xr:uid="{00000000-0005-0000-0000-0000260C0000}"/>
    <cellStyle name="Normal 10 2 10 2 17 2 5" xfId="3111" xr:uid="{00000000-0005-0000-0000-0000270C0000}"/>
    <cellStyle name="Normal 10 2 10 2 17 2 6" xfId="3112" xr:uid="{00000000-0005-0000-0000-0000280C0000}"/>
    <cellStyle name="Normal 10 2 10 2 17 2 7" xfId="3113" xr:uid="{00000000-0005-0000-0000-0000290C0000}"/>
    <cellStyle name="Normal 10 2 10 2 17 2 8" xfId="3114" xr:uid="{00000000-0005-0000-0000-00002A0C0000}"/>
    <cellStyle name="Normal 10 2 10 2 17 2 9" xfId="3115" xr:uid="{00000000-0005-0000-0000-00002B0C0000}"/>
    <cellStyle name="Normal 10 2 10 2 17 3" xfId="3116" xr:uid="{00000000-0005-0000-0000-00002C0C0000}"/>
    <cellStyle name="Normal 10 2 10 2 17 3 10" xfId="3117" xr:uid="{00000000-0005-0000-0000-00002D0C0000}"/>
    <cellStyle name="Normal 10 2 10 2 17 3 2" xfId="3118" xr:uid="{00000000-0005-0000-0000-00002E0C0000}"/>
    <cellStyle name="Normal 10 2 10 2 17 3 3" xfId="3119" xr:uid="{00000000-0005-0000-0000-00002F0C0000}"/>
    <cellStyle name="Normal 10 2 10 2 17 3 4" xfId="3120" xr:uid="{00000000-0005-0000-0000-0000300C0000}"/>
    <cellStyle name="Normal 10 2 10 2 17 3 5" xfId="3121" xr:uid="{00000000-0005-0000-0000-0000310C0000}"/>
    <cellStyle name="Normal 10 2 10 2 17 3 6" xfId="3122" xr:uid="{00000000-0005-0000-0000-0000320C0000}"/>
    <cellStyle name="Normal 10 2 10 2 17 3 7" xfId="3123" xr:uid="{00000000-0005-0000-0000-0000330C0000}"/>
    <cellStyle name="Normal 10 2 10 2 17 3 8" xfId="3124" xr:uid="{00000000-0005-0000-0000-0000340C0000}"/>
    <cellStyle name="Normal 10 2 10 2 17 3 9" xfId="3125" xr:uid="{00000000-0005-0000-0000-0000350C0000}"/>
    <cellStyle name="Normal 10 2 10 2 17 4" xfId="3126" xr:uid="{00000000-0005-0000-0000-0000360C0000}"/>
    <cellStyle name="Normal 10 2 10 2 17 4 10" xfId="3127" xr:uid="{00000000-0005-0000-0000-0000370C0000}"/>
    <cellStyle name="Normal 10 2 10 2 17 4 2" xfId="3128" xr:uid="{00000000-0005-0000-0000-0000380C0000}"/>
    <cellStyle name="Normal 10 2 10 2 17 4 3" xfId="3129" xr:uid="{00000000-0005-0000-0000-0000390C0000}"/>
    <cellStyle name="Normal 10 2 10 2 17 4 4" xfId="3130" xr:uid="{00000000-0005-0000-0000-00003A0C0000}"/>
    <cellStyle name="Normal 10 2 10 2 17 4 5" xfId="3131" xr:uid="{00000000-0005-0000-0000-00003B0C0000}"/>
    <cellStyle name="Normal 10 2 10 2 17 4 6" xfId="3132" xr:uid="{00000000-0005-0000-0000-00003C0C0000}"/>
    <cellStyle name="Normal 10 2 10 2 17 4 7" xfId="3133" xr:uid="{00000000-0005-0000-0000-00003D0C0000}"/>
    <cellStyle name="Normal 10 2 10 2 17 4 8" xfId="3134" xr:uid="{00000000-0005-0000-0000-00003E0C0000}"/>
    <cellStyle name="Normal 10 2 10 2 17 4 9" xfId="3135" xr:uid="{00000000-0005-0000-0000-00003F0C0000}"/>
    <cellStyle name="Normal 10 2 10 2 17 5" xfId="3136" xr:uid="{00000000-0005-0000-0000-0000400C0000}"/>
    <cellStyle name="Normal 10 2 10 2 17 5 10" xfId="3137" xr:uid="{00000000-0005-0000-0000-0000410C0000}"/>
    <cellStyle name="Normal 10 2 10 2 17 5 2" xfId="3138" xr:uid="{00000000-0005-0000-0000-0000420C0000}"/>
    <cellStyle name="Normal 10 2 10 2 17 5 3" xfId="3139" xr:uid="{00000000-0005-0000-0000-0000430C0000}"/>
    <cellStyle name="Normal 10 2 10 2 17 5 4" xfId="3140" xr:uid="{00000000-0005-0000-0000-0000440C0000}"/>
    <cellStyle name="Normal 10 2 10 2 17 5 5" xfId="3141" xr:uid="{00000000-0005-0000-0000-0000450C0000}"/>
    <cellStyle name="Normal 10 2 10 2 17 5 6" xfId="3142" xr:uid="{00000000-0005-0000-0000-0000460C0000}"/>
    <cellStyle name="Normal 10 2 10 2 17 5 7" xfId="3143" xr:uid="{00000000-0005-0000-0000-0000470C0000}"/>
    <cellStyle name="Normal 10 2 10 2 17 5 8" xfId="3144" xr:uid="{00000000-0005-0000-0000-0000480C0000}"/>
    <cellStyle name="Normal 10 2 10 2 17 5 9" xfId="3145" xr:uid="{00000000-0005-0000-0000-0000490C0000}"/>
    <cellStyle name="Normal 10 2 10 2 17 6" xfId="3146" xr:uid="{00000000-0005-0000-0000-00004A0C0000}"/>
    <cellStyle name="Normal 10 2 10 2 17 7" xfId="3147" xr:uid="{00000000-0005-0000-0000-00004B0C0000}"/>
    <cellStyle name="Normal 10 2 10 2 17 8" xfId="3148" xr:uid="{00000000-0005-0000-0000-00004C0C0000}"/>
    <cellStyle name="Normal 10 2 10 2 17 9" xfId="3149" xr:uid="{00000000-0005-0000-0000-00004D0C0000}"/>
    <cellStyle name="Normal 10 2 10 2 18" xfId="3150" xr:uid="{00000000-0005-0000-0000-00004E0C0000}"/>
    <cellStyle name="Normal 10 2 10 2 18 10" xfId="3151" xr:uid="{00000000-0005-0000-0000-00004F0C0000}"/>
    <cellStyle name="Normal 10 2 10 2 18 11" xfId="3152" xr:uid="{00000000-0005-0000-0000-0000500C0000}"/>
    <cellStyle name="Normal 10 2 10 2 18 12" xfId="3153" xr:uid="{00000000-0005-0000-0000-0000510C0000}"/>
    <cellStyle name="Normal 10 2 10 2 18 13" xfId="3154" xr:uid="{00000000-0005-0000-0000-0000520C0000}"/>
    <cellStyle name="Normal 10 2 10 2 18 14" xfId="3155" xr:uid="{00000000-0005-0000-0000-0000530C0000}"/>
    <cellStyle name="Normal 10 2 10 2 18 2" xfId="3156" xr:uid="{00000000-0005-0000-0000-0000540C0000}"/>
    <cellStyle name="Normal 10 2 10 2 18 2 10" xfId="3157" xr:uid="{00000000-0005-0000-0000-0000550C0000}"/>
    <cellStyle name="Normal 10 2 10 2 18 2 2" xfId="3158" xr:uid="{00000000-0005-0000-0000-0000560C0000}"/>
    <cellStyle name="Normal 10 2 10 2 18 2 3" xfId="3159" xr:uid="{00000000-0005-0000-0000-0000570C0000}"/>
    <cellStyle name="Normal 10 2 10 2 18 2 4" xfId="3160" xr:uid="{00000000-0005-0000-0000-0000580C0000}"/>
    <cellStyle name="Normal 10 2 10 2 18 2 5" xfId="3161" xr:uid="{00000000-0005-0000-0000-0000590C0000}"/>
    <cellStyle name="Normal 10 2 10 2 18 2 6" xfId="3162" xr:uid="{00000000-0005-0000-0000-00005A0C0000}"/>
    <cellStyle name="Normal 10 2 10 2 18 2 7" xfId="3163" xr:uid="{00000000-0005-0000-0000-00005B0C0000}"/>
    <cellStyle name="Normal 10 2 10 2 18 2 8" xfId="3164" xr:uid="{00000000-0005-0000-0000-00005C0C0000}"/>
    <cellStyle name="Normal 10 2 10 2 18 2 9" xfId="3165" xr:uid="{00000000-0005-0000-0000-00005D0C0000}"/>
    <cellStyle name="Normal 10 2 10 2 18 3" xfId="3166" xr:uid="{00000000-0005-0000-0000-00005E0C0000}"/>
    <cellStyle name="Normal 10 2 10 2 18 3 10" xfId="3167" xr:uid="{00000000-0005-0000-0000-00005F0C0000}"/>
    <cellStyle name="Normal 10 2 10 2 18 3 2" xfId="3168" xr:uid="{00000000-0005-0000-0000-0000600C0000}"/>
    <cellStyle name="Normal 10 2 10 2 18 3 3" xfId="3169" xr:uid="{00000000-0005-0000-0000-0000610C0000}"/>
    <cellStyle name="Normal 10 2 10 2 18 3 4" xfId="3170" xr:uid="{00000000-0005-0000-0000-0000620C0000}"/>
    <cellStyle name="Normal 10 2 10 2 18 3 5" xfId="3171" xr:uid="{00000000-0005-0000-0000-0000630C0000}"/>
    <cellStyle name="Normal 10 2 10 2 18 3 6" xfId="3172" xr:uid="{00000000-0005-0000-0000-0000640C0000}"/>
    <cellStyle name="Normal 10 2 10 2 18 3 7" xfId="3173" xr:uid="{00000000-0005-0000-0000-0000650C0000}"/>
    <cellStyle name="Normal 10 2 10 2 18 3 8" xfId="3174" xr:uid="{00000000-0005-0000-0000-0000660C0000}"/>
    <cellStyle name="Normal 10 2 10 2 18 3 9" xfId="3175" xr:uid="{00000000-0005-0000-0000-0000670C0000}"/>
    <cellStyle name="Normal 10 2 10 2 18 4" xfId="3176" xr:uid="{00000000-0005-0000-0000-0000680C0000}"/>
    <cellStyle name="Normal 10 2 10 2 18 4 10" xfId="3177" xr:uid="{00000000-0005-0000-0000-0000690C0000}"/>
    <cellStyle name="Normal 10 2 10 2 18 4 2" xfId="3178" xr:uid="{00000000-0005-0000-0000-00006A0C0000}"/>
    <cellStyle name="Normal 10 2 10 2 18 4 3" xfId="3179" xr:uid="{00000000-0005-0000-0000-00006B0C0000}"/>
    <cellStyle name="Normal 10 2 10 2 18 4 4" xfId="3180" xr:uid="{00000000-0005-0000-0000-00006C0C0000}"/>
    <cellStyle name="Normal 10 2 10 2 18 4 5" xfId="3181" xr:uid="{00000000-0005-0000-0000-00006D0C0000}"/>
    <cellStyle name="Normal 10 2 10 2 18 4 6" xfId="3182" xr:uid="{00000000-0005-0000-0000-00006E0C0000}"/>
    <cellStyle name="Normal 10 2 10 2 18 4 7" xfId="3183" xr:uid="{00000000-0005-0000-0000-00006F0C0000}"/>
    <cellStyle name="Normal 10 2 10 2 18 4 8" xfId="3184" xr:uid="{00000000-0005-0000-0000-0000700C0000}"/>
    <cellStyle name="Normal 10 2 10 2 18 4 9" xfId="3185" xr:uid="{00000000-0005-0000-0000-0000710C0000}"/>
    <cellStyle name="Normal 10 2 10 2 18 5" xfId="3186" xr:uid="{00000000-0005-0000-0000-0000720C0000}"/>
    <cellStyle name="Normal 10 2 10 2 18 5 10" xfId="3187" xr:uid="{00000000-0005-0000-0000-0000730C0000}"/>
    <cellStyle name="Normal 10 2 10 2 18 5 2" xfId="3188" xr:uid="{00000000-0005-0000-0000-0000740C0000}"/>
    <cellStyle name="Normal 10 2 10 2 18 5 3" xfId="3189" xr:uid="{00000000-0005-0000-0000-0000750C0000}"/>
    <cellStyle name="Normal 10 2 10 2 18 5 4" xfId="3190" xr:uid="{00000000-0005-0000-0000-0000760C0000}"/>
    <cellStyle name="Normal 10 2 10 2 18 5 5" xfId="3191" xr:uid="{00000000-0005-0000-0000-0000770C0000}"/>
    <cellStyle name="Normal 10 2 10 2 18 5 6" xfId="3192" xr:uid="{00000000-0005-0000-0000-0000780C0000}"/>
    <cellStyle name="Normal 10 2 10 2 18 5 7" xfId="3193" xr:uid="{00000000-0005-0000-0000-0000790C0000}"/>
    <cellStyle name="Normal 10 2 10 2 18 5 8" xfId="3194" xr:uid="{00000000-0005-0000-0000-00007A0C0000}"/>
    <cellStyle name="Normal 10 2 10 2 18 5 9" xfId="3195" xr:uid="{00000000-0005-0000-0000-00007B0C0000}"/>
    <cellStyle name="Normal 10 2 10 2 18 6" xfId="3196" xr:uid="{00000000-0005-0000-0000-00007C0C0000}"/>
    <cellStyle name="Normal 10 2 10 2 18 7" xfId="3197" xr:uid="{00000000-0005-0000-0000-00007D0C0000}"/>
    <cellStyle name="Normal 10 2 10 2 18 8" xfId="3198" xr:uid="{00000000-0005-0000-0000-00007E0C0000}"/>
    <cellStyle name="Normal 10 2 10 2 18 9" xfId="3199" xr:uid="{00000000-0005-0000-0000-00007F0C0000}"/>
    <cellStyle name="Normal 10 2 10 2 19" xfId="3200" xr:uid="{00000000-0005-0000-0000-0000800C0000}"/>
    <cellStyle name="Normal 10 2 10 2 19 10" xfId="3201" xr:uid="{00000000-0005-0000-0000-0000810C0000}"/>
    <cellStyle name="Normal 10 2 10 2 19 11" xfId="3202" xr:uid="{00000000-0005-0000-0000-0000820C0000}"/>
    <cellStyle name="Normal 10 2 10 2 19 12" xfId="3203" xr:uid="{00000000-0005-0000-0000-0000830C0000}"/>
    <cellStyle name="Normal 10 2 10 2 19 13" xfId="3204" xr:uid="{00000000-0005-0000-0000-0000840C0000}"/>
    <cellStyle name="Normal 10 2 10 2 19 14" xfId="3205" xr:uid="{00000000-0005-0000-0000-0000850C0000}"/>
    <cellStyle name="Normal 10 2 10 2 19 2" xfId="3206" xr:uid="{00000000-0005-0000-0000-0000860C0000}"/>
    <cellStyle name="Normal 10 2 10 2 19 2 10" xfId="3207" xr:uid="{00000000-0005-0000-0000-0000870C0000}"/>
    <cellStyle name="Normal 10 2 10 2 19 2 2" xfId="3208" xr:uid="{00000000-0005-0000-0000-0000880C0000}"/>
    <cellStyle name="Normal 10 2 10 2 19 2 3" xfId="3209" xr:uid="{00000000-0005-0000-0000-0000890C0000}"/>
    <cellStyle name="Normal 10 2 10 2 19 2 4" xfId="3210" xr:uid="{00000000-0005-0000-0000-00008A0C0000}"/>
    <cellStyle name="Normal 10 2 10 2 19 2 5" xfId="3211" xr:uid="{00000000-0005-0000-0000-00008B0C0000}"/>
    <cellStyle name="Normal 10 2 10 2 19 2 6" xfId="3212" xr:uid="{00000000-0005-0000-0000-00008C0C0000}"/>
    <cellStyle name="Normal 10 2 10 2 19 2 7" xfId="3213" xr:uid="{00000000-0005-0000-0000-00008D0C0000}"/>
    <cellStyle name="Normal 10 2 10 2 19 2 8" xfId="3214" xr:uid="{00000000-0005-0000-0000-00008E0C0000}"/>
    <cellStyle name="Normal 10 2 10 2 19 2 9" xfId="3215" xr:uid="{00000000-0005-0000-0000-00008F0C0000}"/>
    <cellStyle name="Normal 10 2 10 2 19 3" xfId="3216" xr:uid="{00000000-0005-0000-0000-0000900C0000}"/>
    <cellStyle name="Normal 10 2 10 2 19 3 10" xfId="3217" xr:uid="{00000000-0005-0000-0000-0000910C0000}"/>
    <cellStyle name="Normal 10 2 10 2 19 3 2" xfId="3218" xr:uid="{00000000-0005-0000-0000-0000920C0000}"/>
    <cellStyle name="Normal 10 2 10 2 19 3 3" xfId="3219" xr:uid="{00000000-0005-0000-0000-0000930C0000}"/>
    <cellStyle name="Normal 10 2 10 2 19 3 4" xfId="3220" xr:uid="{00000000-0005-0000-0000-0000940C0000}"/>
    <cellStyle name="Normal 10 2 10 2 19 3 5" xfId="3221" xr:uid="{00000000-0005-0000-0000-0000950C0000}"/>
    <cellStyle name="Normal 10 2 10 2 19 3 6" xfId="3222" xr:uid="{00000000-0005-0000-0000-0000960C0000}"/>
    <cellStyle name="Normal 10 2 10 2 19 3 7" xfId="3223" xr:uid="{00000000-0005-0000-0000-0000970C0000}"/>
    <cellStyle name="Normal 10 2 10 2 19 3 8" xfId="3224" xr:uid="{00000000-0005-0000-0000-0000980C0000}"/>
    <cellStyle name="Normal 10 2 10 2 19 3 9" xfId="3225" xr:uid="{00000000-0005-0000-0000-0000990C0000}"/>
    <cellStyle name="Normal 10 2 10 2 19 4" xfId="3226" xr:uid="{00000000-0005-0000-0000-00009A0C0000}"/>
    <cellStyle name="Normal 10 2 10 2 19 4 10" xfId="3227" xr:uid="{00000000-0005-0000-0000-00009B0C0000}"/>
    <cellStyle name="Normal 10 2 10 2 19 4 2" xfId="3228" xr:uid="{00000000-0005-0000-0000-00009C0C0000}"/>
    <cellStyle name="Normal 10 2 10 2 19 4 3" xfId="3229" xr:uid="{00000000-0005-0000-0000-00009D0C0000}"/>
    <cellStyle name="Normal 10 2 10 2 19 4 4" xfId="3230" xr:uid="{00000000-0005-0000-0000-00009E0C0000}"/>
    <cellStyle name="Normal 10 2 10 2 19 4 5" xfId="3231" xr:uid="{00000000-0005-0000-0000-00009F0C0000}"/>
    <cellStyle name="Normal 10 2 10 2 19 4 6" xfId="3232" xr:uid="{00000000-0005-0000-0000-0000A00C0000}"/>
    <cellStyle name="Normal 10 2 10 2 19 4 7" xfId="3233" xr:uid="{00000000-0005-0000-0000-0000A10C0000}"/>
    <cellStyle name="Normal 10 2 10 2 19 4 8" xfId="3234" xr:uid="{00000000-0005-0000-0000-0000A20C0000}"/>
    <cellStyle name="Normal 10 2 10 2 19 4 9" xfId="3235" xr:uid="{00000000-0005-0000-0000-0000A30C0000}"/>
    <cellStyle name="Normal 10 2 10 2 19 5" xfId="3236" xr:uid="{00000000-0005-0000-0000-0000A40C0000}"/>
    <cellStyle name="Normal 10 2 10 2 19 5 10" xfId="3237" xr:uid="{00000000-0005-0000-0000-0000A50C0000}"/>
    <cellStyle name="Normal 10 2 10 2 19 5 2" xfId="3238" xr:uid="{00000000-0005-0000-0000-0000A60C0000}"/>
    <cellStyle name="Normal 10 2 10 2 19 5 3" xfId="3239" xr:uid="{00000000-0005-0000-0000-0000A70C0000}"/>
    <cellStyle name="Normal 10 2 10 2 19 5 4" xfId="3240" xr:uid="{00000000-0005-0000-0000-0000A80C0000}"/>
    <cellStyle name="Normal 10 2 10 2 19 5 5" xfId="3241" xr:uid="{00000000-0005-0000-0000-0000A90C0000}"/>
    <cellStyle name="Normal 10 2 10 2 19 5 6" xfId="3242" xr:uid="{00000000-0005-0000-0000-0000AA0C0000}"/>
    <cellStyle name="Normal 10 2 10 2 19 5 7" xfId="3243" xr:uid="{00000000-0005-0000-0000-0000AB0C0000}"/>
    <cellStyle name="Normal 10 2 10 2 19 5 8" xfId="3244" xr:uid="{00000000-0005-0000-0000-0000AC0C0000}"/>
    <cellStyle name="Normal 10 2 10 2 19 5 9" xfId="3245" xr:uid="{00000000-0005-0000-0000-0000AD0C0000}"/>
    <cellStyle name="Normal 10 2 10 2 19 6" xfId="3246" xr:uid="{00000000-0005-0000-0000-0000AE0C0000}"/>
    <cellStyle name="Normal 10 2 10 2 19 7" xfId="3247" xr:uid="{00000000-0005-0000-0000-0000AF0C0000}"/>
    <cellStyle name="Normal 10 2 10 2 19 8" xfId="3248" xr:uid="{00000000-0005-0000-0000-0000B00C0000}"/>
    <cellStyle name="Normal 10 2 10 2 19 9" xfId="3249" xr:uid="{00000000-0005-0000-0000-0000B10C0000}"/>
    <cellStyle name="Normal 10 2 10 2 2" xfId="3250" xr:uid="{00000000-0005-0000-0000-0000B20C0000}"/>
    <cellStyle name="Normal 10 2 10 2 2 10" xfId="3251" xr:uid="{00000000-0005-0000-0000-0000B30C0000}"/>
    <cellStyle name="Normal 10 2 10 2 2 11" xfId="3252" xr:uid="{00000000-0005-0000-0000-0000B40C0000}"/>
    <cellStyle name="Normal 10 2 10 2 2 12" xfId="3253" xr:uid="{00000000-0005-0000-0000-0000B50C0000}"/>
    <cellStyle name="Normal 10 2 10 2 2 13" xfId="3254" xr:uid="{00000000-0005-0000-0000-0000B60C0000}"/>
    <cellStyle name="Normal 10 2 10 2 2 14" xfId="3255" xr:uid="{00000000-0005-0000-0000-0000B70C0000}"/>
    <cellStyle name="Normal 10 2 10 2 2 2" xfId="3256" xr:uid="{00000000-0005-0000-0000-0000B80C0000}"/>
    <cellStyle name="Normal 10 2 10 2 2 2 10" xfId="3257" xr:uid="{00000000-0005-0000-0000-0000B90C0000}"/>
    <cellStyle name="Normal 10 2 10 2 2 2 2" xfId="3258" xr:uid="{00000000-0005-0000-0000-0000BA0C0000}"/>
    <cellStyle name="Normal 10 2 10 2 2 2 3" xfId="3259" xr:uid="{00000000-0005-0000-0000-0000BB0C0000}"/>
    <cellStyle name="Normal 10 2 10 2 2 2 4" xfId="3260" xr:uid="{00000000-0005-0000-0000-0000BC0C0000}"/>
    <cellStyle name="Normal 10 2 10 2 2 2 5" xfId="3261" xr:uid="{00000000-0005-0000-0000-0000BD0C0000}"/>
    <cellStyle name="Normal 10 2 10 2 2 2 6" xfId="3262" xr:uid="{00000000-0005-0000-0000-0000BE0C0000}"/>
    <cellStyle name="Normal 10 2 10 2 2 2 7" xfId="3263" xr:uid="{00000000-0005-0000-0000-0000BF0C0000}"/>
    <cellStyle name="Normal 10 2 10 2 2 2 8" xfId="3264" xr:uid="{00000000-0005-0000-0000-0000C00C0000}"/>
    <cellStyle name="Normal 10 2 10 2 2 2 9" xfId="3265" xr:uid="{00000000-0005-0000-0000-0000C10C0000}"/>
    <cellStyle name="Normal 10 2 10 2 2 3" xfId="3266" xr:uid="{00000000-0005-0000-0000-0000C20C0000}"/>
    <cellStyle name="Normal 10 2 10 2 2 3 10" xfId="3267" xr:uid="{00000000-0005-0000-0000-0000C30C0000}"/>
    <cellStyle name="Normal 10 2 10 2 2 3 2" xfId="3268" xr:uid="{00000000-0005-0000-0000-0000C40C0000}"/>
    <cellStyle name="Normal 10 2 10 2 2 3 3" xfId="3269" xr:uid="{00000000-0005-0000-0000-0000C50C0000}"/>
    <cellStyle name="Normal 10 2 10 2 2 3 4" xfId="3270" xr:uid="{00000000-0005-0000-0000-0000C60C0000}"/>
    <cellStyle name="Normal 10 2 10 2 2 3 5" xfId="3271" xr:uid="{00000000-0005-0000-0000-0000C70C0000}"/>
    <cellStyle name="Normal 10 2 10 2 2 3 6" xfId="3272" xr:uid="{00000000-0005-0000-0000-0000C80C0000}"/>
    <cellStyle name="Normal 10 2 10 2 2 3 7" xfId="3273" xr:uid="{00000000-0005-0000-0000-0000C90C0000}"/>
    <cellStyle name="Normal 10 2 10 2 2 3 8" xfId="3274" xr:uid="{00000000-0005-0000-0000-0000CA0C0000}"/>
    <cellStyle name="Normal 10 2 10 2 2 3 9" xfId="3275" xr:uid="{00000000-0005-0000-0000-0000CB0C0000}"/>
    <cellStyle name="Normal 10 2 10 2 2 4" xfId="3276" xr:uid="{00000000-0005-0000-0000-0000CC0C0000}"/>
    <cellStyle name="Normal 10 2 10 2 2 4 10" xfId="3277" xr:uid="{00000000-0005-0000-0000-0000CD0C0000}"/>
    <cellStyle name="Normal 10 2 10 2 2 4 2" xfId="3278" xr:uid="{00000000-0005-0000-0000-0000CE0C0000}"/>
    <cellStyle name="Normal 10 2 10 2 2 4 3" xfId="3279" xr:uid="{00000000-0005-0000-0000-0000CF0C0000}"/>
    <cellStyle name="Normal 10 2 10 2 2 4 4" xfId="3280" xr:uid="{00000000-0005-0000-0000-0000D00C0000}"/>
    <cellStyle name="Normal 10 2 10 2 2 4 5" xfId="3281" xr:uid="{00000000-0005-0000-0000-0000D10C0000}"/>
    <cellStyle name="Normal 10 2 10 2 2 4 6" xfId="3282" xr:uid="{00000000-0005-0000-0000-0000D20C0000}"/>
    <cellStyle name="Normal 10 2 10 2 2 4 7" xfId="3283" xr:uid="{00000000-0005-0000-0000-0000D30C0000}"/>
    <cellStyle name="Normal 10 2 10 2 2 4 8" xfId="3284" xr:uid="{00000000-0005-0000-0000-0000D40C0000}"/>
    <cellStyle name="Normal 10 2 10 2 2 4 9" xfId="3285" xr:uid="{00000000-0005-0000-0000-0000D50C0000}"/>
    <cellStyle name="Normal 10 2 10 2 2 5" xfId="3286" xr:uid="{00000000-0005-0000-0000-0000D60C0000}"/>
    <cellStyle name="Normal 10 2 10 2 2 5 10" xfId="3287" xr:uid="{00000000-0005-0000-0000-0000D70C0000}"/>
    <cellStyle name="Normal 10 2 10 2 2 5 2" xfId="3288" xr:uid="{00000000-0005-0000-0000-0000D80C0000}"/>
    <cellStyle name="Normal 10 2 10 2 2 5 3" xfId="3289" xr:uid="{00000000-0005-0000-0000-0000D90C0000}"/>
    <cellStyle name="Normal 10 2 10 2 2 5 4" xfId="3290" xr:uid="{00000000-0005-0000-0000-0000DA0C0000}"/>
    <cellStyle name="Normal 10 2 10 2 2 5 5" xfId="3291" xr:uid="{00000000-0005-0000-0000-0000DB0C0000}"/>
    <cellStyle name="Normal 10 2 10 2 2 5 6" xfId="3292" xr:uid="{00000000-0005-0000-0000-0000DC0C0000}"/>
    <cellStyle name="Normal 10 2 10 2 2 5 7" xfId="3293" xr:uid="{00000000-0005-0000-0000-0000DD0C0000}"/>
    <cellStyle name="Normal 10 2 10 2 2 5 8" xfId="3294" xr:uid="{00000000-0005-0000-0000-0000DE0C0000}"/>
    <cellStyle name="Normal 10 2 10 2 2 5 9" xfId="3295" xr:uid="{00000000-0005-0000-0000-0000DF0C0000}"/>
    <cellStyle name="Normal 10 2 10 2 2 6" xfId="3296" xr:uid="{00000000-0005-0000-0000-0000E00C0000}"/>
    <cellStyle name="Normal 10 2 10 2 2 7" xfId="3297" xr:uid="{00000000-0005-0000-0000-0000E10C0000}"/>
    <cellStyle name="Normal 10 2 10 2 2 8" xfId="3298" xr:uid="{00000000-0005-0000-0000-0000E20C0000}"/>
    <cellStyle name="Normal 10 2 10 2 2 9" xfId="3299" xr:uid="{00000000-0005-0000-0000-0000E30C0000}"/>
    <cellStyle name="Normal 10 2 10 2 20" xfId="3300" xr:uid="{00000000-0005-0000-0000-0000E40C0000}"/>
    <cellStyle name="Normal 10 2 10 2 20 10" xfId="3301" xr:uid="{00000000-0005-0000-0000-0000E50C0000}"/>
    <cellStyle name="Normal 10 2 10 2 20 11" xfId="3302" xr:uid="{00000000-0005-0000-0000-0000E60C0000}"/>
    <cellStyle name="Normal 10 2 10 2 20 12" xfId="3303" xr:uid="{00000000-0005-0000-0000-0000E70C0000}"/>
    <cellStyle name="Normal 10 2 10 2 20 13" xfId="3304" xr:uid="{00000000-0005-0000-0000-0000E80C0000}"/>
    <cellStyle name="Normal 10 2 10 2 20 14" xfId="3305" xr:uid="{00000000-0005-0000-0000-0000E90C0000}"/>
    <cellStyle name="Normal 10 2 10 2 20 2" xfId="3306" xr:uid="{00000000-0005-0000-0000-0000EA0C0000}"/>
    <cellStyle name="Normal 10 2 10 2 20 2 10" xfId="3307" xr:uid="{00000000-0005-0000-0000-0000EB0C0000}"/>
    <cellStyle name="Normal 10 2 10 2 20 2 2" xfId="3308" xr:uid="{00000000-0005-0000-0000-0000EC0C0000}"/>
    <cellStyle name="Normal 10 2 10 2 20 2 3" xfId="3309" xr:uid="{00000000-0005-0000-0000-0000ED0C0000}"/>
    <cellStyle name="Normal 10 2 10 2 20 2 4" xfId="3310" xr:uid="{00000000-0005-0000-0000-0000EE0C0000}"/>
    <cellStyle name="Normal 10 2 10 2 20 2 5" xfId="3311" xr:uid="{00000000-0005-0000-0000-0000EF0C0000}"/>
    <cellStyle name="Normal 10 2 10 2 20 2 6" xfId="3312" xr:uid="{00000000-0005-0000-0000-0000F00C0000}"/>
    <cellStyle name="Normal 10 2 10 2 20 2 7" xfId="3313" xr:uid="{00000000-0005-0000-0000-0000F10C0000}"/>
    <cellStyle name="Normal 10 2 10 2 20 2 8" xfId="3314" xr:uid="{00000000-0005-0000-0000-0000F20C0000}"/>
    <cellStyle name="Normal 10 2 10 2 20 2 9" xfId="3315" xr:uid="{00000000-0005-0000-0000-0000F30C0000}"/>
    <cellStyle name="Normal 10 2 10 2 20 3" xfId="3316" xr:uid="{00000000-0005-0000-0000-0000F40C0000}"/>
    <cellStyle name="Normal 10 2 10 2 20 3 10" xfId="3317" xr:uid="{00000000-0005-0000-0000-0000F50C0000}"/>
    <cellStyle name="Normal 10 2 10 2 20 3 2" xfId="3318" xr:uid="{00000000-0005-0000-0000-0000F60C0000}"/>
    <cellStyle name="Normal 10 2 10 2 20 3 3" xfId="3319" xr:uid="{00000000-0005-0000-0000-0000F70C0000}"/>
    <cellStyle name="Normal 10 2 10 2 20 3 4" xfId="3320" xr:uid="{00000000-0005-0000-0000-0000F80C0000}"/>
    <cellStyle name="Normal 10 2 10 2 20 3 5" xfId="3321" xr:uid="{00000000-0005-0000-0000-0000F90C0000}"/>
    <cellStyle name="Normal 10 2 10 2 20 3 6" xfId="3322" xr:uid="{00000000-0005-0000-0000-0000FA0C0000}"/>
    <cellStyle name="Normal 10 2 10 2 20 3 7" xfId="3323" xr:uid="{00000000-0005-0000-0000-0000FB0C0000}"/>
    <cellStyle name="Normal 10 2 10 2 20 3 8" xfId="3324" xr:uid="{00000000-0005-0000-0000-0000FC0C0000}"/>
    <cellStyle name="Normal 10 2 10 2 20 3 9" xfId="3325" xr:uid="{00000000-0005-0000-0000-0000FD0C0000}"/>
    <cellStyle name="Normal 10 2 10 2 20 4" xfId="3326" xr:uid="{00000000-0005-0000-0000-0000FE0C0000}"/>
    <cellStyle name="Normal 10 2 10 2 20 4 10" xfId="3327" xr:uid="{00000000-0005-0000-0000-0000FF0C0000}"/>
    <cellStyle name="Normal 10 2 10 2 20 4 2" xfId="3328" xr:uid="{00000000-0005-0000-0000-0000000D0000}"/>
    <cellStyle name="Normal 10 2 10 2 20 4 3" xfId="3329" xr:uid="{00000000-0005-0000-0000-0000010D0000}"/>
    <cellStyle name="Normal 10 2 10 2 20 4 4" xfId="3330" xr:uid="{00000000-0005-0000-0000-0000020D0000}"/>
    <cellStyle name="Normal 10 2 10 2 20 4 5" xfId="3331" xr:uid="{00000000-0005-0000-0000-0000030D0000}"/>
    <cellStyle name="Normal 10 2 10 2 20 4 6" xfId="3332" xr:uid="{00000000-0005-0000-0000-0000040D0000}"/>
    <cellStyle name="Normal 10 2 10 2 20 4 7" xfId="3333" xr:uid="{00000000-0005-0000-0000-0000050D0000}"/>
    <cellStyle name="Normal 10 2 10 2 20 4 8" xfId="3334" xr:uid="{00000000-0005-0000-0000-0000060D0000}"/>
    <cellStyle name="Normal 10 2 10 2 20 4 9" xfId="3335" xr:uid="{00000000-0005-0000-0000-0000070D0000}"/>
    <cellStyle name="Normal 10 2 10 2 20 5" xfId="3336" xr:uid="{00000000-0005-0000-0000-0000080D0000}"/>
    <cellStyle name="Normal 10 2 10 2 20 5 10" xfId="3337" xr:uid="{00000000-0005-0000-0000-0000090D0000}"/>
    <cellStyle name="Normal 10 2 10 2 20 5 2" xfId="3338" xr:uid="{00000000-0005-0000-0000-00000A0D0000}"/>
    <cellStyle name="Normal 10 2 10 2 20 5 3" xfId="3339" xr:uid="{00000000-0005-0000-0000-00000B0D0000}"/>
    <cellStyle name="Normal 10 2 10 2 20 5 4" xfId="3340" xr:uid="{00000000-0005-0000-0000-00000C0D0000}"/>
    <cellStyle name="Normal 10 2 10 2 20 5 5" xfId="3341" xr:uid="{00000000-0005-0000-0000-00000D0D0000}"/>
    <cellStyle name="Normal 10 2 10 2 20 5 6" xfId="3342" xr:uid="{00000000-0005-0000-0000-00000E0D0000}"/>
    <cellStyle name="Normal 10 2 10 2 20 5 7" xfId="3343" xr:uid="{00000000-0005-0000-0000-00000F0D0000}"/>
    <cellStyle name="Normal 10 2 10 2 20 5 8" xfId="3344" xr:uid="{00000000-0005-0000-0000-0000100D0000}"/>
    <cellStyle name="Normal 10 2 10 2 20 5 9" xfId="3345" xr:uid="{00000000-0005-0000-0000-0000110D0000}"/>
    <cellStyle name="Normal 10 2 10 2 20 6" xfId="3346" xr:uid="{00000000-0005-0000-0000-0000120D0000}"/>
    <cellStyle name="Normal 10 2 10 2 20 7" xfId="3347" xr:uid="{00000000-0005-0000-0000-0000130D0000}"/>
    <cellStyle name="Normal 10 2 10 2 20 8" xfId="3348" xr:uid="{00000000-0005-0000-0000-0000140D0000}"/>
    <cellStyle name="Normal 10 2 10 2 20 9" xfId="3349" xr:uid="{00000000-0005-0000-0000-0000150D0000}"/>
    <cellStyle name="Normal 10 2 10 2 21" xfId="3350" xr:uid="{00000000-0005-0000-0000-0000160D0000}"/>
    <cellStyle name="Normal 10 2 10 2 21 10" xfId="3351" xr:uid="{00000000-0005-0000-0000-0000170D0000}"/>
    <cellStyle name="Normal 10 2 10 2 21 11" xfId="3352" xr:uid="{00000000-0005-0000-0000-0000180D0000}"/>
    <cellStyle name="Normal 10 2 10 2 21 12" xfId="3353" xr:uid="{00000000-0005-0000-0000-0000190D0000}"/>
    <cellStyle name="Normal 10 2 10 2 21 13" xfId="3354" xr:uid="{00000000-0005-0000-0000-00001A0D0000}"/>
    <cellStyle name="Normal 10 2 10 2 21 14" xfId="3355" xr:uid="{00000000-0005-0000-0000-00001B0D0000}"/>
    <cellStyle name="Normal 10 2 10 2 21 2" xfId="3356" xr:uid="{00000000-0005-0000-0000-00001C0D0000}"/>
    <cellStyle name="Normal 10 2 10 2 21 2 10" xfId="3357" xr:uid="{00000000-0005-0000-0000-00001D0D0000}"/>
    <cellStyle name="Normal 10 2 10 2 21 2 2" xfId="3358" xr:uid="{00000000-0005-0000-0000-00001E0D0000}"/>
    <cellStyle name="Normal 10 2 10 2 21 2 3" xfId="3359" xr:uid="{00000000-0005-0000-0000-00001F0D0000}"/>
    <cellStyle name="Normal 10 2 10 2 21 2 4" xfId="3360" xr:uid="{00000000-0005-0000-0000-0000200D0000}"/>
    <cellStyle name="Normal 10 2 10 2 21 2 5" xfId="3361" xr:uid="{00000000-0005-0000-0000-0000210D0000}"/>
    <cellStyle name="Normal 10 2 10 2 21 2 6" xfId="3362" xr:uid="{00000000-0005-0000-0000-0000220D0000}"/>
    <cellStyle name="Normal 10 2 10 2 21 2 7" xfId="3363" xr:uid="{00000000-0005-0000-0000-0000230D0000}"/>
    <cellStyle name="Normal 10 2 10 2 21 2 8" xfId="3364" xr:uid="{00000000-0005-0000-0000-0000240D0000}"/>
    <cellStyle name="Normal 10 2 10 2 21 2 9" xfId="3365" xr:uid="{00000000-0005-0000-0000-0000250D0000}"/>
    <cellStyle name="Normal 10 2 10 2 21 3" xfId="3366" xr:uid="{00000000-0005-0000-0000-0000260D0000}"/>
    <cellStyle name="Normal 10 2 10 2 21 3 10" xfId="3367" xr:uid="{00000000-0005-0000-0000-0000270D0000}"/>
    <cellStyle name="Normal 10 2 10 2 21 3 2" xfId="3368" xr:uid="{00000000-0005-0000-0000-0000280D0000}"/>
    <cellStyle name="Normal 10 2 10 2 21 3 3" xfId="3369" xr:uid="{00000000-0005-0000-0000-0000290D0000}"/>
    <cellStyle name="Normal 10 2 10 2 21 3 4" xfId="3370" xr:uid="{00000000-0005-0000-0000-00002A0D0000}"/>
    <cellStyle name="Normal 10 2 10 2 21 3 5" xfId="3371" xr:uid="{00000000-0005-0000-0000-00002B0D0000}"/>
    <cellStyle name="Normal 10 2 10 2 21 3 6" xfId="3372" xr:uid="{00000000-0005-0000-0000-00002C0D0000}"/>
    <cellStyle name="Normal 10 2 10 2 21 3 7" xfId="3373" xr:uid="{00000000-0005-0000-0000-00002D0D0000}"/>
    <cellStyle name="Normal 10 2 10 2 21 3 8" xfId="3374" xr:uid="{00000000-0005-0000-0000-00002E0D0000}"/>
    <cellStyle name="Normal 10 2 10 2 21 3 9" xfId="3375" xr:uid="{00000000-0005-0000-0000-00002F0D0000}"/>
    <cellStyle name="Normal 10 2 10 2 21 4" xfId="3376" xr:uid="{00000000-0005-0000-0000-0000300D0000}"/>
    <cellStyle name="Normal 10 2 10 2 21 4 10" xfId="3377" xr:uid="{00000000-0005-0000-0000-0000310D0000}"/>
    <cellStyle name="Normal 10 2 10 2 21 4 2" xfId="3378" xr:uid="{00000000-0005-0000-0000-0000320D0000}"/>
    <cellStyle name="Normal 10 2 10 2 21 4 3" xfId="3379" xr:uid="{00000000-0005-0000-0000-0000330D0000}"/>
    <cellStyle name="Normal 10 2 10 2 21 4 4" xfId="3380" xr:uid="{00000000-0005-0000-0000-0000340D0000}"/>
    <cellStyle name="Normal 10 2 10 2 21 4 5" xfId="3381" xr:uid="{00000000-0005-0000-0000-0000350D0000}"/>
    <cellStyle name="Normal 10 2 10 2 21 4 6" xfId="3382" xr:uid="{00000000-0005-0000-0000-0000360D0000}"/>
    <cellStyle name="Normal 10 2 10 2 21 4 7" xfId="3383" xr:uid="{00000000-0005-0000-0000-0000370D0000}"/>
    <cellStyle name="Normal 10 2 10 2 21 4 8" xfId="3384" xr:uid="{00000000-0005-0000-0000-0000380D0000}"/>
    <cellStyle name="Normal 10 2 10 2 21 4 9" xfId="3385" xr:uid="{00000000-0005-0000-0000-0000390D0000}"/>
    <cellStyle name="Normal 10 2 10 2 21 5" xfId="3386" xr:uid="{00000000-0005-0000-0000-00003A0D0000}"/>
    <cellStyle name="Normal 10 2 10 2 21 5 10" xfId="3387" xr:uid="{00000000-0005-0000-0000-00003B0D0000}"/>
    <cellStyle name="Normal 10 2 10 2 21 5 2" xfId="3388" xr:uid="{00000000-0005-0000-0000-00003C0D0000}"/>
    <cellStyle name="Normal 10 2 10 2 21 5 3" xfId="3389" xr:uid="{00000000-0005-0000-0000-00003D0D0000}"/>
    <cellStyle name="Normal 10 2 10 2 21 5 4" xfId="3390" xr:uid="{00000000-0005-0000-0000-00003E0D0000}"/>
    <cellStyle name="Normal 10 2 10 2 21 5 5" xfId="3391" xr:uid="{00000000-0005-0000-0000-00003F0D0000}"/>
    <cellStyle name="Normal 10 2 10 2 21 5 6" xfId="3392" xr:uid="{00000000-0005-0000-0000-0000400D0000}"/>
    <cellStyle name="Normal 10 2 10 2 21 5 7" xfId="3393" xr:uid="{00000000-0005-0000-0000-0000410D0000}"/>
    <cellStyle name="Normal 10 2 10 2 21 5 8" xfId="3394" xr:uid="{00000000-0005-0000-0000-0000420D0000}"/>
    <cellStyle name="Normal 10 2 10 2 21 5 9" xfId="3395" xr:uid="{00000000-0005-0000-0000-0000430D0000}"/>
    <cellStyle name="Normal 10 2 10 2 21 6" xfId="3396" xr:uid="{00000000-0005-0000-0000-0000440D0000}"/>
    <cellStyle name="Normal 10 2 10 2 21 7" xfId="3397" xr:uid="{00000000-0005-0000-0000-0000450D0000}"/>
    <cellStyle name="Normal 10 2 10 2 21 8" xfId="3398" xr:uid="{00000000-0005-0000-0000-0000460D0000}"/>
    <cellStyle name="Normal 10 2 10 2 21 9" xfId="3399" xr:uid="{00000000-0005-0000-0000-0000470D0000}"/>
    <cellStyle name="Normal 10 2 10 2 22" xfId="3400" xr:uid="{00000000-0005-0000-0000-0000480D0000}"/>
    <cellStyle name="Normal 10 2 10 2 22 10" xfId="3401" xr:uid="{00000000-0005-0000-0000-0000490D0000}"/>
    <cellStyle name="Normal 10 2 10 2 22 11" xfId="3402" xr:uid="{00000000-0005-0000-0000-00004A0D0000}"/>
    <cellStyle name="Normal 10 2 10 2 22 12" xfId="3403" xr:uid="{00000000-0005-0000-0000-00004B0D0000}"/>
    <cellStyle name="Normal 10 2 10 2 22 13" xfId="3404" xr:uid="{00000000-0005-0000-0000-00004C0D0000}"/>
    <cellStyle name="Normal 10 2 10 2 22 14" xfId="3405" xr:uid="{00000000-0005-0000-0000-00004D0D0000}"/>
    <cellStyle name="Normal 10 2 10 2 22 2" xfId="3406" xr:uid="{00000000-0005-0000-0000-00004E0D0000}"/>
    <cellStyle name="Normal 10 2 10 2 22 2 10" xfId="3407" xr:uid="{00000000-0005-0000-0000-00004F0D0000}"/>
    <cellStyle name="Normal 10 2 10 2 22 2 2" xfId="3408" xr:uid="{00000000-0005-0000-0000-0000500D0000}"/>
    <cellStyle name="Normal 10 2 10 2 22 2 3" xfId="3409" xr:uid="{00000000-0005-0000-0000-0000510D0000}"/>
    <cellStyle name="Normal 10 2 10 2 22 2 4" xfId="3410" xr:uid="{00000000-0005-0000-0000-0000520D0000}"/>
    <cellStyle name="Normal 10 2 10 2 22 2 5" xfId="3411" xr:uid="{00000000-0005-0000-0000-0000530D0000}"/>
    <cellStyle name="Normal 10 2 10 2 22 2 6" xfId="3412" xr:uid="{00000000-0005-0000-0000-0000540D0000}"/>
    <cellStyle name="Normal 10 2 10 2 22 2 7" xfId="3413" xr:uid="{00000000-0005-0000-0000-0000550D0000}"/>
    <cellStyle name="Normal 10 2 10 2 22 2 8" xfId="3414" xr:uid="{00000000-0005-0000-0000-0000560D0000}"/>
    <cellStyle name="Normal 10 2 10 2 22 2 9" xfId="3415" xr:uid="{00000000-0005-0000-0000-0000570D0000}"/>
    <cellStyle name="Normal 10 2 10 2 22 3" xfId="3416" xr:uid="{00000000-0005-0000-0000-0000580D0000}"/>
    <cellStyle name="Normal 10 2 10 2 22 3 10" xfId="3417" xr:uid="{00000000-0005-0000-0000-0000590D0000}"/>
    <cellStyle name="Normal 10 2 10 2 22 3 2" xfId="3418" xr:uid="{00000000-0005-0000-0000-00005A0D0000}"/>
    <cellStyle name="Normal 10 2 10 2 22 3 3" xfId="3419" xr:uid="{00000000-0005-0000-0000-00005B0D0000}"/>
    <cellStyle name="Normal 10 2 10 2 22 3 4" xfId="3420" xr:uid="{00000000-0005-0000-0000-00005C0D0000}"/>
    <cellStyle name="Normal 10 2 10 2 22 3 5" xfId="3421" xr:uid="{00000000-0005-0000-0000-00005D0D0000}"/>
    <cellStyle name="Normal 10 2 10 2 22 3 6" xfId="3422" xr:uid="{00000000-0005-0000-0000-00005E0D0000}"/>
    <cellStyle name="Normal 10 2 10 2 22 3 7" xfId="3423" xr:uid="{00000000-0005-0000-0000-00005F0D0000}"/>
    <cellStyle name="Normal 10 2 10 2 22 3 8" xfId="3424" xr:uid="{00000000-0005-0000-0000-0000600D0000}"/>
    <cellStyle name="Normal 10 2 10 2 22 3 9" xfId="3425" xr:uid="{00000000-0005-0000-0000-0000610D0000}"/>
    <cellStyle name="Normal 10 2 10 2 22 4" xfId="3426" xr:uid="{00000000-0005-0000-0000-0000620D0000}"/>
    <cellStyle name="Normal 10 2 10 2 22 4 10" xfId="3427" xr:uid="{00000000-0005-0000-0000-0000630D0000}"/>
    <cellStyle name="Normal 10 2 10 2 22 4 2" xfId="3428" xr:uid="{00000000-0005-0000-0000-0000640D0000}"/>
    <cellStyle name="Normal 10 2 10 2 22 4 3" xfId="3429" xr:uid="{00000000-0005-0000-0000-0000650D0000}"/>
    <cellStyle name="Normal 10 2 10 2 22 4 4" xfId="3430" xr:uid="{00000000-0005-0000-0000-0000660D0000}"/>
    <cellStyle name="Normal 10 2 10 2 22 4 5" xfId="3431" xr:uid="{00000000-0005-0000-0000-0000670D0000}"/>
    <cellStyle name="Normal 10 2 10 2 22 4 6" xfId="3432" xr:uid="{00000000-0005-0000-0000-0000680D0000}"/>
    <cellStyle name="Normal 10 2 10 2 22 4 7" xfId="3433" xr:uid="{00000000-0005-0000-0000-0000690D0000}"/>
    <cellStyle name="Normal 10 2 10 2 22 4 8" xfId="3434" xr:uid="{00000000-0005-0000-0000-00006A0D0000}"/>
    <cellStyle name="Normal 10 2 10 2 22 4 9" xfId="3435" xr:uid="{00000000-0005-0000-0000-00006B0D0000}"/>
    <cellStyle name="Normal 10 2 10 2 22 5" xfId="3436" xr:uid="{00000000-0005-0000-0000-00006C0D0000}"/>
    <cellStyle name="Normal 10 2 10 2 22 5 10" xfId="3437" xr:uid="{00000000-0005-0000-0000-00006D0D0000}"/>
    <cellStyle name="Normal 10 2 10 2 22 5 2" xfId="3438" xr:uid="{00000000-0005-0000-0000-00006E0D0000}"/>
    <cellStyle name="Normal 10 2 10 2 22 5 3" xfId="3439" xr:uid="{00000000-0005-0000-0000-00006F0D0000}"/>
    <cellStyle name="Normal 10 2 10 2 22 5 4" xfId="3440" xr:uid="{00000000-0005-0000-0000-0000700D0000}"/>
    <cellStyle name="Normal 10 2 10 2 22 5 5" xfId="3441" xr:uid="{00000000-0005-0000-0000-0000710D0000}"/>
    <cellStyle name="Normal 10 2 10 2 22 5 6" xfId="3442" xr:uid="{00000000-0005-0000-0000-0000720D0000}"/>
    <cellStyle name="Normal 10 2 10 2 22 5 7" xfId="3443" xr:uid="{00000000-0005-0000-0000-0000730D0000}"/>
    <cellStyle name="Normal 10 2 10 2 22 5 8" xfId="3444" xr:uid="{00000000-0005-0000-0000-0000740D0000}"/>
    <cellStyle name="Normal 10 2 10 2 22 5 9" xfId="3445" xr:uid="{00000000-0005-0000-0000-0000750D0000}"/>
    <cellStyle name="Normal 10 2 10 2 22 6" xfId="3446" xr:uid="{00000000-0005-0000-0000-0000760D0000}"/>
    <cellStyle name="Normal 10 2 10 2 22 7" xfId="3447" xr:uid="{00000000-0005-0000-0000-0000770D0000}"/>
    <cellStyle name="Normal 10 2 10 2 22 8" xfId="3448" xr:uid="{00000000-0005-0000-0000-0000780D0000}"/>
    <cellStyle name="Normal 10 2 10 2 22 9" xfId="3449" xr:uid="{00000000-0005-0000-0000-0000790D0000}"/>
    <cellStyle name="Normal 10 2 10 2 23" xfId="3450" xr:uid="{00000000-0005-0000-0000-00007A0D0000}"/>
    <cellStyle name="Normal 10 2 10 2 23 10" xfId="3451" xr:uid="{00000000-0005-0000-0000-00007B0D0000}"/>
    <cellStyle name="Normal 10 2 10 2 23 11" xfId="3452" xr:uid="{00000000-0005-0000-0000-00007C0D0000}"/>
    <cellStyle name="Normal 10 2 10 2 23 12" xfId="3453" xr:uid="{00000000-0005-0000-0000-00007D0D0000}"/>
    <cellStyle name="Normal 10 2 10 2 23 13" xfId="3454" xr:uid="{00000000-0005-0000-0000-00007E0D0000}"/>
    <cellStyle name="Normal 10 2 10 2 23 14" xfId="3455" xr:uid="{00000000-0005-0000-0000-00007F0D0000}"/>
    <cellStyle name="Normal 10 2 10 2 23 2" xfId="3456" xr:uid="{00000000-0005-0000-0000-0000800D0000}"/>
    <cellStyle name="Normal 10 2 10 2 23 2 10" xfId="3457" xr:uid="{00000000-0005-0000-0000-0000810D0000}"/>
    <cellStyle name="Normal 10 2 10 2 23 2 2" xfId="3458" xr:uid="{00000000-0005-0000-0000-0000820D0000}"/>
    <cellStyle name="Normal 10 2 10 2 23 2 3" xfId="3459" xr:uid="{00000000-0005-0000-0000-0000830D0000}"/>
    <cellStyle name="Normal 10 2 10 2 23 2 4" xfId="3460" xr:uid="{00000000-0005-0000-0000-0000840D0000}"/>
    <cellStyle name="Normal 10 2 10 2 23 2 5" xfId="3461" xr:uid="{00000000-0005-0000-0000-0000850D0000}"/>
    <cellStyle name="Normal 10 2 10 2 23 2 6" xfId="3462" xr:uid="{00000000-0005-0000-0000-0000860D0000}"/>
    <cellStyle name="Normal 10 2 10 2 23 2 7" xfId="3463" xr:uid="{00000000-0005-0000-0000-0000870D0000}"/>
    <cellStyle name="Normal 10 2 10 2 23 2 8" xfId="3464" xr:uid="{00000000-0005-0000-0000-0000880D0000}"/>
    <cellStyle name="Normal 10 2 10 2 23 2 9" xfId="3465" xr:uid="{00000000-0005-0000-0000-0000890D0000}"/>
    <cellStyle name="Normal 10 2 10 2 23 3" xfId="3466" xr:uid="{00000000-0005-0000-0000-00008A0D0000}"/>
    <cellStyle name="Normal 10 2 10 2 23 3 10" xfId="3467" xr:uid="{00000000-0005-0000-0000-00008B0D0000}"/>
    <cellStyle name="Normal 10 2 10 2 23 3 2" xfId="3468" xr:uid="{00000000-0005-0000-0000-00008C0D0000}"/>
    <cellStyle name="Normal 10 2 10 2 23 3 3" xfId="3469" xr:uid="{00000000-0005-0000-0000-00008D0D0000}"/>
    <cellStyle name="Normal 10 2 10 2 23 3 4" xfId="3470" xr:uid="{00000000-0005-0000-0000-00008E0D0000}"/>
    <cellStyle name="Normal 10 2 10 2 23 3 5" xfId="3471" xr:uid="{00000000-0005-0000-0000-00008F0D0000}"/>
    <cellStyle name="Normal 10 2 10 2 23 3 6" xfId="3472" xr:uid="{00000000-0005-0000-0000-0000900D0000}"/>
    <cellStyle name="Normal 10 2 10 2 23 3 7" xfId="3473" xr:uid="{00000000-0005-0000-0000-0000910D0000}"/>
    <cellStyle name="Normal 10 2 10 2 23 3 8" xfId="3474" xr:uid="{00000000-0005-0000-0000-0000920D0000}"/>
    <cellStyle name="Normal 10 2 10 2 23 3 9" xfId="3475" xr:uid="{00000000-0005-0000-0000-0000930D0000}"/>
    <cellStyle name="Normal 10 2 10 2 23 4" xfId="3476" xr:uid="{00000000-0005-0000-0000-0000940D0000}"/>
    <cellStyle name="Normal 10 2 10 2 23 4 10" xfId="3477" xr:uid="{00000000-0005-0000-0000-0000950D0000}"/>
    <cellStyle name="Normal 10 2 10 2 23 4 2" xfId="3478" xr:uid="{00000000-0005-0000-0000-0000960D0000}"/>
    <cellStyle name="Normal 10 2 10 2 23 4 3" xfId="3479" xr:uid="{00000000-0005-0000-0000-0000970D0000}"/>
    <cellStyle name="Normal 10 2 10 2 23 4 4" xfId="3480" xr:uid="{00000000-0005-0000-0000-0000980D0000}"/>
    <cellStyle name="Normal 10 2 10 2 23 4 5" xfId="3481" xr:uid="{00000000-0005-0000-0000-0000990D0000}"/>
    <cellStyle name="Normal 10 2 10 2 23 4 6" xfId="3482" xr:uid="{00000000-0005-0000-0000-00009A0D0000}"/>
    <cellStyle name="Normal 10 2 10 2 23 4 7" xfId="3483" xr:uid="{00000000-0005-0000-0000-00009B0D0000}"/>
    <cellStyle name="Normal 10 2 10 2 23 4 8" xfId="3484" xr:uid="{00000000-0005-0000-0000-00009C0D0000}"/>
    <cellStyle name="Normal 10 2 10 2 23 4 9" xfId="3485" xr:uid="{00000000-0005-0000-0000-00009D0D0000}"/>
    <cellStyle name="Normal 10 2 10 2 23 5" xfId="3486" xr:uid="{00000000-0005-0000-0000-00009E0D0000}"/>
    <cellStyle name="Normal 10 2 10 2 23 5 10" xfId="3487" xr:uid="{00000000-0005-0000-0000-00009F0D0000}"/>
    <cellStyle name="Normal 10 2 10 2 23 5 2" xfId="3488" xr:uid="{00000000-0005-0000-0000-0000A00D0000}"/>
    <cellStyle name="Normal 10 2 10 2 23 5 3" xfId="3489" xr:uid="{00000000-0005-0000-0000-0000A10D0000}"/>
    <cellStyle name="Normal 10 2 10 2 23 5 4" xfId="3490" xr:uid="{00000000-0005-0000-0000-0000A20D0000}"/>
    <cellStyle name="Normal 10 2 10 2 23 5 5" xfId="3491" xr:uid="{00000000-0005-0000-0000-0000A30D0000}"/>
    <cellStyle name="Normal 10 2 10 2 23 5 6" xfId="3492" xr:uid="{00000000-0005-0000-0000-0000A40D0000}"/>
    <cellStyle name="Normal 10 2 10 2 23 5 7" xfId="3493" xr:uid="{00000000-0005-0000-0000-0000A50D0000}"/>
    <cellStyle name="Normal 10 2 10 2 23 5 8" xfId="3494" xr:uid="{00000000-0005-0000-0000-0000A60D0000}"/>
    <cellStyle name="Normal 10 2 10 2 23 5 9" xfId="3495" xr:uid="{00000000-0005-0000-0000-0000A70D0000}"/>
    <cellStyle name="Normal 10 2 10 2 23 6" xfId="3496" xr:uid="{00000000-0005-0000-0000-0000A80D0000}"/>
    <cellStyle name="Normal 10 2 10 2 23 7" xfId="3497" xr:uid="{00000000-0005-0000-0000-0000A90D0000}"/>
    <cellStyle name="Normal 10 2 10 2 23 8" xfId="3498" xr:uid="{00000000-0005-0000-0000-0000AA0D0000}"/>
    <cellStyle name="Normal 10 2 10 2 23 9" xfId="3499" xr:uid="{00000000-0005-0000-0000-0000AB0D0000}"/>
    <cellStyle name="Normal 10 2 10 2 24" xfId="3500" xr:uid="{00000000-0005-0000-0000-0000AC0D0000}"/>
    <cellStyle name="Normal 10 2 10 2 24 10" xfId="3501" xr:uid="{00000000-0005-0000-0000-0000AD0D0000}"/>
    <cellStyle name="Normal 10 2 10 2 24 11" xfId="3502" xr:uid="{00000000-0005-0000-0000-0000AE0D0000}"/>
    <cellStyle name="Normal 10 2 10 2 24 12" xfId="3503" xr:uid="{00000000-0005-0000-0000-0000AF0D0000}"/>
    <cellStyle name="Normal 10 2 10 2 24 13" xfId="3504" xr:uid="{00000000-0005-0000-0000-0000B00D0000}"/>
    <cellStyle name="Normal 10 2 10 2 24 14" xfId="3505" xr:uid="{00000000-0005-0000-0000-0000B10D0000}"/>
    <cellStyle name="Normal 10 2 10 2 24 2" xfId="3506" xr:uid="{00000000-0005-0000-0000-0000B20D0000}"/>
    <cellStyle name="Normal 10 2 10 2 24 2 10" xfId="3507" xr:uid="{00000000-0005-0000-0000-0000B30D0000}"/>
    <cellStyle name="Normal 10 2 10 2 24 2 2" xfId="3508" xr:uid="{00000000-0005-0000-0000-0000B40D0000}"/>
    <cellStyle name="Normal 10 2 10 2 24 2 3" xfId="3509" xr:uid="{00000000-0005-0000-0000-0000B50D0000}"/>
    <cellStyle name="Normal 10 2 10 2 24 2 4" xfId="3510" xr:uid="{00000000-0005-0000-0000-0000B60D0000}"/>
    <cellStyle name="Normal 10 2 10 2 24 2 5" xfId="3511" xr:uid="{00000000-0005-0000-0000-0000B70D0000}"/>
    <cellStyle name="Normal 10 2 10 2 24 2 6" xfId="3512" xr:uid="{00000000-0005-0000-0000-0000B80D0000}"/>
    <cellStyle name="Normal 10 2 10 2 24 2 7" xfId="3513" xr:uid="{00000000-0005-0000-0000-0000B90D0000}"/>
    <cellStyle name="Normal 10 2 10 2 24 2 8" xfId="3514" xr:uid="{00000000-0005-0000-0000-0000BA0D0000}"/>
    <cellStyle name="Normal 10 2 10 2 24 2 9" xfId="3515" xr:uid="{00000000-0005-0000-0000-0000BB0D0000}"/>
    <cellStyle name="Normal 10 2 10 2 24 3" xfId="3516" xr:uid="{00000000-0005-0000-0000-0000BC0D0000}"/>
    <cellStyle name="Normal 10 2 10 2 24 3 10" xfId="3517" xr:uid="{00000000-0005-0000-0000-0000BD0D0000}"/>
    <cellStyle name="Normal 10 2 10 2 24 3 2" xfId="3518" xr:uid="{00000000-0005-0000-0000-0000BE0D0000}"/>
    <cellStyle name="Normal 10 2 10 2 24 3 3" xfId="3519" xr:uid="{00000000-0005-0000-0000-0000BF0D0000}"/>
    <cellStyle name="Normal 10 2 10 2 24 3 4" xfId="3520" xr:uid="{00000000-0005-0000-0000-0000C00D0000}"/>
    <cellStyle name="Normal 10 2 10 2 24 3 5" xfId="3521" xr:uid="{00000000-0005-0000-0000-0000C10D0000}"/>
    <cellStyle name="Normal 10 2 10 2 24 3 6" xfId="3522" xr:uid="{00000000-0005-0000-0000-0000C20D0000}"/>
    <cellStyle name="Normal 10 2 10 2 24 3 7" xfId="3523" xr:uid="{00000000-0005-0000-0000-0000C30D0000}"/>
    <cellStyle name="Normal 10 2 10 2 24 3 8" xfId="3524" xr:uid="{00000000-0005-0000-0000-0000C40D0000}"/>
    <cellStyle name="Normal 10 2 10 2 24 3 9" xfId="3525" xr:uid="{00000000-0005-0000-0000-0000C50D0000}"/>
    <cellStyle name="Normal 10 2 10 2 24 4" xfId="3526" xr:uid="{00000000-0005-0000-0000-0000C60D0000}"/>
    <cellStyle name="Normal 10 2 10 2 24 4 10" xfId="3527" xr:uid="{00000000-0005-0000-0000-0000C70D0000}"/>
    <cellStyle name="Normal 10 2 10 2 24 4 2" xfId="3528" xr:uid="{00000000-0005-0000-0000-0000C80D0000}"/>
    <cellStyle name="Normal 10 2 10 2 24 4 3" xfId="3529" xr:uid="{00000000-0005-0000-0000-0000C90D0000}"/>
    <cellStyle name="Normal 10 2 10 2 24 4 4" xfId="3530" xr:uid="{00000000-0005-0000-0000-0000CA0D0000}"/>
    <cellStyle name="Normal 10 2 10 2 24 4 5" xfId="3531" xr:uid="{00000000-0005-0000-0000-0000CB0D0000}"/>
    <cellStyle name="Normal 10 2 10 2 24 4 6" xfId="3532" xr:uid="{00000000-0005-0000-0000-0000CC0D0000}"/>
    <cellStyle name="Normal 10 2 10 2 24 4 7" xfId="3533" xr:uid="{00000000-0005-0000-0000-0000CD0D0000}"/>
    <cellStyle name="Normal 10 2 10 2 24 4 8" xfId="3534" xr:uid="{00000000-0005-0000-0000-0000CE0D0000}"/>
    <cellStyle name="Normal 10 2 10 2 24 4 9" xfId="3535" xr:uid="{00000000-0005-0000-0000-0000CF0D0000}"/>
    <cellStyle name="Normal 10 2 10 2 24 5" xfId="3536" xr:uid="{00000000-0005-0000-0000-0000D00D0000}"/>
    <cellStyle name="Normal 10 2 10 2 24 5 10" xfId="3537" xr:uid="{00000000-0005-0000-0000-0000D10D0000}"/>
    <cellStyle name="Normal 10 2 10 2 24 5 2" xfId="3538" xr:uid="{00000000-0005-0000-0000-0000D20D0000}"/>
    <cellStyle name="Normal 10 2 10 2 24 5 3" xfId="3539" xr:uid="{00000000-0005-0000-0000-0000D30D0000}"/>
    <cellStyle name="Normal 10 2 10 2 24 5 4" xfId="3540" xr:uid="{00000000-0005-0000-0000-0000D40D0000}"/>
    <cellStyle name="Normal 10 2 10 2 24 5 5" xfId="3541" xr:uid="{00000000-0005-0000-0000-0000D50D0000}"/>
    <cellStyle name="Normal 10 2 10 2 24 5 6" xfId="3542" xr:uid="{00000000-0005-0000-0000-0000D60D0000}"/>
    <cellStyle name="Normal 10 2 10 2 24 5 7" xfId="3543" xr:uid="{00000000-0005-0000-0000-0000D70D0000}"/>
    <cellStyle name="Normal 10 2 10 2 24 5 8" xfId="3544" xr:uid="{00000000-0005-0000-0000-0000D80D0000}"/>
    <cellStyle name="Normal 10 2 10 2 24 5 9" xfId="3545" xr:uid="{00000000-0005-0000-0000-0000D90D0000}"/>
    <cellStyle name="Normal 10 2 10 2 24 6" xfId="3546" xr:uid="{00000000-0005-0000-0000-0000DA0D0000}"/>
    <cellStyle name="Normal 10 2 10 2 24 7" xfId="3547" xr:uid="{00000000-0005-0000-0000-0000DB0D0000}"/>
    <cellStyle name="Normal 10 2 10 2 24 8" xfId="3548" xr:uid="{00000000-0005-0000-0000-0000DC0D0000}"/>
    <cellStyle name="Normal 10 2 10 2 24 9" xfId="3549" xr:uid="{00000000-0005-0000-0000-0000DD0D0000}"/>
    <cellStyle name="Normal 10 2 10 2 25" xfId="3550" xr:uid="{00000000-0005-0000-0000-0000DE0D0000}"/>
    <cellStyle name="Normal 10 2 10 2 25 10" xfId="3551" xr:uid="{00000000-0005-0000-0000-0000DF0D0000}"/>
    <cellStyle name="Normal 10 2 10 2 25 11" xfId="3552" xr:uid="{00000000-0005-0000-0000-0000E00D0000}"/>
    <cellStyle name="Normal 10 2 10 2 25 12" xfId="3553" xr:uid="{00000000-0005-0000-0000-0000E10D0000}"/>
    <cellStyle name="Normal 10 2 10 2 25 13" xfId="3554" xr:uid="{00000000-0005-0000-0000-0000E20D0000}"/>
    <cellStyle name="Normal 10 2 10 2 25 14" xfId="3555" xr:uid="{00000000-0005-0000-0000-0000E30D0000}"/>
    <cellStyle name="Normal 10 2 10 2 25 2" xfId="3556" xr:uid="{00000000-0005-0000-0000-0000E40D0000}"/>
    <cellStyle name="Normal 10 2 10 2 25 2 10" xfId="3557" xr:uid="{00000000-0005-0000-0000-0000E50D0000}"/>
    <cellStyle name="Normal 10 2 10 2 25 2 2" xfId="3558" xr:uid="{00000000-0005-0000-0000-0000E60D0000}"/>
    <cellStyle name="Normal 10 2 10 2 25 2 3" xfId="3559" xr:uid="{00000000-0005-0000-0000-0000E70D0000}"/>
    <cellStyle name="Normal 10 2 10 2 25 2 4" xfId="3560" xr:uid="{00000000-0005-0000-0000-0000E80D0000}"/>
    <cellStyle name="Normal 10 2 10 2 25 2 5" xfId="3561" xr:uid="{00000000-0005-0000-0000-0000E90D0000}"/>
    <cellStyle name="Normal 10 2 10 2 25 2 6" xfId="3562" xr:uid="{00000000-0005-0000-0000-0000EA0D0000}"/>
    <cellStyle name="Normal 10 2 10 2 25 2 7" xfId="3563" xr:uid="{00000000-0005-0000-0000-0000EB0D0000}"/>
    <cellStyle name="Normal 10 2 10 2 25 2 8" xfId="3564" xr:uid="{00000000-0005-0000-0000-0000EC0D0000}"/>
    <cellStyle name="Normal 10 2 10 2 25 2 9" xfId="3565" xr:uid="{00000000-0005-0000-0000-0000ED0D0000}"/>
    <cellStyle name="Normal 10 2 10 2 25 3" xfId="3566" xr:uid="{00000000-0005-0000-0000-0000EE0D0000}"/>
    <cellStyle name="Normal 10 2 10 2 25 3 10" xfId="3567" xr:uid="{00000000-0005-0000-0000-0000EF0D0000}"/>
    <cellStyle name="Normal 10 2 10 2 25 3 2" xfId="3568" xr:uid="{00000000-0005-0000-0000-0000F00D0000}"/>
    <cellStyle name="Normal 10 2 10 2 25 3 3" xfId="3569" xr:uid="{00000000-0005-0000-0000-0000F10D0000}"/>
    <cellStyle name="Normal 10 2 10 2 25 3 4" xfId="3570" xr:uid="{00000000-0005-0000-0000-0000F20D0000}"/>
    <cellStyle name="Normal 10 2 10 2 25 3 5" xfId="3571" xr:uid="{00000000-0005-0000-0000-0000F30D0000}"/>
    <cellStyle name="Normal 10 2 10 2 25 3 6" xfId="3572" xr:uid="{00000000-0005-0000-0000-0000F40D0000}"/>
    <cellStyle name="Normal 10 2 10 2 25 3 7" xfId="3573" xr:uid="{00000000-0005-0000-0000-0000F50D0000}"/>
    <cellStyle name="Normal 10 2 10 2 25 3 8" xfId="3574" xr:uid="{00000000-0005-0000-0000-0000F60D0000}"/>
    <cellStyle name="Normal 10 2 10 2 25 3 9" xfId="3575" xr:uid="{00000000-0005-0000-0000-0000F70D0000}"/>
    <cellStyle name="Normal 10 2 10 2 25 4" xfId="3576" xr:uid="{00000000-0005-0000-0000-0000F80D0000}"/>
    <cellStyle name="Normal 10 2 10 2 25 4 10" xfId="3577" xr:uid="{00000000-0005-0000-0000-0000F90D0000}"/>
    <cellStyle name="Normal 10 2 10 2 25 4 2" xfId="3578" xr:uid="{00000000-0005-0000-0000-0000FA0D0000}"/>
    <cellStyle name="Normal 10 2 10 2 25 4 3" xfId="3579" xr:uid="{00000000-0005-0000-0000-0000FB0D0000}"/>
    <cellStyle name="Normal 10 2 10 2 25 4 4" xfId="3580" xr:uid="{00000000-0005-0000-0000-0000FC0D0000}"/>
    <cellStyle name="Normal 10 2 10 2 25 4 5" xfId="3581" xr:uid="{00000000-0005-0000-0000-0000FD0D0000}"/>
    <cellStyle name="Normal 10 2 10 2 25 4 6" xfId="3582" xr:uid="{00000000-0005-0000-0000-0000FE0D0000}"/>
    <cellStyle name="Normal 10 2 10 2 25 4 7" xfId="3583" xr:uid="{00000000-0005-0000-0000-0000FF0D0000}"/>
    <cellStyle name="Normal 10 2 10 2 25 4 8" xfId="3584" xr:uid="{00000000-0005-0000-0000-0000000E0000}"/>
    <cellStyle name="Normal 10 2 10 2 25 4 9" xfId="3585" xr:uid="{00000000-0005-0000-0000-0000010E0000}"/>
    <cellStyle name="Normal 10 2 10 2 25 5" xfId="3586" xr:uid="{00000000-0005-0000-0000-0000020E0000}"/>
    <cellStyle name="Normal 10 2 10 2 25 5 10" xfId="3587" xr:uid="{00000000-0005-0000-0000-0000030E0000}"/>
    <cellStyle name="Normal 10 2 10 2 25 5 2" xfId="3588" xr:uid="{00000000-0005-0000-0000-0000040E0000}"/>
    <cellStyle name="Normal 10 2 10 2 25 5 3" xfId="3589" xr:uid="{00000000-0005-0000-0000-0000050E0000}"/>
    <cellStyle name="Normal 10 2 10 2 25 5 4" xfId="3590" xr:uid="{00000000-0005-0000-0000-0000060E0000}"/>
    <cellStyle name="Normal 10 2 10 2 25 5 5" xfId="3591" xr:uid="{00000000-0005-0000-0000-0000070E0000}"/>
    <cellStyle name="Normal 10 2 10 2 25 5 6" xfId="3592" xr:uid="{00000000-0005-0000-0000-0000080E0000}"/>
    <cellStyle name="Normal 10 2 10 2 25 5 7" xfId="3593" xr:uid="{00000000-0005-0000-0000-0000090E0000}"/>
    <cellStyle name="Normal 10 2 10 2 25 5 8" xfId="3594" xr:uid="{00000000-0005-0000-0000-00000A0E0000}"/>
    <cellStyle name="Normal 10 2 10 2 25 5 9" xfId="3595" xr:uid="{00000000-0005-0000-0000-00000B0E0000}"/>
    <cellStyle name="Normal 10 2 10 2 25 6" xfId="3596" xr:uid="{00000000-0005-0000-0000-00000C0E0000}"/>
    <cellStyle name="Normal 10 2 10 2 25 7" xfId="3597" xr:uid="{00000000-0005-0000-0000-00000D0E0000}"/>
    <cellStyle name="Normal 10 2 10 2 25 8" xfId="3598" xr:uid="{00000000-0005-0000-0000-00000E0E0000}"/>
    <cellStyle name="Normal 10 2 10 2 25 9" xfId="3599" xr:uid="{00000000-0005-0000-0000-00000F0E0000}"/>
    <cellStyle name="Normal 10 2 10 2 26" xfId="3600" xr:uid="{00000000-0005-0000-0000-0000100E0000}"/>
    <cellStyle name="Normal 10 2 10 2 26 10" xfId="3601" xr:uid="{00000000-0005-0000-0000-0000110E0000}"/>
    <cellStyle name="Normal 10 2 10 2 26 11" xfId="3602" xr:uid="{00000000-0005-0000-0000-0000120E0000}"/>
    <cellStyle name="Normal 10 2 10 2 26 12" xfId="3603" xr:uid="{00000000-0005-0000-0000-0000130E0000}"/>
    <cellStyle name="Normal 10 2 10 2 26 13" xfId="3604" xr:uid="{00000000-0005-0000-0000-0000140E0000}"/>
    <cellStyle name="Normal 10 2 10 2 26 14" xfId="3605" xr:uid="{00000000-0005-0000-0000-0000150E0000}"/>
    <cellStyle name="Normal 10 2 10 2 26 2" xfId="3606" xr:uid="{00000000-0005-0000-0000-0000160E0000}"/>
    <cellStyle name="Normal 10 2 10 2 26 2 10" xfId="3607" xr:uid="{00000000-0005-0000-0000-0000170E0000}"/>
    <cellStyle name="Normal 10 2 10 2 26 2 2" xfId="3608" xr:uid="{00000000-0005-0000-0000-0000180E0000}"/>
    <cellStyle name="Normal 10 2 10 2 26 2 3" xfId="3609" xr:uid="{00000000-0005-0000-0000-0000190E0000}"/>
    <cellStyle name="Normal 10 2 10 2 26 2 4" xfId="3610" xr:uid="{00000000-0005-0000-0000-00001A0E0000}"/>
    <cellStyle name="Normal 10 2 10 2 26 2 5" xfId="3611" xr:uid="{00000000-0005-0000-0000-00001B0E0000}"/>
    <cellStyle name="Normal 10 2 10 2 26 2 6" xfId="3612" xr:uid="{00000000-0005-0000-0000-00001C0E0000}"/>
    <cellStyle name="Normal 10 2 10 2 26 2 7" xfId="3613" xr:uid="{00000000-0005-0000-0000-00001D0E0000}"/>
    <cellStyle name="Normal 10 2 10 2 26 2 8" xfId="3614" xr:uid="{00000000-0005-0000-0000-00001E0E0000}"/>
    <cellStyle name="Normal 10 2 10 2 26 2 9" xfId="3615" xr:uid="{00000000-0005-0000-0000-00001F0E0000}"/>
    <cellStyle name="Normal 10 2 10 2 26 3" xfId="3616" xr:uid="{00000000-0005-0000-0000-0000200E0000}"/>
    <cellStyle name="Normal 10 2 10 2 26 3 10" xfId="3617" xr:uid="{00000000-0005-0000-0000-0000210E0000}"/>
    <cellStyle name="Normal 10 2 10 2 26 3 2" xfId="3618" xr:uid="{00000000-0005-0000-0000-0000220E0000}"/>
    <cellStyle name="Normal 10 2 10 2 26 3 3" xfId="3619" xr:uid="{00000000-0005-0000-0000-0000230E0000}"/>
    <cellStyle name="Normal 10 2 10 2 26 3 4" xfId="3620" xr:uid="{00000000-0005-0000-0000-0000240E0000}"/>
    <cellStyle name="Normal 10 2 10 2 26 3 5" xfId="3621" xr:uid="{00000000-0005-0000-0000-0000250E0000}"/>
    <cellStyle name="Normal 10 2 10 2 26 3 6" xfId="3622" xr:uid="{00000000-0005-0000-0000-0000260E0000}"/>
    <cellStyle name="Normal 10 2 10 2 26 3 7" xfId="3623" xr:uid="{00000000-0005-0000-0000-0000270E0000}"/>
    <cellStyle name="Normal 10 2 10 2 26 3 8" xfId="3624" xr:uid="{00000000-0005-0000-0000-0000280E0000}"/>
    <cellStyle name="Normal 10 2 10 2 26 3 9" xfId="3625" xr:uid="{00000000-0005-0000-0000-0000290E0000}"/>
    <cellStyle name="Normal 10 2 10 2 26 4" xfId="3626" xr:uid="{00000000-0005-0000-0000-00002A0E0000}"/>
    <cellStyle name="Normal 10 2 10 2 26 4 10" xfId="3627" xr:uid="{00000000-0005-0000-0000-00002B0E0000}"/>
    <cellStyle name="Normal 10 2 10 2 26 4 2" xfId="3628" xr:uid="{00000000-0005-0000-0000-00002C0E0000}"/>
    <cellStyle name="Normal 10 2 10 2 26 4 3" xfId="3629" xr:uid="{00000000-0005-0000-0000-00002D0E0000}"/>
    <cellStyle name="Normal 10 2 10 2 26 4 4" xfId="3630" xr:uid="{00000000-0005-0000-0000-00002E0E0000}"/>
    <cellStyle name="Normal 10 2 10 2 26 4 5" xfId="3631" xr:uid="{00000000-0005-0000-0000-00002F0E0000}"/>
    <cellStyle name="Normal 10 2 10 2 26 4 6" xfId="3632" xr:uid="{00000000-0005-0000-0000-0000300E0000}"/>
    <cellStyle name="Normal 10 2 10 2 26 4 7" xfId="3633" xr:uid="{00000000-0005-0000-0000-0000310E0000}"/>
    <cellStyle name="Normal 10 2 10 2 26 4 8" xfId="3634" xr:uid="{00000000-0005-0000-0000-0000320E0000}"/>
    <cellStyle name="Normal 10 2 10 2 26 4 9" xfId="3635" xr:uid="{00000000-0005-0000-0000-0000330E0000}"/>
    <cellStyle name="Normal 10 2 10 2 26 5" xfId="3636" xr:uid="{00000000-0005-0000-0000-0000340E0000}"/>
    <cellStyle name="Normal 10 2 10 2 26 5 10" xfId="3637" xr:uid="{00000000-0005-0000-0000-0000350E0000}"/>
    <cellStyle name="Normal 10 2 10 2 26 5 2" xfId="3638" xr:uid="{00000000-0005-0000-0000-0000360E0000}"/>
    <cellStyle name="Normal 10 2 10 2 26 5 3" xfId="3639" xr:uid="{00000000-0005-0000-0000-0000370E0000}"/>
    <cellStyle name="Normal 10 2 10 2 26 5 4" xfId="3640" xr:uid="{00000000-0005-0000-0000-0000380E0000}"/>
    <cellStyle name="Normal 10 2 10 2 26 5 5" xfId="3641" xr:uid="{00000000-0005-0000-0000-0000390E0000}"/>
    <cellStyle name="Normal 10 2 10 2 26 5 6" xfId="3642" xr:uid="{00000000-0005-0000-0000-00003A0E0000}"/>
    <cellStyle name="Normal 10 2 10 2 26 5 7" xfId="3643" xr:uid="{00000000-0005-0000-0000-00003B0E0000}"/>
    <cellStyle name="Normal 10 2 10 2 26 5 8" xfId="3644" xr:uid="{00000000-0005-0000-0000-00003C0E0000}"/>
    <cellStyle name="Normal 10 2 10 2 26 5 9" xfId="3645" xr:uid="{00000000-0005-0000-0000-00003D0E0000}"/>
    <cellStyle name="Normal 10 2 10 2 26 6" xfId="3646" xr:uid="{00000000-0005-0000-0000-00003E0E0000}"/>
    <cellStyle name="Normal 10 2 10 2 26 7" xfId="3647" xr:uid="{00000000-0005-0000-0000-00003F0E0000}"/>
    <cellStyle name="Normal 10 2 10 2 26 8" xfId="3648" xr:uid="{00000000-0005-0000-0000-0000400E0000}"/>
    <cellStyle name="Normal 10 2 10 2 26 9" xfId="3649" xr:uid="{00000000-0005-0000-0000-0000410E0000}"/>
    <cellStyle name="Normal 10 2 10 2 27" xfId="3650" xr:uid="{00000000-0005-0000-0000-0000420E0000}"/>
    <cellStyle name="Normal 10 2 10 2 27 10" xfId="3651" xr:uid="{00000000-0005-0000-0000-0000430E0000}"/>
    <cellStyle name="Normal 10 2 10 2 27 11" xfId="3652" xr:uid="{00000000-0005-0000-0000-0000440E0000}"/>
    <cellStyle name="Normal 10 2 10 2 27 12" xfId="3653" xr:uid="{00000000-0005-0000-0000-0000450E0000}"/>
    <cellStyle name="Normal 10 2 10 2 27 13" xfId="3654" xr:uid="{00000000-0005-0000-0000-0000460E0000}"/>
    <cellStyle name="Normal 10 2 10 2 27 14" xfId="3655" xr:uid="{00000000-0005-0000-0000-0000470E0000}"/>
    <cellStyle name="Normal 10 2 10 2 27 2" xfId="3656" xr:uid="{00000000-0005-0000-0000-0000480E0000}"/>
    <cellStyle name="Normal 10 2 10 2 27 2 10" xfId="3657" xr:uid="{00000000-0005-0000-0000-0000490E0000}"/>
    <cellStyle name="Normal 10 2 10 2 27 2 2" xfId="3658" xr:uid="{00000000-0005-0000-0000-00004A0E0000}"/>
    <cellStyle name="Normal 10 2 10 2 27 2 3" xfId="3659" xr:uid="{00000000-0005-0000-0000-00004B0E0000}"/>
    <cellStyle name="Normal 10 2 10 2 27 2 4" xfId="3660" xr:uid="{00000000-0005-0000-0000-00004C0E0000}"/>
    <cellStyle name="Normal 10 2 10 2 27 2 5" xfId="3661" xr:uid="{00000000-0005-0000-0000-00004D0E0000}"/>
    <cellStyle name="Normal 10 2 10 2 27 2 6" xfId="3662" xr:uid="{00000000-0005-0000-0000-00004E0E0000}"/>
    <cellStyle name="Normal 10 2 10 2 27 2 7" xfId="3663" xr:uid="{00000000-0005-0000-0000-00004F0E0000}"/>
    <cellStyle name="Normal 10 2 10 2 27 2 8" xfId="3664" xr:uid="{00000000-0005-0000-0000-0000500E0000}"/>
    <cellStyle name="Normal 10 2 10 2 27 2 9" xfId="3665" xr:uid="{00000000-0005-0000-0000-0000510E0000}"/>
    <cellStyle name="Normal 10 2 10 2 27 3" xfId="3666" xr:uid="{00000000-0005-0000-0000-0000520E0000}"/>
    <cellStyle name="Normal 10 2 10 2 27 3 10" xfId="3667" xr:uid="{00000000-0005-0000-0000-0000530E0000}"/>
    <cellStyle name="Normal 10 2 10 2 27 3 2" xfId="3668" xr:uid="{00000000-0005-0000-0000-0000540E0000}"/>
    <cellStyle name="Normal 10 2 10 2 27 3 3" xfId="3669" xr:uid="{00000000-0005-0000-0000-0000550E0000}"/>
    <cellStyle name="Normal 10 2 10 2 27 3 4" xfId="3670" xr:uid="{00000000-0005-0000-0000-0000560E0000}"/>
    <cellStyle name="Normal 10 2 10 2 27 3 5" xfId="3671" xr:uid="{00000000-0005-0000-0000-0000570E0000}"/>
    <cellStyle name="Normal 10 2 10 2 27 3 6" xfId="3672" xr:uid="{00000000-0005-0000-0000-0000580E0000}"/>
    <cellStyle name="Normal 10 2 10 2 27 3 7" xfId="3673" xr:uid="{00000000-0005-0000-0000-0000590E0000}"/>
    <cellStyle name="Normal 10 2 10 2 27 3 8" xfId="3674" xr:uid="{00000000-0005-0000-0000-00005A0E0000}"/>
    <cellStyle name="Normal 10 2 10 2 27 3 9" xfId="3675" xr:uid="{00000000-0005-0000-0000-00005B0E0000}"/>
    <cellStyle name="Normal 10 2 10 2 27 4" xfId="3676" xr:uid="{00000000-0005-0000-0000-00005C0E0000}"/>
    <cellStyle name="Normal 10 2 10 2 27 4 10" xfId="3677" xr:uid="{00000000-0005-0000-0000-00005D0E0000}"/>
    <cellStyle name="Normal 10 2 10 2 27 4 2" xfId="3678" xr:uid="{00000000-0005-0000-0000-00005E0E0000}"/>
    <cellStyle name="Normal 10 2 10 2 27 4 3" xfId="3679" xr:uid="{00000000-0005-0000-0000-00005F0E0000}"/>
    <cellStyle name="Normal 10 2 10 2 27 4 4" xfId="3680" xr:uid="{00000000-0005-0000-0000-0000600E0000}"/>
    <cellStyle name="Normal 10 2 10 2 27 4 5" xfId="3681" xr:uid="{00000000-0005-0000-0000-0000610E0000}"/>
    <cellStyle name="Normal 10 2 10 2 27 4 6" xfId="3682" xr:uid="{00000000-0005-0000-0000-0000620E0000}"/>
    <cellStyle name="Normal 10 2 10 2 27 4 7" xfId="3683" xr:uid="{00000000-0005-0000-0000-0000630E0000}"/>
    <cellStyle name="Normal 10 2 10 2 27 4 8" xfId="3684" xr:uid="{00000000-0005-0000-0000-0000640E0000}"/>
    <cellStyle name="Normal 10 2 10 2 27 4 9" xfId="3685" xr:uid="{00000000-0005-0000-0000-0000650E0000}"/>
    <cellStyle name="Normal 10 2 10 2 27 5" xfId="3686" xr:uid="{00000000-0005-0000-0000-0000660E0000}"/>
    <cellStyle name="Normal 10 2 10 2 27 5 10" xfId="3687" xr:uid="{00000000-0005-0000-0000-0000670E0000}"/>
    <cellStyle name="Normal 10 2 10 2 27 5 2" xfId="3688" xr:uid="{00000000-0005-0000-0000-0000680E0000}"/>
    <cellStyle name="Normal 10 2 10 2 27 5 3" xfId="3689" xr:uid="{00000000-0005-0000-0000-0000690E0000}"/>
    <cellStyle name="Normal 10 2 10 2 27 5 4" xfId="3690" xr:uid="{00000000-0005-0000-0000-00006A0E0000}"/>
    <cellStyle name="Normal 10 2 10 2 27 5 5" xfId="3691" xr:uid="{00000000-0005-0000-0000-00006B0E0000}"/>
    <cellStyle name="Normal 10 2 10 2 27 5 6" xfId="3692" xr:uid="{00000000-0005-0000-0000-00006C0E0000}"/>
    <cellStyle name="Normal 10 2 10 2 27 5 7" xfId="3693" xr:uid="{00000000-0005-0000-0000-00006D0E0000}"/>
    <cellStyle name="Normal 10 2 10 2 27 5 8" xfId="3694" xr:uid="{00000000-0005-0000-0000-00006E0E0000}"/>
    <cellStyle name="Normal 10 2 10 2 27 5 9" xfId="3695" xr:uid="{00000000-0005-0000-0000-00006F0E0000}"/>
    <cellStyle name="Normal 10 2 10 2 27 6" xfId="3696" xr:uid="{00000000-0005-0000-0000-0000700E0000}"/>
    <cellStyle name="Normal 10 2 10 2 27 7" xfId="3697" xr:uid="{00000000-0005-0000-0000-0000710E0000}"/>
    <cellStyle name="Normal 10 2 10 2 27 8" xfId="3698" xr:uid="{00000000-0005-0000-0000-0000720E0000}"/>
    <cellStyle name="Normal 10 2 10 2 27 9" xfId="3699" xr:uid="{00000000-0005-0000-0000-0000730E0000}"/>
    <cellStyle name="Normal 10 2 10 2 28" xfId="3700" xr:uid="{00000000-0005-0000-0000-0000740E0000}"/>
    <cellStyle name="Normal 10 2 10 2 28 10" xfId="3701" xr:uid="{00000000-0005-0000-0000-0000750E0000}"/>
    <cellStyle name="Normal 10 2 10 2 28 11" xfId="3702" xr:uid="{00000000-0005-0000-0000-0000760E0000}"/>
    <cellStyle name="Normal 10 2 10 2 28 12" xfId="3703" xr:uid="{00000000-0005-0000-0000-0000770E0000}"/>
    <cellStyle name="Normal 10 2 10 2 28 13" xfId="3704" xr:uid="{00000000-0005-0000-0000-0000780E0000}"/>
    <cellStyle name="Normal 10 2 10 2 28 14" xfId="3705" xr:uid="{00000000-0005-0000-0000-0000790E0000}"/>
    <cellStyle name="Normal 10 2 10 2 28 2" xfId="3706" xr:uid="{00000000-0005-0000-0000-00007A0E0000}"/>
    <cellStyle name="Normal 10 2 10 2 28 2 10" xfId="3707" xr:uid="{00000000-0005-0000-0000-00007B0E0000}"/>
    <cellStyle name="Normal 10 2 10 2 28 2 2" xfId="3708" xr:uid="{00000000-0005-0000-0000-00007C0E0000}"/>
    <cellStyle name="Normal 10 2 10 2 28 2 3" xfId="3709" xr:uid="{00000000-0005-0000-0000-00007D0E0000}"/>
    <cellStyle name="Normal 10 2 10 2 28 2 4" xfId="3710" xr:uid="{00000000-0005-0000-0000-00007E0E0000}"/>
    <cellStyle name="Normal 10 2 10 2 28 2 5" xfId="3711" xr:uid="{00000000-0005-0000-0000-00007F0E0000}"/>
    <cellStyle name="Normal 10 2 10 2 28 2 6" xfId="3712" xr:uid="{00000000-0005-0000-0000-0000800E0000}"/>
    <cellStyle name="Normal 10 2 10 2 28 2 7" xfId="3713" xr:uid="{00000000-0005-0000-0000-0000810E0000}"/>
    <cellStyle name="Normal 10 2 10 2 28 2 8" xfId="3714" xr:uid="{00000000-0005-0000-0000-0000820E0000}"/>
    <cellStyle name="Normal 10 2 10 2 28 2 9" xfId="3715" xr:uid="{00000000-0005-0000-0000-0000830E0000}"/>
    <cellStyle name="Normal 10 2 10 2 28 3" xfId="3716" xr:uid="{00000000-0005-0000-0000-0000840E0000}"/>
    <cellStyle name="Normal 10 2 10 2 28 3 10" xfId="3717" xr:uid="{00000000-0005-0000-0000-0000850E0000}"/>
    <cellStyle name="Normal 10 2 10 2 28 3 2" xfId="3718" xr:uid="{00000000-0005-0000-0000-0000860E0000}"/>
    <cellStyle name="Normal 10 2 10 2 28 3 3" xfId="3719" xr:uid="{00000000-0005-0000-0000-0000870E0000}"/>
    <cellStyle name="Normal 10 2 10 2 28 3 4" xfId="3720" xr:uid="{00000000-0005-0000-0000-0000880E0000}"/>
    <cellStyle name="Normal 10 2 10 2 28 3 5" xfId="3721" xr:uid="{00000000-0005-0000-0000-0000890E0000}"/>
    <cellStyle name="Normal 10 2 10 2 28 3 6" xfId="3722" xr:uid="{00000000-0005-0000-0000-00008A0E0000}"/>
    <cellStyle name="Normal 10 2 10 2 28 3 7" xfId="3723" xr:uid="{00000000-0005-0000-0000-00008B0E0000}"/>
    <cellStyle name="Normal 10 2 10 2 28 3 8" xfId="3724" xr:uid="{00000000-0005-0000-0000-00008C0E0000}"/>
    <cellStyle name="Normal 10 2 10 2 28 3 9" xfId="3725" xr:uid="{00000000-0005-0000-0000-00008D0E0000}"/>
    <cellStyle name="Normal 10 2 10 2 28 4" xfId="3726" xr:uid="{00000000-0005-0000-0000-00008E0E0000}"/>
    <cellStyle name="Normal 10 2 10 2 28 4 10" xfId="3727" xr:uid="{00000000-0005-0000-0000-00008F0E0000}"/>
    <cellStyle name="Normal 10 2 10 2 28 4 2" xfId="3728" xr:uid="{00000000-0005-0000-0000-0000900E0000}"/>
    <cellStyle name="Normal 10 2 10 2 28 4 3" xfId="3729" xr:uid="{00000000-0005-0000-0000-0000910E0000}"/>
    <cellStyle name="Normal 10 2 10 2 28 4 4" xfId="3730" xr:uid="{00000000-0005-0000-0000-0000920E0000}"/>
    <cellStyle name="Normal 10 2 10 2 28 4 5" xfId="3731" xr:uid="{00000000-0005-0000-0000-0000930E0000}"/>
    <cellStyle name="Normal 10 2 10 2 28 4 6" xfId="3732" xr:uid="{00000000-0005-0000-0000-0000940E0000}"/>
    <cellStyle name="Normal 10 2 10 2 28 4 7" xfId="3733" xr:uid="{00000000-0005-0000-0000-0000950E0000}"/>
    <cellStyle name="Normal 10 2 10 2 28 4 8" xfId="3734" xr:uid="{00000000-0005-0000-0000-0000960E0000}"/>
    <cellStyle name="Normal 10 2 10 2 28 4 9" xfId="3735" xr:uid="{00000000-0005-0000-0000-0000970E0000}"/>
    <cellStyle name="Normal 10 2 10 2 28 5" xfId="3736" xr:uid="{00000000-0005-0000-0000-0000980E0000}"/>
    <cellStyle name="Normal 10 2 10 2 28 5 10" xfId="3737" xr:uid="{00000000-0005-0000-0000-0000990E0000}"/>
    <cellStyle name="Normal 10 2 10 2 28 5 2" xfId="3738" xr:uid="{00000000-0005-0000-0000-00009A0E0000}"/>
    <cellStyle name="Normal 10 2 10 2 28 5 3" xfId="3739" xr:uid="{00000000-0005-0000-0000-00009B0E0000}"/>
    <cellStyle name="Normal 10 2 10 2 28 5 4" xfId="3740" xr:uid="{00000000-0005-0000-0000-00009C0E0000}"/>
    <cellStyle name="Normal 10 2 10 2 28 5 5" xfId="3741" xr:uid="{00000000-0005-0000-0000-00009D0E0000}"/>
    <cellStyle name="Normal 10 2 10 2 28 5 6" xfId="3742" xr:uid="{00000000-0005-0000-0000-00009E0E0000}"/>
    <cellStyle name="Normal 10 2 10 2 28 5 7" xfId="3743" xr:uid="{00000000-0005-0000-0000-00009F0E0000}"/>
    <cellStyle name="Normal 10 2 10 2 28 5 8" xfId="3744" xr:uid="{00000000-0005-0000-0000-0000A00E0000}"/>
    <cellStyle name="Normal 10 2 10 2 28 5 9" xfId="3745" xr:uid="{00000000-0005-0000-0000-0000A10E0000}"/>
    <cellStyle name="Normal 10 2 10 2 28 6" xfId="3746" xr:uid="{00000000-0005-0000-0000-0000A20E0000}"/>
    <cellStyle name="Normal 10 2 10 2 28 7" xfId="3747" xr:uid="{00000000-0005-0000-0000-0000A30E0000}"/>
    <cellStyle name="Normal 10 2 10 2 28 8" xfId="3748" xr:uid="{00000000-0005-0000-0000-0000A40E0000}"/>
    <cellStyle name="Normal 10 2 10 2 28 9" xfId="3749" xr:uid="{00000000-0005-0000-0000-0000A50E0000}"/>
    <cellStyle name="Normal 10 2 10 2 29" xfId="3750" xr:uid="{00000000-0005-0000-0000-0000A60E0000}"/>
    <cellStyle name="Normal 10 2 10 2 29 10" xfId="3751" xr:uid="{00000000-0005-0000-0000-0000A70E0000}"/>
    <cellStyle name="Normal 10 2 10 2 29 11" xfId="3752" xr:uid="{00000000-0005-0000-0000-0000A80E0000}"/>
    <cellStyle name="Normal 10 2 10 2 29 12" xfId="3753" xr:uid="{00000000-0005-0000-0000-0000A90E0000}"/>
    <cellStyle name="Normal 10 2 10 2 29 13" xfId="3754" xr:uid="{00000000-0005-0000-0000-0000AA0E0000}"/>
    <cellStyle name="Normal 10 2 10 2 29 14" xfId="3755" xr:uid="{00000000-0005-0000-0000-0000AB0E0000}"/>
    <cellStyle name="Normal 10 2 10 2 29 2" xfId="3756" xr:uid="{00000000-0005-0000-0000-0000AC0E0000}"/>
    <cellStyle name="Normal 10 2 10 2 29 2 10" xfId="3757" xr:uid="{00000000-0005-0000-0000-0000AD0E0000}"/>
    <cellStyle name="Normal 10 2 10 2 29 2 2" xfId="3758" xr:uid="{00000000-0005-0000-0000-0000AE0E0000}"/>
    <cellStyle name="Normal 10 2 10 2 29 2 3" xfId="3759" xr:uid="{00000000-0005-0000-0000-0000AF0E0000}"/>
    <cellStyle name="Normal 10 2 10 2 29 2 4" xfId="3760" xr:uid="{00000000-0005-0000-0000-0000B00E0000}"/>
    <cellStyle name="Normal 10 2 10 2 29 2 5" xfId="3761" xr:uid="{00000000-0005-0000-0000-0000B10E0000}"/>
    <cellStyle name="Normal 10 2 10 2 29 2 6" xfId="3762" xr:uid="{00000000-0005-0000-0000-0000B20E0000}"/>
    <cellStyle name="Normal 10 2 10 2 29 2 7" xfId="3763" xr:uid="{00000000-0005-0000-0000-0000B30E0000}"/>
    <cellStyle name="Normal 10 2 10 2 29 2 8" xfId="3764" xr:uid="{00000000-0005-0000-0000-0000B40E0000}"/>
    <cellStyle name="Normal 10 2 10 2 29 2 9" xfId="3765" xr:uid="{00000000-0005-0000-0000-0000B50E0000}"/>
    <cellStyle name="Normal 10 2 10 2 29 3" xfId="3766" xr:uid="{00000000-0005-0000-0000-0000B60E0000}"/>
    <cellStyle name="Normal 10 2 10 2 29 3 10" xfId="3767" xr:uid="{00000000-0005-0000-0000-0000B70E0000}"/>
    <cellStyle name="Normal 10 2 10 2 29 3 2" xfId="3768" xr:uid="{00000000-0005-0000-0000-0000B80E0000}"/>
    <cellStyle name="Normal 10 2 10 2 29 3 3" xfId="3769" xr:uid="{00000000-0005-0000-0000-0000B90E0000}"/>
    <cellStyle name="Normal 10 2 10 2 29 3 4" xfId="3770" xr:uid="{00000000-0005-0000-0000-0000BA0E0000}"/>
    <cellStyle name="Normal 10 2 10 2 29 3 5" xfId="3771" xr:uid="{00000000-0005-0000-0000-0000BB0E0000}"/>
    <cellStyle name="Normal 10 2 10 2 29 3 6" xfId="3772" xr:uid="{00000000-0005-0000-0000-0000BC0E0000}"/>
    <cellStyle name="Normal 10 2 10 2 29 3 7" xfId="3773" xr:uid="{00000000-0005-0000-0000-0000BD0E0000}"/>
    <cellStyle name="Normal 10 2 10 2 29 3 8" xfId="3774" xr:uid="{00000000-0005-0000-0000-0000BE0E0000}"/>
    <cellStyle name="Normal 10 2 10 2 29 3 9" xfId="3775" xr:uid="{00000000-0005-0000-0000-0000BF0E0000}"/>
    <cellStyle name="Normal 10 2 10 2 29 4" xfId="3776" xr:uid="{00000000-0005-0000-0000-0000C00E0000}"/>
    <cellStyle name="Normal 10 2 10 2 29 4 10" xfId="3777" xr:uid="{00000000-0005-0000-0000-0000C10E0000}"/>
    <cellStyle name="Normal 10 2 10 2 29 4 2" xfId="3778" xr:uid="{00000000-0005-0000-0000-0000C20E0000}"/>
    <cellStyle name="Normal 10 2 10 2 29 4 3" xfId="3779" xr:uid="{00000000-0005-0000-0000-0000C30E0000}"/>
    <cellStyle name="Normal 10 2 10 2 29 4 4" xfId="3780" xr:uid="{00000000-0005-0000-0000-0000C40E0000}"/>
    <cellStyle name="Normal 10 2 10 2 29 4 5" xfId="3781" xr:uid="{00000000-0005-0000-0000-0000C50E0000}"/>
    <cellStyle name="Normal 10 2 10 2 29 4 6" xfId="3782" xr:uid="{00000000-0005-0000-0000-0000C60E0000}"/>
    <cellStyle name="Normal 10 2 10 2 29 4 7" xfId="3783" xr:uid="{00000000-0005-0000-0000-0000C70E0000}"/>
    <cellStyle name="Normal 10 2 10 2 29 4 8" xfId="3784" xr:uid="{00000000-0005-0000-0000-0000C80E0000}"/>
    <cellStyle name="Normal 10 2 10 2 29 4 9" xfId="3785" xr:uid="{00000000-0005-0000-0000-0000C90E0000}"/>
    <cellStyle name="Normal 10 2 10 2 29 5" xfId="3786" xr:uid="{00000000-0005-0000-0000-0000CA0E0000}"/>
    <cellStyle name="Normal 10 2 10 2 29 5 10" xfId="3787" xr:uid="{00000000-0005-0000-0000-0000CB0E0000}"/>
    <cellStyle name="Normal 10 2 10 2 29 5 2" xfId="3788" xr:uid="{00000000-0005-0000-0000-0000CC0E0000}"/>
    <cellStyle name="Normal 10 2 10 2 29 5 3" xfId="3789" xr:uid="{00000000-0005-0000-0000-0000CD0E0000}"/>
    <cellStyle name="Normal 10 2 10 2 29 5 4" xfId="3790" xr:uid="{00000000-0005-0000-0000-0000CE0E0000}"/>
    <cellStyle name="Normal 10 2 10 2 29 5 5" xfId="3791" xr:uid="{00000000-0005-0000-0000-0000CF0E0000}"/>
    <cellStyle name="Normal 10 2 10 2 29 5 6" xfId="3792" xr:uid="{00000000-0005-0000-0000-0000D00E0000}"/>
    <cellStyle name="Normal 10 2 10 2 29 5 7" xfId="3793" xr:uid="{00000000-0005-0000-0000-0000D10E0000}"/>
    <cellStyle name="Normal 10 2 10 2 29 5 8" xfId="3794" xr:uid="{00000000-0005-0000-0000-0000D20E0000}"/>
    <cellStyle name="Normal 10 2 10 2 29 5 9" xfId="3795" xr:uid="{00000000-0005-0000-0000-0000D30E0000}"/>
    <cellStyle name="Normal 10 2 10 2 29 6" xfId="3796" xr:uid="{00000000-0005-0000-0000-0000D40E0000}"/>
    <cellStyle name="Normal 10 2 10 2 29 7" xfId="3797" xr:uid="{00000000-0005-0000-0000-0000D50E0000}"/>
    <cellStyle name="Normal 10 2 10 2 29 8" xfId="3798" xr:uid="{00000000-0005-0000-0000-0000D60E0000}"/>
    <cellStyle name="Normal 10 2 10 2 29 9" xfId="3799" xr:uid="{00000000-0005-0000-0000-0000D70E0000}"/>
    <cellStyle name="Normal 10 2 10 2 3" xfId="3800" xr:uid="{00000000-0005-0000-0000-0000D80E0000}"/>
    <cellStyle name="Normal 10 2 10 2 3 10" xfId="3801" xr:uid="{00000000-0005-0000-0000-0000D90E0000}"/>
    <cellStyle name="Normal 10 2 10 2 3 11" xfId="3802" xr:uid="{00000000-0005-0000-0000-0000DA0E0000}"/>
    <cellStyle name="Normal 10 2 10 2 3 12" xfId="3803" xr:uid="{00000000-0005-0000-0000-0000DB0E0000}"/>
    <cellStyle name="Normal 10 2 10 2 3 13" xfId="3804" xr:uid="{00000000-0005-0000-0000-0000DC0E0000}"/>
    <cellStyle name="Normal 10 2 10 2 3 14" xfId="3805" xr:uid="{00000000-0005-0000-0000-0000DD0E0000}"/>
    <cellStyle name="Normal 10 2 10 2 3 2" xfId="3806" xr:uid="{00000000-0005-0000-0000-0000DE0E0000}"/>
    <cellStyle name="Normal 10 2 10 2 3 2 10" xfId="3807" xr:uid="{00000000-0005-0000-0000-0000DF0E0000}"/>
    <cellStyle name="Normal 10 2 10 2 3 2 2" xfId="3808" xr:uid="{00000000-0005-0000-0000-0000E00E0000}"/>
    <cellStyle name="Normal 10 2 10 2 3 2 3" xfId="3809" xr:uid="{00000000-0005-0000-0000-0000E10E0000}"/>
    <cellStyle name="Normal 10 2 10 2 3 2 4" xfId="3810" xr:uid="{00000000-0005-0000-0000-0000E20E0000}"/>
    <cellStyle name="Normal 10 2 10 2 3 2 5" xfId="3811" xr:uid="{00000000-0005-0000-0000-0000E30E0000}"/>
    <cellStyle name="Normal 10 2 10 2 3 2 6" xfId="3812" xr:uid="{00000000-0005-0000-0000-0000E40E0000}"/>
    <cellStyle name="Normal 10 2 10 2 3 2 7" xfId="3813" xr:uid="{00000000-0005-0000-0000-0000E50E0000}"/>
    <cellStyle name="Normal 10 2 10 2 3 2 8" xfId="3814" xr:uid="{00000000-0005-0000-0000-0000E60E0000}"/>
    <cellStyle name="Normal 10 2 10 2 3 2 9" xfId="3815" xr:uid="{00000000-0005-0000-0000-0000E70E0000}"/>
    <cellStyle name="Normal 10 2 10 2 3 3" xfId="3816" xr:uid="{00000000-0005-0000-0000-0000E80E0000}"/>
    <cellStyle name="Normal 10 2 10 2 3 3 10" xfId="3817" xr:uid="{00000000-0005-0000-0000-0000E90E0000}"/>
    <cellStyle name="Normal 10 2 10 2 3 3 2" xfId="3818" xr:uid="{00000000-0005-0000-0000-0000EA0E0000}"/>
    <cellStyle name="Normal 10 2 10 2 3 3 3" xfId="3819" xr:uid="{00000000-0005-0000-0000-0000EB0E0000}"/>
    <cellStyle name="Normal 10 2 10 2 3 3 4" xfId="3820" xr:uid="{00000000-0005-0000-0000-0000EC0E0000}"/>
    <cellStyle name="Normal 10 2 10 2 3 3 5" xfId="3821" xr:uid="{00000000-0005-0000-0000-0000ED0E0000}"/>
    <cellStyle name="Normal 10 2 10 2 3 3 6" xfId="3822" xr:uid="{00000000-0005-0000-0000-0000EE0E0000}"/>
    <cellStyle name="Normal 10 2 10 2 3 3 7" xfId="3823" xr:uid="{00000000-0005-0000-0000-0000EF0E0000}"/>
    <cellStyle name="Normal 10 2 10 2 3 3 8" xfId="3824" xr:uid="{00000000-0005-0000-0000-0000F00E0000}"/>
    <cellStyle name="Normal 10 2 10 2 3 3 9" xfId="3825" xr:uid="{00000000-0005-0000-0000-0000F10E0000}"/>
    <cellStyle name="Normal 10 2 10 2 3 4" xfId="3826" xr:uid="{00000000-0005-0000-0000-0000F20E0000}"/>
    <cellStyle name="Normal 10 2 10 2 3 4 10" xfId="3827" xr:uid="{00000000-0005-0000-0000-0000F30E0000}"/>
    <cellStyle name="Normal 10 2 10 2 3 4 2" xfId="3828" xr:uid="{00000000-0005-0000-0000-0000F40E0000}"/>
    <cellStyle name="Normal 10 2 10 2 3 4 3" xfId="3829" xr:uid="{00000000-0005-0000-0000-0000F50E0000}"/>
    <cellStyle name="Normal 10 2 10 2 3 4 4" xfId="3830" xr:uid="{00000000-0005-0000-0000-0000F60E0000}"/>
    <cellStyle name="Normal 10 2 10 2 3 4 5" xfId="3831" xr:uid="{00000000-0005-0000-0000-0000F70E0000}"/>
    <cellStyle name="Normal 10 2 10 2 3 4 6" xfId="3832" xr:uid="{00000000-0005-0000-0000-0000F80E0000}"/>
    <cellStyle name="Normal 10 2 10 2 3 4 7" xfId="3833" xr:uid="{00000000-0005-0000-0000-0000F90E0000}"/>
    <cellStyle name="Normal 10 2 10 2 3 4 8" xfId="3834" xr:uid="{00000000-0005-0000-0000-0000FA0E0000}"/>
    <cellStyle name="Normal 10 2 10 2 3 4 9" xfId="3835" xr:uid="{00000000-0005-0000-0000-0000FB0E0000}"/>
    <cellStyle name="Normal 10 2 10 2 3 5" xfId="3836" xr:uid="{00000000-0005-0000-0000-0000FC0E0000}"/>
    <cellStyle name="Normal 10 2 10 2 3 5 10" xfId="3837" xr:uid="{00000000-0005-0000-0000-0000FD0E0000}"/>
    <cellStyle name="Normal 10 2 10 2 3 5 2" xfId="3838" xr:uid="{00000000-0005-0000-0000-0000FE0E0000}"/>
    <cellStyle name="Normal 10 2 10 2 3 5 3" xfId="3839" xr:uid="{00000000-0005-0000-0000-0000FF0E0000}"/>
    <cellStyle name="Normal 10 2 10 2 3 5 4" xfId="3840" xr:uid="{00000000-0005-0000-0000-0000000F0000}"/>
    <cellStyle name="Normal 10 2 10 2 3 5 5" xfId="3841" xr:uid="{00000000-0005-0000-0000-0000010F0000}"/>
    <cellStyle name="Normal 10 2 10 2 3 5 6" xfId="3842" xr:uid="{00000000-0005-0000-0000-0000020F0000}"/>
    <cellStyle name="Normal 10 2 10 2 3 5 7" xfId="3843" xr:uid="{00000000-0005-0000-0000-0000030F0000}"/>
    <cellStyle name="Normal 10 2 10 2 3 5 8" xfId="3844" xr:uid="{00000000-0005-0000-0000-0000040F0000}"/>
    <cellStyle name="Normal 10 2 10 2 3 5 9" xfId="3845" xr:uid="{00000000-0005-0000-0000-0000050F0000}"/>
    <cellStyle name="Normal 10 2 10 2 3 6" xfId="3846" xr:uid="{00000000-0005-0000-0000-0000060F0000}"/>
    <cellStyle name="Normal 10 2 10 2 3 7" xfId="3847" xr:uid="{00000000-0005-0000-0000-0000070F0000}"/>
    <cellStyle name="Normal 10 2 10 2 3 8" xfId="3848" xr:uid="{00000000-0005-0000-0000-0000080F0000}"/>
    <cellStyle name="Normal 10 2 10 2 3 9" xfId="3849" xr:uid="{00000000-0005-0000-0000-0000090F0000}"/>
    <cellStyle name="Normal 10 2 10 2 30" xfId="3850" xr:uid="{00000000-0005-0000-0000-00000A0F0000}"/>
    <cellStyle name="Normal 10 2 10 2 30 10" xfId="3851" xr:uid="{00000000-0005-0000-0000-00000B0F0000}"/>
    <cellStyle name="Normal 10 2 10 2 30 11" xfId="3852" xr:uid="{00000000-0005-0000-0000-00000C0F0000}"/>
    <cellStyle name="Normal 10 2 10 2 30 12" xfId="3853" xr:uid="{00000000-0005-0000-0000-00000D0F0000}"/>
    <cellStyle name="Normal 10 2 10 2 30 13" xfId="3854" xr:uid="{00000000-0005-0000-0000-00000E0F0000}"/>
    <cellStyle name="Normal 10 2 10 2 30 14" xfId="3855" xr:uid="{00000000-0005-0000-0000-00000F0F0000}"/>
    <cellStyle name="Normal 10 2 10 2 30 2" xfId="3856" xr:uid="{00000000-0005-0000-0000-0000100F0000}"/>
    <cellStyle name="Normal 10 2 10 2 30 2 10" xfId="3857" xr:uid="{00000000-0005-0000-0000-0000110F0000}"/>
    <cellStyle name="Normal 10 2 10 2 30 2 2" xfId="3858" xr:uid="{00000000-0005-0000-0000-0000120F0000}"/>
    <cellStyle name="Normal 10 2 10 2 30 2 3" xfId="3859" xr:uid="{00000000-0005-0000-0000-0000130F0000}"/>
    <cellStyle name="Normal 10 2 10 2 30 2 4" xfId="3860" xr:uid="{00000000-0005-0000-0000-0000140F0000}"/>
    <cellStyle name="Normal 10 2 10 2 30 2 5" xfId="3861" xr:uid="{00000000-0005-0000-0000-0000150F0000}"/>
    <cellStyle name="Normal 10 2 10 2 30 2 6" xfId="3862" xr:uid="{00000000-0005-0000-0000-0000160F0000}"/>
    <cellStyle name="Normal 10 2 10 2 30 2 7" xfId="3863" xr:uid="{00000000-0005-0000-0000-0000170F0000}"/>
    <cellStyle name="Normal 10 2 10 2 30 2 8" xfId="3864" xr:uid="{00000000-0005-0000-0000-0000180F0000}"/>
    <cellStyle name="Normal 10 2 10 2 30 2 9" xfId="3865" xr:uid="{00000000-0005-0000-0000-0000190F0000}"/>
    <cellStyle name="Normal 10 2 10 2 30 3" xfId="3866" xr:uid="{00000000-0005-0000-0000-00001A0F0000}"/>
    <cellStyle name="Normal 10 2 10 2 30 3 10" xfId="3867" xr:uid="{00000000-0005-0000-0000-00001B0F0000}"/>
    <cellStyle name="Normal 10 2 10 2 30 3 2" xfId="3868" xr:uid="{00000000-0005-0000-0000-00001C0F0000}"/>
    <cellStyle name="Normal 10 2 10 2 30 3 3" xfId="3869" xr:uid="{00000000-0005-0000-0000-00001D0F0000}"/>
    <cellStyle name="Normal 10 2 10 2 30 3 4" xfId="3870" xr:uid="{00000000-0005-0000-0000-00001E0F0000}"/>
    <cellStyle name="Normal 10 2 10 2 30 3 5" xfId="3871" xr:uid="{00000000-0005-0000-0000-00001F0F0000}"/>
    <cellStyle name="Normal 10 2 10 2 30 3 6" xfId="3872" xr:uid="{00000000-0005-0000-0000-0000200F0000}"/>
    <cellStyle name="Normal 10 2 10 2 30 3 7" xfId="3873" xr:uid="{00000000-0005-0000-0000-0000210F0000}"/>
    <cellStyle name="Normal 10 2 10 2 30 3 8" xfId="3874" xr:uid="{00000000-0005-0000-0000-0000220F0000}"/>
    <cellStyle name="Normal 10 2 10 2 30 3 9" xfId="3875" xr:uid="{00000000-0005-0000-0000-0000230F0000}"/>
    <cellStyle name="Normal 10 2 10 2 30 4" xfId="3876" xr:uid="{00000000-0005-0000-0000-0000240F0000}"/>
    <cellStyle name="Normal 10 2 10 2 30 4 10" xfId="3877" xr:uid="{00000000-0005-0000-0000-0000250F0000}"/>
    <cellStyle name="Normal 10 2 10 2 30 4 2" xfId="3878" xr:uid="{00000000-0005-0000-0000-0000260F0000}"/>
    <cellStyle name="Normal 10 2 10 2 30 4 3" xfId="3879" xr:uid="{00000000-0005-0000-0000-0000270F0000}"/>
    <cellStyle name="Normal 10 2 10 2 30 4 4" xfId="3880" xr:uid="{00000000-0005-0000-0000-0000280F0000}"/>
    <cellStyle name="Normal 10 2 10 2 30 4 5" xfId="3881" xr:uid="{00000000-0005-0000-0000-0000290F0000}"/>
    <cellStyle name="Normal 10 2 10 2 30 4 6" xfId="3882" xr:uid="{00000000-0005-0000-0000-00002A0F0000}"/>
    <cellStyle name="Normal 10 2 10 2 30 4 7" xfId="3883" xr:uid="{00000000-0005-0000-0000-00002B0F0000}"/>
    <cellStyle name="Normal 10 2 10 2 30 4 8" xfId="3884" xr:uid="{00000000-0005-0000-0000-00002C0F0000}"/>
    <cellStyle name="Normal 10 2 10 2 30 4 9" xfId="3885" xr:uid="{00000000-0005-0000-0000-00002D0F0000}"/>
    <cellStyle name="Normal 10 2 10 2 30 5" xfId="3886" xr:uid="{00000000-0005-0000-0000-00002E0F0000}"/>
    <cellStyle name="Normal 10 2 10 2 30 5 10" xfId="3887" xr:uid="{00000000-0005-0000-0000-00002F0F0000}"/>
    <cellStyle name="Normal 10 2 10 2 30 5 2" xfId="3888" xr:uid="{00000000-0005-0000-0000-0000300F0000}"/>
    <cellStyle name="Normal 10 2 10 2 30 5 3" xfId="3889" xr:uid="{00000000-0005-0000-0000-0000310F0000}"/>
    <cellStyle name="Normal 10 2 10 2 30 5 4" xfId="3890" xr:uid="{00000000-0005-0000-0000-0000320F0000}"/>
    <cellStyle name="Normal 10 2 10 2 30 5 5" xfId="3891" xr:uid="{00000000-0005-0000-0000-0000330F0000}"/>
    <cellStyle name="Normal 10 2 10 2 30 5 6" xfId="3892" xr:uid="{00000000-0005-0000-0000-0000340F0000}"/>
    <cellStyle name="Normal 10 2 10 2 30 5 7" xfId="3893" xr:uid="{00000000-0005-0000-0000-0000350F0000}"/>
    <cellStyle name="Normal 10 2 10 2 30 5 8" xfId="3894" xr:uid="{00000000-0005-0000-0000-0000360F0000}"/>
    <cellStyle name="Normal 10 2 10 2 30 5 9" xfId="3895" xr:uid="{00000000-0005-0000-0000-0000370F0000}"/>
    <cellStyle name="Normal 10 2 10 2 30 6" xfId="3896" xr:uid="{00000000-0005-0000-0000-0000380F0000}"/>
    <cellStyle name="Normal 10 2 10 2 30 7" xfId="3897" xr:uid="{00000000-0005-0000-0000-0000390F0000}"/>
    <cellStyle name="Normal 10 2 10 2 30 8" xfId="3898" xr:uid="{00000000-0005-0000-0000-00003A0F0000}"/>
    <cellStyle name="Normal 10 2 10 2 30 9" xfId="3899" xr:uid="{00000000-0005-0000-0000-00003B0F0000}"/>
    <cellStyle name="Normal 10 2 10 2 31" xfId="3900" xr:uid="{00000000-0005-0000-0000-00003C0F0000}"/>
    <cellStyle name="Normal 10 2 10 2 31 10" xfId="3901" xr:uid="{00000000-0005-0000-0000-00003D0F0000}"/>
    <cellStyle name="Normal 10 2 10 2 31 11" xfId="3902" xr:uid="{00000000-0005-0000-0000-00003E0F0000}"/>
    <cellStyle name="Normal 10 2 10 2 31 12" xfId="3903" xr:uid="{00000000-0005-0000-0000-00003F0F0000}"/>
    <cellStyle name="Normal 10 2 10 2 31 13" xfId="3904" xr:uid="{00000000-0005-0000-0000-0000400F0000}"/>
    <cellStyle name="Normal 10 2 10 2 31 14" xfId="3905" xr:uid="{00000000-0005-0000-0000-0000410F0000}"/>
    <cellStyle name="Normal 10 2 10 2 31 2" xfId="3906" xr:uid="{00000000-0005-0000-0000-0000420F0000}"/>
    <cellStyle name="Normal 10 2 10 2 31 2 10" xfId="3907" xr:uid="{00000000-0005-0000-0000-0000430F0000}"/>
    <cellStyle name="Normal 10 2 10 2 31 2 2" xfId="3908" xr:uid="{00000000-0005-0000-0000-0000440F0000}"/>
    <cellStyle name="Normal 10 2 10 2 31 2 3" xfId="3909" xr:uid="{00000000-0005-0000-0000-0000450F0000}"/>
    <cellStyle name="Normal 10 2 10 2 31 2 4" xfId="3910" xr:uid="{00000000-0005-0000-0000-0000460F0000}"/>
    <cellStyle name="Normal 10 2 10 2 31 2 5" xfId="3911" xr:uid="{00000000-0005-0000-0000-0000470F0000}"/>
    <cellStyle name="Normal 10 2 10 2 31 2 6" xfId="3912" xr:uid="{00000000-0005-0000-0000-0000480F0000}"/>
    <cellStyle name="Normal 10 2 10 2 31 2 7" xfId="3913" xr:uid="{00000000-0005-0000-0000-0000490F0000}"/>
    <cellStyle name="Normal 10 2 10 2 31 2 8" xfId="3914" xr:uid="{00000000-0005-0000-0000-00004A0F0000}"/>
    <cellStyle name="Normal 10 2 10 2 31 2 9" xfId="3915" xr:uid="{00000000-0005-0000-0000-00004B0F0000}"/>
    <cellStyle name="Normal 10 2 10 2 31 3" xfId="3916" xr:uid="{00000000-0005-0000-0000-00004C0F0000}"/>
    <cellStyle name="Normal 10 2 10 2 31 3 10" xfId="3917" xr:uid="{00000000-0005-0000-0000-00004D0F0000}"/>
    <cellStyle name="Normal 10 2 10 2 31 3 2" xfId="3918" xr:uid="{00000000-0005-0000-0000-00004E0F0000}"/>
    <cellStyle name="Normal 10 2 10 2 31 3 3" xfId="3919" xr:uid="{00000000-0005-0000-0000-00004F0F0000}"/>
    <cellStyle name="Normal 10 2 10 2 31 3 4" xfId="3920" xr:uid="{00000000-0005-0000-0000-0000500F0000}"/>
    <cellStyle name="Normal 10 2 10 2 31 3 5" xfId="3921" xr:uid="{00000000-0005-0000-0000-0000510F0000}"/>
    <cellStyle name="Normal 10 2 10 2 31 3 6" xfId="3922" xr:uid="{00000000-0005-0000-0000-0000520F0000}"/>
    <cellStyle name="Normal 10 2 10 2 31 3 7" xfId="3923" xr:uid="{00000000-0005-0000-0000-0000530F0000}"/>
    <cellStyle name="Normal 10 2 10 2 31 3 8" xfId="3924" xr:uid="{00000000-0005-0000-0000-0000540F0000}"/>
    <cellStyle name="Normal 10 2 10 2 31 3 9" xfId="3925" xr:uid="{00000000-0005-0000-0000-0000550F0000}"/>
    <cellStyle name="Normal 10 2 10 2 31 4" xfId="3926" xr:uid="{00000000-0005-0000-0000-0000560F0000}"/>
    <cellStyle name="Normal 10 2 10 2 31 4 10" xfId="3927" xr:uid="{00000000-0005-0000-0000-0000570F0000}"/>
    <cellStyle name="Normal 10 2 10 2 31 4 2" xfId="3928" xr:uid="{00000000-0005-0000-0000-0000580F0000}"/>
    <cellStyle name="Normal 10 2 10 2 31 4 3" xfId="3929" xr:uid="{00000000-0005-0000-0000-0000590F0000}"/>
    <cellStyle name="Normal 10 2 10 2 31 4 4" xfId="3930" xr:uid="{00000000-0005-0000-0000-00005A0F0000}"/>
    <cellStyle name="Normal 10 2 10 2 31 4 5" xfId="3931" xr:uid="{00000000-0005-0000-0000-00005B0F0000}"/>
    <cellStyle name="Normal 10 2 10 2 31 4 6" xfId="3932" xr:uid="{00000000-0005-0000-0000-00005C0F0000}"/>
    <cellStyle name="Normal 10 2 10 2 31 4 7" xfId="3933" xr:uid="{00000000-0005-0000-0000-00005D0F0000}"/>
    <cellStyle name="Normal 10 2 10 2 31 4 8" xfId="3934" xr:uid="{00000000-0005-0000-0000-00005E0F0000}"/>
    <cellStyle name="Normal 10 2 10 2 31 4 9" xfId="3935" xr:uid="{00000000-0005-0000-0000-00005F0F0000}"/>
    <cellStyle name="Normal 10 2 10 2 31 5" xfId="3936" xr:uid="{00000000-0005-0000-0000-0000600F0000}"/>
    <cellStyle name="Normal 10 2 10 2 31 5 10" xfId="3937" xr:uid="{00000000-0005-0000-0000-0000610F0000}"/>
    <cellStyle name="Normal 10 2 10 2 31 5 2" xfId="3938" xr:uid="{00000000-0005-0000-0000-0000620F0000}"/>
    <cellStyle name="Normal 10 2 10 2 31 5 3" xfId="3939" xr:uid="{00000000-0005-0000-0000-0000630F0000}"/>
    <cellStyle name="Normal 10 2 10 2 31 5 4" xfId="3940" xr:uid="{00000000-0005-0000-0000-0000640F0000}"/>
    <cellStyle name="Normal 10 2 10 2 31 5 5" xfId="3941" xr:uid="{00000000-0005-0000-0000-0000650F0000}"/>
    <cellStyle name="Normal 10 2 10 2 31 5 6" xfId="3942" xr:uid="{00000000-0005-0000-0000-0000660F0000}"/>
    <cellStyle name="Normal 10 2 10 2 31 5 7" xfId="3943" xr:uid="{00000000-0005-0000-0000-0000670F0000}"/>
    <cellStyle name="Normal 10 2 10 2 31 5 8" xfId="3944" xr:uid="{00000000-0005-0000-0000-0000680F0000}"/>
    <cellStyle name="Normal 10 2 10 2 31 5 9" xfId="3945" xr:uid="{00000000-0005-0000-0000-0000690F0000}"/>
    <cellStyle name="Normal 10 2 10 2 31 6" xfId="3946" xr:uid="{00000000-0005-0000-0000-00006A0F0000}"/>
    <cellStyle name="Normal 10 2 10 2 31 7" xfId="3947" xr:uid="{00000000-0005-0000-0000-00006B0F0000}"/>
    <cellStyle name="Normal 10 2 10 2 31 8" xfId="3948" xr:uid="{00000000-0005-0000-0000-00006C0F0000}"/>
    <cellStyle name="Normal 10 2 10 2 31 9" xfId="3949" xr:uid="{00000000-0005-0000-0000-00006D0F0000}"/>
    <cellStyle name="Normal 10 2 10 2 32" xfId="3950" xr:uid="{00000000-0005-0000-0000-00006E0F0000}"/>
    <cellStyle name="Normal 10 2 10 2 32 10" xfId="3951" xr:uid="{00000000-0005-0000-0000-00006F0F0000}"/>
    <cellStyle name="Normal 10 2 10 2 32 11" xfId="3952" xr:uid="{00000000-0005-0000-0000-0000700F0000}"/>
    <cellStyle name="Normal 10 2 10 2 32 12" xfId="3953" xr:uid="{00000000-0005-0000-0000-0000710F0000}"/>
    <cellStyle name="Normal 10 2 10 2 32 13" xfId="3954" xr:uid="{00000000-0005-0000-0000-0000720F0000}"/>
    <cellStyle name="Normal 10 2 10 2 32 14" xfId="3955" xr:uid="{00000000-0005-0000-0000-0000730F0000}"/>
    <cellStyle name="Normal 10 2 10 2 32 2" xfId="3956" xr:uid="{00000000-0005-0000-0000-0000740F0000}"/>
    <cellStyle name="Normal 10 2 10 2 32 2 10" xfId="3957" xr:uid="{00000000-0005-0000-0000-0000750F0000}"/>
    <cellStyle name="Normal 10 2 10 2 32 2 2" xfId="3958" xr:uid="{00000000-0005-0000-0000-0000760F0000}"/>
    <cellStyle name="Normal 10 2 10 2 32 2 3" xfId="3959" xr:uid="{00000000-0005-0000-0000-0000770F0000}"/>
    <cellStyle name="Normal 10 2 10 2 32 2 4" xfId="3960" xr:uid="{00000000-0005-0000-0000-0000780F0000}"/>
    <cellStyle name="Normal 10 2 10 2 32 2 5" xfId="3961" xr:uid="{00000000-0005-0000-0000-0000790F0000}"/>
    <cellStyle name="Normal 10 2 10 2 32 2 6" xfId="3962" xr:uid="{00000000-0005-0000-0000-00007A0F0000}"/>
    <cellStyle name="Normal 10 2 10 2 32 2 7" xfId="3963" xr:uid="{00000000-0005-0000-0000-00007B0F0000}"/>
    <cellStyle name="Normal 10 2 10 2 32 2 8" xfId="3964" xr:uid="{00000000-0005-0000-0000-00007C0F0000}"/>
    <cellStyle name="Normal 10 2 10 2 32 2 9" xfId="3965" xr:uid="{00000000-0005-0000-0000-00007D0F0000}"/>
    <cellStyle name="Normal 10 2 10 2 32 3" xfId="3966" xr:uid="{00000000-0005-0000-0000-00007E0F0000}"/>
    <cellStyle name="Normal 10 2 10 2 32 3 10" xfId="3967" xr:uid="{00000000-0005-0000-0000-00007F0F0000}"/>
    <cellStyle name="Normal 10 2 10 2 32 3 2" xfId="3968" xr:uid="{00000000-0005-0000-0000-0000800F0000}"/>
    <cellStyle name="Normal 10 2 10 2 32 3 3" xfId="3969" xr:uid="{00000000-0005-0000-0000-0000810F0000}"/>
    <cellStyle name="Normal 10 2 10 2 32 3 4" xfId="3970" xr:uid="{00000000-0005-0000-0000-0000820F0000}"/>
    <cellStyle name="Normal 10 2 10 2 32 3 5" xfId="3971" xr:uid="{00000000-0005-0000-0000-0000830F0000}"/>
    <cellStyle name="Normal 10 2 10 2 32 3 6" xfId="3972" xr:uid="{00000000-0005-0000-0000-0000840F0000}"/>
    <cellStyle name="Normal 10 2 10 2 32 3 7" xfId="3973" xr:uid="{00000000-0005-0000-0000-0000850F0000}"/>
    <cellStyle name="Normal 10 2 10 2 32 3 8" xfId="3974" xr:uid="{00000000-0005-0000-0000-0000860F0000}"/>
    <cellStyle name="Normal 10 2 10 2 32 3 9" xfId="3975" xr:uid="{00000000-0005-0000-0000-0000870F0000}"/>
    <cellStyle name="Normal 10 2 10 2 32 4" xfId="3976" xr:uid="{00000000-0005-0000-0000-0000880F0000}"/>
    <cellStyle name="Normal 10 2 10 2 32 4 10" xfId="3977" xr:uid="{00000000-0005-0000-0000-0000890F0000}"/>
    <cellStyle name="Normal 10 2 10 2 32 4 2" xfId="3978" xr:uid="{00000000-0005-0000-0000-00008A0F0000}"/>
    <cellStyle name="Normal 10 2 10 2 32 4 3" xfId="3979" xr:uid="{00000000-0005-0000-0000-00008B0F0000}"/>
    <cellStyle name="Normal 10 2 10 2 32 4 4" xfId="3980" xr:uid="{00000000-0005-0000-0000-00008C0F0000}"/>
    <cellStyle name="Normal 10 2 10 2 32 4 5" xfId="3981" xr:uid="{00000000-0005-0000-0000-00008D0F0000}"/>
    <cellStyle name="Normal 10 2 10 2 32 4 6" xfId="3982" xr:uid="{00000000-0005-0000-0000-00008E0F0000}"/>
    <cellStyle name="Normal 10 2 10 2 32 4 7" xfId="3983" xr:uid="{00000000-0005-0000-0000-00008F0F0000}"/>
    <cellStyle name="Normal 10 2 10 2 32 4 8" xfId="3984" xr:uid="{00000000-0005-0000-0000-0000900F0000}"/>
    <cellStyle name="Normal 10 2 10 2 32 4 9" xfId="3985" xr:uid="{00000000-0005-0000-0000-0000910F0000}"/>
    <cellStyle name="Normal 10 2 10 2 32 5" xfId="3986" xr:uid="{00000000-0005-0000-0000-0000920F0000}"/>
    <cellStyle name="Normal 10 2 10 2 32 5 10" xfId="3987" xr:uid="{00000000-0005-0000-0000-0000930F0000}"/>
    <cellStyle name="Normal 10 2 10 2 32 5 2" xfId="3988" xr:uid="{00000000-0005-0000-0000-0000940F0000}"/>
    <cellStyle name="Normal 10 2 10 2 32 5 3" xfId="3989" xr:uid="{00000000-0005-0000-0000-0000950F0000}"/>
    <cellStyle name="Normal 10 2 10 2 32 5 4" xfId="3990" xr:uid="{00000000-0005-0000-0000-0000960F0000}"/>
    <cellStyle name="Normal 10 2 10 2 32 5 5" xfId="3991" xr:uid="{00000000-0005-0000-0000-0000970F0000}"/>
    <cellStyle name="Normal 10 2 10 2 32 5 6" xfId="3992" xr:uid="{00000000-0005-0000-0000-0000980F0000}"/>
    <cellStyle name="Normal 10 2 10 2 32 5 7" xfId="3993" xr:uid="{00000000-0005-0000-0000-0000990F0000}"/>
    <cellStyle name="Normal 10 2 10 2 32 5 8" xfId="3994" xr:uid="{00000000-0005-0000-0000-00009A0F0000}"/>
    <cellStyle name="Normal 10 2 10 2 32 5 9" xfId="3995" xr:uid="{00000000-0005-0000-0000-00009B0F0000}"/>
    <cellStyle name="Normal 10 2 10 2 32 6" xfId="3996" xr:uid="{00000000-0005-0000-0000-00009C0F0000}"/>
    <cellStyle name="Normal 10 2 10 2 32 7" xfId="3997" xr:uid="{00000000-0005-0000-0000-00009D0F0000}"/>
    <cellStyle name="Normal 10 2 10 2 32 8" xfId="3998" xr:uid="{00000000-0005-0000-0000-00009E0F0000}"/>
    <cellStyle name="Normal 10 2 10 2 32 9" xfId="3999" xr:uid="{00000000-0005-0000-0000-00009F0F0000}"/>
    <cellStyle name="Normal 10 2 10 2 33" xfId="4000" xr:uid="{00000000-0005-0000-0000-0000A00F0000}"/>
    <cellStyle name="Normal 10 2 10 2 33 10" xfId="4001" xr:uid="{00000000-0005-0000-0000-0000A10F0000}"/>
    <cellStyle name="Normal 10 2 10 2 33 11" xfId="4002" xr:uid="{00000000-0005-0000-0000-0000A20F0000}"/>
    <cellStyle name="Normal 10 2 10 2 33 12" xfId="4003" xr:uid="{00000000-0005-0000-0000-0000A30F0000}"/>
    <cellStyle name="Normal 10 2 10 2 33 13" xfId="4004" xr:uid="{00000000-0005-0000-0000-0000A40F0000}"/>
    <cellStyle name="Normal 10 2 10 2 33 14" xfId="4005" xr:uid="{00000000-0005-0000-0000-0000A50F0000}"/>
    <cellStyle name="Normal 10 2 10 2 33 2" xfId="4006" xr:uid="{00000000-0005-0000-0000-0000A60F0000}"/>
    <cellStyle name="Normal 10 2 10 2 33 2 10" xfId="4007" xr:uid="{00000000-0005-0000-0000-0000A70F0000}"/>
    <cellStyle name="Normal 10 2 10 2 33 2 2" xfId="4008" xr:uid="{00000000-0005-0000-0000-0000A80F0000}"/>
    <cellStyle name="Normal 10 2 10 2 33 2 3" xfId="4009" xr:uid="{00000000-0005-0000-0000-0000A90F0000}"/>
    <cellStyle name="Normal 10 2 10 2 33 2 4" xfId="4010" xr:uid="{00000000-0005-0000-0000-0000AA0F0000}"/>
    <cellStyle name="Normal 10 2 10 2 33 2 5" xfId="4011" xr:uid="{00000000-0005-0000-0000-0000AB0F0000}"/>
    <cellStyle name="Normal 10 2 10 2 33 2 6" xfId="4012" xr:uid="{00000000-0005-0000-0000-0000AC0F0000}"/>
    <cellStyle name="Normal 10 2 10 2 33 2 7" xfId="4013" xr:uid="{00000000-0005-0000-0000-0000AD0F0000}"/>
    <cellStyle name="Normal 10 2 10 2 33 2 8" xfId="4014" xr:uid="{00000000-0005-0000-0000-0000AE0F0000}"/>
    <cellStyle name="Normal 10 2 10 2 33 2 9" xfId="4015" xr:uid="{00000000-0005-0000-0000-0000AF0F0000}"/>
    <cellStyle name="Normal 10 2 10 2 33 3" xfId="4016" xr:uid="{00000000-0005-0000-0000-0000B00F0000}"/>
    <cellStyle name="Normal 10 2 10 2 33 3 10" xfId="4017" xr:uid="{00000000-0005-0000-0000-0000B10F0000}"/>
    <cellStyle name="Normal 10 2 10 2 33 3 2" xfId="4018" xr:uid="{00000000-0005-0000-0000-0000B20F0000}"/>
    <cellStyle name="Normal 10 2 10 2 33 3 3" xfId="4019" xr:uid="{00000000-0005-0000-0000-0000B30F0000}"/>
    <cellStyle name="Normal 10 2 10 2 33 3 4" xfId="4020" xr:uid="{00000000-0005-0000-0000-0000B40F0000}"/>
    <cellStyle name="Normal 10 2 10 2 33 3 5" xfId="4021" xr:uid="{00000000-0005-0000-0000-0000B50F0000}"/>
    <cellStyle name="Normal 10 2 10 2 33 3 6" xfId="4022" xr:uid="{00000000-0005-0000-0000-0000B60F0000}"/>
    <cellStyle name="Normal 10 2 10 2 33 3 7" xfId="4023" xr:uid="{00000000-0005-0000-0000-0000B70F0000}"/>
    <cellStyle name="Normal 10 2 10 2 33 3 8" xfId="4024" xr:uid="{00000000-0005-0000-0000-0000B80F0000}"/>
    <cellStyle name="Normal 10 2 10 2 33 3 9" xfId="4025" xr:uid="{00000000-0005-0000-0000-0000B90F0000}"/>
    <cellStyle name="Normal 10 2 10 2 33 4" xfId="4026" xr:uid="{00000000-0005-0000-0000-0000BA0F0000}"/>
    <cellStyle name="Normal 10 2 10 2 33 4 10" xfId="4027" xr:uid="{00000000-0005-0000-0000-0000BB0F0000}"/>
    <cellStyle name="Normal 10 2 10 2 33 4 2" xfId="4028" xr:uid="{00000000-0005-0000-0000-0000BC0F0000}"/>
    <cellStyle name="Normal 10 2 10 2 33 4 3" xfId="4029" xr:uid="{00000000-0005-0000-0000-0000BD0F0000}"/>
    <cellStyle name="Normal 10 2 10 2 33 4 4" xfId="4030" xr:uid="{00000000-0005-0000-0000-0000BE0F0000}"/>
    <cellStyle name="Normal 10 2 10 2 33 4 5" xfId="4031" xr:uid="{00000000-0005-0000-0000-0000BF0F0000}"/>
    <cellStyle name="Normal 10 2 10 2 33 4 6" xfId="4032" xr:uid="{00000000-0005-0000-0000-0000C00F0000}"/>
    <cellStyle name="Normal 10 2 10 2 33 4 7" xfId="4033" xr:uid="{00000000-0005-0000-0000-0000C10F0000}"/>
    <cellStyle name="Normal 10 2 10 2 33 4 8" xfId="4034" xr:uid="{00000000-0005-0000-0000-0000C20F0000}"/>
    <cellStyle name="Normal 10 2 10 2 33 4 9" xfId="4035" xr:uid="{00000000-0005-0000-0000-0000C30F0000}"/>
    <cellStyle name="Normal 10 2 10 2 33 5" xfId="4036" xr:uid="{00000000-0005-0000-0000-0000C40F0000}"/>
    <cellStyle name="Normal 10 2 10 2 33 5 10" xfId="4037" xr:uid="{00000000-0005-0000-0000-0000C50F0000}"/>
    <cellStyle name="Normal 10 2 10 2 33 5 2" xfId="4038" xr:uid="{00000000-0005-0000-0000-0000C60F0000}"/>
    <cellStyle name="Normal 10 2 10 2 33 5 3" xfId="4039" xr:uid="{00000000-0005-0000-0000-0000C70F0000}"/>
    <cellStyle name="Normal 10 2 10 2 33 5 4" xfId="4040" xr:uid="{00000000-0005-0000-0000-0000C80F0000}"/>
    <cellStyle name="Normal 10 2 10 2 33 5 5" xfId="4041" xr:uid="{00000000-0005-0000-0000-0000C90F0000}"/>
    <cellStyle name="Normal 10 2 10 2 33 5 6" xfId="4042" xr:uid="{00000000-0005-0000-0000-0000CA0F0000}"/>
    <cellStyle name="Normal 10 2 10 2 33 5 7" xfId="4043" xr:uid="{00000000-0005-0000-0000-0000CB0F0000}"/>
    <cellStyle name="Normal 10 2 10 2 33 5 8" xfId="4044" xr:uid="{00000000-0005-0000-0000-0000CC0F0000}"/>
    <cellStyle name="Normal 10 2 10 2 33 5 9" xfId="4045" xr:uid="{00000000-0005-0000-0000-0000CD0F0000}"/>
    <cellStyle name="Normal 10 2 10 2 33 6" xfId="4046" xr:uid="{00000000-0005-0000-0000-0000CE0F0000}"/>
    <cellStyle name="Normal 10 2 10 2 33 7" xfId="4047" xr:uid="{00000000-0005-0000-0000-0000CF0F0000}"/>
    <cellStyle name="Normal 10 2 10 2 33 8" xfId="4048" xr:uid="{00000000-0005-0000-0000-0000D00F0000}"/>
    <cellStyle name="Normal 10 2 10 2 33 9" xfId="4049" xr:uid="{00000000-0005-0000-0000-0000D10F0000}"/>
    <cellStyle name="Normal 10 2 10 2 34" xfId="4050" xr:uid="{00000000-0005-0000-0000-0000D20F0000}"/>
    <cellStyle name="Normal 10 2 10 2 34 10" xfId="4051" xr:uid="{00000000-0005-0000-0000-0000D30F0000}"/>
    <cellStyle name="Normal 10 2 10 2 34 2" xfId="4052" xr:uid="{00000000-0005-0000-0000-0000D40F0000}"/>
    <cellStyle name="Normal 10 2 10 2 34 3" xfId="4053" xr:uid="{00000000-0005-0000-0000-0000D50F0000}"/>
    <cellStyle name="Normal 10 2 10 2 34 4" xfId="4054" xr:uid="{00000000-0005-0000-0000-0000D60F0000}"/>
    <cellStyle name="Normal 10 2 10 2 34 5" xfId="4055" xr:uid="{00000000-0005-0000-0000-0000D70F0000}"/>
    <cellStyle name="Normal 10 2 10 2 34 6" xfId="4056" xr:uid="{00000000-0005-0000-0000-0000D80F0000}"/>
    <cellStyle name="Normal 10 2 10 2 34 7" xfId="4057" xr:uid="{00000000-0005-0000-0000-0000D90F0000}"/>
    <cellStyle name="Normal 10 2 10 2 34 8" xfId="4058" xr:uid="{00000000-0005-0000-0000-0000DA0F0000}"/>
    <cellStyle name="Normal 10 2 10 2 34 9" xfId="4059" xr:uid="{00000000-0005-0000-0000-0000DB0F0000}"/>
    <cellStyle name="Normal 10 2 10 2 35" xfId="4060" xr:uid="{00000000-0005-0000-0000-0000DC0F0000}"/>
    <cellStyle name="Normal 10 2 10 2 35 10" xfId="4061" xr:uid="{00000000-0005-0000-0000-0000DD0F0000}"/>
    <cellStyle name="Normal 10 2 10 2 35 2" xfId="4062" xr:uid="{00000000-0005-0000-0000-0000DE0F0000}"/>
    <cellStyle name="Normal 10 2 10 2 35 3" xfId="4063" xr:uid="{00000000-0005-0000-0000-0000DF0F0000}"/>
    <cellStyle name="Normal 10 2 10 2 35 4" xfId="4064" xr:uid="{00000000-0005-0000-0000-0000E00F0000}"/>
    <cellStyle name="Normal 10 2 10 2 35 5" xfId="4065" xr:uid="{00000000-0005-0000-0000-0000E10F0000}"/>
    <cellStyle name="Normal 10 2 10 2 35 6" xfId="4066" xr:uid="{00000000-0005-0000-0000-0000E20F0000}"/>
    <cellStyle name="Normal 10 2 10 2 35 7" xfId="4067" xr:uid="{00000000-0005-0000-0000-0000E30F0000}"/>
    <cellStyle name="Normal 10 2 10 2 35 8" xfId="4068" xr:uid="{00000000-0005-0000-0000-0000E40F0000}"/>
    <cellStyle name="Normal 10 2 10 2 35 9" xfId="4069" xr:uid="{00000000-0005-0000-0000-0000E50F0000}"/>
    <cellStyle name="Normal 10 2 10 2 36" xfId="4070" xr:uid="{00000000-0005-0000-0000-0000E60F0000}"/>
    <cellStyle name="Normal 10 2 10 2 36 10" xfId="4071" xr:uid="{00000000-0005-0000-0000-0000E70F0000}"/>
    <cellStyle name="Normal 10 2 10 2 36 2" xfId="4072" xr:uid="{00000000-0005-0000-0000-0000E80F0000}"/>
    <cellStyle name="Normal 10 2 10 2 36 3" xfId="4073" xr:uid="{00000000-0005-0000-0000-0000E90F0000}"/>
    <cellStyle name="Normal 10 2 10 2 36 4" xfId="4074" xr:uid="{00000000-0005-0000-0000-0000EA0F0000}"/>
    <cellStyle name="Normal 10 2 10 2 36 5" xfId="4075" xr:uid="{00000000-0005-0000-0000-0000EB0F0000}"/>
    <cellStyle name="Normal 10 2 10 2 36 6" xfId="4076" xr:uid="{00000000-0005-0000-0000-0000EC0F0000}"/>
    <cellStyle name="Normal 10 2 10 2 36 7" xfId="4077" xr:uid="{00000000-0005-0000-0000-0000ED0F0000}"/>
    <cellStyle name="Normal 10 2 10 2 36 8" xfId="4078" xr:uid="{00000000-0005-0000-0000-0000EE0F0000}"/>
    <cellStyle name="Normal 10 2 10 2 36 9" xfId="4079" xr:uid="{00000000-0005-0000-0000-0000EF0F0000}"/>
    <cellStyle name="Normal 10 2 10 2 37" xfId="4080" xr:uid="{00000000-0005-0000-0000-0000F00F0000}"/>
    <cellStyle name="Normal 10 2 10 2 37 10" xfId="4081" xr:uid="{00000000-0005-0000-0000-0000F10F0000}"/>
    <cellStyle name="Normal 10 2 10 2 37 2" xfId="4082" xr:uid="{00000000-0005-0000-0000-0000F20F0000}"/>
    <cellStyle name="Normal 10 2 10 2 37 3" xfId="4083" xr:uid="{00000000-0005-0000-0000-0000F30F0000}"/>
    <cellStyle name="Normal 10 2 10 2 37 4" xfId="4084" xr:uid="{00000000-0005-0000-0000-0000F40F0000}"/>
    <cellStyle name="Normal 10 2 10 2 37 5" xfId="4085" xr:uid="{00000000-0005-0000-0000-0000F50F0000}"/>
    <cellStyle name="Normal 10 2 10 2 37 6" xfId="4086" xr:uid="{00000000-0005-0000-0000-0000F60F0000}"/>
    <cellStyle name="Normal 10 2 10 2 37 7" xfId="4087" xr:uid="{00000000-0005-0000-0000-0000F70F0000}"/>
    <cellStyle name="Normal 10 2 10 2 37 8" xfId="4088" xr:uid="{00000000-0005-0000-0000-0000F80F0000}"/>
    <cellStyle name="Normal 10 2 10 2 37 9" xfId="4089" xr:uid="{00000000-0005-0000-0000-0000F90F0000}"/>
    <cellStyle name="Normal 10 2 10 2 38" xfId="4090" xr:uid="{00000000-0005-0000-0000-0000FA0F0000}"/>
    <cellStyle name="Normal 10 2 10 2 39" xfId="4091" xr:uid="{00000000-0005-0000-0000-0000FB0F0000}"/>
    <cellStyle name="Normal 10 2 10 2 4" xfId="4092" xr:uid="{00000000-0005-0000-0000-0000FC0F0000}"/>
    <cellStyle name="Normal 10 2 10 2 4 10" xfId="4093" xr:uid="{00000000-0005-0000-0000-0000FD0F0000}"/>
    <cellStyle name="Normal 10 2 10 2 4 11" xfId="4094" xr:uid="{00000000-0005-0000-0000-0000FE0F0000}"/>
    <cellStyle name="Normal 10 2 10 2 4 12" xfId="4095" xr:uid="{00000000-0005-0000-0000-0000FF0F0000}"/>
    <cellStyle name="Normal 10 2 10 2 4 13" xfId="4096" xr:uid="{00000000-0005-0000-0000-000000100000}"/>
    <cellStyle name="Normal 10 2 10 2 4 14" xfId="4097" xr:uid="{00000000-0005-0000-0000-000001100000}"/>
    <cellStyle name="Normal 10 2 10 2 4 2" xfId="4098" xr:uid="{00000000-0005-0000-0000-000002100000}"/>
    <cellStyle name="Normal 10 2 10 2 4 2 10" xfId="4099" xr:uid="{00000000-0005-0000-0000-000003100000}"/>
    <cellStyle name="Normal 10 2 10 2 4 2 2" xfId="4100" xr:uid="{00000000-0005-0000-0000-000004100000}"/>
    <cellStyle name="Normal 10 2 10 2 4 2 3" xfId="4101" xr:uid="{00000000-0005-0000-0000-000005100000}"/>
    <cellStyle name="Normal 10 2 10 2 4 2 4" xfId="4102" xr:uid="{00000000-0005-0000-0000-000006100000}"/>
    <cellStyle name="Normal 10 2 10 2 4 2 5" xfId="4103" xr:uid="{00000000-0005-0000-0000-000007100000}"/>
    <cellStyle name="Normal 10 2 10 2 4 2 6" xfId="4104" xr:uid="{00000000-0005-0000-0000-000008100000}"/>
    <cellStyle name="Normal 10 2 10 2 4 2 7" xfId="4105" xr:uid="{00000000-0005-0000-0000-000009100000}"/>
    <cellStyle name="Normal 10 2 10 2 4 2 8" xfId="4106" xr:uid="{00000000-0005-0000-0000-00000A100000}"/>
    <cellStyle name="Normal 10 2 10 2 4 2 9" xfId="4107" xr:uid="{00000000-0005-0000-0000-00000B100000}"/>
    <cellStyle name="Normal 10 2 10 2 4 3" xfId="4108" xr:uid="{00000000-0005-0000-0000-00000C100000}"/>
    <cellStyle name="Normal 10 2 10 2 4 3 10" xfId="4109" xr:uid="{00000000-0005-0000-0000-00000D100000}"/>
    <cellStyle name="Normal 10 2 10 2 4 3 2" xfId="4110" xr:uid="{00000000-0005-0000-0000-00000E100000}"/>
    <cellStyle name="Normal 10 2 10 2 4 3 3" xfId="4111" xr:uid="{00000000-0005-0000-0000-00000F100000}"/>
    <cellStyle name="Normal 10 2 10 2 4 3 4" xfId="4112" xr:uid="{00000000-0005-0000-0000-000010100000}"/>
    <cellStyle name="Normal 10 2 10 2 4 3 5" xfId="4113" xr:uid="{00000000-0005-0000-0000-000011100000}"/>
    <cellStyle name="Normal 10 2 10 2 4 3 6" xfId="4114" xr:uid="{00000000-0005-0000-0000-000012100000}"/>
    <cellStyle name="Normal 10 2 10 2 4 3 7" xfId="4115" xr:uid="{00000000-0005-0000-0000-000013100000}"/>
    <cellStyle name="Normal 10 2 10 2 4 3 8" xfId="4116" xr:uid="{00000000-0005-0000-0000-000014100000}"/>
    <cellStyle name="Normal 10 2 10 2 4 3 9" xfId="4117" xr:uid="{00000000-0005-0000-0000-000015100000}"/>
    <cellStyle name="Normal 10 2 10 2 4 4" xfId="4118" xr:uid="{00000000-0005-0000-0000-000016100000}"/>
    <cellStyle name="Normal 10 2 10 2 4 4 10" xfId="4119" xr:uid="{00000000-0005-0000-0000-000017100000}"/>
    <cellStyle name="Normal 10 2 10 2 4 4 2" xfId="4120" xr:uid="{00000000-0005-0000-0000-000018100000}"/>
    <cellStyle name="Normal 10 2 10 2 4 4 3" xfId="4121" xr:uid="{00000000-0005-0000-0000-000019100000}"/>
    <cellStyle name="Normal 10 2 10 2 4 4 4" xfId="4122" xr:uid="{00000000-0005-0000-0000-00001A100000}"/>
    <cellStyle name="Normal 10 2 10 2 4 4 5" xfId="4123" xr:uid="{00000000-0005-0000-0000-00001B100000}"/>
    <cellStyle name="Normal 10 2 10 2 4 4 6" xfId="4124" xr:uid="{00000000-0005-0000-0000-00001C100000}"/>
    <cellStyle name="Normal 10 2 10 2 4 4 7" xfId="4125" xr:uid="{00000000-0005-0000-0000-00001D100000}"/>
    <cellStyle name="Normal 10 2 10 2 4 4 8" xfId="4126" xr:uid="{00000000-0005-0000-0000-00001E100000}"/>
    <cellStyle name="Normal 10 2 10 2 4 4 9" xfId="4127" xr:uid="{00000000-0005-0000-0000-00001F100000}"/>
    <cellStyle name="Normal 10 2 10 2 4 5" xfId="4128" xr:uid="{00000000-0005-0000-0000-000020100000}"/>
    <cellStyle name="Normal 10 2 10 2 4 5 10" xfId="4129" xr:uid="{00000000-0005-0000-0000-000021100000}"/>
    <cellStyle name="Normal 10 2 10 2 4 5 2" xfId="4130" xr:uid="{00000000-0005-0000-0000-000022100000}"/>
    <cellStyle name="Normal 10 2 10 2 4 5 3" xfId="4131" xr:uid="{00000000-0005-0000-0000-000023100000}"/>
    <cellStyle name="Normal 10 2 10 2 4 5 4" xfId="4132" xr:uid="{00000000-0005-0000-0000-000024100000}"/>
    <cellStyle name="Normal 10 2 10 2 4 5 5" xfId="4133" xr:uid="{00000000-0005-0000-0000-000025100000}"/>
    <cellStyle name="Normal 10 2 10 2 4 5 6" xfId="4134" xr:uid="{00000000-0005-0000-0000-000026100000}"/>
    <cellStyle name="Normal 10 2 10 2 4 5 7" xfId="4135" xr:uid="{00000000-0005-0000-0000-000027100000}"/>
    <cellStyle name="Normal 10 2 10 2 4 5 8" xfId="4136" xr:uid="{00000000-0005-0000-0000-000028100000}"/>
    <cellStyle name="Normal 10 2 10 2 4 5 9" xfId="4137" xr:uid="{00000000-0005-0000-0000-000029100000}"/>
    <cellStyle name="Normal 10 2 10 2 4 6" xfId="4138" xr:uid="{00000000-0005-0000-0000-00002A100000}"/>
    <cellStyle name="Normal 10 2 10 2 4 7" xfId="4139" xr:uid="{00000000-0005-0000-0000-00002B100000}"/>
    <cellStyle name="Normal 10 2 10 2 4 8" xfId="4140" xr:uid="{00000000-0005-0000-0000-00002C100000}"/>
    <cellStyle name="Normal 10 2 10 2 4 9" xfId="4141" xr:uid="{00000000-0005-0000-0000-00002D100000}"/>
    <cellStyle name="Normal 10 2 10 2 40" xfId="4142" xr:uid="{00000000-0005-0000-0000-00002E100000}"/>
    <cellStyle name="Normal 10 2 10 2 41" xfId="4143" xr:uid="{00000000-0005-0000-0000-00002F100000}"/>
    <cellStyle name="Normal 10 2 10 2 42" xfId="4144" xr:uid="{00000000-0005-0000-0000-000030100000}"/>
    <cellStyle name="Normal 10 2 10 2 43" xfId="4145" xr:uid="{00000000-0005-0000-0000-000031100000}"/>
    <cellStyle name="Normal 10 2 10 2 44" xfId="4146" xr:uid="{00000000-0005-0000-0000-000032100000}"/>
    <cellStyle name="Normal 10 2 10 2 45" xfId="4147" xr:uid="{00000000-0005-0000-0000-000033100000}"/>
    <cellStyle name="Normal 10 2 10 2 46" xfId="4148" xr:uid="{00000000-0005-0000-0000-000034100000}"/>
    <cellStyle name="Normal 10 2 10 2 47" xfId="4149" xr:uid="{00000000-0005-0000-0000-000035100000}"/>
    <cellStyle name="Normal 10 2 10 2 48" xfId="4150" xr:uid="{00000000-0005-0000-0000-000036100000}"/>
    <cellStyle name="Normal 10 2 10 2 49" xfId="2749" xr:uid="{00000000-0005-0000-0000-0000BD0A0000}"/>
    <cellStyle name="Normal 10 2 10 2 5" xfId="4151" xr:uid="{00000000-0005-0000-0000-000037100000}"/>
    <cellStyle name="Normal 10 2 10 2 5 10" xfId="4152" xr:uid="{00000000-0005-0000-0000-000038100000}"/>
    <cellStyle name="Normal 10 2 10 2 5 11" xfId="4153" xr:uid="{00000000-0005-0000-0000-000039100000}"/>
    <cellStyle name="Normal 10 2 10 2 5 12" xfId="4154" xr:uid="{00000000-0005-0000-0000-00003A100000}"/>
    <cellStyle name="Normal 10 2 10 2 5 13" xfId="4155" xr:uid="{00000000-0005-0000-0000-00003B100000}"/>
    <cellStyle name="Normal 10 2 10 2 5 14" xfId="4156" xr:uid="{00000000-0005-0000-0000-00003C100000}"/>
    <cellStyle name="Normal 10 2 10 2 5 2" xfId="4157" xr:uid="{00000000-0005-0000-0000-00003D100000}"/>
    <cellStyle name="Normal 10 2 10 2 5 2 10" xfId="4158" xr:uid="{00000000-0005-0000-0000-00003E100000}"/>
    <cellStyle name="Normal 10 2 10 2 5 2 2" xfId="4159" xr:uid="{00000000-0005-0000-0000-00003F100000}"/>
    <cellStyle name="Normal 10 2 10 2 5 2 3" xfId="4160" xr:uid="{00000000-0005-0000-0000-000040100000}"/>
    <cellStyle name="Normal 10 2 10 2 5 2 4" xfId="4161" xr:uid="{00000000-0005-0000-0000-000041100000}"/>
    <cellStyle name="Normal 10 2 10 2 5 2 5" xfId="4162" xr:uid="{00000000-0005-0000-0000-000042100000}"/>
    <cellStyle name="Normal 10 2 10 2 5 2 6" xfId="4163" xr:uid="{00000000-0005-0000-0000-000043100000}"/>
    <cellStyle name="Normal 10 2 10 2 5 2 7" xfId="4164" xr:uid="{00000000-0005-0000-0000-000044100000}"/>
    <cellStyle name="Normal 10 2 10 2 5 2 8" xfId="4165" xr:uid="{00000000-0005-0000-0000-000045100000}"/>
    <cellStyle name="Normal 10 2 10 2 5 2 9" xfId="4166" xr:uid="{00000000-0005-0000-0000-000046100000}"/>
    <cellStyle name="Normal 10 2 10 2 5 3" xfId="4167" xr:uid="{00000000-0005-0000-0000-000047100000}"/>
    <cellStyle name="Normal 10 2 10 2 5 3 10" xfId="4168" xr:uid="{00000000-0005-0000-0000-000048100000}"/>
    <cellStyle name="Normal 10 2 10 2 5 3 2" xfId="4169" xr:uid="{00000000-0005-0000-0000-000049100000}"/>
    <cellStyle name="Normal 10 2 10 2 5 3 3" xfId="4170" xr:uid="{00000000-0005-0000-0000-00004A100000}"/>
    <cellStyle name="Normal 10 2 10 2 5 3 4" xfId="4171" xr:uid="{00000000-0005-0000-0000-00004B100000}"/>
    <cellStyle name="Normal 10 2 10 2 5 3 5" xfId="4172" xr:uid="{00000000-0005-0000-0000-00004C100000}"/>
    <cellStyle name="Normal 10 2 10 2 5 3 6" xfId="4173" xr:uid="{00000000-0005-0000-0000-00004D100000}"/>
    <cellStyle name="Normal 10 2 10 2 5 3 7" xfId="4174" xr:uid="{00000000-0005-0000-0000-00004E100000}"/>
    <cellStyle name="Normal 10 2 10 2 5 3 8" xfId="4175" xr:uid="{00000000-0005-0000-0000-00004F100000}"/>
    <cellStyle name="Normal 10 2 10 2 5 3 9" xfId="4176" xr:uid="{00000000-0005-0000-0000-000050100000}"/>
    <cellStyle name="Normal 10 2 10 2 5 4" xfId="4177" xr:uid="{00000000-0005-0000-0000-000051100000}"/>
    <cellStyle name="Normal 10 2 10 2 5 4 10" xfId="4178" xr:uid="{00000000-0005-0000-0000-000052100000}"/>
    <cellStyle name="Normal 10 2 10 2 5 4 2" xfId="4179" xr:uid="{00000000-0005-0000-0000-000053100000}"/>
    <cellStyle name="Normal 10 2 10 2 5 4 3" xfId="4180" xr:uid="{00000000-0005-0000-0000-000054100000}"/>
    <cellStyle name="Normal 10 2 10 2 5 4 4" xfId="4181" xr:uid="{00000000-0005-0000-0000-000055100000}"/>
    <cellStyle name="Normal 10 2 10 2 5 4 5" xfId="4182" xr:uid="{00000000-0005-0000-0000-000056100000}"/>
    <cellStyle name="Normal 10 2 10 2 5 4 6" xfId="4183" xr:uid="{00000000-0005-0000-0000-000057100000}"/>
    <cellStyle name="Normal 10 2 10 2 5 4 7" xfId="4184" xr:uid="{00000000-0005-0000-0000-000058100000}"/>
    <cellStyle name="Normal 10 2 10 2 5 4 8" xfId="4185" xr:uid="{00000000-0005-0000-0000-000059100000}"/>
    <cellStyle name="Normal 10 2 10 2 5 4 9" xfId="4186" xr:uid="{00000000-0005-0000-0000-00005A100000}"/>
    <cellStyle name="Normal 10 2 10 2 5 5" xfId="4187" xr:uid="{00000000-0005-0000-0000-00005B100000}"/>
    <cellStyle name="Normal 10 2 10 2 5 5 10" xfId="4188" xr:uid="{00000000-0005-0000-0000-00005C100000}"/>
    <cellStyle name="Normal 10 2 10 2 5 5 2" xfId="4189" xr:uid="{00000000-0005-0000-0000-00005D100000}"/>
    <cellStyle name="Normal 10 2 10 2 5 5 3" xfId="4190" xr:uid="{00000000-0005-0000-0000-00005E100000}"/>
    <cellStyle name="Normal 10 2 10 2 5 5 4" xfId="4191" xr:uid="{00000000-0005-0000-0000-00005F100000}"/>
    <cellStyle name="Normal 10 2 10 2 5 5 5" xfId="4192" xr:uid="{00000000-0005-0000-0000-000060100000}"/>
    <cellStyle name="Normal 10 2 10 2 5 5 6" xfId="4193" xr:uid="{00000000-0005-0000-0000-000061100000}"/>
    <cellStyle name="Normal 10 2 10 2 5 5 7" xfId="4194" xr:uid="{00000000-0005-0000-0000-000062100000}"/>
    <cellStyle name="Normal 10 2 10 2 5 5 8" xfId="4195" xr:uid="{00000000-0005-0000-0000-000063100000}"/>
    <cellStyle name="Normal 10 2 10 2 5 5 9" xfId="4196" xr:uid="{00000000-0005-0000-0000-000064100000}"/>
    <cellStyle name="Normal 10 2 10 2 5 6" xfId="4197" xr:uid="{00000000-0005-0000-0000-000065100000}"/>
    <cellStyle name="Normal 10 2 10 2 5 7" xfId="4198" xr:uid="{00000000-0005-0000-0000-000066100000}"/>
    <cellStyle name="Normal 10 2 10 2 5 8" xfId="4199" xr:uid="{00000000-0005-0000-0000-000067100000}"/>
    <cellStyle name="Normal 10 2 10 2 5 9" xfId="4200" xr:uid="{00000000-0005-0000-0000-000068100000}"/>
    <cellStyle name="Normal 10 2 10 2 6" xfId="4201" xr:uid="{00000000-0005-0000-0000-000069100000}"/>
    <cellStyle name="Normal 10 2 10 2 6 10" xfId="4202" xr:uid="{00000000-0005-0000-0000-00006A100000}"/>
    <cellStyle name="Normal 10 2 10 2 6 11" xfId="4203" xr:uid="{00000000-0005-0000-0000-00006B100000}"/>
    <cellStyle name="Normal 10 2 10 2 6 12" xfId="4204" xr:uid="{00000000-0005-0000-0000-00006C100000}"/>
    <cellStyle name="Normal 10 2 10 2 6 13" xfId="4205" xr:uid="{00000000-0005-0000-0000-00006D100000}"/>
    <cellStyle name="Normal 10 2 10 2 6 14" xfId="4206" xr:uid="{00000000-0005-0000-0000-00006E100000}"/>
    <cellStyle name="Normal 10 2 10 2 6 2" xfId="4207" xr:uid="{00000000-0005-0000-0000-00006F100000}"/>
    <cellStyle name="Normal 10 2 10 2 6 2 10" xfId="4208" xr:uid="{00000000-0005-0000-0000-000070100000}"/>
    <cellStyle name="Normal 10 2 10 2 6 2 2" xfId="4209" xr:uid="{00000000-0005-0000-0000-000071100000}"/>
    <cellStyle name="Normal 10 2 10 2 6 2 3" xfId="4210" xr:uid="{00000000-0005-0000-0000-000072100000}"/>
    <cellStyle name="Normal 10 2 10 2 6 2 4" xfId="4211" xr:uid="{00000000-0005-0000-0000-000073100000}"/>
    <cellStyle name="Normal 10 2 10 2 6 2 5" xfId="4212" xr:uid="{00000000-0005-0000-0000-000074100000}"/>
    <cellStyle name="Normal 10 2 10 2 6 2 6" xfId="4213" xr:uid="{00000000-0005-0000-0000-000075100000}"/>
    <cellStyle name="Normal 10 2 10 2 6 2 7" xfId="4214" xr:uid="{00000000-0005-0000-0000-000076100000}"/>
    <cellStyle name="Normal 10 2 10 2 6 2 8" xfId="4215" xr:uid="{00000000-0005-0000-0000-000077100000}"/>
    <cellStyle name="Normal 10 2 10 2 6 2 9" xfId="4216" xr:uid="{00000000-0005-0000-0000-000078100000}"/>
    <cellStyle name="Normal 10 2 10 2 6 3" xfId="4217" xr:uid="{00000000-0005-0000-0000-000079100000}"/>
    <cellStyle name="Normal 10 2 10 2 6 3 10" xfId="4218" xr:uid="{00000000-0005-0000-0000-00007A100000}"/>
    <cellStyle name="Normal 10 2 10 2 6 3 2" xfId="4219" xr:uid="{00000000-0005-0000-0000-00007B100000}"/>
    <cellStyle name="Normal 10 2 10 2 6 3 3" xfId="4220" xr:uid="{00000000-0005-0000-0000-00007C100000}"/>
    <cellStyle name="Normal 10 2 10 2 6 3 4" xfId="4221" xr:uid="{00000000-0005-0000-0000-00007D100000}"/>
    <cellStyle name="Normal 10 2 10 2 6 3 5" xfId="4222" xr:uid="{00000000-0005-0000-0000-00007E100000}"/>
    <cellStyle name="Normal 10 2 10 2 6 3 6" xfId="4223" xr:uid="{00000000-0005-0000-0000-00007F100000}"/>
    <cellStyle name="Normal 10 2 10 2 6 3 7" xfId="4224" xr:uid="{00000000-0005-0000-0000-000080100000}"/>
    <cellStyle name="Normal 10 2 10 2 6 3 8" xfId="4225" xr:uid="{00000000-0005-0000-0000-000081100000}"/>
    <cellStyle name="Normal 10 2 10 2 6 3 9" xfId="4226" xr:uid="{00000000-0005-0000-0000-000082100000}"/>
    <cellStyle name="Normal 10 2 10 2 6 4" xfId="4227" xr:uid="{00000000-0005-0000-0000-000083100000}"/>
    <cellStyle name="Normal 10 2 10 2 6 4 10" xfId="4228" xr:uid="{00000000-0005-0000-0000-000084100000}"/>
    <cellStyle name="Normal 10 2 10 2 6 4 2" xfId="4229" xr:uid="{00000000-0005-0000-0000-000085100000}"/>
    <cellStyle name="Normal 10 2 10 2 6 4 3" xfId="4230" xr:uid="{00000000-0005-0000-0000-000086100000}"/>
    <cellStyle name="Normal 10 2 10 2 6 4 4" xfId="4231" xr:uid="{00000000-0005-0000-0000-000087100000}"/>
    <cellStyle name="Normal 10 2 10 2 6 4 5" xfId="4232" xr:uid="{00000000-0005-0000-0000-000088100000}"/>
    <cellStyle name="Normal 10 2 10 2 6 4 6" xfId="4233" xr:uid="{00000000-0005-0000-0000-000089100000}"/>
    <cellStyle name="Normal 10 2 10 2 6 4 7" xfId="4234" xr:uid="{00000000-0005-0000-0000-00008A100000}"/>
    <cellStyle name="Normal 10 2 10 2 6 4 8" xfId="4235" xr:uid="{00000000-0005-0000-0000-00008B100000}"/>
    <cellStyle name="Normal 10 2 10 2 6 4 9" xfId="4236" xr:uid="{00000000-0005-0000-0000-00008C100000}"/>
    <cellStyle name="Normal 10 2 10 2 6 5" xfId="4237" xr:uid="{00000000-0005-0000-0000-00008D100000}"/>
    <cellStyle name="Normal 10 2 10 2 6 5 10" xfId="4238" xr:uid="{00000000-0005-0000-0000-00008E100000}"/>
    <cellStyle name="Normal 10 2 10 2 6 5 2" xfId="4239" xr:uid="{00000000-0005-0000-0000-00008F100000}"/>
    <cellStyle name="Normal 10 2 10 2 6 5 3" xfId="4240" xr:uid="{00000000-0005-0000-0000-000090100000}"/>
    <cellStyle name="Normal 10 2 10 2 6 5 4" xfId="4241" xr:uid="{00000000-0005-0000-0000-000091100000}"/>
    <cellStyle name="Normal 10 2 10 2 6 5 5" xfId="4242" xr:uid="{00000000-0005-0000-0000-000092100000}"/>
    <cellStyle name="Normal 10 2 10 2 6 5 6" xfId="4243" xr:uid="{00000000-0005-0000-0000-000093100000}"/>
    <cellStyle name="Normal 10 2 10 2 6 5 7" xfId="4244" xr:uid="{00000000-0005-0000-0000-000094100000}"/>
    <cellStyle name="Normal 10 2 10 2 6 5 8" xfId="4245" xr:uid="{00000000-0005-0000-0000-000095100000}"/>
    <cellStyle name="Normal 10 2 10 2 6 5 9" xfId="4246" xr:uid="{00000000-0005-0000-0000-000096100000}"/>
    <cellStyle name="Normal 10 2 10 2 6 6" xfId="4247" xr:uid="{00000000-0005-0000-0000-000097100000}"/>
    <cellStyle name="Normal 10 2 10 2 6 7" xfId="4248" xr:uid="{00000000-0005-0000-0000-000098100000}"/>
    <cellStyle name="Normal 10 2 10 2 6 8" xfId="4249" xr:uid="{00000000-0005-0000-0000-000099100000}"/>
    <cellStyle name="Normal 10 2 10 2 6 9" xfId="4250" xr:uid="{00000000-0005-0000-0000-00009A100000}"/>
    <cellStyle name="Normal 10 2 10 2 7" xfId="4251" xr:uid="{00000000-0005-0000-0000-00009B100000}"/>
    <cellStyle name="Normal 10 2 10 2 7 10" xfId="4252" xr:uid="{00000000-0005-0000-0000-00009C100000}"/>
    <cellStyle name="Normal 10 2 10 2 7 11" xfId="4253" xr:uid="{00000000-0005-0000-0000-00009D100000}"/>
    <cellStyle name="Normal 10 2 10 2 7 12" xfId="4254" xr:uid="{00000000-0005-0000-0000-00009E100000}"/>
    <cellStyle name="Normal 10 2 10 2 7 13" xfId="4255" xr:uid="{00000000-0005-0000-0000-00009F100000}"/>
    <cellStyle name="Normal 10 2 10 2 7 14" xfId="4256" xr:uid="{00000000-0005-0000-0000-0000A0100000}"/>
    <cellStyle name="Normal 10 2 10 2 7 2" xfId="4257" xr:uid="{00000000-0005-0000-0000-0000A1100000}"/>
    <cellStyle name="Normal 10 2 10 2 7 2 10" xfId="4258" xr:uid="{00000000-0005-0000-0000-0000A2100000}"/>
    <cellStyle name="Normal 10 2 10 2 7 2 2" xfId="4259" xr:uid="{00000000-0005-0000-0000-0000A3100000}"/>
    <cellStyle name="Normal 10 2 10 2 7 2 3" xfId="4260" xr:uid="{00000000-0005-0000-0000-0000A4100000}"/>
    <cellStyle name="Normal 10 2 10 2 7 2 4" xfId="4261" xr:uid="{00000000-0005-0000-0000-0000A5100000}"/>
    <cellStyle name="Normal 10 2 10 2 7 2 5" xfId="4262" xr:uid="{00000000-0005-0000-0000-0000A6100000}"/>
    <cellStyle name="Normal 10 2 10 2 7 2 6" xfId="4263" xr:uid="{00000000-0005-0000-0000-0000A7100000}"/>
    <cellStyle name="Normal 10 2 10 2 7 2 7" xfId="4264" xr:uid="{00000000-0005-0000-0000-0000A8100000}"/>
    <cellStyle name="Normal 10 2 10 2 7 2 8" xfId="4265" xr:uid="{00000000-0005-0000-0000-0000A9100000}"/>
    <cellStyle name="Normal 10 2 10 2 7 2 9" xfId="4266" xr:uid="{00000000-0005-0000-0000-0000AA100000}"/>
    <cellStyle name="Normal 10 2 10 2 7 3" xfId="4267" xr:uid="{00000000-0005-0000-0000-0000AB100000}"/>
    <cellStyle name="Normal 10 2 10 2 7 3 10" xfId="4268" xr:uid="{00000000-0005-0000-0000-0000AC100000}"/>
    <cellStyle name="Normal 10 2 10 2 7 3 2" xfId="4269" xr:uid="{00000000-0005-0000-0000-0000AD100000}"/>
    <cellStyle name="Normal 10 2 10 2 7 3 3" xfId="4270" xr:uid="{00000000-0005-0000-0000-0000AE100000}"/>
    <cellStyle name="Normal 10 2 10 2 7 3 4" xfId="4271" xr:uid="{00000000-0005-0000-0000-0000AF100000}"/>
    <cellStyle name="Normal 10 2 10 2 7 3 5" xfId="4272" xr:uid="{00000000-0005-0000-0000-0000B0100000}"/>
    <cellStyle name="Normal 10 2 10 2 7 3 6" xfId="4273" xr:uid="{00000000-0005-0000-0000-0000B1100000}"/>
    <cellStyle name="Normal 10 2 10 2 7 3 7" xfId="4274" xr:uid="{00000000-0005-0000-0000-0000B2100000}"/>
    <cellStyle name="Normal 10 2 10 2 7 3 8" xfId="4275" xr:uid="{00000000-0005-0000-0000-0000B3100000}"/>
    <cellStyle name="Normal 10 2 10 2 7 3 9" xfId="4276" xr:uid="{00000000-0005-0000-0000-0000B4100000}"/>
    <cellStyle name="Normal 10 2 10 2 7 4" xfId="4277" xr:uid="{00000000-0005-0000-0000-0000B5100000}"/>
    <cellStyle name="Normal 10 2 10 2 7 4 10" xfId="4278" xr:uid="{00000000-0005-0000-0000-0000B6100000}"/>
    <cellStyle name="Normal 10 2 10 2 7 4 2" xfId="4279" xr:uid="{00000000-0005-0000-0000-0000B7100000}"/>
    <cellStyle name="Normal 10 2 10 2 7 4 3" xfId="4280" xr:uid="{00000000-0005-0000-0000-0000B8100000}"/>
    <cellStyle name="Normal 10 2 10 2 7 4 4" xfId="4281" xr:uid="{00000000-0005-0000-0000-0000B9100000}"/>
    <cellStyle name="Normal 10 2 10 2 7 4 5" xfId="4282" xr:uid="{00000000-0005-0000-0000-0000BA100000}"/>
    <cellStyle name="Normal 10 2 10 2 7 4 6" xfId="4283" xr:uid="{00000000-0005-0000-0000-0000BB100000}"/>
    <cellStyle name="Normal 10 2 10 2 7 4 7" xfId="4284" xr:uid="{00000000-0005-0000-0000-0000BC100000}"/>
    <cellStyle name="Normal 10 2 10 2 7 4 8" xfId="4285" xr:uid="{00000000-0005-0000-0000-0000BD100000}"/>
    <cellStyle name="Normal 10 2 10 2 7 4 9" xfId="4286" xr:uid="{00000000-0005-0000-0000-0000BE100000}"/>
    <cellStyle name="Normal 10 2 10 2 7 5" xfId="4287" xr:uid="{00000000-0005-0000-0000-0000BF100000}"/>
    <cellStyle name="Normal 10 2 10 2 7 5 10" xfId="4288" xr:uid="{00000000-0005-0000-0000-0000C0100000}"/>
    <cellStyle name="Normal 10 2 10 2 7 5 2" xfId="4289" xr:uid="{00000000-0005-0000-0000-0000C1100000}"/>
    <cellStyle name="Normal 10 2 10 2 7 5 3" xfId="4290" xr:uid="{00000000-0005-0000-0000-0000C2100000}"/>
    <cellStyle name="Normal 10 2 10 2 7 5 4" xfId="4291" xr:uid="{00000000-0005-0000-0000-0000C3100000}"/>
    <cellStyle name="Normal 10 2 10 2 7 5 5" xfId="4292" xr:uid="{00000000-0005-0000-0000-0000C4100000}"/>
    <cellStyle name="Normal 10 2 10 2 7 5 6" xfId="4293" xr:uid="{00000000-0005-0000-0000-0000C5100000}"/>
    <cellStyle name="Normal 10 2 10 2 7 5 7" xfId="4294" xr:uid="{00000000-0005-0000-0000-0000C6100000}"/>
    <cellStyle name="Normal 10 2 10 2 7 5 8" xfId="4295" xr:uid="{00000000-0005-0000-0000-0000C7100000}"/>
    <cellStyle name="Normal 10 2 10 2 7 5 9" xfId="4296" xr:uid="{00000000-0005-0000-0000-0000C8100000}"/>
    <cellStyle name="Normal 10 2 10 2 7 6" xfId="4297" xr:uid="{00000000-0005-0000-0000-0000C9100000}"/>
    <cellStyle name="Normal 10 2 10 2 7 7" xfId="4298" xr:uid="{00000000-0005-0000-0000-0000CA100000}"/>
    <cellStyle name="Normal 10 2 10 2 7 8" xfId="4299" xr:uid="{00000000-0005-0000-0000-0000CB100000}"/>
    <cellStyle name="Normal 10 2 10 2 7 9" xfId="4300" xr:uid="{00000000-0005-0000-0000-0000CC100000}"/>
    <cellStyle name="Normal 10 2 10 2 8" xfId="4301" xr:uid="{00000000-0005-0000-0000-0000CD100000}"/>
    <cellStyle name="Normal 10 2 10 2 8 10" xfId="4302" xr:uid="{00000000-0005-0000-0000-0000CE100000}"/>
    <cellStyle name="Normal 10 2 10 2 8 11" xfId="4303" xr:uid="{00000000-0005-0000-0000-0000CF100000}"/>
    <cellStyle name="Normal 10 2 10 2 8 12" xfId="4304" xr:uid="{00000000-0005-0000-0000-0000D0100000}"/>
    <cellStyle name="Normal 10 2 10 2 8 13" xfId="4305" xr:uid="{00000000-0005-0000-0000-0000D1100000}"/>
    <cellStyle name="Normal 10 2 10 2 8 14" xfId="4306" xr:uid="{00000000-0005-0000-0000-0000D2100000}"/>
    <cellStyle name="Normal 10 2 10 2 8 2" xfId="4307" xr:uid="{00000000-0005-0000-0000-0000D3100000}"/>
    <cellStyle name="Normal 10 2 10 2 8 2 10" xfId="4308" xr:uid="{00000000-0005-0000-0000-0000D4100000}"/>
    <cellStyle name="Normal 10 2 10 2 8 2 2" xfId="4309" xr:uid="{00000000-0005-0000-0000-0000D5100000}"/>
    <cellStyle name="Normal 10 2 10 2 8 2 3" xfId="4310" xr:uid="{00000000-0005-0000-0000-0000D6100000}"/>
    <cellStyle name="Normal 10 2 10 2 8 2 4" xfId="4311" xr:uid="{00000000-0005-0000-0000-0000D7100000}"/>
    <cellStyle name="Normal 10 2 10 2 8 2 5" xfId="4312" xr:uid="{00000000-0005-0000-0000-0000D8100000}"/>
    <cellStyle name="Normal 10 2 10 2 8 2 6" xfId="4313" xr:uid="{00000000-0005-0000-0000-0000D9100000}"/>
    <cellStyle name="Normal 10 2 10 2 8 2 7" xfId="4314" xr:uid="{00000000-0005-0000-0000-0000DA100000}"/>
    <cellStyle name="Normal 10 2 10 2 8 2 8" xfId="4315" xr:uid="{00000000-0005-0000-0000-0000DB100000}"/>
    <cellStyle name="Normal 10 2 10 2 8 2 9" xfId="4316" xr:uid="{00000000-0005-0000-0000-0000DC100000}"/>
    <cellStyle name="Normal 10 2 10 2 8 3" xfId="4317" xr:uid="{00000000-0005-0000-0000-0000DD100000}"/>
    <cellStyle name="Normal 10 2 10 2 8 3 10" xfId="4318" xr:uid="{00000000-0005-0000-0000-0000DE100000}"/>
    <cellStyle name="Normal 10 2 10 2 8 3 2" xfId="4319" xr:uid="{00000000-0005-0000-0000-0000DF100000}"/>
    <cellStyle name="Normal 10 2 10 2 8 3 3" xfId="4320" xr:uid="{00000000-0005-0000-0000-0000E0100000}"/>
    <cellStyle name="Normal 10 2 10 2 8 3 4" xfId="4321" xr:uid="{00000000-0005-0000-0000-0000E1100000}"/>
    <cellStyle name="Normal 10 2 10 2 8 3 5" xfId="4322" xr:uid="{00000000-0005-0000-0000-0000E2100000}"/>
    <cellStyle name="Normal 10 2 10 2 8 3 6" xfId="4323" xr:uid="{00000000-0005-0000-0000-0000E3100000}"/>
    <cellStyle name="Normal 10 2 10 2 8 3 7" xfId="4324" xr:uid="{00000000-0005-0000-0000-0000E4100000}"/>
    <cellStyle name="Normal 10 2 10 2 8 3 8" xfId="4325" xr:uid="{00000000-0005-0000-0000-0000E5100000}"/>
    <cellStyle name="Normal 10 2 10 2 8 3 9" xfId="4326" xr:uid="{00000000-0005-0000-0000-0000E6100000}"/>
    <cellStyle name="Normal 10 2 10 2 8 4" xfId="4327" xr:uid="{00000000-0005-0000-0000-0000E7100000}"/>
    <cellStyle name="Normal 10 2 10 2 8 4 10" xfId="4328" xr:uid="{00000000-0005-0000-0000-0000E8100000}"/>
    <cellStyle name="Normal 10 2 10 2 8 4 2" xfId="4329" xr:uid="{00000000-0005-0000-0000-0000E9100000}"/>
    <cellStyle name="Normal 10 2 10 2 8 4 3" xfId="4330" xr:uid="{00000000-0005-0000-0000-0000EA100000}"/>
    <cellStyle name="Normal 10 2 10 2 8 4 4" xfId="4331" xr:uid="{00000000-0005-0000-0000-0000EB100000}"/>
    <cellStyle name="Normal 10 2 10 2 8 4 5" xfId="4332" xr:uid="{00000000-0005-0000-0000-0000EC100000}"/>
    <cellStyle name="Normal 10 2 10 2 8 4 6" xfId="4333" xr:uid="{00000000-0005-0000-0000-0000ED100000}"/>
    <cellStyle name="Normal 10 2 10 2 8 4 7" xfId="4334" xr:uid="{00000000-0005-0000-0000-0000EE100000}"/>
    <cellStyle name="Normal 10 2 10 2 8 4 8" xfId="4335" xr:uid="{00000000-0005-0000-0000-0000EF100000}"/>
    <cellStyle name="Normal 10 2 10 2 8 4 9" xfId="4336" xr:uid="{00000000-0005-0000-0000-0000F0100000}"/>
    <cellStyle name="Normal 10 2 10 2 8 5" xfId="4337" xr:uid="{00000000-0005-0000-0000-0000F1100000}"/>
    <cellStyle name="Normal 10 2 10 2 8 5 10" xfId="4338" xr:uid="{00000000-0005-0000-0000-0000F2100000}"/>
    <cellStyle name="Normal 10 2 10 2 8 5 2" xfId="4339" xr:uid="{00000000-0005-0000-0000-0000F3100000}"/>
    <cellStyle name="Normal 10 2 10 2 8 5 3" xfId="4340" xr:uid="{00000000-0005-0000-0000-0000F4100000}"/>
    <cellStyle name="Normal 10 2 10 2 8 5 4" xfId="4341" xr:uid="{00000000-0005-0000-0000-0000F5100000}"/>
    <cellStyle name="Normal 10 2 10 2 8 5 5" xfId="4342" xr:uid="{00000000-0005-0000-0000-0000F6100000}"/>
    <cellStyle name="Normal 10 2 10 2 8 5 6" xfId="4343" xr:uid="{00000000-0005-0000-0000-0000F7100000}"/>
    <cellStyle name="Normal 10 2 10 2 8 5 7" xfId="4344" xr:uid="{00000000-0005-0000-0000-0000F8100000}"/>
    <cellStyle name="Normal 10 2 10 2 8 5 8" xfId="4345" xr:uid="{00000000-0005-0000-0000-0000F9100000}"/>
    <cellStyle name="Normal 10 2 10 2 8 5 9" xfId="4346" xr:uid="{00000000-0005-0000-0000-0000FA100000}"/>
    <cellStyle name="Normal 10 2 10 2 8 6" xfId="4347" xr:uid="{00000000-0005-0000-0000-0000FB100000}"/>
    <cellStyle name="Normal 10 2 10 2 8 7" xfId="4348" xr:uid="{00000000-0005-0000-0000-0000FC100000}"/>
    <cellStyle name="Normal 10 2 10 2 8 8" xfId="4349" xr:uid="{00000000-0005-0000-0000-0000FD100000}"/>
    <cellStyle name="Normal 10 2 10 2 8 9" xfId="4350" xr:uid="{00000000-0005-0000-0000-0000FE100000}"/>
    <cellStyle name="Normal 10 2 10 2 9" xfId="4351" xr:uid="{00000000-0005-0000-0000-0000FF100000}"/>
    <cellStyle name="Normal 10 2 10 2 9 10" xfId="4352" xr:uid="{00000000-0005-0000-0000-000000110000}"/>
    <cellStyle name="Normal 10 2 10 2 9 11" xfId="4353" xr:uid="{00000000-0005-0000-0000-000001110000}"/>
    <cellStyle name="Normal 10 2 10 2 9 12" xfId="4354" xr:uid="{00000000-0005-0000-0000-000002110000}"/>
    <cellStyle name="Normal 10 2 10 2 9 13" xfId="4355" xr:uid="{00000000-0005-0000-0000-000003110000}"/>
    <cellStyle name="Normal 10 2 10 2 9 14" xfId="4356" xr:uid="{00000000-0005-0000-0000-000004110000}"/>
    <cellStyle name="Normal 10 2 10 2 9 2" xfId="4357" xr:uid="{00000000-0005-0000-0000-000005110000}"/>
    <cellStyle name="Normal 10 2 10 2 9 2 10" xfId="4358" xr:uid="{00000000-0005-0000-0000-000006110000}"/>
    <cellStyle name="Normal 10 2 10 2 9 2 2" xfId="4359" xr:uid="{00000000-0005-0000-0000-000007110000}"/>
    <cellStyle name="Normal 10 2 10 2 9 2 3" xfId="4360" xr:uid="{00000000-0005-0000-0000-000008110000}"/>
    <cellStyle name="Normal 10 2 10 2 9 2 4" xfId="4361" xr:uid="{00000000-0005-0000-0000-000009110000}"/>
    <cellStyle name="Normal 10 2 10 2 9 2 5" xfId="4362" xr:uid="{00000000-0005-0000-0000-00000A110000}"/>
    <cellStyle name="Normal 10 2 10 2 9 2 6" xfId="4363" xr:uid="{00000000-0005-0000-0000-00000B110000}"/>
    <cellStyle name="Normal 10 2 10 2 9 2 7" xfId="4364" xr:uid="{00000000-0005-0000-0000-00000C110000}"/>
    <cellStyle name="Normal 10 2 10 2 9 2 8" xfId="4365" xr:uid="{00000000-0005-0000-0000-00000D110000}"/>
    <cellStyle name="Normal 10 2 10 2 9 2 9" xfId="4366" xr:uid="{00000000-0005-0000-0000-00000E110000}"/>
    <cellStyle name="Normal 10 2 10 2 9 3" xfId="4367" xr:uid="{00000000-0005-0000-0000-00000F110000}"/>
    <cellStyle name="Normal 10 2 10 2 9 3 10" xfId="4368" xr:uid="{00000000-0005-0000-0000-000010110000}"/>
    <cellStyle name="Normal 10 2 10 2 9 3 2" xfId="4369" xr:uid="{00000000-0005-0000-0000-000011110000}"/>
    <cellStyle name="Normal 10 2 10 2 9 3 3" xfId="4370" xr:uid="{00000000-0005-0000-0000-000012110000}"/>
    <cellStyle name="Normal 10 2 10 2 9 3 4" xfId="4371" xr:uid="{00000000-0005-0000-0000-000013110000}"/>
    <cellStyle name="Normal 10 2 10 2 9 3 5" xfId="4372" xr:uid="{00000000-0005-0000-0000-000014110000}"/>
    <cellStyle name="Normal 10 2 10 2 9 3 6" xfId="4373" xr:uid="{00000000-0005-0000-0000-000015110000}"/>
    <cellStyle name="Normal 10 2 10 2 9 3 7" xfId="4374" xr:uid="{00000000-0005-0000-0000-000016110000}"/>
    <cellStyle name="Normal 10 2 10 2 9 3 8" xfId="4375" xr:uid="{00000000-0005-0000-0000-000017110000}"/>
    <cellStyle name="Normal 10 2 10 2 9 3 9" xfId="4376" xr:uid="{00000000-0005-0000-0000-000018110000}"/>
    <cellStyle name="Normal 10 2 10 2 9 4" xfId="4377" xr:uid="{00000000-0005-0000-0000-000019110000}"/>
    <cellStyle name="Normal 10 2 10 2 9 4 10" xfId="4378" xr:uid="{00000000-0005-0000-0000-00001A110000}"/>
    <cellStyle name="Normal 10 2 10 2 9 4 2" xfId="4379" xr:uid="{00000000-0005-0000-0000-00001B110000}"/>
    <cellStyle name="Normal 10 2 10 2 9 4 3" xfId="4380" xr:uid="{00000000-0005-0000-0000-00001C110000}"/>
    <cellStyle name="Normal 10 2 10 2 9 4 4" xfId="4381" xr:uid="{00000000-0005-0000-0000-00001D110000}"/>
    <cellStyle name="Normal 10 2 10 2 9 4 5" xfId="4382" xr:uid="{00000000-0005-0000-0000-00001E110000}"/>
    <cellStyle name="Normal 10 2 10 2 9 4 6" xfId="4383" xr:uid="{00000000-0005-0000-0000-00001F110000}"/>
    <cellStyle name="Normal 10 2 10 2 9 4 7" xfId="4384" xr:uid="{00000000-0005-0000-0000-000020110000}"/>
    <cellStyle name="Normal 10 2 10 2 9 4 8" xfId="4385" xr:uid="{00000000-0005-0000-0000-000021110000}"/>
    <cellStyle name="Normal 10 2 10 2 9 4 9" xfId="4386" xr:uid="{00000000-0005-0000-0000-000022110000}"/>
    <cellStyle name="Normal 10 2 10 2 9 5" xfId="4387" xr:uid="{00000000-0005-0000-0000-000023110000}"/>
    <cellStyle name="Normal 10 2 10 2 9 5 10" xfId="4388" xr:uid="{00000000-0005-0000-0000-000024110000}"/>
    <cellStyle name="Normal 10 2 10 2 9 5 2" xfId="4389" xr:uid="{00000000-0005-0000-0000-000025110000}"/>
    <cellStyle name="Normal 10 2 10 2 9 5 3" xfId="4390" xr:uid="{00000000-0005-0000-0000-000026110000}"/>
    <cellStyle name="Normal 10 2 10 2 9 5 4" xfId="4391" xr:uid="{00000000-0005-0000-0000-000027110000}"/>
    <cellStyle name="Normal 10 2 10 2 9 5 5" xfId="4392" xr:uid="{00000000-0005-0000-0000-000028110000}"/>
    <cellStyle name="Normal 10 2 10 2 9 5 6" xfId="4393" xr:uid="{00000000-0005-0000-0000-000029110000}"/>
    <cellStyle name="Normal 10 2 10 2 9 5 7" xfId="4394" xr:uid="{00000000-0005-0000-0000-00002A110000}"/>
    <cellStyle name="Normal 10 2 10 2 9 5 8" xfId="4395" xr:uid="{00000000-0005-0000-0000-00002B110000}"/>
    <cellStyle name="Normal 10 2 10 2 9 5 9" xfId="4396" xr:uid="{00000000-0005-0000-0000-00002C110000}"/>
    <cellStyle name="Normal 10 2 10 2 9 6" xfId="4397" xr:uid="{00000000-0005-0000-0000-00002D110000}"/>
    <cellStyle name="Normal 10 2 10 2 9 7" xfId="4398" xr:uid="{00000000-0005-0000-0000-00002E110000}"/>
    <cellStyle name="Normal 10 2 10 2 9 8" xfId="4399" xr:uid="{00000000-0005-0000-0000-00002F110000}"/>
    <cellStyle name="Normal 10 2 10 2 9 9" xfId="4400" xr:uid="{00000000-0005-0000-0000-000030110000}"/>
    <cellStyle name="Normal 10 2 10 20" xfId="4401" xr:uid="{00000000-0005-0000-0000-000031110000}"/>
    <cellStyle name="Normal 10 2 10 20 10" xfId="4402" xr:uid="{00000000-0005-0000-0000-000032110000}"/>
    <cellStyle name="Normal 10 2 10 20 11" xfId="4403" xr:uid="{00000000-0005-0000-0000-000033110000}"/>
    <cellStyle name="Normal 10 2 10 20 12" xfId="4404" xr:uid="{00000000-0005-0000-0000-000034110000}"/>
    <cellStyle name="Normal 10 2 10 20 13" xfId="4405" xr:uid="{00000000-0005-0000-0000-000035110000}"/>
    <cellStyle name="Normal 10 2 10 20 14" xfId="4406" xr:uid="{00000000-0005-0000-0000-000036110000}"/>
    <cellStyle name="Normal 10 2 10 20 2" xfId="4407" xr:uid="{00000000-0005-0000-0000-000037110000}"/>
    <cellStyle name="Normal 10 2 10 20 2 10" xfId="4408" xr:uid="{00000000-0005-0000-0000-000038110000}"/>
    <cellStyle name="Normal 10 2 10 20 2 2" xfId="4409" xr:uid="{00000000-0005-0000-0000-000039110000}"/>
    <cellStyle name="Normal 10 2 10 20 2 3" xfId="4410" xr:uid="{00000000-0005-0000-0000-00003A110000}"/>
    <cellStyle name="Normal 10 2 10 20 2 4" xfId="4411" xr:uid="{00000000-0005-0000-0000-00003B110000}"/>
    <cellStyle name="Normal 10 2 10 20 2 5" xfId="4412" xr:uid="{00000000-0005-0000-0000-00003C110000}"/>
    <cellStyle name="Normal 10 2 10 20 2 6" xfId="4413" xr:uid="{00000000-0005-0000-0000-00003D110000}"/>
    <cellStyle name="Normal 10 2 10 20 2 7" xfId="4414" xr:uid="{00000000-0005-0000-0000-00003E110000}"/>
    <cellStyle name="Normal 10 2 10 20 2 8" xfId="4415" xr:uid="{00000000-0005-0000-0000-00003F110000}"/>
    <cellStyle name="Normal 10 2 10 20 2 9" xfId="4416" xr:uid="{00000000-0005-0000-0000-000040110000}"/>
    <cellStyle name="Normal 10 2 10 20 3" xfId="4417" xr:uid="{00000000-0005-0000-0000-000041110000}"/>
    <cellStyle name="Normal 10 2 10 20 3 10" xfId="4418" xr:uid="{00000000-0005-0000-0000-000042110000}"/>
    <cellStyle name="Normal 10 2 10 20 3 2" xfId="4419" xr:uid="{00000000-0005-0000-0000-000043110000}"/>
    <cellStyle name="Normal 10 2 10 20 3 3" xfId="4420" xr:uid="{00000000-0005-0000-0000-000044110000}"/>
    <cellStyle name="Normal 10 2 10 20 3 4" xfId="4421" xr:uid="{00000000-0005-0000-0000-000045110000}"/>
    <cellStyle name="Normal 10 2 10 20 3 5" xfId="4422" xr:uid="{00000000-0005-0000-0000-000046110000}"/>
    <cellStyle name="Normal 10 2 10 20 3 6" xfId="4423" xr:uid="{00000000-0005-0000-0000-000047110000}"/>
    <cellStyle name="Normal 10 2 10 20 3 7" xfId="4424" xr:uid="{00000000-0005-0000-0000-000048110000}"/>
    <cellStyle name="Normal 10 2 10 20 3 8" xfId="4425" xr:uid="{00000000-0005-0000-0000-000049110000}"/>
    <cellStyle name="Normal 10 2 10 20 3 9" xfId="4426" xr:uid="{00000000-0005-0000-0000-00004A110000}"/>
    <cellStyle name="Normal 10 2 10 20 4" xfId="4427" xr:uid="{00000000-0005-0000-0000-00004B110000}"/>
    <cellStyle name="Normal 10 2 10 20 4 10" xfId="4428" xr:uid="{00000000-0005-0000-0000-00004C110000}"/>
    <cellStyle name="Normal 10 2 10 20 4 2" xfId="4429" xr:uid="{00000000-0005-0000-0000-00004D110000}"/>
    <cellStyle name="Normal 10 2 10 20 4 3" xfId="4430" xr:uid="{00000000-0005-0000-0000-00004E110000}"/>
    <cellStyle name="Normal 10 2 10 20 4 4" xfId="4431" xr:uid="{00000000-0005-0000-0000-00004F110000}"/>
    <cellStyle name="Normal 10 2 10 20 4 5" xfId="4432" xr:uid="{00000000-0005-0000-0000-000050110000}"/>
    <cellStyle name="Normal 10 2 10 20 4 6" xfId="4433" xr:uid="{00000000-0005-0000-0000-000051110000}"/>
    <cellStyle name="Normal 10 2 10 20 4 7" xfId="4434" xr:uid="{00000000-0005-0000-0000-000052110000}"/>
    <cellStyle name="Normal 10 2 10 20 4 8" xfId="4435" xr:uid="{00000000-0005-0000-0000-000053110000}"/>
    <cellStyle name="Normal 10 2 10 20 4 9" xfId="4436" xr:uid="{00000000-0005-0000-0000-000054110000}"/>
    <cellStyle name="Normal 10 2 10 20 5" xfId="4437" xr:uid="{00000000-0005-0000-0000-000055110000}"/>
    <cellStyle name="Normal 10 2 10 20 5 10" xfId="4438" xr:uid="{00000000-0005-0000-0000-000056110000}"/>
    <cellStyle name="Normal 10 2 10 20 5 2" xfId="4439" xr:uid="{00000000-0005-0000-0000-000057110000}"/>
    <cellStyle name="Normal 10 2 10 20 5 3" xfId="4440" xr:uid="{00000000-0005-0000-0000-000058110000}"/>
    <cellStyle name="Normal 10 2 10 20 5 4" xfId="4441" xr:uid="{00000000-0005-0000-0000-000059110000}"/>
    <cellStyle name="Normal 10 2 10 20 5 5" xfId="4442" xr:uid="{00000000-0005-0000-0000-00005A110000}"/>
    <cellStyle name="Normal 10 2 10 20 5 6" xfId="4443" xr:uid="{00000000-0005-0000-0000-00005B110000}"/>
    <cellStyle name="Normal 10 2 10 20 5 7" xfId="4444" xr:uid="{00000000-0005-0000-0000-00005C110000}"/>
    <cellStyle name="Normal 10 2 10 20 5 8" xfId="4445" xr:uid="{00000000-0005-0000-0000-00005D110000}"/>
    <cellStyle name="Normal 10 2 10 20 5 9" xfId="4446" xr:uid="{00000000-0005-0000-0000-00005E110000}"/>
    <cellStyle name="Normal 10 2 10 20 6" xfId="4447" xr:uid="{00000000-0005-0000-0000-00005F110000}"/>
    <cellStyle name="Normal 10 2 10 20 7" xfId="4448" xr:uid="{00000000-0005-0000-0000-000060110000}"/>
    <cellStyle name="Normal 10 2 10 20 8" xfId="4449" xr:uid="{00000000-0005-0000-0000-000061110000}"/>
    <cellStyle name="Normal 10 2 10 20 9" xfId="4450" xr:uid="{00000000-0005-0000-0000-000062110000}"/>
    <cellStyle name="Normal 10 2 10 21" xfId="4451" xr:uid="{00000000-0005-0000-0000-000063110000}"/>
    <cellStyle name="Normal 10 2 10 21 10" xfId="4452" xr:uid="{00000000-0005-0000-0000-000064110000}"/>
    <cellStyle name="Normal 10 2 10 21 11" xfId="4453" xr:uid="{00000000-0005-0000-0000-000065110000}"/>
    <cellStyle name="Normal 10 2 10 21 12" xfId="4454" xr:uid="{00000000-0005-0000-0000-000066110000}"/>
    <cellStyle name="Normal 10 2 10 21 13" xfId="4455" xr:uid="{00000000-0005-0000-0000-000067110000}"/>
    <cellStyle name="Normal 10 2 10 21 14" xfId="4456" xr:uid="{00000000-0005-0000-0000-000068110000}"/>
    <cellStyle name="Normal 10 2 10 21 2" xfId="4457" xr:uid="{00000000-0005-0000-0000-000069110000}"/>
    <cellStyle name="Normal 10 2 10 21 2 10" xfId="4458" xr:uid="{00000000-0005-0000-0000-00006A110000}"/>
    <cellStyle name="Normal 10 2 10 21 2 2" xfId="4459" xr:uid="{00000000-0005-0000-0000-00006B110000}"/>
    <cellStyle name="Normal 10 2 10 21 2 3" xfId="4460" xr:uid="{00000000-0005-0000-0000-00006C110000}"/>
    <cellStyle name="Normal 10 2 10 21 2 4" xfId="4461" xr:uid="{00000000-0005-0000-0000-00006D110000}"/>
    <cellStyle name="Normal 10 2 10 21 2 5" xfId="4462" xr:uid="{00000000-0005-0000-0000-00006E110000}"/>
    <cellStyle name="Normal 10 2 10 21 2 6" xfId="4463" xr:uid="{00000000-0005-0000-0000-00006F110000}"/>
    <cellStyle name="Normal 10 2 10 21 2 7" xfId="4464" xr:uid="{00000000-0005-0000-0000-000070110000}"/>
    <cellStyle name="Normal 10 2 10 21 2 8" xfId="4465" xr:uid="{00000000-0005-0000-0000-000071110000}"/>
    <cellStyle name="Normal 10 2 10 21 2 9" xfId="4466" xr:uid="{00000000-0005-0000-0000-000072110000}"/>
    <cellStyle name="Normal 10 2 10 21 3" xfId="4467" xr:uid="{00000000-0005-0000-0000-000073110000}"/>
    <cellStyle name="Normal 10 2 10 21 3 10" xfId="4468" xr:uid="{00000000-0005-0000-0000-000074110000}"/>
    <cellStyle name="Normal 10 2 10 21 3 2" xfId="4469" xr:uid="{00000000-0005-0000-0000-000075110000}"/>
    <cellStyle name="Normal 10 2 10 21 3 3" xfId="4470" xr:uid="{00000000-0005-0000-0000-000076110000}"/>
    <cellStyle name="Normal 10 2 10 21 3 4" xfId="4471" xr:uid="{00000000-0005-0000-0000-000077110000}"/>
    <cellStyle name="Normal 10 2 10 21 3 5" xfId="4472" xr:uid="{00000000-0005-0000-0000-000078110000}"/>
    <cellStyle name="Normal 10 2 10 21 3 6" xfId="4473" xr:uid="{00000000-0005-0000-0000-000079110000}"/>
    <cellStyle name="Normal 10 2 10 21 3 7" xfId="4474" xr:uid="{00000000-0005-0000-0000-00007A110000}"/>
    <cellStyle name="Normal 10 2 10 21 3 8" xfId="4475" xr:uid="{00000000-0005-0000-0000-00007B110000}"/>
    <cellStyle name="Normal 10 2 10 21 3 9" xfId="4476" xr:uid="{00000000-0005-0000-0000-00007C110000}"/>
    <cellStyle name="Normal 10 2 10 21 4" xfId="4477" xr:uid="{00000000-0005-0000-0000-00007D110000}"/>
    <cellStyle name="Normal 10 2 10 21 4 10" xfId="4478" xr:uid="{00000000-0005-0000-0000-00007E110000}"/>
    <cellStyle name="Normal 10 2 10 21 4 2" xfId="4479" xr:uid="{00000000-0005-0000-0000-00007F110000}"/>
    <cellStyle name="Normal 10 2 10 21 4 3" xfId="4480" xr:uid="{00000000-0005-0000-0000-000080110000}"/>
    <cellStyle name="Normal 10 2 10 21 4 4" xfId="4481" xr:uid="{00000000-0005-0000-0000-000081110000}"/>
    <cellStyle name="Normal 10 2 10 21 4 5" xfId="4482" xr:uid="{00000000-0005-0000-0000-000082110000}"/>
    <cellStyle name="Normal 10 2 10 21 4 6" xfId="4483" xr:uid="{00000000-0005-0000-0000-000083110000}"/>
    <cellStyle name="Normal 10 2 10 21 4 7" xfId="4484" xr:uid="{00000000-0005-0000-0000-000084110000}"/>
    <cellStyle name="Normal 10 2 10 21 4 8" xfId="4485" xr:uid="{00000000-0005-0000-0000-000085110000}"/>
    <cellStyle name="Normal 10 2 10 21 4 9" xfId="4486" xr:uid="{00000000-0005-0000-0000-000086110000}"/>
    <cellStyle name="Normal 10 2 10 21 5" xfId="4487" xr:uid="{00000000-0005-0000-0000-000087110000}"/>
    <cellStyle name="Normal 10 2 10 21 5 10" xfId="4488" xr:uid="{00000000-0005-0000-0000-000088110000}"/>
    <cellStyle name="Normal 10 2 10 21 5 2" xfId="4489" xr:uid="{00000000-0005-0000-0000-000089110000}"/>
    <cellStyle name="Normal 10 2 10 21 5 3" xfId="4490" xr:uid="{00000000-0005-0000-0000-00008A110000}"/>
    <cellStyle name="Normal 10 2 10 21 5 4" xfId="4491" xr:uid="{00000000-0005-0000-0000-00008B110000}"/>
    <cellStyle name="Normal 10 2 10 21 5 5" xfId="4492" xr:uid="{00000000-0005-0000-0000-00008C110000}"/>
    <cellStyle name="Normal 10 2 10 21 5 6" xfId="4493" xr:uid="{00000000-0005-0000-0000-00008D110000}"/>
    <cellStyle name="Normal 10 2 10 21 5 7" xfId="4494" xr:uid="{00000000-0005-0000-0000-00008E110000}"/>
    <cellStyle name="Normal 10 2 10 21 5 8" xfId="4495" xr:uid="{00000000-0005-0000-0000-00008F110000}"/>
    <cellStyle name="Normal 10 2 10 21 5 9" xfId="4496" xr:uid="{00000000-0005-0000-0000-000090110000}"/>
    <cellStyle name="Normal 10 2 10 21 6" xfId="4497" xr:uid="{00000000-0005-0000-0000-000091110000}"/>
    <cellStyle name="Normal 10 2 10 21 7" xfId="4498" xr:uid="{00000000-0005-0000-0000-000092110000}"/>
    <cellStyle name="Normal 10 2 10 21 8" xfId="4499" xr:uid="{00000000-0005-0000-0000-000093110000}"/>
    <cellStyle name="Normal 10 2 10 21 9" xfId="4500" xr:uid="{00000000-0005-0000-0000-000094110000}"/>
    <cellStyle name="Normal 10 2 10 22" xfId="4501" xr:uid="{00000000-0005-0000-0000-000095110000}"/>
    <cellStyle name="Normal 10 2 10 22 10" xfId="4502" xr:uid="{00000000-0005-0000-0000-000096110000}"/>
    <cellStyle name="Normal 10 2 10 22 11" xfId="4503" xr:uid="{00000000-0005-0000-0000-000097110000}"/>
    <cellStyle name="Normal 10 2 10 22 12" xfId="4504" xr:uid="{00000000-0005-0000-0000-000098110000}"/>
    <cellStyle name="Normal 10 2 10 22 13" xfId="4505" xr:uid="{00000000-0005-0000-0000-000099110000}"/>
    <cellStyle name="Normal 10 2 10 22 14" xfId="4506" xr:uid="{00000000-0005-0000-0000-00009A110000}"/>
    <cellStyle name="Normal 10 2 10 22 2" xfId="4507" xr:uid="{00000000-0005-0000-0000-00009B110000}"/>
    <cellStyle name="Normal 10 2 10 22 2 10" xfId="4508" xr:uid="{00000000-0005-0000-0000-00009C110000}"/>
    <cellStyle name="Normal 10 2 10 22 2 2" xfId="4509" xr:uid="{00000000-0005-0000-0000-00009D110000}"/>
    <cellStyle name="Normal 10 2 10 22 2 3" xfId="4510" xr:uid="{00000000-0005-0000-0000-00009E110000}"/>
    <cellStyle name="Normal 10 2 10 22 2 4" xfId="4511" xr:uid="{00000000-0005-0000-0000-00009F110000}"/>
    <cellStyle name="Normal 10 2 10 22 2 5" xfId="4512" xr:uid="{00000000-0005-0000-0000-0000A0110000}"/>
    <cellStyle name="Normal 10 2 10 22 2 6" xfId="4513" xr:uid="{00000000-0005-0000-0000-0000A1110000}"/>
    <cellStyle name="Normal 10 2 10 22 2 7" xfId="4514" xr:uid="{00000000-0005-0000-0000-0000A2110000}"/>
    <cellStyle name="Normal 10 2 10 22 2 8" xfId="4515" xr:uid="{00000000-0005-0000-0000-0000A3110000}"/>
    <cellStyle name="Normal 10 2 10 22 2 9" xfId="4516" xr:uid="{00000000-0005-0000-0000-0000A4110000}"/>
    <cellStyle name="Normal 10 2 10 22 3" xfId="4517" xr:uid="{00000000-0005-0000-0000-0000A5110000}"/>
    <cellStyle name="Normal 10 2 10 22 3 10" xfId="4518" xr:uid="{00000000-0005-0000-0000-0000A6110000}"/>
    <cellStyle name="Normal 10 2 10 22 3 2" xfId="4519" xr:uid="{00000000-0005-0000-0000-0000A7110000}"/>
    <cellStyle name="Normal 10 2 10 22 3 3" xfId="4520" xr:uid="{00000000-0005-0000-0000-0000A8110000}"/>
    <cellStyle name="Normal 10 2 10 22 3 4" xfId="4521" xr:uid="{00000000-0005-0000-0000-0000A9110000}"/>
    <cellStyle name="Normal 10 2 10 22 3 5" xfId="4522" xr:uid="{00000000-0005-0000-0000-0000AA110000}"/>
    <cellStyle name="Normal 10 2 10 22 3 6" xfId="4523" xr:uid="{00000000-0005-0000-0000-0000AB110000}"/>
    <cellStyle name="Normal 10 2 10 22 3 7" xfId="4524" xr:uid="{00000000-0005-0000-0000-0000AC110000}"/>
    <cellStyle name="Normal 10 2 10 22 3 8" xfId="4525" xr:uid="{00000000-0005-0000-0000-0000AD110000}"/>
    <cellStyle name="Normal 10 2 10 22 3 9" xfId="4526" xr:uid="{00000000-0005-0000-0000-0000AE110000}"/>
    <cellStyle name="Normal 10 2 10 22 4" xfId="4527" xr:uid="{00000000-0005-0000-0000-0000AF110000}"/>
    <cellStyle name="Normal 10 2 10 22 4 10" xfId="4528" xr:uid="{00000000-0005-0000-0000-0000B0110000}"/>
    <cellStyle name="Normal 10 2 10 22 4 2" xfId="4529" xr:uid="{00000000-0005-0000-0000-0000B1110000}"/>
    <cellStyle name="Normal 10 2 10 22 4 3" xfId="4530" xr:uid="{00000000-0005-0000-0000-0000B2110000}"/>
    <cellStyle name="Normal 10 2 10 22 4 4" xfId="4531" xr:uid="{00000000-0005-0000-0000-0000B3110000}"/>
    <cellStyle name="Normal 10 2 10 22 4 5" xfId="4532" xr:uid="{00000000-0005-0000-0000-0000B4110000}"/>
    <cellStyle name="Normal 10 2 10 22 4 6" xfId="4533" xr:uid="{00000000-0005-0000-0000-0000B5110000}"/>
    <cellStyle name="Normal 10 2 10 22 4 7" xfId="4534" xr:uid="{00000000-0005-0000-0000-0000B6110000}"/>
    <cellStyle name="Normal 10 2 10 22 4 8" xfId="4535" xr:uid="{00000000-0005-0000-0000-0000B7110000}"/>
    <cellStyle name="Normal 10 2 10 22 4 9" xfId="4536" xr:uid="{00000000-0005-0000-0000-0000B8110000}"/>
    <cellStyle name="Normal 10 2 10 22 5" xfId="4537" xr:uid="{00000000-0005-0000-0000-0000B9110000}"/>
    <cellStyle name="Normal 10 2 10 22 5 10" xfId="4538" xr:uid="{00000000-0005-0000-0000-0000BA110000}"/>
    <cellStyle name="Normal 10 2 10 22 5 2" xfId="4539" xr:uid="{00000000-0005-0000-0000-0000BB110000}"/>
    <cellStyle name="Normal 10 2 10 22 5 3" xfId="4540" xr:uid="{00000000-0005-0000-0000-0000BC110000}"/>
    <cellStyle name="Normal 10 2 10 22 5 4" xfId="4541" xr:uid="{00000000-0005-0000-0000-0000BD110000}"/>
    <cellStyle name="Normal 10 2 10 22 5 5" xfId="4542" xr:uid="{00000000-0005-0000-0000-0000BE110000}"/>
    <cellStyle name="Normal 10 2 10 22 5 6" xfId="4543" xr:uid="{00000000-0005-0000-0000-0000BF110000}"/>
    <cellStyle name="Normal 10 2 10 22 5 7" xfId="4544" xr:uid="{00000000-0005-0000-0000-0000C0110000}"/>
    <cellStyle name="Normal 10 2 10 22 5 8" xfId="4545" xr:uid="{00000000-0005-0000-0000-0000C1110000}"/>
    <cellStyle name="Normal 10 2 10 22 5 9" xfId="4546" xr:uid="{00000000-0005-0000-0000-0000C2110000}"/>
    <cellStyle name="Normal 10 2 10 22 6" xfId="4547" xr:uid="{00000000-0005-0000-0000-0000C3110000}"/>
    <cellStyle name="Normal 10 2 10 22 7" xfId="4548" xr:uid="{00000000-0005-0000-0000-0000C4110000}"/>
    <cellStyle name="Normal 10 2 10 22 8" xfId="4549" xr:uid="{00000000-0005-0000-0000-0000C5110000}"/>
    <cellStyle name="Normal 10 2 10 22 9" xfId="4550" xr:uid="{00000000-0005-0000-0000-0000C6110000}"/>
    <cellStyle name="Normal 10 2 10 23" xfId="4551" xr:uid="{00000000-0005-0000-0000-0000C7110000}"/>
    <cellStyle name="Normal 10 2 10 23 10" xfId="4552" xr:uid="{00000000-0005-0000-0000-0000C8110000}"/>
    <cellStyle name="Normal 10 2 10 23 11" xfId="4553" xr:uid="{00000000-0005-0000-0000-0000C9110000}"/>
    <cellStyle name="Normal 10 2 10 23 12" xfId="4554" xr:uid="{00000000-0005-0000-0000-0000CA110000}"/>
    <cellStyle name="Normal 10 2 10 23 13" xfId="4555" xr:uid="{00000000-0005-0000-0000-0000CB110000}"/>
    <cellStyle name="Normal 10 2 10 23 14" xfId="4556" xr:uid="{00000000-0005-0000-0000-0000CC110000}"/>
    <cellStyle name="Normal 10 2 10 23 2" xfId="4557" xr:uid="{00000000-0005-0000-0000-0000CD110000}"/>
    <cellStyle name="Normal 10 2 10 23 2 10" xfId="4558" xr:uid="{00000000-0005-0000-0000-0000CE110000}"/>
    <cellStyle name="Normal 10 2 10 23 2 2" xfId="4559" xr:uid="{00000000-0005-0000-0000-0000CF110000}"/>
    <cellStyle name="Normal 10 2 10 23 2 3" xfId="4560" xr:uid="{00000000-0005-0000-0000-0000D0110000}"/>
    <cellStyle name="Normal 10 2 10 23 2 4" xfId="4561" xr:uid="{00000000-0005-0000-0000-0000D1110000}"/>
    <cellStyle name="Normal 10 2 10 23 2 5" xfId="4562" xr:uid="{00000000-0005-0000-0000-0000D2110000}"/>
    <cellStyle name="Normal 10 2 10 23 2 6" xfId="4563" xr:uid="{00000000-0005-0000-0000-0000D3110000}"/>
    <cellStyle name="Normal 10 2 10 23 2 7" xfId="4564" xr:uid="{00000000-0005-0000-0000-0000D4110000}"/>
    <cellStyle name="Normal 10 2 10 23 2 8" xfId="4565" xr:uid="{00000000-0005-0000-0000-0000D5110000}"/>
    <cellStyle name="Normal 10 2 10 23 2 9" xfId="4566" xr:uid="{00000000-0005-0000-0000-0000D6110000}"/>
    <cellStyle name="Normal 10 2 10 23 3" xfId="4567" xr:uid="{00000000-0005-0000-0000-0000D7110000}"/>
    <cellStyle name="Normal 10 2 10 23 3 10" xfId="4568" xr:uid="{00000000-0005-0000-0000-0000D8110000}"/>
    <cellStyle name="Normal 10 2 10 23 3 2" xfId="4569" xr:uid="{00000000-0005-0000-0000-0000D9110000}"/>
    <cellStyle name="Normal 10 2 10 23 3 3" xfId="4570" xr:uid="{00000000-0005-0000-0000-0000DA110000}"/>
    <cellStyle name="Normal 10 2 10 23 3 4" xfId="4571" xr:uid="{00000000-0005-0000-0000-0000DB110000}"/>
    <cellStyle name="Normal 10 2 10 23 3 5" xfId="4572" xr:uid="{00000000-0005-0000-0000-0000DC110000}"/>
    <cellStyle name="Normal 10 2 10 23 3 6" xfId="4573" xr:uid="{00000000-0005-0000-0000-0000DD110000}"/>
    <cellStyle name="Normal 10 2 10 23 3 7" xfId="4574" xr:uid="{00000000-0005-0000-0000-0000DE110000}"/>
    <cellStyle name="Normal 10 2 10 23 3 8" xfId="4575" xr:uid="{00000000-0005-0000-0000-0000DF110000}"/>
    <cellStyle name="Normal 10 2 10 23 3 9" xfId="4576" xr:uid="{00000000-0005-0000-0000-0000E0110000}"/>
    <cellStyle name="Normal 10 2 10 23 4" xfId="4577" xr:uid="{00000000-0005-0000-0000-0000E1110000}"/>
    <cellStyle name="Normal 10 2 10 23 4 10" xfId="4578" xr:uid="{00000000-0005-0000-0000-0000E2110000}"/>
    <cellStyle name="Normal 10 2 10 23 4 2" xfId="4579" xr:uid="{00000000-0005-0000-0000-0000E3110000}"/>
    <cellStyle name="Normal 10 2 10 23 4 3" xfId="4580" xr:uid="{00000000-0005-0000-0000-0000E4110000}"/>
    <cellStyle name="Normal 10 2 10 23 4 4" xfId="4581" xr:uid="{00000000-0005-0000-0000-0000E5110000}"/>
    <cellStyle name="Normal 10 2 10 23 4 5" xfId="4582" xr:uid="{00000000-0005-0000-0000-0000E6110000}"/>
    <cellStyle name="Normal 10 2 10 23 4 6" xfId="4583" xr:uid="{00000000-0005-0000-0000-0000E7110000}"/>
    <cellStyle name="Normal 10 2 10 23 4 7" xfId="4584" xr:uid="{00000000-0005-0000-0000-0000E8110000}"/>
    <cellStyle name="Normal 10 2 10 23 4 8" xfId="4585" xr:uid="{00000000-0005-0000-0000-0000E9110000}"/>
    <cellStyle name="Normal 10 2 10 23 4 9" xfId="4586" xr:uid="{00000000-0005-0000-0000-0000EA110000}"/>
    <cellStyle name="Normal 10 2 10 23 5" xfId="4587" xr:uid="{00000000-0005-0000-0000-0000EB110000}"/>
    <cellStyle name="Normal 10 2 10 23 5 10" xfId="4588" xr:uid="{00000000-0005-0000-0000-0000EC110000}"/>
    <cellStyle name="Normal 10 2 10 23 5 2" xfId="4589" xr:uid="{00000000-0005-0000-0000-0000ED110000}"/>
    <cellStyle name="Normal 10 2 10 23 5 3" xfId="4590" xr:uid="{00000000-0005-0000-0000-0000EE110000}"/>
    <cellStyle name="Normal 10 2 10 23 5 4" xfId="4591" xr:uid="{00000000-0005-0000-0000-0000EF110000}"/>
    <cellStyle name="Normal 10 2 10 23 5 5" xfId="4592" xr:uid="{00000000-0005-0000-0000-0000F0110000}"/>
    <cellStyle name="Normal 10 2 10 23 5 6" xfId="4593" xr:uid="{00000000-0005-0000-0000-0000F1110000}"/>
    <cellStyle name="Normal 10 2 10 23 5 7" xfId="4594" xr:uid="{00000000-0005-0000-0000-0000F2110000}"/>
    <cellStyle name="Normal 10 2 10 23 5 8" xfId="4595" xr:uid="{00000000-0005-0000-0000-0000F3110000}"/>
    <cellStyle name="Normal 10 2 10 23 5 9" xfId="4596" xr:uid="{00000000-0005-0000-0000-0000F4110000}"/>
    <cellStyle name="Normal 10 2 10 23 6" xfId="4597" xr:uid="{00000000-0005-0000-0000-0000F5110000}"/>
    <cellStyle name="Normal 10 2 10 23 7" xfId="4598" xr:uid="{00000000-0005-0000-0000-0000F6110000}"/>
    <cellStyle name="Normal 10 2 10 23 8" xfId="4599" xr:uid="{00000000-0005-0000-0000-0000F7110000}"/>
    <cellStyle name="Normal 10 2 10 23 9" xfId="4600" xr:uid="{00000000-0005-0000-0000-0000F8110000}"/>
    <cellStyle name="Normal 10 2 10 24" xfId="4601" xr:uid="{00000000-0005-0000-0000-0000F9110000}"/>
    <cellStyle name="Normal 10 2 10 24 10" xfId="4602" xr:uid="{00000000-0005-0000-0000-0000FA110000}"/>
    <cellStyle name="Normal 10 2 10 24 11" xfId="4603" xr:uid="{00000000-0005-0000-0000-0000FB110000}"/>
    <cellStyle name="Normal 10 2 10 24 12" xfId="4604" xr:uid="{00000000-0005-0000-0000-0000FC110000}"/>
    <cellStyle name="Normal 10 2 10 24 13" xfId="4605" xr:uid="{00000000-0005-0000-0000-0000FD110000}"/>
    <cellStyle name="Normal 10 2 10 24 14" xfId="4606" xr:uid="{00000000-0005-0000-0000-0000FE110000}"/>
    <cellStyle name="Normal 10 2 10 24 2" xfId="4607" xr:uid="{00000000-0005-0000-0000-0000FF110000}"/>
    <cellStyle name="Normal 10 2 10 24 2 10" xfId="4608" xr:uid="{00000000-0005-0000-0000-000000120000}"/>
    <cellStyle name="Normal 10 2 10 24 2 2" xfId="4609" xr:uid="{00000000-0005-0000-0000-000001120000}"/>
    <cellStyle name="Normal 10 2 10 24 2 3" xfId="4610" xr:uid="{00000000-0005-0000-0000-000002120000}"/>
    <cellStyle name="Normal 10 2 10 24 2 4" xfId="4611" xr:uid="{00000000-0005-0000-0000-000003120000}"/>
    <cellStyle name="Normal 10 2 10 24 2 5" xfId="4612" xr:uid="{00000000-0005-0000-0000-000004120000}"/>
    <cellStyle name="Normal 10 2 10 24 2 6" xfId="4613" xr:uid="{00000000-0005-0000-0000-000005120000}"/>
    <cellStyle name="Normal 10 2 10 24 2 7" xfId="4614" xr:uid="{00000000-0005-0000-0000-000006120000}"/>
    <cellStyle name="Normal 10 2 10 24 2 8" xfId="4615" xr:uid="{00000000-0005-0000-0000-000007120000}"/>
    <cellStyle name="Normal 10 2 10 24 2 9" xfId="4616" xr:uid="{00000000-0005-0000-0000-000008120000}"/>
    <cellStyle name="Normal 10 2 10 24 3" xfId="4617" xr:uid="{00000000-0005-0000-0000-000009120000}"/>
    <cellStyle name="Normal 10 2 10 24 3 10" xfId="4618" xr:uid="{00000000-0005-0000-0000-00000A120000}"/>
    <cellStyle name="Normal 10 2 10 24 3 2" xfId="4619" xr:uid="{00000000-0005-0000-0000-00000B120000}"/>
    <cellStyle name="Normal 10 2 10 24 3 3" xfId="4620" xr:uid="{00000000-0005-0000-0000-00000C120000}"/>
    <cellStyle name="Normal 10 2 10 24 3 4" xfId="4621" xr:uid="{00000000-0005-0000-0000-00000D120000}"/>
    <cellStyle name="Normal 10 2 10 24 3 5" xfId="4622" xr:uid="{00000000-0005-0000-0000-00000E120000}"/>
    <cellStyle name="Normal 10 2 10 24 3 6" xfId="4623" xr:uid="{00000000-0005-0000-0000-00000F120000}"/>
    <cellStyle name="Normal 10 2 10 24 3 7" xfId="4624" xr:uid="{00000000-0005-0000-0000-000010120000}"/>
    <cellStyle name="Normal 10 2 10 24 3 8" xfId="4625" xr:uid="{00000000-0005-0000-0000-000011120000}"/>
    <cellStyle name="Normal 10 2 10 24 3 9" xfId="4626" xr:uid="{00000000-0005-0000-0000-000012120000}"/>
    <cellStyle name="Normal 10 2 10 24 4" xfId="4627" xr:uid="{00000000-0005-0000-0000-000013120000}"/>
    <cellStyle name="Normal 10 2 10 24 4 10" xfId="4628" xr:uid="{00000000-0005-0000-0000-000014120000}"/>
    <cellStyle name="Normal 10 2 10 24 4 2" xfId="4629" xr:uid="{00000000-0005-0000-0000-000015120000}"/>
    <cellStyle name="Normal 10 2 10 24 4 3" xfId="4630" xr:uid="{00000000-0005-0000-0000-000016120000}"/>
    <cellStyle name="Normal 10 2 10 24 4 4" xfId="4631" xr:uid="{00000000-0005-0000-0000-000017120000}"/>
    <cellStyle name="Normal 10 2 10 24 4 5" xfId="4632" xr:uid="{00000000-0005-0000-0000-000018120000}"/>
    <cellStyle name="Normal 10 2 10 24 4 6" xfId="4633" xr:uid="{00000000-0005-0000-0000-000019120000}"/>
    <cellStyle name="Normal 10 2 10 24 4 7" xfId="4634" xr:uid="{00000000-0005-0000-0000-00001A120000}"/>
    <cellStyle name="Normal 10 2 10 24 4 8" xfId="4635" xr:uid="{00000000-0005-0000-0000-00001B120000}"/>
    <cellStyle name="Normal 10 2 10 24 4 9" xfId="4636" xr:uid="{00000000-0005-0000-0000-00001C120000}"/>
    <cellStyle name="Normal 10 2 10 24 5" xfId="4637" xr:uid="{00000000-0005-0000-0000-00001D120000}"/>
    <cellStyle name="Normal 10 2 10 24 5 10" xfId="4638" xr:uid="{00000000-0005-0000-0000-00001E120000}"/>
    <cellStyle name="Normal 10 2 10 24 5 2" xfId="4639" xr:uid="{00000000-0005-0000-0000-00001F120000}"/>
    <cellStyle name="Normal 10 2 10 24 5 3" xfId="4640" xr:uid="{00000000-0005-0000-0000-000020120000}"/>
    <cellStyle name="Normal 10 2 10 24 5 4" xfId="4641" xr:uid="{00000000-0005-0000-0000-000021120000}"/>
    <cellStyle name="Normal 10 2 10 24 5 5" xfId="4642" xr:uid="{00000000-0005-0000-0000-000022120000}"/>
    <cellStyle name="Normal 10 2 10 24 5 6" xfId="4643" xr:uid="{00000000-0005-0000-0000-000023120000}"/>
    <cellStyle name="Normal 10 2 10 24 5 7" xfId="4644" xr:uid="{00000000-0005-0000-0000-000024120000}"/>
    <cellStyle name="Normal 10 2 10 24 5 8" xfId="4645" xr:uid="{00000000-0005-0000-0000-000025120000}"/>
    <cellStyle name="Normal 10 2 10 24 5 9" xfId="4646" xr:uid="{00000000-0005-0000-0000-000026120000}"/>
    <cellStyle name="Normal 10 2 10 24 6" xfId="4647" xr:uid="{00000000-0005-0000-0000-000027120000}"/>
    <cellStyle name="Normal 10 2 10 24 7" xfId="4648" xr:uid="{00000000-0005-0000-0000-000028120000}"/>
    <cellStyle name="Normal 10 2 10 24 8" xfId="4649" xr:uid="{00000000-0005-0000-0000-000029120000}"/>
    <cellStyle name="Normal 10 2 10 24 9" xfId="4650" xr:uid="{00000000-0005-0000-0000-00002A120000}"/>
    <cellStyle name="Normal 10 2 10 25" xfId="4651" xr:uid="{00000000-0005-0000-0000-00002B120000}"/>
    <cellStyle name="Normal 10 2 10 25 10" xfId="4652" xr:uid="{00000000-0005-0000-0000-00002C120000}"/>
    <cellStyle name="Normal 10 2 10 25 11" xfId="4653" xr:uid="{00000000-0005-0000-0000-00002D120000}"/>
    <cellStyle name="Normal 10 2 10 25 12" xfId="4654" xr:uid="{00000000-0005-0000-0000-00002E120000}"/>
    <cellStyle name="Normal 10 2 10 25 13" xfId="4655" xr:uid="{00000000-0005-0000-0000-00002F120000}"/>
    <cellStyle name="Normal 10 2 10 25 14" xfId="4656" xr:uid="{00000000-0005-0000-0000-000030120000}"/>
    <cellStyle name="Normal 10 2 10 25 2" xfId="4657" xr:uid="{00000000-0005-0000-0000-000031120000}"/>
    <cellStyle name="Normal 10 2 10 25 2 10" xfId="4658" xr:uid="{00000000-0005-0000-0000-000032120000}"/>
    <cellStyle name="Normal 10 2 10 25 2 2" xfId="4659" xr:uid="{00000000-0005-0000-0000-000033120000}"/>
    <cellStyle name="Normal 10 2 10 25 2 3" xfId="4660" xr:uid="{00000000-0005-0000-0000-000034120000}"/>
    <cellStyle name="Normal 10 2 10 25 2 4" xfId="4661" xr:uid="{00000000-0005-0000-0000-000035120000}"/>
    <cellStyle name="Normal 10 2 10 25 2 5" xfId="4662" xr:uid="{00000000-0005-0000-0000-000036120000}"/>
    <cellStyle name="Normal 10 2 10 25 2 6" xfId="4663" xr:uid="{00000000-0005-0000-0000-000037120000}"/>
    <cellStyle name="Normal 10 2 10 25 2 7" xfId="4664" xr:uid="{00000000-0005-0000-0000-000038120000}"/>
    <cellStyle name="Normal 10 2 10 25 2 8" xfId="4665" xr:uid="{00000000-0005-0000-0000-000039120000}"/>
    <cellStyle name="Normal 10 2 10 25 2 9" xfId="4666" xr:uid="{00000000-0005-0000-0000-00003A120000}"/>
    <cellStyle name="Normal 10 2 10 25 3" xfId="4667" xr:uid="{00000000-0005-0000-0000-00003B120000}"/>
    <cellStyle name="Normal 10 2 10 25 3 10" xfId="4668" xr:uid="{00000000-0005-0000-0000-00003C120000}"/>
    <cellStyle name="Normal 10 2 10 25 3 2" xfId="4669" xr:uid="{00000000-0005-0000-0000-00003D120000}"/>
    <cellStyle name="Normal 10 2 10 25 3 3" xfId="4670" xr:uid="{00000000-0005-0000-0000-00003E120000}"/>
    <cellStyle name="Normal 10 2 10 25 3 4" xfId="4671" xr:uid="{00000000-0005-0000-0000-00003F120000}"/>
    <cellStyle name="Normal 10 2 10 25 3 5" xfId="4672" xr:uid="{00000000-0005-0000-0000-000040120000}"/>
    <cellStyle name="Normal 10 2 10 25 3 6" xfId="4673" xr:uid="{00000000-0005-0000-0000-000041120000}"/>
    <cellStyle name="Normal 10 2 10 25 3 7" xfId="4674" xr:uid="{00000000-0005-0000-0000-000042120000}"/>
    <cellStyle name="Normal 10 2 10 25 3 8" xfId="4675" xr:uid="{00000000-0005-0000-0000-000043120000}"/>
    <cellStyle name="Normal 10 2 10 25 3 9" xfId="4676" xr:uid="{00000000-0005-0000-0000-000044120000}"/>
    <cellStyle name="Normal 10 2 10 25 4" xfId="4677" xr:uid="{00000000-0005-0000-0000-000045120000}"/>
    <cellStyle name="Normal 10 2 10 25 4 10" xfId="4678" xr:uid="{00000000-0005-0000-0000-000046120000}"/>
    <cellStyle name="Normal 10 2 10 25 4 2" xfId="4679" xr:uid="{00000000-0005-0000-0000-000047120000}"/>
    <cellStyle name="Normal 10 2 10 25 4 3" xfId="4680" xr:uid="{00000000-0005-0000-0000-000048120000}"/>
    <cellStyle name="Normal 10 2 10 25 4 4" xfId="4681" xr:uid="{00000000-0005-0000-0000-000049120000}"/>
    <cellStyle name="Normal 10 2 10 25 4 5" xfId="4682" xr:uid="{00000000-0005-0000-0000-00004A120000}"/>
    <cellStyle name="Normal 10 2 10 25 4 6" xfId="4683" xr:uid="{00000000-0005-0000-0000-00004B120000}"/>
    <cellStyle name="Normal 10 2 10 25 4 7" xfId="4684" xr:uid="{00000000-0005-0000-0000-00004C120000}"/>
    <cellStyle name="Normal 10 2 10 25 4 8" xfId="4685" xr:uid="{00000000-0005-0000-0000-00004D120000}"/>
    <cellStyle name="Normal 10 2 10 25 4 9" xfId="4686" xr:uid="{00000000-0005-0000-0000-00004E120000}"/>
    <cellStyle name="Normal 10 2 10 25 5" xfId="4687" xr:uid="{00000000-0005-0000-0000-00004F120000}"/>
    <cellStyle name="Normal 10 2 10 25 5 10" xfId="4688" xr:uid="{00000000-0005-0000-0000-000050120000}"/>
    <cellStyle name="Normal 10 2 10 25 5 2" xfId="4689" xr:uid="{00000000-0005-0000-0000-000051120000}"/>
    <cellStyle name="Normal 10 2 10 25 5 3" xfId="4690" xr:uid="{00000000-0005-0000-0000-000052120000}"/>
    <cellStyle name="Normal 10 2 10 25 5 4" xfId="4691" xr:uid="{00000000-0005-0000-0000-000053120000}"/>
    <cellStyle name="Normal 10 2 10 25 5 5" xfId="4692" xr:uid="{00000000-0005-0000-0000-000054120000}"/>
    <cellStyle name="Normal 10 2 10 25 5 6" xfId="4693" xr:uid="{00000000-0005-0000-0000-000055120000}"/>
    <cellStyle name="Normal 10 2 10 25 5 7" xfId="4694" xr:uid="{00000000-0005-0000-0000-000056120000}"/>
    <cellStyle name="Normal 10 2 10 25 5 8" xfId="4695" xr:uid="{00000000-0005-0000-0000-000057120000}"/>
    <cellStyle name="Normal 10 2 10 25 5 9" xfId="4696" xr:uid="{00000000-0005-0000-0000-000058120000}"/>
    <cellStyle name="Normal 10 2 10 25 6" xfId="4697" xr:uid="{00000000-0005-0000-0000-000059120000}"/>
    <cellStyle name="Normal 10 2 10 25 7" xfId="4698" xr:uid="{00000000-0005-0000-0000-00005A120000}"/>
    <cellStyle name="Normal 10 2 10 25 8" xfId="4699" xr:uid="{00000000-0005-0000-0000-00005B120000}"/>
    <cellStyle name="Normal 10 2 10 25 9" xfId="4700" xr:uid="{00000000-0005-0000-0000-00005C120000}"/>
    <cellStyle name="Normal 10 2 10 26" xfId="4701" xr:uid="{00000000-0005-0000-0000-00005D120000}"/>
    <cellStyle name="Normal 10 2 10 26 10" xfId="4702" xr:uid="{00000000-0005-0000-0000-00005E120000}"/>
    <cellStyle name="Normal 10 2 10 26 11" xfId="4703" xr:uid="{00000000-0005-0000-0000-00005F120000}"/>
    <cellStyle name="Normal 10 2 10 26 12" xfId="4704" xr:uid="{00000000-0005-0000-0000-000060120000}"/>
    <cellStyle name="Normal 10 2 10 26 13" xfId="4705" xr:uid="{00000000-0005-0000-0000-000061120000}"/>
    <cellStyle name="Normal 10 2 10 26 14" xfId="4706" xr:uid="{00000000-0005-0000-0000-000062120000}"/>
    <cellStyle name="Normal 10 2 10 26 2" xfId="4707" xr:uid="{00000000-0005-0000-0000-000063120000}"/>
    <cellStyle name="Normal 10 2 10 26 2 10" xfId="4708" xr:uid="{00000000-0005-0000-0000-000064120000}"/>
    <cellStyle name="Normal 10 2 10 26 2 2" xfId="4709" xr:uid="{00000000-0005-0000-0000-000065120000}"/>
    <cellStyle name="Normal 10 2 10 26 2 3" xfId="4710" xr:uid="{00000000-0005-0000-0000-000066120000}"/>
    <cellStyle name="Normal 10 2 10 26 2 4" xfId="4711" xr:uid="{00000000-0005-0000-0000-000067120000}"/>
    <cellStyle name="Normal 10 2 10 26 2 5" xfId="4712" xr:uid="{00000000-0005-0000-0000-000068120000}"/>
    <cellStyle name="Normal 10 2 10 26 2 6" xfId="4713" xr:uid="{00000000-0005-0000-0000-000069120000}"/>
    <cellStyle name="Normal 10 2 10 26 2 7" xfId="4714" xr:uid="{00000000-0005-0000-0000-00006A120000}"/>
    <cellStyle name="Normal 10 2 10 26 2 8" xfId="4715" xr:uid="{00000000-0005-0000-0000-00006B120000}"/>
    <cellStyle name="Normal 10 2 10 26 2 9" xfId="4716" xr:uid="{00000000-0005-0000-0000-00006C120000}"/>
    <cellStyle name="Normal 10 2 10 26 3" xfId="4717" xr:uid="{00000000-0005-0000-0000-00006D120000}"/>
    <cellStyle name="Normal 10 2 10 26 3 10" xfId="4718" xr:uid="{00000000-0005-0000-0000-00006E120000}"/>
    <cellStyle name="Normal 10 2 10 26 3 2" xfId="4719" xr:uid="{00000000-0005-0000-0000-00006F120000}"/>
    <cellStyle name="Normal 10 2 10 26 3 3" xfId="4720" xr:uid="{00000000-0005-0000-0000-000070120000}"/>
    <cellStyle name="Normal 10 2 10 26 3 4" xfId="4721" xr:uid="{00000000-0005-0000-0000-000071120000}"/>
    <cellStyle name="Normal 10 2 10 26 3 5" xfId="4722" xr:uid="{00000000-0005-0000-0000-000072120000}"/>
    <cellStyle name="Normal 10 2 10 26 3 6" xfId="4723" xr:uid="{00000000-0005-0000-0000-000073120000}"/>
    <cellStyle name="Normal 10 2 10 26 3 7" xfId="4724" xr:uid="{00000000-0005-0000-0000-000074120000}"/>
    <cellStyle name="Normal 10 2 10 26 3 8" xfId="4725" xr:uid="{00000000-0005-0000-0000-000075120000}"/>
    <cellStyle name="Normal 10 2 10 26 3 9" xfId="4726" xr:uid="{00000000-0005-0000-0000-000076120000}"/>
    <cellStyle name="Normal 10 2 10 26 4" xfId="4727" xr:uid="{00000000-0005-0000-0000-000077120000}"/>
    <cellStyle name="Normal 10 2 10 26 4 10" xfId="4728" xr:uid="{00000000-0005-0000-0000-000078120000}"/>
    <cellStyle name="Normal 10 2 10 26 4 2" xfId="4729" xr:uid="{00000000-0005-0000-0000-000079120000}"/>
    <cellStyle name="Normal 10 2 10 26 4 3" xfId="4730" xr:uid="{00000000-0005-0000-0000-00007A120000}"/>
    <cellStyle name="Normal 10 2 10 26 4 4" xfId="4731" xr:uid="{00000000-0005-0000-0000-00007B120000}"/>
    <cellStyle name="Normal 10 2 10 26 4 5" xfId="4732" xr:uid="{00000000-0005-0000-0000-00007C120000}"/>
    <cellStyle name="Normal 10 2 10 26 4 6" xfId="4733" xr:uid="{00000000-0005-0000-0000-00007D120000}"/>
    <cellStyle name="Normal 10 2 10 26 4 7" xfId="4734" xr:uid="{00000000-0005-0000-0000-00007E120000}"/>
    <cellStyle name="Normal 10 2 10 26 4 8" xfId="4735" xr:uid="{00000000-0005-0000-0000-00007F120000}"/>
    <cellStyle name="Normal 10 2 10 26 4 9" xfId="4736" xr:uid="{00000000-0005-0000-0000-000080120000}"/>
    <cellStyle name="Normal 10 2 10 26 5" xfId="4737" xr:uid="{00000000-0005-0000-0000-000081120000}"/>
    <cellStyle name="Normal 10 2 10 26 5 10" xfId="4738" xr:uid="{00000000-0005-0000-0000-000082120000}"/>
    <cellStyle name="Normal 10 2 10 26 5 2" xfId="4739" xr:uid="{00000000-0005-0000-0000-000083120000}"/>
    <cellStyle name="Normal 10 2 10 26 5 3" xfId="4740" xr:uid="{00000000-0005-0000-0000-000084120000}"/>
    <cellStyle name="Normal 10 2 10 26 5 4" xfId="4741" xr:uid="{00000000-0005-0000-0000-000085120000}"/>
    <cellStyle name="Normal 10 2 10 26 5 5" xfId="4742" xr:uid="{00000000-0005-0000-0000-000086120000}"/>
    <cellStyle name="Normal 10 2 10 26 5 6" xfId="4743" xr:uid="{00000000-0005-0000-0000-000087120000}"/>
    <cellStyle name="Normal 10 2 10 26 5 7" xfId="4744" xr:uid="{00000000-0005-0000-0000-000088120000}"/>
    <cellStyle name="Normal 10 2 10 26 5 8" xfId="4745" xr:uid="{00000000-0005-0000-0000-000089120000}"/>
    <cellStyle name="Normal 10 2 10 26 5 9" xfId="4746" xr:uid="{00000000-0005-0000-0000-00008A120000}"/>
    <cellStyle name="Normal 10 2 10 26 6" xfId="4747" xr:uid="{00000000-0005-0000-0000-00008B120000}"/>
    <cellStyle name="Normal 10 2 10 26 7" xfId="4748" xr:uid="{00000000-0005-0000-0000-00008C120000}"/>
    <cellStyle name="Normal 10 2 10 26 8" xfId="4749" xr:uid="{00000000-0005-0000-0000-00008D120000}"/>
    <cellStyle name="Normal 10 2 10 26 9" xfId="4750" xr:uid="{00000000-0005-0000-0000-00008E120000}"/>
    <cellStyle name="Normal 10 2 10 27" xfId="4751" xr:uid="{00000000-0005-0000-0000-00008F120000}"/>
    <cellStyle name="Normal 10 2 10 27 10" xfId="4752" xr:uid="{00000000-0005-0000-0000-000090120000}"/>
    <cellStyle name="Normal 10 2 10 27 11" xfId="4753" xr:uid="{00000000-0005-0000-0000-000091120000}"/>
    <cellStyle name="Normal 10 2 10 27 12" xfId="4754" xr:uid="{00000000-0005-0000-0000-000092120000}"/>
    <cellStyle name="Normal 10 2 10 27 13" xfId="4755" xr:uid="{00000000-0005-0000-0000-000093120000}"/>
    <cellStyle name="Normal 10 2 10 27 14" xfId="4756" xr:uid="{00000000-0005-0000-0000-000094120000}"/>
    <cellStyle name="Normal 10 2 10 27 2" xfId="4757" xr:uid="{00000000-0005-0000-0000-000095120000}"/>
    <cellStyle name="Normal 10 2 10 27 2 10" xfId="4758" xr:uid="{00000000-0005-0000-0000-000096120000}"/>
    <cellStyle name="Normal 10 2 10 27 2 2" xfId="4759" xr:uid="{00000000-0005-0000-0000-000097120000}"/>
    <cellStyle name="Normal 10 2 10 27 2 3" xfId="4760" xr:uid="{00000000-0005-0000-0000-000098120000}"/>
    <cellStyle name="Normal 10 2 10 27 2 4" xfId="4761" xr:uid="{00000000-0005-0000-0000-000099120000}"/>
    <cellStyle name="Normal 10 2 10 27 2 5" xfId="4762" xr:uid="{00000000-0005-0000-0000-00009A120000}"/>
    <cellStyle name="Normal 10 2 10 27 2 6" xfId="4763" xr:uid="{00000000-0005-0000-0000-00009B120000}"/>
    <cellStyle name="Normal 10 2 10 27 2 7" xfId="4764" xr:uid="{00000000-0005-0000-0000-00009C120000}"/>
    <cellStyle name="Normal 10 2 10 27 2 8" xfId="4765" xr:uid="{00000000-0005-0000-0000-00009D120000}"/>
    <cellStyle name="Normal 10 2 10 27 2 9" xfId="4766" xr:uid="{00000000-0005-0000-0000-00009E120000}"/>
    <cellStyle name="Normal 10 2 10 27 3" xfId="4767" xr:uid="{00000000-0005-0000-0000-00009F120000}"/>
    <cellStyle name="Normal 10 2 10 27 3 10" xfId="4768" xr:uid="{00000000-0005-0000-0000-0000A0120000}"/>
    <cellStyle name="Normal 10 2 10 27 3 2" xfId="4769" xr:uid="{00000000-0005-0000-0000-0000A1120000}"/>
    <cellStyle name="Normal 10 2 10 27 3 3" xfId="4770" xr:uid="{00000000-0005-0000-0000-0000A2120000}"/>
    <cellStyle name="Normal 10 2 10 27 3 4" xfId="4771" xr:uid="{00000000-0005-0000-0000-0000A3120000}"/>
    <cellStyle name="Normal 10 2 10 27 3 5" xfId="4772" xr:uid="{00000000-0005-0000-0000-0000A4120000}"/>
    <cellStyle name="Normal 10 2 10 27 3 6" xfId="4773" xr:uid="{00000000-0005-0000-0000-0000A5120000}"/>
    <cellStyle name="Normal 10 2 10 27 3 7" xfId="4774" xr:uid="{00000000-0005-0000-0000-0000A6120000}"/>
    <cellStyle name="Normal 10 2 10 27 3 8" xfId="4775" xr:uid="{00000000-0005-0000-0000-0000A7120000}"/>
    <cellStyle name="Normal 10 2 10 27 3 9" xfId="4776" xr:uid="{00000000-0005-0000-0000-0000A8120000}"/>
    <cellStyle name="Normal 10 2 10 27 4" xfId="4777" xr:uid="{00000000-0005-0000-0000-0000A9120000}"/>
    <cellStyle name="Normal 10 2 10 27 4 10" xfId="4778" xr:uid="{00000000-0005-0000-0000-0000AA120000}"/>
    <cellStyle name="Normal 10 2 10 27 4 2" xfId="4779" xr:uid="{00000000-0005-0000-0000-0000AB120000}"/>
    <cellStyle name="Normal 10 2 10 27 4 3" xfId="4780" xr:uid="{00000000-0005-0000-0000-0000AC120000}"/>
    <cellStyle name="Normal 10 2 10 27 4 4" xfId="4781" xr:uid="{00000000-0005-0000-0000-0000AD120000}"/>
    <cellStyle name="Normal 10 2 10 27 4 5" xfId="4782" xr:uid="{00000000-0005-0000-0000-0000AE120000}"/>
    <cellStyle name="Normal 10 2 10 27 4 6" xfId="4783" xr:uid="{00000000-0005-0000-0000-0000AF120000}"/>
    <cellStyle name="Normal 10 2 10 27 4 7" xfId="4784" xr:uid="{00000000-0005-0000-0000-0000B0120000}"/>
    <cellStyle name="Normal 10 2 10 27 4 8" xfId="4785" xr:uid="{00000000-0005-0000-0000-0000B1120000}"/>
    <cellStyle name="Normal 10 2 10 27 4 9" xfId="4786" xr:uid="{00000000-0005-0000-0000-0000B2120000}"/>
    <cellStyle name="Normal 10 2 10 27 5" xfId="4787" xr:uid="{00000000-0005-0000-0000-0000B3120000}"/>
    <cellStyle name="Normal 10 2 10 27 5 10" xfId="4788" xr:uid="{00000000-0005-0000-0000-0000B4120000}"/>
    <cellStyle name="Normal 10 2 10 27 5 2" xfId="4789" xr:uid="{00000000-0005-0000-0000-0000B5120000}"/>
    <cellStyle name="Normal 10 2 10 27 5 3" xfId="4790" xr:uid="{00000000-0005-0000-0000-0000B6120000}"/>
    <cellStyle name="Normal 10 2 10 27 5 4" xfId="4791" xr:uid="{00000000-0005-0000-0000-0000B7120000}"/>
    <cellStyle name="Normal 10 2 10 27 5 5" xfId="4792" xr:uid="{00000000-0005-0000-0000-0000B8120000}"/>
    <cellStyle name="Normal 10 2 10 27 5 6" xfId="4793" xr:uid="{00000000-0005-0000-0000-0000B9120000}"/>
    <cellStyle name="Normal 10 2 10 27 5 7" xfId="4794" xr:uid="{00000000-0005-0000-0000-0000BA120000}"/>
    <cellStyle name="Normal 10 2 10 27 5 8" xfId="4795" xr:uid="{00000000-0005-0000-0000-0000BB120000}"/>
    <cellStyle name="Normal 10 2 10 27 5 9" xfId="4796" xr:uid="{00000000-0005-0000-0000-0000BC120000}"/>
    <cellStyle name="Normal 10 2 10 27 6" xfId="4797" xr:uid="{00000000-0005-0000-0000-0000BD120000}"/>
    <cellStyle name="Normal 10 2 10 27 7" xfId="4798" xr:uid="{00000000-0005-0000-0000-0000BE120000}"/>
    <cellStyle name="Normal 10 2 10 27 8" xfId="4799" xr:uid="{00000000-0005-0000-0000-0000BF120000}"/>
    <cellStyle name="Normal 10 2 10 27 9" xfId="4800" xr:uid="{00000000-0005-0000-0000-0000C0120000}"/>
    <cellStyle name="Normal 10 2 10 28" xfId="4801" xr:uid="{00000000-0005-0000-0000-0000C1120000}"/>
    <cellStyle name="Normal 10 2 10 28 10" xfId="4802" xr:uid="{00000000-0005-0000-0000-0000C2120000}"/>
    <cellStyle name="Normal 10 2 10 28 11" xfId="4803" xr:uid="{00000000-0005-0000-0000-0000C3120000}"/>
    <cellStyle name="Normal 10 2 10 28 12" xfId="4804" xr:uid="{00000000-0005-0000-0000-0000C4120000}"/>
    <cellStyle name="Normal 10 2 10 28 13" xfId="4805" xr:uid="{00000000-0005-0000-0000-0000C5120000}"/>
    <cellStyle name="Normal 10 2 10 28 14" xfId="4806" xr:uid="{00000000-0005-0000-0000-0000C6120000}"/>
    <cellStyle name="Normal 10 2 10 28 2" xfId="4807" xr:uid="{00000000-0005-0000-0000-0000C7120000}"/>
    <cellStyle name="Normal 10 2 10 28 2 10" xfId="4808" xr:uid="{00000000-0005-0000-0000-0000C8120000}"/>
    <cellStyle name="Normal 10 2 10 28 2 2" xfId="4809" xr:uid="{00000000-0005-0000-0000-0000C9120000}"/>
    <cellStyle name="Normal 10 2 10 28 2 3" xfId="4810" xr:uid="{00000000-0005-0000-0000-0000CA120000}"/>
    <cellStyle name="Normal 10 2 10 28 2 4" xfId="4811" xr:uid="{00000000-0005-0000-0000-0000CB120000}"/>
    <cellStyle name="Normal 10 2 10 28 2 5" xfId="4812" xr:uid="{00000000-0005-0000-0000-0000CC120000}"/>
    <cellStyle name="Normal 10 2 10 28 2 6" xfId="4813" xr:uid="{00000000-0005-0000-0000-0000CD120000}"/>
    <cellStyle name="Normal 10 2 10 28 2 7" xfId="4814" xr:uid="{00000000-0005-0000-0000-0000CE120000}"/>
    <cellStyle name="Normal 10 2 10 28 2 8" xfId="4815" xr:uid="{00000000-0005-0000-0000-0000CF120000}"/>
    <cellStyle name="Normal 10 2 10 28 2 9" xfId="4816" xr:uid="{00000000-0005-0000-0000-0000D0120000}"/>
    <cellStyle name="Normal 10 2 10 28 3" xfId="4817" xr:uid="{00000000-0005-0000-0000-0000D1120000}"/>
    <cellStyle name="Normal 10 2 10 28 3 10" xfId="4818" xr:uid="{00000000-0005-0000-0000-0000D2120000}"/>
    <cellStyle name="Normal 10 2 10 28 3 2" xfId="4819" xr:uid="{00000000-0005-0000-0000-0000D3120000}"/>
    <cellStyle name="Normal 10 2 10 28 3 3" xfId="4820" xr:uid="{00000000-0005-0000-0000-0000D4120000}"/>
    <cellStyle name="Normal 10 2 10 28 3 4" xfId="4821" xr:uid="{00000000-0005-0000-0000-0000D5120000}"/>
    <cellStyle name="Normal 10 2 10 28 3 5" xfId="4822" xr:uid="{00000000-0005-0000-0000-0000D6120000}"/>
    <cellStyle name="Normal 10 2 10 28 3 6" xfId="4823" xr:uid="{00000000-0005-0000-0000-0000D7120000}"/>
    <cellStyle name="Normal 10 2 10 28 3 7" xfId="4824" xr:uid="{00000000-0005-0000-0000-0000D8120000}"/>
    <cellStyle name="Normal 10 2 10 28 3 8" xfId="4825" xr:uid="{00000000-0005-0000-0000-0000D9120000}"/>
    <cellStyle name="Normal 10 2 10 28 3 9" xfId="4826" xr:uid="{00000000-0005-0000-0000-0000DA120000}"/>
    <cellStyle name="Normal 10 2 10 28 4" xfId="4827" xr:uid="{00000000-0005-0000-0000-0000DB120000}"/>
    <cellStyle name="Normal 10 2 10 28 4 10" xfId="4828" xr:uid="{00000000-0005-0000-0000-0000DC120000}"/>
    <cellStyle name="Normal 10 2 10 28 4 2" xfId="4829" xr:uid="{00000000-0005-0000-0000-0000DD120000}"/>
    <cellStyle name="Normal 10 2 10 28 4 3" xfId="4830" xr:uid="{00000000-0005-0000-0000-0000DE120000}"/>
    <cellStyle name="Normal 10 2 10 28 4 4" xfId="4831" xr:uid="{00000000-0005-0000-0000-0000DF120000}"/>
    <cellStyle name="Normal 10 2 10 28 4 5" xfId="4832" xr:uid="{00000000-0005-0000-0000-0000E0120000}"/>
    <cellStyle name="Normal 10 2 10 28 4 6" xfId="4833" xr:uid="{00000000-0005-0000-0000-0000E1120000}"/>
    <cellStyle name="Normal 10 2 10 28 4 7" xfId="4834" xr:uid="{00000000-0005-0000-0000-0000E2120000}"/>
    <cellStyle name="Normal 10 2 10 28 4 8" xfId="4835" xr:uid="{00000000-0005-0000-0000-0000E3120000}"/>
    <cellStyle name="Normal 10 2 10 28 4 9" xfId="4836" xr:uid="{00000000-0005-0000-0000-0000E4120000}"/>
    <cellStyle name="Normal 10 2 10 28 5" xfId="4837" xr:uid="{00000000-0005-0000-0000-0000E5120000}"/>
    <cellStyle name="Normal 10 2 10 28 5 10" xfId="4838" xr:uid="{00000000-0005-0000-0000-0000E6120000}"/>
    <cellStyle name="Normal 10 2 10 28 5 2" xfId="4839" xr:uid="{00000000-0005-0000-0000-0000E7120000}"/>
    <cellStyle name="Normal 10 2 10 28 5 3" xfId="4840" xr:uid="{00000000-0005-0000-0000-0000E8120000}"/>
    <cellStyle name="Normal 10 2 10 28 5 4" xfId="4841" xr:uid="{00000000-0005-0000-0000-0000E9120000}"/>
    <cellStyle name="Normal 10 2 10 28 5 5" xfId="4842" xr:uid="{00000000-0005-0000-0000-0000EA120000}"/>
    <cellStyle name="Normal 10 2 10 28 5 6" xfId="4843" xr:uid="{00000000-0005-0000-0000-0000EB120000}"/>
    <cellStyle name="Normal 10 2 10 28 5 7" xfId="4844" xr:uid="{00000000-0005-0000-0000-0000EC120000}"/>
    <cellStyle name="Normal 10 2 10 28 5 8" xfId="4845" xr:uid="{00000000-0005-0000-0000-0000ED120000}"/>
    <cellStyle name="Normal 10 2 10 28 5 9" xfId="4846" xr:uid="{00000000-0005-0000-0000-0000EE120000}"/>
    <cellStyle name="Normal 10 2 10 28 6" xfId="4847" xr:uid="{00000000-0005-0000-0000-0000EF120000}"/>
    <cellStyle name="Normal 10 2 10 28 7" xfId="4848" xr:uid="{00000000-0005-0000-0000-0000F0120000}"/>
    <cellStyle name="Normal 10 2 10 28 8" xfId="4849" xr:uid="{00000000-0005-0000-0000-0000F1120000}"/>
    <cellStyle name="Normal 10 2 10 28 9" xfId="4850" xr:uid="{00000000-0005-0000-0000-0000F2120000}"/>
    <cellStyle name="Normal 10 2 10 29" xfId="4851" xr:uid="{00000000-0005-0000-0000-0000F3120000}"/>
    <cellStyle name="Normal 10 2 10 29 10" xfId="4852" xr:uid="{00000000-0005-0000-0000-0000F4120000}"/>
    <cellStyle name="Normal 10 2 10 29 11" xfId="4853" xr:uid="{00000000-0005-0000-0000-0000F5120000}"/>
    <cellStyle name="Normal 10 2 10 29 12" xfId="4854" xr:uid="{00000000-0005-0000-0000-0000F6120000}"/>
    <cellStyle name="Normal 10 2 10 29 13" xfId="4855" xr:uid="{00000000-0005-0000-0000-0000F7120000}"/>
    <cellStyle name="Normal 10 2 10 29 14" xfId="4856" xr:uid="{00000000-0005-0000-0000-0000F8120000}"/>
    <cellStyle name="Normal 10 2 10 29 2" xfId="4857" xr:uid="{00000000-0005-0000-0000-0000F9120000}"/>
    <cellStyle name="Normal 10 2 10 29 2 10" xfId="4858" xr:uid="{00000000-0005-0000-0000-0000FA120000}"/>
    <cellStyle name="Normal 10 2 10 29 2 2" xfId="4859" xr:uid="{00000000-0005-0000-0000-0000FB120000}"/>
    <cellStyle name="Normal 10 2 10 29 2 3" xfId="4860" xr:uid="{00000000-0005-0000-0000-0000FC120000}"/>
    <cellStyle name="Normal 10 2 10 29 2 4" xfId="4861" xr:uid="{00000000-0005-0000-0000-0000FD120000}"/>
    <cellStyle name="Normal 10 2 10 29 2 5" xfId="4862" xr:uid="{00000000-0005-0000-0000-0000FE120000}"/>
    <cellStyle name="Normal 10 2 10 29 2 6" xfId="4863" xr:uid="{00000000-0005-0000-0000-0000FF120000}"/>
    <cellStyle name="Normal 10 2 10 29 2 7" xfId="4864" xr:uid="{00000000-0005-0000-0000-000000130000}"/>
    <cellStyle name="Normal 10 2 10 29 2 8" xfId="4865" xr:uid="{00000000-0005-0000-0000-000001130000}"/>
    <cellStyle name="Normal 10 2 10 29 2 9" xfId="4866" xr:uid="{00000000-0005-0000-0000-000002130000}"/>
    <cellStyle name="Normal 10 2 10 29 3" xfId="4867" xr:uid="{00000000-0005-0000-0000-000003130000}"/>
    <cellStyle name="Normal 10 2 10 29 3 10" xfId="4868" xr:uid="{00000000-0005-0000-0000-000004130000}"/>
    <cellStyle name="Normal 10 2 10 29 3 2" xfId="4869" xr:uid="{00000000-0005-0000-0000-000005130000}"/>
    <cellStyle name="Normal 10 2 10 29 3 3" xfId="4870" xr:uid="{00000000-0005-0000-0000-000006130000}"/>
    <cellStyle name="Normal 10 2 10 29 3 4" xfId="4871" xr:uid="{00000000-0005-0000-0000-000007130000}"/>
    <cellStyle name="Normal 10 2 10 29 3 5" xfId="4872" xr:uid="{00000000-0005-0000-0000-000008130000}"/>
    <cellStyle name="Normal 10 2 10 29 3 6" xfId="4873" xr:uid="{00000000-0005-0000-0000-000009130000}"/>
    <cellStyle name="Normal 10 2 10 29 3 7" xfId="4874" xr:uid="{00000000-0005-0000-0000-00000A130000}"/>
    <cellStyle name="Normal 10 2 10 29 3 8" xfId="4875" xr:uid="{00000000-0005-0000-0000-00000B130000}"/>
    <cellStyle name="Normal 10 2 10 29 3 9" xfId="4876" xr:uid="{00000000-0005-0000-0000-00000C130000}"/>
    <cellStyle name="Normal 10 2 10 29 4" xfId="4877" xr:uid="{00000000-0005-0000-0000-00000D130000}"/>
    <cellStyle name="Normal 10 2 10 29 4 10" xfId="4878" xr:uid="{00000000-0005-0000-0000-00000E130000}"/>
    <cellStyle name="Normal 10 2 10 29 4 2" xfId="4879" xr:uid="{00000000-0005-0000-0000-00000F130000}"/>
    <cellStyle name="Normal 10 2 10 29 4 3" xfId="4880" xr:uid="{00000000-0005-0000-0000-000010130000}"/>
    <cellStyle name="Normal 10 2 10 29 4 4" xfId="4881" xr:uid="{00000000-0005-0000-0000-000011130000}"/>
    <cellStyle name="Normal 10 2 10 29 4 5" xfId="4882" xr:uid="{00000000-0005-0000-0000-000012130000}"/>
    <cellStyle name="Normal 10 2 10 29 4 6" xfId="4883" xr:uid="{00000000-0005-0000-0000-000013130000}"/>
    <cellStyle name="Normal 10 2 10 29 4 7" xfId="4884" xr:uid="{00000000-0005-0000-0000-000014130000}"/>
    <cellStyle name="Normal 10 2 10 29 4 8" xfId="4885" xr:uid="{00000000-0005-0000-0000-000015130000}"/>
    <cellStyle name="Normal 10 2 10 29 4 9" xfId="4886" xr:uid="{00000000-0005-0000-0000-000016130000}"/>
    <cellStyle name="Normal 10 2 10 29 5" xfId="4887" xr:uid="{00000000-0005-0000-0000-000017130000}"/>
    <cellStyle name="Normal 10 2 10 29 5 10" xfId="4888" xr:uid="{00000000-0005-0000-0000-000018130000}"/>
    <cellStyle name="Normal 10 2 10 29 5 2" xfId="4889" xr:uid="{00000000-0005-0000-0000-000019130000}"/>
    <cellStyle name="Normal 10 2 10 29 5 3" xfId="4890" xr:uid="{00000000-0005-0000-0000-00001A130000}"/>
    <cellStyle name="Normal 10 2 10 29 5 4" xfId="4891" xr:uid="{00000000-0005-0000-0000-00001B130000}"/>
    <cellStyle name="Normal 10 2 10 29 5 5" xfId="4892" xr:uid="{00000000-0005-0000-0000-00001C130000}"/>
    <cellStyle name="Normal 10 2 10 29 5 6" xfId="4893" xr:uid="{00000000-0005-0000-0000-00001D130000}"/>
    <cellStyle name="Normal 10 2 10 29 5 7" xfId="4894" xr:uid="{00000000-0005-0000-0000-00001E130000}"/>
    <cellStyle name="Normal 10 2 10 29 5 8" xfId="4895" xr:uid="{00000000-0005-0000-0000-00001F130000}"/>
    <cellStyle name="Normal 10 2 10 29 5 9" xfId="4896" xr:uid="{00000000-0005-0000-0000-000020130000}"/>
    <cellStyle name="Normal 10 2 10 29 6" xfId="4897" xr:uid="{00000000-0005-0000-0000-000021130000}"/>
    <cellStyle name="Normal 10 2 10 29 7" xfId="4898" xr:uid="{00000000-0005-0000-0000-000022130000}"/>
    <cellStyle name="Normal 10 2 10 29 8" xfId="4899" xr:uid="{00000000-0005-0000-0000-000023130000}"/>
    <cellStyle name="Normal 10 2 10 29 9" xfId="4900" xr:uid="{00000000-0005-0000-0000-000024130000}"/>
    <cellStyle name="Normal 10 2 10 3" xfId="34" xr:uid="{00000000-0005-0000-0000-000022000000}"/>
    <cellStyle name="Normal 10 2 10 3 10" xfId="4902" xr:uid="{00000000-0005-0000-0000-000026130000}"/>
    <cellStyle name="Normal 10 2 10 3 11" xfId="4903" xr:uid="{00000000-0005-0000-0000-000027130000}"/>
    <cellStyle name="Normal 10 2 10 3 12" xfId="4904" xr:uid="{00000000-0005-0000-0000-000028130000}"/>
    <cellStyle name="Normal 10 2 10 3 13" xfId="4905" xr:uid="{00000000-0005-0000-0000-000029130000}"/>
    <cellStyle name="Normal 10 2 10 3 14" xfId="4906" xr:uid="{00000000-0005-0000-0000-00002A130000}"/>
    <cellStyle name="Normal 10 2 10 3 15" xfId="4907" xr:uid="{00000000-0005-0000-0000-00002B130000}"/>
    <cellStyle name="Normal 10 2 10 3 16" xfId="4901" xr:uid="{00000000-0005-0000-0000-000025130000}"/>
    <cellStyle name="Normal 10 2 10 3 2" xfId="4908" xr:uid="{00000000-0005-0000-0000-00002C130000}"/>
    <cellStyle name="Normal 10 2 10 3 2 10" xfId="4909" xr:uid="{00000000-0005-0000-0000-00002D130000}"/>
    <cellStyle name="Normal 10 2 10 3 2 2" xfId="4910" xr:uid="{00000000-0005-0000-0000-00002E130000}"/>
    <cellStyle name="Normal 10 2 10 3 2 3" xfId="4911" xr:uid="{00000000-0005-0000-0000-00002F130000}"/>
    <cellStyle name="Normal 10 2 10 3 2 4" xfId="4912" xr:uid="{00000000-0005-0000-0000-000030130000}"/>
    <cellStyle name="Normal 10 2 10 3 2 5" xfId="4913" xr:uid="{00000000-0005-0000-0000-000031130000}"/>
    <cellStyle name="Normal 10 2 10 3 2 6" xfId="4914" xr:uid="{00000000-0005-0000-0000-000032130000}"/>
    <cellStyle name="Normal 10 2 10 3 2 7" xfId="4915" xr:uid="{00000000-0005-0000-0000-000033130000}"/>
    <cellStyle name="Normal 10 2 10 3 2 8" xfId="4916" xr:uid="{00000000-0005-0000-0000-000034130000}"/>
    <cellStyle name="Normal 10 2 10 3 2 9" xfId="4917" xr:uid="{00000000-0005-0000-0000-000035130000}"/>
    <cellStyle name="Normal 10 2 10 3 3" xfId="4918" xr:uid="{00000000-0005-0000-0000-000036130000}"/>
    <cellStyle name="Normal 10 2 10 3 3 10" xfId="4919" xr:uid="{00000000-0005-0000-0000-000037130000}"/>
    <cellStyle name="Normal 10 2 10 3 3 2" xfId="4920" xr:uid="{00000000-0005-0000-0000-000038130000}"/>
    <cellStyle name="Normal 10 2 10 3 3 3" xfId="4921" xr:uid="{00000000-0005-0000-0000-000039130000}"/>
    <cellStyle name="Normal 10 2 10 3 3 4" xfId="4922" xr:uid="{00000000-0005-0000-0000-00003A130000}"/>
    <cellStyle name="Normal 10 2 10 3 3 5" xfId="4923" xr:uid="{00000000-0005-0000-0000-00003B130000}"/>
    <cellStyle name="Normal 10 2 10 3 3 6" xfId="4924" xr:uid="{00000000-0005-0000-0000-00003C130000}"/>
    <cellStyle name="Normal 10 2 10 3 3 7" xfId="4925" xr:uid="{00000000-0005-0000-0000-00003D130000}"/>
    <cellStyle name="Normal 10 2 10 3 3 8" xfId="4926" xr:uid="{00000000-0005-0000-0000-00003E130000}"/>
    <cellStyle name="Normal 10 2 10 3 3 9" xfId="4927" xr:uid="{00000000-0005-0000-0000-00003F130000}"/>
    <cellStyle name="Normal 10 2 10 3 4" xfId="4928" xr:uid="{00000000-0005-0000-0000-000040130000}"/>
    <cellStyle name="Normal 10 2 10 3 4 10" xfId="4929" xr:uid="{00000000-0005-0000-0000-000041130000}"/>
    <cellStyle name="Normal 10 2 10 3 4 2" xfId="4930" xr:uid="{00000000-0005-0000-0000-000042130000}"/>
    <cellStyle name="Normal 10 2 10 3 4 3" xfId="4931" xr:uid="{00000000-0005-0000-0000-000043130000}"/>
    <cellStyle name="Normal 10 2 10 3 4 4" xfId="4932" xr:uid="{00000000-0005-0000-0000-000044130000}"/>
    <cellStyle name="Normal 10 2 10 3 4 5" xfId="4933" xr:uid="{00000000-0005-0000-0000-000045130000}"/>
    <cellStyle name="Normal 10 2 10 3 4 6" xfId="4934" xr:uid="{00000000-0005-0000-0000-000046130000}"/>
    <cellStyle name="Normal 10 2 10 3 4 7" xfId="4935" xr:uid="{00000000-0005-0000-0000-000047130000}"/>
    <cellStyle name="Normal 10 2 10 3 4 8" xfId="4936" xr:uid="{00000000-0005-0000-0000-000048130000}"/>
    <cellStyle name="Normal 10 2 10 3 4 9" xfId="4937" xr:uid="{00000000-0005-0000-0000-000049130000}"/>
    <cellStyle name="Normal 10 2 10 3 5" xfId="4938" xr:uid="{00000000-0005-0000-0000-00004A130000}"/>
    <cellStyle name="Normal 10 2 10 3 5 10" xfId="4939" xr:uid="{00000000-0005-0000-0000-00004B130000}"/>
    <cellStyle name="Normal 10 2 10 3 5 2" xfId="4940" xr:uid="{00000000-0005-0000-0000-00004C130000}"/>
    <cellStyle name="Normal 10 2 10 3 5 3" xfId="4941" xr:uid="{00000000-0005-0000-0000-00004D130000}"/>
    <cellStyle name="Normal 10 2 10 3 5 4" xfId="4942" xr:uid="{00000000-0005-0000-0000-00004E130000}"/>
    <cellStyle name="Normal 10 2 10 3 5 5" xfId="4943" xr:uid="{00000000-0005-0000-0000-00004F130000}"/>
    <cellStyle name="Normal 10 2 10 3 5 6" xfId="4944" xr:uid="{00000000-0005-0000-0000-000050130000}"/>
    <cellStyle name="Normal 10 2 10 3 5 7" xfId="4945" xr:uid="{00000000-0005-0000-0000-000051130000}"/>
    <cellStyle name="Normal 10 2 10 3 5 8" xfId="4946" xr:uid="{00000000-0005-0000-0000-000052130000}"/>
    <cellStyle name="Normal 10 2 10 3 5 9" xfId="4947" xr:uid="{00000000-0005-0000-0000-000053130000}"/>
    <cellStyle name="Normal 10 2 10 3 6" xfId="4948" xr:uid="{00000000-0005-0000-0000-000054130000}"/>
    <cellStyle name="Normal 10 2 10 3 7" xfId="4949" xr:uid="{00000000-0005-0000-0000-000055130000}"/>
    <cellStyle name="Normal 10 2 10 3 8" xfId="4950" xr:uid="{00000000-0005-0000-0000-000056130000}"/>
    <cellStyle name="Normal 10 2 10 3 9" xfId="4951" xr:uid="{00000000-0005-0000-0000-000057130000}"/>
    <cellStyle name="Normal 10 2 10 30" xfId="4952" xr:uid="{00000000-0005-0000-0000-000058130000}"/>
    <cellStyle name="Normal 10 2 10 30 10" xfId="4953" xr:uid="{00000000-0005-0000-0000-000059130000}"/>
    <cellStyle name="Normal 10 2 10 30 11" xfId="4954" xr:uid="{00000000-0005-0000-0000-00005A130000}"/>
    <cellStyle name="Normal 10 2 10 30 12" xfId="4955" xr:uid="{00000000-0005-0000-0000-00005B130000}"/>
    <cellStyle name="Normal 10 2 10 30 13" xfId="4956" xr:uid="{00000000-0005-0000-0000-00005C130000}"/>
    <cellStyle name="Normal 10 2 10 30 14" xfId="4957" xr:uid="{00000000-0005-0000-0000-00005D130000}"/>
    <cellStyle name="Normal 10 2 10 30 2" xfId="4958" xr:uid="{00000000-0005-0000-0000-00005E130000}"/>
    <cellStyle name="Normal 10 2 10 30 2 10" xfId="4959" xr:uid="{00000000-0005-0000-0000-00005F130000}"/>
    <cellStyle name="Normal 10 2 10 30 2 2" xfId="4960" xr:uid="{00000000-0005-0000-0000-000060130000}"/>
    <cellStyle name="Normal 10 2 10 30 2 3" xfId="4961" xr:uid="{00000000-0005-0000-0000-000061130000}"/>
    <cellStyle name="Normal 10 2 10 30 2 4" xfId="4962" xr:uid="{00000000-0005-0000-0000-000062130000}"/>
    <cellStyle name="Normal 10 2 10 30 2 5" xfId="4963" xr:uid="{00000000-0005-0000-0000-000063130000}"/>
    <cellStyle name="Normal 10 2 10 30 2 6" xfId="4964" xr:uid="{00000000-0005-0000-0000-000064130000}"/>
    <cellStyle name="Normal 10 2 10 30 2 7" xfId="4965" xr:uid="{00000000-0005-0000-0000-000065130000}"/>
    <cellStyle name="Normal 10 2 10 30 2 8" xfId="4966" xr:uid="{00000000-0005-0000-0000-000066130000}"/>
    <cellStyle name="Normal 10 2 10 30 2 9" xfId="4967" xr:uid="{00000000-0005-0000-0000-000067130000}"/>
    <cellStyle name="Normal 10 2 10 30 3" xfId="4968" xr:uid="{00000000-0005-0000-0000-000068130000}"/>
    <cellStyle name="Normal 10 2 10 30 3 10" xfId="4969" xr:uid="{00000000-0005-0000-0000-000069130000}"/>
    <cellStyle name="Normal 10 2 10 30 3 2" xfId="4970" xr:uid="{00000000-0005-0000-0000-00006A130000}"/>
    <cellStyle name="Normal 10 2 10 30 3 3" xfId="4971" xr:uid="{00000000-0005-0000-0000-00006B130000}"/>
    <cellStyle name="Normal 10 2 10 30 3 4" xfId="4972" xr:uid="{00000000-0005-0000-0000-00006C130000}"/>
    <cellStyle name="Normal 10 2 10 30 3 5" xfId="4973" xr:uid="{00000000-0005-0000-0000-00006D130000}"/>
    <cellStyle name="Normal 10 2 10 30 3 6" xfId="4974" xr:uid="{00000000-0005-0000-0000-00006E130000}"/>
    <cellStyle name="Normal 10 2 10 30 3 7" xfId="4975" xr:uid="{00000000-0005-0000-0000-00006F130000}"/>
    <cellStyle name="Normal 10 2 10 30 3 8" xfId="4976" xr:uid="{00000000-0005-0000-0000-000070130000}"/>
    <cellStyle name="Normal 10 2 10 30 3 9" xfId="4977" xr:uid="{00000000-0005-0000-0000-000071130000}"/>
    <cellStyle name="Normal 10 2 10 30 4" xfId="4978" xr:uid="{00000000-0005-0000-0000-000072130000}"/>
    <cellStyle name="Normal 10 2 10 30 4 10" xfId="4979" xr:uid="{00000000-0005-0000-0000-000073130000}"/>
    <cellStyle name="Normal 10 2 10 30 4 2" xfId="4980" xr:uid="{00000000-0005-0000-0000-000074130000}"/>
    <cellStyle name="Normal 10 2 10 30 4 3" xfId="4981" xr:uid="{00000000-0005-0000-0000-000075130000}"/>
    <cellStyle name="Normal 10 2 10 30 4 4" xfId="4982" xr:uid="{00000000-0005-0000-0000-000076130000}"/>
    <cellStyle name="Normal 10 2 10 30 4 5" xfId="4983" xr:uid="{00000000-0005-0000-0000-000077130000}"/>
    <cellStyle name="Normal 10 2 10 30 4 6" xfId="4984" xr:uid="{00000000-0005-0000-0000-000078130000}"/>
    <cellStyle name="Normal 10 2 10 30 4 7" xfId="4985" xr:uid="{00000000-0005-0000-0000-000079130000}"/>
    <cellStyle name="Normal 10 2 10 30 4 8" xfId="4986" xr:uid="{00000000-0005-0000-0000-00007A130000}"/>
    <cellStyle name="Normal 10 2 10 30 4 9" xfId="4987" xr:uid="{00000000-0005-0000-0000-00007B130000}"/>
    <cellStyle name="Normal 10 2 10 30 5" xfId="4988" xr:uid="{00000000-0005-0000-0000-00007C130000}"/>
    <cellStyle name="Normal 10 2 10 30 5 10" xfId="4989" xr:uid="{00000000-0005-0000-0000-00007D130000}"/>
    <cellStyle name="Normal 10 2 10 30 5 2" xfId="4990" xr:uid="{00000000-0005-0000-0000-00007E130000}"/>
    <cellStyle name="Normal 10 2 10 30 5 3" xfId="4991" xr:uid="{00000000-0005-0000-0000-00007F130000}"/>
    <cellStyle name="Normal 10 2 10 30 5 4" xfId="4992" xr:uid="{00000000-0005-0000-0000-000080130000}"/>
    <cellStyle name="Normal 10 2 10 30 5 5" xfId="4993" xr:uid="{00000000-0005-0000-0000-000081130000}"/>
    <cellStyle name="Normal 10 2 10 30 5 6" xfId="4994" xr:uid="{00000000-0005-0000-0000-000082130000}"/>
    <cellStyle name="Normal 10 2 10 30 5 7" xfId="4995" xr:uid="{00000000-0005-0000-0000-000083130000}"/>
    <cellStyle name="Normal 10 2 10 30 5 8" xfId="4996" xr:uid="{00000000-0005-0000-0000-000084130000}"/>
    <cellStyle name="Normal 10 2 10 30 5 9" xfId="4997" xr:uid="{00000000-0005-0000-0000-000085130000}"/>
    <cellStyle name="Normal 10 2 10 30 6" xfId="4998" xr:uid="{00000000-0005-0000-0000-000086130000}"/>
    <cellStyle name="Normal 10 2 10 30 7" xfId="4999" xr:uid="{00000000-0005-0000-0000-000087130000}"/>
    <cellStyle name="Normal 10 2 10 30 8" xfId="5000" xr:uid="{00000000-0005-0000-0000-000088130000}"/>
    <cellStyle name="Normal 10 2 10 30 9" xfId="5001" xr:uid="{00000000-0005-0000-0000-000089130000}"/>
    <cellStyle name="Normal 10 2 10 31" xfId="5002" xr:uid="{00000000-0005-0000-0000-00008A130000}"/>
    <cellStyle name="Normal 10 2 10 31 10" xfId="5003" xr:uid="{00000000-0005-0000-0000-00008B130000}"/>
    <cellStyle name="Normal 10 2 10 31 11" xfId="5004" xr:uid="{00000000-0005-0000-0000-00008C130000}"/>
    <cellStyle name="Normal 10 2 10 31 12" xfId="5005" xr:uid="{00000000-0005-0000-0000-00008D130000}"/>
    <cellStyle name="Normal 10 2 10 31 13" xfId="5006" xr:uid="{00000000-0005-0000-0000-00008E130000}"/>
    <cellStyle name="Normal 10 2 10 31 14" xfId="5007" xr:uid="{00000000-0005-0000-0000-00008F130000}"/>
    <cellStyle name="Normal 10 2 10 31 2" xfId="5008" xr:uid="{00000000-0005-0000-0000-000090130000}"/>
    <cellStyle name="Normal 10 2 10 31 2 10" xfId="5009" xr:uid="{00000000-0005-0000-0000-000091130000}"/>
    <cellStyle name="Normal 10 2 10 31 2 2" xfId="5010" xr:uid="{00000000-0005-0000-0000-000092130000}"/>
    <cellStyle name="Normal 10 2 10 31 2 3" xfId="5011" xr:uid="{00000000-0005-0000-0000-000093130000}"/>
    <cellStyle name="Normal 10 2 10 31 2 4" xfId="5012" xr:uid="{00000000-0005-0000-0000-000094130000}"/>
    <cellStyle name="Normal 10 2 10 31 2 5" xfId="5013" xr:uid="{00000000-0005-0000-0000-000095130000}"/>
    <cellStyle name="Normal 10 2 10 31 2 6" xfId="5014" xr:uid="{00000000-0005-0000-0000-000096130000}"/>
    <cellStyle name="Normal 10 2 10 31 2 7" xfId="5015" xr:uid="{00000000-0005-0000-0000-000097130000}"/>
    <cellStyle name="Normal 10 2 10 31 2 8" xfId="5016" xr:uid="{00000000-0005-0000-0000-000098130000}"/>
    <cellStyle name="Normal 10 2 10 31 2 9" xfId="5017" xr:uid="{00000000-0005-0000-0000-000099130000}"/>
    <cellStyle name="Normal 10 2 10 31 3" xfId="5018" xr:uid="{00000000-0005-0000-0000-00009A130000}"/>
    <cellStyle name="Normal 10 2 10 31 3 10" xfId="5019" xr:uid="{00000000-0005-0000-0000-00009B130000}"/>
    <cellStyle name="Normal 10 2 10 31 3 2" xfId="5020" xr:uid="{00000000-0005-0000-0000-00009C130000}"/>
    <cellStyle name="Normal 10 2 10 31 3 3" xfId="5021" xr:uid="{00000000-0005-0000-0000-00009D130000}"/>
    <cellStyle name="Normal 10 2 10 31 3 4" xfId="5022" xr:uid="{00000000-0005-0000-0000-00009E130000}"/>
    <cellStyle name="Normal 10 2 10 31 3 5" xfId="5023" xr:uid="{00000000-0005-0000-0000-00009F130000}"/>
    <cellStyle name="Normal 10 2 10 31 3 6" xfId="5024" xr:uid="{00000000-0005-0000-0000-0000A0130000}"/>
    <cellStyle name="Normal 10 2 10 31 3 7" xfId="5025" xr:uid="{00000000-0005-0000-0000-0000A1130000}"/>
    <cellStyle name="Normal 10 2 10 31 3 8" xfId="5026" xr:uid="{00000000-0005-0000-0000-0000A2130000}"/>
    <cellStyle name="Normal 10 2 10 31 3 9" xfId="5027" xr:uid="{00000000-0005-0000-0000-0000A3130000}"/>
    <cellStyle name="Normal 10 2 10 31 4" xfId="5028" xr:uid="{00000000-0005-0000-0000-0000A4130000}"/>
    <cellStyle name="Normal 10 2 10 31 4 10" xfId="5029" xr:uid="{00000000-0005-0000-0000-0000A5130000}"/>
    <cellStyle name="Normal 10 2 10 31 4 2" xfId="5030" xr:uid="{00000000-0005-0000-0000-0000A6130000}"/>
    <cellStyle name="Normal 10 2 10 31 4 3" xfId="5031" xr:uid="{00000000-0005-0000-0000-0000A7130000}"/>
    <cellStyle name="Normal 10 2 10 31 4 4" xfId="5032" xr:uid="{00000000-0005-0000-0000-0000A8130000}"/>
    <cellStyle name="Normal 10 2 10 31 4 5" xfId="5033" xr:uid="{00000000-0005-0000-0000-0000A9130000}"/>
    <cellStyle name="Normal 10 2 10 31 4 6" xfId="5034" xr:uid="{00000000-0005-0000-0000-0000AA130000}"/>
    <cellStyle name="Normal 10 2 10 31 4 7" xfId="5035" xr:uid="{00000000-0005-0000-0000-0000AB130000}"/>
    <cellStyle name="Normal 10 2 10 31 4 8" xfId="5036" xr:uid="{00000000-0005-0000-0000-0000AC130000}"/>
    <cellStyle name="Normal 10 2 10 31 4 9" xfId="5037" xr:uid="{00000000-0005-0000-0000-0000AD130000}"/>
    <cellStyle name="Normal 10 2 10 31 5" xfId="5038" xr:uid="{00000000-0005-0000-0000-0000AE130000}"/>
    <cellStyle name="Normal 10 2 10 31 5 10" xfId="5039" xr:uid="{00000000-0005-0000-0000-0000AF130000}"/>
    <cellStyle name="Normal 10 2 10 31 5 2" xfId="5040" xr:uid="{00000000-0005-0000-0000-0000B0130000}"/>
    <cellStyle name="Normal 10 2 10 31 5 3" xfId="5041" xr:uid="{00000000-0005-0000-0000-0000B1130000}"/>
    <cellStyle name="Normal 10 2 10 31 5 4" xfId="5042" xr:uid="{00000000-0005-0000-0000-0000B2130000}"/>
    <cellStyle name="Normal 10 2 10 31 5 5" xfId="5043" xr:uid="{00000000-0005-0000-0000-0000B3130000}"/>
    <cellStyle name="Normal 10 2 10 31 5 6" xfId="5044" xr:uid="{00000000-0005-0000-0000-0000B4130000}"/>
    <cellStyle name="Normal 10 2 10 31 5 7" xfId="5045" xr:uid="{00000000-0005-0000-0000-0000B5130000}"/>
    <cellStyle name="Normal 10 2 10 31 5 8" xfId="5046" xr:uid="{00000000-0005-0000-0000-0000B6130000}"/>
    <cellStyle name="Normal 10 2 10 31 5 9" xfId="5047" xr:uid="{00000000-0005-0000-0000-0000B7130000}"/>
    <cellStyle name="Normal 10 2 10 31 6" xfId="5048" xr:uid="{00000000-0005-0000-0000-0000B8130000}"/>
    <cellStyle name="Normal 10 2 10 31 7" xfId="5049" xr:uid="{00000000-0005-0000-0000-0000B9130000}"/>
    <cellStyle name="Normal 10 2 10 31 8" xfId="5050" xr:uid="{00000000-0005-0000-0000-0000BA130000}"/>
    <cellStyle name="Normal 10 2 10 31 9" xfId="5051" xr:uid="{00000000-0005-0000-0000-0000BB130000}"/>
    <cellStyle name="Normal 10 2 10 32" xfId="5052" xr:uid="{00000000-0005-0000-0000-0000BC130000}"/>
    <cellStyle name="Normal 10 2 10 32 10" xfId="5053" xr:uid="{00000000-0005-0000-0000-0000BD130000}"/>
    <cellStyle name="Normal 10 2 10 32 11" xfId="5054" xr:uid="{00000000-0005-0000-0000-0000BE130000}"/>
    <cellStyle name="Normal 10 2 10 32 12" xfId="5055" xr:uid="{00000000-0005-0000-0000-0000BF130000}"/>
    <cellStyle name="Normal 10 2 10 32 13" xfId="5056" xr:uid="{00000000-0005-0000-0000-0000C0130000}"/>
    <cellStyle name="Normal 10 2 10 32 14" xfId="5057" xr:uid="{00000000-0005-0000-0000-0000C1130000}"/>
    <cellStyle name="Normal 10 2 10 32 2" xfId="5058" xr:uid="{00000000-0005-0000-0000-0000C2130000}"/>
    <cellStyle name="Normal 10 2 10 32 2 10" xfId="5059" xr:uid="{00000000-0005-0000-0000-0000C3130000}"/>
    <cellStyle name="Normal 10 2 10 32 2 2" xfId="5060" xr:uid="{00000000-0005-0000-0000-0000C4130000}"/>
    <cellStyle name="Normal 10 2 10 32 2 3" xfId="5061" xr:uid="{00000000-0005-0000-0000-0000C5130000}"/>
    <cellStyle name="Normal 10 2 10 32 2 4" xfId="5062" xr:uid="{00000000-0005-0000-0000-0000C6130000}"/>
    <cellStyle name="Normal 10 2 10 32 2 5" xfId="5063" xr:uid="{00000000-0005-0000-0000-0000C7130000}"/>
    <cellStyle name="Normal 10 2 10 32 2 6" xfId="5064" xr:uid="{00000000-0005-0000-0000-0000C8130000}"/>
    <cellStyle name="Normal 10 2 10 32 2 7" xfId="5065" xr:uid="{00000000-0005-0000-0000-0000C9130000}"/>
    <cellStyle name="Normal 10 2 10 32 2 8" xfId="5066" xr:uid="{00000000-0005-0000-0000-0000CA130000}"/>
    <cellStyle name="Normal 10 2 10 32 2 9" xfId="5067" xr:uid="{00000000-0005-0000-0000-0000CB130000}"/>
    <cellStyle name="Normal 10 2 10 32 3" xfId="5068" xr:uid="{00000000-0005-0000-0000-0000CC130000}"/>
    <cellStyle name="Normal 10 2 10 32 3 10" xfId="5069" xr:uid="{00000000-0005-0000-0000-0000CD130000}"/>
    <cellStyle name="Normal 10 2 10 32 3 2" xfId="5070" xr:uid="{00000000-0005-0000-0000-0000CE130000}"/>
    <cellStyle name="Normal 10 2 10 32 3 3" xfId="5071" xr:uid="{00000000-0005-0000-0000-0000CF130000}"/>
    <cellStyle name="Normal 10 2 10 32 3 4" xfId="5072" xr:uid="{00000000-0005-0000-0000-0000D0130000}"/>
    <cellStyle name="Normal 10 2 10 32 3 5" xfId="5073" xr:uid="{00000000-0005-0000-0000-0000D1130000}"/>
    <cellStyle name="Normal 10 2 10 32 3 6" xfId="5074" xr:uid="{00000000-0005-0000-0000-0000D2130000}"/>
    <cellStyle name="Normal 10 2 10 32 3 7" xfId="5075" xr:uid="{00000000-0005-0000-0000-0000D3130000}"/>
    <cellStyle name="Normal 10 2 10 32 3 8" xfId="5076" xr:uid="{00000000-0005-0000-0000-0000D4130000}"/>
    <cellStyle name="Normal 10 2 10 32 3 9" xfId="5077" xr:uid="{00000000-0005-0000-0000-0000D5130000}"/>
    <cellStyle name="Normal 10 2 10 32 4" xfId="5078" xr:uid="{00000000-0005-0000-0000-0000D6130000}"/>
    <cellStyle name="Normal 10 2 10 32 4 10" xfId="5079" xr:uid="{00000000-0005-0000-0000-0000D7130000}"/>
    <cellStyle name="Normal 10 2 10 32 4 2" xfId="5080" xr:uid="{00000000-0005-0000-0000-0000D8130000}"/>
    <cellStyle name="Normal 10 2 10 32 4 3" xfId="5081" xr:uid="{00000000-0005-0000-0000-0000D9130000}"/>
    <cellStyle name="Normal 10 2 10 32 4 4" xfId="5082" xr:uid="{00000000-0005-0000-0000-0000DA130000}"/>
    <cellStyle name="Normal 10 2 10 32 4 5" xfId="5083" xr:uid="{00000000-0005-0000-0000-0000DB130000}"/>
    <cellStyle name="Normal 10 2 10 32 4 6" xfId="5084" xr:uid="{00000000-0005-0000-0000-0000DC130000}"/>
    <cellStyle name="Normal 10 2 10 32 4 7" xfId="5085" xr:uid="{00000000-0005-0000-0000-0000DD130000}"/>
    <cellStyle name="Normal 10 2 10 32 4 8" xfId="5086" xr:uid="{00000000-0005-0000-0000-0000DE130000}"/>
    <cellStyle name="Normal 10 2 10 32 4 9" xfId="5087" xr:uid="{00000000-0005-0000-0000-0000DF130000}"/>
    <cellStyle name="Normal 10 2 10 32 5" xfId="5088" xr:uid="{00000000-0005-0000-0000-0000E0130000}"/>
    <cellStyle name="Normal 10 2 10 32 5 10" xfId="5089" xr:uid="{00000000-0005-0000-0000-0000E1130000}"/>
    <cellStyle name="Normal 10 2 10 32 5 2" xfId="5090" xr:uid="{00000000-0005-0000-0000-0000E2130000}"/>
    <cellStyle name="Normal 10 2 10 32 5 3" xfId="5091" xr:uid="{00000000-0005-0000-0000-0000E3130000}"/>
    <cellStyle name="Normal 10 2 10 32 5 4" xfId="5092" xr:uid="{00000000-0005-0000-0000-0000E4130000}"/>
    <cellStyle name="Normal 10 2 10 32 5 5" xfId="5093" xr:uid="{00000000-0005-0000-0000-0000E5130000}"/>
    <cellStyle name="Normal 10 2 10 32 5 6" xfId="5094" xr:uid="{00000000-0005-0000-0000-0000E6130000}"/>
    <cellStyle name="Normal 10 2 10 32 5 7" xfId="5095" xr:uid="{00000000-0005-0000-0000-0000E7130000}"/>
    <cellStyle name="Normal 10 2 10 32 5 8" xfId="5096" xr:uid="{00000000-0005-0000-0000-0000E8130000}"/>
    <cellStyle name="Normal 10 2 10 32 5 9" xfId="5097" xr:uid="{00000000-0005-0000-0000-0000E9130000}"/>
    <cellStyle name="Normal 10 2 10 32 6" xfId="5098" xr:uid="{00000000-0005-0000-0000-0000EA130000}"/>
    <cellStyle name="Normal 10 2 10 32 7" xfId="5099" xr:uid="{00000000-0005-0000-0000-0000EB130000}"/>
    <cellStyle name="Normal 10 2 10 32 8" xfId="5100" xr:uid="{00000000-0005-0000-0000-0000EC130000}"/>
    <cellStyle name="Normal 10 2 10 32 9" xfId="5101" xr:uid="{00000000-0005-0000-0000-0000ED130000}"/>
    <cellStyle name="Normal 10 2 10 33" xfId="5102" xr:uid="{00000000-0005-0000-0000-0000EE130000}"/>
    <cellStyle name="Normal 10 2 10 33 10" xfId="5103" xr:uid="{00000000-0005-0000-0000-0000EF130000}"/>
    <cellStyle name="Normal 10 2 10 33 11" xfId="5104" xr:uid="{00000000-0005-0000-0000-0000F0130000}"/>
    <cellStyle name="Normal 10 2 10 33 12" xfId="5105" xr:uid="{00000000-0005-0000-0000-0000F1130000}"/>
    <cellStyle name="Normal 10 2 10 33 13" xfId="5106" xr:uid="{00000000-0005-0000-0000-0000F2130000}"/>
    <cellStyle name="Normal 10 2 10 33 14" xfId="5107" xr:uid="{00000000-0005-0000-0000-0000F3130000}"/>
    <cellStyle name="Normal 10 2 10 33 2" xfId="5108" xr:uid="{00000000-0005-0000-0000-0000F4130000}"/>
    <cellStyle name="Normal 10 2 10 33 2 10" xfId="5109" xr:uid="{00000000-0005-0000-0000-0000F5130000}"/>
    <cellStyle name="Normal 10 2 10 33 2 2" xfId="5110" xr:uid="{00000000-0005-0000-0000-0000F6130000}"/>
    <cellStyle name="Normal 10 2 10 33 2 3" xfId="5111" xr:uid="{00000000-0005-0000-0000-0000F7130000}"/>
    <cellStyle name="Normal 10 2 10 33 2 4" xfId="5112" xr:uid="{00000000-0005-0000-0000-0000F8130000}"/>
    <cellStyle name="Normal 10 2 10 33 2 5" xfId="5113" xr:uid="{00000000-0005-0000-0000-0000F9130000}"/>
    <cellStyle name="Normal 10 2 10 33 2 6" xfId="5114" xr:uid="{00000000-0005-0000-0000-0000FA130000}"/>
    <cellStyle name="Normal 10 2 10 33 2 7" xfId="5115" xr:uid="{00000000-0005-0000-0000-0000FB130000}"/>
    <cellStyle name="Normal 10 2 10 33 2 8" xfId="5116" xr:uid="{00000000-0005-0000-0000-0000FC130000}"/>
    <cellStyle name="Normal 10 2 10 33 2 9" xfId="5117" xr:uid="{00000000-0005-0000-0000-0000FD130000}"/>
    <cellStyle name="Normal 10 2 10 33 3" xfId="5118" xr:uid="{00000000-0005-0000-0000-0000FE130000}"/>
    <cellStyle name="Normal 10 2 10 33 3 10" xfId="5119" xr:uid="{00000000-0005-0000-0000-0000FF130000}"/>
    <cellStyle name="Normal 10 2 10 33 3 2" xfId="5120" xr:uid="{00000000-0005-0000-0000-000000140000}"/>
    <cellStyle name="Normal 10 2 10 33 3 3" xfId="5121" xr:uid="{00000000-0005-0000-0000-000001140000}"/>
    <cellStyle name="Normal 10 2 10 33 3 4" xfId="5122" xr:uid="{00000000-0005-0000-0000-000002140000}"/>
    <cellStyle name="Normal 10 2 10 33 3 5" xfId="5123" xr:uid="{00000000-0005-0000-0000-000003140000}"/>
    <cellStyle name="Normal 10 2 10 33 3 6" xfId="5124" xr:uid="{00000000-0005-0000-0000-000004140000}"/>
    <cellStyle name="Normal 10 2 10 33 3 7" xfId="5125" xr:uid="{00000000-0005-0000-0000-000005140000}"/>
    <cellStyle name="Normal 10 2 10 33 3 8" xfId="5126" xr:uid="{00000000-0005-0000-0000-000006140000}"/>
    <cellStyle name="Normal 10 2 10 33 3 9" xfId="5127" xr:uid="{00000000-0005-0000-0000-000007140000}"/>
    <cellStyle name="Normal 10 2 10 33 4" xfId="5128" xr:uid="{00000000-0005-0000-0000-000008140000}"/>
    <cellStyle name="Normal 10 2 10 33 4 10" xfId="5129" xr:uid="{00000000-0005-0000-0000-000009140000}"/>
    <cellStyle name="Normal 10 2 10 33 4 2" xfId="5130" xr:uid="{00000000-0005-0000-0000-00000A140000}"/>
    <cellStyle name="Normal 10 2 10 33 4 3" xfId="5131" xr:uid="{00000000-0005-0000-0000-00000B140000}"/>
    <cellStyle name="Normal 10 2 10 33 4 4" xfId="5132" xr:uid="{00000000-0005-0000-0000-00000C140000}"/>
    <cellStyle name="Normal 10 2 10 33 4 5" xfId="5133" xr:uid="{00000000-0005-0000-0000-00000D140000}"/>
    <cellStyle name="Normal 10 2 10 33 4 6" xfId="5134" xr:uid="{00000000-0005-0000-0000-00000E140000}"/>
    <cellStyle name="Normal 10 2 10 33 4 7" xfId="5135" xr:uid="{00000000-0005-0000-0000-00000F140000}"/>
    <cellStyle name="Normal 10 2 10 33 4 8" xfId="5136" xr:uid="{00000000-0005-0000-0000-000010140000}"/>
    <cellStyle name="Normal 10 2 10 33 4 9" xfId="5137" xr:uid="{00000000-0005-0000-0000-000011140000}"/>
    <cellStyle name="Normal 10 2 10 33 5" xfId="5138" xr:uid="{00000000-0005-0000-0000-000012140000}"/>
    <cellStyle name="Normal 10 2 10 33 5 10" xfId="5139" xr:uid="{00000000-0005-0000-0000-000013140000}"/>
    <cellStyle name="Normal 10 2 10 33 5 2" xfId="5140" xr:uid="{00000000-0005-0000-0000-000014140000}"/>
    <cellStyle name="Normal 10 2 10 33 5 3" xfId="5141" xr:uid="{00000000-0005-0000-0000-000015140000}"/>
    <cellStyle name="Normal 10 2 10 33 5 4" xfId="5142" xr:uid="{00000000-0005-0000-0000-000016140000}"/>
    <cellStyle name="Normal 10 2 10 33 5 5" xfId="5143" xr:uid="{00000000-0005-0000-0000-000017140000}"/>
    <cellStyle name="Normal 10 2 10 33 5 6" xfId="5144" xr:uid="{00000000-0005-0000-0000-000018140000}"/>
    <cellStyle name="Normal 10 2 10 33 5 7" xfId="5145" xr:uid="{00000000-0005-0000-0000-000019140000}"/>
    <cellStyle name="Normal 10 2 10 33 5 8" xfId="5146" xr:uid="{00000000-0005-0000-0000-00001A140000}"/>
    <cellStyle name="Normal 10 2 10 33 5 9" xfId="5147" xr:uid="{00000000-0005-0000-0000-00001B140000}"/>
    <cellStyle name="Normal 10 2 10 33 6" xfId="5148" xr:uid="{00000000-0005-0000-0000-00001C140000}"/>
    <cellStyle name="Normal 10 2 10 33 7" xfId="5149" xr:uid="{00000000-0005-0000-0000-00001D140000}"/>
    <cellStyle name="Normal 10 2 10 33 8" xfId="5150" xr:uid="{00000000-0005-0000-0000-00001E140000}"/>
    <cellStyle name="Normal 10 2 10 33 9" xfId="5151" xr:uid="{00000000-0005-0000-0000-00001F140000}"/>
    <cellStyle name="Normal 10 2 10 34" xfId="5152" xr:uid="{00000000-0005-0000-0000-000020140000}"/>
    <cellStyle name="Normal 10 2 10 34 10" xfId="5153" xr:uid="{00000000-0005-0000-0000-000021140000}"/>
    <cellStyle name="Normal 10 2 10 34 11" xfId="5154" xr:uid="{00000000-0005-0000-0000-000022140000}"/>
    <cellStyle name="Normal 10 2 10 34 12" xfId="5155" xr:uid="{00000000-0005-0000-0000-000023140000}"/>
    <cellStyle name="Normal 10 2 10 34 13" xfId="5156" xr:uid="{00000000-0005-0000-0000-000024140000}"/>
    <cellStyle name="Normal 10 2 10 34 14" xfId="5157" xr:uid="{00000000-0005-0000-0000-000025140000}"/>
    <cellStyle name="Normal 10 2 10 34 2" xfId="5158" xr:uid="{00000000-0005-0000-0000-000026140000}"/>
    <cellStyle name="Normal 10 2 10 34 2 10" xfId="5159" xr:uid="{00000000-0005-0000-0000-000027140000}"/>
    <cellStyle name="Normal 10 2 10 34 2 2" xfId="5160" xr:uid="{00000000-0005-0000-0000-000028140000}"/>
    <cellStyle name="Normal 10 2 10 34 2 3" xfId="5161" xr:uid="{00000000-0005-0000-0000-000029140000}"/>
    <cellStyle name="Normal 10 2 10 34 2 4" xfId="5162" xr:uid="{00000000-0005-0000-0000-00002A140000}"/>
    <cellStyle name="Normal 10 2 10 34 2 5" xfId="5163" xr:uid="{00000000-0005-0000-0000-00002B140000}"/>
    <cellStyle name="Normal 10 2 10 34 2 6" xfId="5164" xr:uid="{00000000-0005-0000-0000-00002C140000}"/>
    <cellStyle name="Normal 10 2 10 34 2 7" xfId="5165" xr:uid="{00000000-0005-0000-0000-00002D140000}"/>
    <cellStyle name="Normal 10 2 10 34 2 8" xfId="5166" xr:uid="{00000000-0005-0000-0000-00002E140000}"/>
    <cellStyle name="Normal 10 2 10 34 2 9" xfId="5167" xr:uid="{00000000-0005-0000-0000-00002F140000}"/>
    <cellStyle name="Normal 10 2 10 34 3" xfId="5168" xr:uid="{00000000-0005-0000-0000-000030140000}"/>
    <cellStyle name="Normal 10 2 10 34 3 10" xfId="5169" xr:uid="{00000000-0005-0000-0000-000031140000}"/>
    <cellStyle name="Normal 10 2 10 34 3 2" xfId="5170" xr:uid="{00000000-0005-0000-0000-000032140000}"/>
    <cellStyle name="Normal 10 2 10 34 3 3" xfId="5171" xr:uid="{00000000-0005-0000-0000-000033140000}"/>
    <cellStyle name="Normal 10 2 10 34 3 4" xfId="5172" xr:uid="{00000000-0005-0000-0000-000034140000}"/>
    <cellStyle name="Normal 10 2 10 34 3 5" xfId="5173" xr:uid="{00000000-0005-0000-0000-000035140000}"/>
    <cellStyle name="Normal 10 2 10 34 3 6" xfId="5174" xr:uid="{00000000-0005-0000-0000-000036140000}"/>
    <cellStyle name="Normal 10 2 10 34 3 7" xfId="5175" xr:uid="{00000000-0005-0000-0000-000037140000}"/>
    <cellStyle name="Normal 10 2 10 34 3 8" xfId="5176" xr:uid="{00000000-0005-0000-0000-000038140000}"/>
    <cellStyle name="Normal 10 2 10 34 3 9" xfId="5177" xr:uid="{00000000-0005-0000-0000-000039140000}"/>
    <cellStyle name="Normal 10 2 10 34 4" xfId="5178" xr:uid="{00000000-0005-0000-0000-00003A140000}"/>
    <cellStyle name="Normal 10 2 10 34 4 10" xfId="5179" xr:uid="{00000000-0005-0000-0000-00003B140000}"/>
    <cellStyle name="Normal 10 2 10 34 4 2" xfId="5180" xr:uid="{00000000-0005-0000-0000-00003C140000}"/>
    <cellStyle name="Normal 10 2 10 34 4 3" xfId="5181" xr:uid="{00000000-0005-0000-0000-00003D140000}"/>
    <cellStyle name="Normal 10 2 10 34 4 4" xfId="5182" xr:uid="{00000000-0005-0000-0000-00003E140000}"/>
    <cellStyle name="Normal 10 2 10 34 4 5" xfId="5183" xr:uid="{00000000-0005-0000-0000-00003F140000}"/>
    <cellStyle name="Normal 10 2 10 34 4 6" xfId="5184" xr:uid="{00000000-0005-0000-0000-000040140000}"/>
    <cellStyle name="Normal 10 2 10 34 4 7" xfId="5185" xr:uid="{00000000-0005-0000-0000-000041140000}"/>
    <cellStyle name="Normal 10 2 10 34 4 8" xfId="5186" xr:uid="{00000000-0005-0000-0000-000042140000}"/>
    <cellStyle name="Normal 10 2 10 34 4 9" xfId="5187" xr:uid="{00000000-0005-0000-0000-000043140000}"/>
    <cellStyle name="Normal 10 2 10 34 5" xfId="5188" xr:uid="{00000000-0005-0000-0000-000044140000}"/>
    <cellStyle name="Normal 10 2 10 34 5 10" xfId="5189" xr:uid="{00000000-0005-0000-0000-000045140000}"/>
    <cellStyle name="Normal 10 2 10 34 5 2" xfId="5190" xr:uid="{00000000-0005-0000-0000-000046140000}"/>
    <cellStyle name="Normal 10 2 10 34 5 3" xfId="5191" xr:uid="{00000000-0005-0000-0000-000047140000}"/>
    <cellStyle name="Normal 10 2 10 34 5 4" xfId="5192" xr:uid="{00000000-0005-0000-0000-000048140000}"/>
    <cellStyle name="Normal 10 2 10 34 5 5" xfId="5193" xr:uid="{00000000-0005-0000-0000-000049140000}"/>
    <cellStyle name="Normal 10 2 10 34 5 6" xfId="5194" xr:uid="{00000000-0005-0000-0000-00004A140000}"/>
    <cellStyle name="Normal 10 2 10 34 5 7" xfId="5195" xr:uid="{00000000-0005-0000-0000-00004B140000}"/>
    <cellStyle name="Normal 10 2 10 34 5 8" xfId="5196" xr:uid="{00000000-0005-0000-0000-00004C140000}"/>
    <cellStyle name="Normal 10 2 10 34 5 9" xfId="5197" xr:uid="{00000000-0005-0000-0000-00004D140000}"/>
    <cellStyle name="Normal 10 2 10 34 6" xfId="5198" xr:uid="{00000000-0005-0000-0000-00004E140000}"/>
    <cellStyle name="Normal 10 2 10 34 7" xfId="5199" xr:uid="{00000000-0005-0000-0000-00004F140000}"/>
    <cellStyle name="Normal 10 2 10 34 8" xfId="5200" xr:uid="{00000000-0005-0000-0000-000050140000}"/>
    <cellStyle name="Normal 10 2 10 34 9" xfId="5201" xr:uid="{00000000-0005-0000-0000-000051140000}"/>
    <cellStyle name="Normal 10 2 10 35" xfId="5202" xr:uid="{00000000-0005-0000-0000-000052140000}"/>
    <cellStyle name="Normal 10 2 10 35 10" xfId="5203" xr:uid="{00000000-0005-0000-0000-000053140000}"/>
    <cellStyle name="Normal 10 2 10 35 2" xfId="5204" xr:uid="{00000000-0005-0000-0000-000054140000}"/>
    <cellStyle name="Normal 10 2 10 35 3" xfId="5205" xr:uid="{00000000-0005-0000-0000-000055140000}"/>
    <cellStyle name="Normal 10 2 10 35 4" xfId="5206" xr:uid="{00000000-0005-0000-0000-000056140000}"/>
    <cellStyle name="Normal 10 2 10 35 5" xfId="5207" xr:uid="{00000000-0005-0000-0000-000057140000}"/>
    <cellStyle name="Normal 10 2 10 35 6" xfId="5208" xr:uid="{00000000-0005-0000-0000-000058140000}"/>
    <cellStyle name="Normal 10 2 10 35 7" xfId="5209" xr:uid="{00000000-0005-0000-0000-000059140000}"/>
    <cellStyle name="Normal 10 2 10 35 8" xfId="5210" xr:uid="{00000000-0005-0000-0000-00005A140000}"/>
    <cellStyle name="Normal 10 2 10 35 9" xfId="5211" xr:uid="{00000000-0005-0000-0000-00005B140000}"/>
    <cellStyle name="Normal 10 2 10 36" xfId="5212" xr:uid="{00000000-0005-0000-0000-00005C140000}"/>
    <cellStyle name="Normal 10 2 10 36 10" xfId="5213" xr:uid="{00000000-0005-0000-0000-00005D140000}"/>
    <cellStyle name="Normal 10 2 10 36 2" xfId="5214" xr:uid="{00000000-0005-0000-0000-00005E140000}"/>
    <cellStyle name="Normal 10 2 10 36 3" xfId="5215" xr:uid="{00000000-0005-0000-0000-00005F140000}"/>
    <cellStyle name="Normal 10 2 10 36 4" xfId="5216" xr:uid="{00000000-0005-0000-0000-000060140000}"/>
    <cellStyle name="Normal 10 2 10 36 5" xfId="5217" xr:uid="{00000000-0005-0000-0000-000061140000}"/>
    <cellStyle name="Normal 10 2 10 36 6" xfId="5218" xr:uid="{00000000-0005-0000-0000-000062140000}"/>
    <cellStyle name="Normal 10 2 10 36 7" xfId="5219" xr:uid="{00000000-0005-0000-0000-000063140000}"/>
    <cellStyle name="Normal 10 2 10 36 8" xfId="5220" xr:uid="{00000000-0005-0000-0000-000064140000}"/>
    <cellStyle name="Normal 10 2 10 36 9" xfId="5221" xr:uid="{00000000-0005-0000-0000-000065140000}"/>
    <cellStyle name="Normal 10 2 10 37" xfId="5222" xr:uid="{00000000-0005-0000-0000-000066140000}"/>
    <cellStyle name="Normal 10 2 10 37 10" xfId="5223" xr:uid="{00000000-0005-0000-0000-000067140000}"/>
    <cellStyle name="Normal 10 2 10 37 2" xfId="5224" xr:uid="{00000000-0005-0000-0000-000068140000}"/>
    <cellStyle name="Normal 10 2 10 37 3" xfId="5225" xr:uid="{00000000-0005-0000-0000-000069140000}"/>
    <cellStyle name="Normal 10 2 10 37 4" xfId="5226" xr:uid="{00000000-0005-0000-0000-00006A140000}"/>
    <cellStyle name="Normal 10 2 10 37 5" xfId="5227" xr:uid="{00000000-0005-0000-0000-00006B140000}"/>
    <cellStyle name="Normal 10 2 10 37 6" xfId="5228" xr:uid="{00000000-0005-0000-0000-00006C140000}"/>
    <cellStyle name="Normal 10 2 10 37 7" xfId="5229" xr:uid="{00000000-0005-0000-0000-00006D140000}"/>
    <cellStyle name="Normal 10 2 10 37 8" xfId="5230" xr:uid="{00000000-0005-0000-0000-00006E140000}"/>
    <cellStyle name="Normal 10 2 10 37 9" xfId="5231" xr:uid="{00000000-0005-0000-0000-00006F140000}"/>
    <cellStyle name="Normal 10 2 10 38" xfId="5232" xr:uid="{00000000-0005-0000-0000-000070140000}"/>
    <cellStyle name="Normal 10 2 10 38 10" xfId="5233" xr:uid="{00000000-0005-0000-0000-000071140000}"/>
    <cellStyle name="Normal 10 2 10 38 2" xfId="5234" xr:uid="{00000000-0005-0000-0000-000072140000}"/>
    <cellStyle name="Normal 10 2 10 38 3" xfId="5235" xr:uid="{00000000-0005-0000-0000-000073140000}"/>
    <cellStyle name="Normal 10 2 10 38 4" xfId="5236" xr:uid="{00000000-0005-0000-0000-000074140000}"/>
    <cellStyle name="Normal 10 2 10 38 5" xfId="5237" xr:uid="{00000000-0005-0000-0000-000075140000}"/>
    <cellStyle name="Normal 10 2 10 38 6" xfId="5238" xr:uid="{00000000-0005-0000-0000-000076140000}"/>
    <cellStyle name="Normal 10 2 10 38 7" xfId="5239" xr:uid="{00000000-0005-0000-0000-000077140000}"/>
    <cellStyle name="Normal 10 2 10 38 8" xfId="5240" xr:uid="{00000000-0005-0000-0000-000078140000}"/>
    <cellStyle name="Normal 10 2 10 38 9" xfId="5241" xr:uid="{00000000-0005-0000-0000-000079140000}"/>
    <cellStyle name="Normal 10 2 10 39" xfId="5242" xr:uid="{00000000-0005-0000-0000-00007A140000}"/>
    <cellStyle name="Normal 10 2 10 4" xfId="5243" xr:uid="{00000000-0005-0000-0000-00007B140000}"/>
    <cellStyle name="Normal 10 2 10 4 10" xfId="5244" xr:uid="{00000000-0005-0000-0000-00007C140000}"/>
    <cellStyle name="Normal 10 2 10 4 11" xfId="5245" xr:uid="{00000000-0005-0000-0000-00007D140000}"/>
    <cellStyle name="Normal 10 2 10 4 12" xfId="5246" xr:uid="{00000000-0005-0000-0000-00007E140000}"/>
    <cellStyle name="Normal 10 2 10 4 13" xfId="5247" xr:uid="{00000000-0005-0000-0000-00007F140000}"/>
    <cellStyle name="Normal 10 2 10 4 14" xfId="5248" xr:uid="{00000000-0005-0000-0000-000080140000}"/>
    <cellStyle name="Normal 10 2 10 4 2" xfId="5249" xr:uid="{00000000-0005-0000-0000-000081140000}"/>
    <cellStyle name="Normal 10 2 10 4 2 10" xfId="5250" xr:uid="{00000000-0005-0000-0000-000082140000}"/>
    <cellStyle name="Normal 10 2 10 4 2 2" xfId="5251" xr:uid="{00000000-0005-0000-0000-000083140000}"/>
    <cellStyle name="Normal 10 2 10 4 2 3" xfId="5252" xr:uid="{00000000-0005-0000-0000-000084140000}"/>
    <cellStyle name="Normal 10 2 10 4 2 4" xfId="5253" xr:uid="{00000000-0005-0000-0000-000085140000}"/>
    <cellStyle name="Normal 10 2 10 4 2 5" xfId="5254" xr:uid="{00000000-0005-0000-0000-000086140000}"/>
    <cellStyle name="Normal 10 2 10 4 2 6" xfId="5255" xr:uid="{00000000-0005-0000-0000-000087140000}"/>
    <cellStyle name="Normal 10 2 10 4 2 7" xfId="5256" xr:uid="{00000000-0005-0000-0000-000088140000}"/>
    <cellStyle name="Normal 10 2 10 4 2 8" xfId="5257" xr:uid="{00000000-0005-0000-0000-000089140000}"/>
    <cellStyle name="Normal 10 2 10 4 2 9" xfId="5258" xr:uid="{00000000-0005-0000-0000-00008A140000}"/>
    <cellStyle name="Normal 10 2 10 4 3" xfId="5259" xr:uid="{00000000-0005-0000-0000-00008B140000}"/>
    <cellStyle name="Normal 10 2 10 4 3 10" xfId="5260" xr:uid="{00000000-0005-0000-0000-00008C140000}"/>
    <cellStyle name="Normal 10 2 10 4 3 2" xfId="5261" xr:uid="{00000000-0005-0000-0000-00008D140000}"/>
    <cellStyle name="Normal 10 2 10 4 3 3" xfId="5262" xr:uid="{00000000-0005-0000-0000-00008E140000}"/>
    <cellStyle name="Normal 10 2 10 4 3 4" xfId="5263" xr:uid="{00000000-0005-0000-0000-00008F140000}"/>
    <cellStyle name="Normal 10 2 10 4 3 5" xfId="5264" xr:uid="{00000000-0005-0000-0000-000090140000}"/>
    <cellStyle name="Normal 10 2 10 4 3 6" xfId="5265" xr:uid="{00000000-0005-0000-0000-000091140000}"/>
    <cellStyle name="Normal 10 2 10 4 3 7" xfId="5266" xr:uid="{00000000-0005-0000-0000-000092140000}"/>
    <cellStyle name="Normal 10 2 10 4 3 8" xfId="5267" xr:uid="{00000000-0005-0000-0000-000093140000}"/>
    <cellStyle name="Normal 10 2 10 4 3 9" xfId="5268" xr:uid="{00000000-0005-0000-0000-000094140000}"/>
    <cellStyle name="Normal 10 2 10 4 4" xfId="5269" xr:uid="{00000000-0005-0000-0000-000095140000}"/>
    <cellStyle name="Normal 10 2 10 4 4 10" xfId="5270" xr:uid="{00000000-0005-0000-0000-000096140000}"/>
    <cellStyle name="Normal 10 2 10 4 4 2" xfId="5271" xr:uid="{00000000-0005-0000-0000-000097140000}"/>
    <cellStyle name="Normal 10 2 10 4 4 3" xfId="5272" xr:uid="{00000000-0005-0000-0000-000098140000}"/>
    <cellStyle name="Normal 10 2 10 4 4 4" xfId="5273" xr:uid="{00000000-0005-0000-0000-000099140000}"/>
    <cellStyle name="Normal 10 2 10 4 4 5" xfId="5274" xr:uid="{00000000-0005-0000-0000-00009A140000}"/>
    <cellStyle name="Normal 10 2 10 4 4 6" xfId="5275" xr:uid="{00000000-0005-0000-0000-00009B140000}"/>
    <cellStyle name="Normal 10 2 10 4 4 7" xfId="5276" xr:uid="{00000000-0005-0000-0000-00009C140000}"/>
    <cellStyle name="Normal 10 2 10 4 4 8" xfId="5277" xr:uid="{00000000-0005-0000-0000-00009D140000}"/>
    <cellStyle name="Normal 10 2 10 4 4 9" xfId="5278" xr:uid="{00000000-0005-0000-0000-00009E140000}"/>
    <cellStyle name="Normal 10 2 10 4 5" xfId="5279" xr:uid="{00000000-0005-0000-0000-00009F140000}"/>
    <cellStyle name="Normal 10 2 10 4 5 10" xfId="5280" xr:uid="{00000000-0005-0000-0000-0000A0140000}"/>
    <cellStyle name="Normal 10 2 10 4 5 2" xfId="5281" xr:uid="{00000000-0005-0000-0000-0000A1140000}"/>
    <cellStyle name="Normal 10 2 10 4 5 3" xfId="5282" xr:uid="{00000000-0005-0000-0000-0000A2140000}"/>
    <cellStyle name="Normal 10 2 10 4 5 4" xfId="5283" xr:uid="{00000000-0005-0000-0000-0000A3140000}"/>
    <cellStyle name="Normal 10 2 10 4 5 5" xfId="5284" xr:uid="{00000000-0005-0000-0000-0000A4140000}"/>
    <cellStyle name="Normal 10 2 10 4 5 6" xfId="5285" xr:uid="{00000000-0005-0000-0000-0000A5140000}"/>
    <cellStyle name="Normal 10 2 10 4 5 7" xfId="5286" xr:uid="{00000000-0005-0000-0000-0000A6140000}"/>
    <cellStyle name="Normal 10 2 10 4 5 8" xfId="5287" xr:uid="{00000000-0005-0000-0000-0000A7140000}"/>
    <cellStyle name="Normal 10 2 10 4 5 9" xfId="5288" xr:uid="{00000000-0005-0000-0000-0000A8140000}"/>
    <cellStyle name="Normal 10 2 10 4 6" xfId="5289" xr:uid="{00000000-0005-0000-0000-0000A9140000}"/>
    <cellStyle name="Normal 10 2 10 4 7" xfId="5290" xr:uid="{00000000-0005-0000-0000-0000AA140000}"/>
    <cellStyle name="Normal 10 2 10 4 8" xfId="5291" xr:uid="{00000000-0005-0000-0000-0000AB140000}"/>
    <cellStyle name="Normal 10 2 10 4 9" xfId="5292" xr:uid="{00000000-0005-0000-0000-0000AC140000}"/>
    <cellStyle name="Normal 10 2 10 40" xfId="5293" xr:uid="{00000000-0005-0000-0000-0000AD140000}"/>
    <cellStyle name="Normal 10 2 10 41" xfId="5294" xr:uid="{00000000-0005-0000-0000-0000AE140000}"/>
    <cellStyle name="Normal 10 2 10 42" xfId="5295" xr:uid="{00000000-0005-0000-0000-0000AF140000}"/>
    <cellStyle name="Normal 10 2 10 43" xfId="5296" xr:uid="{00000000-0005-0000-0000-0000B0140000}"/>
    <cellStyle name="Normal 10 2 10 44" xfId="5297" xr:uid="{00000000-0005-0000-0000-0000B1140000}"/>
    <cellStyle name="Normal 10 2 10 45" xfId="5298" xr:uid="{00000000-0005-0000-0000-0000B2140000}"/>
    <cellStyle name="Normal 10 2 10 46" xfId="5299" xr:uid="{00000000-0005-0000-0000-0000B3140000}"/>
    <cellStyle name="Normal 10 2 10 47" xfId="5300" xr:uid="{00000000-0005-0000-0000-0000B4140000}"/>
    <cellStyle name="Normal 10 2 10 48" xfId="5301" xr:uid="{00000000-0005-0000-0000-0000B5140000}"/>
    <cellStyle name="Normal 10 2 10 49" xfId="5302" xr:uid="{00000000-0005-0000-0000-0000B6140000}"/>
    <cellStyle name="Normal 10 2 10 5" xfId="5303" xr:uid="{00000000-0005-0000-0000-0000B7140000}"/>
    <cellStyle name="Normal 10 2 10 5 10" xfId="5304" xr:uid="{00000000-0005-0000-0000-0000B8140000}"/>
    <cellStyle name="Normal 10 2 10 5 11" xfId="5305" xr:uid="{00000000-0005-0000-0000-0000B9140000}"/>
    <cellStyle name="Normal 10 2 10 5 12" xfId="5306" xr:uid="{00000000-0005-0000-0000-0000BA140000}"/>
    <cellStyle name="Normal 10 2 10 5 13" xfId="5307" xr:uid="{00000000-0005-0000-0000-0000BB140000}"/>
    <cellStyle name="Normal 10 2 10 5 14" xfId="5308" xr:uid="{00000000-0005-0000-0000-0000BC140000}"/>
    <cellStyle name="Normal 10 2 10 5 2" xfId="5309" xr:uid="{00000000-0005-0000-0000-0000BD140000}"/>
    <cellStyle name="Normal 10 2 10 5 2 10" xfId="5310" xr:uid="{00000000-0005-0000-0000-0000BE140000}"/>
    <cellStyle name="Normal 10 2 10 5 2 2" xfId="5311" xr:uid="{00000000-0005-0000-0000-0000BF140000}"/>
    <cellStyle name="Normal 10 2 10 5 2 3" xfId="5312" xr:uid="{00000000-0005-0000-0000-0000C0140000}"/>
    <cellStyle name="Normal 10 2 10 5 2 4" xfId="5313" xr:uid="{00000000-0005-0000-0000-0000C1140000}"/>
    <cellStyle name="Normal 10 2 10 5 2 5" xfId="5314" xr:uid="{00000000-0005-0000-0000-0000C2140000}"/>
    <cellStyle name="Normal 10 2 10 5 2 6" xfId="5315" xr:uid="{00000000-0005-0000-0000-0000C3140000}"/>
    <cellStyle name="Normal 10 2 10 5 2 7" xfId="5316" xr:uid="{00000000-0005-0000-0000-0000C4140000}"/>
    <cellStyle name="Normal 10 2 10 5 2 8" xfId="5317" xr:uid="{00000000-0005-0000-0000-0000C5140000}"/>
    <cellStyle name="Normal 10 2 10 5 2 9" xfId="5318" xr:uid="{00000000-0005-0000-0000-0000C6140000}"/>
    <cellStyle name="Normal 10 2 10 5 3" xfId="5319" xr:uid="{00000000-0005-0000-0000-0000C7140000}"/>
    <cellStyle name="Normal 10 2 10 5 3 10" xfId="5320" xr:uid="{00000000-0005-0000-0000-0000C8140000}"/>
    <cellStyle name="Normal 10 2 10 5 3 2" xfId="5321" xr:uid="{00000000-0005-0000-0000-0000C9140000}"/>
    <cellStyle name="Normal 10 2 10 5 3 3" xfId="5322" xr:uid="{00000000-0005-0000-0000-0000CA140000}"/>
    <cellStyle name="Normal 10 2 10 5 3 4" xfId="5323" xr:uid="{00000000-0005-0000-0000-0000CB140000}"/>
    <cellStyle name="Normal 10 2 10 5 3 5" xfId="5324" xr:uid="{00000000-0005-0000-0000-0000CC140000}"/>
    <cellStyle name="Normal 10 2 10 5 3 6" xfId="5325" xr:uid="{00000000-0005-0000-0000-0000CD140000}"/>
    <cellStyle name="Normal 10 2 10 5 3 7" xfId="5326" xr:uid="{00000000-0005-0000-0000-0000CE140000}"/>
    <cellStyle name="Normal 10 2 10 5 3 8" xfId="5327" xr:uid="{00000000-0005-0000-0000-0000CF140000}"/>
    <cellStyle name="Normal 10 2 10 5 3 9" xfId="5328" xr:uid="{00000000-0005-0000-0000-0000D0140000}"/>
    <cellStyle name="Normal 10 2 10 5 4" xfId="5329" xr:uid="{00000000-0005-0000-0000-0000D1140000}"/>
    <cellStyle name="Normal 10 2 10 5 4 10" xfId="5330" xr:uid="{00000000-0005-0000-0000-0000D2140000}"/>
    <cellStyle name="Normal 10 2 10 5 4 2" xfId="5331" xr:uid="{00000000-0005-0000-0000-0000D3140000}"/>
    <cellStyle name="Normal 10 2 10 5 4 3" xfId="5332" xr:uid="{00000000-0005-0000-0000-0000D4140000}"/>
    <cellStyle name="Normal 10 2 10 5 4 4" xfId="5333" xr:uid="{00000000-0005-0000-0000-0000D5140000}"/>
    <cellStyle name="Normal 10 2 10 5 4 5" xfId="5334" xr:uid="{00000000-0005-0000-0000-0000D6140000}"/>
    <cellStyle name="Normal 10 2 10 5 4 6" xfId="5335" xr:uid="{00000000-0005-0000-0000-0000D7140000}"/>
    <cellStyle name="Normal 10 2 10 5 4 7" xfId="5336" xr:uid="{00000000-0005-0000-0000-0000D8140000}"/>
    <cellStyle name="Normal 10 2 10 5 4 8" xfId="5337" xr:uid="{00000000-0005-0000-0000-0000D9140000}"/>
    <cellStyle name="Normal 10 2 10 5 4 9" xfId="5338" xr:uid="{00000000-0005-0000-0000-0000DA140000}"/>
    <cellStyle name="Normal 10 2 10 5 5" xfId="5339" xr:uid="{00000000-0005-0000-0000-0000DB140000}"/>
    <cellStyle name="Normal 10 2 10 5 5 10" xfId="5340" xr:uid="{00000000-0005-0000-0000-0000DC140000}"/>
    <cellStyle name="Normal 10 2 10 5 5 2" xfId="5341" xr:uid="{00000000-0005-0000-0000-0000DD140000}"/>
    <cellStyle name="Normal 10 2 10 5 5 3" xfId="5342" xr:uid="{00000000-0005-0000-0000-0000DE140000}"/>
    <cellStyle name="Normal 10 2 10 5 5 4" xfId="5343" xr:uid="{00000000-0005-0000-0000-0000DF140000}"/>
    <cellStyle name="Normal 10 2 10 5 5 5" xfId="5344" xr:uid="{00000000-0005-0000-0000-0000E0140000}"/>
    <cellStyle name="Normal 10 2 10 5 5 6" xfId="5345" xr:uid="{00000000-0005-0000-0000-0000E1140000}"/>
    <cellStyle name="Normal 10 2 10 5 5 7" xfId="5346" xr:uid="{00000000-0005-0000-0000-0000E2140000}"/>
    <cellStyle name="Normal 10 2 10 5 5 8" xfId="5347" xr:uid="{00000000-0005-0000-0000-0000E3140000}"/>
    <cellStyle name="Normal 10 2 10 5 5 9" xfId="5348" xr:uid="{00000000-0005-0000-0000-0000E4140000}"/>
    <cellStyle name="Normal 10 2 10 5 6" xfId="5349" xr:uid="{00000000-0005-0000-0000-0000E5140000}"/>
    <cellStyle name="Normal 10 2 10 5 7" xfId="5350" xr:uid="{00000000-0005-0000-0000-0000E6140000}"/>
    <cellStyle name="Normal 10 2 10 5 8" xfId="5351" xr:uid="{00000000-0005-0000-0000-0000E7140000}"/>
    <cellStyle name="Normal 10 2 10 5 9" xfId="5352" xr:uid="{00000000-0005-0000-0000-0000E8140000}"/>
    <cellStyle name="Normal 10 2 10 50" xfId="21" xr:uid="{00000000-0005-0000-0000-000015000000}"/>
    <cellStyle name="Normal 10 2 10 50 2" xfId="50" xr:uid="{00000000-0005-0000-0000-000032000000}"/>
    <cellStyle name="Normal 10 2 10 50 3" xfId="5353" xr:uid="{00000000-0005-0000-0000-0000E9140000}"/>
    <cellStyle name="Normal 10 2 10 51" xfId="2248" xr:uid="{00000000-0005-0000-0000-0000C8080000}"/>
    <cellStyle name="Normal 10 2 10 6" xfId="5354" xr:uid="{00000000-0005-0000-0000-0000EA140000}"/>
    <cellStyle name="Normal 10 2 10 6 10" xfId="5355" xr:uid="{00000000-0005-0000-0000-0000EB140000}"/>
    <cellStyle name="Normal 10 2 10 6 11" xfId="5356" xr:uid="{00000000-0005-0000-0000-0000EC140000}"/>
    <cellStyle name="Normal 10 2 10 6 12" xfId="5357" xr:uid="{00000000-0005-0000-0000-0000ED140000}"/>
    <cellStyle name="Normal 10 2 10 6 13" xfId="5358" xr:uid="{00000000-0005-0000-0000-0000EE140000}"/>
    <cellStyle name="Normal 10 2 10 6 14" xfId="5359" xr:uid="{00000000-0005-0000-0000-0000EF140000}"/>
    <cellStyle name="Normal 10 2 10 6 2" xfId="5360" xr:uid="{00000000-0005-0000-0000-0000F0140000}"/>
    <cellStyle name="Normal 10 2 10 6 2 10" xfId="5361" xr:uid="{00000000-0005-0000-0000-0000F1140000}"/>
    <cellStyle name="Normal 10 2 10 6 2 2" xfId="5362" xr:uid="{00000000-0005-0000-0000-0000F2140000}"/>
    <cellStyle name="Normal 10 2 10 6 2 3" xfId="5363" xr:uid="{00000000-0005-0000-0000-0000F3140000}"/>
    <cellStyle name="Normal 10 2 10 6 2 4" xfId="5364" xr:uid="{00000000-0005-0000-0000-0000F4140000}"/>
    <cellStyle name="Normal 10 2 10 6 2 5" xfId="5365" xr:uid="{00000000-0005-0000-0000-0000F5140000}"/>
    <cellStyle name="Normal 10 2 10 6 2 6" xfId="5366" xr:uid="{00000000-0005-0000-0000-0000F6140000}"/>
    <cellStyle name="Normal 10 2 10 6 2 7" xfId="5367" xr:uid="{00000000-0005-0000-0000-0000F7140000}"/>
    <cellStyle name="Normal 10 2 10 6 2 8" xfId="5368" xr:uid="{00000000-0005-0000-0000-0000F8140000}"/>
    <cellStyle name="Normal 10 2 10 6 2 9" xfId="5369" xr:uid="{00000000-0005-0000-0000-0000F9140000}"/>
    <cellStyle name="Normal 10 2 10 6 3" xfId="5370" xr:uid="{00000000-0005-0000-0000-0000FA140000}"/>
    <cellStyle name="Normal 10 2 10 6 3 10" xfId="5371" xr:uid="{00000000-0005-0000-0000-0000FB140000}"/>
    <cellStyle name="Normal 10 2 10 6 3 2" xfId="5372" xr:uid="{00000000-0005-0000-0000-0000FC140000}"/>
    <cellStyle name="Normal 10 2 10 6 3 3" xfId="5373" xr:uid="{00000000-0005-0000-0000-0000FD140000}"/>
    <cellStyle name="Normal 10 2 10 6 3 4" xfId="5374" xr:uid="{00000000-0005-0000-0000-0000FE140000}"/>
    <cellStyle name="Normal 10 2 10 6 3 5" xfId="5375" xr:uid="{00000000-0005-0000-0000-0000FF140000}"/>
    <cellStyle name="Normal 10 2 10 6 3 6" xfId="5376" xr:uid="{00000000-0005-0000-0000-000000150000}"/>
    <cellStyle name="Normal 10 2 10 6 3 7" xfId="5377" xr:uid="{00000000-0005-0000-0000-000001150000}"/>
    <cellStyle name="Normal 10 2 10 6 3 8" xfId="5378" xr:uid="{00000000-0005-0000-0000-000002150000}"/>
    <cellStyle name="Normal 10 2 10 6 3 9" xfId="5379" xr:uid="{00000000-0005-0000-0000-000003150000}"/>
    <cellStyle name="Normal 10 2 10 6 4" xfId="5380" xr:uid="{00000000-0005-0000-0000-000004150000}"/>
    <cellStyle name="Normal 10 2 10 6 4 10" xfId="5381" xr:uid="{00000000-0005-0000-0000-000005150000}"/>
    <cellStyle name="Normal 10 2 10 6 4 2" xfId="5382" xr:uid="{00000000-0005-0000-0000-000006150000}"/>
    <cellStyle name="Normal 10 2 10 6 4 3" xfId="5383" xr:uid="{00000000-0005-0000-0000-000007150000}"/>
    <cellStyle name="Normal 10 2 10 6 4 4" xfId="5384" xr:uid="{00000000-0005-0000-0000-000008150000}"/>
    <cellStyle name="Normal 10 2 10 6 4 5" xfId="5385" xr:uid="{00000000-0005-0000-0000-000009150000}"/>
    <cellStyle name="Normal 10 2 10 6 4 6" xfId="5386" xr:uid="{00000000-0005-0000-0000-00000A150000}"/>
    <cellStyle name="Normal 10 2 10 6 4 7" xfId="5387" xr:uid="{00000000-0005-0000-0000-00000B150000}"/>
    <cellStyle name="Normal 10 2 10 6 4 8" xfId="5388" xr:uid="{00000000-0005-0000-0000-00000C150000}"/>
    <cellStyle name="Normal 10 2 10 6 4 9" xfId="5389" xr:uid="{00000000-0005-0000-0000-00000D150000}"/>
    <cellStyle name="Normal 10 2 10 6 5" xfId="5390" xr:uid="{00000000-0005-0000-0000-00000E150000}"/>
    <cellStyle name="Normal 10 2 10 6 5 10" xfId="5391" xr:uid="{00000000-0005-0000-0000-00000F150000}"/>
    <cellStyle name="Normal 10 2 10 6 5 2" xfId="5392" xr:uid="{00000000-0005-0000-0000-000010150000}"/>
    <cellStyle name="Normal 10 2 10 6 5 3" xfId="5393" xr:uid="{00000000-0005-0000-0000-000011150000}"/>
    <cellStyle name="Normal 10 2 10 6 5 4" xfId="5394" xr:uid="{00000000-0005-0000-0000-000012150000}"/>
    <cellStyle name="Normal 10 2 10 6 5 5" xfId="5395" xr:uid="{00000000-0005-0000-0000-000013150000}"/>
    <cellStyle name="Normal 10 2 10 6 5 6" xfId="5396" xr:uid="{00000000-0005-0000-0000-000014150000}"/>
    <cellStyle name="Normal 10 2 10 6 5 7" xfId="5397" xr:uid="{00000000-0005-0000-0000-000015150000}"/>
    <cellStyle name="Normal 10 2 10 6 5 8" xfId="5398" xr:uid="{00000000-0005-0000-0000-000016150000}"/>
    <cellStyle name="Normal 10 2 10 6 5 9" xfId="5399" xr:uid="{00000000-0005-0000-0000-000017150000}"/>
    <cellStyle name="Normal 10 2 10 6 6" xfId="5400" xr:uid="{00000000-0005-0000-0000-000018150000}"/>
    <cellStyle name="Normal 10 2 10 6 7" xfId="5401" xr:uid="{00000000-0005-0000-0000-000019150000}"/>
    <cellStyle name="Normal 10 2 10 6 8" xfId="5402" xr:uid="{00000000-0005-0000-0000-00001A150000}"/>
    <cellStyle name="Normal 10 2 10 6 9" xfId="5403" xr:uid="{00000000-0005-0000-0000-00001B150000}"/>
    <cellStyle name="Normal 10 2 10 7" xfId="5404" xr:uid="{00000000-0005-0000-0000-00001C150000}"/>
    <cellStyle name="Normal 10 2 10 7 10" xfId="5405" xr:uid="{00000000-0005-0000-0000-00001D150000}"/>
    <cellStyle name="Normal 10 2 10 7 11" xfId="5406" xr:uid="{00000000-0005-0000-0000-00001E150000}"/>
    <cellStyle name="Normal 10 2 10 7 12" xfId="5407" xr:uid="{00000000-0005-0000-0000-00001F150000}"/>
    <cellStyle name="Normal 10 2 10 7 13" xfId="5408" xr:uid="{00000000-0005-0000-0000-000020150000}"/>
    <cellStyle name="Normal 10 2 10 7 14" xfId="5409" xr:uid="{00000000-0005-0000-0000-000021150000}"/>
    <cellStyle name="Normal 10 2 10 7 2" xfId="5410" xr:uid="{00000000-0005-0000-0000-000022150000}"/>
    <cellStyle name="Normal 10 2 10 7 2 10" xfId="5411" xr:uid="{00000000-0005-0000-0000-000023150000}"/>
    <cellStyle name="Normal 10 2 10 7 2 2" xfId="5412" xr:uid="{00000000-0005-0000-0000-000024150000}"/>
    <cellStyle name="Normal 10 2 10 7 2 3" xfId="5413" xr:uid="{00000000-0005-0000-0000-000025150000}"/>
    <cellStyle name="Normal 10 2 10 7 2 4" xfId="5414" xr:uid="{00000000-0005-0000-0000-000026150000}"/>
    <cellStyle name="Normal 10 2 10 7 2 5" xfId="5415" xr:uid="{00000000-0005-0000-0000-000027150000}"/>
    <cellStyle name="Normal 10 2 10 7 2 6" xfId="5416" xr:uid="{00000000-0005-0000-0000-000028150000}"/>
    <cellStyle name="Normal 10 2 10 7 2 7" xfId="5417" xr:uid="{00000000-0005-0000-0000-000029150000}"/>
    <cellStyle name="Normal 10 2 10 7 2 8" xfId="5418" xr:uid="{00000000-0005-0000-0000-00002A150000}"/>
    <cellStyle name="Normal 10 2 10 7 2 9" xfId="5419" xr:uid="{00000000-0005-0000-0000-00002B150000}"/>
    <cellStyle name="Normal 10 2 10 7 3" xfId="5420" xr:uid="{00000000-0005-0000-0000-00002C150000}"/>
    <cellStyle name="Normal 10 2 10 7 3 10" xfId="5421" xr:uid="{00000000-0005-0000-0000-00002D150000}"/>
    <cellStyle name="Normal 10 2 10 7 3 2" xfId="5422" xr:uid="{00000000-0005-0000-0000-00002E150000}"/>
    <cellStyle name="Normal 10 2 10 7 3 3" xfId="5423" xr:uid="{00000000-0005-0000-0000-00002F150000}"/>
    <cellStyle name="Normal 10 2 10 7 3 4" xfId="5424" xr:uid="{00000000-0005-0000-0000-000030150000}"/>
    <cellStyle name="Normal 10 2 10 7 3 5" xfId="5425" xr:uid="{00000000-0005-0000-0000-000031150000}"/>
    <cellStyle name="Normal 10 2 10 7 3 6" xfId="5426" xr:uid="{00000000-0005-0000-0000-000032150000}"/>
    <cellStyle name="Normal 10 2 10 7 3 7" xfId="5427" xr:uid="{00000000-0005-0000-0000-000033150000}"/>
    <cellStyle name="Normal 10 2 10 7 3 8" xfId="5428" xr:uid="{00000000-0005-0000-0000-000034150000}"/>
    <cellStyle name="Normal 10 2 10 7 3 9" xfId="5429" xr:uid="{00000000-0005-0000-0000-000035150000}"/>
    <cellStyle name="Normal 10 2 10 7 4" xfId="5430" xr:uid="{00000000-0005-0000-0000-000036150000}"/>
    <cellStyle name="Normal 10 2 10 7 4 10" xfId="5431" xr:uid="{00000000-0005-0000-0000-000037150000}"/>
    <cellStyle name="Normal 10 2 10 7 4 2" xfId="5432" xr:uid="{00000000-0005-0000-0000-000038150000}"/>
    <cellStyle name="Normal 10 2 10 7 4 3" xfId="5433" xr:uid="{00000000-0005-0000-0000-000039150000}"/>
    <cellStyle name="Normal 10 2 10 7 4 4" xfId="5434" xr:uid="{00000000-0005-0000-0000-00003A150000}"/>
    <cellStyle name="Normal 10 2 10 7 4 5" xfId="5435" xr:uid="{00000000-0005-0000-0000-00003B150000}"/>
    <cellStyle name="Normal 10 2 10 7 4 6" xfId="5436" xr:uid="{00000000-0005-0000-0000-00003C150000}"/>
    <cellStyle name="Normal 10 2 10 7 4 7" xfId="5437" xr:uid="{00000000-0005-0000-0000-00003D150000}"/>
    <cellStyle name="Normal 10 2 10 7 4 8" xfId="5438" xr:uid="{00000000-0005-0000-0000-00003E150000}"/>
    <cellStyle name="Normal 10 2 10 7 4 9" xfId="5439" xr:uid="{00000000-0005-0000-0000-00003F150000}"/>
    <cellStyle name="Normal 10 2 10 7 5" xfId="5440" xr:uid="{00000000-0005-0000-0000-000040150000}"/>
    <cellStyle name="Normal 10 2 10 7 5 10" xfId="5441" xr:uid="{00000000-0005-0000-0000-000041150000}"/>
    <cellStyle name="Normal 10 2 10 7 5 2" xfId="5442" xr:uid="{00000000-0005-0000-0000-000042150000}"/>
    <cellStyle name="Normal 10 2 10 7 5 3" xfId="5443" xr:uid="{00000000-0005-0000-0000-000043150000}"/>
    <cellStyle name="Normal 10 2 10 7 5 4" xfId="5444" xr:uid="{00000000-0005-0000-0000-000044150000}"/>
    <cellStyle name="Normal 10 2 10 7 5 5" xfId="5445" xr:uid="{00000000-0005-0000-0000-000045150000}"/>
    <cellStyle name="Normal 10 2 10 7 5 6" xfId="5446" xr:uid="{00000000-0005-0000-0000-000046150000}"/>
    <cellStyle name="Normal 10 2 10 7 5 7" xfId="5447" xr:uid="{00000000-0005-0000-0000-000047150000}"/>
    <cellStyle name="Normal 10 2 10 7 5 8" xfId="5448" xr:uid="{00000000-0005-0000-0000-000048150000}"/>
    <cellStyle name="Normal 10 2 10 7 5 9" xfId="5449" xr:uid="{00000000-0005-0000-0000-000049150000}"/>
    <cellStyle name="Normal 10 2 10 7 6" xfId="5450" xr:uid="{00000000-0005-0000-0000-00004A150000}"/>
    <cellStyle name="Normal 10 2 10 7 7" xfId="5451" xr:uid="{00000000-0005-0000-0000-00004B150000}"/>
    <cellStyle name="Normal 10 2 10 7 8" xfId="5452" xr:uid="{00000000-0005-0000-0000-00004C150000}"/>
    <cellStyle name="Normal 10 2 10 7 9" xfId="5453" xr:uid="{00000000-0005-0000-0000-00004D150000}"/>
    <cellStyle name="Normal 10 2 10 8" xfId="5454" xr:uid="{00000000-0005-0000-0000-00004E150000}"/>
    <cellStyle name="Normal 10 2 10 8 10" xfId="5455" xr:uid="{00000000-0005-0000-0000-00004F150000}"/>
    <cellStyle name="Normal 10 2 10 8 11" xfId="5456" xr:uid="{00000000-0005-0000-0000-000050150000}"/>
    <cellStyle name="Normal 10 2 10 8 12" xfId="5457" xr:uid="{00000000-0005-0000-0000-000051150000}"/>
    <cellStyle name="Normal 10 2 10 8 13" xfId="5458" xr:uid="{00000000-0005-0000-0000-000052150000}"/>
    <cellStyle name="Normal 10 2 10 8 14" xfId="5459" xr:uid="{00000000-0005-0000-0000-000053150000}"/>
    <cellStyle name="Normal 10 2 10 8 2" xfId="5460" xr:uid="{00000000-0005-0000-0000-000054150000}"/>
    <cellStyle name="Normal 10 2 10 8 2 10" xfId="5461" xr:uid="{00000000-0005-0000-0000-000055150000}"/>
    <cellStyle name="Normal 10 2 10 8 2 2" xfId="5462" xr:uid="{00000000-0005-0000-0000-000056150000}"/>
    <cellStyle name="Normal 10 2 10 8 2 3" xfId="5463" xr:uid="{00000000-0005-0000-0000-000057150000}"/>
    <cellStyle name="Normal 10 2 10 8 2 4" xfId="5464" xr:uid="{00000000-0005-0000-0000-000058150000}"/>
    <cellStyle name="Normal 10 2 10 8 2 5" xfId="5465" xr:uid="{00000000-0005-0000-0000-000059150000}"/>
    <cellStyle name="Normal 10 2 10 8 2 6" xfId="5466" xr:uid="{00000000-0005-0000-0000-00005A150000}"/>
    <cellStyle name="Normal 10 2 10 8 2 7" xfId="5467" xr:uid="{00000000-0005-0000-0000-00005B150000}"/>
    <cellStyle name="Normal 10 2 10 8 2 8" xfId="5468" xr:uid="{00000000-0005-0000-0000-00005C150000}"/>
    <cellStyle name="Normal 10 2 10 8 2 9" xfId="5469" xr:uid="{00000000-0005-0000-0000-00005D150000}"/>
    <cellStyle name="Normal 10 2 10 8 3" xfId="5470" xr:uid="{00000000-0005-0000-0000-00005E150000}"/>
    <cellStyle name="Normal 10 2 10 8 3 10" xfId="5471" xr:uid="{00000000-0005-0000-0000-00005F150000}"/>
    <cellStyle name="Normal 10 2 10 8 3 2" xfId="5472" xr:uid="{00000000-0005-0000-0000-000060150000}"/>
    <cellStyle name="Normal 10 2 10 8 3 3" xfId="5473" xr:uid="{00000000-0005-0000-0000-000061150000}"/>
    <cellStyle name="Normal 10 2 10 8 3 4" xfId="5474" xr:uid="{00000000-0005-0000-0000-000062150000}"/>
    <cellStyle name="Normal 10 2 10 8 3 5" xfId="5475" xr:uid="{00000000-0005-0000-0000-000063150000}"/>
    <cellStyle name="Normal 10 2 10 8 3 6" xfId="5476" xr:uid="{00000000-0005-0000-0000-000064150000}"/>
    <cellStyle name="Normal 10 2 10 8 3 7" xfId="5477" xr:uid="{00000000-0005-0000-0000-000065150000}"/>
    <cellStyle name="Normal 10 2 10 8 3 8" xfId="5478" xr:uid="{00000000-0005-0000-0000-000066150000}"/>
    <cellStyle name="Normal 10 2 10 8 3 9" xfId="5479" xr:uid="{00000000-0005-0000-0000-000067150000}"/>
    <cellStyle name="Normal 10 2 10 8 4" xfId="5480" xr:uid="{00000000-0005-0000-0000-000068150000}"/>
    <cellStyle name="Normal 10 2 10 8 4 10" xfId="5481" xr:uid="{00000000-0005-0000-0000-000069150000}"/>
    <cellStyle name="Normal 10 2 10 8 4 2" xfId="5482" xr:uid="{00000000-0005-0000-0000-00006A150000}"/>
    <cellStyle name="Normal 10 2 10 8 4 3" xfId="5483" xr:uid="{00000000-0005-0000-0000-00006B150000}"/>
    <cellStyle name="Normal 10 2 10 8 4 4" xfId="5484" xr:uid="{00000000-0005-0000-0000-00006C150000}"/>
    <cellStyle name="Normal 10 2 10 8 4 5" xfId="5485" xr:uid="{00000000-0005-0000-0000-00006D150000}"/>
    <cellStyle name="Normal 10 2 10 8 4 6" xfId="5486" xr:uid="{00000000-0005-0000-0000-00006E150000}"/>
    <cellStyle name="Normal 10 2 10 8 4 7" xfId="5487" xr:uid="{00000000-0005-0000-0000-00006F150000}"/>
    <cellStyle name="Normal 10 2 10 8 4 8" xfId="5488" xr:uid="{00000000-0005-0000-0000-000070150000}"/>
    <cellStyle name="Normal 10 2 10 8 4 9" xfId="5489" xr:uid="{00000000-0005-0000-0000-000071150000}"/>
    <cellStyle name="Normal 10 2 10 8 5" xfId="5490" xr:uid="{00000000-0005-0000-0000-000072150000}"/>
    <cellStyle name="Normal 10 2 10 8 5 10" xfId="5491" xr:uid="{00000000-0005-0000-0000-000073150000}"/>
    <cellStyle name="Normal 10 2 10 8 5 2" xfId="5492" xr:uid="{00000000-0005-0000-0000-000074150000}"/>
    <cellStyle name="Normal 10 2 10 8 5 3" xfId="5493" xr:uid="{00000000-0005-0000-0000-000075150000}"/>
    <cellStyle name="Normal 10 2 10 8 5 4" xfId="5494" xr:uid="{00000000-0005-0000-0000-000076150000}"/>
    <cellStyle name="Normal 10 2 10 8 5 5" xfId="5495" xr:uid="{00000000-0005-0000-0000-000077150000}"/>
    <cellStyle name="Normal 10 2 10 8 5 6" xfId="5496" xr:uid="{00000000-0005-0000-0000-000078150000}"/>
    <cellStyle name="Normal 10 2 10 8 5 7" xfId="5497" xr:uid="{00000000-0005-0000-0000-000079150000}"/>
    <cellStyle name="Normal 10 2 10 8 5 8" xfId="5498" xr:uid="{00000000-0005-0000-0000-00007A150000}"/>
    <cellStyle name="Normal 10 2 10 8 5 9" xfId="5499" xr:uid="{00000000-0005-0000-0000-00007B150000}"/>
    <cellStyle name="Normal 10 2 10 8 6" xfId="5500" xr:uid="{00000000-0005-0000-0000-00007C150000}"/>
    <cellStyle name="Normal 10 2 10 8 7" xfId="5501" xr:uid="{00000000-0005-0000-0000-00007D150000}"/>
    <cellStyle name="Normal 10 2 10 8 8" xfId="5502" xr:uid="{00000000-0005-0000-0000-00007E150000}"/>
    <cellStyle name="Normal 10 2 10 8 9" xfId="5503" xr:uid="{00000000-0005-0000-0000-00007F150000}"/>
    <cellStyle name="Normal 10 2 10 9" xfId="5504" xr:uid="{00000000-0005-0000-0000-000080150000}"/>
    <cellStyle name="Normal 10 2 10 9 10" xfId="5505" xr:uid="{00000000-0005-0000-0000-000081150000}"/>
    <cellStyle name="Normal 10 2 10 9 11" xfId="5506" xr:uid="{00000000-0005-0000-0000-000082150000}"/>
    <cellStyle name="Normal 10 2 10 9 12" xfId="5507" xr:uid="{00000000-0005-0000-0000-000083150000}"/>
    <cellStyle name="Normal 10 2 10 9 13" xfId="5508" xr:uid="{00000000-0005-0000-0000-000084150000}"/>
    <cellStyle name="Normal 10 2 10 9 14" xfId="5509" xr:uid="{00000000-0005-0000-0000-000085150000}"/>
    <cellStyle name="Normal 10 2 10 9 2" xfId="5510" xr:uid="{00000000-0005-0000-0000-000086150000}"/>
    <cellStyle name="Normal 10 2 10 9 2 10" xfId="5511" xr:uid="{00000000-0005-0000-0000-000087150000}"/>
    <cellStyle name="Normal 10 2 10 9 2 2" xfId="5512" xr:uid="{00000000-0005-0000-0000-000088150000}"/>
    <cellStyle name="Normal 10 2 10 9 2 3" xfId="5513" xr:uid="{00000000-0005-0000-0000-000089150000}"/>
    <cellStyle name="Normal 10 2 10 9 2 4" xfId="5514" xr:uid="{00000000-0005-0000-0000-00008A150000}"/>
    <cellStyle name="Normal 10 2 10 9 2 5" xfId="5515" xr:uid="{00000000-0005-0000-0000-00008B150000}"/>
    <cellStyle name="Normal 10 2 10 9 2 6" xfId="5516" xr:uid="{00000000-0005-0000-0000-00008C150000}"/>
    <cellStyle name="Normal 10 2 10 9 2 7" xfId="5517" xr:uid="{00000000-0005-0000-0000-00008D150000}"/>
    <cellStyle name="Normal 10 2 10 9 2 8" xfId="5518" xr:uid="{00000000-0005-0000-0000-00008E150000}"/>
    <cellStyle name="Normal 10 2 10 9 2 9" xfId="5519" xr:uid="{00000000-0005-0000-0000-00008F150000}"/>
    <cellStyle name="Normal 10 2 10 9 3" xfId="5520" xr:uid="{00000000-0005-0000-0000-000090150000}"/>
    <cellStyle name="Normal 10 2 10 9 3 10" xfId="5521" xr:uid="{00000000-0005-0000-0000-000091150000}"/>
    <cellStyle name="Normal 10 2 10 9 3 2" xfId="5522" xr:uid="{00000000-0005-0000-0000-000092150000}"/>
    <cellStyle name="Normal 10 2 10 9 3 3" xfId="5523" xr:uid="{00000000-0005-0000-0000-000093150000}"/>
    <cellStyle name="Normal 10 2 10 9 3 4" xfId="5524" xr:uid="{00000000-0005-0000-0000-000094150000}"/>
    <cellStyle name="Normal 10 2 10 9 3 5" xfId="5525" xr:uid="{00000000-0005-0000-0000-000095150000}"/>
    <cellStyle name="Normal 10 2 10 9 3 6" xfId="5526" xr:uid="{00000000-0005-0000-0000-000096150000}"/>
    <cellStyle name="Normal 10 2 10 9 3 7" xfId="5527" xr:uid="{00000000-0005-0000-0000-000097150000}"/>
    <cellStyle name="Normal 10 2 10 9 3 8" xfId="5528" xr:uid="{00000000-0005-0000-0000-000098150000}"/>
    <cellStyle name="Normal 10 2 10 9 3 9" xfId="5529" xr:uid="{00000000-0005-0000-0000-000099150000}"/>
    <cellStyle name="Normal 10 2 10 9 4" xfId="5530" xr:uid="{00000000-0005-0000-0000-00009A150000}"/>
    <cellStyle name="Normal 10 2 10 9 4 10" xfId="5531" xr:uid="{00000000-0005-0000-0000-00009B150000}"/>
    <cellStyle name="Normal 10 2 10 9 4 2" xfId="5532" xr:uid="{00000000-0005-0000-0000-00009C150000}"/>
    <cellStyle name="Normal 10 2 10 9 4 3" xfId="5533" xr:uid="{00000000-0005-0000-0000-00009D150000}"/>
    <cellStyle name="Normal 10 2 10 9 4 4" xfId="5534" xr:uid="{00000000-0005-0000-0000-00009E150000}"/>
    <cellStyle name="Normal 10 2 10 9 4 5" xfId="5535" xr:uid="{00000000-0005-0000-0000-00009F150000}"/>
    <cellStyle name="Normal 10 2 10 9 4 6" xfId="5536" xr:uid="{00000000-0005-0000-0000-0000A0150000}"/>
    <cellStyle name="Normal 10 2 10 9 4 7" xfId="5537" xr:uid="{00000000-0005-0000-0000-0000A1150000}"/>
    <cellStyle name="Normal 10 2 10 9 4 8" xfId="5538" xr:uid="{00000000-0005-0000-0000-0000A2150000}"/>
    <cellStyle name="Normal 10 2 10 9 4 9" xfId="5539" xr:uid="{00000000-0005-0000-0000-0000A3150000}"/>
    <cellStyle name="Normal 10 2 10 9 5" xfId="5540" xr:uid="{00000000-0005-0000-0000-0000A4150000}"/>
    <cellStyle name="Normal 10 2 10 9 5 10" xfId="5541" xr:uid="{00000000-0005-0000-0000-0000A5150000}"/>
    <cellStyle name="Normal 10 2 10 9 5 2" xfId="5542" xr:uid="{00000000-0005-0000-0000-0000A6150000}"/>
    <cellStyle name="Normal 10 2 10 9 5 3" xfId="5543" xr:uid="{00000000-0005-0000-0000-0000A7150000}"/>
    <cellStyle name="Normal 10 2 10 9 5 4" xfId="5544" xr:uid="{00000000-0005-0000-0000-0000A8150000}"/>
    <cellStyle name="Normal 10 2 10 9 5 5" xfId="5545" xr:uid="{00000000-0005-0000-0000-0000A9150000}"/>
    <cellStyle name="Normal 10 2 10 9 5 6" xfId="5546" xr:uid="{00000000-0005-0000-0000-0000AA150000}"/>
    <cellStyle name="Normal 10 2 10 9 5 7" xfId="5547" xr:uid="{00000000-0005-0000-0000-0000AB150000}"/>
    <cellStyle name="Normal 10 2 10 9 5 8" xfId="5548" xr:uid="{00000000-0005-0000-0000-0000AC150000}"/>
    <cellStyle name="Normal 10 2 10 9 5 9" xfId="5549" xr:uid="{00000000-0005-0000-0000-0000AD150000}"/>
    <cellStyle name="Normal 10 2 10 9 6" xfId="5550" xr:uid="{00000000-0005-0000-0000-0000AE150000}"/>
    <cellStyle name="Normal 10 2 10 9 7" xfId="5551" xr:uid="{00000000-0005-0000-0000-0000AF150000}"/>
    <cellStyle name="Normal 10 2 10 9 8" xfId="5552" xr:uid="{00000000-0005-0000-0000-0000B0150000}"/>
    <cellStyle name="Normal 10 2 10 9 9" xfId="5553" xr:uid="{00000000-0005-0000-0000-0000B1150000}"/>
    <cellStyle name="Normal 10 2 11" xfId="5554" xr:uid="{00000000-0005-0000-0000-0000B2150000}"/>
    <cellStyle name="Normal 10 2 12" xfId="5555" xr:uid="{00000000-0005-0000-0000-0000B3150000}"/>
    <cellStyle name="Normal 10 2 13" xfId="5556" xr:uid="{00000000-0005-0000-0000-0000B4150000}"/>
    <cellStyle name="Normal 10 2 14" xfId="5557" xr:uid="{00000000-0005-0000-0000-0000B5150000}"/>
    <cellStyle name="Normal 10 2 15" xfId="5558" xr:uid="{00000000-0005-0000-0000-0000B6150000}"/>
    <cellStyle name="Normal 10 2 16" xfId="5559" xr:uid="{00000000-0005-0000-0000-0000B7150000}"/>
    <cellStyle name="Normal 10 2 17" xfId="5560" xr:uid="{00000000-0005-0000-0000-0000B8150000}"/>
    <cellStyle name="Normal 10 2 18" xfId="5561" xr:uid="{00000000-0005-0000-0000-0000B9150000}"/>
    <cellStyle name="Normal 10 2 19" xfId="5562" xr:uid="{00000000-0005-0000-0000-0000BA150000}"/>
    <cellStyle name="Normal 10 2 2" xfId="5563" xr:uid="{00000000-0005-0000-0000-0000BB150000}"/>
    <cellStyle name="Normal 10 2 2 2" xfId="5564" xr:uid="{00000000-0005-0000-0000-0000BC150000}"/>
    <cellStyle name="Normal 10 2 2 2 2" xfId="5565" xr:uid="{00000000-0005-0000-0000-0000BD150000}"/>
    <cellStyle name="Normal 10 2 20" xfId="5566" xr:uid="{00000000-0005-0000-0000-0000BE150000}"/>
    <cellStyle name="Normal 10 2 21" xfId="5567" xr:uid="{00000000-0005-0000-0000-0000BF150000}"/>
    <cellStyle name="Normal 10 2 22" xfId="5568" xr:uid="{00000000-0005-0000-0000-0000C0150000}"/>
    <cellStyle name="Normal 10 2 23" xfId="5569" xr:uid="{00000000-0005-0000-0000-0000C1150000}"/>
    <cellStyle name="Normal 10 2 24" xfId="5570" xr:uid="{00000000-0005-0000-0000-0000C2150000}"/>
    <cellStyle name="Normal 10 2 25" xfId="5571" xr:uid="{00000000-0005-0000-0000-0000C3150000}"/>
    <cellStyle name="Normal 10 2 26" xfId="5572" xr:uid="{00000000-0005-0000-0000-0000C4150000}"/>
    <cellStyle name="Normal 10 2 27" xfId="5573" xr:uid="{00000000-0005-0000-0000-0000C5150000}"/>
    <cellStyle name="Normal 10 2 28" xfId="5574" xr:uid="{00000000-0005-0000-0000-0000C6150000}"/>
    <cellStyle name="Normal 10 2 29" xfId="5575" xr:uid="{00000000-0005-0000-0000-0000C7150000}"/>
    <cellStyle name="Normal 10 2 3" xfId="5576" xr:uid="{00000000-0005-0000-0000-0000C8150000}"/>
    <cellStyle name="Normal 10 2 30" xfId="5577" xr:uid="{00000000-0005-0000-0000-0000C9150000}"/>
    <cellStyle name="Normal 10 2 31" xfId="5578" xr:uid="{00000000-0005-0000-0000-0000CA150000}"/>
    <cellStyle name="Normal 10 2 32" xfId="5579" xr:uid="{00000000-0005-0000-0000-0000CB150000}"/>
    <cellStyle name="Normal 10 2 33" xfId="5580" xr:uid="{00000000-0005-0000-0000-0000CC150000}"/>
    <cellStyle name="Normal 10 2 34" xfId="5581" xr:uid="{00000000-0005-0000-0000-0000CD150000}"/>
    <cellStyle name="Normal 10 2 35" xfId="5582" xr:uid="{00000000-0005-0000-0000-0000CE150000}"/>
    <cellStyle name="Normal 10 2 36" xfId="5583" xr:uid="{00000000-0005-0000-0000-0000CF150000}"/>
    <cellStyle name="Normal 10 2 37" xfId="5584" xr:uid="{00000000-0005-0000-0000-0000D0150000}"/>
    <cellStyle name="Normal 10 2 38" xfId="5585" xr:uid="{00000000-0005-0000-0000-0000D1150000}"/>
    <cellStyle name="Normal 10 2 39" xfId="5586" xr:uid="{00000000-0005-0000-0000-0000D2150000}"/>
    <cellStyle name="Normal 10 2 4" xfId="5587" xr:uid="{00000000-0005-0000-0000-0000D3150000}"/>
    <cellStyle name="Normal 10 2 40" xfId="5588" xr:uid="{00000000-0005-0000-0000-0000D4150000}"/>
    <cellStyle name="Normal 10 2 41" xfId="5589" xr:uid="{00000000-0005-0000-0000-0000D5150000}"/>
    <cellStyle name="Normal 10 2 42" xfId="5590" xr:uid="{00000000-0005-0000-0000-0000D6150000}"/>
    <cellStyle name="Normal 10 2 43" xfId="5591" xr:uid="{00000000-0005-0000-0000-0000D7150000}"/>
    <cellStyle name="Normal 10 2 44" xfId="5592" xr:uid="{00000000-0005-0000-0000-0000D8150000}"/>
    <cellStyle name="Normal 10 2 45" xfId="5593" xr:uid="{00000000-0005-0000-0000-0000D9150000}"/>
    <cellStyle name="Normal 10 2 46" xfId="5594" xr:uid="{00000000-0005-0000-0000-0000DA150000}"/>
    <cellStyle name="Normal 10 2 47" xfId="5595" xr:uid="{00000000-0005-0000-0000-0000DB150000}"/>
    <cellStyle name="Normal 10 2 48" xfId="5596" xr:uid="{00000000-0005-0000-0000-0000DC150000}"/>
    <cellStyle name="Normal 10 2 49" xfId="5597" xr:uid="{00000000-0005-0000-0000-0000DD150000}"/>
    <cellStyle name="Normal 10 2 5" xfId="5598" xr:uid="{00000000-0005-0000-0000-0000DE150000}"/>
    <cellStyle name="Normal 10 2 50" xfId="5599" xr:uid="{00000000-0005-0000-0000-0000DF150000}"/>
    <cellStyle name="Normal 10 2 51" xfId="5600" xr:uid="{00000000-0005-0000-0000-0000E0150000}"/>
    <cellStyle name="Normal 10 2 52" xfId="5601" xr:uid="{00000000-0005-0000-0000-0000E1150000}"/>
    <cellStyle name="Normal 10 2 53" xfId="5602" xr:uid="{00000000-0005-0000-0000-0000E2150000}"/>
    <cellStyle name="Normal 10 2 54" xfId="5603" xr:uid="{00000000-0005-0000-0000-0000E3150000}"/>
    <cellStyle name="Normal 10 2 55" xfId="5604" xr:uid="{00000000-0005-0000-0000-0000E4150000}"/>
    <cellStyle name="Normal 10 2 56" xfId="5605" xr:uid="{00000000-0005-0000-0000-0000E5150000}"/>
    <cellStyle name="Normal 10 2 57" xfId="5606" xr:uid="{00000000-0005-0000-0000-0000E6150000}"/>
    <cellStyle name="Normal 10 2 58" xfId="5607" xr:uid="{00000000-0005-0000-0000-0000E7150000}"/>
    <cellStyle name="Normal 10 2 59" xfId="5608" xr:uid="{00000000-0005-0000-0000-0000E8150000}"/>
    <cellStyle name="Normal 10 2 6" xfId="5609" xr:uid="{00000000-0005-0000-0000-0000E9150000}"/>
    <cellStyle name="Normal 10 2 60" xfId="5610" xr:uid="{00000000-0005-0000-0000-0000EA150000}"/>
    <cellStyle name="Normal 10 2 61" xfId="5611" xr:uid="{00000000-0005-0000-0000-0000EB150000}"/>
    <cellStyle name="Normal 10 2 62" xfId="5612" xr:uid="{00000000-0005-0000-0000-0000EC150000}"/>
    <cellStyle name="Normal 10 2 63" xfId="5613" xr:uid="{00000000-0005-0000-0000-0000ED150000}"/>
    <cellStyle name="Normal 10 2 64" xfId="5614" xr:uid="{00000000-0005-0000-0000-0000EE150000}"/>
    <cellStyle name="Normal 10 2 65" xfId="5615" xr:uid="{00000000-0005-0000-0000-0000EF150000}"/>
    <cellStyle name="Normal 10 2 66" xfId="5616" xr:uid="{00000000-0005-0000-0000-0000F0150000}"/>
    <cellStyle name="Normal 10 2 67" xfId="5617" xr:uid="{00000000-0005-0000-0000-0000F1150000}"/>
    <cellStyle name="Normal 10 2 68" xfId="5618" xr:uid="{00000000-0005-0000-0000-0000F2150000}"/>
    <cellStyle name="Normal 10 2 69" xfId="5619" xr:uid="{00000000-0005-0000-0000-0000F3150000}"/>
    <cellStyle name="Normal 10 2 7" xfId="5620" xr:uid="{00000000-0005-0000-0000-0000F4150000}"/>
    <cellStyle name="Normal 10 2 70" xfId="5621" xr:uid="{00000000-0005-0000-0000-0000F5150000}"/>
    <cellStyle name="Normal 10 2 71" xfId="5622" xr:uid="{00000000-0005-0000-0000-0000F6150000}"/>
    <cellStyle name="Normal 10 2 72" xfId="5623" xr:uid="{00000000-0005-0000-0000-0000F7150000}"/>
    <cellStyle name="Normal 10 2 73" xfId="5624" xr:uid="{00000000-0005-0000-0000-0000F8150000}"/>
    <cellStyle name="Normal 10 2 74" xfId="5625" xr:uid="{00000000-0005-0000-0000-0000F9150000}"/>
    <cellStyle name="Normal 10 2 75" xfId="5626" xr:uid="{00000000-0005-0000-0000-0000FA150000}"/>
    <cellStyle name="Normal 10 2 76" xfId="5627" xr:uid="{00000000-0005-0000-0000-0000FB150000}"/>
    <cellStyle name="Normal 10 2 77" xfId="5628" xr:uid="{00000000-0005-0000-0000-0000FC150000}"/>
    <cellStyle name="Normal 10 2 78" xfId="5629" xr:uid="{00000000-0005-0000-0000-0000FD150000}"/>
    <cellStyle name="Normal 10 2 79" xfId="5630" xr:uid="{00000000-0005-0000-0000-0000FE150000}"/>
    <cellStyle name="Normal 10 2 8" xfId="5631" xr:uid="{00000000-0005-0000-0000-0000FF150000}"/>
    <cellStyle name="Normal 10 2 9" xfId="5632" xr:uid="{00000000-0005-0000-0000-000000160000}"/>
    <cellStyle name="Normal 10 2_Enlaces" xfId="5633" xr:uid="{00000000-0005-0000-0000-000001160000}"/>
    <cellStyle name="Normal 10 20" xfId="5634" xr:uid="{00000000-0005-0000-0000-000002160000}"/>
    <cellStyle name="Normal 10 21" xfId="5635" xr:uid="{00000000-0005-0000-0000-000003160000}"/>
    <cellStyle name="Normal 10 22" xfId="5636" xr:uid="{00000000-0005-0000-0000-000004160000}"/>
    <cellStyle name="Normal 10 23" xfId="5637" xr:uid="{00000000-0005-0000-0000-000005160000}"/>
    <cellStyle name="Normal 10 24" xfId="5638" xr:uid="{00000000-0005-0000-0000-000006160000}"/>
    <cellStyle name="Normal 10 25" xfId="5639" xr:uid="{00000000-0005-0000-0000-000007160000}"/>
    <cellStyle name="Normal 10 26" xfId="5640" xr:uid="{00000000-0005-0000-0000-000008160000}"/>
    <cellStyle name="Normal 10 27" xfId="5641" xr:uid="{00000000-0005-0000-0000-000009160000}"/>
    <cellStyle name="Normal 10 28" xfId="5642" xr:uid="{00000000-0005-0000-0000-00000A160000}"/>
    <cellStyle name="Normal 10 29" xfId="5643" xr:uid="{00000000-0005-0000-0000-00000B160000}"/>
    <cellStyle name="Normal 10 3" xfId="5644" xr:uid="{00000000-0005-0000-0000-00000C160000}"/>
    <cellStyle name="Normal 10 3 2" xfId="5645" xr:uid="{00000000-0005-0000-0000-00000D160000}"/>
    <cellStyle name="Normal 10 3 3" xfId="5646" xr:uid="{00000000-0005-0000-0000-00000E160000}"/>
    <cellStyle name="Normal 10 3 4" xfId="5647" xr:uid="{00000000-0005-0000-0000-00000F160000}"/>
    <cellStyle name="Normal 10 3 4 2" xfId="5648" xr:uid="{00000000-0005-0000-0000-000010160000}"/>
    <cellStyle name="Normal 10 3 4 2 2" xfId="5649" xr:uid="{00000000-0005-0000-0000-000011160000}"/>
    <cellStyle name="Normal 10 3 4 3" xfId="5650" xr:uid="{00000000-0005-0000-0000-000012160000}"/>
    <cellStyle name="Normal 10 3 5" xfId="5651" xr:uid="{00000000-0005-0000-0000-000013160000}"/>
    <cellStyle name="Normal 10 3 6" xfId="5652" xr:uid="{00000000-0005-0000-0000-000014160000}"/>
    <cellStyle name="Normal 10 3 7" xfId="5653" xr:uid="{00000000-0005-0000-0000-000015160000}"/>
    <cellStyle name="Normal 10 3 7 2" xfId="5654" xr:uid="{00000000-0005-0000-0000-000016160000}"/>
    <cellStyle name="Normal 10 3 8" xfId="5655" xr:uid="{00000000-0005-0000-0000-000017160000}"/>
    <cellStyle name="Normal 10 3 9" xfId="5656" xr:uid="{00000000-0005-0000-0000-000018160000}"/>
    <cellStyle name="Normal 10 3_Implem" xfId="5657" xr:uid="{00000000-0005-0000-0000-000019160000}"/>
    <cellStyle name="Normal 10 30" xfId="5658" xr:uid="{00000000-0005-0000-0000-00001A160000}"/>
    <cellStyle name="Normal 10 31" xfId="5659" xr:uid="{00000000-0005-0000-0000-00001B160000}"/>
    <cellStyle name="Normal 10 32" xfId="2236" xr:uid="{00000000-0005-0000-0000-0000BC080000}"/>
    <cellStyle name="Normal 10 4" xfId="5660" xr:uid="{00000000-0005-0000-0000-00001C160000}"/>
    <cellStyle name="Normal 10 5" xfId="5661" xr:uid="{00000000-0005-0000-0000-00001D160000}"/>
    <cellStyle name="Normal 10 6" xfId="5662" xr:uid="{00000000-0005-0000-0000-00001E160000}"/>
    <cellStyle name="Normal 10 7" xfId="5663" xr:uid="{00000000-0005-0000-0000-00001F160000}"/>
    <cellStyle name="Normal 10 8" xfId="5664" xr:uid="{00000000-0005-0000-0000-000020160000}"/>
    <cellStyle name="Normal 10 9" xfId="5665" xr:uid="{00000000-0005-0000-0000-000021160000}"/>
    <cellStyle name="Normal 100" xfId="5666" xr:uid="{00000000-0005-0000-0000-000022160000}"/>
    <cellStyle name="Normal 100 2" xfId="5667" xr:uid="{00000000-0005-0000-0000-000023160000}"/>
    <cellStyle name="Normal 100 3" xfId="5668" xr:uid="{00000000-0005-0000-0000-000024160000}"/>
    <cellStyle name="Normal 101" xfId="5669" xr:uid="{00000000-0005-0000-0000-000025160000}"/>
    <cellStyle name="Normal 101 2" xfId="5670" xr:uid="{00000000-0005-0000-0000-000026160000}"/>
    <cellStyle name="Normal 101 3" xfId="5671" xr:uid="{00000000-0005-0000-0000-000027160000}"/>
    <cellStyle name="Normal 102" xfId="5672" xr:uid="{00000000-0005-0000-0000-000028160000}"/>
    <cellStyle name="Normal 102 2" xfId="5673" xr:uid="{00000000-0005-0000-0000-000029160000}"/>
    <cellStyle name="Normal 102 3" xfId="5674" xr:uid="{00000000-0005-0000-0000-00002A160000}"/>
    <cellStyle name="Normal 103" xfId="5675" xr:uid="{00000000-0005-0000-0000-00002B160000}"/>
    <cellStyle name="Normal 103 2" xfId="5676" xr:uid="{00000000-0005-0000-0000-00002C160000}"/>
    <cellStyle name="Normal 104" xfId="5677" xr:uid="{00000000-0005-0000-0000-00002D160000}"/>
    <cellStyle name="Normal 104 2" xfId="5678" xr:uid="{00000000-0005-0000-0000-00002E160000}"/>
    <cellStyle name="Normal 105" xfId="5679" xr:uid="{00000000-0005-0000-0000-00002F160000}"/>
    <cellStyle name="Normal 105 2" xfId="5680" xr:uid="{00000000-0005-0000-0000-000030160000}"/>
    <cellStyle name="Normal 106" xfId="5681" xr:uid="{00000000-0005-0000-0000-000031160000}"/>
    <cellStyle name="Normal 106 2" xfId="5682" xr:uid="{00000000-0005-0000-0000-000032160000}"/>
    <cellStyle name="Normal 107" xfId="5683" xr:uid="{00000000-0005-0000-0000-000033160000}"/>
    <cellStyle name="Normal 107 2" xfId="5684" xr:uid="{00000000-0005-0000-0000-000034160000}"/>
    <cellStyle name="Normal 108" xfId="5685" xr:uid="{00000000-0005-0000-0000-000035160000}"/>
    <cellStyle name="Normal 108 2" xfId="5686" xr:uid="{00000000-0005-0000-0000-000036160000}"/>
    <cellStyle name="Normal 109" xfId="5687" xr:uid="{00000000-0005-0000-0000-000037160000}"/>
    <cellStyle name="Normal 109 2" xfId="5688" xr:uid="{00000000-0005-0000-0000-000038160000}"/>
    <cellStyle name="Normal 11" xfId="69" xr:uid="{00000000-0005-0000-0000-000045000000}"/>
    <cellStyle name="Normal 11 10" xfId="5690" xr:uid="{00000000-0005-0000-0000-00003A160000}"/>
    <cellStyle name="Normal 11 11" xfId="5691" xr:uid="{00000000-0005-0000-0000-00003B160000}"/>
    <cellStyle name="Normal 11 12" xfId="5692" xr:uid="{00000000-0005-0000-0000-00003C160000}"/>
    <cellStyle name="Normal 11 13" xfId="5693" xr:uid="{00000000-0005-0000-0000-00003D160000}"/>
    <cellStyle name="Normal 11 14" xfId="5694" xr:uid="{00000000-0005-0000-0000-00003E160000}"/>
    <cellStyle name="Normal 11 15" xfId="5695" xr:uid="{00000000-0005-0000-0000-00003F160000}"/>
    <cellStyle name="Normal 11 16" xfId="5696" xr:uid="{00000000-0005-0000-0000-000040160000}"/>
    <cellStyle name="Normal 11 17" xfId="5697" xr:uid="{00000000-0005-0000-0000-000041160000}"/>
    <cellStyle name="Normal 11 18" xfId="5698" xr:uid="{00000000-0005-0000-0000-000042160000}"/>
    <cellStyle name="Normal 11 19" xfId="5699" xr:uid="{00000000-0005-0000-0000-000043160000}"/>
    <cellStyle name="Normal 11 2" xfId="5700" xr:uid="{00000000-0005-0000-0000-000044160000}"/>
    <cellStyle name="Normal 11 2 2" xfId="5701" xr:uid="{00000000-0005-0000-0000-000045160000}"/>
    <cellStyle name="Normal 11 2 3" xfId="5702" xr:uid="{00000000-0005-0000-0000-000046160000}"/>
    <cellStyle name="Normal 11 20" xfId="5703" xr:uid="{00000000-0005-0000-0000-000047160000}"/>
    <cellStyle name="Normal 11 21" xfId="5704" xr:uid="{00000000-0005-0000-0000-000048160000}"/>
    <cellStyle name="Normal 11 22" xfId="5705" xr:uid="{00000000-0005-0000-0000-000049160000}"/>
    <cellStyle name="Normal 11 23" xfId="5706" xr:uid="{00000000-0005-0000-0000-00004A160000}"/>
    <cellStyle name="Normal 11 24" xfId="5707" xr:uid="{00000000-0005-0000-0000-00004B160000}"/>
    <cellStyle name="Normal 11 25" xfId="5708" xr:uid="{00000000-0005-0000-0000-00004C160000}"/>
    <cellStyle name="Normal 11 26" xfId="5689" xr:uid="{00000000-0005-0000-0000-000039160000}"/>
    <cellStyle name="Normal 11 3" xfId="5709" xr:uid="{00000000-0005-0000-0000-00004D160000}"/>
    <cellStyle name="Normal 11 3 2" xfId="5710" xr:uid="{00000000-0005-0000-0000-00004E160000}"/>
    <cellStyle name="Normal 11 3 3" xfId="5711" xr:uid="{00000000-0005-0000-0000-00004F160000}"/>
    <cellStyle name="Normal 11 4" xfId="5712" xr:uid="{00000000-0005-0000-0000-000050160000}"/>
    <cellStyle name="Normal 11 5" xfId="5713" xr:uid="{00000000-0005-0000-0000-000051160000}"/>
    <cellStyle name="Normal 11 6" xfId="5714" xr:uid="{00000000-0005-0000-0000-000052160000}"/>
    <cellStyle name="Normal 11 7" xfId="5715" xr:uid="{00000000-0005-0000-0000-000053160000}"/>
    <cellStyle name="Normal 11 8" xfId="5716" xr:uid="{00000000-0005-0000-0000-000054160000}"/>
    <cellStyle name="Normal 11 9" xfId="5717" xr:uid="{00000000-0005-0000-0000-000055160000}"/>
    <cellStyle name="Normal 110" xfId="5718" xr:uid="{00000000-0005-0000-0000-000056160000}"/>
    <cellStyle name="Normal 110 2" xfId="5719" xr:uid="{00000000-0005-0000-0000-000057160000}"/>
    <cellStyle name="Normal 111" xfId="5720" xr:uid="{00000000-0005-0000-0000-000058160000}"/>
    <cellStyle name="Normal 111 2" xfId="5721" xr:uid="{00000000-0005-0000-0000-000059160000}"/>
    <cellStyle name="Normal 112" xfId="5722" xr:uid="{00000000-0005-0000-0000-00005A160000}"/>
    <cellStyle name="Normal 112 2" xfId="5723" xr:uid="{00000000-0005-0000-0000-00005B160000}"/>
    <cellStyle name="Normal 113" xfId="5724" xr:uid="{00000000-0005-0000-0000-00005C160000}"/>
    <cellStyle name="Normal 113 2" xfId="5725" xr:uid="{00000000-0005-0000-0000-00005D160000}"/>
    <cellStyle name="Normal 114" xfId="5726" xr:uid="{00000000-0005-0000-0000-00005E160000}"/>
    <cellStyle name="Normal 114 2" xfId="5727" xr:uid="{00000000-0005-0000-0000-00005F160000}"/>
    <cellStyle name="Normal 115" xfId="5728" xr:uid="{00000000-0005-0000-0000-000060160000}"/>
    <cellStyle name="Normal 115 2" xfId="5729" xr:uid="{00000000-0005-0000-0000-000061160000}"/>
    <cellStyle name="Normal 116" xfId="5730" xr:uid="{00000000-0005-0000-0000-000062160000}"/>
    <cellStyle name="Normal 116 2" xfId="5731" xr:uid="{00000000-0005-0000-0000-000063160000}"/>
    <cellStyle name="Normal 117" xfId="5732" xr:uid="{00000000-0005-0000-0000-000064160000}"/>
    <cellStyle name="Normal 117 2" xfId="5733" xr:uid="{00000000-0005-0000-0000-000065160000}"/>
    <cellStyle name="Normal 118" xfId="5734" xr:uid="{00000000-0005-0000-0000-000066160000}"/>
    <cellStyle name="Normal 118 2" xfId="5735" xr:uid="{00000000-0005-0000-0000-000067160000}"/>
    <cellStyle name="Normal 119" xfId="5736" xr:uid="{00000000-0005-0000-0000-000068160000}"/>
    <cellStyle name="Normal 119 2" xfId="5737" xr:uid="{00000000-0005-0000-0000-000069160000}"/>
    <cellStyle name="Normal 12" xfId="71" xr:uid="{00000000-0005-0000-0000-000047000000}"/>
    <cellStyle name="Normal 12 10" xfId="5739" xr:uid="{00000000-0005-0000-0000-00006B160000}"/>
    <cellStyle name="Normal 12 11" xfId="5740" xr:uid="{00000000-0005-0000-0000-00006C160000}"/>
    <cellStyle name="Normal 12 12" xfId="5741" xr:uid="{00000000-0005-0000-0000-00006D160000}"/>
    <cellStyle name="Normal 12 13" xfId="5742" xr:uid="{00000000-0005-0000-0000-00006E160000}"/>
    <cellStyle name="Normal 12 14" xfId="5743" xr:uid="{00000000-0005-0000-0000-00006F160000}"/>
    <cellStyle name="Normal 12 15" xfId="5744" xr:uid="{00000000-0005-0000-0000-000070160000}"/>
    <cellStyle name="Normal 12 16" xfId="5745" xr:uid="{00000000-0005-0000-0000-000071160000}"/>
    <cellStyle name="Normal 12 17" xfId="5746" xr:uid="{00000000-0005-0000-0000-000072160000}"/>
    <cellStyle name="Normal 12 18" xfId="5747" xr:uid="{00000000-0005-0000-0000-000073160000}"/>
    <cellStyle name="Normal 12 19" xfId="5748" xr:uid="{00000000-0005-0000-0000-000074160000}"/>
    <cellStyle name="Normal 12 2" xfId="5749" xr:uid="{00000000-0005-0000-0000-000075160000}"/>
    <cellStyle name="Normal 12 2 2" xfId="5750" xr:uid="{00000000-0005-0000-0000-000076160000}"/>
    <cellStyle name="Normal 12 2 3" xfId="5751" xr:uid="{00000000-0005-0000-0000-000077160000}"/>
    <cellStyle name="Normal 12 20" xfId="5752" xr:uid="{00000000-0005-0000-0000-000078160000}"/>
    <cellStyle name="Normal 12 21" xfId="5753" xr:uid="{00000000-0005-0000-0000-000079160000}"/>
    <cellStyle name="Normal 12 22" xfId="5754" xr:uid="{00000000-0005-0000-0000-00007A160000}"/>
    <cellStyle name="Normal 12 23" xfId="5755" xr:uid="{00000000-0005-0000-0000-00007B160000}"/>
    <cellStyle name="Normal 12 24" xfId="5756" xr:uid="{00000000-0005-0000-0000-00007C160000}"/>
    <cellStyle name="Normal 12 25" xfId="5757" xr:uid="{00000000-0005-0000-0000-00007D160000}"/>
    <cellStyle name="Normal 12 26" xfId="5738" xr:uid="{00000000-0005-0000-0000-00006A160000}"/>
    <cellStyle name="Normal 12 3" xfId="5758" xr:uid="{00000000-0005-0000-0000-00007E160000}"/>
    <cellStyle name="Normal 12 3 2" xfId="5759" xr:uid="{00000000-0005-0000-0000-00007F160000}"/>
    <cellStyle name="Normal 12 3 3" xfId="5760" xr:uid="{00000000-0005-0000-0000-000080160000}"/>
    <cellStyle name="Normal 12 4" xfId="5761" xr:uid="{00000000-0005-0000-0000-000081160000}"/>
    <cellStyle name="Normal 12 5" xfId="5762" xr:uid="{00000000-0005-0000-0000-000082160000}"/>
    <cellStyle name="Normal 12 6" xfId="5763" xr:uid="{00000000-0005-0000-0000-000083160000}"/>
    <cellStyle name="Normal 12 7" xfId="5764" xr:uid="{00000000-0005-0000-0000-000084160000}"/>
    <cellStyle name="Normal 12 8" xfId="5765" xr:uid="{00000000-0005-0000-0000-000085160000}"/>
    <cellStyle name="Normal 12 9" xfId="5766" xr:uid="{00000000-0005-0000-0000-000086160000}"/>
    <cellStyle name="Normal 120" xfId="5767" xr:uid="{00000000-0005-0000-0000-000087160000}"/>
    <cellStyle name="Normal 120 2" xfId="5768" xr:uid="{00000000-0005-0000-0000-000088160000}"/>
    <cellStyle name="Normal 121" xfId="5769" xr:uid="{00000000-0005-0000-0000-000089160000}"/>
    <cellStyle name="Normal 121 2" xfId="5770" xr:uid="{00000000-0005-0000-0000-00008A160000}"/>
    <cellStyle name="Normal 122" xfId="5771" xr:uid="{00000000-0005-0000-0000-00008B160000}"/>
    <cellStyle name="Normal 122 2" xfId="5772" xr:uid="{00000000-0005-0000-0000-00008C160000}"/>
    <cellStyle name="Normal 123" xfId="5773" xr:uid="{00000000-0005-0000-0000-00008D160000}"/>
    <cellStyle name="Normal 123 2" xfId="5774" xr:uid="{00000000-0005-0000-0000-00008E160000}"/>
    <cellStyle name="Normal 124" xfId="5775" xr:uid="{00000000-0005-0000-0000-00008F160000}"/>
    <cellStyle name="Normal 124 2" xfId="5776" xr:uid="{00000000-0005-0000-0000-000090160000}"/>
    <cellStyle name="Normal 125" xfId="5777" xr:uid="{00000000-0005-0000-0000-000091160000}"/>
    <cellStyle name="Normal 125 2" xfId="5778" xr:uid="{00000000-0005-0000-0000-000092160000}"/>
    <cellStyle name="Normal 126" xfId="5779" xr:uid="{00000000-0005-0000-0000-000093160000}"/>
    <cellStyle name="Normal 126 2" xfId="5780" xr:uid="{00000000-0005-0000-0000-000094160000}"/>
    <cellStyle name="Normal 127" xfId="5781" xr:uid="{00000000-0005-0000-0000-000095160000}"/>
    <cellStyle name="Normal 127 2" xfId="5782" xr:uid="{00000000-0005-0000-0000-000096160000}"/>
    <cellStyle name="Normal 128" xfId="5783" xr:uid="{00000000-0005-0000-0000-000097160000}"/>
    <cellStyle name="Normal 128 2" xfId="5784" xr:uid="{00000000-0005-0000-0000-000098160000}"/>
    <cellStyle name="Normal 129" xfId="5785" xr:uid="{00000000-0005-0000-0000-000099160000}"/>
    <cellStyle name="Normal 129 2" xfId="5786" xr:uid="{00000000-0005-0000-0000-00009A160000}"/>
    <cellStyle name="Normal 13" xfId="78" xr:uid="{00000000-0005-0000-0000-00004E000000}"/>
    <cellStyle name="Normal 13 10" xfId="5788" xr:uid="{00000000-0005-0000-0000-00009C160000}"/>
    <cellStyle name="Normal 13 11" xfId="5789" xr:uid="{00000000-0005-0000-0000-00009D160000}"/>
    <cellStyle name="Normal 13 12" xfId="5790" xr:uid="{00000000-0005-0000-0000-00009E160000}"/>
    <cellStyle name="Normal 13 13" xfId="5791" xr:uid="{00000000-0005-0000-0000-00009F160000}"/>
    <cellStyle name="Normal 13 14" xfId="5792" xr:uid="{00000000-0005-0000-0000-0000A0160000}"/>
    <cellStyle name="Normal 13 15" xfId="5793" xr:uid="{00000000-0005-0000-0000-0000A1160000}"/>
    <cellStyle name="Normal 13 16" xfId="5794" xr:uid="{00000000-0005-0000-0000-0000A2160000}"/>
    <cellStyle name="Normal 13 17" xfId="5795" xr:uid="{00000000-0005-0000-0000-0000A3160000}"/>
    <cellStyle name="Normal 13 18" xfId="5796" xr:uid="{00000000-0005-0000-0000-0000A4160000}"/>
    <cellStyle name="Normal 13 19" xfId="5797" xr:uid="{00000000-0005-0000-0000-0000A5160000}"/>
    <cellStyle name="Normal 13 2" xfId="5798" xr:uid="{00000000-0005-0000-0000-0000A6160000}"/>
    <cellStyle name="Normal 13 2 2" xfId="5799" xr:uid="{00000000-0005-0000-0000-0000A7160000}"/>
    <cellStyle name="Normal 13 2 3" xfId="5800" xr:uid="{00000000-0005-0000-0000-0000A8160000}"/>
    <cellStyle name="Normal 13 20" xfId="5801" xr:uid="{00000000-0005-0000-0000-0000A9160000}"/>
    <cellStyle name="Normal 13 21" xfId="5802" xr:uid="{00000000-0005-0000-0000-0000AA160000}"/>
    <cellStyle name="Normal 13 22" xfId="5803" xr:uid="{00000000-0005-0000-0000-0000AB160000}"/>
    <cellStyle name="Normal 13 23" xfId="5804" xr:uid="{00000000-0005-0000-0000-0000AC160000}"/>
    <cellStyle name="Normal 13 24" xfId="5805" xr:uid="{00000000-0005-0000-0000-0000AD160000}"/>
    <cellStyle name="Normal 13 25" xfId="5806" xr:uid="{00000000-0005-0000-0000-0000AE160000}"/>
    <cellStyle name="Normal 13 26" xfId="5807" xr:uid="{00000000-0005-0000-0000-0000AF160000}"/>
    <cellStyle name="Normal 13 27" xfId="5787" xr:uid="{00000000-0005-0000-0000-00009B160000}"/>
    <cellStyle name="Normal 13 3" xfId="5808" xr:uid="{00000000-0005-0000-0000-0000B0160000}"/>
    <cellStyle name="Normal 13 3 2" xfId="5809" xr:uid="{00000000-0005-0000-0000-0000B1160000}"/>
    <cellStyle name="Normal 13 3 3" xfId="5810" xr:uid="{00000000-0005-0000-0000-0000B2160000}"/>
    <cellStyle name="Normal 13 4" xfId="5811" xr:uid="{00000000-0005-0000-0000-0000B3160000}"/>
    <cellStyle name="Normal 13 5" xfId="5812" xr:uid="{00000000-0005-0000-0000-0000B4160000}"/>
    <cellStyle name="Normal 13 6" xfId="5813" xr:uid="{00000000-0005-0000-0000-0000B5160000}"/>
    <cellStyle name="Normal 13 7" xfId="5814" xr:uid="{00000000-0005-0000-0000-0000B6160000}"/>
    <cellStyle name="Normal 13 8" xfId="5815" xr:uid="{00000000-0005-0000-0000-0000B7160000}"/>
    <cellStyle name="Normal 13 9" xfId="5816" xr:uid="{00000000-0005-0000-0000-0000B8160000}"/>
    <cellStyle name="Normal 130" xfId="5817" xr:uid="{00000000-0005-0000-0000-0000B9160000}"/>
    <cellStyle name="Normal 130 2" xfId="5818" xr:uid="{00000000-0005-0000-0000-0000BA160000}"/>
    <cellStyle name="Normal 131" xfId="5819" xr:uid="{00000000-0005-0000-0000-0000BB160000}"/>
    <cellStyle name="Normal 131 2" xfId="5820" xr:uid="{00000000-0005-0000-0000-0000BC160000}"/>
    <cellStyle name="Normal 132" xfId="5821" xr:uid="{00000000-0005-0000-0000-0000BD160000}"/>
    <cellStyle name="Normal 132 2" xfId="5822" xr:uid="{00000000-0005-0000-0000-0000BE160000}"/>
    <cellStyle name="Normal 133" xfId="5823" xr:uid="{00000000-0005-0000-0000-0000BF160000}"/>
    <cellStyle name="Normal 133 2" xfId="5824" xr:uid="{00000000-0005-0000-0000-0000C0160000}"/>
    <cellStyle name="Normal 134" xfId="5825" xr:uid="{00000000-0005-0000-0000-0000C1160000}"/>
    <cellStyle name="Normal 134 2" xfId="5826" xr:uid="{00000000-0005-0000-0000-0000C2160000}"/>
    <cellStyle name="Normal 135" xfId="5827" xr:uid="{00000000-0005-0000-0000-0000C3160000}"/>
    <cellStyle name="Normal 135 2" xfId="5828" xr:uid="{00000000-0005-0000-0000-0000C4160000}"/>
    <cellStyle name="Normal 136" xfId="5829" xr:uid="{00000000-0005-0000-0000-0000C5160000}"/>
    <cellStyle name="Normal 136 2" xfId="5830" xr:uid="{00000000-0005-0000-0000-0000C6160000}"/>
    <cellStyle name="Normal 137" xfId="5831" xr:uid="{00000000-0005-0000-0000-0000C7160000}"/>
    <cellStyle name="Normal 137 2" xfId="5832" xr:uid="{00000000-0005-0000-0000-0000C8160000}"/>
    <cellStyle name="Normal 138" xfId="5833" xr:uid="{00000000-0005-0000-0000-0000C9160000}"/>
    <cellStyle name="Normal 138 2" xfId="5834" xr:uid="{00000000-0005-0000-0000-0000CA160000}"/>
    <cellStyle name="Normal 139" xfId="5835" xr:uid="{00000000-0005-0000-0000-0000CB160000}"/>
    <cellStyle name="Normal 139 2" xfId="5836" xr:uid="{00000000-0005-0000-0000-0000CC160000}"/>
    <cellStyle name="Normal 14" xfId="5837" xr:uid="{00000000-0005-0000-0000-0000CD160000}"/>
    <cellStyle name="Normal 14 2" xfId="5838" xr:uid="{00000000-0005-0000-0000-0000CE160000}"/>
    <cellStyle name="Normal 14 3" xfId="5839" xr:uid="{00000000-0005-0000-0000-0000CF160000}"/>
    <cellStyle name="Normal 14 3 2" xfId="5840" xr:uid="{00000000-0005-0000-0000-0000D0160000}"/>
    <cellStyle name="Normal 14 4" xfId="5841" xr:uid="{00000000-0005-0000-0000-0000D1160000}"/>
    <cellStyle name="Normal 14 5" xfId="5842" xr:uid="{00000000-0005-0000-0000-0000D2160000}"/>
    <cellStyle name="Normal 140" xfId="5843" xr:uid="{00000000-0005-0000-0000-0000D3160000}"/>
    <cellStyle name="Normal 140 2" xfId="5844" xr:uid="{00000000-0005-0000-0000-0000D4160000}"/>
    <cellStyle name="Normal 141" xfId="5845" xr:uid="{00000000-0005-0000-0000-0000D5160000}"/>
    <cellStyle name="Normal 141 2" xfId="5846" xr:uid="{00000000-0005-0000-0000-0000D6160000}"/>
    <cellStyle name="Normal 142" xfId="5847" xr:uid="{00000000-0005-0000-0000-0000D7160000}"/>
    <cellStyle name="Normal 142 2" xfId="5848" xr:uid="{00000000-0005-0000-0000-0000D8160000}"/>
    <cellStyle name="Normal 143" xfId="5849" xr:uid="{00000000-0005-0000-0000-0000D9160000}"/>
    <cellStyle name="Normal 143 2" xfId="5850" xr:uid="{00000000-0005-0000-0000-0000DA160000}"/>
    <cellStyle name="Normal 144" xfId="5851" xr:uid="{00000000-0005-0000-0000-0000DB160000}"/>
    <cellStyle name="Normal 144 2" xfId="5852" xr:uid="{00000000-0005-0000-0000-0000DC160000}"/>
    <cellStyle name="Normal 145" xfId="5853" xr:uid="{00000000-0005-0000-0000-0000DD160000}"/>
    <cellStyle name="Normal 145 2" xfId="5854" xr:uid="{00000000-0005-0000-0000-0000DE160000}"/>
    <cellStyle name="Normal 146" xfId="5855" xr:uid="{00000000-0005-0000-0000-0000DF160000}"/>
    <cellStyle name="Normal 146 2" xfId="5856" xr:uid="{00000000-0005-0000-0000-0000E0160000}"/>
    <cellStyle name="Normal 147" xfId="5857" xr:uid="{00000000-0005-0000-0000-0000E1160000}"/>
    <cellStyle name="Normal 147 2" xfId="5858" xr:uid="{00000000-0005-0000-0000-0000E2160000}"/>
    <cellStyle name="Normal 148" xfId="5859" xr:uid="{00000000-0005-0000-0000-0000E3160000}"/>
    <cellStyle name="Normal 148 2" xfId="5860" xr:uid="{00000000-0005-0000-0000-0000E4160000}"/>
    <cellStyle name="Normal 149" xfId="5861" xr:uid="{00000000-0005-0000-0000-0000E5160000}"/>
    <cellStyle name="Normal 149 2" xfId="5862" xr:uid="{00000000-0005-0000-0000-0000E6160000}"/>
    <cellStyle name="Normal 15" xfId="17" xr:uid="{00000000-0005-0000-0000-000011000000}"/>
    <cellStyle name="Normal 15 10" xfId="5863" xr:uid="{00000000-0005-0000-0000-0000E7160000}"/>
    <cellStyle name="Normal 15 11" xfId="5864" xr:uid="{00000000-0005-0000-0000-0000E8160000}"/>
    <cellStyle name="Normal 15 12" xfId="5865" xr:uid="{00000000-0005-0000-0000-0000E9160000}"/>
    <cellStyle name="Normal 15 13" xfId="5866" xr:uid="{00000000-0005-0000-0000-0000EA160000}"/>
    <cellStyle name="Normal 15 14" xfId="5867" xr:uid="{00000000-0005-0000-0000-0000EB160000}"/>
    <cellStyle name="Normal 15 15" xfId="5868" xr:uid="{00000000-0005-0000-0000-0000EC160000}"/>
    <cellStyle name="Normal 15 16" xfId="5869" xr:uid="{00000000-0005-0000-0000-0000ED160000}"/>
    <cellStyle name="Normal 15 17" xfId="5870" xr:uid="{00000000-0005-0000-0000-0000EE160000}"/>
    <cellStyle name="Normal 15 18" xfId="5871" xr:uid="{00000000-0005-0000-0000-0000EF160000}"/>
    <cellStyle name="Normal 15 19" xfId="5872" xr:uid="{00000000-0005-0000-0000-0000F0160000}"/>
    <cellStyle name="Normal 15 2" xfId="5873" xr:uid="{00000000-0005-0000-0000-0000F1160000}"/>
    <cellStyle name="Normal 15 2 2" xfId="5874" xr:uid="{00000000-0005-0000-0000-0000F2160000}"/>
    <cellStyle name="Normal 15 2 3" xfId="5875" xr:uid="{00000000-0005-0000-0000-0000F3160000}"/>
    <cellStyle name="Normal 15 20" xfId="5876" xr:uid="{00000000-0005-0000-0000-0000F4160000}"/>
    <cellStyle name="Normal 15 21" xfId="5877" xr:uid="{00000000-0005-0000-0000-0000F5160000}"/>
    <cellStyle name="Normal 15 22" xfId="5878" xr:uid="{00000000-0005-0000-0000-0000F6160000}"/>
    <cellStyle name="Normal 15 23" xfId="5879" xr:uid="{00000000-0005-0000-0000-0000F7160000}"/>
    <cellStyle name="Normal 15 24" xfId="5880" xr:uid="{00000000-0005-0000-0000-0000F8160000}"/>
    <cellStyle name="Normal 15 25" xfId="5881" xr:uid="{00000000-0005-0000-0000-0000F9160000}"/>
    <cellStyle name="Normal 15 3" xfId="5882" xr:uid="{00000000-0005-0000-0000-0000FA160000}"/>
    <cellStyle name="Normal 15 3 2" xfId="5883" xr:uid="{00000000-0005-0000-0000-0000FB160000}"/>
    <cellStyle name="Normal 15 3 3" xfId="5884" xr:uid="{00000000-0005-0000-0000-0000FC160000}"/>
    <cellStyle name="Normal 15 4" xfId="5885" xr:uid="{00000000-0005-0000-0000-0000FD160000}"/>
    <cellStyle name="Normal 15 5" xfId="5886" xr:uid="{00000000-0005-0000-0000-0000FE160000}"/>
    <cellStyle name="Normal 15 6" xfId="5887" xr:uid="{00000000-0005-0000-0000-0000FF160000}"/>
    <cellStyle name="Normal 15 7" xfId="5888" xr:uid="{00000000-0005-0000-0000-000000170000}"/>
    <cellStyle name="Normal 15 8" xfId="5889" xr:uid="{00000000-0005-0000-0000-000001170000}"/>
    <cellStyle name="Normal 15 9" xfId="5890" xr:uid="{00000000-0005-0000-0000-000002170000}"/>
    <cellStyle name="Normal 150" xfId="5891" xr:uid="{00000000-0005-0000-0000-000003170000}"/>
    <cellStyle name="Normal 150 2" xfId="5892" xr:uid="{00000000-0005-0000-0000-000004170000}"/>
    <cellStyle name="Normal 151" xfId="5893" xr:uid="{00000000-0005-0000-0000-000005170000}"/>
    <cellStyle name="Normal 151 2" xfId="5894" xr:uid="{00000000-0005-0000-0000-000006170000}"/>
    <cellStyle name="Normal 152" xfId="5895" xr:uid="{00000000-0005-0000-0000-000007170000}"/>
    <cellStyle name="Normal 152 2" xfId="5896" xr:uid="{00000000-0005-0000-0000-000008170000}"/>
    <cellStyle name="Normal 153" xfId="5897" xr:uid="{00000000-0005-0000-0000-000009170000}"/>
    <cellStyle name="Normal 153 2" xfId="5898" xr:uid="{00000000-0005-0000-0000-00000A170000}"/>
    <cellStyle name="Normal 154" xfId="5899" xr:uid="{00000000-0005-0000-0000-00000B170000}"/>
    <cellStyle name="Normal 154 2" xfId="5900" xr:uid="{00000000-0005-0000-0000-00000C170000}"/>
    <cellStyle name="Normal 155" xfId="5901" xr:uid="{00000000-0005-0000-0000-00000D170000}"/>
    <cellStyle name="Normal 155 2" xfId="5902" xr:uid="{00000000-0005-0000-0000-00000E170000}"/>
    <cellStyle name="Normal 156" xfId="5903" xr:uid="{00000000-0005-0000-0000-00000F170000}"/>
    <cellStyle name="Normal 156 2" xfId="5904" xr:uid="{00000000-0005-0000-0000-000010170000}"/>
    <cellStyle name="Normal 157" xfId="5905" xr:uid="{00000000-0005-0000-0000-000011170000}"/>
    <cellStyle name="Normal 157 2" xfId="5906" xr:uid="{00000000-0005-0000-0000-000012170000}"/>
    <cellStyle name="Normal 158" xfId="5907" xr:uid="{00000000-0005-0000-0000-000013170000}"/>
    <cellStyle name="Normal 158 2" xfId="5908" xr:uid="{00000000-0005-0000-0000-000014170000}"/>
    <cellStyle name="Normal 159" xfId="5909" xr:uid="{00000000-0005-0000-0000-000015170000}"/>
    <cellStyle name="Normal 159 2" xfId="5910" xr:uid="{00000000-0005-0000-0000-000016170000}"/>
    <cellStyle name="Normal 16" xfId="5911" xr:uid="{00000000-0005-0000-0000-000017170000}"/>
    <cellStyle name="Normal 16 10" xfId="5912" xr:uid="{00000000-0005-0000-0000-000018170000}"/>
    <cellStyle name="Normal 16 11" xfId="5913" xr:uid="{00000000-0005-0000-0000-000019170000}"/>
    <cellStyle name="Normal 16 12" xfId="5914" xr:uid="{00000000-0005-0000-0000-00001A170000}"/>
    <cellStyle name="Normal 16 13" xfId="5915" xr:uid="{00000000-0005-0000-0000-00001B170000}"/>
    <cellStyle name="Normal 16 14" xfId="5916" xr:uid="{00000000-0005-0000-0000-00001C170000}"/>
    <cellStyle name="Normal 16 15" xfId="5917" xr:uid="{00000000-0005-0000-0000-00001D170000}"/>
    <cellStyle name="Normal 16 16" xfId="5918" xr:uid="{00000000-0005-0000-0000-00001E170000}"/>
    <cellStyle name="Normal 16 17" xfId="5919" xr:uid="{00000000-0005-0000-0000-00001F170000}"/>
    <cellStyle name="Normal 16 18" xfId="5920" xr:uid="{00000000-0005-0000-0000-000020170000}"/>
    <cellStyle name="Normal 16 19" xfId="5921" xr:uid="{00000000-0005-0000-0000-000021170000}"/>
    <cellStyle name="Normal 16 2" xfId="5922" xr:uid="{00000000-0005-0000-0000-000022170000}"/>
    <cellStyle name="Normal 16 2 2" xfId="5923" xr:uid="{00000000-0005-0000-0000-000023170000}"/>
    <cellStyle name="Normal 16 2 3" xfId="5924" xr:uid="{00000000-0005-0000-0000-000024170000}"/>
    <cellStyle name="Normal 16 20" xfId="5925" xr:uid="{00000000-0005-0000-0000-000025170000}"/>
    <cellStyle name="Normal 16 21" xfId="5926" xr:uid="{00000000-0005-0000-0000-000026170000}"/>
    <cellStyle name="Normal 16 22" xfId="5927" xr:uid="{00000000-0005-0000-0000-000027170000}"/>
    <cellStyle name="Normal 16 23" xfId="5928" xr:uid="{00000000-0005-0000-0000-000028170000}"/>
    <cellStyle name="Normal 16 24" xfId="5929" xr:uid="{00000000-0005-0000-0000-000029170000}"/>
    <cellStyle name="Normal 16 25" xfId="5930" xr:uid="{00000000-0005-0000-0000-00002A170000}"/>
    <cellStyle name="Normal 16 26" xfId="5931" xr:uid="{00000000-0005-0000-0000-00002B170000}"/>
    <cellStyle name="Normal 16 3" xfId="5932" xr:uid="{00000000-0005-0000-0000-00002C170000}"/>
    <cellStyle name="Normal 16 3 2" xfId="5933" xr:uid="{00000000-0005-0000-0000-00002D170000}"/>
    <cellStyle name="Normal 16 3 3" xfId="5934" xr:uid="{00000000-0005-0000-0000-00002E170000}"/>
    <cellStyle name="Normal 16 4" xfId="5935" xr:uid="{00000000-0005-0000-0000-00002F170000}"/>
    <cellStyle name="Normal 16 5" xfId="5936" xr:uid="{00000000-0005-0000-0000-000030170000}"/>
    <cellStyle name="Normal 16 6" xfId="5937" xr:uid="{00000000-0005-0000-0000-000031170000}"/>
    <cellStyle name="Normal 16 7" xfId="5938" xr:uid="{00000000-0005-0000-0000-000032170000}"/>
    <cellStyle name="Normal 16 8" xfId="5939" xr:uid="{00000000-0005-0000-0000-000033170000}"/>
    <cellStyle name="Normal 16 9" xfId="5940" xr:uid="{00000000-0005-0000-0000-000034170000}"/>
    <cellStyle name="Normal 160" xfId="5941" xr:uid="{00000000-0005-0000-0000-000035170000}"/>
    <cellStyle name="Normal 160 2" xfId="5942" xr:uid="{00000000-0005-0000-0000-000036170000}"/>
    <cellStyle name="Normal 161" xfId="5943" xr:uid="{00000000-0005-0000-0000-000037170000}"/>
    <cellStyle name="Normal 161 2" xfId="5944" xr:uid="{00000000-0005-0000-0000-000038170000}"/>
    <cellStyle name="Normal 162" xfId="5945" xr:uid="{00000000-0005-0000-0000-000039170000}"/>
    <cellStyle name="Normal 162 2" xfId="5946" xr:uid="{00000000-0005-0000-0000-00003A170000}"/>
    <cellStyle name="Normal 163" xfId="5947" xr:uid="{00000000-0005-0000-0000-00003B170000}"/>
    <cellStyle name="Normal 163 2" xfId="5948" xr:uid="{00000000-0005-0000-0000-00003C170000}"/>
    <cellStyle name="Normal 164" xfId="5949" xr:uid="{00000000-0005-0000-0000-00003D170000}"/>
    <cellStyle name="Normal 164 2" xfId="5950" xr:uid="{00000000-0005-0000-0000-00003E170000}"/>
    <cellStyle name="Normal 165" xfId="5951" xr:uid="{00000000-0005-0000-0000-00003F170000}"/>
    <cellStyle name="Normal 165 2" xfId="5952" xr:uid="{00000000-0005-0000-0000-000040170000}"/>
    <cellStyle name="Normal 166" xfId="5953" xr:uid="{00000000-0005-0000-0000-000041170000}"/>
    <cellStyle name="Normal 166 2" xfId="5954" xr:uid="{00000000-0005-0000-0000-000042170000}"/>
    <cellStyle name="Normal 167" xfId="5955" xr:uid="{00000000-0005-0000-0000-000043170000}"/>
    <cellStyle name="Normal 167 2" xfId="5956" xr:uid="{00000000-0005-0000-0000-000044170000}"/>
    <cellStyle name="Normal 168" xfId="5957" xr:uid="{00000000-0005-0000-0000-000045170000}"/>
    <cellStyle name="Normal 168 2" xfId="5958" xr:uid="{00000000-0005-0000-0000-000046170000}"/>
    <cellStyle name="Normal 169" xfId="5959" xr:uid="{00000000-0005-0000-0000-000047170000}"/>
    <cellStyle name="Normal 169 2" xfId="5960" xr:uid="{00000000-0005-0000-0000-000048170000}"/>
    <cellStyle name="Normal 17" xfId="18" xr:uid="{00000000-0005-0000-0000-000012000000}"/>
    <cellStyle name="Normal 17 10" xfId="5962" xr:uid="{00000000-0005-0000-0000-00004A170000}"/>
    <cellStyle name="Normal 17 11" xfId="5963" xr:uid="{00000000-0005-0000-0000-00004B170000}"/>
    <cellStyle name="Normal 17 12" xfId="5964" xr:uid="{00000000-0005-0000-0000-00004C170000}"/>
    <cellStyle name="Normal 17 13" xfId="5965" xr:uid="{00000000-0005-0000-0000-00004D170000}"/>
    <cellStyle name="Normal 17 14" xfId="5966" xr:uid="{00000000-0005-0000-0000-00004E170000}"/>
    <cellStyle name="Normal 17 15" xfId="5967" xr:uid="{00000000-0005-0000-0000-00004F170000}"/>
    <cellStyle name="Normal 17 16" xfId="5968" xr:uid="{00000000-0005-0000-0000-000050170000}"/>
    <cellStyle name="Normal 17 17" xfId="5969" xr:uid="{00000000-0005-0000-0000-000051170000}"/>
    <cellStyle name="Normal 17 18" xfId="5970" xr:uid="{00000000-0005-0000-0000-000052170000}"/>
    <cellStyle name="Normal 17 19" xfId="5971" xr:uid="{00000000-0005-0000-0000-000053170000}"/>
    <cellStyle name="Normal 17 2" xfId="5972" xr:uid="{00000000-0005-0000-0000-000054170000}"/>
    <cellStyle name="Normal 17 2 2" xfId="5973" xr:uid="{00000000-0005-0000-0000-000055170000}"/>
    <cellStyle name="Normal 17 2 3" xfId="5974" xr:uid="{00000000-0005-0000-0000-000056170000}"/>
    <cellStyle name="Normal 17 20" xfId="5975" xr:uid="{00000000-0005-0000-0000-000057170000}"/>
    <cellStyle name="Normal 17 21" xfId="5976" xr:uid="{00000000-0005-0000-0000-000058170000}"/>
    <cellStyle name="Normal 17 22" xfId="5977" xr:uid="{00000000-0005-0000-0000-000059170000}"/>
    <cellStyle name="Normal 17 23" xfId="5978" xr:uid="{00000000-0005-0000-0000-00005A170000}"/>
    <cellStyle name="Normal 17 24" xfId="5979" xr:uid="{00000000-0005-0000-0000-00005B170000}"/>
    <cellStyle name="Normal 17 25" xfId="5980" xr:uid="{00000000-0005-0000-0000-00005C170000}"/>
    <cellStyle name="Normal 17 26" xfId="5981" xr:uid="{00000000-0005-0000-0000-00005D170000}"/>
    <cellStyle name="Normal 17 27" xfId="5982" xr:uid="{00000000-0005-0000-0000-00005E170000}"/>
    <cellStyle name="Normal 17 28" xfId="5983" xr:uid="{00000000-0005-0000-0000-00005F170000}"/>
    <cellStyle name="Normal 17 29" xfId="5984" xr:uid="{00000000-0005-0000-0000-000060170000}"/>
    <cellStyle name="Normal 17 3" xfId="5985" xr:uid="{00000000-0005-0000-0000-000061170000}"/>
    <cellStyle name="Normal 17 3 2" xfId="5986" xr:uid="{00000000-0005-0000-0000-000062170000}"/>
    <cellStyle name="Normal 17 3 3" xfId="5987" xr:uid="{00000000-0005-0000-0000-000063170000}"/>
    <cellStyle name="Normal 17 3 4" xfId="5988" xr:uid="{00000000-0005-0000-0000-000064170000}"/>
    <cellStyle name="Normal 17 3 5" xfId="5989" xr:uid="{00000000-0005-0000-0000-000065170000}"/>
    <cellStyle name="Normal 17 30" xfId="5961" xr:uid="{00000000-0005-0000-0000-000049170000}"/>
    <cellStyle name="Normal 17 4" xfId="5990" xr:uid="{00000000-0005-0000-0000-000066170000}"/>
    <cellStyle name="Normal 17 5" xfId="5991" xr:uid="{00000000-0005-0000-0000-000067170000}"/>
    <cellStyle name="Normal 17 6" xfId="5992" xr:uid="{00000000-0005-0000-0000-000068170000}"/>
    <cellStyle name="Normal 17 7" xfId="5993" xr:uid="{00000000-0005-0000-0000-000069170000}"/>
    <cellStyle name="Normal 17 8" xfId="5994" xr:uid="{00000000-0005-0000-0000-00006A170000}"/>
    <cellStyle name="Normal 17 9" xfId="5995" xr:uid="{00000000-0005-0000-0000-00006B170000}"/>
    <cellStyle name="Normal 170" xfId="5996" xr:uid="{00000000-0005-0000-0000-00006C170000}"/>
    <cellStyle name="Normal 171" xfId="5997" xr:uid="{00000000-0005-0000-0000-00006D170000}"/>
    <cellStyle name="Normal 172" xfId="68" xr:uid="{00000000-0005-0000-0000-000044000000}"/>
    <cellStyle name="Normal 172 2" xfId="39187" xr:uid="{00000000-0005-0000-0000-000013990000}"/>
    <cellStyle name="Normal 173" xfId="80" xr:uid="{00000000-0005-0000-0000-000050000000}"/>
    <cellStyle name="Normal 174" xfId="5998" xr:uid="{00000000-0005-0000-0000-00006E170000}"/>
    <cellStyle name="Normal 175" xfId="5999" xr:uid="{00000000-0005-0000-0000-00006F170000}"/>
    <cellStyle name="Normal 176" xfId="6000" xr:uid="{00000000-0005-0000-0000-000070170000}"/>
    <cellStyle name="Normal 177" xfId="39208" xr:uid="{00000000-0005-0000-0000-000028990000}"/>
    <cellStyle name="Normal 178" xfId="39209" xr:uid="{00000000-0005-0000-0000-000029990000}"/>
    <cellStyle name="Normal 179" xfId="39210" xr:uid="{00000000-0005-0000-0000-00002A990000}"/>
    <cellStyle name="Normal 18" xfId="6001" xr:uid="{00000000-0005-0000-0000-000071170000}"/>
    <cellStyle name="Normal 18 10" xfId="6002" xr:uid="{00000000-0005-0000-0000-000072170000}"/>
    <cellStyle name="Normal 18 11" xfId="6003" xr:uid="{00000000-0005-0000-0000-000073170000}"/>
    <cellStyle name="Normal 18 12" xfId="6004" xr:uid="{00000000-0005-0000-0000-000074170000}"/>
    <cellStyle name="Normal 18 13" xfId="6005" xr:uid="{00000000-0005-0000-0000-000075170000}"/>
    <cellStyle name="Normal 18 14" xfId="6006" xr:uid="{00000000-0005-0000-0000-000076170000}"/>
    <cellStyle name="Normal 18 15" xfId="6007" xr:uid="{00000000-0005-0000-0000-000077170000}"/>
    <cellStyle name="Normal 18 16" xfId="6008" xr:uid="{00000000-0005-0000-0000-000078170000}"/>
    <cellStyle name="Normal 18 17" xfId="6009" xr:uid="{00000000-0005-0000-0000-000079170000}"/>
    <cellStyle name="Normal 18 18" xfId="6010" xr:uid="{00000000-0005-0000-0000-00007A170000}"/>
    <cellStyle name="Normal 18 19" xfId="6011" xr:uid="{00000000-0005-0000-0000-00007B170000}"/>
    <cellStyle name="Normal 18 2" xfId="6012" xr:uid="{00000000-0005-0000-0000-00007C170000}"/>
    <cellStyle name="Normal 18 2 2" xfId="6013" xr:uid="{00000000-0005-0000-0000-00007D170000}"/>
    <cellStyle name="Normal 18 2 3" xfId="6014" xr:uid="{00000000-0005-0000-0000-00007E170000}"/>
    <cellStyle name="Normal 18 20" xfId="6015" xr:uid="{00000000-0005-0000-0000-00007F170000}"/>
    <cellStyle name="Normal 18 21" xfId="6016" xr:uid="{00000000-0005-0000-0000-000080170000}"/>
    <cellStyle name="Normal 18 22" xfId="6017" xr:uid="{00000000-0005-0000-0000-000081170000}"/>
    <cellStyle name="Normal 18 23" xfId="6018" xr:uid="{00000000-0005-0000-0000-000082170000}"/>
    <cellStyle name="Normal 18 24" xfId="6019" xr:uid="{00000000-0005-0000-0000-000083170000}"/>
    <cellStyle name="Normal 18 25" xfId="6020" xr:uid="{00000000-0005-0000-0000-000084170000}"/>
    <cellStyle name="Normal 18 3" xfId="6021" xr:uid="{00000000-0005-0000-0000-000085170000}"/>
    <cellStyle name="Normal 18 3 2" xfId="6022" xr:uid="{00000000-0005-0000-0000-000086170000}"/>
    <cellStyle name="Normal 18 3 3" xfId="6023" xr:uid="{00000000-0005-0000-0000-000087170000}"/>
    <cellStyle name="Normal 18 3 4" xfId="6024" xr:uid="{00000000-0005-0000-0000-000088170000}"/>
    <cellStyle name="Normal 18 3 5" xfId="6025" xr:uid="{00000000-0005-0000-0000-000089170000}"/>
    <cellStyle name="Normal 18 4" xfId="6026" xr:uid="{00000000-0005-0000-0000-00008A170000}"/>
    <cellStyle name="Normal 18 5" xfId="6027" xr:uid="{00000000-0005-0000-0000-00008B170000}"/>
    <cellStyle name="Normal 18 6" xfId="6028" xr:uid="{00000000-0005-0000-0000-00008C170000}"/>
    <cellStyle name="Normal 18 7" xfId="6029" xr:uid="{00000000-0005-0000-0000-00008D170000}"/>
    <cellStyle name="Normal 18 8" xfId="6030" xr:uid="{00000000-0005-0000-0000-00008E170000}"/>
    <cellStyle name="Normal 18 9" xfId="6031" xr:uid="{00000000-0005-0000-0000-00008F170000}"/>
    <cellStyle name="Normal 180" xfId="39211" xr:uid="{00000000-0005-0000-0000-00002B990000}"/>
    <cellStyle name="Normal 181" xfId="39212" xr:uid="{00000000-0005-0000-0000-00002C990000}"/>
    <cellStyle name="Normal 182" xfId="39213" xr:uid="{00000000-0005-0000-0000-00002D990000}"/>
    <cellStyle name="Normal 183" xfId="39214" xr:uid="{00000000-0005-0000-0000-00002E990000}"/>
    <cellStyle name="Normal 184" xfId="39215" xr:uid="{00000000-0005-0000-0000-00002F990000}"/>
    <cellStyle name="Normal 185" xfId="39216" xr:uid="{00000000-0005-0000-0000-000030990000}"/>
    <cellStyle name="Normal 186" xfId="39217" xr:uid="{00000000-0005-0000-0000-000031990000}"/>
    <cellStyle name="Normal 187" xfId="39218" xr:uid="{00000000-0005-0000-0000-000032990000}"/>
    <cellStyle name="Normal 188" xfId="39219" xr:uid="{00000000-0005-0000-0000-000033990000}"/>
    <cellStyle name="Normal 189" xfId="39220" xr:uid="{00000000-0005-0000-0000-000034990000}"/>
    <cellStyle name="Normal 19" xfId="6032" xr:uid="{00000000-0005-0000-0000-000090170000}"/>
    <cellStyle name="Normal 19 10" xfId="6033" xr:uid="{00000000-0005-0000-0000-000091170000}"/>
    <cellStyle name="Normal 19 11" xfId="6034" xr:uid="{00000000-0005-0000-0000-000092170000}"/>
    <cellStyle name="Normal 19 12" xfId="6035" xr:uid="{00000000-0005-0000-0000-000093170000}"/>
    <cellStyle name="Normal 19 13" xfId="6036" xr:uid="{00000000-0005-0000-0000-000094170000}"/>
    <cellStyle name="Normal 19 14" xfId="6037" xr:uid="{00000000-0005-0000-0000-000095170000}"/>
    <cellStyle name="Normal 19 15" xfId="6038" xr:uid="{00000000-0005-0000-0000-000096170000}"/>
    <cellStyle name="Normal 19 16" xfId="6039" xr:uid="{00000000-0005-0000-0000-000097170000}"/>
    <cellStyle name="Normal 19 17" xfId="6040" xr:uid="{00000000-0005-0000-0000-000098170000}"/>
    <cellStyle name="Normal 19 18" xfId="6041" xr:uid="{00000000-0005-0000-0000-000099170000}"/>
    <cellStyle name="Normal 19 19" xfId="6042" xr:uid="{00000000-0005-0000-0000-00009A170000}"/>
    <cellStyle name="Normal 19 2" xfId="6043" xr:uid="{00000000-0005-0000-0000-00009B170000}"/>
    <cellStyle name="Normal 19 2 2" xfId="6044" xr:uid="{00000000-0005-0000-0000-00009C170000}"/>
    <cellStyle name="Normal 19 2 3" xfId="6045" xr:uid="{00000000-0005-0000-0000-00009D170000}"/>
    <cellStyle name="Normal 19 20" xfId="6046" xr:uid="{00000000-0005-0000-0000-00009E170000}"/>
    <cellStyle name="Normal 19 21" xfId="6047" xr:uid="{00000000-0005-0000-0000-00009F170000}"/>
    <cellStyle name="Normal 19 22" xfId="6048" xr:uid="{00000000-0005-0000-0000-0000A0170000}"/>
    <cellStyle name="Normal 19 23" xfId="6049" xr:uid="{00000000-0005-0000-0000-0000A1170000}"/>
    <cellStyle name="Normal 19 24" xfId="6050" xr:uid="{00000000-0005-0000-0000-0000A2170000}"/>
    <cellStyle name="Normal 19 25" xfId="6051" xr:uid="{00000000-0005-0000-0000-0000A3170000}"/>
    <cellStyle name="Normal 19 3" xfId="6052" xr:uid="{00000000-0005-0000-0000-0000A4170000}"/>
    <cellStyle name="Normal 19 3 2" xfId="6053" xr:uid="{00000000-0005-0000-0000-0000A5170000}"/>
    <cellStyle name="Normal 19 3 3" xfId="6054" xr:uid="{00000000-0005-0000-0000-0000A6170000}"/>
    <cellStyle name="Normal 19 3 4" xfId="6055" xr:uid="{00000000-0005-0000-0000-0000A7170000}"/>
    <cellStyle name="Normal 19 3 5" xfId="6056" xr:uid="{00000000-0005-0000-0000-0000A8170000}"/>
    <cellStyle name="Normal 19 4" xfId="6057" xr:uid="{00000000-0005-0000-0000-0000A9170000}"/>
    <cellStyle name="Normal 19 5" xfId="6058" xr:uid="{00000000-0005-0000-0000-0000AA170000}"/>
    <cellStyle name="Normal 19 6" xfId="6059" xr:uid="{00000000-0005-0000-0000-0000AB170000}"/>
    <cellStyle name="Normal 19 7" xfId="6060" xr:uid="{00000000-0005-0000-0000-0000AC170000}"/>
    <cellStyle name="Normal 19 8" xfId="6061" xr:uid="{00000000-0005-0000-0000-0000AD170000}"/>
    <cellStyle name="Normal 19 9" xfId="6062" xr:uid="{00000000-0005-0000-0000-0000AE170000}"/>
    <cellStyle name="Normal 190" xfId="39221" xr:uid="{00000000-0005-0000-0000-000035990000}"/>
    <cellStyle name="Normal 191" xfId="39222" xr:uid="{00000000-0005-0000-0000-000036990000}"/>
    <cellStyle name="Normal 192" xfId="39223" xr:uid="{00000000-0005-0000-0000-000037990000}"/>
    <cellStyle name="Normal 193" xfId="39224" xr:uid="{00000000-0005-0000-0000-000038990000}"/>
    <cellStyle name="Normal 194" xfId="39225" xr:uid="{00000000-0005-0000-0000-000039990000}"/>
    <cellStyle name="Normal 195" xfId="39226" xr:uid="{00000000-0005-0000-0000-00003A990000}"/>
    <cellStyle name="Normal 196" xfId="39227" xr:uid="{00000000-0005-0000-0000-00003B990000}"/>
    <cellStyle name="Normal 197" xfId="39228" xr:uid="{00000000-0005-0000-0000-00003C990000}"/>
    <cellStyle name="Normal 198" xfId="39229" xr:uid="{00000000-0005-0000-0000-00003D990000}"/>
    <cellStyle name="Normal 199" xfId="39230" xr:uid="{00000000-0005-0000-0000-00003E990000}"/>
    <cellStyle name="Normal 2" xfId="4" xr:uid="{00000000-0005-0000-0000-000004000000}"/>
    <cellStyle name="Normal 2 10" xfId="13" xr:uid="{00000000-0005-0000-0000-00000D000000}"/>
    <cellStyle name="Normal 2 10 10" xfId="6063" xr:uid="{00000000-0005-0000-0000-0000AF170000}"/>
    <cellStyle name="Normal 2 10 2" xfId="70" xr:uid="{00000000-0005-0000-0000-000046000000}"/>
    <cellStyle name="Normal 2 10 3" xfId="6064" xr:uid="{00000000-0005-0000-0000-0000B0170000}"/>
    <cellStyle name="Normal 2 10 4" xfId="6065" xr:uid="{00000000-0005-0000-0000-0000B1170000}"/>
    <cellStyle name="Normal 2 10_Enlaces" xfId="6066" xr:uid="{00000000-0005-0000-0000-0000B2170000}"/>
    <cellStyle name="Normal 2 100" xfId="6067" xr:uid="{00000000-0005-0000-0000-0000B3170000}"/>
    <cellStyle name="Normal 2 100 2" xfId="6068" xr:uid="{00000000-0005-0000-0000-0000B4170000}"/>
    <cellStyle name="Normal 2 101" xfId="6069" xr:uid="{00000000-0005-0000-0000-0000B5170000}"/>
    <cellStyle name="Normal 2 101 2" xfId="6070" xr:uid="{00000000-0005-0000-0000-0000B6170000}"/>
    <cellStyle name="Normal 2 102" xfId="6071" xr:uid="{00000000-0005-0000-0000-0000B7170000}"/>
    <cellStyle name="Normal 2 102 2" xfId="6072" xr:uid="{00000000-0005-0000-0000-0000B8170000}"/>
    <cellStyle name="Normal 2 103" xfId="6073" xr:uid="{00000000-0005-0000-0000-0000B9170000}"/>
    <cellStyle name="Normal 2 103 2" xfId="6074" xr:uid="{00000000-0005-0000-0000-0000BA170000}"/>
    <cellStyle name="Normal 2 104" xfId="6075" xr:uid="{00000000-0005-0000-0000-0000BB170000}"/>
    <cellStyle name="Normal 2 104 2" xfId="6076" xr:uid="{00000000-0005-0000-0000-0000BC170000}"/>
    <cellStyle name="Normal 2 105" xfId="6077" xr:uid="{00000000-0005-0000-0000-0000BD170000}"/>
    <cellStyle name="Normal 2 106" xfId="6078" xr:uid="{00000000-0005-0000-0000-0000BE170000}"/>
    <cellStyle name="Normal 2 107" xfId="6079" xr:uid="{00000000-0005-0000-0000-0000BF170000}"/>
    <cellStyle name="Normal 2 108" xfId="6080" xr:uid="{00000000-0005-0000-0000-0000C0170000}"/>
    <cellStyle name="Normal 2 109" xfId="6081" xr:uid="{00000000-0005-0000-0000-0000C1170000}"/>
    <cellStyle name="Normal 2 11" xfId="6082" xr:uid="{00000000-0005-0000-0000-0000C2170000}"/>
    <cellStyle name="Normal 2 11 2" xfId="6083" xr:uid="{00000000-0005-0000-0000-0000C3170000}"/>
    <cellStyle name="Normal 2 11 3" xfId="6084" xr:uid="{00000000-0005-0000-0000-0000C4170000}"/>
    <cellStyle name="Normal 2 11 4" xfId="6085" xr:uid="{00000000-0005-0000-0000-0000C5170000}"/>
    <cellStyle name="Normal 2 11 5" xfId="6086" xr:uid="{00000000-0005-0000-0000-0000C6170000}"/>
    <cellStyle name="Normal 2 110" xfId="6087" xr:uid="{00000000-0005-0000-0000-0000C7170000}"/>
    <cellStyle name="Normal 2 111" xfId="6088" xr:uid="{00000000-0005-0000-0000-0000C8170000}"/>
    <cellStyle name="Normal 2 112" xfId="6089" xr:uid="{00000000-0005-0000-0000-0000C9170000}"/>
    <cellStyle name="Normal 2 113" xfId="6090" xr:uid="{00000000-0005-0000-0000-0000CA170000}"/>
    <cellStyle name="Normal 2 114" xfId="6091" xr:uid="{00000000-0005-0000-0000-0000CB170000}"/>
    <cellStyle name="Normal 2 115" xfId="6092" xr:uid="{00000000-0005-0000-0000-0000CC170000}"/>
    <cellStyle name="Normal 2 116" xfId="6093" xr:uid="{00000000-0005-0000-0000-0000CD170000}"/>
    <cellStyle name="Normal 2 117" xfId="6094" xr:uid="{00000000-0005-0000-0000-0000CE170000}"/>
    <cellStyle name="Normal 2 118" xfId="6095" xr:uid="{00000000-0005-0000-0000-0000CF170000}"/>
    <cellStyle name="Normal 2 119" xfId="6096" xr:uid="{00000000-0005-0000-0000-0000D0170000}"/>
    <cellStyle name="Normal 2 12" xfId="6097" xr:uid="{00000000-0005-0000-0000-0000D1170000}"/>
    <cellStyle name="Normal 2 12 2" xfId="6098" xr:uid="{00000000-0005-0000-0000-0000D2170000}"/>
    <cellStyle name="Normal 2 12 3" xfId="6099" xr:uid="{00000000-0005-0000-0000-0000D3170000}"/>
    <cellStyle name="Normal 2 12 4" xfId="6100" xr:uid="{00000000-0005-0000-0000-0000D4170000}"/>
    <cellStyle name="Normal 2 12 5" xfId="6101" xr:uid="{00000000-0005-0000-0000-0000D5170000}"/>
    <cellStyle name="Normal 2 12 6" xfId="6102" xr:uid="{00000000-0005-0000-0000-0000D6170000}"/>
    <cellStyle name="Normal 2 120" xfId="6103" xr:uid="{00000000-0005-0000-0000-0000D7170000}"/>
    <cellStyle name="Normal 2 121" xfId="6104" xr:uid="{00000000-0005-0000-0000-0000D8170000}"/>
    <cellStyle name="Normal 2 122" xfId="6105" xr:uid="{00000000-0005-0000-0000-0000D9170000}"/>
    <cellStyle name="Normal 2 123" xfId="6106" xr:uid="{00000000-0005-0000-0000-0000DA170000}"/>
    <cellStyle name="Normal 2 124" xfId="6107" xr:uid="{00000000-0005-0000-0000-0000DB170000}"/>
    <cellStyle name="Normal 2 125" xfId="6108" xr:uid="{00000000-0005-0000-0000-0000DC170000}"/>
    <cellStyle name="Normal 2 126" xfId="6109" xr:uid="{00000000-0005-0000-0000-0000DD170000}"/>
    <cellStyle name="Normal 2 127" xfId="6110" xr:uid="{00000000-0005-0000-0000-0000DE170000}"/>
    <cellStyle name="Normal 2 128" xfId="6111" xr:uid="{00000000-0005-0000-0000-0000DF170000}"/>
    <cellStyle name="Normal 2 129" xfId="6112" xr:uid="{00000000-0005-0000-0000-0000E0170000}"/>
    <cellStyle name="Normal 2 13" xfId="6113" xr:uid="{00000000-0005-0000-0000-0000E1170000}"/>
    <cellStyle name="Normal 2 13 2" xfId="6114" xr:uid="{00000000-0005-0000-0000-0000E2170000}"/>
    <cellStyle name="Normal 2 13 3" xfId="6115" xr:uid="{00000000-0005-0000-0000-0000E3170000}"/>
    <cellStyle name="Normal 2 13 4" xfId="6116" xr:uid="{00000000-0005-0000-0000-0000E4170000}"/>
    <cellStyle name="Normal 2 13 5" xfId="6117" xr:uid="{00000000-0005-0000-0000-0000E5170000}"/>
    <cellStyle name="Normal 2 13 6" xfId="6118" xr:uid="{00000000-0005-0000-0000-0000E6170000}"/>
    <cellStyle name="Normal 2 130" xfId="6119" xr:uid="{00000000-0005-0000-0000-0000E7170000}"/>
    <cellStyle name="Normal 2 131" xfId="6120" xr:uid="{00000000-0005-0000-0000-0000E8170000}"/>
    <cellStyle name="Normal 2 132" xfId="6121" xr:uid="{00000000-0005-0000-0000-0000E9170000}"/>
    <cellStyle name="Normal 2 133" xfId="6122" xr:uid="{00000000-0005-0000-0000-0000EA170000}"/>
    <cellStyle name="Normal 2 134" xfId="6123" xr:uid="{00000000-0005-0000-0000-0000EB170000}"/>
    <cellStyle name="Normal 2 135" xfId="6124" xr:uid="{00000000-0005-0000-0000-0000EC170000}"/>
    <cellStyle name="Normal 2 136" xfId="6125" xr:uid="{00000000-0005-0000-0000-0000ED170000}"/>
    <cellStyle name="Normal 2 137" xfId="6126" xr:uid="{00000000-0005-0000-0000-0000EE170000}"/>
    <cellStyle name="Normal 2 138" xfId="6127" xr:uid="{00000000-0005-0000-0000-0000EF170000}"/>
    <cellStyle name="Normal 2 139" xfId="6128" xr:uid="{00000000-0005-0000-0000-0000F0170000}"/>
    <cellStyle name="Normal 2 14" xfId="6129" xr:uid="{00000000-0005-0000-0000-0000F1170000}"/>
    <cellStyle name="Normal 2 14 2" xfId="6130" xr:uid="{00000000-0005-0000-0000-0000F2170000}"/>
    <cellStyle name="Normal 2 14 3" xfId="6131" xr:uid="{00000000-0005-0000-0000-0000F3170000}"/>
    <cellStyle name="Normal 2 14 4" xfId="6132" xr:uid="{00000000-0005-0000-0000-0000F4170000}"/>
    <cellStyle name="Normal 2 14 5" xfId="6133" xr:uid="{00000000-0005-0000-0000-0000F5170000}"/>
    <cellStyle name="Normal 2 140" xfId="6134" xr:uid="{00000000-0005-0000-0000-0000F6170000}"/>
    <cellStyle name="Normal 2 141" xfId="6135" xr:uid="{00000000-0005-0000-0000-0000F7170000}"/>
    <cellStyle name="Normal 2 142" xfId="6136" xr:uid="{00000000-0005-0000-0000-0000F8170000}"/>
    <cellStyle name="Normal 2 143" xfId="6137" xr:uid="{00000000-0005-0000-0000-0000F9170000}"/>
    <cellStyle name="Normal 2 144" xfId="6138" xr:uid="{00000000-0005-0000-0000-0000FA170000}"/>
    <cellStyle name="Normal 2 145" xfId="6139" xr:uid="{00000000-0005-0000-0000-0000FB170000}"/>
    <cellStyle name="Normal 2 146" xfId="6140" xr:uid="{00000000-0005-0000-0000-0000FC170000}"/>
    <cellStyle name="Normal 2 147" xfId="6141" xr:uid="{00000000-0005-0000-0000-0000FD170000}"/>
    <cellStyle name="Normal 2 148" xfId="6142" xr:uid="{00000000-0005-0000-0000-0000FE170000}"/>
    <cellStyle name="Normal 2 149" xfId="6143" xr:uid="{00000000-0005-0000-0000-0000FF170000}"/>
    <cellStyle name="Normal 2 15" xfId="6144" xr:uid="{00000000-0005-0000-0000-000000180000}"/>
    <cellStyle name="Normal 2 15 2" xfId="6145" xr:uid="{00000000-0005-0000-0000-000001180000}"/>
    <cellStyle name="Normal 2 15 3" xfId="6146" xr:uid="{00000000-0005-0000-0000-000002180000}"/>
    <cellStyle name="Normal 2 15 4" xfId="6147" xr:uid="{00000000-0005-0000-0000-000003180000}"/>
    <cellStyle name="Normal 2 15 5" xfId="6148" xr:uid="{00000000-0005-0000-0000-000004180000}"/>
    <cellStyle name="Normal 2 15 6" xfId="6149" xr:uid="{00000000-0005-0000-0000-000005180000}"/>
    <cellStyle name="Normal 2 150" xfId="6150" xr:uid="{00000000-0005-0000-0000-000006180000}"/>
    <cellStyle name="Normal 2 151" xfId="6151" xr:uid="{00000000-0005-0000-0000-000007180000}"/>
    <cellStyle name="Normal 2 152" xfId="6152" xr:uid="{00000000-0005-0000-0000-000008180000}"/>
    <cellStyle name="Normal 2 153" xfId="6153" xr:uid="{00000000-0005-0000-0000-000009180000}"/>
    <cellStyle name="Normal 2 154" xfId="6154" xr:uid="{00000000-0005-0000-0000-00000A180000}"/>
    <cellStyle name="Normal 2 155" xfId="6155" xr:uid="{00000000-0005-0000-0000-00000B180000}"/>
    <cellStyle name="Normal 2 156" xfId="6156" xr:uid="{00000000-0005-0000-0000-00000C180000}"/>
    <cellStyle name="Normal 2 157" xfId="6157" xr:uid="{00000000-0005-0000-0000-00000D180000}"/>
    <cellStyle name="Normal 2 158" xfId="6158" xr:uid="{00000000-0005-0000-0000-00000E180000}"/>
    <cellStyle name="Normal 2 159" xfId="6159" xr:uid="{00000000-0005-0000-0000-00000F180000}"/>
    <cellStyle name="Normal 2 16" xfId="6160" xr:uid="{00000000-0005-0000-0000-000010180000}"/>
    <cellStyle name="Normal 2 16 2" xfId="6161" xr:uid="{00000000-0005-0000-0000-000011180000}"/>
    <cellStyle name="Normal 2 16 3" xfId="6162" xr:uid="{00000000-0005-0000-0000-000012180000}"/>
    <cellStyle name="Normal 2 16 4" xfId="6163" xr:uid="{00000000-0005-0000-0000-000013180000}"/>
    <cellStyle name="Normal 2 16 5" xfId="6164" xr:uid="{00000000-0005-0000-0000-000014180000}"/>
    <cellStyle name="Normal 2 160" xfId="6165" xr:uid="{00000000-0005-0000-0000-000015180000}"/>
    <cellStyle name="Normal 2 161" xfId="6166" xr:uid="{00000000-0005-0000-0000-000016180000}"/>
    <cellStyle name="Normal 2 162" xfId="6167" xr:uid="{00000000-0005-0000-0000-000017180000}"/>
    <cellStyle name="Normal 2 163" xfId="6168" xr:uid="{00000000-0005-0000-0000-000018180000}"/>
    <cellStyle name="Normal 2 164" xfId="6169" xr:uid="{00000000-0005-0000-0000-000019180000}"/>
    <cellStyle name="Normal 2 165" xfId="6170" xr:uid="{00000000-0005-0000-0000-00001A180000}"/>
    <cellStyle name="Normal 2 166" xfId="6171" xr:uid="{00000000-0005-0000-0000-00001B180000}"/>
    <cellStyle name="Normal 2 167" xfId="6172" xr:uid="{00000000-0005-0000-0000-00001C180000}"/>
    <cellStyle name="Normal 2 168" xfId="6173" xr:uid="{00000000-0005-0000-0000-00001D180000}"/>
    <cellStyle name="Normal 2 169" xfId="6174" xr:uid="{00000000-0005-0000-0000-00001E180000}"/>
    <cellStyle name="Normal 2 17" xfId="6175" xr:uid="{00000000-0005-0000-0000-00001F180000}"/>
    <cellStyle name="Normal 2 17 2" xfId="6176" xr:uid="{00000000-0005-0000-0000-000020180000}"/>
    <cellStyle name="Normal 2 17 3" xfId="6177" xr:uid="{00000000-0005-0000-0000-000021180000}"/>
    <cellStyle name="Normal 2 17 4" xfId="6178" xr:uid="{00000000-0005-0000-0000-000022180000}"/>
    <cellStyle name="Normal 2 17 5" xfId="6179" xr:uid="{00000000-0005-0000-0000-000023180000}"/>
    <cellStyle name="Normal 2 170" xfId="6180" xr:uid="{00000000-0005-0000-0000-000024180000}"/>
    <cellStyle name="Normal 2 171" xfId="6181" xr:uid="{00000000-0005-0000-0000-000025180000}"/>
    <cellStyle name="Normal 2 172" xfId="6182" xr:uid="{00000000-0005-0000-0000-000026180000}"/>
    <cellStyle name="Normal 2 173" xfId="6183" xr:uid="{00000000-0005-0000-0000-000027180000}"/>
    <cellStyle name="Normal 2 174" xfId="6184" xr:uid="{00000000-0005-0000-0000-000028180000}"/>
    <cellStyle name="Normal 2 175" xfId="6185" xr:uid="{00000000-0005-0000-0000-000029180000}"/>
    <cellStyle name="Normal 2 176" xfId="6186" xr:uid="{00000000-0005-0000-0000-00002A180000}"/>
    <cellStyle name="Normal 2 177" xfId="6187" xr:uid="{00000000-0005-0000-0000-00002B180000}"/>
    <cellStyle name="Normal 2 178" xfId="6188" xr:uid="{00000000-0005-0000-0000-00002C180000}"/>
    <cellStyle name="Normal 2 179" xfId="6189" xr:uid="{00000000-0005-0000-0000-00002D180000}"/>
    <cellStyle name="Normal 2 18" xfId="6190" xr:uid="{00000000-0005-0000-0000-00002E180000}"/>
    <cellStyle name="Normal 2 18 2" xfId="6191" xr:uid="{00000000-0005-0000-0000-00002F180000}"/>
    <cellStyle name="Normal 2 18 3" xfId="6192" xr:uid="{00000000-0005-0000-0000-000030180000}"/>
    <cellStyle name="Normal 2 18 4" xfId="6193" xr:uid="{00000000-0005-0000-0000-000031180000}"/>
    <cellStyle name="Normal 2 18 5" xfId="6194" xr:uid="{00000000-0005-0000-0000-000032180000}"/>
    <cellStyle name="Normal 2 19" xfId="6195" xr:uid="{00000000-0005-0000-0000-000033180000}"/>
    <cellStyle name="Normal 2 19 2" xfId="6196" xr:uid="{00000000-0005-0000-0000-000034180000}"/>
    <cellStyle name="Normal 2 19 3" xfId="6197" xr:uid="{00000000-0005-0000-0000-000035180000}"/>
    <cellStyle name="Normal 2 19 4" xfId="6198" xr:uid="{00000000-0005-0000-0000-000036180000}"/>
    <cellStyle name="Normal 2 19 5" xfId="6199" xr:uid="{00000000-0005-0000-0000-000037180000}"/>
    <cellStyle name="Normal 2 2" xfId="7" xr:uid="{00000000-0005-0000-0000-000007000000}"/>
    <cellStyle name="Normal 2 2 10" xfId="6201" xr:uid="{00000000-0005-0000-0000-000039180000}"/>
    <cellStyle name="Normal 2 2 10 10" xfId="6202" xr:uid="{00000000-0005-0000-0000-00003A180000}"/>
    <cellStyle name="Normal 2 2 10 10 10" xfId="6203" xr:uid="{00000000-0005-0000-0000-00003B180000}"/>
    <cellStyle name="Normal 2 2 10 10 11" xfId="6204" xr:uid="{00000000-0005-0000-0000-00003C180000}"/>
    <cellStyle name="Normal 2 2 10 10 12" xfId="6205" xr:uid="{00000000-0005-0000-0000-00003D180000}"/>
    <cellStyle name="Normal 2 2 10 10 13" xfId="6206" xr:uid="{00000000-0005-0000-0000-00003E180000}"/>
    <cellStyle name="Normal 2 2 10 10 14" xfId="6207" xr:uid="{00000000-0005-0000-0000-00003F180000}"/>
    <cellStyle name="Normal 2 2 10 10 2" xfId="6208" xr:uid="{00000000-0005-0000-0000-000040180000}"/>
    <cellStyle name="Normal 2 2 10 10 2 10" xfId="6209" xr:uid="{00000000-0005-0000-0000-000041180000}"/>
    <cellStyle name="Normal 2 2 10 10 2 2" xfId="6210" xr:uid="{00000000-0005-0000-0000-000042180000}"/>
    <cellStyle name="Normal 2 2 10 10 2 3" xfId="6211" xr:uid="{00000000-0005-0000-0000-000043180000}"/>
    <cellStyle name="Normal 2 2 10 10 2 4" xfId="6212" xr:uid="{00000000-0005-0000-0000-000044180000}"/>
    <cellStyle name="Normal 2 2 10 10 2 5" xfId="6213" xr:uid="{00000000-0005-0000-0000-000045180000}"/>
    <cellStyle name="Normal 2 2 10 10 2 6" xfId="6214" xr:uid="{00000000-0005-0000-0000-000046180000}"/>
    <cellStyle name="Normal 2 2 10 10 2 7" xfId="6215" xr:uid="{00000000-0005-0000-0000-000047180000}"/>
    <cellStyle name="Normal 2 2 10 10 2 8" xfId="6216" xr:uid="{00000000-0005-0000-0000-000048180000}"/>
    <cellStyle name="Normal 2 2 10 10 2 9" xfId="6217" xr:uid="{00000000-0005-0000-0000-000049180000}"/>
    <cellStyle name="Normal 2 2 10 10 3" xfId="6218" xr:uid="{00000000-0005-0000-0000-00004A180000}"/>
    <cellStyle name="Normal 2 2 10 10 3 10" xfId="6219" xr:uid="{00000000-0005-0000-0000-00004B180000}"/>
    <cellStyle name="Normal 2 2 10 10 3 2" xfId="6220" xr:uid="{00000000-0005-0000-0000-00004C180000}"/>
    <cellStyle name="Normal 2 2 10 10 3 3" xfId="6221" xr:uid="{00000000-0005-0000-0000-00004D180000}"/>
    <cellStyle name="Normal 2 2 10 10 3 4" xfId="6222" xr:uid="{00000000-0005-0000-0000-00004E180000}"/>
    <cellStyle name="Normal 2 2 10 10 3 5" xfId="6223" xr:uid="{00000000-0005-0000-0000-00004F180000}"/>
    <cellStyle name="Normal 2 2 10 10 3 6" xfId="6224" xr:uid="{00000000-0005-0000-0000-000050180000}"/>
    <cellStyle name="Normal 2 2 10 10 3 7" xfId="6225" xr:uid="{00000000-0005-0000-0000-000051180000}"/>
    <cellStyle name="Normal 2 2 10 10 3 8" xfId="6226" xr:uid="{00000000-0005-0000-0000-000052180000}"/>
    <cellStyle name="Normal 2 2 10 10 3 9" xfId="6227" xr:uid="{00000000-0005-0000-0000-000053180000}"/>
    <cellStyle name="Normal 2 2 10 10 4" xfId="6228" xr:uid="{00000000-0005-0000-0000-000054180000}"/>
    <cellStyle name="Normal 2 2 10 10 4 10" xfId="6229" xr:uid="{00000000-0005-0000-0000-000055180000}"/>
    <cellStyle name="Normal 2 2 10 10 4 2" xfId="6230" xr:uid="{00000000-0005-0000-0000-000056180000}"/>
    <cellStyle name="Normal 2 2 10 10 4 3" xfId="6231" xr:uid="{00000000-0005-0000-0000-000057180000}"/>
    <cellStyle name="Normal 2 2 10 10 4 4" xfId="6232" xr:uid="{00000000-0005-0000-0000-000058180000}"/>
    <cellStyle name="Normal 2 2 10 10 4 5" xfId="6233" xr:uid="{00000000-0005-0000-0000-000059180000}"/>
    <cellStyle name="Normal 2 2 10 10 4 6" xfId="6234" xr:uid="{00000000-0005-0000-0000-00005A180000}"/>
    <cellStyle name="Normal 2 2 10 10 4 7" xfId="6235" xr:uid="{00000000-0005-0000-0000-00005B180000}"/>
    <cellStyle name="Normal 2 2 10 10 4 8" xfId="6236" xr:uid="{00000000-0005-0000-0000-00005C180000}"/>
    <cellStyle name="Normal 2 2 10 10 4 9" xfId="6237" xr:uid="{00000000-0005-0000-0000-00005D180000}"/>
    <cellStyle name="Normal 2 2 10 10 5" xfId="6238" xr:uid="{00000000-0005-0000-0000-00005E180000}"/>
    <cellStyle name="Normal 2 2 10 10 5 10" xfId="6239" xr:uid="{00000000-0005-0000-0000-00005F180000}"/>
    <cellStyle name="Normal 2 2 10 10 5 2" xfId="6240" xr:uid="{00000000-0005-0000-0000-000060180000}"/>
    <cellStyle name="Normal 2 2 10 10 5 3" xfId="6241" xr:uid="{00000000-0005-0000-0000-000061180000}"/>
    <cellStyle name="Normal 2 2 10 10 5 4" xfId="6242" xr:uid="{00000000-0005-0000-0000-000062180000}"/>
    <cellStyle name="Normal 2 2 10 10 5 5" xfId="6243" xr:uid="{00000000-0005-0000-0000-000063180000}"/>
    <cellStyle name="Normal 2 2 10 10 5 6" xfId="6244" xr:uid="{00000000-0005-0000-0000-000064180000}"/>
    <cellStyle name="Normal 2 2 10 10 5 7" xfId="6245" xr:uid="{00000000-0005-0000-0000-000065180000}"/>
    <cellStyle name="Normal 2 2 10 10 5 8" xfId="6246" xr:uid="{00000000-0005-0000-0000-000066180000}"/>
    <cellStyle name="Normal 2 2 10 10 5 9" xfId="6247" xr:uid="{00000000-0005-0000-0000-000067180000}"/>
    <cellStyle name="Normal 2 2 10 10 6" xfId="6248" xr:uid="{00000000-0005-0000-0000-000068180000}"/>
    <cellStyle name="Normal 2 2 10 10 7" xfId="6249" xr:uid="{00000000-0005-0000-0000-000069180000}"/>
    <cellStyle name="Normal 2 2 10 10 8" xfId="6250" xr:uid="{00000000-0005-0000-0000-00006A180000}"/>
    <cellStyle name="Normal 2 2 10 10 9" xfId="6251" xr:uid="{00000000-0005-0000-0000-00006B180000}"/>
    <cellStyle name="Normal 2 2 10 11" xfId="6252" xr:uid="{00000000-0005-0000-0000-00006C180000}"/>
    <cellStyle name="Normal 2 2 10 11 10" xfId="6253" xr:uid="{00000000-0005-0000-0000-00006D180000}"/>
    <cellStyle name="Normal 2 2 10 11 11" xfId="6254" xr:uid="{00000000-0005-0000-0000-00006E180000}"/>
    <cellStyle name="Normal 2 2 10 11 12" xfId="6255" xr:uid="{00000000-0005-0000-0000-00006F180000}"/>
    <cellStyle name="Normal 2 2 10 11 13" xfId="6256" xr:uid="{00000000-0005-0000-0000-000070180000}"/>
    <cellStyle name="Normal 2 2 10 11 14" xfId="6257" xr:uid="{00000000-0005-0000-0000-000071180000}"/>
    <cellStyle name="Normal 2 2 10 11 2" xfId="6258" xr:uid="{00000000-0005-0000-0000-000072180000}"/>
    <cellStyle name="Normal 2 2 10 11 2 10" xfId="6259" xr:uid="{00000000-0005-0000-0000-000073180000}"/>
    <cellStyle name="Normal 2 2 10 11 2 2" xfId="6260" xr:uid="{00000000-0005-0000-0000-000074180000}"/>
    <cellStyle name="Normal 2 2 10 11 2 3" xfId="6261" xr:uid="{00000000-0005-0000-0000-000075180000}"/>
    <cellStyle name="Normal 2 2 10 11 2 4" xfId="6262" xr:uid="{00000000-0005-0000-0000-000076180000}"/>
    <cellStyle name="Normal 2 2 10 11 2 5" xfId="6263" xr:uid="{00000000-0005-0000-0000-000077180000}"/>
    <cellStyle name="Normal 2 2 10 11 2 6" xfId="6264" xr:uid="{00000000-0005-0000-0000-000078180000}"/>
    <cellStyle name="Normal 2 2 10 11 2 7" xfId="6265" xr:uid="{00000000-0005-0000-0000-000079180000}"/>
    <cellStyle name="Normal 2 2 10 11 2 8" xfId="6266" xr:uid="{00000000-0005-0000-0000-00007A180000}"/>
    <cellStyle name="Normal 2 2 10 11 2 9" xfId="6267" xr:uid="{00000000-0005-0000-0000-00007B180000}"/>
    <cellStyle name="Normal 2 2 10 11 3" xfId="6268" xr:uid="{00000000-0005-0000-0000-00007C180000}"/>
    <cellStyle name="Normal 2 2 10 11 3 10" xfId="6269" xr:uid="{00000000-0005-0000-0000-00007D180000}"/>
    <cellStyle name="Normal 2 2 10 11 3 2" xfId="6270" xr:uid="{00000000-0005-0000-0000-00007E180000}"/>
    <cellStyle name="Normal 2 2 10 11 3 3" xfId="6271" xr:uid="{00000000-0005-0000-0000-00007F180000}"/>
    <cellStyle name="Normal 2 2 10 11 3 4" xfId="6272" xr:uid="{00000000-0005-0000-0000-000080180000}"/>
    <cellStyle name="Normal 2 2 10 11 3 5" xfId="6273" xr:uid="{00000000-0005-0000-0000-000081180000}"/>
    <cellStyle name="Normal 2 2 10 11 3 6" xfId="6274" xr:uid="{00000000-0005-0000-0000-000082180000}"/>
    <cellStyle name="Normal 2 2 10 11 3 7" xfId="6275" xr:uid="{00000000-0005-0000-0000-000083180000}"/>
    <cellStyle name="Normal 2 2 10 11 3 8" xfId="6276" xr:uid="{00000000-0005-0000-0000-000084180000}"/>
    <cellStyle name="Normal 2 2 10 11 3 9" xfId="6277" xr:uid="{00000000-0005-0000-0000-000085180000}"/>
    <cellStyle name="Normal 2 2 10 11 4" xfId="6278" xr:uid="{00000000-0005-0000-0000-000086180000}"/>
    <cellStyle name="Normal 2 2 10 11 4 10" xfId="6279" xr:uid="{00000000-0005-0000-0000-000087180000}"/>
    <cellStyle name="Normal 2 2 10 11 4 2" xfId="6280" xr:uid="{00000000-0005-0000-0000-000088180000}"/>
    <cellStyle name="Normal 2 2 10 11 4 3" xfId="6281" xr:uid="{00000000-0005-0000-0000-000089180000}"/>
    <cellStyle name="Normal 2 2 10 11 4 4" xfId="6282" xr:uid="{00000000-0005-0000-0000-00008A180000}"/>
    <cellStyle name="Normal 2 2 10 11 4 5" xfId="6283" xr:uid="{00000000-0005-0000-0000-00008B180000}"/>
    <cellStyle name="Normal 2 2 10 11 4 6" xfId="6284" xr:uid="{00000000-0005-0000-0000-00008C180000}"/>
    <cellStyle name="Normal 2 2 10 11 4 7" xfId="6285" xr:uid="{00000000-0005-0000-0000-00008D180000}"/>
    <cellStyle name="Normal 2 2 10 11 4 8" xfId="6286" xr:uid="{00000000-0005-0000-0000-00008E180000}"/>
    <cellStyle name="Normal 2 2 10 11 4 9" xfId="6287" xr:uid="{00000000-0005-0000-0000-00008F180000}"/>
    <cellStyle name="Normal 2 2 10 11 5" xfId="6288" xr:uid="{00000000-0005-0000-0000-000090180000}"/>
    <cellStyle name="Normal 2 2 10 11 5 10" xfId="6289" xr:uid="{00000000-0005-0000-0000-000091180000}"/>
    <cellStyle name="Normal 2 2 10 11 5 2" xfId="6290" xr:uid="{00000000-0005-0000-0000-000092180000}"/>
    <cellStyle name="Normal 2 2 10 11 5 3" xfId="6291" xr:uid="{00000000-0005-0000-0000-000093180000}"/>
    <cellStyle name="Normal 2 2 10 11 5 4" xfId="6292" xr:uid="{00000000-0005-0000-0000-000094180000}"/>
    <cellStyle name="Normal 2 2 10 11 5 5" xfId="6293" xr:uid="{00000000-0005-0000-0000-000095180000}"/>
    <cellStyle name="Normal 2 2 10 11 5 6" xfId="6294" xr:uid="{00000000-0005-0000-0000-000096180000}"/>
    <cellStyle name="Normal 2 2 10 11 5 7" xfId="6295" xr:uid="{00000000-0005-0000-0000-000097180000}"/>
    <cellStyle name="Normal 2 2 10 11 5 8" xfId="6296" xr:uid="{00000000-0005-0000-0000-000098180000}"/>
    <cellStyle name="Normal 2 2 10 11 5 9" xfId="6297" xr:uid="{00000000-0005-0000-0000-000099180000}"/>
    <cellStyle name="Normal 2 2 10 11 6" xfId="6298" xr:uid="{00000000-0005-0000-0000-00009A180000}"/>
    <cellStyle name="Normal 2 2 10 11 7" xfId="6299" xr:uid="{00000000-0005-0000-0000-00009B180000}"/>
    <cellStyle name="Normal 2 2 10 11 8" xfId="6300" xr:uid="{00000000-0005-0000-0000-00009C180000}"/>
    <cellStyle name="Normal 2 2 10 11 9" xfId="6301" xr:uid="{00000000-0005-0000-0000-00009D180000}"/>
    <cellStyle name="Normal 2 2 10 12" xfId="6302" xr:uid="{00000000-0005-0000-0000-00009E180000}"/>
    <cellStyle name="Normal 2 2 10 12 10" xfId="6303" xr:uid="{00000000-0005-0000-0000-00009F180000}"/>
    <cellStyle name="Normal 2 2 10 12 11" xfId="6304" xr:uid="{00000000-0005-0000-0000-0000A0180000}"/>
    <cellStyle name="Normal 2 2 10 12 12" xfId="6305" xr:uid="{00000000-0005-0000-0000-0000A1180000}"/>
    <cellStyle name="Normal 2 2 10 12 13" xfId="6306" xr:uid="{00000000-0005-0000-0000-0000A2180000}"/>
    <cellStyle name="Normal 2 2 10 12 14" xfId="6307" xr:uid="{00000000-0005-0000-0000-0000A3180000}"/>
    <cellStyle name="Normal 2 2 10 12 2" xfId="6308" xr:uid="{00000000-0005-0000-0000-0000A4180000}"/>
    <cellStyle name="Normal 2 2 10 12 2 10" xfId="6309" xr:uid="{00000000-0005-0000-0000-0000A5180000}"/>
    <cellStyle name="Normal 2 2 10 12 2 2" xfId="6310" xr:uid="{00000000-0005-0000-0000-0000A6180000}"/>
    <cellStyle name="Normal 2 2 10 12 2 3" xfId="6311" xr:uid="{00000000-0005-0000-0000-0000A7180000}"/>
    <cellStyle name="Normal 2 2 10 12 2 4" xfId="6312" xr:uid="{00000000-0005-0000-0000-0000A8180000}"/>
    <cellStyle name="Normal 2 2 10 12 2 5" xfId="6313" xr:uid="{00000000-0005-0000-0000-0000A9180000}"/>
    <cellStyle name="Normal 2 2 10 12 2 6" xfId="6314" xr:uid="{00000000-0005-0000-0000-0000AA180000}"/>
    <cellStyle name="Normal 2 2 10 12 2 7" xfId="6315" xr:uid="{00000000-0005-0000-0000-0000AB180000}"/>
    <cellStyle name="Normal 2 2 10 12 2 8" xfId="6316" xr:uid="{00000000-0005-0000-0000-0000AC180000}"/>
    <cellStyle name="Normal 2 2 10 12 2 9" xfId="6317" xr:uid="{00000000-0005-0000-0000-0000AD180000}"/>
    <cellStyle name="Normal 2 2 10 12 3" xfId="6318" xr:uid="{00000000-0005-0000-0000-0000AE180000}"/>
    <cellStyle name="Normal 2 2 10 12 3 10" xfId="6319" xr:uid="{00000000-0005-0000-0000-0000AF180000}"/>
    <cellStyle name="Normal 2 2 10 12 3 2" xfId="6320" xr:uid="{00000000-0005-0000-0000-0000B0180000}"/>
    <cellStyle name="Normal 2 2 10 12 3 3" xfId="6321" xr:uid="{00000000-0005-0000-0000-0000B1180000}"/>
    <cellStyle name="Normal 2 2 10 12 3 4" xfId="6322" xr:uid="{00000000-0005-0000-0000-0000B2180000}"/>
    <cellStyle name="Normal 2 2 10 12 3 5" xfId="6323" xr:uid="{00000000-0005-0000-0000-0000B3180000}"/>
    <cellStyle name="Normal 2 2 10 12 3 6" xfId="6324" xr:uid="{00000000-0005-0000-0000-0000B4180000}"/>
    <cellStyle name="Normal 2 2 10 12 3 7" xfId="6325" xr:uid="{00000000-0005-0000-0000-0000B5180000}"/>
    <cellStyle name="Normal 2 2 10 12 3 8" xfId="6326" xr:uid="{00000000-0005-0000-0000-0000B6180000}"/>
    <cellStyle name="Normal 2 2 10 12 3 9" xfId="6327" xr:uid="{00000000-0005-0000-0000-0000B7180000}"/>
    <cellStyle name="Normal 2 2 10 12 4" xfId="6328" xr:uid="{00000000-0005-0000-0000-0000B8180000}"/>
    <cellStyle name="Normal 2 2 10 12 4 10" xfId="6329" xr:uid="{00000000-0005-0000-0000-0000B9180000}"/>
    <cellStyle name="Normal 2 2 10 12 4 2" xfId="6330" xr:uid="{00000000-0005-0000-0000-0000BA180000}"/>
    <cellStyle name="Normal 2 2 10 12 4 3" xfId="6331" xr:uid="{00000000-0005-0000-0000-0000BB180000}"/>
    <cellStyle name="Normal 2 2 10 12 4 4" xfId="6332" xr:uid="{00000000-0005-0000-0000-0000BC180000}"/>
    <cellStyle name="Normal 2 2 10 12 4 5" xfId="6333" xr:uid="{00000000-0005-0000-0000-0000BD180000}"/>
    <cellStyle name="Normal 2 2 10 12 4 6" xfId="6334" xr:uid="{00000000-0005-0000-0000-0000BE180000}"/>
    <cellStyle name="Normal 2 2 10 12 4 7" xfId="6335" xr:uid="{00000000-0005-0000-0000-0000BF180000}"/>
    <cellStyle name="Normal 2 2 10 12 4 8" xfId="6336" xr:uid="{00000000-0005-0000-0000-0000C0180000}"/>
    <cellStyle name="Normal 2 2 10 12 4 9" xfId="6337" xr:uid="{00000000-0005-0000-0000-0000C1180000}"/>
    <cellStyle name="Normal 2 2 10 12 5" xfId="6338" xr:uid="{00000000-0005-0000-0000-0000C2180000}"/>
    <cellStyle name="Normal 2 2 10 12 5 10" xfId="6339" xr:uid="{00000000-0005-0000-0000-0000C3180000}"/>
    <cellStyle name="Normal 2 2 10 12 5 2" xfId="6340" xr:uid="{00000000-0005-0000-0000-0000C4180000}"/>
    <cellStyle name="Normal 2 2 10 12 5 3" xfId="6341" xr:uid="{00000000-0005-0000-0000-0000C5180000}"/>
    <cellStyle name="Normal 2 2 10 12 5 4" xfId="6342" xr:uid="{00000000-0005-0000-0000-0000C6180000}"/>
    <cellStyle name="Normal 2 2 10 12 5 5" xfId="6343" xr:uid="{00000000-0005-0000-0000-0000C7180000}"/>
    <cellStyle name="Normal 2 2 10 12 5 6" xfId="6344" xr:uid="{00000000-0005-0000-0000-0000C8180000}"/>
    <cellStyle name="Normal 2 2 10 12 5 7" xfId="6345" xr:uid="{00000000-0005-0000-0000-0000C9180000}"/>
    <cellStyle name="Normal 2 2 10 12 5 8" xfId="6346" xr:uid="{00000000-0005-0000-0000-0000CA180000}"/>
    <cellStyle name="Normal 2 2 10 12 5 9" xfId="6347" xr:uid="{00000000-0005-0000-0000-0000CB180000}"/>
    <cellStyle name="Normal 2 2 10 12 6" xfId="6348" xr:uid="{00000000-0005-0000-0000-0000CC180000}"/>
    <cellStyle name="Normal 2 2 10 12 7" xfId="6349" xr:uid="{00000000-0005-0000-0000-0000CD180000}"/>
    <cellStyle name="Normal 2 2 10 12 8" xfId="6350" xr:uid="{00000000-0005-0000-0000-0000CE180000}"/>
    <cellStyle name="Normal 2 2 10 12 9" xfId="6351" xr:uid="{00000000-0005-0000-0000-0000CF180000}"/>
    <cellStyle name="Normal 2 2 10 13" xfId="6352" xr:uid="{00000000-0005-0000-0000-0000D0180000}"/>
    <cellStyle name="Normal 2 2 10 13 10" xfId="6353" xr:uid="{00000000-0005-0000-0000-0000D1180000}"/>
    <cellStyle name="Normal 2 2 10 13 11" xfId="6354" xr:uid="{00000000-0005-0000-0000-0000D2180000}"/>
    <cellStyle name="Normal 2 2 10 13 12" xfId="6355" xr:uid="{00000000-0005-0000-0000-0000D3180000}"/>
    <cellStyle name="Normal 2 2 10 13 13" xfId="6356" xr:uid="{00000000-0005-0000-0000-0000D4180000}"/>
    <cellStyle name="Normal 2 2 10 13 14" xfId="6357" xr:uid="{00000000-0005-0000-0000-0000D5180000}"/>
    <cellStyle name="Normal 2 2 10 13 2" xfId="6358" xr:uid="{00000000-0005-0000-0000-0000D6180000}"/>
    <cellStyle name="Normal 2 2 10 13 2 10" xfId="6359" xr:uid="{00000000-0005-0000-0000-0000D7180000}"/>
    <cellStyle name="Normal 2 2 10 13 2 2" xfId="6360" xr:uid="{00000000-0005-0000-0000-0000D8180000}"/>
    <cellStyle name="Normal 2 2 10 13 2 3" xfId="6361" xr:uid="{00000000-0005-0000-0000-0000D9180000}"/>
    <cellStyle name="Normal 2 2 10 13 2 4" xfId="6362" xr:uid="{00000000-0005-0000-0000-0000DA180000}"/>
    <cellStyle name="Normal 2 2 10 13 2 5" xfId="6363" xr:uid="{00000000-0005-0000-0000-0000DB180000}"/>
    <cellStyle name="Normal 2 2 10 13 2 6" xfId="6364" xr:uid="{00000000-0005-0000-0000-0000DC180000}"/>
    <cellStyle name="Normal 2 2 10 13 2 7" xfId="6365" xr:uid="{00000000-0005-0000-0000-0000DD180000}"/>
    <cellStyle name="Normal 2 2 10 13 2 8" xfId="6366" xr:uid="{00000000-0005-0000-0000-0000DE180000}"/>
    <cellStyle name="Normal 2 2 10 13 2 9" xfId="6367" xr:uid="{00000000-0005-0000-0000-0000DF180000}"/>
    <cellStyle name="Normal 2 2 10 13 3" xfId="6368" xr:uid="{00000000-0005-0000-0000-0000E0180000}"/>
    <cellStyle name="Normal 2 2 10 13 3 10" xfId="6369" xr:uid="{00000000-0005-0000-0000-0000E1180000}"/>
    <cellStyle name="Normal 2 2 10 13 3 2" xfId="6370" xr:uid="{00000000-0005-0000-0000-0000E2180000}"/>
    <cellStyle name="Normal 2 2 10 13 3 3" xfId="6371" xr:uid="{00000000-0005-0000-0000-0000E3180000}"/>
    <cellStyle name="Normal 2 2 10 13 3 4" xfId="6372" xr:uid="{00000000-0005-0000-0000-0000E4180000}"/>
    <cellStyle name="Normal 2 2 10 13 3 5" xfId="6373" xr:uid="{00000000-0005-0000-0000-0000E5180000}"/>
    <cellStyle name="Normal 2 2 10 13 3 6" xfId="6374" xr:uid="{00000000-0005-0000-0000-0000E6180000}"/>
    <cellStyle name="Normal 2 2 10 13 3 7" xfId="6375" xr:uid="{00000000-0005-0000-0000-0000E7180000}"/>
    <cellStyle name="Normal 2 2 10 13 3 8" xfId="6376" xr:uid="{00000000-0005-0000-0000-0000E8180000}"/>
    <cellStyle name="Normal 2 2 10 13 3 9" xfId="6377" xr:uid="{00000000-0005-0000-0000-0000E9180000}"/>
    <cellStyle name="Normal 2 2 10 13 4" xfId="6378" xr:uid="{00000000-0005-0000-0000-0000EA180000}"/>
    <cellStyle name="Normal 2 2 10 13 4 10" xfId="6379" xr:uid="{00000000-0005-0000-0000-0000EB180000}"/>
    <cellStyle name="Normal 2 2 10 13 4 2" xfId="6380" xr:uid="{00000000-0005-0000-0000-0000EC180000}"/>
    <cellStyle name="Normal 2 2 10 13 4 3" xfId="6381" xr:uid="{00000000-0005-0000-0000-0000ED180000}"/>
    <cellStyle name="Normal 2 2 10 13 4 4" xfId="6382" xr:uid="{00000000-0005-0000-0000-0000EE180000}"/>
    <cellStyle name="Normal 2 2 10 13 4 5" xfId="6383" xr:uid="{00000000-0005-0000-0000-0000EF180000}"/>
    <cellStyle name="Normal 2 2 10 13 4 6" xfId="6384" xr:uid="{00000000-0005-0000-0000-0000F0180000}"/>
    <cellStyle name="Normal 2 2 10 13 4 7" xfId="6385" xr:uid="{00000000-0005-0000-0000-0000F1180000}"/>
    <cellStyle name="Normal 2 2 10 13 4 8" xfId="6386" xr:uid="{00000000-0005-0000-0000-0000F2180000}"/>
    <cellStyle name="Normal 2 2 10 13 4 9" xfId="6387" xr:uid="{00000000-0005-0000-0000-0000F3180000}"/>
    <cellStyle name="Normal 2 2 10 13 5" xfId="6388" xr:uid="{00000000-0005-0000-0000-0000F4180000}"/>
    <cellStyle name="Normal 2 2 10 13 5 10" xfId="6389" xr:uid="{00000000-0005-0000-0000-0000F5180000}"/>
    <cellStyle name="Normal 2 2 10 13 5 2" xfId="6390" xr:uid="{00000000-0005-0000-0000-0000F6180000}"/>
    <cellStyle name="Normal 2 2 10 13 5 3" xfId="6391" xr:uid="{00000000-0005-0000-0000-0000F7180000}"/>
    <cellStyle name="Normal 2 2 10 13 5 4" xfId="6392" xr:uid="{00000000-0005-0000-0000-0000F8180000}"/>
    <cellStyle name="Normal 2 2 10 13 5 5" xfId="6393" xr:uid="{00000000-0005-0000-0000-0000F9180000}"/>
    <cellStyle name="Normal 2 2 10 13 5 6" xfId="6394" xr:uid="{00000000-0005-0000-0000-0000FA180000}"/>
    <cellStyle name="Normal 2 2 10 13 5 7" xfId="6395" xr:uid="{00000000-0005-0000-0000-0000FB180000}"/>
    <cellStyle name="Normal 2 2 10 13 5 8" xfId="6396" xr:uid="{00000000-0005-0000-0000-0000FC180000}"/>
    <cellStyle name="Normal 2 2 10 13 5 9" xfId="6397" xr:uid="{00000000-0005-0000-0000-0000FD180000}"/>
    <cellStyle name="Normal 2 2 10 13 6" xfId="6398" xr:uid="{00000000-0005-0000-0000-0000FE180000}"/>
    <cellStyle name="Normal 2 2 10 13 7" xfId="6399" xr:uid="{00000000-0005-0000-0000-0000FF180000}"/>
    <cellStyle name="Normal 2 2 10 13 8" xfId="6400" xr:uid="{00000000-0005-0000-0000-000000190000}"/>
    <cellStyle name="Normal 2 2 10 13 9" xfId="6401" xr:uid="{00000000-0005-0000-0000-000001190000}"/>
    <cellStyle name="Normal 2 2 10 14" xfId="6402" xr:uid="{00000000-0005-0000-0000-000002190000}"/>
    <cellStyle name="Normal 2 2 10 14 10" xfId="6403" xr:uid="{00000000-0005-0000-0000-000003190000}"/>
    <cellStyle name="Normal 2 2 10 14 11" xfId="6404" xr:uid="{00000000-0005-0000-0000-000004190000}"/>
    <cellStyle name="Normal 2 2 10 14 12" xfId="6405" xr:uid="{00000000-0005-0000-0000-000005190000}"/>
    <cellStyle name="Normal 2 2 10 14 13" xfId="6406" xr:uid="{00000000-0005-0000-0000-000006190000}"/>
    <cellStyle name="Normal 2 2 10 14 14" xfId="6407" xr:uid="{00000000-0005-0000-0000-000007190000}"/>
    <cellStyle name="Normal 2 2 10 14 2" xfId="6408" xr:uid="{00000000-0005-0000-0000-000008190000}"/>
    <cellStyle name="Normal 2 2 10 14 2 10" xfId="6409" xr:uid="{00000000-0005-0000-0000-000009190000}"/>
    <cellStyle name="Normal 2 2 10 14 2 2" xfId="6410" xr:uid="{00000000-0005-0000-0000-00000A190000}"/>
    <cellStyle name="Normal 2 2 10 14 2 3" xfId="6411" xr:uid="{00000000-0005-0000-0000-00000B190000}"/>
    <cellStyle name="Normal 2 2 10 14 2 4" xfId="6412" xr:uid="{00000000-0005-0000-0000-00000C190000}"/>
    <cellStyle name="Normal 2 2 10 14 2 5" xfId="6413" xr:uid="{00000000-0005-0000-0000-00000D190000}"/>
    <cellStyle name="Normal 2 2 10 14 2 6" xfId="6414" xr:uid="{00000000-0005-0000-0000-00000E190000}"/>
    <cellStyle name="Normal 2 2 10 14 2 7" xfId="6415" xr:uid="{00000000-0005-0000-0000-00000F190000}"/>
    <cellStyle name="Normal 2 2 10 14 2 8" xfId="6416" xr:uid="{00000000-0005-0000-0000-000010190000}"/>
    <cellStyle name="Normal 2 2 10 14 2 9" xfId="6417" xr:uid="{00000000-0005-0000-0000-000011190000}"/>
    <cellStyle name="Normal 2 2 10 14 3" xfId="6418" xr:uid="{00000000-0005-0000-0000-000012190000}"/>
    <cellStyle name="Normal 2 2 10 14 3 10" xfId="6419" xr:uid="{00000000-0005-0000-0000-000013190000}"/>
    <cellStyle name="Normal 2 2 10 14 3 2" xfId="6420" xr:uid="{00000000-0005-0000-0000-000014190000}"/>
    <cellStyle name="Normal 2 2 10 14 3 3" xfId="6421" xr:uid="{00000000-0005-0000-0000-000015190000}"/>
    <cellStyle name="Normal 2 2 10 14 3 4" xfId="6422" xr:uid="{00000000-0005-0000-0000-000016190000}"/>
    <cellStyle name="Normal 2 2 10 14 3 5" xfId="6423" xr:uid="{00000000-0005-0000-0000-000017190000}"/>
    <cellStyle name="Normal 2 2 10 14 3 6" xfId="6424" xr:uid="{00000000-0005-0000-0000-000018190000}"/>
    <cellStyle name="Normal 2 2 10 14 3 7" xfId="6425" xr:uid="{00000000-0005-0000-0000-000019190000}"/>
    <cellStyle name="Normal 2 2 10 14 3 8" xfId="6426" xr:uid="{00000000-0005-0000-0000-00001A190000}"/>
    <cellStyle name="Normal 2 2 10 14 3 9" xfId="6427" xr:uid="{00000000-0005-0000-0000-00001B190000}"/>
    <cellStyle name="Normal 2 2 10 14 4" xfId="6428" xr:uid="{00000000-0005-0000-0000-00001C190000}"/>
    <cellStyle name="Normal 2 2 10 14 4 10" xfId="6429" xr:uid="{00000000-0005-0000-0000-00001D190000}"/>
    <cellStyle name="Normal 2 2 10 14 4 2" xfId="6430" xr:uid="{00000000-0005-0000-0000-00001E190000}"/>
    <cellStyle name="Normal 2 2 10 14 4 3" xfId="6431" xr:uid="{00000000-0005-0000-0000-00001F190000}"/>
    <cellStyle name="Normal 2 2 10 14 4 4" xfId="6432" xr:uid="{00000000-0005-0000-0000-000020190000}"/>
    <cellStyle name="Normal 2 2 10 14 4 5" xfId="6433" xr:uid="{00000000-0005-0000-0000-000021190000}"/>
    <cellStyle name="Normal 2 2 10 14 4 6" xfId="6434" xr:uid="{00000000-0005-0000-0000-000022190000}"/>
    <cellStyle name="Normal 2 2 10 14 4 7" xfId="6435" xr:uid="{00000000-0005-0000-0000-000023190000}"/>
    <cellStyle name="Normal 2 2 10 14 4 8" xfId="6436" xr:uid="{00000000-0005-0000-0000-000024190000}"/>
    <cellStyle name="Normal 2 2 10 14 4 9" xfId="6437" xr:uid="{00000000-0005-0000-0000-000025190000}"/>
    <cellStyle name="Normal 2 2 10 14 5" xfId="6438" xr:uid="{00000000-0005-0000-0000-000026190000}"/>
    <cellStyle name="Normal 2 2 10 14 5 10" xfId="6439" xr:uid="{00000000-0005-0000-0000-000027190000}"/>
    <cellStyle name="Normal 2 2 10 14 5 2" xfId="6440" xr:uid="{00000000-0005-0000-0000-000028190000}"/>
    <cellStyle name="Normal 2 2 10 14 5 3" xfId="6441" xr:uid="{00000000-0005-0000-0000-000029190000}"/>
    <cellStyle name="Normal 2 2 10 14 5 4" xfId="6442" xr:uid="{00000000-0005-0000-0000-00002A190000}"/>
    <cellStyle name="Normal 2 2 10 14 5 5" xfId="6443" xr:uid="{00000000-0005-0000-0000-00002B190000}"/>
    <cellStyle name="Normal 2 2 10 14 5 6" xfId="6444" xr:uid="{00000000-0005-0000-0000-00002C190000}"/>
    <cellStyle name="Normal 2 2 10 14 5 7" xfId="6445" xr:uid="{00000000-0005-0000-0000-00002D190000}"/>
    <cellStyle name="Normal 2 2 10 14 5 8" xfId="6446" xr:uid="{00000000-0005-0000-0000-00002E190000}"/>
    <cellStyle name="Normal 2 2 10 14 5 9" xfId="6447" xr:uid="{00000000-0005-0000-0000-00002F190000}"/>
    <cellStyle name="Normal 2 2 10 14 6" xfId="6448" xr:uid="{00000000-0005-0000-0000-000030190000}"/>
    <cellStyle name="Normal 2 2 10 14 7" xfId="6449" xr:uid="{00000000-0005-0000-0000-000031190000}"/>
    <cellStyle name="Normal 2 2 10 14 8" xfId="6450" xr:uid="{00000000-0005-0000-0000-000032190000}"/>
    <cellStyle name="Normal 2 2 10 14 9" xfId="6451" xr:uid="{00000000-0005-0000-0000-000033190000}"/>
    <cellStyle name="Normal 2 2 10 15" xfId="6452" xr:uid="{00000000-0005-0000-0000-000034190000}"/>
    <cellStyle name="Normal 2 2 10 15 10" xfId="6453" xr:uid="{00000000-0005-0000-0000-000035190000}"/>
    <cellStyle name="Normal 2 2 10 15 11" xfId="6454" xr:uid="{00000000-0005-0000-0000-000036190000}"/>
    <cellStyle name="Normal 2 2 10 15 12" xfId="6455" xr:uid="{00000000-0005-0000-0000-000037190000}"/>
    <cellStyle name="Normal 2 2 10 15 13" xfId="6456" xr:uid="{00000000-0005-0000-0000-000038190000}"/>
    <cellStyle name="Normal 2 2 10 15 14" xfId="6457" xr:uid="{00000000-0005-0000-0000-000039190000}"/>
    <cellStyle name="Normal 2 2 10 15 2" xfId="6458" xr:uid="{00000000-0005-0000-0000-00003A190000}"/>
    <cellStyle name="Normal 2 2 10 15 2 10" xfId="6459" xr:uid="{00000000-0005-0000-0000-00003B190000}"/>
    <cellStyle name="Normal 2 2 10 15 2 2" xfId="6460" xr:uid="{00000000-0005-0000-0000-00003C190000}"/>
    <cellStyle name="Normal 2 2 10 15 2 3" xfId="6461" xr:uid="{00000000-0005-0000-0000-00003D190000}"/>
    <cellStyle name="Normal 2 2 10 15 2 4" xfId="6462" xr:uid="{00000000-0005-0000-0000-00003E190000}"/>
    <cellStyle name="Normal 2 2 10 15 2 5" xfId="6463" xr:uid="{00000000-0005-0000-0000-00003F190000}"/>
    <cellStyle name="Normal 2 2 10 15 2 6" xfId="6464" xr:uid="{00000000-0005-0000-0000-000040190000}"/>
    <cellStyle name="Normal 2 2 10 15 2 7" xfId="6465" xr:uid="{00000000-0005-0000-0000-000041190000}"/>
    <cellStyle name="Normal 2 2 10 15 2 8" xfId="6466" xr:uid="{00000000-0005-0000-0000-000042190000}"/>
    <cellStyle name="Normal 2 2 10 15 2 9" xfId="6467" xr:uid="{00000000-0005-0000-0000-000043190000}"/>
    <cellStyle name="Normal 2 2 10 15 3" xfId="6468" xr:uid="{00000000-0005-0000-0000-000044190000}"/>
    <cellStyle name="Normal 2 2 10 15 3 10" xfId="6469" xr:uid="{00000000-0005-0000-0000-000045190000}"/>
    <cellStyle name="Normal 2 2 10 15 3 2" xfId="6470" xr:uid="{00000000-0005-0000-0000-000046190000}"/>
    <cellStyle name="Normal 2 2 10 15 3 3" xfId="6471" xr:uid="{00000000-0005-0000-0000-000047190000}"/>
    <cellStyle name="Normal 2 2 10 15 3 4" xfId="6472" xr:uid="{00000000-0005-0000-0000-000048190000}"/>
    <cellStyle name="Normal 2 2 10 15 3 5" xfId="6473" xr:uid="{00000000-0005-0000-0000-000049190000}"/>
    <cellStyle name="Normal 2 2 10 15 3 6" xfId="6474" xr:uid="{00000000-0005-0000-0000-00004A190000}"/>
    <cellStyle name="Normal 2 2 10 15 3 7" xfId="6475" xr:uid="{00000000-0005-0000-0000-00004B190000}"/>
    <cellStyle name="Normal 2 2 10 15 3 8" xfId="6476" xr:uid="{00000000-0005-0000-0000-00004C190000}"/>
    <cellStyle name="Normal 2 2 10 15 3 9" xfId="6477" xr:uid="{00000000-0005-0000-0000-00004D190000}"/>
    <cellStyle name="Normal 2 2 10 15 4" xfId="6478" xr:uid="{00000000-0005-0000-0000-00004E190000}"/>
    <cellStyle name="Normal 2 2 10 15 4 10" xfId="6479" xr:uid="{00000000-0005-0000-0000-00004F190000}"/>
    <cellStyle name="Normal 2 2 10 15 4 2" xfId="6480" xr:uid="{00000000-0005-0000-0000-000050190000}"/>
    <cellStyle name="Normal 2 2 10 15 4 3" xfId="6481" xr:uid="{00000000-0005-0000-0000-000051190000}"/>
    <cellStyle name="Normal 2 2 10 15 4 4" xfId="6482" xr:uid="{00000000-0005-0000-0000-000052190000}"/>
    <cellStyle name="Normal 2 2 10 15 4 5" xfId="6483" xr:uid="{00000000-0005-0000-0000-000053190000}"/>
    <cellStyle name="Normal 2 2 10 15 4 6" xfId="6484" xr:uid="{00000000-0005-0000-0000-000054190000}"/>
    <cellStyle name="Normal 2 2 10 15 4 7" xfId="6485" xr:uid="{00000000-0005-0000-0000-000055190000}"/>
    <cellStyle name="Normal 2 2 10 15 4 8" xfId="6486" xr:uid="{00000000-0005-0000-0000-000056190000}"/>
    <cellStyle name="Normal 2 2 10 15 4 9" xfId="6487" xr:uid="{00000000-0005-0000-0000-000057190000}"/>
    <cellStyle name="Normal 2 2 10 15 5" xfId="6488" xr:uid="{00000000-0005-0000-0000-000058190000}"/>
    <cellStyle name="Normal 2 2 10 15 5 10" xfId="6489" xr:uid="{00000000-0005-0000-0000-000059190000}"/>
    <cellStyle name="Normal 2 2 10 15 5 2" xfId="6490" xr:uid="{00000000-0005-0000-0000-00005A190000}"/>
    <cellStyle name="Normal 2 2 10 15 5 3" xfId="6491" xr:uid="{00000000-0005-0000-0000-00005B190000}"/>
    <cellStyle name="Normal 2 2 10 15 5 4" xfId="6492" xr:uid="{00000000-0005-0000-0000-00005C190000}"/>
    <cellStyle name="Normal 2 2 10 15 5 5" xfId="6493" xr:uid="{00000000-0005-0000-0000-00005D190000}"/>
    <cellStyle name="Normal 2 2 10 15 5 6" xfId="6494" xr:uid="{00000000-0005-0000-0000-00005E190000}"/>
    <cellStyle name="Normal 2 2 10 15 5 7" xfId="6495" xr:uid="{00000000-0005-0000-0000-00005F190000}"/>
    <cellStyle name="Normal 2 2 10 15 5 8" xfId="6496" xr:uid="{00000000-0005-0000-0000-000060190000}"/>
    <cellStyle name="Normal 2 2 10 15 5 9" xfId="6497" xr:uid="{00000000-0005-0000-0000-000061190000}"/>
    <cellStyle name="Normal 2 2 10 15 6" xfId="6498" xr:uid="{00000000-0005-0000-0000-000062190000}"/>
    <cellStyle name="Normal 2 2 10 15 7" xfId="6499" xr:uid="{00000000-0005-0000-0000-000063190000}"/>
    <cellStyle name="Normal 2 2 10 15 8" xfId="6500" xr:uid="{00000000-0005-0000-0000-000064190000}"/>
    <cellStyle name="Normal 2 2 10 15 9" xfId="6501" xr:uid="{00000000-0005-0000-0000-000065190000}"/>
    <cellStyle name="Normal 2 2 10 16" xfId="6502" xr:uid="{00000000-0005-0000-0000-000066190000}"/>
    <cellStyle name="Normal 2 2 10 16 10" xfId="6503" xr:uid="{00000000-0005-0000-0000-000067190000}"/>
    <cellStyle name="Normal 2 2 10 16 11" xfId="6504" xr:uid="{00000000-0005-0000-0000-000068190000}"/>
    <cellStyle name="Normal 2 2 10 16 12" xfId="6505" xr:uid="{00000000-0005-0000-0000-000069190000}"/>
    <cellStyle name="Normal 2 2 10 16 13" xfId="6506" xr:uid="{00000000-0005-0000-0000-00006A190000}"/>
    <cellStyle name="Normal 2 2 10 16 14" xfId="6507" xr:uid="{00000000-0005-0000-0000-00006B190000}"/>
    <cellStyle name="Normal 2 2 10 16 2" xfId="6508" xr:uid="{00000000-0005-0000-0000-00006C190000}"/>
    <cellStyle name="Normal 2 2 10 16 2 10" xfId="6509" xr:uid="{00000000-0005-0000-0000-00006D190000}"/>
    <cellStyle name="Normal 2 2 10 16 2 2" xfId="6510" xr:uid="{00000000-0005-0000-0000-00006E190000}"/>
    <cellStyle name="Normal 2 2 10 16 2 3" xfId="6511" xr:uid="{00000000-0005-0000-0000-00006F190000}"/>
    <cellStyle name="Normal 2 2 10 16 2 4" xfId="6512" xr:uid="{00000000-0005-0000-0000-000070190000}"/>
    <cellStyle name="Normal 2 2 10 16 2 5" xfId="6513" xr:uid="{00000000-0005-0000-0000-000071190000}"/>
    <cellStyle name="Normal 2 2 10 16 2 6" xfId="6514" xr:uid="{00000000-0005-0000-0000-000072190000}"/>
    <cellStyle name="Normal 2 2 10 16 2 7" xfId="6515" xr:uid="{00000000-0005-0000-0000-000073190000}"/>
    <cellStyle name="Normal 2 2 10 16 2 8" xfId="6516" xr:uid="{00000000-0005-0000-0000-000074190000}"/>
    <cellStyle name="Normal 2 2 10 16 2 9" xfId="6517" xr:uid="{00000000-0005-0000-0000-000075190000}"/>
    <cellStyle name="Normal 2 2 10 16 3" xfId="6518" xr:uid="{00000000-0005-0000-0000-000076190000}"/>
    <cellStyle name="Normal 2 2 10 16 3 10" xfId="6519" xr:uid="{00000000-0005-0000-0000-000077190000}"/>
    <cellStyle name="Normal 2 2 10 16 3 2" xfId="6520" xr:uid="{00000000-0005-0000-0000-000078190000}"/>
    <cellStyle name="Normal 2 2 10 16 3 3" xfId="6521" xr:uid="{00000000-0005-0000-0000-000079190000}"/>
    <cellStyle name="Normal 2 2 10 16 3 4" xfId="6522" xr:uid="{00000000-0005-0000-0000-00007A190000}"/>
    <cellStyle name="Normal 2 2 10 16 3 5" xfId="6523" xr:uid="{00000000-0005-0000-0000-00007B190000}"/>
    <cellStyle name="Normal 2 2 10 16 3 6" xfId="6524" xr:uid="{00000000-0005-0000-0000-00007C190000}"/>
    <cellStyle name="Normal 2 2 10 16 3 7" xfId="6525" xr:uid="{00000000-0005-0000-0000-00007D190000}"/>
    <cellStyle name="Normal 2 2 10 16 3 8" xfId="6526" xr:uid="{00000000-0005-0000-0000-00007E190000}"/>
    <cellStyle name="Normal 2 2 10 16 3 9" xfId="6527" xr:uid="{00000000-0005-0000-0000-00007F190000}"/>
    <cellStyle name="Normal 2 2 10 16 4" xfId="6528" xr:uid="{00000000-0005-0000-0000-000080190000}"/>
    <cellStyle name="Normal 2 2 10 16 4 10" xfId="6529" xr:uid="{00000000-0005-0000-0000-000081190000}"/>
    <cellStyle name="Normal 2 2 10 16 4 2" xfId="6530" xr:uid="{00000000-0005-0000-0000-000082190000}"/>
    <cellStyle name="Normal 2 2 10 16 4 3" xfId="6531" xr:uid="{00000000-0005-0000-0000-000083190000}"/>
    <cellStyle name="Normal 2 2 10 16 4 4" xfId="6532" xr:uid="{00000000-0005-0000-0000-000084190000}"/>
    <cellStyle name="Normal 2 2 10 16 4 5" xfId="6533" xr:uid="{00000000-0005-0000-0000-000085190000}"/>
    <cellStyle name="Normal 2 2 10 16 4 6" xfId="6534" xr:uid="{00000000-0005-0000-0000-000086190000}"/>
    <cellStyle name="Normal 2 2 10 16 4 7" xfId="6535" xr:uid="{00000000-0005-0000-0000-000087190000}"/>
    <cellStyle name="Normal 2 2 10 16 4 8" xfId="6536" xr:uid="{00000000-0005-0000-0000-000088190000}"/>
    <cellStyle name="Normal 2 2 10 16 4 9" xfId="6537" xr:uid="{00000000-0005-0000-0000-000089190000}"/>
    <cellStyle name="Normal 2 2 10 16 5" xfId="6538" xr:uid="{00000000-0005-0000-0000-00008A190000}"/>
    <cellStyle name="Normal 2 2 10 16 5 10" xfId="6539" xr:uid="{00000000-0005-0000-0000-00008B190000}"/>
    <cellStyle name="Normal 2 2 10 16 5 2" xfId="6540" xr:uid="{00000000-0005-0000-0000-00008C190000}"/>
    <cellStyle name="Normal 2 2 10 16 5 3" xfId="6541" xr:uid="{00000000-0005-0000-0000-00008D190000}"/>
    <cellStyle name="Normal 2 2 10 16 5 4" xfId="6542" xr:uid="{00000000-0005-0000-0000-00008E190000}"/>
    <cellStyle name="Normal 2 2 10 16 5 5" xfId="6543" xr:uid="{00000000-0005-0000-0000-00008F190000}"/>
    <cellStyle name="Normal 2 2 10 16 5 6" xfId="6544" xr:uid="{00000000-0005-0000-0000-000090190000}"/>
    <cellStyle name="Normal 2 2 10 16 5 7" xfId="6545" xr:uid="{00000000-0005-0000-0000-000091190000}"/>
    <cellStyle name="Normal 2 2 10 16 5 8" xfId="6546" xr:uid="{00000000-0005-0000-0000-000092190000}"/>
    <cellStyle name="Normal 2 2 10 16 5 9" xfId="6547" xr:uid="{00000000-0005-0000-0000-000093190000}"/>
    <cellStyle name="Normal 2 2 10 16 6" xfId="6548" xr:uid="{00000000-0005-0000-0000-000094190000}"/>
    <cellStyle name="Normal 2 2 10 16 7" xfId="6549" xr:uid="{00000000-0005-0000-0000-000095190000}"/>
    <cellStyle name="Normal 2 2 10 16 8" xfId="6550" xr:uid="{00000000-0005-0000-0000-000096190000}"/>
    <cellStyle name="Normal 2 2 10 16 9" xfId="6551" xr:uid="{00000000-0005-0000-0000-000097190000}"/>
    <cellStyle name="Normal 2 2 10 17" xfId="6552" xr:uid="{00000000-0005-0000-0000-000098190000}"/>
    <cellStyle name="Normal 2 2 10 17 10" xfId="6553" xr:uid="{00000000-0005-0000-0000-000099190000}"/>
    <cellStyle name="Normal 2 2 10 17 11" xfId="6554" xr:uid="{00000000-0005-0000-0000-00009A190000}"/>
    <cellStyle name="Normal 2 2 10 17 12" xfId="6555" xr:uid="{00000000-0005-0000-0000-00009B190000}"/>
    <cellStyle name="Normal 2 2 10 17 13" xfId="6556" xr:uid="{00000000-0005-0000-0000-00009C190000}"/>
    <cellStyle name="Normal 2 2 10 17 14" xfId="6557" xr:uid="{00000000-0005-0000-0000-00009D190000}"/>
    <cellStyle name="Normal 2 2 10 17 2" xfId="6558" xr:uid="{00000000-0005-0000-0000-00009E190000}"/>
    <cellStyle name="Normal 2 2 10 17 2 10" xfId="6559" xr:uid="{00000000-0005-0000-0000-00009F190000}"/>
    <cellStyle name="Normal 2 2 10 17 2 2" xfId="6560" xr:uid="{00000000-0005-0000-0000-0000A0190000}"/>
    <cellStyle name="Normal 2 2 10 17 2 3" xfId="6561" xr:uid="{00000000-0005-0000-0000-0000A1190000}"/>
    <cellStyle name="Normal 2 2 10 17 2 4" xfId="6562" xr:uid="{00000000-0005-0000-0000-0000A2190000}"/>
    <cellStyle name="Normal 2 2 10 17 2 5" xfId="6563" xr:uid="{00000000-0005-0000-0000-0000A3190000}"/>
    <cellStyle name="Normal 2 2 10 17 2 6" xfId="6564" xr:uid="{00000000-0005-0000-0000-0000A4190000}"/>
    <cellStyle name="Normal 2 2 10 17 2 7" xfId="6565" xr:uid="{00000000-0005-0000-0000-0000A5190000}"/>
    <cellStyle name="Normal 2 2 10 17 2 8" xfId="6566" xr:uid="{00000000-0005-0000-0000-0000A6190000}"/>
    <cellStyle name="Normal 2 2 10 17 2 9" xfId="6567" xr:uid="{00000000-0005-0000-0000-0000A7190000}"/>
    <cellStyle name="Normal 2 2 10 17 3" xfId="6568" xr:uid="{00000000-0005-0000-0000-0000A8190000}"/>
    <cellStyle name="Normal 2 2 10 17 3 10" xfId="6569" xr:uid="{00000000-0005-0000-0000-0000A9190000}"/>
    <cellStyle name="Normal 2 2 10 17 3 2" xfId="6570" xr:uid="{00000000-0005-0000-0000-0000AA190000}"/>
    <cellStyle name="Normal 2 2 10 17 3 3" xfId="6571" xr:uid="{00000000-0005-0000-0000-0000AB190000}"/>
    <cellStyle name="Normal 2 2 10 17 3 4" xfId="6572" xr:uid="{00000000-0005-0000-0000-0000AC190000}"/>
    <cellStyle name="Normal 2 2 10 17 3 5" xfId="6573" xr:uid="{00000000-0005-0000-0000-0000AD190000}"/>
    <cellStyle name="Normal 2 2 10 17 3 6" xfId="6574" xr:uid="{00000000-0005-0000-0000-0000AE190000}"/>
    <cellStyle name="Normal 2 2 10 17 3 7" xfId="6575" xr:uid="{00000000-0005-0000-0000-0000AF190000}"/>
    <cellStyle name="Normal 2 2 10 17 3 8" xfId="6576" xr:uid="{00000000-0005-0000-0000-0000B0190000}"/>
    <cellStyle name="Normal 2 2 10 17 3 9" xfId="6577" xr:uid="{00000000-0005-0000-0000-0000B1190000}"/>
    <cellStyle name="Normal 2 2 10 17 4" xfId="6578" xr:uid="{00000000-0005-0000-0000-0000B2190000}"/>
    <cellStyle name="Normal 2 2 10 17 4 10" xfId="6579" xr:uid="{00000000-0005-0000-0000-0000B3190000}"/>
    <cellStyle name="Normal 2 2 10 17 4 2" xfId="6580" xr:uid="{00000000-0005-0000-0000-0000B4190000}"/>
    <cellStyle name="Normal 2 2 10 17 4 3" xfId="6581" xr:uid="{00000000-0005-0000-0000-0000B5190000}"/>
    <cellStyle name="Normal 2 2 10 17 4 4" xfId="6582" xr:uid="{00000000-0005-0000-0000-0000B6190000}"/>
    <cellStyle name="Normal 2 2 10 17 4 5" xfId="6583" xr:uid="{00000000-0005-0000-0000-0000B7190000}"/>
    <cellStyle name="Normal 2 2 10 17 4 6" xfId="6584" xr:uid="{00000000-0005-0000-0000-0000B8190000}"/>
    <cellStyle name="Normal 2 2 10 17 4 7" xfId="6585" xr:uid="{00000000-0005-0000-0000-0000B9190000}"/>
    <cellStyle name="Normal 2 2 10 17 4 8" xfId="6586" xr:uid="{00000000-0005-0000-0000-0000BA190000}"/>
    <cellStyle name="Normal 2 2 10 17 4 9" xfId="6587" xr:uid="{00000000-0005-0000-0000-0000BB190000}"/>
    <cellStyle name="Normal 2 2 10 17 5" xfId="6588" xr:uid="{00000000-0005-0000-0000-0000BC190000}"/>
    <cellStyle name="Normal 2 2 10 17 5 10" xfId="6589" xr:uid="{00000000-0005-0000-0000-0000BD190000}"/>
    <cellStyle name="Normal 2 2 10 17 5 2" xfId="6590" xr:uid="{00000000-0005-0000-0000-0000BE190000}"/>
    <cellStyle name="Normal 2 2 10 17 5 3" xfId="6591" xr:uid="{00000000-0005-0000-0000-0000BF190000}"/>
    <cellStyle name="Normal 2 2 10 17 5 4" xfId="6592" xr:uid="{00000000-0005-0000-0000-0000C0190000}"/>
    <cellStyle name="Normal 2 2 10 17 5 5" xfId="6593" xr:uid="{00000000-0005-0000-0000-0000C1190000}"/>
    <cellStyle name="Normal 2 2 10 17 5 6" xfId="6594" xr:uid="{00000000-0005-0000-0000-0000C2190000}"/>
    <cellStyle name="Normal 2 2 10 17 5 7" xfId="6595" xr:uid="{00000000-0005-0000-0000-0000C3190000}"/>
    <cellStyle name="Normal 2 2 10 17 5 8" xfId="6596" xr:uid="{00000000-0005-0000-0000-0000C4190000}"/>
    <cellStyle name="Normal 2 2 10 17 5 9" xfId="6597" xr:uid="{00000000-0005-0000-0000-0000C5190000}"/>
    <cellStyle name="Normal 2 2 10 17 6" xfId="6598" xr:uid="{00000000-0005-0000-0000-0000C6190000}"/>
    <cellStyle name="Normal 2 2 10 17 7" xfId="6599" xr:uid="{00000000-0005-0000-0000-0000C7190000}"/>
    <cellStyle name="Normal 2 2 10 17 8" xfId="6600" xr:uid="{00000000-0005-0000-0000-0000C8190000}"/>
    <cellStyle name="Normal 2 2 10 17 9" xfId="6601" xr:uid="{00000000-0005-0000-0000-0000C9190000}"/>
    <cellStyle name="Normal 2 2 10 18" xfId="6602" xr:uid="{00000000-0005-0000-0000-0000CA190000}"/>
    <cellStyle name="Normal 2 2 10 18 10" xfId="6603" xr:uid="{00000000-0005-0000-0000-0000CB190000}"/>
    <cellStyle name="Normal 2 2 10 18 11" xfId="6604" xr:uid="{00000000-0005-0000-0000-0000CC190000}"/>
    <cellStyle name="Normal 2 2 10 18 12" xfId="6605" xr:uid="{00000000-0005-0000-0000-0000CD190000}"/>
    <cellStyle name="Normal 2 2 10 18 13" xfId="6606" xr:uid="{00000000-0005-0000-0000-0000CE190000}"/>
    <cellStyle name="Normal 2 2 10 18 14" xfId="6607" xr:uid="{00000000-0005-0000-0000-0000CF190000}"/>
    <cellStyle name="Normal 2 2 10 18 2" xfId="6608" xr:uid="{00000000-0005-0000-0000-0000D0190000}"/>
    <cellStyle name="Normal 2 2 10 18 2 10" xfId="6609" xr:uid="{00000000-0005-0000-0000-0000D1190000}"/>
    <cellStyle name="Normal 2 2 10 18 2 2" xfId="6610" xr:uid="{00000000-0005-0000-0000-0000D2190000}"/>
    <cellStyle name="Normal 2 2 10 18 2 3" xfId="6611" xr:uid="{00000000-0005-0000-0000-0000D3190000}"/>
    <cellStyle name="Normal 2 2 10 18 2 4" xfId="6612" xr:uid="{00000000-0005-0000-0000-0000D4190000}"/>
    <cellStyle name="Normal 2 2 10 18 2 5" xfId="6613" xr:uid="{00000000-0005-0000-0000-0000D5190000}"/>
    <cellStyle name="Normal 2 2 10 18 2 6" xfId="6614" xr:uid="{00000000-0005-0000-0000-0000D6190000}"/>
    <cellStyle name="Normal 2 2 10 18 2 7" xfId="6615" xr:uid="{00000000-0005-0000-0000-0000D7190000}"/>
    <cellStyle name="Normal 2 2 10 18 2 8" xfId="6616" xr:uid="{00000000-0005-0000-0000-0000D8190000}"/>
    <cellStyle name="Normal 2 2 10 18 2 9" xfId="6617" xr:uid="{00000000-0005-0000-0000-0000D9190000}"/>
    <cellStyle name="Normal 2 2 10 18 3" xfId="6618" xr:uid="{00000000-0005-0000-0000-0000DA190000}"/>
    <cellStyle name="Normal 2 2 10 18 3 10" xfId="6619" xr:uid="{00000000-0005-0000-0000-0000DB190000}"/>
    <cellStyle name="Normal 2 2 10 18 3 2" xfId="6620" xr:uid="{00000000-0005-0000-0000-0000DC190000}"/>
    <cellStyle name="Normal 2 2 10 18 3 3" xfId="6621" xr:uid="{00000000-0005-0000-0000-0000DD190000}"/>
    <cellStyle name="Normal 2 2 10 18 3 4" xfId="6622" xr:uid="{00000000-0005-0000-0000-0000DE190000}"/>
    <cellStyle name="Normal 2 2 10 18 3 5" xfId="6623" xr:uid="{00000000-0005-0000-0000-0000DF190000}"/>
    <cellStyle name="Normal 2 2 10 18 3 6" xfId="6624" xr:uid="{00000000-0005-0000-0000-0000E0190000}"/>
    <cellStyle name="Normal 2 2 10 18 3 7" xfId="6625" xr:uid="{00000000-0005-0000-0000-0000E1190000}"/>
    <cellStyle name="Normal 2 2 10 18 3 8" xfId="6626" xr:uid="{00000000-0005-0000-0000-0000E2190000}"/>
    <cellStyle name="Normal 2 2 10 18 3 9" xfId="6627" xr:uid="{00000000-0005-0000-0000-0000E3190000}"/>
    <cellStyle name="Normal 2 2 10 18 4" xfId="6628" xr:uid="{00000000-0005-0000-0000-0000E4190000}"/>
    <cellStyle name="Normal 2 2 10 18 4 10" xfId="6629" xr:uid="{00000000-0005-0000-0000-0000E5190000}"/>
    <cellStyle name="Normal 2 2 10 18 4 2" xfId="6630" xr:uid="{00000000-0005-0000-0000-0000E6190000}"/>
    <cellStyle name="Normal 2 2 10 18 4 3" xfId="6631" xr:uid="{00000000-0005-0000-0000-0000E7190000}"/>
    <cellStyle name="Normal 2 2 10 18 4 4" xfId="6632" xr:uid="{00000000-0005-0000-0000-0000E8190000}"/>
    <cellStyle name="Normal 2 2 10 18 4 5" xfId="6633" xr:uid="{00000000-0005-0000-0000-0000E9190000}"/>
    <cellStyle name="Normal 2 2 10 18 4 6" xfId="6634" xr:uid="{00000000-0005-0000-0000-0000EA190000}"/>
    <cellStyle name="Normal 2 2 10 18 4 7" xfId="6635" xr:uid="{00000000-0005-0000-0000-0000EB190000}"/>
    <cellStyle name="Normal 2 2 10 18 4 8" xfId="6636" xr:uid="{00000000-0005-0000-0000-0000EC190000}"/>
    <cellStyle name="Normal 2 2 10 18 4 9" xfId="6637" xr:uid="{00000000-0005-0000-0000-0000ED190000}"/>
    <cellStyle name="Normal 2 2 10 18 5" xfId="6638" xr:uid="{00000000-0005-0000-0000-0000EE190000}"/>
    <cellStyle name="Normal 2 2 10 18 5 10" xfId="6639" xr:uid="{00000000-0005-0000-0000-0000EF190000}"/>
    <cellStyle name="Normal 2 2 10 18 5 2" xfId="6640" xr:uid="{00000000-0005-0000-0000-0000F0190000}"/>
    <cellStyle name="Normal 2 2 10 18 5 3" xfId="6641" xr:uid="{00000000-0005-0000-0000-0000F1190000}"/>
    <cellStyle name="Normal 2 2 10 18 5 4" xfId="6642" xr:uid="{00000000-0005-0000-0000-0000F2190000}"/>
    <cellStyle name="Normal 2 2 10 18 5 5" xfId="6643" xr:uid="{00000000-0005-0000-0000-0000F3190000}"/>
    <cellStyle name="Normal 2 2 10 18 5 6" xfId="6644" xr:uid="{00000000-0005-0000-0000-0000F4190000}"/>
    <cellStyle name="Normal 2 2 10 18 5 7" xfId="6645" xr:uid="{00000000-0005-0000-0000-0000F5190000}"/>
    <cellStyle name="Normal 2 2 10 18 5 8" xfId="6646" xr:uid="{00000000-0005-0000-0000-0000F6190000}"/>
    <cellStyle name="Normal 2 2 10 18 5 9" xfId="6647" xr:uid="{00000000-0005-0000-0000-0000F7190000}"/>
    <cellStyle name="Normal 2 2 10 18 6" xfId="6648" xr:uid="{00000000-0005-0000-0000-0000F8190000}"/>
    <cellStyle name="Normal 2 2 10 18 7" xfId="6649" xr:uid="{00000000-0005-0000-0000-0000F9190000}"/>
    <cellStyle name="Normal 2 2 10 18 8" xfId="6650" xr:uid="{00000000-0005-0000-0000-0000FA190000}"/>
    <cellStyle name="Normal 2 2 10 18 9" xfId="6651" xr:uid="{00000000-0005-0000-0000-0000FB190000}"/>
    <cellStyle name="Normal 2 2 10 19" xfId="6652" xr:uid="{00000000-0005-0000-0000-0000FC190000}"/>
    <cellStyle name="Normal 2 2 10 19 10" xfId="6653" xr:uid="{00000000-0005-0000-0000-0000FD190000}"/>
    <cellStyle name="Normal 2 2 10 19 11" xfId="6654" xr:uid="{00000000-0005-0000-0000-0000FE190000}"/>
    <cellStyle name="Normal 2 2 10 19 12" xfId="6655" xr:uid="{00000000-0005-0000-0000-0000FF190000}"/>
    <cellStyle name="Normal 2 2 10 19 13" xfId="6656" xr:uid="{00000000-0005-0000-0000-0000001A0000}"/>
    <cellStyle name="Normal 2 2 10 19 14" xfId="6657" xr:uid="{00000000-0005-0000-0000-0000011A0000}"/>
    <cellStyle name="Normal 2 2 10 19 2" xfId="6658" xr:uid="{00000000-0005-0000-0000-0000021A0000}"/>
    <cellStyle name="Normal 2 2 10 19 2 10" xfId="6659" xr:uid="{00000000-0005-0000-0000-0000031A0000}"/>
    <cellStyle name="Normal 2 2 10 19 2 2" xfId="6660" xr:uid="{00000000-0005-0000-0000-0000041A0000}"/>
    <cellStyle name="Normal 2 2 10 19 2 3" xfId="6661" xr:uid="{00000000-0005-0000-0000-0000051A0000}"/>
    <cellStyle name="Normal 2 2 10 19 2 4" xfId="6662" xr:uid="{00000000-0005-0000-0000-0000061A0000}"/>
    <cellStyle name="Normal 2 2 10 19 2 5" xfId="6663" xr:uid="{00000000-0005-0000-0000-0000071A0000}"/>
    <cellStyle name="Normal 2 2 10 19 2 6" xfId="6664" xr:uid="{00000000-0005-0000-0000-0000081A0000}"/>
    <cellStyle name="Normal 2 2 10 19 2 7" xfId="6665" xr:uid="{00000000-0005-0000-0000-0000091A0000}"/>
    <cellStyle name="Normal 2 2 10 19 2 8" xfId="6666" xr:uid="{00000000-0005-0000-0000-00000A1A0000}"/>
    <cellStyle name="Normal 2 2 10 19 2 9" xfId="6667" xr:uid="{00000000-0005-0000-0000-00000B1A0000}"/>
    <cellStyle name="Normal 2 2 10 19 3" xfId="6668" xr:uid="{00000000-0005-0000-0000-00000C1A0000}"/>
    <cellStyle name="Normal 2 2 10 19 3 10" xfId="6669" xr:uid="{00000000-0005-0000-0000-00000D1A0000}"/>
    <cellStyle name="Normal 2 2 10 19 3 2" xfId="6670" xr:uid="{00000000-0005-0000-0000-00000E1A0000}"/>
    <cellStyle name="Normal 2 2 10 19 3 3" xfId="6671" xr:uid="{00000000-0005-0000-0000-00000F1A0000}"/>
    <cellStyle name="Normal 2 2 10 19 3 4" xfId="6672" xr:uid="{00000000-0005-0000-0000-0000101A0000}"/>
    <cellStyle name="Normal 2 2 10 19 3 5" xfId="6673" xr:uid="{00000000-0005-0000-0000-0000111A0000}"/>
    <cellStyle name="Normal 2 2 10 19 3 6" xfId="6674" xr:uid="{00000000-0005-0000-0000-0000121A0000}"/>
    <cellStyle name="Normal 2 2 10 19 3 7" xfId="6675" xr:uid="{00000000-0005-0000-0000-0000131A0000}"/>
    <cellStyle name="Normal 2 2 10 19 3 8" xfId="6676" xr:uid="{00000000-0005-0000-0000-0000141A0000}"/>
    <cellStyle name="Normal 2 2 10 19 3 9" xfId="6677" xr:uid="{00000000-0005-0000-0000-0000151A0000}"/>
    <cellStyle name="Normal 2 2 10 19 4" xfId="6678" xr:uid="{00000000-0005-0000-0000-0000161A0000}"/>
    <cellStyle name="Normal 2 2 10 19 4 10" xfId="6679" xr:uid="{00000000-0005-0000-0000-0000171A0000}"/>
    <cellStyle name="Normal 2 2 10 19 4 2" xfId="6680" xr:uid="{00000000-0005-0000-0000-0000181A0000}"/>
    <cellStyle name="Normal 2 2 10 19 4 3" xfId="6681" xr:uid="{00000000-0005-0000-0000-0000191A0000}"/>
    <cellStyle name="Normal 2 2 10 19 4 4" xfId="6682" xr:uid="{00000000-0005-0000-0000-00001A1A0000}"/>
    <cellStyle name="Normal 2 2 10 19 4 5" xfId="6683" xr:uid="{00000000-0005-0000-0000-00001B1A0000}"/>
    <cellStyle name="Normal 2 2 10 19 4 6" xfId="6684" xr:uid="{00000000-0005-0000-0000-00001C1A0000}"/>
    <cellStyle name="Normal 2 2 10 19 4 7" xfId="6685" xr:uid="{00000000-0005-0000-0000-00001D1A0000}"/>
    <cellStyle name="Normal 2 2 10 19 4 8" xfId="6686" xr:uid="{00000000-0005-0000-0000-00001E1A0000}"/>
    <cellStyle name="Normal 2 2 10 19 4 9" xfId="6687" xr:uid="{00000000-0005-0000-0000-00001F1A0000}"/>
    <cellStyle name="Normal 2 2 10 19 5" xfId="6688" xr:uid="{00000000-0005-0000-0000-0000201A0000}"/>
    <cellStyle name="Normal 2 2 10 19 5 10" xfId="6689" xr:uid="{00000000-0005-0000-0000-0000211A0000}"/>
    <cellStyle name="Normal 2 2 10 19 5 2" xfId="6690" xr:uid="{00000000-0005-0000-0000-0000221A0000}"/>
    <cellStyle name="Normal 2 2 10 19 5 3" xfId="6691" xr:uid="{00000000-0005-0000-0000-0000231A0000}"/>
    <cellStyle name="Normal 2 2 10 19 5 4" xfId="6692" xr:uid="{00000000-0005-0000-0000-0000241A0000}"/>
    <cellStyle name="Normal 2 2 10 19 5 5" xfId="6693" xr:uid="{00000000-0005-0000-0000-0000251A0000}"/>
    <cellStyle name="Normal 2 2 10 19 5 6" xfId="6694" xr:uid="{00000000-0005-0000-0000-0000261A0000}"/>
    <cellStyle name="Normal 2 2 10 19 5 7" xfId="6695" xr:uid="{00000000-0005-0000-0000-0000271A0000}"/>
    <cellStyle name="Normal 2 2 10 19 5 8" xfId="6696" xr:uid="{00000000-0005-0000-0000-0000281A0000}"/>
    <cellStyle name="Normal 2 2 10 19 5 9" xfId="6697" xr:uid="{00000000-0005-0000-0000-0000291A0000}"/>
    <cellStyle name="Normal 2 2 10 19 6" xfId="6698" xr:uid="{00000000-0005-0000-0000-00002A1A0000}"/>
    <cellStyle name="Normal 2 2 10 19 7" xfId="6699" xr:uid="{00000000-0005-0000-0000-00002B1A0000}"/>
    <cellStyle name="Normal 2 2 10 19 8" xfId="6700" xr:uid="{00000000-0005-0000-0000-00002C1A0000}"/>
    <cellStyle name="Normal 2 2 10 19 9" xfId="6701" xr:uid="{00000000-0005-0000-0000-00002D1A0000}"/>
    <cellStyle name="Normal 2 2 10 2" xfId="6702" xr:uid="{00000000-0005-0000-0000-00002E1A0000}"/>
    <cellStyle name="Normal 2 2 10 2 10" xfId="6703" xr:uid="{00000000-0005-0000-0000-00002F1A0000}"/>
    <cellStyle name="Normal 2 2 10 2 10 10" xfId="6704" xr:uid="{00000000-0005-0000-0000-0000301A0000}"/>
    <cellStyle name="Normal 2 2 10 2 10 11" xfId="6705" xr:uid="{00000000-0005-0000-0000-0000311A0000}"/>
    <cellStyle name="Normal 2 2 10 2 10 12" xfId="6706" xr:uid="{00000000-0005-0000-0000-0000321A0000}"/>
    <cellStyle name="Normal 2 2 10 2 10 13" xfId="6707" xr:uid="{00000000-0005-0000-0000-0000331A0000}"/>
    <cellStyle name="Normal 2 2 10 2 10 14" xfId="6708" xr:uid="{00000000-0005-0000-0000-0000341A0000}"/>
    <cellStyle name="Normal 2 2 10 2 10 2" xfId="6709" xr:uid="{00000000-0005-0000-0000-0000351A0000}"/>
    <cellStyle name="Normal 2 2 10 2 10 2 10" xfId="6710" xr:uid="{00000000-0005-0000-0000-0000361A0000}"/>
    <cellStyle name="Normal 2 2 10 2 10 2 2" xfId="6711" xr:uid="{00000000-0005-0000-0000-0000371A0000}"/>
    <cellStyle name="Normal 2 2 10 2 10 2 3" xfId="6712" xr:uid="{00000000-0005-0000-0000-0000381A0000}"/>
    <cellStyle name="Normal 2 2 10 2 10 2 4" xfId="6713" xr:uid="{00000000-0005-0000-0000-0000391A0000}"/>
    <cellStyle name="Normal 2 2 10 2 10 2 5" xfId="6714" xr:uid="{00000000-0005-0000-0000-00003A1A0000}"/>
    <cellStyle name="Normal 2 2 10 2 10 2 6" xfId="6715" xr:uid="{00000000-0005-0000-0000-00003B1A0000}"/>
    <cellStyle name="Normal 2 2 10 2 10 2 7" xfId="6716" xr:uid="{00000000-0005-0000-0000-00003C1A0000}"/>
    <cellStyle name="Normal 2 2 10 2 10 2 8" xfId="6717" xr:uid="{00000000-0005-0000-0000-00003D1A0000}"/>
    <cellStyle name="Normal 2 2 10 2 10 2 9" xfId="6718" xr:uid="{00000000-0005-0000-0000-00003E1A0000}"/>
    <cellStyle name="Normal 2 2 10 2 10 3" xfId="6719" xr:uid="{00000000-0005-0000-0000-00003F1A0000}"/>
    <cellStyle name="Normal 2 2 10 2 10 3 10" xfId="6720" xr:uid="{00000000-0005-0000-0000-0000401A0000}"/>
    <cellStyle name="Normal 2 2 10 2 10 3 2" xfId="6721" xr:uid="{00000000-0005-0000-0000-0000411A0000}"/>
    <cellStyle name="Normal 2 2 10 2 10 3 3" xfId="6722" xr:uid="{00000000-0005-0000-0000-0000421A0000}"/>
    <cellStyle name="Normal 2 2 10 2 10 3 4" xfId="6723" xr:uid="{00000000-0005-0000-0000-0000431A0000}"/>
    <cellStyle name="Normal 2 2 10 2 10 3 5" xfId="6724" xr:uid="{00000000-0005-0000-0000-0000441A0000}"/>
    <cellStyle name="Normal 2 2 10 2 10 3 6" xfId="6725" xr:uid="{00000000-0005-0000-0000-0000451A0000}"/>
    <cellStyle name="Normal 2 2 10 2 10 3 7" xfId="6726" xr:uid="{00000000-0005-0000-0000-0000461A0000}"/>
    <cellStyle name="Normal 2 2 10 2 10 3 8" xfId="6727" xr:uid="{00000000-0005-0000-0000-0000471A0000}"/>
    <cellStyle name="Normal 2 2 10 2 10 3 9" xfId="6728" xr:uid="{00000000-0005-0000-0000-0000481A0000}"/>
    <cellStyle name="Normal 2 2 10 2 10 4" xfId="6729" xr:uid="{00000000-0005-0000-0000-0000491A0000}"/>
    <cellStyle name="Normal 2 2 10 2 10 4 10" xfId="6730" xr:uid="{00000000-0005-0000-0000-00004A1A0000}"/>
    <cellStyle name="Normal 2 2 10 2 10 4 2" xfId="6731" xr:uid="{00000000-0005-0000-0000-00004B1A0000}"/>
    <cellStyle name="Normal 2 2 10 2 10 4 3" xfId="6732" xr:uid="{00000000-0005-0000-0000-00004C1A0000}"/>
    <cellStyle name="Normal 2 2 10 2 10 4 4" xfId="6733" xr:uid="{00000000-0005-0000-0000-00004D1A0000}"/>
    <cellStyle name="Normal 2 2 10 2 10 4 5" xfId="6734" xr:uid="{00000000-0005-0000-0000-00004E1A0000}"/>
    <cellStyle name="Normal 2 2 10 2 10 4 6" xfId="6735" xr:uid="{00000000-0005-0000-0000-00004F1A0000}"/>
    <cellStyle name="Normal 2 2 10 2 10 4 7" xfId="6736" xr:uid="{00000000-0005-0000-0000-0000501A0000}"/>
    <cellStyle name="Normal 2 2 10 2 10 4 8" xfId="6737" xr:uid="{00000000-0005-0000-0000-0000511A0000}"/>
    <cellStyle name="Normal 2 2 10 2 10 4 9" xfId="6738" xr:uid="{00000000-0005-0000-0000-0000521A0000}"/>
    <cellStyle name="Normal 2 2 10 2 10 5" xfId="6739" xr:uid="{00000000-0005-0000-0000-0000531A0000}"/>
    <cellStyle name="Normal 2 2 10 2 10 5 10" xfId="6740" xr:uid="{00000000-0005-0000-0000-0000541A0000}"/>
    <cellStyle name="Normal 2 2 10 2 10 5 2" xfId="6741" xr:uid="{00000000-0005-0000-0000-0000551A0000}"/>
    <cellStyle name="Normal 2 2 10 2 10 5 3" xfId="6742" xr:uid="{00000000-0005-0000-0000-0000561A0000}"/>
    <cellStyle name="Normal 2 2 10 2 10 5 4" xfId="6743" xr:uid="{00000000-0005-0000-0000-0000571A0000}"/>
    <cellStyle name="Normal 2 2 10 2 10 5 5" xfId="6744" xr:uid="{00000000-0005-0000-0000-0000581A0000}"/>
    <cellStyle name="Normal 2 2 10 2 10 5 6" xfId="6745" xr:uid="{00000000-0005-0000-0000-0000591A0000}"/>
    <cellStyle name="Normal 2 2 10 2 10 5 7" xfId="6746" xr:uid="{00000000-0005-0000-0000-00005A1A0000}"/>
    <cellStyle name="Normal 2 2 10 2 10 5 8" xfId="6747" xr:uid="{00000000-0005-0000-0000-00005B1A0000}"/>
    <cellStyle name="Normal 2 2 10 2 10 5 9" xfId="6748" xr:uid="{00000000-0005-0000-0000-00005C1A0000}"/>
    <cellStyle name="Normal 2 2 10 2 10 6" xfId="6749" xr:uid="{00000000-0005-0000-0000-00005D1A0000}"/>
    <cellStyle name="Normal 2 2 10 2 10 7" xfId="6750" xr:uid="{00000000-0005-0000-0000-00005E1A0000}"/>
    <cellStyle name="Normal 2 2 10 2 10 8" xfId="6751" xr:uid="{00000000-0005-0000-0000-00005F1A0000}"/>
    <cellStyle name="Normal 2 2 10 2 10 9" xfId="6752" xr:uid="{00000000-0005-0000-0000-0000601A0000}"/>
    <cellStyle name="Normal 2 2 10 2 11" xfId="6753" xr:uid="{00000000-0005-0000-0000-0000611A0000}"/>
    <cellStyle name="Normal 2 2 10 2 11 10" xfId="6754" xr:uid="{00000000-0005-0000-0000-0000621A0000}"/>
    <cellStyle name="Normal 2 2 10 2 11 11" xfId="6755" xr:uid="{00000000-0005-0000-0000-0000631A0000}"/>
    <cellStyle name="Normal 2 2 10 2 11 12" xfId="6756" xr:uid="{00000000-0005-0000-0000-0000641A0000}"/>
    <cellStyle name="Normal 2 2 10 2 11 13" xfId="6757" xr:uid="{00000000-0005-0000-0000-0000651A0000}"/>
    <cellStyle name="Normal 2 2 10 2 11 14" xfId="6758" xr:uid="{00000000-0005-0000-0000-0000661A0000}"/>
    <cellStyle name="Normal 2 2 10 2 11 2" xfId="6759" xr:uid="{00000000-0005-0000-0000-0000671A0000}"/>
    <cellStyle name="Normal 2 2 10 2 11 2 10" xfId="6760" xr:uid="{00000000-0005-0000-0000-0000681A0000}"/>
    <cellStyle name="Normal 2 2 10 2 11 2 2" xfId="6761" xr:uid="{00000000-0005-0000-0000-0000691A0000}"/>
    <cellStyle name="Normal 2 2 10 2 11 2 3" xfId="6762" xr:uid="{00000000-0005-0000-0000-00006A1A0000}"/>
    <cellStyle name="Normal 2 2 10 2 11 2 4" xfId="6763" xr:uid="{00000000-0005-0000-0000-00006B1A0000}"/>
    <cellStyle name="Normal 2 2 10 2 11 2 5" xfId="6764" xr:uid="{00000000-0005-0000-0000-00006C1A0000}"/>
    <cellStyle name="Normal 2 2 10 2 11 2 6" xfId="6765" xr:uid="{00000000-0005-0000-0000-00006D1A0000}"/>
    <cellStyle name="Normal 2 2 10 2 11 2 7" xfId="6766" xr:uid="{00000000-0005-0000-0000-00006E1A0000}"/>
    <cellStyle name="Normal 2 2 10 2 11 2 8" xfId="6767" xr:uid="{00000000-0005-0000-0000-00006F1A0000}"/>
    <cellStyle name="Normal 2 2 10 2 11 2 9" xfId="6768" xr:uid="{00000000-0005-0000-0000-0000701A0000}"/>
    <cellStyle name="Normal 2 2 10 2 11 3" xfId="6769" xr:uid="{00000000-0005-0000-0000-0000711A0000}"/>
    <cellStyle name="Normal 2 2 10 2 11 3 10" xfId="6770" xr:uid="{00000000-0005-0000-0000-0000721A0000}"/>
    <cellStyle name="Normal 2 2 10 2 11 3 2" xfId="6771" xr:uid="{00000000-0005-0000-0000-0000731A0000}"/>
    <cellStyle name="Normal 2 2 10 2 11 3 3" xfId="6772" xr:uid="{00000000-0005-0000-0000-0000741A0000}"/>
    <cellStyle name="Normal 2 2 10 2 11 3 4" xfId="6773" xr:uid="{00000000-0005-0000-0000-0000751A0000}"/>
    <cellStyle name="Normal 2 2 10 2 11 3 5" xfId="6774" xr:uid="{00000000-0005-0000-0000-0000761A0000}"/>
    <cellStyle name="Normal 2 2 10 2 11 3 6" xfId="6775" xr:uid="{00000000-0005-0000-0000-0000771A0000}"/>
    <cellStyle name="Normal 2 2 10 2 11 3 7" xfId="6776" xr:uid="{00000000-0005-0000-0000-0000781A0000}"/>
    <cellStyle name="Normal 2 2 10 2 11 3 8" xfId="6777" xr:uid="{00000000-0005-0000-0000-0000791A0000}"/>
    <cellStyle name="Normal 2 2 10 2 11 3 9" xfId="6778" xr:uid="{00000000-0005-0000-0000-00007A1A0000}"/>
    <cellStyle name="Normal 2 2 10 2 11 4" xfId="6779" xr:uid="{00000000-0005-0000-0000-00007B1A0000}"/>
    <cellStyle name="Normal 2 2 10 2 11 4 10" xfId="6780" xr:uid="{00000000-0005-0000-0000-00007C1A0000}"/>
    <cellStyle name="Normal 2 2 10 2 11 4 2" xfId="6781" xr:uid="{00000000-0005-0000-0000-00007D1A0000}"/>
    <cellStyle name="Normal 2 2 10 2 11 4 3" xfId="6782" xr:uid="{00000000-0005-0000-0000-00007E1A0000}"/>
    <cellStyle name="Normal 2 2 10 2 11 4 4" xfId="6783" xr:uid="{00000000-0005-0000-0000-00007F1A0000}"/>
    <cellStyle name="Normal 2 2 10 2 11 4 5" xfId="6784" xr:uid="{00000000-0005-0000-0000-0000801A0000}"/>
    <cellStyle name="Normal 2 2 10 2 11 4 6" xfId="6785" xr:uid="{00000000-0005-0000-0000-0000811A0000}"/>
    <cellStyle name="Normal 2 2 10 2 11 4 7" xfId="6786" xr:uid="{00000000-0005-0000-0000-0000821A0000}"/>
    <cellStyle name="Normal 2 2 10 2 11 4 8" xfId="6787" xr:uid="{00000000-0005-0000-0000-0000831A0000}"/>
    <cellStyle name="Normal 2 2 10 2 11 4 9" xfId="6788" xr:uid="{00000000-0005-0000-0000-0000841A0000}"/>
    <cellStyle name="Normal 2 2 10 2 11 5" xfId="6789" xr:uid="{00000000-0005-0000-0000-0000851A0000}"/>
    <cellStyle name="Normal 2 2 10 2 11 5 10" xfId="6790" xr:uid="{00000000-0005-0000-0000-0000861A0000}"/>
    <cellStyle name="Normal 2 2 10 2 11 5 2" xfId="6791" xr:uid="{00000000-0005-0000-0000-0000871A0000}"/>
    <cellStyle name="Normal 2 2 10 2 11 5 3" xfId="6792" xr:uid="{00000000-0005-0000-0000-0000881A0000}"/>
    <cellStyle name="Normal 2 2 10 2 11 5 4" xfId="6793" xr:uid="{00000000-0005-0000-0000-0000891A0000}"/>
    <cellStyle name="Normal 2 2 10 2 11 5 5" xfId="6794" xr:uid="{00000000-0005-0000-0000-00008A1A0000}"/>
    <cellStyle name="Normal 2 2 10 2 11 5 6" xfId="6795" xr:uid="{00000000-0005-0000-0000-00008B1A0000}"/>
    <cellStyle name="Normal 2 2 10 2 11 5 7" xfId="6796" xr:uid="{00000000-0005-0000-0000-00008C1A0000}"/>
    <cellStyle name="Normal 2 2 10 2 11 5 8" xfId="6797" xr:uid="{00000000-0005-0000-0000-00008D1A0000}"/>
    <cellStyle name="Normal 2 2 10 2 11 5 9" xfId="6798" xr:uid="{00000000-0005-0000-0000-00008E1A0000}"/>
    <cellStyle name="Normal 2 2 10 2 11 6" xfId="6799" xr:uid="{00000000-0005-0000-0000-00008F1A0000}"/>
    <cellStyle name="Normal 2 2 10 2 11 7" xfId="6800" xr:uid="{00000000-0005-0000-0000-0000901A0000}"/>
    <cellStyle name="Normal 2 2 10 2 11 8" xfId="6801" xr:uid="{00000000-0005-0000-0000-0000911A0000}"/>
    <cellStyle name="Normal 2 2 10 2 11 9" xfId="6802" xr:uid="{00000000-0005-0000-0000-0000921A0000}"/>
    <cellStyle name="Normal 2 2 10 2 12" xfId="6803" xr:uid="{00000000-0005-0000-0000-0000931A0000}"/>
    <cellStyle name="Normal 2 2 10 2 12 10" xfId="6804" xr:uid="{00000000-0005-0000-0000-0000941A0000}"/>
    <cellStyle name="Normal 2 2 10 2 12 11" xfId="6805" xr:uid="{00000000-0005-0000-0000-0000951A0000}"/>
    <cellStyle name="Normal 2 2 10 2 12 12" xfId="6806" xr:uid="{00000000-0005-0000-0000-0000961A0000}"/>
    <cellStyle name="Normal 2 2 10 2 12 13" xfId="6807" xr:uid="{00000000-0005-0000-0000-0000971A0000}"/>
    <cellStyle name="Normal 2 2 10 2 12 14" xfId="6808" xr:uid="{00000000-0005-0000-0000-0000981A0000}"/>
    <cellStyle name="Normal 2 2 10 2 12 2" xfId="6809" xr:uid="{00000000-0005-0000-0000-0000991A0000}"/>
    <cellStyle name="Normal 2 2 10 2 12 2 10" xfId="6810" xr:uid="{00000000-0005-0000-0000-00009A1A0000}"/>
    <cellStyle name="Normal 2 2 10 2 12 2 2" xfId="6811" xr:uid="{00000000-0005-0000-0000-00009B1A0000}"/>
    <cellStyle name="Normal 2 2 10 2 12 2 3" xfId="6812" xr:uid="{00000000-0005-0000-0000-00009C1A0000}"/>
    <cellStyle name="Normal 2 2 10 2 12 2 4" xfId="6813" xr:uid="{00000000-0005-0000-0000-00009D1A0000}"/>
    <cellStyle name="Normal 2 2 10 2 12 2 5" xfId="6814" xr:uid="{00000000-0005-0000-0000-00009E1A0000}"/>
    <cellStyle name="Normal 2 2 10 2 12 2 6" xfId="6815" xr:uid="{00000000-0005-0000-0000-00009F1A0000}"/>
    <cellStyle name="Normal 2 2 10 2 12 2 7" xfId="6816" xr:uid="{00000000-0005-0000-0000-0000A01A0000}"/>
    <cellStyle name="Normal 2 2 10 2 12 2 8" xfId="6817" xr:uid="{00000000-0005-0000-0000-0000A11A0000}"/>
    <cellStyle name="Normal 2 2 10 2 12 2 9" xfId="6818" xr:uid="{00000000-0005-0000-0000-0000A21A0000}"/>
    <cellStyle name="Normal 2 2 10 2 12 3" xfId="6819" xr:uid="{00000000-0005-0000-0000-0000A31A0000}"/>
    <cellStyle name="Normal 2 2 10 2 12 3 10" xfId="6820" xr:uid="{00000000-0005-0000-0000-0000A41A0000}"/>
    <cellStyle name="Normal 2 2 10 2 12 3 2" xfId="6821" xr:uid="{00000000-0005-0000-0000-0000A51A0000}"/>
    <cellStyle name="Normal 2 2 10 2 12 3 3" xfId="6822" xr:uid="{00000000-0005-0000-0000-0000A61A0000}"/>
    <cellStyle name="Normal 2 2 10 2 12 3 4" xfId="6823" xr:uid="{00000000-0005-0000-0000-0000A71A0000}"/>
    <cellStyle name="Normal 2 2 10 2 12 3 5" xfId="6824" xr:uid="{00000000-0005-0000-0000-0000A81A0000}"/>
    <cellStyle name="Normal 2 2 10 2 12 3 6" xfId="6825" xr:uid="{00000000-0005-0000-0000-0000A91A0000}"/>
    <cellStyle name="Normal 2 2 10 2 12 3 7" xfId="6826" xr:uid="{00000000-0005-0000-0000-0000AA1A0000}"/>
    <cellStyle name="Normal 2 2 10 2 12 3 8" xfId="6827" xr:uid="{00000000-0005-0000-0000-0000AB1A0000}"/>
    <cellStyle name="Normal 2 2 10 2 12 3 9" xfId="6828" xr:uid="{00000000-0005-0000-0000-0000AC1A0000}"/>
    <cellStyle name="Normal 2 2 10 2 12 4" xfId="6829" xr:uid="{00000000-0005-0000-0000-0000AD1A0000}"/>
    <cellStyle name="Normal 2 2 10 2 12 4 10" xfId="6830" xr:uid="{00000000-0005-0000-0000-0000AE1A0000}"/>
    <cellStyle name="Normal 2 2 10 2 12 4 2" xfId="6831" xr:uid="{00000000-0005-0000-0000-0000AF1A0000}"/>
    <cellStyle name="Normal 2 2 10 2 12 4 3" xfId="6832" xr:uid="{00000000-0005-0000-0000-0000B01A0000}"/>
    <cellStyle name="Normal 2 2 10 2 12 4 4" xfId="6833" xr:uid="{00000000-0005-0000-0000-0000B11A0000}"/>
    <cellStyle name="Normal 2 2 10 2 12 4 5" xfId="6834" xr:uid="{00000000-0005-0000-0000-0000B21A0000}"/>
    <cellStyle name="Normal 2 2 10 2 12 4 6" xfId="6835" xr:uid="{00000000-0005-0000-0000-0000B31A0000}"/>
    <cellStyle name="Normal 2 2 10 2 12 4 7" xfId="6836" xr:uid="{00000000-0005-0000-0000-0000B41A0000}"/>
    <cellStyle name="Normal 2 2 10 2 12 4 8" xfId="6837" xr:uid="{00000000-0005-0000-0000-0000B51A0000}"/>
    <cellStyle name="Normal 2 2 10 2 12 4 9" xfId="6838" xr:uid="{00000000-0005-0000-0000-0000B61A0000}"/>
    <cellStyle name="Normal 2 2 10 2 12 5" xfId="6839" xr:uid="{00000000-0005-0000-0000-0000B71A0000}"/>
    <cellStyle name="Normal 2 2 10 2 12 5 10" xfId="6840" xr:uid="{00000000-0005-0000-0000-0000B81A0000}"/>
    <cellStyle name="Normal 2 2 10 2 12 5 2" xfId="6841" xr:uid="{00000000-0005-0000-0000-0000B91A0000}"/>
    <cellStyle name="Normal 2 2 10 2 12 5 3" xfId="6842" xr:uid="{00000000-0005-0000-0000-0000BA1A0000}"/>
    <cellStyle name="Normal 2 2 10 2 12 5 4" xfId="6843" xr:uid="{00000000-0005-0000-0000-0000BB1A0000}"/>
    <cellStyle name="Normal 2 2 10 2 12 5 5" xfId="6844" xr:uid="{00000000-0005-0000-0000-0000BC1A0000}"/>
    <cellStyle name="Normal 2 2 10 2 12 5 6" xfId="6845" xr:uid="{00000000-0005-0000-0000-0000BD1A0000}"/>
    <cellStyle name="Normal 2 2 10 2 12 5 7" xfId="6846" xr:uid="{00000000-0005-0000-0000-0000BE1A0000}"/>
    <cellStyle name="Normal 2 2 10 2 12 5 8" xfId="6847" xr:uid="{00000000-0005-0000-0000-0000BF1A0000}"/>
    <cellStyle name="Normal 2 2 10 2 12 5 9" xfId="6848" xr:uid="{00000000-0005-0000-0000-0000C01A0000}"/>
    <cellStyle name="Normal 2 2 10 2 12 6" xfId="6849" xr:uid="{00000000-0005-0000-0000-0000C11A0000}"/>
    <cellStyle name="Normal 2 2 10 2 12 7" xfId="6850" xr:uid="{00000000-0005-0000-0000-0000C21A0000}"/>
    <cellStyle name="Normal 2 2 10 2 12 8" xfId="6851" xr:uid="{00000000-0005-0000-0000-0000C31A0000}"/>
    <cellStyle name="Normal 2 2 10 2 12 9" xfId="6852" xr:uid="{00000000-0005-0000-0000-0000C41A0000}"/>
    <cellStyle name="Normal 2 2 10 2 13" xfId="6853" xr:uid="{00000000-0005-0000-0000-0000C51A0000}"/>
    <cellStyle name="Normal 2 2 10 2 13 10" xfId="6854" xr:uid="{00000000-0005-0000-0000-0000C61A0000}"/>
    <cellStyle name="Normal 2 2 10 2 13 11" xfId="6855" xr:uid="{00000000-0005-0000-0000-0000C71A0000}"/>
    <cellStyle name="Normal 2 2 10 2 13 12" xfId="6856" xr:uid="{00000000-0005-0000-0000-0000C81A0000}"/>
    <cellStyle name="Normal 2 2 10 2 13 13" xfId="6857" xr:uid="{00000000-0005-0000-0000-0000C91A0000}"/>
    <cellStyle name="Normal 2 2 10 2 13 14" xfId="6858" xr:uid="{00000000-0005-0000-0000-0000CA1A0000}"/>
    <cellStyle name="Normal 2 2 10 2 13 2" xfId="6859" xr:uid="{00000000-0005-0000-0000-0000CB1A0000}"/>
    <cellStyle name="Normal 2 2 10 2 13 2 10" xfId="6860" xr:uid="{00000000-0005-0000-0000-0000CC1A0000}"/>
    <cellStyle name="Normal 2 2 10 2 13 2 2" xfId="6861" xr:uid="{00000000-0005-0000-0000-0000CD1A0000}"/>
    <cellStyle name="Normal 2 2 10 2 13 2 3" xfId="6862" xr:uid="{00000000-0005-0000-0000-0000CE1A0000}"/>
    <cellStyle name="Normal 2 2 10 2 13 2 4" xfId="6863" xr:uid="{00000000-0005-0000-0000-0000CF1A0000}"/>
    <cellStyle name="Normal 2 2 10 2 13 2 5" xfId="6864" xr:uid="{00000000-0005-0000-0000-0000D01A0000}"/>
    <cellStyle name="Normal 2 2 10 2 13 2 6" xfId="6865" xr:uid="{00000000-0005-0000-0000-0000D11A0000}"/>
    <cellStyle name="Normal 2 2 10 2 13 2 7" xfId="6866" xr:uid="{00000000-0005-0000-0000-0000D21A0000}"/>
    <cellStyle name="Normal 2 2 10 2 13 2 8" xfId="6867" xr:uid="{00000000-0005-0000-0000-0000D31A0000}"/>
    <cellStyle name="Normal 2 2 10 2 13 2 9" xfId="6868" xr:uid="{00000000-0005-0000-0000-0000D41A0000}"/>
    <cellStyle name="Normal 2 2 10 2 13 3" xfId="6869" xr:uid="{00000000-0005-0000-0000-0000D51A0000}"/>
    <cellStyle name="Normal 2 2 10 2 13 3 10" xfId="6870" xr:uid="{00000000-0005-0000-0000-0000D61A0000}"/>
    <cellStyle name="Normal 2 2 10 2 13 3 2" xfId="6871" xr:uid="{00000000-0005-0000-0000-0000D71A0000}"/>
    <cellStyle name="Normal 2 2 10 2 13 3 3" xfId="6872" xr:uid="{00000000-0005-0000-0000-0000D81A0000}"/>
    <cellStyle name="Normal 2 2 10 2 13 3 4" xfId="6873" xr:uid="{00000000-0005-0000-0000-0000D91A0000}"/>
    <cellStyle name="Normal 2 2 10 2 13 3 5" xfId="6874" xr:uid="{00000000-0005-0000-0000-0000DA1A0000}"/>
    <cellStyle name="Normal 2 2 10 2 13 3 6" xfId="6875" xr:uid="{00000000-0005-0000-0000-0000DB1A0000}"/>
    <cellStyle name="Normal 2 2 10 2 13 3 7" xfId="6876" xr:uid="{00000000-0005-0000-0000-0000DC1A0000}"/>
    <cellStyle name="Normal 2 2 10 2 13 3 8" xfId="6877" xr:uid="{00000000-0005-0000-0000-0000DD1A0000}"/>
    <cellStyle name="Normal 2 2 10 2 13 3 9" xfId="6878" xr:uid="{00000000-0005-0000-0000-0000DE1A0000}"/>
    <cellStyle name="Normal 2 2 10 2 13 4" xfId="6879" xr:uid="{00000000-0005-0000-0000-0000DF1A0000}"/>
    <cellStyle name="Normal 2 2 10 2 13 4 10" xfId="6880" xr:uid="{00000000-0005-0000-0000-0000E01A0000}"/>
    <cellStyle name="Normal 2 2 10 2 13 4 2" xfId="6881" xr:uid="{00000000-0005-0000-0000-0000E11A0000}"/>
    <cellStyle name="Normal 2 2 10 2 13 4 3" xfId="6882" xr:uid="{00000000-0005-0000-0000-0000E21A0000}"/>
    <cellStyle name="Normal 2 2 10 2 13 4 4" xfId="6883" xr:uid="{00000000-0005-0000-0000-0000E31A0000}"/>
    <cellStyle name="Normal 2 2 10 2 13 4 5" xfId="6884" xr:uid="{00000000-0005-0000-0000-0000E41A0000}"/>
    <cellStyle name="Normal 2 2 10 2 13 4 6" xfId="6885" xr:uid="{00000000-0005-0000-0000-0000E51A0000}"/>
    <cellStyle name="Normal 2 2 10 2 13 4 7" xfId="6886" xr:uid="{00000000-0005-0000-0000-0000E61A0000}"/>
    <cellStyle name="Normal 2 2 10 2 13 4 8" xfId="6887" xr:uid="{00000000-0005-0000-0000-0000E71A0000}"/>
    <cellStyle name="Normal 2 2 10 2 13 4 9" xfId="6888" xr:uid="{00000000-0005-0000-0000-0000E81A0000}"/>
    <cellStyle name="Normal 2 2 10 2 13 5" xfId="6889" xr:uid="{00000000-0005-0000-0000-0000E91A0000}"/>
    <cellStyle name="Normal 2 2 10 2 13 5 10" xfId="6890" xr:uid="{00000000-0005-0000-0000-0000EA1A0000}"/>
    <cellStyle name="Normal 2 2 10 2 13 5 2" xfId="6891" xr:uid="{00000000-0005-0000-0000-0000EB1A0000}"/>
    <cellStyle name="Normal 2 2 10 2 13 5 3" xfId="6892" xr:uid="{00000000-0005-0000-0000-0000EC1A0000}"/>
    <cellStyle name="Normal 2 2 10 2 13 5 4" xfId="6893" xr:uid="{00000000-0005-0000-0000-0000ED1A0000}"/>
    <cellStyle name="Normal 2 2 10 2 13 5 5" xfId="6894" xr:uid="{00000000-0005-0000-0000-0000EE1A0000}"/>
    <cellStyle name="Normal 2 2 10 2 13 5 6" xfId="6895" xr:uid="{00000000-0005-0000-0000-0000EF1A0000}"/>
    <cellStyle name="Normal 2 2 10 2 13 5 7" xfId="6896" xr:uid="{00000000-0005-0000-0000-0000F01A0000}"/>
    <cellStyle name="Normal 2 2 10 2 13 5 8" xfId="6897" xr:uid="{00000000-0005-0000-0000-0000F11A0000}"/>
    <cellStyle name="Normal 2 2 10 2 13 5 9" xfId="6898" xr:uid="{00000000-0005-0000-0000-0000F21A0000}"/>
    <cellStyle name="Normal 2 2 10 2 13 6" xfId="6899" xr:uid="{00000000-0005-0000-0000-0000F31A0000}"/>
    <cellStyle name="Normal 2 2 10 2 13 7" xfId="6900" xr:uid="{00000000-0005-0000-0000-0000F41A0000}"/>
    <cellStyle name="Normal 2 2 10 2 13 8" xfId="6901" xr:uid="{00000000-0005-0000-0000-0000F51A0000}"/>
    <cellStyle name="Normal 2 2 10 2 13 9" xfId="6902" xr:uid="{00000000-0005-0000-0000-0000F61A0000}"/>
    <cellStyle name="Normal 2 2 10 2 14" xfId="6903" xr:uid="{00000000-0005-0000-0000-0000F71A0000}"/>
    <cellStyle name="Normal 2 2 10 2 14 10" xfId="6904" xr:uid="{00000000-0005-0000-0000-0000F81A0000}"/>
    <cellStyle name="Normal 2 2 10 2 14 11" xfId="6905" xr:uid="{00000000-0005-0000-0000-0000F91A0000}"/>
    <cellStyle name="Normal 2 2 10 2 14 12" xfId="6906" xr:uid="{00000000-0005-0000-0000-0000FA1A0000}"/>
    <cellStyle name="Normal 2 2 10 2 14 13" xfId="6907" xr:uid="{00000000-0005-0000-0000-0000FB1A0000}"/>
    <cellStyle name="Normal 2 2 10 2 14 14" xfId="6908" xr:uid="{00000000-0005-0000-0000-0000FC1A0000}"/>
    <cellStyle name="Normal 2 2 10 2 14 2" xfId="6909" xr:uid="{00000000-0005-0000-0000-0000FD1A0000}"/>
    <cellStyle name="Normal 2 2 10 2 14 2 10" xfId="6910" xr:uid="{00000000-0005-0000-0000-0000FE1A0000}"/>
    <cellStyle name="Normal 2 2 10 2 14 2 2" xfId="6911" xr:uid="{00000000-0005-0000-0000-0000FF1A0000}"/>
    <cellStyle name="Normal 2 2 10 2 14 2 3" xfId="6912" xr:uid="{00000000-0005-0000-0000-0000001B0000}"/>
    <cellStyle name="Normal 2 2 10 2 14 2 4" xfId="6913" xr:uid="{00000000-0005-0000-0000-0000011B0000}"/>
    <cellStyle name="Normal 2 2 10 2 14 2 5" xfId="6914" xr:uid="{00000000-0005-0000-0000-0000021B0000}"/>
    <cellStyle name="Normal 2 2 10 2 14 2 6" xfId="6915" xr:uid="{00000000-0005-0000-0000-0000031B0000}"/>
    <cellStyle name="Normal 2 2 10 2 14 2 7" xfId="6916" xr:uid="{00000000-0005-0000-0000-0000041B0000}"/>
    <cellStyle name="Normal 2 2 10 2 14 2 8" xfId="6917" xr:uid="{00000000-0005-0000-0000-0000051B0000}"/>
    <cellStyle name="Normal 2 2 10 2 14 2 9" xfId="6918" xr:uid="{00000000-0005-0000-0000-0000061B0000}"/>
    <cellStyle name="Normal 2 2 10 2 14 3" xfId="6919" xr:uid="{00000000-0005-0000-0000-0000071B0000}"/>
    <cellStyle name="Normal 2 2 10 2 14 3 10" xfId="6920" xr:uid="{00000000-0005-0000-0000-0000081B0000}"/>
    <cellStyle name="Normal 2 2 10 2 14 3 2" xfId="6921" xr:uid="{00000000-0005-0000-0000-0000091B0000}"/>
    <cellStyle name="Normal 2 2 10 2 14 3 3" xfId="6922" xr:uid="{00000000-0005-0000-0000-00000A1B0000}"/>
    <cellStyle name="Normal 2 2 10 2 14 3 4" xfId="6923" xr:uid="{00000000-0005-0000-0000-00000B1B0000}"/>
    <cellStyle name="Normal 2 2 10 2 14 3 5" xfId="6924" xr:uid="{00000000-0005-0000-0000-00000C1B0000}"/>
    <cellStyle name="Normal 2 2 10 2 14 3 6" xfId="6925" xr:uid="{00000000-0005-0000-0000-00000D1B0000}"/>
    <cellStyle name="Normal 2 2 10 2 14 3 7" xfId="6926" xr:uid="{00000000-0005-0000-0000-00000E1B0000}"/>
    <cellStyle name="Normal 2 2 10 2 14 3 8" xfId="6927" xr:uid="{00000000-0005-0000-0000-00000F1B0000}"/>
    <cellStyle name="Normal 2 2 10 2 14 3 9" xfId="6928" xr:uid="{00000000-0005-0000-0000-0000101B0000}"/>
    <cellStyle name="Normal 2 2 10 2 14 4" xfId="6929" xr:uid="{00000000-0005-0000-0000-0000111B0000}"/>
    <cellStyle name="Normal 2 2 10 2 14 4 10" xfId="6930" xr:uid="{00000000-0005-0000-0000-0000121B0000}"/>
    <cellStyle name="Normal 2 2 10 2 14 4 2" xfId="6931" xr:uid="{00000000-0005-0000-0000-0000131B0000}"/>
    <cellStyle name="Normal 2 2 10 2 14 4 3" xfId="6932" xr:uid="{00000000-0005-0000-0000-0000141B0000}"/>
    <cellStyle name="Normal 2 2 10 2 14 4 4" xfId="6933" xr:uid="{00000000-0005-0000-0000-0000151B0000}"/>
    <cellStyle name="Normal 2 2 10 2 14 4 5" xfId="6934" xr:uid="{00000000-0005-0000-0000-0000161B0000}"/>
    <cellStyle name="Normal 2 2 10 2 14 4 6" xfId="6935" xr:uid="{00000000-0005-0000-0000-0000171B0000}"/>
    <cellStyle name="Normal 2 2 10 2 14 4 7" xfId="6936" xr:uid="{00000000-0005-0000-0000-0000181B0000}"/>
    <cellStyle name="Normal 2 2 10 2 14 4 8" xfId="6937" xr:uid="{00000000-0005-0000-0000-0000191B0000}"/>
    <cellStyle name="Normal 2 2 10 2 14 4 9" xfId="6938" xr:uid="{00000000-0005-0000-0000-00001A1B0000}"/>
    <cellStyle name="Normal 2 2 10 2 14 5" xfId="6939" xr:uid="{00000000-0005-0000-0000-00001B1B0000}"/>
    <cellStyle name="Normal 2 2 10 2 14 5 10" xfId="6940" xr:uid="{00000000-0005-0000-0000-00001C1B0000}"/>
    <cellStyle name="Normal 2 2 10 2 14 5 2" xfId="6941" xr:uid="{00000000-0005-0000-0000-00001D1B0000}"/>
    <cellStyle name="Normal 2 2 10 2 14 5 3" xfId="6942" xr:uid="{00000000-0005-0000-0000-00001E1B0000}"/>
    <cellStyle name="Normal 2 2 10 2 14 5 4" xfId="6943" xr:uid="{00000000-0005-0000-0000-00001F1B0000}"/>
    <cellStyle name="Normal 2 2 10 2 14 5 5" xfId="6944" xr:uid="{00000000-0005-0000-0000-0000201B0000}"/>
    <cellStyle name="Normal 2 2 10 2 14 5 6" xfId="6945" xr:uid="{00000000-0005-0000-0000-0000211B0000}"/>
    <cellStyle name="Normal 2 2 10 2 14 5 7" xfId="6946" xr:uid="{00000000-0005-0000-0000-0000221B0000}"/>
    <cellStyle name="Normal 2 2 10 2 14 5 8" xfId="6947" xr:uid="{00000000-0005-0000-0000-0000231B0000}"/>
    <cellStyle name="Normal 2 2 10 2 14 5 9" xfId="6948" xr:uid="{00000000-0005-0000-0000-0000241B0000}"/>
    <cellStyle name="Normal 2 2 10 2 14 6" xfId="6949" xr:uid="{00000000-0005-0000-0000-0000251B0000}"/>
    <cellStyle name="Normal 2 2 10 2 14 7" xfId="6950" xr:uid="{00000000-0005-0000-0000-0000261B0000}"/>
    <cellStyle name="Normal 2 2 10 2 14 8" xfId="6951" xr:uid="{00000000-0005-0000-0000-0000271B0000}"/>
    <cellStyle name="Normal 2 2 10 2 14 9" xfId="6952" xr:uid="{00000000-0005-0000-0000-0000281B0000}"/>
    <cellStyle name="Normal 2 2 10 2 15" xfId="6953" xr:uid="{00000000-0005-0000-0000-0000291B0000}"/>
    <cellStyle name="Normal 2 2 10 2 15 10" xfId="6954" xr:uid="{00000000-0005-0000-0000-00002A1B0000}"/>
    <cellStyle name="Normal 2 2 10 2 15 11" xfId="6955" xr:uid="{00000000-0005-0000-0000-00002B1B0000}"/>
    <cellStyle name="Normal 2 2 10 2 15 12" xfId="6956" xr:uid="{00000000-0005-0000-0000-00002C1B0000}"/>
    <cellStyle name="Normal 2 2 10 2 15 13" xfId="6957" xr:uid="{00000000-0005-0000-0000-00002D1B0000}"/>
    <cellStyle name="Normal 2 2 10 2 15 14" xfId="6958" xr:uid="{00000000-0005-0000-0000-00002E1B0000}"/>
    <cellStyle name="Normal 2 2 10 2 15 2" xfId="6959" xr:uid="{00000000-0005-0000-0000-00002F1B0000}"/>
    <cellStyle name="Normal 2 2 10 2 15 2 10" xfId="6960" xr:uid="{00000000-0005-0000-0000-0000301B0000}"/>
    <cellStyle name="Normal 2 2 10 2 15 2 2" xfId="6961" xr:uid="{00000000-0005-0000-0000-0000311B0000}"/>
    <cellStyle name="Normal 2 2 10 2 15 2 3" xfId="6962" xr:uid="{00000000-0005-0000-0000-0000321B0000}"/>
    <cellStyle name="Normal 2 2 10 2 15 2 4" xfId="6963" xr:uid="{00000000-0005-0000-0000-0000331B0000}"/>
    <cellStyle name="Normal 2 2 10 2 15 2 5" xfId="6964" xr:uid="{00000000-0005-0000-0000-0000341B0000}"/>
    <cellStyle name="Normal 2 2 10 2 15 2 6" xfId="6965" xr:uid="{00000000-0005-0000-0000-0000351B0000}"/>
    <cellStyle name="Normal 2 2 10 2 15 2 7" xfId="6966" xr:uid="{00000000-0005-0000-0000-0000361B0000}"/>
    <cellStyle name="Normal 2 2 10 2 15 2 8" xfId="6967" xr:uid="{00000000-0005-0000-0000-0000371B0000}"/>
    <cellStyle name="Normal 2 2 10 2 15 2 9" xfId="6968" xr:uid="{00000000-0005-0000-0000-0000381B0000}"/>
    <cellStyle name="Normal 2 2 10 2 15 3" xfId="6969" xr:uid="{00000000-0005-0000-0000-0000391B0000}"/>
    <cellStyle name="Normal 2 2 10 2 15 3 10" xfId="6970" xr:uid="{00000000-0005-0000-0000-00003A1B0000}"/>
    <cellStyle name="Normal 2 2 10 2 15 3 2" xfId="6971" xr:uid="{00000000-0005-0000-0000-00003B1B0000}"/>
    <cellStyle name="Normal 2 2 10 2 15 3 3" xfId="6972" xr:uid="{00000000-0005-0000-0000-00003C1B0000}"/>
    <cellStyle name="Normal 2 2 10 2 15 3 4" xfId="6973" xr:uid="{00000000-0005-0000-0000-00003D1B0000}"/>
    <cellStyle name="Normal 2 2 10 2 15 3 5" xfId="6974" xr:uid="{00000000-0005-0000-0000-00003E1B0000}"/>
    <cellStyle name="Normal 2 2 10 2 15 3 6" xfId="6975" xr:uid="{00000000-0005-0000-0000-00003F1B0000}"/>
    <cellStyle name="Normal 2 2 10 2 15 3 7" xfId="6976" xr:uid="{00000000-0005-0000-0000-0000401B0000}"/>
    <cellStyle name="Normal 2 2 10 2 15 3 8" xfId="6977" xr:uid="{00000000-0005-0000-0000-0000411B0000}"/>
    <cellStyle name="Normal 2 2 10 2 15 3 9" xfId="6978" xr:uid="{00000000-0005-0000-0000-0000421B0000}"/>
    <cellStyle name="Normal 2 2 10 2 15 4" xfId="6979" xr:uid="{00000000-0005-0000-0000-0000431B0000}"/>
    <cellStyle name="Normal 2 2 10 2 15 4 10" xfId="6980" xr:uid="{00000000-0005-0000-0000-0000441B0000}"/>
    <cellStyle name="Normal 2 2 10 2 15 4 2" xfId="6981" xr:uid="{00000000-0005-0000-0000-0000451B0000}"/>
    <cellStyle name="Normal 2 2 10 2 15 4 3" xfId="6982" xr:uid="{00000000-0005-0000-0000-0000461B0000}"/>
    <cellStyle name="Normal 2 2 10 2 15 4 4" xfId="6983" xr:uid="{00000000-0005-0000-0000-0000471B0000}"/>
    <cellStyle name="Normal 2 2 10 2 15 4 5" xfId="6984" xr:uid="{00000000-0005-0000-0000-0000481B0000}"/>
    <cellStyle name="Normal 2 2 10 2 15 4 6" xfId="6985" xr:uid="{00000000-0005-0000-0000-0000491B0000}"/>
    <cellStyle name="Normal 2 2 10 2 15 4 7" xfId="6986" xr:uid="{00000000-0005-0000-0000-00004A1B0000}"/>
    <cellStyle name="Normal 2 2 10 2 15 4 8" xfId="6987" xr:uid="{00000000-0005-0000-0000-00004B1B0000}"/>
    <cellStyle name="Normal 2 2 10 2 15 4 9" xfId="6988" xr:uid="{00000000-0005-0000-0000-00004C1B0000}"/>
    <cellStyle name="Normal 2 2 10 2 15 5" xfId="6989" xr:uid="{00000000-0005-0000-0000-00004D1B0000}"/>
    <cellStyle name="Normal 2 2 10 2 15 5 10" xfId="6990" xr:uid="{00000000-0005-0000-0000-00004E1B0000}"/>
    <cellStyle name="Normal 2 2 10 2 15 5 2" xfId="6991" xr:uid="{00000000-0005-0000-0000-00004F1B0000}"/>
    <cellStyle name="Normal 2 2 10 2 15 5 3" xfId="6992" xr:uid="{00000000-0005-0000-0000-0000501B0000}"/>
    <cellStyle name="Normal 2 2 10 2 15 5 4" xfId="6993" xr:uid="{00000000-0005-0000-0000-0000511B0000}"/>
    <cellStyle name="Normal 2 2 10 2 15 5 5" xfId="6994" xr:uid="{00000000-0005-0000-0000-0000521B0000}"/>
    <cellStyle name="Normal 2 2 10 2 15 5 6" xfId="6995" xr:uid="{00000000-0005-0000-0000-0000531B0000}"/>
    <cellStyle name="Normal 2 2 10 2 15 5 7" xfId="6996" xr:uid="{00000000-0005-0000-0000-0000541B0000}"/>
    <cellStyle name="Normal 2 2 10 2 15 5 8" xfId="6997" xr:uid="{00000000-0005-0000-0000-0000551B0000}"/>
    <cellStyle name="Normal 2 2 10 2 15 5 9" xfId="6998" xr:uid="{00000000-0005-0000-0000-0000561B0000}"/>
    <cellStyle name="Normal 2 2 10 2 15 6" xfId="6999" xr:uid="{00000000-0005-0000-0000-0000571B0000}"/>
    <cellStyle name="Normal 2 2 10 2 15 7" xfId="7000" xr:uid="{00000000-0005-0000-0000-0000581B0000}"/>
    <cellStyle name="Normal 2 2 10 2 15 8" xfId="7001" xr:uid="{00000000-0005-0000-0000-0000591B0000}"/>
    <cellStyle name="Normal 2 2 10 2 15 9" xfId="7002" xr:uid="{00000000-0005-0000-0000-00005A1B0000}"/>
    <cellStyle name="Normal 2 2 10 2 16" xfId="7003" xr:uid="{00000000-0005-0000-0000-00005B1B0000}"/>
    <cellStyle name="Normal 2 2 10 2 16 10" xfId="7004" xr:uid="{00000000-0005-0000-0000-00005C1B0000}"/>
    <cellStyle name="Normal 2 2 10 2 16 11" xfId="7005" xr:uid="{00000000-0005-0000-0000-00005D1B0000}"/>
    <cellStyle name="Normal 2 2 10 2 16 12" xfId="7006" xr:uid="{00000000-0005-0000-0000-00005E1B0000}"/>
    <cellStyle name="Normal 2 2 10 2 16 13" xfId="7007" xr:uid="{00000000-0005-0000-0000-00005F1B0000}"/>
    <cellStyle name="Normal 2 2 10 2 16 14" xfId="7008" xr:uid="{00000000-0005-0000-0000-0000601B0000}"/>
    <cellStyle name="Normal 2 2 10 2 16 2" xfId="7009" xr:uid="{00000000-0005-0000-0000-0000611B0000}"/>
    <cellStyle name="Normal 2 2 10 2 16 2 10" xfId="7010" xr:uid="{00000000-0005-0000-0000-0000621B0000}"/>
    <cellStyle name="Normal 2 2 10 2 16 2 2" xfId="7011" xr:uid="{00000000-0005-0000-0000-0000631B0000}"/>
    <cellStyle name="Normal 2 2 10 2 16 2 3" xfId="7012" xr:uid="{00000000-0005-0000-0000-0000641B0000}"/>
    <cellStyle name="Normal 2 2 10 2 16 2 4" xfId="7013" xr:uid="{00000000-0005-0000-0000-0000651B0000}"/>
    <cellStyle name="Normal 2 2 10 2 16 2 5" xfId="7014" xr:uid="{00000000-0005-0000-0000-0000661B0000}"/>
    <cellStyle name="Normal 2 2 10 2 16 2 6" xfId="7015" xr:uid="{00000000-0005-0000-0000-0000671B0000}"/>
    <cellStyle name="Normal 2 2 10 2 16 2 7" xfId="7016" xr:uid="{00000000-0005-0000-0000-0000681B0000}"/>
    <cellStyle name="Normal 2 2 10 2 16 2 8" xfId="7017" xr:uid="{00000000-0005-0000-0000-0000691B0000}"/>
    <cellStyle name="Normal 2 2 10 2 16 2 9" xfId="7018" xr:uid="{00000000-0005-0000-0000-00006A1B0000}"/>
    <cellStyle name="Normal 2 2 10 2 16 3" xfId="7019" xr:uid="{00000000-0005-0000-0000-00006B1B0000}"/>
    <cellStyle name="Normal 2 2 10 2 16 3 10" xfId="7020" xr:uid="{00000000-0005-0000-0000-00006C1B0000}"/>
    <cellStyle name="Normal 2 2 10 2 16 3 2" xfId="7021" xr:uid="{00000000-0005-0000-0000-00006D1B0000}"/>
    <cellStyle name="Normal 2 2 10 2 16 3 3" xfId="7022" xr:uid="{00000000-0005-0000-0000-00006E1B0000}"/>
    <cellStyle name="Normal 2 2 10 2 16 3 4" xfId="7023" xr:uid="{00000000-0005-0000-0000-00006F1B0000}"/>
    <cellStyle name="Normal 2 2 10 2 16 3 5" xfId="7024" xr:uid="{00000000-0005-0000-0000-0000701B0000}"/>
    <cellStyle name="Normal 2 2 10 2 16 3 6" xfId="7025" xr:uid="{00000000-0005-0000-0000-0000711B0000}"/>
    <cellStyle name="Normal 2 2 10 2 16 3 7" xfId="7026" xr:uid="{00000000-0005-0000-0000-0000721B0000}"/>
    <cellStyle name="Normal 2 2 10 2 16 3 8" xfId="7027" xr:uid="{00000000-0005-0000-0000-0000731B0000}"/>
    <cellStyle name="Normal 2 2 10 2 16 3 9" xfId="7028" xr:uid="{00000000-0005-0000-0000-0000741B0000}"/>
    <cellStyle name="Normal 2 2 10 2 16 4" xfId="7029" xr:uid="{00000000-0005-0000-0000-0000751B0000}"/>
    <cellStyle name="Normal 2 2 10 2 16 4 10" xfId="7030" xr:uid="{00000000-0005-0000-0000-0000761B0000}"/>
    <cellStyle name="Normal 2 2 10 2 16 4 2" xfId="7031" xr:uid="{00000000-0005-0000-0000-0000771B0000}"/>
    <cellStyle name="Normal 2 2 10 2 16 4 3" xfId="7032" xr:uid="{00000000-0005-0000-0000-0000781B0000}"/>
    <cellStyle name="Normal 2 2 10 2 16 4 4" xfId="7033" xr:uid="{00000000-0005-0000-0000-0000791B0000}"/>
    <cellStyle name="Normal 2 2 10 2 16 4 5" xfId="7034" xr:uid="{00000000-0005-0000-0000-00007A1B0000}"/>
    <cellStyle name="Normal 2 2 10 2 16 4 6" xfId="7035" xr:uid="{00000000-0005-0000-0000-00007B1B0000}"/>
    <cellStyle name="Normal 2 2 10 2 16 4 7" xfId="7036" xr:uid="{00000000-0005-0000-0000-00007C1B0000}"/>
    <cellStyle name="Normal 2 2 10 2 16 4 8" xfId="7037" xr:uid="{00000000-0005-0000-0000-00007D1B0000}"/>
    <cellStyle name="Normal 2 2 10 2 16 4 9" xfId="7038" xr:uid="{00000000-0005-0000-0000-00007E1B0000}"/>
    <cellStyle name="Normal 2 2 10 2 16 5" xfId="7039" xr:uid="{00000000-0005-0000-0000-00007F1B0000}"/>
    <cellStyle name="Normal 2 2 10 2 16 5 10" xfId="7040" xr:uid="{00000000-0005-0000-0000-0000801B0000}"/>
    <cellStyle name="Normal 2 2 10 2 16 5 2" xfId="7041" xr:uid="{00000000-0005-0000-0000-0000811B0000}"/>
    <cellStyle name="Normal 2 2 10 2 16 5 3" xfId="7042" xr:uid="{00000000-0005-0000-0000-0000821B0000}"/>
    <cellStyle name="Normal 2 2 10 2 16 5 4" xfId="7043" xr:uid="{00000000-0005-0000-0000-0000831B0000}"/>
    <cellStyle name="Normal 2 2 10 2 16 5 5" xfId="7044" xr:uid="{00000000-0005-0000-0000-0000841B0000}"/>
    <cellStyle name="Normal 2 2 10 2 16 5 6" xfId="7045" xr:uid="{00000000-0005-0000-0000-0000851B0000}"/>
    <cellStyle name="Normal 2 2 10 2 16 5 7" xfId="7046" xr:uid="{00000000-0005-0000-0000-0000861B0000}"/>
    <cellStyle name="Normal 2 2 10 2 16 5 8" xfId="7047" xr:uid="{00000000-0005-0000-0000-0000871B0000}"/>
    <cellStyle name="Normal 2 2 10 2 16 5 9" xfId="7048" xr:uid="{00000000-0005-0000-0000-0000881B0000}"/>
    <cellStyle name="Normal 2 2 10 2 16 6" xfId="7049" xr:uid="{00000000-0005-0000-0000-0000891B0000}"/>
    <cellStyle name="Normal 2 2 10 2 16 7" xfId="7050" xr:uid="{00000000-0005-0000-0000-00008A1B0000}"/>
    <cellStyle name="Normal 2 2 10 2 16 8" xfId="7051" xr:uid="{00000000-0005-0000-0000-00008B1B0000}"/>
    <cellStyle name="Normal 2 2 10 2 16 9" xfId="7052" xr:uid="{00000000-0005-0000-0000-00008C1B0000}"/>
    <cellStyle name="Normal 2 2 10 2 17" xfId="7053" xr:uid="{00000000-0005-0000-0000-00008D1B0000}"/>
    <cellStyle name="Normal 2 2 10 2 17 10" xfId="7054" xr:uid="{00000000-0005-0000-0000-00008E1B0000}"/>
    <cellStyle name="Normal 2 2 10 2 17 11" xfId="7055" xr:uid="{00000000-0005-0000-0000-00008F1B0000}"/>
    <cellStyle name="Normal 2 2 10 2 17 12" xfId="7056" xr:uid="{00000000-0005-0000-0000-0000901B0000}"/>
    <cellStyle name="Normal 2 2 10 2 17 13" xfId="7057" xr:uid="{00000000-0005-0000-0000-0000911B0000}"/>
    <cellStyle name="Normal 2 2 10 2 17 14" xfId="7058" xr:uid="{00000000-0005-0000-0000-0000921B0000}"/>
    <cellStyle name="Normal 2 2 10 2 17 2" xfId="7059" xr:uid="{00000000-0005-0000-0000-0000931B0000}"/>
    <cellStyle name="Normal 2 2 10 2 17 2 10" xfId="7060" xr:uid="{00000000-0005-0000-0000-0000941B0000}"/>
    <cellStyle name="Normal 2 2 10 2 17 2 2" xfId="7061" xr:uid="{00000000-0005-0000-0000-0000951B0000}"/>
    <cellStyle name="Normal 2 2 10 2 17 2 3" xfId="7062" xr:uid="{00000000-0005-0000-0000-0000961B0000}"/>
    <cellStyle name="Normal 2 2 10 2 17 2 4" xfId="7063" xr:uid="{00000000-0005-0000-0000-0000971B0000}"/>
    <cellStyle name="Normal 2 2 10 2 17 2 5" xfId="7064" xr:uid="{00000000-0005-0000-0000-0000981B0000}"/>
    <cellStyle name="Normal 2 2 10 2 17 2 6" xfId="7065" xr:uid="{00000000-0005-0000-0000-0000991B0000}"/>
    <cellStyle name="Normal 2 2 10 2 17 2 7" xfId="7066" xr:uid="{00000000-0005-0000-0000-00009A1B0000}"/>
    <cellStyle name="Normal 2 2 10 2 17 2 8" xfId="7067" xr:uid="{00000000-0005-0000-0000-00009B1B0000}"/>
    <cellStyle name="Normal 2 2 10 2 17 2 9" xfId="7068" xr:uid="{00000000-0005-0000-0000-00009C1B0000}"/>
    <cellStyle name="Normal 2 2 10 2 17 3" xfId="7069" xr:uid="{00000000-0005-0000-0000-00009D1B0000}"/>
    <cellStyle name="Normal 2 2 10 2 17 3 10" xfId="7070" xr:uid="{00000000-0005-0000-0000-00009E1B0000}"/>
    <cellStyle name="Normal 2 2 10 2 17 3 2" xfId="7071" xr:uid="{00000000-0005-0000-0000-00009F1B0000}"/>
    <cellStyle name="Normal 2 2 10 2 17 3 3" xfId="7072" xr:uid="{00000000-0005-0000-0000-0000A01B0000}"/>
    <cellStyle name="Normal 2 2 10 2 17 3 4" xfId="7073" xr:uid="{00000000-0005-0000-0000-0000A11B0000}"/>
    <cellStyle name="Normal 2 2 10 2 17 3 5" xfId="7074" xr:uid="{00000000-0005-0000-0000-0000A21B0000}"/>
    <cellStyle name="Normal 2 2 10 2 17 3 6" xfId="7075" xr:uid="{00000000-0005-0000-0000-0000A31B0000}"/>
    <cellStyle name="Normal 2 2 10 2 17 3 7" xfId="7076" xr:uid="{00000000-0005-0000-0000-0000A41B0000}"/>
    <cellStyle name="Normal 2 2 10 2 17 3 8" xfId="7077" xr:uid="{00000000-0005-0000-0000-0000A51B0000}"/>
    <cellStyle name="Normal 2 2 10 2 17 3 9" xfId="7078" xr:uid="{00000000-0005-0000-0000-0000A61B0000}"/>
    <cellStyle name="Normal 2 2 10 2 17 4" xfId="7079" xr:uid="{00000000-0005-0000-0000-0000A71B0000}"/>
    <cellStyle name="Normal 2 2 10 2 17 4 10" xfId="7080" xr:uid="{00000000-0005-0000-0000-0000A81B0000}"/>
    <cellStyle name="Normal 2 2 10 2 17 4 2" xfId="7081" xr:uid="{00000000-0005-0000-0000-0000A91B0000}"/>
    <cellStyle name="Normal 2 2 10 2 17 4 3" xfId="7082" xr:uid="{00000000-0005-0000-0000-0000AA1B0000}"/>
    <cellStyle name="Normal 2 2 10 2 17 4 4" xfId="7083" xr:uid="{00000000-0005-0000-0000-0000AB1B0000}"/>
    <cellStyle name="Normal 2 2 10 2 17 4 5" xfId="7084" xr:uid="{00000000-0005-0000-0000-0000AC1B0000}"/>
    <cellStyle name="Normal 2 2 10 2 17 4 6" xfId="7085" xr:uid="{00000000-0005-0000-0000-0000AD1B0000}"/>
    <cellStyle name="Normal 2 2 10 2 17 4 7" xfId="7086" xr:uid="{00000000-0005-0000-0000-0000AE1B0000}"/>
    <cellStyle name="Normal 2 2 10 2 17 4 8" xfId="7087" xr:uid="{00000000-0005-0000-0000-0000AF1B0000}"/>
    <cellStyle name="Normal 2 2 10 2 17 4 9" xfId="7088" xr:uid="{00000000-0005-0000-0000-0000B01B0000}"/>
    <cellStyle name="Normal 2 2 10 2 17 5" xfId="7089" xr:uid="{00000000-0005-0000-0000-0000B11B0000}"/>
    <cellStyle name="Normal 2 2 10 2 17 5 10" xfId="7090" xr:uid="{00000000-0005-0000-0000-0000B21B0000}"/>
    <cellStyle name="Normal 2 2 10 2 17 5 2" xfId="7091" xr:uid="{00000000-0005-0000-0000-0000B31B0000}"/>
    <cellStyle name="Normal 2 2 10 2 17 5 3" xfId="7092" xr:uid="{00000000-0005-0000-0000-0000B41B0000}"/>
    <cellStyle name="Normal 2 2 10 2 17 5 4" xfId="7093" xr:uid="{00000000-0005-0000-0000-0000B51B0000}"/>
    <cellStyle name="Normal 2 2 10 2 17 5 5" xfId="7094" xr:uid="{00000000-0005-0000-0000-0000B61B0000}"/>
    <cellStyle name="Normal 2 2 10 2 17 5 6" xfId="7095" xr:uid="{00000000-0005-0000-0000-0000B71B0000}"/>
    <cellStyle name="Normal 2 2 10 2 17 5 7" xfId="7096" xr:uid="{00000000-0005-0000-0000-0000B81B0000}"/>
    <cellStyle name="Normal 2 2 10 2 17 5 8" xfId="7097" xr:uid="{00000000-0005-0000-0000-0000B91B0000}"/>
    <cellStyle name="Normal 2 2 10 2 17 5 9" xfId="7098" xr:uid="{00000000-0005-0000-0000-0000BA1B0000}"/>
    <cellStyle name="Normal 2 2 10 2 17 6" xfId="7099" xr:uid="{00000000-0005-0000-0000-0000BB1B0000}"/>
    <cellStyle name="Normal 2 2 10 2 17 7" xfId="7100" xr:uid="{00000000-0005-0000-0000-0000BC1B0000}"/>
    <cellStyle name="Normal 2 2 10 2 17 8" xfId="7101" xr:uid="{00000000-0005-0000-0000-0000BD1B0000}"/>
    <cellStyle name="Normal 2 2 10 2 17 9" xfId="7102" xr:uid="{00000000-0005-0000-0000-0000BE1B0000}"/>
    <cellStyle name="Normal 2 2 10 2 18" xfId="7103" xr:uid="{00000000-0005-0000-0000-0000BF1B0000}"/>
    <cellStyle name="Normal 2 2 10 2 18 10" xfId="7104" xr:uid="{00000000-0005-0000-0000-0000C01B0000}"/>
    <cellStyle name="Normal 2 2 10 2 18 11" xfId="7105" xr:uid="{00000000-0005-0000-0000-0000C11B0000}"/>
    <cellStyle name="Normal 2 2 10 2 18 12" xfId="7106" xr:uid="{00000000-0005-0000-0000-0000C21B0000}"/>
    <cellStyle name="Normal 2 2 10 2 18 13" xfId="7107" xr:uid="{00000000-0005-0000-0000-0000C31B0000}"/>
    <cellStyle name="Normal 2 2 10 2 18 14" xfId="7108" xr:uid="{00000000-0005-0000-0000-0000C41B0000}"/>
    <cellStyle name="Normal 2 2 10 2 18 2" xfId="7109" xr:uid="{00000000-0005-0000-0000-0000C51B0000}"/>
    <cellStyle name="Normal 2 2 10 2 18 2 10" xfId="7110" xr:uid="{00000000-0005-0000-0000-0000C61B0000}"/>
    <cellStyle name="Normal 2 2 10 2 18 2 2" xfId="7111" xr:uid="{00000000-0005-0000-0000-0000C71B0000}"/>
    <cellStyle name="Normal 2 2 10 2 18 2 3" xfId="7112" xr:uid="{00000000-0005-0000-0000-0000C81B0000}"/>
    <cellStyle name="Normal 2 2 10 2 18 2 4" xfId="7113" xr:uid="{00000000-0005-0000-0000-0000C91B0000}"/>
    <cellStyle name="Normal 2 2 10 2 18 2 5" xfId="7114" xr:uid="{00000000-0005-0000-0000-0000CA1B0000}"/>
    <cellStyle name="Normal 2 2 10 2 18 2 6" xfId="7115" xr:uid="{00000000-0005-0000-0000-0000CB1B0000}"/>
    <cellStyle name="Normal 2 2 10 2 18 2 7" xfId="7116" xr:uid="{00000000-0005-0000-0000-0000CC1B0000}"/>
    <cellStyle name="Normal 2 2 10 2 18 2 8" xfId="7117" xr:uid="{00000000-0005-0000-0000-0000CD1B0000}"/>
    <cellStyle name="Normal 2 2 10 2 18 2 9" xfId="7118" xr:uid="{00000000-0005-0000-0000-0000CE1B0000}"/>
    <cellStyle name="Normal 2 2 10 2 18 3" xfId="7119" xr:uid="{00000000-0005-0000-0000-0000CF1B0000}"/>
    <cellStyle name="Normal 2 2 10 2 18 3 10" xfId="7120" xr:uid="{00000000-0005-0000-0000-0000D01B0000}"/>
    <cellStyle name="Normal 2 2 10 2 18 3 2" xfId="7121" xr:uid="{00000000-0005-0000-0000-0000D11B0000}"/>
    <cellStyle name="Normal 2 2 10 2 18 3 3" xfId="7122" xr:uid="{00000000-0005-0000-0000-0000D21B0000}"/>
    <cellStyle name="Normal 2 2 10 2 18 3 4" xfId="7123" xr:uid="{00000000-0005-0000-0000-0000D31B0000}"/>
    <cellStyle name="Normal 2 2 10 2 18 3 5" xfId="7124" xr:uid="{00000000-0005-0000-0000-0000D41B0000}"/>
    <cellStyle name="Normal 2 2 10 2 18 3 6" xfId="7125" xr:uid="{00000000-0005-0000-0000-0000D51B0000}"/>
    <cellStyle name="Normal 2 2 10 2 18 3 7" xfId="7126" xr:uid="{00000000-0005-0000-0000-0000D61B0000}"/>
    <cellStyle name="Normal 2 2 10 2 18 3 8" xfId="7127" xr:uid="{00000000-0005-0000-0000-0000D71B0000}"/>
    <cellStyle name="Normal 2 2 10 2 18 3 9" xfId="7128" xr:uid="{00000000-0005-0000-0000-0000D81B0000}"/>
    <cellStyle name="Normal 2 2 10 2 18 4" xfId="7129" xr:uid="{00000000-0005-0000-0000-0000D91B0000}"/>
    <cellStyle name="Normal 2 2 10 2 18 4 10" xfId="7130" xr:uid="{00000000-0005-0000-0000-0000DA1B0000}"/>
    <cellStyle name="Normal 2 2 10 2 18 4 2" xfId="7131" xr:uid="{00000000-0005-0000-0000-0000DB1B0000}"/>
    <cellStyle name="Normal 2 2 10 2 18 4 3" xfId="7132" xr:uid="{00000000-0005-0000-0000-0000DC1B0000}"/>
    <cellStyle name="Normal 2 2 10 2 18 4 4" xfId="7133" xr:uid="{00000000-0005-0000-0000-0000DD1B0000}"/>
    <cellStyle name="Normal 2 2 10 2 18 4 5" xfId="7134" xr:uid="{00000000-0005-0000-0000-0000DE1B0000}"/>
    <cellStyle name="Normal 2 2 10 2 18 4 6" xfId="7135" xr:uid="{00000000-0005-0000-0000-0000DF1B0000}"/>
    <cellStyle name="Normal 2 2 10 2 18 4 7" xfId="7136" xr:uid="{00000000-0005-0000-0000-0000E01B0000}"/>
    <cellStyle name="Normal 2 2 10 2 18 4 8" xfId="7137" xr:uid="{00000000-0005-0000-0000-0000E11B0000}"/>
    <cellStyle name="Normal 2 2 10 2 18 4 9" xfId="7138" xr:uid="{00000000-0005-0000-0000-0000E21B0000}"/>
    <cellStyle name="Normal 2 2 10 2 18 5" xfId="7139" xr:uid="{00000000-0005-0000-0000-0000E31B0000}"/>
    <cellStyle name="Normal 2 2 10 2 18 5 10" xfId="7140" xr:uid="{00000000-0005-0000-0000-0000E41B0000}"/>
    <cellStyle name="Normal 2 2 10 2 18 5 2" xfId="7141" xr:uid="{00000000-0005-0000-0000-0000E51B0000}"/>
    <cellStyle name="Normal 2 2 10 2 18 5 3" xfId="7142" xr:uid="{00000000-0005-0000-0000-0000E61B0000}"/>
    <cellStyle name="Normal 2 2 10 2 18 5 4" xfId="7143" xr:uid="{00000000-0005-0000-0000-0000E71B0000}"/>
    <cellStyle name="Normal 2 2 10 2 18 5 5" xfId="7144" xr:uid="{00000000-0005-0000-0000-0000E81B0000}"/>
    <cellStyle name="Normal 2 2 10 2 18 5 6" xfId="7145" xr:uid="{00000000-0005-0000-0000-0000E91B0000}"/>
    <cellStyle name="Normal 2 2 10 2 18 5 7" xfId="7146" xr:uid="{00000000-0005-0000-0000-0000EA1B0000}"/>
    <cellStyle name="Normal 2 2 10 2 18 5 8" xfId="7147" xr:uid="{00000000-0005-0000-0000-0000EB1B0000}"/>
    <cellStyle name="Normal 2 2 10 2 18 5 9" xfId="7148" xr:uid="{00000000-0005-0000-0000-0000EC1B0000}"/>
    <cellStyle name="Normal 2 2 10 2 18 6" xfId="7149" xr:uid="{00000000-0005-0000-0000-0000ED1B0000}"/>
    <cellStyle name="Normal 2 2 10 2 18 7" xfId="7150" xr:uid="{00000000-0005-0000-0000-0000EE1B0000}"/>
    <cellStyle name="Normal 2 2 10 2 18 8" xfId="7151" xr:uid="{00000000-0005-0000-0000-0000EF1B0000}"/>
    <cellStyle name="Normal 2 2 10 2 18 9" xfId="7152" xr:uid="{00000000-0005-0000-0000-0000F01B0000}"/>
    <cellStyle name="Normal 2 2 10 2 19" xfId="7153" xr:uid="{00000000-0005-0000-0000-0000F11B0000}"/>
    <cellStyle name="Normal 2 2 10 2 19 10" xfId="7154" xr:uid="{00000000-0005-0000-0000-0000F21B0000}"/>
    <cellStyle name="Normal 2 2 10 2 19 11" xfId="7155" xr:uid="{00000000-0005-0000-0000-0000F31B0000}"/>
    <cellStyle name="Normal 2 2 10 2 19 12" xfId="7156" xr:uid="{00000000-0005-0000-0000-0000F41B0000}"/>
    <cellStyle name="Normal 2 2 10 2 19 13" xfId="7157" xr:uid="{00000000-0005-0000-0000-0000F51B0000}"/>
    <cellStyle name="Normal 2 2 10 2 19 14" xfId="7158" xr:uid="{00000000-0005-0000-0000-0000F61B0000}"/>
    <cellStyle name="Normal 2 2 10 2 19 2" xfId="7159" xr:uid="{00000000-0005-0000-0000-0000F71B0000}"/>
    <cellStyle name="Normal 2 2 10 2 19 2 10" xfId="7160" xr:uid="{00000000-0005-0000-0000-0000F81B0000}"/>
    <cellStyle name="Normal 2 2 10 2 19 2 2" xfId="7161" xr:uid="{00000000-0005-0000-0000-0000F91B0000}"/>
    <cellStyle name="Normal 2 2 10 2 19 2 3" xfId="7162" xr:uid="{00000000-0005-0000-0000-0000FA1B0000}"/>
    <cellStyle name="Normal 2 2 10 2 19 2 4" xfId="7163" xr:uid="{00000000-0005-0000-0000-0000FB1B0000}"/>
    <cellStyle name="Normal 2 2 10 2 19 2 5" xfId="7164" xr:uid="{00000000-0005-0000-0000-0000FC1B0000}"/>
    <cellStyle name="Normal 2 2 10 2 19 2 6" xfId="7165" xr:uid="{00000000-0005-0000-0000-0000FD1B0000}"/>
    <cellStyle name="Normal 2 2 10 2 19 2 7" xfId="7166" xr:uid="{00000000-0005-0000-0000-0000FE1B0000}"/>
    <cellStyle name="Normal 2 2 10 2 19 2 8" xfId="7167" xr:uid="{00000000-0005-0000-0000-0000FF1B0000}"/>
    <cellStyle name="Normal 2 2 10 2 19 2 9" xfId="7168" xr:uid="{00000000-0005-0000-0000-0000001C0000}"/>
    <cellStyle name="Normal 2 2 10 2 19 3" xfId="7169" xr:uid="{00000000-0005-0000-0000-0000011C0000}"/>
    <cellStyle name="Normal 2 2 10 2 19 3 10" xfId="7170" xr:uid="{00000000-0005-0000-0000-0000021C0000}"/>
    <cellStyle name="Normal 2 2 10 2 19 3 2" xfId="7171" xr:uid="{00000000-0005-0000-0000-0000031C0000}"/>
    <cellStyle name="Normal 2 2 10 2 19 3 3" xfId="7172" xr:uid="{00000000-0005-0000-0000-0000041C0000}"/>
    <cellStyle name="Normal 2 2 10 2 19 3 4" xfId="7173" xr:uid="{00000000-0005-0000-0000-0000051C0000}"/>
    <cellStyle name="Normal 2 2 10 2 19 3 5" xfId="7174" xr:uid="{00000000-0005-0000-0000-0000061C0000}"/>
    <cellStyle name="Normal 2 2 10 2 19 3 6" xfId="7175" xr:uid="{00000000-0005-0000-0000-0000071C0000}"/>
    <cellStyle name="Normal 2 2 10 2 19 3 7" xfId="7176" xr:uid="{00000000-0005-0000-0000-0000081C0000}"/>
    <cellStyle name="Normal 2 2 10 2 19 3 8" xfId="7177" xr:uid="{00000000-0005-0000-0000-0000091C0000}"/>
    <cellStyle name="Normal 2 2 10 2 19 3 9" xfId="7178" xr:uid="{00000000-0005-0000-0000-00000A1C0000}"/>
    <cellStyle name="Normal 2 2 10 2 19 4" xfId="7179" xr:uid="{00000000-0005-0000-0000-00000B1C0000}"/>
    <cellStyle name="Normal 2 2 10 2 19 4 10" xfId="7180" xr:uid="{00000000-0005-0000-0000-00000C1C0000}"/>
    <cellStyle name="Normal 2 2 10 2 19 4 2" xfId="7181" xr:uid="{00000000-0005-0000-0000-00000D1C0000}"/>
    <cellStyle name="Normal 2 2 10 2 19 4 3" xfId="7182" xr:uid="{00000000-0005-0000-0000-00000E1C0000}"/>
    <cellStyle name="Normal 2 2 10 2 19 4 4" xfId="7183" xr:uid="{00000000-0005-0000-0000-00000F1C0000}"/>
    <cellStyle name="Normal 2 2 10 2 19 4 5" xfId="7184" xr:uid="{00000000-0005-0000-0000-0000101C0000}"/>
    <cellStyle name="Normal 2 2 10 2 19 4 6" xfId="7185" xr:uid="{00000000-0005-0000-0000-0000111C0000}"/>
    <cellStyle name="Normal 2 2 10 2 19 4 7" xfId="7186" xr:uid="{00000000-0005-0000-0000-0000121C0000}"/>
    <cellStyle name="Normal 2 2 10 2 19 4 8" xfId="7187" xr:uid="{00000000-0005-0000-0000-0000131C0000}"/>
    <cellStyle name="Normal 2 2 10 2 19 4 9" xfId="7188" xr:uid="{00000000-0005-0000-0000-0000141C0000}"/>
    <cellStyle name="Normal 2 2 10 2 19 5" xfId="7189" xr:uid="{00000000-0005-0000-0000-0000151C0000}"/>
    <cellStyle name="Normal 2 2 10 2 19 5 10" xfId="7190" xr:uid="{00000000-0005-0000-0000-0000161C0000}"/>
    <cellStyle name="Normal 2 2 10 2 19 5 2" xfId="7191" xr:uid="{00000000-0005-0000-0000-0000171C0000}"/>
    <cellStyle name="Normal 2 2 10 2 19 5 3" xfId="7192" xr:uid="{00000000-0005-0000-0000-0000181C0000}"/>
    <cellStyle name="Normal 2 2 10 2 19 5 4" xfId="7193" xr:uid="{00000000-0005-0000-0000-0000191C0000}"/>
    <cellStyle name="Normal 2 2 10 2 19 5 5" xfId="7194" xr:uid="{00000000-0005-0000-0000-00001A1C0000}"/>
    <cellStyle name="Normal 2 2 10 2 19 5 6" xfId="7195" xr:uid="{00000000-0005-0000-0000-00001B1C0000}"/>
    <cellStyle name="Normal 2 2 10 2 19 5 7" xfId="7196" xr:uid="{00000000-0005-0000-0000-00001C1C0000}"/>
    <cellStyle name="Normal 2 2 10 2 19 5 8" xfId="7197" xr:uid="{00000000-0005-0000-0000-00001D1C0000}"/>
    <cellStyle name="Normal 2 2 10 2 19 5 9" xfId="7198" xr:uid="{00000000-0005-0000-0000-00001E1C0000}"/>
    <cellStyle name="Normal 2 2 10 2 19 6" xfId="7199" xr:uid="{00000000-0005-0000-0000-00001F1C0000}"/>
    <cellStyle name="Normal 2 2 10 2 19 7" xfId="7200" xr:uid="{00000000-0005-0000-0000-0000201C0000}"/>
    <cellStyle name="Normal 2 2 10 2 19 8" xfId="7201" xr:uid="{00000000-0005-0000-0000-0000211C0000}"/>
    <cellStyle name="Normal 2 2 10 2 19 9" xfId="7202" xr:uid="{00000000-0005-0000-0000-0000221C0000}"/>
    <cellStyle name="Normal 2 2 10 2 2" xfId="7203" xr:uid="{00000000-0005-0000-0000-0000231C0000}"/>
    <cellStyle name="Normal 2 2 10 2 2 10" xfId="7204" xr:uid="{00000000-0005-0000-0000-0000241C0000}"/>
    <cellStyle name="Normal 2 2 10 2 2 11" xfId="7205" xr:uid="{00000000-0005-0000-0000-0000251C0000}"/>
    <cellStyle name="Normal 2 2 10 2 2 12" xfId="7206" xr:uid="{00000000-0005-0000-0000-0000261C0000}"/>
    <cellStyle name="Normal 2 2 10 2 2 13" xfId="7207" xr:uid="{00000000-0005-0000-0000-0000271C0000}"/>
    <cellStyle name="Normal 2 2 10 2 2 14" xfId="7208" xr:uid="{00000000-0005-0000-0000-0000281C0000}"/>
    <cellStyle name="Normal 2 2 10 2 2 2" xfId="7209" xr:uid="{00000000-0005-0000-0000-0000291C0000}"/>
    <cellStyle name="Normal 2 2 10 2 2 2 10" xfId="7210" xr:uid="{00000000-0005-0000-0000-00002A1C0000}"/>
    <cellStyle name="Normal 2 2 10 2 2 2 2" xfId="7211" xr:uid="{00000000-0005-0000-0000-00002B1C0000}"/>
    <cellStyle name="Normal 2 2 10 2 2 2 3" xfId="7212" xr:uid="{00000000-0005-0000-0000-00002C1C0000}"/>
    <cellStyle name="Normal 2 2 10 2 2 2 4" xfId="7213" xr:uid="{00000000-0005-0000-0000-00002D1C0000}"/>
    <cellStyle name="Normal 2 2 10 2 2 2 5" xfId="7214" xr:uid="{00000000-0005-0000-0000-00002E1C0000}"/>
    <cellStyle name="Normal 2 2 10 2 2 2 6" xfId="7215" xr:uid="{00000000-0005-0000-0000-00002F1C0000}"/>
    <cellStyle name="Normal 2 2 10 2 2 2 7" xfId="7216" xr:uid="{00000000-0005-0000-0000-0000301C0000}"/>
    <cellStyle name="Normal 2 2 10 2 2 2 8" xfId="7217" xr:uid="{00000000-0005-0000-0000-0000311C0000}"/>
    <cellStyle name="Normal 2 2 10 2 2 2 9" xfId="7218" xr:uid="{00000000-0005-0000-0000-0000321C0000}"/>
    <cellStyle name="Normal 2 2 10 2 2 3" xfId="7219" xr:uid="{00000000-0005-0000-0000-0000331C0000}"/>
    <cellStyle name="Normal 2 2 10 2 2 3 10" xfId="7220" xr:uid="{00000000-0005-0000-0000-0000341C0000}"/>
    <cellStyle name="Normal 2 2 10 2 2 3 2" xfId="7221" xr:uid="{00000000-0005-0000-0000-0000351C0000}"/>
    <cellStyle name="Normal 2 2 10 2 2 3 3" xfId="7222" xr:uid="{00000000-0005-0000-0000-0000361C0000}"/>
    <cellStyle name="Normal 2 2 10 2 2 3 4" xfId="7223" xr:uid="{00000000-0005-0000-0000-0000371C0000}"/>
    <cellStyle name="Normal 2 2 10 2 2 3 5" xfId="7224" xr:uid="{00000000-0005-0000-0000-0000381C0000}"/>
    <cellStyle name="Normal 2 2 10 2 2 3 6" xfId="7225" xr:uid="{00000000-0005-0000-0000-0000391C0000}"/>
    <cellStyle name="Normal 2 2 10 2 2 3 7" xfId="7226" xr:uid="{00000000-0005-0000-0000-00003A1C0000}"/>
    <cellStyle name="Normal 2 2 10 2 2 3 8" xfId="7227" xr:uid="{00000000-0005-0000-0000-00003B1C0000}"/>
    <cellStyle name="Normal 2 2 10 2 2 3 9" xfId="7228" xr:uid="{00000000-0005-0000-0000-00003C1C0000}"/>
    <cellStyle name="Normal 2 2 10 2 2 4" xfId="7229" xr:uid="{00000000-0005-0000-0000-00003D1C0000}"/>
    <cellStyle name="Normal 2 2 10 2 2 4 10" xfId="7230" xr:uid="{00000000-0005-0000-0000-00003E1C0000}"/>
    <cellStyle name="Normal 2 2 10 2 2 4 2" xfId="7231" xr:uid="{00000000-0005-0000-0000-00003F1C0000}"/>
    <cellStyle name="Normal 2 2 10 2 2 4 3" xfId="7232" xr:uid="{00000000-0005-0000-0000-0000401C0000}"/>
    <cellStyle name="Normal 2 2 10 2 2 4 4" xfId="7233" xr:uid="{00000000-0005-0000-0000-0000411C0000}"/>
    <cellStyle name="Normal 2 2 10 2 2 4 5" xfId="7234" xr:uid="{00000000-0005-0000-0000-0000421C0000}"/>
    <cellStyle name="Normal 2 2 10 2 2 4 6" xfId="7235" xr:uid="{00000000-0005-0000-0000-0000431C0000}"/>
    <cellStyle name="Normal 2 2 10 2 2 4 7" xfId="7236" xr:uid="{00000000-0005-0000-0000-0000441C0000}"/>
    <cellStyle name="Normal 2 2 10 2 2 4 8" xfId="7237" xr:uid="{00000000-0005-0000-0000-0000451C0000}"/>
    <cellStyle name="Normal 2 2 10 2 2 4 9" xfId="7238" xr:uid="{00000000-0005-0000-0000-0000461C0000}"/>
    <cellStyle name="Normal 2 2 10 2 2 5" xfId="7239" xr:uid="{00000000-0005-0000-0000-0000471C0000}"/>
    <cellStyle name="Normal 2 2 10 2 2 5 10" xfId="7240" xr:uid="{00000000-0005-0000-0000-0000481C0000}"/>
    <cellStyle name="Normal 2 2 10 2 2 5 2" xfId="7241" xr:uid="{00000000-0005-0000-0000-0000491C0000}"/>
    <cellStyle name="Normal 2 2 10 2 2 5 3" xfId="7242" xr:uid="{00000000-0005-0000-0000-00004A1C0000}"/>
    <cellStyle name="Normal 2 2 10 2 2 5 4" xfId="7243" xr:uid="{00000000-0005-0000-0000-00004B1C0000}"/>
    <cellStyle name="Normal 2 2 10 2 2 5 5" xfId="7244" xr:uid="{00000000-0005-0000-0000-00004C1C0000}"/>
    <cellStyle name="Normal 2 2 10 2 2 5 6" xfId="7245" xr:uid="{00000000-0005-0000-0000-00004D1C0000}"/>
    <cellStyle name="Normal 2 2 10 2 2 5 7" xfId="7246" xr:uid="{00000000-0005-0000-0000-00004E1C0000}"/>
    <cellStyle name="Normal 2 2 10 2 2 5 8" xfId="7247" xr:uid="{00000000-0005-0000-0000-00004F1C0000}"/>
    <cellStyle name="Normal 2 2 10 2 2 5 9" xfId="7248" xr:uid="{00000000-0005-0000-0000-0000501C0000}"/>
    <cellStyle name="Normal 2 2 10 2 2 6" xfId="7249" xr:uid="{00000000-0005-0000-0000-0000511C0000}"/>
    <cellStyle name="Normal 2 2 10 2 2 7" xfId="7250" xr:uid="{00000000-0005-0000-0000-0000521C0000}"/>
    <cellStyle name="Normal 2 2 10 2 2 8" xfId="7251" xr:uid="{00000000-0005-0000-0000-0000531C0000}"/>
    <cellStyle name="Normal 2 2 10 2 2 9" xfId="7252" xr:uid="{00000000-0005-0000-0000-0000541C0000}"/>
    <cellStyle name="Normal 2 2 10 2 20" xfId="7253" xr:uid="{00000000-0005-0000-0000-0000551C0000}"/>
    <cellStyle name="Normal 2 2 10 2 20 10" xfId="7254" xr:uid="{00000000-0005-0000-0000-0000561C0000}"/>
    <cellStyle name="Normal 2 2 10 2 20 11" xfId="7255" xr:uid="{00000000-0005-0000-0000-0000571C0000}"/>
    <cellStyle name="Normal 2 2 10 2 20 12" xfId="7256" xr:uid="{00000000-0005-0000-0000-0000581C0000}"/>
    <cellStyle name="Normal 2 2 10 2 20 13" xfId="7257" xr:uid="{00000000-0005-0000-0000-0000591C0000}"/>
    <cellStyle name="Normal 2 2 10 2 20 14" xfId="7258" xr:uid="{00000000-0005-0000-0000-00005A1C0000}"/>
    <cellStyle name="Normal 2 2 10 2 20 2" xfId="7259" xr:uid="{00000000-0005-0000-0000-00005B1C0000}"/>
    <cellStyle name="Normal 2 2 10 2 20 2 10" xfId="7260" xr:uid="{00000000-0005-0000-0000-00005C1C0000}"/>
    <cellStyle name="Normal 2 2 10 2 20 2 2" xfId="7261" xr:uid="{00000000-0005-0000-0000-00005D1C0000}"/>
    <cellStyle name="Normal 2 2 10 2 20 2 3" xfId="7262" xr:uid="{00000000-0005-0000-0000-00005E1C0000}"/>
    <cellStyle name="Normal 2 2 10 2 20 2 4" xfId="7263" xr:uid="{00000000-0005-0000-0000-00005F1C0000}"/>
    <cellStyle name="Normal 2 2 10 2 20 2 5" xfId="7264" xr:uid="{00000000-0005-0000-0000-0000601C0000}"/>
    <cellStyle name="Normal 2 2 10 2 20 2 6" xfId="7265" xr:uid="{00000000-0005-0000-0000-0000611C0000}"/>
    <cellStyle name="Normal 2 2 10 2 20 2 7" xfId="7266" xr:uid="{00000000-0005-0000-0000-0000621C0000}"/>
    <cellStyle name="Normal 2 2 10 2 20 2 8" xfId="7267" xr:uid="{00000000-0005-0000-0000-0000631C0000}"/>
    <cellStyle name="Normal 2 2 10 2 20 2 9" xfId="7268" xr:uid="{00000000-0005-0000-0000-0000641C0000}"/>
    <cellStyle name="Normal 2 2 10 2 20 3" xfId="7269" xr:uid="{00000000-0005-0000-0000-0000651C0000}"/>
    <cellStyle name="Normal 2 2 10 2 20 3 10" xfId="7270" xr:uid="{00000000-0005-0000-0000-0000661C0000}"/>
    <cellStyle name="Normal 2 2 10 2 20 3 2" xfId="7271" xr:uid="{00000000-0005-0000-0000-0000671C0000}"/>
    <cellStyle name="Normal 2 2 10 2 20 3 3" xfId="7272" xr:uid="{00000000-0005-0000-0000-0000681C0000}"/>
    <cellStyle name="Normal 2 2 10 2 20 3 4" xfId="7273" xr:uid="{00000000-0005-0000-0000-0000691C0000}"/>
    <cellStyle name="Normal 2 2 10 2 20 3 5" xfId="7274" xr:uid="{00000000-0005-0000-0000-00006A1C0000}"/>
    <cellStyle name="Normal 2 2 10 2 20 3 6" xfId="7275" xr:uid="{00000000-0005-0000-0000-00006B1C0000}"/>
    <cellStyle name="Normal 2 2 10 2 20 3 7" xfId="7276" xr:uid="{00000000-0005-0000-0000-00006C1C0000}"/>
    <cellStyle name="Normal 2 2 10 2 20 3 8" xfId="7277" xr:uid="{00000000-0005-0000-0000-00006D1C0000}"/>
    <cellStyle name="Normal 2 2 10 2 20 3 9" xfId="7278" xr:uid="{00000000-0005-0000-0000-00006E1C0000}"/>
    <cellStyle name="Normal 2 2 10 2 20 4" xfId="7279" xr:uid="{00000000-0005-0000-0000-00006F1C0000}"/>
    <cellStyle name="Normal 2 2 10 2 20 4 10" xfId="7280" xr:uid="{00000000-0005-0000-0000-0000701C0000}"/>
    <cellStyle name="Normal 2 2 10 2 20 4 2" xfId="7281" xr:uid="{00000000-0005-0000-0000-0000711C0000}"/>
    <cellStyle name="Normal 2 2 10 2 20 4 3" xfId="7282" xr:uid="{00000000-0005-0000-0000-0000721C0000}"/>
    <cellStyle name="Normal 2 2 10 2 20 4 4" xfId="7283" xr:uid="{00000000-0005-0000-0000-0000731C0000}"/>
    <cellStyle name="Normal 2 2 10 2 20 4 5" xfId="7284" xr:uid="{00000000-0005-0000-0000-0000741C0000}"/>
    <cellStyle name="Normal 2 2 10 2 20 4 6" xfId="7285" xr:uid="{00000000-0005-0000-0000-0000751C0000}"/>
    <cellStyle name="Normal 2 2 10 2 20 4 7" xfId="7286" xr:uid="{00000000-0005-0000-0000-0000761C0000}"/>
    <cellStyle name="Normal 2 2 10 2 20 4 8" xfId="7287" xr:uid="{00000000-0005-0000-0000-0000771C0000}"/>
    <cellStyle name="Normal 2 2 10 2 20 4 9" xfId="7288" xr:uid="{00000000-0005-0000-0000-0000781C0000}"/>
    <cellStyle name="Normal 2 2 10 2 20 5" xfId="7289" xr:uid="{00000000-0005-0000-0000-0000791C0000}"/>
    <cellStyle name="Normal 2 2 10 2 20 5 10" xfId="7290" xr:uid="{00000000-0005-0000-0000-00007A1C0000}"/>
    <cellStyle name="Normal 2 2 10 2 20 5 2" xfId="7291" xr:uid="{00000000-0005-0000-0000-00007B1C0000}"/>
    <cellStyle name="Normal 2 2 10 2 20 5 3" xfId="7292" xr:uid="{00000000-0005-0000-0000-00007C1C0000}"/>
    <cellStyle name="Normal 2 2 10 2 20 5 4" xfId="7293" xr:uid="{00000000-0005-0000-0000-00007D1C0000}"/>
    <cellStyle name="Normal 2 2 10 2 20 5 5" xfId="7294" xr:uid="{00000000-0005-0000-0000-00007E1C0000}"/>
    <cellStyle name="Normal 2 2 10 2 20 5 6" xfId="7295" xr:uid="{00000000-0005-0000-0000-00007F1C0000}"/>
    <cellStyle name="Normal 2 2 10 2 20 5 7" xfId="7296" xr:uid="{00000000-0005-0000-0000-0000801C0000}"/>
    <cellStyle name="Normal 2 2 10 2 20 5 8" xfId="7297" xr:uid="{00000000-0005-0000-0000-0000811C0000}"/>
    <cellStyle name="Normal 2 2 10 2 20 5 9" xfId="7298" xr:uid="{00000000-0005-0000-0000-0000821C0000}"/>
    <cellStyle name="Normal 2 2 10 2 20 6" xfId="7299" xr:uid="{00000000-0005-0000-0000-0000831C0000}"/>
    <cellStyle name="Normal 2 2 10 2 20 7" xfId="7300" xr:uid="{00000000-0005-0000-0000-0000841C0000}"/>
    <cellStyle name="Normal 2 2 10 2 20 8" xfId="7301" xr:uid="{00000000-0005-0000-0000-0000851C0000}"/>
    <cellStyle name="Normal 2 2 10 2 20 9" xfId="7302" xr:uid="{00000000-0005-0000-0000-0000861C0000}"/>
    <cellStyle name="Normal 2 2 10 2 21" xfId="7303" xr:uid="{00000000-0005-0000-0000-0000871C0000}"/>
    <cellStyle name="Normal 2 2 10 2 21 10" xfId="7304" xr:uid="{00000000-0005-0000-0000-0000881C0000}"/>
    <cellStyle name="Normal 2 2 10 2 21 11" xfId="7305" xr:uid="{00000000-0005-0000-0000-0000891C0000}"/>
    <cellStyle name="Normal 2 2 10 2 21 12" xfId="7306" xr:uid="{00000000-0005-0000-0000-00008A1C0000}"/>
    <cellStyle name="Normal 2 2 10 2 21 13" xfId="7307" xr:uid="{00000000-0005-0000-0000-00008B1C0000}"/>
    <cellStyle name="Normal 2 2 10 2 21 14" xfId="7308" xr:uid="{00000000-0005-0000-0000-00008C1C0000}"/>
    <cellStyle name="Normal 2 2 10 2 21 2" xfId="7309" xr:uid="{00000000-0005-0000-0000-00008D1C0000}"/>
    <cellStyle name="Normal 2 2 10 2 21 2 10" xfId="7310" xr:uid="{00000000-0005-0000-0000-00008E1C0000}"/>
    <cellStyle name="Normal 2 2 10 2 21 2 2" xfId="7311" xr:uid="{00000000-0005-0000-0000-00008F1C0000}"/>
    <cellStyle name="Normal 2 2 10 2 21 2 3" xfId="7312" xr:uid="{00000000-0005-0000-0000-0000901C0000}"/>
    <cellStyle name="Normal 2 2 10 2 21 2 4" xfId="7313" xr:uid="{00000000-0005-0000-0000-0000911C0000}"/>
    <cellStyle name="Normal 2 2 10 2 21 2 5" xfId="7314" xr:uid="{00000000-0005-0000-0000-0000921C0000}"/>
    <cellStyle name="Normal 2 2 10 2 21 2 6" xfId="7315" xr:uid="{00000000-0005-0000-0000-0000931C0000}"/>
    <cellStyle name="Normal 2 2 10 2 21 2 7" xfId="7316" xr:uid="{00000000-0005-0000-0000-0000941C0000}"/>
    <cellStyle name="Normal 2 2 10 2 21 2 8" xfId="7317" xr:uid="{00000000-0005-0000-0000-0000951C0000}"/>
    <cellStyle name="Normal 2 2 10 2 21 2 9" xfId="7318" xr:uid="{00000000-0005-0000-0000-0000961C0000}"/>
    <cellStyle name="Normal 2 2 10 2 21 3" xfId="7319" xr:uid="{00000000-0005-0000-0000-0000971C0000}"/>
    <cellStyle name="Normal 2 2 10 2 21 3 10" xfId="7320" xr:uid="{00000000-0005-0000-0000-0000981C0000}"/>
    <cellStyle name="Normal 2 2 10 2 21 3 2" xfId="7321" xr:uid="{00000000-0005-0000-0000-0000991C0000}"/>
    <cellStyle name="Normal 2 2 10 2 21 3 3" xfId="7322" xr:uid="{00000000-0005-0000-0000-00009A1C0000}"/>
    <cellStyle name="Normal 2 2 10 2 21 3 4" xfId="7323" xr:uid="{00000000-0005-0000-0000-00009B1C0000}"/>
    <cellStyle name="Normal 2 2 10 2 21 3 5" xfId="7324" xr:uid="{00000000-0005-0000-0000-00009C1C0000}"/>
    <cellStyle name="Normal 2 2 10 2 21 3 6" xfId="7325" xr:uid="{00000000-0005-0000-0000-00009D1C0000}"/>
    <cellStyle name="Normal 2 2 10 2 21 3 7" xfId="7326" xr:uid="{00000000-0005-0000-0000-00009E1C0000}"/>
    <cellStyle name="Normal 2 2 10 2 21 3 8" xfId="7327" xr:uid="{00000000-0005-0000-0000-00009F1C0000}"/>
    <cellStyle name="Normal 2 2 10 2 21 3 9" xfId="7328" xr:uid="{00000000-0005-0000-0000-0000A01C0000}"/>
    <cellStyle name="Normal 2 2 10 2 21 4" xfId="7329" xr:uid="{00000000-0005-0000-0000-0000A11C0000}"/>
    <cellStyle name="Normal 2 2 10 2 21 4 10" xfId="7330" xr:uid="{00000000-0005-0000-0000-0000A21C0000}"/>
    <cellStyle name="Normal 2 2 10 2 21 4 2" xfId="7331" xr:uid="{00000000-0005-0000-0000-0000A31C0000}"/>
    <cellStyle name="Normal 2 2 10 2 21 4 3" xfId="7332" xr:uid="{00000000-0005-0000-0000-0000A41C0000}"/>
    <cellStyle name="Normal 2 2 10 2 21 4 4" xfId="7333" xr:uid="{00000000-0005-0000-0000-0000A51C0000}"/>
    <cellStyle name="Normal 2 2 10 2 21 4 5" xfId="7334" xr:uid="{00000000-0005-0000-0000-0000A61C0000}"/>
    <cellStyle name="Normal 2 2 10 2 21 4 6" xfId="7335" xr:uid="{00000000-0005-0000-0000-0000A71C0000}"/>
    <cellStyle name="Normal 2 2 10 2 21 4 7" xfId="7336" xr:uid="{00000000-0005-0000-0000-0000A81C0000}"/>
    <cellStyle name="Normal 2 2 10 2 21 4 8" xfId="7337" xr:uid="{00000000-0005-0000-0000-0000A91C0000}"/>
    <cellStyle name="Normal 2 2 10 2 21 4 9" xfId="7338" xr:uid="{00000000-0005-0000-0000-0000AA1C0000}"/>
    <cellStyle name="Normal 2 2 10 2 21 5" xfId="7339" xr:uid="{00000000-0005-0000-0000-0000AB1C0000}"/>
    <cellStyle name="Normal 2 2 10 2 21 5 10" xfId="7340" xr:uid="{00000000-0005-0000-0000-0000AC1C0000}"/>
    <cellStyle name="Normal 2 2 10 2 21 5 2" xfId="7341" xr:uid="{00000000-0005-0000-0000-0000AD1C0000}"/>
    <cellStyle name="Normal 2 2 10 2 21 5 3" xfId="7342" xr:uid="{00000000-0005-0000-0000-0000AE1C0000}"/>
    <cellStyle name="Normal 2 2 10 2 21 5 4" xfId="7343" xr:uid="{00000000-0005-0000-0000-0000AF1C0000}"/>
    <cellStyle name="Normal 2 2 10 2 21 5 5" xfId="7344" xr:uid="{00000000-0005-0000-0000-0000B01C0000}"/>
    <cellStyle name="Normal 2 2 10 2 21 5 6" xfId="7345" xr:uid="{00000000-0005-0000-0000-0000B11C0000}"/>
    <cellStyle name="Normal 2 2 10 2 21 5 7" xfId="7346" xr:uid="{00000000-0005-0000-0000-0000B21C0000}"/>
    <cellStyle name="Normal 2 2 10 2 21 5 8" xfId="7347" xr:uid="{00000000-0005-0000-0000-0000B31C0000}"/>
    <cellStyle name="Normal 2 2 10 2 21 5 9" xfId="7348" xr:uid="{00000000-0005-0000-0000-0000B41C0000}"/>
    <cellStyle name="Normal 2 2 10 2 21 6" xfId="7349" xr:uid="{00000000-0005-0000-0000-0000B51C0000}"/>
    <cellStyle name="Normal 2 2 10 2 21 7" xfId="7350" xr:uid="{00000000-0005-0000-0000-0000B61C0000}"/>
    <cellStyle name="Normal 2 2 10 2 21 8" xfId="7351" xr:uid="{00000000-0005-0000-0000-0000B71C0000}"/>
    <cellStyle name="Normal 2 2 10 2 21 9" xfId="7352" xr:uid="{00000000-0005-0000-0000-0000B81C0000}"/>
    <cellStyle name="Normal 2 2 10 2 22" xfId="7353" xr:uid="{00000000-0005-0000-0000-0000B91C0000}"/>
    <cellStyle name="Normal 2 2 10 2 22 10" xfId="7354" xr:uid="{00000000-0005-0000-0000-0000BA1C0000}"/>
    <cellStyle name="Normal 2 2 10 2 22 11" xfId="7355" xr:uid="{00000000-0005-0000-0000-0000BB1C0000}"/>
    <cellStyle name="Normal 2 2 10 2 22 12" xfId="7356" xr:uid="{00000000-0005-0000-0000-0000BC1C0000}"/>
    <cellStyle name="Normal 2 2 10 2 22 13" xfId="7357" xr:uid="{00000000-0005-0000-0000-0000BD1C0000}"/>
    <cellStyle name="Normal 2 2 10 2 22 14" xfId="7358" xr:uid="{00000000-0005-0000-0000-0000BE1C0000}"/>
    <cellStyle name="Normal 2 2 10 2 22 2" xfId="7359" xr:uid="{00000000-0005-0000-0000-0000BF1C0000}"/>
    <cellStyle name="Normal 2 2 10 2 22 2 10" xfId="7360" xr:uid="{00000000-0005-0000-0000-0000C01C0000}"/>
    <cellStyle name="Normal 2 2 10 2 22 2 2" xfId="7361" xr:uid="{00000000-0005-0000-0000-0000C11C0000}"/>
    <cellStyle name="Normal 2 2 10 2 22 2 3" xfId="7362" xr:uid="{00000000-0005-0000-0000-0000C21C0000}"/>
    <cellStyle name="Normal 2 2 10 2 22 2 4" xfId="7363" xr:uid="{00000000-0005-0000-0000-0000C31C0000}"/>
    <cellStyle name="Normal 2 2 10 2 22 2 5" xfId="7364" xr:uid="{00000000-0005-0000-0000-0000C41C0000}"/>
    <cellStyle name="Normal 2 2 10 2 22 2 6" xfId="7365" xr:uid="{00000000-0005-0000-0000-0000C51C0000}"/>
    <cellStyle name="Normal 2 2 10 2 22 2 7" xfId="7366" xr:uid="{00000000-0005-0000-0000-0000C61C0000}"/>
    <cellStyle name="Normal 2 2 10 2 22 2 8" xfId="7367" xr:uid="{00000000-0005-0000-0000-0000C71C0000}"/>
    <cellStyle name="Normal 2 2 10 2 22 2 9" xfId="7368" xr:uid="{00000000-0005-0000-0000-0000C81C0000}"/>
    <cellStyle name="Normal 2 2 10 2 22 3" xfId="7369" xr:uid="{00000000-0005-0000-0000-0000C91C0000}"/>
    <cellStyle name="Normal 2 2 10 2 22 3 10" xfId="7370" xr:uid="{00000000-0005-0000-0000-0000CA1C0000}"/>
    <cellStyle name="Normal 2 2 10 2 22 3 2" xfId="7371" xr:uid="{00000000-0005-0000-0000-0000CB1C0000}"/>
    <cellStyle name="Normal 2 2 10 2 22 3 3" xfId="7372" xr:uid="{00000000-0005-0000-0000-0000CC1C0000}"/>
    <cellStyle name="Normal 2 2 10 2 22 3 4" xfId="7373" xr:uid="{00000000-0005-0000-0000-0000CD1C0000}"/>
    <cellStyle name="Normal 2 2 10 2 22 3 5" xfId="7374" xr:uid="{00000000-0005-0000-0000-0000CE1C0000}"/>
    <cellStyle name="Normal 2 2 10 2 22 3 6" xfId="7375" xr:uid="{00000000-0005-0000-0000-0000CF1C0000}"/>
    <cellStyle name="Normal 2 2 10 2 22 3 7" xfId="7376" xr:uid="{00000000-0005-0000-0000-0000D01C0000}"/>
    <cellStyle name="Normal 2 2 10 2 22 3 8" xfId="7377" xr:uid="{00000000-0005-0000-0000-0000D11C0000}"/>
    <cellStyle name="Normal 2 2 10 2 22 3 9" xfId="7378" xr:uid="{00000000-0005-0000-0000-0000D21C0000}"/>
    <cellStyle name="Normal 2 2 10 2 22 4" xfId="7379" xr:uid="{00000000-0005-0000-0000-0000D31C0000}"/>
    <cellStyle name="Normal 2 2 10 2 22 4 10" xfId="7380" xr:uid="{00000000-0005-0000-0000-0000D41C0000}"/>
    <cellStyle name="Normal 2 2 10 2 22 4 2" xfId="7381" xr:uid="{00000000-0005-0000-0000-0000D51C0000}"/>
    <cellStyle name="Normal 2 2 10 2 22 4 3" xfId="7382" xr:uid="{00000000-0005-0000-0000-0000D61C0000}"/>
    <cellStyle name="Normal 2 2 10 2 22 4 4" xfId="7383" xr:uid="{00000000-0005-0000-0000-0000D71C0000}"/>
    <cellStyle name="Normal 2 2 10 2 22 4 5" xfId="7384" xr:uid="{00000000-0005-0000-0000-0000D81C0000}"/>
    <cellStyle name="Normal 2 2 10 2 22 4 6" xfId="7385" xr:uid="{00000000-0005-0000-0000-0000D91C0000}"/>
    <cellStyle name="Normal 2 2 10 2 22 4 7" xfId="7386" xr:uid="{00000000-0005-0000-0000-0000DA1C0000}"/>
    <cellStyle name="Normal 2 2 10 2 22 4 8" xfId="7387" xr:uid="{00000000-0005-0000-0000-0000DB1C0000}"/>
    <cellStyle name="Normal 2 2 10 2 22 4 9" xfId="7388" xr:uid="{00000000-0005-0000-0000-0000DC1C0000}"/>
    <cellStyle name="Normal 2 2 10 2 22 5" xfId="7389" xr:uid="{00000000-0005-0000-0000-0000DD1C0000}"/>
    <cellStyle name="Normal 2 2 10 2 22 5 10" xfId="7390" xr:uid="{00000000-0005-0000-0000-0000DE1C0000}"/>
    <cellStyle name="Normal 2 2 10 2 22 5 2" xfId="7391" xr:uid="{00000000-0005-0000-0000-0000DF1C0000}"/>
    <cellStyle name="Normal 2 2 10 2 22 5 3" xfId="7392" xr:uid="{00000000-0005-0000-0000-0000E01C0000}"/>
    <cellStyle name="Normal 2 2 10 2 22 5 4" xfId="7393" xr:uid="{00000000-0005-0000-0000-0000E11C0000}"/>
    <cellStyle name="Normal 2 2 10 2 22 5 5" xfId="7394" xr:uid="{00000000-0005-0000-0000-0000E21C0000}"/>
    <cellStyle name="Normal 2 2 10 2 22 5 6" xfId="7395" xr:uid="{00000000-0005-0000-0000-0000E31C0000}"/>
    <cellStyle name="Normal 2 2 10 2 22 5 7" xfId="7396" xr:uid="{00000000-0005-0000-0000-0000E41C0000}"/>
    <cellStyle name="Normal 2 2 10 2 22 5 8" xfId="7397" xr:uid="{00000000-0005-0000-0000-0000E51C0000}"/>
    <cellStyle name="Normal 2 2 10 2 22 5 9" xfId="7398" xr:uid="{00000000-0005-0000-0000-0000E61C0000}"/>
    <cellStyle name="Normal 2 2 10 2 22 6" xfId="7399" xr:uid="{00000000-0005-0000-0000-0000E71C0000}"/>
    <cellStyle name="Normal 2 2 10 2 22 7" xfId="7400" xr:uid="{00000000-0005-0000-0000-0000E81C0000}"/>
    <cellStyle name="Normal 2 2 10 2 22 8" xfId="7401" xr:uid="{00000000-0005-0000-0000-0000E91C0000}"/>
    <cellStyle name="Normal 2 2 10 2 22 9" xfId="7402" xr:uid="{00000000-0005-0000-0000-0000EA1C0000}"/>
    <cellStyle name="Normal 2 2 10 2 23" xfId="7403" xr:uid="{00000000-0005-0000-0000-0000EB1C0000}"/>
    <cellStyle name="Normal 2 2 10 2 23 10" xfId="7404" xr:uid="{00000000-0005-0000-0000-0000EC1C0000}"/>
    <cellStyle name="Normal 2 2 10 2 23 11" xfId="7405" xr:uid="{00000000-0005-0000-0000-0000ED1C0000}"/>
    <cellStyle name="Normal 2 2 10 2 23 12" xfId="7406" xr:uid="{00000000-0005-0000-0000-0000EE1C0000}"/>
    <cellStyle name="Normal 2 2 10 2 23 13" xfId="7407" xr:uid="{00000000-0005-0000-0000-0000EF1C0000}"/>
    <cellStyle name="Normal 2 2 10 2 23 14" xfId="7408" xr:uid="{00000000-0005-0000-0000-0000F01C0000}"/>
    <cellStyle name="Normal 2 2 10 2 23 2" xfId="7409" xr:uid="{00000000-0005-0000-0000-0000F11C0000}"/>
    <cellStyle name="Normal 2 2 10 2 23 2 10" xfId="7410" xr:uid="{00000000-0005-0000-0000-0000F21C0000}"/>
    <cellStyle name="Normal 2 2 10 2 23 2 2" xfId="7411" xr:uid="{00000000-0005-0000-0000-0000F31C0000}"/>
    <cellStyle name="Normal 2 2 10 2 23 2 3" xfId="7412" xr:uid="{00000000-0005-0000-0000-0000F41C0000}"/>
    <cellStyle name="Normal 2 2 10 2 23 2 4" xfId="7413" xr:uid="{00000000-0005-0000-0000-0000F51C0000}"/>
    <cellStyle name="Normal 2 2 10 2 23 2 5" xfId="7414" xr:uid="{00000000-0005-0000-0000-0000F61C0000}"/>
    <cellStyle name="Normal 2 2 10 2 23 2 6" xfId="7415" xr:uid="{00000000-0005-0000-0000-0000F71C0000}"/>
    <cellStyle name="Normal 2 2 10 2 23 2 7" xfId="7416" xr:uid="{00000000-0005-0000-0000-0000F81C0000}"/>
    <cellStyle name="Normal 2 2 10 2 23 2 8" xfId="7417" xr:uid="{00000000-0005-0000-0000-0000F91C0000}"/>
    <cellStyle name="Normal 2 2 10 2 23 2 9" xfId="7418" xr:uid="{00000000-0005-0000-0000-0000FA1C0000}"/>
    <cellStyle name="Normal 2 2 10 2 23 3" xfId="7419" xr:uid="{00000000-0005-0000-0000-0000FB1C0000}"/>
    <cellStyle name="Normal 2 2 10 2 23 3 10" xfId="7420" xr:uid="{00000000-0005-0000-0000-0000FC1C0000}"/>
    <cellStyle name="Normal 2 2 10 2 23 3 2" xfId="7421" xr:uid="{00000000-0005-0000-0000-0000FD1C0000}"/>
    <cellStyle name="Normal 2 2 10 2 23 3 3" xfId="7422" xr:uid="{00000000-0005-0000-0000-0000FE1C0000}"/>
    <cellStyle name="Normal 2 2 10 2 23 3 4" xfId="7423" xr:uid="{00000000-0005-0000-0000-0000FF1C0000}"/>
    <cellStyle name="Normal 2 2 10 2 23 3 5" xfId="7424" xr:uid="{00000000-0005-0000-0000-0000001D0000}"/>
    <cellStyle name="Normal 2 2 10 2 23 3 6" xfId="7425" xr:uid="{00000000-0005-0000-0000-0000011D0000}"/>
    <cellStyle name="Normal 2 2 10 2 23 3 7" xfId="7426" xr:uid="{00000000-0005-0000-0000-0000021D0000}"/>
    <cellStyle name="Normal 2 2 10 2 23 3 8" xfId="7427" xr:uid="{00000000-0005-0000-0000-0000031D0000}"/>
    <cellStyle name="Normal 2 2 10 2 23 3 9" xfId="7428" xr:uid="{00000000-0005-0000-0000-0000041D0000}"/>
    <cellStyle name="Normal 2 2 10 2 23 4" xfId="7429" xr:uid="{00000000-0005-0000-0000-0000051D0000}"/>
    <cellStyle name="Normal 2 2 10 2 23 4 10" xfId="7430" xr:uid="{00000000-0005-0000-0000-0000061D0000}"/>
    <cellStyle name="Normal 2 2 10 2 23 4 2" xfId="7431" xr:uid="{00000000-0005-0000-0000-0000071D0000}"/>
    <cellStyle name="Normal 2 2 10 2 23 4 3" xfId="7432" xr:uid="{00000000-0005-0000-0000-0000081D0000}"/>
    <cellStyle name="Normal 2 2 10 2 23 4 4" xfId="7433" xr:uid="{00000000-0005-0000-0000-0000091D0000}"/>
    <cellStyle name="Normal 2 2 10 2 23 4 5" xfId="7434" xr:uid="{00000000-0005-0000-0000-00000A1D0000}"/>
    <cellStyle name="Normal 2 2 10 2 23 4 6" xfId="7435" xr:uid="{00000000-0005-0000-0000-00000B1D0000}"/>
    <cellStyle name="Normal 2 2 10 2 23 4 7" xfId="7436" xr:uid="{00000000-0005-0000-0000-00000C1D0000}"/>
    <cellStyle name="Normal 2 2 10 2 23 4 8" xfId="7437" xr:uid="{00000000-0005-0000-0000-00000D1D0000}"/>
    <cellStyle name="Normal 2 2 10 2 23 4 9" xfId="7438" xr:uid="{00000000-0005-0000-0000-00000E1D0000}"/>
    <cellStyle name="Normal 2 2 10 2 23 5" xfId="7439" xr:uid="{00000000-0005-0000-0000-00000F1D0000}"/>
    <cellStyle name="Normal 2 2 10 2 23 5 10" xfId="7440" xr:uid="{00000000-0005-0000-0000-0000101D0000}"/>
    <cellStyle name="Normal 2 2 10 2 23 5 2" xfId="7441" xr:uid="{00000000-0005-0000-0000-0000111D0000}"/>
    <cellStyle name="Normal 2 2 10 2 23 5 3" xfId="7442" xr:uid="{00000000-0005-0000-0000-0000121D0000}"/>
    <cellStyle name="Normal 2 2 10 2 23 5 4" xfId="7443" xr:uid="{00000000-0005-0000-0000-0000131D0000}"/>
    <cellStyle name="Normal 2 2 10 2 23 5 5" xfId="7444" xr:uid="{00000000-0005-0000-0000-0000141D0000}"/>
    <cellStyle name="Normal 2 2 10 2 23 5 6" xfId="7445" xr:uid="{00000000-0005-0000-0000-0000151D0000}"/>
    <cellStyle name="Normal 2 2 10 2 23 5 7" xfId="7446" xr:uid="{00000000-0005-0000-0000-0000161D0000}"/>
    <cellStyle name="Normal 2 2 10 2 23 5 8" xfId="7447" xr:uid="{00000000-0005-0000-0000-0000171D0000}"/>
    <cellStyle name="Normal 2 2 10 2 23 5 9" xfId="7448" xr:uid="{00000000-0005-0000-0000-0000181D0000}"/>
    <cellStyle name="Normal 2 2 10 2 23 6" xfId="7449" xr:uid="{00000000-0005-0000-0000-0000191D0000}"/>
    <cellStyle name="Normal 2 2 10 2 23 7" xfId="7450" xr:uid="{00000000-0005-0000-0000-00001A1D0000}"/>
    <cellStyle name="Normal 2 2 10 2 23 8" xfId="7451" xr:uid="{00000000-0005-0000-0000-00001B1D0000}"/>
    <cellStyle name="Normal 2 2 10 2 23 9" xfId="7452" xr:uid="{00000000-0005-0000-0000-00001C1D0000}"/>
    <cellStyle name="Normal 2 2 10 2 24" xfId="7453" xr:uid="{00000000-0005-0000-0000-00001D1D0000}"/>
    <cellStyle name="Normal 2 2 10 2 24 10" xfId="7454" xr:uid="{00000000-0005-0000-0000-00001E1D0000}"/>
    <cellStyle name="Normal 2 2 10 2 24 11" xfId="7455" xr:uid="{00000000-0005-0000-0000-00001F1D0000}"/>
    <cellStyle name="Normal 2 2 10 2 24 12" xfId="7456" xr:uid="{00000000-0005-0000-0000-0000201D0000}"/>
    <cellStyle name="Normal 2 2 10 2 24 13" xfId="7457" xr:uid="{00000000-0005-0000-0000-0000211D0000}"/>
    <cellStyle name="Normal 2 2 10 2 24 14" xfId="7458" xr:uid="{00000000-0005-0000-0000-0000221D0000}"/>
    <cellStyle name="Normal 2 2 10 2 24 2" xfId="7459" xr:uid="{00000000-0005-0000-0000-0000231D0000}"/>
    <cellStyle name="Normal 2 2 10 2 24 2 10" xfId="7460" xr:uid="{00000000-0005-0000-0000-0000241D0000}"/>
    <cellStyle name="Normal 2 2 10 2 24 2 2" xfId="7461" xr:uid="{00000000-0005-0000-0000-0000251D0000}"/>
    <cellStyle name="Normal 2 2 10 2 24 2 3" xfId="7462" xr:uid="{00000000-0005-0000-0000-0000261D0000}"/>
    <cellStyle name="Normal 2 2 10 2 24 2 4" xfId="7463" xr:uid="{00000000-0005-0000-0000-0000271D0000}"/>
    <cellStyle name="Normal 2 2 10 2 24 2 5" xfId="7464" xr:uid="{00000000-0005-0000-0000-0000281D0000}"/>
    <cellStyle name="Normal 2 2 10 2 24 2 6" xfId="7465" xr:uid="{00000000-0005-0000-0000-0000291D0000}"/>
    <cellStyle name="Normal 2 2 10 2 24 2 7" xfId="7466" xr:uid="{00000000-0005-0000-0000-00002A1D0000}"/>
    <cellStyle name="Normal 2 2 10 2 24 2 8" xfId="7467" xr:uid="{00000000-0005-0000-0000-00002B1D0000}"/>
    <cellStyle name="Normal 2 2 10 2 24 2 9" xfId="7468" xr:uid="{00000000-0005-0000-0000-00002C1D0000}"/>
    <cellStyle name="Normal 2 2 10 2 24 3" xfId="7469" xr:uid="{00000000-0005-0000-0000-00002D1D0000}"/>
    <cellStyle name="Normal 2 2 10 2 24 3 10" xfId="7470" xr:uid="{00000000-0005-0000-0000-00002E1D0000}"/>
    <cellStyle name="Normal 2 2 10 2 24 3 2" xfId="7471" xr:uid="{00000000-0005-0000-0000-00002F1D0000}"/>
    <cellStyle name="Normal 2 2 10 2 24 3 3" xfId="7472" xr:uid="{00000000-0005-0000-0000-0000301D0000}"/>
    <cellStyle name="Normal 2 2 10 2 24 3 4" xfId="7473" xr:uid="{00000000-0005-0000-0000-0000311D0000}"/>
    <cellStyle name="Normal 2 2 10 2 24 3 5" xfId="7474" xr:uid="{00000000-0005-0000-0000-0000321D0000}"/>
    <cellStyle name="Normal 2 2 10 2 24 3 6" xfId="7475" xr:uid="{00000000-0005-0000-0000-0000331D0000}"/>
    <cellStyle name="Normal 2 2 10 2 24 3 7" xfId="7476" xr:uid="{00000000-0005-0000-0000-0000341D0000}"/>
    <cellStyle name="Normal 2 2 10 2 24 3 8" xfId="7477" xr:uid="{00000000-0005-0000-0000-0000351D0000}"/>
    <cellStyle name="Normal 2 2 10 2 24 3 9" xfId="7478" xr:uid="{00000000-0005-0000-0000-0000361D0000}"/>
    <cellStyle name="Normal 2 2 10 2 24 4" xfId="7479" xr:uid="{00000000-0005-0000-0000-0000371D0000}"/>
    <cellStyle name="Normal 2 2 10 2 24 4 10" xfId="7480" xr:uid="{00000000-0005-0000-0000-0000381D0000}"/>
    <cellStyle name="Normal 2 2 10 2 24 4 2" xfId="7481" xr:uid="{00000000-0005-0000-0000-0000391D0000}"/>
    <cellStyle name="Normal 2 2 10 2 24 4 3" xfId="7482" xr:uid="{00000000-0005-0000-0000-00003A1D0000}"/>
    <cellStyle name="Normal 2 2 10 2 24 4 4" xfId="7483" xr:uid="{00000000-0005-0000-0000-00003B1D0000}"/>
    <cellStyle name="Normal 2 2 10 2 24 4 5" xfId="7484" xr:uid="{00000000-0005-0000-0000-00003C1D0000}"/>
    <cellStyle name="Normal 2 2 10 2 24 4 6" xfId="7485" xr:uid="{00000000-0005-0000-0000-00003D1D0000}"/>
    <cellStyle name="Normal 2 2 10 2 24 4 7" xfId="7486" xr:uid="{00000000-0005-0000-0000-00003E1D0000}"/>
    <cellStyle name="Normal 2 2 10 2 24 4 8" xfId="7487" xr:uid="{00000000-0005-0000-0000-00003F1D0000}"/>
    <cellStyle name="Normal 2 2 10 2 24 4 9" xfId="7488" xr:uid="{00000000-0005-0000-0000-0000401D0000}"/>
    <cellStyle name="Normal 2 2 10 2 24 5" xfId="7489" xr:uid="{00000000-0005-0000-0000-0000411D0000}"/>
    <cellStyle name="Normal 2 2 10 2 24 5 10" xfId="7490" xr:uid="{00000000-0005-0000-0000-0000421D0000}"/>
    <cellStyle name="Normal 2 2 10 2 24 5 2" xfId="7491" xr:uid="{00000000-0005-0000-0000-0000431D0000}"/>
    <cellStyle name="Normal 2 2 10 2 24 5 3" xfId="7492" xr:uid="{00000000-0005-0000-0000-0000441D0000}"/>
    <cellStyle name="Normal 2 2 10 2 24 5 4" xfId="7493" xr:uid="{00000000-0005-0000-0000-0000451D0000}"/>
    <cellStyle name="Normal 2 2 10 2 24 5 5" xfId="7494" xr:uid="{00000000-0005-0000-0000-0000461D0000}"/>
    <cellStyle name="Normal 2 2 10 2 24 5 6" xfId="7495" xr:uid="{00000000-0005-0000-0000-0000471D0000}"/>
    <cellStyle name="Normal 2 2 10 2 24 5 7" xfId="7496" xr:uid="{00000000-0005-0000-0000-0000481D0000}"/>
    <cellStyle name="Normal 2 2 10 2 24 5 8" xfId="7497" xr:uid="{00000000-0005-0000-0000-0000491D0000}"/>
    <cellStyle name="Normal 2 2 10 2 24 5 9" xfId="7498" xr:uid="{00000000-0005-0000-0000-00004A1D0000}"/>
    <cellStyle name="Normal 2 2 10 2 24 6" xfId="7499" xr:uid="{00000000-0005-0000-0000-00004B1D0000}"/>
    <cellStyle name="Normal 2 2 10 2 24 7" xfId="7500" xr:uid="{00000000-0005-0000-0000-00004C1D0000}"/>
    <cellStyle name="Normal 2 2 10 2 24 8" xfId="7501" xr:uid="{00000000-0005-0000-0000-00004D1D0000}"/>
    <cellStyle name="Normal 2 2 10 2 24 9" xfId="7502" xr:uid="{00000000-0005-0000-0000-00004E1D0000}"/>
    <cellStyle name="Normal 2 2 10 2 25" xfId="7503" xr:uid="{00000000-0005-0000-0000-00004F1D0000}"/>
    <cellStyle name="Normal 2 2 10 2 25 10" xfId="7504" xr:uid="{00000000-0005-0000-0000-0000501D0000}"/>
    <cellStyle name="Normal 2 2 10 2 25 11" xfId="7505" xr:uid="{00000000-0005-0000-0000-0000511D0000}"/>
    <cellStyle name="Normal 2 2 10 2 25 12" xfId="7506" xr:uid="{00000000-0005-0000-0000-0000521D0000}"/>
    <cellStyle name="Normal 2 2 10 2 25 13" xfId="7507" xr:uid="{00000000-0005-0000-0000-0000531D0000}"/>
    <cellStyle name="Normal 2 2 10 2 25 14" xfId="7508" xr:uid="{00000000-0005-0000-0000-0000541D0000}"/>
    <cellStyle name="Normal 2 2 10 2 25 2" xfId="7509" xr:uid="{00000000-0005-0000-0000-0000551D0000}"/>
    <cellStyle name="Normal 2 2 10 2 25 2 10" xfId="7510" xr:uid="{00000000-0005-0000-0000-0000561D0000}"/>
    <cellStyle name="Normal 2 2 10 2 25 2 2" xfId="7511" xr:uid="{00000000-0005-0000-0000-0000571D0000}"/>
    <cellStyle name="Normal 2 2 10 2 25 2 3" xfId="7512" xr:uid="{00000000-0005-0000-0000-0000581D0000}"/>
    <cellStyle name="Normal 2 2 10 2 25 2 4" xfId="7513" xr:uid="{00000000-0005-0000-0000-0000591D0000}"/>
    <cellStyle name="Normal 2 2 10 2 25 2 5" xfId="7514" xr:uid="{00000000-0005-0000-0000-00005A1D0000}"/>
    <cellStyle name="Normal 2 2 10 2 25 2 6" xfId="7515" xr:uid="{00000000-0005-0000-0000-00005B1D0000}"/>
    <cellStyle name="Normal 2 2 10 2 25 2 7" xfId="7516" xr:uid="{00000000-0005-0000-0000-00005C1D0000}"/>
    <cellStyle name="Normal 2 2 10 2 25 2 8" xfId="7517" xr:uid="{00000000-0005-0000-0000-00005D1D0000}"/>
    <cellStyle name="Normal 2 2 10 2 25 2 9" xfId="7518" xr:uid="{00000000-0005-0000-0000-00005E1D0000}"/>
    <cellStyle name="Normal 2 2 10 2 25 3" xfId="7519" xr:uid="{00000000-0005-0000-0000-00005F1D0000}"/>
    <cellStyle name="Normal 2 2 10 2 25 3 10" xfId="7520" xr:uid="{00000000-0005-0000-0000-0000601D0000}"/>
    <cellStyle name="Normal 2 2 10 2 25 3 2" xfId="7521" xr:uid="{00000000-0005-0000-0000-0000611D0000}"/>
    <cellStyle name="Normal 2 2 10 2 25 3 3" xfId="7522" xr:uid="{00000000-0005-0000-0000-0000621D0000}"/>
    <cellStyle name="Normal 2 2 10 2 25 3 4" xfId="7523" xr:uid="{00000000-0005-0000-0000-0000631D0000}"/>
    <cellStyle name="Normal 2 2 10 2 25 3 5" xfId="7524" xr:uid="{00000000-0005-0000-0000-0000641D0000}"/>
    <cellStyle name="Normal 2 2 10 2 25 3 6" xfId="7525" xr:uid="{00000000-0005-0000-0000-0000651D0000}"/>
    <cellStyle name="Normal 2 2 10 2 25 3 7" xfId="7526" xr:uid="{00000000-0005-0000-0000-0000661D0000}"/>
    <cellStyle name="Normal 2 2 10 2 25 3 8" xfId="7527" xr:uid="{00000000-0005-0000-0000-0000671D0000}"/>
    <cellStyle name="Normal 2 2 10 2 25 3 9" xfId="7528" xr:uid="{00000000-0005-0000-0000-0000681D0000}"/>
    <cellStyle name="Normal 2 2 10 2 25 4" xfId="7529" xr:uid="{00000000-0005-0000-0000-0000691D0000}"/>
    <cellStyle name="Normal 2 2 10 2 25 4 10" xfId="7530" xr:uid="{00000000-0005-0000-0000-00006A1D0000}"/>
    <cellStyle name="Normal 2 2 10 2 25 4 2" xfId="7531" xr:uid="{00000000-0005-0000-0000-00006B1D0000}"/>
    <cellStyle name="Normal 2 2 10 2 25 4 3" xfId="7532" xr:uid="{00000000-0005-0000-0000-00006C1D0000}"/>
    <cellStyle name="Normal 2 2 10 2 25 4 4" xfId="7533" xr:uid="{00000000-0005-0000-0000-00006D1D0000}"/>
    <cellStyle name="Normal 2 2 10 2 25 4 5" xfId="7534" xr:uid="{00000000-0005-0000-0000-00006E1D0000}"/>
    <cellStyle name="Normal 2 2 10 2 25 4 6" xfId="7535" xr:uid="{00000000-0005-0000-0000-00006F1D0000}"/>
    <cellStyle name="Normal 2 2 10 2 25 4 7" xfId="7536" xr:uid="{00000000-0005-0000-0000-0000701D0000}"/>
    <cellStyle name="Normal 2 2 10 2 25 4 8" xfId="7537" xr:uid="{00000000-0005-0000-0000-0000711D0000}"/>
    <cellStyle name="Normal 2 2 10 2 25 4 9" xfId="7538" xr:uid="{00000000-0005-0000-0000-0000721D0000}"/>
    <cellStyle name="Normal 2 2 10 2 25 5" xfId="7539" xr:uid="{00000000-0005-0000-0000-0000731D0000}"/>
    <cellStyle name="Normal 2 2 10 2 25 5 10" xfId="7540" xr:uid="{00000000-0005-0000-0000-0000741D0000}"/>
    <cellStyle name="Normal 2 2 10 2 25 5 2" xfId="7541" xr:uid="{00000000-0005-0000-0000-0000751D0000}"/>
    <cellStyle name="Normal 2 2 10 2 25 5 3" xfId="7542" xr:uid="{00000000-0005-0000-0000-0000761D0000}"/>
    <cellStyle name="Normal 2 2 10 2 25 5 4" xfId="7543" xr:uid="{00000000-0005-0000-0000-0000771D0000}"/>
    <cellStyle name="Normal 2 2 10 2 25 5 5" xfId="7544" xr:uid="{00000000-0005-0000-0000-0000781D0000}"/>
    <cellStyle name="Normal 2 2 10 2 25 5 6" xfId="7545" xr:uid="{00000000-0005-0000-0000-0000791D0000}"/>
    <cellStyle name="Normal 2 2 10 2 25 5 7" xfId="7546" xr:uid="{00000000-0005-0000-0000-00007A1D0000}"/>
    <cellStyle name="Normal 2 2 10 2 25 5 8" xfId="7547" xr:uid="{00000000-0005-0000-0000-00007B1D0000}"/>
    <cellStyle name="Normal 2 2 10 2 25 5 9" xfId="7548" xr:uid="{00000000-0005-0000-0000-00007C1D0000}"/>
    <cellStyle name="Normal 2 2 10 2 25 6" xfId="7549" xr:uid="{00000000-0005-0000-0000-00007D1D0000}"/>
    <cellStyle name="Normal 2 2 10 2 25 7" xfId="7550" xr:uid="{00000000-0005-0000-0000-00007E1D0000}"/>
    <cellStyle name="Normal 2 2 10 2 25 8" xfId="7551" xr:uid="{00000000-0005-0000-0000-00007F1D0000}"/>
    <cellStyle name="Normal 2 2 10 2 25 9" xfId="7552" xr:uid="{00000000-0005-0000-0000-0000801D0000}"/>
    <cellStyle name="Normal 2 2 10 2 26" xfId="7553" xr:uid="{00000000-0005-0000-0000-0000811D0000}"/>
    <cellStyle name="Normal 2 2 10 2 26 10" xfId="7554" xr:uid="{00000000-0005-0000-0000-0000821D0000}"/>
    <cellStyle name="Normal 2 2 10 2 26 11" xfId="7555" xr:uid="{00000000-0005-0000-0000-0000831D0000}"/>
    <cellStyle name="Normal 2 2 10 2 26 12" xfId="7556" xr:uid="{00000000-0005-0000-0000-0000841D0000}"/>
    <cellStyle name="Normal 2 2 10 2 26 13" xfId="7557" xr:uid="{00000000-0005-0000-0000-0000851D0000}"/>
    <cellStyle name="Normal 2 2 10 2 26 14" xfId="7558" xr:uid="{00000000-0005-0000-0000-0000861D0000}"/>
    <cellStyle name="Normal 2 2 10 2 26 2" xfId="7559" xr:uid="{00000000-0005-0000-0000-0000871D0000}"/>
    <cellStyle name="Normal 2 2 10 2 26 2 10" xfId="7560" xr:uid="{00000000-0005-0000-0000-0000881D0000}"/>
    <cellStyle name="Normal 2 2 10 2 26 2 2" xfId="7561" xr:uid="{00000000-0005-0000-0000-0000891D0000}"/>
    <cellStyle name="Normal 2 2 10 2 26 2 3" xfId="7562" xr:uid="{00000000-0005-0000-0000-00008A1D0000}"/>
    <cellStyle name="Normal 2 2 10 2 26 2 4" xfId="7563" xr:uid="{00000000-0005-0000-0000-00008B1D0000}"/>
    <cellStyle name="Normal 2 2 10 2 26 2 5" xfId="7564" xr:uid="{00000000-0005-0000-0000-00008C1D0000}"/>
    <cellStyle name="Normal 2 2 10 2 26 2 6" xfId="7565" xr:uid="{00000000-0005-0000-0000-00008D1D0000}"/>
    <cellStyle name="Normal 2 2 10 2 26 2 7" xfId="7566" xr:uid="{00000000-0005-0000-0000-00008E1D0000}"/>
    <cellStyle name="Normal 2 2 10 2 26 2 8" xfId="7567" xr:uid="{00000000-0005-0000-0000-00008F1D0000}"/>
    <cellStyle name="Normal 2 2 10 2 26 2 9" xfId="7568" xr:uid="{00000000-0005-0000-0000-0000901D0000}"/>
    <cellStyle name="Normal 2 2 10 2 26 3" xfId="7569" xr:uid="{00000000-0005-0000-0000-0000911D0000}"/>
    <cellStyle name="Normal 2 2 10 2 26 3 10" xfId="7570" xr:uid="{00000000-0005-0000-0000-0000921D0000}"/>
    <cellStyle name="Normal 2 2 10 2 26 3 2" xfId="7571" xr:uid="{00000000-0005-0000-0000-0000931D0000}"/>
    <cellStyle name="Normal 2 2 10 2 26 3 3" xfId="7572" xr:uid="{00000000-0005-0000-0000-0000941D0000}"/>
    <cellStyle name="Normal 2 2 10 2 26 3 4" xfId="7573" xr:uid="{00000000-0005-0000-0000-0000951D0000}"/>
    <cellStyle name="Normal 2 2 10 2 26 3 5" xfId="7574" xr:uid="{00000000-0005-0000-0000-0000961D0000}"/>
    <cellStyle name="Normal 2 2 10 2 26 3 6" xfId="7575" xr:uid="{00000000-0005-0000-0000-0000971D0000}"/>
    <cellStyle name="Normal 2 2 10 2 26 3 7" xfId="7576" xr:uid="{00000000-0005-0000-0000-0000981D0000}"/>
    <cellStyle name="Normal 2 2 10 2 26 3 8" xfId="7577" xr:uid="{00000000-0005-0000-0000-0000991D0000}"/>
    <cellStyle name="Normal 2 2 10 2 26 3 9" xfId="7578" xr:uid="{00000000-0005-0000-0000-00009A1D0000}"/>
    <cellStyle name="Normal 2 2 10 2 26 4" xfId="7579" xr:uid="{00000000-0005-0000-0000-00009B1D0000}"/>
    <cellStyle name="Normal 2 2 10 2 26 4 10" xfId="7580" xr:uid="{00000000-0005-0000-0000-00009C1D0000}"/>
    <cellStyle name="Normal 2 2 10 2 26 4 2" xfId="7581" xr:uid="{00000000-0005-0000-0000-00009D1D0000}"/>
    <cellStyle name="Normal 2 2 10 2 26 4 3" xfId="7582" xr:uid="{00000000-0005-0000-0000-00009E1D0000}"/>
    <cellStyle name="Normal 2 2 10 2 26 4 4" xfId="7583" xr:uid="{00000000-0005-0000-0000-00009F1D0000}"/>
    <cellStyle name="Normal 2 2 10 2 26 4 5" xfId="7584" xr:uid="{00000000-0005-0000-0000-0000A01D0000}"/>
    <cellStyle name="Normal 2 2 10 2 26 4 6" xfId="7585" xr:uid="{00000000-0005-0000-0000-0000A11D0000}"/>
    <cellStyle name="Normal 2 2 10 2 26 4 7" xfId="7586" xr:uid="{00000000-0005-0000-0000-0000A21D0000}"/>
    <cellStyle name="Normal 2 2 10 2 26 4 8" xfId="7587" xr:uid="{00000000-0005-0000-0000-0000A31D0000}"/>
    <cellStyle name="Normal 2 2 10 2 26 4 9" xfId="7588" xr:uid="{00000000-0005-0000-0000-0000A41D0000}"/>
    <cellStyle name="Normal 2 2 10 2 26 5" xfId="7589" xr:uid="{00000000-0005-0000-0000-0000A51D0000}"/>
    <cellStyle name="Normal 2 2 10 2 26 5 10" xfId="7590" xr:uid="{00000000-0005-0000-0000-0000A61D0000}"/>
    <cellStyle name="Normal 2 2 10 2 26 5 2" xfId="7591" xr:uid="{00000000-0005-0000-0000-0000A71D0000}"/>
    <cellStyle name="Normal 2 2 10 2 26 5 3" xfId="7592" xr:uid="{00000000-0005-0000-0000-0000A81D0000}"/>
    <cellStyle name="Normal 2 2 10 2 26 5 4" xfId="7593" xr:uid="{00000000-0005-0000-0000-0000A91D0000}"/>
    <cellStyle name="Normal 2 2 10 2 26 5 5" xfId="7594" xr:uid="{00000000-0005-0000-0000-0000AA1D0000}"/>
    <cellStyle name="Normal 2 2 10 2 26 5 6" xfId="7595" xr:uid="{00000000-0005-0000-0000-0000AB1D0000}"/>
    <cellStyle name="Normal 2 2 10 2 26 5 7" xfId="7596" xr:uid="{00000000-0005-0000-0000-0000AC1D0000}"/>
    <cellStyle name="Normal 2 2 10 2 26 5 8" xfId="7597" xr:uid="{00000000-0005-0000-0000-0000AD1D0000}"/>
    <cellStyle name="Normal 2 2 10 2 26 5 9" xfId="7598" xr:uid="{00000000-0005-0000-0000-0000AE1D0000}"/>
    <cellStyle name="Normal 2 2 10 2 26 6" xfId="7599" xr:uid="{00000000-0005-0000-0000-0000AF1D0000}"/>
    <cellStyle name="Normal 2 2 10 2 26 7" xfId="7600" xr:uid="{00000000-0005-0000-0000-0000B01D0000}"/>
    <cellStyle name="Normal 2 2 10 2 26 8" xfId="7601" xr:uid="{00000000-0005-0000-0000-0000B11D0000}"/>
    <cellStyle name="Normal 2 2 10 2 26 9" xfId="7602" xr:uid="{00000000-0005-0000-0000-0000B21D0000}"/>
    <cellStyle name="Normal 2 2 10 2 27" xfId="7603" xr:uid="{00000000-0005-0000-0000-0000B31D0000}"/>
    <cellStyle name="Normal 2 2 10 2 27 10" xfId="7604" xr:uid="{00000000-0005-0000-0000-0000B41D0000}"/>
    <cellStyle name="Normal 2 2 10 2 27 11" xfId="7605" xr:uid="{00000000-0005-0000-0000-0000B51D0000}"/>
    <cellStyle name="Normal 2 2 10 2 27 12" xfId="7606" xr:uid="{00000000-0005-0000-0000-0000B61D0000}"/>
    <cellStyle name="Normal 2 2 10 2 27 13" xfId="7607" xr:uid="{00000000-0005-0000-0000-0000B71D0000}"/>
    <cellStyle name="Normal 2 2 10 2 27 14" xfId="7608" xr:uid="{00000000-0005-0000-0000-0000B81D0000}"/>
    <cellStyle name="Normal 2 2 10 2 27 2" xfId="7609" xr:uid="{00000000-0005-0000-0000-0000B91D0000}"/>
    <cellStyle name="Normal 2 2 10 2 27 2 10" xfId="7610" xr:uid="{00000000-0005-0000-0000-0000BA1D0000}"/>
    <cellStyle name="Normal 2 2 10 2 27 2 2" xfId="7611" xr:uid="{00000000-0005-0000-0000-0000BB1D0000}"/>
    <cellStyle name="Normal 2 2 10 2 27 2 3" xfId="7612" xr:uid="{00000000-0005-0000-0000-0000BC1D0000}"/>
    <cellStyle name="Normal 2 2 10 2 27 2 4" xfId="7613" xr:uid="{00000000-0005-0000-0000-0000BD1D0000}"/>
    <cellStyle name="Normal 2 2 10 2 27 2 5" xfId="7614" xr:uid="{00000000-0005-0000-0000-0000BE1D0000}"/>
    <cellStyle name="Normal 2 2 10 2 27 2 6" xfId="7615" xr:uid="{00000000-0005-0000-0000-0000BF1D0000}"/>
    <cellStyle name="Normal 2 2 10 2 27 2 7" xfId="7616" xr:uid="{00000000-0005-0000-0000-0000C01D0000}"/>
    <cellStyle name="Normal 2 2 10 2 27 2 8" xfId="7617" xr:uid="{00000000-0005-0000-0000-0000C11D0000}"/>
    <cellStyle name="Normal 2 2 10 2 27 2 9" xfId="7618" xr:uid="{00000000-0005-0000-0000-0000C21D0000}"/>
    <cellStyle name="Normal 2 2 10 2 27 3" xfId="7619" xr:uid="{00000000-0005-0000-0000-0000C31D0000}"/>
    <cellStyle name="Normal 2 2 10 2 27 3 10" xfId="7620" xr:uid="{00000000-0005-0000-0000-0000C41D0000}"/>
    <cellStyle name="Normal 2 2 10 2 27 3 2" xfId="7621" xr:uid="{00000000-0005-0000-0000-0000C51D0000}"/>
    <cellStyle name="Normal 2 2 10 2 27 3 3" xfId="7622" xr:uid="{00000000-0005-0000-0000-0000C61D0000}"/>
    <cellStyle name="Normal 2 2 10 2 27 3 4" xfId="7623" xr:uid="{00000000-0005-0000-0000-0000C71D0000}"/>
    <cellStyle name="Normal 2 2 10 2 27 3 5" xfId="7624" xr:uid="{00000000-0005-0000-0000-0000C81D0000}"/>
    <cellStyle name="Normal 2 2 10 2 27 3 6" xfId="7625" xr:uid="{00000000-0005-0000-0000-0000C91D0000}"/>
    <cellStyle name="Normal 2 2 10 2 27 3 7" xfId="7626" xr:uid="{00000000-0005-0000-0000-0000CA1D0000}"/>
    <cellStyle name="Normal 2 2 10 2 27 3 8" xfId="7627" xr:uid="{00000000-0005-0000-0000-0000CB1D0000}"/>
    <cellStyle name="Normal 2 2 10 2 27 3 9" xfId="7628" xr:uid="{00000000-0005-0000-0000-0000CC1D0000}"/>
    <cellStyle name="Normal 2 2 10 2 27 4" xfId="7629" xr:uid="{00000000-0005-0000-0000-0000CD1D0000}"/>
    <cellStyle name="Normal 2 2 10 2 27 4 10" xfId="7630" xr:uid="{00000000-0005-0000-0000-0000CE1D0000}"/>
    <cellStyle name="Normal 2 2 10 2 27 4 2" xfId="7631" xr:uid="{00000000-0005-0000-0000-0000CF1D0000}"/>
    <cellStyle name="Normal 2 2 10 2 27 4 3" xfId="7632" xr:uid="{00000000-0005-0000-0000-0000D01D0000}"/>
    <cellStyle name="Normal 2 2 10 2 27 4 4" xfId="7633" xr:uid="{00000000-0005-0000-0000-0000D11D0000}"/>
    <cellStyle name="Normal 2 2 10 2 27 4 5" xfId="7634" xr:uid="{00000000-0005-0000-0000-0000D21D0000}"/>
    <cellStyle name="Normal 2 2 10 2 27 4 6" xfId="7635" xr:uid="{00000000-0005-0000-0000-0000D31D0000}"/>
    <cellStyle name="Normal 2 2 10 2 27 4 7" xfId="7636" xr:uid="{00000000-0005-0000-0000-0000D41D0000}"/>
    <cellStyle name="Normal 2 2 10 2 27 4 8" xfId="7637" xr:uid="{00000000-0005-0000-0000-0000D51D0000}"/>
    <cellStyle name="Normal 2 2 10 2 27 4 9" xfId="7638" xr:uid="{00000000-0005-0000-0000-0000D61D0000}"/>
    <cellStyle name="Normal 2 2 10 2 27 5" xfId="7639" xr:uid="{00000000-0005-0000-0000-0000D71D0000}"/>
    <cellStyle name="Normal 2 2 10 2 27 5 10" xfId="7640" xr:uid="{00000000-0005-0000-0000-0000D81D0000}"/>
    <cellStyle name="Normal 2 2 10 2 27 5 2" xfId="7641" xr:uid="{00000000-0005-0000-0000-0000D91D0000}"/>
    <cellStyle name="Normal 2 2 10 2 27 5 3" xfId="7642" xr:uid="{00000000-0005-0000-0000-0000DA1D0000}"/>
    <cellStyle name="Normal 2 2 10 2 27 5 4" xfId="7643" xr:uid="{00000000-0005-0000-0000-0000DB1D0000}"/>
    <cellStyle name="Normal 2 2 10 2 27 5 5" xfId="7644" xr:uid="{00000000-0005-0000-0000-0000DC1D0000}"/>
    <cellStyle name="Normal 2 2 10 2 27 5 6" xfId="7645" xr:uid="{00000000-0005-0000-0000-0000DD1D0000}"/>
    <cellStyle name="Normal 2 2 10 2 27 5 7" xfId="7646" xr:uid="{00000000-0005-0000-0000-0000DE1D0000}"/>
    <cellStyle name="Normal 2 2 10 2 27 5 8" xfId="7647" xr:uid="{00000000-0005-0000-0000-0000DF1D0000}"/>
    <cellStyle name="Normal 2 2 10 2 27 5 9" xfId="7648" xr:uid="{00000000-0005-0000-0000-0000E01D0000}"/>
    <cellStyle name="Normal 2 2 10 2 27 6" xfId="7649" xr:uid="{00000000-0005-0000-0000-0000E11D0000}"/>
    <cellStyle name="Normal 2 2 10 2 27 7" xfId="7650" xr:uid="{00000000-0005-0000-0000-0000E21D0000}"/>
    <cellStyle name="Normal 2 2 10 2 27 8" xfId="7651" xr:uid="{00000000-0005-0000-0000-0000E31D0000}"/>
    <cellStyle name="Normal 2 2 10 2 27 9" xfId="7652" xr:uid="{00000000-0005-0000-0000-0000E41D0000}"/>
    <cellStyle name="Normal 2 2 10 2 28" xfId="7653" xr:uid="{00000000-0005-0000-0000-0000E51D0000}"/>
    <cellStyle name="Normal 2 2 10 2 28 10" xfId="7654" xr:uid="{00000000-0005-0000-0000-0000E61D0000}"/>
    <cellStyle name="Normal 2 2 10 2 28 11" xfId="7655" xr:uid="{00000000-0005-0000-0000-0000E71D0000}"/>
    <cellStyle name="Normal 2 2 10 2 28 12" xfId="7656" xr:uid="{00000000-0005-0000-0000-0000E81D0000}"/>
    <cellStyle name="Normal 2 2 10 2 28 13" xfId="7657" xr:uid="{00000000-0005-0000-0000-0000E91D0000}"/>
    <cellStyle name="Normal 2 2 10 2 28 14" xfId="7658" xr:uid="{00000000-0005-0000-0000-0000EA1D0000}"/>
    <cellStyle name="Normal 2 2 10 2 28 2" xfId="7659" xr:uid="{00000000-0005-0000-0000-0000EB1D0000}"/>
    <cellStyle name="Normal 2 2 10 2 28 2 10" xfId="7660" xr:uid="{00000000-0005-0000-0000-0000EC1D0000}"/>
    <cellStyle name="Normal 2 2 10 2 28 2 2" xfId="7661" xr:uid="{00000000-0005-0000-0000-0000ED1D0000}"/>
    <cellStyle name="Normal 2 2 10 2 28 2 3" xfId="7662" xr:uid="{00000000-0005-0000-0000-0000EE1D0000}"/>
    <cellStyle name="Normal 2 2 10 2 28 2 4" xfId="7663" xr:uid="{00000000-0005-0000-0000-0000EF1D0000}"/>
    <cellStyle name="Normal 2 2 10 2 28 2 5" xfId="7664" xr:uid="{00000000-0005-0000-0000-0000F01D0000}"/>
    <cellStyle name="Normal 2 2 10 2 28 2 6" xfId="7665" xr:uid="{00000000-0005-0000-0000-0000F11D0000}"/>
    <cellStyle name="Normal 2 2 10 2 28 2 7" xfId="7666" xr:uid="{00000000-0005-0000-0000-0000F21D0000}"/>
    <cellStyle name="Normal 2 2 10 2 28 2 8" xfId="7667" xr:uid="{00000000-0005-0000-0000-0000F31D0000}"/>
    <cellStyle name="Normal 2 2 10 2 28 2 9" xfId="7668" xr:uid="{00000000-0005-0000-0000-0000F41D0000}"/>
    <cellStyle name="Normal 2 2 10 2 28 3" xfId="7669" xr:uid="{00000000-0005-0000-0000-0000F51D0000}"/>
    <cellStyle name="Normal 2 2 10 2 28 3 10" xfId="7670" xr:uid="{00000000-0005-0000-0000-0000F61D0000}"/>
    <cellStyle name="Normal 2 2 10 2 28 3 2" xfId="7671" xr:uid="{00000000-0005-0000-0000-0000F71D0000}"/>
    <cellStyle name="Normal 2 2 10 2 28 3 3" xfId="7672" xr:uid="{00000000-0005-0000-0000-0000F81D0000}"/>
    <cellStyle name="Normal 2 2 10 2 28 3 4" xfId="7673" xr:uid="{00000000-0005-0000-0000-0000F91D0000}"/>
    <cellStyle name="Normal 2 2 10 2 28 3 5" xfId="7674" xr:uid="{00000000-0005-0000-0000-0000FA1D0000}"/>
    <cellStyle name="Normal 2 2 10 2 28 3 6" xfId="7675" xr:uid="{00000000-0005-0000-0000-0000FB1D0000}"/>
    <cellStyle name="Normal 2 2 10 2 28 3 7" xfId="7676" xr:uid="{00000000-0005-0000-0000-0000FC1D0000}"/>
    <cellStyle name="Normal 2 2 10 2 28 3 8" xfId="7677" xr:uid="{00000000-0005-0000-0000-0000FD1D0000}"/>
    <cellStyle name="Normal 2 2 10 2 28 3 9" xfId="7678" xr:uid="{00000000-0005-0000-0000-0000FE1D0000}"/>
    <cellStyle name="Normal 2 2 10 2 28 4" xfId="7679" xr:uid="{00000000-0005-0000-0000-0000FF1D0000}"/>
    <cellStyle name="Normal 2 2 10 2 28 4 10" xfId="7680" xr:uid="{00000000-0005-0000-0000-0000001E0000}"/>
    <cellStyle name="Normal 2 2 10 2 28 4 2" xfId="7681" xr:uid="{00000000-0005-0000-0000-0000011E0000}"/>
    <cellStyle name="Normal 2 2 10 2 28 4 3" xfId="7682" xr:uid="{00000000-0005-0000-0000-0000021E0000}"/>
    <cellStyle name="Normal 2 2 10 2 28 4 4" xfId="7683" xr:uid="{00000000-0005-0000-0000-0000031E0000}"/>
    <cellStyle name="Normal 2 2 10 2 28 4 5" xfId="7684" xr:uid="{00000000-0005-0000-0000-0000041E0000}"/>
    <cellStyle name="Normal 2 2 10 2 28 4 6" xfId="7685" xr:uid="{00000000-0005-0000-0000-0000051E0000}"/>
    <cellStyle name="Normal 2 2 10 2 28 4 7" xfId="7686" xr:uid="{00000000-0005-0000-0000-0000061E0000}"/>
    <cellStyle name="Normal 2 2 10 2 28 4 8" xfId="7687" xr:uid="{00000000-0005-0000-0000-0000071E0000}"/>
    <cellStyle name="Normal 2 2 10 2 28 4 9" xfId="7688" xr:uid="{00000000-0005-0000-0000-0000081E0000}"/>
    <cellStyle name="Normal 2 2 10 2 28 5" xfId="7689" xr:uid="{00000000-0005-0000-0000-0000091E0000}"/>
    <cellStyle name="Normal 2 2 10 2 28 5 10" xfId="7690" xr:uid="{00000000-0005-0000-0000-00000A1E0000}"/>
    <cellStyle name="Normal 2 2 10 2 28 5 2" xfId="7691" xr:uid="{00000000-0005-0000-0000-00000B1E0000}"/>
    <cellStyle name="Normal 2 2 10 2 28 5 3" xfId="7692" xr:uid="{00000000-0005-0000-0000-00000C1E0000}"/>
    <cellStyle name="Normal 2 2 10 2 28 5 4" xfId="7693" xr:uid="{00000000-0005-0000-0000-00000D1E0000}"/>
    <cellStyle name="Normal 2 2 10 2 28 5 5" xfId="7694" xr:uid="{00000000-0005-0000-0000-00000E1E0000}"/>
    <cellStyle name="Normal 2 2 10 2 28 5 6" xfId="7695" xr:uid="{00000000-0005-0000-0000-00000F1E0000}"/>
    <cellStyle name="Normal 2 2 10 2 28 5 7" xfId="7696" xr:uid="{00000000-0005-0000-0000-0000101E0000}"/>
    <cellStyle name="Normal 2 2 10 2 28 5 8" xfId="7697" xr:uid="{00000000-0005-0000-0000-0000111E0000}"/>
    <cellStyle name="Normal 2 2 10 2 28 5 9" xfId="7698" xr:uid="{00000000-0005-0000-0000-0000121E0000}"/>
    <cellStyle name="Normal 2 2 10 2 28 6" xfId="7699" xr:uid="{00000000-0005-0000-0000-0000131E0000}"/>
    <cellStyle name="Normal 2 2 10 2 28 7" xfId="7700" xr:uid="{00000000-0005-0000-0000-0000141E0000}"/>
    <cellStyle name="Normal 2 2 10 2 28 8" xfId="7701" xr:uid="{00000000-0005-0000-0000-0000151E0000}"/>
    <cellStyle name="Normal 2 2 10 2 28 9" xfId="7702" xr:uid="{00000000-0005-0000-0000-0000161E0000}"/>
    <cellStyle name="Normal 2 2 10 2 29" xfId="7703" xr:uid="{00000000-0005-0000-0000-0000171E0000}"/>
    <cellStyle name="Normal 2 2 10 2 29 10" xfId="7704" xr:uid="{00000000-0005-0000-0000-0000181E0000}"/>
    <cellStyle name="Normal 2 2 10 2 29 11" xfId="7705" xr:uid="{00000000-0005-0000-0000-0000191E0000}"/>
    <cellStyle name="Normal 2 2 10 2 29 12" xfId="7706" xr:uid="{00000000-0005-0000-0000-00001A1E0000}"/>
    <cellStyle name="Normal 2 2 10 2 29 13" xfId="7707" xr:uid="{00000000-0005-0000-0000-00001B1E0000}"/>
    <cellStyle name="Normal 2 2 10 2 29 14" xfId="7708" xr:uid="{00000000-0005-0000-0000-00001C1E0000}"/>
    <cellStyle name="Normal 2 2 10 2 29 2" xfId="7709" xr:uid="{00000000-0005-0000-0000-00001D1E0000}"/>
    <cellStyle name="Normal 2 2 10 2 29 2 10" xfId="7710" xr:uid="{00000000-0005-0000-0000-00001E1E0000}"/>
    <cellStyle name="Normal 2 2 10 2 29 2 2" xfId="7711" xr:uid="{00000000-0005-0000-0000-00001F1E0000}"/>
    <cellStyle name="Normal 2 2 10 2 29 2 3" xfId="7712" xr:uid="{00000000-0005-0000-0000-0000201E0000}"/>
    <cellStyle name="Normal 2 2 10 2 29 2 4" xfId="7713" xr:uid="{00000000-0005-0000-0000-0000211E0000}"/>
    <cellStyle name="Normal 2 2 10 2 29 2 5" xfId="7714" xr:uid="{00000000-0005-0000-0000-0000221E0000}"/>
    <cellStyle name="Normal 2 2 10 2 29 2 6" xfId="7715" xr:uid="{00000000-0005-0000-0000-0000231E0000}"/>
    <cellStyle name="Normal 2 2 10 2 29 2 7" xfId="7716" xr:uid="{00000000-0005-0000-0000-0000241E0000}"/>
    <cellStyle name="Normal 2 2 10 2 29 2 8" xfId="7717" xr:uid="{00000000-0005-0000-0000-0000251E0000}"/>
    <cellStyle name="Normal 2 2 10 2 29 2 9" xfId="7718" xr:uid="{00000000-0005-0000-0000-0000261E0000}"/>
    <cellStyle name="Normal 2 2 10 2 29 3" xfId="7719" xr:uid="{00000000-0005-0000-0000-0000271E0000}"/>
    <cellStyle name="Normal 2 2 10 2 29 3 10" xfId="7720" xr:uid="{00000000-0005-0000-0000-0000281E0000}"/>
    <cellStyle name="Normal 2 2 10 2 29 3 2" xfId="7721" xr:uid="{00000000-0005-0000-0000-0000291E0000}"/>
    <cellStyle name="Normal 2 2 10 2 29 3 3" xfId="7722" xr:uid="{00000000-0005-0000-0000-00002A1E0000}"/>
    <cellStyle name="Normal 2 2 10 2 29 3 4" xfId="7723" xr:uid="{00000000-0005-0000-0000-00002B1E0000}"/>
    <cellStyle name="Normal 2 2 10 2 29 3 5" xfId="7724" xr:uid="{00000000-0005-0000-0000-00002C1E0000}"/>
    <cellStyle name="Normal 2 2 10 2 29 3 6" xfId="7725" xr:uid="{00000000-0005-0000-0000-00002D1E0000}"/>
    <cellStyle name="Normal 2 2 10 2 29 3 7" xfId="7726" xr:uid="{00000000-0005-0000-0000-00002E1E0000}"/>
    <cellStyle name="Normal 2 2 10 2 29 3 8" xfId="7727" xr:uid="{00000000-0005-0000-0000-00002F1E0000}"/>
    <cellStyle name="Normal 2 2 10 2 29 3 9" xfId="7728" xr:uid="{00000000-0005-0000-0000-0000301E0000}"/>
    <cellStyle name="Normal 2 2 10 2 29 4" xfId="7729" xr:uid="{00000000-0005-0000-0000-0000311E0000}"/>
    <cellStyle name="Normal 2 2 10 2 29 4 10" xfId="7730" xr:uid="{00000000-0005-0000-0000-0000321E0000}"/>
    <cellStyle name="Normal 2 2 10 2 29 4 2" xfId="7731" xr:uid="{00000000-0005-0000-0000-0000331E0000}"/>
    <cellStyle name="Normal 2 2 10 2 29 4 3" xfId="7732" xr:uid="{00000000-0005-0000-0000-0000341E0000}"/>
    <cellStyle name="Normal 2 2 10 2 29 4 4" xfId="7733" xr:uid="{00000000-0005-0000-0000-0000351E0000}"/>
    <cellStyle name="Normal 2 2 10 2 29 4 5" xfId="7734" xr:uid="{00000000-0005-0000-0000-0000361E0000}"/>
    <cellStyle name="Normal 2 2 10 2 29 4 6" xfId="7735" xr:uid="{00000000-0005-0000-0000-0000371E0000}"/>
    <cellStyle name="Normal 2 2 10 2 29 4 7" xfId="7736" xr:uid="{00000000-0005-0000-0000-0000381E0000}"/>
    <cellStyle name="Normal 2 2 10 2 29 4 8" xfId="7737" xr:uid="{00000000-0005-0000-0000-0000391E0000}"/>
    <cellStyle name="Normal 2 2 10 2 29 4 9" xfId="7738" xr:uid="{00000000-0005-0000-0000-00003A1E0000}"/>
    <cellStyle name="Normal 2 2 10 2 29 5" xfId="7739" xr:uid="{00000000-0005-0000-0000-00003B1E0000}"/>
    <cellStyle name="Normal 2 2 10 2 29 5 10" xfId="7740" xr:uid="{00000000-0005-0000-0000-00003C1E0000}"/>
    <cellStyle name="Normal 2 2 10 2 29 5 2" xfId="7741" xr:uid="{00000000-0005-0000-0000-00003D1E0000}"/>
    <cellStyle name="Normal 2 2 10 2 29 5 3" xfId="7742" xr:uid="{00000000-0005-0000-0000-00003E1E0000}"/>
    <cellStyle name="Normal 2 2 10 2 29 5 4" xfId="7743" xr:uid="{00000000-0005-0000-0000-00003F1E0000}"/>
    <cellStyle name="Normal 2 2 10 2 29 5 5" xfId="7744" xr:uid="{00000000-0005-0000-0000-0000401E0000}"/>
    <cellStyle name="Normal 2 2 10 2 29 5 6" xfId="7745" xr:uid="{00000000-0005-0000-0000-0000411E0000}"/>
    <cellStyle name="Normal 2 2 10 2 29 5 7" xfId="7746" xr:uid="{00000000-0005-0000-0000-0000421E0000}"/>
    <cellStyle name="Normal 2 2 10 2 29 5 8" xfId="7747" xr:uid="{00000000-0005-0000-0000-0000431E0000}"/>
    <cellStyle name="Normal 2 2 10 2 29 5 9" xfId="7748" xr:uid="{00000000-0005-0000-0000-0000441E0000}"/>
    <cellStyle name="Normal 2 2 10 2 29 6" xfId="7749" xr:uid="{00000000-0005-0000-0000-0000451E0000}"/>
    <cellStyle name="Normal 2 2 10 2 29 7" xfId="7750" xr:uid="{00000000-0005-0000-0000-0000461E0000}"/>
    <cellStyle name="Normal 2 2 10 2 29 8" xfId="7751" xr:uid="{00000000-0005-0000-0000-0000471E0000}"/>
    <cellStyle name="Normal 2 2 10 2 29 9" xfId="7752" xr:uid="{00000000-0005-0000-0000-0000481E0000}"/>
    <cellStyle name="Normal 2 2 10 2 3" xfId="7753" xr:uid="{00000000-0005-0000-0000-0000491E0000}"/>
    <cellStyle name="Normal 2 2 10 2 3 10" xfId="7754" xr:uid="{00000000-0005-0000-0000-00004A1E0000}"/>
    <cellStyle name="Normal 2 2 10 2 3 11" xfId="7755" xr:uid="{00000000-0005-0000-0000-00004B1E0000}"/>
    <cellStyle name="Normal 2 2 10 2 3 12" xfId="7756" xr:uid="{00000000-0005-0000-0000-00004C1E0000}"/>
    <cellStyle name="Normal 2 2 10 2 3 13" xfId="7757" xr:uid="{00000000-0005-0000-0000-00004D1E0000}"/>
    <cellStyle name="Normal 2 2 10 2 3 14" xfId="7758" xr:uid="{00000000-0005-0000-0000-00004E1E0000}"/>
    <cellStyle name="Normal 2 2 10 2 3 2" xfId="7759" xr:uid="{00000000-0005-0000-0000-00004F1E0000}"/>
    <cellStyle name="Normal 2 2 10 2 3 2 10" xfId="7760" xr:uid="{00000000-0005-0000-0000-0000501E0000}"/>
    <cellStyle name="Normal 2 2 10 2 3 2 2" xfId="7761" xr:uid="{00000000-0005-0000-0000-0000511E0000}"/>
    <cellStyle name="Normal 2 2 10 2 3 2 3" xfId="7762" xr:uid="{00000000-0005-0000-0000-0000521E0000}"/>
    <cellStyle name="Normal 2 2 10 2 3 2 4" xfId="7763" xr:uid="{00000000-0005-0000-0000-0000531E0000}"/>
    <cellStyle name="Normal 2 2 10 2 3 2 5" xfId="7764" xr:uid="{00000000-0005-0000-0000-0000541E0000}"/>
    <cellStyle name="Normal 2 2 10 2 3 2 6" xfId="7765" xr:uid="{00000000-0005-0000-0000-0000551E0000}"/>
    <cellStyle name="Normal 2 2 10 2 3 2 7" xfId="7766" xr:uid="{00000000-0005-0000-0000-0000561E0000}"/>
    <cellStyle name="Normal 2 2 10 2 3 2 8" xfId="7767" xr:uid="{00000000-0005-0000-0000-0000571E0000}"/>
    <cellStyle name="Normal 2 2 10 2 3 2 9" xfId="7768" xr:uid="{00000000-0005-0000-0000-0000581E0000}"/>
    <cellStyle name="Normal 2 2 10 2 3 3" xfId="7769" xr:uid="{00000000-0005-0000-0000-0000591E0000}"/>
    <cellStyle name="Normal 2 2 10 2 3 3 10" xfId="7770" xr:uid="{00000000-0005-0000-0000-00005A1E0000}"/>
    <cellStyle name="Normal 2 2 10 2 3 3 2" xfId="7771" xr:uid="{00000000-0005-0000-0000-00005B1E0000}"/>
    <cellStyle name="Normal 2 2 10 2 3 3 3" xfId="7772" xr:uid="{00000000-0005-0000-0000-00005C1E0000}"/>
    <cellStyle name="Normal 2 2 10 2 3 3 4" xfId="7773" xr:uid="{00000000-0005-0000-0000-00005D1E0000}"/>
    <cellStyle name="Normal 2 2 10 2 3 3 5" xfId="7774" xr:uid="{00000000-0005-0000-0000-00005E1E0000}"/>
    <cellStyle name="Normal 2 2 10 2 3 3 6" xfId="7775" xr:uid="{00000000-0005-0000-0000-00005F1E0000}"/>
    <cellStyle name="Normal 2 2 10 2 3 3 7" xfId="7776" xr:uid="{00000000-0005-0000-0000-0000601E0000}"/>
    <cellStyle name="Normal 2 2 10 2 3 3 8" xfId="7777" xr:uid="{00000000-0005-0000-0000-0000611E0000}"/>
    <cellStyle name="Normal 2 2 10 2 3 3 9" xfId="7778" xr:uid="{00000000-0005-0000-0000-0000621E0000}"/>
    <cellStyle name="Normal 2 2 10 2 3 4" xfId="7779" xr:uid="{00000000-0005-0000-0000-0000631E0000}"/>
    <cellStyle name="Normal 2 2 10 2 3 4 10" xfId="7780" xr:uid="{00000000-0005-0000-0000-0000641E0000}"/>
    <cellStyle name="Normal 2 2 10 2 3 4 2" xfId="7781" xr:uid="{00000000-0005-0000-0000-0000651E0000}"/>
    <cellStyle name="Normal 2 2 10 2 3 4 3" xfId="7782" xr:uid="{00000000-0005-0000-0000-0000661E0000}"/>
    <cellStyle name="Normal 2 2 10 2 3 4 4" xfId="7783" xr:uid="{00000000-0005-0000-0000-0000671E0000}"/>
    <cellStyle name="Normal 2 2 10 2 3 4 5" xfId="7784" xr:uid="{00000000-0005-0000-0000-0000681E0000}"/>
    <cellStyle name="Normal 2 2 10 2 3 4 6" xfId="7785" xr:uid="{00000000-0005-0000-0000-0000691E0000}"/>
    <cellStyle name="Normal 2 2 10 2 3 4 7" xfId="7786" xr:uid="{00000000-0005-0000-0000-00006A1E0000}"/>
    <cellStyle name="Normal 2 2 10 2 3 4 8" xfId="7787" xr:uid="{00000000-0005-0000-0000-00006B1E0000}"/>
    <cellStyle name="Normal 2 2 10 2 3 4 9" xfId="7788" xr:uid="{00000000-0005-0000-0000-00006C1E0000}"/>
    <cellStyle name="Normal 2 2 10 2 3 5" xfId="7789" xr:uid="{00000000-0005-0000-0000-00006D1E0000}"/>
    <cellStyle name="Normal 2 2 10 2 3 5 10" xfId="7790" xr:uid="{00000000-0005-0000-0000-00006E1E0000}"/>
    <cellStyle name="Normal 2 2 10 2 3 5 2" xfId="7791" xr:uid="{00000000-0005-0000-0000-00006F1E0000}"/>
    <cellStyle name="Normal 2 2 10 2 3 5 3" xfId="7792" xr:uid="{00000000-0005-0000-0000-0000701E0000}"/>
    <cellStyle name="Normal 2 2 10 2 3 5 4" xfId="7793" xr:uid="{00000000-0005-0000-0000-0000711E0000}"/>
    <cellStyle name="Normal 2 2 10 2 3 5 5" xfId="7794" xr:uid="{00000000-0005-0000-0000-0000721E0000}"/>
    <cellStyle name="Normal 2 2 10 2 3 5 6" xfId="7795" xr:uid="{00000000-0005-0000-0000-0000731E0000}"/>
    <cellStyle name="Normal 2 2 10 2 3 5 7" xfId="7796" xr:uid="{00000000-0005-0000-0000-0000741E0000}"/>
    <cellStyle name="Normal 2 2 10 2 3 5 8" xfId="7797" xr:uid="{00000000-0005-0000-0000-0000751E0000}"/>
    <cellStyle name="Normal 2 2 10 2 3 5 9" xfId="7798" xr:uid="{00000000-0005-0000-0000-0000761E0000}"/>
    <cellStyle name="Normal 2 2 10 2 3 6" xfId="7799" xr:uid="{00000000-0005-0000-0000-0000771E0000}"/>
    <cellStyle name="Normal 2 2 10 2 3 7" xfId="7800" xr:uid="{00000000-0005-0000-0000-0000781E0000}"/>
    <cellStyle name="Normal 2 2 10 2 3 8" xfId="7801" xr:uid="{00000000-0005-0000-0000-0000791E0000}"/>
    <cellStyle name="Normal 2 2 10 2 3 9" xfId="7802" xr:uid="{00000000-0005-0000-0000-00007A1E0000}"/>
    <cellStyle name="Normal 2 2 10 2 30" xfId="7803" xr:uid="{00000000-0005-0000-0000-00007B1E0000}"/>
    <cellStyle name="Normal 2 2 10 2 30 10" xfId="7804" xr:uid="{00000000-0005-0000-0000-00007C1E0000}"/>
    <cellStyle name="Normal 2 2 10 2 30 11" xfId="7805" xr:uid="{00000000-0005-0000-0000-00007D1E0000}"/>
    <cellStyle name="Normal 2 2 10 2 30 12" xfId="7806" xr:uid="{00000000-0005-0000-0000-00007E1E0000}"/>
    <cellStyle name="Normal 2 2 10 2 30 13" xfId="7807" xr:uid="{00000000-0005-0000-0000-00007F1E0000}"/>
    <cellStyle name="Normal 2 2 10 2 30 14" xfId="7808" xr:uid="{00000000-0005-0000-0000-0000801E0000}"/>
    <cellStyle name="Normal 2 2 10 2 30 2" xfId="7809" xr:uid="{00000000-0005-0000-0000-0000811E0000}"/>
    <cellStyle name="Normal 2 2 10 2 30 2 10" xfId="7810" xr:uid="{00000000-0005-0000-0000-0000821E0000}"/>
    <cellStyle name="Normal 2 2 10 2 30 2 2" xfId="7811" xr:uid="{00000000-0005-0000-0000-0000831E0000}"/>
    <cellStyle name="Normal 2 2 10 2 30 2 3" xfId="7812" xr:uid="{00000000-0005-0000-0000-0000841E0000}"/>
    <cellStyle name="Normal 2 2 10 2 30 2 4" xfId="7813" xr:uid="{00000000-0005-0000-0000-0000851E0000}"/>
    <cellStyle name="Normal 2 2 10 2 30 2 5" xfId="7814" xr:uid="{00000000-0005-0000-0000-0000861E0000}"/>
    <cellStyle name="Normal 2 2 10 2 30 2 6" xfId="7815" xr:uid="{00000000-0005-0000-0000-0000871E0000}"/>
    <cellStyle name="Normal 2 2 10 2 30 2 7" xfId="7816" xr:uid="{00000000-0005-0000-0000-0000881E0000}"/>
    <cellStyle name="Normal 2 2 10 2 30 2 8" xfId="7817" xr:uid="{00000000-0005-0000-0000-0000891E0000}"/>
    <cellStyle name="Normal 2 2 10 2 30 2 9" xfId="7818" xr:uid="{00000000-0005-0000-0000-00008A1E0000}"/>
    <cellStyle name="Normal 2 2 10 2 30 3" xfId="7819" xr:uid="{00000000-0005-0000-0000-00008B1E0000}"/>
    <cellStyle name="Normal 2 2 10 2 30 3 10" xfId="7820" xr:uid="{00000000-0005-0000-0000-00008C1E0000}"/>
    <cellStyle name="Normal 2 2 10 2 30 3 2" xfId="7821" xr:uid="{00000000-0005-0000-0000-00008D1E0000}"/>
    <cellStyle name="Normal 2 2 10 2 30 3 3" xfId="7822" xr:uid="{00000000-0005-0000-0000-00008E1E0000}"/>
    <cellStyle name="Normal 2 2 10 2 30 3 4" xfId="7823" xr:uid="{00000000-0005-0000-0000-00008F1E0000}"/>
    <cellStyle name="Normal 2 2 10 2 30 3 5" xfId="7824" xr:uid="{00000000-0005-0000-0000-0000901E0000}"/>
    <cellStyle name="Normal 2 2 10 2 30 3 6" xfId="7825" xr:uid="{00000000-0005-0000-0000-0000911E0000}"/>
    <cellStyle name="Normal 2 2 10 2 30 3 7" xfId="7826" xr:uid="{00000000-0005-0000-0000-0000921E0000}"/>
    <cellStyle name="Normal 2 2 10 2 30 3 8" xfId="7827" xr:uid="{00000000-0005-0000-0000-0000931E0000}"/>
    <cellStyle name="Normal 2 2 10 2 30 3 9" xfId="7828" xr:uid="{00000000-0005-0000-0000-0000941E0000}"/>
    <cellStyle name="Normal 2 2 10 2 30 4" xfId="7829" xr:uid="{00000000-0005-0000-0000-0000951E0000}"/>
    <cellStyle name="Normal 2 2 10 2 30 4 10" xfId="7830" xr:uid="{00000000-0005-0000-0000-0000961E0000}"/>
    <cellStyle name="Normal 2 2 10 2 30 4 2" xfId="7831" xr:uid="{00000000-0005-0000-0000-0000971E0000}"/>
    <cellStyle name="Normal 2 2 10 2 30 4 3" xfId="7832" xr:uid="{00000000-0005-0000-0000-0000981E0000}"/>
    <cellStyle name="Normal 2 2 10 2 30 4 4" xfId="7833" xr:uid="{00000000-0005-0000-0000-0000991E0000}"/>
    <cellStyle name="Normal 2 2 10 2 30 4 5" xfId="7834" xr:uid="{00000000-0005-0000-0000-00009A1E0000}"/>
    <cellStyle name="Normal 2 2 10 2 30 4 6" xfId="7835" xr:uid="{00000000-0005-0000-0000-00009B1E0000}"/>
    <cellStyle name="Normal 2 2 10 2 30 4 7" xfId="7836" xr:uid="{00000000-0005-0000-0000-00009C1E0000}"/>
    <cellStyle name="Normal 2 2 10 2 30 4 8" xfId="7837" xr:uid="{00000000-0005-0000-0000-00009D1E0000}"/>
    <cellStyle name="Normal 2 2 10 2 30 4 9" xfId="7838" xr:uid="{00000000-0005-0000-0000-00009E1E0000}"/>
    <cellStyle name="Normal 2 2 10 2 30 5" xfId="7839" xr:uid="{00000000-0005-0000-0000-00009F1E0000}"/>
    <cellStyle name="Normal 2 2 10 2 30 5 10" xfId="7840" xr:uid="{00000000-0005-0000-0000-0000A01E0000}"/>
    <cellStyle name="Normal 2 2 10 2 30 5 2" xfId="7841" xr:uid="{00000000-0005-0000-0000-0000A11E0000}"/>
    <cellStyle name="Normal 2 2 10 2 30 5 3" xfId="7842" xr:uid="{00000000-0005-0000-0000-0000A21E0000}"/>
    <cellStyle name="Normal 2 2 10 2 30 5 4" xfId="7843" xr:uid="{00000000-0005-0000-0000-0000A31E0000}"/>
    <cellStyle name="Normal 2 2 10 2 30 5 5" xfId="7844" xr:uid="{00000000-0005-0000-0000-0000A41E0000}"/>
    <cellStyle name="Normal 2 2 10 2 30 5 6" xfId="7845" xr:uid="{00000000-0005-0000-0000-0000A51E0000}"/>
    <cellStyle name="Normal 2 2 10 2 30 5 7" xfId="7846" xr:uid="{00000000-0005-0000-0000-0000A61E0000}"/>
    <cellStyle name="Normal 2 2 10 2 30 5 8" xfId="7847" xr:uid="{00000000-0005-0000-0000-0000A71E0000}"/>
    <cellStyle name="Normal 2 2 10 2 30 5 9" xfId="7848" xr:uid="{00000000-0005-0000-0000-0000A81E0000}"/>
    <cellStyle name="Normal 2 2 10 2 30 6" xfId="7849" xr:uid="{00000000-0005-0000-0000-0000A91E0000}"/>
    <cellStyle name="Normal 2 2 10 2 30 7" xfId="7850" xr:uid="{00000000-0005-0000-0000-0000AA1E0000}"/>
    <cellStyle name="Normal 2 2 10 2 30 8" xfId="7851" xr:uid="{00000000-0005-0000-0000-0000AB1E0000}"/>
    <cellStyle name="Normal 2 2 10 2 30 9" xfId="7852" xr:uid="{00000000-0005-0000-0000-0000AC1E0000}"/>
    <cellStyle name="Normal 2 2 10 2 31" xfId="7853" xr:uid="{00000000-0005-0000-0000-0000AD1E0000}"/>
    <cellStyle name="Normal 2 2 10 2 31 10" xfId="7854" xr:uid="{00000000-0005-0000-0000-0000AE1E0000}"/>
    <cellStyle name="Normal 2 2 10 2 31 11" xfId="7855" xr:uid="{00000000-0005-0000-0000-0000AF1E0000}"/>
    <cellStyle name="Normal 2 2 10 2 31 12" xfId="7856" xr:uid="{00000000-0005-0000-0000-0000B01E0000}"/>
    <cellStyle name="Normal 2 2 10 2 31 13" xfId="7857" xr:uid="{00000000-0005-0000-0000-0000B11E0000}"/>
    <cellStyle name="Normal 2 2 10 2 31 14" xfId="7858" xr:uid="{00000000-0005-0000-0000-0000B21E0000}"/>
    <cellStyle name="Normal 2 2 10 2 31 2" xfId="7859" xr:uid="{00000000-0005-0000-0000-0000B31E0000}"/>
    <cellStyle name="Normal 2 2 10 2 31 2 10" xfId="7860" xr:uid="{00000000-0005-0000-0000-0000B41E0000}"/>
    <cellStyle name="Normal 2 2 10 2 31 2 2" xfId="7861" xr:uid="{00000000-0005-0000-0000-0000B51E0000}"/>
    <cellStyle name="Normal 2 2 10 2 31 2 3" xfId="7862" xr:uid="{00000000-0005-0000-0000-0000B61E0000}"/>
    <cellStyle name="Normal 2 2 10 2 31 2 4" xfId="7863" xr:uid="{00000000-0005-0000-0000-0000B71E0000}"/>
    <cellStyle name="Normal 2 2 10 2 31 2 5" xfId="7864" xr:uid="{00000000-0005-0000-0000-0000B81E0000}"/>
    <cellStyle name="Normal 2 2 10 2 31 2 6" xfId="7865" xr:uid="{00000000-0005-0000-0000-0000B91E0000}"/>
    <cellStyle name="Normal 2 2 10 2 31 2 7" xfId="7866" xr:uid="{00000000-0005-0000-0000-0000BA1E0000}"/>
    <cellStyle name="Normal 2 2 10 2 31 2 8" xfId="7867" xr:uid="{00000000-0005-0000-0000-0000BB1E0000}"/>
    <cellStyle name="Normal 2 2 10 2 31 2 9" xfId="7868" xr:uid="{00000000-0005-0000-0000-0000BC1E0000}"/>
    <cellStyle name="Normal 2 2 10 2 31 3" xfId="7869" xr:uid="{00000000-0005-0000-0000-0000BD1E0000}"/>
    <cellStyle name="Normal 2 2 10 2 31 3 10" xfId="7870" xr:uid="{00000000-0005-0000-0000-0000BE1E0000}"/>
    <cellStyle name="Normal 2 2 10 2 31 3 2" xfId="7871" xr:uid="{00000000-0005-0000-0000-0000BF1E0000}"/>
    <cellStyle name="Normal 2 2 10 2 31 3 3" xfId="7872" xr:uid="{00000000-0005-0000-0000-0000C01E0000}"/>
    <cellStyle name="Normal 2 2 10 2 31 3 4" xfId="7873" xr:uid="{00000000-0005-0000-0000-0000C11E0000}"/>
    <cellStyle name="Normal 2 2 10 2 31 3 5" xfId="7874" xr:uid="{00000000-0005-0000-0000-0000C21E0000}"/>
    <cellStyle name="Normal 2 2 10 2 31 3 6" xfId="7875" xr:uid="{00000000-0005-0000-0000-0000C31E0000}"/>
    <cellStyle name="Normal 2 2 10 2 31 3 7" xfId="7876" xr:uid="{00000000-0005-0000-0000-0000C41E0000}"/>
    <cellStyle name="Normal 2 2 10 2 31 3 8" xfId="7877" xr:uid="{00000000-0005-0000-0000-0000C51E0000}"/>
    <cellStyle name="Normal 2 2 10 2 31 3 9" xfId="7878" xr:uid="{00000000-0005-0000-0000-0000C61E0000}"/>
    <cellStyle name="Normal 2 2 10 2 31 4" xfId="7879" xr:uid="{00000000-0005-0000-0000-0000C71E0000}"/>
    <cellStyle name="Normal 2 2 10 2 31 4 10" xfId="7880" xr:uid="{00000000-0005-0000-0000-0000C81E0000}"/>
    <cellStyle name="Normal 2 2 10 2 31 4 2" xfId="7881" xr:uid="{00000000-0005-0000-0000-0000C91E0000}"/>
    <cellStyle name="Normal 2 2 10 2 31 4 3" xfId="7882" xr:uid="{00000000-0005-0000-0000-0000CA1E0000}"/>
    <cellStyle name="Normal 2 2 10 2 31 4 4" xfId="7883" xr:uid="{00000000-0005-0000-0000-0000CB1E0000}"/>
    <cellStyle name="Normal 2 2 10 2 31 4 5" xfId="7884" xr:uid="{00000000-0005-0000-0000-0000CC1E0000}"/>
    <cellStyle name="Normal 2 2 10 2 31 4 6" xfId="7885" xr:uid="{00000000-0005-0000-0000-0000CD1E0000}"/>
    <cellStyle name="Normal 2 2 10 2 31 4 7" xfId="7886" xr:uid="{00000000-0005-0000-0000-0000CE1E0000}"/>
    <cellStyle name="Normal 2 2 10 2 31 4 8" xfId="7887" xr:uid="{00000000-0005-0000-0000-0000CF1E0000}"/>
    <cellStyle name="Normal 2 2 10 2 31 4 9" xfId="7888" xr:uid="{00000000-0005-0000-0000-0000D01E0000}"/>
    <cellStyle name="Normal 2 2 10 2 31 5" xfId="7889" xr:uid="{00000000-0005-0000-0000-0000D11E0000}"/>
    <cellStyle name="Normal 2 2 10 2 31 5 10" xfId="7890" xr:uid="{00000000-0005-0000-0000-0000D21E0000}"/>
    <cellStyle name="Normal 2 2 10 2 31 5 2" xfId="7891" xr:uid="{00000000-0005-0000-0000-0000D31E0000}"/>
    <cellStyle name="Normal 2 2 10 2 31 5 3" xfId="7892" xr:uid="{00000000-0005-0000-0000-0000D41E0000}"/>
    <cellStyle name="Normal 2 2 10 2 31 5 4" xfId="7893" xr:uid="{00000000-0005-0000-0000-0000D51E0000}"/>
    <cellStyle name="Normal 2 2 10 2 31 5 5" xfId="7894" xr:uid="{00000000-0005-0000-0000-0000D61E0000}"/>
    <cellStyle name="Normal 2 2 10 2 31 5 6" xfId="7895" xr:uid="{00000000-0005-0000-0000-0000D71E0000}"/>
    <cellStyle name="Normal 2 2 10 2 31 5 7" xfId="7896" xr:uid="{00000000-0005-0000-0000-0000D81E0000}"/>
    <cellStyle name="Normal 2 2 10 2 31 5 8" xfId="7897" xr:uid="{00000000-0005-0000-0000-0000D91E0000}"/>
    <cellStyle name="Normal 2 2 10 2 31 5 9" xfId="7898" xr:uid="{00000000-0005-0000-0000-0000DA1E0000}"/>
    <cellStyle name="Normal 2 2 10 2 31 6" xfId="7899" xr:uid="{00000000-0005-0000-0000-0000DB1E0000}"/>
    <cellStyle name="Normal 2 2 10 2 31 7" xfId="7900" xr:uid="{00000000-0005-0000-0000-0000DC1E0000}"/>
    <cellStyle name="Normal 2 2 10 2 31 8" xfId="7901" xr:uid="{00000000-0005-0000-0000-0000DD1E0000}"/>
    <cellStyle name="Normal 2 2 10 2 31 9" xfId="7902" xr:uid="{00000000-0005-0000-0000-0000DE1E0000}"/>
    <cellStyle name="Normal 2 2 10 2 32" xfId="7903" xr:uid="{00000000-0005-0000-0000-0000DF1E0000}"/>
    <cellStyle name="Normal 2 2 10 2 32 10" xfId="7904" xr:uid="{00000000-0005-0000-0000-0000E01E0000}"/>
    <cellStyle name="Normal 2 2 10 2 32 11" xfId="7905" xr:uid="{00000000-0005-0000-0000-0000E11E0000}"/>
    <cellStyle name="Normal 2 2 10 2 32 12" xfId="7906" xr:uid="{00000000-0005-0000-0000-0000E21E0000}"/>
    <cellStyle name="Normal 2 2 10 2 32 13" xfId="7907" xr:uid="{00000000-0005-0000-0000-0000E31E0000}"/>
    <cellStyle name="Normal 2 2 10 2 32 14" xfId="7908" xr:uid="{00000000-0005-0000-0000-0000E41E0000}"/>
    <cellStyle name="Normal 2 2 10 2 32 2" xfId="7909" xr:uid="{00000000-0005-0000-0000-0000E51E0000}"/>
    <cellStyle name="Normal 2 2 10 2 32 2 10" xfId="7910" xr:uid="{00000000-0005-0000-0000-0000E61E0000}"/>
    <cellStyle name="Normal 2 2 10 2 32 2 2" xfId="7911" xr:uid="{00000000-0005-0000-0000-0000E71E0000}"/>
    <cellStyle name="Normal 2 2 10 2 32 2 3" xfId="7912" xr:uid="{00000000-0005-0000-0000-0000E81E0000}"/>
    <cellStyle name="Normal 2 2 10 2 32 2 4" xfId="7913" xr:uid="{00000000-0005-0000-0000-0000E91E0000}"/>
    <cellStyle name="Normal 2 2 10 2 32 2 5" xfId="7914" xr:uid="{00000000-0005-0000-0000-0000EA1E0000}"/>
    <cellStyle name="Normal 2 2 10 2 32 2 6" xfId="7915" xr:uid="{00000000-0005-0000-0000-0000EB1E0000}"/>
    <cellStyle name="Normal 2 2 10 2 32 2 7" xfId="7916" xr:uid="{00000000-0005-0000-0000-0000EC1E0000}"/>
    <cellStyle name="Normal 2 2 10 2 32 2 8" xfId="7917" xr:uid="{00000000-0005-0000-0000-0000ED1E0000}"/>
    <cellStyle name="Normal 2 2 10 2 32 2 9" xfId="7918" xr:uid="{00000000-0005-0000-0000-0000EE1E0000}"/>
    <cellStyle name="Normal 2 2 10 2 32 3" xfId="7919" xr:uid="{00000000-0005-0000-0000-0000EF1E0000}"/>
    <cellStyle name="Normal 2 2 10 2 32 3 10" xfId="7920" xr:uid="{00000000-0005-0000-0000-0000F01E0000}"/>
    <cellStyle name="Normal 2 2 10 2 32 3 2" xfId="7921" xr:uid="{00000000-0005-0000-0000-0000F11E0000}"/>
    <cellStyle name="Normal 2 2 10 2 32 3 3" xfId="7922" xr:uid="{00000000-0005-0000-0000-0000F21E0000}"/>
    <cellStyle name="Normal 2 2 10 2 32 3 4" xfId="7923" xr:uid="{00000000-0005-0000-0000-0000F31E0000}"/>
    <cellStyle name="Normal 2 2 10 2 32 3 5" xfId="7924" xr:uid="{00000000-0005-0000-0000-0000F41E0000}"/>
    <cellStyle name="Normal 2 2 10 2 32 3 6" xfId="7925" xr:uid="{00000000-0005-0000-0000-0000F51E0000}"/>
    <cellStyle name="Normal 2 2 10 2 32 3 7" xfId="7926" xr:uid="{00000000-0005-0000-0000-0000F61E0000}"/>
    <cellStyle name="Normal 2 2 10 2 32 3 8" xfId="7927" xr:uid="{00000000-0005-0000-0000-0000F71E0000}"/>
    <cellStyle name="Normal 2 2 10 2 32 3 9" xfId="7928" xr:uid="{00000000-0005-0000-0000-0000F81E0000}"/>
    <cellStyle name="Normal 2 2 10 2 32 4" xfId="7929" xr:uid="{00000000-0005-0000-0000-0000F91E0000}"/>
    <cellStyle name="Normal 2 2 10 2 32 4 10" xfId="7930" xr:uid="{00000000-0005-0000-0000-0000FA1E0000}"/>
    <cellStyle name="Normal 2 2 10 2 32 4 2" xfId="7931" xr:uid="{00000000-0005-0000-0000-0000FB1E0000}"/>
    <cellStyle name="Normal 2 2 10 2 32 4 3" xfId="7932" xr:uid="{00000000-0005-0000-0000-0000FC1E0000}"/>
    <cellStyle name="Normal 2 2 10 2 32 4 4" xfId="7933" xr:uid="{00000000-0005-0000-0000-0000FD1E0000}"/>
    <cellStyle name="Normal 2 2 10 2 32 4 5" xfId="7934" xr:uid="{00000000-0005-0000-0000-0000FE1E0000}"/>
    <cellStyle name="Normal 2 2 10 2 32 4 6" xfId="7935" xr:uid="{00000000-0005-0000-0000-0000FF1E0000}"/>
    <cellStyle name="Normal 2 2 10 2 32 4 7" xfId="7936" xr:uid="{00000000-0005-0000-0000-0000001F0000}"/>
    <cellStyle name="Normal 2 2 10 2 32 4 8" xfId="7937" xr:uid="{00000000-0005-0000-0000-0000011F0000}"/>
    <cellStyle name="Normal 2 2 10 2 32 4 9" xfId="7938" xr:uid="{00000000-0005-0000-0000-0000021F0000}"/>
    <cellStyle name="Normal 2 2 10 2 32 5" xfId="7939" xr:uid="{00000000-0005-0000-0000-0000031F0000}"/>
    <cellStyle name="Normal 2 2 10 2 32 5 10" xfId="7940" xr:uid="{00000000-0005-0000-0000-0000041F0000}"/>
    <cellStyle name="Normal 2 2 10 2 32 5 2" xfId="7941" xr:uid="{00000000-0005-0000-0000-0000051F0000}"/>
    <cellStyle name="Normal 2 2 10 2 32 5 3" xfId="7942" xr:uid="{00000000-0005-0000-0000-0000061F0000}"/>
    <cellStyle name="Normal 2 2 10 2 32 5 4" xfId="7943" xr:uid="{00000000-0005-0000-0000-0000071F0000}"/>
    <cellStyle name="Normal 2 2 10 2 32 5 5" xfId="7944" xr:uid="{00000000-0005-0000-0000-0000081F0000}"/>
    <cellStyle name="Normal 2 2 10 2 32 5 6" xfId="7945" xr:uid="{00000000-0005-0000-0000-0000091F0000}"/>
    <cellStyle name="Normal 2 2 10 2 32 5 7" xfId="7946" xr:uid="{00000000-0005-0000-0000-00000A1F0000}"/>
    <cellStyle name="Normal 2 2 10 2 32 5 8" xfId="7947" xr:uid="{00000000-0005-0000-0000-00000B1F0000}"/>
    <cellStyle name="Normal 2 2 10 2 32 5 9" xfId="7948" xr:uid="{00000000-0005-0000-0000-00000C1F0000}"/>
    <cellStyle name="Normal 2 2 10 2 32 6" xfId="7949" xr:uid="{00000000-0005-0000-0000-00000D1F0000}"/>
    <cellStyle name="Normal 2 2 10 2 32 7" xfId="7950" xr:uid="{00000000-0005-0000-0000-00000E1F0000}"/>
    <cellStyle name="Normal 2 2 10 2 32 8" xfId="7951" xr:uid="{00000000-0005-0000-0000-00000F1F0000}"/>
    <cellStyle name="Normal 2 2 10 2 32 9" xfId="7952" xr:uid="{00000000-0005-0000-0000-0000101F0000}"/>
    <cellStyle name="Normal 2 2 10 2 33" xfId="7953" xr:uid="{00000000-0005-0000-0000-0000111F0000}"/>
    <cellStyle name="Normal 2 2 10 2 33 10" xfId="7954" xr:uid="{00000000-0005-0000-0000-0000121F0000}"/>
    <cellStyle name="Normal 2 2 10 2 33 11" xfId="7955" xr:uid="{00000000-0005-0000-0000-0000131F0000}"/>
    <cellStyle name="Normal 2 2 10 2 33 12" xfId="7956" xr:uid="{00000000-0005-0000-0000-0000141F0000}"/>
    <cellStyle name="Normal 2 2 10 2 33 13" xfId="7957" xr:uid="{00000000-0005-0000-0000-0000151F0000}"/>
    <cellStyle name="Normal 2 2 10 2 33 14" xfId="7958" xr:uid="{00000000-0005-0000-0000-0000161F0000}"/>
    <cellStyle name="Normal 2 2 10 2 33 2" xfId="7959" xr:uid="{00000000-0005-0000-0000-0000171F0000}"/>
    <cellStyle name="Normal 2 2 10 2 33 2 10" xfId="7960" xr:uid="{00000000-0005-0000-0000-0000181F0000}"/>
    <cellStyle name="Normal 2 2 10 2 33 2 2" xfId="7961" xr:uid="{00000000-0005-0000-0000-0000191F0000}"/>
    <cellStyle name="Normal 2 2 10 2 33 2 3" xfId="7962" xr:uid="{00000000-0005-0000-0000-00001A1F0000}"/>
    <cellStyle name="Normal 2 2 10 2 33 2 4" xfId="7963" xr:uid="{00000000-0005-0000-0000-00001B1F0000}"/>
    <cellStyle name="Normal 2 2 10 2 33 2 5" xfId="7964" xr:uid="{00000000-0005-0000-0000-00001C1F0000}"/>
    <cellStyle name="Normal 2 2 10 2 33 2 6" xfId="7965" xr:uid="{00000000-0005-0000-0000-00001D1F0000}"/>
    <cellStyle name="Normal 2 2 10 2 33 2 7" xfId="7966" xr:uid="{00000000-0005-0000-0000-00001E1F0000}"/>
    <cellStyle name="Normal 2 2 10 2 33 2 8" xfId="7967" xr:uid="{00000000-0005-0000-0000-00001F1F0000}"/>
    <cellStyle name="Normal 2 2 10 2 33 2 9" xfId="7968" xr:uid="{00000000-0005-0000-0000-0000201F0000}"/>
    <cellStyle name="Normal 2 2 10 2 33 3" xfId="7969" xr:uid="{00000000-0005-0000-0000-0000211F0000}"/>
    <cellStyle name="Normal 2 2 10 2 33 3 10" xfId="7970" xr:uid="{00000000-0005-0000-0000-0000221F0000}"/>
    <cellStyle name="Normal 2 2 10 2 33 3 2" xfId="7971" xr:uid="{00000000-0005-0000-0000-0000231F0000}"/>
    <cellStyle name="Normal 2 2 10 2 33 3 3" xfId="7972" xr:uid="{00000000-0005-0000-0000-0000241F0000}"/>
    <cellStyle name="Normal 2 2 10 2 33 3 4" xfId="7973" xr:uid="{00000000-0005-0000-0000-0000251F0000}"/>
    <cellStyle name="Normal 2 2 10 2 33 3 5" xfId="7974" xr:uid="{00000000-0005-0000-0000-0000261F0000}"/>
    <cellStyle name="Normal 2 2 10 2 33 3 6" xfId="7975" xr:uid="{00000000-0005-0000-0000-0000271F0000}"/>
    <cellStyle name="Normal 2 2 10 2 33 3 7" xfId="7976" xr:uid="{00000000-0005-0000-0000-0000281F0000}"/>
    <cellStyle name="Normal 2 2 10 2 33 3 8" xfId="7977" xr:uid="{00000000-0005-0000-0000-0000291F0000}"/>
    <cellStyle name="Normal 2 2 10 2 33 3 9" xfId="7978" xr:uid="{00000000-0005-0000-0000-00002A1F0000}"/>
    <cellStyle name="Normal 2 2 10 2 33 4" xfId="7979" xr:uid="{00000000-0005-0000-0000-00002B1F0000}"/>
    <cellStyle name="Normal 2 2 10 2 33 4 10" xfId="7980" xr:uid="{00000000-0005-0000-0000-00002C1F0000}"/>
    <cellStyle name="Normal 2 2 10 2 33 4 2" xfId="7981" xr:uid="{00000000-0005-0000-0000-00002D1F0000}"/>
    <cellStyle name="Normal 2 2 10 2 33 4 3" xfId="7982" xr:uid="{00000000-0005-0000-0000-00002E1F0000}"/>
    <cellStyle name="Normal 2 2 10 2 33 4 4" xfId="7983" xr:uid="{00000000-0005-0000-0000-00002F1F0000}"/>
    <cellStyle name="Normal 2 2 10 2 33 4 5" xfId="7984" xr:uid="{00000000-0005-0000-0000-0000301F0000}"/>
    <cellStyle name="Normal 2 2 10 2 33 4 6" xfId="7985" xr:uid="{00000000-0005-0000-0000-0000311F0000}"/>
    <cellStyle name="Normal 2 2 10 2 33 4 7" xfId="7986" xr:uid="{00000000-0005-0000-0000-0000321F0000}"/>
    <cellStyle name="Normal 2 2 10 2 33 4 8" xfId="7987" xr:uid="{00000000-0005-0000-0000-0000331F0000}"/>
    <cellStyle name="Normal 2 2 10 2 33 4 9" xfId="7988" xr:uid="{00000000-0005-0000-0000-0000341F0000}"/>
    <cellStyle name="Normal 2 2 10 2 33 5" xfId="7989" xr:uid="{00000000-0005-0000-0000-0000351F0000}"/>
    <cellStyle name="Normal 2 2 10 2 33 5 10" xfId="7990" xr:uid="{00000000-0005-0000-0000-0000361F0000}"/>
    <cellStyle name="Normal 2 2 10 2 33 5 2" xfId="7991" xr:uid="{00000000-0005-0000-0000-0000371F0000}"/>
    <cellStyle name="Normal 2 2 10 2 33 5 3" xfId="7992" xr:uid="{00000000-0005-0000-0000-0000381F0000}"/>
    <cellStyle name="Normal 2 2 10 2 33 5 4" xfId="7993" xr:uid="{00000000-0005-0000-0000-0000391F0000}"/>
    <cellStyle name="Normal 2 2 10 2 33 5 5" xfId="7994" xr:uid="{00000000-0005-0000-0000-00003A1F0000}"/>
    <cellStyle name="Normal 2 2 10 2 33 5 6" xfId="7995" xr:uid="{00000000-0005-0000-0000-00003B1F0000}"/>
    <cellStyle name="Normal 2 2 10 2 33 5 7" xfId="7996" xr:uid="{00000000-0005-0000-0000-00003C1F0000}"/>
    <cellStyle name="Normal 2 2 10 2 33 5 8" xfId="7997" xr:uid="{00000000-0005-0000-0000-00003D1F0000}"/>
    <cellStyle name="Normal 2 2 10 2 33 5 9" xfId="7998" xr:uid="{00000000-0005-0000-0000-00003E1F0000}"/>
    <cellStyle name="Normal 2 2 10 2 33 6" xfId="7999" xr:uid="{00000000-0005-0000-0000-00003F1F0000}"/>
    <cellStyle name="Normal 2 2 10 2 33 7" xfId="8000" xr:uid="{00000000-0005-0000-0000-0000401F0000}"/>
    <cellStyle name="Normal 2 2 10 2 33 8" xfId="8001" xr:uid="{00000000-0005-0000-0000-0000411F0000}"/>
    <cellStyle name="Normal 2 2 10 2 33 9" xfId="8002" xr:uid="{00000000-0005-0000-0000-0000421F0000}"/>
    <cellStyle name="Normal 2 2 10 2 34" xfId="8003" xr:uid="{00000000-0005-0000-0000-0000431F0000}"/>
    <cellStyle name="Normal 2 2 10 2 34 10" xfId="8004" xr:uid="{00000000-0005-0000-0000-0000441F0000}"/>
    <cellStyle name="Normal 2 2 10 2 34 2" xfId="8005" xr:uid="{00000000-0005-0000-0000-0000451F0000}"/>
    <cellStyle name="Normal 2 2 10 2 34 3" xfId="8006" xr:uid="{00000000-0005-0000-0000-0000461F0000}"/>
    <cellStyle name="Normal 2 2 10 2 34 4" xfId="8007" xr:uid="{00000000-0005-0000-0000-0000471F0000}"/>
    <cellStyle name="Normal 2 2 10 2 34 5" xfId="8008" xr:uid="{00000000-0005-0000-0000-0000481F0000}"/>
    <cellStyle name="Normal 2 2 10 2 34 6" xfId="8009" xr:uid="{00000000-0005-0000-0000-0000491F0000}"/>
    <cellStyle name="Normal 2 2 10 2 34 7" xfId="8010" xr:uid="{00000000-0005-0000-0000-00004A1F0000}"/>
    <cellStyle name="Normal 2 2 10 2 34 8" xfId="8011" xr:uid="{00000000-0005-0000-0000-00004B1F0000}"/>
    <cellStyle name="Normal 2 2 10 2 34 9" xfId="8012" xr:uid="{00000000-0005-0000-0000-00004C1F0000}"/>
    <cellStyle name="Normal 2 2 10 2 35" xfId="8013" xr:uid="{00000000-0005-0000-0000-00004D1F0000}"/>
    <cellStyle name="Normal 2 2 10 2 35 10" xfId="8014" xr:uid="{00000000-0005-0000-0000-00004E1F0000}"/>
    <cellStyle name="Normal 2 2 10 2 35 2" xfId="8015" xr:uid="{00000000-0005-0000-0000-00004F1F0000}"/>
    <cellStyle name="Normal 2 2 10 2 35 3" xfId="8016" xr:uid="{00000000-0005-0000-0000-0000501F0000}"/>
    <cellStyle name="Normal 2 2 10 2 35 4" xfId="8017" xr:uid="{00000000-0005-0000-0000-0000511F0000}"/>
    <cellStyle name="Normal 2 2 10 2 35 5" xfId="8018" xr:uid="{00000000-0005-0000-0000-0000521F0000}"/>
    <cellStyle name="Normal 2 2 10 2 35 6" xfId="8019" xr:uid="{00000000-0005-0000-0000-0000531F0000}"/>
    <cellStyle name="Normal 2 2 10 2 35 7" xfId="8020" xr:uid="{00000000-0005-0000-0000-0000541F0000}"/>
    <cellStyle name="Normal 2 2 10 2 35 8" xfId="8021" xr:uid="{00000000-0005-0000-0000-0000551F0000}"/>
    <cellStyle name="Normal 2 2 10 2 35 9" xfId="8022" xr:uid="{00000000-0005-0000-0000-0000561F0000}"/>
    <cellStyle name="Normal 2 2 10 2 36" xfId="8023" xr:uid="{00000000-0005-0000-0000-0000571F0000}"/>
    <cellStyle name="Normal 2 2 10 2 36 10" xfId="8024" xr:uid="{00000000-0005-0000-0000-0000581F0000}"/>
    <cellStyle name="Normal 2 2 10 2 36 2" xfId="8025" xr:uid="{00000000-0005-0000-0000-0000591F0000}"/>
    <cellStyle name="Normal 2 2 10 2 36 3" xfId="8026" xr:uid="{00000000-0005-0000-0000-00005A1F0000}"/>
    <cellStyle name="Normal 2 2 10 2 36 4" xfId="8027" xr:uid="{00000000-0005-0000-0000-00005B1F0000}"/>
    <cellStyle name="Normal 2 2 10 2 36 5" xfId="8028" xr:uid="{00000000-0005-0000-0000-00005C1F0000}"/>
    <cellStyle name="Normal 2 2 10 2 36 6" xfId="8029" xr:uid="{00000000-0005-0000-0000-00005D1F0000}"/>
    <cellStyle name="Normal 2 2 10 2 36 7" xfId="8030" xr:uid="{00000000-0005-0000-0000-00005E1F0000}"/>
    <cellStyle name="Normal 2 2 10 2 36 8" xfId="8031" xr:uid="{00000000-0005-0000-0000-00005F1F0000}"/>
    <cellStyle name="Normal 2 2 10 2 36 9" xfId="8032" xr:uid="{00000000-0005-0000-0000-0000601F0000}"/>
    <cellStyle name="Normal 2 2 10 2 37" xfId="8033" xr:uid="{00000000-0005-0000-0000-0000611F0000}"/>
    <cellStyle name="Normal 2 2 10 2 37 10" xfId="8034" xr:uid="{00000000-0005-0000-0000-0000621F0000}"/>
    <cellStyle name="Normal 2 2 10 2 37 2" xfId="8035" xr:uid="{00000000-0005-0000-0000-0000631F0000}"/>
    <cellStyle name="Normal 2 2 10 2 37 3" xfId="8036" xr:uid="{00000000-0005-0000-0000-0000641F0000}"/>
    <cellStyle name="Normal 2 2 10 2 37 4" xfId="8037" xr:uid="{00000000-0005-0000-0000-0000651F0000}"/>
    <cellStyle name="Normal 2 2 10 2 37 5" xfId="8038" xr:uid="{00000000-0005-0000-0000-0000661F0000}"/>
    <cellStyle name="Normal 2 2 10 2 37 6" xfId="8039" xr:uid="{00000000-0005-0000-0000-0000671F0000}"/>
    <cellStyle name="Normal 2 2 10 2 37 7" xfId="8040" xr:uid="{00000000-0005-0000-0000-0000681F0000}"/>
    <cellStyle name="Normal 2 2 10 2 37 8" xfId="8041" xr:uid="{00000000-0005-0000-0000-0000691F0000}"/>
    <cellStyle name="Normal 2 2 10 2 37 9" xfId="8042" xr:uid="{00000000-0005-0000-0000-00006A1F0000}"/>
    <cellStyle name="Normal 2 2 10 2 38" xfId="8043" xr:uid="{00000000-0005-0000-0000-00006B1F0000}"/>
    <cellStyle name="Normal 2 2 10 2 39" xfId="8044" xr:uid="{00000000-0005-0000-0000-00006C1F0000}"/>
    <cellStyle name="Normal 2 2 10 2 4" xfId="8045" xr:uid="{00000000-0005-0000-0000-00006D1F0000}"/>
    <cellStyle name="Normal 2 2 10 2 4 10" xfId="8046" xr:uid="{00000000-0005-0000-0000-00006E1F0000}"/>
    <cellStyle name="Normal 2 2 10 2 4 11" xfId="8047" xr:uid="{00000000-0005-0000-0000-00006F1F0000}"/>
    <cellStyle name="Normal 2 2 10 2 4 12" xfId="8048" xr:uid="{00000000-0005-0000-0000-0000701F0000}"/>
    <cellStyle name="Normal 2 2 10 2 4 13" xfId="8049" xr:uid="{00000000-0005-0000-0000-0000711F0000}"/>
    <cellStyle name="Normal 2 2 10 2 4 14" xfId="8050" xr:uid="{00000000-0005-0000-0000-0000721F0000}"/>
    <cellStyle name="Normal 2 2 10 2 4 2" xfId="8051" xr:uid="{00000000-0005-0000-0000-0000731F0000}"/>
    <cellStyle name="Normal 2 2 10 2 4 2 10" xfId="8052" xr:uid="{00000000-0005-0000-0000-0000741F0000}"/>
    <cellStyle name="Normal 2 2 10 2 4 2 2" xfId="8053" xr:uid="{00000000-0005-0000-0000-0000751F0000}"/>
    <cellStyle name="Normal 2 2 10 2 4 2 3" xfId="8054" xr:uid="{00000000-0005-0000-0000-0000761F0000}"/>
    <cellStyle name="Normal 2 2 10 2 4 2 4" xfId="8055" xr:uid="{00000000-0005-0000-0000-0000771F0000}"/>
    <cellStyle name="Normal 2 2 10 2 4 2 5" xfId="8056" xr:uid="{00000000-0005-0000-0000-0000781F0000}"/>
    <cellStyle name="Normal 2 2 10 2 4 2 6" xfId="8057" xr:uid="{00000000-0005-0000-0000-0000791F0000}"/>
    <cellStyle name="Normal 2 2 10 2 4 2 7" xfId="8058" xr:uid="{00000000-0005-0000-0000-00007A1F0000}"/>
    <cellStyle name="Normal 2 2 10 2 4 2 8" xfId="8059" xr:uid="{00000000-0005-0000-0000-00007B1F0000}"/>
    <cellStyle name="Normal 2 2 10 2 4 2 9" xfId="8060" xr:uid="{00000000-0005-0000-0000-00007C1F0000}"/>
    <cellStyle name="Normal 2 2 10 2 4 3" xfId="8061" xr:uid="{00000000-0005-0000-0000-00007D1F0000}"/>
    <cellStyle name="Normal 2 2 10 2 4 3 10" xfId="8062" xr:uid="{00000000-0005-0000-0000-00007E1F0000}"/>
    <cellStyle name="Normal 2 2 10 2 4 3 2" xfId="8063" xr:uid="{00000000-0005-0000-0000-00007F1F0000}"/>
    <cellStyle name="Normal 2 2 10 2 4 3 3" xfId="8064" xr:uid="{00000000-0005-0000-0000-0000801F0000}"/>
    <cellStyle name="Normal 2 2 10 2 4 3 4" xfId="8065" xr:uid="{00000000-0005-0000-0000-0000811F0000}"/>
    <cellStyle name="Normal 2 2 10 2 4 3 5" xfId="8066" xr:uid="{00000000-0005-0000-0000-0000821F0000}"/>
    <cellStyle name="Normal 2 2 10 2 4 3 6" xfId="8067" xr:uid="{00000000-0005-0000-0000-0000831F0000}"/>
    <cellStyle name="Normal 2 2 10 2 4 3 7" xfId="8068" xr:uid="{00000000-0005-0000-0000-0000841F0000}"/>
    <cellStyle name="Normal 2 2 10 2 4 3 8" xfId="8069" xr:uid="{00000000-0005-0000-0000-0000851F0000}"/>
    <cellStyle name="Normal 2 2 10 2 4 3 9" xfId="8070" xr:uid="{00000000-0005-0000-0000-0000861F0000}"/>
    <cellStyle name="Normal 2 2 10 2 4 4" xfId="8071" xr:uid="{00000000-0005-0000-0000-0000871F0000}"/>
    <cellStyle name="Normal 2 2 10 2 4 4 10" xfId="8072" xr:uid="{00000000-0005-0000-0000-0000881F0000}"/>
    <cellStyle name="Normal 2 2 10 2 4 4 2" xfId="8073" xr:uid="{00000000-0005-0000-0000-0000891F0000}"/>
    <cellStyle name="Normal 2 2 10 2 4 4 3" xfId="8074" xr:uid="{00000000-0005-0000-0000-00008A1F0000}"/>
    <cellStyle name="Normal 2 2 10 2 4 4 4" xfId="8075" xr:uid="{00000000-0005-0000-0000-00008B1F0000}"/>
    <cellStyle name="Normal 2 2 10 2 4 4 5" xfId="8076" xr:uid="{00000000-0005-0000-0000-00008C1F0000}"/>
    <cellStyle name="Normal 2 2 10 2 4 4 6" xfId="8077" xr:uid="{00000000-0005-0000-0000-00008D1F0000}"/>
    <cellStyle name="Normal 2 2 10 2 4 4 7" xfId="8078" xr:uid="{00000000-0005-0000-0000-00008E1F0000}"/>
    <cellStyle name="Normal 2 2 10 2 4 4 8" xfId="8079" xr:uid="{00000000-0005-0000-0000-00008F1F0000}"/>
    <cellStyle name="Normal 2 2 10 2 4 4 9" xfId="8080" xr:uid="{00000000-0005-0000-0000-0000901F0000}"/>
    <cellStyle name="Normal 2 2 10 2 4 5" xfId="8081" xr:uid="{00000000-0005-0000-0000-0000911F0000}"/>
    <cellStyle name="Normal 2 2 10 2 4 5 10" xfId="8082" xr:uid="{00000000-0005-0000-0000-0000921F0000}"/>
    <cellStyle name="Normal 2 2 10 2 4 5 2" xfId="8083" xr:uid="{00000000-0005-0000-0000-0000931F0000}"/>
    <cellStyle name="Normal 2 2 10 2 4 5 3" xfId="8084" xr:uid="{00000000-0005-0000-0000-0000941F0000}"/>
    <cellStyle name="Normal 2 2 10 2 4 5 4" xfId="8085" xr:uid="{00000000-0005-0000-0000-0000951F0000}"/>
    <cellStyle name="Normal 2 2 10 2 4 5 5" xfId="8086" xr:uid="{00000000-0005-0000-0000-0000961F0000}"/>
    <cellStyle name="Normal 2 2 10 2 4 5 6" xfId="8087" xr:uid="{00000000-0005-0000-0000-0000971F0000}"/>
    <cellStyle name="Normal 2 2 10 2 4 5 7" xfId="8088" xr:uid="{00000000-0005-0000-0000-0000981F0000}"/>
    <cellStyle name="Normal 2 2 10 2 4 5 8" xfId="8089" xr:uid="{00000000-0005-0000-0000-0000991F0000}"/>
    <cellStyle name="Normal 2 2 10 2 4 5 9" xfId="8090" xr:uid="{00000000-0005-0000-0000-00009A1F0000}"/>
    <cellStyle name="Normal 2 2 10 2 4 6" xfId="8091" xr:uid="{00000000-0005-0000-0000-00009B1F0000}"/>
    <cellStyle name="Normal 2 2 10 2 4 7" xfId="8092" xr:uid="{00000000-0005-0000-0000-00009C1F0000}"/>
    <cellStyle name="Normal 2 2 10 2 4 8" xfId="8093" xr:uid="{00000000-0005-0000-0000-00009D1F0000}"/>
    <cellStyle name="Normal 2 2 10 2 4 9" xfId="8094" xr:uid="{00000000-0005-0000-0000-00009E1F0000}"/>
    <cellStyle name="Normal 2 2 10 2 40" xfId="8095" xr:uid="{00000000-0005-0000-0000-00009F1F0000}"/>
    <cellStyle name="Normal 2 2 10 2 41" xfId="8096" xr:uid="{00000000-0005-0000-0000-0000A01F0000}"/>
    <cellStyle name="Normal 2 2 10 2 42" xfId="8097" xr:uid="{00000000-0005-0000-0000-0000A11F0000}"/>
    <cellStyle name="Normal 2 2 10 2 43" xfId="8098" xr:uid="{00000000-0005-0000-0000-0000A21F0000}"/>
    <cellStyle name="Normal 2 2 10 2 44" xfId="8099" xr:uid="{00000000-0005-0000-0000-0000A31F0000}"/>
    <cellStyle name="Normal 2 2 10 2 45" xfId="8100" xr:uid="{00000000-0005-0000-0000-0000A41F0000}"/>
    <cellStyle name="Normal 2 2 10 2 46" xfId="8101" xr:uid="{00000000-0005-0000-0000-0000A51F0000}"/>
    <cellStyle name="Normal 2 2 10 2 5" xfId="8102" xr:uid="{00000000-0005-0000-0000-0000A61F0000}"/>
    <cellStyle name="Normal 2 2 10 2 5 10" xfId="8103" xr:uid="{00000000-0005-0000-0000-0000A71F0000}"/>
    <cellStyle name="Normal 2 2 10 2 5 11" xfId="8104" xr:uid="{00000000-0005-0000-0000-0000A81F0000}"/>
    <cellStyle name="Normal 2 2 10 2 5 12" xfId="8105" xr:uid="{00000000-0005-0000-0000-0000A91F0000}"/>
    <cellStyle name="Normal 2 2 10 2 5 13" xfId="8106" xr:uid="{00000000-0005-0000-0000-0000AA1F0000}"/>
    <cellStyle name="Normal 2 2 10 2 5 14" xfId="8107" xr:uid="{00000000-0005-0000-0000-0000AB1F0000}"/>
    <cellStyle name="Normal 2 2 10 2 5 2" xfId="8108" xr:uid="{00000000-0005-0000-0000-0000AC1F0000}"/>
    <cellStyle name="Normal 2 2 10 2 5 2 10" xfId="8109" xr:uid="{00000000-0005-0000-0000-0000AD1F0000}"/>
    <cellStyle name="Normal 2 2 10 2 5 2 2" xfId="8110" xr:uid="{00000000-0005-0000-0000-0000AE1F0000}"/>
    <cellStyle name="Normal 2 2 10 2 5 2 3" xfId="8111" xr:uid="{00000000-0005-0000-0000-0000AF1F0000}"/>
    <cellStyle name="Normal 2 2 10 2 5 2 4" xfId="8112" xr:uid="{00000000-0005-0000-0000-0000B01F0000}"/>
    <cellStyle name="Normal 2 2 10 2 5 2 5" xfId="8113" xr:uid="{00000000-0005-0000-0000-0000B11F0000}"/>
    <cellStyle name="Normal 2 2 10 2 5 2 6" xfId="8114" xr:uid="{00000000-0005-0000-0000-0000B21F0000}"/>
    <cellStyle name="Normal 2 2 10 2 5 2 7" xfId="8115" xr:uid="{00000000-0005-0000-0000-0000B31F0000}"/>
    <cellStyle name="Normal 2 2 10 2 5 2 8" xfId="8116" xr:uid="{00000000-0005-0000-0000-0000B41F0000}"/>
    <cellStyle name="Normal 2 2 10 2 5 2 9" xfId="8117" xr:uid="{00000000-0005-0000-0000-0000B51F0000}"/>
    <cellStyle name="Normal 2 2 10 2 5 3" xfId="8118" xr:uid="{00000000-0005-0000-0000-0000B61F0000}"/>
    <cellStyle name="Normal 2 2 10 2 5 3 10" xfId="8119" xr:uid="{00000000-0005-0000-0000-0000B71F0000}"/>
    <cellStyle name="Normal 2 2 10 2 5 3 2" xfId="8120" xr:uid="{00000000-0005-0000-0000-0000B81F0000}"/>
    <cellStyle name="Normal 2 2 10 2 5 3 3" xfId="8121" xr:uid="{00000000-0005-0000-0000-0000B91F0000}"/>
    <cellStyle name="Normal 2 2 10 2 5 3 4" xfId="8122" xr:uid="{00000000-0005-0000-0000-0000BA1F0000}"/>
    <cellStyle name="Normal 2 2 10 2 5 3 5" xfId="8123" xr:uid="{00000000-0005-0000-0000-0000BB1F0000}"/>
    <cellStyle name="Normal 2 2 10 2 5 3 6" xfId="8124" xr:uid="{00000000-0005-0000-0000-0000BC1F0000}"/>
    <cellStyle name="Normal 2 2 10 2 5 3 7" xfId="8125" xr:uid="{00000000-0005-0000-0000-0000BD1F0000}"/>
    <cellStyle name="Normal 2 2 10 2 5 3 8" xfId="8126" xr:uid="{00000000-0005-0000-0000-0000BE1F0000}"/>
    <cellStyle name="Normal 2 2 10 2 5 3 9" xfId="8127" xr:uid="{00000000-0005-0000-0000-0000BF1F0000}"/>
    <cellStyle name="Normal 2 2 10 2 5 4" xfId="8128" xr:uid="{00000000-0005-0000-0000-0000C01F0000}"/>
    <cellStyle name="Normal 2 2 10 2 5 4 10" xfId="8129" xr:uid="{00000000-0005-0000-0000-0000C11F0000}"/>
    <cellStyle name="Normal 2 2 10 2 5 4 2" xfId="8130" xr:uid="{00000000-0005-0000-0000-0000C21F0000}"/>
    <cellStyle name="Normal 2 2 10 2 5 4 3" xfId="8131" xr:uid="{00000000-0005-0000-0000-0000C31F0000}"/>
    <cellStyle name="Normal 2 2 10 2 5 4 4" xfId="8132" xr:uid="{00000000-0005-0000-0000-0000C41F0000}"/>
    <cellStyle name="Normal 2 2 10 2 5 4 5" xfId="8133" xr:uid="{00000000-0005-0000-0000-0000C51F0000}"/>
    <cellStyle name="Normal 2 2 10 2 5 4 6" xfId="8134" xr:uid="{00000000-0005-0000-0000-0000C61F0000}"/>
    <cellStyle name="Normal 2 2 10 2 5 4 7" xfId="8135" xr:uid="{00000000-0005-0000-0000-0000C71F0000}"/>
    <cellStyle name="Normal 2 2 10 2 5 4 8" xfId="8136" xr:uid="{00000000-0005-0000-0000-0000C81F0000}"/>
    <cellStyle name="Normal 2 2 10 2 5 4 9" xfId="8137" xr:uid="{00000000-0005-0000-0000-0000C91F0000}"/>
    <cellStyle name="Normal 2 2 10 2 5 5" xfId="8138" xr:uid="{00000000-0005-0000-0000-0000CA1F0000}"/>
    <cellStyle name="Normal 2 2 10 2 5 5 10" xfId="8139" xr:uid="{00000000-0005-0000-0000-0000CB1F0000}"/>
    <cellStyle name="Normal 2 2 10 2 5 5 2" xfId="8140" xr:uid="{00000000-0005-0000-0000-0000CC1F0000}"/>
    <cellStyle name="Normal 2 2 10 2 5 5 3" xfId="8141" xr:uid="{00000000-0005-0000-0000-0000CD1F0000}"/>
    <cellStyle name="Normal 2 2 10 2 5 5 4" xfId="8142" xr:uid="{00000000-0005-0000-0000-0000CE1F0000}"/>
    <cellStyle name="Normal 2 2 10 2 5 5 5" xfId="8143" xr:uid="{00000000-0005-0000-0000-0000CF1F0000}"/>
    <cellStyle name="Normal 2 2 10 2 5 5 6" xfId="8144" xr:uid="{00000000-0005-0000-0000-0000D01F0000}"/>
    <cellStyle name="Normal 2 2 10 2 5 5 7" xfId="8145" xr:uid="{00000000-0005-0000-0000-0000D11F0000}"/>
    <cellStyle name="Normal 2 2 10 2 5 5 8" xfId="8146" xr:uid="{00000000-0005-0000-0000-0000D21F0000}"/>
    <cellStyle name="Normal 2 2 10 2 5 5 9" xfId="8147" xr:uid="{00000000-0005-0000-0000-0000D31F0000}"/>
    <cellStyle name="Normal 2 2 10 2 5 6" xfId="8148" xr:uid="{00000000-0005-0000-0000-0000D41F0000}"/>
    <cellStyle name="Normal 2 2 10 2 5 7" xfId="8149" xr:uid="{00000000-0005-0000-0000-0000D51F0000}"/>
    <cellStyle name="Normal 2 2 10 2 5 8" xfId="8150" xr:uid="{00000000-0005-0000-0000-0000D61F0000}"/>
    <cellStyle name="Normal 2 2 10 2 5 9" xfId="8151" xr:uid="{00000000-0005-0000-0000-0000D71F0000}"/>
    <cellStyle name="Normal 2 2 10 2 6" xfId="8152" xr:uid="{00000000-0005-0000-0000-0000D81F0000}"/>
    <cellStyle name="Normal 2 2 10 2 6 10" xfId="8153" xr:uid="{00000000-0005-0000-0000-0000D91F0000}"/>
    <cellStyle name="Normal 2 2 10 2 6 11" xfId="8154" xr:uid="{00000000-0005-0000-0000-0000DA1F0000}"/>
    <cellStyle name="Normal 2 2 10 2 6 12" xfId="8155" xr:uid="{00000000-0005-0000-0000-0000DB1F0000}"/>
    <cellStyle name="Normal 2 2 10 2 6 13" xfId="8156" xr:uid="{00000000-0005-0000-0000-0000DC1F0000}"/>
    <cellStyle name="Normal 2 2 10 2 6 14" xfId="8157" xr:uid="{00000000-0005-0000-0000-0000DD1F0000}"/>
    <cellStyle name="Normal 2 2 10 2 6 2" xfId="8158" xr:uid="{00000000-0005-0000-0000-0000DE1F0000}"/>
    <cellStyle name="Normal 2 2 10 2 6 2 10" xfId="8159" xr:uid="{00000000-0005-0000-0000-0000DF1F0000}"/>
    <cellStyle name="Normal 2 2 10 2 6 2 2" xfId="8160" xr:uid="{00000000-0005-0000-0000-0000E01F0000}"/>
    <cellStyle name="Normal 2 2 10 2 6 2 3" xfId="8161" xr:uid="{00000000-0005-0000-0000-0000E11F0000}"/>
    <cellStyle name="Normal 2 2 10 2 6 2 4" xfId="8162" xr:uid="{00000000-0005-0000-0000-0000E21F0000}"/>
    <cellStyle name="Normal 2 2 10 2 6 2 5" xfId="8163" xr:uid="{00000000-0005-0000-0000-0000E31F0000}"/>
    <cellStyle name="Normal 2 2 10 2 6 2 6" xfId="8164" xr:uid="{00000000-0005-0000-0000-0000E41F0000}"/>
    <cellStyle name="Normal 2 2 10 2 6 2 7" xfId="8165" xr:uid="{00000000-0005-0000-0000-0000E51F0000}"/>
    <cellStyle name="Normal 2 2 10 2 6 2 8" xfId="8166" xr:uid="{00000000-0005-0000-0000-0000E61F0000}"/>
    <cellStyle name="Normal 2 2 10 2 6 2 9" xfId="8167" xr:uid="{00000000-0005-0000-0000-0000E71F0000}"/>
    <cellStyle name="Normal 2 2 10 2 6 3" xfId="8168" xr:uid="{00000000-0005-0000-0000-0000E81F0000}"/>
    <cellStyle name="Normal 2 2 10 2 6 3 10" xfId="8169" xr:uid="{00000000-0005-0000-0000-0000E91F0000}"/>
    <cellStyle name="Normal 2 2 10 2 6 3 2" xfId="8170" xr:uid="{00000000-0005-0000-0000-0000EA1F0000}"/>
    <cellStyle name="Normal 2 2 10 2 6 3 3" xfId="8171" xr:uid="{00000000-0005-0000-0000-0000EB1F0000}"/>
    <cellStyle name="Normal 2 2 10 2 6 3 4" xfId="8172" xr:uid="{00000000-0005-0000-0000-0000EC1F0000}"/>
    <cellStyle name="Normal 2 2 10 2 6 3 5" xfId="8173" xr:uid="{00000000-0005-0000-0000-0000ED1F0000}"/>
    <cellStyle name="Normal 2 2 10 2 6 3 6" xfId="8174" xr:uid="{00000000-0005-0000-0000-0000EE1F0000}"/>
    <cellStyle name="Normal 2 2 10 2 6 3 7" xfId="8175" xr:uid="{00000000-0005-0000-0000-0000EF1F0000}"/>
    <cellStyle name="Normal 2 2 10 2 6 3 8" xfId="8176" xr:uid="{00000000-0005-0000-0000-0000F01F0000}"/>
    <cellStyle name="Normal 2 2 10 2 6 3 9" xfId="8177" xr:uid="{00000000-0005-0000-0000-0000F11F0000}"/>
    <cellStyle name="Normal 2 2 10 2 6 4" xfId="8178" xr:uid="{00000000-0005-0000-0000-0000F21F0000}"/>
    <cellStyle name="Normal 2 2 10 2 6 4 10" xfId="8179" xr:uid="{00000000-0005-0000-0000-0000F31F0000}"/>
    <cellStyle name="Normal 2 2 10 2 6 4 2" xfId="8180" xr:uid="{00000000-0005-0000-0000-0000F41F0000}"/>
    <cellStyle name="Normal 2 2 10 2 6 4 3" xfId="8181" xr:uid="{00000000-0005-0000-0000-0000F51F0000}"/>
    <cellStyle name="Normal 2 2 10 2 6 4 4" xfId="8182" xr:uid="{00000000-0005-0000-0000-0000F61F0000}"/>
    <cellStyle name="Normal 2 2 10 2 6 4 5" xfId="8183" xr:uid="{00000000-0005-0000-0000-0000F71F0000}"/>
    <cellStyle name="Normal 2 2 10 2 6 4 6" xfId="8184" xr:uid="{00000000-0005-0000-0000-0000F81F0000}"/>
    <cellStyle name="Normal 2 2 10 2 6 4 7" xfId="8185" xr:uid="{00000000-0005-0000-0000-0000F91F0000}"/>
    <cellStyle name="Normal 2 2 10 2 6 4 8" xfId="8186" xr:uid="{00000000-0005-0000-0000-0000FA1F0000}"/>
    <cellStyle name="Normal 2 2 10 2 6 4 9" xfId="8187" xr:uid="{00000000-0005-0000-0000-0000FB1F0000}"/>
    <cellStyle name="Normal 2 2 10 2 6 5" xfId="8188" xr:uid="{00000000-0005-0000-0000-0000FC1F0000}"/>
    <cellStyle name="Normal 2 2 10 2 6 5 10" xfId="8189" xr:uid="{00000000-0005-0000-0000-0000FD1F0000}"/>
    <cellStyle name="Normal 2 2 10 2 6 5 2" xfId="8190" xr:uid="{00000000-0005-0000-0000-0000FE1F0000}"/>
    <cellStyle name="Normal 2 2 10 2 6 5 3" xfId="8191" xr:uid="{00000000-0005-0000-0000-0000FF1F0000}"/>
    <cellStyle name="Normal 2 2 10 2 6 5 4" xfId="8192" xr:uid="{00000000-0005-0000-0000-000000200000}"/>
    <cellStyle name="Normal 2 2 10 2 6 5 5" xfId="8193" xr:uid="{00000000-0005-0000-0000-000001200000}"/>
    <cellStyle name="Normal 2 2 10 2 6 5 6" xfId="8194" xr:uid="{00000000-0005-0000-0000-000002200000}"/>
    <cellStyle name="Normal 2 2 10 2 6 5 7" xfId="8195" xr:uid="{00000000-0005-0000-0000-000003200000}"/>
    <cellStyle name="Normal 2 2 10 2 6 5 8" xfId="8196" xr:uid="{00000000-0005-0000-0000-000004200000}"/>
    <cellStyle name="Normal 2 2 10 2 6 5 9" xfId="8197" xr:uid="{00000000-0005-0000-0000-000005200000}"/>
    <cellStyle name="Normal 2 2 10 2 6 6" xfId="8198" xr:uid="{00000000-0005-0000-0000-000006200000}"/>
    <cellStyle name="Normal 2 2 10 2 6 7" xfId="8199" xr:uid="{00000000-0005-0000-0000-000007200000}"/>
    <cellStyle name="Normal 2 2 10 2 6 8" xfId="8200" xr:uid="{00000000-0005-0000-0000-000008200000}"/>
    <cellStyle name="Normal 2 2 10 2 6 9" xfId="8201" xr:uid="{00000000-0005-0000-0000-000009200000}"/>
    <cellStyle name="Normal 2 2 10 2 7" xfId="8202" xr:uid="{00000000-0005-0000-0000-00000A200000}"/>
    <cellStyle name="Normal 2 2 10 2 7 10" xfId="8203" xr:uid="{00000000-0005-0000-0000-00000B200000}"/>
    <cellStyle name="Normal 2 2 10 2 7 11" xfId="8204" xr:uid="{00000000-0005-0000-0000-00000C200000}"/>
    <cellStyle name="Normal 2 2 10 2 7 12" xfId="8205" xr:uid="{00000000-0005-0000-0000-00000D200000}"/>
    <cellStyle name="Normal 2 2 10 2 7 13" xfId="8206" xr:uid="{00000000-0005-0000-0000-00000E200000}"/>
    <cellStyle name="Normal 2 2 10 2 7 14" xfId="8207" xr:uid="{00000000-0005-0000-0000-00000F200000}"/>
    <cellStyle name="Normal 2 2 10 2 7 2" xfId="8208" xr:uid="{00000000-0005-0000-0000-000010200000}"/>
    <cellStyle name="Normal 2 2 10 2 7 2 10" xfId="8209" xr:uid="{00000000-0005-0000-0000-000011200000}"/>
    <cellStyle name="Normal 2 2 10 2 7 2 2" xfId="8210" xr:uid="{00000000-0005-0000-0000-000012200000}"/>
    <cellStyle name="Normal 2 2 10 2 7 2 3" xfId="8211" xr:uid="{00000000-0005-0000-0000-000013200000}"/>
    <cellStyle name="Normal 2 2 10 2 7 2 4" xfId="8212" xr:uid="{00000000-0005-0000-0000-000014200000}"/>
    <cellStyle name="Normal 2 2 10 2 7 2 5" xfId="8213" xr:uid="{00000000-0005-0000-0000-000015200000}"/>
    <cellStyle name="Normal 2 2 10 2 7 2 6" xfId="8214" xr:uid="{00000000-0005-0000-0000-000016200000}"/>
    <cellStyle name="Normal 2 2 10 2 7 2 7" xfId="8215" xr:uid="{00000000-0005-0000-0000-000017200000}"/>
    <cellStyle name="Normal 2 2 10 2 7 2 8" xfId="8216" xr:uid="{00000000-0005-0000-0000-000018200000}"/>
    <cellStyle name="Normal 2 2 10 2 7 2 9" xfId="8217" xr:uid="{00000000-0005-0000-0000-000019200000}"/>
    <cellStyle name="Normal 2 2 10 2 7 3" xfId="8218" xr:uid="{00000000-0005-0000-0000-00001A200000}"/>
    <cellStyle name="Normal 2 2 10 2 7 3 10" xfId="8219" xr:uid="{00000000-0005-0000-0000-00001B200000}"/>
    <cellStyle name="Normal 2 2 10 2 7 3 2" xfId="8220" xr:uid="{00000000-0005-0000-0000-00001C200000}"/>
    <cellStyle name="Normal 2 2 10 2 7 3 3" xfId="8221" xr:uid="{00000000-0005-0000-0000-00001D200000}"/>
    <cellStyle name="Normal 2 2 10 2 7 3 4" xfId="8222" xr:uid="{00000000-0005-0000-0000-00001E200000}"/>
    <cellStyle name="Normal 2 2 10 2 7 3 5" xfId="8223" xr:uid="{00000000-0005-0000-0000-00001F200000}"/>
    <cellStyle name="Normal 2 2 10 2 7 3 6" xfId="8224" xr:uid="{00000000-0005-0000-0000-000020200000}"/>
    <cellStyle name="Normal 2 2 10 2 7 3 7" xfId="8225" xr:uid="{00000000-0005-0000-0000-000021200000}"/>
    <cellStyle name="Normal 2 2 10 2 7 3 8" xfId="8226" xr:uid="{00000000-0005-0000-0000-000022200000}"/>
    <cellStyle name="Normal 2 2 10 2 7 3 9" xfId="8227" xr:uid="{00000000-0005-0000-0000-000023200000}"/>
    <cellStyle name="Normal 2 2 10 2 7 4" xfId="8228" xr:uid="{00000000-0005-0000-0000-000024200000}"/>
    <cellStyle name="Normal 2 2 10 2 7 4 10" xfId="8229" xr:uid="{00000000-0005-0000-0000-000025200000}"/>
    <cellStyle name="Normal 2 2 10 2 7 4 2" xfId="8230" xr:uid="{00000000-0005-0000-0000-000026200000}"/>
    <cellStyle name="Normal 2 2 10 2 7 4 3" xfId="8231" xr:uid="{00000000-0005-0000-0000-000027200000}"/>
    <cellStyle name="Normal 2 2 10 2 7 4 4" xfId="8232" xr:uid="{00000000-0005-0000-0000-000028200000}"/>
    <cellStyle name="Normal 2 2 10 2 7 4 5" xfId="8233" xr:uid="{00000000-0005-0000-0000-000029200000}"/>
    <cellStyle name="Normal 2 2 10 2 7 4 6" xfId="8234" xr:uid="{00000000-0005-0000-0000-00002A200000}"/>
    <cellStyle name="Normal 2 2 10 2 7 4 7" xfId="8235" xr:uid="{00000000-0005-0000-0000-00002B200000}"/>
    <cellStyle name="Normal 2 2 10 2 7 4 8" xfId="8236" xr:uid="{00000000-0005-0000-0000-00002C200000}"/>
    <cellStyle name="Normal 2 2 10 2 7 4 9" xfId="8237" xr:uid="{00000000-0005-0000-0000-00002D200000}"/>
    <cellStyle name="Normal 2 2 10 2 7 5" xfId="8238" xr:uid="{00000000-0005-0000-0000-00002E200000}"/>
    <cellStyle name="Normal 2 2 10 2 7 5 10" xfId="8239" xr:uid="{00000000-0005-0000-0000-00002F200000}"/>
    <cellStyle name="Normal 2 2 10 2 7 5 2" xfId="8240" xr:uid="{00000000-0005-0000-0000-000030200000}"/>
    <cellStyle name="Normal 2 2 10 2 7 5 3" xfId="8241" xr:uid="{00000000-0005-0000-0000-000031200000}"/>
    <cellStyle name="Normal 2 2 10 2 7 5 4" xfId="8242" xr:uid="{00000000-0005-0000-0000-000032200000}"/>
    <cellStyle name="Normal 2 2 10 2 7 5 5" xfId="8243" xr:uid="{00000000-0005-0000-0000-000033200000}"/>
    <cellStyle name="Normal 2 2 10 2 7 5 6" xfId="8244" xr:uid="{00000000-0005-0000-0000-000034200000}"/>
    <cellStyle name="Normal 2 2 10 2 7 5 7" xfId="8245" xr:uid="{00000000-0005-0000-0000-000035200000}"/>
    <cellStyle name="Normal 2 2 10 2 7 5 8" xfId="8246" xr:uid="{00000000-0005-0000-0000-000036200000}"/>
    <cellStyle name="Normal 2 2 10 2 7 5 9" xfId="8247" xr:uid="{00000000-0005-0000-0000-000037200000}"/>
    <cellStyle name="Normal 2 2 10 2 7 6" xfId="8248" xr:uid="{00000000-0005-0000-0000-000038200000}"/>
    <cellStyle name="Normal 2 2 10 2 7 7" xfId="8249" xr:uid="{00000000-0005-0000-0000-000039200000}"/>
    <cellStyle name="Normal 2 2 10 2 7 8" xfId="8250" xr:uid="{00000000-0005-0000-0000-00003A200000}"/>
    <cellStyle name="Normal 2 2 10 2 7 9" xfId="8251" xr:uid="{00000000-0005-0000-0000-00003B200000}"/>
    <cellStyle name="Normal 2 2 10 2 8" xfId="8252" xr:uid="{00000000-0005-0000-0000-00003C200000}"/>
    <cellStyle name="Normal 2 2 10 2 8 10" xfId="8253" xr:uid="{00000000-0005-0000-0000-00003D200000}"/>
    <cellStyle name="Normal 2 2 10 2 8 11" xfId="8254" xr:uid="{00000000-0005-0000-0000-00003E200000}"/>
    <cellStyle name="Normal 2 2 10 2 8 12" xfId="8255" xr:uid="{00000000-0005-0000-0000-00003F200000}"/>
    <cellStyle name="Normal 2 2 10 2 8 13" xfId="8256" xr:uid="{00000000-0005-0000-0000-000040200000}"/>
    <cellStyle name="Normal 2 2 10 2 8 14" xfId="8257" xr:uid="{00000000-0005-0000-0000-000041200000}"/>
    <cellStyle name="Normal 2 2 10 2 8 2" xfId="8258" xr:uid="{00000000-0005-0000-0000-000042200000}"/>
    <cellStyle name="Normal 2 2 10 2 8 2 10" xfId="8259" xr:uid="{00000000-0005-0000-0000-000043200000}"/>
    <cellStyle name="Normal 2 2 10 2 8 2 2" xfId="8260" xr:uid="{00000000-0005-0000-0000-000044200000}"/>
    <cellStyle name="Normal 2 2 10 2 8 2 3" xfId="8261" xr:uid="{00000000-0005-0000-0000-000045200000}"/>
    <cellStyle name="Normal 2 2 10 2 8 2 4" xfId="8262" xr:uid="{00000000-0005-0000-0000-000046200000}"/>
    <cellStyle name="Normal 2 2 10 2 8 2 5" xfId="8263" xr:uid="{00000000-0005-0000-0000-000047200000}"/>
    <cellStyle name="Normal 2 2 10 2 8 2 6" xfId="8264" xr:uid="{00000000-0005-0000-0000-000048200000}"/>
    <cellStyle name="Normal 2 2 10 2 8 2 7" xfId="8265" xr:uid="{00000000-0005-0000-0000-000049200000}"/>
    <cellStyle name="Normal 2 2 10 2 8 2 8" xfId="8266" xr:uid="{00000000-0005-0000-0000-00004A200000}"/>
    <cellStyle name="Normal 2 2 10 2 8 2 9" xfId="8267" xr:uid="{00000000-0005-0000-0000-00004B200000}"/>
    <cellStyle name="Normal 2 2 10 2 8 3" xfId="8268" xr:uid="{00000000-0005-0000-0000-00004C200000}"/>
    <cellStyle name="Normal 2 2 10 2 8 3 10" xfId="8269" xr:uid="{00000000-0005-0000-0000-00004D200000}"/>
    <cellStyle name="Normal 2 2 10 2 8 3 2" xfId="8270" xr:uid="{00000000-0005-0000-0000-00004E200000}"/>
    <cellStyle name="Normal 2 2 10 2 8 3 3" xfId="8271" xr:uid="{00000000-0005-0000-0000-00004F200000}"/>
    <cellStyle name="Normal 2 2 10 2 8 3 4" xfId="8272" xr:uid="{00000000-0005-0000-0000-000050200000}"/>
    <cellStyle name="Normal 2 2 10 2 8 3 5" xfId="8273" xr:uid="{00000000-0005-0000-0000-000051200000}"/>
    <cellStyle name="Normal 2 2 10 2 8 3 6" xfId="8274" xr:uid="{00000000-0005-0000-0000-000052200000}"/>
    <cellStyle name="Normal 2 2 10 2 8 3 7" xfId="8275" xr:uid="{00000000-0005-0000-0000-000053200000}"/>
    <cellStyle name="Normal 2 2 10 2 8 3 8" xfId="8276" xr:uid="{00000000-0005-0000-0000-000054200000}"/>
    <cellStyle name="Normal 2 2 10 2 8 3 9" xfId="8277" xr:uid="{00000000-0005-0000-0000-000055200000}"/>
    <cellStyle name="Normal 2 2 10 2 8 4" xfId="8278" xr:uid="{00000000-0005-0000-0000-000056200000}"/>
    <cellStyle name="Normal 2 2 10 2 8 4 10" xfId="8279" xr:uid="{00000000-0005-0000-0000-000057200000}"/>
    <cellStyle name="Normal 2 2 10 2 8 4 2" xfId="8280" xr:uid="{00000000-0005-0000-0000-000058200000}"/>
    <cellStyle name="Normal 2 2 10 2 8 4 3" xfId="8281" xr:uid="{00000000-0005-0000-0000-000059200000}"/>
    <cellStyle name="Normal 2 2 10 2 8 4 4" xfId="8282" xr:uid="{00000000-0005-0000-0000-00005A200000}"/>
    <cellStyle name="Normal 2 2 10 2 8 4 5" xfId="8283" xr:uid="{00000000-0005-0000-0000-00005B200000}"/>
    <cellStyle name="Normal 2 2 10 2 8 4 6" xfId="8284" xr:uid="{00000000-0005-0000-0000-00005C200000}"/>
    <cellStyle name="Normal 2 2 10 2 8 4 7" xfId="8285" xr:uid="{00000000-0005-0000-0000-00005D200000}"/>
    <cellStyle name="Normal 2 2 10 2 8 4 8" xfId="8286" xr:uid="{00000000-0005-0000-0000-00005E200000}"/>
    <cellStyle name="Normal 2 2 10 2 8 4 9" xfId="8287" xr:uid="{00000000-0005-0000-0000-00005F200000}"/>
    <cellStyle name="Normal 2 2 10 2 8 5" xfId="8288" xr:uid="{00000000-0005-0000-0000-000060200000}"/>
    <cellStyle name="Normal 2 2 10 2 8 5 10" xfId="8289" xr:uid="{00000000-0005-0000-0000-000061200000}"/>
    <cellStyle name="Normal 2 2 10 2 8 5 2" xfId="8290" xr:uid="{00000000-0005-0000-0000-000062200000}"/>
    <cellStyle name="Normal 2 2 10 2 8 5 3" xfId="8291" xr:uid="{00000000-0005-0000-0000-000063200000}"/>
    <cellStyle name="Normal 2 2 10 2 8 5 4" xfId="8292" xr:uid="{00000000-0005-0000-0000-000064200000}"/>
    <cellStyle name="Normal 2 2 10 2 8 5 5" xfId="8293" xr:uid="{00000000-0005-0000-0000-000065200000}"/>
    <cellStyle name="Normal 2 2 10 2 8 5 6" xfId="8294" xr:uid="{00000000-0005-0000-0000-000066200000}"/>
    <cellStyle name="Normal 2 2 10 2 8 5 7" xfId="8295" xr:uid="{00000000-0005-0000-0000-000067200000}"/>
    <cellStyle name="Normal 2 2 10 2 8 5 8" xfId="8296" xr:uid="{00000000-0005-0000-0000-000068200000}"/>
    <cellStyle name="Normal 2 2 10 2 8 5 9" xfId="8297" xr:uid="{00000000-0005-0000-0000-000069200000}"/>
    <cellStyle name="Normal 2 2 10 2 8 6" xfId="8298" xr:uid="{00000000-0005-0000-0000-00006A200000}"/>
    <cellStyle name="Normal 2 2 10 2 8 7" xfId="8299" xr:uid="{00000000-0005-0000-0000-00006B200000}"/>
    <cellStyle name="Normal 2 2 10 2 8 8" xfId="8300" xr:uid="{00000000-0005-0000-0000-00006C200000}"/>
    <cellStyle name="Normal 2 2 10 2 8 9" xfId="8301" xr:uid="{00000000-0005-0000-0000-00006D200000}"/>
    <cellStyle name="Normal 2 2 10 2 9" xfId="8302" xr:uid="{00000000-0005-0000-0000-00006E200000}"/>
    <cellStyle name="Normal 2 2 10 2 9 10" xfId="8303" xr:uid="{00000000-0005-0000-0000-00006F200000}"/>
    <cellStyle name="Normal 2 2 10 2 9 11" xfId="8304" xr:uid="{00000000-0005-0000-0000-000070200000}"/>
    <cellStyle name="Normal 2 2 10 2 9 12" xfId="8305" xr:uid="{00000000-0005-0000-0000-000071200000}"/>
    <cellStyle name="Normal 2 2 10 2 9 13" xfId="8306" xr:uid="{00000000-0005-0000-0000-000072200000}"/>
    <cellStyle name="Normal 2 2 10 2 9 14" xfId="8307" xr:uid="{00000000-0005-0000-0000-000073200000}"/>
    <cellStyle name="Normal 2 2 10 2 9 2" xfId="8308" xr:uid="{00000000-0005-0000-0000-000074200000}"/>
    <cellStyle name="Normal 2 2 10 2 9 2 10" xfId="8309" xr:uid="{00000000-0005-0000-0000-000075200000}"/>
    <cellStyle name="Normal 2 2 10 2 9 2 2" xfId="8310" xr:uid="{00000000-0005-0000-0000-000076200000}"/>
    <cellStyle name="Normal 2 2 10 2 9 2 3" xfId="8311" xr:uid="{00000000-0005-0000-0000-000077200000}"/>
    <cellStyle name="Normal 2 2 10 2 9 2 4" xfId="8312" xr:uid="{00000000-0005-0000-0000-000078200000}"/>
    <cellStyle name="Normal 2 2 10 2 9 2 5" xfId="8313" xr:uid="{00000000-0005-0000-0000-000079200000}"/>
    <cellStyle name="Normal 2 2 10 2 9 2 6" xfId="8314" xr:uid="{00000000-0005-0000-0000-00007A200000}"/>
    <cellStyle name="Normal 2 2 10 2 9 2 7" xfId="8315" xr:uid="{00000000-0005-0000-0000-00007B200000}"/>
    <cellStyle name="Normal 2 2 10 2 9 2 8" xfId="8316" xr:uid="{00000000-0005-0000-0000-00007C200000}"/>
    <cellStyle name="Normal 2 2 10 2 9 2 9" xfId="8317" xr:uid="{00000000-0005-0000-0000-00007D200000}"/>
    <cellStyle name="Normal 2 2 10 2 9 3" xfId="8318" xr:uid="{00000000-0005-0000-0000-00007E200000}"/>
    <cellStyle name="Normal 2 2 10 2 9 3 10" xfId="8319" xr:uid="{00000000-0005-0000-0000-00007F200000}"/>
    <cellStyle name="Normal 2 2 10 2 9 3 2" xfId="8320" xr:uid="{00000000-0005-0000-0000-000080200000}"/>
    <cellStyle name="Normal 2 2 10 2 9 3 3" xfId="8321" xr:uid="{00000000-0005-0000-0000-000081200000}"/>
    <cellStyle name="Normal 2 2 10 2 9 3 4" xfId="8322" xr:uid="{00000000-0005-0000-0000-000082200000}"/>
    <cellStyle name="Normal 2 2 10 2 9 3 5" xfId="8323" xr:uid="{00000000-0005-0000-0000-000083200000}"/>
    <cellStyle name="Normal 2 2 10 2 9 3 6" xfId="8324" xr:uid="{00000000-0005-0000-0000-000084200000}"/>
    <cellStyle name="Normal 2 2 10 2 9 3 7" xfId="8325" xr:uid="{00000000-0005-0000-0000-000085200000}"/>
    <cellStyle name="Normal 2 2 10 2 9 3 8" xfId="8326" xr:uid="{00000000-0005-0000-0000-000086200000}"/>
    <cellStyle name="Normal 2 2 10 2 9 3 9" xfId="8327" xr:uid="{00000000-0005-0000-0000-000087200000}"/>
    <cellStyle name="Normal 2 2 10 2 9 4" xfId="8328" xr:uid="{00000000-0005-0000-0000-000088200000}"/>
    <cellStyle name="Normal 2 2 10 2 9 4 10" xfId="8329" xr:uid="{00000000-0005-0000-0000-000089200000}"/>
    <cellStyle name="Normal 2 2 10 2 9 4 2" xfId="8330" xr:uid="{00000000-0005-0000-0000-00008A200000}"/>
    <cellStyle name="Normal 2 2 10 2 9 4 3" xfId="8331" xr:uid="{00000000-0005-0000-0000-00008B200000}"/>
    <cellStyle name="Normal 2 2 10 2 9 4 4" xfId="8332" xr:uid="{00000000-0005-0000-0000-00008C200000}"/>
    <cellStyle name="Normal 2 2 10 2 9 4 5" xfId="8333" xr:uid="{00000000-0005-0000-0000-00008D200000}"/>
    <cellStyle name="Normal 2 2 10 2 9 4 6" xfId="8334" xr:uid="{00000000-0005-0000-0000-00008E200000}"/>
    <cellStyle name="Normal 2 2 10 2 9 4 7" xfId="8335" xr:uid="{00000000-0005-0000-0000-00008F200000}"/>
    <cellStyle name="Normal 2 2 10 2 9 4 8" xfId="8336" xr:uid="{00000000-0005-0000-0000-000090200000}"/>
    <cellStyle name="Normal 2 2 10 2 9 4 9" xfId="8337" xr:uid="{00000000-0005-0000-0000-000091200000}"/>
    <cellStyle name="Normal 2 2 10 2 9 5" xfId="8338" xr:uid="{00000000-0005-0000-0000-000092200000}"/>
    <cellStyle name="Normal 2 2 10 2 9 5 10" xfId="8339" xr:uid="{00000000-0005-0000-0000-000093200000}"/>
    <cellStyle name="Normal 2 2 10 2 9 5 2" xfId="8340" xr:uid="{00000000-0005-0000-0000-000094200000}"/>
    <cellStyle name="Normal 2 2 10 2 9 5 3" xfId="8341" xr:uid="{00000000-0005-0000-0000-000095200000}"/>
    <cellStyle name="Normal 2 2 10 2 9 5 4" xfId="8342" xr:uid="{00000000-0005-0000-0000-000096200000}"/>
    <cellStyle name="Normal 2 2 10 2 9 5 5" xfId="8343" xr:uid="{00000000-0005-0000-0000-000097200000}"/>
    <cellStyle name="Normal 2 2 10 2 9 5 6" xfId="8344" xr:uid="{00000000-0005-0000-0000-000098200000}"/>
    <cellStyle name="Normal 2 2 10 2 9 5 7" xfId="8345" xr:uid="{00000000-0005-0000-0000-000099200000}"/>
    <cellStyle name="Normal 2 2 10 2 9 5 8" xfId="8346" xr:uid="{00000000-0005-0000-0000-00009A200000}"/>
    <cellStyle name="Normal 2 2 10 2 9 5 9" xfId="8347" xr:uid="{00000000-0005-0000-0000-00009B200000}"/>
    <cellStyle name="Normal 2 2 10 2 9 6" xfId="8348" xr:uid="{00000000-0005-0000-0000-00009C200000}"/>
    <cellStyle name="Normal 2 2 10 2 9 7" xfId="8349" xr:uid="{00000000-0005-0000-0000-00009D200000}"/>
    <cellStyle name="Normal 2 2 10 2 9 8" xfId="8350" xr:uid="{00000000-0005-0000-0000-00009E200000}"/>
    <cellStyle name="Normal 2 2 10 2 9 9" xfId="8351" xr:uid="{00000000-0005-0000-0000-00009F200000}"/>
    <cellStyle name="Normal 2 2 10 20" xfId="8352" xr:uid="{00000000-0005-0000-0000-0000A0200000}"/>
    <cellStyle name="Normal 2 2 10 20 10" xfId="8353" xr:uid="{00000000-0005-0000-0000-0000A1200000}"/>
    <cellStyle name="Normal 2 2 10 20 11" xfId="8354" xr:uid="{00000000-0005-0000-0000-0000A2200000}"/>
    <cellStyle name="Normal 2 2 10 20 12" xfId="8355" xr:uid="{00000000-0005-0000-0000-0000A3200000}"/>
    <cellStyle name="Normal 2 2 10 20 13" xfId="8356" xr:uid="{00000000-0005-0000-0000-0000A4200000}"/>
    <cellStyle name="Normal 2 2 10 20 14" xfId="8357" xr:uid="{00000000-0005-0000-0000-0000A5200000}"/>
    <cellStyle name="Normal 2 2 10 20 2" xfId="8358" xr:uid="{00000000-0005-0000-0000-0000A6200000}"/>
    <cellStyle name="Normal 2 2 10 20 2 10" xfId="8359" xr:uid="{00000000-0005-0000-0000-0000A7200000}"/>
    <cellStyle name="Normal 2 2 10 20 2 2" xfId="8360" xr:uid="{00000000-0005-0000-0000-0000A8200000}"/>
    <cellStyle name="Normal 2 2 10 20 2 3" xfId="8361" xr:uid="{00000000-0005-0000-0000-0000A9200000}"/>
    <cellStyle name="Normal 2 2 10 20 2 4" xfId="8362" xr:uid="{00000000-0005-0000-0000-0000AA200000}"/>
    <cellStyle name="Normal 2 2 10 20 2 5" xfId="8363" xr:uid="{00000000-0005-0000-0000-0000AB200000}"/>
    <cellStyle name="Normal 2 2 10 20 2 6" xfId="8364" xr:uid="{00000000-0005-0000-0000-0000AC200000}"/>
    <cellStyle name="Normal 2 2 10 20 2 7" xfId="8365" xr:uid="{00000000-0005-0000-0000-0000AD200000}"/>
    <cellStyle name="Normal 2 2 10 20 2 8" xfId="8366" xr:uid="{00000000-0005-0000-0000-0000AE200000}"/>
    <cellStyle name="Normal 2 2 10 20 2 9" xfId="8367" xr:uid="{00000000-0005-0000-0000-0000AF200000}"/>
    <cellStyle name="Normal 2 2 10 20 3" xfId="8368" xr:uid="{00000000-0005-0000-0000-0000B0200000}"/>
    <cellStyle name="Normal 2 2 10 20 3 10" xfId="8369" xr:uid="{00000000-0005-0000-0000-0000B1200000}"/>
    <cellStyle name="Normal 2 2 10 20 3 2" xfId="8370" xr:uid="{00000000-0005-0000-0000-0000B2200000}"/>
    <cellStyle name="Normal 2 2 10 20 3 3" xfId="8371" xr:uid="{00000000-0005-0000-0000-0000B3200000}"/>
    <cellStyle name="Normal 2 2 10 20 3 4" xfId="8372" xr:uid="{00000000-0005-0000-0000-0000B4200000}"/>
    <cellStyle name="Normal 2 2 10 20 3 5" xfId="8373" xr:uid="{00000000-0005-0000-0000-0000B5200000}"/>
    <cellStyle name="Normal 2 2 10 20 3 6" xfId="8374" xr:uid="{00000000-0005-0000-0000-0000B6200000}"/>
    <cellStyle name="Normal 2 2 10 20 3 7" xfId="8375" xr:uid="{00000000-0005-0000-0000-0000B7200000}"/>
    <cellStyle name="Normal 2 2 10 20 3 8" xfId="8376" xr:uid="{00000000-0005-0000-0000-0000B8200000}"/>
    <cellStyle name="Normal 2 2 10 20 3 9" xfId="8377" xr:uid="{00000000-0005-0000-0000-0000B9200000}"/>
    <cellStyle name="Normal 2 2 10 20 4" xfId="8378" xr:uid="{00000000-0005-0000-0000-0000BA200000}"/>
    <cellStyle name="Normal 2 2 10 20 4 10" xfId="8379" xr:uid="{00000000-0005-0000-0000-0000BB200000}"/>
    <cellStyle name="Normal 2 2 10 20 4 2" xfId="8380" xr:uid="{00000000-0005-0000-0000-0000BC200000}"/>
    <cellStyle name="Normal 2 2 10 20 4 3" xfId="8381" xr:uid="{00000000-0005-0000-0000-0000BD200000}"/>
    <cellStyle name="Normal 2 2 10 20 4 4" xfId="8382" xr:uid="{00000000-0005-0000-0000-0000BE200000}"/>
    <cellStyle name="Normal 2 2 10 20 4 5" xfId="8383" xr:uid="{00000000-0005-0000-0000-0000BF200000}"/>
    <cellStyle name="Normal 2 2 10 20 4 6" xfId="8384" xr:uid="{00000000-0005-0000-0000-0000C0200000}"/>
    <cellStyle name="Normal 2 2 10 20 4 7" xfId="8385" xr:uid="{00000000-0005-0000-0000-0000C1200000}"/>
    <cellStyle name="Normal 2 2 10 20 4 8" xfId="8386" xr:uid="{00000000-0005-0000-0000-0000C2200000}"/>
    <cellStyle name="Normal 2 2 10 20 4 9" xfId="8387" xr:uid="{00000000-0005-0000-0000-0000C3200000}"/>
    <cellStyle name="Normal 2 2 10 20 5" xfId="8388" xr:uid="{00000000-0005-0000-0000-0000C4200000}"/>
    <cellStyle name="Normal 2 2 10 20 5 10" xfId="8389" xr:uid="{00000000-0005-0000-0000-0000C5200000}"/>
    <cellStyle name="Normal 2 2 10 20 5 2" xfId="8390" xr:uid="{00000000-0005-0000-0000-0000C6200000}"/>
    <cellStyle name="Normal 2 2 10 20 5 3" xfId="8391" xr:uid="{00000000-0005-0000-0000-0000C7200000}"/>
    <cellStyle name="Normal 2 2 10 20 5 4" xfId="8392" xr:uid="{00000000-0005-0000-0000-0000C8200000}"/>
    <cellStyle name="Normal 2 2 10 20 5 5" xfId="8393" xr:uid="{00000000-0005-0000-0000-0000C9200000}"/>
    <cellStyle name="Normal 2 2 10 20 5 6" xfId="8394" xr:uid="{00000000-0005-0000-0000-0000CA200000}"/>
    <cellStyle name="Normal 2 2 10 20 5 7" xfId="8395" xr:uid="{00000000-0005-0000-0000-0000CB200000}"/>
    <cellStyle name="Normal 2 2 10 20 5 8" xfId="8396" xr:uid="{00000000-0005-0000-0000-0000CC200000}"/>
    <cellStyle name="Normal 2 2 10 20 5 9" xfId="8397" xr:uid="{00000000-0005-0000-0000-0000CD200000}"/>
    <cellStyle name="Normal 2 2 10 20 6" xfId="8398" xr:uid="{00000000-0005-0000-0000-0000CE200000}"/>
    <cellStyle name="Normal 2 2 10 20 7" xfId="8399" xr:uid="{00000000-0005-0000-0000-0000CF200000}"/>
    <cellStyle name="Normal 2 2 10 20 8" xfId="8400" xr:uid="{00000000-0005-0000-0000-0000D0200000}"/>
    <cellStyle name="Normal 2 2 10 20 9" xfId="8401" xr:uid="{00000000-0005-0000-0000-0000D1200000}"/>
    <cellStyle name="Normal 2 2 10 21" xfId="8402" xr:uid="{00000000-0005-0000-0000-0000D2200000}"/>
    <cellStyle name="Normal 2 2 10 21 10" xfId="8403" xr:uid="{00000000-0005-0000-0000-0000D3200000}"/>
    <cellStyle name="Normal 2 2 10 21 11" xfId="8404" xr:uid="{00000000-0005-0000-0000-0000D4200000}"/>
    <cellStyle name="Normal 2 2 10 21 12" xfId="8405" xr:uid="{00000000-0005-0000-0000-0000D5200000}"/>
    <cellStyle name="Normal 2 2 10 21 13" xfId="8406" xr:uid="{00000000-0005-0000-0000-0000D6200000}"/>
    <cellStyle name="Normal 2 2 10 21 14" xfId="8407" xr:uid="{00000000-0005-0000-0000-0000D7200000}"/>
    <cellStyle name="Normal 2 2 10 21 2" xfId="8408" xr:uid="{00000000-0005-0000-0000-0000D8200000}"/>
    <cellStyle name="Normal 2 2 10 21 2 10" xfId="8409" xr:uid="{00000000-0005-0000-0000-0000D9200000}"/>
    <cellStyle name="Normal 2 2 10 21 2 2" xfId="8410" xr:uid="{00000000-0005-0000-0000-0000DA200000}"/>
    <cellStyle name="Normal 2 2 10 21 2 3" xfId="8411" xr:uid="{00000000-0005-0000-0000-0000DB200000}"/>
    <cellStyle name="Normal 2 2 10 21 2 4" xfId="8412" xr:uid="{00000000-0005-0000-0000-0000DC200000}"/>
    <cellStyle name="Normal 2 2 10 21 2 5" xfId="8413" xr:uid="{00000000-0005-0000-0000-0000DD200000}"/>
    <cellStyle name="Normal 2 2 10 21 2 6" xfId="8414" xr:uid="{00000000-0005-0000-0000-0000DE200000}"/>
    <cellStyle name="Normal 2 2 10 21 2 7" xfId="8415" xr:uid="{00000000-0005-0000-0000-0000DF200000}"/>
    <cellStyle name="Normal 2 2 10 21 2 8" xfId="8416" xr:uid="{00000000-0005-0000-0000-0000E0200000}"/>
    <cellStyle name="Normal 2 2 10 21 2 9" xfId="8417" xr:uid="{00000000-0005-0000-0000-0000E1200000}"/>
    <cellStyle name="Normal 2 2 10 21 3" xfId="8418" xr:uid="{00000000-0005-0000-0000-0000E2200000}"/>
    <cellStyle name="Normal 2 2 10 21 3 10" xfId="8419" xr:uid="{00000000-0005-0000-0000-0000E3200000}"/>
    <cellStyle name="Normal 2 2 10 21 3 2" xfId="8420" xr:uid="{00000000-0005-0000-0000-0000E4200000}"/>
    <cellStyle name="Normal 2 2 10 21 3 3" xfId="8421" xr:uid="{00000000-0005-0000-0000-0000E5200000}"/>
    <cellStyle name="Normal 2 2 10 21 3 4" xfId="8422" xr:uid="{00000000-0005-0000-0000-0000E6200000}"/>
    <cellStyle name="Normal 2 2 10 21 3 5" xfId="8423" xr:uid="{00000000-0005-0000-0000-0000E7200000}"/>
    <cellStyle name="Normal 2 2 10 21 3 6" xfId="8424" xr:uid="{00000000-0005-0000-0000-0000E8200000}"/>
    <cellStyle name="Normal 2 2 10 21 3 7" xfId="8425" xr:uid="{00000000-0005-0000-0000-0000E9200000}"/>
    <cellStyle name="Normal 2 2 10 21 3 8" xfId="8426" xr:uid="{00000000-0005-0000-0000-0000EA200000}"/>
    <cellStyle name="Normal 2 2 10 21 3 9" xfId="8427" xr:uid="{00000000-0005-0000-0000-0000EB200000}"/>
    <cellStyle name="Normal 2 2 10 21 4" xfId="8428" xr:uid="{00000000-0005-0000-0000-0000EC200000}"/>
    <cellStyle name="Normal 2 2 10 21 4 10" xfId="8429" xr:uid="{00000000-0005-0000-0000-0000ED200000}"/>
    <cellStyle name="Normal 2 2 10 21 4 2" xfId="8430" xr:uid="{00000000-0005-0000-0000-0000EE200000}"/>
    <cellStyle name="Normal 2 2 10 21 4 3" xfId="8431" xr:uid="{00000000-0005-0000-0000-0000EF200000}"/>
    <cellStyle name="Normal 2 2 10 21 4 4" xfId="8432" xr:uid="{00000000-0005-0000-0000-0000F0200000}"/>
    <cellStyle name="Normal 2 2 10 21 4 5" xfId="8433" xr:uid="{00000000-0005-0000-0000-0000F1200000}"/>
    <cellStyle name="Normal 2 2 10 21 4 6" xfId="8434" xr:uid="{00000000-0005-0000-0000-0000F2200000}"/>
    <cellStyle name="Normal 2 2 10 21 4 7" xfId="8435" xr:uid="{00000000-0005-0000-0000-0000F3200000}"/>
    <cellStyle name="Normal 2 2 10 21 4 8" xfId="8436" xr:uid="{00000000-0005-0000-0000-0000F4200000}"/>
    <cellStyle name="Normal 2 2 10 21 4 9" xfId="8437" xr:uid="{00000000-0005-0000-0000-0000F5200000}"/>
    <cellStyle name="Normal 2 2 10 21 5" xfId="8438" xr:uid="{00000000-0005-0000-0000-0000F6200000}"/>
    <cellStyle name="Normal 2 2 10 21 5 10" xfId="8439" xr:uid="{00000000-0005-0000-0000-0000F7200000}"/>
    <cellStyle name="Normal 2 2 10 21 5 2" xfId="8440" xr:uid="{00000000-0005-0000-0000-0000F8200000}"/>
    <cellStyle name="Normal 2 2 10 21 5 3" xfId="8441" xr:uid="{00000000-0005-0000-0000-0000F9200000}"/>
    <cellStyle name="Normal 2 2 10 21 5 4" xfId="8442" xr:uid="{00000000-0005-0000-0000-0000FA200000}"/>
    <cellStyle name="Normal 2 2 10 21 5 5" xfId="8443" xr:uid="{00000000-0005-0000-0000-0000FB200000}"/>
    <cellStyle name="Normal 2 2 10 21 5 6" xfId="8444" xr:uid="{00000000-0005-0000-0000-0000FC200000}"/>
    <cellStyle name="Normal 2 2 10 21 5 7" xfId="8445" xr:uid="{00000000-0005-0000-0000-0000FD200000}"/>
    <cellStyle name="Normal 2 2 10 21 5 8" xfId="8446" xr:uid="{00000000-0005-0000-0000-0000FE200000}"/>
    <cellStyle name="Normal 2 2 10 21 5 9" xfId="8447" xr:uid="{00000000-0005-0000-0000-0000FF200000}"/>
    <cellStyle name="Normal 2 2 10 21 6" xfId="8448" xr:uid="{00000000-0005-0000-0000-000000210000}"/>
    <cellStyle name="Normal 2 2 10 21 7" xfId="8449" xr:uid="{00000000-0005-0000-0000-000001210000}"/>
    <cellStyle name="Normal 2 2 10 21 8" xfId="8450" xr:uid="{00000000-0005-0000-0000-000002210000}"/>
    <cellStyle name="Normal 2 2 10 21 9" xfId="8451" xr:uid="{00000000-0005-0000-0000-000003210000}"/>
    <cellStyle name="Normal 2 2 10 22" xfId="8452" xr:uid="{00000000-0005-0000-0000-000004210000}"/>
    <cellStyle name="Normal 2 2 10 22 10" xfId="8453" xr:uid="{00000000-0005-0000-0000-000005210000}"/>
    <cellStyle name="Normal 2 2 10 22 11" xfId="8454" xr:uid="{00000000-0005-0000-0000-000006210000}"/>
    <cellStyle name="Normal 2 2 10 22 12" xfId="8455" xr:uid="{00000000-0005-0000-0000-000007210000}"/>
    <cellStyle name="Normal 2 2 10 22 13" xfId="8456" xr:uid="{00000000-0005-0000-0000-000008210000}"/>
    <cellStyle name="Normal 2 2 10 22 14" xfId="8457" xr:uid="{00000000-0005-0000-0000-000009210000}"/>
    <cellStyle name="Normal 2 2 10 22 2" xfId="8458" xr:uid="{00000000-0005-0000-0000-00000A210000}"/>
    <cellStyle name="Normal 2 2 10 22 2 10" xfId="8459" xr:uid="{00000000-0005-0000-0000-00000B210000}"/>
    <cellStyle name="Normal 2 2 10 22 2 2" xfId="8460" xr:uid="{00000000-0005-0000-0000-00000C210000}"/>
    <cellStyle name="Normal 2 2 10 22 2 3" xfId="8461" xr:uid="{00000000-0005-0000-0000-00000D210000}"/>
    <cellStyle name="Normal 2 2 10 22 2 4" xfId="8462" xr:uid="{00000000-0005-0000-0000-00000E210000}"/>
    <cellStyle name="Normal 2 2 10 22 2 5" xfId="8463" xr:uid="{00000000-0005-0000-0000-00000F210000}"/>
    <cellStyle name="Normal 2 2 10 22 2 6" xfId="8464" xr:uid="{00000000-0005-0000-0000-000010210000}"/>
    <cellStyle name="Normal 2 2 10 22 2 7" xfId="8465" xr:uid="{00000000-0005-0000-0000-000011210000}"/>
    <cellStyle name="Normal 2 2 10 22 2 8" xfId="8466" xr:uid="{00000000-0005-0000-0000-000012210000}"/>
    <cellStyle name="Normal 2 2 10 22 2 9" xfId="8467" xr:uid="{00000000-0005-0000-0000-000013210000}"/>
    <cellStyle name="Normal 2 2 10 22 3" xfId="8468" xr:uid="{00000000-0005-0000-0000-000014210000}"/>
    <cellStyle name="Normal 2 2 10 22 3 10" xfId="8469" xr:uid="{00000000-0005-0000-0000-000015210000}"/>
    <cellStyle name="Normal 2 2 10 22 3 2" xfId="8470" xr:uid="{00000000-0005-0000-0000-000016210000}"/>
    <cellStyle name="Normal 2 2 10 22 3 3" xfId="8471" xr:uid="{00000000-0005-0000-0000-000017210000}"/>
    <cellStyle name="Normal 2 2 10 22 3 4" xfId="8472" xr:uid="{00000000-0005-0000-0000-000018210000}"/>
    <cellStyle name="Normal 2 2 10 22 3 5" xfId="8473" xr:uid="{00000000-0005-0000-0000-000019210000}"/>
    <cellStyle name="Normal 2 2 10 22 3 6" xfId="8474" xr:uid="{00000000-0005-0000-0000-00001A210000}"/>
    <cellStyle name="Normal 2 2 10 22 3 7" xfId="8475" xr:uid="{00000000-0005-0000-0000-00001B210000}"/>
    <cellStyle name="Normal 2 2 10 22 3 8" xfId="8476" xr:uid="{00000000-0005-0000-0000-00001C210000}"/>
    <cellStyle name="Normal 2 2 10 22 3 9" xfId="8477" xr:uid="{00000000-0005-0000-0000-00001D210000}"/>
    <cellStyle name="Normal 2 2 10 22 4" xfId="8478" xr:uid="{00000000-0005-0000-0000-00001E210000}"/>
    <cellStyle name="Normal 2 2 10 22 4 10" xfId="8479" xr:uid="{00000000-0005-0000-0000-00001F210000}"/>
    <cellStyle name="Normal 2 2 10 22 4 2" xfId="8480" xr:uid="{00000000-0005-0000-0000-000020210000}"/>
    <cellStyle name="Normal 2 2 10 22 4 3" xfId="8481" xr:uid="{00000000-0005-0000-0000-000021210000}"/>
    <cellStyle name="Normal 2 2 10 22 4 4" xfId="8482" xr:uid="{00000000-0005-0000-0000-000022210000}"/>
    <cellStyle name="Normal 2 2 10 22 4 5" xfId="8483" xr:uid="{00000000-0005-0000-0000-000023210000}"/>
    <cellStyle name="Normal 2 2 10 22 4 6" xfId="8484" xr:uid="{00000000-0005-0000-0000-000024210000}"/>
    <cellStyle name="Normal 2 2 10 22 4 7" xfId="8485" xr:uid="{00000000-0005-0000-0000-000025210000}"/>
    <cellStyle name="Normal 2 2 10 22 4 8" xfId="8486" xr:uid="{00000000-0005-0000-0000-000026210000}"/>
    <cellStyle name="Normal 2 2 10 22 4 9" xfId="8487" xr:uid="{00000000-0005-0000-0000-000027210000}"/>
    <cellStyle name="Normal 2 2 10 22 5" xfId="8488" xr:uid="{00000000-0005-0000-0000-000028210000}"/>
    <cellStyle name="Normal 2 2 10 22 5 10" xfId="8489" xr:uid="{00000000-0005-0000-0000-000029210000}"/>
    <cellStyle name="Normal 2 2 10 22 5 2" xfId="8490" xr:uid="{00000000-0005-0000-0000-00002A210000}"/>
    <cellStyle name="Normal 2 2 10 22 5 3" xfId="8491" xr:uid="{00000000-0005-0000-0000-00002B210000}"/>
    <cellStyle name="Normal 2 2 10 22 5 4" xfId="8492" xr:uid="{00000000-0005-0000-0000-00002C210000}"/>
    <cellStyle name="Normal 2 2 10 22 5 5" xfId="8493" xr:uid="{00000000-0005-0000-0000-00002D210000}"/>
    <cellStyle name="Normal 2 2 10 22 5 6" xfId="8494" xr:uid="{00000000-0005-0000-0000-00002E210000}"/>
    <cellStyle name="Normal 2 2 10 22 5 7" xfId="8495" xr:uid="{00000000-0005-0000-0000-00002F210000}"/>
    <cellStyle name="Normal 2 2 10 22 5 8" xfId="8496" xr:uid="{00000000-0005-0000-0000-000030210000}"/>
    <cellStyle name="Normal 2 2 10 22 5 9" xfId="8497" xr:uid="{00000000-0005-0000-0000-000031210000}"/>
    <cellStyle name="Normal 2 2 10 22 6" xfId="8498" xr:uid="{00000000-0005-0000-0000-000032210000}"/>
    <cellStyle name="Normal 2 2 10 22 7" xfId="8499" xr:uid="{00000000-0005-0000-0000-000033210000}"/>
    <cellStyle name="Normal 2 2 10 22 8" xfId="8500" xr:uid="{00000000-0005-0000-0000-000034210000}"/>
    <cellStyle name="Normal 2 2 10 22 9" xfId="8501" xr:uid="{00000000-0005-0000-0000-000035210000}"/>
    <cellStyle name="Normal 2 2 10 23" xfId="8502" xr:uid="{00000000-0005-0000-0000-000036210000}"/>
    <cellStyle name="Normal 2 2 10 23 10" xfId="8503" xr:uid="{00000000-0005-0000-0000-000037210000}"/>
    <cellStyle name="Normal 2 2 10 23 11" xfId="8504" xr:uid="{00000000-0005-0000-0000-000038210000}"/>
    <cellStyle name="Normal 2 2 10 23 12" xfId="8505" xr:uid="{00000000-0005-0000-0000-000039210000}"/>
    <cellStyle name="Normal 2 2 10 23 13" xfId="8506" xr:uid="{00000000-0005-0000-0000-00003A210000}"/>
    <cellStyle name="Normal 2 2 10 23 14" xfId="8507" xr:uid="{00000000-0005-0000-0000-00003B210000}"/>
    <cellStyle name="Normal 2 2 10 23 2" xfId="8508" xr:uid="{00000000-0005-0000-0000-00003C210000}"/>
    <cellStyle name="Normal 2 2 10 23 2 10" xfId="8509" xr:uid="{00000000-0005-0000-0000-00003D210000}"/>
    <cellStyle name="Normal 2 2 10 23 2 2" xfId="8510" xr:uid="{00000000-0005-0000-0000-00003E210000}"/>
    <cellStyle name="Normal 2 2 10 23 2 3" xfId="8511" xr:uid="{00000000-0005-0000-0000-00003F210000}"/>
    <cellStyle name="Normal 2 2 10 23 2 4" xfId="8512" xr:uid="{00000000-0005-0000-0000-000040210000}"/>
    <cellStyle name="Normal 2 2 10 23 2 5" xfId="8513" xr:uid="{00000000-0005-0000-0000-000041210000}"/>
    <cellStyle name="Normal 2 2 10 23 2 6" xfId="8514" xr:uid="{00000000-0005-0000-0000-000042210000}"/>
    <cellStyle name="Normal 2 2 10 23 2 7" xfId="8515" xr:uid="{00000000-0005-0000-0000-000043210000}"/>
    <cellStyle name="Normal 2 2 10 23 2 8" xfId="8516" xr:uid="{00000000-0005-0000-0000-000044210000}"/>
    <cellStyle name="Normal 2 2 10 23 2 9" xfId="8517" xr:uid="{00000000-0005-0000-0000-000045210000}"/>
    <cellStyle name="Normal 2 2 10 23 3" xfId="8518" xr:uid="{00000000-0005-0000-0000-000046210000}"/>
    <cellStyle name="Normal 2 2 10 23 3 10" xfId="8519" xr:uid="{00000000-0005-0000-0000-000047210000}"/>
    <cellStyle name="Normal 2 2 10 23 3 2" xfId="8520" xr:uid="{00000000-0005-0000-0000-000048210000}"/>
    <cellStyle name="Normal 2 2 10 23 3 3" xfId="8521" xr:uid="{00000000-0005-0000-0000-000049210000}"/>
    <cellStyle name="Normal 2 2 10 23 3 4" xfId="8522" xr:uid="{00000000-0005-0000-0000-00004A210000}"/>
    <cellStyle name="Normal 2 2 10 23 3 5" xfId="8523" xr:uid="{00000000-0005-0000-0000-00004B210000}"/>
    <cellStyle name="Normal 2 2 10 23 3 6" xfId="8524" xr:uid="{00000000-0005-0000-0000-00004C210000}"/>
    <cellStyle name="Normal 2 2 10 23 3 7" xfId="8525" xr:uid="{00000000-0005-0000-0000-00004D210000}"/>
    <cellStyle name="Normal 2 2 10 23 3 8" xfId="8526" xr:uid="{00000000-0005-0000-0000-00004E210000}"/>
    <cellStyle name="Normal 2 2 10 23 3 9" xfId="8527" xr:uid="{00000000-0005-0000-0000-00004F210000}"/>
    <cellStyle name="Normal 2 2 10 23 4" xfId="8528" xr:uid="{00000000-0005-0000-0000-000050210000}"/>
    <cellStyle name="Normal 2 2 10 23 4 10" xfId="8529" xr:uid="{00000000-0005-0000-0000-000051210000}"/>
    <cellStyle name="Normal 2 2 10 23 4 2" xfId="8530" xr:uid="{00000000-0005-0000-0000-000052210000}"/>
    <cellStyle name="Normal 2 2 10 23 4 3" xfId="8531" xr:uid="{00000000-0005-0000-0000-000053210000}"/>
    <cellStyle name="Normal 2 2 10 23 4 4" xfId="8532" xr:uid="{00000000-0005-0000-0000-000054210000}"/>
    <cellStyle name="Normal 2 2 10 23 4 5" xfId="8533" xr:uid="{00000000-0005-0000-0000-000055210000}"/>
    <cellStyle name="Normal 2 2 10 23 4 6" xfId="8534" xr:uid="{00000000-0005-0000-0000-000056210000}"/>
    <cellStyle name="Normal 2 2 10 23 4 7" xfId="8535" xr:uid="{00000000-0005-0000-0000-000057210000}"/>
    <cellStyle name="Normal 2 2 10 23 4 8" xfId="8536" xr:uid="{00000000-0005-0000-0000-000058210000}"/>
    <cellStyle name="Normal 2 2 10 23 4 9" xfId="8537" xr:uid="{00000000-0005-0000-0000-000059210000}"/>
    <cellStyle name="Normal 2 2 10 23 5" xfId="8538" xr:uid="{00000000-0005-0000-0000-00005A210000}"/>
    <cellStyle name="Normal 2 2 10 23 5 10" xfId="8539" xr:uid="{00000000-0005-0000-0000-00005B210000}"/>
    <cellStyle name="Normal 2 2 10 23 5 2" xfId="8540" xr:uid="{00000000-0005-0000-0000-00005C210000}"/>
    <cellStyle name="Normal 2 2 10 23 5 3" xfId="8541" xr:uid="{00000000-0005-0000-0000-00005D210000}"/>
    <cellStyle name="Normal 2 2 10 23 5 4" xfId="8542" xr:uid="{00000000-0005-0000-0000-00005E210000}"/>
    <cellStyle name="Normal 2 2 10 23 5 5" xfId="8543" xr:uid="{00000000-0005-0000-0000-00005F210000}"/>
    <cellStyle name="Normal 2 2 10 23 5 6" xfId="8544" xr:uid="{00000000-0005-0000-0000-000060210000}"/>
    <cellStyle name="Normal 2 2 10 23 5 7" xfId="8545" xr:uid="{00000000-0005-0000-0000-000061210000}"/>
    <cellStyle name="Normal 2 2 10 23 5 8" xfId="8546" xr:uid="{00000000-0005-0000-0000-000062210000}"/>
    <cellStyle name="Normal 2 2 10 23 5 9" xfId="8547" xr:uid="{00000000-0005-0000-0000-000063210000}"/>
    <cellStyle name="Normal 2 2 10 23 6" xfId="8548" xr:uid="{00000000-0005-0000-0000-000064210000}"/>
    <cellStyle name="Normal 2 2 10 23 7" xfId="8549" xr:uid="{00000000-0005-0000-0000-000065210000}"/>
    <cellStyle name="Normal 2 2 10 23 8" xfId="8550" xr:uid="{00000000-0005-0000-0000-000066210000}"/>
    <cellStyle name="Normal 2 2 10 23 9" xfId="8551" xr:uid="{00000000-0005-0000-0000-000067210000}"/>
    <cellStyle name="Normal 2 2 10 24" xfId="8552" xr:uid="{00000000-0005-0000-0000-000068210000}"/>
    <cellStyle name="Normal 2 2 10 24 10" xfId="8553" xr:uid="{00000000-0005-0000-0000-000069210000}"/>
    <cellStyle name="Normal 2 2 10 24 11" xfId="8554" xr:uid="{00000000-0005-0000-0000-00006A210000}"/>
    <cellStyle name="Normal 2 2 10 24 12" xfId="8555" xr:uid="{00000000-0005-0000-0000-00006B210000}"/>
    <cellStyle name="Normal 2 2 10 24 13" xfId="8556" xr:uid="{00000000-0005-0000-0000-00006C210000}"/>
    <cellStyle name="Normal 2 2 10 24 14" xfId="8557" xr:uid="{00000000-0005-0000-0000-00006D210000}"/>
    <cellStyle name="Normal 2 2 10 24 2" xfId="8558" xr:uid="{00000000-0005-0000-0000-00006E210000}"/>
    <cellStyle name="Normal 2 2 10 24 2 10" xfId="8559" xr:uid="{00000000-0005-0000-0000-00006F210000}"/>
    <cellStyle name="Normal 2 2 10 24 2 2" xfId="8560" xr:uid="{00000000-0005-0000-0000-000070210000}"/>
    <cellStyle name="Normal 2 2 10 24 2 3" xfId="8561" xr:uid="{00000000-0005-0000-0000-000071210000}"/>
    <cellStyle name="Normal 2 2 10 24 2 4" xfId="8562" xr:uid="{00000000-0005-0000-0000-000072210000}"/>
    <cellStyle name="Normal 2 2 10 24 2 5" xfId="8563" xr:uid="{00000000-0005-0000-0000-000073210000}"/>
    <cellStyle name="Normal 2 2 10 24 2 6" xfId="8564" xr:uid="{00000000-0005-0000-0000-000074210000}"/>
    <cellStyle name="Normal 2 2 10 24 2 7" xfId="8565" xr:uid="{00000000-0005-0000-0000-000075210000}"/>
    <cellStyle name="Normal 2 2 10 24 2 8" xfId="8566" xr:uid="{00000000-0005-0000-0000-000076210000}"/>
    <cellStyle name="Normal 2 2 10 24 2 9" xfId="8567" xr:uid="{00000000-0005-0000-0000-000077210000}"/>
    <cellStyle name="Normal 2 2 10 24 3" xfId="8568" xr:uid="{00000000-0005-0000-0000-000078210000}"/>
    <cellStyle name="Normal 2 2 10 24 3 10" xfId="8569" xr:uid="{00000000-0005-0000-0000-000079210000}"/>
    <cellStyle name="Normal 2 2 10 24 3 2" xfId="8570" xr:uid="{00000000-0005-0000-0000-00007A210000}"/>
    <cellStyle name="Normal 2 2 10 24 3 3" xfId="8571" xr:uid="{00000000-0005-0000-0000-00007B210000}"/>
    <cellStyle name="Normal 2 2 10 24 3 4" xfId="8572" xr:uid="{00000000-0005-0000-0000-00007C210000}"/>
    <cellStyle name="Normal 2 2 10 24 3 5" xfId="8573" xr:uid="{00000000-0005-0000-0000-00007D210000}"/>
    <cellStyle name="Normal 2 2 10 24 3 6" xfId="8574" xr:uid="{00000000-0005-0000-0000-00007E210000}"/>
    <cellStyle name="Normal 2 2 10 24 3 7" xfId="8575" xr:uid="{00000000-0005-0000-0000-00007F210000}"/>
    <cellStyle name="Normal 2 2 10 24 3 8" xfId="8576" xr:uid="{00000000-0005-0000-0000-000080210000}"/>
    <cellStyle name="Normal 2 2 10 24 3 9" xfId="8577" xr:uid="{00000000-0005-0000-0000-000081210000}"/>
    <cellStyle name="Normal 2 2 10 24 4" xfId="8578" xr:uid="{00000000-0005-0000-0000-000082210000}"/>
    <cellStyle name="Normal 2 2 10 24 4 10" xfId="8579" xr:uid="{00000000-0005-0000-0000-000083210000}"/>
    <cellStyle name="Normal 2 2 10 24 4 2" xfId="8580" xr:uid="{00000000-0005-0000-0000-000084210000}"/>
    <cellStyle name="Normal 2 2 10 24 4 3" xfId="8581" xr:uid="{00000000-0005-0000-0000-000085210000}"/>
    <cellStyle name="Normal 2 2 10 24 4 4" xfId="8582" xr:uid="{00000000-0005-0000-0000-000086210000}"/>
    <cellStyle name="Normal 2 2 10 24 4 5" xfId="8583" xr:uid="{00000000-0005-0000-0000-000087210000}"/>
    <cellStyle name="Normal 2 2 10 24 4 6" xfId="8584" xr:uid="{00000000-0005-0000-0000-000088210000}"/>
    <cellStyle name="Normal 2 2 10 24 4 7" xfId="8585" xr:uid="{00000000-0005-0000-0000-000089210000}"/>
    <cellStyle name="Normal 2 2 10 24 4 8" xfId="8586" xr:uid="{00000000-0005-0000-0000-00008A210000}"/>
    <cellStyle name="Normal 2 2 10 24 4 9" xfId="8587" xr:uid="{00000000-0005-0000-0000-00008B210000}"/>
    <cellStyle name="Normal 2 2 10 24 5" xfId="8588" xr:uid="{00000000-0005-0000-0000-00008C210000}"/>
    <cellStyle name="Normal 2 2 10 24 5 10" xfId="8589" xr:uid="{00000000-0005-0000-0000-00008D210000}"/>
    <cellStyle name="Normal 2 2 10 24 5 2" xfId="8590" xr:uid="{00000000-0005-0000-0000-00008E210000}"/>
    <cellStyle name="Normal 2 2 10 24 5 3" xfId="8591" xr:uid="{00000000-0005-0000-0000-00008F210000}"/>
    <cellStyle name="Normal 2 2 10 24 5 4" xfId="8592" xr:uid="{00000000-0005-0000-0000-000090210000}"/>
    <cellStyle name="Normal 2 2 10 24 5 5" xfId="8593" xr:uid="{00000000-0005-0000-0000-000091210000}"/>
    <cellStyle name="Normal 2 2 10 24 5 6" xfId="8594" xr:uid="{00000000-0005-0000-0000-000092210000}"/>
    <cellStyle name="Normal 2 2 10 24 5 7" xfId="8595" xr:uid="{00000000-0005-0000-0000-000093210000}"/>
    <cellStyle name="Normal 2 2 10 24 5 8" xfId="8596" xr:uid="{00000000-0005-0000-0000-000094210000}"/>
    <cellStyle name="Normal 2 2 10 24 5 9" xfId="8597" xr:uid="{00000000-0005-0000-0000-000095210000}"/>
    <cellStyle name="Normal 2 2 10 24 6" xfId="8598" xr:uid="{00000000-0005-0000-0000-000096210000}"/>
    <cellStyle name="Normal 2 2 10 24 7" xfId="8599" xr:uid="{00000000-0005-0000-0000-000097210000}"/>
    <cellStyle name="Normal 2 2 10 24 8" xfId="8600" xr:uid="{00000000-0005-0000-0000-000098210000}"/>
    <cellStyle name="Normal 2 2 10 24 9" xfId="8601" xr:uid="{00000000-0005-0000-0000-000099210000}"/>
    <cellStyle name="Normal 2 2 10 25" xfId="8602" xr:uid="{00000000-0005-0000-0000-00009A210000}"/>
    <cellStyle name="Normal 2 2 10 25 10" xfId="8603" xr:uid="{00000000-0005-0000-0000-00009B210000}"/>
    <cellStyle name="Normal 2 2 10 25 11" xfId="8604" xr:uid="{00000000-0005-0000-0000-00009C210000}"/>
    <cellStyle name="Normal 2 2 10 25 12" xfId="8605" xr:uid="{00000000-0005-0000-0000-00009D210000}"/>
    <cellStyle name="Normal 2 2 10 25 13" xfId="8606" xr:uid="{00000000-0005-0000-0000-00009E210000}"/>
    <cellStyle name="Normal 2 2 10 25 14" xfId="8607" xr:uid="{00000000-0005-0000-0000-00009F210000}"/>
    <cellStyle name="Normal 2 2 10 25 2" xfId="8608" xr:uid="{00000000-0005-0000-0000-0000A0210000}"/>
    <cellStyle name="Normal 2 2 10 25 2 10" xfId="8609" xr:uid="{00000000-0005-0000-0000-0000A1210000}"/>
    <cellStyle name="Normal 2 2 10 25 2 2" xfId="8610" xr:uid="{00000000-0005-0000-0000-0000A2210000}"/>
    <cellStyle name="Normal 2 2 10 25 2 3" xfId="8611" xr:uid="{00000000-0005-0000-0000-0000A3210000}"/>
    <cellStyle name="Normal 2 2 10 25 2 4" xfId="8612" xr:uid="{00000000-0005-0000-0000-0000A4210000}"/>
    <cellStyle name="Normal 2 2 10 25 2 5" xfId="8613" xr:uid="{00000000-0005-0000-0000-0000A5210000}"/>
    <cellStyle name="Normal 2 2 10 25 2 6" xfId="8614" xr:uid="{00000000-0005-0000-0000-0000A6210000}"/>
    <cellStyle name="Normal 2 2 10 25 2 7" xfId="8615" xr:uid="{00000000-0005-0000-0000-0000A7210000}"/>
    <cellStyle name="Normal 2 2 10 25 2 8" xfId="8616" xr:uid="{00000000-0005-0000-0000-0000A8210000}"/>
    <cellStyle name="Normal 2 2 10 25 2 9" xfId="8617" xr:uid="{00000000-0005-0000-0000-0000A9210000}"/>
    <cellStyle name="Normal 2 2 10 25 3" xfId="8618" xr:uid="{00000000-0005-0000-0000-0000AA210000}"/>
    <cellStyle name="Normal 2 2 10 25 3 10" xfId="8619" xr:uid="{00000000-0005-0000-0000-0000AB210000}"/>
    <cellStyle name="Normal 2 2 10 25 3 2" xfId="8620" xr:uid="{00000000-0005-0000-0000-0000AC210000}"/>
    <cellStyle name="Normal 2 2 10 25 3 3" xfId="8621" xr:uid="{00000000-0005-0000-0000-0000AD210000}"/>
    <cellStyle name="Normal 2 2 10 25 3 4" xfId="8622" xr:uid="{00000000-0005-0000-0000-0000AE210000}"/>
    <cellStyle name="Normal 2 2 10 25 3 5" xfId="8623" xr:uid="{00000000-0005-0000-0000-0000AF210000}"/>
    <cellStyle name="Normal 2 2 10 25 3 6" xfId="8624" xr:uid="{00000000-0005-0000-0000-0000B0210000}"/>
    <cellStyle name="Normal 2 2 10 25 3 7" xfId="8625" xr:uid="{00000000-0005-0000-0000-0000B1210000}"/>
    <cellStyle name="Normal 2 2 10 25 3 8" xfId="8626" xr:uid="{00000000-0005-0000-0000-0000B2210000}"/>
    <cellStyle name="Normal 2 2 10 25 3 9" xfId="8627" xr:uid="{00000000-0005-0000-0000-0000B3210000}"/>
    <cellStyle name="Normal 2 2 10 25 4" xfId="8628" xr:uid="{00000000-0005-0000-0000-0000B4210000}"/>
    <cellStyle name="Normal 2 2 10 25 4 10" xfId="8629" xr:uid="{00000000-0005-0000-0000-0000B5210000}"/>
    <cellStyle name="Normal 2 2 10 25 4 2" xfId="8630" xr:uid="{00000000-0005-0000-0000-0000B6210000}"/>
    <cellStyle name="Normal 2 2 10 25 4 3" xfId="8631" xr:uid="{00000000-0005-0000-0000-0000B7210000}"/>
    <cellStyle name="Normal 2 2 10 25 4 4" xfId="8632" xr:uid="{00000000-0005-0000-0000-0000B8210000}"/>
    <cellStyle name="Normal 2 2 10 25 4 5" xfId="8633" xr:uid="{00000000-0005-0000-0000-0000B9210000}"/>
    <cellStyle name="Normal 2 2 10 25 4 6" xfId="8634" xr:uid="{00000000-0005-0000-0000-0000BA210000}"/>
    <cellStyle name="Normal 2 2 10 25 4 7" xfId="8635" xr:uid="{00000000-0005-0000-0000-0000BB210000}"/>
    <cellStyle name="Normal 2 2 10 25 4 8" xfId="8636" xr:uid="{00000000-0005-0000-0000-0000BC210000}"/>
    <cellStyle name="Normal 2 2 10 25 4 9" xfId="8637" xr:uid="{00000000-0005-0000-0000-0000BD210000}"/>
    <cellStyle name="Normal 2 2 10 25 5" xfId="8638" xr:uid="{00000000-0005-0000-0000-0000BE210000}"/>
    <cellStyle name="Normal 2 2 10 25 5 10" xfId="8639" xr:uid="{00000000-0005-0000-0000-0000BF210000}"/>
    <cellStyle name="Normal 2 2 10 25 5 2" xfId="8640" xr:uid="{00000000-0005-0000-0000-0000C0210000}"/>
    <cellStyle name="Normal 2 2 10 25 5 3" xfId="8641" xr:uid="{00000000-0005-0000-0000-0000C1210000}"/>
    <cellStyle name="Normal 2 2 10 25 5 4" xfId="8642" xr:uid="{00000000-0005-0000-0000-0000C2210000}"/>
    <cellStyle name="Normal 2 2 10 25 5 5" xfId="8643" xr:uid="{00000000-0005-0000-0000-0000C3210000}"/>
    <cellStyle name="Normal 2 2 10 25 5 6" xfId="8644" xr:uid="{00000000-0005-0000-0000-0000C4210000}"/>
    <cellStyle name="Normal 2 2 10 25 5 7" xfId="8645" xr:uid="{00000000-0005-0000-0000-0000C5210000}"/>
    <cellStyle name="Normal 2 2 10 25 5 8" xfId="8646" xr:uid="{00000000-0005-0000-0000-0000C6210000}"/>
    <cellStyle name="Normal 2 2 10 25 5 9" xfId="8647" xr:uid="{00000000-0005-0000-0000-0000C7210000}"/>
    <cellStyle name="Normal 2 2 10 25 6" xfId="8648" xr:uid="{00000000-0005-0000-0000-0000C8210000}"/>
    <cellStyle name="Normal 2 2 10 25 7" xfId="8649" xr:uid="{00000000-0005-0000-0000-0000C9210000}"/>
    <cellStyle name="Normal 2 2 10 25 8" xfId="8650" xr:uid="{00000000-0005-0000-0000-0000CA210000}"/>
    <cellStyle name="Normal 2 2 10 25 9" xfId="8651" xr:uid="{00000000-0005-0000-0000-0000CB210000}"/>
    <cellStyle name="Normal 2 2 10 26" xfId="8652" xr:uid="{00000000-0005-0000-0000-0000CC210000}"/>
    <cellStyle name="Normal 2 2 10 26 10" xfId="8653" xr:uid="{00000000-0005-0000-0000-0000CD210000}"/>
    <cellStyle name="Normal 2 2 10 26 11" xfId="8654" xr:uid="{00000000-0005-0000-0000-0000CE210000}"/>
    <cellStyle name="Normal 2 2 10 26 12" xfId="8655" xr:uid="{00000000-0005-0000-0000-0000CF210000}"/>
    <cellStyle name="Normal 2 2 10 26 13" xfId="8656" xr:uid="{00000000-0005-0000-0000-0000D0210000}"/>
    <cellStyle name="Normal 2 2 10 26 14" xfId="8657" xr:uid="{00000000-0005-0000-0000-0000D1210000}"/>
    <cellStyle name="Normal 2 2 10 26 2" xfId="8658" xr:uid="{00000000-0005-0000-0000-0000D2210000}"/>
    <cellStyle name="Normal 2 2 10 26 2 10" xfId="8659" xr:uid="{00000000-0005-0000-0000-0000D3210000}"/>
    <cellStyle name="Normal 2 2 10 26 2 2" xfId="8660" xr:uid="{00000000-0005-0000-0000-0000D4210000}"/>
    <cellStyle name="Normal 2 2 10 26 2 3" xfId="8661" xr:uid="{00000000-0005-0000-0000-0000D5210000}"/>
    <cellStyle name="Normal 2 2 10 26 2 4" xfId="8662" xr:uid="{00000000-0005-0000-0000-0000D6210000}"/>
    <cellStyle name="Normal 2 2 10 26 2 5" xfId="8663" xr:uid="{00000000-0005-0000-0000-0000D7210000}"/>
    <cellStyle name="Normal 2 2 10 26 2 6" xfId="8664" xr:uid="{00000000-0005-0000-0000-0000D8210000}"/>
    <cellStyle name="Normal 2 2 10 26 2 7" xfId="8665" xr:uid="{00000000-0005-0000-0000-0000D9210000}"/>
    <cellStyle name="Normal 2 2 10 26 2 8" xfId="8666" xr:uid="{00000000-0005-0000-0000-0000DA210000}"/>
    <cellStyle name="Normal 2 2 10 26 2 9" xfId="8667" xr:uid="{00000000-0005-0000-0000-0000DB210000}"/>
    <cellStyle name="Normal 2 2 10 26 3" xfId="8668" xr:uid="{00000000-0005-0000-0000-0000DC210000}"/>
    <cellStyle name="Normal 2 2 10 26 3 10" xfId="8669" xr:uid="{00000000-0005-0000-0000-0000DD210000}"/>
    <cellStyle name="Normal 2 2 10 26 3 2" xfId="8670" xr:uid="{00000000-0005-0000-0000-0000DE210000}"/>
    <cellStyle name="Normal 2 2 10 26 3 3" xfId="8671" xr:uid="{00000000-0005-0000-0000-0000DF210000}"/>
    <cellStyle name="Normal 2 2 10 26 3 4" xfId="8672" xr:uid="{00000000-0005-0000-0000-0000E0210000}"/>
    <cellStyle name="Normal 2 2 10 26 3 5" xfId="8673" xr:uid="{00000000-0005-0000-0000-0000E1210000}"/>
    <cellStyle name="Normal 2 2 10 26 3 6" xfId="8674" xr:uid="{00000000-0005-0000-0000-0000E2210000}"/>
    <cellStyle name="Normal 2 2 10 26 3 7" xfId="8675" xr:uid="{00000000-0005-0000-0000-0000E3210000}"/>
    <cellStyle name="Normal 2 2 10 26 3 8" xfId="8676" xr:uid="{00000000-0005-0000-0000-0000E4210000}"/>
    <cellStyle name="Normal 2 2 10 26 3 9" xfId="8677" xr:uid="{00000000-0005-0000-0000-0000E5210000}"/>
    <cellStyle name="Normal 2 2 10 26 4" xfId="8678" xr:uid="{00000000-0005-0000-0000-0000E6210000}"/>
    <cellStyle name="Normal 2 2 10 26 4 10" xfId="8679" xr:uid="{00000000-0005-0000-0000-0000E7210000}"/>
    <cellStyle name="Normal 2 2 10 26 4 2" xfId="8680" xr:uid="{00000000-0005-0000-0000-0000E8210000}"/>
    <cellStyle name="Normal 2 2 10 26 4 3" xfId="8681" xr:uid="{00000000-0005-0000-0000-0000E9210000}"/>
    <cellStyle name="Normal 2 2 10 26 4 4" xfId="8682" xr:uid="{00000000-0005-0000-0000-0000EA210000}"/>
    <cellStyle name="Normal 2 2 10 26 4 5" xfId="8683" xr:uid="{00000000-0005-0000-0000-0000EB210000}"/>
    <cellStyle name="Normal 2 2 10 26 4 6" xfId="8684" xr:uid="{00000000-0005-0000-0000-0000EC210000}"/>
    <cellStyle name="Normal 2 2 10 26 4 7" xfId="8685" xr:uid="{00000000-0005-0000-0000-0000ED210000}"/>
    <cellStyle name="Normal 2 2 10 26 4 8" xfId="8686" xr:uid="{00000000-0005-0000-0000-0000EE210000}"/>
    <cellStyle name="Normal 2 2 10 26 4 9" xfId="8687" xr:uid="{00000000-0005-0000-0000-0000EF210000}"/>
    <cellStyle name="Normal 2 2 10 26 5" xfId="8688" xr:uid="{00000000-0005-0000-0000-0000F0210000}"/>
    <cellStyle name="Normal 2 2 10 26 5 10" xfId="8689" xr:uid="{00000000-0005-0000-0000-0000F1210000}"/>
    <cellStyle name="Normal 2 2 10 26 5 2" xfId="8690" xr:uid="{00000000-0005-0000-0000-0000F2210000}"/>
    <cellStyle name="Normal 2 2 10 26 5 3" xfId="8691" xr:uid="{00000000-0005-0000-0000-0000F3210000}"/>
    <cellStyle name="Normal 2 2 10 26 5 4" xfId="8692" xr:uid="{00000000-0005-0000-0000-0000F4210000}"/>
    <cellStyle name="Normal 2 2 10 26 5 5" xfId="8693" xr:uid="{00000000-0005-0000-0000-0000F5210000}"/>
    <cellStyle name="Normal 2 2 10 26 5 6" xfId="8694" xr:uid="{00000000-0005-0000-0000-0000F6210000}"/>
    <cellStyle name="Normal 2 2 10 26 5 7" xfId="8695" xr:uid="{00000000-0005-0000-0000-0000F7210000}"/>
    <cellStyle name="Normal 2 2 10 26 5 8" xfId="8696" xr:uid="{00000000-0005-0000-0000-0000F8210000}"/>
    <cellStyle name="Normal 2 2 10 26 5 9" xfId="8697" xr:uid="{00000000-0005-0000-0000-0000F9210000}"/>
    <cellStyle name="Normal 2 2 10 26 6" xfId="8698" xr:uid="{00000000-0005-0000-0000-0000FA210000}"/>
    <cellStyle name="Normal 2 2 10 26 7" xfId="8699" xr:uid="{00000000-0005-0000-0000-0000FB210000}"/>
    <cellStyle name="Normal 2 2 10 26 8" xfId="8700" xr:uid="{00000000-0005-0000-0000-0000FC210000}"/>
    <cellStyle name="Normal 2 2 10 26 9" xfId="8701" xr:uid="{00000000-0005-0000-0000-0000FD210000}"/>
    <cellStyle name="Normal 2 2 10 27" xfId="8702" xr:uid="{00000000-0005-0000-0000-0000FE210000}"/>
    <cellStyle name="Normal 2 2 10 27 10" xfId="8703" xr:uid="{00000000-0005-0000-0000-0000FF210000}"/>
    <cellStyle name="Normal 2 2 10 27 11" xfId="8704" xr:uid="{00000000-0005-0000-0000-000000220000}"/>
    <cellStyle name="Normal 2 2 10 27 12" xfId="8705" xr:uid="{00000000-0005-0000-0000-000001220000}"/>
    <cellStyle name="Normal 2 2 10 27 13" xfId="8706" xr:uid="{00000000-0005-0000-0000-000002220000}"/>
    <cellStyle name="Normal 2 2 10 27 14" xfId="8707" xr:uid="{00000000-0005-0000-0000-000003220000}"/>
    <cellStyle name="Normal 2 2 10 27 2" xfId="8708" xr:uid="{00000000-0005-0000-0000-000004220000}"/>
    <cellStyle name="Normal 2 2 10 27 2 10" xfId="8709" xr:uid="{00000000-0005-0000-0000-000005220000}"/>
    <cellStyle name="Normal 2 2 10 27 2 2" xfId="8710" xr:uid="{00000000-0005-0000-0000-000006220000}"/>
    <cellStyle name="Normal 2 2 10 27 2 3" xfId="8711" xr:uid="{00000000-0005-0000-0000-000007220000}"/>
    <cellStyle name="Normal 2 2 10 27 2 4" xfId="8712" xr:uid="{00000000-0005-0000-0000-000008220000}"/>
    <cellStyle name="Normal 2 2 10 27 2 5" xfId="8713" xr:uid="{00000000-0005-0000-0000-000009220000}"/>
    <cellStyle name="Normal 2 2 10 27 2 6" xfId="8714" xr:uid="{00000000-0005-0000-0000-00000A220000}"/>
    <cellStyle name="Normal 2 2 10 27 2 7" xfId="8715" xr:uid="{00000000-0005-0000-0000-00000B220000}"/>
    <cellStyle name="Normal 2 2 10 27 2 8" xfId="8716" xr:uid="{00000000-0005-0000-0000-00000C220000}"/>
    <cellStyle name="Normal 2 2 10 27 2 9" xfId="8717" xr:uid="{00000000-0005-0000-0000-00000D220000}"/>
    <cellStyle name="Normal 2 2 10 27 3" xfId="8718" xr:uid="{00000000-0005-0000-0000-00000E220000}"/>
    <cellStyle name="Normal 2 2 10 27 3 10" xfId="8719" xr:uid="{00000000-0005-0000-0000-00000F220000}"/>
    <cellStyle name="Normal 2 2 10 27 3 2" xfId="8720" xr:uid="{00000000-0005-0000-0000-000010220000}"/>
    <cellStyle name="Normal 2 2 10 27 3 3" xfId="8721" xr:uid="{00000000-0005-0000-0000-000011220000}"/>
    <cellStyle name="Normal 2 2 10 27 3 4" xfId="8722" xr:uid="{00000000-0005-0000-0000-000012220000}"/>
    <cellStyle name="Normal 2 2 10 27 3 5" xfId="8723" xr:uid="{00000000-0005-0000-0000-000013220000}"/>
    <cellStyle name="Normal 2 2 10 27 3 6" xfId="8724" xr:uid="{00000000-0005-0000-0000-000014220000}"/>
    <cellStyle name="Normal 2 2 10 27 3 7" xfId="8725" xr:uid="{00000000-0005-0000-0000-000015220000}"/>
    <cellStyle name="Normal 2 2 10 27 3 8" xfId="8726" xr:uid="{00000000-0005-0000-0000-000016220000}"/>
    <cellStyle name="Normal 2 2 10 27 3 9" xfId="8727" xr:uid="{00000000-0005-0000-0000-000017220000}"/>
    <cellStyle name="Normal 2 2 10 27 4" xfId="8728" xr:uid="{00000000-0005-0000-0000-000018220000}"/>
    <cellStyle name="Normal 2 2 10 27 4 10" xfId="8729" xr:uid="{00000000-0005-0000-0000-000019220000}"/>
    <cellStyle name="Normal 2 2 10 27 4 2" xfId="8730" xr:uid="{00000000-0005-0000-0000-00001A220000}"/>
    <cellStyle name="Normal 2 2 10 27 4 3" xfId="8731" xr:uid="{00000000-0005-0000-0000-00001B220000}"/>
    <cellStyle name="Normal 2 2 10 27 4 4" xfId="8732" xr:uid="{00000000-0005-0000-0000-00001C220000}"/>
    <cellStyle name="Normal 2 2 10 27 4 5" xfId="8733" xr:uid="{00000000-0005-0000-0000-00001D220000}"/>
    <cellStyle name="Normal 2 2 10 27 4 6" xfId="8734" xr:uid="{00000000-0005-0000-0000-00001E220000}"/>
    <cellStyle name="Normal 2 2 10 27 4 7" xfId="8735" xr:uid="{00000000-0005-0000-0000-00001F220000}"/>
    <cellStyle name="Normal 2 2 10 27 4 8" xfId="8736" xr:uid="{00000000-0005-0000-0000-000020220000}"/>
    <cellStyle name="Normal 2 2 10 27 4 9" xfId="8737" xr:uid="{00000000-0005-0000-0000-000021220000}"/>
    <cellStyle name="Normal 2 2 10 27 5" xfId="8738" xr:uid="{00000000-0005-0000-0000-000022220000}"/>
    <cellStyle name="Normal 2 2 10 27 5 10" xfId="8739" xr:uid="{00000000-0005-0000-0000-000023220000}"/>
    <cellStyle name="Normal 2 2 10 27 5 2" xfId="8740" xr:uid="{00000000-0005-0000-0000-000024220000}"/>
    <cellStyle name="Normal 2 2 10 27 5 3" xfId="8741" xr:uid="{00000000-0005-0000-0000-000025220000}"/>
    <cellStyle name="Normal 2 2 10 27 5 4" xfId="8742" xr:uid="{00000000-0005-0000-0000-000026220000}"/>
    <cellStyle name="Normal 2 2 10 27 5 5" xfId="8743" xr:uid="{00000000-0005-0000-0000-000027220000}"/>
    <cellStyle name="Normal 2 2 10 27 5 6" xfId="8744" xr:uid="{00000000-0005-0000-0000-000028220000}"/>
    <cellStyle name="Normal 2 2 10 27 5 7" xfId="8745" xr:uid="{00000000-0005-0000-0000-000029220000}"/>
    <cellStyle name="Normal 2 2 10 27 5 8" xfId="8746" xr:uid="{00000000-0005-0000-0000-00002A220000}"/>
    <cellStyle name="Normal 2 2 10 27 5 9" xfId="8747" xr:uid="{00000000-0005-0000-0000-00002B220000}"/>
    <cellStyle name="Normal 2 2 10 27 6" xfId="8748" xr:uid="{00000000-0005-0000-0000-00002C220000}"/>
    <cellStyle name="Normal 2 2 10 27 7" xfId="8749" xr:uid="{00000000-0005-0000-0000-00002D220000}"/>
    <cellStyle name="Normal 2 2 10 27 8" xfId="8750" xr:uid="{00000000-0005-0000-0000-00002E220000}"/>
    <cellStyle name="Normal 2 2 10 27 9" xfId="8751" xr:uid="{00000000-0005-0000-0000-00002F220000}"/>
    <cellStyle name="Normal 2 2 10 28" xfId="8752" xr:uid="{00000000-0005-0000-0000-000030220000}"/>
    <cellStyle name="Normal 2 2 10 28 10" xfId="8753" xr:uid="{00000000-0005-0000-0000-000031220000}"/>
    <cellStyle name="Normal 2 2 10 28 11" xfId="8754" xr:uid="{00000000-0005-0000-0000-000032220000}"/>
    <cellStyle name="Normal 2 2 10 28 12" xfId="8755" xr:uid="{00000000-0005-0000-0000-000033220000}"/>
    <cellStyle name="Normal 2 2 10 28 13" xfId="8756" xr:uid="{00000000-0005-0000-0000-000034220000}"/>
    <cellStyle name="Normal 2 2 10 28 14" xfId="8757" xr:uid="{00000000-0005-0000-0000-000035220000}"/>
    <cellStyle name="Normal 2 2 10 28 2" xfId="8758" xr:uid="{00000000-0005-0000-0000-000036220000}"/>
    <cellStyle name="Normal 2 2 10 28 2 10" xfId="8759" xr:uid="{00000000-0005-0000-0000-000037220000}"/>
    <cellStyle name="Normal 2 2 10 28 2 2" xfId="8760" xr:uid="{00000000-0005-0000-0000-000038220000}"/>
    <cellStyle name="Normal 2 2 10 28 2 3" xfId="8761" xr:uid="{00000000-0005-0000-0000-000039220000}"/>
    <cellStyle name="Normal 2 2 10 28 2 4" xfId="8762" xr:uid="{00000000-0005-0000-0000-00003A220000}"/>
    <cellStyle name="Normal 2 2 10 28 2 5" xfId="8763" xr:uid="{00000000-0005-0000-0000-00003B220000}"/>
    <cellStyle name="Normal 2 2 10 28 2 6" xfId="8764" xr:uid="{00000000-0005-0000-0000-00003C220000}"/>
    <cellStyle name="Normal 2 2 10 28 2 7" xfId="8765" xr:uid="{00000000-0005-0000-0000-00003D220000}"/>
    <cellStyle name="Normal 2 2 10 28 2 8" xfId="8766" xr:uid="{00000000-0005-0000-0000-00003E220000}"/>
    <cellStyle name="Normal 2 2 10 28 2 9" xfId="8767" xr:uid="{00000000-0005-0000-0000-00003F220000}"/>
    <cellStyle name="Normal 2 2 10 28 3" xfId="8768" xr:uid="{00000000-0005-0000-0000-000040220000}"/>
    <cellStyle name="Normal 2 2 10 28 3 10" xfId="8769" xr:uid="{00000000-0005-0000-0000-000041220000}"/>
    <cellStyle name="Normal 2 2 10 28 3 2" xfId="8770" xr:uid="{00000000-0005-0000-0000-000042220000}"/>
    <cellStyle name="Normal 2 2 10 28 3 3" xfId="8771" xr:uid="{00000000-0005-0000-0000-000043220000}"/>
    <cellStyle name="Normal 2 2 10 28 3 4" xfId="8772" xr:uid="{00000000-0005-0000-0000-000044220000}"/>
    <cellStyle name="Normal 2 2 10 28 3 5" xfId="8773" xr:uid="{00000000-0005-0000-0000-000045220000}"/>
    <cellStyle name="Normal 2 2 10 28 3 6" xfId="8774" xr:uid="{00000000-0005-0000-0000-000046220000}"/>
    <cellStyle name="Normal 2 2 10 28 3 7" xfId="8775" xr:uid="{00000000-0005-0000-0000-000047220000}"/>
    <cellStyle name="Normal 2 2 10 28 3 8" xfId="8776" xr:uid="{00000000-0005-0000-0000-000048220000}"/>
    <cellStyle name="Normal 2 2 10 28 3 9" xfId="8777" xr:uid="{00000000-0005-0000-0000-000049220000}"/>
    <cellStyle name="Normal 2 2 10 28 4" xfId="8778" xr:uid="{00000000-0005-0000-0000-00004A220000}"/>
    <cellStyle name="Normal 2 2 10 28 4 10" xfId="8779" xr:uid="{00000000-0005-0000-0000-00004B220000}"/>
    <cellStyle name="Normal 2 2 10 28 4 2" xfId="8780" xr:uid="{00000000-0005-0000-0000-00004C220000}"/>
    <cellStyle name="Normal 2 2 10 28 4 3" xfId="8781" xr:uid="{00000000-0005-0000-0000-00004D220000}"/>
    <cellStyle name="Normal 2 2 10 28 4 4" xfId="8782" xr:uid="{00000000-0005-0000-0000-00004E220000}"/>
    <cellStyle name="Normal 2 2 10 28 4 5" xfId="8783" xr:uid="{00000000-0005-0000-0000-00004F220000}"/>
    <cellStyle name="Normal 2 2 10 28 4 6" xfId="8784" xr:uid="{00000000-0005-0000-0000-000050220000}"/>
    <cellStyle name="Normal 2 2 10 28 4 7" xfId="8785" xr:uid="{00000000-0005-0000-0000-000051220000}"/>
    <cellStyle name="Normal 2 2 10 28 4 8" xfId="8786" xr:uid="{00000000-0005-0000-0000-000052220000}"/>
    <cellStyle name="Normal 2 2 10 28 4 9" xfId="8787" xr:uid="{00000000-0005-0000-0000-000053220000}"/>
    <cellStyle name="Normal 2 2 10 28 5" xfId="8788" xr:uid="{00000000-0005-0000-0000-000054220000}"/>
    <cellStyle name="Normal 2 2 10 28 5 10" xfId="8789" xr:uid="{00000000-0005-0000-0000-000055220000}"/>
    <cellStyle name="Normal 2 2 10 28 5 2" xfId="8790" xr:uid="{00000000-0005-0000-0000-000056220000}"/>
    <cellStyle name="Normal 2 2 10 28 5 3" xfId="8791" xr:uid="{00000000-0005-0000-0000-000057220000}"/>
    <cellStyle name="Normal 2 2 10 28 5 4" xfId="8792" xr:uid="{00000000-0005-0000-0000-000058220000}"/>
    <cellStyle name="Normal 2 2 10 28 5 5" xfId="8793" xr:uid="{00000000-0005-0000-0000-000059220000}"/>
    <cellStyle name="Normal 2 2 10 28 5 6" xfId="8794" xr:uid="{00000000-0005-0000-0000-00005A220000}"/>
    <cellStyle name="Normal 2 2 10 28 5 7" xfId="8795" xr:uid="{00000000-0005-0000-0000-00005B220000}"/>
    <cellStyle name="Normal 2 2 10 28 5 8" xfId="8796" xr:uid="{00000000-0005-0000-0000-00005C220000}"/>
    <cellStyle name="Normal 2 2 10 28 5 9" xfId="8797" xr:uid="{00000000-0005-0000-0000-00005D220000}"/>
    <cellStyle name="Normal 2 2 10 28 6" xfId="8798" xr:uid="{00000000-0005-0000-0000-00005E220000}"/>
    <cellStyle name="Normal 2 2 10 28 7" xfId="8799" xr:uid="{00000000-0005-0000-0000-00005F220000}"/>
    <cellStyle name="Normal 2 2 10 28 8" xfId="8800" xr:uid="{00000000-0005-0000-0000-000060220000}"/>
    <cellStyle name="Normal 2 2 10 28 9" xfId="8801" xr:uid="{00000000-0005-0000-0000-000061220000}"/>
    <cellStyle name="Normal 2 2 10 29" xfId="8802" xr:uid="{00000000-0005-0000-0000-000062220000}"/>
    <cellStyle name="Normal 2 2 10 29 10" xfId="8803" xr:uid="{00000000-0005-0000-0000-000063220000}"/>
    <cellStyle name="Normal 2 2 10 29 11" xfId="8804" xr:uid="{00000000-0005-0000-0000-000064220000}"/>
    <cellStyle name="Normal 2 2 10 29 12" xfId="8805" xr:uid="{00000000-0005-0000-0000-000065220000}"/>
    <cellStyle name="Normal 2 2 10 29 13" xfId="8806" xr:uid="{00000000-0005-0000-0000-000066220000}"/>
    <cellStyle name="Normal 2 2 10 29 14" xfId="8807" xr:uid="{00000000-0005-0000-0000-000067220000}"/>
    <cellStyle name="Normal 2 2 10 29 2" xfId="8808" xr:uid="{00000000-0005-0000-0000-000068220000}"/>
    <cellStyle name="Normal 2 2 10 29 2 10" xfId="8809" xr:uid="{00000000-0005-0000-0000-000069220000}"/>
    <cellStyle name="Normal 2 2 10 29 2 2" xfId="8810" xr:uid="{00000000-0005-0000-0000-00006A220000}"/>
    <cellStyle name="Normal 2 2 10 29 2 3" xfId="8811" xr:uid="{00000000-0005-0000-0000-00006B220000}"/>
    <cellStyle name="Normal 2 2 10 29 2 4" xfId="8812" xr:uid="{00000000-0005-0000-0000-00006C220000}"/>
    <cellStyle name="Normal 2 2 10 29 2 5" xfId="8813" xr:uid="{00000000-0005-0000-0000-00006D220000}"/>
    <cellStyle name="Normal 2 2 10 29 2 6" xfId="8814" xr:uid="{00000000-0005-0000-0000-00006E220000}"/>
    <cellStyle name="Normal 2 2 10 29 2 7" xfId="8815" xr:uid="{00000000-0005-0000-0000-00006F220000}"/>
    <cellStyle name="Normal 2 2 10 29 2 8" xfId="8816" xr:uid="{00000000-0005-0000-0000-000070220000}"/>
    <cellStyle name="Normal 2 2 10 29 2 9" xfId="8817" xr:uid="{00000000-0005-0000-0000-000071220000}"/>
    <cellStyle name="Normal 2 2 10 29 3" xfId="8818" xr:uid="{00000000-0005-0000-0000-000072220000}"/>
    <cellStyle name="Normal 2 2 10 29 3 10" xfId="8819" xr:uid="{00000000-0005-0000-0000-000073220000}"/>
    <cellStyle name="Normal 2 2 10 29 3 2" xfId="8820" xr:uid="{00000000-0005-0000-0000-000074220000}"/>
    <cellStyle name="Normal 2 2 10 29 3 3" xfId="8821" xr:uid="{00000000-0005-0000-0000-000075220000}"/>
    <cellStyle name="Normal 2 2 10 29 3 4" xfId="8822" xr:uid="{00000000-0005-0000-0000-000076220000}"/>
    <cellStyle name="Normal 2 2 10 29 3 5" xfId="8823" xr:uid="{00000000-0005-0000-0000-000077220000}"/>
    <cellStyle name="Normal 2 2 10 29 3 6" xfId="8824" xr:uid="{00000000-0005-0000-0000-000078220000}"/>
    <cellStyle name="Normal 2 2 10 29 3 7" xfId="8825" xr:uid="{00000000-0005-0000-0000-000079220000}"/>
    <cellStyle name="Normal 2 2 10 29 3 8" xfId="8826" xr:uid="{00000000-0005-0000-0000-00007A220000}"/>
    <cellStyle name="Normal 2 2 10 29 3 9" xfId="8827" xr:uid="{00000000-0005-0000-0000-00007B220000}"/>
    <cellStyle name="Normal 2 2 10 29 4" xfId="8828" xr:uid="{00000000-0005-0000-0000-00007C220000}"/>
    <cellStyle name="Normal 2 2 10 29 4 10" xfId="8829" xr:uid="{00000000-0005-0000-0000-00007D220000}"/>
    <cellStyle name="Normal 2 2 10 29 4 2" xfId="8830" xr:uid="{00000000-0005-0000-0000-00007E220000}"/>
    <cellStyle name="Normal 2 2 10 29 4 3" xfId="8831" xr:uid="{00000000-0005-0000-0000-00007F220000}"/>
    <cellStyle name="Normal 2 2 10 29 4 4" xfId="8832" xr:uid="{00000000-0005-0000-0000-000080220000}"/>
    <cellStyle name="Normal 2 2 10 29 4 5" xfId="8833" xr:uid="{00000000-0005-0000-0000-000081220000}"/>
    <cellStyle name="Normal 2 2 10 29 4 6" xfId="8834" xr:uid="{00000000-0005-0000-0000-000082220000}"/>
    <cellStyle name="Normal 2 2 10 29 4 7" xfId="8835" xr:uid="{00000000-0005-0000-0000-000083220000}"/>
    <cellStyle name="Normal 2 2 10 29 4 8" xfId="8836" xr:uid="{00000000-0005-0000-0000-000084220000}"/>
    <cellStyle name="Normal 2 2 10 29 4 9" xfId="8837" xr:uid="{00000000-0005-0000-0000-000085220000}"/>
    <cellStyle name="Normal 2 2 10 29 5" xfId="8838" xr:uid="{00000000-0005-0000-0000-000086220000}"/>
    <cellStyle name="Normal 2 2 10 29 5 10" xfId="8839" xr:uid="{00000000-0005-0000-0000-000087220000}"/>
    <cellStyle name="Normal 2 2 10 29 5 2" xfId="8840" xr:uid="{00000000-0005-0000-0000-000088220000}"/>
    <cellStyle name="Normal 2 2 10 29 5 3" xfId="8841" xr:uid="{00000000-0005-0000-0000-000089220000}"/>
    <cellStyle name="Normal 2 2 10 29 5 4" xfId="8842" xr:uid="{00000000-0005-0000-0000-00008A220000}"/>
    <cellStyle name="Normal 2 2 10 29 5 5" xfId="8843" xr:uid="{00000000-0005-0000-0000-00008B220000}"/>
    <cellStyle name="Normal 2 2 10 29 5 6" xfId="8844" xr:uid="{00000000-0005-0000-0000-00008C220000}"/>
    <cellStyle name="Normal 2 2 10 29 5 7" xfId="8845" xr:uid="{00000000-0005-0000-0000-00008D220000}"/>
    <cellStyle name="Normal 2 2 10 29 5 8" xfId="8846" xr:uid="{00000000-0005-0000-0000-00008E220000}"/>
    <cellStyle name="Normal 2 2 10 29 5 9" xfId="8847" xr:uid="{00000000-0005-0000-0000-00008F220000}"/>
    <cellStyle name="Normal 2 2 10 29 6" xfId="8848" xr:uid="{00000000-0005-0000-0000-000090220000}"/>
    <cellStyle name="Normal 2 2 10 29 7" xfId="8849" xr:uid="{00000000-0005-0000-0000-000091220000}"/>
    <cellStyle name="Normal 2 2 10 29 8" xfId="8850" xr:uid="{00000000-0005-0000-0000-000092220000}"/>
    <cellStyle name="Normal 2 2 10 29 9" xfId="8851" xr:uid="{00000000-0005-0000-0000-000093220000}"/>
    <cellStyle name="Normal 2 2 10 3" xfId="8852" xr:uid="{00000000-0005-0000-0000-000094220000}"/>
    <cellStyle name="Normal 2 2 10 3 10" xfId="8853" xr:uid="{00000000-0005-0000-0000-000095220000}"/>
    <cellStyle name="Normal 2 2 10 3 11" xfId="8854" xr:uid="{00000000-0005-0000-0000-000096220000}"/>
    <cellStyle name="Normal 2 2 10 3 12" xfId="8855" xr:uid="{00000000-0005-0000-0000-000097220000}"/>
    <cellStyle name="Normal 2 2 10 3 13" xfId="8856" xr:uid="{00000000-0005-0000-0000-000098220000}"/>
    <cellStyle name="Normal 2 2 10 3 14" xfId="8857" xr:uid="{00000000-0005-0000-0000-000099220000}"/>
    <cellStyle name="Normal 2 2 10 3 2" xfId="8858" xr:uid="{00000000-0005-0000-0000-00009A220000}"/>
    <cellStyle name="Normal 2 2 10 3 2 10" xfId="8859" xr:uid="{00000000-0005-0000-0000-00009B220000}"/>
    <cellStyle name="Normal 2 2 10 3 2 2" xfId="8860" xr:uid="{00000000-0005-0000-0000-00009C220000}"/>
    <cellStyle name="Normal 2 2 10 3 2 3" xfId="8861" xr:uid="{00000000-0005-0000-0000-00009D220000}"/>
    <cellStyle name="Normal 2 2 10 3 2 4" xfId="8862" xr:uid="{00000000-0005-0000-0000-00009E220000}"/>
    <cellStyle name="Normal 2 2 10 3 2 5" xfId="8863" xr:uid="{00000000-0005-0000-0000-00009F220000}"/>
    <cellStyle name="Normal 2 2 10 3 2 6" xfId="8864" xr:uid="{00000000-0005-0000-0000-0000A0220000}"/>
    <cellStyle name="Normal 2 2 10 3 2 7" xfId="8865" xr:uid="{00000000-0005-0000-0000-0000A1220000}"/>
    <cellStyle name="Normal 2 2 10 3 2 8" xfId="8866" xr:uid="{00000000-0005-0000-0000-0000A2220000}"/>
    <cellStyle name="Normal 2 2 10 3 2 9" xfId="8867" xr:uid="{00000000-0005-0000-0000-0000A3220000}"/>
    <cellStyle name="Normal 2 2 10 3 3" xfId="8868" xr:uid="{00000000-0005-0000-0000-0000A4220000}"/>
    <cellStyle name="Normal 2 2 10 3 3 10" xfId="8869" xr:uid="{00000000-0005-0000-0000-0000A5220000}"/>
    <cellStyle name="Normal 2 2 10 3 3 2" xfId="8870" xr:uid="{00000000-0005-0000-0000-0000A6220000}"/>
    <cellStyle name="Normal 2 2 10 3 3 3" xfId="8871" xr:uid="{00000000-0005-0000-0000-0000A7220000}"/>
    <cellStyle name="Normal 2 2 10 3 3 4" xfId="8872" xr:uid="{00000000-0005-0000-0000-0000A8220000}"/>
    <cellStyle name="Normal 2 2 10 3 3 5" xfId="8873" xr:uid="{00000000-0005-0000-0000-0000A9220000}"/>
    <cellStyle name="Normal 2 2 10 3 3 6" xfId="8874" xr:uid="{00000000-0005-0000-0000-0000AA220000}"/>
    <cellStyle name="Normal 2 2 10 3 3 7" xfId="8875" xr:uid="{00000000-0005-0000-0000-0000AB220000}"/>
    <cellStyle name="Normal 2 2 10 3 3 8" xfId="8876" xr:uid="{00000000-0005-0000-0000-0000AC220000}"/>
    <cellStyle name="Normal 2 2 10 3 3 9" xfId="8877" xr:uid="{00000000-0005-0000-0000-0000AD220000}"/>
    <cellStyle name="Normal 2 2 10 3 4" xfId="8878" xr:uid="{00000000-0005-0000-0000-0000AE220000}"/>
    <cellStyle name="Normal 2 2 10 3 4 10" xfId="8879" xr:uid="{00000000-0005-0000-0000-0000AF220000}"/>
    <cellStyle name="Normal 2 2 10 3 4 2" xfId="8880" xr:uid="{00000000-0005-0000-0000-0000B0220000}"/>
    <cellStyle name="Normal 2 2 10 3 4 3" xfId="8881" xr:uid="{00000000-0005-0000-0000-0000B1220000}"/>
    <cellStyle name="Normal 2 2 10 3 4 4" xfId="8882" xr:uid="{00000000-0005-0000-0000-0000B2220000}"/>
    <cellStyle name="Normal 2 2 10 3 4 5" xfId="8883" xr:uid="{00000000-0005-0000-0000-0000B3220000}"/>
    <cellStyle name="Normal 2 2 10 3 4 6" xfId="8884" xr:uid="{00000000-0005-0000-0000-0000B4220000}"/>
    <cellStyle name="Normal 2 2 10 3 4 7" xfId="8885" xr:uid="{00000000-0005-0000-0000-0000B5220000}"/>
    <cellStyle name="Normal 2 2 10 3 4 8" xfId="8886" xr:uid="{00000000-0005-0000-0000-0000B6220000}"/>
    <cellStyle name="Normal 2 2 10 3 4 9" xfId="8887" xr:uid="{00000000-0005-0000-0000-0000B7220000}"/>
    <cellStyle name="Normal 2 2 10 3 5" xfId="8888" xr:uid="{00000000-0005-0000-0000-0000B8220000}"/>
    <cellStyle name="Normal 2 2 10 3 5 10" xfId="8889" xr:uid="{00000000-0005-0000-0000-0000B9220000}"/>
    <cellStyle name="Normal 2 2 10 3 5 2" xfId="8890" xr:uid="{00000000-0005-0000-0000-0000BA220000}"/>
    <cellStyle name="Normal 2 2 10 3 5 3" xfId="8891" xr:uid="{00000000-0005-0000-0000-0000BB220000}"/>
    <cellStyle name="Normal 2 2 10 3 5 4" xfId="8892" xr:uid="{00000000-0005-0000-0000-0000BC220000}"/>
    <cellStyle name="Normal 2 2 10 3 5 5" xfId="8893" xr:uid="{00000000-0005-0000-0000-0000BD220000}"/>
    <cellStyle name="Normal 2 2 10 3 5 6" xfId="8894" xr:uid="{00000000-0005-0000-0000-0000BE220000}"/>
    <cellStyle name="Normal 2 2 10 3 5 7" xfId="8895" xr:uid="{00000000-0005-0000-0000-0000BF220000}"/>
    <cellStyle name="Normal 2 2 10 3 5 8" xfId="8896" xr:uid="{00000000-0005-0000-0000-0000C0220000}"/>
    <cellStyle name="Normal 2 2 10 3 5 9" xfId="8897" xr:uid="{00000000-0005-0000-0000-0000C1220000}"/>
    <cellStyle name="Normal 2 2 10 3 6" xfId="8898" xr:uid="{00000000-0005-0000-0000-0000C2220000}"/>
    <cellStyle name="Normal 2 2 10 3 7" xfId="8899" xr:uid="{00000000-0005-0000-0000-0000C3220000}"/>
    <cellStyle name="Normal 2 2 10 3 8" xfId="8900" xr:uid="{00000000-0005-0000-0000-0000C4220000}"/>
    <cellStyle name="Normal 2 2 10 3 9" xfId="8901" xr:uid="{00000000-0005-0000-0000-0000C5220000}"/>
    <cellStyle name="Normal 2 2 10 30" xfId="8902" xr:uid="{00000000-0005-0000-0000-0000C6220000}"/>
    <cellStyle name="Normal 2 2 10 30 10" xfId="8903" xr:uid="{00000000-0005-0000-0000-0000C7220000}"/>
    <cellStyle name="Normal 2 2 10 30 11" xfId="8904" xr:uid="{00000000-0005-0000-0000-0000C8220000}"/>
    <cellStyle name="Normal 2 2 10 30 12" xfId="8905" xr:uid="{00000000-0005-0000-0000-0000C9220000}"/>
    <cellStyle name="Normal 2 2 10 30 13" xfId="8906" xr:uid="{00000000-0005-0000-0000-0000CA220000}"/>
    <cellStyle name="Normal 2 2 10 30 14" xfId="8907" xr:uid="{00000000-0005-0000-0000-0000CB220000}"/>
    <cellStyle name="Normal 2 2 10 30 2" xfId="8908" xr:uid="{00000000-0005-0000-0000-0000CC220000}"/>
    <cellStyle name="Normal 2 2 10 30 2 10" xfId="8909" xr:uid="{00000000-0005-0000-0000-0000CD220000}"/>
    <cellStyle name="Normal 2 2 10 30 2 2" xfId="8910" xr:uid="{00000000-0005-0000-0000-0000CE220000}"/>
    <cellStyle name="Normal 2 2 10 30 2 3" xfId="8911" xr:uid="{00000000-0005-0000-0000-0000CF220000}"/>
    <cellStyle name="Normal 2 2 10 30 2 4" xfId="8912" xr:uid="{00000000-0005-0000-0000-0000D0220000}"/>
    <cellStyle name="Normal 2 2 10 30 2 5" xfId="8913" xr:uid="{00000000-0005-0000-0000-0000D1220000}"/>
    <cellStyle name="Normal 2 2 10 30 2 6" xfId="8914" xr:uid="{00000000-0005-0000-0000-0000D2220000}"/>
    <cellStyle name="Normal 2 2 10 30 2 7" xfId="8915" xr:uid="{00000000-0005-0000-0000-0000D3220000}"/>
    <cellStyle name="Normal 2 2 10 30 2 8" xfId="8916" xr:uid="{00000000-0005-0000-0000-0000D4220000}"/>
    <cellStyle name="Normal 2 2 10 30 2 9" xfId="8917" xr:uid="{00000000-0005-0000-0000-0000D5220000}"/>
    <cellStyle name="Normal 2 2 10 30 3" xfId="8918" xr:uid="{00000000-0005-0000-0000-0000D6220000}"/>
    <cellStyle name="Normal 2 2 10 30 3 10" xfId="8919" xr:uid="{00000000-0005-0000-0000-0000D7220000}"/>
    <cellStyle name="Normal 2 2 10 30 3 2" xfId="8920" xr:uid="{00000000-0005-0000-0000-0000D8220000}"/>
    <cellStyle name="Normal 2 2 10 30 3 3" xfId="8921" xr:uid="{00000000-0005-0000-0000-0000D9220000}"/>
    <cellStyle name="Normal 2 2 10 30 3 4" xfId="8922" xr:uid="{00000000-0005-0000-0000-0000DA220000}"/>
    <cellStyle name="Normal 2 2 10 30 3 5" xfId="8923" xr:uid="{00000000-0005-0000-0000-0000DB220000}"/>
    <cellStyle name="Normal 2 2 10 30 3 6" xfId="8924" xr:uid="{00000000-0005-0000-0000-0000DC220000}"/>
    <cellStyle name="Normal 2 2 10 30 3 7" xfId="8925" xr:uid="{00000000-0005-0000-0000-0000DD220000}"/>
    <cellStyle name="Normal 2 2 10 30 3 8" xfId="8926" xr:uid="{00000000-0005-0000-0000-0000DE220000}"/>
    <cellStyle name="Normal 2 2 10 30 3 9" xfId="8927" xr:uid="{00000000-0005-0000-0000-0000DF220000}"/>
    <cellStyle name="Normal 2 2 10 30 4" xfId="8928" xr:uid="{00000000-0005-0000-0000-0000E0220000}"/>
    <cellStyle name="Normal 2 2 10 30 4 10" xfId="8929" xr:uid="{00000000-0005-0000-0000-0000E1220000}"/>
    <cellStyle name="Normal 2 2 10 30 4 2" xfId="8930" xr:uid="{00000000-0005-0000-0000-0000E2220000}"/>
    <cellStyle name="Normal 2 2 10 30 4 3" xfId="8931" xr:uid="{00000000-0005-0000-0000-0000E3220000}"/>
    <cellStyle name="Normal 2 2 10 30 4 4" xfId="8932" xr:uid="{00000000-0005-0000-0000-0000E4220000}"/>
    <cellStyle name="Normal 2 2 10 30 4 5" xfId="8933" xr:uid="{00000000-0005-0000-0000-0000E5220000}"/>
    <cellStyle name="Normal 2 2 10 30 4 6" xfId="8934" xr:uid="{00000000-0005-0000-0000-0000E6220000}"/>
    <cellStyle name="Normal 2 2 10 30 4 7" xfId="8935" xr:uid="{00000000-0005-0000-0000-0000E7220000}"/>
    <cellStyle name="Normal 2 2 10 30 4 8" xfId="8936" xr:uid="{00000000-0005-0000-0000-0000E8220000}"/>
    <cellStyle name="Normal 2 2 10 30 4 9" xfId="8937" xr:uid="{00000000-0005-0000-0000-0000E9220000}"/>
    <cellStyle name="Normal 2 2 10 30 5" xfId="8938" xr:uid="{00000000-0005-0000-0000-0000EA220000}"/>
    <cellStyle name="Normal 2 2 10 30 5 10" xfId="8939" xr:uid="{00000000-0005-0000-0000-0000EB220000}"/>
    <cellStyle name="Normal 2 2 10 30 5 2" xfId="8940" xr:uid="{00000000-0005-0000-0000-0000EC220000}"/>
    <cellStyle name="Normal 2 2 10 30 5 3" xfId="8941" xr:uid="{00000000-0005-0000-0000-0000ED220000}"/>
    <cellStyle name="Normal 2 2 10 30 5 4" xfId="8942" xr:uid="{00000000-0005-0000-0000-0000EE220000}"/>
    <cellStyle name="Normal 2 2 10 30 5 5" xfId="8943" xr:uid="{00000000-0005-0000-0000-0000EF220000}"/>
    <cellStyle name="Normal 2 2 10 30 5 6" xfId="8944" xr:uid="{00000000-0005-0000-0000-0000F0220000}"/>
    <cellStyle name="Normal 2 2 10 30 5 7" xfId="8945" xr:uid="{00000000-0005-0000-0000-0000F1220000}"/>
    <cellStyle name="Normal 2 2 10 30 5 8" xfId="8946" xr:uid="{00000000-0005-0000-0000-0000F2220000}"/>
    <cellStyle name="Normal 2 2 10 30 5 9" xfId="8947" xr:uid="{00000000-0005-0000-0000-0000F3220000}"/>
    <cellStyle name="Normal 2 2 10 30 6" xfId="8948" xr:uid="{00000000-0005-0000-0000-0000F4220000}"/>
    <cellStyle name="Normal 2 2 10 30 7" xfId="8949" xr:uid="{00000000-0005-0000-0000-0000F5220000}"/>
    <cellStyle name="Normal 2 2 10 30 8" xfId="8950" xr:uid="{00000000-0005-0000-0000-0000F6220000}"/>
    <cellStyle name="Normal 2 2 10 30 9" xfId="8951" xr:uid="{00000000-0005-0000-0000-0000F7220000}"/>
    <cellStyle name="Normal 2 2 10 31" xfId="8952" xr:uid="{00000000-0005-0000-0000-0000F8220000}"/>
    <cellStyle name="Normal 2 2 10 31 10" xfId="8953" xr:uid="{00000000-0005-0000-0000-0000F9220000}"/>
    <cellStyle name="Normal 2 2 10 31 11" xfId="8954" xr:uid="{00000000-0005-0000-0000-0000FA220000}"/>
    <cellStyle name="Normal 2 2 10 31 12" xfId="8955" xr:uid="{00000000-0005-0000-0000-0000FB220000}"/>
    <cellStyle name="Normal 2 2 10 31 13" xfId="8956" xr:uid="{00000000-0005-0000-0000-0000FC220000}"/>
    <cellStyle name="Normal 2 2 10 31 14" xfId="8957" xr:uid="{00000000-0005-0000-0000-0000FD220000}"/>
    <cellStyle name="Normal 2 2 10 31 2" xfId="8958" xr:uid="{00000000-0005-0000-0000-0000FE220000}"/>
    <cellStyle name="Normal 2 2 10 31 2 10" xfId="8959" xr:uid="{00000000-0005-0000-0000-0000FF220000}"/>
    <cellStyle name="Normal 2 2 10 31 2 2" xfId="8960" xr:uid="{00000000-0005-0000-0000-000000230000}"/>
    <cellStyle name="Normal 2 2 10 31 2 3" xfId="8961" xr:uid="{00000000-0005-0000-0000-000001230000}"/>
    <cellStyle name="Normal 2 2 10 31 2 4" xfId="8962" xr:uid="{00000000-0005-0000-0000-000002230000}"/>
    <cellStyle name="Normal 2 2 10 31 2 5" xfId="8963" xr:uid="{00000000-0005-0000-0000-000003230000}"/>
    <cellStyle name="Normal 2 2 10 31 2 6" xfId="8964" xr:uid="{00000000-0005-0000-0000-000004230000}"/>
    <cellStyle name="Normal 2 2 10 31 2 7" xfId="8965" xr:uid="{00000000-0005-0000-0000-000005230000}"/>
    <cellStyle name="Normal 2 2 10 31 2 8" xfId="8966" xr:uid="{00000000-0005-0000-0000-000006230000}"/>
    <cellStyle name="Normal 2 2 10 31 2 9" xfId="8967" xr:uid="{00000000-0005-0000-0000-000007230000}"/>
    <cellStyle name="Normal 2 2 10 31 3" xfId="8968" xr:uid="{00000000-0005-0000-0000-000008230000}"/>
    <cellStyle name="Normal 2 2 10 31 3 10" xfId="8969" xr:uid="{00000000-0005-0000-0000-000009230000}"/>
    <cellStyle name="Normal 2 2 10 31 3 2" xfId="8970" xr:uid="{00000000-0005-0000-0000-00000A230000}"/>
    <cellStyle name="Normal 2 2 10 31 3 3" xfId="8971" xr:uid="{00000000-0005-0000-0000-00000B230000}"/>
    <cellStyle name="Normal 2 2 10 31 3 4" xfId="8972" xr:uid="{00000000-0005-0000-0000-00000C230000}"/>
    <cellStyle name="Normal 2 2 10 31 3 5" xfId="8973" xr:uid="{00000000-0005-0000-0000-00000D230000}"/>
    <cellStyle name="Normal 2 2 10 31 3 6" xfId="8974" xr:uid="{00000000-0005-0000-0000-00000E230000}"/>
    <cellStyle name="Normal 2 2 10 31 3 7" xfId="8975" xr:uid="{00000000-0005-0000-0000-00000F230000}"/>
    <cellStyle name="Normal 2 2 10 31 3 8" xfId="8976" xr:uid="{00000000-0005-0000-0000-000010230000}"/>
    <cellStyle name="Normal 2 2 10 31 3 9" xfId="8977" xr:uid="{00000000-0005-0000-0000-000011230000}"/>
    <cellStyle name="Normal 2 2 10 31 4" xfId="8978" xr:uid="{00000000-0005-0000-0000-000012230000}"/>
    <cellStyle name="Normal 2 2 10 31 4 10" xfId="8979" xr:uid="{00000000-0005-0000-0000-000013230000}"/>
    <cellStyle name="Normal 2 2 10 31 4 2" xfId="8980" xr:uid="{00000000-0005-0000-0000-000014230000}"/>
    <cellStyle name="Normal 2 2 10 31 4 3" xfId="8981" xr:uid="{00000000-0005-0000-0000-000015230000}"/>
    <cellStyle name="Normal 2 2 10 31 4 4" xfId="8982" xr:uid="{00000000-0005-0000-0000-000016230000}"/>
    <cellStyle name="Normal 2 2 10 31 4 5" xfId="8983" xr:uid="{00000000-0005-0000-0000-000017230000}"/>
    <cellStyle name="Normal 2 2 10 31 4 6" xfId="8984" xr:uid="{00000000-0005-0000-0000-000018230000}"/>
    <cellStyle name="Normal 2 2 10 31 4 7" xfId="8985" xr:uid="{00000000-0005-0000-0000-000019230000}"/>
    <cellStyle name="Normal 2 2 10 31 4 8" xfId="8986" xr:uid="{00000000-0005-0000-0000-00001A230000}"/>
    <cellStyle name="Normal 2 2 10 31 4 9" xfId="8987" xr:uid="{00000000-0005-0000-0000-00001B230000}"/>
    <cellStyle name="Normal 2 2 10 31 5" xfId="8988" xr:uid="{00000000-0005-0000-0000-00001C230000}"/>
    <cellStyle name="Normal 2 2 10 31 5 10" xfId="8989" xr:uid="{00000000-0005-0000-0000-00001D230000}"/>
    <cellStyle name="Normal 2 2 10 31 5 2" xfId="8990" xr:uid="{00000000-0005-0000-0000-00001E230000}"/>
    <cellStyle name="Normal 2 2 10 31 5 3" xfId="8991" xr:uid="{00000000-0005-0000-0000-00001F230000}"/>
    <cellStyle name="Normal 2 2 10 31 5 4" xfId="8992" xr:uid="{00000000-0005-0000-0000-000020230000}"/>
    <cellStyle name="Normal 2 2 10 31 5 5" xfId="8993" xr:uid="{00000000-0005-0000-0000-000021230000}"/>
    <cellStyle name="Normal 2 2 10 31 5 6" xfId="8994" xr:uid="{00000000-0005-0000-0000-000022230000}"/>
    <cellStyle name="Normal 2 2 10 31 5 7" xfId="8995" xr:uid="{00000000-0005-0000-0000-000023230000}"/>
    <cellStyle name="Normal 2 2 10 31 5 8" xfId="8996" xr:uid="{00000000-0005-0000-0000-000024230000}"/>
    <cellStyle name="Normal 2 2 10 31 5 9" xfId="8997" xr:uid="{00000000-0005-0000-0000-000025230000}"/>
    <cellStyle name="Normal 2 2 10 31 6" xfId="8998" xr:uid="{00000000-0005-0000-0000-000026230000}"/>
    <cellStyle name="Normal 2 2 10 31 7" xfId="8999" xr:uid="{00000000-0005-0000-0000-000027230000}"/>
    <cellStyle name="Normal 2 2 10 31 8" xfId="9000" xr:uid="{00000000-0005-0000-0000-000028230000}"/>
    <cellStyle name="Normal 2 2 10 31 9" xfId="9001" xr:uid="{00000000-0005-0000-0000-000029230000}"/>
    <cellStyle name="Normal 2 2 10 32" xfId="9002" xr:uid="{00000000-0005-0000-0000-00002A230000}"/>
    <cellStyle name="Normal 2 2 10 32 10" xfId="9003" xr:uid="{00000000-0005-0000-0000-00002B230000}"/>
    <cellStyle name="Normal 2 2 10 32 11" xfId="9004" xr:uid="{00000000-0005-0000-0000-00002C230000}"/>
    <cellStyle name="Normal 2 2 10 32 12" xfId="9005" xr:uid="{00000000-0005-0000-0000-00002D230000}"/>
    <cellStyle name="Normal 2 2 10 32 13" xfId="9006" xr:uid="{00000000-0005-0000-0000-00002E230000}"/>
    <cellStyle name="Normal 2 2 10 32 14" xfId="9007" xr:uid="{00000000-0005-0000-0000-00002F230000}"/>
    <cellStyle name="Normal 2 2 10 32 2" xfId="9008" xr:uid="{00000000-0005-0000-0000-000030230000}"/>
    <cellStyle name="Normal 2 2 10 32 2 10" xfId="9009" xr:uid="{00000000-0005-0000-0000-000031230000}"/>
    <cellStyle name="Normal 2 2 10 32 2 2" xfId="9010" xr:uid="{00000000-0005-0000-0000-000032230000}"/>
    <cellStyle name="Normal 2 2 10 32 2 3" xfId="9011" xr:uid="{00000000-0005-0000-0000-000033230000}"/>
    <cellStyle name="Normal 2 2 10 32 2 4" xfId="9012" xr:uid="{00000000-0005-0000-0000-000034230000}"/>
    <cellStyle name="Normal 2 2 10 32 2 5" xfId="9013" xr:uid="{00000000-0005-0000-0000-000035230000}"/>
    <cellStyle name="Normal 2 2 10 32 2 6" xfId="9014" xr:uid="{00000000-0005-0000-0000-000036230000}"/>
    <cellStyle name="Normal 2 2 10 32 2 7" xfId="9015" xr:uid="{00000000-0005-0000-0000-000037230000}"/>
    <cellStyle name="Normal 2 2 10 32 2 8" xfId="9016" xr:uid="{00000000-0005-0000-0000-000038230000}"/>
    <cellStyle name="Normal 2 2 10 32 2 9" xfId="9017" xr:uid="{00000000-0005-0000-0000-000039230000}"/>
    <cellStyle name="Normal 2 2 10 32 3" xfId="9018" xr:uid="{00000000-0005-0000-0000-00003A230000}"/>
    <cellStyle name="Normal 2 2 10 32 3 10" xfId="9019" xr:uid="{00000000-0005-0000-0000-00003B230000}"/>
    <cellStyle name="Normal 2 2 10 32 3 2" xfId="9020" xr:uid="{00000000-0005-0000-0000-00003C230000}"/>
    <cellStyle name="Normal 2 2 10 32 3 3" xfId="9021" xr:uid="{00000000-0005-0000-0000-00003D230000}"/>
    <cellStyle name="Normal 2 2 10 32 3 4" xfId="9022" xr:uid="{00000000-0005-0000-0000-00003E230000}"/>
    <cellStyle name="Normal 2 2 10 32 3 5" xfId="9023" xr:uid="{00000000-0005-0000-0000-00003F230000}"/>
    <cellStyle name="Normal 2 2 10 32 3 6" xfId="9024" xr:uid="{00000000-0005-0000-0000-000040230000}"/>
    <cellStyle name="Normal 2 2 10 32 3 7" xfId="9025" xr:uid="{00000000-0005-0000-0000-000041230000}"/>
    <cellStyle name="Normal 2 2 10 32 3 8" xfId="9026" xr:uid="{00000000-0005-0000-0000-000042230000}"/>
    <cellStyle name="Normal 2 2 10 32 3 9" xfId="9027" xr:uid="{00000000-0005-0000-0000-000043230000}"/>
    <cellStyle name="Normal 2 2 10 32 4" xfId="9028" xr:uid="{00000000-0005-0000-0000-000044230000}"/>
    <cellStyle name="Normal 2 2 10 32 4 10" xfId="9029" xr:uid="{00000000-0005-0000-0000-000045230000}"/>
    <cellStyle name="Normal 2 2 10 32 4 2" xfId="9030" xr:uid="{00000000-0005-0000-0000-000046230000}"/>
    <cellStyle name="Normal 2 2 10 32 4 3" xfId="9031" xr:uid="{00000000-0005-0000-0000-000047230000}"/>
    <cellStyle name="Normal 2 2 10 32 4 4" xfId="9032" xr:uid="{00000000-0005-0000-0000-000048230000}"/>
    <cellStyle name="Normal 2 2 10 32 4 5" xfId="9033" xr:uid="{00000000-0005-0000-0000-000049230000}"/>
    <cellStyle name="Normal 2 2 10 32 4 6" xfId="9034" xr:uid="{00000000-0005-0000-0000-00004A230000}"/>
    <cellStyle name="Normal 2 2 10 32 4 7" xfId="9035" xr:uid="{00000000-0005-0000-0000-00004B230000}"/>
    <cellStyle name="Normal 2 2 10 32 4 8" xfId="9036" xr:uid="{00000000-0005-0000-0000-00004C230000}"/>
    <cellStyle name="Normal 2 2 10 32 4 9" xfId="9037" xr:uid="{00000000-0005-0000-0000-00004D230000}"/>
    <cellStyle name="Normal 2 2 10 32 5" xfId="9038" xr:uid="{00000000-0005-0000-0000-00004E230000}"/>
    <cellStyle name="Normal 2 2 10 32 5 10" xfId="9039" xr:uid="{00000000-0005-0000-0000-00004F230000}"/>
    <cellStyle name="Normal 2 2 10 32 5 2" xfId="9040" xr:uid="{00000000-0005-0000-0000-000050230000}"/>
    <cellStyle name="Normal 2 2 10 32 5 3" xfId="9041" xr:uid="{00000000-0005-0000-0000-000051230000}"/>
    <cellStyle name="Normal 2 2 10 32 5 4" xfId="9042" xr:uid="{00000000-0005-0000-0000-000052230000}"/>
    <cellStyle name="Normal 2 2 10 32 5 5" xfId="9043" xr:uid="{00000000-0005-0000-0000-000053230000}"/>
    <cellStyle name="Normal 2 2 10 32 5 6" xfId="9044" xr:uid="{00000000-0005-0000-0000-000054230000}"/>
    <cellStyle name="Normal 2 2 10 32 5 7" xfId="9045" xr:uid="{00000000-0005-0000-0000-000055230000}"/>
    <cellStyle name="Normal 2 2 10 32 5 8" xfId="9046" xr:uid="{00000000-0005-0000-0000-000056230000}"/>
    <cellStyle name="Normal 2 2 10 32 5 9" xfId="9047" xr:uid="{00000000-0005-0000-0000-000057230000}"/>
    <cellStyle name="Normal 2 2 10 32 6" xfId="9048" xr:uid="{00000000-0005-0000-0000-000058230000}"/>
    <cellStyle name="Normal 2 2 10 32 7" xfId="9049" xr:uid="{00000000-0005-0000-0000-000059230000}"/>
    <cellStyle name="Normal 2 2 10 32 8" xfId="9050" xr:uid="{00000000-0005-0000-0000-00005A230000}"/>
    <cellStyle name="Normal 2 2 10 32 9" xfId="9051" xr:uid="{00000000-0005-0000-0000-00005B230000}"/>
    <cellStyle name="Normal 2 2 10 33" xfId="9052" xr:uid="{00000000-0005-0000-0000-00005C230000}"/>
    <cellStyle name="Normal 2 2 10 33 10" xfId="9053" xr:uid="{00000000-0005-0000-0000-00005D230000}"/>
    <cellStyle name="Normal 2 2 10 33 11" xfId="9054" xr:uid="{00000000-0005-0000-0000-00005E230000}"/>
    <cellStyle name="Normal 2 2 10 33 12" xfId="9055" xr:uid="{00000000-0005-0000-0000-00005F230000}"/>
    <cellStyle name="Normal 2 2 10 33 13" xfId="9056" xr:uid="{00000000-0005-0000-0000-000060230000}"/>
    <cellStyle name="Normal 2 2 10 33 14" xfId="9057" xr:uid="{00000000-0005-0000-0000-000061230000}"/>
    <cellStyle name="Normal 2 2 10 33 2" xfId="9058" xr:uid="{00000000-0005-0000-0000-000062230000}"/>
    <cellStyle name="Normal 2 2 10 33 2 10" xfId="9059" xr:uid="{00000000-0005-0000-0000-000063230000}"/>
    <cellStyle name="Normal 2 2 10 33 2 2" xfId="9060" xr:uid="{00000000-0005-0000-0000-000064230000}"/>
    <cellStyle name="Normal 2 2 10 33 2 3" xfId="9061" xr:uid="{00000000-0005-0000-0000-000065230000}"/>
    <cellStyle name="Normal 2 2 10 33 2 4" xfId="9062" xr:uid="{00000000-0005-0000-0000-000066230000}"/>
    <cellStyle name="Normal 2 2 10 33 2 5" xfId="9063" xr:uid="{00000000-0005-0000-0000-000067230000}"/>
    <cellStyle name="Normal 2 2 10 33 2 6" xfId="9064" xr:uid="{00000000-0005-0000-0000-000068230000}"/>
    <cellStyle name="Normal 2 2 10 33 2 7" xfId="9065" xr:uid="{00000000-0005-0000-0000-000069230000}"/>
    <cellStyle name="Normal 2 2 10 33 2 8" xfId="9066" xr:uid="{00000000-0005-0000-0000-00006A230000}"/>
    <cellStyle name="Normal 2 2 10 33 2 9" xfId="9067" xr:uid="{00000000-0005-0000-0000-00006B230000}"/>
    <cellStyle name="Normal 2 2 10 33 3" xfId="9068" xr:uid="{00000000-0005-0000-0000-00006C230000}"/>
    <cellStyle name="Normal 2 2 10 33 3 10" xfId="9069" xr:uid="{00000000-0005-0000-0000-00006D230000}"/>
    <cellStyle name="Normal 2 2 10 33 3 2" xfId="9070" xr:uid="{00000000-0005-0000-0000-00006E230000}"/>
    <cellStyle name="Normal 2 2 10 33 3 3" xfId="9071" xr:uid="{00000000-0005-0000-0000-00006F230000}"/>
    <cellStyle name="Normal 2 2 10 33 3 4" xfId="9072" xr:uid="{00000000-0005-0000-0000-000070230000}"/>
    <cellStyle name="Normal 2 2 10 33 3 5" xfId="9073" xr:uid="{00000000-0005-0000-0000-000071230000}"/>
    <cellStyle name="Normal 2 2 10 33 3 6" xfId="9074" xr:uid="{00000000-0005-0000-0000-000072230000}"/>
    <cellStyle name="Normal 2 2 10 33 3 7" xfId="9075" xr:uid="{00000000-0005-0000-0000-000073230000}"/>
    <cellStyle name="Normal 2 2 10 33 3 8" xfId="9076" xr:uid="{00000000-0005-0000-0000-000074230000}"/>
    <cellStyle name="Normal 2 2 10 33 3 9" xfId="9077" xr:uid="{00000000-0005-0000-0000-000075230000}"/>
    <cellStyle name="Normal 2 2 10 33 4" xfId="9078" xr:uid="{00000000-0005-0000-0000-000076230000}"/>
    <cellStyle name="Normal 2 2 10 33 4 10" xfId="9079" xr:uid="{00000000-0005-0000-0000-000077230000}"/>
    <cellStyle name="Normal 2 2 10 33 4 2" xfId="9080" xr:uid="{00000000-0005-0000-0000-000078230000}"/>
    <cellStyle name="Normal 2 2 10 33 4 3" xfId="9081" xr:uid="{00000000-0005-0000-0000-000079230000}"/>
    <cellStyle name="Normal 2 2 10 33 4 4" xfId="9082" xr:uid="{00000000-0005-0000-0000-00007A230000}"/>
    <cellStyle name="Normal 2 2 10 33 4 5" xfId="9083" xr:uid="{00000000-0005-0000-0000-00007B230000}"/>
    <cellStyle name="Normal 2 2 10 33 4 6" xfId="9084" xr:uid="{00000000-0005-0000-0000-00007C230000}"/>
    <cellStyle name="Normal 2 2 10 33 4 7" xfId="9085" xr:uid="{00000000-0005-0000-0000-00007D230000}"/>
    <cellStyle name="Normal 2 2 10 33 4 8" xfId="9086" xr:uid="{00000000-0005-0000-0000-00007E230000}"/>
    <cellStyle name="Normal 2 2 10 33 4 9" xfId="9087" xr:uid="{00000000-0005-0000-0000-00007F230000}"/>
    <cellStyle name="Normal 2 2 10 33 5" xfId="9088" xr:uid="{00000000-0005-0000-0000-000080230000}"/>
    <cellStyle name="Normal 2 2 10 33 5 10" xfId="9089" xr:uid="{00000000-0005-0000-0000-000081230000}"/>
    <cellStyle name="Normal 2 2 10 33 5 2" xfId="9090" xr:uid="{00000000-0005-0000-0000-000082230000}"/>
    <cellStyle name="Normal 2 2 10 33 5 3" xfId="9091" xr:uid="{00000000-0005-0000-0000-000083230000}"/>
    <cellStyle name="Normal 2 2 10 33 5 4" xfId="9092" xr:uid="{00000000-0005-0000-0000-000084230000}"/>
    <cellStyle name="Normal 2 2 10 33 5 5" xfId="9093" xr:uid="{00000000-0005-0000-0000-000085230000}"/>
    <cellStyle name="Normal 2 2 10 33 5 6" xfId="9094" xr:uid="{00000000-0005-0000-0000-000086230000}"/>
    <cellStyle name="Normal 2 2 10 33 5 7" xfId="9095" xr:uid="{00000000-0005-0000-0000-000087230000}"/>
    <cellStyle name="Normal 2 2 10 33 5 8" xfId="9096" xr:uid="{00000000-0005-0000-0000-000088230000}"/>
    <cellStyle name="Normal 2 2 10 33 5 9" xfId="9097" xr:uid="{00000000-0005-0000-0000-000089230000}"/>
    <cellStyle name="Normal 2 2 10 33 6" xfId="9098" xr:uid="{00000000-0005-0000-0000-00008A230000}"/>
    <cellStyle name="Normal 2 2 10 33 7" xfId="9099" xr:uid="{00000000-0005-0000-0000-00008B230000}"/>
    <cellStyle name="Normal 2 2 10 33 8" xfId="9100" xr:uid="{00000000-0005-0000-0000-00008C230000}"/>
    <cellStyle name="Normal 2 2 10 33 9" xfId="9101" xr:uid="{00000000-0005-0000-0000-00008D230000}"/>
    <cellStyle name="Normal 2 2 10 34" xfId="9102" xr:uid="{00000000-0005-0000-0000-00008E230000}"/>
    <cellStyle name="Normal 2 2 10 34 10" xfId="9103" xr:uid="{00000000-0005-0000-0000-00008F230000}"/>
    <cellStyle name="Normal 2 2 10 34 11" xfId="9104" xr:uid="{00000000-0005-0000-0000-000090230000}"/>
    <cellStyle name="Normal 2 2 10 34 12" xfId="9105" xr:uid="{00000000-0005-0000-0000-000091230000}"/>
    <cellStyle name="Normal 2 2 10 34 13" xfId="9106" xr:uid="{00000000-0005-0000-0000-000092230000}"/>
    <cellStyle name="Normal 2 2 10 34 14" xfId="9107" xr:uid="{00000000-0005-0000-0000-000093230000}"/>
    <cellStyle name="Normal 2 2 10 34 2" xfId="9108" xr:uid="{00000000-0005-0000-0000-000094230000}"/>
    <cellStyle name="Normal 2 2 10 34 2 10" xfId="9109" xr:uid="{00000000-0005-0000-0000-000095230000}"/>
    <cellStyle name="Normal 2 2 10 34 2 2" xfId="9110" xr:uid="{00000000-0005-0000-0000-000096230000}"/>
    <cellStyle name="Normal 2 2 10 34 2 3" xfId="9111" xr:uid="{00000000-0005-0000-0000-000097230000}"/>
    <cellStyle name="Normal 2 2 10 34 2 4" xfId="9112" xr:uid="{00000000-0005-0000-0000-000098230000}"/>
    <cellStyle name="Normal 2 2 10 34 2 5" xfId="9113" xr:uid="{00000000-0005-0000-0000-000099230000}"/>
    <cellStyle name="Normal 2 2 10 34 2 6" xfId="9114" xr:uid="{00000000-0005-0000-0000-00009A230000}"/>
    <cellStyle name="Normal 2 2 10 34 2 7" xfId="9115" xr:uid="{00000000-0005-0000-0000-00009B230000}"/>
    <cellStyle name="Normal 2 2 10 34 2 8" xfId="9116" xr:uid="{00000000-0005-0000-0000-00009C230000}"/>
    <cellStyle name="Normal 2 2 10 34 2 9" xfId="9117" xr:uid="{00000000-0005-0000-0000-00009D230000}"/>
    <cellStyle name="Normal 2 2 10 34 3" xfId="9118" xr:uid="{00000000-0005-0000-0000-00009E230000}"/>
    <cellStyle name="Normal 2 2 10 34 3 10" xfId="9119" xr:uid="{00000000-0005-0000-0000-00009F230000}"/>
    <cellStyle name="Normal 2 2 10 34 3 2" xfId="9120" xr:uid="{00000000-0005-0000-0000-0000A0230000}"/>
    <cellStyle name="Normal 2 2 10 34 3 3" xfId="9121" xr:uid="{00000000-0005-0000-0000-0000A1230000}"/>
    <cellStyle name="Normal 2 2 10 34 3 4" xfId="9122" xr:uid="{00000000-0005-0000-0000-0000A2230000}"/>
    <cellStyle name="Normal 2 2 10 34 3 5" xfId="9123" xr:uid="{00000000-0005-0000-0000-0000A3230000}"/>
    <cellStyle name="Normal 2 2 10 34 3 6" xfId="9124" xr:uid="{00000000-0005-0000-0000-0000A4230000}"/>
    <cellStyle name="Normal 2 2 10 34 3 7" xfId="9125" xr:uid="{00000000-0005-0000-0000-0000A5230000}"/>
    <cellStyle name="Normal 2 2 10 34 3 8" xfId="9126" xr:uid="{00000000-0005-0000-0000-0000A6230000}"/>
    <cellStyle name="Normal 2 2 10 34 3 9" xfId="9127" xr:uid="{00000000-0005-0000-0000-0000A7230000}"/>
    <cellStyle name="Normal 2 2 10 34 4" xfId="9128" xr:uid="{00000000-0005-0000-0000-0000A8230000}"/>
    <cellStyle name="Normal 2 2 10 34 4 10" xfId="9129" xr:uid="{00000000-0005-0000-0000-0000A9230000}"/>
    <cellStyle name="Normal 2 2 10 34 4 2" xfId="9130" xr:uid="{00000000-0005-0000-0000-0000AA230000}"/>
    <cellStyle name="Normal 2 2 10 34 4 3" xfId="9131" xr:uid="{00000000-0005-0000-0000-0000AB230000}"/>
    <cellStyle name="Normal 2 2 10 34 4 4" xfId="9132" xr:uid="{00000000-0005-0000-0000-0000AC230000}"/>
    <cellStyle name="Normal 2 2 10 34 4 5" xfId="9133" xr:uid="{00000000-0005-0000-0000-0000AD230000}"/>
    <cellStyle name="Normal 2 2 10 34 4 6" xfId="9134" xr:uid="{00000000-0005-0000-0000-0000AE230000}"/>
    <cellStyle name="Normal 2 2 10 34 4 7" xfId="9135" xr:uid="{00000000-0005-0000-0000-0000AF230000}"/>
    <cellStyle name="Normal 2 2 10 34 4 8" xfId="9136" xr:uid="{00000000-0005-0000-0000-0000B0230000}"/>
    <cellStyle name="Normal 2 2 10 34 4 9" xfId="9137" xr:uid="{00000000-0005-0000-0000-0000B1230000}"/>
    <cellStyle name="Normal 2 2 10 34 5" xfId="9138" xr:uid="{00000000-0005-0000-0000-0000B2230000}"/>
    <cellStyle name="Normal 2 2 10 34 5 10" xfId="9139" xr:uid="{00000000-0005-0000-0000-0000B3230000}"/>
    <cellStyle name="Normal 2 2 10 34 5 2" xfId="9140" xr:uid="{00000000-0005-0000-0000-0000B4230000}"/>
    <cellStyle name="Normal 2 2 10 34 5 3" xfId="9141" xr:uid="{00000000-0005-0000-0000-0000B5230000}"/>
    <cellStyle name="Normal 2 2 10 34 5 4" xfId="9142" xr:uid="{00000000-0005-0000-0000-0000B6230000}"/>
    <cellStyle name="Normal 2 2 10 34 5 5" xfId="9143" xr:uid="{00000000-0005-0000-0000-0000B7230000}"/>
    <cellStyle name="Normal 2 2 10 34 5 6" xfId="9144" xr:uid="{00000000-0005-0000-0000-0000B8230000}"/>
    <cellStyle name="Normal 2 2 10 34 5 7" xfId="9145" xr:uid="{00000000-0005-0000-0000-0000B9230000}"/>
    <cellStyle name="Normal 2 2 10 34 5 8" xfId="9146" xr:uid="{00000000-0005-0000-0000-0000BA230000}"/>
    <cellStyle name="Normal 2 2 10 34 5 9" xfId="9147" xr:uid="{00000000-0005-0000-0000-0000BB230000}"/>
    <cellStyle name="Normal 2 2 10 34 6" xfId="9148" xr:uid="{00000000-0005-0000-0000-0000BC230000}"/>
    <cellStyle name="Normal 2 2 10 34 7" xfId="9149" xr:uid="{00000000-0005-0000-0000-0000BD230000}"/>
    <cellStyle name="Normal 2 2 10 34 8" xfId="9150" xr:uid="{00000000-0005-0000-0000-0000BE230000}"/>
    <cellStyle name="Normal 2 2 10 34 9" xfId="9151" xr:uid="{00000000-0005-0000-0000-0000BF230000}"/>
    <cellStyle name="Normal 2 2 10 35" xfId="9152" xr:uid="{00000000-0005-0000-0000-0000C0230000}"/>
    <cellStyle name="Normal 2 2 10 35 10" xfId="9153" xr:uid="{00000000-0005-0000-0000-0000C1230000}"/>
    <cellStyle name="Normal 2 2 10 35 2" xfId="9154" xr:uid="{00000000-0005-0000-0000-0000C2230000}"/>
    <cellStyle name="Normal 2 2 10 35 3" xfId="9155" xr:uid="{00000000-0005-0000-0000-0000C3230000}"/>
    <cellStyle name="Normal 2 2 10 35 4" xfId="9156" xr:uid="{00000000-0005-0000-0000-0000C4230000}"/>
    <cellStyle name="Normal 2 2 10 35 5" xfId="9157" xr:uid="{00000000-0005-0000-0000-0000C5230000}"/>
    <cellStyle name="Normal 2 2 10 35 6" xfId="9158" xr:uid="{00000000-0005-0000-0000-0000C6230000}"/>
    <cellStyle name="Normal 2 2 10 35 7" xfId="9159" xr:uid="{00000000-0005-0000-0000-0000C7230000}"/>
    <cellStyle name="Normal 2 2 10 35 8" xfId="9160" xr:uid="{00000000-0005-0000-0000-0000C8230000}"/>
    <cellStyle name="Normal 2 2 10 35 9" xfId="9161" xr:uid="{00000000-0005-0000-0000-0000C9230000}"/>
    <cellStyle name="Normal 2 2 10 36" xfId="9162" xr:uid="{00000000-0005-0000-0000-0000CA230000}"/>
    <cellStyle name="Normal 2 2 10 36 10" xfId="9163" xr:uid="{00000000-0005-0000-0000-0000CB230000}"/>
    <cellStyle name="Normal 2 2 10 36 2" xfId="9164" xr:uid="{00000000-0005-0000-0000-0000CC230000}"/>
    <cellStyle name="Normal 2 2 10 36 3" xfId="9165" xr:uid="{00000000-0005-0000-0000-0000CD230000}"/>
    <cellStyle name="Normal 2 2 10 36 4" xfId="9166" xr:uid="{00000000-0005-0000-0000-0000CE230000}"/>
    <cellStyle name="Normal 2 2 10 36 5" xfId="9167" xr:uid="{00000000-0005-0000-0000-0000CF230000}"/>
    <cellStyle name="Normal 2 2 10 36 6" xfId="9168" xr:uid="{00000000-0005-0000-0000-0000D0230000}"/>
    <cellStyle name="Normal 2 2 10 36 7" xfId="9169" xr:uid="{00000000-0005-0000-0000-0000D1230000}"/>
    <cellStyle name="Normal 2 2 10 36 8" xfId="9170" xr:uid="{00000000-0005-0000-0000-0000D2230000}"/>
    <cellStyle name="Normal 2 2 10 36 9" xfId="9171" xr:uid="{00000000-0005-0000-0000-0000D3230000}"/>
    <cellStyle name="Normal 2 2 10 37" xfId="9172" xr:uid="{00000000-0005-0000-0000-0000D4230000}"/>
    <cellStyle name="Normal 2 2 10 37 10" xfId="9173" xr:uid="{00000000-0005-0000-0000-0000D5230000}"/>
    <cellStyle name="Normal 2 2 10 37 2" xfId="9174" xr:uid="{00000000-0005-0000-0000-0000D6230000}"/>
    <cellStyle name="Normal 2 2 10 37 3" xfId="9175" xr:uid="{00000000-0005-0000-0000-0000D7230000}"/>
    <cellStyle name="Normal 2 2 10 37 4" xfId="9176" xr:uid="{00000000-0005-0000-0000-0000D8230000}"/>
    <cellStyle name="Normal 2 2 10 37 5" xfId="9177" xr:uid="{00000000-0005-0000-0000-0000D9230000}"/>
    <cellStyle name="Normal 2 2 10 37 6" xfId="9178" xr:uid="{00000000-0005-0000-0000-0000DA230000}"/>
    <cellStyle name="Normal 2 2 10 37 7" xfId="9179" xr:uid="{00000000-0005-0000-0000-0000DB230000}"/>
    <cellStyle name="Normal 2 2 10 37 8" xfId="9180" xr:uid="{00000000-0005-0000-0000-0000DC230000}"/>
    <cellStyle name="Normal 2 2 10 37 9" xfId="9181" xr:uid="{00000000-0005-0000-0000-0000DD230000}"/>
    <cellStyle name="Normal 2 2 10 38" xfId="9182" xr:uid="{00000000-0005-0000-0000-0000DE230000}"/>
    <cellStyle name="Normal 2 2 10 38 10" xfId="9183" xr:uid="{00000000-0005-0000-0000-0000DF230000}"/>
    <cellStyle name="Normal 2 2 10 38 2" xfId="9184" xr:uid="{00000000-0005-0000-0000-0000E0230000}"/>
    <cellStyle name="Normal 2 2 10 38 3" xfId="9185" xr:uid="{00000000-0005-0000-0000-0000E1230000}"/>
    <cellStyle name="Normal 2 2 10 38 4" xfId="9186" xr:uid="{00000000-0005-0000-0000-0000E2230000}"/>
    <cellStyle name="Normal 2 2 10 38 5" xfId="9187" xr:uid="{00000000-0005-0000-0000-0000E3230000}"/>
    <cellStyle name="Normal 2 2 10 38 6" xfId="9188" xr:uid="{00000000-0005-0000-0000-0000E4230000}"/>
    <cellStyle name="Normal 2 2 10 38 7" xfId="9189" xr:uid="{00000000-0005-0000-0000-0000E5230000}"/>
    <cellStyle name="Normal 2 2 10 38 8" xfId="9190" xr:uid="{00000000-0005-0000-0000-0000E6230000}"/>
    <cellStyle name="Normal 2 2 10 38 9" xfId="9191" xr:uid="{00000000-0005-0000-0000-0000E7230000}"/>
    <cellStyle name="Normal 2 2 10 39" xfId="9192" xr:uid="{00000000-0005-0000-0000-0000E8230000}"/>
    <cellStyle name="Normal 2 2 10 4" xfId="9193" xr:uid="{00000000-0005-0000-0000-0000E9230000}"/>
    <cellStyle name="Normal 2 2 10 4 10" xfId="9194" xr:uid="{00000000-0005-0000-0000-0000EA230000}"/>
    <cellStyle name="Normal 2 2 10 4 11" xfId="9195" xr:uid="{00000000-0005-0000-0000-0000EB230000}"/>
    <cellStyle name="Normal 2 2 10 4 12" xfId="9196" xr:uid="{00000000-0005-0000-0000-0000EC230000}"/>
    <cellStyle name="Normal 2 2 10 4 13" xfId="9197" xr:uid="{00000000-0005-0000-0000-0000ED230000}"/>
    <cellStyle name="Normal 2 2 10 4 14" xfId="9198" xr:uid="{00000000-0005-0000-0000-0000EE230000}"/>
    <cellStyle name="Normal 2 2 10 4 2" xfId="9199" xr:uid="{00000000-0005-0000-0000-0000EF230000}"/>
    <cellStyle name="Normal 2 2 10 4 2 10" xfId="9200" xr:uid="{00000000-0005-0000-0000-0000F0230000}"/>
    <cellStyle name="Normal 2 2 10 4 2 2" xfId="9201" xr:uid="{00000000-0005-0000-0000-0000F1230000}"/>
    <cellStyle name="Normal 2 2 10 4 2 3" xfId="9202" xr:uid="{00000000-0005-0000-0000-0000F2230000}"/>
    <cellStyle name="Normal 2 2 10 4 2 4" xfId="9203" xr:uid="{00000000-0005-0000-0000-0000F3230000}"/>
    <cellStyle name="Normal 2 2 10 4 2 5" xfId="9204" xr:uid="{00000000-0005-0000-0000-0000F4230000}"/>
    <cellStyle name="Normal 2 2 10 4 2 6" xfId="9205" xr:uid="{00000000-0005-0000-0000-0000F5230000}"/>
    <cellStyle name="Normal 2 2 10 4 2 7" xfId="9206" xr:uid="{00000000-0005-0000-0000-0000F6230000}"/>
    <cellStyle name="Normal 2 2 10 4 2 8" xfId="9207" xr:uid="{00000000-0005-0000-0000-0000F7230000}"/>
    <cellStyle name="Normal 2 2 10 4 2 9" xfId="9208" xr:uid="{00000000-0005-0000-0000-0000F8230000}"/>
    <cellStyle name="Normal 2 2 10 4 3" xfId="9209" xr:uid="{00000000-0005-0000-0000-0000F9230000}"/>
    <cellStyle name="Normal 2 2 10 4 3 10" xfId="9210" xr:uid="{00000000-0005-0000-0000-0000FA230000}"/>
    <cellStyle name="Normal 2 2 10 4 3 2" xfId="9211" xr:uid="{00000000-0005-0000-0000-0000FB230000}"/>
    <cellStyle name="Normal 2 2 10 4 3 3" xfId="9212" xr:uid="{00000000-0005-0000-0000-0000FC230000}"/>
    <cellStyle name="Normal 2 2 10 4 3 4" xfId="9213" xr:uid="{00000000-0005-0000-0000-0000FD230000}"/>
    <cellStyle name="Normal 2 2 10 4 3 5" xfId="9214" xr:uid="{00000000-0005-0000-0000-0000FE230000}"/>
    <cellStyle name="Normal 2 2 10 4 3 6" xfId="9215" xr:uid="{00000000-0005-0000-0000-0000FF230000}"/>
    <cellStyle name="Normal 2 2 10 4 3 7" xfId="9216" xr:uid="{00000000-0005-0000-0000-000000240000}"/>
    <cellStyle name="Normal 2 2 10 4 3 8" xfId="9217" xr:uid="{00000000-0005-0000-0000-000001240000}"/>
    <cellStyle name="Normal 2 2 10 4 3 9" xfId="9218" xr:uid="{00000000-0005-0000-0000-000002240000}"/>
    <cellStyle name="Normal 2 2 10 4 4" xfId="9219" xr:uid="{00000000-0005-0000-0000-000003240000}"/>
    <cellStyle name="Normal 2 2 10 4 4 10" xfId="9220" xr:uid="{00000000-0005-0000-0000-000004240000}"/>
    <cellStyle name="Normal 2 2 10 4 4 2" xfId="9221" xr:uid="{00000000-0005-0000-0000-000005240000}"/>
    <cellStyle name="Normal 2 2 10 4 4 3" xfId="9222" xr:uid="{00000000-0005-0000-0000-000006240000}"/>
    <cellStyle name="Normal 2 2 10 4 4 4" xfId="9223" xr:uid="{00000000-0005-0000-0000-000007240000}"/>
    <cellStyle name="Normal 2 2 10 4 4 5" xfId="9224" xr:uid="{00000000-0005-0000-0000-000008240000}"/>
    <cellStyle name="Normal 2 2 10 4 4 6" xfId="9225" xr:uid="{00000000-0005-0000-0000-000009240000}"/>
    <cellStyle name="Normal 2 2 10 4 4 7" xfId="9226" xr:uid="{00000000-0005-0000-0000-00000A240000}"/>
    <cellStyle name="Normal 2 2 10 4 4 8" xfId="9227" xr:uid="{00000000-0005-0000-0000-00000B240000}"/>
    <cellStyle name="Normal 2 2 10 4 4 9" xfId="9228" xr:uid="{00000000-0005-0000-0000-00000C240000}"/>
    <cellStyle name="Normal 2 2 10 4 5" xfId="9229" xr:uid="{00000000-0005-0000-0000-00000D240000}"/>
    <cellStyle name="Normal 2 2 10 4 5 10" xfId="9230" xr:uid="{00000000-0005-0000-0000-00000E240000}"/>
    <cellStyle name="Normal 2 2 10 4 5 2" xfId="9231" xr:uid="{00000000-0005-0000-0000-00000F240000}"/>
    <cellStyle name="Normal 2 2 10 4 5 3" xfId="9232" xr:uid="{00000000-0005-0000-0000-000010240000}"/>
    <cellStyle name="Normal 2 2 10 4 5 4" xfId="9233" xr:uid="{00000000-0005-0000-0000-000011240000}"/>
    <cellStyle name="Normal 2 2 10 4 5 5" xfId="9234" xr:uid="{00000000-0005-0000-0000-000012240000}"/>
    <cellStyle name="Normal 2 2 10 4 5 6" xfId="9235" xr:uid="{00000000-0005-0000-0000-000013240000}"/>
    <cellStyle name="Normal 2 2 10 4 5 7" xfId="9236" xr:uid="{00000000-0005-0000-0000-000014240000}"/>
    <cellStyle name="Normal 2 2 10 4 5 8" xfId="9237" xr:uid="{00000000-0005-0000-0000-000015240000}"/>
    <cellStyle name="Normal 2 2 10 4 5 9" xfId="9238" xr:uid="{00000000-0005-0000-0000-000016240000}"/>
    <cellStyle name="Normal 2 2 10 4 6" xfId="9239" xr:uid="{00000000-0005-0000-0000-000017240000}"/>
    <cellStyle name="Normal 2 2 10 4 7" xfId="9240" xr:uid="{00000000-0005-0000-0000-000018240000}"/>
    <cellStyle name="Normal 2 2 10 4 8" xfId="9241" xr:uid="{00000000-0005-0000-0000-000019240000}"/>
    <cellStyle name="Normal 2 2 10 4 9" xfId="9242" xr:uid="{00000000-0005-0000-0000-00001A240000}"/>
    <cellStyle name="Normal 2 2 10 40" xfId="9243" xr:uid="{00000000-0005-0000-0000-00001B240000}"/>
    <cellStyle name="Normal 2 2 10 41" xfId="9244" xr:uid="{00000000-0005-0000-0000-00001C240000}"/>
    <cellStyle name="Normal 2 2 10 42" xfId="9245" xr:uid="{00000000-0005-0000-0000-00001D240000}"/>
    <cellStyle name="Normal 2 2 10 43" xfId="9246" xr:uid="{00000000-0005-0000-0000-00001E240000}"/>
    <cellStyle name="Normal 2 2 10 44" xfId="9247" xr:uid="{00000000-0005-0000-0000-00001F240000}"/>
    <cellStyle name="Normal 2 2 10 45" xfId="9248" xr:uid="{00000000-0005-0000-0000-000020240000}"/>
    <cellStyle name="Normal 2 2 10 46" xfId="9249" xr:uid="{00000000-0005-0000-0000-000021240000}"/>
    <cellStyle name="Normal 2 2 10 47" xfId="9250" xr:uid="{00000000-0005-0000-0000-000022240000}"/>
    <cellStyle name="Normal 2 2 10 5" xfId="9251" xr:uid="{00000000-0005-0000-0000-000023240000}"/>
    <cellStyle name="Normal 2 2 10 5 10" xfId="9252" xr:uid="{00000000-0005-0000-0000-000024240000}"/>
    <cellStyle name="Normal 2 2 10 5 11" xfId="9253" xr:uid="{00000000-0005-0000-0000-000025240000}"/>
    <cellStyle name="Normal 2 2 10 5 12" xfId="9254" xr:uid="{00000000-0005-0000-0000-000026240000}"/>
    <cellStyle name="Normal 2 2 10 5 13" xfId="9255" xr:uid="{00000000-0005-0000-0000-000027240000}"/>
    <cellStyle name="Normal 2 2 10 5 14" xfId="9256" xr:uid="{00000000-0005-0000-0000-000028240000}"/>
    <cellStyle name="Normal 2 2 10 5 2" xfId="9257" xr:uid="{00000000-0005-0000-0000-000029240000}"/>
    <cellStyle name="Normal 2 2 10 5 2 10" xfId="9258" xr:uid="{00000000-0005-0000-0000-00002A240000}"/>
    <cellStyle name="Normal 2 2 10 5 2 2" xfId="9259" xr:uid="{00000000-0005-0000-0000-00002B240000}"/>
    <cellStyle name="Normal 2 2 10 5 2 3" xfId="9260" xr:uid="{00000000-0005-0000-0000-00002C240000}"/>
    <cellStyle name="Normal 2 2 10 5 2 4" xfId="9261" xr:uid="{00000000-0005-0000-0000-00002D240000}"/>
    <cellStyle name="Normal 2 2 10 5 2 5" xfId="9262" xr:uid="{00000000-0005-0000-0000-00002E240000}"/>
    <cellStyle name="Normal 2 2 10 5 2 6" xfId="9263" xr:uid="{00000000-0005-0000-0000-00002F240000}"/>
    <cellStyle name="Normal 2 2 10 5 2 7" xfId="9264" xr:uid="{00000000-0005-0000-0000-000030240000}"/>
    <cellStyle name="Normal 2 2 10 5 2 8" xfId="9265" xr:uid="{00000000-0005-0000-0000-000031240000}"/>
    <cellStyle name="Normal 2 2 10 5 2 9" xfId="9266" xr:uid="{00000000-0005-0000-0000-000032240000}"/>
    <cellStyle name="Normal 2 2 10 5 3" xfId="9267" xr:uid="{00000000-0005-0000-0000-000033240000}"/>
    <cellStyle name="Normal 2 2 10 5 3 10" xfId="9268" xr:uid="{00000000-0005-0000-0000-000034240000}"/>
    <cellStyle name="Normal 2 2 10 5 3 2" xfId="9269" xr:uid="{00000000-0005-0000-0000-000035240000}"/>
    <cellStyle name="Normal 2 2 10 5 3 3" xfId="9270" xr:uid="{00000000-0005-0000-0000-000036240000}"/>
    <cellStyle name="Normal 2 2 10 5 3 4" xfId="9271" xr:uid="{00000000-0005-0000-0000-000037240000}"/>
    <cellStyle name="Normal 2 2 10 5 3 5" xfId="9272" xr:uid="{00000000-0005-0000-0000-000038240000}"/>
    <cellStyle name="Normal 2 2 10 5 3 6" xfId="9273" xr:uid="{00000000-0005-0000-0000-000039240000}"/>
    <cellStyle name="Normal 2 2 10 5 3 7" xfId="9274" xr:uid="{00000000-0005-0000-0000-00003A240000}"/>
    <cellStyle name="Normal 2 2 10 5 3 8" xfId="9275" xr:uid="{00000000-0005-0000-0000-00003B240000}"/>
    <cellStyle name="Normal 2 2 10 5 3 9" xfId="9276" xr:uid="{00000000-0005-0000-0000-00003C240000}"/>
    <cellStyle name="Normal 2 2 10 5 4" xfId="9277" xr:uid="{00000000-0005-0000-0000-00003D240000}"/>
    <cellStyle name="Normal 2 2 10 5 4 10" xfId="9278" xr:uid="{00000000-0005-0000-0000-00003E240000}"/>
    <cellStyle name="Normal 2 2 10 5 4 2" xfId="9279" xr:uid="{00000000-0005-0000-0000-00003F240000}"/>
    <cellStyle name="Normal 2 2 10 5 4 3" xfId="9280" xr:uid="{00000000-0005-0000-0000-000040240000}"/>
    <cellStyle name="Normal 2 2 10 5 4 4" xfId="9281" xr:uid="{00000000-0005-0000-0000-000041240000}"/>
    <cellStyle name="Normal 2 2 10 5 4 5" xfId="9282" xr:uid="{00000000-0005-0000-0000-000042240000}"/>
    <cellStyle name="Normal 2 2 10 5 4 6" xfId="9283" xr:uid="{00000000-0005-0000-0000-000043240000}"/>
    <cellStyle name="Normal 2 2 10 5 4 7" xfId="9284" xr:uid="{00000000-0005-0000-0000-000044240000}"/>
    <cellStyle name="Normal 2 2 10 5 4 8" xfId="9285" xr:uid="{00000000-0005-0000-0000-000045240000}"/>
    <cellStyle name="Normal 2 2 10 5 4 9" xfId="9286" xr:uid="{00000000-0005-0000-0000-000046240000}"/>
    <cellStyle name="Normal 2 2 10 5 5" xfId="9287" xr:uid="{00000000-0005-0000-0000-000047240000}"/>
    <cellStyle name="Normal 2 2 10 5 5 10" xfId="9288" xr:uid="{00000000-0005-0000-0000-000048240000}"/>
    <cellStyle name="Normal 2 2 10 5 5 2" xfId="9289" xr:uid="{00000000-0005-0000-0000-000049240000}"/>
    <cellStyle name="Normal 2 2 10 5 5 3" xfId="9290" xr:uid="{00000000-0005-0000-0000-00004A240000}"/>
    <cellStyle name="Normal 2 2 10 5 5 4" xfId="9291" xr:uid="{00000000-0005-0000-0000-00004B240000}"/>
    <cellStyle name="Normal 2 2 10 5 5 5" xfId="9292" xr:uid="{00000000-0005-0000-0000-00004C240000}"/>
    <cellStyle name="Normal 2 2 10 5 5 6" xfId="9293" xr:uid="{00000000-0005-0000-0000-00004D240000}"/>
    <cellStyle name="Normal 2 2 10 5 5 7" xfId="9294" xr:uid="{00000000-0005-0000-0000-00004E240000}"/>
    <cellStyle name="Normal 2 2 10 5 5 8" xfId="9295" xr:uid="{00000000-0005-0000-0000-00004F240000}"/>
    <cellStyle name="Normal 2 2 10 5 5 9" xfId="9296" xr:uid="{00000000-0005-0000-0000-000050240000}"/>
    <cellStyle name="Normal 2 2 10 5 6" xfId="9297" xr:uid="{00000000-0005-0000-0000-000051240000}"/>
    <cellStyle name="Normal 2 2 10 5 7" xfId="9298" xr:uid="{00000000-0005-0000-0000-000052240000}"/>
    <cellStyle name="Normal 2 2 10 5 8" xfId="9299" xr:uid="{00000000-0005-0000-0000-000053240000}"/>
    <cellStyle name="Normal 2 2 10 5 9" xfId="9300" xr:uid="{00000000-0005-0000-0000-000054240000}"/>
    <cellStyle name="Normal 2 2 10 6" xfId="9301" xr:uid="{00000000-0005-0000-0000-000055240000}"/>
    <cellStyle name="Normal 2 2 10 6 10" xfId="9302" xr:uid="{00000000-0005-0000-0000-000056240000}"/>
    <cellStyle name="Normal 2 2 10 6 11" xfId="9303" xr:uid="{00000000-0005-0000-0000-000057240000}"/>
    <cellStyle name="Normal 2 2 10 6 12" xfId="9304" xr:uid="{00000000-0005-0000-0000-000058240000}"/>
    <cellStyle name="Normal 2 2 10 6 13" xfId="9305" xr:uid="{00000000-0005-0000-0000-000059240000}"/>
    <cellStyle name="Normal 2 2 10 6 14" xfId="9306" xr:uid="{00000000-0005-0000-0000-00005A240000}"/>
    <cellStyle name="Normal 2 2 10 6 2" xfId="9307" xr:uid="{00000000-0005-0000-0000-00005B240000}"/>
    <cellStyle name="Normal 2 2 10 6 2 10" xfId="9308" xr:uid="{00000000-0005-0000-0000-00005C240000}"/>
    <cellStyle name="Normal 2 2 10 6 2 2" xfId="9309" xr:uid="{00000000-0005-0000-0000-00005D240000}"/>
    <cellStyle name="Normal 2 2 10 6 2 3" xfId="9310" xr:uid="{00000000-0005-0000-0000-00005E240000}"/>
    <cellStyle name="Normal 2 2 10 6 2 4" xfId="9311" xr:uid="{00000000-0005-0000-0000-00005F240000}"/>
    <cellStyle name="Normal 2 2 10 6 2 5" xfId="9312" xr:uid="{00000000-0005-0000-0000-000060240000}"/>
    <cellStyle name="Normal 2 2 10 6 2 6" xfId="9313" xr:uid="{00000000-0005-0000-0000-000061240000}"/>
    <cellStyle name="Normal 2 2 10 6 2 7" xfId="9314" xr:uid="{00000000-0005-0000-0000-000062240000}"/>
    <cellStyle name="Normal 2 2 10 6 2 8" xfId="9315" xr:uid="{00000000-0005-0000-0000-000063240000}"/>
    <cellStyle name="Normal 2 2 10 6 2 9" xfId="9316" xr:uid="{00000000-0005-0000-0000-000064240000}"/>
    <cellStyle name="Normal 2 2 10 6 3" xfId="9317" xr:uid="{00000000-0005-0000-0000-000065240000}"/>
    <cellStyle name="Normal 2 2 10 6 3 10" xfId="9318" xr:uid="{00000000-0005-0000-0000-000066240000}"/>
    <cellStyle name="Normal 2 2 10 6 3 2" xfId="9319" xr:uid="{00000000-0005-0000-0000-000067240000}"/>
    <cellStyle name="Normal 2 2 10 6 3 3" xfId="9320" xr:uid="{00000000-0005-0000-0000-000068240000}"/>
    <cellStyle name="Normal 2 2 10 6 3 4" xfId="9321" xr:uid="{00000000-0005-0000-0000-000069240000}"/>
    <cellStyle name="Normal 2 2 10 6 3 5" xfId="9322" xr:uid="{00000000-0005-0000-0000-00006A240000}"/>
    <cellStyle name="Normal 2 2 10 6 3 6" xfId="9323" xr:uid="{00000000-0005-0000-0000-00006B240000}"/>
    <cellStyle name="Normal 2 2 10 6 3 7" xfId="9324" xr:uid="{00000000-0005-0000-0000-00006C240000}"/>
    <cellStyle name="Normal 2 2 10 6 3 8" xfId="9325" xr:uid="{00000000-0005-0000-0000-00006D240000}"/>
    <cellStyle name="Normal 2 2 10 6 3 9" xfId="9326" xr:uid="{00000000-0005-0000-0000-00006E240000}"/>
    <cellStyle name="Normal 2 2 10 6 4" xfId="9327" xr:uid="{00000000-0005-0000-0000-00006F240000}"/>
    <cellStyle name="Normal 2 2 10 6 4 10" xfId="9328" xr:uid="{00000000-0005-0000-0000-000070240000}"/>
    <cellStyle name="Normal 2 2 10 6 4 2" xfId="9329" xr:uid="{00000000-0005-0000-0000-000071240000}"/>
    <cellStyle name="Normal 2 2 10 6 4 3" xfId="9330" xr:uid="{00000000-0005-0000-0000-000072240000}"/>
    <cellStyle name="Normal 2 2 10 6 4 4" xfId="9331" xr:uid="{00000000-0005-0000-0000-000073240000}"/>
    <cellStyle name="Normal 2 2 10 6 4 5" xfId="9332" xr:uid="{00000000-0005-0000-0000-000074240000}"/>
    <cellStyle name="Normal 2 2 10 6 4 6" xfId="9333" xr:uid="{00000000-0005-0000-0000-000075240000}"/>
    <cellStyle name="Normal 2 2 10 6 4 7" xfId="9334" xr:uid="{00000000-0005-0000-0000-000076240000}"/>
    <cellStyle name="Normal 2 2 10 6 4 8" xfId="9335" xr:uid="{00000000-0005-0000-0000-000077240000}"/>
    <cellStyle name="Normal 2 2 10 6 4 9" xfId="9336" xr:uid="{00000000-0005-0000-0000-000078240000}"/>
    <cellStyle name="Normal 2 2 10 6 5" xfId="9337" xr:uid="{00000000-0005-0000-0000-000079240000}"/>
    <cellStyle name="Normal 2 2 10 6 5 10" xfId="9338" xr:uid="{00000000-0005-0000-0000-00007A240000}"/>
    <cellStyle name="Normal 2 2 10 6 5 2" xfId="9339" xr:uid="{00000000-0005-0000-0000-00007B240000}"/>
    <cellStyle name="Normal 2 2 10 6 5 3" xfId="9340" xr:uid="{00000000-0005-0000-0000-00007C240000}"/>
    <cellStyle name="Normal 2 2 10 6 5 4" xfId="9341" xr:uid="{00000000-0005-0000-0000-00007D240000}"/>
    <cellStyle name="Normal 2 2 10 6 5 5" xfId="9342" xr:uid="{00000000-0005-0000-0000-00007E240000}"/>
    <cellStyle name="Normal 2 2 10 6 5 6" xfId="9343" xr:uid="{00000000-0005-0000-0000-00007F240000}"/>
    <cellStyle name="Normal 2 2 10 6 5 7" xfId="9344" xr:uid="{00000000-0005-0000-0000-000080240000}"/>
    <cellStyle name="Normal 2 2 10 6 5 8" xfId="9345" xr:uid="{00000000-0005-0000-0000-000081240000}"/>
    <cellStyle name="Normal 2 2 10 6 5 9" xfId="9346" xr:uid="{00000000-0005-0000-0000-000082240000}"/>
    <cellStyle name="Normal 2 2 10 6 6" xfId="9347" xr:uid="{00000000-0005-0000-0000-000083240000}"/>
    <cellStyle name="Normal 2 2 10 6 7" xfId="9348" xr:uid="{00000000-0005-0000-0000-000084240000}"/>
    <cellStyle name="Normal 2 2 10 6 8" xfId="9349" xr:uid="{00000000-0005-0000-0000-000085240000}"/>
    <cellStyle name="Normal 2 2 10 6 9" xfId="9350" xr:uid="{00000000-0005-0000-0000-000086240000}"/>
    <cellStyle name="Normal 2 2 10 7" xfId="9351" xr:uid="{00000000-0005-0000-0000-000087240000}"/>
    <cellStyle name="Normal 2 2 10 7 10" xfId="9352" xr:uid="{00000000-0005-0000-0000-000088240000}"/>
    <cellStyle name="Normal 2 2 10 7 11" xfId="9353" xr:uid="{00000000-0005-0000-0000-000089240000}"/>
    <cellStyle name="Normal 2 2 10 7 12" xfId="9354" xr:uid="{00000000-0005-0000-0000-00008A240000}"/>
    <cellStyle name="Normal 2 2 10 7 13" xfId="9355" xr:uid="{00000000-0005-0000-0000-00008B240000}"/>
    <cellStyle name="Normal 2 2 10 7 14" xfId="9356" xr:uid="{00000000-0005-0000-0000-00008C240000}"/>
    <cellStyle name="Normal 2 2 10 7 2" xfId="9357" xr:uid="{00000000-0005-0000-0000-00008D240000}"/>
    <cellStyle name="Normal 2 2 10 7 2 10" xfId="9358" xr:uid="{00000000-0005-0000-0000-00008E240000}"/>
    <cellStyle name="Normal 2 2 10 7 2 2" xfId="9359" xr:uid="{00000000-0005-0000-0000-00008F240000}"/>
    <cellStyle name="Normal 2 2 10 7 2 3" xfId="9360" xr:uid="{00000000-0005-0000-0000-000090240000}"/>
    <cellStyle name="Normal 2 2 10 7 2 4" xfId="9361" xr:uid="{00000000-0005-0000-0000-000091240000}"/>
    <cellStyle name="Normal 2 2 10 7 2 5" xfId="9362" xr:uid="{00000000-0005-0000-0000-000092240000}"/>
    <cellStyle name="Normal 2 2 10 7 2 6" xfId="9363" xr:uid="{00000000-0005-0000-0000-000093240000}"/>
    <cellStyle name="Normal 2 2 10 7 2 7" xfId="9364" xr:uid="{00000000-0005-0000-0000-000094240000}"/>
    <cellStyle name="Normal 2 2 10 7 2 8" xfId="9365" xr:uid="{00000000-0005-0000-0000-000095240000}"/>
    <cellStyle name="Normal 2 2 10 7 2 9" xfId="9366" xr:uid="{00000000-0005-0000-0000-000096240000}"/>
    <cellStyle name="Normal 2 2 10 7 3" xfId="9367" xr:uid="{00000000-0005-0000-0000-000097240000}"/>
    <cellStyle name="Normal 2 2 10 7 3 10" xfId="9368" xr:uid="{00000000-0005-0000-0000-000098240000}"/>
    <cellStyle name="Normal 2 2 10 7 3 2" xfId="9369" xr:uid="{00000000-0005-0000-0000-000099240000}"/>
    <cellStyle name="Normal 2 2 10 7 3 3" xfId="9370" xr:uid="{00000000-0005-0000-0000-00009A240000}"/>
    <cellStyle name="Normal 2 2 10 7 3 4" xfId="9371" xr:uid="{00000000-0005-0000-0000-00009B240000}"/>
    <cellStyle name="Normal 2 2 10 7 3 5" xfId="9372" xr:uid="{00000000-0005-0000-0000-00009C240000}"/>
    <cellStyle name="Normal 2 2 10 7 3 6" xfId="9373" xr:uid="{00000000-0005-0000-0000-00009D240000}"/>
    <cellStyle name="Normal 2 2 10 7 3 7" xfId="9374" xr:uid="{00000000-0005-0000-0000-00009E240000}"/>
    <cellStyle name="Normal 2 2 10 7 3 8" xfId="9375" xr:uid="{00000000-0005-0000-0000-00009F240000}"/>
    <cellStyle name="Normal 2 2 10 7 3 9" xfId="9376" xr:uid="{00000000-0005-0000-0000-0000A0240000}"/>
    <cellStyle name="Normal 2 2 10 7 4" xfId="9377" xr:uid="{00000000-0005-0000-0000-0000A1240000}"/>
    <cellStyle name="Normal 2 2 10 7 4 10" xfId="9378" xr:uid="{00000000-0005-0000-0000-0000A2240000}"/>
    <cellStyle name="Normal 2 2 10 7 4 2" xfId="9379" xr:uid="{00000000-0005-0000-0000-0000A3240000}"/>
    <cellStyle name="Normal 2 2 10 7 4 3" xfId="9380" xr:uid="{00000000-0005-0000-0000-0000A4240000}"/>
    <cellStyle name="Normal 2 2 10 7 4 4" xfId="9381" xr:uid="{00000000-0005-0000-0000-0000A5240000}"/>
    <cellStyle name="Normal 2 2 10 7 4 5" xfId="9382" xr:uid="{00000000-0005-0000-0000-0000A6240000}"/>
    <cellStyle name="Normal 2 2 10 7 4 6" xfId="9383" xr:uid="{00000000-0005-0000-0000-0000A7240000}"/>
    <cellStyle name="Normal 2 2 10 7 4 7" xfId="9384" xr:uid="{00000000-0005-0000-0000-0000A8240000}"/>
    <cellStyle name="Normal 2 2 10 7 4 8" xfId="9385" xr:uid="{00000000-0005-0000-0000-0000A9240000}"/>
    <cellStyle name="Normal 2 2 10 7 4 9" xfId="9386" xr:uid="{00000000-0005-0000-0000-0000AA240000}"/>
    <cellStyle name="Normal 2 2 10 7 5" xfId="9387" xr:uid="{00000000-0005-0000-0000-0000AB240000}"/>
    <cellStyle name="Normal 2 2 10 7 5 10" xfId="9388" xr:uid="{00000000-0005-0000-0000-0000AC240000}"/>
    <cellStyle name="Normal 2 2 10 7 5 2" xfId="9389" xr:uid="{00000000-0005-0000-0000-0000AD240000}"/>
    <cellStyle name="Normal 2 2 10 7 5 3" xfId="9390" xr:uid="{00000000-0005-0000-0000-0000AE240000}"/>
    <cellStyle name="Normal 2 2 10 7 5 4" xfId="9391" xr:uid="{00000000-0005-0000-0000-0000AF240000}"/>
    <cellStyle name="Normal 2 2 10 7 5 5" xfId="9392" xr:uid="{00000000-0005-0000-0000-0000B0240000}"/>
    <cellStyle name="Normal 2 2 10 7 5 6" xfId="9393" xr:uid="{00000000-0005-0000-0000-0000B1240000}"/>
    <cellStyle name="Normal 2 2 10 7 5 7" xfId="9394" xr:uid="{00000000-0005-0000-0000-0000B2240000}"/>
    <cellStyle name="Normal 2 2 10 7 5 8" xfId="9395" xr:uid="{00000000-0005-0000-0000-0000B3240000}"/>
    <cellStyle name="Normal 2 2 10 7 5 9" xfId="9396" xr:uid="{00000000-0005-0000-0000-0000B4240000}"/>
    <cellStyle name="Normal 2 2 10 7 6" xfId="9397" xr:uid="{00000000-0005-0000-0000-0000B5240000}"/>
    <cellStyle name="Normal 2 2 10 7 7" xfId="9398" xr:uid="{00000000-0005-0000-0000-0000B6240000}"/>
    <cellStyle name="Normal 2 2 10 7 8" xfId="9399" xr:uid="{00000000-0005-0000-0000-0000B7240000}"/>
    <cellStyle name="Normal 2 2 10 7 9" xfId="9400" xr:uid="{00000000-0005-0000-0000-0000B8240000}"/>
    <cellStyle name="Normal 2 2 10 8" xfId="9401" xr:uid="{00000000-0005-0000-0000-0000B9240000}"/>
    <cellStyle name="Normal 2 2 10 8 10" xfId="9402" xr:uid="{00000000-0005-0000-0000-0000BA240000}"/>
    <cellStyle name="Normal 2 2 10 8 11" xfId="9403" xr:uid="{00000000-0005-0000-0000-0000BB240000}"/>
    <cellStyle name="Normal 2 2 10 8 12" xfId="9404" xr:uid="{00000000-0005-0000-0000-0000BC240000}"/>
    <cellStyle name="Normal 2 2 10 8 13" xfId="9405" xr:uid="{00000000-0005-0000-0000-0000BD240000}"/>
    <cellStyle name="Normal 2 2 10 8 14" xfId="9406" xr:uid="{00000000-0005-0000-0000-0000BE240000}"/>
    <cellStyle name="Normal 2 2 10 8 2" xfId="9407" xr:uid="{00000000-0005-0000-0000-0000BF240000}"/>
    <cellStyle name="Normal 2 2 10 8 2 10" xfId="9408" xr:uid="{00000000-0005-0000-0000-0000C0240000}"/>
    <cellStyle name="Normal 2 2 10 8 2 2" xfId="9409" xr:uid="{00000000-0005-0000-0000-0000C1240000}"/>
    <cellStyle name="Normal 2 2 10 8 2 3" xfId="9410" xr:uid="{00000000-0005-0000-0000-0000C2240000}"/>
    <cellStyle name="Normal 2 2 10 8 2 4" xfId="9411" xr:uid="{00000000-0005-0000-0000-0000C3240000}"/>
    <cellStyle name="Normal 2 2 10 8 2 5" xfId="9412" xr:uid="{00000000-0005-0000-0000-0000C4240000}"/>
    <cellStyle name="Normal 2 2 10 8 2 6" xfId="9413" xr:uid="{00000000-0005-0000-0000-0000C5240000}"/>
    <cellStyle name="Normal 2 2 10 8 2 7" xfId="9414" xr:uid="{00000000-0005-0000-0000-0000C6240000}"/>
    <cellStyle name="Normal 2 2 10 8 2 8" xfId="9415" xr:uid="{00000000-0005-0000-0000-0000C7240000}"/>
    <cellStyle name="Normal 2 2 10 8 2 9" xfId="9416" xr:uid="{00000000-0005-0000-0000-0000C8240000}"/>
    <cellStyle name="Normal 2 2 10 8 3" xfId="9417" xr:uid="{00000000-0005-0000-0000-0000C9240000}"/>
    <cellStyle name="Normal 2 2 10 8 3 10" xfId="9418" xr:uid="{00000000-0005-0000-0000-0000CA240000}"/>
    <cellStyle name="Normal 2 2 10 8 3 2" xfId="9419" xr:uid="{00000000-0005-0000-0000-0000CB240000}"/>
    <cellStyle name="Normal 2 2 10 8 3 3" xfId="9420" xr:uid="{00000000-0005-0000-0000-0000CC240000}"/>
    <cellStyle name="Normal 2 2 10 8 3 4" xfId="9421" xr:uid="{00000000-0005-0000-0000-0000CD240000}"/>
    <cellStyle name="Normal 2 2 10 8 3 5" xfId="9422" xr:uid="{00000000-0005-0000-0000-0000CE240000}"/>
    <cellStyle name="Normal 2 2 10 8 3 6" xfId="9423" xr:uid="{00000000-0005-0000-0000-0000CF240000}"/>
    <cellStyle name="Normal 2 2 10 8 3 7" xfId="9424" xr:uid="{00000000-0005-0000-0000-0000D0240000}"/>
    <cellStyle name="Normal 2 2 10 8 3 8" xfId="9425" xr:uid="{00000000-0005-0000-0000-0000D1240000}"/>
    <cellStyle name="Normal 2 2 10 8 3 9" xfId="9426" xr:uid="{00000000-0005-0000-0000-0000D2240000}"/>
    <cellStyle name="Normal 2 2 10 8 4" xfId="9427" xr:uid="{00000000-0005-0000-0000-0000D3240000}"/>
    <cellStyle name="Normal 2 2 10 8 4 10" xfId="9428" xr:uid="{00000000-0005-0000-0000-0000D4240000}"/>
    <cellStyle name="Normal 2 2 10 8 4 2" xfId="9429" xr:uid="{00000000-0005-0000-0000-0000D5240000}"/>
    <cellStyle name="Normal 2 2 10 8 4 3" xfId="9430" xr:uid="{00000000-0005-0000-0000-0000D6240000}"/>
    <cellStyle name="Normal 2 2 10 8 4 4" xfId="9431" xr:uid="{00000000-0005-0000-0000-0000D7240000}"/>
    <cellStyle name="Normal 2 2 10 8 4 5" xfId="9432" xr:uid="{00000000-0005-0000-0000-0000D8240000}"/>
    <cellStyle name="Normal 2 2 10 8 4 6" xfId="9433" xr:uid="{00000000-0005-0000-0000-0000D9240000}"/>
    <cellStyle name="Normal 2 2 10 8 4 7" xfId="9434" xr:uid="{00000000-0005-0000-0000-0000DA240000}"/>
    <cellStyle name="Normal 2 2 10 8 4 8" xfId="9435" xr:uid="{00000000-0005-0000-0000-0000DB240000}"/>
    <cellStyle name="Normal 2 2 10 8 4 9" xfId="9436" xr:uid="{00000000-0005-0000-0000-0000DC240000}"/>
    <cellStyle name="Normal 2 2 10 8 5" xfId="9437" xr:uid="{00000000-0005-0000-0000-0000DD240000}"/>
    <cellStyle name="Normal 2 2 10 8 5 10" xfId="9438" xr:uid="{00000000-0005-0000-0000-0000DE240000}"/>
    <cellStyle name="Normal 2 2 10 8 5 2" xfId="9439" xr:uid="{00000000-0005-0000-0000-0000DF240000}"/>
    <cellStyle name="Normal 2 2 10 8 5 3" xfId="9440" xr:uid="{00000000-0005-0000-0000-0000E0240000}"/>
    <cellStyle name="Normal 2 2 10 8 5 4" xfId="9441" xr:uid="{00000000-0005-0000-0000-0000E1240000}"/>
    <cellStyle name="Normal 2 2 10 8 5 5" xfId="9442" xr:uid="{00000000-0005-0000-0000-0000E2240000}"/>
    <cellStyle name="Normal 2 2 10 8 5 6" xfId="9443" xr:uid="{00000000-0005-0000-0000-0000E3240000}"/>
    <cellStyle name="Normal 2 2 10 8 5 7" xfId="9444" xr:uid="{00000000-0005-0000-0000-0000E4240000}"/>
    <cellStyle name="Normal 2 2 10 8 5 8" xfId="9445" xr:uid="{00000000-0005-0000-0000-0000E5240000}"/>
    <cellStyle name="Normal 2 2 10 8 5 9" xfId="9446" xr:uid="{00000000-0005-0000-0000-0000E6240000}"/>
    <cellStyle name="Normal 2 2 10 8 6" xfId="9447" xr:uid="{00000000-0005-0000-0000-0000E7240000}"/>
    <cellStyle name="Normal 2 2 10 8 7" xfId="9448" xr:uid="{00000000-0005-0000-0000-0000E8240000}"/>
    <cellStyle name="Normal 2 2 10 8 8" xfId="9449" xr:uid="{00000000-0005-0000-0000-0000E9240000}"/>
    <cellStyle name="Normal 2 2 10 8 9" xfId="9450" xr:uid="{00000000-0005-0000-0000-0000EA240000}"/>
    <cellStyle name="Normal 2 2 10 9" xfId="9451" xr:uid="{00000000-0005-0000-0000-0000EB240000}"/>
    <cellStyle name="Normal 2 2 10 9 10" xfId="9452" xr:uid="{00000000-0005-0000-0000-0000EC240000}"/>
    <cellStyle name="Normal 2 2 10 9 11" xfId="9453" xr:uid="{00000000-0005-0000-0000-0000ED240000}"/>
    <cellStyle name="Normal 2 2 10 9 12" xfId="9454" xr:uid="{00000000-0005-0000-0000-0000EE240000}"/>
    <cellStyle name="Normal 2 2 10 9 13" xfId="9455" xr:uid="{00000000-0005-0000-0000-0000EF240000}"/>
    <cellStyle name="Normal 2 2 10 9 14" xfId="9456" xr:uid="{00000000-0005-0000-0000-0000F0240000}"/>
    <cellStyle name="Normal 2 2 10 9 2" xfId="9457" xr:uid="{00000000-0005-0000-0000-0000F1240000}"/>
    <cellStyle name="Normal 2 2 10 9 2 10" xfId="9458" xr:uid="{00000000-0005-0000-0000-0000F2240000}"/>
    <cellStyle name="Normal 2 2 10 9 2 2" xfId="9459" xr:uid="{00000000-0005-0000-0000-0000F3240000}"/>
    <cellStyle name="Normal 2 2 10 9 2 3" xfId="9460" xr:uid="{00000000-0005-0000-0000-0000F4240000}"/>
    <cellStyle name="Normal 2 2 10 9 2 4" xfId="9461" xr:uid="{00000000-0005-0000-0000-0000F5240000}"/>
    <cellStyle name="Normal 2 2 10 9 2 5" xfId="9462" xr:uid="{00000000-0005-0000-0000-0000F6240000}"/>
    <cellStyle name="Normal 2 2 10 9 2 6" xfId="9463" xr:uid="{00000000-0005-0000-0000-0000F7240000}"/>
    <cellStyle name="Normal 2 2 10 9 2 7" xfId="9464" xr:uid="{00000000-0005-0000-0000-0000F8240000}"/>
    <cellStyle name="Normal 2 2 10 9 2 8" xfId="9465" xr:uid="{00000000-0005-0000-0000-0000F9240000}"/>
    <cellStyle name="Normal 2 2 10 9 2 9" xfId="9466" xr:uid="{00000000-0005-0000-0000-0000FA240000}"/>
    <cellStyle name="Normal 2 2 10 9 3" xfId="9467" xr:uid="{00000000-0005-0000-0000-0000FB240000}"/>
    <cellStyle name="Normal 2 2 10 9 3 10" xfId="9468" xr:uid="{00000000-0005-0000-0000-0000FC240000}"/>
    <cellStyle name="Normal 2 2 10 9 3 2" xfId="9469" xr:uid="{00000000-0005-0000-0000-0000FD240000}"/>
    <cellStyle name="Normal 2 2 10 9 3 3" xfId="9470" xr:uid="{00000000-0005-0000-0000-0000FE240000}"/>
    <cellStyle name="Normal 2 2 10 9 3 4" xfId="9471" xr:uid="{00000000-0005-0000-0000-0000FF240000}"/>
    <cellStyle name="Normal 2 2 10 9 3 5" xfId="9472" xr:uid="{00000000-0005-0000-0000-000000250000}"/>
    <cellStyle name="Normal 2 2 10 9 3 6" xfId="9473" xr:uid="{00000000-0005-0000-0000-000001250000}"/>
    <cellStyle name="Normal 2 2 10 9 3 7" xfId="9474" xr:uid="{00000000-0005-0000-0000-000002250000}"/>
    <cellStyle name="Normal 2 2 10 9 3 8" xfId="9475" xr:uid="{00000000-0005-0000-0000-000003250000}"/>
    <cellStyle name="Normal 2 2 10 9 3 9" xfId="9476" xr:uid="{00000000-0005-0000-0000-000004250000}"/>
    <cellStyle name="Normal 2 2 10 9 4" xfId="9477" xr:uid="{00000000-0005-0000-0000-000005250000}"/>
    <cellStyle name="Normal 2 2 10 9 4 10" xfId="9478" xr:uid="{00000000-0005-0000-0000-000006250000}"/>
    <cellStyle name="Normal 2 2 10 9 4 2" xfId="9479" xr:uid="{00000000-0005-0000-0000-000007250000}"/>
    <cellStyle name="Normal 2 2 10 9 4 3" xfId="9480" xr:uid="{00000000-0005-0000-0000-000008250000}"/>
    <cellStyle name="Normal 2 2 10 9 4 4" xfId="9481" xr:uid="{00000000-0005-0000-0000-000009250000}"/>
    <cellStyle name="Normal 2 2 10 9 4 5" xfId="9482" xr:uid="{00000000-0005-0000-0000-00000A250000}"/>
    <cellStyle name="Normal 2 2 10 9 4 6" xfId="9483" xr:uid="{00000000-0005-0000-0000-00000B250000}"/>
    <cellStyle name="Normal 2 2 10 9 4 7" xfId="9484" xr:uid="{00000000-0005-0000-0000-00000C250000}"/>
    <cellStyle name="Normal 2 2 10 9 4 8" xfId="9485" xr:uid="{00000000-0005-0000-0000-00000D250000}"/>
    <cellStyle name="Normal 2 2 10 9 4 9" xfId="9486" xr:uid="{00000000-0005-0000-0000-00000E250000}"/>
    <cellStyle name="Normal 2 2 10 9 5" xfId="9487" xr:uid="{00000000-0005-0000-0000-00000F250000}"/>
    <cellStyle name="Normal 2 2 10 9 5 10" xfId="9488" xr:uid="{00000000-0005-0000-0000-000010250000}"/>
    <cellStyle name="Normal 2 2 10 9 5 2" xfId="9489" xr:uid="{00000000-0005-0000-0000-000011250000}"/>
    <cellStyle name="Normal 2 2 10 9 5 3" xfId="9490" xr:uid="{00000000-0005-0000-0000-000012250000}"/>
    <cellStyle name="Normal 2 2 10 9 5 4" xfId="9491" xr:uid="{00000000-0005-0000-0000-000013250000}"/>
    <cellStyle name="Normal 2 2 10 9 5 5" xfId="9492" xr:uid="{00000000-0005-0000-0000-000014250000}"/>
    <cellStyle name="Normal 2 2 10 9 5 6" xfId="9493" xr:uid="{00000000-0005-0000-0000-000015250000}"/>
    <cellStyle name="Normal 2 2 10 9 5 7" xfId="9494" xr:uid="{00000000-0005-0000-0000-000016250000}"/>
    <cellStyle name="Normal 2 2 10 9 5 8" xfId="9495" xr:uid="{00000000-0005-0000-0000-000017250000}"/>
    <cellStyle name="Normal 2 2 10 9 5 9" xfId="9496" xr:uid="{00000000-0005-0000-0000-000018250000}"/>
    <cellStyle name="Normal 2 2 10 9 6" xfId="9497" xr:uid="{00000000-0005-0000-0000-000019250000}"/>
    <cellStyle name="Normal 2 2 10 9 7" xfId="9498" xr:uid="{00000000-0005-0000-0000-00001A250000}"/>
    <cellStyle name="Normal 2 2 10 9 8" xfId="9499" xr:uid="{00000000-0005-0000-0000-00001B250000}"/>
    <cellStyle name="Normal 2 2 10 9 9" xfId="9500" xr:uid="{00000000-0005-0000-0000-00001C250000}"/>
    <cellStyle name="Normal 2 2 11" xfId="9501" xr:uid="{00000000-0005-0000-0000-00001D250000}"/>
    <cellStyle name="Normal 2 2 12" xfId="9502" xr:uid="{00000000-0005-0000-0000-00001E250000}"/>
    <cellStyle name="Normal 2 2 13" xfId="9503" xr:uid="{00000000-0005-0000-0000-00001F250000}"/>
    <cellStyle name="Normal 2 2 14" xfId="9504" xr:uid="{00000000-0005-0000-0000-000020250000}"/>
    <cellStyle name="Normal 2 2 15" xfId="9505" xr:uid="{00000000-0005-0000-0000-000021250000}"/>
    <cellStyle name="Normal 2 2 16" xfId="9506" xr:uid="{00000000-0005-0000-0000-000022250000}"/>
    <cellStyle name="Normal 2 2 17" xfId="9507" xr:uid="{00000000-0005-0000-0000-000023250000}"/>
    <cellStyle name="Normal 2 2 18" xfId="9508" xr:uid="{00000000-0005-0000-0000-000024250000}"/>
    <cellStyle name="Normal 2 2 19" xfId="9509" xr:uid="{00000000-0005-0000-0000-000025250000}"/>
    <cellStyle name="Normal 2 2 2" xfId="9" xr:uid="{00000000-0005-0000-0000-000009000000}"/>
    <cellStyle name="Normal 2 2 2 10" xfId="9510" xr:uid="{00000000-0005-0000-0000-000026250000}"/>
    <cellStyle name="Normal 2 2 2 10 10" xfId="9511" xr:uid="{00000000-0005-0000-0000-000027250000}"/>
    <cellStyle name="Normal 2 2 2 10 11" xfId="9512" xr:uid="{00000000-0005-0000-0000-000028250000}"/>
    <cellStyle name="Normal 2 2 2 10 12" xfId="9513" xr:uid="{00000000-0005-0000-0000-000029250000}"/>
    <cellStyle name="Normal 2 2 2 10 13" xfId="9514" xr:uid="{00000000-0005-0000-0000-00002A250000}"/>
    <cellStyle name="Normal 2 2 2 10 14" xfId="9515" xr:uid="{00000000-0005-0000-0000-00002B250000}"/>
    <cellStyle name="Normal 2 2 2 10 2" xfId="9516" xr:uid="{00000000-0005-0000-0000-00002C250000}"/>
    <cellStyle name="Normal 2 2 2 10 2 10" xfId="9517" xr:uid="{00000000-0005-0000-0000-00002D250000}"/>
    <cellStyle name="Normal 2 2 2 10 2 2" xfId="9518" xr:uid="{00000000-0005-0000-0000-00002E250000}"/>
    <cellStyle name="Normal 2 2 2 10 2 3" xfId="9519" xr:uid="{00000000-0005-0000-0000-00002F250000}"/>
    <cellStyle name="Normal 2 2 2 10 2 4" xfId="9520" xr:uid="{00000000-0005-0000-0000-000030250000}"/>
    <cellStyle name="Normal 2 2 2 10 2 5" xfId="9521" xr:uid="{00000000-0005-0000-0000-000031250000}"/>
    <cellStyle name="Normal 2 2 2 10 2 6" xfId="9522" xr:uid="{00000000-0005-0000-0000-000032250000}"/>
    <cellStyle name="Normal 2 2 2 10 2 7" xfId="9523" xr:uid="{00000000-0005-0000-0000-000033250000}"/>
    <cellStyle name="Normal 2 2 2 10 2 8" xfId="9524" xr:uid="{00000000-0005-0000-0000-000034250000}"/>
    <cellStyle name="Normal 2 2 2 10 2 9" xfId="9525" xr:uid="{00000000-0005-0000-0000-000035250000}"/>
    <cellStyle name="Normal 2 2 2 10 3" xfId="9526" xr:uid="{00000000-0005-0000-0000-000036250000}"/>
    <cellStyle name="Normal 2 2 2 10 3 10" xfId="9527" xr:uid="{00000000-0005-0000-0000-000037250000}"/>
    <cellStyle name="Normal 2 2 2 10 3 2" xfId="9528" xr:uid="{00000000-0005-0000-0000-000038250000}"/>
    <cellStyle name="Normal 2 2 2 10 3 3" xfId="9529" xr:uid="{00000000-0005-0000-0000-000039250000}"/>
    <cellStyle name="Normal 2 2 2 10 3 4" xfId="9530" xr:uid="{00000000-0005-0000-0000-00003A250000}"/>
    <cellStyle name="Normal 2 2 2 10 3 5" xfId="9531" xr:uid="{00000000-0005-0000-0000-00003B250000}"/>
    <cellStyle name="Normal 2 2 2 10 3 6" xfId="9532" xr:uid="{00000000-0005-0000-0000-00003C250000}"/>
    <cellStyle name="Normal 2 2 2 10 3 7" xfId="9533" xr:uid="{00000000-0005-0000-0000-00003D250000}"/>
    <cellStyle name="Normal 2 2 2 10 3 8" xfId="9534" xr:uid="{00000000-0005-0000-0000-00003E250000}"/>
    <cellStyle name="Normal 2 2 2 10 3 9" xfId="9535" xr:uid="{00000000-0005-0000-0000-00003F250000}"/>
    <cellStyle name="Normal 2 2 2 10 4" xfId="9536" xr:uid="{00000000-0005-0000-0000-000040250000}"/>
    <cellStyle name="Normal 2 2 2 10 4 10" xfId="9537" xr:uid="{00000000-0005-0000-0000-000041250000}"/>
    <cellStyle name="Normal 2 2 2 10 4 2" xfId="9538" xr:uid="{00000000-0005-0000-0000-000042250000}"/>
    <cellStyle name="Normal 2 2 2 10 4 3" xfId="9539" xr:uid="{00000000-0005-0000-0000-000043250000}"/>
    <cellStyle name="Normal 2 2 2 10 4 4" xfId="9540" xr:uid="{00000000-0005-0000-0000-000044250000}"/>
    <cellStyle name="Normal 2 2 2 10 4 5" xfId="9541" xr:uid="{00000000-0005-0000-0000-000045250000}"/>
    <cellStyle name="Normal 2 2 2 10 4 6" xfId="9542" xr:uid="{00000000-0005-0000-0000-000046250000}"/>
    <cellStyle name="Normal 2 2 2 10 4 7" xfId="9543" xr:uid="{00000000-0005-0000-0000-000047250000}"/>
    <cellStyle name="Normal 2 2 2 10 4 8" xfId="9544" xr:uid="{00000000-0005-0000-0000-000048250000}"/>
    <cellStyle name="Normal 2 2 2 10 4 9" xfId="9545" xr:uid="{00000000-0005-0000-0000-000049250000}"/>
    <cellStyle name="Normal 2 2 2 10 5" xfId="9546" xr:uid="{00000000-0005-0000-0000-00004A250000}"/>
    <cellStyle name="Normal 2 2 2 10 5 10" xfId="9547" xr:uid="{00000000-0005-0000-0000-00004B250000}"/>
    <cellStyle name="Normal 2 2 2 10 5 2" xfId="9548" xr:uid="{00000000-0005-0000-0000-00004C250000}"/>
    <cellStyle name="Normal 2 2 2 10 5 3" xfId="9549" xr:uid="{00000000-0005-0000-0000-00004D250000}"/>
    <cellStyle name="Normal 2 2 2 10 5 4" xfId="9550" xr:uid="{00000000-0005-0000-0000-00004E250000}"/>
    <cellStyle name="Normal 2 2 2 10 5 5" xfId="9551" xr:uid="{00000000-0005-0000-0000-00004F250000}"/>
    <cellStyle name="Normal 2 2 2 10 5 6" xfId="9552" xr:uid="{00000000-0005-0000-0000-000050250000}"/>
    <cellStyle name="Normal 2 2 2 10 5 7" xfId="9553" xr:uid="{00000000-0005-0000-0000-000051250000}"/>
    <cellStyle name="Normal 2 2 2 10 5 8" xfId="9554" xr:uid="{00000000-0005-0000-0000-000052250000}"/>
    <cellStyle name="Normal 2 2 2 10 5 9" xfId="9555" xr:uid="{00000000-0005-0000-0000-000053250000}"/>
    <cellStyle name="Normal 2 2 2 10 6" xfId="9556" xr:uid="{00000000-0005-0000-0000-000054250000}"/>
    <cellStyle name="Normal 2 2 2 10 7" xfId="9557" xr:uid="{00000000-0005-0000-0000-000055250000}"/>
    <cellStyle name="Normal 2 2 2 10 8" xfId="9558" xr:uid="{00000000-0005-0000-0000-000056250000}"/>
    <cellStyle name="Normal 2 2 2 10 9" xfId="9559" xr:uid="{00000000-0005-0000-0000-000057250000}"/>
    <cellStyle name="Normal 2 2 2 11" xfId="9560" xr:uid="{00000000-0005-0000-0000-000058250000}"/>
    <cellStyle name="Normal 2 2 2 11 10" xfId="9561" xr:uid="{00000000-0005-0000-0000-000059250000}"/>
    <cellStyle name="Normal 2 2 2 11 11" xfId="9562" xr:uid="{00000000-0005-0000-0000-00005A250000}"/>
    <cellStyle name="Normal 2 2 2 11 12" xfId="9563" xr:uid="{00000000-0005-0000-0000-00005B250000}"/>
    <cellStyle name="Normal 2 2 2 11 13" xfId="9564" xr:uid="{00000000-0005-0000-0000-00005C250000}"/>
    <cellStyle name="Normal 2 2 2 11 14" xfId="9565" xr:uid="{00000000-0005-0000-0000-00005D250000}"/>
    <cellStyle name="Normal 2 2 2 11 2" xfId="9566" xr:uid="{00000000-0005-0000-0000-00005E250000}"/>
    <cellStyle name="Normal 2 2 2 11 2 10" xfId="9567" xr:uid="{00000000-0005-0000-0000-00005F250000}"/>
    <cellStyle name="Normal 2 2 2 11 2 2" xfId="9568" xr:uid="{00000000-0005-0000-0000-000060250000}"/>
    <cellStyle name="Normal 2 2 2 11 2 3" xfId="9569" xr:uid="{00000000-0005-0000-0000-000061250000}"/>
    <cellStyle name="Normal 2 2 2 11 2 4" xfId="9570" xr:uid="{00000000-0005-0000-0000-000062250000}"/>
    <cellStyle name="Normal 2 2 2 11 2 5" xfId="9571" xr:uid="{00000000-0005-0000-0000-000063250000}"/>
    <cellStyle name="Normal 2 2 2 11 2 6" xfId="9572" xr:uid="{00000000-0005-0000-0000-000064250000}"/>
    <cellStyle name="Normal 2 2 2 11 2 7" xfId="9573" xr:uid="{00000000-0005-0000-0000-000065250000}"/>
    <cellStyle name="Normal 2 2 2 11 2 8" xfId="9574" xr:uid="{00000000-0005-0000-0000-000066250000}"/>
    <cellStyle name="Normal 2 2 2 11 2 9" xfId="9575" xr:uid="{00000000-0005-0000-0000-000067250000}"/>
    <cellStyle name="Normal 2 2 2 11 3" xfId="9576" xr:uid="{00000000-0005-0000-0000-000068250000}"/>
    <cellStyle name="Normal 2 2 2 11 3 10" xfId="9577" xr:uid="{00000000-0005-0000-0000-000069250000}"/>
    <cellStyle name="Normal 2 2 2 11 3 2" xfId="9578" xr:uid="{00000000-0005-0000-0000-00006A250000}"/>
    <cellStyle name="Normal 2 2 2 11 3 3" xfId="9579" xr:uid="{00000000-0005-0000-0000-00006B250000}"/>
    <cellStyle name="Normal 2 2 2 11 3 4" xfId="9580" xr:uid="{00000000-0005-0000-0000-00006C250000}"/>
    <cellStyle name="Normal 2 2 2 11 3 5" xfId="9581" xr:uid="{00000000-0005-0000-0000-00006D250000}"/>
    <cellStyle name="Normal 2 2 2 11 3 6" xfId="9582" xr:uid="{00000000-0005-0000-0000-00006E250000}"/>
    <cellStyle name="Normal 2 2 2 11 3 7" xfId="9583" xr:uid="{00000000-0005-0000-0000-00006F250000}"/>
    <cellStyle name="Normal 2 2 2 11 3 8" xfId="9584" xr:uid="{00000000-0005-0000-0000-000070250000}"/>
    <cellStyle name="Normal 2 2 2 11 3 9" xfId="9585" xr:uid="{00000000-0005-0000-0000-000071250000}"/>
    <cellStyle name="Normal 2 2 2 11 4" xfId="9586" xr:uid="{00000000-0005-0000-0000-000072250000}"/>
    <cellStyle name="Normal 2 2 2 11 4 10" xfId="9587" xr:uid="{00000000-0005-0000-0000-000073250000}"/>
    <cellStyle name="Normal 2 2 2 11 4 2" xfId="9588" xr:uid="{00000000-0005-0000-0000-000074250000}"/>
    <cellStyle name="Normal 2 2 2 11 4 3" xfId="9589" xr:uid="{00000000-0005-0000-0000-000075250000}"/>
    <cellStyle name="Normal 2 2 2 11 4 4" xfId="9590" xr:uid="{00000000-0005-0000-0000-000076250000}"/>
    <cellStyle name="Normal 2 2 2 11 4 5" xfId="9591" xr:uid="{00000000-0005-0000-0000-000077250000}"/>
    <cellStyle name="Normal 2 2 2 11 4 6" xfId="9592" xr:uid="{00000000-0005-0000-0000-000078250000}"/>
    <cellStyle name="Normal 2 2 2 11 4 7" xfId="9593" xr:uid="{00000000-0005-0000-0000-000079250000}"/>
    <cellStyle name="Normal 2 2 2 11 4 8" xfId="9594" xr:uid="{00000000-0005-0000-0000-00007A250000}"/>
    <cellStyle name="Normal 2 2 2 11 4 9" xfId="9595" xr:uid="{00000000-0005-0000-0000-00007B250000}"/>
    <cellStyle name="Normal 2 2 2 11 5" xfId="9596" xr:uid="{00000000-0005-0000-0000-00007C250000}"/>
    <cellStyle name="Normal 2 2 2 11 5 10" xfId="9597" xr:uid="{00000000-0005-0000-0000-00007D250000}"/>
    <cellStyle name="Normal 2 2 2 11 5 2" xfId="9598" xr:uid="{00000000-0005-0000-0000-00007E250000}"/>
    <cellStyle name="Normal 2 2 2 11 5 3" xfId="9599" xr:uid="{00000000-0005-0000-0000-00007F250000}"/>
    <cellStyle name="Normal 2 2 2 11 5 4" xfId="9600" xr:uid="{00000000-0005-0000-0000-000080250000}"/>
    <cellStyle name="Normal 2 2 2 11 5 5" xfId="9601" xr:uid="{00000000-0005-0000-0000-000081250000}"/>
    <cellStyle name="Normal 2 2 2 11 5 6" xfId="9602" xr:uid="{00000000-0005-0000-0000-000082250000}"/>
    <cellStyle name="Normal 2 2 2 11 5 7" xfId="9603" xr:uid="{00000000-0005-0000-0000-000083250000}"/>
    <cellStyle name="Normal 2 2 2 11 5 8" xfId="9604" xr:uid="{00000000-0005-0000-0000-000084250000}"/>
    <cellStyle name="Normal 2 2 2 11 5 9" xfId="9605" xr:uid="{00000000-0005-0000-0000-000085250000}"/>
    <cellStyle name="Normal 2 2 2 11 6" xfId="9606" xr:uid="{00000000-0005-0000-0000-000086250000}"/>
    <cellStyle name="Normal 2 2 2 11 7" xfId="9607" xr:uid="{00000000-0005-0000-0000-000087250000}"/>
    <cellStyle name="Normal 2 2 2 11 8" xfId="9608" xr:uid="{00000000-0005-0000-0000-000088250000}"/>
    <cellStyle name="Normal 2 2 2 11 9" xfId="9609" xr:uid="{00000000-0005-0000-0000-000089250000}"/>
    <cellStyle name="Normal 2 2 2 12" xfId="9610" xr:uid="{00000000-0005-0000-0000-00008A250000}"/>
    <cellStyle name="Normal 2 2 2 12 10" xfId="9611" xr:uid="{00000000-0005-0000-0000-00008B250000}"/>
    <cellStyle name="Normal 2 2 2 12 11" xfId="9612" xr:uid="{00000000-0005-0000-0000-00008C250000}"/>
    <cellStyle name="Normal 2 2 2 12 12" xfId="9613" xr:uid="{00000000-0005-0000-0000-00008D250000}"/>
    <cellStyle name="Normal 2 2 2 12 13" xfId="9614" xr:uid="{00000000-0005-0000-0000-00008E250000}"/>
    <cellStyle name="Normal 2 2 2 12 14" xfId="9615" xr:uid="{00000000-0005-0000-0000-00008F250000}"/>
    <cellStyle name="Normal 2 2 2 12 2" xfId="9616" xr:uid="{00000000-0005-0000-0000-000090250000}"/>
    <cellStyle name="Normal 2 2 2 12 2 10" xfId="9617" xr:uid="{00000000-0005-0000-0000-000091250000}"/>
    <cellStyle name="Normal 2 2 2 12 2 2" xfId="9618" xr:uid="{00000000-0005-0000-0000-000092250000}"/>
    <cellStyle name="Normal 2 2 2 12 2 3" xfId="9619" xr:uid="{00000000-0005-0000-0000-000093250000}"/>
    <cellStyle name="Normal 2 2 2 12 2 4" xfId="9620" xr:uid="{00000000-0005-0000-0000-000094250000}"/>
    <cellStyle name="Normal 2 2 2 12 2 5" xfId="9621" xr:uid="{00000000-0005-0000-0000-000095250000}"/>
    <cellStyle name="Normal 2 2 2 12 2 6" xfId="9622" xr:uid="{00000000-0005-0000-0000-000096250000}"/>
    <cellStyle name="Normal 2 2 2 12 2 7" xfId="9623" xr:uid="{00000000-0005-0000-0000-000097250000}"/>
    <cellStyle name="Normal 2 2 2 12 2 8" xfId="9624" xr:uid="{00000000-0005-0000-0000-000098250000}"/>
    <cellStyle name="Normal 2 2 2 12 2 9" xfId="9625" xr:uid="{00000000-0005-0000-0000-000099250000}"/>
    <cellStyle name="Normal 2 2 2 12 3" xfId="9626" xr:uid="{00000000-0005-0000-0000-00009A250000}"/>
    <cellStyle name="Normal 2 2 2 12 3 10" xfId="9627" xr:uid="{00000000-0005-0000-0000-00009B250000}"/>
    <cellStyle name="Normal 2 2 2 12 3 2" xfId="9628" xr:uid="{00000000-0005-0000-0000-00009C250000}"/>
    <cellStyle name="Normal 2 2 2 12 3 3" xfId="9629" xr:uid="{00000000-0005-0000-0000-00009D250000}"/>
    <cellStyle name="Normal 2 2 2 12 3 4" xfId="9630" xr:uid="{00000000-0005-0000-0000-00009E250000}"/>
    <cellStyle name="Normal 2 2 2 12 3 5" xfId="9631" xr:uid="{00000000-0005-0000-0000-00009F250000}"/>
    <cellStyle name="Normal 2 2 2 12 3 6" xfId="9632" xr:uid="{00000000-0005-0000-0000-0000A0250000}"/>
    <cellStyle name="Normal 2 2 2 12 3 7" xfId="9633" xr:uid="{00000000-0005-0000-0000-0000A1250000}"/>
    <cellStyle name="Normal 2 2 2 12 3 8" xfId="9634" xr:uid="{00000000-0005-0000-0000-0000A2250000}"/>
    <cellStyle name="Normal 2 2 2 12 3 9" xfId="9635" xr:uid="{00000000-0005-0000-0000-0000A3250000}"/>
    <cellStyle name="Normal 2 2 2 12 4" xfId="9636" xr:uid="{00000000-0005-0000-0000-0000A4250000}"/>
    <cellStyle name="Normal 2 2 2 12 4 10" xfId="9637" xr:uid="{00000000-0005-0000-0000-0000A5250000}"/>
    <cellStyle name="Normal 2 2 2 12 4 2" xfId="9638" xr:uid="{00000000-0005-0000-0000-0000A6250000}"/>
    <cellStyle name="Normal 2 2 2 12 4 3" xfId="9639" xr:uid="{00000000-0005-0000-0000-0000A7250000}"/>
    <cellStyle name="Normal 2 2 2 12 4 4" xfId="9640" xr:uid="{00000000-0005-0000-0000-0000A8250000}"/>
    <cellStyle name="Normal 2 2 2 12 4 5" xfId="9641" xr:uid="{00000000-0005-0000-0000-0000A9250000}"/>
    <cellStyle name="Normal 2 2 2 12 4 6" xfId="9642" xr:uid="{00000000-0005-0000-0000-0000AA250000}"/>
    <cellStyle name="Normal 2 2 2 12 4 7" xfId="9643" xr:uid="{00000000-0005-0000-0000-0000AB250000}"/>
    <cellStyle name="Normal 2 2 2 12 4 8" xfId="9644" xr:uid="{00000000-0005-0000-0000-0000AC250000}"/>
    <cellStyle name="Normal 2 2 2 12 4 9" xfId="9645" xr:uid="{00000000-0005-0000-0000-0000AD250000}"/>
    <cellStyle name="Normal 2 2 2 12 5" xfId="9646" xr:uid="{00000000-0005-0000-0000-0000AE250000}"/>
    <cellStyle name="Normal 2 2 2 12 5 10" xfId="9647" xr:uid="{00000000-0005-0000-0000-0000AF250000}"/>
    <cellStyle name="Normal 2 2 2 12 5 2" xfId="9648" xr:uid="{00000000-0005-0000-0000-0000B0250000}"/>
    <cellStyle name="Normal 2 2 2 12 5 3" xfId="9649" xr:uid="{00000000-0005-0000-0000-0000B1250000}"/>
    <cellStyle name="Normal 2 2 2 12 5 4" xfId="9650" xr:uid="{00000000-0005-0000-0000-0000B2250000}"/>
    <cellStyle name="Normal 2 2 2 12 5 5" xfId="9651" xr:uid="{00000000-0005-0000-0000-0000B3250000}"/>
    <cellStyle name="Normal 2 2 2 12 5 6" xfId="9652" xr:uid="{00000000-0005-0000-0000-0000B4250000}"/>
    <cellStyle name="Normal 2 2 2 12 5 7" xfId="9653" xr:uid="{00000000-0005-0000-0000-0000B5250000}"/>
    <cellStyle name="Normal 2 2 2 12 5 8" xfId="9654" xr:uid="{00000000-0005-0000-0000-0000B6250000}"/>
    <cellStyle name="Normal 2 2 2 12 5 9" xfId="9655" xr:uid="{00000000-0005-0000-0000-0000B7250000}"/>
    <cellStyle name="Normal 2 2 2 12 6" xfId="9656" xr:uid="{00000000-0005-0000-0000-0000B8250000}"/>
    <cellStyle name="Normal 2 2 2 12 7" xfId="9657" xr:uid="{00000000-0005-0000-0000-0000B9250000}"/>
    <cellStyle name="Normal 2 2 2 12 8" xfId="9658" xr:uid="{00000000-0005-0000-0000-0000BA250000}"/>
    <cellStyle name="Normal 2 2 2 12 9" xfId="9659" xr:uid="{00000000-0005-0000-0000-0000BB250000}"/>
    <cellStyle name="Normal 2 2 2 13" xfId="9660" xr:uid="{00000000-0005-0000-0000-0000BC250000}"/>
    <cellStyle name="Normal 2 2 2 13 10" xfId="9661" xr:uid="{00000000-0005-0000-0000-0000BD250000}"/>
    <cellStyle name="Normal 2 2 2 13 11" xfId="9662" xr:uid="{00000000-0005-0000-0000-0000BE250000}"/>
    <cellStyle name="Normal 2 2 2 13 12" xfId="9663" xr:uid="{00000000-0005-0000-0000-0000BF250000}"/>
    <cellStyle name="Normal 2 2 2 13 13" xfId="9664" xr:uid="{00000000-0005-0000-0000-0000C0250000}"/>
    <cellStyle name="Normal 2 2 2 13 14" xfId="9665" xr:uid="{00000000-0005-0000-0000-0000C1250000}"/>
    <cellStyle name="Normal 2 2 2 13 2" xfId="9666" xr:uid="{00000000-0005-0000-0000-0000C2250000}"/>
    <cellStyle name="Normal 2 2 2 13 2 10" xfId="9667" xr:uid="{00000000-0005-0000-0000-0000C3250000}"/>
    <cellStyle name="Normal 2 2 2 13 2 2" xfId="9668" xr:uid="{00000000-0005-0000-0000-0000C4250000}"/>
    <cellStyle name="Normal 2 2 2 13 2 3" xfId="9669" xr:uid="{00000000-0005-0000-0000-0000C5250000}"/>
    <cellStyle name="Normal 2 2 2 13 2 4" xfId="9670" xr:uid="{00000000-0005-0000-0000-0000C6250000}"/>
    <cellStyle name="Normal 2 2 2 13 2 5" xfId="9671" xr:uid="{00000000-0005-0000-0000-0000C7250000}"/>
    <cellStyle name="Normal 2 2 2 13 2 6" xfId="9672" xr:uid="{00000000-0005-0000-0000-0000C8250000}"/>
    <cellStyle name="Normal 2 2 2 13 2 7" xfId="9673" xr:uid="{00000000-0005-0000-0000-0000C9250000}"/>
    <cellStyle name="Normal 2 2 2 13 2 8" xfId="9674" xr:uid="{00000000-0005-0000-0000-0000CA250000}"/>
    <cellStyle name="Normal 2 2 2 13 2 9" xfId="9675" xr:uid="{00000000-0005-0000-0000-0000CB250000}"/>
    <cellStyle name="Normal 2 2 2 13 3" xfId="9676" xr:uid="{00000000-0005-0000-0000-0000CC250000}"/>
    <cellStyle name="Normal 2 2 2 13 3 10" xfId="9677" xr:uid="{00000000-0005-0000-0000-0000CD250000}"/>
    <cellStyle name="Normal 2 2 2 13 3 2" xfId="9678" xr:uid="{00000000-0005-0000-0000-0000CE250000}"/>
    <cellStyle name="Normal 2 2 2 13 3 3" xfId="9679" xr:uid="{00000000-0005-0000-0000-0000CF250000}"/>
    <cellStyle name="Normal 2 2 2 13 3 4" xfId="9680" xr:uid="{00000000-0005-0000-0000-0000D0250000}"/>
    <cellStyle name="Normal 2 2 2 13 3 5" xfId="9681" xr:uid="{00000000-0005-0000-0000-0000D1250000}"/>
    <cellStyle name="Normal 2 2 2 13 3 6" xfId="9682" xr:uid="{00000000-0005-0000-0000-0000D2250000}"/>
    <cellStyle name="Normal 2 2 2 13 3 7" xfId="9683" xr:uid="{00000000-0005-0000-0000-0000D3250000}"/>
    <cellStyle name="Normal 2 2 2 13 3 8" xfId="9684" xr:uid="{00000000-0005-0000-0000-0000D4250000}"/>
    <cellStyle name="Normal 2 2 2 13 3 9" xfId="9685" xr:uid="{00000000-0005-0000-0000-0000D5250000}"/>
    <cellStyle name="Normal 2 2 2 13 4" xfId="9686" xr:uid="{00000000-0005-0000-0000-0000D6250000}"/>
    <cellStyle name="Normal 2 2 2 13 4 10" xfId="9687" xr:uid="{00000000-0005-0000-0000-0000D7250000}"/>
    <cellStyle name="Normal 2 2 2 13 4 2" xfId="9688" xr:uid="{00000000-0005-0000-0000-0000D8250000}"/>
    <cellStyle name="Normal 2 2 2 13 4 3" xfId="9689" xr:uid="{00000000-0005-0000-0000-0000D9250000}"/>
    <cellStyle name="Normal 2 2 2 13 4 4" xfId="9690" xr:uid="{00000000-0005-0000-0000-0000DA250000}"/>
    <cellStyle name="Normal 2 2 2 13 4 5" xfId="9691" xr:uid="{00000000-0005-0000-0000-0000DB250000}"/>
    <cellStyle name="Normal 2 2 2 13 4 6" xfId="9692" xr:uid="{00000000-0005-0000-0000-0000DC250000}"/>
    <cellStyle name="Normal 2 2 2 13 4 7" xfId="9693" xr:uid="{00000000-0005-0000-0000-0000DD250000}"/>
    <cellStyle name="Normal 2 2 2 13 4 8" xfId="9694" xr:uid="{00000000-0005-0000-0000-0000DE250000}"/>
    <cellStyle name="Normal 2 2 2 13 4 9" xfId="9695" xr:uid="{00000000-0005-0000-0000-0000DF250000}"/>
    <cellStyle name="Normal 2 2 2 13 5" xfId="9696" xr:uid="{00000000-0005-0000-0000-0000E0250000}"/>
    <cellStyle name="Normal 2 2 2 13 5 10" xfId="9697" xr:uid="{00000000-0005-0000-0000-0000E1250000}"/>
    <cellStyle name="Normal 2 2 2 13 5 2" xfId="9698" xr:uid="{00000000-0005-0000-0000-0000E2250000}"/>
    <cellStyle name="Normal 2 2 2 13 5 3" xfId="9699" xr:uid="{00000000-0005-0000-0000-0000E3250000}"/>
    <cellStyle name="Normal 2 2 2 13 5 4" xfId="9700" xr:uid="{00000000-0005-0000-0000-0000E4250000}"/>
    <cellStyle name="Normal 2 2 2 13 5 5" xfId="9701" xr:uid="{00000000-0005-0000-0000-0000E5250000}"/>
    <cellStyle name="Normal 2 2 2 13 5 6" xfId="9702" xr:uid="{00000000-0005-0000-0000-0000E6250000}"/>
    <cellStyle name="Normal 2 2 2 13 5 7" xfId="9703" xr:uid="{00000000-0005-0000-0000-0000E7250000}"/>
    <cellStyle name="Normal 2 2 2 13 5 8" xfId="9704" xr:uid="{00000000-0005-0000-0000-0000E8250000}"/>
    <cellStyle name="Normal 2 2 2 13 5 9" xfId="9705" xr:uid="{00000000-0005-0000-0000-0000E9250000}"/>
    <cellStyle name="Normal 2 2 2 13 6" xfId="9706" xr:uid="{00000000-0005-0000-0000-0000EA250000}"/>
    <cellStyle name="Normal 2 2 2 13 7" xfId="9707" xr:uid="{00000000-0005-0000-0000-0000EB250000}"/>
    <cellStyle name="Normal 2 2 2 13 8" xfId="9708" xr:uid="{00000000-0005-0000-0000-0000EC250000}"/>
    <cellStyle name="Normal 2 2 2 13 9" xfId="9709" xr:uid="{00000000-0005-0000-0000-0000ED250000}"/>
    <cellStyle name="Normal 2 2 2 14" xfId="9710" xr:uid="{00000000-0005-0000-0000-0000EE250000}"/>
    <cellStyle name="Normal 2 2 2 14 10" xfId="9711" xr:uid="{00000000-0005-0000-0000-0000EF250000}"/>
    <cellStyle name="Normal 2 2 2 14 11" xfId="9712" xr:uid="{00000000-0005-0000-0000-0000F0250000}"/>
    <cellStyle name="Normal 2 2 2 14 12" xfId="9713" xr:uid="{00000000-0005-0000-0000-0000F1250000}"/>
    <cellStyle name="Normal 2 2 2 14 13" xfId="9714" xr:uid="{00000000-0005-0000-0000-0000F2250000}"/>
    <cellStyle name="Normal 2 2 2 14 14" xfId="9715" xr:uid="{00000000-0005-0000-0000-0000F3250000}"/>
    <cellStyle name="Normal 2 2 2 14 2" xfId="9716" xr:uid="{00000000-0005-0000-0000-0000F4250000}"/>
    <cellStyle name="Normal 2 2 2 14 2 10" xfId="9717" xr:uid="{00000000-0005-0000-0000-0000F5250000}"/>
    <cellStyle name="Normal 2 2 2 14 2 2" xfId="9718" xr:uid="{00000000-0005-0000-0000-0000F6250000}"/>
    <cellStyle name="Normal 2 2 2 14 2 3" xfId="9719" xr:uid="{00000000-0005-0000-0000-0000F7250000}"/>
    <cellStyle name="Normal 2 2 2 14 2 4" xfId="9720" xr:uid="{00000000-0005-0000-0000-0000F8250000}"/>
    <cellStyle name="Normal 2 2 2 14 2 5" xfId="9721" xr:uid="{00000000-0005-0000-0000-0000F9250000}"/>
    <cellStyle name="Normal 2 2 2 14 2 6" xfId="9722" xr:uid="{00000000-0005-0000-0000-0000FA250000}"/>
    <cellStyle name="Normal 2 2 2 14 2 7" xfId="9723" xr:uid="{00000000-0005-0000-0000-0000FB250000}"/>
    <cellStyle name="Normal 2 2 2 14 2 8" xfId="9724" xr:uid="{00000000-0005-0000-0000-0000FC250000}"/>
    <cellStyle name="Normal 2 2 2 14 2 9" xfId="9725" xr:uid="{00000000-0005-0000-0000-0000FD250000}"/>
    <cellStyle name="Normal 2 2 2 14 3" xfId="9726" xr:uid="{00000000-0005-0000-0000-0000FE250000}"/>
    <cellStyle name="Normal 2 2 2 14 3 10" xfId="9727" xr:uid="{00000000-0005-0000-0000-0000FF250000}"/>
    <cellStyle name="Normal 2 2 2 14 3 2" xfId="9728" xr:uid="{00000000-0005-0000-0000-000000260000}"/>
    <cellStyle name="Normal 2 2 2 14 3 3" xfId="9729" xr:uid="{00000000-0005-0000-0000-000001260000}"/>
    <cellStyle name="Normal 2 2 2 14 3 4" xfId="9730" xr:uid="{00000000-0005-0000-0000-000002260000}"/>
    <cellStyle name="Normal 2 2 2 14 3 5" xfId="9731" xr:uid="{00000000-0005-0000-0000-000003260000}"/>
    <cellStyle name="Normal 2 2 2 14 3 6" xfId="9732" xr:uid="{00000000-0005-0000-0000-000004260000}"/>
    <cellStyle name="Normal 2 2 2 14 3 7" xfId="9733" xr:uid="{00000000-0005-0000-0000-000005260000}"/>
    <cellStyle name="Normal 2 2 2 14 3 8" xfId="9734" xr:uid="{00000000-0005-0000-0000-000006260000}"/>
    <cellStyle name="Normal 2 2 2 14 3 9" xfId="9735" xr:uid="{00000000-0005-0000-0000-000007260000}"/>
    <cellStyle name="Normal 2 2 2 14 4" xfId="9736" xr:uid="{00000000-0005-0000-0000-000008260000}"/>
    <cellStyle name="Normal 2 2 2 14 4 10" xfId="9737" xr:uid="{00000000-0005-0000-0000-000009260000}"/>
    <cellStyle name="Normal 2 2 2 14 4 2" xfId="9738" xr:uid="{00000000-0005-0000-0000-00000A260000}"/>
    <cellStyle name="Normal 2 2 2 14 4 3" xfId="9739" xr:uid="{00000000-0005-0000-0000-00000B260000}"/>
    <cellStyle name="Normal 2 2 2 14 4 4" xfId="9740" xr:uid="{00000000-0005-0000-0000-00000C260000}"/>
    <cellStyle name="Normal 2 2 2 14 4 5" xfId="9741" xr:uid="{00000000-0005-0000-0000-00000D260000}"/>
    <cellStyle name="Normal 2 2 2 14 4 6" xfId="9742" xr:uid="{00000000-0005-0000-0000-00000E260000}"/>
    <cellStyle name="Normal 2 2 2 14 4 7" xfId="9743" xr:uid="{00000000-0005-0000-0000-00000F260000}"/>
    <cellStyle name="Normal 2 2 2 14 4 8" xfId="9744" xr:uid="{00000000-0005-0000-0000-000010260000}"/>
    <cellStyle name="Normal 2 2 2 14 4 9" xfId="9745" xr:uid="{00000000-0005-0000-0000-000011260000}"/>
    <cellStyle name="Normal 2 2 2 14 5" xfId="9746" xr:uid="{00000000-0005-0000-0000-000012260000}"/>
    <cellStyle name="Normal 2 2 2 14 5 10" xfId="9747" xr:uid="{00000000-0005-0000-0000-000013260000}"/>
    <cellStyle name="Normal 2 2 2 14 5 2" xfId="9748" xr:uid="{00000000-0005-0000-0000-000014260000}"/>
    <cellStyle name="Normal 2 2 2 14 5 3" xfId="9749" xr:uid="{00000000-0005-0000-0000-000015260000}"/>
    <cellStyle name="Normal 2 2 2 14 5 4" xfId="9750" xr:uid="{00000000-0005-0000-0000-000016260000}"/>
    <cellStyle name="Normal 2 2 2 14 5 5" xfId="9751" xr:uid="{00000000-0005-0000-0000-000017260000}"/>
    <cellStyle name="Normal 2 2 2 14 5 6" xfId="9752" xr:uid="{00000000-0005-0000-0000-000018260000}"/>
    <cellStyle name="Normal 2 2 2 14 5 7" xfId="9753" xr:uid="{00000000-0005-0000-0000-000019260000}"/>
    <cellStyle name="Normal 2 2 2 14 5 8" xfId="9754" xr:uid="{00000000-0005-0000-0000-00001A260000}"/>
    <cellStyle name="Normal 2 2 2 14 5 9" xfId="9755" xr:uid="{00000000-0005-0000-0000-00001B260000}"/>
    <cellStyle name="Normal 2 2 2 14 6" xfId="9756" xr:uid="{00000000-0005-0000-0000-00001C260000}"/>
    <cellStyle name="Normal 2 2 2 14 7" xfId="9757" xr:uid="{00000000-0005-0000-0000-00001D260000}"/>
    <cellStyle name="Normal 2 2 2 14 8" xfId="9758" xr:uid="{00000000-0005-0000-0000-00001E260000}"/>
    <cellStyle name="Normal 2 2 2 14 9" xfId="9759" xr:uid="{00000000-0005-0000-0000-00001F260000}"/>
    <cellStyle name="Normal 2 2 2 15" xfId="9760" xr:uid="{00000000-0005-0000-0000-000020260000}"/>
    <cellStyle name="Normal 2 2 2 15 10" xfId="9761" xr:uid="{00000000-0005-0000-0000-000021260000}"/>
    <cellStyle name="Normal 2 2 2 15 11" xfId="9762" xr:uid="{00000000-0005-0000-0000-000022260000}"/>
    <cellStyle name="Normal 2 2 2 15 12" xfId="9763" xr:uid="{00000000-0005-0000-0000-000023260000}"/>
    <cellStyle name="Normal 2 2 2 15 13" xfId="9764" xr:uid="{00000000-0005-0000-0000-000024260000}"/>
    <cellStyle name="Normal 2 2 2 15 14" xfId="9765" xr:uid="{00000000-0005-0000-0000-000025260000}"/>
    <cellStyle name="Normal 2 2 2 15 2" xfId="9766" xr:uid="{00000000-0005-0000-0000-000026260000}"/>
    <cellStyle name="Normal 2 2 2 15 2 10" xfId="9767" xr:uid="{00000000-0005-0000-0000-000027260000}"/>
    <cellStyle name="Normal 2 2 2 15 2 2" xfId="9768" xr:uid="{00000000-0005-0000-0000-000028260000}"/>
    <cellStyle name="Normal 2 2 2 15 2 3" xfId="9769" xr:uid="{00000000-0005-0000-0000-000029260000}"/>
    <cellStyle name="Normal 2 2 2 15 2 4" xfId="9770" xr:uid="{00000000-0005-0000-0000-00002A260000}"/>
    <cellStyle name="Normal 2 2 2 15 2 5" xfId="9771" xr:uid="{00000000-0005-0000-0000-00002B260000}"/>
    <cellStyle name="Normal 2 2 2 15 2 6" xfId="9772" xr:uid="{00000000-0005-0000-0000-00002C260000}"/>
    <cellStyle name="Normal 2 2 2 15 2 7" xfId="9773" xr:uid="{00000000-0005-0000-0000-00002D260000}"/>
    <cellStyle name="Normal 2 2 2 15 2 8" xfId="9774" xr:uid="{00000000-0005-0000-0000-00002E260000}"/>
    <cellStyle name="Normal 2 2 2 15 2 9" xfId="9775" xr:uid="{00000000-0005-0000-0000-00002F260000}"/>
    <cellStyle name="Normal 2 2 2 15 3" xfId="9776" xr:uid="{00000000-0005-0000-0000-000030260000}"/>
    <cellStyle name="Normal 2 2 2 15 3 10" xfId="9777" xr:uid="{00000000-0005-0000-0000-000031260000}"/>
    <cellStyle name="Normal 2 2 2 15 3 2" xfId="9778" xr:uid="{00000000-0005-0000-0000-000032260000}"/>
    <cellStyle name="Normal 2 2 2 15 3 3" xfId="9779" xr:uid="{00000000-0005-0000-0000-000033260000}"/>
    <cellStyle name="Normal 2 2 2 15 3 4" xfId="9780" xr:uid="{00000000-0005-0000-0000-000034260000}"/>
    <cellStyle name="Normal 2 2 2 15 3 5" xfId="9781" xr:uid="{00000000-0005-0000-0000-000035260000}"/>
    <cellStyle name="Normal 2 2 2 15 3 6" xfId="9782" xr:uid="{00000000-0005-0000-0000-000036260000}"/>
    <cellStyle name="Normal 2 2 2 15 3 7" xfId="9783" xr:uid="{00000000-0005-0000-0000-000037260000}"/>
    <cellStyle name="Normal 2 2 2 15 3 8" xfId="9784" xr:uid="{00000000-0005-0000-0000-000038260000}"/>
    <cellStyle name="Normal 2 2 2 15 3 9" xfId="9785" xr:uid="{00000000-0005-0000-0000-000039260000}"/>
    <cellStyle name="Normal 2 2 2 15 4" xfId="9786" xr:uid="{00000000-0005-0000-0000-00003A260000}"/>
    <cellStyle name="Normal 2 2 2 15 4 10" xfId="9787" xr:uid="{00000000-0005-0000-0000-00003B260000}"/>
    <cellStyle name="Normal 2 2 2 15 4 2" xfId="9788" xr:uid="{00000000-0005-0000-0000-00003C260000}"/>
    <cellStyle name="Normal 2 2 2 15 4 3" xfId="9789" xr:uid="{00000000-0005-0000-0000-00003D260000}"/>
    <cellStyle name="Normal 2 2 2 15 4 4" xfId="9790" xr:uid="{00000000-0005-0000-0000-00003E260000}"/>
    <cellStyle name="Normal 2 2 2 15 4 5" xfId="9791" xr:uid="{00000000-0005-0000-0000-00003F260000}"/>
    <cellStyle name="Normal 2 2 2 15 4 6" xfId="9792" xr:uid="{00000000-0005-0000-0000-000040260000}"/>
    <cellStyle name="Normal 2 2 2 15 4 7" xfId="9793" xr:uid="{00000000-0005-0000-0000-000041260000}"/>
    <cellStyle name="Normal 2 2 2 15 4 8" xfId="9794" xr:uid="{00000000-0005-0000-0000-000042260000}"/>
    <cellStyle name="Normal 2 2 2 15 4 9" xfId="9795" xr:uid="{00000000-0005-0000-0000-000043260000}"/>
    <cellStyle name="Normal 2 2 2 15 5" xfId="9796" xr:uid="{00000000-0005-0000-0000-000044260000}"/>
    <cellStyle name="Normal 2 2 2 15 5 10" xfId="9797" xr:uid="{00000000-0005-0000-0000-000045260000}"/>
    <cellStyle name="Normal 2 2 2 15 5 2" xfId="9798" xr:uid="{00000000-0005-0000-0000-000046260000}"/>
    <cellStyle name="Normal 2 2 2 15 5 3" xfId="9799" xr:uid="{00000000-0005-0000-0000-000047260000}"/>
    <cellStyle name="Normal 2 2 2 15 5 4" xfId="9800" xr:uid="{00000000-0005-0000-0000-000048260000}"/>
    <cellStyle name="Normal 2 2 2 15 5 5" xfId="9801" xr:uid="{00000000-0005-0000-0000-000049260000}"/>
    <cellStyle name="Normal 2 2 2 15 5 6" xfId="9802" xr:uid="{00000000-0005-0000-0000-00004A260000}"/>
    <cellStyle name="Normal 2 2 2 15 5 7" xfId="9803" xr:uid="{00000000-0005-0000-0000-00004B260000}"/>
    <cellStyle name="Normal 2 2 2 15 5 8" xfId="9804" xr:uid="{00000000-0005-0000-0000-00004C260000}"/>
    <cellStyle name="Normal 2 2 2 15 5 9" xfId="9805" xr:uid="{00000000-0005-0000-0000-00004D260000}"/>
    <cellStyle name="Normal 2 2 2 15 6" xfId="9806" xr:uid="{00000000-0005-0000-0000-00004E260000}"/>
    <cellStyle name="Normal 2 2 2 15 7" xfId="9807" xr:uid="{00000000-0005-0000-0000-00004F260000}"/>
    <cellStyle name="Normal 2 2 2 15 8" xfId="9808" xr:uid="{00000000-0005-0000-0000-000050260000}"/>
    <cellStyle name="Normal 2 2 2 15 9" xfId="9809" xr:uid="{00000000-0005-0000-0000-000051260000}"/>
    <cellStyle name="Normal 2 2 2 16" xfId="9810" xr:uid="{00000000-0005-0000-0000-000052260000}"/>
    <cellStyle name="Normal 2 2 2 16 10" xfId="9811" xr:uid="{00000000-0005-0000-0000-000053260000}"/>
    <cellStyle name="Normal 2 2 2 16 11" xfId="9812" xr:uid="{00000000-0005-0000-0000-000054260000}"/>
    <cellStyle name="Normal 2 2 2 16 12" xfId="9813" xr:uid="{00000000-0005-0000-0000-000055260000}"/>
    <cellStyle name="Normal 2 2 2 16 13" xfId="9814" xr:uid="{00000000-0005-0000-0000-000056260000}"/>
    <cellStyle name="Normal 2 2 2 16 14" xfId="9815" xr:uid="{00000000-0005-0000-0000-000057260000}"/>
    <cellStyle name="Normal 2 2 2 16 2" xfId="9816" xr:uid="{00000000-0005-0000-0000-000058260000}"/>
    <cellStyle name="Normal 2 2 2 16 2 10" xfId="9817" xr:uid="{00000000-0005-0000-0000-000059260000}"/>
    <cellStyle name="Normal 2 2 2 16 2 2" xfId="9818" xr:uid="{00000000-0005-0000-0000-00005A260000}"/>
    <cellStyle name="Normal 2 2 2 16 2 3" xfId="9819" xr:uid="{00000000-0005-0000-0000-00005B260000}"/>
    <cellStyle name="Normal 2 2 2 16 2 4" xfId="9820" xr:uid="{00000000-0005-0000-0000-00005C260000}"/>
    <cellStyle name="Normal 2 2 2 16 2 5" xfId="9821" xr:uid="{00000000-0005-0000-0000-00005D260000}"/>
    <cellStyle name="Normal 2 2 2 16 2 6" xfId="9822" xr:uid="{00000000-0005-0000-0000-00005E260000}"/>
    <cellStyle name="Normal 2 2 2 16 2 7" xfId="9823" xr:uid="{00000000-0005-0000-0000-00005F260000}"/>
    <cellStyle name="Normal 2 2 2 16 2 8" xfId="9824" xr:uid="{00000000-0005-0000-0000-000060260000}"/>
    <cellStyle name="Normal 2 2 2 16 2 9" xfId="9825" xr:uid="{00000000-0005-0000-0000-000061260000}"/>
    <cellStyle name="Normal 2 2 2 16 3" xfId="9826" xr:uid="{00000000-0005-0000-0000-000062260000}"/>
    <cellStyle name="Normal 2 2 2 16 3 10" xfId="9827" xr:uid="{00000000-0005-0000-0000-000063260000}"/>
    <cellStyle name="Normal 2 2 2 16 3 2" xfId="9828" xr:uid="{00000000-0005-0000-0000-000064260000}"/>
    <cellStyle name="Normal 2 2 2 16 3 3" xfId="9829" xr:uid="{00000000-0005-0000-0000-000065260000}"/>
    <cellStyle name="Normal 2 2 2 16 3 4" xfId="9830" xr:uid="{00000000-0005-0000-0000-000066260000}"/>
    <cellStyle name="Normal 2 2 2 16 3 5" xfId="9831" xr:uid="{00000000-0005-0000-0000-000067260000}"/>
    <cellStyle name="Normal 2 2 2 16 3 6" xfId="9832" xr:uid="{00000000-0005-0000-0000-000068260000}"/>
    <cellStyle name="Normal 2 2 2 16 3 7" xfId="9833" xr:uid="{00000000-0005-0000-0000-000069260000}"/>
    <cellStyle name="Normal 2 2 2 16 3 8" xfId="9834" xr:uid="{00000000-0005-0000-0000-00006A260000}"/>
    <cellStyle name="Normal 2 2 2 16 3 9" xfId="9835" xr:uid="{00000000-0005-0000-0000-00006B260000}"/>
    <cellStyle name="Normal 2 2 2 16 4" xfId="9836" xr:uid="{00000000-0005-0000-0000-00006C260000}"/>
    <cellStyle name="Normal 2 2 2 16 4 10" xfId="9837" xr:uid="{00000000-0005-0000-0000-00006D260000}"/>
    <cellStyle name="Normal 2 2 2 16 4 2" xfId="9838" xr:uid="{00000000-0005-0000-0000-00006E260000}"/>
    <cellStyle name="Normal 2 2 2 16 4 3" xfId="9839" xr:uid="{00000000-0005-0000-0000-00006F260000}"/>
    <cellStyle name="Normal 2 2 2 16 4 4" xfId="9840" xr:uid="{00000000-0005-0000-0000-000070260000}"/>
    <cellStyle name="Normal 2 2 2 16 4 5" xfId="9841" xr:uid="{00000000-0005-0000-0000-000071260000}"/>
    <cellStyle name="Normal 2 2 2 16 4 6" xfId="9842" xr:uid="{00000000-0005-0000-0000-000072260000}"/>
    <cellStyle name="Normal 2 2 2 16 4 7" xfId="9843" xr:uid="{00000000-0005-0000-0000-000073260000}"/>
    <cellStyle name="Normal 2 2 2 16 4 8" xfId="9844" xr:uid="{00000000-0005-0000-0000-000074260000}"/>
    <cellStyle name="Normal 2 2 2 16 4 9" xfId="9845" xr:uid="{00000000-0005-0000-0000-000075260000}"/>
    <cellStyle name="Normal 2 2 2 16 5" xfId="9846" xr:uid="{00000000-0005-0000-0000-000076260000}"/>
    <cellStyle name="Normal 2 2 2 16 5 10" xfId="9847" xr:uid="{00000000-0005-0000-0000-000077260000}"/>
    <cellStyle name="Normal 2 2 2 16 5 2" xfId="9848" xr:uid="{00000000-0005-0000-0000-000078260000}"/>
    <cellStyle name="Normal 2 2 2 16 5 3" xfId="9849" xr:uid="{00000000-0005-0000-0000-000079260000}"/>
    <cellStyle name="Normal 2 2 2 16 5 4" xfId="9850" xr:uid="{00000000-0005-0000-0000-00007A260000}"/>
    <cellStyle name="Normal 2 2 2 16 5 5" xfId="9851" xr:uid="{00000000-0005-0000-0000-00007B260000}"/>
    <cellStyle name="Normal 2 2 2 16 5 6" xfId="9852" xr:uid="{00000000-0005-0000-0000-00007C260000}"/>
    <cellStyle name="Normal 2 2 2 16 5 7" xfId="9853" xr:uid="{00000000-0005-0000-0000-00007D260000}"/>
    <cellStyle name="Normal 2 2 2 16 5 8" xfId="9854" xr:uid="{00000000-0005-0000-0000-00007E260000}"/>
    <cellStyle name="Normal 2 2 2 16 5 9" xfId="9855" xr:uid="{00000000-0005-0000-0000-00007F260000}"/>
    <cellStyle name="Normal 2 2 2 16 6" xfId="9856" xr:uid="{00000000-0005-0000-0000-000080260000}"/>
    <cellStyle name="Normal 2 2 2 16 7" xfId="9857" xr:uid="{00000000-0005-0000-0000-000081260000}"/>
    <cellStyle name="Normal 2 2 2 16 8" xfId="9858" xr:uid="{00000000-0005-0000-0000-000082260000}"/>
    <cellStyle name="Normal 2 2 2 16 9" xfId="9859" xr:uid="{00000000-0005-0000-0000-000083260000}"/>
    <cellStyle name="Normal 2 2 2 17" xfId="9860" xr:uid="{00000000-0005-0000-0000-000084260000}"/>
    <cellStyle name="Normal 2 2 2 17 10" xfId="9861" xr:uid="{00000000-0005-0000-0000-000085260000}"/>
    <cellStyle name="Normal 2 2 2 17 11" xfId="9862" xr:uid="{00000000-0005-0000-0000-000086260000}"/>
    <cellStyle name="Normal 2 2 2 17 12" xfId="9863" xr:uid="{00000000-0005-0000-0000-000087260000}"/>
    <cellStyle name="Normal 2 2 2 17 13" xfId="9864" xr:uid="{00000000-0005-0000-0000-000088260000}"/>
    <cellStyle name="Normal 2 2 2 17 14" xfId="9865" xr:uid="{00000000-0005-0000-0000-000089260000}"/>
    <cellStyle name="Normal 2 2 2 17 2" xfId="9866" xr:uid="{00000000-0005-0000-0000-00008A260000}"/>
    <cellStyle name="Normal 2 2 2 17 2 10" xfId="9867" xr:uid="{00000000-0005-0000-0000-00008B260000}"/>
    <cellStyle name="Normal 2 2 2 17 2 2" xfId="9868" xr:uid="{00000000-0005-0000-0000-00008C260000}"/>
    <cellStyle name="Normal 2 2 2 17 2 3" xfId="9869" xr:uid="{00000000-0005-0000-0000-00008D260000}"/>
    <cellStyle name="Normal 2 2 2 17 2 4" xfId="9870" xr:uid="{00000000-0005-0000-0000-00008E260000}"/>
    <cellStyle name="Normal 2 2 2 17 2 5" xfId="9871" xr:uid="{00000000-0005-0000-0000-00008F260000}"/>
    <cellStyle name="Normal 2 2 2 17 2 6" xfId="9872" xr:uid="{00000000-0005-0000-0000-000090260000}"/>
    <cellStyle name="Normal 2 2 2 17 2 7" xfId="9873" xr:uid="{00000000-0005-0000-0000-000091260000}"/>
    <cellStyle name="Normal 2 2 2 17 2 8" xfId="9874" xr:uid="{00000000-0005-0000-0000-000092260000}"/>
    <cellStyle name="Normal 2 2 2 17 2 9" xfId="9875" xr:uid="{00000000-0005-0000-0000-000093260000}"/>
    <cellStyle name="Normal 2 2 2 17 3" xfId="9876" xr:uid="{00000000-0005-0000-0000-000094260000}"/>
    <cellStyle name="Normal 2 2 2 17 3 10" xfId="9877" xr:uid="{00000000-0005-0000-0000-000095260000}"/>
    <cellStyle name="Normal 2 2 2 17 3 2" xfId="9878" xr:uid="{00000000-0005-0000-0000-000096260000}"/>
    <cellStyle name="Normal 2 2 2 17 3 3" xfId="9879" xr:uid="{00000000-0005-0000-0000-000097260000}"/>
    <cellStyle name="Normal 2 2 2 17 3 4" xfId="9880" xr:uid="{00000000-0005-0000-0000-000098260000}"/>
    <cellStyle name="Normal 2 2 2 17 3 5" xfId="9881" xr:uid="{00000000-0005-0000-0000-000099260000}"/>
    <cellStyle name="Normal 2 2 2 17 3 6" xfId="9882" xr:uid="{00000000-0005-0000-0000-00009A260000}"/>
    <cellStyle name="Normal 2 2 2 17 3 7" xfId="9883" xr:uid="{00000000-0005-0000-0000-00009B260000}"/>
    <cellStyle name="Normal 2 2 2 17 3 8" xfId="9884" xr:uid="{00000000-0005-0000-0000-00009C260000}"/>
    <cellStyle name="Normal 2 2 2 17 3 9" xfId="9885" xr:uid="{00000000-0005-0000-0000-00009D260000}"/>
    <cellStyle name="Normal 2 2 2 17 4" xfId="9886" xr:uid="{00000000-0005-0000-0000-00009E260000}"/>
    <cellStyle name="Normal 2 2 2 17 4 10" xfId="9887" xr:uid="{00000000-0005-0000-0000-00009F260000}"/>
    <cellStyle name="Normal 2 2 2 17 4 2" xfId="9888" xr:uid="{00000000-0005-0000-0000-0000A0260000}"/>
    <cellStyle name="Normal 2 2 2 17 4 3" xfId="9889" xr:uid="{00000000-0005-0000-0000-0000A1260000}"/>
    <cellStyle name="Normal 2 2 2 17 4 4" xfId="9890" xr:uid="{00000000-0005-0000-0000-0000A2260000}"/>
    <cellStyle name="Normal 2 2 2 17 4 5" xfId="9891" xr:uid="{00000000-0005-0000-0000-0000A3260000}"/>
    <cellStyle name="Normal 2 2 2 17 4 6" xfId="9892" xr:uid="{00000000-0005-0000-0000-0000A4260000}"/>
    <cellStyle name="Normal 2 2 2 17 4 7" xfId="9893" xr:uid="{00000000-0005-0000-0000-0000A5260000}"/>
    <cellStyle name="Normal 2 2 2 17 4 8" xfId="9894" xr:uid="{00000000-0005-0000-0000-0000A6260000}"/>
    <cellStyle name="Normal 2 2 2 17 4 9" xfId="9895" xr:uid="{00000000-0005-0000-0000-0000A7260000}"/>
    <cellStyle name="Normal 2 2 2 17 5" xfId="9896" xr:uid="{00000000-0005-0000-0000-0000A8260000}"/>
    <cellStyle name="Normal 2 2 2 17 5 10" xfId="9897" xr:uid="{00000000-0005-0000-0000-0000A9260000}"/>
    <cellStyle name="Normal 2 2 2 17 5 2" xfId="9898" xr:uid="{00000000-0005-0000-0000-0000AA260000}"/>
    <cellStyle name="Normal 2 2 2 17 5 3" xfId="9899" xr:uid="{00000000-0005-0000-0000-0000AB260000}"/>
    <cellStyle name="Normal 2 2 2 17 5 4" xfId="9900" xr:uid="{00000000-0005-0000-0000-0000AC260000}"/>
    <cellStyle name="Normal 2 2 2 17 5 5" xfId="9901" xr:uid="{00000000-0005-0000-0000-0000AD260000}"/>
    <cellStyle name="Normal 2 2 2 17 5 6" xfId="9902" xr:uid="{00000000-0005-0000-0000-0000AE260000}"/>
    <cellStyle name="Normal 2 2 2 17 5 7" xfId="9903" xr:uid="{00000000-0005-0000-0000-0000AF260000}"/>
    <cellStyle name="Normal 2 2 2 17 5 8" xfId="9904" xr:uid="{00000000-0005-0000-0000-0000B0260000}"/>
    <cellStyle name="Normal 2 2 2 17 5 9" xfId="9905" xr:uid="{00000000-0005-0000-0000-0000B1260000}"/>
    <cellStyle name="Normal 2 2 2 17 6" xfId="9906" xr:uid="{00000000-0005-0000-0000-0000B2260000}"/>
    <cellStyle name="Normal 2 2 2 17 7" xfId="9907" xr:uid="{00000000-0005-0000-0000-0000B3260000}"/>
    <cellStyle name="Normal 2 2 2 17 8" xfId="9908" xr:uid="{00000000-0005-0000-0000-0000B4260000}"/>
    <cellStyle name="Normal 2 2 2 17 9" xfId="9909" xr:uid="{00000000-0005-0000-0000-0000B5260000}"/>
    <cellStyle name="Normal 2 2 2 18" xfId="9910" xr:uid="{00000000-0005-0000-0000-0000B6260000}"/>
    <cellStyle name="Normal 2 2 2 18 10" xfId="9911" xr:uid="{00000000-0005-0000-0000-0000B7260000}"/>
    <cellStyle name="Normal 2 2 2 18 11" xfId="9912" xr:uid="{00000000-0005-0000-0000-0000B8260000}"/>
    <cellStyle name="Normal 2 2 2 18 12" xfId="9913" xr:uid="{00000000-0005-0000-0000-0000B9260000}"/>
    <cellStyle name="Normal 2 2 2 18 13" xfId="9914" xr:uid="{00000000-0005-0000-0000-0000BA260000}"/>
    <cellStyle name="Normal 2 2 2 18 14" xfId="9915" xr:uid="{00000000-0005-0000-0000-0000BB260000}"/>
    <cellStyle name="Normal 2 2 2 18 2" xfId="9916" xr:uid="{00000000-0005-0000-0000-0000BC260000}"/>
    <cellStyle name="Normal 2 2 2 18 2 10" xfId="9917" xr:uid="{00000000-0005-0000-0000-0000BD260000}"/>
    <cellStyle name="Normal 2 2 2 18 2 2" xfId="9918" xr:uid="{00000000-0005-0000-0000-0000BE260000}"/>
    <cellStyle name="Normal 2 2 2 18 2 3" xfId="9919" xr:uid="{00000000-0005-0000-0000-0000BF260000}"/>
    <cellStyle name="Normal 2 2 2 18 2 4" xfId="9920" xr:uid="{00000000-0005-0000-0000-0000C0260000}"/>
    <cellStyle name="Normal 2 2 2 18 2 5" xfId="9921" xr:uid="{00000000-0005-0000-0000-0000C1260000}"/>
    <cellStyle name="Normal 2 2 2 18 2 6" xfId="9922" xr:uid="{00000000-0005-0000-0000-0000C2260000}"/>
    <cellStyle name="Normal 2 2 2 18 2 7" xfId="9923" xr:uid="{00000000-0005-0000-0000-0000C3260000}"/>
    <cellStyle name="Normal 2 2 2 18 2 8" xfId="9924" xr:uid="{00000000-0005-0000-0000-0000C4260000}"/>
    <cellStyle name="Normal 2 2 2 18 2 9" xfId="9925" xr:uid="{00000000-0005-0000-0000-0000C5260000}"/>
    <cellStyle name="Normal 2 2 2 18 3" xfId="9926" xr:uid="{00000000-0005-0000-0000-0000C6260000}"/>
    <cellStyle name="Normal 2 2 2 18 3 10" xfId="9927" xr:uid="{00000000-0005-0000-0000-0000C7260000}"/>
    <cellStyle name="Normal 2 2 2 18 3 2" xfId="9928" xr:uid="{00000000-0005-0000-0000-0000C8260000}"/>
    <cellStyle name="Normal 2 2 2 18 3 3" xfId="9929" xr:uid="{00000000-0005-0000-0000-0000C9260000}"/>
    <cellStyle name="Normal 2 2 2 18 3 4" xfId="9930" xr:uid="{00000000-0005-0000-0000-0000CA260000}"/>
    <cellStyle name="Normal 2 2 2 18 3 5" xfId="9931" xr:uid="{00000000-0005-0000-0000-0000CB260000}"/>
    <cellStyle name="Normal 2 2 2 18 3 6" xfId="9932" xr:uid="{00000000-0005-0000-0000-0000CC260000}"/>
    <cellStyle name="Normal 2 2 2 18 3 7" xfId="9933" xr:uid="{00000000-0005-0000-0000-0000CD260000}"/>
    <cellStyle name="Normal 2 2 2 18 3 8" xfId="9934" xr:uid="{00000000-0005-0000-0000-0000CE260000}"/>
    <cellStyle name="Normal 2 2 2 18 3 9" xfId="9935" xr:uid="{00000000-0005-0000-0000-0000CF260000}"/>
    <cellStyle name="Normal 2 2 2 18 4" xfId="9936" xr:uid="{00000000-0005-0000-0000-0000D0260000}"/>
    <cellStyle name="Normal 2 2 2 18 4 10" xfId="9937" xr:uid="{00000000-0005-0000-0000-0000D1260000}"/>
    <cellStyle name="Normal 2 2 2 18 4 2" xfId="9938" xr:uid="{00000000-0005-0000-0000-0000D2260000}"/>
    <cellStyle name="Normal 2 2 2 18 4 3" xfId="9939" xr:uid="{00000000-0005-0000-0000-0000D3260000}"/>
    <cellStyle name="Normal 2 2 2 18 4 4" xfId="9940" xr:uid="{00000000-0005-0000-0000-0000D4260000}"/>
    <cellStyle name="Normal 2 2 2 18 4 5" xfId="9941" xr:uid="{00000000-0005-0000-0000-0000D5260000}"/>
    <cellStyle name="Normal 2 2 2 18 4 6" xfId="9942" xr:uid="{00000000-0005-0000-0000-0000D6260000}"/>
    <cellStyle name="Normal 2 2 2 18 4 7" xfId="9943" xr:uid="{00000000-0005-0000-0000-0000D7260000}"/>
    <cellStyle name="Normal 2 2 2 18 4 8" xfId="9944" xr:uid="{00000000-0005-0000-0000-0000D8260000}"/>
    <cellStyle name="Normal 2 2 2 18 4 9" xfId="9945" xr:uid="{00000000-0005-0000-0000-0000D9260000}"/>
    <cellStyle name="Normal 2 2 2 18 5" xfId="9946" xr:uid="{00000000-0005-0000-0000-0000DA260000}"/>
    <cellStyle name="Normal 2 2 2 18 5 10" xfId="9947" xr:uid="{00000000-0005-0000-0000-0000DB260000}"/>
    <cellStyle name="Normal 2 2 2 18 5 2" xfId="9948" xr:uid="{00000000-0005-0000-0000-0000DC260000}"/>
    <cellStyle name="Normal 2 2 2 18 5 3" xfId="9949" xr:uid="{00000000-0005-0000-0000-0000DD260000}"/>
    <cellStyle name="Normal 2 2 2 18 5 4" xfId="9950" xr:uid="{00000000-0005-0000-0000-0000DE260000}"/>
    <cellStyle name="Normal 2 2 2 18 5 5" xfId="9951" xr:uid="{00000000-0005-0000-0000-0000DF260000}"/>
    <cellStyle name="Normal 2 2 2 18 5 6" xfId="9952" xr:uid="{00000000-0005-0000-0000-0000E0260000}"/>
    <cellStyle name="Normal 2 2 2 18 5 7" xfId="9953" xr:uid="{00000000-0005-0000-0000-0000E1260000}"/>
    <cellStyle name="Normal 2 2 2 18 5 8" xfId="9954" xr:uid="{00000000-0005-0000-0000-0000E2260000}"/>
    <cellStyle name="Normal 2 2 2 18 5 9" xfId="9955" xr:uid="{00000000-0005-0000-0000-0000E3260000}"/>
    <cellStyle name="Normal 2 2 2 18 6" xfId="9956" xr:uid="{00000000-0005-0000-0000-0000E4260000}"/>
    <cellStyle name="Normal 2 2 2 18 7" xfId="9957" xr:uid="{00000000-0005-0000-0000-0000E5260000}"/>
    <cellStyle name="Normal 2 2 2 18 8" xfId="9958" xr:uid="{00000000-0005-0000-0000-0000E6260000}"/>
    <cellStyle name="Normal 2 2 2 18 9" xfId="9959" xr:uid="{00000000-0005-0000-0000-0000E7260000}"/>
    <cellStyle name="Normal 2 2 2 19" xfId="9960" xr:uid="{00000000-0005-0000-0000-0000E8260000}"/>
    <cellStyle name="Normal 2 2 2 19 10" xfId="9961" xr:uid="{00000000-0005-0000-0000-0000E9260000}"/>
    <cellStyle name="Normal 2 2 2 19 11" xfId="9962" xr:uid="{00000000-0005-0000-0000-0000EA260000}"/>
    <cellStyle name="Normal 2 2 2 19 12" xfId="9963" xr:uid="{00000000-0005-0000-0000-0000EB260000}"/>
    <cellStyle name="Normal 2 2 2 19 13" xfId="9964" xr:uid="{00000000-0005-0000-0000-0000EC260000}"/>
    <cellStyle name="Normal 2 2 2 19 14" xfId="9965" xr:uid="{00000000-0005-0000-0000-0000ED260000}"/>
    <cellStyle name="Normal 2 2 2 19 2" xfId="9966" xr:uid="{00000000-0005-0000-0000-0000EE260000}"/>
    <cellStyle name="Normal 2 2 2 19 2 10" xfId="9967" xr:uid="{00000000-0005-0000-0000-0000EF260000}"/>
    <cellStyle name="Normal 2 2 2 19 2 2" xfId="9968" xr:uid="{00000000-0005-0000-0000-0000F0260000}"/>
    <cellStyle name="Normal 2 2 2 19 2 3" xfId="9969" xr:uid="{00000000-0005-0000-0000-0000F1260000}"/>
    <cellStyle name="Normal 2 2 2 19 2 4" xfId="9970" xr:uid="{00000000-0005-0000-0000-0000F2260000}"/>
    <cellStyle name="Normal 2 2 2 19 2 5" xfId="9971" xr:uid="{00000000-0005-0000-0000-0000F3260000}"/>
    <cellStyle name="Normal 2 2 2 19 2 6" xfId="9972" xr:uid="{00000000-0005-0000-0000-0000F4260000}"/>
    <cellStyle name="Normal 2 2 2 19 2 7" xfId="9973" xr:uid="{00000000-0005-0000-0000-0000F5260000}"/>
    <cellStyle name="Normal 2 2 2 19 2 8" xfId="9974" xr:uid="{00000000-0005-0000-0000-0000F6260000}"/>
    <cellStyle name="Normal 2 2 2 19 2 9" xfId="9975" xr:uid="{00000000-0005-0000-0000-0000F7260000}"/>
    <cellStyle name="Normal 2 2 2 19 3" xfId="9976" xr:uid="{00000000-0005-0000-0000-0000F8260000}"/>
    <cellStyle name="Normal 2 2 2 19 3 10" xfId="9977" xr:uid="{00000000-0005-0000-0000-0000F9260000}"/>
    <cellStyle name="Normal 2 2 2 19 3 2" xfId="9978" xr:uid="{00000000-0005-0000-0000-0000FA260000}"/>
    <cellStyle name="Normal 2 2 2 19 3 3" xfId="9979" xr:uid="{00000000-0005-0000-0000-0000FB260000}"/>
    <cellStyle name="Normal 2 2 2 19 3 4" xfId="9980" xr:uid="{00000000-0005-0000-0000-0000FC260000}"/>
    <cellStyle name="Normal 2 2 2 19 3 5" xfId="9981" xr:uid="{00000000-0005-0000-0000-0000FD260000}"/>
    <cellStyle name="Normal 2 2 2 19 3 6" xfId="9982" xr:uid="{00000000-0005-0000-0000-0000FE260000}"/>
    <cellStyle name="Normal 2 2 2 19 3 7" xfId="9983" xr:uid="{00000000-0005-0000-0000-0000FF260000}"/>
    <cellStyle name="Normal 2 2 2 19 3 8" xfId="9984" xr:uid="{00000000-0005-0000-0000-000000270000}"/>
    <cellStyle name="Normal 2 2 2 19 3 9" xfId="9985" xr:uid="{00000000-0005-0000-0000-000001270000}"/>
    <cellStyle name="Normal 2 2 2 19 4" xfId="9986" xr:uid="{00000000-0005-0000-0000-000002270000}"/>
    <cellStyle name="Normal 2 2 2 19 4 10" xfId="9987" xr:uid="{00000000-0005-0000-0000-000003270000}"/>
    <cellStyle name="Normal 2 2 2 19 4 2" xfId="9988" xr:uid="{00000000-0005-0000-0000-000004270000}"/>
    <cellStyle name="Normal 2 2 2 19 4 3" xfId="9989" xr:uid="{00000000-0005-0000-0000-000005270000}"/>
    <cellStyle name="Normal 2 2 2 19 4 4" xfId="9990" xr:uid="{00000000-0005-0000-0000-000006270000}"/>
    <cellStyle name="Normal 2 2 2 19 4 5" xfId="9991" xr:uid="{00000000-0005-0000-0000-000007270000}"/>
    <cellStyle name="Normal 2 2 2 19 4 6" xfId="9992" xr:uid="{00000000-0005-0000-0000-000008270000}"/>
    <cellStyle name="Normal 2 2 2 19 4 7" xfId="9993" xr:uid="{00000000-0005-0000-0000-000009270000}"/>
    <cellStyle name="Normal 2 2 2 19 4 8" xfId="9994" xr:uid="{00000000-0005-0000-0000-00000A270000}"/>
    <cellStyle name="Normal 2 2 2 19 4 9" xfId="9995" xr:uid="{00000000-0005-0000-0000-00000B270000}"/>
    <cellStyle name="Normal 2 2 2 19 5" xfId="9996" xr:uid="{00000000-0005-0000-0000-00000C270000}"/>
    <cellStyle name="Normal 2 2 2 19 5 10" xfId="9997" xr:uid="{00000000-0005-0000-0000-00000D270000}"/>
    <cellStyle name="Normal 2 2 2 19 5 2" xfId="9998" xr:uid="{00000000-0005-0000-0000-00000E270000}"/>
    <cellStyle name="Normal 2 2 2 19 5 3" xfId="9999" xr:uid="{00000000-0005-0000-0000-00000F270000}"/>
    <cellStyle name="Normal 2 2 2 19 5 4" xfId="10000" xr:uid="{00000000-0005-0000-0000-000010270000}"/>
    <cellStyle name="Normal 2 2 2 19 5 5" xfId="10001" xr:uid="{00000000-0005-0000-0000-000011270000}"/>
    <cellStyle name="Normal 2 2 2 19 5 6" xfId="10002" xr:uid="{00000000-0005-0000-0000-000012270000}"/>
    <cellStyle name="Normal 2 2 2 19 5 7" xfId="10003" xr:uid="{00000000-0005-0000-0000-000013270000}"/>
    <cellStyle name="Normal 2 2 2 19 5 8" xfId="10004" xr:uid="{00000000-0005-0000-0000-000014270000}"/>
    <cellStyle name="Normal 2 2 2 19 5 9" xfId="10005" xr:uid="{00000000-0005-0000-0000-000015270000}"/>
    <cellStyle name="Normal 2 2 2 19 6" xfId="10006" xr:uid="{00000000-0005-0000-0000-000016270000}"/>
    <cellStyle name="Normal 2 2 2 19 7" xfId="10007" xr:uid="{00000000-0005-0000-0000-000017270000}"/>
    <cellStyle name="Normal 2 2 2 19 8" xfId="10008" xr:uid="{00000000-0005-0000-0000-000018270000}"/>
    <cellStyle name="Normal 2 2 2 19 9" xfId="10009" xr:uid="{00000000-0005-0000-0000-000019270000}"/>
    <cellStyle name="Normal 2 2 2 2" xfId="24" xr:uid="{00000000-0005-0000-0000-000018000000}"/>
    <cellStyle name="Normal 2 2 2 2 10" xfId="10010" xr:uid="{00000000-0005-0000-0000-00001A270000}"/>
    <cellStyle name="Normal 2 2 2 2 11" xfId="10011" xr:uid="{00000000-0005-0000-0000-00001B270000}"/>
    <cellStyle name="Normal 2 2 2 2 12" xfId="10012" xr:uid="{00000000-0005-0000-0000-00001C270000}"/>
    <cellStyle name="Normal 2 2 2 2 13" xfId="10013" xr:uid="{00000000-0005-0000-0000-00001D270000}"/>
    <cellStyle name="Normal 2 2 2 2 14" xfId="10014" xr:uid="{00000000-0005-0000-0000-00001E270000}"/>
    <cellStyle name="Normal 2 2 2 2 15" xfId="10015" xr:uid="{00000000-0005-0000-0000-00001F270000}"/>
    <cellStyle name="Normal 2 2 2 2 16" xfId="10016" xr:uid="{00000000-0005-0000-0000-000020270000}"/>
    <cellStyle name="Normal 2 2 2 2 17" xfId="10017" xr:uid="{00000000-0005-0000-0000-000021270000}"/>
    <cellStyle name="Normal 2 2 2 2 18" xfId="10018" xr:uid="{00000000-0005-0000-0000-000022270000}"/>
    <cellStyle name="Normal 2 2 2 2 19" xfId="10019" xr:uid="{00000000-0005-0000-0000-000023270000}"/>
    <cellStyle name="Normal 2 2 2 2 2" xfId="22" xr:uid="{00000000-0005-0000-0000-000016000000}"/>
    <cellStyle name="Normal 2 2 2 2 2 10" xfId="10020" xr:uid="{00000000-0005-0000-0000-000024270000}"/>
    <cellStyle name="Normal 2 2 2 2 2 10 10" xfId="10021" xr:uid="{00000000-0005-0000-0000-000025270000}"/>
    <cellStyle name="Normal 2 2 2 2 2 10 11" xfId="10022" xr:uid="{00000000-0005-0000-0000-000026270000}"/>
    <cellStyle name="Normal 2 2 2 2 2 10 12" xfId="10023" xr:uid="{00000000-0005-0000-0000-000027270000}"/>
    <cellStyle name="Normal 2 2 2 2 2 10 13" xfId="10024" xr:uid="{00000000-0005-0000-0000-000028270000}"/>
    <cellStyle name="Normal 2 2 2 2 2 10 14" xfId="10025" xr:uid="{00000000-0005-0000-0000-000029270000}"/>
    <cellStyle name="Normal 2 2 2 2 2 10 2" xfId="10026" xr:uid="{00000000-0005-0000-0000-00002A270000}"/>
    <cellStyle name="Normal 2 2 2 2 2 10 2 10" xfId="10027" xr:uid="{00000000-0005-0000-0000-00002B270000}"/>
    <cellStyle name="Normal 2 2 2 2 2 10 2 2" xfId="10028" xr:uid="{00000000-0005-0000-0000-00002C270000}"/>
    <cellStyle name="Normal 2 2 2 2 2 10 2 3" xfId="10029" xr:uid="{00000000-0005-0000-0000-00002D270000}"/>
    <cellStyle name="Normal 2 2 2 2 2 10 2 4" xfId="10030" xr:uid="{00000000-0005-0000-0000-00002E270000}"/>
    <cellStyle name="Normal 2 2 2 2 2 10 2 5" xfId="10031" xr:uid="{00000000-0005-0000-0000-00002F270000}"/>
    <cellStyle name="Normal 2 2 2 2 2 10 2 6" xfId="10032" xr:uid="{00000000-0005-0000-0000-000030270000}"/>
    <cellStyle name="Normal 2 2 2 2 2 10 2 7" xfId="10033" xr:uid="{00000000-0005-0000-0000-000031270000}"/>
    <cellStyle name="Normal 2 2 2 2 2 10 2 8" xfId="10034" xr:uid="{00000000-0005-0000-0000-000032270000}"/>
    <cellStyle name="Normal 2 2 2 2 2 10 2 9" xfId="10035" xr:uid="{00000000-0005-0000-0000-000033270000}"/>
    <cellStyle name="Normal 2 2 2 2 2 10 3" xfId="10036" xr:uid="{00000000-0005-0000-0000-000034270000}"/>
    <cellStyle name="Normal 2 2 2 2 2 10 3 10" xfId="10037" xr:uid="{00000000-0005-0000-0000-000035270000}"/>
    <cellStyle name="Normal 2 2 2 2 2 10 3 2" xfId="10038" xr:uid="{00000000-0005-0000-0000-000036270000}"/>
    <cellStyle name="Normal 2 2 2 2 2 10 3 3" xfId="10039" xr:uid="{00000000-0005-0000-0000-000037270000}"/>
    <cellStyle name="Normal 2 2 2 2 2 10 3 4" xfId="10040" xr:uid="{00000000-0005-0000-0000-000038270000}"/>
    <cellStyle name="Normal 2 2 2 2 2 10 3 5" xfId="10041" xr:uid="{00000000-0005-0000-0000-000039270000}"/>
    <cellStyle name="Normal 2 2 2 2 2 10 3 6" xfId="10042" xr:uid="{00000000-0005-0000-0000-00003A270000}"/>
    <cellStyle name="Normal 2 2 2 2 2 10 3 7" xfId="10043" xr:uid="{00000000-0005-0000-0000-00003B270000}"/>
    <cellStyle name="Normal 2 2 2 2 2 10 3 8" xfId="10044" xr:uid="{00000000-0005-0000-0000-00003C270000}"/>
    <cellStyle name="Normal 2 2 2 2 2 10 3 9" xfId="10045" xr:uid="{00000000-0005-0000-0000-00003D270000}"/>
    <cellStyle name="Normal 2 2 2 2 2 10 4" xfId="10046" xr:uid="{00000000-0005-0000-0000-00003E270000}"/>
    <cellStyle name="Normal 2 2 2 2 2 10 4 10" xfId="10047" xr:uid="{00000000-0005-0000-0000-00003F270000}"/>
    <cellStyle name="Normal 2 2 2 2 2 10 4 2" xfId="10048" xr:uid="{00000000-0005-0000-0000-000040270000}"/>
    <cellStyle name="Normal 2 2 2 2 2 10 4 3" xfId="10049" xr:uid="{00000000-0005-0000-0000-000041270000}"/>
    <cellStyle name="Normal 2 2 2 2 2 10 4 4" xfId="10050" xr:uid="{00000000-0005-0000-0000-000042270000}"/>
    <cellStyle name="Normal 2 2 2 2 2 10 4 5" xfId="10051" xr:uid="{00000000-0005-0000-0000-000043270000}"/>
    <cellStyle name="Normal 2 2 2 2 2 10 4 6" xfId="10052" xr:uid="{00000000-0005-0000-0000-000044270000}"/>
    <cellStyle name="Normal 2 2 2 2 2 10 4 7" xfId="10053" xr:uid="{00000000-0005-0000-0000-000045270000}"/>
    <cellStyle name="Normal 2 2 2 2 2 10 4 8" xfId="10054" xr:uid="{00000000-0005-0000-0000-000046270000}"/>
    <cellStyle name="Normal 2 2 2 2 2 10 4 9" xfId="10055" xr:uid="{00000000-0005-0000-0000-000047270000}"/>
    <cellStyle name="Normal 2 2 2 2 2 10 5" xfId="10056" xr:uid="{00000000-0005-0000-0000-000048270000}"/>
    <cellStyle name="Normal 2 2 2 2 2 10 5 10" xfId="10057" xr:uid="{00000000-0005-0000-0000-000049270000}"/>
    <cellStyle name="Normal 2 2 2 2 2 10 5 2" xfId="10058" xr:uid="{00000000-0005-0000-0000-00004A270000}"/>
    <cellStyle name="Normal 2 2 2 2 2 10 5 3" xfId="10059" xr:uid="{00000000-0005-0000-0000-00004B270000}"/>
    <cellStyle name="Normal 2 2 2 2 2 10 5 4" xfId="10060" xr:uid="{00000000-0005-0000-0000-00004C270000}"/>
    <cellStyle name="Normal 2 2 2 2 2 10 5 5" xfId="10061" xr:uid="{00000000-0005-0000-0000-00004D270000}"/>
    <cellStyle name="Normal 2 2 2 2 2 10 5 6" xfId="10062" xr:uid="{00000000-0005-0000-0000-00004E270000}"/>
    <cellStyle name="Normal 2 2 2 2 2 10 5 7" xfId="10063" xr:uid="{00000000-0005-0000-0000-00004F270000}"/>
    <cellStyle name="Normal 2 2 2 2 2 10 5 8" xfId="10064" xr:uid="{00000000-0005-0000-0000-000050270000}"/>
    <cellStyle name="Normal 2 2 2 2 2 10 5 9" xfId="10065" xr:uid="{00000000-0005-0000-0000-000051270000}"/>
    <cellStyle name="Normal 2 2 2 2 2 10 6" xfId="10066" xr:uid="{00000000-0005-0000-0000-000052270000}"/>
    <cellStyle name="Normal 2 2 2 2 2 10 7" xfId="10067" xr:uid="{00000000-0005-0000-0000-000053270000}"/>
    <cellStyle name="Normal 2 2 2 2 2 10 8" xfId="10068" xr:uid="{00000000-0005-0000-0000-000054270000}"/>
    <cellStyle name="Normal 2 2 2 2 2 10 9" xfId="10069" xr:uid="{00000000-0005-0000-0000-000055270000}"/>
    <cellStyle name="Normal 2 2 2 2 2 11" xfId="10070" xr:uid="{00000000-0005-0000-0000-000056270000}"/>
    <cellStyle name="Normal 2 2 2 2 2 11 10" xfId="10071" xr:uid="{00000000-0005-0000-0000-000057270000}"/>
    <cellStyle name="Normal 2 2 2 2 2 11 11" xfId="10072" xr:uid="{00000000-0005-0000-0000-000058270000}"/>
    <cellStyle name="Normal 2 2 2 2 2 11 12" xfId="10073" xr:uid="{00000000-0005-0000-0000-000059270000}"/>
    <cellStyle name="Normal 2 2 2 2 2 11 13" xfId="10074" xr:uid="{00000000-0005-0000-0000-00005A270000}"/>
    <cellStyle name="Normal 2 2 2 2 2 11 14" xfId="10075" xr:uid="{00000000-0005-0000-0000-00005B270000}"/>
    <cellStyle name="Normal 2 2 2 2 2 11 2" xfId="10076" xr:uid="{00000000-0005-0000-0000-00005C270000}"/>
    <cellStyle name="Normal 2 2 2 2 2 11 2 10" xfId="10077" xr:uid="{00000000-0005-0000-0000-00005D270000}"/>
    <cellStyle name="Normal 2 2 2 2 2 11 2 2" xfId="10078" xr:uid="{00000000-0005-0000-0000-00005E270000}"/>
    <cellStyle name="Normal 2 2 2 2 2 11 2 3" xfId="10079" xr:uid="{00000000-0005-0000-0000-00005F270000}"/>
    <cellStyle name="Normal 2 2 2 2 2 11 2 4" xfId="10080" xr:uid="{00000000-0005-0000-0000-000060270000}"/>
    <cellStyle name="Normal 2 2 2 2 2 11 2 5" xfId="10081" xr:uid="{00000000-0005-0000-0000-000061270000}"/>
    <cellStyle name="Normal 2 2 2 2 2 11 2 6" xfId="10082" xr:uid="{00000000-0005-0000-0000-000062270000}"/>
    <cellStyle name="Normal 2 2 2 2 2 11 2 7" xfId="10083" xr:uid="{00000000-0005-0000-0000-000063270000}"/>
    <cellStyle name="Normal 2 2 2 2 2 11 2 8" xfId="10084" xr:uid="{00000000-0005-0000-0000-000064270000}"/>
    <cellStyle name="Normal 2 2 2 2 2 11 2 9" xfId="10085" xr:uid="{00000000-0005-0000-0000-000065270000}"/>
    <cellStyle name="Normal 2 2 2 2 2 11 3" xfId="10086" xr:uid="{00000000-0005-0000-0000-000066270000}"/>
    <cellStyle name="Normal 2 2 2 2 2 11 3 10" xfId="10087" xr:uid="{00000000-0005-0000-0000-000067270000}"/>
    <cellStyle name="Normal 2 2 2 2 2 11 3 2" xfId="10088" xr:uid="{00000000-0005-0000-0000-000068270000}"/>
    <cellStyle name="Normal 2 2 2 2 2 11 3 3" xfId="10089" xr:uid="{00000000-0005-0000-0000-000069270000}"/>
    <cellStyle name="Normal 2 2 2 2 2 11 3 4" xfId="10090" xr:uid="{00000000-0005-0000-0000-00006A270000}"/>
    <cellStyle name="Normal 2 2 2 2 2 11 3 5" xfId="10091" xr:uid="{00000000-0005-0000-0000-00006B270000}"/>
    <cellStyle name="Normal 2 2 2 2 2 11 3 6" xfId="10092" xr:uid="{00000000-0005-0000-0000-00006C270000}"/>
    <cellStyle name="Normal 2 2 2 2 2 11 3 7" xfId="10093" xr:uid="{00000000-0005-0000-0000-00006D270000}"/>
    <cellStyle name="Normal 2 2 2 2 2 11 3 8" xfId="10094" xr:uid="{00000000-0005-0000-0000-00006E270000}"/>
    <cellStyle name="Normal 2 2 2 2 2 11 3 9" xfId="10095" xr:uid="{00000000-0005-0000-0000-00006F270000}"/>
    <cellStyle name="Normal 2 2 2 2 2 11 4" xfId="10096" xr:uid="{00000000-0005-0000-0000-000070270000}"/>
    <cellStyle name="Normal 2 2 2 2 2 11 4 10" xfId="10097" xr:uid="{00000000-0005-0000-0000-000071270000}"/>
    <cellStyle name="Normal 2 2 2 2 2 11 4 2" xfId="10098" xr:uid="{00000000-0005-0000-0000-000072270000}"/>
    <cellStyle name="Normal 2 2 2 2 2 11 4 3" xfId="10099" xr:uid="{00000000-0005-0000-0000-000073270000}"/>
    <cellStyle name="Normal 2 2 2 2 2 11 4 4" xfId="10100" xr:uid="{00000000-0005-0000-0000-000074270000}"/>
    <cellStyle name="Normal 2 2 2 2 2 11 4 5" xfId="10101" xr:uid="{00000000-0005-0000-0000-000075270000}"/>
    <cellStyle name="Normal 2 2 2 2 2 11 4 6" xfId="10102" xr:uid="{00000000-0005-0000-0000-000076270000}"/>
    <cellStyle name="Normal 2 2 2 2 2 11 4 7" xfId="10103" xr:uid="{00000000-0005-0000-0000-000077270000}"/>
    <cellStyle name="Normal 2 2 2 2 2 11 4 8" xfId="10104" xr:uid="{00000000-0005-0000-0000-000078270000}"/>
    <cellStyle name="Normal 2 2 2 2 2 11 4 9" xfId="10105" xr:uid="{00000000-0005-0000-0000-000079270000}"/>
    <cellStyle name="Normal 2 2 2 2 2 11 5" xfId="10106" xr:uid="{00000000-0005-0000-0000-00007A270000}"/>
    <cellStyle name="Normal 2 2 2 2 2 11 5 10" xfId="10107" xr:uid="{00000000-0005-0000-0000-00007B270000}"/>
    <cellStyle name="Normal 2 2 2 2 2 11 5 2" xfId="10108" xr:uid="{00000000-0005-0000-0000-00007C270000}"/>
    <cellStyle name="Normal 2 2 2 2 2 11 5 3" xfId="10109" xr:uid="{00000000-0005-0000-0000-00007D270000}"/>
    <cellStyle name="Normal 2 2 2 2 2 11 5 4" xfId="10110" xr:uid="{00000000-0005-0000-0000-00007E270000}"/>
    <cellStyle name="Normal 2 2 2 2 2 11 5 5" xfId="10111" xr:uid="{00000000-0005-0000-0000-00007F270000}"/>
    <cellStyle name="Normal 2 2 2 2 2 11 5 6" xfId="10112" xr:uid="{00000000-0005-0000-0000-000080270000}"/>
    <cellStyle name="Normal 2 2 2 2 2 11 5 7" xfId="10113" xr:uid="{00000000-0005-0000-0000-000081270000}"/>
    <cellStyle name="Normal 2 2 2 2 2 11 5 8" xfId="10114" xr:uid="{00000000-0005-0000-0000-000082270000}"/>
    <cellStyle name="Normal 2 2 2 2 2 11 5 9" xfId="10115" xr:uid="{00000000-0005-0000-0000-000083270000}"/>
    <cellStyle name="Normal 2 2 2 2 2 11 6" xfId="10116" xr:uid="{00000000-0005-0000-0000-000084270000}"/>
    <cellStyle name="Normal 2 2 2 2 2 11 7" xfId="10117" xr:uid="{00000000-0005-0000-0000-000085270000}"/>
    <cellStyle name="Normal 2 2 2 2 2 11 8" xfId="10118" xr:uid="{00000000-0005-0000-0000-000086270000}"/>
    <cellStyle name="Normal 2 2 2 2 2 11 9" xfId="10119" xr:uid="{00000000-0005-0000-0000-000087270000}"/>
    <cellStyle name="Normal 2 2 2 2 2 12" xfId="10120" xr:uid="{00000000-0005-0000-0000-000088270000}"/>
    <cellStyle name="Normal 2 2 2 2 2 12 10" xfId="10121" xr:uid="{00000000-0005-0000-0000-000089270000}"/>
    <cellStyle name="Normal 2 2 2 2 2 12 11" xfId="10122" xr:uid="{00000000-0005-0000-0000-00008A270000}"/>
    <cellStyle name="Normal 2 2 2 2 2 12 12" xfId="10123" xr:uid="{00000000-0005-0000-0000-00008B270000}"/>
    <cellStyle name="Normal 2 2 2 2 2 12 13" xfId="10124" xr:uid="{00000000-0005-0000-0000-00008C270000}"/>
    <cellStyle name="Normal 2 2 2 2 2 12 14" xfId="10125" xr:uid="{00000000-0005-0000-0000-00008D270000}"/>
    <cellStyle name="Normal 2 2 2 2 2 12 2" xfId="10126" xr:uid="{00000000-0005-0000-0000-00008E270000}"/>
    <cellStyle name="Normal 2 2 2 2 2 12 2 10" xfId="10127" xr:uid="{00000000-0005-0000-0000-00008F270000}"/>
    <cellStyle name="Normal 2 2 2 2 2 12 2 2" xfId="10128" xr:uid="{00000000-0005-0000-0000-000090270000}"/>
    <cellStyle name="Normal 2 2 2 2 2 12 2 3" xfId="10129" xr:uid="{00000000-0005-0000-0000-000091270000}"/>
    <cellStyle name="Normal 2 2 2 2 2 12 2 4" xfId="10130" xr:uid="{00000000-0005-0000-0000-000092270000}"/>
    <cellStyle name="Normal 2 2 2 2 2 12 2 5" xfId="10131" xr:uid="{00000000-0005-0000-0000-000093270000}"/>
    <cellStyle name="Normal 2 2 2 2 2 12 2 6" xfId="10132" xr:uid="{00000000-0005-0000-0000-000094270000}"/>
    <cellStyle name="Normal 2 2 2 2 2 12 2 7" xfId="10133" xr:uid="{00000000-0005-0000-0000-000095270000}"/>
    <cellStyle name="Normal 2 2 2 2 2 12 2 8" xfId="10134" xr:uid="{00000000-0005-0000-0000-000096270000}"/>
    <cellStyle name="Normal 2 2 2 2 2 12 2 9" xfId="10135" xr:uid="{00000000-0005-0000-0000-000097270000}"/>
    <cellStyle name="Normal 2 2 2 2 2 12 3" xfId="10136" xr:uid="{00000000-0005-0000-0000-000098270000}"/>
    <cellStyle name="Normal 2 2 2 2 2 12 3 10" xfId="10137" xr:uid="{00000000-0005-0000-0000-000099270000}"/>
    <cellStyle name="Normal 2 2 2 2 2 12 3 2" xfId="10138" xr:uid="{00000000-0005-0000-0000-00009A270000}"/>
    <cellStyle name="Normal 2 2 2 2 2 12 3 3" xfId="10139" xr:uid="{00000000-0005-0000-0000-00009B270000}"/>
    <cellStyle name="Normal 2 2 2 2 2 12 3 4" xfId="10140" xr:uid="{00000000-0005-0000-0000-00009C270000}"/>
    <cellStyle name="Normal 2 2 2 2 2 12 3 5" xfId="10141" xr:uid="{00000000-0005-0000-0000-00009D270000}"/>
    <cellStyle name="Normal 2 2 2 2 2 12 3 6" xfId="10142" xr:uid="{00000000-0005-0000-0000-00009E270000}"/>
    <cellStyle name="Normal 2 2 2 2 2 12 3 7" xfId="10143" xr:uid="{00000000-0005-0000-0000-00009F270000}"/>
    <cellStyle name="Normal 2 2 2 2 2 12 3 8" xfId="10144" xr:uid="{00000000-0005-0000-0000-0000A0270000}"/>
    <cellStyle name="Normal 2 2 2 2 2 12 3 9" xfId="10145" xr:uid="{00000000-0005-0000-0000-0000A1270000}"/>
    <cellStyle name="Normal 2 2 2 2 2 12 4" xfId="10146" xr:uid="{00000000-0005-0000-0000-0000A2270000}"/>
    <cellStyle name="Normal 2 2 2 2 2 12 4 10" xfId="10147" xr:uid="{00000000-0005-0000-0000-0000A3270000}"/>
    <cellStyle name="Normal 2 2 2 2 2 12 4 2" xfId="10148" xr:uid="{00000000-0005-0000-0000-0000A4270000}"/>
    <cellStyle name="Normal 2 2 2 2 2 12 4 3" xfId="10149" xr:uid="{00000000-0005-0000-0000-0000A5270000}"/>
    <cellStyle name="Normal 2 2 2 2 2 12 4 4" xfId="10150" xr:uid="{00000000-0005-0000-0000-0000A6270000}"/>
    <cellStyle name="Normal 2 2 2 2 2 12 4 5" xfId="10151" xr:uid="{00000000-0005-0000-0000-0000A7270000}"/>
    <cellStyle name="Normal 2 2 2 2 2 12 4 6" xfId="10152" xr:uid="{00000000-0005-0000-0000-0000A8270000}"/>
    <cellStyle name="Normal 2 2 2 2 2 12 4 7" xfId="10153" xr:uid="{00000000-0005-0000-0000-0000A9270000}"/>
    <cellStyle name="Normal 2 2 2 2 2 12 4 8" xfId="10154" xr:uid="{00000000-0005-0000-0000-0000AA270000}"/>
    <cellStyle name="Normal 2 2 2 2 2 12 4 9" xfId="10155" xr:uid="{00000000-0005-0000-0000-0000AB270000}"/>
    <cellStyle name="Normal 2 2 2 2 2 12 5" xfId="10156" xr:uid="{00000000-0005-0000-0000-0000AC270000}"/>
    <cellStyle name="Normal 2 2 2 2 2 12 5 10" xfId="10157" xr:uid="{00000000-0005-0000-0000-0000AD270000}"/>
    <cellStyle name="Normal 2 2 2 2 2 12 5 2" xfId="10158" xr:uid="{00000000-0005-0000-0000-0000AE270000}"/>
    <cellStyle name="Normal 2 2 2 2 2 12 5 3" xfId="10159" xr:uid="{00000000-0005-0000-0000-0000AF270000}"/>
    <cellStyle name="Normal 2 2 2 2 2 12 5 4" xfId="10160" xr:uid="{00000000-0005-0000-0000-0000B0270000}"/>
    <cellStyle name="Normal 2 2 2 2 2 12 5 5" xfId="10161" xr:uid="{00000000-0005-0000-0000-0000B1270000}"/>
    <cellStyle name="Normal 2 2 2 2 2 12 5 6" xfId="10162" xr:uid="{00000000-0005-0000-0000-0000B2270000}"/>
    <cellStyle name="Normal 2 2 2 2 2 12 5 7" xfId="10163" xr:uid="{00000000-0005-0000-0000-0000B3270000}"/>
    <cellStyle name="Normal 2 2 2 2 2 12 5 8" xfId="10164" xr:uid="{00000000-0005-0000-0000-0000B4270000}"/>
    <cellStyle name="Normal 2 2 2 2 2 12 5 9" xfId="10165" xr:uid="{00000000-0005-0000-0000-0000B5270000}"/>
    <cellStyle name="Normal 2 2 2 2 2 12 6" xfId="10166" xr:uid="{00000000-0005-0000-0000-0000B6270000}"/>
    <cellStyle name="Normal 2 2 2 2 2 12 7" xfId="10167" xr:uid="{00000000-0005-0000-0000-0000B7270000}"/>
    <cellStyle name="Normal 2 2 2 2 2 12 8" xfId="10168" xr:uid="{00000000-0005-0000-0000-0000B8270000}"/>
    <cellStyle name="Normal 2 2 2 2 2 12 9" xfId="10169" xr:uid="{00000000-0005-0000-0000-0000B9270000}"/>
    <cellStyle name="Normal 2 2 2 2 2 13" xfId="10170" xr:uid="{00000000-0005-0000-0000-0000BA270000}"/>
    <cellStyle name="Normal 2 2 2 2 2 13 10" xfId="10171" xr:uid="{00000000-0005-0000-0000-0000BB270000}"/>
    <cellStyle name="Normal 2 2 2 2 2 13 11" xfId="10172" xr:uid="{00000000-0005-0000-0000-0000BC270000}"/>
    <cellStyle name="Normal 2 2 2 2 2 13 12" xfId="10173" xr:uid="{00000000-0005-0000-0000-0000BD270000}"/>
    <cellStyle name="Normal 2 2 2 2 2 13 13" xfId="10174" xr:uid="{00000000-0005-0000-0000-0000BE270000}"/>
    <cellStyle name="Normal 2 2 2 2 2 13 14" xfId="10175" xr:uid="{00000000-0005-0000-0000-0000BF270000}"/>
    <cellStyle name="Normal 2 2 2 2 2 13 2" xfId="10176" xr:uid="{00000000-0005-0000-0000-0000C0270000}"/>
    <cellStyle name="Normal 2 2 2 2 2 13 2 10" xfId="10177" xr:uid="{00000000-0005-0000-0000-0000C1270000}"/>
    <cellStyle name="Normal 2 2 2 2 2 13 2 2" xfId="10178" xr:uid="{00000000-0005-0000-0000-0000C2270000}"/>
    <cellStyle name="Normal 2 2 2 2 2 13 2 3" xfId="10179" xr:uid="{00000000-0005-0000-0000-0000C3270000}"/>
    <cellStyle name="Normal 2 2 2 2 2 13 2 4" xfId="10180" xr:uid="{00000000-0005-0000-0000-0000C4270000}"/>
    <cellStyle name="Normal 2 2 2 2 2 13 2 5" xfId="10181" xr:uid="{00000000-0005-0000-0000-0000C5270000}"/>
    <cellStyle name="Normal 2 2 2 2 2 13 2 6" xfId="10182" xr:uid="{00000000-0005-0000-0000-0000C6270000}"/>
    <cellStyle name="Normal 2 2 2 2 2 13 2 7" xfId="10183" xr:uid="{00000000-0005-0000-0000-0000C7270000}"/>
    <cellStyle name="Normal 2 2 2 2 2 13 2 8" xfId="10184" xr:uid="{00000000-0005-0000-0000-0000C8270000}"/>
    <cellStyle name="Normal 2 2 2 2 2 13 2 9" xfId="10185" xr:uid="{00000000-0005-0000-0000-0000C9270000}"/>
    <cellStyle name="Normal 2 2 2 2 2 13 3" xfId="10186" xr:uid="{00000000-0005-0000-0000-0000CA270000}"/>
    <cellStyle name="Normal 2 2 2 2 2 13 3 10" xfId="10187" xr:uid="{00000000-0005-0000-0000-0000CB270000}"/>
    <cellStyle name="Normal 2 2 2 2 2 13 3 2" xfId="10188" xr:uid="{00000000-0005-0000-0000-0000CC270000}"/>
    <cellStyle name="Normal 2 2 2 2 2 13 3 3" xfId="10189" xr:uid="{00000000-0005-0000-0000-0000CD270000}"/>
    <cellStyle name="Normal 2 2 2 2 2 13 3 4" xfId="10190" xr:uid="{00000000-0005-0000-0000-0000CE270000}"/>
    <cellStyle name="Normal 2 2 2 2 2 13 3 5" xfId="10191" xr:uid="{00000000-0005-0000-0000-0000CF270000}"/>
    <cellStyle name="Normal 2 2 2 2 2 13 3 6" xfId="10192" xr:uid="{00000000-0005-0000-0000-0000D0270000}"/>
    <cellStyle name="Normal 2 2 2 2 2 13 3 7" xfId="10193" xr:uid="{00000000-0005-0000-0000-0000D1270000}"/>
    <cellStyle name="Normal 2 2 2 2 2 13 3 8" xfId="10194" xr:uid="{00000000-0005-0000-0000-0000D2270000}"/>
    <cellStyle name="Normal 2 2 2 2 2 13 3 9" xfId="10195" xr:uid="{00000000-0005-0000-0000-0000D3270000}"/>
    <cellStyle name="Normal 2 2 2 2 2 13 4" xfId="10196" xr:uid="{00000000-0005-0000-0000-0000D4270000}"/>
    <cellStyle name="Normal 2 2 2 2 2 13 4 10" xfId="10197" xr:uid="{00000000-0005-0000-0000-0000D5270000}"/>
    <cellStyle name="Normal 2 2 2 2 2 13 4 2" xfId="10198" xr:uid="{00000000-0005-0000-0000-0000D6270000}"/>
    <cellStyle name="Normal 2 2 2 2 2 13 4 3" xfId="10199" xr:uid="{00000000-0005-0000-0000-0000D7270000}"/>
    <cellStyle name="Normal 2 2 2 2 2 13 4 4" xfId="10200" xr:uid="{00000000-0005-0000-0000-0000D8270000}"/>
    <cellStyle name="Normal 2 2 2 2 2 13 4 5" xfId="10201" xr:uid="{00000000-0005-0000-0000-0000D9270000}"/>
    <cellStyle name="Normal 2 2 2 2 2 13 4 6" xfId="10202" xr:uid="{00000000-0005-0000-0000-0000DA270000}"/>
    <cellStyle name="Normal 2 2 2 2 2 13 4 7" xfId="10203" xr:uid="{00000000-0005-0000-0000-0000DB270000}"/>
    <cellStyle name="Normal 2 2 2 2 2 13 4 8" xfId="10204" xr:uid="{00000000-0005-0000-0000-0000DC270000}"/>
    <cellStyle name="Normal 2 2 2 2 2 13 4 9" xfId="10205" xr:uid="{00000000-0005-0000-0000-0000DD270000}"/>
    <cellStyle name="Normal 2 2 2 2 2 13 5" xfId="10206" xr:uid="{00000000-0005-0000-0000-0000DE270000}"/>
    <cellStyle name="Normal 2 2 2 2 2 13 5 10" xfId="10207" xr:uid="{00000000-0005-0000-0000-0000DF270000}"/>
    <cellStyle name="Normal 2 2 2 2 2 13 5 2" xfId="10208" xr:uid="{00000000-0005-0000-0000-0000E0270000}"/>
    <cellStyle name="Normal 2 2 2 2 2 13 5 3" xfId="10209" xr:uid="{00000000-0005-0000-0000-0000E1270000}"/>
    <cellStyle name="Normal 2 2 2 2 2 13 5 4" xfId="10210" xr:uid="{00000000-0005-0000-0000-0000E2270000}"/>
    <cellStyle name="Normal 2 2 2 2 2 13 5 5" xfId="10211" xr:uid="{00000000-0005-0000-0000-0000E3270000}"/>
    <cellStyle name="Normal 2 2 2 2 2 13 5 6" xfId="10212" xr:uid="{00000000-0005-0000-0000-0000E4270000}"/>
    <cellStyle name="Normal 2 2 2 2 2 13 5 7" xfId="10213" xr:uid="{00000000-0005-0000-0000-0000E5270000}"/>
    <cellStyle name="Normal 2 2 2 2 2 13 5 8" xfId="10214" xr:uid="{00000000-0005-0000-0000-0000E6270000}"/>
    <cellStyle name="Normal 2 2 2 2 2 13 5 9" xfId="10215" xr:uid="{00000000-0005-0000-0000-0000E7270000}"/>
    <cellStyle name="Normal 2 2 2 2 2 13 6" xfId="10216" xr:uid="{00000000-0005-0000-0000-0000E8270000}"/>
    <cellStyle name="Normal 2 2 2 2 2 13 7" xfId="10217" xr:uid="{00000000-0005-0000-0000-0000E9270000}"/>
    <cellStyle name="Normal 2 2 2 2 2 13 8" xfId="10218" xr:uid="{00000000-0005-0000-0000-0000EA270000}"/>
    <cellStyle name="Normal 2 2 2 2 2 13 9" xfId="10219" xr:uid="{00000000-0005-0000-0000-0000EB270000}"/>
    <cellStyle name="Normal 2 2 2 2 2 14" xfId="10220" xr:uid="{00000000-0005-0000-0000-0000EC270000}"/>
    <cellStyle name="Normal 2 2 2 2 2 14 10" xfId="10221" xr:uid="{00000000-0005-0000-0000-0000ED270000}"/>
    <cellStyle name="Normal 2 2 2 2 2 14 11" xfId="10222" xr:uid="{00000000-0005-0000-0000-0000EE270000}"/>
    <cellStyle name="Normal 2 2 2 2 2 14 12" xfId="10223" xr:uid="{00000000-0005-0000-0000-0000EF270000}"/>
    <cellStyle name="Normal 2 2 2 2 2 14 13" xfId="10224" xr:uid="{00000000-0005-0000-0000-0000F0270000}"/>
    <cellStyle name="Normal 2 2 2 2 2 14 14" xfId="10225" xr:uid="{00000000-0005-0000-0000-0000F1270000}"/>
    <cellStyle name="Normal 2 2 2 2 2 14 2" xfId="10226" xr:uid="{00000000-0005-0000-0000-0000F2270000}"/>
    <cellStyle name="Normal 2 2 2 2 2 14 2 10" xfId="10227" xr:uid="{00000000-0005-0000-0000-0000F3270000}"/>
    <cellStyle name="Normal 2 2 2 2 2 14 2 2" xfId="10228" xr:uid="{00000000-0005-0000-0000-0000F4270000}"/>
    <cellStyle name="Normal 2 2 2 2 2 14 2 3" xfId="10229" xr:uid="{00000000-0005-0000-0000-0000F5270000}"/>
    <cellStyle name="Normal 2 2 2 2 2 14 2 4" xfId="10230" xr:uid="{00000000-0005-0000-0000-0000F6270000}"/>
    <cellStyle name="Normal 2 2 2 2 2 14 2 5" xfId="10231" xr:uid="{00000000-0005-0000-0000-0000F7270000}"/>
    <cellStyle name="Normal 2 2 2 2 2 14 2 6" xfId="10232" xr:uid="{00000000-0005-0000-0000-0000F8270000}"/>
    <cellStyle name="Normal 2 2 2 2 2 14 2 7" xfId="10233" xr:uid="{00000000-0005-0000-0000-0000F9270000}"/>
    <cellStyle name="Normal 2 2 2 2 2 14 2 8" xfId="10234" xr:uid="{00000000-0005-0000-0000-0000FA270000}"/>
    <cellStyle name="Normal 2 2 2 2 2 14 2 9" xfId="10235" xr:uid="{00000000-0005-0000-0000-0000FB270000}"/>
    <cellStyle name="Normal 2 2 2 2 2 14 3" xfId="10236" xr:uid="{00000000-0005-0000-0000-0000FC270000}"/>
    <cellStyle name="Normal 2 2 2 2 2 14 3 10" xfId="10237" xr:uid="{00000000-0005-0000-0000-0000FD270000}"/>
    <cellStyle name="Normal 2 2 2 2 2 14 3 2" xfId="10238" xr:uid="{00000000-0005-0000-0000-0000FE270000}"/>
    <cellStyle name="Normal 2 2 2 2 2 14 3 3" xfId="10239" xr:uid="{00000000-0005-0000-0000-0000FF270000}"/>
    <cellStyle name="Normal 2 2 2 2 2 14 3 4" xfId="10240" xr:uid="{00000000-0005-0000-0000-000000280000}"/>
    <cellStyle name="Normal 2 2 2 2 2 14 3 5" xfId="10241" xr:uid="{00000000-0005-0000-0000-000001280000}"/>
    <cellStyle name="Normal 2 2 2 2 2 14 3 6" xfId="10242" xr:uid="{00000000-0005-0000-0000-000002280000}"/>
    <cellStyle name="Normal 2 2 2 2 2 14 3 7" xfId="10243" xr:uid="{00000000-0005-0000-0000-000003280000}"/>
    <cellStyle name="Normal 2 2 2 2 2 14 3 8" xfId="10244" xr:uid="{00000000-0005-0000-0000-000004280000}"/>
    <cellStyle name="Normal 2 2 2 2 2 14 3 9" xfId="10245" xr:uid="{00000000-0005-0000-0000-000005280000}"/>
    <cellStyle name="Normal 2 2 2 2 2 14 4" xfId="10246" xr:uid="{00000000-0005-0000-0000-000006280000}"/>
    <cellStyle name="Normal 2 2 2 2 2 14 4 10" xfId="10247" xr:uid="{00000000-0005-0000-0000-000007280000}"/>
    <cellStyle name="Normal 2 2 2 2 2 14 4 2" xfId="10248" xr:uid="{00000000-0005-0000-0000-000008280000}"/>
    <cellStyle name="Normal 2 2 2 2 2 14 4 3" xfId="10249" xr:uid="{00000000-0005-0000-0000-000009280000}"/>
    <cellStyle name="Normal 2 2 2 2 2 14 4 4" xfId="10250" xr:uid="{00000000-0005-0000-0000-00000A280000}"/>
    <cellStyle name="Normal 2 2 2 2 2 14 4 5" xfId="10251" xr:uid="{00000000-0005-0000-0000-00000B280000}"/>
    <cellStyle name="Normal 2 2 2 2 2 14 4 6" xfId="10252" xr:uid="{00000000-0005-0000-0000-00000C280000}"/>
    <cellStyle name="Normal 2 2 2 2 2 14 4 7" xfId="10253" xr:uid="{00000000-0005-0000-0000-00000D280000}"/>
    <cellStyle name="Normal 2 2 2 2 2 14 4 8" xfId="10254" xr:uid="{00000000-0005-0000-0000-00000E280000}"/>
    <cellStyle name="Normal 2 2 2 2 2 14 4 9" xfId="10255" xr:uid="{00000000-0005-0000-0000-00000F280000}"/>
    <cellStyle name="Normal 2 2 2 2 2 14 5" xfId="10256" xr:uid="{00000000-0005-0000-0000-000010280000}"/>
    <cellStyle name="Normal 2 2 2 2 2 14 5 10" xfId="10257" xr:uid="{00000000-0005-0000-0000-000011280000}"/>
    <cellStyle name="Normal 2 2 2 2 2 14 5 2" xfId="10258" xr:uid="{00000000-0005-0000-0000-000012280000}"/>
    <cellStyle name="Normal 2 2 2 2 2 14 5 3" xfId="10259" xr:uid="{00000000-0005-0000-0000-000013280000}"/>
    <cellStyle name="Normal 2 2 2 2 2 14 5 4" xfId="10260" xr:uid="{00000000-0005-0000-0000-000014280000}"/>
    <cellStyle name="Normal 2 2 2 2 2 14 5 5" xfId="10261" xr:uid="{00000000-0005-0000-0000-000015280000}"/>
    <cellStyle name="Normal 2 2 2 2 2 14 5 6" xfId="10262" xr:uid="{00000000-0005-0000-0000-000016280000}"/>
    <cellStyle name="Normal 2 2 2 2 2 14 5 7" xfId="10263" xr:uid="{00000000-0005-0000-0000-000017280000}"/>
    <cellStyle name="Normal 2 2 2 2 2 14 5 8" xfId="10264" xr:uid="{00000000-0005-0000-0000-000018280000}"/>
    <cellStyle name="Normal 2 2 2 2 2 14 5 9" xfId="10265" xr:uid="{00000000-0005-0000-0000-000019280000}"/>
    <cellStyle name="Normal 2 2 2 2 2 14 6" xfId="10266" xr:uid="{00000000-0005-0000-0000-00001A280000}"/>
    <cellStyle name="Normal 2 2 2 2 2 14 7" xfId="10267" xr:uid="{00000000-0005-0000-0000-00001B280000}"/>
    <cellStyle name="Normal 2 2 2 2 2 14 8" xfId="10268" xr:uid="{00000000-0005-0000-0000-00001C280000}"/>
    <cellStyle name="Normal 2 2 2 2 2 14 9" xfId="10269" xr:uid="{00000000-0005-0000-0000-00001D280000}"/>
    <cellStyle name="Normal 2 2 2 2 2 15" xfId="10270" xr:uid="{00000000-0005-0000-0000-00001E280000}"/>
    <cellStyle name="Normal 2 2 2 2 2 15 10" xfId="10271" xr:uid="{00000000-0005-0000-0000-00001F280000}"/>
    <cellStyle name="Normal 2 2 2 2 2 15 11" xfId="10272" xr:uid="{00000000-0005-0000-0000-000020280000}"/>
    <cellStyle name="Normal 2 2 2 2 2 15 12" xfId="10273" xr:uid="{00000000-0005-0000-0000-000021280000}"/>
    <cellStyle name="Normal 2 2 2 2 2 15 13" xfId="10274" xr:uid="{00000000-0005-0000-0000-000022280000}"/>
    <cellStyle name="Normal 2 2 2 2 2 15 14" xfId="10275" xr:uid="{00000000-0005-0000-0000-000023280000}"/>
    <cellStyle name="Normal 2 2 2 2 2 15 2" xfId="10276" xr:uid="{00000000-0005-0000-0000-000024280000}"/>
    <cellStyle name="Normal 2 2 2 2 2 15 2 10" xfId="10277" xr:uid="{00000000-0005-0000-0000-000025280000}"/>
    <cellStyle name="Normal 2 2 2 2 2 15 2 2" xfId="10278" xr:uid="{00000000-0005-0000-0000-000026280000}"/>
    <cellStyle name="Normal 2 2 2 2 2 15 2 3" xfId="10279" xr:uid="{00000000-0005-0000-0000-000027280000}"/>
    <cellStyle name="Normal 2 2 2 2 2 15 2 4" xfId="10280" xr:uid="{00000000-0005-0000-0000-000028280000}"/>
    <cellStyle name="Normal 2 2 2 2 2 15 2 5" xfId="10281" xr:uid="{00000000-0005-0000-0000-000029280000}"/>
    <cellStyle name="Normal 2 2 2 2 2 15 2 6" xfId="10282" xr:uid="{00000000-0005-0000-0000-00002A280000}"/>
    <cellStyle name="Normal 2 2 2 2 2 15 2 7" xfId="10283" xr:uid="{00000000-0005-0000-0000-00002B280000}"/>
    <cellStyle name="Normal 2 2 2 2 2 15 2 8" xfId="10284" xr:uid="{00000000-0005-0000-0000-00002C280000}"/>
    <cellStyle name="Normal 2 2 2 2 2 15 2 9" xfId="10285" xr:uid="{00000000-0005-0000-0000-00002D280000}"/>
    <cellStyle name="Normal 2 2 2 2 2 15 3" xfId="10286" xr:uid="{00000000-0005-0000-0000-00002E280000}"/>
    <cellStyle name="Normal 2 2 2 2 2 15 3 10" xfId="10287" xr:uid="{00000000-0005-0000-0000-00002F280000}"/>
    <cellStyle name="Normal 2 2 2 2 2 15 3 2" xfId="10288" xr:uid="{00000000-0005-0000-0000-000030280000}"/>
    <cellStyle name="Normal 2 2 2 2 2 15 3 3" xfId="10289" xr:uid="{00000000-0005-0000-0000-000031280000}"/>
    <cellStyle name="Normal 2 2 2 2 2 15 3 4" xfId="10290" xr:uid="{00000000-0005-0000-0000-000032280000}"/>
    <cellStyle name="Normal 2 2 2 2 2 15 3 5" xfId="10291" xr:uid="{00000000-0005-0000-0000-000033280000}"/>
    <cellStyle name="Normal 2 2 2 2 2 15 3 6" xfId="10292" xr:uid="{00000000-0005-0000-0000-000034280000}"/>
    <cellStyle name="Normal 2 2 2 2 2 15 3 7" xfId="10293" xr:uid="{00000000-0005-0000-0000-000035280000}"/>
    <cellStyle name="Normal 2 2 2 2 2 15 3 8" xfId="10294" xr:uid="{00000000-0005-0000-0000-000036280000}"/>
    <cellStyle name="Normal 2 2 2 2 2 15 3 9" xfId="10295" xr:uid="{00000000-0005-0000-0000-000037280000}"/>
    <cellStyle name="Normal 2 2 2 2 2 15 4" xfId="10296" xr:uid="{00000000-0005-0000-0000-000038280000}"/>
    <cellStyle name="Normal 2 2 2 2 2 15 4 10" xfId="10297" xr:uid="{00000000-0005-0000-0000-000039280000}"/>
    <cellStyle name="Normal 2 2 2 2 2 15 4 2" xfId="10298" xr:uid="{00000000-0005-0000-0000-00003A280000}"/>
    <cellStyle name="Normal 2 2 2 2 2 15 4 3" xfId="10299" xr:uid="{00000000-0005-0000-0000-00003B280000}"/>
    <cellStyle name="Normal 2 2 2 2 2 15 4 4" xfId="10300" xr:uid="{00000000-0005-0000-0000-00003C280000}"/>
    <cellStyle name="Normal 2 2 2 2 2 15 4 5" xfId="10301" xr:uid="{00000000-0005-0000-0000-00003D280000}"/>
    <cellStyle name="Normal 2 2 2 2 2 15 4 6" xfId="10302" xr:uid="{00000000-0005-0000-0000-00003E280000}"/>
    <cellStyle name="Normal 2 2 2 2 2 15 4 7" xfId="10303" xr:uid="{00000000-0005-0000-0000-00003F280000}"/>
    <cellStyle name="Normal 2 2 2 2 2 15 4 8" xfId="10304" xr:uid="{00000000-0005-0000-0000-000040280000}"/>
    <cellStyle name="Normal 2 2 2 2 2 15 4 9" xfId="10305" xr:uid="{00000000-0005-0000-0000-000041280000}"/>
    <cellStyle name="Normal 2 2 2 2 2 15 5" xfId="10306" xr:uid="{00000000-0005-0000-0000-000042280000}"/>
    <cellStyle name="Normal 2 2 2 2 2 15 5 10" xfId="10307" xr:uid="{00000000-0005-0000-0000-000043280000}"/>
    <cellStyle name="Normal 2 2 2 2 2 15 5 2" xfId="10308" xr:uid="{00000000-0005-0000-0000-000044280000}"/>
    <cellStyle name="Normal 2 2 2 2 2 15 5 3" xfId="10309" xr:uid="{00000000-0005-0000-0000-000045280000}"/>
    <cellStyle name="Normal 2 2 2 2 2 15 5 4" xfId="10310" xr:uid="{00000000-0005-0000-0000-000046280000}"/>
    <cellStyle name="Normal 2 2 2 2 2 15 5 5" xfId="10311" xr:uid="{00000000-0005-0000-0000-000047280000}"/>
    <cellStyle name="Normal 2 2 2 2 2 15 5 6" xfId="10312" xr:uid="{00000000-0005-0000-0000-000048280000}"/>
    <cellStyle name="Normal 2 2 2 2 2 15 5 7" xfId="10313" xr:uid="{00000000-0005-0000-0000-000049280000}"/>
    <cellStyle name="Normal 2 2 2 2 2 15 5 8" xfId="10314" xr:uid="{00000000-0005-0000-0000-00004A280000}"/>
    <cellStyle name="Normal 2 2 2 2 2 15 5 9" xfId="10315" xr:uid="{00000000-0005-0000-0000-00004B280000}"/>
    <cellStyle name="Normal 2 2 2 2 2 15 6" xfId="10316" xr:uid="{00000000-0005-0000-0000-00004C280000}"/>
    <cellStyle name="Normal 2 2 2 2 2 15 7" xfId="10317" xr:uid="{00000000-0005-0000-0000-00004D280000}"/>
    <cellStyle name="Normal 2 2 2 2 2 15 8" xfId="10318" xr:uid="{00000000-0005-0000-0000-00004E280000}"/>
    <cellStyle name="Normal 2 2 2 2 2 15 9" xfId="10319" xr:uid="{00000000-0005-0000-0000-00004F280000}"/>
    <cellStyle name="Normal 2 2 2 2 2 16" xfId="10320" xr:uid="{00000000-0005-0000-0000-000050280000}"/>
    <cellStyle name="Normal 2 2 2 2 2 16 10" xfId="10321" xr:uid="{00000000-0005-0000-0000-000051280000}"/>
    <cellStyle name="Normal 2 2 2 2 2 16 11" xfId="10322" xr:uid="{00000000-0005-0000-0000-000052280000}"/>
    <cellStyle name="Normal 2 2 2 2 2 16 12" xfId="10323" xr:uid="{00000000-0005-0000-0000-000053280000}"/>
    <cellStyle name="Normal 2 2 2 2 2 16 13" xfId="10324" xr:uid="{00000000-0005-0000-0000-000054280000}"/>
    <cellStyle name="Normal 2 2 2 2 2 16 14" xfId="10325" xr:uid="{00000000-0005-0000-0000-000055280000}"/>
    <cellStyle name="Normal 2 2 2 2 2 16 2" xfId="10326" xr:uid="{00000000-0005-0000-0000-000056280000}"/>
    <cellStyle name="Normal 2 2 2 2 2 16 2 10" xfId="10327" xr:uid="{00000000-0005-0000-0000-000057280000}"/>
    <cellStyle name="Normal 2 2 2 2 2 16 2 2" xfId="10328" xr:uid="{00000000-0005-0000-0000-000058280000}"/>
    <cellStyle name="Normal 2 2 2 2 2 16 2 3" xfId="10329" xr:uid="{00000000-0005-0000-0000-000059280000}"/>
    <cellStyle name="Normal 2 2 2 2 2 16 2 4" xfId="10330" xr:uid="{00000000-0005-0000-0000-00005A280000}"/>
    <cellStyle name="Normal 2 2 2 2 2 16 2 5" xfId="10331" xr:uid="{00000000-0005-0000-0000-00005B280000}"/>
    <cellStyle name="Normal 2 2 2 2 2 16 2 6" xfId="10332" xr:uid="{00000000-0005-0000-0000-00005C280000}"/>
    <cellStyle name="Normal 2 2 2 2 2 16 2 7" xfId="10333" xr:uid="{00000000-0005-0000-0000-00005D280000}"/>
    <cellStyle name="Normal 2 2 2 2 2 16 2 8" xfId="10334" xr:uid="{00000000-0005-0000-0000-00005E280000}"/>
    <cellStyle name="Normal 2 2 2 2 2 16 2 9" xfId="10335" xr:uid="{00000000-0005-0000-0000-00005F280000}"/>
    <cellStyle name="Normal 2 2 2 2 2 16 3" xfId="10336" xr:uid="{00000000-0005-0000-0000-000060280000}"/>
    <cellStyle name="Normal 2 2 2 2 2 16 3 10" xfId="10337" xr:uid="{00000000-0005-0000-0000-000061280000}"/>
    <cellStyle name="Normal 2 2 2 2 2 16 3 2" xfId="10338" xr:uid="{00000000-0005-0000-0000-000062280000}"/>
    <cellStyle name="Normal 2 2 2 2 2 16 3 3" xfId="10339" xr:uid="{00000000-0005-0000-0000-000063280000}"/>
    <cellStyle name="Normal 2 2 2 2 2 16 3 4" xfId="10340" xr:uid="{00000000-0005-0000-0000-000064280000}"/>
    <cellStyle name="Normal 2 2 2 2 2 16 3 5" xfId="10341" xr:uid="{00000000-0005-0000-0000-000065280000}"/>
    <cellStyle name="Normal 2 2 2 2 2 16 3 6" xfId="10342" xr:uid="{00000000-0005-0000-0000-000066280000}"/>
    <cellStyle name="Normal 2 2 2 2 2 16 3 7" xfId="10343" xr:uid="{00000000-0005-0000-0000-000067280000}"/>
    <cellStyle name="Normal 2 2 2 2 2 16 3 8" xfId="10344" xr:uid="{00000000-0005-0000-0000-000068280000}"/>
    <cellStyle name="Normal 2 2 2 2 2 16 3 9" xfId="10345" xr:uid="{00000000-0005-0000-0000-000069280000}"/>
    <cellStyle name="Normal 2 2 2 2 2 16 4" xfId="10346" xr:uid="{00000000-0005-0000-0000-00006A280000}"/>
    <cellStyle name="Normal 2 2 2 2 2 16 4 10" xfId="10347" xr:uid="{00000000-0005-0000-0000-00006B280000}"/>
    <cellStyle name="Normal 2 2 2 2 2 16 4 2" xfId="10348" xr:uid="{00000000-0005-0000-0000-00006C280000}"/>
    <cellStyle name="Normal 2 2 2 2 2 16 4 3" xfId="10349" xr:uid="{00000000-0005-0000-0000-00006D280000}"/>
    <cellStyle name="Normal 2 2 2 2 2 16 4 4" xfId="10350" xr:uid="{00000000-0005-0000-0000-00006E280000}"/>
    <cellStyle name="Normal 2 2 2 2 2 16 4 5" xfId="10351" xr:uid="{00000000-0005-0000-0000-00006F280000}"/>
    <cellStyle name="Normal 2 2 2 2 2 16 4 6" xfId="10352" xr:uid="{00000000-0005-0000-0000-000070280000}"/>
    <cellStyle name="Normal 2 2 2 2 2 16 4 7" xfId="10353" xr:uid="{00000000-0005-0000-0000-000071280000}"/>
    <cellStyle name="Normal 2 2 2 2 2 16 4 8" xfId="10354" xr:uid="{00000000-0005-0000-0000-000072280000}"/>
    <cellStyle name="Normal 2 2 2 2 2 16 4 9" xfId="10355" xr:uid="{00000000-0005-0000-0000-000073280000}"/>
    <cellStyle name="Normal 2 2 2 2 2 16 5" xfId="10356" xr:uid="{00000000-0005-0000-0000-000074280000}"/>
    <cellStyle name="Normal 2 2 2 2 2 16 5 10" xfId="10357" xr:uid="{00000000-0005-0000-0000-000075280000}"/>
    <cellStyle name="Normal 2 2 2 2 2 16 5 2" xfId="10358" xr:uid="{00000000-0005-0000-0000-000076280000}"/>
    <cellStyle name="Normal 2 2 2 2 2 16 5 3" xfId="10359" xr:uid="{00000000-0005-0000-0000-000077280000}"/>
    <cellStyle name="Normal 2 2 2 2 2 16 5 4" xfId="10360" xr:uid="{00000000-0005-0000-0000-000078280000}"/>
    <cellStyle name="Normal 2 2 2 2 2 16 5 5" xfId="10361" xr:uid="{00000000-0005-0000-0000-000079280000}"/>
    <cellStyle name="Normal 2 2 2 2 2 16 5 6" xfId="10362" xr:uid="{00000000-0005-0000-0000-00007A280000}"/>
    <cellStyle name="Normal 2 2 2 2 2 16 5 7" xfId="10363" xr:uid="{00000000-0005-0000-0000-00007B280000}"/>
    <cellStyle name="Normal 2 2 2 2 2 16 5 8" xfId="10364" xr:uid="{00000000-0005-0000-0000-00007C280000}"/>
    <cellStyle name="Normal 2 2 2 2 2 16 5 9" xfId="10365" xr:uid="{00000000-0005-0000-0000-00007D280000}"/>
    <cellStyle name="Normal 2 2 2 2 2 16 6" xfId="10366" xr:uid="{00000000-0005-0000-0000-00007E280000}"/>
    <cellStyle name="Normal 2 2 2 2 2 16 7" xfId="10367" xr:uid="{00000000-0005-0000-0000-00007F280000}"/>
    <cellStyle name="Normal 2 2 2 2 2 16 8" xfId="10368" xr:uid="{00000000-0005-0000-0000-000080280000}"/>
    <cellStyle name="Normal 2 2 2 2 2 16 9" xfId="10369" xr:uid="{00000000-0005-0000-0000-000081280000}"/>
    <cellStyle name="Normal 2 2 2 2 2 17" xfId="10370" xr:uid="{00000000-0005-0000-0000-000082280000}"/>
    <cellStyle name="Normal 2 2 2 2 2 17 10" xfId="10371" xr:uid="{00000000-0005-0000-0000-000083280000}"/>
    <cellStyle name="Normal 2 2 2 2 2 17 11" xfId="10372" xr:uid="{00000000-0005-0000-0000-000084280000}"/>
    <cellStyle name="Normal 2 2 2 2 2 17 12" xfId="10373" xr:uid="{00000000-0005-0000-0000-000085280000}"/>
    <cellStyle name="Normal 2 2 2 2 2 17 13" xfId="10374" xr:uid="{00000000-0005-0000-0000-000086280000}"/>
    <cellStyle name="Normal 2 2 2 2 2 17 14" xfId="10375" xr:uid="{00000000-0005-0000-0000-000087280000}"/>
    <cellStyle name="Normal 2 2 2 2 2 17 2" xfId="10376" xr:uid="{00000000-0005-0000-0000-000088280000}"/>
    <cellStyle name="Normal 2 2 2 2 2 17 2 10" xfId="10377" xr:uid="{00000000-0005-0000-0000-000089280000}"/>
    <cellStyle name="Normal 2 2 2 2 2 17 2 2" xfId="10378" xr:uid="{00000000-0005-0000-0000-00008A280000}"/>
    <cellStyle name="Normal 2 2 2 2 2 17 2 3" xfId="10379" xr:uid="{00000000-0005-0000-0000-00008B280000}"/>
    <cellStyle name="Normal 2 2 2 2 2 17 2 4" xfId="10380" xr:uid="{00000000-0005-0000-0000-00008C280000}"/>
    <cellStyle name="Normal 2 2 2 2 2 17 2 5" xfId="10381" xr:uid="{00000000-0005-0000-0000-00008D280000}"/>
    <cellStyle name="Normal 2 2 2 2 2 17 2 6" xfId="10382" xr:uid="{00000000-0005-0000-0000-00008E280000}"/>
    <cellStyle name="Normal 2 2 2 2 2 17 2 7" xfId="10383" xr:uid="{00000000-0005-0000-0000-00008F280000}"/>
    <cellStyle name="Normal 2 2 2 2 2 17 2 8" xfId="10384" xr:uid="{00000000-0005-0000-0000-000090280000}"/>
    <cellStyle name="Normal 2 2 2 2 2 17 2 9" xfId="10385" xr:uid="{00000000-0005-0000-0000-000091280000}"/>
    <cellStyle name="Normal 2 2 2 2 2 17 3" xfId="10386" xr:uid="{00000000-0005-0000-0000-000092280000}"/>
    <cellStyle name="Normal 2 2 2 2 2 17 3 10" xfId="10387" xr:uid="{00000000-0005-0000-0000-000093280000}"/>
    <cellStyle name="Normal 2 2 2 2 2 17 3 2" xfId="10388" xr:uid="{00000000-0005-0000-0000-000094280000}"/>
    <cellStyle name="Normal 2 2 2 2 2 17 3 3" xfId="10389" xr:uid="{00000000-0005-0000-0000-000095280000}"/>
    <cellStyle name="Normal 2 2 2 2 2 17 3 4" xfId="10390" xr:uid="{00000000-0005-0000-0000-000096280000}"/>
    <cellStyle name="Normal 2 2 2 2 2 17 3 5" xfId="10391" xr:uid="{00000000-0005-0000-0000-000097280000}"/>
    <cellStyle name="Normal 2 2 2 2 2 17 3 6" xfId="10392" xr:uid="{00000000-0005-0000-0000-000098280000}"/>
    <cellStyle name="Normal 2 2 2 2 2 17 3 7" xfId="10393" xr:uid="{00000000-0005-0000-0000-000099280000}"/>
    <cellStyle name="Normal 2 2 2 2 2 17 3 8" xfId="10394" xr:uid="{00000000-0005-0000-0000-00009A280000}"/>
    <cellStyle name="Normal 2 2 2 2 2 17 3 9" xfId="10395" xr:uid="{00000000-0005-0000-0000-00009B280000}"/>
    <cellStyle name="Normal 2 2 2 2 2 17 4" xfId="10396" xr:uid="{00000000-0005-0000-0000-00009C280000}"/>
    <cellStyle name="Normal 2 2 2 2 2 17 4 10" xfId="10397" xr:uid="{00000000-0005-0000-0000-00009D280000}"/>
    <cellStyle name="Normal 2 2 2 2 2 17 4 2" xfId="10398" xr:uid="{00000000-0005-0000-0000-00009E280000}"/>
    <cellStyle name="Normal 2 2 2 2 2 17 4 3" xfId="10399" xr:uid="{00000000-0005-0000-0000-00009F280000}"/>
    <cellStyle name="Normal 2 2 2 2 2 17 4 4" xfId="10400" xr:uid="{00000000-0005-0000-0000-0000A0280000}"/>
    <cellStyle name="Normal 2 2 2 2 2 17 4 5" xfId="10401" xr:uid="{00000000-0005-0000-0000-0000A1280000}"/>
    <cellStyle name="Normal 2 2 2 2 2 17 4 6" xfId="10402" xr:uid="{00000000-0005-0000-0000-0000A2280000}"/>
    <cellStyle name="Normal 2 2 2 2 2 17 4 7" xfId="10403" xr:uid="{00000000-0005-0000-0000-0000A3280000}"/>
    <cellStyle name="Normal 2 2 2 2 2 17 4 8" xfId="10404" xr:uid="{00000000-0005-0000-0000-0000A4280000}"/>
    <cellStyle name="Normal 2 2 2 2 2 17 4 9" xfId="10405" xr:uid="{00000000-0005-0000-0000-0000A5280000}"/>
    <cellStyle name="Normal 2 2 2 2 2 17 5" xfId="10406" xr:uid="{00000000-0005-0000-0000-0000A6280000}"/>
    <cellStyle name="Normal 2 2 2 2 2 17 5 10" xfId="10407" xr:uid="{00000000-0005-0000-0000-0000A7280000}"/>
    <cellStyle name="Normal 2 2 2 2 2 17 5 2" xfId="10408" xr:uid="{00000000-0005-0000-0000-0000A8280000}"/>
    <cellStyle name="Normal 2 2 2 2 2 17 5 3" xfId="10409" xr:uid="{00000000-0005-0000-0000-0000A9280000}"/>
    <cellStyle name="Normal 2 2 2 2 2 17 5 4" xfId="10410" xr:uid="{00000000-0005-0000-0000-0000AA280000}"/>
    <cellStyle name="Normal 2 2 2 2 2 17 5 5" xfId="10411" xr:uid="{00000000-0005-0000-0000-0000AB280000}"/>
    <cellStyle name="Normal 2 2 2 2 2 17 5 6" xfId="10412" xr:uid="{00000000-0005-0000-0000-0000AC280000}"/>
    <cellStyle name="Normal 2 2 2 2 2 17 5 7" xfId="10413" xr:uid="{00000000-0005-0000-0000-0000AD280000}"/>
    <cellStyle name="Normal 2 2 2 2 2 17 5 8" xfId="10414" xr:uid="{00000000-0005-0000-0000-0000AE280000}"/>
    <cellStyle name="Normal 2 2 2 2 2 17 5 9" xfId="10415" xr:uid="{00000000-0005-0000-0000-0000AF280000}"/>
    <cellStyle name="Normal 2 2 2 2 2 17 6" xfId="10416" xr:uid="{00000000-0005-0000-0000-0000B0280000}"/>
    <cellStyle name="Normal 2 2 2 2 2 17 7" xfId="10417" xr:uid="{00000000-0005-0000-0000-0000B1280000}"/>
    <cellStyle name="Normal 2 2 2 2 2 17 8" xfId="10418" xr:uid="{00000000-0005-0000-0000-0000B2280000}"/>
    <cellStyle name="Normal 2 2 2 2 2 17 9" xfId="10419" xr:uid="{00000000-0005-0000-0000-0000B3280000}"/>
    <cellStyle name="Normal 2 2 2 2 2 18" xfId="10420" xr:uid="{00000000-0005-0000-0000-0000B4280000}"/>
    <cellStyle name="Normal 2 2 2 2 2 18 10" xfId="10421" xr:uid="{00000000-0005-0000-0000-0000B5280000}"/>
    <cellStyle name="Normal 2 2 2 2 2 18 11" xfId="10422" xr:uid="{00000000-0005-0000-0000-0000B6280000}"/>
    <cellStyle name="Normal 2 2 2 2 2 18 12" xfId="10423" xr:uid="{00000000-0005-0000-0000-0000B7280000}"/>
    <cellStyle name="Normal 2 2 2 2 2 18 13" xfId="10424" xr:uid="{00000000-0005-0000-0000-0000B8280000}"/>
    <cellStyle name="Normal 2 2 2 2 2 18 14" xfId="10425" xr:uid="{00000000-0005-0000-0000-0000B9280000}"/>
    <cellStyle name="Normal 2 2 2 2 2 18 2" xfId="10426" xr:uid="{00000000-0005-0000-0000-0000BA280000}"/>
    <cellStyle name="Normal 2 2 2 2 2 18 2 10" xfId="10427" xr:uid="{00000000-0005-0000-0000-0000BB280000}"/>
    <cellStyle name="Normal 2 2 2 2 2 18 2 2" xfId="10428" xr:uid="{00000000-0005-0000-0000-0000BC280000}"/>
    <cellStyle name="Normal 2 2 2 2 2 18 2 3" xfId="10429" xr:uid="{00000000-0005-0000-0000-0000BD280000}"/>
    <cellStyle name="Normal 2 2 2 2 2 18 2 4" xfId="10430" xr:uid="{00000000-0005-0000-0000-0000BE280000}"/>
    <cellStyle name="Normal 2 2 2 2 2 18 2 5" xfId="10431" xr:uid="{00000000-0005-0000-0000-0000BF280000}"/>
    <cellStyle name="Normal 2 2 2 2 2 18 2 6" xfId="10432" xr:uid="{00000000-0005-0000-0000-0000C0280000}"/>
    <cellStyle name="Normal 2 2 2 2 2 18 2 7" xfId="10433" xr:uid="{00000000-0005-0000-0000-0000C1280000}"/>
    <cellStyle name="Normal 2 2 2 2 2 18 2 8" xfId="10434" xr:uid="{00000000-0005-0000-0000-0000C2280000}"/>
    <cellStyle name="Normal 2 2 2 2 2 18 2 9" xfId="10435" xr:uid="{00000000-0005-0000-0000-0000C3280000}"/>
    <cellStyle name="Normal 2 2 2 2 2 18 3" xfId="10436" xr:uid="{00000000-0005-0000-0000-0000C4280000}"/>
    <cellStyle name="Normal 2 2 2 2 2 18 3 10" xfId="10437" xr:uid="{00000000-0005-0000-0000-0000C5280000}"/>
    <cellStyle name="Normal 2 2 2 2 2 18 3 2" xfId="10438" xr:uid="{00000000-0005-0000-0000-0000C6280000}"/>
    <cellStyle name="Normal 2 2 2 2 2 18 3 3" xfId="10439" xr:uid="{00000000-0005-0000-0000-0000C7280000}"/>
    <cellStyle name="Normal 2 2 2 2 2 18 3 4" xfId="10440" xr:uid="{00000000-0005-0000-0000-0000C8280000}"/>
    <cellStyle name="Normal 2 2 2 2 2 18 3 5" xfId="10441" xr:uid="{00000000-0005-0000-0000-0000C9280000}"/>
    <cellStyle name="Normal 2 2 2 2 2 18 3 6" xfId="10442" xr:uid="{00000000-0005-0000-0000-0000CA280000}"/>
    <cellStyle name="Normal 2 2 2 2 2 18 3 7" xfId="10443" xr:uid="{00000000-0005-0000-0000-0000CB280000}"/>
    <cellStyle name="Normal 2 2 2 2 2 18 3 8" xfId="10444" xr:uid="{00000000-0005-0000-0000-0000CC280000}"/>
    <cellStyle name="Normal 2 2 2 2 2 18 3 9" xfId="10445" xr:uid="{00000000-0005-0000-0000-0000CD280000}"/>
    <cellStyle name="Normal 2 2 2 2 2 18 4" xfId="10446" xr:uid="{00000000-0005-0000-0000-0000CE280000}"/>
    <cellStyle name="Normal 2 2 2 2 2 18 4 10" xfId="10447" xr:uid="{00000000-0005-0000-0000-0000CF280000}"/>
    <cellStyle name="Normal 2 2 2 2 2 18 4 2" xfId="10448" xr:uid="{00000000-0005-0000-0000-0000D0280000}"/>
    <cellStyle name="Normal 2 2 2 2 2 18 4 3" xfId="10449" xr:uid="{00000000-0005-0000-0000-0000D1280000}"/>
    <cellStyle name="Normal 2 2 2 2 2 18 4 4" xfId="10450" xr:uid="{00000000-0005-0000-0000-0000D2280000}"/>
    <cellStyle name="Normal 2 2 2 2 2 18 4 5" xfId="10451" xr:uid="{00000000-0005-0000-0000-0000D3280000}"/>
    <cellStyle name="Normal 2 2 2 2 2 18 4 6" xfId="10452" xr:uid="{00000000-0005-0000-0000-0000D4280000}"/>
    <cellStyle name="Normal 2 2 2 2 2 18 4 7" xfId="10453" xr:uid="{00000000-0005-0000-0000-0000D5280000}"/>
    <cellStyle name="Normal 2 2 2 2 2 18 4 8" xfId="10454" xr:uid="{00000000-0005-0000-0000-0000D6280000}"/>
    <cellStyle name="Normal 2 2 2 2 2 18 4 9" xfId="10455" xr:uid="{00000000-0005-0000-0000-0000D7280000}"/>
    <cellStyle name="Normal 2 2 2 2 2 18 5" xfId="10456" xr:uid="{00000000-0005-0000-0000-0000D8280000}"/>
    <cellStyle name="Normal 2 2 2 2 2 18 5 10" xfId="10457" xr:uid="{00000000-0005-0000-0000-0000D9280000}"/>
    <cellStyle name="Normal 2 2 2 2 2 18 5 2" xfId="10458" xr:uid="{00000000-0005-0000-0000-0000DA280000}"/>
    <cellStyle name="Normal 2 2 2 2 2 18 5 3" xfId="10459" xr:uid="{00000000-0005-0000-0000-0000DB280000}"/>
    <cellStyle name="Normal 2 2 2 2 2 18 5 4" xfId="10460" xr:uid="{00000000-0005-0000-0000-0000DC280000}"/>
    <cellStyle name="Normal 2 2 2 2 2 18 5 5" xfId="10461" xr:uid="{00000000-0005-0000-0000-0000DD280000}"/>
    <cellStyle name="Normal 2 2 2 2 2 18 5 6" xfId="10462" xr:uid="{00000000-0005-0000-0000-0000DE280000}"/>
    <cellStyle name="Normal 2 2 2 2 2 18 5 7" xfId="10463" xr:uid="{00000000-0005-0000-0000-0000DF280000}"/>
    <cellStyle name="Normal 2 2 2 2 2 18 5 8" xfId="10464" xr:uid="{00000000-0005-0000-0000-0000E0280000}"/>
    <cellStyle name="Normal 2 2 2 2 2 18 5 9" xfId="10465" xr:uid="{00000000-0005-0000-0000-0000E1280000}"/>
    <cellStyle name="Normal 2 2 2 2 2 18 6" xfId="10466" xr:uid="{00000000-0005-0000-0000-0000E2280000}"/>
    <cellStyle name="Normal 2 2 2 2 2 18 7" xfId="10467" xr:uid="{00000000-0005-0000-0000-0000E3280000}"/>
    <cellStyle name="Normal 2 2 2 2 2 18 8" xfId="10468" xr:uid="{00000000-0005-0000-0000-0000E4280000}"/>
    <cellStyle name="Normal 2 2 2 2 2 18 9" xfId="10469" xr:uid="{00000000-0005-0000-0000-0000E5280000}"/>
    <cellStyle name="Normal 2 2 2 2 2 19" xfId="10470" xr:uid="{00000000-0005-0000-0000-0000E6280000}"/>
    <cellStyle name="Normal 2 2 2 2 2 19 10" xfId="10471" xr:uid="{00000000-0005-0000-0000-0000E7280000}"/>
    <cellStyle name="Normal 2 2 2 2 2 19 11" xfId="10472" xr:uid="{00000000-0005-0000-0000-0000E8280000}"/>
    <cellStyle name="Normal 2 2 2 2 2 19 12" xfId="10473" xr:uid="{00000000-0005-0000-0000-0000E9280000}"/>
    <cellStyle name="Normal 2 2 2 2 2 19 13" xfId="10474" xr:uid="{00000000-0005-0000-0000-0000EA280000}"/>
    <cellStyle name="Normal 2 2 2 2 2 19 14" xfId="10475" xr:uid="{00000000-0005-0000-0000-0000EB280000}"/>
    <cellStyle name="Normal 2 2 2 2 2 19 2" xfId="10476" xr:uid="{00000000-0005-0000-0000-0000EC280000}"/>
    <cellStyle name="Normal 2 2 2 2 2 19 2 10" xfId="10477" xr:uid="{00000000-0005-0000-0000-0000ED280000}"/>
    <cellStyle name="Normal 2 2 2 2 2 19 2 2" xfId="10478" xr:uid="{00000000-0005-0000-0000-0000EE280000}"/>
    <cellStyle name="Normal 2 2 2 2 2 19 2 3" xfId="10479" xr:uid="{00000000-0005-0000-0000-0000EF280000}"/>
    <cellStyle name="Normal 2 2 2 2 2 19 2 4" xfId="10480" xr:uid="{00000000-0005-0000-0000-0000F0280000}"/>
    <cellStyle name="Normal 2 2 2 2 2 19 2 5" xfId="10481" xr:uid="{00000000-0005-0000-0000-0000F1280000}"/>
    <cellStyle name="Normal 2 2 2 2 2 19 2 6" xfId="10482" xr:uid="{00000000-0005-0000-0000-0000F2280000}"/>
    <cellStyle name="Normal 2 2 2 2 2 19 2 7" xfId="10483" xr:uid="{00000000-0005-0000-0000-0000F3280000}"/>
    <cellStyle name="Normal 2 2 2 2 2 19 2 8" xfId="10484" xr:uid="{00000000-0005-0000-0000-0000F4280000}"/>
    <cellStyle name="Normal 2 2 2 2 2 19 2 9" xfId="10485" xr:uid="{00000000-0005-0000-0000-0000F5280000}"/>
    <cellStyle name="Normal 2 2 2 2 2 19 3" xfId="10486" xr:uid="{00000000-0005-0000-0000-0000F6280000}"/>
    <cellStyle name="Normal 2 2 2 2 2 19 3 10" xfId="10487" xr:uid="{00000000-0005-0000-0000-0000F7280000}"/>
    <cellStyle name="Normal 2 2 2 2 2 19 3 2" xfId="10488" xr:uid="{00000000-0005-0000-0000-0000F8280000}"/>
    <cellStyle name="Normal 2 2 2 2 2 19 3 3" xfId="10489" xr:uid="{00000000-0005-0000-0000-0000F9280000}"/>
    <cellStyle name="Normal 2 2 2 2 2 19 3 4" xfId="10490" xr:uid="{00000000-0005-0000-0000-0000FA280000}"/>
    <cellStyle name="Normal 2 2 2 2 2 19 3 5" xfId="10491" xr:uid="{00000000-0005-0000-0000-0000FB280000}"/>
    <cellStyle name="Normal 2 2 2 2 2 19 3 6" xfId="10492" xr:uid="{00000000-0005-0000-0000-0000FC280000}"/>
    <cellStyle name="Normal 2 2 2 2 2 19 3 7" xfId="10493" xr:uid="{00000000-0005-0000-0000-0000FD280000}"/>
    <cellStyle name="Normal 2 2 2 2 2 19 3 8" xfId="10494" xr:uid="{00000000-0005-0000-0000-0000FE280000}"/>
    <cellStyle name="Normal 2 2 2 2 2 19 3 9" xfId="10495" xr:uid="{00000000-0005-0000-0000-0000FF280000}"/>
    <cellStyle name="Normal 2 2 2 2 2 19 4" xfId="10496" xr:uid="{00000000-0005-0000-0000-000000290000}"/>
    <cellStyle name="Normal 2 2 2 2 2 19 4 10" xfId="10497" xr:uid="{00000000-0005-0000-0000-000001290000}"/>
    <cellStyle name="Normal 2 2 2 2 2 19 4 2" xfId="10498" xr:uid="{00000000-0005-0000-0000-000002290000}"/>
    <cellStyle name="Normal 2 2 2 2 2 19 4 3" xfId="10499" xr:uid="{00000000-0005-0000-0000-000003290000}"/>
    <cellStyle name="Normal 2 2 2 2 2 19 4 4" xfId="10500" xr:uid="{00000000-0005-0000-0000-000004290000}"/>
    <cellStyle name="Normal 2 2 2 2 2 19 4 5" xfId="10501" xr:uid="{00000000-0005-0000-0000-000005290000}"/>
    <cellStyle name="Normal 2 2 2 2 2 19 4 6" xfId="10502" xr:uid="{00000000-0005-0000-0000-000006290000}"/>
    <cellStyle name="Normal 2 2 2 2 2 19 4 7" xfId="10503" xr:uid="{00000000-0005-0000-0000-000007290000}"/>
    <cellStyle name="Normal 2 2 2 2 2 19 4 8" xfId="10504" xr:uid="{00000000-0005-0000-0000-000008290000}"/>
    <cellStyle name="Normal 2 2 2 2 2 19 4 9" xfId="10505" xr:uid="{00000000-0005-0000-0000-000009290000}"/>
    <cellStyle name="Normal 2 2 2 2 2 19 5" xfId="10506" xr:uid="{00000000-0005-0000-0000-00000A290000}"/>
    <cellStyle name="Normal 2 2 2 2 2 19 5 10" xfId="10507" xr:uid="{00000000-0005-0000-0000-00000B290000}"/>
    <cellStyle name="Normal 2 2 2 2 2 19 5 2" xfId="10508" xr:uid="{00000000-0005-0000-0000-00000C290000}"/>
    <cellStyle name="Normal 2 2 2 2 2 19 5 3" xfId="10509" xr:uid="{00000000-0005-0000-0000-00000D290000}"/>
    <cellStyle name="Normal 2 2 2 2 2 19 5 4" xfId="10510" xr:uid="{00000000-0005-0000-0000-00000E290000}"/>
    <cellStyle name="Normal 2 2 2 2 2 19 5 5" xfId="10511" xr:uid="{00000000-0005-0000-0000-00000F290000}"/>
    <cellStyle name="Normal 2 2 2 2 2 19 5 6" xfId="10512" xr:uid="{00000000-0005-0000-0000-000010290000}"/>
    <cellStyle name="Normal 2 2 2 2 2 19 5 7" xfId="10513" xr:uid="{00000000-0005-0000-0000-000011290000}"/>
    <cellStyle name="Normal 2 2 2 2 2 19 5 8" xfId="10514" xr:uid="{00000000-0005-0000-0000-000012290000}"/>
    <cellStyle name="Normal 2 2 2 2 2 19 5 9" xfId="10515" xr:uid="{00000000-0005-0000-0000-000013290000}"/>
    <cellStyle name="Normal 2 2 2 2 2 19 6" xfId="10516" xr:uid="{00000000-0005-0000-0000-000014290000}"/>
    <cellStyle name="Normal 2 2 2 2 2 19 7" xfId="10517" xr:uid="{00000000-0005-0000-0000-000015290000}"/>
    <cellStyle name="Normal 2 2 2 2 2 19 8" xfId="10518" xr:uid="{00000000-0005-0000-0000-000016290000}"/>
    <cellStyle name="Normal 2 2 2 2 2 19 9" xfId="10519" xr:uid="{00000000-0005-0000-0000-000017290000}"/>
    <cellStyle name="Normal 2 2 2 2 2 2" xfId="10520" xr:uid="{00000000-0005-0000-0000-000018290000}"/>
    <cellStyle name="Normal 2 2 2 2 2 2 10" xfId="10521" xr:uid="{00000000-0005-0000-0000-000019290000}"/>
    <cellStyle name="Normal 2 2 2 2 2 2 10 10" xfId="10522" xr:uid="{00000000-0005-0000-0000-00001A290000}"/>
    <cellStyle name="Normal 2 2 2 2 2 2 10 11" xfId="10523" xr:uid="{00000000-0005-0000-0000-00001B290000}"/>
    <cellStyle name="Normal 2 2 2 2 2 2 10 12" xfId="10524" xr:uid="{00000000-0005-0000-0000-00001C290000}"/>
    <cellStyle name="Normal 2 2 2 2 2 2 10 13" xfId="10525" xr:uid="{00000000-0005-0000-0000-00001D290000}"/>
    <cellStyle name="Normal 2 2 2 2 2 2 10 14" xfId="10526" xr:uid="{00000000-0005-0000-0000-00001E290000}"/>
    <cellStyle name="Normal 2 2 2 2 2 2 10 2" xfId="10527" xr:uid="{00000000-0005-0000-0000-00001F290000}"/>
    <cellStyle name="Normal 2 2 2 2 2 2 10 2 10" xfId="10528" xr:uid="{00000000-0005-0000-0000-000020290000}"/>
    <cellStyle name="Normal 2 2 2 2 2 2 10 2 2" xfId="10529" xr:uid="{00000000-0005-0000-0000-000021290000}"/>
    <cellStyle name="Normal 2 2 2 2 2 2 10 2 3" xfId="10530" xr:uid="{00000000-0005-0000-0000-000022290000}"/>
    <cellStyle name="Normal 2 2 2 2 2 2 10 2 4" xfId="10531" xr:uid="{00000000-0005-0000-0000-000023290000}"/>
    <cellStyle name="Normal 2 2 2 2 2 2 10 2 5" xfId="10532" xr:uid="{00000000-0005-0000-0000-000024290000}"/>
    <cellStyle name="Normal 2 2 2 2 2 2 10 2 6" xfId="10533" xr:uid="{00000000-0005-0000-0000-000025290000}"/>
    <cellStyle name="Normal 2 2 2 2 2 2 10 2 7" xfId="10534" xr:uid="{00000000-0005-0000-0000-000026290000}"/>
    <cellStyle name="Normal 2 2 2 2 2 2 10 2 8" xfId="10535" xr:uid="{00000000-0005-0000-0000-000027290000}"/>
    <cellStyle name="Normal 2 2 2 2 2 2 10 2 9" xfId="10536" xr:uid="{00000000-0005-0000-0000-000028290000}"/>
    <cellStyle name="Normal 2 2 2 2 2 2 10 3" xfId="10537" xr:uid="{00000000-0005-0000-0000-000029290000}"/>
    <cellStyle name="Normal 2 2 2 2 2 2 10 3 10" xfId="10538" xr:uid="{00000000-0005-0000-0000-00002A290000}"/>
    <cellStyle name="Normal 2 2 2 2 2 2 10 3 2" xfId="10539" xr:uid="{00000000-0005-0000-0000-00002B290000}"/>
    <cellStyle name="Normal 2 2 2 2 2 2 10 3 3" xfId="10540" xr:uid="{00000000-0005-0000-0000-00002C290000}"/>
    <cellStyle name="Normal 2 2 2 2 2 2 10 3 4" xfId="10541" xr:uid="{00000000-0005-0000-0000-00002D290000}"/>
    <cellStyle name="Normal 2 2 2 2 2 2 10 3 5" xfId="10542" xr:uid="{00000000-0005-0000-0000-00002E290000}"/>
    <cellStyle name="Normal 2 2 2 2 2 2 10 3 6" xfId="10543" xr:uid="{00000000-0005-0000-0000-00002F290000}"/>
    <cellStyle name="Normal 2 2 2 2 2 2 10 3 7" xfId="10544" xr:uid="{00000000-0005-0000-0000-000030290000}"/>
    <cellStyle name="Normal 2 2 2 2 2 2 10 3 8" xfId="10545" xr:uid="{00000000-0005-0000-0000-000031290000}"/>
    <cellStyle name="Normal 2 2 2 2 2 2 10 3 9" xfId="10546" xr:uid="{00000000-0005-0000-0000-000032290000}"/>
    <cellStyle name="Normal 2 2 2 2 2 2 10 4" xfId="10547" xr:uid="{00000000-0005-0000-0000-000033290000}"/>
    <cellStyle name="Normal 2 2 2 2 2 2 10 4 10" xfId="10548" xr:uid="{00000000-0005-0000-0000-000034290000}"/>
    <cellStyle name="Normal 2 2 2 2 2 2 10 4 2" xfId="10549" xr:uid="{00000000-0005-0000-0000-000035290000}"/>
    <cellStyle name="Normal 2 2 2 2 2 2 10 4 3" xfId="10550" xr:uid="{00000000-0005-0000-0000-000036290000}"/>
    <cellStyle name="Normal 2 2 2 2 2 2 10 4 4" xfId="10551" xr:uid="{00000000-0005-0000-0000-000037290000}"/>
    <cellStyle name="Normal 2 2 2 2 2 2 10 4 5" xfId="10552" xr:uid="{00000000-0005-0000-0000-000038290000}"/>
    <cellStyle name="Normal 2 2 2 2 2 2 10 4 6" xfId="10553" xr:uid="{00000000-0005-0000-0000-000039290000}"/>
    <cellStyle name="Normal 2 2 2 2 2 2 10 4 7" xfId="10554" xr:uid="{00000000-0005-0000-0000-00003A290000}"/>
    <cellStyle name="Normal 2 2 2 2 2 2 10 4 8" xfId="10555" xr:uid="{00000000-0005-0000-0000-00003B290000}"/>
    <cellStyle name="Normal 2 2 2 2 2 2 10 4 9" xfId="10556" xr:uid="{00000000-0005-0000-0000-00003C290000}"/>
    <cellStyle name="Normal 2 2 2 2 2 2 10 5" xfId="10557" xr:uid="{00000000-0005-0000-0000-00003D290000}"/>
    <cellStyle name="Normal 2 2 2 2 2 2 10 5 10" xfId="10558" xr:uid="{00000000-0005-0000-0000-00003E290000}"/>
    <cellStyle name="Normal 2 2 2 2 2 2 10 5 2" xfId="10559" xr:uid="{00000000-0005-0000-0000-00003F290000}"/>
    <cellStyle name="Normal 2 2 2 2 2 2 10 5 3" xfId="10560" xr:uid="{00000000-0005-0000-0000-000040290000}"/>
    <cellStyle name="Normal 2 2 2 2 2 2 10 5 4" xfId="10561" xr:uid="{00000000-0005-0000-0000-000041290000}"/>
    <cellStyle name="Normal 2 2 2 2 2 2 10 5 5" xfId="10562" xr:uid="{00000000-0005-0000-0000-000042290000}"/>
    <cellStyle name="Normal 2 2 2 2 2 2 10 5 6" xfId="10563" xr:uid="{00000000-0005-0000-0000-000043290000}"/>
    <cellStyle name="Normal 2 2 2 2 2 2 10 5 7" xfId="10564" xr:uid="{00000000-0005-0000-0000-000044290000}"/>
    <cellStyle name="Normal 2 2 2 2 2 2 10 5 8" xfId="10565" xr:uid="{00000000-0005-0000-0000-000045290000}"/>
    <cellStyle name="Normal 2 2 2 2 2 2 10 5 9" xfId="10566" xr:uid="{00000000-0005-0000-0000-000046290000}"/>
    <cellStyle name="Normal 2 2 2 2 2 2 10 6" xfId="10567" xr:uid="{00000000-0005-0000-0000-000047290000}"/>
    <cellStyle name="Normal 2 2 2 2 2 2 10 7" xfId="10568" xr:uid="{00000000-0005-0000-0000-000048290000}"/>
    <cellStyle name="Normal 2 2 2 2 2 2 10 8" xfId="10569" xr:uid="{00000000-0005-0000-0000-000049290000}"/>
    <cellStyle name="Normal 2 2 2 2 2 2 10 9" xfId="10570" xr:uid="{00000000-0005-0000-0000-00004A290000}"/>
    <cellStyle name="Normal 2 2 2 2 2 2 11" xfId="10571" xr:uid="{00000000-0005-0000-0000-00004B290000}"/>
    <cellStyle name="Normal 2 2 2 2 2 2 11 10" xfId="10572" xr:uid="{00000000-0005-0000-0000-00004C290000}"/>
    <cellStyle name="Normal 2 2 2 2 2 2 11 11" xfId="10573" xr:uid="{00000000-0005-0000-0000-00004D290000}"/>
    <cellStyle name="Normal 2 2 2 2 2 2 11 12" xfId="10574" xr:uid="{00000000-0005-0000-0000-00004E290000}"/>
    <cellStyle name="Normal 2 2 2 2 2 2 11 13" xfId="10575" xr:uid="{00000000-0005-0000-0000-00004F290000}"/>
    <cellStyle name="Normal 2 2 2 2 2 2 11 14" xfId="10576" xr:uid="{00000000-0005-0000-0000-000050290000}"/>
    <cellStyle name="Normal 2 2 2 2 2 2 11 2" xfId="10577" xr:uid="{00000000-0005-0000-0000-000051290000}"/>
    <cellStyle name="Normal 2 2 2 2 2 2 11 2 10" xfId="10578" xr:uid="{00000000-0005-0000-0000-000052290000}"/>
    <cellStyle name="Normal 2 2 2 2 2 2 11 2 2" xfId="10579" xr:uid="{00000000-0005-0000-0000-000053290000}"/>
    <cellStyle name="Normal 2 2 2 2 2 2 11 2 3" xfId="10580" xr:uid="{00000000-0005-0000-0000-000054290000}"/>
    <cellStyle name="Normal 2 2 2 2 2 2 11 2 4" xfId="10581" xr:uid="{00000000-0005-0000-0000-000055290000}"/>
    <cellStyle name="Normal 2 2 2 2 2 2 11 2 5" xfId="10582" xr:uid="{00000000-0005-0000-0000-000056290000}"/>
    <cellStyle name="Normal 2 2 2 2 2 2 11 2 6" xfId="10583" xr:uid="{00000000-0005-0000-0000-000057290000}"/>
    <cellStyle name="Normal 2 2 2 2 2 2 11 2 7" xfId="10584" xr:uid="{00000000-0005-0000-0000-000058290000}"/>
    <cellStyle name="Normal 2 2 2 2 2 2 11 2 8" xfId="10585" xr:uid="{00000000-0005-0000-0000-000059290000}"/>
    <cellStyle name="Normal 2 2 2 2 2 2 11 2 9" xfId="10586" xr:uid="{00000000-0005-0000-0000-00005A290000}"/>
    <cellStyle name="Normal 2 2 2 2 2 2 11 3" xfId="10587" xr:uid="{00000000-0005-0000-0000-00005B290000}"/>
    <cellStyle name="Normal 2 2 2 2 2 2 11 3 10" xfId="10588" xr:uid="{00000000-0005-0000-0000-00005C290000}"/>
    <cellStyle name="Normal 2 2 2 2 2 2 11 3 2" xfId="10589" xr:uid="{00000000-0005-0000-0000-00005D290000}"/>
    <cellStyle name="Normal 2 2 2 2 2 2 11 3 3" xfId="10590" xr:uid="{00000000-0005-0000-0000-00005E290000}"/>
    <cellStyle name="Normal 2 2 2 2 2 2 11 3 4" xfId="10591" xr:uid="{00000000-0005-0000-0000-00005F290000}"/>
    <cellStyle name="Normal 2 2 2 2 2 2 11 3 5" xfId="10592" xr:uid="{00000000-0005-0000-0000-000060290000}"/>
    <cellStyle name="Normal 2 2 2 2 2 2 11 3 6" xfId="10593" xr:uid="{00000000-0005-0000-0000-000061290000}"/>
    <cellStyle name="Normal 2 2 2 2 2 2 11 3 7" xfId="10594" xr:uid="{00000000-0005-0000-0000-000062290000}"/>
    <cellStyle name="Normal 2 2 2 2 2 2 11 3 8" xfId="10595" xr:uid="{00000000-0005-0000-0000-000063290000}"/>
    <cellStyle name="Normal 2 2 2 2 2 2 11 3 9" xfId="10596" xr:uid="{00000000-0005-0000-0000-000064290000}"/>
    <cellStyle name="Normal 2 2 2 2 2 2 11 4" xfId="10597" xr:uid="{00000000-0005-0000-0000-000065290000}"/>
    <cellStyle name="Normal 2 2 2 2 2 2 11 4 10" xfId="10598" xr:uid="{00000000-0005-0000-0000-000066290000}"/>
    <cellStyle name="Normal 2 2 2 2 2 2 11 4 2" xfId="10599" xr:uid="{00000000-0005-0000-0000-000067290000}"/>
    <cellStyle name="Normal 2 2 2 2 2 2 11 4 3" xfId="10600" xr:uid="{00000000-0005-0000-0000-000068290000}"/>
    <cellStyle name="Normal 2 2 2 2 2 2 11 4 4" xfId="10601" xr:uid="{00000000-0005-0000-0000-000069290000}"/>
    <cellStyle name="Normal 2 2 2 2 2 2 11 4 5" xfId="10602" xr:uid="{00000000-0005-0000-0000-00006A290000}"/>
    <cellStyle name="Normal 2 2 2 2 2 2 11 4 6" xfId="10603" xr:uid="{00000000-0005-0000-0000-00006B290000}"/>
    <cellStyle name="Normal 2 2 2 2 2 2 11 4 7" xfId="10604" xr:uid="{00000000-0005-0000-0000-00006C290000}"/>
    <cellStyle name="Normal 2 2 2 2 2 2 11 4 8" xfId="10605" xr:uid="{00000000-0005-0000-0000-00006D290000}"/>
    <cellStyle name="Normal 2 2 2 2 2 2 11 4 9" xfId="10606" xr:uid="{00000000-0005-0000-0000-00006E290000}"/>
    <cellStyle name="Normal 2 2 2 2 2 2 11 5" xfId="10607" xr:uid="{00000000-0005-0000-0000-00006F290000}"/>
    <cellStyle name="Normal 2 2 2 2 2 2 11 5 10" xfId="10608" xr:uid="{00000000-0005-0000-0000-000070290000}"/>
    <cellStyle name="Normal 2 2 2 2 2 2 11 5 2" xfId="10609" xr:uid="{00000000-0005-0000-0000-000071290000}"/>
    <cellStyle name="Normal 2 2 2 2 2 2 11 5 3" xfId="10610" xr:uid="{00000000-0005-0000-0000-000072290000}"/>
    <cellStyle name="Normal 2 2 2 2 2 2 11 5 4" xfId="10611" xr:uid="{00000000-0005-0000-0000-000073290000}"/>
    <cellStyle name="Normal 2 2 2 2 2 2 11 5 5" xfId="10612" xr:uid="{00000000-0005-0000-0000-000074290000}"/>
    <cellStyle name="Normal 2 2 2 2 2 2 11 5 6" xfId="10613" xr:uid="{00000000-0005-0000-0000-000075290000}"/>
    <cellStyle name="Normal 2 2 2 2 2 2 11 5 7" xfId="10614" xr:uid="{00000000-0005-0000-0000-000076290000}"/>
    <cellStyle name="Normal 2 2 2 2 2 2 11 5 8" xfId="10615" xr:uid="{00000000-0005-0000-0000-000077290000}"/>
    <cellStyle name="Normal 2 2 2 2 2 2 11 5 9" xfId="10616" xr:uid="{00000000-0005-0000-0000-000078290000}"/>
    <cellStyle name="Normal 2 2 2 2 2 2 11 6" xfId="10617" xr:uid="{00000000-0005-0000-0000-000079290000}"/>
    <cellStyle name="Normal 2 2 2 2 2 2 11 7" xfId="10618" xr:uid="{00000000-0005-0000-0000-00007A290000}"/>
    <cellStyle name="Normal 2 2 2 2 2 2 11 8" xfId="10619" xr:uid="{00000000-0005-0000-0000-00007B290000}"/>
    <cellStyle name="Normal 2 2 2 2 2 2 11 9" xfId="10620" xr:uid="{00000000-0005-0000-0000-00007C290000}"/>
    <cellStyle name="Normal 2 2 2 2 2 2 12" xfId="10621" xr:uid="{00000000-0005-0000-0000-00007D290000}"/>
    <cellStyle name="Normal 2 2 2 2 2 2 12 10" xfId="10622" xr:uid="{00000000-0005-0000-0000-00007E290000}"/>
    <cellStyle name="Normal 2 2 2 2 2 2 12 11" xfId="10623" xr:uid="{00000000-0005-0000-0000-00007F290000}"/>
    <cellStyle name="Normal 2 2 2 2 2 2 12 12" xfId="10624" xr:uid="{00000000-0005-0000-0000-000080290000}"/>
    <cellStyle name="Normal 2 2 2 2 2 2 12 13" xfId="10625" xr:uid="{00000000-0005-0000-0000-000081290000}"/>
    <cellStyle name="Normal 2 2 2 2 2 2 12 14" xfId="10626" xr:uid="{00000000-0005-0000-0000-000082290000}"/>
    <cellStyle name="Normal 2 2 2 2 2 2 12 2" xfId="10627" xr:uid="{00000000-0005-0000-0000-000083290000}"/>
    <cellStyle name="Normal 2 2 2 2 2 2 12 2 10" xfId="10628" xr:uid="{00000000-0005-0000-0000-000084290000}"/>
    <cellStyle name="Normal 2 2 2 2 2 2 12 2 2" xfId="10629" xr:uid="{00000000-0005-0000-0000-000085290000}"/>
    <cellStyle name="Normal 2 2 2 2 2 2 12 2 3" xfId="10630" xr:uid="{00000000-0005-0000-0000-000086290000}"/>
    <cellStyle name="Normal 2 2 2 2 2 2 12 2 4" xfId="10631" xr:uid="{00000000-0005-0000-0000-000087290000}"/>
    <cellStyle name="Normal 2 2 2 2 2 2 12 2 5" xfId="10632" xr:uid="{00000000-0005-0000-0000-000088290000}"/>
    <cellStyle name="Normal 2 2 2 2 2 2 12 2 6" xfId="10633" xr:uid="{00000000-0005-0000-0000-000089290000}"/>
    <cellStyle name="Normal 2 2 2 2 2 2 12 2 7" xfId="10634" xr:uid="{00000000-0005-0000-0000-00008A290000}"/>
    <cellStyle name="Normal 2 2 2 2 2 2 12 2 8" xfId="10635" xr:uid="{00000000-0005-0000-0000-00008B290000}"/>
    <cellStyle name="Normal 2 2 2 2 2 2 12 2 9" xfId="10636" xr:uid="{00000000-0005-0000-0000-00008C290000}"/>
    <cellStyle name="Normal 2 2 2 2 2 2 12 3" xfId="10637" xr:uid="{00000000-0005-0000-0000-00008D290000}"/>
    <cellStyle name="Normal 2 2 2 2 2 2 12 3 10" xfId="10638" xr:uid="{00000000-0005-0000-0000-00008E290000}"/>
    <cellStyle name="Normal 2 2 2 2 2 2 12 3 2" xfId="10639" xr:uid="{00000000-0005-0000-0000-00008F290000}"/>
    <cellStyle name="Normal 2 2 2 2 2 2 12 3 3" xfId="10640" xr:uid="{00000000-0005-0000-0000-000090290000}"/>
    <cellStyle name="Normal 2 2 2 2 2 2 12 3 4" xfId="10641" xr:uid="{00000000-0005-0000-0000-000091290000}"/>
    <cellStyle name="Normal 2 2 2 2 2 2 12 3 5" xfId="10642" xr:uid="{00000000-0005-0000-0000-000092290000}"/>
    <cellStyle name="Normal 2 2 2 2 2 2 12 3 6" xfId="10643" xr:uid="{00000000-0005-0000-0000-000093290000}"/>
    <cellStyle name="Normal 2 2 2 2 2 2 12 3 7" xfId="10644" xr:uid="{00000000-0005-0000-0000-000094290000}"/>
    <cellStyle name="Normal 2 2 2 2 2 2 12 3 8" xfId="10645" xr:uid="{00000000-0005-0000-0000-000095290000}"/>
    <cellStyle name="Normal 2 2 2 2 2 2 12 3 9" xfId="10646" xr:uid="{00000000-0005-0000-0000-000096290000}"/>
    <cellStyle name="Normal 2 2 2 2 2 2 12 4" xfId="10647" xr:uid="{00000000-0005-0000-0000-000097290000}"/>
    <cellStyle name="Normal 2 2 2 2 2 2 12 4 10" xfId="10648" xr:uid="{00000000-0005-0000-0000-000098290000}"/>
    <cellStyle name="Normal 2 2 2 2 2 2 12 4 2" xfId="10649" xr:uid="{00000000-0005-0000-0000-000099290000}"/>
    <cellStyle name="Normal 2 2 2 2 2 2 12 4 3" xfId="10650" xr:uid="{00000000-0005-0000-0000-00009A290000}"/>
    <cellStyle name="Normal 2 2 2 2 2 2 12 4 4" xfId="10651" xr:uid="{00000000-0005-0000-0000-00009B290000}"/>
    <cellStyle name="Normal 2 2 2 2 2 2 12 4 5" xfId="10652" xr:uid="{00000000-0005-0000-0000-00009C290000}"/>
    <cellStyle name="Normal 2 2 2 2 2 2 12 4 6" xfId="10653" xr:uid="{00000000-0005-0000-0000-00009D290000}"/>
    <cellStyle name="Normal 2 2 2 2 2 2 12 4 7" xfId="10654" xr:uid="{00000000-0005-0000-0000-00009E290000}"/>
    <cellStyle name="Normal 2 2 2 2 2 2 12 4 8" xfId="10655" xr:uid="{00000000-0005-0000-0000-00009F290000}"/>
    <cellStyle name="Normal 2 2 2 2 2 2 12 4 9" xfId="10656" xr:uid="{00000000-0005-0000-0000-0000A0290000}"/>
    <cellStyle name="Normal 2 2 2 2 2 2 12 5" xfId="10657" xr:uid="{00000000-0005-0000-0000-0000A1290000}"/>
    <cellStyle name="Normal 2 2 2 2 2 2 12 5 10" xfId="10658" xr:uid="{00000000-0005-0000-0000-0000A2290000}"/>
    <cellStyle name="Normal 2 2 2 2 2 2 12 5 2" xfId="10659" xr:uid="{00000000-0005-0000-0000-0000A3290000}"/>
    <cellStyle name="Normal 2 2 2 2 2 2 12 5 3" xfId="10660" xr:uid="{00000000-0005-0000-0000-0000A4290000}"/>
    <cellStyle name="Normal 2 2 2 2 2 2 12 5 4" xfId="10661" xr:uid="{00000000-0005-0000-0000-0000A5290000}"/>
    <cellStyle name="Normal 2 2 2 2 2 2 12 5 5" xfId="10662" xr:uid="{00000000-0005-0000-0000-0000A6290000}"/>
    <cellStyle name="Normal 2 2 2 2 2 2 12 5 6" xfId="10663" xr:uid="{00000000-0005-0000-0000-0000A7290000}"/>
    <cellStyle name="Normal 2 2 2 2 2 2 12 5 7" xfId="10664" xr:uid="{00000000-0005-0000-0000-0000A8290000}"/>
    <cellStyle name="Normal 2 2 2 2 2 2 12 5 8" xfId="10665" xr:uid="{00000000-0005-0000-0000-0000A9290000}"/>
    <cellStyle name="Normal 2 2 2 2 2 2 12 5 9" xfId="10666" xr:uid="{00000000-0005-0000-0000-0000AA290000}"/>
    <cellStyle name="Normal 2 2 2 2 2 2 12 6" xfId="10667" xr:uid="{00000000-0005-0000-0000-0000AB290000}"/>
    <cellStyle name="Normal 2 2 2 2 2 2 12 7" xfId="10668" xr:uid="{00000000-0005-0000-0000-0000AC290000}"/>
    <cellStyle name="Normal 2 2 2 2 2 2 12 8" xfId="10669" xr:uid="{00000000-0005-0000-0000-0000AD290000}"/>
    <cellStyle name="Normal 2 2 2 2 2 2 12 9" xfId="10670" xr:uid="{00000000-0005-0000-0000-0000AE290000}"/>
    <cellStyle name="Normal 2 2 2 2 2 2 13" xfId="10671" xr:uid="{00000000-0005-0000-0000-0000AF290000}"/>
    <cellStyle name="Normal 2 2 2 2 2 2 13 10" xfId="10672" xr:uid="{00000000-0005-0000-0000-0000B0290000}"/>
    <cellStyle name="Normal 2 2 2 2 2 2 13 11" xfId="10673" xr:uid="{00000000-0005-0000-0000-0000B1290000}"/>
    <cellStyle name="Normal 2 2 2 2 2 2 13 12" xfId="10674" xr:uid="{00000000-0005-0000-0000-0000B2290000}"/>
    <cellStyle name="Normal 2 2 2 2 2 2 13 13" xfId="10675" xr:uid="{00000000-0005-0000-0000-0000B3290000}"/>
    <cellStyle name="Normal 2 2 2 2 2 2 13 14" xfId="10676" xr:uid="{00000000-0005-0000-0000-0000B4290000}"/>
    <cellStyle name="Normal 2 2 2 2 2 2 13 2" xfId="10677" xr:uid="{00000000-0005-0000-0000-0000B5290000}"/>
    <cellStyle name="Normal 2 2 2 2 2 2 13 2 10" xfId="10678" xr:uid="{00000000-0005-0000-0000-0000B6290000}"/>
    <cellStyle name="Normal 2 2 2 2 2 2 13 2 2" xfId="10679" xr:uid="{00000000-0005-0000-0000-0000B7290000}"/>
    <cellStyle name="Normal 2 2 2 2 2 2 13 2 3" xfId="10680" xr:uid="{00000000-0005-0000-0000-0000B8290000}"/>
    <cellStyle name="Normal 2 2 2 2 2 2 13 2 4" xfId="10681" xr:uid="{00000000-0005-0000-0000-0000B9290000}"/>
    <cellStyle name="Normal 2 2 2 2 2 2 13 2 5" xfId="10682" xr:uid="{00000000-0005-0000-0000-0000BA290000}"/>
    <cellStyle name="Normal 2 2 2 2 2 2 13 2 6" xfId="10683" xr:uid="{00000000-0005-0000-0000-0000BB290000}"/>
    <cellStyle name="Normal 2 2 2 2 2 2 13 2 7" xfId="10684" xr:uid="{00000000-0005-0000-0000-0000BC290000}"/>
    <cellStyle name="Normal 2 2 2 2 2 2 13 2 8" xfId="10685" xr:uid="{00000000-0005-0000-0000-0000BD290000}"/>
    <cellStyle name="Normal 2 2 2 2 2 2 13 2 9" xfId="10686" xr:uid="{00000000-0005-0000-0000-0000BE290000}"/>
    <cellStyle name="Normal 2 2 2 2 2 2 13 3" xfId="10687" xr:uid="{00000000-0005-0000-0000-0000BF290000}"/>
    <cellStyle name="Normal 2 2 2 2 2 2 13 3 10" xfId="10688" xr:uid="{00000000-0005-0000-0000-0000C0290000}"/>
    <cellStyle name="Normal 2 2 2 2 2 2 13 3 2" xfId="10689" xr:uid="{00000000-0005-0000-0000-0000C1290000}"/>
    <cellStyle name="Normal 2 2 2 2 2 2 13 3 3" xfId="10690" xr:uid="{00000000-0005-0000-0000-0000C2290000}"/>
    <cellStyle name="Normal 2 2 2 2 2 2 13 3 4" xfId="10691" xr:uid="{00000000-0005-0000-0000-0000C3290000}"/>
    <cellStyle name="Normal 2 2 2 2 2 2 13 3 5" xfId="10692" xr:uid="{00000000-0005-0000-0000-0000C4290000}"/>
    <cellStyle name="Normal 2 2 2 2 2 2 13 3 6" xfId="10693" xr:uid="{00000000-0005-0000-0000-0000C5290000}"/>
    <cellStyle name="Normal 2 2 2 2 2 2 13 3 7" xfId="10694" xr:uid="{00000000-0005-0000-0000-0000C6290000}"/>
    <cellStyle name="Normal 2 2 2 2 2 2 13 3 8" xfId="10695" xr:uid="{00000000-0005-0000-0000-0000C7290000}"/>
    <cellStyle name="Normal 2 2 2 2 2 2 13 3 9" xfId="10696" xr:uid="{00000000-0005-0000-0000-0000C8290000}"/>
    <cellStyle name="Normal 2 2 2 2 2 2 13 4" xfId="10697" xr:uid="{00000000-0005-0000-0000-0000C9290000}"/>
    <cellStyle name="Normal 2 2 2 2 2 2 13 4 10" xfId="10698" xr:uid="{00000000-0005-0000-0000-0000CA290000}"/>
    <cellStyle name="Normal 2 2 2 2 2 2 13 4 2" xfId="10699" xr:uid="{00000000-0005-0000-0000-0000CB290000}"/>
    <cellStyle name="Normal 2 2 2 2 2 2 13 4 3" xfId="10700" xr:uid="{00000000-0005-0000-0000-0000CC290000}"/>
    <cellStyle name="Normal 2 2 2 2 2 2 13 4 4" xfId="10701" xr:uid="{00000000-0005-0000-0000-0000CD290000}"/>
    <cellStyle name="Normal 2 2 2 2 2 2 13 4 5" xfId="10702" xr:uid="{00000000-0005-0000-0000-0000CE290000}"/>
    <cellStyle name="Normal 2 2 2 2 2 2 13 4 6" xfId="10703" xr:uid="{00000000-0005-0000-0000-0000CF290000}"/>
    <cellStyle name="Normal 2 2 2 2 2 2 13 4 7" xfId="10704" xr:uid="{00000000-0005-0000-0000-0000D0290000}"/>
    <cellStyle name="Normal 2 2 2 2 2 2 13 4 8" xfId="10705" xr:uid="{00000000-0005-0000-0000-0000D1290000}"/>
    <cellStyle name="Normal 2 2 2 2 2 2 13 4 9" xfId="10706" xr:uid="{00000000-0005-0000-0000-0000D2290000}"/>
    <cellStyle name="Normal 2 2 2 2 2 2 13 5" xfId="10707" xr:uid="{00000000-0005-0000-0000-0000D3290000}"/>
    <cellStyle name="Normal 2 2 2 2 2 2 13 5 10" xfId="10708" xr:uid="{00000000-0005-0000-0000-0000D4290000}"/>
    <cellStyle name="Normal 2 2 2 2 2 2 13 5 2" xfId="10709" xr:uid="{00000000-0005-0000-0000-0000D5290000}"/>
    <cellStyle name="Normal 2 2 2 2 2 2 13 5 3" xfId="10710" xr:uid="{00000000-0005-0000-0000-0000D6290000}"/>
    <cellStyle name="Normal 2 2 2 2 2 2 13 5 4" xfId="10711" xr:uid="{00000000-0005-0000-0000-0000D7290000}"/>
    <cellStyle name="Normal 2 2 2 2 2 2 13 5 5" xfId="10712" xr:uid="{00000000-0005-0000-0000-0000D8290000}"/>
    <cellStyle name="Normal 2 2 2 2 2 2 13 5 6" xfId="10713" xr:uid="{00000000-0005-0000-0000-0000D9290000}"/>
    <cellStyle name="Normal 2 2 2 2 2 2 13 5 7" xfId="10714" xr:uid="{00000000-0005-0000-0000-0000DA290000}"/>
    <cellStyle name="Normal 2 2 2 2 2 2 13 5 8" xfId="10715" xr:uid="{00000000-0005-0000-0000-0000DB290000}"/>
    <cellStyle name="Normal 2 2 2 2 2 2 13 5 9" xfId="10716" xr:uid="{00000000-0005-0000-0000-0000DC290000}"/>
    <cellStyle name="Normal 2 2 2 2 2 2 13 6" xfId="10717" xr:uid="{00000000-0005-0000-0000-0000DD290000}"/>
    <cellStyle name="Normal 2 2 2 2 2 2 13 7" xfId="10718" xr:uid="{00000000-0005-0000-0000-0000DE290000}"/>
    <cellStyle name="Normal 2 2 2 2 2 2 13 8" xfId="10719" xr:uid="{00000000-0005-0000-0000-0000DF290000}"/>
    <cellStyle name="Normal 2 2 2 2 2 2 13 9" xfId="10720" xr:uid="{00000000-0005-0000-0000-0000E0290000}"/>
    <cellStyle name="Normal 2 2 2 2 2 2 14" xfId="10721" xr:uid="{00000000-0005-0000-0000-0000E1290000}"/>
    <cellStyle name="Normal 2 2 2 2 2 2 14 10" xfId="10722" xr:uid="{00000000-0005-0000-0000-0000E2290000}"/>
    <cellStyle name="Normal 2 2 2 2 2 2 14 11" xfId="10723" xr:uid="{00000000-0005-0000-0000-0000E3290000}"/>
    <cellStyle name="Normal 2 2 2 2 2 2 14 12" xfId="10724" xr:uid="{00000000-0005-0000-0000-0000E4290000}"/>
    <cellStyle name="Normal 2 2 2 2 2 2 14 13" xfId="10725" xr:uid="{00000000-0005-0000-0000-0000E5290000}"/>
    <cellStyle name="Normal 2 2 2 2 2 2 14 14" xfId="10726" xr:uid="{00000000-0005-0000-0000-0000E6290000}"/>
    <cellStyle name="Normal 2 2 2 2 2 2 14 2" xfId="10727" xr:uid="{00000000-0005-0000-0000-0000E7290000}"/>
    <cellStyle name="Normal 2 2 2 2 2 2 14 2 10" xfId="10728" xr:uid="{00000000-0005-0000-0000-0000E8290000}"/>
    <cellStyle name="Normal 2 2 2 2 2 2 14 2 2" xfId="10729" xr:uid="{00000000-0005-0000-0000-0000E9290000}"/>
    <cellStyle name="Normal 2 2 2 2 2 2 14 2 3" xfId="10730" xr:uid="{00000000-0005-0000-0000-0000EA290000}"/>
    <cellStyle name="Normal 2 2 2 2 2 2 14 2 4" xfId="10731" xr:uid="{00000000-0005-0000-0000-0000EB290000}"/>
    <cellStyle name="Normal 2 2 2 2 2 2 14 2 5" xfId="10732" xr:uid="{00000000-0005-0000-0000-0000EC290000}"/>
    <cellStyle name="Normal 2 2 2 2 2 2 14 2 6" xfId="10733" xr:uid="{00000000-0005-0000-0000-0000ED290000}"/>
    <cellStyle name="Normal 2 2 2 2 2 2 14 2 7" xfId="10734" xr:uid="{00000000-0005-0000-0000-0000EE290000}"/>
    <cellStyle name="Normal 2 2 2 2 2 2 14 2 8" xfId="10735" xr:uid="{00000000-0005-0000-0000-0000EF290000}"/>
    <cellStyle name="Normal 2 2 2 2 2 2 14 2 9" xfId="10736" xr:uid="{00000000-0005-0000-0000-0000F0290000}"/>
    <cellStyle name="Normal 2 2 2 2 2 2 14 3" xfId="10737" xr:uid="{00000000-0005-0000-0000-0000F1290000}"/>
    <cellStyle name="Normal 2 2 2 2 2 2 14 3 10" xfId="10738" xr:uid="{00000000-0005-0000-0000-0000F2290000}"/>
    <cellStyle name="Normal 2 2 2 2 2 2 14 3 2" xfId="10739" xr:uid="{00000000-0005-0000-0000-0000F3290000}"/>
    <cellStyle name="Normal 2 2 2 2 2 2 14 3 3" xfId="10740" xr:uid="{00000000-0005-0000-0000-0000F4290000}"/>
    <cellStyle name="Normal 2 2 2 2 2 2 14 3 4" xfId="10741" xr:uid="{00000000-0005-0000-0000-0000F5290000}"/>
    <cellStyle name="Normal 2 2 2 2 2 2 14 3 5" xfId="10742" xr:uid="{00000000-0005-0000-0000-0000F6290000}"/>
    <cellStyle name="Normal 2 2 2 2 2 2 14 3 6" xfId="10743" xr:uid="{00000000-0005-0000-0000-0000F7290000}"/>
    <cellStyle name="Normal 2 2 2 2 2 2 14 3 7" xfId="10744" xr:uid="{00000000-0005-0000-0000-0000F8290000}"/>
    <cellStyle name="Normal 2 2 2 2 2 2 14 3 8" xfId="10745" xr:uid="{00000000-0005-0000-0000-0000F9290000}"/>
    <cellStyle name="Normal 2 2 2 2 2 2 14 3 9" xfId="10746" xr:uid="{00000000-0005-0000-0000-0000FA290000}"/>
    <cellStyle name="Normal 2 2 2 2 2 2 14 4" xfId="10747" xr:uid="{00000000-0005-0000-0000-0000FB290000}"/>
    <cellStyle name="Normal 2 2 2 2 2 2 14 4 10" xfId="10748" xr:uid="{00000000-0005-0000-0000-0000FC290000}"/>
    <cellStyle name="Normal 2 2 2 2 2 2 14 4 2" xfId="10749" xr:uid="{00000000-0005-0000-0000-0000FD290000}"/>
    <cellStyle name="Normal 2 2 2 2 2 2 14 4 3" xfId="10750" xr:uid="{00000000-0005-0000-0000-0000FE290000}"/>
    <cellStyle name="Normal 2 2 2 2 2 2 14 4 4" xfId="10751" xr:uid="{00000000-0005-0000-0000-0000FF290000}"/>
    <cellStyle name="Normal 2 2 2 2 2 2 14 4 5" xfId="10752" xr:uid="{00000000-0005-0000-0000-0000002A0000}"/>
    <cellStyle name="Normal 2 2 2 2 2 2 14 4 6" xfId="10753" xr:uid="{00000000-0005-0000-0000-0000012A0000}"/>
    <cellStyle name="Normal 2 2 2 2 2 2 14 4 7" xfId="10754" xr:uid="{00000000-0005-0000-0000-0000022A0000}"/>
    <cellStyle name="Normal 2 2 2 2 2 2 14 4 8" xfId="10755" xr:uid="{00000000-0005-0000-0000-0000032A0000}"/>
    <cellStyle name="Normal 2 2 2 2 2 2 14 4 9" xfId="10756" xr:uid="{00000000-0005-0000-0000-0000042A0000}"/>
    <cellStyle name="Normal 2 2 2 2 2 2 14 5" xfId="10757" xr:uid="{00000000-0005-0000-0000-0000052A0000}"/>
    <cellStyle name="Normal 2 2 2 2 2 2 14 5 10" xfId="10758" xr:uid="{00000000-0005-0000-0000-0000062A0000}"/>
    <cellStyle name="Normal 2 2 2 2 2 2 14 5 2" xfId="10759" xr:uid="{00000000-0005-0000-0000-0000072A0000}"/>
    <cellStyle name="Normal 2 2 2 2 2 2 14 5 3" xfId="10760" xr:uid="{00000000-0005-0000-0000-0000082A0000}"/>
    <cellStyle name="Normal 2 2 2 2 2 2 14 5 4" xfId="10761" xr:uid="{00000000-0005-0000-0000-0000092A0000}"/>
    <cellStyle name="Normal 2 2 2 2 2 2 14 5 5" xfId="10762" xr:uid="{00000000-0005-0000-0000-00000A2A0000}"/>
    <cellStyle name="Normal 2 2 2 2 2 2 14 5 6" xfId="10763" xr:uid="{00000000-0005-0000-0000-00000B2A0000}"/>
    <cellStyle name="Normal 2 2 2 2 2 2 14 5 7" xfId="10764" xr:uid="{00000000-0005-0000-0000-00000C2A0000}"/>
    <cellStyle name="Normal 2 2 2 2 2 2 14 5 8" xfId="10765" xr:uid="{00000000-0005-0000-0000-00000D2A0000}"/>
    <cellStyle name="Normal 2 2 2 2 2 2 14 5 9" xfId="10766" xr:uid="{00000000-0005-0000-0000-00000E2A0000}"/>
    <cellStyle name="Normal 2 2 2 2 2 2 14 6" xfId="10767" xr:uid="{00000000-0005-0000-0000-00000F2A0000}"/>
    <cellStyle name="Normal 2 2 2 2 2 2 14 7" xfId="10768" xr:uid="{00000000-0005-0000-0000-0000102A0000}"/>
    <cellStyle name="Normal 2 2 2 2 2 2 14 8" xfId="10769" xr:uid="{00000000-0005-0000-0000-0000112A0000}"/>
    <cellStyle name="Normal 2 2 2 2 2 2 14 9" xfId="10770" xr:uid="{00000000-0005-0000-0000-0000122A0000}"/>
    <cellStyle name="Normal 2 2 2 2 2 2 15" xfId="10771" xr:uid="{00000000-0005-0000-0000-0000132A0000}"/>
    <cellStyle name="Normal 2 2 2 2 2 2 15 10" xfId="10772" xr:uid="{00000000-0005-0000-0000-0000142A0000}"/>
    <cellStyle name="Normal 2 2 2 2 2 2 15 11" xfId="10773" xr:uid="{00000000-0005-0000-0000-0000152A0000}"/>
    <cellStyle name="Normal 2 2 2 2 2 2 15 12" xfId="10774" xr:uid="{00000000-0005-0000-0000-0000162A0000}"/>
    <cellStyle name="Normal 2 2 2 2 2 2 15 13" xfId="10775" xr:uid="{00000000-0005-0000-0000-0000172A0000}"/>
    <cellStyle name="Normal 2 2 2 2 2 2 15 14" xfId="10776" xr:uid="{00000000-0005-0000-0000-0000182A0000}"/>
    <cellStyle name="Normal 2 2 2 2 2 2 15 2" xfId="10777" xr:uid="{00000000-0005-0000-0000-0000192A0000}"/>
    <cellStyle name="Normal 2 2 2 2 2 2 15 2 10" xfId="10778" xr:uid="{00000000-0005-0000-0000-00001A2A0000}"/>
    <cellStyle name="Normal 2 2 2 2 2 2 15 2 2" xfId="10779" xr:uid="{00000000-0005-0000-0000-00001B2A0000}"/>
    <cellStyle name="Normal 2 2 2 2 2 2 15 2 3" xfId="10780" xr:uid="{00000000-0005-0000-0000-00001C2A0000}"/>
    <cellStyle name="Normal 2 2 2 2 2 2 15 2 4" xfId="10781" xr:uid="{00000000-0005-0000-0000-00001D2A0000}"/>
    <cellStyle name="Normal 2 2 2 2 2 2 15 2 5" xfId="10782" xr:uid="{00000000-0005-0000-0000-00001E2A0000}"/>
    <cellStyle name="Normal 2 2 2 2 2 2 15 2 6" xfId="10783" xr:uid="{00000000-0005-0000-0000-00001F2A0000}"/>
    <cellStyle name="Normal 2 2 2 2 2 2 15 2 7" xfId="10784" xr:uid="{00000000-0005-0000-0000-0000202A0000}"/>
    <cellStyle name="Normal 2 2 2 2 2 2 15 2 8" xfId="10785" xr:uid="{00000000-0005-0000-0000-0000212A0000}"/>
    <cellStyle name="Normal 2 2 2 2 2 2 15 2 9" xfId="10786" xr:uid="{00000000-0005-0000-0000-0000222A0000}"/>
    <cellStyle name="Normal 2 2 2 2 2 2 15 3" xfId="10787" xr:uid="{00000000-0005-0000-0000-0000232A0000}"/>
    <cellStyle name="Normal 2 2 2 2 2 2 15 3 10" xfId="10788" xr:uid="{00000000-0005-0000-0000-0000242A0000}"/>
    <cellStyle name="Normal 2 2 2 2 2 2 15 3 2" xfId="10789" xr:uid="{00000000-0005-0000-0000-0000252A0000}"/>
    <cellStyle name="Normal 2 2 2 2 2 2 15 3 3" xfId="10790" xr:uid="{00000000-0005-0000-0000-0000262A0000}"/>
    <cellStyle name="Normal 2 2 2 2 2 2 15 3 4" xfId="10791" xr:uid="{00000000-0005-0000-0000-0000272A0000}"/>
    <cellStyle name="Normal 2 2 2 2 2 2 15 3 5" xfId="10792" xr:uid="{00000000-0005-0000-0000-0000282A0000}"/>
    <cellStyle name="Normal 2 2 2 2 2 2 15 3 6" xfId="10793" xr:uid="{00000000-0005-0000-0000-0000292A0000}"/>
    <cellStyle name="Normal 2 2 2 2 2 2 15 3 7" xfId="10794" xr:uid="{00000000-0005-0000-0000-00002A2A0000}"/>
    <cellStyle name="Normal 2 2 2 2 2 2 15 3 8" xfId="10795" xr:uid="{00000000-0005-0000-0000-00002B2A0000}"/>
    <cellStyle name="Normal 2 2 2 2 2 2 15 3 9" xfId="10796" xr:uid="{00000000-0005-0000-0000-00002C2A0000}"/>
    <cellStyle name="Normal 2 2 2 2 2 2 15 4" xfId="10797" xr:uid="{00000000-0005-0000-0000-00002D2A0000}"/>
    <cellStyle name="Normal 2 2 2 2 2 2 15 4 10" xfId="10798" xr:uid="{00000000-0005-0000-0000-00002E2A0000}"/>
    <cellStyle name="Normal 2 2 2 2 2 2 15 4 2" xfId="10799" xr:uid="{00000000-0005-0000-0000-00002F2A0000}"/>
    <cellStyle name="Normal 2 2 2 2 2 2 15 4 3" xfId="10800" xr:uid="{00000000-0005-0000-0000-0000302A0000}"/>
    <cellStyle name="Normal 2 2 2 2 2 2 15 4 4" xfId="10801" xr:uid="{00000000-0005-0000-0000-0000312A0000}"/>
    <cellStyle name="Normal 2 2 2 2 2 2 15 4 5" xfId="10802" xr:uid="{00000000-0005-0000-0000-0000322A0000}"/>
    <cellStyle name="Normal 2 2 2 2 2 2 15 4 6" xfId="10803" xr:uid="{00000000-0005-0000-0000-0000332A0000}"/>
    <cellStyle name="Normal 2 2 2 2 2 2 15 4 7" xfId="10804" xr:uid="{00000000-0005-0000-0000-0000342A0000}"/>
    <cellStyle name="Normal 2 2 2 2 2 2 15 4 8" xfId="10805" xr:uid="{00000000-0005-0000-0000-0000352A0000}"/>
    <cellStyle name="Normal 2 2 2 2 2 2 15 4 9" xfId="10806" xr:uid="{00000000-0005-0000-0000-0000362A0000}"/>
    <cellStyle name="Normal 2 2 2 2 2 2 15 5" xfId="10807" xr:uid="{00000000-0005-0000-0000-0000372A0000}"/>
    <cellStyle name="Normal 2 2 2 2 2 2 15 5 10" xfId="10808" xr:uid="{00000000-0005-0000-0000-0000382A0000}"/>
    <cellStyle name="Normal 2 2 2 2 2 2 15 5 2" xfId="10809" xr:uid="{00000000-0005-0000-0000-0000392A0000}"/>
    <cellStyle name="Normal 2 2 2 2 2 2 15 5 3" xfId="10810" xr:uid="{00000000-0005-0000-0000-00003A2A0000}"/>
    <cellStyle name="Normal 2 2 2 2 2 2 15 5 4" xfId="10811" xr:uid="{00000000-0005-0000-0000-00003B2A0000}"/>
    <cellStyle name="Normal 2 2 2 2 2 2 15 5 5" xfId="10812" xr:uid="{00000000-0005-0000-0000-00003C2A0000}"/>
    <cellStyle name="Normal 2 2 2 2 2 2 15 5 6" xfId="10813" xr:uid="{00000000-0005-0000-0000-00003D2A0000}"/>
    <cellStyle name="Normal 2 2 2 2 2 2 15 5 7" xfId="10814" xr:uid="{00000000-0005-0000-0000-00003E2A0000}"/>
    <cellStyle name="Normal 2 2 2 2 2 2 15 5 8" xfId="10815" xr:uid="{00000000-0005-0000-0000-00003F2A0000}"/>
    <cellStyle name="Normal 2 2 2 2 2 2 15 5 9" xfId="10816" xr:uid="{00000000-0005-0000-0000-0000402A0000}"/>
    <cellStyle name="Normal 2 2 2 2 2 2 15 6" xfId="10817" xr:uid="{00000000-0005-0000-0000-0000412A0000}"/>
    <cellStyle name="Normal 2 2 2 2 2 2 15 7" xfId="10818" xr:uid="{00000000-0005-0000-0000-0000422A0000}"/>
    <cellStyle name="Normal 2 2 2 2 2 2 15 8" xfId="10819" xr:uid="{00000000-0005-0000-0000-0000432A0000}"/>
    <cellStyle name="Normal 2 2 2 2 2 2 15 9" xfId="10820" xr:uid="{00000000-0005-0000-0000-0000442A0000}"/>
    <cellStyle name="Normal 2 2 2 2 2 2 16" xfId="10821" xr:uid="{00000000-0005-0000-0000-0000452A0000}"/>
    <cellStyle name="Normal 2 2 2 2 2 2 16 10" xfId="10822" xr:uid="{00000000-0005-0000-0000-0000462A0000}"/>
    <cellStyle name="Normal 2 2 2 2 2 2 16 11" xfId="10823" xr:uid="{00000000-0005-0000-0000-0000472A0000}"/>
    <cellStyle name="Normal 2 2 2 2 2 2 16 12" xfId="10824" xr:uid="{00000000-0005-0000-0000-0000482A0000}"/>
    <cellStyle name="Normal 2 2 2 2 2 2 16 13" xfId="10825" xr:uid="{00000000-0005-0000-0000-0000492A0000}"/>
    <cellStyle name="Normal 2 2 2 2 2 2 16 14" xfId="10826" xr:uid="{00000000-0005-0000-0000-00004A2A0000}"/>
    <cellStyle name="Normal 2 2 2 2 2 2 16 2" xfId="10827" xr:uid="{00000000-0005-0000-0000-00004B2A0000}"/>
    <cellStyle name="Normal 2 2 2 2 2 2 16 2 10" xfId="10828" xr:uid="{00000000-0005-0000-0000-00004C2A0000}"/>
    <cellStyle name="Normal 2 2 2 2 2 2 16 2 2" xfId="10829" xr:uid="{00000000-0005-0000-0000-00004D2A0000}"/>
    <cellStyle name="Normal 2 2 2 2 2 2 16 2 3" xfId="10830" xr:uid="{00000000-0005-0000-0000-00004E2A0000}"/>
    <cellStyle name="Normal 2 2 2 2 2 2 16 2 4" xfId="10831" xr:uid="{00000000-0005-0000-0000-00004F2A0000}"/>
    <cellStyle name="Normal 2 2 2 2 2 2 16 2 5" xfId="10832" xr:uid="{00000000-0005-0000-0000-0000502A0000}"/>
    <cellStyle name="Normal 2 2 2 2 2 2 16 2 6" xfId="10833" xr:uid="{00000000-0005-0000-0000-0000512A0000}"/>
    <cellStyle name="Normal 2 2 2 2 2 2 16 2 7" xfId="10834" xr:uid="{00000000-0005-0000-0000-0000522A0000}"/>
    <cellStyle name="Normal 2 2 2 2 2 2 16 2 8" xfId="10835" xr:uid="{00000000-0005-0000-0000-0000532A0000}"/>
    <cellStyle name="Normal 2 2 2 2 2 2 16 2 9" xfId="10836" xr:uid="{00000000-0005-0000-0000-0000542A0000}"/>
    <cellStyle name="Normal 2 2 2 2 2 2 16 3" xfId="10837" xr:uid="{00000000-0005-0000-0000-0000552A0000}"/>
    <cellStyle name="Normal 2 2 2 2 2 2 16 3 10" xfId="10838" xr:uid="{00000000-0005-0000-0000-0000562A0000}"/>
    <cellStyle name="Normal 2 2 2 2 2 2 16 3 2" xfId="10839" xr:uid="{00000000-0005-0000-0000-0000572A0000}"/>
    <cellStyle name="Normal 2 2 2 2 2 2 16 3 3" xfId="10840" xr:uid="{00000000-0005-0000-0000-0000582A0000}"/>
    <cellStyle name="Normal 2 2 2 2 2 2 16 3 4" xfId="10841" xr:uid="{00000000-0005-0000-0000-0000592A0000}"/>
    <cellStyle name="Normal 2 2 2 2 2 2 16 3 5" xfId="10842" xr:uid="{00000000-0005-0000-0000-00005A2A0000}"/>
    <cellStyle name="Normal 2 2 2 2 2 2 16 3 6" xfId="10843" xr:uid="{00000000-0005-0000-0000-00005B2A0000}"/>
    <cellStyle name="Normal 2 2 2 2 2 2 16 3 7" xfId="10844" xr:uid="{00000000-0005-0000-0000-00005C2A0000}"/>
    <cellStyle name="Normal 2 2 2 2 2 2 16 3 8" xfId="10845" xr:uid="{00000000-0005-0000-0000-00005D2A0000}"/>
    <cellStyle name="Normal 2 2 2 2 2 2 16 3 9" xfId="10846" xr:uid="{00000000-0005-0000-0000-00005E2A0000}"/>
    <cellStyle name="Normal 2 2 2 2 2 2 16 4" xfId="10847" xr:uid="{00000000-0005-0000-0000-00005F2A0000}"/>
    <cellStyle name="Normal 2 2 2 2 2 2 16 4 10" xfId="10848" xr:uid="{00000000-0005-0000-0000-0000602A0000}"/>
    <cellStyle name="Normal 2 2 2 2 2 2 16 4 2" xfId="10849" xr:uid="{00000000-0005-0000-0000-0000612A0000}"/>
    <cellStyle name="Normal 2 2 2 2 2 2 16 4 3" xfId="10850" xr:uid="{00000000-0005-0000-0000-0000622A0000}"/>
    <cellStyle name="Normal 2 2 2 2 2 2 16 4 4" xfId="10851" xr:uid="{00000000-0005-0000-0000-0000632A0000}"/>
    <cellStyle name="Normal 2 2 2 2 2 2 16 4 5" xfId="10852" xr:uid="{00000000-0005-0000-0000-0000642A0000}"/>
    <cellStyle name="Normal 2 2 2 2 2 2 16 4 6" xfId="10853" xr:uid="{00000000-0005-0000-0000-0000652A0000}"/>
    <cellStyle name="Normal 2 2 2 2 2 2 16 4 7" xfId="10854" xr:uid="{00000000-0005-0000-0000-0000662A0000}"/>
    <cellStyle name="Normal 2 2 2 2 2 2 16 4 8" xfId="10855" xr:uid="{00000000-0005-0000-0000-0000672A0000}"/>
    <cellStyle name="Normal 2 2 2 2 2 2 16 4 9" xfId="10856" xr:uid="{00000000-0005-0000-0000-0000682A0000}"/>
    <cellStyle name="Normal 2 2 2 2 2 2 16 5" xfId="10857" xr:uid="{00000000-0005-0000-0000-0000692A0000}"/>
    <cellStyle name="Normal 2 2 2 2 2 2 16 5 10" xfId="10858" xr:uid="{00000000-0005-0000-0000-00006A2A0000}"/>
    <cellStyle name="Normal 2 2 2 2 2 2 16 5 2" xfId="10859" xr:uid="{00000000-0005-0000-0000-00006B2A0000}"/>
    <cellStyle name="Normal 2 2 2 2 2 2 16 5 3" xfId="10860" xr:uid="{00000000-0005-0000-0000-00006C2A0000}"/>
    <cellStyle name="Normal 2 2 2 2 2 2 16 5 4" xfId="10861" xr:uid="{00000000-0005-0000-0000-00006D2A0000}"/>
    <cellStyle name="Normal 2 2 2 2 2 2 16 5 5" xfId="10862" xr:uid="{00000000-0005-0000-0000-00006E2A0000}"/>
    <cellStyle name="Normal 2 2 2 2 2 2 16 5 6" xfId="10863" xr:uid="{00000000-0005-0000-0000-00006F2A0000}"/>
    <cellStyle name="Normal 2 2 2 2 2 2 16 5 7" xfId="10864" xr:uid="{00000000-0005-0000-0000-0000702A0000}"/>
    <cellStyle name="Normal 2 2 2 2 2 2 16 5 8" xfId="10865" xr:uid="{00000000-0005-0000-0000-0000712A0000}"/>
    <cellStyle name="Normal 2 2 2 2 2 2 16 5 9" xfId="10866" xr:uid="{00000000-0005-0000-0000-0000722A0000}"/>
    <cellStyle name="Normal 2 2 2 2 2 2 16 6" xfId="10867" xr:uid="{00000000-0005-0000-0000-0000732A0000}"/>
    <cellStyle name="Normal 2 2 2 2 2 2 16 7" xfId="10868" xr:uid="{00000000-0005-0000-0000-0000742A0000}"/>
    <cellStyle name="Normal 2 2 2 2 2 2 16 8" xfId="10869" xr:uid="{00000000-0005-0000-0000-0000752A0000}"/>
    <cellStyle name="Normal 2 2 2 2 2 2 16 9" xfId="10870" xr:uid="{00000000-0005-0000-0000-0000762A0000}"/>
    <cellStyle name="Normal 2 2 2 2 2 2 17" xfId="10871" xr:uid="{00000000-0005-0000-0000-0000772A0000}"/>
    <cellStyle name="Normal 2 2 2 2 2 2 17 10" xfId="10872" xr:uid="{00000000-0005-0000-0000-0000782A0000}"/>
    <cellStyle name="Normal 2 2 2 2 2 2 17 11" xfId="10873" xr:uid="{00000000-0005-0000-0000-0000792A0000}"/>
    <cellStyle name="Normal 2 2 2 2 2 2 17 12" xfId="10874" xr:uid="{00000000-0005-0000-0000-00007A2A0000}"/>
    <cellStyle name="Normal 2 2 2 2 2 2 17 13" xfId="10875" xr:uid="{00000000-0005-0000-0000-00007B2A0000}"/>
    <cellStyle name="Normal 2 2 2 2 2 2 17 14" xfId="10876" xr:uid="{00000000-0005-0000-0000-00007C2A0000}"/>
    <cellStyle name="Normal 2 2 2 2 2 2 17 2" xfId="10877" xr:uid="{00000000-0005-0000-0000-00007D2A0000}"/>
    <cellStyle name="Normal 2 2 2 2 2 2 17 2 10" xfId="10878" xr:uid="{00000000-0005-0000-0000-00007E2A0000}"/>
    <cellStyle name="Normal 2 2 2 2 2 2 17 2 2" xfId="10879" xr:uid="{00000000-0005-0000-0000-00007F2A0000}"/>
    <cellStyle name="Normal 2 2 2 2 2 2 17 2 3" xfId="10880" xr:uid="{00000000-0005-0000-0000-0000802A0000}"/>
    <cellStyle name="Normal 2 2 2 2 2 2 17 2 4" xfId="10881" xr:uid="{00000000-0005-0000-0000-0000812A0000}"/>
    <cellStyle name="Normal 2 2 2 2 2 2 17 2 5" xfId="10882" xr:uid="{00000000-0005-0000-0000-0000822A0000}"/>
    <cellStyle name="Normal 2 2 2 2 2 2 17 2 6" xfId="10883" xr:uid="{00000000-0005-0000-0000-0000832A0000}"/>
    <cellStyle name="Normal 2 2 2 2 2 2 17 2 7" xfId="10884" xr:uid="{00000000-0005-0000-0000-0000842A0000}"/>
    <cellStyle name="Normal 2 2 2 2 2 2 17 2 8" xfId="10885" xr:uid="{00000000-0005-0000-0000-0000852A0000}"/>
    <cellStyle name="Normal 2 2 2 2 2 2 17 2 9" xfId="10886" xr:uid="{00000000-0005-0000-0000-0000862A0000}"/>
    <cellStyle name="Normal 2 2 2 2 2 2 17 3" xfId="10887" xr:uid="{00000000-0005-0000-0000-0000872A0000}"/>
    <cellStyle name="Normal 2 2 2 2 2 2 17 3 10" xfId="10888" xr:uid="{00000000-0005-0000-0000-0000882A0000}"/>
    <cellStyle name="Normal 2 2 2 2 2 2 17 3 2" xfId="10889" xr:uid="{00000000-0005-0000-0000-0000892A0000}"/>
    <cellStyle name="Normal 2 2 2 2 2 2 17 3 3" xfId="10890" xr:uid="{00000000-0005-0000-0000-00008A2A0000}"/>
    <cellStyle name="Normal 2 2 2 2 2 2 17 3 4" xfId="10891" xr:uid="{00000000-0005-0000-0000-00008B2A0000}"/>
    <cellStyle name="Normal 2 2 2 2 2 2 17 3 5" xfId="10892" xr:uid="{00000000-0005-0000-0000-00008C2A0000}"/>
    <cellStyle name="Normal 2 2 2 2 2 2 17 3 6" xfId="10893" xr:uid="{00000000-0005-0000-0000-00008D2A0000}"/>
    <cellStyle name="Normal 2 2 2 2 2 2 17 3 7" xfId="10894" xr:uid="{00000000-0005-0000-0000-00008E2A0000}"/>
    <cellStyle name="Normal 2 2 2 2 2 2 17 3 8" xfId="10895" xr:uid="{00000000-0005-0000-0000-00008F2A0000}"/>
    <cellStyle name="Normal 2 2 2 2 2 2 17 3 9" xfId="10896" xr:uid="{00000000-0005-0000-0000-0000902A0000}"/>
    <cellStyle name="Normal 2 2 2 2 2 2 17 4" xfId="10897" xr:uid="{00000000-0005-0000-0000-0000912A0000}"/>
    <cellStyle name="Normal 2 2 2 2 2 2 17 4 10" xfId="10898" xr:uid="{00000000-0005-0000-0000-0000922A0000}"/>
    <cellStyle name="Normal 2 2 2 2 2 2 17 4 2" xfId="10899" xr:uid="{00000000-0005-0000-0000-0000932A0000}"/>
    <cellStyle name="Normal 2 2 2 2 2 2 17 4 3" xfId="10900" xr:uid="{00000000-0005-0000-0000-0000942A0000}"/>
    <cellStyle name="Normal 2 2 2 2 2 2 17 4 4" xfId="10901" xr:uid="{00000000-0005-0000-0000-0000952A0000}"/>
    <cellStyle name="Normal 2 2 2 2 2 2 17 4 5" xfId="10902" xr:uid="{00000000-0005-0000-0000-0000962A0000}"/>
    <cellStyle name="Normal 2 2 2 2 2 2 17 4 6" xfId="10903" xr:uid="{00000000-0005-0000-0000-0000972A0000}"/>
    <cellStyle name="Normal 2 2 2 2 2 2 17 4 7" xfId="10904" xr:uid="{00000000-0005-0000-0000-0000982A0000}"/>
    <cellStyle name="Normal 2 2 2 2 2 2 17 4 8" xfId="10905" xr:uid="{00000000-0005-0000-0000-0000992A0000}"/>
    <cellStyle name="Normal 2 2 2 2 2 2 17 4 9" xfId="10906" xr:uid="{00000000-0005-0000-0000-00009A2A0000}"/>
    <cellStyle name="Normal 2 2 2 2 2 2 17 5" xfId="10907" xr:uid="{00000000-0005-0000-0000-00009B2A0000}"/>
    <cellStyle name="Normal 2 2 2 2 2 2 17 5 10" xfId="10908" xr:uid="{00000000-0005-0000-0000-00009C2A0000}"/>
    <cellStyle name="Normal 2 2 2 2 2 2 17 5 2" xfId="10909" xr:uid="{00000000-0005-0000-0000-00009D2A0000}"/>
    <cellStyle name="Normal 2 2 2 2 2 2 17 5 3" xfId="10910" xr:uid="{00000000-0005-0000-0000-00009E2A0000}"/>
    <cellStyle name="Normal 2 2 2 2 2 2 17 5 4" xfId="10911" xr:uid="{00000000-0005-0000-0000-00009F2A0000}"/>
    <cellStyle name="Normal 2 2 2 2 2 2 17 5 5" xfId="10912" xr:uid="{00000000-0005-0000-0000-0000A02A0000}"/>
    <cellStyle name="Normal 2 2 2 2 2 2 17 5 6" xfId="10913" xr:uid="{00000000-0005-0000-0000-0000A12A0000}"/>
    <cellStyle name="Normal 2 2 2 2 2 2 17 5 7" xfId="10914" xr:uid="{00000000-0005-0000-0000-0000A22A0000}"/>
    <cellStyle name="Normal 2 2 2 2 2 2 17 5 8" xfId="10915" xr:uid="{00000000-0005-0000-0000-0000A32A0000}"/>
    <cellStyle name="Normal 2 2 2 2 2 2 17 5 9" xfId="10916" xr:uid="{00000000-0005-0000-0000-0000A42A0000}"/>
    <cellStyle name="Normal 2 2 2 2 2 2 17 6" xfId="10917" xr:uid="{00000000-0005-0000-0000-0000A52A0000}"/>
    <cellStyle name="Normal 2 2 2 2 2 2 17 7" xfId="10918" xr:uid="{00000000-0005-0000-0000-0000A62A0000}"/>
    <cellStyle name="Normal 2 2 2 2 2 2 17 8" xfId="10919" xr:uid="{00000000-0005-0000-0000-0000A72A0000}"/>
    <cellStyle name="Normal 2 2 2 2 2 2 17 9" xfId="10920" xr:uid="{00000000-0005-0000-0000-0000A82A0000}"/>
    <cellStyle name="Normal 2 2 2 2 2 2 18" xfId="10921" xr:uid="{00000000-0005-0000-0000-0000A92A0000}"/>
    <cellStyle name="Normal 2 2 2 2 2 2 18 10" xfId="10922" xr:uid="{00000000-0005-0000-0000-0000AA2A0000}"/>
    <cellStyle name="Normal 2 2 2 2 2 2 18 11" xfId="10923" xr:uid="{00000000-0005-0000-0000-0000AB2A0000}"/>
    <cellStyle name="Normal 2 2 2 2 2 2 18 12" xfId="10924" xr:uid="{00000000-0005-0000-0000-0000AC2A0000}"/>
    <cellStyle name="Normal 2 2 2 2 2 2 18 13" xfId="10925" xr:uid="{00000000-0005-0000-0000-0000AD2A0000}"/>
    <cellStyle name="Normal 2 2 2 2 2 2 18 14" xfId="10926" xr:uid="{00000000-0005-0000-0000-0000AE2A0000}"/>
    <cellStyle name="Normal 2 2 2 2 2 2 18 2" xfId="10927" xr:uid="{00000000-0005-0000-0000-0000AF2A0000}"/>
    <cellStyle name="Normal 2 2 2 2 2 2 18 2 10" xfId="10928" xr:uid="{00000000-0005-0000-0000-0000B02A0000}"/>
    <cellStyle name="Normal 2 2 2 2 2 2 18 2 2" xfId="10929" xr:uid="{00000000-0005-0000-0000-0000B12A0000}"/>
    <cellStyle name="Normal 2 2 2 2 2 2 18 2 3" xfId="10930" xr:uid="{00000000-0005-0000-0000-0000B22A0000}"/>
    <cellStyle name="Normal 2 2 2 2 2 2 18 2 4" xfId="10931" xr:uid="{00000000-0005-0000-0000-0000B32A0000}"/>
    <cellStyle name="Normal 2 2 2 2 2 2 18 2 5" xfId="10932" xr:uid="{00000000-0005-0000-0000-0000B42A0000}"/>
    <cellStyle name="Normal 2 2 2 2 2 2 18 2 6" xfId="10933" xr:uid="{00000000-0005-0000-0000-0000B52A0000}"/>
    <cellStyle name="Normal 2 2 2 2 2 2 18 2 7" xfId="10934" xr:uid="{00000000-0005-0000-0000-0000B62A0000}"/>
    <cellStyle name="Normal 2 2 2 2 2 2 18 2 8" xfId="10935" xr:uid="{00000000-0005-0000-0000-0000B72A0000}"/>
    <cellStyle name="Normal 2 2 2 2 2 2 18 2 9" xfId="10936" xr:uid="{00000000-0005-0000-0000-0000B82A0000}"/>
    <cellStyle name="Normal 2 2 2 2 2 2 18 3" xfId="10937" xr:uid="{00000000-0005-0000-0000-0000B92A0000}"/>
    <cellStyle name="Normal 2 2 2 2 2 2 18 3 10" xfId="10938" xr:uid="{00000000-0005-0000-0000-0000BA2A0000}"/>
    <cellStyle name="Normal 2 2 2 2 2 2 18 3 2" xfId="10939" xr:uid="{00000000-0005-0000-0000-0000BB2A0000}"/>
    <cellStyle name="Normal 2 2 2 2 2 2 18 3 3" xfId="10940" xr:uid="{00000000-0005-0000-0000-0000BC2A0000}"/>
    <cellStyle name="Normal 2 2 2 2 2 2 18 3 4" xfId="10941" xr:uid="{00000000-0005-0000-0000-0000BD2A0000}"/>
    <cellStyle name="Normal 2 2 2 2 2 2 18 3 5" xfId="10942" xr:uid="{00000000-0005-0000-0000-0000BE2A0000}"/>
    <cellStyle name="Normal 2 2 2 2 2 2 18 3 6" xfId="10943" xr:uid="{00000000-0005-0000-0000-0000BF2A0000}"/>
    <cellStyle name="Normal 2 2 2 2 2 2 18 3 7" xfId="10944" xr:uid="{00000000-0005-0000-0000-0000C02A0000}"/>
    <cellStyle name="Normal 2 2 2 2 2 2 18 3 8" xfId="10945" xr:uid="{00000000-0005-0000-0000-0000C12A0000}"/>
    <cellStyle name="Normal 2 2 2 2 2 2 18 3 9" xfId="10946" xr:uid="{00000000-0005-0000-0000-0000C22A0000}"/>
    <cellStyle name="Normal 2 2 2 2 2 2 18 4" xfId="10947" xr:uid="{00000000-0005-0000-0000-0000C32A0000}"/>
    <cellStyle name="Normal 2 2 2 2 2 2 18 4 10" xfId="10948" xr:uid="{00000000-0005-0000-0000-0000C42A0000}"/>
    <cellStyle name="Normal 2 2 2 2 2 2 18 4 2" xfId="10949" xr:uid="{00000000-0005-0000-0000-0000C52A0000}"/>
    <cellStyle name="Normal 2 2 2 2 2 2 18 4 3" xfId="10950" xr:uid="{00000000-0005-0000-0000-0000C62A0000}"/>
    <cellStyle name="Normal 2 2 2 2 2 2 18 4 4" xfId="10951" xr:uid="{00000000-0005-0000-0000-0000C72A0000}"/>
    <cellStyle name="Normal 2 2 2 2 2 2 18 4 5" xfId="10952" xr:uid="{00000000-0005-0000-0000-0000C82A0000}"/>
    <cellStyle name="Normal 2 2 2 2 2 2 18 4 6" xfId="10953" xr:uid="{00000000-0005-0000-0000-0000C92A0000}"/>
    <cellStyle name="Normal 2 2 2 2 2 2 18 4 7" xfId="10954" xr:uid="{00000000-0005-0000-0000-0000CA2A0000}"/>
    <cellStyle name="Normal 2 2 2 2 2 2 18 4 8" xfId="10955" xr:uid="{00000000-0005-0000-0000-0000CB2A0000}"/>
    <cellStyle name="Normal 2 2 2 2 2 2 18 4 9" xfId="10956" xr:uid="{00000000-0005-0000-0000-0000CC2A0000}"/>
    <cellStyle name="Normal 2 2 2 2 2 2 18 5" xfId="10957" xr:uid="{00000000-0005-0000-0000-0000CD2A0000}"/>
    <cellStyle name="Normal 2 2 2 2 2 2 18 5 10" xfId="10958" xr:uid="{00000000-0005-0000-0000-0000CE2A0000}"/>
    <cellStyle name="Normal 2 2 2 2 2 2 18 5 2" xfId="10959" xr:uid="{00000000-0005-0000-0000-0000CF2A0000}"/>
    <cellStyle name="Normal 2 2 2 2 2 2 18 5 3" xfId="10960" xr:uid="{00000000-0005-0000-0000-0000D02A0000}"/>
    <cellStyle name="Normal 2 2 2 2 2 2 18 5 4" xfId="10961" xr:uid="{00000000-0005-0000-0000-0000D12A0000}"/>
    <cellStyle name="Normal 2 2 2 2 2 2 18 5 5" xfId="10962" xr:uid="{00000000-0005-0000-0000-0000D22A0000}"/>
    <cellStyle name="Normal 2 2 2 2 2 2 18 5 6" xfId="10963" xr:uid="{00000000-0005-0000-0000-0000D32A0000}"/>
    <cellStyle name="Normal 2 2 2 2 2 2 18 5 7" xfId="10964" xr:uid="{00000000-0005-0000-0000-0000D42A0000}"/>
    <cellStyle name="Normal 2 2 2 2 2 2 18 5 8" xfId="10965" xr:uid="{00000000-0005-0000-0000-0000D52A0000}"/>
    <cellStyle name="Normal 2 2 2 2 2 2 18 5 9" xfId="10966" xr:uid="{00000000-0005-0000-0000-0000D62A0000}"/>
    <cellStyle name="Normal 2 2 2 2 2 2 18 6" xfId="10967" xr:uid="{00000000-0005-0000-0000-0000D72A0000}"/>
    <cellStyle name="Normal 2 2 2 2 2 2 18 7" xfId="10968" xr:uid="{00000000-0005-0000-0000-0000D82A0000}"/>
    <cellStyle name="Normal 2 2 2 2 2 2 18 8" xfId="10969" xr:uid="{00000000-0005-0000-0000-0000D92A0000}"/>
    <cellStyle name="Normal 2 2 2 2 2 2 18 9" xfId="10970" xr:uid="{00000000-0005-0000-0000-0000DA2A0000}"/>
    <cellStyle name="Normal 2 2 2 2 2 2 19" xfId="10971" xr:uid="{00000000-0005-0000-0000-0000DB2A0000}"/>
    <cellStyle name="Normal 2 2 2 2 2 2 19 10" xfId="10972" xr:uid="{00000000-0005-0000-0000-0000DC2A0000}"/>
    <cellStyle name="Normal 2 2 2 2 2 2 19 11" xfId="10973" xr:uid="{00000000-0005-0000-0000-0000DD2A0000}"/>
    <cellStyle name="Normal 2 2 2 2 2 2 19 12" xfId="10974" xr:uid="{00000000-0005-0000-0000-0000DE2A0000}"/>
    <cellStyle name="Normal 2 2 2 2 2 2 19 13" xfId="10975" xr:uid="{00000000-0005-0000-0000-0000DF2A0000}"/>
    <cellStyle name="Normal 2 2 2 2 2 2 19 14" xfId="10976" xr:uid="{00000000-0005-0000-0000-0000E02A0000}"/>
    <cellStyle name="Normal 2 2 2 2 2 2 19 2" xfId="10977" xr:uid="{00000000-0005-0000-0000-0000E12A0000}"/>
    <cellStyle name="Normal 2 2 2 2 2 2 19 2 10" xfId="10978" xr:uid="{00000000-0005-0000-0000-0000E22A0000}"/>
    <cellStyle name="Normal 2 2 2 2 2 2 19 2 2" xfId="10979" xr:uid="{00000000-0005-0000-0000-0000E32A0000}"/>
    <cellStyle name="Normal 2 2 2 2 2 2 19 2 3" xfId="10980" xr:uid="{00000000-0005-0000-0000-0000E42A0000}"/>
    <cellStyle name="Normal 2 2 2 2 2 2 19 2 4" xfId="10981" xr:uid="{00000000-0005-0000-0000-0000E52A0000}"/>
    <cellStyle name="Normal 2 2 2 2 2 2 19 2 5" xfId="10982" xr:uid="{00000000-0005-0000-0000-0000E62A0000}"/>
    <cellStyle name="Normal 2 2 2 2 2 2 19 2 6" xfId="10983" xr:uid="{00000000-0005-0000-0000-0000E72A0000}"/>
    <cellStyle name="Normal 2 2 2 2 2 2 19 2 7" xfId="10984" xr:uid="{00000000-0005-0000-0000-0000E82A0000}"/>
    <cellStyle name="Normal 2 2 2 2 2 2 19 2 8" xfId="10985" xr:uid="{00000000-0005-0000-0000-0000E92A0000}"/>
    <cellStyle name="Normal 2 2 2 2 2 2 19 2 9" xfId="10986" xr:uid="{00000000-0005-0000-0000-0000EA2A0000}"/>
    <cellStyle name="Normal 2 2 2 2 2 2 19 3" xfId="10987" xr:uid="{00000000-0005-0000-0000-0000EB2A0000}"/>
    <cellStyle name="Normal 2 2 2 2 2 2 19 3 10" xfId="10988" xr:uid="{00000000-0005-0000-0000-0000EC2A0000}"/>
    <cellStyle name="Normal 2 2 2 2 2 2 19 3 2" xfId="10989" xr:uid="{00000000-0005-0000-0000-0000ED2A0000}"/>
    <cellStyle name="Normal 2 2 2 2 2 2 19 3 3" xfId="10990" xr:uid="{00000000-0005-0000-0000-0000EE2A0000}"/>
    <cellStyle name="Normal 2 2 2 2 2 2 19 3 4" xfId="10991" xr:uid="{00000000-0005-0000-0000-0000EF2A0000}"/>
    <cellStyle name="Normal 2 2 2 2 2 2 19 3 5" xfId="10992" xr:uid="{00000000-0005-0000-0000-0000F02A0000}"/>
    <cellStyle name="Normal 2 2 2 2 2 2 19 3 6" xfId="10993" xr:uid="{00000000-0005-0000-0000-0000F12A0000}"/>
    <cellStyle name="Normal 2 2 2 2 2 2 19 3 7" xfId="10994" xr:uid="{00000000-0005-0000-0000-0000F22A0000}"/>
    <cellStyle name="Normal 2 2 2 2 2 2 19 3 8" xfId="10995" xr:uid="{00000000-0005-0000-0000-0000F32A0000}"/>
    <cellStyle name="Normal 2 2 2 2 2 2 19 3 9" xfId="10996" xr:uid="{00000000-0005-0000-0000-0000F42A0000}"/>
    <cellStyle name="Normal 2 2 2 2 2 2 19 4" xfId="10997" xr:uid="{00000000-0005-0000-0000-0000F52A0000}"/>
    <cellStyle name="Normal 2 2 2 2 2 2 19 4 10" xfId="10998" xr:uid="{00000000-0005-0000-0000-0000F62A0000}"/>
    <cellStyle name="Normal 2 2 2 2 2 2 19 4 2" xfId="10999" xr:uid="{00000000-0005-0000-0000-0000F72A0000}"/>
    <cellStyle name="Normal 2 2 2 2 2 2 19 4 3" xfId="11000" xr:uid="{00000000-0005-0000-0000-0000F82A0000}"/>
    <cellStyle name="Normal 2 2 2 2 2 2 19 4 4" xfId="11001" xr:uid="{00000000-0005-0000-0000-0000F92A0000}"/>
    <cellStyle name="Normal 2 2 2 2 2 2 19 4 5" xfId="11002" xr:uid="{00000000-0005-0000-0000-0000FA2A0000}"/>
    <cellStyle name="Normal 2 2 2 2 2 2 19 4 6" xfId="11003" xr:uid="{00000000-0005-0000-0000-0000FB2A0000}"/>
    <cellStyle name="Normal 2 2 2 2 2 2 19 4 7" xfId="11004" xr:uid="{00000000-0005-0000-0000-0000FC2A0000}"/>
    <cellStyle name="Normal 2 2 2 2 2 2 19 4 8" xfId="11005" xr:uid="{00000000-0005-0000-0000-0000FD2A0000}"/>
    <cellStyle name="Normal 2 2 2 2 2 2 19 4 9" xfId="11006" xr:uid="{00000000-0005-0000-0000-0000FE2A0000}"/>
    <cellStyle name="Normal 2 2 2 2 2 2 19 5" xfId="11007" xr:uid="{00000000-0005-0000-0000-0000FF2A0000}"/>
    <cellStyle name="Normal 2 2 2 2 2 2 19 5 10" xfId="11008" xr:uid="{00000000-0005-0000-0000-0000002B0000}"/>
    <cellStyle name="Normal 2 2 2 2 2 2 19 5 2" xfId="11009" xr:uid="{00000000-0005-0000-0000-0000012B0000}"/>
    <cellStyle name="Normal 2 2 2 2 2 2 19 5 3" xfId="11010" xr:uid="{00000000-0005-0000-0000-0000022B0000}"/>
    <cellStyle name="Normal 2 2 2 2 2 2 19 5 4" xfId="11011" xr:uid="{00000000-0005-0000-0000-0000032B0000}"/>
    <cellStyle name="Normal 2 2 2 2 2 2 19 5 5" xfId="11012" xr:uid="{00000000-0005-0000-0000-0000042B0000}"/>
    <cellStyle name="Normal 2 2 2 2 2 2 19 5 6" xfId="11013" xr:uid="{00000000-0005-0000-0000-0000052B0000}"/>
    <cellStyle name="Normal 2 2 2 2 2 2 19 5 7" xfId="11014" xr:uid="{00000000-0005-0000-0000-0000062B0000}"/>
    <cellStyle name="Normal 2 2 2 2 2 2 19 5 8" xfId="11015" xr:uid="{00000000-0005-0000-0000-0000072B0000}"/>
    <cellStyle name="Normal 2 2 2 2 2 2 19 5 9" xfId="11016" xr:uid="{00000000-0005-0000-0000-0000082B0000}"/>
    <cellStyle name="Normal 2 2 2 2 2 2 19 6" xfId="11017" xr:uid="{00000000-0005-0000-0000-0000092B0000}"/>
    <cellStyle name="Normal 2 2 2 2 2 2 19 7" xfId="11018" xr:uid="{00000000-0005-0000-0000-00000A2B0000}"/>
    <cellStyle name="Normal 2 2 2 2 2 2 19 8" xfId="11019" xr:uid="{00000000-0005-0000-0000-00000B2B0000}"/>
    <cellStyle name="Normal 2 2 2 2 2 2 19 9" xfId="11020" xr:uid="{00000000-0005-0000-0000-00000C2B0000}"/>
    <cellStyle name="Normal 2 2 2 2 2 2 2" xfId="11021" xr:uid="{00000000-0005-0000-0000-00000D2B0000}"/>
    <cellStyle name="Normal 2 2 2 2 2 2 2 10" xfId="11022" xr:uid="{00000000-0005-0000-0000-00000E2B0000}"/>
    <cellStyle name="Normal 2 2 2 2 2 2 2 11" xfId="11023" xr:uid="{00000000-0005-0000-0000-00000F2B0000}"/>
    <cellStyle name="Normal 2 2 2 2 2 2 2 12" xfId="11024" xr:uid="{00000000-0005-0000-0000-0000102B0000}"/>
    <cellStyle name="Normal 2 2 2 2 2 2 2 13" xfId="11025" xr:uid="{00000000-0005-0000-0000-0000112B0000}"/>
    <cellStyle name="Normal 2 2 2 2 2 2 2 14" xfId="11026" xr:uid="{00000000-0005-0000-0000-0000122B0000}"/>
    <cellStyle name="Normal 2 2 2 2 2 2 2 15" xfId="11027" xr:uid="{00000000-0005-0000-0000-0000132B0000}"/>
    <cellStyle name="Normal 2 2 2 2 2 2 2 16" xfId="11028" xr:uid="{00000000-0005-0000-0000-0000142B0000}"/>
    <cellStyle name="Normal 2 2 2 2 2 2 2 2" xfId="11029" xr:uid="{00000000-0005-0000-0000-0000152B0000}"/>
    <cellStyle name="Normal 2 2 2 2 2 2 2 2 10" xfId="11030" xr:uid="{00000000-0005-0000-0000-0000162B0000}"/>
    <cellStyle name="Normal 2 2 2 2 2 2 2 2 11" xfId="11031" xr:uid="{00000000-0005-0000-0000-0000172B0000}"/>
    <cellStyle name="Normal 2 2 2 2 2 2 2 2 12" xfId="11032" xr:uid="{00000000-0005-0000-0000-0000182B0000}"/>
    <cellStyle name="Normal 2 2 2 2 2 2 2 2 2" xfId="11033" xr:uid="{00000000-0005-0000-0000-0000192B0000}"/>
    <cellStyle name="Normal 2 2 2 2 2 2 2 2 3" xfId="11034" xr:uid="{00000000-0005-0000-0000-00001A2B0000}"/>
    <cellStyle name="Normal 2 2 2 2 2 2 2 2 4" xfId="11035" xr:uid="{00000000-0005-0000-0000-00001B2B0000}"/>
    <cellStyle name="Normal 2 2 2 2 2 2 2 2 5" xfId="11036" xr:uid="{00000000-0005-0000-0000-00001C2B0000}"/>
    <cellStyle name="Normal 2 2 2 2 2 2 2 2 6" xfId="11037" xr:uid="{00000000-0005-0000-0000-00001D2B0000}"/>
    <cellStyle name="Normal 2 2 2 2 2 2 2 2 7" xfId="11038" xr:uid="{00000000-0005-0000-0000-00001E2B0000}"/>
    <cellStyle name="Normal 2 2 2 2 2 2 2 2 8" xfId="11039" xr:uid="{00000000-0005-0000-0000-00001F2B0000}"/>
    <cellStyle name="Normal 2 2 2 2 2 2 2 2 9" xfId="11040" xr:uid="{00000000-0005-0000-0000-0000202B0000}"/>
    <cellStyle name="Normal 2 2 2 2 2 2 2 3" xfId="11041" xr:uid="{00000000-0005-0000-0000-0000212B0000}"/>
    <cellStyle name="Normal 2 2 2 2 2 2 2 3 10" xfId="11042" xr:uid="{00000000-0005-0000-0000-0000222B0000}"/>
    <cellStyle name="Normal 2 2 2 2 2 2 2 3 2" xfId="11043" xr:uid="{00000000-0005-0000-0000-0000232B0000}"/>
    <cellStyle name="Normal 2 2 2 2 2 2 2 3 3" xfId="11044" xr:uid="{00000000-0005-0000-0000-0000242B0000}"/>
    <cellStyle name="Normal 2 2 2 2 2 2 2 3 4" xfId="11045" xr:uid="{00000000-0005-0000-0000-0000252B0000}"/>
    <cellStyle name="Normal 2 2 2 2 2 2 2 3 5" xfId="11046" xr:uid="{00000000-0005-0000-0000-0000262B0000}"/>
    <cellStyle name="Normal 2 2 2 2 2 2 2 3 6" xfId="11047" xr:uid="{00000000-0005-0000-0000-0000272B0000}"/>
    <cellStyle name="Normal 2 2 2 2 2 2 2 3 7" xfId="11048" xr:uid="{00000000-0005-0000-0000-0000282B0000}"/>
    <cellStyle name="Normal 2 2 2 2 2 2 2 3 8" xfId="11049" xr:uid="{00000000-0005-0000-0000-0000292B0000}"/>
    <cellStyle name="Normal 2 2 2 2 2 2 2 3 9" xfId="11050" xr:uid="{00000000-0005-0000-0000-00002A2B0000}"/>
    <cellStyle name="Normal 2 2 2 2 2 2 2 4" xfId="11051" xr:uid="{00000000-0005-0000-0000-00002B2B0000}"/>
    <cellStyle name="Normal 2 2 2 2 2 2 2 4 10" xfId="11052" xr:uid="{00000000-0005-0000-0000-00002C2B0000}"/>
    <cellStyle name="Normal 2 2 2 2 2 2 2 4 2" xfId="11053" xr:uid="{00000000-0005-0000-0000-00002D2B0000}"/>
    <cellStyle name="Normal 2 2 2 2 2 2 2 4 3" xfId="11054" xr:uid="{00000000-0005-0000-0000-00002E2B0000}"/>
    <cellStyle name="Normal 2 2 2 2 2 2 2 4 4" xfId="11055" xr:uid="{00000000-0005-0000-0000-00002F2B0000}"/>
    <cellStyle name="Normal 2 2 2 2 2 2 2 4 5" xfId="11056" xr:uid="{00000000-0005-0000-0000-0000302B0000}"/>
    <cellStyle name="Normal 2 2 2 2 2 2 2 4 6" xfId="11057" xr:uid="{00000000-0005-0000-0000-0000312B0000}"/>
    <cellStyle name="Normal 2 2 2 2 2 2 2 4 7" xfId="11058" xr:uid="{00000000-0005-0000-0000-0000322B0000}"/>
    <cellStyle name="Normal 2 2 2 2 2 2 2 4 8" xfId="11059" xr:uid="{00000000-0005-0000-0000-0000332B0000}"/>
    <cellStyle name="Normal 2 2 2 2 2 2 2 4 9" xfId="11060" xr:uid="{00000000-0005-0000-0000-0000342B0000}"/>
    <cellStyle name="Normal 2 2 2 2 2 2 2 5" xfId="11061" xr:uid="{00000000-0005-0000-0000-0000352B0000}"/>
    <cellStyle name="Normal 2 2 2 2 2 2 2 5 10" xfId="11062" xr:uid="{00000000-0005-0000-0000-0000362B0000}"/>
    <cellStyle name="Normal 2 2 2 2 2 2 2 5 2" xfId="11063" xr:uid="{00000000-0005-0000-0000-0000372B0000}"/>
    <cellStyle name="Normal 2 2 2 2 2 2 2 5 3" xfId="11064" xr:uid="{00000000-0005-0000-0000-0000382B0000}"/>
    <cellStyle name="Normal 2 2 2 2 2 2 2 5 4" xfId="11065" xr:uid="{00000000-0005-0000-0000-0000392B0000}"/>
    <cellStyle name="Normal 2 2 2 2 2 2 2 5 5" xfId="11066" xr:uid="{00000000-0005-0000-0000-00003A2B0000}"/>
    <cellStyle name="Normal 2 2 2 2 2 2 2 5 6" xfId="11067" xr:uid="{00000000-0005-0000-0000-00003B2B0000}"/>
    <cellStyle name="Normal 2 2 2 2 2 2 2 5 7" xfId="11068" xr:uid="{00000000-0005-0000-0000-00003C2B0000}"/>
    <cellStyle name="Normal 2 2 2 2 2 2 2 5 8" xfId="11069" xr:uid="{00000000-0005-0000-0000-00003D2B0000}"/>
    <cellStyle name="Normal 2 2 2 2 2 2 2 5 9" xfId="11070" xr:uid="{00000000-0005-0000-0000-00003E2B0000}"/>
    <cellStyle name="Normal 2 2 2 2 2 2 2 6" xfId="11071" xr:uid="{00000000-0005-0000-0000-00003F2B0000}"/>
    <cellStyle name="Normal 2 2 2 2 2 2 2 7" xfId="11072" xr:uid="{00000000-0005-0000-0000-0000402B0000}"/>
    <cellStyle name="Normal 2 2 2 2 2 2 2 8" xfId="11073" xr:uid="{00000000-0005-0000-0000-0000412B0000}"/>
    <cellStyle name="Normal 2 2 2 2 2 2 2 9" xfId="11074" xr:uid="{00000000-0005-0000-0000-0000422B0000}"/>
    <cellStyle name="Normal 2 2 2 2 2 2 20" xfId="11075" xr:uid="{00000000-0005-0000-0000-0000432B0000}"/>
    <cellStyle name="Normal 2 2 2 2 2 2 20 10" xfId="11076" xr:uid="{00000000-0005-0000-0000-0000442B0000}"/>
    <cellStyle name="Normal 2 2 2 2 2 2 20 11" xfId="11077" xr:uid="{00000000-0005-0000-0000-0000452B0000}"/>
    <cellStyle name="Normal 2 2 2 2 2 2 20 12" xfId="11078" xr:uid="{00000000-0005-0000-0000-0000462B0000}"/>
    <cellStyle name="Normal 2 2 2 2 2 2 20 13" xfId="11079" xr:uid="{00000000-0005-0000-0000-0000472B0000}"/>
    <cellStyle name="Normal 2 2 2 2 2 2 20 14" xfId="11080" xr:uid="{00000000-0005-0000-0000-0000482B0000}"/>
    <cellStyle name="Normal 2 2 2 2 2 2 20 2" xfId="11081" xr:uid="{00000000-0005-0000-0000-0000492B0000}"/>
    <cellStyle name="Normal 2 2 2 2 2 2 20 2 10" xfId="11082" xr:uid="{00000000-0005-0000-0000-00004A2B0000}"/>
    <cellStyle name="Normal 2 2 2 2 2 2 20 2 2" xfId="11083" xr:uid="{00000000-0005-0000-0000-00004B2B0000}"/>
    <cellStyle name="Normal 2 2 2 2 2 2 20 2 3" xfId="11084" xr:uid="{00000000-0005-0000-0000-00004C2B0000}"/>
    <cellStyle name="Normal 2 2 2 2 2 2 20 2 4" xfId="11085" xr:uid="{00000000-0005-0000-0000-00004D2B0000}"/>
    <cellStyle name="Normal 2 2 2 2 2 2 20 2 5" xfId="11086" xr:uid="{00000000-0005-0000-0000-00004E2B0000}"/>
    <cellStyle name="Normal 2 2 2 2 2 2 20 2 6" xfId="11087" xr:uid="{00000000-0005-0000-0000-00004F2B0000}"/>
    <cellStyle name="Normal 2 2 2 2 2 2 20 2 7" xfId="11088" xr:uid="{00000000-0005-0000-0000-0000502B0000}"/>
    <cellStyle name="Normal 2 2 2 2 2 2 20 2 8" xfId="11089" xr:uid="{00000000-0005-0000-0000-0000512B0000}"/>
    <cellStyle name="Normal 2 2 2 2 2 2 20 2 9" xfId="11090" xr:uid="{00000000-0005-0000-0000-0000522B0000}"/>
    <cellStyle name="Normal 2 2 2 2 2 2 20 3" xfId="11091" xr:uid="{00000000-0005-0000-0000-0000532B0000}"/>
    <cellStyle name="Normal 2 2 2 2 2 2 20 3 10" xfId="11092" xr:uid="{00000000-0005-0000-0000-0000542B0000}"/>
    <cellStyle name="Normal 2 2 2 2 2 2 20 3 2" xfId="11093" xr:uid="{00000000-0005-0000-0000-0000552B0000}"/>
    <cellStyle name="Normal 2 2 2 2 2 2 20 3 3" xfId="11094" xr:uid="{00000000-0005-0000-0000-0000562B0000}"/>
    <cellStyle name="Normal 2 2 2 2 2 2 20 3 4" xfId="11095" xr:uid="{00000000-0005-0000-0000-0000572B0000}"/>
    <cellStyle name="Normal 2 2 2 2 2 2 20 3 5" xfId="11096" xr:uid="{00000000-0005-0000-0000-0000582B0000}"/>
    <cellStyle name="Normal 2 2 2 2 2 2 20 3 6" xfId="11097" xr:uid="{00000000-0005-0000-0000-0000592B0000}"/>
    <cellStyle name="Normal 2 2 2 2 2 2 20 3 7" xfId="11098" xr:uid="{00000000-0005-0000-0000-00005A2B0000}"/>
    <cellStyle name="Normal 2 2 2 2 2 2 20 3 8" xfId="11099" xr:uid="{00000000-0005-0000-0000-00005B2B0000}"/>
    <cellStyle name="Normal 2 2 2 2 2 2 20 3 9" xfId="11100" xr:uid="{00000000-0005-0000-0000-00005C2B0000}"/>
    <cellStyle name="Normal 2 2 2 2 2 2 20 4" xfId="11101" xr:uid="{00000000-0005-0000-0000-00005D2B0000}"/>
    <cellStyle name="Normal 2 2 2 2 2 2 20 4 10" xfId="11102" xr:uid="{00000000-0005-0000-0000-00005E2B0000}"/>
    <cellStyle name="Normal 2 2 2 2 2 2 20 4 2" xfId="11103" xr:uid="{00000000-0005-0000-0000-00005F2B0000}"/>
    <cellStyle name="Normal 2 2 2 2 2 2 20 4 3" xfId="11104" xr:uid="{00000000-0005-0000-0000-0000602B0000}"/>
    <cellStyle name="Normal 2 2 2 2 2 2 20 4 4" xfId="11105" xr:uid="{00000000-0005-0000-0000-0000612B0000}"/>
    <cellStyle name="Normal 2 2 2 2 2 2 20 4 5" xfId="11106" xr:uid="{00000000-0005-0000-0000-0000622B0000}"/>
    <cellStyle name="Normal 2 2 2 2 2 2 20 4 6" xfId="11107" xr:uid="{00000000-0005-0000-0000-0000632B0000}"/>
    <cellStyle name="Normal 2 2 2 2 2 2 20 4 7" xfId="11108" xr:uid="{00000000-0005-0000-0000-0000642B0000}"/>
    <cellStyle name="Normal 2 2 2 2 2 2 20 4 8" xfId="11109" xr:uid="{00000000-0005-0000-0000-0000652B0000}"/>
    <cellStyle name="Normal 2 2 2 2 2 2 20 4 9" xfId="11110" xr:uid="{00000000-0005-0000-0000-0000662B0000}"/>
    <cellStyle name="Normal 2 2 2 2 2 2 20 5" xfId="11111" xr:uid="{00000000-0005-0000-0000-0000672B0000}"/>
    <cellStyle name="Normal 2 2 2 2 2 2 20 5 10" xfId="11112" xr:uid="{00000000-0005-0000-0000-0000682B0000}"/>
    <cellStyle name="Normal 2 2 2 2 2 2 20 5 2" xfId="11113" xr:uid="{00000000-0005-0000-0000-0000692B0000}"/>
    <cellStyle name="Normal 2 2 2 2 2 2 20 5 3" xfId="11114" xr:uid="{00000000-0005-0000-0000-00006A2B0000}"/>
    <cellStyle name="Normal 2 2 2 2 2 2 20 5 4" xfId="11115" xr:uid="{00000000-0005-0000-0000-00006B2B0000}"/>
    <cellStyle name="Normal 2 2 2 2 2 2 20 5 5" xfId="11116" xr:uid="{00000000-0005-0000-0000-00006C2B0000}"/>
    <cellStyle name="Normal 2 2 2 2 2 2 20 5 6" xfId="11117" xr:uid="{00000000-0005-0000-0000-00006D2B0000}"/>
    <cellStyle name="Normal 2 2 2 2 2 2 20 5 7" xfId="11118" xr:uid="{00000000-0005-0000-0000-00006E2B0000}"/>
    <cellStyle name="Normal 2 2 2 2 2 2 20 5 8" xfId="11119" xr:uid="{00000000-0005-0000-0000-00006F2B0000}"/>
    <cellStyle name="Normal 2 2 2 2 2 2 20 5 9" xfId="11120" xr:uid="{00000000-0005-0000-0000-0000702B0000}"/>
    <cellStyle name="Normal 2 2 2 2 2 2 20 6" xfId="11121" xr:uid="{00000000-0005-0000-0000-0000712B0000}"/>
    <cellStyle name="Normal 2 2 2 2 2 2 20 7" xfId="11122" xr:uid="{00000000-0005-0000-0000-0000722B0000}"/>
    <cellStyle name="Normal 2 2 2 2 2 2 20 8" xfId="11123" xr:uid="{00000000-0005-0000-0000-0000732B0000}"/>
    <cellStyle name="Normal 2 2 2 2 2 2 20 9" xfId="11124" xr:uid="{00000000-0005-0000-0000-0000742B0000}"/>
    <cellStyle name="Normal 2 2 2 2 2 2 21" xfId="11125" xr:uid="{00000000-0005-0000-0000-0000752B0000}"/>
    <cellStyle name="Normal 2 2 2 2 2 2 21 10" xfId="11126" xr:uid="{00000000-0005-0000-0000-0000762B0000}"/>
    <cellStyle name="Normal 2 2 2 2 2 2 21 11" xfId="11127" xr:uid="{00000000-0005-0000-0000-0000772B0000}"/>
    <cellStyle name="Normal 2 2 2 2 2 2 21 12" xfId="11128" xr:uid="{00000000-0005-0000-0000-0000782B0000}"/>
    <cellStyle name="Normal 2 2 2 2 2 2 21 13" xfId="11129" xr:uid="{00000000-0005-0000-0000-0000792B0000}"/>
    <cellStyle name="Normal 2 2 2 2 2 2 21 14" xfId="11130" xr:uid="{00000000-0005-0000-0000-00007A2B0000}"/>
    <cellStyle name="Normal 2 2 2 2 2 2 21 2" xfId="11131" xr:uid="{00000000-0005-0000-0000-00007B2B0000}"/>
    <cellStyle name="Normal 2 2 2 2 2 2 21 2 10" xfId="11132" xr:uid="{00000000-0005-0000-0000-00007C2B0000}"/>
    <cellStyle name="Normal 2 2 2 2 2 2 21 2 2" xfId="11133" xr:uid="{00000000-0005-0000-0000-00007D2B0000}"/>
    <cellStyle name="Normal 2 2 2 2 2 2 21 2 3" xfId="11134" xr:uid="{00000000-0005-0000-0000-00007E2B0000}"/>
    <cellStyle name="Normal 2 2 2 2 2 2 21 2 4" xfId="11135" xr:uid="{00000000-0005-0000-0000-00007F2B0000}"/>
    <cellStyle name="Normal 2 2 2 2 2 2 21 2 5" xfId="11136" xr:uid="{00000000-0005-0000-0000-0000802B0000}"/>
    <cellStyle name="Normal 2 2 2 2 2 2 21 2 6" xfId="11137" xr:uid="{00000000-0005-0000-0000-0000812B0000}"/>
    <cellStyle name="Normal 2 2 2 2 2 2 21 2 7" xfId="11138" xr:uid="{00000000-0005-0000-0000-0000822B0000}"/>
    <cellStyle name="Normal 2 2 2 2 2 2 21 2 8" xfId="11139" xr:uid="{00000000-0005-0000-0000-0000832B0000}"/>
    <cellStyle name="Normal 2 2 2 2 2 2 21 2 9" xfId="11140" xr:uid="{00000000-0005-0000-0000-0000842B0000}"/>
    <cellStyle name="Normal 2 2 2 2 2 2 21 3" xfId="11141" xr:uid="{00000000-0005-0000-0000-0000852B0000}"/>
    <cellStyle name="Normal 2 2 2 2 2 2 21 3 10" xfId="11142" xr:uid="{00000000-0005-0000-0000-0000862B0000}"/>
    <cellStyle name="Normal 2 2 2 2 2 2 21 3 2" xfId="11143" xr:uid="{00000000-0005-0000-0000-0000872B0000}"/>
    <cellStyle name="Normal 2 2 2 2 2 2 21 3 3" xfId="11144" xr:uid="{00000000-0005-0000-0000-0000882B0000}"/>
    <cellStyle name="Normal 2 2 2 2 2 2 21 3 4" xfId="11145" xr:uid="{00000000-0005-0000-0000-0000892B0000}"/>
    <cellStyle name="Normal 2 2 2 2 2 2 21 3 5" xfId="11146" xr:uid="{00000000-0005-0000-0000-00008A2B0000}"/>
    <cellStyle name="Normal 2 2 2 2 2 2 21 3 6" xfId="11147" xr:uid="{00000000-0005-0000-0000-00008B2B0000}"/>
    <cellStyle name="Normal 2 2 2 2 2 2 21 3 7" xfId="11148" xr:uid="{00000000-0005-0000-0000-00008C2B0000}"/>
    <cellStyle name="Normal 2 2 2 2 2 2 21 3 8" xfId="11149" xr:uid="{00000000-0005-0000-0000-00008D2B0000}"/>
    <cellStyle name="Normal 2 2 2 2 2 2 21 3 9" xfId="11150" xr:uid="{00000000-0005-0000-0000-00008E2B0000}"/>
    <cellStyle name="Normal 2 2 2 2 2 2 21 4" xfId="11151" xr:uid="{00000000-0005-0000-0000-00008F2B0000}"/>
    <cellStyle name="Normal 2 2 2 2 2 2 21 4 10" xfId="11152" xr:uid="{00000000-0005-0000-0000-0000902B0000}"/>
    <cellStyle name="Normal 2 2 2 2 2 2 21 4 2" xfId="11153" xr:uid="{00000000-0005-0000-0000-0000912B0000}"/>
    <cellStyle name="Normal 2 2 2 2 2 2 21 4 3" xfId="11154" xr:uid="{00000000-0005-0000-0000-0000922B0000}"/>
    <cellStyle name="Normal 2 2 2 2 2 2 21 4 4" xfId="11155" xr:uid="{00000000-0005-0000-0000-0000932B0000}"/>
    <cellStyle name="Normal 2 2 2 2 2 2 21 4 5" xfId="11156" xr:uid="{00000000-0005-0000-0000-0000942B0000}"/>
    <cellStyle name="Normal 2 2 2 2 2 2 21 4 6" xfId="11157" xr:uid="{00000000-0005-0000-0000-0000952B0000}"/>
    <cellStyle name="Normal 2 2 2 2 2 2 21 4 7" xfId="11158" xr:uid="{00000000-0005-0000-0000-0000962B0000}"/>
    <cellStyle name="Normal 2 2 2 2 2 2 21 4 8" xfId="11159" xr:uid="{00000000-0005-0000-0000-0000972B0000}"/>
    <cellStyle name="Normal 2 2 2 2 2 2 21 4 9" xfId="11160" xr:uid="{00000000-0005-0000-0000-0000982B0000}"/>
    <cellStyle name="Normal 2 2 2 2 2 2 21 5" xfId="11161" xr:uid="{00000000-0005-0000-0000-0000992B0000}"/>
    <cellStyle name="Normal 2 2 2 2 2 2 21 5 10" xfId="11162" xr:uid="{00000000-0005-0000-0000-00009A2B0000}"/>
    <cellStyle name="Normal 2 2 2 2 2 2 21 5 2" xfId="11163" xr:uid="{00000000-0005-0000-0000-00009B2B0000}"/>
    <cellStyle name="Normal 2 2 2 2 2 2 21 5 3" xfId="11164" xr:uid="{00000000-0005-0000-0000-00009C2B0000}"/>
    <cellStyle name="Normal 2 2 2 2 2 2 21 5 4" xfId="11165" xr:uid="{00000000-0005-0000-0000-00009D2B0000}"/>
    <cellStyle name="Normal 2 2 2 2 2 2 21 5 5" xfId="11166" xr:uid="{00000000-0005-0000-0000-00009E2B0000}"/>
    <cellStyle name="Normal 2 2 2 2 2 2 21 5 6" xfId="11167" xr:uid="{00000000-0005-0000-0000-00009F2B0000}"/>
    <cellStyle name="Normal 2 2 2 2 2 2 21 5 7" xfId="11168" xr:uid="{00000000-0005-0000-0000-0000A02B0000}"/>
    <cellStyle name="Normal 2 2 2 2 2 2 21 5 8" xfId="11169" xr:uid="{00000000-0005-0000-0000-0000A12B0000}"/>
    <cellStyle name="Normal 2 2 2 2 2 2 21 5 9" xfId="11170" xr:uid="{00000000-0005-0000-0000-0000A22B0000}"/>
    <cellStyle name="Normal 2 2 2 2 2 2 21 6" xfId="11171" xr:uid="{00000000-0005-0000-0000-0000A32B0000}"/>
    <cellStyle name="Normal 2 2 2 2 2 2 21 7" xfId="11172" xr:uid="{00000000-0005-0000-0000-0000A42B0000}"/>
    <cellStyle name="Normal 2 2 2 2 2 2 21 8" xfId="11173" xr:uid="{00000000-0005-0000-0000-0000A52B0000}"/>
    <cellStyle name="Normal 2 2 2 2 2 2 21 9" xfId="11174" xr:uid="{00000000-0005-0000-0000-0000A62B0000}"/>
    <cellStyle name="Normal 2 2 2 2 2 2 22" xfId="11175" xr:uid="{00000000-0005-0000-0000-0000A72B0000}"/>
    <cellStyle name="Normal 2 2 2 2 2 2 22 10" xfId="11176" xr:uid="{00000000-0005-0000-0000-0000A82B0000}"/>
    <cellStyle name="Normal 2 2 2 2 2 2 22 11" xfId="11177" xr:uid="{00000000-0005-0000-0000-0000A92B0000}"/>
    <cellStyle name="Normal 2 2 2 2 2 2 22 12" xfId="11178" xr:uid="{00000000-0005-0000-0000-0000AA2B0000}"/>
    <cellStyle name="Normal 2 2 2 2 2 2 22 13" xfId="11179" xr:uid="{00000000-0005-0000-0000-0000AB2B0000}"/>
    <cellStyle name="Normal 2 2 2 2 2 2 22 14" xfId="11180" xr:uid="{00000000-0005-0000-0000-0000AC2B0000}"/>
    <cellStyle name="Normal 2 2 2 2 2 2 22 2" xfId="11181" xr:uid="{00000000-0005-0000-0000-0000AD2B0000}"/>
    <cellStyle name="Normal 2 2 2 2 2 2 22 2 10" xfId="11182" xr:uid="{00000000-0005-0000-0000-0000AE2B0000}"/>
    <cellStyle name="Normal 2 2 2 2 2 2 22 2 2" xfId="11183" xr:uid="{00000000-0005-0000-0000-0000AF2B0000}"/>
    <cellStyle name="Normal 2 2 2 2 2 2 22 2 3" xfId="11184" xr:uid="{00000000-0005-0000-0000-0000B02B0000}"/>
    <cellStyle name="Normal 2 2 2 2 2 2 22 2 4" xfId="11185" xr:uid="{00000000-0005-0000-0000-0000B12B0000}"/>
    <cellStyle name="Normal 2 2 2 2 2 2 22 2 5" xfId="11186" xr:uid="{00000000-0005-0000-0000-0000B22B0000}"/>
    <cellStyle name="Normal 2 2 2 2 2 2 22 2 6" xfId="11187" xr:uid="{00000000-0005-0000-0000-0000B32B0000}"/>
    <cellStyle name="Normal 2 2 2 2 2 2 22 2 7" xfId="11188" xr:uid="{00000000-0005-0000-0000-0000B42B0000}"/>
    <cellStyle name="Normal 2 2 2 2 2 2 22 2 8" xfId="11189" xr:uid="{00000000-0005-0000-0000-0000B52B0000}"/>
    <cellStyle name="Normal 2 2 2 2 2 2 22 2 9" xfId="11190" xr:uid="{00000000-0005-0000-0000-0000B62B0000}"/>
    <cellStyle name="Normal 2 2 2 2 2 2 22 3" xfId="11191" xr:uid="{00000000-0005-0000-0000-0000B72B0000}"/>
    <cellStyle name="Normal 2 2 2 2 2 2 22 3 10" xfId="11192" xr:uid="{00000000-0005-0000-0000-0000B82B0000}"/>
    <cellStyle name="Normal 2 2 2 2 2 2 22 3 2" xfId="11193" xr:uid="{00000000-0005-0000-0000-0000B92B0000}"/>
    <cellStyle name="Normal 2 2 2 2 2 2 22 3 3" xfId="11194" xr:uid="{00000000-0005-0000-0000-0000BA2B0000}"/>
    <cellStyle name="Normal 2 2 2 2 2 2 22 3 4" xfId="11195" xr:uid="{00000000-0005-0000-0000-0000BB2B0000}"/>
    <cellStyle name="Normal 2 2 2 2 2 2 22 3 5" xfId="11196" xr:uid="{00000000-0005-0000-0000-0000BC2B0000}"/>
    <cellStyle name="Normal 2 2 2 2 2 2 22 3 6" xfId="11197" xr:uid="{00000000-0005-0000-0000-0000BD2B0000}"/>
    <cellStyle name="Normal 2 2 2 2 2 2 22 3 7" xfId="11198" xr:uid="{00000000-0005-0000-0000-0000BE2B0000}"/>
    <cellStyle name="Normal 2 2 2 2 2 2 22 3 8" xfId="11199" xr:uid="{00000000-0005-0000-0000-0000BF2B0000}"/>
    <cellStyle name="Normal 2 2 2 2 2 2 22 3 9" xfId="11200" xr:uid="{00000000-0005-0000-0000-0000C02B0000}"/>
    <cellStyle name="Normal 2 2 2 2 2 2 22 4" xfId="11201" xr:uid="{00000000-0005-0000-0000-0000C12B0000}"/>
    <cellStyle name="Normal 2 2 2 2 2 2 22 4 10" xfId="11202" xr:uid="{00000000-0005-0000-0000-0000C22B0000}"/>
    <cellStyle name="Normal 2 2 2 2 2 2 22 4 2" xfId="11203" xr:uid="{00000000-0005-0000-0000-0000C32B0000}"/>
    <cellStyle name="Normal 2 2 2 2 2 2 22 4 3" xfId="11204" xr:uid="{00000000-0005-0000-0000-0000C42B0000}"/>
    <cellStyle name="Normal 2 2 2 2 2 2 22 4 4" xfId="11205" xr:uid="{00000000-0005-0000-0000-0000C52B0000}"/>
    <cellStyle name="Normal 2 2 2 2 2 2 22 4 5" xfId="11206" xr:uid="{00000000-0005-0000-0000-0000C62B0000}"/>
    <cellStyle name="Normal 2 2 2 2 2 2 22 4 6" xfId="11207" xr:uid="{00000000-0005-0000-0000-0000C72B0000}"/>
    <cellStyle name="Normal 2 2 2 2 2 2 22 4 7" xfId="11208" xr:uid="{00000000-0005-0000-0000-0000C82B0000}"/>
    <cellStyle name="Normal 2 2 2 2 2 2 22 4 8" xfId="11209" xr:uid="{00000000-0005-0000-0000-0000C92B0000}"/>
    <cellStyle name="Normal 2 2 2 2 2 2 22 4 9" xfId="11210" xr:uid="{00000000-0005-0000-0000-0000CA2B0000}"/>
    <cellStyle name="Normal 2 2 2 2 2 2 22 5" xfId="11211" xr:uid="{00000000-0005-0000-0000-0000CB2B0000}"/>
    <cellStyle name="Normal 2 2 2 2 2 2 22 5 10" xfId="11212" xr:uid="{00000000-0005-0000-0000-0000CC2B0000}"/>
    <cellStyle name="Normal 2 2 2 2 2 2 22 5 2" xfId="11213" xr:uid="{00000000-0005-0000-0000-0000CD2B0000}"/>
    <cellStyle name="Normal 2 2 2 2 2 2 22 5 3" xfId="11214" xr:uid="{00000000-0005-0000-0000-0000CE2B0000}"/>
    <cellStyle name="Normal 2 2 2 2 2 2 22 5 4" xfId="11215" xr:uid="{00000000-0005-0000-0000-0000CF2B0000}"/>
    <cellStyle name="Normal 2 2 2 2 2 2 22 5 5" xfId="11216" xr:uid="{00000000-0005-0000-0000-0000D02B0000}"/>
    <cellStyle name="Normal 2 2 2 2 2 2 22 5 6" xfId="11217" xr:uid="{00000000-0005-0000-0000-0000D12B0000}"/>
    <cellStyle name="Normal 2 2 2 2 2 2 22 5 7" xfId="11218" xr:uid="{00000000-0005-0000-0000-0000D22B0000}"/>
    <cellStyle name="Normal 2 2 2 2 2 2 22 5 8" xfId="11219" xr:uid="{00000000-0005-0000-0000-0000D32B0000}"/>
    <cellStyle name="Normal 2 2 2 2 2 2 22 5 9" xfId="11220" xr:uid="{00000000-0005-0000-0000-0000D42B0000}"/>
    <cellStyle name="Normal 2 2 2 2 2 2 22 6" xfId="11221" xr:uid="{00000000-0005-0000-0000-0000D52B0000}"/>
    <cellStyle name="Normal 2 2 2 2 2 2 22 7" xfId="11222" xr:uid="{00000000-0005-0000-0000-0000D62B0000}"/>
    <cellStyle name="Normal 2 2 2 2 2 2 22 8" xfId="11223" xr:uid="{00000000-0005-0000-0000-0000D72B0000}"/>
    <cellStyle name="Normal 2 2 2 2 2 2 22 9" xfId="11224" xr:uid="{00000000-0005-0000-0000-0000D82B0000}"/>
    <cellStyle name="Normal 2 2 2 2 2 2 23" xfId="11225" xr:uid="{00000000-0005-0000-0000-0000D92B0000}"/>
    <cellStyle name="Normal 2 2 2 2 2 2 23 10" xfId="11226" xr:uid="{00000000-0005-0000-0000-0000DA2B0000}"/>
    <cellStyle name="Normal 2 2 2 2 2 2 23 11" xfId="11227" xr:uid="{00000000-0005-0000-0000-0000DB2B0000}"/>
    <cellStyle name="Normal 2 2 2 2 2 2 23 12" xfId="11228" xr:uid="{00000000-0005-0000-0000-0000DC2B0000}"/>
    <cellStyle name="Normal 2 2 2 2 2 2 23 13" xfId="11229" xr:uid="{00000000-0005-0000-0000-0000DD2B0000}"/>
    <cellStyle name="Normal 2 2 2 2 2 2 23 14" xfId="11230" xr:uid="{00000000-0005-0000-0000-0000DE2B0000}"/>
    <cellStyle name="Normal 2 2 2 2 2 2 23 2" xfId="11231" xr:uid="{00000000-0005-0000-0000-0000DF2B0000}"/>
    <cellStyle name="Normal 2 2 2 2 2 2 23 2 10" xfId="11232" xr:uid="{00000000-0005-0000-0000-0000E02B0000}"/>
    <cellStyle name="Normal 2 2 2 2 2 2 23 2 2" xfId="11233" xr:uid="{00000000-0005-0000-0000-0000E12B0000}"/>
    <cellStyle name="Normal 2 2 2 2 2 2 23 2 3" xfId="11234" xr:uid="{00000000-0005-0000-0000-0000E22B0000}"/>
    <cellStyle name="Normal 2 2 2 2 2 2 23 2 4" xfId="11235" xr:uid="{00000000-0005-0000-0000-0000E32B0000}"/>
    <cellStyle name="Normal 2 2 2 2 2 2 23 2 5" xfId="11236" xr:uid="{00000000-0005-0000-0000-0000E42B0000}"/>
    <cellStyle name="Normal 2 2 2 2 2 2 23 2 6" xfId="11237" xr:uid="{00000000-0005-0000-0000-0000E52B0000}"/>
    <cellStyle name="Normal 2 2 2 2 2 2 23 2 7" xfId="11238" xr:uid="{00000000-0005-0000-0000-0000E62B0000}"/>
    <cellStyle name="Normal 2 2 2 2 2 2 23 2 8" xfId="11239" xr:uid="{00000000-0005-0000-0000-0000E72B0000}"/>
    <cellStyle name="Normal 2 2 2 2 2 2 23 2 9" xfId="11240" xr:uid="{00000000-0005-0000-0000-0000E82B0000}"/>
    <cellStyle name="Normal 2 2 2 2 2 2 23 3" xfId="11241" xr:uid="{00000000-0005-0000-0000-0000E92B0000}"/>
    <cellStyle name="Normal 2 2 2 2 2 2 23 3 10" xfId="11242" xr:uid="{00000000-0005-0000-0000-0000EA2B0000}"/>
    <cellStyle name="Normal 2 2 2 2 2 2 23 3 2" xfId="11243" xr:uid="{00000000-0005-0000-0000-0000EB2B0000}"/>
    <cellStyle name="Normal 2 2 2 2 2 2 23 3 3" xfId="11244" xr:uid="{00000000-0005-0000-0000-0000EC2B0000}"/>
    <cellStyle name="Normal 2 2 2 2 2 2 23 3 4" xfId="11245" xr:uid="{00000000-0005-0000-0000-0000ED2B0000}"/>
    <cellStyle name="Normal 2 2 2 2 2 2 23 3 5" xfId="11246" xr:uid="{00000000-0005-0000-0000-0000EE2B0000}"/>
    <cellStyle name="Normal 2 2 2 2 2 2 23 3 6" xfId="11247" xr:uid="{00000000-0005-0000-0000-0000EF2B0000}"/>
    <cellStyle name="Normal 2 2 2 2 2 2 23 3 7" xfId="11248" xr:uid="{00000000-0005-0000-0000-0000F02B0000}"/>
    <cellStyle name="Normal 2 2 2 2 2 2 23 3 8" xfId="11249" xr:uid="{00000000-0005-0000-0000-0000F12B0000}"/>
    <cellStyle name="Normal 2 2 2 2 2 2 23 3 9" xfId="11250" xr:uid="{00000000-0005-0000-0000-0000F22B0000}"/>
    <cellStyle name="Normal 2 2 2 2 2 2 23 4" xfId="11251" xr:uid="{00000000-0005-0000-0000-0000F32B0000}"/>
    <cellStyle name="Normal 2 2 2 2 2 2 23 4 10" xfId="11252" xr:uid="{00000000-0005-0000-0000-0000F42B0000}"/>
    <cellStyle name="Normal 2 2 2 2 2 2 23 4 2" xfId="11253" xr:uid="{00000000-0005-0000-0000-0000F52B0000}"/>
    <cellStyle name="Normal 2 2 2 2 2 2 23 4 3" xfId="11254" xr:uid="{00000000-0005-0000-0000-0000F62B0000}"/>
    <cellStyle name="Normal 2 2 2 2 2 2 23 4 4" xfId="11255" xr:uid="{00000000-0005-0000-0000-0000F72B0000}"/>
    <cellStyle name="Normal 2 2 2 2 2 2 23 4 5" xfId="11256" xr:uid="{00000000-0005-0000-0000-0000F82B0000}"/>
    <cellStyle name="Normal 2 2 2 2 2 2 23 4 6" xfId="11257" xr:uid="{00000000-0005-0000-0000-0000F92B0000}"/>
    <cellStyle name="Normal 2 2 2 2 2 2 23 4 7" xfId="11258" xr:uid="{00000000-0005-0000-0000-0000FA2B0000}"/>
    <cellStyle name="Normal 2 2 2 2 2 2 23 4 8" xfId="11259" xr:uid="{00000000-0005-0000-0000-0000FB2B0000}"/>
    <cellStyle name="Normal 2 2 2 2 2 2 23 4 9" xfId="11260" xr:uid="{00000000-0005-0000-0000-0000FC2B0000}"/>
    <cellStyle name="Normal 2 2 2 2 2 2 23 5" xfId="11261" xr:uid="{00000000-0005-0000-0000-0000FD2B0000}"/>
    <cellStyle name="Normal 2 2 2 2 2 2 23 5 10" xfId="11262" xr:uid="{00000000-0005-0000-0000-0000FE2B0000}"/>
    <cellStyle name="Normal 2 2 2 2 2 2 23 5 2" xfId="11263" xr:uid="{00000000-0005-0000-0000-0000FF2B0000}"/>
    <cellStyle name="Normal 2 2 2 2 2 2 23 5 3" xfId="11264" xr:uid="{00000000-0005-0000-0000-0000002C0000}"/>
    <cellStyle name="Normal 2 2 2 2 2 2 23 5 4" xfId="11265" xr:uid="{00000000-0005-0000-0000-0000012C0000}"/>
    <cellStyle name="Normal 2 2 2 2 2 2 23 5 5" xfId="11266" xr:uid="{00000000-0005-0000-0000-0000022C0000}"/>
    <cellStyle name="Normal 2 2 2 2 2 2 23 5 6" xfId="11267" xr:uid="{00000000-0005-0000-0000-0000032C0000}"/>
    <cellStyle name="Normal 2 2 2 2 2 2 23 5 7" xfId="11268" xr:uid="{00000000-0005-0000-0000-0000042C0000}"/>
    <cellStyle name="Normal 2 2 2 2 2 2 23 5 8" xfId="11269" xr:uid="{00000000-0005-0000-0000-0000052C0000}"/>
    <cellStyle name="Normal 2 2 2 2 2 2 23 5 9" xfId="11270" xr:uid="{00000000-0005-0000-0000-0000062C0000}"/>
    <cellStyle name="Normal 2 2 2 2 2 2 23 6" xfId="11271" xr:uid="{00000000-0005-0000-0000-0000072C0000}"/>
    <cellStyle name="Normal 2 2 2 2 2 2 23 7" xfId="11272" xr:uid="{00000000-0005-0000-0000-0000082C0000}"/>
    <cellStyle name="Normal 2 2 2 2 2 2 23 8" xfId="11273" xr:uid="{00000000-0005-0000-0000-0000092C0000}"/>
    <cellStyle name="Normal 2 2 2 2 2 2 23 9" xfId="11274" xr:uid="{00000000-0005-0000-0000-00000A2C0000}"/>
    <cellStyle name="Normal 2 2 2 2 2 2 24" xfId="11275" xr:uid="{00000000-0005-0000-0000-00000B2C0000}"/>
    <cellStyle name="Normal 2 2 2 2 2 2 24 10" xfId="11276" xr:uid="{00000000-0005-0000-0000-00000C2C0000}"/>
    <cellStyle name="Normal 2 2 2 2 2 2 24 11" xfId="11277" xr:uid="{00000000-0005-0000-0000-00000D2C0000}"/>
    <cellStyle name="Normal 2 2 2 2 2 2 24 12" xfId="11278" xr:uid="{00000000-0005-0000-0000-00000E2C0000}"/>
    <cellStyle name="Normal 2 2 2 2 2 2 24 13" xfId="11279" xr:uid="{00000000-0005-0000-0000-00000F2C0000}"/>
    <cellStyle name="Normal 2 2 2 2 2 2 24 14" xfId="11280" xr:uid="{00000000-0005-0000-0000-0000102C0000}"/>
    <cellStyle name="Normal 2 2 2 2 2 2 24 2" xfId="11281" xr:uid="{00000000-0005-0000-0000-0000112C0000}"/>
    <cellStyle name="Normal 2 2 2 2 2 2 24 2 10" xfId="11282" xr:uid="{00000000-0005-0000-0000-0000122C0000}"/>
    <cellStyle name="Normal 2 2 2 2 2 2 24 2 2" xfId="11283" xr:uid="{00000000-0005-0000-0000-0000132C0000}"/>
    <cellStyle name="Normal 2 2 2 2 2 2 24 2 3" xfId="11284" xr:uid="{00000000-0005-0000-0000-0000142C0000}"/>
    <cellStyle name="Normal 2 2 2 2 2 2 24 2 4" xfId="11285" xr:uid="{00000000-0005-0000-0000-0000152C0000}"/>
    <cellStyle name="Normal 2 2 2 2 2 2 24 2 5" xfId="11286" xr:uid="{00000000-0005-0000-0000-0000162C0000}"/>
    <cellStyle name="Normal 2 2 2 2 2 2 24 2 6" xfId="11287" xr:uid="{00000000-0005-0000-0000-0000172C0000}"/>
    <cellStyle name="Normal 2 2 2 2 2 2 24 2 7" xfId="11288" xr:uid="{00000000-0005-0000-0000-0000182C0000}"/>
    <cellStyle name="Normal 2 2 2 2 2 2 24 2 8" xfId="11289" xr:uid="{00000000-0005-0000-0000-0000192C0000}"/>
    <cellStyle name="Normal 2 2 2 2 2 2 24 2 9" xfId="11290" xr:uid="{00000000-0005-0000-0000-00001A2C0000}"/>
    <cellStyle name="Normal 2 2 2 2 2 2 24 3" xfId="11291" xr:uid="{00000000-0005-0000-0000-00001B2C0000}"/>
    <cellStyle name="Normal 2 2 2 2 2 2 24 3 10" xfId="11292" xr:uid="{00000000-0005-0000-0000-00001C2C0000}"/>
    <cellStyle name="Normal 2 2 2 2 2 2 24 3 2" xfId="11293" xr:uid="{00000000-0005-0000-0000-00001D2C0000}"/>
    <cellStyle name="Normal 2 2 2 2 2 2 24 3 3" xfId="11294" xr:uid="{00000000-0005-0000-0000-00001E2C0000}"/>
    <cellStyle name="Normal 2 2 2 2 2 2 24 3 4" xfId="11295" xr:uid="{00000000-0005-0000-0000-00001F2C0000}"/>
    <cellStyle name="Normal 2 2 2 2 2 2 24 3 5" xfId="11296" xr:uid="{00000000-0005-0000-0000-0000202C0000}"/>
    <cellStyle name="Normal 2 2 2 2 2 2 24 3 6" xfId="11297" xr:uid="{00000000-0005-0000-0000-0000212C0000}"/>
    <cellStyle name="Normal 2 2 2 2 2 2 24 3 7" xfId="11298" xr:uid="{00000000-0005-0000-0000-0000222C0000}"/>
    <cellStyle name="Normal 2 2 2 2 2 2 24 3 8" xfId="11299" xr:uid="{00000000-0005-0000-0000-0000232C0000}"/>
    <cellStyle name="Normal 2 2 2 2 2 2 24 3 9" xfId="11300" xr:uid="{00000000-0005-0000-0000-0000242C0000}"/>
    <cellStyle name="Normal 2 2 2 2 2 2 24 4" xfId="11301" xr:uid="{00000000-0005-0000-0000-0000252C0000}"/>
    <cellStyle name="Normal 2 2 2 2 2 2 24 4 10" xfId="11302" xr:uid="{00000000-0005-0000-0000-0000262C0000}"/>
    <cellStyle name="Normal 2 2 2 2 2 2 24 4 2" xfId="11303" xr:uid="{00000000-0005-0000-0000-0000272C0000}"/>
    <cellStyle name="Normal 2 2 2 2 2 2 24 4 3" xfId="11304" xr:uid="{00000000-0005-0000-0000-0000282C0000}"/>
    <cellStyle name="Normal 2 2 2 2 2 2 24 4 4" xfId="11305" xr:uid="{00000000-0005-0000-0000-0000292C0000}"/>
    <cellStyle name="Normal 2 2 2 2 2 2 24 4 5" xfId="11306" xr:uid="{00000000-0005-0000-0000-00002A2C0000}"/>
    <cellStyle name="Normal 2 2 2 2 2 2 24 4 6" xfId="11307" xr:uid="{00000000-0005-0000-0000-00002B2C0000}"/>
    <cellStyle name="Normal 2 2 2 2 2 2 24 4 7" xfId="11308" xr:uid="{00000000-0005-0000-0000-00002C2C0000}"/>
    <cellStyle name="Normal 2 2 2 2 2 2 24 4 8" xfId="11309" xr:uid="{00000000-0005-0000-0000-00002D2C0000}"/>
    <cellStyle name="Normal 2 2 2 2 2 2 24 4 9" xfId="11310" xr:uid="{00000000-0005-0000-0000-00002E2C0000}"/>
    <cellStyle name="Normal 2 2 2 2 2 2 24 5" xfId="11311" xr:uid="{00000000-0005-0000-0000-00002F2C0000}"/>
    <cellStyle name="Normal 2 2 2 2 2 2 24 5 10" xfId="11312" xr:uid="{00000000-0005-0000-0000-0000302C0000}"/>
    <cellStyle name="Normal 2 2 2 2 2 2 24 5 2" xfId="11313" xr:uid="{00000000-0005-0000-0000-0000312C0000}"/>
    <cellStyle name="Normal 2 2 2 2 2 2 24 5 3" xfId="11314" xr:uid="{00000000-0005-0000-0000-0000322C0000}"/>
    <cellStyle name="Normal 2 2 2 2 2 2 24 5 4" xfId="11315" xr:uid="{00000000-0005-0000-0000-0000332C0000}"/>
    <cellStyle name="Normal 2 2 2 2 2 2 24 5 5" xfId="11316" xr:uid="{00000000-0005-0000-0000-0000342C0000}"/>
    <cellStyle name="Normal 2 2 2 2 2 2 24 5 6" xfId="11317" xr:uid="{00000000-0005-0000-0000-0000352C0000}"/>
    <cellStyle name="Normal 2 2 2 2 2 2 24 5 7" xfId="11318" xr:uid="{00000000-0005-0000-0000-0000362C0000}"/>
    <cellStyle name="Normal 2 2 2 2 2 2 24 5 8" xfId="11319" xr:uid="{00000000-0005-0000-0000-0000372C0000}"/>
    <cellStyle name="Normal 2 2 2 2 2 2 24 5 9" xfId="11320" xr:uid="{00000000-0005-0000-0000-0000382C0000}"/>
    <cellStyle name="Normal 2 2 2 2 2 2 24 6" xfId="11321" xr:uid="{00000000-0005-0000-0000-0000392C0000}"/>
    <cellStyle name="Normal 2 2 2 2 2 2 24 7" xfId="11322" xr:uid="{00000000-0005-0000-0000-00003A2C0000}"/>
    <cellStyle name="Normal 2 2 2 2 2 2 24 8" xfId="11323" xr:uid="{00000000-0005-0000-0000-00003B2C0000}"/>
    <cellStyle name="Normal 2 2 2 2 2 2 24 9" xfId="11324" xr:uid="{00000000-0005-0000-0000-00003C2C0000}"/>
    <cellStyle name="Normal 2 2 2 2 2 2 25" xfId="11325" xr:uid="{00000000-0005-0000-0000-00003D2C0000}"/>
    <cellStyle name="Normal 2 2 2 2 2 2 25 10" xfId="11326" xr:uid="{00000000-0005-0000-0000-00003E2C0000}"/>
    <cellStyle name="Normal 2 2 2 2 2 2 25 11" xfId="11327" xr:uid="{00000000-0005-0000-0000-00003F2C0000}"/>
    <cellStyle name="Normal 2 2 2 2 2 2 25 12" xfId="11328" xr:uid="{00000000-0005-0000-0000-0000402C0000}"/>
    <cellStyle name="Normal 2 2 2 2 2 2 25 13" xfId="11329" xr:uid="{00000000-0005-0000-0000-0000412C0000}"/>
    <cellStyle name="Normal 2 2 2 2 2 2 25 14" xfId="11330" xr:uid="{00000000-0005-0000-0000-0000422C0000}"/>
    <cellStyle name="Normal 2 2 2 2 2 2 25 2" xfId="11331" xr:uid="{00000000-0005-0000-0000-0000432C0000}"/>
    <cellStyle name="Normal 2 2 2 2 2 2 25 2 10" xfId="11332" xr:uid="{00000000-0005-0000-0000-0000442C0000}"/>
    <cellStyle name="Normal 2 2 2 2 2 2 25 2 2" xfId="11333" xr:uid="{00000000-0005-0000-0000-0000452C0000}"/>
    <cellStyle name="Normal 2 2 2 2 2 2 25 2 3" xfId="11334" xr:uid="{00000000-0005-0000-0000-0000462C0000}"/>
    <cellStyle name="Normal 2 2 2 2 2 2 25 2 4" xfId="11335" xr:uid="{00000000-0005-0000-0000-0000472C0000}"/>
    <cellStyle name="Normal 2 2 2 2 2 2 25 2 5" xfId="11336" xr:uid="{00000000-0005-0000-0000-0000482C0000}"/>
    <cellStyle name="Normal 2 2 2 2 2 2 25 2 6" xfId="11337" xr:uid="{00000000-0005-0000-0000-0000492C0000}"/>
    <cellStyle name="Normal 2 2 2 2 2 2 25 2 7" xfId="11338" xr:uid="{00000000-0005-0000-0000-00004A2C0000}"/>
    <cellStyle name="Normal 2 2 2 2 2 2 25 2 8" xfId="11339" xr:uid="{00000000-0005-0000-0000-00004B2C0000}"/>
    <cellStyle name="Normal 2 2 2 2 2 2 25 2 9" xfId="11340" xr:uid="{00000000-0005-0000-0000-00004C2C0000}"/>
    <cellStyle name="Normal 2 2 2 2 2 2 25 3" xfId="11341" xr:uid="{00000000-0005-0000-0000-00004D2C0000}"/>
    <cellStyle name="Normal 2 2 2 2 2 2 25 3 10" xfId="11342" xr:uid="{00000000-0005-0000-0000-00004E2C0000}"/>
    <cellStyle name="Normal 2 2 2 2 2 2 25 3 2" xfId="11343" xr:uid="{00000000-0005-0000-0000-00004F2C0000}"/>
    <cellStyle name="Normal 2 2 2 2 2 2 25 3 3" xfId="11344" xr:uid="{00000000-0005-0000-0000-0000502C0000}"/>
    <cellStyle name="Normal 2 2 2 2 2 2 25 3 4" xfId="11345" xr:uid="{00000000-0005-0000-0000-0000512C0000}"/>
    <cellStyle name="Normal 2 2 2 2 2 2 25 3 5" xfId="11346" xr:uid="{00000000-0005-0000-0000-0000522C0000}"/>
    <cellStyle name="Normal 2 2 2 2 2 2 25 3 6" xfId="11347" xr:uid="{00000000-0005-0000-0000-0000532C0000}"/>
    <cellStyle name="Normal 2 2 2 2 2 2 25 3 7" xfId="11348" xr:uid="{00000000-0005-0000-0000-0000542C0000}"/>
    <cellStyle name="Normal 2 2 2 2 2 2 25 3 8" xfId="11349" xr:uid="{00000000-0005-0000-0000-0000552C0000}"/>
    <cellStyle name="Normal 2 2 2 2 2 2 25 3 9" xfId="11350" xr:uid="{00000000-0005-0000-0000-0000562C0000}"/>
    <cellStyle name="Normal 2 2 2 2 2 2 25 4" xfId="11351" xr:uid="{00000000-0005-0000-0000-0000572C0000}"/>
    <cellStyle name="Normal 2 2 2 2 2 2 25 4 10" xfId="11352" xr:uid="{00000000-0005-0000-0000-0000582C0000}"/>
    <cellStyle name="Normal 2 2 2 2 2 2 25 4 2" xfId="11353" xr:uid="{00000000-0005-0000-0000-0000592C0000}"/>
    <cellStyle name="Normal 2 2 2 2 2 2 25 4 3" xfId="11354" xr:uid="{00000000-0005-0000-0000-00005A2C0000}"/>
    <cellStyle name="Normal 2 2 2 2 2 2 25 4 4" xfId="11355" xr:uid="{00000000-0005-0000-0000-00005B2C0000}"/>
    <cellStyle name="Normal 2 2 2 2 2 2 25 4 5" xfId="11356" xr:uid="{00000000-0005-0000-0000-00005C2C0000}"/>
    <cellStyle name="Normal 2 2 2 2 2 2 25 4 6" xfId="11357" xr:uid="{00000000-0005-0000-0000-00005D2C0000}"/>
    <cellStyle name="Normal 2 2 2 2 2 2 25 4 7" xfId="11358" xr:uid="{00000000-0005-0000-0000-00005E2C0000}"/>
    <cellStyle name="Normal 2 2 2 2 2 2 25 4 8" xfId="11359" xr:uid="{00000000-0005-0000-0000-00005F2C0000}"/>
    <cellStyle name="Normal 2 2 2 2 2 2 25 4 9" xfId="11360" xr:uid="{00000000-0005-0000-0000-0000602C0000}"/>
    <cellStyle name="Normal 2 2 2 2 2 2 25 5" xfId="11361" xr:uid="{00000000-0005-0000-0000-0000612C0000}"/>
    <cellStyle name="Normal 2 2 2 2 2 2 25 5 10" xfId="11362" xr:uid="{00000000-0005-0000-0000-0000622C0000}"/>
    <cellStyle name="Normal 2 2 2 2 2 2 25 5 2" xfId="11363" xr:uid="{00000000-0005-0000-0000-0000632C0000}"/>
    <cellStyle name="Normal 2 2 2 2 2 2 25 5 3" xfId="11364" xr:uid="{00000000-0005-0000-0000-0000642C0000}"/>
    <cellStyle name="Normal 2 2 2 2 2 2 25 5 4" xfId="11365" xr:uid="{00000000-0005-0000-0000-0000652C0000}"/>
    <cellStyle name="Normal 2 2 2 2 2 2 25 5 5" xfId="11366" xr:uid="{00000000-0005-0000-0000-0000662C0000}"/>
    <cellStyle name="Normal 2 2 2 2 2 2 25 5 6" xfId="11367" xr:uid="{00000000-0005-0000-0000-0000672C0000}"/>
    <cellStyle name="Normal 2 2 2 2 2 2 25 5 7" xfId="11368" xr:uid="{00000000-0005-0000-0000-0000682C0000}"/>
    <cellStyle name="Normal 2 2 2 2 2 2 25 5 8" xfId="11369" xr:uid="{00000000-0005-0000-0000-0000692C0000}"/>
    <cellStyle name="Normal 2 2 2 2 2 2 25 5 9" xfId="11370" xr:uid="{00000000-0005-0000-0000-00006A2C0000}"/>
    <cellStyle name="Normal 2 2 2 2 2 2 25 6" xfId="11371" xr:uid="{00000000-0005-0000-0000-00006B2C0000}"/>
    <cellStyle name="Normal 2 2 2 2 2 2 25 7" xfId="11372" xr:uid="{00000000-0005-0000-0000-00006C2C0000}"/>
    <cellStyle name="Normal 2 2 2 2 2 2 25 8" xfId="11373" xr:uid="{00000000-0005-0000-0000-00006D2C0000}"/>
    <cellStyle name="Normal 2 2 2 2 2 2 25 9" xfId="11374" xr:uid="{00000000-0005-0000-0000-00006E2C0000}"/>
    <cellStyle name="Normal 2 2 2 2 2 2 26" xfId="11375" xr:uid="{00000000-0005-0000-0000-00006F2C0000}"/>
    <cellStyle name="Normal 2 2 2 2 2 2 26 10" xfId="11376" xr:uid="{00000000-0005-0000-0000-0000702C0000}"/>
    <cellStyle name="Normal 2 2 2 2 2 2 26 11" xfId="11377" xr:uid="{00000000-0005-0000-0000-0000712C0000}"/>
    <cellStyle name="Normal 2 2 2 2 2 2 26 12" xfId="11378" xr:uid="{00000000-0005-0000-0000-0000722C0000}"/>
    <cellStyle name="Normal 2 2 2 2 2 2 26 13" xfId="11379" xr:uid="{00000000-0005-0000-0000-0000732C0000}"/>
    <cellStyle name="Normal 2 2 2 2 2 2 26 14" xfId="11380" xr:uid="{00000000-0005-0000-0000-0000742C0000}"/>
    <cellStyle name="Normal 2 2 2 2 2 2 26 2" xfId="11381" xr:uid="{00000000-0005-0000-0000-0000752C0000}"/>
    <cellStyle name="Normal 2 2 2 2 2 2 26 2 10" xfId="11382" xr:uid="{00000000-0005-0000-0000-0000762C0000}"/>
    <cellStyle name="Normal 2 2 2 2 2 2 26 2 2" xfId="11383" xr:uid="{00000000-0005-0000-0000-0000772C0000}"/>
    <cellStyle name="Normal 2 2 2 2 2 2 26 2 3" xfId="11384" xr:uid="{00000000-0005-0000-0000-0000782C0000}"/>
    <cellStyle name="Normal 2 2 2 2 2 2 26 2 4" xfId="11385" xr:uid="{00000000-0005-0000-0000-0000792C0000}"/>
    <cellStyle name="Normal 2 2 2 2 2 2 26 2 5" xfId="11386" xr:uid="{00000000-0005-0000-0000-00007A2C0000}"/>
    <cellStyle name="Normal 2 2 2 2 2 2 26 2 6" xfId="11387" xr:uid="{00000000-0005-0000-0000-00007B2C0000}"/>
    <cellStyle name="Normal 2 2 2 2 2 2 26 2 7" xfId="11388" xr:uid="{00000000-0005-0000-0000-00007C2C0000}"/>
    <cellStyle name="Normal 2 2 2 2 2 2 26 2 8" xfId="11389" xr:uid="{00000000-0005-0000-0000-00007D2C0000}"/>
    <cellStyle name="Normal 2 2 2 2 2 2 26 2 9" xfId="11390" xr:uid="{00000000-0005-0000-0000-00007E2C0000}"/>
    <cellStyle name="Normal 2 2 2 2 2 2 26 3" xfId="11391" xr:uid="{00000000-0005-0000-0000-00007F2C0000}"/>
    <cellStyle name="Normal 2 2 2 2 2 2 26 3 10" xfId="11392" xr:uid="{00000000-0005-0000-0000-0000802C0000}"/>
    <cellStyle name="Normal 2 2 2 2 2 2 26 3 2" xfId="11393" xr:uid="{00000000-0005-0000-0000-0000812C0000}"/>
    <cellStyle name="Normal 2 2 2 2 2 2 26 3 3" xfId="11394" xr:uid="{00000000-0005-0000-0000-0000822C0000}"/>
    <cellStyle name="Normal 2 2 2 2 2 2 26 3 4" xfId="11395" xr:uid="{00000000-0005-0000-0000-0000832C0000}"/>
    <cellStyle name="Normal 2 2 2 2 2 2 26 3 5" xfId="11396" xr:uid="{00000000-0005-0000-0000-0000842C0000}"/>
    <cellStyle name="Normal 2 2 2 2 2 2 26 3 6" xfId="11397" xr:uid="{00000000-0005-0000-0000-0000852C0000}"/>
    <cellStyle name="Normal 2 2 2 2 2 2 26 3 7" xfId="11398" xr:uid="{00000000-0005-0000-0000-0000862C0000}"/>
    <cellStyle name="Normal 2 2 2 2 2 2 26 3 8" xfId="11399" xr:uid="{00000000-0005-0000-0000-0000872C0000}"/>
    <cellStyle name="Normal 2 2 2 2 2 2 26 3 9" xfId="11400" xr:uid="{00000000-0005-0000-0000-0000882C0000}"/>
    <cellStyle name="Normal 2 2 2 2 2 2 26 4" xfId="11401" xr:uid="{00000000-0005-0000-0000-0000892C0000}"/>
    <cellStyle name="Normal 2 2 2 2 2 2 26 4 10" xfId="11402" xr:uid="{00000000-0005-0000-0000-00008A2C0000}"/>
    <cellStyle name="Normal 2 2 2 2 2 2 26 4 2" xfId="11403" xr:uid="{00000000-0005-0000-0000-00008B2C0000}"/>
    <cellStyle name="Normal 2 2 2 2 2 2 26 4 3" xfId="11404" xr:uid="{00000000-0005-0000-0000-00008C2C0000}"/>
    <cellStyle name="Normal 2 2 2 2 2 2 26 4 4" xfId="11405" xr:uid="{00000000-0005-0000-0000-00008D2C0000}"/>
    <cellStyle name="Normal 2 2 2 2 2 2 26 4 5" xfId="11406" xr:uid="{00000000-0005-0000-0000-00008E2C0000}"/>
    <cellStyle name="Normal 2 2 2 2 2 2 26 4 6" xfId="11407" xr:uid="{00000000-0005-0000-0000-00008F2C0000}"/>
    <cellStyle name="Normal 2 2 2 2 2 2 26 4 7" xfId="11408" xr:uid="{00000000-0005-0000-0000-0000902C0000}"/>
    <cellStyle name="Normal 2 2 2 2 2 2 26 4 8" xfId="11409" xr:uid="{00000000-0005-0000-0000-0000912C0000}"/>
    <cellStyle name="Normal 2 2 2 2 2 2 26 4 9" xfId="11410" xr:uid="{00000000-0005-0000-0000-0000922C0000}"/>
    <cellStyle name="Normal 2 2 2 2 2 2 26 5" xfId="11411" xr:uid="{00000000-0005-0000-0000-0000932C0000}"/>
    <cellStyle name="Normal 2 2 2 2 2 2 26 5 10" xfId="11412" xr:uid="{00000000-0005-0000-0000-0000942C0000}"/>
    <cellStyle name="Normal 2 2 2 2 2 2 26 5 2" xfId="11413" xr:uid="{00000000-0005-0000-0000-0000952C0000}"/>
    <cellStyle name="Normal 2 2 2 2 2 2 26 5 3" xfId="11414" xr:uid="{00000000-0005-0000-0000-0000962C0000}"/>
    <cellStyle name="Normal 2 2 2 2 2 2 26 5 4" xfId="11415" xr:uid="{00000000-0005-0000-0000-0000972C0000}"/>
    <cellStyle name="Normal 2 2 2 2 2 2 26 5 5" xfId="11416" xr:uid="{00000000-0005-0000-0000-0000982C0000}"/>
    <cellStyle name="Normal 2 2 2 2 2 2 26 5 6" xfId="11417" xr:uid="{00000000-0005-0000-0000-0000992C0000}"/>
    <cellStyle name="Normal 2 2 2 2 2 2 26 5 7" xfId="11418" xr:uid="{00000000-0005-0000-0000-00009A2C0000}"/>
    <cellStyle name="Normal 2 2 2 2 2 2 26 5 8" xfId="11419" xr:uid="{00000000-0005-0000-0000-00009B2C0000}"/>
    <cellStyle name="Normal 2 2 2 2 2 2 26 5 9" xfId="11420" xr:uid="{00000000-0005-0000-0000-00009C2C0000}"/>
    <cellStyle name="Normal 2 2 2 2 2 2 26 6" xfId="11421" xr:uid="{00000000-0005-0000-0000-00009D2C0000}"/>
    <cellStyle name="Normal 2 2 2 2 2 2 26 7" xfId="11422" xr:uid="{00000000-0005-0000-0000-00009E2C0000}"/>
    <cellStyle name="Normal 2 2 2 2 2 2 26 8" xfId="11423" xr:uid="{00000000-0005-0000-0000-00009F2C0000}"/>
    <cellStyle name="Normal 2 2 2 2 2 2 26 9" xfId="11424" xr:uid="{00000000-0005-0000-0000-0000A02C0000}"/>
    <cellStyle name="Normal 2 2 2 2 2 2 27" xfId="11425" xr:uid="{00000000-0005-0000-0000-0000A12C0000}"/>
    <cellStyle name="Normal 2 2 2 2 2 2 27 10" xfId="11426" xr:uid="{00000000-0005-0000-0000-0000A22C0000}"/>
    <cellStyle name="Normal 2 2 2 2 2 2 27 11" xfId="11427" xr:uid="{00000000-0005-0000-0000-0000A32C0000}"/>
    <cellStyle name="Normal 2 2 2 2 2 2 27 12" xfId="11428" xr:uid="{00000000-0005-0000-0000-0000A42C0000}"/>
    <cellStyle name="Normal 2 2 2 2 2 2 27 13" xfId="11429" xr:uid="{00000000-0005-0000-0000-0000A52C0000}"/>
    <cellStyle name="Normal 2 2 2 2 2 2 27 14" xfId="11430" xr:uid="{00000000-0005-0000-0000-0000A62C0000}"/>
    <cellStyle name="Normal 2 2 2 2 2 2 27 2" xfId="11431" xr:uid="{00000000-0005-0000-0000-0000A72C0000}"/>
    <cellStyle name="Normal 2 2 2 2 2 2 27 2 10" xfId="11432" xr:uid="{00000000-0005-0000-0000-0000A82C0000}"/>
    <cellStyle name="Normal 2 2 2 2 2 2 27 2 2" xfId="11433" xr:uid="{00000000-0005-0000-0000-0000A92C0000}"/>
    <cellStyle name="Normal 2 2 2 2 2 2 27 2 3" xfId="11434" xr:uid="{00000000-0005-0000-0000-0000AA2C0000}"/>
    <cellStyle name="Normal 2 2 2 2 2 2 27 2 4" xfId="11435" xr:uid="{00000000-0005-0000-0000-0000AB2C0000}"/>
    <cellStyle name="Normal 2 2 2 2 2 2 27 2 5" xfId="11436" xr:uid="{00000000-0005-0000-0000-0000AC2C0000}"/>
    <cellStyle name="Normal 2 2 2 2 2 2 27 2 6" xfId="11437" xr:uid="{00000000-0005-0000-0000-0000AD2C0000}"/>
    <cellStyle name="Normal 2 2 2 2 2 2 27 2 7" xfId="11438" xr:uid="{00000000-0005-0000-0000-0000AE2C0000}"/>
    <cellStyle name="Normal 2 2 2 2 2 2 27 2 8" xfId="11439" xr:uid="{00000000-0005-0000-0000-0000AF2C0000}"/>
    <cellStyle name="Normal 2 2 2 2 2 2 27 2 9" xfId="11440" xr:uid="{00000000-0005-0000-0000-0000B02C0000}"/>
    <cellStyle name="Normal 2 2 2 2 2 2 27 3" xfId="11441" xr:uid="{00000000-0005-0000-0000-0000B12C0000}"/>
    <cellStyle name="Normal 2 2 2 2 2 2 27 3 10" xfId="11442" xr:uid="{00000000-0005-0000-0000-0000B22C0000}"/>
    <cellStyle name="Normal 2 2 2 2 2 2 27 3 2" xfId="11443" xr:uid="{00000000-0005-0000-0000-0000B32C0000}"/>
    <cellStyle name="Normal 2 2 2 2 2 2 27 3 3" xfId="11444" xr:uid="{00000000-0005-0000-0000-0000B42C0000}"/>
    <cellStyle name="Normal 2 2 2 2 2 2 27 3 4" xfId="11445" xr:uid="{00000000-0005-0000-0000-0000B52C0000}"/>
    <cellStyle name="Normal 2 2 2 2 2 2 27 3 5" xfId="11446" xr:uid="{00000000-0005-0000-0000-0000B62C0000}"/>
    <cellStyle name="Normal 2 2 2 2 2 2 27 3 6" xfId="11447" xr:uid="{00000000-0005-0000-0000-0000B72C0000}"/>
    <cellStyle name="Normal 2 2 2 2 2 2 27 3 7" xfId="11448" xr:uid="{00000000-0005-0000-0000-0000B82C0000}"/>
    <cellStyle name="Normal 2 2 2 2 2 2 27 3 8" xfId="11449" xr:uid="{00000000-0005-0000-0000-0000B92C0000}"/>
    <cellStyle name="Normal 2 2 2 2 2 2 27 3 9" xfId="11450" xr:uid="{00000000-0005-0000-0000-0000BA2C0000}"/>
    <cellStyle name="Normal 2 2 2 2 2 2 27 4" xfId="11451" xr:uid="{00000000-0005-0000-0000-0000BB2C0000}"/>
    <cellStyle name="Normal 2 2 2 2 2 2 27 4 10" xfId="11452" xr:uid="{00000000-0005-0000-0000-0000BC2C0000}"/>
    <cellStyle name="Normal 2 2 2 2 2 2 27 4 2" xfId="11453" xr:uid="{00000000-0005-0000-0000-0000BD2C0000}"/>
    <cellStyle name="Normal 2 2 2 2 2 2 27 4 3" xfId="11454" xr:uid="{00000000-0005-0000-0000-0000BE2C0000}"/>
    <cellStyle name="Normal 2 2 2 2 2 2 27 4 4" xfId="11455" xr:uid="{00000000-0005-0000-0000-0000BF2C0000}"/>
    <cellStyle name="Normal 2 2 2 2 2 2 27 4 5" xfId="11456" xr:uid="{00000000-0005-0000-0000-0000C02C0000}"/>
    <cellStyle name="Normal 2 2 2 2 2 2 27 4 6" xfId="11457" xr:uid="{00000000-0005-0000-0000-0000C12C0000}"/>
    <cellStyle name="Normal 2 2 2 2 2 2 27 4 7" xfId="11458" xr:uid="{00000000-0005-0000-0000-0000C22C0000}"/>
    <cellStyle name="Normal 2 2 2 2 2 2 27 4 8" xfId="11459" xr:uid="{00000000-0005-0000-0000-0000C32C0000}"/>
    <cellStyle name="Normal 2 2 2 2 2 2 27 4 9" xfId="11460" xr:uid="{00000000-0005-0000-0000-0000C42C0000}"/>
    <cellStyle name="Normal 2 2 2 2 2 2 27 5" xfId="11461" xr:uid="{00000000-0005-0000-0000-0000C52C0000}"/>
    <cellStyle name="Normal 2 2 2 2 2 2 27 5 10" xfId="11462" xr:uid="{00000000-0005-0000-0000-0000C62C0000}"/>
    <cellStyle name="Normal 2 2 2 2 2 2 27 5 2" xfId="11463" xr:uid="{00000000-0005-0000-0000-0000C72C0000}"/>
    <cellStyle name="Normal 2 2 2 2 2 2 27 5 3" xfId="11464" xr:uid="{00000000-0005-0000-0000-0000C82C0000}"/>
    <cellStyle name="Normal 2 2 2 2 2 2 27 5 4" xfId="11465" xr:uid="{00000000-0005-0000-0000-0000C92C0000}"/>
    <cellStyle name="Normal 2 2 2 2 2 2 27 5 5" xfId="11466" xr:uid="{00000000-0005-0000-0000-0000CA2C0000}"/>
    <cellStyle name="Normal 2 2 2 2 2 2 27 5 6" xfId="11467" xr:uid="{00000000-0005-0000-0000-0000CB2C0000}"/>
    <cellStyle name="Normal 2 2 2 2 2 2 27 5 7" xfId="11468" xr:uid="{00000000-0005-0000-0000-0000CC2C0000}"/>
    <cellStyle name="Normal 2 2 2 2 2 2 27 5 8" xfId="11469" xr:uid="{00000000-0005-0000-0000-0000CD2C0000}"/>
    <cellStyle name="Normal 2 2 2 2 2 2 27 5 9" xfId="11470" xr:uid="{00000000-0005-0000-0000-0000CE2C0000}"/>
    <cellStyle name="Normal 2 2 2 2 2 2 27 6" xfId="11471" xr:uid="{00000000-0005-0000-0000-0000CF2C0000}"/>
    <cellStyle name="Normal 2 2 2 2 2 2 27 7" xfId="11472" xr:uid="{00000000-0005-0000-0000-0000D02C0000}"/>
    <cellStyle name="Normal 2 2 2 2 2 2 27 8" xfId="11473" xr:uid="{00000000-0005-0000-0000-0000D12C0000}"/>
    <cellStyle name="Normal 2 2 2 2 2 2 27 9" xfId="11474" xr:uid="{00000000-0005-0000-0000-0000D22C0000}"/>
    <cellStyle name="Normal 2 2 2 2 2 2 28" xfId="11475" xr:uid="{00000000-0005-0000-0000-0000D32C0000}"/>
    <cellStyle name="Normal 2 2 2 2 2 2 28 10" xfId="11476" xr:uid="{00000000-0005-0000-0000-0000D42C0000}"/>
    <cellStyle name="Normal 2 2 2 2 2 2 28 11" xfId="11477" xr:uid="{00000000-0005-0000-0000-0000D52C0000}"/>
    <cellStyle name="Normal 2 2 2 2 2 2 28 12" xfId="11478" xr:uid="{00000000-0005-0000-0000-0000D62C0000}"/>
    <cellStyle name="Normal 2 2 2 2 2 2 28 13" xfId="11479" xr:uid="{00000000-0005-0000-0000-0000D72C0000}"/>
    <cellStyle name="Normal 2 2 2 2 2 2 28 14" xfId="11480" xr:uid="{00000000-0005-0000-0000-0000D82C0000}"/>
    <cellStyle name="Normal 2 2 2 2 2 2 28 2" xfId="11481" xr:uid="{00000000-0005-0000-0000-0000D92C0000}"/>
    <cellStyle name="Normal 2 2 2 2 2 2 28 2 10" xfId="11482" xr:uid="{00000000-0005-0000-0000-0000DA2C0000}"/>
    <cellStyle name="Normal 2 2 2 2 2 2 28 2 2" xfId="11483" xr:uid="{00000000-0005-0000-0000-0000DB2C0000}"/>
    <cellStyle name="Normal 2 2 2 2 2 2 28 2 3" xfId="11484" xr:uid="{00000000-0005-0000-0000-0000DC2C0000}"/>
    <cellStyle name="Normal 2 2 2 2 2 2 28 2 4" xfId="11485" xr:uid="{00000000-0005-0000-0000-0000DD2C0000}"/>
    <cellStyle name="Normal 2 2 2 2 2 2 28 2 5" xfId="11486" xr:uid="{00000000-0005-0000-0000-0000DE2C0000}"/>
    <cellStyle name="Normal 2 2 2 2 2 2 28 2 6" xfId="11487" xr:uid="{00000000-0005-0000-0000-0000DF2C0000}"/>
    <cellStyle name="Normal 2 2 2 2 2 2 28 2 7" xfId="11488" xr:uid="{00000000-0005-0000-0000-0000E02C0000}"/>
    <cellStyle name="Normal 2 2 2 2 2 2 28 2 8" xfId="11489" xr:uid="{00000000-0005-0000-0000-0000E12C0000}"/>
    <cellStyle name="Normal 2 2 2 2 2 2 28 2 9" xfId="11490" xr:uid="{00000000-0005-0000-0000-0000E22C0000}"/>
    <cellStyle name="Normal 2 2 2 2 2 2 28 3" xfId="11491" xr:uid="{00000000-0005-0000-0000-0000E32C0000}"/>
    <cellStyle name="Normal 2 2 2 2 2 2 28 3 10" xfId="11492" xr:uid="{00000000-0005-0000-0000-0000E42C0000}"/>
    <cellStyle name="Normal 2 2 2 2 2 2 28 3 2" xfId="11493" xr:uid="{00000000-0005-0000-0000-0000E52C0000}"/>
    <cellStyle name="Normal 2 2 2 2 2 2 28 3 3" xfId="11494" xr:uid="{00000000-0005-0000-0000-0000E62C0000}"/>
    <cellStyle name="Normal 2 2 2 2 2 2 28 3 4" xfId="11495" xr:uid="{00000000-0005-0000-0000-0000E72C0000}"/>
    <cellStyle name="Normal 2 2 2 2 2 2 28 3 5" xfId="11496" xr:uid="{00000000-0005-0000-0000-0000E82C0000}"/>
    <cellStyle name="Normal 2 2 2 2 2 2 28 3 6" xfId="11497" xr:uid="{00000000-0005-0000-0000-0000E92C0000}"/>
    <cellStyle name="Normal 2 2 2 2 2 2 28 3 7" xfId="11498" xr:uid="{00000000-0005-0000-0000-0000EA2C0000}"/>
    <cellStyle name="Normal 2 2 2 2 2 2 28 3 8" xfId="11499" xr:uid="{00000000-0005-0000-0000-0000EB2C0000}"/>
    <cellStyle name="Normal 2 2 2 2 2 2 28 3 9" xfId="11500" xr:uid="{00000000-0005-0000-0000-0000EC2C0000}"/>
    <cellStyle name="Normal 2 2 2 2 2 2 28 4" xfId="11501" xr:uid="{00000000-0005-0000-0000-0000ED2C0000}"/>
    <cellStyle name="Normal 2 2 2 2 2 2 28 4 10" xfId="11502" xr:uid="{00000000-0005-0000-0000-0000EE2C0000}"/>
    <cellStyle name="Normal 2 2 2 2 2 2 28 4 2" xfId="11503" xr:uid="{00000000-0005-0000-0000-0000EF2C0000}"/>
    <cellStyle name="Normal 2 2 2 2 2 2 28 4 3" xfId="11504" xr:uid="{00000000-0005-0000-0000-0000F02C0000}"/>
    <cellStyle name="Normal 2 2 2 2 2 2 28 4 4" xfId="11505" xr:uid="{00000000-0005-0000-0000-0000F12C0000}"/>
    <cellStyle name="Normal 2 2 2 2 2 2 28 4 5" xfId="11506" xr:uid="{00000000-0005-0000-0000-0000F22C0000}"/>
    <cellStyle name="Normal 2 2 2 2 2 2 28 4 6" xfId="11507" xr:uid="{00000000-0005-0000-0000-0000F32C0000}"/>
    <cellStyle name="Normal 2 2 2 2 2 2 28 4 7" xfId="11508" xr:uid="{00000000-0005-0000-0000-0000F42C0000}"/>
    <cellStyle name="Normal 2 2 2 2 2 2 28 4 8" xfId="11509" xr:uid="{00000000-0005-0000-0000-0000F52C0000}"/>
    <cellStyle name="Normal 2 2 2 2 2 2 28 4 9" xfId="11510" xr:uid="{00000000-0005-0000-0000-0000F62C0000}"/>
    <cellStyle name="Normal 2 2 2 2 2 2 28 5" xfId="11511" xr:uid="{00000000-0005-0000-0000-0000F72C0000}"/>
    <cellStyle name="Normal 2 2 2 2 2 2 28 5 10" xfId="11512" xr:uid="{00000000-0005-0000-0000-0000F82C0000}"/>
    <cellStyle name="Normal 2 2 2 2 2 2 28 5 2" xfId="11513" xr:uid="{00000000-0005-0000-0000-0000F92C0000}"/>
    <cellStyle name="Normal 2 2 2 2 2 2 28 5 3" xfId="11514" xr:uid="{00000000-0005-0000-0000-0000FA2C0000}"/>
    <cellStyle name="Normal 2 2 2 2 2 2 28 5 4" xfId="11515" xr:uid="{00000000-0005-0000-0000-0000FB2C0000}"/>
    <cellStyle name="Normal 2 2 2 2 2 2 28 5 5" xfId="11516" xr:uid="{00000000-0005-0000-0000-0000FC2C0000}"/>
    <cellStyle name="Normal 2 2 2 2 2 2 28 5 6" xfId="11517" xr:uid="{00000000-0005-0000-0000-0000FD2C0000}"/>
    <cellStyle name="Normal 2 2 2 2 2 2 28 5 7" xfId="11518" xr:uid="{00000000-0005-0000-0000-0000FE2C0000}"/>
    <cellStyle name="Normal 2 2 2 2 2 2 28 5 8" xfId="11519" xr:uid="{00000000-0005-0000-0000-0000FF2C0000}"/>
    <cellStyle name="Normal 2 2 2 2 2 2 28 5 9" xfId="11520" xr:uid="{00000000-0005-0000-0000-0000002D0000}"/>
    <cellStyle name="Normal 2 2 2 2 2 2 28 6" xfId="11521" xr:uid="{00000000-0005-0000-0000-0000012D0000}"/>
    <cellStyle name="Normal 2 2 2 2 2 2 28 7" xfId="11522" xr:uid="{00000000-0005-0000-0000-0000022D0000}"/>
    <cellStyle name="Normal 2 2 2 2 2 2 28 8" xfId="11523" xr:uid="{00000000-0005-0000-0000-0000032D0000}"/>
    <cellStyle name="Normal 2 2 2 2 2 2 28 9" xfId="11524" xr:uid="{00000000-0005-0000-0000-0000042D0000}"/>
    <cellStyle name="Normal 2 2 2 2 2 2 29" xfId="11525" xr:uid="{00000000-0005-0000-0000-0000052D0000}"/>
    <cellStyle name="Normal 2 2 2 2 2 2 29 10" xfId="11526" xr:uid="{00000000-0005-0000-0000-0000062D0000}"/>
    <cellStyle name="Normal 2 2 2 2 2 2 29 11" xfId="11527" xr:uid="{00000000-0005-0000-0000-0000072D0000}"/>
    <cellStyle name="Normal 2 2 2 2 2 2 29 12" xfId="11528" xr:uid="{00000000-0005-0000-0000-0000082D0000}"/>
    <cellStyle name="Normal 2 2 2 2 2 2 29 13" xfId="11529" xr:uid="{00000000-0005-0000-0000-0000092D0000}"/>
    <cellStyle name="Normal 2 2 2 2 2 2 29 14" xfId="11530" xr:uid="{00000000-0005-0000-0000-00000A2D0000}"/>
    <cellStyle name="Normal 2 2 2 2 2 2 29 2" xfId="11531" xr:uid="{00000000-0005-0000-0000-00000B2D0000}"/>
    <cellStyle name="Normal 2 2 2 2 2 2 29 2 10" xfId="11532" xr:uid="{00000000-0005-0000-0000-00000C2D0000}"/>
    <cellStyle name="Normal 2 2 2 2 2 2 29 2 2" xfId="11533" xr:uid="{00000000-0005-0000-0000-00000D2D0000}"/>
    <cellStyle name="Normal 2 2 2 2 2 2 29 2 3" xfId="11534" xr:uid="{00000000-0005-0000-0000-00000E2D0000}"/>
    <cellStyle name="Normal 2 2 2 2 2 2 29 2 4" xfId="11535" xr:uid="{00000000-0005-0000-0000-00000F2D0000}"/>
    <cellStyle name="Normal 2 2 2 2 2 2 29 2 5" xfId="11536" xr:uid="{00000000-0005-0000-0000-0000102D0000}"/>
    <cellStyle name="Normal 2 2 2 2 2 2 29 2 6" xfId="11537" xr:uid="{00000000-0005-0000-0000-0000112D0000}"/>
    <cellStyle name="Normal 2 2 2 2 2 2 29 2 7" xfId="11538" xr:uid="{00000000-0005-0000-0000-0000122D0000}"/>
    <cellStyle name="Normal 2 2 2 2 2 2 29 2 8" xfId="11539" xr:uid="{00000000-0005-0000-0000-0000132D0000}"/>
    <cellStyle name="Normal 2 2 2 2 2 2 29 2 9" xfId="11540" xr:uid="{00000000-0005-0000-0000-0000142D0000}"/>
    <cellStyle name="Normal 2 2 2 2 2 2 29 3" xfId="11541" xr:uid="{00000000-0005-0000-0000-0000152D0000}"/>
    <cellStyle name="Normal 2 2 2 2 2 2 29 3 10" xfId="11542" xr:uid="{00000000-0005-0000-0000-0000162D0000}"/>
    <cellStyle name="Normal 2 2 2 2 2 2 29 3 2" xfId="11543" xr:uid="{00000000-0005-0000-0000-0000172D0000}"/>
    <cellStyle name="Normal 2 2 2 2 2 2 29 3 3" xfId="11544" xr:uid="{00000000-0005-0000-0000-0000182D0000}"/>
    <cellStyle name="Normal 2 2 2 2 2 2 29 3 4" xfId="11545" xr:uid="{00000000-0005-0000-0000-0000192D0000}"/>
    <cellStyle name="Normal 2 2 2 2 2 2 29 3 5" xfId="11546" xr:uid="{00000000-0005-0000-0000-00001A2D0000}"/>
    <cellStyle name="Normal 2 2 2 2 2 2 29 3 6" xfId="11547" xr:uid="{00000000-0005-0000-0000-00001B2D0000}"/>
    <cellStyle name="Normal 2 2 2 2 2 2 29 3 7" xfId="11548" xr:uid="{00000000-0005-0000-0000-00001C2D0000}"/>
    <cellStyle name="Normal 2 2 2 2 2 2 29 3 8" xfId="11549" xr:uid="{00000000-0005-0000-0000-00001D2D0000}"/>
    <cellStyle name="Normal 2 2 2 2 2 2 29 3 9" xfId="11550" xr:uid="{00000000-0005-0000-0000-00001E2D0000}"/>
    <cellStyle name="Normal 2 2 2 2 2 2 29 4" xfId="11551" xr:uid="{00000000-0005-0000-0000-00001F2D0000}"/>
    <cellStyle name="Normal 2 2 2 2 2 2 29 4 10" xfId="11552" xr:uid="{00000000-0005-0000-0000-0000202D0000}"/>
    <cellStyle name="Normal 2 2 2 2 2 2 29 4 2" xfId="11553" xr:uid="{00000000-0005-0000-0000-0000212D0000}"/>
    <cellStyle name="Normal 2 2 2 2 2 2 29 4 3" xfId="11554" xr:uid="{00000000-0005-0000-0000-0000222D0000}"/>
    <cellStyle name="Normal 2 2 2 2 2 2 29 4 4" xfId="11555" xr:uid="{00000000-0005-0000-0000-0000232D0000}"/>
    <cellStyle name="Normal 2 2 2 2 2 2 29 4 5" xfId="11556" xr:uid="{00000000-0005-0000-0000-0000242D0000}"/>
    <cellStyle name="Normal 2 2 2 2 2 2 29 4 6" xfId="11557" xr:uid="{00000000-0005-0000-0000-0000252D0000}"/>
    <cellStyle name="Normal 2 2 2 2 2 2 29 4 7" xfId="11558" xr:uid="{00000000-0005-0000-0000-0000262D0000}"/>
    <cellStyle name="Normal 2 2 2 2 2 2 29 4 8" xfId="11559" xr:uid="{00000000-0005-0000-0000-0000272D0000}"/>
    <cellStyle name="Normal 2 2 2 2 2 2 29 4 9" xfId="11560" xr:uid="{00000000-0005-0000-0000-0000282D0000}"/>
    <cellStyle name="Normal 2 2 2 2 2 2 29 5" xfId="11561" xr:uid="{00000000-0005-0000-0000-0000292D0000}"/>
    <cellStyle name="Normal 2 2 2 2 2 2 29 5 10" xfId="11562" xr:uid="{00000000-0005-0000-0000-00002A2D0000}"/>
    <cellStyle name="Normal 2 2 2 2 2 2 29 5 2" xfId="11563" xr:uid="{00000000-0005-0000-0000-00002B2D0000}"/>
    <cellStyle name="Normal 2 2 2 2 2 2 29 5 3" xfId="11564" xr:uid="{00000000-0005-0000-0000-00002C2D0000}"/>
    <cellStyle name="Normal 2 2 2 2 2 2 29 5 4" xfId="11565" xr:uid="{00000000-0005-0000-0000-00002D2D0000}"/>
    <cellStyle name="Normal 2 2 2 2 2 2 29 5 5" xfId="11566" xr:uid="{00000000-0005-0000-0000-00002E2D0000}"/>
    <cellStyle name="Normal 2 2 2 2 2 2 29 5 6" xfId="11567" xr:uid="{00000000-0005-0000-0000-00002F2D0000}"/>
    <cellStyle name="Normal 2 2 2 2 2 2 29 5 7" xfId="11568" xr:uid="{00000000-0005-0000-0000-0000302D0000}"/>
    <cellStyle name="Normal 2 2 2 2 2 2 29 5 8" xfId="11569" xr:uid="{00000000-0005-0000-0000-0000312D0000}"/>
    <cellStyle name="Normal 2 2 2 2 2 2 29 5 9" xfId="11570" xr:uid="{00000000-0005-0000-0000-0000322D0000}"/>
    <cellStyle name="Normal 2 2 2 2 2 2 29 6" xfId="11571" xr:uid="{00000000-0005-0000-0000-0000332D0000}"/>
    <cellStyle name="Normal 2 2 2 2 2 2 29 7" xfId="11572" xr:uid="{00000000-0005-0000-0000-0000342D0000}"/>
    <cellStyle name="Normal 2 2 2 2 2 2 29 8" xfId="11573" xr:uid="{00000000-0005-0000-0000-0000352D0000}"/>
    <cellStyle name="Normal 2 2 2 2 2 2 29 9" xfId="11574" xr:uid="{00000000-0005-0000-0000-0000362D0000}"/>
    <cellStyle name="Normal 2 2 2 2 2 2 3" xfId="11575" xr:uid="{00000000-0005-0000-0000-0000372D0000}"/>
    <cellStyle name="Normal 2 2 2 2 2 2 3 10" xfId="11576" xr:uid="{00000000-0005-0000-0000-0000382D0000}"/>
    <cellStyle name="Normal 2 2 2 2 2 2 3 11" xfId="11577" xr:uid="{00000000-0005-0000-0000-0000392D0000}"/>
    <cellStyle name="Normal 2 2 2 2 2 2 3 12" xfId="11578" xr:uid="{00000000-0005-0000-0000-00003A2D0000}"/>
    <cellStyle name="Normal 2 2 2 2 2 2 3 13" xfId="11579" xr:uid="{00000000-0005-0000-0000-00003B2D0000}"/>
    <cellStyle name="Normal 2 2 2 2 2 2 3 14" xfId="11580" xr:uid="{00000000-0005-0000-0000-00003C2D0000}"/>
    <cellStyle name="Normal 2 2 2 2 2 2 3 15" xfId="11581" xr:uid="{00000000-0005-0000-0000-00003D2D0000}"/>
    <cellStyle name="Normal 2 2 2 2 2 2 3 16" xfId="11582" xr:uid="{00000000-0005-0000-0000-00003E2D0000}"/>
    <cellStyle name="Normal 2 2 2 2 2 2 3 2" xfId="11583" xr:uid="{00000000-0005-0000-0000-00003F2D0000}"/>
    <cellStyle name="Normal 2 2 2 2 2 2 3 2 10" xfId="11584" xr:uid="{00000000-0005-0000-0000-0000402D0000}"/>
    <cellStyle name="Normal 2 2 2 2 2 2 3 2 2" xfId="11585" xr:uid="{00000000-0005-0000-0000-0000412D0000}"/>
    <cellStyle name="Normal 2 2 2 2 2 2 3 2 3" xfId="11586" xr:uid="{00000000-0005-0000-0000-0000422D0000}"/>
    <cellStyle name="Normal 2 2 2 2 2 2 3 2 4" xfId="11587" xr:uid="{00000000-0005-0000-0000-0000432D0000}"/>
    <cellStyle name="Normal 2 2 2 2 2 2 3 2 5" xfId="11588" xr:uid="{00000000-0005-0000-0000-0000442D0000}"/>
    <cellStyle name="Normal 2 2 2 2 2 2 3 2 6" xfId="11589" xr:uid="{00000000-0005-0000-0000-0000452D0000}"/>
    <cellStyle name="Normal 2 2 2 2 2 2 3 2 7" xfId="11590" xr:uid="{00000000-0005-0000-0000-0000462D0000}"/>
    <cellStyle name="Normal 2 2 2 2 2 2 3 2 8" xfId="11591" xr:uid="{00000000-0005-0000-0000-0000472D0000}"/>
    <cellStyle name="Normal 2 2 2 2 2 2 3 2 9" xfId="11592" xr:uid="{00000000-0005-0000-0000-0000482D0000}"/>
    <cellStyle name="Normal 2 2 2 2 2 2 3 3" xfId="11593" xr:uid="{00000000-0005-0000-0000-0000492D0000}"/>
    <cellStyle name="Normal 2 2 2 2 2 2 3 3 10" xfId="11594" xr:uid="{00000000-0005-0000-0000-00004A2D0000}"/>
    <cellStyle name="Normal 2 2 2 2 2 2 3 3 2" xfId="11595" xr:uid="{00000000-0005-0000-0000-00004B2D0000}"/>
    <cellStyle name="Normal 2 2 2 2 2 2 3 3 3" xfId="11596" xr:uid="{00000000-0005-0000-0000-00004C2D0000}"/>
    <cellStyle name="Normal 2 2 2 2 2 2 3 3 4" xfId="11597" xr:uid="{00000000-0005-0000-0000-00004D2D0000}"/>
    <cellStyle name="Normal 2 2 2 2 2 2 3 3 5" xfId="11598" xr:uid="{00000000-0005-0000-0000-00004E2D0000}"/>
    <cellStyle name="Normal 2 2 2 2 2 2 3 3 6" xfId="11599" xr:uid="{00000000-0005-0000-0000-00004F2D0000}"/>
    <cellStyle name="Normal 2 2 2 2 2 2 3 3 7" xfId="11600" xr:uid="{00000000-0005-0000-0000-0000502D0000}"/>
    <cellStyle name="Normal 2 2 2 2 2 2 3 3 8" xfId="11601" xr:uid="{00000000-0005-0000-0000-0000512D0000}"/>
    <cellStyle name="Normal 2 2 2 2 2 2 3 3 9" xfId="11602" xr:uid="{00000000-0005-0000-0000-0000522D0000}"/>
    <cellStyle name="Normal 2 2 2 2 2 2 3 4" xfId="11603" xr:uid="{00000000-0005-0000-0000-0000532D0000}"/>
    <cellStyle name="Normal 2 2 2 2 2 2 3 4 10" xfId="11604" xr:uid="{00000000-0005-0000-0000-0000542D0000}"/>
    <cellStyle name="Normal 2 2 2 2 2 2 3 4 2" xfId="11605" xr:uid="{00000000-0005-0000-0000-0000552D0000}"/>
    <cellStyle name="Normal 2 2 2 2 2 2 3 4 3" xfId="11606" xr:uid="{00000000-0005-0000-0000-0000562D0000}"/>
    <cellStyle name="Normal 2 2 2 2 2 2 3 4 4" xfId="11607" xr:uid="{00000000-0005-0000-0000-0000572D0000}"/>
    <cellStyle name="Normal 2 2 2 2 2 2 3 4 5" xfId="11608" xr:uid="{00000000-0005-0000-0000-0000582D0000}"/>
    <cellStyle name="Normal 2 2 2 2 2 2 3 4 6" xfId="11609" xr:uid="{00000000-0005-0000-0000-0000592D0000}"/>
    <cellStyle name="Normal 2 2 2 2 2 2 3 4 7" xfId="11610" xr:uid="{00000000-0005-0000-0000-00005A2D0000}"/>
    <cellStyle name="Normal 2 2 2 2 2 2 3 4 8" xfId="11611" xr:uid="{00000000-0005-0000-0000-00005B2D0000}"/>
    <cellStyle name="Normal 2 2 2 2 2 2 3 4 9" xfId="11612" xr:uid="{00000000-0005-0000-0000-00005C2D0000}"/>
    <cellStyle name="Normal 2 2 2 2 2 2 3 5" xfId="11613" xr:uid="{00000000-0005-0000-0000-00005D2D0000}"/>
    <cellStyle name="Normal 2 2 2 2 2 2 3 5 10" xfId="11614" xr:uid="{00000000-0005-0000-0000-00005E2D0000}"/>
    <cellStyle name="Normal 2 2 2 2 2 2 3 5 2" xfId="11615" xr:uid="{00000000-0005-0000-0000-00005F2D0000}"/>
    <cellStyle name="Normal 2 2 2 2 2 2 3 5 3" xfId="11616" xr:uid="{00000000-0005-0000-0000-0000602D0000}"/>
    <cellStyle name="Normal 2 2 2 2 2 2 3 5 4" xfId="11617" xr:uid="{00000000-0005-0000-0000-0000612D0000}"/>
    <cellStyle name="Normal 2 2 2 2 2 2 3 5 5" xfId="11618" xr:uid="{00000000-0005-0000-0000-0000622D0000}"/>
    <cellStyle name="Normal 2 2 2 2 2 2 3 5 6" xfId="11619" xr:uid="{00000000-0005-0000-0000-0000632D0000}"/>
    <cellStyle name="Normal 2 2 2 2 2 2 3 5 7" xfId="11620" xr:uid="{00000000-0005-0000-0000-0000642D0000}"/>
    <cellStyle name="Normal 2 2 2 2 2 2 3 5 8" xfId="11621" xr:uid="{00000000-0005-0000-0000-0000652D0000}"/>
    <cellStyle name="Normal 2 2 2 2 2 2 3 5 9" xfId="11622" xr:uid="{00000000-0005-0000-0000-0000662D0000}"/>
    <cellStyle name="Normal 2 2 2 2 2 2 3 6" xfId="11623" xr:uid="{00000000-0005-0000-0000-0000672D0000}"/>
    <cellStyle name="Normal 2 2 2 2 2 2 3 7" xfId="11624" xr:uid="{00000000-0005-0000-0000-0000682D0000}"/>
    <cellStyle name="Normal 2 2 2 2 2 2 3 8" xfId="11625" xr:uid="{00000000-0005-0000-0000-0000692D0000}"/>
    <cellStyle name="Normal 2 2 2 2 2 2 3 9" xfId="11626" xr:uid="{00000000-0005-0000-0000-00006A2D0000}"/>
    <cellStyle name="Normal 2 2 2 2 2 2 30" xfId="11627" xr:uid="{00000000-0005-0000-0000-00006B2D0000}"/>
    <cellStyle name="Normal 2 2 2 2 2 2 30 10" xfId="11628" xr:uid="{00000000-0005-0000-0000-00006C2D0000}"/>
    <cellStyle name="Normal 2 2 2 2 2 2 30 11" xfId="11629" xr:uid="{00000000-0005-0000-0000-00006D2D0000}"/>
    <cellStyle name="Normal 2 2 2 2 2 2 30 12" xfId="11630" xr:uid="{00000000-0005-0000-0000-00006E2D0000}"/>
    <cellStyle name="Normal 2 2 2 2 2 2 30 13" xfId="11631" xr:uid="{00000000-0005-0000-0000-00006F2D0000}"/>
    <cellStyle name="Normal 2 2 2 2 2 2 30 14" xfId="11632" xr:uid="{00000000-0005-0000-0000-0000702D0000}"/>
    <cellStyle name="Normal 2 2 2 2 2 2 30 2" xfId="11633" xr:uid="{00000000-0005-0000-0000-0000712D0000}"/>
    <cellStyle name="Normal 2 2 2 2 2 2 30 2 10" xfId="11634" xr:uid="{00000000-0005-0000-0000-0000722D0000}"/>
    <cellStyle name="Normal 2 2 2 2 2 2 30 2 2" xfId="11635" xr:uid="{00000000-0005-0000-0000-0000732D0000}"/>
    <cellStyle name="Normal 2 2 2 2 2 2 30 2 3" xfId="11636" xr:uid="{00000000-0005-0000-0000-0000742D0000}"/>
    <cellStyle name="Normal 2 2 2 2 2 2 30 2 4" xfId="11637" xr:uid="{00000000-0005-0000-0000-0000752D0000}"/>
    <cellStyle name="Normal 2 2 2 2 2 2 30 2 5" xfId="11638" xr:uid="{00000000-0005-0000-0000-0000762D0000}"/>
    <cellStyle name="Normal 2 2 2 2 2 2 30 2 6" xfId="11639" xr:uid="{00000000-0005-0000-0000-0000772D0000}"/>
    <cellStyle name="Normal 2 2 2 2 2 2 30 2 7" xfId="11640" xr:uid="{00000000-0005-0000-0000-0000782D0000}"/>
    <cellStyle name="Normal 2 2 2 2 2 2 30 2 8" xfId="11641" xr:uid="{00000000-0005-0000-0000-0000792D0000}"/>
    <cellStyle name="Normal 2 2 2 2 2 2 30 2 9" xfId="11642" xr:uid="{00000000-0005-0000-0000-00007A2D0000}"/>
    <cellStyle name="Normal 2 2 2 2 2 2 30 3" xfId="11643" xr:uid="{00000000-0005-0000-0000-00007B2D0000}"/>
    <cellStyle name="Normal 2 2 2 2 2 2 30 3 10" xfId="11644" xr:uid="{00000000-0005-0000-0000-00007C2D0000}"/>
    <cellStyle name="Normal 2 2 2 2 2 2 30 3 2" xfId="11645" xr:uid="{00000000-0005-0000-0000-00007D2D0000}"/>
    <cellStyle name="Normal 2 2 2 2 2 2 30 3 3" xfId="11646" xr:uid="{00000000-0005-0000-0000-00007E2D0000}"/>
    <cellStyle name="Normal 2 2 2 2 2 2 30 3 4" xfId="11647" xr:uid="{00000000-0005-0000-0000-00007F2D0000}"/>
    <cellStyle name="Normal 2 2 2 2 2 2 30 3 5" xfId="11648" xr:uid="{00000000-0005-0000-0000-0000802D0000}"/>
    <cellStyle name="Normal 2 2 2 2 2 2 30 3 6" xfId="11649" xr:uid="{00000000-0005-0000-0000-0000812D0000}"/>
    <cellStyle name="Normal 2 2 2 2 2 2 30 3 7" xfId="11650" xr:uid="{00000000-0005-0000-0000-0000822D0000}"/>
    <cellStyle name="Normal 2 2 2 2 2 2 30 3 8" xfId="11651" xr:uid="{00000000-0005-0000-0000-0000832D0000}"/>
    <cellStyle name="Normal 2 2 2 2 2 2 30 3 9" xfId="11652" xr:uid="{00000000-0005-0000-0000-0000842D0000}"/>
    <cellStyle name="Normal 2 2 2 2 2 2 30 4" xfId="11653" xr:uid="{00000000-0005-0000-0000-0000852D0000}"/>
    <cellStyle name="Normal 2 2 2 2 2 2 30 4 10" xfId="11654" xr:uid="{00000000-0005-0000-0000-0000862D0000}"/>
    <cellStyle name="Normal 2 2 2 2 2 2 30 4 2" xfId="11655" xr:uid="{00000000-0005-0000-0000-0000872D0000}"/>
    <cellStyle name="Normal 2 2 2 2 2 2 30 4 3" xfId="11656" xr:uid="{00000000-0005-0000-0000-0000882D0000}"/>
    <cellStyle name="Normal 2 2 2 2 2 2 30 4 4" xfId="11657" xr:uid="{00000000-0005-0000-0000-0000892D0000}"/>
    <cellStyle name="Normal 2 2 2 2 2 2 30 4 5" xfId="11658" xr:uid="{00000000-0005-0000-0000-00008A2D0000}"/>
    <cellStyle name="Normal 2 2 2 2 2 2 30 4 6" xfId="11659" xr:uid="{00000000-0005-0000-0000-00008B2D0000}"/>
    <cellStyle name="Normal 2 2 2 2 2 2 30 4 7" xfId="11660" xr:uid="{00000000-0005-0000-0000-00008C2D0000}"/>
    <cellStyle name="Normal 2 2 2 2 2 2 30 4 8" xfId="11661" xr:uid="{00000000-0005-0000-0000-00008D2D0000}"/>
    <cellStyle name="Normal 2 2 2 2 2 2 30 4 9" xfId="11662" xr:uid="{00000000-0005-0000-0000-00008E2D0000}"/>
    <cellStyle name="Normal 2 2 2 2 2 2 30 5" xfId="11663" xr:uid="{00000000-0005-0000-0000-00008F2D0000}"/>
    <cellStyle name="Normal 2 2 2 2 2 2 30 5 10" xfId="11664" xr:uid="{00000000-0005-0000-0000-0000902D0000}"/>
    <cellStyle name="Normal 2 2 2 2 2 2 30 5 2" xfId="11665" xr:uid="{00000000-0005-0000-0000-0000912D0000}"/>
    <cellStyle name="Normal 2 2 2 2 2 2 30 5 3" xfId="11666" xr:uid="{00000000-0005-0000-0000-0000922D0000}"/>
    <cellStyle name="Normal 2 2 2 2 2 2 30 5 4" xfId="11667" xr:uid="{00000000-0005-0000-0000-0000932D0000}"/>
    <cellStyle name="Normal 2 2 2 2 2 2 30 5 5" xfId="11668" xr:uid="{00000000-0005-0000-0000-0000942D0000}"/>
    <cellStyle name="Normal 2 2 2 2 2 2 30 5 6" xfId="11669" xr:uid="{00000000-0005-0000-0000-0000952D0000}"/>
    <cellStyle name="Normal 2 2 2 2 2 2 30 5 7" xfId="11670" xr:uid="{00000000-0005-0000-0000-0000962D0000}"/>
    <cellStyle name="Normal 2 2 2 2 2 2 30 5 8" xfId="11671" xr:uid="{00000000-0005-0000-0000-0000972D0000}"/>
    <cellStyle name="Normal 2 2 2 2 2 2 30 5 9" xfId="11672" xr:uid="{00000000-0005-0000-0000-0000982D0000}"/>
    <cellStyle name="Normal 2 2 2 2 2 2 30 6" xfId="11673" xr:uid="{00000000-0005-0000-0000-0000992D0000}"/>
    <cellStyle name="Normal 2 2 2 2 2 2 30 7" xfId="11674" xr:uid="{00000000-0005-0000-0000-00009A2D0000}"/>
    <cellStyle name="Normal 2 2 2 2 2 2 30 8" xfId="11675" xr:uid="{00000000-0005-0000-0000-00009B2D0000}"/>
    <cellStyle name="Normal 2 2 2 2 2 2 30 9" xfId="11676" xr:uid="{00000000-0005-0000-0000-00009C2D0000}"/>
    <cellStyle name="Normal 2 2 2 2 2 2 31" xfId="11677" xr:uid="{00000000-0005-0000-0000-00009D2D0000}"/>
    <cellStyle name="Normal 2 2 2 2 2 2 31 10" xfId="11678" xr:uid="{00000000-0005-0000-0000-00009E2D0000}"/>
    <cellStyle name="Normal 2 2 2 2 2 2 31 11" xfId="11679" xr:uid="{00000000-0005-0000-0000-00009F2D0000}"/>
    <cellStyle name="Normal 2 2 2 2 2 2 31 12" xfId="11680" xr:uid="{00000000-0005-0000-0000-0000A02D0000}"/>
    <cellStyle name="Normal 2 2 2 2 2 2 31 13" xfId="11681" xr:uid="{00000000-0005-0000-0000-0000A12D0000}"/>
    <cellStyle name="Normal 2 2 2 2 2 2 31 14" xfId="11682" xr:uid="{00000000-0005-0000-0000-0000A22D0000}"/>
    <cellStyle name="Normal 2 2 2 2 2 2 31 2" xfId="11683" xr:uid="{00000000-0005-0000-0000-0000A32D0000}"/>
    <cellStyle name="Normal 2 2 2 2 2 2 31 2 10" xfId="11684" xr:uid="{00000000-0005-0000-0000-0000A42D0000}"/>
    <cellStyle name="Normal 2 2 2 2 2 2 31 2 2" xfId="11685" xr:uid="{00000000-0005-0000-0000-0000A52D0000}"/>
    <cellStyle name="Normal 2 2 2 2 2 2 31 2 3" xfId="11686" xr:uid="{00000000-0005-0000-0000-0000A62D0000}"/>
    <cellStyle name="Normal 2 2 2 2 2 2 31 2 4" xfId="11687" xr:uid="{00000000-0005-0000-0000-0000A72D0000}"/>
    <cellStyle name="Normal 2 2 2 2 2 2 31 2 5" xfId="11688" xr:uid="{00000000-0005-0000-0000-0000A82D0000}"/>
    <cellStyle name="Normal 2 2 2 2 2 2 31 2 6" xfId="11689" xr:uid="{00000000-0005-0000-0000-0000A92D0000}"/>
    <cellStyle name="Normal 2 2 2 2 2 2 31 2 7" xfId="11690" xr:uid="{00000000-0005-0000-0000-0000AA2D0000}"/>
    <cellStyle name="Normal 2 2 2 2 2 2 31 2 8" xfId="11691" xr:uid="{00000000-0005-0000-0000-0000AB2D0000}"/>
    <cellStyle name="Normal 2 2 2 2 2 2 31 2 9" xfId="11692" xr:uid="{00000000-0005-0000-0000-0000AC2D0000}"/>
    <cellStyle name="Normal 2 2 2 2 2 2 31 3" xfId="11693" xr:uid="{00000000-0005-0000-0000-0000AD2D0000}"/>
    <cellStyle name="Normal 2 2 2 2 2 2 31 3 10" xfId="11694" xr:uid="{00000000-0005-0000-0000-0000AE2D0000}"/>
    <cellStyle name="Normal 2 2 2 2 2 2 31 3 2" xfId="11695" xr:uid="{00000000-0005-0000-0000-0000AF2D0000}"/>
    <cellStyle name="Normal 2 2 2 2 2 2 31 3 3" xfId="11696" xr:uid="{00000000-0005-0000-0000-0000B02D0000}"/>
    <cellStyle name="Normal 2 2 2 2 2 2 31 3 4" xfId="11697" xr:uid="{00000000-0005-0000-0000-0000B12D0000}"/>
    <cellStyle name="Normal 2 2 2 2 2 2 31 3 5" xfId="11698" xr:uid="{00000000-0005-0000-0000-0000B22D0000}"/>
    <cellStyle name="Normal 2 2 2 2 2 2 31 3 6" xfId="11699" xr:uid="{00000000-0005-0000-0000-0000B32D0000}"/>
    <cellStyle name="Normal 2 2 2 2 2 2 31 3 7" xfId="11700" xr:uid="{00000000-0005-0000-0000-0000B42D0000}"/>
    <cellStyle name="Normal 2 2 2 2 2 2 31 3 8" xfId="11701" xr:uid="{00000000-0005-0000-0000-0000B52D0000}"/>
    <cellStyle name="Normal 2 2 2 2 2 2 31 3 9" xfId="11702" xr:uid="{00000000-0005-0000-0000-0000B62D0000}"/>
    <cellStyle name="Normal 2 2 2 2 2 2 31 4" xfId="11703" xr:uid="{00000000-0005-0000-0000-0000B72D0000}"/>
    <cellStyle name="Normal 2 2 2 2 2 2 31 4 10" xfId="11704" xr:uid="{00000000-0005-0000-0000-0000B82D0000}"/>
    <cellStyle name="Normal 2 2 2 2 2 2 31 4 2" xfId="11705" xr:uid="{00000000-0005-0000-0000-0000B92D0000}"/>
    <cellStyle name="Normal 2 2 2 2 2 2 31 4 3" xfId="11706" xr:uid="{00000000-0005-0000-0000-0000BA2D0000}"/>
    <cellStyle name="Normal 2 2 2 2 2 2 31 4 4" xfId="11707" xr:uid="{00000000-0005-0000-0000-0000BB2D0000}"/>
    <cellStyle name="Normal 2 2 2 2 2 2 31 4 5" xfId="11708" xr:uid="{00000000-0005-0000-0000-0000BC2D0000}"/>
    <cellStyle name="Normal 2 2 2 2 2 2 31 4 6" xfId="11709" xr:uid="{00000000-0005-0000-0000-0000BD2D0000}"/>
    <cellStyle name="Normal 2 2 2 2 2 2 31 4 7" xfId="11710" xr:uid="{00000000-0005-0000-0000-0000BE2D0000}"/>
    <cellStyle name="Normal 2 2 2 2 2 2 31 4 8" xfId="11711" xr:uid="{00000000-0005-0000-0000-0000BF2D0000}"/>
    <cellStyle name="Normal 2 2 2 2 2 2 31 4 9" xfId="11712" xr:uid="{00000000-0005-0000-0000-0000C02D0000}"/>
    <cellStyle name="Normal 2 2 2 2 2 2 31 5" xfId="11713" xr:uid="{00000000-0005-0000-0000-0000C12D0000}"/>
    <cellStyle name="Normal 2 2 2 2 2 2 31 5 10" xfId="11714" xr:uid="{00000000-0005-0000-0000-0000C22D0000}"/>
    <cellStyle name="Normal 2 2 2 2 2 2 31 5 2" xfId="11715" xr:uid="{00000000-0005-0000-0000-0000C32D0000}"/>
    <cellStyle name="Normal 2 2 2 2 2 2 31 5 3" xfId="11716" xr:uid="{00000000-0005-0000-0000-0000C42D0000}"/>
    <cellStyle name="Normal 2 2 2 2 2 2 31 5 4" xfId="11717" xr:uid="{00000000-0005-0000-0000-0000C52D0000}"/>
    <cellStyle name="Normal 2 2 2 2 2 2 31 5 5" xfId="11718" xr:uid="{00000000-0005-0000-0000-0000C62D0000}"/>
    <cellStyle name="Normal 2 2 2 2 2 2 31 5 6" xfId="11719" xr:uid="{00000000-0005-0000-0000-0000C72D0000}"/>
    <cellStyle name="Normal 2 2 2 2 2 2 31 5 7" xfId="11720" xr:uid="{00000000-0005-0000-0000-0000C82D0000}"/>
    <cellStyle name="Normal 2 2 2 2 2 2 31 5 8" xfId="11721" xr:uid="{00000000-0005-0000-0000-0000C92D0000}"/>
    <cellStyle name="Normal 2 2 2 2 2 2 31 5 9" xfId="11722" xr:uid="{00000000-0005-0000-0000-0000CA2D0000}"/>
    <cellStyle name="Normal 2 2 2 2 2 2 31 6" xfId="11723" xr:uid="{00000000-0005-0000-0000-0000CB2D0000}"/>
    <cellStyle name="Normal 2 2 2 2 2 2 31 7" xfId="11724" xr:uid="{00000000-0005-0000-0000-0000CC2D0000}"/>
    <cellStyle name="Normal 2 2 2 2 2 2 31 8" xfId="11725" xr:uid="{00000000-0005-0000-0000-0000CD2D0000}"/>
    <cellStyle name="Normal 2 2 2 2 2 2 31 9" xfId="11726" xr:uid="{00000000-0005-0000-0000-0000CE2D0000}"/>
    <cellStyle name="Normal 2 2 2 2 2 2 32" xfId="11727" xr:uid="{00000000-0005-0000-0000-0000CF2D0000}"/>
    <cellStyle name="Normal 2 2 2 2 2 2 32 10" xfId="11728" xr:uid="{00000000-0005-0000-0000-0000D02D0000}"/>
    <cellStyle name="Normal 2 2 2 2 2 2 32 11" xfId="11729" xr:uid="{00000000-0005-0000-0000-0000D12D0000}"/>
    <cellStyle name="Normal 2 2 2 2 2 2 32 12" xfId="11730" xr:uid="{00000000-0005-0000-0000-0000D22D0000}"/>
    <cellStyle name="Normal 2 2 2 2 2 2 32 13" xfId="11731" xr:uid="{00000000-0005-0000-0000-0000D32D0000}"/>
    <cellStyle name="Normal 2 2 2 2 2 2 32 14" xfId="11732" xr:uid="{00000000-0005-0000-0000-0000D42D0000}"/>
    <cellStyle name="Normal 2 2 2 2 2 2 32 2" xfId="11733" xr:uid="{00000000-0005-0000-0000-0000D52D0000}"/>
    <cellStyle name="Normal 2 2 2 2 2 2 32 2 10" xfId="11734" xr:uid="{00000000-0005-0000-0000-0000D62D0000}"/>
    <cellStyle name="Normal 2 2 2 2 2 2 32 2 2" xfId="11735" xr:uid="{00000000-0005-0000-0000-0000D72D0000}"/>
    <cellStyle name="Normal 2 2 2 2 2 2 32 2 3" xfId="11736" xr:uid="{00000000-0005-0000-0000-0000D82D0000}"/>
    <cellStyle name="Normal 2 2 2 2 2 2 32 2 4" xfId="11737" xr:uid="{00000000-0005-0000-0000-0000D92D0000}"/>
    <cellStyle name="Normal 2 2 2 2 2 2 32 2 5" xfId="11738" xr:uid="{00000000-0005-0000-0000-0000DA2D0000}"/>
    <cellStyle name="Normal 2 2 2 2 2 2 32 2 6" xfId="11739" xr:uid="{00000000-0005-0000-0000-0000DB2D0000}"/>
    <cellStyle name="Normal 2 2 2 2 2 2 32 2 7" xfId="11740" xr:uid="{00000000-0005-0000-0000-0000DC2D0000}"/>
    <cellStyle name="Normal 2 2 2 2 2 2 32 2 8" xfId="11741" xr:uid="{00000000-0005-0000-0000-0000DD2D0000}"/>
    <cellStyle name="Normal 2 2 2 2 2 2 32 2 9" xfId="11742" xr:uid="{00000000-0005-0000-0000-0000DE2D0000}"/>
    <cellStyle name="Normal 2 2 2 2 2 2 32 3" xfId="11743" xr:uid="{00000000-0005-0000-0000-0000DF2D0000}"/>
    <cellStyle name="Normal 2 2 2 2 2 2 32 3 10" xfId="11744" xr:uid="{00000000-0005-0000-0000-0000E02D0000}"/>
    <cellStyle name="Normal 2 2 2 2 2 2 32 3 2" xfId="11745" xr:uid="{00000000-0005-0000-0000-0000E12D0000}"/>
    <cellStyle name="Normal 2 2 2 2 2 2 32 3 3" xfId="11746" xr:uid="{00000000-0005-0000-0000-0000E22D0000}"/>
    <cellStyle name="Normal 2 2 2 2 2 2 32 3 4" xfId="11747" xr:uid="{00000000-0005-0000-0000-0000E32D0000}"/>
    <cellStyle name="Normal 2 2 2 2 2 2 32 3 5" xfId="11748" xr:uid="{00000000-0005-0000-0000-0000E42D0000}"/>
    <cellStyle name="Normal 2 2 2 2 2 2 32 3 6" xfId="11749" xr:uid="{00000000-0005-0000-0000-0000E52D0000}"/>
    <cellStyle name="Normal 2 2 2 2 2 2 32 3 7" xfId="11750" xr:uid="{00000000-0005-0000-0000-0000E62D0000}"/>
    <cellStyle name="Normal 2 2 2 2 2 2 32 3 8" xfId="11751" xr:uid="{00000000-0005-0000-0000-0000E72D0000}"/>
    <cellStyle name="Normal 2 2 2 2 2 2 32 3 9" xfId="11752" xr:uid="{00000000-0005-0000-0000-0000E82D0000}"/>
    <cellStyle name="Normal 2 2 2 2 2 2 32 4" xfId="11753" xr:uid="{00000000-0005-0000-0000-0000E92D0000}"/>
    <cellStyle name="Normal 2 2 2 2 2 2 32 4 10" xfId="11754" xr:uid="{00000000-0005-0000-0000-0000EA2D0000}"/>
    <cellStyle name="Normal 2 2 2 2 2 2 32 4 2" xfId="11755" xr:uid="{00000000-0005-0000-0000-0000EB2D0000}"/>
    <cellStyle name="Normal 2 2 2 2 2 2 32 4 3" xfId="11756" xr:uid="{00000000-0005-0000-0000-0000EC2D0000}"/>
    <cellStyle name="Normal 2 2 2 2 2 2 32 4 4" xfId="11757" xr:uid="{00000000-0005-0000-0000-0000ED2D0000}"/>
    <cellStyle name="Normal 2 2 2 2 2 2 32 4 5" xfId="11758" xr:uid="{00000000-0005-0000-0000-0000EE2D0000}"/>
    <cellStyle name="Normal 2 2 2 2 2 2 32 4 6" xfId="11759" xr:uid="{00000000-0005-0000-0000-0000EF2D0000}"/>
    <cellStyle name="Normal 2 2 2 2 2 2 32 4 7" xfId="11760" xr:uid="{00000000-0005-0000-0000-0000F02D0000}"/>
    <cellStyle name="Normal 2 2 2 2 2 2 32 4 8" xfId="11761" xr:uid="{00000000-0005-0000-0000-0000F12D0000}"/>
    <cellStyle name="Normal 2 2 2 2 2 2 32 4 9" xfId="11762" xr:uid="{00000000-0005-0000-0000-0000F22D0000}"/>
    <cellStyle name="Normal 2 2 2 2 2 2 32 5" xfId="11763" xr:uid="{00000000-0005-0000-0000-0000F32D0000}"/>
    <cellStyle name="Normal 2 2 2 2 2 2 32 5 10" xfId="11764" xr:uid="{00000000-0005-0000-0000-0000F42D0000}"/>
    <cellStyle name="Normal 2 2 2 2 2 2 32 5 2" xfId="11765" xr:uid="{00000000-0005-0000-0000-0000F52D0000}"/>
    <cellStyle name="Normal 2 2 2 2 2 2 32 5 3" xfId="11766" xr:uid="{00000000-0005-0000-0000-0000F62D0000}"/>
    <cellStyle name="Normal 2 2 2 2 2 2 32 5 4" xfId="11767" xr:uid="{00000000-0005-0000-0000-0000F72D0000}"/>
    <cellStyle name="Normal 2 2 2 2 2 2 32 5 5" xfId="11768" xr:uid="{00000000-0005-0000-0000-0000F82D0000}"/>
    <cellStyle name="Normal 2 2 2 2 2 2 32 5 6" xfId="11769" xr:uid="{00000000-0005-0000-0000-0000F92D0000}"/>
    <cellStyle name="Normal 2 2 2 2 2 2 32 5 7" xfId="11770" xr:uid="{00000000-0005-0000-0000-0000FA2D0000}"/>
    <cellStyle name="Normal 2 2 2 2 2 2 32 5 8" xfId="11771" xr:uid="{00000000-0005-0000-0000-0000FB2D0000}"/>
    <cellStyle name="Normal 2 2 2 2 2 2 32 5 9" xfId="11772" xr:uid="{00000000-0005-0000-0000-0000FC2D0000}"/>
    <cellStyle name="Normal 2 2 2 2 2 2 32 6" xfId="11773" xr:uid="{00000000-0005-0000-0000-0000FD2D0000}"/>
    <cellStyle name="Normal 2 2 2 2 2 2 32 7" xfId="11774" xr:uid="{00000000-0005-0000-0000-0000FE2D0000}"/>
    <cellStyle name="Normal 2 2 2 2 2 2 32 8" xfId="11775" xr:uid="{00000000-0005-0000-0000-0000FF2D0000}"/>
    <cellStyle name="Normal 2 2 2 2 2 2 32 9" xfId="11776" xr:uid="{00000000-0005-0000-0000-0000002E0000}"/>
    <cellStyle name="Normal 2 2 2 2 2 2 33" xfId="11777" xr:uid="{00000000-0005-0000-0000-0000012E0000}"/>
    <cellStyle name="Normal 2 2 2 2 2 2 33 10" xfId="11778" xr:uid="{00000000-0005-0000-0000-0000022E0000}"/>
    <cellStyle name="Normal 2 2 2 2 2 2 33 11" xfId="11779" xr:uid="{00000000-0005-0000-0000-0000032E0000}"/>
    <cellStyle name="Normal 2 2 2 2 2 2 33 12" xfId="11780" xr:uid="{00000000-0005-0000-0000-0000042E0000}"/>
    <cellStyle name="Normal 2 2 2 2 2 2 33 13" xfId="11781" xr:uid="{00000000-0005-0000-0000-0000052E0000}"/>
    <cellStyle name="Normal 2 2 2 2 2 2 33 14" xfId="11782" xr:uid="{00000000-0005-0000-0000-0000062E0000}"/>
    <cellStyle name="Normal 2 2 2 2 2 2 33 2" xfId="11783" xr:uid="{00000000-0005-0000-0000-0000072E0000}"/>
    <cellStyle name="Normal 2 2 2 2 2 2 33 2 10" xfId="11784" xr:uid="{00000000-0005-0000-0000-0000082E0000}"/>
    <cellStyle name="Normal 2 2 2 2 2 2 33 2 2" xfId="11785" xr:uid="{00000000-0005-0000-0000-0000092E0000}"/>
    <cellStyle name="Normal 2 2 2 2 2 2 33 2 3" xfId="11786" xr:uid="{00000000-0005-0000-0000-00000A2E0000}"/>
    <cellStyle name="Normal 2 2 2 2 2 2 33 2 4" xfId="11787" xr:uid="{00000000-0005-0000-0000-00000B2E0000}"/>
    <cellStyle name="Normal 2 2 2 2 2 2 33 2 5" xfId="11788" xr:uid="{00000000-0005-0000-0000-00000C2E0000}"/>
    <cellStyle name="Normal 2 2 2 2 2 2 33 2 6" xfId="11789" xr:uid="{00000000-0005-0000-0000-00000D2E0000}"/>
    <cellStyle name="Normal 2 2 2 2 2 2 33 2 7" xfId="11790" xr:uid="{00000000-0005-0000-0000-00000E2E0000}"/>
    <cellStyle name="Normal 2 2 2 2 2 2 33 2 8" xfId="11791" xr:uid="{00000000-0005-0000-0000-00000F2E0000}"/>
    <cellStyle name="Normal 2 2 2 2 2 2 33 2 9" xfId="11792" xr:uid="{00000000-0005-0000-0000-0000102E0000}"/>
    <cellStyle name="Normal 2 2 2 2 2 2 33 3" xfId="11793" xr:uid="{00000000-0005-0000-0000-0000112E0000}"/>
    <cellStyle name="Normal 2 2 2 2 2 2 33 3 10" xfId="11794" xr:uid="{00000000-0005-0000-0000-0000122E0000}"/>
    <cellStyle name="Normal 2 2 2 2 2 2 33 3 2" xfId="11795" xr:uid="{00000000-0005-0000-0000-0000132E0000}"/>
    <cellStyle name="Normal 2 2 2 2 2 2 33 3 3" xfId="11796" xr:uid="{00000000-0005-0000-0000-0000142E0000}"/>
    <cellStyle name="Normal 2 2 2 2 2 2 33 3 4" xfId="11797" xr:uid="{00000000-0005-0000-0000-0000152E0000}"/>
    <cellStyle name="Normal 2 2 2 2 2 2 33 3 5" xfId="11798" xr:uid="{00000000-0005-0000-0000-0000162E0000}"/>
    <cellStyle name="Normal 2 2 2 2 2 2 33 3 6" xfId="11799" xr:uid="{00000000-0005-0000-0000-0000172E0000}"/>
    <cellStyle name="Normal 2 2 2 2 2 2 33 3 7" xfId="11800" xr:uid="{00000000-0005-0000-0000-0000182E0000}"/>
    <cellStyle name="Normal 2 2 2 2 2 2 33 3 8" xfId="11801" xr:uid="{00000000-0005-0000-0000-0000192E0000}"/>
    <cellStyle name="Normal 2 2 2 2 2 2 33 3 9" xfId="11802" xr:uid="{00000000-0005-0000-0000-00001A2E0000}"/>
    <cellStyle name="Normal 2 2 2 2 2 2 33 4" xfId="11803" xr:uid="{00000000-0005-0000-0000-00001B2E0000}"/>
    <cellStyle name="Normal 2 2 2 2 2 2 33 4 10" xfId="11804" xr:uid="{00000000-0005-0000-0000-00001C2E0000}"/>
    <cellStyle name="Normal 2 2 2 2 2 2 33 4 2" xfId="11805" xr:uid="{00000000-0005-0000-0000-00001D2E0000}"/>
    <cellStyle name="Normal 2 2 2 2 2 2 33 4 3" xfId="11806" xr:uid="{00000000-0005-0000-0000-00001E2E0000}"/>
    <cellStyle name="Normal 2 2 2 2 2 2 33 4 4" xfId="11807" xr:uid="{00000000-0005-0000-0000-00001F2E0000}"/>
    <cellStyle name="Normal 2 2 2 2 2 2 33 4 5" xfId="11808" xr:uid="{00000000-0005-0000-0000-0000202E0000}"/>
    <cellStyle name="Normal 2 2 2 2 2 2 33 4 6" xfId="11809" xr:uid="{00000000-0005-0000-0000-0000212E0000}"/>
    <cellStyle name="Normal 2 2 2 2 2 2 33 4 7" xfId="11810" xr:uid="{00000000-0005-0000-0000-0000222E0000}"/>
    <cellStyle name="Normal 2 2 2 2 2 2 33 4 8" xfId="11811" xr:uid="{00000000-0005-0000-0000-0000232E0000}"/>
    <cellStyle name="Normal 2 2 2 2 2 2 33 4 9" xfId="11812" xr:uid="{00000000-0005-0000-0000-0000242E0000}"/>
    <cellStyle name="Normal 2 2 2 2 2 2 33 5" xfId="11813" xr:uid="{00000000-0005-0000-0000-0000252E0000}"/>
    <cellStyle name="Normal 2 2 2 2 2 2 33 5 10" xfId="11814" xr:uid="{00000000-0005-0000-0000-0000262E0000}"/>
    <cellStyle name="Normal 2 2 2 2 2 2 33 5 2" xfId="11815" xr:uid="{00000000-0005-0000-0000-0000272E0000}"/>
    <cellStyle name="Normal 2 2 2 2 2 2 33 5 3" xfId="11816" xr:uid="{00000000-0005-0000-0000-0000282E0000}"/>
    <cellStyle name="Normal 2 2 2 2 2 2 33 5 4" xfId="11817" xr:uid="{00000000-0005-0000-0000-0000292E0000}"/>
    <cellStyle name="Normal 2 2 2 2 2 2 33 5 5" xfId="11818" xr:uid="{00000000-0005-0000-0000-00002A2E0000}"/>
    <cellStyle name="Normal 2 2 2 2 2 2 33 5 6" xfId="11819" xr:uid="{00000000-0005-0000-0000-00002B2E0000}"/>
    <cellStyle name="Normal 2 2 2 2 2 2 33 5 7" xfId="11820" xr:uid="{00000000-0005-0000-0000-00002C2E0000}"/>
    <cellStyle name="Normal 2 2 2 2 2 2 33 5 8" xfId="11821" xr:uid="{00000000-0005-0000-0000-00002D2E0000}"/>
    <cellStyle name="Normal 2 2 2 2 2 2 33 5 9" xfId="11822" xr:uid="{00000000-0005-0000-0000-00002E2E0000}"/>
    <cellStyle name="Normal 2 2 2 2 2 2 33 6" xfId="11823" xr:uid="{00000000-0005-0000-0000-00002F2E0000}"/>
    <cellStyle name="Normal 2 2 2 2 2 2 33 7" xfId="11824" xr:uid="{00000000-0005-0000-0000-0000302E0000}"/>
    <cellStyle name="Normal 2 2 2 2 2 2 33 8" xfId="11825" xr:uid="{00000000-0005-0000-0000-0000312E0000}"/>
    <cellStyle name="Normal 2 2 2 2 2 2 33 9" xfId="11826" xr:uid="{00000000-0005-0000-0000-0000322E0000}"/>
    <cellStyle name="Normal 2 2 2 2 2 2 34" xfId="11827" xr:uid="{00000000-0005-0000-0000-0000332E0000}"/>
    <cellStyle name="Normal 2 2 2 2 2 2 34 10" xfId="11828" xr:uid="{00000000-0005-0000-0000-0000342E0000}"/>
    <cellStyle name="Normal 2 2 2 2 2 2 34 2" xfId="11829" xr:uid="{00000000-0005-0000-0000-0000352E0000}"/>
    <cellStyle name="Normal 2 2 2 2 2 2 34 3" xfId="11830" xr:uid="{00000000-0005-0000-0000-0000362E0000}"/>
    <cellStyle name="Normal 2 2 2 2 2 2 34 4" xfId="11831" xr:uid="{00000000-0005-0000-0000-0000372E0000}"/>
    <cellStyle name="Normal 2 2 2 2 2 2 34 5" xfId="11832" xr:uid="{00000000-0005-0000-0000-0000382E0000}"/>
    <cellStyle name="Normal 2 2 2 2 2 2 34 6" xfId="11833" xr:uid="{00000000-0005-0000-0000-0000392E0000}"/>
    <cellStyle name="Normal 2 2 2 2 2 2 34 7" xfId="11834" xr:uid="{00000000-0005-0000-0000-00003A2E0000}"/>
    <cellStyle name="Normal 2 2 2 2 2 2 34 8" xfId="11835" xr:uid="{00000000-0005-0000-0000-00003B2E0000}"/>
    <cellStyle name="Normal 2 2 2 2 2 2 34 9" xfId="11836" xr:uid="{00000000-0005-0000-0000-00003C2E0000}"/>
    <cellStyle name="Normal 2 2 2 2 2 2 35" xfId="11837" xr:uid="{00000000-0005-0000-0000-00003D2E0000}"/>
    <cellStyle name="Normal 2 2 2 2 2 2 35 10" xfId="11838" xr:uid="{00000000-0005-0000-0000-00003E2E0000}"/>
    <cellStyle name="Normal 2 2 2 2 2 2 35 2" xfId="11839" xr:uid="{00000000-0005-0000-0000-00003F2E0000}"/>
    <cellStyle name="Normal 2 2 2 2 2 2 35 3" xfId="11840" xr:uid="{00000000-0005-0000-0000-0000402E0000}"/>
    <cellStyle name="Normal 2 2 2 2 2 2 35 4" xfId="11841" xr:uid="{00000000-0005-0000-0000-0000412E0000}"/>
    <cellStyle name="Normal 2 2 2 2 2 2 35 5" xfId="11842" xr:uid="{00000000-0005-0000-0000-0000422E0000}"/>
    <cellStyle name="Normal 2 2 2 2 2 2 35 6" xfId="11843" xr:uid="{00000000-0005-0000-0000-0000432E0000}"/>
    <cellStyle name="Normal 2 2 2 2 2 2 35 7" xfId="11844" xr:uid="{00000000-0005-0000-0000-0000442E0000}"/>
    <cellStyle name="Normal 2 2 2 2 2 2 35 8" xfId="11845" xr:uid="{00000000-0005-0000-0000-0000452E0000}"/>
    <cellStyle name="Normal 2 2 2 2 2 2 35 9" xfId="11846" xr:uid="{00000000-0005-0000-0000-0000462E0000}"/>
    <cellStyle name="Normal 2 2 2 2 2 2 36" xfId="11847" xr:uid="{00000000-0005-0000-0000-0000472E0000}"/>
    <cellStyle name="Normal 2 2 2 2 2 2 36 10" xfId="11848" xr:uid="{00000000-0005-0000-0000-0000482E0000}"/>
    <cellStyle name="Normal 2 2 2 2 2 2 36 2" xfId="11849" xr:uid="{00000000-0005-0000-0000-0000492E0000}"/>
    <cellStyle name="Normal 2 2 2 2 2 2 36 3" xfId="11850" xr:uid="{00000000-0005-0000-0000-00004A2E0000}"/>
    <cellStyle name="Normal 2 2 2 2 2 2 36 4" xfId="11851" xr:uid="{00000000-0005-0000-0000-00004B2E0000}"/>
    <cellStyle name="Normal 2 2 2 2 2 2 36 5" xfId="11852" xr:uid="{00000000-0005-0000-0000-00004C2E0000}"/>
    <cellStyle name="Normal 2 2 2 2 2 2 36 6" xfId="11853" xr:uid="{00000000-0005-0000-0000-00004D2E0000}"/>
    <cellStyle name="Normal 2 2 2 2 2 2 36 7" xfId="11854" xr:uid="{00000000-0005-0000-0000-00004E2E0000}"/>
    <cellStyle name="Normal 2 2 2 2 2 2 36 8" xfId="11855" xr:uid="{00000000-0005-0000-0000-00004F2E0000}"/>
    <cellStyle name="Normal 2 2 2 2 2 2 36 9" xfId="11856" xr:uid="{00000000-0005-0000-0000-0000502E0000}"/>
    <cellStyle name="Normal 2 2 2 2 2 2 37" xfId="11857" xr:uid="{00000000-0005-0000-0000-0000512E0000}"/>
    <cellStyle name="Normal 2 2 2 2 2 2 37 10" xfId="11858" xr:uid="{00000000-0005-0000-0000-0000522E0000}"/>
    <cellStyle name="Normal 2 2 2 2 2 2 37 2" xfId="11859" xr:uid="{00000000-0005-0000-0000-0000532E0000}"/>
    <cellStyle name="Normal 2 2 2 2 2 2 37 3" xfId="11860" xr:uid="{00000000-0005-0000-0000-0000542E0000}"/>
    <cellStyle name="Normal 2 2 2 2 2 2 37 4" xfId="11861" xr:uid="{00000000-0005-0000-0000-0000552E0000}"/>
    <cellStyle name="Normal 2 2 2 2 2 2 37 5" xfId="11862" xr:uid="{00000000-0005-0000-0000-0000562E0000}"/>
    <cellStyle name="Normal 2 2 2 2 2 2 37 6" xfId="11863" xr:uid="{00000000-0005-0000-0000-0000572E0000}"/>
    <cellStyle name="Normal 2 2 2 2 2 2 37 7" xfId="11864" xr:uid="{00000000-0005-0000-0000-0000582E0000}"/>
    <cellStyle name="Normal 2 2 2 2 2 2 37 8" xfId="11865" xr:uid="{00000000-0005-0000-0000-0000592E0000}"/>
    <cellStyle name="Normal 2 2 2 2 2 2 37 9" xfId="11866" xr:uid="{00000000-0005-0000-0000-00005A2E0000}"/>
    <cellStyle name="Normal 2 2 2 2 2 2 38" xfId="11867" xr:uid="{00000000-0005-0000-0000-00005B2E0000}"/>
    <cellStyle name="Normal 2 2 2 2 2 2 39" xfId="11868" xr:uid="{00000000-0005-0000-0000-00005C2E0000}"/>
    <cellStyle name="Normal 2 2 2 2 2 2 4" xfId="11869" xr:uid="{00000000-0005-0000-0000-00005D2E0000}"/>
    <cellStyle name="Normal 2 2 2 2 2 2 4 10" xfId="11870" xr:uid="{00000000-0005-0000-0000-00005E2E0000}"/>
    <cellStyle name="Normal 2 2 2 2 2 2 4 11" xfId="11871" xr:uid="{00000000-0005-0000-0000-00005F2E0000}"/>
    <cellStyle name="Normal 2 2 2 2 2 2 4 12" xfId="11872" xr:uid="{00000000-0005-0000-0000-0000602E0000}"/>
    <cellStyle name="Normal 2 2 2 2 2 2 4 13" xfId="11873" xr:uid="{00000000-0005-0000-0000-0000612E0000}"/>
    <cellStyle name="Normal 2 2 2 2 2 2 4 14" xfId="11874" xr:uid="{00000000-0005-0000-0000-0000622E0000}"/>
    <cellStyle name="Normal 2 2 2 2 2 2 4 2" xfId="11875" xr:uid="{00000000-0005-0000-0000-0000632E0000}"/>
    <cellStyle name="Normal 2 2 2 2 2 2 4 2 10" xfId="11876" xr:uid="{00000000-0005-0000-0000-0000642E0000}"/>
    <cellStyle name="Normal 2 2 2 2 2 2 4 2 2" xfId="11877" xr:uid="{00000000-0005-0000-0000-0000652E0000}"/>
    <cellStyle name="Normal 2 2 2 2 2 2 4 2 3" xfId="11878" xr:uid="{00000000-0005-0000-0000-0000662E0000}"/>
    <cellStyle name="Normal 2 2 2 2 2 2 4 2 4" xfId="11879" xr:uid="{00000000-0005-0000-0000-0000672E0000}"/>
    <cellStyle name="Normal 2 2 2 2 2 2 4 2 5" xfId="11880" xr:uid="{00000000-0005-0000-0000-0000682E0000}"/>
    <cellStyle name="Normal 2 2 2 2 2 2 4 2 6" xfId="11881" xr:uid="{00000000-0005-0000-0000-0000692E0000}"/>
    <cellStyle name="Normal 2 2 2 2 2 2 4 2 7" xfId="11882" xr:uid="{00000000-0005-0000-0000-00006A2E0000}"/>
    <cellStyle name="Normal 2 2 2 2 2 2 4 2 8" xfId="11883" xr:uid="{00000000-0005-0000-0000-00006B2E0000}"/>
    <cellStyle name="Normal 2 2 2 2 2 2 4 2 9" xfId="11884" xr:uid="{00000000-0005-0000-0000-00006C2E0000}"/>
    <cellStyle name="Normal 2 2 2 2 2 2 4 3" xfId="11885" xr:uid="{00000000-0005-0000-0000-00006D2E0000}"/>
    <cellStyle name="Normal 2 2 2 2 2 2 4 3 10" xfId="11886" xr:uid="{00000000-0005-0000-0000-00006E2E0000}"/>
    <cellStyle name="Normal 2 2 2 2 2 2 4 3 2" xfId="11887" xr:uid="{00000000-0005-0000-0000-00006F2E0000}"/>
    <cellStyle name="Normal 2 2 2 2 2 2 4 3 3" xfId="11888" xr:uid="{00000000-0005-0000-0000-0000702E0000}"/>
    <cellStyle name="Normal 2 2 2 2 2 2 4 3 4" xfId="11889" xr:uid="{00000000-0005-0000-0000-0000712E0000}"/>
    <cellStyle name="Normal 2 2 2 2 2 2 4 3 5" xfId="11890" xr:uid="{00000000-0005-0000-0000-0000722E0000}"/>
    <cellStyle name="Normal 2 2 2 2 2 2 4 3 6" xfId="11891" xr:uid="{00000000-0005-0000-0000-0000732E0000}"/>
    <cellStyle name="Normal 2 2 2 2 2 2 4 3 7" xfId="11892" xr:uid="{00000000-0005-0000-0000-0000742E0000}"/>
    <cellStyle name="Normal 2 2 2 2 2 2 4 3 8" xfId="11893" xr:uid="{00000000-0005-0000-0000-0000752E0000}"/>
    <cellStyle name="Normal 2 2 2 2 2 2 4 3 9" xfId="11894" xr:uid="{00000000-0005-0000-0000-0000762E0000}"/>
    <cellStyle name="Normal 2 2 2 2 2 2 4 4" xfId="11895" xr:uid="{00000000-0005-0000-0000-0000772E0000}"/>
    <cellStyle name="Normal 2 2 2 2 2 2 4 4 10" xfId="11896" xr:uid="{00000000-0005-0000-0000-0000782E0000}"/>
    <cellStyle name="Normal 2 2 2 2 2 2 4 4 2" xfId="11897" xr:uid="{00000000-0005-0000-0000-0000792E0000}"/>
    <cellStyle name="Normal 2 2 2 2 2 2 4 4 3" xfId="11898" xr:uid="{00000000-0005-0000-0000-00007A2E0000}"/>
    <cellStyle name="Normal 2 2 2 2 2 2 4 4 4" xfId="11899" xr:uid="{00000000-0005-0000-0000-00007B2E0000}"/>
    <cellStyle name="Normal 2 2 2 2 2 2 4 4 5" xfId="11900" xr:uid="{00000000-0005-0000-0000-00007C2E0000}"/>
    <cellStyle name="Normal 2 2 2 2 2 2 4 4 6" xfId="11901" xr:uid="{00000000-0005-0000-0000-00007D2E0000}"/>
    <cellStyle name="Normal 2 2 2 2 2 2 4 4 7" xfId="11902" xr:uid="{00000000-0005-0000-0000-00007E2E0000}"/>
    <cellStyle name="Normal 2 2 2 2 2 2 4 4 8" xfId="11903" xr:uid="{00000000-0005-0000-0000-00007F2E0000}"/>
    <cellStyle name="Normal 2 2 2 2 2 2 4 4 9" xfId="11904" xr:uid="{00000000-0005-0000-0000-0000802E0000}"/>
    <cellStyle name="Normal 2 2 2 2 2 2 4 5" xfId="11905" xr:uid="{00000000-0005-0000-0000-0000812E0000}"/>
    <cellStyle name="Normal 2 2 2 2 2 2 4 5 10" xfId="11906" xr:uid="{00000000-0005-0000-0000-0000822E0000}"/>
    <cellStyle name="Normal 2 2 2 2 2 2 4 5 2" xfId="11907" xr:uid="{00000000-0005-0000-0000-0000832E0000}"/>
    <cellStyle name="Normal 2 2 2 2 2 2 4 5 3" xfId="11908" xr:uid="{00000000-0005-0000-0000-0000842E0000}"/>
    <cellStyle name="Normal 2 2 2 2 2 2 4 5 4" xfId="11909" xr:uid="{00000000-0005-0000-0000-0000852E0000}"/>
    <cellStyle name="Normal 2 2 2 2 2 2 4 5 5" xfId="11910" xr:uid="{00000000-0005-0000-0000-0000862E0000}"/>
    <cellStyle name="Normal 2 2 2 2 2 2 4 5 6" xfId="11911" xr:uid="{00000000-0005-0000-0000-0000872E0000}"/>
    <cellStyle name="Normal 2 2 2 2 2 2 4 5 7" xfId="11912" xr:uid="{00000000-0005-0000-0000-0000882E0000}"/>
    <cellStyle name="Normal 2 2 2 2 2 2 4 5 8" xfId="11913" xr:uid="{00000000-0005-0000-0000-0000892E0000}"/>
    <cellStyle name="Normal 2 2 2 2 2 2 4 5 9" xfId="11914" xr:uid="{00000000-0005-0000-0000-00008A2E0000}"/>
    <cellStyle name="Normal 2 2 2 2 2 2 4 6" xfId="11915" xr:uid="{00000000-0005-0000-0000-00008B2E0000}"/>
    <cellStyle name="Normal 2 2 2 2 2 2 4 7" xfId="11916" xr:uid="{00000000-0005-0000-0000-00008C2E0000}"/>
    <cellStyle name="Normal 2 2 2 2 2 2 4 8" xfId="11917" xr:uid="{00000000-0005-0000-0000-00008D2E0000}"/>
    <cellStyle name="Normal 2 2 2 2 2 2 4 9" xfId="11918" xr:uid="{00000000-0005-0000-0000-00008E2E0000}"/>
    <cellStyle name="Normal 2 2 2 2 2 2 40" xfId="11919" xr:uid="{00000000-0005-0000-0000-00008F2E0000}"/>
    <cellStyle name="Normal 2 2 2 2 2 2 41" xfId="11920" xr:uid="{00000000-0005-0000-0000-0000902E0000}"/>
    <cellStyle name="Normal 2 2 2 2 2 2 42" xfId="11921" xr:uid="{00000000-0005-0000-0000-0000912E0000}"/>
    <cellStyle name="Normal 2 2 2 2 2 2 43" xfId="11922" xr:uid="{00000000-0005-0000-0000-0000922E0000}"/>
    <cellStyle name="Normal 2 2 2 2 2 2 44" xfId="11923" xr:uid="{00000000-0005-0000-0000-0000932E0000}"/>
    <cellStyle name="Normal 2 2 2 2 2 2 45" xfId="11924" xr:uid="{00000000-0005-0000-0000-0000942E0000}"/>
    <cellStyle name="Normal 2 2 2 2 2 2 46" xfId="11925" xr:uid="{00000000-0005-0000-0000-0000952E0000}"/>
    <cellStyle name="Normal 2 2 2 2 2 2 47" xfId="11926" xr:uid="{00000000-0005-0000-0000-0000962E0000}"/>
    <cellStyle name="Normal 2 2 2 2 2 2 48" xfId="11927" xr:uid="{00000000-0005-0000-0000-0000972E0000}"/>
    <cellStyle name="Normal 2 2 2 2 2 2 5" xfId="11928" xr:uid="{00000000-0005-0000-0000-0000982E0000}"/>
    <cellStyle name="Normal 2 2 2 2 2 2 5 10" xfId="11929" xr:uid="{00000000-0005-0000-0000-0000992E0000}"/>
    <cellStyle name="Normal 2 2 2 2 2 2 5 11" xfId="11930" xr:uid="{00000000-0005-0000-0000-00009A2E0000}"/>
    <cellStyle name="Normal 2 2 2 2 2 2 5 12" xfId="11931" xr:uid="{00000000-0005-0000-0000-00009B2E0000}"/>
    <cellStyle name="Normal 2 2 2 2 2 2 5 13" xfId="11932" xr:uid="{00000000-0005-0000-0000-00009C2E0000}"/>
    <cellStyle name="Normal 2 2 2 2 2 2 5 14" xfId="11933" xr:uid="{00000000-0005-0000-0000-00009D2E0000}"/>
    <cellStyle name="Normal 2 2 2 2 2 2 5 2" xfId="11934" xr:uid="{00000000-0005-0000-0000-00009E2E0000}"/>
    <cellStyle name="Normal 2 2 2 2 2 2 5 2 10" xfId="11935" xr:uid="{00000000-0005-0000-0000-00009F2E0000}"/>
    <cellStyle name="Normal 2 2 2 2 2 2 5 2 2" xfId="11936" xr:uid="{00000000-0005-0000-0000-0000A02E0000}"/>
    <cellStyle name="Normal 2 2 2 2 2 2 5 2 3" xfId="11937" xr:uid="{00000000-0005-0000-0000-0000A12E0000}"/>
    <cellStyle name="Normal 2 2 2 2 2 2 5 2 4" xfId="11938" xr:uid="{00000000-0005-0000-0000-0000A22E0000}"/>
    <cellStyle name="Normal 2 2 2 2 2 2 5 2 5" xfId="11939" xr:uid="{00000000-0005-0000-0000-0000A32E0000}"/>
    <cellStyle name="Normal 2 2 2 2 2 2 5 2 6" xfId="11940" xr:uid="{00000000-0005-0000-0000-0000A42E0000}"/>
    <cellStyle name="Normal 2 2 2 2 2 2 5 2 7" xfId="11941" xr:uid="{00000000-0005-0000-0000-0000A52E0000}"/>
    <cellStyle name="Normal 2 2 2 2 2 2 5 2 8" xfId="11942" xr:uid="{00000000-0005-0000-0000-0000A62E0000}"/>
    <cellStyle name="Normal 2 2 2 2 2 2 5 2 9" xfId="11943" xr:uid="{00000000-0005-0000-0000-0000A72E0000}"/>
    <cellStyle name="Normal 2 2 2 2 2 2 5 3" xfId="11944" xr:uid="{00000000-0005-0000-0000-0000A82E0000}"/>
    <cellStyle name="Normal 2 2 2 2 2 2 5 3 10" xfId="11945" xr:uid="{00000000-0005-0000-0000-0000A92E0000}"/>
    <cellStyle name="Normal 2 2 2 2 2 2 5 3 2" xfId="11946" xr:uid="{00000000-0005-0000-0000-0000AA2E0000}"/>
    <cellStyle name="Normal 2 2 2 2 2 2 5 3 3" xfId="11947" xr:uid="{00000000-0005-0000-0000-0000AB2E0000}"/>
    <cellStyle name="Normal 2 2 2 2 2 2 5 3 4" xfId="11948" xr:uid="{00000000-0005-0000-0000-0000AC2E0000}"/>
    <cellStyle name="Normal 2 2 2 2 2 2 5 3 5" xfId="11949" xr:uid="{00000000-0005-0000-0000-0000AD2E0000}"/>
    <cellStyle name="Normal 2 2 2 2 2 2 5 3 6" xfId="11950" xr:uid="{00000000-0005-0000-0000-0000AE2E0000}"/>
    <cellStyle name="Normal 2 2 2 2 2 2 5 3 7" xfId="11951" xr:uid="{00000000-0005-0000-0000-0000AF2E0000}"/>
    <cellStyle name="Normal 2 2 2 2 2 2 5 3 8" xfId="11952" xr:uid="{00000000-0005-0000-0000-0000B02E0000}"/>
    <cellStyle name="Normal 2 2 2 2 2 2 5 3 9" xfId="11953" xr:uid="{00000000-0005-0000-0000-0000B12E0000}"/>
    <cellStyle name="Normal 2 2 2 2 2 2 5 4" xfId="11954" xr:uid="{00000000-0005-0000-0000-0000B22E0000}"/>
    <cellStyle name="Normal 2 2 2 2 2 2 5 4 10" xfId="11955" xr:uid="{00000000-0005-0000-0000-0000B32E0000}"/>
    <cellStyle name="Normal 2 2 2 2 2 2 5 4 2" xfId="11956" xr:uid="{00000000-0005-0000-0000-0000B42E0000}"/>
    <cellStyle name="Normal 2 2 2 2 2 2 5 4 3" xfId="11957" xr:uid="{00000000-0005-0000-0000-0000B52E0000}"/>
    <cellStyle name="Normal 2 2 2 2 2 2 5 4 4" xfId="11958" xr:uid="{00000000-0005-0000-0000-0000B62E0000}"/>
    <cellStyle name="Normal 2 2 2 2 2 2 5 4 5" xfId="11959" xr:uid="{00000000-0005-0000-0000-0000B72E0000}"/>
    <cellStyle name="Normal 2 2 2 2 2 2 5 4 6" xfId="11960" xr:uid="{00000000-0005-0000-0000-0000B82E0000}"/>
    <cellStyle name="Normal 2 2 2 2 2 2 5 4 7" xfId="11961" xr:uid="{00000000-0005-0000-0000-0000B92E0000}"/>
    <cellStyle name="Normal 2 2 2 2 2 2 5 4 8" xfId="11962" xr:uid="{00000000-0005-0000-0000-0000BA2E0000}"/>
    <cellStyle name="Normal 2 2 2 2 2 2 5 4 9" xfId="11963" xr:uid="{00000000-0005-0000-0000-0000BB2E0000}"/>
    <cellStyle name="Normal 2 2 2 2 2 2 5 5" xfId="11964" xr:uid="{00000000-0005-0000-0000-0000BC2E0000}"/>
    <cellStyle name="Normal 2 2 2 2 2 2 5 5 10" xfId="11965" xr:uid="{00000000-0005-0000-0000-0000BD2E0000}"/>
    <cellStyle name="Normal 2 2 2 2 2 2 5 5 2" xfId="11966" xr:uid="{00000000-0005-0000-0000-0000BE2E0000}"/>
    <cellStyle name="Normal 2 2 2 2 2 2 5 5 3" xfId="11967" xr:uid="{00000000-0005-0000-0000-0000BF2E0000}"/>
    <cellStyle name="Normal 2 2 2 2 2 2 5 5 4" xfId="11968" xr:uid="{00000000-0005-0000-0000-0000C02E0000}"/>
    <cellStyle name="Normal 2 2 2 2 2 2 5 5 5" xfId="11969" xr:uid="{00000000-0005-0000-0000-0000C12E0000}"/>
    <cellStyle name="Normal 2 2 2 2 2 2 5 5 6" xfId="11970" xr:uid="{00000000-0005-0000-0000-0000C22E0000}"/>
    <cellStyle name="Normal 2 2 2 2 2 2 5 5 7" xfId="11971" xr:uid="{00000000-0005-0000-0000-0000C32E0000}"/>
    <cellStyle name="Normal 2 2 2 2 2 2 5 5 8" xfId="11972" xr:uid="{00000000-0005-0000-0000-0000C42E0000}"/>
    <cellStyle name="Normal 2 2 2 2 2 2 5 5 9" xfId="11973" xr:uid="{00000000-0005-0000-0000-0000C52E0000}"/>
    <cellStyle name="Normal 2 2 2 2 2 2 5 6" xfId="11974" xr:uid="{00000000-0005-0000-0000-0000C62E0000}"/>
    <cellStyle name="Normal 2 2 2 2 2 2 5 7" xfId="11975" xr:uid="{00000000-0005-0000-0000-0000C72E0000}"/>
    <cellStyle name="Normal 2 2 2 2 2 2 5 8" xfId="11976" xr:uid="{00000000-0005-0000-0000-0000C82E0000}"/>
    <cellStyle name="Normal 2 2 2 2 2 2 5 9" xfId="11977" xr:uid="{00000000-0005-0000-0000-0000C92E0000}"/>
    <cellStyle name="Normal 2 2 2 2 2 2 6" xfId="11978" xr:uid="{00000000-0005-0000-0000-0000CA2E0000}"/>
    <cellStyle name="Normal 2 2 2 2 2 2 6 10" xfId="11979" xr:uid="{00000000-0005-0000-0000-0000CB2E0000}"/>
    <cellStyle name="Normal 2 2 2 2 2 2 6 11" xfId="11980" xr:uid="{00000000-0005-0000-0000-0000CC2E0000}"/>
    <cellStyle name="Normal 2 2 2 2 2 2 6 12" xfId="11981" xr:uid="{00000000-0005-0000-0000-0000CD2E0000}"/>
    <cellStyle name="Normal 2 2 2 2 2 2 6 13" xfId="11982" xr:uid="{00000000-0005-0000-0000-0000CE2E0000}"/>
    <cellStyle name="Normal 2 2 2 2 2 2 6 14" xfId="11983" xr:uid="{00000000-0005-0000-0000-0000CF2E0000}"/>
    <cellStyle name="Normal 2 2 2 2 2 2 6 2" xfId="11984" xr:uid="{00000000-0005-0000-0000-0000D02E0000}"/>
    <cellStyle name="Normal 2 2 2 2 2 2 6 2 10" xfId="11985" xr:uid="{00000000-0005-0000-0000-0000D12E0000}"/>
    <cellStyle name="Normal 2 2 2 2 2 2 6 2 2" xfId="11986" xr:uid="{00000000-0005-0000-0000-0000D22E0000}"/>
    <cellStyle name="Normal 2 2 2 2 2 2 6 2 3" xfId="11987" xr:uid="{00000000-0005-0000-0000-0000D32E0000}"/>
    <cellStyle name="Normal 2 2 2 2 2 2 6 2 4" xfId="11988" xr:uid="{00000000-0005-0000-0000-0000D42E0000}"/>
    <cellStyle name="Normal 2 2 2 2 2 2 6 2 5" xfId="11989" xr:uid="{00000000-0005-0000-0000-0000D52E0000}"/>
    <cellStyle name="Normal 2 2 2 2 2 2 6 2 6" xfId="11990" xr:uid="{00000000-0005-0000-0000-0000D62E0000}"/>
    <cellStyle name="Normal 2 2 2 2 2 2 6 2 7" xfId="11991" xr:uid="{00000000-0005-0000-0000-0000D72E0000}"/>
    <cellStyle name="Normal 2 2 2 2 2 2 6 2 8" xfId="11992" xr:uid="{00000000-0005-0000-0000-0000D82E0000}"/>
    <cellStyle name="Normal 2 2 2 2 2 2 6 2 9" xfId="11993" xr:uid="{00000000-0005-0000-0000-0000D92E0000}"/>
    <cellStyle name="Normal 2 2 2 2 2 2 6 3" xfId="11994" xr:uid="{00000000-0005-0000-0000-0000DA2E0000}"/>
    <cellStyle name="Normal 2 2 2 2 2 2 6 3 10" xfId="11995" xr:uid="{00000000-0005-0000-0000-0000DB2E0000}"/>
    <cellStyle name="Normal 2 2 2 2 2 2 6 3 2" xfId="11996" xr:uid="{00000000-0005-0000-0000-0000DC2E0000}"/>
    <cellStyle name="Normal 2 2 2 2 2 2 6 3 3" xfId="11997" xr:uid="{00000000-0005-0000-0000-0000DD2E0000}"/>
    <cellStyle name="Normal 2 2 2 2 2 2 6 3 4" xfId="11998" xr:uid="{00000000-0005-0000-0000-0000DE2E0000}"/>
    <cellStyle name="Normal 2 2 2 2 2 2 6 3 5" xfId="11999" xr:uid="{00000000-0005-0000-0000-0000DF2E0000}"/>
    <cellStyle name="Normal 2 2 2 2 2 2 6 3 6" xfId="12000" xr:uid="{00000000-0005-0000-0000-0000E02E0000}"/>
    <cellStyle name="Normal 2 2 2 2 2 2 6 3 7" xfId="12001" xr:uid="{00000000-0005-0000-0000-0000E12E0000}"/>
    <cellStyle name="Normal 2 2 2 2 2 2 6 3 8" xfId="12002" xr:uid="{00000000-0005-0000-0000-0000E22E0000}"/>
    <cellStyle name="Normal 2 2 2 2 2 2 6 3 9" xfId="12003" xr:uid="{00000000-0005-0000-0000-0000E32E0000}"/>
    <cellStyle name="Normal 2 2 2 2 2 2 6 4" xfId="12004" xr:uid="{00000000-0005-0000-0000-0000E42E0000}"/>
    <cellStyle name="Normal 2 2 2 2 2 2 6 4 10" xfId="12005" xr:uid="{00000000-0005-0000-0000-0000E52E0000}"/>
    <cellStyle name="Normal 2 2 2 2 2 2 6 4 2" xfId="12006" xr:uid="{00000000-0005-0000-0000-0000E62E0000}"/>
    <cellStyle name="Normal 2 2 2 2 2 2 6 4 3" xfId="12007" xr:uid="{00000000-0005-0000-0000-0000E72E0000}"/>
    <cellStyle name="Normal 2 2 2 2 2 2 6 4 4" xfId="12008" xr:uid="{00000000-0005-0000-0000-0000E82E0000}"/>
    <cellStyle name="Normal 2 2 2 2 2 2 6 4 5" xfId="12009" xr:uid="{00000000-0005-0000-0000-0000E92E0000}"/>
    <cellStyle name="Normal 2 2 2 2 2 2 6 4 6" xfId="12010" xr:uid="{00000000-0005-0000-0000-0000EA2E0000}"/>
    <cellStyle name="Normal 2 2 2 2 2 2 6 4 7" xfId="12011" xr:uid="{00000000-0005-0000-0000-0000EB2E0000}"/>
    <cellStyle name="Normal 2 2 2 2 2 2 6 4 8" xfId="12012" xr:uid="{00000000-0005-0000-0000-0000EC2E0000}"/>
    <cellStyle name="Normal 2 2 2 2 2 2 6 4 9" xfId="12013" xr:uid="{00000000-0005-0000-0000-0000ED2E0000}"/>
    <cellStyle name="Normal 2 2 2 2 2 2 6 5" xfId="12014" xr:uid="{00000000-0005-0000-0000-0000EE2E0000}"/>
    <cellStyle name="Normal 2 2 2 2 2 2 6 5 10" xfId="12015" xr:uid="{00000000-0005-0000-0000-0000EF2E0000}"/>
    <cellStyle name="Normal 2 2 2 2 2 2 6 5 2" xfId="12016" xr:uid="{00000000-0005-0000-0000-0000F02E0000}"/>
    <cellStyle name="Normal 2 2 2 2 2 2 6 5 3" xfId="12017" xr:uid="{00000000-0005-0000-0000-0000F12E0000}"/>
    <cellStyle name="Normal 2 2 2 2 2 2 6 5 4" xfId="12018" xr:uid="{00000000-0005-0000-0000-0000F22E0000}"/>
    <cellStyle name="Normal 2 2 2 2 2 2 6 5 5" xfId="12019" xr:uid="{00000000-0005-0000-0000-0000F32E0000}"/>
    <cellStyle name="Normal 2 2 2 2 2 2 6 5 6" xfId="12020" xr:uid="{00000000-0005-0000-0000-0000F42E0000}"/>
    <cellStyle name="Normal 2 2 2 2 2 2 6 5 7" xfId="12021" xr:uid="{00000000-0005-0000-0000-0000F52E0000}"/>
    <cellStyle name="Normal 2 2 2 2 2 2 6 5 8" xfId="12022" xr:uid="{00000000-0005-0000-0000-0000F62E0000}"/>
    <cellStyle name="Normal 2 2 2 2 2 2 6 5 9" xfId="12023" xr:uid="{00000000-0005-0000-0000-0000F72E0000}"/>
    <cellStyle name="Normal 2 2 2 2 2 2 6 6" xfId="12024" xr:uid="{00000000-0005-0000-0000-0000F82E0000}"/>
    <cellStyle name="Normal 2 2 2 2 2 2 6 7" xfId="12025" xr:uid="{00000000-0005-0000-0000-0000F92E0000}"/>
    <cellStyle name="Normal 2 2 2 2 2 2 6 8" xfId="12026" xr:uid="{00000000-0005-0000-0000-0000FA2E0000}"/>
    <cellStyle name="Normal 2 2 2 2 2 2 6 9" xfId="12027" xr:uid="{00000000-0005-0000-0000-0000FB2E0000}"/>
    <cellStyle name="Normal 2 2 2 2 2 2 7" xfId="12028" xr:uid="{00000000-0005-0000-0000-0000FC2E0000}"/>
    <cellStyle name="Normal 2 2 2 2 2 2 7 10" xfId="12029" xr:uid="{00000000-0005-0000-0000-0000FD2E0000}"/>
    <cellStyle name="Normal 2 2 2 2 2 2 7 11" xfId="12030" xr:uid="{00000000-0005-0000-0000-0000FE2E0000}"/>
    <cellStyle name="Normal 2 2 2 2 2 2 7 12" xfId="12031" xr:uid="{00000000-0005-0000-0000-0000FF2E0000}"/>
    <cellStyle name="Normal 2 2 2 2 2 2 7 13" xfId="12032" xr:uid="{00000000-0005-0000-0000-0000002F0000}"/>
    <cellStyle name="Normal 2 2 2 2 2 2 7 14" xfId="12033" xr:uid="{00000000-0005-0000-0000-0000012F0000}"/>
    <cellStyle name="Normal 2 2 2 2 2 2 7 2" xfId="12034" xr:uid="{00000000-0005-0000-0000-0000022F0000}"/>
    <cellStyle name="Normal 2 2 2 2 2 2 7 2 10" xfId="12035" xr:uid="{00000000-0005-0000-0000-0000032F0000}"/>
    <cellStyle name="Normal 2 2 2 2 2 2 7 2 2" xfId="12036" xr:uid="{00000000-0005-0000-0000-0000042F0000}"/>
    <cellStyle name="Normal 2 2 2 2 2 2 7 2 3" xfId="12037" xr:uid="{00000000-0005-0000-0000-0000052F0000}"/>
    <cellStyle name="Normal 2 2 2 2 2 2 7 2 4" xfId="12038" xr:uid="{00000000-0005-0000-0000-0000062F0000}"/>
    <cellStyle name="Normal 2 2 2 2 2 2 7 2 5" xfId="12039" xr:uid="{00000000-0005-0000-0000-0000072F0000}"/>
    <cellStyle name="Normal 2 2 2 2 2 2 7 2 6" xfId="12040" xr:uid="{00000000-0005-0000-0000-0000082F0000}"/>
    <cellStyle name="Normal 2 2 2 2 2 2 7 2 7" xfId="12041" xr:uid="{00000000-0005-0000-0000-0000092F0000}"/>
    <cellStyle name="Normal 2 2 2 2 2 2 7 2 8" xfId="12042" xr:uid="{00000000-0005-0000-0000-00000A2F0000}"/>
    <cellStyle name="Normal 2 2 2 2 2 2 7 2 9" xfId="12043" xr:uid="{00000000-0005-0000-0000-00000B2F0000}"/>
    <cellStyle name="Normal 2 2 2 2 2 2 7 3" xfId="12044" xr:uid="{00000000-0005-0000-0000-00000C2F0000}"/>
    <cellStyle name="Normal 2 2 2 2 2 2 7 3 10" xfId="12045" xr:uid="{00000000-0005-0000-0000-00000D2F0000}"/>
    <cellStyle name="Normal 2 2 2 2 2 2 7 3 2" xfId="12046" xr:uid="{00000000-0005-0000-0000-00000E2F0000}"/>
    <cellStyle name="Normal 2 2 2 2 2 2 7 3 3" xfId="12047" xr:uid="{00000000-0005-0000-0000-00000F2F0000}"/>
    <cellStyle name="Normal 2 2 2 2 2 2 7 3 4" xfId="12048" xr:uid="{00000000-0005-0000-0000-0000102F0000}"/>
    <cellStyle name="Normal 2 2 2 2 2 2 7 3 5" xfId="12049" xr:uid="{00000000-0005-0000-0000-0000112F0000}"/>
    <cellStyle name="Normal 2 2 2 2 2 2 7 3 6" xfId="12050" xr:uid="{00000000-0005-0000-0000-0000122F0000}"/>
    <cellStyle name="Normal 2 2 2 2 2 2 7 3 7" xfId="12051" xr:uid="{00000000-0005-0000-0000-0000132F0000}"/>
    <cellStyle name="Normal 2 2 2 2 2 2 7 3 8" xfId="12052" xr:uid="{00000000-0005-0000-0000-0000142F0000}"/>
    <cellStyle name="Normal 2 2 2 2 2 2 7 3 9" xfId="12053" xr:uid="{00000000-0005-0000-0000-0000152F0000}"/>
    <cellStyle name="Normal 2 2 2 2 2 2 7 4" xfId="12054" xr:uid="{00000000-0005-0000-0000-0000162F0000}"/>
    <cellStyle name="Normal 2 2 2 2 2 2 7 4 10" xfId="12055" xr:uid="{00000000-0005-0000-0000-0000172F0000}"/>
    <cellStyle name="Normal 2 2 2 2 2 2 7 4 2" xfId="12056" xr:uid="{00000000-0005-0000-0000-0000182F0000}"/>
    <cellStyle name="Normal 2 2 2 2 2 2 7 4 3" xfId="12057" xr:uid="{00000000-0005-0000-0000-0000192F0000}"/>
    <cellStyle name="Normal 2 2 2 2 2 2 7 4 4" xfId="12058" xr:uid="{00000000-0005-0000-0000-00001A2F0000}"/>
    <cellStyle name="Normal 2 2 2 2 2 2 7 4 5" xfId="12059" xr:uid="{00000000-0005-0000-0000-00001B2F0000}"/>
    <cellStyle name="Normal 2 2 2 2 2 2 7 4 6" xfId="12060" xr:uid="{00000000-0005-0000-0000-00001C2F0000}"/>
    <cellStyle name="Normal 2 2 2 2 2 2 7 4 7" xfId="12061" xr:uid="{00000000-0005-0000-0000-00001D2F0000}"/>
    <cellStyle name="Normal 2 2 2 2 2 2 7 4 8" xfId="12062" xr:uid="{00000000-0005-0000-0000-00001E2F0000}"/>
    <cellStyle name="Normal 2 2 2 2 2 2 7 4 9" xfId="12063" xr:uid="{00000000-0005-0000-0000-00001F2F0000}"/>
    <cellStyle name="Normal 2 2 2 2 2 2 7 5" xfId="12064" xr:uid="{00000000-0005-0000-0000-0000202F0000}"/>
    <cellStyle name="Normal 2 2 2 2 2 2 7 5 10" xfId="12065" xr:uid="{00000000-0005-0000-0000-0000212F0000}"/>
    <cellStyle name="Normal 2 2 2 2 2 2 7 5 2" xfId="12066" xr:uid="{00000000-0005-0000-0000-0000222F0000}"/>
    <cellStyle name="Normal 2 2 2 2 2 2 7 5 3" xfId="12067" xr:uid="{00000000-0005-0000-0000-0000232F0000}"/>
    <cellStyle name="Normal 2 2 2 2 2 2 7 5 4" xfId="12068" xr:uid="{00000000-0005-0000-0000-0000242F0000}"/>
    <cellStyle name="Normal 2 2 2 2 2 2 7 5 5" xfId="12069" xr:uid="{00000000-0005-0000-0000-0000252F0000}"/>
    <cellStyle name="Normal 2 2 2 2 2 2 7 5 6" xfId="12070" xr:uid="{00000000-0005-0000-0000-0000262F0000}"/>
    <cellStyle name="Normal 2 2 2 2 2 2 7 5 7" xfId="12071" xr:uid="{00000000-0005-0000-0000-0000272F0000}"/>
    <cellStyle name="Normal 2 2 2 2 2 2 7 5 8" xfId="12072" xr:uid="{00000000-0005-0000-0000-0000282F0000}"/>
    <cellStyle name="Normal 2 2 2 2 2 2 7 5 9" xfId="12073" xr:uid="{00000000-0005-0000-0000-0000292F0000}"/>
    <cellStyle name="Normal 2 2 2 2 2 2 7 6" xfId="12074" xr:uid="{00000000-0005-0000-0000-00002A2F0000}"/>
    <cellStyle name="Normal 2 2 2 2 2 2 7 7" xfId="12075" xr:uid="{00000000-0005-0000-0000-00002B2F0000}"/>
    <cellStyle name="Normal 2 2 2 2 2 2 7 8" xfId="12076" xr:uid="{00000000-0005-0000-0000-00002C2F0000}"/>
    <cellStyle name="Normal 2 2 2 2 2 2 7 9" xfId="12077" xr:uid="{00000000-0005-0000-0000-00002D2F0000}"/>
    <cellStyle name="Normal 2 2 2 2 2 2 8" xfId="12078" xr:uid="{00000000-0005-0000-0000-00002E2F0000}"/>
    <cellStyle name="Normal 2 2 2 2 2 2 8 10" xfId="12079" xr:uid="{00000000-0005-0000-0000-00002F2F0000}"/>
    <cellStyle name="Normal 2 2 2 2 2 2 8 11" xfId="12080" xr:uid="{00000000-0005-0000-0000-0000302F0000}"/>
    <cellStyle name="Normal 2 2 2 2 2 2 8 12" xfId="12081" xr:uid="{00000000-0005-0000-0000-0000312F0000}"/>
    <cellStyle name="Normal 2 2 2 2 2 2 8 13" xfId="12082" xr:uid="{00000000-0005-0000-0000-0000322F0000}"/>
    <cellStyle name="Normal 2 2 2 2 2 2 8 14" xfId="12083" xr:uid="{00000000-0005-0000-0000-0000332F0000}"/>
    <cellStyle name="Normal 2 2 2 2 2 2 8 2" xfId="12084" xr:uid="{00000000-0005-0000-0000-0000342F0000}"/>
    <cellStyle name="Normal 2 2 2 2 2 2 8 2 10" xfId="12085" xr:uid="{00000000-0005-0000-0000-0000352F0000}"/>
    <cellStyle name="Normal 2 2 2 2 2 2 8 2 2" xfId="12086" xr:uid="{00000000-0005-0000-0000-0000362F0000}"/>
    <cellStyle name="Normal 2 2 2 2 2 2 8 2 3" xfId="12087" xr:uid="{00000000-0005-0000-0000-0000372F0000}"/>
    <cellStyle name="Normal 2 2 2 2 2 2 8 2 4" xfId="12088" xr:uid="{00000000-0005-0000-0000-0000382F0000}"/>
    <cellStyle name="Normal 2 2 2 2 2 2 8 2 5" xfId="12089" xr:uid="{00000000-0005-0000-0000-0000392F0000}"/>
    <cellStyle name="Normal 2 2 2 2 2 2 8 2 6" xfId="12090" xr:uid="{00000000-0005-0000-0000-00003A2F0000}"/>
    <cellStyle name="Normal 2 2 2 2 2 2 8 2 7" xfId="12091" xr:uid="{00000000-0005-0000-0000-00003B2F0000}"/>
    <cellStyle name="Normal 2 2 2 2 2 2 8 2 8" xfId="12092" xr:uid="{00000000-0005-0000-0000-00003C2F0000}"/>
    <cellStyle name="Normal 2 2 2 2 2 2 8 2 9" xfId="12093" xr:uid="{00000000-0005-0000-0000-00003D2F0000}"/>
    <cellStyle name="Normal 2 2 2 2 2 2 8 3" xfId="12094" xr:uid="{00000000-0005-0000-0000-00003E2F0000}"/>
    <cellStyle name="Normal 2 2 2 2 2 2 8 3 10" xfId="12095" xr:uid="{00000000-0005-0000-0000-00003F2F0000}"/>
    <cellStyle name="Normal 2 2 2 2 2 2 8 3 2" xfId="12096" xr:uid="{00000000-0005-0000-0000-0000402F0000}"/>
    <cellStyle name="Normal 2 2 2 2 2 2 8 3 3" xfId="12097" xr:uid="{00000000-0005-0000-0000-0000412F0000}"/>
    <cellStyle name="Normal 2 2 2 2 2 2 8 3 4" xfId="12098" xr:uid="{00000000-0005-0000-0000-0000422F0000}"/>
    <cellStyle name="Normal 2 2 2 2 2 2 8 3 5" xfId="12099" xr:uid="{00000000-0005-0000-0000-0000432F0000}"/>
    <cellStyle name="Normal 2 2 2 2 2 2 8 3 6" xfId="12100" xr:uid="{00000000-0005-0000-0000-0000442F0000}"/>
    <cellStyle name="Normal 2 2 2 2 2 2 8 3 7" xfId="12101" xr:uid="{00000000-0005-0000-0000-0000452F0000}"/>
    <cellStyle name="Normal 2 2 2 2 2 2 8 3 8" xfId="12102" xr:uid="{00000000-0005-0000-0000-0000462F0000}"/>
    <cellStyle name="Normal 2 2 2 2 2 2 8 3 9" xfId="12103" xr:uid="{00000000-0005-0000-0000-0000472F0000}"/>
    <cellStyle name="Normal 2 2 2 2 2 2 8 4" xfId="12104" xr:uid="{00000000-0005-0000-0000-0000482F0000}"/>
    <cellStyle name="Normal 2 2 2 2 2 2 8 4 10" xfId="12105" xr:uid="{00000000-0005-0000-0000-0000492F0000}"/>
    <cellStyle name="Normal 2 2 2 2 2 2 8 4 2" xfId="12106" xr:uid="{00000000-0005-0000-0000-00004A2F0000}"/>
    <cellStyle name="Normal 2 2 2 2 2 2 8 4 3" xfId="12107" xr:uid="{00000000-0005-0000-0000-00004B2F0000}"/>
    <cellStyle name="Normal 2 2 2 2 2 2 8 4 4" xfId="12108" xr:uid="{00000000-0005-0000-0000-00004C2F0000}"/>
    <cellStyle name="Normal 2 2 2 2 2 2 8 4 5" xfId="12109" xr:uid="{00000000-0005-0000-0000-00004D2F0000}"/>
    <cellStyle name="Normal 2 2 2 2 2 2 8 4 6" xfId="12110" xr:uid="{00000000-0005-0000-0000-00004E2F0000}"/>
    <cellStyle name="Normal 2 2 2 2 2 2 8 4 7" xfId="12111" xr:uid="{00000000-0005-0000-0000-00004F2F0000}"/>
    <cellStyle name="Normal 2 2 2 2 2 2 8 4 8" xfId="12112" xr:uid="{00000000-0005-0000-0000-0000502F0000}"/>
    <cellStyle name="Normal 2 2 2 2 2 2 8 4 9" xfId="12113" xr:uid="{00000000-0005-0000-0000-0000512F0000}"/>
    <cellStyle name="Normal 2 2 2 2 2 2 8 5" xfId="12114" xr:uid="{00000000-0005-0000-0000-0000522F0000}"/>
    <cellStyle name="Normal 2 2 2 2 2 2 8 5 10" xfId="12115" xr:uid="{00000000-0005-0000-0000-0000532F0000}"/>
    <cellStyle name="Normal 2 2 2 2 2 2 8 5 2" xfId="12116" xr:uid="{00000000-0005-0000-0000-0000542F0000}"/>
    <cellStyle name="Normal 2 2 2 2 2 2 8 5 3" xfId="12117" xr:uid="{00000000-0005-0000-0000-0000552F0000}"/>
    <cellStyle name="Normal 2 2 2 2 2 2 8 5 4" xfId="12118" xr:uid="{00000000-0005-0000-0000-0000562F0000}"/>
    <cellStyle name="Normal 2 2 2 2 2 2 8 5 5" xfId="12119" xr:uid="{00000000-0005-0000-0000-0000572F0000}"/>
    <cellStyle name="Normal 2 2 2 2 2 2 8 5 6" xfId="12120" xr:uid="{00000000-0005-0000-0000-0000582F0000}"/>
    <cellStyle name="Normal 2 2 2 2 2 2 8 5 7" xfId="12121" xr:uid="{00000000-0005-0000-0000-0000592F0000}"/>
    <cellStyle name="Normal 2 2 2 2 2 2 8 5 8" xfId="12122" xr:uid="{00000000-0005-0000-0000-00005A2F0000}"/>
    <cellStyle name="Normal 2 2 2 2 2 2 8 5 9" xfId="12123" xr:uid="{00000000-0005-0000-0000-00005B2F0000}"/>
    <cellStyle name="Normal 2 2 2 2 2 2 8 6" xfId="12124" xr:uid="{00000000-0005-0000-0000-00005C2F0000}"/>
    <cellStyle name="Normal 2 2 2 2 2 2 8 7" xfId="12125" xr:uid="{00000000-0005-0000-0000-00005D2F0000}"/>
    <cellStyle name="Normal 2 2 2 2 2 2 8 8" xfId="12126" xr:uid="{00000000-0005-0000-0000-00005E2F0000}"/>
    <cellStyle name="Normal 2 2 2 2 2 2 8 9" xfId="12127" xr:uid="{00000000-0005-0000-0000-00005F2F0000}"/>
    <cellStyle name="Normal 2 2 2 2 2 2 9" xfId="12128" xr:uid="{00000000-0005-0000-0000-0000602F0000}"/>
    <cellStyle name="Normal 2 2 2 2 2 2 9 10" xfId="12129" xr:uid="{00000000-0005-0000-0000-0000612F0000}"/>
    <cellStyle name="Normal 2 2 2 2 2 2 9 11" xfId="12130" xr:uid="{00000000-0005-0000-0000-0000622F0000}"/>
    <cellStyle name="Normal 2 2 2 2 2 2 9 12" xfId="12131" xr:uid="{00000000-0005-0000-0000-0000632F0000}"/>
    <cellStyle name="Normal 2 2 2 2 2 2 9 13" xfId="12132" xr:uid="{00000000-0005-0000-0000-0000642F0000}"/>
    <cellStyle name="Normal 2 2 2 2 2 2 9 14" xfId="12133" xr:uid="{00000000-0005-0000-0000-0000652F0000}"/>
    <cellStyle name="Normal 2 2 2 2 2 2 9 2" xfId="12134" xr:uid="{00000000-0005-0000-0000-0000662F0000}"/>
    <cellStyle name="Normal 2 2 2 2 2 2 9 2 10" xfId="12135" xr:uid="{00000000-0005-0000-0000-0000672F0000}"/>
    <cellStyle name="Normal 2 2 2 2 2 2 9 2 2" xfId="12136" xr:uid="{00000000-0005-0000-0000-0000682F0000}"/>
    <cellStyle name="Normal 2 2 2 2 2 2 9 2 3" xfId="12137" xr:uid="{00000000-0005-0000-0000-0000692F0000}"/>
    <cellStyle name="Normal 2 2 2 2 2 2 9 2 4" xfId="12138" xr:uid="{00000000-0005-0000-0000-00006A2F0000}"/>
    <cellStyle name="Normal 2 2 2 2 2 2 9 2 5" xfId="12139" xr:uid="{00000000-0005-0000-0000-00006B2F0000}"/>
    <cellStyle name="Normal 2 2 2 2 2 2 9 2 6" xfId="12140" xr:uid="{00000000-0005-0000-0000-00006C2F0000}"/>
    <cellStyle name="Normal 2 2 2 2 2 2 9 2 7" xfId="12141" xr:uid="{00000000-0005-0000-0000-00006D2F0000}"/>
    <cellStyle name="Normal 2 2 2 2 2 2 9 2 8" xfId="12142" xr:uid="{00000000-0005-0000-0000-00006E2F0000}"/>
    <cellStyle name="Normal 2 2 2 2 2 2 9 2 9" xfId="12143" xr:uid="{00000000-0005-0000-0000-00006F2F0000}"/>
    <cellStyle name="Normal 2 2 2 2 2 2 9 3" xfId="12144" xr:uid="{00000000-0005-0000-0000-0000702F0000}"/>
    <cellStyle name="Normal 2 2 2 2 2 2 9 3 10" xfId="12145" xr:uid="{00000000-0005-0000-0000-0000712F0000}"/>
    <cellStyle name="Normal 2 2 2 2 2 2 9 3 2" xfId="12146" xr:uid="{00000000-0005-0000-0000-0000722F0000}"/>
    <cellStyle name="Normal 2 2 2 2 2 2 9 3 3" xfId="12147" xr:uid="{00000000-0005-0000-0000-0000732F0000}"/>
    <cellStyle name="Normal 2 2 2 2 2 2 9 3 4" xfId="12148" xr:uid="{00000000-0005-0000-0000-0000742F0000}"/>
    <cellStyle name="Normal 2 2 2 2 2 2 9 3 5" xfId="12149" xr:uid="{00000000-0005-0000-0000-0000752F0000}"/>
    <cellStyle name="Normal 2 2 2 2 2 2 9 3 6" xfId="12150" xr:uid="{00000000-0005-0000-0000-0000762F0000}"/>
    <cellStyle name="Normal 2 2 2 2 2 2 9 3 7" xfId="12151" xr:uid="{00000000-0005-0000-0000-0000772F0000}"/>
    <cellStyle name="Normal 2 2 2 2 2 2 9 3 8" xfId="12152" xr:uid="{00000000-0005-0000-0000-0000782F0000}"/>
    <cellStyle name="Normal 2 2 2 2 2 2 9 3 9" xfId="12153" xr:uid="{00000000-0005-0000-0000-0000792F0000}"/>
    <cellStyle name="Normal 2 2 2 2 2 2 9 4" xfId="12154" xr:uid="{00000000-0005-0000-0000-00007A2F0000}"/>
    <cellStyle name="Normal 2 2 2 2 2 2 9 4 10" xfId="12155" xr:uid="{00000000-0005-0000-0000-00007B2F0000}"/>
    <cellStyle name="Normal 2 2 2 2 2 2 9 4 2" xfId="12156" xr:uid="{00000000-0005-0000-0000-00007C2F0000}"/>
    <cellStyle name="Normal 2 2 2 2 2 2 9 4 3" xfId="12157" xr:uid="{00000000-0005-0000-0000-00007D2F0000}"/>
    <cellStyle name="Normal 2 2 2 2 2 2 9 4 4" xfId="12158" xr:uid="{00000000-0005-0000-0000-00007E2F0000}"/>
    <cellStyle name="Normal 2 2 2 2 2 2 9 4 5" xfId="12159" xr:uid="{00000000-0005-0000-0000-00007F2F0000}"/>
    <cellStyle name="Normal 2 2 2 2 2 2 9 4 6" xfId="12160" xr:uid="{00000000-0005-0000-0000-0000802F0000}"/>
    <cellStyle name="Normal 2 2 2 2 2 2 9 4 7" xfId="12161" xr:uid="{00000000-0005-0000-0000-0000812F0000}"/>
    <cellStyle name="Normal 2 2 2 2 2 2 9 4 8" xfId="12162" xr:uid="{00000000-0005-0000-0000-0000822F0000}"/>
    <cellStyle name="Normal 2 2 2 2 2 2 9 4 9" xfId="12163" xr:uid="{00000000-0005-0000-0000-0000832F0000}"/>
    <cellStyle name="Normal 2 2 2 2 2 2 9 5" xfId="12164" xr:uid="{00000000-0005-0000-0000-0000842F0000}"/>
    <cellStyle name="Normal 2 2 2 2 2 2 9 5 10" xfId="12165" xr:uid="{00000000-0005-0000-0000-0000852F0000}"/>
    <cellStyle name="Normal 2 2 2 2 2 2 9 5 2" xfId="12166" xr:uid="{00000000-0005-0000-0000-0000862F0000}"/>
    <cellStyle name="Normal 2 2 2 2 2 2 9 5 3" xfId="12167" xr:uid="{00000000-0005-0000-0000-0000872F0000}"/>
    <cellStyle name="Normal 2 2 2 2 2 2 9 5 4" xfId="12168" xr:uid="{00000000-0005-0000-0000-0000882F0000}"/>
    <cellStyle name="Normal 2 2 2 2 2 2 9 5 5" xfId="12169" xr:uid="{00000000-0005-0000-0000-0000892F0000}"/>
    <cellStyle name="Normal 2 2 2 2 2 2 9 5 6" xfId="12170" xr:uid="{00000000-0005-0000-0000-00008A2F0000}"/>
    <cellStyle name="Normal 2 2 2 2 2 2 9 5 7" xfId="12171" xr:uid="{00000000-0005-0000-0000-00008B2F0000}"/>
    <cellStyle name="Normal 2 2 2 2 2 2 9 5 8" xfId="12172" xr:uid="{00000000-0005-0000-0000-00008C2F0000}"/>
    <cellStyle name="Normal 2 2 2 2 2 2 9 5 9" xfId="12173" xr:uid="{00000000-0005-0000-0000-00008D2F0000}"/>
    <cellStyle name="Normal 2 2 2 2 2 2 9 6" xfId="12174" xr:uid="{00000000-0005-0000-0000-00008E2F0000}"/>
    <cellStyle name="Normal 2 2 2 2 2 2 9 7" xfId="12175" xr:uid="{00000000-0005-0000-0000-00008F2F0000}"/>
    <cellStyle name="Normal 2 2 2 2 2 2 9 8" xfId="12176" xr:uid="{00000000-0005-0000-0000-0000902F0000}"/>
    <cellStyle name="Normal 2 2 2 2 2 2 9 9" xfId="12177" xr:uid="{00000000-0005-0000-0000-0000912F0000}"/>
    <cellStyle name="Normal 2 2 2 2 2 20" xfId="12178" xr:uid="{00000000-0005-0000-0000-0000922F0000}"/>
    <cellStyle name="Normal 2 2 2 2 2 20 10" xfId="12179" xr:uid="{00000000-0005-0000-0000-0000932F0000}"/>
    <cellStyle name="Normal 2 2 2 2 2 20 11" xfId="12180" xr:uid="{00000000-0005-0000-0000-0000942F0000}"/>
    <cellStyle name="Normal 2 2 2 2 2 20 12" xfId="12181" xr:uid="{00000000-0005-0000-0000-0000952F0000}"/>
    <cellStyle name="Normal 2 2 2 2 2 20 13" xfId="12182" xr:uid="{00000000-0005-0000-0000-0000962F0000}"/>
    <cellStyle name="Normal 2 2 2 2 2 20 14" xfId="12183" xr:uid="{00000000-0005-0000-0000-0000972F0000}"/>
    <cellStyle name="Normal 2 2 2 2 2 20 2" xfId="12184" xr:uid="{00000000-0005-0000-0000-0000982F0000}"/>
    <cellStyle name="Normal 2 2 2 2 2 20 2 10" xfId="12185" xr:uid="{00000000-0005-0000-0000-0000992F0000}"/>
    <cellStyle name="Normal 2 2 2 2 2 20 2 2" xfId="12186" xr:uid="{00000000-0005-0000-0000-00009A2F0000}"/>
    <cellStyle name="Normal 2 2 2 2 2 20 2 3" xfId="12187" xr:uid="{00000000-0005-0000-0000-00009B2F0000}"/>
    <cellStyle name="Normal 2 2 2 2 2 20 2 4" xfId="12188" xr:uid="{00000000-0005-0000-0000-00009C2F0000}"/>
    <cellStyle name="Normal 2 2 2 2 2 20 2 5" xfId="12189" xr:uid="{00000000-0005-0000-0000-00009D2F0000}"/>
    <cellStyle name="Normal 2 2 2 2 2 20 2 6" xfId="12190" xr:uid="{00000000-0005-0000-0000-00009E2F0000}"/>
    <cellStyle name="Normal 2 2 2 2 2 20 2 7" xfId="12191" xr:uid="{00000000-0005-0000-0000-00009F2F0000}"/>
    <cellStyle name="Normal 2 2 2 2 2 20 2 8" xfId="12192" xr:uid="{00000000-0005-0000-0000-0000A02F0000}"/>
    <cellStyle name="Normal 2 2 2 2 2 20 2 9" xfId="12193" xr:uid="{00000000-0005-0000-0000-0000A12F0000}"/>
    <cellStyle name="Normal 2 2 2 2 2 20 3" xfId="12194" xr:uid="{00000000-0005-0000-0000-0000A22F0000}"/>
    <cellStyle name="Normal 2 2 2 2 2 20 3 10" xfId="12195" xr:uid="{00000000-0005-0000-0000-0000A32F0000}"/>
    <cellStyle name="Normal 2 2 2 2 2 20 3 2" xfId="12196" xr:uid="{00000000-0005-0000-0000-0000A42F0000}"/>
    <cellStyle name="Normal 2 2 2 2 2 20 3 3" xfId="12197" xr:uid="{00000000-0005-0000-0000-0000A52F0000}"/>
    <cellStyle name="Normal 2 2 2 2 2 20 3 4" xfId="12198" xr:uid="{00000000-0005-0000-0000-0000A62F0000}"/>
    <cellStyle name="Normal 2 2 2 2 2 20 3 5" xfId="12199" xr:uid="{00000000-0005-0000-0000-0000A72F0000}"/>
    <cellStyle name="Normal 2 2 2 2 2 20 3 6" xfId="12200" xr:uid="{00000000-0005-0000-0000-0000A82F0000}"/>
    <cellStyle name="Normal 2 2 2 2 2 20 3 7" xfId="12201" xr:uid="{00000000-0005-0000-0000-0000A92F0000}"/>
    <cellStyle name="Normal 2 2 2 2 2 20 3 8" xfId="12202" xr:uid="{00000000-0005-0000-0000-0000AA2F0000}"/>
    <cellStyle name="Normal 2 2 2 2 2 20 3 9" xfId="12203" xr:uid="{00000000-0005-0000-0000-0000AB2F0000}"/>
    <cellStyle name="Normal 2 2 2 2 2 20 4" xfId="12204" xr:uid="{00000000-0005-0000-0000-0000AC2F0000}"/>
    <cellStyle name="Normal 2 2 2 2 2 20 4 10" xfId="12205" xr:uid="{00000000-0005-0000-0000-0000AD2F0000}"/>
    <cellStyle name="Normal 2 2 2 2 2 20 4 2" xfId="12206" xr:uid="{00000000-0005-0000-0000-0000AE2F0000}"/>
    <cellStyle name="Normal 2 2 2 2 2 20 4 3" xfId="12207" xr:uid="{00000000-0005-0000-0000-0000AF2F0000}"/>
    <cellStyle name="Normal 2 2 2 2 2 20 4 4" xfId="12208" xr:uid="{00000000-0005-0000-0000-0000B02F0000}"/>
    <cellStyle name="Normal 2 2 2 2 2 20 4 5" xfId="12209" xr:uid="{00000000-0005-0000-0000-0000B12F0000}"/>
    <cellStyle name="Normal 2 2 2 2 2 20 4 6" xfId="12210" xr:uid="{00000000-0005-0000-0000-0000B22F0000}"/>
    <cellStyle name="Normal 2 2 2 2 2 20 4 7" xfId="12211" xr:uid="{00000000-0005-0000-0000-0000B32F0000}"/>
    <cellStyle name="Normal 2 2 2 2 2 20 4 8" xfId="12212" xr:uid="{00000000-0005-0000-0000-0000B42F0000}"/>
    <cellStyle name="Normal 2 2 2 2 2 20 4 9" xfId="12213" xr:uid="{00000000-0005-0000-0000-0000B52F0000}"/>
    <cellStyle name="Normal 2 2 2 2 2 20 5" xfId="12214" xr:uid="{00000000-0005-0000-0000-0000B62F0000}"/>
    <cellStyle name="Normal 2 2 2 2 2 20 5 10" xfId="12215" xr:uid="{00000000-0005-0000-0000-0000B72F0000}"/>
    <cellStyle name="Normal 2 2 2 2 2 20 5 2" xfId="12216" xr:uid="{00000000-0005-0000-0000-0000B82F0000}"/>
    <cellStyle name="Normal 2 2 2 2 2 20 5 3" xfId="12217" xr:uid="{00000000-0005-0000-0000-0000B92F0000}"/>
    <cellStyle name="Normal 2 2 2 2 2 20 5 4" xfId="12218" xr:uid="{00000000-0005-0000-0000-0000BA2F0000}"/>
    <cellStyle name="Normal 2 2 2 2 2 20 5 5" xfId="12219" xr:uid="{00000000-0005-0000-0000-0000BB2F0000}"/>
    <cellStyle name="Normal 2 2 2 2 2 20 5 6" xfId="12220" xr:uid="{00000000-0005-0000-0000-0000BC2F0000}"/>
    <cellStyle name="Normal 2 2 2 2 2 20 5 7" xfId="12221" xr:uid="{00000000-0005-0000-0000-0000BD2F0000}"/>
    <cellStyle name="Normal 2 2 2 2 2 20 5 8" xfId="12222" xr:uid="{00000000-0005-0000-0000-0000BE2F0000}"/>
    <cellStyle name="Normal 2 2 2 2 2 20 5 9" xfId="12223" xr:uid="{00000000-0005-0000-0000-0000BF2F0000}"/>
    <cellStyle name="Normal 2 2 2 2 2 20 6" xfId="12224" xr:uid="{00000000-0005-0000-0000-0000C02F0000}"/>
    <cellStyle name="Normal 2 2 2 2 2 20 7" xfId="12225" xr:uid="{00000000-0005-0000-0000-0000C12F0000}"/>
    <cellStyle name="Normal 2 2 2 2 2 20 8" xfId="12226" xr:uid="{00000000-0005-0000-0000-0000C22F0000}"/>
    <cellStyle name="Normal 2 2 2 2 2 20 9" xfId="12227" xr:uid="{00000000-0005-0000-0000-0000C32F0000}"/>
    <cellStyle name="Normal 2 2 2 2 2 21" xfId="12228" xr:uid="{00000000-0005-0000-0000-0000C42F0000}"/>
    <cellStyle name="Normal 2 2 2 2 2 21 10" xfId="12229" xr:uid="{00000000-0005-0000-0000-0000C52F0000}"/>
    <cellStyle name="Normal 2 2 2 2 2 21 11" xfId="12230" xr:uid="{00000000-0005-0000-0000-0000C62F0000}"/>
    <cellStyle name="Normal 2 2 2 2 2 21 12" xfId="12231" xr:uid="{00000000-0005-0000-0000-0000C72F0000}"/>
    <cellStyle name="Normal 2 2 2 2 2 21 13" xfId="12232" xr:uid="{00000000-0005-0000-0000-0000C82F0000}"/>
    <cellStyle name="Normal 2 2 2 2 2 21 14" xfId="12233" xr:uid="{00000000-0005-0000-0000-0000C92F0000}"/>
    <cellStyle name="Normal 2 2 2 2 2 21 2" xfId="12234" xr:uid="{00000000-0005-0000-0000-0000CA2F0000}"/>
    <cellStyle name="Normal 2 2 2 2 2 21 2 10" xfId="12235" xr:uid="{00000000-0005-0000-0000-0000CB2F0000}"/>
    <cellStyle name="Normal 2 2 2 2 2 21 2 2" xfId="12236" xr:uid="{00000000-0005-0000-0000-0000CC2F0000}"/>
    <cellStyle name="Normal 2 2 2 2 2 21 2 3" xfId="12237" xr:uid="{00000000-0005-0000-0000-0000CD2F0000}"/>
    <cellStyle name="Normal 2 2 2 2 2 21 2 4" xfId="12238" xr:uid="{00000000-0005-0000-0000-0000CE2F0000}"/>
    <cellStyle name="Normal 2 2 2 2 2 21 2 5" xfId="12239" xr:uid="{00000000-0005-0000-0000-0000CF2F0000}"/>
    <cellStyle name="Normal 2 2 2 2 2 21 2 6" xfId="12240" xr:uid="{00000000-0005-0000-0000-0000D02F0000}"/>
    <cellStyle name="Normal 2 2 2 2 2 21 2 7" xfId="12241" xr:uid="{00000000-0005-0000-0000-0000D12F0000}"/>
    <cellStyle name="Normal 2 2 2 2 2 21 2 8" xfId="12242" xr:uid="{00000000-0005-0000-0000-0000D22F0000}"/>
    <cellStyle name="Normal 2 2 2 2 2 21 2 9" xfId="12243" xr:uid="{00000000-0005-0000-0000-0000D32F0000}"/>
    <cellStyle name="Normal 2 2 2 2 2 21 3" xfId="12244" xr:uid="{00000000-0005-0000-0000-0000D42F0000}"/>
    <cellStyle name="Normal 2 2 2 2 2 21 3 10" xfId="12245" xr:uid="{00000000-0005-0000-0000-0000D52F0000}"/>
    <cellStyle name="Normal 2 2 2 2 2 21 3 2" xfId="12246" xr:uid="{00000000-0005-0000-0000-0000D62F0000}"/>
    <cellStyle name="Normal 2 2 2 2 2 21 3 3" xfId="12247" xr:uid="{00000000-0005-0000-0000-0000D72F0000}"/>
    <cellStyle name="Normal 2 2 2 2 2 21 3 4" xfId="12248" xr:uid="{00000000-0005-0000-0000-0000D82F0000}"/>
    <cellStyle name="Normal 2 2 2 2 2 21 3 5" xfId="12249" xr:uid="{00000000-0005-0000-0000-0000D92F0000}"/>
    <cellStyle name="Normal 2 2 2 2 2 21 3 6" xfId="12250" xr:uid="{00000000-0005-0000-0000-0000DA2F0000}"/>
    <cellStyle name="Normal 2 2 2 2 2 21 3 7" xfId="12251" xr:uid="{00000000-0005-0000-0000-0000DB2F0000}"/>
    <cellStyle name="Normal 2 2 2 2 2 21 3 8" xfId="12252" xr:uid="{00000000-0005-0000-0000-0000DC2F0000}"/>
    <cellStyle name="Normal 2 2 2 2 2 21 3 9" xfId="12253" xr:uid="{00000000-0005-0000-0000-0000DD2F0000}"/>
    <cellStyle name="Normal 2 2 2 2 2 21 4" xfId="12254" xr:uid="{00000000-0005-0000-0000-0000DE2F0000}"/>
    <cellStyle name="Normal 2 2 2 2 2 21 4 10" xfId="12255" xr:uid="{00000000-0005-0000-0000-0000DF2F0000}"/>
    <cellStyle name="Normal 2 2 2 2 2 21 4 2" xfId="12256" xr:uid="{00000000-0005-0000-0000-0000E02F0000}"/>
    <cellStyle name="Normal 2 2 2 2 2 21 4 3" xfId="12257" xr:uid="{00000000-0005-0000-0000-0000E12F0000}"/>
    <cellStyle name="Normal 2 2 2 2 2 21 4 4" xfId="12258" xr:uid="{00000000-0005-0000-0000-0000E22F0000}"/>
    <cellStyle name="Normal 2 2 2 2 2 21 4 5" xfId="12259" xr:uid="{00000000-0005-0000-0000-0000E32F0000}"/>
    <cellStyle name="Normal 2 2 2 2 2 21 4 6" xfId="12260" xr:uid="{00000000-0005-0000-0000-0000E42F0000}"/>
    <cellStyle name="Normal 2 2 2 2 2 21 4 7" xfId="12261" xr:uid="{00000000-0005-0000-0000-0000E52F0000}"/>
    <cellStyle name="Normal 2 2 2 2 2 21 4 8" xfId="12262" xr:uid="{00000000-0005-0000-0000-0000E62F0000}"/>
    <cellStyle name="Normal 2 2 2 2 2 21 4 9" xfId="12263" xr:uid="{00000000-0005-0000-0000-0000E72F0000}"/>
    <cellStyle name="Normal 2 2 2 2 2 21 5" xfId="12264" xr:uid="{00000000-0005-0000-0000-0000E82F0000}"/>
    <cellStyle name="Normal 2 2 2 2 2 21 5 10" xfId="12265" xr:uid="{00000000-0005-0000-0000-0000E92F0000}"/>
    <cellStyle name="Normal 2 2 2 2 2 21 5 2" xfId="12266" xr:uid="{00000000-0005-0000-0000-0000EA2F0000}"/>
    <cellStyle name="Normal 2 2 2 2 2 21 5 3" xfId="12267" xr:uid="{00000000-0005-0000-0000-0000EB2F0000}"/>
    <cellStyle name="Normal 2 2 2 2 2 21 5 4" xfId="12268" xr:uid="{00000000-0005-0000-0000-0000EC2F0000}"/>
    <cellStyle name="Normal 2 2 2 2 2 21 5 5" xfId="12269" xr:uid="{00000000-0005-0000-0000-0000ED2F0000}"/>
    <cellStyle name="Normal 2 2 2 2 2 21 5 6" xfId="12270" xr:uid="{00000000-0005-0000-0000-0000EE2F0000}"/>
    <cellStyle name="Normal 2 2 2 2 2 21 5 7" xfId="12271" xr:uid="{00000000-0005-0000-0000-0000EF2F0000}"/>
    <cellStyle name="Normal 2 2 2 2 2 21 5 8" xfId="12272" xr:uid="{00000000-0005-0000-0000-0000F02F0000}"/>
    <cellStyle name="Normal 2 2 2 2 2 21 5 9" xfId="12273" xr:uid="{00000000-0005-0000-0000-0000F12F0000}"/>
    <cellStyle name="Normal 2 2 2 2 2 21 6" xfId="12274" xr:uid="{00000000-0005-0000-0000-0000F22F0000}"/>
    <cellStyle name="Normal 2 2 2 2 2 21 7" xfId="12275" xr:uid="{00000000-0005-0000-0000-0000F32F0000}"/>
    <cellStyle name="Normal 2 2 2 2 2 21 8" xfId="12276" xr:uid="{00000000-0005-0000-0000-0000F42F0000}"/>
    <cellStyle name="Normal 2 2 2 2 2 21 9" xfId="12277" xr:uid="{00000000-0005-0000-0000-0000F52F0000}"/>
    <cellStyle name="Normal 2 2 2 2 2 22" xfId="12278" xr:uid="{00000000-0005-0000-0000-0000F62F0000}"/>
    <cellStyle name="Normal 2 2 2 2 2 22 10" xfId="12279" xr:uid="{00000000-0005-0000-0000-0000F72F0000}"/>
    <cellStyle name="Normal 2 2 2 2 2 22 11" xfId="12280" xr:uid="{00000000-0005-0000-0000-0000F82F0000}"/>
    <cellStyle name="Normal 2 2 2 2 2 22 12" xfId="12281" xr:uid="{00000000-0005-0000-0000-0000F92F0000}"/>
    <cellStyle name="Normal 2 2 2 2 2 22 13" xfId="12282" xr:uid="{00000000-0005-0000-0000-0000FA2F0000}"/>
    <cellStyle name="Normal 2 2 2 2 2 22 14" xfId="12283" xr:uid="{00000000-0005-0000-0000-0000FB2F0000}"/>
    <cellStyle name="Normal 2 2 2 2 2 22 2" xfId="12284" xr:uid="{00000000-0005-0000-0000-0000FC2F0000}"/>
    <cellStyle name="Normal 2 2 2 2 2 22 2 10" xfId="12285" xr:uid="{00000000-0005-0000-0000-0000FD2F0000}"/>
    <cellStyle name="Normal 2 2 2 2 2 22 2 2" xfId="12286" xr:uid="{00000000-0005-0000-0000-0000FE2F0000}"/>
    <cellStyle name="Normal 2 2 2 2 2 22 2 3" xfId="12287" xr:uid="{00000000-0005-0000-0000-0000FF2F0000}"/>
    <cellStyle name="Normal 2 2 2 2 2 22 2 4" xfId="12288" xr:uid="{00000000-0005-0000-0000-000000300000}"/>
    <cellStyle name="Normal 2 2 2 2 2 22 2 5" xfId="12289" xr:uid="{00000000-0005-0000-0000-000001300000}"/>
    <cellStyle name="Normal 2 2 2 2 2 22 2 6" xfId="12290" xr:uid="{00000000-0005-0000-0000-000002300000}"/>
    <cellStyle name="Normal 2 2 2 2 2 22 2 7" xfId="12291" xr:uid="{00000000-0005-0000-0000-000003300000}"/>
    <cellStyle name="Normal 2 2 2 2 2 22 2 8" xfId="12292" xr:uid="{00000000-0005-0000-0000-000004300000}"/>
    <cellStyle name="Normal 2 2 2 2 2 22 2 9" xfId="12293" xr:uid="{00000000-0005-0000-0000-000005300000}"/>
    <cellStyle name="Normal 2 2 2 2 2 22 3" xfId="12294" xr:uid="{00000000-0005-0000-0000-000006300000}"/>
    <cellStyle name="Normal 2 2 2 2 2 22 3 10" xfId="12295" xr:uid="{00000000-0005-0000-0000-000007300000}"/>
    <cellStyle name="Normal 2 2 2 2 2 22 3 2" xfId="12296" xr:uid="{00000000-0005-0000-0000-000008300000}"/>
    <cellStyle name="Normal 2 2 2 2 2 22 3 3" xfId="12297" xr:uid="{00000000-0005-0000-0000-000009300000}"/>
    <cellStyle name="Normal 2 2 2 2 2 22 3 4" xfId="12298" xr:uid="{00000000-0005-0000-0000-00000A300000}"/>
    <cellStyle name="Normal 2 2 2 2 2 22 3 5" xfId="12299" xr:uid="{00000000-0005-0000-0000-00000B300000}"/>
    <cellStyle name="Normal 2 2 2 2 2 22 3 6" xfId="12300" xr:uid="{00000000-0005-0000-0000-00000C300000}"/>
    <cellStyle name="Normal 2 2 2 2 2 22 3 7" xfId="12301" xr:uid="{00000000-0005-0000-0000-00000D300000}"/>
    <cellStyle name="Normal 2 2 2 2 2 22 3 8" xfId="12302" xr:uid="{00000000-0005-0000-0000-00000E300000}"/>
    <cellStyle name="Normal 2 2 2 2 2 22 3 9" xfId="12303" xr:uid="{00000000-0005-0000-0000-00000F300000}"/>
    <cellStyle name="Normal 2 2 2 2 2 22 4" xfId="12304" xr:uid="{00000000-0005-0000-0000-000010300000}"/>
    <cellStyle name="Normal 2 2 2 2 2 22 4 10" xfId="12305" xr:uid="{00000000-0005-0000-0000-000011300000}"/>
    <cellStyle name="Normal 2 2 2 2 2 22 4 2" xfId="12306" xr:uid="{00000000-0005-0000-0000-000012300000}"/>
    <cellStyle name="Normal 2 2 2 2 2 22 4 3" xfId="12307" xr:uid="{00000000-0005-0000-0000-000013300000}"/>
    <cellStyle name="Normal 2 2 2 2 2 22 4 4" xfId="12308" xr:uid="{00000000-0005-0000-0000-000014300000}"/>
    <cellStyle name="Normal 2 2 2 2 2 22 4 5" xfId="12309" xr:uid="{00000000-0005-0000-0000-000015300000}"/>
    <cellStyle name="Normal 2 2 2 2 2 22 4 6" xfId="12310" xr:uid="{00000000-0005-0000-0000-000016300000}"/>
    <cellStyle name="Normal 2 2 2 2 2 22 4 7" xfId="12311" xr:uid="{00000000-0005-0000-0000-000017300000}"/>
    <cellStyle name="Normal 2 2 2 2 2 22 4 8" xfId="12312" xr:uid="{00000000-0005-0000-0000-000018300000}"/>
    <cellStyle name="Normal 2 2 2 2 2 22 4 9" xfId="12313" xr:uid="{00000000-0005-0000-0000-000019300000}"/>
    <cellStyle name="Normal 2 2 2 2 2 22 5" xfId="12314" xr:uid="{00000000-0005-0000-0000-00001A300000}"/>
    <cellStyle name="Normal 2 2 2 2 2 22 5 10" xfId="12315" xr:uid="{00000000-0005-0000-0000-00001B300000}"/>
    <cellStyle name="Normal 2 2 2 2 2 22 5 2" xfId="12316" xr:uid="{00000000-0005-0000-0000-00001C300000}"/>
    <cellStyle name="Normal 2 2 2 2 2 22 5 3" xfId="12317" xr:uid="{00000000-0005-0000-0000-00001D300000}"/>
    <cellStyle name="Normal 2 2 2 2 2 22 5 4" xfId="12318" xr:uid="{00000000-0005-0000-0000-00001E300000}"/>
    <cellStyle name="Normal 2 2 2 2 2 22 5 5" xfId="12319" xr:uid="{00000000-0005-0000-0000-00001F300000}"/>
    <cellStyle name="Normal 2 2 2 2 2 22 5 6" xfId="12320" xr:uid="{00000000-0005-0000-0000-000020300000}"/>
    <cellStyle name="Normal 2 2 2 2 2 22 5 7" xfId="12321" xr:uid="{00000000-0005-0000-0000-000021300000}"/>
    <cellStyle name="Normal 2 2 2 2 2 22 5 8" xfId="12322" xr:uid="{00000000-0005-0000-0000-000022300000}"/>
    <cellStyle name="Normal 2 2 2 2 2 22 5 9" xfId="12323" xr:uid="{00000000-0005-0000-0000-000023300000}"/>
    <cellStyle name="Normal 2 2 2 2 2 22 6" xfId="12324" xr:uid="{00000000-0005-0000-0000-000024300000}"/>
    <cellStyle name="Normal 2 2 2 2 2 22 7" xfId="12325" xr:uid="{00000000-0005-0000-0000-000025300000}"/>
    <cellStyle name="Normal 2 2 2 2 2 22 8" xfId="12326" xr:uid="{00000000-0005-0000-0000-000026300000}"/>
    <cellStyle name="Normal 2 2 2 2 2 22 9" xfId="12327" xr:uid="{00000000-0005-0000-0000-000027300000}"/>
    <cellStyle name="Normal 2 2 2 2 2 23" xfId="12328" xr:uid="{00000000-0005-0000-0000-000028300000}"/>
    <cellStyle name="Normal 2 2 2 2 2 23 10" xfId="12329" xr:uid="{00000000-0005-0000-0000-000029300000}"/>
    <cellStyle name="Normal 2 2 2 2 2 23 11" xfId="12330" xr:uid="{00000000-0005-0000-0000-00002A300000}"/>
    <cellStyle name="Normal 2 2 2 2 2 23 12" xfId="12331" xr:uid="{00000000-0005-0000-0000-00002B300000}"/>
    <cellStyle name="Normal 2 2 2 2 2 23 13" xfId="12332" xr:uid="{00000000-0005-0000-0000-00002C300000}"/>
    <cellStyle name="Normal 2 2 2 2 2 23 14" xfId="12333" xr:uid="{00000000-0005-0000-0000-00002D300000}"/>
    <cellStyle name="Normal 2 2 2 2 2 23 2" xfId="12334" xr:uid="{00000000-0005-0000-0000-00002E300000}"/>
    <cellStyle name="Normal 2 2 2 2 2 23 2 10" xfId="12335" xr:uid="{00000000-0005-0000-0000-00002F300000}"/>
    <cellStyle name="Normal 2 2 2 2 2 23 2 2" xfId="12336" xr:uid="{00000000-0005-0000-0000-000030300000}"/>
    <cellStyle name="Normal 2 2 2 2 2 23 2 3" xfId="12337" xr:uid="{00000000-0005-0000-0000-000031300000}"/>
    <cellStyle name="Normal 2 2 2 2 2 23 2 4" xfId="12338" xr:uid="{00000000-0005-0000-0000-000032300000}"/>
    <cellStyle name="Normal 2 2 2 2 2 23 2 5" xfId="12339" xr:uid="{00000000-0005-0000-0000-000033300000}"/>
    <cellStyle name="Normal 2 2 2 2 2 23 2 6" xfId="12340" xr:uid="{00000000-0005-0000-0000-000034300000}"/>
    <cellStyle name="Normal 2 2 2 2 2 23 2 7" xfId="12341" xr:uid="{00000000-0005-0000-0000-000035300000}"/>
    <cellStyle name="Normal 2 2 2 2 2 23 2 8" xfId="12342" xr:uid="{00000000-0005-0000-0000-000036300000}"/>
    <cellStyle name="Normal 2 2 2 2 2 23 2 9" xfId="12343" xr:uid="{00000000-0005-0000-0000-000037300000}"/>
    <cellStyle name="Normal 2 2 2 2 2 23 3" xfId="12344" xr:uid="{00000000-0005-0000-0000-000038300000}"/>
    <cellStyle name="Normal 2 2 2 2 2 23 3 10" xfId="12345" xr:uid="{00000000-0005-0000-0000-000039300000}"/>
    <cellStyle name="Normal 2 2 2 2 2 23 3 2" xfId="12346" xr:uid="{00000000-0005-0000-0000-00003A300000}"/>
    <cellStyle name="Normal 2 2 2 2 2 23 3 3" xfId="12347" xr:uid="{00000000-0005-0000-0000-00003B300000}"/>
    <cellStyle name="Normal 2 2 2 2 2 23 3 4" xfId="12348" xr:uid="{00000000-0005-0000-0000-00003C300000}"/>
    <cellStyle name="Normal 2 2 2 2 2 23 3 5" xfId="12349" xr:uid="{00000000-0005-0000-0000-00003D300000}"/>
    <cellStyle name="Normal 2 2 2 2 2 23 3 6" xfId="12350" xr:uid="{00000000-0005-0000-0000-00003E300000}"/>
    <cellStyle name="Normal 2 2 2 2 2 23 3 7" xfId="12351" xr:uid="{00000000-0005-0000-0000-00003F300000}"/>
    <cellStyle name="Normal 2 2 2 2 2 23 3 8" xfId="12352" xr:uid="{00000000-0005-0000-0000-000040300000}"/>
    <cellStyle name="Normal 2 2 2 2 2 23 3 9" xfId="12353" xr:uid="{00000000-0005-0000-0000-000041300000}"/>
    <cellStyle name="Normal 2 2 2 2 2 23 4" xfId="12354" xr:uid="{00000000-0005-0000-0000-000042300000}"/>
    <cellStyle name="Normal 2 2 2 2 2 23 4 10" xfId="12355" xr:uid="{00000000-0005-0000-0000-000043300000}"/>
    <cellStyle name="Normal 2 2 2 2 2 23 4 2" xfId="12356" xr:uid="{00000000-0005-0000-0000-000044300000}"/>
    <cellStyle name="Normal 2 2 2 2 2 23 4 3" xfId="12357" xr:uid="{00000000-0005-0000-0000-000045300000}"/>
    <cellStyle name="Normal 2 2 2 2 2 23 4 4" xfId="12358" xr:uid="{00000000-0005-0000-0000-000046300000}"/>
    <cellStyle name="Normal 2 2 2 2 2 23 4 5" xfId="12359" xr:uid="{00000000-0005-0000-0000-000047300000}"/>
    <cellStyle name="Normal 2 2 2 2 2 23 4 6" xfId="12360" xr:uid="{00000000-0005-0000-0000-000048300000}"/>
    <cellStyle name="Normal 2 2 2 2 2 23 4 7" xfId="12361" xr:uid="{00000000-0005-0000-0000-000049300000}"/>
    <cellStyle name="Normal 2 2 2 2 2 23 4 8" xfId="12362" xr:uid="{00000000-0005-0000-0000-00004A300000}"/>
    <cellStyle name="Normal 2 2 2 2 2 23 4 9" xfId="12363" xr:uid="{00000000-0005-0000-0000-00004B300000}"/>
    <cellStyle name="Normal 2 2 2 2 2 23 5" xfId="12364" xr:uid="{00000000-0005-0000-0000-00004C300000}"/>
    <cellStyle name="Normal 2 2 2 2 2 23 5 10" xfId="12365" xr:uid="{00000000-0005-0000-0000-00004D300000}"/>
    <cellStyle name="Normal 2 2 2 2 2 23 5 2" xfId="12366" xr:uid="{00000000-0005-0000-0000-00004E300000}"/>
    <cellStyle name="Normal 2 2 2 2 2 23 5 3" xfId="12367" xr:uid="{00000000-0005-0000-0000-00004F300000}"/>
    <cellStyle name="Normal 2 2 2 2 2 23 5 4" xfId="12368" xr:uid="{00000000-0005-0000-0000-000050300000}"/>
    <cellStyle name="Normal 2 2 2 2 2 23 5 5" xfId="12369" xr:uid="{00000000-0005-0000-0000-000051300000}"/>
    <cellStyle name="Normal 2 2 2 2 2 23 5 6" xfId="12370" xr:uid="{00000000-0005-0000-0000-000052300000}"/>
    <cellStyle name="Normal 2 2 2 2 2 23 5 7" xfId="12371" xr:uid="{00000000-0005-0000-0000-000053300000}"/>
    <cellStyle name="Normal 2 2 2 2 2 23 5 8" xfId="12372" xr:uid="{00000000-0005-0000-0000-000054300000}"/>
    <cellStyle name="Normal 2 2 2 2 2 23 5 9" xfId="12373" xr:uid="{00000000-0005-0000-0000-000055300000}"/>
    <cellStyle name="Normal 2 2 2 2 2 23 6" xfId="12374" xr:uid="{00000000-0005-0000-0000-000056300000}"/>
    <cellStyle name="Normal 2 2 2 2 2 23 7" xfId="12375" xr:uid="{00000000-0005-0000-0000-000057300000}"/>
    <cellStyle name="Normal 2 2 2 2 2 23 8" xfId="12376" xr:uid="{00000000-0005-0000-0000-000058300000}"/>
    <cellStyle name="Normal 2 2 2 2 2 23 9" xfId="12377" xr:uid="{00000000-0005-0000-0000-000059300000}"/>
    <cellStyle name="Normal 2 2 2 2 2 24" xfId="12378" xr:uid="{00000000-0005-0000-0000-00005A300000}"/>
    <cellStyle name="Normal 2 2 2 2 2 24 10" xfId="12379" xr:uid="{00000000-0005-0000-0000-00005B300000}"/>
    <cellStyle name="Normal 2 2 2 2 2 24 11" xfId="12380" xr:uid="{00000000-0005-0000-0000-00005C300000}"/>
    <cellStyle name="Normal 2 2 2 2 2 24 12" xfId="12381" xr:uid="{00000000-0005-0000-0000-00005D300000}"/>
    <cellStyle name="Normal 2 2 2 2 2 24 13" xfId="12382" xr:uid="{00000000-0005-0000-0000-00005E300000}"/>
    <cellStyle name="Normal 2 2 2 2 2 24 14" xfId="12383" xr:uid="{00000000-0005-0000-0000-00005F300000}"/>
    <cellStyle name="Normal 2 2 2 2 2 24 2" xfId="12384" xr:uid="{00000000-0005-0000-0000-000060300000}"/>
    <cellStyle name="Normal 2 2 2 2 2 24 2 10" xfId="12385" xr:uid="{00000000-0005-0000-0000-000061300000}"/>
    <cellStyle name="Normal 2 2 2 2 2 24 2 2" xfId="12386" xr:uid="{00000000-0005-0000-0000-000062300000}"/>
    <cellStyle name="Normal 2 2 2 2 2 24 2 3" xfId="12387" xr:uid="{00000000-0005-0000-0000-000063300000}"/>
    <cellStyle name="Normal 2 2 2 2 2 24 2 4" xfId="12388" xr:uid="{00000000-0005-0000-0000-000064300000}"/>
    <cellStyle name="Normal 2 2 2 2 2 24 2 5" xfId="12389" xr:uid="{00000000-0005-0000-0000-000065300000}"/>
    <cellStyle name="Normal 2 2 2 2 2 24 2 6" xfId="12390" xr:uid="{00000000-0005-0000-0000-000066300000}"/>
    <cellStyle name="Normal 2 2 2 2 2 24 2 7" xfId="12391" xr:uid="{00000000-0005-0000-0000-000067300000}"/>
    <cellStyle name="Normal 2 2 2 2 2 24 2 8" xfId="12392" xr:uid="{00000000-0005-0000-0000-000068300000}"/>
    <cellStyle name="Normal 2 2 2 2 2 24 2 9" xfId="12393" xr:uid="{00000000-0005-0000-0000-000069300000}"/>
    <cellStyle name="Normal 2 2 2 2 2 24 3" xfId="12394" xr:uid="{00000000-0005-0000-0000-00006A300000}"/>
    <cellStyle name="Normal 2 2 2 2 2 24 3 10" xfId="12395" xr:uid="{00000000-0005-0000-0000-00006B300000}"/>
    <cellStyle name="Normal 2 2 2 2 2 24 3 2" xfId="12396" xr:uid="{00000000-0005-0000-0000-00006C300000}"/>
    <cellStyle name="Normal 2 2 2 2 2 24 3 3" xfId="12397" xr:uid="{00000000-0005-0000-0000-00006D300000}"/>
    <cellStyle name="Normal 2 2 2 2 2 24 3 4" xfId="12398" xr:uid="{00000000-0005-0000-0000-00006E300000}"/>
    <cellStyle name="Normal 2 2 2 2 2 24 3 5" xfId="12399" xr:uid="{00000000-0005-0000-0000-00006F300000}"/>
    <cellStyle name="Normal 2 2 2 2 2 24 3 6" xfId="12400" xr:uid="{00000000-0005-0000-0000-000070300000}"/>
    <cellStyle name="Normal 2 2 2 2 2 24 3 7" xfId="12401" xr:uid="{00000000-0005-0000-0000-000071300000}"/>
    <cellStyle name="Normal 2 2 2 2 2 24 3 8" xfId="12402" xr:uid="{00000000-0005-0000-0000-000072300000}"/>
    <cellStyle name="Normal 2 2 2 2 2 24 3 9" xfId="12403" xr:uid="{00000000-0005-0000-0000-000073300000}"/>
    <cellStyle name="Normal 2 2 2 2 2 24 4" xfId="12404" xr:uid="{00000000-0005-0000-0000-000074300000}"/>
    <cellStyle name="Normal 2 2 2 2 2 24 4 10" xfId="12405" xr:uid="{00000000-0005-0000-0000-000075300000}"/>
    <cellStyle name="Normal 2 2 2 2 2 24 4 2" xfId="12406" xr:uid="{00000000-0005-0000-0000-000076300000}"/>
    <cellStyle name="Normal 2 2 2 2 2 24 4 3" xfId="12407" xr:uid="{00000000-0005-0000-0000-000077300000}"/>
    <cellStyle name="Normal 2 2 2 2 2 24 4 4" xfId="12408" xr:uid="{00000000-0005-0000-0000-000078300000}"/>
    <cellStyle name="Normal 2 2 2 2 2 24 4 5" xfId="12409" xr:uid="{00000000-0005-0000-0000-000079300000}"/>
    <cellStyle name="Normal 2 2 2 2 2 24 4 6" xfId="12410" xr:uid="{00000000-0005-0000-0000-00007A300000}"/>
    <cellStyle name="Normal 2 2 2 2 2 24 4 7" xfId="12411" xr:uid="{00000000-0005-0000-0000-00007B300000}"/>
    <cellStyle name="Normal 2 2 2 2 2 24 4 8" xfId="12412" xr:uid="{00000000-0005-0000-0000-00007C300000}"/>
    <cellStyle name="Normal 2 2 2 2 2 24 4 9" xfId="12413" xr:uid="{00000000-0005-0000-0000-00007D300000}"/>
    <cellStyle name="Normal 2 2 2 2 2 24 5" xfId="12414" xr:uid="{00000000-0005-0000-0000-00007E300000}"/>
    <cellStyle name="Normal 2 2 2 2 2 24 5 10" xfId="12415" xr:uid="{00000000-0005-0000-0000-00007F300000}"/>
    <cellStyle name="Normal 2 2 2 2 2 24 5 2" xfId="12416" xr:uid="{00000000-0005-0000-0000-000080300000}"/>
    <cellStyle name="Normal 2 2 2 2 2 24 5 3" xfId="12417" xr:uid="{00000000-0005-0000-0000-000081300000}"/>
    <cellStyle name="Normal 2 2 2 2 2 24 5 4" xfId="12418" xr:uid="{00000000-0005-0000-0000-000082300000}"/>
    <cellStyle name="Normal 2 2 2 2 2 24 5 5" xfId="12419" xr:uid="{00000000-0005-0000-0000-000083300000}"/>
    <cellStyle name="Normal 2 2 2 2 2 24 5 6" xfId="12420" xr:uid="{00000000-0005-0000-0000-000084300000}"/>
    <cellStyle name="Normal 2 2 2 2 2 24 5 7" xfId="12421" xr:uid="{00000000-0005-0000-0000-000085300000}"/>
    <cellStyle name="Normal 2 2 2 2 2 24 5 8" xfId="12422" xr:uid="{00000000-0005-0000-0000-000086300000}"/>
    <cellStyle name="Normal 2 2 2 2 2 24 5 9" xfId="12423" xr:uid="{00000000-0005-0000-0000-000087300000}"/>
    <cellStyle name="Normal 2 2 2 2 2 24 6" xfId="12424" xr:uid="{00000000-0005-0000-0000-000088300000}"/>
    <cellStyle name="Normal 2 2 2 2 2 24 7" xfId="12425" xr:uid="{00000000-0005-0000-0000-000089300000}"/>
    <cellStyle name="Normal 2 2 2 2 2 24 8" xfId="12426" xr:uid="{00000000-0005-0000-0000-00008A300000}"/>
    <cellStyle name="Normal 2 2 2 2 2 24 9" xfId="12427" xr:uid="{00000000-0005-0000-0000-00008B300000}"/>
    <cellStyle name="Normal 2 2 2 2 2 25" xfId="12428" xr:uid="{00000000-0005-0000-0000-00008C300000}"/>
    <cellStyle name="Normal 2 2 2 2 2 25 10" xfId="12429" xr:uid="{00000000-0005-0000-0000-00008D300000}"/>
    <cellStyle name="Normal 2 2 2 2 2 25 11" xfId="12430" xr:uid="{00000000-0005-0000-0000-00008E300000}"/>
    <cellStyle name="Normal 2 2 2 2 2 25 12" xfId="12431" xr:uid="{00000000-0005-0000-0000-00008F300000}"/>
    <cellStyle name="Normal 2 2 2 2 2 25 13" xfId="12432" xr:uid="{00000000-0005-0000-0000-000090300000}"/>
    <cellStyle name="Normal 2 2 2 2 2 25 14" xfId="12433" xr:uid="{00000000-0005-0000-0000-000091300000}"/>
    <cellStyle name="Normal 2 2 2 2 2 25 2" xfId="12434" xr:uid="{00000000-0005-0000-0000-000092300000}"/>
    <cellStyle name="Normal 2 2 2 2 2 25 2 10" xfId="12435" xr:uid="{00000000-0005-0000-0000-000093300000}"/>
    <cellStyle name="Normal 2 2 2 2 2 25 2 2" xfId="12436" xr:uid="{00000000-0005-0000-0000-000094300000}"/>
    <cellStyle name="Normal 2 2 2 2 2 25 2 3" xfId="12437" xr:uid="{00000000-0005-0000-0000-000095300000}"/>
    <cellStyle name="Normal 2 2 2 2 2 25 2 4" xfId="12438" xr:uid="{00000000-0005-0000-0000-000096300000}"/>
    <cellStyle name="Normal 2 2 2 2 2 25 2 5" xfId="12439" xr:uid="{00000000-0005-0000-0000-000097300000}"/>
    <cellStyle name="Normal 2 2 2 2 2 25 2 6" xfId="12440" xr:uid="{00000000-0005-0000-0000-000098300000}"/>
    <cellStyle name="Normal 2 2 2 2 2 25 2 7" xfId="12441" xr:uid="{00000000-0005-0000-0000-000099300000}"/>
    <cellStyle name="Normal 2 2 2 2 2 25 2 8" xfId="12442" xr:uid="{00000000-0005-0000-0000-00009A300000}"/>
    <cellStyle name="Normal 2 2 2 2 2 25 2 9" xfId="12443" xr:uid="{00000000-0005-0000-0000-00009B300000}"/>
    <cellStyle name="Normal 2 2 2 2 2 25 3" xfId="12444" xr:uid="{00000000-0005-0000-0000-00009C300000}"/>
    <cellStyle name="Normal 2 2 2 2 2 25 3 10" xfId="12445" xr:uid="{00000000-0005-0000-0000-00009D300000}"/>
    <cellStyle name="Normal 2 2 2 2 2 25 3 2" xfId="12446" xr:uid="{00000000-0005-0000-0000-00009E300000}"/>
    <cellStyle name="Normal 2 2 2 2 2 25 3 3" xfId="12447" xr:uid="{00000000-0005-0000-0000-00009F300000}"/>
    <cellStyle name="Normal 2 2 2 2 2 25 3 4" xfId="12448" xr:uid="{00000000-0005-0000-0000-0000A0300000}"/>
    <cellStyle name="Normal 2 2 2 2 2 25 3 5" xfId="12449" xr:uid="{00000000-0005-0000-0000-0000A1300000}"/>
    <cellStyle name="Normal 2 2 2 2 2 25 3 6" xfId="12450" xr:uid="{00000000-0005-0000-0000-0000A2300000}"/>
    <cellStyle name="Normal 2 2 2 2 2 25 3 7" xfId="12451" xr:uid="{00000000-0005-0000-0000-0000A3300000}"/>
    <cellStyle name="Normal 2 2 2 2 2 25 3 8" xfId="12452" xr:uid="{00000000-0005-0000-0000-0000A4300000}"/>
    <cellStyle name="Normal 2 2 2 2 2 25 3 9" xfId="12453" xr:uid="{00000000-0005-0000-0000-0000A5300000}"/>
    <cellStyle name="Normal 2 2 2 2 2 25 4" xfId="12454" xr:uid="{00000000-0005-0000-0000-0000A6300000}"/>
    <cellStyle name="Normal 2 2 2 2 2 25 4 10" xfId="12455" xr:uid="{00000000-0005-0000-0000-0000A7300000}"/>
    <cellStyle name="Normal 2 2 2 2 2 25 4 2" xfId="12456" xr:uid="{00000000-0005-0000-0000-0000A8300000}"/>
    <cellStyle name="Normal 2 2 2 2 2 25 4 3" xfId="12457" xr:uid="{00000000-0005-0000-0000-0000A9300000}"/>
    <cellStyle name="Normal 2 2 2 2 2 25 4 4" xfId="12458" xr:uid="{00000000-0005-0000-0000-0000AA300000}"/>
    <cellStyle name="Normal 2 2 2 2 2 25 4 5" xfId="12459" xr:uid="{00000000-0005-0000-0000-0000AB300000}"/>
    <cellStyle name="Normal 2 2 2 2 2 25 4 6" xfId="12460" xr:uid="{00000000-0005-0000-0000-0000AC300000}"/>
    <cellStyle name="Normal 2 2 2 2 2 25 4 7" xfId="12461" xr:uid="{00000000-0005-0000-0000-0000AD300000}"/>
    <cellStyle name="Normal 2 2 2 2 2 25 4 8" xfId="12462" xr:uid="{00000000-0005-0000-0000-0000AE300000}"/>
    <cellStyle name="Normal 2 2 2 2 2 25 4 9" xfId="12463" xr:uid="{00000000-0005-0000-0000-0000AF300000}"/>
    <cellStyle name="Normal 2 2 2 2 2 25 5" xfId="12464" xr:uid="{00000000-0005-0000-0000-0000B0300000}"/>
    <cellStyle name="Normal 2 2 2 2 2 25 5 10" xfId="12465" xr:uid="{00000000-0005-0000-0000-0000B1300000}"/>
    <cellStyle name="Normal 2 2 2 2 2 25 5 2" xfId="12466" xr:uid="{00000000-0005-0000-0000-0000B2300000}"/>
    <cellStyle name="Normal 2 2 2 2 2 25 5 3" xfId="12467" xr:uid="{00000000-0005-0000-0000-0000B3300000}"/>
    <cellStyle name="Normal 2 2 2 2 2 25 5 4" xfId="12468" xr:uid="{00000000-0005-0000-0000-0000B4300000}"/>
    <cellStyle name="Normal 2 2 2 2 2 25 5 5" xfId="12469" xr:uid="{00000000-0005-0000-0000-0000B5300000}"/>
    <cellStyle name="Normal 2 2 2 2 2 25 5 6" xfId="12470" xr:uid="{00000000-0005-0000-0000-0000B6300000}"/>
    <cellStyle name="Normal 2 2 2 2 2 25 5 7" xfId="12471" xr:uid="{00000000-0005-0000-0000-0000B7300000}"/>
    <cellStyle name="Normal 2 2 2 2 2 25 5 8" xfId="12472" xr:uid="{00000000-0005-0000-0000-0000B8300000}"/>
    <cellStyle name="Normal 2 2 2 2 2 25 5 9" xfId="12473" xr:uid="{00000000-0005-0000-0000-0000B9300000}"/>
    <cellStyle name="Normal 2 2 2 2 2 25 6" xfId="12474" xr:uid="{00000000-0005-0000-0000-0000BA300000}"/>
    <cellStyle name="Normal 2 2 2 2 2 25 7" xfId="12475" xr:uid="{00000000-0005-0000-0000-0000BB300000}"/>
    <cellStyle name="Normal 2 2 2 2 2 25 8" xfId="12476" xr:uid="{00000000-0005-0000-0000-0000BC300000}"/>
    <cellStyle name="Normal 2 2 2 2 2 25 9" xfId="12477" xr:uid="{00000000-0005-0000-0000-0000BD300000}"/>
    <cellStyle name="Normal 2 2 2 2 2 26" xfId="12478" xr:uid="{00000000-0005-0000-0000-0000BE300000}"/>
    <cellStyle name="Normal 2 2 2 2 2 26 10" xfId="12479" xr:uid="{00000000-0005-0000-0000-0000BF300000}"/>
    <cellStyle name="Normal 2 2 2 2 2 26 11" xfId="12480" xr:uid="{00000000-0005-0000-0000-0000C0300000}"/>
    <cellStyle name="Normal 2 2 2 2 2 26 12" xfId="12481" xr:uid="{00000000-0005-0000-0000-0000C1300000}"/>
    <cellStyle name="Normal 2 2 2 2 2 26 13" xfId="12482" xr:uid="{00000000-0005-0000-0000-0000C2300000}"/>
    <cellStyle name="Normal 2 2 2 2 2 26 14" xfId="12483" xr:uid="{00000000-0005-0000-0000-0000C3300000}"/>
    <cellStyle name="Normal 2 2 2 2 2 26 2" xfId="12484" xr:uid="{00000000-0005-0000-0000-0000C4300000}"/>
    <cellStyle name="Normal 2 2 2 2 2 26 2 10" xfId="12485" xr:uid="{00000000-0005-0000-0000-0000C5300000}"/>
    <cellStyle name="Normal 2 2 2 2 2 26 2 2" xfId="12486" xr:uid="{00000000-0005-0000-0000-0000C6300000}"/>
    <cellStyle name="Normal 2 2 2 2 2 26 2 3" xfId="12487" xr:uid="{00000000-0005-0000-0000-0000C7300000}"/>
    <cellStyle name="Normal 2 2 2 2 2 26 2 4" xfId="12488" xr:uid="{00000000-0005-0000-0000-0000C8300000}"/>
    <cellStyle name="Normal 2 2 2 2 2 26 2 5" xfId="12489" xr:uid="{00000000-0005-0000-0000-0000C9300000}"/>
    <cellStyle name="Normal 2 2 2 2 2 26 2 6" xfId="12490" xr:uid="{00000000-0005-0000-0000-0000CA300000}"/>
    <cellStyle name="Normal 2 2 2 2 2 26 2 7" xfId="12491" xr:uid="{00000000-0005-0000-0000-0000CB300000}"/>
    <cellStyle name="Normal 2 2 2 2 2 26 2 8" xfId="12492" xr:uid="{00000000-0005-0000-0000-0000CC300000}"/>
    <cellStyle name="Normal 2 2 2 2 2 26 2 9" xfId="12493" xr:uid="{00000000-0005-0000-0000-0000CD300000}"/>
    <cellStyle name="Normal 2 2 2 2 2 26 3" xfId="12494" xr:uid="{00000000-0005-0000-0000-0000CE300000}"/>
    <cellStyle name="Normal 2 2 2 2 2 26 3 10" xfId="12495" xr:uid="{00000000-0005-0000-0000-0000CF300000}"/>
    <cellStyle name="Normal 2 2 2 2 2 26 3 2" xfId="12496" xr:uid="{00000000-0005-0000-0000-0000D0300000}"/>
    <cellStyle name="Normal 2 2 2 2 2 26 3 3" xfId="12497" xr:uid="{00000000-0005-0000-0000-0000D1300000}"/>
    <cellStyle name="Normal 2 2 2 2 2 26 3 4" xfId="12498" xr:uid="{00000000-0005-0000-0000-0000D2300000}"/>
    <cellStyle name="Normal 2 2 2 2 2 26 3 5" xfId="12499" xr:uid="{00000000-0005-0000-0000-0000D3300000}"/>
    <cellStyle name="Normal 2 2 2 2 2 26 3 6" xfId="12500" xr:uid="{00000000-0005-0000-0000-0000D4300000}"/>
    <cellStyle name="Normal 2 2 2 2 2 26 3 7" xfId="12501" xr:uid="{00000000-0005-0000-0000-0000D5300000}"/>
    <cellStyle name="Normal 2 2 2 2 2 26 3 8" xfId="12502" xr:uid="{00000000-0005-0000-0000-0000D6300000}"/>
    <cellStyle name="Normal 2 2 2 2 2 26 3 9" xfId="12503" xr:uid="{00000000-0005-0000-0000-0000D7300000}"/>
    <cellStyle name="Normal 2 2 2 2 2 26 4" xfId="12504" xr:uid="{00000000-0005-0000-0000-0000D8300000}"/>
    <cellStyle name="Normal 2 2 2 2 2 26 4 10" xfId="12505" xr:uid="{00000000-0005-0000-0000-0000D9300000}"/>
    <cellStyle name="Normal 2 2 2 2 2 26 4 2" xfId="12506" xr:uid="{00000000-0005-0000-0000-0000DA300000}"/>
    <cellStyle name="Normal 2 2 2 2 2 26 4 3" xfId="12507" xr:uid="{00000000-0005-0000-0000-0000DB300000}"/>
    <cellStyle name="Normal 2 2 2 2 2 26 4 4" xfId="12508" xr:uid="{00000000-0005-0000-0000-0000DC300000}"/>
    <cellStyle name="Normal 2 2 2 2 2 26 4 5" xfId="12509" xr:uid="{00000000-0005-0000-0000-0000DD300000}"/>
    <cellStyle name="Normal 2 2 2 2 2 26 4 6" xfId="12510" xr:uid="{00000000-0005-0000-0000-0000DE300000}"/>
    <cellStyle name="Normal 2 2 2 2 2 26 4 7" xfId="12511" xr:uid="{00000000-0005-0000-0000-0000DF300000}"/>
    <cellStyle name="Normal 2 2 2 2 2 26 4 8" xfId="12512" xr:uid="{00000000-0005-0000-0000-0000E0300000}"/>
    <cellStyle name="Normal 2 2 2 2 2 26 4 9" xfId="12513" xr:uid="{00000000-0005-0000-0000-0000E1300000}"/>
    <cellStyle name="Normal 2 2 2 2 2 26 5" xfId="12514" xr:uid="{00000000-0005-0000-0000-0000E2300000}"/>
    <cellStyle name="Normal 2 2 2 2 2 26 5 10" xfId="12515" xr:uid="{00000000-0005-0000-0000-0000E3300000}"/>
    <cellStyle name="Normal 2 2 2 2 2 26 5 2" xfId="12516" xr:uid="{00000000-0005-0000-0000-0000E4300000}"/>
    <cellStyle name="Normal 2 2 2 2 2 26 5 3" xfId="12517" xr:uid="{00000000-0005-0000-0000-0000E5300000}"/>
    <cellStyle name="Normal 2 2 2 2 2 26 5 4" xfId="12518" xr:uid="{00000000-0005-0000-0000-0000E6300000}"/>
    <cellStyle name="Normal 2 2 2 2 2 26 5 5" xfId="12519" xr:uid="{00000000-0005-0000-0000-0000E7300000}"/>
    <cellStyle name="Normal 2 2 2 2 2 26 5 6" xfId="12520" xr:uid="{00000000-0005-0000-0000-0000E8300000}"/>
    <cellStyle name="Normal 2 2 2 2 2 26 5 7" xfId="12521" xr:uid="{00000000-0005-0000-0000-0000E9300000}"/>
    <cellStyle name="Normal 2 2 2 2 2 26 5 8" xfId="12522" xr:uid="{00000000-0005-0000-0000-0000EA300000}"/>
    <cellStyle name="Normal 2 2 2 2 2 26 5 9" xfId="12523" xr:uid="{00000000-0005-0000-0000-0000EB300000}"/>
    <cellStyle name="Normal 2 2 2 2 2 26 6" xfId="12524" xr:uid="{00000000-0005-0000-0000-0000EC300000}"/>
    <cellStyle name="Normal 2 2 2 2 2 26 7" xfId="12525" xr:uid="{00000000-0005-0000-0000-0000ED300000}"/>
    <cellStyle name="Normal 2 2 2 2 2 26 8" xfId="12526" xr:uid="{00000000-0005-0000-0000-0000EE300000}"/>
    <cellStyle name="Normal 2 2 2 2 2 26 9" xfId="12527" xr:uid="{00000000-0005-0000-0000-0000EF300000}"/>
    <cellStyle name="Normal 2 2 2 2 2 27" xfId="12528" xr:uid="{00000000-0005-0000-0000-0000F0300000}"/>
    <cellStyle name="Normal 2 2 2 2 2 27 10" xfId="12529" xr:uid="{00000000-0005-0000-0000-0000F1300000}"/>
    <cellStyle name="Normal 2 2 2 2 2 27 11" xfId="12530" xr:uid="{00000000-0005-0000-0000-0000F2300000}"/>
    <cellStyle name="Normal 2 2 2 2 2 27 12" xfId="12531" xr:uid="{00000000-0005-0000-0000-0000F3300000}"/>
    <cellStyle name="Normal 2 2 2 2 2 27 13" xfId="12532" xr:uid="{00000000-0005-0000-0000-0000F4300000}"/>
    <cellStyle name="Normal 2 2 2 2 2 27 14" xfId="12533" xr:uid="{00000000-0005-0000-0000-0000F5300000}"/>
    <cellStyle name="Normal 2 2 2 2 2 27 2" xfId="12534" xr:uid="{00000000-0005-0000-0000-0000F6300000}"/>
    <cellStyle name="Normal 2 2 2 2 2 27 2 10" xfId="12535" xr:uid="{00000000-0005-0000-0000-0000F7300000}"/>
    <cellStyle name="Normal 2 2 2 2 2 27 2 2" xfId="12536" xr:uid="{00000000-0005-0000-0000-0000F8300000}"/>
    <cellStyle name="Normal 2 2 2 2 2 27 2 3" xfId="12537" xr:uid="{00000000-0005-0000-0000-0000F9300000}"/>
    <cellStyle name="Normal 2 2 2 2 2 27 2 4" xfId="12538" xr:uid="{00000000-0005-0000-0000-0000FA300000}"/>
    <cellStyle name="Normal 2 2 2 2 2 27 2 5" xfId="12539" xr:uid="{00000000-0005-0000-0000-0000FB300000}"/>
    <cellStyle name="Normal 2 2 2 2 2 27 2 6" xfId="12540" xr:uid="{00000000-0005-0000-0000-0000FC300000}"/>
    <cellStyle name="Normal 2 2 2 2 2 27 2 7" xfId="12541" xr:uid="{00000000-0005-0000-0000-0000FD300000}"/>
    <cellStyle name="Normal 2 2 2 2 2 27 2 8" xfId="12542" xr:uid="{00000000-0005-0000-0000-0000FE300000}"/>
    <cellStyle name="Normal 2 2 2 2 2 27 2 9" xfId="12543" xr:uid="{00000000-0005-0000-0000-0000FF300000}"/>
    <cellStyle name="Normal 2 2 2 2 2 27 3" xfId="12544" xr:uid="{00000000-0005-0000-0000-000000310000}"/>
    <cellStyle name="Normal 2 2 2 2 2 27 3 10" xfId="12545" xr:uid="{00000000-0005-0000-0000-000001310000}"/>
    <cellStyle name="Normal 2 2 2 2 2 27 3 2" xfId="12546" xr:uid="{00000000-0005-0000-0000-000002310000}"/>
    <cellStyle name="Normal 2 2 2 2 2 27 3 3" xfId="12547" xr:uid="{00000000-0005-0000-0000-000003310000}"/>
    <cellStyle name="Normal 2 2 2 2 2 27 3 4" xfId="12548" xr:uid="{00000000-0005-0000-0000-000004310000}"/>
    <cellStyle name="Normal 2 2 2 2 2 27 3 5" xfId="12549" xr:uid="{00000000-0005-0000-0000-000005310000}"/>
    <cellStyle name="Normal 2 2 2 2 2 27 3 6" xfId="12550" xr:uid="{00000000-0005-0000-0000-000006310000}"/>
    <cellStyle name="Normal 2 2 2 2 2 27 3 7" xfId="12551" xr:uid="{00000000-0005-0000-0000-000007310000}"/>
    <cellStyle name="Normal 2 2 2 2 2 27 3 8" xfId="12552" xr:uid="{00000000-0005-0000-0000-000008310000}"/>
    <cellStyle name="Normal 2 2 2 2 2 27 3 9" xfId="12553" xr:uid="{00000000-0005-0000-0000-000009310000}"/>
    <cellStyle name="Normal 2 2 2 2 2 27 4" xfId="12554" xr:uid="{00000000-0005-0000-0000-00000A310000}"/>
    <cellStyle name="Normal 2 2 2 2 2 27 4 10" xfId="12555" xr:uid="{00000000-0005-0000-0000-00000B310000}"/>
    <cellStyle name="Normal 2 2 2 2 2 27 4 2" xfId="12556" xr:uid="{00000000-0005-0000-0000-00000C310000}"/>
    <cellStyle name="Normal 2 2 2 2 2 27 4 3" xfId="12557" xr:uid="{00000000-0005-0000-0000-00000D310000}"/>
    <cellStyle name="Normal 2 2 2 2 2 27 4 4" xfId="12558" xr:uid="{00000000-0005-0000-0000-00000E310000}"/>
    <cellStyle name="Normal 2 2 2 2 2 27 4 5" xfId="12559" xr:uid="{00000000-0005-0000-0000-00000F310000}"/>
    <cellStyle name="Normal 2 2 2 2 2 27 4 6" xfId="12560" xr:uid="{00000000-0005-0000-0000-000010310000}"/>
    <cellStyle name="Normal 2 2 2 2 2 27 4 7" xfId="12561" xr:uid="{00000000-0005-0000-0000-000011310000}"/>
    <cellStyle name="Normal 2 2 2 2 2 27 4 8" xfId="12562" xr:uid="{00000000-0005-0000-0000-000012310000}"/>
    <cellStyle name="Normal 2 2 2 2 2 27 4 9" xfId="12563" xr:uid="{00000000-0005-0000-0000-000013310000}"/>
    <cellStyle name="Normal 2 2 2 2 2 27 5" xfId="12564" xr:uid="{00000000-0005-0000-0000-000014310000}"/>
    <cellStyle name="Normal 2 2 2 2 2 27 5 10" xfId="12565" xr:uid="{00000000-0005-0000-0000-000015310000}"/>
    <cellStyle name="Normal 2 2 2 2 2 27 5 2" xfId="12566" xr:uid="{00000000-0005-0000-0000-000016310000}"/>
    <cellStyle name="Normal 2 2 2 2 2 27 5 3" xfId="12567" xr:uid="{00000000-0005-0000-0000-000017310000}"/>
    <cellStyle name="Normal 2 2 2 2 2 27 5 4" xfId="12568" xr:uid="{00000000-0005-0000-0000-000018310000}"/>
    <cellStyle name="Normal 2 2 2 2 2 27 5 5" xfId="12569" xr:uid="{00000000-0005-0000-0000-000019310000}"/>
    <cellStyle name="Normal 2 2 2 2 2 27 5 6" xfId="12570" xr:uid="{00000000-0005-0000-0000-00001A310000}"/>
    <cellStyle name="Normal 2 2 2 2 2 27 5 7" xfId="12571" xr:uid="{00000000-0005-0000-0000-00001B310000}"/>
    <cellStyle name="Normal 2 2 2 2 2 27 5 8" xfId="12572" xr:uid="{00000000-0005-0000-0000-00001C310000}"/>
    <cellStyle name="Normal 2 2 2 2 2 27 5 9" xfId="12573" xr:uid="{00000000-0005-0000-0000-00001D310000}"/>
    <cellStyle name="Normal 2 2 2 2 2 27 6" xfId="12574" xr:uid="{00000000-0005-0000-0000-00001E310000}"/>
    <cellStyle name="Normal 2 2 2 2 2 27 7" xfId="12575" xr:uid="{00000000-0005-0000-0000-00001F310000}"/>
    <cellStyle name="Normal 2 2 2 2 2 27 8" xfId="12576" xr:uid="{00000000-0005-0000-0000-000020310000}"/>
    <cellStyle name="Normal 2 2 2 2 2 27 9" xfId="12577" xr:uid="{00000000-0005-0000-0000-000021310000}"/>
    <cellStyle name="Normal 2 2 2 2 2 28" xfId="12578" xr:uid="{00000000-0005-0000-0000-000022310000}"/>
    <cellStyle name="Normal 2 2 2 2 2 28 10" xfId="12579" xr:uid="{00000000-0005-0000-0000-000023310000}"/>
    <cellStyle name="Normal 2 2 2 2 2 28 11" xfId="12580" xr:uid="{00000000-0005-0000-0000-000024310000}"/>
    <cellStyle name="Normal 2 2 2 2 2 28 12" xfId="12581" xr:uid="{00000000-0005-0000-0000-000025310000}"/>
    <cellStyle name="Normal 2 2 2 2 2 28 13" xfId="12582" xr:uid="{00000000-0005-0000-0000-000026310000}"/>
    <cellStyle name="Normal 2 2 2 2 2 28 14" xfId="12583" xr:uid="{00000000-0005-0000-0000-000027310000}"/>
    <cellStyle name="Normal 2 2 2 2 2 28 2" xfId="12584" xr:uid="{00000000-0005-0000-0000-000028310000}"/>
    <cellStyle name="Normal 2 2 2 2 2 28 2 10" xfId="12585" xr:uid="{00000000-0005-0000-0000-000029310000}"/>
    <cellStyle name="Normal 2 2 2 2 2 28 2 2" xfId="12586" xr:uid="{00000000-0005-0000-0000-00002A310000}"/>
    <cellStyle name="Normal 2 2 2 2 2 28 2 3" xfId="12587" xr:uid="{00000000-0005-0000-0000-00002B310000}"/>
    <cellStyle name="Normal 2 2 2 2 2 28 2 4" xfId="12588" xr:uid="{00000000-0005-0000-0000-00002C310000}"/>
    <cellStyle name="Normal 2 2 2 2 2 28 2 5" xfId="12589" xr:uid="{00000000-0005-0000-0000-00002D310000}"/>
    <cellStyle name="Normal 2 2 2 2 2 28 2 6" xfId="12590" xr:uid="{00000000-0005-0000-0000-00002E310000}"/>
    <cellStyle name="Normal 2 2 2 2 2 28 2 7" xfId="12591" xr:uid="{00000000-0005-0000-0000-00002F310000}"/>
    <cellStyle name="Normal 2 2 2 2 2 28 2 8" xfId="12592" xr:uid="{00000000-0005-0000-0000-000030310000}"/>
    <cellStyle name="Normal 2 2 2 2 2 28 2 9" xfId="12593" xr:uid="{00000000-0005-0000-0000-000031310000}"/>
    <cellStyle name="Normal 2 2 2 2 2 28 3" xfId="12594" xr:uid="{00000000-0005-0000-0000-000032310000}"/>
    <cellStyle name="Normal 2 2 2 2 2 28 3 10" xfId="12595" xr:uid="{00000000-0005-0000-0000-000033310000}"/>
    <cellStyle name="Normal 2 2 2 2 2 28 3 2" xfId="12596" xr:uid="{00000000-0005-0000-0000-000034310000}"/>
    <cellStyle name="Normal 2 2 2 2 2 28 3 3" xfId="12597" xr:uid="{00000000-0005-0000-0000-000035310000}"/>
    <cellStyle name="Normal 2 2 2 2 2 28 3 4" xfId="12598" xr:uid="{00000000-0005-0000-0000-000036310000}"/>
    <cellStyle name="Normal 2 2 2 2 2 28 3 5" xfId="12599" xr:uid="{00000000-0005-0000-0000-000037310000}"/>
    <cellStyle name="Normal 2 2 2 2 2 28 3 6" xfId="12600" xr:uid="{00000000-0005-0000-0000-000038310000}"/>
    <cellStyle name="Normal 2 2 2 2 2 28 3 7" xfId="12601" xr:uid="{00000000-0005-0000-0000-000039310000}"/>
    <cellStyle name="Normal 2 2 2 2 2 28 3 8" xfId="12602" xr:uid="{00000000-0005-0000-0000-00003A310000}"/>
    <cellStyle name="Normal 2 2 2 2 2 28 3 9" xfId="12603" xr:uid="{00000000-0005-0000-0000-00003B310000}"/>
    <cellStyle name="Normal 2 2 2 2 2 28 4" xfId="12604" xr:uid="{00000000-0005-0000-0000-00003C310000}"/>
    <cellStyle name="Normal 2 2 2 2 2 28 4 10" xfId="12605" xr:uid="{00000000-0005-0000-0000-00003D310000}"/>
    <cellStyle name="Normal 2 2 2 2 2 28 4 2" xfId="12606" xr:uid="{00000000-0005-0000-0000-00003E310000}"/>
    <cellStyle name="Normal 2 2 2 2 2 28 4 3" xfId="12607" xr:uid="{00000000-0005-0000-0000-00003F310000}"/>
    <cellStyle name="Normal 2 2 2 2 2 28 4 4" xfId="12608" xr:uid="{00000000-0005-0000-0000-000040310000}"/>
    <cellStyle name="Normal 2 2 2 2 2 28 4 5" xfId="12609" xr:uid="{00000000-0005-0000-0000-000041310000}"/>
    <cellStyle name="Normal 2 2 2 2 2 28 4 6" xfId="12610" xr:uid="{00000000-0005-0000-0000-000042310000}"/>
    <cellStyle name="Normal 2 2 2 2 2 28 4 7" xfId="12611" xr:uid="{00000000-0005-0000-0000-000043310000}"/>
    <cellStyle name="Normal 2 2 2 2 2 28 4 8" xfId="12612" xr:uid="{00000000-0005-0000-0000-000044310000}"/>
    <cellStyle name="Normal 2 2 2 2 2 28 4 9" xfId="12613" xr:uid="{00000000-0005-0000-0000-000045310000}"/>
    <cellStyle name="Normal 2 2 2 2 2 28 5" xfId="12614" xr:uid="{00000000-0005-0000-0000-000046310000}"/>
    <cellStyle name="Normal 2 2 2 2 2 28 5 10" xfId="12615" xr:uid="{00000000-0005-0000-0000-000047310000}"/>
    <cellStyle name="Normal 2 2 2 2 2 28 5 2" xfId="12616" xr:uid="{00000000-0005-0000-0000-000048310000}"/>
    <cellStyle name="Normal 2 2 2 2 2 28 5 3" xfId="12617" xr:uid="{00000000-0005-0000-0000-000049310000}"/>
    <cellStyle name="Normal 2 2 2 2 2 28 5 4" xfId="12618" xr:uid="{00000000-0005-0000-0000-00004A310000}"/>
    <cellStyle name="Normal 2 2 2 2 2 28 5 5" xfId="12619" xr:uid="{00000000-0005-0000-0000-00004B310000}"/>
    <cellStyle name="Normal 2 2 2 2 2 28 5 6" xfId="12620" xr:uid="{00000000-0005-0000-0000-00004C310000}"/>
    <cellStyle name="Normal 2 2 2 2 2 28 5 7" xfId="12621" xr:uid="{00000000-0005-0000-0000-00004D310000}"/>
    <cellStyle name="Normal 2 2 2 2 2 28 5 8" xfId="12622" xr:uid="{00000000-0005-0000-0000-00004E310000}"/>
    <cellStyle name="Normal 2 2 2 2 2 28 5 9" xfId="12623" xr:uid="{00000000-0005-0000-0000-00004F310000}"/>
    <cellStyle name="Normal 2 2 2 2 2 28 6" xfId="12624" xr:uid="{00000000-0005-0000-0000-000050310000}"/>
    <cellStyle name="Normal 2 2 2 2 2 28 7" xfId="12625" xr:uid="{00000000-0005-0000-0000-000051310000}"/>
    <cellStyle name="Normal 2 2 2 2 2 28 8" xfId="12626" xr:uid="{00000000-0005-0000-0000-000052310000}"/>
    <cellStyle name="Normal 2 2 2 2 2 28 9" xfId="12627" xr:uid="{00000000-0005-0000-0000-000053310000}"/>
    <cellStyle name="Normal 2 2 2 2 2 29" xfId="12628" xr:uid="{00000000-0005-0000-0000-000054310000}"/>
    <cellStyle name="Normal 2 2 2 2 2 29 10" xfId="12629" xr:uid="{00000000-0005-0000-0000-000055310000}"/>
    <cellStyle name="Normal 2 2 2 2 2 29 11" xfId="12630" xr:uid="{00000000-0005-0000-0000-000056310000}"/>
    <cellStyle name="Normal 2 2 2 2 2 29 12" xfId="12631" xr:uid="{00000000-0005-0000-0000-000057310000}"/>
    <cellStyle name="Normal 2 2 2 2 2 29 13" xfId="12632" xr:uid="{00000000-0005-0000-0000-000058310000}"/>
    <cellStyle name="Normal 2 2 2 2 2 29 14" xfId="12633" xr:uid="{00000000-0005-0000-0000-000059310000}"/>
    <cellStyle name="Normal 2 2 2 2 2 29 2" xfId="12634" xr:uid="{00000000-0005-0000-0000-00005A310000}"/>
    <cellStyle name="Normal 2 2 2 2 2 29 2 10" xfId="12635" xr:uid="{00000000-0005-0000-0000-00005B310000}"/>
    <cellStyle name="Normal 2 2 2 2 2 29 2 2" xfId="12636" xr:uid="{00000000-0005-0000-0000-00005C310000}"/>
    <cellStyle name="Normal 2 2 2 2 2 29 2 3" xfId="12637" xr:uid="{00000000-0005-0000-0000-00005D310000}"/>
    <cellStyle name="Normal 2 2 2 2 2 29 2 4" xfId="12638" xr:uid="{00000000-0005-0000-0000-00005E310000}"/>
    <cellStyle name="Normal 2 2 2 2 2 29 2 5" xfId="12639" xr:uid="{00000000-0005-0000-0000-00005F310000}"/>
    <cellStyle name="Normal 2 2 2 2 2 29 2 6" xfId="12640" xr:uid="{00000000-0005-0000-0000-000060310000}"/>
    <cellStyle name="Normal 2 2 2 2 2 29 2 7" xfId="12641" xr:uid="{00000000-0005-0000-0000-000061310000}"/>
    <cellStyle name="Normal 2 2 2 2 2 29 2 8" xfId="12642" xr:uid="{00000000-0005-0000-0000-000062310000}"/>
    <cellStyle name="Normal 2 2 2 2 2 29 2 9" xfId="12643" xr:uid="{00000000-0005-0000-0000-000063310000}"/>
    <cellStyle name="Normal 2 2 2 2 2 29 3" xfId="12644" xr:uid="{00000000-0005-0000-0000-000064310000}"/>
    <cellStyle name="Normal 2 2 2 2 2 29 3 10" xfId="12645" xr:uid="{00000000-0005-0000-0000-000065310000}"/>
    <cellStyle name="Normal 2 2 2 2 2 29 3 2" xfId="12646" xr:uid="{00000000-0005-0000-0000-000066310000}"/>
    <cellStyle name="Normal 2 2 2 2 2 29 3 3" xfId="12647" xr:uid="{00000000-0005-0000-0000-000067310000}"/>
    <cellStyle name="Normal 2 2 2 2 2 29 3 4" xfId="12648" xr:uid="{00000000-0005-0000-0000-000068310000}"/>
    <cellStyle name="Normal 2 2 2 2 2 29 3 5" xfId="12649" xr:uid="{00000000-0005-0000-0000-000069310000}"/>
    <cellStyle name="Normal 2 2 2 2 2 29 3 6" xfId="12650" xr:uid="{00000000-0005-0000-0000-00006A310000}"/>
    <cellStyle name="Normal 2 2 2 2 2 29 3 7" xfId="12651" xr:uid="{00000000-0005-0000-0000-00006B310000}"/>
    <cellStyle name="Normal 2 2 2 2 2 29 3 8" xfId="12652" xr:uid="{00000000-0005-0000-0000-00006C310000}"/>
    <cellStyle name="Normal 2 2 2 2 2 29 3 9" xfId="12653" xr:uid="{00000000-0005-0000-0000-00006D310000}"/>
    <cellStyle name="Normal 2 2 2 2 2 29 4" xfId="12654" xr:uid="{00000000-0005-0000-0000-00006E310000}"/>
    <cellStyle name="Normal 2 2 2 2 2 29 4 10" xfId="12655" xr:uid="{00000000-0005-0000-0000-00006F310000}"/>
    <cellStyle name="Normal 2 2 2 2 2 29 4 2" xfId="12656" xr:uid="{00000000-0005-0000-0000-000070310000}"/>
    <cellStyle name="Normal 2 2 2 2 2 29 4 3" xfId="12657" xr:uid="{00000000-0005-0000-0000-000071310000}"/>
    <cellStyle name="Normal 2 2 2 2 2 29 4 4" xfId="12658" xr:uid="{00000000-0005-0000-0000-000072310000}"/>
    <cellStyle name="Normal 2 2 2 2 2 29 4 5" xfId="12659" xr:uid="{00000000-0005-0000-0000-000073310000}"/>
    <cellStyle name="Normal 2 2 2 2 2 29 4 6" xfId="12660" xr:uid="{00000000-0005-0000-0000-000074310000}"/>
    <cellStyle name="Normal 2 2 2 2 2 29 4 7" xfId="12661" xr:uid="{00000000-0005-0000-0000-000075310000}"/>
    <cellStyle name="Normal 2 2 2 2 2 29 4 8" xfId="12662" xr:uid="{00000000-0005-0000-0000-000076310000}"/>
    <cellStyle name="Normal 2 2 2 2 2 29 4 9" xfId="12663" xr:uid="{00000000-0005-0000-0000-000077310000}"/>
    <cellStyle name="Normal 2 2 2 2 2 29 5" xfId="12664" xr:uid="{00000000-0005-0000-0000-000078310000}"/>
    <cellStyle name="Normal 2 2 2 2 2 29 5 10" xfId="12665" xr:uid="{00000000-0005-0000-0000-000079310000}"/>
    <cellStyle name="Normal 2 2 2 2 2 29 5 2" xfId="12666" xr:uid="{00000000-0005-0000-0000-00007A310000}"/>
    <cellStyle name="Normal 2 2 2 2 2 29 5 3" xfId="12667" xr:uid="{00000000-0005-0000-0000-00007B310000}"/>
    <cellStyle name="Normal 2 2 2 2 2 29 5 4" xfId="12668" xr:uid="{00000000-0005-0000-0000-00007C310000}"/>
    <cellStyle name="Normal 2 2 2 2 2 29 5 5" xfId="12669" xr:uid="{00000000-0005-0000-0000-00007D310000}"/>
    <cellStyle name="Normal 2 2 2 2 2 29 5 6" xfId="12670" xr:uid="{00000000-0005-0000-0000-00007E310000}"/>
    <cellStyle name="Normal 2 2 2 2 2 29 5 7" xfId="12671" xr:uid="{00000000-0005-0000-0000-00007F310000}"/>
    <cellStyle name="Normal 2 2 2 2 2 29 5 8" xfId="12672" xr:uid="{00000000-0005-0000-0000-000080310000}"/>
    <cellStyle name="Normal 2 2 2 2 2 29 5 9" xfId="12673" xr:uid="{00000000-0005-0000-0000-000081310000}"/>
    <cellStyle name="Normal 2 2 2 2 2 29 6" xfId="12674" xr:uid="{00000000-0005-0000-0000-000082310000}"/>
    <cellStyle name="Normal 2 2 2 2 2 29 7" xfId="12675" xr:uid="{00000000-0005-0000-0000-000083310000}"/>
    <cellStyle name="Normal 2 2 2 2 2 29 8" xfId="12676" xr:uid="{00000000-0005-0000-0000-000084310000}"/>
    <cellStyle name="Normal 2 2 2 2 2 29 9" xfId="12677" xr:uid="{00000000-0005-0000-0000-000085310000}"/>
    <cellStyle name="Normal 2 2 2 2 2 3" xfId="12678" xr:uid="{00000000-0005-0000-0000-000086310000}"/>
    <cellStyle name="Normal 2 2 2 2 2 3 10" xfId="12679" xr:uid="{00000000-0005-0000-0000-000087310000}"/>
    <cellStyle name="Normal 2 2 2 2 2 3 11" xfId="12680" xr:uid="{00000000-0005-0000-0000-000088310000}"/>
    <cellStyle name="Normal 2 2 2 2 2 3 12" xfId="12681" xr:uid="{00000000-0005-0000-0000-000089310000}"/>
    <cellStyle name="Normal 2 2 2 2 2 3 13" xfId="12682" xr:uid="{00000000-0005-0000-0000-00008A310000}"/>
    <cellStyle name="Normal 2 2 2 2 2 3 14" xfId="12683" xr:uid="{00000000-0005-0000-0000-00008B310000}"/>
    <cellStyle name="Normal 2 2 2 2 2 3 15" xfId="12684" xr:uid="{00000000-0005-0000-0000-00008C310000}"/>
    <cellStyle name="Normal 2 2 2 2 2 3 16" xfId="12685" xr:uid="{00000000-0005-0000-0000-00008D310000}"/>
    <cellStyle name="Normal 2 2 2 2 2 3 2" xfId="12686" xr:uid="{00000000-0005-0000-0000-00008E310000}"/>
    <cellStyle name="Normal 2 2 2 2 2 3 2 10" xfId="12687" xr:uid="{00000000-0005-0000-0000-00008F310000}"/>
    <cellStyle name="Normal 2 2 2 2 2 3 2 11" xfId="12688" xr:uid="{00000000-0005-0000-0000-000090310000}"/>
    <cellStyle name="Normal 2 2 2 2 2 3 2 12" xfId="12689" xr:uid="{00000000-0005-0000-0000-000091310000}"/>
    <cellStyle name="Normal 2 2 2 2 2 3 2 2" xfId="12690" xr:uid="{00000000-0005-0000-0000-000092310000}"/>
    <cellStyle name="Normal 2 2 2 2 2 3 2 3" xfId="12691" xr:uid="{00000000-0005-0000-0000-000093310000}"/>
    <cellStyle name="Normal 2 2 2 2 2 3 2 4" xfId="12692" xr:uid="{00000000-0005-0000-0000-000094310000}"/>
    <cellStyle name="Normal 2 2 2 2 2 3 2 5" xfId="12693" xr:uid="{00000000-0005-0000-0000-000095310000}"/>
    <cellStyle name="Normal 2 2 2 2 2 3 2 6" xfId="12694" xr:uid="{00000000-0005-0000-0000-000096310000}"/>
    <cellStyle name="Normal 2 2 2 2 2 3 2 7" xfId="12695" xr:uid="{00000000-0005-0000-0000-000097310000}"/>
    <cellStyle name="Normal 2 2 2 2 2 3 2 8" xfId="12696" xr:uid="{00000000-0005-0000-0000-000098310000}"/>
    <cellStyle name="Normal 2 2 2 2 2 3 2 9" xfId="12697" xr:uid="{00000000-0005-0000-0000-000099310000}"/>
    <cellStyle name="Normal 2 2 2 2 2 3 3" xfId="12698" xr:uid="{00000000-0005-0000-0000-00009A310000}"/>
    <cellStyle name="Normal 2 2 2 2 2 3 3 10" xfId="12699" xr:uid="{00000000-0005-0000-0000-00009B310000}"/>
    <cellStyle name="Normal 2 2 2 2 2 3 3 2" xfId="12700" xr:uid="{00000000-0005-0000-0000-00009C310000}"/>
    <cellStyle name="Normal 2 2 2 2 2 3 3 3" xfId="12701" xr:uid="{00000000-0005-0000-0000-00009D310000}"/>
    <cellStyle name="Normal 2 2 2 2 2 3 3 4" xfId="12702" xr:uid="{00000000-0005-0000-0000-00009E310000}"/>
    <cellStyle name="Normal 2 2 2 2 2 3 3 5" xfId="12703" xr:uid="{00000000-0005-0000-0000-00009F310000}"/>
    <cellStyle name="Normal 2 2 2 2 2 3 3 6" xfId="12704" xr:uid="{00000000-0005-0000-0000-0000A0310000}"/>
    <cellStyle name="Normal 2 2 2 2 2 3 3 7" xfId="12705" xr:uid="{00000000-0005-0000-0000-0000A1310000}"/>
    <cellStyle name="Normal 2 2 2 2 2 3 3 8" xfId="12706" xr:uid="{00000000-0005-0000-0000-0000A2310000}"/>
    <cellStyle name="Normal 2 2 2 2 2 3 3 9" xfId="12707" xr:uid="{00000000-0005-0000-0000-0000A3310000}"/>
    <cellStyle name="Normal 2 2 2 2 2 3 4" xfId="12708" xr:uid="{00000000-0005-0000-0000-0000A4310000}"/>
    <cellStyle name="Normal 2 2 2 2 2 3 4 10" xfId="12709" xr:uid="{00000000-0005-0000-0000-0000A5310000}"/>
    <cellStyle name="Normal 2 2 2 2 2 3 4 2" xfId="12710" xr:uid="{00000000-0005-0000-0000-0000A6310000}"/>
    <cellStyle name="Normal 2 2 2 2 2 3 4 3" xfId="12711" xr:uid="{00000000-0005-0000-0000-0000A7310000}"/>
    <cellStyle name="Normal 2 2 2 2 2 3 4 4" xfId="12712" xr:uid="{00000000-0005-0000-0000-0000A8310000}"/>
    <cellStyle name="Normal 2 2 2 2 2 3 4 5" xfId="12713" xr:uid="{00000000-0005-0000-0000-0000A9310000}"/>
    <cellStyle name="Normal 2 2 2 2 2 3 4 6" xfId="12714" xr:uid="{00000000-0005-0000-0000-0000AA310000}"/>
    <cellStyle name="Normal 2 2 2 2 2 3 4 7" xfId="12715" xr:uid="{00000000-0005-0000-0000-0000AB310000}"/>
    <cellStyle name="Normal 2 2 2 2 2 3 4 8" xfId="12716" xr:uid="{00000000-0005-0000-0000-0000AC310000}"/>
    <cellStyle name="Normal 2 2 2 2 2 3 4 9" xfId="12717" xr:uid="{00000000-0005-0000-0000-0000AD310000}"/>
    <cellStyle name="Normal 2 2 2 2 2 3 5" xfId="12718" xr:uid="{00000000-0005-0000-0000-0000AE310000}"/>
    <cellStyle name="Normal 2 2 2 2 2 3 5 10" xfId="12719" xr:uid="{00000000-0005-0000-0000-0000AF310000}"/>
    <cellStyle name="Normal 2 2 2 2 2 3 5 2" xfId="12720" xr:uid="{00000000-0005-0000-0000-0000B0310000}"/>
    <cellStyle name="Normal 2 2 2 2 2 3 5 3" xfId="12721" xr:uid="{00000000-0005-0000-0000-0000B1310000}"/>
    <cellStyle name="Normal 2 2 2 2 2 3 5 4" xfId="12722" xr:uid="{00000000-0005-0000-0000-0000B2310000}"/>
    <cellStyle name="Normal 2 2 2 2 2 3 5 5" xfId="12723" xr:uid="{00000000-0005-0000-0000-0000B3310000}"/>
    <cellStyle name="Normal 2 2 2 2 2 3 5 6" xfId="12724" xr:uid="{00000000-0005-0000-0000-0000B4310000}"/>
    <cellStyle name="Normal 2 2 2 2 2 3 5 7" xfId="12725" xr:uid="{00000000-0005-0000-0000-0000B5310000}"/>
    <cellStyle name="Normal 2 2 2 2 2 3 5 8" xfId="12726" xr:uid="{00000000-0005-0000-0000-0000B6310000}"/>
    <cellStyle name="Normal 2 2 2 2 2 3 5 9" xfId="12727" xr:uid="{00000000-0005-0000-0000-0000B7310000}"/>
    <cellStyle name="Normal 2 2 2 2 2 3 6" xfId="12728" xr:uid="{00000000-0005-0000-0000-0000B8310000}"/>
    <cellStyle name="Normal 2 2 2 2 2 3 7" xfId="12729" xr:uid="{00000000-0005-0000-0000-0000B9310000}"/>
    <cellStyle name="Normal 2 2 2 2 2 3 8" xfId="12730" xr:uid="{00000000-0005-0000-0000-0000BA310000}"/>
    <cellStyle name="Normal 2 2 2 2 2 3 9" xfId="12731" xr:uid="{00000000-0005-0000-0000-0000BB310000}"/>
    <cellStyle name="Normal 2 2 2 2 2 30" xfId="12732" xr:uid="{00000000-0005-0000-0000-0000BC310000}"/>
    <cellStyle name="Normal 2 2 2 2 2 30 10" xfId="12733" xr:uid="{00000000-0005-0000-0000-0000BD310000}"/>
    <cellStyle name="Normal 2 2 2 2 2 30 11" xfId="12734" xr:uid="{00000000-0005-0000-0000-0000BE310000}"/>
    <cellStyle name="Normal 2 2 2 2 2 30 12" xfId="12735" xr:uid="{00000000-0005-0000-0000-0000BF310000}"/>
    <cellStyle name="Normal 2 2 2 2 2 30 13" xfId="12736" xr:uid="{00000000-0005-0000-0000-0000C0310000}"/>
    <cellStyle name="Normal 2 2 2 2 2 30 14" xfId="12737" xr:uid="{00000000-0005-0000-0000-0000C1310000}"/>
    <cellStyle name="Normal 2 2 2 2 2 30 2" xfId="12738" xr:uid="{00000000-0005-0000-0000-0000C2310000}"/>
    <cellStyle name="Normal 2 2 2 2 2 30 2 10" xfId="12739" xr:uid="{00000000-0005-0000-0000-0000C3310000}"/>
    <cellStyle name="Normal 2 2 2 2 2 30 2 2" xfId="12740" xr:uid="{00000000-0005-0000-0000-0000C4310000}"/>
    <cellStyle name="Normal 2 2 2 2 2 30 2 3" xfId="12741" xr:uid="{00000000-0005-0000-0000-0000C5310000}"/>
    <cellStyle name="Normal 2 2 2 2 2 30 2 4" xfId="12742" xr:uid="{00000000-0005-0000-0000-0000C6310000}"/>
    <cellStyle name="Normal 2 2 2 2 2 30 2 5" xfId="12743" xr:uid="{00000000-0005-0000-0000-0000C7310000}"/>
    <cellStyle name="Normal 2 2 2 2 2 30 2 6" xfId="12744" xr:uid="{00000000-0005-0000-0000-0000C8310000}"/>
    <cellStyle name="Normal 2 2 2 2 2 30 2 7" xfId="12745" xr:uid="{00000000-0005-0000-0000-0000C9310000}"/>
    <cellStyle name="Normal 2 2 2 2 2 30 2 8" xfId="12746" xr:uid="{00000000-0005-0000-0000-0000CA310000}"/>
    <cellStyle name="Normal 2 2 2 2 2 30 2 9" xfId="12747" xr:uid="{00000000-0005-0000-0000-0000CB310000}"/>
    <cellStyle name="Normal 2 2 2 2 2 30 3" xfId="12748" xr:uid="{00000000-0005-0000-0000-0000CC310000}"/>
    <cellStyle name="Normal 2 2 2 2 2 30 3 10" xfId="12749" xr:uid="{00000000-0005-0000-0000-0000CD310000}"/>
    <cellStyle name="Normal 2 2 2 2 2 30 3 2" xfId="12750" xr:uid="{00000000-0005-0000-0000-0000CE310000}"/>
    <cellStyle name="Normal 2 2 2 2 2 30 3 3" xfId="12751" xr:uid="{00000000-0005-0000-0000-0000CF310000}"/>
    <cellStyle name="Normal 2 2 2 2 2 30 3 4" xfId="12752" xr:uid="{00000000-0005-0000-0000-0000D0310000}"/>
    <cellStyle name="Normal 2 2 2 2 2 30 3 5" xfId="12753" xr:uid="{00000000-0005-0000-0000-0000D1310000}"/>
    <cellStyle name="Normal 2 2 2 2 2 30 3 6" xfId="12754" xr:uid="{00000000-0005-0000-0000-0000D2310000}"/>
    <cellStyle name="Normal 2 2 2 2 2 30 3 7" xfId="12755" xr:uid="{00000000-0005-0000-0000-0000D3310000}"/>
    <cellStyle name="Normal 2 2 2 2 2 30 3 8" xfId="12756" xr:uid="{00000000-0005-0000-0000-0000D4310000}"/>
    <cellStyle name="Normal 2 2 2 2 2 30 3 9" xfId="12757" xr:uid="{00000000-0005-0000-0000-0000D5310000}"/>
    <cellStyle name="Normal 2 2 2 2 2 30 4" xfId="12758" xr:uid="{00000000-0005-0000-0000-0000D6310000}"/>
    <cellStyle name="Normal 2 2 2 2 2 30 4 10" xfId="12759" xr:uid="{00000000-0005-0000-0000-0000D7310000}"/>
    <cellStyle name="Normal 2 2 2 2 2 30 4 2" xfId="12760" xr:uid="{00000000-0005-0000-0000-0000D8310000}"/>
    <cellStyle name="Normal 2 2 2 2 2 30 4 3" xfId="12761" xr:uid="{00000000-0005-0000-0000-0000D9310000}"/>
    <cellStyle name="Normal 2 2 2 2 2 30 4 4" xfId="12762" xr:uid="{00000000-0005-0000-0000-0000DA310000}"/>
    <cellStyle name="Normal 2 2 2 2 2 30 4 5" xfId="12763" xr:uid="{00000000-0005-0000-0000-0000DB310000}"/>
    <cellStyle name="Normal 2 2 2 2 2 30 4 6" xfId="12764" xr:uid="{00000000-0005-0000-0000-0000DC310000}"/>
    <cellStyle name="Normal 2 2 2 2 2 30 4 7" xfId="12765" xr:uid="{00000000-0005-0000-0000-0000DD310000}"/>
    <cellStyle name="Normal 2 2 2 2 2 30 4 8" xfId="12766" xr:uid="{00000000-0005-0000-0000-0000DE310000}"/>
    <cellStyle name="Normal 2 2 2 2 2 30 4 9" xfId="12767" xr:uid="{00000000-0005-0000-0000-0000DF310000}"/>
    <cellStyle name="Normal 2 2 2 2 2 30 5" xfId="12768" xr:uid="{00000000-0005-0000-0000-0000E0310000}"/>
    <cellStyle name="Normal 2 2 2 2 2 30 5 10" xfId="12769" xr:uid="{00000000-0005-0000-0000-0000E1310000}"/>
    <cellStyle name="Normal 2 2 2 2 2 30 5 2" xfId="12770" xr:uid="{00000000-0005-0000-0000-0000E2310000}"/>
    <cellStyle name="Normal 2 2 2 2 2 30 5 3" xfId="12771" xr:uid="{00000000-0005-0000-0000-0000E3310000}"/>
    <cellStyle name="Normal 2 2 2 2 2 30 5 4" xfId="12772" xr:uid="{00000000-0005-0000-0000-0000E4310000}"/>
    <cellStyle name="Normal 2 2 2 2 2 30 5 5" xfId="12773" xr:uid="{00000000-0005-0000-0000-0000E5310000}"/>
    <cellStyle name="Normal 2 2 2 2 2 30 5 6" xfId="12774" xr:uid="{00000000-0005-0000-0000-0000E6310000}"/>
    <cellStyle name="Normal 2 2 2 2 2 30 5 7" xfId="12775" xr:uid="{00000000-0005-0000-0000-0000E7310000}"/>
    <cellStyle name="Normal 2 2 2 2 2 30 5 8" xfId="12776" xr:uid="{00000000-0005-0000-0000-0000E8310000}"/>
    <cellStyle name="Normal 2 2 2 2 2 30 5 9" xfId="12777" xr:uid="{00000000-0005-0000-0000-0000E9310000}"/>
    <cellStyle name="Normal 2 2 2 2 2 30 6" xfId="12778" xr:uid="{00000000-0005-0000-0000-0000EA310000}"/>
    <cellStyle name="Normal 2 2 2 2 2 30 7" xfId="12779" xr:uid="{00000000-0005-0000-0000-0000EB310000}"/>
    <cellStyle name="Normal 2 2 2 2 2 30 8" xfId="12780" xr:uid="{00000000-0005-0000-0000-0000EC310000}"/>
    <cellStyle name="Normal 2 2 2 2 2 30 9" xfId="12781" xr:uid="{00000000-0005-0000-0000-0000ED310000}"/>
    <cellStyle name="Normal 2 2 2 2 2 31" xfId="12782" xr:uid="{00000000-0005-0000-0000-0000EE310000}"/>
    <cellStyle name="Normal 2 2 2 2 2 31 10" xfId="12783" xr:uid="{00000000-0005-0000-0000-0000EF310000}"/>
    <cellStyle name="Normal 2 2 2 2 2 31 11" xfId="12784" xr:uid="{00000000-0005-0000-0000-0000F0310000}"/>
    <cellStyle name="Normal 2 2 2 2 2 31 12" xfId="12785" xr:uid="{00000000-0005-0000-0000-0000F1310000}"/>
    <cellStyle name="Normal 2 2 2 2 2 31 13" xfId="12786" xr:uid="{00000000-0005-0000-0000-0000F2310000}"/>
    <cellStyle name="Normal 2 2 2 2 2 31 14" xfId="12787" xr:uid="{00000000-0005-0000-0000-0000F3310000}"/>
    <cellStyle name="Normal 2 2 2 2 2 31 2" xfId="12788" xr:uid="{00000000-0005-0000-0000-0000F4310000}"/>
    <cellStyle name="Normal 2 2 2 2 2 31 2 10" xfId="12789" xr:uid="{00000000-0005-0000-0000-0000F5310000}"/>
    <cellStyle name="Normal 2 2 2 2 2 31 2 2" xfId="12790" xr:uid="{00000000-0005-0000-0000-0000F6310000}"/>
    <cellStyle name="Normal 2 2 2 2 2 31 2 3" xfId="12791" xr:uid="{00000000-0005-0000-0000-0000F7310000}"/>
    <cellStyle name="Normal 2 2 2 2 2 31 2 4" xfId="12792" xr:uid="{00000000-0005-0000-0000-0000F8310000}"/>
    <cellStyle name="Normal 2 2 2 2 2 31 2 5" xfId="12793" xr:uid="{00000000-0005-0000-0000-0000F9310000}"/>
    <cellStyle name="Normal 2 2 2 2 2 31 2 6" xfId="12794" xr:uid="{00000000-0005-0000-0000-0000FA310000}"/>
    <cellStyle name="Normal 2 2 2 2 2 31 2 7" xfId="12795" xr:uid="{00000000-0005-0000-0000-0000FB310000}"/>
    <cellStyle name="Normal 2 2 2 2 2 31 2 8" xfId="12796" xr:uid="{00000000-0005-0000-0000-0000FC310000}"/>
    <cellStyle name="Normal 2 2 2 2 2 31 2 9" xfId="12797" xr:uid="{00000000-0005-0000-0000-0000FD310000}"/>
    <cellStyle name="Normal 2 2 2 2 2 31 3" xfId="12798" xr:uid="{00000000-0005-0000-0000-0000FE310000}"/>
    <cellStyle name="Normal 2 2 2 2 2 31 3 10" xfId="12799" xr:uid="{00000000-0005-0000-0000-0000FF310000}"/>
    <cellStyle name="Normal 2 2 2 2 2 31 3 2" xfId="12800" xr:uid="{00000000-0005-0000-0000-000000320000}"/>
    <cellStyle name="Normal 2 2 2 2 2 31 3 3" xfId="12801" xr:uid="{00000000-0005-0000-0000-000001320000}"/>
    <cellStyle name="Normal 2 2 2 2 2 31 3 4" xfId="12802" xr:uid="{00000000-0005-0000-0000-000002320000}"/>
    <cellStyle name="Normal 2 2 2 2 2 31 3 5" xfId="12803" xr:uid="{00000000-0005-0000-0000-000003320000}"/>
    <cellStyle name="Normal 2 2 2 2 2 31 3 6" xfId="12804" xr:uid="{00000000-0005-0000-0000-000004320000}"/>
    <cellStyle name="Normal 2 2 2 2 2 31 3 7" xfId="12805" xr:uid="{00000000-0005-0000-0000-000005320000}"/>
    <cellStyle name="Normal 2 2 2 2 2 31 3 8" xfId="12806" xr:uid="{00000000-0005-0000-0000-000006320000}"/>
    <cellStyle name="Normal 2 2 2 2 2 31 3 9" xfId="12807" xr:uid="{00000000-0005-0000-0000-000007320000}"/>
    <cellStyle name="Normal 2 2 2 2 2 31 4" xfId="12808" xr:uid="{00000000-0005-0000-0000-000008320000}"/>
    <cellStyle name="Normal 2 2 2 2 2 31 4 10" xfId="12809" xr:uid="{00000000-0005-0000-0000-000009320000}"/>
    <cellStyle name="Normal 2 2 2 2 2 31 4 2" xfId="12810" xr:uid="{00000000-0005-0000-0000-00000A320000}"/>
    <cellStyle name="Normal 2 2 2 2 2 31 4 3" xfId="12811" xr:uid="{00000000-0005-0000-0000-00000B320000}"/>
    <cellStyle name="Normal 2 2 2 2 2 31 4 4" xfId="12812" xr:uid="{00000000-0005-0000-0000-00000C320000}"/>
    <cellStyle name="Normal 2 2 2 2 2 31 4 5" xfId="12813" xr:uid="{00000000-0005-0000-0000-00000D320000}"/>
    <cellStyle name="Normal 2 2 2 2 2 31 4 6" xfId="12814" xr:uid="{00000000-0005-0000-0000-00000E320000}"/>
    <cellStyle name="Normal 2 2 2 2 2 31 4 7" xfId="12815" xr:uid="{00000000-0005-0000-0000-00000F320000}"/>
    <cellStyle name="Normal 2 2 2 2 2 31 4 8" xfId="12816" xr:uid="{00000000-0005-0000-0000-000010320000}"/>
    <cellStyle name="Normal 2 2 2 2 2 31 4 9" xfId="12817" xr:uid="{00000000-0005-0000-0000-000011320000}"/>
    <cellStyle name="Normal 2 2 2 2 2 31 5" xfId="12818" xr:uid="{00000000-0005-0000-0000-000012320000}"/>
    <cellStyle name="Normal 2 2 2 2 2 31 5 10" xfId="12819" xr:uid="{00000000-0005-0000-0000-000013320000}"/>
    <cellStyle name="Normal 2 2 2 2 2 31 5 2" xfId="12820" xr:uid="{00000000-0005-0000-0000-000014320000}"/>
    <cellStyle name="Normal 2 2 2 2 2 31 5 3" xfId="12821" xr:uid="{00000000-0005-0000-0000-000015320000}"/>
    <cellStyle name="Normal 2 2 2 2 2 31 5 4" xfId="12822" xr:uid="{00000000-0005-0000-0000-000016320000}"/>
    <cellStyle name="Normal 2 2 2 2 2 31 5 5" xfId="12823" xr:uid="{00000000-0005-0000-0000-000017320000}"/>
    <cellStyle name="Normal 2 2 2 2 2 31 5 6" xfId="12824" xr:uid="{00000000-0005-0000-0000-000018320000}"/>
    <cellStyle name="Normal 2 2 2 2 2 31 5 7" xfId="12825" xr:uid="{00000000-0005-0000-0000-000019320000}"/>
    <cellStyle name="Normal 2 2 2 2 2 31 5 8" xfId="12826" xr:uid="{00000000-0005-0000-0000-00001A320000}"/>
    <cellStyle name="Normal 2 2 2 2 2 31 5 9" xfId="12827" xr:uid="{00000000-0005-0000-0000-00001B320000}"/>
    <cellStyle name="Normal 2 2 2 2 2 31 6" xfId="12828" xr:uid="{00000000-0005-0000-0000-00001C320000}"/>
    <cellStyle name="Normal 2 2 2 2 2 31 7" xfId="12829" xr:uid="{00000000-0005-0000-0000-00001D320000}"/>
    <cellStyle name="Normal 2 2 2 2 2 31 8" xfId="12830" xr:uid="{00000000-0005-0000-0000-00001E320000}"/>
    <cellStyle name="Normal 2 2 2 2 2 31 9" xfId="12831" xr:uid="{00000000-0005-0000-0000-00001F320000}"/>
    <cellStyle name="Normal 2 2 2 2 2 32" xfId="12832" xr:uid="{00000000-0005-0000-0000-000020320000}"/>
    <cellStyle name="Normal 2 2 2 2 2 32 10" xfId="12833" xr:uid="{00000000-0005-0000-0000-000021320000}"/>
    <cellStyle name="Normal 2 2 2 2 2 32 11" xfId="12834" xr:uid="{00000000-0005-0000-0000-000022320000}"/>
    <cellStyle name="Normal 2 2 2 2 2 32 12" xfId="12835" xr:uid="{00000000-0005-0000-0000-000023320000}"/>
    <cellStyle name="Normal 2 2 2 2 2 32 13" xfId="12836" xr:uid="{00000000-0005-0000-0000-000024320000}"/>
    <cellStyle name="Normal 2 2 2 2 2 32 14" xfId="12837" xr:uid="{00000000-0005-0000-0000-000025320000}"/>
    <cellStyle name="Normal 2 2 2 2 2 32 2" xfId="12838" xr:uid="{00000000-0005-0000-0000-000026320000}"/>
    <cellStyle name="Normal 2 2 2 2 2 32 2 10" xfId="12839" xr:uid="{00000000-0005-0000-0000-000027320000}"/>
    <cellStyle name="Normal 2 2 2 2 2 32 2 2" xfId="12840" xr:uid="{00000000-0005-0000-0000-000028320000}"/>
    <cellStyle name="Normal 2 2 2 2 2 32 2 3" xfId="12841" xr:uid="{00000000-0005-0000-0000-000029320000}"/>
    <cellStyle name="Normal 2 2 2 2 2 32 2 4" xfId="12842" xr:uid="{00000000-0005-0000-0000-00002A320000}"/>
    <cellStyle name="Normal 2 2 2 2 2 32 2 5" xfId="12843" xr:uid="{00000000-0005-0000-0000-00002B320000}"/>
    <cellStyle name="Normal 2 2 2 2 2 32 2 6" xfId="12844" xr:uid="{00000000-0005-0000-0000-00002C320000}"/>
    <cellStyle name="Normal 2 2 2 2 2 32 2 7" xfId="12845" xr:uid="{00000000-0005-0000-0000-00002D320000}"/>
    <cellStyle name="Normal 2 2 2 2 2 32 2 8" xfId="12846" xr:uid="{00000000-0005-0000-0000-00002E320000}"/>
    <cellStyle name="Normal 2 2 2 2 2 32 2 9" xfId="12847" xr:uid="{00000000-0005-0000-0000-00002F320000}"/>
    <cellStyle name="Normal 2 2 2 2 2 32 3" xfId="12848" xr:uid="{00000000-0005-0000-0000-000030320000}"/>
    <cellStyle name="Normal 2 2 2 2 2 32 3 10" xfId="12849" xr:uid="{00000000-0005-0000-0000-000031320000}"/>
    <cellStyle name="Normal 2 2 2 2 2 32 3 2" xfId="12850" xr:uid="{00000000-0005-0000-0000-000032320000}"/>
    <cellStyle name="Normal 2 2 2 2 2 32 3 3" xfId="12851" xr:uid="{00000000-0005-0000-0000-000033320000}"/>
    <cellStyle name="Normal 2 2 2 2 2 32 3 4" xfId="12852" xr:uid="{00000000-0005-0000-0000-000034320000}"/>
    <cellStyle name="Normal 2 2 2 2 2 32 3 5" xfId="12853" xr:uid="{00000000-0005-0000-0000-000035320000}"/>
    <cellStyle name="Normal 2 2 2 2 2 32 3 6" xfId="12854" xr:uid="{00000000-0005-0000-0000-000036320000}"/>
    <cellStyle name="Normal 2 2 2 2 2 32 3 7" xfId="12855" xr:uid="{00000000-0005-0000-0000-000037320000}"/>
    <cellStyle name="Normal 2 2 2 2 2 32 3 8" xfId="12856" xr:uid="{00000000-0005-0000-0000-000038320000}"/>
    <cellStyle name="Normal 2 2 2 2 2 32 3 9" xfId="12857" xr:uid="{00000000-0005-0000-0000-000039320000}"/>
    <cellStyle name="Normal 2 2 2 2 2 32 4" xfId="12858" xr:uid="{00000000-0005-0000-0000-00003A320000}"/>
    <cellStyle name="Normal 2 2 2 2 2 32 4 10" xfId="12859" xr:uid="{00000000-0005-0000-0000-00003B320000}"/>
    <cellStyle name="Normal 2 2 2 2 2 32 4 2" xfId="12860" xr:uid="{00000000-0005-0000-0000-00003C320000}"/>
    <cellStyle name="Normal 2 2 2 2 2 32 4 3" xfId="12861" xr:uid="{00000000-0005-0000-0000-00003D320000}"/>
    <cellStyle name="Normal 2 2 2 2 2 32 4 4" xfId="12862" xr:uid="{00000000-0005-0000-0000-00003E320000}"/>
    <cellStyle name="Normal 2 2 2 2 2 32 4 5" xfId="12863" xr:uid="{00000000-0005-0000-0000-00003F320000}"/>
    <cellStyle name="Normal 2 2 2 2 2 32 4 6" xfId="12864" xr:uid="{00000000-0005-0000-0000-000040320000}"/>
    <cellStyle name="Normal 2 2 2 2 2 32 4 7" xfId="12865" xr:uid="{00000000-0005-0000-0000-000041320000}"/>
    <cellStyle name="Normal 2 2 2 2 2 32 4 8" xfId="12866" xr:uid="{00000000-0005-0000-0000-000042320000}"/>
    <cellStyle name="Normal 2 2 2 2 2 32 4 9" xfId="12867" xr:uid="{00000000-0005-0000-0000-000043320000}"/>
    <cellStyle name="Normal 2 2 2 2 2 32 5" xfId="12868" xr:uid="{00000000-0005-0000-0000-000044320000}"/>
    <cellStyle name="Normal 2 2 2 2 2 32 5 10" xfId="12869" xr:uid="{00000000-0005-0000-0000-000045320000}"/>
    <cellStyle name="Normal 2 2 2 2 2 32 5 2" xfId="12870" xr:uid="{00000000-0005-0000-0000-000046320000}"/>
    <cellStyle name="Normal 2 2 2 2 2 32 5 3" xfId="12871" xr:uid="{00000000-0005-0000-0000-000047320000}"/>
    <cellStyle name="Normal 2 2 2 2 2 32 5 4" xfId="12872" xr:uid="{00000000-0005-0000-0000-000048320000}"/>
    <cellStyle name="Normal 2 2 2 2 2 32 5 5" xfId="12873" xr:uid="{00000000-0005-0000-0000-000049320000}"/>
    <cellStyle name="Normal 2 2 2 2 2 32 5 6" xfId="12874" xr:uid="{00000000-0005-0000-0000-00004A320000}"/>
    <cellStyle name="Normal 2 2 2 2 2 32 5 7" xfId="12875" xr:uid="{00000000-0005-0000-0000-00004B320000}"/>
    <cellStyle name="Normal 2 2 2 2 2 32 5 8" xfId="12876" xr:uid="{00000000-0005-0000-0000-00004C320000}"/>
    <cellStyle name="Normal 2 2 2 2 2 32 5 9" xfId="12877" xr:uid="{00000000-0005-0000-0000-00004D320000}"/>
    <cellStyle name="Normal 2 2 2 2 2 32 6" xfId="12878" xr:uid="{00000000-0005-0000-0000-00004E320000}"/>
    <cellStyle name="Normal 2 2 2 2 2 32 7" xfId="12879" xr:uid="{00000000-0005-0000-0000-00004F320000}"/>
    <cellStyle name="Normal 2 2 2 2 2 32 8" xfId="12880" xr:uid="{00000000-0005-0000-0000-000050320000}"/>
    <cellStyle name="Normal 2 2 2 2 2 32 9" xfId="12881" xr:uid="{00000000-0005-0000-0000-000051320000}"/>
    <cellStyle name="Normal 2 2 2 2 2 33" xfId="12882" xr:uid="{00000000-0005-0000-0000-000052320000}"/>
    <cellStyle name="Normal 2 2 2 2 2 33 10" xfId="12883" xr:uid="{00000000-0005-0000-0000-000053320000}"/>
    <cellStyle name="Normal 2 2 2 2 2 33 11" xfId="12884" xr:uid="{00000000-0005-0000-0000-000054320000}"/>
    <cellStyle name="Normal 2 2 2 2 2 33 12" xfId="12885" xr:uid="{00000000-0005-0000-0000-000055320000}"/>
    <cellStyle name="Normal 2 2 2 2 2 33 13" xfId="12886" xr:uid="{00000000-0005-0000-0000-000056320000}"/>
    <cellStyle name="Normal 2 2 2 2 2 33 14" xfId="12887" xr:uid="{00000000-0005-0000-0000-000057320000}"/>
    <cellStyle name="Normal 2 2 2 2 2 33 2" xfId="12888" xr:uid="{00000000-0005-0000-0000-000058320000}"/>
    <cellStyle name="Normal 2 2 2 2 2 33 2 10" xfId="12889" xr:uid="{00000000-0005-0000-0000-000059320000}"/>
    <cellStyle name="Normal 2 2 2 2 2 33 2 2" xfId="12890" xr:uid="{00000000-0005-0000-0000-00005A320000}"/>
    <cellStyle name="Normal 2 2 2 2 2 33 2 3" xfId="12891" xr:uid="{00000000-0005-0000-0000-00005B320000}"/>
    <cellStyle name="Normal 2 2 2 2 2 33 2 4" xfId="12892" xr:uid="{00000000-0005-0000-0000-00005C320000}"/>
    <cellStyle name="Normal 2 2 2 2 2 33 2 5" xfId="12893" xr:uid="{00000000-0005-0000-0000-00005D320000}"/>
    <cellStyle name="Normal 2 2 2 2 2 33 2 6" xfId="12894" xr:uid="{00000000-0005-0000-0000-00005E320000}"/>
    <cellStyle name="Normal 2 2 2 2 2 33 2 7" xfId="12895" xr:uid="{00000000-0005-0000-0000-00005F320000}"/>
    <cellStyle name="Normal 2 2 2 2 2 33 2 8" xfId="12896" xr:uid="{00000000-0005-0000-0000-000060320000}"/>
    <cellStyle name="Normal 2 2 2 2 2 33 2 9" xfId="12897" xr:uid="{00000000-0005-0000-0000-000061320000}"/>
    <cellStyle name="Normal 2 2 2 2 2 33 3" xfId="12898" xr:uid="{00000000-0005-0000-0000-000062320000}"/>
    <cellStyle name="Normal 2 2 2 2 2 33 3 10" xfId="12899" xr:uid="{00000000-0005-0000-0000-000063320000}"/>
    <cellStyle name="Normal 2 2 2 2 2 33 3 2" xfId="12900" xr:uid="{00000000-0005-0000-0000-000064320000}"/>
    <cellStyle name="Normal 2 2 2 2 2 33 3 3" xfId="12901" xr:uid="{00000000-0005-0000-0000-000065320000}"/>
    <cellStyle name="Normal 2 2 2 2 2 33 3 4" xfId="12902" xr:uid="{00000000-0005-0000-0000-000066320000}"/>
    <cellStyle name="Normal 2 2 2 2 2 33 3 5" xfId="12903" xr:uid="{00000000-0005-0000-0000-000067320000}"/>
    <cellStyle name="Normal 2 2 2 2 2 33 3 6" xfId="12904" xr:uid="{00000000-0005-0000-0000-000068320000}"/>
    <cellStyle name="Normal 2 2 2 2 2 33 3 7" xfId="12905" xr:uid="{00000000-0005-0000-0000-000069320000}"/>
    <cellStyle name="Normal 2 2 2 2 2 33 3 8" xfId="12906" xr:uid="{00000000-0005-0000-0000-00006A320000}"/>
    <cellStyle name="Normal 2 2 2 2 2 33 3 9" xfId="12907" xr:uid="{00000000-0005-0000-0000-00006B320000}"/>
    <cellStyle name="Normal 2 2 2 2 2 33 4" xfId="12908" xr:uid="{00000000-0005-0000-0000-00006C320000}"/>
    <cellStyle name="Normal 2 2 2 2 2 33 4 10" xfId="12909" xr:uid="{00000000-0005-0000-0000-00006D320000}"/>
    <cellStyle name="Normal 2 2 2 2 2 33 4 2" xfId="12910" xr:uid="{00000000-0005-0000-0000-00006E320000}"/>
    <cellStyle name="Normal 2 2 2 2 2 33 4 3" xfId="12911" xr:uid="{00000000-0005-0000-0000-00006F320000}"/>
    <cellStyle name="Normal 2 2 2 2 2 33 4 4" xfId="12912" xr:uid="{00000000-0005-0000-0000-000070320000}"/>
    <cellStyle name="Normal 2 2 2 2 2 33 4 5" xfId="12913" xr:uid="{00000000-0005-0000-0000-000071320000}"/>
    <cellStyle name="Normal 2 2 2 2 2 33 4 6" xfId="12914" xr:uid="{00000000-0005-0000-0000-000072320000}"/>
    <cellStyle name="Normal 2 2 2 2 2 33 4 7" xfId="12915" xr:uid="{00000000-0005-0000-0000-000073320000}"/>
    <cellStyle name="Normal 2 2 2 2 2 33 4 8" xfId="12916" xr:uid="{00000000-0005-0000-0000-000074320000}"/>
    <cellStyle name="Normal 2 2 2 2 2 33 4 9" xfId="12917" xr:uid="{00000000-0005-0000-0000-000075320000}"/>
    <cellStyle name="Normal 2 2 2 2 2 33 5" xfId="12918" xr:uid="{00000000-0005-0000-0000-000076320000}"/>
    <cellStyle name="Normal 2 2 2 2 2 33 5 10" xfId="12919" xr:uid="{00000000-0005-0000-0000-000077320000}"/>
    <cellStyle name="Normal 2 2 2 2 2 33 5 2" xfId="12920" xr:uid="{00000000-0005-0000-0000-000078320000}"/>
    <cellStyle name="Normal 2 2 2 2 2 33 5 3" xfId="12921" xr:uid="{00000000-0005-0000-0000-000079320000}"/>
    <cellStyle name="Normal 2 2 2 2 2 33 5 4" xfId="12922" xr:uid="{00000000-0005-0000-0000-00007A320000}"/>
    <cellStyle name="Normal 2 2 2 2 2 33 5 5" xfId="12923" xr:uid="{00000000-0005-0000-0000-00007B320000}"/>
    <cellStyle name="Normal 2 2 2 2 2 33 5 6" xfId="12924" xr:uid="{00000000-0005-0000-0000-00007C320000}"/>
    <cellStyle name="Normal 2 2 2 2 2 33 5 7" xfId="12925" xr:uid="{00000000-0005-0000-0000-00007D320000}"/>
    <cellStyle name="Normal 2 2 2 2 2 33 5 8" xfId="12926" xr:uid="{00000000-0005-0000-0000-00007E320000}"/>
    <cellStyle name="Normal 2 2 2 2 2 33 5 9" xfId="12927" xr:uid="{00000000-0005-0000-0000-00007F320000}"/>
    <cellStyle name="Normal 2 2 2 2 2 33 6" xfId="12928" xr:uid="{00000000-0005-0000-0000-000080320000}"/>
    <cellStyle name="Normal 2 2 2 2 2 33 7" xfId="12929" xr:uid="{00000000-0005-0000-0000-000081320000}"/>
    <cellStyle name="Normal 2 2 2 2 2 33 8" xfId="12930" xr:uid="{00000000-0005-0000-0000-000082320000}"/>
    <cellStyle name="Normal 2 2 2 2 2 33 9" xfId="12931" xr:uid="{00000000-0005-0000-0000-000083320000}"/>
    <cellStyle name="Normal 2 2 2 2 2 34" xfId="12932" xr:uid="{00000000-0005-0000-0000-000084320000}"/>
    <cellStyle name="Normal 2 2 2 2 2 34 10" xfId="12933" xr:uid="{00000000-0005-0000-0000-000085320000}"/>
    <cellStyle name="Normal 2 2 2 2 2 34 11" xfId="12934" xr:uid="{00000000-0005-0000-0000-000086320000}"/>
    <cellStyle name="Normal 2 2 2 2 2 34 12" xfId="12935" xr:uid="{00000000-0005-0000-0000-000087320000}"/>
    <cellStyle name="Normal 2 2 2 2 2 34 13" xfId="12936" xr:uid="{00000000-0005-0000-0000-000088320000}"/>
    <cellStyle name="Normal 2 2 2 2 2 34 14" xfId="12937" xr:uid="{00000000-0005-0000-0000-000089320000}"/>
    <cellStyle name="Normal 2 2 2 2 2 34 2" xfId="12938" xr:uid="{00000000-0005-0000-0000-00008A320000}"/>
    <cellStyle name="Normal 2 2 2 2 2 34 2 10" xfId="12939" xr:uid="{00000000-0005-0000-0000-00008B320000}"/>
    <cellStyle name="Normal 2 2 2 2 2 34 2 2" xfId="12940" xr:uid="{00000000-0005-0000-0000-00008C320000}"/>
    <cellStyle name="Normal 2 2 2 2 2 34 2 3" xfId="12941" xr:uid="{00000000-0005-0000-0000-00008D320000}"/>
    <cellStyle name="Normal 2 2 2 2 2 34 2 4" xfId="12942" xr:uid="{00000000-0005-0000-0000-00008E320000}"/>
    <cellStyle name="Normal 2 2 2 2 2 34 2 5" xfId="12943" xr:uid="{00000000-0005-0000-0000-00008F320000}"/>
    <cellStyle name="Normal 2 2 2 2 2 34 2 6" xfId="12944" xr:uid="{00000000-0005-0000-0000-000090320000}"/>
    <cellStyle name="Normal 2 2 2 2 2 34 2 7" xfId="12945" xr:uid="{00000000-0005-0000-0000-000091320000}"/>
    <cellStyle name="Normal 2 2 2 2 2 34 2 8" xfId="12946" xr:uid="{00000000-0005-0000-0000-000092320000}"/>
    <cellStyle name="Normal 2 2 2 2 2 34 2 9" xfId="12947" xr:uid="{00000000-0005-0000-0000-000093320000}"/>
    <cellStyle name="Normal 2 2 2 2 2 34 3" xfId="12948" xr:uid="{00000000-0005-0000-0000-000094320000}"/>
    <cellStyle name="Normal 2 2 2 2 2 34 3 10" xfId="12949" xr:uid="{00000000-0005-0000-0000-000095320000}"/>
    <cellStyle name="Normal 2 2 2 2 2 34 3 2" xfId="12950" xr:uid="{00000000-0005-0000-0000-000096320000}"/>
    <cellStyle name="Normal 2 2 2 2 2 34 3 3" xfId="12951" xr:uid="{00000000-0005-0000-0000-000097320000}"/>
    <cellStyle name="Normal 2 2 2 2 2 34 3 4" xfId="12952" xr:uid="{00000000-0005-0000-0000-000098320000}"/>
    <cellStyle name="Normal 2 2 2 2 2 34 3 5" xfId="12953" xr:uid="{00000000-0005-0000-0000-000099320000}"/>
    <cellStyle name="Normal 2 2 2 2 2 34 3 6" xfId="12954" xr:uid="{00000000-0005-0000-0000-00009A320000}"/>
    <cellStyle name="Normal 2 2 2 2 2 34 3 7" xfId="12955" xr:uid="{00000000-0005-0000-0000-00009B320000}"/>
    <cellStyle name="Normal 2 2 2 2 2 34 3 8" xfId="12956" xr:uid="{00000000-0005-0000-0000-00009C320000}"/>
    <cellStyle name="Normal 2 2 2 2 2 34 3 9" xfId="12957" xr:uid="{00000000-0005-0000-0000-00009D320000}"/>
    <cellStyle name="Normal 2 2 2 2 2 34 4" xfId="12958" xr:uid="{00000000-0005-0000-0000-00009E320000}"/>
    <cellStyle name="Normal 2 2 2 2 2 34 4 10" xfId="12959" xr:uid="{00000000-0005-0000-0000-00009F320000}"/>
    <cellStyle name="Normal 2 2 2 2 2 34 4 2" xfId="12960" xr:uid="{00000000-0005-0000-0000-0000A0320000}"/>
    <cellStyle name="Normal 2 2 2 2 2 34 4 3" xfId="12961" xr:uid="{00000000-0005-0000-0000-0000A1320000}"/>
    <cellStyle name="Normal 2 2 2 2 2 34 4 4" xfId="12962" xr:uid="{00000000-0005-0000-0000-0000A2320000}"/>
    <cellStyle name="Normal 2 2 2 2 2 34 4 5" xfId="12963" xr:uid="{00000000-0005-0000-0000-0000A3320000}"/>
    <cellStyle name="Normal 2 2 2 2 2 34 4 6" xfId="12964" xr:uid="{00000000-0005-0000-0000-0000A4320000}"/>
    <cellStyle name="Normal 2 2 2 2 2 34 4 7" xfId="12965" xr:uid="{00000000-0005-0000-0000-0000A5320000}"/>
    <cellStyle name="Normal 2 2 2 2 2 34 4 8" xfId="12966" xr:uid="{00000000-0005-0000-0000-0000A6320000}"/>
    <cellStyle name="Normal 2 2 2 2 2 34 4 9" xfId="12967" xr:uid="{00000000-0005-0000-0000-0000A7320000}"/>
    <cellStyle name="Normal 2 2 2 2 2 34 5" xfId="12968" xr:uid="{00000000-0005-0000-0000-0000A8320000}"/>
    <cellStyle name="Normal 2 2 2 2 2 34 5 10" xfId="12969" xr:uid="{00000000-0005-0000-0000-0000A9320000}"/>
    <cellStyle name="Normal 2 2 2 2 2 34 5 2" xfId="12970" xr:uid="{00000000-0005-0000-0000-0000AA320000}"/>
    <cellStyle name="Normal 2 2 2 2 2 34 5 3" xfId="12971" xr:uid="{00000000-0005-0000-0000-0000AB320000}"/>
    <cellStyle name="Normal 2 2 2 2 2 34 5 4" xfId="12972" xr:uid="{00000000-0005-0000-0000-0000AC320000}"/>
    <cellStyle name="Normal 2 2 2 2 2 34 5 5" xfId="12973" xr:uid="{00000000-0005-0000-0000-0000AD320000}"/>
    <cellStyle name="Normal 2 2 2 2 2 34 5 6" xfId="12974" xr:uid="{00000000-0005-0000-0000-0000AE320000}"/>
    <cellStyle name="Normal 2 2 2 2 2 34 5 7" xfId="12975" xr:uid="{00000000-0005-0000-0000-0000AF320000}"/>
    <cellStyle name="Normal 2 2 2 2 2 34 5 8" xfId="12976" xr:uid="{00000000-0005-0000-0000-0000B0320000}"/>
    <cellStyle name="Normal 2 2 2 2 2 34 5 9" xfId="12977" xr:uid="{00000000-0005-0000-0000-0000B1320000}"/>
    <cellStyle name="Normal 2 2 2 2 2 34 6" xfId="12978" xr:uid="{00000000-0005-0000-0000-0000B2320000}"/>
    <cellStyle name="Normal 2 2 2 2 2 34 7" xfId="12979" xr:uid="{00000000-0005-0000-0000-0000B3320000}"/>
    <cellStyle name="Normal 2 2 2 2 2 34 8" xfId="12980" xr:uid="{00000000-0005-0000-0000-0000B4320000}"/>
    <cellStyle name="Normal 2 2 2 2 2 34 9" xfId="12981" xr:uid="{00000000-0005-0000-0000-0000B5320000}"/>
    <cellStyle name="Normal 2 2 2 2 2 35" xfId="12982" xr:uid="{00000000-0005-0000-0000-0000B6320000}"/>
    <cellStyle name="Normal 2 2 2 2 2 35 10" xfId="12983" xr:uid="{00000000-0005-0000-0000-0000B7320000}"/>
    <cellStyle name="Normal 2 2 2 2 2 35 2" xfId="12984" xr:uid="{00000000-0005-0000-0000-0000B8320000}"/>
    <cellStyle name="Normal 2 2 2 2 2 35 3" xfId="12985" xr:uid="{00000000-0005-0000-0000-0000B9320000}"/>
    <cellStyle name="Normal 2 2 2 2 2 35 4" xfId="12986" xr:uid="{00000000-0005-0000-0000-0000BA320000}"/>
    <cellStyle name="Normal 2 2 2 2 2 35 5" xfId="12987" xr:uid="{00000000-0005-0000-0000-0000BB320000}"/>
    <cellStyle name="Normal 2 2 2 2 2 35 6" xfId="12988" xr:uid="{00000000-0005-0000-0000-0000BC320000}"/>
    <cellStyle name="Normal 2 2 2 2 2 35 7" xfId="12989" xr:uid="{00000000-0005-0000-0000-0000BD320000}"/>
    <cellStyle name="Normal 2 2 2 2 2 35 8" xfId="12990" xr:uid="{00000000-0005-0000-0000-0000BE320000}"/>
    <cellStyle name="Normal 2 2 2 2 2 35 9" xfId="12991" xr:uid="{00000000-0005-0000-0000-0000BF320000}"/>
    <cellStyle name="Normal 2 2 2 2 2 36" xfId="12992" xr:uid="{00000000-0005-0000-0000-0000C0320000}"/>
    <cellStyle name="Normal 2 2 2 2 2 36 10" xfId="12993" xr:uid="{00000000-0005-0000-0000-0000C1320000}"/>
    <cellStyle name="Normal 2 2 2 2 2 36 2" xfId="12994" xr:uid="{00000000-0005-0000-0000-0000C2320000}"/>
    <cellStyle name="Normal 2 2 2 2 2 36 3" xfId="12995" xr:uid="{00000000-0005-0000-0000-0000C3320000}"/>
    <cellStyle name="Normal 2 2 2 2 2 36 4" xfId="12996" xr:uid="{00000000-0005-0000-0000-0000C4320000}"/>
    <cellStyle name="Normal 2 2 2 2 2 36 5" xfId="12997" xr:uid="{00000000-0005-0000-0000-0000C5320000}"/>
    <cellStyle name="Normal 2 2 2 2 2 36 6" xfId="12998" xr:uid="{00000000-0005-0000-0000-0000C6320000}"/>
    <cellStyle name="Normal 2 2 2 2 2 36 7" xfId="12999" xr:uid="{00000000-0005-0000-0000-0000C7320000}"/>
    <cellStyle name="Normal 2 2 2 2 2 36 8" xfId="13000" xr:uid="{00000000-0005-0000-0000-0000C8320000}"/>
    <cellStyle name="Normal 2 2 2 2 2 36 9" xfId="13001" xr:uid="{00000000-0005-0000-0000-0000C9320000}"/>
    <cellStyle name="Normal 2 2 2 2 2 37" xfId="13002" xr:uid="{00000000-0005-0000-0000-0000CA320000}"/>
    <cellStyle name="Normal 2 2 2 2 2 37 10" xfId="13003" xr:uid="{00000000-0005-0000-0000-0000CB320000}"/>
    <cellStyle name="Normal 2 2 2 2 2 37 2" xfId="13004" xr:uid="{00000000-0005-0000-0000-0000CC320000}"/>
    <cellStyle name="Normal 2 2 2 2 2 37 3" xfId="13005" xr:uid="{00000000-0005-0000-0000-0000CD320000}"/>
    <cellStyle name="Normal 2 2 2 2 2 37 4" xfId="13006" xr:uid="{00000000-0005-0000-0000-0000CE320000}"/>
    <cellStyle name="Normal 2 2 2 2 2 37 5" xfId="13007" xr:uid="{00000000-0005-0000-0000-0000CF320000}"/>
    <cellStyle name="Normal 2 2 2 2 2 37 6" xfId="13008" xr:uid="{00000000-0005-0000-0000-0000D0320000}"/>
    <cellStyle name="Normal 2 2 2 2 2 37 7" xfId="13009" xr:uid="{00000000-0005-0000-0000-0000D1320000}"/>
    <cellStyle name="Normal 2 2 2 2 2 37 8" xfId="13010" xr:uid="{00000000-0005-0000-0000-0000D2320000}"/>
    <cellStyle name="Normal 2 2 2 2 2 37 9" xfId="13011" xr:uid="{00000000-0005-0000-0000-0000D3320000}"/>
    <cellStyle name="Normal 2 2 2 2 2 38" xfId="13012" xr:uid="{00000000-0005-0000-0000-0000D4320000}"/>
    <cellStyle name="Normal 2 2 2 2 2 38 10" xfId="13013" xr:uid="{00000000-0005-0000-0000-0000D5320000}"/>
    <cellStyle name="Normal 2 2 2 2 2 38 2" xfId="13014" xr:uid="{00000000-0005-0000-0000-0000D6320000}"/>
    <cellStyle name="Normal 2 2 2 2 2 38 3" xfId="13015" xr:uid="{00000000-0005-0000-0000-0000D7320000}"/>
    <cellStyle name="Normal 2 2 2 2 2 38 4" xfId="13016" xr:uid="{00000000-0005-0000-0000-0000D8320000}"/>
    <cellStyle name="Normal 2 2 2 2 2 38 5" xfId="13017" xr:uid="{00000000-0005-0000-0000-0000D9320000}"/>
    <cellStyle name="Normal 2 2 2 2 2 38 6" xfId="13018" xr:uid="{00000000-0005-0000-0000-0000DA320000}"/>
    <cellStyle name="Normal 2 2 2 2 2 38 7" xfId="13019" xr:uid="{00000000-0005-0000-0000-0000DB320000}"/>
    <cellStyle name="Normal 2 2 2 2 2 38 8" xfId="13020" xr:uid="{00000000-0005-0000-0000-0000DC320000}"/>
    <cellStyle name="Normal 2 2 2 2 2 38 9" xfId="13021" xr:uid="{00000000-0005-0000-0000-0000DD320000}"/>
    <cellStyle name="Normal 2 2 2 2 2 39" xfId="13022" xr:uid="{00000000-0005-0000-0000-0000DE320000}"/>
    <cellStyle name="Normal 2 2 2 2 2 4" xfId="13023" xr:uid="{00000000-0005-0000-0000-0000DF320000}"/>
    <cellStyle name="Normal 2 2 2 2 2 4 10" xfId="13024" xr:uid="{00000000-0005-0000-0000-0000E0320000}"/>
    <cellStyle name="Normal 2 2 2 2 2 4 11" xfId="13025" xr:uid="{00000000-0005-0000-0000-0000E1320000}"/>
    <cellStyle name="Normal 2 2 2 2 2 4 12" xfId="13026" xr:uid="{00000000-0005-0000-0000-0000E2320000}"/>
    <cellStyle name="Normal 2 2 2 2 2 4 13" xfId="13027" xr:uid="{00000000-0005-0000-0000-0000E3320000}"/>
    <cellStyle name="Normal 2 2 2 2 2 4 14" xfId="13028" xr:uid="{00000000-0005-0000-0000-0000E4320000}"/>
    <cellStyle name="Normal 2 2 2 2 2 4 15" xfId="13029" xr:uid="{00000000-0005-0000-0000-0000E5320000}"/>
    <cellStyle name="Normal 2 2 2 2 2 4 16" xfId="13030" xr:uid="{00000000-0005-0000-0000-0000E6320000}"/>
    <cellStyle name="Normal 2 2 2 2 2 4 2" xfId="13031" xr:uid="{00000000-0005-0000-0000-0000E7320000}"/>
    <cellStyle name="Normal 2 2 2 2 2 4 2 10" xfId="13032" xr:uid="{00000000-0005-0000-0000-0000E8320000}"/>
    <cellStyle name="Normal 2 2 2 2 2 4 2 2" xfId="13033" xr:uid="{00000000-0005-0000-0000-0000E9320000}"/>
    <cellStyle name="Normal 2 2 2 2 2 4 2 3" xfId="13034" xr:uid="{00000000-0005-0000-0000-0000EA320000}"/>
    <cellStyle name="Normal 2 2 2 2 2 4 2 4" xfId="13035" xr:uid="{00000000-0005-0000-0000-0000EB320000}"/>
    <cellStyle name="Normal 2 2 2 2 2 4 2 5" xfId="13036" xr:uid="{00000000-0005-0000-0000-0000EC320000}"/>
    <cellStyle name="Normal 2 2 2 2 2 4 2 6" xfId="13037" xr:uid="{00000000-0005-0000-0000-0000ED320000}"/>
    <cellStyle name="Normal 2 2 2 2 2 4 2 7" xfId="13038" xr:uid="{00000000-0005-0000-0000-0000EE320000}"/>
    <cellStyle name="Normal 2 2 2 2 2 4 2 8" xfId="13039" xr:uid="{00000000-0005-0000-0000-0000EF320000}"/>
    <cellStyle name="Normal 2 2 2 2 2 4 2 9" xfId="13040" xr:uid="{00000000-0005-0000-0000-0000F0320000}"/>
    <cellStyle name="Normal 2 2 2 2 2 4 3" xfId="13041" xr:uid="{00000000-0005-0000-0000-0000F1320000}"/>
    <cellStyle name="Normal 2 2 2 2 2 4 3 10" xfId="13042" xr:uid="{00000000-0005-0000-0000-0000F2320000}"/>
    <cellStyle name="Normal 2 2 2 2 2 4 3 2" xfId="13043" xr:uid="{00000000-0005-0000-0000-0000F3320000}"/>
    <cellStyle name="Normal 2 2 2 2 2 4 3 3" xfId="13044" xr:uid="{00000000-0005-0000-0000-0000F4320000}"/>
    <cellStyle name="Normal 2 2 2 2 2 4 3 4" xfId="13045" xr:uid="{00000000-0005-0000-0000-0000F5320000}"/>
    <cellStyle name="Normal 2 2 2 2 2 4 3 5" xfId="13046" xr:uid="{00000000-0005-0000-0000-0000F6320000}"/>
    <cellStyle name="Normal 2 2 2 2 2 4 3 6" xfId="13047" xr:uid="{00000000-0005-0000-0000-0000F7320000}"/>
    <cellStyle name="Normal 2 2 2 2 2 4 3 7" xfId="13048" xr:uid="{00000000-0005-0000-0000-0000F8320000}"/>
    <cellStyle name="Normal 2 2 2 2 2 4 3 8" xfId="13049" xr:uid="{00000000-0005-0000-0000-0000F9320000}"/>
    <cellStyle name="Normal 2 2 2 2 2 4 3 9" xfId="13050" xr:uid="{00000000-0005-0000-0000-0000FA320000}"/>
    <cellStyle name="Normal 2 2 2 2 2 4 4" xfId="13051" xr:uid="{00000000-0005-0000-0000-0000FB320000}"/>
    <cellStyle name="Normal 2 2 2 2 2 4 4 10" xfId="13052" xr:uid="{00000000-0005-0000-0000-0000FC320000}"/>
    <cellStyle name="Normal 2 2 2 2 2 4 4 2" xfId="13053" xr:uid="{00000000-0005-0000-0000-0000FD320000}"/>
    <cellStyle name="Normal 2 2 2 2 2 4 4 3" xfId="13054" xr:uid="{00000000-0005-0000-0000-0000FE320000}"/>
    <cellStyle name="Normal 2 2 2 2 2 4 4 4" xfId="13055" xr:uid="{00000000-0005-0000-0000-0000FF320000}"/>
    <cellStyle name="Normal 2 2 2 2 2 4 4 5" xfId="13056" xr:uid="{00000000-0005-0000-0000-000000330000}"/>
    <cellStyle name="Normal 2 2 2 2 2 4 4 6" xfId="13057" xr:uid="{00000000-0005-0000-0000-000001330000}"/>
    <cellStyle name="Normal 2 2 2 2 2 4 4 7" xfId="13058" xr:uid="{00000000-0005-0000-0000-000002330000}"/>
    <cellStyle name="Normal 2 2 2 2 2 4 4 8" xfId="13059" xr:uid="{00000000-0005-0000-0000-000003330000}"/>
    <cellStyle name="Normal 2 2 2 2 2 4 4 9" xfId="13060" xr:uid="{00000000-0005-0000-0000-000004330000}"/>
    <cellStyle name="Normal 2 2 2 2 2 4 5" xfId="13061" xr:uid="{00000000-0005-0000-0000-000005330000}"/>
    <cellStyle name="Normal 2 2 2 2 2 4 5 10" xfId="13062" xr:uid="{00000000-0005-0000-0000-000006330000}"/>
    <cellStyle name="Normal 2 2 2 2 2 4 5 2" xfId="13063" xr:uid="{00000000-0005-0000-0000-000007330000}"/>
    <cellStyle name="Normal 2 2 2 2 2 4 5 3" xfId="13064" xr:uid="{00000000-0005-0000-0000-000008330000}"/>
    <cellStyle name="Normal 2 2 2 2 2 4 5 4" xfId="13065" xr:uid="{00000000-0005-0000-0000-000009330000}"/>
    <cellStyle name="Normal 2 2 2 2 2 4 5 5" xfId="13066" xr:uid="{00000000-0005-0000-0000-00000A330000}"/>
    <cellStyle name="Normal 2 2 2 2 2 4 5 6" xfId="13067" xr:uid="{00000000-0005-0000-0000-00000B330000}"/>
    <cellStyle name="Normal 2 2 2 2 2 4 5 7" xfId="13068" xr:uid="{00000000-0005-0000-0000-00000C330000}"/>
    <cellStyle name="Normal 2 2 2 2 2 4 5 8" xfId="13069" xr:uid="{00000000-0005-0000-0000-00000D330000}"/>
    <cellStyle name="Normal 2 2 2 2 2 4 5 9" xfId="13070" xr:uid="{00000000-0005-0000-0000-00000E330000}"/>
    <cellStyle name="Normal 2 2 2 2 2 4 6" xfId="13071" xr:uid="{00000000-0005-0000-0000-00000F330000}"/>
    <cellStyle name="Normal 2 2 2 2 2 4 7" xfId="13072" xr:uid="{00000000-0005-0000-0000-000010330000}"/>
    <cellStyle name="Normal 2 2 2 2 2 4 8" xfId="13073" xr:uid="{00000000-0005-0000-0000-000011330000}"/>
    <cellStyle name="Normal 2 2 2 2 2 4 9" xfId="13074" xr:uid="{00000000-0005-0000-0000-000012330000}"/>
    <cellStyle name="Normal 2 2 2 2 2 40" xfId="13075" xr:uid="{00000000-0005-0000-0000-000013330000}"/>
    <cellStyle name="Normal 2 2 2 2 2 41" xfId="13076" xr:uid="{00000000-0005-0000-0000-000014330000}"/>
    <cellStyle name="Normal 2 2 2 2 2 42" xfId="13077" xr:uid="{00000000-0005-0000-0000-000015330000}"/>
    <cellStyle name="Normal 2 2 2 2 2 43" xfId="13078" xr:uid="{00000000-0005-0000-0000-000016330000}"/>
    <cellStyle name="Normal 2 2 2 2 2 44" xfId="13079" xr:uid="{00000000-0005-0000-0000-000017330000}"/>
    <cellStyle name="Normal 2 2 2 2 2 45" xfId="13080" xr:uid="{00000000-0005-0000-0000-000018330000}"/>
    <cellStyle name="Normal 2 2 2 2 2 46" xfId="13081" xr:uid="{00000000-0005-0000-0000-000019330000}"/>
    <cellStyle name="Normal 2 2 2 2 2 47" xfId="13082" xr:uid="{00000000-0005-0000-0000-00001A330000}"/>
    <cellStyle name="Normal 2 2 2 2 2 48" xfId="13083" xr:uid="{00000000-0005-0000-0000-00001B330000}"/>
    <cellStyle name="Normal 2 2 2 2 2 49" xfId="13084" xr:uid="{00000000-0005-0000-0000-00001C330000}"/>
    <cellStyle name="Normal 2 2 2 2 2 5" xfId="13085" xr:uid="{00000000-0005-0000-0000-00001D330000}"/>
    <cellStyle name="Normal 2 2 2 2 2 5 10" xfId="13086" xr:uid="{00000000-0005-0000-0000-00001E330000}"/>
    <cellStyle name="Normal 2 2 2 2 2 5 11" xfId="13087" xr:uid="{00000000-0005-0000-0000-00001F330000}"/>
    <cellStyle name="Normal 2 2 2 2 2 5 12" xfId="13088" xr:uid="{00000000-0005-0000-0000-000020330000}"/>
    <cellStyle name="Normal 2 2 2 2 2 5 13" xfId="13089" xr:uid="{00000000-0005-0000-0000-000021330000}"/>
    <cellStyle name="Normal 2 2 2 2 2 5 14" xfId="13090" xr:uid="{00000000-0005-0000-0000-000022330000}"/>
    <cellStyle name="Normal 2 2 2 2 2 5 2" xfId="13091" xr:uid="{00000000-0005-0000-0000-000023330000}"/>
    <cellStyle name="Normal 2 2 2 2 2 5 2 10" xfId="13092" xr:uid="{00000000-0005-0000-0000-000024330000}"/>
    <cellStyle name="Normal 2 2 2 2 2 5 2 2" xfId="13093" xr:uid="{00000000-0005-0000-0000-000025330000}"/>
    <cellStyle name="Normal 2 2 2 2 2 5 2 3" xfId="13094" xr:uid="{00000000-0005-0000-0000-000026330000}"/>
    <cellStyle name="Normal 2 2 2 2 2 5 2 4" xfId="13095" xr:uid="{00000000-0005-0000-0000-000027330000}"/>
    <cellStyle name="Normal 2 2 2 2 2 5 2 5" xfId="13096" xr:uid="{00000000-0005-0000-0000-000028330000}"/>
    <cellStyle name="Normal 2 2 2 2 2 5 2 6" xfId="13097" xr:uid="{00000000-0005-0000-0000-000029330000}"/>
    <cellStyle name="Normal 2 2 2 2 2 5 2 7" xfId="13098" xr:uid="{00000000-0005-0000-0000-00002A330000}"/>
    <cellStyle name="Normal 2 2 2 2 2 5 2 8" xfId="13099" xr:uid="{00000000-0005-0000-0000-00002B330000}"/>
    <cellStyle name="Normal 2 2 2 2 2 5 2 9" xfId="13100" xr:uid="{00000000-0005-0000-0000-00002C330000}"/>
    <cellStyle name="Normal 2 2 2 2 2 5 3" xfId="13101" xr:uid="{00000000-0005-0000-0000-00002D330000}"/>
    <cellStyle name="Normal 2 2 2 2 2 5 3 10" xfId="13102" xr:uid="{00000000-0005-0000-0000-00002E330000}"/>
    <cellStyle name="Normal 2 2 2 2 2 5 3 2" xfId="13103" xr:uid="{00000000-0005-0000-0000-00002F330000}"/>
    <cellStyle name="Normal 2 2 2 2 2 5 3 3" xfId="13104" xr:uid="{00000000-0005-0000-0000-000030330000}"/>
    <cellStyle name="Normal 2 2 2 2 2 5 3 4" xfId="13105" xr:uid="{00000000-0005-0000-0000-000031330000}"/>
    <cellStyle name="Normal 2 2 2 2 2 5 3 5" xfId="13106" xr:uid="{00000000-0005-0000-0000-000032330000}"/>
    <cellStyle name="Normal 2 2 2 2 2 5 3 6" xfId="13107" xr:uid="{00000000-0005-0000-0000-000033330000}"/>
    <cellStyle name="Normal 2 2 2 2 2 5 3 7" xfId="13108" xr:uid="{00000000-0005-0000-0000-000034330000}"/>
    <cellStyle name="Normal 2 2 2 2 2 5 3 8" xfId="13109" xr:uid="{00000000-0005-0000-0000-000035330000}"/>
    <cellStyle name="Normal 2 2 2 2 2 5 3 9" xfId="13110" xr:uid="{00000000-0005-0000-0000-000036330000}"/>
    <cellStyle name="Normal 2 2 2 2 2 5 4" xfId="13111" xr:uid="{00000000-0005-0000-0000-000037330000}"/>
    <cellStyle name="Normal 2 2 2 2 2 5 4 10" xfId="13112" xr:uid="{00000000-0005-0000-0000-000038330000}"/>
    <cellStyle name="Normal 2 2 2 2 2 5 4 2" xfId="13113" xr:uid="{00000000-0005-0000-0000-000039330000}"/>
    <cellStyle name="Normal 2 2 2 2 2 5 4 3" xfId="13114" xr:uid="{00000000-0005-0000-0000-00003A330000}"/>
    <cellStyle name="Normal 2 2 2 2 2 5 4 4" xfId="13115" xr:uid="{00000000-0005-0000-0000-00003B330000}"/>
    <cellStyle name="Normal 2 2 2 2 2 5 4 5" xfId="13116" xr:uid="{00000000-0005-0000-0000-00003C330000}"/>
    <cellStyle name="Normal 2 2 2 2 2 5 4 6" xfId="13117" xr:uid="{00000000-0005-0000-0000-00003D330000}"/>
    <cellStyle name="Normal 2 2 2 2 2 5 4 7" xfId="13118" xr:uid="{00000000-0005-0000-0000-00003E330000}"/>
    <cellStyle name="Normal 2 2 2 2 2 5 4 8" xfId="13119" xr:uid="{00000000-0005-0000-0000-00003F330000}"/>
    <cellStyle name="Normal 2 2 2 2 2 5 4 9" xfId="13120" xr:uid="{00000000-0005-0000-0000-000040330000}"/>
    <cellStyle name="Normal 2 2 2 2 2 5 5" xfId="13121" xr:uid="{00000000-0005-0000-0000-000041330000}"/>
    <cellStyle name="Normal 2 2 2 2 2 5 5 10" xfId="13122" xr:uid="{00000000-0005-0000-0000-000042330000}"/>
    <cellStyle name="Normal 2 2 2 2 2 5 5 2" xfId="13123" xr:uid="{00000000-0005-0000-0000-000043330000}"/>
    <cellStyle name="Normal 2 2 2 2 2 5 5 3" xfId="13124" xr:uid="{00000000-0005-0000-0000-000044330000}"/>
    <cellStyle name="Normal 2 2 2 2 2 5 5 4" xfId="13125" xr:uid="{00000000-0005-0000-0000-000045330000}"/>
    <cellStyle name="Normal 2 2 2 2 2 5 5 5" xfId="13126" xr:uid="{00000000-0005-0000-0000-000046330000}"/>
    <cellStyle name="Normal 2 2 2 2 2 5 5 6" xfId="13127" xr:uid="{00000000-0005-0000-0000-000047330000}"/>
    <cellStyle name="Normal 2 2 2 2 2 5 5 7" xfId="13128" xr:uid="{00000000-0005-0000-0000-000048330000}"/>
    <cellStyle name="Normal 2 2 2 2 2 5 5 8" xfId="13129" xr:uid="{00000000-0005-0000-0000-000049330000}"/>
    <cellStyle name="Normal 2 2 2 2 2 5 5 9" xfId="13130" xr:uid="{00000000-0005-0000-0000-00004A330000}"/>
    <cellStyle name="Normal 2 2 2 2 2 5 6" xfId="13131" xr:uid="{00000000-0005-0000-0000-00004B330000}"/>
    <cellStyle name="Normal 2 2 2 2 2 5 7" xfId="13132" xr:uid="{00000000-0005-0000-0000-00004C330000}"/>
    <cellStyle name="Normal 2 2 2 2 2 5 8" xfId="13133" xr:uid="{00000000-0005-0000-0000-00004D330000}"/>
    <cellStyle name="Normal 2 2 2 2 2 5 9" xfId="13134" xr:uid="{00000000-0005-0000-0000-00004E330000}"/>
    <cellStyle name="Normal 2 2 2 2 2 6" xfId="13135" xr:uid="{00000000-0005-0000-0000-00004F330000}"/>
    <cellStyle name="Normal 2 2 2 2 2 6 10" xfId="13136" xr:uid="{00000000-0005-0000-0000-000050330000}"/>
    <cellStyle name="Normal 2 2 2 2 2 6 11" xfId="13137" xr:uid="{00000000-0005-0000-0000-000051330000}"/>
    <cellStyle name="Normal 2 2 2 2 2 6 12" xfId="13138" xr:uid="{00000000-0005-0000-0000-000052330000}"/>
    <cellStyle name="Normal 2 2 2 2 2 6 13" xfId="13139" xr:uid="{00000000-0005-0000-0000-000053330000}"/>
    <cellStyle name="Normal 2 2 2 2 2 6 14" xfId="13140" xr:uid="{00000000-0005-0000-0000-000054330000}"/>
    <cellStyle name="Normal 2 2 2 2 2 6 2" xfId="13141" xr:uid="{00000000-0005-0000-0000-000055330000}"/>
    <cellStyle name="Normal 2 2 2 2 2 6 2 10" xfId="13142" xr:uid="{00000000-0005-0000-0000-000056330000}"/>
    <cellStyle name="Normal 2 2 2 2 2 6 2 2" xfId="13143" xr:uid="{00000000-0005-0000-0000-000057330000}"/>
    <cellStyle name="Normal 2 2 2 2 2 6 2 3" xfId="13144" xr:uid="{00000000-0005-0000-0000-000058330000}"/>
    <cellStyle name="Normal 2 2 2 2 2 6 2 4" xfId="13145" xr:uid="{00000000-0005-0000-0000-000059330000}"/>
    <cellStyle name="Normal 2 2 2 2 2 6 2 5" xfId="13146" xr:uid="{00000000-0005-0000-0000-00005A330000}"/>
    <cellStyle name="Normal 2 2 2 2 2 6 2 6" xfId="13147" xr:uid="{00000000-0005-0000-0000-00005B330000}"/>
    <cellStyle name="Normal 2 2 2 2 2 6 2 7" xfId="13148" xr:uid="{00000000-0005-0000-0000-00005C330000}"/>
    <cellStyle name="Normal 2 2 2 2 2 6 2 8" xfId="13149" xr:uid="{00000000-0005-0000-0000-00005D330000}"/>
    <cellStyle name="Normal 2 2 2 2 2 6 2 9" xfId="13150" xr:uid="{00000000-0005-0000-0000-00005E330000}"/>
    <cellStyle name="Normal 2 2 2 2 2 6 3" xfId="13151" xr:uid="{00000000-0005-0000-0000-00005F330000}"/>
    <cellStyle name="Normal 2 2 2 2 2 6 3 10" xfId="13152" xr:uid="{00000000-0005-0000-0000-000060330000}"/>
    <cellStyle name="Normal 2 2 2 2 2 6 3 2" xfId="13153" xr:uid="{00000000-0005-0000-0000-000061330000}"/>
    <cellStyle name="Normal 2 2 2 2 2 6 3 3" xfId="13154" xr:uid="{00000000-0005-0000-0000-000062330000}"/>
    <cellStyle name="Normal 2 2 2 2 2 6 3 4" xfId="13155" xr:uid="{00000000-0005-0000-0000-000063330000}"/>
    <cellStyle name="Normal 2 2 2 2 2 6 3 5" xfId="13156" xr:uid="{00000000-0005-0000-0000-000064330000}"/>
    <cellStyle name="Normal 2 2 2 2 2 6 3 6" xfId="13157" xr:uid="{00000000-0005-0000-0000-000065330000}"/>
    <cellStyle name="Normal 2 2 2 2 2 6 3 7" xfId="13158" xr:uid="{00000000-0005-0000-0000-000066330000}"/>
    <cellStyle name="Normal 2 2 2 2 2 6 3 8" xfId="13159" xr:uid="{00000000-0005-0000-0000-000067330000}"/>
    <cellStyle name="Normal 2 2 2 2 2 6 3 9" xfId="13160" xr:uid="{00000000-0005-0000-0000-000068330000}"/>
    <cellStyle name="Normal 2 2 2 2 2 6 4" xfId="13161" xr:uid="{00000000-0005-0000-0000-000069330000}"/>
    <cellStyle name="Normal 2 2 2 2 2 6 4 10" xfId="13162" xr:uid="{00000000-0005-0000-0000-00006A330000}"/>
    <cellStyle name="Normal 2 2 2 2 2 6 4 2" xfId="13163" xr:uid="{00000000-0005-0000-0000-00006B330000}"/>
    <cellStyle name="Normal 2 2 2 2 2 6 4 3" xfId="13164" xr:uid="{00000000-0005-0000-0000-00006C330000}"/>
    <cellStyle name="Normal 2 2 2 2 2 6 4 4" xfId="13165" xr:uid="{00000000-0005-0000-0000-00006D330000}"/>
    <cellStyle name="Normal 2 2 2 2 2 6 4 5" xfId="13166" xr:uid="{00000000-0005-0000-0000-00006E330000}"/>
    <cellStyle name="Normal 2 2 2 2 2 6 4 6" xfId="13167" xr:uid="{00000000-0005-0000-0000-00006F330000}"/>
    <cellStyle name="Normal 2 2 2 2 2 6 4 7" xfId="13168" xr:uid="{00000000-0005-0000-0000-000070330000}"/>
    <cellStyle name="Normal 2 2 2 2 2 6 4 8" xfId="13169" xr:uid="{00000000-0005-0000-0000-000071330000}"/>
    <cellStyle name="Normal 2 2 2 2 2 6 4 9" xfId="13170" xr:uid="{00000000-0005-0000-0000-000072330000}"/>
    <cellStyle name="Normal 2 2 2 2 2 6 5" xfId="13171" xr:uid="{00000000-0005-0000-0000-000073330000}"/>
    <cellStyle name="Normal 2 2 2 2 2 6 5 10" xfId="13172" xr:uid="{00000000-0005-0000-0000-000074330000}"/>
    <cellStyle name="Normal 2 2 2 2 2 6 5 2" xfId="13173" xr:uid="{00000000-0005-0000-0000-000075330000}"/>
    <cellStyle name="Normal 2 2 2 2 2 6 5 3" xfId="13174" xr:uid="{00000000-0005-0000-0000-000076330000}"/>
    <cellStyle name="Normal 2 2 2 2 2 6 5 4" xfId="13175" xr:uid="{00000000-0005-0000-0000-000077330000}"/>
    <cellStyle name="Normal 2 2 2 2 2 6 5 5" xfId="13176" xr:uid="{00000000-0005-0000-0000-000078330000}"/>
    <cellStyle name="Normal 2 2 2 2 2 6 5 6" xfId="13177" xr:uid="{00000000-0005-0000-0000-000079330000}"/>
    <cellStyle name="Normal 2 2 2 2 2 6 5 7" xfId="13178" xr:uid="{00000000-0005-0000-0000-00007A330000}"/>
    <cellStyle name="Normal 2 2 2 2 2 6 5 8" xfId="13179" xr:uid="{00000000-0005-0000-0000-00007B330000}"/>
    <cellStyle name="Normal 2 2 2 2 2 6 5 9" xfId="13180" xr:uid="{00000000-0005-0000-0000-00007C330000}"/>
    <cellStyle name="Normal 2 2 2 2 2 6 6" xfId="13181" xr:uid="{00000000-0005-0000-0000-00007D330000}"/>
    <cellStyle name="Normal 2 2 2 2 2 6 7" xfId="13182" xr:uid="{00000000-0005-0000-0000-00007E330000}"/>
    <cellStyle name="Normal 2 2 2 2 2 6 8" xfId="13183" xr:uid="{00000000-0005-0000-0000-00007F330000}"/>
    <cellStyle name="Normal 2 2 2 2 2 6 9" xfId="13184" xr:uid="{00000000-0005-0000-0000-000080330000}"/>
    <cellStyle name="Normal 2 2 2 2 2 7" xfId="13185" xr:uid="{00000000-0005-0000-0000-000081330000}"/>
    <cellStyle name="Normal 2 2 2 2 2 7 10" xfId="13186" xr:uid="{00000000-0005-0000-0000-000082330000}"/>
    <cellStyle name="Normal 2 2 2 2 2 7 11" xfId="13187" xr:uid="{00000000-0005-0000-0000-000083330000}"/>
    <cellStyle name="Normal 2 2 2 2 2 7 12" xfId="13188" xr:uid="{00000000-0005-0000-0000-000084330000}"/>
    <cellStyle name="Normal 2 2 2 2 2 7 13" xfId="13189" xr:uid="{00000000-0005-0000-0000-000085330000}"/>
    <cellStyle name="Normal 2 2 2 2 2 7 14" xfId="13190" xr:uid="{00000000-0005-0000-0000-000086330000}"/>
    <cellStyle name="Normal 2 2 2 2 2 7 2" xfId="13191" xr:uid="{00000000-0005-0000-0000-000087330000}"/>
    <cellStyle name="Normal 2 2 2 2 2 7 2 10" xfId="13192" xr:uid="{00000000-0005-0000-0000-000088330000}"/>
    <cellStyle name="Normal 2 2 2 2 2 7 2 2" xfId="13193" xr:uid="{00000000-0005-0000-0000-000089330000}"/>
    <cellStyle name="Normal 2 2 2 2 2 7 2 3" xfId="13194" xr:uid="{00000000-0005-0000-0000-00008A330000}"/>
    <cellStyle name="Normal 2 2 2 2 2 7 2 4" xfId="13195" xr:uid="{00000000-0005-0000-0000-00008B330000}"/>
    <cellStyle name="Normal 2 2 2 2 2 7 2 5" xfId="13196" xr:uid="{00000000-0005-0000-0000-00008C330000}"/>
    <cellStyle name="Normal 2 2 2 2 2 7 2 6" xfId="13197" xr:uid="{00000000-0005-0000-0000-00008D330000}"/>
    <cellStyle name="Normal 2 2 2 2 2 7 2 7" xfId="13198" xr:uid="{00000000-0005-0000-0000-00008E330000}"/>
    <cellStyle name="Normal 2 2 2 2 2 7 2 8" xfId="13199" xr:uid="{00000000-0005-0000-0000-00008F330000}"/>
    <cellStyle name="Normal 2 2 2 2 2 7 2 9" xfId="13200" xr:uid="{00000000-0005-0000-0000-000090330000}"/>
    <cellStyle name="Normal 2 2 2 2 2 7 3" xfId="13201" xr:uid="{00000000-0005-0000-0000-000091330000}"/>
    <cellStyle name="Normal 2 2 2 2 2 7 3 10" xfId="13202" xr:uid="{00000000-0005-0000-0000-000092330000}"/>
    <cellStyle name="Normal 2 2 2 2 2 7 3 2" xfId="13203" xr:uid="{00000000-0005-0000-0000-000093330000}"/>
    <cellStyle name="Normal 2 2 2 2 2 7 3 3" xfId="13204" xr:uid="{00000000-0005-0000-0000-000094330000}"/>
    <cellStyle name="Normal 2 2 2 2 2 7 3 4" xfId="13205" xr:uid="{00000000-0005-0000-0000-000095330000}"/>
    <cellStyle name="Normal 2 2 2 2 2 7 3 5" xfId="13206" xr:uid="{00000000-0005-0000-0000-000096330000}"/>
    <cellStyle name="Normal 2 2 2 2 2 7 3 6" xfId="13207" xr:uid="{00000000-0005-0000-0000-000097330000}"/>
    <cellStyle name="Normal 2 2 2 2 2 7 3 7" xfId="13208" xr:uid="{00000000-0005-0000-0000-000098330000}"/>
    <cellStyle name="Normal 2 2 2 2 2 7 3 8" xfId="13209" xr:uid="{00000000-0005-0000-0000-000099330000}"/>
    <cellStyle name="Normal 2 2 2 2 2 7 3 9" xfId="13210" xr:uid="{00000000-0005-0000-0000-00009A330000}"/>
    <cellStyle name="Normal 2 2 2 2 2 7 4" xfId="13211" xr:uid="{00000000-0005-0000-0000-00009B330000}"/>
    <cellStyle name="Normal 2 2 2 2 2 7 4 10" xfId="13212" xr:uid="{00000000-0005-0000-0000-00009C330000}"/>
    <cellStyle name="Normal 2 2 2 2 2 7 4 2" xfId="13213" xr:uid="{00000000-0005-0000-0000-00009D330000}"/>
    <cellStyle name="Normal 2 2 2 2 2 7 4 3" xfId="13214" xr:uid="{00000000-0005-0000-0000-00009E330000}"/>
    <cellStyle name="Normal 2 2 2 2 2 7 4 4" xfId="13215" xr:uid="{00000000-0005-0000-0000-00009F330000}"/>
    <cellStyle name="Normal 2 2 2 2 2 7 4 5" xfId="13216" xr:uid="{00000000-0005-0000-0000-0000A0330000}"/>
    <cellStyle name="Normal 2 2 2 2 2 7 4 6" xfId="13217" xr:uid="{00000000-0005-0000-0000-0000A1330000}"/>
    <cellStyle name="Normal 2 2 2 2 2 7 4 7" xfId="13218" xr:uid="{00000000-0005-0000-0000-0000A2330000}"/>
    <cellStyle name="Normal 2 2 2 2 2 7 4 8" xfId="13219" xr:uid="{00000000-0005-0000-0000-0000A3330000}"/>
    <cellStyle name="Normal 2 2 2 2 2 7 4 9" xfId="13220" xr:uid="{00000000-0005-0000-0000-0000A4330000}"/>
    <cellStyle name="Normal 2 2 2 2 2 7 5" xfId="13221" xr:uid="{00000000-0005-0000-0000-0000A5330000}"/>
    <cellStyle name="Normal 2 2 2 2 2 7 5 10" xfId="13222" xr:uid="{00000000-0005-0000-0000-0000A6330000}"/>
    <cellStyle name="Normal 2 2 2 2 2 7 5 2" xfId="13223" xr:uid="{00000000-0005-0000-0000-0000A7330000}"/>
    <cellStyle name="Normal 2 2 2 2 2 7 5 3" xfId="13224" xr:uid="{00000000-0005-0000-0000-0000A8330000}"/>
    <cellStyle name="Normal 2 2 2 2 2 7 5 4" xfId="13225" xr:uid="{00000000-0005-0000-0000-0000A9330000}"/>
    <cellStyle name="Normal 2 2 2 2 2 7 5 5" xfId="13226" xr:uid="{00000000-0005-0000-0000-0000AA330000}"/>
    <cellStyle name="Normal 2 2 2 2 2 7 5 6" xfId="13227" xr:uid="{00000000-0005-0000-0000-0000AB330000}"/>
    <cellStyle name="Normal 2 2 2 2 2 7 5 7" xfId="13228" xr:uid="{00000000-0005-0000-0000-0000AC330000}"/>
    <cellStyle name="Normal 2 2 2 2 2 7 5 8" xfId="13229" xr:uid="{00000000-0005-0000-0000-0000AD330000}"/>
    <cellStyle name="Normal 2 2 2 2 2 7 5 9" xfId="13230" xr:uid="{00000000-0005-0000-0000-0000AE330000}"/>
    <cellStyle name="Normal 2 2 2 2 2 7 6" xfId="13231" xr:uid="{00000000-0005-0000-0000-0000AF330000}"/>
    <cellStyle name="Normal 2 2 2 2 2 7 7" xfId="13232" xr:uid="{00000000-0005-0000-0000-0000B0330000}"/>
    <cellStyle name="Normal 2 2 2 2 2 7 8" xfId="13233" xr:uid="{00000000-0005-0000-0000-0000B1330000}"/>
    <cellStyle name="Normal 2 2 2 2 2 7 9" xfId="13234" xr:uid="{00000000-0005-0000-0000-0000B2330000}"/>
    <cellStyle name="Normal 2 2 2 2 2 8" xfId="13235" xr:uid="{00000000-0005-0000-0000-0000B3330000}"/>
    <cellStyle name="Normal 2 2 2 2 2 8 10" xfId="13236" xr:uid="{00000000-0005-0000-0000-0000B4330000}"/>
    <cellStyle name="Normal 2 2 2 2 2 8 11" xfId="13237" xr:uid="{00000000-0005-0000-0000-0000B5330000}"/>
    <cellStyle name="Normal 2 2 2 2 2 8 12" xfId="13238" xr:uid="{00000000-0005-0000-0000-0000B6330000}"/>
    <cellStyle name="Normal 2 2 2 2 2 8 13" xfId="13239" xr:uid="{00000000-0005-0000-0000-0000B7330000}"/>
    <cellStyle name="Normal 2 2 2 2 2 8 14" xfId="13240" xr:uid="{00000000-0005-0000-0000-0000B8330000}"/>
    <cellStyle name="Normal 2 2 2 2 2 8 2" xfId="13241" xr:uid="{00000000-0005-0000-0000-0000B9330000}"/>
    <cellStyle name="Normal 2 2 2 2 2 8 2 10" xfId="13242" xr:uid="{00000000-0005-0000-0000-0000BA330000}"/>
    <cellStyle name="Normal 2 2 2 2 2 8 2 2" xfId="13243" xr:uid="{00000000-0005-0000-0000-0000BB330000}"/>
    <cellStyle name="Normal 2 2 2 2 2 8 2 3" xfId="13244" xr:uid="{00000000-0005-0000-0000-0000BC330000}"/>
    <cellStyle name="Normal 2 2 2 2 2 8 2 4" xfId="13245" xr:uid="{00000000-0005-0000-0000-0000BD330000}"/>
    <cellStyle name="Normal 2 2 2 2 2 8 2 5" xfId="13246" xr:uid="{00000000-0005-0000-0000-0000BE330000}"/>
    <cellStyle name="Normal 2 2 2 2 2 8 2 6" xfId="13247" xr:uid="{00000000-0005-0000-0000-0000BF330000}"/>
    <cellStyle name="Normal 2 2 2 2 2 8 2 7" xfId="13248" xr:uid="{00000000-0005-0000-0000-0000C0330000}"/>
    <cellStyle name="Normal 2 2 2 2 2 8 2 8" xfId="13249" xr:uid="{00000000-0005-0000-0000-0000C1330000}"/>
    <cellStyle name="Normal 2 2 2 2 2 8 2 9" xfId="13250" xr:uid="{00000000-0005-0000-0000-0000C2330000}"/>
    <cellStyle name="Normal 2 2 2 2 2 8 3" xfId="13251" xr:uid="{00000000-0005-0000-0000-0000C3330000}"/>
    <cellStyle name="Normal 2 2 2 2 2 8 3 10" xfId="13252" xr:uid="{00000000-0005-0000-0000-0000C4330000}"/>
    <cellStyle name="Normal 2 2 2 2 2 8 3 2" xfId="13253" xr:uid="{00000000-0005-0000-0000-0000C5330000}"/>
    <cellStyle name="Normal 2 2 2 2 2 8 3 3" xfId="13254" xr:uid="{00000000-0005-0000-0000-0000C6330000}"/>
    <cellStyle name="Normal 2 2 2 2 2 8 3 4" xfId="13255" xr:uid="{00000000-0005-0000-0000-0000C7330000}"/>
    <cellStyle name="Normal 2 2 2 2 2 8 3 5" xfId="13256" xr:uid="{00000000-0005-0000-0000-0000C8330000}"/>
    <cellStyle name="Normal 2 2 2 2 2 8 3 6" xfId="13257" xr:uid="{00000000-0005-0000-0000-0000C9330000}"/>
    <cellStyle name="Normal 2 2 2 2 2 8 3 7" xfId="13258" xr:uid="{00000000-0005-0000-0000-0000CA330000}"/>
    <cellStyle name="Normal 2 2 2 2 2 8 3 8" xfId="13259" xr:uid="{00000000-0005-0000-0000-0000CB330000}"/>
    <cellStyle name="Normal 2 2 2 2 2 8 3 9" xfId="13260" xr:uid="{00000000-0005-0000-0000-0000CC330000}"/>
    <cellStyle name="Normal 2 2 2 2 2 8 4" xfId="13261" xr:uid="{00000000-0005-0000-0000-0000CD330000}"/>
    <cellStyle name="Normal 2 2 2 2 2 8 4 10" xfId="13262" xr:uid="{00000000-0005-0000-0000-0000CE330000}"/>
    <cellStyle name="Normal 2 2 2 2 2 8 4 2" xfId="13263" xr:uid="{00000000-0005-0000-0000-0000CF330000}"/>
    <cellStyle name="Normal 2 2 2 2 2 8 4 3" xfId="13264" xr:uid="{00000000-0005-0000-0000-0000D0330000}"/>
    <cellStyle name="Normal 2 2 2 2 2 8 4 4" xfId="13265" xr:uid="{00000000-0005-0000-0000-0000D1330000}"/>
    <cellStyle name="Normal 2 2 2 2 2 8 4 5" xfId="13266" xr:uid="{00000000-0005-0000-0000-0000D2330000}"/>
    <cellStyle name="Normal 2 2 2 2 2 8 4 6" xfId="13267" xr:uid="{00000000-0005-0000-0000-0000D3330000}"/>
    <cellStyle name="Normal 2 2 2 2 2 8 4 7" xfId="13268" xr:uid="{00000000-0005-0000-0000-0000D4330000}"/>
    <cellStyle name="Normal 2 2 2 2 2 8 4 8" xfId="13269" xr:uid="{00000000-0005-0000-0000-0000D5330000}"/>
    <cellStyle name="Normal 2 2 2 2 2 8 4 9" xfId="13270" xr:uid="{00000000-0005-0000-0000-0000D6330000}"/>
    <cellStyle name="Normal 2 2 2 2 2 8 5" xfId="13271" xr:uid="{00000000-0005-0000-0000-0000D7330000}"/>
    <cellStyle name="Normal 2 2 2 2 2 8 5 10" xfId="13272" xr:uid="{00000000-0005-0000-0000-0000D8330000}"/>
    <cellStyle name="Normal 2 2 2 2 2 8 5 2" xfId="13273" xr:uid="{00000000-0005-0000-0000-0000D9330000}"/>
    <cellStyle name="Normal 2 2 2 2 2 8 5 3" xfId="13274" xr:uid="{00000000-0005-0000-0000-0000DA330000}"/>
    <cellStyle name="Normal 2 2 2 2 2 8 5 4" xfId="13275" xr:uid="{00000000-0005-0000-0000-0000DB330000}"/>
    <cellStyle name="Normal 2 2 2 2 2 8 5 5" xfId="13276" xr:uid="{00000000-0005-0000-0000-0000DC330000}"/>
    <cellStyle name="Normal 2 2 2 2 2 8 5 6" xfId="13277" xr:uid="{00000000-0005-0000-0000-0000DD330000}"/>
    <cellStyle name="Normal 2 2 2 2 2 8 5 7" xfId="13278" xr:uid="{00000000-0005-0000-0000-0000DE330000}"/>
    <cellStyle name="Normal 2 2 2 2 2 8 5 8" xfId="13279" xr:uid="{00000000-0005-0000-0000-0000DF330000}"/>
    <cellStyle name="Normal 2 2 2 2 2 8 5 9" xfId="13280" xr:uid="{00000000-0005-0000-0000-0000E0330000}"/>
    <cellStyle name="Normal 2 2 2 2 2 8 6" xfId="13281" xr:uid="{00000000-0005-0000-0000-0000E1330000}"/>
    <cellStyle name="Normal 2 2 2 2 2 8 7" xfId="13282" xr:uid="{00000000-0005-0000-0000-0000E2330000}"/>
    <cellStyle name="Normal 2 2 2 2 2 8 8" xfId="13283" xr:uid="{00000000-0005-0000-0000-0000E3330000}"/>
    <cellStyle name="Normal 2 2 2 2 2 8 9" xfId="13284" xr:uid="{00000000-0005-0000-0000-0000E4330000}"/>
    <cellStyle name="Normal 2 2 2 2 2 9" xfId="13285" xr:uid="{00000000-0005-0000-0000-0000E5330000}"/>
    <cellStyle name="Normal 2 2 2 2 2 9 10" xfId="13286" xr:uid="{00000000-0005-0000-0000-0000E6330000}"/>
    <cellStyle name="Normal 2 2 2 2 2 9 11" xfId="13287" xr:uid="{00000000-0005-0000-0000-0000E7330000}"/>
    <cellStyle name="Normal 2 2 2 2 2 9 12" xfId="13288" xr:uid="{00000000-0005-0000-0000-0000E8330000}"/>
    <cellStyle name="Normal 2 2 2 2 2 9 13" xfId="13289" xr:uid="{00000000-0005-0000-0000-0000E9330000}"/>
    <cellStyle name="Normal 2 2 2 2 2 9 14" xfId="13290" xr:uid="{00000000-0005-0000-0000-0000EA330000}"/>
    <cellStyle name="Normal 2 2 2 2 2 9 2" xfId="13291" xr:uid="{00000000-0005-0000-0000-0000EB330000}"/>
    <cellStyle name="Normal 2 2 2 2 2 9 2 10" xfId="13292" xr:uid="{00000000-0005-0000-0000-0000EC330000}"/>
    <cellStyle name="Normal 2 2 2 2 2 9 2 2" xfId="13293" xr:uid="{00000000-0005-0000-0000-0000ED330000}"/>
    <cellStyle name="Normal 2 2 2 2 2 9 2 3" xfId="13294" xr:uid="{00000000-0005-0000-0000-0000EE330000}"/>
    <cellStyle name="Normal 2 2 2 2 2 9 2 4" xfId="13295" xr:uid="{00000000-0005-0000-0000-0000EF330000}"/>
    <cellStyle name="Normal 2 2 2 2 2 9 2 5" xfId="13296" xr:uid="{00000000-0005-0000-0000-0000F0330000}"/>
    <cellStyle name="Normal 2 2 2 2 2 9 2 6" xfId="13297" xr:uid="{00000000-0005-0000-0000-0000F1330000}"/>
    <cellStyle name="Normal 2 2 2 2 2 9 2 7" xfId="13298" xr:uid="{00000000-0005-0000-0000-0000F2330000}"/>
    <cellStyle name="Normal 2 2 2 2 2 9 2 8" xfId="13299" xr:uid="{00000000-0005-0000-0000-0000F3330000}"/>
    <cellStyle name="Normal 2 2 2 2 2 9 2 9" xfId="13300" xr:uid="{00000000-0005-0000-0000-0000F4330000}"/>
    <cellStyle name="Normal 2 2 2 2 2 9 3" xfId="13301" xr:uid="{00000000-0005-0000-0000-0000F5330000}"/>
    <cellStyle name="Normal 2 2 2 2 2 9 3 10" xfId="13302" xr:uid="{00000000-0005-0000-0000-0000F6330000}"/>
    <cellStyle name="Normal 2 2 2 2 2 9 3 2" xfId="13303" xr:uid="{00000000-0005-0000-0000-0000F7330000}"/>
    <cellStyle name="Normal 2 2 2 2 2 9 3 3" xfId="13304" xr:uid="{00000000-0005-0000-0000-0000F8330000}"/>
    <cellStyle name="Normal 2 2 2 2 2 9 3 4" xfId="13305" xr:uid="{00000000-0005-0000-0000-0000F9330000}"/>
    <cellStyle name="Normal 2 2 2 2 2 9 3 5" xfId="13306" xr:uid="{00000000-0005-0000-0000-0000FA330000}"/>
    <cellStyle name="Normal 2 2 2 2 2 9 3 6" xfId="13307" xr:uid="{00000000-0005-0000-0000-0000FB330000}"/>
    <cellStyle name="Normal 2 2 2 2 2 9 3 7" xfId="13308" xr:uid="{00000000-0005-0000-0000-0000FC330000}"/>
    <cellStyle name="Normal 2 2 2 2 2 9 3 8" xfId="13309" xr:uid="{00000000-0005-0000-0000-0000FD330000}"/>
    <cellStyle name="Normal 2 2 2 2 2 9 3 9" xfId="13310" xr:uid="{00000000-0005-0000-0000-0000FE330000}"/>
    <cellStyle name="Normal 2 2 2 2 2 9 4" xfId="13311" xr:uid="{00000000-0005-0000-0000-0000FF330000}"/>
    <cellStyle name="Normal 2 2 2 2 2 9 4 10" xfId="13312" xr:uid="{00000000-0005-0000-0000-000000340000}"/>
    <cellStyle name="Normal 2 2 2 2 2 9 4 2" xfId="13313" xr:uid="{00000000-0005-0000-0000-000001340000}"/>
    <cellStyle name="Normal 2 2 2 2 2 9 4 3" xfId="13314" xr:uid="{00000000-0005-0000-0000-000002340000}"/>
    <cellStyle name="Normal 2 2 2 2 2 9 4 4" xfId="13315" xr:uid="{00000000-0005-0000-0000-000003340000}"/>
    <cellStyle name="Normal 2 2 2 2 2 9 4 5" xfId="13316" xr:uid="{00000000-0005-0000-0000-000004340000}"/>
    <cellStyle name="Normal 2 2 2 2 2 9 4 6" xfId="13317" xr:uid="{00000000-0005-0000-0000-000005340000}"/>
    <cellStyle name="Normal 2 2 2 2 2 9 4 7" xfId="13318" xr:uid="{00000000-0005-0000-0000-000006340000}"/>
    <cellStyle name="Normal 2 2 2 2 2 9 4 8" xfId="13319" xr:uid="{00000000-0005-0000-0000-000007340000}"/>
    <cellStyle name="Normal 2 2 2 2 2 9 4 9" xfId="13320" xr:uid="{00000000-0005-0000-0000-000008340000}"/>
    <cellStyle name="Normal 2 2 2 2 2 9 5" xfId="13321" xr:uid="{00000000-0005-0000-0000-000009340000}"/>
    <cellStyle name="Normal 2 2 2 2 2 9 5 10" xfId="13322" xr:uid="{00000000-0005-0000-0000-00000A340000}"/>
    <cellStyle name="Normal 2 2 2 2 2 9 5 2" xfId="13323" xr:uid="{00000000-0005-0000-0000-00000B340000}"/>
    <cellStyle name="Normal 2 2 2 2 2 9 5 3" xfId="13324" xr:uid="{00000000-0005-0000-0000-00000C340000}"/>
    <cellStyle name="Normal 2 2 2 2 2 9 5 4" xfId="13325" xr:uid="{00000000-0005-0000-0000-00000D340000}"/>
    <cellStyle name="Normal 2 2 2 2 2 9 5 5" xfId="13326" xr:uid="{00000000-0005-0000-0000-00000E340000}"/>
    <cellStyle name="Normal 2 2 2 2 2 9 5 6" xfId="13327" xr:uid="{00000000-0005-0000-0000-00000F340000}"/>
    <cellStyle name="Normal 2 2 2 2 2 9 5 7" xfId="13328" xr:uid="{00000000-0005-0000-0000-000010340000}"/>
    <cellStyle name="Normal 2 2 2 2 2 9 5 8" xfId="13329" xr:uid="{00000000-0005-0000-0000-000011340000}"/>
    <cellStyle name="Normal 2 2 2 2 2 9 5 9" xfId="13330" xr:uid="{00000000-0005-0000-0000-000012340000}"/>
    <cellStyle name="Normal 2 2 2 2 2 9 6" xfId="13331" xr:uid="{00000000-0005-0000-0000-000013340000}"/>
    <cellStyle name="Normal 2 2 2 2 2 9 7" xfId="13332" xr:uid="{00000000-0005-0000-0000-000014340000}"/>
    <cellStyle name="Normal 2 2 2 2 2 9 8" xfId="13333" xr:uid="{00000000-0005-0000-0000-000015340000}"/>
    <cellStyle name="Normal 2 2 2 2 2 9 9" xfId="13334" xr:uid="{00000000-0005-0000-0000-000016340000}"/>
    <cellStyle name="Normal 2 2 2 2 20" xfId="13335" xr:uid="{00000000-0005-0000-0000-000017340000}"/>
    <cellStyle name="Normal 2 2 2 2 21" xfId="13336" xr:uid="{00000000-0005-0000-0000-000018340000}"/>
    <cellStyle name="Normal 2 2 2 2 22" xfId="13337" xr:uid="{00000000-0005-0000-0000-000019340000}"/>
    <cellStyle name="Normal 2 2 2 2 23" xfId="13338" xr:uid="{00000000-0005-0000-0000-00001A340000}"/>
    <cellStyle name="Normal 2 2 2 2 24" xfId="13339" xr:uid="{00000000-0005-0000-0000-00001B340000}"/>
    <cellStyle name="Normal 2 2 2 2 25" xfId="13340" xr:uid="{00000000-0005-0000-0000-00001C340000}"/>
    <cellStyle name="Normal 2 2 2 2 26" xfId="13341" xr:uid="{00000000-0005-0000-0000-00001D340000}"/>
    <cellStyle name="Normal 2 2 2 2 27" xfId="13342" xr:uid="{00000000-0005-0000-0000-00001E340000}"/>
    <cellStyle name="Normal 2 2 2 2 28" xfId="13343" xr:uid="{00000000-0005-0000-0000-00001F340000}"/>
    <cellStyle name="Normal 2 2 2 2 29" xfId="13344" xr:uid="{00000000-0005-0000-0000-000020340000}"/>
    <cellStyle name="Normal 2 2 2 2 3" xfId="51" xr:uid="{00000000-0005-0000-0000-000033000000}"/>
    <cellStyle name="Normal 2 2 2 2 3 2" xfId="13346" xr:uid="{00000000-0005-0000-0000-000022340000}"/>
    <cellStyle name="Normal 2 2 2 2 3 2 2" xfId="13347" xr:uid="{00000000-0005-0000-0000-000023340000}"/>
    <cellStyle name="Normal 2 2 2 2 3 3" xfId="13348" xr:uid="{00000000-0005-0000-0000-000024340000}"/>
    <cellStyle name="Normal 2 2 2 2 3 4" xfId="13349" xr:uid="{00000000-0005-0000-0000-000025340000}"/>
    <cellStyle name="Normal 2 2 2 2 3 5" xfId="13350" xr:uid="{00000000-0005-0000-0000-000026340000}"/>
    <cellStyle name="Normal 2 2 2 2 3 6" xfId="13345" xr:uid="{00000000-0005-0000-0000-000021340000}"/>
    <cellStyle name="Normal 2 2 2 2 30" xfId="13351" xr:uid="{00000000-0005-0000-0000-000027340000}"/>
    <cellStyle name="Normal 2 2 2 2 31" xfId="13352" xr:uid="{00000000-0005-0000-0000-000028340000}"/>
    <cellStyle name="Normal 2 2 2 2 32" xfId="13353" xr:uid="{00000000-0005-0000-0000-000029340000}"/>
    <cellStyle name="Normal 2 2 2 2 33" xfId="13354" xr:uid="{00000000-0005-0000-0000-00002A340000}"/>
    <cellStyle name="Normal 2 2 2 2 34" xfId="13355" xr:uid="{00000000-0005-0000-0000-00002B340000}"/>
    <cellStyle name="Normal 2 2 2 2 35" xfId="13356" xr:uid="{00000000-0005-0000-0000-00002C340000}"/>
    <cellStyle name="Normal 2 2 2 2 36" xfId="13357" xr:uid="{00000000-0005-0000-0000-00002D340000}"/>
    <cellStyle name="Normal 2 2 2 2 37" xfId="13358" xr:uid="{00000000-0005-0000-0000-00002E340000}"/>
    <cellStyle name="Normal 2 2 2 2 38" xfId="13359" xr:uid="{00000000-0005-0000-0000-00002F340000}"/>
    <cellStyle name="Normal 2 2 2 2 39" xfId="13360" xr:uid="{00000000-0005-0000-0000-000030340000}"/>
    <cellStyle name="Normal 2 2 2 2 4" xfId="13361" xr:uid="{00000000-0005-0000-0000-000031340000}"/>
    <cellStyle name="Normal 2 2 2 2 4 10" xfId="13362" xr:uid="{00000000-0005-0000-0000-000032340000}"/>
    <cellStyle name="Normal 2 2 2 2 4 10 10" xfId="13363" xr:uid="{00000000-0005-0000-0000-000033340000}"/>
    <cellStyle name="Normal 2 2 2 2 4 10 11" xfId="13364" xr:uid="{00000000-0005-0000-0000-000034340000}"/>
    <cellStyle name="Normal 2 2 2 2 4 10 12" xfId="13365" xr:uid="{00000000-0005-0000-0000-000035340000}"/>
    <cellStyle name="Normal 2 2 2 2 4 10 13" xfId="13366" xr:uid="{00000000-0005-0000-0000-000036340000}"/>
    <cellStyle name="Normal 2 2 2 2 4 10 14" xfId="13367" xr:uid="{00000000-0005-0000-0000-000037340000}"/>
    <cellStyle name="Normal 2 2 2 2 4 10 2" xfId="13368" xr:uid="{00000000-0005-0000-0000-000038340000}"/>
    <cellStyle name="Normal 2 2 2 2 4 10 2 10" xfId="13369" xr:uid="{00000000-0005-0000-0000-000039340000}"/>
    <cellStyle name="Normal 2 2 2 2 4 10 2 2" xfId="13370" xr:uid="{00000000-0005-0000-0000-00003A340000}"/>
    <cellStyle name="Normal 2 2 2 2 4 10 2 3" xfId="13371" xr:uid="{00000000-0005-0000-0000-00003B340000}"/>
    <cellStyle name="Normal 2 2 2 2 4 10 2 4" xfId="13372" xr:uid="{00000000-0005-0000-0000-00003C340000}"/>
    <cellStyle name="Normal 2 2 2 2 4 10 2 5" xfId="13373" xr:uid="{00000000-0005-0000-0000-00003D340000}"/>
    <cellStyle name="Normal 2 2 2 2 4 10 2 6" xfId="13374" xr:uid="{00000000-0005-0000-0000-00003E340000}"/>
    <cellStyle name="Normal 2 2 2 2 4 10 2 7" xfId="13375" xr:uid="{00000000-0005-0000-0000-00003F340000}"/>
    <cellStyle name="Normal 2 2 2 2 4 10 2 8" xfId="13376" xr:uid="{00000000-0005-0000-0000-000040340000}"/>
    <cellStyle name="Normal 2 2 2 2 4 10 2 9" xfId="13377" xr:uid="{00000000-0005-0000-0000-000041340000}"/>
    <cellStyle name="Normal 2 2 2 2 4 10 3" xfId="13378" xr:uid="{00000000-0005-0000-0000-000042340000}"/>
    <cellStyle name="Normal 2 2 2 2 4 10 3 10" xfId="13379" xr:uid="{00000000-0005-0000-0000-000043340000}"/>
    <cellStyle name="Normal 2 2 2 2 4 10 3 2" xfId="13380" xr:uid="{00000000-0005-0000-0000-000044340000}"/>
    <cellStyle name="Normal 2 2 2 2 4 10 3 3" xfId="13381" xr:uid="{00000000-0005-0000-0000-000045340000}"/>
    <cellStyle name="Normal 2 2 2 2 4 10 3 4" xfId="13382" xr:uid="{00000000-0005-0000-0000-000046340000}"/>
    <cellStyle name="Normal 2 2 2 2 4 10 3 5" xfId="13383" xr:uid="{00000000-0005-0000-0000-000047340000}"/>
    <cellStyle name="Normal 2 2 2 2 4 10 3 6" xfId="13384" xr:uid="{00000000-0005-0000-0000-000048340000}"/>
    <cellStyle name="Normal 2 2 2 2 4 10 3 7" xfId="13385" xr:uid="{00000000-0005-0000-0000-000049340000}"/>
    <cellStyle name="Normal 2 2 2 2 4 10 3 8" xfId="13386" xr:uid="{00000000-0005-0000-0000-00004A340000}"/>
    <cellStyle name="Normal 2 2 2 2 4 10 3 9" xfId="13387" xr:uid="{00000000-0005-0000-0000-00004B340000}"/>
    <cellStyle name="Normal 2 2 2 2 4 10 4" xfId="13388" xr:uid="{00000000-0005-0000-0000-00004C340000}"/>
    <cellStyle name="Normal 2 2 2 2 4 10 4 10" xfId="13389" xr:uid="{00000000-0005-0000-0000-00004D340000}"/>
    <cellStyle name="Normal 2 2 2 2 4 10 4 2" xfId="13390" xr:uid="{00000000-0005-0000-0000-00004E340000}"/>
    <cellStyle name="Normal 2 2 2 2 4 10 4 3" xfId="13391" xr:uid="{00000000-0005-0000-0000-00004F340000}"/>
    <cellStyle name="Normal 2 2 2 2 4 10 4 4" xfId="13392" xr:uid="{00000000-0005-0000-0000-000050340000}"/>
    <cellStyle name="Normal 2 2 2 2 4 10 4 5" xfId="13393" xr:uid="{00000000-0005-0000-0000-000051340000}"/>
    <cellStyle name="Normal 2 2 2 2 4 10 4 6" xfId="13394" xr:uid="{00000000-0005-0000-0000-000052340000}"/>
    <cellStyle name="Normal 2 2 2 2 4 10 4 7" xfId="13395" xr:uid="{00000000-0005-0000-0000-000053340000}"/>
    <cellStyle name="Normal 2 2 2 2 4 10 4 8" xfId="13396" xr:uid="{00000000-0005-0000-0000-000054340000}"/>
    <cellStyle name="Normal 2 2 2 2 4 10 4 9" xfId="13397" xr:uid="{00000000-0005-0000-0000-000055340000}"/>
    <cellStyle name="Normal 2 2 2 2 4 10 5" xfId="13398" xr:uid="{00000000-0005-0000-0000-000056340000}"/>
    <cellStyle name="Normal 2 2 2 2 4 10 5 10" xfId="13399" xr:uid="{00000000-0005-0000-0000-000057340000}"/>
    <cellStyle name="Normal 2 2 2 2 4 10 5 2" xfId="13400" xr:uid="{00000000-0005-0000-0000-000058340000}"/>
    <cellStyle name="Normal 2 2 2 2 4 10 5 3" xfId="13401" xr:uid="{00000000-0005-0000-0000-000059340000}"/>
    <cellStyle name="Normal 2 2 2 2 4 10 5 4" xfId="13402" xr:uid="{00000000-0005-0000-0000-00005A340000}"/>
    <cellStyle name="Normal 2 2 2 2 4 10 5 5" xfId="13403" xr:uid="{00000000-0005-0000-0000-00005B340000}"/>
    <cellStyle name="Normal 2 2 2 2 4 10 5 6" xfId="13404" xr:uid="{00000000-0005-0000-0000-00005C340000}"/>
    <cellStyle name="Normal 2 2 2 2 4 10 5 7" xfId="13405" xr:uid="{00000000-0005-0000-0000-00005D340000}"/>
    <cellStyle name="Normal 2 2 2 2 4 10 5 8" xfId="13406" xr:uid="{00000000-0005-0000-0000-00005E340000}"/>
    <cellStyle name="Normal 2 2 2 2 4 10 5 9" xfId="13407" xr:uid="{00000000-0005-0000-0000-00005F340000}"/>
    <cellStyle name="Normal 2 2 2 2 4 10 6" xfId="13408" xr:uid="{00000000-0005-0000-0000-000060340000}"/>
    <cellStyle name="Normal 2 2 2 2 4 10 7" xfId="13409" xr:uid="{00000000-0005-0000-0000-000061340000}"/>
    <cellStyle name="Normal 2 2 2 2 4 10 8" xfId="13410" xr:uid="{00000000-0005-0000-0000-000062340000}"/>
    <cellStyle name="Normal 2 2 2 2 4 10 9" xfId="13411" xr:uid="{00000000-0005-0000-0000-000063340000}"/>
    <cellStyle name="Normal 2 2 2 2 4 11" xfId="13412" xr:uid="{00000000-0005-0000-0000-000064340000}"/>
    <cellStyle name="Normal 2 2 2 2 4 11 10" xfId="13413" xr:uid="{00000000-0005-0000-0000-000065340000}"/>
    <cellStyle name="Normal 2 2 2 2 4 11 11" xfId="13414" xr:uid="{00000000-0005-0000-0000-000066340000}"/>
    <cellStyle name="Normal 2 2 2 2 4 11 12" xfId="13415" xr:uid="{00000000-0005-0000-0000-000067340000}"/>
    <cellStyle name="Normal 2 2 2 2 4 11 13" xfId="13416" xr:uid="{00000000-0005-0000-0000-000068340000}"/>
    <cellStyle name="Normal 2 2 2 2 4 11 14" xfId="13417" xr:uid="{00000000-0005-0000-0000-000069340000}"/>
    <cellStyle name="Normal 2 2 2 2 4 11 2" xfId="13418" xr:uid="{00000000-0005-0000-0000-00006A340000}"/>
    <cellStyle name="Normal 2 2 2 2 4 11 2 10" xfId="13419" xr:uid="{00000000-0005-0000-0000-00006B340000}"/>
    <cellStyle name="Normal 2 2 2 2 4 11 2 2" xfId="13420" xr:uid="{00000000-0005-0000-0000-00006C340000}"/>
    <cellStyle name="Normal 2 2 2 2 4 11 2 3" xfId="13421" xr:uid="{00000000-0005-0000-0000-00006D340000}"/>
    <cellStyle name="Normal 2 2 2 2 4 11 2 4" xfId="13422" xr:uid="{00000000-0005-0000-0000-00006E340000}"/>
    <cellStyle name="Normal 2 2 2 2 4 11 2 5" xfId="13423" xr:uid="{00000000-0005-0000-0000-00006F340000}"/>
    <cellStyle name="Normal 2 2 2 2 4 11 2 6" xfId="13424" xr:uid="{00000000-0005-0000-0000-000070340000}"/>
    <cellStyle name="Normal 2 2 2 2 4 11 2 7" xfId="13425" xr:uid="{00000000-0005-0000-0000-000071340000}"/>
    <cellStyle name="Normal 2 2 2 2 4 11 2 8" xfId="13426" xr:uid="{00000000-0005-0000-0000-000072340000}"/>
    <cellStyle name="Normal 2 2 2 2 4 11 2 9" xfId="13427" xr:uid="{00000000-0005-0000-0000-000073340000}"/>
    <cellStyle name="Normal 2 2 2 2 4 11 3" xfId="13428" xr:uid="{00000000-0005-0000-0000-000074340000}"/>
    <cellStyle name="Normal 2 2 2 2 4 11 3 10" xfId="13429" xr:uid="{00000000-0005-0000-0000-000075340000}"/>
    <cellStyle name="Normal 2 2 2 2 4 11 3 2" xfId="13430" xr:uid="{00000000-0005-0000-0000-000076340000}"/>
    <cellStyle name="Normal 2 2 2 2 4 11 3 3" xfId="13431" xr:uid="{00000000-0005-0000-0000-000077340000}"/>
    <cellStyle name="Normal 2 2 2 2 4 11 3 4" xfId="13432" xr:uid="{00000000-0005-0000-0000-000078340000}"/>
    <cellStyle name="Normal 2 2 2 2 4 11 3 5" xfId="13433" xr:uid="{00000000-0005-0000-0000-000079340000}"/>
    <cellStyle name="Normal 2 2 2 2 4 11 3 6" xfId="13434" xr:uid="{00000000-0005-0000-0000-00007A340000}"/>
    <cellStyle name="Normal 2 2 2 2 4 11 3 7" xfId="13435" xr:uid="{00000000-0005-0000-0000-00007B340000}"/>
    <cellStyle name="Normal 2 2 2 2 4 11 3 8" xfId="13436" xr:uid="{00000000-0005-0000-0000-00007C340000}"/>
    <cellStyle name="Normal 2 2 2 2 4 11 3 9" xfId="13437" xr:uid="{00000000-0005-0000-0000-00007D340000}"/>
    <cellStyle name="Normal 2 2 2 2 4 11 4" xfId="13438" xr:uid="{00000000-0005-0000-0000-00007E340000}"/>
    <cellStyle name="Normal 2 2 2 2 4 11 4 10" xfId="13439" xr:uid="{00000000-0005-0000-0000-00007F340000}"/>
    <cellStyle name="Normal 2 2 2 2 4 11 4 2" xfId="13440" xr:uid="{00000000-0005-0000-0000-000080340000}"/>
    <cellStyle name="Normal 2 2 2 2 4 11 4 3" xfId="13441" xr:uid="{00000000-0005-0000-0000-000081340000}"/>
    <cellStyle name="Normal 2 2 2 2 4 11 4 4" xfId="13442" xr:uid="{00000000-0005-0000-0000-000082340000}"/>
    <cellStyle name="Normal 2 2 2 2 4 11 4 5" xfId="13443" xr:uid="{00000000-0005-0000-0000-000083340000}"/>
    <cellStyle name="Normal 2 2 2 2 4 11 4 6" xfId="13444" xr:uid="{00000000-0005-0000-0000-000084340000}"/>
    <cellStyle name="Normal 2 2 2 2 4 11 4 7" xfId="13445" xr:uid="{00000000-0005-0000-0000-000085340000}"/>
    <cellStyle name="Normal 2 2 2 2 4 11 4 8" xfId="13446" xr:uid="{00000000-0005-0000-0000-000086340000}"/>
    <cellStyle name="Normal 2 2 2 2 4 11 4 9" xfId="13447" xr:uid="{00000000-0005-0000-0000-000087340000}"/>
    <cellStyle name="Normal 2 2 2 2 4 11 5" xfId="13448" xr:uid="{00000000-0005-0000-0000-000088340000}"/>
    <cellStyle name="Normal 2 2 2 2 4 11 5 10" xfId="13449" xr:uid="{00000000-0005-0000-0000-000089340000}"/>
    <cellStyle name="Normal 2 2 2 2 4 11 5 2" xfId="13450" xr:uid="{00000000-0005-0000-0000-00008A340000}"/>
    <cellStyle name="Normal 2 2 2 2 4 11 5 3" xfId="13451" xr:uid="{00000000-0005-0000-0000-00008B340000}"/>
    <cellStyle name="Normal 2 2 2 2 4 11 5 4" xfId="13452" xr:uid="{00000000-0005-0000-0000-00008C340000}"/>
    <cellStyle name="Normal 2 2 2 2 4 11 5 5" xfId="13453" xr:uid="{00000000-0005-0000-0000-00008D340000}"/>
    <cellStyle name="Normal 2 2 2 2 4 11 5 6" xfId="13454" xr:uid="{00000000-0005-0000-0000-00008E340000}"/>
    <cellStyle name="Normal 2 2 2 2 4 11 5 7" xfId="13455" xr:uid="{00000000-0005-0000-0000-00008F340000}"/>
    <cellStyle name="Normal 2 2 2 2 4 11 5 8" xfId="13456" xr:uid="{00000000-0005-0000-0000-000090340000}"/>
    <cellStyle name="Normal 2 2 2 2 4 11 5 9" xfId="13457" xr:uid="{00000000-0005-0000-0000-000091340000}"/>
    <cellStyle name="Normal 2 2 2 2 4 11 6" xfId="13458" xr:uid="{00000000-0005-0000-0000-000092340000}"/>
    <cellStyle name="Normal 2 2 2 2 4 11 7" xfId="13459" xr:uid="{00000000-0005-0000-0000-000093340000}"/>
    <cellStyle name="Normal 2 2 2 2 4 11 8" xfId="13460" xr:uid="{00000000-0005-0000-0000-000094340000}"/>
    <cellStyle name="Normal 2 2 2 2 4 11 9" xfId="13461" xr:uid="{00000000-0005-0000-0000-000095340000}"/>
    <cellStyle name="Normal 2 2 2 2 4 12" xfId="13462" xr:uid="{00000000-0005-0000-0000-000096340000}"/>
    <cellStyle name="Normal 2 2 2 2 4 12 10" xfId="13463" xr:uid="{00000000-0005-0000-0000-000097340000}"/>
    <cellStyle name="Normal 2 2 2 2 4 12 11" xfId="13464" xr:uid="{00000000-0005-0000-0000-000098340000}"/>
    <cellStyle name="Normal 2 2 2 2 4 12 12" xfId="13465" xr:uid="{00000000-0005-0000-0000-000099340000}"/>
    <cellStyle name="Normal 2 2 2 2 4 12 13" xfId="13466" xr:uid="{00000000-0005-0000-0000-00009A340000}"/>
    <cellStyle name="Normal 2 2 2 2 4 12 14" xfId="13467" xr:uid="{00000000-0005-0000-0000-00009B340000}"/>
    <cellStyle name="Normal 2 2 2 2 4 12 2" xfId="13468" xr:uid="{00000000-0005-0000-0000-00009C340000}"/>
    <cellStyle name="Normal 2 2 2 2 4 12 2 10" xfId="13469" xr:uid="{00000000-0005-0000-0000-00009D340000}"/>
    <cellStyle name="Normal 2 2 2 2 4 12 2 2" xfId="13470" xr:uid="{00000000-0005-0000-0000-00009E340000}"/>
    <cellStyle name="Normal 2 2 2 2 4 12 2 3" xfId="13471" xr:uid="{00000000-0005-0000-0000-00009F340000}"/>
    <cellStyle name="Normal 2 2 2 2 4 12 2 4" xfId="13472" xr:uid="{00000000-0005-0000-0000-0000A0340000}"/>
    <cellStyle name="Normal 2 2 2 2 4 12 2 5" xfId="13473" xr:uid="{00000000-0005-0000-0000-0000A1340000}"/>
    <cellStyle name="Normal 2 2 2 2 4 12 2 6" xfId="13474" xr:uid="{00000000-0005-0000-0000-0000A2340000}"/>
    <cellStyle name="Normal 2 2 2 2 4 12 2 7" xfId="13475" xr:uid="{00000000-0005-0000-0000-0000A3340000}"/>
    <cellStyle name="Normal 2 2 2 2 4 12 2 8" xfId="13476" xr:uid="{00000000-0005-0000-0000-0000A4340000}"/>
    <cellStyle name="Normal 2 2 2 2 4 12 2 9" xfId="13477" xr:uid="{00000000-0005-0000-0000-0000A5340000}"/>
    <cellStyle name="Normal 2 2 2 2 4 12 3" xfId="13478" xr:uid="{00000000-0005-0000-0000-0000A6340000}"/>
    <cellStyle name="Normal 2 2 2 2 4 12 3 10" xfId="13479" xr:uid="{00000000-0005-0000-0000-0000A7340000}"/>
    <cellStyle name="Normal 2 2 2 2 4 12 3 2" xfId="13480" xr:uid="{00000000-0005-0000-0000-0000A8340000}"/>
    <cellStyle name="Normal 2 2 2 2 4 12 3 3" xfId="13481" xr:uid="{00000000-0005-0000-0000-0000A9340000}"/>
    <cellStyle name="Normal 2 2 2 2 4 12 3 4" xfId="13482" xr:uid="{00000000-0005-0000-0000-0000AA340000}"/>
    <cellStyle name="Normal 2 2 2 2 4 12 3 5" xfId="13483" xr:uid="{00000000-0005-0000-0000-0000AB340000}"/>
    <cellStyle name="Normal 2 2 2 2 4 12 3 6" xfId="13484" xr:uid="{00000000-0005-0000-0000-0000AC340000}"/>
    <cellStyle name="Normal 2 2 2 2 4 12 3 7" xfId="13485" xr:uid="{00000000-0005-0000-0000-0000AD340000}"/>
    <cellStyle name="Normal 2 2 2 2 4 12 3 8" xfId="13486" xr:uid="{00000000-0005-0000-0000-0000AE340000}"/>
    <cellStyle name="Normal 2 2 2 2 4 12 3 9" xfId="13487" xr:uid="{00000000-0005-0000-0000-0000AF340000}"/>
    <cellStyle name="Normal 2 2 2 2 4 12 4" xfId="13488" xr:uid="{00000000-0005-0000-0000-0000B0340000}"/>
    <cellStyle name="Normal 2 2 2 2 4 12 4 10" xfId="13489" xr:uid="{00000000-0005-0000-0000-0000B1340000}"/>
    <cellStyle name="Normal 2 2 2 2 4 12 4 2" xfId="13490" xr:uid="{00000000-0005-0000-0000-0000B2340000}"/>
    <cellStyle name="Normal 2 2 2 2 4 12 4 3" xfId="13491" xr:uid="{00000000-0005-0000-0000-0000B3340000}"/>
    <cellStyle name="Normal 2 2 2 2 4 12 4 4" xfId="13492" xr:uid="{00000000-0005-0000-0000-0000B4340000}"/>
    <cellStyle name="Normal 2 2 2 2 4 12 4 5" xfId="13493" xr:uid="{00000000-0005-0000-0000-0000B5340000}"/>
    <cellStyle name="Normal 2 2 2 2 4 12 4 6" xfId="13494" xr:uid="{00000000-0005-0000-0000-0000B6340000}"/>
    <cellStyle name="Normal 2 2 2 2 4 12 4 7" xfId="13495" xr:uid="{00000000-0005-0000-0000-0000B7340000}"/>
    <cellStyle name="Normal 2 2 2 2 4 12 4 8" xfId="13496" xr:uid="{00000000-0005-0000-0000-0000B8340000}"/>
    <cellStyle name="Normal 2 2 2 2 4 12 4 9" xfId="13497" xr:uid="{00000000-0005-0000-0000-0000B9340000}"/>
    <cellStyle name="Normal 2 2 2 2 4 12 5" xfId="13498" xr:uid="{00000000-0005-0000-0000-0000BA340000}"/>
    <cellStyle name="Normal 2 2 2 2 4 12 5 10" xfId="13499" xr:uid="{00000000-0005-0000-0000-0000BB340000}"/>
    <cellStyle name="Normal 2 2 2 2 4 12 5 2" xfId="13500" xr:uid="{00000000-0005-0000-0000-0000BC340000}"/>
    <cellStyle name="Normal 2 2 2 2 4 12 5 3" xfId="13501" xr:uid="{00000000-0005-0000-0000-0000BD340000}"/>
    <cellStyle name="Normal 2 2 2 2 4 12 5 4" xfId="13502" xr:uid="{00000000-0005-0000-0000-0000BE340000}"/>
    <cellStyle name="Normal 2 2 2 2 4 12 5 5" xfId="13503" xr:uid="{00000000-0005-0000-0000-0000BF340000}"/>
    <cellStyle name="Normal 2 2 2 2 4 12 5 6" xfId="13504" xr:uid="{00000000-0005-0000-0000-0000C0340000}"/>
    <cellStyle name="Normal 2 2 2 2 4 12 5 7" xfId="13505" xr:uid="{00000000-0005-0000-0000-0000C1340000}"/>
    <cellStyle name="Normal 2 2 2 2 4 12 5 8" xfId="13506" xr:uid="{00000000-0005-0000-0000-0000C2340000}"/>
    <cellStyle name="Normal 2 2 2 2 4 12 5 9" xfId="13507" xr:uid="{00000000-0005-0000-0000-0000C3340000}"/>
    <cellStyle name="Normal 2 2 2 2 4 12 6" xfId="13508" xr:uid="{00000000-0005-0000-0000-0000C4340000}"/>
    <cellStyle name="Normal 2 2 2 2 4 12 7" xfId="13509" xr:uid="{00000000-0005-0000-0000-0000C5340000}"/>
    <cellStyle name="Normal 2 2 2 2 4 12 8" xfId="13510" xr:uid="{00000000-0005-0000-0000-0000C6340000}"/>
    <cellStyle name="Normal 2 2 2 2 4 12 9" xfId="13511" xr:uid="{00000000-0005-0000-0000-0000C7340000}"/>
    <cellStyle name="Normal 2 2 2 2 4 13" xfId="13512" xr:uid="{00000000-0005-0000-0000-0000C8340000}"/>
    <cellStyle name="Normal 2 2 2 2 4 13 10" xfId="13513" xr:uid="{00000000-0005-0000-0000-0000C9340000}"/>
    <cellStyle name="Normal 2 2 2 2 4 13 11" xfId="13514" xr:uid="{00000000-0005-0000-0000-0000CA340000}"/>
    <cellStyle name="Normal 2 2 2 2 4 13 12" xfId="13515" xr:uid="{00000000-0005-0000-0000-0000CB340000}"/>
    <cellStyle name="Normal 2 2 2 2 4 13 13" xfId="13516" xr:uid="{00000000-0005-0000-0000-0000CC340000}"/>
    <cellStyle name="Normal 2 2 2 2 4 13 14" xfId="13517" xr:uid="{00000000-0005-0000-0000-0000CD340000}"/>
    <cellStyle name="Normal 2 2 2 2 4 13 2" xfId="13518" xr:uid="{00000000-0005-0000-0000-0000CE340000}"/>
    <cellStyle name="Normal 2 2 2 2 4 13 2 10" xfId="13519" xr:uid="{00000000-0005-0000-0000-0000CF340000}"/>
    <cellStyle name="Normal 2 2 2 2 4 13 2 2" xfId="13520" xr:uid="{00000000-0005-0000-0000-0000D0340000}"/>
    <cellStyle name="Normal 2 2 2 2 4 13 2 3" xfId="13521" xr:uid="{00000000-0005-0000-0000-0000D1340000}"/>
    <cellStyle name="Normal 2 2 2 2 4 13 2 4" xfId="13522" xr:uid="{00000000-0005-0000-0000-0000D2340000}"/>
    <cellStyle name="Normal 2 2 2 2 4 13 2 5" xfId="13523" xr:uid="{00000000-0005-0000-0000-0000D3340000}"/>
    <cellStyle name="Normal 2 2 2 2 4 13 2 6" xfId="13524" xr:uid="{00000000-0005-0000-0000-0000D4340000}"/>
    <cellStyle name="Normal 2 2 2 2 4 13 2 7" xfId="13525" xr:uid="{00000000-0005-0000-0000-0000D5340000}"/>
    <cellStyle name="Normal 2 2 2 2 4 13 2 8" xfId="13526" xr:uid="{00000000-0005-0000-0000-0000D6340000}"/>
    <cellStyle name="Normal 2 2 2 2 4 13 2 9" xfId="13527" xr:uid="{00000000-0005-0000-0000-0000D7340000}"/>
    <cellStyle name="Normal 2 2 2 2 4 13 3" xfId="13528" xr:uid="{00000000-0005-0000-0000-0000D8340000}"/>
    <cellStyle name="Normal 2 2 2 2 4 13 3 10" xfId="13529" xr:uid="{00000000-0005-0000-0000-0000D9340000}"/>
    <cellStyle name="Normal 2 2 2 2 4 13 3 2" xfId="13530" xr:uid="{00000000-0005-0000-0000-0000DA340000}"/>
    <cellStyle name="Normal 2 2 2 2 4 13 3 3" xfId="13531" xr:uid="{00000000-0005-0000-0000-0000DB340000}"/>
    <cellStyle name="Normal 2 2 2 2 4 13 3 4" xfId="13532" xr:uid="{00000000-0005-0000-0000-0000DC340000}"/>
    <cellStyle name="Normal 2 2 2 2 4 13 3 5" xfId="13533" xr:uid="{00000000-0005-0000-0000-0000DD340000}"/>
    <cellStyle name="Normal 2 2 2 2 4 13 3 6" xfId="13534" xr:uid="{00000000-0005-0000-0000-0000DE340000}"/>
    <cellStyle name="Normal 2 2 2 2 4 13 3 7" xfId="13535" xr:uid="{00000000-0005-0000-0000-0000DF340000}"/>
    <cellStyle name="Normal 2 2 2 2 4 13 3 8" xfId="13536" xr:uid="{00000000-0005-0000-0000-0000E0340000}"/>
    <cellStyle name="Normal 2 2 2 2 4 13 3 9" xfId="13537" xr:uid="{00000000-0005-0000-0000-0000E1340000}"/>
    <cellStyle name="Normal 2 2 2 2 4 13 4" xfId="13538" xr:uid="{00000000-0005-0000-0000-0000E2340000}"/>
    <cellStyle name="Normal 2 2 2 2 4 13 4 10" xfId="13539" xr:uid="{00000000-0005-0000-0000-0000E3340000}"/>
    <cellStyle name="Normal 2 2 2 2 4 13 4 2" xfId="13540" xr:uid="{00000000-0005-0000-0000-0000E4340000}"/>
    <cellStyle name="Normal 2 2 2 2 4 13 4 3" xfId="13541" xr:uid="{00000000-0005-0000-0000-0000E5340000}"/>
    <cellStyle name="Normal 2 2 2 2 4 13 4 4" xfId="13542" xr:uid="{00000000-0005-0000-0000-0000E6340000}"/>
    <cellStyle name="Normal 2 2 2 2 4 13 4 5" xfId="13543" xr:uid="{00000000-0005-0000-0000-0000E7340000}"/>
    <cellStyle name="Normal 2 2 2 2 4 13 4 6" xfId="13544" xr:uid="{00000000-0005-0000-0000-0000E8340000}"/>
    <cellStyle name="Normal 2 2 2 2 4 13 4 7" xfId="13545" xr:uid="{00000000-0005-0000-0000-0000E9340000}"/>
    <cellStyle name="Normal 2 2 2 2 4 13 4 8" xfId="13546" xr:uid="{00000000-0005-0000-0000-0000EA340000}"/>
    <cellStyle name="Normal 2 2 2 2 4 13 4 9" xfId="13547" xr:uid="{00000000-0005-0000-0000-0000EB340000}"/>
    <cellStyle name="Normal 2 2 2 2 4 13 5" xfId="13548" xr:uid="{00000000-0005-0000-0000-0000EC340000}"/>
    <cellStyle name="Normal 2 2 2 2 4 13 5 10" xfId="13549" xr:uid="{00000000-0005-0000-0000-0000ED340000}"/>
    <cellStyle name="Normal 2 2 2 2 4 13 5 2" xfId="13550" xr:uid="{00000000-0005-0000-0000-0000EE340000}"/>
    <cellStyle name="Normal 2 2 2 2 4 13 5 3" xfId="13551" xr:uid="{00000000-0005-0000-0000-0000EF340000}"/>
    <cellStyle name="Normal 2 2 2 2 4 13 5 4" xfId="13552" xr:uid="{00000000-0005-0000-0000-0000F0340000}"/>
    <cellStyle name="Normal 2 2 2 2 4 13 5 5" xfId="13553" xr:uid="{00000000-0005-0000-0000-0000F1340000}"/>
    <cellStyle name="Normal 2 2 2 2 4 13 5 6" xfId="13554" xr:uid="{00000000-0005-0000-0000-0000F2340000}"/>
    <cellStyle name="Normal 2 2 2 2 4 13 5 7" xfId="13555" xr:uid="{00000000-0005-0000-0000-0000F3340000}"/>
    <cellStyle name="Normal 2 2 2 2 4 13 5 8" xfId="13556" xr:uid="{00000000-0005-0000-0000-0000F4340000}"/>
    <cellStyle name="Normal 2 2 2 2 4 13 5 9" xfId="13557" xr:uid="{00000000-0005-0000-0000-0000F5340000}"/>
    <cellStyle name="Normal 2 2 2 2 4 13 6" xfId="13558" xr:uid="{00000000-0005-0000-0000-0000F6340000}"/>
    <cellStyle name="Normal 2 2 2 2 4 13 7" xfId="13559" xr:uid="{00000000-0005-0000-0000-0000F7340000}"/>
    <cellStyle name="Normal 2 2 2 2 4 13 8" xfId="13560" xr:uid="{00000000-0005-0000-0000-0000F8340000}"/>
    <cellStyle name="Normal 2 2 2 2 4 13 9" xfId="13561" xr:uid="{00000000-0005-0000-0000-0000F9340000}"/>
    <cellStyle name="Normal 2 2 2 2 4 14" xfId="13562" xr:uid="{00000000-0005-0000-0000-0000FA340000}"/>
    <cellStyle name="Normal 2 2 2 2 4 14 10" xfId="13563" xr:uid="{00000000-0005-0000-0000-0000FB340000}"/>
    <cellStyle name="Normal 2 2 2 2 4 14 11" xfId="13564" xr:uid="{00000000-0005-0000-0000-0000FC340000}"/>
    <cellStyle name="Normal 2 2 2 2 4 14 12" xfId="13565" xr:uid="{00000000-0005-0000-0000-0000FD340000}"/>
    <cellStyle name="Normal 2 2 2 2 4 14 13" xfId="13566" xr:uid="{00000000-0005-0000-0000-0000FE340000}"/>
    <cellStyle name="Normal 2 2 2 2 4 14 14" xfId="13567" xr:uid="{00000000-0005-0000-0000-0000FF340000}"/>
    <cellStyle name="Normal 2 2 2 2 4 14 2" xfId="13568" xr:uid="{00000000-0005-0000-0000-000000350000}"/>
    <cellStyle name="Normal 2 2 2 2 4 14 2 10" xfId="13569" xr:uid="{00000000-0005-0000-0000-000001350000}"/>
    <cellStyle name="Normal 2 2 2 2 4 14 2 2" xfId="13570" xr:uid="{00000000-0005-0000-0000-000002350000}"/>
    <cellStyle name="Normal 2 2 2 2 4 14 2 3" xfId="13571" xr:uid="{00000000-0005-0000-0000-000003350000}"/>
    <cellStyle name="Normal 2 2 2 2 4 14 2 4" xfId="13572" xr:uid="{00000000-0005-0000-0000-000004350000}"/>
    <cellStyle name="Normal 2 2 2 2 4 14 2 5" xfId="13573" xr:uid="{00000000-0005-0000-0000-000005350000}"/>
    <cellStyle name="Normal 2 2 2 2 4 14 2 6" xfId="13574" xr:uid="{00000000-0005-0000-0000-000006350000}"/>
    <cellStyle name="Normal 2 2 2 2 4 14 2 7" xfId="13575" xr:uid="{00000000-0005-0000-0000-000007350000}"/>
    <cellStyle name="Normal 2 2 2 2 4 14 2 8" xfId="13576" xr:uid="{00000000-0005-0000-0000-000008350000}"/>
    <cellStyle name="Normal 2 2 2 2 4 14 2 9" xfId="13577" xr:uid="{00000000-0005-0000-0000-000009350000}"/>
    <cellStyle name="Normal 2 2 2 2 4 14 3" xfId="13578" xr:uid="{00000000-0005-0000-0000-00000A350000}"/>
    <cellStyle name="Normal 2 2 2 2 4 14 3 10" xfId="13579" xr:uid="{00000000-0005-0000-0000-00000B350000}"/>
    <cellStyle name="Normal 2 2 2 2 4 14 3 2" xfId="13580" xr:uid="{00000000-0005-0000-0000-00000C350000}"/>
    <cellStyle name="Normal 2 2 2 2 4 14 3 3" xfId="13581" xr:uid="{00000000-0005-0000-0000-00000D350000}"/>
    <cellStyle name="Normal 2 2 2 2 4 14 3 4" xfId="13582" xr:uid="{00000000-0005-0000-0000-00000E350000}"/>
    <cellStyle name="Normal 2 2 2 2 4 14 3 5" xfId="13583" xr:uid="{00000000-0005-0000-0000-00000F350000}"/>
    <cellStyle name="Normal 2 2 2 2 4 14 3 6" xfId="13584" xr:uid="{00000000-0005-0000-0000-000010350000}"/>
    <cellStyle name="Normal 2 2 2 2 4 14 3 7" xfId="13585" xr:uid="{00000000-0005-0000-0000-000011350000}"/>
    <cellStyle name="Normal 2 2 2 2 4 14 3 8" xfId="13586" xr:uid="{00000000-0005-0000-0000-000012350000}"/>
    <cellStyle name="Normal 2 2 2 2 4 14 3 9" xfId="13587" xr:uid="{00000000-0005-0000-0000-000013350000}"/>
    <cellStyle name="Normal 2 2 2 2 4 14 4" xfId="13588" xr:uid="{00000000-0005-0000-0000-000014350000}"/>
    <cellStyle name="Normal 2 2 2 2 4 14 4 10" xfId="13589" xr:uid="{00000000-0005-0000-0000-000015350000}"/>
    <cellStyle name="Normal 2 2 2 2 4 14 4 2" xfId="13590" xr:uid="{00000000-0005-0000-0000-000016350000}"/>
    <cellStyle name="Normal 2 2 2 2 4 14 4 3" xfId="13591" xr:uid="{00000000-0005-0000-0000-000017350000}"/>
    <cellStyle name="Normal 2 2 2 2 4 14 4 4" xfId="13592" xr:uid="{00000000-0005-0000-0000-000018350000}"/>
    <cellStyle name="Normal 2 2 2 2 4 14 4 5" xfId="13593" xr:uid="{00000000-0005-0000-0000-000019350000}"/>
    <cellStyle name="Normal 2 2 2 2 4 14 4 6" xfId="13594" xr:uid="{00000000-0005-0000-0000-00001A350000}"/>
    <cellStyle name="Normal 2 2 2 2 4 14 4 7" xfId="13595" xr:uid="{00000000-0005-0000-0000-00001B350000}"/>
    <cellStyle name="Normal 2 2 2 2 4 14 4 8" xfId="13596" xr:uid="{00000000-0005-0000-0000-00001C350000}"/>
    <cellStyle name="Normal 2 2 2 2 4 14 4 9" xfId="13597" xr:uid="{00000000-0005-0000-0000-00001D350000}"/>
    <cellStyle name="Normal 2 2 2 2 4 14 5" xfId="13598" xr:uid="{00000000-0005-0000-0000-00001E350000}"/>
    <cellStyle name="Normal 2 2 2 2 4 14 5 10" xfId="13599" xr:uid="{00000000-0005-0000-0000-00001F350000}"/>
    <cellStyle name="Normal 2 2 2 2 4 14 5 2" xfId="13600" xr:uid="{00000000-0005-0000-0000-000020350000}"/>
    <cellStyle name="Normal 2 2 2 2 4 14 5 3" xfId="13601" xr:uid="{00000000-0005-0000-0000-000021350000}"/>
    <cellStyle name="Normal 2 2 2 2 4 14 5 4" xfId="13602" xr:uid="{00000000-0005-0000-0000-000022350000}"/>
    <cellStyle name="Normal 2 2 2 2 4 14 5 5" xfId="13603" xr:uid="{00000000-0005-0000-0000-000023350000}"/>
    <cellStyle name="Normal 2 2 2 2 4 14 5 6" xfId="13604" xr:uid="{00000000-0005-0000-0000-000024350000}"/>
    <cellStyle name="Normal 2 2 2 2 4 14 5 7" xfId="13605" xr:uid="{00000000-0005-0000-0000-000025350000}"/>
    <cellStyle name="Normal 2 2 2 2 4 14 5 8" xfId="13606" xr:uid="{00000000-0005-0000-0000-000026350000}"/>
    <cellStyle name="Normal 2 2 2 2 4 14 5 9" xfId="13607" xr:uid="{00000000-0005-0000-0000-000027350000}"/>
    <cellStyle name="Normal 2 2 2 2 4 14 6" xfId="13608" xr:uid="{00000000-0005-0000-0000-000028350000}"/>
    <cellStyle name="Normal 2 2 2 2 4 14 7" xfId="13609" xr:uid="{00000000-0005-0000-0000-000029350000}"/>
    <cellStyle name="Normal 2 2 2 2 4 14 8" xfId="13610" xr:uid="{00000000-0005-0000-0000-00002A350000}"/>
    <cellStyle name="Normal 2 2 2 2 4 14 9" xfId="13611" xr:uid="{00000000-0005-0000-0000-00002B350000}"/>
    <cellStyle name="Normal 2 2 2 2 4 15" xfId="13612" xr:uid="{00000000-0005-0000-0000-00002C350000}"/>
    <cellStyle name="Normal 2 2 2 2 4 15 10" xfId="13613" xr:uid="{00000000-0005-0000-0000-00002D350000}"/>
    <cellStyle name="Normal 2 2 2 2 4 15 11" xfId="13614" xr:uid="{00000000-0005-0000-0000-00002E350000}"/>
    <cellStyle name="Normal 2 2 2 2 4 15 12" xfId="13615" xr:uid="{00000000-0005-0000-0000-00002F350000}"/>
    <cellStyle name="Normal 2 2 2 2 4 15 13" xfId="13616" xr:uid="{00000000-0005-0000-0000-000030350000}"/>
    <cellStyle name="Normal 2 2 2 2 4 15 14" xfId="13617" xr:uid="{00000000-0005-0000-0000-000031350000}"/>
    <cellStyle name="Normal 2 2 2 2 4 15 2" xfId="13618" xr:uid="{00000000-0005-0000-0000-000032350000}"/>
    <cellStyle name="Normal 2 2 2 2 4 15 2 10" xfId="13619" xr:uid="{00000000-0005-0000-0000-000033350000}"/>
    <cellStyle name="Normal 2 2 2 2 4 15 2 2" xfId="13620" xr:uid="{00000000-0005-0000-0000-000034350000}"/>
    <cellStyle name="Normal 2 2 2 2 4 15 2 3" xfId="13621" xr:uid="{00000000-0005-0000-0000-000035350000}"/>
    <cellStyle name="Normal 2 2 2 2 4 15 2 4" xfId="13622" xr:uid="{00000000-0005-0000-0000-000036350000}"/>
    <cellStyle name="Normal 2 2 2 2 4 15 2 5" xfId="13623" xr:uid="{00000000-0005-0000-0000-000037350000}"/>
    <cellStyle name="Normal 2 2 2 2 4 15 2 6" xfId="13624" xr:uid="{00000000-0005-0000-0000-000038350000}"/>
    <cellStyle name="Normal 2 2 2 2 4 15 2 7" xfId="13625" xr:uid="{00000000-0005-0000-0000-000039350000}"/>
    <cellStyle name="Normal 2 2 2 2 4 15 2 8" xfId="13626" xr:uid="{00000000-0005-0000-0000-00003A350000}"/>
    <cellStyle name="Normal 2 2 2 2 4 15 2 9" xfId="13627" xr:uid="{00000000-0005-0000-0000-00003B350000}"/>
    <cellStyle name="Normal 2 2 2 2 4 15 3" xfId="13628" xr:uid="{00000000-0005-0000-0000-00003C350000}"/>
    <cellStyle name="Normal 2 2 2 2 4 15 3 10" xfId="13629" xr:uid="{00000000-0005-0000-0000-00003D350000}"/>
    <cellStyle name="Normal 2 2 2 2 4 15 3 2" xfId="13630" xr:uid="{00000000-0005-0000-0000-00003E350000}"/>
    <cellStyle name="Normal 2 2 2 2 4 15 3 3" xfId="13631" xr:uid="{00000000-0005-0000-0000-00003F350000}"/>
    <cellStyle name="Normal 2 2 2 2 4 15 3 4" xfId="13632" xr:uid="{00000000-0005-0000-0000-000040350000}"/>
    <cellStyle name="Normal 2 2 2 2 4 15 3 5" xfId="13633" xr:uid="{00000000-0005-0000-0000-000041350000}"/>
    <cellStyle name="Normal 2 2 2 2 4 15 3 6" xfId="13634" xr:uid="{00000000-0005-0000-0000-000042350000}"/>
    <cellStyle name="Normal 2 2 2 2 4 15 3 7" xfId="13635" xr:uid="{00000000-0005-0000-0000-000043350000}"/>
    <cellStyle name="Normal 2 2 2 2 4 15 3 8" xfId="13636" xr:uid="{00000000-0005-0000-0000-000044350000}"/>
    <cellStyle name="Normal 2 2 2 2 4 15 3 9" xfId="13637" xr:uid="{00000000-0005-0000-0000-000045350000}"/>
    <cellStyle name="Normal 2 2 2 2 4 15 4" xfId="13638" xr:uid="{00000000-0005-0000-0000-000046350000}"/>
    <cellStyle name="Normal 2 2 2 2 4 15 4 10" xfId="13639" xr:uid="{00000000-0005-0000-0000-000047350000}"/>
    <cellStyle name="Normal 2 2 2 2 4 15 4 2" xfId="13640" xr:uid="{00000000-0005-0000-0000-000048350000}"/>
    <cellStyle name="Normal 2 2 2 2 4 15 4 3" xfId="13641" xr:uid="{00000000-0005-0000-0000-000049350000}"/>
    <cellStyle name="Normal 2 2 2 2 4 15 4 4" xfId="13642" xr:uid="{00000000-0005-0000-0000-00004A350000}"/>
    <cellStyle name="Normal 2 2 2 2 4 15 4 5" xfId="13643" xr:uid="{00000000-0005-0000-0000-00004B350000}"/>
    <cellStyle name="Normal 2 2 2 2 4 15 4 6" xfId="13644" xr:uid="{00000000-0005-0000-0000-00004C350000}"/>
    <cellStyle name="Normal 2 2 2 2 4 15 4 7" xfId="13645" xr:uid="{00000000-0005-0000-0000-00004D350000}"/>
    <cellStyle name="Normal 2 2 2 2 4 15 4 8" xfId="13646" xr:uid="{00000000-0005-0000-0000-00004E350000}"/>
    <cellStyle name="Normal 2 2 2 2 4 15 4 9" xfId="13647" xr:uid="{00000000-0005-0000-0000-00004F350000}"/>
    <cellStyle name="Normal 2 2 2 2 4 15 5" xfId="13648" xr:uid="{00000000-0005-0000-0000-000050350000}"/>
    <cellStyle name="Normal 2 2 2 2 4 15 5 10" xfId="13649" xr:uid="{00000000-0005-0000-0000-000051350000}"/>
    <cellStyle name="Normal 2 2 2 2 4 15 5 2" xfId="13650" xr:uid="{00000000-0005-0000-0000-000052350000}"/>
    <cellStyle name="Normal 2 2 2 2 4 15 5 3" xfId="13651" xr:uid="{00000000-0005-0000-0000-000053350000}"/>
    <cellStyle name="Normal 2 2 2 2 4 15 5 4" xfId="13652" xr:uid="{00000000-0005-0000-0000-000054350000}"/>
    <cellStyle name="Normal 2 2 2 2 4 15 5 5" xfId="13653" xr:uid="{00000000-0005-0000-0000-000055350000}"/>
    <cellStyle name="Normal 2 2 2 2 4 15 5 6" xfId="13654" xr:uid="{00000000-0005-0000-0000-000056350000}"/>
    <cellStyle name="Normal 2 2 2 2 4 15 5 7" xfId="13655" xr:uid="{00000000-0005-0000-0000-000057350000}"/>
    <cellStyle name="Normal 2 2 2 2 4 15 5 8" xfId="13656" xr:uid="{00000000-0005-0000-0000-000058350000}"/>
    <cellStyle name="Normal 2 2 2 2 4 15 5 9" xfId="13657" xr:uid="{00000000-0005-0000-0000-000059350000}"/>
    <cellStyle name="Normal 2 2 2 2 4 15 6" xfId="13658" xr:uid="{00000000-0005-0000-0000-00005A350000}"/>
    <cellStyle name="Normal 2 2 2 2 4 15 7" xfId="13659" xr:uid="{00000000-0005-0000-0000-00005B350000}"/>
    <cellStyle name="Normal 2 2 2 2 4 15 8" xfId="13660" xr:uid="{00000000-0005-0000-0000-00005C350000}"/>
    <cellStyle name="Normal 2 2 2 2 4 15 9" xfId="13661" xr:uid="{00000000-0005-0000-0000-00005D350000}"/>
    <cellStyle name="Normal 2 2 2 2 4 16" xfId="13662" xr:uid="{00000000-0005-0000-0000-00005E350000}"/>
    <cellStyle name="Normal 2 2 2 2 4 16 10" xfId="13663" xr:uid="{00000000-0005-0000-0000-00005F350000}"/>
    <cellStyle name="Normal 2 2 2 2 4 16 11" xfId="13664" xr:uid="{00000000-0005-0000-0000-000060350000}"/>
    <cellStyle name="Normal 2 2 2 2 4 16 12" xfId="13665" xr:uid="{00000000-0005-0000-0000-000061350000}"/>
    <cellStyle name="Normal 2 2 2 2 4 16 13" xfId="13666" xr:uid="{00000000-0005-0000-0000-000062350000}"/>
    <cellStyle name="Normal 2 2 2 2 4 16 14" xfId="13667" xr:uid="{00000000-0005-0000-0000-000063350000}"/>
    <cellStyle name="Normal 2 2 2 2 4 16 2" xfId="13668" xr:uid="{00000000-0005-0000-0000-000064350000}"/>
    <cellStyle name="Normal 2 2 2 2 4 16 2 10" xfId="13669" xr:uid="{00000000-0005-0000-0000-000065350000}"/>
    <cellStyle name="Normal 2 2 2 2 4 16 2 2" xfId="13670" xr:uid="{00000000-0005-0000-0000-000066350000}"/>
    <cellStyle name="Normal 2 2 2 2 4 16 2 3" xfId="13671" xr:uid="{00000000-0005-0000-0000-000067350000}"/>
    <cellStyle name="Normal 2 2 2 2 4 16 2 4" xfId="13672" xr:uid="{00000000-0005-0000-0000-000068350000}"/>
    <cellStyle name="Normal 2 2 2 2 4 16 2 5" xfId="13673" xr:uid="{00000000-0005-0000-0000-000069350000}"/>
    <cellStyle name="Normal 2 2 2 2 4 16 2 6" xfId="13674" xr:uid="{00000000-0005-0000-0000-00006A350000}"/>
    <cellStyle name="Normal 2 2 2 2 4 16 2 7" xfId="13675" xr:uid="{00000000-0005-0000-0000-00006B350000}"/>
    <cellStyle name="Normal 2 2 2 2 4 16 2 8" xfId="13676" xr:uid="{00000000-0005-0000-0000-00006C350000}"/>
    <cellStyle name="Normal 2 2 2 2 4 16 2 9" xfId="13677" xr:uid="{00000000-0005-0000-0000-00006D350000}"/>
    <cellStyle name="Normal 2 2 2 2 4 16 3" xfId="13678" xr:uid="{00000000-0005-0000-0000-00006E350000}"/>
    <cellStyle name="Normal 2 2 2 2 4 16 3 10" xfId="13679" xr:uid="{00000000-0005-0000-0000-00006F350000}"/>
    <cellStyle name="Normal 2 2 2 2 4 16 3 2" xfId="13680" xr:uid="{00000000-0005-0000-0000-000070350000}"/>
    <cellStyle name="Normal 2 2 2 2 4 16 3 3" xfId="13681" xr:uid="{00000000-0005-0000-0000-000071350000}"/>
    <cellStyle name="Normal 2 2 2 2 4 16 3 4" xfId="13682" xr:uid="{00000000-0005-0000-0000-000072350000}"/>
    <cellStyle name="Normal 2 2 2 2 4 16 3 5" xfId="13683" xr:uid="{00000000-0005-0000-0000-000073350000}"/>
    <cellStyle name="Normal 2 2 2 2 4 16 3 6" xfId="13684" xr:uid="{00000000-0005-0000-0000-000074350000}"/>
    <cellStyle name="Normal 2 2 2 2 4 16 3 7" xfId="13685" xr:uid="{00000000-0005-0000-0000-000075350000}"/>
    <cellStyle name="Normal 2 2 2 2 4 16 3 8" xfId="13686" xr:uid="{00000000-0005-0000-0000-000076350000}"/>
    <cellStyle name="Normal 2 2 2 2 4 16 3 9" xfId="13687" xr:uid="{00000000-0005-0000-0000-000077350000}"/>
    <cellStyle name="Normal 2 2 2 2 4 16 4" xfId="13688" xr:uid="{00000000-0005-0000-0000-000078350000}"/>
    <cellStyle name="Normal 2 2 2 2 4 16 4 10" xfId="13689" xr:uid="{00000000-0005-0000-0000-000079350000}"/>
    <cellStyle name="Normal 2 2 2 2 4 16 4 2" xfId="13690" xr:uid="{00000000-0005-0000-0000-00007A350000}"/>
    <cellStyle name="Normal 2 2 2 2 4 16 4 3" xfId="13691" xr:uid="{00000000-0005-0000-0000-00007B350000}"/>
    <cellStyle name="Normal 2 2 2 2 4 16 4 4" xfId="13692" xr:uid="{00000000-0005-0000-0000-00007C350000}"/>
    <cellStyle name="Normal 2 2 2 2 4 16 4 5" xfId="13693" xr:uid="{00000000-0005-0000-0000-00007D350000}"/>
    <cellStyle name="Normal 2 2 2 2 4 16 4 6" xfId="13694" xr:uid="{00000000-0005-0000-0000-00007E350000}"/>
    <cellStyle name="Normal 2 2 2 2 4 16 4 7" xfId="13695" xr:uid="{00000000-0005-0000-0000-00007F350000}"/>
    <cellStyle name="Normal 2 2 2 2 4 16 4 8" xfId="13696" xr:uid="{00000000-0005-0000-0000-000080350000}"/>
    <cellStyle name="Normal 2 2 2 2 4 16 4 9" xfId="13697" xr:uid="{00000000-0005-0000-0000-000081350000}"/>
    <cellStyle name="Normal 2 2 2 2 4 16 5" xfId="13698" xr:uid="{00000000-0005-0000-0000-000082350000}"/>
    <cellStyle name="Normal 2 2 2 2 4 16 5 10" xfId="13699" xr:uid="{00000000-0005-0000-0000-000083350000}"/>
    <cellStyle name="Normal 2 2 2 2 4 16 5 2" xfId="13700" xr:uid="{00000000-0005-0000-0000-000084350000}"/>
    <cellStyle name="Normal 2 2 2 2 4 16 5 3" xfId="13701" xr:uid="{00000000-0005-0000-0000-000085350000}"/>
    <cellStyle name="Normal 2 2 2 2 4 16 5 4" xfId="13702" xr:uid="{00000000-0005-0000-0000-000086350000}"/>
    <cellStyle name="Normal 2 2 2 2 4 16 5 5" xfId="13703" xr:uid="{00000000-0005-0000-0000-000087350000}"/>
    <cellStyle name="Normal 2 2 2 2 4 16 5 6" xfId="13704" xr:uid="{00000000-0005-0000-0000-000088350000}"/>
    <cellStyle name="Normal 2 2 2 2 4 16 5 7" xfId="13705" xr:uid="{00000000-0005-0000-0000-000089350000}"/>
    <cellStyle name="Normal 2 2 2 2 4 16 5 8" xfId="13706" xr:uid="{00000000-0005-0000-0000-00008A350000}"/>
    <cellStyle name="Normal 2 2 2 2 4 16 5 9" xfId="13707" xr:uid="{00000000-0005-0000-0000-00008B350000}"/>
    <cellStyle name="Normal 2 2 2 2 4 16 6" xfId="13708" xr:uid="{00000000-0005-0000-0000-00008C350000}"/>
    <cellStyle name="Normal 2 2 2 2 4 16 7" xfId="13709" xr:uid="{00000000-0005-0000-0000-00008D350000}"/>
    <cellStyle name="Normal 2 2 2 2 4 16 8" xfId="13710" xr:uid="{00000000-0005-0000-0000-00008E350000}"/>
    <cellStyle name="Normal 2 2 2 2 4 16 9" xfId="13711" xr:uid="{00000000-0005-0000-0000-00008F350000}"/>
    <cellStyle name="Normal 2 2 2 2 4 17" xfId="13712" xr:uid="{00000000-0005-0000-0000-000090350000}"/>
    <cellStyle name="Normal 2 2 2 2 4 17 10" xfId="13713" xr:uid="{00000000-0005-0000-0000-000091350000}"/>
    <cellStyle name="Normal 2 2 2 2 4 17 11" xfId="13714" xr:uid="{00000000-0005-0000-0000-000092350000}"/>
    <cellStyle name="Normal 2 2 2 2 4 17 12" xfId="13715" xr:uid="{00000000-0005-0000-0000-000093350000}"/>
    <cellStyle name="Normal 2 2 2 2 4 17 13" xfId="13716" xr:uid="{00000000-0005-0000-0000-000094350000}"/>
    <cellStyle name="Normal 2 2 2 2 4 17 14" xfId="13717" xr:uid="{00000000-0005-0000-0000-000095350000}"/>
    <cellStyle name="Normal 2 2 2 2 4 17 2" xfId="13718" xr:uid="{00000000-0005-0000-0000-000096350000}"/>
    <cellStyle name="Normal 2 2 2 2 4 17 2 10" xfId="13719" xr:uid="{00000000-0005-0000-0000-000097350000}"/>
    <cellStyle name="Normal 2 2 2 2 4 17 2 2" xfId="13720" xr:uid="{00000000-0005-0000-0000-000098350000}"/>
    <cellStyle name="Normal 2 2 2 2 4 17 2 3" xfId="13721" xr:uid="{00000000-0005-0000-0000-000099350000}"/>
    <cellStyle name="Normal 2 2 2 2 4 17 2 4" xfId="13722" xr:uid="{00000000-0005-0000-0000-00009A350000}"/>
    <cellStyle name="Normal 2 2 2 2 4 17 2 5" xfId="13723" xr:uid="{00000000-0005-0000-0000-00009B350000}"/>
    <cellStyle name="Normal 2 2 2 2 4 17 2 6" xfId="13724" xr:uid="{00000000-0005-0000-0000-00009C350000}"/>
    <cellStyle name="Normal 2 2 2 2 4 17 2 7" xfId="13725" xr:uid="{00000000-0005-0000-0000-00009D350000}"/>
    <cellStyle name="Normal 2 2 2 2 4 17 2 8" xfId="13726" xr:uid="{00000000-0005-0000-0000-00009E350000}"/>
    <cellStyle name="Normal 2 2 2 2 4 17 2 9" xfId="13727" xr:uid="{00000000-0005-0000-0000-00009F350000}"/>
    <cellStyle name="Normal 2 2 2 2 4 17 3" xfId="13728" xr:uid="{00000000-0005-0000-0000-0000A0350000}"/>
    <cellStyle name="Normal 2 2 2 2 4 17 3 10" xfId="13729" xr:uid="{00000000-0005-0000-0000-0000A1350000}"/>
    <cellStyle name="Normal 2 2 2 2 4 17 3 2" xfId="13730" xr:uid="{00000000-0005-0000-0000-0000A2350000}"/>
    <cellStyle name="Normal 2 2 2 2 4 17 3 3" xfId="13731" xr:uid="{00000000-0005-0000-0000-0000A3350000}"/>
    <cellStyle name="Normal 2 2 2 2 4 17 3 4" xfId="13732" xr:uid="{00000000-0005-0000-0000-0000A4350000}"/>
    <cellStyle name="Normal 2 2 2 2 4 17 3 5" xfId="13733" xr:uid="{00000000-0005-0000-0000-0000A5350000}"/>
    <cellStyle name="Normal 2 2 2 2 4 17 3 6" xfId="13734" xr:uid="{00000000-0005-0000-0000-0000A6350000}"/>
    <cellStyle name="Normal 2 2 2 2 4 17 3 7" xfId="13735" xr:uid="{00000000-0005-0000-0000-0000A7350000}"/>
    <cellStyle name="Normal 2 2 2 2 4 17 3 8" xfId="13736" xr:uid="{00000000-0005-0000-0000-0000A8350000}"/>
    <cellStyle name="Normal 2 2 2 2 4 17 3 9" xfId="13737" xr:uid="{00000000-0005-0000-0000-0000A9350000}"/>
    <cellStyle name="Normal 2 2 2 2 4 17 4" xfId="13738" xr:uid="{00000000-0005-0000-0000-0000AA350000}"/>
    <cellStyle name="Normal 2 2 2 2 4 17 4 10" xfId="13739" xr:uid="{00000000-0005-0000-0000-0000AB350000}"/>
    <cellStyle name="Normal 2 2 2 2 4 17 4 2" xfId="13740" xr:uid="{00000000-0005-0000-0000-0000AC350000}"/>
    <cellStyle name="Normal 2 2 2 2 4 17 4 3" xfId="13741" xr:uid="{00000000-0005-0000-0000-0000AD350000}"/>
    <cellStyle name="Normal 2 2 2 2 4 17 4 4" xfId="13742" xr:uid="{00000000-0005-0000-0000-0000AE350000}"/>
    <cellStyle name="Normal 2 2 2 2 4 17 4 5" xfId="13743" xr:uid="{00000000-0005-0000-0000-0000AF350000}"/>
    <cellStyle name="Normal 2 2 2 2 4 17 4 6" xfId="13744" xr:uid="{00000000-0005-0000-0000-0000B0350000}"/>
    <cellStyle name="Normal 2 2 2 2 4 17 4 7" xfId="13745" xr:uid="{00000000-0005-0000-0000-0000B1350000}"/>
    <cellStyle name="Normal 2 2 2 2 4 17 4 8" xfId="13746" xr:uid="{00000000-0005-0000-0000-0000B2350000}"/>
    <cellStyle name="Normal 2 2 2 2 4 17 4 9" xfId="13747" xr:uid="{00000000-0005-0000-0000-0000B3350000}"/>
    <cellStyle name="Normal 2 2 2 2 4 17 5" xfId="13748" xr:uid="{00000000-0005-0000-0000-0000B4350000}"/>
    <cellStyle name="Normal 2 2 2 2 4 17 5 10" xfId="13749" xr:uid="{00000000-0005-0000-0000-0000B5350000}"/>
    <cellStyle name="Normal 2 2 2 2 4 17 5 2" xfId="13750" xr:uid="{00000000-0005-0000-0000-0000B6350000}"/>
    <cellStyle name="Normal 2 2 2 2 4 17 5 3" xfId="13751" xr:uid="{00000000-0005-0000-0000-0000B7350000}"/>
    <cellStyle name="Normal 2 2 2 2 4 17 5 4" xfId="13752" xr:uid="{00000000-0005-0000-0000-0000B8350000}"/>
    <cellStyle name="Normal 2 2 2 2 4 17 5 5" xfId="13753" xr:uid="{00000000-0005-0000-0000-0000B9350000}"/>
    <cellStyle name="Normal 2 2 2 2 4 17 5 6" xfId="13754" xr:uid="{00000000-0005-0000-0000-0000BA350000}"/>
    <cellStyle name="Normal 2 2 2 2 4 17 5 7" xfId="13755" xr:uid="{00000000-0005-0000-0000-0000BB350000}"/>
    <cellStyle name="Normal 2 2 2 2 4 17 5 8" xfId="13756" xr:uid="{00000000-0005-0000-0000-0000BC350000}"/>
    <cellStyle name="Normal 2 2 2 2 4 17 5 9" xfId="13757" xr:uid="{00000000-0005-0000-0000-0000BD350000}"/>
    <cellStyle name="Normal 2 2 2 2 4 17 6" xfId="13758" xr:uid="{00000000-0005-0000-0000-0000BE350000}"/>
    <cellStyle name="Normal 2 2 2 2 4 17 7" xfId="13759" xr:uid="{00000000-0005-0000-0000-0000BF350000}"/>
    <cellStyle name="Normal 2 2 2 2 4 17 8" xfId="13760" xr:uid="{00000000-0005-0000-0000-0000C0350000}"/>
    <cellStyle name="Normal 2 2 2 2 4 17 9" xfId="13761" xr:uid="{00000000-0005-0000-0000-0000C1350000}"/>
    <cellStyle name="Normal 2 2 2 2 4 18" xfId="13762" xr:uid="{00000000-0005-0000-0000-0000C2350000}"/>
    <cellStyle name="Normal 2 2 2 2 4 18 10" xfId="13763" xr:uid="{00000000-0005-0000-0000-0000C3350000}"/>
    <cellStyle name="Normal 2 2 2 2 4 18 11" xfId="13764" xr:uid="{00000000-0005-0000-0000-0000C4350000}"/>
    <cellStyle name="Normal 2 2 2 2 4 18 12" xfId="13765" xr:uid="{00000000-0005-0000-0000-0000C5350000}"/>
    <cellStyle name="Normal 2 2 2 2 4 18 13" xfId="13766" xr:uid="{00000000-0005-0000-0000-0000C6350000}"/>
    <cellStyle name="Normal 2 2 2 2 4 18 14" xfId="13767" xr:uid="{00000000-0005-0000-0000-0000C7350000}"/>
    <cellStyle name="Normal 2 2 2 2 4 18 2" xfId="13768" xr:uid="{00000000-0005-0000-0000-0000C8350000}"/>
    <cellStyle name="Normal 2 2 2 2 4 18 2 10" xfId="13769" xr:uid="{00000000-0005-0000-0000-0000C9350000}"/>
    <cellStyle name="Normal 2 2 2 2 4 18 2 2" xfId="13770" xr:uid="{00000000-0005-0000-0000-0000CA350000}"/>
    <cellStyle name="Normal 2 2 2 2 4 18 2 3" xfId="13771" xr:uid="{00000000-0005-0000-0000-0000CB350000}"/>
    <cellStyle name="Normal 2 2 2 2 4 18 2 4" xfId="13772" xr:uid="{00000000-0005-0000-0000-0000CC350000}"/>
    <cellStyle name="Normal 2 2 2 2 4 18 2 5" xfId="13773" xr:uid="{00000000-0005-0000-0000-0000CD350000}"/>
    <cellStyle name="Normal 2 2 2 2 4 18 2 6" xfId="13774" xr:uid="{00000000-0005-0000-0000-0000CE350000}"/>
    <cellStyle name="Normal 2 2 2 2 4 18 2 7" xfId="13775" xr:uid="{00000000-0005-0000-0000-0000CF350000}"/>
    <cellStyle name="Normal 2 2 2 2 4 18 2 8" xfId="13776" xr:uid="{00000000-0005-0000-0000-0000D0350000}"/>
    <cellStyle name="Normal 2 2 2 2 4 18 2 9" xfId="13777" xr:uid="{00000000-0005-0000-0000-0000D1350000}"/>
    <cellStyle name="Normal 2 2 2 2 4 18 3" xfId="13778" xr:uid="{00000000-0005-0000-0000-0000D2350000}"/>
    <cellStyle name="Normal 2 2 2 2 4 18 3 10" xfId="13779" xr:uid="{00000000-0005-0000-0000-0000D3350000}"/>
    <cellStyle name="Normal 2 2 2 2 4 18 3 2" xfId="13780" xr:uid="{00000000-0005-0000-0000-0000D4350000}"/>
    <cellStyle name="Normal 2 2 2 2 4 18 3 3" xfId="13781" xr:uid="{00000000-0005-0000-0000-0000D5350000}"/>
    <cellStyle name="Normal 2 2 2 2 4 18 3 4" xfId="13782" xr:uid="{00000000-0005-0000-0000-0000D6350000}"/>
    <cellStyle name="Normal 2 2 2 2 4 18 3 5" xfId="13783" xr:uid="{00000000-0005-0000-0000-0000D7350000}"/>
    <cellStyle name="Normal 2 2 2 2 4 18 3 6" xfId="13784" xr:uid="{00000000-0005-0000-0000-0000D8350000}"/>
    <cellStyle name="Normal 2 2 2 2 4 18 3 7" xfId="13785" xr:uid="{00000000-0005-0000-0000-0000D9350000}"/>
    <cellStyle name="Normal 2 2 2 2 4 18 3 8" xfId="13786" xr:uid="{00000000-0005-0000-0000-0000DA350000}"/>
    <cellStyle name="Normal 2 2 2 2 4 18 3 9" xfId="13787" xr:uid="{00000000-0005-0000-0000-0000DB350000}"/>
    <cellStyle name="Normal 2 2 2 2 4 18 4" xfId="13788" xr:uid="{00000000-0005-0000-0000-0000DC350000}"/>
    <cellStyle name="Normal 2 2 2 2 4 18 4 10" xfId="13789" xr:uid="{00000000-0005-0000-0000-0000DD350000}"/>
    <cellStyle name="Normal 2 2 2 2 4 18 4 2" xfId="13790" xr:uid="{00000000-0005-0000-0000-0000DE350000}"/>
    <cellStyle name="Normal 2 2 2 2 4 18 4 3" xfId="13791" xr:uid="{00000000-0005-0000-0000-0000DF350000}"/>
    <cellStyle name="Normal 2 2 2 2 4 18 4 4" xfId="13792" xr:uid="{00000000-0005-0000-0000-0000E0350000}"/>
    <cellStyle name="Normal 2 2 2 2 4 18 4 5" xfId="13793" xr:uid="{00000000-0005-0000-0000-0000E1350000}"/>
    <cellStyle name="Normal 2 2 2 2 4 18 4 6" xfId="13794" xr:uid="{00000000-0005-0000-0000-0000E2350000}"/>
    <cellStyle name="Normal 2 2 2 2 4 18 4 7" xfId="13795" xr:uid="{00000000-0005-0000-0000-0000E3350000}"/>
    <cellStyle name="Normal 2 2 2 2 4 18 4 8" xfId="13796" xr:uid="{00000000-0005-0000-0000-0000E4350000}"/>
    <cellStyle name="Normal 2 2 2 2 4 18 4 9" xfId="13797" xr:uid="{00000000-0005-0000-0000-0000E5350000}"/>
    <cellStyle name="Normal 2 2 2 2 4 18 5" xfId="13798" xr:uid="{00000000-0005-0000-0000-0000E6350000}"/>
    <cellStyle name="Normal 2 2 2 2 4 18 5 10" xfId="13799" xr:uid="{00000000-0005-0000-0000-0000E7350000}"/>
    <cellStyle name="Normal 2 2 2 2 4 18 5 2" xfId="13800" xr:uid="{00000000-0005-0000-0000-0000E8350000}"/>
    <cellStyle name="Normal 2 2 2 2 4 18 5 3" xfId="13801" xr:uid="{00000000-0005-0000-0000-0000E9350000}"/>
    <cellStyle name="Normal 2 2 2 2 4 18 5 4" xfId="13802" xr:uid="{00000000-0005-0000-0000-0000EA350000}"/>
    <cellStyle name="Normal 2 2 2 2 4 18 5 5" xfId="13803" xr:uid="{00000000-0005-0000-0000-0000EB350000}"/>
    <cellStyle name="Normal 2 2 2 2 4 18 5 6" xfId="13804" xr:uid="{00000000-0005-0000-0000-0000EC350000}"/>
    <cellStyle name="Normal 2 2 2 2 4 18 5 7" xfId="13805" xr:uid="{00000000-0005-0000-0000-0000ED350000}"/>
    <cellStyle name="Normal 2 2 2 2 4 18 5 8" xfId="13806" xr:uid="{00000000-0005-0000-0000-0000EE350000}"/>
    <cellStyle name="Normal 2 2 2 2 4 18 5 9" xfId="13807" xr:uid="{00000000-0005-0000-0000-0000EF350000}"/>
    <cellStyle name="Normal 2 2 2 2 4 18 6" xfId="13808" xr:uid="{00000000-0005-0000-0000-0000F0350000}"/>
    <cellStyle name="Normal 2 2 2 2 4 18 7" xfId="13809" xr:uid="{00000000-0005-0000-0000-0000F1350000}"/>
    <cellStyle name="Normal 2 2 2 2 4 18 8" xfId="13810" xr:uid="{00000000-0005-0000-0000-0000F2350000}"/>
    <cellStyle name="Normal 2 2 2 2 4 18 9" xfId="13811" xr:uid="{00000000-0005-0000-0000-0000F3350000}"/>
    <cellStyle name="Normal 2 2 2 2 4 19" xfId="13812" xr:uid="{00000000-0005-0000-0000-0000F4350000}"/>
    <cellStyle name="Normal 2 2 2 2 4 19 10" xfId="13813" xr:uid="{00000000-0005-0000-0000-0000F5350000}"/>
    <cellStyle name="Normal 2 2 2 2 4 19 11" xfId="13814" xr:uid="{00000000-0005-0000-0000-0000F6350000}"/>
    <cellStyle name="Normal 2 2 2 2 4 19 12" xfId="13815" xr:uid="{00000000-0005-0000-0000-0000F7350000}"/>
    <cellStyle name="Normal 2 2 2 2 4 19 13" xfId="13816" xr:uid="{00000000-0005-0000-0000-0000F8350000}"/>
    <cellStyle name="Normal 2 2 2 2 4 19 14" xfId="13817" xr:uid="{00000000-0005-0000-0000-0000F9350000}"/>
    <cellStyle name="Normal 2 2 2 2 4 19 2" xfId="13818" xr:uid="{00000000-0005-0000-0000-0000FA350000}"/>
    <cellStyle name="Normal 2 2 2 2 4 19 2 10" xfId="13819" xr:uid="{00000000-0005-0000-0000-0000FB350000}"/>
    <cellStyle name="Normal 2 2 2 2 4 19 2 2" xfId="13820" xr:uid="{00000000-0005-0000-0000-0000FC350000}"/>
    <cellStyle name="Normal 2 2 2 2 4 19 2 3" xfId="13821" xr:uid="{00000000-0005-0000-0000-0000FD350000}"/>
    <cellStyle name="Normal 2 2 2 2 4 19 2 4" xfId="13822" xr:uid="{00000000-0005-0000-0000-0000FE350000}"/>
    <cellStyle name="Normal 2 2 2 2 4 19 2 5" xfId="13823" xr:uid="{00000000-0005-0000-0000-0000FF350000}"/>
    <cellStyle name="Normal 2 2 2 2 4 19 2 6" xfId="13824" xr:uid="{00000000-0005-0000-0000-000000360000}"/>
    <cellStyle name="Normal 2 2 2 2 4 19 2 7" xfId="13825" xr:uid="{00000000-0005-0000-0000-000001360000}"/>
    <cellStyle name="Normal 2 2 2 2 4 19 2 8" xfId="13826" xr:uid="{00000000-0005-0000-0000-000002360000}"/>
    <cellStyle name="Normal 2 2 2 2 4 19 2 9" xfId="13827" xr:uid="{00000000-0005-0000-0000-000003360000}"/>
    <cellStyle name="Normal 2 2 2 2 4 19 3" xfId="13828" xr:uid="{00000000-0005-0000-0000-000004360000}"/>
    <cellStyle name="Normal 2 2 2 2 4 19 3 10" xfId="13829" xr:uid="{00000000-0005-0000-0000-000005360000}"/>
    <cellStyle name="Normal 2 2 2 2 4 19 3 2" xfId="13830" xr:uid="{00000000-0005-0000-0000-000006360000}"/>
    <cellStyle name="Normal 2 2 2 2 4 19 3 3" xfId="13831" xr:uid="{00000000-0005-0000-0000-000007360000}"/>
    <cellStyle name="Normal 2 2 2 2 4 19 3 4" xfId="13832" xr:uid="{00000000-0005-0000-0000-000008360000}"/>
    <cellStyle name="Normal 2 2 2 2 4 19 3 5" xfId="13833" xr:uid="{00000000-0005-0000-0000-000009360000}"/>
    <cellStyle name="Normal 2 2 2 2 4 19 3 6" xfId="13834" xr:uid="{00000000-0005-0000-0000-00000A360000}"/>
    <cellStyle name="Normal 2 2 2 2 4 19 3 7" xfId="13835" xr:uid="{00000000-0005-0000-0000-00000B360000}"/>
    <cellStyle name="Normal 2 2 2 2 4 19 3 8" xfId="13836" xr:uid="{00000000-0005-0000-0000-00000C360000}"/>
    <cellStyle name="Normal 2 2 2 2 4 19 3 9" xfId="13837" xr:uid="{00000000-0005-0000-0000-00000D360000}"/>
    <cellStyle name="Normal 2 2 2 2 4 19 4" xfId="13838" xr:uid="{00000000-0005-0000-0000-00000E360000}"/>
    <cellStyle name="Normal 2 2 2 2 4 19 4 10" xfId="13839" xr:uid="{00000000-0005-0000-0000-00000F360000}"/>
    <cellStyle name="Normal 2 2 2 2 4 19 4 2" xfId="13840" xr:uid="{00000000-0005-0000-0000-000010360000}"/>
    <cellStyle name="Normal 2 2 2 2 4 19 4 3" xfId="13841" xr:uid="{00000000-0005-0000-0000-000011360000}"/>
    <cellStyle name="Normal 2 2 2 2 4 19 4 4" xfId="13842" xr:uid="{00000000-0005-0000-0000-000012360000}"/>
    <cellStyle name="Normal 2 2 2 2 4 19 4 5" xfId="13843" xr:uid="{00000000-0005-0000-0000-000013360000}"/>
    <cellStyle name="Normal 2 2 2 2 4 19 4 6" xfId="13844" xr:uid="{00000000-0005-0000-0000-000014360000}"/>
    <cellStyle name="Normal 2 2 2 2 4 19 4 7" xfId="13845" xr:uid="{00000000-0005-0000-0000-000015360000}"/>
    <cellStyle name="Normal 2 2 2 2 4 19 4 8" xfId="13846" xr:uid="{00000000-0005-0000-0000-000016360000}"/>
    <cellStyle name="Normal 2 2 2 2 4 19 4 9" xfId="13847" xr:uid="{00000000-0005-0000-0000-000017360000}"/>
    <cellStyle name="Normal 2 2 2 2 4 19 5" xfId="13848" xr:uid="{00000000-0005-0000-0000-000018360000}"/>
    <cellStyle name="Normal 2 2 2 2 4 19 5 10" xfId="13849" xr:uid="{00000000-0005-0000-0000-000019360000}"/>
    <cellStyle name="Normal 2 2 2 2 4 19 5 2" xfId="13850" xr:uid="{00000000-0005-0000-0000-00001A360000}"/>
    <cellStyle name="Normal 2 2 2 2 4 19 5 3" xfId="13851" xr:uid="{00000000-0005-0000-0000-00001B360000}"/>
    <cellStyle name="Normal 2 2 2 2 4 19 5 4" xfId="13852" xr:uid="{00000000-0005-0000-0000-00001C360000}"/>
    <cellStyle name="Normal 2 2 2 2 4 19 5 5" xfId="13853" xr:uid="{00000000-0005-0000-0000-00001D360000}"/>
    <cellStyle name="Normal 2 2 2 2 4 19 5 6" xfId="13854" xr:uid="{00000000-0005-0000-0000-00001E360000}"/>
    <cellStyle name="Normal 2 2 2 2 4 19 5 7" xfId="13855" xr:uid="{00000000-0005-0000-0000-00001F360000}"/>
    <cellStyle name="Normal 2 2 2 2 4 19 5 8" xfId="13856" xr:uid="{00000000-0005-0000-0000-000020360000}"/>
    <cellStyle name="Normal 2 2 2 2 4 19 5 9" xfId="13857" xr:uid="{00000000-0005-0000-0000-000021360000}"/>
    <cellStyle name="Normal 2 2 2 2 4 19 6" xfId="13858" xr:uid="{00000000-0005-0000-0000-000022360000}"/>
    <cellStyle name="Normal 2 2 2 2 4 19 7" xfId="13859" xr:uid="{00000000-0005-0000-0000-000023360000}"/>
    <cellStyle name="Normal 2 2 2 2 4 19 8" xfId="13860" xr:uid="{00000000-0005-0000-0000-000024360000}"/>
    <cellStyle name="Normal 2 2 2 2 4 19 9" xfId="13861" xr:uid="{00000000-0005-0000-0000-000025360000}"/>
    <cellStyle name="Normal 2 2 2 2 4 2" xfId="13862" xr:uid="{00000000-0005-0000-0000-000026360000}"/>
    <cellStyle name="Normal 2 2 2 2 4 2 10" xfId="13863" xr:uid="{00000000-0005-0000-0000-000027360000}"/>
    <cellStyle name="Normal 2 2 2 2 4 2 11" xfId="13864" xr:uid="{00000000-0005-0000-0000-000028360000}"/>
    <cellStyle name="Normal 2 2 2 2 4 2 12" xfId="13865" xr:uid="{00000000-0005-0000-0000-000029360000}"/>
    <cellStyle name="Normal 2 2 2 2 4 2 13" xfId="13866" xr:uid="{00000000-0005-0000-0000-00002A360000}"/>
    <cellStyle name="Normal 2 2 2 2 4 2 14" xfId="13867" xr:uid="{00000000-0005-0000-0000-00002B360000}"/>
    <cellStyle name="Normal 2 2 2 2 4 2 15" xfId="13868" xr:uid="{00000000-0005-0000-0000-00002C360000}"/>
    <cellStyle name="Normal 2 2 2 2 4 2 16" xfId="13869" xr:uid="{00000000-0005-0000-0000-00002D360000}"/>
    <cellStyle name="Normal 2 2 2 2 4 2 17" xfId="13870" xr:uid="{00000000-0005-0000-0000-00002E360000}"/>
    <cellStyle name="Normal 2 2 2 2 4 2 18" xfId="13871" xr:uid="{00000000-0005-0000-0000-00002F360000}"/>
    <cellStyle name="Normal 2 2 2 2 4 2 19" xfId="13872" xr:uid="{00000000-0005-0000-0000-000030360000}"/>
    <cellStyle name="Normal 2 2 2 2 4 2 2" xfId="13873" xr:uid="{00000000-0005-0000-0000-000031360000}"/>
    <cellStyle name="Normal 2 2 2 2 4 2 2 10" xfId="13874" xr:uid="{00000000-0005-0000-0000-000032360000}"/>
    <cellStyle name="Normal 2 2 2 2 4 2 2 10 10" xfId="13875" xr:uid="{00000000-0005-0000-0000-000033360000}"/>
    <cellStyle name="Normal 2 2 2 2 4 2 2 10 11" xfId="13876" xr:uid="{00000000-0005-0000-0000-000034360000}"/>
    <cellStyle name="Normal 2 2 2 2 4 2 2 10 12" xfId="13877" xr:uid="{00000000-0005-0000-0000-000035360000}"/>
    <cellStyle name="Normal 2 2 2 2 4 2 2 10 13" xfId="13878" xr:uid="{00000000-0005-0000-0000-000036360000}"/>
    <cellStyle name="Normal 2 2 2 2 4 2 2 10 14" xfId="13879" xr:uid="{00000000-0005-0000-0000-000037360000}"/>
    <cellStyle name="Normal 2 2 2 2 4 2 2 10 2" xfId="13880" xr:uid="{00000000-0005-0000-0000-000038360000}"/>
    <cellStyle name="Normal 2 2 2 2 4 2 2 10 2 10" xfId="13881" xr:uid="{00000000-0005-0000-0000-000039360000}"/>
    <cellStyle name="Normal 2 2 2 2 4 2 2 10 2 2" xfId="13882" xr:uid="{00000000-0005-0000-0000-00003A360000}"/>
    <cellStyle name="Normal 2 2 2 2 4 2 2 10 2 3" xfId="13883" xr:uid="{00000000-0005-0000-0000-00003B360000}"/>
    <cellStyle name="Normal 2 2 2 2 4 2 2 10 2 4" xfId="13884" xr:uid="{00000000-0005-0000-0000-00003C360000}"/>
    <cellStyle name="Normal 2 2 2 2 4 2 2 10 2 5" xfId="13885" xr:uid="{00000000-0005-0000-0000-00003D360000}"/>
    <cellStyle name="Normal 2 2 2 2 4 2 2 10 2 6" xfId="13886" xr:uid="{00000000-0005-0000-0000-00003E360000}"/>
    <cellStyle name="Normal 2 2 2 2 4 2 2 10 2 7" xfId="13887" xr:uid="{00000000-0005-0000-0000-00003F360000}"/>
    <cellStyle name="Normal 2 2 2 2 4 2 2 10 2 8" xfId="13888" xr:uid="{00000000-0005-0000-0000-000040360000}"/>
    <cellStyle name="Normal 2 2 2 2 4 2 2 10 2 9" xfId="13889" xr:uid="{00000000-0005-0000-0000-000041360000}"/>
    <cellStyle name="Normal 2 2 2 2 4 2 2 10 3" xfId="13890" xr:uid="{00000000-0005-0000-0000-000042360000}"/>
    <cellStyle name="Normal 2 2 2 2 4 2 2 10 3 10" xfId="13891" xr:uid="{00000000-0005-0000-0000-000043360000}"/>
    <cellStyle name="Normal 2 2 2 2 4 2 2 10 3 2" xfId="13892" xr:uid="{00000000-0005-0000-0000-000044360000}"/>
    <cellStyle name="Normal 2 2 2 2 4 2 2 10 3 3" xfId="13893" xr:uid="{00000000-0005-0000-0000-000045360000}"/>
    <cellStyle name="Normal 2 2 2 2 4 2 2 10 3 4" xfId="13894" xr:uid="{00000000-0005-0000-0000-000046360000}"/>
    <cellStyle name="Normal 2 2 2 2 4 2 2 10 3 5" xfId="13895" xr:uid="{00000000-0005-0000-0000-000047360000}"/>
    <cellStyle name="Normal 2 2 2 2 4 2 2 10 3 6" xfId="13896" xr:uid="{00000000-0005-0000-0000-000048360000}"/>
    <cellStyle name="Normal 2 2 2 2 4 2 2 10 3 7" xfId="13897" xr:uid="{00000000-0005-0000-0000-000049360000}"/>
    <cellStyle name="Normal 2 2 2 2 4 2 2 10 3 8" xfId="13898" xr:uid="{00000000-0005-0000-0000-00004A360000}"/>
    <cellStyle name="Normal 2 2 2 2 4 2 2 10 3 9" xfId="13899" xr:uid="{00000000-0005-0000-0000-00004B360000}"/>
    <cellStyle name="Normal 2 2 2 2 4 2 2 10 4" xfId="13900" xr:uid="{00000000-0005-0000-0000-00004C360000}"/>
    <cellStyle name="Normal 2 2 2 2 4 2 2 10 4 10" xfId="13901" xr:uid="{00000000-0005-0000-0000-00004D360000}"/>
    <cellStyle name="Normal 2 2 2 2 4 2 2 10 4 2" xfId="13902" xr:uid="{00000000-0005-0000-0000-00004E360000}"/>
    <cellStyle name="Normal 2 2 2 2 4 2 2 10 4 3" xfId="13903" xr:uid="{00000000-0005-0000-0000-00004F360000}"/>
    <cellStyle name="Normal 2 2 2 2 4 2 2 10 4 4" xfId="13904" xr:uid="{00000000-0005-0000-0000-000050360000}"/>
    <cellStyle name="Normal 2 2 2 2 4 2 2 10 4 5" xfId="13905" xr:uid="{00000000-0005-0000-0000-000051360000}"/>
    <cellStyle name="Normal 2 2 2 2 4 2 2 10 4 6" xfId="13906" xr:uid="{00000000-0005-0000-0000-000052360000}"/>
    <cellStyle name="Normal 2 2 2 2 4 2 2 10 4 7" xfId="13907" xr:uid="{00000000-0005-0000-0000-000053360000}"/>
    <cellStyle name="Normal 2 2 2 2 4 2 2 10 4 8" xfId="13908" xr:uid="{00000000-0005-0000-0000-000054360000}"/>
    <cellStyle name="Normal 2 2 2 2 4 2 2 10 4 9" xfId="13909" xr:uid="{00000000-0005-0000-0000-000055360000}"/>
    <cellStyle name="Normal 2 2 2 2 4 2 2 10 5" xfId="13910" xr:uid="{00000000-0005-0000-0000-000056360000}"/>
    <cellStyle name="Normal 2 2 2 2 4 2 2 10 5 10" xfId="13911" xr:uid="{00000000-0005-0000-0000-000057360000}"/>
    <cellStyle name="Normal 2 2 2 2 4 2 2 10 5 2" xfId="13912" xr:uid="{00000000-0005-0000-0000-000058360000}"/>
    <cellStyle name="Normal 2 2 2 2 4 2 2 10 5 3" xfId="13913" xr:uid="{00000000-0005-0000-0000-000059360000}"/>
    <cellStyle name="Normal 2 2 2 2 4 2 2 10 5 4" xfId="13914" xr:uid="{00000000-0005-0000-0000-00005A360000}"/>
    <cellStyle name="Normal 2 2 2 2 4 2 2 10 5 5" xfId="13915" xr:uid="{00000000-0005-0000-0000-00005B360000}"/>
    <cellStyle name="Normal 2 2 2 2 4 2 2 10 5 6" xfId="13916" xr:uid="{00000000-0005-0000-0000-00005C360000}"/>
    <cellStyle name="Normal 2 2 2 2 4 2 2 10 5 7" xfId="13917" xr:uid="{00000000-0005-0000-0000-00005D360000}"/>
    <cellStyle name="Normal 2 2 2 2 4 2 2 10 5 8" xfId="13918" xr:uid="{00000000-0005-0000-0000-00005E360000}"/>
    <cellStyle name="Normal 2 2 2 2 4 2 2 10 5 9" xfId="13919" xr:uid="{00000000-0005-0000-0000-00005F360000}"/>
    <cellStyle name="Normal 2 2 2 2 4 2 2 10 6" xfId="13920" xr:uid="{00000000-0005-0000-0000-000060360000}"/>
    <cellStyle name="Normal 2 2 2 2 4 2 2 10 7" xfId="13921" xr:uid="{00000000-0005-0000-0000-000061360000}"/>
    <cellStyle name="Normal 2 2 2 2 4 2 2 10 8" xfId="13922" xr:uid="{00000000-0005-0000-0000-000062360000}"/>
    <cellStyle name="Normal 2 2 2 2 4 2 2 10 9" xfId="13923" xr:uid="{00000000-0005-0000-0000-000063360000}"/>
    <cellStyle name="Normal 2 2 2 2 4 2 2 11" xfId="13924" xr:uid="{00000000-0005-0000-0000-000064360000}"/>
    <cellStyle name="Normal 2 2 2 2 4 2 2 11 10" xfId="13925" xr:uid="{00000000-0005-0000-0000-000065360000}"/>
    <cellStyle name="Normal 2 2 2 2 4 2 2 11 11" xfId="13926" xr:uid="{00000000-0005-0000-0000-000066360000}"/>
    <cellStyle name="Normal 2 2 2 2 4 2 2 11 12" xfId="13927" xr:uid="{00000000-0005-0000-0000-000067360000}"/>
    <cellStyle name="Normal 2 2 2 2 4 2 2 11 13" xfId="13928" xr:uid="{00000000-0005-0000-0000-000068360000}"/>
    <cellStyle name="Normal 2 2 2 2 4 2 2 11 14" xfId="13929" xr:uid="{00000000-0005-0000-0000-000069360000}"/>
    <cellStyle name="Normal 2 2 2 2 4 2 2 11 2" xfId="13930" xr:uid="{00000000-0005-0000-0000-00006A360000}"/>
    <cellStyle name="Normal 2 2 2 2 4 2 2 11 2 10" xfId="13931" xr:uid="{00000000-0005-0000-0000-00006B360000}"/>
    <cellStyle name="Normal 2 2 2 2 4 2 2 11 2 2" xfId="13932" xr:uid="{00000000-0005-0000-0000-00006C360000}"/>
    <cellStyle name="Normal 2 2 2 2 4 2 2 11 2 3" xfId="13933" xr:uid="{00000000-0005-0000-0000-00006D360000}"/>
    <cellStyle name="Normal 2 2 2 2 4 2 2 11 2 4" xfId="13934" xr:uid="{00000000-0005-0000-0000-00006E360000}"/>
    <cellStyle name="Normal 2 2 2 2 4 2 2 11 2 5" xfId="13935" xr:uid="{00000000-0005-0000-0000-00006F360000}"/>
    <cellStyle name="Normal 2 2 2 2 4 2 2 11 2 6" xfId="13936" xr:uid="{00000000-0005-0000-0000-000070360000}"/>
    <cellStyle name="Normal 2 2 2 2 4 2 2 11 2 7" xfId="13937" xr:uid="{00000000-0005-0000-0000-000071360000}"/>
    <cellStyle name="Normal 2 2 2 2 4 2 2 11 2 8" xfId="13938" xr:uid="{00000000-0005-0000-0000-000072360000}"/>
    <cellStyle name="Normal 2 2 2 2 4 2 2 11 2 9" xfId="13939" xr:uid="{00000000-0005-0000-0000-000073360000}"/>
    <cellStyle name="Normal 2 2 2 2 4 2 2 11 3" xfId="13940" xr:uid="{00000000-0005-0000-0000-000074360000}"/>
    <cellStyle name="Normal 2 2 2 2 4 2 2 11 3 10" xfId="13941" xr:uid="{00000000-0005-0000-0000-000075360000}"/>
    <cellStyle name="Normal 2 2 2 2 4 2 2 11 3 2" xfId="13942" xr:uid="{00000000-0005-0000-0000-000076360000}"/>
    <cellStyle name="Normal 2 2 2 2 4 2 2 11 3 3" xfId="13943" xr:uid="{00000000-0005-0000-0000-000077360000}"/>
    <cellStyle name="Normal 2 2 2 2 4 2 2 11 3 4" xfId="13944" xr:uid="{00000000-0005-0000-0000-000078360000}"/>
    <cellStyle name="Normal 2 2 2 2 4 2 2 11 3 5" xfId="13945" xr:uid="{00000000-0005-0000-0000-000079360000}"/>
    <cellStyle name="Normal 2 2 2 2 4 2 2 11 3 6" xfId="13946" xr:uid="{00000000-0005-0000-0000-00007A360000}"/>
    <cellStyle name="Normal 2 2 2 2 4 2 2 11 3 7" xfId="13947" xr:uid="{00000000-0005-0000-0000-00007B360000}"/>
    <cellStyle name="Normal 2 2 2 2 4 2 2 11 3 8" xfId="13948" xr:uid="{00000000-0005-0000-0000-00007C360000}"/>
    <cellStyle name="Normal 2 2 2 2 4 2 2 11 3 9" xfId="13949" xr:uid="{00000000-0005-0000-0000-00007D360000}"/>
    <cellStyle name="Normal 2 2 2 2 4 2 2 11 4" xfId="13950" xr:uid="{00000000-0005-0000-0000-00007E360000}"/>
    <cellStyle name="Normal 2 2 2 2 4 2 2 11 4 10" xfId="13951" xr:uid="{00000000-0005-0000-0000-00007F360000}"/>
    <cellStyle name="Normal 2 2 2 2 4 2 2 11 4 2" xfId="13952" xr:uid="{00000000-0005-0000-0000-000080360000}"/>
    <cellStyle name="Normal 2 2 2 2 4 2 2 11 4 3" xfId="13953" xr:uid="{00000000-0005-0000-0000-000081360000}"/>
    <cellStyle name="Normal 2 2 2 2 4 2 2 11 4 4" xfId="13954" xr:uid="{00000000-0005-0000-0000-000082360000}"/>
    <cellStyle name="Normal 2 2 2 2 4 2 2 11 4 5" xfId="13955" xr:uid="{00000000-0005-0000-0000-000083360000}"/>
    <cellStyle name="Normal 2 2 2 2 4 2 2 11 4 6" xfId="13956" xr:uid="{00000000-0005-0000-0000-000084360000}"/>
    <cellStyle name="Normal 2 2 2 2 4 2 2 11 4 7" xfId="13957" xr:uid="{00000000-0005-0000-0000-000085360000}"/>
    <cellStyle name="Normal 2 2 2 2 4 2 2 11 4 8" xfId="13958" xr:uid="{00000000-0005-0000-0000-000086360000}"/>
    <cellStyle name="Normal 2 2 2 2 4 2 2 11 4 9" xfId="13959" xr:uid="{00000000-0005-0000-0000-000087360000}"/>
    <cellStyle name="Normal 2 2 2 2 4 2 2 11 5" xfId="13960" xr:uid="{00000000-0005-0000-0000-000088360000}"/>
    <cellStyle name="Normal 2 2 2 2 4 2 2 11 5 10" xfId="13961" xr:uid="{00000000-0005-0000-0000-000089360000}"/>
    <cellStyle name="Normal 2 2 2 2 4 2 2 11 5 2" xfId="13962" xr:uid="{00000000-0005-0000-0000-00008A360000}"/>
    <cellStyle name="Normal 2 2 2 2 4 2 2 11 5 3" xfId="13963" xr:uid="{00000000-0005-0000-0000-00008B360000}"/>
    <cellStyle name="Normal 2 2 2 2 4 2 2 11 5 4" xfId="13964" xr:uid="{00000000-0005-0000-0000-00008C360000}"/>
    <cellStyle name="Normal 2 2 2 2 4 2 2 11 5 5" xfId="13965" xr:uid="{00000000-0005-0000-0000-00008D360000}"/>
    <cellStyle name="Normal 2 2 2 2 4 2 2 11 5 6" xfId="13966" xr:uid="{00000000-0005-0000-0000-00008E360000}"/>
    <cellStyle name="Normal 2 2 2 2 4 2 2 11 5 7" xfId="13967" xr:uid="{00000000-0005-0000-0000-00008F360000}"/>
    <cellStyle name="Normal 2 2 2 2 4 2 2 11 5 8" xfId="13968" xr:uid="{00000000-0005-0000-0000-000090360000}"/>
    <cellStyle name="Normal 2 2 2 2 4 2 2 11 5 9" xfId="13969" xr:uid="{00000000-0005-0000-0000-000091360000}"/>
    <cellStyle name="Normal 2 2 2 2 4 2 2 11 6" xfId="13970" xr:uid="{00000000-0005-0000-0000-000092360000}"/>
    <cellStyle name="Normal 2 2 2 2 4 2 2 11 7" xfId="13971" xr:uid="{00000000-0005-0000-0000-000093360000}"/>
    <cellStyle name="Normal 2 2 2 2 4 2 2 11 8" xfId="13972" xr:uid="{00000000-0005-0000-0000-000094360000}"/>
    <cellStyle name="Normal 2 2 2 2 4 2 2 11 9" xfId="13973" xr:uid="{00000000-0005-0000-0000-000095360000}"/>
    <cellStyle name="Normal 2 2 2 2 4 2 2 12" xfId="13974" xr:uid="{00000000-0005-0000-0000-000096360000}"/>
    <cellStyle name="Normal 2 2 2 2 4 2 2 12 10" xfId="13975" xr:uid="{00000000-0005-0000-0000-000097360000}"/>
    <cellStyle name="Normal 2 2 2 2 4 2 2 12 11" xfId="13976" xr:uid="{00000000-0005-0000-0000-000098360000}"/>
    <cellStyle name="Normal 2 2 2 2 4 2 2 12 12" xfId="13977" xr:uid="{00000000-0005-0000-0000-000099360000}"/>
    <cellStyle name="Normal 2 2 2 2 4 2 2 12 13" xfId="13978" xr:uid="{00000000-0005-0000-0000-00009A360000}"/>
    <cellStyle name="Normal 2 2 2 2 4 2 2 12 14" xfId="13979" xr:uid="{00000000-0005-0000-0000-00009B360000}"/>
    <cellStyle name="Normal 2 2 2 2 4 2 2 12 2" xfId="13980" xr:uid="{00000000-0005-0000-0000-00009C360000}"/>
    <cellStyle name="Normal 2 2 2 2 4 2 2 12 2 10" xfId="13981" xr:uid="{00000000-0005-0000-0000-00009D360000}"/>
    <cellStyle name="Normal 2 2 2 2 4 2 2 12 2 2" xfId="13982" xr:uid="{00000000-0005-0000-0000-00009E360000}"/>
    <cellStyle name="Normal 2 2 2 2 4 2 2 12 2 3" xfId="13983" xr:uid="{00000000-0005-0000-0000-00009F360000}"/>
    <cellStyle name="Normal 2 2 2 2 4 2 2 12 2 4" xfId="13984" xr:uid="{00000000-0005-0000-0000-0000A0360000}"/>
    <cellStyle name="Normal 2 2 2 2 4 2 2 12 2 5" xfId="13985" xr:uid="{00000000-0005-0000-0000-0000A1360000}"/>
    <cellStyle name="Normal 2 2 2 2 4 2 2 12 2 6" xfId="13986" xr:uid="{00000000-0005-0000-0000-0000A2360000}"/>
    <cellStyle name="Normal 2 2 2 2 4 2 2 12 2 7" xfId="13987" xr:uid="{00000000-0005-0000-0000-0000A3360000}"/>
    <cellStyle name="Normal 2 2 2 2 4 2 2 12 2 8" xfId="13988" xr:uid="{00000000-0005-0000-0000-0000A4360000}"/>
    <cellStyle name="Normal 2 2 2 2 4 2 2 12 2 9" xfId="13989" xr:uid="{00000000-0005-0000-0000-0000A5360000}"/>
    <cellStyle name="Normal 2 2 2 2 4 2 2 12 3" xfId="13990" xr:uid="{00000000-0005-0000-0000-0000A6360000}"/>
    <cellStyle name="Normal 2 2 2 2 4 2 2 12 3 10" xfId="13991" xr:uid="{00000000-0005-0000-0000-0000A7360000}"/>
    <cellStyle name="Normal 2 2 2 2 4 2 2 12 3 2" xfId="13992" xr:uid="{00000000-0005-0000-0000-0000A8360000}"/>
    <cellStyle name="Normal 2 2 2 2 4 2 2 12 3 3" xfId="13993" xr:uid="{00000000-0005-0000-0000-0000A9360000}"/>
    <cellStyle name="Normal 2 2 2 2 4 2 2 12 3 4" xfId="13994" xr:uid="{00000000-0005-0000-0000-0000AA360000}"/>
    <cellStyle name="Normal 2 2 2 2 4 2 2 12 3 5" xfId="13995" xr:uid="{00000000-0005-0000-0000-0000AB360000}"/>
    <cellStyle name="Normal 2 2 2 2 4 2 2 12 3 6" xfId="13996" xr:uid="{00000000-0005-0000-0000-0000AC360000}"/>
    <cellStyle name="Normal 2 2 2 2 4 2 2 12 3 7" xfId="13997" xr:uid="{00000000-0005-0000-0000-0000AD360000}"/>
    <cellStyle name="Normal 2 2 2 2 4 2 2 12 3 8" xfId="13998" xr:uid="{00000000-0005-0000-0000-0000AE360000}"/>
    <cellStyle name="Normal 2 2 2 2 4 2 2 12 3 9" xfId="13999" xr:uid="{00000000-0005-0000-0000-0000AF360000}"/>
    <cellStyle name="Normal 2 2 2 2 4 2 2 12 4" xfId="14000" xr:uid="{00000000-0005-0000-0000-0000B0360000}"/>
    <cellStyle name="Normal 2 2 2 2 4 2 2 12 4 10" xfId="14001" xr:uid="{00000000-0005-0000-0000-0000B1360000}"/>
    <cellStyle name="Normal 2 2 2 2 4 2 2 12 4 2" xfId="14002" xr:uid="{00000000-0005-0000-0000-0000B2360000}"/>
    <cellStyle name="Normal 2 2 2 2 4 2 2 12 4 3" xfId="14003" xr:uid="{00000000-0005-0000-0000-0000B3360000}"/>
    <cellStyle name="Normal 2 2 2 2 4 2 2 12 4 4" xfId="14004" xr:uid="{00000000-0005-0000-0000-0000B4360000}"/>
    <cellStyle name="Normal 2 2 2 2 4 2 2 12 4 5" xfId="14005" xr:uid="{00000000-0005-0000-0000-0000B5360000}"/>
    <cellStyle name="Normal 2 2 2 2 4 2 2 12 4 6" xfId="14006" xr:uid="{00000000-0005-0000-0000-0000B6360000}"/>
    <cellStyle name="Normal 2 2 2 2 4 2 2 12 4 7" xfId="14007" xr:uid="{00000000-0005-0000-0000-0000B7360000}"/>
    <cellStyle name="Normal 2 2 2 2 4 2 2 12 4 8" xfId="14008" xr:uid="{00000000-0005-0000-0000-0000B8360000}"/>
    <cellStyle name="Normal 2 2 2 2 4 2 2 12 4 9" xfId="14009" xr:uid="{00000000-0005-0000-0000-0000B9360000}"/>
    <cellStyle name="Normal 2 2 2 2 4 2 2 12 5" xfId="14010" xr:uid="{00000000-0005-0000-0000-0000BA360000}"/>
    <cellStyle name="Normal 2 2 2 2 4 2 2 12 5 10" xfId="14011" xr:uid="{00000000-0005-0000-0000-0000BB360000}"/>
    <cellStyle name="Normal 2 2 2 2 4 2 2 12 5 2" xfId="14012" xr:uid="{00000000-0005-0000-0000-0000BC360000}"/>
    <cellStyle name="Normal 2 2 2 2 4 2 2 12 5 3" xfId="14013" xr:uid="{00000000-0005-0000-0000-0000BD360000}"/>
    <cellStyle name="Normal 2 2 2 2 4 2 2 12 5 4" xfId="14014" xr:uid="{00000000-0005-0000-0000-0000BE360000}"/>
    <cellStyle name="Normal 2 2 2 2 4 2 2 12 5 5" xfId="14015" xr:uid="{00000000-0005-0000-0000-0000BF360000}"/>
    <cellStyle name="Normal 2 2 2 2 4 2 2 12 5 6" xfId="14016" xr:uid="{00000000-0005-0000-0000-0000C0360000}"/>
    <cellStyle name="Normal 2 2 2 2 4 2 2 12 5 7" xfId="14017" xr:uid="{00000000-0005-0000-0000-0000C1360000}"/>
    <cellStyle name="Normal 2 2 2 2 4 2 2 12 5 8" xfId="14018" xr:uid="{00000000-0005-0000-0000-0000C2360000}"/>
    <cellStyle name="Normal 2 2 2 2 4 2 2 12 5 9" xfId="14019" xr:uid="{00000000-0005-0000-0000-0000C3360000}"/>
    <cellStyle name="Normal 2 2 2 2 4 2 2 12 6" xfId="14020" xr:uid="{00000000-0005-0000-0000-0000C4360000}"/>
    <cellStyle name="Normal 2 2 2 2 4 2 2 12 7" xfId="14021" xr:uid="{00000000-0005-0000-0000-0000C5360000}"/>
    <cellStyle name="Normal 2 2 2 2 4 2 2 12 8" xfId="14022" xr:uid="{00000000-0005-0000-0000-0000C6360000}"/>
    <cellStyle name="Normal 2 2 2 2 4 2 2 12 9" xfId="14023" xr:uid="{00000000-0005-0000-0000-0000C7360000}"/>
    <cellStyle name="Normal 2 2 2 2 4 2 2 13" xfId="14024" xr:uid="{00000000-0005-0000-0000-0000C8360000}"/>
    <cellStyle name="Normal 2 2 2 2 4 2 2 13 10" xfId="14025" xr:uid="{00000000-0005-0000-0000-0000C9360000}"/>
    <cellStyle name="Normal 2 2 2 2 4 2 2 13 11" xfId="14026" xr:uid="{00000000-0005-0000-0000-0000CA360000}"/>
    <cellStyle name="Normal 2 2 2 2 4 2 2 13 12" xfId="14027" xr:uid="{00000000-0005-0000-0000-0000CB360000}"/>
    <cellStyle name="Normal 2 2 2 2 4 2 2 13 13" xfId="14028" xr:uid="{00000000-0005-0000-0000-0000CC360000}"/>
    <cellStyle name="Normal 2 2 2 2 4 2 2 13 14" xfId="14029" xr:uid="{00000000-0005-0000-0000-0000CD360000}"/>
    <cellStyle name="Normal 2 2 2 2 4 2 2 13 2" xfId="14030" xr:uid="{00000000-0005-0000-0000-0000CE360000}"/>
    <cellStyle name="Normal 2 2 2 2 4 2 2 13 2 10" xfId="14031" xr:uid="{00000000-0005-0000-0000-0000CF360000}"/>
    <cellStyle name="Normal 2 2 2 2 4 2 2 13 2 2" xfId="14032" xr:uid="{00000000-0005-0000-0000-0000D0360000}"/>
    <cellStyle name="Normal 2 2 2 2 4 2 2 13 2 3" xfId="14033" xr:uid="{00000000-0005-0000-0000-0000D1360000}"/>
    <cellStyle name="Normal 2 2 2 2 4 2 2 13 2 4" xfId="14034" xr:uid="{00000000-0005-0000-0000-0000D2360000}"/>
    <cellStyle name="Normal 2 2 2 2 4 2 2 13 2 5" xfId="14035" xr:uid="{00000000-0005-0000-0000-0000D3360000}"/>
    <cellStyle name="Normal 2 2 2 2 4 2 2 13 2 6" xfId="14036" xr:uid="{00000000-0005-0000-0000-0000D4360000}"/>
    <cellStyle name="Normal 2 2 2 2 4 2 2 13 2 7" xfId="14037" xr:uid="{00000000-0005-0000-0000-0000D5360000}"/>
    <cellStyle name="Normal 2 2 2 2 4 2 2 13 2 8" xfId="14038" xr:uid="{00000000-0005-0000-0000-0000D6360000}"/>
    <cellStyle name="Normal 2 2 2 2 4 2 2 13 2 9" xfId="14039" xr:uid="{00000000-0005-0000-0000-0000D7360000}"/>
    <cellStyle name="Normal 2 2 2 2 4 2 2 13 3" xfId="14040" xr:uid="{00000000-0005-0000-0000-0000D8360000}"/>
    <cellStyle name="Normal 2 2 2 2 4 2 2 13 3 10" xfId="14041" xr:uid="{00000000-0005-0000-0000-0000D9360000}"/>
    <cellStyle name="Normal 2 2 2 2 4 2 2 13 3 2" xfId="14042" xr:uid="{00000000-0005-0000-0000-0000DA360000}"/>
    <cellStyle name="Normal 2 2 2 2 4 2 2 13 3 3" xfId="14043" xr:uid="{00000000-0005-0000-0000-0000DB360000}"/>
    <cellStyle name="Normal 2 2 2 2 4 2 2 13 3 4" xfId="14044" xr:uid="{00000000-0005-0000-0000-0000DC360000}"/>
    <cellStyle name="Normal 2 2 2 2 4 2 2 13 3 5" xfId="14045" xr:uid="{00000000-0005-0000-0000-0000DD360000}"/>
    <cellStyle name="Normal 2 2 2 2 4 2 2 13 3 6" xfId="14046" xr:uid="{00000000-0005-0000-0000-0000DE360000}"/>
    <cellStyle name="Normal 2 2 2 2 4 2 2 13 3 7" xfId="14047" xr:uid="{00000000-0005-0000-0000-0000DF360000}"/>
    <cellStyle name="Normal 2 2 2 2 4 2 2 13 3 8" xfId="14048" xr:uid="{00000000-0005-0000-0000-0000E0360000}"/>
    <cellStyle name="Normal 2 2 2 2 4 2 2 13 3 9" xfId="14049" xr:uid="{00000000-0005-0000-0000-0000E1360000}"/>
    <cellStyle name="Normal 2 2 2 2 4 2 2 13 4" xfId="14050" xr:uid="{00000000-0005-0000-0000-0000E2360000}"/>
    <cellStyle name="Normal 2 2 2 2 4 2 2 13 4 10" xfId="14051" xr:uid="{00000000-0005-0000-0000-0000E3360000}"/>
    <cellStyle name="Normal 2 2 2 2 4 2 2 13 4 2" xfId="14052" xr:uid="{00000000-0005-0000-0000-0000E4360000}"/>
    <cellStyle name="Normal 2 2 2 2 4 2 2 13 4 3" xfId="14053" xr:uid="{00000000-0005-0000-0000-0000E5360000}"/>
    <cellStyle name="Normal 2 2 2 2 4 2 2 13 4 4" xfId="14054" xr:uid="{00000000-0005-0000-0000-0000E6360000}"/>
    <cellStyle name="Normal 2 2 2 2 4 2 2 13 4 5" xfId="14055" xr:uid="{00000000-0005-0000-0000-0000E7360000}"/>
    <cellStyle name="Normal 2 2 2 2 4 2 2 13 4 6" xfId="14056" xr:uid="{00000000-0005-0000-0000-0000E8360000}"/>
    <cellStyle name="Normal 2 2 2 2 4 2 2 13 4 7" xfId="14057" xr:uid="{00000000-0005-0000-0000-0000E9360000}"/>
    <cellStyle name="Normal 2 2 2 2 4 2 2 13 4 8" xfId="14058" xr:uid="{00000000-0005-0000-0000-0000EA360000}"/>
    <cellStyle name="Normal 2 2 2 2 4 2 2 13 4 9" xfId="14059" xr:uid="{00000000-0005-0000-0000-0000EB360000}"/>
    <cellStyle name="Normal 2 2 2 2 4 2 2 13 5" xfId="14060" xr:uid="{00000000-0005-0000-0000-0000EC360000}"/>
    <cellStyle name="Normal 2 2 2 2 4 2 2 13 5 10" xfId="14061" xr:uid="{00000000-0005-0000-0000-0000ED360000}"/>
    <cellStyle name="Normal 2 2 2 2 4 2 2 13 5 2" xfId="14062" xr:uid="{00000000-0005-0000-0000-0000EE360000}"/>
    <cellStyle name="Normal 2 2 2 2 4 2 2 13 5 3" xfId="14063" xr:uid="{00000000-0005-0000-0000-0000EF360000}"/>
    <cellStyle name="Normal 2 2 2 2 4 2 2 13 5 4" xfId="14064" xr:uid="{00000000-0005-0000-0000-0000F0360000}"/>
    <cellStyle name="Normal 2 2 2 2 4 2 2 13 5 5" xfId="14065" xr:uid="{00000000-0005-0000-0000-0000F1360000}"/>
    <cellStyle name="Normal 2 2 2 2 4 2 2 13 5 6" xfId="14066" xr:uid="{00000000-0005-0000-0000-0000F2360000}"/>
    <cellStyle name="Normal 2 2 2 2 4 2 2 13 5 7" xfId="14067" xr:uid="{00000000-0005-0000-0000-0000F3360000}"/>
    <cellStyle name="Normal 2 2 2 2 4 2 2 13 5 8" xfId="14068" xr:uid="{00000000-0005-0000-0000-0000F4360000}"/>
    <cellStyle name="Normal 2 2 2 2 4 2 2 13 5 9" xfId="14069" xr:uid="{00000000-0005-0000-0000-0000F5360000}"/>
    <cellStyle name="Normal 2 2 2 2 4 2 2 13 6" xfId="14070" xr:uid="{00000000-0005-0000-0000-0000F6360000}"/>
    <cellStyle name="Normal 2 2 2 2 4 2 2 13 7" xfId="14071" xr:uid="{00000000-0005-0000-0000-0000F7360000}"/>
    <cellStyle name="Normal 2 2 2 2 4 2 2 13 8" xfId="14072" xr:uid="{00000000-0005-0000-0000-0000F8360000}"/>
    <cellStyle name="Normal 2 2 2 2 4 2 2 13 9" xfId="14073" xr:uid="{00000000-0005-0000-0000-0000F9360000}"/>
    <cellStyle name="Normal 2 2 2 2 4 2 2 14" xfId="14074" xr:uid="{00000000-0005-0000-0000-0000FA360000}"/>
    <cellStyle name="Normal 2 2 2 2 4 2 2 14 10" xfId="14075" xr:uid="{00000000-0005-0000-0000-0000FB360000}"/>
    <cellStyle name="Normal 2 2 2 2 4 2 2 14 11" xfId="14076" xr:uid="{00000000-0005-0000-0000-0000FC360000}"/>
    <cellStyle name="Normal 2 2 2 2 4 2 2 14 12" xfId="14077" xr:uid="{00000000-0005-0000-0000-0000FD360000}"/>
    <cellStyle name="Normal 2 2 2 2 4 2 2 14 13" xfId="14078" xr:uid="{00000000-0005-0000-0000-0000FE360000}"/>
    <cellStyle name="Normal 2 2 2 2 4 2 2 14 14" xfId="14079" xr:uid="{00000000-0005-0000-0000-0000FF360000}"/>
    <cellStyle name="Normal 2 2 2 2 4 2 2 14 2" xfId="14080" xr:uid="{00000000-0005-0000-0000-000000370000}"/>
    <cellStyle name="Normal 2 2 2 2 4 2 2 14 2 10" xfId="14081" xr:uid="{00000000-0005-0000-0000-000001370000}"/>
    <cellStyle name="Normal 2 2 2 2 4 2 2 14 2 2" xfId="14082" xr:uid="{00000000-0005-0000-0000-000002370000}"/>
    <cellStyle name="Normal 2 2 2 2 4 2 2 14 2 3" xfId="14083" xr:uid="{00000000-0005-0000-0000-000003370000}"/>
    <cellStyle name="Normal 2 2 2 2 4 2 2 14 2 4" xfId="14084" xr:uid="{00000000-0005-0000-0000-000004370000}"/>
    <cellStyle name="Normal 2 2 2 2 4 2 2 14 2 5" xfId="14085" xr:uid="{00000000-0005-0000-0000-000005370000}"/>
    <cellStyle name="Normal 2 2 2 2 4 2 2 14 2 6" xfId="14086" xr:uid="{00000000-0005-0000-0000-000006370000}"/>
    <cellStyle name="Normal 2 2 2 2 4 2 2 14 2 7" xfId="14087" xr:uid="{00000000-0005-0000-0000-000007370000}"/>
    <cellStyle name="Normal 2 2 2 2 4 2 2 14 2 8" xfId="14088" xr:uid="{00000000-0005-0000-0000-000008370000}"/>
    <cellStyle name="Normal 2 2 2 2 4 2 2 14 2 9" xfId="14089" xr:uid="{00000000-0005-0000-0000-000009370000}"/>
    <cellStyle name="Normal 2 2 2 2 4 2 2 14 3" xfId="14090" xr:uid="{00000000-0005-0000-0000-00000A370000}"/>
    <cellStyle name="Normal 2 2 2 2 4 2 2 14 3 10" xfId="14091" xr:uid="{00000000-0005-0000-0000-00000B370000}"/>
    <cellStyle name="Normal 2 2 2 2 4 2 2 14 3 2" xfId="14092" xr:uid="{00000000-0005-0000-0000-00000C370000}"/>
    <cellStyle name="Normal 2 2 2 2 4 2 2 14 3 3" xfId="14093" xr:uid="{00000000-0005-0000-0000-00000D370000}"/>
    <cellStyle name="Normal 2 2 2 2 4 2 2 14 3 4" xfId="14094" xr:uid="{00000000-0005-0000-0000-00000E370000}"/>
    <cellStyle name="Normal 2 2 2 2 4 2 2 14 3 5" xfId="14095" xr:uid="{00000000-0005-0000-0000-00000F370000}"/>
    <cellStyle name="Normal 2 2 2 2 4 2 2 14 3 6" xfId="14096" xr:uid="{00000000-0005-0000-0000-000010370000}"/>
    <cellStyle name="Normal 2 2 2 2 4 2 2 14 3 7" xfId="14097" xr:uid="{00000000-0005-0000-0000-000011370000}"/>
    <cellStyle name="Normal 2 2 2 2 4 2 2 14 3 8" xfId="14098" xr:uid="{00000000-0005-0000-0000-000012370000}"/>
    <cellStyle name="Normal 2 2 2 2 4 2 2 14 3 9" xfId="14099" xr:uid="{00000000-0005-0000-0000-000013370000}"/>
    <cellStyle name="Normal 2 2 2 2 4 2 2 14 4" xfId="14100" xr:uid="{00000000-0005-0000-0000-000014370000}"/>
    <cellStyle name="Normal 2 2 2 2 4 2 2 14 4 10" xfId="14101" xr:uid="{00000000-0005-0000-0000-000015370000}"/>
    <cellStyle name="Normal 2 2 2 2 4 2 2 14 4 2" xfId="14102" xr:uid="{00000000-0005-0000-0000-000016370000}"/>
    <cellStyle name="Normal 2 2 2 2 4 2 2 14 4 3" xfId="14103" xr:uid="{00000000-0005-0000-0000-000017370000}"/>
    <cellStyle name="Normal 2 2 2 2 4 2 2 14 4 4" xfId="14104" xr:uid="{00000000-0005-0000-0000-000018370000}"/>
    <cellStyle name="Normal 2 2 2 2 4 2 2 14 4 5" xfId="14105" xr:uid="{00000000-0005-0000-0000-000019370000}"/>
    <cellStyle name="Normal 2 2 2 2 4 2 2 14 4 6" xfId="14106" xr:uid="{00000000-0005-0000-0000-00001A370000}"/>
    <cellStyle name="Normal 2 2 2 2 4 2 2 14 4 7" xfId="14107" xr:uid="{00000000-0005-0000-0000-00001B370000}"/>
    <cellStyle name="Normal 2 2 2 2 4 2 2 14 4 8" xfId="14108" xr:uid="{00000000-0005-0000-0000-00001C370000}"/>
    <cellStyle name="Normal 2 2 2 2 4 2 2 14 4 9" xfId="14109" xr:uid="{00000000-0005-0000-0000-00001D370000}"/>
    <cellStyle name="Normal 2 2 2 2 4 2 2 14 5" xfId="14110" xr:uid="{00000000-0005-0000-0000-00001E370000}"/>
    <cellStyle name="Normal 2 2 2 2 4 2 2 14 5 10" xfId="14111" xr:uid="{00000000-0005-0000-0000-00001F370000}"/>
    <cellStyle name="Normal 2 2 2 2 4 2 2 14 5 2" xfId="14112" xr:uid="{00000000-0005-0000-0000-000020370000}"/>
    <cellStyle name="Normal 2 2 2 2 4 2 2 14 5 3" xfId="14113" xr:uid="{00000000-0005-0000-0000-000021370000}"/>
    <cellStyle name="Normal 2 2 2 2 4 2 2 14 5 4" xfId="14114" xr:uid="{00000000-0005-0000-0000-000022370000}"/>
    <cellStyle name="Normal 2 2 2 2 4 2 2 14 5 5" xfId="14115" xr:uid="{00000000-0005-0000-0000-000023370000}"/>
    <cellStyle name="Normal 2 2 2 2 4 2 2 14 5 6" xfId="14116" xr:uid="{00000000-0005-0000-0000-000024370000}"/>
    <cellStyle name="Normal 2 2 2 2 4 2 2 14 5 7" xfId="14117" xr:uid="{00000000-0005-0000-0000-000025370000}"/>
    <cellStyle name="Normal 2 2 2 2 4 2 2 14 5 8" xfId="14118" xr:uid="{00000000-0005-0000-0000-000026370000}"/>
    <cellStyle name="Normal 2 2 2 2 4 2 2 14 5 9" xfId="14119" xr:uid="{00000000-0005-0000-0000-000027370000}"/>
    <cellStyle name="Normal 2 2 2 2 4 2 2 14 6" xfId="14120" xr:uid="{00000000-0005-0000-0000-000028370000}"/>
    <cellStyle name="Normal 2 2 2 2 4 2 2 14 7" xfId="14121" xr:uid="{00000000-0005-0000-0000-000029370000}"/>
    <cellStyle name="Normal 2 2 2 2 4 2 2 14 8" xfId="14122" xr:uid="{00000000-0005-0000-0000-00002A370000}"/>
    <cellStyle name="Normal 2 2 2 2 4 2 2 14 9" xfId="14123" xr:uid="{00000000-0005-0000-0000-00002B370000}"/>
    <cellStyle name="Normal 2 2 2 2 4 2 2 15" xfId="14124" xr:uid="{00000000-0005-0000-0000-00002C370000}"/>
    <cellStyle name="Normal 2 2 2 2 4 2 2 15 10" xfId="14125" xr:uid="{00000000-0005-0000-0000-00002D370000}"/>
    <cellStyle name="Normal 2 2 2 2 4 2 2 15 11" xfId="14126" xr:uid="{00000000-0005-0000-0000-00002E370000}"/>
    <cellStyle name="Normal 2 2 2 2 4 2 2 15 12" xfId="14127" xr:uid="{00000000-0005-0000-0000-00002F370000}"/>
    <cellStyle name="Normal 2 2 2 2 4 2 2 15 13" xfId="14128" xr:uid="{00000000-0005-0000-0000-000030370000}"/>
    <cellStyle name="Normal 2 2 2 2 4 2 2 15 14" xfId="14129" xr:uid="{00000000-0005-0000-0000-000031370000}"/>
    <cellStyle name="Normal 2 2 2 2 4 2 2 15 2" xfId="14130" xr:uid="{00000000-0005-0000-0000-000032370000}"/>
    <cellStyle name="Normal 2 2 2 2 4 2 2 15 2 10" xfId="14131" xr:uid="{00000000-0005-0000-0000-000033370000}"/>
    <cellStyle name="Normal 2 2 2 2 4 2 2 15 2 2" xfId="14132" xr:uid="{00000000-0005-0000-0000-000034370000}"/>
    <cellStyle name="Normal 2 2 2 2 4 2 2 15 2 3" xfId="14133" xr:uid="{00000000-0005-0000-0000-000035370000}"/>
    <cellStyle name="Normal 2 2 2 2 4 2 2 15 2 4" xfId="14134" xr:uid="{00000000-0005-0000-0000-000036370000}"/>
    <cellStyle name="Normal 2 2 2 2 4 2 2 15 2 5" xfId="14135" xr:uid="{00000000-0005-0000-0000-000037370000}"/>
    <cellStyle name="Normal 2 2 2 2 4 2 2 15 2 6" xfId="14136" xr:uid="{00000000-0005-0000-0000-000038370000}"/>
    <cellStyle name="Normal 2 2 2 2 4 2 2 15 2 7" xfId="14137" xr:uid="{00000000-0005-0000-0000-000039370000}"/>
    <cellStyle name="Normal 2 2 2 2 4 2 2 15 2 8" xfId="14138" xr:uid="{00000000-0005-0000-0000-00003A370000}"/>
    <cellStyle name="Normal 2 2 2 2 4 2 2 15 2 9" xfId="14139" xr:uid="{00000000-0005-0000-0000-00003B370000}"/>
    <cellStyle name="Normal 2 2 2 2 4 2 2 15 3" xfId="14140" xr:uid="{00000000-0005-0000-0000-00003C370000}"/>
    <cellStyle name="Normal 2 2 2 2 4 2 2 15 3 10" xfId="14141" xr:uid="{00000000-0005-0000-0000-00003D370000}"/>
    <cellStyle name="Normal 2 2 2 2 4 2 2 15 3 2" xfId="14142" xr:uid="{00000000-0005-0000-0000-00003E370000}"/>
    <cellStyle name="Normal 2 2 2 2 4 2 2 15 3 3" xfId="14143" xr:uid="{00000000-0005-0000-0000-00003F370000}"/>
    <cellStyle name="Normal 2 2 2 2 4 2 2 15 3 4" xfId="14144" xr:uid="{00000000-0005-0000-0000-000040370000}"/>
    <cellStyle name="Normal 2 2 2 2 4 2 2 15 3 5" xfId="14145" xr:uid="{00000000-0005-0000-0000-000041370000}"/>
    <cellStyle name="Normal 2 2 2 2 4 2 2 15 3 6" xfId="14146" xr:uid="{00000000-0005-0000-0000-000042370000}"/>
    <cellStyle name="Normal 2 2 2 2 4 2 2 15 3 7" xfId="14147" xr:uid="{00000000-0005-0000-0000-000043370000}"/>
    <cellStyle name="Normal 2 2 2 2 4 2 2 15 3 8" xfId="14148" xr:uid="{00000000-0005-0000-0000-000044370000}"/>
    <cellStyle name="Normal 2 2 2 2 4 2 2 15 3 9" xfId="14149" xr:uid="{00000000-0005-0000-0000-000045370000}"/>
    <cellStyle name="Normal 2 2 2 2 4 2 2 15 4" xfId="14150" xr:uid="{00000000-0005-0000-0000-000046370000}"/>
    <cellStyle name="Normal 2 2 2 2 4 2 2 15 4 10" xfId="14151" xr:uid="{00000000-0005-0000-0000-000047370000}"/>
    <cellStyle name="Normal 2 2 2 2 4 2 2 15 4 2" xfId="14152" xr:uid="{00000000-0005-0000-0000-000048370000}"/>
    <cellStyle name="Normal 2 2 2 2 4 2 2 15 4 3" xfId="14153" xr:uid="{00000000-0005-0000-0000-000049370000}"/>
    <cellStyle name="Normal 2 2 2 2 4 2 2 15 4 4" xfId="14154" xr:uid="{00000000-0005-0000-0000-00004A370000}"/>
    <cellStyle name="Normal 2 2 2 2 4 2 2 15 4 5" xfId="14155" xr:uid="{00000000-0005-0000-0000-00004B370000}"/>
    <cellStyle name="Normal 2 2 2 2 4 2 2 15 4 6" xfId="14156" xr:uid="{00000000-0005-0000-0000-00004C370000}"/>
    <cellStyle name="Normal 2 2 2 2 4 2 2 15 4 7" xfId="14157" xr:uid="{00000000-0005-0000-0000-00004D370000}"/>
    <cellStyle name="Normal 2 2 2 2 4 2 2 15 4 8" xfId="14158" xr:uid="{00000000-0005-0000-0000-00004E370000}"/>
    <cellStyle name="Normal 2 2 2 2 4 2 2 15 4 9" xfId="14159" xr:uid="{00000000-0005-0000-0000-00004F370000}"/>
    <cellStyle name="Normal 2 2 2 2 4 2 2 15 5" xfId="14160" xr:uid="{00000000-0005-0000-0000-000050370000}"/>
    <cellStyle name="Normal 2 2 2 2 4 2 2 15 5 10" xfId="14161" xr:uid="{00000000-0005-0000-0000-000051370000}"/>
    <cellStyle name="Normal 2 2 2 2 4 2 2 15 5 2" xfId="14162" xr:uid="{00000000-0005-0000-0000-000052370000}"/>
    <cellStyle name="Normal 2 2 2 2 4 2 2 15 5 3" xfId="14163" xr:uid="{00000000-0005-0000-0000-000053370000}"/>
    <cellStyle name="Normal 2 2 2 2 4 2 2 15 5 4" xfId="14164" xr:uid="{00000000-0005-0000-0000-000054370000}"/>
    <cellStyle name="Normal 2 2 2 2 4 2 2 15 5 5" xfId="14165" xr:uid="{00000000-0005-0000-0000-000055370000}"/>
    <cellStyle name="Normal 2 2 2 2 4 2 2 15 5 6" xfId="14166" xr:uid="{00000000-0005-0000-0000-000056370000}"/>
    <cellStyle name="Normal 2 2 2 2 4 2 2 15 5 7" xfId="14167" xr:uid="{00000000-0005-0000-0000-000057370000}"/>
    <cellStyle name="Normal 2 2 2 2 4 2 2 15 5 8" xfId="14168" xr:uid="{00000000-0005-0000-0000-000058370000}"/>
    <cellStyle name="Normal 2 2 2 2 4 2 2 15 5 9" xfId="14169" xr:uid="{00000000-0005-0000-0000-000059370000}"/>
    <cellStyle name="Normal 2 2 2 2 4 2 2 15 6" xfId="14170" xr:uid="{00000000-0005-0000-0000-00005A370000}"/>
    <cellStyle name="Normal 2 2 2 2 4 2 2 15 7" xfId="14171" xr:uid="{00000000-0005-0000-0000-00005B370000}"/>
    <cellStyle name="Normal 2 2 2 2 4 2 2 15 8" xfId="14172" xr:uid="{00000000-0005-0000-0000-00005C370000}"/>
    <cellStyle name="Normal 2 2 2 2 4 2 2 15 9" xfId="14173" xr:uid="{00000000-0005-0000-0000-00005D370000}"/>
    <cellStyle name="Normal 2 2 2 2 4 2 2 16" xfId="14174" xr:uid="{00000000-0005-0000-0000-00005E370000}"/>
    <cellStyle name="Normal 2 2 2 2 4 2 2 16 10" xfId="14175" xr:uid="{00000000-0005-0000-0000-00005F370000}"/>
    <cellStyle name="Normal 2 2 2 2 4 2 2 16 11" xfId="14176" xr:uid="{00000000-0005-0000-0000-000060370000}"/>
    <cellStyle name="Normal 2 2 2 2 4 2 2 16 12" xfId="14177" xr:uid="{00000000-0005-0000-0000-000061370000}"/>
    <cellStyle name="Normal 2 2 2 2 4 2 2 16 13" xfId="14178" xr:uid="{00000000-0005-0000-0000-000062370000}"/>
    <cellStyle name="Normal 2 2 2 2 4 2 2 16 14" xfId="14179" xr:uid="{00000000-0005-0000-0000-000063370000}"/>
    <cellStyle name="Normal 2 2 2 2 4 2 2 16 2" xfId="14180" xr:uid="{00000000-0005-0000-0000-000064370000}"/>
    <cellStyle name="Normal 2 2 2 2 4 2 2 16 2 10" xfId="14181" xr:uid="{00000000-0005-0000-0000-000065370000}"/>
    <cellStyle name="Normal 2 2 2 2 4 2 2 16 2 2" xfId="14182" xr:uid="{00000000-0005-0000-0000-000066370000}"/>
    <cellStyle name="Normal 2 2 2 2 4 2 2 16 2 3" xfId="14183" xr:uid="{00000000-0005-0000-0000-000067370000}"/>
    <cellStyle name="Normal 2 2 2 2 4 2 2 16 2 4" xfId="14184" xr:uid="{00000000-0005-0000-0000-000068370000}"/>
    <cellStyle name="Normal 2 2 2 2 4 2 2 16 2 5" xfId="14185" xr:uid="{00000000-0005-0000-0000-000069370000}"/>
    <cellStyle name="Normal 2 2 2 2 4 2 2 16 2 6" xfId="14186" xr:uid="{00000000-0005-0000-0000-00006A370000}"/>
    <cellStyle name="Normal 2 2 2 2 4 2 2 16 2 7" xfId="14187" xr:uid="{00000000-0005-0000-0000-00006B370000}"/>
    <cellStyle name="Normal 2 2 2 2 4 2 2 16 2 8" xfId="14188" xr:uid="{00000000-0005-0000-0000-00006C370000}"/>
    <cellStyle name="Normal 2 2 2 2 4 2 2 16 2 9" xfId="14189" xr:uid="{00000000-0005-0000-0000-00006D370000}"/>
    <cellStyle name="Normal 2 2 2 2 4 2 2 16 3" xfId="14190" xr:uid="{00000000-0005-0000-0000-00006E370000}"/>
    <cellStyle name="Normal 2 2 2 2 4 2 2 16 3 10" xfId="14191" xr:uid="{00000000-0005-0000-0000-00006F370000}"/>
    <cellStyle name="Normal 2 2 2 2 4 2 2 16 3 2" xfId="14192" xr:uid="{00000000-0005-0000-0000-000070370000}"/>
    <cellStyle name="Normal 2 2 2 2 4 2 2 16 3 3" xfId="14193" xr:uid="{00000000-0005-0000-0000-000071370000}"/>
    <cellStyle name="Normal 2 2 2 2 4 2 2 16 3 4" xfId="14194" xr:uid="{00000000-0005-0000-0000-000072370000}"/>
    <cellStyle name="Normal 2 2 2 2 4 2 2 16 3 5" xfId="14195" xr:uid="{00000000-0005-0000-0000-000073370000}"/>
    <cellStyle name="Normal 2 2 2 2 4 2 2 16 3 6" xfId="14196" xr:uid="{00000000-0005-0000-0000-000074370000}"/>
    <cellStyle name="Normal 2 2 2 2 4 2 2 16 3 7" xfId="14197" xr:uid="{00000000-0005-0000-0000-000075370000}"/>
    <cellStyle name="Normal 2 2 2 2 4 2 2 16 3 8" xfId="14198" xr:uid="{00000000-0005-0000-0000-000076370000}"/>
    <cellStyle name="Normal 2 2 2 2 4 2 2 16 3 9" xfId="14199" xr:uid="{00000000-0005-0000-0000-000077370000}"/>
    <cellStyle name="Normal 2 2 2 2 4 2 2 16 4" xfId="14200" xr:uid="{00000000-0005-0000-0000-000078370000}"/>
    <cellStyle name="Normal 2 2 2 2 4 2 2 16 4 10" xfId="14201" xr:uid="{00000000-0005-0000-0000-000079370000}"/>
    <cellStyle name="Normal 2 2 2 2 4 2 2 16 4 2" xfId="14202" xr:uid="{00000000-0005-0000-0000-00007A370000}"/>
    <cellStyle name="Normal 2 2 2 2 4 2 2 16 4 3" xfId="14203" xr:uid="{00000000-0005-0000-0000-00007B370000}"/>
    <cellStyle name="Normal 2 2 2 2 4 2 2 16 4 4" xfId="14204" xr:uid="{00000000-0005-0000-0000-00007C370000}"/>
    <cellStyle name="Normal 2 2 2 2 4 2 2 16 4 5" xfId="14205" xr:uid="{00000000-0005-0000-0000-00007D370000}"/>
    <cellStyle name="Normal 2 2 2 2 4 2 2 16 4 6" xfId="14206" xr:uid="{00000000-0005-0000-0000-00007E370000}"/>
    <cellStyle name="Normal 2 2 2 2 4 2 2 16 4 7" xfId="14207" xr:uid="{00000000-0005-0000-0000-00007F370000}"/>
    <cellStyle name="Normal 2 2 2 2 4 2 2 16 4 8" xfId="14208" xr:uid="{00000000-0005-0000-0000-000080370000}"/>
    <cellStyle name="Normal 2 2 2 2 4 2 2 16 4 9" xfId="14209" xr:uid="{00000000-0005-0000-0000-000081370000}"/>
    <cellStyle name="Normal 2 2 2 2 4 2 2 16 5" xfId="14210" xr:uid="{00000000-0005-0000-0000-000082370000}"/>
    <cellStyle name="Normal 2 2 2 2 4 2 2 16 5 10" xfId="14211" xr:uid="{00000000-0005-0000-0000-000083370000}"/>
    <cellStyle name="Normal 2 2 2 2 4 2 2 16 5 2" xfId="14212" xr:uid="{00000000-0005-0000-0000-000084370000}"/>
    <cellStyle name="Normal 2 2 2 2 4 2 2 16 5 3" xfId="14213" xr:uid="{00000000-0005-0000-0000-000085370000}"/>
    <cellStyle name="Normal 2 2 2 2 4 2 2 16 5 4" xfId="14214" xr:uid="{00000000-0005-0000-0000-000086370000}"/>
    <cellStyle name="Normal 2 2 2 2 4 2 2 16 5 5" xfId="14215" xr:uid="{00000000-0005-0000-0000-000087370000}"/>
    <cellStyle name="Normal 2 2 2 2 4 2 2 16 5 6" xfId="14216" xr:uid="{00000000-0005-0000-0000-000088370000}"/>
    <cellStyle name="Normal 2 2 2 2 4 2 2 16 5 7" xfId="14217" xr:uid="{00000000-0005-0000-0000-000089370000}"/>
    <cellStyle name="Normal 2 2 2 2 4 2 2 16 5 8" xfId="14218" xr:uid="{00000000-0005-0000-0000-00008A370000}"/>
    <cellStyle name="Normal 2 2 2 2 4 2 2 16 5 9" xfId="14219" xr:uid="{00000000-0005-0000-0000-00008B370000}"/>
    <cellStyle name="Normal 2 2 2 2 4 2 2 16 6" xfId="14220" xr:uid="{00000000-0005-0000-0000-00008C370000}"/>
    <cellStyle name="Normal 2 2 2 2 4 2 2 16 7" xfId="14221" xr:uid="{00000000-0005-0000-0000-00008D370000}"/>
    <cellStyle name="Normal 2 2 2 2 4 2 2 16 8" xfId="14222" xr:uid="{00000000-0005-0000-0000-00008E370000}"/>
    <cellStyle name="Normal 2 2 2 2 4 2 2 16 9" xfId="14223" xr:uid="{00000000-0005-0000-0000-00008F370000}"/>
    <cellStyle name="Normal 2 2 2 2 4 2 2 17" xfId="14224" xr:uid="{00000000-0005-0000-0000-000090370000}"/>
    <cellStyle name="Normal 2 2 2 2 4 2 2 17 10" xfId="14225" xr:uid="{00000000-0005-0000-0000-000091370000}"/>
    <cellStyle name="Normal 2 2 2 2 4 2 2 17 11" xfId="14226" xr:uid="{00000000-0005-0000-0000-000092370000}"/>
    <cellStyle name="Normal 2 2 2 2 4 2 2 17 12" xfId="14227" xr:uid="{00000000-0005-0000-0000-000093370000}"/>
    <cellStyle name="Normal 2 2 2 2 4 2 2 17 13" xfId="14228" xr:uid="{00000000-0005-0000-0000-000094370000}"/>
    <cellStyle name="Normal 2 2 2 2 4 2 2 17 14" xfId="14229" xr:uid="{00000000-0005-0000-0000-000095370000}"/>
    <cellStyle name="Normal 2 2 2 2 4 2 2 17 2" xfId="14230" xr:uid="{00000000-0005-0000-0000-000096370000}"/>
    <cellStyle name="Normal 2 2 2 2 4 2 2 17 2 10" xfId="14231" xr:uid="{00000000-0005-0000-0000-000097370000}"/>
    <cellStyle name="Normal 2 2 2 2 4 2 2 17 2 2" xfId="14232" xr:uid="{00000000-0005-0000-0000-000098370000}"/>
    <cellStyle name="Normal 2 2 2 2 4 2 2 17 2 3" xfId="14233" xr:uid="{00000000-0005-0000-0000-000099370000}"/>
    <cellStyle name="Normal 2 2 2 2 4 2 2 17 2 4" xfId="14234" xr:uid="{00000000-0005-0000-0000-00009A370000}"/>
    <cellStyle name="Normal 2 2 2 2 4 2 2 17 2 5" xfId="14235" xr:uid="{00000000-0005-0000-0000-00009B370000}"/>
    <cellStyle name="Normal 2 2 2 2 4 2 2 17 2 6" xfId="14236" xr:uid="{00000000-0005-0000-0000-00009C370000}"/>
    <cellStyle name="Normal 2 2 2 2 4 2 2 17 2 7" xfId="14237" xr:uid="{00000000-0005-0000-0000-00009D370000}"/>
    <cellStyle name="Normal 2 2 2 2 4 2 2 17 2 8" xfId="14238" xr:uid="{00000000-0005-0000-0000-00009E370000}"/>
    <cellStyle name="Normal 2 2 2 2 4 2 2 17 2 9" xfId="14239" xr:uid="{00000000-0005-0000-0000-00009F370000}"/>
    <cellStyle name="Normal 2 2 2 2 4 2 2 17 3" xfId="14240" xr:uid="{00000000-0005-0000-0000-0000A0370000}"/>
    <cellStyle name="Normal 2 2 2 2 4 2 2 17 3 10" xfId="14241" xr:uid="{00000000-0005-0000-0000-0000A1370000}"/>
    <cellStyle name="Normal 2 2 2 2 4 2 2 17 3 2" xfId="14242" xr:uid="{00000000-0005-0000-0000-0000A2370000}"/>
    <cellStyle name="Normal 2 2 2 2 4 2 2 17 3 3" xfId="14243" xr:uid="{00000000-0005-0000-0000-0000A3370000}"/>
    <cellStyle name="Normal 2 2 2 2 4 2 2 17 3 4" xfId="14244" xr:uid="{00000000-0005-0000-0000-0000A4370000}"/>
    <cellStyle name="Normal 2 2 2 2 4 2 2 17 3 5" xfId="14245" xr:uid="{00000000-0005-0000-0000-0000A5370000}"/>
    <cellStyle name="Normal 2 2 2 2 4 2 2 17 3 6" xfId="14246" xr:uid="{00000000-0005-0000-0000-0000A6370000}"/>
    <cellStyle name="Normal 2 2 2 2 4 2 2 17 3 7" xfId="14247" xr:uid="{00000000-0005-0000-0000-0000A7370000}"/>
    <cellStyle name="Normal 2 2 2 2 4 2 2 17 3 8" xfId="14248" xr:uid="{00000000-0005-0000-0000-0000A8370000}"/>
    <cellStyle name="Normal 2 2 2 2 4 2 2 17 3 9" xfId="14249" xr:uid="{00000000-0005-0000-0000-0000A9370000}"/>
    <cellStyle name="Normal 2 2 2 2 4 2 2 17 4" xfId="14250" xr:uid="{00000000-0005-0000-0000-0000AA370000}"/>
    <cellStyle name="Normal 2 2 2 2 4 2 2 17 4 10" xfId="14251" xr:uid="{00000000-0005-0000-0000-0000AB370000}"/>
    <cellStyle name="Normal 2 2 2 2 4 2 2 17 4 2" xfId="14252" xr:uid="{00000000-0005-0000-0000-0000AC370000}"/>
    <cellStyle name="Normal 2 2 2 2 4 2 2 17 4 3" xfId="14253" xr:uid="{00000000-0005-0000-0000-0000AD370000}"/>
    <cellStyle name="Normal 2 2 2 2 4 2 2 17 4 4" xfId="14254" xr:uid="{00000000-0005-0000-0000-0000AE370000}"/>
    <cellStyle name="Normal 2 2 2 2 4 2 2 17 4 5" xfId="14255" xr:uid="{00000000-0005-0000-0000-0000AF370000}"/>
    <cellStyle name="Normal 2 2 2 2 4 2 2 17 4 6" xfId="14256" xr:uid="{00000000-0005-0000-0000-0000B0370000}"/>
    <cellStyle name="Normal 2 2 2 2 4 2 2 17 4 7" xfId="14257" xr:uid="{00000000-0005-0000-0000-0000B1370000}"/>
    <cellStyle name="Normal 2 2 2 2 4 2 2 17 4 8" xfId="14258" xr:uid="{00000000-0005-0000-0000-0000B2370000}"/>
    <cellStyle name="Normal 2 2 2 2 4 2 2 17 4 9" xfId="14259" xr:uid="{00000000-0005-0000-0000-0000B3370000}"/>
    <cellStyle name="Normal 2 2 2 2 4 2 2 17 5" xfId="14260" xr:uid="{00000000-0005-0000-0000-0000B4370000}"/>
    <cellStyle name="Normal 2 2 2 2 4 2 2 17 5 10" xfId="14261" xr:uid="{00000000-0005-0000-0000-0000B5370000}"/>
    <cellStyle name="Normal 2 2 2 2 4 2 2 17 5 2" xfId="14262" xr:uid="{00000000-0005-0000-0000-0000B6370000}"/>
    <cellStyle name="Normal 2 2 2 2 4 2 2 17 5 3" xfId="14263" xr:uid="{00000000-0005-0000-0000-0000B7370000}"/>
    <cellStyle name="Normal 2 2 2 2 4 2 2 17 5 4" xfId="14264" xr:uid="{00000000-0005-0000-0000-0000B8370000}"/>
    <cellStyle name="Normal 2 2 2 2 4 2 2 17 5 5" xfId="14265" xr:uid="{00000000-0005-0000-0000-0000B9370000}"/>
    <cellStyle name="Normal 2 2 2 2 4 2 2 17 5 6" xfId="14266" xr:uid="{00000000-0005-0000-0000-0000BA370000}"/>
    <cellStyle name="Normal 2 2 2 2 4 2 2 17 5 7" xfId="14267" xr:uid="{00000000-0005-0000-0000-0000BB370000}"/>
    <cellStyle name="Normal 2 2 2 2 4 2 2 17 5 8" xfId="14268" xr:uid="{00000000-0005-0000-0000-0000BC370000}"/>
    <cellStyle name="Normal 2 2 2 2 4 2 2 17 5 9" xfId="14269" xr:uid="{00000000-0005-0000-0000-0000BD370000}"/>
    <cellStyle name="Normal 2 2 2 2 4 2 2 17 6" xfId="14270" xr:uid="{00000000-0005-0000-0000-0000BE370000}"/>
    <cellStyle name="Normal 2 2 2 2 4 2 2 17 7" xfId="14271" xr:uid="{00000000-0005-0000-0000-0000BF370000}"/>
    <cellStyle name="Normal 2 2 2 2 4 2 2 17 8" xfId="14272" xr:uid="{00000000-0005-0000-0000-0000C0370000}"/>
    <cellStyle name="Normal 2 2 2 2 4 2 2 17 9" xfId="14273" xr:uid="{00000000-0005-0000-0000-0000C1370000}"/>
    <cellStyle name="Normal 2 2 2 2 4 2 2 18" xfId="14274" xr:uid="{00000000-0005-0000-0000-0000C2370000}"/>
    <cellStyle name="Normal 2 2 2 2 4 2 2 18 10" xfId="14275" xr:uid="{00000000-0005-0000-0000-0000C3370000}"/>
    <cellStyle name="Normal 2 2 2 2 4 2 2 18 11" xfId="14276" xr:uid="{00000000-0005-0000-0000-0000C4370000}"/>
    <cellStyle name="Normal 2 2 2 2 4 2 2 18 12" xfId="14277" xr:uid="{00000000-0005-0000-0000-0000C5370000}"/>
    <cellStyle name="Normal 2 2 2 2 4 2 2 18 13" xfId="14278" xr:uid="{00000000-0005-0000-0000-0000C6370000}"/>
    <cellStyle name="Normal 2 2 2 2 4 2 2 18 14" xfId="14279" xr:uid="{00000000-0005-0000-0000-0000C7370000}"/>
    <cellStyle name="Normal 2 2 2 2 4 2 2 18 2" xfId="14280" xr:uid="{00000000-0005-0000-0000-0000C8370000}"/>
    <cellStyle name="Normal 2 2 2 2 4 2 2 18 2 10" xfId="14281" xr:uid="{00000000-0005-0000-0000-0000C9370000}"/>
    <cellStyle name="Normal 2 2 2 2 4 2 2 18 2 2" xfId="14282" xr:uid="{00000000-0005-0000-0000-0000CA370000}"/>
    <cellStyle name="Normal 2 2 2 2 4 2 2 18 2 3" xfId="14283" xr:uid="{00000000-0005-0000-0000-0000CB370000}"/>
    <cellStyle name="Normal 2 2 2 2 4 2 2 18 2 4" xfId="14284" xr:uid="{00000000-0005-0000-0000-0000CC370000}"/>
    <cellStyle name="Normal 2 2 2 2 4 2 2 18 2 5" xfId="14285" xr:uid="{00000000-0005-0000-0000-0000CD370000}"/>
    <cellStyle name="Normal 2 2 2 2 4 2 2 18 2 6" xfId="14286" xr:uid="{00000000-0005-0000-0000-0000CE370000}"/>
    <cellStyle name="Normal 2 2 2 2 4 2 2 18 2 7" xfId="14287" xr:uid="{00000000-0005-0000-0000-0000CF370000}"/>
    <cellStyle name="Normal 2 2 2 2 4 2 2 18 2 8" xfId="14288" xr:uid="{00000000-0005-0000-0000-0000D0370000}"/>
    <cellStyle name="Normal 2 2 2 2 4 2 2 18 2 9" xfId="14289" xr:uid="{00000000-0005-0000-0000-0000D1370000}"/>
    <cellStyle name="Normal 2 2 2 2 4 2 2 18 3" xfId="14290" xr:uid="{00000000-0005-0000-0000-0000D2370000}"/>
    <cellStyle name="Normal 2 2 2 2 4 2 2 18 3 10" xfId="14291" xr:uid="{00000000-0005-0000-0000-0000D3370000}"/>
    <cellStyle name="Normal 2 2 2 2 4 2 2 18 3 2" xfId="14292" xr:uid="{00000000-0005-0000-0000-0000D4370000}"/>
    <cellStyle name="Normal 2 2 2 2 4 2 2 18 3 3" xfId="14293" xr:uid="{00000000-0005-0000-0000-0000D5370000}"/>
    <cellStyle name="Normal 2 2 2 2 4 2 2 18 3 4" xfId="14294" xr:uid="{00000000-0005-0000-0000-0000D6370000}"/>
    <cellStyle name="Normal 2 2 2 2 4 2 2 18 3 5" xfId="14295" xr:uid="{00000000-0005-0000-0000-0000D7370000}"/>
    <cellStyle name="Normal 2 2 2 2 4 2 2 18 3 6" xfId="14296" xr:uid="{00000000-0005-0000-0000-0000D8370000}"/>
    <cellStyle name="Normal 2 2 2 2 4 2 2 18 3 7" xfId="14297" xr:uid="{00000000-0005-0000-0000-0000D9370000}"/>
    <cellStyle name="Normal 2 2 2 2 4 2 2 18 3 8" xfId="14298" xr:uid="{00000000-0005-0000-0000-0000DA370000}"/>
    <cellStyle name="Normal 2 2 2 2 4 2 2 18 3 9" xfId="14299" xr:uid="{00000000-0005-0000-0000-0000DB370000}"/>
    <cellStyle name="Normal 2 2 2 2 4 2 2 18 4" xfId="14300" xr:uid="{00000000-0005-0000-0000-0000DC370000}"/>
    <cellStyle name="Normal 2 2 2 2 4 2 2 18 4 10" xfId="14301" xr:uid="{00000000-0005-0000-0000-0000DD370000}"/>
    <cellStyle name="Normal 2 2 2 2 4 2 2 18 4 2" xfId="14302" xr:uid="{00000000-0005-0000-0000-0000DE370000}"/>
    <cellStyle name="Normal 2 2 2 2 4 2 2 18 4 3" xfId="14303" xr:uid="{00000000-0005-0000-0000-0000DF370000}"/>
    <cellStyle name="Normal 2 2 2 2 4 2 2 18 4 4" xfId="14304" xr:uid="{00000000-0005-0000-0000-0000E0370000}"/>
    <cellStyle name="Normal 2 2 2 2 4 2 2 18 4 5" xfId="14305" xr:uid="{00000000-0005-0000-0000-0000E1370000}"/>
    <cellStyle name="Normal 2 2 2 2 4 2 2 18 4 6" xfId="14306" xr:uid="{00000000-0005-0000-0000-0000E2370000}"/>
    <cellStyle name="Normal 2 2 2 2 4 2 2 18 4 7" xfId="14307" xr:uid="{00000000-0005-0000-0000-0000E3370000}"/>
    <cellStyle name="Normal 2 2 2 2 4 2 2 18 4 8" xfId="14308" xr:uid="{00000000-0005-0000-0000-0000E4370000}"/>
    <cellStyle name="Normal 2 2 2 2 4 2 2 18 4 9" xfId="14309" xr:uid="{00000000-0005-0000-0000-0000E5370000}"/>
    <cellStyle name="Normal 2 2 2 2 4 2 2 18 5" xfId="14310" xr:uid="{00000000-0005-0000-0000-0000E6370000}"/>
    <cellStyle name="Normal 2 2 2 2 4 2 2 18 5 10" xfId="14311" xr:uid="{00000000-0005-0000-0000-0000E7370000}"/>
    <cellStyle name="Normal 2 2 2 2 4 2 2 18 5 2" xfId="14312" xr:uid="{00000000-0005-0000-0000-0000E8370000}"/>
    <cellStyle name="Normal 2 2 2 2 4 2 2 18 5 3" xfId="14313" xr:uid="{00000000-0005-0000-0000-0000E9370000}"/>
    <cellStyle name="Normal 2 2 2 2 4 2 2 18 5 4" xfId="14314" xr:uid="{00000000-0005-0000-0000-0000EA370000}"/>
    <cellStyle name="Normal 2 2 2 2 4 2 2 18 5 5" xfId="14315" xr:uid="{00000000-0005-0000-0000-0000EB370000}"/>
    <cellStyle name="Normal 2 2 2 2 4 2 2 18 5 6" xfId="14316" xr:uid="{00000000-0005-0000-0000-0000EC370000}"/>
    <cellStyle name="Normal 2 2 2 2 4 2 2 18 5 7" xfId="14317" xr:uid="{00000000-0005-0000-0000-0000ED370000}"/>
    <cellStyle name="Normal 2 2 2 2 4 2 2 18 5 8" xfId="14318" xr:uid="{00000000-0005-0000-0000-0000EE370000}"/>
    <cellStyle name="Normal 2 2 2 2 4 2 2 18 5 9" xfId="14319" xr:uid="{00000000-0005-0000-0000-0000EF370000}"/>
    <cellStyle name="Normal 2 2 2 2 4 2 2 18 6" xfId="14320" xr:uid="{00000000-0005-0000-0000-0000F0370000}"/>
    <cellStyle name="Normal 2 2 2 2 4 2 2 18 7" xfId="14321" xr:uid="{00000000-0005-0000-0000-0000F1370000}"/>
    <cellStyle name="Normal 2 2 2 2 4 2 2 18 8" xfId="14322" xr:uid="{00000000-0005-0000-0000-0000F2370000}"/>
    <cellStyle name="Normal 2 2 2 2 4 2 2 18 9" xfId="14323" xr:uid="{00000000-0005-0000-0000-0000F3370000}"/>
    <cellStyle name="Normal 2 2 2 2 4 2 2 19" xfId="14324" xr:uid="{00000000-0005-0000-0000-0000F4370000}"/>
    <cellStyle name="Normal 2 2 2 2 4 2 2 19 10" xfId="14325" xr:uid="{00000000-0005-0000-0000-0000F5370000}"/>
    <cellStyle name="Normal 2 2 2 2 4 2 2 19 11" xfId="14326" xr:uid="{00000000-0005-0000-0000-0000F6370000}"/>
    <cellStyle name="Normal 2 2 2 2 4 2 2 19 12" xfId="14327" xr:uid="{00000000-0005-0000-0000-0000F7370000}"/>
    <cellStyle name="Normal 2 2 2 2 4 2 2 19 13" xfId="14328" xr:uid="{00000000-0005-0000-0000-0000F8370000}"/>
    <cellStyle name="Normal 2 2 2 2 4 2 2 19 14" xfId="14329" xr:uid="{00000000-0005-0000-0000-0000F9370000}"/>
    <cellStyle name="Normal 2 2 2 2 4 2 2 19 2" xfId="14330" xr:uid="{00000000-0005-0000-0000-0000FA370000}"/>
    <cellStyle name="Normal 2 2 2 2 4 2 2 19 2 10" xfId="14331" xr:uid="{00000000-0005-0000-0000-0000FB370000}"/>
    <cellStyle name="Normal 2 2 2 2 4 2 2 19 2 2" xfId="14332" xr:uid="{00000000-0005-0000-0000-0000FC370000}"/>
    <cellStyle name="Normal 2 2 2 2 4 2 2 19 2 3" xfId="14333" xr:uid="{00000000-0005-0000-0000-0000FD370000}"/>
    <cellStyle name="Normal 2 2 2 2 4 2 2 19 2 4" xfId="14334" xr:uid="{00000000-0005-0000-0000-0000FE370000}"/>
    <cellStyle name="Normal 2 2 2 2 4 2 2 19 2 5" xfId="14335" xr:uid="{00000000-0005-0000-0000-0000FF370000}"/>
    <cellStyle name="Normal 2 2 2 2 4 2 2 19 2 6" xfId="14336" xr:uid="{00000000-0005-0000-0000-000000380000}"/>
    <cellStyle name="Normal 2 2 2 2 4 2 2 19 2 7" xfId="14337" xr:uid="{00000000-0005-0000-0000-000001380000}"/>
    <cellStyle name="Normal 2 2 2 2 4 2 2 19 2 8" xfId="14338" xr:uid="{00000000-0005-0000-0000-000002380000}"/>
    <cellStyle name="Normal 2 2 2 2 4 2 2 19 2 9" xfId="14339" xr:uid="{00000000-0005-0000-0000-000003380000}"/>
    <cellStyle name="Normal 2 2 2 2 4 2 2 19 3" xfId="14340" xr:uid="{00000000-0005-0000-0000-000004380000}"/>
    <cellStyle name="Normal 2 2 2 2 4 2 2 19 3 10" xfId="14341" xr:uid="{00000000-0005-0000-0000-000005380000}"/>
    <cellStyle name="Normal 2 2 2 2 4 2 2 19 3 2" xfId="14342" xr:uid="{00000000-0005-0000-0000-000006380000}"/>
    <cellStyle name="Normal 2 2 2 2 4 2 2 19 3 3" xfId="14343" xr:uid="{00000000-0005-0000-0000-000007380000}"/>
    <cellStyle name="Normal 2 2 2 2 4 2 2 19 3 4" xfId="14344" xr:uid="{00000000-0005-0000-0000-000008380000}"/>
    <cellStyle name="Normal 2 2 2 2 4 2 2 19 3 5" xfId="14345" xr:uid="{00000000-0005-0000-0000-000009380000}"/>
    <cellStyle name="Normal 2 2 2 2 4 2 2 19 3 6" xfId="14346" xr:uid="{00000000-0005-0000-0000-00000A380000}"/>
    <cellStyle name="Normal 2 2 2 2 4 2 2 19 3 7" xfId="14347" xr:uid="{00000000-0005-0000-0000-00000B380000}"/>
    <cellStyle name="Normal 2 2 2 2 4 2 2 19 3 8" xfId="14348" xr:uid="{00000000-0005-0000-0000-00000C380000}"/>
    <cellStyle name="Normal 2 2 2 2 4 2 2 19 3 9" xfId="14349" xr:uid="{00000000-0005-0000-0000-00000D380000}"/>
    <cellStyle name="Normal 2 2 2 2 4 2 2 19 4" xfId="14350" xr:uid="{00000000-0005-0000-0000-00000E380000}"/>
    <cellStyle name="Normal 2 2 2 2 4 2 2 19 4 10" xfId="14351" xr:uid="{00000000-0005-0000-0000-00000F380000}"/>
    <cellStyle name="Normal 2 2 2 2 4 2 2 19 4 2" xfId="14352" xr:uid="{00000000-0005-0000-0000-000010380000}"/>
    <cellStyle name="Normal 2 2 2 2 4 2 2 19 4 3" xfId="14353" xr:uid="{00000000-0005-0000-0000-000011380000}"/>
    <cellStyle name="Normal 2 2 2 2 4 2 2 19 4 4" xfId="14354" xr:uid="{00000000-0005-0000-0000-000012380000}"/>
    <cellStyle name="Normal 2 2 2 2 4 2 2 19 4 5" xfId="14355" xr:uid="{00000000-0005-0000-0000-000013380000}"/>
    <cellStyle name="Normal 2 2 2 2 4 2 2 19 4 6" xfId="14356" xr:uid="{00000000-0005-0000-0000-000014380000}"/>
    <cellStyle name="Normal 2 2 2 2 4 2 2 19 4 7" xfId="14357" xr:uid="{00000000-0005-0000-0000-000015380000}"/>
    <cellStyle name="Normal 2 2 2 2 4 2 2 19 4 8" xfId="14358" xr:uid="{00000000-0005-0000-0000-000016380000}"/>
    <cellStyle name="Normal 2 2 2 2 4 2 2 19 4 9" xfId="14359" xr:uid="{00000000-0005-0000-0000-000017380000}"/>
    <cellStyle name="Normal 2 2 2 2 4 2 2 19 5" xfId="14360" xr:uid="{00000000-0005-0000-0000-000018380000}"/>
    <cellStyle name="Normal 2 2 2 2 4 2 2 19 5 10" xfId="14361" xr:uid="{00000000-0005-0000-0000-000019380000}"/>
    <cellStyle name="Normal 2 2 2 2 4 2 2 19 5 2" xfId="14362" xr:uid="{00000000-0005-0000-0000-00001A380000}"/>
    <cellStyle name="Normal 2 2 2 2 4 2 2 19 5 3" xfId="14363" xr:uid="{00000000-0005-0000-0000-00001B380000}"/>
    <cellStyle name="Normal 2 2 2 2 4 2 2 19 5 4" xfId="14364" xr:uid="{00000000-0005-0000-0000-00001C380000}"/>
    <cellStyle name="Normal 2 2 2 2 4 2 2 19 5 5" xfId="14365" xr:uid="{00000000-0005-0000-0000-00001D380000}"/>
    <cellStyle name="Normal 2 2 2 2 4 2 2 19 5 6" xfId="14366" xr:uid="{00000000-0005-0000-0000-00001E380000}"/>
    <cellStyle name="Normal 2 2 2 2 4 2 2 19 5 7" xfId="14367" xr:uid="{00000000-0005-0000-0000-00001F380000}"/>
    <cellStyle name="Normal 2 2 2 2 4 2 2 19 5 8" xfId="14368" xr:uid="{00000000-0005-0000-0000-000020380000}"/>
    <cellStyle name="Normal 2 2 2 2 4 2 2 19 5 9" xfId="14369" xr:uid="{00000000-0005-0000-0000-000021380000}"/>
    <cellStyle name="Normal 2 2 2 2 4 2 2 19 6" xfId="14370" xr:uid="{00000000-0005-0000-0000-000022380000}"/>
    <cellStyle name="Normal 2 2 2 2 4 2 2 19 7" xfId="14371" xr:uid="{00000000-0005-0000-0000-000023380000}"/>
    <cellStyle name="Normal 2 2 2 2 4 2 2 19 8" xfId="14372" xr:uid="{00000000-0005-0000-0000-000024380000}"/>
    <cellStyle name="Normal 2 2 2 2 4 2 2 19 9" xfId="14373" xr:uid="{00000000-0005-0000-0000-000025380000}"/>
    <cellStyle name="Normal 2 2 2 2 4 2 2 2" xfId="14374" xr:uid="{00000000-0005-0000-0000-000026380000}"/>
    <cellStyle name="Normal 2 2 2 2 4 2 2 2 10" xfId="14375" xr:uid="{00000000-0005-0000-0000-000027380000}"/>
    <cellStyle name="Normal 2 2 2 2 4 2 2 2 11" xfId="14376" xr:uid="{00000000-0005-0000-0000-000028380000}"/>
    <cellStyle name="Normal 2 2 2 2 4 2 2 2 12" xfId="14377" xr:uid="{00000000-0005-0000-0000-000029380000}"/>
    <cellStyle name="Normal 2 2 2 2 4 2 2 2 13" xfId="14378" xr:uid="{00000000-0005-0000-0000-00002A380000}"/>
    <cellStyle name="Normal 2 2 2 2 4 2 2 2 14" xfId="14379" xr:uid="{00000000-0005-0000-0000-00002B380000}"/>
    <cellStyle name="Normal 2 2 2 2 4 2 2 2 2" xfId="14380" xr:uid="{00000000-0005-0000-0000-00002C380000}"/>
    <cellStyle name="Normal 2 2 2 2 4 2 2 2 2 10" xfId="14381" xr:uid="{00000000-0005-0000-0000-00002D380000}"/>
    <cellStyle name="Normal 2 2 2 2 4 2 2 2 2 2" xfId="14382" xr:uid="{00000000-0005-0000-0000-00002E380000}"/>
    <cellStyle name="Normal 2 2 2 2 4 2 2 2 2 3" xfId="14383" xr:uid="{00000000-0005-0000-0000-00002F380000}"/>
    <cellStyle name="Normal 2 2 2 2 4 2 2 2 2 4" xfId="14384" xr:uid="{00000000-0005-0000-0000-000030380000}"/>
    <cellStyle name="Normal 2 2 2 2 4 2 2 2 2 5" xfId="14385" xr:uid="{00000000-0005-0000-0000-000031380000}"/>
    <cellStyle name="Normal 2 2 2 2 4 2 2 2 2 6" xfId="14386" xr:uid="{00000000-0005-0000-0000-000032380000}"/>
    <cellStyle name="Normal 2 2 2 2 4 2 2 2 2 7" xfId="14387" xr:uid="{00000000-0005-0000-0000-000033380000}"/>
    <cellStyle name="Normal 2 2 2 2 4 2 2 2 2 8" xfId="14388" xr:uid="{00000000-0005-0000-0000-000034380000}"/>
    <cellStyle name="Normal 2 2 2 2 4 2 2 2 2 9" xfId="14389" xr:uid="{00000000-0005-0000-0000-000035380000}"/>
    <cellStyle name="Normal 2 2 2 2 4 2 2 2 3" xfId="14390" xr:uid="{00000000-0005-0000-0000-000036380000}"/>
    <cellStyle name="Normal 2 2 2 2 4 2 2 2 3 10" xfId="14391" xr:uid="{00000000-0005-0000-0000-000037380000}"/>
    <cellStyle name="Normal 2 2 2 2 4 2 2 2 3 2" xfId="14392" xr:uid="{00000000-0005-0000-0000-000038380000}"/>
    <cellStyle name="Normal 2 2 2 2 4 2 2 2 3 3" xfId="14393" xr:uid="{00000000-0005-0000-0000-000039380000}"/>
    <cellStyle name="Normal 2 2 2 2 4 2 2 2 3 4" xfId="14394" xr:uid="{00000000-0005-0000-0000-00003A380000}"/>
    <cellStyle name="Normal 2 2 2 2 4 2 2 2 3 5" xfId="14395" xr:uid="{00000000-0005-0000-0000-00003B380000}"/>
    <cellStyle name="Normal 2 2 2 2 4 2 2 2 3 6" xfId="14396" xr:uid="{00000000-0005-0000-0000-00003C380000}"/>
    <cellStyle name="Normal 2 2 2 2 4 2 2 2 3 7" xfId="14397" xr:uid="{00000000-0005-0000-0000-00003D380000}"/>
    <cellStyle name="Normal 2 2 2 2 4 2 2 2 3 8" xfId="14398" xr:uid="{00000000-0005-0000-0000-00003E380000}"/>
    <cellStyle name="Normal 2 2 2 2 4 2 2 2 3 9" xfId="14399" xr:uid="{00000000-0005-0000-0000-00003F380000}"/>
    <cellStyle name="Normal 2 2 2 2 4 2 2 2 4" xfId="14400" xr:uid="{00000000-0005-0000-0000-000040380000}"/>
    <cellStyle name="Normal 2 2 2 2 4 2 2 2 4 10" xfId="14401" xr:uid="{00000000-0005-0000-0000-000041380000}"/>
    <cellStyle name="Normal 2 2 2 2 4 2 2 2 4 2" xfId="14402" xr:uid="{00000000-0005-0000-0000-000042380000}"/>
    <cellStyle name="Normal 2 2 2 2 4 2 2 2 4 3" xfId="14403" xr:uid="{00000000-0005-0000-0000-000043380000}"/>
    <cellStyle name="Normal 2 2 2 2 4 2 2 2 4 4" xfId="14404" xr:uid="{00000000-0005-0000-0000-000044380000}"/>
    <cellStyle name="Normal 2 2 2 2 4 2 2 2 4 5" xfId="14405" xr:uid="{00000000-0005-0000-0000-000045380000}"/>
    <cellStyle name="Normal 2 2 2 2 4 2 2 2 4 6" xfId="14406" xr:uid="{00000000-0005-0000-0000-000046380000}"/>
    <cellStyle name="Normal 2 2 2 2 4 2 2 2 4 7" xfId="14407" xr:uid="{00000000-0005-0000-0000-000047380000}"/>
    <cellStyle name="Normal 2 2 2 2 4 2 2 2 4 8" xfId="14408" xr:uid="{00000000-0005-0000-0000-000048380000}"/>
    <cellStyle name="Normal 2 2 2 2 4 2 2 2 4 9" xfId="14409" xr:uid="{00000000-0005-0000-0000-000049380000}"/>
    <cellStyle name="Normal 2 2 2 2 4 2 2 2 5" xfId="14410" xr:uid="{00000000-0005-0000-0000-00004A380000}"/>
    <cellStyle name="Normal 2 2 2 2 4 2 2 2 5 10" xfId="14411" xr:uid="{00000000-0005-0000-0000-00004B380000}"/>
    <cellStyle name="Normal 2 2 2 2 4 2 2 2 5 2" xfId="14412" xr:uid="{00000000-0005-0000-0000-00004C380000}"/>
    <cellStyle name="Normal 2 2 2 2 4 2 2 2 5 3" xfId="14413" xr:uid="{00000000-0005-0000-0000-00004D380000}"/>
    <cellStyle name="Normal 2 2 2 2 4 2 2 2 5 4" xfId="14414" xr:uid="{00000000-0005-0000-0000-00004E380000}"/>
    <cellStyle name="Normal 2 2 2 2 4 2 2 2 5 5" xfId="14415" xr:uid="{00000000-0005-0000-0000-00004F380000}"/>
    <cellStyle name="Normal 2 2 2 2 4 2 2 2 5 6" xfId="14416" xr:uid="{00000000-0005-0000-0000-000050380000}"/>
    <cellStyle name="Normal 2 2 2 2 4 2 2 2 5 7" xfId="14417" xr:uid="{00000000-0005-0000-0000-000051380000}"/>
    <cellStyle name="Normal 2 2 2 2 4 2 2 2 5 8" xfId="14418" xr:uid="{00000000-0005-0000-0000-000052380000}"/>
    <cellStyle name="Normal 2 2 2 2 4 2 2 2 5 9" xfId="14419" xr:uid="{00000000-0005-0000-0000-000053380000}"/>
    <cellStyle name="Normal 2 2 2 2 4 2 2 2 6" xfId="14420" xr:uid="{00000000-0005-0000-0000-000054380000}"/>
    <cellStyle name="Normal 2 2 2 2 4 2 2 2 7" xfId="14421" xr:uid="{00000000-0005-0000-0000-000055380000}"/>
    <cellStyle name="Normal 2 2 2 2 4 2 2 2 8" xfId="14422" xr:uid="{00000000-0005-0000-0000-000056380000}"/>
    <cellStyle name="Normal 2 2 2 2 4 2 2 2 9" xfId="14423" xr:uid="{00000000-0005-0000-0000-000057380000}"/>
    <cellStyle name="Normal 2 2 2 2 4 2 2 20" xfId="14424" xr:uid="{00000000-0005-0000-0000-000058380000}"/>
    <cellStyle name="Normal 2 2 2 2 4 2 2 20 10" xfId="14425" xr:uid="{00000000-0005-0000-0000-000059380000}"/>
    <cellStyle name="Normal 2 2 2 2 4 2 2 20 11" xfId="14426" xr:uid="{00000000-0005-0000-0000-00005A380000}"/>
    <cellStyle name="Normal 2 2 2 2 4 2 2 20 12" xfId="14427" xr:uid="{00000000-0005-0000-0000-00005B380000}"/>
    <cellStyle name="Normal 2 2 2 2 4 2 2 20 13" xfId="14428" xr:uid="{00000000-0005-0000-0000-00005C380000}"/>
    <cellStyle name="Normal 2 2 2 2 4 2 2 20 14" xfId="14429" xr:uid="{00000000-0005-0000-0000-00005D380000}"/>
    <cellStyle name="Normal 2 2 2 2 4 2 2 20 2" xfId="14430" xr:uid="{00000000-0005-0000-0000-00005E380000}"/>
    <cellStyle name="Normal 2 2 2 2 4 2 2 20 2 10" xfId="14431" xr:uid="{00000000-0005-0000-0000-00005F380000}"/>
    <cellStyle name="Normal 2 2 2 2 4 2 2 20 2 2" xfId="14432" xr:uid="{00000000-0005-0000-0000-000060380000}"/>
    <cellStyle name="Normal 2 2 2 2 4 2 2 20 2 3" xfId="14433" xr:uid="{00000000-0005-0000-0000-000061380000}"/>
    <cellStyle name="Normal 2 2 2 2 4 2 2 20 2 4" xfId="14434" xr:uid="{00000000-0005-0000-0000-000062380000}"/>
    <cellStyle name="Normal 2 2 2 2 4 2 2 20 2 5" xfId="14435" xr:uid="{00000000-0005-0000-0000-000063380000}"/>
    <cellStyle name="Normal 2 2 2 2 4 2 2 20 2 6" xfId="14436" xr:uid="{00000000-0005-0000-0000-000064380000}"/>
    <cellStyle name="Normal 2 2 2 2 4 2 2 20 2 7" xfId="14437" xr:uid="{00000000-0005-0000-0000-000065380000}"/>
    <cellStyle name="Normal 2 2 2 2 4 2 2 20 2 8" xfId="14438" xr:uid="{00000000-0005-0000-0000-000066380000}"/>
    <cellStyle name="Normal 2 2 2 2 4 2 2 20 2 9" xfId="14439" xr:uid="{00000000-0005-0000-0000-000067380000}"/>
    <cellStyle name="Normal 2 2 2 2 4 2 2 20 3" xfId="14440" xr:uid="{00000000-0005-0000-0000-000068380000}"/>
    <cellStyle name="Normal 2 2 2 2 4 2 2 20 3 10" xfId="14441" xr:uid="{00000000-0005-0000-0000-000069380000}"/>
    <cellStyle name="Normal 2 2 2 2 4 2 2 20 3 2" xfId="14442" xr:uid="{00000000-0005-0000-0000-00006A380000}"/>
    <cellStyle name="Normal 2 2 2 2 4 2 2 20 3 3" xfId="14443" xr:uid="{00000000-0005-0000-0000-00006B380000}"/>
    <cellStyle name="Normal 2 2 2 2 4 2 2 20 3 4" xfId="14444" xr:uid="{00000000-0005-0000-0000-00006C380000}"/>
    <cellStyle name="Normal 2 2 2 2 4 2 2 20 3 5" xfId="14445" xr:uid="{00000000-0005-0000-0000-00006D380000}"/>
    <cellStyle name="Normal 2 2 2 2 4 2 2 20 3 6" xfId="14446" xr:uid="{00000000-0005-0000-0000-00006E380000}"/>
    <cellStyle name="Normal 2 2 2 2 4 2 2 20 3 7" xfId="14447" xr:uid="{00000000-0005-0000-0000-00006F380000}"/>
    <cellStyle name="Normal 2 2 2 2 4 2 2 20 3 8" xfId="14448" xr:uid="{00000000-0005-0000-0000-000070380000}"/>
    <cellStyle name="Normal 2 2 2 2 4 2 2 20 3 9" xfId="14449" xr:uid="{00000000-0005-0000-0000-000071380000}"/>
    <cellStyle name="Normal 2 2 2 2 4 2 2 20 4" xfId="14450" xr:uid="{00000000-0005-0000-0000-000072380000}"/>
    <cellStyle name="Normal 2 2 2 2 4 2 2 20 4 10" xfId="14451" xr:uid="{00000000-0005-0000-0000-000073380000}"/>
    <cellStyle name="Normal 2 2 2 2 4 2 2 20 4 2" xfId="14452" xr:uid="{00000000-0005-0000-0000-000074380000}"/>
    <cellStyle name="Normal 2 2 2 2 4 2 2 20 4 3" xfId="14453" xr:uid="{00000000-0005-0000-0000-000075380000}"/>
    <cellStyle name="Normal 2 2 2 2 4 2 2 20 4 4" xfId="14454" xr:uid="{00000000-0005-0000-0000-000076380000}"/>
    <cellStyle name="Normal 2 2 2 2 4 2 2 20 4 5" xfId="14455" xr:uid="{00000000-0005-0000-0000-000077380000}"/>
    <cellStyle name="Normal 2 2 2 2 4 2 2 20 4 6" xfId="14456" xr:uid="{00000000-0005-0000-0000-000078380000}"/>
    <cellStyle name="Normal 2 2 2 2 4 2 2 20 4 7" xfId="14457" xr:uid="{00000000-0005-0000-0000-000079380000}"/>
    <cellStyle name="Normal 2 2 2 2 4 2 2 20 4 8" xfId="14458" xr:uid="{00000000-0005-0000-0000-00007A380000}"/>
    <cellStyle name="Normal 2 2 2 2 4 2 2 20 4 9" xfId="14459" xr:uid="{00000000-0005-0000-0000-00007B380000}"/>
    <cellStyle name="Normal 2 2 2 2 4 2 2 20 5" xfId="14460" xr:uid="{00000000-0005-0000-0000-00007C380000}"/>
    <cellStyle name="Normal 2 2 2 2 4 2 2 20 5 10" xfId="14461" xr:uid="{00000000-0005-0000-0000-00007D380000}"/>
    <cellStyle name="Normal 2 2 2 2 4 2 2 20 5 2" xfId="14462" xr:uid="{00000000-0005-0000-0000-00007E380000}"/>
    <cellStyle name="Normal 2 2 2 2 4 2 2 20 5 3" xfId="14463" xr:uid="{00000000-0005-0000-0000-00007F380000}"/>
    <cellStyle name="Normal 2 2 2 2 4 2 2 20 5 4" xfId="14464" xr:uid="{00000000-0005-0000-0000-000080380000}"/>
    <cellStyle name="Normal 2 2 2 2 4 2 2 20 5 5" xfId="14465" xr:uid="{00000000-0005-0000-0000-000081380000}"/>
    <cellStyle name="Normal 2 2 2 2 4 2 2 20 5 6" xfId="14466" xr:uid="{00000000-0005-0000-0000-000082380000}"/>
    <cellStyle name="Normal 2 2 2 2 4 2 2 20 5 7" xfId="14467" xr:uid="{00000000-0005-0000-0000-000083380000}"/>
    <cellStyle name="Normal 2 2 2 2 4 2 2 20 5 8" xfId="14468" xr:uid="{00000000-0005-0000-0000-000084380000}"/>
    <cellStyle name="Normal 2 2 2 2 4 2 2 20 5 9" xfId="14469" xr:uid="{00000000-0005-0000-0000-000085380000}"/>
    <cellStyle name="Normal 2 2 2 2 4 2 2 20 6" xfId="14470" xr:uid="{00000000-0005-0000-0000-000086380000}"/>
    <cellStyle name="Normal 2 2 2 2 4 2 2 20 7" xfId="14471" xr:uid="{00000000-0005-0000-0000-000087380000}"/>
    <cellStyle name="Normal 2 2 2 2 4 2 2 20 8" xfId="14472" xr:uid="{00000000-0005-0000-0000-000088380000}"/>
    <cellStyle name="Normal 2 2 2 2 4 2 2 20 9" xfId="14473" xr:uid="{00000000-0005-0000-0000-000089380000}"/>
    <cellStyle name="Normal 2 2 2 2 4 2 2 3" xfId="14474" xr:uid="{00000000-0005-0000-0000-00008A380000}"/>
    <cellStyle name="Normal 2 2 2 2 4 2 2 3 10" xfId="14475" xr:uid="{00000000-0005-0000-0000-00008B380000}"/>
    <cellStyle name="Normal 2 2 2 2 4 2 2 3 11" xfId="14476" xr:uid="{00000000-0005-0000-0000-00008C380000}"/>
    <cellStyle name="Normal 2 2 2 2 4 2 2 3 12" xfId="14477" xr:uid="{00000000-0005-0000-0000-00008D380000}"/>
    <cellStyle name="Normal 2 2 2 2 4 2 2 3 13" xfId="14478" xr:uid="{00000000-0005-0000-0000-00008E380000}"/>
    <cellStyle name="Normal 2 2 2 2 4 2 2 3 14" xfId="14479" xr:uid="{00000000-0005-0000-0000-00008F380000}"/>
    <cellStyle name="Normal 2 2 2 2 4 2 2 3 2" xfId="14480" xr:uid="{00000000-0005-0000-0000-000090380000}"/>
    <cellStyle name="Normal 2 2 2 2 4 2 2 3 2 10" xfId="14481" xr:uid="{00000000-0005-0000-0000-000091380000}"/>
    <cellStyle name="Normal 2 2 2 2 4 2 2 3 2 2" xfId="14482" xr:uid="{00000000-0005-0000-0000-000092380000}"/>
    <cellStyle name="Normal 2 2 2 2 4 2 2 3 2 3" xfId="14483" xr:uid="{00000000-0005-0000-0000-000093380000}"/>
    <cellStyle name="Normal 2 2 2 2 4 2 2 3 2 4" xfId="14484" xr:uid="{00000000-0005-0000-0000-000094380000}"/>
    <cellStyle name="Normal 2 2 2 2 4 2 2 3 2 5" xfId="14485" xr:uid="{00000000-0005-0000-0000-000095380000}"/>
    <cellStyle name="Normal 2 2 2 2 4 2 2 3 2 6" xfId="14486" xr:uid="{00000000-0005-0000-0000-000096380000}"/>
    <cellStyle name="Normal 2 2 2 2 4 2 2 3 2 7" xfId="14487" xr:uid="{00000000-0005-0000-0000-000097380000}"/>
    <cellStyle name="Normal 2 2 2 2 4 2 2 3 2 8" xfId="14488" xr:uid="{00000000-0005-0000-0000-000098380000}"/>
    <cellStyle name="Normal 2 2 2 2 4 2 2 3 2 9" xfId="14489" xr:uid="{00000000-0005-0000-0000-000099380000}"/>
    <cellStyle name="Normal 2 2 2 2 4 2 2 3 3" xfId="14490" xr:uid="{00000000-0005-0000-0000-00009A380000}"/>
    <cellStyle name="Normal 2 2 2 2 4 2 2 3 3 10" xfId="14491" xr:uid="{00000000-0005-0000-0000-00009B380000}"/>
    <cellStyle name="Normal 2 2 2 2 4 2 2 3 3 2" xfId="14492" xr:uid="{00000000-0005-0000-0000-00009C380000}"/>
    <cellStyle name="Normal 2 2 2 2 4 2 2 3 3 3" xfId="14493" xr:uid="{00000000-0005-0000-0000-00009D380000}"/>
    <cellStyle name="Normal 2 2 2 2 4 2 2 3 3 4" xfId="14494" xr:uid="{00000000-0005-0000-0000-00009E380000}"/>
    <cellStyle name="Normal 2 2 2 2 4 2 2 3 3 5" xfId="14495" xr:uid="{00000000-0005-0000-0000-00009F380000}"/>
    <cellStyle name="Normal 2 2 2 2 4 2 2 3 3 6" xfId="14496" xr:uid="{00000000-0005-0000-0000-0000A0380000}"/>
    <cellStyle name="Normal 2 2 2 2 4 2 2 3 3 7" xfId="14497" xr:uid="{00000000-0005-0000-0000-0000A1380000}"/>
    <cellStyle name="Normal 2 2 2 2 4 2 2 3 3 8" xfId="14498" xr:uid="{00000000-0005-0000-0000-0000A2380000}"/>
    <cellStyle name="Normal 2 2 2 2 4 2 2 3 3 9" xfId="14499" xr:uid="{00000000-0005-0000-0000-0000A3380000}"/>
    <cellStyle name="Normal 2 2 2 2 4 2 2 3 4" xfId="14500" xr:uid="{00000000-0005-0000-0000-0000A4380000}"/>
    <cellStyle name="Normal 2 2 2 2 4 2 2 3 4 10" xfId="14501" xr:uid="{00000000-0005-0000-0000-0000A5380000}"/>
    <cellStyle name="Normal 2 2 2 2 4 2 2 3 4 2" xfId="14502" xr:uid="{00000000-0005-0000-0000-0000A6380000}"/>
    <cellStyle name="Normal 2 2 2 2 4 2 2 3 4 3" xfId="14503" xr:uid="{00000000-0005-0000-0000-0000A7380000}"/>
    <cellStyle name="Normal 2 2 2 2 4 2 2 3 4 4" xfId="14504" xr:uid="{00000000-0005-0000-0000-0000A8380000}"/>
    <cellStyle name="Normal 2 2 2 2 4 2 2 3 4 5" xfId="14505" xr:uid="{00000000-0005-0000-0000-0000A9380000}"/>
    <cellStyle name="Normal 2 2 2 2 4 2 2 3 4 6" xfId="14506" xr:uid="{00000000-0005-0000-0000-0000AA380000}"/>
    <cellStyle name="Normal 2 2 2 2 4 2 2 3 4 7" xfId="14507" xr:uid="{00000000-0005-0000-0000-0000AB380000}"/>
    <cellStyle name="Normal 2 2 2 2 4 2 2 3 4 8" xfId="14508" xr:uid="{00000000-0005-0000-0000-0000AC380000}"/>
    <cellStyle name="Normal 2 2 2 2 4 2 2 3 4 9" xfId="14509" xr:uid="{00000000-0005-0000-0000-0000AD380000}"/>
    <cellStyle name="Normal 2 2 2 2 4 2 2 3 5" xfId="14510" xr:uid="{00000000-0005-0000-0000-0000AE380000}"/>
    <cellStyle name="Normal 2 2 2 2 4 2 2 3 5 10" xfId="14511" xr:uid="{00000000-0005-0000-0000-0000AF380000}"/>
    <cellStyle name="Normal 2 2 2 2 4 2 2 3 5 2" xfId="14512" xr:uid="{00000000-0005-0000-0000-0000B0380000}"/>
    <cellStyle name="Normal 2 2 2 2 4 2 2 3 5 3" xfId="14513" xr:uid="{00000000-0005-0000-0000-0000B1380000}"/>
    <cellStyle name="Normal 2 2 2 2 4 2 2 3 5 4" xfId="14514" xr:uid="{00000000-0005-0000-0000-0000B2380000}"/>
    <cellStyle name="Normal 2 2 2 2 4 2 2 3 5 5" xfId="14515" xr:uid="{00000000-0005-0000-0000-0000B3380000}"/>
    <cellStyle name="Normal 2 2 2 2 4 2 2 3 5 6" xfId="14516" xr:uid="{00000000-0005-0000-0000-0000B4380000}"/>
    <cellStyle name="Normal 2 2 2 2 4 2 2 3 5 7" xfId="14517" xr:uid="{00000000-0005-0000-0000-0000B5380000}"/>
    <cellStyle name="Normal 2 2 2 2 4 2 2 3 5 8" xfId="14518" xr:uid="{00000000-0005-0000-0000-0000B6380000}"/>
    <cellStyle name="Normal 2 2 2 2 4 2 2 3 5 9" xfId="14519" xr:uid="{00000000-0005-0000-0000-0000B7380000}"/>
    <cellStyle name="Normal 2 2 2 2 4 2 2 3 6" xfId="14520" xr:uid="{00000000-0005-0000-0000-0000B8380000}"/>
    <cellStyle name="Normal 2 2 2 2 4 2 2 3 7" xfId="14521" xr:uid="{00000000-0005-0000-0000-0000B9380000}"/>
    <cellStyle name="Normal 2 2 2 2 4 2 2 3 8" xfId="14522" xr:uid="{00000000-0005-0000-0000-0000BA380000}"/>
    <cellStyle name="Normal 2 2 2 2 4 2 2 3 9" xfId="14523" xr:uid="{00000000-0005-0000-0000-0000BB380000}"/>
    <cellStyle name="Normal 2 2 2 2 4 2 2 4" xfId="14524" xr:uid="{00000000-0005-0000-0000-0000BC380000}"/>
    <cellStyle name="Normal 2 2 2 2 4 2 2 4 10" xfId="14525" xr:uid="{00000000-0005-0000-0000-0000BD380000}"/>
    <cellStyle name="Normal 2 2 2 2 4 2 2 4 11" xfId="14526" xr:uid="{00000000-0005-0000-0000-0000BE380000}"/>
    <cellStyle name="Normal 2 2 2 2 4 2 2 4 12" xfId="14527" xr:uid="{00000000-0005-0000-0000-0000BF380000}"/>
    <cellStyle name="Normal 2 2 2 2 4 2 2 4 13" xfId="14528" xr:uid="{00000000-0005-0000-0000-0000C0380000}"/>
    <cellStyle name="Normal 2 2 2 2 4 2 2 4 14" xfId="14529" xr:uid="{00000000-0005-0000-0000-0000C1380000}"/>
    <cellStyle name="Normal 2 2 2 2 4 2 2 4 2" xfId="14530" xr:uid="{00000000-0005-0000-0000-0000C2380000}"/>
    <cellStyle name="Normal 2 2 2 2 4 2 2 4 2 10" xfId="14531" xr:uid="{00000000-0005-0000-0000-0000C3380000}"/>
    <cellStyle name="Normal 2 2 2 2 4 2 2 4 2 2" xfId="14532" xr:uid="{00000000-0005-0000-0000-0000C4380000}"/>
    <cellStyle name="Normal 2 2 2 2 4 2 2 4 2 3" xfId="14533" xr:uid="{00000000-0005-0000-0000-0000C5380000}"/>
    <cellStyle name="Normal 2 2 2 2 4 2 2 4 2 4" xfId="14534" xr:uid="{00000000-0005-0000-0000-0000C6380000}"/>
    <cellStyle name="Normal 2 2 2 2 4 2 2 4 2 5" xfId="14535" xr:uid="{00000000-0005-0000-0000-0000C7380000}"/>
    <cellStyle name="Normal 2 2 2 2 4 2 2 4 2 6" xfId="14536" xr:uid="{00000000-0005-0000-0000-0000C8380000}"/>
    <cellStyle name="Normal 2 2 2 2 4 2 2 4 2 7" xfId="14537" xr:uid="{00000000-0005-0000-0000-0000C9380000}"/>
    <cellStyle name="Normal 2 2 2 2 4 2 2 4 2 8" xfId="14538" xr:uid="{00000000-0005-0000-0000-0000CA380000}"/>
    <cellStyle name="Normal 2 2 2 2 4 2 2 4 2 9" xfId="14539" xr:uid="{00000000-0005-0000-0000-0000CB380000}"/>
    <cellStyle name="Normal 2 2 2 2 4 2 2 4 3" xfId="14540" xr:uid="{00000000-0005-0000-0000-0000CC380000}"/>
    <cellStyle name="Normal 2 2 2 2 4 2 2 4 3 10" xfId="14541" xr:uid="{00000000-0005-0000-0000-0000CD380000}"/>
    <cellStyle name="Normal 2 2 2 2 4 2 2 4 3 2" xfId="14542" xr:uid="{00000000-0005-0000-0000-0000CE380000}"/>
    <cellStyle name="Normal 2 2 2 2 4 2 2 4 3 3" xfId="14543" xr:uid="{00000000-0005-0000-0000-0000CF380000}"/>
    <cellStyle name="Normal 2 2 2 2 4 2 2 4 3 4" xfId="14544" xr:uid="{00000000-0005-0000-0000-0000D0380000}"/>
    <cellStyle name="Normal 2 2 2 2 4 2 2 4 3 5" xfId="14545" xr:uid="{00000000-0005-0000-0000-0000D1380000}"/>
    <cellStyle name="Normal 2 2 2 2 4 2 2 4 3 6" xfId="14546" xr:uid="{00000000-0005-0000-0000-0000D2380000}"/>
    <cellStyle name="Normal 2 2 2 2 4 2 2 4 3 7" xfId="14547" xr:uid="{00000000-0005-0000-0000-0000D3380000}"/>
    <cellStyle name="Normal 2 2 2 2 4 2 2 4 3 8" xfId="14548" xr:uid="{00000000-0005-0000-0000-0000D4380000}"/>
    <cellStyle name="Normal 2 2 2 2 4 2 2 4 3 9" xfId="14549" xr:uid="{00000000-0005-0000-0000-0000D5380000}"/>
    <cellStyle name="Normal 2 2 2 2 4 2 2 4 4" xfId="14550" xr:uid="{00000000-0005-0000-0000-0000D6380000}"/>
    <cellStyle name="Normal 2 2 2 2 4 2 2 4 4 10" xfId="14551" xr:uid="{00000000-0005-0000-0000-0000D7380000}"/>
    <cellStyle name="Normal 2 2 2 2 4 2 2 4 4 2" xfId="14552" xr:uid="{00000000-0005-0000-0000-0000D8380000}"/>
    <cellStyle name="Normal 2 2 2 2 4 2 2 4 4 3" xfId="14553" xr:uid="{00000000-0005-0000-0000-0000D9380000}"/>
    <cellStyle name="Normal 2 2 2 2 4 2 2 4 4 4" xfId="14554" xr:uid="{00000000-0005-0000-0000-0000DA380000}"/>
    <cellStyle name="Normal 2 2 2 2 4 2 2 4 4 5" xfId="14555" xr:uid="{00000000-0005-0000-0000-0000DB380000}"/>
    <cellStyle name="Normal 2 2 2 2 4 2 2 4 4 6" xfId="14556" xr:uid="{00000000-0005-0000-0000-0000DC380000}"/>
    <cellStyle name="Normal 2 2 2 2 4 2 2 4 4 7" xfId="14557" xr:uid="{00000000-0005-0000-0000-0000DD380000}"/>
    <cellStyle name="Normal 2 2 2 2 4 2 2 4 4 8" xfId="14558" xr:uid="{00000000-0005-0000-0000-0000DE380000}"/>
    <cellStyle name="Normal 2 2 2 2 4 2 2 4 4 9" xfId="14559" xr:uid="{00000000-0005-0000-0000-0000DF380000}"/>
    <cellStyle name="Normal 2 2 2 2 4 2 2 4 5" xfId="14560" xr:uid="{00000000-0005-0000-0000-0000E0380000}"/>
    <cellStyle name="Normal 2 2 2 2 4 2 2 4 5 10" xfId="14561" xr:uid="{00000000-0005-0000-0000-0000E1380000}"/>
    <cellStyle name="Normal 2 2 2 2 4 2 2 4 5 2" xfId="14562" xr:uid="{00000000-0005-0000-0000-0000E2380000}"/>
    <cellStyle name="Normal 2 2 2 2 4 2 2 4 5 3" xfId="14563" xr:uid="{00000000-0005-0000-0000-0000E3380000}"/>
    <cellStyle name="Normal 2 2 2 2 4 2 2 4 5 4" xfId="14564" xr:uid="{00000000-0005-0000-0000-0000E4380000}"/>
    <cellStyle name="Normal 2 2 2 2 4 2 2 4 5 5" xfId="14565" xr:uid="{00000000-0005-0000-0000-0000E5380000}"/>
    <cellStyle name="Normal 2 2 2 2 4 2 2 4 5 6" xfId="14566" xr:uid="{00000000-0005-0000-0000-0000E6380000}"/>
    <cellStyle name="Normal 2 2 2 2 4 2 2 4 5 7" xfId="14567" xr:uid="{00000000-0005-0000-0000-0000E7380000}"/>
    <cellStyle name="Normal 2 2 2 2 4 2 2 4 5 8" xfId="14568" xr:uid="{00000000-0005-0000-0000-0000E8380000}"/>
    <cellStyle name="Normal 2 2 2 2 4 2 2 4 5 9" xfId="14569" xr:uid="{00000000-0005-0000-0000-0000E9380000}"/>
    <cellStyle name="Normal 2 2 2 2 4 2 2 4 6" xfId="14570" xr:uid="{00000000-0005-0000-0000-0000EA380000}"/>
    <cellStyle name="Normal 2 2 2 2 4 2 2 4 7" xfId="14571" xr:uid="{00000000-0005-0000-0000-0000EB380000}"/>
    <cellStyle name="Normal 2 2 2 2 4 2 2 4 8" xfId="14572" xr:uid="{00000000-0005-0000-0000-0000EC380000}"/>
    <cellStyle name="Normal 2 2 2 2 4 2 2 4 9" xfId="14573" xr:uid="{00000000-0005-0000-0000-0000ED380000}"/>
    <cellStyle name="Normal 2 2 2 2 4 2 2 5" xfId="14574" xr:uid="{00000000-0005-0000-0000-0000EE380000}"/>
    <cellStyle name="Normal 2 2 2 2 4 2 2 5 10" xfId="14575" xr:uid="{00000000-0005-0000-0000-0000EF380000}"/>
    <cellStyle name="Normal 2 2 2 2 4 2 2 5 11" xfId="14576" xr:uid="{00000000-0005-0000-0000-0000F0380000}"/>
    <cellStyle name="Normal 2 2 2 2 4 2 2 5 12" xfId="14577" xr:uid="{00000000-0005-0000-0000-0000F1380000}"/>
    <cellStyle name="Normal 2 2 2 2 4 2 2 5 13" xfId="14578" xr:uid="{00000000-0005-0000-0000-0000F2380000}"/>
    <cellStyle name="Normal 2 2 2 2 4 2 2 5 14" xfId="14579" xr:uid="{00000000-0005-0000-0000-0000F3380000}"/>
    <cellStyle name="Normal 2 2 2 2 4 2 2 5 2" xfId="14580" xr:uid="{00000000-0005-0000-0000-0000F4380000}"/>
    <cellStyle name="Normal 2 2 2 2 4 2 2 5 2 10" xfId="14581" xr:uid="{00000000-0005-0000-0000-0000F5380000}"/>
    <cellStyle name="Normal 2 2 2 2 4 2 2 5 2 2" xfId="14582" xr:uid="{00000000-0005-0000-0000-0000F6380000}"/>
    <cellStyle name="Normal 2 2 2 2 4 2 2 5 2 3" xfId="14583" xr:uid="{00000000-0005-0000-0000-0000F7380000}"/>
    <cellStyle name="Normal 2 2 2 2 4 2 2 5 2 4" xfId="14584" xr:uid="{00000000-0005-0000-0000-0000F8380000}"/>
    <cellStyle name="Normal 2 2 2 2 4 2 2 5 2 5" xfId="14585" xr:uid="{00000000-0005-0000-0000-0000F9380000}"/>
    <cellStyle name="Normal 2 2 2 2 4 2 2 5 2 6" xfId="14586" xr:uid="{00000000-0005-0000-0000-0000FA380000}"/>
    <cellStyle name="Normal 2 2 2 2 4 2 2 5 2 7" xfId="14587" xr:uid="{00000000-0005-0000-0000-0000FB380000}"/>
    <cellStyle name="Normal 2 2 2 2 4 2 2 5 2 8" xfId="14588" xr:uid="{00000000-0005-0000-0000-0000FC380000}"/>
    <cellStyle name="Normal 2 2 2 2 4 2 2 5 2 9" xfId="14589" xr:uid="{00000000-0005-0000-0000-0000FD380000}"/>
    <cellStyle name="Normal 2 2 2 2 4 2 2 5 3" xfId="14590" xr:uid="{00000000-0005-0000-0000-0000FE380000}"/>
    <cellStyle name="Normal 2 2 2 2 4 2 2 5 3 10" xfId="14591" xr:uid="{00000000-0005-0000-0000-0000FF380000}"/>
    <cellStyle name="Normal 2 2 2 2 4 2 2 5 3 2" xfId="14592" xr:uid="{00000000-0005-0000-0000-000000390000}"/>
    <cellStyle name="Normal 2 2 2 2 4 2 2 5 3 3" xfId="14593" xr:uid="{00000000-0005-0000-0000-000001390000}"/>
    <cellStyle name="Normal 2 2 2 2 4 2 2 5 3 4" xfId="14594" xr:uid="{00000000-0005-0000-0000-000002390000}"/>
    <cellStyle name="Normal 2 2 2 2 4 2 2 5 3 5" xfId="14595" xr:uid="{00000000-0005-0000-0000-000003390000}"/>
    <cellStyle name="Normal 2 2 2 2 4 2 2 5 3 6" xfId="14596" xr:uid="{00000000-0005-0000-0000-000004390000}"/>
    <cellStyle name="Normal 2 2 2 2 4 2 2 5 3 7" xfId="14597" xr:uid="{00000000-0005-0000-0000-000005390000}"/>
    <cellStyle name="Normal 2 2 2 2 4 2 2 5 3 8" xfId="14598" xr:uid="{00000000-0005-0000-0000-000006390000}"/>
    <cellStyle name="Normal 2 2 2 2 4 2 2 5 3 9" xfId="14599" xr:uid="{00000000-0005-0000-0000-000007390000}"/>
    <cellStyle name="Normal 2 2 2 2 4 2 2 5 4" xfId="14600" xr:uid="{00000000-0005-0000-0000-000008390000}"/>
    <cellStyle name="Normal 2 2 2 2 4 2 2 5 4 10" xfId="14601" xr:uid="{00000000-0005-0000-0000-000009390000}"/>
    <cellStyle name="Normal 2 2 2 2 4 2 2 5 4 2" xfId="14602" xr:uid="{00000000-0005-0000-0000-00000A390000}"/>
    <cellStyle name="Normal 2 2 2 2 4 2 2 5 4 3" xfId="14603" xr:uid="{00000000-0005-0000-0000-00000B390000}"/>
    <cellStyle name="Normal 2 2 2 2 4 2 2 5 4 4" xfId="14604" xr:uid="{00000000-0005-0000-0000-00000C390000}"/>
    <cellStyle name="Normal 2 2 2 2 4 2 2 5 4 5" xfId="14605" xr:uid="{00000000-0005-0000-0000-00000D390000}"/>
    <cellStyle name="Normal 2 2 2 2 4 2 2 5 4 6" xfId="14606" xr:uid="{00000000-0005-0000-0000-00000E390000}"/>
    <cellStyle name="Normal 2 2 2 2 4 2 2 5 4 7" xfId="14607" xr:uid="{00000000-0005-0000-0000-00000F390000}"/>
    <cellStyle name="Normal 2 2 2 2 4 2 2 5 4 8" xfId="14608" xr:uid="{00000000-0005-0000-0000-000010390000}"/>
    <cellStyle name="Normal 2 2 2 2 4 2 2 5 4 9" xfId="14609" xr:uid="{00000000-0005-0000-0000-000011390000}"/>
    <cellStyle name="Normal 2 2 2 2 4 2 2 5 5" xfId="14610" xr:uid="{00000000-0005-0000-0000-000012390000}"/>
    <cellStyle name="Normal 2 2 2 2 4 2 2 5 5 10" xfId="14611" xr:uid="{00000000-0005-0000-0000-000013390000}"/>
    <cellStyle name="Normal 2 2 2 2 4 2 2 5 5 2" xfId="14612" xr:uid="{00000000-0005-0000-0000-000014390000}"/>
    <cellStyle name="Normal 2 2 2 2 4 2 2 5 5 3" xfId="14613" xr:uid="{00000000-0005-0000-0000-000015390000}"/>
    <cellStyle name="Normal 2 2 2 2 4 2 2 5 5 4" xfId="14614" xr:uid="{00000000-0005-0000-0000-000016390000}"/>
    <cellStyle name="Normal 2 2 2 2 4 2 2 5 5 5" xfId="14615" xr:uid="{00000000-0005-0000-0000-000017390000}"/>
    <cellStyle name="Normal 2 2 2 2 4 2 2 5 5 6" xfId="14616" xr:uid="{00000000-0005-0000-0000-000018390000}"/>
    <cellStyle name="Normal 2 2 2 2 4 2 2 5 5 7" xfId="14617" xr:uid="{00000000-0005-0000-0000-000019390000}"/>
    <cellStyle name="Normal 2 2 2 2 4 2 2 5 5 8" xfId="14618" xr:uid="{00000000-0005-0000-0000-00001A390000}"/>
    <cellStyle name="Normal 2 2 2 2 4 2 2 5 5 9" xfId="14619" xr:uid="{00000000-0005-0000-0000-00001B390000}"/>
    <cellStyle name="Normal 2 2 2 2 4 2 2 5 6" xfId="14620" xr:uid="{00000000-0005-0000-0000-00001C390000}"/>
    <cellStyle name="Normal 2 2 2 2 4 2 2 5 7" xfId="14621" xr:uid="{00000000-0005-0000-0000-00001D390000}"/>
    <cellStyle name="Normal 2 2 2 2 4 2 2 5 8" xfId="14622" xr:uid="{00000000-0005-0000-0000-00001E390000}"/>
    <cellStyle name="Normal 2 2 2 2 4 2 2 5 9" xfId="14623" xr:uid="{00000000-0005-0000-0000-00001F390000}"/>
    <cellStyle name="Normal 2 2 2 2 4 2 2 6" xfId="14624" xr:uid="{00000000-0005-0000-0000-000020390000}"/>
    <cellStyle name="Normal 2 2 2 2 4 2 2 6 10" xfId="14625" xr:uid="{00000000-0005-0000-0000-000021390000}"/>
    <cellStyle name="Normal 2 2 2 2 4 2 2 6 11" xfId="14626" xr:uid="{00000000-0005-0000-0000-000022390000}"/>
    <cellStyle name="Normal 2 2 2 2 4 2 2 6 12" xfId="14627" xr:uid="{00000000-0005-0000-0000-000023390000}"/>
    <cellStyle name="Normal 2 2 2 2 4 2 2 6 13" xfId="14628" xr:uid="{00000000-0005-0000-0000-000024390000}"/>
    <cellStyle name="Normal 2 2 2 2 4 2 2 6 14" xfId="14629" xr:uid="{00000000-0005-0000-0000-000025390000}"/>
    <cellStyle name="Normal 2 2 2 2 4 2 2 6 2" xfId="14630" xr:uid="{00000000-0005-0000-0000-000026390000}"/>
    <cellStyle name="Normal 2 2 2 2 4 2 2 6 2 10" xfId="14631" xr:uid="{00000000-0005-0000-0000-000027390000}"/>
    <cellStyle name="Normal 2 2 2 2 4 2 2 6 2 2" xfId="14632" xr:uid="{00000000-0005-0000-0000-000028390000}"/>
    <cellStyle name="Normal 2 2 2 2 4 2 2 6 2 3" xfId="14633" xr:uid="{00000000-0005-0000-0000-000029390000}"/>
    <cellStyle name="Normal 2 2 2 2 4 2 2 6 2 4" xfId="14634" xr:uid="{00000000-0005-0000-0000-00002A390000}"/>
    <cellStyle name="Normal 2 2 2 2 4 2 2 6 2 5" xfId="14635" xr:uid="{00000000-0005-0000-0000-00002B390000}"/>
    <cellStyle name="Normal 2 2 2 2 4 2 2 6 2 6" xfId="14636" xr:uid="{00000000-0005-0000-0000-00002C390000}"/>
    <cellStyle name="Normal 2 2 2 2 4 2 2 6 2 7" xfId="14637" xr:uid="{00000000-0005-0000-0000-00002D390000}"/>
    <cellStyle name="Normal 2 2 2 2 4 2 2 6 2 8" xfId="14638" xr:uid="{00000000-0005-0000-0000-00002E390000}"/>
    <cellStyle name="Normal 2 2 2 2 4 2 2 6 2 9" xfId="14639" xr:uid="{00000000-0005-0000-0000-00002F390000}"/>
    <cellStyle name="Normal 2 2 2 2 4 2 2 6 3" xfId="14640" xr:uid="{00000000-0005-0000-0000-000030390000}"/>
    <cellStyle name="Normal 2 2 2 2 4 2 2 6 3 10" xfId="14641" xr:uid="{00000000-0005-0000-0000-000031390000}"/>
    <cellStyle name="Normal 2 2 2 2 4 2 2 6 3 2" xfId="14642" xr:uid="{00000000-0005-0000-0000-000032390000}"/>
    <cellStyle name="Normal 2 2 2 2 4 2 2 6 3 3" xfId="14643" xr:uid="{00000000-0005-0000-0000-000033390000}"/>
    <cellStyle name="Normal 2 2 2 2 4 2 2 6 3 4" xfId="14644" xr:uid="{00000000-0005-0000-0000-000034390000}"/>
    <cellStyle name="Normal 2 2 2 2 4 2 2 6 3 5" xfId="14645" xr:uid="{00000000-0005-0000-0000-000035390000}"/>
    <cellStyle name="Normal 2 2 2 2 4 2 2 6 3 6" xfId="14646" xr:uid="{00000000-0005-0000-0000-000036390000}"/>
    <cellStyle name="Normal 2 2 2 2 4 2 2 6 3 7" xfId="14647" xr:uid="{00000000-0005-0000-0000-000037390000}"/>
    <cellStyle name="Normal 2 2 2 2 4 2 2 6 3 8" xfId="14648" xr:uid="{00000000-0005-0000-0000-000038390000}"/>
    <cellStyle name="Normal 2 2 2 2 4 2 2 6 3 9" xfId="14649" xr:uid="{00000000-0005-0000-0000-000039390000}"/>
    <cellStyle name="Normal 2 2 2 2 4 2 2 6 4" xfId="14650" xr:uid="{00000000-0005-0000-0000-00003A390000}"/>
    <cellStyle name="Normal 2 2 2 2 4 2 2 6 4 10" xfId="14651" xr:uid="{00000000-0005-0000-0000-00003B390000}"/>
    <cellStyle name="Normal 2 2 2 2 4 2 2 6 4 2" xfId="14652" xr:uid="{00000000-0005-0000-0000-00003C390000}"/>
    <cellStyle name="Normal 2 2 2 2 4 2 2 6 4 3" xfId="14653" xr:uid="{00000000-0005-0000-0000-00003D390000}"/>
    <cellStyle name="Normal 2 2 2 2 4 2 2 6 4 4" xfId="14654" xr:uid="{00000000-0005-0000-0000-00003E390000}"/>
    <cellStyle name="Normal 2 2 2 2 4 2 2 6 4 5" xfId="14655" xr:uid="{00000000-0005-0000-0000-00003F390000}"/>
    <cellStyle name="Normal 2 2 2 2 4 2 2 6 4 6" xfId="14656" xr:uid="{00000000-0005-0000-0000-000040390000}"/>
    <cellStyle name="Normal 2 2 2 2 4 2 2 6 4 7" xfId="14657" xr:uid="{00000000-0005-0000-0000-000041390000}"/>
    <cellStyle name="Normal 2 2 2 2 4 2 2 6 4 8" xfId="14658" xr:uid="{00000000-0005-0000-0000-000042390000}"/>
    <cellStyle name="Normal 2 2 2 2 4 2 2 6 4 9" xfId="14659" xr:uid="{00000000-0005-0000-0000-000043390000}"/>
    <cellStyle name="Normal 2 2 2 2 4 2 2 6 5" xfId="14660" xr:uid="{00000000-0005-0000-0000-000044390000}"/>
    <cellStyle name="Normal 2 2 2 2 4 2 2 6 5 10" xfId="14661" xr:uid="{00000000-0005-0000-0000-000045390000}"/>
    <cellStyle name="Normal 2 2 2 2 4 2 2 6 5 2" xfId="14662" xr:uid="{00000000-0005-0000-0000-000046390000}"/>
    <cellStyle name="Normal 2 2 2 2 4 2 2 6 5 3" xfId="14663" xr:uid="{00000000-0005-0000-0000-000047390000}"/>
    <cellStyle name="Normal 2 2 2 2 4 2 2 6 5 4" xfId="14664" xr:uid="{00000000-0005-0000-0000-000048390000}"/>
    <cellStyle name="Normal 2 2 2 2 4 2 2 6 5 5" xfId="14665" xr:uid="{00000000-0005-0000-0000-000049390000}"/>
    <cellStyle name="Normal 2 2 2 2 4 2 2 6 5 6" xfId="14666" xr:uid="{00000000-0005-0000-0000-00004A390000}"/>
    <cellStyle name="Normal 2 2 2 2 4 2 2 6 5 7" xfId="14667" xr:uid="{00000000-0005-0000-0000-00004B390000}"/>
    <cellStyle name="Normal 2 2 2 2 4 2 2 6 5 8" xfId="14668" xr:uid="{00000000-0005-0000-0000-00004C390000}"/>
    <cellStyle name="Normal 2 2 2 2 4 2 2 6 5 9" xfId="14669" xr:uid="{00000000-0005-0000-0000-00004D390000}"/>
    <cellStyle name="Normal 2 2 2 2 4 2 2 6 6" xfId="14670" xr:uid="{00000000-0005-0000-0000-00004E390000}"/>
    <cellStyle name="Normal 2 2 2 2 4 2 2 6 7" xfId="14671" xr:uid="{00000000-0005-0000-0000-00004F390000}"/>
    <cellStyle name="Normal 2 2 2 2 4 2 2 6 8" xfId="14672" xr:uid="{00000000-0005-0000-0000-000050390000}"/>
    <cellStyle name="Normal 2 2 2 2 4 2 2 6 9" xfId="14673" xr:uid="{00000000-0005-0000-0000-000051390000}"/>
    <cellStyle name="Normal 2 2 2 2 4 2 2 7" xfId="14674" xr:uid="{00000000-0005-0000-0000-000052390000}"/>
    <cellStyle name="Normal 2 2 2 2 4 2 2 7 10" xfId="14675" xr:uid="{00000000-0005-0000-0000-000053390000}"/>
    <cellStyle name="Normal 2 2 2 2 4 2 2 7 11" xfId="14676" xr:uid="{00000000-0005-0000-0000-000054390000}"/>
    <cellStyle name="Normal 2 2 2 2 4 2 2 7 12" xfId="14677" xr:uid="{00000000-0005-0000-0000-000055390000}"/>
    <cellStyle name="Normal 2 2 2 2 4 2 2 7 13" xfId="14678" xr:uid="{00000000-0005-0000-0000-000056390000}"/>
    <cellStyle name="Normal 2 2 2 2 4 2 2 7 14" xfId="14679" xr:uid="{00000000-0005-0000-0000-000057390000}"/>
    <cellStyle name="Normal 2 2 2 2 4 2 2 7 2" xfId="14680" xr:uid="{00000000-0005-0000-0000-000058390000}"/>
    <cellStyle name="Normal 2 2 2 2 4 2 2 7 2 10" xfId="14681" xr:uid="{00000000-0005-0000-0000-000059390000}"/>
    <cellStyle name="Normal 2 2 2 2 4 2 2 7 2 2" xfId="14682" xr:uid="{00000000-0005-0000-0000-00005A390000}"/>
    <cellStyle name="Normal 2 2 2 2 4 2 2 7 2 3" xfId="14683" xr:uid="{00000000-0005-0000-0000-00005B390000}"/>
    <cellStyle name="Normal 2 2 2 2 4 2 2 7 2 4" xfId="14684" xr:uid="{00000000-0005-0000-0000-00005C390000}"/>
    <cellStyle name="Normal 2 2 2 2 4 2 2 7 2 5" xfId="14685" xr:uid="{00000000-0005-0000-0000-00005D390000}"/>
    <cellStyle name="Normal 2 2 2 2 4 2 2 7 2 6" xfId="14686" xr:uid="{00000000-0005-0000-0000-00005E390000}"/>
    <cellStyle name="Normal 2 2 2 2 4 2 2 7 2 7" xfId="14687" xr:uid="{00000000-0005-0000-0000-00005F390000}"/>
    <cellStyle name="Normal 2 2 2 2 4 2 2 7 2 8" xfId="14688" xr:uid="{00000000-0005-0000-0000-000060390000}"/>
    <cellStyle name="Normal 2 2 2 2 4 2 2 7 2 9" xfId="14689" xr:uid="{00000000-0005-0000-0000-000061390000}"/>
    <cellStyle name="Normal 2 2 2 2 4 2 2 7 3" xfId="14690" xr:uid="{00000000-0005-0000-0000-000062390000}"/>
    <cellStyle name="Normal 2 2 2 2 4 2 2 7 3 10" xfId="14691" xr:uid="{00000000-0005-0000-0000-000063390000}"/>
    <cellStyle name="Normal 2 2 2 2 4 2 2 7 3 2" xfId="14692" xr:uid="{00000000-0005-0000-0000-000064390000}"/>
    <cellStyle name="Normal 2 2 2 2 4 2 2 7 3 3" xfId="14693" xr:uid="{00000000-0005-0000-0000-000065390000}"/>
    <cellStyle name="Normal 2 2 2 2 4 2 2 7 3 4" xfId="14694" xr:uid="{00000000-0005-0000-0000-000066390000}"/>
    <cellStyle name="Normal 2 2 2 2 4 2 2 7 3 5" xfId="14695" xr:uid="{00000000-0005-0000-0000-000067390000}"/>
    <cellStyle name="Normal 2 2 2 2 4 2 2 7 3 6" xfId="14696" xr:uid="{00000000-0005-0000-0000-000068390000}"/>
    <cellStyle name="Normal 2 2 2 2 4 2 2 7 3 7" xfId="14697" xr:uid="{00000000-0005-0000-0000-000069390000}"/>
    <cellStyle name="Normal 2 2 2 2 4 2 2 7 3 8" xfId="14698" xr:uid="{00000000-0005-0000-0000-00006A390000}"/>
    <cellStyle name="Normal 2 2 2 2 4 2 2 7 3 9" xfId="14699" xr:uid="{00000000-0005-0000-0000-00006B390000}"/>
    <cellStyle name="Normal 2 2 2 2 4 2 2 7 4" xfId="14700" xr:uid="{00000000-0005-0000-0000-00006C390000}"/>
    <cellStyle name="Normal 2 2 2 2 4 2 2 7 4 10" xfId="14701" xr:uid="{00000000-0005-0000-0000-00006D390000}"/>
    <cellStyle name="Normal 2 2 2 2 4 2 2 7 4 2" xfId="14702" xr:uid="{00000000-0005-0000-0000-00006E390000}"/>
    <cellStyle name="Normal 2 2 2 2 4 2 2 7 4 3" xfId="14703" xr:uid="{00000000-0005-0000-0000-00006F390000}"/>
    <cellStyle name="Normal 2 2 2 2 4 2 2 7 4 4" xfId="14704" xr:uid="{00000000-0005-0000-0000-000070390000}"/>
    <cellStyle name="Normal 2 2 2 2 4 2 2 7 4 5" xfId="14705" xr:uid="{00000000-0005-0000-0000-000071390000}"/>
    <cellStyle name="Normal 2 2 2 2 4 2 2 7 4 6" xfId="14706" xr:uid="{00000000-0005-0000-0000-000072390000}"/>
    <cellStyle name="Normal 2 2 2 2 4 2 2 7 4 7" xfId="14707" xr:uid="{00000000-0005-0000-0000-000073390000}"/>
    <cellStyle name="Normal 2 2 2 2 4 2 2 7 4 8" xfId="14708" xr:uid="{00000000-0005-0000-0000-000074390000}"/>
    <cellStyle name="Normal 2 2 2 2 4 2 2 7 4 9" xfId="14709" xr:uid="{00000000-0005-0000-0000-000075390000}"/>
    <cellStyle name="Normal 2 2 2 2 4 2 2 7 5" xfId="14710" xr:uid="{00000000-0005-0000-0000-000076390000}"/>
    <cellStyle name="Normal 2 2 2 2 4 2 2 7 5 10" xfId="14711" xr:uid="{00000000-0005-0000-0000-000077390000}"/>
    <cellStyle name="Normal 2 2 2 2 4 2 2 7 5 2" xfId="14712" xr:uid="{00000000-0005-0000-0000-000078390000}"/>
    <cellStyle name="Normal 2 2 2 2 4 2 2 7 5 3" xfId="14713" xr:uid="{00000000-0005-0000-0000-000079390000}"/>
    <cellStyle name="Normal 2 2 2 2 4 2 2 7 5 4" xfId="14714" xr:uid="{00000000-0005-0000-0000-00007A390000}"/>
    <cellStyle name="Normal 2 2 2 2 4 2 2 7 5 5" xfId="14715" xr:uid="{00000000-0005-0000-0000-00007B390000}"/>
    <cellStyle name="Normal 2 2 2 2 4 2 2 7 5 6" xfId="14716" xr:uid="{00000000-0005-0000-0000-00007C390000}"/>
    <cellStyle name="Normal 2 2 2 2 4 2 2 7 5 7" xfId="14717" xr:uid="{00000000-0005-0000-0000-00007D390000}"/>
    <cellStyle name="Normal 2 2 2 2 4 2 2 7 5 8" xfId="14718" xr:uid="{00000000-0005-0000-0000-00007E390000}"/>
    <cellStyle name="Normal 2 2 2 2 4 2 2 7 5 9" xfId="14719" xr:uid="{00000000-0005-0000-0000-00007F390000}"/>
    <cellStyle name="Normal 2 2 2 2 4 2 2 7 6" xfId="14720" xr:uid="{00000000-0005-0000-0000-000080390000}"/>
    <cellStyle name="Normal 2 2 2 2 4 2 2 7 7" xfId="14721" xr:uid="{00000000-0005-0000-0000-000081390000}"/>
    <cellStyle name="Normal 2 2 2 2 4 2 2 7 8" xfId="14722" xr:uid="{00000000-0005-0000-0000-000082390000}"/>
    <cellStyle name="Normal 2 2 2 2 4 2 2 7 9" xfId="14723" xr:uid="{00000000-0005-0000-0000-000083390000}"/>
    <cellStyle name="Normal 2 2 2 2 4 2 2 8" xfId="14724" xr:uid="{00000000-0005-0000-0000-000084390000}"/>
    <cellStyle name="Normal 2 2 2 2 4 2 2 8 10" xfId="14725" xr:uid="{00000000-0005-0000-0000-000085390000}"/>
    <cellStyle name="Normal 2 2 2 2 4 2 2 8 11" xfId="14726" xr:uid="{00000000-0005-0000-0000-000086390000}"/>
    <cellStyle name="Normal 2 2 2 2 4 2 2 8 12" xfId="14727" xr:uid="{00000000-0005-0000-0000-000087390000}"/>
    <cellStyle name="Normal 2 2 2 2 4 2 2 8 13" xfId="14728" xr:uid="{00000000-0005-0000-0000-000088390000}"/>
    <cellStyle name="Normal 2 2 2 2 4 2 2 8 14" xfId="14729" xr:uid="{00000000-0005-0000-0000-000089390000}"/>
    <cellStyle name="Normal 2 2 2 2 4 2 2 8 2" xfId="14730" xr:uid="{00000000-0005-0000-0000-00008A390000}"/>
    <cellStyle name="Normal 2 2 2 2 4 2 2 8 2 10" xfId="14731" xr:uid="{00000000-0005-0000-0000-00008B390000}"/>
    <cellStyle name="Normal 2 2 2 2 4 2 2 8 2 2" xfId="14732" xr:uid="{00000000-0005-0000-0000-00008C390000}"/>
    <cellStyle name="Normal 2 2 2 2 4 2 2 8 2 3" xfId="14733" xr:uid="{00000000-0005-0000-0000-00008D390000}"/>
    <cellStyle name="Normal 2 2 2 2 4 2 2 8 2 4" xfId="14734" xr:uid="{00000000-0005-0000-0000-00008E390000}"/>
    <cellStyle name="Normal 2 2 2 2 4 2 2 8 2 5" xfId="14735" xr:uid="{00000000-0005-0000-0000-00008F390000}"/>
    <cellStyle name="Normal 2 2 2 2 4 2 2 8 2 6" xfId="14736" xr:uid="{00000000-0005-0000-0000-000090390000}"/>
    <cellStyle name="Normal 2 2 2 2 4 2 2 8 2 7" xfId="14737" xr:uid="{00000000-0005-0000-0000-000091390000}"/>
    <cellStyle name="Normal 2 2 2 2 4 2 2 8 2 8" xfId="14738" xr:uid="{00000000-0005-0000-0000-000092390000}"/>
    <cellStyle name="Normal 2 2 2 2 4 2 2 8 2 9" xfId="14739" xr:uid="{00000000-0005-0000-0000-000093390000}"/>
    <cellStyle name="Normal 2 2 2 2 4 2 2 8 3" xfId="14740" xr:uid="{00000000-0005-0000-0000-000094390000}"/>
    <cellStyle name="Normal 2 2 2 2 4 2 2 8 3 10" xfId="14741" xr:uid="{00000000-0005-0000-0000-000095390000}"/>
    <cellStyle name="Normal 2 2 2 2 4 2 2 8 3 2" xfId="14742" xr:uid="{00000000-0005-0000-0000-000096390000}"/>
    <cellStyle name="Normal 2 2 2 2 4 2 2 8 3 3" xfId="14743" xr:uid="{00000000-0005-0000-0000-000097390000}"/>
    <cellStyle name="Normal 2 2 2 2 4 2 2 8 3 4" xfId="14744" xr:uid="{00000000-0005-0000-0000-000098390000}"/>
    <cellStyle name="Normal 2 2 2 2 4 2 2 8 3 5" xfId="14745" xr:uid="{00000000-0005-0000-0000-000099390000}"/>
    <cellStyle name="Normal 2 2 2 2 4 2 2 8 3 6" xfId="14746" xr:uid="{00000000-0005-0000-0000-00009A390000}"/>
    <cellStyle name="Normal 2 2 2 2 4 2 2 8 3 7" xfId="14747" xr:uid="{00000000-0005-0000-0000-00009B390000}"/>
    <cellStyle name="Normal 2 2 2 2 4 2 2 8 3 8" xfId="14748" xr:uid="{00000000-0005-0000-0000-00009C390000}"/>
    <cellStyle name="Normal 2 2 2 2 4 2 2 8 3 9" xfId="14749" xr:uid="{00000000-0005-0000-0000-00009D390000}"/>
    <cellStyle name="Normal 2 2 2 2 4 2 2 8 4" xfId="14750" xr:uid="{00000000-0005-0000-0000-00009E390000}"/>
    <cellStyle name="Normal 2 2 2 2 4 2 2 8 4 10" xfId="14751" xr:uid="{00000000-0005-0000-0000-00009F390000}"/>
    <cellStyle name="Normal 2 2 2 2 4 2 2 8 4 2" xfId="14752" xr:uid="{00000000-0005-0000-0000-0000A0390000}"/>
    <cellStyle name="Normal 2 2 2 2 4 2 2 8 4 3" xfId="14753" xr:uid="{00000000-0005-0000-0000-0000A1390000}"/>
    <cellStyle name="Normal 2 2 2 2 4 2 2 8 4 4" xfId="14754" xr:uid="{00000000-0005-0000-0000-0000A2390000}"/>
    <cellStyle name="Normal 2 2 2 2 4 2 2 8 4 5" xfId="14755" xr:uid="{00000000-0005-0000-0000-0000A3390000}"/>
    <cellStyle name="Normal 2 2 2 2 4 2 2 8 4 6" xfId="14756" xr:uid="{00000000-0005-0000-0000-0000A4390000}"/>
    <cellStyle name="Normal 2 2 2 2 4 2 2 8 4 7" xfId="14757" xr:uid="{00000000-0005-0000-0000-0000A5390000}"/>
    <cellStyle name="Normal 2 2 2 2 4 2 2 8 4 8" xfId="14758" xr:uid="{00000000-0005-0000-0000-0000A6390000}"/>
    <cellStyle name="Normal 2 2 2 2 4 2 2 8 4 9" xfId="14759" xr:uid="{00000000-0005-0000-0000-0000A7390000}"/>
    <cellStyle name="Normal 2 2 2 2 4 2 2 8 5" xfId="14760" xr:uid="{00000000-0005-0000-0000-0000A8390000}"/>
    <cellStyle name="Normal 2 2 2 2 4 2 2 8 5 10" xfId="14761" xr:uid="{00000000-0005-0000-0000-0000A9390000}"/>
    <cellStyle name="Normal 2 2 2 2 4 2 2 8 5 2" xfId="14762" xr:uid="{00000000-0005-0000-0000-0000AA390000}"/>
    <cellStyle name="Normal 2 2 2 2 4 2 2 8 5 3" xfId="14763" xr:uid="{00000000-0005-0000-0000-0000AB390000}"/>
    <cellStyle name="Normal 2 2 2 2 4 2 2 8 5 4" xfId="14764" xr:uid="{00000000-0005-0000-0000-0000AC390000}"/>
    <cellStyle name="Normal 2 2 2 2 4 2 2 8 5 5" xfId="14765" xr:uid="{00000000-0005-0000-0000-0000AD390000}"/>
    <cellStyle name="Normal 2 2 2 2 4 2 2 8 5 6" xfId="14766" xr:uid="{00000000-0005-0000-0000-0000AE390000}"/>
    <cellStyle name="Normal 2 2 2 2 4 2 2 8 5 7" xfId="14767" xr:uid="{00000000-0005-0000-0000-0000AF390000}"/>
    <cellStyle name="Normal 2 2 2 2 4 2 2 8 5 8" xfId="14768" xr:uid="{00000000-0005-0000-0000-0000B0390000}"/>
    <cellStyle name="Normal 2 2 2 2 4 2 2 8 5 9" xfId="14769" xr:uid="{00000000-0005-0000-0000-0000B1390000}"/>
    <cellStyle name="Normal 2 2 2 2 4 2 2 8 6" xfId="14770" xr:uid="{00000000-0005-0000-0000-0000B2390000}"/>
    <cellStyle name="Normal 2 2 2 2 4 2 2 8 7" xfId="14771" xr:uid="{00000000-0005-0000-0000-0000B3390000}"/>
    <cellStyle name="Normal 2 2 2 2 4 2 2 8 8" xfId="14772" xr:uid="{00000000-0005-0000-0000-0000B4390000}"/>
    <cellStyle name="Normal 2 2 2 2 4 2 2 8 9" xfId="14773" xr:uid="{00000000-0005-0000-0000-0000B5390000}"/>
    <cellStyle name="Normal 2 2 2 2 4 2 2 9" xfId="14774" xr:uid="{00000000-0005-0000-0000-0000B6390000}"/>
    <cellStyle name="Normal 2 2 2 2 4 2 2 9 10" xfId="14775" xr:uid="{00000000-0005-0000-0000-0000B7390000}"/>
    <cellStyle name="Normal 2 2 2 2 4 2 2 9 11" xfId="14776" xr:uid="{00000000-0005-0000-0000-0000B8390000}"/>
    <cellStyle name="Normal 2 2 2 2 4 2 2 9 12" xfId="14777" xr:uid="{00000000-0005-0000-0000-0000B9390000}"/>
    <cellStyle name="Normal 2 2 2 2 4 2 2 9 13" xfId="14778" xr:uid="{00000000-0005-0000-0000-0000BA390000}"/>
    <cellStyle name="Normal 2 2 2 2 4 2 2 9 14" xfId="14779" xr:uid="{00000000-0005-0000-0000-0000BB390000}"/>
    <cellStyle name="Normal 2 2 2 2 4 2 2 9 2" xfId="14780" xr:uid="{00000000-0005-0000-0000-0000BC390000}"/>
    <cellStyle name="Normal 2 2 2 2 4 2 2 9 2 10" xfId="14781" xr:uid="{00000000-0005-0000-0000-0000BD390000}"/>
    <cellStyle name="Normal 2 2 2 2 4 2 2 9 2 2" xfId="14782" xr:uid="{00000000-0005-0000-0000-0000BE390000}"/>
    <cellStyle name="Normal 2 2 2 2 4 2 2 9 2 3" xfId="14783" xr:uid="{00000000-0005-0000-0000-0000BF390000}"/>
    <cellStyle name="Normal 2 2 2 2 4 2 2 9 2 4" xfId="14784" xr:uid="{00000000-0005-0000-0000-0000C0390000}"/>
    <cellStyle name="Normal 2 2 2 2 4 2 2 9 2 5" xfId="14785" xr:uid="{00000000-0005-0000-0000-0000C1390000}"/>
    <cellStyle name="Normal 2 2 2 2 4 2 2 9 2 6" xfId="14786" xr:uid="{00000000-0005-0000-0000-0000C2390000}"/>
    <cellStyle name="Normal 2 2 2 2 4 2 2 9 2 7" xfId="14787" xr:uid="{00000000-0005-0000-0000-0000C3390000}"/>
    <cellStyle name="Normal 2 2 2 2 4 2 2 9 2 8" xfId="14788" xr:uid="{00000000-0005-0000-0000-0000C4390000}"/>
    <cellStyle name="Normal 2 2 2 2 4 2 2 9 2 9" xfId="14789" xr:uid="{00000000-0005-0000-0000-0000C5390000}"/>
    <cellStyle name="Normal 2 2 2 2 4 2 2 9 3" xfId="14790" xr:uid="{00000000-0005-0000-0000-0000C6390000}"/>
    <cellStyle name="Normal 2 2 2 2 4 2 2 9 3 10" xfId="14791" xr:uid="{00000000-0005-0000-0000-0000C7390000}"/>
    <cellStyle name="Normal 2 2 2 2 4 2 2 9 3 2" xfId="14792" xr:uid="{00000000-0005-0000-0000-0000C8390000}"/>
    <cellStyle name="Normal 2 2 2 2 4 2 2 9 3 3" xfId="14793" xr:uid="{00000000-0005-0000-0000-0000C9390000}"/>
    <cellStyle name="Normal 2 2 2 2 4 2 2 9 3 4" xfId="14794" xr:uid="{00000000-0005-0000-0000-0000CA390000}"/>
    <cellStyle name="Normal 2 2 2 2 4 2 2 9 3 5" xfId="14795" xr:uid="{00000000-0005-0000-0000-0000CB390000}"/>
    <cellStyle name="Normal 2 2 2 2 4 2 2 9 3 6" xfId="14796" xr:uid="{00000000-0005-0000-0000-0000CC390000}"/>
    <cellStyle name="Normal 2 2 2 2 4 2 2 9 3 7" xfId="14797" xr:uid="{00000000-0005-0000-0000-0000CD390000}"/>
    <cellStyle name="Normal 2 2 2 2 4 2 2 9 3 8" xfId="14798" xr:uid="{00000000-0005-0000-0000-0000CE390000}"/>
    <cellStyle name="Normal 2 2 2 2 4 2 2 9 3 9" xfId="14799" xr:uid="{00000000-0005-0000-0000-0000CF390000}"/>
    <cellStyle name="Normal 2 2 2 2 4 2 2 9 4" xfId="14800" xr:uid="{00000000-0005-0000-0000-0000D0390000}"/>
    <cellStyle name="Normal 2 2 2 2 4 2 2 9 4 10" xfId="14801" xr:uid="{00000000-0005-0000-0000-0000D1390000}"/>
    <cellStyle name="Normal 2 2 2 2 4 2 2 9 4 2" xfId="14802" xr:uid="{00000000-0005-0000-0000-0000D2390000}"/>
    <cellStyle name="Normal 2 2 2 2 4 2 2 9 4 3" xfId="14803" xr:uid="{00000000-0005-0000-0000-0000D3390000}"/>
    <cellStyle name="Normal 2 2 2 2 4 2 2 9 4 4" xfId="14804" xr:uid="{00000000-0005-0000-0000-0000D4390000}"/>
    <cellStyle name="Normal 2 2 2 2 4 2 2 9 4 5" xfId="14805" xr:uid="{00000000-0005-0000-0000-0000D5390000}"/>
    <cellStyle name="Normal 2 2 2 2 4 2 2 9 4 6" xfId="14806" xr:uid="{00000000-0005-0000-0000-0000D6390000}"/>
    <cellStyle name="Normal 2 2 2 2 4 2 2 9 4 7" xfId="14807" xr:uid="{00000000-0005-0000-0000-0000D7390000}"/>
    <cellStyle name="Normal 2 2 2 2 4 2 2 9 4 8" xfId="14808" xr:uid="{00000000-0005-0000-0000-0000D8390000}"/>
    <cellStyle name="Normal 2 2 2 2 4 2 2 9 4 9" xfId="14809" xr:uid="{00000000-0005-0000-0000-0000D9390000}"/>
    <cellStyle name="Normal 2 2 2 2 4 2 2 9 5" xfId="14810" xr:uid="{00000000-0005-0000-0000-0000DA390000}"/>
    <cellStyle name="Normal 2 2 2 2 4 2 2 9 5 10" xfId="14811" xr:uid="{00000000-0005-0000-0000-0000DB390000}"/>
    <cellStyle name="Normal 2 2 2 2 4 2 2 9 5 2" xfId="14812" xr:uid="{00000000-0005-0000-0000-0000DC390000}"/>
    <cellStyle name="Normal 2 2 2 2 4 2 2 9 5 3" xfId="14813" xr:uid="{00000000-0005-0000-0000-0000DD390000}"/>
    <cellStyle name="Normal 2 2 2 2 4 2 2 9 5 4" xfId="14814" xr:uid="{00000000-0005-0000-0000-0000DE390000}"/>
    <cellStyle name="Normal 2 2 2 2 4 2 2 9 5 5" xfId="14815" xr:uid="{00000000-0005-0000-0000-0000DF390000}"/>
    <cellStyle name="Normal 2 2 2 2 4 2 2 9 5 6" xfId="14816" xr:uid="{00000000-0005-0000-0000-0000E0390000}"/>
    <cellStyle name="Normal 2 2 2 2 4 2 2 9 5 7" xfId="14817" xr:uid="{00000000-0005-0000-0000-0000E1390000}"/>
    <cellStyle name="Normal 2 2 2 2 4 2 2 9 5 8" xfId="14818" xr:uid="{00000000-0005-0000-0000-0000E2390000}"/>
    <cellStyle name="Normal 2 2 2 2 4 2 2 9 5 9" xfId="14819" xr:uid="{00000000-0005-0000-0000-0000E3390000}"/>
    <cellStyle name="Normal 2 2 2 2 4 2 2 9 6" xfId="14820" xr:uid="{00000000-0005-0000-0000-0000E4390000}"/>
    <cellStyle name="Normal 2 2 2 2 4 2 2 9 7" xfId="14821" xr:uid="{00000000-0005-0000-0000-0000E5390000}"/>
    <cellStyle name="Normal 2 2 2 2 4 2 2 9 8" xfId="14822" xr:uid="{00000000-0005-0000-0000-0000E6390000}"/>
    <cellStyle name="Normal 2 2 2 2 4 2 2 9 9" xfId="14823" xr:uid="{00000000-0005-0000-0000-0000E7390000}"/>
    <cellStyle name="Normal 2 2 2 2 4 2 20" xfId="14824" xr:uid="{00000000-0005-0000-0000-0000E8390000}"/>
    <cellStyle name="Normal 2 2 2 2 4 2 21" xfId="14825" xr:uid="{00000000-0005-0000-0000-0000E9390000}"/>
    <cellStyle name="Normal 2 2 2 2 4 2 21 10" xfId="14826" xr:uid="{00000000-0005-0000-0000-0000EA390000}"/>
    <cellStyle name="Normal 2 2 2 2 4 2 21 2" xfId="14827" xr:uid="{00000000-0005-0000-0000-0000EB390000}"/>
    <cellStyle name="Normal 2 2 2 2 4 2 21 3" xfId="14828" xr:uid="{00000000-0005-0000-0000-0000EC390000}"/>
    <cellStyle name="Normal 2 2 2 2 4 2 21 4" xfId="14829" xr:uid="{00000000-0005-0000-0000-0000ED390000}"/>
    <cellStyle name="Normal 2 2 2 2 4 2 21 5" xfId="14830" xr:uid="{00000000-0005-0000-0000-0000EE390000}"/>
    <cellStyle name="Normal 2 2 2 2 4 2 21 6" xfId="14831" xr:uid="{00000000-0005-0000-0000-0000EF390000}"/>
    <cellStyle name="Normal 2 2 2 2 4 2 21 7" xfId="14832" xr:uid="{00000000-0005-0000-0000-0000F0390000}"/>
    <cellStyle name="Normal 2 2 2 2 4 2 21 8" xfId="14833" xr:uid="{00000000-0005-0000-0000-0000F1390000}"/>
    <cellStyle name="Normal 2 2 2 2 4 2 21 9" xfId="14834" xr:uid="{00000000-0005-0000-0000-0000F2390000}"/>
    <cellStyle name="Normal 2 2 2 2 4 2 22" xfId="14835" xr:uid="{00000000-0005-0000-0000-0000F3390000}"/>
    <cellStyle name="Normal 2 2 2 2 4 2 22 10" xfId="14836" xr:uid="{00000000-0005-0000-0000-0000F4390000}"/>
    <cellStyle name="Normal 2 2 2 2 4 2 22 2" xfId="14837" xr:uid="{00000000-0005-0000-0000-0000F5390000}"/>
    <cellStyle name="Normal 2 2 2 2 4 2 22 3" xfId="14838" xr:uid="{00000000-0005-0000-0000-0000F6390000}"/>
    <cellStyle name="Normal 2 2 2 2 4 2 22 4" xfId="14839" xr:uid="{00000000-0005-0000-0000-0000F7390000}"/>
    <cellStyle name="Normal 2 2 2 2 4 2 22 5" xfId="14840" xr:uid="{00000000-0005-0000-0000-0000F8390000}"/>
    <cellStyle name="Normal 2 2 2 2 4 2 22 6" xfId="14841" xr:uid="{00000000-0005-0000-0000-0000F9390000}"/>
    <cellStyle name="Normal 2 2 2 2 4 2 22 7" xfId="14842" xr:uid="{00000000-0005-0000-0000-0000FA390000}"/>
    <cellStyle name="Normal 2 2 2 2 4 2 22 8" xfId="14843" xr:uid="{00000000-0005-0000-0000-0000FB390000}"/>
    <cellStyle name="Normal 2 2 2 2 4 2 22 9" xfId="14844" xr:uid="{00000000-0005-0000-0000-0000FC390000}"/>
    <cellStyle name="Normal 2 2 2 2 4 2 23" xfId="14845" xr:uid="{00000000-0005-0000-0000-0000FD390000}"/>
    <cellStyle name="Normal 2 2 2 2 4 2 23 10" xfId="14846" xr:uid="{00000000-0005-0000-0000-0000FE390000}"/>
    <cellStyle name="Normal 2 2 2 2 4 2 23 2" xfId="14847" xr:uid="{00000000-0005-0000-0000-0000FF390000}"/>
    <cellStyle name="Normal 2 2 2 2 4 2 23 3" xfId="14848" xr:uid="{00000000-0005-0000-0000-0000003A0000}"/>
    <cellStyle name="Normal 2 2 2 2 4 2 23 4" xfId="14849" xr:uid="{00000000-0005-0000-0000-0000013A0000}"/>
    <cellStyle name="Normal 2 2 2 2 4 2 23 5" xfId="14850" xr:uid="{00000000-0005-0000-0000-0000023A0000}"/>
    <cellStyle name="Normal 2 2 2 2 4 2 23 6" xfId="14851" xr:uid="{00000000-0005-0000-0000-0000033A0000}"/>
    <cellStyle name="Normal 2 2 2 2 4 2 23 7" xfId="14852" xr:uid="{00000000-0005-0000-0000-0000043A0000}"/>
    <cellStyle name="Normal 2 2 2 2 4 2 23 8" xfId="14853" xr:uid="{00000000-0005-0000-0000-0000053A0000}"/>
    <cellStyle name="Normal 2 2 2 2 4 2 23 9" xfId="14854" xr:uid="{00000000-0005-0000-0000-0000063A0000}"/>
    <cellStyle name="Normal 2 2 2 2 4 2 24" xfId="14855" xr:uid="{00000000-0005-0000-0000-0000073A0000}"/>
    <cellStyle name="Normal 2 2 2 2 4 2 24 10" xfId="14856" xr:uid="{00000000-0005-0000-0000-0000083A0000}"/>
    <cellStyle name="Normal 2 2 2 2 4 2 24 2" xfId="14857" xr:uid="{00000000-0005-0000-0000-0000093A0000}"/>
    <cellStyle name="Normal 2 2 2 2 4 2 24 3" xfId="14858" xr:uid="{00000000-0005-0000-0000-00000A3A0000}"/>
    <cellStyle name="Normal 2 2 2 2 4 2 24 4" xfId="14859" xr:uid="{00000000-0005-0000-0000-00000B3A0000}"/>
    <cellStyle name="Normal 2 2 2 2 4 2 24 5" xfId="14860" xr:uid="{00000000-0005-0000-0000-00000C3A0000}"/>
    <cellStyle name="Normal 2 2 2 2 4 2 24 6" xfId="14861" xr:uid="{00000000-0005-0000-0000-00000D3A0000}"/>
    <cellStyle name="Normal 2 2 2 2 4 2 24 7" xfId="14862" xr:uid="{00000000-0005-0000-0000-00000E3A0000}"/>
    <cellStyle name="Normal 2 2 2 2 4 2 24 8" xfId="14863" xr:uid="{00000000-0005-0000-0000-00000F3A0000}"/>
    <cellStyle name="Normal 2 2 2 2 4 2 24 9" xfId="14864" xr:uid="{00000000-0005-0000-0000-0000103A0000}"/>
    <cellStyle name="Normal 2 2 2 2 4 2 25" xfId="14865" xr:uid="{00000000-0005-0000-0000-0000113A0000}"/>
    <cellStyle name="Normal 2 2 2 2 4 2 26" xfId="14866" xr:uid="{00000000-0005-0000-0000-0000123A0000}"/>
    <cellStyle name="Normal 2 2 2 2 4 2 27" xfId="14867" xr:uid="{00000000-0005-0000-0000-0000133A0000}"/>
    <cellStyle name="Normal 2 2 2 2 4 2 28" xfId="14868" xr:uid="{00000000-0005-0000-0000-0000143A0000}"/>
    <cellStyle name="Normal 2 2 2 2 4 2 29" xfId="14869" xr:uid="{00000000-0005-0000-0000-0000153A0000}"/>
    <cellStyle name="Normal 2 2 2 2 4 2 3" xfId="14870" xr:uid="{00000000-0005-0000-0000-0000163A0000}"/>
    <cellStyle name="Normal 2 2 2 2 4 2 30" xfId="14871" xr:uid="{00000000-0005-0000-0000-0000173A0000}"/>
    <cellStyle name="Normal 2 2 2 2 4 2 31" xfId="14872" xr:uid="{00000000-0005-0000-0000-0000183A0000}"/>
    <cellStyle name="Normal 2 2 2 2 4 2 32" xfId="14873" xr:uid="{00000000-0005-0000-0000-0000193A0000}"/>
    <cellStyle name="Normal 2 2 2 2 4 2 33" xfId="14874" xr:uid="{00000000-0005-0000-0000-00001A3A0000}"/>
    <cellStyle name="Normal 2 2 2 2 4 2 34" xfId="14875" xr:uid="{00000000-0005-0000-0000-00001B3A0000}"/>
    <cellStyle name="Normal 2 2 2 2 4 2 35" xfId="14876" xr:uid="{00000000-0005-0000-0000-00001C3A0000}"/>
    <cellStyle name="Normal 2 2 2 2 4 2 4" xfId="14877" xr:uid="{00000000-0005-0000-0000-00001D3A0000}"/>
    <cellStyle name="Normal 2 2 2 2 4 2 5" xfId="14878" xr:uid="{00000000-0005-0000-0000-00001E3A0000}"/>
    <cellStyle name="Normal 2 2 2 2 4 2 6" xfId="14879" xr:uid="{00000000-0005-0000-0000-00001F3A0000}"/>
    <cellStyle name="Normal 2 2 2 2 4 2 7" xfId="14880" xr:uid="{00000000-0005-0000-0000-0000203A0000}"/>
    <cellStyle name="Normal 2 2 2 2 4 2 8" xfId="14881" xr:uid="{00000000-0005-0000-0000-0000213A0000}"/>
    <cellStyle name="Normal 2 2 2 2 4 2 9" xfId="14882" xr:uid="{00000000-0005-0000-0000-0000223A0000}"/>
    <cellStyle name="Normal 2 2 2 2 4 20" xfId="14883" xr:uid="{00000000-0005-0000-0000-0000233A0000}"/>
    <cellStyle name="Normal 2 2 2 2 4 20 10" xfId="14884" xr:uid="{00000000-0005-0000-0000-0000243A0000}"/>
    <cellStyle name="Normal 2 2 2 2 4 20 11" xfId="14885" xr:uid="{00000000-0005-0000-0000-0000253A0000}"/>
    <cellStyle name="Normal 2 2 2 2 4 20 12" xfId="14886" xr:uid="{00000000-0005-0000-0000-0000263A0000}"/>
    <cellStyle name="Normal 2 2 2 2 4 20 13" xfId="14887" xr:uid="{00000000-0005-0000-0000-0000273A0000}"/>
    <cellStyle name="Normal 2 2 2 2 4 20 14" xfId="14888" xr:uid="{00000000-0005-0000-0000-0000283A0000}"/>
    <cellStyle name="Normal 2 2 2 2 4 20 2" xfId="14889" xr:uid="{00000000-0005-0000-0000-0000293A0000}"/>
    <cellStyle name="Normal 2 2 2 2 4 20 2 10" xfId="14890" xr:uid="{00000000-0005-0000-0000-00002A3A0000}"/>
    <cellStyle name="Normal 2 2 2 2 4 20 2 2" xfId="14891" xr:uid="{00000000-0005-0000-0000-00002B3A0000}"/>
    <cellStyle name="Normal 2 2 2 2 4 20 2 3" xfId="14892" xr:uid="{00000000-0005-0000-0000-00002C3A0000}"/>
    <cellStyle name="Normal 2 2 2 2 4 20 2 4" xfId="14893" xr:uid="{00000000-0005-0000-0000-00002D3A0000}"/>
    <cellStyle name="Normal 2 2 2 2 4 20 2 5" xfId="14894" xr:uid="{00000000-0005-0000-0000-00002E3A0000}"/>
    <cellStyle name="Normal 2 2 2 2 4 20 2 6" xfId="14895" xr:uid="{00000000-0005-0000-0000-00002F3A0000}"/>
    <cellStyle name="Normal 2 2 2 2 4 20 2 7" xfId="14896" xr:uid="{00000000-0005-0000-0000-0000303A0000}"/>
    <cellStyle name="Normal 2 2 2 2 4 20 2 8" xfId="14897" xr:uid="{00000000-0005-0000-0000-0000313A0000}"/>
    <cellStyle name="Normal 2 2 2 2 4 20 2 9" xfId="14898" xr:uid="{00000000-0005-0000-0000-0000323A0000}"/>
    <cellStyle name="Normal 2 2 2 2 4 20 3" xfId="14899" xr:uid="{00000000-0005-0000-0000-0000333A0000}"/>
    <cellStyle name="Normal 2 2 2 2 4 20 3 10" xfId="14900" xr:uid="{00000000-0005-0000-0000-0000343A0000}"/>
    <cellStyle name="Normal 2 2 2 2 4 20 3 2" xfId="14901" xr:uid="{00000000-0005-0000-0000-0000353A0000}"/>
    <cellStyle name="Normal 2 2 2 2 4 20 3 3" xfId="14902" xr:uid="{00000000-0005-0000-0000-0000363A0000}"/>
    <cellStyle name="Normal 2 2 2 2 4 20 3 4" xfId="14903" xr:uid="{00000000-0005-0000-0000-0000373A0000}"/>
    <cellStyle name="Normal 2 2 2 2 4 20 3 5" xfId="14904" xr:uid="{00000000-0005-0000-0000-0000383A0000}"/>
    <cellStyle name="Normal 2 2 2 2 4 20 3 6" xfId="14905" xr:uid="{00000000-0005-0000-0000-0000393A0000}"/>
    <cellStyle name="Normal 2 2 2 2 4 20 3 7" xfId="14906" xr:uid="{00000000-0005-0000-0000-00003A3A0000}"/>
    <cellStyle name="Normal 2 2 2 2 4 20 3 8" xfId="14907" xr:uid="{00000000-0005-0000-0000-00003B3A0000}"/>
    <cellStyle name="Normal 2 2 2 2 4 20 3 9" xfId="14908" xr:uid="{00000000-0005-0000-0000-00003C3A0000}"/>
    <cellStyle name="Normal 2 2 2 2 4 20 4" xfId="14909" xr:uid="{00000000-0005-0000-0000-00003D3A0000}"/>
    <cellStyle name="Normal 2 2 2 2 4 20 4 10" xfId="14910" xr:uid="{00000000-0005-0000-0000-00003E3A0000}"/>
    <cellStyle name="Normal 2 2 2 2 4 20 4 2" xfId="14911" xr:uid="{00000000-0005-0000-0000-00003F3A0000}"/>
    <cellStyle name="Normal 2 2 2 2 4 20 4 3" xfId="14912" xr:uid="{00000000-0005-0000-0000-0000403A0000}"/>
    <cellStyle name="Normal 2 2 2 2 4 20 4 4" xfId="14913" xr:uid="{00000000-0005-0000-0000-0000413A0000}"/>
    <cellStyle name="Normal 2 2 2 2 4 20 4 5" xfId="14914" xr:uid="{00000000-0005-0000-0000-0000423A0000}"/>
    <cellStyle name="Normal 2 2 2 2 4 20 4 6" xfId="14915" xr:uid="{00000000-0005-0000-0000-0000433A0000}"/>
    <cellStyle name="Normal 2 2 2 2 4 20 4 7" xfId="14916" xr:uid="{00000000-0005-0000-0000-0000443A0000}"/>
    <cellStyle name="Normal 2 2 2 2 4 20 4 8" xfId="14917" xr:uid="{00000000-0005-0000-0000-0000453A0000}"/>
    <cellStyle name="Normal 2 2 2 2 4 20 4 9" xfId="14918" xr:uid="{00000000-0005-0000-0000-0000463A0000}"/>
    <cellStyle name="Normal 2 2 2 2 4 20 5" xfId="14919" xr:uid="{00000000-0005-0000-0000-0000473A0000}"/>
    <cellStyle name="Normal 2 2 2 2 4 20 5 10" xfId="14920" xr:uid="{00000000-0005-0000-0000-0000483A0000}"/>
    <cellStyle name="Normal 2 2 2 2 4 20 5 2" xfId="14921" xr:uid="{00000000-0005-0000-0000-0000493A0000}"/>
    <cellStyle name="Normal 2 2 2 2 4 20 5 3" xfId="14922" xr:uid="{00000000-0005-0000-0000-00004A3A0000}"/>
    <cellStyle name="Normal 2 2 2 2 4 20 5 4" xfId="14923" xr:uid="{00000000-0005-0000-0000-00004B3A0000}"/>
    <cellStyle name="Normal 2 2 2 2 4 20 5 5" xfId="14924" xr:uid="{00000000-0005-0000-0000-00004C3A0000}"/>
    <cellStyle name="Normal 2 2 2 2 4 20 5 6" xfId="14925" xr:uid="{00000000-0005-0000-0000-00004D3A0000}"/>
    <cellStyle name="Normal 2 2 2 2 4 20 5 7" xfId="14926" xr:uid="{00000000-0005-0000-0000-00004E3A0000}"/>
    <cellStyle name="Normal 2 2 2 2 4 20 5 8" xfId="14927" xr:uid="{00000000-0005-0000-0000-00004F3A0000}"/>
    <cellStyle name="Normal 2 2 2 2 4 20 5 9" xfId="14928" xr:uid="{00000000-0005-0000-0000-0000503A0000}"/>
    <cellStyle name="Normal 2 2 2 2 4 20 6" xfId="14929" xr:uid="{00000000-0005-0000-0000-0000513A0000}"/>
    <cellStyle name="Normal 2 2 2 2 4 20 7" xfId="14930" xr:uid="{00000000-0005-0000-0000-0000523A0000}"/>
    <cellStyle name="Normal 2 2 2 2 4 20 8" xfId="14931" xr:uid="{00000000-0005-0000-0000-0000533A0000}"/>
    <cellStyle name="Normal 2 2 2 2 4 20 9" xfId="14932" xr:uid="{00000000-0005-0000-0000-0000543A0000}"/>
    <cellStyle name="Normal 2 2 2 2 4 21" xfId="14933" xr:uid="{00000000-0005-0000-0000-0000553A0000}"/>
    <cellStyle name="Normal 2 2 2 2 4 21 10" xfId="14934" xr:uid="{00000000-0005-0000-0000-0000563A0000}"/>
    <cellStyle name="Normal 2 2 2 2 4 21 11" xfId="14935" xr:uid="{00000000-0005-0000-0000-0000573A0000}"/>
    <cellStyle name="Normal 2 2 2 2 4 21 12" xfId="14936" xr:uid="{00000000-0005-0000-0000-0000583A0000}"/>
    <cellStyle name="Normal 2 2 2 2 4 21 13" xfId="14937" xr:uid="{00000000-0005-0000-0000-0000593A0000}"/>
    <cellStyle name="Normal 2 2 2 2 4 21 14" xfId="14938" xr:uid="{00000000-0005-0000-0000-00005A3A0000}"/>
    <cellStyle name="Normal 2 2 2 2 4 21 2" xfId="14939" xr:uid="{00000000-0005-0000-0000-00005B3A0000}"/>
    <cellStyle name="Normal 2 2 2 2 4 21 2 10" xfId="14940" xr:uid="{00000000-0005-0000-0000-00005C3A0000}"/>
    <cellStyle name="Normal 2 2 2 2 4 21 2 2" xfId="14941" xr:uid="{00000000-0005-0000-0000-00005D3A0000}"/>
    <cellStyle name="Normal 2 2 2 2 4 21 2 3" xfId="14942" xr:uid="{00000000-0005-0000-0000-00005E3A0000}"/>
    <cellStyle name="Normal 2 2 2 2 4 21 2 4" xfId="14943" xr:uid="{00000000-0005-0000-0000-00005F3A0000}"/>
    <cellStyle name="Normal 2 2 2 2 4 21 2 5" xfId="14944" xr:uid="{00000000-0005-0000-0000-0000603A0000}"/>
    <cellStyle name="Normal 2 2 2 2 4 21 2 6" xfId="14945" xr:uid="{00000000-0005-0000-0000-0000613A0000}"/>
    <cellStyle name="Normal 2 2 2 2 4 21 2 7" xfId="14946" xr:uid="{00000000-0005-0000-0000-0000623A0000}"/>
    <cellStyle name="Normal 2 2 2 2 4 21 2 8" xfId="14947" xr:uid="{00000000-0005-0000-0000-0000633A0000}"/>
    <cellStyle name="Normal 2 2 2 2 4 21 2 9" xfId="14948" xr:uid="{00000000-0005-0000-0000-0000643A0000}"/>
    <cellStyle name="Normal 2 2 2 2 4 21 3" xfId="14949" xr:uid="{00000000-0005-0000-0000-0000653A0000}"/>
    <cellStyle name="Normal 2 2 2 2 4 21 3 10" xfId="14950" xr:uid="{00000000-0005-0000-0000-0000663A0000}"/>
    <cellStyle name="Normal 2 2 2 2 4 21 3 2" xfId="14951" xr:uid="{00000000-0005-0000-0000-0000673A0000}"/>
    <cellStyle name="Normal 2 2 2 2 4 21 3 3" xfId="14952" xr:uid="{00000000-0005-0000-0000-0000683A0000}"/>
    <cellStyle name="Normal 2 2 2 2 4 21 3 4" xfId="14953" xr:uid="{00000000-0005-0000-0000-0000693A0000}"/>
    <cellStyle name="Normal 2 2 2 2 4 21 3 5" xfId="14954" xr:uid="{00000000-0005-0000-0000-00006A3A0000}"/>
    <cellStyle name="Normal 2 2 2 2 4 21 3 6" xfId="14955" xr:uid="{00000000-0005-0000-0000-00006B3A0000}"/>
    <cellStyle name="Normal 2 2 2 2 4 21 3 7" xfId="14956" xr:uid="{00000000-0005-0000-0000-00006C3A0000}"/>
    <cellStyle name="Normal 2 2 2 2 4 21 3 8" xfId="14957" xr:uid="{00000000-0005-0000-0000-00006D3A0000}"/>
    <cellStyle name="Normal 2 2 2 2 4 21 3 9" xfId="14958" xr:uid="{00000000-0005-0000-0000-00006E3A0000}"/>
    <cellStyle name="Normal 2 2 2 2 4 21 4" xfId="14959" xr:uid="{00000000-0005-0000-0000-00006F3A0000}"/>
    <cellStyle name="Normal 2 2 2 2 4 21 4 10" xfId="14960" xr:uid="{00000000-0005-0000-0000-0000703A0000}"/>
    <cellStyle name="Normal 2 2 2 2 4 21 4 2" xfId="14961" xr:uid="{00000000-0005-0000-0000-0000713A0000}"/>
    <cellStyle name="Normal 2 2 2 2 4 21 4 3" xfId="14962" xr:uid="{00000000-0005-0000-0000-0000723A0000}"/>
    <cellStyle name="Normal 2 2 2 2 4 21 4 4" xfId="14963" xr:uid="{00000000-0005-0000-0000-0000733A0000}"/>
    <cellStyle name="Normal 2 2 2 2 4 21 4 5" xfId="14964" xr:uid="{00000000-0005-0000-0000-0000743A0000}"/>
    <cellStyle name="Normal 2 2 2 2 4 21 4 6" xfId="14965" xr:uid="{00000000-0005-0000-0000-0000753A0000}"/>
    <cellStyle name="Normal 2 2 2 2 4 21 4 7" xfId="14966" xr:uid="{00000000-0005-0000-0000-0000763A0000}"/>
    <cellStyle name="Normal 2 2 2 2 4 21 4 8" xfId="14967" xr:uid="{00000000-0005-0000-0000-0000773A0000}"/>
    <cellStyle name="Normal 2 2 2 2 4 21 4 9" xfId="14968" xr:uid="{00000000-0005-0000-0000-0000783A0000}"/>
    <cellStyle name="Normal 2 2 2 2 4 21 5" xfId="14969" xr:uid="{00000000-0005-0000-0000-0000793A0000}"/>
    <cellStyle name="Normal 2 2 2 2 4 21 5 10" xfId="14970" xr:uid="{00000000-0005-0000-0000-00007A3A0000}"/>
    <cellStyle name="Normal 2 2 2 2 4 21 5 2" xfId="14971" xr:uid="{00000000-0005-0000-0000-00007B3A0000}"/>
    <cellStyle name="Normal 2 2 2 2 4 21 5 3" xfId="14972" xr:uid="{00000000-0005-0000-0000-00007C3A0000}"/>
    <cellStyle name="Normal 2 2 2 2 4 21 5 4" xfId="14973" xr:uid="{00000000-0005-0000-0000-00007D3A0000}"/>
    <cellStyle name="Normal 2 2 2 2 4 21 5 5" xfId="14974" xr:uid="{00000000-0005-0000-0000-00007E3A0000}"/>
    <cellStyle name="Normal 2 2 2 2 4 21 5 6" xfId="14975" xr:uid="{00000000-0005-0000-0000-00007F3A0000}"/>
    <cellStyle name="Normal 2 2 2 2 4 21 5 7" xfId="14976" xr:uid="{00000000-0005-0000-0000-0000803A0000}"/>
    <cellStyle name="Normal 2 2 2 2 4 21 5 8" xfId="14977" xr:uid="{00000000-0005-0000-0000-0000813A0000}"/>
    <cellStyle name="Normal 2 2 2 2 4 21 5 9" xfId="14978" xr:uid="{00000000-0005-0000-0000-0000823A0000}"/>
    <cellStyle name="Normal 2 2 2 2 4 21 6" xfId="14979" xr:uid="{00000000-0005-0000-0000-0000833A0000}"/>
    <cellStyle name="Normal 2 2 2 2 4 21 7" xfId="14980" xr:uid="{00000000-0005-0000-0000-0000843A0000}"/>
    <cellStyle name="Normal 2 2 2 2 4 21 8" xfId="14981" xr:uid="{00000000-0005-0000-0000-0000853A0000}"/>
    <cellStyle name="Normal 2 2 2 2 4 21 9" xfId="14982" xr:uid="{00000000-0005-0000-0000-0000863A0000}"/>
    <cellStyle name="Normal 2 2 2 2 4 22" xfId="14983" xr:uid="{00000000-0005-0000-0000-0000873A0000}"/>
    <cellStyle name="Normal 2 2 2 2 4 22 10" xfId="14984" xr:uid="{00000000-0005-0000-0000-0000883A0000}"/>
    <cellStyle name="Normal 2 2 2 2 4 22 11" xfId="14985" xr:uid="{00000000-0005-0000-0000-0000893A0000}"/>
    <cellStyle name="Normal 2 2 2 2 4 22 12" xfId="14986" xr:uid="{00000000-0005-0000-0000-00008A3A0000}"/>
    <cellStyle name="Normal 2 2 2 2 4 22 13" xfId="14987" xr:uid="{00000000-0005-0000-0000-00008B3A0000}"/>
    <cellStyle name="Normal 2 2 2 2 4 22 14" xfId="14988" xr:uid="{00000000-0005-0000-0000-00008C3A0000}"/>
    <cellStyle name="Normal 2 2 2 2 4 22 2" xfId="14989" xr:uid="{00000000-0005-0000-0000-00008D3A0000}"/>
    <cellStyle name="Normal 2 2 2 2 4 22 2 10" xfId="14990" xr:uid="{00000000-0005-0000-0000-00008E3A0000}"/>
    <cellStyle name="Normal 2 2 2 2 4 22 2 2" xfId="14991" xr:uid="{00000000-0005-0000-0000-00008F3A0000}"/>
    <cellStyle name="Normal 2 2 2 2 4 22 2 3" xfId="14992" xr:uid="{00000000-0005-0000-0000-0000903A0000}"/>
    <cellStyle name="Normal 2 2 2 2 4 22 2 4" xfId="14993" xr:uid="{00000000-0005-0000-0000-0000913A0000}"/>
    <cellStyle name="Normal 2 2 2 2 4 22 2 5" xfId="14994" xr:uid="{00000000-0005-0000-0000-0000923A0000}"/>
    <cellStyle name="Normal 2 2 2 2 4 22 2 6" xfId="14995" xr:uid="{00000000-0005-0000-0000-0000933A0000}"/>
    <cellStyle name="Normal 2 2 2 2 4 22 2 7" xfId="14996" xr:uid="{00000000-0005-0000-0000-0000943A0000}"/>
    <cellStyle name="Normal 2 2 2 2 4 22 2 8" xfId="14997" xr:uid="{00000000-0005-0000-0000-0000953A0000}"/>
    <cellStyle name="Normal 2 2 2 2 4 22 2 9" xfId="14998" xr:uid="{00000000-0005-0000-0000-0000963A0000}"/>
    <cellStyle name="Normal 2 2 2 2 4 22 3" xfId="14999" xr:uid="{00000000-0005-0000-0000-0000973A0000}"/>
    <cellStyle name="Normal 2 2 2 2 4 22 3 10" xfId="15000" xr:uid="{00000000-0005-0000-0000-0000983A0000}"/>
    <cellStyle name="Normal 2 2 2 2 4 22 3 2" xfId="15001" xr:uid="{00000000-0005-0000-0000-0000993A0000}"/>
    <cellStyle name="Normal 2 2 2 2 4 22 3 3" xfId="15002" xr:uid="{00000000-0005-0000-0000-00009A3A0000}"/>
    <cellStyle name="Normal 2 2 2 2 4 22 3 4" xfId="15003" xr:uid="{00000000-0005-0000-0000-00009B3A0000}"/>
    <cellStyle name="Normal 2 2 2 2 4 22 3 5" xfId="15004" xr:uid="{00000000-0005-0000-0000-00009C3A0000}"/>
    <cellStyle name="Normal 2 2 2 2 4 22 3 6" xfId="15005" xr:uid="{00000000-0005-0000-0000-00009D3A0000}"/>
    <cellStyle name="Normal 2 2 2 2 4 22 3 7" xfId="15006" xr:uid="{00000000-0005-0000-0000-00009E3A0000}"/>
    <cellStyle name="Normal 2 2 2 2 4 22 3 8" xfId="15007" xr:uid="{00000000-0005-0000-0000-00009F3A0000}"/>
    <cellStyle name="Normal 2 2 2 2 4 22 3 9" xfId="15008" xr:uid="{00000000-0005-0000-0000-0000A03A0000}"/>
    <cellStyle name="Normal 2 2 2 2 4 22 4" xfId="15009" xr:uid="{00000000-0005-0000-0000-0000A13A0000}"/>
    <cellStyle name="Normal 2 2 2 2 4 22 4 10" xfId="15010" xr:uid="{00000000-0005-0000-0000-0000A23A0000}"/>
    <cellStyle name="Normal 2 2 2 2 4 22 4 2" xfId="15011" xr:uid="{00000000-0005-0000-0000-0000A33A0000}"/>
    <cellStyle name="Normal 2 2 2 2 4 22 4 3" xfId="15012" xr:uid="{00000000-0005-0000-0000-0000A43A0000}"/>
    <cellStyle name="Normal 2 2 2 2 4 22 4 4" xfId="15013" xr:uid="{00000000-0005-0000-0000-0000A53A0000}"/>
    <cellStyle name="Normal 2 2 2 2 4 22 4 5" xfId="15014" xr:uid="{00000000-0005-0000-0000-0000A63A0000}"/>
    <cellStyle name="Normal 2 2 2 2 4 22 4 6" xfId="15015" xr:uid="{00000000-0005-0000-0000-0000A73A0000}"/>
    <cellStyle name="Normal 2 2 2 2 4 22 4 7" xfId="15016" xr:uid="{00000000-0005-0000-0000-0000A83A0000}"/>
    <cellStyle name="Normal 2 2 2 2 4 22 4 8" xfId="15017" xr:uid="{00000000-0005-0000-0000-0000A93A0000}"/>
    <cellStyle name="Normal 2 2 2 2 4 22 4 9" xfId="15018" xr:uid="{00000000-0005-0000-0000-0000AA3A0000}"/>
    <cellStyle name="Normal 2 2 2 2 4 22 5" xfId="15019" xr:uid="{00000000-0005-0000-0000-0000AB3A0000}"/>
    <cellStyle name="Normal 2 2 2 2 4 22 5 10" xfId="15020" xr:uid="{00000000-0005-0000-0000-0000AC3A0000}"/>
    <cellStyle name="Normal 2 2 2 2 4 22 5 2" xfId="15021" xr:uid="{00000000-0005-0000-0000-0000AD3A0000}"/>
    <cellStyle name="Normal 2 2 2 2 4 22 5 3" xfId="15022" xr:uid="{00000000-0005-0000-0000-0000AE3A0000}"/>
    <cellStyle name="Normal 2 2 2 2 4 22 5 4" xfId="15023" xr:uid="{00000000-0005-0000-0000-0000AF3A0000}"/>
    <cellStyle name="Normal 2 2 2 2 4 22 5 5" xfId="15024" xr:uid="{00000000-0005-0000-0000-0000B03A0000}"/>
    <cellStyle name="Normal 2 2 2 2 4 22 5 6" xfId="15025" xr:uid="{00000000-0005-0000-0000-0000B13A0000}"/>
    <cellStyle name="Normal 2 2 2 2 4 22 5 7" xfId="15026" xr:uid="{00000000-0005-0000-0000-0000B23A0000}"/>
    <cellStyle name="Normal 2 2 2 2 4 22 5 8" xfId="15027" xr:uid="{00000000-0005-0000-0000-0000B33A0000}"/>
    <cellStyle name="Normal 2 2 2 2 4 22 5 9" xfId="15028" xr:uid="{00000000-0005-0000-0000-0000B43A0000}"/>
    <cellStyle name="Normal 2 2 2 2 4 22 6" xfId="15029" xr:uid="{00000000-0005-0000-0000-0000B53A0000}"/>
    <cellStyle name="Normal 2 2 2 2 4 22 7" xfId="15030" xr:uid="{00000000-0005-0000-0000-0000B63A0000}"/>
    <cellStyle name="Normal 2 2 2 2 4 22 8" xfId="15031" xr:uid="{00000000-0005-0000-0000-0000B73A0000}"/>
    <cellStyle name="Normal 2 2 2 2 4 22 9" xfId="15032" xr:uid="{00000000-0005-0000-0000-0000B83A0000}"/>
    <cellStyle name="Normal 2 2 2 2 4 23" xfId="15033" xr:uid="{00000000-0005-0000-0000-0000B93A0000}"/>
    <cellStyle name="Normal 2 2 2 2 4 23 10" xfId="15034" xr:uid="{00000000-0005-0000-0000-0000BA3A0000}"/>
    <cellStyle name="Normal 2 2 2 2 4 23 11" xfId="15035" xr:uid="{00000000-0005-0000-0000-0000BB3A0000}"/>
    <cellStyle name="Normal 2 2 2 2 4 23 12" xfId="15036" xr:uid="{00000000-0005-0000-0000-0000BC3A0000}"/>
    <cellStyle name="Normal 2 2 2 2 4 23 13" xfId="15037" xr:uid="{00000000-0005-0000-0000-0000BD3A0000}"/>
    <cellStyle name="Normal 2 2 2 2 4 23 14" xfId="15038" xr:uid="{00000000-0005-0000-0000-0000BE3A0000}"/>
    <cellStyle name="Normal 2 2 2 2 4 23 2" xfId="15039" xr:uid="{00000000-0005-0000-0000-0000BF3A0000}"/>
    <cellStyle name="Normal 2 2 2 2 4 23 2 10" xfId="15040" xr:uid="{00000000-0005-0000-0000-0000C03A0000}"/>
    <cellStyle name="Normal 2 2 2 2 4 23 2 2" xfId="15041" xr:uid="{00000000-0005-0000-0000-0000C13A0000}"/>
    <cellStyle name="Normal 2 2 2 2 4 23 2 3" xfId="15042" xr:uid="{00000000-0005-0000-0000-0000C23A0000}"/>
    <cellStyle name="Normal 2 2 2 2 4 23 2 4" xfId="15043" xr:uid="{00000000-0005-0000-0000-0000C33A0000}"/>
    <cellStyle name="Normal 2 2 2 2 4 23 2 5" xfId="15044" xr:uid="{00000000-0005-0000-0000-0000C43A0000}"/>
    <cellStyle name="Normal 2 2 2 2 4 23 2 6" xfId="15045" xr:uid="{00000000-0005-0000-0000-0000C53A0000}"/>
    <cellStyle name="Normal 2 2 2 2 4 23 2 7" xfId="15046" xr:uid="{00000000-0005-0000-0000-0000C63A0000}"/>
    <cellStyle name="Normal 2 2 2 2 4 23 2 8" xfId="15047" xr:uid="{00000000-0005-0000-0000-0000C73A0000}"/>
    <cellStyle name="Normal 2 2 2 2 4 23 2 9" xfId="15048" xr:uid="{00000000-0005-0000-0000-0000C83A0000}"/>
    <cellStyle name="Normal 2 2 2 2 4 23 3" xfId="15049" xr:uid="{00000000-0005-0000-0000-0000C93A0000}"/>
    <cellStyle name="Normal 2 2 2 2 4 23 3 10" xfId="15050" xr:uid="{00000000-0005-0000-0000-0000CA3A0000}"/>
    <cellStyle name="Normal 2 2 2 2 4 23 3 2" xfId="15051" xr:uid="{00000000-0005-0000-0000-0000CB3A0000}"/>
    <cellStyle name="Normal 2 2 2 2 4 23 3 3" xfId="15052" xr:uid="{00000000-0005-0000-0000-0000CC3A0000}"/>
    <cellStyle name="Normal 2 2 2 2 4 23 3 4" xfId="15053" xr:uid="{00000000-0005-0000-0000-0000CD3A0000}"/>
    <cellStyle name="Normal 2 2 2 2 4 23 3 5" xfId="15054" xr:uid="{00000000-0005-0000-0000-0000CE3A0000}"/>
    <cellStyle name="Normal 2 2 2 2 4 23 3 6" xfId="15055" xr:uid="{00000000-0005-0000-0000-0000CF3A0000}"/>
    <cellStyle name="Normal 2 2 2 2 4 23 3 7" xfId="15056" xr:uid="{00000000-0005-0000-0000-0000D03A0000}"/>
    <cellStyle name="Normal 2 2 2 2 4 23 3 8" xfId="15057" xr:uid="{00000000-0005-0000-0000-0000D13A0000}"/>
    <cellStyle name="Normal 2 2 2 2 4 23 3 9" xfId="15058" xr:uid="{00000000-0005-0000-0000-0000D23A0000}"/>
    <cellStyle name="Normal 2 2 2 2 4 23 4" xfId="15059" xr:uid="{00000000-0005-0000-0000-0000D33A0000}"/>
    <cellStyle name="Normal 2 2 2 2 4 23 4 10" xfId="15060" xr:uid="{00000000-0005-0000-0000-0000D43A0000}"/>
    <cellStyle name="Normal 2 2 2 2 4 23 4 2" xfId="15061" xr:uid="{00000000-0005-0000-0000-0000D53A0000}"/>
    <cellStyle name="Normal 2 2 2 2 4 23 4 3" xfId="15062" xr:uid="{00000000-0005-0000-0000-0000D63A0000}"/>
    <cellStyle name="Normal 2 2 2 2 4 23 4 4" xfId="15063" xr:uid="{00000000-0005-0000-0000-0000D73A0000}"/>
    <cellStyle name="Normal 2 2 2 2 4 23 4 5" xfId="15064" xr:uid="{00000000-0005-0000-0000-0000D83A0000}"/>
    <cellStyle name="Normal 2 2 2 2 4 23 4 6" xfId="15065" xr:uid="{00000000-0005-0000-0000-0000D93A0000}"/>
    <cellStyle name="Normal 2 2 2 2 4 23 4 7" xfId="15066" xr:uid="{00000000-0005-0000-0000-0000DA3A0000}"/>
    <cellStyle name="Normal 2 2 2 2 4 23 4 8" xfId="15067" xr:uid="{00000000-0005-0000-0000-0000DB3A0000}"/>
    <cellStyle name="Normal 2 2 2 2 4 23 4 9" xfId="15068" xr:uid="{00000000-0005-0000-0000-0000DC3A0000}"/>
    <cellStyle name="Normal 2 2 2 2 4 23 5" xfId="15069" xr:uid="{00000000-0005-0000-0000-0000DD3A0000}"/>
    <cellStyle name="Normal 2 2 2 2 4 23 5 10" xfId="15070" xr:uid="{00000000-0005-0000-0000-0000DE3A0000}"/>
    <cellStyle name="Normal 2 2 2 2 4 23 5 2" xfId="15071" xr:uid="{00000000-0005-0000-0000-0000DF3A0000}"/>
    <cellStyle name="Normal 2 2 2 2 4 23 5 3" xfId="15072" xr:uid="{00000000-0005-0000-0000-0000E03A0000}"/>
    <cellStyle name="Normal 2 2 2 2 4 23 5 4" xfId="15073" xr:uid="{00000000-0005-0000-0000-0000E13A0000}"/>
    <cellStyle name="Normal 2 2 2 2 4 23 5 5" xfId="15074" xr:uid="{00000000-0005-0000-0000-0000E23A0000}"/>
    <cellStyle name="Normal 2 2 2 2 4 23 5 6" xfId="15075" xr:uid="{00000000-0005-0000-0000-0000E33A0000}"/>
    <cellStyle name="Normal 2 2 2 2 4 23 5 7" xfId="15076" xr:uid="{00000000-0005-0000-0000-0000E43A0000}"/>
    <cellStyle name="Normal 2 2 2 2 4 23 5 8" xfId="15077" xr:uid="{00000000-0005-0000-0000-0000E53A0000}"/>
    <cellStyle name="Normal 2 2 2 2 4 23 5 9" xfId="15078" xr:uid="{00000000-0005-0000-0000-0000E63A0000}"/>
    <cellStyle name="Normal 2 2 2 2 4 23 6" xfId="15079" xr:uid="{00000000-0005-0000-0000-0000E73A0000}"/>
    <cellStyle name="Normal 2 2 2 2 4 23 7" xfId="15080" xr:uid="{00000000-0005-0000-0000-0000E83A0000}"/>
    <cellStyle name="Normal 2 2 2 2 4 23 8" xfId="15081" xr:uid="{00000000-0005-0000-0000-0000E93A0000}"/>
    <cellStyle name="Normal 2 2 2 2 4 23 9" xfId="15082" xr:uid="{00000000-0005-0000-0000-0000EA3A0000}"/>
    <cellStyle name="Normal 2 2 2 2 4 24" xfId="15083" xr:uid="{00000000-0005-0000-0000-0000EB3A0000}"/>
    <cellStyle name="Normal 2 2 2 2 4 24 10" xfId="15084" xr:uid="{00000000-0005-0000-0000-0000EC3A0000}"/>
    <cellStyle name="Normal 2 2 2 2 4 24 11" xfId="15085" xr:uid="{00000000-0005-0000-0000-0000ED3A0000}"/>
    <cellStyle name="Normal 2 2 2 2 4 24 12" xfId="15086" xr:uid="{00000000-0005-0000-0000-0000EE3A0000}"/>
    <cellStyle name="Normal 2 2 2 2 4 24 13" xfId="15087" xr:uid="{00000000-0005-0000-0000-0000EF3A0000}"/>
    <cellStyle name="Normal 2 2 2 2 4 24 14" xfId="15088" xr:uid="{00000000-0005-0000-0000-0000F03A0000}"/>
    <cellStyle name="Normal 2 2 2 2 4 24 2" xfId="15089" xr:uid="{00000000-0005-0000-0000-0000F13A0000}"/>
    <cellStyle name="Normal 2 2 2 2 4 24 2 10" xfId="15090" xr:uid="{00000000-0005-0000-0000-0000F23A0000}"/>
    <cellStyle name="Normal 2 2 2 2 4 24 2 2" xfId="15091" xr:uid="{00000000-0005-0000-0000-0000F33A0000}"/>
    <cellStyle name="Normal 2 2 2 2 4 24 2 3" xfId="15092" xr:uid="{00000000-0005-0000-0000-0000F43A0000}"/>
    <cellStyle name="Normal 2 2 2 2 4 24 2 4" xfId="15093" xr:uid="{00000000-0005-0000-0000-0000F53A0000}"/>
    <cellStyle name="Normal 2 2 2 2 4 24 2 5" xfId="15094" xr:uid="{00000000-0005-0000-0000-0000F63A0000}"/>
    <cellStyle name="Normal 2 2 2 2 4 24 2 6" xfId="15095" xr:uid="{00000000-0005-0000-0000-0000F73A0000}"/>
    <cellStyle name="Normal 2 2 2 2 4 24 2 7" xfId="15096" xr:uid="{00000000-0005-0000-0000-0000F83A0000}"/>
    <cellStyle name="Normal 2 2 2 2 4 24 2 8" xfId="15097" xr:uid="{00000000-0005-0000-0000-0000F93A0000}"/>
    <cellStyle name="Normal 2 2 2 2 4 24 2 9" xfId="15098" xr:uid="{00000000-0005-0000-0000-0000FA3A0000}"/>
    <cellStyle name="Normal 2 2 2 2 4 24 3" xfId="15099" xr:uid="{00000000-0005-0000-0000-0000FB3A0000}"/>
    <cellStyle name="Normal 2 2 2 2 4 24 3 10" xfId="15100" xr:uid="{00000000-0005-0000-0000-0000FC3A0000}"/>
    <cellStyle name="Normal 2 2 2 2 4 24 3 2" xfId="15101" xr:uid="{00000000-0005-0000-0000-0000FD3A0000}"/>
    <cellStyle name="Normal 2 2 2 2 4 24 3 3" xfId="15102" xr:uid="{00000000-0005-0000-0000-0000FE3A0000}"/>
    <cellStyle name="Normal 2 2 2 2 4 24 3 4" xfId="15103" xr:uid="{00000000-0005-0000-0000-0000FF3A0000}"/>
    <cellStyle name="Normal 2 2 2 2 4 24 3 5" xfId="15104" xr:uid="{00000000-0005-0000-0000-0000003B0000}"/>
    <cellStyle name="Normal 2 2 2 2 4 24 3 6" xfId="15105" xr:uid="{00000000-0005-0000-0000-0000013B0000}"/>
    <cellStyle name="Normal 2 2 2 2 4 24 3 7" xfId="15106" xr:uid="{00000000-0005-0000-0000-0000023B0000}"/>
    <cellStyle name="Normal 2 2 2 2 4 24 3 8" xfId="15107" xr:uid="{00000000-0005-0000-0000-0000033B0000}"/>
    <cellStyle name="Normal 2 2 2 2 4 24 3 9" xfId="15108" xr:uid="{00000000-0005-0000-0000-0000043B0000}"/>
    <cellStyle name="Normal 2 2 2 2 4 24 4" xfId="15109" xr:uid="{00000000-0005-0000-0000-0000053B0000}"/>
    <cellStyle name="Normal 2 2 2 2 4 24 4 10" xfId="15110" xr:uid="{00000000-0005-0000-0000-0000063B0000}"/>
    <cellStyle name="Normal 2 2 2 2 4 24 4 2" xfId="15111" xr:uid="{00000000-0005-0000-0000-0000073B0000}"/>
    <cellStyle name="Normal 2 2 2 2 4 24 4 3" xfId="15112" xr:uid="{00000000-0005-0000-0000-0000083B0000}"/>
    <cellStyle name="Normal 2 2 2 2 4 24 4 4" xfId="15113" xr:uid="{00000000-0005-0000-0000-0000093B0000}"/>
    <cellStyle name="Normal 2 2 2 2 4 24 4 5" xfId="15114" xr:uid="{00000000-0005-0000-0000-00000A3B0000}"/>
    <cellStyle name="Normal 2 2 2 2 4 24 4 6" xfId="15115" xr:uid="{00000000-0005-0000-0000-00000B3B0000}"/>
    <cellStyle name="Normal 2 2 2 2 4 24 4 7" xfId="15116" xr:uid="{00000000-0005-0000-0000-00000C3B0000}"/>
    <cellStyle name="Normal 2 2 2 2 4 24 4 8" xfId="15117" xr:uid="{00000000-0005-0000-0000-00000D3B0000}"/>
    <cellStyle name="Normal 2 2 2 2 4 24 4 9" xfId="15118" xr:uid="{00000000-0005-0000-0000-00000E3B0000}"/>
    <cellStyle name="Normal 2 2 2 2 4 24 5" xfId="15119" xr:uid="{00000000-0005-0000-0000-00000F3B0000}"/>
    <cellStyle name="Normal 2 2 2 2 4 24 5 10" xfId="15120" xr:uid="{00000000-0005-0000-0000-0000103B0000}"/>
    <cellStyle name="Normal 2 2 2 2 4 24 5 2" xfId="15121" xr:uid="{00000000-0005-0000-0000-0000113B0000}"/>
    <cellStyle name="Normal 2 2 2 2 4 24 5 3" xfId="15122" xr:uid="{00000000-0005-0000-0000-0000123B0000}"/>
    <cellStyle name="Normal 2 2 2 2 4 24 5 4" xfId="15123" xr:uid="{00000000-0005-0000-0000-0000133B0000}"/>
    <cellStyle name="Normal 2 2 2 2 4 24 5 5" xfId="15124" xr:uid="{00000000-0005-0000-0000-0000143B0000}"/>
    <cellStyle name="Normal 2 2 2 2 4 24 5 6" xfId="15125" xr:uid="{00000000-0005-0000-0000-0000153B0000}"/>
    <cellStyle name="Normal 2 2 2 2 4 24 5 7" xfId="15126" xr:uid="{00000000-0005-0000-0000-0000163B0000}"/>
    <cellStyle name="Normal 2 2 2 2 4 24 5 8" xfId="15127" xr:uid="{00000000-0005-0000-0000-0000173B0000}"/>
    <cellStyle name="Normal 2 2 2 2 4 24 5 9" xfId="15128" xr:uid="{00000000-0005-0000-0000-0000183B0000}"/>
    <cellStyle name="Normal 2 2 2 2 4 24 6" xfId="15129" xr:uid="{00000000-0005-0000-0000-0000193B0000}"/>
    <cellStyle name="Normal 2 2 2 2 4 24 7" xfId="15130" xr:uid="{00000000-0005-0000-0000-00001A3B0000}"/>
    <cellStyle name="Normal 2 2 2 2 4 24 8" xfId="15131" xr:uid="{00000000-0005-0000-0000-00001B3B0000}"/>
    <cellStyle name="Normal 2 2 2 2 4 24 9" xfId="15132" xr:uid="{00000000-0005-0000-0000-00001C3B0000}"/>
    <cellStyle name="Normal 2 2 2 2 4 25" xfId="15133" xr:uid="{00000000-0005-0000-0000-00001D3B0000}"/>
    <cellStyle name="Normal 2 2 2 2 4 25 10" xfId="15134" xr:uid="{00000000-0005-0000-0000-00001E3B0000}"/>
    <cellStyle name="Normal 2 2 2 2 4 25 11" xfId="15135" xr:uid="{00000000-0005-0000-0000-00001F3B0000}"/>
    <cellStyle name="Normal 2 2 2 2 4 25 12" xfId="15136" xr:uid="{00000000-0005-0000-0000-0000203B0000}"/>
    <cellStyle name="Normal 2 2 2 2 4 25 13" xfId="15137" xr:uid="{00000000-0005-0000-0000-0000213B0000}"/>
    <cellStyle name="Normal 2 2 2 2 4 25 14" xfId="15138" xr:uid="{00000000-0005-0000-0000-0000223B0000}"/>
    <cellStyle name="Normal 2 2 2 2 4 25 2" xfId="15139" xr:uid="{00000000-0005-0000-0000-0000233B0000}"/>
    <cellStyle name="Normal 2 2 2 2 4 25 2 10" xfId="15140" xr:uid="{00000000-0005-0000-0000-0000243B0000}"/>
    <cellStyle name="Normal 2 2 2 2 4 25 2 2" xfId="15141" xr:uid="{00000000-0005-0000-0000-0000253B0000}"/>
    <cellStyle name="Normal 2 2 2 2 4 25 2 3" xfId="15142" xr:uid="{00000000-0005-0000-0000-0000263B0000}"/>
    <cellStyle name="Normal 2 2 2 2 4 25 2 4" xfId="15143" xr:uid="{00000000-0005-0000-0000-0000273B0000}"/>
    <cellStyle name="Normal 2 2 2 2 4 25 2 5" xfId="15144" xr:uid="{00000000-0005-0000-0000-0000283B0000}"/>
    <cellStyle name="Normal 2 2 2 2 4 25 2 6" xfId="15145" xr:uid="{00000000-0005-0000-0000-0000293B0000}"/>
    <cellStyle name="Normal 2 2 2 2 4 25 2 7" xfId="15146" xr:uid="{00000000-0005-0000-0000-00002A3B0000}"/>
    <cellStyle name="Normal 2 2 2 2 4 25 2 8" xfId="15147" xr:uid="{00000000-0005-0000-0000-00002B3B0000}"/>
    <cellStyle name="Normal 2 2 2 2 4 25 2 9" xfId="15148" xr:uid="{00000000-0005-0000-0000-00002C3B0000}"/>
    <cellStyle name="Normal 2 2 2 2 4 25 3" xfId="15149" xr:uid="{00000000-0005-0000-0000-00002D3B0000}"/>
    <cellStyle name="Normal 2 2 2 2 4 25 3 10" xfId="15150" xr:uid="{00000000-0005-0000-0000-00002E3B0000}"/>
    <cellStyle name="Normal 2 2 2 2 4 25 3 2" xfId="15151" xr:uid="{00000000-0005-0000-0000-00002F3B0000}"/>
    <cellStyle name="Normal 2 2 2 2 4 25 3 3" xfId="15152" xr:uid="{00000000-0005-0000-0000-0000303B0000}"/>
    <cellStyle name="Normal 2 2 2 2 4 25 3 4" xfId="15153" xr:uid="{00000000-0005-0000-0000-0000313B0000}"/>
    <cellStyle name="Normal 2 2 2 2 4 25 3 5" xfId="15154" xr:uid="{00000000-0005-0000-0000-0000323B0000}"/>
    <cellStyle name="Normal 2 2 2 2 4 25 3 6" xfId="15155" xr:uid="{00000000-0005-0000-0000-0000333B0000}"/>
    <cellStyle name="Normal 2 2 2 2 4 25 3 7" xfId="15156" xr:uid="{00000000-0005-0000-0000-0000343B0000}"/>
    <cellStyle name="Normal 2 2 2 2 4 25 3 8" xfId="15157" xr:uid="{00000000-0005-0000-0000-0000353B0000}"/>
    <cellStyle name="Normal 2 2 2 2 4 25 3 9" xfId="15158" xr:uid="{00000000-0005-0000-0000-0000363B0000}"/>
    <cellStyle name="Normal 2 2 2 2 4 25 4" xfId="15159" xr:uid="{00000000-0005-0000-0000-0000373B0000}"/>
    <cellStyle name="Normal 2 2 2 2 4 25 4 10" xfId="15160" xr:uid="{00000000-0005-0000-0000-0000383B0000}"/>
    <cellStyle name="Normal 2 2 2 2 4 25 4 2" xfId="15161" xr:uid="{00000000-0005-0000-0000-0000393B0000}"/>
    <cellStyle name="Normal 2 2 2 2 4 25 4 3" xfId="15162" xr:uid="{00000000-0005-0000-0000-00003A3B0000}"/>
    <cellStyle name="Normal 2 2 2 2 4 25 4 4" xfId="15163" xr:uid="{00000000-0005-0000-0000-00003B3B0000}"/>
    <cellStyle name="Normal 2 2 2 2 4 25 4 5" xfId="15164" xr:uid="{00000000-0005-0000-0000-00003C3B0000}"/>
    <cellStyle name="Normal 2 2 2 2 4 25 4 6" xfId="15165" xr:uid="{00000000-0005-0000-0000-00003D3B0000}"/>
    <cellStyle name="Normal 2 2 2 2 4 25 4 7" xfId="15166" xr:uid="{00000000-0005-0000-0000-00003E3B0000}"/>
    <cellStyle name="Normal 2 2 2 2 4 25 4 8" xfId="15167" xr:uid="{00000000-0005-0000-0000-00003F3B0000}"/>
    <cellStyle name="Normal 2 2 2 2 4 25 4 9" xfId="15168" xr:uid="{00000000-0005-0000-0000-0000403B0000}"/>
    <cellStyle name="Normal 2 2 2 2 4 25 5" xfId="15169" xr:uid="{00000000-0005-0000-0000-0000413B0000}"/>
    <cellStyle name="Normal 2 2 2 2 4 25 5 10" xfId="15170" xr:uid="{00000000-0005-0000-0000-0000423B0000}"/>
    <cellStyle name="Normal 2 2 2 2 4 25 5 2" xfId="15171" xr:uid="{00000000-0005-0000-0000-0000433B0000}"/>
    <cellStyle name="Normal 2 2 2 2 4 25 5 3" xfId="15172" xr:uid="{00000000-0005-0000-0000-0000443B0000}"/>
    <cellStyle name="Normal 2 2 2 2 4 25 5 4" xfId="15173" xr:uid="{00000000-0005-0000-0000-0000453B0000}"/>
    <cellStyle name="Normal 2 2 2 2 4 25 5 5" xfId="15174" xr:uid="{00000000-0005-0000-0000-0000463B0000}"/>
    <cellStyle name="Normal 2 2 2 2 4 25 5 6" xfId="15175" xr:uid="{00000000-0005-0000-0000-0000473B0000}"/>
    <cellStyle name="Normal 2 2 2 2 4 25 5 7" xfId="15176" xr:uid="{00000000-0005-0000-0000-0000483B0000}"/>
    <cellStyle name="Normal 2 2 2 2 4 25 5 8" xfId="15177" xr:uid="{00000000-0005-0000-0000-0000493B0000}"/>
    <cellStyle name="Normal 2 2 2 2 4 25 5 9" xfId="15178" xr:uid="{00000000-0005-0000-0000-00004A3B0000}"/>
    <cellStyle name="Normal 2 2 2 2 4 25 6" xfId="15179" xr:uid="{00000000-0005-0000-0000-00004B3B0000}"/>
    <cellStyle name="Normal 2 2 2 2 4 25 7" xfId="15180" xr:uid="{00000000-0005-0000-0000-00004C3B0000}"/>
    <cellStyle name="Normal 2 2 2 2 4 25 8" xfId="15181" xr:uid="{00000000-0005-0000-0000-00004D3B0000}"/>
    <cellStyle name="Normal 2 2 2 2 4 25 9" xfId="15182" xr:uid="{00000000-0005-0000-0000-00004E3B0000}"/>
    <cellStyle name="Normal 2 2 2 2 4 26" xfId="15183" xr:uid="{00000000-0005-0000-0000-00004F3B0000}"/>
    <cellStyle name="Normal 2 2 2 2 4 26 10" xfId="15184" xr:uid="{00000000-0005-0000-0000-0000503B0000}"/>
    <cellStyle name="Normal 2 2 2 2 4 26 11" xfId="15185" xr:uid="{00000000-0005-0000-0000-0000513B0000}"/>
    <cellStyle name="Normal 2 2 2 2 4 26 12" xfId="15186" xr:uid="{00000000-0005-0000-0000-0000523B0000}"/>
    <cellStyle name="Normal 2 2 2 2 4 26 13" xfId="15187" xr:uid="{00000000-0005-0000-0000-0000533B0000}"/>
    <cellStyle name="Normal 2 2 2 2 4 26 14" xfId="15188" xr:uid="{00000000-0005-0000-0000-0000543B0000}"/>
    <cellStyle name="Normal 2 2 2 2 4 26 2" xfId="15189" xr:uid="{00000000-0005-0000-0000-0000553B0000}"/>
    <cellStyle name="Normal 2 2 2 2 4 26 2 10" xfId="15190" xr:uid="{00000000-0005-0000-0000-0000563B0000}"/>
    <cellStyle name="Normal 2 2 2 2 4 26 2 2" xfId="15191" xr:uid="{00000000-0005-0000-0000-0000573B0000}"/>
    <cellStyle name="Normal 2 2 2 2 4 26 2 3" xfId="15192" xr:uid="{00000000-0005-0000-0000-0000583B0000}"/>
    <cellStyle name="Normal 2 2 2 2 4 26 2 4" xfId="15193" xr:uid="{00000000-0005-0000-0000-0000593B0000}"/>
    <cellStyle name="Normal 2 2 2 2 4 26 2 5" xfId="15194" xr:uid="{00000000-0005-0000-0000-00005A3B0000}"/>
    <cellStyle name="Normal 2 2 2 2 4 26 2 6" xfId="15195" xr:uid="{00000000-0005-0000-0000-00005B3B0000}"/>
    <cellStyle name="Normal 2 2 2 2 4 26 2 7" xfId="15196" xr:uid="{00000000-0005-0000-0000-00005C3B0000}"/>
    <cellStyle name="Normal 2 2 2 2 4 26 2 8" xfId="15197" xr:uid="{00000000-0005-0000-0000-00005D3B0000}"/>
    <cellStyle name="Normal 2 2 2 2 4 26 2 9" xfId="15198" xr:uid="{00000000-0005-0000-0000-00005E3B0000}"/>
    <cellStyle name="Normal 2 2 2 2 4 26 3" xfId="15199" xr:uid="{00000000-0005-0000-0000-00005F3B0000}"/>
    <cellStyle name="Normal 2 2 2 2 4 26 3 10" xfId="15200" xr:uid="{00000000-0005-0000-0000-0000603B0000}"/>
    <cellStyle name="Normal 2 2 2 2 4 26 3 2" xfId="15201" xr:uid="{00000000-0005-0000-0000-0000613B0000}"/>
    <cellStyle name="Normal 2 2 2 2 4 26 3 3" xfId="15202" xr:uid="{00000000-0005-0000-0000-0000623B0000}"/>
    <cellStyle name="Normal 2 2 2 2 4 26 3 4" xfId="15203" xr:uid="{00000000-0005-0000-0000-0000633B0000}"/>
    <cellStyle name="Normal 2 2 2 2 4 26 3 5" xfId="15204" xr:uid="{00000000-0005-0000-0000-0000643B0000}"/>
    <cellStyle name="Normal 2 2 2 2 4 26 3 6" xfId="15205" xr:uid="{00000000-0005-0000-0000-0000653B0000}"/>
    <cellStyle name="Normal 2 2 2 2 4 26 3 7" xfId="15206" xr:uid="{00000000-0005-0000-0000-0000663B0000}"/>
    <cellStyle name="Normal 2 2 2 2 4 26 3 8" xfId="15207" xr:uid="{00000000-0005-0000-0000-0000673B0000}"/>
    <cellStyle name="Normal 2 2 2 2 4 26 3 9" xfId="15208" xr:uid="{00000000-0005-0000-0000-0000683B0000}"/>
    <cellStyle name="Normal 2 2 2 2 4 26 4" xfId="15209" xr:uid="{00000000-0005-0000-0000-0000693B0000}"/>
    <cellStyle name="Normal 2 2 2 2 4 26 4 10" xfId="15210" xr:uid="{00000000-0005-0000-0000-00006A3B0000}"/>
    <cellStyle name="Normal 2 2 2 2 4 26 4 2" xfId="15211" xr:uid="{00000000-0005-0000-0000-00006B3B0000}"/>
    <cellStyle name="Normal 2 2 2 2 4 26 4 3" xfId="15212" xr:uid="{00000000-0005-0000-0000-00006C3B0000}"/>
    <cellStyle name="Normal 2 2 2 2 4 26 4 4" xfId="15213" xr:uid="{00000000-0005-0000-0000-00006D3B0000}"/>
    <cellStyle name="Normal 2 2 2 2 4 26 4 5" xfId="15214" xr:uid="{00000000-0005-0000-0000-00006E3B0000}"/>
    <cellStyle name="Normal 2 2 2 2 4 26 4 6" xfId="15215" xr:uid="{00000000-0005-0000-0000-00006F3B0000}"/>
    <cellStyle name="Normal 2 2 2 2 4 26 4 7" xfId="15216" xr:uid="{00000000-0005-0000-0000-0000703B0000}"/>
    <cellStyle name="Normal 2 2 2 2 4 26 4 8" xfId="15217" xr:uid="{00000000-0005-0000-0000-0000713B0000}"/>
    <cellStyle name="Normal 2 2 2 2 4 26 4 9" xfId="15218" xr:uid="{00000000-0005-0000-0000-0000723B0000}"/>
    <cellStyle name="Normal 2 2 2 2 4 26 5" xfId="15219" xr:uid="{00000000-0005-0000-0000-0000733B0000}"/>
    <cellStyle name="Normal 2 2 2 2 4 26 5 10" xfId="15220" xr:uid="{00000000-0005-0000-0000-0000743B0000}"/>
    <cellStyle name="Normal 2 2 2 2 4 26 5 2" xfId="15221" xr:uid="{00000000-0005-0000-0000-0000753B0000}"/>
    <cellStyle name="Normal 2 2 2 2 4 26 5 3" xfId="15222" xr:uid="{00000000-0005-0000-0000-0000763B0000}"/>
    <cellStyle name="Normal 2 2 2 2 4 26 5 4" xfId="15223" xr:uid="{00000000-0005-0000-0000-0000773B0000}"/>
    <cellStyle name="Normal 2 2 2 2 4 26 5 5" xfId="15224" xr:uid="{00000000-0005-0000-0000-0000783B0000}"/>
    <cellStyle name="Normal 2 2 2 2 4 26 5 6" xfId="15225" xr:uid="{00000000-0005-0000-0000-0000793B0000}"/>
    <cellStyle name="Normal 2 2 2 2 4 26 5 7" xfId="15226" xr:uid="{00000000-0005-0000-0000-00007A3B0000}"/>
    <cellStyle name="Normal 2 2 2 2 4 26 5 8" xfId="15227" xr:uid="{00000000-0005-0000-0000-00007B3B0000}"/>
    <cellStyle name="Normal 2 2 2 2 4 26 5 9" xfId="15228" xr:uid="{00000000-0005-0000-0000-00007C3B0000}"/>
    <cellStyle name="Normal 2 2 2 2 4 26 6" xfId="15229" xr:uid="{00000000-0005-0000-0000-00007D3B0000}"/>
    <cellStyle name="Normal 2 2 2 2 4 26 7" xfId="15230" xr:uid="{00000000-0005-0000-0000-00007E3B0000}"/>
    <cellStyle name="Normal 2 2 2 2 4 26 8" xfId="15231" xr:uid="{00000000-0005-0000-0000-00007F3B0000}"/>
    <cellStyle name="Normal 2 2 2 2 4 26 9" xfId="15232" xr:uid="{00000000-0005-0000-0000-0000803B0000}"/>
    <cellStyle name="Normal 2 2 2 2 4 27" xfId="15233" xr:uid="{00000000-0005-0000-0000-0000813B0000}"/>
    <cellStyle name="Normal 2 2 2 2 4 27 10" xfId="15234" xr:uid="{00000000-0005-0000-0000-0000823B0000}"/>
    <cellStyle name="Normal 2 2 2 2 4 27 11" xfId="15235" xr:uid="{00000000-0005-0000-0000-0000833B0000}"/>
    <cellStyle name="Normal 2 2 2 2 4 27 12" xfId="15236" xr:uid="{00000000-0005-0000-0000-0000843B0000}"/>
    <cellStyle name="Normal 2 2 2 2 4 27 13" xfId="15237" xr:uid="{00000000-0005-0000-0000-0000853B0000}"/>
    <cellStyle name="Normal 2 2 2 2 4 27 14" xfId="15238" xr:uid="{00000000-0005-0000-0000-0000863B0000}"/>
    <cellStyle name="Normal 2 2 2 2 4 27 2" xfId="15239" xr:uid="{00000000-0005-0000-0000-0000873B0000}"/>
    <cellStyle name="Normal 2 2 2 2 4 27 2 10" xfId="15240" xr:uid="{00000000-0005-0000-0000-0000883B0000}"/>
    <cellStyle name="Normal 2 2 2 2 4 27 2 2" xfId="15241" xr:uid="{00000000-0005-0000-0000-0000893B0000}"/>
    <cellStyle name="Normal 2 2 2 2 4 27 2 3" xfId="15242" xr:uid="{00000000-0005-0000-0000-00008A3B0000}"/>
    <cellStyle name="Normal 2 2 2 2 4 27 2 4" xfId="15243" xr:uid="{00000000-0005-0000-0000-00008B3B0000}"/>
    <cellStyle name="Normal 2 2 2 2 4 27 2 5" xfId="15244" xr:uid="{00000000-0005-0000-0000-00008C3B0000}"/>
    <cellStyle name="Normal 2 2 2 2 4 27 2 6" xfId="15245" xr:uid="{00000000-0005-0000-0000-00008D3B0000}"/>
    <cellStyle name="Normal 2 2 2 2 4 27 2 7" xfId="15246" xr:uid="{00000000-0005-0000-0000-00008E3B0000}"/>
    <cellStyle name="Normal 2 2 2 2 4 27 2 8" xfId="15247" xr:uid="{00000000-0005-0000-0000-00008F3B0000}"/>
    <cellStyle name="Normal 2 2 2 2 4 27 2 9" xfId="15248" xr:uid="{00000000-0005-0000-0000-0000903B0000}"/>
    <cellStyle name="Normal 2 2 2 2 4 27 3" xfId="15249" xr:uid="{00000000-0005-0000-0000-0000913B0000}"/>
    <cellStyle name="Normal 2 2 2 2 4 27 3 10" xfId="15250" xr:uid="{00000000-0005-0000-0000-0000923B0000}"/>
    <cellStyle name="Normal 2 2 2 2 4 27 3 2" xfId="15251" xr:uid="{00000000-0005-0000-0000-0000933B0000}"/>
    <cellStyle name="Normal 2 2 2 2 4 27 3 3" xfId="15252" xr:uid="{00000000-0005-0000-0000-0000943B0000}"/>
    <cellStyle name="Normal 2 2 2 2 4 27 3 4" xfId="15253" xr:uid="{00000000-0005-0000-0000-0000953B0000}"/>
    <cellStyle name="Normal 2 2 2 2 4 27 3 5" xfId="15254" xr:uid="{00000000-0005-0000-0000-0000963B0000}"/>
    <cellStyle name="Normal 2 2 2 2 4 27 3 6" xfId="15255" xr:uid="{00000000-0005-0000-0000-0000973B0000}"/>
    <cellStyle name="Normal 2 2 2 2 4 27 3 7" xfId="15256" xr:uid="{00000000-0005-0000-0000-0000983B0000}"/>
    <cellStyle name="Normal 2 2 2 2 4 27 3 8" xfId="15257" xr:uid="{00000000-0005-0000-0000-0000993B0000}"/>
    <cellStyle name="Normal 2 2 2 2 4 27 3 9" xfId="15258" xr:uid="{00000000-0005-0000-0000-00009A3B0000}"/>
    <cellStyle name="Normal 2 2 2 2 4 27 4" xfId="15259" xr:uid="{00000000-0005-0000-0000-00009B3B0000}"/>
    <cellStyle name="Normal 2 2 2 2 4 27 4 10" xfId="15260" xr:uid="{00000000-0005-0000-0000-00009C3B0000}"/>
    <cellStyle name="Normal 2 2 2 2 4 27 4 2" xfId="15261" xr:uid="{00000000-0005-0000-0000-00009D3B0000}"/>
    <cellStyle name="Normal 2 2 2 2 4 27 4 3" xfId="15262" xr:uid="{00000000-0005-0000-0000-00009E3B0000}"/>
    <cellStyle name="Normal 2 2 2 2 4 27 4 4" xfId="15263" xr:uid="{00000000-0005-0000-0000-00009F3B0000}"/>
    <cellStyle name="Normal 2 2 2 2 4 27 4 5" xfId="15264" xr:uid="{00000000-0005-0000-0000-0000A03B0000}"/>
    <cellStyle name="Normal 2 2 2 2 4 27 4 6" xfId="15265" xr:uid="{00000000-0005-0000-0000-0000A13B0000}"/>
    <cellStyle name="Normal 2 2 2 2 4 27 4 7" xfId="15266" xr:uid="{00000000-0005-0000-0000-0000A23B0000}"/>
    <cellStyle name="Normal 2 2 2 2 4 27 4 8" xfId="15267" xr:uid="{00000000-0005-0000-0000-0000A33B0000}"/>
    <cellStyle name="Normal 2 2 2 2 4 27 4 9" xfId="15268" xr:uid="{00000000-0005-0000-0000-0000A43B0000}"/>
    <cellStyle name="Normal 2 2 2 2 4 27 5" xfId="15269" xr:uid="{00000000-0005-0000-0000-0000A53B0000}"/>
    <cellStyle name="Normal 2 2 2 2 4 27 5 10" xfId="15270" xr:uid="{00000000-0005-0000-0000-0000A63B0000}"/>
    <cellStyle name="Normal 2 2 2 2 4 27 5 2" xfId="15271" xr:uid="{00000000-0005-0000-0000-0000A73B0000}"/>
    <cellStyle name="Normal 2 2 2 2 4 27 5 3" xfId="15272" xr:uid="{00000000-0005-0000-0000-0000A83B0000}"/>
    <cellStyle name="Normal 2 2 2 2 4 27 5 4" xfId="15273" xr:uid="{00000000-0005-0000-0000-0000A93B0000}"/>
    <cellStyle name="Normal 2 2 2 2 4 27 5 5" xfId="15274" xr:uid="{00000000-0005-0000-0000-0000AA3B0000}"/>
    <cellStyle name="Normal 2 2 2 2 4 27 5 6" xfId="15275" xr:uid="{00000000-0005-0000-0000-0000AB3B0000}"/>
    <cellStyle name="Normal 2 2 2 2 4 27 5 7" xfId="15276" xr:uid="{00000000-0005-0000-0000-0000AC3B0000}"/>
    <cellStyle name="Normal 2 2 2 2 4 27 5 8" xfId="15277" xr:uid="{00000000-0005-0000-0000-0000AD3B0000}"/>
    <cellStyle name="Normal 2 2 2 2 4 27 5 9" xfId="15278" xr:uid="{00000000-0005-0000-0000-0000AE3B0000}"/>
    <cellStyle name="Normal 2 2 2 2 4 27 6" xfId="15279" xr:uid="{00000000-0005-0000-0000-0000AF3B0000}"/>
    <cellStyle name="Normal 2 2 2 2 4 27 7" xfId="15280" xr:uid="{00000000-0005-0000-0000-0000B03B0000}"/>
    <cellStyle name="Normal 2 2 2 2 4 27 8" xfId="15281" xr:uid="{00000000-0005-0000-0000-0000B13B0000}"/>
    <cellStyle name="Normal 2 2 2 2 4 27 9" xfId="15282" xr:uid="{00000000-0005-0000-0000-0000B23B0000}"/>
    <cellStyle name="Normal 2 2 2 2 4 28" xfId="15283" xr:uid="{00000000-0005-0000-0000-0000B33B0000}"/>
    <cellStyle name="Normal 2 2 2 2 4 28 10" xfId="15284" xr:uid="{00000000-0005-0000-0000-0000B43B0000}"/>
    <cellStyle name="Normal 2 2 2 2 4 28 11" xfId="15285" xr:uid="{00000000-0005-0000-0000-0000B53B0000}"/>
    <cellStyle name="Normal 2 2 2 2 4 28 12" xfId="15286" xr:uid="{00000000-0005-0000-0000-0000B63B0000}"/>
    <cellStyle name="Normal 2 2 2 2 4 28 13" xfId="15287" xr:uid="{00000000-0005-0000-0000-0000B73B0000}"/>
    <cellStyle name="Normal 2 2 2 2 4 28 14" xfId="15288" xr:uid="{00000000-0005-0000-0000-0000B83B0000}"/>
    <cellStyle name="Normal 2 2 2 2 4 28 2" xfId="15289" xr:uid="{00000000-0005-0000-0000-0000B93B0000}"/>
    <cellStyle name="Normal 2 2 2 2 4 28 2 10" xfId="15290" xr:uid="{00000000-0005-0000-0000-0000BA3B0000}"/>
    <cellStyle name="Normal 2 2 2 2 4 28 2 2" xfId="15291" xr:uid="{00000000-0005-0000-0000-0000BB3B0000}"/>
    <cellStyle name="Normal 2 2 2 2 4 28 2 3" xfId="15292" xr:uid="{00000000-0005-0000-0000-0000BC3B0000}"/>
    <cellStyle name="Normal 2 2 2 2 4 28 2 4" xfId="15293" xr:uid="{00000000-0005-0000-0000-0000BD3B0000}"/>
    <cellStyle name="Normal 2 2 2 2 4 28 2 5" xfId="15294" xr:uid="{00000000-0005-0000-0000-0000BE3B0000}"/>
    <cellStyle name="Normal 2 2 2 2 4 28 2 6" xfId="15295" xr:uid="{00000000-0005-0000-0000-0000BF3B0000}"/>
    <cellStyle name="Normal 2 2 2 2 4 28 2 7" xfId="15296" xr:uid="{00000000-0005-0000-0000-0000C03B0000}"/>
    <cellStyle name="Normal 2 2 2 2 4 28 2 8" xfId="15297" xr:uid="{00000000-0005-0000-0000-0000C13B0000}"/>
    <cellStyle name="Normal 2 2 2 2 4 28 2 9" xfId="15298" xr:uid="{00000000-0005-0000-0000-0000C23B0000}"/>
    <cellStyle name="Normal 2 2 2 2 4 28 3" xfId="15299" xr:uid="{00000000-0005-0000-0000-0000C33B0000}"/>
    <cellStyle name="Normal 2 2 2 2 4 28 3 10" xfId="15300" xr:uid="{00000000-0005-0000-0000-0000C43B0000}"/>
    <cellStyle name="Normal 2 2 2 2 4 28 3 2" xfId="15301" xr:uid="{00000000-0005-0000-0000-0000C53B0000}"/>
    <cellStyle name="Normal 2 2 2 2 4 28 3 3" xfId="15302" xr:uid="{00000000-0005-0000-0000-0000C63B0000}"/>
    <cellStyle name="Normal 2 2 2 2 4 28 3 4" xfId="15303" xr:uid="{00000000-0005-0000-0000-0000C73B0000}"/>
    <cellStyle name="Normal 2 2 2 2 4 28 3 5" xfId="15304" xr:uid="{00000000-0005-0000-0000-0000C83B0000}"/>
    <cellStyle name="Normal 2 2 2 2 4 28 3 6" xfId="15305" xr:uid="{00000000-0005-0000-0000-0000C93B0000}"/>
    <cellStyle name="Normal 2 2 2 2 4 28 3 7" xfId="15306" xr:uid="{00000000-0005-0000-0000-0000CA3B0000}"/>
    <cellStyle name="Normal 2 2 2 2 4 28 3 8" xfId="15307" xr:uid="{00000000-0005-0000-0000-0000CB3B0000}"/>
    <cellStyle name="Normal 2 2 2 2 4 28 3 9" xfId="15308" xr:uid="{00000000-0005-0000-0000-0000CC3B0000}"/>
    <cellStyle name="Normal 2 2 2 2 4 28 4" xfId="15309" xr:uid="{00000000-0005-0000-0000-0000CD3B0000}"/>
    <cellStyle name="Normal 2 2 2 2 4 28 4 10" xfId="15310" xr:uid="{00000000-0005-0000-0000-0000CE3B0000}"/>
    <cellStyle name="Normal 2 2 2 2 4 28 4 2" xfId="15311" xr:uid="{00000000-0005-0000-0000-0000CF3B0000}"/>
    <cellStyle name="Normal 2 2 2 2 4 28 4 3" xfId="15312" xr:uid="{00000000-0005-0000-0000-0000D03B0000}"/>
    <cellStyle name="Normal 2 2 2 2 4 28 4 4" xfId="15313" xr:uid="{00000000-0005-0000-0000-0000D13B0000}"/>
    <cellStyle name="Normal 2 2 2 2 4 28 4 5" xfId="15314" xr:uid="{00000000-0005-0000-0000-0000D23B0000}"/>
    <cellStyle name="Normal 2 2 2 2 4 28 4 6" xfId="15315" xr:uid="{00000000-0005-0000-0000-0000D33B0000}"/>
    <cellStyle name="Normal 2 2 2 2 4 28 4 7" xfId="15316" xr:uid="{00000000-0005-0000-0000-0000D43B0000}"/>
    <cellStyle name="Normal 2 2 2 2 4 28 4 8" xfId="15317" xr:uid="{00000000-0005-0000-0000-0000D53B0000}"/>
    <cellStyle name="Normal 2 2 2 2 4 28 4 9" xfId="15318" xr:uid="{00000000-0005-0000-0000-0000D63B0000}"/>
    <cellStyle name="Normal 2 2 2 2 4 28 5" xfId="15319" xr:uid="{00000000-0005-0000-0000-0000D73B0000}"/>
    <cellStyle name="Normal 2 2 2 2 4 28 5 10" xfId="15320" xr:uid="{00000000-0005-0000-0000-0000D83B0000}"/>
    <cellStyle name="Normal 2 2 2 2 4 28 5 2" xfId="15321" xr:uid="{00000000-0005-0000-0000-0000D93B0000}"/>
    <cellStyle name="Normal 2 2 2 2 4 28 5 3" xfId="15322" xr:uid="{00000000-0005-0000-0000-0000DA3B0000}"/>
    <cellStyle name="Normal 2 2 2 2 4 28 5 4" xfId="15323" xr:uid="{00000000-0005-0000-0000-0000DB3B0000}"/>
    <cellStyle name="Normal 2 2 2 2 4 28 5 5" xfId="15324" xr:uid="{00000000-0005-0000-0000-0000DC3B0000}"/>
    <cellStyle name="Normal 2 2 2 2 4 28 5 6" xfId="15325" xr:uid="{00000000-0005-0000-0000-0000DD3B0000}"/>
    <cellStyle name="Normal 2 2 2 2 4 28 5 7" xfId="15326" xr:uid="{00000000-0005-0000-0000-0000DE3B0000}"/>
    <cellStyle name="Normal 2 2 2 2 4 28 5 8" xfId="15327" xr:uid="{00000000-0005-0000-0000-0000DF3B0000}"/>
    <cellStyle name="Normal 2 2 2 2 4 28 5 9" xfId="15328" xr:uid="{00000000-0005-0000-0000-0000E03B0000}"/>
    <cellStyle name="Normal 2 2 2 2 4 28 6" xfId="15329" xr:uid="{00000000-0005-0000-0000-0000E13B0000}"/>
    <cellStyle name="Normal 2 2 2 2 4 28 7" xfId="15330" xr:uid="{00000000-0005-0000-0000-0000E23B0000}"/>
    <cellStyle name="Normal 2 2 2 2 4 28 8" xfId="15331" xr:uid="{00000000-0005-0000-0000-0000E33B0000}"/>
    <cellStyle name="Normal 2 2 2 2 4 28 9" xfId="15332" xr:uid="{00000000-0005-0000-0000-0000E43B0000}"/>
    <cellStyle name="Normal 2 2 2 2 4 29" xfId="15333" xr:uid="{00000000-0005-0000-0000-0000E53B0000}"/>
    <cellStyle name="Normal 2 2 2 2 4 29 10" xfId="15334" xr:uid="{00000000-0005-0000-0000-0000E63B0000}"/>
    <cellStyle name="Normal 2 2 2 2 4 29 11" xfId="15335" xr:uid="{00000000-0005-0000-0000-0000E73B0000}"/>
    <cellStyle name="Normal 2 2 2 2 4 29 12" xfId="15336" xr:uid="{00000000-0005-0000-0000-0000E83B0000}"/>
    <cellStyle name="Normal 2 2 2 2 4 29 13" xfId="15337" xr:uid="{00000000-0005-0000-0000-0000E93B0000}"/>
    <cellStyle name="Normal 2 2 2 2 4 29 14" xfId="15338" xr:uid="{00000000-0005-0000-0000-0000EA3B0000}"/>
    <cellStyle name="Normal 2 2 2 2 4 29 2" xfId="15339" xr:uid="{00000000-0005-0000-0000-0000EB3B0000}"/>
    <cellStyle name="Normal 2 2 2 2 4 29 2 10" xfId="15340" xr:uid="{00000000-0005-0000-0000-0000EC3B0000}"/>
    <cellStyle name="Normal 2 2 2 2 4 29 2 2" xfId="15341" xr:uid="{00000000-0005-0000-0000-0000ED3B0000}"/>
    <cellStyle name="Normal 2 2 2 2 4 29 2 3" xfId="15342" xr:uid="{00000000-0005-0000-0000-0000EE3B0000}"/>
    <cellStyle name="Normal 2 2 2 2 4 29 2 4" xfId="15343" xr:uid="{00000000-0005-0000-0000-0000EF3B0000}"/>
    <cellStyle name="Normal 2 2 2 2 4 29 2 5" xfId="15344" xr:uid="{00000000-0005-0000-0000-0000F03B0000}"/>
    <cellStyle name="Normal 2 2 2 2 4 29 2 6" xfId="15345" xr:uid="{00000000-0005-0000-0000-0000F13B0000}"/>
    <cellStyle name="Normal 2 2 2 2 4 29 2 7" xfId="15346" xr:uid="{00000000-0005-0000-0000-0000F23B0000}"/>
    <cellStyle name="Normal 2 2 2 2 4 29 2 8" xfId="15347" xr:uid="{00000000-0005-0000-0000-0000F33B0000}"/>
    <cellStyle name="Normal 2 2 2 2 4 29 2 9" xfId="15348" xr:uid="{00000000-0005-0000-0000-0000F43B0000}"/>
    <cellStyle name="Normal 2 2 2 2 4 29 3" xfId="15349" xr:uid="{00000000-0005-0000-0000-0000F53B0000}"/>
    <cellStyle name="Normal 2 2 2 2 4 29 3 10" xfId="15350" xr:uid="{00000000-0005-0000-0000-0000F63B0000}"/>
    <cellStyle name="Normal 2 2 2 2 4 29 3 2" xfId="15351" xr:uid="{00000000-0005-0000-0000-0000F73B0000}"/>
    <cellStyle name="Normal 2 2 2 2 4 29 3 3" xfId="15352" xr:uid="{00000000-0005-0000-0000-0000F83B0000}"/>
    <cellStyle name="Normal 2 2 2 2 4 29 3 4" xfId="15353" xr:uid="{00000000-0005-0000-0000-0000F93B0000}"/>
    <cellStyle name="Normal 2 2 2 2 4 29 3 5" xfId="15354" xr:uid="{00000000-0005-0000-0000-0000FA3B0000}"/>
    <cellStyle name="Normal 2 2 2 2 4 29 3 6" xfId="15355" xr:uid="{00000000-0005-0000-0000-0000FB3B0000}"/>
    <cellStyle name="Normal 2 2 2 2 4 29 3 7" xfId="15356" xr:uid="{00000000-0005-0000-0000-0000FC3B0000}"/>
    <cellStyle name="Normal 2 2 2 2 4 29 3 8" xfId="15357" xr:uid="{00000000-0005-0000-0000-0000FD3B0000}"/>
    <cellStyle name="Normal 2 2 2 2 4 29 3 9" xfId="15358" xr:uid="{00000000-0005-0000-0000-0000FE3B0000}"/>
    <cellStyle name="Normal 2 2 2 2 4 29 4" xfId="15359" xr:uid="{00000000-0005-0000-0000-0000FF3B0000}"/>
    <cellStyle name="Normal 2 2 2 2 4 29 4 10" xfId="15360" xr:uid="{00000000-0005-0000-0000-0000003C0000}"/>
    <cellStyle name="Normal 2 2 2 2 4 29 4 2" xfId="15361" xr:uid="{00000000-0005-0000-0000-0000013C0000}"/>
    <cellStyle name="Normal 2 2 2 2 4 29 4 3" xfId="15362" xr:uid="{00000000-0005-0000-0000-0000023C0000}"/>
    <cellStyle name="Normal 2 2 2 2 4 29 4 4" xfId="15363" xr:uid="{00000000-0005-0000-0000-0000033C0000}"/>
    <cellStyle name="Normal 2 2 2 2 4 29 4 5" xfId="15364" xr:uid="{00000000-0005-0000-0000-0000043C0000}"/>
    <cellStyle name="Normal 2 2 2 2 4 29 4 6" xfId="15365" xr:uid="{00000000-0005-0000-0000-0000053C0000}"/>
    <cellStyle name="Normal 2 2 2 2 4 29 4 7" xfId="15366" xr:uid="{00000000-0005-0000-0000-0000063C0000}"/>
    <cellStyle name="Normal 2 2 2 2 4 29 4 8" xfId="15367" xr:uid="{00000000-0005-0000-0000-0000073C0000}"/>
    <cellStyle name="Normal 2 2 2 2 4 29 4 9" xfId="15368" xr:uid="{00000000-0005-0000-0000-0000083C0000}"/>
    <cellStyle name="Normal 2 2 2 2 4 29 5" xfId="15369" xr:uid="{00000000-0005-0000-0000-0000093C0000}"/>
    <cellStyle name="Normal 2 2 2 2 4 29 5 10" xfId="15370" xr:uid="{00000000-0005-0000-0000-00000A3C0000}"/>
    <cellStyle name="Normal 2 2 2 2 4 29 5 2" xfId="15371" xr:uid="{00000000-0005-0000-0000-00000B3C0000}"/>
    <cellStyle name="Normal 2 2 2 2 4 29 5 3" xfId="15372" xr:uid="{00000000-0005-0000-0000-00000C3C0000}"/>
    <cellStyle name="Normal 2 2 2 2 4 29 5 4" xfId="15373" xr:uid="{00000000-0005-0000-0000-00000D3C0000}"/>
    <cellStyle name="Normal 2 2 2 2 4 29 5 5" xfId="15374" xr:uid="{00000000-0005-0000-0000-00000E3C0000}"/>
    <cellStyle name="Normal 2 2 2 2 4 29 5 6" xfId="15375" xr:uid="{00000000-0005-0000-0000-00000F3C0000}"/>
    <cellStyle name="Normal 2 2 2 2 4 29 5 7" xfId="15376" xr:uid="{00000000-0005-0000-0000-0000103C0000}"/>
    <cellStyle name="Normal 2 2 2 2 4 29 5 8" xfId="15377" xr:uid="{00000000-0005-0000-0000-0000113C0000}"/>
    <cellStyle name="Normal 2 2 2 2 4 29 5 9" xfId="15378" xr:uid="{00000000-0005-0000-0000-0000123C0000}"/>
    <cellStyle name="Normal 2 2 2 2 4 29 6" xfId="15379" xr:uid="{00000000-0005-0000-0000-0000133C0000}"/>
    <cellStyle name="Normal 2 2 2 2 4 29 7" xfId="15380" xr:uid="{00000000-0005-0000-0000-0000143C0000}"/>
    <cellStyle name="Normal 2 2 2 2 4 29 8" xfId="15381" xr:uid="{00000000-0005-0000-0000-0000153C0000}"/>
    <cellStyle name="Normal 2 2 2 2 4 29 9" xfId="15382" xr:uid="{00000000-0005-0000-0000-0000163C0000}"/>
    <cellStyle name="Normal 2 2 2 2 4 3" xfId="15383" xr:uid="{00000000-0005-0000-0000-0000173C0000}"/>
    <cellStyle name="Normal 2 2 2 2 4 3 10" xfId="15384" xr:uid="{00000000-0005-0000-0000-0000183C0000}"/>
    <cellStyle name="Normal 2 2 2 2 4 3 11" xfId="15385" xr:uid="{00000000-0005-0000-0000-0000193C0000}"/>
    <cellStyle name="Normal 2 2 2 2 4 3 12" xfId="15386" xr:uid="{00000000-0005-0000-0000-00001A3C0000}"/>
    <cellStyle name="Normal 2 2 2 2 4 3 13" xfId="15387" xr:uid="{00000000-0005-0000-0000-00001B3C0000}"/>
    <cellStyle name="Normal 2 2 2 2 4 3 14" xfId="15388" xr:uid="{00000000-0005-0000-0000-00001C3C0000}"/>
    <cellStyle name="Normal 2 2 2 2 4 3 2" xfId="15389" xr:uid="{00000000-0005-0000-0000-00001D3C0000}"/>
    <cellStyle name="Normal 2 2 2 2 4 3 2 10" xfId="15390" xr:uid="{00000000-0005-0000-0000-00001E3C0000}"/>
    <cellStyle name="Normal 2 2 2 2 4 3 2 2" xfId="15391" xr:uid="{00000000-0005-0000-0000-00001F3C0000}"/>
    <cellStyle name="Normal 2 2 2 2 4 3 2 3" xfId="15392" xr:uid="{00000000-0005-0000-0000-0000203C0000}"/>
    <cellStyle name="Normal 2 2 2 2 4 3 2 4" xfId="15393" xr:uid="{00000000-0005-0000-0000-0000213C0000}"/>
    <cellStyle name="Normal 2 2 2 2 4 3 2 5" xfId="15394" xr:uid="{00000000-0005-0000-0000-0000223C0000}"/>
    <cellStyle name="Normal 2 2 2 2 4 3 2 6" xfId="15395" xr:uid="{00000000-0005-0000-0000-0000233C0000}"/>
    <cellStyle name="Normal 2 2 2 2 4 3 2 7" xfId="15396" xr:uid="{00000000-0005-0000-0000-0000243C0000}"/>
    <cellStyle name="Normal 2 2 2 2 4 3 2 8" xfId="15397" xr:uid="{00000000-0005-0000-0000-0000253C0000}"/>
    <cellStyle name="Normal 2 2 2 2 4 3 2 9" xfId="15398" xr:uid="{00000000-0005-0000-0000-0000263C0000}"/>
    <cellStyle name="Normal 2 2 2 2 4 3 3" xfId="15399" xr:uid="{00000000-0005-0000-0000-0000273C0000}"/>
    <cellStyle name="Normal 2 2 2 2 4 3 3 10" xfId="15400" xr:uid="{00000000-0005-0000-0000-0000283C0000}"/>
    <cellStyle name="Normal 2 2 2 2 4 3 3 2" xfId="15401" xr:uid="{00000000-0005-0000-0000-0000293C0000}"/>
    <cellStyle name="Normal 2 2 2 2 4 3 3 3" xfId="15402" xr:uid="{00000000-0005-0000-0000-00002A3C0000}"/>
    <cellStyle name="Normal 2 2 2 2 4 3 3 4" xfId="15403" xr:uid="{00000000-0005-0000-0000-00002B3C0000}"/>
    <cellStyle name="Normal 2 2 2 2 4 3 3 5" xfId="15404" xr:uid="{00000000-0005-0000-0000-00002C3C0000}"/>
    <cellStyle name="Normal 2 2 2 2 4 3 3 6" xfId="15405" xr:uid="{00000000-0005-0000-0000-00002D3C0000}"/>
    <cellStyle name="Normal 2 2 2 2 4 3 3 7" xfId="15406" xr:uid="{00000000-0005-0000-0000-00002E3C0000}"/>
    <cellStyle name="Normal 2 2 2 2 4 3 3 8" xfId="15407" xr:uid="{00000000-0005-0000-0000-00002F3C0000}"/>
    <cellStyle name="Normal 2 2 2 2 4 3 3 9" xfId="15408" xr:uid="{00000000-0005-0000-0000-0000303C0000}"/>
    <cellStyle name="Normal 2 2 2 2 4 3 4" xfId="15409" xr:uid="{00000000-0005-0000-0000-0000313C0000}"/>
    <cellStyle name="Normal 2 2 2 2 4 3 4 10" xfId="15410" xr:uid="{00000000-0005-0000-0000-0000323C0000}"/>
    <cellStyle name="Normal 2 2 2 2 4 3 4 2" xfId="15411" xr:uid="{00000000-0005-0000-0000-0000333C0000}"/>
    <cellStyle name="Normal 2 2 2 2 4 3 4 3" xfId="15412" xr:uid="{00000000-0005-0000-0000-0000343C0000}"/>
    <cellStyle name="Normal 2 2 2 2 4 3 4 4" xfId="15413" xr:uid="{00000000-0005-0000-0000-0000353C0000}"/>
    <cellStyle name="Normal 2 2 2 2 4 3 4 5" xfId="15414" xr:uid="{00000000-0005-0000-0000-0000363C0000}"/>
    <cellStyle name="Normal 2 2 2 2 4 3 4 6" xfId="15415" xr:uid="{00000000-0005-0000-0000-0000373C0000}"/>
    <cellStyle name="Normal 2 2 2 2 4 3 4 7" xfId="15416" xr:uid="{00000000-0005-0000-0000-0000383C0000}"/>
    <cellStyle name="Normal 2 2 2 2 4 3 4 8" xfId="15417" xr:uid="{00000000-0005-0000-0000-0000393C0000}"/>
    <cellStyle name="Normal 2 2 2 2 4 3 4 9" xfId="15418" xr:uid="{00000000-0005-0000-0000-00003A3C0000}"/>
    <cellStyle name="Normal 2 2 2 2 4 3 5" xfId="15419" xr:uid="{00000000-0005-0000-0000-00003B3C0000}"/>
    <cellStyle name="Normal 2 2 2 2 4 3 5 10" xfId="15420" xr:uid="{00000000-0005-0000-0000-00003C3C0000}"/>
    <cellStyle name="Normal 2 2 2 2 4 3 5 2" xfId="15421" xr:uid="{00000000-0005-0000-0000-00003D3C0000}"/>
    <cellStyle name="Normal 2 2 2 2 4 3 5 3" xfId="15422" xr:uid="{00000000-0005-0000-0000-00003E3C0000}"/>
    <cellStyle name="Normal 2 2 2 2 4 3 5 4" xfId="15423" xr:uid="{00000000-0005-0000-0000-00003F3C0000}"/>
    <cellStyle name="Normal 2 2 2 2 4 3 5 5" xfId="15424" xr:uid="{00000000-0005-0000-0000-0000403C0000}"/>
    <cellStyle name="Normal 2 2 2 2 4 3 5 6" xfId="15425" xr:uid="{00000000-0005-0000-0000-0000413C0000}"/>
    <cellStyle name="Normal 2 2 2 2 4 3 5 7" xfId="15426" xr:uid="{00000000-0005-0000-0000-0000423C0000}"/>
    <cellStyle name="Normal 2 2 2 2 4 3 5 8" xfId="15427" xr:uid="{00000000-0005-0000-0000-0000433C0000}"/>
    <cellStyle name="Normal 2 2 2 2 4 3 5 9" xfId="15428" xr:uid="{00000000-0005-0000-0000-0000443C0000}"/>
    <cellStyle name="Normal 2 2 2 2 4 3 6" xfId="15429" xr:uid="{00000000-0005-0000-0000-0000453C0000}"/>
    <cellStyle name="Normal 2 2 2 2 4 3 7" xfId="15430" xr:uid="{00000000-0005-0000-0000-0000463C0000}"/>
    <cellStyle name="Normal 2 2 2 2 4 3 8" xfId="15431" xr:uid="{00000000-0005-0000-0000-0000473C0000}"/>
    <cellStyle name="Normal 2 2 2 2 4 3 9" xfId="15432" xr:uid="{00000000-0005-0000-0000-0000483C0000}"/>
    <cellStyle name="Normal 2 2 2 2 4 30" xfId="15433" xr:uid="{00000000-0005-0000-0000-0000493C0000}"/>
    <cellStyle name="Normal 2 2 2 2 4 30 10" xfId="15434" xr:uid="{00000000-0005-0000-0000-00004A3C0000}"/>
    <cellStyle name="Normal 2 2 2 2 4 30 11" xfId="15435" xr:uid="{00000000-0005-0000-0000-00004B3C0000}"/>
    <cellStyle name="Normal 2 2 2 2 4 30 12" xfId="15436" xr:uid="{00000000-0005-0000-0000-00004C3C0000}"/>
    <cellStyle name="Normal 2 2 2 2 4 30 13" xfId="15437" xr:uid="{00000000-0005-0000-0000-00004D3C0000}"/>
    <cellStyle name="Normal 2 2 2 2 4 30 14" xfId="15438" xr:uid="{00000000-0005-0000-0000-00004E3C0000}"/>
    <cellStyle name="Normal 2 2 2 2 4 30 2" xfId="15439" xr:uid="{00000000-0005-0000-0000-00004F3C0000}"/>
    <cellStyle name="Normal 2 2 2 2 4 30 2 10" xfId="15440" xr:uid="{00000000-0005-0000-0000-0000503C0000}"/>
    <cellStyle name="Normal 2 2 2 2 4 30 2 2" xfId="15441" xr:uid="{00000000-0005-0000-0000-0000513C0000}"/>
    <cellStyle name="Normal 2 2 2 2 4 30 2 3" xfId="15442" xr:uid="{00000000-0005-0000-0000-0000523C0000}"/>
    <cellStyle name="Normal 2 2 2 2 4 30 2 4" xfId="15443" xr:uid="{00000000-0005-0000-0000-0000533C0000}"/>
    <cellStyle name="Normal 2 2 2 2 4 30 2 5" xfId="15444" xr:uid="{00000000-0005-0000-0000-0000543C0000}"/>
    <cellStyle name="Normal 2 2 2 2 4 30 2 6" xfId="15445" xr:uid="{00000000-0005-0000-0000-0000553C0000}"/>
    <cellStyle name="Normal 2 2 2 2 4 30 2 7" xfId="15446" xr:uid="{00000000-0005-0000-0000-0000563C0000}"/>
    <cellStyle name="Normal 2 2 2 2 4 30 2 8" xfId="15447" xr:uid="{00000000-0005-0000-0000-0000573C0000}"/>
    <cellStyle name="Normal 2 2 2 2 4 30 2 9" xfId="15448" xr:uid="{00000000-0005-0000-0000-0000583C0000}"/>
    <cellStyle name="Normal 2 2 2 2 4 30 3" xfId="15449" xr:uid="{00000000-0005-0000-0000-0000593C0000}"/>
    <cellStyle name="Normal 2 2 2 2 4 30 3 10" xfId="15450" xr:uid="{00000000-0005-0000-0000-00005A3C0000}"/>
    <cellStyle name="Normal 2 2 2 2 4 30 3 2" xfId="15451" xr:uid="{00000000-0005-0000-0000-00005B3C0000}"/>
    <cellStyle name="Normal 2 2 2 2 4 30 3 3" xfId="15452" xr:uid="{00000000-0005-0000-0000-00005C3C0000}"/>
    <cellStyle name="Normal 2 2 2 2 4 30 3 4" xfId="15453" xr:uid="{00000000-0005-0000-0000-00005D3C0000}"/>
    <cellStyle name="Normal 2 2 2 2 4 30 3 5" xfId="15454" xr:uid="{00000000-0005-0000-0000-00005E3C0000}"/>
    <cellStyle name="Normal 2 2 2 2 4 30 3 6" xfId="15455" xr:uid="{00000000-0005-0000-0000-00005F3C0000}"/>
    <cellStyle name="Normal 2 2 2 2 4 30 3 7" xfId="15456" xr:uid="{00000000-0005-0000-0000-0000603C0000}"/>
    <cellStyle name="Normal 2 2 2 2 4 30 3 8" xfId="15457" xr:uid="{00000000-0005-0000-0000-0000613C0000}"/>
    <cellStyle name="Normal 2 2 2 2 4 30 3 9" xfId="15458" xr:uid="{00000000-0005-0000-0000-0000623C0000}"/>
    <cellStyle name="Normal 2 2 2 2 4 30 4" xfId="15459" xr:uid="{00000000-0005-0000-0000-0000633C0000}"/>
    <cellStyle name="Normal 2 2 2 2 4 30 4 10" xfId="15460" xr:uid="{00000000-0005-0000-0000-0000643C0000}"/>
    <cellStyle name="Normal 2 2 2 2 4 30 4 2" xfId="15461" xr:uid="{00000000-0005-0000-0000-0000653C0000}"/>
    <cellStyle name="Normal 2 2 2 2 4 30 4 3" xfId="15462" xr:uid="{00000000-0005-0000-0000-0000663C0000}"/>
    <cellStyle name="Normal 2 2 2 2 4 30 4 4" xfId="15463" xr:uid="{00000000-0005-0000-0000-0000673C0000}"/>
    <cellStyle name="Normal 2 2 2 2 4 30 4 5" xfId="15464" xr:uid="{00000000-0005-0000-0000-0000683C0000}"/>
    <cellStyle name="Normal 2 2 2 2 4 30 4 6" xfId="15465" xr:uid="{00000000-0005-0000-0000-0000693C0000}"/>
    <cellStyle name="Normal 2 2 2 2 4 30 4 7" xfId="15466" xr:uid="{00000000-0005-0000-0000-00006A3C0000}"/>
    <cellStyle name="Normal 2 2 2 2 4 30 4 8" xfId="15467" xr:uid="{00000000-0005-0000-0000-00006B3C0000}"/>
    <cellStyle name="Normal 2 2 2 2 4 30 4 9" xfId="15468" xr:uid="{00000000-0005-0000-0000-00006C3C0000}"/>
    <cellStyle name="Normal 2 2 2 2 4 30 5" xfId="15469" xr:uid="{00000000-0005-0000-0000-00006D3C0000}"/>
    <cellStyle name="Normal 2 2 2 2 4 30 5 10" xfId="15470" xr:uid="{00000000-0005-0000-0000-00006E3C0000}"/>
    <cellStyle name="Normal 2 2 2 2 4 30 5 2" xfId="15471" xr:uid="{00000000-0005-0000-0000-00006F3C0000}"/>
    <cellStyle name="Normal 2 2 2 2 4 30 5 3" xfId="15472" xr:uid="{00000000-0005-0000-0000-0000703C0000}"/>
    <cellStyle name="Normal 2 2 2 2 4 30 5 4" xfId="15473" xr:uid="{00000000-0005-0000-0000-0000713C0000}"/>
    <cellStyle name="Normal 2 2 2 2 4 30 5 5" xfId="15474" xr:uid="{00000000-0005-0000-0000-0000723C0000}"/>
    <cellStyle name="Normal 2 2 2 2 4 30 5 6" xfId="15475" xr:uid="{00000000-0005-0000-0000-0000733C0000}"/>
    <cellStyle name="Normal 2 2 2 2 4 30 5 7" xfId="15476" xr:uid="{00000000-0005-0000-0000-0000743C0000}"/>
    <cellStyle name="Normal 2 2 2 2 4 30 5 8" xfId="15477" xr:uid="{00000000-0005-0000-0000-0000753C0000}"/>
    <cellStyle name="Normal 2 2 2 2 4 30 5 9" xfId="15478" xr:uid="{00000000-0005-0000-0000-0000763C0000}"/>
    <cellStyle name="Normal 2 2 2 2 4 30 6" xfId="15479" xr:uid="{00000000-0005-0000-0000-0000773C0000}"/>
    <cellStyle name="Normal 2 2 2 2 4 30 7" xfId="15480" xr:uid="{00000000-0005-0000-0000-0000783C0000}"/>
    <cellStyle name="Normal 2 2 2 2 4 30 8" xfId="15481" xr:uid="{00000000-0005-0000-0000-0000793C0000}"/>
    <cellStyle name="Normal 2 2 2 2 4 30 9" xfId="15482" xr:uid="{00000000-0005-0000-0000-00007A3C0000}"/>
    <cellStyle name="Normal 2 2 2 2 4 31" xfId="15483" xr:uid="{00000000-0005-0000-0000-00007B3C0000}"/>
    <cellStyle name="Normal 2 2 2 2 4 31 10" xfId="15484" xr:uid="{00000000-0005-0000-0000-00007C3C0000}"/>
    <cellStyle name="Normal 2 2 2 2 4 31 11" xfId="15485" xr:uid="{00000000-0005-0000-0000-00007D3C0000}"/>
    <cellStyle name="Normal 2 2 2 2 4 31 12" xfId="15486" xr:uid="{00000000-0005-0000-0000-00007E3C0000}"/>
    <cellStyle name="Normal 2 2 2 2 4 31 13" xfId="15487" xr:uid="{00000000-0005-0000-0000-00007F3C0000}"/>
    <cellStyle name="Normal 2 2 2 2 4 31 14" xfId="15488" xr:uid="{00000000-0005-0000-0000-0000803C0000}"/>
    <cellStyle name="Normal 2 2 2 2 4 31 2" xfId="15489" xr:uid="{00000000-0005-0000-0000-0000813C0000}"/>
    <cellStyle name="Normal 2 2 2 2 4 31 2 10" xfId="15490" xr:uid="{00000000-0005-0000-0000-0000823C0000}"/>
    <cellStyle name="Normal 2 2 2 2 4 31 2 2" xfId="15491" xr:uid="{00000000-0005-0000-0000-0000833C0000}"/>
    <cellStyle name="Normal 2 2 2 2 4 31 2 3" xfId="15492" xr:uid="{00000000-0005-0000-0000-0000843C0000}"/>
    <cellStyle name="Normal 2 2 2 2 4 31 2 4" xfId="15493" xr:uid="{00000000-0005-0000-0000-0000853C0000}"/>
    <cellStyle name="Normal 2 2 2 2 4 31 2 5" xfId="15494" xr:uid="{00000000-0005-0000-0000-0000863C0000}"/>
    <cellStyle name="Normal 2 2 2 2 4 31 2 6" xfId="15495" xr:uid="{00000000-0005-0000-0000-0000873C0000}"/>
    <cellStyle name="Normal 2 2 2 2 4 31 2 7" xfId="15496" xr:uid="{00000000-0005-0000-0000-0000883C0000}"/>
    <cellStyle name="Normal 2 2 2 2 4 31 2 8" xfId="15497" xr:uid="{00000000-0005-0000-0000-0000893C0000}"/>
    <cellStyle name="Normal 2 2 2 2 4 31 2 9" xfId="15498" xr:uid="{00000000-0005-0000-0000-00008A3C0000}"/>
    <cellStyle name="Normal 2 2 2 2 4 31 3" xfId="15499" xr:uid="{00000000-0005-0000-0000-00008B3C0000}"/>
    <cellStyle name="Normal 2 2 2 2 4 31 3 10" xfId="15500" xr:uid="{00000000-0005-0000-0000-00008C3C0000}"/>
    <cellStyle name="Normal 2 2 2 2 4 31 3 2" xfId="15501" xr:uid="{00000000-0005-0000-0000-00008D3C0000}"/>
    <cellStyle name="Normal 2 2 2 2 4 31 3 3" xfId="15502" xr:uid="{00000000-0005-0000-0000-00008E3C0000}"/>
    <cellStyle name="Normal 2 2 2 2 4 31 3 4" xfId="15503" xr:uid="{00000000-0005-0000-0000-00008F3C0000}"/>
    <cellStyle name="Normal 2 2 2 2 4 31 3 5" xfId="15504" xr:uid="{00000000-0005-0000-0000-0000903C0000}"/>
    <cellStyle name="Normal 2 2 2 2 4 31 3 6" xfId="15505" xr:uid="{00000000-0005-0000-0000-0000913C0000}"/>
    <cellStyle name="Normal 2 2 2 2 4 31 3 7" xfId="15506" xr:uid="{00000000-0005-0000-0000-0000923C0000}"/>
    <cellStyle name="Normal 2 2 2 2 4 31 3 8" xfId="15507" xr:uid="{00000000-0005-0000-0000-0000933C0000}"/>
    <cellStyle name="Normal 2 2 2 2 4 31 3 9" xfId="15508" xr:uid="{00000000-0005-0000-0000-0000943C0000}"/>
    <cellStyle name="Normal 2 2 2 2 4 31 4" xfId="15509" xr:uid="{00000000-0005-0000-0000-0000953C0000}"/>
    <cellStyle name="Normal 2 2 2 2 4 31 4 10" xfId="15510" xr:uid="{00000000-0005-0000-0000-0000963C0000}"/>
    <cellStyle name="Normal 2 2 2 2 4 31 4 2" xfId="15511" xr:uid="{00000000-0005-0000-0000-0000973C0000}"/>
    <cellStyle name="Normal 2 2 2 2 4 31 4 3" xfId="15512" xr:uid="{00000000-0005-0000-0000-0000983C0000}"/>
    <cellStyle name="Normal 2 2 2 2 4 31 4 4" xfId="15513" xr:uid="{00000000-0005-0000-0000-0000993C0000}"/>
    <cellStyle name="Normal 2 2 2 2 4 31 4 5" xfId="15514" xr:uid="{00000000-0005-0000-0000-00009A3C0000}"/>
    <cellStyle name="Normal 2 2 2 2 4 31 4 6" xfId="15515" xr:uid="{00000000-0005-0000-0000-00009B3C0000}"/>
    <cellStyle name="Normal 2 2 2 2 4 31 4 7" xfId="15516" xr:uid="{00000000-0005-0000-0000-00009C3C0000}"/>
    <cellStyle name="Normal 2 2 2 2 4 31 4 8" xfId="15517" xr:uid="{00000000-0005-0000-0000-00009D3C0000}"/>
    <cellStyle name="Normal 2 2 2 2 4 31 4 9" xfId="15518" xr:uid="{00000000-0005-0000-0000-00009E3C0000}"/>
    <cellStyle name="Normal 2 2 2 2 4 31 5" xfId="15519" xr:uid="{00000000-0005-0000-0000-00009F3C0000}"/>
    <cellStyle name="Normal 2 2 2 2 4 31 5 10" xfId="15520" xr:uid="{00000000-0005-0000-0000-0000A03C0000}"/>
    <cellStyle name="Normal 2 2 2 2 4 31 5 2" xfId="15521" xr:uid="{00000000-0005-0000-0000-0000A13C0000}"/>
    <cellStyle name="Normal 2 2 2 2 4 31 5 3" xfId="15522" xr:uid="{00000000-0005-0000-0000-0000A23C0000}"/>
    <cellStyle name="Normal 2 2 2 2 4 31 5 4" xfId="15523" xr:uid="{00000000-0005-0000-0000-0000A33C0000}"/>
    <cellStyle name="Normal 2 2 2 2 4 31 5 5" xfId="15524" xr:uid="{00000000-0005-0000-0000-0000A43C0000}"/>
    <cellStyle name="Normal 2 2 2 2 4 31 5 6" xfId="15525" xr:uid="{00000000-0005-0000-0000-0000A53C0000}"/>
    <cellStyle name="Normal 2 2 2 2 4 31 5 7" xfId="15526" xr:uid="{00000000-0005-0000-0000-0000A63C0000}"/>
    <cellStyle name="Normal 2 2 2 2 4 31 5 8" xfId="15527" xr:uid="{00000000-0005-0000-0000-0000A73C0000}"/>
    <cellStyle name="Normal 2 2 2 2 4 31 5 9" xfId="15528" xr:uid="{00000000-0005-0000-0000-0000A83C0000}"/>
    <cellStyle name="Normal 2 2 2 2 4 31 6" xfId="15529" xr:uid="{00000000-0005-0000-0000-0000A93C0000}"/>
    <cellStyle name="Normal 2 2 2 2 4 31 7" xfId="15530" xr:uid="{00000000-0005-0000-0000-0000AA3C0000}"/>
    <cellStyle name="Normal 2 2 2 2 4 31 8" xfId="15531" xr:uid="{00000000-0005-0000-0000-0000AB3C0000}"/>
    <cellStyle name="Normal 2 2 2 2 4 31 9" xfId="15532" xr:uid="{00000000-0005-0000-0000-0000AC3C0000}"/>
    <cellStyle name="Normal 2 2 2 2 4 32" xfId="15533" xr:uid="{00000000-0005-0000-0000-0000AD3C0000}"/>
    <cellStyle name="Normal 2 2 2 2 4 32 10" xfId="15534" xr:uid="{00000000-0005-0000-0000-0000AE3C0000}"/>
    <cellStyle name="Normal 2 2 2 2 4 32 11" xfId="15535" xr:uid="{00000000-0005-0000-0000-0000AF3C0000}"/>
    <cellStyle name="Normal 2 2 2 2 4 32 12" xfId="15536" xr:uid="{00000000-0005-0000-0000-0000B03C0000}"/>
    <cellStyle name="Normal 2 2 2 2 4 32 13" xfId="15537" xr:uid="{00000000-0005-0000-0000-0000B13C0000}"/>
    <cellStyle name="Normal 2 2 2 2 4 32 14" xfId="15538" xr:uid="{00000000-0005-0000-0000-0000B23C0000}"/>
    <cellStyle name="Normal 2 2 2 2 4 32 2" xfId="15539" xr:uid="{00000000-0005-0000-0000-0000B33C0000}"/>
    <cellStyle name="Normal 2 2 2 2 4 32 2 10" xfId="15540" xr:uid="{00000000-0005-0000-0000-0000B43C0000}"/>
    <cellStyle name="Normal 2 2 2 2 4 32 2 2" xfId="15541" xr:uid="{00000000-0005-0000-0000-0000B53C0000}"/>
    <cellStyle name="Normal 2 2 2 2 4 32 2 3" xfId="15542" xr:uid="{00000000-0005-0000-0000-0000B63C0000}"/>
    <cellStyle name="Normal 2 2 2 2 4 32 2 4" xfId="15543" xr:uid="{00000000-0005-0000-0000-0000B73C0000}"/>
    <cellStyle name="Normal 2 2 2 2 4 32 2 5" xfId="15544" xr:uid="{00000000-0005-0000-0000-0000B83C0000}"/>
    <cellStyle name="Normal 2 2 2 2 4 32 2 6" xfId="15545" xr:uid="{00000000-0005-0000-0000-0000B93C0000}"/>
    <cellStyle name="Normal 2 2 2 2 4 32 2 7" xfId="15546" xr:uid="{00000000-0005-0000-0000-0000BA3C0000}"/>
    <cellStyle name="Normal 2 2 2 2 4 32 2 8" xfId="15547" xr:uid="{00000000-0005-0000-0000-0000BB3C0000}"/>
    <cellStyle name="Normal 2 2 2 2 4 32 2 9" xfId="15548" xr:uid="{00000000-0005-0000-0000-0000BC3C0000}"/>
    <cellStyle name="Normal 2 2 2 2 4 32 3" xfId="15549" xr:uid="{00000000-0005-0000-0000-0000BD3C0000}"/>
    <cellStyle name="Normal 2 2 2 2 4 32 3 10" xfId="15550" xr:uid="{00000000-0005-0000-0000-0000BE3C0000}"/>
    <cellStyle name="Normal 2 2 2 2 4 32 3 2" xfId="15551" xr:uid="{00000000-0005-0000-0000-0000BF3C0000}"/>
    <cellStyle name="Normal 2 2 2 2 4 32 3 3" xfId="15552" xr:uid="{00000000-0005-0000-0000-0000C03C0000}"/>
    <cellStyle name="Normal 2 2 2 2 4 32 3 4" xfId="15553" xr:uid="{00000000-0005-0000-0000-0000C13C0000}"/>
    <cellStyle name="Normal 2 2 2 2 4 32 3 5" xfId="15554" xr:uid="{00000000-0005-0000-0000-0000C23C0000}"/>
    <cellStyle name="Normal 2 2 2 2 4 32 3 6" xfId="15555" xr:uid="{00000000-0005-0000-0000-0000C33C0000}"/>
    <cellStyle name="Normal 2 2 2 2 4 32 3 7" xfId="15556" xr:uid="{00000000-0005-0000-0000-0000C43C0000}"/>
    <cellStyle name="Normal 2 2 2 2 4 32 3 8" xfId="15557" xr:uid="{00000000-0005-0000-0000-0000C53C0000}"/>
    <cellStyle name="Normal 2 2 2 2 4 32 3 9" xfId="15558" xr:uid="{00000000-0005-0000-0000-0000C63C0000}"/>
    <cellStyle name="Normal 2 2 2 2 4 32 4" xfId="15559" xr:uid="{00000000-0005-0000-0000-0000C73C0000}"/>
    <cellStyle name="Normal 2 2 2 2 4 32 4 10" xfId="15560" xr:uid="{00000000-0005-0000-0000-0000C83C0000}"/>
    <cellStyle name="Normal 2 2 2 2 4 32 4 2" xfId="15561" xr:uid="{00000000-0005-0000-0000-0000C93C0000}"/>
    <cellStyle name="Normal 2 2 2 2 4 32 4 3" xfId="15562" xr:uid="{00000000-0005-0000-0000-0000CA3C0000}"/>
    <cellStyle name="Normal 2 2 2 2 4 32 4 4" xfId="15563" xr:uid="{00000000-0005-0000-0000-0000CB3C0000}"/>
    <cellStyle name="Normal 2 2 2 2 4 32 4 5" xfId="15564" xr:uid="{00000000-0005-0000-0000-0000CC3C0000}"/>
    <cellStyle name="Normal 2 2 2 2 4 32 4 6" xfId="15565" xr:uid="{00000000-0005-0000-0000-0000CD3C0000}"/>
    <cellStyle name="Normal 2 2 2 2 4 32 4 7" xfId="15566" xr:uid="{00000000-0005-0000-0000-0000CE3C0000}"/>
    <cellStyle name="Normal 2 2 2 2 4 32 4 8" xfId="15567" xr:uid="{00000000-0005-0000-0000-0000CF3C0000}"/>
    <cellStyle name="Normal 2 2 2 2 4 32 4 9" xfId="15568" xr:uid="{00000000-0005-0000-0000-0000D03C0000}"/>
    <cellStyle name="Normal 2 2 2 2 4 32 5" xfId="15569" xr:uid="{00000000-0005-0000-0000-0000D13C0000}"/>
    <cellStyle name="Normal 2 2 2 2 4 32 5 10" xfId="15570" xr:uid="{00000000-0005-0000-0000-0000D23C0000}"/>
    <cellStyle name="Normal 2 2 2 2 4 32 5 2" xfId="15571" xr:uid="{00000000-0005-0000-0000-0000D33C0000}"/>
    <cellStyle name="Normal 2 2 2 2 4 32 5 3" xfId="15572" xr:uid="{00000000-0005-0000-0000-0000D43C0000}"/>
    <cellStyle name="Normal 2 2 2 2 4 32 5 4" xfId="15573" xr:uid="{00000000-0005-0000-0000-0000D53C0000}"/>
    <cellStyle name="Normal 2 2 2 2 4 32 5 5" xfId="15574" xr:uid="{00000000-0005-0000-0000-0000D63C0000}"/>
    <cellStyle name="Normal 2 2 2 2 4 32 5 6" xfId="15575" xr:uid="{00000000-0005-0000-0000-0000D73C0000}"/>
    <cellStyle name="Normal 2 2 2 2 4 32 5 7" xfId="15576" xr:uid="{00000000-0005-0000-0000-0000D83C0000}"/>
    <cellStyle name="Normal 2 2 2 2 4 32 5 8" xfId="15577" xr:uid="{00000000-0005-0000-0000-0000D93C0000}"/>
    <cellStyle name="Normal 2 2 2 2 4 32 5 9" xfId="15578" xr:uid="{00000000-0005-0000-0000-0000DA3C0000}"/>
    <cellStyle name="Normal 2 2 2 2 4 32 6" xfId="15579" xr:uid="{00000000-0005-0000-0000-0000DB3C0000}"/>
    <cellStyle name="Normal 2 2 2 2 4 32 7" xfId="15580" xr:uid="{00000000-0005-0000-0000-0000DC3C0000}"/>
    <cellStyle name="Normal 2 2 2 2 4 32 8" xfId="15581" xr:uid="{00000000-0005-0000-0000-0000DD3C0000}"/>
    <cellStyle name="Normal 2 2 2 2 4 32 9" xfId="15582" xr:uid="{00000000-0005-0000-0000-0000DE3C0000}"/>
    <cellStyle name="Normal 2 2 2 2 4 33" xfId="15583" xr:uid="{00000000-0005-0000-0000-0000DF3C0000}"/>
    <cellStyle name="Normal 2 2 2 2 4 33 10" xfId="15584" xr:uid="{00000000-0005-0000-0000-0000E03C0000}"/>
    <cellStyle name="Normal 2 2 2 2 4 33 11" xfId="15585" xr:uid="{00000000-0005-0000-0000-0000E13C0000}"/>
    <cellStyle name="Normal 2 2 2 2 4 33 12" xfId="15586" xr:uid="{00000000-0005-0000-0000-0000E23C0000}"/>
    <cellStyle name="Normal 2 2 2 2 4 33 13" xfId="15587" xr:uid="{00000000-0005-0000-0000-0000E33C0000}"/>
    <cellStyle name="Normal 2 2 2 2 4 33 14" xfId="15588" xr:uid="{00000000-0005-0000-0000-0000E43C0000}"/>
    <cellStyle name="Normal 2 2 2 2 4 33 2" xfId="15589" xr:uid="{00000000-0005-0000-0000-0000E53C0000}"/>
    <cellStyle name="Normal 2 2 2 2 4 33 2 10" xfId="15590" xr:uid="{00000000-0005-0000-0000-0000E63C0000}"/>
    <cellStyle name="Normal 2 2 2 2 4 33 2 2" xfId="15591" xr:uid="{00000000-0005-0000-0000-0000E73C0000}"/>
    <cellStyle name="Normal 2 2 2 2 4 33 2 3" xfId="15592" xr:uid="{00000000-0005-0000-0000-0000E83C0000}"/>
    <cellStyle name="Normal 2 2 2 2 4 33 2 4" xfId="15593" xr:uid="{00000000-0005-0000-0000-0000E93C0000}"/>
    <cellStyle name="Normal 2 2 2 2 4 33 2 5" xfId="15594" xr:uid="{00000000-0005-0000-0000-0000EA3C0000}"/>
    <cellStyle name="Normal 2 2 2 2 4 33 2 6" xfId="15595" xr:uid="{00000000-0005-0000-0000-0000EB3C0000}"/>
    <cellStyle name="Normal 2 2 2 2 4 33 2 7" xfId="15596" xr:uid="{00000000-0005-0000-0000-0000EC3C0000}"/>
    <cellStyle name="Normal 2 2 2 2 4 33 2 8" xfId="15597" xr:uid="{00000000-0005-0000-0000-0000ED3C0000}"/>
    <cellStyle name="Normal 2 2 2 2 4 33 2 9" xfId="15598" xr:uid="{00000000-0005-0000-0000-0000EE3C0000}"/>
    <cellStyle name="Normal 2 2 2 2 4 33 3" xfId="15599" xr:uid="{00000000-0005-0000-0000-0000EF3C0000}"/>
    <cellStyle name="Normal 2 2 2 2 4 33 3 10" xfId="15600" xr:uid="{00000000-0005-0000-0000-0000F03C0000}"/>
    <cellStyle name="Normal 2 2 2 2 4 33 3 2" xfId="15601" xr:uid="{00000000-0005-0000-0000-0000F13C0000}"/>
    <cellStyle name="Normal 2 2 2 2 4 33 3 3" xfId="15602" xr:uid="{00000000-0005-0000-0000-0000F23C0000}"/>
    <cellStyle name="Normal 2 2 2 2 4 33 3 4" xfId="15603" xr:uid="{00000000-0005-0000-0000-0000F33C0000}"/>
    <cellStyle name="Normal 2 2 2 2 4 33 3 5" xfId="15604" xr:uid="{00000000-0005-0000-0000-0000F43C0000}"/>
    <cellStyle name="Normal 2 2 2 2 4 33 3 6" xfId="15605" xr:uid="{00000000-0005-0000-0000-0000F53C0000}"/>
    <cellStyle name="Normal 2 2 2 2 4 33 3 7" xfId="15606" xr:uid="{00000000-0005-0000-0000-0000F63C0000}"/>
    <cellStyle name="Normal 2 2 2 2 4 33 3 8" xfId="15607" xr:uid="{00000000-0005-0000-0000-0000F73C0000}"/>
    <cellStyle name="Normal 2 2 2 2 4 33 3 9" xfId="15608" xr:uid="{00000000-0005-0000-0000-0000F83C0000}"/>
    <cellStyle name="Normal 2 2 2 2 4 33 4" xfId="15609" xr:uid="{00000000-0005-0000-0000-0000F93C0000}"/>
    <cellStyle name="Normal 2 2 2 2 4 33 4 10" xfId="15610" xr:uid="{00000000-0005-0000-0000-0000FA3C0000}"/>
    <cellStyle name="Normal 2 2 2 2 4 33 4 2" xfId="15611" xr:uid="{00000000-0005-0000-0000-0000FB3C0000}"/>
    <cellStyle name="Normal 2 2 2 2 4 33 4 3" xfId="15612" xr:uid="{00000000-0005-0000-0000-0000FC3C0000}"/>
    <cellStyle name="Normal 2 2 2 2 4 33 4 4" xfId="15613" xr:uid="{00000000-0005-0000-0000-0000FD3C0000}"/>
    <cellStyle name="Normal 2 2 2 2 4 33 4 5" xfId="15614" xr:uid="{00000000-0005-0000-0000-0000FE3C0000}"/>
    <cellStyle name="Normal 2 2 2 2 4 33 4 6" xfId="15615" xr:uid="{00000000-0005-0000-0000-0000FF3C0000}"/>
    <cellStyle name="Normal 2 2 2 2 4 33 4 7" xfId="15616" xr:uid="{00000000-0005-0000-0000-0000003D0000}"/>
    <cellStyle name="Normal 2 2 2 2 4 33 4 8" xfId="15617" xr:uid="{00000000-0005-0000-0000-0000013D0000}"/>
    <cellStyle name="Normal 2 2 2 2 4 33 4 9" xfId="15618" xr:uid="{00000000-0005-0000-0000-0000023D0000}"/>
    <cellStyle name="Normal 2 2 2 2 4 33 5" xfId="15619" xr:uid="{00000000-0005-0000-0000-0000033D0000}"/>
    <cellStyle name="Normal 2 2 2 2 4 33 5 10" xfId="15620" xr:uid="{00000000-0005-0000-0000-0000043D0000}"/>
    <cellStyle name="Normal 2 2 2 2 4 33 5 2" xfId="15621" xr:uid="{00000000-0005-0000-0000-0000053D0000}"/>
    <cellStyle name="Normal 2 2 2 2 4 33 5 3" xfId="15622" xr:uid="{00000000-0005-0000-0000-0000063D0000}"/>
    <cellStyle name="Normal 2 2 2 2 4 33 5 4" xfId="15623" xr:uid="{00000000-0005-0000-0000-0000073D0000}"/>
    <cellStyle name="Normal 2 2 2 2 4 33 5 5" xfId="15624" xr:uid="{00000000-0005-0000-0000-0000083D0000}"/>
    <cellStyle name="Normal 2 2 2 2 4 33 5 6" xfId="15625" xr:uid="{00000000-0005-0000-0000-0000093D0000}"/>
    <cellStyle name="Normal 2 2 2 2 4 33 5 7" xfId="15626" xr:uid="{00000000-0005-0000-0000-00000A3D0000}"/>
    <cellStyle name="Normal 2 2 2 2 4 33 5 8" xfId="15627" xr:uid="{00000000-0005-0000-0000-00000B3D0000}"/>
    <cellStyle name="Normal 2 2 2 2 4 33 5 9" xfId="15628" xr:uid="{00000000-0005-0000-0000-00000C3D0000}"/>
    <cellStyle name="Normal 2 2 2 2 4 33 6" xfId="15629" xr:uid="{00000000-0005-0000-0000-00000D3D0000}"/>
    <cellStyle name="Normal 2 2 2 2 4 33 7" xfId="15630" xr:uid="{00000000-0005-0000-0000-00000E3D0000}"/>
    <cellStyle name="Normal 2 2 2 2 4 33 8" xfId="15631" xr:uid="{00000000-0005-0000-0000-00000F3D0000}"/>
    <cellStyle name="Normal 2 2 2 2 4 33 9" xfId="15632" xr:uid="{00000000-0005-0000-0000-0000103D0000}"/>
    <cellStyle name="Normal 2 2 2 2 4 34" xfId="15633" xr:uid="{00000000-0005-0000-0000-0000113D0000}"/>
    <cellStyle name="Normal 2 2 2 2 4 35" xfId="15634" xr:uid="{00000000-0005-0000-0000-0000123D0000}"/>
    <cellStyle name="Normal 2 2 2 2 4 4" xfId="15635" xr:uid="{00000000-0005-0000-0000-0000133D0000}"/>
    <cellStyle name="Normal 2 2 2 2 4 4 10" xfId="15636" xr:uid="{00000000-0005-0000-0000-0000143D0000}"/>
    <cellStyle name="Normal 2 2 2 2 4 4 11" xfId="15637" xr:uid="{00000000-0005-0000-0000-0000153D0000}"/>
    <cellStyle name="Normal 2 2 2 2 4 4 12" xfId="15638" xr:uid="{00000000-0005-0000-0000-0000163D0000}"/>
    <cellStyle name="Normal 2 2 2 2 4 4 13" xfId="15639" xr:uid="{00000000-0005-0000-0000-0000173D0000}"/>
    <cellStyle name="Normal 2 2 2 2 4 4 14" xfId="15640" xr:uid="{00000000-0005-0000-0000-0000183D0000}"/>
    <cellStyle name="Normal 2 2 2 2 4 4 2" xfId="15641" xr:uid="{00000000-0005-0000-0000-0000193D0000}"/>
    <cellStyle name="Normal 2 2 2 2 4 4 2 10" xfId="15642" xr:uid="{00000000-0005-0000-0000-00001A3D0000}"/>
    <cellStyle name="Normal 2 2 2 2 4 4 2 2" xfId="15643" xr:uid="{00000000-0005-0000-0000-00001B3D0000}"/>
    <cellStyle name="Normal 2 2 2 2 4 4 2 3" xfId="15644" xr:uid="{00000000-0005-0000-0000-00001C3D0000}"/>
    <cellStyle name="Normal 2 2 2 2 4 4 2 4" xfId="15645" xr:uid="{00000000-0005-0000-0000-00001D3D0000}"/>
    <cellStyle name="Normal 2 2 2 2 4 4 2 5" xfId="15646" xr:uid="{00000000-0005-0000-0000-00001E3D0000}"/>
    <cellStyle name="Normal 2 2 2 2 4 4 2 6" xfId="15647" xr:uid="{00000000-0005-0000-0000-00001F3D0000}"/>
    <cellStyle name="Normal 2 2 2 2 4 4 2 7" xfId="15648" xr:uid="{00000000-0005-0000-0000-0000203D0000}"/>
    <cellStyle name="Normal 2 2 2 2 4 4 2 8" xfId="15649" xr:uid="{00000000-0005-0000-0000-0000213D0000}"/>
    <cellStyle name="Normal 2 2 2 2 4 4 2 9" xfId="15650" xr:uid="{00000000-0005-0000-0000-0000223D0000}"/>
    <cellStyle name="Normal 2 2 2 2 4 4 3" xfId="15651" xr:uid="{00000000-0005-0000-0000-0000233D0000}"/>
    <cellStyle name="Normal 2 2 2 2 4 4 3 10" xfId="15652" xr:uid="{00000000-0005-0000-0000-0000243D0000}"/>
    <cellStyle name="Normal 2 2 2 2 4 4 3 2" xfId="15653" xr:uid="{00000000-0005-0000-0000-0000253D0000}"/>
    <cellStyle name="Normal 2 2 2 2 4 4 3 3" xfId="15654" xr:uid="{00000000-0005-0000-0000-0000263D0000}"/>
    <cellStyle name="Normal 2 2 2 2 4 4 3 4" xfId="15655" xr:uid="{00000000-0005-0000-0000-0000273D0000}"/>
    <cellStyle name="Normal 2 2 2 2 4 4 3 5" xfId="15656" xr:uid="{00000000-0005-0000-0000-0000283D0000}"/>
    <cellStyle name="Normal 2 2 2 2 4 4 3 6" xfId="15657" xr:uid="{00000000-0005-0000-0000-0000293D0000}"/>
    <cellStyle name="Normal 2 2 2 2 4 4 3 7" xfId="15658" xr:uid="{00000000-0005-0000-0000-00002A3D0000}"/>
    <cellStyle name="Normal 2 2 2 2 4 4 3 8" xfId="15659" xr:uid="{00000000-0005-0000-0000-00002B3D0000}"/>
    <cellStyle name="Normal 2 2 2 2 4 4 3 9" xfId="15660" xr:uid="{00000000-0005-0000-0000-00002C3D0000}"/>
    <cellStyle name="Normal 2 2 2 2 4 4 4" xfId="15661" xr:uid="{00000000-0005-0000-0000-00002D3D0000}"/>
    <cellStyle name="Normal 2 2 2 2 4 4 4 10" xfId="15662" xr:uid="{00000000-0005-0000-0000-00002E3D0000}"/>
    <cellStyle name="Normal 2 2 2 2 4 4 4 2" xfId="15663" xr:uid="{00000000-0005-0000-0000-00002F3D0000}"/>
    <cellStyle name="Normal 2 2 2 2 4 4 4 3" xfId="15664" xr:uid="{00000000-0005-0000-0000-0000303D0000}"/>
    <cellStyle name="Normal 2 2 2 2 4 4 4 4" xfId="15665" xr:uid="{00000000-0005-0000-0000-0000313D0000}"/>
    <cellStyle name="Normal 2 2 2 2 4 4 4 5" xfId="15666" xr:uid="{00000000-0005-0000-0000-0000323D0000}"/>
    <cellStyle name="Normal 2 2 2 2 4 4 4 6" xfId="15667" xr:uid="{00000000-0005-0000-0000-0000333D0000}"/>
    <cellStyle name="Normal 2 2 2 2 4 4 4 7" xfId="15668" xr:uid="{00000000-0005-0000-0000-0000343D0000}"/>
    <cellStyle name="Normal 2 2 2 2 4 4 4 8" xfId="15669" xr:uid="{00000000-0005-0000-0000-0000353D0000}"/>
    <cellStyle name="Normal 2 2 2 2 4 4 4 9" xfId="15670" xr:uid="{00000000-0005-0000-0000-0000363D0000}"/>
    <cellStyle name="Normal 2 2 2 2 4 4 5" xfId="15671" xr:uid="{00000000-0005-0000-0000-0000373D0000}"/>
    <cellStyle name="Normal 2 2 2 2 4 4 5 10" xfId="15672" xr:uid="{00000000-0005-0000-0000-0000383D0000}"/>
    <cellStyle name="Normal 2 2 2 2 4 4 5 2" xfId="15673" xr:uid="{00000000-0005-0000-0000-0000393D0000}"/>
    <cellStyle name="Normal 2 2 2 2 4 4 5 3" xfId="15674" xr:uid="{00000000-0005-0000-0000-00003A3D0000}"/>
    <cellStyle name="Normal 2 2 2 2 4 4 5 4" xfId="15675" xr:uid="{00000000-0005-0000-0000-00003B3D0000}"/>
    <cellStyle name="Normal 2 2 2 2 4 4 5 5" xfId="15676" xr:uid="{00000000-0005-0000-0000-00003C3D0000}"/>
    <cellStyle name="Normal 2 2 2 2 4 4 5 6" xfId="15677" xr:uid="{00000000-0005-0000-0000-00003D3D0000}"/>
    <cellStyle name="Normal 2 2 2 2 4 4 5 7" xfId="15678" xr:uid="{00000000-0005-0000-0000-00003E3D0000}"/>
    <cellStyle name="Normal 2 2 2 2 4 4 5 8" xfId="15679" xr:uid="{00000000-0005-0000-0000-00003F3D0000}"/>
    <cellStyle name="Normal 2 2 2 2 4 4 5 9" xfId="15680" xr:uid="{00000000-0005-0000-0000-0000403D0000}"/>
    <cellStyle name="Normal 2 2 2 2 4 4 6" xfId="15681" xr:uid="{00000000-0005-0000-0000-0000413D0000}"/>
    <cellStyle name="Normal 2 2 2 2 4 4 7" xfId="15682" xr:uid="{00000000-0005-0000-0000-0000423D0000}"/>
    <cellStyle name="Normal 2 2 2 2 4 4 8" xfId="15683" xr:uid="{00000000-0005-0000-0000-0000433D0000}"/>
    <cellStyle name="Normal 2 2 2 2 4 4 9" xfId="15684" xr:uid="{00000000-0005-0000-0000-0000443D0000}"/>
    <cellStyle name="Normal 2 2 2 2 4 5" xfId="15685" xr:uid="{00000000-0005-0000-0000-0000453D0000}"/>
    <cellStyle name="Normal 2 2 2 2 4 5 10" xfId="15686" xr:uid="{00000000-0005-0000-0000-0000463D0000}"/>
    <cellStyle name="Normal 2 2 2 2 4 5 11" xfId="15687" xr:uid="{00000000-0005-0000-0000-0000473D0000}"/>
    <cellStyle name="Normal 2 2 2 2 4 5 12" xfId="15688" xr:uid="{00000000-0005-0000-0000-0000483D0000}"/>
    <cellStyle name="Normal 2 2 2 2 4 5 13" xfId="15689" xr:uid="{00000000-0005-0000-0000-0000493D0000}"/>
    <cellStyle name="Normal 2 2 2 2 4 5 14" xfId="15690" xr:uid="{00000000-0005-0000-0000-00004A3D0000}"/>
    <cellStyle name="Normal 2 2 2 2 4 5 2" xfId="15691" xr:uid="{00000000-0005-0000-0000-00004B3D0000}"/>
    <cellStyle name="Normal 2 2 2 2 4 5 2 10" xfId="15692" xr:uid="{00000000-0005-0000-0000-00004C3D0000}"/>
    <cellStyle name="Normal 2 2 2 2 4 5 2 2" xfId="15693" xr:uid="{00000000-0005-0000-0000-00004D3D0000}"/>
    <cellStyle name="Normal 2 2 2 2 4 5 2 3" xfId="15694" xr:uid="{00000000-0005-0000-0000-00004E3D0000}"/>
    <cellStyle name="Normal 2 2 2 2 4 5 2 4" xfId="15695" xr:uid="{00000000-0005-0000-0000-00004F3D0000}"/>
    <cellStyle name="Normal 2 2 2 2 4 5 2 5" xfId="15696" xr:uid="{00000000-0005-0000-0000-0000503D0000}"/>
    <cellStyle name="Normal 2 2 2 2 4 5 2 6" xfId="15697" xr:uid="{00000000-0005-0000-0000-0000513D0000}"/>
    <cellStyle name="Normal 2 2 2 2 4 5 2 7" xfId="15698" xr:uid="{00000000-0005-0000-0000-0000523D0000}"/>
    <cellStyle name="Normal 2 2 2 2 4 5 2 8" xfId="15699" xr:uid="{00000000-0005-0000-0000-0000533D0000}"/>
    <cellStyle name="Normal 2 2 2 2 4 5 2 9" xfId="15700" xr:uid="{00000000-0005-0000-0000-0000543D0000}"/>
    <cellStyle name="Normal 2 2 2 2 4 5 3" xfId="15701" xr:uid="{00000000-0005-0000-0000-0000553D0000}"/>
    <cellStyle name="Normal 2 2 2 2 4 5 3 10" xfId="15702" xr:uid="{00000000-0005-0000-0000-0000563D0000}"/>
    <cellStyle name="Normal 2 2 2 2 4 5 3 2" xfId="15703" xr:uid="{00000000-0005-0000-0000-0000573D0000}"/>
    <cellStyle name="Normal 2 2 2 2 4 5 3 3" xfId="15704" xr:uid="{00000000-0005-0000-0000-0000583D0000}"/>
    <cellStyle name="Normal 2 2 2 2 4 5 3 4" xfId="15705" xr:uid="{00000000-0005-0000-0000-0000593D0000}"/>
    <cellStyle name="Normal 2 2 2 2 4 5 3 5" xfId="15706" xr:uid="{00000000-0005-0000-0000-00005A3D0000}"/>
    <cellStyle name="Normal 2 2 2 2 4 5 3 6" xfId="15707" xr:uid="{00000000-0005-0000-0000-00005B3D0000}"/>
    <cellStyle name="Normal 2 2 2 2 4 5 3 7" xfId="15708" xr:uid="{00000000-0005-0000-0000-00005C3D0000}"/>
    <cellStyle name="Normal 2 2 2 2 4 5 3 8" xfId="15709" xr:uid="{00000000-0005-0000-0000-00005D3D0000}"/>
    <cellStyle name="Normal 2 2 2 2 4 5 3 9" xfId="15710" xr:uid="{00000000-0005-0000-0000-00005E3D0000}"/>
    <cellStyle name="Normal 2 2 2 2 4 5 4" xfId="15711" xr:uid="{00000000-0005-0000-0000-00005F3D0000}"/>
    <cellStyle name="Normal 2 2 2 2 4 5 4 10" xfId="15712" xr:uid="{00000000-0005-0000-0000-0000603D0000}"/>
    <cellStyle name="Normal 2 2 2 2 4 5 4 2" xfId="15713" xr:uid="{00000000-0005-0000-0000-0000613D0000}"/>
    <cellStyle name="Normal 2 2 2 2 4 5 4 3" xfId="15714" xr:uid="{00000000-0005-0000-0000-0000623D0000}"/>
    <cellStyle name="Normal 2 2 2 2 4 5 4 4" xfId="15715" xr:uid="{00000000-0005-0000-0000-0000633D0000}"/>
    <cellStyle name="Normal 2 2 2 2 4 5 4 5" xfId="15716" xr:uid="{00000000-0005-0000-0000-0000643D0000}"/>
    <cellStyle name="Normal 2 2 2 2 4 5 4 6" xfId="15717" xr:uid="{00000000-0005-0000-0000-0000653D0000}"/>
    <cellStyle name="Normal 2 2 2 2 4 5 4 7" xfId="15718" xr:uid="{00000000-0005-0000-0000-0000663D0000}"/>
    <cellStyle name="Normal 2 2 2 2 4 5 4 8" xfId="15719" xr:uid="{00000000-0005-0000-0000-0000673D0000}"/>
    <cellStyle name="Normal 2 2 2 2 4 5 4 9" xfId="15720" xr:uid="{00000000-0005-0000-0000-0000683D0000}"/>
    <cellStyle name="Normal 2 2 2 2 4 5 5" xfId="15721" xr:uid="{00000000-0005-0000-0000-0000693D0000}"/>
    <cellStyle name="Normal 2 2 2 2 4 5 5 10" xfId="15722" xr:uid="{00000000-0005-0000-0000-00006A3D0000}"/>
    <cellStyle name="Normal 2 2 2 2 4 5 5 2" xfId="15723" xr:uid="{00000000-0005-0000-0000-00006B3D0000}"/>
    <cellStyle name="Normal 2 2 2 2 4 5 5 3" xfId="15724" xr:uid="{00000000-0005-0000-0000-00006C3D0000}"/>
    <cellStyle name="Normal 2 2 2 2 4 5 5 4" xfId="15725" xr:uid="{00000000-0005-0000-0000-00006D3D0000}"/>
    <cellStyle name="Normal 2 2 2 2 4 5 5 5" xfId="15726" xr:uid="{00000000-0005-0000-0000-00006E3D0000}"/>
    <cellStyle name="Normal 2 2 2 2 4 5 5 6" xfId="15727" xr:uid="{00000000-0005-0000-0000-00006F3D0000}"/>
    <cellStyle name="Normal 2 2 2 2 4 5 5 7" xfId="15728" xr:uid="{00000000-0005-0000-0000-0000703D0000}"/>
    <cellStyle name="Normal 2 2 2 2 4 5 5 8" xfId="15729" xr:uid="{00000000-0005-0000-0000-0000713D0000}"/>
    <cellStyle name="Normal 2 2 2 2 4 5 5 9" xfId="15730" xr:uid="{00000000-0005-0000-0000-0000723D0000}"/>
    <cellStyle name="Normal 2 2 2 2 4 5 6" xfId="15731" xr:uid="{00000000-0005-0000-0000-0000733D0000}"/>
    <cellStyle name="Normal 2 2 2 2 4 5 7" xfId="15732" xr:uid="{00000000-0005-0000-0000-0000743D0000}"/>
    <cellStyle name="Normal 2 2 2 2 4 5 8" xfId="15733" xr:uid="{00000000-0005-0000-0000-0000753D0000}"/>
    <cellStyle name="Normal 2 2 2 2 4 5 9" xfId="15734" xr:uid="{00000000-0005-0000-0000-0000763D0000}"/>
    <cellStyle name="Normal 2 2 2 2 4 6" xfId="15735" xr:uid="{00000000-0005-0000-0000-0000773D0000}"/>
    <cellStyle name="Normal 2 2 2 2 4 6 10" xfId="15736" xr:uid="{00000000-0005-0000-0000-0000783D0000}"/>
    <cellStyle name="Normal 2 2 2 2 4 6 11" xfId="15737" xr:uid="{00000000-0005-0000-0000-0000793D0000}"/>
    <cellStyle name="Normal 2 2 2 2 4 6 12" xfId="15738" xr:uid="{00000000-0005-0000-0000-00007A3D0000}"/>
    <cellStyle name="Normal 2 2 2 2 4 6 13" xfId="15739" xr:uid="{00000000-0005-0000-0000-00007B3D0000}"/>
    <cellStyle name="Normal 2 2 2 2 4 6 14" xfId="15740" xr:uid="{00000000-0005-0000-0000-00007C3D0000}"/>
    <cellStyle name="Normal 2 2 2 2 4 6 2" xfId="15741" xr:uid="{00000000-0005-0000-0000-00007D3D0000}"/>
    <cellStyle name="Normal 2 2 2 2 4 6 2 10" xfId="15742" xr:uid="{00000000-0005-0000-0000-00007E3D0000}"/>
    <cellStyle name="Normal 2 2 2 2 4 6 2 2" xfId="15743" xr:uid="{00000000-0005-0000-0000-00007F3D0000}"/>
    <cellStyle name="Normal 2 2 2 2 4 6 2 3" xfId="15744" xr:uid="{00000000-0005-0000-0000-0000803D0000}"/>
    <cellStyle name="Normal 2 2 2 2 4 6 2 4" xfId="15745" xr:uid="{00000000-0005-0000-0000-0000813D0000}"/>
    <cellStyle name="Normal 2 2 2 2 4 6 2 5" xfId="15746" xr:uid="{00000000-0005-0000-0000-0000823D0000}"/>
    <cellStyle name="Normal 2 2 2 2 4 6 2 6" xfId="15747" xr:uid="{00000000-0005-0000-0000-0000833D0000}"/>
    <cellStyle name="Normal 2 2 2 2 4 6 2 7" xfId="15748" xr:uid="{00000000-0005-0000-0000-0000843D0000}"/>
    <cellStyle name="Normal 2 2 2 2 4 6 2 8" xfId="15749" xr:uid="{00000000-0005-0000-0000-0000853D0000}"/>
    <cellStyle name="Normal 2 2 2 2 4 6 2 9" xfId="15750" xr:uid="{00000000-0005-0000-0000-0000863D0000}"/>
    <cellStyle name="Normal 2 2 2 2 4 6 3" xfId="15751" xr:uid="{00000000-0005-0000-0000-0000873D0000}"/>
    <cellStyle name="Normal 2 2 2 2 4 6 3 10" xfId="15752" xr:uid="{00000000-0005-0000-0000-0000883D0000}"/>
    <cellStyle name="Normal 2 2 2 2 4 6 3 2" xfId="15753" xr:uid="{00000000-0005-0000-0000-0000893D0000}"/>
    <cellStyle name="Normal 2 2 2 2 4 6 3 3" xfId="15754" xr:uid="{00000000-0005-0000-0000-00008A3D0000}"/>
    <cellStyle name="Normal 2 2 2 2 4 6 3 4" xfId="15755" xr:uid="{00000000-0005-0000-0000-00008B3D0000}"/>
    <cellStyle name="Normal 2 2 2 2 4 6 3 5" xfId="15756" xr:uid="{00000000-0005-0000-0000-00008C3D0000}"/>
    <cellStyle name="Normal 2 2 2 2 4 6 3 6" xfId="15757" xr:uid="{00000000-0005-0000-0000-00008D3D0000}"/>
    <cellStyle name="Normal 2 2 2 2 4 6 3 7" xfId="15758" xr:uid="{00000000-0005-0000-0000-00008E3D0000}"/>
    <cellStyle name="Normal 2 2 2 2 4 6 3 8" xfId="15759" xr:uid="{00000000-0005-0000-0000-00008F3D0000}"/>
    <cellStyle name="Normal 2 2 2 2 4 6 3 9" xfId="15760" xr:uid="{00000000-0005-0000-0000-0000903D0000}"/>
    <cellStyle name="Normal 2 2 2 2 4 6 4" xfId="15761" xr:uid="{00000000-0005-0000-0000-0000913D0000}"/>
    <cellStyle name="Normal 2 2 2 2 4 6 4 10" xfId="15762" xr:uid="{00000000-0005-0000-0000-0000923D0000}"/>
    <cellStyle name="Normal 2 2 2 2 4 6 4 2" xfId="15763" xr:uid="{00000000-0005-0000-0000-0000933D0000}"/>
    <cellStyle name="Normal 2 2 2 2 4 6 4 3" xfId="15764" xr:uid="{00000000-0005-0000-0000-0000943D0000}"/>
    <cellStyle name="Normal 2 2 2 2 4 6 4 4" xfId="15765" xr:uid="{00000000-0005-0000-0000-0000953D0000}"/>
    <cellStyle name="Normal 2 2 2 2 4 6 4 5" xfId="15766" xr:uid="{00000000-0005-0000-0000-0000963D0000}"/>
    <cellStyle name="Normal 2 2 2 2 4 6 4 6" xfId="15767" xr:uid="{00000000-0005-0000-0000-0000973D0000}"/>
    <cellStyle name="Normal 2 2 2 2 4 6 4 7" xfId="15768" xr:uid="{00000000-0005-0000-0000-0000983D0000}"/>
    <cellStyle name="Normal 2 2 2 2 4 6 4 8" xfId="15769" xr:uid="{00000000-0005-0000-0000-0000993D0000}"/>
    <cellStyle name="Normal 2 2 2 2 4 6 4 9" xfId="15770" xr:uid="{00000000-0005-0000-0000-00009A3D0000}"/>
    <cellStyle name="Normal 2 2 2 2 4 6 5" xfId="15771" xr:uid="{00000000-0005-0000-0000-00009B3D0000}"/>
    <cellStyle name="Normal 2 2 2 2 4 6 5 10" xfId="15772" xr:uid="{00000000-0005-0000-0000-00009C3D0000}"/>
    <cellStyle name="Normal 2 2 2 2 4 6 5 2" xfId="15773" xr:uid="{00000000-0005-0000-0000-00009D3D0000}"/>
    <cellStyle name="Normal 2 2 2 2 4 6 5 3" xfId="15774" xr:uid="{00000000-0005-0000-0000-00009E3D0000}"/>
    <cellStyle name="Normal 2 2 2 2 4 6 5 4" xfId="15775" xr:uid="{00000000-0005-0000-0000-00009F3D0000}"/>
    <cellStyle name="Normal 2 2 2 2 4 6 5 5" xfId="15776" xr:uid="{00000000-0005-0000-0000-0000A03D0000}"/>
    <cellStyle name="Normal 2 2 2 2 4 6 5 6" xfId="15777" xr:uid="{00000000-0005-0000-0000-0000A13D0000}"/>
    <cellStyle name="Normal 2 2 2 2 4 6 5 7" xfId="15778" xr:uid="{00000000-0005-0000-0000-0000A23D0000}"/>
    <cellStyle name="Normal 2 2 2 2 4 6 5 8" xfId="15779" xr:uid="{00000000-0005-0000-0000-0000A33D0000}"/>
    <cellStyle name="Normal 2 2 2 2 4 6 5 9" xfId="15780" xr:uid="{00000000-0005-0000-0000-0000A43D0000}"/>
    <cellStyle name="Normal 2 2 2 2 4 6 6" xfId="15781" xr:uid="{00000000-0005-0000-0000-0000A53D0000}"/>
    <cellStyle name="Normal 2 2 2 2 4 6 7" xfId="15782" xr:uid="{00000000-0005-0000-0000-0000A63D0000}"/>
    <cellStyle name="Normal 2 2 2 2 4 6 8" xfId="15783" xr:uid="{00000000-0005-0000-0000-0000A73D0000}"/>
    <cellStyle name="Normal 2 2 2 2 4 6 9" xfId="15784" xr:uid="{00000000-0005-0000-0000-0000A83D0000}"/>
    <cellStyle name="Normal 2 2 2 2 4 7" xfId="15785" xr:uid="{00000000-0005-0000-0000-0000A93D0000}"/>
    <cellStyle name="Normal 2 2 2 2 4 7 10" xfId="15786" xr:uid="{00000000-0005-0000-0000-0000AA3D0000}"/>
    <cellStyle name="Normal 2 2 2 2 4 7 11" xfId="15787" xr:uid="{00000000-0005-0000-0000-0000AB3D0000}"/>
    <cellStyle name="Normal 2 2 2 2 4 7 12" xfId="15788" xr:uid="{00000000-0005-0000-0000-0000AC3D0000}"/>
    <cellStyle name="Normal 2 2 2 2 4 7 13" xfId="15789" xr:uid="{00000000-0005-0000-0000-0000AD3D0000}"/>
    <cellStyle name="Normal 2 2 2 2 4 7 14" xfId="15790" xr:uid="{00000000-0005-0000-0000-0000AE3D0000}"/>
    <cellStyle name="Normal 2 2 2 2 4 7 2" xfId="15791" xr:uid="{00000000-0005-0000-0000-0000AF3D0000}"/>
    <cellStyle name="Normal 2 2 2 2 4 7 2 10" xfId="15792" xr:uid="{00000000-0005-0000-0000-0000B03D0000}"/>
    <cellStyle name="Normal 2 2 2 2 4 7 2 2" xfId="15793" xr:uid="{00000000-0005-0000-0000-0000B13D0000}"/>
    <cellStyle name="Normal 2 2 2 2 4 7 2 3" xfId="15794" xr:uid="{00000000-0005-0000-0000-0000B23D0000}"/>
    <cellStyle name="Normal 2 2 2 2 4 7 2 4" xfId="15795" xr:uid="{00000000-0005-0000-0000-0000B33D0000}"/>
    <cellStyle name="Normal 2 2 2 2 4 7 2 5" xfId="15796" xr:uid="{00000000-0005-0000-0000-0000B43D0000}"/>
    <cellStyle name="Normal 2 2 2 2 4 7 2 6" xfId="15797" xr:uid="{00000000-0005-0000-0000-0000B53D0000}"/>
    <cellStyle name="Normal 2 2 2 2 4 7 2 7" xfId="15798" xr:uid="{00000000-0005-0000-0000-0000B63D0000}"/>
    <cellStyle name="Normal 2 2 2 2 4 7 2 8" xfId="15799" xr:uid="{00000000-0005-0000-0000-0000B73D0000}"/>
    <cellStyle name="Normal 2 2 2 2 4 7 2 9" xfId="15800" xr:uid="{00000000-0005-0000-0000-0000B83D0000}"/>
    <cellStyle name="Normal 2 2 2 2 4 7 3" xfId="15801" xr:uid="{00000000-0005-0000-0000-0000B93D0000}"/>
    <cellStyle name="Normal 2 2 2 2 4 7 3 10" xfId="15802" xr:uid="{00000000-0005-0000-0000-0000BA3D0000}"/>
    <cellStyle name="Normal 2 2 2 2 4 7 3 2" xfId="15803" xr:uid="{00000000-0005-0000-0000-0000BB3D0000}"/>
    <cellStyle name="Normal 2 2 2 2 4 7 3 3" xfId="15804" xr:uid="{00000000-0005-0000-0000-0000BC3D0000}"/>
    <cellStyle name="Normal 2 2 2 2 4 7 3 4" xfId="15805" xr:uid="{00000000-0005-0000-0000-0000BD3D0000}"/>
    <cellStyle name="Normal 2 2 2 2 4 7 3 5" xfId="15806" xr:uid="{00000000-0005-0000-0000-0000BE3D0000}"/>
    <cellStyle name="Normal 2 2 2 2 4 7 3 6" xfId="15807" xr:uid="{00000000-0005-0000-0000-0000BF3D0000}"/>
    <cellStyle name="Normal 2 2 2 2 4 7 3 7" xfId="15808" xr:uid="{00000000-0005-0000-0000-0000C03D0000}"/>
    <cellStyle name="Normal 2 2 2 2 4 7 3 8" xfId="15809" xr:uid="{00000000-0005-0000-0000-0000C13D0000}"/>
    <cellStyle name="Normal 2 2 2 2 4 7 3 9" xfId="15810" xr:uid="{00000000-0005-0000-0000-0000C23D0000}"/>
    <cellStyle name="Normal 2 2 2 2 4 7 4" xfId="15811" xr:uid="{00000000-0005-0000-0000-0000C33D0000}"/>
    <cellStyle name="Normal 2 2 2 2 4 7 4 10" xfId="15812" xr:uid="{00000000-0005-0000-0000-0000C43D0000}"/>
    <cellStyle name="Normal 2 2 2 2 4 7 4 2" xfId="15813" xr:uid="{00000000-0005-0000-0000-0000C53D0000}"/>
    <cellStyle name="Normal 2 2 2 2 4 7 4 3" xfId="15814" xr:uid="{00000000-0005-0000-0000-0000C63D0000}"/>
    <cellStyle name="Normal 2 2 2 2 4 7 4 4" xfId="15815" xr:uid="{00000000-0005-0000-0000-0000C73D0000}"/>
    <cellStyle name="Normal 2 2 2 2 4 7 4 5" xfId="15816" xr:uid="{00000000-0005-0000-0000-0000C83D0000}"/>
    <cellStyle name="Normal 2 2 2 2 4 7 4 6" xfId="15817" xr:uid="{00000000-0005-0000-0000-0000C93D0000}"/>
    <cellStyle name="Normal 2 2 2 2 4 7 4 7" xfId="15818" xr:uid="{00000000-0005-0000-0000-0000CA3D0000}"/>
    <cellStyle name="Normal 2 2 2 2 4 7 4 8" xfId="15819" xr:uid="{00000000-0005-0000-0000-0000CB3D0000}"/>
    <cellStyle name="Normal 2 2 2 2 4 7 4 9" xfId="15820" xr:uid="{00000000-0005-0000-0000-0000CC3D0000}"/>
    <cellStyle name="Normal 2 2 2 2 4 7 5" xfId="15821" xr:uid="{00000000-0005-0000-0000-0000CD3D0000}"/>
    <cellStyle name="Normal 2 2 2 2 4 7 5 10" xfId="15822" xr:uid="{00000000-0005-0000-0000-0000CE3D0000}"/>
    <cellStyle name="Normal 2 2 2 2 4 7 5 2" xfId="15823" xr:uid="{00000000-0005-0000-0000-0000CF3D0000}"/>
    <cellStyle name="Normal 2 2 2 2 4 7 5 3" xfId="15824" xr:uid="{00000000-0005-0000-0000-0000D03D0000}"/>
    <cellStyle name="Normal 2 2 2 2 4 7 5 4" xfId="15825" xr:uid="{00000000-0005-0000-0000-0000D13D0000}"/>
    <cellStyle name="Normal 2 2 2 2 4 7 5 5" xfId="15826" xr:uid="{00000000-0005-0000-0000-0000D23D0000}"/>
    <cellStyle name="Normal 2 2 2 2 4 7 5 6" xfId="15827" xr:uid="{00000000-0005-0000-0000-0000D33D0000}"/>
    <cellStyle name="Normal 2 2 2 2 4 7 5 7" xfId="15828" xr:uid="{00000000-0005-0000-0000-0000D43D0000}"/>
    <cellStyle name="Normal 2 2 2 2 4 7 5 8" xfId="15829" xr:uid="{00000000-0005-0000-0000-0000D53D0000}"/>
    <cellStyle name="Normal 2 2 2 2 4 7 5 9" xfId="15830" xr:uid="{00000000-0005-0000-0000-0000D63D0000}"/>
    <cellStyle name="Normal 2 2 2 2 4 7 6" xfId="15831" xr:uid="{00000000-0005-0000-0000-0000D73D0000}"/>
    <cellStyle name="Normal 2 2 2 2 4 7 7" xfId="15832" xr:uid="{00000000-0005-0000-0000-0000D83D0000}"/>
    <cellStyle name="Normal 2 2 2 2 4 7 8" xfId="15833" xr:uid="{00000000-0005-0000-0000-0000D93D0000}"/>
    <cellStyle name="Normal 2 2 2 2 4 7 9" xfId="15834" xr:uid="{00000000-0005-0000-0000-0000DA3D0000}"/>
    <cellStyle name="Normal 2 2 2 2 4 8" xfId="15835" xr:uid="{00000000-0005-0000-0000-0000DB3D0000}"/>
    <cellStyle name="Normal 2 2 2 2 4 8 10" xfId="15836" xr:uid="{00000000-0005-0000-0000-0000DC3D0000}"/>
    <cellStyle name="Normal 2 2 2 2 4 8 11" xfId="15837" xr:uid="{00000000-0005-0000-0000-0000DD3D0000}"/>
    <cellStyle name="Normal 2 2 2 2 4 8 12" xfId="15838" xr:uid="{00000000-0005-0000-0000-0000DE3D0000}"/>
    <cellStyle name="Normal 2 2 2 2 4 8 13" xfId="15839" xr:uid="{00000000-0005-0000-0000-0000DF3D0000}"/>
    <cellStyle name="Normal 2 2 2 2 4 8 14" xfId="15840" xr:uid="{00000000-0005-0000-0000-0000E03D0000}"/>
    <cellStyle name="Normal 2 2 2 2 4 8 2" xfId="15841" xr:uid="{00000000-0005-0000-0000-0000E13D0000}"/>
    <cellStyle name="Normal 2 2 2 2 4 8 2 10" xfId="15842" xr:uid="{00000000-0005-0000-0000-0000E23D0000}"/>
    <cellStyle name="Normal 2 2 2 2 4 8 2 2" xfId="15843" xr:uid="{00000000-0005-0000-0000-0000E33D0000}"/>
    <cellStyle name="Normal 2 2 2 2 4 8 2 3" xfId="15844" xr:uid="{00000000-0005-0000-0000-0000E43D0000}"/>
    <cellStyle name="Normal 2 2 2 2 4 8 2 4" xfId="15845" xr:uid="{00000000-0005-0000-0000-0000E53D0000}"/>
    <cellStyle name="Normal 2 2 2 2 4 8 2 5" xfId="15846" xr:uid="{00000000-0005-0000-0000-0000E63D0000}"/>
    <cellStyle name="Normal 2 2 2 2 4 8 2 6" xfId="15847" xr:uid="{00000000-0005-0000-0000-0000E73D0000}"/>
    <cellStyle name="Normal 2 2 2 2 4 8 2 7" xfId="15848" xr:uid="{00000000-0005-0000-0000-0000E83D0000}"/>
    <cellStyle name="Normal 2 2 2 2 4 8 2 8" xfId="15849" xr:uid="{00000000-0005-0000-0000-0000E93D0000}"/>
    <cellStyle name="Normal 2 2 2 2 4 8 2 9" xfId="15850" xr:uid="{00000000-0005-0000-0000-0000EA3D0000}"/>
    <cellStyle name="Normal 2 2 2 2 4 8 3" xfId="15851" xr:uid="{00000000-0005-0000-0000-0000EB3D0000}"/>
    <cellStyle name="Normal 2 2 2 2 4 8 3 10" xfId="15852" xr:uid="{00000000-0005-0000-0000-0000EC3D0000}"/>
    <cellStyle name="Normal 2 2 2 2 4 8 3 2" xfId="15853" xr:uid="{00000000-0005-0000-0000-0000ED3D0000}"/>
    <cellStyle name="Normal 2 2 2 2 4 8 3 3" xfId="15854" xr:uid="{00000000-0005-0000-0000-0000EE3D0000}"/>
    <cellStyle name="Normal 2 2 2 2 4 8 3 4" xfId="15855" xr:uid="{00000000-0005-0000-0000-0000EF3D0000}"/>
    <cellStyle name="Normal 2 2 2 2 4 8 3 5" xfId="15856" xr:uid="{00000000-0005-0000-0000-0000F03D0000}"/>
    <cellStyle name="Normal 2 2 2 2 4 8 3 6" xfId="15857" xr:uid="{00000000-0005-0000-0000-0000F13D0000}"/>
    <cellStyle name="Normal 2 2 2 2 4 8 3 7" xfId="15858" xr:uid="{00000000-0005-0000-0000-0000F23D0000}"/>
    <cellStyle name="Normal 2 2 2 2 4 8 3 8" xfId="15859" xr:uid="{00000000-0005-0000-0000-0000F33D0000}"/>
    <cellStyle name="Normal 2 2 2 2 4 8 3 9" xfId="15860" xr:uid="{00000000-0005-0000-0000-0000F43D0000}"/>
    <cellStyle name="Normal 2 2 2 2 4 8 4" xfId="15861" xr:uid="{00000000-0005-0000-0000-0000F53D0000}"/>
    <cellStyle name="Normal 2 2 2 2 4 8 4 10" xfId="15862" xr:uid="{00000000-0005-0000-0000-0000F63D0000}"/>
    <cellStyle name="Normal 2 2 2 2 4 8 4 2" xfId="15863" xr:uid="{00000000-0005-0000-0000-0000F73D0000}"/>
    <cellStyle name="Normal 2 2 2 2 4 8 4 3" xfId="15864" xr:uid="{00000000-0005-0000-0000-0000F83D0000}"/>
    <cellStyle name="Normal 2 2 2 2 4 8 4 4" xfId="15865" xr:uid="{00000000-0005-0000-0000-0000F93D0000}"/>
    <cellStyle name="Normal 2 2 2 2 4 8 4 5" xfId="15866" xr:uid="{00000000-0005-0000-0000-0000FA3D0000}"/>
    <cellStyle name="Normal 2 2 2 2 4 8 4 6" xfId="15867" xr:uid="{00000000-0005-0000-0000-0000FB3D0000}"/>
    <cellStyle name="Normal 2 2 2 2 4 8 4 7" xfId="15868" xr:uid="{00000000-0005-0000-0000-0000FC3D0000}"/>
    <cellStyle name="Normal 2 2 2 2 4 8 4 8" xfId="15869" xr:uid="{00000000-0005-0000-0000-0000FD3D0000}"/>
    <cellStyle name="Normal 2 2 2 2 4 8 4 9" xfId="15870" xr:uid="{00000000-0005-0000-0000-0000FE3D0000}"/>
    <cellStyle name="Normal 2 2 2 2 4 8 5" xfId="15871" xr:uid="{00000000-0005-0000-0000-0000FF3D0000}"/>
    <cellStyle name="Normal 2 2 2 2 4 8 5 10" xfId="15872" xr:uid="{00000000-0005-0000-0000-0000003E0000}"/>
    <cellStyle name="Normal 2 2 2 2 4 8 5 2" xfId="15873" xr:uid="{00000000-0005-0000-0000-0000013E0000}"/>
    <cellStyle name="Normal 2 2 2 2 4 8 5 3" xfId="15874" xr:uid="{00000000-0005-0000-0000-0000023E0000}"/>
    <cellStyle name="Normal 2 2 2 2 4 8 5 4" xfId="15875" xr:uid="{00000000-0005-0000-0000-0000033E0000}"/>
    <cellStyle name="Normal 2 2 2 2 4 8 5 5" xfId="15876" xr:uid="{00000000-0005-0000-0000-0000043E0000}"/>
    <cellStyle name="Normal 2 2 2 2 4 8 5 6" xfId="15877" xr:uid="{00000000-0005-0000-0000-0000053E0000}"/>
    <cellStyle name="Normal 2 2 2 2 4 8 5 7" xfId="15878" xr:uid="{00000000-0005-0000-0000-0000063E0000}"/>
    <cellStyle name="Normal 2 2 2 2 4 8 5 8" xfId="15879" xr:uid="{00000000-0005-0000-0000-0000073E0000}"/>
    <cellStyle name="Normal 2 2 2 2 4 8 5 9" xfId="15880" xr:uid="{00000000-0005-0000-0000-0000083E0000}"/>
    <cellStyle name="Normal 2 2 2 2 4 8 6" xfId="15881" xr:uid="{00000000-0005-0000-0000-0000093E0000}"/>
    <cellStyle name="Normal 2 2 2 2 4 8 7" xfId="15882" xr:uid="{00000000-0005-0000-0000-00000A3E0000}"/>
    <cellStyle name="Normal 2 2 2 2 4 8 8" xfId="15883" xr:uid="{00000000-0005-0000-0000-00000B3E0000}"/>
    <cellStyle name="Normal 2 2 2 2 4 8 9" xfId="15884" xr:uid="{00000000-0005-0000-0000-00000C3E0000}"/>
    <cellStyle name="Normal 2 2 2 2 4 9" xfId="15885" xr:uid="{00000000-0005-0000-0000-00000D3E0000}"/>
    <cellStyle name="Normal 2 2 2 2 4 9 10" xfId="15886" xr:uid="{00000000-0005-0000-0000-00000E3E0000}"/>
    <cellStyle name="Normal 2 2 2 2 4 9 11" xfId="15887" xr:uid="{00000000-0005-0000-0000-00000F3E0000}"/>
    <cellStyle name="Normal 2 2 2 2 4 9 12" xfId="15888" xr:uid="{00000000-0005-0000-0000-0000103E0000}"/>
    <cellStyle name="Normal 2 2 2 2 4 9 13" xfId="15889" xr:uid="{00000000-0005-0000-0000-0000113E0000}"/>
    <cellStyle name="Normal 2 2 2 2 4 9 14" xfId="15890" xr:uid="{00000000-0005-0000-0000-0000123E0000}"/>
    <cellStyle name="Normal 2 2 2 2 4 9 2" xfId="15891" xr:uid="{00000000-0005-0000-0000-0000133E0000}"/>
    <cellStyle name="Normal 2 2 2 2 4 9 2 10" xfId="15892" xr:uid="{00000000-0005-0000-0000-0000143E0000}"/>
    <cellStyle name="Normal 2 2 2 2 4 9 2 2" xfId="15893" xr:uid="{00000000-0005-0000-0000-0000153E0000}"/>
    <cellStyle name="Normal 2 2 2 2 4 9 2 3" xfId="15894" xr:uid="{00000000-0005-0000-0000-0000163E0000}"/>
    <cellStyle name="Normal 2 2 2 2 4 9 2 4" xfId="15895" xr:uid="{00000000-0005-0000-0000-0000173E0000}"/>
    <cellStyle name="Normal 2 2 2 2 4 9 2 5" xfId="15896" xr:uid="{00000000-0005-0000-0000-0000183E0000}"/>
    <cellStyle name="Normal 2 2 2 2 4 9 2 6" xfId="15897" xr:uid="{00000000-0005-0000-0000-0000193E0000}"/>
    <cellStyle name="Normal 2 2 2 2 4 9 2 7" xfId="15898" xr:uid="{00000000-0005-0000-0000-00001A3E0000}"/>
    <cellStyle name="Normal 2 2 2 2 4 9 2 8" xfId="15899" xr:uid="{00000000-0005-0000-0000-00001B3E0000}"/>
    <cellStyle name="Normal 2 2 2 2 4 9 2 9" xfId="15900" xr:uid="{00000000-0005-0000-0000-00001C3E0000}"/>
    <cellStyle name="Normal 2 2 2 2 4 9 3" xfId="15901" xr:uid="{00000000-0005-0000-0000-00001D3E0000}"/>
    <cellStyle name="Normal 2 2 2 2 4 9 3 10" xfId="15902" xr:uid="{00000000-0005-0000-0000-00001E3E0000}"/>
    <cellStyle name="Normal 2 2 2 2 4 9 3 2" xfId="15903" xr:uid="{00000000-0005-0000-0000-00001F3E0000}"/>
    <cellStyle name="Normal 2 2 2 2 4 9 3 3" xfId="15904" xr:uid="{00000000-0005-0000-0000-0000203E0000}"/>
    <cellStyle name="Normal 2 2 2 2 4 9 3 4" xfId="15905" xr:uid="{00000000-0005-0000-0000-0000213E0000}"/>
    <cellStyle name="Normal 2 2 2 2 4 9 3 5" xfId="15906" xr:uid="{00000000-0005-0000-0000-0000223E0000}"/>
    <cellStyle name="Normal 2 2 2 2 4 9 3 6" xfId="15907" xr:uid="{00000000-0005-0000-0000-0000233E0000}"/>
    <cellStyle name="Normal 2 2 2 2 4 9 3 7" xfId="15908" xr:uid="{00000000-0005-0000-0000-0000243E0000}"/>
    <cellStyle name="Normal 2 2 2 2 4 9 3 8" xfId="15909" xr:uid="{00000000-0005-0000-0000-0000253E0000}"/>
    <cellStyle name="Normal 2 2 2 2 4 9 3 9" xfId="15910" xr:uid="{00000000-0005-0000-0000-0000263E0000}"/>
    <cellStyle name="Normal 2 2 2 2 4 9 4" xfId="15911" xr:uid="{00000000-0005-0000-0000-0000273E0000}"/>
    <cellStyle name="Normal 2 2 2 2 4 9 4 10" xfId="15912" xr:uid="{00000000-0005-0000-0000-0000283E0000}"/>
    <cellStyle name="Normal 2 2 2 2 4 9 4 2" xfId="15913" xr:uid="{00000000-0005-0000-0000-0000293E0000}"/>
    <cellStyle name="Normal 2 2 2 2 4 9 4 3" xfId="15914" xr:uid="{00000000-0005-0000-0000-00002A3E0000}"/>
    <cellStyle name="Normal 2 2 2 2 4 9 4 4" xfId="15915" xr:uid="{00000000-0005-0000-0000-00002B3E0000}"/>
    <cellStyle name="Normal 2 2 2 2 4 9 4 5" xfId="15916" xr:uid="{00000000-0005-0000-0000-00002C3E0000}"/>
    <cellStyle name="Normal 2 2 2 2 4 9 4 6" xfId="15917" xr:uid="{00000000-0005-0000-0000-00002D3E0000}"/>
    <cellStyle name="Normal 2 2 2 2 4 9 4 7" xfId="15918" xr:uid="{00000000-0005-0000-0000-00002E3E0000}"/>
    <cellStyle name="Normal 2 2 2 2 4 9 4 8" xfId="15919" xr:uid="{00000000-0005-0000-0000-00002F3E0000}"/>
    <cellStyle name="Normal 2 2 2 2 4 9 4 9" xfId="15920" xr:uid="{00000000-0005-0000-0000-0000303E0000}"/>
    <cellStyle name="Normal 2 2 2 2 4 9 5" xfId="15921" xr:uid="{00000000-0005-0000-0000-0000313E0000}"/>
    <cellStyle name="Normal 2 2 2 2 4 9 5 10" xfId="15922" xr:uid="{00000000-0005-0000-0000-0000323E0000}"/>
    <cellStyle name="Normal 2 2 2 2 4 9 5 2" xfId="15923" xr:uid="{00000000-0005-0000-0000-0000333E0000}"/>
    <cellStyle name="Normal 2 2 2 2 4 9 5 3" xfId="15924" xr:uid="{00000000-0005-0000-0000-0000343E0000}"/>
    <cellStyle name="Normal 2 2 2 2 4 9 5 4" xfId="15925" xr:uid="{00000000-0005-0000-0000-0000353E0000}"/>
    <cellStyle name="Normal 2 2 2 2 4 9 5 5" xfId="15926" xr:uid="{00000000-0005-0000-0000-0000363E0000}"/>
    <cellStyle name="Normal 2 2 2 2 4 9 5 6" xfId="15927" xr:uid="{00000000-0005-0000-0000-0000373E0000}"/>
    <cellStyle name="Normal 2 2 2 2 4 9 5 7" xfId="15928" xr:uid="{00000000-0005-0000-0000-0000383E0000}"/>
    <cellStyle name="Normal 2 2 2 2 4 9 5 8" xfId="15929" xr:uid="{00000000-0005-0000-0000-0000393E0000}"/>
    <cellStyle name="Normal 2 2 2 2 4 9 5 9" xfId="15930" xr:uid="{00000000-0005-0000-0000-00003A3E0000}"/>
    <cellStyle name="Normal 2 2 2 2 4 9 6" xfId="15931" xr:uid="{00000000-0005-0000-0000-00003B3E0000}"/>
    <cellStyle name="Normal 2 2 2 2 4 9 7" xfId="15932" xr:uid="{00000000-0005-0000-0000-00003C3E0000}"/>
    <cellStyle name="Normal 2 2 2 2 4 9 8" xfId="15933" xr:uid="{00000000-0005-0000-0000-00003D3E0000}"/>
    <cellStyle name="Normal 2 2 2 2 4 9 9" xfId="15934" xr:uid="{00000000-0005-0000-0000-00003E3E0000}"/>
    <cellStyle name="Normal 2 2 2 2 40" xfId="15935" xr:uid="{00000000-0005-0000-0000-00003F3E0000}"/>
    <cellStyle name="Normal 2 2 2 2 40 10" xfId="15936" xr:uid="{00000000-0005-0000-0000-0000403E0000}"/>
    <cellStyle name="Normal 2 2 2 2 40 2" xfId="15937" xr:uid="{00000000-0005-0000-0000-0000413E0000}"/>
    <cellStyle name="Normal 2 2 2 2 40 3" xfId="15938" xr:uid="{00000000-0005-0000-0000-0000423E0000}"/>
    <cellStyle name="Normal 2 2 2 2 40 4" xfId="15939" xr:uid="{00000000-0005-0000-0000-0000433E0000}"/>
    <cellStyle name="Normal 2 2 2 2 40 5" xfId="15940" xr:uid="{00000000-0005-0000-0000-0000443E0000}"/>
    <cellStyle name="Normal 2 2 2 2 40 6" xfId="15941" xr:uid="{00000000-0005-0000-0000-0000453E0000}"/>
    <cellStyle name="Normal 2 2 2 2 40 7" xfId="15942" xr:uid="{00000000-0005-0000-0000-0000463E0000}"/>
    <cellStyle name="Normal 2 2 2 2 40 8" xfId="15943" xr:uid="{00000000-0005-0000-0000-0000473E0000}"/>
    <cellStyle name="Normal 2 2 2 2 40 9" xfId="15944" xr:uid="{00000000-0005-0000-0000-0000483E0000}"/>
    <cellStyle name="Normal 2 2 2 2 41" xfId="15945" xr:uid="{00000000-0005-0000-0000-0000493E0000}"/>
    <cellStyle name="Normal 2 2 2 2 42" xfId="15946" xr:uid="{00000000-0005-0000-0000-00004A3E0000}"/>
    <cellStyle name="Normal 2 2 2 2 43" xfId="15947" xr:uid="{00000000-0005-0000-0000-00004B3E0000}"/>
    <cellStyle name="Normal 2 2 2 2 44" xfId="15948" xr:uid="{00000000-0005-0000-0000-00004C3E0000}"/>
    <cellStyle name="Normal 2 2 2 2 45" xfId="15949" xr:uid="{00000000-0005-0000-0000-00004D3E0000}"/>
    <cellStyle name="Normal 2 2 2 2 46" xfId="15950" xr:uid="{00000000-0005-0000-0000-00004E3E0000}"/>
    <cellStyle name="Normal 2 2 2 2 47" xfId="15951" xr:uid="{00000000-0005-0000-0000-00004F3E0000}"/>
    <cellStyle name="Normal 2 2 2 2 48" xfId="15952" xr:uid="{00000000-0005-0000-0000-0000503E0000}"/>
    <cellStyle name="Normal 2 2 2 2 49" xfId="15953" xr:uid="{00000000-0005-0000-0000-0000513E0000}"/>
    <cellStyle name="Normal 2 2 2 2 5" xfId="15954" xr:uid="{00000000-0005-0000-0000-0000523E0000}"/>
    <cellStyle name="Normal 2 2 2 2 5 10" xfId="15955" xr:uid="{00000000-0005-0000-0000-0000533E0000}"/>
    <cellStyle name="Normal 2 2 2 2 5 10 10" xfId="15956" xr:uid="{00000000-0005-0000-0000-0000543E0000}"/>
    <cellStyle name="Normal 2 2 2 2 5 10 11" xfId="15957" xr:uid="{00000000-0005-0000-0000-0000553E0000}"/>
    <cellStyle name="Normal 2 2 2 2 5 10 12" xfId="15958" xr:uid="{00000000-0005-0000-0000-0000563E0000}"/>
    <cellStyle name="Normal 2 2 2 2 5 10 13" xfId="15959" xr:uid="{00000000-0005-0000-0000-0000573E0000}"/>
    <cellStyle name="Normal 2 2 2 2 5 10 14" xfId="15960" xr:uid="{00000000-0005-0000-0000-0000583E0000}"/>
    <cellStyle name="Normal 2 2 2 2 5 10 2" xfId="15961" xr:uid="{00000000-0005-0000-0000-0000593E0000}"/>
    <cellStyle name="Normal 2 2 2 2 5 10 2 10" xfId="15962" xr:uid="{00000000-0005-0000-0000-00005A3E0000}"/>
    <cellStyle name="Normal 2 2 2 2 5 10 2 2" xfId="15963" xr:uid="{00000000-0005-0000-0000-00005B3E0000}"/>
    <cellStyle name="Normal 2 2 2 2 5 10 2 3" xfId="15964" xr:uid="{00000000-0005-0000-0000-00005C3E0000}"/>
    <cellStyle name="Normal 2 2 2 2 5 10 2 4" xfId="15965" xr:uid="{00000000-0005-0000-0000-00005D3E0000}"/>
    <cellStyle name="Normal 2 2 2 2 5 10 2 5" xfId="15966" xr:uid="{00000000-0005-0000-0000-00005E3E0000}"/>
    <cellStyle name="Normal 2 2 2 2 5 10 2 6" xfId="15967" xr:uid="{00000000-0005-0000-0000-00005F3E0000}"/>
    <cellStyle name="Normal 2 2 2 2 5 10 2 7" xfId="15968" xr:uid="{00000000-0005-0000-0000-0000603E0000}"/>
    <cellStyle name="Normal 2 2 2 2 5 10 2 8" xfId="15969" xr:uid="{00000000-0005-0000-0000-0000613E0000}"/>
    <cellStyle name="Normal 2 2 2 2 5 10 2 9" xfId="15970" xr:uid="{00000000-0005-0000-0000-0000623E0000}"/>
    <cellStyle name="Normal 2 2 2 2 5 10 3" xfId="15971" xr:uid="{00000000-0005-0000-0000-0000633E0000}"/>
    <cellStyle name="Normal 2 2 2 2 5 10 3 10" xfId="15972" xr:uid="{00000000-0005-0000-0000-0000643E0000}"/>
    <cellStyle name="Normal 2 2 2 2 5 10 3 2" xfId="15973" xr:uid="{00000000-0005-0000-0000-0000653E0000}"/>
    <cellStyle name="Normal 2 2 2 2 5 10 3 3" xfId="15974" xr:uid="{00000000-0005-0000-0000-0000663E0000}"/>
    <cellStyle name="Normal 2 2 2 2 5 10 3 4" xfId="15975" xr:uid="{00000000-0005-0000-0000-0000673E0000}"/>
    <cellStyle name="Normal 2 2 2 2 5 10 3 5" xfId="15976" xr:uid="{00000000-0005-0000-0000-0000683E0000}"/>
    <cellStyle name="Normal 2 2 2 2 5 10 3 6" xfId="15977" xr:uid="{00000000-0005-0000-0000-0000693E0000}"/>
    <cellStyle name="Normal 2 2 2 2 5 10 3 7" xfId="15978" xr:uid="{00000000-0005-0000-0000-00006A3E0000}"/>
    <cellStyle name="Normal 2 2 2 2 5 10 3 8" xfId="15979" xr:uid="{00000000-0005-0000-0000-00006B3E0000}"/>
    <cellStyle name="Normal 2 2 2 2 5 10 3 9" xfId="15980" xr:uid="{00000000-0005-0000-0000-00006C3E0000}"/>
    <cellStyle name="Normal 2 2 2 2 5 10 4" xfId="15981" xr:uid="{00000000-0005-0000-0000-00006D3E0000}"/>
    <cellStyle name="Normal 2 2 2 2 5 10 4 10" xfId="15982" xr:uid="{00000000-0005-0000-0000-00006E3E0000}"/>
    <cellStyle name="Normal 2 2 2 2 5 10 4 2" xfId="15983" xr:uid="{00000000-0005-0000-0000-00006F3E0000}"/>
    <cellStyle name="Normal 2 2 2 2 5 10 4 3" xfId="15984" xr:uid="{00000000-0005-0000-0000-0000703E0000}"/>
    <cellStyle name="Normal 2 2 2 2 5 10 4 4" xfId="15985" xr:uid="{00000000-0005-0000-0000-0000713E0000}"/>
    <cellStyle name="Normal 2 2 2 2 5 10 4 5" xfId="15986" xr:uid="{00000000-0005-0000-0000-0000723E0000}"/>
    <cellStyle name="Normal 2 2 2 2 5 10 4 6" xfId="15987" xr:uid="{00000000-0005-0000-0000-0000733E0000}"/>
    <cellStyle name="Normal 2 2 2 2 5 10 4 7" xfId="15988" xr:uid="{00000000-0005-0000-0000-0000743E0000}"/>
    <cellStyle name="Normal 2 2 2 2 5 10 4 8" xfId="15989" xr:uid="{00000000-0005-0000-0000-0000753E0000}"/>
    <cellStyle name="Normal 2 2 2 2 5 10 4 9" xfId="15990" xr:uid="{00000000-0005-0000-0000-0000763E0000}"/>
    <cellStyle name="Normal 2 2 2 2 5 10 5" xfId="15991" xr:uid="{00000000-0005-0000-0000-0000773E0000}"/>
    <cellStyle name="Normal 2 2 2 2 5 10 5 10" xfId="15992" xr:uid="{00000000-0005-0000-0000-0000783E0000}"/>
    <cellStyle name="Normal 2 2 2 2 5 10 5 2" xfId="15993" xr:uid="{00000000-0005-0000-0000-0000793E0000}"/>
    <cellStyle name="Normal 2 2 2 2 5 10 5 3" xfId="15994" xr:uid="{00000000-0005-0000-0000-00007A3E0000}"/>
    <cellStyle name="Normal 2 2 2 2 5 10 5 4" xfId="15995" xr:uid="{00000000-0005-0000-0000-00007B3E0000}"/>
    <cellStyle name="Normal 2 2 2 2 5 10 5 5" xfId="15996" xr:uid="{00000000-0005-0000-0000-00007C3E0000}"/>
    <cellStyle name="Normal 2 2 2 2 5 10 5 6" xfId="15997" xr:uid="{00000000-0005-0000-0000-00007D3E0000}"/>
    <cellStyle name="Normal 2 2 2 2 5 10 5 7" xfId="15998" xr:uid="{00000000-0005-0000-0000-00007E3E0000}"/>
    <cellStyle name="Normal 2 2 2 2 5 10 5 8" xfId="15999" xr:uid="{00000000-0005-0000-0000-00007F3E0000}"/>
    <cellStyle name="Normal 2 2 2 2 5 10 5 9" xfId="16000" xr:uid="{00000000-0005-0000-0000-0000803E0000}"/>
    <cellStyle name="Normal 2 2 2 2 5 10 6" xfId="16001" xr:uid="{00000000-0005-0000-0000-0000813E0000}"/>
    <cellStyle name="Normal 2 2 2 2 5 10 7" xfId="16002" xr:uid="{00000000-0005-0000-0000-0000823E0000}"/>
    <cellStyle name="Normal 2 2 2 2 5 10 8" xfId="16003" xr:uid="{00000000-0005-0000-0000-0000833E0000}"/>
    <cellStyle name="Normal 2 2 2 2 5 10 9" xfId="16004" xr:uid="{00000000-0005-0000-0000-0000843E0000}"/>
    <cellStyle name="Normal 2 2 2 2 5 11" xfId="16005" xr:uid="{00000000-0005-0000-0000-0000853E0000}"/>
    <cellStyle name="Normal 2 2 2 2 5 11 10" xfId="16006" xr:uid="{00000000-0005-0000-0000-0000863E0000}"/>
    <cellStyle name="Normal 2 2 2 2 5 11 11" xfId="16007" xr:uid="{00000000-0005-0000-0000-0000873E0000}"/>
    <cellStyle name="Normal 2 2 2 2 5 11 12" xfId="16008" xr:uid="{00000000-0005-0000-0000-0000883E0000}"/>
    <cellStyle name="Normal 2 2 2 2 5 11 13" xfId="16009" xr:uid="{00000000-0005-0000-0000-0000893E0000}"/>
    <cellStyle name="Normal 2 2 2 2 5 11 14" xfId="16010" xr:uid="{00000000-0005-0000-0000-00008A3E0000}"/>
    <cellStyle name="Normal 2 2 2 2 5 11 2" xfId="16011" xr:uid="{00000000-0005-0000-0000-00008B3E0000}"/>
    <cellStyle name="Normal 2 2 2 2 5 11 2 10" xfId="16012" xr:uid="{00000000-0005-0000-0000-00008C3E0000}"/>
    <cellStyle name="Normal 2 2 2 2 5 11 2 2" xfId="16013" xr:uid="{00000000-0005-0000-0000-00008D3E0000}"/>
    <cellStyle name="Normal 2 2 2 2 5 11 2 3" xfId="16014" xr:uid="{00000000-0005-0000-0000-00008E3E0000}"/>
    <cellStyle name="Normal 2 2 2 2 5 11 2 4" xfId="16015" xr:uid="{00000000-0005-0000-0000-00008F3E0000}"/>
    <cellStyle name="Normal 2 2 2 2 5 11 2 5" xfId="16016" xr:uid="{00000000-0005-0000-0000-0000903E0000}"/>
    <cellStyle name="Normal 2 2 2 2 5 11 2 6" xfId="16017" xr:uid="{00000000-0005-0000-0000-0000913E0000}"/>
    <cellStyle name="Normal 2 2 2 2 5 11 2 7" xfId="16018" xr:uid="{00000000-0005-0000-0000-0000923E0000}"/>
    <cellStyle name="Normal 2 2 2 2 5 11 2 8" xfId="16019" xr:uid="{00000000-0005-0000-0000-0000933E0000}"/>
    <cellStyle name="Normal 2 2 2 2 5 11 2 9" xfId="16020" xr:uid="{00000000-0005-0000-0000-0000943E0000}"/>
    <cellStyle name="Normal 2 2 2 2 5 11 3" xfId="16021" xr:uid="{00000000-0005-0000-0000-0000953E0000}"/>
    <cellStyle name="Normal 2 2 2 2 5 11 3 10" xfId="16022" xr:uid="{00000000-0005-0000-0000-0000963E0000}"/>
    <cellStyle name="Normal 2 2 2 2 5 11 3 2" xfId="16023" xr:uid="{00000000-0005-0000-0000-0000973E0000}"/>
    <cellStyle name="Normal 2 2 2 2 5 11 3 3" xfId="16024" xr:uid="{00000000-0005-0000-0000-0000983E0000}"/>
    <cellStyle name="Normal 2 2 2 2 5 11 3 4" xfId="16025" xr:uid="{00000000-0005-0000-0000-0000993E0000}"/>
    <cellStyle name="Normal 2 2 2 2 5 11 3 5" xfId="16026" xr:uid="{00000000-0005-0000-0000-00009A3E0000}"/>
    <cellStyle name="Normal 2 2 2 2 5 11 3 6" xfId="16027" xr:uid="{00000000-0005-0000-0000-00009B3E0000}"/>
    <cellStyle name="Normal 2 2 2 2 5 11 3 7" xfId="16028" xr:uid="{00000000-0005-0000-0000-00009C3E0000}"/>
    <cellStyle name="Normal 2 2 2 2 5 11 3 8" xfId="16029" xr:uid="{00000000-0005-0000-0000-00009D3E0000}"/>
    <cellStyle name="Normal 2 2 2 2 5 11 3 9" xfId="16030" xr:uid="{00000000-0005-0000-0000-00009E3E0000}"/>
    <cellStyle name="Normal 2 2 2 2 5 11 4" xfId="16031" xr:uid="{00000000-0005-0000-0000-00009F3E0000}"/>
    <cellStyle name="Normal 2 2 2 2 5 11 4 10" xfId="16032" xr:uid="{00000000-0005-0000-0000-0000A03E0000}"/>
    <cellStyle name="Normal 2 2 2 2 5 11 4 2" xfId="16033" xr:uid="{00000000-0005-0000-0000-0000A13E0000}"/>
    <cellStyle name="Normal 2 2 2 2 5 11 4 3" xfId="16034" xr:uid="{00000000-0005-0000-0000-0000A23E0000}"/>
    <cellStyle name="Normal 2 2 2 2 5 11 4 4" xfId="16035" xr:uid="{00000000-0005-0000-0000-0000A33E0000}"/>
    <cellStyle name="Normal 2 2 2 2 5 11 4 5" xfId="16036" xr:uid="{00000000-0005-0000-0000-0000A43E0000}"/>
    <cellStyle name="Normal 2 2 2 2 5 11 4 6" xfId="16037" xr:uid="{00000000-0005-0000-0000-0000A53E0000}"/>
    <cellStyle name="Normal 2 2 2 2 5 11 4 7" xfId="16038" xr:uid="{00000000-0005-0000-0000-0000A63E0000}"/>
    <cellStyle name="Normal 2 2 2 2 5 11 4 8" xfId="16039" xr:uid="{00000000-0005-0000-0000-0000A73E0000}"/>
    <cellStyle name="Normal 2 2 2 2 5 11 4 9" xfId="16040" xr:uid="{00000000-0005-0000-0000-0000A83E0000}"/>
    <cellStyle name="Normal 2 2 2 2 5 11 5" xfId="16041" xr:uid="{00000000-0005-0000-0000-0000A93E0000}"/>
    <cellStyle name="Normal 2 2 2 2 5 11 5 10" xfId="16042" xr:uid="{00000000-0005-0000-0000-0000AA3E0000}"/>
    <cellStyle name="Normal 2 2 2 2 5 11 5 2" xfId="16043" xr:uid="{00000000-0005-0000-0000-0000AB3E0000}"/>
    <cellStyle name="Normal 2 2 2 2 5 11 5 3" xfId="16044" xr:uid="{00000000-0005-0000-0000-0000AC3E0000}"/>
    <cellStyle name="Normal 2 2 2 2 5 11 5 4" xfId="16045" xr:uid="{00000000-0005-0000-0000-0000AD3E0000}"/>
    <cellStyle name="Normal 2 2 2 2 5 11 5 5" xfId="16046" xr:uid="{00000000-0005-0000-0000-0000AE3E0000}"/>
    <cellStyle name="Normal 2 2 2 2 5 11 5 6" xfId="16047" xr:uid="{00000000-0005-0000-0000-0000AF3E0000}"/>
    <cellStyle name="Normal 2 2 2 2 5 11 5 7" xfId="16048" xr:uid="{00000000-0005-0000-0000-0000B03E0000}"/>
    <cellStyle name="Normal 2 2 2 2 5 11 5 8" xfId="16049" xr:uid="{00000000-0005-0000-0000-0000B13E0000}"/>
    <cellStyle name="Normal 2 2 2 2 5 11 5 9" xfId="16050" xr:uid="{00000000-0005-0000-0000-0000B23E0000}"/>
    <cellStyle name="Normal 2 2 2 2 5 11 6" xfId="16051" xr:uid="{00000000-0005-0000-0000-0000B33E0000}"/>
    <cellStyle name="Normal 2 2 2 2 5 11 7" xfId="16052" xr:uid="{00000000-0005-0000-0000-0000B43E0000}"/>
    <cellStyle name="Normal 2 2 2 2 5 11 8" xfId="16053" xr:uid="{00000000-0005-0000-0000-0000B53E0000}"/>
    <cellStyle name="Normal 2 2 2 2 5 11 9" xfId="16054" xr:uid="{00000000-0005-0000-0000-0000B63E0000}"/>
    <cellStyle name="Normal 2 2 2 2 5 12" xfId="16055" xr:uid="{00000000-0005-0000-0000-0000B73E0000}"/>
    <cellStyle name="Normal 2 2 2 2 5 12 10" xfId="16056" xr:uid="{00000000-0005-0000-0000-0000B83E0000}"/>
    <cellStyle name="Normal 2 2 2 2 5 12 11" xfId="16057" xr:uid="{00000000-0005-0000-0000-0000B93E0000}"/>
    <cellStyle name="Normal 2 2 2 2 5 12 12" xfId="16058" xr:uid="{00000000-0005-0000-0000-0000BA3E0000}"/>
    <cellStyle name="Normal 2 2 2 2 5 12 13" xfId="16059" xr:uid="{00000000-0005-0000-0000-0000BB3E0000}"/>
    <cellStyle name="Normal 2 2 2 2 5 12 14" xfId="16060" xr:uid="{00000000-0005-0000-0000-0000BC3E0000}"/>
    <cellStyle name="Normal 2 2 2 2 5 12 2" xfId="16061" xr:uid="{00000000-0005-0000-0000-0000BD3E0000}"/>
    <cellStyle name="Normal 2 2 2 2 5 12 2 10" xfId="16062" xr:uid="{00000000-0005-0000-0000-0000BE3E0000}"/>
    <cellStyle name="Normal 2 2 2 2 5 12 2 2" xfId="16063" xr:uid="{00000000-0005-0000-0000-0000BF3E0000}"/>
    <cellStyle name="Normal 2 2 2 2 5 12 2 3" xfId="16064" xr:uid="{00000000-0005-0000-0000-0000C03E0000}"/>
    <cellStyle name="Normal 2 2 2 2 5 12 2 4" xfId="16065" xr:uid="{00000000-0005-0000-0000-0000C13E0000}"/>
    <cellStyle name="Normal 2 2 2 2 5 12 2 5" xfId="16066" xr:uid="{00000000-0005-0000-0000-0000C23E0000}"/>
    <cellStyle name="Normal 2 2 2 2 5 12 2 6" xfId="16067" xr:uid="{00000000-0005-0000-0000-0000C33E0000}"/>
    <cellStyle name="Normal 2 2 2 2 5 12 2 7" xfId="16068" xr:uid="{00000000-0005-0000-0000-0000C43E0000}"/>
    <cellStyle name="Normal 2 2 2 2 5 12 2 8" xfId="16069" xr:uid="{00000000-0005-0000-0000-0000C53E0000}"/>
    <cellStyle name="Normal 2 2 2 2 5 12 2 9" xfId="16070" xr:uid="{00000000-0005-0000-0000-0000C63E0000}"/>
    <cellStyle name="Normal 2 2 2 2 5 12 3" xfId="16071" xr:uid="{00000000-0005-0000-0000-0000C73E0000}"/>
    <cellStyle name="Normal 2 2 2 2 5 12 3 10" xfId="16072" xr:uid="{00000000-0005-0000-0000-0000C83E0000}"/>
    <cellStyle name="Normal 2 2 2 2 5 12 3 2" xfId="16073" xr:uid="{00000000-0005-0000-0000-0000C93E0000}"/>
    <cellStyle name="Normal 2 2 2 2 5 12 3 3" xfId="16074" xr:uid="{00000000-0005-0000-0000-0000CA3E0000}"/>
    <cellStyle name="Normal 2 2 2 2 5 12 3 4" xfId="16075" xr:uid="{00000000-0005-0000-0000-0000CB3E0000}"/>
    <cellStyle name="Normal 2 2 2 2 5 12 3 5" xfId="16076" xr:uid="{00000000-0005-0000-0000-0000CC3E0000}"/>
    <cellStyle name="Normal 2 2 2 2 5 12 3 6" xfId="16077" xr:uid="{00000000-0005-0000-0000-0000CD3E0000}"/>
    <cellStyle name="Normal 2 2 2 2 5 12 3 7" xfId="16078" xr:uid="{00000000-0005-0000-0000-0000CE3E0000}"/>
    <cellStyle name="Normal 2 2 2 2 5 12 3 8" xfId="16079" xr:uid="{00000000-0005-0000-0000-0000CF3E0000}"/>
    <cellStyle name="Normal 2 2 2 2 5 12 3 9" xfId="16080" xr:uid="{00000000-0005-0000-0000-0000D03E0000}"/>
    <cellStyle name="Normal 2 2 2 2 5 12 4" xfId="16081" xr:uid="{00000000-0005-0000-0000-0000D13E0000}"/>
    <cellStyle name="Normal 2 2 2 2 5 12 4 10" xfId="16082" xr:uid="{00000000-0005-0000-0000-0000D23E0000}"/>
    <cellStyle name="Normal 2 2 2 2 5 12 4 2" xfId="16083" xr:uid="{00000000-0005-0000-0000-0000D33E0000}"/>
    <cellStyle name="Normal 2 2 2 2 5 12 4 3" xfId="16084" xr:uid="{00000000-0005-0000-0000-0000D43E0000}"/>
    <cellStyle name="Normal 2 2 2 2 5 12 4 4" xfId="16085" xr:uid="{00000000-0005-0000-0000-0000D53E0000}"/>
    <cellStyle name="Normal 2 2 2 2 5 12 4 5" xfId="16086" xr:uid="{00000000-0005-0000-0000-0000D63E0000}"/>
    <cellStyle name="Normal 2 2 2 2 5 12 4 6" xfId="16087" xr:uid="{00000000-0005-0000-0000-0000D73E0000}"/>
    <cellStyle name="Normal 2 2 2 2 5 12 4 7" xfId="16088" xr:uid="{00000000-0005-0000-0000-0000D83E0000}"/>
    <cellStyle name="Normal 2 2 2 2 5 12 4 8" xfId="16089" xr:uid="{00000000-0005-0000-0000-0000D93E0000}"/>
    <cellStyle name="Normal 2 2 2 2 5 12 4 9" xfId="16090" xr:uid="{00000000-0005-0000-0000-0000DA3E0000}"/>
    <cellStyle name="Normal 2 2 2 2 5 12 5" xfId="16091" xr:uid="{00000000-0005-0000-0000-0000DB3E0000}"/>
    <cellStyle name="Normal 2 2 2 2 5 12 5 10" xfId="16092" xr:uid="{00000000-0005-0000-0000-0000DC3E0000}"/>
    <cellStyle name="Normal 2 2 2 2 5 12 5 2" xfId="16093" xr:uid="{00000000-0005-0000-0000-0000DD3E0000}"/>
    <cellStyle name="Normal 2 2 2 2 5 12 5 3" xfId="16094" xr:uid="{00000000-0005-0000-0000-0000DE3E0000}"/>
    <cellStyle name="Normal 2 2 2 2 5 12 5 4" xfId="16095" xr:uid="{00000000-0005-0000-0000-0000DF3E0000}"/>
    <cellStyle name="Normal 2 2 2 2 5 12 5 5" xfId="16096" xr:uid="{00000000-0005-0000-0000-0000E03E0000}"/>
    <cellStyle name="Normal 2 2 2 2 5 12 5 6" xfId="16097" xr:uid="{00000000-0005-0000-0000-0000E13E0000}"/>
    <cellStyle name="Normal 2 2 2 2 5 12 5 7" xfId="16098" xr:uid="{00000000-0005-0000-0000-0000E23E0000}"/>
    <cellStyle name="Normal 2 2 2 2 5 12 5 8" xfId="16099" xr:uid="{00000000-0005-0000-0000-0000E33E0000}"/>
    <cellStyle name="Normal 2 2 2 2 5 12 5 9" xfId="16100" xr:uid="{00000000-0005-0000-0000-0000E43E0000}"/>
    <cellStyle name="Normal 2 2 2 2 5 12 6" xfId="16101" xr:uid="{00000000-0005-0000-0000-0000E53E0000}"/>
    <cellStyle name="Normal 2 2 2 2 5 12 7" xfId="16102" xr:uid="{00000000-0005-0000-0000-0000E63E0000}"/>
    <cellStyle name="Normal 2 2 2 2 5 12 8" xfId="16103" xr:uid="{00000000-0005-0000-0000-0000E73E0000}"/>
    <cellStyle name="Normal 2 2 2 2 5 12 9" xfId="16104" xr:uid="{00000000-0005-0000-0000-0000E83E0000}"/>
    <cellStyle name="Normal 2 2 2 2 5 13" xfId="16105" xr:uid="{00000000-0005-0000-0000-0000E93E0000}"/>
    <cellStyle name="Normal 2 2 2 2 5 13 10" xfId="16106" xr:uid="{00000000-0005-0000-0000-0000EA3E0000}"/>
    <cellStyle name="Normal 2 2 2 2 5 13 11" xfId="16107" xr:uid="{00000000-0005-0000-0000-0000EB3E0000}"/>
    <cellStyle name="Normal 2 2 2 2 5 13 12" xfId="16108" xr:uid="{00000000-0005-0000-0000-0000EC3E0000}"/>
    <cellStyle name="Normal 2 2 2 2 5 13 13" xfId="16109" xr:uid="{00000000-0005-0000-0000-0000ED3E0000}"/>
    <cellStyle name="Normal 2 2 2 2 5 13 14" xfId="16110" xr:uid="{00000000-0005-0000-0000-0000EE3E0000}"/>
    <cellStyle name="Normal 2 2 2 2 5 13 2" xfId="16111" xr:uid="{00000000-0005-0000-0000-0000EF3E0000}"/>
    <cellStyle name="Normal 2 2 2 2 5 13 2 10" xfId="16112" xr:uid="{00000000-0005-0000-0000-0000F03E0000}"/>
    <cellStyle name="Normal 2 2 2 2 5 13 2 2" xfId="16113" xr:uid="{00000000-0005-0000-0000-0000F13E0000}"/>
    <cellStyle name="Normal 2 2 2 2 5 13 2 3" xfId="16114" xr:uid="{00000000-0005-0000-0000-0000F23E0000}"/>
    <cellStyle name="Normal 2 2 2 2 5 13 2 4" xfId="16115" xr:uid="{00000000-0005-0000-0000-0000F33E0000}"/>
    <cellStyle name="Normal 2 2 2 2 5 13 2 5" xfId="16116" xr:uid="{00000000-0005-0000-0000-0000F43E0000}"/>
    <cellStyle name="Normal 2 2 2 2 5 13 2 6" xfId="16117" xr:uid="{00000000-0005-0000-0000-0000F53E0000}"/>
    <cellStyle name="Normal 2 2 2 2 5 13 2 7" xfId="16118" xr:uid="{00000000-0005-0000-0000-0000F63E0000}"/>
    <cellStyle name="Normal 2 2 2 2 5 13 2 8" xfId="16119" xr:uid="{00000000-0005-0000-0000-0000F73E0000}"/>
    <cellStyle name="Normal 2 2 2 2 5 13 2 9" xfId="16120" xr:uid="{00000000-0005-0000-0000-0000F83E0000}"/>
    <cellStyle name="Normal 2 2 2 2 5 13 3" xfId="16121" xr:uid="{00000000-0005-0000-0000-0000F93E0000}"/>
    <cellStyle name="Normal 2 2 2 2 5 13 3 10" xfId="16122" xr:uid="{00000000-0005-0000-0000-0000FA3E0000}"/>
    <cellStyle name="Normal 2 2 2 2 5 13 3 2" xfId="16123" xr:uid="{00000000-0005-0000-0000-0000FB3E0000}"/>
    <cellStyle name="Normal 2 2 2 2 5 13 3 3" xfId="16124" xr:uid="{00000000-0005-0000-0000-0000FC3E0000}"/>
    <cellStyle name="Normal 2 2 2 2 5 13 3 4" xfId="16125" xr:uid="{00000000-0005-0000-0000-0000FD3E0000}"/>
    <cellStyle name="Normal 2 2 2 2 5 13 3 5" xfId="16126" xr:uid="{00000000-0005-0000-0000-0000FE3E0000}"/>
    <cellStyle name="Normal 2 2 2 2 5 13 3 6" xfId="16127" xr:uid="{00000000-0005-0000-0000-0000FF3E0000}"/>
    <cellStyle name="Normal 2 2 2 2 5 13 3 7" xfId="16128" xr:uid="{00000000-0005-0000-0000-0000003F0000}"/>
    <cellStyle name="Normal 2 2 2 2 5 13 3 8" xfId="16129" xr:uid="{00000000-0005-0000-0000-0000013F0000}"/>
    <cellStyle name="Normal 2 2 2 2 5 13 3 9" xfId="16130" xr:uid="{00000000-0005-0000-0000-0000023F0000}"/>
    <cellStyle name="Normal 2 2 2 2 5 13 4" xfId="16131" xr:uid="{00000000-0005-0000-0000-0000033F0000}"/>
    <cellStyle name="Normal 2 2 2 2 5 13 4 10" xfId="16132" xr:uid="{00000000-0005-0000-0000-0000043F0000}"/>
    <cellStyle name="Normal 2 2 2 2 5 13 4 2" xfId="16133" xr:uid="{00000000-0005-0000-0000-0000053F0000}"/>
    <cellStyle name="Normal 2 2 2 2 5 13 4 3" xfId="16134" xr:uid="{00000000-0005-0000-0000-0000063F0000}"/>
    <cellStyle name="Normal 2 2 2 2 5 13 4 4" xfId="16135" xr:uid="{00000000-0005-0000-0000-0000073F0000}"/>
    <cellStyle name="Normal 2 2 2 2 5 13 4 5" xfId="16136" xr:uid="{00000000-0005-0000-0000-0000083F0000}"/>
    <cellStyle name="Normal 2 2 2 2 5 13 4 6" xfId="16137" xr:uid="{00000000-0005-0000-0000-0000093F0000}"/>
    <cellStyle name="Normal 2 2 2 2 5 13 4 7" xfId="16138" xr:uid="{00000000-0005-0000-0000-00000A3F0000}"/>
    <cellStyle name="Normal 2 2 2 2 5 13 4 8" xfId="16139" xr:uid="{00000000-0005-0000-0000-00000B3F0000}"/>
    <cellStyle name="Normal 2 2 2 2 5 13 4 9" xfId="16140" xr:uid="{00000000-0005-0000-0000-00000C3F0000}"/>
    <cellStyle name="Normal 2 2 2 2 5 13 5" xfId="16141" xr:uid="{00000000-0005-0000-0000-00000D3F0000}"/>
    <cellStyle name="Normal 2 2 2 2 5 13 5 10" xfId="16142" xr:uid="{00000000-0005-0000-0000-00000E3F0000}"/>
    <cellStyle name="Normal 2 2 2 2 5 13 5 2" xfId="16143" xr:uid="{00000000-0005-0000-0000-00000F3F0000}"/>
    <cellStyle name="Normal 2 2 2 2 5 13 5 3" xfId="16144" xr:uid="{00000000-0005-0000-0000-0000103F0000}"/>
    <cellStyle name="Normal 2 2 2 2 5 13 5 4" xfId="16145" xr:uid="{00000000-0005-0000-0000-0000113F0000}"/>
    <cellStyle name="Normal 2 2 2 2 5 13 5 5" xfId="16146" xr:uid="{00000000-0005-0000-0000-0000123F0000}"/>
    <cellStyle name="Normal 2 2 2 2 5 13 5 6" xfId="16147" xr:uid="{00000000-0005-0000-0000-0000133F0000}"/>
    <cellStyle name="Normal 2 2 2 2 5 13 5 7" xfId="16148" xr:uid="{00000000-0005-0000-0000-0000143F0000}"/>
    <cellStyle name="Normal 2 2 2 2 5 13 5 8" xfId="16149" xr:uid="{00000000-0005-0000-0000-0000153F0000}"/>
    <cellStyle name="Normal 2 2 2 2 5 13 5 9" xfId="16150" xr:uid="{00000000-0005-0000-0000-0000163F0000}"/>
    <cellStyle name="Normal 2 2 2 2 5 13 6" xfId="16151" xr:uid="{00000000-0005-0000-0000-0000173F0000}"/>
    <cellStyle name="Normal 2 2 2 2 5 13 7" xfId="16152" xr:uid="{00000000-0005-0000-0000-0000183F0000}"/>
    <cellStyle name="Normal 2 2 2 2 5 13 8" xfId="16153" xr:uid="{00000000-0005-0000-0000-0000193F0000}"/>
    <cellStyle name="Normal 2 2 2 2 5 13 9" xfId="16154" xr:uid="{00000000-0005-0000-0000-00001A3F0000}"/>
    <cellStyle name="Normal 2 2 2 2 5 14" xfId="16155" xr:uid="{00000000-0005-0000-0000-00001B3F0000}"/>
    <cellStyle name="Normal 2 2 2 2 5 14 10" xfId="16156" xr:uid="{00000000-0005-0000-0000-00001C3F0000}"/>
    <cellStyle name="Normal 2 2 2 2 5 14 11" xfId="16157" xr:uid="{00000000-0005-0000-0000-00001D3F0000}"/>
    <cellStyle name="Normal 2 2 2 2 5 14 12" xfId="16158" xr:uid="{00000000-0005-0000-0000-00001E3F0000}"/>
    <cellStyle name="Normal 2 2 2 2 5 14 13" xfId="16159" xr:uid="{00000000-0005-0000-0000-00001F3F0000}"/>
    <cellStyle name="Normal 2 2 2 2 5 14 14" xfId="16160" xr:uid="{00000000-0005-0000-0000-0000203F0000}"/>
    <cellStyle name="Normal 2 2 2 2 5 14 2" xfId="16161" xr:uid="{00000000-0005-0000-0000-0000213F0000}"/>
    <cellStyle name="Normal 2 2 2 2 5 14 2 10" xfId="16162" xr:uid="{00000000-0005-0000-0000-0000223F0000}"/>
    <cellStyle name="Normal 2 2 2 2 5 14 2 2" xfId="16163" xr:uid="{00000000-0005-0000-0000-0000233F0000}"/>
    <cellStyle name="Normal 2 2 2 2 5 14 2 3" xfId="16164" xr:uid="{00000000-0005-0000-0000-0000243F0000}"/>
    <cellStyle name="Normal 2 2 2 2 5 14 2 4" xfId="16165" xr:uid="{00000000-0005-0000-0000-0000253F0000}"/>
    <cellStyle name="Normal 2 2 2 2 5 14 2 5" xfId="16166" xr:uid="{00000000-0005-0000-0000-0000263F0000}"/>
    <cellStyle name="Normal 2 2 2 2 5 14 2 6" xfId="16167" xr:uid="{00000000-0005-0000-0000-0000273F0000}"/>
    <cellStyle name="Normal 2 2 2 2 5 14 2 7" xfId="16168" xr:uid="{00000000-0005-0000-0000-0000283F0000}"/>
    <cellStyle name="Normal 2 2 2 2 5 14 2 8" xfId="16169" xr:uid="{00000000-0005-0000-0000-0000293F0000}"/>
    <cellStyle name="Normal 2 2 2 2 5 14 2 9" xfId="16170" xr:uid="{00000000-0005-0000-0000-00002A3F0000}"/>
    <cellStyle name="Normal 2 2 2 2 5 14 3" xfId="16171" xr:uid="{00000000-0005-0000-0000-00002B3F0000}"/>
    <cellStyle name="Normal 2 2 2 2 5 14 3 10" xfId="16172" xr:uid="{00000000-0005-0000-0000-00002C3F0000}"/>
    <cellStyle name="Normal 2 2 2 2 5 14 3 2" xfId="16173" xr:uid="{00000000-0005-0000-0000-00002D3F0000}"/>
    <cellStyle name="Normal 2 2 2 2 5 14 3 3" xfId="16174" xr:uid="{00000000-0005-0000-0000-00002E3F0000}"/>
    <cellStyle name="Normal 2 2 2 2 5 14 3 4" xfId="16175" xr:uid="{00000000-0005-0000-0000-00002F3F0000}"/>
    <cellStyle name="Normal 2 2 2 2 5 14 3 5" xfId="16176" xr:uid="{00000000-0005-0000-0000-0000303F0000}"/>
    <cellStyle name="Normal 2 2 2 2 5 14 3 6" xfId="16177" xr:uid="{00000000-0005-0000-0000-0000313F0000}"/>
    <cellStyle name="Normal 2 2 2 2 5 14 3 7" xfId="16178" xr:uid="{00000000-0005-0000-0000-0000323F0000}"/>
    <cellStyle name="Normal 2 2 2 2 5 14 3 8" xfId="16179" xr:uid="{00000000-0005-0000-0000-0000333F0000}"/>
    <cellStyle name="Normal 2 2 2 2 5 14 3 9" xfId="16180" xr:uid="{00000000-0005-0000-0000-0000343F0000}"/>
    <cellStyle name="Normal 2 2 2 2 5 14 4" xfId="16181" xr:uid="{00000000-0005-0000-0000-0000353F0000}"/>
    <cellStyle name="Normal 2 2 2 2 5 14 4 10" xfId="16182" xr:uid="{00000000-0005-0000-0000-0000363F0000}"/>
    <cellStyle name="Normal 2 2 2 2 5 14 4 2" xfId="16183" xr:uid="{00000000-0005-0000-0000-0000373F0000}"/>
    <cellStyle name="Normal 2 2 2 2 5 14 4 3" xfId="16184" xr:uid="{00000000-0005-0000-0000-0000383F0000}"/>
    <cellStyle name="Normal 2 2 2 2 5 14 4 4" xfId="16185" xr:uid="{00000000-0005-0000-0000-0000393F0000}"/>
    <cellStyle name="Normal 2 2 2 2 5 14 4 5" xfId="16186" xr:uid="{00000000-0005-0000-0000-00003A3F0000}"/>
    <cellStyle name="Normal 2 2 2 2 5 14 4 6" xfId="16187" xr:uid="{00000000-0005-0000-0000-00003B3F0000}"/>
    <cellStyle name="Normal 2 2 2 2 5 14 4 7" xfId="16188" xr:uid="{00000000-0005-0000-0000-00003C3F0000}"/>
    <cellStyle name="Normal 2 2 2 2 5 14 4 8" xfId="16189" xr:uid="{00000000-0005-0000-0000-00003D3F0000}"/>
    <cellStyle name="Normal 2 2 2 2 5 14 4 9" xfId="16190" xr:uid="{00000000-0005-0000-0000-00003E3F0000}"/>
    <cellStyle name="Normal 2 2 2 2 5 14 5" xfId="16191" xr:uid="{00000000-0005-0000-0000-00003F3F0000}"/>
    <cellStyle name="Normal 2 2 2 2 5 14 5 10" xfId="16192" xr:uid="{00000000-0005-0000-0000-0000403F0000}"/>
    <cellStyle name="Normal 2 2 2 2 5 14 5 2" xfId="16193" xr:uid="{00000000-0005-0000-0000-0000413F0000}"/>
    <cellStyle name="Normal 2 2 2 2 5 14 5 3" xfId="16194" xr:uid="{00000000-0005-0000-0000-0000423F0000}"/>
    <cellStyle name="Normal 2 2 2 2 5 14 5 4" xfId="16195" xr:uid="{00000000-0005-0000-0000-0000433F0000}"/>
    <cellStyle name="Normal 2 2 2 2 5 14 5 5" xfId="16196" xr:uid="{00000000-0005-0000-0000-0000443F0000}"/>
    <cellStyle name="Normal 2 2 2 2 5 14 5 6" xfId="16197" xr:uid="{00000000-0005-0000-0000-0000453F0000}"/>
    <cellStyle name="Normal 2 2 2 2 5 14 5 7" xfId="16198" xr:uid="{00000000-0005-0000-0000-0000463F0000}"/>
    <cellStyle name="Normal 2 2 2 2 5 14 5 8" xfId="16199" xr:uid="{00000000-0005-0000-0000-0000473F0000}"/>
    <cellStyle name="Normal 2 2 2 2 5 14 5 9" xfId="16200" xr:uid="{00000000-0005-0000-0000-0000483F0000}"/>
    <cellStyle name="Normal 2 2 2 2 5 14 6" xfId="16201" xr:uid="{00000000-0005-0000-0000-0000493F0000}"/>
    <cellStyle name="Normal 2 2 2 2 5 14 7" xfId="16202" xr:uid="{00000000-0005-0000-0000-00004A3F0000}"/>
    <cellStyle name="Normal 2 2 2 2 5 14 8" xfId="16203" xr:uid="{00000000-0005-0000-0000-00004B3F0000}"/>
    <cellStyle name="Normal 2 2 2 2 5 14 9" xfId="16204" xr:uid="{00000000-0005-0000-0000-00004C3F0000}"/>
    <cellStyle name="Normal 2 2 2 2 5 15" xfId="16205" xr:uid="{00000000-0005-0000-0000-00004D3F0000}"/>
    <cellStyle name="Normal 2 2 2 2 5 15 10" xfId="16206" xr:uid="{00000000-0005-0000-0000-00004E3F0000}"/>
    <cellStyle name="Normal 2 2 2 2 5 15 11" xfId="16207" xr:uid="{00000000-0005-0000-0000-00004F3F0000}"/>
    <cellStyle name="Normal 2 2 2 2 5 15 12" xfId="16208" xr:uid="{00000000-0005-0000-0000-0000503F0000}"/>
    <cellStyle name="Normal 2 2 2 2 5 15 13" xfId="16209" xr:uid="{00000000-0005-0000-0000-0000513F0000}"/>
    <cellStyle name="Normal 2 2 2 2 5 15 14" xfId="16210" xr:uid="{00000000-0005-0000-0000-0000523F0000}"/>
    <cellStyle name="Normal 2 2 2 2 5 15 2" xfId="16211" xr:uid="{00000000-0005-0000-0000-0000533F0000}"/>
    <cellStyle name="Normal 2 2 2 2 5 15 2 10" xfId="16212" xr:uid="{00000000-0005-0000-0000-0000543F0000}"/>
    <cellStyle name="Normal 2 2 2 2 5 15 2 2" xfId="16213" xr:uid="{00000000-0005-0000-0000-0000553F0000}"/>
    <cellStyle name="Normal 2 2 2 2 5 15 2 3" xfId="16214" xr:uid="{00000000-0005-0000-0000-0000563F0000}"/>
    <cellStyle name="Normal 2 2 2 2 5 15 2 4" xfId="16215" xr:uid="{00000000-0005-0000-0000-0000573F0000}"/>
    <cellStyle name="Normal 2 2 2 2 5 15 2 5" xfId="16216" xr:uid="{00000000-0005-0000-0000-0000583F0000}"/>
    <cellStyle name="Normal 2 2 2 2 5 15 2 6" xfId="16217" xr:uid="{00000000-0005-0000-0000-0000593F0000}"/>
    <cellStyle name="Normal 2 2 2 2 5 15 2 7" xfId="16218" xr:uid="{00000000-0005-0000-0000-00005A3F0000}"/>
    <cellStyle name="Normal 2 2 2 2 5 15 2 8" xfId="16219" xr:uid="{00000000-0005-0000-0000-00005B3F0000}"/>
    <cellStyle name="Normal 2 2 2 2 5 15 2 9" xfId="16220" xr:uid="{00000000-0005-0000-0000-00005C3F0000}"/>
    <cellStyle name="Normal 2 2 2 2 5 15 3" xfId="16221" xr:uid="{00000000-0005-0000-0000-00005D3F0000}"/>
    <cellStyle name="Normal 2 2 2 2 5 15 3 10" xfId="16222" xr:uid="{00000000-0005-0000-0000-00005E3F0000}"/>
    <cellStyle name="Normal 2 2 2 2 5 15 3 2" xfId="16223" xr:uid="{00000000-0005-0000-0000-00005F3F0000}"/>
    <cellStyle name="Normal 2 2 2 2 5 15 3 3" xfId="16224" xr:uid="{00000000-0005-0000-0000-0000603F0000}"/>
    <cellStyle name="Normal 2 2 2 2 5 15 3 4" xfId="16225" xr:uid="{00000000-0005-0000-0000-0000613F0000}"/>
    <cellStyle name="Normal 2 2 2 2 5 15 3 5" xfId="16226" xr:uid="{00000000-0005-0000-0000-0000623F0000}"/>
    <cellStyle name="Normal 2 2 2 2 5 15 3 6" xfId="16227" xr:uid="{00000000-0005-0000-0000-0000633F0000}"/>
    <cellStyle name="Normal 2 2 2 2 5 15 3 7" xfId="16228" xr:uid="{00000000-0005-0000-0000-0000643F0000}"/>
    <cellStyle name="Normal 2 2 2 2 5 15 3 8" xfId="16229" xr:uid="{00000000-0005-0000-0000-0000653F0000}"/>
    <cellStyle name="Normal 2 2 2 2 5 15 3 9" xfId="16230" xr:uid="{00000000-0005-0000-0000-0000663F0000}"/>
    <cellStyle name="Normal 2 2 2 2 5 15 4" xfId="16231" xr:uid="{00000000-0005-0000-0000-0000673F0000}"/>
    <cellStyle name="Normal 2 2 2 2 5 15 4 10" xfId="16232" xr:uid="{00000000-0005-0000-0000-0000683F0000}"/>
    <cellStyle name="Normal 2 2 2 2 5 15 4 2" xfId="16233" xr:uid="{00000000-0005-0000-0000-0000693F0000}"/>
    <cellStyle name="Normal 2 2 2 2 5 15 4 3" xfId="16234" xr:uid="{00000000-0005-0000-0000-00006A3F0000}"/>
    <cellStyle name="Normal 2 2 2 2 5 15 4 4" xfId="16235" xr:uid="{00000000-0005-0000-0000-00006B3F0000}"/>
    <cellStyle name="Normal 2 2 2 2 5 15 4 5" xfId="16236" xr:uid="{00000000-0005-0000-0000-00006C3F0000}"/>
    <cellStyle name="Normal 2 2 2 2 5 15 4 6" xfId="16237" xr:uid="{00000000-0005-0000-0000-00006D3F0000}"/>
    <cellStyle name="Normal 2 2 2 2 5 15 4 7" xfId="16238" xr:uid="{00000000-0005-0000-0000-00006E3F0000}"/>
    <cellStyle name="Normal 2 2 2 2 5 15 4 8" xfId="16239" xr:uid="{00000000-0005-0000-0000-00006F3F0000}"/>
    <cellStyle name="Normal 2 2 2 2 5 15 4 9" xfId="16240" xr:uid="{00000000-0005-0000-0000-0000703F0000}"/>
    <cellStyle name="Normal 2 2 2 2 5 15 5" xfId="16241" xr:uid="{00000000-0005-0000-0000-0000713F0000}"/>
    <cellStyle name="Normal 2 2 2 2 5 15 5 10" xfId="16242" xr:uid="{00000000-0005-0000-0000-0000723F0000}"/>
    <cellStyle name="Normal 2 2 2 2 5 15 5 2" xfId="16243" xr:uid="{00000000-0005-0000-0000-0000733F0000}"/>
    <cellStyle name="Normal 2 2 2 2 5 15 5 3" xfId="16244" xr:uid="{00000000-0005-0000-0000-0000743F0000}"/>
    <cellStyle name="Normal 2 2 2 2 5 15 5 4" xfId="16245" xr:uid="{00000000-0005-0000-0000-0000753F0000}"/>
    <cellStyle name="Normal 2 2 2 2 5 15 5 5" xfId="16246" xr:uid="{00000000-0005-0000-0000-0000763F0000}"/>
    <cellStyle name="Normal 2 2 2 2 5 15 5 6" xfId="16247" xr:uid="{00000000-0005-0000-0000-0000773F0000}"/>
    <cellStyle name="Normal 2 2 2 2 5 15 5 7" xfId="16248" xr:uid="{00000000-0005-0000-0000-0000783F0000}"/>
    <cellStyle name="Normal 2 2 2 2 5 15 5 8" xfId="16249" xr:uid="{00000000-0005-0000-0000-0000793F0000}"/>
    <cellStyle name="Normal 2 2 2 2 5 15 5 9" xfId="16250" xr:uid="{00000000-0005-0000-0000-00007A3F0000}"/>
    <cellStyle name="Normal 2 2 2 2 5 15 6" xfId="16251" xr:uid="{00000000-0005-0000-0000-00007B3F0000}"/>
    <cellStyle name="Normal 2 2 2 2 5 15 7" xfId="16252" xr:uid="{00000000-0005-0000-0000-00007C3F0000}"/>
    <cellStyle name="Normal 2 2 2 2 5 15 8" xfId="16253" xr:uid="{00000000-0005-0000-0000-00007D3F0000}"/>
    <cellStyle name="Normal 2 2 2 2 5 15 9" xfId="16254" xr:uid="{00000000-0005-0000-0000-00007E3F0000}"/>
    <cellStyle name="Normal 2 2 2 2 5 16" xfId="16255" xr:uid="{00000000-0005-0000-0000-00007F3F0000}"/>
    <cellStyle name="Normal 2 2 2 2 5 16 10" xfId="16256" xr:uid="{00000000-0005-0000-0000-0000803F0000}"/>
    <cellStyle name="Normal 2 2 2 2 5 16 11" xfId="16257" xr:uid="{00000000-0005-0000-0000-0000813F0000}"/>
    <cellStyle name="Normal 2 2 2 2 5 16 12" xfId="16258" xr:uid="{00000000-0005-0000-0000-0000823F0000}"/>
    <cellStyle name="Normal 2 2 2 2 5 16 13" xfId="16259" xr:uid="{00000000-0005-0000-0000-0000833F0000}"/>
    <cellStyle name="Normal 2 2 2 2 5 16 14" xfId="16260" xr:uid="{00000000-0005-0000-0000-0000843F0000}"/>
    <cellStyle name="Normal 2 2 2 2 5 16 2" xfId="16261" xr:uid="{00000000-0005-0000-0000-0000853F0000}"/>
    <cellStyle name="Normal 2 2 2 2 5 16 2 10" xfId="16262" xr:uid="{00000000-0005-0000-0000-0000863F0000}"/>
    <cellStyle name="Normal 2 2 2 2 5 16 2 2" xfId="16263" xr:uid="{00000000-0005-0000-0000-0000873F0000}"/>
    <cellStyle name="Normal 2 2 2 2 5 16 2 3" xfId="16264" xr:uid="{00000000-0005-0000-0000-0000883F0000}"/>
    <cellStyle name="Normal 2 2 2 2 5 16 2 4" xfId="16265" xr:uid="{00000000-0005-0000-0000-0000893F0000}"/>
    <cellStyle name="Normal 2 2 2 2 5 16 2 5" xfId="16266" xr:uid="{00000000-0005-0000-0000-00008A3F0000}"/>
    <cellStyle name="Normal 2 2 2 2 5 16 2 6" xfId="16267" xr:uid="{00000000-0005-0000-0000-00008B3F0000}"/>
    <cellStyle name="Normal 2 2 2 2 5 16 2 7" xfId="16268" xr:uid="{00000000-0005-0000-0000-00008C3F0000}"/>
    <cellStyle name="Normal 2 2 2 2 5 16 2 8" xfId="16269" xr:uid="{00000000-0005-0000-0000-00008D3F0000}"/>
    <cellStyle name="Normal 2 2 2 2 5 16 2 9" xfId="16270" xr:uid="{00000000-0005-0000-0000-00008E3F0000}"/>
    <cellStyle name="Normal 2 2 2 2 5 16 3" xfId="16271" xr:uid="{00000000-0005-0000-0000-00008F3F0000}"/>
    <cellStyle name="Normal 2 2 2 2 5 16 3 10" xfId="16272" xr:uid="{00000000-0005-0000-0000-0000903F0000}"/>
    <cellStyle name="Normal 2 2 2 2 5 16 3 2" xfId="16273" xr:uid="{00000000-0005-0000-0000-0000913F0000}"/>
    <cellStyle name="Normal 2 2 2 2 5 16 3 3" xfId="16274" xr:uid="{00000000-0005-0000-0000-0000923F0000}"/>
    <cellStyle name="Normal 2 2 2 2 5 16 3 4" xfId="16275" xr:uid="{00000000-0005-0000-0000-0000933F0000}"/>
    <cellStyle name="Normal 2 2 2 2 5 16 3 5" xfId="16276" xr:uid="{00000000-0005-0000-0000-0000943F0000}"/>
    <cellStyle name="Normal 2 2 2 2 5 16 3 6" xfId="16277" xr:uid="{00000000-0005-0000-0000-0000953F0000}"/>
    <cellStyle name="Normal 2 2 2 2 5 16 3 7" xfId="16278" xr:uid="{00000000-0005-0000-0000-0000963F0000}"/>
    <cellStyle name="Normal 2 2 2 2 5 16 3 8" xfId="16279" xr:uid="{00000000-0005-0000-0000-0000973F0000}"/>
    <cellStyle name="Normal 2 2 2 2 5 16 3 9" xfId="16280" xr:uid="{00000000-0005-0000-0000-0000983F0000}"/>
    <cellStyle name="Normal 2 2 2 2 5 16 4" xfId="16281" xr:uid="{00000000-0005-0000-0000-0000993F0000}"/>
    <cellStyle name="Normal 2 2 2 2 5 16 4 10" xfId="16282" xr:uid="{00000000-0005-0000-0000-00009A3F0000}"/>
    <cellStyle name="Normal 2 2 2 2 5 16 4 2" xfId="16283" xr:uid="{00000000-0005-0000-0000-00009B3F0000}"/>
    <cellStyle name="Normal 2 2 2 2 5 16 4 3" xfId="16284" xr:uid="{00000000-0005-0000-0000-00009C3F0000}"/>
    <cellStyle name="Normal 2 2 2 2 5 16 4 4" xfId="16285" xr:uid="{00000000-0005-0000-0000-00009D3F0000}"/>
    <cellStyle name="Normal 2 2 2 2 5 16 4 5" xfId="16286" xr:uid="{00000000-0005-0000-0000-00009E3F0000}"/>
    <cellStyle name="Normal 2 2 2 2 5 16 4 6" xfId="16287" xr:uid="{00000000-0005-0000-0000-00009F3F0000}"/>
    <cellStyle name="Normal 2 2 2 2 5 16 4 7" xfId="16288" xr:uid="{00000000-0005-0000-0000-0000A03F0000}"/>
    <cellStyle name="Normal 2 2 2 2 5 16 4 8" xfId="16289" xr:uid="{00000000-0005-0000-0000-0000A13F0000}"/>
    <cellStyle name="Normal 2 2 2 2 5 16 4 9" xfId="16290" xr:uid="{00000000-0005-0000-0000-0000A23F0000}"/>
    <cellStyle name="Normal 2 2 2 2 5 16 5" xfId="16291" xr:uid="{00000000-0005-0000-0000-0000A33F0000}"/>
    <cellStyle name="Normal 2 2 2 2 5 16 5 10" xfId="16292" xr:uid="{00000000-0005-0000-0000-0000A43F0000}"/>
    <cellStyle name="Normal 2 2 2 2 5 16 5 2" xfId="16293" xr:uid="{00000000-0005-0000-0000-0000A53F0000}"/>
    <cellStyle name="Normal 2 2 2 2 5 16 5 3" xfId="16294" xr:uid="{00000000-0005-0000-0000-0000A63F0000}"/>
    <cellStyle name="Normal 2 2 2 2 5 16 5 4" xfId="16295" xr:uid="{00000000-0005-0000-0000-0000A73F0000}"/>
    <cellStyle name="Normal 2 2 2 2 5 16 5 5" xfId="16296" xr:uid="{00000000-0005-0000-0000-0000A83F0000}"/>
    <cellStyle name="Normal 2 2 2 2 5 16 5 6" xfId="16297" xr:uid="{00000000-0005-0000-0000-0000A93F0000}"/>
    <cellStyle name="Normal 2 2 2 2 5 16 5 7" xfId="16298" xr:uid="{00000000-0005-0000-0000-0000AA3F0000}"/>
    <cellStyle name="Normal 2 2 2 2 5 16 5 8" xfId="16299" xr:uid="{00000000-0005-0000-0000-0000AB3F0000}"/>
    <cellStyle name="Normal 2 2 2 2 5 16 5 9" xfId="16300" xr:uid="{00000000-0005-0000-0000-0000AC3F0000}"/>
    <cellStyle name="Normal 2 2 2 2 5 16 6" xfId="16301" xr:uid="{00000000-0005-0000-0000-0000AD3F0000}"/>
    <cellStyle name="Normal 2 2 2 2 5 16 7" xfId="16302" xr:uid="{00000000-0005-0000-0000-0000AE3F0000}"/>
    <cellStyle name="Normal 2 2 2 2 5 16 8" xfId="16303" xr:uid="{00000000-0005-0000-0000-0000AF3F0000}"/>
    <cellStyle name="Normal 2 2 2 2 5 16 9" xfId="16304" xr:uid="{00000000-0005-0000-0000-0000B03F0000}"/>
    <cellStyle name="Normal 2 2 2 2 5 17" xfId="16305" xr:uid="{00000000-0005-0000-0000-0000B13F0000}"/>
    <cellStyle name="Normal 2 2 2 2 5 17 10" xfId="16306" xr:uid="{00000000-0005-0000-0000-0000B23F0000}"/>
    <cellStyle name="Normal 2 2 2 2 5 17 11" xfId="16307" xr:uid="{00000000-0005-0000-0000-0000B33F0000}"/>
    <cellStyle name="Normal 2 2 2 2 5 17 12" xfId="16308" xr:uid="{00000000-0005-0000-0000-0000B43F0000}"/>
    <cellStyle name="Normal 2 2 2 2 5 17 13" xfId="16309" xr:uid="{00000000-0005-0000-0000-0000B53F0000}"/>
    <cellStyle name="Normal 2 2 2 2 5 17 14" xfId="16310" xr:uid="{00000000-0005-0000-0000-0000B63F0000}"/>
    <cellStyle name="Normal 2 2 2 2 5 17 2" xfId="16311" xr:uid="{00000000-0005-0000-0000-0000B73F0000}"/>
    <cellStyle name="Normal 2 2 2 2 5 17 2 10" xfId="16312" xr:uid="{00000000-0005-0000-0000-0000B83F0000}"/>
    <cellStyle name="Normal 2 2 2 2 5 17 2 2" xfId="16313" xr:uid="{00000000-0005-0000-0000-0000B93F0000}"/>
    <cellStyle name="Normal 2 2 2 2 5 17 2 3" xfId="16314" xr:uid="{00000000-0005-0000-0000-0000BA3F0000}"/>
    <cellStyle name="Normal 2 2 2 2 5 17 2 4" xfId="16315" xr:uid="{00000000-0005-0000-0000-0000BB3F0000}"/>
    <cellStyle name="Normal 2 2 2 2 5 17 2 5" xfId="16316" xr:uid="{00000000-0005-0000-0000-0000BC3F0000}"/>
    <cellStyle name="Normal 2 2 2 2 5 17 2 6" xfId="16317" xr:uid="{00000000-0005-0000-0000-0000BD3F0000}"/>
    <cellStyle name="Normal 2 2 2 2 5 17 2 7" xfId="16318" xr:uid="{00000000-0005-0000-0000-0000BE3F0000}"/>
    <cellStyle name="Normal 2 2 2 2 5 17 2 8" xfId="16319" xr:uid="{00000000-0005-0000-0000-0000BF3F0000}"/>
    <cellStyle name="Normal 2 2 2 2 5 17 2 9" xfId="16320" xr:uid="{00000000-0005-0000-0000-0000C03F0000}"/>
    <cellStyle name="Normal 2 2 2 2 5 17 3" xfId="16321" xr:uid="{00000000-0005-0000-0000-0000C13F0000}"/>
    <cellStyle name="Normal 2 2 2 2 5 17 3 10" xfId="16322" xr:uid="{00000000-0005-0000-0000-0000C23F0000}"/>
    <cellStyle name="Normal 2 2 2 2 5 17 3 2" xfId="16323" xr:uid="{00000000-0005-0000-0000-0000C33F0000}"/>
    <cellStyle name="Normal 2 2 2 2 5 17 3 3" xfId="16324" xr:uid="{00000000-0005-0000-0000-0000C43F0000}"/>
    <cellStyle name="Normal 2 2 2 2 5 17 3 4" xfId="16325" xr:uid="{00000000-0005-0000-0000-0000C53F0000}"/>
    <cellStyle name="Normal 2 2 2 2 5 17 3 5" xfId="16326" xr:uid="{00000000-0005-0000-0000-0000C63F0000}"/>
    <cellStyle name="Normal 2 2 2 2 5 17 3 6" xfId="16327" xr:uid="{00000000-0005-0000-0000-0000C73F0000}"/>
    <cellStyle name="Normal 2 2 2 2 5 17 3 7" xfId="16328" xr:uid="{00000000-0005-0000-0000-0000C83F0000}"/>
    <cellStyle name="Normal 2 2 2 2 5 17 3 8" xfId="16329" xr:uid="{00000000-0005-0000-0000-0000C93F0000}"/>
    <cellStyle name="Normal 2 2 2 2 5 17 3 9" xfId="16330" xr:uid="{00000000-0005-0000-0000-0000CA3F0000}"/>
    <cellStyle name="Normal 2 2 2 2 5 17 4" xfId="16331" xr:uid="{00000000-0005-0000-0000-0000CB3F0000}"/>
    <cellStyle name="Normal 2 2 2 2 5 17 4 10" xfId="16332" xr:uid="{00000000-0005-0000-0000-0000CC3F0000}"/>
    <cellStyle name="Normal 2 2 2 2 5 17 4 2" xfId="16333" xr:uid="{00000000-0005-0000-0000-0000CD3F0000}"/>
    <cellStyle name="Normal 2 2 2 2 5 17 4 3" xfId="16334" xr:uid="{00000000-0005-0000-0000-0000CE3F0000}"/>
    <cellStyle name="Normal 2 2 2 2 5 17 4 4" xfId="16335" xr:uid="{00000000-0005-0000-0000-0000CF3F0000}"/>
    <cellStyle name="Normal 2 2 2 2 5 17 4 5" xfId="16336" xr:uid="{00000000-0005-0000-0000-0000D03F0000}"/>
    <cellStyle name="Normal 2 2 2 2 5 17 4 6" xfId="16337" xr:uid="{00000000-0005-0000-0000-0000D13F0000}"/>
    <cellStyle name="Normal 2 2 2 2 5 17 4 7" xfId="16338" xr:uid="{00000000-0005-0000-0000-0000D23F0000}"/>
    <cellStyle name="Normal 2 2 2 2 5 17 4 8" xfId="16339" xr:uid="{00000000-0005-0000-0000-0000D33F0000}"/>
    <cellStyle name="Normal 2 2 2 2 5 17 4 9" xfId="16340" xr:uid="{00000000-0005-0000-0000-0000D43F0000}"/>
    <cellStyle name="Normal 2 2 2 2 5 17 5" xfId="16341" xr:uid="{00000000-0005-0000-0000-0000D53F0000}"/>
    <cellStyle name="Normal 2 2 2 2 5 17 5 10" xfId="16342" xr:uid="{00000000-0005-0000-0000-0000D63F0000}"/>
    <cellStyle name="Normal 2 2 2 2 5 17 5 2" xfId="16343" xr:uid="{00000000-0005-0000-0000-0000D73F0000}"/>
    <cellStyle name="Normal 2 2 2 2 5 17 5 3" xfId="16344" xr:uid="{00000000-0005-0000-0000-0000D83F0000}"/>
    <cellStyle name="Normal 2 2 2 2 5 17 5 4" xfId="16345" xr:uid="{00000000-0005-0000-0000-0000D93F0000}"/>
    <cellStyle name="Normal 2 2 2 2 5 17 5 5" xfId="16346" xr:uid="{00000000-0005-0000-0000-0000DA3F0000}"/>
    <cellStyle name="Normal 2 2 2 2 5 17 5 6" xfId="16347" xr:uid="{00000000-0005-0000-0000-0000DB3F0000}"/>
    <cellStyle name="Normal 2 2 2 2 5 17 5 7" xfId="16348" xr:uid="{00000000-0005-0000-0000-0000DC3F0000}"/>
    <cellStyle name="Normal 2 2 2 2 5 17 5 8" xfId="16349" xr:uid="{00000000-0005-0000-0000-0000DD3F0000}"/>
    <cellStyle name="Normal 2 2 2 2 5 17 5 9" xfId="16350" xr:uid="{00000000-0005-0000-0000-0000DE3F0000}"/>
    <cellStyle name="Normal 2 2 2 2 5 17 6" xfId="16351" xr:uid="{00000000-0005-0000-0000-0000DF3F0000}"/>
    <cellStyle name="Normal 2 2 2 2 5 17 7" xfId="16352" xr:uid="{00000000-0005-0000-0000-0000E03F0000}"/>
    <cellStyle name="Normal 2 2 2 2 5 17 8" xfId="16353" xr:uid="{00000000-0005-0000-0000-0000E13F0000}"/>
    <cellStyle name="Normal 2 2 2 2 5 17 9" xfId="16354" xr:uid="{00000000-0005-0000-0000-0000E23F0000}"/>
    <cellStyle name="Normal 2 2 2 2 5 18" xfId="16355" xr:uid="{00000000-0005-0000-0000-0000E33F0000}"/>
    <cellStyle name="Normal 2 2 2 2 5 18 10" xfId="16356" xr:uid="{00000000-0005-0000-0000-0000E43F0000}"/>
    <cellStyle name="Normal 2 2 2 2 5 18 11" xfId="16357" xr:uid="{00000000-0005-0000-0000-0000E53F0000}"/>
    <cellStyle name="Normal 2 2 2 2 5 18 12" xfId="16358" xr:uid="{00000000-0005-0000-0000-0000E63F0000}"/>
    <cellStyle name="Normal 2 2 2 2 5 18 13" xfId="16359" xr:uid="{00000000-0005-0000-0000-0000E73F0000}"/>
    <cellStyle name="Normal 2 2 2 2 5 18 14" xfId="16360" xr:uid="{00000000-0005-0000-0000-0000E83F0000}"/>
    <cellStyle name="Normal 2 2 2 2 5 18 2" xfId="16361" xr:uid="{00000000-0005-0000-0000-0000E93F0000}"/>
    <cellStyle name="Normal 2 2 2 2 5 18 2 10" xfId="16362" xr:uid="{00000000-0005-0000-0000-0000EA3F0000}"/>
    <cellStyle name="Normal 2 2 2 2 5 18 2 2" xfId="16363" xr:uid="{00000000-0005-0000-0000-0000EB3F0000}"/>
    <cellStyle name="Normal 2 2 2 2 5 18 2 3" xfId="16364" xr:uid="{00000000-0005-0000-0000-0000EC3F0000}"/>
    <cellStyle name="Normal 2 2 2 2 5 18 2 4" xfId="16365" xr:uid="{00000000-0005-0000-0000-0000ED3F0000}"/>
    <cellStyle name="Normal 2 2 2 2 5 18 2 5" xfId="16366" xr:uid="{00000000-0005-0000-0000-0000EE3F0000}"/>
    <cellStyle name="Normal 2 2 2 2 5 18 2 6" xfId="16367" xr:uid="{00000000-0005-0000-0000-0000EF3F0000}"/>
    <cellStyle name="Normal 2 2 2 2 5 18 2 7" xfId="16368" xr:uid="{00000000-0005-0000-0000-0000F03F0000}"/>
    <cellStyle name="Normal 2 2 2 2 5 18 2 8" xfId="16369" xr:uid="{00000000-0005-0000-0000-0000F13F0000}"/>
    <cellStyle name="Normal 2 2 2 2 5 18 2 9" xfId="16370" xr:uid="{00000000-0005-0000-0000-0000F23F0000}"/>
    <cellStyle name="Normal 2 2 2 2 5 18 3" xfId="16371" xr:uid="{00000000-0005-0000-0000-0000F33F0000}"/>
    <cellStyle name="Normal 2 2 2 2 5 18 3 10" xfId="16372" xr:uid="{00000000-0005-0000-0000-0000F43F0000}"/>
    <cellStyle name="Normal 2 2 2 2 5 18 3 2" xfId="16373" xr:uid="{00000000-0005-0000-0000-0000F53F0000}"/>
    <cellStyle name="Normal 2 2 2 2 5 18 3 3" xfId="16374" xr:uid="{00000000-0005-0000-0000-0000F63F0000}"/>
    <cellStyle name="Normal 2 2 2 2 5 18 3 4" xfId="16375" xr:uid="{00000000-0005-0000-0000-0000F73F0000}"/>
    <cellStyle name="Normal 2 2 2 2 5 18 3 5" xfId="16376" xr:uid="{00000000-0005-0000-0000-0000F83F0000}"/>
    <cellStyle name="Normal 2 2 2 2 5 18 3 6" xfId="16377" xr:uid="{00000000-0005-0000-0000-0000F93F0000}"/>
    <cellStyle name="Normal 2 2 2 2 5 18 3 7" xfId="16378" xr:uid="{00000000-0005-0000-0000-0000FA3F0000}"/>
    <cellStyle name="Normal 2 2 2 2 5 18 3 8" xfId="16379" xr:uid="{00000000-0005-0000-0000-0000FB3F0000}"/>
    <cellStyle name="Normal 2 2 2 2 5 18 3 9" xfId="16380" xr:uid="{00000000-0005-0000-0000-0000FC3F0000}"/>
    <cellStyle name="Normal 2 2 2 2 5 18 4" xfId="16381" xr:uid="{00000000-0005-0000-0000-0000FD3F0000}"/>
    <cellStyle name="Normal 2 2 2 2 5 18 4 10" xfId="16382" xr:uid="{00000000-0005-0000-0000-0000FE3F0000}"/>
    <cellStyle name="Normal 2 2 2 2 5 18 4 2" xfId="16383" xr:uid="{00000000-0005-0000-0000-0000FF3F0000}"/>
    <cellStyle name="Normal 2 2 2 2 5 18 4 3" xfId="16384" xr:uid="{00000000-0005-0000-0000-000000400000}"/>
    <cellStyle name="Normal 2 2 2 2 5 18 4 4" xfId="16385" xr:uid="{00000000-0005-0000-0000-000001400000}"/>
    <cellStyle name="Normal 2 2 2 2 5 18 4 5" xfId="16386" xr:uid="{00000000-0005-0000-0000-000002400000}"/>
    <cellStyle name="Normal 2 2 2 2 5 18 4 6" xfId="16387" xr:uid="{00000000-0005-0000-0000-000003400000}"/>
    <cellStyle name="Normal 2 2 2 2 5 18 4 7" xfId="16388" xr:uid="{00000000-0005-0000-0000-000004400000}"/>
    <cellStyle name="Normal 2 2 2 2 5 18 4 8" xfId="16389" xr:uid="{00000000-0005-0000-0000-000005400000}"/>
    <cellStyle name="Normal 2 2 2 2 5 18 4 9" xfId="16390" xr:uid="{00000000-0005-0000-0000-000006400000}"/>
    <cellStyle name="Normal 2 2 2 2 5 18 5" xfId="16391" xr:uid="{00000000-0005-0000-0000-000007400000}"/>
    <cellStyle name="Normal 2 2 2 2 5 18 5 10" xfId="16392" xr:uid="{00000000-0005-0000-0000-000008400000}"/>
    <cellStyle name="Normal 2 2 2 2 5 18 5 2" xfId="16393" xr:uid="{00000000-0005-0000-0000-000009400000}"/>
    <cellStyle name="Normal 2 2 2 2 5 18 5 3" xfId="16394" xr:uid="{00000000-0005-0000-0000-00000A400000}"/>
    <cellStyle name="Normal 2 2 2 2 5 18 5 4" xfId="16395" xr:uid="{00000000-0005-0000-0000-00000B400000}"/>
    <cellStyle name="Normal 2 2 2 2 5 18 5 5" xfId="16396" xr:uid="{00000000-0005-0000-0000-00000C400000}"/>
    <cellStyle name="Normal 2 2 2 2 5 18 5 6" xfId="16397" xr:uid="{00000000-0005-0000-0000-00000D400000}"/>
    <cellStyle name="Normal 2 2 2 2 5 18 5 7" xfId="16398" xr:uid="{00000000-0005-0000-0000-00000E400000}"/>
    <cellStyle name="Normal 2 2 2 2 5 18 5 8" xfId="16399" xr:uid="{00000000-0005-0000-0000-00000F400000}"/>
    <cellStyle name="Normal 2 2 2 2 5 18 5 9" xfId="16400" xr:uid="{00000000-0005-0000-0000-000010400000}"/>
    <cellStyle name="Normal 2 2 2 2 5 18 6" xfId="16401" xr:uid="{00000000-0005-0000-0000-000011400000}"/>
    <cellStyle name="Normal 2 2 2 2 5 18 7" xfId="16402" xr:uid="{00000000-0005-0000-0000-000012400000}"/>
    <cellStyle name="Normal 2 2 2 2 5 18 8" xfId="16403" xr:uid="{00000000-0005-0000-0000-000013400000}"/>
    <cellStyle name="Normal 2 2 2 2 5 18 9" xfId="16404" xr:uid="{00000000-0005-0000-0000-000014400000}"/>
    <cellStyle name="Normal 2 2 2 2 5 19" xfId="16405" xr:uid="{00000000-0005-0000-0000-000015400000}"/>
    <cellStyle name="Normal 2 2 2 2 5 19 10" xfId="16406" xr:uid="{00000000-0005-0000-0000-000016400000}"/>
    <cellStyle name="Normal 2 2 2 2 5 19 11" xfId="16407" xr:uid="{00000000-0005-0000-0000-000017400000}"/>
    <cellStyle name="Normal 2 2 2 2 5 19 12" xfId="16408" xr:uid="{00000000-0005-0000-0000-000018400000}"/>
    <cellStyle name="Normal 2 2 2 2 5 19 13" xfId="16409" xr:uid="{00000000-0005-0000-0000-000019400000}"/>
    <cellStyle name="Normal 2 2 2 2 5 19 14" xfId="16410" xr:uid="{00000000-0005-0000-0000-00001A400000}"/>
    <cellStyle name="Normal 2 2 2 2 5 19 2" xfId="16411" xr:uid="{00000000-0005-0000-0000-00001B400000}"/>
    <cellStyle name="Normal 2 2 2 2 5 19 2 10" xfId="16412" xr:uid="{00000000-0005-0000-0000-00001C400000}"/>
    <cellStyle name="Normal 2 2 2 2 5 19 2 2" xfId="16413" xr:uid="{00000000-0005-0000-0000-00001D400000}"/>
    <cellStyle name="Normal 2 2 2 2 5 19 2 3" xfId="16414" xr:uid="{00000000-0005-0000-0000-00001E400000}"/>
    <cellStyle name="Normal 2 2 2 2 5 19 2 4" xfId="16415" xr:uid="{00000000-0005-0000-0000-00001F400000}"/>
    <cellStyle name="Normal 2 2 2 2 5 19 2 5" xfId="16416" xr:uid="{00000000-0005-0000-0000-000020400000}"/>
    <cellStyle name="Normal 2 2 2 2 5 19 2 6" xfId="16417" xr:uid="{00000000-0005-0000-0000-000021400000}"/>
    <cellStyle name="Normal 2 2 2 2 5 19 2 7" xfId="16418" xr:uid="{00000000-0005-0000-0000-000022400000}"/>
    <cellStyle name="Normal 2 2 2 2 5 19 2 8" xfId="16419" xr:uid="{00000000-0005-0000-0000-000023400000}"/>
    <cellStyle name="Normal 2 2 2 2 5 19 2 9" xfId="16420" xr:uid="{00000000-0005-0000-0000-000024400000}"/>
    <cellStyle name="Normal 2 2 2 2 5 19 3" xfId="16421" xr:uid="{00000000-0005-0000-0000-000025400000}"/>
    <cellStyle name="Normal 2 2 2 2 5 19 3 10" xfId="16422" xr:uid="{00000000-0005-0000-0000-000026400000}"/>
    <cellStyle name="Normal 2 2 2 2 5 19 3 2" xfId="16423" xr:uid="{00000000-0005-0000-0000-000027400000}"/>
    <cellStyle name="Normal 2 2 2 2 5 19 3 3" xfId="16424" xr:uid="{00000000-0005-0000-0000-000028400000}"/>
    <cellStyle name="Normal 2 2 2 2 5 19 3 4" xfId="16425" xr:uid="{00000000-0005-0000-0000-000029400000}"/>
    <cellStyle name="Normal 2 2 2 2 5 19 3 5" xfId="16426" xr:uid="{00000000-0005-0000-0000-00002A400000}"/>
    <cellStyle name="Normal 2 2 2 2 5 19 3 6" xfId="16427" xr:uid="{00000000-0005-0000-0000-00002B400000}"/>
    <cellStyle name="Normal 2 2 2 2 5 19 3 7" xfId="16428" xr:uid="{00000000-0005-0000-0000-00002C400000}"/>
    <cellStyle name="Normal 2 2 2 2 5 19 3 8" xfId="16429" xr:uid="{00000000-0005-0000-0000-00002D400000}"/>
    <cellStyle name="Normal 2 2 2 2 5 19 3 9" xfId="16430" xr:uid="{00000000-0005-0000-0000-00002E400000}"/>
    <cellStyle name="Normal 2 2 2 2 5 19 4" xfId="16431" xr:uid="{00000000-0005-0000-0000-00002F400000}"/>
    <cellStyle name="Normal 2 2 2 2 5 19 4 10" xfId="16432" xr:uid="{00000000-0005-0000-0000-000030400000}"/>
    <cellStyle name="Normal 2 2 2 2 5 19 4 2" xfId="16433" xr:uid="{00000000-0005-0000-0000-000031400000}"/>
    <cellStyle name="Normal 2 2 2 2 5 19 4 3" xfId="16434" xr:uid="{00000000-0005-0000-0000-000032400000}"/>
    <cellStyle name="Normal 2 2 2 2 5 19 4 4" xfId="16435" xr:uid="{00000000-0005-0000-0000-000033400000}"/>
    <cellStyle name="Normal 2 2 2 2 5 19 4 5" xfId="16436" xr:uid="{00000000-0005-0000-0000-000034400000}"/>
    <cellStyle name="Normal 2 2 2 2 5 19 4 6" xfId="16437" xr:uid="{00000000-0005-0000-0000-000035400000}"/>
    <cellStyle name="Normal 2 2 2 2 5 19 4 7" xfId="16438" xr:uid="{00000000-0005-0000-0000-000036400000}"/>
    <cellStyle name="Normal 2 2 2 2 5 19 4 8" xfId="16439" xr:uid="{00000000-0005-0000-0000-000037400000}"/>
    <cellStyle name="Normal 2 2 2 2 5 19 4 9" xfId="16440" xr:uid="{00000000-0005-0000-0000-000038400000}"/>
    <cellStyle name="Normal 2 2 2 2 5 19 5" xfId="16441" xr:uid="{00000000-0005-0000-0000-000039400000}"/>
    <cellStyle name="Normal 2 2 2 2 5 19 5 10" xfId="16442" xr:uid="{00000000-0005-0000-0000-00003A400000}"/>
    <cellStyle name="Normal 2 2 2 2 5 19 5 2" xfId="16443" xr:uid="{00000000-0005-0000-0000-00003B400000}"/>
    <cellStyle name="Normal 2 2 2 2 5 19 5 3" xfId="16444" xr:uid="{00000000-0005-0000-0000-00003C400000}"/>
    <cellStyle name="Normal 2 2 2 2 5 19 5 4" xfId="16445" xr:uid="{00000000-0005-0000-0000-00003D400000}"/>
    <cellStyle name="Normal 2 2 2 2 5 19 5 5" xfId="16446" xr:uid="{00000000-0005-0000-0000-00003E400000}"/>
    <cellStyle name="Normal 2 2 2 2 5 19 5 6" xfId="16447" xr:uid="{00000000-0005-0000-0000-00003F400000}"/>
    <cellStyle name="Normal 2 2 2 2 5 19 5 7" xfId="16448" xr:uid="{00000000-0005-0000-0000-000040400000}"/>
    <cellStyle name="Normal 2 2 2 2 5 19 5 8" xfId="16449" xr:uid="{00000000-0005-0000-0000-000041400000}"/>
    <cellStyle name="Normal 2 2 2 2 5 19 5 9" xfId="16450" xr:uid="{00000000-0005-0000-0000-000042400000}"/>
    <cellStyle name="Normal 2 2 2 2 5 19 6" xfId="16451" xr:uid="{00000000-0005-0000-0000-000043400000}"/>
    <cellStyle name="Normal 2 2 2 2 5 19 7" xfId="16452" xr:uid="{00000000-0005-0000-0000-000044400000}"/>
    <cellStyle name="Normal 2 2 2 2 5 19 8" xfId="16453" xr:uid="{00000000-0005-0000-0000-000045400000}"/>
    <cellStyle name="Normal 2 2 2 2 5 19 9" xfId="16454" xr:uid="{00000000-0005-0000-0000-000046400000}"/>
    <cellStyle name="Normal 2 2 2 2 5 2" xfId="16455" xr:uid="{00000000-0005-0000-0000-000047400000}"/>
    <cellStyle name="Normal 2 2 2 2 5 2 10" xfId="16456" xr:uid="{00000000-0005-0000-0000-000048400000}"/>
    <cellStyle name="Normal 2 2 2 2 5 2 11" xfId="16457" xr:uid="{00000000-0005-0000-0000-000049400000}"/>
    <cellStyle name="Normal 2 2 2 2 5 2 12" xfId="16458" xr:uid="{00000000-0005-0000-0000-00004A400000}"/>
    <cellStyle name="Normal 2 2 2 2 5 2 13" xfId="16459" xr:uid="{00000000-0005-0000-0000-00004B400000}"/>
    <cellStyle name="Normal 2 2 2 2 5 2 14" xfId="16460" xr:uid="{00000000-0005-0000-0000-00004C400000}"/>
    <cellStyle name="Normal 2 2 2 2 5 2 15" xfId="16461" xr:uid="{00000000-0005-0000-0000-00004D400000}"/>
    <cellStyle name="Normal 2 2 2 2 5 2 16" xfId="16462" xr:uid="{00000000-0005-0000-0000-00004E400000}"/>
    <cellStyle name="Normal 2 2 2 2 5 2 17" xfId="16463" xr:uid="{00000000-0005-0000-0000-00004F400000}"/>
    <cellStyle name="Normal 2 2 2 2 5 2 18" xfId="16464" xr:uid="{00000000-0005-0000-0000-000050400000}"/>
    <cellStyle name="Normal 2 2 2 2 5 2 19" xfId="16465" xr:uid="{00000000-0005-0000-0000-000051400000}"/>
    <cellStyle name="Normal 2 2 2 2 5 2 2" xfId="16466" xr:uid="{00000000-0005-0000-0000-000052400000}"/>
    <cellStyle name="Normal 2 2 2 2 5 2 20" xfId="16467" xr:uid="{00000000-0005-0000-0000-000053400000}"/>
    <cellStyle name="Normal 2 2 2 2 5 2 21" xfId="16468" xr:uid="{00000000-0005-0000-0000-000054400000}"/>
    <cellStyle name="Normal 2 2 2 2 5 2 21 10" xfId="16469" xr:uid="{00000000-0005-0000-0000-000055400000}"/>
    <cellStyle name="Normal 2 2 2 2 5 2 21 2" xfId="16470" xr:uid="{00000000-0005-0000-0000-000056400000}"/>
    <cellStyle name="Normal 2 2 2 2 5 2 21 3" xfId="16471" xr:uid="{00000000-0005-0000-0000-000057400000}"/>
    <cellStyle name="Normal 2 2 2 2 5 2 21 4" xfId="16472" xr:uid="{00000000-0005-0000-0000-000058400000}"/>
    <cellStyle name="Normal 2 2 2 2 5 2 21 5" xfId="16473" xr:uid="{00000000-0005-0000-0000-000059400000}"/>
    <cellStyle name="Normal 2 2 2 2 5 2 21 6" xfId="16474" xr:uid="{00000000-0005-0000-0000-00005A400000}"/>
    <cellStyle name="Normal 2 2 2 2 5 2 21 7" xfId="16475" xr:uid="{00000000-0005-0000-0000-00005B400000}"/>
    <cellStyle name="Normal 2 2 2 2 5 2 21 8" xfId="16476" xr:uid="{00000000-0005-0000-0000-00005C400000}"/>
    <cellStyle name="Normal 2 2 2 2 5 2 21 9" xfId="16477" xr:uid="{00000000-0005-0000-0000-00005D400000}"/>
    <cellStyle name="Normal 2 2 2 2 5 2 22" xfId="16478" xr:uid="{00000000-0005-0000-0000-00005E400000}"/>
    <cellStyle name="Normal 2 2 2 2 5 2 22 10" xfId="16479" xr:uid="{00000000-0005-0000-0000-00005F400000}"/>
    <cellStyle name="Normal 2 2 2 2 5 2 22 2" xfId="16480" xr:uid="{00000000-0005-0000-0000-000060400000}"/>
    <cellStyle name="Normal 2 2 2 2 5 2 22 3" xfId="16481" xr:uid="{00000000-0005-0000-0000-000061400000}"/>
    <cellStyle name="Normal 2 2 2 2 5 2 22 4" xfId="16482" xr:uid="{00000000-0005-0000-0000-000062400000}"/>
    <cellStyle name="Normal 2 2 2 2 5 2 22 5" xfId="16483" xr:uid="{00000000-0005-0000-0000-000063400000}"/>
    <cellStyle name="Normal 2 2 2 2 5 2 22 6" xfId="16484" xr:uid="{00000000-0005-0000-0000-000064400000}"/>
    <cellStyle name="Normal 2 2 2 2 5 2 22 7" xfId="16485" xr:uid="{00000000-0005-0000-0000-000065400000}"/>
    <cellStyle name="Normal 2 2 2 2 5 2 22 8" xfId="16486" xr:uid="{00000000-0005-0000-0000-000066400000}"/>
    <cellStyle name="Normal 2 2 2 2 5 2 22 9" xfId="16487" xr:uid="{00000000-0005-0000-0000-000067400000}"/>
    <cellStyle name="Normal 2 2 2 2 5 2 23" xfId="16488" xr:uid="{00000000-0005-0000-0000-000068400000}"/>
    <cellStyle name="Normal 2 2 2 2 5 2 23 10" xfId="16489" xr:uid="{00000000-0005-0000-0000-000069400000}"/>
    <cellStyle name="Normal 2 2 2 2 5 2 23 2" xfId="16490" xr:uid="{00000000-0005-0000-0000-00006A400000}"/>
    <cellStyle name="Normal 2 2 2 2 5 2 23 3" xfId="16491" xr:uid="{00000000-0005-0000-0000-00006B400000}"/>
    <cellStyle name="Normal 2 2 2 2 5 2 23 4" xfId="16492" xr:uid="{00000000-0005-0000-0000-00006C400000}"/>
    <cellStyle name="Normal 2 2 2 2 5 2 23 5" xfId="16493" xr:uid="{00000000-0005-0000-0000-00006D400000}"/>
    <cellStyle name="Normal 2 2 2 2 5 2 23 6" xfId="16494" xr:uid="{00000000-0005-0000-0000-00006E400000}"/>
    <cellStyle name="Normal 2 2 2 2 5 2 23 7" xfId="16495" xr:uid="{00000000-0005-0000-0000-00006F400000}"/>
    <cellStyle name="Normal 2 2 2 2 5 2 23 8" xfId="16496" xr:uid="{00000000-0005-0000-0000-000070400000}"/>
    <cellStyle name="Normal 2 2 2 2 5 2 23 9" xfId="16497" xr:uid="{00000000-0005-0000-0000-000071400000}"/>
    <cellStyle name="Normal 2 2 2 2 5 2 24" xfId="16498" xr:uid="{00000000-0005-0000-0000-000072400000}"/>
    <cellStyle name="Normal 2 2 2 2 5 2 24 10" xfId="16499" xr:uid="{00000000-0005-0000-0000-000073400000}"/>
    <cellStyle name="Normal 2 2 2 2 5 2 24 2" xfId="16500" xr:uid="{00000000-0005-0000-0000-000074400000}"/>
    <cellStyle name="Normal 2 2 2 2 5 2 24 3" xfId="16501" xr:uid="{00000000-0005-0000-0000-000075400000}"/>
    <cellStyle name="Normal 2 2 2 2 5 2 24 4" xfId="16502" xr:uid="{00000000-0005-0000-0000-000076400000}"/>
    <cellStyle name="Normal 2 2 2 2 5 2 24 5" xfId="16503" xr:uid="{00000000-0005-0000-0000-000077400000}"/>
    <cellStyle name="Normal 2 2 2 2 5 2 24 6" xfId="16504" xr:uid="{00000000-0005-0000-0000-000078400000}"/>
    <cellStyle name="Normal 2 2 2 2 5 2 24 7" xfId="16505" xr:uid="{00000000-0005-0000-0000-000079400000}"/>
    <cellStyle name="Normal 2 2 2 2 5 2 24 8" xfId="16506" xr:uid="{00000000-0005-0000-0000-00007A400000}"/>
    <cellStyle name="Normal 2 2 2 2 5 2 24 9" xfId="16507" xr:uid="{00000000-0005-0000-0000-00007B400000}"/>
    <cellStyle name="Normal 2 2 2 2 5 2 25" xfId="16508" xr:uid="{00000000-0005-0000-0000-00007C400000}"/>
    <cellStyle name="Normal 2 2 2 2 5 2 26" xfId="16509" xr:uid="{00000000-0005-0000-0000-00007D400000}"/>
    <cellStyle name="Normal 2 2 2 2 5 2 27" xfId="16510" xr:uid="{00000000-0005-0000-0000-00007E400000}"/>
    <cellStyle name="Normal 2 2 2 2 5 2 28" xfId="16511" xr:uid="{00000000-0005-0000-0000-00007F400000}"/>
    <cellStyle name="Normal 2 2 2 2 5 2 29" xfId="16512" xr:uid="{00000000-0005-0000-0000-000080400000}"/>
    <cellStyle name="Normal 2 2 2 2 5 2 3" xfId="16513" xr:uid="{00000000-0005-0000-0000-000081400000}"/>
    <cellStyle name="Normal 2 2 2 2 5 2 30" xfId="16514" xr:uid="{00000000-0005-0000-0000-000082400000}"/>
    <cellStyle name="Normal 2 2 2 2 5 2 31" xfId="16515" xr:uid="{00000000-0005-0000-0000-000083400000}"/>
    <cellStyle name="Normal 2 2 2 2 5 2 32" xfId="16516" xr:uid="{00000000-0005-0000-0000-000084400000}"/>
    <cellStyle name="Normal 2 2 2 2 5 2 33" xfId="16517" xr:uid="{00000000-0005-0000-0000-000085400000}"/>
    <cellStyle name="Normal 2 2 2 2 5 2 4" xfId="16518" xr:uid="{00000000-0005-0000-0000-000086400000}"/>
    <cellStyle name="Normal 2 2 2 2 5 2 5" xfId="16519" xr:uid="{00000000-0005-0000-0000-000087400000}"/>
    <cellStyle name="Normal 2 2 2 2 5 2 6" xfId="16520" xr:uid="{00000000-0005-0000-0000-000088400000}"/>
    <cellStyle name="Normal 2 2 2 2 5 2 7" xfId="16521" xr:uid="{00000000-0005-0000-0000-000089400000}"/>
    <cellStyle name="Normal 2 2 2 2 5 2 8" xfId="16522" xr:uid="{00000000-0005-0000-0000-00008A400000}"/>
    <cellStyle name="Normal 2 2 2 2 5 2 9" xfId="16523" xr:uid="{00000000-0005-0000-0000-00008B400000}"/>
    <cellStyle name="Normal 2 2 2 2 5 20" xfId="16524" xr:uid="{00000000-0005-0000-0000-00008C400000}"/>
    <cellStyle name="Normal 2 2 2 2 5 20 10" xfId="16525" xr:uid="{00000000-0005-0000-0000-00008D400000}"/>
    <cellStyle name="Normal 2 2 2 2 5 20 11" xfId="16526" xr:uid="{00000000-0005-0000-0000-00008E400000}"/>
    <cellStyle name="Normal 2 2 2 2 5 20 12" xfId="16527" xr:uid="{00000000-0005-0000-0000-00008F400000}"/>
    <cellStyle name="Normal 2 2 2 2 5 20 13" xfId="16528" xr:uid="{00000000-0005-0000-0000-000090400000}"/>
    <cellStyle name="Normal 2 2 2 2 5 20 14" xfId="16529" xr:uid="{00000000-0005-0000-0000-000091400000}"/>
    <cellStyle name="Normal 2 2 2 2 5 20 2" xfId="16530" xr:uid="{00000000-0005-0000-0000-000092400000}"/>
    <cellStyle name="Normal 2 2 2 2 5 20 2 10" xfId="16531" xr:uid="{00000000-0005-0000-0000-000093400000}"/>
    <cellStyle name="Normal 2 2 2 2 5 20 2 2" xfId="16532" xr:uid="{00000000-0005-0000-0000-000094400000}"/>
    <cellStyle name="Normal 2 2 2 2 5 20 2 3" xfId="16533" xr:uid="{00000000-0005-0000-0000-000095400000}"/>
    <cellStyle name="Normal 2 2 2 2 5 20 2 4" xfId="16534" xr:uid="{00000000-0005-0000-0000-000096400000}"/>
    <cellStyle name="Normal 2 2 2 2 5 20 2 5" xfId="16535" xr:uid="{00000000-0005-0000-0000-000097400000}"/>
    <cellStyle name="Normal 2 2 2 2 5 20 2 6" xfId="16536" xr:uid="{00000000-0005-0000-0000-000098400000}"/>
    <cellStyle name="Normal 2 2 2 2 5 20 2 7" xfId="16537" xr:uid="{00000000-0005-0000-0000-000099400000}"/>
    <cellStyle name="Normal 2 2 2 2 5 20 2 8" xfId="16538" xr:uid="{00000000-0005-0000-0000-00009A400000}"/>
    <cellStyle name="Normal 2 2 2 2 5 20 2 9" xfId="16539" xr:uid="{00000000-0005-0000-0000-00009B400000}"/>
    <cellStyle name="Normal 2 2 2 2 5 20 3" xfId="16540" xr:uid="{00000000-0005-0000-0000-00009C400000}"/>
    <cellStyle name="Normal 2 2 2 2 5 20 3 10" xfId="16541" xr:uid="{00000000-0005-0000-0000-00009D400000}"/>
    <cellStyle name="Normal 2 2 2 2 5 20 3 2" xfId="16542" xr:uid="{00000000-0005-0000-0000-00009E400000}"/>
    <cellStyle name="Normal 2 2 2 2 5 20 3 3" xfId="16543" xr:uid="{00000000-0005-0000-0000-00009F400000}"/>
    <cellStyle name="Normal 2 2 2 2 5 20 3 4" xfId="16544" xr:uid="{00000000-0005-0000-0000-0000A0400000}"/>
    <cellStyle name="Normal 2 2 2 2 5 20 3 5" xfId="16545" xr:uid="{00000000-0005-0000-0000-0000A1400000}"/>
    <cellStyle name="Normal 2 2 2 2 5 20 3 6" xfId="16546" xr:uid="{00000000-0005-0000-0000-0000A2400000}"/>
    <cellStyle name="Normal 2 2 2 2 5 20 3 7" xfId="16547" xr:uid="{00000000-0005-0000-0000-0000A3400000}"/>
    <cellStyle name="Normal 2 2 2 2 5 20 3 8" xfId="16548" xr:uid="{00000000-0005-0000-0000-0000A4400000}"/>
    <cellStyle name="Normal 2 2 2 2 5 20 3 9" xfId="16549" xr:uid="{00000000-0005-0000-0000-0000A5400000}"/>
    <cellStyle name="Normal 2 2 2 2 5 20 4" xfId="16550" xr:uid="{00000000-0005-0000-0000-0000A6400000}"/>
    <cellStyle name="Normal 2 2 2 2 5 20 4 10" xfId="16551" xr:uid="{00000000-0005-0000-0000-0000A7400000}"/>
    <cellStyle name="Normal 2 2 2 2 5 20 4 2" xfId="16552" xr:uid="{00000000-0005-0000-0000-0000A8400000}"/>
    <cellStyle name="Normal 2 2 2 2 5 20 4 3" xfId="16553" xr:uid="{00000000-0005-0000-0000-0000A9400000}"/>
    <cellStyle name="Normal 2 2 2 2 5 20 4 4" xfId="16554" xr:uid="{00000000-0005-0000-0000-0000AA400000}"/>
    <cellStyle name="Normal 2 2 2 2 5 20 4 5" xfId="16555" xr:uid="{00000000-0005-0000-0000-0000AB400000}"/>
    <cellStyle name="Normal 2 2 2 2 5 20 4 6" xfId="16556" xr:uid="{00000000-0005-0000-0000-0000AC400000}"/>
    <cellStyle name="Normal 2 2 2 2 5 20 4 7" xfId="16557" xr:uid="{00000000-0005-0000-0000-0000AD400000}"/>
    <cellStyle name="Normal 2 2 2 2 5 20 4 8" xfId="16558" xr:uid="{00000000-0005-0000-0000-0000AE400000}"/>
    <cellStyle name="Normal 2 2 2 2 5 20 4 9" xfId="16559" xr:uid="{00000000-0005-0000-0000-0000AF400000}"/>
    <cellStyle name="Normal 2 2 2 2 5 20 5" xfId="16560" xr:uid="{00000000-0005-0000-0000-0000B0400000}"/>
    <cellStyle name="Normal 2 2 2 2 5 20 5 10" xfId="16561" xr:uid="{00000000-0005-0000-0000-0000B1400000}"/>
    <cellStyle name="Normal 2 2 2 2 5 20 5 2" xfId="16562" xr:uid="{00000000-0005-0000-0000-0000B2400000}"/>
    <cellStyle name="Normal 2 2 2 2 5 20 5 3" xfId="16563" xr:uid="{00000000-0005-0000-0000-0000B3400000}"/>
    <cellStyle name="Normal 2 2 2 2 5 20 5 4" xfId="16564" xr:uid="{00000000-0005-0000-0000-0000B4400000}"/>
    <cellStyle name="Normal 2 2 2 2 5 20 5 5" xfId="16565" xr:uid="{00000000-0005-0000-0000-0000B5400000}"/>
    <cellStyle name="Normal 2 2 2 2 5 20 5 6" xfId="16566" xr:uid="{00000000-0005-0000-0000-0000B6400000}"/>
    <cellStyle name="Normal 2 2 2 2 5 20 5 7" xfId="16567" xr:uid="{00000000-0005-0000-0000-0000B7400000}"/>
    <cellStyle name="Normal 2 2 2 2 5 20 5 8" xfId="16568" xr:uid="{00000000-0005-0000-0000-0000B8400000}"/>
    <cellStyle name="Normal 2 2 2 2 5 20 5 9" xfId="16569" xr:uid="{00000000-0005-0000-0000-0000B9400000}"/>
    <cellStyle name="Normal 2 2 2 2 5 20 6" xfId="16570" xr:uid="{00000000-0005-0000-0000-0000BA400000}"/>
    <cellStyle name="Normal 2 2 2 2 5 20 7" xfId="16571" xr:uid="{00000000-0005-0000-0000-0000BB400000}"/>
    <cellStyle name="Normal 2 2 2 2 5 20 8" xfId="16572" xr:uid="{00000000-0005-0000-0000-0000BC400000}"/>
    <cellStyle name="Normal 2 2 2 2 5 20 9" xfId="16573" xr:uid="{00000000-0005-0000-0000-0000BD400000}"/>
    <cellStyle name="Normal 2 2 2 2 5 21" xfId="16574" xr:uid="{00000000-0005-0000-0000-0000BE400000}"/>
    <cellStyle name="Normal 2 2 2 2 5 22" xfId="16575" xr:uid="{00000000-0005-0000-0000-0000BF400000}"/>
    <cellStyle name="Normal 2 2 2 2 5 3" xfId="16576" xr:uid="{00000000-0005-0000-0000-0000C0400000}"/>
    <cellStyle name="Normal 2 2 2 2 5 3 10" xfId="16577" xr:uid="{00000000-0005-0000-0000-0000C1400000}"/>
    <cellStyle name="Normal 2 2 2 2 5 3 11" xfId="16578" xr:uid="{00000000-0005-0000-0000-0000C2400000}"/>
    <cellStyle name="Normal 2 2 2 2 5 3 12" xfId="16579" xr:uid="{00000000-0005-0000-0000-0000C3400000}"/>
    <cellStyle name="Normal 2 2 2 2 5 3 13" xfId="16580" xr:uid="{00000000-0005-0000-0000-0000C4400000}"/>
    <cellStyle name="Normal 2 2 2 2 5 3 14" xfId="16581" xr:uid="{00000000-0005-0000-0000-0000C5400000}"/>
    <cellStyle name="Normal 2 2 2 2 5 3 2" xfId="16582" xr:uid="{00000000-0005-0000-0000-0000C6400000}"/>
    <cellStyle name="Normal 2 2 2 2 5 3 2 10" xfId="16583" xr:uid="{00000000-0005-0000-0000-0000C7400000}"/>
    <cellStyle name="Normal 2 2 2 2 5 3 2 2" xfId="16584" xr:uid="{00000000-0005-0000-0000-0000C8400000}"/>
    <cellStyle name="Normal 2 2 2 2 5 3 2 3" xfId="16585" xr:uid="{00000000-0005-0000-0000-0000C9400000}"/>
    <cellStyle name="Normal 2 2 2 2 5 3 2 4" xfId="16586" xr:uid="{00000000-0005-0000-0000-0000CA400000}"/>
    <cellStyle name="Normal 2 2 2 2 5 3 2 5" xfId="16587" xr:uid="{00000000-0005-0000-0000-0000CB400000}"/>
    <cellStyle name="Normal 2 2 2 2 5 3 2 6" xfId="16588" xr:uid="{00000000-0005-0000-0000-0000CC400000}"/>
    <cellStyle name="Normal 2 2 2 2 5 3 2 7" xfId="16589" xr:uid="{00000000-0005-0000-0000-0000CD400000}"/>
    <cellStyle name="Normal 2 2 2 2 5 3 2 8" xfId="16590" xr:uid="{00000000-0005-0000-0000-0000CE400000}"/>
    <cellStyle name="Normal 2 2 2 2 5 3 2 9" xfId="16591" xr:uid="{00000000-0005-0000-0000-0000CF400000}"/>
    <cellStyle name="Normal 2 2 2 2 5 3 3" xfId="16592" xr:uid="{00000000-0005-0000-0000-0000D0400000}"/>
    <cellStyle name="Normal 2 2 2 2 5 3 3 10" xfId="16593" xr:uid="{00000000-0005-0000-0000-0000D1400000}"/>
    <cellStyle name="Normal 2 2 2 2 5 3 3 2" xfId="16594" xr:uid="{00000000-0005-0000-0000-0000D2400000}"/>
    <cellStyle name="Normal 2 2 2 2 5 3 3 3" xfId="16595" xr:uid="{00000000-0005-0000-0000-0000D3400000}"/>
    <cellStyle name="Normal 2 2 2 2 5 3 3 4" xfId="16596" xr:uid="{00000000-0005-0000-0000-0000D4400000}"/>
    <cellStyle name="Normal 2 2 2 2 5 3 3 5" xfId="16597" xr:uid="{00000000-0005-0000-0000-0000D5400000}"/>
    <cellStyle name="Normal 2 2 2 2 5 3 3 6" xfId="16598" xr:uid="{00000000-0005-0000-0000-0000D6400000}"/>
    <cellStyle name="Normal 2 2 2 2 5 3 3 7" xfId="16599" xr:uid="{00000000-0005-0000-0000-0000D7400000}"/>
    <cellStyle name="Normal 2 2 2 2 5 3 3 8" xfId="16600" xr:uid="{00000000-0005-0000-0000-0000D8400000}"/>
    <cellStyle name="Normal 2 2 2 2 5 3 3 9" xfId="16601" xr:uid="{00000000-0005-0000-0000-0000D9400000}"/>
    <cellStyle name="Normal 2 2 2 2 5 3 4" xfId="16602" xr:uid="{00000000-0005-0000-0000-0000DA400000}"/>
    <cellStyle name="Normal 2 2 2 2 5 3 4 10" xfId="16603" xr:uid="{00000000-0005-0000-0000-0000DB400000}"/>
    <cellStyle name="Normal 2 2 2 2 5 3 4 2" xfId="16604" xr:uid="{00000000-0005-0000-0000-0000DC400000}"/>
    <cellStyle name="Normal 2 2 2 2 5 3 4 3" xfId="16605" xr:uid="{00000000-0005-0000-0000-0000DD400000}"/>
    <cellStyle name="Normal 2 2 2 2 5 3 4 4" xfId="16606" xr:uid="{00000000-0005-0000-0000-0000DE400000}"/>
    <cellStyle name="Normal 2 2 2 2 5 3 4 5" xfId="16607" xr:uid="{00000000-0005-0000-0000-0000DF400000}"/>
    <cellStyle name="Normal 2 2 2 2 5 3 4 6" xfId="16608" xr:uid="{00000000-0005-0000-0000-0000E0400000}"/>
    <cellStyle name="Normal 2 2 2 2 5 3 4 7" xfId="16609" xr:uid="{00000000-0005-0000-0000-0000E1400000}"/>
    <cellStyle name="Normal 2 2 2 2 5 3 4 8" xfId="16610" xr:uid="{00000000-0005-0000-0000-0000E2400000}"/>
    <cellStyle name="Normal 2 2 2 2 5 3 4 9" xfId="16611" xr:uid="{00000000-0005-0000-0000-0000E3400000}"/>
    <cellStyle name="Normal 2 2 2 2 5 3 5" xfId="16612" xr:uid="{00000000-0005-0000-0000-0000E4400000}"/>
    <cellStyle name="Normal 2 2 2 2 5 3 5 10" xfId="16613" xr:uid="{00000000-0005-0000-0000-0000E5400000}"/>
    <cellStyle name="Normal 2 2 2 2 5 3 5 2" xfId="16614" xr:uid="{00000000-0005-0000-0000-0000E6400000}"/>
    <cellStyle name="Normal 2 2 2 2 5 3 5 3" xfId="16615" xr:uid="{00000000-0005-0000-0000-0000E7400000}"/>
    <cellStyle name="Normal 2 2 2 2 5 3 5 4" xfId="16616" xr:uid="{00000000-0005-0000-0000-0000E8400000}"/>
    <cellStyle name="Normal 2 2 2 2 5 3 5 5" xfId="16617" xr:uid="{00000000-0005-0000-0000-0000E9400000}"/>
    <cellStyle name="Normal 2 2 2 2 5 3 5 6" xfId="16618" xr:uid="{00000000-0005-0000-0000-0000EA400000}"/>
    <cellStyle name="Normal 2 2 2 2 5 3 5 7" xfId="16619" xr:uid="{00000000-0005-0000-0000-0000EB400000}"/>
    <cellStyle name="Normal 2 2 2 2 5 3 5 8" xfId="16620" xr:uid="{00000000-0005-0000-0000-0000EC400000}"/>
    <cellStyle name="Normal 2 2 2 2 5 3 5 9" xfId="16621" xr:uid="{00000000-0005-0000-0000-0000ED400000}"/>
    <cellStyle name="Normal 2 2 2 2 5 3 6" xfId="16622" xr:uid="{00000000-0005-0000-0000-0000EE400000}"/>
    <cellStyle name="Normal 2 2 2 2 5 3 7" xfId="16623" xr:uid="{00000000-0005-0000-0000-0000EF400000}"/>
    <cellStyle name="Normal 2 2 2 2 5 3 8" xfId="16624" xr:uid="{00000000-0005-0000-0000-0000F0400000}"/>
    <cellStyle name="Normal 2 2 2 2 5 3 9" xfId="16625" xr:uid="{00000000-0005-0000-0000-0000F1400000}"/>
    <cellStyle name="Normal 2 2 2 2 5 4" xfId="16626" xr:uid="{00000000-0005-0000-0000-0000F2400000}"/>
    <cellStyle name="Normal 2 2 2 2 5 4 10" xfId="16627" xr:uid="{00000000-0005-0000-0000-0000F3400000}"/>
    <cellStyle name="Normal 2 2 2 2 5 4 11" xfId="16628" xr:uid="{00000000-0005-0000-0000-0000F4400000}"/>
    <cellStyle name="Normal 2 2 2 2 5 4 12" xfId="16629" xr:uid="{00000000-0005-0000-0000-0000F5400000}"/>
    <cellStyle name="Normal 2 2 2 2 5 4 13" xfId="16630" xr:uid="{00000000-0005-0000-0000-0000F6400000}"/>
    <cellStyle name="Normal 2 2 2 2 5 4 14" xfId="16631" xr:uid="{00000000-0005-0000-0000-0000F7400000}"/>
    <cellStyle name="Normal 2 2 2 2 5 4 2" xfId="16632" xr:uid="{00000000-0005-0000-0000-0000F8400000}"/>
    <cellStyle name="Normal 2 2 2 2 5 4 2 10" xfId="16633" xr:uid="{00000000-0005-0000-0000-0000F9400000}"/>
    <cellStyle name="Normal 2 2 2 2 5 4 2 2" xfId="16634" xr:uid="{00000000-0005-0000-0000-0000FA400000}"/>
    <cellStyle name="Normal 2 2 2 2 5 4 2 3" xfId="16635" xr:uid="{00000000-0005-0000-0000-0000FB400000}"/>
    <cellStyle name="Normal 2 2 2 2 5 4 2 4" xfId="16636" xr:uid="{00000000-0005-0000-0000-0000FC400000}"/>
    <cellStyle name="Normal 2 2 2 2 5 4 2 5" xfId="16637" xr:uid="{00000000-0005-0000-0000-0000FD400000}"/>
    <cellStyle name="Normal 2 2 2 2 5 4 2 6" xfId="16638" xr:uid="{00000000-0005-0000-0000-0000FE400000}"/>
    <cellStyle name="Normal 2 2 2 2 5 4 2 7" xfId="16639" xr:uid="{00000000-0005-0000-0000-0000FF400000}"/>
    <cellStyle name="Normal 2 2 2 2 5 4 2 8" xfId="16640" xr:uid="{00000000-0005-0000-0000-000000410000}"/>
    <cellStyle name="Normal 2 2 2 2 5 4 2 9" xfId="16641" xr:uid="{00000000-0005-0000-0000-000001410000}"/>
    <cellStyle name="Normal 2 2 2 2 5 4 3" xfId="16642" xr:uid="{00000000-0005-0000-0000-000002410000}"/>
    <cellStyle name="Normal 2 2 2 2 5 4 3 10" xfId="16643" xr:uid="{00000000-0005-0000-0000-000003410000}"/>
    <cellStyle name="Normal 2 2 2 2 5 4 3 2" xfId="16644" xr:uid="{00000000-0005-0000-0000-000004410000}"/>
    <cellStyle name="Normal 2 2 2 2 5 4 3 3" xfId="16645" xr:uid="{00000000-0005-0000-0000-000005410000}"/>
    <cellStyle name="Normal 2 2 2 2 5 4 3 4" xfId="16646" xr:uid="{00000000-0005-0000-0000-000006410000}"/>
    <cellStyle name="Normal 2 2 2 2 5 4 3 5" xfId="16647" xr:uid="{00000000-0005-0000-0000-000007410000}"/>
    <cellStyle name="Normal 2 2 2 2 5 4 3 6" xfId="16648" xr:uid="{00000000-0005-0000-0000-000008410000}"/>
    <cellStyle name="Normal 2 2 2 2 5 4 3 7" xfId="16649" xr:uid="{00000000-0005-0000-0000-000009410000}"/>
    <cellStyle name="Normal 2 2 2 2 5 4 3 8" xfId="16650" xr:uid="{00000000-0005-0000-0000-00000A410000}"/>
    <cellStyle name="Normal 2 2 2 2 5 4 3 9" xfId="16651" xr:uid="{00000000-0005-0000-0000-00000B410000}"/>
    <cellStyle name="Normal 2 2 2 2 5 4 4" xfId="16652" xr:uid="{00000000-0005-0000-0000-00000C410000}"/>
    <cellStyle name="Normal 2 2 2 2 5 4 4 10" xfId="16653" xr:uid="{00000000-0005-0000-0000-00000D410000}"/>
    <cellStyle name="Normal 2 2 2 2 5 4 4 2" xfId="16654" xr:uid="{00000000-0005-0000-0000-00000E410000}"/>
    <cellStyle name="Normal 2 2 2 2 5 4 4 3" xfId="16655" xr:uid="{00000000-0005-0000-0000-00000F410000}"/>
    <cellStyle name="Normal 2 2 2 2 5 4 4 4" xfId="16656" xr:uid="{00000000-0005-0000-0000-000010410000}"/>
    <cellStyle name="Normal 2 2 2 2 5 4 4 5" xfId="16657" xr:uid="{00000000-0005-0000-0000-000011410000}"/>
    <cellStyle name="Normal 2 2 2 2 5 4 4 6" xfId="16658" xr:uid="{00000000-0005-0000-0000-000012410000}"/>
    <cellStyle name="Normal 2 2 2 2 5 4 4 7" xfId="16659" xr:uid="{00000000-0005-0000-0000-000013410000}"/>
    <cellStyle name="Normal 2 2 2 2 5 4 4 8" xfId="16660" xr:uid="{00000000-0005-0000-0000-000014410000}"/>
    <cellStyle name="Normal 2 2 2 2 5 4 4 9" xfId="16661" xr:uid="{00000000-0005-0000-0000-000015410000}"/>
    <cellStyle name="Normal 2 2 2 2 5 4 5" xfId="16662" xr:uid="{00000000-0005-0000-0000-000016410000}"/>
    <cellStyle name="Normal 2 2 2 2 5 4 5 10" xfId="16663" xr:uid="{00000000-0005-0000-0000-000017410000}"/>
    <cellStyle name="Normal 2 2 2 2 5 4 5 2" xfId="16664" xr:uid="{00000000-0005-0000-0000-000018410000}"/>
    <cellStyle name="Normal 2 2 2 2 5 4 5 3" xfId="16665" xr:uid="{00000000-0005-0000-0000-000019410000}"/>
    <cellStyle name="Normal 2 2 2 2 5 4 5 4" xfId="16666" xr:uid="{00000000-0005-0000-0000-00001A410000}"/>
    <cellStyle name="Normal 2 2 2 2 5 4 5 5" xfId="16667" xr:uid="{00000000-0005-0000-0000-00001B410000}"/>
    <cellStyle name="Normal 2 2 2 2 5 4 5 6" xfId="16668" xr:uid="{00000000-0005-0000-0000-00001C410000}"/>
    <cellStyle name="Normal 2 2 2 2 5 4 5 7" xfId="16669" xr:uid="{00000000-0005-0000-0000-00001D410000}"/>
    <cellStyle name="Normal 2 2 2 2 5 4 5 8" xfId="16670" xr:uid="{00000000-0005-0000-0000-00001E410000}"/>
    <cellStyle name="Normal 2 2 2 2 5 4 5 9" xfId="16671" xr:uid="{00000000-0005-0000-0000-00001F410000}"/>
    <cellStyle name="Normal 2 2 2 2 5 4 6" xfId="16672" xr:uid="{00000000-0005-0000-0000-000020410000}"/>
    <cellStyle name="Normal 2 2 2 2 5 4 7" xfId="16673" xr:uid="{00000000-0005-0000-0000-000021410000}"/>
    <cellStyle name="Normal 2 2 2 2 5 4 8" xfId="16674" xr:uid="{00000000-0005-0000-0000-000022410000}"/>
    <cellStyle name="Normal 2 2 2 2 5 4 9" xfId="16675" xr:uid="{00000000-0005-0000-0000-000023410000}"/>
    <cellStyle name="Normal 2 2 2 2 5 5" xfId="16676" xr:uid="{00000000-0005-0000-0000-000024410000}"/>
    <cellStyle name="Normal 2 2 2 2 5 5 10" xfId="16677" xr:uid="{00000000-0005-0000-0000-000025410000}"/>
    <cellStyle name="Normal 2 2 2 2 5 5 11" xfId="16678" xr:uid="{00000000-0005-0000-0000-000026410000}"/>
    <cellStyle name="Normal 2 2 2 2 5 5 12" xfId="16679" xr:uid="{00000000-0005-0000-0000-000027410000}"/>
    <cellStyle name="Normal 2 2 2 2 5 5 13" xfId="16680" xr:uid="{00000000-0005-0000-0000-000028410000}"/>
    <cellStyle name="Normal 2 2 2 2 5 5 14" xfId="16681" xr:uid="{00000000-0005-0000-0000-000029410000}"/>
    <cellStyle name="Normal 2 2 2 2 5 5 2" xfId="16682" xr:uid="{00000000-0005-0000-0000-00002A410000}"/>
    <cellStyle name="Normal 2 2 2 2 5 5 2 10" xfId="16683" xr:uid="{00000000-0005-0000-0000-00002B410000}"/>
    <cellStyle name="Normal 2 2 2 2 5 5 2 2" xfId="16684" xr:uid="{00000000-0005-0000-0000-00002C410000}"/>
    <cellStyle name="Normal 2 2 2 2 5 5 2 3" xfId="16685" xr:uid="{00000000-0005-0000-0000-00002D410000}"/>
    <cellStyle name="Normal 2 2 2 2 5 5 2 4" xfId="16686" xr:uid="{00000000-0005-0000-0000-00002E410000}"/>
    <cellStyle name="Normal 2 2 2 2 5 5 2 5" xfId="16687" xr:uid="{00000000-0005-0000-0000-00002F410000}"/>
    <cellStyle name="Normal 2 2 2 2 5 5 2 6" xfId="16688" xr:uid="{00000000-0005-0000-0000-000030410000}"/>
    <cellStyle name="Normal 2 2 2 2 5 5 2 7" xfId="16689" xr:uid="{00000000-0005-0000-0000-000031410000}"/>
    <cellStyle name="Normal 2 2 2 2 5 5 2 8" xfId="16690" xr:uid="{00000000-0005-0000-0000-000032410000}"/>
    <cellStyle name="Normal 2 2 2 2 5 5 2 9" xfId="16691" xr:uid="{00000000-0005-0000-0000-000033410000}"/>
    <cellStyle name="Normal 2 2 2 2 5 5 3" xfId="16692" xr:uid="{00000000-0005-0000-0000-000034410000}"/>
    <cellStyle name="Normal 2 2 2 2 5 5 3 10" xfId="16693" xr:uid="{00000000-0005-0000-0000-000035410000}"/>
    <cellStyle name="Normal 2 2 2 2 5 5 3 2" xfId="16694" xr:uid="{00000000-0005-0000-0000-000036410000}"/>
    <cellStyle name="Normal 2 2 2 2 5 5 3 3" xfId="16695" xr:uid="{00000000-0005-0000-0000-000037410000}"/>
    <cellStyle name="Normal 2 2 2 2 5 5 3 4" xfId="16696" xr:uid="{00000000-0005-0000-0000-000038410000}"/>
    <cellStyle name="Normal 2 2 2 2 5 5 3 5" xfId="16697" xr:uid="{00000000-0005-0000-0000-000039410000}"/>
    <cellStyle name="Normal 2 2 2 2 5 5 3 6" xfId="16698" xr:uid="{00000000-0005-0000-0000-00003A410000}"/>
    <cellStyle name="Normal 2 2 2 2 5 5 3 7" xfId="16699" xr:uid="{00000000-0005-0000-0000-00003B410000}"/>
    <cellStyle name="Normal 2 2 2 2 5 5 3 8" xfId="16700" xr:uid="{00000000-0005-0000-0000-00003C410000}"/>
    <cellStyle name="Normal 2 2 2 2 5 5 3 9" xfId="16701" xr:uid="{00000000-0005-0000-0000-00003D410000}"/>
    <cellStyle name="Normal 2 2 2 2 5 5 4" xfId="16702" xr:uid="{00000000-0005-0000-0000-00003E410000}"/>
    <cellStyle name="Normal 2 2 2 2 5 5 4 10" xfId="16703" xr:uid="{00000000-0005-0000-0000-00003F410000}"/>
    <cellStyle name="Normal 2 2 2 2 5 5 4 2" xfId="16704" xr:uid="{00000000-0005-0000-0000-000040410000}"/>
    <cellStyle name="Normal 2 2 2 2 5 5 4 3" xfId="16705" xr:uid="{00000000-0005-0000-0000-000041410000}"/>
    <cellStyle name="Normal 2 2 2 2 5 5 4 4" xfId="16706" xr:uid="{00000000-0005-0000-0000-000042410000}"/>
    <cellStyle name="Normal 2 2 2 2 5 5 4 5" xfId="16707" xr:uid="{00000000-0005-0000-0000-000043410000}"/>
    <cellStyle name="Normal 2 2 2 2 5 5 4 6" xfId="16708" xr:uid="{00000000-0005-0000-0000-000044410000}"/>
    <cellStyle name="Normal 2 2 2 2 5 5 4 7" xfId="16709" xr:uid="{00000000-0005-0000-0000-000045410000}"/>
    <cellStyle name="Normal 2 2 2 2 5 5 4 8" xfId="16710" xr:uid="{00000000-0005-0000-0000-000046410000}"/>
    <cellStyle name="Normal 2 2 2 2 5 5 4 9" xfId="16711" xr:uid="{00000000-0005-0000-0000-000047410000}"/>
    <cellStyle name="Normal 2 2 2 2 5 5 5" xfId="16712" xr:uid="{00000000-0005-0000-0000-000048410000}"/>
    <cellStyle name="Normal 2 2 2 2 5 5 5 10" xfId="16713" xr:uid="{00000000-0005-0000-0000-000049410000}"/>
    <cellStyle name="Normal 2 2 2 2 5 5 5 2" xfId="16714" xr:uid="{00000000-0005-0000-0000-00004A410000}"/>
    <cellStyle name="Normal 2 2 2 2 5 5 5 3" xfId="16715" xr:uid="{00000000-0005-0000-0000-00004B410000}"/>
    <cellStyle name="Normal 2 2 2 2 5 5 5 4" xfId="16716" xr:uid="{00000000-0005-0000-0000-00004C410000}"/>
    <cellStyle name="Normal 2 2 2 2 5 5 5 5" xfId="16717" xr:uid="{00000000-0005-0000-0000-00004D410000}"/>
    <cellStyle name="Normal 2 2 2 2 5 5 5 6" xfId="16718" xr:uid="{00000000-0005-0000-0000-00004E410000}"/>
    <cellStyle name="Normal 2 2 2 2 5 5 5 7" xfId="16719" xr:uid="{00000000-0005-0000-0000-00004F410000}"/>
    <cellStyle name="Normal 2 2 2 2 5 5 5 8" xfId="16720" xr:uid="{00000000-0005-0000-0000-000050410000}"/>
    <cellStyle name="Normal 2 2 2 2 5 5 5 9" xfId="16721" xr:uid="{00000000-0005-0000-0000-000051410000}"/>
    <cellStyle name="Normal 2 2 2 2 5 5 6" xfId="16722" xr:uid="{00000000-0005-0000-0000-000052410000}"/>
    <cellStyle name="Normal 2 2 2 2 5 5 7" xfId="16723" xr:uid="{00000000-0005-0000-0000-000053410000}"/>
    <cellStyle name="Normal 2 2 2 2 5 5 8" xfId="16724" xr:uid="{00000000-0005-0000-0000-000054410000}"/>
    <cellStyle name="Normal 2 2 2 2 5 5 9" xfId="16725" xr:uid="{00000000-0005-0000-0000-000055410000}"/>
    <cellStyle name="Normal 2 2 2 2 5 6" xfId="16726" xr:uid="{00000000-0005-0000-0000-000056410000}"/>
    <cellStyle name="Normal 2 2 2 2 5 6 10" xfId="16727" xr:uid="{00000000-0005-0000-0000-000057410000}"/>
    <cellStyle name="Normal 2 2 2 2 5 6 11" xfId="16728" xr:uid="{00000000-0005-0000-0000-000058410000}"/>
    <cellStyle name="Normal 2 2 2 2 5 6 12" xfId="16729" xr:uid="{00000000-0005-0000-0000-000059410000}"/>
    <cellStyle name="Normal 2 2 2 2 5 6 13" xfId="16730" xr:uid="{00000000-0005-0000-0000-00005A410000}"/>
    <cellStyle name="Normal 2 2 2 2 5 6 14" xfId="16731" xr:uid="{00000000-0005-0000-0000-00005B410000}"/>
    <cellStyle name="Normal 2 2 2 2 5 6 2" xfId="16732" xr:uid="{00000000-0005-0000-0000-00005C410000}"/>
    <cellStyle name="Normal 2 2 2 2 5 6 2 10" xfId="16733" xr:uid="{00000000-0005-0000-0000-00005D410000}"/>
    <cellStyle name="Normal 2 2 2 2 5 6 2 2" xfId="16734" xr:uid="{00000000-0005-0000-0000-00005E410000}"/>
    <cellStyle name="Normal 2 2 2 2 5 6 2 3" xfId="16735" xr:uid="{00000000-0005-0000-0000-00005F410000}"/>
    <cellStyle name="Normal 2 2 2 2 5 6 2 4" xfId="16736" xr:uid="{00000000-0005-0000-0000-000060410000}"/>
    <cellStyle name="Normal 2 2 2 2 5 6 2 5" xfId="16737" xr:uid="{00000000-0005-0000-0000-000061410000}"/>
    <cellStyle name="Normal 2 2 2 2 5 6 2 6" xfId="16738" xr:uid="{00000000-0005-0000-0000-000062410000}"/>
    <cellStyle name="Normal 2 2 2 2 5 6 2 7" xfId="16739" xr:uid="{00000000-0005-0000-0000-000063410000}"/>
    <cellStyle name="Normal 2 2 2 2 5 6 2 8" xfId="16740" xr:uid="{00000000-0005-0000-0000-000064410000}"/>
    <cellStyle name="Normal 2 2 2 2 5 6 2 9" xfId="16741" xr:uid="{00000000-0005-0000-0000-000065410000}"/>
    <cellStyle name="Normal 2 2 2 2 5 6 3" xfId="16742" xr:uid="{00000000-0005-0000-0000-000066410000}"/>
    <cellStyle name="Normal 2 2 2 2 5 6 3 10" xfId="16743" xr:uid="{00000000-0005-0000-0000-000067410000}"/>
    <cellStyle name="Normal 2 2 2 2 5 6 3 2" xfId="16744" xr:uid="{00000000-0005-0000-0000-000068410000}"/>
    <cellStyle name="Normal 2 2 2 2 5 6 3 3" xfId="16745" xr:uid="{00000000-0005-0000-0000-000069410000}"/>
    <cellStyle name="Normal 2 2 2 2 5 6 3 4" xfId="16746" xr:uid="{00000000-0005-0000-0000-00006A410000}"/>
    <cellStyle name="Normal 2 2 2 2 5 6 3 5" xfId="16747" xr:uid="{00000000-0005-0000-0000-00006B410000}"/>
    <cellStyle name="Normal 2 2 2 2 5 6 3 6" xfId="16748" xr:uid="{00000000-0005-0000-0000-00006C410000}"/>
    <cellStyle name="Normal 2 2 2 2 5 6 3 7" xfId="16749" xr:uid="{00000000-0005-0000-0000-00006D410000}"/>
    <cellStyle name="Normal 2 2 2 2 5 6 3 8" xfId="16750" xr:uid="{00000000-0005-0000-0000-00006E410000}"/>
    <cellStyle name="Normal 2 2 2 2 5 6 3 9" xfId="16751" xr:uid="{00000000-0005-0000-0000-00006F410000}"/>
    <cellStyle name="Normal 2 2 2 2 5 6 4" xfId="16752" xr:uid="{00000000-0005-0000-0000-000070410000}"/>
    <cellStyle name="Normal 2 2 2 2 5 6 4 10" xfId="16753" xr:uid="{00000000-0005-0000-0000-000071410000}"/>
    <cellStyle name="Normal 2 2 2 2 5 6 4 2" xfId="16754" xr:uid="{00000000-0005-0000-0000-000072410000}"/>
    <cellStyle name="Normal 2 2 2 2 5 6 4 3" xfId="16755" xr:uid="{00000000-0005-0000-0000-000073410000}"/>
    <cellStyle name="Normal 2 2 2 2 5 6 4 4" xfId="16756" xr:uid="{00000000-0005-0000-0000-000074410000}"/>
    <cellStyle name="Normal 2 2 2 2 5 6 4 5" xfId="16757" xr:uid="{00000000-0005-0000-0000-000075410000}"/>
    <cellStyle name="Normal 2 2 2 2 5 6 4 6" xfId="16758" xr:uid="{00000000-0005-0000-0000-000076410000}"/>
    <cellStyle name="Normal 2 2 2 2 5 6 4 7" xfId="16759" xr:uid="{00000000-0005-0000-0000-000077410000}"/>
    <cellStyle name="Normal 2 2 2 2 5 6 4 8" xfId="16760" xr:uid="{00000000-0005-0000-0000-000078410000}"/>
    <cellStyle name="Normal 2 2 2 2 5 6 4 9" xfId="16761" xr:uid="{00000000-0005-0000-0000-000079410000}"/>
    <cellStyle name="Normal 2 2 2 2 5 6 5" xfId="16762" xr:uid="{00000000-0005-0000-0000-00007A410000}"/>
    <cellStyle name="Normal 2 2 2 2 5 6 5 10" xfId="16763" xr:uid="{00000000-0005-0000-0000-00007B410000}"/>
    <cellStyle name="Normal 2 2 2 2 5 6 5 2" xfId="16764" xr:uid="{00000000-0005-0000-0000-00007C410000}"/>
    <cellStyle name="Normal 2 2 2 2 5 6 5 3" xfId="16765" xr:uid="{00000000-0005-0000-0000-00007D410000}"/>
    <cellStyle name="Normal 2 2 2 2 5 6 5 4" xfId="16766" xr:uid="{00000000-0005-0000-0000-00007E410000}"/>
    <cellStyle name="Normal 2 2 2 2 5 6 5 5" xfId="16767" xr:uid="{00000000-0005-0000-0000-00007F410000}"/>
    <cellStyle name="Normal 2 2 2 2 5 6 5 6" xfId="16768" xr:uid="{00000000-0005-0000-0000-000080410000}"/>
    <cellStyle name="Normal 2 2 2 2 5 6 5 7" xfId="16769" xr:uid="{00000000-0005-0000-0000-000081410000}"/>
    <cellStyle name="Normal 2 2 2 2 5 6 5 8" xfId="16770" xr:uid="{00000000-0005-0000-0000-000082410000}"/>
    <cellStyle name="Normal 2 2 2 2 5 6 5 9" xfId="16771" xr:uid="{00000000-0005-0000-0000-000083410000}"/>
    <cellStyle name="Normal 2 2 2 2 5 6 6" xfId="16772" xr:uid="{00000000-0005-0000-0000-000084410000}"/>
    <cellStyle name="Normal 2 2 2 2 5 6 7" xfId="16773" xr:uid="{00000000-0005-0000-0000-000085410000}"/>
    <cellStyle name="Normal 2 2 2 2 5 6 8" xfId="16774" xr:uid="{00000000-0005-0000-0000-000086410000}"/>
    <cellStyle name="Normal 2 2 2 2 5 6 9" xfId="16775" xr:uid="{00000000-0005-0000-0000-000087410000}"/>
    <cellStyle name="Normal 2 2 2 2 5 7" xfId="16776" xr:uid="{00000000-0005-0000-0000-000088410000}"/>
    <cellStyle name="Normal 2 2 2 2 5 7 10" xfId="16777" xr:uid="{00000000-0005-0000-0000-000089410000}"/>
    <cellStyle name="Normal 2 2 2 2 5 7 11" xfId="16778" xr:uid="{00000000-0005-0000-0000-00008A410000}"/>
    <cellStyle name="Normal 2 2 2 2 5 7 12" xfId="16779" xr:uid="{00000000-0005-0000-0000-00008B410000}"/>
    <cellStyle name="Normal 2 2 2 2 5 7 13" xfId="16780" xr:uid="{00000000-0005-0000-0000-00008C410000}"/>
    <cellStyle name="Normal 2 2 2 2 5 7 14" xfId="16781" xr:uid="{00000000-0005-0000-0000-00008D410000}"/>
    <cellStyle name="Normal 2 2 2 2 5 7 2" xfId="16782" xr:uid="{00000000-0005-0000-0000-00008E410000}"/>
    <cellStyle name="Normal 2 2 2 2 5 7 2 10" xfId="16783" xr:uid="{00000000-0005-0000-0000-00008F410000}"/>
    <cellStyle name="Normal 2 2 2 2 5 7 2 2" xfId="16784" xr:uid="{00000000-0005-0000-0000-000090410000}"/>
    <cellStyle name="Normal 2 2 2 2 5 7 2 3" xfId="16785" xr:uid="{00000000-0005-0000-0000-000091410000}"/>
    <cellStyle name="Normal 2 2 2 2 5 7 2 4" xfId="16786" xr:uid="{00000000-0005-0000-0000-000092410000}"/>
    <cellStyle name="Normal 2 2 2 2 5 7 2 5" xfId="16787" xr:uid="{00000000-0005-0000-0000-000093410000}"/>
    <cellStyle name="Normal 2 2 2 2 5 7 2 6" xfId="16788" xr:uid="{00000000-0005-0000-0000-000094410000}"/>
    <cellStyle name="Normal 2 2 2 2 5 7 2 7" xfId="16789" xr:uid="{00000000-0005-0000-0000-000095410000}"/>
    <cellStyle name="Normal 2 2 2 2 5 7 2 8" xfId="16790" xr:uid="{00000000-0005-0000-0000-000096410000}"/>
    <cellStyle name="Normal 2 2 2 2 5 7 2 9" xfId="16791" xr:uid="{00000000-0005-0000-0000-000097410000}"/>
    <cellStyle name="Normal 2 2 2 2 5 7 3" xfId="16792" xr:uid="{00000000-0005-0000-0000-000098410000}"/>
    <cellStyle name="Normal 2 2 2 2 5 7 3 10" xfId="16793" xr:uid="{00000000-0005-0000-0000-000099410000}"/>
    <cellStyle name="Normal 2 2 2 2 5 7 3 2" xfId="16794" xr:uid="{00000000-0005-0000-0000-00009A410000}"/>
    <cellStyle name="Normal 2 2 2 2 5 7 3 3" xfId="16795" xr:uid="{00000000-0005-0000-0000-00009B410000}"/>
    <cellStyle name="Normal 2 2 2 2 5 7 3 4" xfId="16796" xr:uid="{00000000-0005-0000-0000-00009C410000}"/>
    <cellStyle name="Normal 2 2 2 2 5 7 3 5" xfId="16797" xr:uid="{00000000-0005-0000-0000-00009D410000}"/>
    <cellStyle name="Normal 2 2 2 2 5 7 3 6" xfId="16798" xr:uid="{00000000-0005-0000-0000-00009E410000}"/>
    <cellStyle name="Normal 2 2 2 2 5 7 3 7" xfId="16799" xr:uid="{00000000-0005-0000-0000-00009F410000}"/>
    <cellStyle name="Normal 2 2 2 2 5 7 3 8" xfId="16800" xr:uid="{00000000-0005-0000-0000-0000A0410000}"/>
    <cellStyle name="Normal 2 2 2 2 5 7 3 9" xfId="16801" xr:uid="{00000000-0005-0000-0000-0000A1410000}"/>
    <cellStyle name="Normal 2 2 2 2 5 7 4" xfId="16802" xr:uid="{00000000-0005-0000-0000-0000A2410000}"/>
    <cellStyle name="Normal 2 2 2 2 5 7 4 10" xfId="16803" xr:uid="{00000000-0005-0000-0000-0000A3410000}"/>
    <cellStyle name="Normal 2 2 2 2 5 7 4 2" xfId="16804" xr:uid="{00000000-0005-0000-0000-0000A4410000}"/>
    <cellStyle name="Normal 2 2 2 2 5 7 4 3" xfId="16805" xr:uid="{00000000-0005-0000-0000-0000A5410000}"/>
    <cellStyle name="Normal 2 2 2 2 5 7 4 4" xfId="16806" xr:uid="{00000000-0005-0000-0000-0000A6410000}"/>
    <cellStyle name="Normal 2 2 2 2 5 7 4 5" xfId="16807" xr:uid="{00000000-0005-0000-0000-0000A7410000}"/>
    <cellStyle name="Normal 2 2 2 2 5 7 4 6" xfId="16808" xr:uid="{00000000-0005-0000-0000-0000A8410000}"/>
    <cellStyle name="Normal 2 2 2 2 5 7 4 7" xfId="16809" xr:uid="{00000000-0005-0000-0000-0000A9410000}"/>
    <cellStyle name="Normal 2 2 2 2 5 7 4 8" xfId="16810" xr:uid="{00000000-0005-0000-0000-0000AA410000}"/>
    <cellStyle name="Normal 2 2 2 2 5 7 4 9" xfId="16811" xr:uid="{00000000-0005-0000-0000-0000AB410000}"/>
    <cellStyle name="Normal 2 2 2 2 5 7 5" xfId="16812" xr:uid="{00000000-0005-0000-0000-0000AC410000}"/>
    <cellStyle name="Normal 2 2 2 2 5 7 5 10" xfId="16813" xr:uid="{00000000-0005-0000-0000-0000AD410000}"/>
    <cellStyle name="Normal 2 2 2 2 5 7 5 2" xfId="16814" xr:uid="{00000000-0005-0000-0000-0000AE410000}"/>
    <cellStyle name="Normal 2 2 2 2 5 7 5 3" xfId="16815" xr:uid="{00000000-0005-0000-0000-0000AF410000}"/>
    <cellStyle name="Normal 2 2 2 2 5 7 5 4" xfId="16816" xr:uid="{00000000-0005-0000-0000-0000B0410000}"/>
    <cellStyle name="Normal 2 2 2 2 5 7 5 5" xfId="16817" xr:uid="{00000000-0005-0000-0000-0000B1410000}"/>
    <cellStyle name="Normal 2 2 2 2 5 7 5 6" xfId="16818" xr:uid="{00000000-0005-0000-0000-0000B2410000}"/>
    <cellStyle name="Normal 2 2 2 2 5 7 5 7" xfId="16819" xr:uid="{00000000-0005-0000-0000-0000B3410000}"/>
    <cellStyle name="Normal 2 2 2 2 5 7 5 8" xfId="16820" xr:uid="{00000000-0005-0000-0000-0000B4410000}"/>
    <cellStyle name="Normal 2 2 2 2 5 7 5 9" xfId="16821" xr:uid="{00000000-0005-0000-0000-0000B5410000}"/>
    <cellStyle name="Normal 2 2 2 2 5 7 6" xfId="16822" xr:uid="{00000000-0005-0000-0000-0000B6410000}"/>
    <cellStyle name="Normal 2 2 2 2 5 7 7" xfId="16823" xr:uid="{00000000-0005-0000-0000-0000B7410000}"/>
    <cellStyle name="Normal 2 2 2 2 5 7 8" xfId="16824" xr:uid="{00000000-0005-0000-0000-0000B8410000}"/>
    <cellStyle name="Normal 2 2 2 2 5 7 9" xfId="16825" xr:uid="{00000000-0005-0000-0000-0000B9410000}"/>
    <cellStyle name="Normal 2 2 2 2 5 8" xfId="16826" xr:uid="{00000000-0005-0000-0000-0000BA410000}"/>
    <cellStyle name="Normal 2 2 2 2 5 8 10" xfId="16827" xr:uid="{00000000-0005-0000-0000-0000BB410000}"/>
    <cellStyle name="Normal 2 2 2 2 5 8 11" xfId="16828" xr:uid="{00000000-0005-0000-0000-0000BC410000}"/>
    <cellStyle name="Normal 2 2 2 2 5 8 12" xfId="16829" xr:uid="{00000000-0005-0000-0000-0000BD410000}"/>
    <cellStyle name="Normal 2 2 2 2 5 8 13" xfId="16830" xr:uid="{00000000-0005-0000-0000-0000BE410000}"/>
    <cellStyle name="Normal 2 2 2 2 5 8 14" xfId="16831" xr:uid="{00000000-0005-0000-0000-0000BF410000}"/>
    <cellStyle name="Normal 2 2 2 2 5 8 2" xfId="16832" xr:uid="{00000000-0005-0000-0000-0000C0410000}"/>
    <cellStyle name="Normal 2 2 2 2 5 8 2 10" xfId="16833" xr:uid="{00000000-0005-0000-0000-0000C1410000}"/>
    <cellStyle name="Normal 2 2 2 2 5 8 2 2" xfId="16834" xr:uid="{00000000-0005-0000-0000-0000C2410000}"/>
    <cellStyle name="Normal 2 2 2 2 5 8 2 3" xfId="16835" xr:uid="{00000000-0005-0000-0000-0000C3410000}"/>
    <cellStyle name="Normal 2 2 2 2 5 8 2 4" xfId="16836" xr:uid="{00000000-0005-0000-0000-0000C4410000}"/>
    <cellStyle name="Normal 2 2 2 2 5 8 2 5" xfId="16837" xr:uid="{00000000-0005-0000-0000-0000C5410000}"/>
    <cellStyle name="Normal 2 2 2 2 5 8 2 6" xfId="16838" xr:uid="{00000000-0005-0000-0000-0000C6410000}"/>
    <cellStyle name="Normal 2 2 2 2 5 8 2 7" xfId="16839" xr:uid="{00000000-0005-0000-0000-0000C7410000}"/>
    <cellStyle name="Normal 2 2 2 2 5 8 2 8" xfId="16840" xr:uid="{00000000-0005-0000-0000-0000C8410000}"/>
    <cellStyle name="Normal 2 2 2 2 5 8 2 9" xfId="16841" xr:uid="{00000000-0005-0000-0000-0000C9410000}"/>
    <cellStyle name="Normal 2 2 2 2 5 8 3" xfId="16842" xr:uid="{00000000-0005-0000-0000-0000CA410000}"/>
    <cellStyle name="Normal 2 2 2 2 5 8 3 10" xfId="16843" xr:uid="{00000000-0005-0000-0000-0000CB410000}"/>
    <cellStyle name="Normal 2 2 2 2 5 8 3 2" xfId="16844" xr:uid="{00000000-0005-0000-0000-0000CC410000}"/>
    <cellStyle name="Normal 2 2 2 2 5 8 3 3" xfId="16845" xr:uid="{00000000-0005-0000-0000-0000CD410000}"/>
    <cellStyle name="Normal 2 2 2 2 5 8 3 4" xfId="16846" xr:uid="{00000000-0005-0000-0000-0000CE410000}"/>
    <cellStyle name="Normal 2 2 2 2 5 8 3 5" xfId="16847" xr:uid="{00000000-0005-0000-0000-0000CF410000}"/>
    <cellStyle name="Normal 2 2 2 2 5 8 3 6" xfId="16848" xr:uid="{00000000-0005-0000-0000-0000D0410000}"/>
    <cellStyle name="Normal 2 2 2 2 5 8 3 7" xfId="16849" xr:uid="{00000000-0005-0000-0000-0000D1410000}"/>
    <cellStyle name="Normal 2 2 2 2 5 8 3 8" xfId="16850" xr:uid="{00000000-0005-0000-0000-0000D2410000}"/>
    <cellStyle name="Normal 2 2 2 2 5 8 3 9" xfId="16851" xr:uid="{00000000-0005-0000-0000-0000D3410000}"/>
    <cellStyle name="Normal 2 2 2 2 5 8 4" xfId="16852" xr:uid="{00000000-0005-0000-0000-0000D4410000}"/>
    <cellStyle name="Normal 2 2 2 2 5 8 4 10" xfId="16853" xr:uid="{00000000-0005-0000-0000-0000D5410000}"/>
    <cellStyle name="Normal 2 2 2 2 5 8 4 2" xfId="16854" xr:uid="{00000000-0005-0000-0000-0000D6410000}"/>
    <cellStyle name="Normal 2 2 2 2 5 8 4 3" xfId="16855" xr:uid="{00000000-0005-0000-0000-0000D7410000}"/>
    <cellStyle name="Normal 2 2 2 2 5 8 4 4" xfId="16856" xr:uid="{00000000-0005-0000-0000-0000D8410000}"/>
    <cellStyle name="Normal 2 2 2 2 5 8 4 5" xfId="16857" xr:uid="{00000000-0005-0000-0000-0000D9410000}"/>
    <cellStyle name="Normal 2 2 2 2 5 8 4 6" xfId="16858" xr:uid="{00000000-0005-0000-0000-0000DA410000}"/>
    <cellStyle name="Normal 2 2 2 2 5 8 4 7" xfId="16859" xr:uid="{00000000-0005-0000-0000-0000DB410000}"/>
    <cellStyle name="Normal 2 2 2 2 5 8 4 8" xfId="16860" xr:uid="{00000000-0005-0000-0000-0000DC410000}"/>
    <cellStyle name="Normal 2 2 2 2 5 8 4 9" xfId="16861" xr:uid="{00000000-0005-0000-0000-0000DD410000}"/>
    <cellStyle name="Normal 2 2 2 2 5 8 5" xfId="16862" xr:uid="{00000000-0005-0000-0000-0000DE410000}"/>
    <cellStyle name="Normal 2 2 2 2 5 8 5 10" xfId="16863" xr:uid="{00000000-0005-0000-0000-0000DF410000}"/>
    <cellStyle name="Normal 2 2 2 2 5 8 5 2" xfId="16864" xr:uid="{00000000-0005-0000-0000-0000E0410000}"/>
    <cellStyle name="Normal 2 2 2 2 5 8 5 3" xfId="16865" xr:uid="{00000000-0005-0000-0000-0000E1410000}"/>
    <cellStyle name="Normal 2 2 2 2 5 8 5 4" xfId="16866" xr:uid="{00000000-0005-0000-0000-0000E2410000}"/>
    <cellStyle name="Normal 2 2 2 2 5 8 5 5" xfId="16867" xr:uid="{00000000-0005-0000-0000-0000E3410000}"/>
    <cellStyle name="Normal 2 2 2 2 5 8 5 6" xfId="16868" xr:uid="{00000000-0005-0000-0000-0000E4410000}"/>
    <cellStyle name="Normal 2 2 2 2 5 8 5 7" xfId="16869" xr:uid="{00000000-0005-0000-0000-0000E5410000}"/>
    <cellStyle name="Normal 2 2 2 2 5 8 5 8" xfId="16870" xr:uid="{00000000-0005-0000-0000-0000E6410000}"/>
    <cellStyle name="Normal 2 2 2 2 5 8 5 9" xfId="16871" xr:uid="{00000000-0005-0000-0000-0000E7410000}"/>
    <cellStyle name="Normal 2 2 2 2 5 8 6" xfId="16872" xr:uid="{00000000-0005-0000-0000-0000E8410000}"/>
    <cellStyle name="Normal 2 2 2 2 5 8 7" xfId="16873" xr:uid="{00000000-0005-0000-0000-0000E9410000}"/>
    <cellStyle name="Normal 2 2 2 2 5 8 8" xfId="16874" xr:uid="{00000000-0005-0000-0000-0000EA410000}"/>
    <cellStyle name="Normal 2 2 2 2 5 8 9" xfId="16875" xr:uid="{00000000-0005-0000-0000-0000EB410000}"/>
    <cellStyle name="Normal 2 2 2 2 5 9" xfId="16876" xr:uid="{00000000-0005-0000-0000-0000EC410000}"/>
    <cellStyle name="Normal 2 2 2 2 5 9 10" xfId="16877" xr:uid="{00000000-0005-0000-0000-0000ED410000}"/>
    <cellStyle name="Normal 2 2 2 2 5 9 11" xfId="16878" xr:uid="{00000000-0005-0000-0000-0000EE410000}"/>
    <cellStyle name="Normal 2 2 2 2 5 9 12" xfId="16879" xr:uid="{00000000-0005-0000-0000-0000EF410000}"/>
    <cellStyle name="Normal 2 2 2 2 5 9 13" xfId="16880" xr:uid="{00000000-0005-0000-0000-0000F0410000}"/>
    <cellStyle name="Normal 2 2 2 2 5 9 14" xfId="16881" xr:uid="{00000000-0005-0000-0000-0000F1410000}"/>
    <cellStyle name="Normal 2 2 2 2 5 9 2" xfId="16882" xr:uid="{00000000-0005-0000-0000-0000F2410000}"/>
    <cellStyle name="Normal 2 2 2 2 5 9 2 10" xfId="16883" xr:uid="{00000000-0005-0000-0000-0000F3410000}"/>
    <cellStyle name="Normal 2 2 2 2 5 9 2 2" xfId="16884" xr:uid="{00000000-0005-0000-0000-0000F4410000}"/>
    <cellStyle name="Normal 2 2 2 2 5 9 2 3" xfId="16885" xr:uid="{00000000-0005-0000-0000-0000F5410000}"/>
    <cellStyle name="Normal 2 2 2 2 5 9 2 4" xfId="16886" xr:uid="{00000000-0005-0000-0000-0000F6410000}"/>
    <cellStyle name="Normal 2 2 2 2 5 9 2 5" xfId="16887" xr:uid="{00000000-0005-0000-0000-0000F7410000}"/>
    <cellStyle name="Normal 2 2 2 2 5 9 2 6" xfId="16888" xr:uid="{00000000-0005-0000-0000-0000F8410000}"/>
    <cellStyle name="Normal 2 2 2 2 5 9 2 7" xfId="16889" xr:uid="{00000000-0005-0000-0000-0000F9410000}"/>
    <cellStyle name="Normal 2 2 2 2 5 9 2 8" xfId="16890" xr:uid="{00000000-0005-0000-0000-0000FA410000}"/>
    <cellStyle name="Normal 2 2 2 2 5 9 2 9" xfId="16891" xr:uid="{00000000-0005-0000-0000-0000FB410000}"/>
    <cellStyle name="Normal 2 2 2 2 5 9 3" xfId="16892" xr:uid="{00000000-0005-0000-0000-0000FC410000}"/>
    <cellStyle name="Normal 2 2 2 2 5 9 3 10" xfId="16893" xr:uid="{00000000-0005-0000-0000-0000FD410000}"/>
    <cellStyle name="Normal 2 2 2 2 5 9 3 2" xfId="16894" xr:uid="{00000000-0005-0000-0000-0000FE410000}"/>
    <cellStyle name="Normal 2 2 2 2 5 9 3 3" xfId="16895" xr:uid="{00000000-0005-0000-0000-0000FF410000}"/>
    <cellStyle name="Normal 2 2 2 2 5 9 3 4" xfId="16896" xr:uid="{00000000-0005-0000-0000-000000420000}"/>
    <cellStyle name="Normal 2 2 2 2 5 9 3 5" xfId="16897" xr:uid="{00000000-0005-0000-0000-000001420000}"/>
    <cellStyle name="Normal 2 2 2 2 5 9 3 6" xfId="16898" xr:uid="{00000000-0005-0000-0000-000002420000}"/>
    <cellStyle name="Normal 2 2 2 2 5 9 3 7" xfId="16899" xr:uid="{00000000-0005-0000-0000-000003420000}"/>
    <cellStyle name="Normal 2 2 2 2 5 9 3 8" xfId="16900" xr:uid="{00000000-0005-0000-0000-000004420000}"/>
    <cellStyle name="Normal 2 2 2 2 5 9 3 9" xfId="16901" xr:uid="{00000000-0005-0000-0000-000005420000}"/>
    <cellStyle name="Normal 2 2 2 2 5 9 4" xfId="16902" xr:uid="{00000000-0005-0000-0000-000006420000}"/>
    <cellStyle name="Normal 2 2 2 2 5 9 4 10" xfId="16903" xr:uid="{00000000-0005-0000-0000-000007420000}"/>
    <cellStyle name="Normal 2 2 2 2 5 9 4 2" xfId="16904" xr:uid="{00000000-0005-0000-0000-000008420000}"/>
    <cellStyle name="Normal 2 2 2 2 5 9 4 3" xfId="16905" xr:uid="{00000000-0005-0000-0000-000009420000}"/>
    <cellStyle name="Normal 2 2 2 2 5 9 4 4" xfId="16906" xr:uid="{00000000-0005-0000-0000-00000A420000}"/>
    <cellStyle name="Normal 2 2 2 2 5 9 4 5" xfId="16907" xr:uid="{00000000-0005-0000-0000-00000B420000}"/>
    <cellStyle name="Normal 2 2 2 2 5 9 4 6" xfId="16908" xr:uid="{00000000-0005-0000-0000-00000C420000}"/>
    <cellStyle name="Normal 2 2 2 2 5 9 4 7" xfId="16909" xr:uid="{00000000-0005-0000-0000-00000D420000}"/>
    <cellStyle name="Normal 2 2 2 2 5 9 4 8" xfId="16910" xr:uid="{00000000-0005-0000-0000-00000E420000}"/>
    <cellStyle name="Normal 2 2 2 2 5 9 4 9" xfId="16911" xr:uid="{00000000-0005-0000-0000-00000F420000}"/>
    <cellStyle name="Normal 2 2 2 2 5 9 5" xfId="16912" xr:uid="{00000000-0005-0000-0000-000010420000}"/>
    <cellStyle name="Normal 2 2 2 2 5 9 5 10" xfId="16913" xr:uid="{00000000-0005-0000-0000-000011420000}"/>
    <cellStyle name="Normal 2 2 2 2 5 9 5 2" xfId="16914" xr:uid="{00000000-0005-0000-0000-000012420000}"/>
    <cellStyle name="Normal 2 2 2 2 5 9 5 3" xfId="16915" xr:uid="{00000000-0005-0000-0000-000013420000}"/>
    <cellStyle name="Normal 2 2 2 2 5 9 5 4" xfId="16916" xr:uid="{00000000-0005-0000-0000-000014420000}"/>
    <cellStyle name="Normal 2 2 2 2 5 9 5 5" xfId="16917" xr:uid="{00000000-0005-0000-0000-000015420000}"/>
    <cellStyle name="Normal 2 2 2 2 5 9 5 6" xfId="16918" xr:uid="{00000000-0005-0000-0000-000016420000}"/>
    <cellStyle name="Normal 2 2 2 2 5 9 5 7" xfId="16919" xr:uid="{00000000-0005-0000-0000-000017420000}"/>
    <cellStyle name="Normal 2 2 2 2 5 9 5 8" xfId="16920" xr:uid="{00000000-0005-0000-0000-000018420000}"/>
    <cellStyle name="Normal 2 2 2 2 5 9 5 9" xfId="16921" xr:uid="{00000000-0005-0000-0000-000019420000}"/>
    <cellStyle name="Normal 2 2 2 2 5 9 6" xfId="16922" xr:uid="{00000000-0005-0000-0000-00001A420000}"/>
    <cellStyle name="Normal 2 2 2 2 5 9 7" xfId="16923" xr:uid="{00000000-0005-0000-0000-00001B420000}"/>
    <cellStyle name="Normal 2 2 2 2 5 9 8" xfId="16924" xr:uid="{00000000-0005-0000-0000-00001C420000}"/>
    <cellStyle name="Normal 2 2 2 2 5 9 9" xfId="16925" xr:uid="{00000000-0005-0000-0000-00001D420000}"/>
    <cellStyle name="Normal 2 2 2 2 50" xfId="16926" xr:uid="{00000000-0005-0000-0000-00001E420000}"/>
    <cellStyle name="Normal 2 2 2 2 51" xfId="16927" xr:uid="{00000000-0005-0000-0000-00001F420000}"/>
    <cellStyle name="Normal 2 2 2 2 6" xfId="16928" xr:uid="{00000000-0005-0000-0000-000020420000}"/>
    <cellStyle name="Normal 2 2 2 2 6 2" xfId="67" xr:uid="{00000000-0005-0000-0000-000043000000}"/>
    <cellStyle name="Normal 2 2 2 2 6 2 2" xfId="72" xr:uid="{00000000-0005-0000-0000-000048000000}"/>
    <cellStyle name="Normal 2 2 2 2 6 2 3" xfId="76" xr:uid="{00000000-0005-0000-0000-00004C000000}"/>
    <cellStyle name="Normal 2 2 2 2 6 2 4" xfId="16929" xr:uid="{00000000-0005-0000-0000-000021420000}"/>
    <cellStyle name="Normal 2 2 2 2 7" xfId="16930" xr:uid="{00000000-0005-0000-0000-000022420000}"/>
    <cellStyle name="Normal 2 2 2 2 8" xfId="16931" xr:uid="{00000000-0005-0000-0000-000023420000}"/>
    <cellStyle name="Normal 2 2 2 2 9" xfId="16932" xr:uid="{00000000-0005-0000-0000-000024420000}"/>
    <cellStyle name="Normal 2 2 2 20" xfId="16933" xr:uid="{00000000-0005-0000-0000-000025420000}"/>
    <cellStyle name="Normal 2 2 2 20 10" xfId="16934" xr:uid="{00000000-0005-0000-0000-000026420000}"/>
    <cellStyle name="Normal 2 2 2 20 11" xfId="16935" xr:uid="{00000000-0005-0000-0000-000027420000}"/>
    <cellStyle name="Normal 2 2 2 20 12" xfId="16936" xr:uid="{00000000-0005-0000-0000-000028420000}"/>
    <cellStyle name="Normal 2 2 2 20 13" xfId="16937" xr:uid="{00000000-0005-0000-0000-000029420000}"/>
    <cellStyle name="Normal 2 2 2 20 14" xfId="16938" xr:uid="{00000000-0005-0000-0000-00002A420000}"/>
    <cellStyle name="Normal 2 2 2 20 2" xfId="16939" xr:uid="{00000000-0005-0000-0000-00002B420000}"/>
    <cellStyle name="Normal 2 2 2 20 2 10" xfId="16940" xr:uid="{00000000-0005-0000-0000-00002C420000}"/>
    <cellStyle name="Normal 2 2 2 20 2 2" xfId="16941" xr:uid="{00000000-0005-0000-0000-00002D420000}"/>
    <cellStyle name="Normal 2 2 2 20 2 3" xfId="16942" xr:uid="{00000000-0005-0000-0000-00002E420000}"/>
    <cellStyle name="Normal 2 2 2 20 2 4" xfId="16943" xr:uid="{00000000-0005-0000-0000-00002F420000}"/>
    <cellStyle name="Normal 2 2 2 20 2 5" xfId="16944" xr:uid="{00000000-0005-0000-0000-000030420000}"/>
    <cellStyle name="Normal 2 2 2 20 2 6" xfId="16945" xr:uid="{00000000-0005-0000-0000-000031420000}"/>
    <cellStyle name="Normal 2 2 2 20 2 7" xfId="16946" xr:uid="{00000000-0005-0000-0000-000032420000}"/>
    <cellStyle name="Normal 2 2 2 20 2 8" xfId="16947" xr:uid="{00000000-0005-0000-0000-000033420000}"/>
    <cellStyle name="Normal 2 2 2 20 2 9" xfId="16948" xr:uid="{00000000-0005-0000-0000-000034420000}"/>
    <cellStyle name="Normal 2 2 2 20 3" xfId="16949" xr:uid="{00000000-0005-0000-0000-000035420000}"/>
    <cellStyle name="Normal 2 2 2 20 3 10" xfId="16950" xr:uid="{00000000-0005-0000-0000-000036420000}"/>
    <cellStyle name="Normal 2 2 2 20 3 2" xfId="16951" xr:uid="{00000000-0005-0000-0000-000037420000}"/>
    <cellStyle name="Normal 2 2 2 20 3 3" xfId="16952" xr:uid="{00000000-0005-0000-0000-000038420000}"/>
    <cellStyle name="Normal 2 2 2 20 3 4" xfId="16953" xr:uid="{00000000-0005-0000-0000-000039420000}"/>
    <cellStyle name="Normal 2 2 2 20 3 5" xfId="16954" xr:uid="{00000000-0005-0000-0000-00003A420000}"/>
    <cellStyle name="Normal 2 2 2 20 3 6" xfId="16955" xr:uid="{00000000-0005-0000-0000-00003B420000}"/>
    <cellStyle name="Normal 2 2 2 20 3 7" xfId="16956" xr:uid="{00000000-0005-0000-0000-00003C420000}"/>
    <cellStyle name="Normal 2 2 2 20 3 8" xfId="16957" xr:uid="{00000000-0005-0000-0000-00003D420000}"/>
    <cellStyle name="Normal 2 2 2 20 3 9" xfId="16958" xr:uid="{00000000-0005-0000-0000-00003E420000}"/>
    <cellStyle name="Normal 2 2 2 20 4" xfId="16959" xr:uid="{00000000-0005-0000-0000-00003F420000}"/>
    <cellStyle name="Normal 2 2 2 20 4 10" xfId="16960" xr:uid="{00000000-0005-0000-0000-000040420000}"/>
    <cellStyle name="Normal 2 2 2 20 4 2" xfId="16961" xr:uid="{00000000-0005-0000-0000-000041420000}"/>
    <cellStyle name="Normal 2 2 2 20 4 3" xfId="16962" xr:uid="{00000000-0005-0000-0000-000042420000}"/>
    <cellStyle name="Normal 2 2 2 20 4 4" xfId="16963" xr:uid="{00000000-0005-0000-0000-000043420000}"/>
    <cellStyle name="Normal 2 2 2 20 4 5" xfId="16964" xr:uid="{00000000-0005-0000-0000-000044420000}"/>
    <cellStyle name="Normal 2 2 2 20 4 6" xfId="16965" xr:uid="{00000000-0005-0000-0000-000045420000}"/>
    <cellStyle name="Normal 2 2 2 20 4 7" xfId="16966" xr:uid="{00000000-0005-0000-0000-000046420000}"/>
    <cellStyle name="Normal 2 2 2 20 4 8" xfId="16967" xr:uid="{00000000-0005-0000-0000-000047420000}"/>
    <cellStyle name="Normal 2 2 2 20 4 9" xfId="16968" xr:uid="{00000000-0005-0000-0000-000048420000}"/>
    <cellStyle name="Normal 2 2 2 20 5" xfId="16969" xr:uid="{00000000-0005-0000-0000-000049420000}"/>
    <cellStyle name="Normal 2 2 2 20 5 10" xfId="16970" xr:uid="{00000000-0005-0000-0000-00004A420000}"/>
    <cellStyle name="Normal 2 2 2 20 5 2" xfId="16971" xr:uid="{00000000-0005-0000-0000-00004B420000}"/>
    <cellStyle name="Normal 2 2 2 20 5 3" xfId="16972" xr:uid="{00000000-0005-0000-0000-00004C420000}"/>
    <cellStyle name="Normal 2 2 2 20 5 4" xfId="16973" xr:uid="{00000000-0005-0000-0000-00004D420000}"/>
    <cellStyle name="Normal 2 2 2 20 5 5" xfId="16974" xr:uid="{00000000-0005-0000-0000-00004E420000}"/>
    <cellStyle name="Normal 2 2 2 20 5 6" xfId="16975" xr:uid="{00000000-0005-0000-0000-00004F420000}"/>
    <cellStyle name="Normal 2 2 2 20 5 7" xfId="16976" xr:uid="{00000000-0005-0000-0000-000050420000}"/>
    <cellStyle name="Normal 2 2 2 20 5 8" xfId="16977" xr:uid="{00000000-0005-0000-0000-000051420000}"/>
    <cellStyle name="Normal 2 2 2 20 5 9" xfId="16978" xr:uid="{00000000-0005-0000-0000-000052420000}"/>
    <cellStyle name="Normal 2 2 2 20 6" xfId="16979" xr:uid="{00000000-0005-0000-0000-000053420000}"/>
    <cellStyle name="Normal 2 2 2 20 7" xfId="16980" xr:uid="{00000000-0005-0000-0000-000054420000}"/>
    <cellStyle name="Normal 2 2 2 20 8" xfId="16981" xr:uid="{00000000-0005-0000-0000-000055420000}"/>
    <cellStyle name="Normal 2 2 2 20 9" xfId="16982" xr:uid="{00000000-0005-0000-0000-000056420000}"/>
    <cellStyle name="Normal 2 2 2 21" xfId="16983" xr:uid="{00000000-0005-0000-0000-000057420000}"/>
    <cellStyle name="Normal 2 2 2 21 10" xfId="16984" xr:uid="{00000000-0005-0000-0000-000058420000}"/>
    <cellStyle name="Normal 2 2 2 21 11" xfId="16985" xr:uid="{00000000-0005-0000-0000-000059420000}"/>
    <cellStyle name="Normal 2 2 2 21 12" xfId="16986" xr:uid="{00000000-0005-0000-0000-00005A420000}"/>
    <cellStyle name="Normal 2 2 2 21 13" xfId="16987" xr:uid="{00000000-0005-0000-0000-00005B420000}"/>
    <cellStyle name="Normal 2 2 2 21 14" xfId="16988" xr:uid="{00000000-0005-0000-0000-00005C420000}"/>
    <cellStyle name="Normal 2 2 2 21 2" xfId="16989" xr:uid="{00000000-0005-0000-0000-00005D420000}"/>
    <cellStyle name="Normal 2 2 2 21 2 10" xfId="16990" xr:uid="{00000000-0005-0000-0000-00005E420000}"/>
    <cellStyle name="Normal 2 2 2 21 2 2" xfId="16991" xr:uid="{00000000-0005-0000-0000-00005F420000}"/>
    <cellStyle name="Normal 2 2 2 21 2 3" xfId="16992" xr:uid="{00000000-0005-0000-0000-000060420000}"/>
    <cellStyle name="Normal 2 2 2 21 2 4" xfId="16993" xr:uid="{00000000-0005-0000-0000-000061420000}"/>
    <cellStyle name="Normal 2 2 2 21 2 5" xfId="16994" xr:uid="{00000000-0005-0000-0000-000062420000}"/>
    <cellStyle name="Normal 2 2 2 21 2 6" xfId="16995" xr:uid="{00000000-0005-0000-0000-000063420000}"/>
    <cellStyle name="Normal 2 2 2 21 2 7" xfId="16996" xr:uid="{00000000-0005-0000-0000-000064420000}"/>
    <cellStyle name="Normal 2 2 2 21 2 8" xfId="16997" xr:uid="{00000000-0005-0000-0000-000065420000}"/>
    <cellStyle name="Normal 2 2 2 21 2 9" xfId="16998" xr:uid="{00000000-0005-0000-0000-000066420000}"/>
    <cellStyle name="Normal 2 2 2 21 3" xfId="16999" xr:uid="{00000000-0005-0000-0000-000067420000}"/>
    <cellStyle name="Normal 2 2 2 21 3 10" xfId="17000" xr:uid="{00000000-0005-0000-0000-000068420000}"/>
    <cellStyle name="Normal 2 2 2 21 3 2" xfId="17001" xr:uid="{00000000-0005-0000-0000-000069420000}"/>
    <cellStyle name="Normal 2 2 2 21 3 3" xfId="17002" xr:uid="{00000000-0005-0000-0000-00006A420000}"/>
    <cellStyle name="Normal 2 2 2 21 3 4" xfId="17003" xr:uid="{00000000-0005-0000-0000-00006B420000}"/>
    <cellStyle name="Normal 2 2 2 21 3 5" xfId="17004" xr:uid="{00000000-0005-0000-0000-00006C420000}"/>
    <cellStyle name="Normal 2 2 2 21 3 6" xfId="17005" xr:uid="{00000000-0005-0000-0000-00006D420000}"/>
    <cellStyle name="Normal 2 2 2 21 3 7" xfId="17006" xr:uid="{00000000-0005-0000-0000-00006E420000}"/>
    <cellStyle name="Normal 2 2 2 21 3 8" xfId="17007" xr:uid="{00000000-0005-0000-0000-00006F420000}"/>
    <cellStyle name="Normal 2 2 2 21 3 9" xfId="17008" xr:uid="{00000000-0005-0000-0000-000070420000}"/>
    <cellStyle name="Normal 2 2 2 21 4" xfId="17009" xr:uid="{00000000-0005-0000-0000-000071420000}"/>
    <cellStyle name="Normal 2 2 2 21 4 10" xfId="17010" xr:uid="{00000000-0005-0000-0000-000072420000}"/>
    <cellStyle name="Normal 2 2 2 21 4 2" xfId="17011" xr:uid="{00000000-0005-0000-0000-000073420000}"/>
    <cellStyle name="Normal 2 2 2 21 4 3" xfId="17012" xr:uid="{00000000-0005-0000-0000-000074420000}"/>
    <cellStyle name="Normal 2 2 2 21 4 4" xfId="17013" xr:uid="{00000000-0005-0000-0000-000075420000}"/>
    <cellStyle name="Normal 2 2 2 21 4 5" xfId="17014" xr:uid="{00000000-0005-0000-0000-000076420000}"/>
    <cellStyle name="Normal 2 2 2 21 4 6" xfId="17015" xr:uid="{00000000-0005-0000-0000-000077420000}"/>
    <cellStyle name="Normal 2 2 2 21 4 7" xfId="17016" xr:uid="{00000000-0005-0000-0000-000078420000}"/>
    <cellStyle name="Normal 2 2 2 21 4 8" xfId="17017" xr:uid="{00000000-0005-0000-0000-000079420000}"/>
    <cellStyle name="Normal 2 2 2 21 4 9" xfId="17018" xr:uid="{00000000-0005-0000-0000-00007A420000}"/>
    <cellStyle name="Normal 2 2 2 21 5" xfId="17019" xr:uid="{00000000-0005-0000-0000-00007B420000}"/>
    <cellStyle name="Normal 2 2 2 21 5 10" xfId="17020" xr:uid="{00000000-0005-0000-0000-00007C420000}"/>
    <cellStyle name="Normal 2 2 2 21 5 2" xfId="17021" xr:uid="{00000000-0005-0000-0000-00007D420000}"/>
    <cellStyle name="Normal 2 2 2 21 5 3" xfId="17022" xr:uid="{00000000-0005-0000-0000-00007E420000}"/>
    <cellStyle name="Normal 2 2 2 21 5 4" xfId="17023" xr:uid="{00000000-0005-0000-0000-00007F420000}"/>
    <cellStyle name="Normal 2 2 2 21 5 5" xfId="17024" xr:uid="{00000000-0005-0000-0000-000080420000}"/>
    <cellStyle name="Normal 2 2 2 21 5 6" xfId="17025" xr:uid="{00000000-0005-0000-0000-000081420000}"/>
    <cellStyle name="Normal 2 2 2 21 5 7" xfId="17026" xr:uid="{00000000-0005-0000-0000-000082420000}"/>
    <cellStyle name="Normal 2 2 2 21 5 8" xfId="17027" xr:uid="{00000000-0005-0000-0000-000083420000}"/>
    <cellStyle name="Normal 2 2 2 21 5 9" xfId="17028" xr:uid="{00000000-0005-0000-0000-000084420000}"/>
    <cellStyle name="Normal 2 2 2 21 6" xfId="17029" xr:uid="{00000000-0005-0000-0000-000085420000}"/>
    <cellStyle name="Normal 2 2 2 21 7" xfId="17030" xr:uid="{00000000-0005-0000-0000-000086420000}"/>
    <cellStyle name="Normal 2 2 2 21 8" xfId="17031" xr:uid="{00000000-0005-0000-0000-000087420000}"/>
    <cellStyle name="Normal 2 2 2 21 9" xfId="17032" xr:uid="{00000000-0005-0000-0000-000088420000}"/>
    <cellStyle name="Normal 2 2 2 22" xfId="17033" xr:uid="{00000000-0005-0000-0000-000089420000}"/>
    <cellStyle name="Normal 2 2 2 22 10" xfId="17034" xr:uid="{00000000-0005-0000-0000-00008A420000}"/>
    <cellStyle name="Normal 2 2 2 22 11" xfId="17035" xr:uid="{00000000-0005-0000-0000-00008B420000}"/>
    <cellStyle name="Normal 2 2 2 22 12" xfId="17036" xr:uid="{00000000-0005-0000-0000-00008C420000}"/>
    <cellStyle name="Normal 2 2 2 22 13" xfId="17037" xr:uid="{00000000-0005-0000-0000-00008D420000}"/>
    <cellStyle name="Normal 2 2 2 22 14" xfId="17038" xr:uid="{00000000-0005-0000-0000-00008E420000}"/>
    <cellStyle name="Normal 2 2 2 22 2" xfId="17039" xr:uid="{00000000-0005-0000-0000-00008F420000}"/>
    <cellStyle name="Normal 2 2 2 22 2 10" xfId="17040" xr:uid="{00000000-0005-0000-0000-000090420000}"/>
    <cellStyle name="Normal 2 2 2 22 2 2" xfId="17041" xr:uid="{00000000-0005-0000-0000-000091420000}"/>
    <cellStyle name="Normal 2 2 2 22 2 3" xfId="17042" xr:uid="{00000000-0005-0000-0000-000092420000}"/>
    <cellStyle name="Normal 2 2 2 22 2 4" xfId="17043" xr:uid="{00000000-0005-0000-0000-000093420000}"/>
    <cellStyle name="Normal 2 2 2 22 2 5" xfId="17044" xr:uid="{00000000-0005-0000-0000-000094420000}"/>
    <cellStyle name="Normal 2 2 2 22 2 6" xfId="17045" xr:uid="{00000000-0005-0000-0000-000095420000}"/>
    <cellStyle name="Normal 2 2 2 22 2 7" xfId="17046" xr:uid="{00000000-0005-0000-0000-000096420000}"/>
    <cellStyle name="Normal 2 2 2 22 2 8" xfId="17047" xr:uid="{00000000-0005-0000-0000-000097420000}"/>
    <cellStyle name="Normal 2 2 2 22 2 9" xfId="17048" xr:uid="{00000000-0005-0000-0000-000098420000}"/>
    <cellStyle name="Normal 2 2 2 22 3" xfId="17049" xr:uid="{00000000-0005-0000-0000-000099420000}"/>
    <cellStyle name="Normal 2 2 2 22 3 10" xfId="17050" xr:uid="{00000000-0005-0000-0000-00009A420000}"/>
    <cellStyle name="Normal 2 2 2 22 3 2" xfId="17051" xr:uid="{00000000-0005-0000-0000-00009B420000}"/>
    <cellStyle name="Normal 2 2 2 22 3 3" xfId="17052" xr:uid="{00000000-0005-0000-0000-00009C420000}"/>
    <cellStyle name="Normal 2 2 2 22 3 4" xfId="17053" xr:uid="{00000000-0005-0000-0000-00009D420000}"/>
    <cellStyle name="Normal 2 2 2 22 3 5" xfId="17054" xr:uid="{00000000-0005-0000-0000-00009E420000}"/>
    <cellStyle name="Normal 2 2 2 22 3 6" xfId="17055" xr:uid="{00000000-0005-0000-0000-00009F420000}"/>
    <cellStyle name="Normal 2 2 2 22 3 7" xfId="17056" xr:uid="{00000000-0005-0000-0000-0000A0420000}"/>
    <cellStyle name="Normal 2 2 2 22 3 8" xfId="17057" xr:uid="{00000000-0005-0000-0000-0000A1420000}"/>
    <cellStyle name="Normal 2 2 2 22 3 9" xfId="17058" xr:uid="{00000000-0005-0000-0000-0000A2420000}"/>
    <cellStyle name="Normal 2 2 2 22 4" xfId="17059" xr:uid="{00000000-0005-0000-0000-0000A3420000}"/>
    <cellStyle name="Normal 2 2 2 22 4 10" xfId="17060" xr:uid="{00000000-0005-0000-0000-0000A4420000}"/>
    <cellStyle name="Normal 2 2 2 22 4 2" xfId="17061" xr:uid="{00000000-0005-0000-0000-0000A5420000}"/>
    <cellStyle name="Normal 2 2 2 22 4 3" xfId="17062" xr:uid="{00000000-0005-0000-0000-0000A6420000}"/>
    <cellStyle name="Normal 2 2 2 22 4 4" xfId="17063" xr:uid="{00000000-0005-0000-0000-0000A7420000}"/>
    <cellStyle name="Normal 2 2 2 22 4 5" xfId="17064" xr:uid="{00000000-0005-0000-0000-0000A8420000}"/>
    <cellStyle name="Normal 2 2 2 22 4 6" xfId="17065" xr:uid="{00000000-0005-0000-0000-0000A9420000}"/>
    <cellStyle name="Normal 2 2 2 22 4 7" xfId="17066" xr:uid="{00000000-0005-0000-0000-0000AA420000}"/>
    <cellStyle name="Normal 2 2 2 22 4 8" xfId="17067" xr:uid="{00000000-0005-0000-0000-0000AB420000}"/>
    <cellStyle name="Normal 2 2 2 22 4 9" xfId="17068" xr:uid="{00000000-0005-0000-0000-0000AC420000}"/>
    <cellStyle name="Normal 2 2 2 22 5" xfId="17069" xr:uid="{00000000-0005-0000-0000-0000AD420000}"/>
    <cellStyle name="Normal 2 2 2 22 5 10" xfId="17070" xr:uid="{00000000-0005-0000-0000-0000AE420000}"/>
    <cellStyle name="Normal 2 2 2 22 5 2" xfId="17071" xr:uid="{00000000-0005-0000-0000-0000AF420000}"/>
    <cellStyle name="Normal 2 2 2 22 5 3" xfId="17072" xr:uid="{00000000-0005-0000-0000-0000B0420000}"/>
    <cellStyle name="Normal 2 2 2 22 5 4" xfId="17073" xr:uid="{00000000-0005-0000-0000-0000B1420000}"/>
    <cellStyle name="Normal 2 2 2 22 5 5" xfId="17074" xr:uid="{00000000-0005-0000-0000-0000B2420000}"/>
    <cellStyle name="Normal 2 2 2 22 5 6" xfId="17075" xr:uid="{00000000-0005-0000-0000-0000B3420000}"/>
    <cellStyle name="Normal 2 2 2 22 5 7" xfId="17076" xr:uid="{00000000-0005-0000-0000-0000B4420000}"/>
    <cellStyle name="Normal 2 2 2 22 5 8" xfId="17077" xr:uid="{00000000-0005-0000-0000-0000B5420000}"/>
    <cellStyle name="Normal 2 2 2 22 5 9" xfId="17078" xr:uid="{00000000-0005-0000-0000-0000B6420000}"/>
    <cellStyle name="Normal 2 2 2 22 6" xfId="17079" xr:uid="{00000000-0005-0000-0000-0000B7420000}"/>
    <cellStyle name="Normal 2 2 2 22 7" xfId="17080" xr:uid="{00000000-0005-0000-0000-0000B8420000}"/>
    <cellStyle name="Normal 2 2 2 22 8" xfId="17081" xr:uid="{00000000-0005-0000-0000-0000B9420000}"/>
    <cellStyle name="Normal 2 2 2 22 9" xfId="17082" xr:uid="{00000000-0005-0000-0000-0000BA420000}"/>
    <cellStyle name="Normal 2 2 2 23" xfId="17083" xr:uid="{00000000-0005-0000-0000-0000BB420000}"/>
    <cellStyle name="Normal 2 2 2 23 10" xfId="17084" xr:uid="{00000000-0005-0000-0000-0000BC420000}"/>
    <cellStyle name="Normal 2 2 2 23 11" xfId="17085" xr:uid="{00000000-0005-0000-0000-0000BD420000}"/>
    <cellStyle name="Normal 2 2 2 23 12" xfId="17086" xr:uid="{00000000-0005-0000-0000-0000BE420000}"/>
    <cellStyle name="Normal 2 2 2 23 13" xfId="17087" xr:uid="{00000000-0005-0000-0000-0000BF420000}"/>
    <cellStyle name="Normal 2 2 2 23 14" xfId="17088" xr:uid="{00000000-0005-0000-0000-0000C0420000}"/>
    <cellStyle name="Normal 2 2 2 23 2" xfId="17089" xr:uid="{00000000-0005-0000-0000-0000C1420000}"/>
    <cellStyle name="Normal 2 2 2 23 2 10" xfId="17090" xr:uid="{00000000-0005-0000-0000-0000C2420000}"/>
    <cellStyle name="Normal 2 2 2 23 2 2" xfId="17091" xr:uid="{00000000-0005-0000-0000-0000C3420000}"/>
    <cellStyle name="Normal 2 2 2 23 2 3" xfId="17092" xr:uid="{00000000-0005-0000-0000-0000C4420000}"/>
    <cellStyle name="Normal 2 2 2 23 2 4" xfId="17093" xr:uid="{00000000-0005-0000-0000-0000C5420000}"/>
    <cellStyle name="Normal 2 2 2 23 2 5" xfId="17094" xr:uid="{00000000-0005-0000-0000-0000C6420000}"/>
    <cellStyle name="Normal 2 2 2 23 2 6" xfId="17095" xr:uid="{00000000-0005-0000-0000-0000C7420000}"/>
    <cellStyle name="Normal 2 2 2 23 2 7" xfId="17096" xr:uid="{00000000-0005-0000-0000-0000C8420000}"/>
    <cellStyle name="Normal 2 2 2 23 2 8" xfId="17097" xr:uid="{00000000-0005-0000-0000-0000C9420000}"/>
    <cellStyle name="Normal 2 2 2 23 2 9" xfId="17098" xr:uid="{00000000-0005-0000-0000-0000CA420000}"/>
    <cellStyle name="Normal 2 2 2 23 3" xfId="17099" xr:uid="{00000000-0005-0000-0000-0000CB420000}"/>
    <cellStyle name="Normal 2 2 2 23 3 10" xfId="17100" xr:uid="{00000000-0005-0000-0000-0000CC420000}"/>
    <cellStyle name="Normal 2 2 2 23 3 2" xfId="17101" xr:uid="{00000000-0005-0000-0000-0000CD420000}"/>
    <cellStyle name="Normal 2 2 2 23 3 3" xfId="17102" xr:uid="{00000000-0005-0000-0000-0000CE420000}"/>
    <cellStyle name="Normal 2 2 2 23 3 4" xfId="17103" xr:uid="{00000000-0005-0000-0000-0000CF420000}"/>
    <cellStyle name="Normal 2 2 2 23 3 5" xfId="17104" xr:uid="{00000000-0005-0000-0000-0000D0420000}"/>
    <cellStyle name="Normal 2 2 2 23 3 6" xfId="17105" xr:uid="{00000000-0005-0000-0000-0000D1420000}"/>
    <cellStyle name="Normal 2 2 2 23 3 7" xfId="17106" xr:uid="{00000000-0005-0000-0000-0000D2420000}"/>
    <cellStyle name="Normal 2 2 2 23 3 8" xfId="17107" xr:uid="{00000000-0005-0000-0000-0000D3420000}"/>
    <cellStyle name="Normal 2 2 2 23 3 9" xfId="17108" xr:uid="{00000000-0005-0000-0000-0000D4420000}"/>
    <cellStyle name="Normal 2 2 2 23 4" xfId="17109" xr:uid="{00000000-0005-0000-0000-0000D5420000}"/>
    <cellStyle name="Normal 2 2 2 23 4 10" xfId="17110" xr:uid="{00000000-0005-0000-0000-0000D6420000}"/>
    <cellStyle name="Normal 2 2 2 23 4 2" xfId="17111" xr:uid="{00000000-0005-0000-0000-0000D7420000}"/>
    <cellStyle name="Normal 2 2 2 23 4 3" xfId="17112" xr:uid="{00000000-0005-0000-0000-0000D8420000}"/>
    <cellStyle name="Normal 2 2 2 23 4 4" xfId="17113" xr:uid="{00000000-0005-0000-0000-0000D9420000}"/>
    <cellStyle name="Normal 2 2 2 23 4 5" xfId="17114" xr:uid="{00000000-0005-0000-0000-0000DA420000}"/>
    <cellStyle name="Normal 2 2 2 23 4 6" xfId="17115" xr:uid="{00000000-0005-0000-0000-0000DB420000}"/>
    <cellStyle name="Normal 2 2 2 23 4 7" xfId="17116" xr:uid="{00000000-0005-0000-0000-0000DC420000}"/>
    <cellStyle name="Normal 2 2 2 23 4 8" xfId="17117" xr:uid="{00000000-0005-0000-0000-0000DD420000}"/>
    <cellStyle name="Normal 2 2 2 23 4 9" xfId="17118" xr:uid="{00000000-0005-0000-0000-0000DE420000}"/>
    <cellStyle name="Normal 2 2 2 23 5" xfId="17119" xr:uid="{00000000-0005-0000-0000-0000DF420000}"/>
    <cellStyle name="Normal 2 2 2 23 5 10" xfId="17120" xr:uid="{00000000-0005-0000-0000-0000E0420000}"/>
    <cellStyle name="Normal 2 2 2 23 5 2" xfId="17121" xr:uid="{00000000-0005-0000-0000-0000E1420000}"/>
    <cellStyle name="Normal 2 2 2 23 5 3" xfId="17122" xr:uid="{00000000-0005-0000-0000-0000E2420000}"/>
    <cellStyle name="Normal 2 2 2 23 5 4" xfId="17123" xr:uid="{00000000-0005-0000-0000-0000E3420000}"/>
    <cellStyle name="Normal 2 2 2 23 5 5" xfId="17124" xr:uid="{00000000-0005-0000-0000-0000E4420000}"/>
    <cellStyle name="Normal 2 2 2 23 5 6" xfId="17125" xr:uid="{00000000-0005-0000-0000-0000E5420000}"/>
    <cellStyle name="Normal 2 2 2 23 5 7" xfId="17126" xr:uid="{00000000-0005-0000-0000-0000E6420000}"/>
    <cellStyle name="Normal 2 2 2 23 5 8" xfId="17127" xr:uid="{00000000-0005-0000-0000-0000E7420000}"/>
    <cellStyle name="Normal 2 2 2 23 5 9" xfId="17128" xr:uid="{00000000-0005-0000-0000-0000E8420000}"/>
    <cellStyle name="Normal 2 2 2 23 6" xfId="17129" xr:uid="{00000000-0005-0000-0000-0000E9420000}"/>
    <cellStyle name="Normal 2 2 2 23 7" xfId="17130" xr:uid="{00000000-0005-0000-0000-0000EA420000}"/>
    <cellStyle name="Normal 2 2 2 23 8" xfId="17131" xr:uid="{00000000-0005-0000-0000-0000EB420000}"/>
    <cellStyle name="Normal 2 2 2 23 9" xfId="17132" xr:uid="{00000000-0005-0000-0000-0000EC420000}"/>
    <cellStyle name="Normal 2 2 2 24" xfId="17133" xr:uid="{00000000-0005-0000-0000-0000ED420000}"/>
    <cellStyle name="Normal 2 2 2 24 10" xfId="17134" xr:uid="{00000000-0005-0000-0000-0000EE420000}"/>
    <cellStyle name="Normal 2 2 2 24 11" xfId="17135" xr:uid="{00000000-0005-0000-0000-0000EF420000}"/>
    <cellStyle name="Normal 2 2 2 24 12" xfId="17136" xr:uid="{00000000-0005-0000-0000-0000F0420000}"/>
    <cellStyle name="Normal 2 2 2 24 13" xfId="17137" xr:uid="{00000000-0005-0000-0000-0000F1420000}"/>
    <cellStyle name="Normal 2 2 2 24 14" xfId="17138" xr:uid="{00000000-0005-0000-0000-0000F2420000}"/>
    <cellStyle name="Normal 2 2 2 24 2" xfId="17139" xr:uid="{00000000-0005-0000-0000-0000F3420000}"/>
    <cellStyle name="Normal 2 2 2 24 2 10" xfId="17140" xr:uid="{00000000-0005-0000-0000-0000F4420000}"/>
    <cellStyle name="Normal 2 2 2 24 2 2" xfId="17141" xr:uid="{00000000-0005-0000-0000-0000F5420000}"/>
    <cellStyle name="Normal 2 2 2 24 2 3" xfId="17142" xr:uid="{00000000-0005-0000-0000-0000F6420000}"/>
    <cellStyle name="Normal 2 2 2 24 2 4" xfId="17143" xr:uid="{00000000-0005-0000-0000-0000F7420000}"/>
    <cellStyle name="Normal 2 2 2 24 2 5" xfId="17144" xr:uid="{00000000-0005-0000-0000-0000F8420000}"/>
    <cellStyle name="Normal 2 2 2 24 2 6" xfId="17145" xr:uid="{00000000-0005-0000-0000-0000F9420000}"/>
    <cellStyle name="Normal 2 2 2 24 2 7" xfId="17146" xr:uid="{00000000-0005-0000-0000-0000FA420000}"/>
    <cellStyle name="Normal 2 2 2 24 2 8" xfId="17147" xr:uid="{00000000-0005-0000-0000-0000FB420000}"/>
    <cellStyle name="Normal 2 2 2 24 2 9" xfId="17148" xr:uid="{00000000-0005-0000-0000-0000FC420000}"/>
    <cellStyle name="Normal 2 2 2 24 3" xfId="17149" xr:uid="{00000000-0005-0000-0000-0000FD420000}"/>
    <cellStyle name="Normal 2 2 2 24 3 10" xfId="17150" xr:uid="{00000000-0005-0000-0000-0000FE420000}"/>
    <cellStyle name="Normal 2 2 2 24 3 2" xfId="17151" xr:uid="{00000000-0005-0000-0000-0000FF420000}"/>
    <cellStyle name="Normal 2 2 2 24 3 3" xfId="17152" xr:uid="{00000000-0005-0000-0000-000000430000}"/>
    <cellStyle name="Normal 2 2 2 24 3 4" xfId="17153" xr:uid="{00000000-0005-0000-0000-000001430000}"/>
    <cellStyle name="Normal 2 2 2 24 3 5" xfId="17154" xr:uid="{00000000-0005-0000-0000-000002430000}"/>
    <cellStyle name="Normal 2 2 2 24 3 6" xfId="17155" xr:uid="{00000000-0005-0000-0000-000003430000}"/>
    <cellStyle name="Normal 2 2 2 24 3 7" xfId="17156" xr:uid="{00000000-0005-0000-0000-000004430000}"/>
    <cellStyle name="Normal 2 2 2 24 3 8" xfId="17157" xr:uid="{00000000-0005-0000-0000-000005430000}"/>
    <cellStyle name="Normal 2 2 2 24 3 9" xfId="17158" xr:uid="{00000000-0005-0000-0000-000006430000}"/>
    <cellStyle name="Normal 2 2 2 24 4" xfId="17159" xr:uid="{00000000-0005-0000-0000-000007430000}"/>
    <cellStyle name="Normal 2 2 2 24 4 10" xfId="17160" xr:uid="{00000000-0005-0000-0000-000008430000}"/>
    <cellStyle name="Normal 2 2 2 24 4 2" xfId="17161" xr:uid="{00000000-0005-0000-0000-000009430000}"/>
    <cellStyle name="Normal 2 2 2 24 4 3" xfId="17162" xr:uid="{00000000-0005-0000-0000-00000A430000}"/>
    <cellStyle name="Normal 2 2 2 24 4 4" xfId="17163" xr:uid="{00000000-0005-0000-0000-00000B430000}"/>
    <cellStyle name="Normal 2 2 2 24 4 5" xfId="17164" xr:uid="{00000000-0005-0000-0000-00000C430000}"/>
    <cellStyle name="Normal 2 2 2 24 4 6" xfId="17165" xr:uid="{00000000-0005-0000-0000-00000D430000}"/>
    <cellStyle name="Normal 2 2 2 24 4 7" xfId="17166" xr:uid="{00000000-0005-0000-0000-00000E430000}"/>
    <cellStyle name="Normal 2 2 2 24 4 8" xfId="17167" xr:uid="{00000000-0005-0000-0000-00000F430000}"/>
    <cellStyle name="Normal 2 2 2 24 4 9" xfId="17168" xr:uid="{00000000-0005-0000-0000-000010430000}"/>
    <cellStyle name="Normal 2 2 2 24 5" xfId="17169" xr:uid="{00000000-0005-0000-0000-000011430000}"/>
    <cellStyle name="Normal 2 2 2 24 5 10" xfId="17170" xr:uid="{00000000-0005-0000-0000-000012430000}"/>
    <cellStyle name="Normal 2 2 2 24 5 2" xfId="17171" xr:uid="{00000000-0005-0000-0000-000013430000}"/>
    <cellStyle name="Normal 2 2 2 24 5 3" xfId="17172" xr:uid="{00000000-0005-0000-0000-000014430000}"/>
    <cellStyle name="Normal 2 2 2 24 5 4" xfId="17173" xr:uid="{00000000-0005-0000-0000-000015430000}"/>
    <cellStyle name="Normal 2 2 2 24 5 5" xfId="17174" xr:uid="{00000000-0005-0000-0000-000016430000}"/>
    <cellStyle name="Normal 2 2 2 24 5 6" xfId="17175" xr:uid="{00000000-0005-0000-0000-000017430000}"/>
    <cellStyle name="Normal 2 2 2 24 5 7" xfId="17176" xr:uid="{00000000-0005-0000-0000-000018430000}"/>
    <cellStyle name="Normal 2 2 2 24 5 8" xfId="17177" xr:uid="{00000000-0005-0000-0000-000019430000}"/>
    <cellStyle name="Normal 2 2 2 24 5 9" xfId="17178" xr:uid="{00000000-0005-0000-0000-00001A430000}"/>
    <cellStyle name="Normal 2 2 2 24 6" xfId="17179" xr:uid="{00000000-0005-0000-0000-00001B430000}"/>
    <cellStyle name="Normal 2 2 2 24 7" xfId="17180" xr:uid="{00000000-0005-0000-0000-00001C430000}"/>
    <cellStyle name="Normal 2 2 2 24 8" xfId="17181" xr:uid="{00000000-0005-0000-0000-00001D430000}"/>
    <cellStyle name="Normal 2 2 2 24 9" xfId="17182" xr:uid="{00000000-0005-0000-0000-00001E430000}"/>
    <cellStyle name="Normal 2 2 2 25" xfId="17183" xr:uid="{00000000-0005-0000-0000-00001F430000}"/>
    <cellStyle name="Normal 2 2 2 25 10" xfId="17184" xr:uid="{00000000-0005-0000-0000-000020430000}"/>
    <cellStyle name="Normal 2 2 2 25 11" xfId="17185" xr:uid="{00000000-0005-0000-0000-000021430000}"/>
    <cellStyle name="Normal 2 2 2 25 12" xfId="17186" xr:uid="{00000000-0005-0000-0000-000022430000}"/>
    <cellStyle name="Normal 2 2 2 25 13" xfId="17187" xr:uid="{00000000-0005-0000-0000-000023430000}"/>
    <cellStyle name="Normal 2 2 2 25 14" xfId="17188" xr:uid="{00000000-0005-0000-0000-000024430000}"/>
    <cellStyle name="Normal 2 2 2 25 2" xfId="17189" xr:uid="{00000000-0005-0000-0000-000025430000}"/>
    <cellStyle name="Normal 2 2 2 25 2 10" xfId="17190" xr:uid="{00000000-0005-0000-0000-000026430000}"/>
    <cellStyle name="Normal 2 2 2 25 2 2" xfId="17191" xr:uid="{00000000-0005-0000-0000-000027430000}"/>
    <cellStyle name="Normal 2 2 2 25 2 3" xfId="17192" xr:uid="{00000000-0005-0000-0000-000028430000}"/>
    <cellStyle name="Normal 2 2 2 25 2 4" xfId="17193" xr:uid="{00000000-0005-0000-0000-000029430000}"/>
    <cellStyle name="Normal 2 2 2 25 2 5" xfId="17194" xr:uid="{00000000-0005-0000-0000-00002A430000}"/>
    <cellStyle name="Normal 2 2 2 25 2 6" xfId="17195" xr:uid="{00000000-0005-0000-0000-00002B430000}"/>
    <cellStyle name="Normal 2 2 2 25 2 7" xfId="17196" xr:uid="{00000000-0005-0000-0000-00002C430000}"/>
    <cellStyle name="Normal 2 2 2 25 2 8" xfId="17197" xr:uid="{00000000-0005-0000-0000-00002D430000}"/>
    <cellStyle name="Normal 2 2 2 25 2 9" xfId="17198" xr:uid="{00000000-0005-0000-0000-00002E430000}"/>
    <cellStyle name="Normal 2 2 2 25 3" xfId="17199" xr:uid="{00000000-0005-0000-0000-00002F430000}"/>
    <cellStyle name="Normal 2 2 2 25 3 10" xfId="17200" xr:uid="{00000000-0005-0000-0000-000030430000}"/>
    <cellStyle name="Normal 2 2 2 25 3 2" xfId="17201" xr:uid="{00000000-0005-0000-0000-000031430000}"/>
    <cellStyle name="Normal 2 2 2 25 3 3" xfId="17202" xr:uid="{00000000-0005-0000-0000-000032430000}"/>
    <cellStyle name="Normal 2 2 2 25 3 4" xfId="17203" xr:uid="{00000000-0005-0000-0000-000033430000}"/>
    <cellStyle name="Normal 2 2 2 25 3 5" xfId="17204" xr:uid="{00000000-0005-0000-0000-000034430000}"/>
    <cellStyle name="Normal 2 2 2 25 3 6" xfId="17205" xr:uid="{00000000-0005-0000-0000-000035430000}"/>
    <cellStyle name="Normal 2 2 2 25 3 7" xfId="17206" xr:uid="{00000000-0005-0000-0000-000036430000}"/>
    <cellStyle name="Normal 2 2 2 25 3 8" xfId="17207" xr:uid="{00000000-0005-0000-0000-000037430000}"/>
    <cellStyle name="Normal 2 2 2 25 3 9" xfId="17208" xr:uid="{00000000-0005-0000-0000-000038430000}"/>
    <cellStyle name="Normal 2 2 2 25 4" xfId="17209" xr:uid="{00000000-0005-0000-0000-000039430000}"/>
    <cellStyle name="Normal 2 2 2 25 4 10" xfId="17210" xr:uid="{00000000-0005-0000-0000-00003A430000}"/>
    <cellStyle name="Normal 2 2 2 25 4 2" xfId="17211" xr:uid="{00000000-0005-0000-0000-00003B430000}"/>
    <cellStyle name="Normal 2 2 2 25 4 3" xfId="17212" xr:uid="{00000000-0005-0000-0000-00003C430000}"/>
    <cellStyle name="Normal 2 2 2 25 4 4" xfId="17213" xr:uid="{00000000-0005-0000-0000-00003D430000}"/>
    <cellStyle name="Normal 2 2 2 25 4 5" xfId="17214" xr:uid="{00000000-0005-0000-0000-00003E430000}"/>
    <cellStyle name="Normal 2 2 2 25 4 6" xfId="17215" xr:uid="{00000000-0005-0000-0000-00003F430000}"/>
    <cellStyle name="Normal 2 2 2 25 4 7" xfId="17216" xr:uid="{00000000-0005-0000-0000-000040430000}"/>
    <cellStyle name="Normal 2 2 2 25 4 8" xfId="17217" xr:uid="{00000000-0005-0000-0000-000041430000}"/>
    <cellStyle name="Normal 2 2 2 25 4 9" xfId="17218" xr:uid="{00000000-0005-0000-0000-000042430000}"/>
    <cellStyle name="Normal 2 2 2 25 5" xfId="17219" xr:uid="{00000000-0005-0000-0000-000043430000}"/>
    <cellStyle name="Normal 2 2 2 25 5 10" xfId="17220" xr:uid="{00000000-0005-0000-0000-000044430000}"/>
    <cellStyle name="Normal 2 2 2 25 5 2" xfId="17221" xr:uid="{00000000-0005-0000-0000-000045430000}"/>
    <cellStyle name="Normal 2 2 2 25 5 3" xfId="17222" xr:uid="{00000000-0005-0000-0000-000046430000}"/>
    <cellStyle name="Normal 2 2 2 25 5 4" xfId="17223" xr:uid="{00000000-0005-0000-0000-000047430000}"/>
    <cellStyle name="Normal 2 2 2 25 5 5" xfId="17224" xr:uid="{00000000-0005-0000-0000-000048430000}"/>
    <cellStyle name="Normal 2 2 2 25 5 6" xfId="17225" xr:uid="{00000000-0005-0000-0000-000049430000}"/>
    <cellStyle name="Normal 2 2 2 25 5 7" xfId="17226" xr:uid="{00000000-0005-0000-0000-00004A430000}"/>
    <cellStyle name="Normal 2 2 2 25 5 8" xfId="17227" xr:uid="{00000000-0005-0000-0000-00004B430000}"/>
    <cellStyle name="Normal 2 2 2 25 5 9" xfId="17228" xr:uid="{00000000-0005-0000-0000-00004C430000}"/>
    <cellStyle name="Normal 2 2 2 25 6" xfId="17229" xr:uid="{00000000-0005-0000-0000-00004D430000}"/>
    <cellStyle name="Normal 2 2 2 25 7" xfId="17230" xr:uid="{00000000-0005-0000-0000-00004E430000}"/>
    <cellStyle name="Normal 2 2 2 25 8" xfId="17231" xr:uid="{00000000-0005-0000-0000-00004F430000}"/>
    <cellStyle name="Normal 2 2 2 25 9" xfId="17232" xr:uid="{00000000-0005-0000-0000-000050430000}"/>
    <cellStyle name="Normal 2 2 2 26" xfId="17233" xr:uid="{00000000-0005-0000-0000-000051430000}"/>
    <cellStyle name="Normal 2 2 2 26 10" xfId="17234" xr:uid="{00000000-0005-0000-0000-000052430000}"/>
    <cellStyle name="Normal 2 2 2 26 11" xfId="17235" xr:uid="{00000000-0005-0000-0000-000053430000}"/>
    <cellStyle name="Normal 2 2 2 26 12" xfId="17236" xr:uid="{00000000-0005-0000-0000-000054430000}"/>
    <cellStyle name="Normal 2 2 2 26 13" xfId="17237" xr:uid="{00000000-0005-0000-0000-000055430000}"/>
    <cellStyle name="Normal 2 2 2 26 14" xfId="17238" xr:uid="{00000000-0005-0000-0000-000056430000}"/>
    <cellStyle name="Normal 2 2 2 26 2" xfId="17239" xr:uid="{00000000-0005-0000-0000-000057430000}"/>
    <cellStyle name="Normal 2 2 2 26 2 10" xfId="17240" xr:uid="{00000000-0005-0000-0000-000058430000}"/>
    <cellStyle name="Normal 2 2 2 26 2 2" xfId="17241" xr:uid="{00000000-0005-0000-0000-000059430000}"/>
    <cellStyle name="Normal 2 2 2 26 2 3" xfId="17242" xr:uid="{00000000-0005-0000-0000-00005A430000}"/>
    <cellStyle name="Normal 2 2 2 26 2 4" xfId="17243" xr:uid="{00000000-0005-0000-0000-00005B430000}"/>
    <cellStyle name="Normal 2 2 2 26 2 5" xfId="17244" xr:uid="{00000000-0005-0000-0000-00005C430000}"/>
    <cellStyle name="Normal 2 2 2 26 2 6" xfId="17245" xr:uid="{00000000-0005-0000-0000-00005D430000}"/>
    <cellStyle name="Normal 2 2 2 26 2 7" xfId="17246" xr:uid="{00000000-0005-0000-0000-00005E430000}"/>
    <cellStyle name="Normal 2 2 2 26 2 8" xfId="17247" xr:uid="{00000000-0005-0000-0000-00005F430000}"/>
    <cellStyle name="Normal 2 2 2 26 2 9" xfId="17248" xr:uid="{00000000-0005-0000-0000-000060430000}"/>
    <cellStyle name="Normal 2 2 2 26 3" xfId="17249" xr:uid="{00000000-0005-0000-0000-000061430000}"/>
    <cellStyle name="Normal 2 2 2 26 3 10" xfId="17250" xr:uid="{00000000-0005-0000-0000-000062430000}"/>
    <cellStyle name="Normal 2 2 2 26 3 2" xfId="17251" xr:uid="{00000000-0005-0000-0000-000063430000}"/>
    <cellStyle name="Normal 2 2 2 26 3 3" xfId="17252" xr:uid="{00000000-0005-0000-0000-000064430000}"/>
    <cellStyle name="Normal 2 2 2 26 3 4" xfId="17253" xr:uid="{00000000-0005-0000-0000-000065430000}"/>
    <cellStyle name="Normal 2 2 2 26 3 5" xfId="17254" xr:uid="{00000000-0005-0000-0000-000066430000}"/>
    <cellStyle name="Normal 2 2 2 26 3 6" xfId="17255" xr:uid="{00000000-0005-0000-0000-000067430000}"/>
    <cellStyle name="Normal 2 2 2 26 3 7" xfId="17256" xr:uid="{00000000-0005-0000-0000-000068430000}"/>
    <cellStyle name="Normal 2 2 2 26 3 8" xfId="17257" xr:uid="{00000000-0005-0000-0000-000069430000}"/>
    <cellStyle name="Normal 2 2 2 26 3 9" xfId="17258" xr:uid="{00000000-0005-0000-0000-00006A430000}"/>
    <cellStyle name="Normal 2 2 2 26 4" xfId="17259" xr:uid="{00000000-0005-0000-0000-00006B430000}"/>
    <cellStyle name="Normal 2 2 2 26 4 10" xfId="17260" xr:uid="{00000000-0005-0000-0000-00006C430000}"/>
    <cellStyle name="Normal 2 2 2 26 4 2" xfId="17261" xr:uid="{00000000-0005-0000-0000-00006D430000}"/>
    <cellStyle name="Normal 2 2 2 26 4 3" xfId="17262" xr:uid="{00000000-0005-0000-0000-00006E430000}"/>
    <cellStyle name="Normal 2 2 2 26 4 4" xfId="17263" xr:uid="{00000000-0005-0000-0000-00006F430000}"/>
    <cellStyle name="Normal 2 2 2 26 4 5" xfId="17264" xr:uid="{00000000-0005-0000-0000-000070430000}"/>
    <cellStyle name="Normal 2 2 2 26 4 6" xfId="17265" xr:uid="{00000000-0005-0000-0000-000071430000}"/>
    <cellStyle name="Normal 2 2 2 26 4 7" xfId="17266" xr:uid="{00000000-0005-0000-0000-000072430000}"/>
    <cellStyle name="Normal 2 2 2 26 4 8" xfId="17267" xr:uid="{00000000-0005-0000-0000-000073430000}"/>
    <cellStyle name="Normal 2 2 2 26 4 9" xfId="17268" xr:uid="{00000000-0005-0000-0000-000074430000}"/>
    <cellStyle name="Normal 2 2 2 26 5" xfId="17269" xr:uid="{00000000-0005-0000-0000-000075430000}"/>
    <cellStyle name="Normal 2 2 2 26 5 10" xfId="17270" xr:uid="{00000000-0005-0000-0000-000076430000}"/>
    <cellStyle name="Normal 2 2 2 26 5 2" xfId="17271" xr:uid="{00000000-0005-0000-0000-000077430000}"/>
    <cellStyle name="Normal 2 2 2 26 5 3" xfId="17272" xr:uid="{00000000-0005-0000-0000-000078430000}"/>
    <cellStyle name="Normal 2 2 2 26 5 4" xfId="17273" xr:uid="{00000000-0005-0000-0000-000079430000}"/>
    <cellStyle name="Normal 2 2 2 26 5 5" xfId="17274" xr:uid="{00000000-0005-0000-0000-00007A430000}"/>
    <cellStyle name="Normal 2 2 2 26 5 6" xfId="17275" xr:uid="{00000000-0005-0000-0000-00007B430000}"/>
    <cellStyle name="Normal 2 2 2 26 5 7" xfId="17276" xr:uid="{00000000-0005-0000-0000-00007C430000}"/>
    <cellStyle name="Normal 2 2 2 26 5 8" xfId="17277" xr:uid="{00000000-0005-0000-0000-00007D430000}"/>
    <cellStyle name="Normal 2 2 2 26 5 9" xfId="17278" xr:uid="{00000000-0005-0000-0000-00007E430000}"/>
    <cellStyle name="Normal 2 2 2 26 6" xfId="17279" xr:uid="{00000000-0005-0000-0000-00007F430000}"/>
    <cellStyle name="Normal 2 2 2 26 7" xfId="17280" xr:uid="{00000000-0005-0000-0000-000080430000}"/>
    <cellStyle name="Normal 2 2 2 26 8" xfId="17281" xr:uid="{00000000-0005-0000-0000-000081430000}"/>
    <cellStyle name="Normal 2 2 2 26 9" xfId="17282" xr:uid="{00000000-0005-0000-0000-000082430000}"/>
    <cellStyle name="Normal 2 2 2 27" xfId="17283" xr:uid="{00000000-0005-0000-0000-000083430000}"/>
    <cellStyle name="Normal 2 2 2 27 10" xfId="17284" xr:uid="{00000000-0005-0000-0000-000084430000}"/>
    <cellStyle name="Normal 2 2 2 27 11" xfId="17285" xr:uid="{00000000-0005-0000-0000-000085430000}"/>
    <cellStyle name="Normal 2 2 2 27 12" xfId="17286" xr:uid="{00000000-0005-0000-0000-000086430000}"/>
    <cellStyle name="Normal 2 2 2 27 13" xfId="17287" xr:uid="{00000000-0005-0000-0000-000087430000}"/>
    <cellStyle name="Normal 2 2 2 27 14" xfId="17288" xr:uid="{00000000-0005-0000-0000-000088430000}"/>
    <cellStyle name="Normal 2 2 2 27 2" xfId="17289" xr:uid="{00000000-0005-0000-0000-000089430000}"/>
    <cellStyle name="Normal 2 2 2 27 2 10" xfId="17290" xr:uid="{00000000-0005-0000-0000-00008A430000}"/>
    <cellStyle name="Normal 2 2 2 27 2 2" xfId="17291" xr:uid="{00000000-0005-0000-0000-00008B430000}"/>
    <cellStyle name="Normal 2 2 2 27 2 3" xfId="17292" xr:uid="{00000000-0005-0000-0000-00008C430000}"/>
    <cellStyle name="Normal 2 2 2 27 2 4" xfId="17293" xr:uid="{00000000-0005-0000-0000-00008D430000}"/>
    <cellStyle name="Normal 2 2 2 27 2 5" xfId="17294" xr:uid="{00000000-0005-0000-0000-00008E430000}"/>
    <cellStyle name="Normal 2 2 2 27 2 6" xfId="17295" xr:uid="{00000000-0005-0000-0000-00008F430000}"/>
    <cellStyle name="Normal 2 2 2 27 2 7" xfId="17296" xr:uid="{00000000-0005-0000-0000-000090430000}"/>
    <cellStyle name="Normal 2 2 2 27 2 8" xfId="17297" xr:uid="{00000000-0005-0000-0000-000091430000}"/>
    <cellStyle name="Normal 2 2 2 27 2 9" xfId="17298" xr:uid="{00000000-0005-0000-0000-000092430000}"/>
    <cellStyle name="Normal 2 2 2 27 3" xfId="17299" xr:uid="{00000000-0005-0000-0000-000093430000}"/>
    <cellStyle name="Normal 2 2 2 27 3 10" xfId="17300" xr:uid="{00000000-0005-0000-0000-000094430000}"/>
    <cellStyle name="Normal 2 2 2 27 3 2" xfId="17301" xr:uid="{00000000-0005-0000-0000-000095430000}"/>
    <cellStyle name="Normal 2 2 2 27 3 3" xfId="17302" xr:uid="{00000000-0005-0000-0000-000096430000}"/>
    <cellStyle name="Normal 2 2 2 27 3 4" xfId="17303" xr:uid="{00000000-0005-0000-0000-000097430000}"/>
    <cellStyle name="Normal 2 2 2 27 3 5" xfId="17304" xr:uid="{00000000-0005-0000-0000-000098430000}"/>
    <cellStyle name="Normal 2 2 2 27 3 6" xfId="17305" xr:uid="{00000000-0005-0000-0000-000099430000}"/>
    <cellStyle name="Normal 2 2 2 27 3 7" xfId="17306" xr:uid="{00000000-0005-0000-0000-00009A430000}"/>
    <cellStyle name="Normal 2 2 2 27 3 8" xfId="17307" xr:uid="{00000000-0005-0000-0000-00009B430000}"/>
    <cellStyle name="Normal 2 2 2 27 3 9" xfId="17308" xr:uid="{00000000-0005-0000-0000-00009C430000}"/>
    <cellStyle name="Normal 2 2 2 27 4" xfId="17309" xr:uid="{00000000-0005-0000-0000-00009D430000}"/>
    <cellStyle name="Normal 2 2 2 27 4 10" xfId="17310" xr:uid="{00000000-0005-0000-0000-00009E430000}"/>
    <cellStyle name="Normal 2 2 2 27 4 2" xfId="17311" xr:uid="{00000000-0005-0000-0000-00009F430000}"/>
    <cellStyle name="Normal 2 2 2 27 4 3" xfId="17312" xr:uid="{00000000-0005-0000-0000-0000A0430000}"/>
    <cellStyle name="Normal 2 2 2 27 4 4" xfId="17313" xr:uid="{00000000-0005-0000-0000-0000A1430000}"/>
    <cellStyle name="Normal 2 2 2 27 4 5" xfId="17314" xr:uid="{00000000-0005-0000-0000-0000A2430000}"/>
    <cellStyle name="Normal 2 2 2 27 4 6" xfId="17315" xr:uid="{00000000-0005-0000-0000-0000A3430000}"/>
    <cellStyle name="Normal 2 2 2 27 4 7" xfId="17316" xr:uid="{00000000-0005-0000-0000-0000A4430000}"/>
    <cellStyle name="Normal 2 2 2 27 4 8" xfId="17317" xr:uid="{00000000-0005-0000-0000-0000A5430000}"/>
    <cellStyle name="Normal 2 2 2 27 4 9" xfId="17318" xr:uid="{00000000-0005-0000-0000-0000A6430000}"/>
    <cellStyle name="Normal 2 2 2 27 5" xfId="17319" xr:uid="{00000000-0005-0000-0000-0000A7430000}"/>
    <cellStyle name="Normal 2 2 2 27 5 10" xfId="17320" xr:uid="{00000000-0005-0000-0000-0000A8430000}"/>
    <cellStyle name="Normal 2 2 2 27 5 2" xfId="17321" xr:uid="{00000000-0005-0000-0000-0000A9430000}"/>
    <cellStyle name="Normal 2 2 2 27 5 3" xfId="17322" xr:uid="{00000000-0005-0000-0000-0000AA430000}"/>
    <cellStyle name="Normal 2 2 2 27 5 4" xfId="17323" xr:uid="{00000000-0005-0000-0000-0000AB430000}"/>
    <cellStyle name="Normal 2 2 2 27 5 5" xfId="17324" xr:uid="{00000000-0005-0000-0000-0000AC430000}"/>
    <cellStyle name="Normal 2 2 2 27 5 6" xfId="17325" xr:uid="{00000000-0005-0000-0000-0000AD430000}"/>
    <cellStyle name="Normal 2 2 2 27 5 7" xfId="17326" xr:uid="{00000000-0005-0000-0000-0000AE430000}"/>
    <cellStyle name="Normal 2 2 2 27 5 8" xfId="17327" xr:uid="{00000000-0005-0000-0000-0000AF430000}"/>
    <cellStyle name="Normal 2 2 2 27 5 9" xfId="17328" xr:uid="{00000000-0005-0000-0000-0000B0430000}"/>
    <cellStyle name="Normal 2 2 2 27 6" xfId="17329" xr:uid="{00000000-0005-0000-0000-0000B1430000}"/>
    <cellStyle name="Normal 2 2 2 27 7" xfId="17330" xr:uid="{00000000-0005-0000-0000-0000B2430000}"/>
    <cellStyle name="Normal 2 2 2 27 8" xfId="17331" xr:uid="{00000000-0005-0000-0000-0000B3430000}"/>
    <cellStyle name="Normal 2 2 2 27 9" xfId="17332" xr:uid="{00000000-0005-0000-0000-0000B4430000}"/>
    <cellStyle name="Normal 2 2 2 28" xfId="17333" xr:uid="{00000000-0005-0000-0000-0000B5430000}"/>
    <cellStyle name="Normal 2 2 2 28 10" xfId="17334" xr:uid="{00000000-0005-0000-0000-0000B6430000}"/>
    <cellStyle name="Normal 2 2 2 28 11" xfId="17335" xr:uid="{00000000-0005-0000-0000-0000B7430000}"/>
    <cellStyle name="Normal 2 2 2 28 12" xfId="17336" xr:uid="{00000000-0005-0000-0000-0000B8430000}"/>
    <cellStyle name="Normal 2 2 2 28 13" xfId="17337" xr:uid="{00000000-0005-0000-0000-0000B9430000}"/>
    <cellStyle name="Normal 2 2 2 28 14" xfId="17338" xr:uid="{00000000-0005-0000-0000-0000BA430000}"/>
    <cellStyle name="Normal 2 2 2 28 2" xfId="17339" xr:uid="{00000000-0005-0000-0000-0000BB430000}"/>
    <cellStyle name="Normal 2 2 2 28 2 10" xfId="17340" xr:uid="{00000000-0005-0000-0000-0000BC430000}"/>
    <cellStyle name="Normal 2 2 2 28 2 2" xfId="17341" xr:uid="{00000000-0005-0000-0000-0000BD430000}"/>
    <cellStyle name="Normal 2 2 2 28 2 3" xfId="17342" xr:uid="{00000000-0005-0000-0000-0000BE430000}"/>
    <cellStyle name="Normal 2 2 2 28 2 4" xfId="17343" xr:uid="{00000000-0005-0000-0000-0000BF430000}"/>
    <cellStyle name="Normal 2 2 2 28 2 5" xfId="17344" xr:uid="{00000000-0005-0000-0000-0000C0430000}"/>
    <cellStyle name="Normal 2 2 2 28 2 6" xfId="17345" xr:uid="{00000000-0005-0000-0000-0000C1430000}"/>
    <cellStyle name="Normal 2 2 2 28 2 7" xfId="17346" xr:uid="{00000000-0005-0000-0000-0000C2430000}"/>
    <cellStyle name="Normal 2 2 2 28 2 8" xfId="17347" xr:uid="{00000000-0005-0000-0000-0000C3430000}"/>
    <cellStyle name="Normal 2 2 2 28 2 9" xfId="17348" xr:uid="{00000000-0005-0000-0000-0000C4430000}"/>
    <cellStyle name="Normal 2 2 2 28 3" xfId="17349" xr:uid="{00000000-0005-0000-0000-0000C5430000}"/>
    <cellStyle name="Normal 2 2 2 28 3 10" xfId="17350" xr:uid="{00000000-0005-0000-0000-0000C6430000}"/>
    <cellStyle name="Normal 2 2 2 28 3 2" xfId="17351" xr:uid="{00000000-0005-0000-0000-0000C7430000}"/>
    <cellStyle name="Normal 2 2 2 28 3 3" xfId="17352" xr:uid="{00000000-0005-0000-0000-0000C8430000}"/>
    <cellStyle name="Normal 2 2 2 28 3 4" xfId="17353" xr:uid="{00000000-0005-0000-0000-0000C9430000}"/>
    <cellStyle name="Normal 2 2 2 28 3 5" xfId="17354" xr:uid="{00000000-0005-0000-0000-0000CA430000}"/>
    <cellStyle name="Normal 2 2 2 28 3 6" xfId="17355" xr:uid="{00000000-0005-0000-0000-0000CB430000}"/>
    <cellStyle name="Normal 2 2 2 28 3 7" xfId="17356" xr:uid="{00000000-0005-0000-0000-0000CC430000}"/>
    <cellStyle name="Normal 2 2 2 28 3 8" xfId="17357" xr:uid="{00000000-0005-0000-0000-0000CD430000}"/>
    <cellStyle name="Normal 2 2 2 28 3 9" xfId="17358" xr:uid="{00000000-0005-0000-0000-0000CE430000}"/>
    <cellStyle name="Normal 2 2 2 28 4" xfId="17359" xr:uid="{00000000-0005-0000-0000-0000CF430000}"/>
    <cellStyle name="Normal 2 2 2 28 4 10" xfId="17360" xr:uid="{00000000-0005-0000-0000-0000D0430000}"/>
    <cellStyle name="Normal 2 2 2 28 4 2" xfId="17361" xr:uid="{00000000-0005-0000-0000-0000D1430000}"/>
    <cellStyle name="Normal 2 2 2 28 4 3" xfId="17362" xr:uid="{00000000-0005-0000-0000-0000D2430000}"/>
    <cellStyle name="Normal 2 2 2 28 4 4" xfId="17363" xr:uid="{00000000-0005-0000-0000-0000D3430000}"/>
    <cellStyle name="Normal 2 2 2 28 4 5" xfId="17364" xr:uid="{00000000-0005-0000-0000-0000D4430000}"/>
    <cellStyle name="Normal 2 2 2 28 4 6" xfId="17365" xr:uid="{00000000-0005-0000-0000-0000D5430000}"/>
    <cellStyle name="Normal 2 2 2 28 4 7" xfId="17366" xr:uid="{00000000-0005-0000-0000-0000D6430000}"/>
    <cellStyle name="Normal 2 2 2 28 4 8" xfId="17367" xr:uid="{00000000-0005-0000-0000-0000D7430000}"/>
    <cellStyle name="Normal 2 2 2 28 4 9" xfId="17368" xr:uid="{00000000-0005-0000-0000-0000D8430000}"/>
    <cellStyle name="Normal 2 2 2 28 5" xfId="17369" xr:uid="{00000000-0005-0000-0000-0000D9430000}"/>
    <cellStyle name="Normal 2 2 2 28 5 10" xfId="17370" xr:uid="{00000000-0005-0000-0000-0000DA430000}"/>
    <cellStyle name="Normal 2 2 2 28 5 2" xfId="17371" xr:uid="{00000000-0005-0000-0000-0000DB430000}"/>
    <cellStyle name="Normal 2 2 2 28 5 3" xfId="17372" xr:uid="{00000000-0005-0000-0000-0000DC430000}"/>
    <cellStyle name="Normal 2 2 2 28 5 4" xfId="17373" xr:uid="{00000000-0005-0000-0000-0000DD430000}"/>
    <cellStyle name="Normal 2 2 2 28 5 5" xfId="17374" xr:uid="{00000000-0005-0000-0000-0000DE430000}"/>
    <cellStyle name="Normal 2 2 2 28 5 6" xfId="17375" xr:uid="{00000000-0005-0000-0000-0000DF430000}"/>
    <cellStyle name="Normal 2 2 2 28 5 7" xfId="17376" xr:uid="{00000000-0005-0000-0000-0000E0430000}"/>
    <cellStyle name="Normal 2 2 2 28 5 8" xfId="17377" xr:uid="{00000000-0005-0000-0000-0000E1430000}"/>
    <cellStyle name="Normal 2 2 2 28 5 9" xfId="17378" xr:uid="{00000000-0005-0000-0000-0000E2430000}"/>
    <cellStyle name="Normal 2 2 2 28 6" xfId="17379" xr:uid="{00000000-0005-0000-0000-0000E3430000}"/>
    <cellStyle name="Normal 2 2 2 28 7" xfId="17380" xr:uid="{00000000-0005-0000-0000-0000E4430000}"/>
    <cellStyle name="Normal 2 2 2 28 8" xfId="17381" xr:uid="{00000000-0005-0000-0000-0000E5430000}"/>
    <cellStyle name="Normal 2 2 2 28 9" xfId="17382" xr:uid="{00000000-0005-0000-0000-0000E6430000}"/>
    <cellStyle name="Normal 2 2 2 29" xfId="17383" xr:uid="{00000000-0005-0000-0000-0000E7430000}"/>
    <cellStyle name="Normal 2 2 2 29 10" xfId="17384" xr:uid="{00000000-0005-0000-0000-0000E8430000}"/>
    <cellStyle name="Normal 2 2 2 29 11" xfId="17385" xr:uid="{00000000-0005-0000-0000-0000E9430000}"/>
    <cellStyle name="Normal 2 2 2 29 12" xfId="17386" xr:uid="{00000000-0005-0000-0000-0000EA430000}"/>
    <cellStyle name="Normal 2 2 2 29 13" xfId="17387" xr:uid="{00000000-0005-0000-0000-0000EB430000}"/>
    <cellStyle name="Normal 2 2 2 29 14" xfId="17388" xr:uid="{00000000-0005-0000-0000-0000EC430000}"/>
    <cellStyle name="Normal 2 2 2 29 2" xfId="17389" xr:uid="{00000000-0005-0000-0000-0000ED430000}"/>
    <cellStyle name="Normal 2 2 2 29 2 10" xfId="17390" xr:uid="{00000000-0005-0000-0000-0000EE430000}"/>
    <cellStyle name="Normal 2 2 2 29 2 2" xfId="17391" xr:uid="{00000000-0005-0000-0000-0000EF430000}"/>
    <cellStyle name="Normal 2 2 2 29 2 3" xfId="17392" xr:uid="{00000000-0005-0000-0000-0000F0430000}"/>
    <cellStyle name="Normal 2 2 2 29 2 4" xfId="17393" xr:uid="{00000000-0005-0000-0000-0000F1430000}"/>
    <cellStyle name="Normal 2 2 2 29 2 5" xfId="17394" xr:uid="{00000000-0005-0000-0000-0000F2430000}"/>
    <cellStyle name="Normal 2 2 2 29 2 6" xfId="17395" xr:uid="{00000000-0005-0000-0000-0000F3430000}"/>
    <cellStyle name="Normal 2 2 2 29 2 7" xfId="17396" xr:uid="{00000000-0005-0000-0000-0000F4430000}"/>
    <cellStyle name="Normal 2 2 2 29 2 8" xfId="17397" xr:uid="{00000000-0005-0000-0000-0000F5430000}"/>
    <cellStyle name="Normal 2 2 2 29 2 9" xfId="17398" xr:uid="{00000000-0005-0000-0000-0000F6430000}"/>
    <cellStyle name="Normal 2 2 2 29 3" xfId="17399" xr:uid="{00000000-0005-0000-0000-0000F7430000}"/>
    <cellStyle name="Normal 2 2 2 29 3 10" xfId="17400" xr:uid="{00000000-0005-0000-0000-0000F8430000}"/>
    <cellStyle name="Normal 2 2 2 29 3 2" xfId="17401" xr:uid="{00000000-0005-0000-0000-0000F9430000}"/>
    <cellStyle name="Normal 2 2 2 29 3 3" xfId="17402" xr:uid="{00000000-0005-0000-0000-0000FA430000}"/>
    <cellStyle name="Normal 2 2 2 29 3 4" xfId="17403" xr:uid="{00000000-0005-0000-0000-0000FB430000}"/>
    <cellStyle name="Normal 2 2 2 29 3 5" xfId="17404" xr:uid="{00000000-0005-0000-0000-0000FC430000}"/>
    <cellStyle name="Normal 2 2 2 29 3 6" xfId="17405" xr:uid="{00000000-0005-0000-0000-0000FD430000}"/>
    <cellStyle name="Normal 2 2 2 29 3 7" xfId="17406" xr:uid="{00000000-0005-0000-0000-0000FE430000}"/>
    <cellStyle name="Normal 2 2 2 29 3 8" xfId="17407" xr:uid="{00000000-0005-0000-0000-0000FF430000}"/>
    <cellStyle name="Normal 2 2 2 29 3 9" xfId="17408" xr:uid="{00000000-0005-0000-0000-000000440000}"/>
    <cellStyle name="Normal 2 2 2 29 4" xfId="17409" xr:uid="{00000000-0005-0000-0000-000001440000}"/>
    <cellStyle name="Normal 2 2 2 29 4 10" xfId="17410" xr:uid="{00000000-0005-0000-0000-000002440000}"/>
    <cellStyle name="Normal 2 2 2 29 4 2" xfId="17411" xr:uid="{00000000-0005-0000-0000-000003440000}"/>
    <cellStyle name="Normal 2 2 2 29 4 3" xfId="17412" xr:uid="{00000000-0005-0000-0000-000004440000}"/>
    <cellStyle name="Normal 2 2 2 29 4 4" xfId="17413" xr:uid="{00000000-0005-0000-0000-000005440000}"/>
    <cellStyle name="Normal 2 2 2 29 4 5" xfId="17414" xr:uid="{00000000-0005-0000-0000-000006440000}"/>
    <cellStyle name="Normal 2 2 2 29 4 6" xfId="17415" xr:uid="{00000000-0005-0000-0000-000007440000}"/>
    <cellStyle name="Normal 2 2 2 29 4 7" xfId="17416" xr:uid="{00000000-0005-0000-0000-000008440000}"/>
    <cellStyle name="Normal 2 2 2 29 4 8" xfId="17417" xr:uid="{00000000-0005-0000-0000-000009440000}"/>
    <cellStyle name="Normal 2 2 2 29 4 9" xfId="17418" xr:uid="{00000000-0005-0000-0000-00000A440000}"/>
    <cellStyle name="Normal 2 2 2 29 5" xfId="17419" xr:uid="{00000000-0005-0000-0000-00000B440000}"/>
    <cellStyle name="Normal 2 2 2 29 5 10" xfId="17420" xr:uid="{00000000-0005-0000-0000-00000C440000}"/>
    <cellStyle name="Normal 2 2 2 29 5 2" xfId="17421" xr:uid="{00000000-0005-0000-0000-00000D440000}"/>
    <cellStyle name="Normal 2 2 2 29 5 3" xfId="17422" xr:uid="{00000000-0005-0000-0000-00000E440000}"/>
    <cellStyle name="Normal 2 2 2 29 5 4" xfId="17423" xr:uid="{00000000-0005-0000-0000-00000F440000}"/>
    <cellStyle name="Normal 2 2 2 29 5 5" xfId="17424" xr:uid="{00000000-0005-0000-0000-000010440000}"/>
    <cellStyle name="Normal 2 2 2 29 5 6" xfId="17425" xr:uid="{00000000-0005-0000-0000-000011440000}"/>
    <cellStyle name="Normal 2 2 2 29 5 7" xfId="17426" xr:uid="{00000000-0005-0000-0000-000012440000}"/>
    <cellStyle name="Normal 2 2 2 29 5 8" xfId="17427" xr:uid="{00000000-0005-0000-0000-000013440000}"/>
    <cellStyle name="Normal 2 2 2 29 5 9" xfId="17428" xr:uid="{00000000-0005-0000-0000-000014440000}"/>
    <cellStyle name="Normal 2 2 2 29 6" xfId="17429" xr:uid="{00000000-0005-0000-0000-000015440000}"/>
    <cellStyle name="Normal 2 2 2 29 7" xfId="17430" xr:uid="{00000000-0005-0000-0000-000016440000}"/>
    <cellStyle name="Normal 2 2 2 29 8" xfId="17431" xr:uid="{00000000-0005-0000-0000-000017440000}"/>
    <cellStyle name="Normal 2 2 2 29 9" xfId="17432" xr:uid="{00000000-0005-0000-0000-000018440000}"/>
    <cellStyle name="Normal 2 2 2 3" xfId="19" xr:uid="{00000000-0005-0000-0000-000013000000}"/>
    <cellStyle name="Normal 2 2 2 3 10" xfId="17433" xr:uid="{00000000-0005-0000-0000-000019440000}"/>
    <cellStyle name="Normal 2 2 2 3 10 10" xfId="17434" xr:uid="{00000000-0005-0000-0000-00001A440000}"/>
    <cellStyle name="Normal 2 2 2 3 10 11" xfId="17435" xr:uid="{00000000-0005-0000-0000-00001B440000}"/>
    <cellStyle name="Normal 2 2 2 3 10 12" xfId="17436" xr:uid="{00000000-0005-0000-0000-00001C440000}"/>
    <cellStyle name="Normal 2 2 2 3 10 13" xfId="17437" xr:uid="{00000000-0005-0000-0000-00001D440000}"/>
    <cellStyle name="Normal 2 2 2 3 10 14" xfId="17438" xr:uid="{00000000-0005-0000-0000-00001E440000}"/>
    <cellStyle name="Normal 2 2 2 3 10 2" xfId="17439" xr:uid="{00000000-0005-0000-0000-00001F440000}"/>
    <cellStyle name="Normal 2 2 2 3 10 2 10" xfId="17440" xr:uid="{00000000-0005-0000-0000-000020440000}"/>
    <cellStyle name="Normal 2 2 2 3 10 2 2" xfId="17441" xr:uid="{00000000-0005-0000-0000-000021440000}"/>
    <cellStyle name="Normal 2 2 2 3 10 2 3" xfId="17442" xr:uid="{00000000-0005-0000-0000-000022440000}"/>
    <cellStyle name="Normal 2 2 2 3 10 2 4" xfId="17443" xr:uid="{00000000-0005-0000-0000-000023440000}"/>
    <cellStyle name="Normal 2 2 2 3 10 2 5" xfId="17444" xr:uid="{00000000-0005-0000-0000-000024440000}"/>
    <cellStyle name="Normal 2 2 2 3 10 2 6" xfId="17445" xr:uid="{00000000-0005-0000-0000-000025440000}"/>
    <cellStyle name="Normal 2 2 2 3 10 2 7" xfId="17446" xr:uid="{00000000-0005-0000-0000-000026440000}"/>
    <cellStyle name="Normal 2 2 2 3 10 2 8" xfId="17447" xr:uid="{00000000-0005-0000-0000-000027440000}"/>
    <cellStyle name="Normal 2 2 2 3 10 2 9" xfId="17448" xr:uid="{00000000-0005-0000-0000-000028440000}"/>
    <cellStyle name="Normal 2 2 2 3 10 3" xfId="17449" xr:uid="{00000000-0005-0000-0000-000029440000}"/>
    <cellStyle name="Normal 2 2 2 3 10 3 10" xfId="17450" xr:uid="{00000000-0005-0000-0000-00002A440000}"/>
    <cellStyle name="Normal 2 2 2 3 10 3 2" xfId="17451" xr:uid="{00000000-0005-0000-0000-00002B440000}"/>
    <cellStyle name="Normal 2 2 2 3 10 3 3" xfId="17452" xr:uid="{00000000-0005-0000-0000-00002C440000}"/>
    <cellStyle name="Normal 2 2 2 3 10 3 4" xfId="17453" xr:uid="{00000000-0005-0000-0000-00002D440000}"/>
    <cellStyle name="Normal 2 2 2 3 10 3 5" xfId="17454" xr:uid="{00000000-0005-0000-0000-00002E440000}"/>
    <cellStyle name="Normal 2 2 2 3 10 3 6" xfId="17455" xr:uid="{00000000-0005-0000-0000-00002F440000}"/>
    <cellStyle name="Normal 2 2 2 3 10 3 7" xfId="17456" xr:uid="{00000000-0005-0000-0000-000030440000}"/>
    <cellStyle name="Normal 2 2 2 3 10 3 8" xfId="17457" xr:uid="{00000000-0005-0000-0000-000031440000}"/>
    <cellStyle name="Normal 2 2 2 3 10 3 9" xfId="17458" xr:uid="{00000000-0005-0000-0000-000032440000}"/>
    <cellStyle name="Normal 2 2 2 3 10 4" xfId="17459" xr:uid="{00000000-0005-0000-0000-000033440000}"/>
    <cellStyle name="Normal 2 2 2 3 10 4 10" xfId="17460" xr:uid="{00000000-0005-0000-0000-000034440000}"/>
    <cellStyle name="Normal 2 2 2 3 10 4 2" xfId="17461" xr:uid="{00000000-0005-0000-0000-000035440000}"/>
    <cellStyle name="Normal 2 2 2 3 10 4 3" xfId="17462" xr:uid="{00000000-0005-0000-0000-000036440000}"/>
    <cellStyle name="Normal 2 2 2 3 10 4 4" xfId="17463" xr:uid="{00000000-0005-0000-0000-000037440000}"/>
    <cellStyle name="Normal 2 2 2 3 10 4 5" xfId="17464" xr:uid="{00000000-0005-0000-0000-000038440000}"/>
    <cellStyle name="Normal 2 2 2 3 10 4 6" xfId="17465" xr:uid="{00000000-0005-0000-0000-000039440000}"/>
    <cellStyle name="Normal 2 2 2 3 10 4 7" xfId="17466" xr:uid="{00000000-0005-0000-0000-00003A440000}"/>
    <cellStyle name="Normal 2 2 2 3 10 4 8" xfId="17467" xr:uid="{00000000-0005-0000-0000-00003B440000}"/>
    <cellStyle name="Normal 2 2 2 3 10 4 9" xfId="17468" xr:uid="{00000000-0005-0000-0000-00003C440000}"/>
    <cellStyle name="Normal 2 2 2 3 10 5" xfId="17469" xr:uid="{00000000-0005-0000-0000-00003D440000}"/>
    <cellStyle name="Normal 2 2 2 3 10 5 10" xfId="17470" xr:uid="{00000000-0005-0000-0000-00003E440000}"/>
    <cellStyle name="Normal 2 2 2 3 10 5 2" xfId="17471" xr:uid="{00000000-0005-0000-0000-00003F440000}"/>
    <cellStyle name="Normal 2 2 2 3 10 5 3" xfId="17472" xr:uid="{00000000-0005-0000-0000-000040440000}"/>
    <cellStyle name="Normal 2 2 2 3 10 5 4" xfId="17473" xr:uid="{00000000-0005-0000-0000-000041440000}"/>
    <cellStyle name="Normal 2 2 2 3 10 5 5" xfId="17474" xr:uid="{00000000-0005-0000-0000-000042440000}"/>
    <cellStyle name="Normal 2 2 2 3 10 5 6" xfId="17475" xr:uid="{00000000-0005-0000-0000-000043440000}"/>
    <cellStyle name="Normal 2 2 2 3 10 5 7" xfId="17476" xr:uid="{00000000-0005-0000-0000-000044440000}"/>
    <cellStyle name="Normal 2 2 2 3 10 5 8" xfId="17477" xr:uid="{00000000-0005-0000-0000-000045440000}"/>
    <cellStyle name="Normal 2 2 2 3 10 5 9" xfId="17478" xr:uid="{00000000-0005-0000-0000-000046440000}"/>
    <cellStyle name="Normal 2 2 2 3 10 6" xfId="17479" xr:uid="{00000000-0005-0000-0000-000047440000}"/>
    <cellStyle name="Normal 2 2 2 3 10 7" xfId="17480" xr:uid="{00000000-0005-0000-0000-000048440000}"/>
    <cellStyle name="Normal 2 2 2 3 10 8" xfId="17481" xr:uid="{00000000-0005-0000-0000-000049440000}"/>
    <cellStyle name="Normal 2 2 2 3 10 9" xfId="17482" xr:uid="{00000000-0005-0000-0000-00004A440000}"/>
    <cellStyle name="Normal 2 2 2 3 11" xfId="17483" xr:uid="{00000000-0005-0000-0000-00004B440000}"/>
    <cellStyle name="Normal 2 2 2 3 11 10" xfId="17484" xr:uid="{00000000-0005-0000-0000-00004C440000}"/>
    <cellStyle name="Normal 2 2 2 3 11 11" xfId="17485" xr:uid="{00000000-0005-0000-0000-00004D440000}"/>
    <cellStyle name="Normal 2 2 2 3 11 12" xfId="17486" xr:uid="{00000000-0005-0000-0000-00004E440000}"/>
    <cellStyle name="Normal 2 2 2 3 11 13" xfId="17487" xr:uid="{00000000-0005-0000-0000-00004F440000}"/>
    <cellStyle name="Normal 2 2 2 3 11 14" xfId="17488" xr:uid="{00000000-0005-0000-0000-000050440000}"/>
    <cellStyle name="Normal 2 2 2 3 11 2" xfId="17489" xr:uid="{00000000-0005-0000-0000-000051440000}"/>
    <cellStyle name="Normal 2 2 2 3 11 2 10" xfId="17490" xr:uid="{00000000-0005-0000-0000-000052440000}"/>
    <cellStyle name="Normal 2 2 2 3 11 2 2" xfId="17491" xr:uid="{00000000-0005-0000-0000-000053440000}"/>
    <cellStyle name="Normal 2 2 2 3 11 2 3" xfId="17492" xr:uid="{00000000-0005-0000-0000-000054440000}"/>
    <cellStyle name="Normal 2 2 2 3 11 2 4" xfId="17493" xr:uid="{00000000-0005-0000-0000-000055440000}"/>
    <cellStyle name="Normal 2 2 2 3 11 2 5" xfId="17494" xr:uid="{00000000-0005-0000-0000-000056440000}"/>
    <cellStyle name="Normal 2 2 2 3 11 2 6" xfId="17495" xr:uid="{00000000-0005-0000-0000-000057440000}"/>
    <cellStyle name="Normal 2 2 2 3 11 2 7" xfId="17496" xr:uid="{00000000-0005-0000-0000-000058440000}"/>
    <cellStyle name="Normal 2 2 2 3 11 2 8" xfId="17497" xr:uid="{00000000-0005-0000-0000-000059440000}"/>
    <cellStyle name="Normal 2 2 2 3 11 2 9" xfId="17498" xr:uid="{00000000-0005-0000-0000-00005A440000}"/>
    <cellStyle name="Normal 2 2 2 3 11 3" xfId="17499" xr:uid="{00000000-0005-0000-0000-00005B440000}"/>
    <cellStyle name="Normal 2 2 2 3 11 3 10" xfId="17500" xr:uid="{00000000-0005-0000-0000-00005C440000}"/>
    <cellStyle name="Normal 2 2 2 3 11 3 2" xfId="17501" xr:uid="{00000000-0005-0000-0000-00005D440000}"/>
    <cellStyle name="Normal 2 2 2 3 11 3 3" xfId="17502" xr:uid="{00000000-0005-0000-0000-00005E440000}"/>
    <cellStyle name="Normal 2 2 2 3 11 3 4" xfId="17503" xr:uid="{00000000-0005-0000-0000-00005F440000}"/>
    <cellStyle name="Normal 2 2 2 3 11 3 5" xfId="17504" xr:uid="{00000000-0005-0000-0000-000060440000}"/>
    <cellStyle name="Normal 2 2 2 3 11 3 6" xfId="17505" xr:uid="{00000000-0005-0000-0000-000061440000}"/>
    <cellStyle name="Normal 2 2 2 3 11 3 7" xfId="17506" xr:uid="{00000000-0005-0000-0000-000062440000}"/>
    <cellStyle name="Normal 2 2 2 3 11 3 8" xfId="17507" xr:uid="{00000000-0005-0000-0000-000063440000}"/>
    <cellStyle name="Normal 2 2 2 3 11 3 9" xfId="17508" xr:uid="{00000000-0005-0000-0000-000064440000}"/>
    <cellStyle name="Normal 2 2 2 3 11 4" xfId="17509" xr:uid="{00000000-0005-0000-0000-000065440000}"/>
    <cellStyle name="Normal 2 2 2 3 11 4 10" xfId="17510" xr:uid="{00000000-0005-0000-0000-000066440000}"/>
    <cellStyle name="Normal 2 2 2 3 11 4 2" xfId="17511" xr:uid="{00000000-0005-0000-0000-000067440000}"/>
    <cellStyle name="Normal 2 2 2 3 11 4 3" xfId="17512" xr:uid="{00000000-0005-0000-0000-000068440000}"/>
    <cellStyle name="Normal 2 2 2 3 11 4 4" xfId="17513" xr:uid="{00000000-0005-0000-0000-000069440000}"/>
    <cellStyle name="Normal 2 2 2 3 11 4 5" xfId="17514" xr:uid="{00000000-0005-0000-0000-00006A440000}"/>
    <cellStyle name="Normal 2 2 2 3 11 4 6" xfId="17515" xr:uid="{00000000-0005-0000-0000-00006B440000}"/>
    <cellStyle name="Normal 2 2 2 3 11 4 7" xfId="17516" xr:uid="{00000000-0005-0000-0000-00006C440000}"/>
    <cellStyle name="Normal 2 2 2 3 11 4 8" xfId="17517" xr:uid="{00000000-0005-0000-0000-00006D440000}"/>
    <cellStyle name="Normal 2 2 2 3 11 4 9" xfId="17518" xr:uid="{00000000-0005-0000-0000-00006E440000}"/>
    <cellStyle name="Normal 2 2 2 3 11 5" xfId="17519" xr:uid="{00000000-0005-0000-0000-00006F440000}"/>
    <cellStyle name="Normal 2 2 2 3 11 5 10" xfId="17520" xr:uid="{00000000-0005-0000-0000-000070440000}"/>
    <cellStyle name="Normal 2 2 2 3 11 5 2" xfId="17521" xr:uid="{00000000-0005-0000-0000-000071440000}"/>
    <cellStyle name="Normal 2 2 2 3 11 5 3" xfId="17522" xr:uid="{00000000-0005-0000-0000-000072440000}"/>
    <cellStyle name="Normal 2 2 2 3 11 5 4" xfId="17523" xr:uid="{00000000-0005-0000-0000-000073440000}"/>
    <cellStyle name="Normal 2 2 2 3 11 5 5" xfId="17524" xr:uid="{00000000-0005-0000-0000-000074440000}"/>
    <cellStyle name="Normal 2 2 2 3 11 5 6" xfId="17525" xr:uid="{00000000-0005-0000-0000-000075440000}"/>
    <cellStyle name="Normal 2 2 2 3 11 5 7" xfId="17526" xr:uid="{00000000-0005-0000-0000-000076440000}"/>
    <cellStyle name="Normal 2 2 2 3 11 5 8" xfId="17527" xr:uid="{00000000-0005-0000-0000-000077440000}"/>
    <cellStyle name="Normal 2 2 2 3 11 5 9" xfId="17528" xr:uid="{00000000-0005-0000-0000-000078440000}"/>
    <cellStyle name="Normal 2 2 2 3 11 6" xfId="17529" xr:uid="{00000000-0005-0000-0000-000079440000}"/>
    <cellStyle name="Normal 2 2 2 3 11 7" xfId="17530" xr:uid="{00000000-0005-0000-0000-00007A440000}"/>
    <cellStyle name="Normal 2 2 2 3 11 8" xfId="17531" xr:uid="{00000000-0005-0000-0000-00007B440000}"/>
    <cellStyle name="Normal 2 2 2 3 11 9" xfId="17532" xr:uid="{00000000-0005-0000-0000-00007C440000}"/>
    <cellStyle name="Normal 2 2 2 3 12" xfId="17533" xr:uid="{00000000-0005-0000-0000-00007D440000}"/>
    <cellStyle name="Normal 2 2 2 3 12 10" xfId="17534" xr:uid="{00000000-0005-0000-0000-00007E440000}"/>
    <cellStyle name="Normal 2 2 2 3 12 11" xfId="17535" xr:uid="{00000000-0005-0000-0000-00007F440000}"/>
    <cellStyle name="Normal 2 2 2 3 12 12" xfId="17536" xr:uid="{00000000-0005-0000-0000-000080440000}"/>
    <cellStyle name="Normal 2 2 2 3 12 13" xfId="17537" xr:uid="{00000000-0005-0000-0000-000081440000}"/>
    <cellStyle name="Normal 2 2 2 3 12 14" xfId="17538" xr:uid="{00000000-0005-0000-0000-000082440000}"/>
    <cellStyle name="Normal 2 2 2 3 12 2" xfId="17539" xr:uid="{00000000-0005-0000-0000-000083440000}"/>
    <cellStyle name="Normal 2 2 2 3 12 2 10" xfId="17540" xr:uid="{00000000-0005-0000-0000-000084440000}"/>
    <cellStyle name="Normal 2 2 2 3 12 2 2" xfId="17541" xr:uid="{00000000-0005-0000-0000-000085440000}"/>
    <cellStyle name="Normal 2 2 2 3 12 2 3" xfId="17542" xr:uid="{00000000-0005-0000-0000-000086440000}"/>
    <cellStyle name="Normal 2 2 2 3 12 2 4" xfId="17543" xr:uid="{00000000-0005-0000-0000-000087440000}"/>
    <cellStyle name="Normal 2 2 2 3 12 2 5" xfId="17544" xr:uid="{00000000-0005-0000-0000-000088440000}"/>
    <cellStyle name="Normal 2 2 2 3 12 2 6" xfId="17545" xr:uid="{00000000-0005-0000-0000-000089440000}"/>
    <cellStyle name="Normal 2 2 2 3 12 2 7" xfId="17546" xr:uid="{00000000-0005-0000-0000-00008A440000}"/>
    <cellStyle name="Normal 2 2 2 3 12 2 8" xfId="17547" xr:uid="{00000000-0005-0000-0000-00008B440000}"/>
    <cellStyle name="Normal 2 2 2 3 12 2 9" xfId="17548" xr:uid="{00000000-0005-0000-0000-00008C440000}"/>
    <cellStyle name="Normal 2 2 2 3 12 3" xfId="17549" xr:uid="{00000000-0005-0000-0000-00008D440000}"/>
    <cellStyle name="Normal 2 2 2 3 12 3 10" xfId="17550" xr:uid="{00000000-0005-0000-0000-00008E440000}"/>
    <cellStyle name="Normal 2 2 2 3 12 3 2" xfId="17551" xr:uid="{00000000-0005-0000-0000-00008F440000}"/>
    <cellStyle name="Normal 2 2 2 3 12 3 3" xfId="17552" xr:uid="{00000000-0005-0000-0000-000090440000}"/>
    <cellStyle name="Normal 2 2 2 3 12 3 4" xfId="17553" xr:uid="{00000000-0005-0000-0000-000091440000}"/>
    <cellStyle name="Normal 2 2 2 3 12 3 5" xfId="17554" xr:uid="{00000000-0005-0000-0000-000092440000}"/>
    <cellStyle name="Normal 2 2 2 3 12 3 6" xfId="17555" xr:uid="{00000000-0005-0000-0000-000093440000}"/>
    <cellStyle name="Normal 2 2 2 3 12 3 7" xfId="17556" xr:uid="{00000000-0005-0000-0000-000094440000}"/>
    <cellStyle name="Normal 2 2 2 3 12 3 8" xfId="17557" xr:uid="{00000000-0005-0000-0000-000095440000}"/>
    <cellStyle name="Normal 2 2 2 3 12 3 9" xfId="17558" xr:uid="{00000000-0005-0000-0000-000096440000}"/>
    <cellStyle name="Normal 2 2 2 3 12 4" xfId="17559" xr:uid="{00000000-0005-0000-0000-000097440000}"/>
    <cellStyle name="Normal 2 2 2 3 12 4 10" xfId="17560" xr:uid="{00000000-0005-0000-0000-000098440000}"/>
    <cellStyle name="Normal 2 2 2 3 12 4 2" xfId="17561" xr:uid="{00000000-0005-0000-0000-000099440000}"/>
    <cellStyle name="Normal 2 2 2 3 12 4 3" xfId="17562" xr:uid="{00000000-0005-0000-0000-00009A440000}"/>
    <cellStyle name="Normal 2 2 2 3 12 4 4" xfId="17563" xr:uid="{00000000-0005-0000-0000-00009B440000}"/>
    <cellStyle name="Normal 2 2 2 3 12 4 5" xfId="17564" xr:uid="{00000000-0005-0000-0000-00009C440000}"/>
    <cellStyle name="Normal 2 2 2 3 12 4 6" xfId="17565" xr:uid="{00000000-0005-0000-0000-00009D440000}"/>
    <cellStyle name="Normal 2 2 2 3 12 4 7" xfId="17566" xr:uid="{00000000-0005-0000-0000-00009E440000}"/>
    <cellStyle name="Normal 2 2 2 3 12 4 8" xfId="17567" xr:uid="{00000000-0005-0000-0000-00009F440000}"/>
    <cellStyle name="Normal 2 2 2 3 12 4 9" xfId="17568" xr:uid="{00000000-0005-0000-0000-0000A0440000}"/>
    <cellStyle name="Normal 2 2 2 3 12 5" xfId="17569" xr:uid="{00000000-0005-0000-0000-0000A1440000}"/>
    <cellStyle name="Normal 2 2 2 3 12 5 10" xfId="17570" xr:uid="{00000000-0005-0000-0000-0000A2440000}"/>
    <cellStyle name="Normal 2 2 2 3 12 5 2" xfId="17571" xr:uid="{00000000-0005-0000-0000-0000A3440000}"/>
    <cellStyle name="Normal 2 2 2 3 12 5 3" xfId="17572" xr:uid="{00000000-0005-0000-0000-0000A4440000}"/>
    <cellStyle name="Normal 2 2 2 3 12 5 4" xfId="17573" xr:uid="{00000000-0005-0000-0000-0000A5440000}"/>
    <cellStyle name="Normal 2 2 2 3 12 5 5" xfId="17574" xr:uid="{00000000-0005-0000-0000-0000A6440000}"/>
    <cellStyle name="Normal 2 2 2 3 12 5 6" xfId="17575" xr:uid="{00000000-0005-0000-0000-0000A7440000}"/>
    <cellStyle name="Normal 2 2 2 3 12 5 7" xfId="17576" xr:uid="{00000000-0005-0000-0000-0000A8440000}"/>
    <cellStyle name="Normal 2 2 2 3 12 5 8" xfId="17577" xr:uid="{00000000-0005-0000-0000-0000A9440000}"/>
    <cellStyle name="Normal 2 2 2 3 12 5 9" xfId="17578" xr:uid="{00000000-0005-0000-0000-0000AA440000}"/>
    <cellStyle name="Normal 2 2 2 3 12 6" xfId="17579" xr:uid="{00000000-0005-0000-0000-0000AB440000}"/>
    <cellStyle name="Normal 2 2 2 3 12 7" xfId="17580" xr:uid="{00000000-0005-0000-0000-0000AC440000}"/>
    <cellStyle name="Normal 2 2 2 3 12 8" xfId="17581" xr:uid="{00000000-0005-0000-0000-0000AD440000}"/>
    <cellStyle name="Normal 2 2 2 3 12 9" xfId="17582" xr:uid="{00000000-0005-0000-0000-0000AE440000}"/>
    <cellStyle name="Normal 2 2 2 3 13" xfId="17583" xr:uid="{00000000-0005-0000-0000-0000AF440000}"/>
    <cellStyle name="Normal 2 2 2 3 13 10" xfId="17584" xr:uid="{00000000-0005-0000-0000-0000B0440000}"/>
    <cellStyle name="Normal 2 2 2 3 13 11" xfId="17585" xr:uid="{00000000-0005-0000-0000-0000B1440000}"/>
    <cellStyle name="Normal 2 2 2 3 13 12" xfId="17586" xr:uid="{00000000-0005-0000-0000-0000B2440000}"/>
    <cellStyle name="Normal 2 2 2 3 13 13" xfId="17587" xr:uid="{00000000-0005-0000-0000-0000B3440000}"/>
    <cellStyle name="Normal 2 2 2 3 13 14" xfId="17588" xr:uid="{00000000-0005-0000-0000-0000B4440000}"/>
    <cellStyle name="Normal 2 2 2 3 13 2" xfId="17589" xr:uid="{00000000-0005-0000-0000-0000B5440000}"/>
    <cellStyle name="Normal 2 2 2 3 13 2 10" xfId="17590" xr:uid="{00000000-0005-0000-0000-0000B6440000}"/>
    <cellStyle name="Normal 2 2 2 3 13 2 2" xfId="17591" xr:uid="{00000000-0005-0000-0000-0000B7440000}"/>
    <cellStyle name="Normal 2 2 2 3 13 2 3" xfId="17592" xr:uid="{00000000-0005-0000-0000-0000B8440000}"/>
    <cellStyle name="Normal 2 2 2 3 13 2 4" xfId="17593" xr:uid="{00000000-0005-0000-0000-0000B9440000}"/>
    <cellStyle name="Normal 2 2 2 3 13 2 5" xfId="17594" xr:uid="{00000000-0005-0000-0000-0000BA440000}"/>
    <cellStyle name="Normal 2 2 2 3 13 2 6" xfId="17595" xr:uid="{00000000-0005-0000-0000-0000BB440000}"/>
    <cellStyle name="Normal 2 2 2 3 13 2 7" xfId="17596" xr:uid="{00000000-0005-0000-0000-0000BC440000}"/>
    <cellStyle name="Normal 2 2 2 3 13 2 8" xfId="17597" xr:uid="{00000000-0005-0000-0000-0000BD440000}"/>
    <cellStyle name="Normal 2 2 2 3 13 2 9" xfId="17598" xr:uid="{00000000-0005-0000-0000-0000BE440000}"/>
    <cellStyle name="Normal 2 2 2 3 13 3" xfId="17599" xr:uid="{00000000-0005-0000-0000-0000BF440000}"/>
    <cellStyle name="Normal 2 2 2 3 13 3 10" xfId="17600" xr:uid="{00000000-0005-0000-0000-0000C0440000}"/>
    <cellStyle name="Normal 2 2 2 3 13 3 2" xfId="17601" xr:uid="{00000000-0005-0000-0000-0000C1440000}"/>
    <cellStyle name="Normal 2 2 2 3 13 3 3" xfId="17602" xr:uid="{00000000-0005-0000-0000-0000C2440000}"/>
    <cellStyle name="Normal 2 2 2 3 13 3 4" xfId="17603" xr:uid="{00000000-0005-0000-0000-0000C3440000}"/>
    <cellStyle name="Normal 2 2 2 3 13 3 5" xfId="17604" xr:uid="{00000000-0005-0000-0000-0000C4440000}"/>
    <cellStyle name="Normal 2 2 2 3 13 3 6" xfId="17605" xr:uid="{00000000-0005-0000-0000-0000C5440000}"/>
    <cellStyle name="Normal 2 2 2 3 13 3 7" xfId="17606" xr:uid="{00000000-0005-0000-0000-0000C6440000}"/>
    <cellStyle name="Normal 2 2 2 3 13 3 8" xfId="17607" xr:uid="{00000000-0005-0000-0000-0000C7440000}"/>
    <cellStyle name="Normal 2 2 2 3 13 3 9" xfId="17608" xr:uid="{00000000-0005-0000-0000-0000C8440000}"/>
    <cellStyle name="Normal 2 2 2 3 13 4" xfId="17609" xr:uid="{00000000-0005-0000-0000-0000C9440000}"/>
    <cellStyle name="Normal 2 2 2 3 13 4 10" xfId="17610" xr:uid="{00000000-0005-0000-0000-0000CA440000}"/>
    <cellStyle name="Normal 2 2 2 3 13 4 2" xfId="17611" xr:uid="{00000000-0005-0000-0000-0000CB440000}"/>
    <cellStyle name="Normal 2 2 2 3 13 4 3" xfId="17612" xr:uid="{00000000-0005-0000-0000-0000CC440000}"/>
    <cellStyle name="Normal 2 2 2 3 13 4 4" xfId="17613" xr:uid="{00000000-0005-0000-0000-0000CD440000}"/>
    <cellStyle name="Normal 2 2 2 3 13 4 5" xfId="17614" xr:uid="{00000000-0005-0000-0000-0000CE440000}"/>
    <cellStyle name="Normal 2 2 2 3 13 4 6" xfId="17615" xr:uid="{00000000-0005-0000-0000-0000CF440000}"/>
    <cellStyle name="Normal 2 2 2 3 13 4 7" xfId="17616" xr:uid="{00000000-0005-0000-0000-0000D0440000}"/>
    <cellStyle name="Normal 2 2 2 3 13 4 8" xfId="17617" xr:uid="{00000000-0005-0000-0000-0000D1440000}"/>
    <cellStyle name="Normal 2 2 2 3 13 4 9" xfId="17618" xr:uid="{00000000-0005-0000-0000-0000D2440000}"/>
    <cellStyle name="Normal 2 2 2 3 13 5" xfId="17619" xr:uid="{00000000-0005-0000-0000-0000D3440000}"/>
    <cellStyle name="Normal 2 2 2 3 13 5 10" xfId="17620" xr:uid="{00000000-0005-0000-0000-0000D4440000}"/>
    <cellStyle name="Normal 2 2 2 3 13 5 2" xfId="17621" xr:uid="{00000000-0005-0000-0000-0000D5440000}"/>
    <cellStyle name="Normal 2 2 2 3 13 5 3" xfId="17622" xr:uid="{00000000-0005-0000-0000-0000D6440000}"/>
    <cellStyle name="Normal 2 2 2 3 13 5 4" xfId="17623" xr:uid="{00000000-0005-0000-0000-0000D7440000}"/>
    <cellStyle name="Normal 2 2 2 3 13 5 5" xfId="17624" xr:uid="{00000000-0005-0000-0000-0000D8440000}"/>
    <cellStyle name="Normal 2 2 2 3 13 5 6" xfId="17625" xr:uid="{00000000-0005-0000-0000-0000D9440000}"/>
    <cellStyle name="Normal 2 2 2 3 13 5 7" xfId="17626" xr:uid="{00000000-0005-0000-0000-0000DA440000}"/>
    <cellStyle name="Normal 2 2 2 3 13 5 8" xfId="17627" xr:uid="{00000000-0005-0000-0000-0000DB440000}"/>
    <cellStyle name="Normal 2 2 2 3 13 5 9" xfId="17628" xr:uid="{00000000-0005-0000-0000-0000DC440000}"/>
    <cellStyle name="Normal 2 2 2 3 13 6" xfId="17629" xr:uid="{00000000-0005-0000-0000-0000DD440000}"/>
    <cellStyle name="Normal 2 2 2 3 13 7" xfId="17630" xr:uid="{00000000-0005-0000-0000-0000DE440000}"/>
    <cellStyle name="Normal 2 2 2 3 13 8" xfId="17631" xr:uid="{00000000-0005-0000-0000-0000DF440000}"/>
    <cellStyle name="Normal 2 2 2 3 13 9" xfId="17632" xr:uid="{00000000-0005-0000-0000-0000E0440000}"/>
    <cellStyle name="Normal 2 2 2 3 14" xfId="17633" xr:uid="{00000000-0005-0000-0000-0000E1440000}"/>
    <cellStyle name="Normal 2 2 2 3 14 10" xfId="17634" xr:uid="{00000000-0005-0000-0000-0000E2440000}"/>
    <cellStyle name="Normal 2 2 2 3 14 11" xfId="17635" xr:uid="{00000000-0005-0000-0000-0000E3440000}"/>
    <cellStyle name="Normal 2 2 2 3 14 12" xfId="17636" xr:uid="{00000000-0005-0000-0000-0000E4440000}"/>
    <cellStyle name="Normal 2 2 2 3 14 13" xfId="17637" xr:uid="{00000000-0005-0000-0000-0000E5440000}"/>
    <cellStyle name="Normal 2 2 2 3 14 14" xfId="17638" xr:uid="{00000000-0005-0000-0000-0000E6440000}"/>
    <cellStyle name="Normal 2 2 2 3 14 2" xfId="17639" xr:uid="{00000000-0005-0000-0000-0000E7440000}"/>
    <cellStyle name="Normal 2 2 2 3 14 2 10" xfId="17640" xr:uid="{00000000-0005-0000-0000-0000E8440000}"/>
    <cellStyle name="Normal 2 2 2 3 14 2 2" xfId="17641" xr:uid="{00000000-0005-0000-0000-0000E9440000}"/>
    <cellStyle name="Normal 2 2 2 3 14 2 3" xfId="17642" xr:uid="{00000000-0005-0000-0000-0000EA440000}"/>
    <cellStyle name="Normal 2 2 2 3 14 2 4" xfId="17643" xr:uid="{00000000-0005-0000-0000-0000EB440000}"/>
    <cellStyle name="Normal 2 2 2 3 14 2 5" xfId="17644" xr:uid="{00000000-0005-0000-0000-0000EC440000}"/>
    <cellStyle name="Normal 2 2 2 3 14 2 6" xfId="17645" xr:uid="{00000000-0005-0000-0000-0000ED440000}"/>
    <cellStyle name="Normal 2 2 2 3 14 2 7" xfId="17646" xr:uid="{00000000-0005-0000-0000-0000EE440000}"/>
    <cellStyle name="Normal 2 2 2 3 14 2 8" xfId="17647" xr:uid="{00000000-0005-0000-0000-0000EF440000}"/>
    <cellStyle name="Normal 2 2 2 3 14 2 9" xfId="17648" xr:uid="{00000000-0005-0000-0000-0000F0440000}"/>
    <cellStyle name="Normal 2 2 2 3 14 3" xfId="17649" xr:uid="{00000000-0005-0000-0000-0000F1440000}"/>
    <cellStyle name="Normal 2 2 2 3 14 3 10" xfId="17650" xr:uid="{00000000-0005-0000-0000-0000F2440000}"/>
    <cellStyle name="Normal 2 2 2 3 14 3 2" xfId="17651" xr:uid="{00000000-0005-0000-0000-0000F3440000}"/>
    <cellStyle name="Normal 2 2 2 3 14 3 3" xfId="17652" xr:uid="{00000000-0005-0000-0000-0000F4440000}"/>
    <cellStyle name="Normal 2 2 2 3 14 3 4" xfId="17653" xr:uid="{00000000-0005-0000-0000-0000F5440000}"/>
    <cellStyle name="Normal 2 2 2 3 14 3 5" xfId="17654" xr:uid="{00000000-0005-0000-0000-0000F6440000}"/>
    <cellStyle name="Normal 2 2 2 3 14 3 6" xfId="17655" xr:uid="{00000000-0005-0000-0000-0000F7440000}"/>
    <cellStyle name="Normal 2 2 2 3 14 3 7" xfId="17656" xr:uid="{00000000-0005-0000-0000-0000F8440000}"/>
    <cellStyle name="Normal 2 2 2 3 14 3 8" xfId="17657" xr:uid="{00000000-0005-0000-0000-0000F9440000}"/>
    <cellStyle name="Normal 2 2 2 3 14 3 9" xfId="17658" xr:uid="{00000000-0005-0000-0000-0000FA440000}"/>
    <cellStyle name="Normal 2 2 2 3 14 4" xfId="17659" xr:uid="{00000000-0005-0000-0000-0000FB440000}"/>
    <cellStyle name="Normal 2 2 2 3 14 4 10" xfId="17660" xr:uid="{00000000-0005-0000-0000-0000FC440000}"/>
    <cellStyle name="Normal 2 2 2 3 14 4 2" xfId="17661" xr:uid="{00000000-0005-0000-0000-0000FD440000}"/>
    <cellStyle name="Normal 2 2 2 3 14 4 3" xfId="17662" xr:uid="{00000000-0005-0000-0000-0000FE440000}"/>
    <cellStyle name="Normal 2 2 2 3 14 4 4" xfId="17663" xr:uid="{00000000-0005-0000-0000-0000FF440000}"/>
    <cellStyle name="Normal 2 2 2 3 14 4 5" xfId="17664" xr:uid="{00000000-0005-0000-0000-000000450000}"/>
    <cellStyle name="Normal 2 2 2 3 14 4 6" xfId="17665" xr:uid="{00000000-0005-0000-0000-000001450000}"/>
    <cellStyle name="Normal 2 2 2 3 14 4 7" xfId="17666" xr:uid="{00000000-0005-0000-0000-000002450000}"/>
    <cellStyle name="Normal 2 2 2 3 14 4 8" xfId="17667" xr:uid="{00000000-0005-0000-0000-000003450000}"/>
    <cellStyle name="Normal 2 2 2 3 14 4 9" xfId="17668" xr:uid="{00000000-0005-0000-0000-000004450000}"/>
    <cellStyle name="Normal 2 2 2 3 14 5" xfId="17669" xr:uid="{00000000-0005-0000-0000-000005450000}"/>
    <cellStyle name="Normal 2 2 2 3 14 5 10" xfId="17670" xr:uid="{00000000-0005-0000-0000-000006450000}"/>
    <cellStyle name="Normal 2 2 2 3 14 5 2" xfId="17671" xr:uid="{00000000-0005-0000-0000-000007450000}"/>
    <cellStyle name="Normal 2 2 2 3 14 5 3" xfId="17672" xr:uid="{00000000-0005-0000-0000-000008450000}"/>
    <cellStyle name="Normal 2 2 2 3 14 5 4" xfId="17673" xr:uid="{00000000-0005-0000-0000-000009450000}"/>
    <cellStyle name="Normal 2 2 2 3 14 5 5" xfId="17674" xr:uid="{00000000-0005-0000-0000-00000A450000}"/>
    <cellStyle name="Normal 2 2 2 3 14 5 6" xfId="17675" xr:uid="{00000000-0005-0000-0000-00000B450000}"/>
    <cellStyle name="Normal 2 2 2 3 14 5 7" xfId="17676" xr:uid="{00000000-0005-0000-0000-00000C450000}"/>
    <cellStyle name="Normal 2 2 2 3 14 5 8" xfId="17677" xr:uid="{00000000-0005-0000-0000-00000D450000}"/>
    <cellStyle name="Normal 2 2 2 3 14 5 9" xfId="17678" xr:uid="{00000000-0005-0000-0000-00000E450000}"/>
    <cellStyle name="Normal 2 2 2 3 14 6" xfId="17679" xr:uid="{00000000-0005-0000-0000-00000F450000}"/>
    <cellStyle name="Normal 2 2 2 3 14 7" xfId="17680" xr:uid="{00000000-0005-0000-0000-000010450000}"/>
    <cellStyle name="Normal 2 2 2 3 14 8" xfId="17681" xr:uid="{00000000-0005-0000-0000-000011450000}"/>
    <cellStyle name="Normal 2 2 2 3 14 9" xfId="17682" xr:uid="{00000000-0005-0000-0000-000012450000}"/>
    <cellStyle name="Normal 2 2 2 3 15" xfId="17683" xr:uid="{00000000-0005-0000-0000-000013450000}"/>
    <cellStyle name="Normal 2 2 2 3 15 10" xfId="17684" xr:uid="{00000000-0005-0000-0000-000014450000}"/>
    <cellStyle name="Normal 2 2 2 3 15 11" xfId="17685" xr:uid="{00000000-0005-0000-0000-000015450000}"/>
    <cellStyle name="Normal 2 2 2 3 15 12" xfId="17686" xr:uid="{00000000-0005-0000-0000-000016450000}"/>
    <cellStyle name="Normal 2 2 2 3 15 13" xfId="17687" xr:uid="{00000000-0005-0000-0000-000017450000}"/>
    <cellStyle name="Normal 2 2 2 3 15 14" xfId="17688" xr:uid="{00000000-0005-0000-0000-000018450000}"/>
    <cellStyle name="Normal 2 2 2 3 15 2" xfId="17689" xr:uid="{00000000-0005-0000-0000-000019450000}"/>
    <cellStyle name="Normal 2 2 2 3 15 2 10" xfId="17690" xr:uid="{00000000-0005-0000-0000-00001A450000}"/>
    <cellStyle name="Normal 2 2 2 3 15 2 2" xfId="17691" xr:uid="{00000000-0005-0000-0000-00001B450000}"/>
    <cellStyle name="Normal 2 2 2 3 15 2 3" xfId="17692" xr:uid="{00000000-0005-0000-0000-00001C450000}"/>
    <cellStyle name="Normal 2 2 2 3 15 2 4" xfId="17693" xr:uid="{00000000-0005-0000-0000-00001D450000}"/>
    <cellStyle name="Normal 2 2 2 3 15 2 5" xfId="17694" xr:uid="{00000000-0005-0000-0000-00001E450000}"/>
    <cellStyle name="Normal 2 2 2 3 15 2 6" xfId="17695" xr:uid="{00000000-0005-0000-0000-00001F450000}"/>
    <cellStyle name="Normal 2 2 2 3 15 2 7" xfId="17696" xr:uid="{00000000-0005-0000-0000-000020450000}"/>
    <cellStyle name="Normal 2 2 2 3 15 2 8" xfId="17697" xr:uid="{00000000-0005-0000-0000-000021450000}"/>
    <cellStyle name="Normal 2 2 2 3 15 2 9" xfId="17698" xr:uid="{00000000-0005-0000-0000-000022450000}"/>
    <cellStyle name="Normal 2 2 2 3 15 3" xfId="17699" xr:uid="{00000000-0005-0000-0000-000023450000}"/>
    <cellStyle name="Normal 2 2 2 3 15 3 10" xfId="17700" xr:uid="{00000000-0005-0000-0000-000024450000}"/>
    <cellStyle name="Normal 2 2 2 3 15 3 2" xfId="17701" xr:uid="{00000000-0005-0000-0000-000025450000}"/>
    <cellStyle name="Normal 2 2 2 3 15 3 3" xfId="17702" xr:uid="{00000000-0005-0000-0000-000026450000}"/>
    <cellStyle name="Normal 2 2 2 3 15 3 4" xfId="17703" xr:uid="{00000000-0005-0000-0000-000027450000}"/>
    <cellStyle name="Normal 2 2 2 3 15 3 5" xfId="17704" xr:uid="{00000000-0005-0000-0000-000028450000}"/>
    <cellStyle name="Normal 2 2 2 3 15 3 6" xfId="17705" xr:uid="{00000000-0005-0000-0000-000029450000}"/>
    <cellStyle name="Normal 2 2 2 3 15 3 7" xfId="17706" xr:uid="{00000000-0005-0000-0000-00002A450000}"/>
    <cellStyle name="Normal 2 2 2 3 15 3 8" xfId="17707" xr:uid="{00000000-0005-0000-0000-00002B450000}"/>
    <cellStyle name="Normal 2 2 2 3 15 3 9" xfId="17708" xr:uid="{00000000-0005-0000-0000-00002C450000}"/>
    <cellStyle name="Normal 2 2 2 3 15 4" xfId="17709" xr:uid="{00000000-0005-0000-0000-00002D450000}"/>
    <cellStyle name="Normal 2 2 2 3 15 4 10" xfId="17710" xr:uid="{00000000-0005-0000-0000-00002E450000}"/>
    <cellStyle name="Normal 2 2 2 3 15 4 2" xfId="17711" xr:uid="{00000000-0005-0000-0000-00002F450000}"/>
    <cellStyle name="Normal 2 2 2 3 15 4 3" xfId="17712" xr:uid="{00000000-0005-0000-0000-000030450000}"/>
    <cellStyle name="Normal 2 2 2 3 15 4 4" xfId="17713" xr:uid="{00000000-0005-0000-0000-000031450000}"/>
    <cellStyle name="Normal 2 2 2 3 15 4 5" xfId="17714" xr:uid="{00000000-0005-0000-0000-000032450000}"/>
    <cellStyle name="Normal 2 2 2 3 15 4 6" xfId="17715" xr:uid="{00000000-0005-0000-0000-000033450000}"/>
    <cellStyle name="Normal 2 2 2 3 15 4 7" xfId="17716" xr:uid="{00000000-0005-0000-0000-000034450000}"/>
    <cellStyle name="Normal 2 2 2 3 15 4 8" xfId="17717" xr:uid="{00000000-0005-0000-0000-000035450000}"/>
    <cellStyle name="Normal 2 2 2 3 15 4 9" xfId="17718" xr:uid="{00000000-0005-0000-0000-000036450000}"/>
    <cellStyle name="Normal 2 2 2 3 15 5" xfId="17719" xr:uid="{00000000-0005-0000-0000-000037450000}"/>
    <cellStyle name="Normal 2 2 2 3 15 5 10" xfId="17720" xr:uid="{00000000-0005-0000-0000-000038450000}"/>
    <cellStyle name="Normal 2 2 2 3 15 5 2" xfId="17721" xr:uid="{00000000-0005-0000-0000-000039450000}"/>
    <cellStyle name="Normal 2 2 2 3 15 5 3" xfId="17722" xr:uid="{00000000-0005-0000-0000-00003A450000}"/>
    <cellStyle name="Normal 2 2 2 3 15 5 4" xfId="17723" xr:uid="{00000000-0005-0000-0000-00003B450000}"/>
    <cellStyle name="Normal 2 2 2 3 15 5 5" xfId="17724" xr:uid="{00000000-0005-0000-0000-00003C450000}"/>
    <cellStyle name="Normal 2 2 2 3 15 5 6" xfId="17725" xr:uid="{00000000-0005-0000-0000-00003D450000}"/>
    <cellStyle name="Normal 2 2 2 3 15 5 7" xfId="17726" xr:uid="{00000000-0005-0000-0000-00003E450000}"/>
    <cellStyle name="Normal 2 2 2 3 15 5 8" xfId="17727" xr:uid="{00000000-0005-0000-0000-00003F450000}"/>
    <cellStyle name="Normal 2 2 2 3 15 5 9" xfId="17728" xr:uid="{00000000-0005-0000-0000-000040450000}"/>
    <cellStyle name="Normal 2 2 2 3 15 6" xfId="17729" xr:uid="{00000000-0005-0000-0000-000041450000}"/>
    <cellStyle name="Normal 2 2 2 3 15 7" xfId="17730" xr:uid="{00000000-0005-0000-0000-000042450000}"/>
    <cellStyle name="Normal 2 2 2 3 15 8" xfId="17731" xr:uid="{00000000-0005-0000-0000-000043450000}"/>
    <cellStyle name="Normal 2 2 2 3 15 9" xfId="17732" xr:uid="{00000000-0005-0000-0000-000044450000}"/>
    <cellStyle name="Normal 2 2 2 3 16" xfId="17733" xr:uid="{00000000-0005-0000-0000-000045450000}"/>
    <cellStyle name="Normal 2 2 2 3 16 10" xfId="17734" xr:uid="{00000000-0005-0000-0000-000046450000}"/>
    <cellStyle name="Normal 2 2 2 3 16 11" xfId="17735" xr:uid="{00000000-0005-0000-0000-000047450000}"/>
    <cellStyle name="Normal 2 2 2 3 16 12" xfId="17736" xr:uid="{00000000-0005-0000-0000-000048450000}"/>
    <cellStyle name="Normal 2 2 2 3 16 13" xfId="17737" xr:uid="{00000000-0005-0000-0000-000049450000}"/>
    <cellStyle name="Normal 2 2 2 3 16 14" xfId="17738" xr:uid="{00000000-0005-0000-0000-00004A450000}"/>
    <cellStyle name="Normal 2 2 2 3 16 2" xfId="17739" xr:uid="{00000000-0005-0000-0000-00004B450000}"/>
    <cellStyle name="Normal 2 2 2 3 16 2 10" xfId="17740" xr:uid="{00000000-0005-0000-0000-00004C450000}"/>
    <cellStyle name="Normal 2 2 2 3 16 2 2" xfId="17741" xr:uid="{00000000-0005-0000-0000-00004D450000}"/>
    <cellStyle name="Normal 2 2 2 3 16 2 3" xfId="17742" xr:uid="{00000000-0005-0000-0000-00004E450000}"/>
    <cellStyle name="Normal 2 2 2 3 16 2 4" xfId="17743" xr:uid="{00000000-0005-0000-0000-00004F450000}"/>
    <cellStyle name="Normal 2 2 2 3 16 2 5" xfId="17744" xr:uid="{00000000-0005-0000-0000-000050450000}"/>
    <cellStyle name="Normal 2 2 2 3 16 2 6" xfId="17745" xr:uid="{00000000-0005-0000-0000-000051450000}"/>
    <cellStyle name="Normal 2 2 2 3 16 2 7" xfId="17746" xr:uid="{00000000-0005-0000-0000-000052450000}"/>
    <cellStyle name="Normal 2 2 2 3 16 2 8" xfId="17747" xr:uid="{00000000-0005-0000-0000-000053450000}"/>
    <cellStyle name="Normal 2 2 2 3 16 2 9" xfId="17748" xr:uid="{00000000-0005-0000-0000-000054450000}"/>
    <cellStyle name="Normal 2 2 2 3 16 3" xfId="17749" xr:uid="{00000000-0005-0000-0000-000055450000}"/>
    <cellStyle name="Normal 2 2 2 3 16 3 10" xfId="17750" xr:uid="{00000000-0005-0000-0000-000056450000}"/>
    <cellStyle name="Normal 2 2 2 3 16 3 2" xfId="17751" xr:uid="{00000000-0005-0000-0000-000057450000}"/>
    <cellStyle name="Normal 2 2 2 3 16 3 3" xfId="17752" xr:uid="{00000000-0005-0000-0000-000058450000}"/>
    <cellStyle name="Normal 2 2 2 3 16 3 4" xfId="17753" xr:uid="{00000000-0005-0000-0000-000059450000}"/>
    <cellStyle name="Normal 2 2 2 3 16 3 5" xfId="17754" xr:uid="{00000000-0005-0000-0000-00005A450000}"/>
    <cellStyle name="Normal 2 2 2 3 16 3 6" xfId="17755" xr:uid="{00000000-0005-0000-0000-00005B450000}"/>
    <cellStyle name="Normal 2 2 2 3 16 3 7" xfId="17756" xr:uid="{00000000-0005-0000-0000-00005C450000}"/>
    <cellStyle name="Normal 2 2 2 3 16 3 8" xfId="17757" xr:uid="{00000000-0005-0000-0000-00005D450000}"/>
    <cellStyle name="Normal 2 2 2 3 16 3 9" xfId="17758" xr:uid="{00000000-0005-0000-0000-00005E450000}"/>
    <cellStyle name="Normal 2 2 2 3 16 4" xfId="17759" xr:uid="{00000000-0005-0000-0000-00005F450000}"/>
    <cellStyle name="Normal 2 2 2 3 16 4 10" xfId="17760" xr:uid="{00000000-0005-0000-0000-000060450000}"/>
    <cellStyle name="Normal 2 2 2 3 16 4 2" xfId="17761" xr:uid="{00000000-0005-0000-0000-000061450000}"/>
    <cellStyle name="Normal 2 2 2 3 16 4 3" xfId="17762" xr:uid="{00000000-0005-0000-0000-000062450000}"/>
    <cellStyle name="Normal 2 2 2 3 16 4 4" xfId="17763" xr:uid="{00000000-0005-0000-0000-000063450000}"/>
    <cellStyle name="Normal 2 2 2 3 16 4 5" xfId="17764" xr:uid="{00000000-0005-0000-0000-000064450000}"/>
    <cellStyle name="Normal 2 2 2 3 16 4 6" xfId="17765" xr:uid="{00000000-0005-0000-0000-000065450000}"/>
    <cellStyle name="Normal 2 2 2 3 16 4 7" xfId="17766" xr:uid="{00000000-0005-0000-0000-000066450000}"/>
    <cellStyle name="Normal 2 2 2 3 16 4 8" xfId="17767" xr:uid="{00000000-0005-0000-0000-000067450000}"/>
    <cellStyle name="Normal 2 2 2 3 16 4 9" xfId="17768" xr:uid="{00000000-0005-0000-0000-000068450000}"/>
    <cellStyle name="Normal 2 2 2 3 16 5" xfId="17769" xr:uid="{00000000-0005-0000-0000-000069450000}"/>
    <cellStyle name="Normal 2 2 2 3 16 5 10" xfId="17770" xr:uid="{00000000-0005-0000-0000-00006A450000}"/>
    <cellStyle name="Normal 2 2 2 3 16 5 2" xfId="17771" xr:uid="{00000000-0005-0000-0000-00006B450000}"/>
    <cellStyle name="Normal 2 2 2 3 16 5 3" xfId="17772" xr:uid="{00000000-0005-0000-0000-00006C450000}"/>
    <cellStyle name="Normal 2 2 2 3 16 5 4" xfId="17773" xr:uid="{00000000-0005-0000-0000-00006D450000}"/>
    <cellStyle name="Normal 2 2 2 3 16 5 5" xfId="17774" xr:uid="{00000000-0005-0000-0000-00006E450000}"/>
    <cellStyle name="Normal 2 2 2 3 16 5 6" xfId="17775" xr:uid="{00000000-0005-0000-0000-00006F450000}"/>
    <cellStyle name="Normal 2 2 2 3 16 5 7" xfId="17776" xr:uid="{00000000-0005-0000-0000-000070450000}"/>
    <cellStyle name="Normal 2 2 2 3 16 5 8" xfId="17777" xr:uid="{00000000-0005-0000-0000-000071450000}"/>
    <cellStyle name="Normal 2 2 2 3 16 5 9" xfId="17778" xr:uid="{00000000-0005-0000-0000-000072450000}"/>
    <cellStyle name="Normal 2 2 2 3 16 6" xfId="17779" xr:uid="{00000000-0005-0000-0000-000073450000}"/>
    <cellStyle name="Normal 2 2 2 3 16 7" xfId="17780" xr:uid="{00000000-0005-0000-0000-000074450000}"/>
    <cellStyle name="Normal 2 2 2 3 16 8" xfId="17781" xr:uid="{00000000-0005-0000-0000-000075450000}"/>
    <cellStyle name="Normal 2 2 2 3 16 9" xfId="17782" xr:uid="{00000000-0005-0000-0000-000076450000}"/>
    <cellStyle name="Normal 2 2 2 3 17" xfId="17783" xr:uid="{00000000-0005-0000-0000-000077450000}"/>
    <cellStyle name="Normal 2 2 2 3 17 10" xfId="17784" xr:uid="{00000000-0005-0000-0000-000078450000}"/>
    <cellStyle name="Normal 2 2 2 3 17 11" xfId="17785" xr:uid="{00000000-0005-0000-0000-000079450000}"/>
    <cellStyle name="Normal 2 2 2 3 17 12" xfId="17786" xr:uid="{00000000-0005-0000-0000-00007A450000}"/>
    <cellStyle name="Normal 2 2 2 3 17 13" xfId="17787" xr:uid="{00000000-0005-0000-0000-00007B450000}"/>
    <cellStyle name="Normal 2 2 2 3 17 14" xfId="17788" xr:uid="{00000000-0005-0000-0000-00007C450000}"/>
    <cellStyle name="Normal 2 2 2 3 17 2" xfId="17789" xr:uid="{00000000-0005-0000-0000-00007D450000}"/>
    <cellStyle name="Normal 2 2 2 3 17 2 10" xfId="17790" xr:uid="{00000000-0005-0000-0000-00007E450000}"/>
    <cellStyle name="Normal 2 2 2 3 17 2 2" xfId="17791" xr:uid="{00000000-0005-0000-0000-00007F450000}"/>
    <cellStyle name="Normal 2 2 2 3 17 2 3" xfId="17792" xr:uid="{00000000-0005-0000-0000-000080450000}"/>
    <cellStyle name="Normal 2 2 2 3 17 2 4" xfId="17793" xr:uid="{00000000-0005-0000-0000-000081450000}"/>
    <cellStyle name="Normal 2 2 2 3 17 2 5" xfId="17794" xr:uid="{00000000-0005-0000-0000-000082450000}"/>
    <cellStyle name="Normal 2 2 2 3 17 2 6" xfId="17795" xr:uid="{00000000-0005-0000-0000-000083450000}"/>
    <cellStyle name="Normal 2 2 2 3 17 2 7" xfId="17796" xr:uid="{00000000-0005-0000-0000-000084450000}"/>
    <cellStyle name="Normal 2 2 2 3 17 2 8" xfId="17797" xr:uid="{00000000-0005-0000-0000-000085450000}"/>
    <cellStyle name="Normal 2 2 2 3 17 2 9" xfId="17798" xr:uid="{00000000-0005-0000-0000-000086450000}"/>
    <cellStyle name="Normal 2 2 2 3 17 3" xfId="17799" xr:uid="{00000000-0005-0000-0000-000087450000}"/>
    <cellStyle name="Normal 2 2 2 3 17 3 10" xfId="17800" xr:uid="{00000000-0005-0000-0000-000088450000}"/>
    <cellStyle name="Normal 2 2 2 3 17 3 2" xfId="17801" xr:uid="{00000000-0005-0000-0000-000089450000}"/>
    <cellStyle name="Normal 2 2 2 3 17 3 3" xfId="17802" xr:uid="{00000000-0005-0000-0000-00008A450000}"/>
    <cellStyle name="Normal 2 2 2 3 17 3 4" xfId="17803" xr:uid="{00000000-0005-0000-0000-00008B450000}"/>
    <cellStyle name="Normal 2 2 2 3 17 3 5" xfId="17804" xr:uid="{00000000-0005-0000-0000-00008C450000}"/>
    <cellStyle name="Normal 2 2 2 3 17 3 6" xfId="17805" xr:uid="{00000000-0005-0000-0000-00008D450000}"/>
    <cellStyle name="Normal 2 2 2 3 17 3 7" xfId="17806" xr:uid="{00000000-0005-0000-0000-00008E450000}"/>
    <cellStyle name="Normal 2 2 2 3 17 3 8" xfId="17807" xr:uid="{00000000-0005-0000-0000-00008F450000}"/>
    <cellStyle name="Normal 2 2 2 3 17 3 9" xfId="17808" xr:uid="{00000000-0005-0000-0000-000090450000}"/>
    <cellStyle name="Normal 2 2 2 3 17 4" xfId="17809" xr:uid="{00000000-0005-0000-0000-000091450000}"/>
    <cellStyle name="Normal 2 2 2 3 17 4 10" xfId="17810" xr:uid="{00000000-0005-0000-0000-000092450000}"/>
    <cellStyle name="Normal 2 2 2 3 17 4 2" xfId="17811" xr:uid="{00000000-0005-0000-0000-000093450000}"/>
    <cellStyle name="Normal 2 2 2 3 17 4 3" xfId="17812" xr:uid="{00000000-0005-0000-0000-000094450000}"/>
    <cellStyle name="Normal 2 2 2 3 17 4 4" xfId="17813" xr:uid="{00000000-0005-0000-0000-000095450000}"/>
    <cellStyle name="Normal 2 2 2 3 17 4 5" xfId="17814" xr:uid="{00000000-0005-0000-0000-000096450000}"/>
    <cellStyle name="Normal 2 2 2 3 17 4 6" xfId="17815" xr:uid="{00000000-0005-0000-0000-000097450000}"/>
    <cellStyle name="Normal 2 2 2 3 17 4 7" xfId="17816" xr:uid="{00000000-0005-0000-0000-000098450000}"/>
    <cellStyle name="Normal 2 2 2 3 17 4 8" xfId="17817" xr:uid="{00000000-0005-0000-0000-000099450000}"/>
    <cellStyle name="Normal 2 2 2 3 17 4 9" xfId="17818" xr:uid="{00000000-0005-0000-0000-00009A450000}"/>
    <cellStyle name="Normal 2 2 2 3 17 5" xfId="17819" xr:uid="{00000000-0005-0000-0000-00009B450000}"/>
    <cellStyle name="Normal 2 2 2 3 17 5 10" xfId="17820" xr:uid="{00000000-0005-0000-0000-00009C450000}"/>
    <cellStyle name="Normal 2 2 2 3 17 5 2" xfId="17821" xr:uid="{00000000-0005-0000-0000-00009D450000}"/>
    <cellStyle name="Normal 2 2 2 3 17 5 3" xfId="17822" xr:uid="{00000000-0005-0000-0000-00009E450000}"/>
    <cellStyle name="Normal 2 2 2 3 17 5 4" xfId="17823" xr:uid="{00000000-0005-0000-0000-00009F450000}"/>
    <cellStyle name="Normal 2 2 2 3 17 5 5" xfId="17824" xr:uid="{00000000-0005-0000-0000-0000A0450000}"/>
    <cellStyle name="Normal 2 2 2 3 17 5 6" xfId="17825" xr:uid="{00000000-0005-0000-0000-0000A1450000}"/>
    <cellStyle name="Normal 2 2 2 3 17 5 7" xfId="17826" xr:uid="{00000000-0005-0000-0000-0000A2450000}"/>
    <cellStyle name="Normal 2 2 2 3 17 5 8" xfId="17827" xr:uid="{00000000-0005-0000-0000-0000A3450000}"/>
    <cellStyle name="Normal 2 2 2 3 17 5 9" xfId="17828" xr:uid="{00000000-0005-0000-0000-0000A4450000}"/>
    <cellStyle name="Normal 2 2 2 3 17 6" xfId="17829" xr:uid="{00000000-0005-0000-0000-0000A5450000}"/>
    <cellStyle name="Normal 2 2 2 3 17 7" xfId="17830" xr:uid="{00000000-0005-0000-0000-0000A6450000}"/>
    <cellStyle name="Normal 2 2 2 3 17 8" xfId="17831" xr:uid="{00000000-0005-0000-0000-0000A7450000}"/>
    <cellStyle name="Normal 2 2 2 3 17 9" xfId="17832" xr:uid="{00000000-0005-0000-0000-0000A8450000}"/>
    <cellStyle name="Normal 2 2 2 3 18" xfId="17833" xr:uid="{00000000-0005-0000-0000-0000A9450000}"/>
    <cellStyle name="Normal 2 2 2 3 18 10" xfId="17834" xr:uid="{00000000-0005-0000-0000-0000AA450000}"/>
    <cellStyle name="Normal 2 2 2 3 18 11" xfId="17835" xr:uid="{00000000-0005-0000-0000-0000AB450000}"/>
    <cellStyle name="Normal 2 2 2 3 18 12" xfId="17836" xr:uid="{00000000-0005-0000-0000-0000AC450000}"/>
    <cellStyle name="Normal 2 2 2 3 18 13" xfId="17837" xr:uid="{00000000-0005-0000-0000-0000AD450000}"/>
    <cellStyle name="Normal 2 2 2 3 18 14" xfId="17838" xr:uid="{00000000-0005-0000-0000-0000AE450000}"/>
    <cellStyle name="Normal 2 2 2 3 18 2" xfId="17839" xr:uid="{00000000-0005-0000-0000-0000AF450000}"/>
    <cellStyle name="Normal 2 2 2 3 18 2 10" xfId="17840" xr:uid="{00000000-0005-0000-0000-0000B0450000}"/>
    <cellStyle name="Normal 2 2 2 3 18 2 2" xfId="17841" xr:uid="{00000000-0005-0000-0000-0000B1450000}"/>
    <cellStyle name="Normal 2 2 2 3 18 2 3" xfId="17842" xr:uid="{00000000-0005-0000-0000-0000B2450000}"/>
    <cellStyle name="Normal 2 2 2 3 18 2 4" xfId="17843" xr:uid="{00000000-0005-0000-0000-0000B3450000}"/>
    <cellStyle name="Normal 2 2 2 3 18 2 5" xfId="17844" xr:uid="{00000000-0005-0000-0000-0000B4450000}"/>
    <cellStyle name="Normal 2 2 2 3 18 2 6" xfId="17845" xr:uid="{00000000-0005-0000-0000-0000B5450000}"/>
    <cellStyle name="Normal 2 2 2 3 18 2 7" xfId="17846" xr:uid="{00000000-0005-0000-0000-0000B6450000}"/>
    <cellStyle name="Normal 2 2 2 3 18 2 8" xfId="17847" xr:uid="{00000000-0005-0000-0000-0000B7450000}"/>
    <cellStyle name="Normal 2 2 2 3 18 2 9" xfId="17848" xr:uid="{00000000-0005-0000-0000-0000B8450000}"/>
    <cellStyle name="Normal 2 2 2 3 18 3" xfId="17849" xr:uid="{00000000-0005-0000-0000-0000B9450000}"/>
    <cellStyle name="Normal 2 2 2 3 18 3 10" xfId="17850" xr:uid="{00000000-0005-0000-0000-0000BA450000}"/>
    <cellStyle name="Normal 2 2 2 3 18 3 2" xfId="17851" xr:uid="{00000000-0005-0000-0000-0000BB450000}"/>
    <cellStyle name="Normal 2 2 2 3 18 3 3" xfId="17852" xr:uid="{00000000-0005-0000-0000-0000BC450000}"/>
    <cellStyle name="Normal 2 2 2 3 18 3 4" xfId="17853" xr:uid="{00000000-0005-0000-0000-0000BD450000}"/>
    <cellStyle name="Normal 2 2 2 3 18 3 5" xfId="17854" xr:uid="{00000000-0005-0000-0000-0000BE450000}"/>
    <cellStyle name="Normal 2 2 2 3 18 3 6" xfId="17855" xr:uid="{00000000-0005-0000-0000-0000BF450000}"/>
    <cellStyle name="Normal 2 2 2 3 18 3 7" xfId="17856" xr:uid="{00000000-0005-0000-0000-0000C0450000}"/>
    <cellStyle name="Normal 2 2 2 3 18 3 8" xfId="17857" xr:uid="{00000000-0005-0000-0000-0000C1450000}"/>
    <cellStyle name="Normal 2 2 2 3 18 3 9" xfId="17858" xr:uid="{00000000-0005-0000-0000-0000C2450000}"/>
    <cellStyle name="Normal 2 2 2 3 18 4" xfId="17859" xr:uid="{00000000-0005-0000-0000-0000C3450000}"/>
    <cellStyle name="Normal 2 2 2 3 18 4 10" xfId="17860" xr:uid="{00000000-0005-0000-0000-0000C4450000}"/>
    <cellStyle name="Normal 2 2 2 3 18 4 2" xfId="17861" xr:uid="{00000000-0005-0000-0000-0000C5450000}"/>
    <cellStyle name="Normal 2 2 2 3 18 4 3" xfId="17862" xr:uid="{00000000-0005-0000-0000-0000C6450000}"/>
    <cellStyle name="Normal 2 2 2 3 18 4 4" xfId="17863" xr:uid="{00000000-0005-0000-0000-0000C7450000}"/>
    <cellStyle name="Normal 2 2 2 3 18 4 5" xfId="17864" xr:uid="{00000000-0005-0000-0000-0000C8450000}"/>
    <cellStyle name="Normal 2 2 2 3 18 4 6" xfId="17865" xr:uid="{00000000-0005-0000-0000-0000C9450000}"/>
    <cellStyle name="Normal 2 2 2 3 18 4 7" xfId="17866" xr:uid="{00000000-0005-0000-0000-0000CA450000}"/>
    <cellStyle name="Normal 2 2 2 3 18 4 8" xfId="17867" xr:uid="{00000000-0005-0000-0000-0000CB450000}"/>
    <cellStyle name="Normal 2 2 2 3 18 4 9" xfId="17868" xr:uid="{00000000-0005-0000-0000-0000CC450000}"/>
    <cellStyle name="Normal 2 2 2 3 18 5" xfId="17869" xr:uid="{00000000-0005-0000-0000-0000CD450000}"/>
    <cellStyle name="Normal 2 2 2 3 18 5 10" xfId="17870" xr:uid="{00000000-0005-0000-0000-0000CE450000}"/>
    <cellStyle name="Normal 2 2 2 3 18 5 2" xfId="17871" xr:uid="{00000000-0005-0000-0000-0000CF450000}"/>
    <cellStyle name="Normal 2 2 2 3 18 5 3" xfId="17872" xr:uid="{00000000-0005-0000-0000-0000D0450000}"/>
    <cellStyle name="Normal 2 2 2 3 18 5 4" xfId="17873" xr:uid="{00000000-0005-0000-0000-0000D1450000}"/>
    <cellStyle name="Normal 2 2 2 3 18 5 5" xfId="17874" xr:uid="{00000000-0005-0000-0000-0000D2450000}"/>
    <cellStyle name="Normal 2 2 2 3 18 5 6" xfId="17875" xr:uid="{00000000-0005-0000-0000-0000D3450000}"/>
    <cellStyle name="Normal 2 2 2 3 18 5 7" xfId="17876" xr:uid="{00000000-0005-0000-0000-0000D4450000}"/>
    <cellStyle name="Normal 2 2 2 3 18 5 8" xfId="17877" xr:uid="{00000000-0005-0000-0000-0000D5450000}"/>
    <cellStyle name="Normal 2 2 2 3 18 5 9" xfId="17878" xr:uid="{00000000-0005-0000-0000-0000D6450000}"/>
    <cellStyle name="Normal 2 2 2 3 18 6" xfId="17879" xr:uid="{00000000-0005-0000-0000-0000D7450000}"/>
    <cellStyle name="Normal 2 2 2 3 18 7" xfId="17880" xr:uid="{00000000-0005-0000-0000-0000D8450000}"/>
    <cellStyle name="Normal 2 2 2 3 18 8" xfId="17881" xr:uid="{00000000-0005-0000-0000-0000D9450000}"/>
    <cellStyle name="Normal 2 2 2 3 18 9" xfId="17882" xr:uid="{00000000-0005-0000-0000-0000DA450000}"/>
    <cellStyle name="Normal 2 2 2 3 19" xfId="17883" xr:uid="{00000000-0005-0000-0000-0000DB450000}"/>
    <cellStyle name="Normal 2 2 2 3 19 10" xfId="17884" xr:uid="{00000000-0005-0000-0000-0000DC450000}"/>
    <cellStyle name="Normal 2 2 2 3 19 11" xfId="17885" xr:uid="{00000000-0005-0000-0000-0000DD450000}"/>
    <cellStyle name="Normal 2 2 2 3 19 12" xfId="17886" xr:uid="{00000000-0005-0000-0000-0000DE450000}"/>
    <cellStyle name="Normal 2 2 2 3 19 13" xfId="17887" xr:uid="{00000000-0005-0000-0000-0000DF450000}"/>
    <cellStyle name="Normal 2 2 2 3 19 14" xfId="17888" xr:uid="{00000000-0005-0000-0000-0000E0450000}"/>
    <cellStyle name="Normal 2 2 2 3 19 2" xfId="17889" xr:uid="{00000000-0005-0000-0000-0000E1450000}"/>
    <cellStyle name="Normal 2 2 2 3 19 2 10" xfId="17890" xr:uid="{00000000-0005-0000-0000-0000E2450000}"/>
    <cellStyle name="Normal 2 2 2 3 19 2 2" xfId="17891" xr:uid="{00000000-0005-0000-0000-0000E3450000}"/>
    <cellStyle name="Normal 2 2 2 3 19 2 3" xfId="17892" xr:uid="{00000000-0005-0000-0000-0000E4450000}"/>
    <cellStyle name="Normal 2 2 2 3 19 2 4" xfId="17893" xr:uid="{00000000-0005-0000-0000-0000E5450000}"/>
    <cellStyle name="Normal 2 2 2 3 19 2 5" xfId="17894" xr:uid="{00000000-0005-0000-0000-0000E6450000}"/>
    <cellStyle name="Normal 2 2 2 3 19 2 6" xfId="17895" xr:uid="{00000000-0005-0000-0000-0000E7450000}"/>
    <cellStyle name="Normal 2 2 2 3 19 2 7" xfId="17896" xr:uid="{00000000-0005-0000-0000-0000E8450000}"/>
    <cellStyle name="Normal 2 2 2 3 19 2 8" xfId="17897" xr:uid="{00000000-0005-0000-0000-0000E9450000}"/>
    <cellStyle name="Normal 2 2 2 3 19 2 9" xfId="17898" xr:uid="{00000000-0005-0000-0000-0000EA450000}"/>
    <cellStyle name="Normal 2 2 2 3 19 3" xfId="17899" xr:uid="{00000000-0005-0000-0000-0000EB450000}"/>
    <cellStyle name="Normal 2 2 2 3 19 3 10" xfId="17900" xr:uid="{00000000-0005-0000-0000-0000EC450000}"/>
    <cellStyle name="Normal 2 2 2 3 19 3 2" xfId="17901" xr:uid="{00000000-0005-0000-0000-0000ED450000}"/>
    <cellStyle name="Normal 2 2 2 3 19 3 3" xfId="17902" xr:uid="{00000000-0005-0000-0000-0000EE450000}"/>
    <cellStyle name="Normal 2 2 2 3 19 3 4" xfId="17903" xr:uid="{00000000-0005-0000-0000-0000EF450000}"/>
    <cellStyle name="Normal 2 2 2 3 19 3 5" xfId="17904" xr:uid="{00000000-0005-0000-0000-0000F0450000}"/>
    <cellStyle name="Normal 2 2 2 3 19 3 6" xfId="17905" xr:uid="{00000000-0005-0000-0000-0000F1450000}"/>
    <cellStyle name="Normal 2 2 2 3 19 3 7" xfId="17906" xr:uid="{00000000-0005-0000-0000-0000F2450000}"/>
    <cellStyle name="Normal 2 2 2 3 19 3 8" xfId="17907" xr:uid="{00000000-0005-0000-0000-0000F3450000}"/>
    <cellStyle name="Normal 2 2 2 3 19 3 9" xfId="17908" xr:uid="{00000000-0005-0000-0000-0000F4450000}"/>
    <cellStyle name="Normal 2 2 2 3 19 4" xfId="17909" xr:uid="{00000000-0005-0000-0000-0000F5450000}"/>
    <cellStyle name="Normal 2 2 2 3 19 4 10" xfId="17910" xr:uid="{00000000-0005-0000-0000-0000F6450000}"/>
    <cellStyle name="Normal 2 2 2 3 19 4 2" xfId="17911" xr:uid="{00000000-0005-0000-0000-0000F7450000}"/>
    <cellStyle name="Normal 2 2 2 3 19 4 3" xfId="17912" xr:uid="{00000000-0005-0000-0000-0000F8450000}"/>
    <cellStyle name="Normal 2 2 2 3 19 4 4" xfId="17913" xr:uid="{00000000-0005-0000-0000-0000F9450000}"/>
    <cellStyle name="Normal 2 2 2 3 19 4 5" xfId="17914" xr:uid="{00000000-0005-0000-0000-0000FA450000}"/>
    <cellStyle name="Normal 2 2 2 3 19 4 6" xfId="17915" xr:uid="{00000000-0005-0000-0000-0000FB450000}"/>
    <cellStyle name="Normal 2 2 2 3 19 4 7" xfId="17916" xr:uid="{00000000-0005-0000-0000-0000FC450000}"/>
    <cellStyle name="Normal 2 2 2 3 19 4 8" xfId="17917" xr:uid="{00000000-0005-0000-0000-0000FD450000}"/>
    <cellStyle name="Normal 2 2 2 3 19 4 9" xfId="17918" xr:uid="{00000000-0005-0000-0000-0000FE450000}"/>
    <cellStyle name="Normal 2 2 2 3 19 5" xfId="17919" xr:uid="{00000000-0005-0000-0000-0000FF450000}"/>
    <cellStyle name="Normal 2 2 2 3 19 5 10" xfId="17920" xr:uid="{00000000-0005-0000-0000-000000460000}"/>
    <cellStyle name="Normal 2 2 2 3 19 5 2" xfId="17921" xr:uid="{00000000-0005-0000-0000-000001460000}"/>
    <cellStyle name="Normal 2 2 2 3 19 5 3" xfId="17922" xr:uid="{00000000-0005-0000-0000-000002460000}"/>
    <cellStyle name="Normal 2 2 2 3 19 5 4" xfId="17923" xr:uid="{00000000-0005-0000-0000-000003460000}"/>
    <cellStyle name="Normal 2 2 2 3 19 5 5" xfId="17924" xr:uid="{00000000-0005-0000-0000-000004460000}"/>
    <cellStyle name="Normal 2 2 2 3 19 5 6" xfId="17925" xr:uid="{00000000-0005-0000-0000-000005460000}"/>
    <cellStyle name="Normal 2 2 2 3 19 5 7" xfId="17926" xr:uid="{00000000-0005-0000-0000-000006460000}"/>
    <cellStyle name="Normal 2 2 2 3 19 5 8" xfId="17927" xr:uid="{00000000-0005-0000-0000-000007460000}"/>
    <cellStyle name="Normal 2 2 2 3 19 5 9" xfId="17928" xr:uid="{00000000-0005-0000-0000-000008460000}"/>
    <cellStyle name="Normal 2 2 2 3 19 6" xfId="17929" xr:uid="{00000000-0005-0000-0000-000009460000}"/>
    <cellStyle name="Normal 2 2 2 3 19 7" xfId="17930" xr:uid="{00000000-0005-0000-0000-00000A460000}"/>
    <cellStyle name="Normal 2 2 2 3 19 8" xfId="17931" xr:uid="{00000000-0005-0000-0000-00000B460000}"/>
    <cellStyle name="Normal 2 2 2 3 19 9" xfId="17932" xr:uid="{00000000-0005-0000-0000-00000C460000}"/>
    <cellStyle name="Normal 2 2 2 3 2" xfId="17933" xr:uid="{00000000-0005-0000-0000-00000D460000}"/>
    <cellStyle name="Normal 2 2 2 3 2 10" xfId="17934" xr:uid="{00000000-0005-0000-0000-00000E460000}"/>
    <cellStyle name="Normal 2 2 2 3 2 11" xfId="17935" xr:uid="{00000000-0005-0000-0000-00000F460000}"/>
    <cellStyle name="Normal 2 2 2 3 2 12" xfId="17936" xr:uid="{00000000-0005-0000-0000-000010460000}"/>
    <cellStyle name="Normal 2 2 2 3 2 13" xfId="17937" xr:uid="{00000000-0005-0000-0000-000011460000}"/>
    <cellStyle name="Normal 2 2 2 3 2 14" xfId="17938" xr:uid="{00000000-0005-0000-0000-000012460000}"/>
    <cellStyle name="Normal 2 2 2 3 2 15" xfId="17939" xr:uid="{00000000-0005-0000-0000-000013460000}"/>
    <cellStyle name="Normal 2 2 2 3 2 16" xfId="17940" xr:uid="{00000000-0005-0000-0000-000014460000}"/>
    <cellStyle name="Normal 2 2 2 3 2 17" xfId="17941" xr:uid="{00000000-0005-0000-0000-000015460000}"/>
    <cellStyle name="Normal 2 2 2 3 2 2" xfId="17942" xr:uid="{00000000-0005-0000-0000-000016460000}"/>
    <cellStyle name="Normal 2 2 2 3 2 2 10" xfId="17943" xr:uid="{00000000-0005-0000-0000-000017460000}"/>
    <cellStyle name="Normal 2 2 2 3 2 2 11" xfId="17944" xr:uid="{00000000-0005-0000-0000-000018460000}"/>
    <cellStyle name="Normal 2 2 2 3 2 2 12" xfId="17945" xr:uid="{00000000-0005-0000-0000-000019460000}"/>
    <cellStyle name="Normal 2 2 2 3 2 2 2" xfId="17946" xr:uid="{00000000-0005-0000-0000-00001A460000}"/>
    <cellStyle name="Normal 2 2 2 3 2 2 2 2" xfId="17947" xr:uid="{00000000-0005-0000-0000-00001B460000}"/>
    <cellStyle name="Normal 2 2 2 3 2 2 2 3" xfId="17948" xr:uid="{00000000-0005-0000-0000-00001C460000}"/>
    <cellStyle name="Normal 2 2 2 3 2 2 3" xfId="17949" xr:uid="{00000000-0005-0000-0000-00001D460000}"/>
    <cellStyle name="Normal 2 2 2 3 2 2 4" xfId="17950" xr:uid="{00000000-0005-0000-0000-00001E460000}"/>
    <cellStyle name="Normal 2 2 2 3 2 2 5" xfId="17951" xr:uid="{00000000-0005-0000-0000-00001F460000}"/>
    <cellStyle name="Normal 2 2 2 3 2 2 6" xfId="17952" xr:uid="{00000000-0005-0000-0000-000020460000}"/>
    <cellStyle name="Normal 2 2 2 3 2 2 7" xfId="17953" xr:uid="{00000000-0005-0000-0000-000021460000}"/>
    <cellStyle name="Normal 2 2 2 3 2 2 8" xfId="17954" xr:uid="{00000000-0005-0000-0000-000022460000}"/>
    <cellStyle name="Normal 2 2 2 3 2 2 9" xfId="17955" xr:uid="{00000000-0005-0000-0000-000023460000}"/>
    <cellStyle name="Normal 2 2 2 3 2 3" xfId="17956" xr:uid="{00000000-0005-0000-0000-000024460000}"/>
    <cellStyle name="Normal 2 2 2 3 2 3 10" xfId="17957" xr:uid="{00000000-0005-0000-0000-000025460000}"/>
    <cellStyle name="Normal 2 2 2 3 2 3 11" xfId="17958" xr:uid="{00000000-0005-0000-0000-000026460000}"/>
    <cellStyle name="Normal 2 2 2 3 2 3 12" xfId="17959" xr:uid="{00000000-0005-0000-0000-000027460000}"/>
    <cellStyle name="Normal 2 2 2 3 2 3 2" xfId="17960" xr:uid="{00000000-0005-0000-0000-000028460000}"/>
    <cellStyle name="Normal 2 2 2 3 2 3 3" xfId="17961" xr:uid="{00000000-0005-0000-0000-000029460000}"/>
    <cellStyle name="Normal 2 2 2 3 2 3 4" xfId="17962" xr:uid="{00000000-0005-0000-0000-00002A460000}"/>
    <cellStyle name="Normal 2 2 2 3 2 3 5" xfId="17963" xr:uid="{00000000-0005-0000-0000-00002B460000}"/>
    <cellStyle name="Normal 2 2 2 3 2 3 6" xfId="17964" xr:uid="{00000000-0005-0000-0000-00002C460000}"/>
    <cellStyle name="Normal 2 2 2 3 2 3 7" xfId="17965" xr:uid="{00000000-0005-0000-0000-00002D460000}"/>
    <cellStyle name="Normal 2 2 2 3 2 3 8" xfId="17966" xr:uid="{00000000-0005-0000-0000-00002E460000}"/>
    <cellStyle name="Normal 2 2 2 3 2 3 9" xfId="17967" xr:uid="{00000000-0005-0000-0000-00002F460000}"/>
    <cellStyle name="Normal 2 2 2 3 2 4" xfId="17968" xr:uid="{00000000-0005-0000-0000-000030460000}"/>
    <cellStyle name="Normal 2 2 2 3 2 4 10" xfId="17969" xr:uid="{00000000-0005-0000-0000-000031460000}"/>
    <cellStyle name="Normal 2 2 2 3 2 4 2" xfId="17970" xr:uid="{00000000-0005-0000-0000-000032460000}"/>
    <cellStyle name="Normal 2 2 2 3 2 4 3" xfId="17971" xr:uid="{00000000-0005-0000-0000-000033460000}"/>
    <cellStyle name="Normal 2 2 2 3 2 4 4" xfId="17972" xr:uid="{00000000-0005-0000-0000-000034460000}"/>
    <cellStyle name="Normal 2 2 2 3 2 4 5" xfId="17973" xr:uid="{00000000-0005-0000-0000-000035460000}"/>
    <cellStyle name="Normal 2 2 2 3 2 4 6" xfId="17974" xr:uid="{00000000-0005-0000-0000-000036460000}"/>
    <cellStyle name="Normal 2 2 2 3 2 4 7" xfId="17975" xr:uid="{00000000-0005-0000-0000-000037460000}"/>
    <cellStyle name="Normal 2 2 2 3 2 4 8" xfId="17976" xr:uid="{00000000-0005-0000-0000-000038460000}"/>
    <cellStyle name="Normal 2 2 2 3 2 4 9" xfId="17977" xr:uid="{00000000-0005-0000-0000-000039460000}"/>
    <cellStyle name="Normal 2 2 2 3 2 5" xfId="17978" xr:uid="{00000000-0005-0000-0000-00003A460000}"/>
    <cellStyle name="Normal 2 2 2 3 2 5 10" xfId="17979" xr:uid="{00000000-0005-0000-0000-00003B460000}"/>
    <cellStyle name="Normal 2 2 2 3 2 5 2" xfId="17980" xr:uid="{00000000-0005-0000-0000-00003C460000}"/>
    <cellStyle name="Normal 2 2 2 3 2 5 3" xfId="17981" xr:uid="{00000000-0005-0000-0000-00003D460000}"/>
    <cellStyle name="Normal 2 2 2 3 2 5 4" xfId="17982" xr:uid="{00000000-0005-0000-0000-00003E460000}"/>
    <cellStyle name="Normal 2 2 2 3 2 5 5" xfId="17983" xr:uid="{00000000-0005-0000-0000-00003F460000}"/>
    <cellStyle name="Normal 2 2 2 3 2 5 6" xfId="17984" xr:uid="{00000000-0005-0000-0000-000040460000}"/>
    <cellStyle name="Normal 2 2 2 3 2 5 7" xfId="17985" xr:uid="{00000000-0005-0000-0000-000041460000}"/>
    <cellStyle name="Normal 2 2 2 3 2 5 8" xfId="17986" xr:uid="{00000000-0005-0000-0000-000042460000}"/>
    <cellStyle name="Normal 2 2 2 3 2 5 9" xfId="17987" xr:uid="{00000000-0005-0000-0000-000043460000}"/>
    <cellStyle name="Normal 2 2 2 3 2 6" xfId="17988" xr:uid="{00000000-0005-0000-0000-000044460000}"/>
    <cellStyle name="Normal 2 2 2 3 2 7" xfId="17989" xr:uid="{00000000-0005-0000-0000-000045460000}"/>
    <cellStyle name="Normal 2 2 2 3 2 8" xfId="17990" xr:uid="{00000000-0005-0000-0000-000046460000}"/>
    <cellStyle name="Normal 2 2 2 3 2 9" xfId="17991" xr:uid="{00000000-0005-0000-0000-000047460000}"/>
    <cellStyle name="Normal 2 2 2 3 20" xfId="17992" xr:uid="{00000000-0005-0000-0000-000048460000}"/>
    <cellStyle name="Normal 2 2 2 3 20 10" xfId="17993" xr:uid="{00000000-0005-0000-0000-000049460000}"/>
    <cellStyle name="Normal 2 2 2 3 20 11" xfId="17994" xr:uid="{00000000-0005-0000-0000-00004A460000}"/>
    <cellStyle name="Normal 2 2 2 3 20 12" xfId="17995" xr:uid="{00000000-0005-0000-0000-00004B460000}"/>
    <cellStyle name="Normal 2 2 2 3 20 13" xfId="17996" xr:uid="{00000000-0005-0000-0000-00004C460000}"/>
    <cellStyle name="Normal 2 2 2 3 20 14" xfId="17997" xr:uid="{00000000-0005-0000-0000-00004D460000}"/>
    <cellStyle name="Normal 2 2 2 3 20 2" xfId="17998" xr:uid="{00000000-0005-0000-0000-00004E460000}"/>
    <cellStyle name="Normal 2 2 2 3 20 2 10" xfId="17999" xr:uid="{00000000-0005-0000-0000-00004F460000}"/>
    <cellStyle name="Normal 2 2 2 3 20 2 2" xfId="18000" xr:uid="{00000000-0005-0000-0000-000050460000}"/>
    <cellStyle name="Normal 2 2 2 3 20 2 3" xfId="18001" xr:uid="{00000000-0005-0000-0000-000051460000}"/>
    <cellStyle name="Normal 2 2 2 3 20 2 4" xfId="18002" xr:uid="{00000000-0005-0000-0000-000052460000}"/>
    <cellStyle name="Normal 2 2 2 3 20 2 5" xfId="18003" xr:uid="{00000000-0005-0000-0000-000053460000}"/>
    <cellStyle name="Normal 2 2 2 3 20 2 6" xfId="18004" xr:uid="{00000000-0005-0000-0000-000054460000}"/>
    <cellStyle name="Normal 2 2 2 3 20 2 7" xfId="18005" xr:uid="{00000000-0005-0000-0000-000055460000}"/>
    <cellStyle name="Normal 2 2 2 3 20 2 8" xfId="18006" xr:uid="{00000000-0005-0000-0000-000056460000}"/>
    <cellStyle name="Normal 2 2 2 3 20 2 9" xfId="18007" xr:uid="{00000000-0005-0000-0000-000057460000}"/>
    <cellStyle name="Normal 2 2 2 3 20 3" xfId="18008" xr:uid="{00000000-0005-0000-0000-000058460000}"/>
    <cellStyle name="Normal 2 2 2 3 20 3 10" xfId="18009" xr:uid="{00000000-0005-0000-0000-000059460000}"/>
    <cellStyle name="Normal 2 2 2 3 20 3 2" xfId="18010" xr:uid="{00000000-0005-0000-0000-00005A460000}"/>
    <cellStyle name="Normal 2 2 2 3 20 3 3" xfId="18011" xr:uid="{00000000-0005-0000-0000-00005B460000}"/>
    <cellStyle name="Normal 2 2 2 3 20 3 4" xfId="18012" xr:uid="{00000000-0005-0000-0000-00005C460000}"/>
    <cellStyle name="Normal 2 2 2 3 20 3 5" xfId="18013" xr:uid="{00000000-0005-0000-0000-00005D460000}"/>
    <cellStyle name="Normal 2 2 2 3 20 3 6" xfId="18014" xr:uid="{00000000-0005-0000-0000-00005E460000}"/>
    <cellStyle name="Normal 2 2 2 3 20 3 7" xfId="18015" xr:uid="{00000000-0005-0000-0000-00005F460000}"/>
    <cellStyle name="Normal 2 2 2 3 20 3 8" xfId="18016" xr:uid="{00000000-0005-0000-0000-000060460000}"/>
    <cellStyle name="Normal 2 2 2 3 20 3 9" xfId="18017" xr:uid="{00000000-0005-0000-0000-000061460000}"/>
    <cellStyle name="Normal 2 2 2 3 20 4" xfId="18018" xr:uid="{00000000-0005-0000-0000-000062460000}"/>
    <cellStyle name="Normal 2 2 2 3 20 4 10" xfId="18019" xr:uid="{00000000-0005-0000-0000-000063460000}"/>
    <cellStyle name="Normal 2 2 2 3 20 4 2" xfId="18020" xr:uid="{00000000-0005-0000-0000-000064460000}"/>
    <cellStyle name="Normal 2 2 2 3 20 4 3" xfId="18021" xr:uid="{00000000-0005-0000-0000-000065460000}"/>
    <cellStyle name="Normal 2 2 2 3 20 4 4" xfId="18022" xr:uid="{00000000-0005-0000-0000-000066460000}"/>
    <cellStyle name="Normal 2 2 2 3 20 4 5" xfId="18023" xr:uid="{00000000-0005-0000-0000-000067460000}"/>
    <cellStyle name="Normal 2 2 2 3 20 4 6" xfId="18024" xr:uid="{00000000-0005-0000-0000-000068460000}"/>
    <cellStyle name="Normal 2 2 2 3 20 4 7" xfId="18025" xr:uid="{00000000-0005-0000-0000-000069460000}"/>
    <cellStyle name="Normal 2 2 2 3 20 4 8" xfId="18026" xr:uid="{00000000-0005-0000-0000-00006A460000}"/>
    <cellStyle name="Normal 2 2 2 3 20 4 9" xfId="18027" xr:uid="{00000000-0005-0000-0000-00006B460000}"/>
    <cellStyle name="Normal 2 2 2 3 20 5" xfId="18028" xr:uid="{00000000-0005-0000-0000-00006C460000}"/>
    <cellStyle name="Normal 2 2 2 3 20 5 10" xfId="18029" xr:uid="{00000000-0005-0000-0000-00006D460000}"/>
    <cellStyle name="Normal 2 2 2 3 20 5 2" xfId="18030" xr:uid="{00000000-0005-0000-0000-00006E460000}"/>
    <cellStyle name="Normal 2 2 2 3 20 5 3" xfId="18031" xr:uid="{00000000-0005-0000-0000-00006F460000}"/>
    <cellStyle name="Normal 2 2 2 3 20 5 4" xfId="18032" xr:uid="{00000000-0005-0000-0000-000070460000}"/>
    <cellStyle name="Normal 2 2 2 3 20 5 5" xfId="18033" xr:uid="{00000000-0005-0000-0000-000071460000}"/>
    <cellStyle name="Normal 2 2 2 3 20 5 6" xfId="18034" xr:uid="{00000000-0005-0000-0000-000072460000}"/>
    <cellStyle name="Normal 2 2 2 3 20 5 7" xfId="18035" xr:uid="{00000000-0005-0000-0000-000073460000}"/>
    <cellStyle name="Normal 2 2 2 3 20 5 8" xfId="18036" xr:uid="{00000000-0005-0000-0000-000074460000}"/>
    <cellStyle name="Normal 2 2 2 3 20 5 9" xfId="18037" xr:uid="{00000000-0005-0000-0000-000075460000}"/>
    <cellStyle name="Normal 2 2 2 3 20 6" xfId="18038" xr:uid="{00000000-0005-0000-0000-000076460000}"/>
    <cellStyle name="Normal 2 2 2 3 20 7" xfId="18039" xr:uid="{00000000-0005-0000-0000-000077460000}"/>
    <cellStyle name="Normal 2 2 2 3 20 8" xfId="18040" xr:uid="{00000000-0005-0000-0000-000078460000}"/>
    <cellStyle name="Normal 2 2 2 3 20 9" xfId="18041" xr:uid="{00000000-0005-0000-0000-000079460000}"/>
    <cellStyle name="Normal 2 2 2 3 21" xfId="18042" xr:uid="{00000000-0005-0000-0000-00007A460000}"/>
    <cellStyle name="Normal 2 2 2 3 21 10" xfId="18043" xr:uid="{00000000-0005-0000-0000-00007B460000}"/>
    <cellStyle name="Normal 2 2 2 3 21 11" xfId="18044" xr:uid="{00000000-0005-0000-0000-00007C460000}"/>
    <cellStyle name="Normal 2 2 2 3 21 12" xfId="18045" xr:uid="{00000000-0005-0000-0000-00007D460000}"/>
    <cellStyle name="Normal 2 2 2 3 21 13" xfId="18046" xr:uid="{00000000-0005-0000-0000-00007E460000}"/>
    <cellStyle name="Normal 2 2 2 3 21 14" xfId="18047" xr:uid="{00000000-0005-0000-0000-00007F460000}"/>
    <cellStyle name="Normal 2 2 2 3 21 2" xfId="18048" xr:uid="{00000000-0005-0000-0000-000080460000}"/>
    <cellStyle name="Normal 2 2 2 3 21 2 10" xfId="18049" xr:uid="{00000000-0005-0000-0000-000081460000}"/>
    <cellStyle name="Normal 2 2 2 3 21 2 2" xfId="18050" xr:uid="{00000000-0005-0000-0000-000082460000}"/>
    <cellStyle name="Normal 2 2 2 3 21 2 3" xfId="18051" xr:uid="{00000000-0005-0000-0000-000083460000}"/>
    <cellStyle name="Normal 2 2 2 3 21 2 4" xfId="18052" xr:uid="{00000000-0005-0000-0000-000084460000}"/>
    <cellStyle name="Normal 2 2 2 3 21 2 5" xfId="18053" xr:uid="{00000000-0005-0000-0000-000085460000}"/>
    <cellStyle name="Normal 2 2 2 3 21 2 6" xfId="18054" xr:uid="{00000000-0005-0000-0000-000086460000}"/>
    <cellStyle name="Normal 2 2 2 3 21 2 7" xfId="18055" xr:uid="{00000000-0005-0000-0000-000087460000}"/>
    <cellStyle name="Normal 2 2 2 3 21 2 8" xfId="18056" xr:uid="{00000000-0005-0000-0000-000088460000}"/>
    <cellStyle name="Normal 2 2 2 3 21 2 9" xfId="18057" xr:uid="{00000000-0005-0000-0000-000089460000}"/>
    <cellStyle name="Normal 2 2 2 3 21 3" xfId="18058" xr:uid="{00000000-0005-0000-0000-00008A460000}"/>
    <cellStyle name="Normal 2 2 2 3 21 3 10" xfId="18059" xr:uid="{00000000-0005-0000-0000-00008B460000}"/>
    <cellStyle name="Normal 2 2 2 3 21 3 2" xfId="18060" xr:uid="{00000000-0005-0000-0000-00008C460000}"/>
    <cellStyle name="Normal 2 2 2 3 21 3 3" xfId="18061" xr:uid="{00000000-0005-0000-0000-00008D460000}"/>
    <cellStyle name="Normal 2 2 2 3 21 3 4" xfId="18062" xr:uid="{00000000-0005-0000-0000-00008E460000}"/>
    <cellStyle name="Normal 2 2 2 3 21 3 5" xfId="18063" xr:uid="{00000000-0005-0000-0000-00008F460000}"/>
    <cellStyle name="Normal 2 2 2 3 21 3 6" xfId="18064" xr:uid="{00000000-0005-0000-0000-000090460000}"/>
    <cellStyle name="Normal 2 2 2 3 21 3 7" xfId="18065" xr:uid="{00000000-0005-0000-0000-000091460000}"/>
    <cellStyle name="Normal 2 2 2 3 21 3 8" xfId="18066" xr:uid="{00000000-0005-0000-0000-000092460000}"/>
    <cellStyle name="Normal 2 2 2 3 21 3 9" xfId="18067" xr:uid="{00000000-0005-0000-0000-000093460000}"/>
    <cellStyle name="Normal 2 2 2 3 21 4" xfId="18068" xr:uid="{00000000-0005-0000-0000-000094460000}"/>
    <cellStyle name="Normal 2 2 2 3 21 4 10" xfId="18069" xr:uid="{00000000-0005-0000-0000-000095460000}"/>
    <cellStyle name="Normal 2 2 2 3 21 4 2" xfId="18070" xr:uid="{00000000-0005-0000-0000-000096460000}"/>
    <cellStyle name="Normal 2 2 2 3 21 4 3" xfId="18071" xr:uid="{00000000-0005-0000-0000-000097460000}"/>
    <cellStyle name="Normal 2 2 2 3 21 4 4" xfId="18072" xr:uid="{00000000-0005-0000-0000-000098460000}"/>
    <cellStyle name="Normal 2 2 2 3 21 4 5" xfId="18073" xr:uid="{00000000-0005-0000-0000-000099460000}"/>
    <cellStyle name="Normal 2 2 2 3 21 4 6" xfId="18074" xr:uid="{00000000-0005-0000-0000-00009A460000}"/>
    <cellStyle name="Normal 2 2 2 3 21 4 7" xfId="18075" xr:uid="{00000000-0005-0000-0000-00009B460000}"/>
    <cellStyle name="Normal 2 2 2 3 21 4 8" xfId="18076" xr:uid="{00000000-0005-0000-0000-00009C460000}"/>
    <cellStyle name="Normal 2 2 2 3 21 4 9" xfId="18077" xr:uid="{00000000-0005-0000-0000-00009D460000}"/>
    <cellStyle name="Normal 2 2 2 3 21 5" xfId="18078" xr:uid="{00000000-0005-0000-0000-00009E460000}"/>
    <cellStyle name="Normal 2 2 2 3 21 5 10" xfId="18079" xr:uid="{00000000-0005-0000-0000-00009F460000}"/>
    <cellStyle name="Normal 2 2 2 3 21 5 2" xfId="18080" xr:uid="{00000000-0005-0000-0000-0000A0460000}"/>
    <cellStyle name="Normal 2 2 2 3 21 5 3" xfId="18081" xr:uid="{00000000-0005-0000-0000-0000A1460000}"/>
    <cellStyle name="Normal 2 2 2 3 21 5 4" xfId="18082" xr:uid="{00000000-0005-0000-0000-0000A2460000}"/>
    <cellStyle name="Normal 2 2 2 3 21 5 5" xfId="18083" xr:uid="{00000000-0005-0000-0000-0000A3460000}"/>
    <cellStyle name="Normal 2 2 2 3 21 5 6" xfId="18084" xr:uid="{00000000-0005-0000-0000-0000A4460000}"/>
    <cellStyle name="Normal 2 2 2 3 21 5 7" xfId="18085" xr:uid="{00000000-0005-0000-0000-0000A5460000}"/>
    <cellStyle name="Normal 2 2 2 3 21 5 8" xfId="18086" xr:uid="{00000000-0005-0000-0000-0000A6460000}"/>
    <cellStyle name="Normal 2 2 2 3 21 5 9" xfId="18087" xr:uid="{00000000-0005-0000-0000-0000A7460000}"/>
    <cellStyle name="Normal 2 2 2 3 21 6" xfId="18088" xr:uid="{00000000-0005-0000-0000-0000A8460000}"/>
    <cellStyle name="Normal 2 2 2 3 21 7" xfId="18089" xr:uid="{00000000-0005-0000-0000-0000A9460000}"/>
    <cellStyle name="Normal 2 2 2 3 21 8" xfId="18090" xr:uid="{00000000-0005-0000-0000-0000AA460000}"/>
    <cellStyle name="Normal 2 2 2 3 21 9" xfId="18091" xr:uid="{00000000-0005-0000-0000-0000AB460000}"/>
    <cellStyle name="Normal 2 2 2 3 22" xfId="18092" xr:uid="{00000000-0005-0000-0000-0000AC460000}"/>
    <cellStyle name="Normal 2 2 2 3 22 10" xfId="18093" xr:uid="{00000000-0005-0000-0000-0000AD460000}"/>
    <cellStyle name="Normal 2 2 2 3 22 11" xfId="18094" xr:uid="{00000000-0005-0000-0000-0000AE460000}"/>
    <cellStyle name="Normal 2 2 2 3 22 12" xfId="18095" xr:uid="{00000000-0005-0000-0000-0000AF460000}"/>
    <cellStyle name="Normal 2 2 2 3 22 13" xfId="18096" xr:uid="{00000000-0005-0000-0000-0000B0460000}"/>
    <cellStyle name="Normal 2 2 2 3 22 14" xfId="18097" xr:uid="{00000000-0005-0000-0000-0000B1460000}"/>
    <cellStyle name="Normal 2 2 2 3 22 2" xfId="18098" xr:uid="{00000000-0005-0000-0000-0000B2460000}"/>
    <cellStyle name="Normal 2 2 2 3 22 2 10" xfId="18099" xr:uid="{00000000-0005-0000-0000-0000B3460000}"/>
    <cellStyle name="Normal 2 2 2 3 22 2 2" xfId="18100" xr:uid="{00000000-0005-0000-0000-0000B4460000}"/>
    <cellStyle name="Normal 2 2 2 3 22 2 3" xfId="18101" xr:uid="{00000000-0005-0000-0000-0000B5460000}"/>
    <cellStyle name="Normal 2 2 2 3 22 2 4" xfId="18102" xr:uid="{00000000-0005-0000-0000-0000B6460000}"/>
    <cellStyle name="Normal 2 2 2 3 22 2 5" xfId="18103" xr:uid="{00000000-0005-0000-0000-0000B7460000}"/>
    <cellStyle name="Normal 2 2 2 3 22 2 6" xfId="18104" xr:uid="{00000000-0005-0000-0000-0000B8460000}"/>
    <cellStyle name="Normal 2 2 2 3 22 2 7" xfId="18105" xr:uid="{00000000-0005-0000-0000-0000B9460000}"/>
    <cellStyle name="Normal 2 2 2 3 22 2 8" xfId="18106" xr:uid="{00000000-0005-0000-0000-0000BA460000}"/>
    <cellStyle name="Normal 2 2 2 3 22 2 9" xfId="18107" xr:uid="{00000000-0005-0000-0000-0000BB460000}"/>
    <cellStyle name="Normal 2 2 2 3 22 3" xfId="18108" xr:uid="{00000000-0005-0000-0000-0000BC460000}"/>
    <cellStyle name="Normal 2 2 2 3 22 3 10" xfId="18109" xr:uid="{00000000-0005-0000-0000-0000BD460000}"/>
    <cellStyle name="Normal 2 2 2 3 22 3 2" xfId="18110" xr:uid="{00000000-0005-0000-0000-0000BE460000}"/>
    <cellStyle name="Normal 2 2 2 3 22 3 3" xfId="18111" xr:uid="{00000000-0005-0000-0000-0000BF460000}"/>
    <cellStyle name="Normal 2 2 2 3 22 3 4" xfId="18112" xr:uid="{00000000-0005-0000-0000-0000C0460000}"/>
    <cellStyle name="Normal 2 2 2 3 22 3 5" xfId="18113" xr:uid="{00000000-0005-0000-0000-0000C1460000}"/>
    <cellStyle name="Normal 2 2 2 3 22 3 6" xfId="18114" xr:uid="{00000000-0005-0000-0000-0000C2460000}"/>
    <cellStyle name="Normal 2 2 2 3 22 3 7" xfId="18115" xr:uid="{00000000-0005-0000-0000-0000C3460000}"/>
    <cellStyle name="Normal 2 2 2 3 22 3 8" xfId="18116" xr:uid="{00000000-0005-0000-0000-0000C4460000}"/>
    <cellStyle name="Normal 2 2 2 3 22 3 9" xfId="18117" xr:uid="{00000000-0005-0000-0000-0000C5460000}"/>
    <cellStyle name="Normal 2 2 2 3 22 4" xfId="18118" xr:uid="{00000000-0005-0000-0000-0000C6460000}"/>
    <cellStyle name="Normal 2 2 2 3 22 4 10" xfId="18119" xr:uid="{00000000-0005-0000-0000-0000C7460000}"/>
    <cellStyle name="Normal 2 2 2 3 22 4 2" xfId="18120" xr:uid="{00000000-0005-0000-0000-0000C8460000}"/>
    <cellStyle name="Normal 2 2 2 3 22 4 3" xfId="18121" xr:uid="{00000000-0005-0000-0000-0000C9460000}"/>
    <cellStyle name="Normal 2 2 2 3 22 4 4" xfId="18122" xr:uid="{00000000-0005-0000-0000-0000CA460000}"/>
    <cellStyle name="Normal 2 2 2 3 22 4 5" xfId="18123" xr:uid="{00000000-0005-0000-0000-0000CB460000}"/>
    <cellStyle name="Normal 2 2 2 3 22 4 6" xfId="18124" xr:uid="{00000000-0005-0000-0000-0000CC460000}"/>
    <cellStyle name="Normal 2 2 2 3 22 4 7" xfId="18125" xr:uid="{00000000-0005-0000-0000-0000CD460000}"/>
    <cellStyle name="Normal 2 2 2 3 22 4 8" xfId="18126" xr:uid="{00000000-0005-0000-0000-0000CE460000}"/>
    <cellStyle name="Normal 2 2 2 3 22 4 9" xfId="18127" xr:uid="{00000000-0005-0000-0000-0000CF460000}"/>
    <cellStyle name="Normal 2 2 2 3 22 5" xfId="18128" xr:uid="{00000000-0005-0000-0000-0000D0460000}"/>
    <cellStyle name="Normal 2 2 2 3 22 5 10" xfId="18129" xr:uid="{00000000-0005-0000-0000-0000D1460000}"/>
    <cellStyle name="Normal 2 2 2 3 22 5 2" xfId="18130" xr:uid="{00000000-0005-0000-0000-0000D2460000}"/>
    <cellStyle name="Normal 2 2 2 3 22 5 3" xfId="18131" xr:uid="{00000000-0005-0000-0000-0000D3460000}"/>
    <cellStyle name="Normal 2 2 2 3 22 5 4" xfId="18132" xr:uid="{00000000-0005-0000-0000-0000D4460000}"/>
    <cellStyle name="Normal 2 2 2 3 22 5 5" xfId="18133" xr:uid="{00000000-0005-0000-0000-0000D5460000}"/>
    <cellStyle name="Normal 2 2 2 3 22 5 6" xfId="18134" xr:uid="{00000000-0005-0000-0000-0000D6460000}"/>
    <cellStyle name="Normal 2 2 2 3 22 5 7" xfId="18135" xr:uid="{00000000-0005-0000-0000-0000D7460000}"/>
    <cellStyle name="Normal 2 2 2 3 22 5 8" xfId="18136" xr:uid="{00000000-0005-0000-0000-0000D8460000}"/>
    <cellStyle name="Normal 2 2 2 3 22 5 9" xfId="18137" xr:uid="{00000000-0005-0000-0000-0000D9460000}"/>
    <cellStyle name="Normal 2 2 2 3 22 6" xfId="18138" xr:uid="{00000000-0005-0000-0000-0000DA460000}"/>
    <cellStyle name="Normal 2 2 2 3 22 7" xfId="18139" xr:uid="{00000000-0005-0000-0000-0000DB460000}"/>
    <cellStyle name="Normal 2 2 2 3 22 8" xfId="18140" xr:uid="{00000000-0005-0000-0000-0000DC460000}"/>
    <cellStyle name="Normal 2 2 2 3 22 9" xfId="18141" xr:uid="{00000000-0005-0000-0000-0000DD460000}"/>
    <cellStyle name="Normal 2 2 2 3 23" xfId="18142" xr:uid="{00000000-0005-0000-0000-0000DE460000}"/>
    <cellStyle name="Normal 2 2 2 3 23 10" xfId="18143" xr:uid="{00000000-0005-0000-0000-0000DF460000}"/>
    <cellStyle name="Normal 2 2 2 3 23 11" xfId="18144" xr:uid="{00000000-0005-0000-0000-0000E0460000}"/>
    <cellStyle name="Normal 2 2 2 3 23 12" xfId="18145" xr:uid="{00000000-0005-0000-0000-0000E1460000}"/>
    <cellStyle name="Normal 2 2 2 3 23 13" xfId="18146" xr:uid="{00000000-0005-0000-0000-0000E2460000}"/>
    <cellStyle name="Normal 2 2 2 3 23 14" xfId="18147" xr:uid="{00000000-0005-0000-0000-0000E3460000}"/>
    <cellStyle name="Normal 2 2 2 3 23 2" xfId="18148" xr:uid="{00000000-0005-0000-0000-0000E4460000}"/>
    <cellStyle name="Normal 2 2 2 3 23 2 10" xfId="18149" xr:uid="{00000000-0005-0000-0000-0000E5460000}"/>
    <cellStyle name="Normal 2 2 2 3 23 2 2" xfId="18150" xr:uid="{00000000-0005-0000-0000-0000E6460000}"/>
    <cellStyle name="Normal 2 2 2 3 23 2 3" xfId="18151" xr:uid="{00000000-0005-0000-0000-0000E7460000}"/>
    <cellStyle name="Normal 2 2 2 3 23 2 4" xfId="18152" xr:uid="{00000000-0005-0000-0000-0000E8460000}"/>
    <cellStyle name="Normal 2 2 2 3 23 2 5" xfId="18153" xr:uid="{00000000-0005-0000-0000-0000E9460000}"/>
    <cellStyle name="Normal 2 2 2 3 23 2 6" xfId="18154" xr:uid="{00000000-0005-0000-0000-0000EA460000}"/>
    <cellStyle name="Normal 2 2 2 3 23 2 7" xfId="18155" xr:uid="{00000000-0005-0000-0000-0000EB460000}"/>
    <cellStyle name="Normal 2 2 2 3 23 2 8" xfId="18156" xr:uid="{00000000-0005-0000-0000-0000EC460000}"/>
    <cellStyle name="Normal 2 2 2 3 23 2 9" xfId="18157" xr:uid="{00000000-0005-0000-0000-0000ED460000}"/>
    <cellStyle name="Normal 2 2 2 3 23 3" xfId="18158" xr:uid="{00000000-0005-0000-0000-0000EE460000}"/>
    <cellStyle name="Normal 2 2 2 3 23 3 10" xfId="18159" xr:uid="{00000000-0005-0000-0000-0000EF460000}"/>
    <cellStyle name="Normal 2 2 2 3 23 3 2" xfId="18160" xr:uid="{00000000-0005-0000-0000-0000F0460000}"/>
    <cellStyle name="Normal 2 2 2 3 23 3 3" xfId="18161" xr:uid="{00000000-0005-0000-0000-0000F1460000}"/>
    <cellStyle name="Normal 2 2 2 3 23 3 4" xfId="18162" xr:uid="{00000000-0005-0000-0000-0000F2460000}"/>
    <cellStyle name="Normal 2 2 2 3 23 3 5" xfId="18163" xr:uid="{00000000-0005-0000-0000-0000F3460000}"/>
    <cellStyle name="Normal 2 2 2 3 23 3 6" xfId="18164" xr:uid="{00000000-0005-0000-0000-0000F4460000}"/>
    <cellStyle name="Normal 2 2 2 3 23 3 7" xfId="18165" xr:uid="{00000000-0005-0000-0000-0000F5460000}"/>
    <cellStyle name="Normal 2 2 2 3 23 3 8" xfId="18166" xr:uid="{00000000-0005-0000-0000-0000F6460000}"/>
    <cellStyle name="Normal 2 2 2 3 23 3 9" xfId="18167" xr:uid="{00000000-0005-0000-0000-0000F7460000}"/>
    <cellStyle name="Normal 2 2 2 3 23 4" xfId="18168" xr:uid="{00000000-0005-0000-0000-0000F8460000}"/>
    <cellStyle name="Normal 2 2 2 3 23 4 10" xfId="18169" xr:uid="{00000000-0005-0000-0000-0000F9460000}"/>
    <cellStyle name="Normal 2 2 2 3 23 4 2" xfId="18170" xr:uid="{00000000-0005-0000-0000-0000FA460000}"/>
    <cellStyle name="Normal 2 2 2 3 23 4 3" xfId="18171" xr:uid="{00000000-0005-0000-0000-0000FB460000}"/>
    <cellStyle name="Normal 2 2 2 3 23 4 4" xfId="18172" xr:uid="{00000000-0005-0000-0000-0000FC460000}"/>
    <cellStyle name="Normal 2 2 2 3 23 4 5" xfId="18173" xr:uid="{00000000-0005-0000-0000-0000FD460000}"/>
    <cellStyle name="Normal 2 2 2 3 23 4 6" xfId="18174" xr:uid="{00000000-0005-0000-0000-0000FE460000}"/>
    <cellStyle name="Normal 2 2 2 3 23 4 7" xfId="18175" xr:uid="{00000000-0005-0000-0000-0000FF460000}"/>
    <cellStyle name="Normal 2 2 2 3 23 4 8" xfId="18176" xr:uid="{00000000-0005-0000-0000-000000470000}"/>
    <cellStyle name="Normal 2 2 2 3 23 4 9" xfId="18177" xr:uid="{00000000-0005-0000-0000-000001470000}"/>
    <cellStyle name="Normal 2 2 2 3 23 5" xfId="18178" xr:uid="{00000000-0005-0000-0000-000002470000}"/>
    <cellStyle name="Normal 2 2 2 3 23 5 10" xfId="18179" xr:uid="{00000000-0005-0000-0000-000003470000}"/>
    <cellStyle name="Normal 2 2 2 3 23 5 2" xfId="18180" xr:uid="{00000000-0005-0000-0000-000004470000}"/>
    <cellStyle name="Normal 2 2 2 3 23 5 3" xfId="18181" xr:uid="{00000000-0005-0000-0000-000005470000}"/>
    <cellStyle name="Normal 2 2 2 3 23 5 4" xfId="18182" xr:uid="{00000000-0005-0000-0000-000006470000}"/>
    <cellStyle name="Normal 2 2 2 3 23 5 5" xfId="18183" xr:uid="{00000000-0005-0000-0000-000007470000}"/>
    <cellStyle name="Normal 2 2 2 3 23 5 6" xfId="18184" xr:uid="{00000000-0005-0000-0000-000008470000}"/>
    <cellStyle name="Normal 2 2 2 3 23 5 7" xfId="18185" xr:uid="{00000000-0005-0000-0000-000009470000}"/>
    <cellStyle name="Normal 2 2 2 3 23 5 8" xfId="18186" xr:uid="{00000000-0005-0000-0000-00000A470000}"/>
    <cellStyle name="Normal 2 2 2 3 23 5 9" xfId="18187" xr:uid="{00000000-0005-0000-0000-00000B470000}"/>
    <cellStyle name="Normal 2 2 2 3 23 6" xfId="18188" xr:uid="{00000000-0005-0000-0000-00000C470000}"/>
    <cellStyle name="Normal 2 2 2 3 23 7" xfId="18189" xr:uid="{00000000-0005-0000-0000-00000D470000}"/>
    <cellStyle name="Normal 2 2 2 3 23 8" xfId="18190" xr:uid="{00000000-0005-0000-0000-00000E470000}"/>
    <cellStyle name="Normal 2 2 2 3 23 9" xfId="18191" xr:uid="{00000000-0005-0000-0000-00000F470000}"/>
    <cellStyle name="Normal 2 2 2 3 24" xfId="18192" xr:uid="{00000000-0005-0000-0000-000010470000}"/>
    <cellStyle name="Normal 2 2 2 3 24 10" xfId="18193" xr:uid="{00000000-0005-0000-0000-000011470000}"/>
    <cellStyle name="Normal 2 2 2 3 24 11" xfId="18194" xr:uid="{00000000-0005-0000-0000-000012470000}"/>
    <cellStyle name="Normal 2 2 2 3 24 12" xfId="18195" xr:uid="{00000000-0005-0000-0000-000013470000}"/>
    <cellStyle name="Normal 2 2 2 3 24 13" xfId="18196" xr:uid="{00000000-0005-0000-0000-000014470000}"/>
    <cellStyle name="Normal 2 2 2 3 24 14" xfId="18197" xr:uid="{00000000-0005-0000-0000-000015470000}"/>
    <cellStyle name="Normal 2 2 2 3 24 2" xfId="18198" xr:uid="{00000000-0005-0000-0000-000016470000}"/>
    <cellStyle name="Normal 2 2 2 3 24 2 10" xfId="18199" xr:uid="{00000000-0005-0000-0000-000017470000}"/>
    <cellStyle name="Normal 2 2 2 3 24 2 2" xfId="18200" xr:uid="{00000000-0005-0000-0000-000018470000}"/>
    <cellStyle name="Normal 2 2 2 3 24 2 3" xfId="18201" xr:uid="{00000000-0005-0000-0000-000019470000}"/>
    <cellStyle name="Normal 2 2 2 3 24 2 4" xfId="18202" xr:uid="{00000000-0005-0000-0000-00001A470000}"/>
    <cellStyle name="Normal 2 2 2 3 24 2 5" xfId="18203" xr:uid="{00000000-0005-0000-0000-00001B470000}"/>
    <cellStyle name="Normal 2 2 2 3 24 2 6" xfId="18204" xr:uid="{00000000-0005-0000-0000-00001C470000}"/>
    <cellStyle name="Normal 2 2 2 3 24 2 7" xfId="18205" xr:uid="{00000000-0005-0000-0000-00001D470000}"/>
    <cellStyle name="Normal 2 2 2 3 24 2 8" xfId="18206" xr:uid="{00000000-0005-0000-0000-00001E470000}"/>
    <cellStyle name="Normal 2 2 2 3 24 2 9" xfId="18207" xr:uid="{00000000-0005-0000-0000-00001F470000}"/>
    <cellStyle name="Normal 2 2 2 3 24 3" xfId="18208" xr:uid="{00000000-0005-0000-0000-000020470000}"/>
    <cellStyle name="Normal 2 2 2 3 24 3 10" xfId="18209" xr:uid="{00000000-0005-0000-0000-000021470000}"/>
    <cellStyle name="Normal 2 2 2 3 24 3 2" xfId="18210" xr:uid="{00000000-0005-0000-0000-000022470000}"/>
    <cellStyle name="Normal 2 2 2 3 24 3 3" xfId="18211" xr:uid="{00000000-0005-0000-0000-000023470000}"/>
    <cellStyle name="Normal 2 2 2 3 24 3 4" xfId="18212" xr:uid="{00000000-0005-0000-0000-000024470000}"/>
    <cellStyle name="Normal 2 2 2 3 24 3 5" xfId="18213" xr:uid="{00000000-0005-0000-0000-000025470000}"/>
    <cellStyle name="Normal 2 2 2 3 24 3 6" xfId="18214" xr:uid="{00000000-0005-0000-0000-000026470000}"/>
    <cellStyle name="Normal 2 2 2 3 24 3 7" xfId="18215" xr:uid="{00000000-0005-0000-0000-000027470000}"/>
    <cellStyle name="Normal 2 2 2 3 24 3 8" xfId="18216" xr:uid="{00000000-0005-0000-0000-000028470000}"/>
    <cellStyle name="Normal 2 2 2 3 24 3 9" xfId="18217" xr:uid="{00000000-0005-0000-0000-000029470000}"/>
    <cellStyle name="Normal 2 2 2 3 24 4" xfId="18218" xr:uid="{00000000-0005-0000-0000-00002A470000}"/>
    <cellStyle name="Normal 2 2 2 3 24 4 10" xfId="18219" xr:uid="{00000000-0005-0000-0000-00002B470000}"/>
    <cellStyle name="Normal 2 2 2 3 24 4 2" xfId="18220" xr:uid="{00000000-0005-0000-0000-00002C470000}"/>
    <cellStyle name="Normal 2 2 2 3 24 4 3" xfId="18221" xr:uid="{00000000-0005-0000-0000-00002D470000}"/>
    <cellStyle name="Normal 2 2 2 3 24 4 4" xfId="18222" xr:uid="{00000000-0005-0000-0000-00002E470000}"/>
    <cellStyle name="Normal 2 2 2 3 24 4 5" xfId="18223" xr:uid="{00000000-0005-0000-0000-00002F470000}"/>
    <cellStyle name="Normal 2 2 2 3 24 4 6" xfId="18224" xr:uid="{00000000-0005-0000-0000-000030470000}"/>
    <cellStyle name="Normal 2 2 2 3 24 4 7" xfId="18225" xr:uid="{00000000-0005-0000-0000-000031470000}"/>
    <cellStyle name="Normal 2 2 2 3 24 4 8" xfId="18226" xr:uid="{00000000-0005-0000-0000-000032470000}"/>
    <cellStyle name="Normal 2 2 2 3 24 4 9" xfId="18227" xr:uid="{00000000-0005-0000-0000-000033470000}"/>
    <cellStyle name="Normal 2 2 2 3 24 5" xfId="18228" xr:uid="{00000000-0005-0000-0000-000034470000}"/>
    <cellStyle name="Normal 2 2 2 3 24 5 10" xfId="18229" xr:uid="{00000000-0005-0000-0000-000035470000}"/>
    <cellStyle name="Normal 2 2 2 3 24 5 2" xfId="18230" xr:uid="{00000000-0005-0000-0000-000036470000}"/>
    <cellStyle name="Normal 2 2 2 3 24 5 3" xfId="18231" xr:uid="{00000000-0005-0000-0000-000037470000}"/>
    <cellStyle name="Normal 2 2 2 3 24 5 4" xfId="18232" xr:uid="{00000000-0005-0000-0000-000038470000}"/>
    <cellStyle name="Normal 2 2 2 3 24 5 5" xfId="18233" xr:uid="{00000000-0005-0000-0000-000039470000}"/>
    <cellStyle name="Normal 2 2 2 3 24 5 6" xfId="18234" xr:uid="{00000000-0005-0000-0000-00003A470000}"/>
    <cellStyle name="Normal 2 2 2 3 24 5 7" xfId="18235" xr:uid="{00000000-0005-0000-0000-00003B470000}"/>
    <cellStyle name="Normal 2 2 2 3 24 5 8" xfId="18236" xr:uid="{00000000-0005-0000-0000-00003C470000}"/>
    <cellStyle name="Normal 2 2 2 3 24 5 9" xfId="18237" xr:uid="{00000000-0005-0000-0000-00003D470000}"/>
    <cellStyle name="Normal 2 2 2 3 24 6" xfId="18238" xr:uid="{00000000-0005-0000-0000-00003E470000}"/>
    <cellStyle name="Normal 2 2 2 3 24 7" xfId="18239" xr:uid="{00000000-0005-0000-0000-00003F470000}"/>
    <cellStyle name="Normal 2 2 2 3 24 8" xfId="18240" xr:uid="{00000000-0005-0000-0000-000040470000}"/>
    <cellStyle name="Normal 2 2 2 3 24 9" xfId="18241" xr:uid="{00000000-0005-0000-0000-000041470000}"/>
    <cellStyle name="Normal 2 2 2 3 25" xfId="18242" xr:uid="{00000000-0005-0000-0000-000042470000}"/>
    <cellStyle name="Normal 2 2 2 3 25 10" xfId="18243" xr:uid="{00000000-0005-0000-0000-000043470000}"/>
    <cellStyle name="Normal 2 2 2 3 25 11" xfId="18244" xr:uid="{00000000-0005-0000-0000-000044470000}"/>
    <cellStyle name="Normal 2 2 2 3 25 12" xfId="18245" xr:uid="{00000000-0005-0000-0000-000045470000}"/>
    <cellStyle name="Normal 2 2 2 3 25 13" xfId="18246" xr:uid="{00000000-0005-0000-0000-000046470000}"/>
    <cellStyle name="Normal 2 2 2 3 25 14" xfId="18247" xr:uid="{00000000-0005-0000-0000-000047470000}"/>
    <cellStyle name="Normal 2 2 2 3 25 2" xfId="18248" xr:uid="{00000000-0005-0000-0000-000048470000}"/>
    <cellStyle name="Normal 2 2 2 3 25 2 10" xfId="18249" xr:uid="{00000000-0005-0000-0000-000049470000}"/>
    <cellStyle name="Normal 2 2 2 3 25 2 2" xfId="18250" xr:uid="{00000000-0005-0000-0000-00004A470000}"/>
    <cellStyle name="Normal 2 2 2 3 25 2 3" xfId="18251" xr:uid="{00000000-0005-0000-0000-00004B470000}"/>
    <cellStyle name="Normal 2 2 2 3 25 2 4" xfId="18252" xr:uid="{00000000-0005-0000-0000-00004C470000}"/>
    <cellStyle name="Normal 2 2 2 3 25 2 5" xfId="18253" xr:uid="{00000000-0005-0000-0000-00004D470000}"/>
    <cellStyle name="Normal 2 2 2 3 25 2 6" xfId="18254" xr:uid="{00000000-0005-0000-0000-00004E470000}"/>
    <cellStyle name="Normal 2 2 2 3 25 2 7" xfId="18255" xr:uid="{00000000-0005-0000-0000-00004F470000}"/>
    <cellStyle name="Normal 2 2 2 3 25 2 8" xfId="18256" xr:uid="{00000000-0005-0000-0000-000050470000}"/>
    <cellStyle name="Normal 2 2 2 3 25 2 9" xfId="18257" xr:uid="{00000000-0005-0000-0000-000051470000}"/>
    <cellStyle name="Normal 2 2 2 3 25 3" xfId="18258" xr:uid="{00000000-0005-0000-0000-000052470000}"/>
    <cellStyle name="Normal 2 2 2 3 25 3 10" xfId="18259" xr:uid="{00000000-0005-0000-0000-000053470000}"/>
    <cellStyle name="Normal 2 2 2 3 25 3 2" xfId="18260" xr:uid="{00000000-0005-0000-0000-000054470000}"/>
    <cellStyle name="Normal 2 2 2 3 25 3 3" xfId="18261" xr:uid="{00000000-0005-0000-0000-000055470000}"/>
    <cellStyle name="Normal 2 2 2 3 25 3 4" xfId="18262" xr:uid="{00000000-0005-0000-0000-000056470000}"/>
    <cellStyle name="Normal 2 2 2 3 25 3 5" xfId="18263" xr:uid="{00000000-0005-0000-0000-000057470000}"/>
    <cellStyle name="Normal 2 2 2 3 25 3 6" xfId="18264" xr:uid="{00000000-0005-0000-0000-000058470000}"/>
    <cellStyle name="Normal 2 2 2 3 25 3 7" xfId="18265" xr:uid="{00000000-0005-0000-0000-000059470000}"/>
    <cellStyle name="Normal 2 2 2 3 25 3 8" xfId="18266" xr:uid="{00000000-0005-0000-0000-00005A470000}"/>
    <cellStyle name="Normal 2 2 2 3 25 3 9" xfId="18267" xr:uid="{00000000-0005-0000-0000-00005B470000}"/>
    <cellStyle name="Normal 2 2 2 3 25 4" xfId="18268" xr:uid="{00000000-0005-0000-0000-00005C470000}"/>
    <cellStyle name="Normal 2 2 2 3 25 4 10" xfId="18269" xr:uid="{00000000-0005-0000-0000-00005D470000}"/>
    <cellStyle name="Normal 2 2 2 3 25 4 2" xfId="18270" xr:uid="{00000000-0005-0000-0000-00005E470000}"/>
    <cellStyle name="Normal 2 2 2 3 25 4 3" xfId="18271" xr:uid="{00000000-0005-0000-0000-00005F470000}"/>
    <cellStyle name="Normal 2 2 2 3 25 4 4" xfId="18272" xr:uid="{00000000-0005-0000-0000-000060470000}"/>
    <cellStyle name="Normal 2 2 2 3 25 4 5" xfId="18273" xr:uid="{00000000-0005-0000-0000-000061470000}"/>
    <cellStyle name="Normal 2 2 2 3 25 4 6" xfId="18274" xr:uid="{00000000-0005-0000-0000-000062470000}"/>
    <cellStyle name="Normal 2 2 2 3 25 4 7" xfId="18275" xr:uid="{00000000-0005-0000-0000-000063470000}"/>
    <cellStyle name="Normal 2 2 2 3 25 4 8" xfId="18276" xr:uid="{00000000-0005-0000-0000-000064470000}"/>
    <cellStyle name="Normal 2 2 2 3 25 4 9" xfId="18277" xr:uid="{00000000-0005-0000-0000-000065470000}"/>
    <cellStyle name="Normal 2 2 2 3 25 5" xfId="18278" xr:uid="{00000000-0005-0000-0000-000066470000}"/>
    <cellStyle name="Normal 2 2 2 3 25 5 10" xfId="18279" xr:uid="{00000000-0005-0000-0000-000067470000}"/>
    <cellStyle name="Normal 2 2 2 3 25 5 2" xfId="18280" xr:uid="{00000000-0005-0000-0000-000068470000}"/>
    <cellStyle name="Normal 2 2 2 3 25 5 3" xfId="18281" xr:uid="{00000000-0005-0000-0000-000069470000}"/>
    <cellStyle name="Normal 2 2 2 3 25 5 4" xfId="18282" xr:uid="{00000000-0005-0000-0000-00006A470000}"/>
    <cellStyle name="Normal 2 2 2 3 25 5 5" xfId="18283" xr:uid="{00000000-0005-0000-0000-00006B470000}"/>
    <cellStyle name="Normal 2 2 2 3 25 5 6" xfId="18284" xr:uid="{00000000-0005-0000-0000-00006C470000}"/>
    <cellStyle name="Normal 2 2 2 3 25 5 7" xfId="18285" xr:uid="{00000000-0005-0000-0000-00006D470000}"/>
    <cellStyle name="Normal 2 2 2 3 25 5 8" xfId="18286" xr:uid="{00000000-0005-0000-0000-00006E470000}"/>
    <cellStyle name="Normal 2 2 2 3 25 5 9" xfId="18287" xr:uid="{00000000-0005-0000-0000-00006F470000}"/>
    <cellStyle name="Normal 2 2 2 3 25 6" xfId="18288" xr:uid="{00000000-0005-0000-0000-000070470000}"/>
    <cellStyle name="Normal 2 2 2 3 25 7" xfId="18289" xr:uid="{00000000-0005-0000-0000-000071470000}"/>
    <cellStyle name="Normal 2 2 2 3 25 8" xfId="18290" xr:uid="{00000000-0005-0000-0000-000072470000}"/>
    <cellStyle name="Normal 2 2 2 3 25 9" xfId="18291" xr:uid="{00000000-0005-0000-0000-000073470000}"/>
    <cellStyle name="Normal 2 2 2 3 26" xfId="18292" xr:uid="{00000000-0005-0000-0000-000074470000}"/>
    <cellStyle name="Normal 2 2 2 3 26 10" xfId="18293" xr:uid="{00000000-0005-0000-0000-000075470000}"/>
    <cellStyle name="Normal 2 2 2 3 26 11" xfId="18294" xr:uid="{00000000-0005-0000-0000-000076470000}"/>
    <cellStyle name="Normal 2 2 2 3 26 12" xfId="18295" xr:uid="{00000000-0005-0000-0000-000077470000}"/>
    <cellStyle name="Normal 2 2 2 3 26 13" xfId="18296" xr:uid="{00000000-0005-0000-0000-000078470000}"/>
    <cellStyle name="Normal 2 2 2 3 26 14" xfId="18297" xr:uid="{00000000-0005-0000-0000-000079470000}"/>
    <cellStyle name="Normal 2 2 2 3 26 2" xfId="18298" xr:uid="{00000000-0005-0000-0000-00007A470000}"/>
    <cellStyle name="Normal 2 2 2 3 26 2 10" xfId="18299" xr:uid="{00000000-0005-0000-0000-00007B470000}"/>
    <cellStyle name="Normal 2 2 2 3 26 2 2" xfId="18300" xr:uid="{00000000-0005-0000-0000-00007C470000}"/>
    <cellStyle name="Normal 2 2 2 3 26 2 3" xfId="18301" xr:uid="{00000000-0005-0000-0000-00007D470000}"/>
    <cellStyle name="Normal 2 2 2 3 26 2 4" xfId="18302" xr:uid="{00000000-0005-0000-0000-00007E470000}"/>
    <cellStyle name="Normal 2 2 2 3 26 2 5" xfId="18303" xr:uid="{00000000-0005-0000-0000-00007F470000}"/>
    <cellStyle name="Normal 2 2 2 3 26 2 6" xfId="18304" xr:uid="{00000000-0005-0000-0000-000080470000}"/>
    <cellStyle name="Normal 2 2 2 3 26 2 7" xfId="18305" xr:uid="{00000000-0005-0000-0000-000081470000}"/>
    <cellStyle name="Normal 2 2 2 3 26 2 8" xfId="18306" xr:uid="{00000000-0005-0000-0000-000082470000}"/>
    <cellStyle name="Normal 2 2 2 3 26 2 9" xfId="18307" xr:uid="{00000000-0005-0000-0000-000083470000}"/>
    <cellStyle name="Normal 2 2 2 3 26 3" xfId="18308" xr:uid="{00000000-0005-0000-0000-000084470000}"/>
    <cellStyle name="Normal 2 2 2 3 26 3 10" xfId="18309" xr:uid="{00000000-0005-0000-0000-000085470000}"/>
    <cellStyle name="Normal 2 2 2 3 26 3 2" xfId="18310" xr:uid="{00000000-0005-0000-0000-000086470000}"/>
    <cellStyle name="Normal 2 2 2 3 26 3 3" xfId="18311" xr:uid="{00000000-0005-0000-0000-000087470000}"/>
    <cellStyle name="Normal 2 2 2 3 26 3 4" xfId="18312" xr:uid="{00000000-0005-0000-0000-000088470000}"/>
    <cellStyle name="Normal 2 2 2 3 26 3 5" xfId="18313" xr:uid="{00000000-0005-0000-0000-000089470000}"/>
    <cellStyle name="Normal 2 2 2 3 26 3 6" xfId="18314" xr:uid="{00000000-0005-0000-0000-00008A470000}"/>
    <cellStyle name="Normal 2 2 2 3 26 3 7" xfId="18315" xr:uid="{00000000-0005-0000-0000-00008B470000}"/>
    <cellStyle name="Normal 2 2 2 3 26 3 8" xfId="18316" xr:uid="{00000000-0005-0000-0000-00008C470000}"/>
    <cellStyle name="Normal 2 2 2 3 26 3 9" xfId="18317" xr:uid="{00000000-0005-0000-0000-00008D470000}"/>
    <cellStyle name="Normal 2 2 2 3 26 4" xfId="18318" xr:uid="{00000000-0005-0000-0000-00008E470000}"/>
    <cellStyle name="Normal 2 2 2 3 26 4 10" xfId="18319" xr:uid="{00000000-0005-0000-0000-00008F470000}"/>
    <cellStyle name="Normal 2 2 2 3 26 4 2" xfId="18320" xr:uid="{00000000-0005-0000-0000-000090470000}"/>
    <cellStyle name="Normal 2 2 2 3 26 4 3" xfId="18321" xr:uid="{00000000-0005-0000-0000-000091470000}"/>
    <cellStyle name="Normal 2 2 2 3 26 4 4" xfId="18322" xr:uid="{00000000-0005-0000-0000-000092470000}"/>
    <cellStyle name="Normal 2 2 2 3 26 4 5" xfId="18323" xr:uid="{00000000-0005-0000-0000-000093470000}"/>
    <cellStyle name="Normal 2 2 2 3 26 4 6" xfId="18324" xr:uid="{00000000-0005-0000-0000-000094470000}"/>
    <cellStyle name="Normal 2 2 2 3 26 4 7" xfId="18325" xr:uid="{00000000-0005-0000-0000-000095470000}"/>
    <cellStyle name="Normal 2 2 2 3 26 4 8" xfId="18326" xr:uid="{00000000-0005-0000-0000-000096470000}"/>
    <cellStyle name="Normal 2 2 2 3 26 4 9" xfId="18327" xr:uid="{00000000-0005-0000-0000-000097470000}"/>
    <cellStyle name="Normal 2 2 2 3 26 5" xfId="18328" xr:uid="{00000000-0005-0000-0000-000098470000}"/>
    <cellStyle name="Normal 2 2 2 3 26 5 10" xfId="18329" xr:uid="{00000000-0005-0000-0000-000099470000}"/>
    <cellStyle name="Normal 2 2 2 3 26 5 2" xfId="18330" xr:uid="{00000000-0005-0000-0000-00009A470000}"/>
    <cellStyle name="Normal 2 2 2 3 26 5 3" xfId="18331" xr:uid="{00000000-0005-0000-0000-00009B470000}"/>
    <cellStyle name="Normal 2 2 2 3 26 5 4" xfId="18332" xr:uid="{00000000-0005-0000-0000-00009C470000}"/>
    <cellStyle name="Normal 2 2 2 3 26 5 5" xfId="18333" xr:uid="{00000000-0005-0000-0000-00009D470000}"/>
    <cellStyle name="Normal 2 2 2 3 26 5 6" xfId="18334" xr:uid="{00000000-0005-0000-0000-00009E470000}"/>
    <cellStyle name="Normal 2 2 2 3 26 5 7" xfId="18335" xr:uid="{00000000-0005-0000-0000-00009F470000}"/>
    <cellStyle name="Normal 2 2 2 3 26 5 8" xfId="18336" xr:uid="{00000000-0005-0000-0000-0000A0470000}"/>
    <cellStyle name="Normal 2 2 2 3 26 5 9" xfId="18337" xr:uid="{00000000-0005-0000-0000-0000A1470000}"/>
    <cellStyle name="Normal 2 2 2 3 26 6" xfId="18338" xr:uid="{00000000-0005-0000-0000-0000A2470000}"/>
    <cellStyle name="Normal 2 2 2 3 26 7" xfId="18339" xr:uid="{00000000-0005-0000-0000-0000A3470000}"/>
    <cellStyle name="Normal 2 2 2 3 26 8" xfId="18340" xr:uid="{00000000-0005-0000-0000-0000A4470000}"/>
    <cellStyle name="Normal 2 2 2 3 26 9" xfId="18341" xr:uid="{00000000-0005-0000-0000-0000A5470000}"/>
    <cellStyle name="Normal 2 2 2 3 27" xfId="18342" xr:uid="{00000000-0005-0000-0000-0000A6470000}"/>
    <cellStyle name="Normal 2 2 2 3 27 10" xfId="18343" xr:uid="{00000000-0005-0000-0000-0000A7470000}"/>
    <cellStyle name="Normal 2 2 2 3 27 11" xfId="18344" xr:uid="{00000000-0005-0000-0000-0000A8470000}"/>
    <cellStyle name="Normal 2 2 2 3 27 12" xfId="18345" xr:uid="{00000000-0005-0000-0000-0000A9470000}"/>
    <cellStyle name="Normal 2 2 2 3 27 13" xfId="18346" xr:uid="{00000000-0005-0000-0000-0000AA470000}"/>
    <cellStyle name="Normal 2 2 2 3 27 14" xfId="18347" xr:uid="{00000000-0005-0000-0000-0000AB470000}"/>
    <cellStyle name="Normal 2 2 2 3 27 2" xfId="18348" xr:uid="{00000000-0005-0000-0000-0000AC470000}"/>
    <cellStyle name="Normal 2 2 2 3 27 2 10" xfId="18349" xr:uid="{00000000-0005-0000-0000-0000AD470000}"/>
    <cellStyle name="Normal 2 2 2 3 27 2 2" xfId="18350" xr:uid="{00000000-0005-0000-0000-0000AE470000}"/>
    <cellStyle name="Normal 2 2 2 3 27 2 3" xfId="18351" xr:uid="{00000000-0005-0000-0000-0000AF470000}"/>
    <cellStyle name="Normal 2 2 2 3 27 2 4" xfId="18352" xr:uid="{00000000-0005-0000-0000-0000B0470000}"/>
    <cellStyle name="Normal 2 2 2 3 27 2 5" xfId="18353" xr:uid="{00000000-0005-0000-0000-0000B1470000}"/>
    <cellStyle name="Normal 2 2 2 3 27 2 6" xfId="18354" xr:uid="{00000000-0005-0000-0000-0000B2470000}"/>
    <cellStyle name="Normal 2 2 2 3 27 2 7" xfId="18355" xr:uid="{00000000-0005-0000-0000-0000B3470000}"/>
    <cellStyle name="Normal 2 2 2 3 27 2 8" xfId="18356" xr:uid="{00000000-0005-0000-0000-0000B4470000}"/>
    <cellStyle name="Normal 2 2 2 3 27 2 9" xfId="18357" xr:uid="{00000000-0005-0000-0000-0000B5470000}"/>
    <cellStyle name="Normal 2 2 2 3 27 3" xfId="18358" xr:uid="{00000000-0005-0000-0000-0000B6470000}"/>
    <cellStyle name="Normal 2 2 2 3 27 3 10" xfId="18359" xr:uid="{00000000-0005-0000-0000-0000B7470000}"/>
    <cellStyle name="Normal 2 2 2 3 27 3 2" xfId="18360" xr:uid="{00000000-0005-0000-0000-0000B8470000}"/>
    <cellStyle name="Normal 2 2 2 3 27 3 3" xfId="18361" xr:uid="{00000000-0005-0000-0000-0000B9470000}"/>
    <cellStyle name="Normal 2 2 2 3 27 3 4" xfId="18362" xr:uid="{00000000-0005-0000-0000-0000BA470000}"/>
    <cellStyle name="Normal 2 2 2 3 27 3 5" xfId="18363" xr:uid="{00000000-0005-0000-0000-0000BB470000}"/>
    <cellStyle name="Normal 2 2 2 3 27 3 6" xfId="18364" xr:uid="{00000000-0005-0000-0000-0000BC470000}"/>
    <cellStyle name="Normal 2 2 2 3 27 3 7" xfId="18365" xr:uid="{00000000-0005-0000-0000-0000BD470000}"/>
    <cellStyle name="Normal 2 2 2 3 27 3 8" xfId="18366" xr:uid="{00000000-0005-0000-0000-0000BE470000}"/>
    <cellStyle name="Normal 2 2 2 3 27 3 9" xfId="18367" xr:uid="{00000000-0005-0000-0000-0000BF470000}"/>
    <cellStyle name="Normal 2 2 2 3 27 4" xfId="18368" xr:uid="{00000000-0005-0000-0000-0000C0470000}"/>
    <cellStyle name="Normal 2 2 2 3 27 4 10" xfId="18369" xr:uid="{00000000-0005-0000-0000-0000C1470000}"/>
    <cellStyle name="Normal 2 2 2 3 27 4 2" xfId="18370" xr:uid="{00000000-0005-0000-0000-0000C2470000}"/>
    <cellStyle name="Normal 2 2 2 3 27 4 3" xfId="18371" xr:uid="{00000000-0005-0000-0000-0000C3470000}"/>
    <cellStyle name="Normal 2 2 2 3 27 4 4" xfId="18372" xr:uid="{00000000-0005-0000-0000-0000C4470000}"/>
    <cellStyle name="Normal 2 2 2 3 27 4 5" xfId="18373" xr:uid="{00000000-0005-0000-0000-0000C5470000}"/>
    <cellStyle name="Normal 2 2 2 3 27 4 6" xfId="18374" xr:uid="{00000000-0005-0000-0000-0000C6470000}"/>
    <cellStyle name="Normal 2 2 2 3 27 4 7" xfId="18375" xr:uid="{00000000-0005-0000-0000-0000C7470000}"/>
    <cellStyle name="Normal 2 2 2 3 27 4 8" xfId="18376" xr:uid="{00000000-0005-0000-0000-0000C8470000}"/>
    <cellStyle name="Normal 2 2 2 3 27 4 9" xfId="18377" xr:uid="{00000000-0005-0000-0000-0000C9470000}"/>
    <cellStyle name="Normal 2 2 2 3 27 5" xfId="18378" xr:uid="{00000000-0005-0000-0000-0000CA470000}"/>
    <cellStyle name="Normal 2 2 2 3 27 5 10" xfId="18379" xr:uid="{00000000-0005-0000-0000-0000CB470000}"/>
    <cellStyle name="Normal 2 2 2 3 27 5 2" xfId="18380" xr:uid="{00000000-0005-0000-0000-0000CC470000}"/>
    <cellStyle name="Normal 2 2 2 3 27 5 3" xfId="18381" xr:uid="{00000000-0005-0000-0000-0000CD470000}"/>
    <cellStyle name="Normal 2 2 2 3 27 5 4" xfId="18382" xr:uid="{00000000-0005-0000-0000-0000CE470000}"/>
    <cellStyle name="Normal 2 2 2 3 27 5 5" xfId="18383" xr:uid="{00000000-0005-0000-0000-0000CF470000}"/>
    <cellStyle name="Normal 2 2 2 3 27 5 6" xfId="18384" xr:uid="{00000000-0005-0000-0000-0000D0470000}"/>
    <cellStyle name="Normal 2 2 2 3 27 5 7" xfId="18385" xr:uid="{00000000-0005-0000-0000-0000D1470000}"/>
    <cellStyle name="Normal 2 2 2 3 27 5 8" xfId="18386" xr:uid="{00000000-0005-0000-0000-0000D2470000}"/>
    <cellStyle name="Normal 2 2 2 3 27 5 9" xfId="18387" xr:uid="{00000000-0005-0000-0000-0000D3470000}"/>
    <cellStyle name="Normal 2 2 2 3 27 6" xfId="18388" xr:uid="{00000000-0005-0000-0000-0000D4470000}"/>
    <cellStyle name="Normal 2 2 2 3 27 7" xfId="18389" xr:uid="{00000000-0005-0000-0000-0000D5470000}"/>
    <cellStyle name="Normal 2 2 2 3 27 8" xfId="18390" xr:uid="{00000000-0005-0000-0000-0000D6470000}"/>
    <cellStyle name="Normal 2 2 2 3 27 9" xfId="18391" xr:uid="{00000000-0005-0000-0000-0000D7470000}"/>
    <cellStyle name="Normal 2 2 2 3 28" xfId="18392" xr:uid="{00000000-0005-0000-0000-0000D8470000}"/>
    <cellStyle name="Normal 2 2 2 3 28 10" xfId="18393" xr:uid="{00000000-0005-0000-0000-0000D9470000}"/>
    <cellStyle name="Normal 2 2 2 3 28 11" xfId="18394" xr:uid="{00000000-0005-0000-0000-0000DA470000}"/>
    <cellStyle name="Normal 2 2 2 3 28 12" xfId="18395" xr:uid="{00000000-0005-0000-0000-0000DB470000}"/>
    <cellStyle name="Normal 2 2 2 3 28 13" xfId="18396" xr:uid="{00000000-0005-0000-0000-0000DC470000}"/>
    <cellStyle name="Normal 2 2 2 3 28 14" xfId="18397" xr:uid="{00000000-0005-0000-0000-0000DD470000}"/>
    <cellStyle name="Normal 2 2 2 3 28 2" xfId="18398" xr:uid="{00000000-0005-0000-0000-0000DE470000}"/>
    <cellStyle name="Normal 2 2 2 3 28 2 10" xfId="18399" xr:uid="{00000000-0005-0000-0000-0000DF470000}"/>
    <cellStyle name="Normal 2 2 2 3 28 2 2" xfId="18400" xr:uid="{00000000-0005-0000-0000-0000E0470000}"/>
    <cellStyle name="Normal 2 2 2 3 28 2 3" xfId="18401" xr:uid="{00000000-0005-0000-0000-0000E1470000}"/>
    <cellStyle name="Normal 2 2 2 3 28 2 4" xfId="18402" xr:uid="{00000000-0005-0000-0000-0000E2470000}"/>
    <cellStyle name="Normal 2 2 2 3 28 2 5" xfId="18403" xr:uid="{00000000-0005-0000-0000-0000E3470000}"/>
    <cellStyle name="Normal 2 2 2 3 28 2 6" xfId="18404" xr:uid="{00000000-0005-0000-0000-0000E4470000}"/>
    <cellStyle name="Normal 2 2 2 3 28 2 7" xfId="18405" xr:uid="{00000000-0005-0000-0000-0000E5470000}"/>
    <cellStyle name="Normal 2 2 2 3 28 2 8" xfId="18406" xr:uid="{00000000-0005-0000-0000-0000E6470000}"/>
    <cellStyle name="Normal 2 2 2 3 28 2 9" xfId="18407" xr:uid="{00000000-0005-0000-0000-0000E7470000}"/>
    <cellStyle name="Normal 2 2 2 3 28 3" xfId="18408" xr:uid="{00000000-0005-0000-0000-0000E8470000}"/>
    <cellStyle name="Normal 2 2 2 3 28 3 10" xfId="18409" xr:uid="{00000000-0005-0000-0000-0000E9470000}"/>
    <cellStyle name="Normal 2 2 2 3 28 3 2" xfId="18410" xr:uid="{00000000-0005-0000-0000-0000EA470000}"/>
    <cellStyle name="Normal 2 2 2 3 28 3 3" xfId="18411" xr:uid="{00000000-0005-0000-0000-0000EB470000}"/>
    <cellStyle name="Normal 2 2 2 3 28 3 4" xfId="18412" xr:uid="{00000000-0005-0000-0000-0000EC470000}"/>
    <cellStyle name="Normal 2 2 2 3 28 3 5" xfId="18413" xr:uid="{00000000-0005-0000-0000-0000ED470000}"/>
    <cellStyle name="Normal 2 2 2 3 28 3 6" xfId="18414" xr:uid="{00000000-0005-0000-0000-0000EE470000}"/>
    <cellStyle name="Normal 2 2 2 3 28 3 7" xfId="18415" xr:uid="{00000000-0005-0000-0000-0000EF470000}"/>
    <cellStyle name="Normal 2 2 2 3 28 3 8" xfId="18416" xr:uid="{00000000-0005-0000-0000-0000F0470000}"/>
    <cellStyle name="Normal 2 2 2 3 28 3 9" xfId="18417" xr:uid="{00000000-0005-0000-0000-0000F1470000}"/>
    <cellStyle name="Normal 2 2 2 3 28 4" xfId="18418" xr:uid="{00000000-0005-0000-0000-0000F2470000}"/>
    <cellStyle name="Normal 2 2 2 3 28 4 10" xfId="18419" xr:uid="{00000000-0005-0000-0000-0000F3470000}"/>
    <cellStyle name="Normal 2 2 2 3 28 4 2" xfId="18420" xr:uid="{00000000-0005-0000-0000-0000F4470000}"/>
    <cellStyle name="Normal 2 2 2 3 28 4 3" xfId="18421" xr:uid="{00000000-0005-0000-0000-0000F5470000}"/>
    <cellStyle name="Normal 2 2 2 3 28 4 4" xfId="18422" xr:uid="{00000000-0005-0000-0000-0000F6470000}"/>
    <cellStyle name="Normal 2 2 2 3 28 4 5" xfId="18423" xr:uid="{00000000-0005-0000-0000-0000F7470000}"/>
    <cellStyle name="Normal 2 2 2 3 28 4 6" xfId="18424" xr:uid="{00000000-0005-0000-0000-0000F8470000}"/>
    <cellStyle name="Normal 2 2 2 3 28 4 7" xfId="18425" xr:uid="{00000000-0005-0000-0000-0000F9470000}"/>
    <cellStyle name="Normal 2 2 2 3 28 4 8" xfId="18426" xr:uid="{00000000-0005-0000-0000-0000FA470000}"/>
    <cellStyle name="Normal 2 2 2 3 28 4 9" xfId="18427" xr:uid="{00000000-0005-0000-0000-0000FB470000}"/>
    <cellStyle name="Normal 2 2 2 3 28 5" xfId="18428" xr:uid="{00000000-0005-0000-0000-0000FC470000}"/>
    <cellStyle name="Normal 2 2 2 3 28 5 10" xfId="18429" xr:uid="{00000000-0005-0000-0000-0000FD470000}"/>
    <cellStyle name="Normal 2 2 2 3 28 5 2" xfId="18430" xr:uid="{00000000-0005-0000-0000-0000FE470000}"/>
    <cellStyle name="Normal 2 2 2 3 28 5 3" xfId="18431" xr:uid="{00000000-0005-0000-0000-0000FF470000}"/>
    <cellStyle name="Normal 2 2 2 3 28 5 4" xfId="18432" xr:uid="{00000000-0005-0000-0000-000000480000}"/>
    <cellStyle name="Normal 2 2 2 3 28 5 5" xfId="18433" xr:uid="{00000000-0005-0000-0000-000001480000}"/>
    <cellStyle name="Normal 2 2 2 3 28 5 6" xfId="18434" xr:uid="{00000000-0005-0000-0000-000002480000}"/>
    <cellStyle name="Normal 2 2 2 3 28 5 7" xfId="18435" xr:uid="{00000000-0005-0000-0000-000003480000}"/>
    <cellStyle name="Normal 2 2 2 3 28 5 8" xfId="18436" xr:uid="{00000000-0005-0000-0000-000004480000}"/>
    <cellStyle name="Normal 2 2 2 3 28 5 9" xfId="18437" xr:uid="{00000000-0005-0000-0000-000005480000}"/>
    <cellStyle name="Normal 2 2 2 3 28 6" xfId="18438" xr:uid="{00000000-0005-0000-0000-000006480000}"/>
    <cellStyle name="Normal 2 2 2 3 28 7" xfId="18439" xr:uid="{00000000-0005-0000-0000-000007480000}"/>
    <cellStyle name="Normal 2 2 2 3 28 8" xfId="18440" xr:uid="{00000000-0005-0000-0000-000008480000}"/>
    <cellStyle name="Normal 2 2 2 3 28 9" xfId="18441" xr:uid="{00000000-0005-0000-0000-000009480000}"/>
    <cellStyle name="Normal 2 2 2 3 29" xfId="18442" xr:uid="{00000000-0005-0000-0000-00000A480000}"/>
    <cellStyle name="Normal 2 2 2 3 29 10" xfId="18443" xr:uid="{00000000-0005-0000-0000-00000B480000}"/>
    <cellStyle name="Normal 2 2 2 3 29 11" xfId="18444" xr:uid="{00000000-0005-0000-0000-00000C480000}"/>
    <cellStyle name="Normal 2 2 2 3 29 12" xfId="18445" xr:uid="{00000000-0005-0000-0000-00000D480000}"/>
    <cellStyle name="Normal 2 2 2 3 29 13" xfId="18446" xr:uid="{00000000-0005-0000-0000-00000E480000}"/>
    <cellStyle name="Normal 2 2 2 3 29 14" xfId="18447" xr:uid="{00000000-0005-0000-0000-00000F480000}"/>
    <cellStyle name="Normal 2 2 2 3 29 2" xfId="18448" xr:uid="{00000000-0005-0000-0000-000010480000}"/>
    <cellStyle name="Normal 2 2 2 3 29 2 10" xfId="18449" xr:uid="{00000000-0005-0000-0000-000011480000}"/>
    <cellStyle name="Normal 2 2 2 3 29 2 2" xfId="18450" xr:uid="{00000000-0005-0000-0000-000012480000}"/>
    <cellStyle name="Normal 2 2 2 3 29 2 3" xfId="18451" xr:uid="{00000000-0005-0000-0000-000013480000}"/>
    <cellStyle name="Normal 2 2 2 3 29 2 4" xfId="18452" xr:uid="{00000000-0005-0000-0000-000014480000}"/>
    <cellStyle name="Normal 2 2 2 3 29 2 5" xfId="18453" xr:uid="{00000000-0005-0000-0000-000015480000}"/>
    <cellStyle name="Normal 2 2 2 3 29 2 6" xfId="18454" xr:uid="{00000000-0005-0000-0000-000016480000}"/>
    <cellStyle name="Normal 2 2 2 3 29 2 7" xfId="18455" xr:uid="{00000000-0005-0000-0000-000017480000}"/>
    <cellStyle name="Normal 2 2 2 3 29 2 8" xfId="18456" xr:uid="{00000000-0005-0000-0000-000018480000}"/>
    <cellStyle name="Normal 2 2 2 3 29 2 9" xfId="18457" xr:uid="{00000000-0005-0000-0000-000019480000}"/>
    <cellStyle name="Normal 2 2 2 3 29 3" xfId="18458" xr:uid="{00000000-0005-0000-0000-00001A480000}"/>
    <cellStyle name="Normal 2 2 2 3 29 3 10" xfId="18459" xr:uid="{00000000-0005-0000-0000-00001B480000}"/>
    <cellStyle name="Normal 2 2 2 3 29 3 2" xfId="18460" xr:uid="{00000000-0005-0000-0000-00001C480000}"/>
    <cellStyle name="Normal 2 2 2 3 29 3 3" xfId="18461" xr:uid="{00000000-0005-0000-0000-00001D480000}"/>
    <cellStyle name="Normal 2 2 2 3 29 3 4" xfId="18462" xr:uid="{00000000-0005-0000-0000-00001E480000}"/>
    <cellStyle name="Normal 2 2 2 3 29 3 5" xfId="18463" xr:uid="{00000000-0005-0000-0000-00001F480000}"/>
    <cellStyle name="Normal 2 2 2 3 29 3 6" xfId="18464" xr:uid="{00000000-0005-0000-0000-000020480000}"/>
    <cellStyle name="Normal 2 2 2 3 29 3 7" xfId="18465" xr:uid="{00000000-0005-0000-0000-000021480000}"/>
    <cellStyle name="Normal 2 2 2 3 29 3 8" xfId="18466" xr:uid="{00000000-0005-0000-0000-000022480000}"/>
    <cellStyle name="Normal 2 2 2 3 29 3 9" xfId="18467" xr:uid="{00000000-0005-0000-0000-000023480000}"/>
    <cellStyle name="Normal 2 2 2 3 29 4" xfId="18468" xr:uid="{00000000-0005-0000-0000-000024480000}"/>
    <cellStyle name="Normal 2 2 2 3 29 4 10" xfId="18469" xr:uid="{00000000-0005-0000-0000-000025480000}"/>
    <cellStyle name="Normal 2 2 2 3 29 4 2" xfId="18470" xr:uid="{00000000-0005-0000-0000-000026480000}"/>
    <cellStyle name="Normal 2 2 2 3 29 4 3" xfId="18471" xr:uid="{00000000-0005-0000-0000-000027480000}"/>
    <cellStyle name="Normal 2 2 2 3 29 4 4" xfId="18472" xr:uid="{00000000-0005-0000-0000-000028480000}"/>
    <cellStyle name="Normal 2 2 2 3 29 4 5" xfId="18473" xr:uid="{00000000-0005-0000-0000-000029480000}"/>
    <cellStyle name="Normal 2 2 2 3 29 4 6" xfId="18474" xr:uid="{00000000-0005-0000-0000-00002A480000}"/>
    <cellStyle name="Normal 2 2 2 3 29 4 7" xfId="18475" xr:uid="{00000000-0005-0000-0000-00002B480000}"/>
    <cellStyle name="Normal 2 2 2 3 29 4 8" xfId="18476" xr:uid="{00000000-0005-0000-0000-00002C480000}"/>
    <cellStyle name="Normal 2 2 2 3 29 4 9" xfId="18477" xr:uid="{00000000-0005-0000-0000-00002D480000}"/>
    <cellStyle name="Normal 2 2 2 3 29 5" xfId="18478" xr:uid="{00000000-0005-0000-0000-00002E480000}"/>
    <cellStyle name="Normal 2 2 2 3 29 5 10" xfId="18479" xr:uid="{00000000-0005-0000-0000-00002F480000}"/>
    <cellStyle name="Normal 2 2 2 3 29 5 2" xfId="18480" xr:uid="{00000000-0005-0000-0000-000030480000}"/>
    <cellStyle name="Normal 2 2 2 3 29 5 3" xfId="18481" xr:uid="{00000000-0005-0000-0000-000031480000}"/>
    <cellStyle name="Normal 2 2 2 3 29 5 4" xfId="18482" xr:uid="{00000000-0005-0000-0000-000032480000}"/>
    <cellStyle name="Normal 2 2 2 3 29 5 5" xfId="18483" xr:uid="{00000000-0005-0000-0000-000033480000}"/>
    <cellStyle name="Normal 2 2 2 3 29 5 6" xfId="18484" xr:uid="{00000000-0005-0000-0000-000034480000}"/>
    <cellStyle name="Normal 2 2 2 3 29 5 7" xfId="18485" xr:uid="{00000000-0005-0000-0000-000035480000}"/>
    <cellStyle name="Normal 2 2 2 3 29 5 8" xfId="18486" xr:uid="{00000000-0005-0000-0000-000036480000}"/>
    <cellStyle name="Normal 2 2 2 3 29 5 9" xfId="18487" xr:uid="{00000000-0005-0000-0000-000037480000}"/>
    <cellStyle name="Normal 2 2 2 3 29 6" xfId="18488" xr:uid="{00000000-0005-0000-0000-000038480000}"/>
    <cellStyle name="Normal 2 2 2 3 29 7" xfId="18489" xr:uid="{00000000-0005-0000-0000-000039480000}"/>
    <cellStyle name="Normal 2 2 2 3 29 8" xfId="18490" xr:uid="{00000000-0005-0000-0000-00003A480000}"/>
    <cellStyle name="Normal 2 2 2 3 29 9" xfId="18491" xr:uid="{00000000-0005-0000-0000-00003B480000}"/>
    <cellStyle name="Normal 2 2 2 3 3" xfId="18492" xr:uid="{00000000-0005-0000-0000-00003C480000}"/>
    <cellStyle name="Normal 2 2 2 3 3 10" xfId="18493" xr:uid="{00000000-0005-0000-0000-00003D480000}"/>
    <cellStyle name="Normal 2 2 2 3 3 11" xfId="18494" xr:uid="{00000000-0005-0000-0000-00003E480000}"/>
    <cellStyle name="Normal 2 2 2 3 3 12" xfId="18495" xr:uid="{00000000-0005-0000-0000-00003F480000}"/>
    <cellStyle name="Normal 2 2 2 3 3 13" xfId="18496" xr:uid="{00000000-0005-0000-0000-000040480000}"/>
    <cellStyle name="Normal 2 2 2 3 3 14" xfId="18497" xr:uid="{00000000-0005-0000-0000-000041480000}"/>
    <cellStyle name="Normal 2 2 2 3 3 15" xfId="18498" xr:uid="{00000000-0005-0000-0000-000042480000}"/>
    <cellStyle name="Normal 2 2 2 3 3 16" xfId="18499" xr:uid="{00000000-0005-0000-0000-000043480000}"/>
    <cellStyle name="Normal 2 2 2 3 3 2" xfId="18500" xr:uid="{00000000-0005-0000-0000-000044480000}"/>
    <cellStyle name="Normal 2 2 2 3 3 2 10" xfId="18501" xr:uid="{00000000-0005-0000-0000-000045480000}"/>
    <cellStyle name="Normal 2 2 2 3 3 2 11" xfId="18502" xr:uid="{00000000-0005-0000-0000-000046480000}"/>
    <cellStyle name="Normal 2 2 2 3 3 2 12" xfId="18503" xr:uid="{00000000-0005-0000-0000-000047480000}"/>
    <cellStyle name="Normal 2 2 2 3 3 2 2" xfId="18504" xr:uid="{00000000-0005-0000-0000-000048480000}"/>
    <cellStyle name="Normal 2 2 2 3 3 2 3" xfId="18505" xr:uid="{00000000-0005-0000-0000-000049480000}"/>
    <cellStyle name="Normal 2 2 2 3 3 2 4" xfId="18506" xr:uid="{00000000-0005-0000-0000-00004A480000}"/>
    <cellStyle name="Normal 2 2 2 3 3 2 5" xfId="18507" xr:uid="{00000000-0005-0000-0000-00004B480000}"/>
    <cellStyle name="Normal 2 2 2 3 3 2 6" xfId="18508" xr:uid="{00000000-0005-0000-0000-00004C480000}"/>
    <cellStyle name="Normal 2 2 2 3 3 2 7" xfId="18509" xr:uid="{00000000-0005-0000-0000-00004D480000}"/>
    <cellStyle name="Normal 2 2 2 3 3 2 8" xfId="18510" xr:uid="{00000000-0005-0000-0000-00004E480000}"/>
    <cellStyle name="Normal 2 2 2 3 3 2 9" xfId="18511" xr:uid="{00000000-0005-0000-0000-00004F480000}"/>
    <cellStyle name="Normal 2 2 2 3 3 3" xfId="18512" xr:uid="{00000000-0005-0000-0000-000050480000}"/>
    <cellStyle name="Normal 2 2 2 3 3 3 10" xfId="18513" xr:uid="{00000000-0005-0000-0000-000051480000}"/>
    <cellStyle name="Normal 2 2 2 3 3 3 2" xfId="18514" xr:uid="{00000000-0005-0000-0000-000052480000}"/>
    <cellStyle name="Normal 2 2 2 3 3 3 3" xfId="18515" xr:uid="{00000000-0005-0000-0000-000053480000}"/>
    <cellStyle name="Normal 2 2 2 3 3 3 4" xfId="18516" xr:uid="{00000000-0005-0000-0000-000054480000}"/>
    <cellStyle name="Normal 2 2 2 3 3 3 5" xfId="18517" xr:uid="{00000000-0005-0000-0000-000055480000}"/>
    <cellStyle name="Normal 2 2 2 3 3 3 6" xfId="18518" xr:uid="{00000000-0005-0000-0000-000056480000}"/>
    <cellStyle name="Normal 2 2 2 3 3 3 7" xfId="18519" xr:uid="{00000000-0005-0000-0000-000057480000}"/>
    <cellStyle name="Normal 2 2 2 3 3 3 8" xfId="18520" xr:uid="{00000000-0005-0000-0000-000058480000}"/>
    <cellStyle name="Normal 2 2 2 3 3 3 9" xfId="18521" xr:uid="{00000000-0005-0000-0000-000059480000}"/>
    <cellStyle name="Normal 2 2 2 3 3 4" xfId="18522" xr:uid="{00000000-0005-0000-0000-00005A480000}"/>
    <cellStyle name="Normal 2 2 2 3 3 4 10" xfId="18523" xr:uid="{00000000-0005-0000-0000-00005B480000}"/>
    <cellStyle name="Normal 2 2 2 3 3 4 2" xfId="18524" xr:uid="{00000000-0005-0000-0000-00005C480000}"/>
    <cellStyle name="Normal 2 2 2 3 3 4 3" xfId="18525" xr:uid="{00000000-0005-0000-0000-00005D480000}"/>
    <cellStyle name="Normal 2 2 2 3 3 4 4" xfId="18526" xr:uid="{00000000-0005-0000-0000-00005E480000}"/>
    <cellStyle name="Normal 2 2 2 3 3 4 5" xfId="18527" xr:uid="{00000000-0005-0000-0000-00005F480000}"/>
    <cellStyle name="Normal 2 2 2 3 3 4 6" xfId="18528" xr:uid="{00000000-0005-0000-0000-000060480000}"/>
    <cellStyle name="Normal 2 2 2 3 3 4 7" xfId="18529" xr:uid="{00000000-0005-0000-0000-000061480000}"/>
    <cellStyle name="Normal 2 2 2 3 3 4 8" xfId="18530" xr:uid="{00000000-0005-0000-0000-000062480000}"/>
    <cellStyle name="Normal 2 2 2 3 3 4 9" xfId="18531" xr:uid="{00000000-0005-0000-0000-000063480000}"/>
    <cellStyle name="Normal 2 2 2 3 3 5" xfId="18532" xr:uid="{00000000-0005-0000-0000-000064480000}"/>
    <cellStyle name="Normal 2 2 2 3 3 5 10" xfId="18533" xr:uid="{00000000-0005-0000-0000-000065480000}"/>
    <cellStyle name="Normal 2 2 2 3 3 5 2" xfId="18534" xr:uid="{00000000-0005-0000-0000-000066480000}"/>
    <cellStyle name="Normal 2 2 2 3 3 5 3" xfId="18535" xr:uid="{00000000-0005-0000-0000-000067480000}"/>
    <cellStyle name="Normal 2 2 2 3 3 5 4" xfId="18536" xr:uid="{00000000-0005-0000-0000-000068480000}"/>
    <cellStyle name="Normal 2 2 2 3 3 5 5" xfId="18537" xr:uid="{00000000-0005-0000-0000-000069480000}"/>
    <cellStyle name="Normal 2 2 2 3 3 5 6" xfId="18538" xr:uid="{00000000-0005-0000-0000-00006A480000}"/>
    <cellStyle name="Normal 2 2 2 3 3 5 7" xfId="18539" xr:uid="{00000000-0005-0000-0000-00006B480000}"/>
    <cellStyle name="Normal 2 2 2 3 3 5 8" xfId="18540" xr:uid="{00000000-0005-0000-0000-00006C480000}"/>
    <cellStyle name="Normal 2 2 2 3 3 5 9" xfId="18541" xr:uid="{00000000-0005-0000-0000-00006D480000}"/>
    <cellStyle name="Normal 2 2 2 3 3 6" xfId="18542" xr:uid="{00000000-0005-0000-0000-00006E480000}"/>
    <cellStyle name="Normal 2 2 2 3 3 7" xfId="18543" xr:uid="{00000000-0005-0000-0000-00006F480000}"/>
    <cellStyle name="Normal 2 2 2 3 3 8" xfId="18544" xr:uid="{00000000-0005-0000-0000-000070480000}"/>
    <cellStyle name="Normal 2 2 2 3 3 9" xfId="18545" xr:uid="{00000000-0005-0000-0000-000071480000}"/>
    <cellStyle name="Normal 2 2 2 3 30" xfId="18546" xr:uid="{00000000-0005-0000-0000-000072480000}"/>
    <cellStyle name="Normal 2 2 2 3 30 10" xfId="18547" xr:uid="{00000000-0005-0000-0000-000073480000}"/>
    <cellStyle name="Normal 2 2 2 3 30 11" xfId="18548" xr:uid="{00000000-0005-0000-0000-000074480000}"/>
    <cellStyle name="Normal 2 2 2 3 30 12" xfId="18549" xr:uid="{00000000-0005-0000-0000-000075480000}"/>
    <cellStyle name="Normal 2 2 2 3 30 13" xfId="18550" xr:uid="{00000000-0005-0000-0000-000076480000}"/>
    <cellStyle name="Normal 2 2 2 3 30 14" xfId="18551" xr:uid="{00000000-0005-0000-0000-000077480000}"/>
    <cellStyle name="Normal 2 2 2 3 30 2" xfId="18552" xr:uid="{00000000-0005-0000-0000-000078480000}"/>
    <cellStyle name="Normal 2 2 2 3 30 2 10" xfId="18553" xr:uid="{00000000-0005-0000-0000-000079480000}"/>
    <cellStyle name="Normal 2 2 2 3 30 2 2" xfId="18554" xr:uid="{00000000-0005-0000-0000-00007A480000}"/>
    <cellStyle name="Normal 2 2 2 3 30 2 3" xfId="18555" xr:uid="{00000000-0005-0000-0000-00007B480000}"/>
    <cellStyle name="Normal 2 2 2 3 30 2 4" xfId="18556" xr:uid="{00000000-0005-0000-0000-00007C480000}"/>
    <cellStyle name="Normal 2 2 2 3 30 2 5" xfId="18557" xr:uid="{00000000-0005-0000-0000-00007D480000}"/>
    <cellStyle name="Normal 2 2 2 3 30 2 6" xfId="18558" xr:uid="{00000000-0005-0000-0000-00007E480000}"/>
    <cellStyle name="Normal 2 2 2 3 30 2 7" xfId="18559" xr:uid="{00000000-0005-0000-0000-00007F480000}"/>
    <cellStyle name="Normal 2 2 2 3 30 2 8" xfId="18560" xr:uid="{00000000-0005-0000-0000-000080480000}"/>
    <cellStyle name="Normal 2 2 2 3 30 2 9" xfId="18561" xr:uid="{00000000-0005-0000-0000-000081480000}"/>
    <cellStyle name="Normal 2 2 2 3 30 3" xfId="18562" xr:uid="{00000000-0005-0000-0000-000082480000}"/>
    <cellStyle name="Normal 2 2 2 3 30 3 10" xfId="18563" xr:uid="{00000000-0005-0000-0000-000083480000}"/>
    <cellStyle name="Normal 2 2 2 3 30 3 2" xfId="18564" xr:uid="{00000000-0005-0000-0000-000084480000}"/>
    <cellStyle name="Normal 2 2 2 3 30 3 3" xfId="18565" xr:uid="{00000000-0005-0000-0000-000085480000}"/>
    <cellStyle name="Normal 2 2 2 3 30 3 4" xfId="18566" xr:uid="{00000000-0005-0000-0000-000086480000}"/>
    <cellStyle name="Normal 2 2 2 3 30 3 5" xfId="18567" xr:uid="{00000000-0005-0000-0000-000087480000}"/>
    <cellStyle name="Normal 2 2 2 3 30 3 6" xfId="18568" xr:uid="{00000000-0005-0000-0000-000088480000}"/>
    <cellStyle name="Normal 2 2 2 3 30 3 7" xfId="18569" xr:uid="{00000000-0005-0000-0000-000089480000}"/>
    <cellStyle name="Normal 2 2 2 3 30 3 8" xfId="18570" xr:uid="{00000000-0005-0000-0000-00008A480000}"/>
    <cellStyle name="Normal 2 2 2 3 30 3 9" xfId="18571" xr:uid="{00000000-0005-0000-0000-00008B480000}"/>
    <cellStyle name="Normal 2 2 2 3 30 4" xfId="18572" xr:uid="{00000000-0005-0000-0000-00008C480000}"/>
    <cellStyle name="Normal 2 2 2 3 30 4 10" xfId="18573" xr:uid="{00000000-0005-0000-0000-00008D480000}"/>
    <cellStyle name="Normal 2 2 2 3 30 4 2" xfId="18574" xr:uid="{00000000-0005-0000-0000-00008E480000}"/>
    <cellStyle name="Normal 2 2 2 3 30 4 3" xfId="18575" xr:uid="{00000000-0005-0000-0000-00008F480000}"/>
    <cellStyle name="Normal 2 2 2 3 30 4 4" xfId="18576" xr:uid="{00000000-0005-0000-0000-000090480000}"/>
    <cellStyle name="Normal 2 2 2 3 30 4 5" xfId="18577" xr:uid="{00000000-0005-0000-0000-000091480000}"/>
    <cellStyle name="Normal 2 2 2 3 30 4 6" xfId="18578" xr:uid="{00000000-0005-0000-0000-000092480000}"/>
    <cellStyle name="Normal 2 2 2 3 30 4 7" xfId="18579" xr:uid="{00000000-0005-0000-0000-000093480000}"/>
    <cellStyle name="Normal 2 2 2 3 30 4 8" xfId="18580" xr:uid="{00000000-0005-0000-0000-000094480000}"/>
    <cellStyle name="Normal 2 2 2 3 30 4 9" xfId="18581" xr:uid="{00000000-0005-0000-0000-000095480000}"/>
    <cellStyle name="Normal 2 2 2 3 30 5" xfId="18582" xr:uid="{00000000-0005-0000-0000-000096480000}"/>
    <cellStyle name="Normal 2 2 2 3 30 5 10" xfId="18583" xr:uid="{00000000-0005-0000-0000-000097480000}"/>
    <cellStyle name="Normal 2 2 2 3 30 5 2" xfId="18584" xr:uid="{00000000-0005-0000-0000-000098480000}"/>
    <cellStyle name="Normal 2 2 2 3 30 5 3" xfId="18585" xr:uid="{00000000-0005-0000-0000-000099480000}"/>
    <cellStyle name="Normal 2 2 2 3 30 5 4" xfId="18586" xr:uid="{00000000-0005-0000-0000-00009A480000}"/>
    <cellStyle name="Normal 2 2 2 3 30 5 5" xfId="18587" xr:uid="{00000000-0005-0000-0000-00009B480000}"/>
    <cellStyle name="Normal 2 2 2 3 30 5 6" xfId="18588" xr:uid="{00000000-0005-0000-0000-00009C480000}"/>
    <cellStyle name="Normal 2 2 2 3 30 5 7" xfId="18589" xr:uid="{00000000-0005-0000-0000-00009D480000}"/>
    <cellStyle name="Normal 2 2 2 3 30 5 8" xfId="18590" xr:uid="{00000000-0005-0000-0000-00009E480000}"/>
    <cellStyle name="Normal 2 2 2 3 30 5 9" xfId="18591" xr:uid="{00000000-0005-0000-0000-00009F480000}"/>
    <cellStyle name="Normal 2 2 2 3 30 6" xfId="18592" xr:uid="{00000000-0005-0000-0000-0000A0480000}"/>
    <cellStyle name="Normal 2 2 2 3 30 7" xfId="18593" xr:uid="{00000000-0005-0000-0000-0000A1480000}"/>
    <cellStyle name="Normal 2 2 2 3 30 8" xfId="18594" xr:uid="{00000000-0005-0000-0000-0000A2480000}"/>
    <cellStyle name="Normal 2 2 2 3 30 9" xfId="18595" xr:uid="{00000000-0005-0000-0000-0000A3480000}"/>
    <cellStyle name="Normal 2 2 2 3 31" xfId="18596" xr:uid="{00000000-0005-0000-0000-0000A4480000}"/>
    <cellStyle name="Normal 2 2 2 3 31 10" xfId="18597" xr:uid="{00000000-0005-0000-0000-0000A5480000}"/>
    <cellStyle name="Normal 2 2 2 3 31 11" xfId="18598" xr:uid="{00000000-0005-0000-0000-0000A6480000}"/>
    <cellStyle name="Normal 2 2 2 3 31 12" xfId="18599" xr:uid="{00000000-0005-0000-0000-0000A7480000}"/>
    <cellStyle name="Normal 2 2 2 3 31 13" xfId="18600" xr:uid="{00000000-0005-0000-0000-0000A8480000}"/>
    <cellStyle name="Normal 2 2 2 3 31 14" xfId="18601" xr:uid="{00000000-0005-0000-0000-0000A9480000}"/>
    <cellStyle name="Normal 2 2 2 3 31 2" xfId="18602" xr:uid="{00000000-0005-0000-0000-0000AA480000}"/>
    <cellStyle name="Normal 2 2 2 3 31 2 10" xfId="18603" xr:uid="{00000000-0005-0000-0000-0000AB480000}"/>
    <cellStyle name="Normal 2 2 2 3 31 2 2" xfId="18604" xr:uid="{00000000-0005-0000-0000-0000AC480000}"/>
    <cellStyle name="Normal 2 2 2 3 31 2 3" xfId="18605" xr:uid="{00000000-0005-0000-0000-0000AD480000}"/>
    <cellStyle name="Normal 2 2 2 3 31 2 4" xfId="18606" xr:uid="{00000000-0005-0000-0000-0000AE480000}"/>
    <cellStyle name="Normal 2 2 2 3 31 2 5" xfId="18607" xr:uid="{00000000-0005-0000-0000-0000AF480000}"/>
    <cellStyle name="Normal 2 2 2 3 31 2 6" xfId="18608" xr:uid="{00000000-0005-0000-0000-0000B0480000}"/>
    <cellStyle name="Normal 2 2 2 3 31 2 7" xfId="18609" xr:uid="{00000000-0005-0000-0000-0000B1480000}"/>
    <cellStyle name="Normal 2 2 2 3 31 2 8" xfId="18610" xr:uid="{00000000-0005-0000-0000-0000B2480000}"/>
    <cellStyle name="Normal 2 2 2 3 31 2 9" xfId="18611" xr:uid="{00000000-0005-0000-0000-0000B3480000}"/>
    <cellStyle name="Normal 2 2 2 3 31 3" xfId="18612" xr:uid="{00000000-0005-0000-0000-0000B4480000}"/>
    <cellStyle name="Normal 2 2 2 3 31 3 10" xfId="18613" xr:uid="{00000000-0005-0000-0000-0000B5480000}"/>
    <cellStyle name="Normal 2 2 2 3 31 3 2" xfId="18614" xr:uid="{00000000-0005-0000-0000-0000B6480000}"/>
    <cellStyle name="Normal 2 2 2 3 31 3 3" xfId="18615" xr:uid="{00000000-0005-0000-0000-0000B7480000}"/>
    <cellStyle name="Normal 2 2 2 3 31 3 4" xfId="18616" xr:uid="{00000000-0005-0000-0000-0000B8480000}"/>
    <cellStyle name="Normal 2 2 2 3 31 3 5" xfId="18617" xr:uid="{00000000-0005-0000-0000-0000B9480000}"/>
    <cellStyle name="Normal 2 2 2 3 31 3 6" xfId="18618" xr:uid="{00000000-0005-0000-0000-0000BA480000}"/>
    <cellStyle name="Normal 2 2 2 3 31 3 7" xfId="18619" xr:uid="{00000000-0005-0000-0000-0000BB480000}"/>
    <cellStyle name="Normal 2 2 2 3 31 3 8" xfId="18620" xr:uid="{00000000-0005-0000-0000-0000BC480000}"/>
    <cellStyle name="Normal 2 2 2 3 31 3 9" xfId="18621" xr:uid="{00000000-0005-0000-0000-0000BD480000}"/>
    <cellStyle name="Normal 2 2 2 3 31 4" xfId="18622" xr:uid="{00000000-0005-0000-0000-0000BE480000}"/>
    <cellStyle name="Normal 2 2 2 3 31 4 10" xfId="18623" xr:uid="{00000000-0005-0000-0000-0000BF480000}"/>
    <cellStyle name="Normal 2 2 2 3 31 4 2" xfId="18624" xr:uid="{00000000-0005-0000-0000-0000C0480000}"/>
    <cellStyle name="Normal 2 2 2 3 31 4 3" xfId="18625" xr:uid="{00000000-0005-0000-0000-0000C1480000}"/>
    <cellStyle name="Normal 2 2 2 3 31 4 4" xfId="18626" xr:uid="{00000000-0005-0000-0000-0000C2480000}"/>
    <cellStyle name="Normal 2 2 2 3 31 4 5" xfId="18627" xr:uid="{00000000-0005-0000-0000-0000C3480000}"/>
    <cellStyle name="Normal 2 2 2 3 31 4 6" xfId="18628" xr:uid="{00000000-0005-0000-0000-0000C4480000}"/>
    <cellStyle name="Normal 2 2 2 3 31 4 7" xfId="18629" xr:uid="{00000000-0005-0000-0000-0000C5480000}"/>
    <cellStyle name="Normal 2 2 2 3 31 4 8" xfId="18630" xr:uid="{00000000-0005-0000-0000-0000C6480000}"/>
    <cellStyle name="Normal 2 2 2 3 31 4 9" xfId="18631" xr:uid="{00000000-0005-0000-0000-0000C7480000}"/>
    <cellStyle name="Normal 2 2 2 3 31 5" xfId="18632" xr:uid="{00000000-0005-0000-0000-0000C8480000}"/>
    <cellStyle name="Normal 2 2 2 3 31 5 10" xfId="18633" xr:uid="{00000000-0005-0000-0000-0000C9480000}"/>
    <cellStyle name="Normal 2 2 2 3 31 5 2" xfId="18634" xr:uid="{00000000-0005-0000-0000-0000CA480000}"/>
    <cellStyle name="Normal 2 2 2 3 31 5 3" xfId="18635" xr:uid="{00000000-0005-0000-0000-0000CB480000}"/>
    <cellStyle name="Normal 2 2 2 3 31 5 4" xfId="18636" xr:uid="{00000000-0005-0000-0000-0000CC480000}"/>
    <cellStyle name="Normal 2 2 2 3 31 5 5" xfId="18637" xr:uid="{00000000-0005-0000-0000-0000CD480000}"/>
    <cellStyle name="Normal 2 2 2 3 31 5 6" xfId="18638" xr:uid="{00000000-0005-0000-0000-0000CE480000}"/>
    <cellStyle name="Normal 2 2 2 3 31 5 7" xfId="18639" xr:uid="{00000000-0005-0000-0000-0000CF480000}"/>
    <cellStyle name="Normal 2 2 2 3 31 5 8" xfId="18640" xr:uid="{00000000-0005-0000-0000-0000D0480000}"/>
    <cellStyle name="Normal 2 2 2 3 31 5 9" xfId="18641" xr:uid="{00000000-0005-0000-0000-0000D1480000}"/>
    <cellStyle name="Normal 2 2 2 3 31 6" xfId="18642" xr:uid="{00000000-0005-0000-0000-0000D2480000}"/>
    <cellStyle name="Normal 2 2 2 3 31 7" xfId="18643" xr:uid="{00000000-0005-0000-0000-0000D3480000}"/>
    <cellStyle name="Normal 2 2 2 3 31 8" xfId="18644" xr:uid="{00000000-0005-0000-0000-0000D4480000}"/>
    <cellStyle name="Normal 2 2 2 3 31 9" xfId="18645" xr:uid="{00000000-0005-0000-0000-0000D5480000}"/>
    <cellStyle name="Normal 2 2 2 3 32" xfId="18646" xr:uid="{00000000-0005-0000-0000-0000D6480000}"/>
    <cellStyle name="Normal 2 2 2 3 32 10" xfId="18647" xr:uid="{00000000-0005-0000-0000-0000D7480000}"/>
    <cellStyle name="Normal 2 2 2 3 32 11" xfId="18648" xr:uid="{00000000-0005-0000-0000-0000D8480000}"/>
    <cellStyle name="Normal 2 2 2 3 32 12" xfId="18649" xr:uid="{00000000-0005-0000-0000-0000D9480000}"/>
    <cellStyle name="Normal 2 2 2 3 32 13" xfId="18650" xr:uid="{00000000-0005-0000-0000-0000DA480000}"/>
    <cellStyle name="Normal 2 2 2 3 32 14" xfId="18651" xr:uid="{00000000-0005-0000-0000-0000DB480000}"/>
    <cellStyle name="Normal 2 2 2 3 32 2" xfId="18652" xr:uid="{00000000-0005-0000-0000-0000DC480000}"/>
    <cellStyle name="Normal 2 2 2 3 32 2 10" xfId="18653" xr:uid="{00000000-0005-0000-0000-0000DD480000}"/>
    <cellStyle name="Normal 2 2 2 3 32 2 2" xfId="18654" xr:uid="{00000000-0005-0000-0000-0000DE480000}"/>
    <cellStyle name="Normal 2 2 2 3 32 2 3" xfId="18655" xr:uid="{00000000-0005-0000-0000-0000DF480000}"/>
    <cellStyle name="Normal 2 2 2 3 32 2 4" xfId="18656" xr:uid="{00000000-0005-0000-0000-0000E0480000}"/>
    <cellStyle name="Normal 2 2 2 3 32 2 5" xfId="18657" xr:uid="{00000000-0005-0000-0000-0000E1480000}"/>
    <cellStyle name="Normal 2 2 2 3 32 2 6" xfId="18658" xr:uid="{00000000-0005-0000-0000-0000E2480000}"/>
    <cellStyle name="Normal 2 2 2 3 32 2 7" xfId="18659" xr:uid="{00000000-0005-0000-0000-0000E3480000}"/>
    <cellStyle name="Normal 2 2 2 3 32 2 8" xfId="18660" xr:uid="{00000000-0005-0000-0000-0000E4480000}"/>
    <cellStyle name="Normal 2 2 2 3 32 2 9" xfId="18661" xr:uid="{00000000-0005-0000-0000-0000E5480000}"/>
    <cellStyle name="Normal 2 2 2 3 32 3" xfId="18662" xr:uid="{00000000-0005-0000-0000-0000E6480000}"/>
    <cellStyle name="Normal 2 2 2 3 32 3 10" xfId="18663" xr:uid="{00000000-0005-0000-0000-0000E7480000}"/>
    <cellStyle name="Normal 2 2 2 3 32 3 2" xfId="18664" xr:uid="{00000000-0005-0000-0000-0000E8480000}"/>
    <cellStyle name="Normal 2 2 2 3 32 3 3" xfId="18665" xr:uid="{00000000-0005-0000-0000-0000E9480000}"/>
    <cellStyle name="Normal 2 2 2 3 32 3 4" xfId="18666" xr:uid="{00000000-0005-0000-0000-0000EA480000}"/>
    <cellStyle name="Normal 2 2 2 3 32 3 5" xfId="18667" xr:uid="{00000000-0005-0000-0000-0000EB480000}"/>
    <cellStyle name="Normal 2 2 2 3 32 3 6" xfId="18668" xr:uid="{00000000-0005-0000-0000-0000EC480000}"/>
    <cellStyle name="Normal 2 2 2 3 32 3 7" xfId="18669" xr:uid="{00000000-0005-0000-0000-0000ED480000}"/>
    <cellStyle name="Normal 2 2 2 3 32 3 8" xfId="18670" xr:uid="{00000000-0005-0000-0000-0000EE480000}"/>
    <cellStyle name="Normal 2 2 2 3 32 3 9" xfId="18671" xr:uid="{00000000-0005-0000-0000-0000EF480000}"/>
    <cellStyle name="Normal 2 2 2 3 32 4" xfId="18672" xr:uid="{00000000-0005-0000-0000-0000F0480000}"/>
    <cellStyle name="Normal 2 2 2 3 32 4 10" xfId="18673" xr:uid="{00000000-0005-0000-0000-0000F1480000}"/>
    <cellStyle name="Normal 2 2 2 3 32 4 2" xfId="18674" xr:uid="{00000000-0005-0000-0000-0000F2480000}"/>
    <cellStyle name="Normal 2 2 2 3 32 4 3" xfId="18675" xr:uid="{00000000-0005-0000-0000-0000F3480000}"/>
    <cellStyle name="Normal 2 2 2 3 32 4 4" xfId="18676" xr:uid="{00000000-0005-0000-0000-0000F4480000}"/>
    <cellStyle name="Normal 2 2 2 3 32 4 5" xfId="18677" xr:uid="{00000000-0005-0000-0000-0000F5480000}"/>
    <cellStyle name="Normal 2 2 2 3 32 4 6" xfId="18678" xr:uid="{00000000-0005-0000-0000-0000F6480000}"/>
    <cellStyle name="Normal 2 2 2 3 32 4 7" xfId="18679" xr:uid="{00000000-0005-0000-0000-0000F7480000}"/>
    <cellStyle name="Normal 2 2 2 3 32 4 8" xfId="18680" xr:uid="{00000000-0005-0000-0000-0000F8480000}"/>
    <cellStyle name="Normal 2 2 2 3 32 4 9" xfId="18681" xr:uid="{00000000-0005-0000-0000-0000F9480000}"/>
    <cellStyle name="Normal 2 2 2 3 32 5" xfId="18682" xr:uid="{00000000-0005-0000-0000-0000FA480000}"/>
    <cellStyle name="Normal 2 2 2 3 32 5 10" xfId="18683" xr:uid="{00000000-0005-0000-0000-0000FB480000}"/>
    <cellStyle name="Normal 2 2 2 3 32 5 2" xfId="18684" xr:uid="{00000000-0005-0000-0000-0000FC480000}"/>
    <cellStyle name="Normal 2 2 2 3 32 5 3" xfId="18685" xr:uid="{00000000-0005-0000-0000-0000FD480000}"/>
    <cellStyle name="Normal 2 2 2 3 32 5 4" xfId="18686" xr:uid="{00000000-0005-0000-0000-0000FE480000}"/>
    <cellStyle name="Normal 2 2 2 3 32 5 5" xfId="18687" xr:uid="{00000000-0005-0000-0000-0000FF480000}"/>
    <cellStyle name="Normal 2 2 2 3 32 5 6" xfId="18688" xr:uid="{00000000-0005-0000-0000-000000490000}"/>
    <cellStyle name="Normal 2 2 2 3 32 5 7" xfId="18689" xr:uid="{00000000-0005-0000-0000-000001490000}"/>
    <cellStyle name="Normal 2 2 2 3 32 5 8" xfId="18690" xr:uid="{00000000-0005-0000-0000-000002490000}"/>
    <cellStyle name="Normal 2 2 2 3 32 5 9" xfId="18691" xr:uid="{00000000-0005-0000-0000-000003490000}"/>
    <cellStyle name="Normal 2 2 2 3 32 6" xfId="18692" xr:uid="{00000000-0005-0000-0000-000004490000}"/>
    <cellStyle name="Normal 2 2 2 3 32 7" xfId="18693" xr:uid="{00000000-0005-0000-0000-000005490000}"/>
    <cellStyle name="Normal 2 2 2 3 32 8" xfId="18694" xr:uid="{00000000-0005-0000-0000-000006490000}"/>
    <cellStyle name="Normal 2 2 2 3 32 9" xfId="18695" xr:uid="{00000000-0005-0000-0000-000007490000}"/>
    <cellStyle name="Normal 2 2 2 3 33" xfId="18696" xr:uid="{00000000-0005-0000-0000-000008490000}"/>
    <cellStyle name="Normal 2 2 2 3 33 10" xfId="18697" xr:uid="{00000000-0005-0000-0000-000009490000}"/>
    <cellStyle name="Normal 2 2 2 3 33 11" xfId="18698" xr:uid="{00000000-0005-0000-0000-00000A490000}"/>
    <cellStyle name="Normal 2 2 2 3 33 12" xfId="18699" xr:uid="{00000000-0005-0000-0000-00000B490000}"/>
    <cellStyle name="Normal 2 2 2 3 33 13" xfId="18700" xr:uid="{00000000-0005-0000-0000-00000C490000}"/>
    <cellStyle name="Normal 2 2 2 3 33 14" xfId="18701" xr:uid="{00000000-0005-0000-0000-00000D490000}"/>
    <cellStyle name="Normal 2 2 2 3 33 2" xfId="18702" xr:uid="{00000000-0005-0000-0000-00000E490000}"/>
    <cellStyle name="Normal 2 2 2 3 33 2 10" xfId="18703" xr:uid="{00000000-0005-0000-0000-00000F490000}"/>
    <cellStyle name="Normal 2 2 2 3 33 2 2" xfId="18704" xr:uid="{00000000-0005-0000-0000-000010490000}"/>
    <cellStyle name="Normal 2 2 2 3 33 2 3" xfId="18705" xr:uid="{00000000-0005-0000-0000-000011490000}"/>
    <cellStyle name="Normal 2 2 2 3 33 2 4" xfId="18706" xr:uid="{00000000-0005-0000-0000-000012490000}"/>
    <cellStyle name="Normal 2 2 2 3 33 2 5" xfId="18707" xr:uid="{00000000-0005-0000-0000-000013490000}"/>
    <cellStyle name="Normal 2 2 2 3 33 2 6" xfId="18708" xr:uid="{00000000-0005-0000-0000-000014490000}"/>
    <cellStyle name="Normal 2 2 2 3 33 2 7" xfId="18709" xr:uid="{00000000-0005-0000-0000-000015490000}"/>
    <cellStyle name="Normal 2 2 2 3 33 2 8" xfId="18710" xr:uid="{00000000-0005-0000-0000-000016490000}"/>
    <cellStyle name="Normal 2 2 2 3 33 2 9" xfId="18711" xr:uid="{00000000-0005-0000-0000-000017490000}"/>
    <cellStyle name="Normal 2 2 2 3 33 3" xfId="18712" xr:uid="{00000000-0005-0000-0000-000018490000}"/>
    <cellStyle name="Normal 2 2 2 3 33 3 10" xfId="18713" xr:uid="{00000000-0005-0000-0000-000019490000}"/>
    <cellStyle name="Normal 2 2 2 3 33 3 2" xfId="18714" xr:uid="{00000000-0005-0000-0000-00001A490000}"/>
    <cellStyle name="Normal 2 2 2 3 33 3 3" xfId="18715" xr:uid="{00000000-0005-0000-0000-00001B490000}"/>
    <cellStyle name="Normal 2 2 2 3 33 3 4" xfId="18716" xr:uid="{00000000-0005-0000-0000-00001C490000}"/>
    <cellStyle name="Normal 2 2 2 3 33 3 5" xfId="18717" xr:uid="{00000000-0005-0000-0000-00001D490000}"/>
    <cellStyle name="Normal 2 2 2 3 33 3 6" xfId="18718" xr:uid="{00000000-0005-0000-0000-00001E490000}"/>
    <cellStyle name="Normal 2 2 2 3 33 3 7" xfId="18719" xr:uid="{00000000-0005-0000-0000-00001F490000}"/>
    <cellStyle name="Normal 2 2 2 3 33 3 8" xfId="18720" xr:uid="{00000000-0005-0000-0000-000020490000}"/>
    <cellStyle name="Normal 2 2 2 3 33 3 9" xfId="18721" xr:uid="{00000000-0005-0000-0000-000021490000}"/>
    <cellStyle name="Normal 2 2 2 3 33 4" xfId="18722" xr:uid="{00000000-0005-0000-0000-000022490000}"/>
    <cellStyle name="Normal 2 2 2 3 33 4 10" xfId="18723" xr:uid="{00000000-0005-0000-0000-000023490000}"/>
    <cellStyle name="Normal 2 2 2 3 33 4 2" xfId="18724" xr:uid="{00000000-0005-0000-0000-000024490000}"/>
    <cellStyle name="Normal 2 2 2 3 33 4 3" xfId="18725" xr:uid="{00000000-0005-0000-0000-000025490000}"/>
    <cellStyle name="Normal 2 2 2 3 33 4 4" xfId="18726" xr:uid="{00000000-0005-0000-0000-000026490000}"/>
    <cellStyle name="Normal 2 2 2 3 33 4 5" xfId="18727" xr:uid="{00000000-0005-0000-0000-000027490000}"/>
    <cellStyle name="Normal 2 2 2 3 33 4 6" xfId="18728" xr:uid="{00000000-0005-0000-0000-000028490000}"/>
    <cellStyle name="Normal 2 2 2 3 33 4 7" xfId="18729" xr:uid="{00000000-0005-0000-0000-000029490000}"/>
    <cellStyle name="Normal 2 2 2 3 33 4 8" xfId="18730" xr:uid="{00000000-0005-0000-0000-00002A490000}"/>
    <cellStyle name="Normal 2 2 2 3 33 4 9" xfId="18731" xr:uid="{00000000-0005-0000-0000-00002B490000}"/>
    <cellStyle name="Normal 2 2 2 3 33 5" xfId="18732" xr:uid="{00000000-0005-0000-0000-00002C490000}"/>
    <cellStyle name="Normal 2 2 2 3 33 5 10" xfId="18733" xr:uid="{00000000-0005-0000-0000-00002D490000}"/>
    <cellStyle name="Normal 2 2 2 3 33 5 2" xfId="18734" xr:uid="{00000000-0005-0000-0000-00002E490000}"/>
    <cellStyle name="Normal 2 2 2 3 33 5 3" xfId="18735" xr:uid="{00000000-0005-0000-0000-00002F490000}"/>
    <cellStyle name="Normal 2 2 2 3 33 5 4" xfId="18736" xr:uid="{00000000-0005-0000-0000-000030490000}"/>
    <cellStyle name="Normal 2 2 2 3 33 5 5" xfId="18737" xr:uid="{00000000-0005-0000-0000-000031490000}"/>
    <cellStyle name="Normal 2 2 2 3 33 5 6" xfId="18738" xr:uid="{00000000-0005-0000-0000-000032490000}"/>
    <cellStyle name="Normal 2 2 2 3 33 5 7" xfId="18739" xr:uid="{00000000-0005-0000-0000-000033490000}"/>
    <cellStyle name="Normal 2 2 2 3 33 5 8" xfId="18740" xr:uid="{00000000-0005-0000-0000-000034490000}"/>
    <cellStyle name="Normal 2 2 2 3 33 5 9" xfId="18741" xr:uid="{00000000-0005-0000-0000-000035490000}"/>
    <cellStyle name="Normal 2 2 2 3 33 6" xfId="18742" xr:uid="{00000000-0005-0000-0000-000036490000}"/>
    <cellStyle name="Normal 2 2 2 3 33 7" xfId="18743" xr:uid="{00000000-0005-0000-0000-000037490000}"/>
    <cellStyle name="Normal 2 2 2 3 33 8" xfId="18744" xr:uid="{00000000-0005-0000-0000-000038490000}"/>
    <cellStyle name="Normal 2 2 2 3 33 9" xfId="18745" xr:uid="{00000000-0005-0000-0000-000039490000}"/>
    <cellStyle name="Normal 2 2 2 3 34" xfId="18746" xr:uid="{00000000-0005-0000-0000-00003A490000}"/>
    <cellStyle name="Normal 2 2 2 3 34 10" xfId="18747" xr:uid="{00000000-0005-0000-0000-00003B490000}"/>
    <cellStyle name="Normal 2 2 2 3 34 2" xfId="18748" xr:uid="{00000000-0005-0000-0000-00003C490000}"/>
    <cellStyle name="Normal 2 2 2 3 34 3" xfId="18749" xr:uid="{00000000-0005-0000-0000-00003D490000}"/>
    <cellStyle name="Normal 2 2 2 3 34 4" xfId="18750" xr:uid="{00000000-0005-0000-0000-00003E490000}"/>
    <cellStyle name="Normal 2 2 2 3 34 5" xfId="18751" xr:uid="{00000000-0005-0000-0000-00003F490000}"/>
    <cellStyle name="Normal 2 2 2 3 34 6" xfId="18752" xr:uid="{00000000-0005-0000-0000-000040490000}"/>
    <cellStyle name="Normal 2 2 2 3 34 7" xfId="18753" xr:uid="{00000000-0005-0000-0000-000041490000}"/>
    <cellStyle name="Normal 2 2 2 3 34 8" xfId="18754" xr:uid="{00000000-0005-0000-0000-000042490000}"/>
    <cellStyle name="Normal 2 2 2 3 34 9" xfId="18755" xr:uid="{00000000-0005-0000-0000-000043490000}"/>
    <cellStyle name="Normal 2 2 2 3 35" xfId="18756" xr:uid="{00000000-0005-0000-0000-000044490000}"/>
    <cellStyle name="Normal 2 2 2 3 35 10" xfId="18757" xr:uid="{00000000-0005-0000-0000-000045490000}"/>
    <cellStyle name="Normal 2 2 2 3 35 2" xfId="18758" xr:uid="{00000000-0005-0000-0000-000046490000}"/>
    <cellStyle name="Normal 2 2 2 3 35 3" xfId="18759" xr:uid="{00000000-0005-0000-0000-000047490000}"/>
    <cellStyle name="Normal 2 2 2 3 35 4" xfId="18760" xr:uid="{00000000-0005-0000-0000-000048490000}"/>
    <cellStyle name="Normal 2 2 2 3 35 5" xfId="18761" xr:uid="{00000000-0005-0000-0000-000049490000}"/>
    <cellStyle name="Normal 2 2 2 3 35 6" xfId="18762" xr:uid="{00000000-0005-0000-0000-00004A490000}"/>
    <cellStyle name="Normal 2 2 2 3 35 7" xfId="18763" xr:uid="{00000000-0005-0000-0000-00004B490000}"/>
    <cellStyle name="Normal 2 2 2 3 35 8" xfId="18764" xr:uid="{00000000-0005-0000-0000-00004C490000}"/>
    <cellStyle name="Normal 2 2 2 3 35 9" xfId="18765" xr:uid="{00000000-0005-0000-0000-00004D490000}"/>
    <cellStyle name="Normal 2 2 2 3 36" xfId="18766" xr:uid="{00000000-0005-0000-0000-00004E490000}"/>
    <cellStyle name="Normal 2 2 2 3 36 10" xfId="18767" xr:uid="{00000000-0005-0000-0000-00004F490000}"/>
    <cellStyle name="Normal 2 2 2 3 36 2" xfId="18768" xr:uid="{00000000-0005-0000-0000-000050490000}"/>
    <cellStyle name="Normal 2 2 2 3 36 3" xfId="18769" xr:uid="{00000000-0005-0000-0000-000051490000}"/>
    <cellStyle name="Normal 2 2 2 3 36 4" xfId="18770" xr:uid="{00000000-0005-0000-0000-000052490000}"/>
    <cellStyle name="Normal 2 2 2 3 36 5" xfId="18771" xr:uid="{00000000-0005-0000-0000-000053490000}"/>
    <cellStyle name="Normal 2 2 2 3 36 6" xfId="18772" xr:uid="{00000000-0005-0000-0000-000054490000}"/>
    <cellStyle name="Normal 2 2 2 3 36 7" xfId="18773" xr:uid="{00000000-0005-0000-0000-000055490000}"/>
    <cellStyle name="Normal 2 2 2 3 36 8" xfId="18774" xr:uid="{00000000-0005-0000-0000-000056490000}"/>
    <cellStyle name="Normal 2 2 2 3 36 9" xfId="18775" xr:uid="{00000000-0005-0000-0000-000057490000}"/>
    <cellStyle name="Normal 2 2 2 3 37" xfId="18776" xr:uid="{00000000-0005-0000-0000-000058490000}"/>
    <cellStyle name="Normal 2 2 2 3 37 10" xfId="18777" xr:uid="{00000000-0005-0000-0000-000059490000}"/>
    <cellStyle name="Normal 2 2 2 3 37 2" xfId="18778" xr:uid="{00000000-0005-0000-0000-00005A490000}"/>
    <cellStyle name="Normal 2 2 2 3 37 3" xfId="18779" xr:uid="{00000000-0005-0000-0000-00005B490000}"/>
    <cellStyle name="Normal 2 2 2 3 37 4" xfId="18780" xr:uid="{00000000-0005-0000-0000-00005C490000}"/>
    <cellStyle name="Normal 2 2 2 3 37 5" xfId="18781" xr:uid="{00000000-0005-0000-0000-00005D490000}"/>
    <cellStyle name="Normal 2 2 2 3 37 6" xfId="18782" xr:uid="{00000000-0005-0000-0000-00005E490000}"/>
    <cellStyle name="Normal 2 2 2 3 37 7" xfId="18783" xr:uid="{00000000-0005-0000-0000-00005F490000}"/>
    <cellStyle name="Normal 2 2 2 3 37 8" xfId="18784" xr:uid="{00000000-0005-0000-0000-000060490000}"/>
    <cellStyle name="Normal 2 2 2 3 37 9" xfId="18785" xr:uid="{00000000-0005-0000-0000-000061490000}"/>
    <cellStyle name="Normal 2 2 2 3 38" xfId="18786" xr:uid="{00000000-0005-0000-0000-000062490000}"/>
    <cellStyle name="Normal 2 2 2 3 39" xfId="18787" xr:uid="{00000000-0005-0000-0000-000063490000}"/>
    <cellStyle name="Normal 2 2 2 3 4" xfId="18788" xr:uid="{00000000-0005-0000-0000-000064490000}"/>
    <cellStyle name="Normal 2 2 2 3 4 10" xfId="18789" xr:uid="{00000000-0005-0000-0000-000065490000}"/>
    <cellStyle name="Normal 2 2 2 3 4 11" xfId="18790" xr:uid="{00000000-0005-0000-0000-000066490000}"/>
    <cellStyle name="Normal 2 2 2 3 4 12" xfId="18791" xr:uid="{00000000-0005-0000-0000-000067490000}"/>
    <cellStyle name="Normal 2 2 2 3 4 13" xfId="18792" xr:uid="{00000000-0005-0000-0000-000068490000}"/>
    <cellStyle name="Normal 2 2 2 3 4 14" xfId="18793" xr:uid="{00000000-0005-0000-0000-000069490000}"/>
    <cellStyle name="Normal 2 2 2 3 4 15" xfId="18794" xr:uid="{00000000-0005-0000-0000-00006A490000}"/>
    <cellStyle name="Normal 2 2 2 3 4 16" xfId="18795" xr:uid="{00000000-0005-0000-0000-00006B490000}"/>
    <cellStyle name="Normal 2 2 2 3 4 2" xfId="18796" xr:uid="{00000000-0005-0000-0000-00006C490000}"/>
    <cellStyle name="Normal 2 2 2 3 4 2 10" xfId="18797" xr:uid="{00000000-0005-0000-0000-00006D490000}"/>
    <cellStyle name="Normal 2 2 2 3 4 2 2" xfId="18798" xr:uid="{00000000-0005-0000-0000-00006E490000}"/>
    <cellStyle name="Normal 2 2 2 3 4 2 3" xfId="18799" xr:uid="{00000000-0005-0000-0000-00006F490000}"/>
    <cellStyle name="Normal 2 2 2 3 4 2 4" xfId="18800" xr:uid="{00000000-0005-0000-0000-000070490000}"/>
    <cellStyle name="Normal 2 2 2 3 4 2 5" xfId="18801" xr:uid="{00000000-0005-0000-0000-000071490000}"/>
    <cellStyle name="Normal 2 2 2 3 4 2 6" xfId="18802" xr:uid="{00000000-0005-0000-0000-000072490000}"/>
    <cellStyle name="Normal 2 2 2 3 4 2 7" xfId="18803" xr:uid="{00000000-0005-0000-0000-000073490000}"/>
    <cellStyle name="Normal 2 2 2 3 4 2 8" xfId="18804" xr:uid="{00000000-0005-0000-0000-000074490000}"/>
    <cellStyle name="Normal 2 2 2 3 4 2 9" xfId="18805" xr:uid="{00000000-0005-0000-0000-000075490000}"/>
    <cellStyle name="Normal 2 2 2 3 4 3" xfId="18806" xr:uid="{00000000-0005-0000-0000-000076490000}"/>
    <cellStyle name="Normal 2 2 2 3 4 3 10" xfId="18807" xr:uid="{00000000-0005-0000-0000-000077490000}"/>
    <cellStyle name="Normal 2 2 2 3 4 3 2" xfId="18808" xr:uid="{00000000-0005-0000-0000-000078490000}"/>
    <cellStyle name="Normal 2 2 2 3 4 3 3" xfId="18809" xr:uid="{00000000-0005-0000-0000-000079490000}"/>
    <cellStyle name="Normal 2 2 2 3 4 3 4" xfId="18810" xr:uid="{00000000-0005-0000-0000-00007A490000}"/>
    <cellStyle name="Normal 2 2 2 3 4 3 5" xfId="18811" xr:uid="{00000000-0005-0000-0000-00007B490000}"/>
    <cellStyle name="Normal 2 2 2 3 4 3 6" xfId="18812" xr:uid="{00000000-0005-0000-0000-00007C490000}"/>
    <cellStyle name="Normal 2 2 2 3 4 3 7" xfId="18813" xr:uid="{00000000-0005-0000-0000-00007D490000}"/>
    <cellStyle name="Normal 2 2 2 3 4 3 8" xfId="18814" xr:uid="{00000000-0005-0000-0000-00007E490000}"/>
    <cellStyle name="Normal 2 2 2 3 4 3 9" xfId="18815" xr:uid="{00000000-0005-0000-0000-00007F490000}"/>
    <cellStyle name="Normal 2 2 2 3 4 4" xfId="18816" xr:uid="{00000000-0005-0000-0000-000080490000}"/>
    <cellStyle name="Normal 2 2 2 3 4 4 10" xfId="18817" xr:uid="{00000000-0005-0000-0000-000081490000}"/>
    <cellStyle name="Normal 2 2 2 3 4 4 2" xfId="18818" xr:uid="{00000000-0005-0000-0000-000082490000}"/>
    <cellStyle name="Normal 2 2 2 3 4 4 3" xfId="18819" xr:uid="{00000000-0005-0000-0000-000083490000}"/>
    <cellStyle name="Normal 2 2 2 3 4 4 4" xfId="18820" xr:uid="{00000000-0005-0000-0000-000084490000}"/>
    <cellStyle name="Normal 2 2 2 3 4 4 5" xfId="18821" xr:uid="{00000000-0005-0000-0000-000085490000}"/>
    <cellStyle name="Normal 2 2 2 3 4 4 6" xfId="18822" xr:uid="{00000000-0005-0000-0000-000086490000}"/>
    <cellStyle name="Normal 2 2 2 3 4 4 7" xfId="18823" xr:uid="{00000000-0005-0000-0000-000087490000}"/>
    <cellStyle name="Normal 2 2 2 3 4 4 8" xfId="18824" xr:uid="{00000000-0005-0000-0000-000088490000}"/>
    <cellStyle name="Normal 2 2 2 3 4 4 9" xfId="18825" xr:uid="{00000000-0005-0000-0000-000089490000}"/>
    <cellStyle name="Normal 2 2 2 3 4 5" xfId="18826" xr:uid="{00000000-0005-0000-0000-00008A490000}"/>
    <cellStyle name="Normal 2 2 2 3 4 5 10" xfId="18827" xr:uid="{00000000-0005-0000-0000-00008B490000}"/>
    <cellStyle name="Normal 2 2 2 3 4 5 2" xfId="18828" xr:uid="{00000000-0005-0000-0000-00008C490000}"/>
    <cellStyle name="Normal 2 2 2 3 4 5 3" xfId="18829" xr:uid="{00000000-0005-0000-0000-00008D490000}"/>
    <cellStyle name="Normal 2 2 2 3 4 5 4" xfId="18830" xr:uid="{00000000-0005-0000-0000-00008E490000}"/>
    <cellStyle name="Normal 2 2 2 3 4 5 5" xfId="18831" xr:uid="{00000000-0005-0000-0000-00008F490000}"/>
    <cellStyle name="Normal 2 2 2 3 4 5 6" xfId="18832" xr:uid="{00000000-0005-0000-0000-000090490000}"/>
    <cellStyle name="Normal 2 2 2 3 4 5 7" xfId="18833" xr:uid="{00000000-0005-0000-0000-000091490000}"/>
    <cellStyle name="Normal 2 2 2 3 4 5 8" xfId="18834" xr:uid="{00000000-0005-0000-0000-000092490000}"/>
    <cellStyle name="Normal 2 2 2 3 4 5 9" xfId="18835" xr:uid="{00000000-0005-0000-0000-000093490000}"/>
    <cellStyle name="Normal 2 2 2 3 4 6" xfId="18836" xr:uid="{00000000-0005-0000-0000-000094490000}"/>
    <cellStyle name="Normal 2 2 2 3 4 7" xfId="18837" xr:uid="{00000000-0005-0000-0000-000095490000}"/>
    <cellStyle name="Normal 2 2 2 3 4 8" xfId="18838" xr:uid="{00000000-0005-0000-0000-000096490000}"/>
    <cellStyle name="Normal 2 2 2 3 4 9" xfId="18839" xr:uid="{00000000-0005-0000-0000-000097490000}"/>
    <cellStyle name="Normal 2 2 2 3 40" xfId="18840" xr:uid="{00000000-0005-0000-0000-000098490000}"/>
    <cellStyle name="Normal 2 2 2 3 41" xfId="18841" xr:uid="{00000000-0005-0000-0000-000099490000}"/>
    <cellStyle name="Normal 2 2 2 3 42" xfId="18842" xr:uid="{00000000-0005-0000-0000-00009A490000}"/>
    <cellStyle name="Normal 2 2 2 3 43" xfId="18843" xr:uid="{00000000-0005-0000-0000-00009B490000}"/>
    <cellStyle name="Normal 2 2 2 3 44" xfId="18844" xr:uid="{00000000-0005-0000-0000-00009C490000}"/>
    <cellStyle name="Normal 2 2 2 3 45" xfId="18845" xr:uid="{00000000-0005-0000-0000-00009D490000}"/>
    <cellStyle name="Normal 2 2 2 3 46" xfId="18846" xr:uid="{00000000-0005-0000-0000-00009E490000}"/>
    <cellStyle name="Normal 2 2 2 3 47" xfId="18847" xr:uid="{00000000-0005-0000-0000-00009F490000}"/>
    <cellStyle name="Normal 2 2 2 3 48" xfId="18848" xr:uid="{00000000-0005-0000-0000-0000A0490000}"/>
    <cellStyle name="Normal 2 2 2 3 49" xfId="29" xr:uid="{00000000-0005-0000-0000-00001D000000}"/>
    <cellStyle name="Normal 2 2 2 3 5" xfId="18849" xr:uid="{00000000-0005-0000-0000-0000A1490000}"/>
    <cellStyle name="Normal 2 2 2 3 5 10" xfId="18850" xr:uid="{00000000-0005-0000-0000-0000A2490000}"/>
    <cellStyle name="Normal 2 2 2 3 5 11" xfId="18851" xr:uid="{00000000-0005-0000-0000-0000A3490000}"/>
    <cellStyle name="Normal 2 2 2 3 5 12" xfId="18852" xr:uid="{00000000-0005-0000-0000-0000A4490000}"/>
    <cellStyle name="Normal 2 2 2 3 5 13" xfId="18853" xr:uid="{00000000-0005-0000-0000-0000A5490000}"/>
    <cellStyle name="Normal 2 2 2 3 5 14" xfId="18854" xr:uid="{00000000-0005-0000-0000-0000A6490000}"/>
    <cellStyle name="Normal 2 2 2 3 5 15" xfId="18855" xr:uid="{00000000-0005-0000-0000-0000A7490000}"/>
    <cellStyle name="Normal 2 2 2 3 5 2" xfId="18856" xr:uid="{00000000-0005-0000-0000-0000A8490000}"/>
    <cellStyle name="Normal 2 2 2 3 5 2 10" xfId="18857" xr:uid="{00000000-0005-0000-0000-0000A9490000}"/>
    <cellStyle name="Normal 2 2 2 3 5 2 2" xfId="18858" xr:uid="{00000000-0005-0000-0000-0000AA490000}"/>
    <cellStyle name="Normal 2 2 2 3 5 2 3" xfId="18859" xr:uid="{00000000-0005-0000-0000-0000AB490000}"/>
    <cellStyle name="Normal 2 2 2 3 5 2 4" xfId="18860" xr:uid="{00000000-0005-0000-0000-0000AC490000}"/>
    <cellStyle name="Normal 2 2 2 3 5 2 5" xfId="18861" xr:uid="{00000000-0005-0000-0000-0000AD490000}"/>
    <cellStyle name="Normal 2 2 2 3 5 2 6" xfId="18862" xr:uid="{00000000-0005-0000-0000-0000AE490000}"/>
    <cellStyle name="Normal 2 2 2 3 5 2 7" xfId="18863" xr:uid="{00000000-0005-0000-0000-0000AF490000}"/>
    <cellStyle name="Normal 2 2 2 3 5 2 8" xfId="18864" xr:uid="{00000000-0005-0000-0000-0000B0490000}"/>
    <cellStyle name="Normal 2 2 2 3 5 2 9" xfId="18865" xr:uid="{00000000-0005-0000-0000-0000B1490000}"/>
    <cellStyle name="Normal 2 2 2 3 5 3" xfId="18866" xr:uid="{00000000-0005-0000-0000-0000B2490000}"/>
    <cellStyle name="Normal 2 2 2 3 5 3 10" xfId="18867" xr:uid="{00000000-0005-0000-0000-0000B3490000}"/>
    <cellStyle name="Normal 2 2 2 3 5 3 2" xfId="18868" xr:uid="{00000000-0005-0000-0000-0000B4490000}"/>
    <cellStyle name="Normal 2 2 2 3 5 3 3" xfId="18869" xr:uid="{00000000-0005-0000-0000-0000B5490000}"/>
    <cellStyle name="Normal 2 2 2 3 5 3 4" xfId="18870" xr:uid="{00000000-0005-0000-0000-0000B6490000}"/>
    <cellStyle name="Normal 2 2 2 3 5 3 5" xfId="18871" xr:uid="{00000000-0005-0000-0000-0000B7490000}"/>
    <cellStyle name="Normal 2 2 2 3 5 3 6" xfId="18872" xr:uid="{00000000-0005-0000-0000-0000B8490000}"/>
    <cellStyle name="Normal 2 2 2 3 5 3 7" xfId="18873" xr:uid="{00000000-0005-0000-0000-0000B9490000}"/>
    <cellStyle name="Normal 2 2 2 3 5 3 8" xfId="18874" xr:uid="{00000000-0005-0000-0000-0000BA490000}"/>
    <cellStyle name="Normal 2 2 2 3 5 3 9" xfId="18875" xr:uid="{00000000-0005-0000-0000-0000BB490000}"/>
    <cellStyle name="Normal 2 2 2 3 5 4" xfId="18876" xr:uid="{00000000-0005-0000-0000-0000BC490000}"/>
    <cellStyle name="Normal 2 2 2 3 5 4 10" xfId="18877" xr:uid="{00000000-0005-0000-0000-0000BD490000}"/>
    <cellStyle name="Normal 2 2 2 3 5 4 2" xfId="18878" xr:uid="{00000000-0005-0000-0000-0000BE490000}"/>
    <cellStyle name="Normal 2 2 2 3 5 4 3" xfId="18879" xr:uid="{00000000-0005-0000-0000-0000BF490000}"/>
    <cellStyle name="Normal 2 2 2 3 5 4 4" xfId="18880" xr:uid="{00000000-0005-0000-0000-0000C0490000}"/>
    <cellStyle name="Normal 2 2 2 3 5 4 5" xfId="18881" xr:uid="{00000000-0005-0000-0000-0000C1490000}"/>
    <cellStyle name="Normal 2 2 2 3 5 4 6" xfId="18882" xr:uid="{00000000-0005-0000-0000-0000C2490000}"/>
    <cellStyle name="Normal 2 2 2 3 5 4 7" xfId="18883" xr:uid="{00000000-0005-0000-0000-0000C3490000}"/>
    <cellStyle name="Normal 2 2 2 3 5 4 8" xfId="18884" xr:uid="{00000000-0005-0000-0000-0000C4490000}"/>
    <cellStyle name="Normal 2 2 2 3 5 4 9" xfId="18885" xr:uid="{00000000-0005-0000-0000-0000C5490000}"/>
    <cellStyle name="Normal 2 2 2 3 5 5" xfId="18886" xr:uid="{00000000-0005-0000-0000-0000C6490000}"/>
    <cellStyle name="Normal 2 2 2 3 5 5 10" xfId="18887" xr:uid="{00000000-0005-0000-0000-0000C7490000}"/>
    <cellStyle name="Normal 2 2 2 3 5 5 2" xfId="18888" xr:uid="{00000000-0005-0000-0000-0000C8490000}"/>
    <cellStyle name="Normal 2 2 2 3 5 5 3" xfId="18889" xr:uid="{00000000-0005-0000-0000-0000C9490000}"/>
    <cellStyle name="Normal 2 2 2 3 5 5 4" xfId="18890" xr:uid="{00000000-0005-0000-0000-0000CA490000}"/>
    <cellStyle name="Normal 2 2 2 3 5 5 5" xfId="18891" xr:uid="{00000000-0005-0000-0000-0000CB490000}"/>
    <cellStyle name="Normal 2 2 2 3 5 5 6" xfId="18892" xr:uid="{00000000-0005-0000-0000-0000CC490000}"/>
    <cellStyle name="Normal 2 2 2 3 5 5 7" xfId="18893" xr:uid="{00000000-0005-0000-0000-0000CD490000}"/>
    <cellStyle name="Normal 2 2 2 3 5 5 8" xfId="18894" xr:uid="{00000000-0005-0000-0000-0000CE490000}"/>
    <cellStyle name="Normal 2 2 2 3 5 5 9" xfId="18895" xr:uid="{00000000-0005-0000-0000-0000CF490000}"/>
    <cellStyle name="Normal 2 2 2 3 5 6" xfId="18896" xr:uid="{00000000-0005-0000-0000-0000D0490000}"/>
    <cellStyle name="Normal 2 2 2 3 5 7" xfId="18897" xr:uid="{00000000-0005-0000-0000-0000D1490000}"/>
    <cellStyle name="Normal 2 2 2 3 5 8" xfId="18898" xr:uid="{00000000-0005-0000-0000-0000D2490000}"/>
    <cellStyle name="Normal 2 2 2 3 5 9" xfId="18899" xr:uid="{00000000-0005-0000-0000-0000D3490000}"/>
    <cellStyle name="Normal 2 2 2 3 6" xfId="18900" xr:uid="{00000000-0005-0000-0000-0000D4490000}"/>
    <cellStyle name="Normal 2 2 2 3 6 10" xfId="18901" xr:uid="{00000000-0005-0000-0000-0000D5490000}"/>
    <cellStyle name="Normal 2 2 2 3 6 11" xfId="18902" xr:uid="{00000000-0005-0000-0000-0000D6490000}"/>
    <cellStyle name="Normal 2 2 2 3 6 12" xfId="18903" xr:uid="{00000000-0005-0000-0000-0000D7490000}"/>
    <cellStyle name="Normal 2 2 2 3 6 13" xfId="18904" xr:uid="{00000000-0005-0000-0000-0000D8490000}"/>
    <cellStyle name="Normal 2 2 2 3 6 14" xfId="18905" xr:uid="{00000000-0005-0000-0000-0000D9490000}"/>
    <cellStyle name="Normal 2 2 2 3 6 15" xfId="18906" xr:uid="{00000000-0005-0000-0000-0000DA490000}"/>
    <cellStyle name="Normal 2 2 2 3 6 2" xfId="18907" xr:uid="{00000000-0005-0000-0000-0000DB490000}"/>
    <cellStyle name="Normal 2 2 2 3 6 2 10" xfId="18908" xr:uid="{00000000-0005-0000-0000-0000DC490000}"/>
    <cellStyle name="Normal 2 2 2 3 6 2 2" xfId="18909" xr:uid="{00000000-0005-0000-0000-0000DD490000}"/>
    <cellStyle name="Normal 2 2 2 3 6 2 3" xfId="18910" xr:uid="{00000000-0005-0000-0000-0000DE490000}"/>
    <cellStyle name="Normal 2 2 2 3 6 2 4" xfId="18911" xr:uid="{00000000-0005-0000-0000-0000DF490000}"/>
    <cellStyle name="Normal 2 2 2 3 6 2 5" xfId="18912" xr:uid="{00000000-0005-0000-0000-0000E0490000}"/>
    <cellStyle name="Normal 2 2 2 3 6 2 6" xfId="18913" xr:uid="{00000000-0005-0000-0000-0000E1490000}"/>
    <cellStyle name="Normal 2 2 2 3 6 2 7" xfId="18914" xr:uid="{00000000-0005-0000-0000-0000E2490000}"/>
    <cellStyle name="Normal 2 2 2 3 6 2 8" xfId="18915" xr:uid="{00000000-0005-0000-0000-0000E3490000}"/>
    <cellStyle name="Normal 2 2 2 3 6 2 9" xfId="18916" xr:uid="{00000000-0005-0000-0000-0000E4490000}"/>
    <cellStyle name="Normal 2 2 2 3 6 3" xfId="18917" xr:uid="{00000000-0005-0000-0000-0000E5490000}"/>
    <cellStyle name="Normal 2 2 2 3 6 3 10" xfId="18918" xr:uid="{00000000-0005-0000-0000-0000E6490000}"/>
    <cellStyle name="Normal 2 2 2 3 6 3 2" xfId="18919" xr:uid="{00000000-0005-0000-0000-0000E7490000}"/>
    <cellStyle name="Normal 2 2 2 3 6 3 3" xfId="18920" xr:uid="{00000000-0005-0000-0000-0000E8490000}"/>
    <cellStyle name="Normal 2 2 2 3 6 3 4" xfId="18921" xr:uid="{00000000-0005-0000-0000-0000E9490000}"/>
    <cellStyle name="Normal 2 2 2 3 6 3 5" xfId="18922" xr:uid="{00000000-0005-0000-0000-0000EA490000}"/>
    <cellStyle name="Normal 2 2 2 3 6 3 6" xfId="18923" xr:uid="{00000000-0005-0000-0000-0000EB490000}"/>
    <cellStyle name="Normal 2 2 2 3 6 3 7" xfId="18924" xr:uid="{00000000-0005-0000-0000-0000EC490000}"/>
    <cellStyle name="Normal 2 2 2 3 6 3 8" xfId="18925" xr:uid="{00000000-0005-0000-0000-0000ED490000}"/>
    <cellStyle name="Normal 2 2 2 3 6 3 9" xfId="18926" xr:uid="{00000000-0005-0000-0000-0000EE490000}"/>
    <cellStyle name="Normal 2 2 2 3 6 4" xfId="18927" xr:uid="{00000000-0005-0000-0000-0000EF490000}"/>
    <cellStyle name="Normal 2 2 2 3 6 4 10" xfId="18928" xr:uid="{00000000-0005-0000-0000-0000F0490000}"/>
    <cellStyle name="Normal 2 2 2 3 6 4 2" xfId="18929" xr:uid="{00000000-0005-0000-0000-0000F1490000}"/>
    <cellStyle name="Normal 2 2 2 3 6 4 3" xfId="18930" xr:uid="{00000000-0005-0000-0000-0000F2490000}"/>
    <cellStyle name="Normal 2 2 2 3 6 4 4" xfId="18931" xr:uid="{00000000-0005-0000-0000-0000F3490000}"/>
    <cellStyle name="Normal 2 2 2 3 6 4 5" xfId="18932" xr:uid="{00000000-0005-0000-0000-0000F4490000}"/>
    <cellStyle name="Normal 2 2 2 3 6 4 6" xfId="18933" xr:uid="{00000000-0005-0000-0000-0000F5490000}"/>
    <cellStyle name="Normal 2 2 2 3 6 4 7" xfId="18934" xr:uid="{00000000-0005-0000-0000-0000F6490000}"/>
    <cellStyle name="Normal 2 2 2 3 6 4 8" xfId="18935" xr:uid="{00000000-0005-0000-0000-0000F7490000}"/>
    <cellStyle name="Normal 2 2 2 3 6 4 9" xfId="18936" xr:uid="{00000000-0005-0000-0000-0000F8490000}"/>
    <cellStyle name="Normal 2 2 2 3 6 5" xfId="18937" xr:uid="{00000000-0005-0000-0000-0000F9490000}"/>
    <cellStyle name="Normal 2 2 2 3 6 5 10" xfId="18938" xr:uid="{00000000-0005-0000-0000-0000FA490000}"/>
    <cellStyle name="Normal 2 2 2 3 6 5 2" xfId="18939" xr:uid="{00000000-0005-0000-0000-0000FB490000}"/>
    <cellStyle name="Normal 2 2 2 3 6 5 3" xfId="18940" xr:uid="{00000000-0005-0000-0000-0000FC490000}"/>
    <cellStyle name="Normal 2 2 2 3 6 5 4" xfId="18941" xr:uid="{00000000-0005-0000-0000-0000FD490000}"/>
    <cellStyle name="Normal 2 2 2 3 6 5 5" xfId="18942" xr:uid="{00000000-0005-0000-0000-0000FE490000}"/>
    <cellStyle name="Normal 2 2 2 3 6 5 6" xfId="18943" xr:uid="{00000000-0005-0000-0000-0000FF490000}"/>
    <cellStyle name="Normal 2 2 2 3 6 5 7" xfId="18944" xr:uid="{00000000-0005-0000-0000-0000004A0000}"/>
    <cellStyle name="Normal 2 2 2 3 6 5 8" xfId="18945" xr:uid="{00000000-0005-0000-0000-0000014A0000}"/>
    <cellStyle name="Normal 2 2 2 3 6 5 9" xfId="18946" xr:uid="{00000000-0005-0000-0000-0000024A0000}"/>
    <cellStyle name="Normal 2 2 2 3 6 6" xfId="18947" xr:uid="{00000000-0005-0000-0000-0000034A0000}"/>
    <cellStyle name="Normal 2 2 2 3 6 7" xfId="18948" xr:uid="{00000000-0005-0000-0000-0000044A0000}"/>
    <cellStyle name="Normal 2 2 2 3 6 8" xfId="18949" xr:uid="{00000000-0005-0000-0000-0000054A0000}"/>
    <cellStyle name="Normal 2 2 2 3 6 9" xfId="18950" xr:uid="{00000000-0005-0000-0000-0000064A0000}"/>
    <cellStyle name="Normal 2 2 2 3 7" xfId="18951" xr:uid="{00000000-0005-0000-0000-0000074A0000}"/>
    <cellStyle name="Normal 2 2 2 3 7 10" xfId="18952" xr:uid="{00000000-0005-0000-0000-0000084A0000}"/>
    <cellStyle name="Normal 2 2 2 3 7 11" xfId="18953" xr:uid="{00000000-0005-0000-0000-0000094A0000}"/>
    <cellStyle name="Normal 2 2 2 3 7 12" xfId="18954" xr:uid="{00000000-0005-0000-0000-00000A4A0000}"/>
    <cellStyle name="Normal 2 2 2 3 7 13" xfId="18955" xr:uid="{00000000-0005-0000-0000-00000B4A0000}"/>
    <cellStyle name="Normal 2 2 2 3 7 14" xfId="18956" xr:uid="{00000000-0005-0000-0000-00000C4A0000}"/>
    <cellStyle name="Normal 2 2 2 3 7 15" xfId="18957" xr:uid="{00000000-0005-0000-0000-00000D4A0000}"/>
    <cellStyle name="Normal 2 2 2 3 7 2" xfId="18958" xr:uid="{00000000-0005-0000-0000-00000E4A0000}"/>
    <cellStyle name="Normal 2 2 2 3 7 2 10" xfId="18959" xr:uid="{00000000-0005-0000-0000-00000F4A0000}"/>
    <cellStyle name="Normal 2 2 2 3 7 2 2" xfId="18960" xr:uid="{00000000-0005-0000-0000-0000104A0000}"/>
    <cellStyle name="Normal 2 2 2 3 7 2 3" xfId="18961" xr:uid="{00000000-0005-0000-0000-0000114A0000}"/>
    <cellStyle name="Normal 2 2 2 3 7 2 4" xfId="18962" xr:uid="{00000000-0005-0000-0000-0000124A0000}"/>
    <cellStyle name="Normal 2 2 2 3 7 2 5" xfId="18963" xr:uid="{00000000-0005-0000-0000-0000134A0000}"/>
    <cellStyle name="Normal 2 2 2 3 7 2 6" xfId="18964" xr:uid="{00000000-0005-0000-0000-0000144A0000}"/>
    <cellStyle name="Normal 2 2 2 3 7 2 7" xfId="18965" xr:uid="{00000000-0005-0000-0000-0000154A0000}"/>
    <cellStyle name="Normal 2 2 2 3 7 2 8" xfId="18966" xr:uid="{00000000-0005-0000-0000-0000164A0000}"/>
    <cellStyle name="Normal 2 2 2 3 7 2 9" xfId="18967" xr:uid="{00000000-0005-0000-0000-0000174A0000}"/>
    <cellStyle name="Normal 2 2 2 3 7 3" xfId="18968" xr:uid="{00000000-0005-0000-0000-0000184A0000}"/>
    <cellStyle name="Normal 2 2 2 3 7 3 10" xfId="18969" xr:uid="{00000000-0005-0000-0000-0000194A0000}"/>
    <cellStyle name="Normal 2 2 2 3 7 3 2" xfId="18970" xr:uid="{00000000-0005-0000-0000-00001A4A0000}"/>
    <cellStyle name="Normal 2 2 2 3 7 3 3" xfId="18971" xr:uid="{00000000-0005-0000-0000-00001B4A0000}"/>
    <cellStyle name="Normal 2 2 2 3 7 3 4" xfId="18972" xr:uid="{00000000-0005-0000-0000-00001C4A0000}"/>
    <cellStyle name="Normal 2 2 2 3 7 3 5" xfId="18973" xr:uid="{00000000-0005-0000-0000-00001D4A0000}"/>
    <cellStyle name="Normal 2 2 2 3 7 3 6" xfId="18974" xr:uid="{00000000-0005-0000-0000-00001E4A0000}"/>
    <cellStyle name="Normal 2 2 2 3 7 3 7" xfId="18975" xr:uid="{00000000-0005-0000-0000-00001F4A0000}"/>
    <cellStyle name="Normal 2 2 2 3 7 3 8" xfId="18976" xr:uid="{00000000-0005-0000-0000-0000204A0000}"/>
    <cellStyle name="Normal 2 2 2 3 7 3 9" xfId="18977" xr:uid="{00000000-0005-0000-0000-0000214A0000}"/>
    <cellStyle name="Normal 2 2 2 3 7 4" xfId="18978" xr:uid="{00000000-0005-0000-0000-0000224A0000}"/>
    <cellStyle name="Normal 2 2 2 3 7 4 10" xfId="18979" xr:uid="{00000000-0005-0000-0000-0000234A0000}"/>
    <cellStyle name="Normal 2 2 2 3 7 4 2" xfId="18980" xr:uid="{00000000-0005-0000-0000-0000244A0000}"/>
    <cellStyle name="Normal 2 2 2 3 7 4 3" xfId="18981" xr:uid="{00000000-0005-0000-0000-0000254A0000}"/>
    <cellStyle name="Normal 2 2 2 3 7 4 4" xfId="18982" xr:uid="{00000000-0005-0000-0000-0000264A0000}"/>
    <cellStyle name="Normal 2 2 2 3 7 4 5" xfId="18983" xr:uid="{00000000-0005-0000-0000-0000274A0000}"/>
    <cellStyle name="Normal 2 2 2 3 7 4 6" xfId="18984" xr:uid="{00000000-0005-0000-0000-0000284A0000}"/>
    <cellStyle name="Normal 2 2 2 3 7 4 7" xfId="18985" xr:uid="{00000000-0005-0000-0000-0000294A0000}"/>
    <cellStyle name="Normal 2 2 2 3 7 4 8" xfId="18986" xr:uid="{00000000-0005-0000-0000-00002A4A0000}"/>
    <cellStyle name="Normal 2 2 2 3 7 4 9" xfId="18987" xr:uid="{00000000-0005-0000-0000-00002B4A0000}"/>
    <cellStyle name="Normal 2 2 2 3 7 5" xfId="18988" xr:uid="{00000000-0005-0000-0000-00002C4A0000}"/>
    <cellStyle name="Normal 2 2 2 3 7 5 10" xfId="18989" xr:uid="{00000000-0005-0000-0000-00002D4A0000}"/>
    <cellStyle name="Normal 2 2 2 3 7 5 2" xfId="18990" xr:uid="{00000000-0005-0000-0000-00002E4A0000}"/>
    <cellStyle name="Normal 2 2 2 3 7 5 3" xfId="18991" xr:uid="{00000000-0005-0000-0000-00002F4A0000}"/>
    <cellStyle name="Normal 2 2 2 3 7 5 4" xfId="18992" xr:uid="{00000000-0005-0000-0000-0000304A0000}"/>
    <cellStyle name="Normal 2 2 2 3 7 5 5" xfId="18993" xr:uid="{00000000-0005-0000-0000-0000314A0000}"/>
    <cellStyle name="Normal 2 2 2 3 7 5 6" xfId="18994" xr:uid="{00000000-0005-0000-0000-0000324A0000}"/>
    <cellStyle name="Normal 2 2 2 3 7 5 7" xfId="18995" xr:uid="{00000000-0005-0000-0000-0000334A0000}"/>
    <cellStyle name="Normal 2 2 2 3 7 5 8" xfId="18996" xr:uid="{00000000-0005-0000-0000-0000344A0000}"/>
    <cellStyle name="Normal 2 2 2 3 7 5 9" xfId="18997" xr:uid="{00000000-0005-0000-0000-0000354A0000}"/>
    <cellStyle name="Normal 2 2 2 3 7 6" xfId="18998" xr:uid="{00000000-0005-0000-0000-0000364A0000}"/>
    <cellStyle name="Normal 2 2 2 3 7 7" xfId="18999" xr:uid="{00000000-0005-0000-0000-0000374A0000}"/>
    <cellStyle name="Normal 2 2 2 3 7 8" xfId="19000" xr:uid="{00000000-0005-0000-0000-0000384A0000}"/>
    <cellStyle name="Normal 2 2 2 3 7 9" xfId="19001" xr:uid="{00000000-0005-0000-0000-0000394A0000}"/>
    <cellStyle name="Normal 2 2 2 3 8" xfId="19002" xr:uid="{00000000-0005-0000-0000-00003A4A0000}"/>
    <cellStyle name="Normal 2 2 2 3 8 10" xfId="19003" xr:uid="{00000000-0005-0000-0000-00003B4A0000}"/>
    <cellStyle name="Normal 2 2 2 3 8 11" xfId="19004" xr:uid="{00000000-0005-0000-0000-00003C4A0000}"/>
    <cellStyle name="Normal 2 2 2 3 8 12" xfId="19005" xr:uid="{00000000-0005-0000-0000-00003D4A0000}"/>
    <cellStyle name="Normal 2 2 2 3 8 13" xfId="19006" xr:uid="{00000000-0005-0000-0000-00003E4A0000}"/>
    <cellStyle name="Normal 2 2 2 3 8 14" xfId="19007" xr:uid="{00000000-0005-0000-0000-00003F4A0000}"/>
    <cellStyle name="Normal 2 2 2 3 8 2" xfId="19008" xr:uid="{00000000-0005-0000-0000-0000404A0000}"/>
    <cellStyle name="Normal 2 2 2 3 8 2 10" xfId="19009" xr:uid="{00000000-0005-0000-0000-0000414A0000}"/>
    <cellStyle name="Normal 2 2 2 3 8 2 2" xfId="19010" xr:uid="{00000000-0005-0000-0000-0000424A0000}"/>
    <cellStyle name="Normal 2 2 2 3 8 2 3" xfId="19011" xr:uid="{00000000-0005-0000-0000-0000434A0000}"/>
    <cellStyle name="Normal 2 2 2 3 8 2 4" xfId="19012" xr:uid="{00000000-0005-0000-0000-0000444A0000}"/>
    <cellStyle name="Normal 2 2 2 3 8 2 5" xfId="19013" xr:uid="{00000000-0005-0000-0000-0000454A0000}"/>
    <cellStyle name="Normal 2 2 2 3 8 2 6" xfId="19014" xr:uid="{00000000-0005-0000-0000-0000464A0000}"/>
    <cellStyle name="Normal 2 2 2 3 8 2 7" xfId="19015" xr:uid="{00000000-0005-0000-0000-0000474A0000}"/>
    <cellStyle name="Normal 2 2 2 3 8 2 8" xfId="19016" xr:uid="{00000000-0005-0000-0000-0000484A0000}"/>
    <cellStyle name="Normal 2 2 2 3 8 2 9" xfId="19017" xr:uid="{00000000-0005-0000-0000-0000494A0000}"/>
    <cellStyle name="Normal 2 2 2 3 8 3" xfId="19018" xr:uid="{00000000-0005-0000-0000-00004A4A0000}"/>
    <cellStyle name="Normal 2 2 2 3 8 3 10" xfId="19019" xr:uid="{00000000-0005-0000-0000-00004B4A0000}"/>
    <cellStyle name="Normal 2 2 2 3 8 3 2" xfId="19020" xr:uid="{00000000-0005-0000-0000-00004C4A0000}"/>
    <cellStyle name="Normal 2 2 2 3 8 3 3" xfId="19021" xr:uid="{00000000-0005-0000-0000-00004D4A0000}"/>
    <cellStyle name="Normal 2 2 2 3 8 3 4" xfId="19022" xr:uid="{00000000-0005-0000-0000-00004E4A0000}"/>
    <cellStyle name="Normal 2 2 2 3 8 3 5" xfId="19023" xr:uid="{00000000-0005-0000-0000-00004F4A0000}"/>
    <cellStyle name="Normal 2 2 2 3 8 3 6" xfId="19024" xr:uid="{00000000-0005-0000-0000-0000504A0000}"/>
    <cellStyle name="Normal 2 2 2 3 8 3 7" xfId="19025" xr:uid="{00000000-0005-0000-0000-0000514A0000}"/>
    <cellStyle name="Normal 2 2 2 3 8 3 8" xfId="19026" xr:uid="{00000000-0005-0000-0000-0000524A0000}"/>
    <cellStyle name="Normal 2 2 2 3 8 3 9" xfId="19027" xr:uid="{00000000-0005-0000-0000-0000534A0000}"/>
    <cellStyle name="Normal 2 2 2 3 8 4" xfId="19028" xr:uid="{00000000-0005-0000-0000-0000544A0000}"/>
    <cellStyle name="Normal 2 2 2 3 8 4 10" xfId="19029" xr:uid="{00000000-0005-0000-0000-0000554A0000}"/>
    <cellStyle name="Normal 2 2 2 3 8 4 2" xfId="19030" xr:uid="{00000000-0005-0000-0000-0000564A0000}"/>
    <cellStyle name="Normal 2 2 2 3 8 4 3" xfId="19031" xr:uid="{00000000-0005-0000-0000-0000574A0000}"/>
    <cellStyle name="Normal 2 2 2 3 8 4 4" xfId="19032" xr:uid="{00000000-0005-0000-0000-0000584A0000}"/>
    <cellStyle name="Normal 2 2 2 3 8 4 5" xfId="19033" xr:uid="{00000000-0005-0000-0000-0000594A0000}"/>
    <cellStyle name="Normal 2 2 2 3 8 4 6" xfId="19034" xr:uid="{00000000-0005-0000-0000-00005A4A0000}"/>
    <cellStyle name="Normal 2 2 2 3 8 4 7" xfId="19035" xr:uid="{00000000-0005-0000-0000-00005B4A0000}"/>
    <cellStyle name="Normal 2 2 2 3 8 4 8" xfId="19036" xr:uid="{00000000-0005-0000-0000-00005C4A0000}"/>
    <cellStyle name="Normal 2 2 2 3 8 4 9" xfId="19037" xr:uid="{00000000-0005-0000-0000-00005D4A0000}"/>
    <cellStyle name="Normal 2 2 2 3 8 5" xfId="19038" xr:uid="{00000000-0005-0000-0000-00005E4A0000}"/>
    <cellStyle name="Normal 2 2 2 3 8 5 10" xfId="19039" xr:uid="{00000000-0005-0000-0000-00005F4A0000}"/>
    <cellStyle name="Normal 2 2 2 3 8 5 2" xfId="19040" xr:uid="{00000000-0005-0000-0000-0000604A0000}"/>
    <cellStyle name="Normal 2 2 2 3 8 5 3" xfId="19041" xr:uid="{00000000-0005-0000-0000-0000614A0000}"/>
    <cellStyle name="Normal 2 2 2 3 8 5 4" xfId="19042" xr:uid="{00000000-0005-0000-0000-0000624A0000}"/>
    <cellStyle name="Normal 2 2 2 3 8 5 5" xfId="19043" xr:uid="{00000000-0005-0000-0000-0000634A0000}"/>
    <cellStyle name="Normal 2 2 2 3 8 5 6" xfId="19044" xr:uid="{00000000-0005-0000-0000-0000644A0000}"/>
    <cellStyle name="Normal 2 2 2 3 8 5 7" xfId="19045" xr:uid="{00000000-0005-0000-0000-0000654A0000}"/>
    <cellStyle name="Normal 2 2 2 3 8 5 8" xfId="19046" xr:uid="{00000000-0005-0000-0000-0000664A0000}"/>
    <cellStyle name="Normal 2 2 2 3 8 5 9" xfId="19047" xr:uid="{00000000-0005-0000-0000-0000674A0000}"/>
    <cellStyle name="Normal 2 2 2 3 8 6" xfId="19048" xr:uid="{00000000-0005-0000-0000-0000684A0000}"/>
    <cellStyle name="Normal 2 2 2 3 8 7" xfId="19049" xr:uid="{00000000-0005-0000-0000-0000694A0000}"/>
    <cellStyle name="Normal 2 2 2 3 8 8" xfId="19050" xr:uid="{00000000-0005-0000-0000-00006A4A0000}"/>
    <cellStyle name="Normal 2 2 2 3 8 9" xfId="19051" xr:uid="{00000000-0005-0000-0000-00006B4A0000}"/>
    <cellStyle name="Normal 2 2 2 3 9" xfId="19052" xr:uid="{00000000-0005-0000-0000-00006C4A0000}"/>
    <cellStyle name="Normal 2 2 2 3 9 10" xfId="19053" xr:uid="{00000000-0005-0000-0000-00006D4A0000}"/>
    <cellStyle name="Normal 2 2 2 3 9 11" xfId="19054" xr:uid="{00000000-0005-0000-0000-00006E4A0000}"/>
    <cellStyle name="Normal 2 2 2 3 9 12" xfId="19055" xr:uid="{00000000-0005-0000-0000-00006F4A0000}"/>
    <cellStyle name="Normal 2 2 2 3 9 13" xfId="19056" xr:uid="{00000000-0005-0000-0000-0000704A0000}"/>
    <cellStyle name="Normal 2 2 2 3 9 14" xfId="19057" xr:uid="{00000000-0005-0000-0000-0000714A0000}"/>
    <cellStyle name="Normal 2 2 2 3 9 2" xfId="19058" xr:uid="{00000000-0005-0000-0000-0000724A0000}"/>
    <cellStyle name="Normal 2 2 2 3 9 2 10" xfId="19059" xr:uid="{00000000-0005-0000-0000-0000734A0000}"/>
    <cellStyle name="Normal 2 2 2 3 9 2 2" xfId="19060" xr:uid="{00000000-0005-0000-0000-0000744A0000}"/>
    <cellStyle name="Normal 2 2 2 3 9 2 3" xfId="19061" xr:uid="{00000000-0005-0000-0000-0000754A0000}"/>
    <cellStyle name="Normal 2 2 2 3 9 2 4" xfId="19062" xr:uid="{00000000-0005-0000-0000-0000764A0000}"/>
    <cellStyle name="Normal 2 2 2 3 9 2 5" xfId="19063" xr:uid="{00000000-0005-0000-0000-0000774A0000}"/>
    <cellStyle name="Normal 2 2 2 3 9 2 6" xfId="19064" xr:uid="{00000000-0005-0000-0000-0000784A0000}"/>
    <cellStyle name="Normal 2 2 2 3 9 2 7" xfId="19065" xr:uid="{00000000-0005-0000-0000-0000794A0000}"/>
    <cellStyle name="Normal 2 2 2 3 9 2 8" xfId="19066" xr:uid="{00000000-0005-0000-0000-00007A4A0000}"/>
    <cellStyle name="Normal 2 2 2 3 9 2 9" xfId="19067" xr:uid="{00000000-0005-0000-0000-00007B4A0000}"/>
    <cellStyle name="Normal 2 2 2 3 9 3" xfId="19068" xr:uid="{00000000-0005-0000-0000-00007C4A0000}"/>
    <cellStyle name="Normal 2 2 2 3 9 3 10" xfId="19069" xr:uid="{00000000-0005-0000-0000-00007D4A0000}"/>
    <cellStyle name="Normal 2 2 2 3 9 3 2" xfId="19070" xr:uid="{00000000-0005-0000-0000-00007E4A0000}"/>
    <cellStyle name="Normal 2 2 2 3 9 3 3" xfId="19071" xr:uid="{00000000-0005-0000-0000-00007F4A0000}"/>
    <cellStyle name="Normal 2 2 2 3 9 3 4" xfId="19072" xr:uid="{00000000-0005-0000-0000-0000804A0000}"/>
    <cellStyle name="Normal 2 2 2 3 9 3 5" xfId="19073" xr:uid="{00000000-0005-0000-0000-0000814A0000}"/>
    <cellStyle name="Normal 2 2 2 3 9 3 6" xfId="19074" xr:uid="{00000000-0005-0000-0000-0000824A0000}"/>
    <cellStyle name="Normal 2 2 2 3 9 3 7" xfId="19075" xr:uid="{00000000-0005-0000-0000-0000834A0000}"/>
    <cellStyle name="Normal 2 2 2 3 9 3 8" xfId="19076" xr:uid="{00000000-0005-0000-0000-0000844A0000}"/>
    <cellStyle name="Normal 2 2 2 3 9 3 9" xfId="19077" xr:uid="{00000000-0005-0000-0000-0000854A0000}"/>
    <cellStyle name="Normal 2 2 2 3 9 4" xfId="19078" xr:uid="{00000000-0005-0000-0000-0000864A0000}"/>
    <cellStyle name="Normal 2 2 2 3 9 4 10" xfId="19079" xr:uid="{00000000-0005-0000-0000-0000874A0000}"/>
    <cellStyle name="Normal 2 2 2 3 9 4 2" xfId="19080" xr:uid="{00000000-0005-0000-0000-0000884A0000}"/>
    <cellStyle name="Normal 2 2 2 3 9 4 3" xfId="19081" xr:uid="{00000000-0005-0000-0000-0000894A0000}"/>
    <cellStyle name="Normal 2 2 2 3 9 4 4" xfId="19082" xr:uid="{00000000-0005-0000-0000-00008A4A0000}"/>
    <cellStyle name="Normal 2 2 2 3 9 4 5" xfId="19083" xr:uid="{00000000-0005-0000-0000-00008B4A0000}"/>
    <cellStyle name="Normal 2 2 2 3 9 4 6" xfId="19084" xr:uid="{00000000-0005-0000-0000-00008C4A0000}"/>
    <cellStyle name="Normal 2 2 2 3 9 4 7" xfId="19085" xr:uid="{00000000-0005-0000-0000-00008D4A0000}"/>
    <cellStyle name="Normal 2 2 2 3 9 4 8" xfId="19086" xr:uid="{00000000-0005-0000-0000-00008E4A0000}"/>
    <cellStyle name="Normal 2 2 2 3 9 4 9" xfId="19087" xr:uid="{00000000-0005-0000-0000-00008F4A0000}"/>
    <cellStyle name="Normal 2 2 2 3 9 5" xfId="19088" xr:uid="{00000000-0005-0000-0000-0000904A0000}"/>
    <cellStyle name="Normal 2 2 2 3 9 5 10" xfId="19089" xr:uid="{00000000-0005-0000-0000-0000914A0000}"/>
    <cellStyle name="Normal 2 2 2 3 9 5 2" xfId="19090" xr:uid="{00000000-0005-0000-0000-0000924A0000}"/>
    <cellStyle name="Normal 2 2 2 3 9 5 3" xfId="19091" xr:uid="{00000000-0005-0000-0000-0000934A0000}"/>
    <cellStyle name="Normal 2 2 2 3 9 5 4" xfId="19092" xr:uid="{00000000-0005-0000-0000-0000944A0000}"/>
    <cellStyle name="Normal 2 2 2 3 9 5 5" xfId="19093" xr:uid="{00000000-0005-0000-0000-0000954A0000}"/>
    <cellStyle name="Normal 2 2 2 3 9 5 6" xfId="19094" xr:uid="{00000000-0005-0000-0000-0000964A0000}"/>
    <cellStyle name="Normal 2 2 2 3 9 5 7" xfId="19095" xr:uid="{00000000-0005-0000-0000-0000974A0000}"/>
    <cellStyle name="Normal 2 2 2 3 9 5 8" xfId="19096" xr:uid="{00000000-0005-0000-0000-0000984A0000}"/>
    <cellStyle name="Normal 2 2 2 3 9 5 9" xfId="19097" xr:uid="{00000000-0005-0000-0000-0000994A0000}"/>
    <cellStyle name="Normal 2 2 2 3 9 6" xfId="19098" xr:uid="{00000000-0005-0000-0000-00009A4A0000}"/>
    <cellStyle name="Normal 2 2 2 3 9 7" xfId="19099" xr:uid="{00000000-0005-0000-0000-00009B4A0000}"/>
    <cellStyle name="Normal 2 2 2 3 9 8" xfId="19100" xr:uid="{00000000-0005-0000-0000-00009C4A0000}"/>
    <cellStyle name="Normal 2 2 2 3 9 9" xfId="19101" xr:uid="{00000000-0005-0000-0000-00009D4A0000}"/>
    <cellStyle name="Normal 2 2 2 30" xfId="19102" xr:uid="{00000000-0005-0000-0000-00009E4A0000}"/>
    <cellStyle name="Normal 2 2 2 30 10" xfId="19103" xr:uid="{00000000-0005-0000-0000-00009F4A0000}"/>
    <cellStyle name="Normal 2 2 2 30 11" xfId="19104" xr:uid="{00000000-0005-0000-0000-0000A04A0000}"/>
    <cellStyle name="Normal 2 2 2 30 12" xfId="19105" xr:uid="{00000000-0005-0000-0000-0000A14A0000}"/>
    <cellStyle name="Normal 2 2 2 30 13" xfId="19106" xr:uid="{00000000-0005-0000-0000-0000A24A0000}"/>
    <cellStyle name="Normal 2 2 2 30 14" xfId="19107" xr:uid="{00000000-0005-0000-0000-0000A34A0000}"/>
    <cellStyle name="Normal 2 2 2 30 2" xfId="19108" xr:uid="{00000000-0005-0000-0000-0000A44A0000}"/>
    <cellStyle name="Normal 2 2 2 30 2 10" xfId="19109" xr:uid="{00000000-0005-0000-0000-0000A54A0000}"/>
    <cellStyle name="Normal 2 2 2 30 2 2" xfId="19110" xr:uid="{00000000-0005-0000-0000-0000A64A0000}"/>
    <cellStyle name="Normal 2 2 2 30 2 3" xfId="19111" xr:uid="{00000000-0005-0000-0000-0000A74A0000}"/>
    <cellStyle name="Normal 2 2 2 30 2 4" xfId="19112" xr:uid="{00000000-0005-0000-0000-0000A84A0000}"/>
    <cellStyle name="Normal 2 2 2 30 2 5" xfId="19113" xr:uid="{00000000-0005-0000-0000-0000A94A0000}"/>
    <cellStyle name="Normal 2 2 2 30 2 6" xfId="19114" xr:uid="{00000000-0005-0000-0000-0000AA4A0000}"/>
    <cellStyle name="Normal 2 2 2 30 2 7" xfId="19115" xr:uid="{00000000-0005-0000-0000-0000AB4A0000}"/>
    <cellStyle name="Normal 2 2 2 30 2 8" xfId="19116" xr:uid="{00000000-0005-0000-0000-0000AC4A0000}"/>
    <cellStyle name="Normal 2 2 2 30 2 9" xfId="19117" xr:uid="{00000000-0005-0000-0000-0000AD4A0000}"/>
    <cellStyle name="Normal 2 2 2 30 3" xfId="19118" xr:uid="{00000000-0005-0000-0000-0000AE4A0000}"/>
    <cellStyle name="Normal 2 2 2 30 3 10" xfId="19119" xr:uid="{00000000-0005-0000-0000-0000AF4A0000}"/>
    <cellStyle name="Normal 2 2 2 30 3 2" xfId="19120" xr:uid="{00000000-0005-0000-0000-0000B04A0000}"/>
    <cellStyle name="Normal 2 2 2 30 3 3" xfId="19121" xr:uid="{00000000-0005-0000-0000-0000B14A0000}"/>
    <cellStyle name="Normal 2 2 2 30 3 4" xfId="19122" xr:uid="{00000000-0005-0000-0000-0000B24A0000}"/>
    <cellStyle name="Normal 2 2 2 30 3 5" xfId="19123" xr:uid="{00000000-0005-0000-0000-0000B34A0000}"/>
    <cellStyle name="Normal 2 2 2 30 3 6" xfId="19124" xr:uid="{00000000-0005-0000-0000-0000B44A0000}"/>
    <cellStyle name="Normal 2 2 2 30 3 7" xfId="19125" xr:uid="{00000000-0005-0000-0000-0000B54A0000}"/>
    <cellStyle name="Normal 2 2 2 30 3 8" xfId="19126" xr:uid="{00000000-0005-0000-0000-0000B64A0000}"/>
    <cellStyle name="Normal 2 2 2 30 3 9" xfId="19127" xr:uid="{00000000-0005-0000-0000-0000B74A0000}"/>
    <cellStyle name="Normal 2 2 2 30 4" xfId="19128" xr:uid="{00000000-0005-0000-0000-0000B84A0000}"/>
    <cellStyle name="Normal 2 2 2 30 4 10" xfId="19129" xr:uid="{00000000-0005-0000-0000-0000B94A0000}"/>
    <cellStyle name="Normal 2 2 2 30 4 2" xfId="19130" xr:uid="{00000000-0005-0000-0000-0000BA4A0000}"/>
    <cellStyle name="Normal 2 2 2 30 4 3" xfId="19131" xr:uid="{00000000-0005-0000-0000-0000BB4A0000}"/>
    <cellStyle name="Normal 2 2 2 30 4 4" xfId="19132" xr:uid="{00000000-0005-0000-0000-0000BC4A0000}"/>
    <cellStyle name="Normal 2 2 2 30 4 5" xfId="19133" xr:uid="{00000000-0005-0000-0000-0000BD4A0000}"/>
    <cellStyle name="Normal 2 2 2 30 4 6" xfId="19134" xr:uid="{00000000-0005-0000-0000-0000BE4A0000}"/>
    <cellStyle name="Normal 2 2 2 30 4 7" xfId="19135" xr:uid="{00000000-0005-0000-0000-0000BF4A0000}"/>
    <cellStyle name="Normal 2 2 2 30 4 8" xfId="19136" xr:uid="{00000000-0005-0000-0000-0000C04A0000}"/>
    <cellStyle name="Normal 2 2 2 30 4 9" xfId="19137" xr:uid="{00000000-0005-0000-0000-0000C14A0000}"/>
    <cellStyle name="Normal 2 2 2 30 5" xfId="19138" xr:uid="{00000000-0005-0000-0000-0000C24A0000}"/>
    <cellStyle name="Normal 2 2 2 30 5 10" xfId="19139" xr:uid="{00000000-0005-0000-0000-0000C34A0000}"/>
    <cellStyle name="Normal 2 2 2 30 5 2" xfId="19140" xr:uid="{00000000-0005-0000-0000-0000C44A0000}"/>
    <cellStyle name="Normal 2 2 2 30 5 3" xfId="19141" xr:uid="{00000000-0005-0000-0000-0000C54A0000}"/>
    <cellStyle name="Normal 2 2 2 30 5 4" xfId="19142" xr:uid="{00000000-0005-0000-0000-0000C64A0000}"/>
    <cellStyle name="Normal 2 2 2 30 5 5" xfId="19143" xr:uid="{00000000-0005-0000-0000-0000C74A0000}"/>
    <cellStyle name="Normal 2 2 2 30 5 6" xfId="19144" xr:uid="{00000000-0005-0000-0000-0000C84A0000}"/>
    <cellStyle name="Normal 2 2 2 30 5 7" xfId="19145" xr:uid="{00000000-0005-0000-0000-0000C94A0000}"/>
    <cellStyle name="Normal 2 2 2 30 5 8" xfId="19146" xr:uid="{00000000-0005-0000-0000-0000CA4A0000}"/>
    <cellStyle name="Normal 2 2 2 30 5 9" xfId="19147" xr:uid="{00000000-0005-0000-0000-0000CB4A0000}"/>
    <cellStyle name="Normal 2 2 2 30 6" xfId="19148" xr:uid="{00000000-0005-0000-0000-0000CC4A0000}"/>
    <cellStyle name="Normal 2 2 2 30 7" xfId="19149" xr:uid="{00000000-0005-0000-0000-0000CD4A0000}"/>
    <cellStyle name="Normal 2 2 2 30 8" xfId="19150" xr:uid="{00000000-0005-0000-0000-0000CE4A0000}"/>
    <cellStyle name="Normal 2 2 2 30 9" xfId="19151" xr:uid="{00000000-0005-0000-0000-0000CF4A0000}"/>
    <cellStyle name="Normal 2 2 2 31" xfId="19152" xr:uid="{00000000-0005-0000-0000-0000D04A0000}"/>
    <cellStyle name="Normal 2 2 2 31 10" xfId="19153" xr:uid="{00000000-0005-0000-0000-0000D14A0000}"/>
    <cellStyle name="Normal 2 2 2 31 11" xfId="19154" xr:uid="{00000000-0005-0000-0000-0000D24A0000}"/>
    <cellStyle name="Normal 2 2 2 31 12" xfId="19155" xr:uid="{00000000-0005-0000-0000-0000D34A0000}"/>
    <cellStyle name="Normal 2 2 2 31 13" xfId="19156" xr:uid="{00000000-0005-0000-0000-0000D44A0000}"/>
    <cellStyle name="Normal 2 2 2 31 14" xfId="19157" xr:uid="{00000000-0005-0000-0000-0000D54A0000}"/>
    <cellStyle name="Normal 2 2 2 31 2" xfId="19158" xr:uid="{00000000-0005-0000-0000-0000D64A0000}"/>
    <cellStyle name="Normal 2 2 2 31 2 10" xfId="19159" xr:uid="{00000000-0005-0000-0000-0000D74A0000}"/>
    <cellStyle name="Normal 2 2 2 31 2 2" xfId="19160" xr:uid="{00000000-0005-0000-0000-0000D84A0000}"/>
    <cellStyle name="Normal 2 2 2 31 2 3" xfId="19161" xr:uid="{00000000-0005-0000-0000-0000D94A0000}"/>
    <cellStyle name="Normal 2 2 2 31 2 4" xfId="19162" xr:uid="{00000000-0005-0000-0000-0000DA4A0000}"/>
    <cellStyle name="Normal 2 2 2 31 2 5" xfId="19163" xr:uid="{00000000-0005-0000-0000-0000DB4A0000}"/>
    <cellStyle name="Normal 2 2 2 31 2 6" xfId="19164" xr:uid="{00000000-0005-0000-0000-0000DC4A0000}"/>
    <cellStyle name="Normal 2 2 2 31 2 7" xfId="19165" xr:uid="{00000000-0005-0000-0000-0000DD4A0000}"/>
    <cellStyle name="Normal 2 2 2 31 2 8" xfId="19166" xr:uid="{00000000-0005-0000-0000-0000DE4A0000}"/>
    <cellStyle name="Normal 2 2 2 31 2 9" xfId="19167" xr:uid="{00000000-0005-0000-0000-0000DF4A0000}"/>
    <cellStyle name="Normal 2 2 2 31 3" xfId="19168" xr:uid="{00000000-0005-0000-0000-0000E04A0000}"/>
    <cellStyle name="Normal 2 2 2 31 3 10" xfId="19169" xr:uid="{00000000-0005-0000-0000-0000E14A0000}"/>
    <cellStyle name="Normal 2 2 2 31 3 2" xfId="19170" xr:uid="{00000000-0005-0000-0000-0000E24A0000}"/>
    <cellStyle name="Normal 2 2 2 31 3 3" xfId="19171" xr:uid="{00000000-0005-0000-0000-0000E34A0000}"/>
    <cellStyle name="Normal 2 2 2 31 3 4" xfId="19172" xr:uid="{00000000-0005-0000-0000-0000E44A0000}"/>
    <cellStyle name="Normal 2 2 2 31 3 5" xfId="19173" xr:uid="{00000000-0005-0000-0000-0000E54A0000}"/>
    <cellStyle name="Normal 2 2 2 31 3 6" xfId="19174" xr:uid="{00000000-0005-0000-0000-0000E64A0000}"/>
    <cellStyle name="Normal 2 2 2 31 3 7" xfId="19175" xr:uid="{00000000-0005-0000-0000-0000E74A0000}"/>
    <cellStyle name="Normal 2 2 2 31 3 8" xfId="19176" xr:uid="{00000000-0005-0000-0000-0000E84A0000}"/>
    <cellStyle name="Normal 2 2 2 31 3 9" xfId="19177" xr:uid="{00000000-0005-0000-0000-0000E94A0000}"/>
    <cellStyle name="Normal 2 2 2 31 4" xfId="19178" xr:uid="{00000000-0005-0000-0000-0000EA4A0000}"/>
    <cellStyle name="Normal 2 2 2 31 4 10" xfId="19179" xr:uid="{00000000-0005-0000-0000-0000EB4A0000}"/>
    <cellStyle name="Normal 2 2 2 31 4 2" xfId="19180" xr:uid="{00000000-0005-0000-0000-0000EC4A0000}"/>
    <cellStyle name="Normal 2 2 2 31 4 3" xfId="19181" xr:uid="{00000000-0005-0000-0000-0000ED4A0000}"/>
    <cellStyle name="Normal 2 2 2 31 4 4" xfId="19182" xr:uid="{00000000-0005-0000-0000-0000EE4A0000}"/>
    <cellStyle name="Normal 2 2 2 31 4 5" xfId="19183" xr:uid="{00000000-0005-0000-0000-0000EF4A0000}"/>
    <cellStyle name="Normal 2 2 2 31 4 6" xfId="19184" xr:uid="{00000000-0005-0000-0000-0000F04A0000}"/>
    <cellStyle name="Normal 2 2 2 31 4 7" xfId="19185" xr:uid="{00000000-0005-0000-0000-0000F14A0000}"/>
    <cellStyle name="Normal 2 2 2 31 4 8" xfId="19186" xr:uid="{00000000-0005-0000-0000-0000F24A0000}"/>
    <cellStyle name="Normal 2 2 2 31 4 9" xfId="19187" xr:uid="{00000000-0005-0000-0000-0000F34A0000}"/>
    <cellStyle name="Normal 2 2 2 31 5" xfId="19188" xr:uid="{00000000-0005-0000-0000-0000F44A0000}"/>
    <cellStyle name="Normal 2 2 2 31 5 10" xfId="19189" xr:uid="{00000000-0005-0000-0000-0000F54A0000}"/>
    <cellStyle name="Normal 2 2 2 31 5 2" xfId="19190" xr:uid="{00000000-0005-0000-0000-0000F64A0000}"/>
    <cellStyle name="Normal 2 2 2 31 5 3" xfId="19191" xr:uid="{00000000-0005-0000-0000-0000F74A0000}"/>
    <cellStyle name="Normal 2 2 2 31 5 4" xfId="19192" xr:uid="{00000000-0005-0000-0000-0000F84A0000}"/>
    <cellStyle name="Normal 2 2 2 31 5 5" xfId="19193" xr:uid="{00000000-0005-0000-0000-0000F94A0000}"/>
    <cellStyle name="Normal 2 2 2 31 5 6" xfId="19194" xr:uid="{00000000-0005-0000-0000-0000FA4A0000}"/>
    <cellStyle name="Normal 2 2 2 31 5 7" xfId="19195" xr:uid="{00000000-0005-0000-0000-0000FB4A0000}"/>
    <cellStyle name="Normal 2 2 2 31 5 8" xfId="19196" xr:uid="{00000000-0005-0000-0000-0000FC4A0000}"/>
    <cellStyle name="Normal 2 2 2 31 5 9" xfId="19197" xr:uid="{00000000-0005-0000-0000-0000FD4A0000}"/>
    <cellStyle name="Normal 2 2 2 31 6" xfId="19198" xr:uid="{00000000-0005-0000-0000-0000FE4A0000}"/>
    <cellStyle name="Normal 2 2 2 31 7" xfId="19199" xr:uid="{00000000-0005-0000-0000-0000FF4A0000}"/>
    <cellStyle name="Normal 2 2 2 31 8" xfId="19200" xr:uid="{00000000-0005-0000-0000-0000004B0000}"/>
    <cellStyle name="Normal 2 2 2 31 9" xfId="19201" xr:uid="{00000000-0005-0000-0000-0000014B0000}"/>
    <cellStyle name="Normal 2 2 2 32" xfId="19202" xr:uid="{00000000-0005-0000-0000-0000024B0000}"/>
    <cellStyle name="Normal 2 2 2 32 10" xfId="19203" xr:uid="{00000000-0005-0000-0000-0000034B0000}"/>
    <cellStyle name="Normal 2 2 2 32 11" xfId="19204" xr:uid="{00000000-0005-0000-0000-0000044B0000}"/>
    <cellStyle name="Normal 2 2 2 32 12" xfId="19205" xr:uid="{00000000-0005-0000-0000-0000054B0000}"/>
    <cellStyle name="Normal 2 2 2 32 13" xfId="19206" xr:uid="{00000000-0005-0000-0000-0000064B0000}"/>
    <cellStyle name="Normal 2 2 2 32 14" xfId="19207" xr:uid="{00000000-0005-0000-0000-0000074B0000}"/>
    <cellStyle name="Normal 2 2 2 32 2" xfId="19208" xr:uid="{00000000-0005-0000-0000-0000084B0000}"/>
    <cellStyle name="Normal 2 2 2 32 2 10" xfId="19209" xr:uid="{00000000-0005-0000-0000-0000094B0000}"/>
    <cellStyle name="Normal 2 2 2 32 2 2" xfId="19210" xr:uid="{00000000-0005-0000-0000-00000A4B0000}"/>
    <cellStyle name="Normal 2 2 2 32 2 3" xfId="19211" xr:uid="{00000000-0005-0000-0000-00000B4B0000}"/>
    <cellStyle name="Normal 2 2 2 32 2 4" xfId="19212" xr:uid="{00000000-0005-0000-0000-00000C4B0000}"/>
    <cellStyle name="Normal 2 2 2 32 2 5" xfId="19213" xr:uid="{00000000-0005-0000-0000-00000D4B0000}"/>
    <cellStyle name="Normal 2 2 2 32 2 6" xfId="19214" xr:uid="{00000000-0005-0000-0000-00000E4B0000}"/>
    <cellStyle name="Normal 2 2 2 32 2 7" xfId="19215" xr:uid="{00000000-0005-0000-0000-00000F4B0000}"/>
    <cellStyle name="Normal 2 2 2 32 2 8" xfId="19216" xr:uid="{00000000-0005-0000-0000-0000104B0000}"/>
    <cellStyle name="Normal 2 2 2 32 2 9" xfId="19217" xr:uid="{00000000-0005-0000-0000-0000114B0000}"/>
    <cellStyle name="Normal 2 2 2 32 3" xfId="19218" xr:uid="{00000000-0005-0000-0000-0000124B0000}"/>
    <cellStyle name="Normal 2 2 2 32 3 10" xfId="19219" xr:uid="{00000000-0005-0000-0000-0000134B0000}"/>
    <cellStyle name="Normal 2 2 2 32 3 2" xfId="19220" xr:uid="{00000000-0005-0000-0000-0000144B0000}"/>
    <cellStyle name="Normal 2 2 2 32 3 3" xfId="19221" xr:uid="{00000000-0005-0000-0000-0000154B0000}"/>
    <cellStyle name="Normal 2 2 2 32 3 4" xfId="19222" xr:uid="{00000000-0005-0000-0000-0000164B0000}"/>
    <cellStyle name="Normal 2 2 2 32 3 5" xfId="19223" xr:uid="{00000000-0005-0000-0000-0000174B0000}"/>
    <cellStyle name="Normal 2 2 2 32 3 6" xfId="19224" xr:uid="{00000000-0005-0000-0000-0000184B0000}"/>
    <cellStyle name="Normal 2 2 2 32 3 7" xfId="19225" xr:uid="{00000000-0005-0000-0000-0000194B0000}"/>
    <cellStyle name="Normal 2 2 2 32 3 8" xfId="19226" xr:uid="{00000000-0005-0000-0000-00001A4B0000}"/>
    <cellStyle name="Normal 2 2 2 32 3 9" xfId="19227" xr:uid="{00000000-0005-0000-0000-00001B4B0000}"/>
    <cellStyle name="Normal 2 2 2 32 4" xfId="19228" xr:uid="{00000000-0005-0000-0000-00001C4B0000}"/>
    <cellStyle name="Normal 2 2 2 32 4 10" xfId="19229" xr:uid="{00000000-0005-0000-0000-00001D4B0000}"/>
    <cellStyle name="Normal 2 2 2 32 4 2" xfId="19230" xr:uid="{00000000-0005-0000-0000-00001E4B0000}"/>
    <cellStyle name="Normal 2 2 2 32 4 3" xfId="19231" xr:uid="{00000000-0005-0000-0000-00001F4B0000}"/>
    <cellStyle name="Normal 2 2 2 32 4 4" xfId="19232" xr:uid="{00000000-0005-0000-0000-0000204B0000}"/>
    <cellStyle name="Normal 2 2 2 32 4 5" xfId="19233" xr:uid="{00000000-0005-0000-0000-0000214B0000}"/>
    <cellStyle name="Normal 2 2 2 32 4 6" xfId="19234" xr:uid="{00000000-0005-0000-0000-0000224B0000}"/>
    <cellStyle name="Normal 2 2 2 32 4 7" xfId="19235" xr:uid="{00000000-0005-0000-0000-0000234B0000}"/>
    <cellStyle name="Normal 2 2 2 32 4 8" xfId="19236" xr:uid="{00000000-0005-0000-0000-0000244B0000}"/>
    <cellStyle name="Normal 2 2 2 32 4 9" xfId="19237" xr:uid="{00000000-0005-0000-0000-0000254B0000}"/>
    <cellStyle name="Normal 2 2 2 32 5" xfId="19238" xr:uid="{00000000-0005-0000-0000-0000264B0000}"/>
    <cellStyle name="Normal 2 2 2 32 5 10" xfId="19239" xr:uid="{00000000-0005-0000-0000-0000274B0000}"/>
    <cellStyle name="Normal 2 2 2 32 5 2" xfId="19240" xr:uid="{00000000-0005-0000-0000-0000284B0000}"/>
    <cellStyle name="Normal 2 2 2 32 5 3" xfId="19241" xr:uid="{00000000-0005-0000-0000-0000294B0000}"/>
    <cellStyle name="Normal 2 2 2 32 5 4" xfId="19242" xr:uid="{00000000-0005-0000-0000-00002A4B0000}"/>
    <cellStyle name="Normal 2 2 2 32 5 5" xfId="19243" xr:uid="{00000000-0005-0000-0000-00002B4B0000}"/>
    <cellStyle name="Normal 2 2 2 32 5 6" xfId="19244" xr:uid="{00000000-0005-0000-0000-00002C4B0000}"/>
    <cellStyle name="Normal 2 2 2 32 5 7" xfId="19245" xr:uid="{00000000-0005-0000-0000-00002D4B0000}"/>
    <cellStyle name="Normal 2 2 2 32 5 8" xfId="19246" xr:uid="{00000000-0005-0000-0000-00002E4B0000}"/>
    <cellStyle name="Normal 2 2 2 32 5 9" xfId="19247" xr:uid="{00000000-0005-0000-0000-00002F4B0000}"/>
    <cellStyle name="Normal 2 2 2 32 6" xfId="19248" xr:uid="{00000000-0005-0000-0000-0000304B0000}"/>
    <cellStyle name="Normal 2 2 2 32 7" xfId="19249" xr:uid="{00000000-0005-0000-0000-0000314B0000}"/>
    <cellStyle name="Normal 2 2 2 32 8" xfId="19250" xr:uid="{00000000-0005-0000-0000-0000324B0000}"/>
    <cellStyle name="Normal 2 2 2 32 9" xfId="19251" xr:uid="{00000000-0005-0000-0000-0000334B0000}"/>
    <cellStyle name="Normal 2 2 2 33" xfId="19252" xr:uid="{00000000-0005-0000-0000-0000344B0000}"/>
    <cellStyle name="Normal 2 2 2 33 10" xfId="19253" xr:uid="{00000000-0005-0000-0000-0000354B0000}"/>
    <cellStyle name="Normal 2 2 2 33 11" xfId="19254" xr:uid="{00000000-0005-0000-0000-0000364B0000}"/>
    <cellStyle name="Normal 2 2 2 33 12" xfId="19255" xr:uid="{00000000-0005-0000-0000-0000374B0000}"/>
    <cellStyle name="Normal 2 2 2 33 13" xfId="19256" xr:uid="{00000000-0005-0000-0000-0000384B0000}"/>
    <cellStyle name="Normal 2 2 2 33 14" xfId="19257" xr:uid="{00000000-0005-0000-0000-0000394B0000}"/>
    <cellStyle name="Normal 2 2 2 33 2" xfId="19258" xr:uid="{00000000-0005-0000-0000-00003A4B0000}"/>
    <cellStyle name="Normal 2 2 2 33 2 10" xfId="19259" xr:uid="{00000000-0005-0000-0000-00003B4B0000}"/>
    <cellStyle name="Normal 2 2 2 33 2 2" xfId="19260" xr:uid="{00000000-0005-0000-0000-00003C4B0000}"/>
    <cellStyle name="Normal 2 2 2 33 2 3" xfId="19261" xr:uid="{00000000-0005-0000-0000-00003D4B0000}"/>
    <cellStyle name="Normal 2 2 2 33 2 4" xfId="19262" xr:uid="{00000000-0005-0000-0000-00003E4B0000}"/>
    <cellStyle name="Normal 2 2 2 33 2 5" xfId="19263" xr:uid="{00000000-0005-0000-0000-00003F4B0000}"/>
    <cellStyle name="Normal 2 2 2 33 2 6" xfId="19264" xr:uid="{00000000-0005-0000-0000-0000404B0000}"/>
    <cellStyle name="Normal 2 2 2 33 2 7" xfId="19265" xr:uid="{00000000-0005-0000-0000-0000414B0000}"/>
    <cellStyle name="Normal 2 2 2 33 2 8" xfId="19266" xr:uid="{00000000-0005-0000-0000-0000424B0000}"/>
    <cellStyle name="Normal 2 2 2 33 2 9" xfId="19267" xr:uid="{00000000-0005-0000-0000-0000434B0000}"/>
    <cellStyle name="Normal 2 2 2 33 3" xfId="19268" xr:uid="{00000000-0005-0000-0000-0000444B0000}"/>
    <cellStyle name="Normal 2 2 2 33 3 10" xfId="19269" xr:uid="{00000000-0005-0000-0000-0000454B0000}"/>
    <cellStyle name="Normal 2 2 2 33 3 2" xfId="19270" xr:uid="{00000000-0005-0000-0000-0000464B0000}"/>
    <cellStyle name="Normal 2 2 2 33 3 3" xfId="19271" xr:uid="{00000000-0005-0000-0000-0000474B0000}"/>
    <cellStyle name="Normal 2 2 2 33 3 4" xfId="19272" xr:uid="{00000000-0005-0000-0000-0000484B0000}"/>
    <cellStyle name="Normal 2 2 2 33 3 5" xfId="19273" xr:uid="{00000000-0005-0000-0000-0000494B0000}"/>
    <cellStyle name="Normal 2 2 2 33 3 6" xfId="19274" xr:uid="{00000000-0005-0000-0000-00004A4B0000}"/>
    <cellStyle name="Normal 2 2 2 33 3 7" xfId="19275" xr:uid="{00000000-0005-0000-0000-00004B4B0000}"/>
    <cellStyle name="Normal 2 2 2 33 3 8" xfId="19276" xr:uid="{00000000-0005-0000-0000-00004C4B0000}"/>
    <cellStyle name="Normal 2 2 2 33 3 9" xfId="19277" xr:uid="{00000000-0005-0000-0000-00004D4B0000}"/>
    <cellStyle name="Normal 2 2 2 33 4" xfId="19278" xr:uid="{00000000-0005-0000-0000-00004E4B0000}"/>
    <cellStyle name="Normal 2 2 2 33 4 10" xfId="19279" xr:uid="{00000000-0005-0000-0000-00004F4B0000}"/>
    <cellStyle name="Normal 2 2 2 33 4 2" xfId="19280" xr:uid="{00000000-0005-0000-0000-0000504B0000}"/>
    <cellStyle name="Normal 2 2 2 33 4 3" xfId="19281" xr:uid="{00000000-0005-0000-0000-0000514B0000}"/>
    <cellStyle name="Normal 2 2 2 33 4 4" xfId="19282" xr:uid="{00000000-0005-0000-0000-0000524B0000}"/>
    <cellStyle name="Normal 2 2 2 33 4 5" xfId="19283" xr:uid="{00000000-0005-0000-0000-0000534B0000}"/>
    <cellStyle name="Normal 2 2 2 33 4 6" xfId="19284" xr:uid="{00000000-0005-0000-0000-0000544B0000}"/>
    <cellStyle name="Normal 2 2 2 33 4 7" xfId="19285" xr:uid="{00000000-0005-0000-0000-0000554B0000}"/>
    <cellStyle name="Normal 2 2 2 33 4 8" xfId="19286" xr:uid="{00000000-0005-0000-0000-0000564B0000}"/>
    <cellStyle name="Normal 2 2 2 33 4 9" xfId="19287" xr:uid="{00000000-0005-0000-0000-0000574B0000}"/>
    <cellStyle name="Normal 2 2 2 33 5" xfId="19288" xr:uid="{00000000-0005-0000-0000-0000584B0000}"/>
    <cellStyle name="Normal 2 2 2 33 5 10" xfId="19289" xr:uid="{00000000-0005-0000-0000-0000594B0000}"/>
    <cellStyle name="Normal 2 2 2 33 5 2" xfId="19290" xr:uid="{00000000-0005-0000-0000-00005A4B0000}"/>
    <cellStyle name="Normal 2 2 2 33 5 3" xfId="19291" xr:uid="{00000000-0005-0000-0000-00005B4B0000}"/>
    <cellStyle name="Normal 2 2 2 33 5 4" xfId="19292" xr:uid="{00000000-0005-0000-0000-00005C4B0000}"/>
    <cellStyle name="Normal 2 2 2 33 5 5" xfId="19293" xr:uid="{00000000-0005-0000-0000-00005D4B0000}"/>
    <cellStyle name="Normal 2 2 2 33 5 6" xfId="19294" xr:uid="{00000000-0005-0000-0000-00005E4B0000}"/>
    <cellStyle name="Normal 2 2 2 33 5 7" xfId="19295" xr:uid="{00000000-0005-0000-0000-00005F4B0000}"/>
    <cellStyle name="Normal 2 2 2 33 5 8" xfId="19296" xr:uid="{00000000-0005-0000-0000-0000604B0000}"/>
    <cellStyle name="Normal 2 2 2 33 5 9" xfId="19297" xr:uid="{00000000-0005-0000-0000-0000614B0000}"/>
    <cellStyle name="Normal 2 2 2 33 6" xfId="19298" xr:uid="{00000000-0005-0000-0000-0000624B0000}"/>
    <cellStyle name="Normal 2 2 2 33 7" xfId="19299" xr:uid="{00000000-0005-0000-0000-0000634B0000}"/>
    <cellStyle name="Normal 2 2 2 33 8" xfId="19300" xr:uid="{00000000-0005-0000-0000-0000644B0000}"/>
    <cellStyle name="Normal 2 2 2 33 9" xfId="19301" xr:uid="{00000000-0005-0000-0000-0000654B0000}"/>
    <cellStyle name="Normal 2 2 2 34" xfId="19302" xr:uid="{00000000-0005-0000-0000-0000664B0000}"/>
    <cellStyle name="Normal 2 2 2 34 10" xfId="19303" xr:uid="{00000000-0005-0000-0000-0000674B0000}"/>
    <cellStyle name="Normal 2 2 2 34 11" xfId="19304" xr:uid="{00000000-0005-0000-0000-0000684B0000}"/>
    <cellStyle name="Normal 2 2 2 34 12" xfId="19305" xr:uid="{00000000-0005-0000-0000-0000694B0000}"/>
    <cellStyle name="Normal 2 2 2 34 13" xfId="19306" xr:uid="{00000000-0005-0000-0000-00006A4B0000}"/>
    <cellStyle name="Normal 2 2 2 34 14" xfId="19307" xr:uid="{00000000-0005-0000-0000-00006B4B0000}"/>
    <cellStyle name="Normal 2 2 2 34 2" xfId="19308" xr:uid="{00000000-0005-0000-0000-00006C4B0000}"/>
    <cellStyle name="Normal 2 2 2 34 2 10" xfId="19309" xr:uid="{00000000-0005-0000-0000-00006D4B0000}"/>
    <cellStyle name="Normal 2 2 2 34 2 2" xfId="19310" xr:uid="{00000000-0005-0000-0000-00006E4B0000}"/>
    <cellStyle name="Normal 2 2 2 34 2 3" xfId="19311" xr:uid="{00000000-0005-0000-0000-00006F4B0000}"/>
    <cellStyle name="Normal 2 2 2 34 2 4" xfId="19312" xr:uid="{00000000-0005-0000-0000-0000704B0000}"/>
    <cellStyle name="Normal 2 2 2 34 2 5" xfId="19313" xr:uid="{00000000-0005-0000-0000-0000714B0000}"/>
    <cellStyle name="Normal 2 2 2 34 2 6" xfId="19314" xr:uid="{00000000-0005-0000-0000-0000724B0000}"/>
    <cellStyle name="Normal 2 2 2 34 2 7" xfId="19315" xr:uid="{00000000-0005-0000-0000-0000734B0000}"/>
    <cellStyle name="Normal 2 2 2 34 2 8" xfId="19316" xr:uid="{00000000-0005-0000-0000-0000744B0000}"/>
    <cellStyle name="Normal 2 2 2 34 2 9" xfId="19317" xr:uid="{00000000-0005-0000-0000-0000754B0000}"/>
    <cellStyle name="Normal 2 2 2 34 3" xfId="19318" xr:uid="{00000000-0005-0000-0000-0000764B0000}"/>
    <cellStyle name="Normal 2 2 2 34 3 10" xfId="19319" xr:uid="{00000000-0005-0000-0000-0000774B0000}"/>
    <cellStyle name="Normal 2 2 2 34 3 2" xfId="19320" xr:uid="{00000000-0005-0000-0000-0000784B0000}"/>
    <cellStyle name="Normal 2 2 2 34 3 3" xfId="19321" xr:uid="{00000000-0005-0000-0000-0000794B0000}"/>
    <cellStyle name="Normal 2 2 2 34 3 4" xfId="19322" xr:uid="{00000000-0005-0000-0000-00007A4B0000}"/>
    <cellStyle name="Normal 2 2 2 34 3 5" xfId="19323" xr:uid="{00000000-0005-0000-0000-00007B4B0000}"/>
    <cellStyle name="Normal 2 2 2 34 3 6" xfId="19324" xr:uid="{00000000-0005-0000-0000-00007C4B0000}"/>
    <cellStyle name="Normal 2 2 2 34 3 7" xfId="19325" xr:uid="{00000000-0005-0000-0000-00007D4B0000}"/>
    <cellStyle name="Normal 2 2 2 34 3 8" xfId="19326" xr:uid="{00000000-0005-0000-0000-00007E4B0000}"/>
    <cellStyle name="Normal 2 2 2 34 3 9" xfId="19327" xr:uid="{00000000-0005-0000-0000-00007F4B0000}"/>
    <cellStyle name="Normal 2 2 2 34 4" xfId="19328" xr:uid="{00000000-0005-0000-0000-0000804B0000}"/>
    <cellStyle name="Normal 2 2 2 34 4 10" xfId="19329" xr:uid="{00000000-0005-0000-0000-0000814B0000}"/>
    <cellStyle name="Normal 2 2 2 34 4 2" xfId="19330" xr:uid="{00000000-0005-0000-0000-0000824B0000}"/>
    <cellStyle name="Normal 2 2 2 34 4 3" xfId="19331" xr:uid="{00000000-0005-0000-0000-0000834B0000}"/>
    <cellStyle name="Normal 2 2 2 34 4 4" xfId="19332" xr:uid="{00000000-0005-0000-0000-0000844B0000}"/>
    <cellStyle name="Normal 2 2 2 34 4 5" xfId="19333" xr:uid="{00000000-0005-0000-0000-0000854B0000}"/>
    <cellStyle name="Normal 2 2 2 34 4 6" xfId="19334" xr:uid="{00000000-0005-0000-0000-0000864B0000}"/>
    <cellStyle name="Normal 2 2 2 34 4 7" xfId="19335" xr:uid="{00000000-0005-0000-0000-0000874B0000}"/>
    <cellStyle name="Normal 2 2 2 34 4 8" xfId="19336" xr:uid="{00000000-0005-0000-0000-0000884B0000}"/>
    <cellStyle name="Normal 2 2 2 34 4 9" xfId="19337" xr:uid="{00000000-0005-0000-0000-0000894B0000}"/>
    <cellStyle name="Normal 2 2 2 34 5" xfId="19338" xr:uid="{00000000-0005-0000-0000-00008A4B0000}"/>
    <cellStyle name="Normal 2 2 2 34 5 10" xfId="19339" xr:uid="{00000000-0005-0000-0000-00008B4B0000}"/>
    <cellStyle name="Normal 2 2 2 34 5 2" xfId="19340" xr:uid="{00000000-0005-0000-0000-00008C4B0000}"/>
    <cellStyle name="Normal 2 2 2 34 5 3" xfId="19341" xr:uid="{00000000-0005-0000-0000-00008D4B0000}"/>
    <cellStyle name="Normal 2 2 2 34 5 4" xfId="19342" xr:uid="{00000000-0005-0000-0000-00008E4B0000}"/>
    <cellStyle name="Normal 2 2 2 34 5 5" xfId="19343" xr:uid="{00000000-0005-0000-0000-00008F4B0000}"/>
    <cellStyle name="Normal 2 2 2 34 5 6" xfId="19344" xr:uid="{00000000-0005-0000-0000-0000904B0000}"/>
    <cellStyle name="Normal 2 2 2 34 5 7" xfId="19345" xr:uid="{00000000-0005-0000-0000-0000914B0000}"/>
    <cellStyle name="Normal 2 2 2 34 5 8" xfId="19346" xr:uid="{00000000-0005-0000-0000-0000924B0000}"/>
    <cellStyle name="Normal 2 2 2 34 5 9" xfId="19347" xr:uid="{00000000-0005-0000-0000-0000934B0000}"/>
    <cellStyle name="Normal 2 2 2 34 6" xfId="19348" xr:uid="{00000000-0005-0000-0000-0000944B0000}"/>
    <cellStyle name="Normal 2 2 2 34 7" xfId="19349" xr:uid="{00000000-0005-0000-0000-0000954B0000}"/>
    <cellStyle name="Normal 2 2 2 34 8" xfId="19350" xr:uid="{00000000-0005-0000-0000-0000964B0000}"/>
    <cellStyle name="Normal 2 2 2 34 9" xfId="19351" xr:uid="{00000000-0005-0000-0000-0000974B0000}"/>
    <cellStyle name="Normal 2 2 2 35" xfId="19352" xr:uid="{00000000-0005-0000-0000-0000984B0000}"/>
    <cellStyle name="Normal 2 2 2 35 10" xfId="19353" xr:uid="{00000000-0005-0000-0000-0000994B0000}"/>
    <cellStyle name="Normal 2 2 2 35 11" xfId="19354" xr:uid="{00000000-0005-0000-0000-00009A4B0000}"/>
    <cellStyle name="Normal 2 2 2 35 12" xfId="19355" xr:uid="{00000000-0005-0000-0000-00009B4B0000}"/>
    <cellStyle name="Normal 2 2 2 35 13" xfId="19356" xr:uid="{00000000-0005-0000-0000-00009C4B0000}"/>
    <cellStyle name="Normal 2 2 2 35 14" xfId="19357" xr:uid="{00000000-0005-0000-0000-00009D4B0000}"/>
    <cellStyle name="Normal 2 2 2 35 2" xfId="19358" xr:uid="{00000000-0005-0000-0000-00009E4B0000}"/>
    <cellStyle name="Normal 2 2 2 35 2 10" xfId="19359" xr:uid="{00000000-0005-0000-0000-00009F4B0000}"/>
    <cellStyle name="Normal 2 2 2 35 2 2" xfId="19360" xr:uid="{00000000-0005-0000-0000-0000A04B0000}"/>
    <cellStyle name="Normal 2 2 2 35 2 3" xfId="19361" xr:uid="{00000000-0005-0000-0000-0000A14B0000}"/>
    <cellStyle name="Normal 2 2 2 35 2 4" xfId="19362" xr:uid="{00000000-0005-0000-0000-0000A24B0000}"/>
    <cellStyle name="Normal 2 2 2 35 2 5" xfId="19363" xr:uid="{00000000-0005-0000-0000-0000A34B0000}"/>
    <cellStyle name="Normal 2 2 2 35 2 6" xfId="19364" xr:uid="{00000000-0005-0000-0000-0000A44B0000}"/>
    <cellStyle name="Normal 2 2 2 35 2 7" xfId="19365" xr:uid="{00000000-0005-0000-0000-0000A54B0000}"/>
    <cellStyle name="Normal 2 2 2 35 2 8" xfId="19366" xr:uid="{00000000-0005-0000-0000-0000A64B0000}"/>
    <cellStyle name="Normal 2 2 2 35 2 9" xfId="19367" xr:uid="{00000000-0005-0000-0000-0000A74B0000}"/>
    <cellStyle name="Normal 2 2 2 35 3" xfId="19368" xr:uid="{00000000-0005-0000-0000-0000A84B0000}"/>
    <cellStyle name="Normal 2 2 2 35 3 10" xfId="19369" xr:uid="{00000000-0005-0000-0000-0000A94B0000}"/>
    <cellStyle name="Normal 2 2 2 35 3 2" xfId="19370" xr:uid="{00000000-0005-0000-0000-0000AA4B0000}"/>
    <cellStyle name="Normal 2 2 2 35 3 3" xfId="19371" xr:uid="{00000000-0005-0000-0000-0000AB4B0000}"/>
    <cellStyle name="Normal 2 2 2 35 3 4" xfId="19372" xr:uid="{00000000-0005-0000-0000-0000AC4B0000}"/>
    <cellStyle name="Normal 2 2 2 35 3 5" xfId="19373" xr:uid="{00000000-0005-0000-0000-0000AD4B0000}"/>
    <cellStyle name="Normal 2 2 2 35 3 6" xfId="19374" xr:uid="{00000000-0005-0000-0000-0000AE4B0000}"/>
    <cellStyle name="Normal 2 2 2 35 3 7" xfId="19375" xr:uid="{00000000-0005-0000-0000-0000AF4B0000}"/>
    <cellStyle name="Normal 2 2 2 35 3 8" xfId="19376" xr:uid="{00000000-0005-0000-0000-0000B04B0000}"/>
    <cellStyle name="Normal 2 2 2 35 3 9" xfId="19377" xr:uid="{00000000-0005-0000-0000-0000B14B0000}"/>
    <cellStyle name="Normal 2 2 2 35 4" xfId="19378" xr:uid="{00000000-0005-0000-0000-0000B24B0000}"/>
    <cellStyle name="Normal 2 2 2 35 4 10" xfId="19379" xr:uid="{00000000-0005-0000-0000-0000B34B0000}"/>
    <cellStyle name="Normal 2 2 2 35 4 2" xfId="19380" xr:uid="{00000000-0005-0000-0000-0000B44B0000}"/>
    <cellStyle name="Normal 2 2 2 35 4 3" xfId="19381" xr:uid="{00000000-0005-0000-0000-0000B54B0000}"/>
    <cellStyle name="Normal 2 2 2 35 4 4" xfId="19382" xr:uid="{00000000-0005-0000-0000-0000B64B0000}"/>
    <cellStyle name="Normal 2 2 2 35 4 5" xfId="19383" xr:uid="{00000000-0005-0000-0000-0000B74B0000}"/>
    <cellStyle name="Normal 2 2 2 35 4 6" xfId="19384" xr:uid="{00000000-0005-0000-0000-0000B84B0000}"/>
    <cellStyle name="Normal 2 2 2 35 4 7" xfId="19385" xr:uid="{00000000-0005-0000-0000-0000B94B0000}"/>
    <cellStyle name="Normal 2 2 2 35 4 8" xfId="19386" xr:uid="{00000000-0005-0000-0000-0000BA4B0000}"/>
    <cellStyle name="Normal 2 2 2 35 4 9" xfId="19387" xr:uid="{00000000-0005-0000-0000-0000BB4B0000}"/>
    <cellStyle name="Normal 2 2 2 35 5" xfId="19388" xr:uid="{00000000-0005-0000-0000-0000BC4B0000}"/>
    <cellStyle name="Normal 2 2 2 35 5 10" xfId="19389" xr:uid="{00000000-0005-0000-0000-0000BD4B0000}"/>
    <cellStyle name="Normal 2 2 2 35 5 2" xfId="19390" xr:uid="{00000000-0005-0000-0000-0000BE4B0000}"/>
    <cellStyle name="Normal 2 2 2 35 5 3" xfId="19391" xr:uid="{00000000-0005-0000-0000-0000BF4B0000}"/>
    <cellStyle name="Normal 2 2 2 35 5 4" xfId="19392" xr:uid="{00000000-0005-0000-0000-0000C04B0000}"/>
    <cellStyle name="Normal 2 2 2 35 5 5" xfId="19393" xr:uid="{00000000-0005-0000-0000-0000C14B0000}"/>
    <cellStyle name="Normal 2 2 2 35 5 6" xfId="19394" xr:uid="{00000000-0005-0000-0000-0000C24B0000}"/>
    <cellStyle name="Normal 2 2 2 35 5 7" xfId="19395" xr:uid="{00000000-0005-0000-0000-0000C34B0000}"/>
    <cellStyle name="Normal 2 2 2 35 5 8" xfId="19396" xr:uid="{00000000-0005-0000-0000-0000C44B0000}"/>
    <cellStyle name="Normal 2 2 2 35 5 9" xfId="19397" xr:uid="{00000000-0005-0000-0000-0000C54B0000}"/>
    <cellStyle name="Normal 2 2 2 35 6" xfId="19398" xr:uid="{00000000-0005-0000-0000-0000C64B0000}"/>
    <cellStyle name="Normal 2 2 2 35 7" xfId="19399" xr:uid="{00000000-0005-0000-0000-0000C74B0000}"/>
    <cellStyle name="Normal 2 2 2 35 8" xfId="19400" xr:uid="{00000000-0005-0000-0000-0000C84B0000}"/>
    <cellStyle name="Normal 2 2 2 35 9" xfId="19401" xr:uid="{00000000-0005-0000-0000-0000C94B0000}"/>
    <cellStyle name="Normal 2 2 2 36" xfId="19402" xr:uid="{00000000-0005-0000-0000-0000CA4B0000}"/>
    <cellStyle name="Normal 2 2 2 36 10" xfId="19403" xr:uid="{00000000-0005-0000-0000-0000CB4B0000}"/>
    <cellStyle name="Normal 2 2 2 36 2" xfId="19404" xr:uid="{00000000-0005-0000-0000-0000CC4B0000}"/>
    <cellStyle name="Normal 2 2 2 36 3" xfId="19405" xr:uid="{00000000-0005-0000-0000-0000CD4B0000}"/>
    <cellStyle name="Normal 2 2 2 36 4" xfId="19406" xr:uid="{00000000-0005-0000-0000-0000CE4B0000}"/>
    <cellStyle name="Normal 2 2 2 36 5" xfId="19407" xr:uid="{00000000-0005-0000-0000-0000CF4B0000}"/>
    <cellStyle name="Normal 2 2 2 36 6" xfId="19408" xr:uid="{00000000-0005-0000-0000-0000D04B0000}"/>
    <cellStyle name="Normal 2 2 2 36 7" xfId="19409" xr:uid="{00000000-0005-0000-0000-0000D14B0000}"/>
    <cellStyle name="Normal 2 2 2 36 8" xfId="19410" xr:uid="{00000000-0005-0000-0000-0000D24B0000}"/>
    <cellStyle name="Normal 2 2 2 36 9" xfId="19411" xr:uid="{00000000-0005-0000-0000-0000D34B0000}"/>
    <cellStyle name="Normal 2 2 2 37" xfId="19412" xr:uid="{00000000-0005-0000-0000-0000D44B0000}"/>
    <cellStyle name="Normal 2 2 2 37 10" xfId="19413" xr:uid="{00000000-0005-0000-0000-0000D54B0000}"/>
    <cellStyle name="Normal 2 2 2 37 2" xfId="19414" xr:uid="{00000000-0005-0000-0000-0000D64B0000}"/>
    <cellStyle name="Normal 2 2 2 37 3" xfId="19415" xr:uid="{00000000-0005-0000-0000-0000D74B0000}"/>
    <cellStyle name="Normal 2 2 2 37 4" xfId="19416" xr:uid="{00000000-0005-0000-0000-0000D84B0000}"/>
    <cellStyle name="Normal 2 2 2 37 5" xfId="19417" xr:uid="{00000000-0005-0000-0000-0000D94B0000}"/>
    <cellStyle name="Normal 2 2 2 37 6" xfId="19418" xr:uid="{00000000-0005-0000-0000-0000DA4B0000}"/>
    <cellStyle name="Normal 2 2 2 37 7" xfId="19419" xr:uid="{00000000-0005-0000-0000-0000DB4B0000}"/>
    <cellStyle name="Normal 2 2 2 37 8" xfId="19420" xr:uid="{00000000-0005-0000-0000-0000DC4B0000}"/>
    <cellStyle name="Normal 2 2 2 37 9" xfId="19421" xr:uid="{00000000-0005-0000-0000-0000DD4B0000}"/>
    <cellStyle name="Normal 2 2 2 38" xfId="19422" xr:uid="{00000000-0005-0000-0000-0000DE4B0000}"/>
    <cellStyle name="Normal 2 2 2 38 10" xfId="19423" xr:uid="{00000000-0005-0000-0000-0000DF4B0000}"/>
    <cellStyle name="Normal 2 2 2 38 2" xfId="19424" xr:uid="{00000000-0005-0000-0000-0000E04B0000}"/>
    <cellStyle name="Normal 2 2 2 38 3" xfId="19425" xr:uid="{00000000-0005-0000-0000-0000E14B0000}"/>
    <cellStyle name="Normal 2 2 2 38 4" xfId="19426" xr:uid="{00000000-0005-0000-0000-0000E24B0000}"/>
    <cellStyle name="Normal 2 2 2 38 5" xfId="19427" xr:uid="{00000000-0005-0000-0000-0000E34B0000}"/>
    <cellStyle name="Normal 2 2 2 38 6" xfId="19428" xr:uid="{00000000-0005-0000-0000-0000E44B0000}"/>
    <cellStyle name="Normal 2 2 2 38 7" xfId="19429" xr:uid="{00000000-0005-0000-0000-0000E54B0000}"/>
    <cellStyle name="Normal 2 2 2 38 8" xfId="19430" xr:uid="{00000000-0005-0000-0000-0000E64B0000}"/>
    <cellStyle name="Normal 2 2 2 38 9" xfId="19431" xr:uid="{00000000-0005-0000-0000-0000E74B0000}"/>
    <cellStyle name="Normal 2 2 2 39" xfId="19432" xr:uid="{00000000-0005-0000-0000-0000E84B0000}"/>
    <cellStyle name="Normal 2 2 2 39 10" xfId="19433" xr:uid="{00000000-0005-0000-0000-0000E94B0000}"/>
    <cellStyle name="Normal 2 2 2 39 2" xfId="19434" xr:uid="{00000000-0005-0000-0000-0000EA4B0000}"/>
    <cellStyle name="Normal 2 2 2 39 3" xfId="19435" xr:uid="{00000000-0005-0000-0000-0000EB4B0000}"/>
    <cellStyle name="Normal 2 2 2 39 4" xfId="19436" xr:uid="{00000000-0005-0000-0000-0000EC4B0000}"/>
    <cellStyle name="Normal 2 2 2 39 5" xfId="19437" xr:uid="{00000000-0005-0000-0000-0000ED4B0000}"/>
    <cellStyle name="Normal 2 2 2 39 6" xfId="19438" xr:uid="{00000000-0005-0000-0000-0000EE4B0000}"/>
    <cellStyle name="Normal 2 2 2 39 7" xfId="19439" xr:uid="{00000000-0005-0000-0000-0000EF4B0000}"/>
    <cellStyle name="Normal 2 2 2 39 8" xfId="19440" xr:uid="{00000000-0005-0000-0000-0000F04B0000}"/>
    <cellStyle name="Normal 2 2 2 39 9" xfId="19441" xr:uid="{00000000-0005-0000-0000-0000F14B0000}"/>
    <cellStyle name="Normal 2 2 2 4" xfId="19442" xr:uid="{00000000-0005-0000-0000-0000F24B0000}"/>
    <cellStyle name="Normal 2 2 2 4 10" xfId="19443" xr:uid="{00000000-0005-0000-0000-0000F34B0000}"/>
    <cellStyle name="Normal 2 2 2 4 11" xfId="19444" xr:uid="{00000000-0005-0000-0000-0000F44B0000}"/>
    <cellStyle name="Normal 2 2 2 4 12" xfId="19445" xr:uid="{00000000-0005-0000-0000-0000F54B0000}"/>
    <cellStyle name="Normal 2 2 2 4 13" xfId="19446" xr:uid="{00000000-0005-0000-0000-0000F64B0000}"/>
    <cellStyle name="Normal 2 2 2 4 14" xfId="19447" xr:uid="{00000000-0005-0000-0000-0000F74B0000}"/>
    <cellStyle name="Normal 2 2 2 4 15" xfId="19448" xr:uid="{00000000-0005-0000-0000-0000F84B0000}"/>
    <cellStyle name="Normal 2 2 2 4 16" xfId="19449" xr:uid="{00000000-0005-0000-0000-0000F94B0000}"/>
    <cellStyle name="Normal 2 2 2 4 17" xfId="19450" xr:uid="{00000000-0005-0000-0000-0000FA4B0000}"/>
    <cellStyle name="Normal 2 2 2 4 18" xfId="19451" xr:uid="{00000000-0005-0000-0000-0000FB4B0000}"/>
    <cellStyle name="Normal 2 2 2 4 19" xfId="19452" xr:uid="{00000000-0005-0000-0000-0000FC4B0000}"/>
    <cellStyle name="Normal 2 2 2 4 2" xfId="19453" xr:uid="{00000000-0005-0000-0000-0000FD4B0000}"/>
    <cellStyle name="Normal 2 2 2 4 2 10" xfId="19454" xr:uid="{00000000-0005-0000-0000-0000FE4B0000}"/>
    <cellStyle name="Normal 2 2 2 4 2 10 10" xfId="19455" xr:uid="{00000000-0005-0000-0000-0000FF4B0000}"/>
    <cellStyle name="Normal 2 2 2 4 2 10 11" xfId="19456" xr:uid="{00000000-0005-0000-0000-0000004C0000}"/>
    <cellStyle name="Normal 2 2 2 4 2 10 12" xfId="19457" xr:uid="{00000000-0005-0000-0000-0000014C0000}"/>
    <cellStyle name="Normal 2 2 2 4 2 10 13" xfId="19458" xr:uid="{00000000-0005-0000-0000-0000024C0000}"/>
    <cellStyle name="Normal 2 2 2 4 2 10 14" xfId="19459" xr:uid="{00000000-0005-0000-0000-0000034C0000}"/>
    <cellStyle name="Normal 2 2 2 4 2 10 2" xfId="19460" xr:uid="{00000000-0005-0000-0000-0000044C0000}"/>
    <cellStyle name="Normal 2 2 2 4 2 10 2 10" xfId="19461" xr:uid="{00000000-0005-0000-0000-0000054C0000}"/>
    <cellStyle name="Normal 2 2 2 4 2 10 2 2" xfId="19462" xr:uid="{00000000-0005-0000-0000-0000064C0000}"/>
    <cellStyle name="Normal 2 2 2 4 2 10 2 3" xfId="19463" xr:uid="{00000000-0005-0000-0000-0000074C0000}"/>
    <cellStyle name="Normal 2 2 2 4 2 10 2 4" xfId="19464" xr:uid="{00000000-0005-0000-0000-0000084C0000}"/>
    <cellStyle name="Normal 2 2 2 4 2 10 2 5" xfId="19465" xr:uid="{00000000-0005-0000-0000-0000094C0000}"/>
    <cellStyle name="Normal 2 2 2 4 2 10 2 6" xfId="19466" xr:uid="{00000000-0005-0000-0000-00000A4C0000}"/>
    <cellStyle name="Normal 2 2 2 4 2 10 2 7" xfId="19467" xr:uid="{00000000-0005-0000-0000-00000B4C0000}"/>
    <cellStyle name="Normal 2 2 2 4 2 10 2 8" xfId="19468" xr:uid="{00000000-0005-0000-0000-00000C4C0000}"/>
    <cellStyle name="Normal 2 2 2 4 2 10 2 9" xfId="19469" xr:uid="{00000000-0005-0000-0000-00000D4C0000}"/>
    <cellStyle name="Normal 2 2 2 4 2 10 3" xfId="19470" xr:uid="{00000000-0005-0000-0000-00000E4C0000}"/>
    <cellStyle name="Normal 2 2 2 4 2 10 3 10" xfId="19471" xr:uid="{00000000-0005-0000-0000-00000F4C0000}"/>
    <cellStyle name="Normal 2 2 2 4 2 10 3 2" xfId="19472" xr:uid="{00000000-0005-0000-0000-0000104C0000}"/>
    <cellStyle name="Normal 2 2 2 4 2 10 3 3" xfId="19473" xr:uid="{00000000-0005-0000-0000-0000114C0000}"/>
    <cellStyle name="Normal 2 2 2 4 2 10 3 4" xfId="19474" xr:uid="{00000000-0005-0000-0000-0000124C0000}"/>
    <cellStyle name="Normal 2 2 2 4 2 10 3 5" xfId="19475" xr:uid="{00000000-0005-0000-0000-0000134C0000}"/>
    <cellStyle name="Normal 2 2 2 4 2 10 3 6" xfId="19476" xr:uid="{00000000-0005-0000-0000-0000144C0000}"/>
    <cellStyle name="Normal 2 2 2 4 2 10 3 7" xfId="19477" xr:uid="{00000000-0005-0000-0000-0000154C0000}"/>
    <cellStyle name="Normal 2 2 2 4 2 10 3 8" xfId="19478" xr:uid="{00000000-0005-0000-0000-0000164C0000}"/>
    <cellStyle name="Normal 2 2 2 4 2 10 3 9" xfId="19479" xr:uid="{00000000-0005-0000-0000-0000174C0000}"/>
    <cellStyle name="Normal 2 2 2 4 2 10 4" xfId="19480" xr:uid="{00000000-0005-0000-0000-0000184C0000}"/>
    <cellStyle name="Normal 2 2 2 4 2 10 4 10" xfId="19481" xr:uid="{00000000-0005-0000-0000-0000194C0000}"/>
    <cellStyle name="Normal 2 2 2 4 2 10 4 2" xfId="19482" xr:uid="{00000000-0005-0000-0000-00001A4C0000}"/>
    <cellStyle name="Normal 2 2 2 4 2 10 4 3" xfId="19483" xr:uid="{00000000-0005-0000-0000-00001B4C0000}"/>
    <cellStyle name="Normal 2 2 2 4 2 10 4 4" xfId="19484" xr:uid="{00000000-0005-0000-0000-00001C4C0000}"/>
    <cellStyle name="Normal 2 2 2 4 2 10 4 5" xfId="19485" xr:uid="{00000000-0005-0000-0000-00001D4C0000}"/>
    <cellStyle name="Normal 2 2 2 4 2 10 4 6" xfId="19486" xr:uid="{00000000-0005-0000-0000-00001E4C0000}"/>
    <cellStyle name="Normal 2 2 2 4 2 10 4 7" xfId="19487" xr:uid="{00000000-0005-0000-0000-00001F4C0000}"/>
    <cellStyle name="Normal 2 2 2 4 2 10 4 8" xfId="19488" xr:uid="{00000000-0005-0000-0000-0000204C0000}"/>
    <cellStyle name="Normal 2 2 2 4 2 10 4 9" xfId="19489" xr:uid="{00000000-0005-0000-0000-0000214C0000}"/>
    <cellStyle name="Normal 2 2 2 4 2 10 5" xfId="19490" xr:uid="{00000000-0005-0000-0000-0000224C0000}"/>
    <cellStyle name="Normal 2 2 2 4 2 10 5 10" xfId="19491" xr:uid="{00000000-0005-0000-0000-0000234C0000}"/>
    <cellStyle name="Normal 2 2 2 4 2 10 5 2" xfId="19492" xr:uid="{00000000-0005-0000-0000-0000244C0000}"/>
    <cellStyle name="Normal 2 2 2 4 2 10 5 3" xfId="19493" xr:uid="{00000000-0005-0000-0000-0000254C0000}"/>
    <cellStyle name="Normal 2 2 2 4 2 10 5 4" xfId="19494" xr:uid="{00000000-0005-0000-0000-0000264C0000}"/>
    <cellStyle name="Normal 2 2 2 4 2 10 5 5" xfId="19495" xr:uid="{00000000-0005-0000-0000-0000274C0000}"/>
    <cellStyle name="Normal 2 2 2 4 2 10 5 6" xfId="19496" xr:uid="{00000000-0005-0000-0000-0000284C0000}"/>
    <cellStyle name="Normal 2 2 2 4 2 10 5 7" xfId="19497" xr:uid="{00000000-0005-0000-0000-0000294C0000}"/>
    <cellStyle name="Normal 2 2 2 4 2 10 5 8" xfId="19498" xr:uid="{00000000-0005-0000-0000-00002A4C0000}"/>
    <cellStyle name="Normal 2 2 2 4 2 10 5 9" xfId="19499" xr:uid="{00000000-0005-0000-0000-00002B4C0000}"/>
    <cellStyle name="Normal 2 2 2 4 2 10 6" xfId="19500" xr:uid="{00000000-0005-0000-0000-00002C4C0000}"/>
    <cellStyle name="Normal 2 2 2 4 2 10 7" xfId="19501" xr:uid="{00000000-0005-0000-0000-00002D4C0000}"/>
    <cellStyle name="Normal 2 2 2 4 2 10 8" xfId="19502" xr:uid="{00000000-0005-0000-0000-00002E4C0000}"/>
    <cellStyle name="Normal 2 2 2 4 2 10 9" xfId="19503" xr:uid="{00000000-0005-0000-0000-00002F4C0000}"/>
    <cellStyle name="Normal 2 2 2 4 2 11" xfId="19504" xr:uid="{00000000-0005-0000-0000-0000304C0000}"/>
    <cellStyle name="Normal 2 2 2 4 2 11 10" xfId="19505" xr:uid="{00000000-0005-0000-0000-0000314C0000}"/>
    <cellStyle name="Normal 2 2 2 4 2 11 11" xfId="19506" xr:uid="{00000000-0005-0000-0000-0000324C0000}"/>
    <cellStyle name="Normal 2 2 2 4 2 11 12" xfId="19507" xr:uid="{00000000-0005-0000-0000-0000334C0000}"/>
    <cellStyle name="Normal 2 2 2 4 2 11 13" xfId="19508" xr:uid="{00000000-0005-0000-0000-0000344C0000}"/>
    <cellStyle name="Normal 2 2 2 4 2 11 14" xfId="19509" xr:uid="{00000000-0005-0000-0000-0000354C0000}"/>
    <cellStyle name="Normal 2 2 2 4 2 11 2" xfId="19510" xr:uid="{00000000-0005-0000-0000-0000364C0000}"/>
    <cellStyle name="Normal 2 2 2 4 2 11 2 10" xfId="19511" xr:uid="{00000000-0005-0000-0000-0000374C0000}"/>
    <cellStyle name="Normal 2 2 2 4 2 11 2 2" xfId="19512" xr:uid="{00000000-0005-0000-0000-0000384C0000}"/>
    <cellStyle name="Normal 2 2 2 4 2 11 2 3" xfId="19513" xr:uid="{00000000-0005-0000-0000-0000394C0000}"/>
    <cellStyle name="Normal 2 2 2 4 2 11 2 4" xfId="19514" xr:uid="{00000000-0005-0000-0000-00003A4C0000}"/>
    <cellStyle name="Normal 2 2 2 4 2 11 2 5" xfId="19515" xr:uid="{00000000-0005-0000-0000-00003B4C0000}"/>
    <cellStyle name="Normal 2 2 2 4 2 11 2 6" xfId="19516" xr:uid="{00000000-0005-0000-0000-00003C4C0000}"/>
    <cellStyle name="Normal 2 2 2 4 2 11 2 7" xfId="19517" xr:uid="{00000000-0005-0000-0000-00003D4C0000}"/>
    <cellStyle name="Normal 2 2 2 4 2 11 2 8" xfId="19518" xr:uid="{00000000-0005-0000-0000-00003E4C0000}"/>
    <cellStyle name="Normal 2 2 2 4 2 11 2 9" xfId="19519" xr:uid="{00000000-0005-0000-0000-00003F4C0000}"/>
    <cellStyle name="Normal 2 2 2 4 2 11 3" xfId="19520" xr:uid="{00000000-0005-0000-0000-0000404C0000}"/>
    <cellStyle name="Normal 2 2 2 4 2 11 3 10" xfId="19521" xr:uid="{00000000-0005-0000-0000-0000414C0000}"/>
    <cellStyle name="Normal 2 2 2 4 2 11 3 2" xfId="19522" xr:uid="{00000000-0005-0000-0000-0000424C0000}"/>
    <cellStyle name="Normal 2 2 2 4 2 11 3 3" xfId="19523" xr:uid="{00000000-0005-0000-0000-0000434C0000}"/>
    <cellStyle name="Normal 2 2 2 4 2 11 3 4" xfId="19524" xr:uid="{00000000-0005-0000-0000-0000444C0000}"/>
    <cellStyle name="Normal 2 2 2 4 2 11 3 5" xfId="19525" xr:uid="{00000000-0005-0000-0000-0000454C0000}"/>
    <cellStyle name="Normal 2 2 2 4 2 11 3 6" xfId="19526" xr:uid="{00000000-0005-0000-0000-0000464C0000}"/>
    <cellStyle name="Normal 2 2 2 4 2 11 3 7" xfId="19527" xr:uid="{00000000-0005-0000-0000-0000474C0000}"/>
    <cellStyle name="Normal 2 2 2 4 2 11 3 8" xfId="19528" xr:uid="{00000000-0005-0000-0000-0000484C0000}"/>
    <cellStyle name="Normal 2 2 2 4 2 11 3 9" xfId="19529" xr:uid="{00000000-0005-0000-0000-0000494C0000}"/>
    <cellStyle name="Normal 2 2 2 4 2 11 4" xfId="19530" xr:uid="{00000000-0005-0000-0000-00004A4C0000}"/>
    <cellStyle name="Normal 2 2 2 4 2 11 4 10" xfId="19531" xr:uid="{00000000-0005-0000-0000-00004B4C0000}"/>
    <cellStyle name="Normal 2 2 2 4 2 11 4 2" xfId="19532" xr:uid="{00000000-0005-0000-0000-00004C4C0000}"/>
    <cellStyle name="Normal 2 2 2 4 2 11 4 3" xfId="19533" xr:uid="{00000000-0005-0000-0000-00004D4C0000}"/>
    <cellStyle name="Normal 2 2 2 4 2 11 4 4" xfId="19534" xr:uid="{00000000-0005-0000-0000-00004E4C0000}"/>
    <cellStyle name="Normal 2 2 2 4 2 11 4 5" xfId="19535" xr:uid="{00000000-0005-0000-0000-00004F4C0000}"/>
    <cellStyle name="Normal 2 2 2 4 2 11 4 6" xfId="19536" xr:uid="{00000000-0005-0000-0000-0000504C0000}"/>
    <cellStyle name="Normal 2 2 2 4 2 11 4 7" xfId="19537" xr:uid="{00000000-0005-0000-0000-0000514C0000}"/>
    <cellStyle name="Normal 2 2 2 4 2 11 4 8" xfId="19538" xr:uid="{00000000-0005-0000-0000-0000524C0000}"/>
    <cellStyle name="Normal 2 2 2 4 2 11 4 9" xfId="19539" xr:uid="{00000000-0005-0000-0000-0000534C0000}"/>
    <cellStyle name="Normal 2 2 2 4 2 11 5" xfId="19540" xr:uid="{00000000-0005-0000-0000-0000544C0000}"/>
    <cellStyle name="Normal 2 2 2 4 2 11 5 10" xfId="19541" xr:uid="{00000000-0005-0000-0000-0000554C0000}"/>
    <cellStyle name="Normal 2 2 2 4 2 11 5 2" xfId="19542" xr:uid="{00000000-0005-0000-0000-0000564C0000}"/>
    <cellStyle name="Normal 2 2 2 4 2 11 5 3" xfId="19543" xr:uid="{00000000-0005-0000-0000-0000574C0000}"/>
    <cellStyle name="Normal 2 2 2 4 2 11 5 4" xfId="19544" xr:uid="{00000000-0005-0000-0000-0000584C0000}"/>
    <cellStyle name="Normal 2 2 2 4 2 11 5 5" xfId="19545" xr:uid="{00000000-0005-0000-0000-0000594C0000}"/>
    <cellStyle name="Normal 2 2 2 4 2 11 5 6" xfId="19546" xr:uid="{00000000-0005-0000-0000-00005A4C0000}"/>
    <cellStyle name="Normal 2 2 2 4 2 11 5 7" xfId="19547" xr:uid="{00000000-0005-0000-0000-00005B4C0000}"/>
    <cellStyle name="Normal 2 2 2 4 2 11 5 8" xfId="19548" xr:uid="{00000000-0005-0000-0000-00005C4C0000}"/>
    <cellStyle name="Normal 2 2 2 4 2 11 5 9" xfId="19549" xr:uid="{00000000-0005-0000-0000-00005D4C0000}"/>
    <cellStyle name="Normal 2 2 2 4 2 11 6" xfId="19550" xr:uid="{00000000-0005-0000-0000-00005E4C0000}"/>
    <cellStyle name="Normal 2 2 2 4 2 11 7" xfId="19551" xr:uid="{00000000-0005-0000-0000-00005F4C0000}"/>
    <cellStyle name="Normal 2 2 2 4 2 11 8" xfId="19552" xr:uid="{00000000-0005-0000-0000-0000604C0000}"/>
    <cellStyle name="Normal 2 2 2 4 2 11 9" xfId="19553" xr:uid="{00000000-0005-0000-0000-0000614C0000}"/>
    <cellStyle name="Normal 2 2 2 4 2 12" xfId="19554" xr:uid="{00000000-0005-0000-0000-0000624C0000}"/>
    <cellStyle name="Normal 2 2 2 4 2 12 10" xfId="19555" xr:uid="{00000000-0005-0000-0000-0000634C0000}"/>
    <cellStyle name="Normal 2 2 2 4 2 12 11" xfId="19556" xr:uid="{00000000-0005-0000-0000-0000644C0000}"/>
    <cellStyle name="Normal 2 2 2 4 2 12 12" xfId="19557" xr:uid="{00000000-0005-0000-0000-0000654C0000}"/>
    <cellStyle name="Normal 2 2 2 4 2 12 13" xfId="19558" xr:uid="{00000000-0005-0000-0000-0000664C0000}"/>
    <cellStyle name="Normal 2 2 2 4 2 12 14" xfId="19559" xr:uid="{00000000-0005-0000-0000-0000674C0000}"/>
    <cellStyle name="Normal 2 2 2 4 2 12 2" xfId="19560" xr:uid="{00000000-0005-0000-0000-0000684C0000}"/>
    <cellStyle name="Normal 2 2 2 4 2 12 2 10" xfId="19561" xr:uid="{00000000-0005-0000-0000-0000694C0000}"/>
    <cellStyle name="Normal 2 2 2 4 2 12 2 2" xfId="19562" xr:uid="{00000000-0005-0000-0000-00006A4C0000}"/>
    <cellStyle name="Normal 2 2 2 4 2 12 2 3" xfId="19563" xr:uid="{00000000-0005-0000-0000-00006B4C0000}"/>
    <cellStyle name="Normal 2 2 2 4 2 12 2 4" xfId="19564" xr:uid="{00000000-0005-0000-0000-00006C4C0000}"/>
    <cellStyle name="Normal 2 2 2 4 2 12 2 5" xfId="19565" xr:uid="{00000000-0005-0000-0000-00006D4C0000}"/>
    <cellStyle name="Normal 2 2 2 4 2 12 2 6" xfId="19566" xr:uid="{00000000-0005-0000-0000-00006E4C0000}"/>
    <cellStyle name="Normal 2 2 2 4 2 12 2 7" xfId="19567" xr:uid="{00000000-0005-0000-0000-00006F4C0000}"/>
    <cellStyle name="Normal 2 2 2 4 2 12 2 8" xfId="19568" xr:uid="{00000000-0005-0000-0000-0000704C0000}"/>
    <cellStyle name="Normal 2 2 2 4 2 12 2 9" xfId="19569" xr:uid="{00000000-0005-0000-0000-0000714C0000}"/>
    <cellStyle name="Normal 2 2 2 4 2 12 3" xfId="19570" xr:uid="{00000000-0005-0000-0000-0000724C0000}"/>
    <cellStyle name="Normal 2 2 2 4 2 12 3 10" xfId="19571" xr:uid="{00000000-0005-0000-0000-0000734C0000}"/>
    <cellStyle name="Normal 2 2 2 4 2 12 3 2" xfId="19572" xr:uid="{00000000-0005-0000-0000-0000744C0000}"/>
    <cellStyle name="Normal 2 2 2 4 2 12 3 3" xfId="19573" xr:uid="{00000000-0005-0000-0000-0000754C0000}"/>
    <cellStyle name="Normal 2 2 2 4 2 12 3 4" xfId="19574" xr:uid="{00000000-0005-0000-0000-0000764C0000}"/>
    <cellStyle name="Normal 2 2 2 4 2 12 3 5" xfId="19575" xr:uid="{00000000-0005-0000-0000-0000774C0000}"/>
    <cellStyle name="Normal 2 2 2 4 2 12 3 6" xfId="19576" xr:uid="{00000000-0005-0000-0000-0000784C0000}"/>
    <cellStyle name="Normal 2 2 2 4 2 12 3 7" xfId="19577" xr:uid="{00000000-0005-0000-0000-0000794C0000}"/>
    <cellStyle name="Normal 2 2 2 4 2 12 3 8" xfId="19578" xr:uid="{00000000-0005-0000-0000-00007A4C0000}"/>
    <cellStyle name="Normal 2 2 2 4 2 12 3 9" xfId="19579" xr:uid="{00000000-0005-0000-0000-00007B4C0000}"/>
    <cellStyle name="Normal 2 2 2 4 2 12 4" xfId="19580" xr:uid="{00000000-0005-0000-0000-00007C4C0000}"/>
    <cellStyle name="Normal 2 2 2 4 2 12 4 10" xfId="19581" xr:uid="{00000000-0005-0000-0000-00007D4C0000}"/>
    <cellStyle name="Normal 2 2 2 4 2 12 4 2" xfId="19582" xr:uid="{00000000-0005-0000-0000-00007E4C0000}"/>
    <cellStyle name="Normal 2 2 2 4 2 12 4 3" xfId="19583" xr:uid="{00000000-0005-0000-0000-00007F4C0000}"/>
    <cellStyle name="Normal 2 2 2 4 2 12 4 4" xfId="19584" xr:uid="{00000000-0005-0000-0000-0000804C0000}"/>
    <cellStyle name="Normal 2 2 2 4 2 12 4 5" xfId="19585" xr:uid="{00000000-0005-0000-0000-0000814C0000}"/>
    <cellStyle name="Normal 2 2 2 4 2 12 4 6" xfId="19586" xr:uid="{00000000-0005-0000-0000-0000824C0000}"/>
    <cellStyle name="Normal 2 2 2 4 2 12 4 7" xfId="19587" xr:uid="{00000000-0005-0000-0000-0000834C0000}"/>
    <cellStyle name="Normal 2 2 2 4 2 12 4 8" xfId="19588" xr:uid="{00000000-0005-0000-0000-0000844C0000}"/>
    <cellStyle name="Normal 2 2 2 4 2 12 4 9" xfId="19589" xr:uid="{00000000-0005-0000-0000-0000854C0000}"/>
    <cellStyle name="Normal 2 2 2 4 2 12 5" xfId="19590" xr:uid="{00000000-0005-0000-0000-0000864C0000}"/>
    <cellStyle name="Normal 2 2 2 4 2 12 5 10" xfId="19591" xr:uid="{00000000-0005-0000-0000-0000874C0000}"/>
    <cellStyle name="Normal 2 2 2 4 2 12 5 2" xfId="19592" xr:uid="{00000000-0005-0000-0000-0000884C0000}"/>
    <cellStyle name="Normal 2 2 2 4 2 12 5 3" xfId="19593" xr:uid="{00000000-0005-0000-0000-0000894C0000}"/>
    <cellStyle name="Normal 2 2 2 4 2 12 5 4" xfId="19594" xr:uid="{00000000-0005-0000-0000-00008A4C0000}"/>
    <cellStyle name="Normal 2 2 2 4 2 12 5 5" xfId="19595" xr:uid="{00000000-0005-0000-0000-00008B4C0000}"/>
    <cellStyle name="Normal 2 2 2 4 2 12 5 6" xfId="19596" xr:uid="{00000000-0005-0000-0000-00008C4C0000}"/>
    <cellStyle name="Normal 2 2 2 4 2 12 5 7" xfId="19597" xr:uid="{00000000-0005-0000-0000-00008D4C0000}"/>
    <cellStyle name="Normal 2 2 2 4 2 12 5 8" xfId="19598" xr:uid="{00000000-0005-0000-0000-00008E4C0000}"/>
    <cellStyle name="Normal 2 2 2 4 2 12 5 9" xfId="19599" xr:uid="{00000000-0005-0000-0000-00008F4C0000}"/>
    <cellStyle name="Normal 2 2 2 4 2 12 6" xfId="19600" xr:uid="{00000000-0005-0000-0000-0000904C0000}"/>
    <cellStyle name="Normal 2 2 2 4 2 12 7" xfId="19601" xr:uid="{00000000-0005-0000-0000-0000914C0000}"/>
    <cellStyle name="Normal 2 2 2 4 2 12 8" xfId="19602" xr:uid="{00000000-0005-0000-0000-0000924C0000}"/>
    <cellStyle name="Normal 2 2 2 4 2 12 9" xfId="19603" xr:uid="{00000000-0005-0000-0000-0000934C0000}"/>
    <cellStyle name="Normal 2 2 2 4 2 13" xfId="19604" xr:uid="{00000000-0005-0000-0000-0000944C0000}"/>
    <cellStyle name="Normal 2 2 2 4 2 13 10" xfId="19605" xr:uid="{00000000-0005-0000-0000-0000954C0000}"/>
    <cellStyle name="Normal 2 2 2 4 2 13 11" xfId="19606" xr:uid="{00000000-0005-0000-0000-0000964C0000}"/>
    <cellStyle name="Normal 2 2 2 4 2 13 12" xfId="19607" xr:uid="{00000000-0005-0000-0000-0000974C0000}"/>
    <cellStyle name="Normal 2 2 2 4 2 13 13" xfId="19608" xr:uid="{00000000-0005-0000-0000-0000984C0000}"/>
    <cellStyle name="Normal 2 2 2 4 2 13 14" xfId="19609" xr:uid="{00000000-0005-0000-0000-0000994C0000}"/>
    <cellStyle name="Normal 2 2 2 4 2 13 2" xfId="19610" xr:uid="{00000000-0005-0000-0000-00009A4C0000}"/>
    <cellStyle name="Normal 2 2 2 4 2 13 2 10" xfId="19611" xr:uid="{00000000-0005-0000-0000-00009B4C0000}"/>
    <cellStyle name="Normal 2 2 2 4 2 13 2 2" xfId="19612" xr:uid="{00000000-0005-0000-0000-00009C4C0000}"/>
    <cellStyle name="Normal 2 2 2 4 2 13 2 3" xfId="19613" xr:uid="{00000000-0005-0000-0000-00009D4C0000}"/>
    <cellStyle name="Normal 2 2 2 4 2 13 2 4" xfId="19614" xr:uid="{00000000-0005-0000-0000-00009E4C0000}"/>
    <cellStyle name="Normal 2 2 2 4 2 13 2 5" xfId="19615" xr:uid="{00000000-0005-0000-0000-00009F4C0000}"/>
    <cellStyle name="Normal 2 2 2 4 2 13 2 6" xfId="19616" xr:uid="{00000000-0005-0000-0000-0000A04C0000}"/>
    <cellStyle name="Normal 2 2 2 4 2 13 2 7" xfId="19617" xr:uid="{00000000-0005-0000-0000-0000A14C0000}"/>
    <cellStyle name="Normal 2 2 2 4 2 13 2 8" xfId="19618" xr:uid="{00000000-0005-0000-0000-0000A24C0000}"/>
    <cellStyle name="Normal 2 2 2 4 2 13 2 9" xfId="19619" xr:uid="{00000000-0005-0000-0000-0000A34C0000}"/>
    <cellStyle name="Normal 2 2 2 4 2 13 3" xfId="19620" xr:uid="{00000000-0005-0000-0000-0000A44C0000}"/>
    <cellStyle name="Normal 2 2 2 4 2 13 3 10" xfId="19621" xr:uid="{00000000-0005-0000-0000-0000A54C0000}"/>
    <cellStyle name="Normal 2 2 2 4 2 13 3 2" xfId="19622" xr:uid="{00000000-0005-0000-0000-0000A64C0000}"/>
    <cellStyle name="Normal 2 2 2 4 2 13 3 3" xfId="19623" xr:uid="{00000000-0005-0000-0000-0000A74C0000}"/>
    <cellStyle name="Normal 2 2 2 4 2 13 3 4" xfId="19624" xr:uid="{00000000-0005-0000-0000-0000A84C0000}"/>
    <cellStyle name="Normal 2 2 2 4 2 13 3 5" xfId="19625" xr:uid="{00000000-0005-0000-0000-0000A94C0000}"/>
    <cellStyle name="Normal 2 2 2 4 2 13 3 6" xfId="19626" xr:uid="{00000000-0005-0000-0000-0000AA4C0000}"/>
    <cellStyle name="Normal 2 2 2 4 2 13 3 7" xfId="19627" xr:uid="{00000000-0005-0000-0000-0000AB4C0000}"/>
    <cellStyle name="Normal 2 2 2 4 2 13 3 8" xfId="19628" xr:uid="{00000000-0005-0000-0000-0000AC4C0000}"/>
    <cellStyle name="Normal 2 2 2 4 2 13 3 9" xfId="19629" xr:uid="{00000000-0005-0000-0000-0000AD4C0000}"/>
    <cellStyle name="Normal 2 2 2 4 2 13 4" xfId="19630" xr:uid="{00000000-0005-0000-0000-0000AE4C0000}"/>
    <cellStyle name="Normal 2 2 2 4 2 13 4 10" xfId="19631" xr:uid="{00000000-0005-0000-0000-0000AF4C0000}"/>
    <cellStyle name="Normal 2 2 2 4 2 13 4 2" xfId="19632" xr:uid="{00000000-0005-0000-0000-0000B04C0000}"/>
    <cellStyle name="Normal 2 2 2 4 2 13 4 3" xfId="19633" xr:uid="{00000000-0005-0000-0000-0000B14C0000}"/>
    <cellStyle name="Normal 2 2 2 4 2 13 4 4" xfId="19634" xr:uid="{00000000-0005-0000-0000-0000B24C0000}"/>
    <cellStyle name="Normal 2 2 2 4 2 13 4 5" xfId="19635" xr:uid="{00000000-0005-0000-0000-0000B34C0000}"/>
    <cellStyle name="Normal 2 2 2 4 2 13 4 6" xfId="19636" xr:uid="{00000000-0005-0000-0000-0000B44C0000}"/>
    <cellStyle name="Normal 2 2 2 4 2 13 4 7" xfId="19637" xr:uid="{00000000-0005-0000-0000-0000B54C0000}"/>
    <cellStyle name="Normal 2 2 2 4 2 13 4 8" xfId="19638" xr:uid="{00000000-0005-0000-0000-0000B64C0000}"/>
    <cellStyle name="Normal 2 2 2 4 2 13 4 9" xfId="19639" xr:uid="{00000000-0005-0000-0000-0000B74C0000}"/>
    <cellStyle name="Normal 2 2 2 4 2 13 5" xfId="19640" xr:uid="{00000000-0005-0000-0000-0000B84C0000}"/>
    <cellStyle name="Normal 2 2 2 4 2 13 5 10" xfId="19641" xr:uid="{00000000-0005-0000-0000-0000B94C0000}"/>
    <cellStyle name="Normal 2 2 2 4 2 13 5 2" xfId="19642" xr:uid="{00000000-0005-0000-0000-0000BA4C0000}"/>
    <cellStyle name="Normal 2 2 2 4 2 13 5 3" xfId="19643" xr:uid="{00000000-0005-0000-0000-0000BB4C0000}"/>
    <cellStyle name="Normal 2 2 2 4 2 13 5 4" xfId="19644" xr:uid="{00000000-0005-0000-0000-0000BC4C0000}"/>
    <cellStyle name="Normal 2 2 2 4 2 13 5 5" xfId="19645" xr:uid="{00000000-0005-0000-0000-0000BD4C0000}"/>
    <cellStyle name="Normal 2 2 2 4 2 13 5 6" xfId="19646" xr:uid="{00000000-0005-0000-0000-0000BE4C0000}"/>
    <cellStyle name="Normal 2 2 2 4 2 13 5 7" xfId="19647" xr:uid="{00000000-0005-0000-0000-0000BF4C0000}"/>
    <cellStyle name="Normal 2 2 2 4 2 13 5 8" xfId="19648" xr:uid="{00000000-0005-0000-0000-0000C04C0000}"/>
    <cellStyle name="Normal 2 2 2 4 2 13 5 9" xfId="19649" xr:uid="{00000000-0005-0000-0000-0000C14C0000}"/>
    <cellStyle name="Normal 2 2 2 4 2 13 6" xfId="19650" xr:uid="{00000000-0005-0000-0000-0000C24C0000}"/>
    <cellStyle name="Normal 2 2 2 4 2 13 7" xfId="19651" xr:uid="{00000000-0005-0000-0000-0000C34C0000}"/>
    <cellStyle name="Normal 2 2 2 4 2 13 8" xfId="19652" xr:uid="{00000000-0005-0000-0000-0000C44C0000}"/>
    <cellStyle name="Normal 2 2 2 4 2 13 9" xfId="19653" xr:uid="{00000000-0005-0000-0000-0000C54C0000}"/>
    <cellStyle name="Normal 2 2 2 4 2 14" xfId="19654" xr:uid="{00000000-0005-0000-0000-0000C64C0000}"/>
    <cellStyle name="Normal 2 2 2 4 2 14 10" xfId="19655" xr:uid="{00000000-0005-0000-0000-0000C74C0000}"/>
    <cellStyle name="Normal 2 2 2 4 2 14 11" xfId="19656" xr:uid="{00000000-0005-0000-0000-0000C84C0000}"/>
    <cellStyle name="Normal 2 2 2 4 2 14 12" xfId="19657" xr:uid="{00000000-0005-0000-0000-0000C94C0000}"/>
    <cellStyle name="Normal 2 2 2 4 2 14 13" xfId="19658" xr:uid="{00000000-0005-0000-0000-0000CA4C0000}"/>
    <cellStyle name="Normal 2 2 2 4 2 14 14" xfId="19659" xr:uid="{00000000-0005-0000-0000-0000CB4C0000}"/>
    <cellStyle name="Normal 2 2 2 4 2 14 2" xfId="19660" xr:uid="{00000000-0005-0000-0000-0000CC4C0000}"/>
    <cellStyle name="Normal 2 2 2 4 2 14 2 10" xfId="19661" xr:uid="{00000000-0005-0000-0000-0000CD4C0000}"/>
    <cellStyle name="Normal 2 2 2 4 2 14 2 2" xfId="19662" xr:uid="{00000000-0005-0000-0000-0000CE4C0000}"/>
    <cellStyle name="Normal 2 2 2 4 2 14 2 3" xfId="19663" xr:uid="{00000000-0005-0000-0000-0000CF4C0000}"/>
    <cellStyle name="Normal 2 2 2 4 2 14 2 4" xfId="19664" xr:uid="{00000000-0005-0000-0000-0000D04C0000}"/>
    <cellStyle name="Normal 2 2 2 4 2 14 2 5" xfId="19665" xr:uid="{00000000-0005-0000-0000-0000D14C0000}"/>
    <cellStyle name="Normal 2 2 2 4 2 14 2 6" xfId="19666" xr:uid="{00000000-0005-0000-0000-0000D24C0000}"/>
    <cellStyle name="Normal 2 2 2 4 2 14 2 7" xfId="19667" xr:uid="{00000000-0005-0000-0000-0000D34C0000}"/>
    <cellStyle name="Normal 2 2 2 4 2 14 2 8" xfId="19668" xr:uid="{00000000-0005-0000-0000-0000D44C0000}"/>
    <cellStyle name="Normal 2 2 2 4 2 14 2 9" xfId="19669" xr:uid="{00000000-0005-0000-0000-0000D54C0000}"/>
    <cellStyle name="Normal 2 2 2 4 2 14 3" xfId="19670" xr:uid="{00000000-0005-0000-0000-0000D64C0000}"/>
    <cellStyle name="Normal 2 2 2 4 2 14 3 10" xfId="19671" xr:uid="{00000000-0005-0000-0000-0000D74C0000}"/>
    <cellStyle name="Normal 2 2 2 4 2 14 3 2" xfId="19672" xr:uid="{00000000-0005-0000-0000-0000D84C0000}"/>
    <cellStyle name="Normal 2 2 2 4 2 14 3 3" xfId="19673" xr:uid="{00000000-0005-0000-0000-0000D94C0000}"/>
    <cellStyle name="Normal 2 2 2 4 2 14 3 4" xfId="19674" xr:uid="{00000000-0005-0000-0000-0000DA4C0000}"/>
    <cellStyle name="Normal 2 2 2 4 2 14 3 5" xfId="19675" xr:uid="{00000000-0005-0000-0000-0000DB4C0000}"/>
    <cellStyle name="Normal 2 2 2 4 2 14 3 6" xfId="19676" xr:uid="{00000000-0005-0000-0000-0000DC4C0000}"/>
    <cellStyle name="Normal 2 2 2 4 2 14 3 7" xfId="19677" xr:uid="{00000000-0005-0000-0000-0000DD4C0000}"/>
    <cellStyle name="Normal 2 2 2 4 2 14 3 8" xfId="19678" xr:uid="{00000000-0005-0000-0000-0000DE4C0000}"/>
    <cellStyle name="Normal 2 2 2 4 2 14 3 9" xfId="19679" xr:uid="{00000000-0005-0000-0000-0000DF4C0000}"/>
    <cellStyle name="Normal 2 2 2 4 2 14 4" xfId="19680" xr:uid="{00000000-0005-0000-0000-0000E04C0000}"/>
    <cellStyle name="Normal 2 2 2 4 2 14 4 10" xfId="19681" xr:uid="{00000000-0005-0000-0000-0000E14C0000}"/>
    <cellStyle name="Normal 2 2 2 4 2 14 4 2" xfId="19682" xr:uid="{00000000-0005-0000-0000-0000E24C0000}"/>
    <cellStyle name="Normal 2 2 2 4 2 14 4 3" xfId="19683" xr:uid="{00000000-0005-0000-0000-0000E34C0000}"/>
    <cellStyle name="Normal 2 2 2 4 2 14 4 4" xfId="19684" xr:uid="{00000000-0005-0000-0000-0000E44C0000}"/>
    <cellStyle name="Normal 2 2 2 4 2 14 4 5" xfId="19685" xr:uid="{00000000-0005-0000-0000-0000E54C0000}"/>
    <cellStyle name="Normal 2 2 2 4 2 14 4 6" xfId="19686" xr:uid="{00000000-0005-0000-0000-0000E64C0000}"/>
    <cellStyle name="Normal 2 2 2 4 2 14 4 7" xfId="19687" xr:uid="{00000000-0005-0000-0000-0000E74C0000}"/>
    <cellStyle name="Normal 2 2 2 4 2 14 4 8" xfId="19688" xr:uid="{00000000-0005-0000-0000-0000E84C0000}"/>
    <cellStyle name="Normal 2 2 2 4 2 14 4 9" xfId="19689" xr:uid="{00000000-0005-0000-0000-0000E94C0000}"/>
    <cellStyle name="Normal 2 2 2 4 2 14 5" xfId="19690" xr:uid="{00000000-0005-0000-0000-0000EA4C0000}"/>
    <cellStyle name="Normal 2 2 2 4 2 14 5 10" xfId="19691" xr:uid="{00000000-0005-0000-0000-0000EB4C0000}"/>
    <cellStyle name="Normal 2 2 2 4 2 14 5 2" xfId="19692" xr:uid="{00000000-0005-0000-0000-0000EC4C0000}"/>
    <cellStyle name="Normal 2 2 2 4 2 14 5 3" xfId="19693" xr:uid="{00000000-0005-0000-0000-0000ED4C0000}"/>
    <cellStyle name="Normal 2 2 2 4 2 14 5 4" xfId="19694" xr:uid="{00000000-0005-0000-0000-0000EE4C0000}"/>
    <cellStyle name="Normal 2 2 2 4 2 14 5 5" xfId="19695" xr:uid="{00000000-0005-0000-0000-0000EF4C0000}"/>
    <cellStyle name="Normal 2 2 2 4 2 14 5 6" xfId="19696" xr:uid="{00000000-0005-0000-0000-0000F04C0000}"/>
    <cellStyle name="Normal 2 2 2 4 2 14 5 7" xfId="19697" xr:uid="{00000000-0005-0000-0000-0000F14C0000}"/>
    <cellStyle name="Normal 2 2 2 4 2 14 5 8" xfId="19698" xr:uid="{00000000-0005-0000-0000-0000F24C0000}"/>
    <cellStyle name="Normal 2 2 2 4 2 14 5 9" xfId="19699" xr:uid="{00000000-0005-0000-0000-0000F34C0000}"/>
    <cellStyle name="Normal 2 2 2 4 2 14 6" xfId="19700" xr:uid="{00000000-0005-0000-0000-0000F44C0000}"/>
    <cellStyle name="Normal 2 2 2 4 2 14 7" xfId="19701" xr:uid="{00000000-0005-0000-0000-0000F54C0000}"/>
    <cellStyle name="Normal 2 2 2 4 2 14 8" xfId="19702" xr:uid="{00000000-0005-0000-0000-0000F64C0000}"/>
    <cellStyle name="Normal 2 2 2 4 2 14 9" xfId="19703" xr:uid="{00000000-0005-0000-0000-0000F74C0000}"/>
    <cellStyle name="Normal 2 2 2 4 2 15" xfId="19704" xr:uid="{00000000-0005-0000-0000-0000F84C0000}"/>
    <cellStyle name="Normal 2 2 2 4 2 15 10" xfId="19705" xr:uid="{00000000-0005-0000-0000-0000F94C0000}"/>
    <cellStyle name="Normal 2 2 2 4 2 15 11" xfId="19706" xr:uid="{00000000-0005-0000-0000-0000FA4C0000}"/>
    <cellStyle name="Normal 2 2 2 4 2 15 12" xfId="19707" xr:uid="{00000000-0005-0000-0000-0000FB4C0000}"/>
    <cellStyle name="Normal 2 2 2 4 2 15 13" xfId="19708" xr:uid="{00000000-0005-0000-0000-0000FC4C0000}"/>
    <cellStyle name="Normal 2 2 2 4 2 15 14" xfId="19709" xr:uid="{00000000-0005-0000-0000-0000FD4C0000}"/>
    <cellStyle name="Normal 2 2 2 4 2 15 2" xfId="19710" xr:uid="{00000000-0005-0000-0000-0000FE4C0000}"/>
    <cellStyle name="Normal 2 2 2 4 2 15 2 10" xfId="19711" xr:uid="{00000000-0005-0000-0000-0000FF4C0000}"/>
    <cellStyle name="Normal 2 2 2 4 2 15 2 2" xfId="19712" xr:uid="{00000000-0005-0000-0000-0000004D0000}"/>
    <cellStyle name="Normal 2 2 2 4 2 15 2 3" xfId="19713" xr:uid="{00000000-0005-0000-0000-0000014D0000}"/>
    <cellStyle name="Normal 2 2 2 4 2 15 2 4" xfId="19714" xr:uid="{00000000-0005-0000-0000-0000024D0000}"/>
    <cellStyle name="Normal 2 2 2 4 2 15 2 5" xfId="19715" xr:uid="{00000000-0005-0000-0000-0000034D0000}"/>
    <cellStyle name="Normal 2 2 2 4 2 15 2 6" xfId="19716" xr:uid="{00000000-0005-0000-0000-0000044D0000}"/>
    <cellStyle name="Normal 2 2 2 4 2 15 2 7" xfId="19717" xr:uid="{00000000-0005-0000-0000-0000054D0000}"/>
    <cellStyle name="Normal 2 2 2 4 2 15 2 8" xfId="19718" xr:uid="{00000000-0005-0000-0000-0000064D0000}"/>
    <cellStyle name="Normal 2 2 2 4 2 15 2 9" xfId="19719" xr:uid="{00000000-0005-0000-0000-0000074D0000}"/>
    <cellStyle name="Normal 2 2 2 4 2 15 3" xfId="19720" xr:uid="{00000000-0005-0000-0000-0000084D0000}"/>
    <cellStyle name="Normal 2 2 2 4 2 15 3 10" xfId="19721" xr:uid="{00000000-0005-0000-0000-0000094D0000}"/>
    <cellStyle name="Normal 2 2 2 4 2 15 3 2" xfId="19722" xr:uid="{00000000-0005-0000-0000-00000A4D0000}"/>
    <cellStyle name="Normal 2 2 2 4 2 15 3 3" xfId="19723" xr:uid="{00000000-0005-0000-0000-00000B4D0000}"/>
    <cellStyle name="Normal 2 2 2 4 2 15 3 4" xfId="19724" xr:uid="{00000000-0005-0000-0000-00000C4D0000}"/>
    <cellStyle name="Normal 2 2 2 4 2 15 3 5" xfId="19725" xr:uid="{00000000-0005-0000-0000-00000D4D0000}"/>
    <cellStyle name="Normal 2 2 2 4 2 15 3 6" xfId="19726" xr:uid="{00000000-0005-0000-0000-00000E4D0000}"/>
    <cellStyle name="Normal 2 2 2 4 2 15 3 7" xfId="19727" xr:uid="{00000000-0005-0000-0000-00000F4D0000}"/>
    <cellStyle name="Normal 2 2 2 4 2 15 3 8" xfId="19728" xr:uid="{00000000-0005-0000-0000-0000104D0000}"/>
    <cellStyle name="Normal 2 2 2 4 2 15 3 9" xfId="19729" xr:uid="{00000000-0005-0000-0000-0000114D0000}"/>
    <cellStyle name="Normal 2 2 2 4 2 15 4" xfId="19730" xr:uid="{00000000-0005-0000-0000-0000124D0000}"/>
    <cellStyle name="Normal 2 2 2 4 2 15 4 10" xfId="19731" xr:uid="{00000000-0005-0000-0000-0000134D0000}"/>
    <cellStyle name="Normal 2 2 2 4 2 15 4 2" xfId="19732" xr:uid="{00000000-0005-0000-0000-0000144D0000}"/>
    <cellStyle name="Normal 2 2 2 4 2 15 4 3" xfId="19733" xr:uid="{00000000-0005-0000-0000-0000154D0000}"/>
    <cellStyle name="Normal 2 2 2 4 2 15 4 4" xfId="19734" xr:uid="{00000000-0005-0000-0000-0000164D0000}"/>
    <cellStyle name="Normal 2 2 2 4 2 15 4 5" xfId="19735" xr:uid="{00000000-0005-0000-0000-0000174D0000}"/>
    <cellStyle name="Normal 2 2 2 4 2 15 4 6" xfId="19736" xr:uid="{00000000-0005-0000-0000-0000184D0000}"/>
    <cellStyle name="Normal 2 2 2 4 2 15 4 7" xfId="19737" xr:uid="{00000000-0005-0000-0000-0000194D0000}"/>
    <cellStyle name="Normal 2 2 2 4 2 15 4 8" xfId="19738" xr:uid="{00000000-0005-0000-0000-00001A4D0000}"/>
    <cellStyle name="Normal 2 2 2 4 2 15 4 9" xfId="19739" xr:uid="{00000000-0005-0000-0000-00001B4D0000}"/>
    <cellStyle name="Normal 2 2 2 4 2 15 5" xfId="19740" xr:uid="{00000000-0005-0000-0000-00001C4D0000}"/>
    <cellStyle name="Normal 2 2 2 4 2 15 5 10" xfId="19741" xr:uid="{00000000-0005-0000-0000-00001D4D0000}"/>
    <cellStyle name="Normal 2 2 2 4 2 15 5 2" xfId="19742" xr:uid="{00000000-0005-0000-0000-00001E4D0000}"/>
    <cellStyle name="Normal 2 2 2 4 2 15 5 3" xfId="19743" xr:uid="{00000000-0005-0000-0000-00001F4D0000}"/>
    <cellStyle name="Normal 2 2 2 4 2 15 5 4" xfId="19744" xr:uid="{00000000-0005-0000-0000-0000204D0000}"/>
    <cellStyle name="Normal 2 2 2 4 2 15 5 5" xfId="19745" xr:uid="{00000000-0005-0000-0000-0000214D0000}"/>
    <cellStyle name="Normal 2 2 2 4 2 15 5 6" xfId="19746" xr:uid="{00000000-0005-0000-0000-0000224D0000}"/>
    <cellStyle name="Normal 2 2 2 4 2 15 5 7" xfId="19747" xr:uid="{00000000-0005-0000-0000-0000234D0000}"/>
    <cellStyle name="Normal 2 2 2 4 2 15 5 8" xfId="19748" xr:uid="{00000000-0005-0000-0000-0000244D0000}"/>
    <cellStyle name="Normal 2 2 2 4 2 15 5 9" xfId="19749" xr:uid="{00000000-0005-0000-0000-0000254D0000}"/>
    <cellStyle name="Normal 2 2 2 4 2 15 6" xfId="19750" xr:uid="{00000000-0005-0000-0000-0000264D0000}"/>
    <cellStyle name="Normal 2 2 2 4 2 15 7" xfId="19751" xr:uid="{00000000-0005-0000-0000-0000274D0000}"/>
    <cellStyle name="Normal 2 2 2 4 2 15 8" xfId="19752" xr:uid="{00000000-0005-0000-0000-0000284D0000}"/>
    <cellStyle name="Normal 2 2 2 4 2 15 9" xfId="19753" xr:uid="{00000000-0005-0000-0000-0000294D0000}"/>
    <cellStyle name="Normal 2 2 2 4 2 16" xfId="19754" xr:uid="{00000000-0005-0000-0000-00002A4D0000}"/>
    <cellStyle name="Normal 2 2 2 4 2 16 10" xfId="19755" xr:uid="{00000000-0005-0000-0000-00002B4D0000}"/>
    <cellStyle name="Normal 2 2 2 4 2 16 11" xfId="19756" xr:uid="{00000000-0005-0000-0000-00002C4D0000}"/>
    <cellStyle name="Normal 2 2 2 4 2 16 12" xfId="19757" xr:uid="{00000000-0005-0000-0000-00002D4D0000}"/>
    <cellStyle name="Normal 2 2 2 4 2 16 13" xfId="19758" xr:uid="{00000000-0005-0000-0000-00002E4D0000}"/>
    <cellStyle name="Normal 2 2 2 4 2 16 14" xfId="19759" xr:uid="{00000000-0005-0000-0000-00002F4D0000}"/>
    <cellStyle name="Normal 2 2 2 4 2 16 2" xfId="19760" xr:uid="{00000000-0005-0000-0000-0000304D0000}"/>
    <cellStyle name="Normal 2 2 2 4 2 16 2 10" xfId="19761" xr:uid="{00000000-0005-0000-0000-0000314D0000}"/>
    <cellStyle name="Normal 2 2 2 4 2 16 2 2" xfId="19762" xr:uid="{00000000-0005-0000-0000-0000324D0000}"/>
    <cellStyle name="Normal 2 2 2 4 2 16 2 3" xfId="19763" xr:uid="{00000000-0005-0000-0000-0000334D0000}"/>
    <cellStyle name="Normal 2 2 2 4 2 16 2 4" xfId="19764" xr:uid="{00000000-0005-0000-0000-0000344D0000}"/>
    <cellStyle name="Normal 2 2 2 4 2 16 2 5" xfId="19765" xr:uid="{00000000-0005-0000-0000-0000354D0000}"/>
    <cellStyle name="Normal 2 2 2 4 2 16 2 6" xfId="19766" xr:uid="{00000000-0005-0000-0000-0000364D0000}"/>
    <cellStyle name="Normal 2 2 2 4 2 16 2 7" xfId="19767" xr:uid="{00000000-0005-0000-0000-0000374D0000}"/>
    <cellStyle name="Normal 2 2 2 4 2 16 2 8" xfId="19768" xr:uid="{00000000-0005-0000-0000-0000384D0000}"/>
    <cellStyle name="Normal 2 2 2 4 2 16 2 9" xfId="19769" xr:uid="{00000000-0005-0000-0000-0000394D0000}"/>
    <cellStyle name="Normal 2 2 2 4 2 16 3" xfId="19770" xr:uid="{00000000-0005-0000-0000-00003A4D0000}"/>
    <cellStyle name="Normal 2 2 2 4 2 16 3 10" xfId="19771" xr:uid="{00000000-0005-0000-0000-00003B4D0000}"/>
    <cellStyle name="Normal 2 2 2 4 2 16 3 2" xfId="19772" xr:uid="{00000000-0005-0000-0000-00003C4D0000}"/>
    <cellStyle name="Normal 2 2 2 4 2 16 3 3" xfId="19773" xr:uid="{00000000-0005-0000-0000-00003D4D0000}"/>
    <cellStyle name="Normal 2 2 2 4 2 16 3 4" xfId="19774" xr:uid="{00000000-0005-0000-0000-00003E4D0000}"/>
    <cellStyle name="Normal 2 2 2 4 2 16 3 5" xfId="19775" xr:uid="{00000000-0005-0000-0000-00003F4D0000}"/>
    <cellStyle name="Normal 2 2 2 4 2 16 3 6" xfId="19776" xr:uid="{00000000-0005-0000-0000-0000404D0000}"/>
    <cellStyle name="Normal 2 2 2 4 2 16 3 7" xfId="19777" xr:uid="{00000000-0005-0000-0000-0000414D0000}"/>
    <cellStyle name="Normal 2 2 2 4 2 16 3 8" xfId="19778" xr:uid="{00000000-0005-0000-0000-0000424D0000}"/>
    <cellStyle name="Normal 2 2 2 4 2 16 3 9" xfId="19779" xr:uid="{00000000-0005-0000-0000-0000434D0000}"/>
    <cellStyle name="Normal 2 2 2 4 2 16 4" xfId="19780" xr:uid="{00000000-0005-0000-0000-0000444D0000}"/>
    <cellStyle name="Normal 2 2 2 4 2 16 4 10" xfId="19781" xr:uid="{00000000-0005-0000-0000-0000454D0000}"/>
    <cellStyle name="Normal 2 2 2 4 2 16 4 2" xfId="19782" xr:uid="{00000000-0005-0000-0000-0000464D0000}"/>
    <cellStyle name="Normal 2 2 2 4 2 16 4 3" xfId="19783" xr:uid="{00000000-0005-0000-0000-0000474D0000}"/>
    <cellStyle name="Normal 2 2 2 4 2 16 4 4" xfId="19784" xr:uid="{00000000-0005-0000-0000-0000484D0000}"/>
    <cellStyle name="Normal 2 2 2 4 2 16 4 5" xfId="19785" xr:uid="{00000000-0005-0000-0000-0000494D0000}"/>
    <cellStyle name="Normal 2 2 2 4 2 16 4 6" xfId="19786" xr:uid="{00000000-0005-0000-0000-00004A4D0000}"/>
    <cellStyle name="Normal 2 2 2 4 2 16 4 7" xfId="19787" xr:uid="{00000000-0005-0000-0000-00004B4D0000}"/>
    <cellStyle name="Normal 2 2 2 4 2 16 4 8" xfId="19788" xr:uid="{00000000-0005-0000-0000-00004C4D0000}"/>
    <cellStyle name="Normal 2 2 2 4 2 16 4 9" xfId="19789" xr:uid="{00000000-0005-0000-0000-00004D4D0000}"/>
    <cellStyle name="Normal 2 2 2 4 2 16 5" xfId="19790" xr:uid="{00000000-0005-0000-0000-00004E4D0000}"/>
    <cellStyle name="Normal 2 2 2 4 2 16 5 10" xfId="19791" xr:uid="{00000000-0005-0000-0000-00004F4D0000}"/>
    <cellStyle name="Normal 2 2 2 4 2 16 5 2" xfId="19792" xr:uid="{00000000-0005-0000-0000-0000504D0000}"/>
    <cellStyle name="Normal 2 2 2 4 2 16 5 3" xfId="19793" xr:uid="{00000000-0005-0000-0000-0000514D0000}"/>
    <cellStyle name="Normal 2 2 2 4 2 16 5 4" xfId="19794" xr:uid="{00000000-0005-0000-0000-0000524D0000}"/>
    <cellStyle name="Normal 2 2 2 4 2 16 5 5" xfId="19795" xr:uid="{00000000-0005-0000-0000-0000534D0000}"/>
    <cellStyle name="Normal 2 2 2 4 2 16 5 6" xfId="19796" xr:uid="{00000000-0005-0000-0000-0000544D0000}"/>
    <cellStyle name="Normal 2 2 2 4 2 16 5 7" xfId="19797" xr:uid="{00000000-0005-0000-0000-0000554D0000}"/>
    <cellStyle name="Normal 2 2 2 4 2 16 5 8" xfId="19798" xr:uid="{00000000-0005-0000-0000-0000564D0000}"/>
    <cellStyle name="Normal 2 2 2 4 2 16 5 9" xfId="19799" xr:uid="{00000000-0005-0000-0000-0000574D0000}"/>
    <cellStyle name="Normal 2 2 2 4 2 16 6" xfId="19800" xr:uid="{00000000-0005-0000-0000-0000584D0000}"/>
    <cellStyle name="Normal 2 2 2 4 2 16 7" xfId="19801" xr:uid="{00000000-0005-0000-0000-0000594D0000}"/>
    <cellStyle name="Normal 2 2 2 4 2 16 8" xfId="19802" xr:uid="{00000000-0005-0000-0000-00005A4D0000}"/>
    <cellStyle name="Normal 2 2 2 4 2 16 9" xfId="19803" xr:uid="{00000000-0005-0000-0000-00005B4D0000}"/>
    <cellStyle name="Normal 2 2 2 4 2 17" xfId="19804" xr:uid="{00000000-0005-0000-0000-00005C4D0000}"/>
    <cellStyle name="Normal 2 2 2 4 2 17 10" xfId="19805" xr:uid="{00000000-0005-0000-0000-00005D4D0000}"/>
    <cellStyle name="Normal 2 2 2 4 2 17 11" xfId="19806" xr:uid="{00000000-0005-0000-0000-00005E4D0000}"/>
    <cellStyle name="Normal 2 2 2 4 2 17 12" xfId="19807" xr:uid="{00000000-0005-0000-0000-00005F4D0000}"/>
    <cellStyle name="Normal 2 2 2 4 2 17 13" xfId="19808" xr:uid="{00000000-0005-0000-0000-0000604D0000}"/>
    <cellStyle name="Normal 2 2 2 4 2 17 14" xfId="19809" xr:uid="{00000000-0005-0000-0000-0000614D0000}"/>
    <cellStyle name="Normal 2 2 2 4 2 17 2" xfId="19810" xr:uid="{00000000-0005-0000-0000-0000624D0000}"/>
    <cellStyle name="Normal 2 2 2 4 2 17 2 10" xfId="19811" xr:uid="{00000000-0005-0000-0000-0000634D0000}"/>
    <cellStyle name="Normal 2 2 2 4 2 17 2 2" xfId="19812" xr:uid="{00000000-0005-0000-0000-0000644D0000}"/>
    <cellStyle name="Normal 2 2 2 4 2 17 2 3" xfId="19813" xr:uid="{00000000-0005-0000-0000-0000654D0000}"/>
    <cellStyle name="Normal 2 2 2 4 2 17 2 4" xfId="19814" xr:uid="{00000000-0005-0000-0000-0000664D0000}"/>
    <cellStyle name="Normal 2 2 2 4 2 17 2 5" xfId="19815" xr:uid="{00000000-0005-0000-0000-0000674D0000}"/>
    <cellStyle name="Normal 2 2 2 4 2 17 2 6" xfId="19816" xr:uid="{00000000-0005-0000-0000-0000684D0000}"/>
    <cellStyle name="Normal 2 2 2 4 2 17 2 7" xfId="19817" xr:uid="{00000000-0005-0000-0000-0000694D0000}"/>
    <cellStyle name="Normal 2 2 2 4 2 17 2 8" xfId="19818" xr:uid="{00000000-0005-0000-0000-00006A4D0000}"/>
    <cellStyle name="Normal 2 2 2 4 2 17 2 9" xfId="19819" xr:uid="{00000000-0005-0000-0000-00006B4D0000}"/>
    <cellStyle name="Normal 2 2 2 4 2 17 3" xfId="19820" xr:uid="{00000000-0005-0000-0000-00006C4D0000}"/>
    <cellStyle name="Normal 2 2 2 4 2 17 3 10" xfId="19821" xr:uid="{00000000-0005-0000-0000-00006D4D0000}"/>
    <cellStyle name="Normal 2 2 2 4 2 17 3 2" xfId="19822" xr:uid="{00000000-0005-0000-0000-00006E4D0000}"/>
    <cellStyle name="Normal 2 2 2 4 2 17 3 3" xfId="19823" xr:uid="{00000000-0005-0000-0000-00006F4D0000}"/>
    <cellStyle name="Normal 2 2 2 4 2 17 3 4" xfId="19824" xr:uid="{00000000-0005-0000-0000-0000704D0000}"/>
    <cellStyle name="Normal 2 2 2 4 2 17 3 5" xfId="19825" xr:uid="{00000000-0005-0000-0000-0000714D0000}"/>
    <cellStyle name="Normal 2 2 2 4 2 17 3 6" xfId="19826" xr:uid="{00000000-0005-0000-0000-0000724D0000}"/>
    <cellStyle name="Normal 2 2 2 4 2 17 3 7" xfId="19827" xr:uid="{00000000-0005-0000-0000-0000734D0000}"/>
    <cellStyle name="Normal 2 2 2 4 2 17 3 8" xfId="19828" xr:uid="{00000000-0005-0000-0000-0000744D0000}"/>
    <cellStyle name="Normal 2 2 2 4 2 17 3 9" xfId="19829" xr:uid="{00000000-0005-0000-0000-0000754D0000}"/>
    <cellStyle name="Normal 2 2 2 4 2 17 4" xfId="19830" xr:uid="{00000000-0005-0000-0000-0000764D0000}"/>
    <cellStyle name="Normal 2 2 2 4 2 17 4 10" xfId="19831" xr:uid="{00000000-0005-0000-0000-0000774D0000}"/>
    <cellStyle name="Normal 2 2 2 4 2 17 4 2" xfId="19832" xr:uid="{00000000-0005-0000-0000-0000784D0000}"/>
    <cellStyle name="Normal 2 2 2 4 2 17 4 3" xfId="19833" xr:uid="{00000000-0005-0000-0000-0000794D0000}"/>
    <cellStyle name="Normal 2 2 2 4 2 17 4 4" xfId="19834" xr:uid="{00000000-0005-0000-0000-00007A4D0000}"/>
    <cellStyle name="Normal 2 2 2 4 2 17 4 5" xfId="19835" xr:uid="{00000000-0005-0000-0000-00007B4D0000}"/>
    <cellStyle name="Normal 2 2 2 4 2 17 4 6" xfId="19836" xr:uid="{00000000-0005-0000-0000-00007C4D0000}"/>
    <cellStyle name="Normal 2 2 2 4 2 17 4 7" xfId="19837" xr:uid="{00000000-0005-0000-0000-00007D4D0000}"/>
    <cellStyle name="Normal 2 2 2 4 2 17 4 8" xfId="19838" xr:uid="{00000000-0005-0000-0000-00007E4D0000}"/>
    <cellStyle name="Normal 2 2 2 4 2 17 4 9" xfId="19839" xr:uid="{00000000-0005-0000-0000-00007F4D0000}"/>
    <cellStyle name="Normal 2 2 2 4 2 17 5" xfId="19840" xr:uid="{00000000-0005-0000-0000-0000804D0000}"/>
    <cellStyle name="Normal 2 2 2 4 2 17 5 10" xfId="19841" xr:uid="{00000000-0005-0000-0000-0000814D0000}"/>
    <cellStyle name="Normal 2 2 2 4 2 17 5 2" xfId="19842" xr:uid="{00000000-0005-0000-0000-0000824D0000}"/>
    <cellStyle name="Normal 2 2 2 4 2 17 5 3" xfId="19843" xr:uid="{00000000-0005-0000-0000-0000834D0000}"/>
    <cellStyle name="Normal 2 2 2 4 2 17 5 4" xfId="19844" xr:uid="{00000000-0005-0000-0000-0000844D0000}"/>
    <cellStyle name="Normal 2 2 2 4 2 17 5 5" xfId="19845" xr:uid="{00000000-0005-0000-0000-0000854D0000}"/>
    <cellStyle name="Normal 2 2 2 4 2 17 5 6" xfId="19846" xr:uid="{00000000-0005-0000-0000-0000864D0000}"/>
    <cellStyle name="Normal 2 2 2 4 2 17 5 7" xfId="19847" xr:uid="{00000000-0005-0000-0000-0000874D0000}"/>
    <cellStyle name="Normal 2 2 2 4 2 17 5 8" xfId="19848" xr:uid="{00000000-0005-0000-0000-0000884D0000}"/>
    <cellStyle name="Normal 2 2 2 4 2 17 5 9" xfId="19849" xr:uid="{00000000-0005-0000-0000-0000894D0000}"/>
    <cellStyle name="Normal 2 2 2 4 2 17 6" xfId="19850" xr:uid="{00000000-0005-0000-0000-00008A4D0000}"/>
    <cellStyle name="Normal 2 2 2 4 2 17 7" xfId="19851" xr:uid="{00000000-0005-0000-0000-00008B4D0000}"/>
    <cellStyle name="Normal 2 2 2 4 2 17 8" xfId="19852" xr:uid="{00000000-0005-0000-0000-00008C4D0000}"/>
    <cellStyle name="Normal 2 2 2 4 2 17 9" xfId="19853" xr:uid="{00000000-0005-0000-0000-00008D4D0000}"/>
    <cellStyle name="Normal 2 2 2 4 2 18" xfId="19854" xr:uid="{00000000-0005-0000-0000-00008E4D0000}"/>
    <cellStyle name="Normal 2 2 2 4 2 18 10" xfId="19855" xr:uid="{00000000-0005-0000-0000-00008F4D0000}"/>
    <cellStyle name="Normal 2 2 2 4 2 18 11" xfId="19856" xr:uid="{00000000-0005-0000-0000-0000904D0000}"/>
    <cellStyle name="Normal 2 2 2 4 2 18 12" xfId="19857" xr:uid="{00000000-0005-0000-0000-0000914D0000}"/>
    <cellStyle name="Normal 2 2 2 4 2 18 13" xfId="19858" xr:uid="{00000000-0005-0000-0000-0000924D0000}"/>
    <cellStyle name="Normal 2 2 2 4 2 18 14" xfId="19859" xr:uid="{00000000-0005-0000-0000-0000934D0000}"/>
    <cellStyle name="Normal 2 2 2 4 2 18 2" xfId="19860" xr:uid="{00000000-0005-0000-0000-0000944D0000}"/>
    <cellStyle name="Normal 2 2 2 4 2 18 2 10" xfId="19861" xr:uid="{00000000-0005-0000-0000-0000954D0000}"/>
    <cellStyle name="Normal 2 2 2 4 2 18 2 2" xfId="19862" xr:uid="{00000000-0005-0000-0000-0000964D0000}"/>
    <cellStyle name="Normal 2 2 2 4 2 18 2 3" xfId="19863" xr:uid="{00000000-0005-0000-0000-0000974D0000}"/>
    <cellStyle name="Normal 2 2 2 4 2 18 2 4" xfId="19864" xr:uid="{00000000-0005-0000-0000-0000984D0000}"/>
    <cellStyle name="Normal 2 2 2 4 2 18 2 5" xfId="19865" xr:uid="{00000000-0005-0000-0000-0000994D0000}"/>
    <cellStyle name="Normal 2 2 2 4 2 18 2 6" xfId="19866" xr:uid="{00000000-0005-0000-0000-00009A4D0000}"/>
    <cellStyle name="Normal 2 2 2 4 2 18 2 7" xfId="19867" xr:uid="{00000000-0005-0000-0000-00009B4D0000}"/>
    <cellStyle name="Normal 2 2 2 4 2 18 2 8" xfId="19868" xr:uid="{00000000-0005-0000-0000-00009C4D0000}"/>
    <cellStyle name="Normal 2 2 2 4 2 18 2 9" xfId="19869" xr:uid="{00000000-0005-0000-0000-00009D4D0000}"/>
    <cellStyle name="Normal 2 2 2 4 2 18 3" xfId="19870" xr:uid="{00000000-0005-0000-0000-00009E4D0000}"/>
    <cellStyle name="Normal 2 2 2 4 2 18 3 10" xfId="19871" xr:uid="{00000000-0005-0000-0000-00009F4D0000}"/>
    <cellStyle name="Normal 2 2 2 4 2 18 3 2" xfId="19872" xr:uid="{00000000-0005-0000-0000-0000A04D0000}"/>
    <cellStyle name="Normal 2 2 2 4 2 18 3 3" xfId="19873" xr:uid="{00000000-0005-0000-0000-0000A14D0000}"/>
    <cellStyle name="Normal 2 2 2 4 2 18 3 4" xfId="19874" xr:uid="{00000000-0005-0000-0000-0000A24D0000}"/>
    <cellStyle name="Normal 2 2 2 4 2 18 3 5" xfId="19875" xr:uid="{00000000-0005-0000-0000-0000A34D0000}"/>
    <cellStyle name="Normal 2 2 2 4 2 18 3 6" xfId="19876" xr:uid="{00000000-0005-0000-0000-0000A44D0000}"/>
    <cellStyle name="Normal 2 2 2 4 2 18 3 7" xfId="19877" xr:uid="{00000000-0005-0000-0000-0000A54D0000}"/>
    <cellStyle name="Normal 2 2 2 4 2 18 3 8" xfId="19878" xr:uid="{00000000-0005-0000-0000-0000A64D0000}"/>
    <cellStyle name="Normal 2 2 2 4 2 18 3 9" xfId="19879" xr:uid="{00000000-0005-0000-0000-0000A74D0000}"/>
    <cellStyle name="Normal 2 2 2 4 2 18 4" xfId="19880" xr:uid="{00000000-0005-0000-0000-0000A84D0000}"/>
    <cellStyle name="Normal 2 2 2 4 2 18 4 10" xfId="19881" xr:uid="{00000000-0005-0000-0000-0000A94D0000}"/>
    <cellStyle name="Normal 2 2 2 4 2 18 4 2" xfId="19882" xr:uid="{00000000-0005-0000-0000-0000AA4D0000}"/>
    <cellStyle name="Normal 2 2 2 4 2 18 4 3" xfId="19883" xr:uid="{00000000-0005-0000-0000-0000AB4D0000}"/>
    <cellStyle name="Normal 2 2 2 4 2 18 4 4" xfId="19884" xr:uid="{00000000-0005-0000-0000-0000AC4D0000}"/>
    <cellStyle name="Normal 2 2 2 4 2 18 4 5" xfId="19885" xr:uid="{00000000-0005-0000-0000-0000AD4D0000}"/>
    <cellStyle name="Normal 2 2 2 4 2 18 4 6" xfId="19886" xr:uid="{00000000-0005-0000-0000-0000AE4D0000}"/>
    <cellStyle name="Normal 2 2 2 4 2 18 4 7" xfId="19887" xr:uid="{00000000-0005-0000-0000-0000AF4D0000}"/>
    <cellStyle name="Normal 2 2 2 4 2 18 4 8" xfId="19888" xr:uid="{00000000-0005-0000-0000-0000B04D0000}"/>
    <cellStyle name="Normal 2 2 2 4 2 18 4 9" xfId="19889" xr:uid="{00000000-0005-0000-0000-0000B14D0000}"/>
    <cellStyle name="Normal 2 2 2 4 2 18 5" xfId="19890" xr:uid="{00000000-0005-0000-0000-0000B24D0000}"/>
    <cellStyle name="Normal 2 2 2 4 2 18 5 10" xfId="19891" xr:uid="{00000000-0005-0000-0000-0000B34D0000}"/>
    <cellStyle name="Normal 2 2 2 4 2 18 5 2" xfId="19892" xr:uid="{00000000-0005-0000-0000-0000B44D0000}"/>
    <cellStyle name="Normal 2 2 2 4 2 18 5 3" xfId="19893" xr:uid="{00000000-0005-0000-0000-0000B54D0000}"/>
    <cellStyle name="Normal 2 2 2 4 2 18 5 4" xfId="19894" xr:uid="{00000000-0005-0000-0000-0000B64D0000}"/>
    <cellStyle name="Normal 2 2 2 4 2 18 5 5" xfId="19895" xr:uid="{00000000-0005-0000-0000-0000B74D0000}"/>
    <cellStyle name="Normal 2 2 2 4 2 18 5 6" xfId="19896" xr:uid="{00000000-0005-0000-0000-0000B84D0000}"/>
    <cellStyle name="Normal 2 2 2 4 2 18 5 7" xfId="19897" xr:uid="{00000000-0005-0000-0000-0000B94D0000}"/>
    <cellStyle name="Normal 2 2 2 4 2 18 5 8" xfId="19898" xr:uid="{00000000-0005-0000-0000-0000BA4D0000}"/>
    <cellStyle name="Normal 2 2 2 4 2 18 5 9" xfId="19899" xr:uid="{00000000-0005-0000-0000-0000BB4D0000}"/>
    <cellStyle name="Normal 2 2 2 4 2 18 6" xfId="19900" xr:uid="{00000000-0005-0000-0000-0000BC4D0000}"/>
    <cellStyle name="Normal 2 2 2 4 2 18 7" xfId="19901" xr:uid="{00000000-0005-0000-0000-0000BD4D0000}"/>
    <cellStyle name="Normal 2 2 2 4 2 18 8" xfId="19902" xr:uid="{00000000-0005-0000-0000-0000BE4D0000}"/>
    <cellStyle name="Normal 2 2 2 4 2 18 9" xfId="19903" xr:uid="{00000000-0005-0000-0000-0000BF4D0000}"/>
    <cellStyle name="Normal 2 2 2 4 2 19" xfId="19904" xr:uid="{00000000-0005-0000-0000-0000C04D0000}"/>
    <cellStyle name="Normal 2 2 2 4 2 19 10" xfId="19905" xr:uid="{00000000-0005-0000-0000-0000C14D0000}"/>
    <cellStyle name="Normal 2 2 2 4 2 19 11" xfId="19906" xr:uid="{00000000-0005-0000-0000-0000C24D0000}"/>
    <cellStyle name="Normal 2 2 2 4 2 19 12" xfId="19907" xr:uid="{00000000-0005-0000-0000-0000C34D0000}"/>
    <cellStyle name="Normal 2 2 2 4 2 19 13" xfId="19908" xr:uid="{00000000-0005-0000-0000-0000C44D0000}"/>
    <cellStyle name="Normal 2 2 2 4 2 19 14" xfId="19909" xr:uid="{00000000-0005-0000-0000-0000C54D0000}"/>
    <cellStyle name="Normal 2 2 2 4 2 19 2" xfId="19910" xr:uid="{00000000-0005-0000-0000-0000C64D0000}"/>
    <cellStyle name="Normal 2 2 2 4 2 19 2 10" xfId="19911" xr:uid="{00000000-0005-0000-0000-0000C74D0000}"/>
    <cellStyle name="Normal 2 2 2 4 2 19 2 2" xfId="19912" xr:uid="{00000000-0005-0000-0000-0000C84D0000}"/>
    <cellStyle name="Normal 2 2 2 4 2 19 2 3" xfId="19913" xr:uid="{00000000-0005-0000-0000-0000C94D0000}"/>
    <cellStyle name="Normal 2 2 2 4 2 19 2 4" xfId="19914" xr:uid="{00000000-0005-0000-0000-0000CA4D0000}"/>
    <cellStyle name="Normal 2 2 2 4 2 19 2 5" xfId="19915" xr:uid="{00000000-0005-0000-0000-0000CB4D0000}"/>
    <cellStyle name="Normal 2 2 2 4 2 19 2 6" xfId="19916" xr:uid="{00000000-0005-0000-0000-0000CC4D0000}"/>
    <cellStyle name="Normal 2 2 2 4 2 19 2 7" xfId="19917" xr:uid="{00000000-0005-0000-0000-0000CD4D0000}"/>
    <cellStyle name="Normal 2 2 2 4 2 19 2 8" xfId="19918" xr:uid="{00000000-0005-0000-0000-0000CE4D0000}"/>
    <cellStyle name="Normal 2 2 2 4 2 19 2 9" xfId="19919" xr:uid="{00000000-0005-0000-0000-0000CF4D0000}"/>
    <cellStyle name="Normal 2 2 2 4 2 19 3" xfId="19920" xr:uid="{00000000-0005-0000-0000-0000D04D0000}"/>
    <cellStyle name="Normal 2 2 2 4 2 19 3 10" xfId="19921" xr:uid="{00000000-0005-0000-0000-0000D14D0000}"/>
    <cellStyle name="Normal 2 2 2 4 2 19 3 2" xfId="19922" xr:uid="{00000000-0005-0000-0000-0000D24D0000}"/>
    <cellStyle name="Normal 2 2 2 4 2 19 3 3" xfId="19923" xr:uid="{00000000-0005-0000-0000-0000D34D0000}"/>
    <cellStyle name="Normal 2 2 2 4 2 19 3 4" xfId="19924" xr:uid="{00000000-0005-0000-0000-0000D44D0000}"/>
    <cellStyle name="Normal 2 2 2 4 2 19 3 5" xfId="19925" xr:uid="{00000000-0005-0000-0000-0000D54D0000}"/>
    <cellStyle name="Normal 2 2 2 4 2 19 3 6" xfId="19926" xr:uid="{00000000-0005-0000-0000-0000D64D0000}"/>
    <cellStyle name="Normal 2 2 2 4 2 19 3 7" xfId="19927" xr:uid="{00000000-0005-0000-0000-0000D74D0000}"/>
    <cellStyle name="Normal 2 2 2 4 2 19 3 8" xfId="19928" xr:uid="{00000000-0005-0000-0000-0000D84D0000}"/>
    <cellStyle name="Normal 2 2 2 4 2 19 3 9" xfId="19929" xr:uid="{00000000-0005-0000-0000-0000D94D0000}"/>
    <cellStyle name="Normal 2 2 2 4 2 19 4" xfId="19930" xr:uid="{00000000-0005-0000-0000-0000DA4D0000}"/>
    <cellStyle name="Normal 2 2 2 4 2 19 4 10" xfId="19931" xr:uid="{00000000-0005-0000-0000-0000DB4D0000}"/>
    <cellStyle name="Normal 2 2 2 4 2 19 4 2" xfId="19932" xr:uid="{00000000-0005-0000-0000-0000DC4D0000}"/>
    <cellStyle name="Normal 2 2 2 4 2 19 4 3" xfId="19933" xr:uid="{00000000-0005-0000-0000-0000DD4D0000}"/>
    <cellStyle name="Normal 2 2 2 4 2 19 4 4" xfId="19934" xr:uid="{00000000-0005-0000-0000-0000DE4D0000}"/>
    <cellStyle name="Normal 2 2 2 4 2 19 4 5" xfId="19935" xr:uid="{00000000-0005-0000-0000-0000DF4D0000}"/>
    <cellStyle name="Normal 2 2 2 4 2 19 4 6" xfId="19936" xr:uid="{00000000-0005-0000-0000-0000E04D0000}"/>
    <cellStyle name="Normal 2 2 2 4 2 19 4 7" xfId="19937" xr:uid="{00000000-0005-0000-0000-0000E14D0000}"/>
    <cellStyle name="Normal 2 2 2 4 2 19 4 8" xfId="19938" xr:uid="{00000000-0005-0000-0000-0000E24D0000}"/>
    <cellStyle name="Normal 2 2 2 4 2 19 4 9" xfId="19939" xr:uid="{00000000-0005-0000-0000-0000E34D0000}"/>
    <cellStyle name="Normal 2 2 2 4 2 19 5" xfId="19940" xr:uid="{00000000-0005-0000-0000-0000E44D0000}"/>
    <cellStyle name="Normal 2 2 2 4 2 19 5 10" xfId="19941" xr:uid="{00000000-0005-0000-0000-0000E54D0000}"/>
    <cellStyle name="Normal 2 2 2 4 2 19 5 2" xfId="19942" xr:uid="{00000000-0005-0000-0000-0000E64D0000}"/>
    <cellStyle name="Normal 2 2 2 4 2 19 5 3" xfId="19943" xr:uid="{00000000-0005-0000-0000-0000E74D0000}"/>
    <cellStyle name="Normal 2 2 2 4 2 19 5 4" xfId="19944" xr:uid="{00000000-0005-0000-0000-0000E84D0000}"/>
    <cellStyle name="Normal 2 2 2 4 2 19 5 5" xfId="19945" xr:uid="{00000000-0005-0000-0000-0000E94D0000}"/>
    <cellStyle name="Normal 2 2 2 4 2 19 5 6" xfId="19946" xr:uid="{00000000-0005-0000-0000-0000EA4D0000}"/>
    <cellStyle name="Normal 2 2 2 4 2 19 5 7" xfId="19947" xr:uid="{00000000-0005-0000-0000-0000EB4D0000}"/>
    <cellStyle name="Normal 2 2 2 4 2 19 5 8" xfId="19948" xr:uid="{00000000-0005-0000-0000-0000EC4D0000}"/>
    <cellStyle name="Normal 2 2 2 4 2 19 5 9" xfId="19949" xr:uid="{00000000-0005-0000-0000-0000ED4D0000}"/>
    <cellStyle name="Normal 2 2 2 4 2 19 6" xfId="19950" xr:uid="{00000000-0005-0000-0000-0000EE4D0000}"/>
    <cellStyle name="Normal 2 2 2 4 2 19 7" xfId="19951" xr:uid="{00000000-0005-0000-0000-0000EF4D0000}"/>
    <cellStyle name="Normal 2 2 2 4 2 19 8" xfId="19952" xr:uid="{00000000-0005-0000-0000-0000F04D0000}"/>
    <cellStyle name="Normal 2 2 2 4 2 19 9" xfId="19953" xr:uid="{00000000-0005-0000-0000-0000F14D0000}"/>
    <cellStyle name="Normal 2 2 2 4 2 2" xfId="19954" xr:uid="{00000000-0005-0000-0000-0000F24D0000}"/>
    <cellStyle name="Normal 2 2 2 4 2 2 10" xfId="19955" xr:uid="{00000000-0005-0000-0000-0000F34D0000}"/>
    <cellStyle name="Normal 2 2 2 4 2 2 11" xfId="19956" xr:uid="{00000000-0005-0000-0000-0000F44D0000}"/>
    <cellStyle name="Normal 2 2 2 4 2 2 12" xfId="19957" xr:uid="{00000000-0005-0000-0000-0000F54D0000}"/>
    <cellStyle name="Normal 2 2 2 4 2 2 13" xfId="19958" xr:uid="{00000000-0005-0000-0000-0000F64D0000}"/>
    <cellStyle name="Normal 2 2 2 4 2 2 14" xfId="19959" xr:uid="{00000000-0005-0000-0000-0000F74D0000}"/>
    <cellStyle name="Normal 2 2 2 4 2 2 15" xfId="19960" xr:uid="{00000000-0005-0000-0000-0000F84D0000}"/>
    <cellStyle name="Normal 2 2 2 4 2 2 16" xfId="19961" xr:uid="{00000000-0005-0000-0000-0000F94D0000}"/>
    <cellStyle name="Normal 2 2 2 4 2 2 17" xfId="19962" xr:uid="{00000000-0005-0000-0000-0000FA4D0000}"/>
    <cellStyle name="Normal 2 2 2 4 2 2 18" xfId="19963" xr:uid="{00000000-0005-0000-0000-0000FB4D0000}"/>
    <cellStyle name="Normal 2 2 2 4 2 2 19" xfId="19964" xr:uid="{00000000-0005-0000-0000-0000FC4D0000}"/>
    <cellStyle name="Normal 2 2 2 4 2 2 2" xfId="19965" xr:uid="{00000000-0005-0000-0000-0000FD4D0000}"/>
    <cellStyle name="Normal 2 2 2 4 2 2 20" xfId="19966" xr:uid="{00000000-0005-0000-0000-0000FE4D0000}"/>
    <cellStyle name="Normal 2 2 2 4 2 2 21" xfId="19967" xr:uid="{00000000-0005-0000-0000-0000FF4D0000}"/>
    <cellStyle name="Normal 2 2 2 4 2 2 21 10" xfId="19968" xr:uid="{00000000-0005-0000-0000-0000004E0000}"/>
    <cellStyle name="Normal 2 2 2 4 2 2 21 2" xfId="19969" xr:uid="{00000000-0005-0000-0000-0000014E0000}"/>
    <cellStyle name="Normal 2 2 2 4 2 2 21 3" xfId="19970" xr:uid="{00000000-0005-0000-0000-0000024E0000}"/>
    <cellStyle name="Normal 2 2 2 4 2 2 21 4" xfId="19971" xr:uid="{00000000-0005-0000-0000-0000034E0000}"/>
    <cellStyle name="Normal 2 2 2 4 2 2 21 5" xfId="19972" xr:uid="{00000000-0005-0000-0000-0000044E0000}"/>
    <cellStyle name="Normal 2 2 2 4 2 2 21 6" xfId="19973" xr:uid="{00000000-0005-0000-0000-0000054E0000}"/>
    <cellStyle name="Normal 2 2 2 4 2 2 21 7" xfId="19974" xr:uid="{00000000-0005-0000-0000-0000064E0000}"/>
    <cellStyle name="Normal 2 2 2 4 2 2 21 8" xfId="19975" xr:uid="{00000000-0005-0000-0000-0000074E0000}"/>
    <cellStyle name="Normal 2 2 2 4 2 2 21 9" xfId="19976" xr:uid="{00000000-0005-0000-0000-0000084E0000}"/>
    <cellStyle name="Normal 2 2 2 4 2 2 22" xfId="19977" xr:uid="{00000000-0005-0000-0000-0000094E0000}"/>
    <cellStyle name="Normal 2 2 2 4 2 2 22 10" xfId="19978" xr:uid="{00000000-0005-0000-0000-00000A4E0000}"/>
    <cellStyle name="Normal 2 2 2 4 2 2 22 2" xfId="19979" xr:uid="{00000000-0005-0000-0000-00000B4E0000}"/>
    <cellStyle name="Normal 2 2 2 4 2 2 22 3" xfId="19980" xr:uid="{00000000-0005-0000-0000-00000C4E0000}"/>
    <cellStyle name="Normal 2 2 2 4 2 2 22 4" xfId="19981" xr:uid="{00000000-0005-0000-0000-00000D4E0000}"/>
    <cellStyle name="Normal 2 2 2 4 2 2 22 5" xfId="19982" xr:uid="{00000000-0005-0000-0000-00000E4E0000}"/>
    <cellStyle name="Normal 2 2 2 4 2 2 22 6" xfId="19983" xr:uid="{00000000-0005-0000-0000-00000F4E0000}"/>
    <cellStyle name="Normal 2 2 2 4 2 2 22 7" xfId="19984" xr:uid="{00000000-0005-0000-0000-0000104E0000}"/>
    <cellStyle name="Normal 2 2 2 4 2 2 22 8" xfId="19985" xr:uid="{00000000-0005-0000-0000-0000114E0000}"/>
    <cellStyle name="Normal 2 2 2 4 2 2 22 9" xfId="19986" xr:uid="{00000000-0005-0000-0000-0000124E0000}"/>
    <cellStyle name="Normal 2 2 2 4 2 2 23" xfId="19987" xr:uid="{00000000-0005-0000-0000-0000134E0000}"/>
    <cellStyle name="Normal 2 2 2 4 2 2 23 10" xfId="19988" xr:uid="{00000000-0005-0000-0000-0000144E0000}"/>
    <cellStyle name="Normal 2 2 2 4 2 2 23 2" xfId="19989" xr:uid="{00000000-0005-0000-0000-0000154E0000}"/>
    <cellStyle name="Normal 2 2 2 4 2 2 23 3" xfId="19990" xr:uid="{00000000-0005-0000-0000-0000164E0000}"/>
    <cellStyle name="Normal 2 2 2 4 2 2 23 4" xfId="19991" xr:uid="{00000000-0005-0000-0000-0000174E0000}"/>
    <cellStyle name="Normal 2 2 2 4 2 2 23 5" xfId="19992" xr:uid="{00000000-0005-0000-0000-0000184E0000}"/>
    <cellStyle name="Normal 2 2 2 4 2 2 23 6" xfId="19993" xr:uid="{00000000-0005-0000-0000-0000194E0000}"/>
    <cellStyle name="Normal 2 2 2 4 2 2 23 7" xfId="19994" xr:uid="{00000000-0005-0000-0000-00001A4E0000}"/>
    <cellStyle name="Normal 2 2 2 4 2 2 23 8" xfId="19995" xr:uid="{00000000-0005-0000-0000-00001B4E0000}"/>
    <cellStyle name="Normal 2 2 2 4 2 2 23 9" xfId="19996" xr:uid="{00000000-0005-0000-0000-00001C4E0000}"/>
    <cellStyle name="Normal 2 2 2 4 2 2 24" xfId="19997" xr:uid="{00000000-0005-0000-0000-00001D4E0000}"/>
    <cellStyle name="Normal 2 2 2 4 2 2 24 10" xfId="19998" xr:uid="{00000000-0005-0000-0000-00001E4E0000}"/>
    <cellStyle name="Normal 2 2 2 4 2 2 24 2" xfId="19999" xr:uid="{00000000-0005-0000-0000-00001F4E0000}"/>
    <cellStyle name="Normal 2 2 2 4 2 2 24 3" xfId="20000" xr:uid="{00000000-0005-0000-0000-0000204E0000}"/>
    <cellStyle name="Normal 2 2 2 4 2 2 24 4" xfId="20001" xr:uid="{00000000-0005-0000-0000-0000214E0000}"/>
    <cellStyle name="Normal 2 2 2 4 2 2 24 5" xfId="20002" xr:uid="{00000000-0005-0000-0000-0000224E0000}"/>
    <cellStyle name="Normal 2 2 2 4 2 2 24 6" xfId="20003" xr:uid="{00000000-0005-0000-0000-0000234E0000}"/>
    <cellStyle name="Normal 2 2 2 4 2 2 24 7" xfId="20004" xr:uid="{00000000-0005-0000-0000-0000244E0000}"/>
    <cellStyle name="Normal 2 2 2 4 2 2 24 8" xfId="20005" xr:uid="{00000000-0005-0000-0000-0000254E0000}"/>
    <cellStyle name="Normal 2 2 2 4 2 2 24 9" xfId="20006" xr:uid="{00000000-0005-0000-0000-0000264E0000}"/>
    <cellStyle name="Normal 2 2 2 4 2 2 25" xfId="20007" xr:uid="{00000000-0005-0000-0000-0000274E0000}"/>
    <cellStyle name="Normal 2 2 2 4 2 2 26" xfId="20008" xr:uid="{00000000-0005-0000-0000-0000284E0000}"/>
    <cellStyle name="Normal 2 2 2 4 2 2 27" xfId="20009" xr:uid="{00000000-0005-0000-0000-0000294E0000}"/>
    <cellStyle name="Normal 2 2 2 4 2 2 28" xfId="20010" xr:uid="{00000000-0005-0000-0000-00002A4E0000}"/>
    <cellStyle name="Normal 2 2 2 4 2 2 29" xfId="20011" xr:uid="{00000000-0005-0000-0000-00002B4E0000}"/>
    <cellStyle name="Normal 2 2 2 4 2 2 3" xfId="20012" xr:uid="{00000000-0005-0000-0000-00002C4E0000}"/>
    <cellStyle name="Normal 2 2 2 4 2 2 30" xfId="20013" xr:uid="{00000000-0005-0000-0000-00002D4E0000}"/>
    <cellStyle name="Normal 2 2 2 4 2 2 31" xfId="20014" xr:uid="{00000000-0005-0000-0000-00002E4E0000}"/>
    <cellStyle name="Normal 2 2 2 4 2 2 32" xfId="20015" xr:uid="{00000000-0005-0000-0000-00002F4E0000}"/>
    <cellStyle name="Normal 2 2 2 4 2 2 33" xfId="20016" xr:uid="{00000000-0005-0000-0000-0000304E0000}"/>
    <cellStyle name="Normal 2 2 2 4 2 2 34" xfId="20017" xr:uid="{00000000-0005-0000-0000-0000314E0000}"/>
    <cellStyle name="Normal 2 2 2 4 2 2 35" xfId="20018" xr:uid="{00000000-0005-0000-0000-0000324E0000}"/>
    <cellStyle name="Normal 2 2 2 4 2 2 4" xfId="20019" xr:uid="{00000000-0005-0000-0000-0000334E0000}"/>
    <cellStyle name="Normal 2 2 2 4 2 2 5" xfId="20020" xr:uid="{00000000-0005-0000-0000-0000344E0000}"/>
    <cellStyle name="Normal 2 2 2 4 2 2 6" xfId="20021" xr:uid="{00000000-0005-0000-0000-0000354E0000}"/>
    <cellStyle name="Normal 2 2 2 4 2 2 7" xfId="20022" xr:uid="{00000000-0005-0000-0000-0000364E0000}"/>
    <cellStyle name="Normal 2 2 2 4 2 2 8" xfId="20023" xr:uid="{00000000-0005-0000-0000-0000374E0000}"/>
    <cellStyle name="Normal 2 2 2 4 2 2 9" xfId="20024" xr:uid="{00000000-0005-0000-0000-0000384E0000}"/>
    <cellStyle name="Normal 2 2 2 4 2 20" xfId="20025" xr:uid="{00000000-0005-0000-0000-0000394E0000}"/>
    <cellStyle name="Normal 2 2 2 4 2 20 10" xfId="20026" xr:uid="{00000000-0005-0000-0000-00003A4E0000}"/>
    <cellStyle name="Normal 2 2 2 4 2 20 11" xfId="20027" xr:uid="{00000000-0005-0000-0000-00003B4E0000}"/>
    <cellStyle name="Normal 2 2 2 4 2 20 12" xfId="20028" xr:uid="{00000000-0005-0000-0000-00003C4E0000}"/>
    <cellStyle name="Normal 2 2 2 4 2 20 13" xfId="20029" xr:uid="{00000000-0005-0000-0000-00003D4E0000}"/>
    <cellStyle name="Normal 2 2 2 4 2 20 14" xfId="20030" xr:uid="{00000000-0005-0000-0000-00003E4E0000}"/>
    <cellStyle name="Normal 2 2 2 4 2 20 2" xfId="20031" xr:uid="{00000000-0005-0000-0000-00003F4E0000}"/>
    <cellStyle name="Normal 2 2 2 4 2 20 2 10" xfId="20032" xr:uid="{00000000-0005-0000-0000-0000404E0000}"/>
    <cellStyle name="Normal 2 2 2 4 2 20 2 2" xfId="20033" xr:uid="{00000000-0005-0000-0000-0000414E0000}"/>
    <cellStyle name="Normal 2 2 2 4 2 20 2 3" xfId="20034" xr:uid="{00000000-0005-0000-0000-0000424E0000}"/>
    <cellStyle name="Normal 2 2 2 4 2 20 2 4" xfId="20035" xr:uid="{00000000-0005-0000-0000-0000434E0000}"/>
    <cellStyle name="Normal 2 2 2 4 2 20 2 5" xfId="20036" xr:uid="{00000000-0005-0000-0000-0000444E0000}"/>
    <cellStyle name="Normal 2 2 2 4 2 20 2 6" xfId="20037" xr:uid="{00000000-0005-0000-0000-0000454E0000}"/>
    <cellStyle name="Normal 2 2 2 4 2 20 2 7" xfId="20038" xr:uid="{00000000-0005-0000-0000-0000464E0000}"/>
    <cellStyle name="Normal 2 2 2 4 2 20 2 8" xfId="20039" xr:uid="{00000000-0005-0000-0000-0000474E0000}"/>
    <cellStyle name="Normal 2 2 2 4 2 20 2 9" xfId="20040" xr:uid="{00000000-0005-0000-0000-0000484E0000}"/>
    <cellStyle name="Normal 2 2 2 4 2 20 3" xfId="20041" xr:uid="{00000000-0005-0000-0000-0000494E0000}"/>
    <cellStyle name="Normal 2 2 2 4 2 20 3 10" xfId="20042" xr:uid="{00000000-0005-0000-0000-00004A4E0000}"/>
    <cellStyle name="Normal 2 2 2 4 2 20 3 2" xfId="20043" xr:uid="{00000000-0005-0000-0000-00004B4E0000}"/>
    <cellStyle name="Normal 2 2 2 4 2 20 3 3" xfId="20044" xr:uid="{00000000-0005-0000-0000-00004C4E0000}"/>
    <cellStyle name="Normal 2 2 2 4 2 20 3 4" xfId="20045" xr:uid="{00000000-0005-0000-0000-00004D4E0000}"/>
    <cellStyle name="Normal 2 2 2 4 2 20 3 5" xfId="20046" xr:uid="{00000000-0005-0000-0000-00004E4E0000}"/>
    <cellStyle name="Normal 2 2 2 4 2 20 3 6" xfId="20047" xr:uid="{00000000-0005-0000-0000-00004F4E0000}"/>
    <cellStyle name="Normal 2 2 2 4 2 20 3 7" xfId="20048" xr:uid="{00000000-0005-0000-0000-0000504E0000}"/>
    <cellStyle name="Normal 2 2 2 4 2 20 3 8" xfId="20049" xr:uid="{00000000-0005-0000-0000-0000514E0000}"/>
    <cellStyle name="Normal 2 2 2 4 2 20 3 9" xfId="20050" xr:uid="{00000000-0005-0000-0000-0000524E0000}"/>
    <cellStyle name="Normal 2 2 2 4 2 20 4" xfId="20051" xr:uid="{00000000-0005-0000-0000-0000534E0000}"/>
    <cellStyle name="Normal 2 2 2 4 2 20 4 10" xfId="20052" xr:uid="{00000000-0005-0000-0000-0000544E0000}"/>
    <cellStyle name="Normal 2 2 2 4 2 20 4 2" xfId="20053" xr:uid="{00000000-0005-0000-0000-0000554E0000}"/>
    <cellStyle name="Normal 2 2 2 4 2 20 4 3" xfId="20054" xr:uid="{00000000-0005-0000-0000-0000564E0000}"/>
    <cellStyle name="Normal 2 2 2 4 2 20 4 4" xfId="20055" xr:uid="{00000000-0005-0000-0000-0000574E0000}"/>
    <cellStyle name="Normal 2 2 2 4 2 20 4 5" xfId="20056" xr:uid="{00000000-0005-0000-0000-0000584E0000}"/>
    <cellStyle name="Normal 2 2 2 4 2 20 4 6" xfId="20057" xr:uid="{00000000-0005-0000-0000-0000594E0000}"/>
    <cellStyle name="Normal 2 2 2 4 2 20 4 7" xfId="20058" xr:uid="{00000000-0005-0000-0000-00005A4E0000}"/>
    <cellStyle name="Normal 2 2 2 4 2 20 4 8" xfId="20059" xr:uid="{00000000-0005-0000-0000-00005B4E0000}"/>
    <cellStyle name="Normal 2 2 2 4 2 20 4 9" xfId="20060" xr:uid="{00000000-0005-0000-0000-00005C4E0000}"/>
    <cellStyle name="Normal 2 2 2 4 2 20 5" xfId="20061" xr:uid="{00000000-0005-0000-0000-00005D4E0000}"/>
    <cellStyle name="Normal 2 2 2 4 2 20 5 10" xfId="20062" xr:uid="{00000000-0005-0000-0000-00005E4E0000}"/>
    <cellStyle name="Normal 2 2 2 4 2 20 5 2" xfId="20063" xr:uid="{00000000-0005-0000-0000-00005F4E0000}"/>
    <cellStyle name="Normal 2 2 2 4 2 20 5 3" xfId="20064" xr:uid="{00000000-0005-0000-0000-0000604E0000}"/>
    <cellStyle name="Normal 2 2 2 4 2 20 5 4" xfId="20065" xr:uid="{00000000-0005-0000-0000-0000614E0000}"/>
    <cellStyle name="Normal 2 2 2 4 2 20 5 5" xfId="20066" xr:uid="{00000000-0005-0000-0000-0000624E0000}"/>
    <cellStyle name="Normal 2 2 2 4 2 20 5 6" xfId="20067" xr:uid="{00000000-0005-0000-0000-0000634E0000}"/>
    <cellStyle name="Normal 2 2 2 4 2 20 5 7" xfId="20068" xr:uid="{00000000-0005-0000-0000-0000644E0000}"/>
    <cellStyle name="Normal 2 2 2 4 2 20 5 8" xfId="20069" xr:uid="{00000000-0005-0000-0000-0000654E0000}"/>
    <cellStyle name="Normal 2 2 2 4 2 20 5 9" xfId="20070" xr:uid="{00000000-0005-0000-0000-0000664E0000}"/>
    <cellStyle name="Normal 2 2 2 4 2 20 6" xfId="20071" xr:uid="{00000000-0005-0000-0000-0000674E0000}"/>
    <cellStyle name="Normal 2 2 2 4 2 20 7" xfId="20072" xr:uid="{00000000-0005-0000-0000-0000684E0000}"/>
    <cellStyle name="Normal 2 2 2 4 2 20 8" xfId="20073" xr:uid="{00000000-0005-0000-0000-0000694E0000}"/>
    <cellStyle name="Normal 2 2 2 4 2 20 9" xfId="20074" xr:uid="{00000000-0005-0000-0000-00006A4E0000}"/>
    <cellStyle name="Normal 2 2 2 4 2 21" xfId="20075" xr:uid="{00000000-0005-0000-0000-00006B4E0000}"/>
    <cellStyle name="Normal 2 2 2 4 2 22" xfId="20076" xr:uid="{00000000-0005-0000-0000-00006C4E0000}"/>
    <cellStyle name="Normal 2 2 2 4 2 3" xfId="20077" xr:uid="{00000000-0005-0000-0000-00006D4E0000}"/>
    <cellStyle name="Normal 2 2 2 4 2 3 10" xfId="20078" xr:uid="{00000000-0005-0000-0000-00006E4E0000}"/>
    <cellStyle name="Normal 2 2 2 4 2 3 11" xfId="20079" xr:uid="{00000000-0005-0000-0000-00006F4E0000}"/>
    <cellStyle name="Normal 2 2 2 4 2 3 12" xfId="20080" xr:uid="{00000000-0005-0000-0000-0000704E0000}"/>
    <cellStyle name="Normal 2 2 2 4 2 3 13" xfId="20081" xr:uid="{00000000-0005-0000-0000-0000714E0000}"/>
    <cellStyle name="Normal 2 2 2 4 2 3 14" xfId="20082" xr:uid="{00000000-0005-0000-0000-0000724E0000}"/>
    <cellStyle name="Normal 2 2 2 4 2 3 2" xfId="20083" xr:uid="{00000000-0005-0000-0000-0000734E0000}"/>
    <cellStyle name="Normal 2 2 2 4 2 3 2 10" xfId="20084" xr:uid="{00000000-0005-0000-0000-0000744E0000}"/>
    <cellStyle name="Normal 2 2 2 4 2 3 2 2" xfId="20085" xr:uid="{00000000-0005-0000-0000-0000754E0000}"/>
    <cellStyle name="Normal 2 2 2 4 2 3 2 3" xfId="20086" xr:uid="{00000000-0005-0000-0000-0000764E0000}"/>
    <cellStyle name="Normal 2 2 2 4 2 3 2 4" xfId="20087" xr:uid="{00000000-0005-0000-0000-0000774E0000}"/>
    <cellStyle name="Normal 2 2 2 4 2 3 2 5" xfId="20088" xr:uid="{00000000-0005-0000-0000-0000784E0000}"/>
    <cellStyle name="Normal 2 2 2 4 2 3 2 6" xfId="20089" xr:uid="{00000000-0005-0000-0000-0000794E0000}"/>
    <cellStyle name="Normal 2 2 2 4 2 3 2 7" xfId="20090" xr:uid="{00000000-0005-0000-0000-00007A4E0000}"/>
    <cellStyle name="Normal 2 2 2 4 2 3 2 8" xfId="20091" xr:uid="{00000000-0005-0000-0000-00007B4E0000}"/>
    <cellStyle name="Normal 2 2 2 4 2 3 2 9" xfId="20092" xr:uid="{00000000-0005-0000-0000-00007C4E0000}"/>
    <cellStyle name="Normal 2 2 2 4 2 3 3" xfId="20093" xr:uid="{00000000-0005-0000-0000-00007D4E0000}"/>
    <cellStyle name="Normal 2 2 2 4 2 3 3 10" xfId="20094" xr:uid="{00000000-0005-0000-0000-00007E4E0000}"/>
    <cellStyle name="Normal 2 2 2 4 2 3 3 2" xfId="20095" xr:uid="{00000000-0005-0000-0000-00007F4E0000}"/>
    <cellStyle name="Normal 2 2 2 4 2 3 3 3" xfId="20096" xr:uid="{00000000-0005-0000-0000-0000804E0000}"/>
    <cellStyle name="Normal 2 2 2 4 2 3 3 4" xfId="20097" xr:uid="{00000000-0005-0000-0000-0000814E0000}"/>
    <cellStyle name="Normal 2 2 2 4 2 3 3 5" xfId="20098" xr:uid="{00000000-0005-0000-0000-0000824E0000}"/>
    <cellStyle name="Normal 2 2 2 4 2 3 3 6" xfId="20099" xr:uid="{00000000-0005-0000-0000-0000834E0000}"/>
    <cellStyle name="Normal 2 2 2 4 2 3 3 7" xfId="20100" xr:uid="{00000000-0005-0000-0000-0000844E0000}"/>
    <cellStyle name="Normal 2 2 2 4 2 3 3 8" xfId="20101" xr:uid="{00000000-0005-0000-0000-0000854E0000}"/>
    <cellStyle name="Normal 2 2 2 4 2 3 3 9" xfId="20102" xr:uid="{00000000-0005-0000-0000-0000864E0000}"/>
    <cellStyle name="Normal 2 2 2 4 2 3 4" xfId="20103" xr:uid="{00000000-0005-0000-0000-0000874E0000}"/>
    <cellStyle name="Normal 2 2 2 4 2 3 4 10" xfId="20104" xr:uid="{00000000-0005-0000-0000-0000884E0000}"/>
    <cellStyle name="Normal 2 2 2 4 2 3 4 2" xfId="20105" xr:uid="{00000000-0005-0000-0000-0000894E0000}"/>
    <cellStyle name="Normal 2 2 2 4 2 3 4 3" xfId="20106" xr:uid="{00000000-0005-0000-0000-00008A4E0000}"/>
    <cellStyle name="Normal 2 2 2 4 2 3 4 4" xfId="20107" xr:uid="{00000000-0005-0000-0000-00008B4E0000}"/>
    <cellStyle name="Normal 2 2 2 4 2 3 4 5" xfId="20108" xr:uid="{00000000-0005-0000-0000-00008C4E0000}"/>
    <cellStyle name="Normal 2 2 2 4 2 3 4 6" xfId="20109" xr:uid="{00000000-0005-0000-0000-00008D4E0000}"/>
    <cellStyle name="Normal 2 2 2 4 2 3 4 7" xfId="20110" xr:uid="{00000000-0005-0000-0000-00008E4E0000}"/>
    <cellStyle name="Normal 2 2 2 4 2 3 4 8" xfId="20111" xr:uid="{00000000-0005-0000-0000-00008F4E0000}"/>
    <cellStyle name="Normal 2 2 2 4 2 3 4 9" xfId="20112" xr:uid="{00000000-0005-0000-0000-0000904E0000}"/>
    <cellStyle name="Normal 2 2 2 4 2 3 5" xfId="20113" xr:uid="{00000000-0005-0000-0000-0000914E0000}"/>
    <cellStyle name="Normal 2 2 2 4 2 3 5 10" xfId="20114" xr:uid="{00000000-0005-0000-0000-0000924E0000}"/>
    <cellStyle name="Normal 2 2 2 4 2 3 5 2" xfId="20115" xr:uid="{00000000-0005-0000-0000-0000934E0000}"/>
    <cellStyle name="Normal 2 2 2 4 2 3 5 3" xfId="20116" xr:uid="{00000000-0005-0000-0000-0000944E0000}"/>
    <cellStyle name="Normal 2 2 2 4 2 3 5 4" xfId="20117" xr:uid="{00000000-0005-0000-0000-0000954E0000}"/>
    <cellStyle name="Normal 2 2 2 4 2 3 5 5" xfId="20118" xr:uid="{00000000-0005-0000-0000-0000964E0000}"/>
    <cellStyle name="Normal 2 2 2 4 2 3 5 6" xfId="20119" xr:uid="{00000000-0005-0000-0000-0000974E0000}"/>
    <cellStyle name="Normal 2 2 2 4 2 3 5 7" xfId="20120" xr:uid="{00000000-0005-0000-0000-0000984E0000}"/>
    <cellStyle name="Normal 2 2 2 4 2 3 5 8" xfId="20121" xr:uid="{00000000-0005-0000-0000-0000994E0000}"/>
    <cellStyle name="Normal 2 2 2 4 2 3 5 9" xfId="20122" xr:uid="{00000000-0005-0000-0000-00009A4E0000}"/>
    <cellStyle name="Normal 2 2 2 4 2 3 6" xfId="20123" xr:uid="{00000000-0005-0000-0000-00009B4E0000}"/>
    <cellStyle name="Normal 2 2 2 4 2 3 7" xfId="20124" xr:uid="{00000000-0005-0000-0000-00009C4E0000}"/>
    <cellStyle name="Normal 2 2 2 4 2 3 8" xfId="20125" xr:uid="{00000000-0005-0000-0000-00009D4E0000}"/>
    <cellStyle name="Normal 2 2 2 4 2 3 9" xfId="20126" xr:uid="{00000000-0005-0000-0000-00009E4E0000}"/>
    <cellStyle name="Normal 2 2 2 4 2 4" xfId="20127" xr:uid="{00000000-0005-0000-0000-00009F4E0000}"/>
    <cellStyle name="Normal 2 2 2 4 2 4 10" xfId="20128" xr:uid="{00000000-0005-0000-0000-0000A04E0000}"/>
    <cellStyle name="Normal 2 2 2 4 2 4 11" xfId="20129" xr:uid="{00000000-0005-0000-0000-0000A14E0000}"/>
    <cellStyle name="Normal 2 2 2 4 2 4 12" xfId="20130" xr:uid="{00000000-0005-0000-0000-0000A24E0000}"/>
    <cellStyle name="Normal 2 2 2 4 2 4 13" xfId="20131" xr:uid="{00000000-0005-0000-0000-0000A34E0000}"/>
    <cellStyle name="Normal 2 2 2 4 2 4 14" xfId="20132" xr:uid="{00000000-0005-0000-0000-0000A44E0000}"/>
    <cellStyle name="Normal 2 2 2 4 2 4 2" xfId="20133" xr:uid="{00000000-0005-0000-0000-0000A54E0000}"/>
    <cellStyle name="Normal 2 2 2 4 2 4 2 10" xfId="20134" xr:uid="{00000000-0005-0000-0000-0000A64E0000}"/>
    <cellStyle name="Normal 2 2 2 4 2 4 2 2" xfId="20135" xr:uid="{00000000-0005-0000-0000-0000A74E0000}"/>
    <cellStyle name="Normal 2 2 2 4 2 4 2 3" xfId="20136" xr:uid="{00000000-0005-0000-0000-0000A84E0000}"/>
    <cellStyle name="Normal 2 2 2 4 2 4 2 4" xfId="20137" xr:uid="{00000000-0005-0000-0000-0000A94E0000}"/>
    <cellStyle name="Normal 2 2 2 4 2 4 2 5" xfId="20138" xr:uid="{00000000-0005-0000-0000-0000AA4E0000}"/>
    <cellStyle name="Normal 2 2 2 4 2 4 2 6" xfId="20139" xr:uid="{00000000-0005-0000-0000-0000AB4E0000}"/>
    <cellStyle name="Normal 2 2 2 4 2 4 2 7" xfId="20140" xr:uid="{00000000-0005-0000-0000-0000AC4E0000}"/>
    <cellStyle name="Normal 2 2 2 4 2 4 2 8" xfId="20141" xr:uid="{00000000-0005-0000-0000-0000AD4E0000}"/>
    <cellStyle name="Normal 2 2 2 4 2 4 2 9" xfId="20142" xr:uid="{00000000-0005-0000-0000-0000AE4E0000}"/>
    <cellStyle name="Normal 2 2 2 4 2 4 3" xfId="20143" xr:uid="{00000000-0005-0000-0000-0000AF4E0000}"/>
    <cellStyle name="Normal 2 2 2 4 2 4 3 10" xfId="20144" xr:uid="{00000000-0005-0000-0000-0000B04E0000}"/>
    <cellStyle name="Normal 2 2 2 4 2 4 3 2" xfId="20145" xr:uid="{00000000-0005-0000-0000-0000B14E0000}"/>
    <cellStyle name="Normal 2 2 2 4 2 4 3 3" xfId="20146" xr:uid="{00000000-0005-0000-0000-0000B24E0000}"/>
    <cellStyle name="Normal 2 2 2 4 2 4 3 4" xfId="20147" xr:uid="{00000000-0005-0000-0000-0000B34E0000}"/>
    <cellStyle name="Normal 2 2 2 4 2 4 3 5" xfId="20148" xr:uid="{00000000-0005-0000-0000-0000B44E0000}"/>
    <cellStyle name="Normal 2 2 2 4 2 4 3 6" xfId="20149" xr:uid="{00000000-0005-0000-0000-0000B54E0000}"/>
    <cellStyle name="Normal 2 2 2 4 2 4 3 7" xfId="20150" xr:uid="{00000000-0005-0000-0000-0000B64E0000}"/>
    <cellStyle name="Normal 2 2 2 4 2 4 3 8" xfId="20151" xr:uid="{00000000-0005-0000-0000-0000B74E0000}"/>
    <cellStyle name="Normal 2 2 2 4 2 4 3 9" xfId="20152" xr:uid="{00000000-0005-0000-0000-0000B84E0000}"/>
    <cellStyle name="Normal 2 2 2 4 2 4 4" xfId="20153" xr:uid="{00000000-0005-0000-0000-0000B94E0000}"/>
    <cellStyle name="Normal 2 2 2 4 2 4 4 10" xfId="20154" xr:uid="{00000000-0005-0000-0000-0000BA4E0000}"/>
    <cellStyle name="Normal 2 2 2 4 2 4 4 2" xfId="20155" xr:uid="{00000000-0005-0000-0000-0000BB4E0000}"/>
    <cellStyle name="Normal 2 2 2 4 2 4 4 3" xfId="20156" xr:uid="{00000000-0005-0000-0000-0000BC4E0000}"/>
    <cellStyle name="Normal 2 2 2 4 2 4 4 4" xfId="20157" xr:uid="{00000000-0005-0000-0000-0000BD4E0000}"/>
    <cellStyle name="Normal 2 2 2 4 2 4 4 5" xfId="20158" xr:uid="{00000000-0005-0000-0000-0000BE4E0000}"/>
    <cellStyle name="Normal 2 2 2 4 2 4 4 6" xfId="20159" xr:uid="{00000000-0005-0000-0000-0000BF4E0000}"/>
    <cellStyle name="Normal 2 2 2 4 2 4 4 7" xfId="20160" xr:uid="{00000000-0005-0000-0000-0000C04E0000}"/>
    <cellStyle name="Normal 2 2 2 4 2 4 4 8" xfId="20161" xr:uid="{00000000-0005-0000-0000-0000C14E0000}"/>
    <cellStyle name="Normal 2 2 2 4 2 4 4 9" xfId="20162" xr:uid="{00000000-0005-0000-0000-0000C24E0000}"/>
    <cellStyle name="Normal 2 2 2 4 2 4 5" xfId="20163" xr:uid="{00000000-0005-0000-0000-0000C34E0000}"/>
    <cellStyle name="Normal 2 2 2 4 2 4 5 10" xfId="20164" xr:uid="{00000000-0005-0000-0000-0000C44E0000}"/>
    <cellStyle name="Normal 2 2 2 4 2 4 5 2" xfId="20165" xr:uid="{00000000-0005-0000-0000-0000C54E0000}"/>
    <cellStyle name="Normal 2 2 2 4 2 4 5 3" xfId="20166" xr:uid="{00000000-0005-0000-0000-0000C64E0000}"/>
    <cellStyle name="Normal 2 2 2 4 2 4 5 4" xfId="20167" xr:uid="{00000000-0005-0000-0000-0000C74E0000}"/>
    <cellStyle name="Normal 2 2 2 4 2 4 5 5" xfId="20168" xr:uid="{00000000-0005-0000-0000-0000C84E0000}"/>
    <cellStyle name="Normal 2 2 2 4 2 4 5 6" xfId="20169" xr:uid="{00000000-0005-0000-0000-0000C94E0000}"/>
    <cellStyle name="Normal 2 2 2 4 2 4 5 7" xfId="20170" xr:uid="{00000000-0005-0000-0000-0000CA4E0000}"/>
    <cellStyle name="Normal 2 2 2 4 2 4 5 8" xfId="20171" xr:uid="{00000000-0005-0000-0000-0000CB4E0000}"/>
    <cellStyle name="Normal 2 2 2 4 2 4 5 9" xfId="20172" xr:uid="{00000000-0005-0000-0000-0000CC4E0000}"/>
    <cellStyle name="Normal 2 2 2 4 2 4 6" xfId="20173" xr:uid="{00000000-0005-0000-0000-0000CD4E0000}"/>
    <cellStyle name="Normal 2 2 2 4 2 4 7" xfId="20174" xr:uid="{00000000-0005-0000-0000-0000CE4E0000}"/>
    <cellStyle name="Normal 2 2 2 4 2 4 8" xfId="20175" xr:uid="{00000000-0005-0000-0000-0000CF4E0000}"/>
    <cellStyle name="Normal 2 2 2 4 2 4 9" xfId="20176" xr:uid="{00000000-0005-0000-0000-0000D04E0000}"/>
    <cellStyle name="Normal 2 2 2 4 2 5" xfId="20177" xr:uid="{00000000-0005-0000-0000-0000D14E0000}"/>
    <cellStyle name="Normal 2 2 2 4 2 5 10" xfId="20178" xr:uid="{00000000-0005-0000-0000-0000D24E0000}"/>
    <cellStyle name="Normal 2 2 2 4 2 5 11" xfId="20179" xr:uid="{00000000-0005-0000-0000-0000D34E0000}"/>
    <cellStyle name="Normal 2 2 2 4 2 5 12" xfId="20180" xr:uid="{00000000-0005-0000-0000-0000D44E0000}"/>
    <cellStyle name="Normal 2 2 2 4 2 5 13" xfId="20181" xr:uid="{00000000-0005-0000-0000-0000D54E0000}"/>
    <cellStyle name="Normal 2 2 2 4 2 5 14" xfId="20182" xr:uid="{00000000-0005-0000-0000-0000D64E0000}"/>
    <cellStyle name="Normal 2 2 2 4 2 5 2" xfId="20183" xr:uid="{00000000-0005-0000-0000-0000D74E0000}"/>
    <cellStyle name="Normal 2 2 2 4 2 5 2 10" xfId="20184" xr:uid="{00000000-0005-0000-0000-0000D84E0000}"/>
    <cellStyle name="Normal 2 2 2 4 2 5 2 2" xfId="20185" xr:uid="{00000000-0005-0000-0000-0000D94E0000}"/>
    <cellStyle name="Normal 2 2 2 4 2 5 2 3" xfId="20186" xr:uid="{00000000-0005-0000-0000-0000DA4E0000}"/>
    <cellStyle name="Normal 2 2 2 4 2 5 2 4" xfId="20187" xr:uid="{00000000-0005-0000-0000-0000DB4E0000}"/>
    <cellStyle name="Normal 2 2 2 4 2 5 2 5" xfId="20188" xr:uid="{00000000-0005-0000-0000-0000DC4E0000}"/>
    <cellStyle name="Normal 2 2 2 4 2 5 2 6" xfId="20189" xr:uid="{00000000-0005-0000-0000-0000DD4E0000}"/>
    <cellStyle name="Normal 2 2 2 4 2 5 2 7" xfId="20190" xr:uid="{00000000-0005-0000-0000-0000DE4E0000}"/>
    <cellStyle name="Normal 2 2 2 4 2 5 2 8" xfId="20191" xr:uid="{00000000-0005-0000-0000-0000DF4E0000}"/>
    <cellStyle name="Normal 2 2 2 4 2 5 2 9" xfId="20192" xr:uid="{00000000-0005-0000-0000-0000E04E0000}"/>
    <cellStyle name="Normal 2 2 2 4 2 5 3" xfId="20193" xr:uid="{00000000-0005-0000-0000-0000E14E0000}"/>
    <cellStyle name="Normal 2 2 2 4 2 5 3 10" xfId="20194" xr:uid="{00000000-0005-0000-0000-0000E24E0000}"/>
    <cellStyle name="Normal 2 2 2 4 2 5 3 2" xfId="20195" xr:uid="{00000000-0005-0000-0000-0000E34E0000}"/>
    <cellStyle name="Normal 2 2 2 4 2 5 3 3" xfId="20196" xr:uid="{00000000-0005-0000-0000-0000E44E0000}"/>
    <cellStyle name="Normal 2 2 2 4 2 5 3 4" xfId="20197" xr:uid="{00000000-0005-0000-0000-0000E54E0000}"/>
    <cellStyle name="Normal 2 2 2 4 2 5 3 5" xfId="20198" xr:uid="{00000000-0005-0000-0000-0000E64E0000}"/>
    <cellStyle name="Normal 2 2 2 4 2 5 3 6" xfId="20199" xr:uid="{00000000-0005-0000-0000-0000E74E0000}"/>
    <cellStyle name="Normal 2 2 2 4 2 5 3 7" xfId="20200" xr:uid="{00000000-0005-0000-0000-0000E84E0000}"/>
    <cellStyle name="Normal 2 2 2 4 2 5 3 8" xfId="20201" xr:uid="{00000000-0005-0000-0000-0000E94E0000}"/>
    <cellStyle name="Normal 2 2 2 4 2 5 3 9" xfId="20202" xr:uid="{00000000-0005-0000-0000-0000EA4E0000}"/>
    <cellStyle name="Normal 2 2 2 4 2 5 4" xfId="20203" xr:uid="{00000000-0005-0000-0000-0000EB4E0000}"/>
    <cellStyle name="Normal 2 2 2 4 2 5 4 10" xfId="20204" xr:uid="{00000000-0005-0000-0000-0000EC4E0000}"/>
    <cellStyle name="Normal 2 2 2 4 2 5 4 2" xfId="20205" xr:uid="{00000000-0005-0000-0000-0000ED4E0000}"/>
    <cellStyle name="Normal 2 2 2 4 2 5 4 3" xfId="20206" xr:uid="{00000000-0005-0000-0000-0000EE4E0000}"/>
    <cellStyle name="Normal 2 2 2 4 2 5 4 4" xfId="20207" xr:uid="{00000000-0005-0000-0000-0000EF4E0000}"/>
    <cellStyle name="Normal 2 2 2 4 2 5 4 5" xfId="20208" xr:uid="{00000000-0005-0000-0000-0000F04E0000}"/>
    <cellStyle name="Normal 2 2 2 4 2 5 4 6" xfId="20209" xr:uid="{00000000-0005-0000-0000-0000F14E0000}"/>
    <cellStyle name="Normal 2 2 2 4 2 5 4 7" xfId="20210" xr:uid="{00000000-0005-0000-0000-0000F24E0000}"/>
    <cellStyle name="Normal 2 2 2 4 2 5 4 8" xfId="20211" xr:uid="{00000000-0005-0000-0000-0000F34E0000}"/>
    <cellStyle name="Normal 2 2 2 4 2 5 4 9" xfId="20212" xr:uid="{00000000-0005-0000-0000-0000F44E0000}"/>
    <cellStyle name="Normal 2 2 2 4 2 5 5" xfId="20213" xr:uid="{00000000-0005-0000-0000-0000F54E0000}"/>
    <cellStyle name="Normal 2 2 2 4 2 5 5 10" xfId="20214" xr:uid="{00000000-0005-0000-0000-0000F64E0000}"/>
    <cellStyle name="Normal 2 2 2 4 2 5 5 2" xfId="20215" xr:uid="{00000000-0005-0000-0000-0000F74E0000}"/>
    <cellStyle name="Normal 2 2 2 4 2 5 5 3" xfId="20216" xr:uid="{00000000-0005-0000-0000-0000F84E0000}"/>
    <cellStyle name="Normal 2 2 2 4 2 5 5 4" xfId="20217" xr:uid="{00000000-0005-0000-0000-0000F94E0000}"/>
    <cellStyle name="Normal 2 2 2 4 2 5 5 5" xfId="20218" xr:uid="{00000000-0005-0000-0000-0000FA4E0000}"/>
    <cellStyle name="Normal 2 2 2 4 2 5 5 6" xfId="20219" xr:uid="{00000000-0005-0000-0000-0000FB4E0000}"/>
    <cellStyle name="Normal 2 2 2 4 2 5 5 7" xfId="20220" xr:uid="{00000000-0005-0000-0000-0000FC4E0000}"/>
    <cellStyle name="Normal 2 2 2 4 2 5 5 8" xfId="20221" xr:uid="{00000000-0005-0000-0000-0000FD4E0000}"/>
    <cellStyle name="Normal 2 2 2 4 2 5 5 9" xfId="20222" xr:uid="{00000000-0005-0000-0000-0000FE4E0000}"/>
    <cellStyle name="Normal 2 2 2 4 2 5 6" xfId="20223" xr:uid="{00000000-0005-0000-0000-0000FF4E0000}"/>
    <cellStyle name="Normal 2 2 2 4 2 5 7" xfId="20224" xr:uid="{00000000-0005-0000-0000-0000004F0000}"/>
    <cellStyle name="Normal 2 2 2 4 2 5 8" xfId="20225" xr:uid="{00000000-0005-0000-0000-0000014F0000}"/>
    <cellStyle name="Normal 2 2 2 4 2 5 9" xfId="20226" xr:uid="{00000000-0005-0000-0000-0000024F0000}"/>
    <cellStyle name="Normal 2 2 2 4 2 6" xfId="20227" xr:uid="{00000000-0005-0000-0000-0000034F0000}"/>
    <cellStyle name="Normal 2 2 2 4 2 6 10" xfId="20228" xr:uid="{00000000-0005-0000-0000-0000044F0000}"/>
    <cellStyle name="Normal 2 2 2 4 2 6 11" xfId="20229" xr:uid="{00000000-0005-0000-0000-0000054F0000}"/>
    <cellStyle name="Normal 2 2 2 4 2 6 12" xfId="20230" xr:uid="{00000000-0005-0000-0000-0000064F0000}"/>
    <cellStyle name="Normal 2 2 2 4 2 6 13" xfId="20231" xr:uid="{00000000-0005-0000-0000-0000074F0000}"/>
    <cellStyle name="Normal 2 2 2 4 2 6 14" xfId="20232" xr:uid="{00000000-0005-0000-0000-0000084F0000}"/>
    <cellStyle name="Normal 2 2 2 4 2 6 2" xfId="20233" xr:uid="{00000000-0005-0000-0000-0000094F0000}"/>
    <cellStyle name="Normal 2 2 2 4 2 6 2 10" xfId="20234" xr:uid="{00000000-0005-0000-0000-00000A4F0000}"/>
    <cellStyle name="Normal 2 2 2 4 2 6 2 2" xfId="20235" xr:uid="{00000000-0005-0000-0000-00000B4F0000}"/>
    <cellStyle name="Normal 2 2 2 4 2 6 2 3" xfId="20236" xr:uid="{00000000-0005-0000-0000-00000C4F0000}"/>
    <cellStyle name="Normal 2 2 2 4 2 6 2 4" xfId="20237" xr:uid="{00000000-0005-0000-0000-00000D4F0000}"/>
    <cellStyle name="Normal 2 2 2 4 2 6 2 5" xfId="20238" xr:uid="{00000000-0005-0000-0000-00000E4F0000}"/>
    <cellStyle name="Normal 2 2 2 4 2 6 2 6" xfId="20239" xr:uid="{00000000-0005-0000-0000-00000F4F0000}"/>
    <cellStyle name="Normal 2 2 2 4 2 6 2 7" xfId="20240" xr:uid="{00000000-0005-0000-0000-0000104F0000}"/>
    <cellStyle name="Normal 2 2 2 4 2 6 2 8" xfId="20241" xr:uid="{00000000-0005-0000-0000-0000114F0000}"/>
    <cellStyle name="Normal 2 2 2 4 2 6 2 9" xfId="20242" xr:uid="{00000000-0005-0000-0000-0000124F0000}"/>
    <cellStyle name="Normal 2 2 2 4 2 6 3" xfId="20243" xr:uid="{00000000-0005-0000-0000-0000134F0000}"/>
    <cellStyle name="Normal 2 2 2 4 2 6 3 10" xfId="20244" xr:uid="{00000000-0005-0000-0000-0000144F0000}"/>
    <cellStyle name="Normal 2 2 2 4 2 6 3 2" xfId="20245" xr:uid="{00000000-0005-0000-0000-0000154F0000}"/>
    <cellStyle name="Normal 2 2 2 4 2 6 3 3" xfId="20246" xr:uid="{00000000-0005-0000-0000-0000164F0000}"/>
    <cellStyle name="Normal 2 2 2 4 2 6 3 4" xfId="20247" xr:uid="{00000000-0005-0000-0000-0000174F0000}"/>
    <cellStyle name="Normal 2 2 2 4 2 6 3 5" xfId="20248" xr:uid="{00000000-0005-0000-0000-0000184F0000}"/>
    <cellStyle name="Normal 2 2 2 4 2 6 3 6" xfId="20249" xr:uid="{00000000-0005-0000-0000-0000194F0000}"/>
    <cellStyle name="Normal 2 2 2 4 2 6 3 7" xfId="20250" xr:uid="{00000000-0005-0000-0000-00001A4F0000}"/>
    <cellStyle name="Normal 2 2 2 4 2 6 3 8" xfId="20251" xr:uid="{00000000-0005-0000-0000-00001B4F0000}"/>
    <cellStyle name="Normal 2 2 2 4 2 6 3 9" xfId="20252" xr:uid="{00000000-0005-0000-0000-00001C4F0000}"/>
    <cellStyle name="Normal 2 2 2 4 2 6 4" xfId="20253" xr:uid="{00000000-0005-0000-0000-00001D4F0000}"/>
    <cellStyle name="Normal 2 2 2 4 2 6 4 10" xfId="20254" xr:uid="{00000000-0005-0000-0000-00001E4F0000}"/>
    <cellStyle name="Normal 2 2 2 4 2 6 4 2" xfId="20255" xr:uid="{00000000-0005-0000-0000-00001F4F0000}"/>
    <cellStyle name="Normal 2 2 2 4 2 6 4 3" xfId="20256" xr:uid="{00000000-0005-0000-0000-0000204F0000}"/>
    <cellStyle name="Normal 2 2 2 4 2 6 4 4" xfId="20257" xr:uid="{00000000-0005-0000-0000-0000214F0000}"/>
    <cellStyle name="Normal 2 2 2 4 2 6 4 5" xfId="20258" xr:uid="{00000000-0005-0000-0000-0000224F0000}"/>
    <cellStyle name="Normal 2 2 2 4 2 6 4 6" xfId="20259" xr:uid="{00000000-0005-0000-0000-0000234F0000}"/>
    <cellStyle name="Normal 2 2 2 4 2 6 4 7" xfId="20260" xr:uid="{00000000-0005-0000-0000-0000244F0000}"/>
    <cellStyle name="Normal 2 2 2 4 2 6 4 8" xfId="20261" xr:uid="{00000000-0005-0000-0000-0000254F0000}"/>
    <cellStyle name="Normal 2 2 2 4 2 6 4 9" xfId="20262" xr:uid="{00000000-0005-0000-0000-0000264F0000}"/>
    <cellStyle name="Normal 2 2 2 4 2 6 5" xfId="20263" xr:uid="{00000000-0005-0000-0000-0000274F0000}"/>
    <cellStyle name="Normal 2 2 2 4 2 6 5 10" xfId="20264" xr:uid="{00000000-0005-0000-0000-0000284F0000}"/>
    <cellStyle name="Normal 2 2 2 4 2 6 5 2" xfId="20265" xr:uid="{00000000-0005-0000-0000-0000294F0000}"/>
    <cellStyle name="Normal 2 2 2 4 2 6 5 3" xfId="20266" xr:uid="{00000000-0005-0000-0000-00002A4F0000}"/>
    <cellStyle name="Normal 2 2 2 4 2 6 5 4" xfId="20267" xr:uid="{00000000-0005-0000-0000-00002B4F0000}"/>
    <cellStyle name="Normal 2 2 2 4 2 6 5 5" xfId="20268" xr:uid="{00000000-0005-0000-0000-00002C4F0000}"/>
    <cellStyle name="Normal 2 2 2 4 2 6 5 6" xfId="20269" xr:uid="{00000000-0005-0000-0000-00002D4F0000}"/>
    <cellStyle name="Normal 2 2 2 4 2 6 5 7" xfId="20270" xr:uid="{00000000-0005-0000-0000-00002E4F0000}"/>
    <cellStyle name="Normal 2 2 2 4 2 6 5 8" xfId="20271" xr:uid="{00000000-0005-0000-0000-00002F4F0000}"/>
    <cellStyle name="Normal 2 2 2 4 2 6 5 9" xfId="20272" xr:uid="{00000000-0005-0000-0000-0000304F0000}"/>
    <cellStyle name="Normal 2 2 2 4 2 6 6" xfId="20273" xr:uid="{00000000-0005-0000-0000-0000314F0000}"/>
    <cellStyle name="Normal 2 2 2 4 2 6 7" xfId="20274" xr:uid="{00000000-0005-0000-0000-0000324F0000}"/>
    <cellStyle name="Normal 2 2 2 4 2 6 8" xfId="20275" xr:uid="{00000000-0005-0000-0000-0000334F0000}"/>
    <cellStyle name="Normal 2 2 2 4 2 6 9" xfId="20276" xr:uid="{00000000-0005-0000-0000-0000344F0000}"/>
    <cellStyle name="Normal 2 2 2 4 2 7" xfId="20277" xr:uid="{00000000-0005-0000-0000-0000354F0000}"/>
    <cellStyle name="Normal 2 2 2 4 2 7 10" xfId="20278" xr:uid="{00000000-0005-0000-0000-0000364F0000}"/>
    <cellStyle name="Normal 2 2 2 4 2 7 11" xfId="20279" xr:uid="{00000000-0005-0000-0000-0000374F0000}"/>
    <cellStyle name="Normal 2 2 2 4 2 7 12" xfId="20280" xr:uid="{00000000-0005-0000-0000-0000384F0000}"/>
    <cellStyle name="Normal 2 2 2 4 2 7 13" xfId="20281" xr:uid="{00000000-0005-0000-0000-0000394F0000}"/>
    <cellStyle name="Normal 2 2 2 4 2 7 14" xfId="20282" xr:uid="{00000000-0005-0000-0000-00003A4F0000}"/>
    <cellStyle name="Normal 2 2 2 4 2 7 2" xfId="20283" xr:uid="{00000000-0005-0000-0000-00003B4F0000}"/>
    <cellStyle name="Normal 2 2 2 4 2 7 2 10" xfId="20284" xr:uid="{00000000-0005-0000-0000-00003C4F0000}"/>
    <cellStyle name="Normal 2 2 2 4 2 7 2 2" xfId="20285" xr:uid="{00000000-0005-0000-0000-00003D4F0000}"/>
    <cellStyle name="Normal 2 2 2 4 2 7 2 3" xfId="20286" xr:uid="{00000000-0005-0000-0000-00003E4F0000}"/>
    <cellStyle name="Normal 2 2 2 4 2 7 2 4" xfId="20287" xr:uid="{00000000-0005-0000-0000-00003F4F0000}"/>
    <cellStyle name="Normal 2 2 2 4 2 7 2 5" xfId="20288" xr:uid="{00000000-0005-0000-0000-0000404F0000}"/>
    <cellStyle name="Normal 2 2 2 4 2 7 2 6" xfId="20289" xr:uid="{00000000-0005-0000-0000-0000414F0000}"/>
    <cellStyle name="Normal 2 2 2 4 2 7 2 7" xfId="20290" xr:uid="{00000000-0005-0000-0000-0000424F0000}"/>
    <cellStyle name="Normal 2 2 2 4 2 7 2 8" xfId="20291" xr:uid="{00000000-0005-0000-0000-0000434F0000}"/>
    <cellStyle name="Normal 2 2 2 4 2 7 2 9" xfId="20292" xr:uid="{00000000-0005-0000-0000-0000444F0000}"/>
    <cellStyle name="Normal 2 2 2 4 2 7 3" xfId="20293" xr:uid="{00000000-0005-0000-0000-0000454F0000}"/>
    <cellStyle name="Normal 2 2 2 4 2 7 3 10" xfId="20294" xr:uid="{00000000-0005-0000-0000-0000464F0000}"/>
    <cellStyle name="Normal 2 2 2 4 2 7 3 2" xfId="20295" xr:uid="{00000000-0005-0000-0000-0000474F0000}"/>
    <cellStyle name="Normal 2 2 2 4 2 7 3 3" xfId="20296" xr:uid="{00000000-0005-0000-0000-0000484F0000}"/>
    <cellStyle name="Normal 2 2 2 4 2 7 3 4" xfId="20297" xr:uid="{00000000-0005-0000-0000-0000494F0000}"/>
    <cellStyle name="Normal 2 2 2 4 2 7 3 5" xfId="20298" xr:uid="{00000000-0005-0000-0000-00004A4F0000}"/>
    <cellStyle name="Normal 2 2 2 4 2 7 3 6" xfId="20299" xr:uid="{00000000-0005-0000-0000-00004B4F0000}"/>
    <cellStyle name="Normal 2 2 2 4 2 7 3 7" xfId="20300" xr:uid="{00000000-0005-0000-0000-00004C4F0000}"/>
    <cellStyle name="Normal 2 2 2 4 2 7 3 8" xfId="20301" xr:uid="{00000000-0005-0000-0000-00004D4F0000}"/>
    <cellStyle name="Normal 2 2 2 4 2 7 3 9" xfId="20302" xr:uid="{00000000-0005-0000-0000-00004E4F0000}"/>
    <cellStyle name="Normal 2 2 2 4 2 7 4" xfId="20303" xr:uid="{00000000-0005-0000-0000-00004F4F0000}"/>
    <cellStyle name="Normal 2 2 2 4 2 7 4 10" xfId="20304" xr:uid="{00000000-0005-0000-0000-0000504F0000}"/>
    <cellStyle name="Normal 2 2 2 4 2 7 4 2" xfId="20305" xr:uid="{00000000-0005-0000-0000-0000514F0000}"/>
    <cellStyle name="Normal 2 2 2 4 2 7 4 3" xfId="20306" xr:uid="{00000000-0005-0000-0000-0000524F0000}"/>
    <cellStyle name="Normal 2 2 2 4 2 7 4 4" xfId="20307" xr:uid="{00000000-0005-0000-0000-0000534F0000}"/>
    <cellStyle name="Normal 2 2 2 4 2 7 4 5" xfId="20308" xr:uid="{00000000-0005-0000-0000-0000544F0000}"/>
    <cellStyle name="Normal 2 2 2 4 2 7 4 6" xfId="20309" xr:uid="{00000000-0005-0000-0000-0000554F0000}"/>
    <cellStyle name="Normal 2 2 2 4 2 7 4 7" xfId="20310" xr:uid="{00000000-0005-0000-0000-0000564F0000}"/>
    <cellStyle name="Normal 2 2 2 4 2 7 4 8" xfId="20311" xr:uid="{00000000-0005-0000-0000-0000574F0000}"/>
    <cellStyle name="Normal 2 2 2 4 2 7 4 9" xfId="20312" xr:uid="{00000000-0005-0000-0000-0000584F0000}"/>
    <cellStyle name="Normal 2 2 2 4 2 7 5" xfId="20313" xr:uid="{00000000-0005-0000-0000-0000594F0000}"/>
    <cellStyle name="Normal 2 2 2 4 2 7 5 10" xfId="20314" xr:uid="{00000000-0005-0000-0000-00005A4F0000}"/>
    <cellStyle name="Normal 2 2 2 4 2 7 5 2" xfId="20315" xr:uid="{00000000-0005-0000-0000-00005B4F0000}"/>
    <cellStyle name="Normal 2 2 2 4 2 7 5 3" xfId="20316" xr:uid="{00000000-0005-0000-0000-00005C4F0000}"/>
    <cellStyle name="Normal 2 2 2 4 2 7 5 4" xfId="20317" xr:uid="{00000000-0005-0000-0000-00005D4F0000}"/>
    <cellStyle name="Normal 2 2 2 4 2 7 5 5" xfId="20318" xr:uid="{00000000-0005-0000-0000-00005E4F0000}"/>
    <cellStyle name="Normal 2 2 2 4 2 7 5 6" xfId="20319" xr:uid="{00000000-0005-0000-0000-00005F4F0000}"/>
    <cellStyle name="Normal 2 2 2 4 2 7 5 7" xfId="20320" xr:uid="{00000000-0005-0000-0000-0000604F0000}"/>
    <cellStyle name="Normal 2 2 2 4 2 7 5 8" xfId="20321" xr:uid="{00000000-0005-0000-0000-0000614F0000}"/>
    <cellStyle name="Normal 2 2 2 4 2 7 5 9" xfId="20322" xr:uid="{00000000-0005-0000-0000-0000624F0000}"/>
    <cellStyle name="Normal 2 2 2 4 2 7 6" xfId="20323" xr:uid="{00000000-0005-0000-0000-0000634F0000}"/>
    <cellStyle name="Normal 2 2 2 4 2 7 7" xfId="20324" xr:uid="{00000000-0005-0000-0000-0000644F0000}"/>
    <cellStyle name="Normal 2 2 2 4 2 7 8" xfId="20325" xr:uid="{00000000-0005-0000-0000-0000654F0000}"/>
    <cellStyle name="Normal 2 2 2 4 2 7 9" xfId="20326" xr:uid="{00000000-0005-0000-0000-0000664F0000}"/>
    <cellStyle name="Normal 2 2 2 4 2 8" xfId="20327" xr:uid="{00000000-0005-0000-0000-0000674F0000}"/>
    <cellStyle name="Normal 2 2 2 4 2 8 10" xfId="20328" xr:uid="{00000000-0005-0000-0000-0000684F0000}"/>
    <cellStyle name="Normal 2 2 2 4 2 8 11" xfId="20329" xr:uid="{00000000-0005-0000-0000-0000694F0000}"/>
    <cellStyle name="Normal 2 2 2 4 2 8 12" xfId="20330" xr:uid="{00000000-0005-0000-0000-00006A4F0000}"/>
    <cellStyle name="Normal 2 2 2 4 2 8 13" xfId="20331" xr:uid="{00000000-0005-0000-0000-00006B4F0000}"/>
    <cellStyle name="Normal 2 2 2 4 2 8 14" xfId="20332" xr:uid="{00000000-0005-0000-0000-00006C4F0000}"/>
    <cellStyle name="Normal 2 2 2 4 2 8 2" xfId="20333" xr:uid="{00000000-0005-0000-0000-00006D4F0000}"/>
    <cellStyle name="Normal 2 2 2 4 2 8 2 10" xfId="20334" xr:uid="{00000000-0005-0000-0000-00006E4F0000}"/>
    <cellStyle name="Normal 2 2 2 4 2 8 2 2" xfId="20335" xr:uid="{00000000-0005-0000-0000-00006F4F0000}"/>
    <cellStyle name="Normal 2 2 2 4 2 8 2 3" xfId="20336" xr:uid="{00000000-0005-0000-0000-0000704F0000}"/>
    <cellStyle name="Normal 2 2 2 4 2 8 2 4" xfId="20337" xr:uid="{00000000-0005-0000-0000-0000714F0000}"/>
    <cellStyle name="Normal 2 2 2 4 2 8 2 5" xfId="20338" xr:uid="{00000000-0005-0000-0000-0000724F0000}"/>
    <cellStyle name="Normal 2 2 2 4 2 8 2 6" xfId="20339" xr:uid="{00000000-0005-0000-0000-0000734F0000}"/>
    <cellStyle name="Normal 2 2 2 4 2 8 2 7" xfId="20340" xr:uid="{00000000-0005-0000-0000-0000744F0000}"/>
    <cellStyle name="Normal 2 2 2 4 2 8 2 8" xfId="20341" xr:uid="{00000000-0005-0000-0000-0000754F0000}"/>
    <cellStyle name="Normal 2 2 2 4 2 8 2 9" xfId="20342" xr:uid="{00000000-0005-0000-0000-0000764F0000}"/>
    <cellStyle name="Normal 2 2 2 4 2 8 3" xfId="20343" xr:uid="{00000000-0005-0000-0000-0000774F0000}"/>
    <cellStyle name="Normal 2 2 2 4 2 8 3 10" xfId="20344" xr:uid="{00000000-0005-0000-0000-0000784F0000}"/>
    <cellStyle name="Normal 2 2 2 4 2 8 3 2" xfId="20345" xr:uid="{00000000-0005-0000-0000-0000794F0000}"/>
    <cellStyle name="Normal 2 2 2 4 2 8 3 3" xfId="20346" xr:uid="{00000000-0005-0000-0000-00007A4F0000}"/>
    <cellStyle name="Normal 2 2 2 4 2 8 3 4" xfId="20347" xr:uid="{00000000-0005-0000-0000-00007B4F0000}"/>
    <cellStyle name="Normal 2 2 2 4 2 8 3 5" xfId="20348" xr:uid="{00000000-0005-0000-0000-00007C4F0000}"/>
    <cellStyle name="Normal 2 2 2 4 2 8 3 6" xfId="20349" xr:uid="{00000000-0005-0000-0000-00007D4F0000}"/>
    <cellStyle name="Normal 2 2 2 4 2 8 3 7" xfId="20350" xr:uid="{00000000-0005-0000-0000-00007E4F0000}"/>
    <cellStyle name="Normal 2 2 2 4 2 8 3 8" xfId="20351" xr:uid="{00000000-0005-0000-0000-00007F4F0000}"/>
    <cellStyle name="Normal 2 2 2 4 2 8 3 9" xfId="20352" xr:uid="{00000000-0005-0000-0000-0000804F0000}"/>
    <cellStyle name="Normal 2 2 2 4 2 8 4" xfId="20353" xr:uid="{00000000-0005-0000-0000-0000814F0000}"/>
    <cellStyle name="Normal 2 2 2 4 2 8 4 10" xfId="20354" xr:uid="{00000000-0005-0000-0000-0000824F0000}"/>
    <cellStyle name="Normal 2 2 2 4 2 8 4 2" xfId="20355" xr:uid="{00000000-0005-0000-0000-0000834F0000}"/>
    <cellStyle name="Normal 2 2 2 4 2 8 4 3" xfId="20356" xr:uid="{00000000-0005-0000-0000-0000844F0000}"/>
    <cellStyle name="Normal 2 2 2 4 2 8 4 4" xfId="20357" xr:uid="{00000000-0005-0000-0000-0000854F0000}"/>
    <cellStyle name="Normal 2 2 2 4 2 8 4 5" xfId="20358" xr:uid="{00000000-0005-0000-0000-0000864F0000}"/>
    <cellStyle name="Normal 2 2 2 4 2 8 4 6" xfId="20359" xr:uid="{00000000-0005-0000-0000-0000874F0000}"/>
    <cellStyle name="Normal 2 2 2 4 2 8 4 7" xfId="20360" xr:uid="{00000000-0005-0000-0000-0000884F0000}"/>
    <cellStyle name="Normal 2 2 2 4 2 8 4 8" xfId="20361" xr:uid="{00000000-0005-0000-0000-0000894F0000}"/>
    <cellStyle name="Normal 2 2 2 4 2 8 4 9" xfId="20362" xr:uid="{00000000-0005-0000-0000-00008A4F0000}"/>
    <cellStyle name="Normal 2 2 2 4 2 8 5" xfId="20363" xr:uid="{00000000-0005-0000-0000-00008B4F0000}"/>
    <cellStyle name="Normal 2 2 2 4 2 8 5 10" xfId="20364" xr:uid="{00000000-0005-0000-0000-00008C4F0000}"/>
    <cellStyle name="Normal 2 2 2 4 2 8 5 2" xfId="20365" xr:uid="{00000000-0005-0000-0000-00008D4F0000}"/>
    <cellStyle name="Normal 2 2 2 4 2 8 5 3" xfId="20366" xr:uid="{00000000-0005-0000-0000-00008E4F0000}"/>
    <cellStyle name="Normal 2 2 2 4 2 8 5 4" xfId="20367" xr:uid="{00000000-0005-0000-0000-00008F4F0000}"/>
    <cellStyle name="Normal 2 2 2 4 2 8 5 5" xfId="20368" xr:uid="{00000000-0005-0000-0000-0000904F0000}"/>
    <cellStyle name="Normal 2 2 2 4 2 8 5 6" xfId="20369" xr:uid="{00000000-0005-0000-0000-0000914F0000}"/>
    <cellStyle name="Normal 2 2 2 4 2 8 5 7" xfId="20370" xr:uid="{00000000-0005-0000-0000-0000924F0000}"/>
    <cellStyle name="Normal 2 2 2 4 2 8 5 8" xfId="20371" xr:uid="{00000000-0005-0000-0000-0000934F0000}"/>
    <cellStyle name="Normal 2 2 2 4 2 8 5 9" xfId="20372" xr:uid="{00000000-0005-0000-0000-0000944F0000}"/>
    <cellStyle name="Normal 2 2 2 4 2 8 6" xfId="20373" xr:uid="{00000000-0005-0000-0000-0000954F0000}"/>
    <cellStyle name="Normal 2 2 2 4 2 8 7" xfId="20374" xr:uid="{00000000-0005-0000-0000-0000964F0000}"/>
    <cellStyle name="Normal 2 2 2 4 2 8 8" xfId="20375" xr:uid="{00000000-0005-0000-0000-0000974F0000}"/>
    <cellStyle name="Normal 2 2 2 4 2 8 9" xfId="20376" xr:uid="{00000000-0005-0000-0000-0000984F0000}"/>
    <cellStyle name="Normal 2 2 2 4 2 9" xfId="20377" xr:uid="{00000000-0005-0000-0000-0000994F0000}"/>
    <cellStyle name="Normal 2 2 2 4 2 9 10" xfId="20378" xr:uid="{00000000-0005-0000-0000-00009A4F0000}"/>
    <cellStyle name="Normal 2 2 2 4 2 9 11" xfId="20379" xr:uid="{00000000-0005-0000-0000-00009B4F0000}"/>
    <cellStyle name="Normal 2 2 2 4 2 9 12" xfId="20380" xr:uid="{00000000-0005-0000-0000-00009C4F0000}"/>
    <cellStyle name="Normal 2 2 2 4 2 9 13" xfId="20381" xr:uid="{00000000-0005-0000-0000-00009D4F0000}"/>
    <cellStyle name="Normal 2 2 2 4 2 9 14" xfId="20382" xr:uid="{00000000-0005-0000-0000-00009E4F0000}"/>
    <cellStyle name="Normal 2 2 2 4 2 9 2" xfId="20383" xr:uid="{00000000-0005-0000-0000-00009F4F0000}"/>
    <cellStyle name="Normal 2 2 2 4 2 9 2 10" xfId="20384" xr:uid="{00000000-0005-0000-0000-0000A04F0000}"/>
    <cellStyle name="Normal 2 2 2 4 2 9 2 2" xfId="20385" xr:uid="{00000000-0005-0000-0000-0000A14F0000}"/>
    <cellStyle name="Normal 2 2 2 4 2 9 2 3" xfId="20386" xr:uid="{00000000-0005-0000-0000-0000A24F0000}"/>
    <cellStyle name="Normal 2 2 2 4 2 9 2 4" xfId="20387" xr:uid="{00000000-0005-0000-0000-0000A34F0000}"/>
    <cellStyle name="Normal 2 2 2 4 2 9 2 5" xfId="20388" xr:uid="{00000000-0005-0000-0000-0000A44F0000}"/>
    <cellStyle name="Normal 2 2 2 4 2 9 2 6" xfId="20389" xr:uid="{00000000-0005-0000-0000-0000A54F0000}"/>
    <cellStyle name="Normal 2 2 2 4 2 9 2 7" xfId="20390" xr:uid="{00000000-0005-0000-0000-0000A64F0000}"/>
    <cellStyle name="Normal 2 2 2 4 2 9 2 8" xfId="20391" xr:uid="{00000000-0005-0000-0000-0000A74F0000}"/>
    <cellStyle name="Normal 2 2 2 4 2 9 2 9" xfId="20392" xr:uid="{00000000-0005-0000-0000-0000A84F0000}"/>
    <cellStyle name="Normal 2 2 2 4 2 9 3" xfId="20393" xr:uid="{00000000-0005-0000-0000-0000A94F0000}"/>
    <cellStyle name="Normal 2 2 2 4 2 9 3 10" xfId="20394" xr:uid="{00000000-0005-0000-0000-0000AA4F0000}"/>
    <cellStyle name="Normal 2 2 2 4 2 9 3 2" xfId="20395" xr:uid="{00000000-0005-0000-0000-0000AB4F0000}"/>
    <cellStyle name="Normal 2 2 2 4 2 9 3 3" xfId="20396" xr:uid="{00000000-0005-0000-0000-0000AC4F0000}"/>
    <cellStyle name="Normal 2 2 2 4 2 9 3 4" xfId="20397" xr:uid="{00000000-0005-0000-0000-0000AD4F0000}"/>
    <cellStyle name="Normal 2 2 2 4 2 9 3 5" xfId="20398" xr:uid="{00000000-0005-0000-0000-0000AE4F0000}"/>
    <cellStyle name="Normal 2 2 2 4 2 9 3 6" xfId="20399" xr:uid="{00000000-0005-0000-0000-0000AF4F0000}"/>
    <cellStyle name="Normal 2 2 2 4 2 9 3 7" xfId="20400" xr:uid="{00000000-0005-0000-0000-0000B04F0000}"/>
    <cellStyle name="Normal 2 2 2 4 2 9 3 8" xfId="20401" xr:uid="{00000000-0005-0000-0000-0000B14F0000}"/>
    <cellStyle name="Normal 2 2 2 4 2 9 3 9" xfId="20402" xr:uid="{00000000-0005-0000-0000-0000B24F0000}"/>
    <cellStyle name="Normal 2 2 2 4 2 9 4" xfId="20403" xr:uid="{00000000-0005-0000-0000-0000B34F0000}"/>
    <cellStyle name="Normal 2 2 2 4 2 9 4 10" xfId="20404" xr:uid="{00000000-0005-0000-0000-0000B44F0000}"/>
    <cellStyle name="Normal 2 2 2 4 2 9 4 2" xfId="20405" xr:uid="{00000000-0005-0000-0000-0000B54F0000}"/>
    <cellStyle name="Normal 2 2 2 4 2 9 4 3" xfId="20406" xr:uid="{00000000-0005-0000-0000-0000B64F0000}"/>
    <cellStyle name="Normal 2 2 2 4 2 9 4 4" xfId="20407" xr:uid="{00000000-0005-0000-0000-0000B74F0000}"/>
    <cellStyle name="Normal 2 2 2 4 2 9 4 5" xfId="20408" xr:uid="{00000000-0005-0000-0000-0000B84F0000}"/>
    <cellStyle name="Normal 2 2 2 4 2 9 4 6" xfId="20409" xr:uid="{00000000-0005-0000-0000-0000B94F0000}"/>
    <cellStyle name="Normal 2 2 2 4 2 9 4 7" xfId="20410" xr:uid="{00000000-0005-0000-0000-0000BA4F0000}"/>
    <cellStyle name="Normal 2 2 2 4 2 9 4 8" xfId="20411" xr:uid="{00000000-0005-0000-0000-0000BB4F0000}"/>
    <cellStyle name="Normal 2 2 2 4 2 9 4 9" xfId="20412" xr:uid="{00000000-0005-0000-0000-0000BC4F0000}"/>
    <cellStyle name="Normal 2 2 2 4 2 9 5" xfId="20413" xr:uid="{00000000-0005-0000-0000-0000BD4F0000}"/>
    <cellStyle name="Normal 2 2 2 4 2 9 5 10" xfId="20414" xr:uid="{00000000-0005-0000-0000-0000BE4F0000}"/>
    <cellStyle name="Normal 2 2 2 4 2 9 5 2" xfId="20415" xr:uid="{00000000-0005-0000-0000-0000BF4F0000}"/>
    <cellStyle name="Normal 2 2 2 4 2 9 5 3" xfId="20416" xr:uid="{00000000-0005-0000-0000-0000C04F0000}"/>
    <cellStyle name="Normal 2 2 2 4 2 9 5 4" xfId="20417" xr:uid="{00000000-0005-0000-0000-0000C14F0000}"/>
    <cellStyle name="Normal 2 2 2 4 2 9 5 5" xfId="20418" xr:uid="{00000000-0005-0000-0000-0000C24F0000}"/>
    <cellStyle name="Normal 2 2 2 4 2 9 5 6" xfId="20419" xr:uid="{00000000-0005-0000-0000-0000C34F0000}"/>
    <cellStyle name="Normal 2 2 2 4 2 9 5 7" xfId="20420" xr:uid="{00000000-0005-0000-0000-0000C44F0000}"/>
    <cellStyle name="Normal 2 2 2 4 2 9 5 8" xfId="20421" xr:uid="{00000000-0005-0000-0000-0000C54F0000}"/>
    <cellStyle name="Normal 2 2 2 4 2 9 5 9" xfId="20422" xr:uid="{00000000-0005-0000-0000-0000C64F0000}"/>
    <cellStyle name="Normal 2 2 2 4 2 9 6" xfId="20423" xr:uid="{00000000-0005-0000-0000-0000C74F0000}"/>
    <cellStyle name="Normal 2 2 2 4 2 9 7" xfId="20424" xr:uid="{00000000-0005-0000-0000-0000C84F0000}"/>
    <cellStyle name="Normal 2 2 2 4 2 9 8" xfId="20425" xr:uid="{00000000-0005-0000-0000-0000C94F0000}"/>
    <cellStyle name="Normal 2 2 2 4 2 9 9" xfId="20426" xr:uid="{00000000-0005-0000-0000-0000CA4F0000}"/>
    <cellStyle name="Normal 2 2 2 4 20" xfId="20427" xr:uid="{00000000-0005-0000-0000-0000CB4F0000}"/>
    <cellStyle name="Normal 2 2 2 4 21" xfId="20428" xr:uid="{00000000-0005-0000-0000-0000CC4F0000}"/>
    <cellStyle name="Normal 2 2 2 4 22" xfId="20429" xr:uid="{00000000-0005-0000-0000-0000CD4F0000}"/>
    <cellStyle name="Normal 2 2 2 4 23" xfId="20430" xr:uid="{00000000-0005-0000-0000-0000CE4F0000}"/>
    <cellStyle name="Normal 2 2 2 4 24" xfId="20431" xr:uid="{00000000-0005-0000-0000-0000CF4F0000}"/>
    <cellStyle name="Normal 2 2 2 4 25" xfId="20432" xr:uid="{00000000-0005-0000-0000-0000D04F0000}"/>
    <cellStyle name="Normal 2 2 2 4 26" xfId="20433" xr:uid="{00000000-0005-0000-0000-0000D14F0000}"/>
    <cellStyle name="Normal 2 2 2 4 27" xfId="20434" xr:uid="{00000000-0005-0000-0000-0000D24F0000}"/>
    <cellStyle name="Normal 2 2 2 4 28" xfId="20435" xr:uid="{00000000-0005-0000-0000-0000D34F0000}"/>
    <cellStyle name="Normal 2 2 2 4 29" xfId="20436" xr:uid="{00000000-0005-0000-0000-0000D44F0000}"/>
    <cellStyle name="Normal 2 2 2 4 3" xfId="20437" xr:uid="{00000000-0005-0000-0000-0000D54F0000}"/>
    <cellStyle name="Normal 2 2 2 4 3 2" xfId="20438" xr:uid="{00000000-0005-0000-0000-0000D64F0000}"/>
    <cellStyle name="Normal 2 2 2 4 3 3" xfId="20439" xr:uid="{00000000-0005-0000-0000-0000D74F0000}"/>
    <cellStyle name="Normal 2 2 2 4 30" xfId="20440" xr:uid="{00000000-0005-0000-0000-0000D84F0000}"/>
    <cellStyle name="Normal 2 2 2 4 31" xfId="20441" xr:uid="{00000000-0005-0000-0000-0000D94F0000}"/>
    <cellStyle name="Normal 2 2 2 4 32" xfId="20442" xr:uid="{00000000-0005-0000-0000-0000DA4F0000}"/>
    <cellStyle name="Normal 2 2 2 4 33" xfId="20443" xr:uid="{00000000-0005-0000-0000-0000DB4F0000}"/>
    <cellStyle name="Normal 2 2 2 4 34" xfId="20444" xr:uid="{00000000-0005-0000-0000-0000DC4F0000}"/>
    <cellStyle name="Normal 2 2 2 4 34 10" xfId="20445" xr:uid="{00000000-0005-0000-0000-0000DD4F0000}"/>
    <cellStyle name="Normal 2 2 2 4 34 2" xfId="20446" xr:uid="{00000000-0005-0000-0000-0000DE4F0000}"/>
    <cellStyle name="Normal 2 2 2 4 34 3" xfId="20447" xr:uid="{00000000-0005-0000-0000-0000DF4F0000}"/>
    <cellStyle name="Normal 2 2 2 4 34 4" xfId="20448" xr:uid="{00000000-0005-0000-0000-0000E04F0000}"/>
    <cellStyle name="Normal 2 2 2 4 34 5" xfId="20449" xr:uid="{00000000-0005-0000-0000-0000E14F0000}"/>
    <cellStyle name="Normal 2 2 2 4 34 6" xfId="20450" xr:uid="{00000000-0005-0000-0000-0000E24F0000}"/>
    <cellStyle name="Normal 2 2 2 4 34 7" xfId="20451" xr:uid="{00000000-0005-0000-0000-0000E34F0000}"/>
    <cellStyle name="Normal 2 2 2 4 34 8" xfId="20452" xr:uid="{00000000-0005-0000-0000-0000E44F0000}"/>
    <cellStyle name="Normal 2 2 2 4 34 9" xfId="20453" xr:uid="{00000000-0005-0000-0000-0000E54F0000}"/>
    <cellStyle name="Normal 2 2 2 4 35" xfId="20454" xr:uid="{00000000-0005-0000-0000-0000E64F0000}"/>
    <cellStyle name="Normal 2 2 2 4 35 10" xfId="20455" xr:uid="{00000000-0005-0000-0000-0000E74F0000}"/>
    <cellStyle name="Normal 2 2 2 4 35 2" xfId="20456" xr:uid="{00000000-0005-0000-0000-0000E84F0000}"/>
    <cellStyle name="Normal 2 2 2 4 35 3" xfId="20457" xr:uid="{00000000-0005-0000-0000-0000E94F0000}"/>
    <cellStyle name="Normal 2 2 2 4 35 4" xfId="20458" xr:uid="{00000000-0005-0000-0000-0000EA4F0000}"/>
    <cellStyle name="Normal 2 2 2 4 35 5" xfId="20459" xr:uid="{00000000-0005-0000-0000-0000EB4F0000}"/>
    <cellStyle name="Normal 2 2 2 4 35 6" xfId="20460" xr:uid="{00000000-0005-0000-0000-0000EC4F0000}"/>
    <cellStyle name="Normal 2 2 2 4 35 7" xfId="20461" xr:uid="{00000000-0005-0000-0000-0000ED4F0000}"/>
    <cellStyle name="Normal 2 2 2 4 35 8" xfId="20462" xr:uid="{00000000-0005-0000-0000-0000EE4F0000}"/>
    <cellStyle name="Normal 2 2 2 4 35 9" xfId="20463" xr:uid="{00000000-0005-0000-0000-0000EF4F0000}"/>
    <cellStyle name="Normal 2 2 2 4 36" xfId="20464" xr:uid="{00000000-0005-0000-0000-0000F04F0000}"/>
    <cellStyle name="Normal 2 2 2 4 36 10" xfId="20465" xr:uid="{00000000-0005-0000-0000-0000F14F0000}"/>
    <cellStyle name="Normal 2 2 2 4 36 2" xfId="20466" xr:uid="{00000000-0005-0000-0000-0000F24F0000}"/>
    <cellStyle name="Normal 2 2 2 4 36 3" xfId="20467" xr:uid="{00000000-0005-0000-0000-0000F34F0000}"/>
    <cellStyle name="Normal 2 2 2 4 36 4" xfId="20468" xr:uid="{00000000-0005-0000-0000-0000F44F0000}"/>
    <cellStyle name="Normal 2 2 2 4 36 5" xfId="20469" xr:uid="{00000000-0005-0000-0000-0000F54F0000}"/>
    <cellStyle name="Normal 2 2 2 4 36 6" xfId="20470" xr:uid="{00000000-0005-0000-0000-0000F64F0000}"/>
    <cellStyle name="Normal 2 2 2 4 36 7" xfId="20471" xr:uid="{00000000-0005-0000-0000-0000F74F0000}"/>
    <cellStyle name="Normal 2 2 2 4 36 8" xfId="20472" xr:uid="{00000000-0005-0000-0000-0000F84F0000}"/>
    <cellStyle name="Normal 2 2 2 4 36 9" xfId="20473" xr:uid="{00000000-0005-0000-0000-0000F94F0000}"/>
    <cellStyle name="Normal 2 2 2 4 37" xfId="20474" xr:uid="{00000000-0005-0000-0000-0000FA4F0000}"/>
    <cellStyle name="Normal 2 2 2 4 37 10" xfId="20475" xr:uid="{00000000-0005-0000-0000-0000FB4F0000}"/>
    <cellStyle name="Normal 2 2 2 4 37 2" xfId="20476" xr:uid="{00000000-0005-0000-0000-0000FC4F0000}"/>
    <cellStyle name="Normal 2 2 2 4 37 3" xfId="20477" xr:uid="{00000000-0005-0000-0000-0000FD4F0000}"/>
    <cellStyle name="Normal 2 2 2 4 37 4" xfId="20478" xr:uid="{00000000-0005-0000-0000-0000FE4F0000}"/>
    <cellStyle name="Normal 2 2 2 4 37 5" xfId="20479" xr:uid="{00000000-0005-0000-0000-0000FF4F0000}"/>
    <cellStyle name="Normal 2 2 2 4 37 6" xfId="20480" xr:uid="{00000000-0005-0000-0000-000000500000}"/>
    <cellStyle name="Normal 2 2 2 4 37 7" xfId="20481" xr:uid="{00000000-0005-0000-0000-000001500000}"/>
    <cellStyle name="Normal 2 2 2 4 37 8" xfId="20482" xr:uid="{00000000-0005-0000-0000-000002500000}"/>
    <cellStyle name="Normal 2 2 2 4 37 9" xfId="20483" xr:uid="{00000000-0005-0000-0000-000003500000}"/>
    <cellStyle name="Normal 2 2 2 4 38" xfId="20484" xr:uid="{00000000-0005-0000-0000-000004500000}"/>
    <cellStyle name="Normal 2 2 2 4 39" xfId="20485" xr:uid="{00000000-0005-0000-0000-000005500000}"/>
    <cellStyle name="Normal 2 2 2 4 4" xfId="20486" xr:uid="{00000000-0005-0000-0000-000006500000}"/>
    <cellStyle name="Normal 2 2 2 4 40" xfId="20487" xr:uid="{00000000-0005-0000-0000-000007500000}"/>
    <cellStyle name="Normal 2 2 2 4 41" xfId="20488" xr:uid="{00000000-0005-0000-0000-000008500000}"/>
    <cellStyle name="Normal 2 2 2 4 42" xfId="20489" xr:uid="{00000000-0005-0000-0000-000009500000}"/>
    <cellStyle name="Normal 2 2 2 4 43" xfId="20490" xr:uid="{00000000-0005-0000-0000-00000A500000}"/>
    <cellStyle name="Normal 2 2 2 4 44" xfId="20491" xr:uid="{00000000-0005-0000-0000-00000B500000}"/>
    <cellStyle name="Normal 2 2 2 4 45" xfId="20492" xr:uid="{00000000-0005-0000-0000-00000C500000}"/>
    <cellStyle name="Normal 2 2 2 4 46" xfId="20493" xr:uid="{00000000-0005-0000-0000-00000D500000}"/>
    <cellStyle name="Normal 2 2 2 4 47" xfId="20494" xr:uid="{00000000-0005-0000-0000-00000E500000}"/>
    <cellStyle name="Normal 2 2 2 4 48" xfId="20495" xr:uid="{00000000-0005-0000-0000-00000F500000}"/>
    <cellStyle name="Normal 2 2 2 4 5" xfId="20496" xr:uid="{00000000-0005-0000-0000-000010500000}"/>
    <cellStyle name="Normal 2 2 2 4 6" xfId="20497" xr:uid="{00000000-0005-0000-0000-000011500000}"/>
    <cellStyle name="Normal 2 2 2 4 7" xfId="20498" xr:uid="{00000000-0005-0000-0000-000012500000}"/>
    <cellStyle name="Normal 2 2 2 4 8" xfId="20499" xr:uid="{00000000-0005-0000-0000-000013500000}"/>
    <cellStyle name="Normal 2 2 2 4 9" xfId="20500" xr:uid="{00000000-0005-0000-0000-000014500000}"/>
    <cellStyle name="Normal 2 2 2 40" xfId="20501" xr:uid="{00000000-0005-0000-0000-000015500000}"/>
    <cellStyle name="Normal 2 2 2 40 10" xfId="20502" xr:uid="{00000000-0005-0000-0000-000016500000}"/>
    <cellStyle name="Normal 2 2 2 40 2" xfId="20503" xr:uid="{00000000-0005-0000-0000-000017500000}"/>
    <cellStyle name="Normal 2 2 2 40 3" xfId="20504" xr:uid="{00000000-0005-0000-0000-000018500000}"/>
    <cellStyle name="Normal 2 2 2 40 4" xfId="20505" xr:uid="{00000000-0005-0000-0000-000019500000}"/>
    <cellStyle name="Normal 2 2 2 40 5" xfId="20506" xr:uid="{00000000-0005-0000-0000-00001A500000}"/>
    <cellStyle name="Normal 2 2 2 40 6" xfId="20507" xr:uid="{00000000-0005-0000-0000-00001B500000}"/>
    <cellStyle name="Normal 2 2 2 40 7" xfId="20508" xr:uid="{00000000-0005-0000-0000-00001C500000}"/>
    <cellStyle name="Normal 2 2 2 40 8" xfId="20509" xr:uid="{00000000-0005-0000-0000-00001D500000}"/>
    <cellStyle name="Normal 2 2 2 40 9" xfId="20510" xr:uid="{00000000-0005-0000-0000-00001E500000}"/>
    <cellStyle name="Normal 2 2 2 41" xfId="20511" xr:uid="{00000000-0005-0000-0000-00001F500000}"/>
    <cellStyle name="Normal 2 2 2 42" xfId="20512" xr:uid="{00000000-0005-0000-0000-000020500000}"/>
    <cellStyle name="Normal 2 2 2 43" xfId="20513" xr:uid="{00000000-0005-0000-0000-000021500000}"/>
    <cellStyle name="Normal 2 2 2 44" xfId="20514" xr:uid="{00000000-0005-0000-0000-000022500000}"/>
    <cellStyle name="Normal 2 2 2 45" xfId="20515" xr:uid="{00000000-0005-0000-0000-000023500000}"/>
    <cellStyle name="Normal 2 2 2 46" xfId="20516" xr:uid="{00000000-0005-0000-0000-000024500000}"/>
    <cellStyle name="Normal 2 2 2 47" xfId="20517" xr:uid="{00000000-0005-0000-0000-000025500000}"/>
    <cellStyle name="Normal 2 2 2 48" xfId="20518" xr:uid="{00000000-0005-0000-0000-000026500000}"/>
    <cellStyle name="Normal 2 2 2 49" xfId="20519" xr:uid="{00000000-0005-0000-0000-000027500000}"/>
    <cellStyle name="Normal 2 2 2 5" xfId="20520" xr:uid="{00000000-0005-0000-0000-000028500000}"/>
    <cellStyle name="Normal 2 2 2 5 10" xfId="20521" xr:uid="{00000000-0005-0000-0000-000029500000}"/>
    <cellStyle name="Normal 2 2 2 5 11" xfId="20522" xr:uid="{00000000-0005-0000-0000-00002A500000}"/>
    <cellStyle name="Normal 2 2 2 5 12" xfId="20523" xr:uid="{00000000-0005-0000-0000-00002B500000}"/>
    <cellStyle name="Normal 2 2 2 5 13" xfId="20524" xr:uid="{00000000-0005-0000-0000-00002C500000}"/>
    <cellStyle name="Normal 2 2 2 5 14" xfId="20525" xr:uid="{00000000-0005-0000-0000-00002D500000}"/>
    <cellStyle name="Normal 2 2 2 5 15" xfId="20526" xr:uid="{00000000-0005-0000-0000-00002E500000}"/>
    <cellStyle name="Normal 2 2 2 5 16" xfId="20527" xr:uid="{00000000-0005-0000-0000-00002F500000}"/>
    <cellStyle name="Normal 2 2 2 5 17" xfId="20528" xr:uid="{00000000-0005-0000-0000-000030500000}"/>
    <cellStyle name="Normal 2 2 2 5 18" xfId="20529" xr:uid="{00000000-0005-0000-0000-000031500000}"/>
    <cellStyle name="Normal 2 2 2 5 19" xfId="20530" xr:uid="{00000000-0005-0000-0000-000032500000}"/>
    <cellStyle name="Normal 2 2 2 5 2" xfId="20531" xr:uid="{00000000-0005-0000-0000-000033500000}"/>
    <cellStyle name="Normal 2 2 2 5 2 10" xfId="20532" xr:uid="{00000000-0005-0000-0000-000034500000}"/>
    <cellStyle name="Normal 2 2 2 5 2 10 10" xfId="20533" xr:uid="{00000000-0005-0000-0000-000035500000}"/>
    <cellStyle name="Normal 2 2 2 5 2 10 11" xfId="20534" xr:uid="{00000000-0005-0000-0000-000036500000}"/>
    <cellStyle name="Normal 2 2 2 5 2 10 12" xfId="20535" xr:uid="{00000000-0005-0000-0000-000037500000}"/>
    <cellStyle name="Normal 2 2 2 5 2 10 13" xfId="20536" xr:uid="{00000000-0005-0000-0000-000038500000}"/>
    <cellStyle name="Normal 2 2 2 5 2 10 14" xfId="20537" xr:uid="{00000000-0005-0000-0000-000039500000}"/>
    <cellStyle name="Normal 2 2 2 5 2 10 2" xfId="20538" xr:uid="{00000000-0005-0000-0000-00003A500000}"/>
    <cellStyle name="Normal 2 2 2 5 2 10 2 10" xfId="20539" xr:uid="{00000000-0005-0000-0000-00003B500000}"/>
    <cellStyle name="Normal 2 2 2 5 2 10 2 2" xfId="20540" xr:uid="{00000000-0005-0000-0000-00003C500000}"/>
    <cellStyle name="Normal 2 2 2 5 2 10 2 3" xfId="20541" xr:uid="{00000000-0005-0000-0000-00003D500000}"/>
    <cellStyle name="Normal 2 2 2 5 2 10 2 4" xfId="20542" xr:uid="{00000000-0005-0000-0000-00003E500000}"/>
    <cellStyle name="Normal 2 2 2 5 2 10 2 5" xfId="20543" xr:uid="{00000000-0005-0000-0000-00003F500000}"/>
    <cellStyle name="Normal 2 2 2 5 2 10 2 6" xfId="20544" xr:uid="{00000000-0005-0000-0000-000040500000}"/>
    <cellStyle name="Normal 2 2 2 5 2 10 2 7" xfId="20545" xr:uid="{00000000-0005-0000-0000-000041500000}"/>
    <cellStyle name="Normal 2 2 2 5 2 10 2 8" xfId="20546" xr:uid="{00000000-0005-0000-0000-000042500000}"/>
    <cellStyle name="Normal 2 2 2 5 2 10 2 9" xfId="20547" xr:uid="{00000000-0005-0000-0000-000043500000}"/>
    <cellStyle name="Normal 2 2 2 5 2 10 3" xfId="20548" xr:uid="{00000000-0005-0000-0000-000044500000}"/>
    <cellStyle name="Normal 2 2 2 5 2 10 3 10" xfId="20549" xr:uid="{00000000-0005-0000-0000-000045500000}"/>
    <cellStyle name="Normal 2 2 2 5 2 10 3 2" xfId="20550" xr:uid="{00000000-0005-0000-0000-000046500000}"/>
    <cellStyle name="Normal 2 2 2 5 2 10 3 3" xfId="20551" xr:uid="{00000000-0005-0000-0000-000047500000}"/>
    <cellStyle name="Normal 2 2 2 5 2 10 3 4" xfId="20552" xr:uid="{00000000-0005-0000-0000-000048500000}"/>
    <cellStyle name="Normal 2 2 2 5 2 10 3 5" xfId="20553" xr:uid="{00000000-0005-0000-0000-000049500000}"/>
    <cellStyle name="Normal 2 2 2 5 2 10 3 6" xfId="20554" xr:uid="{00000000-0005-0000-0000-00004A500000}"/>
    <cellStyle name="Normal 2 2 2 5 2 10 3 7" xfId="20555" xr:uid="{00000000-0005-0000-0000-00004B500000}"/>
    <cellStyle name="Normal 2 2 2 5 2 10 3 8" xfId="20556" xr:uid="{00000000-0005-0000-0000-00004C500000}"/>
    <cellStyle name="Normal 2 2 2 5 2 10 3 9" xfId="20557" xr:uid="{00000000-0005-0000-0000-00004D500000}"/>
    <cellStyle name="Normal 2 2 2 5 2 10 4" xfId="20558" xr:uid="{00000000-0005-0000-0000-00004E500000}"/>
    <cellStyle name="Normal 2 2 2 5 2 10 4 10" xfId="20559" xr:uid="{00000000-0005-0000-0000-00004F500000}"/>
    <cellStyle name="Normal 2 2 2 5 2 10 4 2" xfId="20560" xr:uid="{00000000-0005-0000-0000-000050500000}"/>
    <cellStyle name="Normal 2 2 2 5 2 10 4 3" xfId="20561" xr:uid="{00000000-0005-0000-0000-000051500000}"/>
    <cellStyle name="Normal 2 2 2 5 2 10 4 4" xfId="20562" xr:uid="{00000000-0005-0000-0000-000052500000}"/>
    <cellStyle name="Normal 2 2 2 5 2 10 4 5" xfId="20563" xr:uid="{00000000-0005-0000-0000-000053500000}"/>
    <cellStyle name="Normal 2 2 2 5 2 10 4 6" xfId="20564" xr:uid="{00000000-0005-0000-0000-000054500000}"/>
    <cellStyle name="Normal 2 2 2 5 2 10 4 7" xfId="20565" xr:uid="{00000000-0005-0000-0000-000055500000}"/>
    <cellStyle name="Normal 2 2 2 5 2 10 4 8" xfId="20566" xr:uid="{00000000-0005-0000-0000-000056500000}"/>
    <cellStyle name="Normal 2 2 2 5 2 10 4 9" xfId="20567" xr:uid="{00000000-0005-0000-0000-000057500000}"/>
    <cellStyle name="Normal 2 2 2 5 2 10 5" xfId="20568" xr:uid="{00000000-0005-0000-0000-000058500000}"/>
    <cellStyle name="Normal 2 2 2 5 2 10 5 10" xfId="20569" xr:uid="{00000000-0005-0000-0000-000059500000}"/>
    <cellStyle name="Normal 2 2 2 5 2 10 5 2" xfId="20570" xr:uid="{00000000-0005-0000-0000-00005A500000}"/>
    <cellStyle name="Normal 2 2 2 5 2 10 5 3" xfId="20571" xr:uid="{00000000-0005-0000-0000-00005B500000}"/>
    <cellStyle name="Normal 2 2 2 5 2 10 5 4" xfId="20572" xr:uid="{00000000-0005-0000-0000-00005C500000}"/>
    <cellStyle name="Normal 2 2 2 5 2 10 5 5" xfId="20573" xr:uid="{00000000-0005-0000-0000-00005D500000}"/>
    <cellStyle name="Normal 2 2 2 5 2 10 5 6" xfId="20574" xr:uid="{00000000-0005-0000-0000-00005E500000}"/>
    <cellStyle name="Normal 2 2 2 5 2 10 5 7" xfId="20575" xr:uid="{00000000-0005-0000-0000-00005F500000}"/>
    <cellStyle name="Normal 2 2 2 5 2 10 5 8" xfId="20576" xr:uid="{00000000-0005-0000-0000-000060500000}"/>
    <cellStyle name="Normal 2 2 2 5 2 10 5 9" xfId="20577" xr:uid="{00000000-0005-0000-0000-000061500000}"/>
    <cellStyle name="Normal 2 2 2 5 2 10 6" xfId="20578" xr:uid="{00000000-0005-0000-0000-000062500000}"/>
    <cellStyle name="Normal 2 2 2 5 2 10 7" xfId="20579" xr:uid="{00000000-0005-0000-0000-000063500000}"/>
    <cellStyle name="Normal 2 2 2 5 2 10 8" xfId="20580" xr:uid="{00000000-0005-0000-0000-000064500000}"/>
    <cellStyle name="Normal 2 2 2 5 2 10 9" xfId="20581" xr:uid="{00000000-0005-0000-0000-000065500000}"/>
    <cellStyle name="Normal 2 2 2 5 2 11" xfId="20582" xr:uid="{00000000-0005-0000-0000-000066500000}"/>
    <cellStyle name="Normal 2 2 2 5 2 11 10" xfId="20583" xr:uid="{00000000-0005-0000-0000-000067500000}"/>
    <cellStyle name="Normal 2 2 2 5 2 11 11" xfId="20584" xr:uid="{00000000-0005-0000-0000-000068500000}"/>
    <cellStyle name="Normal 2 2 2 5 2 11 12" xfId="20585" xr:uid="{00000000-0005-0000-0000-000069500000}"/>
    <cellStyle name="Normal 2 2 2 5 2 11 13" xfId="20586" xr:uid="{00000000-0005-0000-0000-00006A500000}"/>
    <cellStyle name="Normal 2 2 2 5 2 11 14" xfId="20587" xr:uid="{00000000-0005-0000-0000-00006B500000}"/>
    <cellStyle name="Normal 2 2 2 5 2 11 2" xfId="20588" xr:uid="{00000000-0005-0000-0000-00006C500000}"/>
    <cellStyle name="Normal 2 2 2 5 2 11 2 10" xfId="20589" xr:uid="{00000000-0005-0000-0000-00006D500000}"/>
    <cellStyle name="Normal 2 2 2 5 2 11 2 2" xfId="20590" xr:uid="{00000000-0005-0000-0000-00006E500000}"/>
    <cellStyle name="Normal 2 2 2 5 2 11 2 3" xfId="20591" xr:uid="{00000000-0005-0000-0000-00006F500000}"/>
    <cellStyle name="Normal 2 2 2 5 2 11 2 4" xfId="20592" xr:uid="{00000000-0005-0000-0000-000070500000}"/>
    <cellStyle name="Normal 2 2 2 5 2 11 2 5" xfId="20593" xr:uid="{00000000-0005-0000-0000-000071500000}"/>
    <cellStyle name="Normal 2 2 2 5 2 11 2 6" xfId="20594" xr:uid="{00000000-0005-0000-0000-000072500000}"/>
    <cellStyle name="Normal 2 2 2 5 2 11 2 7" xfId="20595" xr:uid="{00000000-0005-0000-0000-000073500000}"/>
    <cellStyle name="Normal 2 2 2 5 2 11 2 8" xfId="20596" xr:uid="{00000000-0005-0000-0000-000074500000}"/>
    <cellStyle name="Normal 2 2 2 5 2 11 2 9" xfId="20597" xr:uid="{00000000-0005-0000-0000-000075500000}"/>
    <cellStyle name="Normal 2 2 2 5 2 11 3" xfId="20598" xr:uid="{00000000-0005-0000-0000-000076500000}"/>
    <cellStyle name="Normal 2 2 2 5 2 11 3 10" xfId="20599" xr:uid="{00000000-0005-0000-0000-000077500000}"/>
    <cellStyle name="Normal 2 2 2 5 2 11 3 2" xfId="20600" xr:uid="{00000000-0005-0000-0000-000078500000}"/>
    <cellStyle name="Normal 2 2 2 5 2 11 3 3" xfId="20601" xr:uid="{00000000-0005-0000-0000-000079500000}"/>
    <cellStyle name="Normal 2 2 2 5 2 11 3 4" xfId="20602" xr:uid="{00000000-0005-0000-0000-00007A500000}"/>
    <cellStyle name="Normal 2 2 2 5 2 11 3 5" xfId="20603" xr:uid="{00000000-0005-0000-0000-00007B500000}"/>
    <cellStyle name="Normal 2 2 2 5 2 11 3 6" xfId="20604" xr:uid="{00000000-0005-0000-0000-00007C500000}"/>
    <cellStyle name="Normal 2 2 2 5 2 11 3 7" xfId="20605" xr:uid="{00000000-0005-0000-0000-00007D500000}"/>
    <cellStyle name="Normal 2 2 2 5 2 11 3 8" xfId="20606" xr:uid="{00000000-0005-0000-0000-00007E500000}"/>
    <cellStyle name="Normal 2 2 2 5 2 11 3 9" xfId="20607" xr:uid="{00000000-0005-0000-0000-00007F500000}"/>
    <cellStyle name="Normal 2 2 2 5 2 11 4" xfId="20608" xr:uid="{00000000-0005-0000-0000-000080500000}"/>
    <cellStyle name="Normal 2 2 2 5 2 11 4 10" xfId="20609" xr:uid="{00000000-0005-0000-0000-000081500000}"/>
    <cellStyle name="Normal 2 2 2 5 2 11 4 2" xfId="20610" xr:uid="{00000000-0005-0000-0000-000082500000}"/>
    <cellStyle name="Normal 2 2 2 5 2 11 4 3" xfId="20611" xr:uid="{00000000-0005-0000-0000-000083500000}"/>
    <cellStyle name="Normal 2 2 2 5 2 11 4 4" xfId="20612" xr:uid="{00000000-0005-0000-0000-000084500000}"/>
    <cellStyle name="Normal 2 2 2 5 2 11 4 5" xfId="20613" xr:uid="{00000000-0005-0000-0000-000085500000}"/>
    <cellStyle name="Normal 2 2 2 5 2 11 4 6" xfId="20614" xr:uid="{00000000-0005-0000-0000-000086500000}"/>
    <cellStyle name="Normal 2 2 2 5 2 11 4 7" xfId="20615" xr:uid="{00000000-0005-0000-0000-000087500000}"/>
    <cellStyle name="Normal 2 2 2 5 2 11 4 8" xfId="20616" xr:uid="{00000000-0005-0000-0000-000088500000}"/>
    <cellStyle name="Normal 2 2 2 5 2 11 4 9" xfId="20617" xr:uid="{00000000-0005-0000-0000-000089500000}"/>
    <cellStyle name="Normal 2 2 2 5 2 11 5" xfId="20618" xr:uid="{00000000-0005-0000-0000-00008A500000}"/>
    <cellStyle name="Normal 2 2 2 5 2 11 5 10" xfId="20619" xr:uid="{00000000-0005-0000-0000-00008B500000}"/>
    <cellStyle name="Normal 2 2 2 5 2 11 5 2" xfId="20620" xr:uid="{00000000-0005-0000-0000-00008C500000}"/>
    <cellStyle name="Normal 2 2 2 5 2 11 5 3" xfId="20621" xr:uid="{00000000-0005-0000-0000-00008D500000}"/>
    <cellStyle name="Normal 2 2 2 5 2 11 5 4" xfId="20622" xr:uid="{00000000-0005-0000-0000-00008E500000}"/>
    <cellStyle name="Normal 2 2 2 5 2 11 5 5" xfId="20623" xr:uid="{00000000-0005-0000-0000-00008F500000}"/>
    <cellStyle name="Normal 2 2 2 5 2 11 5 6" xfId="20624" xr:uid="{00000000-0005-0000-0000-000090500000}"/>
    <cellStyle name="Normal 2 2 2 5 2 11 5 7" xfId="20625" xr:uid="{00000000-0005-0000-0000-000091500000}"/>
    <cellStyle name="Normal 2 2 2 5 2 11 5 8" xfId="20626" xr:uid="{00000000-0005-0000-0000-000092500000}"/>
    <cellStyle name="Normal 2 2 2 5 2 11 5 9" xfId="20627" xr:uid="{00000000-0005-0000-0000-000093500000}"/>
    <cellStyle name="Normal 2 2 2 5 2 11 6" xfId="20628" xr:uid="{00000000-0005-0000-0000-000094500000}"/>
    <cellStyle name="Normal 2 2 2 5 2 11 7" xfId="20629" xr:uid="{00000000-0005-0000-0000-000095500000}"/>
    <cellStyle name="Normal 2 2 2 5 2 11 8" xfId="20630" xr:uid="{00000000-0005-0000-0000-000096500000}"/>
    <cellStyle name="Normal 2 2 2 5 2 11 9" xfId="20631" xr:uid="{00000000-0005-0000-0000-000097500000}"/>
    <cellStyle name="Normal 2 2 2 5 2 12" xfId="20632" xr:uid="{00000000-0005-0000-0000-000098500000}"/>
    <cellStyle name="Normal 2 2 2 5 2 12 10" xfId="20633" xr:uid="{00000000-0005-0000-0000-000099500000}"/>
    <cellStyle name="Normal 2 2 2 5 2 12 11" xfId="20634" xr:uid="{00000000-0005-0000-0000-00009A500000}"/>
    <cellStyle name="Normal 2 2 2 5 2 12 12" xfId="20635" xr:uid="{00000000-0005-0000-0000-00009B500000}"/>
    <cellStyle name="Normal 2 2 2 5 2 12 13" xfId="20636" xr:uid="{00000000-0005-0000-0000-00009C500000}"/>
    <cellStyle name="Normal 2 2 2 5 2 12 14" xfId="20637" xr:uid="{00000000-0005-0000-0000-00009D500000}"/>
    <cellStyle name="Normal 2 2 2 5 2 12 2" xfId="20638" xr:uid="{00000000-0005-0000-0000-00009E500000}"/>
    <cellStyle name="Normal 2 2 2 5 2 12 2 10" xfId="20639" xr:uid="{00000000-0005-0000-0000-00009F500000}"/>
    <cellStyle name="Normal 2 2 2 5 2 12 2 2" xfId="20640" xr:uid="{00000000-0005-0000-0000-0000A0500000}"/>
    <cellStyle name="Normal 2 2 2 5 2 12 2 3" xfId="20641" xr:uid="{00000000-0005-0000-0000-0000A1500000}"/>
    <cellStyle name="Normal 2 2 2 5 2 12 2 4" xfId="20642" xr:uid="{00000000-0005-0000-0000-0000A2500000}"/>
    <cellStyle name="Normal 2 2 2 5 2 12 2 5" xfId="20643" xr:uid="{00000000-0005-0000-0000-0000A3500000}"/>
    <cellStyle name="Normal 2 2 2 5 2 12 2 6" xfId="20644" xr:uid="{00000000-0005-0000-0000-0000A4500000}"/>
    <cellStyle name="Normal 2 2 2 5 2 12 2 7" xfId="20645" xr:uid="{00000000-0005-0000-0000-0000A5500000}"/>
    <cellStyle name="Normal 2 2 2 5 2 12 2 8" xfId="20646" xr:uid="{00000000-0005-0000-0000-0000A6500000}"/>
    <cellStyle name="Normal 2 2 2 5 2 12 2 9" xfId="20647" xr:uid="{00000000-0005-0000-0000-0000A7500000}"/>
    <cellStyle name="Normal 2 2 2 5 2 12 3" xfId="20648" xr:uid="{00000000-0005-0000-0000-0000A8500000}"/>
    <cellStyle name="Normal 2 2 2 5 2 12 3 10" xfId="20649" xr:uid="{00000000-0005-0000-0000-0000A9500000}"/>
    <cellStyle name="Normal 2 2 2 5 2 12 3 2" xfId="20650" xr:uid="{00000000-0005-0000-0000-0000AA500000}"/>
    <cellStyle name="Normal 2 2 2 5 2 12 3 3" xfId="20651" xr:uid="{00000000-0005-0000-0000-0000AB500000}"/>
    <cellStyle name="Normal 2 2 2 5 2 12 3 4" xfId="20652" xr:uid="{00000000-0005-0000-0000-0000AC500000}"/>
    <cellStyle name="Normal 2 2 2 5 2 12 3 5" xfId="20653" xr:uid="{00000000-0005-0000-0000-0000AD500000}"/>
    <cellStyle name="Normal 2 2 2 5 2 12 3 6" xfId="20654" xr:uid="{00000000-0005-0000-0000-0000AE500000}"/>
    <cellStyle name="Normal 2 2 2 5 2 12 3 7" xfId="20655" xr:uid="{00000000-0005-0000-0000-0000AF500000}"/>
    <cellStyle name="Normal 2 2 2 5 2 12 3 8" xfId="20656" xr:uid="{00000000-0005-0000-0000-0000B0500000}"/>
    <cellStyle name="Normal 2 2 2 5 2 12 3 9" xfId="20657" xr:uid="{00000000-0005-0000-0000-0000B1500000}"/>
    <cellStyle name="Normal 2 2 2 5 2 12 4" xfId="20658" xr:uid="{00000000-0005-0000-0000-0000B2500000}"/>
    <cellStyle name="Normal 2 2 2 5 2 12 4 10" xfId="20659" xr:uid="{00000000-0005-0000-0000-0000B3500000}"/>
    <cellStyle name="Normal 2 2 2 5 2 12 4 2" xfId="20660" xr:uid="{00000000-0005-0000-0000-0000B4500000}"/>
    <cellStyle name="Normal 2 2 2 5 2 12 4 3" xfId="20661" xr:uid="{00000000-0005-0000-0000-0000B5500000}"/>
    <cellStyle name="Normal 2 2 2 5 2 12 4 4" xfId="20662" xr:uid="{00000000-0005-0000-0000-0000B6500000}"/>
    <cellStyle name="Normal 2 2 2 5 2 12 4 5" xfId="20663" xr:uid="{00000000-0005-0000-0000-0000B7500000}"/>
    <cellStyle name="Normal 2 2 2 5 2 12 4 6" xfId="20664" xr:uid="{00000000-0005-0000-0000-0000B8500000}"/>
    <cellStyle name="Normal 2 2 2 5 2 12 4 7" xfId="20665" xr:uid="{00000000-0005-0000-0000-0000B9500000}"/>
    <cellStyle name="Normal 2 2 2 5 2 12 4 8" xfId="20666" xr:uid="{00000000-0005-0000-0000-0000BA500000}"/>
    <cellStyle name="Normal 2 2 2 5 2 12 4 9" xfId="20667" xr:uid="{00000000-0005-0000-0000-0000BB500000}"/>
    <cellStyle name="Normal 2 2 2 5 2 12 5" xfId="20668" xr:uid="{00000000-0005-0000-0000-0000BC500000}"/>
    <cellStyle name="Normal 2 2 2 5 2 12 5 10" xfId="20669" xr:uid="{00000000-0005-0000-0000-0000BD500000}"/>
    <cellStyle name="Normal 2 2 2 5 2 12 5 2" xfId="20670" xr:uid="{00000000-0005-0000-0000-0000BE500000}"/>
    <cellStyle name="Normal 2 2 2 5 2 12 5 3" xfId="20671" xr:uid="{00000000-0005-0000-0000-0000BF500000}"/>
    <cellStyle name="Normal 2 2 2 5 2 12 5 4" xfId="20672" xr:uid="{00000000-0005-0000-0000-0000C0500000}"/>
    <cellStyle name="Normal 2 2 2 5 2 12 5 5" xfId="20673" xr:uid="{00000000-0005-0000-0000-0000C1500000}"/>
    <cellStyle name="Normal 2 2 2 5 2 12 5 6" xfId="20674" xr:uid="{00000000-0005-0000-0000-0000C2500000}"/>
    <cellStyle name="Normal 2 2 2 5 2 12 5 7" xfId="20675" xr:uid="{00000000-0005-0000-0000-0000C3500000}"/>
    <cellStyle name="Normal 2 2 2 5 2 12 5 8" xfId="20676" xr:uid="{00000000-0005-0000-0000-0000C4500000}"/>
    <cellStyle name="Normal 2 2 2 5 2 12 5 9" xfId="20677" xr:uid="{00000000-0005-0000-0000-0000C5500000}"/>
    <cellStyle name="Normal 2 2 2 5 2 12 6" xfId="20678" xr:uid="{00000000-0005-0000-0000-0000C6500000}"/>
    <cellStyle name="Normal 2 2 2 5 2 12 7" xfId="20679" xr:uid="{00000000-0005-0000-0000-0000C7500000}"/>
    <cellStyle name="Normal 2 2 2 5 2 12 8" xfId="20680" xr:uid="{00000000-0005-0000-0000-0000C8500000}"/>
    <cellStyle name="Normal 2 2 2 5 2 12 9" xfId="20681" xr:uid="{00000000-0005-0000-0000-0000C9500000}"/>
    <cellStyle name="Normal 2 2 2 5 2 13" xfId="20682" xr:uid="{00000000-0005-0000-0000-0000CA500000}"/>
    <cellStyle name="Normal 2 2 2 5 2 13 10" xfId="20683" xr:uid="{00000000-0005-0000-0000-0000CB500000}"/>
    <cellStyle name="Normal 2 2 2 5 2 13 11" xfId="20684" xr:uid="{00000000-0005-0000-0000-0000CC500000}"/>
    <cellStyle name="Normal 2 2 2 5 2 13 12" xfId="20685" xr:uid="{00000000-0005-0000-0000-0000CD500000}"/>
    <cellStyle name="Normal 2 2 2 5 2 13 13" xfId="20686" xr:uid="{00000000-0005-0000-0000-0000CE500000}"/>
    <cellStyle name="Normal 2 2 2 5 2 13 14" xfId="20687" xr:uid="{00000000-0005-0000-0000-0000CF500000}"/>
    <cellStyle name="Normal 2 2 2 5 2 13 2" xfId="20688" xr:uid="{00000000-0005-0000-0000-0000D0500000}"/>
    <cellStyle name="Normal 2 2 2 5 2 13 2 10" xfId="20689" xr:uid="{00000000-0005-0000-0000-0000D1500000}"/>
    <cellStyle name="Normal 2 2 2 5 2 13 2 2" xfId="20690" xr:uid="{00000000-0005-0000-0000-0000D2500000}"/>
    <cellStyle name="Normal 2 2 2 5 2 13 2 3" xfId="20691" xr:uid="{00000000-0005-0000-0000-0000D3500000}"/>
    <cellStyle name="Normal 2 2 2 5 2 13 2 4" xfId="20692" xr:uid="{00000000-0005-0000-0000-0000D4500000}"/>
    <cellStyle name="Normal 2 2 2 5 2 13 2 5" xfId="20693" xr:uid="{00000000-0005-0000-0000-0000D5500000}"/>
    <cellStyle name="Normal 2 2 2 5 2 13 2 6" xfId="20694" xr:uid="{00000000-0005-0000-0000-0000D6500000}"/>
    <cellStyle name="Normal 2 2 2 5 2 13 2 7" xfId="20695" xr:uid="{00000000-0005-0000-0000-0000D7500000}"/>
    <cellStyle name="Normal 2 2 2 5 2 13 2 8" xfId="20696" xr:uid="{00000000-0005-0000-0000-0000D8500000}"/>
    <cellStyle name="Normal 2 2 2 5 2 13 2 9" xfId="20697" xr:uid="{00000000-0005-0000-0000-0000D9500000}"/>
    <cellStyle name="Normal 2 2 2 5 2 13 3" xfId="20698" xr:uid="{00000000-0005-0000-0000-0000DA500000}"/>
    <cellStyle name="Normal 2 2 2 5 2 13 3 10" xfId="20699" xr:uid="{00000000-0005-0000-0000-0000DB500000}"/>
    <cellStyle name="Normal 2 2 2 5 2 13 3 2" xfId="20700" xr:uid="{00000000-0005-0000-0000-0000DC500000}"/>
    <cellStyle name="Normal 2 2 2 5 2 13 3 3" xfId="20701" xr:uid="{00000000-0005-0000-0000-0000DD500000}"/>
    <cellStyle name="Normal 2 2 2 5 2 13 3 4" xfId="20702" xr:uid="{00000000-0005-0000-0000-0000DE500000}"/>
    <cellStyle name="Normal 2 2 2 5 2 13 3 5" xfId="20703" xr:uid="{00000000-0005-0000-0000-0000DF500000}"/>
    <cellStyle name="Normal 2 2 2 5 2 13 3 6" xfId="20704" xr:uid="{00000000-0005-0000-0000-0000E0500000}"/>
    <cellStyle name="Normal 2 2 2 5 2 13 3 7" xfId="20705" xr:uid="{00000000-0005-0000-0000-0000E1500000}"/>
    <cellStyle name="Normal 2 2 2 5 2 13 3 8" xfId="20706" xr:uid="{00000000-0005-0000-0000-0000E2500000}"/>
    <cellStyle name="Normal 2 2 2 5 2 13 3 9" xfId="20707" xr:uid="{00000000-0005-0000-0000-0000E3500000}"/>
    <cellStyle name="Normal 2 2 2 5 2 13 4" xfId="20708" xr:uid="{00000000-0005-0000-0000-0000E4500000}"/>
    <cellStyle name="Normal 2 2 2 5 2 13 4 10" xfId="20709" xr:uid="{00000000-0005-0000-0000-0000E5500000}"/>
    <cellStyle name="Normal 2 2 2 5 2 13 4 2" xfId="20710" xr:uid="{00000000-0005-0000-0000-0000E6500000}"/>
    <cellStyle name="Normal 2 2 2 5 2 13 4 3" xfId="20711" xr:uid="{00000000-0005-0000-0000-0000E7500000}"/>
    <cellStyle name="Normal 2 2 2 5 2 13 4 4" xfId="20712" xr:uid="{00000000-0005-0000-0000-0000E8500000}"/>
    <cellStyle name="Normal 2 2 2 5 2 13 4 5" xfId="20713" xr:uid="{00000000-0005-0000-0000-0000E9500000}"/>
    <cellStyle name="Normal 2 2 2 5 2 13 4 6" xfId="20714" xr:uid="{00000000-0005-0000-0000-0000EA500000}"/>
    <cellStyle name="Normal 2 2 2 5 2 13 4 7" xfId="20715" xr:uid="{00000000-0005-0000-0000-0000EB500000}"/>
    <cellStyle name="Normal 2 2 2 5 2 13 4 8" xfId="20716" xr:uid="{00000000-0005-0000-0000-0000EC500000}"/>
    <cellStyle name="Normal 2 2 2 5 2 13 4 9" xfId="20717" xr:uid="{00000000-0005-0000-0000-0000ED500000}"/>
    <cellStyle name="Normal 2 2 2 5 2 13 5" xfId="20718" xr:uid="{00000000-0005-0000-0000-0000EE500000}"/>
    <cellStyle name="Normal 2 2 2 5 2 13 5 10" xfId="20719" xr:uid="{00000000-0005-0000-0000-0000EF500000}"/>
    <cellStyle name="Normal 2 2 2 5 2 13 5 2" xfId="20720" xr:uid="{00000000-0005-0000-0000-0000F0500000}"/>
    <cellStyle name="Normal 2 2 2 5 2 13 5 3" xfId="20721" xr:uid="{00000000-0005-0000-0000-0000F1500000}"/>
    <cellStyle name="Normal 2 2 2 5 2 13 5 4" xfId="20722" xr:uid="{00000000-0005-0000-0000-0000F2500000}"/>
    <cellStyle name="Normal 2 2 2 5 2 13 5 5" xfId="20723" xr:uid="{00000000-0005-0000-0000-0000F3500000}"/>
    <cellStyle name="Normal 2 2 2 5 2 13 5 6" xfId="20724" xr:uid="{00000000-0005-0000-0000-0000F4500000}"/>
    <cellStyle name="Normal 2 2 2 5 2 13 5 7" xfId="20725" xr:uid="{00000000-0005-0000-0000-0000F5500000}"/>
    <cellStyle name="Normal 2 2 2 5 2 13 5 8" xfId="20726" xr:uid="{00000000-0005-0000-0000-0000F6500000}"/>
    <cellStyle name="Normal 2 2 2 5 2 13 5 9" xfId="20727" xr:uid="{00000000-0005-0000-0000-0000F7500000}"/>
    <cellStyle name="Normal 2 2 2 5 2 13 6" xfId="20728" xr:uid="{00000000-0005-0000-0000-0000F8500000}"/>
    <cellStyle name="Normal 2 2 2 5 2 13 7" xfId="20729" xr:uid="{00000000-0005-0000-0000-0000F9500000}"/>
    <cellStyle name="Normal 2 2 2 5 2 13 8" xfId="20730" xr:uid="{00000000-0005-0000-0000-0000FA500000}"/>
    <cellStyle name="Normal 2 2 2 5 2 13 9" xfId="20731" xr:uid="{00000000-0005-0000-0000-0000FB500000}"/>
    <cellStyle name="Normal 2 2 2 5 2 14" xfId="20732" xr:uid="{00000000-0005-0000-0000-0000FC500000}"/>
    <cellStyle name="Normal 2 2 2 5 2 14 10" xfId="20733" xr:uid="{00000000-0005-0000-0000-0000FD500000}"/>
    <cellStyle name="Normal 2 2 2 5 2 14 11" xfId="20734" xr:uid="{00000000-0005-0000-0000-0000FE500000}"/>
    <cellStyle name="Normal 2 2 2 5 2 14 12" xfId="20735" xr:uid="{00000000-0005-0000-0000-0000FF500000}"/>
    <cellStyle name="Normal 2 2 2 5 2 14 13" xfId="20736" xr:uid="{00000000-0005-0000-0000-000000510000}"/>
    <cellStyle name="Normal 2 2 2 5 2 14 14" xfId="20737" xr:uid="{00000000-0005-0000-0000-000001510000}"/>
    <cellStyle name="Normal 2 2 2 5 2 14 2" xfId="20738" xr:uid="{00000000-0005-0000-0000-000002510000}"/>
    <cellStyle name="Normal 2 2 2 5 2 14 2 10" xfId="20739" xr:uid="{00000000-0005-0000-0000-000003510000}"/>
    <cellStyle name="Normal 2 2 2 5 2 14 2 2" xfId="20740" xr:uid="{00000000-0005-0000-0000-000004510000}"/>
    <cellStyle name="Normal 2 2 2 5 2 14 2 3" xfId="20741" xr:uid="{00000000-0005-0000-0000-000005510000}"/>
    <cellStyle name="Normal 2 2 2 5 2 14 2 4" xfId="20742" xr:uid="{00000000-0005-0000-0000-000006510000}"/>
    <cellStyle name="Normal 2 2 2 5 2 14 2 5" xfId="20743" xr:uid="{00000000-0005-0000-0000-000007510000}"/>
    <cellStyle name="Normal 2 2 2 5 2 14 2 6" xfId="20744" xr:uid="{00000000-0005-0000-0000-000008510000}"/>
    <cellStyle name="Normal 2 2 2 5 2 14 2 7" xfId="20745" xr:uid="{00000000-0005-0000-0000-000009510000}"/>
    <cellStyle name="Normal 2 2 2 5 2 14 2 8" xfId="20746" xr:uid="{00000000-0005-0000-0000-00000A510000}"/>
    <cellStyle name="Normal 2 2 2 5 2 14 2 9" xfId="20747" xr:uid="{00000000-0005-0000-0000-00000B510000}"/>
    <cellStyle name="Normal 2 2 2 5 2 14 3" xfId="20748" xr:uid="{00000000-0005-0000-0000-00000C510000}"/>
    <cellStyle name="Normal 2 2 2 5 2 14 3 10" xfId="20749" xr:uid="{00000000-0005-0000-0000-00000D510000}"/>
    <cellStyle name="Normal 2 2 2 5 2 14 3 2" xfId="20750" xr:uid="{00000000-0005-0000-0000-00000E510000}"/>
    <cellStyle name="Normal 2 2 2 5 2 14 3 3" xfId="20751" xr:uid="{00000000-0005-0000-0000-00000F510000}"/>
    <cellStyle name="Normal 2 2 2 5 2 14 3 4" xfId="20752" xr:uid="{00000000-0005-0000-0000-000010510000}"/>
    <cellStyle name="Normal 2 2 2 5 2 14 3 5" xfId="20753" xr:uid="{00000000-0005-0000-0000-000011510000}"/>
    <cellStyle name="Normal 2 2 2 5 2 14 3 6" xfId="20754" xr:uid="{00000000-0005-0000-0000-000012510000}"/>
    <cellStyle name="Normal 2 2 2 5 2 14 3 7" xfId="20755" xr:uid="{00000000-0005-0000-0000-000013510000}"/>
    <cellStyle name="Normal 2 2 2 5 2 14 3 8" xfId="20756" xr:uid="{00000000-0005-0000-0000-000014510000}"/>
    <cellStyle name="Normal 2 2 2 5 2 14 3 9" xfId="20757" xr:uid="{00000000-0005-0000-0000-000015510000}"/>
    <cellStyle name="Normal 2 2 2 5 2 14 4" xfId="20758" xr:uid="{00000000-0005-0000-0000-000016510000}"/>
    <cellStyle name="Normal 2 2 2 5 2 14 4 10" xfId="20759" xr:uid="{00000000-0005-0000-0000-000017510000}"/>
    <cellStyle name="Normal 2 2 2 5 2 14 4 2" xfId="20760" xr:uid="{00000000-0005-0000-0000-000018510000}"/>
    <cellStyle name="Normal 2 2 2 5 2 14 4 3" xfId="20761" xr:uid="{00000000-0005-0000-0000-000019510000}"/>
    <cellStyle name="Normal 2 2 2 5 2 14 4 4" xfId="20762" xr:uid="{00000000-0005-0000-0000-00001A510000}"/>
    <cellStyle name="Normal 2 2 2 5 2 14 4 5" xfId="20763" xr:uid="{00000000-0005-0000-0000-00001B510000}"/>
    <cellStyle name="Normal 2 2 2 5 2 14 4 6" xfId="20764" xr:uid="{00000000-0005-0000-0000-00001C510000}"/>
    <cellStyle name="Normal 2 2 2 5 2 14 4 7" xfId="20765" xr:uid="{00000000-0005-0000-0000-00001D510000}"/>
    <cellStyle name="Normal 2 2 2 5 2 14 4 8" xfId="20766" xr:uid="{00000000-0005-0000-0000-00001E510000}"/>
    <cellStyle name="Normal 2 2 2 5 2 14 4 9" xfId="20767" xr:uid="{00000000-0005-0000-0000-00001F510000}"/>
    <cellStyle name="Normal 2 2 2 5 2 14 5" xfId="20768" xr:uid="{00000000-0005-0000-0000-000020510000}"/>
    <cellStyle name="Normal 2 2 2 5 2 14 5 10" xfId="20769" xr:uid="{00000000-0005-0000-0000-000021510000}"/>
    <cellStyle name="Normal 2 2 2 5 2 14 5 2" xfId="20770" xr:uid="{00000000-0005-0000-0000-000022510000}"/>
    <cellStyle name="Normal 2 2 2 5 2 14 5 3" xfId="20771" xr:uid="{00000000-0005-0000-0000-000023510000}"/>
    <cellStyle name="Normal 2 2 2 5 2 14 5 4" xfId="20772" xr:uid="{00000000-0005-0000-0000-000024510000}"/>
    <cellStyle name="Normal 2 2 2 5 2 14 5 5" xfId="20773" xr:uid="{00000000-0005-0000-0000-000025510000}"/>
    <cellStyle name="Normal 2 2 2 5 2 14 5 6" xfId="20774" xr:uid="{00000000-0005-0000-0000-000026510000}"/>
    <cellStyle name="Normal 2 2 2 5 2 14 5 7" xfId="20775" xr:uid="{00000000-0005-0000-0000-000027510000}"/>
    <cellStyle name="Normal 2 2 2 5 2 14 5 8" xfId="20776" xr:uid="{00000000-0005-0000-0000-000028510000}"/>
    <cellStyle name="Normal 2 2 2 5 2 14 5 9" xfId="20777" xr:uid="{00000000-0005-0000-0000-000029510000}"/>
    <cellStyle name="Normal 2 2 2 5 2 14 6" xfId="20778" xr:uid="{00000000-0005-0000-0000-00002A510000}"/>
    <cellStyle name="Normal 2 2 2 5 2 14 7" xfId="20779" xr:uid="{00000000-0005-0000-0000-00002B510000}"/>
    <cellStyle name="Normal 2 2 2 5 2 14 8" xfId="20780" xr:uid="{00000000-0005-0000-0000-00002C510000}"/>
    <cellStyle name="Normal 2 2 2 5 2 14 9" xfId="20781" xr:uid="{00000000-0005-0000-0000-00002D510000}"/>
    <cellStyle name="Normal 2 2 2 5 2 15" xfId="20782" xr:uid="{00000000-0005-0000-0000-00002E510000}"/>
    <cellStyle name="Normal 2 2 2 5 2 15 10" xfId="20783" xr:uid="{00000000-0005-0000-0000-00002F510000}"/>
    <cellStyle name="Normal 2 2 2 5 2 15 11" xfId="20784" xr:uid="{00000000-0005-0000-0000-000030510000}"/>
    <cellStyle name="Normal 2 2 2 5 2 15 12" xfId="20785" xr:uid="{00000000-0005-0000-0000-000031510000}"/>
    <cellStyle name="Normal 2 2 2 5 2 15 13" xfId="20786" xr:uid="{00000000-0005-0000-0000-000032510000}"/>
    <cellStyle name="Normal 2 2 2 5 2 15 14" xfId="20787" xr:uid="{00000000-0005-0000-0000-000033510000}"/>
    <cellStyle name="Normal 2 2 2 5 2 15 2" xfId="20788" xr:uid="{00000000-0005-0000-0000-000034510000}"/>
    <cellStyle name="Normal 2 2 2 5 2 15 2 10" xfId="20789" xr:uid="{00000000-0005-0000-0000-000035510000}"/>
    <cellStyle name="Normal 2 2 2 5 2 15 2 2" xfId="20790" xr:uid="{00000000-0005-0000-0000-000036510000}"/>
    <cellStyle name="Normal 2 2 2 5 2 15 2 3" xfId="20791" xr:uid="{00000000-0005-0000-0000-000037510000}"/>
    <cellStyle name="Normal 2 2 2 5 2 15 2 4" xfId="20792" xr:uid="{00000000-0005-0000-0000-000038510000}"/>
    <cellStyle name="Normal 2 2 2 5 2 15 2 5" xfId="20793" xr:uid="{00000000-0005-0000-0000-000039510000}"/>
    <cellStyle name="Normal 2 2 2 5 2 15 2 6" xfId="20794" xr:uid="{00000000-0005-0000-0000-00003A510000}"/>
    <cellStyle name="Normal 2 2 2 5 2 15 2 7" xfId="20795" xr:uid="{00000000-0005-0000-0000-00003B510000}"/>
    <cellStyle name="Normal 2 2 2 5 2 15 2 8" xfId="20796" xr:uid="{00000000-0005-0000-0000-00003C510000}"/>
    <cellStyle name="Normal 2 2 2 5 2 15 2 9" xfId="20797" xr:uid="{00000000-0005-0000-0000-00003D510000}"/>
    <cellStyle name="Normal 2 2 2 5 2 15 3" xfId="20798" xr:uid="{00000000-0005-0000-0000-00003E510000}"/>
    <cellStyle name="Normal 2 2 2 5 2 15 3 10" xfId="20799" xr:uid="{00000000-0005-0000-0000-00003F510000}"/>
    <cellStyle name="Normal 2 2 2 5 2 15 3 2" xfId="20800" xr:uid="{00000000-0005-0000-0000-000040510000}"/>
    <cellStyle name="Normal 2 2 2 5 2 15 3 3" xfId="20801" xr:uid="{00000000-0005-0000-0000-000041510000}"/>
    <cellStyle name="Normal 2 2 2 5 2 15 3 4" xfId="20802" xr:uid="{00000000-0005-0000-0000-000042510000}"/>
    <cellStyle name="Normal 2 2 2 5 2 15 3 5" xfId="20803" xr:uid="{00000000-0005-0000-0000-000043510000}"/>
    <cellStyle name="Normal 2 2 2 5 2 15 3 6" xfId="20804" xr:uid="{00000000-0005-0000-0000-000044510000}"/>
    <cellStyle name="Normal 2 2 2 5 2 15 3 7" xfId="20805" xr:uid="{00000000-0005-0000-0000-000045510000}"/>
    <cellStyle name="Normal 2 2 2 5 2 15 3 8" xfId="20806" xr:uid="{00000000-0005-0000-0000-000046510000}"/>
    <cellStyle name="Normal 2 2 2 5 2 15 3 9" xfId="20807" xr:uid="{00000000-0005-0000-0000-000047510000}"/>
    <cellStyle name="Normal 2 2 2 5 2 15 4" xfId="20808" xr:uid="{00000000-0005-0000-0000-000048510000}"/>
    <cellStyle name="Normal 2 2 2 5 2 15 4 10" xfId="20809" xr:uid="{00000000-0005-0000-0000-000049510000}"/>
    <cellStyle name="Normal 2 2 2 5 2 15 4 2" xfId="20810" xr:uid="{00000000-0005-0000-0000-00004A510000}"/>
    <cellStyle name="Normal 2 2 2 5 2 15 4 3" xfId="20811" xr:uid="{00000000-0005-0000-0000-00004B510000}"/>
    <cellStyle name="Normal 2 2 2 5 2 15 4 4" xfId="20812" xr:uid="{00000000-0005-0000-0000-00004C510000}"/>
    <cellStyle name="Normal 2 2 2 5 2 15 4 5" xfId="20813" xr:uid="{00000000-0005-0000-0000-00004D510000}"/>
    <cellStyle name="Normal 2 2 2 5 2 15 4 6" xfId="20814" xr:uid="{00000000-0005-0000-0000-00004E510000}"/>
    <cellStyle name="Normal 2 2 2 5 2 15 4 7" xfId="20815" xr:uid="{00000000-0005-0000-0000-00004F510000}"/>
    <cellStyle name="Normal 2 2 2 5 2 15 4 8" xfId="20816" xr:uid="{00000000-0005-0000-0000-000050510000}"/>
    <cellStyle name="Normal 2 2 2 5 2 15 4 9" xfId="20817" xr:uid="{00000000-0005-0000-0000-000051510000}"/>
    <cellStyle name="Normal 2 2 2 5 2 15 5" xfId="20818" xr:uid="{00000000-0005-0000-0000-000052510000}"/>
    <cellStyle name="Normal 2 2 2 5 2 15 5 10" xfId="20819" xr:uid="{00000000-0005-0000-0000-000053510000}"/>
    <cellStyle name="Normal 2 2 2 5 2 15 5 2" xfId="20820" xr:uid="{00000000-0005-0000-0000-000054510000}"/>
    <cellStyle name="Normal 2 2 2 5 2 15 5 3" xfId="20821" xr:uid="{00000000-0005-0000-0000-000055510000}"/>
    <cellStyle name="Normal 2 2 2 5 2 15 5 4" xfId="20822" xr:uid="{00000000-0005-0000-0000-000056510000}"/>
    <cellStyle name="Normal 2 2 2 5 2 15 5 5" xfId="20823" xr:uid="{00000000-0005-0000-0000-000057510000}"/>
    <cellStyle name="Normal 2 2 2 5 2 15 5 6" xfId="20824" xr:uid="{00000000-0005-0000-0000-000058510000}"/>
    <cellStyle name="Normal 2 2 2 5 2 15 5 7" xfId="20825" xr:uid="{00000000-0005-0000-0000-000059510000}"/>
    <cellStyle name="Normal 2 2 2 5 2 15 5 8" xfId="20826" xr:uid="{00000000-0005-0000-0000-00005A510000}"/>
    <cellStyle name="Normal 2 2 2 5 2 15 5 9" xfId="20827" xr:uid="{00000000-0005-0000-0000-00005B510000}"/>
    <cellStyle name="Normal 2 2 2 5 2 15 6" xfId="20828" xr:uid="{00000000-0005-0000-0000-00005C510000}"/>
    <cellStyle name="Normal 2 2 2 5 2 15 7" xfId="20829" xr:uid="{00000000-0005-0000-0000-00005D510000}"/>
    <cellStyle name="Normal 2 2 2 5 2 15 8" xfId="20830" xr:uid="{00000000-0005-0000-0000-00005E510000}"/>
    <cellStyle name="Normal 2 2 2 5 2 15 9" xfId="20831" xr:uid="{00000000-0005-0000-0000-00005F510000}"/>
    <cellStyle name="Normal 2 2 2 5 2 16" xfId="20832" xr:uid="{00000000-0005-0000-0000-000060510000}"/>
    <cellStyle name="Normal 2 2 2 5 2 16 10" xfId="20833" xr:uid="{00000000-0005-0000-0000-000061510000}"/>
    <cellStyle name="Normal 2 2 2 5 2 16 11" xfId="20834" xr:uid="{00000000-0005-0000-0000-000062510000}"/>
    <cellStyle name="Normal 2 2 2 5 2 16 12" xfId="20835" xr:uid="{00000000-0005-0000-0000-000063510000}"/>
    <cellStyle name="Normal 2 2 2 5 2 16 13" xfId="20836" xr:uid="{00000000-0005-0000-0000-000064510000}"/>
    <cellStyle name="Normal 2 2 2 5 2 16 14" xfId="20837" xr:uid="{00000000-0005-0000-0000-000065510000}"/>
    <cellStyle name="Normal 2 2 2 5 2 16 2" xfId="20838" xr:uid="{00000000-0005-0000-0000-000066510000}"/>
    <cellStyle name="Normal 2 2 2 5 2 16 2 10" xfId="20839" xr:uid="{00000000-0005-0000-0000-000067510000}"/>
    <cellStyle name="Normal 2 2 2 5 2 16 2 2" xfId="20840" xr:uid="{00000000-0005-0000-0000-000068510000}"/>
    <cellStyle name="Normal 2 2 2 5 2 16 2 3" xfId="20841" xr:uid="{00000000-0005-0000-0000-000069510000}"/>
    <cellStyle name="Normal 2 2 2 5 2 16 2 4" xfId="20842" xr:uid="{00000000-0005-0000-0000-00006A510000}"/>
    <cellStyle name="Normal 2 2 2 5 2 16 2 5" xfId="20843" xr:uid="{00000000-0005-0000-0000-00006B510000}"/>
    <cellStyle name="Normal 2 2 2 5 2 16 2 6" xfId="20844" xr:uid="{00000000-0005-0000-0000-00006C510000}"/>
    <cellStyle name="Normal 2 2 2 5 2 16 2 7" xfId="20845" xr:uid="{00000000-0005-0000-0000-00006D510000}"/>
    <cellStyle name="Normal 2 2 2 5 2 16 2 8" xfId="20846" xr:uid="{00000000-0005-0000-0000-00006E510000}"/>
    <cellStyle name="Normal 2 2 2 5 2 16 2 9" xfId="20847" xr:uid="{00000000-0005-0000-0000-00006F510000}"/>
    <cellStyle name="Normal 2 2 2 5 2 16 3" xfId="20848" xr:uid="{00000000-0005-0000-0000-000070510000}"/>
    <cellStyle name="Normal 2 2 2 5 2 16 3 10" xfId="20849" xr:uid="{00000000-0005-0000-0000-000071510000}"/>
    <cellStyle name="Normal 2 2 2 5 2 16 3 2" xfId="20850" xr:uid="{00000000-0005-0000-0000-000072510000}"/>
    <cellStyle name="Normal 2 2 2 5 2 16 3 3" xfId="20851" xr:uid="{00000000-0005-0000-0000-000073510000}"/>
    <cellStyle name="Normal 2 2 2 5 2 16 3 4" xfId="20852" xr:uid="{00000000-0005-0000-0000-000074510000}"/>
    <cellStyle name="Normal 2 2 2 5 2 16 3 5" xfId="20853" xr:uid="{00000000-0005-0000-0000-000075510000}"/>
    <cellStyle name="Normal 2 2 2 5 2 16 3 6" xfId="20854" xr:uid="{00000000-0005-0000-0000-000076510000}"/>
    <cellStyle name="Normal 2 2 2 5 2 16 3 7" xfId="20855" xr:uid="{00000000-0005-0000-0000-000077510000}"/>
    <cellStyle name="Normal 2 2 2 5 2 16 3 8" xfId="20856" xr:uid="{00000000-0005-0000-0000-000078510000}"/>
    <cellStyle name="Normal 2 2 2 5 2 16 3 9" xfId="20857" xr:uid="{00000000-0005-0000-0000-000079510000}"/>
    <cellStyle name="Normal 2 2 2 5 2 16 4" xfId="20858" xr:uid="{00000000-0005-0000-0000-00007A510000}"/>
    <cellStyle name="Normal 2 2 2 5 2 16 4 10" xfId="20859" xr:uid="{00000000-0005-0000-0000-00007B510000}"/>
    <cellStyle name="Normal 2 2 2 5 2 16 4 2" xfId="20860" xr:uid="{00000000-0005-0000-0000-00007C510000}"/>
    <cellStyle name="Normal 2 2 2 5 2 16 4 3" xfId="20861" xr:uid="{00000000-0005-0000-0000-00007D510000}"/>
    <cellStyle name="Normal 2 2 2 5 2 16 4 4" xfId="20862" xr:uid="{00000000-0005-0000-0000-00007E510000}"/>
    <cellStyle name="Normal 2 2 2 5 2 16 4 5" xfId="20863" xr:uid="{00000000-0005-0000-0000-00007F510000}"/>
    <cellStyle name="Normal 2 2 2 5 2 16 4 6" xfId="20864" xr:uid="{00000000-0005-0000-0000-000080510000}"/>
    <cellStyle name="Normal 2 2 2 5 2 16 4 7" xfId="20865" xr:uid="{00000000-0005-0000-0000-000081510000}"/>
    <cellStyle name="Normal 2 2 2 5 2 16 4 8" xfId="20866" xr:uid="{00000000-0005-0000-0000-000082510000}"/>
    <cellStyle name="Normal 2 2 2 5 2 16 4 9" xfId="20867" xr:uid="{00000000-0005-0000-0000-000083510000}"/>
    <cellStyle name="Normal 2 2 2 5 2 16 5" xfId="20868" xr:uid="{00000000-0005-0000-0000-000084510000}"/>
    <cellStyle name="Normal 2 2 2 5 2 16 5 10" xfId="20869" xr:uid="{00000000-0005-0000-0000-000085510000}"/>
    <cellStyle name="Normal 2 2 2 5 2 16 5 2" xfId="20870" xr:uid="{00000000-0005-0000-0000-000086510000}"/>
    <cellStyle name="Normal 2 2 2 5 2 16 5 3" xfId="20871" xr:uid="{00000000-0005-0000-0000-000087510000}"/>
    <cellStyle name="Normal 2 2 2 5 2 16 5 4" xfId="20872" xr:uid="{00000000-0005-0000-0000-000088510000}"/>
    <cellStyle name="Normal 2 2 2 5 2 16 5 5" xfId="20873" xr:uid="{00000000-0005-0000-0000-000089510000}"/>
    <cellStyle name="Normal 2 2 2 5 2 16 5 6" xfId="20874" xr:uid="{00000000-0005-0000-0000-00008A510000}"/>
    <cellStyle name="Normal 2 2 2 5 2 16 5 7" xfId="20875" xr:uid="{00000000-0005-0000-0000-00008B510000}"/>
    <cellStyle name="Normal 2 2 2 5 2 16 5 8" xfId="20876" xr:uid="{00000000-0005-0000-0000-00008C510000}"/>
    <cellStyle name="Normal 2 2 2 5 2 16 5 9" xfId="20877" xr:uid="{00000000-0005-0000-0000-00008D510000}"/>
    <cellStyle name="Normal 2 2 2 5 2 16 6" xfId="20878" xr:uid="{00000000-0005-0000-0000-00008E510000}"/>
    <cellStyle name="Normal 2 2 2 5 2 16 7" xfId="20879" xr:uid="{00000000-0005-0000-0000-00008F510000}"/>
    <cellStyle name="Normal 2 2 2 5 2 16 8" xfId="20880" xr:uid="{00000000-0005-0000-0000-000090510000}"/>
    <cellStyle name="Normal 2 2 2 5 2 16 9" xfId="20881" xr:uid="{00000000-0005-0000-0000-000091510000}"/>
    <cellStyle name="Normal 2 2 2 5 2 17" xfId="20882" xr:uid="{00000000-0005-0000-0000-000092510000}"/>
    <cellStyle name="Normal 2 2 2 5 2 17 10" xfId="20883" xr:uid="{00000000-0005-0000-0000-000093510000}"/>
    <cellStyle name="Normal 2 2 2 5 2 17 11" xfId="20884" xr:uid="{00000000-0005-0000-0000-000094510000}"/>
    <cellStyle name="Normal 2 2 2 5 2 17 12" xfId="20885" xr:uid="{00000000-0005-0000-0000-000095510000}"/>
    <cellStyle name="Normal 2 2 2 5 2 17 13" xfId="20886" xr:uid="{00000000-0005-0000-0000-000096510000}"/>
    <cellStyle name="Normal 2 2 2 5 2 17 14" xfId="20887" xr:uid="{00000000-0005-0000-0000-000097510000}"/>
    <cellStyle name="Normal 2 2 2 5 2 17 2" xfId="20888" xr:uid="{00000000-0005-0000-0000-000098510000}"/>
    <cellStyle name="Normal 2 2 2 5 2 17 2 10" xfId="20889" xr:uid="{00000000-0005-0000-0000-000099510000}"/>
    <cellStyle name="Normal 2 2 2 5 2 17 2 2" xfId="20890" xr:uid="{00000000-0005-0000-0000-00009A510000}"/>
    <cellStyle name="Normal 2 2 2 5 2 17 2 3" xfId="20891" xr:uid="{00000000-0005-0000-0000-00009B510000}"/>
    <cellStyle name="Normal 2 2 2 5 2 17 2 4" xfId="20892" xr:uid="{00000000-0005-0000-0000-00009C510000}"/>
    <cellStyle name="Normal 2 2 2 5 2 17 2 5" xfId="20893" xr:uid="{00000000-0005-0000-0000-00009D510000}"/>
    <cellStyle name="Normal 2 2 2 5 2 17 2 6" xfId="20894" xr:uid="{00000000-0005-0000-0000-00009E510000}"/>
    <cellStyle name="Normal 2 2 2 5 2 17 2 7" xfId="20895" xr:uid="{00000000-0005-0000-0000-00009F510000}"/>
    <cellStyle name="Normal 2 2 2 5 2 17 2 8" xfId="20896" xr:uid="{00000000-0005-0000-0000-0000A0510000}"/>
    <cellStyle name="Normal 2 2 2 5 2 17 2 9" xfId="20897" xr:uid="{00000000-0005-0000-0000-0000A1510000}"/>
    <cellStyle name="Normal 2 2 2 5 2 17 3" xfId="20898" xr:uid="{00000000-0005-0000-0000-0000A2510000}"/>
    <cellStyle name="Normal 2 2 2 5 2 17 3 10" xfId="20899" xr:uid="{00000000-0005-0000-0000-0000A3510000}"/>
    <cellStyle name="Normal 2 2 2 5 2 17 3 2" xfId="20900" xr:uid="{00000000-0005-0000-0000-0000A4510000}"/>
    <cellStyle name="Normal 2 2 2 5 2 17 3 3" xfId="20901" xr:uid="{00000000-0005-0000-0000-0000A5510000}"/>
    <cellStyle name="Normal 2 2 2 5 2 17 3 4" xfId="20902" xr:uid="{00000000-0005-0000-0000-0000A6510000}"/>
    <cellStyle name="Normal 2 2 2 5 2 17 3 5" xfId="20903" xr:uid="{00000000-0005-0000-0000-0000A7510000}"/>
    <cellStyle name="Normal 2 2 2 5 2 17 3 6" xfId="20904" xr:uid="{00000000-0005-0000-0000-0000A8510000}"/>
    <cellStyle name="Normal 2 2 2 5 2 17 3 7" xfId="20905" xr:uid="{00000000-0005-0000-0000-0000A9510000}"/>
    <cellStyle name="Normal 2 2 2 5 2 17 3 8" xfId="20906" xr:uid="{00000000-0005-0000-0000-0000AA510000}"/>
    <cellStyle name="Normal 2 2 2 5 2 17 3 9" xfId="20907" xr:uid="{00000000-0005-0000-0000-0000AB510000}"/>
    <cellStyle name="Normal 2 2 2 5 2 17 4" xfId="20908" xr:uid="{00000000-0005-0000-0000-0000AC510000}"/>
    <cellStyle name="Normal 2 2 2 5 2 17 4 10" xfId="20909" xr:uid="{00000000-0005-0000-0000-0000AD510000}"/>
    <cellStyle name="Normal 2 2 2 5 2 17 4 2" xfId="20910" xr:uid="{00000000-0005-0000-0000-0000AE510000}"/>
    <cellStyle name="Normal 2 2 2 5 2 17 4 3" xfId="20911" xr:uid="{00000000-0005-0000-0000-0000AF510000}"/>
    <cellStyle name="Normal 2 2 2 5 2 17 4 4" xfId="20912" xr:uid="{00000000-0005-0000-0000-0000B0510000}"/>
    <cellStyle name="Normal 2 2 2 5 2 17 4 5" xfId="20913" xr:uid="{00000000-0005-0000-0000-0000B1510000}"/>
    <cellStyle name="Normal 2 2 2 5 2 17 4 6" xfId="20914" xr:uid="{00000000-0005-0000-0000-0000B2510000}"/>
    <cellStyle name="Normal 2 2 2 5 2 17 4 7" xfId="20915" xr:uid="{00000000-0005-0000-0000-0000B3510000}"/>
    <cellStyle name="Normal 2 2 2 5 2 17 4 8" xfId="20916" xr:uid="{00000000-0005-0000-0000-0000B4510000}"/>
    <cellStyle name="Normal 2 2 2 5 2 17 4 9" xfId="20917" xr:uid="{00000000-0005-0000-0000-0000B5510000}"/>
    <cellStyle name="Normal 2 2 2 5 2 17 5" xfId="20918" xr:uid="{00000000-0005-0000-0000-0000B6510000}"/>
    <cellStyle name="Normal 2 2 2 5 2 17 5 10" xfId="20919" xr:uid="{00000000-0005-0000-0000-0000B7510000}"/>
    <cellStyle name="Normal 2 2 2 5 2 17 5 2" xfId="20920" xr:uid="{00000000-0005-0000-0000-0000B8510000}"/>
    <cellStyle name="Normal 2 2 2 5 2 17 5 3" xfId="20921" xr:uid="{00000000-0005-0000-0000-0000B9510000}"/>
    <cellStyle name="Normal 2 2 2 5 2 17 5 4" xfId="20922" xr:uid="{00000000-0005-0000-0000-0000BA510000}"/>
    <cellStyle name="Normal 2 2 2 5 2 17 5 5" xfId="20923" xr:uid="{00000000-0005-0000-0000-0000BB510000}"/>
    <cellStyle name="Normal 2 2 2 5 2 17 5 6" xfId="20924" xr:uid="{00000000-0005-0000-0000-0000BC510000}"/>
    <cellStyle name="Normal 2 2 2 5 2 17 5 7" xfId="20925" xr:uid="{00000000-0005-0000-0000-0000BD510000}"/>
    <cellStyle name="Normal 2 2 2 5 2 17 5 8" xfId="20926" xr:uid="{00000000-0005-0000-0000-0000BE510000}"/>
    <cellStyle name="Normal 2 2 2 5 2 17 5 9" xfId="20927" xr:uid="{00000000-0005-0000-0000-0000BF510000}"/>
    <cellStyle name="Normal 2 2 2 5 2 17 6" xfId="20928" xr:uid="{00000000-0005-0000-0000-0000C0510000}"/>
    <cellStyle name="Normal 2 2 2 5 2 17 7" xfId="20929" xr:uid="{00000000-0005-0000-0000-0000C1510000}"/>
    <cellStyle name="Normal 2 2 2 5 2 17 8" xfId="20930" xr:uid="{00000000-0005-0000-0000-0000C2510000}"/>
    <cellStyle name="Normal 2 2 2 5 2 17 9" xfId="20931" xr:uid="{00000000-0005-0000-0000-0000C3510000}"/>
    <cellStyle name="Normal 2 2 2 5 2 18" xfId="20932" xr:uid="{00000000-0005-0000-0000-0000C4510000}"/>
    <cellStyle name="Normal 2 2 2 5 2 18 10" xfId="20933" xr:uid="{00000000-0005-0000-0000-0000C5510000}"/>
    <cellStyle name="Normal 2 2 2 5 2 18 11" xfId="20934" xr:uid="{00000000-0005-0000-0000-0000C6510000}"/>
    <cellStyle name="Normal 2 2 2 5 2 18 12" xfId="20935" xr:uid="{00000000-0005-0000-0000-0000C7510000}"/>
    <cellStyle name="Normal 2 2 2 5 2 18 13" xfId="20936" xr:uid="{00000000-0005-0000-0000-0000C8510000}"/>
    <cellStyle name="Normal 2 2 2 5 2 18 14" xfId="20937" xr:uid="{00000000-0005-0000-0000-0000C9510000}"/>
    <cellStyle name="Normal 2 2 2 5 2 18 2" xfId="20938" xr:uid="{00000000-0005-0000-0000-0000CA510000}"/>
    <cellStyle name="Normal 2 2 2 5 2 18 2 10" xfId="20939" xr:uid="{00000000-0005-0000-0000-0000CB510000}"/>
    <cellStyle name="Normal 2 2 2 5 2 18 2 2" xfId="20940" xr:uid="{00000000-0005-0000-0000-0000CC510000}"/>
    <cellStyle name="Normal 2 2 2 5 2 18 2 3" xfId="20941" xr:uid="{00000000-0005-0000-0000-0000CD510000}"/>
    <cellStyle name="Normal 2 2 2 5 2 18 2 4" xfId="20942" xr:uid="{00000000-0005-0000-0000-0000CE510000}"/>
    <cellStyle name="Normal 2 2 2 5 2 18 2 5" xfId="20943" xr:uid="{00000000-0005-0000-0000-0000CF510000}"/>
    <cellStyle name="Normal 2 2 2 5 2 18 2 6" xfId="20944" xr:uid="{00000000-0005-0000-0000-0000D0510000}"/>
    <cellStyle name="Normal 2 2 2 5 2 18 2 7" xfId="20945" xr:uid="{00000000-0005-0000-0000-0000D1510000}"/>
    <cellStyle name="Normal 2 2 2 5 2 18 2 8" xfId="20946" xr:uid="{00000000-0005-0000-0000-0000D2510000}"/>
    <cellStyle name="Normal 2 2 2 5 2 18 2 9" xfId="20947" xr:uid="{00000000-0005-0000-0000-0000D3510000}"/>
    <cellStyle name="Normal 2 2 2 5 2 18 3" xfId="20948" xr:uid="{00000000-0005-0000-0000-0000D4510000}"/>
    <cellStyle name="Normal 2 2 2 5 2 18 3 10" xfId="20949" xr:uid="{00000000-0005-0000-0000-0000D5510000}"/>
    <cellStyle name="Normal 2 2 2 5 2 18 3 2" xfId="20950" xr:uid="{00000000-0005-0000-0000-0000D6510000}"/>
    <cellStyle name="Normal 2 2 2 5 2 18 3 3" xfId="20951" xr:uid="{00000000-0005-0000-0000-0000D7510000}"/>
    <cellStyle name="Normal 2 2 2 5 2 18 3 4" xfId="20952" xr:uid="{00000000-0005-0000-0000-0000D8510000}"/>
    <cellStyle name="Normal 2 2 2 5 2 18 3 5" xfId="20953" xr:uid="{00000000-0005-0000-0000-0000D9510000}"/>
    <cellStyle name="Normal 2 2 2 5 2 18 3 6" xfId="20954" xr:uid="{00000000-0005-0000-0000-0000DA510000}"/>
    <cellStyle name="Normal 2 2 2 5 2 18 3 7" xfId="20955" xr:uid="{00000000-0005-0000-0000-0000DB510000}"/>
    <cellStyle name="Normal 2 2 2 5 2 18 3 8" xfId="20956" xr:uid="{00000000-0005-0000-0000-0000DC510000}"/>
    <cellStyle name="Normal 2 2 2 5 2 18 3 9" xfId="20957" xr:uid="{00000000-0005-0000-0000-0000DD510000}"/>
    <cellStyle name="Normal 2 2 2 5 2 18 4" xfId="20958" xr:uid="{00000000-0005-0000-0000-0000DE510000}"/>
    <cellStyle name="Normal 2 2 2 5 2 18 4 10" xfId="20959" xr:uid="{00000000-0005-0000-0000-0000DF510000}"/>
    <cellStyle name="Normal 2 2 2 5 2 18 4 2" xfId="20960" xr:uid="{00000000-0005-0000-0000-0000E0510000}"/>
    <cellStyle name="Normal 2 2 2 5 2 18 4 3" xfId="20961" xr:uid="{00000000-0005-0000-0000-0000E1510000}"/>
    <cellStyle name="Normal 2 2 2 5 2 18 4 4" xfId="20962" xr:uid="{00000000-0005-0000-0000-0000E2510000}"/>
    <cellStyle name="Normal 2 2 2 5 2 18 4 5" xfId="20963" xr:uid="{00000000-0005-0000-0000-0000E3510000}"/>
    <cellStyle name="Normal 2 2 2 5 2 18 4 6" xfId="20964" xr:uid="{00000000-0005-0000-0000-0000E4510000}"/>
    <cellStyle name="Normal 2 2 2 5 2 18 4 7" xfId="20965" xr:uid="{00000000-0005-0000-0000-0000E5510000}"/>
    <cellStyle name="Normal 2 2 2 5 2 18 4 8" xfId="20966" xr:uid="{00000000-0005-0000-0000-0000E6510000}"/>
    <cellStyle name="Normal 2 2 2 5 2 18 4 9" xfId="20967" xr:uid="{00000000-0005-0000-0000-0000E7510000}"/>
    <cellStyle name="Normal 2 2 2 5 2 18 5" xfId="20968" xr:uid="{00000000-0005-0000-0000-0000E8510000}"/>
    <cellStyle name="Normal 2 2 2 5 2 18 5 10" xfId="20969" xr:uid="{00000000-0005-0000-0000-0000E9510000}"/>
    <cellStyle name="Normal 2 2 2 5 2 18 5 2" xfId="20970" xr:uid="{00000000-0005-0000-0000-0000EA510000}"/>
    <cellStyle name="Normal 2 2 2 5 2 18 5 3" xfId="20971" xr:uid="{00000000-0005-0000-0000-0000EB510000}"/>
    <cellStyle name="Normal 2 2 2 5 2 18 5 4" xfId="20972" xr:uid="{00000000-0005-0000-0000-0000EC510000}"/>
    <cellStyle name="Normal 2 2 2 5 2 18 5 5" xfId="20973" xr:uid="{00000000-0005-0000-0000-0000ED510000}"/>
    <cellStyle name="Normal 2 2 2 5 2 18 5 6" xfId="20974" xr:uid="{00000000-0005-0000-0000-0000EE510000}"/>
    <cellStyle name="Normal 2 2 2 5 2 18 5 7" xfId="20975" xr:uid="{00000000-0005-0000-0000-0000EF510000}"/>
    <cellStyle name="Normal 2 2 2 5 2 18 5 8" xfId="20976" xr:uid="{00000000-0005-0000-0000-0000F0510000}"/>
    <cellStyle name="Normal 2 2 2 5 2 18 5 9" xfId="20977" xr:uid="{00000000-0005-0000-0000-0000F1510000}"/>
    <cellStyle name="Normal 2 2 2 5 2 18 6" xfId="20978" xr:uid="{00000000-0005-0000-0000-0000F2510000}"/>
    <cellStyle name="Normal 2 2 2 5 2 18 7" xfId="20979" xr:uid="{00000000-0005-0000-0000-0000F3510000}"/>
    <cellStyle name="Normal 2 2 2 5 2 18 8" xfId="20980" xr:uid="{00000000-0005-0000-0000-0000F4510000}"/>
    <cellStyle name="Normal 2 2 2 5 2 18 9" xfId="20981" xr:uid="{00000000-0005-0000-0000-0000F5510000}"/>
    <cellStyle name="Normal 2 2 2 5 2 19" xfId="20982" xr:uid="{00000000-0005-0000-0000-0000F6510000}"/>
    <cellStyle name="Normal 2 2 2 5 2 19 10" xfId="20983" xr:uid="{00000000-0005-0000-0000-0000F7510000}"/>
    <cellStyle name="Normal 2 2 2 5 2 19 11" xfId="20984" xr:uid="{00000000-0005-0000-0000-0000F8510000}"/>
    <cellStyle name="Normal 2 2 2 5 2 19 12" xfId="20985" xr:uid="{00000000-0005-0000-0000-0000F9510000}"/>
    <cellStyle name="Normal 2 2 2 5 2 19 13" xfId="20986" xr:uid="{00000000-0005-0000-0000-0000FA510000}"/>
    <cellStyle name="Normal 2 2 2 5 2 19 14" xfId="20987" xr:uid="{00000000-0005-0000-0000-0000FB510000}"/>
    <cellStyle name="Normal 2 2 2 5 2 19 2" xfId="20988" xr:uid="{00000000-0005-0000-0000-0000FC510000}"/>
    <cellStyle name="Normal 2 2 2 5 2 19 2 10" xfId="20989" xr:uid="{00000000-0005-0000-0000-0000FD510000}"/>
    <cellStyle name="Normal 2 2 2 5 2 19 2 2" xfId="20990" xr:uid="{00000000-0005-0000-0000-0000FE510000}"/>
    <cellStyle name="Normal 2 2 2 5 2 19 2 3" xfId="20991" xr:uid="{00000000-0005-0000-0000-0000FF510000}"/>
    <cellStyle name="Normal 2 2 2 5 2 19 2 4" xfId="20992" xr:uid="{00000000-0005-0000-0000-000000520000}"/>
    <cellStyle name="Normal 2 2 2 5 2 19 2 5" xfId="20993" xr:uid="{00000000-0005-0000-0000-000001520000}"/>
    <cellStyle name="Normal 2 2 2 5 2 19 2 6" xfId="20994" xr:uid="{00000000-0005-0000-0000-000002520000}"/>
    <cellStyle name="Normal 2 2 2 5 2 19 2 7" xfId="20995" xr:uid="{00000000-0005-0000-0000-000003520000}"/>
    <cellStyle name="Normal 2 2 2 5 2 19 2 8" xfId="20996" xr:uid="{00000000-0005-0000-0000-000004520000}"/>
    <cellStyle name="Normal 2 2 2 5 2 19 2 9" xfId="20997" xr:uid="{00000000-0005-0000-0000-000005520000}"/>
    <cellStyle name="Normal 2 2 2 5 2 19 3" xfId="20998" xr:uid="{00000000-0005-0000-0000-000006520000}"/>
    <cellStyle name="Normal 2 2 2 5 2 19 3 10" xfId="20999" xr:uid="{00000000-0005-0000-0000-000007520000}"/>
    <cellStyle name="Normal 2 2 2 5 2 19 3 2" xfId="21000" xr:uid="{00000000-0005-0000-0000-000008520000}"/>
    <cellStyle name="Normal 2 2 2 5 2 19 3 3" xfId="21001" xr:uid="{00000000-0005-0000-0000-000009520000}"/>
    <cellStyle name="Normal 2 2 2 5 2 19 3 4" xfId="21002" xr:uid="{00000000-0005-0000-0000-00000A520000}"/>
    <cellStyle name="Normal 2 2 2 5 2 19 3 5" xfId="21003" xr:uid="{00000000-0005-0000-0000-00000B520000}"/>
    <cellStyle name="Normal 2 2 2 5 2 19 3 6" xfId="21004" xr:uid="{00000000-0005-0000-0000-00000C520000}"/>
    <cellStyle name="Normal 2 2 2 5 2 19 3 7" xfId="21005" xr:uid="{00000000-0005-0000-0000-00000D520000}"/>
    <cellStyle name="Normal 2 2 2 5 2 19 3 8" xfId="21006" xr:uid="{00000000-0005-0000-0000-00000E520000}"/>
    <cellStyle name="Normal 2 2 2 5 2 19 3 9" xfId="21007" xr:uid="{00000000-0005-0000-0000-00000F520000}"/>
    <cellStyle name="Normal 2 2 2 5 2 19 4" xfId="21008" xr:uid="{00000000-0005-0000-0000-000010520000}"/>
    <cellStyle name="Normal 2 2 2 5 2 19 4 10" xfId="21009" xr:uid="{00000000-0005-0000-0000-000011520000}"/>
    <cellStyle name="Normal 2 2 2 5 2 19 4 2" xfId="21010" xr:uid="{00000000-0005-0000-0000-000012520000}"/>
    <cellStyle name="Normal 2 2 2 5 2 19 4 3" xfId="21011" xr:uid="{00000000-0005-0000-0000-000013520000}"/>
    <cellStyle name="Normal 2 2 2 5 2 19 4 4" xfId="21012" xr:uid="{00000000-0005-0000-0000-000014520000}"/>
    <cellStyle name="Normal 2 2 2 5 2 19 4 5" xfId="21013" xr:uid="{00000000-0005-0000-0000-000015520000}"/>
    <cellStyle name="Normal 2 2 2 5 2 19 4 6" xfId="21014" xr:uid="{00000000-0005-0000-0000-000016520000}"/>
    <cellStyle name="Normal 2 2 2 5 2 19 4 7" xfId="21015" xr:uid="{00000000-0005-0000-0000-000017520000}"/>
    <cellStyle name="Normal 2 2 2 5 2 19 4 8" xfId="21016" xr:uid="{00000000-0005-0000-0000-000018520000}"/>
    <cellStyle name="Normal 2 2 2 5 2 19 4 9" xfId="21017" xr:uid="{00000000-0005-0000-0000-000019520000}"/>
    <cellStyle name="Normal 2 2 2 5 2 19 5" xfId="21018" xr:uid="{00000000-0005-0000-0000-00001A520000}"/>
    <cellStyle name="Normal 2 2 2 5 2 19 5 10" xfId="21019" xr:uid="{00000000-0005-0000-0000-00001B520000}"/>
    <cellStyle name="Normal 2 2 2 5 2 19 5 2" xfId="21020" xr:uid="{00000000-0005-0000-0000-00001C520000}"/>
    <cellStyle name="Normal 2 2 2 5 2 19 5 3" xfId="21021" xr:uid="{00000000-0005-0000-0000-00001D520000}"/>
    <cellStyle name="Normal 2 2 2 5 2 19 5 4" xfId="21022" xr:uid="{00000000-0005-0000-0000-00001E520000}"/>
    <cellStyle name="Normal 2 2 2 5 2 19 5 5" xfId="21023" xr:uid="{00000000-0005-0000-0000-00001F520000}"/>
    <cellStyle name="Normal 2 2 2 5 2 19 5 6" xfId="21024" xr:uid="{00000000-0005-0000-0000-000020520000}"/>
    <cellStyle name="Normal 2 2 2 5 2 19 5 7" xfId="21025" xr:uid="{00000000-0005-0000-0000-000021520000}"/>
    <cellStyle name="Normal 2 2 2 5 2 19 5 8" xfId="21026" xr:uid="{00000000-0005-0000-0000-000022520000}"/>
    <cellStyle name="Normal 2 2 2 5 2 19 5 9" xfId="21027" xr:uid="{00000000-0005-0000-0000-000023520000}"/>
    <cellStyle name="Normal 2 2 2 5 2 19 6" xfId="21028" xr:uid="{00000000-0005-0000-0000-000024520000}"/>
    <cellStyle name="Normal 2 2 2 5 2 19 7" xfId="21029" xr:uid="{00000000-0005-0000-0000-000025520000}"/>
    <cellStyle name="Normal 2 2 2 5 2 19 8" xfId="21030" xr:uid="{00000000-0005-0000-0000-000026520000}"/>
    <cellStyle name="Normal 2 2 2 5 2 19 9" xfId="21031" xr:uid="{00000000-0005-0000-0000-000027520000}"/>
    <cellStyle name="Normal 2 2 2 5 2 2" xfId="21032" xr:uid="{00000000-0005-0000-0000-000028520000}"/>
    <cellStyle name="Normal 2 2 2 5 2 2 10" xfId="21033" xr:uid="{00000000-0005-0000-0000-000029520000}"/>
    <cellStyle name="Normal 2 2 2 5 2 2 11" xfId="21034" xr:uid="{00000000-0005-0000-0000-00002A520000}"/>
    <cellStyle name="Normal 2 2 2 5 2 2 12" xfId="21035" xr:uid="{00000000-0005-0000-0000-00002B520000}"/>
    <cellStyle name="Normal 2 2 2 5 2 2 13" xfId="21036" xr:uid="{00000000-0005-0000-0000-00002C520000}"/>
    <cellStyle name="Normal 2 2 2 5 2 2 14" xfId="21037" xr:uid="{00000000-0005-0000-0000-00002D520000}"/>
    <cellStyle name="Normal 2 2 2 5 2 2 2" xfId="21038" xr:uid="{00000000-0005-0000-0000-00002E520000}"/>
    <cellStyle name="Normal 2 2 2 5 2 2 2 10" xfId="21039" xr:uid="{00000000-0005-0000-0000-00002F520000}"/>
    <cellStyle name="Normal 2 2 2 5 2 2 2 2" xfId="21040" xr:uid="{00000000-0005-0000-0000-000030520000}"/>
    <cellStyle name="Normal 2 2 2 5 2 2 2 3" xfId="21041" xr:uid="{00000000-0005-0000-0000-000031520000}"/>
    <cellStyle name="Normal 2 2 2 5 2 2 2 4" xfId="21042" xr:uid="{00000000-0005-0000-0000-000032520000}"/>
    <cellStyle name="Normal 2 2 2 5 2 2 2 5" xfId="21043" xr:uid="{00000000-0005-0000-0000-000033520000}"/>
    <cellStyle name="Normal 2 2 2 5 2 2 2 6" xfId="21044" xr:uid="{00000000-0005-0000-0000-000034520000}"/>
    <cellStyle name="Normal 2 2 2 5 2 2 2 7" xfId="21045" xr:uid="{00000000-0005-0000-0000-000035520000}"/>
    <cellStyle name="Normal 2 2 2 5 2 2 2 8" xfId="21046" xr:uid="{00000000-0005-0000-0000-000036520000}"/>
    <cellStyle name="Normal 2 2 2 5 2 2 2 9" xfId="21047" xr:uid="{00000000-0005-0000-0000-000037520000}"/>
    <cellStyle name="Normal 2 2 2 5 2 2 3" xfId="21048" xr:uid="{00000000-0005-0000-0000-000038520000}"/>
    <cellStyle name="Normal 2 2 2 5 2 2 3 10" xfId="21049" xr:uid="{00000000-0005-0000-0000-000039520000}"/>
    <cellStyle name="Normal 2 2 2 5 2 2 3 2" xfId="21050" xr:uid="{00000000-0005-0000-0000-00003A520000}"/>
    <cellStyle name="Normal 2 2 2 5 2 2 3 3" xfId="21051" xr:uid="{00000000-0005-0000-0000-00003B520000}"/>
    <cellStyle name="Normal 2 2 2 5 2 2 3 4" xfId="21052" xr:uid="{00000000-0005-0000-0000-00003C520000}"/>
    <cellStyle name="Normal 2 2 2 5 2 2 3 5" xfId="21053" xr:uid="{00000000-0005-0000-0000-00003D520000}"/>
    <cellStyle name="Normal 2 2 2 5 2 2 3 6" xfId="21054" xr:uid="{00000000-0005-0000-0000-00003E520000}"/>
    <cellStyle name="Normal 2 2 2 5 2 2 3 7" xfId="21055" xr:uid="{00000000-0005-0000-0000-00003F520000}"/>
    <cellStyle name="Normal 2 2 2 5 2 2 3 8" xfId="21056" xr:uid="{00000000-0005-0000-0000-000040520000}"/>
    <cellStyle name="Normal 2 2 2 5 2 2 3 9" xfId="21057" xr:uid="{00000000-0005-0000-0000-000041520000}"/>
    <cellStyle name="Normal 2 2 2 5 2 2 4" xfId="21058" xr:uid="{00000000-0005-0000-0000-000042520000}"/>
    <cellStyle name="Normal 2 2 2 5 2 2 4 10" xfId="21059" xr:uid="{00000000-0005-0000-0000-000043520000}"/>
    <cellStyle name="Normal 2 2 2 5 2 2 4 2" xfId="21060" xr:uid="{00000000-0005-0000-0000-000044520000}"/>
    <cellStyle name="Normal 2 2 2 5 2 2 4 3" xfId="21061" xr:uid="{00000000-0005-0000-0000-000045520000}"/>
    <cellStyle name="Normal 2 2 2 5 2 2 4 4" xfId="21062" xr:uid="{00000000-0005-0000-0000-000046520000}"/>
    <cellStyle name="Normal 2 2 2 5 2 2 4 5" xfId="21063" xr:uid="{00000000-0005-0000-0000-000047520000}"/>
    <cellStyle name="Normal 2 2 2 5 2 2 4 6" xfId="21064" xr:uid="{00000000-0005-0000-0000-000048520000}"/>
    <cellStyle name="Normal 2 2 2 5 2 2 4 7" xfId="21065" xr:uid="{00000000-0005-0000-0000-000049520000}"/>
    <cellStyle name="Normal 2 2 2 5 2 2 4 8" xfId="21066" xr:uid="{00000000-0005-0000-0000-00004A520000}"/>
    <cellStyle name="Normal 2 2 2 5 2 2 4 9" xfId="21067" xr:uid="{00000000-0005-0000-0000-00004B520000}"/>
    <cellStyle name="Normal 2 2 2 5 2 2 5" xfId="21068" xr:uid="{00000000-0005-0000-0000-00004C520000}"/>
    <cellStyle name="Normal 2 2 2 5 2 2 5 10" xfId="21069" xr:uid="{00000000-0005-0000-0000-00004D520000}"/>
    <cellStyle name="Normal 2 2 2 5 2 2 5 2" xfId="21070" xr:uid="{00000000-0005-0000-0000-00004E520000}"/>
    <cellStyle name="Normal 2 2 2 5 2 2 5 3" xfId="21071" xr:uid="{00000000-0005-0000-0000-00004F520000}"/>
    <cellStyle name="Normal 2 2 2 5 2 2 5 4" xfId="21072" xr:uid="{00000000-0005-0000-0000-000050520000}"/>
    <cellStyle name="Normal 2 2 2 5 2 2 5 5" xfId="21073" xr:uid="{00000000-0005-0000-0000-000051520000}"/>
    <cellStyle name="Normal 2 2 2 5 2 2 5 6" xfId="21074" xr:uid="{00000000-0005-0000-0000-000052520000}"/>
    <cellStyle name="Normal 2 2 2 5 2 2 5 7" xfId="21075" xr:uid="{00000000-0005-0000-0000-000053520000}"/>
    <cellStyle name="Normal 2 2 2 5 2 2 5 8" xfId="21076" xr:uid="{00000000-0005-0000-0000-000054520000}"/>
    <cellStyle name="Normal 2 2 2 5 2 2 5 9" xfId="21077" xr:uid="{00000000-0005-0000-0000-000055520000}"/>
    <cellStyle name="Normal 2 2 2 5 2 2 6" xfId="21078" xr:uid="{00000000-0005-0000-0000-000056520000}"/>
    <cellStyle name="Normal 2 2 2 5 2 2 7" xfId="21079" xr:uid="{00000000-0005-0000-0000-000057520000}"/>
    <cellStyle name="Normal 2 2 2 5 2 2 8" xfId="21080" xr:uid="{00000000-0005-0000-0000-000058520000}"/>
    <cellStyle name="Normal 2 2 2 5 2 2 9" xfId="21081" xr:uid="{00000000-0005-0000-0000-000059520000}"/>
    <cellStyle name="Normal 2 2 2 5 2 20" xfId="21082" xr:uid="{00000000-0005-0000-0000-00005A520000}"/>
    <cellStyle name="Normal 2 2 2 5 2 20 10" xfId="21083" xr:uid="{00000000-0005-0000-0000-00005B520000}"/>
    <cellStyle name="Normal 2 2 2 5 2 20 11" xfId="21084" xr:uid="{00000000-0005-0000-0000-00005C520000}"/>
    <cellStyle name="Normal 2 2 2 5 2 20 12" xfId="21085" xr:uid="{00000000-0005-0000-0000-00005D520000}"/>
    <cellStyle name="Normal 2 2 2 5 2 20 13" xfId="21086" xr:uid="{00000000-0005-0000-0000-00005E520000}"/>
    <cellStyle name="Normal 2 2 2 5 2 20 14" xfId="21087" xr:uid="{00000000-0005-0000-0000-00005F520000}"/>
    <cellStyle name="Normal 2 2 2 5 2 20 2" xfId="21088" xr:uid="{00000000-0005-0000-0000-000060520000}"/>
    <cellStyle name="Normal 2 2 2 5 2 20 2 10" xfId="21089" xr:uid="{00000000-0005-0000-0000-000061520000}"/>
    <cellStyle name="Normal 2 2 2 5 2 20 2 2" xfId="21090" xr:uid="{00000000-0005-0000-0000-000062520000}"/>
    <cellStyle name="Normal 2 2 2 5 2 20 2 3" xfId="21091" xr:uid="{00000000-0005-0000-0000-000063520000}"/>
    <cellStyle name="Normal 2 2 2 5 2 20 2 4" xfId="21092" xr:uid="{00000000-0005-0000-0000-000064520000}"/>
    <cellStyle name="Normal 2 2 2 5 2 20 2 5" xfId="21093" xr:uid="{00000000-0005-0000-0000-000065520000}"/>
    <cellStyle name="Normal 2 2 2 5 2 20 2 6" xfId="21094" xr:uid="{00000000-0005-0000-0000-000066520000}"/>
    <cellStyle name="Normal 2 2 2 5 2 20 2 7" xfId="21095" xr:uid="{00000000-0005-0000-0000-000067520000}"/>
    <cellStyle name="Normal 2 2 2 5 2 20 2 8" xfId="21096" xr:uid="{00000000-0005-0000-0000-000068520000}"/>
    <cellStyle name="Normal 2 2 2 5 2 20 2 9" xfId="21097" xr:uid="{00000000-0005-0000-0000-000069520000}"/>
    <cellStyle name="Normal 2 2 2 5 2 20 3" xfId="21098" xr:uid="{00000000-0005-0000-0000-00006A520000}"/>
    <cellStyle name="Normal 2 2 2 5 2 20 3 10" xfId="21099" xr:uid="{00000000-0005-0000-0000-00006B520000}"/>
    <cellStyle name="Normal 2 2 2 5 2 20 3 2" xfId="21100" xr:uid="{00000000-0005-0000-0000-00006C520000}"/>
    <cellStyle name="Normal 2 2 2 5 2 20 3 3" xfId="21101" xr:uid="{00000000-0005-0000-0000-00006D520000}"/>
    <cellStyle name="Normal 2 2 2 5 2 20 3 4" xfId="21102" xr:uid="{00000000-0005-0000-0000-00006E520000}"/>
    <cellStyle name="Normal 2 2 2 5 2 20 3 5" xfId="21103" xr:uid="{00000000-0005-0000-0000-00006F520000}"/>
    <cellStyle name="Normal 2 2 2 5 2 20 3 6" xfId="21104" xr:uid="{00000000-0005-0000-0000-000070520000}"/>
    <cellStyle name="Normal 2 2 2 5 2 20 3 7" xfId="21105" xr:uid="{00000000-0005-0000-0000-000071520000}"/>
    <cellStyle name="Normal 2 2 2 5 2 20 3 8" xfId="21106" xr:uid="{00000000-0005-0000-0000-000072520000}"/>
    <cellStyle name="Normal 2 2 2 5 2 20 3 9" xfId="21107" xr:uid="{00000000-0005-0000-0000-000073520000}"/>
    <cellStyle name="Normal 2 2 2 5 2 20 4" xfId="21108" xr:uid="{00000000-0005-0000-0000-000074520000}"/>
    <cellStyle name="Normal 2 2 2 5 2 20 4 10" xfId="21109" xr:uid="{00000000-0005-0000-0000-000075520000}"/>
    <cellStyle name="Normal 2 2 2 5 2 20 4 2" xfId="21110" xr:uid="{00000000-0005-0000-0000-000076520000}"/>
    <cellStyle name="Normal 2 2 2 5 2 20 4 3" xfId="21111" xr:uid="{00000000-0005-0000-0000-000077520000}"/>
    <cellStyle name="Normal 2 2 2 5 2 20 4 4" xfId="21112" xr:uid="{00000000-0005-0000-0000-000078520000}"/>
    <cellStyle name="Normal 2 2 2 5 2 20 4 5" xfId="21113" xr:uid="{00000000-0005-0000-0000-000079520000}"/>
    <cellStyle name="Normal 2 2 2 5 2 20 4 6" xfId="21114" xr:uid="{00000000-0005-0000-0000-00007A520000}"/>
    <cellStyle name="Normal 2 2 2 5 2 20 4 7" xfId="21115" xr:uid="{00000000-0005-0000-0000-00007B520000}"/>
    <cellStyle name="Normal 2 2 2 5 2 20 4 8" xfId="21116" xr:uid="{00000000-0005-0000-0000-00007C520000}"/>
    <cellStyle name="Normal 2 2 2 5 2 20 4 9" xfId="21117" xr:uid="{00000000-0005-0000-0000-00007D520000}"/>
    <cellStyle name="Normal 2 2 2 5 2 20 5" xfId="21118" xr:uid="{00000000-0005-0000-0000-00007E520000}"/>
    <cellStyle name="Normal 2 2 2 5 2 20 5 10" xfId="21119" xr:uid="{00000000-0005-0000-0000-00007F520000}"/>
    <cellStyle name="Normal 2 2 2 5 2 20 5 2" xfId="21120" xr:uid="{00000000-0005-0000-0000-000080520000}"/>
    <cellStyle name="Normal 2 2 2 5 2 20 5 3" xfId="21121" xr:uid="{00000000-0005-0000-0000-000081520000}"/>
    <cellStyle name="Normal 2 2 2 5 2 20 5 4" xfId="21122" xr:uid="{00000000-0005-0000-0000-000082520000}"/>
    <cellStyle name="Normal 2 2 2 5 2 20 5 5" xfId="21123" xr:uid="{00000000-0005-0000-0000-000083520000}"/>
    <cellStyle name="Normal 2 2 2 5 2 20 5 6" xfId="21124" xr:uid="{00000000-0005-0000-0000-000084520000}"/>
    <cellStyle name="Normal 2 2 2 5 2 20 5 7" xfId="21125" xr:uid="{00000000-0005-0000-0000-000085520000}"/>
    <cellStyle name="Normal 2 2 2 5 2 20 5 8" xfId="21126" xr:uid="{00000000-0005-0000-0000-000086520000}"/>
    <cellStyle name="Normal 2 2 2 5 2 20 5 9" xfId="21127" xr:uid="{00000000-0005-0000-0000-000087520000}"/>
    <cellStyle name="Normal 2 2 2 5 2 20 6" xfId="21128" xr:uid="{00000000-0005-0000-0000-000088520000}"/>
    <cellStyle name="Normal 2 2 2 5 2 20 7" xfId="21129" xr:uid="{00000000-0005-0000-0000-000089520000}"/>
    <cellStyle name="Normal 2 2 2 5 2 20 8" xfId="21130" xr:uid="{00000000-0005-0000-0000-00008A520000}"/>
    <cellStyle name="Normal 2 2 2 5 2 20 9" xfId="21131" xr:uid="{00000000-0005-0000-0000-00008B520000}"/>
    <cellStyle name="Normal 2 2 2 5 2 21" xfId="21132" xr:uid="{00000000-0005-0000-0000-00008C520000}"/>
    <cellStyle name="Normal 2 2 2 5 2 22" xfId="21133" xr:uid="{00000000-0005-0000-0000-00008D520000}"/>
    <cellStyle name="Normal 2 2 2 5 2 3" xfId="21134" xr:uid="{00000000-0005-0000-0000-00008E520000}"/>
    <cellStyle name="Normal 2 2 2 5 2 3 10" xfId="21135" xr:uid="{00000000-0005-0000-0000-00008F520000}"/>
    <cellStyle name="Normal 2 2 2 5 2 3 11" xfId="21136" xr:uid="{00000000-0005-0000-0000-000090520000}"/>
    <cellStyle name="Normal 2 2 2 5 2 3 12" xfId="21137" xr:uid="{00000000-0005-0000-0000-000091520000}"/>
    <cellStyle name="Normal 2 2 2 5 2 3 13" xfId="21138" xr:uid="{00000000-0005-0000-0000-000092520000}"/>
    <cellStyle name="Normal 2 2 2 5 2 3 14" xfId="21139" xr:uid="{00000000-0005-0000-0000-000093520000}"/>
    <cellStyle name="Normal 2 2 2 5 2 3 2" xfId="21140" xr:uid="{00000000-0005-0000-0000-000094520000}"/>
    <cellStyle name="Normal 2 2 2 5 2 3 2 10" xfId="21141" xr:uid="{00000000-0005-0000-0000-000095520000}"/>
    <cellStyle name="Normal 2 2 2 5 2 3 2 2" xfId="21142" xr:uid="{00000000-0005-0000-0000-000096520000}"/>
    <cellStyle name="Normal 2 2 2 5 2 3 2 3" xfId="21143" xr:uid="{00000000-0005-0000-0000-000097520000}"/>
    <cellStyle name="Normal 2 2 2 5 2 3 2 4" xfId="21144" xr:uid="{00000000-0005-0000-0000-000098520000}"/>
    <cellStyle name="Normal 2 2 2 5 2 3 2 5" xfId="21145" xr:uid="{00000000-0005-0000-0000-000099520000}"/>
    <cellStyle name="Normal 2 2 2 5 2 3 2 6" xfId="21146" xr:uid="{00000000-0005-0000-0000-00009A520000}"/>
    <cellStyle name="Normal 2 2 2 5 2 3 2 7" xfId="21147" xr:uid="{00000000-0005-0000-0000-00009B520000}"/>
    <cellStyle name="Normal 2 2 2 5 2 3 2 8" xfId="21148" xr:uid="{00000000-0005-0000-0000-00009C520000}"/>
    <cellStyle name="Normal 2 2 2 5 2 3 2 9" xfId="21149" xr:uid="{00000000-0005-0000-0000-00009D520000}"/>
    <cellStyle name="Normal 2 2 2 5 2 3 3" xfId="21150" xr:uid="{00000000-0005-0000-0000-00009E520000}"/>
    <cellStyle name="Normal 2 2 2 5 2 3 3 10" xfId="21151" xr:uid="{00000000-0005-0000-0000-00009F520000}"/>
    <cellStyle name="Normal 2 2 2 5 2 3 3 2" xfId="21152" xr:uid="{00000000-0005-0000-0000-0000A0520000}"/>
    <cellStyle name="Normal 2 2 2 5 2 3 3 3" xfId="21153" xr:uid="{00000000-0005-0000-0000-0000A1520000}"/>
    <cellStyle name="Normal 2 2 2 5 2 3 3 4" xfId="21154" xr:uid="{00000000-0005-0000-0000-0000A2520000}"/>
    <cellStyle name="Normal 2 2 2 5 2 3 3 5" xfId="21155" xr:uid="{00000000-0005-0000-0000-0000A3520000}"/>
    <cellStyle name="Normal 2 2 2 5 2 3 3 6" xfId="21156" xr:uid="{00000000-0005-0000-0000-0000A4520000}"/>
    <cellStyle name="Normal 2 2 2 5 2 3 3 7" xfId="21157" xr:uid="{00000000-0005-0000-0000-0000A5520000}"/>
    <cellStyle name="Normal 2 2 2 5 2 3 3 8" xfId="21158" xr:uid="{00000000-0005-0000-0000-0000A6520000}"/>
    <cellStyle name="Normal 2 2 2 5 2 3 3 9" xfId="21159" xr:uid="{00000000-0005-0000-0000-0000A7520000}"/>
    <cellStyle name="Normal 2 2 2 5 2 3 4" xfId="21160" xr:uid="{00000000-0005-0000-0000-0000A8520000}"/>
    <cellStyle name="Normal 2 2 2 5 2 3 4 10" xfId="21161" xr:uid="{00000000-0005-0000-0000-0000A9520000}"/>
    <cellStyle name="Normal 2 2 2 5 2 3 4 2" xfId="21162" xr:uid="{00000000-0005-0000-0000-0000AA520000}"/>
    <cellStyle name="Normal 2 2 2 5 2 3 4 3" xfId="21163" xr:uid="{00000000-0005-0000-0000-0000AB520000}"/>
    <cellStyle name="Normal 2 2 2 5 2 3 4 4" xfId="21164" xr:uid="{00000000-0005-0000-0000-0000AC520000}"/>
    <cellStyle name="Normal 2 2 2 5 2 3 4 5" xfId="21165" xr:uid="{00000000-0005-0000-0000-0000AD520000}"/>
    <cellStyle name="Normal 2 2 2 5 2 3 4 6" xfId="21166" xr:uid="{00000000-0005-0000-0000-0000AE520000}"/>
    <cellStyle name="Normal 2 2 2 5 2 3 4 7" xfId="21167" xr:uid="{00000000-0005-0000-0000-0000AF520000}"/>
    <cellStyle name="Normal 2 2 2 5 2 3 4 8" xfId="21168" xr:uid="{00000000-0005-0000-0000-0000B0520000}"/>
    <cellStyle name="Normal 2 2 2 5 2 3 4 9" xfId="21169" xr:uid="{00000000-0005-0000-0000-0000B1520000}"/>
    <cellStyle name="Normal 2 2 2 5 2 3 5" xfId="21170" xr:uid="{00000000-0005-0000-0000-0000B2520000}"/>
    <cellStyle name="Normal 2 2 2 5 2 3 5 10" xfId="21171" xr:uid="{00000000-0005-0000-0000-0000B3520000}"/>
    <cellStyle name="Normal 2 2 2 5 2 3 5 2" xfId="21172" xr:uid="{00000000-0005-0000-0000-0000B4520000}"/>
    <cellStyle name="Normal 2 2 2 5 2 3 5 3" xfId="21173" xr:uid="{00000000-0005-0000-0000-0000B5520000}"/>
    <cellStyle name="Normal 2 2 2 5 2 3 5 4" xfId="21174" xr:uid="{00000000-0005-0000-0000-0000B6520000}"/>
    <cellStyle name="Normal 2 2 2 5 2 3 5 5" xfId="21175" xr:uid="{00000000-0005-0000-0000-0000B7520000}"/>
    <cellStyle name="Normal 2 2 2 5 2 3 5 6" xfId="21176" xr:uid="{00000000-0005-0000-0000-0000B8520000}"/>
    <cellStyle name="Normal 2 2 2 5 2 3 5 7" xfId="21177" xr:uid="{00000000-0005-0000-0000-0000B9520000}"/>
    <cellStyle name="Normal 2 2 2 5 2 3 5 8" xfId="21178" xr:uid="{00000000-0005-0000-0000-0000BA520000}"/>
    <cellStyle name="Normal 2 2 2 5 2 3 5 9" xfId="21179" xr:uid="{00000000-0005-0000-0000-0000BB520000}"/>
    <cellStyle name="Normal 2 2 2 5 2 3 6" xfId="21180" xr:uid="{00000000-0005-0000-0000-0000BC520000}"/>
    <cellStyle name="Normal 2 2 2 5 2 3 7" xfId="21181" xr:uid="{00000000-0005-0000-0000-0000BD520000}"/>
    <cellStyle name="Normal 2 2 2 5 2 3 8" xfId="21182" xr:uid="{00000000-0005-0000-0000-0000BE520000}"/>
    <cellStyle name="Normal 2 2 2 5 2 3 9" xfId="21183" xr:uid="{00000000-0005-0000-0000-0000BF520000}"/>
    <cellStyle name="Normal 2 2 2 5 2 4" xfId="21184" xr:uid="{00000000-0005-0000-0000-0000C0520000}"/>
    <cellStyle name="Normal 2 2 2 5 2 4 10" xfId="21185" xr:uid="{00000000-0005-0000-0000-0000C1520000}"/>
    <cellStyle name="Normal 2 2 2 5 2 4 11" xfId="21186" xr:uid="{00000000-0005-0000-0000-0000C2520000}"/>
    <cellStyle name="Normal 2 2 2 5 2 4 12" xfId="21187" xr:uid="{00000000-0005-0000-0000-0000C3520000}"/>
    <cellStyle name="Normal 2 2 2 5 2 4 13" xfId="21188" xr:uid="{00000000-0005-0000-0000-0000C4520000}"/>
    <cellStyle name="Normal 2 2 2 5 2 4 14" xfId="21189" xr:uid="{00000000-0005-0000-0000-0000C5520000}"/>
    <cellStyle name="Normal 2 2 2 5 2 4 2" xfId="21190" xr:uid="{00000000-0005-0000-0000-0000C6520000}"/>
    <cellStyle name="Normal 2 2 2 5 2 4 2 10" xfId="21191" xr:uid="{00000000-0005-0000-0000-0000C7520000}"/>
    <cellStyle name="Normal 2 2 2 5 2 4 2 2" xfId="21192" xr:uid="{00000000-0005-0000-0000-0000C8520000}"/>
    <cellStyle name="Normal 2 2 2 5 2 4 2 3" xfId="21193" xr:uid="{00000000-0005-0000-0000-0000C9520000}"/>
    <cellStyle name="Normal 2 2 2 5 2 4 2 4" xfId="21194" xr:uid="{00000000-0005-0000-0000-0000CA520000}"/>
    <cellStyle name="Normal 2 2 2 5 2 4 2 5" xfId="21195" xr:uid="{00000000-0005-0000-0000-0000CB520000}"/>
    <cellStyle name="Normal 2 2 2 5 2 4 2 6" xfId="21196" xr:uid="{00000000-0005-0000-0000-0000CC520000}"/>
    <cellStyle name="Normal 2 2 2 5 2 4 2 7" xfId="21197" xr:uid="{00000000-0005-0000-0000-0000CD520000}"/>
    <cellStyle name="Normal 2 2 2 5 2 4 2 8" xfId="21198" xr:uid="{00000000-0005-0000-0000-0000CE520000}"/>
    <cellStyle name="Normal 2 2 2 5 2 4 2 9" xfId="21199" xr:uid="{00000000-0005-0000-0000-0000CF520000}"/>
    <cellStyle name="Normal 2 2 2 5 2 4 3" xfId="21200" xr:uid="{00000000-0005-0000-0000-0000D0520000}"/>
    <cellStyle name="Normal 2 2 2 5 2 4 3 10" xfId="21201" xr:uid="{00000000-0005-0000-0000-0000D1520000}"/>
    <cellStyle name="Normal 2 2 2 5 2 4 3 2" xfId="21202" xr:uid="{00000000-0005-0000-0000-0000D2520000}"/>
    <cellStyle name="Normal 2 2 2 5 2 4 3 3" xfId="21203" xr:uid="{00000000-0005-0000-0000-0000D3520000}"/>
    <cellStyle name="Normal 2 2 2 5 2 4 3 4" xfId="21204" xr:uid="{00000000-0005-0000-0000-0000D4520000}"/>
    <cellStyle name="Normal 2 2 2 5 2 4 3 5" xfId="21205" xr:uid="{00000000-0005-0000-0000-0000D5520000}"/>
    <cellStyle name="Normal 2 2 2 5 2 4 3 6" xfId="21206" xr:uid="{00000000-0005-0000-0000-0000D6520000}"/>
    <cellStyle name="Normal 2 2 2 5 2 4 3 7" xfId="21207" xr:uid="{00000000-0005-0000-0000-0000D7520000}"/>
    <cellStyle name="Normal 2 2 2 5 2 4 3 8" xfId="21208" xr:uid="{00000000-0005-0000-0000-0000D8520000}"/>
    <cellStyle name="Normal 2 2 2 5 2 4 3 9" xfId="21209" xr:uid="{00000000-0005-0000-0000-0000D9520000}"/>
    <cellStyle name="Normal 2 2 2 5 2 4 4" xfId="21210" xr:uid="{00000000-0005-0000-0000-0000DA520000}"/>
    <cellStyle name="Normal 2 2 2 5 2 4 4 10" xfId="21211" xr:uid="{00000000-0005-0000-0000-0000DB520000}"/>
    <cellStyle name="Normal 2 2 2 5 2 4 4 2" xfId="21212" xr:uid="{00000000-0005-0000-0000-0000DC520000}"/>
    <cellStyle name="Normal 2 2 2 5 2 4 4 3" xfId="21213" xr:uid="{00000000-0005-0000-0000-0000DD520000}"/>
    <cellStyle name="Normal 2 2 2 5 2 4 4 4" xfId="21214" xr:uid="{00000000-0005-0000-0000-0000DE520000}"/>
    <cellStyle name="Normal 2 2 2 5 2 4 4 5" xfId="21215" xr:uid="{00000000-0005-0000-0000-0000DF520000}"/>
    <cellStyle name="Normal 2 2 2 5 2 4 4 6" xfId="21216" xr:uid="{00000000-0005-0000-0000-0000E0520000}"/>
    <cellStyle name="Normal 2 2 2 5 2 4 4 7" xfId="21217" xr:uid="{00000000-0005-0000-0000-0000E1520000}"/>
    <cellStyle name="Normal 2 2 2 5 2 4 4 8" xfId="21218" xr:uid="{00000000-0005-0000-0000-0000E2520000}"/>
    <cellStyle name="Normal 2 2 2 5 2 4 4 9" xfId="21219" xr:uid="{00000000-0005-0000-0000-0000E3520000}"/>
    <cellStyle name="Normal 2 2 2 5 2 4 5" xfId="21220" xr:uid="{00000000-0005-0000-0000-0000E4520000}"/>
    <cellStyle name="Normal 2 2 2 5 2 4 5 10" xfId="21221" xr:uid="{00000000-0005-0000-0000-0000E5520000}"/>
    <cellStyle name="Normal 2 2 2 5 2 4 5 2" xfId="21222" xr:uid="{00000000-0005-0000-0000-0000E6520000}"/>
    <cellStyle name="Normal 2 2 2 5 2 4 5 3" xfId="21223" xr:uid="{00000000-0005-0000-0000-0000E7520000}"/>
    <cellStyle name="Normal 2 2 2 5 2 4 5 4" xfId="21224" xr:uid="{00000000-0005-0000-0000-0000E8520000}"/>
    <cellStyle name="Normal 2 2 2 5 2 4 5 5" xfId="21225" xr:uid="{00000000-0005-0000-0000-0000E9520000}"/>
    <cellStyle name="Normal 2 2 2 5 2 4 5 6" xfId="21226" xr:uid="{00000000-0005-0000-0000-0000EA520000}"/>
    <cellStyle name="Normal 2 2 2 5 2 4 5 7" xfId="21227" xr:uid="{00000000-0005-0000-0000-0000EB520000}"/>
    <cellStyle name="Normal 2 2 2 5 2 4 5 8" xfId="21228" xr:uid="{00000000-0005-0000-0000-0000EC520000}"/>
    <cellStyle name="Normal 2 2 2 5 2 4 5 9" xfId="21229" xr:uid="{00000000-0005-0000-0000-0000ED520000}"/>
    <cellStyle name="Normal 2 2 2 5 2 4 6" xfId="21230" xr:uid="{00000000-0005-0000-0000-0000EE520000}"/>
    <cellStyle name="Normal 2 2 2 5 2 4 7" xfId="21231" xr:uid="{00000000-0005-0000-0000-0000EF520000}"/>
    <cellStyle name="Normal 2 2 2 5 2 4 8" xfId="21232" xr:uid="{00000000-0005-0000-0000-0000F0520000}"/>
    <cellStyle name="Normal 2 2 2 5 2 4 9" xfId="21233" xr:uid="{00000000-0005-0000-0000-0000F1520000}"/>
    <cellStyle name="Normal 2 2 2 5 2 5" xfId="21234" xr:uid="{00000000-0005-0000-0000-0000F2520000}"/>
    <cellStyle name="Normal 2 2 2 5 2 5 10" xfId="21235" xr:uid="{00000000-0005-0000-0000-0000F3520000}"/>
    <cellStyle name="Normal 2 2 2 5 2 5 11" xfId="21236" xr:uid="{00000000-0005-0000-0000-0000F4520000}"/>
    <cellStyle name="Normal 2 2 2 5 2 5 12" xfId="21237" xr:uid="{00000000-0005-0000-0000-0000F5520000}"/>
    <cellStyle name="Normal 2 2 2 5 2 5 13" xfId="21238" xr:uid="{00000000-0005-0000-0000-0000F6520000}"/>
    <cellStyle name="Normal 2 2 2 5 2 5 14" xfId="21239" xr:uid="{00000000-0005-0000-0000-0000F7520000}"/>
    <cellStyle name="Normal 2 2 2 5 2 5 2" xfId="21240" xr:uid="{00000000-0005-0000-0000-0000F8520000}"/>
    <cellStyle name="Normal 2 2 2 5 2 5 2 10" xfId="21241" xr:uid="{00000000-0005-0000-0000-0000F9520000}"/>
    <cellStyle name="Normal 2 2 2 5 2 5 2 2" xfId="21242" xr:uid="{00000000-0005-0000-0000-0000FA520000}"/>
    <cellStyle name="Normal 2 2 2 5 2 5 2 3" xfId="21243" xr:uid="{00000000-0005-0000-0000-0000FB520000}"/>
    <cellStyle name="Normal 2 2 2 5 2 5 2 4" xfId="21244" xr:uid="{00000000-0005-0000-0000-0000FC520000}"/>
    <cellStyle name="Normal 2 2 2 5 2 5 2 5" xfId="21245" xr:uid="{00000000-0005-0000-0000-0000FD520000}"/>
    <cellStyle name="Normal 2 2 2 5 2 5 2 6" xfId="21246" xr:uid="{00000000-0005-0000-0000-0000FE520000}"/>
    <cellStyle name="Normal 2 2 2 5 2 5 2 7" xfId="21247" xr:uid="{00000000-0005-0000-0000-0000FF520000}"/>
    <cellStyle name="Normal 2 2 2 5 2 5 2 8" xfId="21248" xr:uid="{00000000-0005-0000-0000-000000530000}"/>
    <cellStyle name="Normal 2 2 2 5 2 5 2 9" xfId="21249" xr:uid="{00000000-0005-0000-0000-000001530000}"/>
    <cellStyle name="Normal 2 2 2 5 2 5 3" xfId="21250" xr:uid="{00000000-0005-0000-0000-000002530000}"/>
    <cellStyle name="Normal 2 2 2 5 2 5 3 10" xfId="21251" xr:uid="{00000000-0005-0000-0000-000003530000}"/>
    <cellStyle name="Normal 2 2 2 5 2 5 3 2" xfId="21252" xr:uid="{00000000-0005-0000-0000-000004530000}"/>
    <cellStyle name="Normal 2 2 2 5 2 5 3 3" xfId="21253" xr:uid="{00000000-0005-0000-0000-000005530000}"/>
    <cellStyle name="Normal 2 2 2 5 2 5 3 4" xfId="21254" xr:uid="{00000000-0005-0000-0000-000006530000}"/>
    <cellStyle name="Normal 2 2 2 5 2 5 3 5" xfId="21255" xr:uid="{00000000-0005-0000-0000-000007530000}"/>
    <cellStyle name="Normal 2 2 2 5 2 5 3 6" xfId="21256" xr:uid="{00000000-0005-0000-0000-000008530000}"/>
    <cellStyle name="Normal 2 2 2 5 2 5 3 7" xfId="21257" xr:uid="{00000000-0005-0000-0000-000009530000}"/>
    <cellStyle name="Normal 2 2 2 5 2 5 3 8" xfId="21258" xr:uid="{00000000-0005-0000-0000-00000A530000}"/>
    <cellStyle name="Normal 2 2 2 5 2 5 3 9" xfId="21259" xr:uid="{00000000-0005-0000-0000-00000B530000}"/>
    <cellStyle name="Normal 2 2 2 5 2 5 4" xfId="21260" xr:uid="{00000000-0005-0000-0000-00000C530000}"/>
    <cellStyle name="Normal 2 2 2 5 2 5 4 10" xfId="21261" xr:uid="{00000000-0005-0000-0000-00000D530000}"/>
    <cellStyle name="Normal 2 2 2 5 2 5 4 2" xfId="21262" xr:uid="{00000000-0005-0000-0000-00000E530000}"/>
    <cellStyle name="Normal 2 2 2 5 2 5 4 3" xfId="21263" xr:uid="{00000000-0005-0000-0000-00000F530000}"/>
    <cellStyle name="Normal 2 2 2 5 2 5 4 4" xfId="21264" xr:uid="{00000000-0005-0000-0000-000010530000}"/>
    <cellStyle name="Normal 2 2 2 5 2 5 4 5" xfId="21265" xr:uid="{00000000-0005-0000-0000-000011530000}"/>
    <cellStyle name="Normal 2 2 2 5 2 5 4 6" xfId="21266" xr:uid="{00000000-0005-0000-0000-000012530000}"/>
    <cellStyle name="Normal 2 2 2 5 2 5 4 7" xfId="21267" xr:uid="{00000000-0005-0000-0000-000013530000}"/>
    <cellStyle name="Normal 2 2 2 5 2 5 4 8" xfId="21268" xr:uid="{00000000-0005-0000-0000-000014530000}"/>
    <cellStyle name="Normal 2 2 2 5 2 5 4 9" xfId="21269" xr:uid="{00000000-0005-0000-0000-000015530000}"/>
    <cellStyle name="Normal 2 2 2 5 2 5 5" xfId="21270" xr:uid="{00000000-0005-0000-0000-000016530000}"/>
    <cellStyle name="Normal 2 2 2 5 2 5 5 10" xfId="21271" xr:uid="{00000000-0005-0000-0000-000017530000}"/>
    <cellStyle name="Normal 2 2 2 5 2 5 5 2" xfId="21272" xr:uid="{00000000-0005-0000-0000-000018530000}"/>
    <cellStyle name="Normal 2 2 2 5 2 5 5 3" xfId="21273" xr:uid="{00000000-0005-0000-0000-000019530000}"/>
    <cellStyle name="Normal 2 2 2 5 2 5 5 4" xfId="21274" xr:uid="{00000000-0005-0000-0000-00001A530000}"/>
    <cellStyle name="Normal 2 2 2 5 2 5 5 5" xfId="21275" xr:uid="{00000000-0005-0000-0000-00001B530000}"/>
    <cellStyle name="Normal 2 2 2 5 2 5 5 6" xfId="21276" xr:uid="{00000000-0005-0000-0000-00001C530000}"/>
    <cellStyle name="Normal 2 2 2 5 2 5 5 7" xfId="21277" xr:uid="{00000000-0005-0000-0000-00001D530000}"/>
    <cellStyle name="Normal 2 2 2 5 2 5 5 8" xfId="21278" xr:uid="{00000000-0005-0000-0000-00001E530000}"/>
    <cellStyle name="Normal 2 2 2 5 2 5 5 9" xfId="21279" xr:uid="{00000000-0005-0000-0000-00001F530000}"/>
    <cellStyle name="Normal 2 2 2 5 2 5 6" xfId="21280" xr:uid="{00000000-0005-0000-0000-000020530000}"/>
    <cellStyle name="Normal 2 2 2 5 2 5 7" xfId="21281" xr:uid="{00000000-0005-0000-0000-000021530000}"/>
    <cellStyle name="Normal 2 2 2 5 2 5 8" xfId="21282" xr:uid="{00000000-0005-0000-0000-000022530000}"/>
    <cellStyle name="Normal 2 2 2 5 2 5 9" xfId="21283" xr:uid="{00000000-0005-0000-0000-000023530000}"/>
    <cellStyle name="Normal 2 2 2 5 2 6" xfId="21284" xr:uid="{00000000-0005-0000-0000-000024530000}"/>
    <cellStyle name="Normal 2 2 2 5 2 6 10" xfId="21285" xr:uid="{00000000-0005-0000-0000-000025530000}"/>
    <cellStyle name="Normal 2 2 2 5 2 6 11" xfId="21286" xr:uid="{00000000-0005-0000-0000-000026530000}"/>
    <cellStyle name="Normal 2 2 2 5 2 6 12" xfId="21287" xr:uid="{00000000-0005-0000-0000-000027530000}"/>
    <cellStyle name="Normal 2 2 2 5 2 6 13" xfId="21288" xr:uid="{00000000-0005-0000-0000-000028530000}"/>
    <cellStyle name="Normal 2 2 2 5 2 6 14" xfId="21289" xr:uid="{00000000-0005-0000-0000-000029530000}"/>
    <cellStyle name="Normal 2 2 2 5 2 6 2" xfId="21290" xr:uid="{00000000-0005-0000-0000-00002A530000}"/>
    <cellStyle name="Normal 2 2 2 5 2 6 2 10" xfId="21291" xr:uid="{00000000-0005-0000-0000-00002B530000}"/>
    <cellStyle name="Normal 2 2 2 5 2 6 2 2" xfId="21292" xr:uid="{00000000-0005-0000-0000-00002C530000}"/>
    <cellStyle name="Normal 2 2 2 5 2 6 2 3" xfId="21293" xr:uid="{00000000-0005-0000-0000-00002D530000}"/>
    <cellStyle name="Normal 2 2 2 5 2 6 2 4" xfId="21294" xr:uid="{00000000-0005-0000-0000-00002E530000}"/>
    <cellStyle name="Normal 2 2 2 5 2 6 2 5" xfId="21295" xr:uid="{00000000-0005-0000-0000-00002F530000}"/>
    <cellStyle name="Normal 2 2 2 5 2 6 2 6" xfId="21296" xr:uid="{00000000-0005-0000-0000-000030530000}"/>
    <cellStyle name="Normal 2 2 2 5 2 6 2 7" xfId="21297" xr:uid="{00000000-0005-0000-0000-000031530000}"/>
    <cellStyle name="Normal 2 2 2 5 2 6 2 8" xfId="21298" xr:uid="{00000000-0005-0000-0000-000032530000}"/>
    <cellStyle name="Normal 2 2 2 5 2 6 2 9" xfId="21299" xr:uid="{00000000-0005-0000-0000-000033530000}"/>
    <cellStyle name="Normal 2 2 2 5 2 6 3" xfId="21300" xr:uid="{00000000-0005-0000-0000-000034530000}"/>
    <cellStyle name="Normal 2 2 2 5 2 6 3 10" xfId="21301" xr:uid="{00000000-0005-0000-0000-000035530000}"/>
    <cellStyle name="Normal 2 2 2 5 2 6 3 2" xfId="21302" xr:uid="{00000000-0005-0000-0000-000036530000}"/>
    <cellStyle name="Normal 2 2 2 5 2 6 3 3" xfId="21303" xr:uid="{00000000-0005-0000-0000-000037530000}"/>
    <cellStyle name="Normal 2 2 2 5 2 6 3 4" xfId="21304" xr:uid="{00000000-0005-0000-0000-000038530000}"/>
    <cellStyle name="Normal 2 2 2 5 2 6 3 5" xfId="21305" xr:uid="{00000000-0005-0000-0000-000039530000}"/>
    <cellStyle name="Normal 2 2 2 5 2 6 3 6" xfId="21306" xr:uid="{00000000-0005-0000-0000-00003A530000}"/>
    <cellStyle name="Normal 2 2 2 5 2 6 3 7" xfId="21307" xr:uid="{00000000-0005-0000-0000-00003B530000}"/>
    <cellStyle name="Normal 2 2 2 5 2 6 3 8" xfId="21308" xr:uid="{00000000-0005-0000-0000-00003C530000}"/>
    <cellStyle name="Normal 2 2 2 5 2 6 3 9" xfId="21309" xr:uid="{00000000-0005-0000-0000-00003D530000}"/>
    <cellStyle name="Normal 2 2 2 5 2 6 4" xfId="21310" xr:uid="{00000000-0005-0000-0000-00003E530000}"/>
    <cellStyle name="Normal 2 2 2 5 2 6 4 10" xfId="21311" xr:uid="{00000000-0005-0000-0000-00003F530000}"/>
    <cellStyle name="Normal 2 2 2 5 2 6 4 2" xfId="21312" xr:uid="{00000000-0005-0000-0000-000040530000}"/>
    <cellStyle name="Normal 2 2 2 5 2 6 4 3" xfId="21313" xr:uid="{00000000-0005-0000-0000-000041530000}"/>
    <cellStyle name="Normal 2 2 2 5 2 6 4 4" xfId="21314" xr:uid="{00000000-0005-0000-0000-000042530000}"/>
    <cellStyle name="Normal 2 2 2 5 2 6 4 5" xfId="21315" xr:uid="{00000000-0005-0000-0000-000043530000}"/>
    <cellStyle name="Normal 2 2 2 5 2 6 4 6" xfId="21316" xr:uid="{00000000-0005-0000-0000-000044530000}"/>
    <cellStyle name="Normal 2 2 2 5 2 6 4 7" xfId="21317" xr:uid="{00000000-0005-0000-0000-000045530000}"/>
    <cellStyle name="Normal 2 2 2 5 2 6 4 8" xfId="21318" xr:uid="{00000000-0005-0000-0000-000046530000}"/>
    <cellStyle name="Normal 2 2 2 5 2 6 4 9" xfId="21319" xr:uid="{00000000-0005-0000-0000-000047530000}"/>
    <cellStyle name="Normal 2 2 2 5 2 6 5" xfId="21320" xr:uid="{00000000-0005-0000-0000-000048530000}"/>
    <cellStyle name="Normal 2 2 2 5 2 6 5 10" xfId="21321" xr:uid="{00000000-0005-0000-0000-000049530000}"/>
    <cellStyle name="Normal 2 2 2 5 2 6 5 2" xfId="21322" xr:uid="{00000000-0005-0000-0000-00004A530000}"/>
    <cellStyle name="Normal 2 2 2 5 2 6 5 3" xfId="21323" xr:uid="{00000000-0005-0000-0000-00004B530000}"/>
    <cellStyle name="Normal 2 2 2 5 2 6 5 4" xfId="21324" xr:uid="{00000000-0005-0000-0000-00004C530000}"/>
    <cellStyle name="Normal 2 2 2 5 2 6 5 5" xfId="21325" xr:uid="{00000000-0005-0000-0000-00004D530000}"/>
    <cellStyle name="Normal 2 2 2 5 2 6 5 6" xfId="21326" xr:uid="{00000000-0005-0000-0000-00004E530000}"/>
    <cellStyle name="Normal 2 2 2 5 2 6 5 7" xfId="21327" xr:uid="{00000000-0005-0000-0000-00004F530000}"/>
    <cellStyle name="Normal 2 2 2 5 2 6 5 8" xfId="21328" xr:uid="{00000000-0005-0000-0000-000050530000}"/>
    <cellStyle name="Normal 2 2 2 5 2 6 5 9" xfId="21329" xr:uid="{00000000-0005-0000-0000-000051530000}"/>
    <cellStyle name="Normal 2 2 2 5 2 6 6" xfId="21330" xr:uid="{00000000-0005-0000-0000-000052530000}"/>
    <cellStyle name="Normal 2 2 2 5 2 6 7" xfId="21331" xr:uid="{00000000-0005-0000-0000-000053530000}"/>
    <cellStyle name="Normal 2 2 2 5 2 6 8" xfId="21332" xr:uid="{00000000-0005-0000-0000-000054530000}"/>
    <cellStyle name="Normal 2 2 2 5 2 6 9" xfId="21333" xr:uid="{00000000-0005-0000-0000-000055530000}"/>
    <cellStyle name="Normal 2 2 2 5 2 7" xfId="21334" xr:uid="{00000000-0005-0000-0000-000056530000}"/>
    <cellStyle name="Normal 2 2 2 5 2 7 10" xfId="21335" xr:uid="{00000000-0005-0000-0000-000057530000}"/>
    <cellStyle name="Normal 2 2 2 5 2 7 11" xfId="21336" xr:uid="{00000000-0005-0000-0000-000058530000}"/>
    <cellStyle name="Normal 2 2 2 5 2 7 12" xfId="21337" xr:uid="{00000000-0005-0000-0000-000059530000}"/>
    <cellStyle name="Normal 2 2 2 5 2 7 13" xfId="21338" xr:uid="{00000000-0005-0000-0000-00005A530000}"/>
    <cellStyle name="Normal 2 2 2 5 2 7 14" xfId="21339" xr:uid="{00000000-0005-0000-0000-00005B530000}"/>
    <cellStyle name="Normal 2 2 2 5 2 7 2" xfId="21340" xr:uid="{00000000-0005-0000-0000-00005C530000}"/>
    <cellStyle name="Normal 2 2 2 5 2 7 2 10" xfId="21341" xr:uid="{00000000-0005-0000-0000-00005D530000}"/>
    <cellStyle name="Normal 2 2 2 5 2 7 2 2" xfId="21342" xr:uid="{00000000-0005-0000-0000-00005E530000}"/>
    <cellStyle name="Normal 2 2 2 5 2 7 2 3" xfId="21343" xr:uid="{00000000-0005-0000-0000-00005F530000}"/>
    <cellStyle name="Normal 2 2 2 5 2 7 2 4" xfId="21344" xr:uid="{00000000-0005-0000-0000-000060530000}"/>
    <cellStyle name="Normal 2 2 2 5 2 7 2 5" xfId="21345" xr:uid="{00000000-0005-0000-0000-000061530000}"/>
    <cellStyle name="Normal 2 2 2 5 2 7 2 6" xfId="21346" xr:uid="{00000000-0005-0000-0000-000062530000}"/>
    <cellStyle name="Normal 2 2 2 5 2 7 2 7" xfId="21347" xr:uid="{00000000-0005-0000-0000-000063530000}"/>
    <cellStyle name="Normal 2 2 2 5 2 7 2 8" xfId="21348" xr:uid="{00000000-0005-0000-0000-000064530000}"/>
    <cellStyle name="Normal 2 2 2 5 2 7 2 9" xfId="21349" xr:uid="{00000000-0005-0000-0000-000065530000}"/>
    <cellStyle name="Normal 2 2 2 5 2 7 3" xfId="21350" xr:uid="{00000000-0005-0000-0000-000066530000}"/>
    <cellStyle name="Normal 2 2 2 5 2 7 3 10" xfId="21351" xr:uid="{00000000-0005-0000-0000-000067530000}"/>
    <cellStyle name="Normal 2 2 2 5 2 7 3 2" xfId="21352" xr:uid="{00000000-0005-0000-0000-000068530000}"/>
    <cellStyle name="Normal 2 2 2 5 2 7 3 3" xfId="21353" xr:uid="{00000000-0005-0000-0000-000069530000}"/>
    <cellStyle name="Normal 2 2 2 5 2 7 3 4" xfId="21354" xr:uid="{00000000-0005-0000-0000-00006A530000}"/>
    <cellStyle name="Normal 2 2 2 5 2 7 3 5" xfId="21355" xr:uid="{00000000-0005-0000-0000-00006B530000}"/>
    <cellStyle name="Normal 2 2 2 5 2 7 3 6" xfId="21356" xr:uid="{00000000-0005-0000-0000-00006C530000}"/>
    <cellStyle name="Normal 2 2 2 5 2 7 3 7" xfId="21357" xr:uid="{00000000-0005-0000-0000-00006D530000}"/>
    <cellStyle name="Normal 2 2 2 5 2 7 3 8" xfId="21358" xr:uid="{00000000-0005-0000-0000-00006E530000}"/>
    <cellStyle name="Normal 2 2 2 5 2 7 3 9" xfId="21359" xr:uid="{00000000-0005-0000-0000-00006F530000}"/>
    <cellStyle name="Normal 2 2 2 5 2 7 4" xfId="21360" xr:uid="{00000000-0005-0000-0000-000070530000}"/>
    <cellStyle name="Normal 2 2 2 5 2 7 4 10" xfId="21361" xr:uid="{00000000-0005-0000-0000-000071530000}"/>
    <cellStyle name="Normal 2 2 2 5 2 7 4 2" xfId="21362" xr:uid="{00000000-0005-0000-0000-000072530000}"/>
    <cellStyle name="Normal 2 2 2 5 2 7 4 3" xfId="21363" xr:uid="{00000000-0005-0000-0000-000073530000}"/>
    <cellStyle name="Normal 2 2 2 5 2 7 4 4" xfId="21364" xr:uid="{00000000-0005-0000-0000-000074530000}"/>
    <cellStyle name="Normal 2 2 2 5 2 7 4 5" xfId="21365" xr:uid="{00000000-0005-0000-0000-000075530000}"/>
    <cellStyle name="Normal 2 2 2 5 2 7 4 6" xfId="21366" xr:uid="{00000000-0005-0000-0000-000076530000}"/>
    <cellStyle name="Normal 2 2 2 5 2 7 4 7" xfId="21367" xr:uid="{00000000-0005-0000-0000-000077530000}"/>
    <cellStyle name="Normal 2 2 2 5 2 7 4 8" xfId="21368" xr:uid="{00000000-0005-0000-0000-000078530000}"/>
    <cellStyle name="Normal 2 2 2 5 2 7 4 9" xfId="21369" xr:uid="{00000000-0005-0000-0000-000079530000}"/>
    <cellStyle name="Normal 2 2 2 5 2 7 5" xfId="21370" xr:uid="{00000000-0005-0000-0000-00007A530000}"/>
    <cellStyle name="Normal 2 2 2 5 2 7 5 10" xfId="21371" xr:uid="{00000000-0005-0000-0000-00007B530000}"/>
    <cellStyle name="Normal 2 2 2 5 2 7 5 2" xfId="21372" xr:uid="{00000000-0005-0000-0000-00007C530000}"/>
    <cellStyle name="Normal 2 2 2 5 2 7 5 3" xfId="21373" xr:uid="{00000000-0005-0000-0000-00007D530000}"/>
    <cellStyle name="Normal 2 2 2 5 2 7 5 4" xfId="21374" xr:uid="{00000000-0005-0000-0000-00007E530000}"/>
    <cellStyle name="Normal 2 2 2 5 2 7 5 5" xfId="21375" xr:uid="{00000000-0005-0000-0000-00007F530000}"/>
    <cellStyle name="Normal 2 2 2 5 2 7 5 6" xfId="21376" xr:uid="{00000000-0005-0000-0000-000080530000}"/>
    <cellStyle name="Normal 2 2 2 5 2 7 5 7" xfId="21377" xr:uid="{00000000-0005-0000-0000-000081530000}"/>
    <cellStyle name="Normal 2 2 2 5 2 7 5 8" xfId="21378" xr:uid="{00000000-0005-0000-0000-000082530000}"/>
    <cellStyle name="Normal 2 2 2 5 2 7 5 9" xfId="21379" xr:uid="{00000000-0005-0000-0000-000083530000}"/>
    <cellStyle name="Normal 2 2 2 5 2 7 6" xfId="21380" xr:uid="{00000000-0005-0000-0000-000084530000}"/>
    <cellStyle name="Normal 2 2 2 5 2 7 7" xfId="21381" xr:uid="{00000000-0005-0000-0000-000085530000}"/>
    <cellStyle name="Normal 2 2 2 5 2 7 8" xfId="21382" xr:uid="{00000000-0005-0000-0000-000086530000}"/>
    <cellStyle name="Normal 2 2 2 5 2 7 9" xfId="21383" xr:uid="{00000000-0005-0000-0000-000087530000}"/>
    <cellStyle name="Normal 2 2 2 5 2 8" xfId="21384" xr:uid="{00000000-0005-0000-0000-000088530000}"/>
    <cellStyle name="Normal 2 2 2 5 2 8 10" xfId="21385" xr:uid="{00000000-0005-0000-0000-000089530000}"/>
    <cellStyle name="Normal 2 2 2 5 2 8 11" xfId="21386" xr:uid="{00000000-0005-0000-0000-00008A530000}"/>
    <cellStyle name="Normal 2 2 2 5 2 8 12" xfId="21387" xr:uid="{00000000-0005-0000-0000-00008B530000}"/>
    <cellStyle name="Normal 2 2 2 5 2 8 13" xfId="21388" xr:uid="{00000000-0005-0000-0000-00008C530000}"/>
    <cellStyle name="Normal 2 2 2 5 2 8 14" xfId="21389" xr:uid="{00000000-0005-0000-0000-00008D530000}"/>
    <cellStyle name="Normal 2 2 2 5 2 8 2" xfId="21390" xr:uid="{00000000-0005-0000-0000-00008E530000}"/>
    <cellStyle name="Normal 2 2 2 5 2 8 2 10" xfId="21391" xr:uid="{00000000-0005-0000-0000-00008F530000}"/>
    <cellStyle name="Normal 2 2 2 5 2 8 2 2" xfId="21392" xr:uid="{00000000-0005-0000-0000-000090530000}"/>
    <cellStyle name="Normal 2 2 2 5 2 8 2 3" xfId="21393" xr:uid="{00000000-0005-0000-0000-000091530000}"/>
    <cellStyle name="Normal 2 2 2 5 2 8 2 4" xfId="21394" xr:uid="{00000000-0005-0000-0000-000092530000}"/>
    <cellStyle name="Normal 2 2 2 5 2 8 2 5" xfId="21395" xr:uid="{00000000-0005-0000-0000-000093530000}"/>
    <cellStyle name="Normal 2 2 2 5 2 8 2 6" xfId="21396" xr:uid="{00000000-0005-0000-0000-000094530000}"/>
    <cellStyle name="Normal 2 2 2 5 2 8 2 7" xfId="21397" xr:uid="{00000000-0005-0000-0000-000095530000}"/>
    <cellStyle name="Normal 2 2 2 5 2 8 2 8" xfId="21398" xr:uid="{00000000-0005-0000-0000-000096530000}"/>
    <cellStyle name="Normal 2 2 2 5 2 8 2 9" xfId="21399" xr:uid="{00000000-0005-0000-0000-000097530000}"/>
    <cellStyle name="Normal 2 2 2 5 2 8 3" xfId="21400" xr:uid="{00000000-0005-0000-0000-000098530000}"/>
    <cellStyle name="Normal 2 2 2 5 2 8 3 10" xfId="21401" xr:uid="{00000000-0005-0000-0000-000099530000}"/>
    <cellStyle name="Normal 2 2 2 5 2 8 3 2" xfId="21402" xr:uid="{00000000-0005-0000-0000-00009A530000}"/>
    <cellStyle name="Normal 2 2 2 5 2 8 3 3" xfId="21403" xr:uid="{00000000-0005-0000-0000-00009B530000}"/>
    <cellStyle name="Normal 2 2 2 5 2 8 3 4" xfId="21404" xr:uid="{00000000-0005-0000-0000-00009C530000}"/>
    <cellStyle name="Normal 2 2 2 5 2 8 3 5" xfId="21405" xr:uid="{00000000-0005-0000-0000-00009D530000}"/>
    <cellStyle name="Normal 2 2 2 5 2 8 3 6" xfId="21406" xr:uid="{00000000-0005-0000-0000-00009E530000}"/>
    <cellStyle name="Normal 2 2 2 5 2 8 3 7" xfId="21407" xr:uid="{00000000-0005-0000-0000-00009F530000}"/>
    <cellStyle name="Normal 2 2 2 5 2 8 3 8" xfId="21408" xr:uid="{00000000-0005-0000-0000-0000A0530000}"/>
    <cellStyle name="Normal 2 2 2 5 2 8 3 9" xfId="21409" xr:uid="{00000000-0005-0000-0000-0000A1530000}"/>
    <cellStyle name="Normal 2 2 2 5 2 8 4" xfId="21410" xr:uid="{00000000-0005-0000-0000-0000A2530000}"/>
    <cellStyle name="Normal 2 2 2 5 2 8 4 10" xfId="21411" xr:uid="{00000000-0005-0000-0000-0000A3530000}"/>
    <cellStyle name="Normal 2 2 2 5 2 8 4 2" xfId="21412" xr:uid="{00000000-0005-0000-0000-0000A4530000}"/>
    <cellStyle name="Normal 2 2 2 5 2 8 4 3" xfId="21413" xr:uid="{00000000-0005-0000-0000-0000A5530000}"/>
    <cellStyle name="Normal 2 2 2 5 2 8 4 4" xfId="21414" xr:uid="{00000000-0005-0000-0000-0000A6530000}"/>
    <cellStyle name="Normal 2 2 2 5 2 8 4 5" xfId="21415" xr:uid="{00000000-0005-0000-0000-0000A7530000}"/>
    <cellStyle name="Normal 2 2 2 5 2 8 4 6" xfId="21416" xr:uid="{00000000-0005-0000-0000-0000A8530000}"/>
    <cellStyle name="Normal 2 2 2 5 2 8 4 7" xfId="21417" xr:uid="{00000000-0005-0000-0000-0000A9530000}"/>
    <cellStyle name="Normal 2 2 2 5 2 8 4 8" xfId="21418" xr:uid="{00000000-0005-0000-0000-0000AA530000}"/>
    <cellStyle name="Normal 2 2 2 5 2 8 4 9" xfId="21419" xr:uid="{00000000-0005-0000-0000-0000AB530000}"/>
    <cellStyle name="Normal 2 2 2 5 2 8 5" xfId="21420" xr:uid="{00000000-0005-0000-0000-0000AC530000}"/>
    <cellStyle name="Normal 2 2 2 5 2 8 5 10" xfId="21421" xr:uid="{00000000-0005-0000-0000-0000AD530000}"/>
    <cellStyle name="Normal 2 2 2 5 2 8 5 2" xfId="21422" xr:uid="{00000000-0005-0000-0000-0000AE530000}"/>
    <cellStyle name="Normal 2 2 2 5 2 8 5 3" xfId="21423" xr:uid="{00000000-0005-0000-0000-0000AF530000}"/>
    <cellStyle name="Normal 2 2 2 5 2 8 5 4" xfId="21424" xr:uid="{00000000-0005-0000-0000-0000B0530000}"/>
    <cellStyle name="Normal 2 2 2 5 2 8 5 5" xfId="21425" xr:uid="{00000000-0005-0000-0000-0000B1530000}"/>
    <cellStyle name="Normal 2 2 2 5 2 8 5 6" xfId="21426" xr:uid="{00000000-0005-0000-0000-0000B2530000}"/>
    <cellStyle name="Normal 2 2 2 5 2 8 5 7" xfId="21427" xr:uid="{00000000-0005-0000-0000-0000B3530000}"/>
    <cellStyle name="Normal 2 2 2 5 2 8 5 8" xfId="21428" xr:uid="{00000000-0005-0000-0000-0000B4530000}"/>
    <cellStyle name="Normal 2 2 2 5 2 8 5 9" xfId="21429" xr:uid="{00000000-0005-0000-0000-0000B5530000}"/>
    <cellStyle name="Normal 2 2 2 5 2 8 6" xfId="21430" xr:uid="{00000000-0005-0000-0000-0000B6530000}"/>
    <cellStyle name="Normal 2 2 2 5 2 8 7" xfId="21431" xr:uid="{00000000-0005-0000-0000-0000B7530000}"/>
    <cellStyle name="Normal 2 2 2 5 2 8 8" xfId="21432" xr:uid="{00000000-0005-0000-0000-0000B8530000}"/>
    <cellStyle name="Normal 2 2 2 5 2 8 9" xfId="21433" xr:uid="{00000000-0005-0000-0000-0000B9530000}"/>
    <cellStyle name="Normal 2 2 2 5 2 9" xfId="21434" xr:uid="{00000000-0005-0000-0000-0000BA530000}"/>
    <cellStyle name="Normal 2 2 2 5 2 9 10" xfId="21435" xr:uid="{00000000-0005-0000-0000-0000BB530000}"/>
    <cellStyle name="Normal 2 2 2 5 2 9 11" xfId="21436" xr:uid="{00000000-0005-0000-0000-0000BC530000}"/>
    <cellStyle name="Normal 2 2 2 5 2 9 12" xfId="21437" xr:uid="{00000000-0005-0000-0000-0000BD530000}"/>
    <cellStyle name="Normal 2 2 2 5 2 9 13" xfId="21438" xr:uid="{00000000-0005-0000-0000-0000BE530000}"/>
    <cellStyle name="Normal 2 2 2 5 2 9 14" xfId="21439" xr:uid="{00000000-0005-0000-0000-0000BF530000}"/>
    <cellStyle name="Normal 2 2 2 5 2 9 2" xfId="21440" xr:uid="{00000000-0005-0000-0000-0000C0530000}"/>
    <cellStyle name="Normal 2 2 2 5 2 9 2 10" xfId="21441" xr:uid="{00000000-0005-0000-0000-0000C1530000}"/>
    <cellStyle name="Normal 2 2 2 5 2 9 2 2" xfId="21442" xr:uid="{00000000-0005-0000-0000-0000C2530000}"/>
    <cellStyle name="Normal 2 2 2 5 2 9 2 3" xfId="21443" xr:uid="{00000000-0005-0000-0000-0000C3530000}"/>
    <cellStyle name="Normal 2 2 2 5 2 9 2 4" xfId="21444" xr:uid="{00000000-0005-0000-0000-0000C4530000}"/>
    <cellStyle name="Normal 2 2 2 5 2 9 2 5" xfId="21445" xr:uid="{00000000-0005-0000-0000-0000C5530000}"/>
    <cellStyle name="Normal 2 2 2 5 2 9 2 6" xfId="21446" xr:uid="{00000000-0005-0000-0000-0000C6530000}"/>
    <cellStyle name="Normal 2 2 2 5 2 9 2 7" xfId="21447" xr:uid="{00000000-0005-0000-0000-0000C7530000}"/>
    <cellStyle name="Normal 2 2 2 5 2 9 2 8" xfId="21448" xr:uid="{00000000-0005-0000-0000-0000C8530000}"/>
    <cellStyle name="Normal 2 2 2 5 2 9 2 9" xfId="21449" xr:uid="{00000000-0005-0000-0000-0000C9530000}"/>
    <cellStyle name="Normal 2 2 2 5 2 9 3" xfId="21450" xr:uid="{00000000-0005-0000-0000-0000CA530000}"/>
    <cellStyle name="Normal 2 2 2 5 2 9 3 10" xfId="21451" xr:uid="{00000000-0005-0000-0000-0000CB530000}"/>
    <cellStyle name="Normal 2 2 2 5 2 9 3 2" xfId="21452" xr:uid="{00000000-0005-0000-0000-0000CC530000}"/>
    <cellStyle name="Normal 2 2 2 5 2 9 3 3" xfId="21453" xr:uid="{00000000-0005-0000-0000-0000CD530000}"/>
    <cellStyle name="Normal 2 2 2 5 2 9 3 4" xfId="21454" xr:uid="{00000000-0005-0000-0000-0000CE530000}"/>
    <cellStyle name="Normal 2 2 2 5 2 9 3 5" xfId="21455" xr:uid="{00000000-0005-0000-0000-0000CF530000}"/>
    <cellStyle name="Normal 2 2 2 5 2 9 3 6" xfId="21456" xr:uid="{00000000-0005-0000-0000-0000D0530000}"/>
    <cellStyle name="Normal 2 2 2 5 2 9 3 7" xfId="21457" xr:uid="{00000000-0005-0000-0000-0000D1530000}"/>
    <cellStyle name="Normal 2 2 2 5 2 9 3 8" xfId="21458" xr:uid="{00000000-0005-0000-0000-0000D2530000}"/>
    <cellStyle name="Normal 2 2 2 5 2 9 3 9" xfId="21459" xr:uid="{00000000-0005-0000-0000-0000D3530000}"/>
    <cellStyle name="Normal 2 2 2 5 2 9 4" xfId="21460" xr:uid="{00000000-0005-0000-0000-0000D4530000}"/>
    <cellStyle name="Normal 2 2 2 5 2 9 4 10" xfId="21461" xr:uid="{00000000-0005-0000-0000-0000D5530000}"/>
    <cellStyle name="Normal 2 2 2 5 2 9 4 2" xfId="21462" xr:uid="{00000000-0005-0000-0000-0000D6530000}"/>
    <cellStyle name="Normal 2 2 2 5 2 9 4 3" xfId="21463" xr:uid="{00000000-0005-0000-0000-0000D7530000}"/>
    <cellStyle name="Normal 2 2 2 5 2 9 4 4" xfId="21464" xr:uid="{00000000-0005-0000-0000-0000D8530000}"/>
    <cellStyle name="Normal 2 2 2 5 2 9 4 5" xfId="21465" xr:uid="{00000000-0005-0000-0000-0000D9530000}"/>
    <cellStyle name="Normal 2 2 2 5 2 9 4 6" xfId="21466" xr:uid="{00000000-0005-0000-0000-0000DA530000}"/>
    <cellStyle name="Normal 2 2 2 5 2 9 4 7" xfId="21467" xr:uid="{00000000-0005-0000-0000-0000DB530000}"/>
    <cellStyle name="Normal 2 2 2 5 2 9 4 8" xfId="21468" xr:uid="{00000000-0005-0000-0000-0000DC530000}"/>
    <cellStyle name="Normal 2 2 2 5 2 9 4 9" xfId="21469" xr:uid="{00000000-0005-0000-0000-0000DD530000}"/>
    <cellStyle name="Normal 2 2 2 5 2 9 5" xfId="21470" xr:uid="{00000000-0005-0000-0000-0000DE530000}"/>
    <cellStyle name="Normal 2 2 2 5 2 9 5 10" xfId="21471" xr:uid="{00000000-0005-0000-0000-0000DF530000}"/>
    <cellStyle name="Normal 2 2 2 5 2 9 5 2" xfId="21472" xr:uid="{00000000-0005-0000-0000-0000E0530000}"/>
    <cellStyle name="Normal 2 2 2 5 2 9 5 3" xfId="21473" xr:uid="{00000000-0005-0000-0000-0000E1530000}"/>
    <cellStyle name="Normal 2 2 2 5 2 9 5 4" xfId="21474" xr:uid="{00000000-0005-0000-0000-0000E2530000}"/>
    <cellStyle name="Normal 2 2 2 5 2 9 5 5" xfId="21475" xr:uid="{00000000-0005-0000-0000-0000E3530000}"/>
    <cellStyle name="Normal 2 2 2 5 2 9 5 6" xfId="21476" xr:uid="{00000000-0005-0000-0000-0000E4530000}"/>
    <cellStyle name="Normal 2 2 2 5 2 9 5 7" xfId="21477" xr:uid="{00000000-0005-0000-0000-0000E5530000}"/>
    <cellStyle name="Normal 2 2 2 5 2 9 5 8" xfId="21478" xr:uid="{00000000-0005-0000-0000-0000E6530000}"/>
    <cellStyle name="Normal 2 2 2 5 2 9 5 9" xfId="21479" xr:uid="{00000000-0005-0000-0000-0000E7530000}"/>
    <cellStyle name="Normal 2 2 2 5 2 9 6" xfId="21480" xr:uid="{00000000-0005-0000-0000-0000E8530000}"/>
    <cellStyle name="Normal 2 2 2 5 2 9 7" xfId="21481" xr:uid="{00000000-0005-0000-0000-0000E9530000}"/>
    <cellStyle name="Normal 2 2 2 5 2 9 8" xfId="21482" xr:uid="{00000000-0005-0000-0000-0000EA530000}"/>
    <cellStyle name="Normal 2 2 2 5 2 9 9" xfId="21483" xr:uid="{00000000-0005-0000-0000-0000EB530000}"/>
    <cellStyle name="Normal 2 2 2 5 20" xfId="21484" xr:uid="{00000000-0005-0000-0000-0000EC530000}"/>
    <cellStyle name="Normal 2 2 2 5 21" xfId="21485" xr:uid="{00000000-0005-0000-0000-0000ED530000}"/>
    <cellStyle name="Normal 2 2 2 5 21 10" xfId="21486" xr:uid="{00000000-0005-0000-0000-0000EE530000}"/>
    <cellStyle name="Normal 2 2 2 5 21 2" xfId="21487" xr:uid="{00000000-0005-0000-0000-0000EF530000}"/>
    <cellStyle name="Normal 2 2 2 5 21 3" xfId="21488" xr:uid="{00000000-0005-0000-0000-0000F0530000}"/>
    <cellStyle name="Normal 2 2 2 5 21 4" xfId="21489" xr:uid="{00000000-0005-0000-0000-0000F1530000}"/>
    <cellStyle name="Normal 2 2 2 5 21 5" xfId="21490" xr:uid="{00000000-0005-0000-0000-0000F2530000}"/>
    <cellStyle name="Normal 2 2 2 5 21 6" xfId="21491" xr:uid="{00000000-0005-0000-0000-0000F3530000}"/>
    <cellStyle name="Normal 2 2 2 5 21 7" xfId="21492" xr:uid="{00000000-0005-0000-0000-0000F4530000}"/>
    <cellStyle name="Normal 2 2 2 5 21 8" xfId="21493" xr:uid="{00000000-0005-0000-0000-0000F5530000}"/>
    <cellStyle name="Normal 2 2 2 5 21 9" xfId="21494" xr:uid="{00000000-0005-0000-0000-0000F6530000}"/>
    <cellStyle name="Normal 2 2 2 5 22" xfId="21495" xr:uid="{00000000-0005-0000-0000-0000F7530000}"/>
    <cellStyle name="Normal 2 2 2 5 22 10" xfId="21496" xr:uid="{00000000-0005-0000-0000-0000F8530000}"/>
    <cellStyle name="Normal 2 2 2 5 22 2" xfId="21497" xr:uid="{00000000-0005-0000-0000-0000F9530000}"/>
    <cellStyle name="Normal 2 2 2 5 22 3" xfId="21498" xr:uid="{00000000-0005-0000-0000-0000FA530000}"/>
    <cellStyle name="Normal 2 2 2 5 22 4" xfId="21499" xr:uid="{00000000-0005-0000-0000-0000FB530000}"/>
    <cellStyle name="Normal 2 2 2 5 22 5" xfId="21500" xr:uid="{00000000-0005-0000-0000-0000FC530000}"/>
    <cellStyle name="Normal 2 2 2 5 22 6" xfId="21501" xr:uid="{00000000-0005-0000-0000-0000FD530000}"/>
    <cellStyle name="Normal 2 2 2 5 22 7" xfId="21502" xr:uid="{00000000-0005-0000-0000-0000FE530000}"/>
    <cellStyle name="Normal 2 2 2 5 22 8" xfId="21503" xr:uid="{00000000-0005-0000-0000-0000FF530000}"/>
    <cellStyle name="Normal 2 2 2 5 22 9" xfId="21504" xr:uid="{00000000-0005-0000-0000-000000540000}"/>
    <cellStyle name="Normal 2 2 2 5 23" xfId="21505" xr:uid="{00000000-0005-0000-0000-000001540000}"/>
    <cellStyle name="Normal 2 2 2 5 23 10" xfId="21506" xr:uid="{00000000-0005-0000-0000-000002540000}"/>
    <cellStyle name="Normal 2 2 2 5 23 2" xfId="21507" xr:uid="{00000000-0005-0000-0000-000003540000}"/>
    <cellStyle name="Normal 2 2 2 5 23 3" xfId="21508" xr:uid="{00000000-0005-0000-0000-000004540000}"/>
    <cellStyle name="Normal 2 2 2 5 23 4" xfId="21509" xr:uid="{00000000-0005-0000-0000-000005540000}"/>
    <cellStyle name="Normal 2 2 2 5 23 5" xfId="21510" xr:uid="{00000000-0005-0000-0000-000006540000}"/>
    <cellStyle name="Normal 2 2 2 5 23 6" xfId="21511" xr:uid="{00000000-0005-0000-0000-000007540000}"/>
    <cellStyle name="Normal 2 2 2 5 23 7" xfId="21512" xr:uid="{00000000-0005-0000-0000-000008540000}"/>
    <cellStyle name="Normal 2 2 2 5 23 8" xfId="21513" xr:uid="{00000000-0005-0000-0000-000009540000}"/>
    <cellStyle name="Normal 2 2 2 5 23 9" xfId="21514" xr:uid="{00000000-0005-0000-0000-00000A540000}"/>
    <cellStyle name="Normal 2 2 2 5 24" xfId="21515" xr:uid="{00000000-0005-0000-0000-00000B540000}"/>
    <cellStyle name="Normal 2 2 2 5 24 10" xfId="21516" xr:uid="{00000000-0005-0000-0000-00000C540000}"/>
    <cellStyle name="Normal 2 2 2 5 24 2" xfId="21517" xr:uid="{00000000-0005-0000-0000-00000D540000}"/>
    <cellStyle name="Normal 2 2 2 5 24 3" xfId="21518" xr:uid="{00000000-0005-0000-0000-00000E540000}"/>
    <cellStyle name="Normal 2 2 2 5 24 4" xfId="21519" xr:uid="{00000000-0005-0000-0000-00000F540000}"/>
    <cellStyle name="Normal 2 2 2 5 24 5" xfId="21520" xr:uid="{00000000-0005-0000-0000-000010540000}"/>
    <cellStyle name="Normal 2 2 2 5 24 6" xfId="21521" xr:uid="{00000000-0005-0000-0000-000011540000}"/>
    <cellStyle name="Normal 2 2 2 5 24 7" xfId="21522" xr:uid="{00000000-0005-0000-0000-000012540000}"/>
    <cellStyle name="Normal 2 2 2 5 24 8" xfId="21523" xr:uid="{00000000-0005-0000-0000-000013540000}"/>
    <cellStyle name="Normal 2 2 2 5 24 9" xfId="21524" xr:uid="{00000000-0005-0000-0000-000014540000}"/>
    <cellStyle name="Normal 2 2 2 5 25" xfId="21525" xr:uid="{00000000-0005-0000-0000-000015540000}"/>
    <cellStyle name="Normal 2 2 2 5 26" xfId="21526" xr:uid="{00000000-0005-0000-0000-000016540000}"/>
    <cellStyle name="Normal 2 2 2 5 27" xfId="21527" xr:uid="{00000000-0005-0000-0000-000017540000}"/>
    <cellStyle name="Normal 2 2 2 5 28" xfId="21528" xr:uid="{00000000-0005-0000-0000-000018540000}"/>
    <cellStyle name="Normal 2 2 2 5 29" xfId="21529" xr:uid="{00000000-0005-0000-0000-000019540000}"/>
    <cellStyle name="Normal 2 2 2 5 3" xfId="21530" xr:uid="{00000000-0005-0000-0000-00001A540000}"/>
    <cellStyle name="Normal 2 2 2 5 30" xfId="21531" xr:uid="{00000000-0005-0000-0000-00001B540000}"/>
    <cellStyle name="Normal 2 2 2 5 31" xfId="21532" xr:uid="{00000000-0005-0000-0000-00001C540000}"/>
    <cellStyle name="Normal 2 2 2 5 32" xfId="21533" xr:uid="{00000000-0005-0000-0000-00001D540000}"/>
    <cellStyle name="Normal 2 2 2 5 33" xfId="21534" xr:uid="{00000000-0005-0000-0000-00001E540000}"/>
    <cellStyle name="Normal 2 2 2 5 34" xfId="21535" xr:uid="{00000000-0005-0000-0000-00001F540000}"/>
    <cellStyle name="Normal 2 2 2 5 35" xfId="21536" xr:uid="{00000000-0005-0000-0000-000020540000}"/>
    <cellStyle name="Normal 2 2 2 5 4" xfId="21537" xr:uid="{00000000-0005-0000-0000-000021540000}"/>
    <cellStyle name="Normal 2 2 2 5 5" xfId="21538" xr:uid="{00000000-0005-0000-0000-000022540000}"/>
    <cellStyle name="Normal 2 2 2 5 6" xfId="21539" xr:uid="{00000000-0005-0000-0000-000023540000}"/>
    <cellStyle name="Normal 2 2 2 5 7" xfId="21540" xr:uid="{00000000-0005-0000-0000-000024540000}"/>
    <cellStyle name="Normal 2 2 2 5 8" xfId="21541" xr:uid="{00000000-0005-0000-0000-000025540000}"/>
    <cellStyle name="Normal 2 2 2 5 9" xfId="21542" xr:uid="{00000000-0005-0000-0000-000026540000}"/>
    <cellStyle name="Normal 2 2 2 50" xfId="21543" xr:uid="{00000000-0005-0000-0000-000027540000}"/>
    <cellStyle name="Normal 2 2 2 51" xfId="21544" xr:uid="{00000000-0005-0000-0000-000028540000}"/>
    <cellStyle name="Normal 2 2 2 6" xfId="21545" xr:uid="{00000000-0005-0000-0000-000029540000}"/>
    <cellStyle name="Normal 2 2 2 6 10" xfId="21546" xr:uid="{00000000-0005-0000-0000-00002A540000}"/>
    <cellStyle name="Normal 2 2 2 6 11" xfId="21547" xr:uid="{00000000-0005-0000-0000-00002B540000}"/>
    <cellStyle name="Normal 2 2 2 6 12" xfId="21548" xr:uid="{00000000-0005-0000-0000-00002C540000}"/>
    <cellStyle name="Normal 2 2 2 6 13" xfId="21549" xr:uid="{00000000-0005-0000-0000-00002D540000}"/>
    <cellStyle name="Normal 2 2 2 6 14" xfId="21550" xr:uid="{00000000-0005-0000-0000-00002E540000}"/>
    <cellStyle name="Normal 2 2 2 6 15" xfId="21551" xr:uid="{00000000-0005-0000-0000-00002F540000}"/>
    <cellStyle name="Normal 2 2 2 6 16" xfId="21552" xr:uid="{00000000-0005-0000-0000-000030540000}"/>
    <cellStyle name="Normal 2 2 2 6 2" xfId="21553" xr:uid="{00000000-0005-0000-0000-000031540000}"/>
    <cellStyle name="Normal 2 2 2 6 2 10" xfId="21554" xr:uid="{00000000-0005-0000-0000-000032540000}"/>
    <cellStyle name="Normal 2 2 2 6 2 2" xfId="21555" xr:uid="{00000000-0005-0000-0000-000033540000}"/>
    <cellStyle name="Normal 2 2 2 6 2 3" xfId="21556" xr:uid="{00000000-0005-0000-0000-000034540000}"/>
    <cellStyle name="Normal 2 2 2 6 2 4" xfId="21557" xr:uid="{00000000-0005-0000-0000-000035540000}"/>
    <cellStyle name="Normal 2 2 2 6 2 5" xfId="21558" xr:uid="{00000000-0005-0000-0000-000036540000}"/>
    <cellStyle name="Normal 2 2 2 6 2 6" xfId="21559" xr:uid="{00000000-0005-0000-0000-000037540000}"/>
    <cellStyle name="Normal 2 2 2 6 2 7" xfId="21560" xr:uid="{00000000-0005-0000-0000-000038540000}"/>
    <cellStyle name="Normal 2 2 2 6 2 8" xfId="21561" xr:uid="{00000000-0005-0000-0000-000039540000}"/>
    <cellStyle name="Normal 2 2 2 6 2 9" xfId="21562" xr:uid="{00000000-0005-0000-0000-00003A540000}"/>
    <cellStyle name="Normal 2 2 2 6 3" xfId="21563" xr:uid="{00000000-0005-0000-0000-00003B540000}"/>
    <cellStyle name="Normal 2 2 2 6 3 10" xfId="21564" xr:uid="{00000000-0005-0000-0000-00003C540000}"/>
    <cellStyle name="Normal 2 2 2 6 3 2" xfId="21565" xr:uid="{00000000-0005-0000-0000-00003D540000}"/>
    <cellStyle name="Normal 2 2 2 6 3 3" xfId="21566" xr:uid="{00000000-0005-0000-0000-00003E540000}"/>
    <cellStyle name="Normal 2 2 2 6 3 4" xfId="21567" xr:uid="{00000000-0005-0000-0000-00003F540000}"/>
    <cellStyle name="Normal 2 2 2 6 3 5" xfId="21568" xr:uid="{00000000-0005-0000-0000-000040540000}"/>
    <cellStyle name="Normal 2 2 2 6 3 6" xfId="21569" xr:uid="{00000000-0005-0000-0000-000041540000}"/>
    <cellStyle name="Normal 2 2 2 6 3 7" xfId="21570" xr:uid="{00000000-0005-0000-0000-000042540000}"/>
    <cellStyle name="Normal 2 2 2 6 3 8" xfId="21571" xr:uid="{00000000-0005-0000-0000-000043540000}"/>
    <cellStyle name="Normal 2 2 2 6 3 9" xfId="21572" xr:uid="{00000000-0005-0000-0000-000044540000}"/>
    <cellStyle name="Normal 2 2 2 6 4" xfId="21573" xr:uid="{00000000-0005-0000-0000-000045540000}"/>
    <cellStyle name="Normal 2 2 2 6 4 10" xfId="21574" xr:uid="{00000000-0005-0000-0000-000046540000}"/>
    <cellStyle name="Normal 2 2 2 6 4 2" xfId="21575" xr:uid="{00000000-0005-0000-0000-000047540000}"/>
    <cellStyle name="Normal 2 2 2 6 4 3" xfId="21576" xr:uid="{00000000-0005-0000-0000-000048540000}"/>
    <cellStyle name="Normal 2 2 2 6 4 4" xfId="21577" xr:uid="{00000000-0005-0000-0000-000049540000}"/>
    <cellStyle name="Normal 2 2 2 6 4 5" xfId="21578" xr:uid="{00000000-0005-0000-0000-00004A540000}"/>
    <cellStyle name="Normal 2 2 2 6 4 6" xfId="21579" xr:uid="{00000000-0005-0000-0000-00004B540000}"/>
    <cellStyle name="Normal 2 2 2 6 4 7" xfId="21580" xr:uid="{00000000-0005-0000-0000-00004C540000}"/>
    <cellStyle name="Normal 2 2 2 6 4 8" xfId="21581" xr:uid="{00000000-0005-0000-0000-00004D540000}"/>
    <cellStyle name="Normal 2 2 2 6 4 9" xfId="21582" xr:uid="{00000000-0005-0000-0000-00004E540000}"/>
    <cellStyle name="Normal 2 2 2 6 5" xfId="21583" xr:uid="{00000000-0005-0000-0000-00004F540000}"/>
    <cellStyle name="Normal 2 2 2 6 5 10" xfId="21584" xr:uid="{00000000-0005-0000-0000-000050540000}"/>
    <cellStyle name="Normal 2 2 2 6 5 2" xfId="21585" xr:uid="{00000000-0005-0000-0000-000051540000}"/>
    <cellStyle name="Normal 2 2 2 6 5 3" xfId="21586" xr:uid="{00000000-0005-0000-0000-000052540000}"/>
    <cellStyle name="Normal 2 2 2 6 5 4" xfId="21587" xr:uid="{00000000-0005-0000-0000-000053540000}"/>
    <cellStyle name="Normal 2 2 2 6 5 5" xfId="21588" xr:uid="{00000000-0005-0000-0000-000054540000}"/>
    <cellStyle name="Normal 2 2 2 6 5 6" xfId="21589" xr:uid="{00000000-0005-0000-0000-000055540000}"/>
    <cellStyle name="Normal 2 2 2 6 5 7" xfId="21590" xr:uid="{00000000-0005-0000-0000-000056540000}"/>
    <cellStyle name="Normal 2 2 2 6 5 8" xfId="21591" xr:uid="{00000000-0005-0000-0000-000057540000}"/>
    <cellStyle name="Normal 2 2 2 6 5 9" xfId="21592" xr:uid="{00000000-0005-0000-0000-000058540000}"/>
    <cellStyle name="Normal 2 2 2 6 6" xfId="21593" xr:uid="{00000000-0005-0000-0000-000059540000}"/>
    <cellStyle name="Normal 2 2 2 6 7" xfId="21594" xr:uid="{00000000-0005-0000-0000-00005A540000}"/>
    <cellStyle name="Normal 2 2 2 6 8" xfId="21595" xr:uid="{00000000-0005-0000-0000-00005B540000}"/>
    <cellStyle name="Normal 2 2 2 6 9" xfId="21596" xr:uid="{00000000-0005-0000-0000-00005C540000}"/>
    <cellStyle name="Normal 2 2 2 7" xfId="21597" xr:uid="{00000000-0005-0000-0000-00005D540000}"/>
    <cellStyle name="Normal 2 2 2 7 10" xfId="21598" xr:uid="{00000000-0005-0000-0000-00005E540000}"/>
    <cellStyle name="Normal 2 2 2 7 11" xfId="21599" xr:uid="{00000000-0005-0000-0000-00005F540000}"/>
    <cellStyle name="Normal 2 2 2 7 12" xfId="21600" xr:uid="{00000000-0005-0000-0000-000060540000}"/>
    <cellStyle name="Normal 2 2 2 7 13" xfId="21601" xr:uid="{00000000-0005-0000-0000-000061540000}"/>
    <cellStyle name="Normal 2 2 2 7 14" xfId="21602" xr:uid="{00000000-0005-0000-0000-000062540000}"/>
    <cellStyle name="Normal 2 2 2 7 15" xfId="21603" xr:uid="{00000000-0005-0000-0000-000063540000}"/>
    <cellStyle name="Normal 2 2 2 7 16" xfId="21604" xr:uid="{00000000-0005-0000-0000-000064540000}"/>
    <cellStyle name="Normal 2 2 2 7 2" xfId="21605" xr:uid="{00000000-0005-0000-0000-000065540000}"/>
    <cellStyle name="Normal 2 2 2 7 2 10" xfId="21606" xr:uid="{00000000-0005-0000-0000-000066540000}"/>
    <cellStyle name="Normal 2 2 2 7 2 2" xfId="21607" xr:uid="{00000000-0005-0000-0000-000067540000}"/>
    <cellStyle name="Normal 2 2 2 7 2 3" xfId="21608" xr:uid="{00000000-0005-0000-0000-000068540000}"/>
    <cellStyle name="Normal 2 2 2 7 2 4" xfId="21609" xr:uid="{00000000-0005-0000-0000-000069540000}"/>
    <cellStyle name="Normal 2 2 2 7 2 5" xfId="21610" xr:uid="{00000000-0005-0000-0000-00006A540000}"/>
    <cellStyle name="Normal 2 2 2 7 2 6" xfId="21611" xr:uid="{00000000-0005-0000-0000-00006B540000}"/>
    <cellStyle name="Normal 2 2 2 7 2 7" xfId="21612" xr:uid="{00000000-0005-0000-0000-00006C540000}"/>
    <cellStyle name="Normal 2 2 2 7 2 8" xfId="21613" xr:uid="{00000000-0005-0000-0000-00006D540000}"/>
    <cellStyle name="Normal 2 2 2 7 2 9" xfId="21614" xr:uid="{00000000-0005-0000-0000-00006E540000}"/>
    <cellStyle name="Normal 2 2 2 7 3" xfId="21615" xr:uid="{00000000-0005-0000-0000-00006F540000}"/>
    <cellStyle name="Normal 2 2 2 7 3 10" xfId="21616" xr:uid="{00000000-0005-0000-0000-000070540000}"/>
    <cellStyle name="Normal 2 2 2 7 3 2" xfId="21617" xr:uid="{00000000-0005-0000-0000-000071540000}"/>
    <cellStyle name="Normal 2 2 2 7 3 3" xfId="21618" xr:uid="{00000000-0005-0000-0000-000072540000}"/>
    <cellStyle name="Normal 2 2 2 7 3 4" xfId="21619" xr:uid="{00000000-0005-0000-0000-000073540000}"/>
    <cellStyle name="Normal 2 2 2 7 3 5" xfId="21620" xr:uid="{00000000-0005-0000-0000-000074540000}"/>
    <cellStyle name="Normal 2 2 2 7 3 6" xfId="21621" xr:uid="{00000000-0005-0000-0000-000075540000}"/>
    <cellStyle name="Normal 2 2 2 7 3 7" xfId="21622" xr:uid="{00000000-0005-0000-0000-000076540000}"/>
    <cellStyle name="Normal 2 2 2 7 3 8" xfId="21623" xr:uid="{00000000-0005-0000-0000-000077540000}"/>
    <cellStyle name="Normal 2 2 2 7 3 9" xfId="21624" xr:uid="{00000000-0005-0000-0000-000078540000}"/>
    <cellStyle name="Normal 2 2 2 7 4" xfId="21625" xr:uid="{00000000-0005-0000-0000-000079540000}"/>
    <cellStyle name="Normal 2 2 2 7 4 10" xfId="21626" xr:uid="{00000000-0005-0000-0000-00007A540000}"/>
    <cellStyle name="Normal 2 2 2 7 4 2" xfId="21627" xr:uid="{00000000-0005-0000-0000-00007B540000}"/>
    <cellStyle name="Normal 2 2 2 7 4 3" xfId="21628" xr:uid="{00000000-0005-0000-0000-00007C540000}"/>
    <cellStyle name="Normal 2 2 2 7 4 4" xfId="21629" xr:uid="{00000000-0005-0000-0000-00007D540000}"/>
    <cellStyle name="Normal 2 2 2 7 4 5" xfId="21630" xr:uid="{00000000-0005-0000-0000-00007E540000}"/>
    <cellStyle name="Normal 2 2 2 7 4 6" xfId="21631" xr:uid="{00000000-0005-0000-0000-00007F540000}"/>
    <cellStyle name="Normal 2 2 2 7 4 7" xfId="21632" xr:uid="{00000000-0005-0000-0000-000080540000}"/>
    <cellStyle name="Normal 2 2 2 7 4 8" xfId="21633" xr:uid="{00000000-0005-0000-0000-000081540000}"/>
    <cellStyle name="Normal 2 2 2 7 4 9" xfId="21634" xr:uid="{00000000-0005-0000-0000-000082540000}"/>
    <cellStyle name="Normal 2 2 2 7 5" xfId="21635" xr:uid="{00000000-0005-0000-0000-000083540000}"/>
    <cellStyle name="Normal 2 2 2 7 5 10" xfId="21636" xr:uid="{00000000-0005-0000-0000-000084540000}"/>
    <cellStyle name="Normal 2 2 2 7 5 2" xfId="21637" xr:uid="{00000000-0005-0000-0000-000085540000}"/>
    <cellStyle name="Normal 2 2 2 7 5 3" xfId="21638" xr:uid="{00000000-0005-0000-0000-000086540000}"/>
    <cellStyle name="Normal 2 2 2 7 5 4" xfId="21639" xr:uid="{00000000-0005-0000-0000-000087540000}"/>
    <cellStyle name="Normal 2 2 2 7 5 5" xfId="21640" xr:uid="{00000000-0005-0000-0000-000088540000}"/>
    <cellStyle name="Normal 2 2 2 7 5 6" xfId="21641" xr:uid="{00000000-0005-0000-0000-000089540000}"/>
    <cellStyle name="Normal 2 2 2 7 5 7" xfId="21642" xr:uid="{00000000-0005-0000-0000-00008A540000}"/>
    <cellStyle name="Normal 2 2 2 7 5 8" xfId="21643" xr:uid="{00000000-0005-0000-0000-00008B540000}"/>
    <cellStyle name="Normal 2 2 2 7 5 9" xfId="21644" xr:uid="{00000000-0005-0000-0000-00008C540000}"/>
    <cellStyle name="Normal 2 2 2 7 6" xfId="21645" xr:uid="{00000000-0005-0000-0000-00008D540000}"/>
    <cellStyle name="Normal 2 2 2 7 7" xfId="21646" xr:uid="{00000000-0005-0000-0000-00008E540000}"/>
    <cellStyle name="Normal 2 2 2 7 8" xfId="21647" xr:uid="{00000000-0005-0000-0000-00008F540000}"/>
    <cellStyle name="Normal 2 2 2 7 9" xfId="21648" xr:uid="{00000000-0005-0000-0000-000090540000}"/>
    <cellStyle name="Normal 2 2 2 8" xfId="21649" xr:uid="{00000000-0005-0000-0000-000091540000}"/>
    <cellStyle name="Normal 2 2 2 8 10" xfId="21650" xr:uid="{00000000-0005-0000-0000-000092540000}"/>
    <cellStyle name="Normal 2 2 2 8 11" xfId="21651" xr:uid="{00000000-0005-0000-0000-000093540000}"/>
    <cellStyle name="Normal 2 2 2 8 12" xfId="21652" xr:uid="{00000000-0005-0000-0000-000094540000}"/>
    <cellStyle name="Normal 2 2 2 8 13" xfId="21653" xr:uid="{00000000-0005-0000-0000-000095540000}"/>
    <cellStyle name="Normal 2 2 2 8 14" xfId="21654" xr:uid="{00000000-0005-0000-0000-000096540000}"/>
    <cellStyle name="Normal 2 2 2 8 2" xfId="21655" xr:uid="{00000000-0005-0000-0000-000097540000}"/>
    <cellStyle name="Normal 2 2 2 8 2 10" xfId="21656" xr:uid="{00000000-0005-0000-0000-000098540000}"/>
    <cellStyle name="Normal 2 2 2 8 2 2" xfId="21657" xr:uid="{00000000-0005-0000-0000-000099540000}"/>
    <cellStyle name="Normal 2 2 2 8 2 3" xfId="21658" xr:uid="{00000000-0005-0000-0000-00009A540000}"/>
    <cellStyle name="Normal 2 2 2 8 2 4" xfId="21659" xr:uid="{00000000-0005-0000-0000-00009B540000}"/>
    <cellStyle name="Normal 2 2 2 8 2 5" xfId="21660" xr:uid="{00000000-0005-0000-0000-00009C540000}"/>
    <cellStyle name="Normal 2 2 2 8 2 6" xfId="21661" xr:uid="{00000000-0005-0000-0000-00009D540000}"/>
    <cellStyle name="Normal 2 2 2 8 2 7" xfId="21662" xr:uid="{00000000-0005-0000-0000-00009E540000}"/>
    <cellStyle name="Normal 2 2 2 8 2 8" xfId="21663" xr:uid="{00000000-0005-0000-0000-00009F540000}"/>
    <cellStyle name="Normal 2 2 2 8 2 9" xfId="21664" xr:uid="{00000000-0005-0000-0000-0000A0540000}"/>
    <cellStyle name="Normal 2 2 2 8 3" xfId="21665" xr:uid="{00000000-0005-0000-0000-0000A1540000}"/>
    <cellStyle name="Normal 2 2 2 8 3 10" xfId="21666" xr:uid="{00000000-0005-0000-0000-0000A2540000}"/>
    <cellStyle name="Normal 2 2 2 8 3 2" xfId="21667" xr:uid="{00000000-0005-0000-0000-0000A3540000}"/>
    <cellStyle name="Normal 2 2 2 8 3 3" xfId="21668" xr:uid="{00000000-0005-0000-0000-0000A4540000}"/>
    <cellStyle name="Normal 2 2 2 8 3 4" xfId="21669" xr:uid="{00000000-0005-0000-0000-0000A5540000}"/>
    <cellStyle name="Normal 2 2 2 8 3 5" xfId="21670" xr:uid="{00000000-0005-0000-0000-0000A6540000}"/>
    <cellStyle name="Normal 2 2 2 8 3 6" xfId="21671" xr:uid="{00000000-0005-0000-0000-0000A7540000}"/>
    <cellStyle name="Normal 2 2 2 8 3 7" xfId="21672" xr:uid="{00000000-0005-0000-0000-0000A8540000}"/>
    <cellStyle name="Normal 2 2 2 8 3 8" xfId="21673" xr:uid="{00000000-0005-0000-0000-0000A9540000}"/>
    <cellStyle name="Normal 2 2 2 8 3 9" xfId="21674" xr:uid="{00000000-0005-0000-0000-0000AA540000}"/>
    <cellStyle name="Normal 2 2 2 8 4" xfId="21675" xr:uid="{00000000-0005-0000-0000-0000AB540000}"/>
    <cellStyle name="Normal 2 2 2 8 4 10" xfId="21676" xr:uid="{00000000-0005-0000-0000-0000AC540000}"/>
    <cellStyle name="Normal 2 2 2 8 4 2" xfId="21677" xr:uid="{00000000-0005-0000-0000-0000AD540000}"/>
    <cellStyle name="Normal 2 2 2 8 4 3" xfId="21678" xr:uid="{00000000-0005-0000-0000-0000AE540000}"/>
    <cellStyle name="Normal 2 2 2 8 4 4" xfId="21679" xr:uid="{00000000-0005-0000-0000-0000AF540000}"/>
    <cellStyle name="Normal 2 2 2 8 4 5" xfId="21680" xr:uid="{00000000-0005-0000-0000-0000B0540000}"/>
    <cellStyle name="Normal 2 2 2 8 4 6" xfId="21681" xr:uid="{00000000-0005-0000-0000-0000B1540000}"/>
    <cellStyle name="Normal 2 2 2 8 4 7" xfId="21682" xr:uid="{00000000-0005-0000-0000-0000B2540000}"/>
    <cellStyle name="Normal 2 2 2 8 4 8" xfId="21683" xr:uid="{00000000-0005-0000-0000-0000B3540000}"/>
    <cellStyle name="Normal 2 2 2 8 4 9" xfId="21684" xr:uid="{00000000-0005-0000-0000-0000B4540000}"/>
    <cellStyle name="Normal 2 2 2 8 5" xfId="21685" xr:uid="{00000000-0005-0000-0000-0000B5540000}"/>
    <cellStyle name="Normal 2 2 2 8 5 10" xfId="21686" xr:uid="{00000000-0005-0000-0000-0000B6540000}"/>
    <cellStyle name="Normal 2 2 2 8 5 2" xfId="21687" xr:uid="{00000000-0005-0000-0000-0000B7540000}"/>
    <cellStyle name="Normal 2 2 2 8 5 3" xfId="21688" xr:uid="{00000000-0005-0000-0000-0000B8540000}"/>
    <cellStyle name="Normal 2 2 2 8 5 4" xfId="21689" xr:uid="{00000000-0005-0000-0000-0000B9540000}"/>
    <cellStyle name="Normal 2 2 2 8 5 5" xfId="21690" xr:uid="{00000000-0005-0000-0000-0000BA540000}"/>
    <cellStyle name="Normal 2 2 2 8 5 6" xfId="21691" xr:uid="{00000000-0005-0000-0000-0000BB540000}"/>
    <cellStyle name="Normal 2 2 2 8 5 7" xfId="21692" xr:uid="{00000000-0005-0000-0000-0000BC540000}"/>
    <cellStyle name="Normal 2 2 2 8 5 8" xfId="21693" xr:uid="{00000000-0005-0000-0000-0000BD540000}"/>
    <cellStyle name="Normal 2 2 2 8 5 9" xfId="21694" xr:uid="{00000000-0005-0000-0000-0000BE540000}"/>
    <cellStyle name="Normal 2 2 2 8 6" xfId="21695" xr:uid="{00000000-0005-0000-0000-0000BF540000}"/>
    <cellStyle name="Normal 2 2 2 8 7" xfId="21696" xr:uid="{00000000-0005-0000-0000-0000C0540000}"/>
    <cellStyle name="Normal 2 2 2 8 8" xfId="21697" xr:uid="{00000000-0005-0000-0000-0000C1540000}"/>
    <cellStyle name="Normal 2 2 2 8 9" xfId="21698" xr:uid="{00000000-0005-0000-0000-0000C2540000}"/>
    <cellStyle name="Normal 2 2 2 9" xfId="21699" xr:uid="{00000000-0005-0000-0000-0000C3540000}"/>
    <cellStyle name="Normal 2 2 2 9 10" xfId="21700" xr:uid="{00000000-0005-0000-0000-0000C4540000}"/>
    <cellStyle name="Normal 2 2 2 9 11" xfId="21701" xr:uid="{00000000-0005-0000-0000-0000C5540000}"/>
    <cellStyle name="Normal 2 2 2 9 12" xfId="21702" xr:uid="{00000000-0005-0000-0000-0000C6540000}"/>
    <cellStyle name="Normal 2 2 2 9 13" xfId="21703" xr:uid="{00000000-0005-0000-0000-0000C7540000}"/>
    <cellStyle name="Normal 2 2 2 9 14" xfId="21704" xr:uid="{00000000-0005-0000-0000-0000C8540000}"/>
    <cellStyle name="Normal 2 2 2 9 2" xfId="21705" xr:uid="{00000000-0005-0000-0000-0000C9540000}"/>
    <cellStyle name="Normal 2 2 2 9 2 10" xfId="21706" xr:uid="{00000000-0005-0000-0000-0000CA540000}"/>
    <cellStyle name="Normal 2 2 2 9 2 2" xfId="21707" xr:uid="{00000000-0005-0000-0000-0000CB540000}"/>
    <cellStyle name="Normal 2 2 2 9 2 3" xfId="21708" xr:uid="{00000000-0005-0000-0000-0000CC540000}"/>
    <cellStyle name="Normal 2 2 2 9 2 4" xfId="21709" xr:uid="{00000000-0005-0000-0000-0000CD540000}"/>
    <cellStyle name="Normal 2 2 2 9 2 5" xfId="21710" xr:uid="{00000000-0005-0000-0000-0000CE540000}"/>
    <cellStyle name="Normal 2 2 2 9 2 6" xfId="21711" xr:uid="{00000000-0005-0000-0000-0000CF540000}"/>
    <cellStyle name="Normal 2 2 2 9 2 7" xfId="21712" xr:uid="{00000000-0005-0000-0000-0000D0540000}"/>
    <cellStyle name="Normal 2 2 2 9 2 8" xfId="21713" xr:uid="{00000000-0005-0000-0000-0000D1540000}"/>
    <cellStyle name="Normal 2 2 2 9 2 9" xfId="21714" xr:uid="{00000000-0005-0000-0000-0000D2540000}"/>
    <cellStyle name="Normal 2 2 2 9 3" xfId="21715" xr:uid="{00000000-0005-0000-0000-0000D3540000}"/>
    <cellStyle name="Normal 2 2 2 9 3 10" xfId="21716" xr:uid="{00000000-0005-0000-0000-0000D4540000}"/>
    <cellStyle name="Normal 2 2 2 9 3 2" xfId="21717" xr:uid="{00000000-0005-0000-0000-0000D5540000}"/>
    <cellStyle name="Normal 2 2 2 9 3 3" xfId="21718" xr:uid="{00000000-0005-0000-0000-0000D6540000}"/>
    <cellStyle name="Normal 2 2 2 9 3 4" xfId="21719" xr:uid="{00000000-0005-0000-0000-0000D7540000}"/>
    <cellStyle name="Normal 2 2 2 9 3 5" xfId="21720" xr:uid="{00000000-0005-0000-0000-0000D8540000}"/>
    <cellStyle name="Normal 2 2 2 9 3 6" xfId="21721" xr:uid="{00000000-0005-0000-0000-0000D9540000}"/>
    <cellStyle name="Normal 2 2 2 9 3 7" xfId="21722" xr:uid="{00000000-0005-0000-0000-0000DA540000}"/>
    <cellStyle name="Normal 2 2 2 9 3 8" xfId="21723" xr:uid="{00000000-0005-0000-0000-0000DB540000}"/>
    <cellStyle name="Normal 2 2 2 9 3 9" xfId="21724" xr:uid="{00000000-0005-0000-0000-0000DC540000}"/>
    <cellStyle name="Normal 2 2 2 9 4" xfId="21725" xr:uid="{00000000-0005-0000-0000-0000DD540000}"/>
    <cellStyle name="Normal 2 2 2 9 4 10" xfId="21726" xr:uid="{00000000-0005-0000-0000-0000DE540000}"/>
    <cellStyle name="Normal 2 2 2 9 4 2" xfId="21727" xr:uid="{00000000-0005-0000-0000-0000DF540000}"/>
    <cellStyle name="Normal 2 2 2 9 4 3" xfId="21728" xr:uid="{00000000-0005-0000-0000-0000E0540000}"/>
    <cellStyle name="Normal 2 2 2 9 4 4" xfId="21729" xr:uid="{00000000-0005-0000-0000-0000E1540000}"/>
    <cellStyle name="Normal 2 2 2 9 4 5" xfId="21730" xr:uid="{00000000-0005-0000-0000-0000E2540000}"/>
    <cellStyle name="Normal 2 2 2 9 4 6" xfId="21731" xr:uid="{00000000-0005-0000-0000-0000E3540000}"/>
    <cellStyle name="Normal 2 2 2 9 4 7" xfId="21732" xr:uid="{00000000-0005-0000-0000-0000E4540000}"/>
    <cellStyle name="Normal 2 2 2 9 4 8" xfId="21733" xr:uid="{00000000-0005-0000-0000-0000E5540000}"/>
    <cellStyle name="Normal 2 2 2 9 4 9" xfId="21734" xr:uid="{00000000-0005-0000-0000-0000E6540000}"/>
    <cellStyle name="Normal 2 2 2 9 5" xfId="21735" xr:uid="{00000000-0005-0000-0000-0000E7540000}"/>
    <cellStyle name="Normal 2 2 2 9 5 10" xfId="21736" xr:uid="{00000000-0005-0000-0000-0000E8540000}"/>
    <cellStyle name="Normal 2 2 2 9 5 2" xfId="21737" xr:uid="{00000000-0005-0000-0000-0000E9540000}"/>
    <cellStyle name="Normal 2 2 2 9 5 3" xfId="21738" xr:uid="{00000000-0005-0000-0000-0000EA540000}"/>
    <cellStyle name="Normal 2 2 2 9 5 4" xfId="21739" xr:uid="{00000000-0005-0000-0000-0000EB540000}"/>
    <cellStyle name="Normal 2 2 2 9 5 5" xfId="21740" xr:uid="{00000000-0005-0000-0000-0000EC540000}"/>
    <cellStyle name="Normal 2 2 2 9 5 6" xfId="21741" xr:uid="{00000000-0005-0000-0000-0000ED540000}"/>
    <cellStyle name="Normal 2 2 2 9 5 7" xfId="21742" xr:uid="{00000000-0005-0000-0000-0000EE540000}"/>
    <cellStyle name="Normal 2 2 2 9 5 8" xfId="21743" xr:uid="{00000000-0005-0000-0000-0000EF540000}"/>
    <cellStyle name="Normal 2 2 2 9 5 9" xfId="21744" xr:uid="{00000000-0005-0000-0000-0000F0540000}"/>
    <cellStyle name="Normal 2 2 2 9 6" xfId="21745" xr:uid="{00000000-0005-0000-0000-0000F1540000}"/>
    <cellStyle name="Normal 2 2 2 9 7" xfId="21746" xr:uid="{00000000-0005-0000-0000-0000F2540000}"/>
    <cellStyle name="Normal 2 2 2 9 8" xfId="21747" xr:uid="{00000000-0005-0000-0000-0000F3540000}"/>
    <cellStyle name="Normal 2 2 2 9 9" xfId="21748" xr:uid="{00000000-0005-0000-0000-0000F4540000}"/>
    <cellStyle name="Normal 2 2 20" xfId="21749" xr:uid="{00000000-0005-0000-0000-0000F5540000}"/>
    <cellStyle name="Normal 2 2 21" xfId="21750" xr:uid="{00000000-0005-0000-0000-0000F6540000}"/>
    <cellStyle name="Normal 2 2 22" xfId="21751" xr:uid="{00000000-0005-0000-0000-0000F7540000}"/>
    <cellStyle name="Normal 2 2 23" xfId="21752" xr:uid="{00000000-0005-0000-0000-0000F8540000}"/>
    <cellStyle name="Normal 2 2 24" xfId="21753" xr:uid="{00000000-0005-0000-0000-0000F9540000}"/>
    <cellStyle name="Normal 2 2 25" xfId="21754" xr:uid="{00000000-0005-0000-0000-0000FA540000}"/>
    <cellStyle name="Normal 2 2 26" xfId="21755" xr:uid="{00000000-0005-0000-0000-0000FB540000}"/>
    <cellStyle name="Normal 2 2 27" xfId="21756" xr:uid="{00000000-0005-0000-0000-0000FC540000}"/>
    <cellStyle name="Normal 2 2 28" xfId="21757" xr:uid="{00000000-0005-0000-0000-0000FD540000}"/>
    <cellStyle name="Normal 2 2 29" xfId="21758" xr:uid="{00000000-0005-0000-0000-0000FE540000}"/>
    <cellStyle name="Normal 2 2 3" xfId="25" xr:uid="{00000000-0005-0000-0000-000019000000}"/>
    <cellStyle name="Normal 2 2 3 2" xfId="52" xr:uid="{00000000-0005-0000-0000-000034000000}"/>
    <cellStyle name="Normal 2 2 3 2 2" xfId="21760" xr:uid="{00000000-0005-0000-0000-000000550000}"/>
    <cellStyle name="Normal 2 2 3 3" xfId="21761" xr:uid="{00000000-0005-0000-0000-000001550000}"/>
    <cellStyle name="Normal 2 2 3 4" xfId="21762" xr:uid="{00000000-0005-0000-0000-000002550000}"/>
    <cellStyle name="Normal 2 2 3 5" xfId="21759" xr:uid="{00000000-0005-0000-0000-0000FF540000}"/>
    <cellStyle name="Normal 2 2 30" xfId="21763" xr:uid="{00000000-0005-0000-0000-000003550000}"/>
    <cellStyle name="Normal 2 2 31" xfId="21764" xr:uid="{00000000-0005-0000-0000-000004550000}"/>
    <cellStyle name="Normal 2 2 32" xfId="21765" xr:uid="{00000000-0005-0000-0000-000005550000}"/>
    <cellStyle name="Normal 2 2 33" xfId="21766" xr:uid="{00000000-0005-0000-0000-000006550000}"/>
    <cellStyle name="Normal 2 2 34" xfId="21767" xr:uid="{00000000-0005-0000-0000-000007550000}"/>
    <cellStyle name="Normal 2 2 35" xfId="21768" xr:uid="{00000000-0005-0000-0000-000008550000}"/>
    <cellStyle name="Normal 2 2 36" xfId="21769" xr:uid="{00000000-0005-0000-0000-000009550000}"/>
    <cellStyle name="Normal 2 2 37" xfId="21770" xr:uid="{00000000-0005-0000-0000-00000A550000}"/>
    <cellStyle name="Normal 2 2 38" xfId="21771" xr:uid="{00000000-0005-0000-0000-00000B550000}"/>
    <cellStyle name="Normal 2 2 39" xfId="21772" xr:uid="{00000000-0005-0000-0000-00000C550000}"/>
    <cellStyle name="Normal 2 2 4" xfId="14" xr:uid="{00000000-0005-0000-0000-00000E000000}"/>
    <cellStyle name="Normal 2 2 4 10" xfId="21774" xr:uid="{00000000-0005-0000-0000-00000E550000}"/>
    <cellStyle name="Normal 2 2 4 10 10" xfId="21775" xr:uid="{00000000-0005-0000-0000-00000F550000}"/>
    <cellStyle name="Normal 2 2 4 10 11" xfId="21776" xr:uid="{00000000-0005-0000-0000-000010550000}"/>
    <cellStyle name="Normal 2 2 4 10 12" xfId="21777" xr:uid="{00000000-0005-0000-0000-000011550000}"/>
    <cellStyle name="Normal 2 2 4 10 13" xfId="21778" xr:uid="{00000000-0005-0000-0000-000012550000}"/>
    <cellStyle name="Normal 2 2 4 10 14" xfId="21779" xr:uid="{00000000-0005-0000-0000-000013550000}"/>
    <cellStyle name="Normal 2 2 4 10 2" xfId="21780" xr:uid="{00000000-0005-0000-0000-000014550000}"/>
    <cellStyle name="Normal 2 2 4 10 2 10" xfId="21781" xr:uid="{00000000-0005-0000-0000-000015550000}"/>
    <cellStyle name="Normal 2 2 4 10 2 2" xfId="21782" xr:uid="{00000000-0005-0000-0000-000016550000}"/>
    <cellStyle name="Normal 2 2 4 10 2 3" xfId="21783" xr:uid="{00000000-0005-0000-0000-000017550000}"/>
    <cellStyle name="Normal 2 2 4 10 2 4" xfId="21784" xr:uid="{00000000-0005-0000-0000-000018550000}"/>
    <cellStyle name="Normal 2 2 4 10 2 5" xfId="21785" xr:uid="{00000000-0005-0000-0000-000019550000}"/>
    <cellStyle name="Normal 2 2 4 10 2 6" xfId="21786" xr:uid="{00000000-0005-0000-0000-00001A550000}"/>
    <cellStyle name="Normal 2 2 4 10 2 7" xfId="21787" xr:uid="{00000000-0005-0000-0000-00001B550000}"/>
    <cellStyle name="Normal 2 2 4 10 2 8" xfId="21788" xr:uid="{00000000-0005-0000-0000-00001C550000}"/>
    <cellStyle name="Normal 2 2 4 10 2 9" xfId="21789" xr:uid="{00000000-0005-0000-0000-00001D550000}"/>
    <cellStyle name="Normal 2 2 4 10 3" xfId="21790" xr:uid="{00000000-0005-0000-0000-00001E550000}"/>
    <cellStyle name="Normal 2 2 4 10 3 10" xfId="21791" xr:uid="{00000000-0005-0000-0000-00001F550000}"/>
    <cellStyle name="Normal 2 2 4 10 3 2" xfId="21792" xr:uid="{00000000-0005-0000-0000-000020550000}"/>
    <cellStyle name="Normal 2 2 4 10 3 3" xfId="21793" xr:uid="{00000000-0005-0000-0000-000021550000}"/>
    <cellStyle name="Normal 2 2 4 10 3 4" xfId="21794" xr:uid="{00000000-0005-0000-0000-000022550000}"/>
    <cellStyle name="Normal 2 2 4 10 3 5" xfId="21795" xr:uid="{00000000-0005-0000-0000-000023550000}"/>
    <cellStyle name="Normal 2 2 4 10 3 6" xfId="21796" xr:uid="{00000000-0005-0000-0000-000024550000}"/>
    <cellStyle name="Normal 2 2 4 10 3 7" xfId="21797" xr:uid="{00000000-0005-0000-0000-000025550000}"/>
    <cellStyle name="Normal 2 2 4 10 3 8" xfId="21798" xr:uid="{00000000-0005-0000-0000-000026550000}"/>
    <cellStyle name="Normal 2 2 4 10 3 9" xfId="21799" xr:uid="{00000000-0005-0000-0000-000027550000}"/>
    <cellStyle name="Normal 2 2 4 10 4" xfId="21800" xr:uid="{00000000-0005-0000-0000-000028550000}"/>
    <cellStyle name="Normal 2 2 4 10 4 10" xfId="21801" xr:uid="{00000000-0005-0000-0000-000029550000}"/>
    <cellStyle name="Normal 2 2 4 10 4 2" xfId="21802" xr:uid="{00000000-0005-0000-0000-00002A550000}"/>
    <cellStyle name="Normal 2 2 4 10 4 3" xfId="21803" xr:uid="{00000000-0005-0000-0000-00002B550000}"/>
    <cellStyle name="Normal 2 2 4 10 4 4" xfId="21804" xr:uid="{00000000-0005-0000-0000-00002C550000}"/>
    <cellStyle name="Normal 2 2 4 10 4 5" xfId="21805" xr:uid="{00000000-0005-0000-0000-00002D550000}"/>
    <cellStyle name="Normal 2 2 4 10 4 6" xfId="21806" xr:uid="{00000000-0005-0000-0000-00002E550000}"/>
    <cellStyle name="Normal 2 2 4 10 4 7" xfId="21807" xr:uid="{00000000-0005-0000-0000-00002F550000}"/>
    <cellStyle name="Normal 2 2 4 10 4 8" xfId="21808" xr:uid="{00000000-0005-0000-0000-000030550000}"/>
    <cellStyle name="Normal 2 2 4 10 4 9" xfId="21809" xr:uid="{00000000-0005-0000-0000-000031550000}"/>
    <cellStyle name="Normal 2 2 4 10 5" xfId="21810" xr:uid="{00000000-0005-0000-0000-000032550000}"/>
    <cellStyle name="Normal 2 2 4 10 5 10" xfId="21811" xr:uid="{00000000-0005-0000-0000-000033550000}"/>
    <cellStyle name="Normal 2 2 4 10 5 2" xfId="21812" xr:uid="{00000000-0005-0000-0000-000034550000}"/>
    <cellStyle name="Normal 2 2 4 10 5 3" xfId="21813" xr:uid="{00000000-0005-0000-0000-000035550000}"/>
    <cellStyle name="Normal 2 2 4 10 5 4" xfId="21814" xr:uid="{00000000-0005-0000-0000-000036550000}"/>
    <cellStyle name="Normal 2 2 4 10 5 5" xfId="21815" xr:uid="{00000000-0005-0000-0000-000037550000}"/>
    <cellStyle name="Normal 2 2 4 10 5 6" xfId="21816" xr:uid="{00000000-0005-0000-0000-000038550000}"/>
    <cellStyle name="Normal 2 2 4 10 5 7" xfId="21817" xr:uid="{00000000-0005-0000-0000-000039550000}"/>
    <cellStyle name="Normal 2 2 4 10 5 8" xfId="21818" xr:uid="{00000000-0005-0000-0000-00003A550000}"/>
    <cellStyle name="Normal 2 2 4 10 5 9" xfId="21819" xr:uid="{00000000-0005-0000-0000-00003B550000}"/>
    <cellStyle name="Normal 2 2 4 10 6" xfId="21820" xr:uid="{00000000-0005-0000-0000-00003C550000}"/>
    <cellStyle name="Normal 2 2 4 10 7" xfId="21821" xr:uid="{00000000-0005-0000-0000-00003D550000}"/>
    <cellStyle name="Normal 2 2 4 10 8" xfId="21822" xr:uid="{00000000-0005-0000-0000-00003E550000}"/>
    <cellStyle name="Normal 2 2 4 10 9" xfId="21823" xr:uid="{00000000-0005-0000-0000-00003F550000}"/>
    <cellStyle name="Normal 2 2 4 11" xfId="21824" xr:uid="{00000000-0005-0000-0000-000040550000}"/>
    <cellStyle name="Normal 2 2 4 11 10" xfId="21825" xr:uid="{00000000-0005-0000-0000-000041550000}"/>
    <cellStyle name="Normal 2 2 4 11 11" xfId="21826" xr:uid="{00000000-0005-0000-0000-000042550000}"/>
    <cellStyle name="Normal 2 2 4 11 12" xfId="21827" xr:uid="{00000000-0005-0000-0000-000043550000}"/>
    <cellStyle name="Normal 2 2 4 11 13" xfId="21828" xr:uid="{00000000-0005-0000-0000-000044550000}"/>
    <cellStyle name="Normal 2 2 4 11 14" xfId="21829" xr:uid="{00000000-0005-0000-0000-000045550000}"/>
    <cellStyle name="Normal 2 2 4 11 2" xfId="21830" xr:uid="{00000000-0005-0000-0000-000046550000}"/>
    <cellStyle name="Normal 2 2 4 11 2 10" xfId="21831" xr:uid="{00000000-0005-0000-0000-000047550000}"/>
    <cellStyle name="Normal 2 2 4 11 2 2" xfId="21832" xr:uid="{00000000-0005-0000-0000-000048550000}"/>
    <cellStyle name="Normal 2 2 4 11 2 3" xfId="21833" xr:uid="{00000000-0005-0000-0000-000049550000}"/>
    <cellStyle name="Normal 2 2 4 11 2 4" xfId="21834" xr:uid="{00000000-0005-0000-0000-00004A550000}"/>
    <cellStyle name="Normal 2 2 4 11 2 5" xfId="21835" xr:uid="{00000000-0005-0000-0000-00004B550000}"/>
    <cellStyle name="Normal 2 2 4 11 2 6" xfId="21836" xr:uid="{00000000-0005-0000-0000-00004C550000}"/>
    <cellStyle name="Normal 2 2 4 11 2 7" xfId="21837" xr:uid="{00000000-0005-0000-0000-00004D550000}"/>
    <cellStyle name="Normal 2 2 4 11 2 8" xfId="21838" xr:uid="{00000000-0005-0000-0000-00004E550000}"/>
    <cellStyle name="Normal 2 2 4 11 2 9" xfId="21839" xr:uid="{00000000-0005-0000-0000-00004F550000}"/>
    <cellStyle name="Normal 2 2 4 11 3" xfId="21840" xr:uid="{00000000-0005-0000-0000-000050550000}"/>
    <cellStyle name="Normal 2 2 4 11 3 10" xfId="21841" xr:uid="{00000000-0005-0000-0000-000051550000}"/>
    <cellStyle name="Normal 2 2 4 11 3 2" xfId="21842" xr:uid="{00000000-0005-0000-0000-000052550000}"/>
    <cellStyle name="Normal 2 2 4 11 3 3" xfId="21843" xr:uid="{00000000-0005-0000-0000-000053550000}"/>
    <cellStyle name="Normal 2 2 4 11 3 4" xfId="21844" xr:uid="{00000000-0005-0000-0000-000054550000}"/>
    <cellStyle name="Normal 2 2 4 11 3 5" xfId="21845" xr:uid="{00000000-0005-0000-0000-000055550000}"/>
    <cellStyle name="Normal 2 2 4 11 3 6" xfId="21846" xr:uid="{00000000-0005-0000-0000-000056550000}"/>
    <cellStyle name="Normal 2 2 4 11 3 7" xfId="21847" xr:uid="{00000000-0005-0000-0000-000057550000}"/>
    <cellStyle name="Normal 2 2 4 11 3 8" xfId="21848" xr:uid="{00000000-0005-0000-0000-000058550000}"/>
    <cellStyle name="Normal 2 2 4 11 3 9" xfId="21849" xr:uid="{00000000-0005-0000-0000-000059550000}"/>
    <cellStyle name="Normal 2 2 4 11 4" xfId="21850" xr:uid="{00000000-0005-0000-0000-00005A550000}"/>
    <cellStyle name="Normal 2 2 4 11 4 10" xfId="21851" xr:uid="{00000000-0005-0000-0000-00005B550000}"/>
    <cellStyle name="Normal 2 2 4 11 4 2" xfId="21852" xr:uid="{00000000-0005-0000-0000-00005C550000}"/>
    <cellStyle name="Normal 2 2 4 11 4 3" xfId="21853" xr:uid="{00000000-0005-0000-0000-00005D550000}"/>
    <cellStyle name="Normal 2 2 4 11 4 4" xfId="21854" xr:uid="{00000000-0005-0000-0000-00005E550000}"/>
    <cellStyle name="Normal 2 2 4 11 4 5" xfId="21855" xr:uid="{00000000-0005-0000-0000-00005F550000}"/>
    <cellStyle name="Normal 2 2 4 11 4 6" xfId="21856" xr:uid="{00000000-0005-0000-0000-000060550000}"/>
    <cellStyle name="Normal 2 2 4 11 4 7" xfId="21857" xr:uid="{00000000-0005-0000-0000-000061550000}"/>
    <cellStyle name="Normal 2 2 4 11 4 8" xfId="21858" xr:uid="{00000000-0005-0000-0000-000062550000}"/>
    <cellStyle name="Normal 2 2 4 11 4 9" xfId="21859" xr:uid="{00000000-0005-0000-0000-000063550000}"/>
    <cellStyle name="Normal 2 2 4 11 5" xfId="21860" xr:uid="{00000000-0005-0000-0000-000064550000}"/>
    <cellStyle name="Normal 2 2 4 11 5 10" xfId="21861" xr:uid="{00000000-0005-0000-0000-000065550000}"/>
    <cellStyle name="Normal 2 2 4 11 5 2" xfId="21862" xr:uid="{00000000-0005-0000-0000-000066550000}"/>
    <cellStyle name="Normal 2 2 4 11 5 3" xfId="21863" xr:uid="{00000000-0005-0000-0000-000067550000}"/>
    <cellStyle name="Normal 2 2 4 11 5 4" xfId="21864" xr:uid="{00000000-0005-0000-0000-000068550000}"/>
    <cellStyle name="Normal 2 2 4 11 5 5" xfId="21865" xr:uid="{00000000-0005-0000-0000-000069550000}"/>
    <cellStyle name="Normal 2 2 4 11 5 6" xfId="21866" xr:uid="{00000000-0005-0000-0000-00006A550000}"/>
    <cellStyle name="Normal 2 2 4 11 5 7" xfId="21867" xr:uid="{00000000-0005-0000-0000-00006B550000}"/>
    <cellStyle name="Normal 2 2 4 11 5 8" xfId="21868" xr:uid="{00000000-0005-0000-0000-00006C550000}"/>
    <cellStyle name="Normal 2 2 4 11 5 9" xfId="21869" xr:uid="{00000000-0005-0000-0000-00006D550000}"/>
    <cellStyle name="Normal 2 2 4 11 6" xfId="21870" xr:uid="{00000000-0005-0000-0000-00006E550000}"/>
    <cellStyle name="Normal 2 2 4 11 7" xfId="21871" xr:uid="{00000000-0005-0000-0000-00006F550000}"/>
    <cellStyle name="Normal 2 2 4 11 8" xfId="21872" xr:uid="{00000000-0005-0000-0000-000070550000}"/>
    <cellStyle name="Normal 2 2 4 11 9" xfId="21873" xr:uid="{00000000-0005-0000-0000-000071550000}"/>
    <cellStyle name="Normal 2 2 4 12" xfId="21874" xr:uid="{00000000-0005-0000-0000-000072550000}"/>
    <cellStyle name="Normal 2 2 4 12 10" xfId="21875" xr:uid="{00000000-0005-0000-0000-000073550000}"/>
    <cellStyle name="Normal 2 2 4 12 11" xfId="21876" xr:uid="{00000000-0005-0000-0000-000074550000}"/>
    <cellStyle name="Normal 2 2 4 12 12" xfId="21877" xr:uid="{00000000-0005-0000-0000-000075550000}"/>
    <cellStyle name="Normal 2 2 4 12 13" xfId="21878" xr:uid="{00000000-0005-0000-0000-000076550000}"/>
    <cellStyle name="Normal 2 2 4 12 14" xfId="21879" xr:uid="{00000000-0005-0000-0000-000077550000}"/>
    <cellStyle name="Normal 2 2 4 12 2" xfId="21880" xr:uid="{00000000-0005-0000-0000-000078550000}"/>
    <cellStyle name="Normal 2 2 4 12 2 10" xfId="21881" xr:uid="{00000000-0005-0000-0000-000079550000}"/>
    <cellStyle name="Normal 2 2 4 12 2 2" xfId="21882" xr:uid="{00000000-0005-0000-0000-00007A550000}"/>
    <cellStyle name="Normal 2 2 4 12 2 3" xfId="21883" xr:uid="{00000000-0005-0000-0000-00007B550000}"/>
    <cellStyle name="Normal 2 2 4 12 2 4" xfId="21884" xr:uid="{00000000-0005-0000-0000-00007C550000}"/>
    <cellStyle name="Normal 2 2 4 12 2 5" xfId="21885" xr:uid="{00000000-0005-0000-0000-00007D550000}"/>
    <cellStyle name="Normal 2 2 4 12 2 6" xfId="21886" xr:uid="{00000000-0005-0000-0000-00007E550000}"/>
    <cellStyle name="Normal 2 2 4 12 2 7" xfId="21887" xr:uid="{00000000-0005-0000-0000-00007F550000}"/>
    <cellStyle name="Normal 2 2 4 12 2 8" xfId="21888" xr:uid="{00000000-0005-0000-0000-000080550000}"/>
    <cellStyle name="Normal 2 2 4 12 2 9" xfId="21889" xr:uid="{00000000-0005-0000-0000-000081550000}"/>
    <cellStyle name="Normal 2 2 4 12 3" xfId="21890" xr:uid="{00000000-0005-0000-0000-000082550000}"/>
    <cellStyle name="Normal 2 2 4 12 3 10" xfId="21891" xr:uid="{00000000-0005-0000-0000-000083550000}"/>
    <cellStyle name="Normal 2 2 4 12 3 2" xfId="21892" xr:uid="{00000000-0005-0000-0000-000084550000}"/>
    <cellStyle name="Normal 2 2 4 12 3 3" xfId="21893" xr:uid="{00000000-0005-0000-0000-000085550000}"/>
    <cellStyle name="Normal 2 2 4 12 3 4" xfId="21894" xr:uid="{00000000-0005-0000-0000-000086550000}"/>
    <cellStyle name="Normal 2 2 4 12 3 5" xfId="21895" xr:uid="{00000000-0005-0000-0000-000087550000}"/>
    <cellStyle name="Normal 2 2 4 12 3 6" xfId="21896" xr:uid="{00000000-0005-0000-0000-000088550000}"/>
    <cellStyle name="Normal 2 2 4 12 3 7" xfId="21897" xr:uid="{00000000-0005-0000-0000-000089550000}"/>
    <cellStyle name="Normal 2 2 4 12 3 8" xfId="21898" xr:uid="{00000000-0005-0000-0000-00008A550000}"/>
    <cellStyle name="Normal 2 2 4 12 3 9" xfId="21899" xr:uid="{00000000-0005-0000-0000-00008B550000}"/>
    <cellStyle name="Normal 2 2 4 12 4" xfId="21900" xr:uid="{00000000-0005-0000-0000-00008C550000}"/>
    <cellStyle name="Normal 2 2 4 12 4 10" xfId="21901" xr:uid="{00000000-0005-0000-0000-00008D550000}"/>
    <cellStyle name="Normal 2 2 4 12 4 2" xfId="21902" xr:uid="{00000000-0005-0000-0000-00008E550000}"/>
    <cellStyle name="Normal 2 2 4 12 4 3" xfId="21903" xr:uid="{00000000-0005-0000-0000-00008F550000}"/>
    <cellStyle name="Normal 2 2 4 12 4 4" xfId="21904" xr:uid="{00000000-0005-0000-0000-000090550000}"/>
    <cellStyle name="Normal 2 2 4 12 4 5" xfId="21905" xr:uid="{00000000-0005-0000-0000-000091550000}"/>
    <cellStyle name="Normal 2 2 4 12 4 6" xfId="21906" xr:uid="{00000000-0005-0000-0000-000092550000}"/>
    <cellStyle name="Normal 2 2 4 12 4 7" xfId="21907" xr:uid="{00000000-0005-0000-0000-000093550000}"/>
    <cellStyle name="Normal 2 2 4 12 4 8" xfId="21908" xr:uid="{00000000-0005-0000-0000-000094550000}"/>
    <cellStyle name="Normal 2 2 4 12 4 9" xfId="21909" xr:uid="{00000000-0005-0000-0000-000095550000}"/>
    <cellStyle name="Normal 2 2 4 12 5" xfId="21910" xr:uid="{00000000-0005-0000-0000-000096550000}"/>
    <cellStyle name="Normal 2 2 4 12 5 10" xfId="21911" xr:uid="{00000000-0005-0000-0000-000097550000}"/>
    <cellStyle name="Normal 2 2 4 12 5 2" xfId="21912" xr:uid="{00000000-0005-0000-0000-000098550000}"/>
    <cellStyle name="Normal 2 2 4 12 5 3" xfId="21913" xr:uid="{00000000-0005-0000-0000-000099550000}"/>
    <cellStyle name="Normal 2 2 4 12 5 4" xfId="21914" xr:uid="{00000000-0005-0000-0000-00009A550000}"/>
    <cellStyle name="Normal 2 2 4 12 5 5" xfId="21915" xr:uid="{00000000-0005-0000-0000-00009B550000}"/>
    <cellStyle name="Normal 2 2 4 12 5 6" xfId="21916" xr:uid="{00000000-0005-0000-0000-00009C550000}"/>
    <cellStyle name="Normal 2 2 4 12 5 7" xfId="21917" xr:uid="{00000000-0005-0000-0000-00009D550000}"/>
    <cellStyle name="Normal 2 2 4 12 5 8" xfId="21918" xr:uid="{00000000-0005-0000-0000-00009E550000}"/>
    <cellStyle name="Normal 2 2 4 12 5 9" xfId="21919" xr:uid="{00000000-0005-0000-0000-00009F550000}"/>
    <cellStyle name="Normal 2 2 4 12 6" xfId="21920" xr:uid="{00000000-0005-0000-0000-0000A0550000}"/>
    <cellStyle name="Normal 2 2 4 12 7" xfId="21921" xr:uid="{00000000-0005-0000-0000-0000A1550000}"/>
    <cellStyle name="Normal 2 2 4 12 8" xfId="21922" xr:uid="{00000000-0005-0000-0000-0000A2550000}"/>
    <cellStyle name="Normal 2 2 4 12 9" xfId="21923" xr:uid="{00000000-0005-0000-0000-0000A3550000}"/>
    <cellStyle name="Normal 2 2 4 13" xfId="21924" xr:uid="{00000000-0005-0000-0000-0000A4550000}"/>
    <cellStyle name="Normal 2 2 4 13 10" xfId="21925" xr:uid="{00000000-0005-0000-0000-0000A5550000}"/>
    <cellStyle name="Normal 2 2 4 13 11" xfId="21926" xr:uid="{00000000-0005-0000-0000-0000A6550000}"/>
    <cellStyle name="Normal 2 2 4 13 12" xfId="21927" xr:uid="{00000000-0005-0000-0000-0000A7550000}"/>
    <cellStyle name="Normal 2 2 4 13 13" xfId="21928" xr:uid="{00000000-0005-0000-0000-0000A8550000}"/>
    <cellStyle name="Normal 2 2 4 13 14" xfId="21929" xr:uid="{00000000-0005-0000-0000-0000A9550000}"/>
    <cellStyle name="Normal 2 2 4 13 2" xfId="21930" xr:uid="{00000000-0005-0000-0000-0000AA550000}"/>
    <cellStyle name="Normal 2 2 4 13 2 10" xfId="21931" xr:uid="{00000000-0005-0000-0000-0000AB550000}"/>
    <cellStyle name="Normal 2 2 4 13 2 2" xfId="21932" xr:uid="{00000000-0005-0000-0000-0000AC550000}"/>
    <cellStyle name="Normal 2 2 4 13 2 3" xfId="21933" xr:uid="{00000000-0005-0000-0000-0000AD550000}"/>
    <cellStyle name="Normal 2 2 4 13 2 4" xfId="21934" xr:uid="{00000000-0005-0000-0000-0000AE550000}"/>
    <cellStyle name="Normal 2 2 4 13 2 5" xfId="21935" xr:uid="{00000000-0005-0000-0000-0000AF550000}"/>
    <cellStyle name="Normal 2 2 4 13 2 6" xfId="21936" xr:uid="{00000000-0005-0000-0000-0000B0550000}"/>
    <cellStyle name="Normal 2 2 4 13 2 7" xfId="21937" xr:uid="{00000000-0005-0000-0000-0000B1550000}"/>
    <cellStyle name="Normal 2 2 4 13 2 8" xfId="21938" xr:uid="{00000000-0005-0000-0000-0000B2550000}"/>
    <cellStyle name="Normal 2 2 4 13 2 9" xfId="21939" xr:uid="{00000000-0005-0000-0000-0000B3550000}"/>
    <cellStyle name="Normal 2 2 4 13 3" xfId="21940" xr:uid="{00000000-0005-0000-0000-0000B4550000}"/>
    <cellStyle name="Normal 2 2 4 13 3 10" xfId="21941" xr:uid="{00000000-0005-0000-0000-0000B5550000}"/>
    <cellStyle name="Normal 2 2 4 13 3 2" xfId="21942" xr:uid="{00000000-0005-0000-0000-0000B6550000}"/>
    <cellStyle name="Normal 2 2 4 13 3 3" xfId="21943" xr:uid="{00000000-0005-0000-0000-0000B7550000}"/>
    <cellStyle name="Normal 2 2 4 13 3 4" xfId="21944" xr:uid="{00000000-0005-0000-0000-0000B8550000}"/>
    <cellStyle name="Normal 2 2 4 13 3 5" xfId="21945" xr:uid="{00000000-0005-0000-0000-0000B9550000}"/>
    <cellStyle name="Normal 2 2 4 13 3 6" xfId="21946" xr:uid="{00000000-0005-0000-0000-0000BA550000}"/>
    <cellStyle name="Normal 2 2 4 13 3 7" xfId="21947" xr:uid="{00000000-0005-0000-0000-0000BB550000}"/>
    <cellStyle name="Normal 2 2 4 13 3 8" xfId="21948" xr:uid="{00000000-0005-0000-0000-0000BC550000}"/>
    <cellStyle name="Normal 2 2 4 13 3 9" xfId="21949" xr:uid="{00000000-0005-0000-0000-0000BD550000}"/>
    <cellStyle name="Normal 2 2 4 13 4" xfId="21950" xr:uid="{00000000-0005-0000-0000-0000BE550000}"/>
    <cellStyle name="Normal 2 2 4 13 4 10" xfId="21951" xr:uid="{00000000-0005-0000-0000-0000BF550000}"/>
    <cellStyle name="Normal 2 2 4 13 4 2" xfId="21952" xr:uid="{00000000-0005-0000-0000-0000C0550000}"/>
    <cellStyle name="Normal 2 2 4 13 4 3" xfId="21953" xr:uid="{00000000-0005-0000-0000-0000C1550000}"/>
    <cellStyle name="Normal 2 2 4 13 4 4" xfId="21954" xr:uid="{00000000-0005-0000-0000-0000C2550000}"/>
    <cellStyle name="Normal 2 2 4 13 4 5" xfId="21955" xr:uid="{00000000-0005-0000-0000-0000C3550000}"/>
    <cellStyle name="Normal 2 2 4 13 4 6" xfId="21956" xr:uid="{00000000-0005-0000-0000-0000C4550000}"/>
    <cellStyle name="Normal 2 2 4 13 4 7" xfId="21957" xr:uid="{00000000-0005-0000-0000-0000C5550000}"/>
    <cellStyle name="Normal 2 2 4 13 4 8" xfId="21958" xr:uid="{00000000-0005-0000-0000-0000C6550000}"/>
    <cellStyle name="Normal 2 2 4 13 4 9" xfId="21959" xr:uid="{00000000-0005-0000-0000-0000C7550000}"/>
    <cellStyle name="Normal 2 2 4 13 5" xfId="21960" xr:uid="{00000000-0005-0000-0000-0000C8550000}"/>
    <cellStyle name="Normal 2 2 4 13 5 10" xfId="21961" xr:uid="{00000000-0005-0000-0000-0000C9550000}"/>
    <cellStyle name="Normal 2 2 4 13 5 2" xfId="21962" xr:uid="{00000000-0005-0000-0000-0000CA550000}"/>
    <cellStyle name="Normal 2 2 4 13 5 3" xfId="21963" xr:uid="{00000000-0005-0000-0000-0000CB550000}"/>
    <cellStyle name="Normal 2 2 4 13 5 4" xfId="21964" xr:uid="{00000000-0005-0000-0000-0000CC550000}"/>
    <cellStyle name="Normal 2 2 4 13 5 5" xfId="21965" xr:uid="{00000000-0005-0000-0000-0000CD550000}"/>
    <cellStyle name="Normal 2 2 4 13 5 6" xfId="21966" xr:uid="{00000000-0005-0000-0000-0000CE550000}"/>
    <cellStyle name="Normal 2 2 4 13 5 7" xfId="21967" xr:uid="{00000000-0005-0000-0000-0000CF550000}"/>
    <cellStyle name="Normal 2 2 4 13 5 8" xfId="21968" xr:uid="{00000000-0005-0000-0000-0000D0550000}"/>
    <cellStyle name="Normal 2 2 4 13 5 9" xfId="21969" xr:uid="{00000000-0005-0000-0000-0000D1550000}"/>
    <cellStyle name="Normal 2 2 4 13 6" xfId="21970" xr:uid="{00000000-0005-0000-0000-0000D2550000}"/>
    <cellStyle name="Normal 2 2 4 13 7" xfId="21971" xr:uid="{00000000-0005-0000-0000-0000D3550000}"/>
    <cellStyle name="Normal 2 2 4 13 8" xfId="21972" xr:uid="{00000000-0005-0000-0000-0000D4550000}"/>
    <cellStyle name="Normal 2 2 4 13 9" xfId="21973" xr:uid="{00000000-0005-0000-0000-0000D5550000}"/>
    <cellStyle name="Normal 2 2 4 14" xfId="21974" xr:uid="{00000000-0005-0000-0000-0000D6550000}"/>
    <cellStyle name="Normal 2 2 4 14 10" xfId="21975" xr:uid="{00000000-0005-0000-0000-0000D7550000}"/>
    <cellStyle name="Normal 2 2 4 14 11" xfId="21976" xr:uid="{00000000-0005-0000-0000-0000D8550000}"/>
    <cellStyle name="Normal 2 2 4 14 12" xfId="21977" xr:uid="{00000000-0005-0000-0000-0000D9550000}"/>
    <cellStyle name="Normal 2 2 4 14 13" xfId="21978" xr:uid="{00000000-0005-0000-0000-0000DA550000}"/>
    <cellStyle name="Normal 2 2 4 14 14" xfId="21979" xr:uid="{00000000-0005-0000-0000-0000DB550000}"/>
    <cellStyle name="Normal 2 2 4 14 2" xfId="21980" xr:uid="{00000000-0005-0000-0000-0000DC550000}"/>
    <cellStyle name="Normal 2 2 4 14 2 10" xfId="21981" xr:uid="{00000000-0005-0000-0000-0000DD550000}"/>
    <cellStyle name="Normal 2 2 4 14 2 2" xfId="21982" xr:uid="{00000000-0005-0000-0000-0000DE550000}"/>
    <cellStyle name="Normal 2 2 4 14 2 3" xfId="21983" xr:uid="{00000000-0005-0000-0000-0000DF550000}"/>
    <cellStyle name="Normal 2 2 4 14 2 4" xfId="21984" xr:uid="{00000000-0005-0000-0000-0000E0550000}"/>
    <cellStyle name="Normal 2 2 4 14 2 5" xfId="21985" xr:uid="{00000000-0005-0000-0000-0000E1550000}"/>
    <cellStyle name="Normal 2 2 4 14 2 6" xfId="21986" xr:uid="{00000000-0005-0000-0000-0000E2550000}"/>
    <cellStyle name="Normal 2 2 4 14 2 7" xfId="21987" xr:uid="{00000000-0005-0000-0000-0000E3550000}"/>
    <cellStyle name="Normal 2 2 4 14 2 8" xfId="21988" xr:uid="{00000000-0005-0000-0000-0000E4550000}"/>
    <cellStyle name="Normal 2 2 4 14 2 9" xfId="21989" xr:uid="{00000000-0005-0000-0000-0000E5550000}"/>
    <cellStyle name="Normal 2 2 4 14 3" xfId="21990" xr:uid="{00000000-0005-0000-0000-0000E6550000}"/>
    <cellStyle name="Normal 2 2 4 14 3 10" xfId="21991" xr:uid="{00000000-0005-0000-0000-0000E7550000}"/>
    <cellStyle name="Normal 2 2 4 14 3 2" xfId="21992" xr:uid="{00000000-0005-0000-0000-0000E8550000}"/>
    <cellStyle name="Normal 2 2 4 14 3 3" xfId="21993" xr:uid="{00000000-0005-0000-0000-0000E9550000}"/>
    <cellStyle name="Normal 2 2 4 14 3 4" xfId="21994" xr:uid="{00000000-0005-0000-0000-0000EA550000}"/>
    <cellStyle name="Normal 2 2 4 14 3 5" xfId="21995" xr:uid="{00000000-0005-0000-0000-0000EB550000}"/>
    <cellStyle name="Normal 2 2 4 14 3 6" xfId="21996" xr:uid="{00000000-0005-0000-0000-0000EC550000}"/>
    <cellStyle name="Normal 2 2 4 14 3 7" xfId="21997" xr:uid="{00000000-0005-0000-0000-0000ED550000}"/>
    <cellStyle name="Normal 2 2 4 14 3 8" xfId="21998" xr:uid="{00000000-0005-0000-0000-0000EE550000}"/>
    <cellStyle name="Normal 2 2 4 14 3 9" xfId="21999" xr:uid="{00000000-0005-0000-0000-0000EF550000}"/>
    <cellStyle name="Normal 2 2 4 14 4" xfId="22000" xr:uid="{00000000-0005-0000-0000-0000F0550000}"/>
    <cellStyle name="Normal 2 2 4 14 4 10" xfId="22001" xr:uid="{00000000-0005-0000-0000-0000F1550000}"/>
    <cellStyle name="Normal 2 2 4 14 4 2" xfId="22002" xr:uid="{00000000-0005-0000-0000-0000F2550000}"/>
    <cellStyle name="Normal 2 2 4 14 4 3" xfId="22003" xr:uid="{00000000-0005-0000-0000-0000F3550000}"/>
    <cellStyle name="Normal 2 2 4 14 4 4" xfId="22004" xr:uid="{00000000-0005-0000-0000-0000F4550000}"/>
    <cellStyle name="Normal 2 2 4 14 4 5" xfId="22005" xr:uid="{00000000-0005-0000-0000-0000F5550000}"/>
    <cellStyle name="Normal 2 2 4 14 4 6" xfId="22006" xr:uid="{00000000-0005-0000-0000-0000F6550000}"/>
    <cellStyle name="Normal 2 2 4 14 4 7" xfId="22007" xr:uid="{00000000-0005-0000-0000-0000F7550000}"/>
    <cellStyle name="Normal 2 2 4 14 4 8" xfId="22008" xr:uid="{00000000-0005-0000-0000-0000F8550000}"/>
    <cellStyle name="Normal 2 2 4 14 4 9" xfId="22009" xr:uid="{00000000-0005-0000-0000-0000F9550000}"/>
    <cellStyle name="Normal 2 2 4 14 5" xfId="22010" xr:uid="{00000000-0005-0000-0000-0000FA550000}"/>
    <cellStyle name="Normal 2 2 4 14 5 10" xfId="22011" xr:uid="{00000000-0005-0000-0000-0000FB550000}"/>
    <cellStyle name="Normal 2 2 4 14 5 2" xfId="22012" xr:uid="{00000000-0005-0000-0000-0000FC550000}"/>
    <cellStyle name="Normal 2 2 4 14 5 3" xfId="22013" xr:uid="{00000000-0005-0000-0000-0000FD550000}"/>
    <cellStyle name="Normal 2 2 4 14 5 4" xfId="22014" xr:uid="{00000000-0005-0000-0000-0000FE550000}"/>
    <cellStyle name="Normal 2 2 4 14 5 5" xfId="22015" xr:uid="{00000000-0005-0000-0000-0000FF550000}"/>
    <cellStyle name="Normal 2 2 4 14 5 6" xfId="22016" xr:uid="{00000000-0005-0000-0000-000000560000}"/>
    <cellStyle name="Normal 2 2 4 14 5 7" xfId="22017" xr:uid="{00000000-0005-0000-0000-000001560000}"/>
    <cellStyle name="Normal 2 2 4 14 5 8" xfId="22018" xr:uid="{00000000-0005-0000-0000-000002560000}"/>
    <cellStyle name="Normal 2 2 4 14 5 9" xfId="22019" xr:uid="{00000000-0005-0000-0000-000003560000}"/>
    <cellStyle name="Normal 2 2 4 14 6" xfId="22020" xr:uid="{00000000-0005-0000-0000-000004560000}"/>
    <cellStyle name="Normal 2 2 4 14 7" xfId="22021" xr:uid="{00000000-0005-0000-0000-000005560000}"/>
    <cellStyle name="Normal 2 2 4 14 8" xfId="22022" xr:uid="{00000000-0005-0000-0000-000006560000}"/>
    <cellStyle name="Normal 2 2 4 14 9" xfId="22023" xr:uid="{00000000-0005-0000-0000-000007560000}"/>
    <cellStyle name="Normal 2 2 4 15" xfId="22024" xr:uid="{00000000-0005-0000-0000-000008560000}"/>
    <cellStyle name="Normal 2 2 4 15 10" xfId="22025" xr:uid="{00000000-0005-0000-0000-000009560000}"/>
    <cellStyle name="Normal 2 2 4 15 11" xfId="22026" xr:uid="{00000000-0005-0000-0000-00000A560000}"/>
    <cellStyle name="Normal 2 2 4 15 12" xfId="22027" xr:uid="{00000000-0005-0000-0000-00000B560000}"/>
    <cellStyle name="Normal 2 2 4 15 13" xfId="22028" xr:uid="{00000000-0005-0000-0000-00000C560000}"/>
    <cellStyle name="Normal 2 2 4 15 14" xfId="22029" xr:uid="{00000000-0005-0000-0000-00000D560000}"/>
    <cellStyle name="Normal 2 2 4 15 2" xfId="22030" xr:uid="{00000000-0005-0000-0000-00000E560000}"/>
    <cellStyle name="Normal 2 2 4 15 2 10" xfId="22031" xr:uid="{00000000-0005-0000-0000-00000F560000}"/>
    <cellStyle name="Normal 2 2 4 15 2 2" xfId="22032" xr:uid="{00000000-0005-0000-0000-000010560000}"/>
    <cellStyle name="Normal 2 2 4 15 2 3" xfId="22033" xr:uid="{00000000-0005-0000-0000-000011560000}"/>
    <cellStyle name="Normal 2 2 4 15 2 4" xfId="22034" xr:uid="{00000000-0005-0000-0000-000012560000}"/>
    <cellStyle name="Normal 2 2 4 15 2 5" xfId="22035" xr:uid="{00000000-0005-0000-0000-000013560000}"/>
    <cellStyle name="Normal 2 2 4 15 2 6" xfId="22036" xr:uid="{00000000-0005-0000-0000-000014560000}"/>
    <cellStyle name="Normal 2 2 4 15 2 7" xfId="22037" xr:uid="{00000000-0005-0000-0000-000015560000}"/>
    <cellStyle name="Normal 2 2 4 15 2 8" xfId="22038" xr:uid="{00000000-0005-0000-0000-000016560000}"/>
    <cellStyle name="Normal 2 2 4 15 2 9" xfId="22039" xr:uid="{00000000-0005-0000-0000-000017560000}"/>
    <cellStyle name="Normal 2 2 4 15 3" xfId="22040" xr:uid="{00000000-0005-0000-0000-000018560000}"/>
    <cellStyle name="Normal 2 2 4 15 3 10" xfId="22041" xr:uid="{00000000-0005-0000-0000-000019560000}"/>
    <cellStyle name="Normal 2 2 4 15 3 2" xfId="22042" xr:uid="{00000000-0005-0000-0000-00001A560000}"/>
    <cellStyle name="Normal 2 2 4 15 3 3" xfId="22043" xr:uid="{00000000-0005-0000-0000-00001B560000}"/>
    <cellStyle name="Normal 2 2 4 15 3 4" xfId="22044" xr:uid="{00000000-0005-0000-0000-00001C560000}"/>
    <cellStyle name="Normal 2 2 4 15 3 5" xfId="22045" xr:uid="{00000000-0005-0000-0000-00001D560000}"/>
    <cellStyle name="Normal 2 2 4 15 3 6" xfId="22046" xr:uid="{00000000-0005-0000-0000-00001E560000}"/>
    <cellStyle name="Normal 2 2 4 15 3 7" xfId="22047" xr:uid="{00000000-0005-0000-0000-00001F560000}"/>
    <cellStyle name="Normal 2 2 4 15 3 8" xfId="22048" xr:uid="{00000000-0005-0000-0000-000020560000}"/>
    <cellStyle name="Normal 2 2 4 15 3 9" xfId="22049" xr:uid="{00000000-0005-0000-0000-000021560000}"/>
    <cellStyle name="Normal 2 2 4 15 4" xfId="22050" xr:uid="{00000000-0005-0000-0000-000022560000}"/>
    <cellStyle name="Normal 2 2 4 15 4 10" xfId="22051" xr:uid="{00000000-0005-0000-0000-000023560000}"/>
    <cellStyle name="Normal 2 2 4 15 4 2" xfId="22052" xr:uid="{00000000-0005-0000-0000-000024560000}"/>
    <cellStyle name="Normal 2 2 4 15 4 3" xfId="22053" xr:uid="{00000000-0005-0000-0000-000025560000}"/>
    <cellStyle name="Normal 2 2 4 15 4 4" xfId="22054" xr:uid="{00000000-0005-0000-0000-000026560000}"/>
    <cellStyle name="Normal 2 2 4 15 4 5" xfId="22055" xr:uid="{00000000-0005-0000-0000-000027560000}"/>
    <cellStyle name="Normal 2 2 4 15 4 6" xfId="22056" xr:uid="{00000000-0005-0000-0000-000028560000}"/>
    <cellStyle name="Normal 2 2 4 15 4 7" xfId="22057" xr:uid="{00000000-0005-0000-0000-000029560000}"/>
    <cellStyle name="Normal 2 2 4 15 4 8" xfId="22058" xr:uid="{00000000-0005-0000-0000-00002A560000}"/>
    <cellStyle name="Normal 2 2 4 15 4 9" xfId="22059" xr:uid="{00000000-0005-0000-0000-00002B560000}"/>
    <cellStyle name="Normal 2 2 4 15 5" xfId="22060" xr:uid="{00000000-0005-0000-0000-00002C560000}"/>
    <cellStyle name="Normal 2 2 4 15 5 10" xfId="22061" xr:uid="{00000000-0005-0000-0000-00002D560000}"/>
    <cellStyle name="Normal 2 2 4 15 5 2" xfId="22062" xr:uid="{00000000-0005-0000-0000-00002E560000}"/>
    <cellStyle name="Normal 2 2 4 15 5 3" xfId="22063" xr:uid="{00000000-0005-0000-0000-00002F560000}"/>
    <cellStyle name="Normal 2 2 4 15 5 4" xfId="22064" xr:uid="{00000000-0005-0000-0000-000030560000}"/>
    <cellStyle name="Normal 2 2 4 15 5 5" xfId="22065" xr:uid="{00000000-0005-0000-0000-000031560000}"/>
    <cellStyle name="Normal 2 2 4 15 5 6" xfId="22066" xr:uid="{00000000-0005-0000-0000-000032560000}"/>
    <cellStyle name="Normal 2 2 4 15 5 7" xfId="22067" xr:uid="{00000000-0005-0000-0000-000033560000}"/>
    <cellStyle name="Normal 2 2 4 15 5 8" xfId="22068" xr:uid="{00000000-0005-0000-0000-000034560000}"/>
    <cellStyle name="Normal 2 2 4 15 5 9" xfId="22069" xr:uid="{00000000-0005-0000-0000-000035560000}"/>
    <cellStyle name="Normal 2 2 4 15 6" xfId="22070" xr:uid="{00000000-0005-0000-0000-000036560000}"/>
    <cellStyle name="Normal 2 2 4 15 7" xfId="22071" xr:uid="{00000000-0005-0000-0000-000037560000}"/>
    <cellStyle name="Normal 2 2 4 15 8" xfId="22072" xr:uid="{00000000-0005-0000-0000-000038560000}"/>
    <cellStyle name="Normal 2 2 4 15 9" xfId="22073" xr:uid="{00000000-0005-0000-0000-000039560000}"/>
    <cellStyle name="Normal 2 2 4 16" xfId="22074" xr:uid="{00000000-0005-0000-0000-00003A560000}"/>
    <cellStyle name="Normal 2 2 4 16 10" xfId="22075" xr:uid="{00000000-0005-0000-0000-00003B560000}"/>
    <cellStyle name="Normal 2 2 4 16 11" xfId="22076" xr:uid="{00000000-0005-0000-0000-00003C560000}"/>
    <cellStyle name="Normal 2 2 4 16 12" xfId="22077" xr:uid="{00000000-0005-0000-0000-00003D560000}"/>
    <cellStyle name="Normal 2 2 4 16 13" xfId="22078" xr:uid="{00000000-0005-0000-0000-00003E560000}"/>
    <cellStyle name="Normal 2 2 4 16 14" xfId="22079" xr:uid="{00000000-0005-0000-0000-00003F560000}"/>
    <cellStyle name="Normal 2 2 4 16 2" xfId="22080" xr:uid="{00000000-0005-0000-0000-000040560000}"/>
    <cellStyle name="Normal 2 2 4 16 2 10" xfId="22081" xr:uid="{00000000-0005-0000-0000-000041560000}"/>
    <cellStyle name="Normal 2 2 4 16 2 2" xfId="22082" xr:uid="{00000000-0005-0000-0000-000042560000}"/>
    <cellStyle name="Normal 2 2 4 16 2 3" xfId="22083" xr:uid="{00000000-0005-0000-0000-000043560000}"/>
    <cellStyle name="Normal 2 2 4 16 2 4" xfId="22084" xr:uid="{00000000-0005-0000-0000-000044560000}"/>
    <cellStyle name="Normal 2 2 4 16 2 5" xfId="22085" xr:uid="{00000000-0005-0000-0000-000045560000}"/>
    <cellStyle name="Normal 2 2 4 16 2 6" xfId="22086" xr:uid="{00000000-0005-0000-0000-000046560000}"/>
    <cellStyle name="Normal 2 2 4 16 2 7" xfId="22087" xr:uid="{00000000-0005-0000-0000-000047560000}"/>
    <cellStyle name="Normal 2 2 4 16 2 8" xfId="22088" xr:uid="{00000000-0005-0000-0000-000048560000}"/>
    <cellStyle name="Normal 2 2 4 16 2 9" xfId="22089" xr:uid="{00000000-0005-0000-0000-000049560000}"/>
    <cellStyle name="Normal 2 2 4 16 3" xfId="22090" xr:uid="{00000000-0005-0000-0000-00004A560000}"/>
    <cellStyle name="Normal 2 2 4 16 3 10" xfId="22091" xr:uid="{00000000-0005-0000-0000-00004B560000}"/>
    <cellStyle name="Normal 2 2 4 16 3 2" xfId="22092" xr:uid="{00000000-0005-0000-0000-00004C560000}"/>
    <cellStyle name="Normal 2 2 4 16 3 3" xfId="22093" xr:uid="{00000000-0005-0000-0000-00004D560000}"/>
    <cellStyle name="Normal 2 2 4 16 3 4" xfId="22094" xr:uid="{00000000-0005-0000-0000-00004E560000}"/>
    <cellStyle name="Normal 2 2 4 16 3 5" xfId="22095" xr:uid="{00000000-0005-0000-0000-00004F560000}"/>
    <cellStyle name="Normal 2 2 4 16 3 6" xfId="22096" xr:uid="{00000000-0005-0000-0000-000050560000}"/>
    <cellStyle name="Normal 2 2 4 16 3 7" xfId="22097" xr:uid="{00000000-0005-0000-0000-000051560000}"/>
    <cellStyle name="Normal 2 2 4 16 3 8" xfId="22098" xr:uid="{00000000-0005-0000-0000-000052560000}"/>
    <cellStyle name="Normal 2 2 4 16 3 9" xfId="22099" xr:uid="{00000000-0005-0000-0000-000053560000}"/>
    <cellStyle name="Normal 2 2 4 16 4" xfId="22100" xr:uid="{00000000-0005-0000-0000-000054560000}"/>
    <cellStyle name="Normal 2 2 4 16 4 10" xfId="22101" xr:uid="{00000000-0005-0000-0000-000055560000}"/>
    <cellStyle name="Normal 2 2 4 16 4 2" xfId="22102" xr:uid="{00000000-0005-0000-0000-000056560000}"/>
    <cellStyle name="Normal 2 2 4 16 4 3" xfId="22103" xr:uid="{00000000-0005-0000-0000-000057560000}"/>
    <cellStyle name="Normal 2 2 4 16 4 4" xfId="22104" xr:uid="{00000000-0005-0000-0000-000058560000}"/>
    <cellStyle name="Normal 2 2 4 16 4 5" xfId="22105" xr:uid="{00000000-0005-0000-0000-000059560000}"/>
    <cellStyle name="Normal 2 2 4 16 4 6" xfId="22106" xr:uid="{00000000-0005-0000-0000-00005A560000}"/>
    <cellStyle name="Normal 2 2 4 16 4 7" xfId="22107" xr:uid="{00000000-0005-0000-0000-00005B560000}"/>
    <cellStyle name="Normal 2 2 4 16 4 8" xfId="22108" xr:uid="{00000000-0005-0000-0000-00005C560000}"/>
    <cellStyle name="Normal 2 2 4 16 4 9" xfId="22109" xr:uid="{00000000-0005-0000-0000-00005D560000}"/>
    <cellStyle name="Normal 2 2 4 16 5" xfId="22110" xr:uid="{00000000-0005-0000-0000-00005E560000}"/>
    <cellStyle name="Normal 2 2 4 16 5 10" xfId="22111" xr:uid="{00000000-0005-0000-0000-00005F560000}"/>
    <cellStyle name="Normal 2 2 4 16 5 2" xfId="22112" xr:uid="{00000000-0005-0000-0000-000060560000}"/>
    <cellStyle name="Normal 2 2 4 16 5 3" xfId="22113" xr:uid="{00000000-0005-0000-0000-000061560000}"/>
    <cellStyle name="Normal 2 2 4 16 5 4" xfId="22114" xr:uid="{00000000-0005-0000-0000-000062560000}"/>
    <cellStyle name="Normal 2 2 4 16 5 5" xfId="22115" xr:uid="{00000000-0005-0000-0000-000063560000}"/>
    <cellStyle name="Normal 2 2 4 16 5 6" xfId="22116" xr:uid="{00000000-0005-0000-0000-000064560000}"/>
    <cellStyle name="Normal 2 2 4 16 5 7" xfId="22117" xr:uid="{00000000-0005-0000-0000-000065560000}"/>
    <cellStyle name="Normal 2 2 4 16 5 8" xfId="22118" xr:uid="{00000000-0005-0000-0000-000066560000}"/>
    <cellStyle name="Normal 2 2 4 16 5 9" xfId="22119" xr:uid="{00000000-0005-0000-0000-000067560000}"/>
    <cellStyle name="Normal 2 2 4 16 6" xfId="22120" xr:uid="{00000000-0005-0000-0000-000068560000}"/>
    <cellStyle name="Normal 2 2 4 16 7" xfId="22121" xr:uid="{00000000-0005-0000-0000-000069560000}"/>
    <cellStyle name="Normal 2 2 4 16 8" xfId="22122" xr:uid="{00000000-0005-0000-0000-00006A560000}"/>
    <cellStyle name="Normal 2 2 4 16 9" xfId="22123" xr:uid="{00000000-0005-0000-0000-00006B560000}"/>
    <cellStyle name="Normal 2 2 4 17" xfId="22124" xr:uid="{00000000-0005-0000-0000-00006C560000}"/>
    <cellStyle name="Normal 2 2 4 17 10" xfId="22125" xr:uid="{00000000-0005-0000-0000-00006D560000}"/>
    <cellStyle name="Normal 2 2 4 17 11" xfId="22126" xr:uid="{00000000-0005-0000-0000-00006E560000}"/>
    <cellStyle name="Normal 2 2 4 17 12" xfId="22127" xr:uid="{00000000-0005-0000-0000-00006F560000}"/>
    <cellStyle name="Normal 2 2 4 17 13" xfId="22128" xr:uid="{00000000-0005-0000-0000-000070560000}"/>
    <cellStyle name="Normal 2 2 4 17 14" xfId="22129" xr:uid="{00000000-0005-0000-0000-000071560000}"/>
    <cellStyle name="Normal 2 2 4 17 2" xfId="22130" xr:uid="{00000000-0005-0000-0000-000072560000}"/>
    <cellStyle name="Normal 2 2 4 17 2 10" xfId="22131" xr:uid="{00000000-0005-0000-0000-000073560000}"/>
    <cellStyle name="Normal 2 2 4 17 2 2" xfId="22132" xr:uid="{00000000-0005-0000-0000-000074560000}"/>
    <cellStyle name="Normal 2 2 4 17 2 3" xfId="22133" xr:uid="{00000000-0005-0000-0000-000075560000}"/>
    <cellStyle name="Normal 2 2 4 17 2 4" xfId="22134" xr:uid="{00000000-0005-0000-0000-000076560000}"/>
    <cellStyle name="Normal 2 2 4 17 2 5" xfId="22135" xr:uid="{00000000-0005-0000-0000-000077560000}"/>
    <cellStyle name="Normal 2 2 4 17 2 6" xfId="22136" xr:uid="{00000000-0005-0000-0000-000078560000}"/>
    <cellStyle name="Normal 2 2 4 17 2 7" xfId="22137" xr:uid="{00000000-0005-0000-0000-000079560000}"/>
    <cellStyle name="Normal 2 2 4 17 2 8" xfId="22138" xr:uid="{00000000-0005-0000-0000-00007A560000}"/>
    <cellStyle name="Normal 2 2 4 17 2 9" xfId="22139" xr:uid="{00000000-0005-0000-0000-00007B560000}"/>
    <cellStyle name="Normal 2 2 4 17 3" xfId="22140" xr:uid="{00000000-0005-0000-0000-00007C560000}"/>
    <cellStyle name="Normal 2 2 4 17 3 10" xfId="22141" xr:uid="{00000000-0005-0000-0000-00007D560000}"/>
    <cellStyle name="Normal 2 2 4 17 3 2" xfId="22142" xr:uid="{00000000-0005-0000-0000-00007E560000}"/>
    <cellStyle name="Normal 2 2 4 17 3 3" xfId="22143" xr:uid="{00000000-0005-0000-0000-00007F560000}"/>
    <cellStyle name="Normal 2 2 4 17 3 4" xfId="22144" xr:uid="{00000000-0005-0000-0000-000080560000}"/>
    <cellStyle name="Normal 2 2 4 17 3 5" xfId="22145" xr:uid="{00000000-0005-0000-0000-000081560000}"/>
    <cellStyle name="Normal 2 2 4 17 3 6" xfId="22146" xr:uid="{00000000-0005-0000-0000-000082560000}"/>
    <cellStyle name="Normal 2 2 4 17 3 7" xfId="22147" xr:uid="{00000000-0005-0000-0000-000083560000}"/>
    <cellStyle name="Normal 2 2 4 17 3 8" xfId="22148" xr:uid="{00000000-0005-0000-0000-000084560000}"/>
    <cellStyle name="Normal 2 2 4 17 3 9" xfId="22149" xr:uid="{00000000-0005-0000-0000-000085560000}"/>
    <cellStyle name="Normal 2 2 4 17 4" xfId="22150" xr:uid="{00000000-0005-0000-0000-000086560000}"/>
    <cellStyle name="Normal 2 2 4 17 4 10" xfId="22151" xr:uid="{00000000-0005-0000-0000-000087560000}"/>
    <cellStyle name="Normal 2 2 4 17 4 2" xfId="22152" xr:uid="{00000000-0005-0000-0000-000088560000}"/>
    <cellStyle name="Normal 2 2 4 17 4 3" xfId="22153" xr:uid="{00000000-0005-0000-0000-000089560000}"/>
    <cellStyle name="Normal 2 2 4 17 4 4" xfId="22154" xr:uid="{00000000-0005-0000-0000-00008A560000}"/>
    <cellStyle name="Normal 2 2 4 17 4 5" xfId="22155" xr:uid="{00000000-0005-0000-0000-00008B560000}"/>
    <cellStyle name="Normal 2 2 4 17 4 6" xfId="22156" xr:uid="{00000000-0005-0000-0000-00008C560000}"/>
    <cellStyle name="Normal 2 2 4 17 4 7" xfId="22157" xr:uid="{00000000-0005-0000-0000-00008D560000}"/>
    <cellStyle name="Normal 2 2 4 17 4 8" xfId="22158" xr:uid="{00000000-0005-0000-0000-00008E560000}"/>
    <cellStyle name="Normal 2 2 4 17 4 9" xfId="22159" xr:uid="{00000000-0005-0000-0000-00008F560000}"/>
    <cellStyle name="Normal 2 2 4 17 5" xfId="22160" xr:uid="{00000000-0005-0000-0000-000090560000}"/>
    <cellStyle name="Normal 2 2 4 17 5 10" xfId="22161" xr:uid="{00000000-0005-0000-0000-000091560000}"/>
    <cellStyle name="Normal 2 2 4 17 5 2" xfId="22162" xr:uid="{00000000-0005-0000-0000-000092560000}"/>
    <cellStyle name="Normal 2 2 4 17 5 3" xfId="22163" xr:uid="{00000000-0005-0000-0000-000093560000}"/>
    <cellStyle name="Normal 2 2 4 17 5 4" xfId="22164" xr:uid="{00000000-0005-0000-0000-000094560000}"/>
    <cellStyle name="Normal 2 2 4 17 5 5" xfId="22165" xr:uid="{00000000-0005-0000-0000-000095560000}"/>
    <cellStyle name="Normal 2 2 4 17 5 6" xfId="22166" xr:uid="{00000000-0005-0000-0000-000096560000}"/>
    <cellStyle name="Normal 2 2 4 17 5 7" xfId="22167" xr:uid="{00000000-0005-0000-0000-000097560000}"/>
    <cellStyle name="Normal 2 2 4 17 5 8" xfId="22168" xr:uid="{00000000-0005-0000-0000-000098560000}"/>
    <cellStyle name="Normal 2 2 4 17 5 9" xfId="22169" xr:uid="{00000000-0005-0000-0000-000099560000}"/>
    <cellStyle name="Normal 2 2 4 17 6" xfId="22170" xr:uid="{00000000-0005-0000-0000-00009A560000}"/>
    <cellStyle name="Normal 2 2 4 17 7" xfId="22171" xr:uid="{00000000-0005-0000-0000-00009B560000}"/>
    <cellStyle name="Normal 2 2 4 17 8" xfId="22172" xr:uid="{00000000-0005-0000-0000-00009C560000}"/>
    <cellStyle name="Normal 2 2 4 17 9" xfId="22173" xr:uid="{00000000-0005-0000-0000-00009D560000}"/>
    <cellStyle name="Normal 2 2 4 18" xfId="22174" xr:uid="{00000000-0005-0000-0000-00009E560000}"/>
    <cellStyle name="Normal 2 2 4 18 10" xfId="22175" xr:uid="{00000000-0005-0000-0000-00009F560000}"/>
    <cellStyle name="Normal 2 2 4 18 11" xfId="22176" xr:uid="{00000000-0005-0000-0000-0000A0560000}"/>
    <cellStyle name="Normal 2 2 4 18 12" xfId="22177" xr:uid="{00000000-0005-0000-0000-0000A1560000}"/>
    <cellStyle name="Normal 2 2 4 18 13" xfId="22178" xr:uid="{00000000-0005-0000-0000-0000A2560000}"/>
    <cellStyle name="Normal 2 2 4 18 14" xfId="22179" xr:uid="{00000000-0005-0000-0000-0000A3560000}"/>
    <cellStyle name="Normal 2 2 4 18 2" xfId="22180" xr:uid="{00000000-0005-0000-0000-0000A4560000}"/>
    <cellStyle name="Normal 2 2 4 18 2 10" xfId="22181" xr:uid="{00000000-0005-0000-0000-0000A5560000}"/>
    <cellStyle name="Normal 2 2 4 18 2 2" xfId="22182" xr:uid="{00000000-0005-0000-0000-0000A6560000}"/>
    <cellStyle name="Normal 2 2 4 18 2 3" xfId="22183" xr:uid="{00000000-0005-0000-0000-0000A7560000}"/>
    <cellStyle name="Normal 2 2 4 18 2 4" xfId="22184" xr:uid="{00000000-0005-0000-0000-0000A8560000}"/>
    <cellStyle name="Normal 2 2 4 18 2 5" xfId="22185" xr:uid="{00000000-0005-0000-0000-0000A9560000}"/>
    <cellStyle name="Normal 2 2 4 18 2 6" xfId="22186" xr:uid="{00000000-0005-0000-0000-0000AA560000}"/>
    <cellStyle name="Normal 2 2 4 18 2 7" xfId="22187" xr:uid="{00000000-0005-0000-0000-0000AB560000}"/>
    <cellStyle name="Normal 2 2 4 18 2 8" xfId="22188" xr:uid="{00000000-0005-0000-0000-0000AC560000}"/>
    <cellStyle name="Normal 2 2 4 18 2 9" xfId="22189" xr:uid="{00000000-0005-0000-0000-0000AD560000}"/>
    <cellStyle name="Normal 2 2 4 18 3" xfId="22190" xr:uid="{00000000-0005-0000-0000-0000AE560000}"/>
    <cellStyle name="Normal 2 2 4 18 3 10" xfId="22191" xr:uid="{00000000-0005-0000-0000-0000AF560000}"/>
    <cellStyle name="Normal 2 2 4 18 3 2" xfId="22192" xr:uid="{00000000-0005-0000-0000-0000B0560000}"/>
    <cellStyle name="Normal 2 2 4 18 3 3" xfId="22193" xr:uid="{00000000-0005-0000-0000-0000B1560000}"/>
    <cellStyle name="Normal 2 2 4 18 3 4" xfId="22194" xr:uid="{00000000-0005-0000-0000-0000B2560000}"/>
    <cellStyle name="Normal 2 2 4 18 3 5" xfId="22195" xr:uid="{00000000-0005-0000-0000-0000B3560000}"/>
    <cellStyle name="Normal 2 2 4 18 3 6" xfId="22196" xr:uid="{00000000-0005-0000-0000-0000B4560000}"/>
    <cellStyle name="Normal 2 2 4 18 3 7" xfId="22197" xr:uid="{00000000-0005-0000-0000-0000B5560000}"/>
    <cellStyle name="Normal 2 2 4 18 3 8" xfId="22198" xr:uid="{00000000-0005-0000-0000-0000B6560000}"/>
    <cellStyle name="Normal 2 2 4 18 3 9" xfId="22199" xr:uid="{00000000-0005-0000-0000-0000B7560000}"/>
    <cellStyle name="Normal 2 2 4 18 4" xfId="22200" xr:uid="{00000000-0005-0000-0000-0000B8560000}"/>
    <cellStyle name="Normal 2 2 4 18 4 10" xfId="22201" xr:uid="{00000000-0005-0000-0000-0000B9560000}"/>
    <cellStyle name="Normal 2 2 4 18 4 2" xfId="22202" xr:uid="{00000000-0005-0000-0000-0000BA560000}"/>
    <cellStyle name="Normal 2 2 4 18 4 3" xfId="22203" xr:uid="{00000000-0005-0000-0000-0000BB560000}"/>
    <cellStyle name="Normal 2 2 4 18 4 4" xfId="22204" xr:uid="{00000000-0005-0000-0000-0000BC560000}"/>
    <cellStyle name="Normal 2 2 4 18 4 5" xfId="22205" xr:uid="{00000000-0005-0000-0000-0000BD560000}"/>
    <cellStyle name="Normal 2 2 4 18 4 6" xfId="22206" xr:uid="{00000000-0005-0000-0000-0000BE560000}"/>
    <cellStyle name="Normal 2 2 4 18 4 7" xfId="22207" xr:uid="{00000000-0005-0000-0000-0000BF560000}"/>
    <cellStyle name="Normal 2 2 4 18 4 8" xfId="22208" xr:uid="{00000000-0005-0000-0000-0000C0560000}"/>
    <cellStyle name="Normal 2 2 4 18 4 9" xfId="22209" xr:uid="{00000000-0005-0000-0000-0000C1560000}"/>
    <cellStyle name="Normal 2 2 4 18 5" xfId="22210" xr:uid="{00000000-0005-0000-0000-0000C2560000}"/>
    <cellStyle name="Normal 2 2 4 18 5 10" xfId="22211" xr:uid="{00000000-0005-0000-0000-0000C3560000}"/>
    <cellStyle name="Normal 2 2 4 18 5 2" xfId="22212" xr:uid="{00000000-0005-0000-0000-0000C4560000}"/>
    <cellStyle name="Normal 2 2 4 18 5 3" xfId="22213" xr:uid="{00000000-0005-0000-0000-0000C5560000}"/>
    <cellStyle name="Normal 2 2 4 18 5 4" xfId="22214" xr:uid="{00000000-0005-0000-0000-0000C6560000}"/>
    <cellStyle name="Normal 2 2 4 18 5 5" xfId="22215" xr:uid="{00000000-0005-0000-0000-0000C7560000}"/>
    <cellStyle name="Normal 2 2 4 18 5 6" xfId="22216" xr:uid="{00000000-0005-0000-0000-0000C8560000}"/>
    <cellStyle name="Normal 2 2 4 18 5 7" xfId="22217" xr:uid="{00000000-0005-0000-0000-0000C9560000}"/>
    <cellStyle name="Normal 2 2 4 18 5 8" xfId="22218" xr:uid="{00000000-0005-0000-0000-0000CA560000}"/>
    <cellStyle name="Normal 2 2 4 18 5 9" xfId="22219" xr:uid="{00000000-0005-0000-0000-0000CB560000}"/>
    <cellStyle name="Normal 2 2 4 18 6" xfId="22220" xr:uid="{00000000-0005-0000-0000-0000CC560000}"/>
    <cellStyle name="Normal 2 2 4 18 7" xfId="22221" xr:uid="{00000000-0005-0000-0000-0000CD560000}"/>
    <cellStyle name="Normal 2 2 4 18 8" xfId="22222" xr:uid="{00000000-0005-0000-0000-0000CE560000}"/>
    <cellStyle name="Normal 2 2 4 18 9" xfId="22223" xr:uid="{00000000-0005-0000-0000-0000CF560000}"/>
    <cellStyle name="Normal 2 2 4 19" xfId="22224" xr:uid="{00000000-0005-0000-0000-0000D0560000}"/>
    <cellStyle name="Normal 2 2 4 19 10" xfId="22225" xr:uid="{00000000-0005-0000-0000-0000D1560000}"/>
    <cellStyle name="Normal 2 2 4 19 11" xfId="22226" xr:uid="{00000000-0005-0000-0000-0000D2560000}"/>
    <cellStyle name="Normal 2 2 4 19 12" xfId="22227" xr:uid="{00000000-0005-0000-0000-0000D3560000}"/>
    <cellStyle name="Normal 2 2 4 19 13" xfId="22228" xr:uid="{00000000-0005-0000-0000-0000D4560000}"/>
    <cellStyle name="Normal 2 2 4 19 14" xfId="22229" xr:uid="{00000000-0005-0000-0000-0000D5560000}"/>
    <cellStyle name="Normal 2 2 4 19 2" xfId="22230" xr:uid="{00000000-0005-0000-0000-0000D6560000}"/>
    <cellStyle name="Normal 2 2 4 19 2 10" xfId="22231" xr:uid="{00000000-0005-0000-0000-0000D7560000}"/>
    <cellStyle name="Normal 2 2 4 19 2 2" xfId="22232" xr:uid="{00000000-0005-0000-0000-0000D8560000}"/>
    <cellStyle name="Normal 2 2 4 19 2 3" xfId="22233" xr:uid="{00000000-0005-0000-0000-0000D9560000}"/>
    <cellStyle name="Normal 2 2 4 19 2 4" xfId="22234" xr:uid="{00000000-0005-0000-0000-0000DA560000}"/>
    <cellStyle name="Normal 2 2 4 19 2 5" xfId="22235" xr:uid="{00000000-0005-0000-0000-0000DB560000}"/>
    <cellStyle name="Normal 2 2 4 19 2 6" xfId="22236" xr:uid="{00000000-0005-0000-0000-0000DC560000}"/>
    <cellStyle name="Normal 2 2 4 19 2 7" xfId="22237" xr:uid="{00000000-0005-0000-0000-0000DD560000}"/>
    <cellStyle name="Normal 2 2 4 19 2 8" xfId="22238" xr:uid="{00000000-0005-0000-0000-0000DE560000}"/>
    <cellStyle name="Normal 2 2 4 19 2 9" xfId="22239" xr:uid="{00000000-0005-0000-0000-0000DF560000}"/>
    <cellStyle name="Normal 2 2 4 19 3" xfId="22240" xr:uid="{00000000-0005-0000-0000-0000E0560000}"/>
    <cellStyle name="Normal 2 2 4 19 3 10" xfId="22241" xr:uid="{00000000-0005-0000-0000-0000E1560000}"/>
    <cellStyle name="Normal 2 2 4 19 3 2" xfId="22242" xr:uid="{00000000-0005-0000-0000-0000E2560000}"/>
    <cellStyle name="Normal 2 2 4 19 3 3" xfId="22243" xr:uid="{00000000-0005-0000-0000-0000E3560000}"/>
    <cellStyle name="Normal 2 2 4 19 3 4" xfId="22244" xr:uid="{00000000-0005-0000-0000-0000E4560000}"/>
    <cellStyle name="Normal 2 2 4 19 3 5" xfId="22245" xr:uid="{00000000-0005-0000-0000-0000E5560000}"/>
    <cellStyle name="Normal 2 2 4 19 3 6" xfId="22246" xr:uid="{00000000-0005-0000-0000-0000E6560000}"/>
    <cellStyle name="Normal 2 2 4 19 3 7" xfId="22247" xr:uid="{00000000-0005-0000-0000-0000E7560000}"/>
    <cellStyle name="Normal 2 2 4 19 3 8" xfId="22248" xr:uid="{00000000-0005-0000-0000-0000E8560000}"/>
    <cellStyle name="Normal 2 2 4 19 3 9" xfId="22249" xr:uid="{00000000-0005-0000-0000-0000E9560000}"/>
    <cellStyle name="Normal 2 2 4 19 4" xfId="22250" xr:uid="{00000000-0005-0000-0000-0000EA560000}"/>
    <cellStyle name="Normal 2 2 4 19 4 10" xfId="22251" xr:uid="{00000000-0005-0000-0000-0000EB560000}"/>
    <cellStyle name="Normal 2 2 4 19 4 2" xfId="22252" xr:uid="{00000000-0005-0000-0000-0000EC560000}"/>
    <cellStyle name="Normal 2 2 4 19 4 3" xfId="22253" xr:uid="{00000000-0005-0000-0000-0000ED560000}"/>
    <cellStyle name="Normal 2 2 4 19 4 4" xfId="22254" xr:uid="{00000000-0005-0000-0000-0000EE560000}"/>
    <cellStyle name="Normal 2 2 4 19 4 5" xfId="22255" xr:uid="{00000000-0005-0000-0000-0000EF560000}"/>
    <cellStyle name="Normal 2 2 4 19 4 6" xfId="22256" xr:uid="{00000000-0005-0000-0000-0000F0560000}"/>
    <cellStyle name="Normal 2 2 4 19 4 7" xfId="22257" xr:uid="{00000000-0005-0000-0000-0000F1560000}"/>
    <cellStyle name="Normal 2 2 4 19 4 8" xfId="22258" xr:uid="{00000000-0005-0000-0000-0000F2560000}"/>
    <cellStyle name="Normal 2 2 4 19 4 9" xfId="22259" xr:uid="{00000000-0005-0000-0000-0000F3560000}"/>
    <cellStyle name="Normal 2 2 4 19 5" xfId="22260" xr:uid="{00000000-0005-0000-0000-0000F4560000}"/>
    <cellStyle name="Normal 2 2 4 19 5 10" xfId="22261" xr:uid="{00000000-0005-0000-0000-0000F5560000}"/>
    <cellStyle name="Normal 2 2 4 19 5 2" xfId="22262" xr:uid="{00000000-0005-0000-0000-0000F6560000}"/>
    <cellStyle name="Normal 2 2 4 19 5 3" xfId="22263" xr:uid="{00000000-0005-0000-0000-0000F7560000}"/>
    <cellStyle name="Normal 2 2 4 19 5 4" xfId="22264" xr:uid="{00000000-0005-0000-0000-0000F8560000}"/>
    <cellStyle name="Normal 2 2 4 19 5 5" xfId="22265" xr:uid="{00000000-0005-0000-0000-0000F9560000}"/>
    <cellStyle name="Normal 2 2 4 19 5 6" xfId="22266" xr:uid="{00000000-0005-0000-0000-0000FA560000}"/>
    <cellStyle name="Normal 2 2 4 19 5 7" xfId="22267" xr:uid="{00000000-0005-0000-0000-0000FB560000}"/>
    <cellStyle name="Normal 2 2 4 19 5 8" xfId="22268" xr:uid="{00000000-0005-0000-0000-0000FC560000}"/>
    <cellStyle name="Normal 2 2 4 19 5 9" xfId="22269" xr:uid="{00000000-0005-0000-0000-0000FD560000}"/>
    <cellStyle name="Normal 2 2 4 19 6" xfId="22270" xr:uid="{00000000-0005-0000-0000-0000FE560000}"/>
    <cellStyle name="Normal 2 2 4 19 7" xfId="22271" xr:uid="{00000000-0005-0000-0000-0000FF560000}"/>
    <cellStyle name="Normal 2 2 4 19 8" xfId="22272" xr:uid="{00000000-0005-0000-0000-000000570000}"/>
    <cellStyle name="Normal 2 2 4 19 9" xfId="22273" xr:uid="{00000000-0005-0000-0000-000001570000}"/>
    <cellStyle name="Normal 2 2 4 2" xfId="53" xr:uid="{00000000-0005-0000-0000-000035000000}"/>
    <cellStyle name="Normal 2 2 4 2 10" xfId="22275" xr:uid="{00000000-0005-0000-0000-000003570000}"/>
    <cellStyle name="Normal 2 2 4 2 11" xfId="22276" xr:uid="{00000000-0005-0000-0000-000004570000}"/>
    <cellStyle name="Normal 2 2 4 2 12" xfId="22277" xr:uid="{00000000-0005-0000-0000-000005570000}"/>
    <cellStyle name="Normal 2 2 4 2 13" xfId="22278" xr:uid="{00000000-0005-0000-0000-000006570000}"/>
    <cellStyle name="Normal 2 2 4 2 14" xfId="22279" xr:uid="{00000000-0005-0000-0000-000007570000}"/>
    <cellStyle name="Normal 2 2 4 2 15" xfId="22280" xr:uid="{00000000-0005-0000-0000-000008570000}"/>
    <cellStyle name="Normal 2 2 4 2 16" xfId="22281" xr:uid="{00000000-0005-0000-0000-000009570000}"/>
    <cellStyle name="Normal 2 2 4 2 17" xfId="22282" xr:uid="{00000000-0005-0000-0000-00000A570000}"/>
    <cellStyle name="Normal 2 2 4 2 18" xfId="22283" xr:uid="{00000000-0005-0000-0000-00000B570000}"/>
    <cellStyle name="Normal 2 2 4 2 19" xfId="22284" xr:uid="{00000000-0005-0000-0000-00000C570000}"/>
    <cellStyle name="Normal 2 2 4 2 2" xfId="22285" xr:uid="{00000000-0005-0000-0000-00000D570000}"/>
    <cellStyle name="Normal 2 2 4 2 2 10" xfId="22286" xr:uid="{00000000-0005-0000-0000-00000E570000}"/>
    <cellStyle name="Normal 2 2 4 2 2 10 10" xfId="22287" xr:uid="{00000000-0005-0000-0000-00000F570000}"/>
    <cellStyle name="Normal 2 2 4 2 2 10 11" xfId="22288" xr:uid="{00000000-0005-0000-0000-000010570000}"/>
    <cellStyle name="Normal 2 2 4 2 2 10 12" xfId="22289" xr:uid="{00000000-0005-0000-0000-000011570000}"/>
    <cellStyle name="Normal 2 2 4 2 2 10 13" xfId="22290" xr:uid="{00000000-0005-0000-0000-000012570000}"/>
    <cellStyle name="Normal 2 2 4 2 2 10 14" xfId="22291" xr:uid="{00000000-0005-0000-0000-000013570000}"/>
    <cellStyle name="Normal 2 2 4 2 2 10 2" xfId="22292" xr:uid="{00000000-0005-0000-0000-000014570000}"/>
    <cellStyle name="Normal 2 2 4 2 2 10 2 10" xfId="22293" xr:uid="{00000000-0005-0000-0000-000015570000}"/>
    <cellStyle name="Normal 2 2 4 2 2 10 2 2" xfId="22294" xr:uid="{00000000-0005-0000-0000-000016570000}"/>
    <cellStyle name="Normal 2 2 4 2 2 10 2 3" xfId="22295" xr:uid="{00000000-0005-0000-0000-000017570000}"/>
    <cellStyle name="Normal 2 2 4 2 2 10 2 4" xfId="22296" xr:uid="{00000000-0005-0000-0000-000018570000}"/>
    <cellStyle name="Normal 2 2 4 2 2 10 2 5" xfId="22297" xr:uid="{00000000-0005-0000-0000-000019570000}"/>
    <cellStyle name="Normal 2 2 4 2 2 10 2 6" xfId="22298" xr:uid="{00000000-0005-0000-0000-00001A570000}"/>
    <cellStyle name="Normal 2 2 4 2 2 10 2 7" xfId="22299" xr:uid="{00000000-0005-0000-0000-00001B570000}"/>
    <cellStyle name="Normal 2 2 4 2 2 10 2 8" xfId="22300" xr:uid="{00000000-0005-0000-0000-00001C570000}"/>
    <cellStyle name="Normal 2 2 4 2 2 10 2 9" xfId="22301" xr:uid="{00000000-0005-0000-0000-00001D570000}"/>
    <cellStyle name="Normal 2 2 4 2 2 10 3" xfId="22302" xr:uid="{00000000-0005-0000-0000-00001E570000}"/>
    <cellStyle name="Normal 2 2 4 2 2 10 3 10" xfId="22303" xr:uid="{00000000-0005-0000-0000-00001F570000}"/>
    <cellStyle name="Normal 2 2 4 2 2 10 3 2" xfId="22304" xr:uid="{00000000-0005-0000-0000-000020570000}"/>
    <cellStyle name="Normal 2 2 4 2 2 10 3 3" xfId="22305" xr:uid="{00000000-0005-0000-0000-000021570000}"/>
    <cellStyle name="Normal 2 2 4 2 2 10 3 4" xfId="22306" xr:uid="{00000000-0005-0000-0000-000022570000}"/>
    <cellStyle name="Normal 2 2 4 2 2 10 3 5" xfId="22307" xr:uid="{00000000-0005-0000-0000-000023570000}"/>
    <cellStyle name="Normal 2 2 4 2 2 10 3 6" xfId="22308" xr:uid="{00000000-0005-0000-0000-000024570000}"/>
    <cellStyle name="Normal 2 2 4 2 2 10 3 7" xfId="22309" xr:uid="{00000000-0005-0000-0000-000025570000}"/>
    <cellStyle name="Normal 2 2 4 2 2 10 3 8" xfId="22310" xr:uid="{00000000-0005-0000-0000-000026570000}"/>
    <cellStyle name="Normal 2 2 4 2 2 10 3 9" xfId="22311" xr:uid="{00000000-0005-0000-0000-000027570000}"/>
    <cellStyle name="Normal 2 2 4 2 2 10 4" xfId="22312" xr:uid="{00000000-0005-0000-0000-000028570000}"/>
    <cellStyle name="Normal 2 2 4 2 2 10 4 10" xfId="22313" xr:uid="{00000000-0005-0000-0000-000029570000}"/>
    <cellStyle name="Normal 2 2 4 2 2 10 4 2" xfId="22314" xr:uid="{00000000-0005-0000-0000-00002A570000}"/>
    <cellStyle name="Normal 2 2 4 2 2 10 4 3" xfId="22315" xr:uid="{00000000-0005-0000-0000-00002B570000}"/>
    <cellStyle name="Normal 2 2 4 2 2 10 4 4" xfId="22316" xr:uid="{00000000-0005-0000-0000-00002C570000}"/>
    <cellStyle name="Normal 2 2 4 2 2 10 4 5" xfId="22317" xr:uid="{00000000-0005-0000-0000-00002D570000}"/>
    <cellStyle name="Normal 2 2 4 2 2 10 4 6" xfId="22318" xr:uid="{00000000-0005-0000-0000-00002E570000}"/>
    <cellStyle name="Normal 2 2 4 2 2 10 4 7" xfId="22319" xr:uid="{00000000-0005-0000-0000-00002F570000}"/>
    <cellStyle name="Normal 2 2 4 2 2 10 4 8" xfId="22320" xr:uid="{00000000-0005-0000-0000-000030570000}"/>
    <cellStyle name="Normal 2 2 4 2 2 10 4 9" xfId="22321" xr:uid="{00000000-0005-0000-0000-000031570000}"/>
    <cellStyle name="Normal 2 2 4 2 2 10 5" xfId="22322" xr:uid="{00000000-0005-0000-0000-000032570000}"/>
    <cellStyle name="Normal 2 2 4 2 2 10 5 10" xfId="22323" xr:uid="{00000000-0005-0000-0000-000033570000}"/>
    <cellStyle name="Normal 2 2 4 2 2 10 5 2" xfId="22324" xr:uid="{00000000-0005-0000-0000-000034570000}"/>
    <cellStyle name="Normal 2 2 4 2 2 10 5 3" xfId="22325" xr:uid="{00000000-0005-0000-0000-000035570000}"/>
    <cellStyle name="Normal 2 2 4 2 2 10 5 4" xfId="22326" xr:uid="{00000000-0005-0000-0000-000036570000}"/>
    <cellStyle name="Normal 2 2 4 2 2 10 5 5" xfId="22327" xr:uid="{00000000-0005-0000-0000-000037570000}"/>
    <cellStyle name="Normal 2 2 4 2 2 10 5 6" xfId="22328" xr:uid="{00000000-0005-0000-0000-000038570000}"/>
    <cellStyle name="Normal 2 2 4 2 2 10 5 7" xfId="22329" xr:uid="{00000000-0005-0000-0000-000039570000}"/>
    <cellStyle name="Normal 2 2 4 2 2 10 5 8" xfId="22330" xr:uid="{00000000-0005-0000-0000-00003A570000}"/>
    <cellStyle name="Normal 2 2 4 2 2 10 5 9" xfId="22331" xr:uid="{00000000-0005-0000-0000-00003B570000}"/>
    <cellStyle name="Normal 2 2 4 2 2 10 6" xfId="22332" xr:uid="{00000000-0005-0000-0000-00003C570000}"/>
    <cellStyle name="Normal 2 2 4 2 2 10 7" xfId="22333" xr:uid="{00000000-0005-0000-0000-00003D570000}"/>
    <cellStyle name="Normal 2 2 4 2 2 10 8" xfId="22334" xr:uid="{00000000-0005-0000-0000-00003E570000}"/>
    <cellStyle name="Normal 2 2 4 2 2 10 9" xfId="22335" xr:uid="{00000000-0005-0000-0000-00003F570000}"/>
    <cellStyle name="Normal 2 2 4 2 2 11" xfId="22336" xr:uid="{00000000-0005-0000-0000-000040570000}"/>
    <cellStyle name="Normal 2 2 4 2 2 11 10" xfId="22337" xr:uid="{00000000-0005-0000-0000-000041570000}"/>
    <cellStyle name="Normal 2 2 4 2 2 11 11" xfId="22338" xr:uid="{00000000-0005-0000-0000-000042570000}"/>
    <cellStyle name="Normal 2 2 4 2 2 11 12" xfId="22339" xr:uid="{00000000-0005-0000-0000-000043570000}"/>
    <cellStyle name="Normal 2 2 4 2 2 11 13" xfId="22340" xr:uid="{00000000-0005-0000-0000-000044570000}"/>
    <cellStyle name="Normal 2 2 4 2 2 11 14" xfId="22341" xr:uid="{00000000-0005-0000-0000-000045570000}"/>
    <cellStyle name="Normal 2 2 4 2 2 11 2" xfId="22342" xr:uid="{00000000-0005-0000-0000-000046570000}"/>
    <cellStyle name="Normal 2 2 4 2 2 11 2 10" xfId="22343" xr:uid="{00000000-0005-0000-0000-000047570000}"/>
    <cellStyle name="Normal 2 2 4 2 2 11 2 2" xfId="22344" xr:uid="{00000000-0005-0000-0000-000048570000}"/>
    <cellStyle name="Normal 2 2 4 2 2 11 2 3" xfId="22345" xr:uid="{00000000-0005-0000-0000-000049570000}"/>
    <cellStyle name="Normal 2 2 4 2 2 11 2 4" xfId="22346" xr:uid="{00000000-0005-0000-0000-00004A570000}"/>
    <cellStyle name="Normal 2 2 4 2 2 11 2 5" xfId="22347" xr:uid="{00000000-0005-0000-0000-00004B570000}"/>
    <cellStyle name="Normal 2 2 4 2 2 11 2 6" xfId="22348" xr:uid="{00000000-0005-0000-0000-00004C570000}"/>
    <cellStyle name="Normal 2 2 4 2 2 11 2 7" xfId="22349" xr:uid="{00000000-0005-0000-0000-00004D570000}"/>
    <cellStyle name="Normal 2 2 4 2 2 11 2 8" xfId="22350" xr:uid="{00000000-0005-0000-0000-00004E570000}"/>
    <cellStyle name="Normal 2 2 4 2 2 11 2 9" xfId="22351" xr:uid="{00000000-0005-0000-0000-00004F570000}"/>
    <cellStyle name="Normal 2 2 4 2 2 11 3" xfId="22352" xr:uid="{00000000-0005-0000-0000-000050570000}"/>
    <cellStyle name="Normal 2 2 4 2 2 11 3 10" xfId="22353" xr:uid="{00000000-0005-0000-0000-000051570000}"/>
    <cellStyle name="Normal 2 2 4 2 2 11 3 2" xfId="22354" xr:uid="{00000000-0005-0000-0000-000052570000}"/>
    <cellStyle name="Normal 2 2 4 2 2 11 3 3" xfId="22355" xr:uid="{00000000-0005-0000-0000-000053570000}"/>
    <cellStyle name="Normal 2 2 4 2 2 11 3 4" xfId="22356" xr:uid="{00000000-0005-0000-0000-000054570000}"/>
    <cellStyle name="Normal 2 2 4 2 2 11 3 5" xfId="22357" xr:uid="{00000000-0005-0000-0000-000055570000}"/>
    <cellStyle name="Normal 2 2 4 2 2 11 3 6" xfId="22358" xr:uid="{00000000-0005-0000-0000-000056570000}"/>
    <cellStyle name="Normal 2 2 4 2 2 11 3 7" xfId="22359" xr:uid="{00000000-0005-0000-0000-000057570000}"/>
    <cellStyle name="Normal 2 2 4 2 2 11 3 8" xfId="22360" xr:uid="{00000000-0005-0000-0000-000058570000}"/>
    <cellStyle name="Normal 2 2 4 2 2 11 3 9" xfId="22361" xr:uid="{00000000-0005-0000-0000-000059570000}"/>
    <cellStyle name="Normal 2 2 4 2 2 11 4" xfId="22362" xr:uid="{00000000-0005-0000-0000-00005A570000}"/>
    <cellStyle name="Normal 2 2 4 2 2 11 4 10" xfId="22363" xr:uid="{00000000-0005-0000-0000-00005B570000}"/>
    <cellStyle name="Normal 2 2 4 2 2 11 4 2" xfId="22364" xr:uid="{00000000-0005-0000-0000-00005C570000}"/>
    <cellStyle name="Normal 2 2 4 2 2 11 4 3" xfId="22365" xr:uid="{00000000-0005-0000-0000-00005D570000}"/>
    <cellStyle name="Normal 2 2 4 2 2 11 4 4" xfId="22366" xr:uid="{00000000-0005-0000-0000-00005E570000}"/>
    <cellStyle name="Normal 2 2 4 2 2 11 4 5" xfId="22367" xr:uid="{00000000-0005-0000-0000-00005F570000}"/>
    <cellStyle name="Normal 2 2 4 2 2 11 4 6" xfId="22368" xr:uid="{00000000-0005-0000-0000-000060570000}"/>
    <cellStyle name="Normal 2 2 4 2 2 11 4 7" xfId="22369" xr:uid="{00000000-0005-0000-0000-000061570000}"/>
    <cellStyle name="Normal 2 2 4 2 2 11 4 8" xfId="22370" xr:uid="{00000000-0005-0000-0000-000062570000}"/>
    <cellStyle name="Normal 2 2 4 2 2 11 4 9" xfId="22371" xr:uid="{00000000-0005-0000-0000-000063570000}"/>
    <cellStyle name="Normal 2 2 4 2 2 11 5" xfId="22372" xr:uid="{00000000-0005-0000-0000-000064570000}"/>
    <cellStyle name="Normal 2 2 4 2 2 11 5 10" xfId="22373" xr:uid="{00000000-0005-0000-0000-000065570000}"/>
    <cellStyle name="Normal 2 2 4 2 2 11 5 2" xfId="22374" xr:uid="{00000000-0005-0000-0000-000066570000}"/>
    <cellStyle name="Normal 2 2 4 2 2 11 5 3" xfId="22375" xr:uid="{00000000-0005-0000-0000-000067570000}"/>
    <cellStyle name="Normal 2 2 4 2 2 11 5 4" xfId="22376" xr:uid="{00000000-0005-0000-0000-000068570000}"/>
    <cellStyle name="Normal 2 2 4 2 2 11 5 5" xfId="22377" xr:uid="{00000000-0005-0000-0000-000069570000}"/>
    <cellStyle name="Normal 2 2 4 2 2 11 5 6" xfId="22378" xr:uid="{00000000-0005-0000-0000-00006A570000}"/>
    <cellStyle name="Normal 2 2 4 2 2 11 5 7" xfId="22379" xr:uid="{00000000-0005-0000-0000-00006B570000}"/>
    <cellStyle name="Normal 2 2 4 2 2 11 5 8" xfId="22380" xr:uid="{00000000-0005-0000-0000-00006C570000}"/>
    <cellStyle name="Normal 2 2 4 2 2 11 5 9" xfId="22381" xr:uid="{00000000-0005-0000-0000-00006D570000}"/>
    <cellStyle name="Normal 2 2 4 2 2 11 6" xfId="22382" xr:uid="{00000000-0005-0000-0000-00006E570000}"/>
    <cellStyle name="Normal 2 2 4 2 2 11 7" xfId="22383" xr:uid="{00000000-0005-0000-0000-00006F570000}"/>
    <cellStyle name="Normal 2 2 4 2 2 11 8" xfId="22384" xr:uid="{00000000-0005-0000-0000-000070570000}"/>
    <cellStyle name="Normal 2 2 4 2 2 11 9" xfId="22385" xr:uid="{00000000-0005-0000-0000-000071570000}"/>
    <cellStyle name="Normal 2 2 4 2 2 12" xfId="22386" xr:uid="{00000000-0005-0000-0000-000072570000}"/>
    <cellStyle name="Normal 2 2 4 2 2 12 10" xfId="22387" xr:uid="{00000000-0005-0000-0000-000073570000}"/>
    <cellStyle name="Normal 2 2 4 2 2 12 11" xfId="22388" xr:uid="{00000000-0005-0000-0000-000074570000}"/>
    <cellStyle name="Normal 2 2 4 2 2 12 12" xfId="22389" xr:uid="{00000000-0005-0000-0000-000075570000}"/>
    <cellStyle name="Normal 2 2 4 2 2 12 13" xfId="22390" xr:uid="{00000000-0005-0000-0000-000076570000}"/>
    <cellStyle name="Normal 2 2 4 2 2 12 14" xfId="22391" xr:uid="{00000000-0005-0000-0000-000077570000}"/>
    <cellStyle name="Normal 2 2 4 2 2 12 2" xfId="22392" xr:uid="{00000000-0005-0000-0000-000078570000}"/>
    <cellStyle name="Normal 2 2 4 2 2 12 2 10" xfId="22393" xr:uid="{00000000-0005-0000-0000-000079570000}"/>
    <cellStyle name="Normal 2 2 4 2 2 12 2 2" xfId="22394" xr:uid="{00000000-0005-0000-0000-00007A570000}"/>
    <cellStyle name="Normal 2 2 4 2 2 12 2 3" xfId="22395" xr:uid="{00000000-0005-0000-0000-00007B570000}"/>
    <cellStyle name="Normal 2 2 4 2 2 12 2 4" xfId="22396" xr:uid="{00000000-0005-0000-0000-00007C570000}"/>
    <cellStyle name="Normal 2 2 4 2 2 12 2 5" xfId="22397" xr:uid="{00000000-0005-0000-0000-00007D570000}"/>
    <cellStyle name="Normal 2 2 4 2 2 12 2 6" xfId="22398" xr:uid="{00000000-0005-0000-0000-00007E570000}"/>
    <cellStyle name="Normal 2 2 4 2 2 12 2 7" xfId="22399" xr:uid="{00000000-0005-0000-0000-00007F570000}"/>
    <cellStyle name="Normal 2 2 4 2 2 12 2 8" xfId="22400" xr:uid="{00000000-0005-0000-0000-000080570000}"/>
    <cellStyle name="Normal 2 2 4 2 2 12 2 9" xfId="22401" xr:uid="{00000000-0005-0000-0000-000081570000}"/>
    <cellStyle name="Normal 2 2 4 2 2 12 3" xfId="22402" xr:uid="{00000000-0005-0000-0000-000082570000}"/>
    <cellStyle name="Normal 2 2 4 2 2 12 3 10" xfId="22403" xr:uid="{00000000-0005-0000-0000-000083570000}"/>
    <cellStyle name="Normal 2 2 4 2 2 12 3 2" xfId="22404" xr:uid="{00000000-0005-0000-0000-000084570000}"/>
    <cellStyle name="Normal 2 2 4 2 2 12 3 3" xfId="22405" xr:uid="{00000000-0005-0000-0000-000085570000}"/>
    <cellStyle name="Normal 2 2 4 2 2 12 3 4" xfId="22406" xr:uid="{00000000-0005-0000-0000-000086570000}"/>
    <cellStyle name="Normal 2 2 4 2 2 12 3 5" xfId="22407" xr:uid="{00000000-0005-0000-0000-000087570000}"/>
    <cellStyle name="Normal 2 2 4 2 2 12 3 6" xfId="22408" xr:uid="{00000000-0005-0000-0000-000088570000}"/>
    <cellStyle name="Normal 2 2 4 2 2 12 3 7" xfId="22409" xr:uid="{00000000-0005-0000-0000-000089570000}"/>
    <cellStyle name="Normal 2 2 4 2 2 12 3 8" xfId="22410" xr:uid="{00000000-0005-0000-0000-00008A570000}"/>
    <cellStyle name="Normal 2 2 4 2 2 12 3 9" xfId="22411" xr:uid="{00000000-0005-0000-0000-00008B570000}"/>
    <cellStyle name="Normal 2 2 4 2 2 12 4" xfId="22412" xr:uid="{00000000-0005-0000-0000-00008C570000}"/>
    <cellStyle name="Normal 2 2 4 2 2 12 4 10" xfId="22413" xr:uid="{00000000-0005-0000-0000-00008D570000}"/>
    <cellStyle name="Normal 2 2 4 2 2 12 4 2" xfId="22414" xr:uid="{00000000-0005-0000-0000-00008E570000}"/>
    <cellStyle name="Normal 2 2 4 2 2 12 4 3" xfId="22415" xr:uid="{00000000-0005-0000-0000-00008F570000}"/>
    <cellStyle name="Normal 2 2 4 2 2 12 4 4" xfId="22416" xr:uid="{00000000-0005-0000-0000-000090570000}"/>
    <cellStyle name="Normal 2 2 4 2 2 12 4 5" xfId="22417" xr:uid="{00000000-0005-0000-0000-000091570000}"/>
    <cellStyle name="Normal 2 2 4 2 2 12 4 6" xfId="22418" xr:uid="{00000000-0005-0000-0000-000092570000}"/>
    <cellStyle name="Normal 2 2 4 2 2 12 4 7" xfId="22419" xr:uid="{00000000-0005-0000-0000-000093570000}"/>
    <cellStyle name="Normal 2 2 4 2 2 12 4 8" xfId="22420" xr:uid="{00000000-0005-0000-0000-000094570000}"/>
    <cellStyle name="Normal 2 2 4 2 2 12 4 9" xfId="22421" xr:uid="{00000000-0005-0000-0000-000095570000}"/>
    <cellStyle name="Normal 2 2 4 2 2 12 5" xfId="22422" xr:uid="{00000000-0005-0000-0000-000096570000}"/>
    <cellStyle name="Normal 2 2 4 2 2 12 5 10" xfId="22423" xr:uid="{00000000-0005-0000-0000-000097570000}"/>
    <cellStyle name="Normal 2 2 4 2 2 12 5 2" xfId="22424" xr:uid="{00000000-0005-0000-0000-000098570000}"/>
    <cellStyle name="Normal 2 2 4 2 2 12 5 3" xfId="22425" xr:uid="{00000000-0005-0000-0000-000099570000}"/>
    <cellStyle name="Normal 2 2 4 2 2 12 5 4" xfId="22426" xr:uid="{00000000-0005-0000-0000-00009A570000}"/>
    <cellStyle name="Normal 2 2 4 2 2 12 5 5" xfId="22427" xr:uid="{00000000-0005-0000-0000-00009B570000}"/>
    <cellStyle name="Normal 2 2 4 2 2 12 5 6" xfId="22428" xr:uid="{00000000-0005-0000-0000-00009C570000}"/>
    <cellStyle name="Normal 2 2 4 2 2 12 5 7" xfId="22429" xr:uid="{00000000-0005-0000-0000-00009D570000}"/>
    <cellStyle name="Normal 2 2 4 2 2 12 5 8" xfId="22430" xr:uid="{00000000-0005-0000-0000-00009E570000}"/>
    <cellStyle name="Normal 2 2 4 2 2 12 5 9" xfId="22431" xr:uid="{00000000-0005-0000-0000-00009F570000}"/>
    <cellStyle name="Normal 2 2 4 2 2 12 6" xfId="22432" xr:uid="{00000000-0005-0000-0000-0000A0570000}"/>
    <cellStyle name="Normal 2 2 4 2 2 12 7" xfId="22433" xr:uid="{00000000-0005-0000-0000-0000A1570000}"/>
    <cellStyle name="Normal 2 2 4 2 2 12 8" xfId="22434" xr:uid="{00000000-0005-0000-0000-0000A2570000}"/>
    <cellStyle name="Normal 2 2 4 2 2 12 9" xfId="22435" xr:uid="{00000000-0005-0000-0000-0000A3570000}"/>
    <cellStyle name="Normal 2 2 4 2 2 13" xfId="22436" xr:uid="{00000000-0005-0000-0000-0000A4570000}"/>
    <cellStyle name="Normal 2 2 4 2 2 13 10" xfId="22437" xr:uid="{00000000-0005-0000-0000-0000A5570000}"/>
    <cellStyle name="Normal 2 2 4 2 2 13 11" xfId="22438" xr:uid="{00000000-0005-0000-0000-0000A6570000}"/>
    <cellStyle name="Normal 2 2 4 2 2 13 12" xfId="22439" xr:uid="{00000000-0005-0000-0000-0000A7570000}"/>
    <cellStyle name="Normal 2 2 4 2 2 13 13" xfId="22440" xr:uid="{00000000-0005-0000-0000-0000A8570000}"/>
    <cellStyle name="Normal 2 2 4 2 2 13 14" xfId="22441" xr:uid="{00000000-0005-0000-0000-0000A9570000}"/>
    <cellStyle name="Normal 2 2 4 2 2 13 2" xfId="22442" xr:uid="{00000000-0005-0000-0000-0000AA570000}"/>
    <cellStyle name="Normal 2 2 4 2 2 13 2 10" xfId="22443" xr:uid="{00000000-0005-0000-0000-0000AB570000}"/>
    <cellStyle name="Normal 2 2 4 2 2 13 2 2" xfId="22444" xr:uid="{00000000-0005-0000-0000-0000AC570000}"/>
    <cellStyle name="Normal 2 2 4 2 2 13 2 3" xfId="22445" xr:uid="{00000000-0005-0000-0000-0000AD570000}"/>
    <cellStyle name="Normal 2 2 4 2 2 13 2 4" xfId="22446" xr:uid="{00000000-0005-0000-0000-0000AE570000}"/>
    <cellStyle name="Normal 2 2 4 2 2 13 2 5" xfId="22447" xr:uid="{00000000-0005-0000-0000-0000AF570000}"/>
    <cellStyle name="Normal 2 2 4 2 2 13 2 6" xfId="22448" xr:uid="{00000000-0005-0000-0000-0000B0570000}"/>
    <cellStyle name="Normal 2 2 4 2 2 13 2 7" xfId="22449" xr:uid="{00000000-0005-0000-0000-0000B1570000}"/>
    <cellStyle name="Normal 2 2 4 2 2 13 2 8" xfId="22450" xr:uid="{00000000-0005-0000-0000-0000B2570000}"/>
    <cellStyle name="Normal 2 2 4 2 2 13 2 9" xfId="22451" xr:uid="{00000000-0005-0000-0000-0000B3570000}"/>
    <cellStyle name="Normal 2 2 4 2 2 13 3" xfId="22452" xr:uid="{00000000-0005-0000-0000-0000B4570000}"/>
    <cellStyle name="Normal 2 2 4 2 2 13 3 10" xfId="22453" xr:uid="{00000000-0005-0000-0000-0000B5570000}"/>
    <cellStyle name="Normal 2 2 4 2 2 13 3 2" xfId="22454" xr:uid="{00000000-0005-0000-0000-0000B6570000}"/>
    <cellStyle name="Normal 2 2 4 2 2 13 3 3" xfId="22455" xr:uid="{00000000-0005-0000-0000-0000B7570000}"/>
    <cellStyle name="Normal 2 2 4 2 2 13 3 4" xfId="22456" xr:uid="{00000000-0005-0000-0000-0000B8570000}"/>
    <cellStyle name="Normal 2 2 4 2 2 13 3 5" xfId="22457" xr:uid="{00000000-0005-0000-0000-0000B9570000}"/>
    <cellStyle name="Normal 2 2 4 2 2 13 3 6" xfId="22458" xr:uid="{00000000-0005-0000-0000-0000BA570000}"/>
    <cellStyle name="Normal 2 2 4 2 2 13 3 7" xfId="22459" xr:uid="{00000000-0005-0000-0000-0000BB570000}"/>
    <cellStyle name="Normal 2 2 4 2 2 13 3 8" xfId="22460" xr:uid="{00000000-0005-0000-0000-0000BC570000}"/>
    <cellStyle name="Normal 2 2 4 2 2 13 3 9" xfId="22461" xr:uid="{00000000-0005-0000-0000-0000BD570000}"/>
    <cellStyle name="Normal 2 2 4 2 2 13 4" xfId="22462" xr:uid="{00000000-0005-0000-0000-0000BE570000}"/>
    <cellStyle name="Normal 2 2 4 2 2 13 4 10" xfId="22463" xr:uid="{00000000-0005-0000-0000-0000BF570000}"/>
    <cellStyle name="Normal 2 2 4 2 2 13 4 2" xfId="22464" xr:uid="{00000000-0005-0000-0000-0000C0570000}"/>
    <cellStyle name="Normal 2 2 4 2 2 13 4 3" xfId="22465" xr:uid="{00000000-0005-0000-0000-0000C1570000}"/>
    <cellStyle name="Normal 2 2 4 2 2 13 4 4" xfId="22466" xr:uid="{00000000-0005-0000-0000-0000C2570000}"/>
    <cellStyle name="Normal 2 2 4 2 2 13 4 5" xfId="22467" xr:uid="{00000000-0005-0000-0000-0000C3570000}"/>
    <cellStyle name="Normal 2 2 4 2 2 13 4 6" xfId="22468" xr:uid="{00000000-0005-0000-0000-0000C4570000}"/>
    <cellStyle name="Normal 2 2 4 2 2 13 4 7" xfId="22469" xr:uid="{00000000-0005-0000-0000-0000C5570000}"/>
    <cellStyle name="Normal 2 2 4 2 2 13 4 8" xfId="22470" xr:uid="{00000000-0005-0000-0000-0000C6570000}"/>
    <cellStyle name="Normal 2 2 4 2 2 13 4 9" xfId="22471" xr:uid="{00000000-0005-0000-0000-0000C7570000}"/>
    <cellStyle name="Normal 2 2 4 2 2 13 5" xfId="22472" xr:uid="{00000000-0005-0000-0000-0000C8570000}"/>
    <cellStyle name="Normal 2 2 4 2 2 13 5 10" xfId="22473" xr:uid="{00000000-0005-0000-0000-0000C9570000}"/>
    <cellStyle name="Normal 2 2 4 2 2 13 5 2" xfId="22474" xr:uid="{00000000-0005-0000-0000-0000CA570000}"/>
    <cellStyle name="Normal 2 2 4 2 2 13 5 3" xfId="22475" xr:uid="{00000000-0005-0000-0000-0000CB570000}"/>
    <cellStyle name="Normal 2 2 4 2 2 13 5 4" xfId="22476" xr:uid="{00000000-0005-0000-0000-0000CC570000}"/>
    <cellStyle name="Normal 2 2 4 2 2 13 5 5" xfId="22477" xr:uid="{00000000-0005-0000-0000-0000CD570000}"/>
    <cellStyle name="Normal 2 2 4 2 2 13 5 6" xfId="22478" xr:uid="{00000000-0005-0000-0000-0000CE570000}"/>
    <cellStyle name="Normal 2 2 4 2 2 13 5 7" xfId="22479" xr:uid="{00000000-0005-0000-0000-0000CF570000}"/>
    <cellStyle name="Normal 2 2 4 2 2 13 5 8" xfId="22480" xr:uid="{00000000-0005-0000-0000-0000D0570000}"/>
    <cellStyle name="Normal 2 2 4 2 2 13 5 9" xfId="22481" xr:uid="{00000000-0005-0000-0000-0000D1570000}"/>
    <cellStyle name="Normal 2 2 4 2 2 13 6" xfId="22482" xr:uid="{00000000-0005-0000-0000-0000D2570000}"/>
    <cellStyle name="Normal 2 2 4 2 2 13 7" xfId="22483" xr:uid="{00000000-0005-0000-0000-0000D3570000}"/>
    <cellStyle name="Normal 2 2 4 2 2 13 8" xfId="22484" xr:uid="{00000000-0005-0000-0000-0000D4570000}"/>
    <cellStyle name="Normal 2 2 4 2 2 13 9" xfId="22485" xr:uid="{00000000-0005-0000-0000-0000D5570000}"/>
    <cellStyle name="Normal 2 2 4 2 2 14" xfId="22486" xr:uid="{00000000-0005-0000-0000-0000D6570000}"/>
    <cellStyle name="Normal 2 2 4 2 2 14 10" xfId="22487" xr:uid="{00000000-0005-0000-0000-0000D7570000}"/>
    <cellStyle name="Normal 2 2 4 2 2 14 11" xfId="22488" xr:uid="{00000000-0005-0000-0000-0000D8570000}"/>
    <cellStyle name="Normal 2 2 4 2 2 14 12" xfId="22489" xr:uid="{00000000-0005-0000-0000-0000D9570000}"/>
    <cellStyle name="Normal 2 2 4 2 2 14 13" xfId="22490" xr:uid="{00000000-0005-0000-0000-0000DA570000}"/>
    <cellStyle name="Normal 2 2 4 2 2 14 14" xfId="22491" xr:uid="{00000000-0005-0000-0000-0000DB570000}"/>
    <cellStyle name="Normal 2 2 4 2 2 14 2" xfId="22492" xr:uid="{00000000-0005-0000-0000-0000DC570000}"/>
    <cellStyle name="Normal 2 2 4 2 2 14 2 10" xfId="22493" xr:uid="{00000000-0005-0000-0000-0000DD570000}"/>
    <cellStyle name="Normal 2 2 4 2 2 14 2 2" xfId="22494" xr:uid="{00000000-0005-0000-0000-0000DE570000}"/>
    <cellStyle name="Normal 2 2 4 2 2 14 2 3" xfId="22495" xr:uid="{00000000-0005-0000-0000-0000DF570000}"/>
    <cellStyle name="Normal 2 2 4 2 2 14 2 4" xfId="22496" xr:uid="{00000000-0005-0000-0000-0000E0570000}"/>
    <cellStyle name="Normal 2 2 4 2 2 14 2 5" xfId="22497" xr:uid="{00000000-0005-0000-0000-0000E1570000}"/>
    <cellStyle name="Normal 2 2 4 2 2 14 2 6" xfId="22498" xr:uid="{00000000-0005-0000-0000-0000E2570000}"/>
    <cellStyle name="Normal 2 2 4 2 2 14 2 7" xfId="22499" xr:uid="{00000000-0005-0000-0000-0000E3570000}"/>
    <cellStyle name="Normal 2 2 4 2 2 14 2 8" xfId="22500" xr:uid="{00000000-0005-0000-0000-0000E4570000}"/>
    <cellStyle name="Normal 2 2 4 2 2 14 2 9" xfId="22501" xr:uid="{00000000-0005-0000-0000-0000E5570000}"/>
    <cellStyle name="Normal 2 2 4 2 2 14 3" xfId="22502" xr:uid="{00000000-0005-0000-0000-0000E6570000}"/>
    <cellStyle name="Normal 2 2 4 2 2 14 3 10" xfId="22503" xr:uid="{00000000-0005-0000-0000-0000E7570000}"/>
    <cellStyle name="Normal 2 2 4 2 2 14 3 2" xfId="22504" xr:uid="{00000000-0005-0000-0000-0000E8570000}"/>
    <cellStyle name="Normal 2 2 4 2 2 14 3 3" xfId="22505" xr:uid="{00000000-0005-0000-0000-0000E9570000}"/>
    <cellStyle name="Normal 2 2 4 2 2 14 3 4" xfId="22506" xr:uid="{00000000-0005-0000-0000-0000EA570000}"/>
    <cellStyle name="Normal 2 2 4 2 2 14 3 5" xfId="22507" xr:uid="{00000000-0005-0000-0000-0000EB570000}"/>
    <cellStyle name="Normal 2 2 4 2 2 14 3 6" xfId="22508" xr:uid="{00000000-0005-0000-0000-0000EC570000}"/>
    <cellStyle name="Normal 2 2 4 2 2 14 3 7" xfId="22509" xr:uid="{00000000-0005-0000-0000-0000ED570000}"/>
    <cellStyle name="Normal 2 2 4 2 2 14 3 8" xfId="22510" xr:uid="{00000000-0005-0000-0000-0000EE570000}"/>
    <cellStyle name="Normal 2 2 4 2 2 14 3 9" xfId="22511" xr:uid="{00000000-0005-0000-0000-0000EF570000}"/>
    <cellStyle name="Normal 2 2 4 2 2 14 4" xfId="22512" xr:uid="{00000000-0005-0000-0000-0000F0570000}"/>
    <cellStyle name="Normal 2 2 4 2 2 14 4 10" xfId="22513" xr:uid="{00000000-0005-0000-0000-0000F1570000}"/>
    <cellStyle name="Normal 2 2 4 2 2 14 4 2" xfId="22514" xr:uid="{00000000-0005-0000-0000-0000F2570000}"/>
    <cellStyle name="Normal 2 2 4 2 2 14 4 3" xfId="22515" xr:uid="{00000000-0005-0000-0000-0000F3570000}"/>
    <cellStyle name="Normal 2 2 4 2 2 14 4 4" xfId="22516" xr:uid="{00000000-0005-0000-0000-0000F4570000}"/>
    <cellStyle name="Normal 2 2 4 2 2 14 4 5" xfId="22517" xr:uid="{00000000-0005-0000-0000-0000F5570000}"/>
    <cellStyle name="Normal 2 2 4 2 2 14 4 6" xfId="22518" xr:uid="{00000000-0005-0000-0000-0000F6570000}"/>
    <cellStyle name="Normal 2 2 4 2 2 14 4 7" xfId="22519" xr:uid="{00000000-0005-0000-0000-0000F7570000}"/>
    <cellStyle name="Normal 2 2 4 2 2 14 4 8" xfId="22520" xr:uid="{00000000-0005-0000-0000-0000F8570000}"/>
    <cellStyle name="Normal 2 2 4 2 2 14 4 9" xfId="22521" xr:uid="{00000000-0005-0000-0000-0000F9570000}"/>
    <cellStyle name="Normal 2 2 4 2 2 14 5" xfId="22522" xr:uid="{00000000-0005-0000-0000-0000FA570000}"/>
    <cellStyle name="Normal 2 2 4 2 2 14 5 10" xfId="22523" xr:uid="{00000000-0005-0000-0000-0000FB570000}"/>
    <cellStyle name="Normal 2 2 4 2 2 14 5 2" xfId="22524" xr:uid="{00000000-0005-0000-0000-0000FC570000}"/>
    <cellStyle name="Normal 2 2 4 2 2 14 5 3" xfId="22525" xr:uid="{00000000-0005-0000-0000-0000FD570000}"/>
    <cellStyle name="Normal 2 2 4 2 2 14 5 4" xfId="22526" xr:uid="{00000000-0005-0000-0000-0000FE570000}"/>
    <cellStyle name="Normal 2 2 4 2 2 14 5 5" xfId="22527" xr:uid="{00000000-0005-0000-0000-0000FF570000}"/>
    <cellStyle name="Normal 2 2 4 2 2 14 5 6" xfId="22528" xr:uid="{00000000-0005-0000-0000-000000580000}"/>
    <cellStyle name="Normal 2 2 4 2 2 14 5 7" xfId="22529" xr:uid="{00000000-0005-0000-0000-000001580000}"/>
    <cellStyle name="Normal 2 2 4 2 2 14 5 8" xfId="22530" xr:uid="{00000000-0005-0000-0000-000002580000}"/>
    <cellStyle name="Normal 2 2 4 2 2 14 5 9" xfId="22531" xr:uid="{00000000-0005-0000-0000-000003580000}"/>
    <cellStyle name="Normal 2 2 4 2 2 14 6" xfId="22532" xr:uid="{00000000-0005-0000-0000-000004580000}"/>
    <cellStyle name="Normal 2 2 4 2 2 14 7" xfId="22533" xr:uid="{00000000-0005-0000-0000-000005580000}"/>
    <cellStyle name="Normal 2 2 4 2 2 14 8" xfId="22534" xr:uid="{00000000-0005-0000-0000-000006580000}"/>
    <cellStyle name="Normal 2 2 4 2 2 14 9" xfId="22535" xr:uid="{00000000-0005-0000-0000-000007580000}"/>
    <cellStyle name="Normal 2 2 4 2 2 15" xfId="22536" xr:uid="{00000000-0005-0000-0000-000008580000}"/>
    <cellStyle name="Normal 2 2 4 2 2 15 10" xfId="22537" xr:uid="{00000000-0005-0000-0000-000009580000}"/>
    <cellStyle name="Normal 2 2 4 2 2 15 11" xfId="22538" xr:uid="{00000000-0005-0000-0000-00000A580000}"/>
    <cellStyle name="Normal 2 2 4 2 2 15 12" xfId="22539" xr:uid="{00000000-0005-0000-0000-00000B580000}"/>
    <cellStyle name="Normal 2 2 4 2 2 15 13" xfId="22540" xr:uid="{00000000-0005-0000-0000-00000C580000}"/>
    <cellStyle name="Normal 2 2 4 2 2 15 14" xfId="22541" xr:uid="{00000000-0005-0000-0000-00000D580000}"/>
    <cellStyle name="Normal 2 2 4 2 2 15 2" xfId="22542" xr:uid="{00000000-0005-0000-0000-00000E580000}"/>
    <cellStyle name="Normal 2 2 4 2 2 15 2 10" xfId="22543" xr:uid="{00000000-0005-0000-0000-00000F580000}"/>
    <cellStyle name="Normal 2 2 4 2 2 15 2 2" xfId="22544" xr:uid="{00000000-0005-0000-0000-000010580000}"/>
    <cellStyle name="Normal 2 2 4 2 2 15 2 3" xfId="22545" xr:uid="{00000000-0005-0000-0000-000011580000}"/>
    <cellStyle name="Normal 2 2 4 2 2 15 2 4" xfId="22546" xr:uid="{00000000-0005-0000-0000-000012580000}"/>
    <cellStyle name="Normal 2 2 4 2 2 15 2 5" xfId="22547" xr:uid="{00000000-0005-0000-0000-000013580000}"/>
    <cellStyle name="Normal 2 2 4 2 2 15 2 6" xfId="22548" xr:uid="{00000000-0005-0000-0000-000014580000}"/>
    <cellStyle name="Normal 2 2 4 2 2 15 2 7" xfId="22549" xr:uid="{00000000-0005-0000-0000-000015580000}"/>
    <cellStyle name="Normal 2 2 4 2 2 15 2 8" xfId="22550" xr:uid="{00000000-0005-0000-0000-000016580000}"/>
    <cellStyle name="Normal 2 2 4 2 2 15 2 9" xfId="22551" xr:uid="{00000000-0005-0000-0000-000017580000}"/>
    <cellStyle name="Normal 2 2 4 2 2 15 3" xfId="22552" xr:uid="{00000000-0005-0000-0000-000018580000}"/>
    <cellStyle name="Normal 2 2 4 2 2 15 3 10" xfId="22553" xr:uid="{00000000-0005-0000-0000-000019580000}"/>
    <cellStyle name="Normal 2 2 4 2 2 15 3 2" xfId="22554" xr:uid="{00000000-0005-0000-0000-00001A580000}"/>
    <cellStyle name="Normal 2 2 4 2 2 15 3 3" xfId="22555" xr:uid="{00000000-0005-0000-0000-00001B580000}"/>
    <cellStyle name="Normal 2 2 4 2 2 15 3 4" xfId="22556" xr:uid="{00000000-0005-0000-0000-00001C580000}"/>
    <cellStyle name="Normal 2 2 4 2 2 15 3 5" xfId="22557" xr:uid="{00000000-0005-0000-0000-00001D580000}"/>
    <cellStyle name="Normal 2 2 4 2 2 15 3 6" xfId="22558" xr:uid="{00000000-0005-0000-0000-00001E580000}"/>
    <cellStyle name="Normal 2 2 4 2 2 15 3 7" xfId="22559" xr:uid="{00000000-0005-0000-0000-00001F580000}"/>
    <cellStyle name="Normal 2 2 4 2 2 15 3 8" xfId="22560" xr:uid="{00000000-0005-0000-0000-000020580000}"/>
    <cellStyle name="Normal 2 2 4 2 2 15 3 9" xfId="22561" xr:uid="{00000000-0005-0000-0000-000021580000}"/>
    <cellStyle name="Normal 2 2 4 2 2 15 4" xfId="22562" xr:uid="{00000000-0005-0000-0000-000022580000}"/>
    <cellStyle name="Normal 2 2 4 2 2 15 4 10" xfId="22563" xr:uid="{00000000-0005-0000-0000-000023580000}"/>
    <cellStyle name="Normal 2 2 4 2 2 15 4 2" xfId="22564" xr:uid="{00000000-0005-0000-0000-000024580000}"/>
    <cellStyle name="Normal 2 2 4 2 2 15 4 3" xfId="22565" xr:uid="{00000000-0005-0000-0000-000025580000}"/>
    <cellStyle name="Normal 2 2 4 2 2 15 4 4" xfId="22566" xr:uid="{00000000-0005-0000-0000-000026580000}"/>
    <cellStyle name="Normal 2 2 4 2 2 15 4 5" xfId="22567" xr:uid="{00000000-0005-0000-0000-000027580000}"/>
    <cellStyle name="Normal 2 2 4 2 2 15 4 6" xfId="22568" xr:uid="{00000000-0005-0000-0000-000028580000}"/>
    <cellStyle name="Normal 2 2 4 2 2 15 4 7" xfId="22569" xr:uid="{00000000-0005-0000-0000-000029580000}"/>
    <cellStyle name="Normal 2 2 4 2 2 15 4 8" xfId="22570" xr:uid="{00000000-0005-0000-0000-00002A580000}"/>
    <cellStyle name="Normal 2 2 4 2 2 15 4 9" xfId="22571" xr:uid="{00000000-0005-0000-0000-00002B580000}"/>
    <cellStyle name="Normal 2 2 4 2 2 15 5" xfId="22572" xr:uid="{00000000-0005-0000-0000-00002C580000}"/>
    <cellStyle name="Normal 2 2 4 2 2 15 5 10" xfId="22573" xr:uid="{00000000-0005-0000-0000-00002D580000}"/>
    <cellStyle name="Normal 2 2 4 2 2 15 5 2" xfId="22574" xr:uid="{00000000-0005-0000-0000-00002E580000}"/>
    <cellStyle name="Normal 2 2 4 2 2 15 5 3" xfId="22575" xr:uid="{00000000-0005-0000-0000-00002F580000}"/>
    <cellStyle name="Normal 2 2 4 2 2 15 5 4" xfId="22576" xr:uid="{00000000-0005-0000-0000-000030580000}"/>
    <cellStyle name="Normal 2 2 4 2 2 15 5 5" xfId="22577" xr:uid="{00000000-0005-0000-0000-000031580000}"/>
    <cellStyle name="Normal 2 2 4 2 2 15 5 6" xfId="22578" xr:uid="{00000000-0005-0000-0000-000032580000}"/>
    <cellStyle name="Normal 2 2 4 2 2 15 5 7" xfId="22579" xr:uid="{00000000-0005-0000-0000-000033580000}"/>
    <cellStyle name="Normal 2 2 4 2 2 15 5 8" xfId="22580" xr:uid="{00000000-0005-0000-0000-000034580000}"/>
    <cellStyle name="Normal 2 2 4 2 2 15 5 9" xfId="22581" xr:uid="{00000000-0005-0000-0000-000035580000}"/>
    <cellStyle name="Normal 2 2 4 2 2 15 6" xfId="22582" xr:uid="{00000000-0005-0000-0000-000036580000}"/>
    <cellStyle name="Normal 2 2 4 2 2 15 7" xfId="22583" xr:uid="{00000000-0005-0000-0000-000037580000}"/>
    <cellStyle name="Normal 2 2 4 2 2 15 8" xfId="22584" xr:uid="{00000000-0005-0000-0000-000038580000}"/>
    <cellStyle name="Normal 2 2 4 2 2 15 9" xfId="22585" xr:uid="{00000000-0005-0000-0000-000039580000}"/>
    <cellStyle name="Normal 2 2 4 2 2 16" xfId="22586" xr:uid="{00000000-0005-0000-0000-00003A580000}"/>
    <cellStyle name="Normal 2 2 4 2 2 16 10" xfId="22587" xr:uid="{00000000-0005-0000-0000-00003B580000}"/>
    <cellStyle name="Normal 2 2 4 2 2 16 11" xfId="22588" xr:uid="{00000000-0005-0000-0000-00003C580000}"/>
    <cellStyle name="Normal 2 2 4 2 2 16 12" xfId="22589" xr:uid="{00000000-0005-0000-0000-00003D580000}"/>
    <cellStyle name="Normal 2 2 4 2 2 16 13" xfId="22590" xr:uid="{00000000-0005-0000-0000-00003E580000}"/>
    <cellStyle name="Normal 2 2 4 2 2 16 14" xfId="22591" xr:uid="{00000000-0005-0000-0000-00003F580000}"/>
    <cellStyle name="Normal 2 2 4 2 2 16 2" xfId="22592" xr:uid="{00000000-0005-0000-0000-000040580000}"/>
    <cellStyle name="Normal 2 2 4 2 2 16 2 10" xfId="22593" xr:uid="{00000000-0005-0000-0000-000041580000}"/>
    <cellStyle name="Normal 2 2 4 2 2 16 2 2" xfId="22594" xr:uid="{00000000-0005-0000-0000-000042580000}"/>
    <cellStyle name="Normal 2 2 4 2 2 16 2 3" xfId="22595" xr:uid="{00000000-0005-0000-0000-000043580000}"/>
    <cellStyle name="Normal 2 2 4 2 2 16 2 4" xfId="22596" xr:uid="{00000000-0005-0000-0000-000044580000}"/>
    <cellStyle name="Normal 2 2 4 2 2 16 2 5" xfId="22597" xr:uid="{00000000-0005-0000-0000-000045580000}"/>
    <cellStyle name="Normal 2 2 4 2 2 16 2 6" xfId="22598" xr:uid="{00000000-0005-0000-0000-000046580000}"/>
    <cellStyle name="Normal 2 2 4 2 2 16 2 7" xfId="22599" xr:uid="{00000000-0005-0000-0000-000047580000}"/>
    <cellStyle name="Normal 2 2 4 2 2 16 2 8" xfId="22600" xr:uid="{00000000-0005-0000-0000-000048580000}"/>
    <cellStyle name="Normal 2 2 4 2 2 16 2 9" xfId="22601" xr:uid="{00000000-0005-0000-0000-000049580000}"/>
    <cellStyle name="Normal 2 2 4 2 2 16 3" xfId="22602" xr:uid="{00000000-0005-0000-0000-00004A580000}"/>
    <cellStyle name="Normal 2 2 4 2 2 16 3 10" xfId="22603" xr:uid="{00000000-0005-0000-0000-00004B580000}"/>
    <cellStyle name="Normal 2 2 4 2 2 16 3 2" xfId="22604" xr:uid="{00000000-0005-0000-0000-00004C580000}"/>
    <cellStyle name="Normal 2 2 4 2 2 16 3 3" xfId="22605" xr:uid="{00000000-0005-0000-0000-00004D580000}"/>
    <cellStyle name="Normal 2 2 4 2 2 16 3 4" xfId="22606" xr:uid="{00000000-0005-0000-0000-00004E580000}"/>
    <cellStyle name="Normal 2 2 4 2 2 16 3 5" xfId="22607" xr:uid="{00000000-0005-0000-0000-00004F580000}"/>
    <cellStyle name="Normal 2 2 4 2 2 16 3 6" xfId="22608" xr:uid="{00000000-0005-0000-0000-000050580000}"/>
    <cellStyle name="Normal 2 2 4 2 2 16 3 7" xfId="22609" xr:uid="{00000000-0005-0000-0000-000051580000}"/>
    <cellStyle name="Normal 2 2 4 2 2 16 3 8" xfId="22610" xr:uid="{00000000-0005-0000-0000-000052580000}"/>
    <cellStyle name="Normal 2 2 4 2 2 16 3 9" xfId="22611" xr:uid="{00000000-0005-0000-0000-000053580000}"/>
    <cellStyle name="Normal 2 2 4 2 2 16 4" xfId="22612" xr:uid="{00000000-0005-0000-0000-000054580000}"/>
    <cellStyle name="Normal 2 2 4 2 2 16 4 10" xfId="22613" xr:uid="{00000000-0005-0000-0000-000055580000}"/>
    <cellStyle name="Normal 2 2 4 2 2 16 4 2" xfId="22614" xr:uid="{00000000-0005-0000-0000-000056580000}"/>
    <cellStyle name="Normal 2 2 4 2 2 16 4 3" xfId="22615" xr:uid="{00000000-0005-0000-0000-000057580000}"/>
    <cellStyle name="Normal 2 2 4 2 2 16 4 4" xfId="22616" xr:uid="{00000000-0005-0000-0000-000058580000}"/>
    <cellStyle name="Normal 2 2 4 2 2 16 4 5" xfId="22617" xr:uid="{00000000-0005-0000-0000-000059580000}"/>
    <cellStyle name="Normal 2 2 4 2 2 16 4 6" xfId="22618" xr:uid="{00000000-0005-0000-0000-00005A580000}"/>
    <cellStyle name="Normal 2 2 4 2 2 16 4 7" xfId="22619" xr:uid="{00000000-0005-0000-0000-00005B580000}"/>
    <cellStyle name="Normal 2 2 4 2 2 16 4 8" xfId="22620" xr:uid="{00000000-0005-0000-0000-00005C580000}"/>
    <cellStyle name="Normal 2 2 4 2 2 16 4 9" xfId="22621" xr:uid="{00000000-0005-0000-0000-00005D580000}"/>
    <cellStyle name="Normal 2 2 4 2 2 16 5" xfId="22622" xr:uid="{00000000-0005-0000-0000-00005E580000}"/>
    <cellStyle name="Normal 2 2 4 2 2 16 5 10" xfId="22623" xr:uid="{00000000-0005-0000-0000-00005F580000}"/>
    <cellStyle name="Normal 2 2 4 2 2 16 5 2" xfId="22624" xr:uid="{00000000-0005-0000-0000-000060580000}"/>
    <cellStyle name="Normal 2 2 4 2 2 16 5 3" xfId="22625" xr:uid="{00000000-0005-0000-0000-000061580000}"/>
    <cellStyle name="Normal 2 2 4 2 2 16 5 4" xfId="22626" xr:uid="{00000000-0005-0000-0000-000062580000}"/>
    <cellStyle name="Normal 2 2 4 2 2 16 5 5" xfId="22627" xr:uid="{00000000-0005-0000-0000-000063580000}"/>
    <cellStyle name="Normal 2 2 4 2 2 16 5 6" xfId="22628" xr:uid="{00000000-0005-0000-0000-000064580000}"/>
    <cellStyle name="Normal 2 2 4 2 2 16 5 7" xfId="22629" xr:uid="{00000000-0005-0000-0000-000065580000}"/>
    <cellStyle name="Normal 2 2 4 2 2 16 5 8" xfId="22630" xr:uid="{00000000-0005-0000-0000-000066580000}"/>
    <cellStyle name="Normal 2 2 4 2 2 16 5 9" xfId="22631" xr:uid="{00000000-0005-0000-0000-000067580000}"/>
    <cellStyle name="Normal 2 2 4 2 2 16 6" xfId="22632" xr:uid="{00000000-0005-0000-0000-000068580000}"/>
    <cellStyle name="Normal 2 2 4 2 2 16 7" xfId="22633" xr:uid="{00000000-0005-0000-0000-000069580000}"/>
    <cellStyle name="Normal 2 2 4 2 2 16 8" xfId="22634" xr:uid="{00000000-0005-0000-0000-00006A580000}"/>
    <cellStyle name="Normal 2 2 4 2 2 16 9" xfId="22635" xr:uid="{00000000-0005-0000-0000-00006B580000}"/>
    <cellStyle name="Normal 2 2 4 2 2 17" xfId="22636" xr:uid="{00000000-0005-0000-0000-00006C580000}"/>
    <cellStyle name="Normal 2 2 4 2 2 17 10" xfId="22637" xr:uid="{00000000-0005-0000-0000-00006D580000}"/>
    <cellStyle name="Normal 2 2 4 2 2 17 11" xfId="22638" xr:uid="{00000000-0005-0000-0000-00006E580000}"/>
    <cellStyle name="Normal 2 2 4 2 2 17 12" xfId="22639" xr:uid="{00000000-0005-0000-0000-00006F580000}"/>
    <cellStyle name="Normal 2 2 4 2 2 17 13" xfId="22640" xr:uid="{00000000-0005-0000-0000-000070580000}"/>
    <cellStyle name="Normal 2 2 4 2 2 17 14" xfId="22641" xr:uid="{00000000-0005-0000-0000-000071580000}"/>
    <cellStyle name="Normal 2 2 4 2 2 17 2" xfId="22642" xr:uid="{00000000-0005-0000-0000-000072580000}"/>
    <cellStyle name="Normal 2 2 4 2 2 17 2 10" xfId="22643" xr:uid="{00000000-0005-0000-0000-000073580000}"/>
    <cellStyle name="Normal 2 2 4 2 2 17 2 2" xfId="22644" xr:uid="{00000000-0005-0000-0000-000074580000}"/>
    <cellStyle name="Normal 2 2 4 2 2 17 2 3" xfId="22645" xr:uid="{00000000-0005-0000-0000-000075580000}"/>
    <cellStyle name="Normal 2 2 4 2 2 17 2 4" xfId="22646" xr:uid="{00000000-0005-0000-0000-000076580000}"/>
    <cellStyle name="Normal 2 2 4 2 2 17 2 5" xfId="22647" xr:uid="{00000000-0005-0000-0000-000077580000}"/>
    <cellStyle name="Normal 2 2 4 2 2 17 2 6" xfId="22648" xr:uid="{00000000-0005-0000-0000-000078580000}"/>
    <cellStyle name="Normal 2 2 4 2 2 17 2 7" xfId="22649" xr:uid="{00000000-0005-0000-0000-000079580000}"/>
    <cellStyle name="Normal 2 2 4 2 2 17 2 8" xfId="22650" xr:uid="{00000000-0005-0000-0000-00007A580000}"/>
    <cellStyle name="Normal 2 2 4 2 2 17 2 9" xfId="22651" xr:uid="{00000000-0005-0000-0000-00007B580000}"/>
    <cellStyle name="Normal 2 2 4 2 2 17 3" xfId="22652" xr:uid="{00000000-0005-0000-0000-00007C580000}"/>
    <cellStyle name="Normal 2 2 4 2 2 17 3 10" xfId="22653" xr:uid="{00000000-0005-0000-0000-00007D580000}"/>
    <cellStyle name="Normal 2 2 4 2 2 17 3 2" xfId="22654" xr:uid="{00000000-0005-0000-0000-00007E580000}"/>
    <cellStyle name="Normal 2 2 4 2 2 17 3 3" xfId="22655" xr:uid="{00000000-0005-0000-0000-00007F580000}"/>
    <cellStyle name="Normal 2 2 4 2 2 17 3 4" xfId="22656" xr:uid="{00000000-0005-0000-0000-000080580000}"/>
    <cellStyle name="Normal 2 2 4 2 2 17 3 5" xfId="22657" xr:uid="{00000000-0005-0000-0000-000081580000}"/>
    <cellStyle name="Normal 2 2 4 2 2 17 3 6" xfId="22658" xr:uid="{00000000-0005-0000-0000-000082580000}"/>
    <cellStyle name="Normal 2 2 4 2 2 17 3 7" xfId="22659" xr:uid="{00000000-0005-0000-0000-000083580000}"/>
    <cellStyle name="Normal 2 2 4 2 2 17 3 8" xfId="22660" xr:uid="{00000000-0005-0000-0000-000084580000}"/>
    <cellStyle name="Normal 2 2 4 2 2 17 3 9" xfId="22661" xr:uid="{00000000-0005-0000-0000-000085580000}"/>
    <cellStyle name="Normal 2 2 4 2 2 17 4" xfId="22662" xr:uid="{00000000-0005-0000-0000-000086580000}"/>
    <cellStyle name="Normal 2 2 4 2 2 17 4 10" xfId="22663" xr:uid="{00000000-0005-0000-0000-000087580000}"/>
    <cellStyle name="Normal 2 2 4 2 2 17 4 2" xfId="22664" xr:uid="{00000000-0005-0000-0000-000088580000}"/>
    <cellStyle name="Normal 2 2 4 2 2 17 4 3" xfId="22665" xr:uid="{00000000-0005-0000-0000-000089580000}"/>
    <cellStyle name="Normal 2 2 4 2 2 17 4 4" xfId="22666" xr:uid="{00000000-0005-0000-0000-00008A580000}"/>
    <cellStyle name="Normal 2 2 4 2 2 17 4 5" xfId="22667" xr:uid="{00000000-0005-0000-0000-00008B580000}"/>
    <cellStyle name="Normal 2 2 4 2 2 17 4 6" xfId="22668" xr:uid="{00000000-0005-0000-0000-00008C580000}"/>
    <cellStyle name="Normal 2 2 4 2 2 17 4 7" xfId="22669" xr:uid="{00000000-0005-0000-0000-00008D580000}"/>
    <cellStyle name="Normal 2 2 4 2 2 17 4 8" xfId="22670" xr:uid="{00000000-0005-0000-0000-00008E580000}"/>
    <cellStyle name="Normal 2 2 4 2 2 17 4 9" xfId="22671" xr:uid="{00000000-0005-0000-0000-00008F580000}"/>
    <cellStyle name="Normal 2 2 4 2 2 17 5" xfId="22672" xr:uid="{00000000-0005-0000-0000-000090580000}"/>
    <cellStyle name="Normal 2 2 4 2 2 17 5 10" xfId="22673" xr:uid="{00000000-0005-0000-0000-000091580000}"/>
    <cellStyle name="Normal 2 2 4 2 2 17 5 2" xfId="22674" xr:uid="{00000000-0005-0000-0000-000092580000}"/>
    <cellStyle name="Normal 2 2 4 2 2 17 5 3" xfId="22675" xr:uid="{00000000-0005-0000-0000-000093580000}"/>
    <cellStyle name="Normal 2 2 4 2 2 17 5 4" xfId="22676" xr:uid="{00000000-0005-0000-0000-000094580000}"/>
    <cellStyle name="Normal 2 2 4 2 2 17 5 5" xfId="22677" xr:uid="{00000000-0005-0000-0000-000095580000}"/>
    <cellStyle name="Normal 2 2 4 2 2 17 5 6" xfId="22678" xr:uid="{00000000-0005-0000-0000-000096580000}"/>
    <cellStyle name="Normal 2 2 4 2 2 17 5 7" xfId="22679" xr:uid="{00000000-0005-0000-0000-000097580000}"/>
    <cellStyle name="Normal 2 2 4 2 2 17 5 8" xfId="22680" xr:uid="{00000000-0005-0000-0000-000098580000}"/>
    <cellStyle name="Normal 2 2 4 2 2 17 5 9" xfId="22681" xr:uid="{00000000-0005-0000-0000-000099580000}"/>
    <cellStyle name="Normal 2 2 4 2 2 17 6" xfId="22682" xr:uid="{00000000-0005-0000-0000-00009A580000}"/>
    <cellStyle name="Normal 2 2 4 2 2 17 7" xfId="22683" xr:uid="{00000000-0005-0000-0000-00009B580000}"/>
    <cellStyle name="Normal 2 2 4 2 2 17 8" xfId="22684" xr:uid="{00000000-0005-0000-0000-00009C580000}"/>
    <cellStyle name="Normal 2 2 4 2 2 17 9" xfId="22685" xr:uid="{00000000-0005-0000-0000-00009D580000}"/>
    <cellStyle name="Normal 2 2 4 2 2 18" xfId="22686" xr:uid="{00000000-0005-0000-0000-00009E580000}"/>
    <cellStyle name="Normal 2 2 4 2 2 18 10" xfId="22687" xr:uid="{00000000-0005-0000-0000-00009F580000}"/>
    <cellStyle name="Normal 2 2 4 2 2 18 11" xfId="22688" xr:uid="{00000000-0005-0000-0000-0000A0580000}"/>
    <cellStyle name="Normal 2 2 4 2 2 18 12" xfId="22689" xr:uid="{00000000-0005-0000-0000-0000A1580000}"/>
    <cellStyle name="Normal 2 2 4 2 2 18 13" xfId="22690" xr:uid="{00000000-0005-0000-0000-0000A2580000}"/>
    <cellStyle name="Normal 2 2 4 2 2 18 14" xfId="22691" xr:uid="{00000000-0005-0000-0000-0000A3580000}"/>
    <cellStyle name="Normal 2 2 4 2 2 18 2" xfId="22692" xr:uid="{00000000-0005-0000-0000-0000A4580000}"/>
    <cellStyle name="Normal 2 2 4 2 2 18 2 10" xfId="22693" xr:uid="{00000000-0005-0000-0000-0000A5580000}"/>
    <cellStyle name="Normal 2 2 4 2 2 18 2 2" xfId="22694" xr:uid="{00000000-0005-0000-0000-0000A6580000}"/>
    <cellStyle name="Normal 2 2 4 2 2 18 2 3" xfId="22695" xr:uid="{00000000-0005-0000-0000-0000A7580000}"/>
    <cellStyle name="Normal 2 2 4 2 2 18 2 4" xfId="22696" xr:uid="{00000000-0005-0000-0000-0000A8580000}"/>
    <cellStyle name="Normal 2 2 4 2 2 18 2 5" xfId="22697" xr:uid="{00000000-0005-0000-0000-0000A9580000}"/>
    <cellStyle name="Normal 2 2 4 2 2 18 2 6" xfId="22698" xr:uid="{00000000-0005-0000-0000-0000AA580000}"/>
    <cellStyle name="Normal 2 2 4 2 2 18 2 7" xfId="22699" xr:uid="{00000000-0005-0000-0000-0000AB580000}"/>
    <cellStyle name="Normal 2 2 4 2 2 18 2 8" xfId="22700" xr:uid="{00000000-0005-0000-0000-0000AC580000}"/>
    <cellStyle name="Normal 2 2 4 2 2 18 2 9" xfId="22701" xr:uid="{00000000-0005-0000-0000-0000AD580000}"/>
    <cellStyle name="Normal 2 2 4 2 2 18 3" xfId="22702" xr:uid="{00000000-0005-0000-0000-0000AE580000}"/>
    <cellStyle name="Normal 2 2 4 2 2 18 3 10" xfId="22703" xr:uid="{00000000-0005-0000-0000-0000AF580000}"/>
    <cellStyle name="Normal 2 2 4 2 2 18 3 2" xfId="22704" xr:uid="{00000000-0005-0000-0000-0000B0580000}"/>
    <cellStyle name="Normal 2 2 4 2 2 18 3 3" xfId="22705" xr:uid="{00000000-0005-0000-0000-0000B1580000}"/>
    <cellStyle name="Normal 2 2 4 2 2 18 3 4" xfId="22706" xr:uid="{00000000-0005-0000-0000-0000B2580000}"/>
    <cellStyle name="Normal 2 2 4 2 2 18 3 5" xfId="22707" xr:uid="{00000000-0005-0000-0000-0000B3580000}"/>
    <cellStyle name="Normal 2 2 4 2 2 18 3 6" xfId="22708" xr:uid="{00000000-0005-0000-0000-0000B4580000}"/>
    <cellStyle name="Normal 2 2 4 2 2 18 3 7" xfId="22709" xr:uid="{00000000-0005-0000-0000-0000B5580000}"/>
    <cellStyle name="Normal 2 2 4 2 2 18 3 8" xfId="22710" xr:uid="{00000000-0005-0000-0000-0000B6580000}"/>
    <cellStyle name="Normal 2 2 4 2 2 18 3 9" xfId="22711" xr:uid="{00000000-0005-0000-0000-0000B7580000}"/>
    <cellStyle name="Normal 2 2 4 2 2 18 4" xfId="22712" xr:uid="{00000000-0005-0000-0000-0000B8580000}"/>
    <cellStyle name="Normal 2 2 4 2 2 18 4 10" xfId="22713" xr:uid="{00000000-0005-0000-0000-0000B9580000}"/>
    <cellStyle name="Normal 2 2 4 2 2 18 4 2" xfId="22714" xr:uid="{00000000-0005-0000-0000-0000BA580000}"/>
    <cellStyle name="Normal 2 2 4 2 2 18 4 3" xfId="22715" xr:uid="{00000000-0005-0000-0000-0000BB580000}"/>
    <cellStyle name="Normal 2 2 4 2 2 18 4 4" xfId="22716" xr:uid="{00000000-0005-0000-0000-0000BC580000}"/>
    <cellStyle name="Normal 2 2 4 2 2 18 4 5" xfId="22717" xr:uid="{00000000-0005-0000-0000-0000BD580000}"/>
    <cellStyle name="Normal 2 2 4 2 2 18 4 6" xfId="22718" xr:uid="{00000000-0005-0000-0000-0000BE580000}"/>
    <cellStyle name="Normal 2 2 4 2 2 18 4 7" xfId="22719" xr:uid="{00000000-0005-0000-0000-0000BF580000}"/>
    <cellStyle name="Normal 2 2 4 2 2 18 4 8" xfId="22720" xr:uid="{00000000-0005-0000-0000-0000C0580000}"/>
    <cellStyle name="Normal 2 2 4 2 2 18 4 9" xfId="22721" xr:uid="{00000000-0005-0000-0000-0000C1580000}"/>
    <cellStyle name="Normal 2 2 4 2 2 18 5" xfId="22722" xr:uid="{00000000-0005-0000-0000-0000C2580000}"/>
    <cellStyle name="Normal 2 2 4 2 2 18 5 10" xfId="22723" xr:uid="{00000000-0005-0000-0000-0000C3580000}"/>
    <cellStyle name="Normal 2 2 4 2 2 18 5 2" xfId="22724" xr:uid="{00000000-0005-0000-0000-0000C4580000}"/>
    <cellStyle name="Normal 2 2 4 2 2 18 5 3" xfId="22725" xr:uid="{00000000-0005-0000-0000-0000C5580000}"/>
    <cellStyle name="Normal 2 2 4 2 2 18 5 4" xfId="22726" xr:uid="{00000000-0005-0000-0000-0000C6580000}"/>
    <cellStyle name="Normal 2 2 4 2 2 18 5 5" xfId="22727" xr:uid="{00000000-0005-0000-0000-0000C7580000}"/>
    <cellStyle name="Normal 2 2 4 2 2 18 5 6" xfId="22728" xr:uid="{00000000-0005-0000-0000-0000C8580000}"/>
    <cellStyle name="Normal 2 2 4 2 2 18 5 7" xfId="22729" xr:uid="{00000000-0005-0000-0000-0000C9580000}"/>
    <cellStyle name="Normal 2 2 4 2 2 18 5 8" xfId="22730" xr:uid="{00000000-0005-0000-0000-0000CA580000}"/>
    <cellStyle name="Normal 2 2 4 2 2 18 5 9" xfId="22731" xr:uid="{00000000-0005-0000-0000-0000CB580000}"/>
    <cellStyle name="Normal 2 2 4 2 2 18 6" xfId="22732" xr:uid="{00000000-0005-0000-0000-0000CC580000}"/>
    <cellStyle name="Normal 2 2 4 2 2 18 7" xfId="22733" xr:uid="{00000000-0005-0000-0000-0000CD580000}"/>
    <cellStyle name="Normal 2 2 4 2 2 18 8" xfId="22734" xr:uid="{00000000-0005-0000-0000-0000CE580000}"/>
    <cellStyle name="Normal 2 2 4 2 2 18 9" xfId="22735" xr:uid="{00000000-0005-0000-0000-0000CF580000}"/>
    <cellStyle name="Normal 2 2 4 2 2 19" xfId="22736" xr:uid="{00000000-0005-0000-0000-0000D0580000}"/>
    <cellStyle name="Normal 2 2 4 2 2 19 10" xfId="22737" xr:uid="{00000000-0005-0000-0000-0000D1580000}"/>
    <cellStyle name="Normal 2 2 4 2 2 19 11" xfId="22738" xr:uid="{00000000-0005-0000-0000-0000D2580000}"/>
    <cellStyle name="Normal 2 2 4 2 2 19 12" xfId="22739" xr:uid="{00000000-0005-0000-0000-0000D3580000}"/>
    <cellStyle name="Normal 2 2 4 2 2 19 13" xfId="22740" xr:uid="{00000000-0005-0000-0000-0000D4580000}"/>
    <cellStyle name="Normal 2 2 4 2 2 19 14" xfId="22741" xr:uid="{00000000-0005-0000-0000-0000D5580000}"/>
    <cellStyle name="Normal 2 2 4 2 2 19 2" xfId="22742" xr:uid="{00000000-0005-0000-0000-0000D6580000}"/>
    <cellStyle name="Normal 2 2 4 2 2 19 2 10" xfId="22743" xr:uid="{00000000-0005-0000-0000-0000D7580000}"/>
    <cellStyle name="Normal 2 2 4 2 2 19 2 2" xfId="22744" xr:uid="{00000000-0005-0000-0000-0000D8580000}"/>
    <cellStyle name="Normal 2 2 4 2 2 19 2 3" xfId="22745" xr:uid="{00000000-0005-0000-0000-0000D9580000}"/>
    <cellStyle name="Normal 2 2 4 2 2 19 2 4" xfId="22746" xr:uid="{00000000-0005-0000-0000-0000DA580000}"/>
    <cellStyle name="Normal 2 2 4 2 2 19 2 5" xfId="22747" xr:uid="{00000000-0005-0000-0000-0000DB580000}"/>
    <cellStyle name="Normal 2 2 4 2 2 19 2 6" xfId="22748" xr:uid="{00000000-0005-0000-0000-0000DC580000}"/>
    <cellStyle name="Normal 2 2 4 2 2 19 2 7" xfId="22749" xr:uid="{00000000-0005-0000-0000-0000DD580000}"/>
    <cellStyle name="Normal 2 2 4 2 2 19 2 8" xfId="22750" xr:uid="{00000000-0005-0000-0000-0000DE580000}"/>
    <cellStyle name="Normal 2 2 4 2 2 19 2 9" xfId="22751" xr:uid="{00000000-0005-0000-0000-0000DF580000}"/>
    <cellStyle name="Normal 2 2 4 2 2 19 3" xfId="22752" xr:uid="{00000000-0005-0000-0000-0000E0580000}"/>
    <cellStyle name="Normal 2 2 4 2 2 19 3 10" xfId="22753" xr:uid="{00000000-0005-0000-0000-0000E1580000}"/>
    <cellStyle name="Normal 2 2 4 2 2 19 3 2" xfId="22754" xr:uid="{00000000-0005-0000-0000-0000E2580000}"/>
    <cellStyle name="Normal 2 2 4 2 2 19 3 3" xfId="22755" xr:uid="{00000000-0005-0000-0000-0000E3580000}"/>
    <cellStyle name="Normal 2 2 4 2 2 19 3 4" xfId="22756" xr:uid="{00000000-0005-0000-0000-0000E4580000}"/>
    <cellStyle name="Normal 2 2 4 2 2 19 3 5" xfId="22757" xr:uid="{00000000-0005-0000-0000-0000E5580000}"/>
    <cellStyle name="Normal 2 2 4 2 2 19 3 6" xfId="22758" xr:uid="{00000000-0005-0000-0000-0000E6580000}"/>
    <cellStyle name="Normal 2 2 4 2 2 19 3 7" xfId="22759" xr:uid="{00000000-0005-0000-0000-0000E7580000}"/>
    <cellStyle name="Normal 2 2 4 2 2 19 3 8" xfId="22760" xr:uid="{00000000-0005-0000-0000-0000E8580000}"/>
    <cellStyle name="Normal 2 2 4 2 2 19 3 9" xfId="22761" xr:uid="{00000000-0005-0000-0000-0000E9580000}"/>
    <cellStyle name="Normal 2 2 4 2 2 19 4" xfId="22762" xr:uid="{00000000-0005-0000-0000-0000EA580000}"/>
    <cellStyle name="Normal 2 2 4 2 2 19 4 10" xfId="22763" xr:uid="{00000000-0005-0000-0000-0000EB580000}"/>
    <cellStyle name="Normal 2 2 4 2 2 19 4 2" xfId="22764" xr:uid="{00000000-0005-0000-0000-0000EC580000}"/>
    <cellStyle name="Normal 2 2 4 2 2 19 4 3" xfId="22765" xr:uid="{00000000-0005-0000-0000-0000ED580000}"/>
    <cellStyle name="Normal 2 2 4 2 2 19 4 4" xfId="22766" xr:uid="{00000000-0005-0000-0000-0000EE580000}"/>
    <cellStyle name="Normal 2 2 4 2 2 19 4 5" xfId="22767" xr:uid="{00000000-0005-0000-0000-0000EF580000}"/>
    <cellStyle name="Normal 2 2 4 2 2 19 4 6" xfId="22768" xr:uid="{00000000-0005-0000-0000-0000F0580000}"/>
    <cellStyle name="Normal 2 2 4 2 2 19 4 7" xfId="22769" xr:uid="{00000000-0005-0000-0000-0000F1580000}"/>
    <cellStyle name="Normal 2 2 4 2 2 19 4 8" xfId="22770" xr:uid="{00000000-0005-0000-0000-0000F2580000}"/>
    <cellStyle name="Normal 2 2 4 2 2 19 4 9" xfId="22771" xr:uid="{00000000-0005-0000-0000-0000F3580000}"/>
    <cellStyle name="Normal 2 2 4 2 2 19 5" xfId="22772" xr:uid="{00000000-0005-0000-0000-0000F4580000}"/>
    <cellStyle name="Normal 2 2 4 2 2 19 5 10" xfId="22773" xr:uid="{00000000-0005-0000-0000-0000F5580000}"/>
    <cellStyle name="Normal 2 2 4 2 2 19 5 2" xfId="22774" xr:uid="{00000000-0005-0000-0000-0000F6580000}"/>
    <cellStyle name="Normal 2 2 4 2 2 19 5 3" xfId="22775" xr:uid="{00000000-0005-0000-0000-0000F7580000}"/>
    <cellStyle name="Normal 2 2 4 2 2 19 5 4" xfId="22776" xr:uid="{00000000-0005-0000-0000-0000F8580000}"/>
    <cellStyle name="Normal 2 2 4 2 2 19 5 5" xfId="22777" xr:uid="{00000000-0005-0000-0000-0000F9580000}"/>
    <cellStyle name="Normal 2 2 4 2 2 19 5 6" xfId="22778" xr:uid="{00000000-0005-0000-0000-0000FA580000}"/>
    <cellStyle name="Normal 2 2 4 2 2 19 5 7" xfId="22779" xr:uid="{00000000-0005-0000-0000-0000FB580000}"/>
    <cellStyle name="Normal 2 2 4 2 2 19 5 8" xfId="22780" xr:uid="{00000000-0005-0000-0000-0000FC580000}"/>
    <cellStyle name="Normal 2 2 4 2 2 19 5 9" xfId="22781" xr:uid="{00000000-0005-0000-0000-0000FD580000}"/>
    <cellStyle name="Normal 2 2 4 2 2 19 6" xfId="22782" xr:uid="{00000000-0005-0000-0000-0000FE580000}"/>
    <cellStyle name="Normal 2 2 4 2 2 19 7" xfId="22783" xr:uid="{00000000-0005-0000-0000-0000FF580000}"/>
    <cellStyle name="Normal 2 2 4 2 2 19 8" xfId="22784" xr:uid="{00000000-0005-0000-0000-000000590000}"/>
    <cellStyle name="Normal 2 2 4 2 2 19 9" xfId="22785" xr:uid="{00000000-0005-0000-0000-000001590000}"/>
    <cellStyle name="Normal 2 2 4 2 2 2" xfId="22786" xr:uid="{00000000-0005-0000-0000-000002590000}"/>
    <cellStyle name="Normal 2 2 4 2 2 2 10" xfId="22787" xr:uid="{00000000-0005-0000-0000-000003590000}"/>
    <cellStyle name="Normal 2 2 4 2 2 2 11" xfId="22788" xr:uid="{00000000-0005-0000-0000-000004590000}"/>
    <cellStyle name="Normal 2 2 4 2 2 2 12" xfId="22789" xr:uid="{00000000-0005-0000-0000-000005590000}"/>
    <cellStyle name="Normal 2 2 4 2 2 2 13" xfId="22790" xr:uid="{00000000-0005-0000-0000-000006590000}"/>
    <cellStyle name="Normal 2 2 4 2 2 2 14" xfId="22791" xr:uid="{00000000-0005-0000-0000-000007590000}"/>
    <cellStyle name="Normal 2 2 4 2 2 2 2" xfId="22792" xr:uid="{00000000-0005-0000-0000-000008590000}"/>
    <cellStyle name="Normal 2 2 4 2 2 2 2 10" xfId="22793" xr:uid="{00000000-0005-0000-0000-000009590000}"/>
    <cellStyle name="Normal 2 2 4 2 2 2 2 2" xfId="22794" xr:uid="{00000000-0005-0000-0000-00000A590000}"/>
    <cellStyle name="Normal 2 2 4 2 2 2 2 3" xfId="22795" xr:uid="{00000000-0005-0000-0000-00000B590000}"/>
    <cellStyle name="Normal 2 2 4 2 2 2 2 4" xfId="22796" xr:uid="{00000000-0005-0000-0000-00000C590000}"/>
    <cellStyle name="Normal 2 2 4 2 2 2 2 5" xfId="22797" xr:uid="{00000000-0005-0000-0000-00000D590000}"/>
    <cellStyle name="Normal 2 2 4 2 2 2 2 6" xfId="22798" xr:uid="{00000000-0005-0000-0000-00000E590000}"/>
    <cellStyle name="Normal 2 2 4 2 2 2 2 7" xfId="22799" xr:uid="{00000000-0005-0000-0000-00000F590000}"/>
    <cellStyle name="Normal 2 2 4 2 2 2 2 8" xfId="22800" xr:uid="{00000000-0005-0000-0000-000010590000}"/>
    <cellStyle name="Normal 2 2 4 2 2 2 2 9" xfId="22801" xr:uid="{00000000-0005-0000-0000-000011590000}"/>
    <cellStyle name="Normal 2 2 4 2 2 2 3" xfId="22802" xr:uid="{00000000-0005-0000-0000-000012590000}"/>
    <cellStyle name="Normal 2 2 4 2 2 2 3 10" xfId="22803" xr:uid="{00000000-0005-0000-0000-000013590000}"/>
    <cellStyle name="Normal 2 2 4 2 2 2 3 2" xfId="22804" xr:uid="{00000000-0005-0000-0000-000014590000}"/>
    <cellStyle name="Normal 2 2 4 2 2 2 3 3" xfId="22805" xr:uid="{00000000-0005-0000-0000-000015590000}"/>
    <cellStyle name="Normal 2 2 4 2 2 2 3 4" xfId="22806" xr:uid="{00000000-0005-0000-0000-000016590000}"/>
    <cellStyle name="Normal 2 2 4 2 2 2 3 5" xfId="22807" xr:uid="{00000000-0005-0000-0000-000017590000}"/>
    <cellStyle name="Normal 2 2 4 2 2 2 3 6" xfId="22808" xr:uid="{00000000-0005-0000-0000-000018590000}"/>
    <cellStyle name="Normal 2 2 4 2 2 2 3 7" xfId="22809" xr:uid="{00000000-0005-0000-0000-000019590000}"/>
    <cellStyle name="Normal 2 2 4 2 2 2 3 8" xfId="22810" xr:uid="{00000000-0005-0000-0000-00001A590000}"/>
    <cellStyle name="Normal 2 2 4 2 2 2 3 9" xfId="22811" xr:uid="{00000000-0005-0000-0000-00001B590000}"/>
    <cellStyle name="Normal 2 2 4 2 2 2 4" xfId="22812" xr:uid="{00000000-0005-0000-0000-00001C590000}"/>
    <cellStyle name="Normal 2 2 4 2 2 2 4 10" xfId="22813" xr:uid="{00000000-0005-0000-0000-00001D590000}"/>
    <cellStyle name="Normal 2 2 4 2 2 2 4 2" xfId="22814" xr:uid="{00000000-0005-0000-0000-00001E590000}"/>
    <cellStyle name="Normal 2 2 4 2 2 2 4 3" xfId="22815" xr:uid="{00000000-0005-0000-0000-00001F590000}"/>
    <cellStyle name="Normal 2 2 4 2 2 2 4 4" xfId="22816" xr:uid="{00000000-0005-0000-0000-000020590000}"/>
    <cellStyle name="Normal 2 2 4 2 2 2 4 5" xfId="22817" xr:uid="{00000000-0005-0000-0000-000021590000}"/>
    <cellStyle name="Normal 2 2 4 2 2 2 4 6" xfId="22818" xr:uid="{00000000-0005-0000-0000-000022590000}"/>
    <cellStyle name="Normal 2 2 4 2 2 2 4 7" xfId="22819" xr:uid="{00000000-0005-0000-0000-000023590000}"/>
    <cellStyle name="Normal 2 2 4 2 2 2 4 8" xfId="22820" xr:uid="{00000000-0005-0000-0000-000024590000}"/>
    <cellStyle name="Normal 2 2 4 2 2 2 4 9" xfId="22821" xr:uid="{00000000-0005-0000-0000-000025590000}"/>
    <cellStyle name="Normal 2 2 4 2 2 2 5" xfId="22822" xr:uid="{00000000-0005-0000-0000-000026590000}"/>
    <cellStyle name="Normal 2 2 4 2 2 2 5 10" xfId="22823" xr:uid="{00000000-0005-0000-0000-000027590000}"/>
    <cellStyle name="Normal 2 2 4 2 2 2 5 2" xfId="22824" xr:uid="{00000000-0005-0000-0000-000028590000}"/>
    <cellStyle name="Normal 2 2 4 2 2 2 5 3" xfId="22825" xr:uid="{00000000-0005-0000-0000-000029590000}"/>
    <cellStyle name="Normal 2 2 4 2 2 2 5 4" xfId="22826" xr:uid="{00000000-0005-0000-0000-00002A590000}"/>
    <cellStyle name="Normal 2 2 4 2 2 2 5 5" xfId="22827" xr:uid="{00000000-0005-0000-0000-00002B590000}"/>
    <cellStyle name="Normal 2 2 4 2 2 2 5 6" xfId="22828" xr:uid="{00000000-0005-0000-0000-00002C590000}"/>
    <cellStyle name="Normal 2 2 4 2 2 2 5 7" xfId="22829" xr:uid="{00000000-0005-0000-0000-00002D590000}"/>
    <cellStyle name="Normal 2 2 4 2 2 2 5 8" xfId="22830" xr:uid="{00000000-0005-0000-0000-00002E590000}"/>
    <cellStyle name="Normal 2 2 4 2 2 2 5 9" xfId="22831" xr:uid="{00000000-0005-0000-0000-00002F590000}"/>
    <cellStyle name="Normal 2 2 4 2 2 2 6" xfId="22832" xr:uid="{00000000-0005-0000-0000-000030590000}"/>
    <cellStyle name="Normal 2 2 4 2 2 2 7" xfId="22833" xr:uid="{00000000-0005-0000-0000-000031590000}"/>
    <cellStyle name="Normal 2 2 4 2 2 2 8" xfId="22834" xr:uid="{00000000-0005-0000-0000-000032590000}"/>
    <cellStyle name="Normal 2 2 4 2 2 2 9" xfId="22835" xr:uid="{00000000-0005-0000-0000-000033590000}"/>
    <cellStyle name="Normal 2 2 4 2 2 20" xfId="22836" xr:uid="{00000000-0005-0000-0000-000034590000}"/>
    <cellStyle name="Normal 2 2 4 2 2 20 10" xfId="22837" xr:uid="{00000000-0005-0000-0000-000035590000}"/>
    <cellStyle name="Normal 2 2 4 2 2 20 11" xfId="22838" xr:uid="{00000000-0005-0000-0000-000036590000}"/>
    <cellStyle name="Normal 2 2 4 2 2 20 12" xfId="22839" xr:uid="{00000000-0005-0000-0000-000037590000}"/>
    <cellStyle name="Normal 2 2 4 2 2 20 13" xfId="22840" xr:uid="{00000000-0005-0000-0000-000038590000}"/>
    <cellStyle name="Normal 2 2 4 2 2 20 14" xfId="22841" xr:uid="{00000000-0005-0000-0000-000039590000}"/>
    <cellStyle name="Normal 2 2 4 2 2 20 2" xfId="22842" xr:uid="{00000000-0005-0000-0000-00003A590000}"/>
    <cellStyle name="Normal 2 2 4 2 2 20 2 10" xfId="22843" xr:uid="{00000000-0005-0000-0000-00003B590000}"/>
    <cellStyle name="Normal 2 2 4 2 2 20 2 2" xfId="22844" xr:uid="{00000000-0005-0000-0000-00003C590000}"/>
    <cellStyle name="Normal 2 2 4 2 2 20 2 3" xfId="22845" xr:uid="{00000000-0005-0000-0000-00003D590000}"/>
    <cellStyle name="Normal 2 2 4 2 2 20 2 4" xfId="22846" xr:uid="{00000000-0005-0000-0000-00003E590000}"/>
    <cellStyle name="Normal 2 2 4 2 2 20 2 5" xfId="22847" xr:uid="{00000000-0005-0000-0000-00003F590000}"/>
    <cellStyle name="Normal 2 2 4 2 2 20 2 6" xfId="22848" xr:uid="{00000000-0005-0000-0000-000040590000}"/>
    <cellStyle name="Normal 2 2 4 2 2 20 2 7" xfId="22849" xr:uid="{00000000-0005-0000-0000-000041590000}"/>
    <cellStyle name="Normal 2 2 4 2 2 20 2 8" xfId="22850" xr:uid="{00000000-0005-0000-0000-000042590000}"/>
    <cellStyle name="Normal 2 2 4 2 2 20 2 9" xfId="22851" xr:uid="{00000000-0005-0000-0000-000043590000}"/>
    <cellStyle name="Normal 2 2 4 2 2 20 3" xfId="22852" xr:uid="{00000000-0005-0000-0000-000044590000}"/>
    <cellStyle name="Normal 2 2 4 2 2 20 3 10" xfId="22853" xr:uid="{00000000-0005-0000-0000-000045590000}"/>
    <cellStyle name="Normal 2 2 4 2 2 20 3 2" xfId="22854" xr:uid="{00000000-0005-0000-0000-000046590000}"/>
    <cellStyle name="Normal 2 2 4 2 2 20 3 3" xfId="22855" xr:uid="{00000000-0005-0000-0000-000047590000}"/>
    <cellStyle name="Normal 2 2 4 2 2 20 3 4" xfId="22856" xr:uid="{00000000-0005-0000-0000-000048590000}"/>
    <cellStyle name="Normal 2 2 4 2 2 20 3 5" xfId="22857" xr:uid="{00000000-0005-0000-0000-000049590000}"/>
    <cellStyle name="Normal 2 2 4 2 2 20 3 6" xfId="22858" xr:uid="{00000000-0005-0000-0000-00004A590000}"/>
    <cellStyle name="Normal 2 2 4 2 2 20 3 7" xfId="22859" xr:uid="{00000000-0005-0000-0000-00004B590000}"/>
    <cellStyle name="Normal 2 2 4 2 2 20 3 8" xfId="22860" xr:uid="{00000000-0005-0000-0000-00004C590000}"/>
    <cellStyle name="Normal 2 2 4 2 2 20 3 9" xfId="22861" xr:uid="{00000000-0005-0000-0000-00004D590000}"/>
    <cellStyle name="Normal 2 2 4 2 2 20 4" xfId="22862" xr:uid="{00000000-0005-0000-0000-00004E590000}"/>
    <cellStyle name="Normal 2 2 4 2 2 20 4 10" xfId="22863" xr:uid="{00000000-0005-0000-0000-00004F590000}"/>
    <cellStyle name="Normal 2 2 4 2 2 20 4 2" xfId="22864" xr:uid="{00000000-0005-0000-0000-000050590000}"/>
    <cellStyle name="Normal 2 2 4 2 2 20 4 3" xfId="22865" xr:uid="{00000000-0005-0000-0000-000051590000}"/>
    <cellStyle name="Normal 2 2 4 2 2 20 4 4" xfId="22866" xr:uid="{00000000-0005-0000-0000-000052590000}"/>
    <cellStyle name="Normal 2 2 4 2 2 20 4 5" xfId="22867" xr:uid="{00000000-0005-0000-0000-000053590000}"/>
    <cellStyle name="Normal 2 2 4 2 2 20 4 6" xfId="22868" xr:uid="{00000000-0005-0000-0000-000054590000}"/>
    <cellStyle name="Normal 2 2 4 2 2 20 4 7" xfId="22869" xr:uid="{00000000-0005-0000-0000-000055590000}"/>
    <cellStyle name="Normal 2 2 4 2 2 20 4 8" xfId="22870" xr:uid="{00000000-0005-0000-0000-000056590000}"/>
    <cellStyle name="Normal 2 2 4 2 2 20 4 9" xfId="22871" xr:uid="{00000000-0005-0000-0000-000057590000}"/>
    <cellStyle name="Normal 2 2 4 2 2 20 5" xfId="22872" xr:uid="{00000000-0005-0000-0000-000058590000}"/>
    <cellStyle name="Normal 2 2 4 2 2 20 5 10" xfId="22873" xr:uid="{00000000-0005-0000-0000-000059590000}"/>
    <cellStyle name="Normal 2 2 4 2 2 20 5 2" xfId="22874" xr:uid="{00000000-0005-0000-0000-00005A590000}"/>
    <cellStyle name="Normal 2 2 4 2 2 20 5 3" xfId="22875" xr:uid="{00000000-0005-0000-0000-00005B590000}"/>
    <cellStyle name="Normal 2 2 4 2 2 20 5 4" xfId="22876" xr:uid="{00000000-0005-0000-0000-00005C590000}"/>
    <cellStyle name="Normal 2 2 4 2 2 20 5 5" xfId="22877" xr:uid="{00000000-0005-0000-0000-00005D590000}"/>
    <cellStyle name="Normal 2 2 4 2 2 20 5 6" xfId="22878" xr:uid="{00000000-0005-0000-0000-00005E590000}"/>
    <cellStyle name="Normal 2 2 4 2 2 20 5 7" xfId="22879" xr:uid="{00000000-0005-0000-0000-00005F590000}"/>
    <cellStyle name="Normal 2 2 4 2 2 20 5 8" xfId="22880" xr:uid="{00000000-0005-0000-0000-000060590000}"/>
    <cellStyle name="Normal 2 2 4 2 2 20 5 9" xfId="22881" xr:uid="{00000000-0005-0000-0000-000061590000}"/>
    <cellStyle name="Normal 2 2 4 2 2 20 6" xfId="22882" xr:uid="{00000000-0005-0000-0000-000062590000}"/>
    <cellStyle name="Normal 2 2 4 2 2 20 7" xfId="22883" xr:uid="{00000000-0005-0000-0000-000063590000}"/>
    <cellStyle name="Normal 2 2 4 2 2 20 8" xfId="22884" xr:uid="{00000000-0005-0000-0000-000064590000}"/>
    <cellStyle name="Normal 2 2 4 2 2 20 9" xfId="22885" xr:uid="{00000000-0005-0000-0000-000065590000}"/>
    <cellStyle name="Normal 2 2 4 2 2 3" xfId="22886" xr:uid="{00000000-0005-0000-0000-000066590000}"/>
    <cellStyle name="Normal 2 2 4 2 2 3 10" xfId="22887" xr:uid="{00000000-0005-0000-0000-000067590000}"/>
    <cellStyle name="Normal 2 2 4 2 2 3 11" xfId="22888" xr:uid="{00000000-0005-0000-0000-000068590000}"/>
    <cellStyle name="Normal 2 2 4 2 2 3 12" xfId="22889" xr:uid="{00000000-0005-0000-0000-000069590000}"/>
    <cellStyle name="Normal 2 2 4 2 2 3 13" xfId="22890" xr:uid="{00000000-0005-0000-0000-00006A590000}"/>
    <cellStyle name="Normal 2 2 4 2 2 3 14" xfId="22891" xr:uid="{00000000-0005-0000-0000-00006B590000}"/>
    <cellStyle name="Normal 2 2 4 2 2 3 2" xfId="22892" xr:uid="{00000000-0005-0000-0000-00006C590000}"/>
    <cellStyle name="Normal 2 2 4 2 2 3 2 10" xfId="22893" xr:uid="{00000000-0005-0000-0000-00006D590000}"/>
    <cellStyle name="Normal 2 2 4 2 2 3 2 2" xfId="22894" xr:uid="{00000000-0005-0000-0000-00006E590000}"/>
    <cellStyle name="Normal 2 2 4 2 2 3 2 3" xfId="22895" xr:uid="{00000000-0005-0000-0000-00006F590000}"/>
    <cellStyle name="Normal 2 2 4 2 2 3 2 4" xfId="22896" xr:uid="{00000000-0005-0000-0000-000070590000}"/>
    <cellStyle name="Normal 2 2 4 2 2 3 2 5" xfId="22897" xr:uid="{00000000-0005-0000-0000-000071590000}"/>
    <cellStyle name="Normal 2 2 4 2 2 3 2 6" xfId="22898" xr:uid="{00000000-0005-0000-0000-000072590000}"/>
    <cellStyle name="Normal 2 2 4 2 2 3 2 7" xfId="22899" xr:uid="{00000000-0005-0000-0000-000073590000}"/>
    <cellStyle name="Normal 2 2 4 2 2 3 2 8" xfId="22900" xr:uid="{00000000-0005-0000-0000-000074590000}"/>
    <cellStyle name="Normal 2 2 4 2 2 3 2 9" xfId="22901" xr:uid="{00000000-0005-0000-0000-000075590000}"/>
    <cellStyle name="Normal 2 2 4 2 2 3 3" xfId="22902" xr:uid="{00000000-0005-0000-0000-000076590000}"/>
    <cellStyle name="Normal 2 2 4 2 2 3 3 10" xfId="22903" xr:uid="{00000000-0005-0000-0000-000077590000}"/>
    <cellStyle name="Normal 2 2 4 2 2 3 3 2" xfId="22904" xr:uid="{00000000-0005-0000-0000-000078590000}"/>
    <cellStyle name="Normal 2 2 4 2 2 3 3 3" xfId="22905" xr:uid="{00000000-0005-0000-0000-000079590000}"/>
    <cellStyle name="Normal 2 2 4 2 2 3 3 4" xfId="22906" xr:uid="{00000000-0005-0000-0000-00007A590000}"/>
    <cellStyle name="Normal 2 2 4 2 2 3 3 5" xfId="22907" xr:uid="{00000000-0005-0000-0000-00007B590000}"/>
    <cellStyle name="Normal 2 2 4 2 2 3 3 6" xfId="22908" xr:uid="{00000000-0005-0000-0000-00007C590000}"/>
    <cellStyle name="Normal 2 2 4 2 2 3 3 7" xfId="22909" xr:uid="{00000000-0005-0000-0000-00007D590000}"/>
    <cellStyle name="Normal 2 2 4 2 2 3 3 8" xfId="22910" xr:uid="{00000000-0005-0000-0000-00007E590000}"/>
    <cellStyle name="Normal 2 2 4 2 2 3 3 9" xfId="22911" xr:uid="{00000000-0005-0000-0000-00007F590000}"/>
    <cellStyle name="Normal 2 2 4 2 2 3 4" xfId="22912" xr:uid="{00000000-0005-0000-0000-000080590000}"/>
    <cellStyle name="Normal 2 2 4 2 2 3 4 10" xfId="22913" xr:uid="{00000000-0005-0000-0000-000081590000}"/>
    <cellStyle name="Normal 2 2 4 2 2 3 4 2" xfId="22914" xr:uid="{00000000-0005-0000-0000-000082590000}"/>
    <cellStyle name="Normal 2 2 4 2 2 3 4 3" xfId="22915" xr:uid="{00000000-0005-0000-0000-000083590000}"/>
    <cellStyle name="Normal 2 2 4 2 2 3 4 4" xfId="22916" xr:uid="{00000000-0005-0000-0000-000084590000}"/>
    <cellStyle name="Normal 2 2 4 2 2 3 4 5" xfId="22917" xr:uid="{00000000-0005-0000-0000-000085590000}"/>
    <cellStyle name="Normal 2 2 4 2 2 3 4 6" xfId="22918" xr:uid="{00000000-0005-0000-0000-000086590000}"/>
    <cellStyle name="Normal 2 2 4 2 2 3 4 7" xfId="22919" xr:uid="{00000000-0005-0000-0000-000087590000}"/>
    <cellStyle name="Normal 2 2 4 2 2 3 4 8" xfId="22920" xr:uid="{00000000-0005-0000-0000-000088590000}"/>
    <cellStyle name="Normal 2 2 4 2 2 3 4 9" xfId="22921" xr:uid="{00000000-0005-0000-0000-000089590000}"/>
    <cellStyle name="Normal 2 2 4 2 2 3 5" xfId="22922" xr:uid="{00000000-0005-0000-0000-00008A590000}"/>
    <cellStyle name="Normal 2 2 4 2 2 3 5 10" xfId="22923" xr:uid="{00000000-0005-0000-0000-00008B590000}"/>
    <cellStyle name="Normal 2 2 4 2 2 3 5 2" xfId="22924" xr:uid="{00000000-0005-0000-0000-00008C590000}"/>
    <cellStyle name="Normal 2 2 4 2 2 3 5 3" xfId="22925" xr:uid="{00000000-0005-0000-0000-00008D590000}"/>
    <cellStyle name="Normal 2 2 4 2 2 3 5 4" xfId="22926" xr:uid="{00000000-0005-0000-0000-00008E590000}"/>
    <cellStyle name="Normal 2 2 4 2 2 3 5 5" xfId="22927" xr:uid="{00000000-0005-0000-0000-00008F590000}"/>
    <cellStyle name="Normal 2 2 4 2 2 3 5 6" xfId="22928" xr:uid="{00000000-0005-0000-0000-000090590000}"/>
    <cellStyle name="Normal 2 2 4 2 2 3 5 7" xfId="22929" xr:uid="{00000000-0005-0000-0000-000091590000}"/>
    <cellStyle name="Normal 2 2 4 2 2 3 5 8" xfId="22930" xr:uid="{00000000-0005-0000-0000-000092590000}"/>
    <cellStyle name="Normal 2 2 4 2 2 3 5 9" xfId="22931" xr:uid="{00000000-0005-0000-0000-000093590000}"/>
    <cellStyle name="Normal 2 2 4 2 2 3 6" xfId="22932" xr:uid="{00000000-0005-0000-0000-000094590000}"/>
    <cellStyle name="Normal 2 2 4 2 2 3 7" xfId="22933" xr:uid="{00000000-0005-0000-0000-000095590000}"/>
    <cellStyle name="Normal 2 2 4 2 2 3 8" xfId="22934" xr:uid="{00000000-0005-0000-0000-000096590000}"/>
    <cellStyle name="Normal 2 2 4 2 2 3 9" xfId="22935" xr:uid="{00000000-0005-0000-0000-000097590000}"/>
    <cellStyle name="Normal 2 2 4 2 2 4" xfId="22936" xr:uid="{00000000-0005-0000-0000-000098590000}"/>
    <cellStyle name="Normal 2 2 4 2 2 4 10" xfId="22937" xr:uid="{00000000-0005-0000-0000-000099590000}"/>
    <cellStyle name="Normal 2 2 4 2 2 4 11" xfId="22938" xr:uid="{00000000-0005-0000-0000-00009A590000}"/>
    <cellStyle name="Normal 2 2 4 2 2 4 12" xfId="22939" xr:uid="{00000000-0005-0000-0000-00009B590000}"/>
    <cellStyle name="Normal 2 2 4 2 2 4 13" xfId="22940" xr:uid="{00000000-0005-0000-0000-00009C590000}"/>
    <cellStyle name="Normal 2 2 4 2 2 4 14" xfId="22941" xr:uid="{00000000-0005-0000-0000-00009D590000}"/>
    <cellStyle name="Normal 2 2 4 2 2 4 2" xfId="22942" xr:uid="{00000000-0005-0000-0000-00009E590000}"/>
    <cellStyle name="Normal 2 2 4 2 2 4 2 10" xfId="22943" xr:uid="{00000000-0005-0000-0000-00009F590000}"/>
    <cellStyle name="Normal 2 2 4 2 2 4 2 2" xfId="22944" xr:uid="{00000000-0005-0000-0000-0000A0590000}"/>
    <cellStyle name="Normal 2 2 4 2 2 4 2 3" xfId="22945" xr:uid="{00000000-0005-0000-0000-0000A1590000}"/>
    <cellStyle name="Normal 2 2 4 2 2 4 2 4" xfId="22946" xr:uid="{00000000-0005-0000-0000-0000A2590000}"/>
    <cellStyle name="Normal 2 2 4 2 2 4 2 5" xfId="22947" xr:uid="{00000000-0005-0000-0000-0000A3590000}"/>
    <cellStyle name="Normal 2 2 4 2 2 4 2 6" xfId="22948" xr:uid="{00000000-0005-0000-0000-0000A4590000}"/>
    <cellStyle name="Normal 2 2 4 2 2 4 2 7" xfId="22949" xr:uid="{00000000-0005-0000-0000-0000A5590000}"/>
    <cellStyle name="Normal 2 2 4 2 2 4 2 8" xfId="22950" xr:uid="{00000000-0005-0000-0000-0000A6590000}"/>
    <cellStyle name="Normal 2 2 4 2 2 4 2 9" xfId="22951" xr:uid="{00000000-0005-0000-0000-0000A7590000}"/>
    <cellStyle name="Normal 2 2 4 2 2 4 3" xfId="22952" xr:uid="{00000000-0005-0000-0000-0000A8590000}"/>
    <cellStyle name="Normal 2 2 4 2 2 4 3 10" xfId="22953" xr:uid="{00000000-0005-0000-0000-0000A9590000}"/>
    <cellStyle name="Normal 2 2 4 2 2 4 3 2" xfId="22954" xr:uid="{00000000-0005-0000-0000-0000AA590000}"/>
    <cellStyle name="Normal 2 2 4 2 2 4 3 3" xfId="22955" xr:uid="{00000000-0005-0000-0000-0000AB590000}"/>
    <cellStyle name="Normal 2 2 4 2 2 4 3 4" xfId="22956" xr:uid="{00000000-0005-0000-0000-0000AC590000}"/>
    <cellStyle name="Normal 2 2 4 2 2 4 3 5" xfId="22957" xr:uid="{00000000-0005-0000-0000-0000AD590000}"/>
    <cellStyle name="Normal 2 2 4 2 2 4 3 6" xfId="22958" xr:uid="{00000000-0005-0000-0000-0000AE590000}"/>
    <cellStyle name="Normal 2 2 4 2 2 4 3 7" xfId="22959" xr:uid="{00000000-0005-0000-0000-0000AF590000}"/>
    <cellStyle name="Normal 2 2 4 2 2 4 3 8" xfId="22960" xr:uid="{00000000-0005-0000-0000-0000B0590000}"/>
    <cellStyle name="Normal 2 2 4 2 2 4 3 9" xfId="22961" xr:uid="{00000000-0005-0000-0000-0000B1590000}"/>
    <cellStyle name="Normal 2 2 4 2 2 4 4" xfId="22962" xr:uid="{00000000-0005-0000-0000-0000B2590000}"/>
    <cellStyle name="Normal 2 2 4 2 2 4 4 10" xfId="22963" xr:uid="{00000000-0005-0000-0000-0000B3590000}"/>
    <cellStyle name="Normal 2 2 4 2 2 4 4 2" xfId="22964" xr:uid="{00000000-0005-0000-0000-0000B4590000}"/>
    <cellStyle name="Normal 2 2 4 2 2 4 4 3" xfId="22965" xr:uid="{00000000-0005-0000-0000-0000B5590000}"/>
    <cellStyle name="Normal 2 2 4 2 2 4 4 4" xfId="22966" xr:uid="{00000000-0005-0000-0000-0000B6590000}"/>
    <cellStyle name="Normal 2 2 4 2 2 4 4 5" xfId="22967" xr:uid="{00000000-0005-0000-0000-0000B7590000}"/>
    <cellStyle name="Normal 2 2 4 2 2 4 4 6" xfId="22968" xr:uid="{00000000-0005-0000-0000-0000B8590000}"/>
    <cellStyle name="Normal 2 2 4 2 2 4 4 7" xfId="22969" xr:uid="{00000000-0005-0000-0000-0000B9590000}"/>
    <cellStyle name="Normal 2 2 4 2 2 4 4 8" xfId="22970" xr:uid="{00000000-0005-0000-0000-0000BA590000}"/>
    <cellStyle name="Normal 2 2 4 2 2 4 4 9" xfId="22971" xr:uid="{00000000-0005-0000-0000-0000BB590000}"/>
    <cellStyle name="Normal 2 2 4 2 2 4 5" xfId="22972" xr:uid="{00000000-0005-0000-0000-0000BC590000}"/>
    <cellStyle name="Normal 2 2 4 2 2 4 5 10" xfId="22973" xr:uid="{00000000-0005-0000-0000-0000BD590000}"/>
    <cellStyle name="Normal 2 2 4 2 2 4 5 2" xfId="22974" xr:uid="{00000000-0005-0000-0000-0000BE590000}"/>
    <cellStyle name="Normal 2 2 4 2 2 4 5 3" xfId="22975" xr:uid="{00000000-0005-0000-0000-0000BF590000}"/>
    <cellStyle name="Normal 2 2 4 2 2 4 5 4" xfId="22976" xr:uid="{00000000-0005-0000-0000-0000C0590000}"/>
    <cellStyle name="Normal 2 2 4 2 2 4 5 5" xfId="22977" xr:uid="{00000000-0005-0000-0000-0000C1590000}"/>
    <cellStyle name="Normal 2 2 4 2 2 4 5 6" xfId="22978" xr:uid="{00000000-0005-0000-0000-0000C2590000}"/>
    <cellStyle name="Normal 2 2 4 2 2 4 5 7" xfId="22979" xr:uid="{00000000-0005-0000-0000-0000C3590000}"/>
    <cellStyle name="Normal 2 2 4 2 2 4 5 8" xfId="22980" xr:uid="{00000000-0005-0000-0000-0000C4590000}"/>
    <cellStyle name="Normal 2 2 4 2 2 4 5 9" xfId="22981" xr:uid="{00000000-0005-0000-0000-0000C5590000}"/>
    <cellStyle name="Normal 2 2 4 2 2 4 6" xfId="22982" xr:uid="{00000000-0005-0000-0000-0000C6590000}"/>
    <cellStyle name="Normal 2 2 4 2 2 4 7" xfId="22983" xr:uid="{00000000-0005-0000-0000-0000C7590000}"/>
    <cellStyle name="Normal 2 2 4 2 2 4 8" xfId="22984" xr:uid="{00000000-0005-0000-0000-0000C8590000}"/>
    <cellStyle name="Normal 2 2 4 2 2 4 9" xfId="22985" xr:uid="{00000000-0005-0000-0000-0000C9590000}"/>
    <cellStyle name="Normal 2 2 4 2 2 5" xfId="22986" xr:uid="{00000000-0005-0000-0000-0000CA590000}"/>
    <cellStyle name="Normal 2 2 4 2 2 5 10" xfId="22987" xr:uid="{00000000-0005-0000-0000-0000CB590000}"/>
    <cellStyle name="Normal 2 2 4 2 2 5 11" xfId="22988" xr:uid="{00000000-0005-0000-0000-0000CC590000}"/>
    <cellStyle name="Normal 2 2 4 2 2 5 12" xfId="22989" xr:uid="{00000000-0005-0000-0000-0000CD590000}"/>
    <cellStyle name="Normal 2 2 4 2 2 5 13" xfId="22990" xr:uid="{00000000-0005-0000-0000-0000CE590000}"/>
    <cellStyle name="Normal 2 2 4 2 2 5 14" xfId="22991" xr:uid="{00000000-0005-0000-0000-0000CF590000}"/>
    <cellStyle name="Normal 2 2 4 2 2 5 2" xfId="22992" xr:uid="{00000000-0005-0000-0000-0000D0590000}"/>
    <cellStyle name="Normal 2 2 4 2 2 5 2 10" xfId="22993" xr:uid="{00000000-0005-0000-0000-0000D1590000}"/>
    <cellStyle name="Normal 2 2 4 2 2 5 2 2" xfId="22994" xr:uid="{00000000-0005-0000-0000-0000D2590000}"/>
    <cellStyle name="Normal 2 2 4 2 2 5 2 3" xfId="22995" xr:uid="{00000000-0005-0000-0000-0000D3590000}"/>
    <cellStyle name="Normal 2 2 4 2 2 5 2 4" xfId="22996" xr:uid="{00000000-0005-0000-0000-0000D4590000}"/>
    <cellStyle name="Normal 2 2 4 2 2 5 2 5" xfId="22997" xr:uid="{00000000-0005-0000-0000-0000D5590000}"/>
    <cellStyle name="Normal 2 2 4 2 2 5 2 6" xfId="22998" xr:uid="{00000000-0005-0000-0000-0000D6590000}"/>
    <cellStyle name="Normal 2 2 4 2 2 5 2 7" xfId="22999" xr:uid="{00000000-0005-0000-0000-0000D7590000}"/>
    <cellStyle name="Normal 2 2 4 2 2 5 2 8" xfId="23000" xr:uid="{00000000-0005-0000-0000-0000D8590000}"/>
    <cellStyle name="Normal 2 2 4 2 2 5 2 9" xfId="23001" xr:uid="{00000000-0005-0000-0000-0000D9590000}"/>
    <cellStyle name="Normal 2 2 4 2 2 5 3" xfId="23002" xr:uid="{00000000-0005-0000-0000-0000DA590000}"/>
    <cellStyle name="Normal 2 2 4 2 2 5 3 10" xfId="23003" xr:uid="{00000000-0005-0000-0000-0000DB590000}"/>
    <cellStyle name="Normal 2 2 4 2 2 5 3 2" xfId="23004" xr:uid="{00000000-0005-0000-0000-0000DC590000}"/>
    <cellStyle name="Normal 2 2 4 2 2 5 3 3" xfId="23005" xr:uid="{00000000-0005-0000-0000-0000DD590000}"/>
    <cellStyle name="Normal 2 2 4 2 2 5 3 4" xfId="23006" xr:uid="{00000000-0005-0000-0000-0000DE590000}"/>
    <cellStyle name="Normal 2 2 4 2 2 5 3 5" xfId="23007" xr:uid="{00000000-0005-0000-0000-0000DF590000}"/>
    <cellStyle name="Normal 2 2 4 2 2 5 3 6" xfId="23008" xr:uid="{00000000-0005-0000-0000-0000E0590000}"/>
    <cellStyle name="Normal 2 2 4 2 2 5 3 7" xfId="23009" xr:uid="{00000000-0005-0000-0000-0000E1590000}"/>
    <cellStyle name="Normal 2 2 4 2 2 5 3 8" xfId="23010" xr:uid="{00000000-0005-0000-0000-0000E2590000}"/>
    <cellStyle name="Normal 2 2 4 2 2 5 3 9" xfId="23011" xr:uid="{00000000-0005-0000-0000-0000E3590000}"/>
    <cellStyle name="Normal 2 2 4 2 2 5 4" xfId="23012" xr:uid="{00000000-0005-0000-0000-0000E4590000}"/>
    <cellStyle name="Normal 2 2 4 2 2 5 4 10" xfId="23013" xr:uid="{00000000-0005-0000-0000-0000E5590000}"/>
    <cellStyle name="Normal 2 2 4 2 2 5 4 2" xfId="23014" xr:uid="{00000000-0005-0000-0000-0000E6590000}"/>
    <cellStyle name="Normal 2 2 4 2 2 5 4 3" xfId="23015" xr:uid="{00000000-0005-0000-0000-0000E7590000}"/>
    <cellStyle name="Normal 2 2 4 2 2 5 4 4" xfId="23016" xr:uid="{00000000-0005-0000-0000-0000E8590000}"/>
    <cellStyle name="Normal 2 2 4 2 2 5 4 5" xfId="23017" xr:uid="{00000000-0005-0000-0000-0000E9590000}"/>
    <cellStyle name="Normal 2 2 4 2 2 5 4 6" xfId="23018" xr:uid="{00000000-0005-0000-0000-0000EA590000}"/>
    <cellStyle name="Normal 2 2 4 2 2 5 4 7" xfId="23019" xr:uid="{00000000-0005-0000-0000-0000EB590000}"/>
    <cellStyle name="Normal 2 2 4 2 2 5 4 8" xfId="23020" xr:uid="{00000000-0005-0000-0000-0000EC590000}"/>
    <cellStyle name="Normal 2 2 4 2 2 5 4 9" xfId="23021" xr:uid="{00000000-0005-0000-0000-0000ED590000}"/>
    <cellStyle name="Normal 2 2 4 2 2 5 5" xfId="23022" xr:uid="{00000000-0005-0000-0000-0000EE590000}"/>
    <cellStyle name="Normal 2 2 4 2 2 5 5 10" xfId="23023" xr:uid="{00000000-0005-0000-0000-0000EF590000}"/>
    <cellStyle name="Normal 2 2 4 2 2 5 5 2" xfId="23024" xr:uid="{00000000-0005-0000-0000-0000F0590000}"/>
    <cellStyle name="Normal 2 2 4 2 2 5 5 3" xfId="23025" xr:uid="{00000000-0005-0000-0000-0000F1590000}"/>
    <cellStyle name="Normal 2 2 4 2 2 5 5 4" xfId="23026" xr:uid="{00000000-0005-0000-0000-0000F2590000}"/>
    <cellStyle name="Normal 2 2 4 2 2 5 5 5" xfId="23027" xr:uid="{00000000-0005-0000-0000-0000F3590000}"/>
    <cellStyle name="Normal 2 2 4 2 2 5 5 6" xfId="23028" xr:uid="{00000000-0005-0000-0000-0000F4590000}"/>
    <cellStyle name="Normal 2 2 4 2 2 5 5 7" xfId="23029" xr:uid="{00000000-0005-0000-0000-0000F5590000}"/>
    <cellStyle name="Normal 2 2 4 2 2 5 5 8" xfId="23030" xr:uid="{00000000-0005-0000-0000-0000F6590000}"/>
    <cellStyle name="Normal 2 2 4 2 2 5 5 9" xfId="23031" xr:uid="{00000000-0005-0000-0000-0000F7590000}"/>
    <cellStyle name="Normal 2 2 4 2 2 5 6" xfId="23032" xr:uid="{00000000-0005-0000-0000-0000F8590000}"/>
    <cellStyle name="Normal 2 2 4 2 2 5 7" xfId="23033" xr:uid="{00000000-0005-0000-0000-0000F9590000}"/>
    <cellStyle name="Normal 2 2 4 2 2 5 8" xfId="23034" xr:uid="{00000000-0005-0000-0000-0000FA590000}"/>
    <cellStyle name="Normal 2 2 4 2 2 5 9" xfId="23035" xr:uid="{00000000-0005-0000-0000-0000FB590000}"/>
    <cellStyle name="Normal 2 2 4 2 2 6" xfId="23036" xr:uid="{00000000-0005-0000-0000-0000FC590000}"/>
    <cellStyle name="Normal 2 2 4 2 2 6 10" xfId="23037" xr:uid="{00000000-0005-0000-0000-0000FD590000}"/>
    <cellStyle name="Normal 2 2 4 2 2 6 11" xfId="23038" xr:uid="{00000000-0005-0000-0000-0000FE590000}"/>
    <cellStyle name="Normal 2 2 4 2 2 6 12" xfId="23039" xr:uid="{00000000-0005-0000-0000-0000FF590000}"/>
    <cellStyle name="Normal 2 2 4 2 2 6 13" xfId="23040" xr:uid="{00000000-0005-0000-0000-0000005A0000}"/>
    <cellStyle name="Normal 2 2 4 2 2 6 14" xfId="23041" xr:uid="{00000000-0005-0000-0000-0000015A0000}"/>
    <cellStyle name="Normal 2 2 4 2 2 6 2" xfId="23042" xr:uid="{00000000-0005-0000-0000-0000025A0000}"/>
    <cellStyle name="Normal 2 2 4 2 2 6 2 10" xfId="23043" xr:uid="{00000000-0005-0000-0000-0000035A0000}"/>
    <cellStyle name="Normal 2 2 4 2 2 6 2 2" xfId="23044" xr:uid="{00000000-0005-0000-0000-0000045A0000}"/>
    <cellStyle name="Normal 2 2 4 2 2 6 2 3" xfId="23045" xr:uid="{00000000-0005-0000-0000-0000055A0000}"/>
    <cellStyle name="Normal 2 2 4 2 2 6 2 4" xfId="23046" xr:uid="{00000000-0005-0000-0000-0000065A0000}"/>
    <cellStyle name="Normal 2 2 4 2 2 6 2 5" xfId="23047" xr:uid="{00000000-0005-0000-0000-0000075A0000}"/>
    <cellStyle name="Normal 2 2 4 2 2 6 2 6" xfId="23048" xr:uid="{00000000-0005-0000-0000-0000085A0000}"/>
    <cellStyle name="Normal 2 2 4 2 2 6 2 7" xfId="23049" xr:uid="{00000000-0005-0000-0000-0000095A0000}"/>
    <cellStyle name="Normal 2 2 4 2 2 6 2 8" xfId="23050" xr:uid="{00000000-0005-0000-0000-00000A5A0000}"/>
    <cellStyle name="Normal 2 2 4 2 2 6 2 9" xfId="23051" xr:uid="{00000000-0005-0000-0000-00000B5A0000}"/>
    <cellStyle name="Normal 2 2 4 2 2 6 3" xfId="23052" xr:uid="{00000000-0005-0000-0000-00000C5A0000}"/>
    <cellStyle name="Normal 2 2 4 2 2 6 3 10" xfId="23053" xr:uid="{00000000-0005-0000-0000-00000D5A0000}"/>
    <cellStyle name="Normal 2 2 4 2 2 6 3 2" xfId="23054" xr:uid="{00000000-0005-0000-0000-00000E5A0000}"/>
    <cellStyle name="Normal 2 2 4 2 2 6 3 3" xfId="23055" xr:uid="{00000000-0005-0000-0000-00000F5A0000}"/>
    <cellStyle name="Normal 2 2 4 2 2 6 3 4" xfId="23056" xr:uid="{00000000-0005-0000-0000-0000105A0000}"/>
    <cellStyle name="Normal 2 2 4 2 2 6 3 5" xfId="23057" xr:uid="{00000000-0005-0000-0000-0000115A0000}"/>
    <cellStyle name="Normal 2 2 4 2 2 6 3 6" xfId="23058" xr:uid="{00000000-0005-0000-0000-0000125A0000}"/>
    <cellStyle name="Normal 2 2 4 2 2 6 3 7" xfId="23059" xr:uid="{00000000-0005-0000-0000-0000135A0000}"/>
    <cellStyle name="Normal 2 2 4 2 2 6 3 8" xfId="23060" xr:uid="{00000000-0005-0000-0000-0000145A0000}"/>
    <cellStyle name="Normal 2 2 4 2 2 6 3 9" xfId="23061" xr:uid="{00000000-0005-0000-0000-0000155A0000}"/>
    <cellStyle name="Normal 2 2 4 2 2 6 4" xfId="23062" xr:uid="{00000000-0005-0000-0000-0000165A0000}"/>
    <cellStyle name="Normal 2 2 4 2 2 6 4 10" xfId="23063" xr:uid="{00000000-0005-0000-0000-0000175A0000}"/>
    <cellStyle name="Normal 2 2 4 2 2 6 4 2" xfId="23064" xr:uid="{00000000-0005-0000-0000-0000185A0000}"/>
    <cellStyle name="Normal 2 2 4 2 2 6 4 3" xfId="23065" xr:uid="{00000000-0005-0000-0000-0000195A0000}"/>
    <cellStyle name="Normal 2 2 4 2 2 6 4 4" xfId="23066" xr:uid="{00000000-0005-0000-0000-00001A5A0000}"/>
    <cellStyle name="Normal 2 2 4 2 2 6 4 5" xfId="23067" xr:uid="{00000000-0005-0000-0000-00001B5A0000}"/>
    <cellStyle name="Normal 2 2 4 2 2 6 4 6" xfId="23068" xr:uid="{00000000-0005-0000-0000-00001C5A0000}"/>
    <cellStyle name="Normal 2 2 4 2 2 6 4 7" xfId="23069" xr:uid="{00000000-0005-0000-0000-00001D5A0000}"/>
    <cellStyle name="Normal 2 2 4 2 2 6 4 8" xfId="23070" xr:uid="{00000000-0005-0000-0000-00001E5A0000}"/>
    <cellStyle name="Normal 2 2 4 2 2 6 4 9" xfId="23071" xr:uid="{00000000-0005-0000-0000-00001F5A0000}"/>
    <cellStyle name="Normal 2 2 4 2 2 6 5" xfId="23072" xr:uid="{00000000-0005-0000-0000-0000205A0000}"/>
    <cellStyle name="Normal 2 2 4 2 2 6 5 10" xfId="23073" xr:uid="{00000000-0005-0000-0000-0000215A0000}"/>
    <cellStyle name="Normal 2 2 4 2 2 6 5 2" xfId="23074" xr:uid="{00000000-0005-0000-0000-0000225A0000}"/>
    <cellStyle name="Normal 2 2 4 2 2 6 5 3" xfId="23075" xr:uid="{00000000-0005-0000-0000-0000235A0000}"/>
    <cellStyle name="Normal 2 2 4 2 2 6 5 4" xfId="23076" xr:uid="{00000000-0005-0000-0000-0000245A0000}"/>
    <cellStyle name="Normal 2 2 4 2 2 6 5 5" xfId="23077" xr:uid="{00000000-0005-0000-0000-0000255A0000}"/>
    <cellStyle name="Normal 2 2 4 2 2 6 5 6" xfId="23078" xr:uid="{00000000-0005-0000-0000-0000265A0000}"/>
    <cellStyle name="Normal 2 2 4 2 2 6 5 7" xfId="23079" xr:uid="{00000000-0005-0000-0000-0000275A0000}"/>
    <cellStyle name="Normal 2 2 4 2 2 6 5 8" xfId="23080" xr:uid="{00000000-0005-0000-0000-0000285A0000}"/>
    <cellStyle name="Normal 2 2 4 2 2 6 5 9" xfId="23081" xr:uid="{00000000-0005-0000-0000-0000295A0000}"/>
    <cellStyle name="Normal 2 2 4 2 2 6 6" xfId="23082" xr:uid="{00000000-0005-0000-0000-00002A5A0000}"/>
    <cellStyle name="Normal 2 2 4 2 2 6 7" xfId="23083" xr:uid="{00000000-0005-0000-0000-00002B5A0000}"/>
    <cellStyle name="Normal 2 2 4 2 2 6 8" xfId="23084" xr:uid="{00000000-0005-0000-0000-00002C5A0000}"/>
    <cellStyle name="Normal 2 2 4 2 2 6 9" xfId="23085" xr:uid="{00000000-0005-0000-0000-00002D5A0000}"/>
    <cellStyle name="Normal 2 2 4 2 2 7" xfId="23086" xr:uid="{00000000-0005-0000-0000-00002E5A0000}"/>
    <cellStyle name="Normal 2 2 4 2 2 7 10" xfId="23087" xr:uid="{00000000-0005-0000-0000-00002F5A0000}"/>
    <cellStyle name="Normal 2 2 4 2 2 7 11" xfId="23088" xr:uid="{00000000-0005-0000-0000-0000305A0000}"/>
    <cellStyle name="Normal 2 2 4 2 2 7 12" xfId="23089" xr:uid="{00000000-0005-0000-0000-0000315A0000}"/>
    <cellStyle name="Normal 2 2 4 2 2 7 13" xfId="23090" xr:uid="{00000000-0005-0000-0000-0000325A0000}"/>
    <cellStyle name="Normal 2 2 4 2 2 7 14" xfId="23091" xr:uid="{00000000-0005-0000-0000-0000335A0000}"/>
    <cellStyle name="Normal 2 2 4 2 2 7 2" xfId="23092" xr:uid="{00000000-0005-0000-0000-0000345A0000}"/>
    <cellStyle name="Normal 2 2 4 2 2 7 2 10" xfId="23093" xr:uid="{00000000-0005-0000-0000-0000355A0000}"/>
    <cellStyle name="Normal 2 2 4 2 2 7 2 2" xfId="23094" xr:uid="{00000000-0005-0000-0000-0000365A0000}"/>
    <cellStyle name="Normal 2 2 4 2 2 7 2 3" xfId="23095" xr:uid="{00000000-0005-0000-0000-0000375A0000}"/>
    <cellStyle name="Normal 2 2 4 2 2 7 2 4" xfId="23096" xr:uid="{00000000-0005-0000-0000-0000385A0000}"/>
    <cellStyle name="Normal 2 2 4 2 2 7 2 5" xfId="23097" xr:uid="{00000000-0005-0000-0000-0000395A0000}"/>
    <cellStyle name="Normal 2 2 4 2 2 7 2 6" xfId="23098" xr:uid="{00000000-0005-0000-0000-00003A5A0000}"/>
    <cellStyle name="Normal 2 2 4 2 2 7 2 7" xfId="23099" xr:uid="{00000000-0005-0000-0000-00003B5A0000}"/>
    <cellStyle name="Normal 2 2 4 2 2 7 2 8" xfId="23100" xr:uid="{00000000-0005-0000-0000-00003C5A0000}"/>
    <cellStyle name="Normal 2 2 4 2 2 7 2 9" xfId="23101" xr:uid="{00000000-0005-0000-0000-00003D5A0000}"/>
    <cellStyle name="Normal 2 2 4 2 2 7 3" xfId="23102" xr:uid="{00000000-0005-0000-0000-00003E5A0000}"/>
    <cellStyle name="Normal 2 2 4 2 2 7 3 10" xfId="23103" xr:uid="{00000000-0005-0000-0000-00003F5A0000}"/>
    <cellStyle name="Normal 2 2 4 2 2 7 3 2" xfId="23104" xr:uid="{00000000-0005-0000-0000-0000405A0000}"/>
    <cellStyle name="Normal 2 2 4 2 2 7 3 3" xfId="23105" xr:uid="{00000000-0005-0000-0000-0000415A0000}"/>
    <cellStyle name="Normal 2 2 4 2 2 7 3 4" xfId="23106" xr:uid="{00000000-0005-0000-0000-0000425A0000}"/>
    <cellStyle name="Normal 2 2 4 2 2 7 3 5" xfId="23107" xr:uid="{00000000-0005-0000-0000-0000435A0000}"/>
    <cellStyle name="Normal 2 2 4 2 2 7 3 6" xfId="23108" xr:uid="{00000000-0005-0000-0000-0000445A0000}"/>
    <cellStyle name="Normal 2 2 4 2 2 7 3 7" xfId="23109" xr:uid="{00000000-0005-0000-0000-0000455A0000}"/>
    <cellStyle name="Normal 2 2 4 2 2 7 3 8" xfId="23110" xr:uid="{00000000-0005-0000-0000-0000465A0000}"/>
    <cellStyle name="Normal 2 2 4 2 2 7 3 9" xfId="23111" xr:uid="{00000000-0005-0000-0000-0000475A0000}"/>
    <cellStyle name="Normal 2 2 4 2 2 7 4" xfId="23112" xr:uid="{00000000-0005-0000-0000-0000485A0000}"/>
    <cellStyle name="Normal 2 2 4 2 2 7 4 10" xfId="23113" xr:uid="{00000000-0005-0000-0000-0000495A0000}"/>
    <cellStyle name="Normal 2 2 4 2 2 7 4 2" xfId="23114" xr:uid="{00000000-0005-0000-0000-00004A5A0000}"/>
    <cellStyle name="Normal 2 2 4 2 2 7 4 3" xfId="23115" xr:uid="{00000000-0005-0000-0000-00004B5A0000}"/>
    <cellStyle name="Normal 2 2 4 2 2 7 4 4" xfId="23116" xr:uid="{00000000-0005-0000-0000-00004C5A0000}"/>
    <cellStyle name="Normal 2 2 4 2 2 7 4 5" xfId="23117" xr:uid="{00000000-0005-0000-0000-00004D5A0000}"/>
    <cellStyle name="Normal 2 2 4 2 2 7 4 6" xfId="23118" xr:uid="{00000000-0005-0000-0000-00004E5A0000}"/>
    <cellStyle name="Normal 2 2 4 2 2 7 4 7" xfId="23119" xr:uid="{00000000-0005-0000-0000-00004F5A0000}"/>
    <cellStyle name="Normal 2 2 4 2 2 7 4 8" xfId="23120" xr:uid="{00000000-0005-0000-0000-0000505A0000}"/>
    <cellStyle name="Normal 2 2 4 2 2 7 4 9" xfId="23121" xr:uid="{00000000-0005-0000-0000-0000515A0000}"/>
    <cellStyle name="Normal 2 2 4 2 2 7 5" xfId="23122" xr:uid="{00000000-0005-0000-0000-0000525A0000}"/>
    <cellStyle name="Normal 2 2 4 2 2 7 5 10" xfId="23123" xr:uid="{00000000-0005-0000-0000-0000535A0000}"/>
    <cellStyle name="Normal 2 2 4 2 2 7 5 2" xfId="23124" xr:uid="{00000000-0005-0000-0000-0000545A0000}"/>
    <cellStyle name="Normal 2 2 4 2 2 7 5 3" xfId="23125" xr:uid="{00000000-0005-0000-0000-0000555A0000}"/>
    <cellStyle name="Normal 2 2 4 2 2 7 5 4" xfId="23126" xr:uid="{00000000-0005-0000-0000-0000565A0000}"/>
    <cellStyle name="Normal 2 2 4 2 2 7 5 5" xfId="23127" xr:uid="{00000000-0005-0000-0000-0000575A0000}"/>
    <cellStyle name="Normal 2 2 4 2 2 7 5 6" xfId="23128" xr:uid="{00000000-0005-0000-0000-0000585A0000}"/>
    <cellStyle name="Normal 2 2 4 2 2 7 5 7" xfId="23129" xr:uid="{00000000-0005-0000-0000-0000595A0000}"/>
    <cellStyle name="Normal 2 2 4 2 2 7 5 8" xfId="23130" xr:uid="{00000000-0005-0000-0000-00005A5A0000}"/>
    <cellStyle name="Normal 2 2 4 2 2 7 5 9" xfId="23131" xr:uid="{00000000-0005-0000-0000-00005B5A0000}"/>
    <cellStyle name="Normal 2 2 4 2 2 7 6" xfId="23132" xr:uid="{00000000-0005-0000-0000-00005C5A0000}"/>
    <cellStyle name="Normal 2 2 4 2 2 7 7" xfId="23133" xr:uid="{00000000-0005-0000-0000-00005D5A0000}"/>
    <cellStyle name="Normal 2 2 4 2 2 7 8" xfId="23134" xr:uid="{00000000-0005-0000-0000-00005E5A0000}"/>
    <cellStyle name="Normal 2 2 4 2 2 7 9" xfId="23135" xr:uid="{00000000-0005-0000-0000-00005F5A0000}"/>
    <cellStyle name="Normal 2 2 4 2 2 8" xfId="23136" xr:uid="{00000000-0005-0000-0000-0000605A0000}"/>
    <cellStyle name="Normal 2 2 4 2 2 8 10" xfId="23137" xr:uid="{00000000-0005-0000-0000-0000615A0000}"/>
    <cellStyle name="Normal 2 2 4 2 2 8 11" xfId="23138" xr:uid="{00000000-0005-0000-0000-0000625A0000}"/>
    <cellStyle name="Normal 2 2 4 2 2 8 12" xfId="23139" xr:uid="{00000000-0005-0000-0000-0000635A0000}"/>
    <cellStyle name="Normal 2 2 4 2 2 8 13" xfId="23140" xr:uid="{00000000-0005-0000-0000-0000645A0000}"/>
    <cellStyle name="Normal 2 2 4 2 2 8 14" xfId="23141" xr:uid="{00000000-0005-0000-0000-0000655A0000}"/>
    <cellStyle name="Normal 2 2 4 2 2 8 2" xfId="23142" xr:uid="{00000000-0005-0000-0000-0000665A0000}"/>
    <cellStyle name="Normal 2 2 4 2 2 8 2 10" xfId="23143" xr:uid="{00000000-0005-0000-0000-0000675A0000}"/>
    <cellStyle name="Normal 2 2 4 2 2 8 2 2" xfId="23144" xr:uid="{00000000-0005-0000-0000-0000685A0000}"/>
    <cellStyle name="Normal 2 2 4 2 2 8 2 3" xfId="23145" xr:uid="{00000000-0005-0000-0000-0000695A0000}"/>
    <cellStyle name="Normal 2 2 4 2 2 8 2 4" xfId="23146" xr:uid="{00000000-0005-0000-0000-00006A5A0000}"/>
    <cellStyle name="Normal 2 2 4 2 2 8 2 5" xfId="23147" xr:uid="{00000000-0005-0000-0000-00006B5A0000}"/>
    <cellStyle name="Normal 2 2 4 2 2 8 2 6" xfId="23148" xr:uid="{00000000-0005-0000-0000-00006C5A0000}"/>
    <cellStyle name="Normal 2 2 4 2 2 8 2 7" xfId="23149" xr:uid="{00000000-0005-0000-0000-00006D5A0000}"/>
    <cellStyle name="Normal 2 2 4 2 2 8 2 8" xfId="23150" xr:uid="{00000000-0005-0000-0000-00006E5A0000}"/>
    <cellStyle name="Normal 2 2 4 2 2 8 2 9" xfId="23151" xr:uid="{00000000-0005-0000-0000-00006F5A0000}"/>
    <cellStyle name="Normal 2 2 4 2 2 8 3" xfId="23152" xr:uid="{00000000-0005-0000-0000-0000705A0000}"/>
    <cellStyle name="Normal 2 2 4 2 2 8 3 10" xfId="23153" xr:uid="{00000000-0005-0000-0000-0000715A0000}"/>
    <cellStyle name="Normal 2 2 4 2 2 8 3 2" xfId="23154" xr:uid="{00000000-0005-0000-0000-0000725A0000}"/>
    <cellStyle name="Normal 2 2 4 2 2 8 3 3" xfId="23155" xr:uid="{00000000-0005-0000-0000-0000735A0000}"/>
    <cellStyle name="Normal 2 2 4 2 2 8 3 4" xfId="23156" xr:uid="{00000000-0005-0000-0000-0000745A0000}"/>
    <cellStyle name="Normal 2 2 4 2 2 8 3 5" xfId="23157" xr:uid="{00000000-0005-0000-0000-0000755A0000}"/>
    <cellStyle name="Normal 2 2 4 2 2 8 3 6" xfId="23158" xr:uid="{00000000-0005-0000-0000-0000765A0000}"/>
    <cellStyle name="Normal 2 2 4 2 2 8 3 7" xfId="23159" xr:uid="{00000000-0005-0000-0000-0000775A0000}"/>
    <cellStyle name="Normal 2 2 4 2 2 8 3 8" xfId="23160" xr:uid="{00000000-0005-0000-0000-0000785A0000}"/>
    <cellStyle name="Normal 2 2 4 2 2 8 3 9" xfId="23161" xr:uid="{00000000-0005-0000-0000-0000795A0000}"/>
    <cellStyle name="Normal 2 2 4 2 2 8 4" xfId="23162" xr:uid="{00000000-0005-0000-0000-00007A5A0000}"/>
    <cellStyle name="Normal 2 2 4 2 2 8 4 10" xfId="23163" xr:uid="{00000000-0005-0000-0000-00007B5A0000}"/>
    <cellStyle name="Normal 2 2 4 2 2 8 4 2" xfId="23164" xr:uid="{00000000-0005-0000-0000-00007C5A0000}"/>
    <cellStyle name="Normal 2 2 4 2 2 8 4 3" xfId="23165" xr:uid="{00000000-0005-0000-0000-00007D5A0000}"/>
    <cellStyle name="Normal 2 2 4 2 2 8 4 4" xfId="23166" xr:uid="{00000000-0005-0000-0000-00007E5A0000}"/>
    <cellStyle name="Normal 2 2 4 2 2 8 4 5" xfId="23167" xr:uid="{00000000-0005-0000-0000-00007F5A0000}"/>
    <cellStyle name="Normal 2 2 4 2 2 8 4 6" xfId="23168" xr:uid="{00000000-0005-0000-0000-0000805A0000}"/>
    <cellStyle name="Normal 2 2 4 2 2 8 4 7" xfId="23169" xr:uid="{00000000-0005-0000-0000-0000815A0000}"/>
    <cellStyle name="Normal 2 2 4 2 2 8 4 8" xfId="23170" xr:uid="{00000000-0005-0000-0000-0000825A0000}"/>
    <cellStyle name="Normal 2 2 4 2 2 8 4 9" xfId="23171" xr:uid="{00000000-0005-0000-0000-0000835A0000}"/>
    <cellStyle name="Normal 2 2 4 2 2 8 5" xfId="23172" xr:uid="{00000000-0005-0000-0000-0000845A0000}"/>
    <cellStyle name="Normal 2 2 4 2 2 8 5 10" xfId="23173" xr:uid="{00000000-0005-0000-0000-0000855A0000}"/>
    <cellStyle name="Normal 2 2 4 2 2 8 5 2" xfId="23174" xr:uid="{00000000-0005-0000-0000-0000865A0000}"/>
    <cellStyle name="Normal 2 2 4 2 2 8 5 3" xfId="23175" xr:uid="{00000000-0005-0000-0000-0000875A0000}"/>
    <cellStyle name="Normal 2 2 4 2 2 8 5 4" xfId="23176" xr:uid="{00000000-0005-0000-0000-0000885A0000}"/>
    <cellStyle name="Normal 2 2 4 2 2 8 5 5" xfId="23177" xr:uid="{00000000-0005-0000-0000-0000895A0000}"/>
    <cellStyle name="Normal 2 2 4 2 2 8 5 6" xfId="23178" xr:uid="{00000000-0005-0000-0000-00008A5A0000}"/>
    <cellStyle name="Normal 2 2 4 2 2 8 5 7" xfId="23179" xr:uid="{00000000-0005-0000-0000-00008B5A0000}"/>
    <cellStyle name="Normal 2 2 4 2 2 8 5 8" xfId="23180" xr:uid="{00000000-0005-0000-0000-00008C5A0000}"/>
    <cellStyle name="Normal 2 2 4 2 2 8 5 9" xfId="23181" xr:uid="{00000000-0005-0000-0000-00008D5A0000}"/>
    <cellStyle name="Normal 2 2 4 2 2 8 6" xfId="23182" xr:uid="{00000000-0005-0000-0000-00008E5A0000}"/>
    <cellStyle name="Normal 2 2 4 2 2 8 7" xfId="23183" xr:uid="{00000000-0005-0000-0000-00008F5A0000}"/>
    <cellStyle name="Normal 2 2 4 2 2 8 8" xfId="23184" xr:uid="{00000000-0005-0000-0000-0000905A0000}"/>
    <cellStyle name="Normal 2 2 4 2 2 8 9" xfId="23185" xr:uid="{00000000-0005-0000-0000-0000915A0000}"/>
    <cellStyle name="Normal 2 2 4 2 2 9" xfId="23186" xr:uid="{00000000-0005-0000-0000-0000925A0000}"/>
    <cellStyle name="Normal 2 2 4 2 2 9 10" xfId="23187" xr:uid="{00000000-0005-0000-0000-0000935A0000}"/>
    <cellStyle name="Normal 2 2 4 2 2 9 11" xfId="23188" xr:uid="{00000000-0005-0000-0000-0000945A0000}"/>
    <cellStyle name="Normal 2 2 4 2 2 9 12" xfId="23189" xr:uid="{00000000-0005-0000-0000-0000955A0000}"/>
    <cellStyle name="Normal 2 2 4 2 2 9 13" xfId="23190" xr:uid="{00000000-0005-0000-0000-0000965A0000}"/>
    <cellStyle name="Normal 2 2 4 2 2 9 14" xfId="23191" xr:uid="{00000000-0005-0000-0000-0000975A0000}"/>
    <cellStyle name="Normal 2 2 4 2 2 9 2" xfId="23192" xr:uid="{00000000-0005-0000-0000-0000985A0000}"/>
    <cellStyle name="Normal 2 2 4 2 2 9 2 10" xfId="23193" xr:uid="{00000000-0005-0000-0000-0000995A0000}"/>
    <cellStyle name="Normal 2 2 4 2 2 9 2 2" xfId="23194" xr:uid="{00000000-0005-0000-0000-00009A5A0000}"/>
    <cellStyle name="Normal 2 2 4 2 2 9 2 3" xfId="23195" xr:uid="{00000000-0005-0000-0000-00009B5A0000}"/>
    <cellStyle name="Normal 2 2 4 2 2 9 2 4" xfId="23196" xr:uid="{00000000-0005-0000-0000-00009C5A0000}"/>
    <cellStyle name="Normal 2 2 4 2 2 9 2 5" xfId="23197" xr:uid="{00000000-0005-0000-0000-00009D5A0000}"/>
    <cellStyle name="Normal 2 2 4 2 2 9 2 6" xfId="23198" xr:uid="{00000000-0005-0000-0000-00009E5A0000}"/>
    <cellStyle name="Normal 2 2 4 2 2 9 2 7" xfId="23199" xr:uid="{00000000-0005-0000-0000-00009F5A0000}"/>
    <cellStyle name="Normal 2 2 4 2 2 9 2 8" xfId="23200" xr:uid="{00000000-0005-0000-0000-0000A05A0000}"/>
    <cellStyle name="Normal 2 2 4 2 2 9 2 9" xfId="23201" xr:uid="{00000000-0005-0000-0000-0000A15A0000}"/>
    <cellStyle name="Normal 2 2 4 2 2 9 3" xfId="23202" xr:uid="{00000000-0005-0000-0000-0000A25A0000}"/>
    <cellStyle name="Normal 2 2 4 2 2 9 3 10" xfId="23203" xr:uid="{00000000-0005-0000-0000-0000A35A0000}"/>
    <cellStyle name="Normal 2 2 4 2 2 9 3 2" xfId="23204" xr:uid="{00000000-0005-0000-0000-0000A45A0000}"/>
    <cellStyle name="Normal 2 2 4 2 2 9 3 3" xfId="23205" xr:uid="{00000000-0005-0000-0000-0000A55A0000}"/>
    <cellStyle name="Normal 2 2 4 2 2 9 3 4" xfId="23206" xr:uid="{00000000-0005-0000-0000-0000A65A0000}"/>
    <cellStyle name="Normal 2 2 4 2 2 9 3 5" xfId="23207" xr:uid="{00000000-0005-0000-0000-0000A75A0000}"/>
    <cellStyle name="Normal 2 2 4 2 2 9 3 6" xfId="23208" xr:uid="{00000000-0005-0000-0000-0000A85A0000}"/>
    <cellStyle name="Normal 2 2 4 2 2 9 3 7" xfId="23209" xr:uid="{00000000-0005-0000-0000-0000A95A0000}"/>
    <cellStyle name="Normal 2 2 4 2 2 9 3 8" xfId="23210" xr:uid="{00000000-0005-0000-0000-0000AA5A0000}"/>
    <cellStyle name="Normal 2 2 4 2 2 9 3 9" xfId="23211" xr:uid="{00000000-0005-0000-0000-0000AB5A0000}"/>
    <cellStyle name="Normal 2 2 4 2 2 9 4" xfId="23212" xr:uid="{00000000-0005-0000-0000-0000AC5A0000}"/>
    <cellStyle name="Normal 2 2 4 2 2 9 4 10" xfId="23213" xr:uid="{00000000-0005-0000-0000-0000AD5A0000}"/>
    <cellStyle name="Normal 2 2 4 2 2 9 4 2" xfId="23214" xr:uid="{00000000-0005-0000-0000-0000AE5A0000}"/>
    <cellStyle name="Normal 2 2 4 2 2 9 4 3" xfId="23215" xr:uid="{00000000-0005-0000-0000-0000AF5A0000}"/>
    <cellStyle name="Normal 2 2 4 2 2 9 4 4" xfId="23216" xr:uid="{00000000-0005-0000-0000-0000B05A0000}"/>
    <cellStyle name="Normal 2 2 4 2 2 9 4 5" xfId="23217" xr:uid="{00000000-0005-0000-0000-0000B15A0000}"/>
    <cellStyle name="Normal 2 2 4 2 2 9 4 6" xfId="23218" xr:uid="{00000000-0005-0000-0000-0000B25A0000}"/>
    <cellStyle name="Normal 2 2 4 2 2 9 4 7" xfId="23219" xr:uid="{00000000-0005-0000-0000-0000B35A0000}"/>
    <cellStyle name="Normal 2 2 4 2 2 9 4 8" xfId="23220" xr:uid="{00000000-0005-0000-0000-0000B45A0000}"/>
    <cellStyle name="Normal 2 2 4 2 2 9 4 9" xfId="23221" xr:uid="{00000000-0005-0000-0000-0000B55A0000}"/>
    <cellStyle name="Normal 2 2 4 2 2 9 5" xfId="23222" xr:uid="{00000000-0005-0000-0000-0000B65A0000}"/>
    <cellStyle name="Normal 2 2 4 2 2 9 5 10" xfId="23223" xr:uid="{00000000-0005-0000-0000-0000B75A0000}"/>
    <cellStyle name="Normal 2 2 4 2 2 9 5 2" xfId="23224" xr:uid="{00000000-0005-0000-0000-0000B85A0000}"/>
    <cellStyle name="Normal 2 2 4 2 2 9 5 3" xfId="23225" xr:uid="{00000000-0005-0000-0000-0000B95A0000}"/>
    <cellStyle name="Normal 2 2 4 2 2 9 5 4" xfId="23226" xr:uid="{00000000-0005-0000-0000-0000BA5A0000}"/>
    <cellStyle name="Normal 2 2 4 2 2 9 5 5" xfId="23227" xr:uid="{00000000-0005-0000-0000-0000BB5A0000}"/>
    <cellStyle name="Normal 2 2 4 2 2 9 5 6" xfId="23228" xr:uid="{00000000-0005-0000-0000-0000BC5A0000}"/>
    <cellStyle name="Normal 2 2 4 2 2 9 5 7" xfId="23229" xr:uid="{00000000-0005-0000-0000-0000BD5A0000}"/>
    <cellStyle name="Normal 2 2 4 2 2 9 5 8" xfId="23230" xr:uid="{00000000-0005-0000-0000-0000BE5A0000}"/>
    <cellStyle name="Normal 2 2 4 2 2 9 5 9" xfId="23231" xr:uid="{00000000-0005-0000-0000-0000BF5A0000}"/>
    <cellStyle name="Normal 2 2 4 2 2 9 6" xfId="23232" xr:uid="{00000000-0005-0000-0000-0000C05A0000}"/>
    <cellStyle name="Normal 2 2 4 2 2 9 7" xfId="23233" xr:uid="{00000000-0005-0000-0000-0000C15A0000}"/>
    <cellStyle name="Normal 2 2 4 2 2 9 8" xfId="23234" xr:uid="{00000000-0005-0000-0000-0000C25A0000}"/>
    <cellStyle name="Normal 2 2 4 2 2 9 9" xfId="23235" xr:uid="{00000000-0005-0000-0000-0000C35A0000}"/>
    <cellStyle name="Normal 2 2 4 2 20" xfId="23236" xr:uid="{00000000-0005-0000-0000-0000C45A0000}"/>
    <cellStyle name="Normal 2 2 4 2 21" xfId="23237" xr:uid="{00000000-0005-0000-0000-0000C55A0000}"/>
    <cellStyle name="Normal 2 2 4 2 21 10" xfId="23238" xr:uid="{00000000-0005-0000-0000-0000C65A0000}"/>
    <cellStyle name="Normal 2 2 4 2 21 2" xfId="23239" xr:uid="{00000000-0005-0000-0000-0000C75A0000}"/>
    <cellStyle name="Normal 2 2 4 2 21 3" xfId="23240" xr:uid="{00000000-0005-0000-0000-0000C85A0000}"/>
    <cellStyle name="Normal 2 2 4 2 21 4" xfId="23241" xr:uid="{00000000-0005-0000-0000-0000C95A0000}"/>
    <cellStyle name="Normal 2 2 4 2 21 5" xfId="23242" xr:uid="{00000000-0005-0000-0000-0000CA5A0000}"/>
    <cellStyle name="Normal 2 2 4 2 21 6" xfId="23243" xr:uid="{00000000-0005-0000-0000-0000CB5A0000}"/>
    <cellStyle name="Normal 2 2 4 2 21 7" xfId="23244" xr:uid="{00000000-0005-0000-0000-0000CC5A0000}"/>
    <cellStyle name="Normal 2 2 4 2 21 8" xfId="23245" xr:uid="{00000000-0005-0000-0000-0000CD5A0000}"/>
    <cellStyle name="Normal 2 2 4 2 21 9" xfId="23246" xr:uid="{00000000-0005-0000-0000-0000CE5A0000}"/>
    <cellStyle name="Normal 2 2 4 2 22" xfId="23247" xr:uid="{00000000-0005-0000-0000-0000CF5A0000}"/>
    <cellStyle name="Normal 2 2 4 2 22 10" xfId="23248" xr:uid="{00000000-0005-0000-0000-0000D05A0000}"/>
    <cellStyle name="Normal 2 2 4 2 22 2" xfId="23249" xr:uid="{00000000-0005-0000-0000-0000D15A0000}"/>
    <cellStyle name="Normal 2 2 4 2 22 3" xfId="23250" xr:uid="{00000000-0005-0000-0000-0000D25A0000}"/>
    <cellStyle name="Normal 2 2 4 2 22 4" xfId="23251" xr:uid="{00000000-0005-0000-0000-0000D35A0000}"/>
    <cellStyle name="Normal 2 2 4 2 22 5" xfId="23252" xr:uid="{00000000-0005-0000-0000-0000D45A0000}"/>
    <cellStyle name="Normal 2 2 4 2 22 6" xfId="23253" xr:uid="{00000000-0005-0000-0000-0000D55A0000}"/>
    <cellStyle name="Normal 2 2 4 2 22 7" xfId="23254" xr:uid="{00000000-0005-0000-0000-0000D65A0000}"/>
    <cellStyle name="Normal 2 2 4 2 22 8" xfId="23255" xr:uid="{00000000-0005-0000-0000-0000D75A0000}"/>
    <cellStyle name="Normal 2 2 4 2 22 9" xfId="23256" xr:uid="{00000000-0005-0000-0000-0000D85A0000}"/>
    <cellStyle name="Normal 2 2 4 2 23" xfId="23257" xr:uid="{00000000-0005-0000-0000-0000D95A0000}"/>
    <cellStyle name="Normal 2 2 4 2 23 10" xfId="23258" xr:uid="{00000000-0005-0000-0000-0000DA5A0000}"/>
    <cellStyle name="Normal 2 2 4 2 23 2" xfId="23259" xr:uid="{00000000-0005-0000-0000-0000DB5A0000}"/>
    <cellStyle name="Normal 2 2 4 2 23 3" xfId="23260" xr:uid="{00000000-0005-0000-0000-0000DC5A0000}"/>
    <cellStyle name="Normal 2 2 4 2 23 4" xfId="23261" xr:uid="{00000000-0005-0000-0000-0000DD5A0000}"/>
    <cellStyle name="Normal 2 2 4 2 23 5" xfId="23262" xr:uid="{00000000-0005-0000-0000-0000DE5A0000}"/>
    <cellStyle name="Normal 2 2 4 2 23 6" xfId="23263" xr:uid="{00000000-0005-0000-0000-0000DF5A0000}"/>
    <cellStyle name="Normal 2 2 4 2 23 7" xfId="23264" xr:uid="{00000000-0005-0000-0000-0000E05A0000}"/>
    <cellStyle name="Normal 2 2 4 2 23 8" xfId="23265" xr:uid="{00000000-0005-0000-0000-0000E15A0000}"/>
    <cellStyle name="Normal 2 2 4 2 23 9" xfId="23266" xr:uid="{00000000-0005-0000-0000-0000E25A0000}"/>
    <cellStyle name="Normal 2 2 4 2 24" xfId="23267" xr:uid="{00000000-0005-0000-0000-0000E35A0000}"/>
    <cellStyle name="Normal 2 2 4 2 24 10" xfId="23268" xr:uid="{00000000-0005-0000-0000-0000E45A0000}"/>
    <cellStyle name="Normal 2 2 4 2 24 2" xfId="23269" xr:uid="{00000000-0005-0000-0000-0000E55A0000}"/>
    <cellStyle name="Normal 2 2 4 2 24 3" xfId="23270" xr:uid="{00000000-0005-0000-0000-0000E65A0000}"/>
    <cellStyle name="Normal 2 2 4 2 24 4" xfId="23271" xr:uid="{00000000-0005-0000-0000-0000E75A0000}"/>
    <cellStyle name="Normal 2 2 4 2 24 5" xfId="23272" xr:uid="{00000000-0005-0000-0000-0000E85A0000}"/>
    <cellStyle name="Normal 2 2 4 2 24 6" xfId="23273" xr:uid="{00000000-0005-0000-0000-0000E95A0000}"/>
    <cellStyle name="Normal 2 2 4 2 24 7" xfId="23274" xr:uid="{00000000-0005-0000-0000-0000EA5A0000}"/>
    <cellStyle name="Normal 2 2 4 2 24 8" xfId="23275" xr:uid="{00000000-0005-0000-0000-0000EB5A0000}"/>
    <cellStyle name="Normal 2 2 4 2 24 9" xfId="23276" xr:uid="{00000000-0005-0000-0000-0000EC5A0000}"/>
    <cellStyle name="Normal 2 2 4 2 25" xfId="23277" xr:uid="{00000000-0005-0000-0000-0000ED5A0000}"/>
    <cellStyle name="Normal 2 2 4 2 26" xfId="23278" xr:uid="{00000000-0005-0000-0000-0000EE5A0000}"/>
    <cellStyle name="Normal 2 2 4 2 27" xfId="23279" xr:uid="{00000000-0005-0000-0000-0000EF5A0000}"/>
    <cellStyle name="Normal 2 2 4 2 28" xfId="23280" xr:uid="{00000000-0005-0000-0000-0000F05A0000}"/>
    <cellStyle name="Normal 2 2 4 2 29" xfId="23281" xr:uid="{00000000-0005-0000-0000-0000F15A0000}"/>
    <cellStyle name="Normal 2 2 4 2 3" xfId="23282" xr:uid="{00000000-0005-0000-0000-0000F25A0000}"/>
    <cellStyle name="Normal 2 2 4 2 30" xfId="23283" xr:uid="{00000000-0005-0000-0000-0000F35A0000}"/>
    <cellStyle name="Normal 2 2 4 2 31" xfId="23284" xr:uid="{00000000-0005-0000-0000-0000F45A0000}"/>
    <cellStyle name="Normal 2 2 4 2 32" xfId="23285" xr:uid="{00000000-0005-0000-0000-0000F55A0000}"/>
    <cellStyle name="Normal 2 2 4 2 33" xfId="23286" xr:uid="{00000000-0005-0000-0000-0000F65A0000}"/>
    <cellStyle name="Normal 2 2 4 2 34" xfId="22274" xr:uid="{00000000-0005-0000-0000-000002570000}"/>
    <cellStyle name="Normal 2 2 4 2 4" xfId="23287" xr:uid="{00000000-0005-0000-0000-0000F75A0000}"/>
    <cellStyle name="Normal 2 2 4 2 5" xfId="23288" xr:uid="{00000000-0005-0000-0000-0000F85A0000}"/>
    <cellStyle name="Normal 2 2 4 2 6" xfId="23289" xr:uid="{00000000-0005-0000-0000-0000F95A0000}"/>
    <cellStyle name="Normal 2 2 4 2 7" xfId="23290" xr:uid="{00000000-0005-0000-0000-0000FA5A0000}"/>
    <cellStyle name="Normal 2 2 4 2 8" xfId="23291" xr:uid="{00000000-0005-0000-0000-0000FB5A0000}"/>
    <cellStyle name="Normal 2 2 4 2 9" xfId="23292" xr:uid="{00000000-0005-0000-0000-0000FC5A0000}"/>
    <cellStyle name="Normal 2 2 4 20" xfId="23293" xr:uid="{00000000-0005-0000-0000-0000FD5A0000}"/>
    <cellStyle name="Normal 2 2 4 20 10" xfId="23294" xr:uid="{00000000-0005-0000-0000-0000FE5A0000}"/>
    <cellStyle name="Normal 2 2 4 20 11" xfId="23295" xr:uid="{00000000-0005-0000-0000-0000FF5A0000}"/>
    <cellStyle name="Normal 2 2 4 20 12" xfId="23296" xr:uid="{00000000-0005-0000-0000-0000005B0000}"/>
    <cellStyle name="Normal 2 2 4 20 13" xfId="23297" xr:uid="{00000000-0005-0000-0000-0000015B0000}"/>
    <cellStyle name="Normal 2 2 4 20 14" xfId="23298" xr:uid="{00000000-0005-0000-0000-0000025B0000}"/>
    <cellStyle name="Normal 2 2 4 20 2" xfId="23299" xr:uid="{00000000-0005-0000-0000-0000035B0000}"/>
    <cellStyle name="Normal 2 2 4 20 2 10" xfId="23300" xr:uid="{00000000-0005-0000-0000-0000045B0000}"/>
    <cellStyle name="Normal 2 2 4 20 2 2" xfId="23301" xr:uid="{00000000-0005-0000-0000-0000055B0000}"/>
    <cellStyle name="Normal 2 2 4 20 2 3" xfId="23302" xr:uid="{00000000-0005-0000-0000-0000065B0000}"/>
    <cellStyle name="Normal 2 2 4 20 2 4" xfId="23303" xr:uid="{00000000-0005-0000-0000-0000075B0000}"/>
    <cellStyle name="Normal 2 2 4 20 2 5" xfId="23304" xr:uid="{00000000-0005-0000-0000-0000085B0000}"/>
    <cellStyle name="Normal 2 2 4 20 2 6" xfId="23305" xr:uid="{00000000-0005-0000-0000-0000095B0000}"/>
    <cellStyle name="Normal 2 2 4 20 2 7" xfId="23306" xr:uid="{00000000-0005-0000-0000-00000A5B0000}"/>
    <cellStyle name="Normal 2 2 4 20 2 8" xfId="23307" xr:uid="{00000000-0005-0000-0000-00000B5B0000}"/>
    <cellStyle name="Normal 2 2 4 20 2 9" xfId="23308" xr:uid="{00000000-0005-0000-0000-00000C5B0000}"/>
    <cellStyle name="Normal 2 2 4 20 3" xfId="23309" xr:uid="{00000000-0005-0000-0000-00000D5B0000}"/>
    <cellStyle name="Normal 2 2 4 20 3 10" xfId="23310" xr:uid="{00000000-0005-0000-0000-00000E5B0000}"/>
    <cellStyle name="Normal 2 2 4 20 3 2" xfId="23311" xr:uid="{00000000-0005-0000-0000-00000F5B0000}"/>
    <cellStyle name="Normal 2 2 4 20 3 3" xfId="23312" xr:uid="{00000000-0005-0000-0000-0000105B0000}"/>
    <cellStyle name="Normal 2 2 4 20 3 4" xfId="23313" xr:uid="{00000000-0005-0000-0000-0000115B0000}"/>
    <cellStyle name="Normal 2 2 4 20 3 5" xfId="23314" xr:uid="{00000000-0005-0000-0000-0000125B0000}"/>
    <cellStyle name="Normal 2 2 4 20 3 6" xfId="23315" xr:uid="{00000000-0005-0000-0000-0000135B0000}"/>
    <cellStyle name="Normal 2 2 4 20 3 7" xfId="23316" xr:uid="{00000000-0005-0000-0000-0000145B0000}"/>
    <cellStyle name="Normal 2 2 4 20 3 8" xfId="23317" xr:uid="{00000000-0005-0000-0000-0000155B0000}"/>
    <cellStyle name="Normal 2 2 4 20 3 9" xfId="23318" xr:uid="{00000000-0005-0000-0000-0000165B0000}"/>
    <cellStyle name="Normal 2 2 4 20 4" xfId="23319" xr:uid="{00000000-0005-0000-0000-0000175B0000}"/>
    <cellStyle name="Normal 2 2 4 20 4 10" xfId="23320" xr:uid="{00000000-0005-0000-0000-0000185B0000}"/>
    <cellStyle name="Normal 2 2 4 20 4 2" xfId="23321" xr:uid="{00000000-0005-0000-0000-0000195B0000}"/>
    <cellStyle name="Normal 2 2 4 20 4 3" xfId="23322" xr:uid="{00000000-0005-0000-0000-00001A5B0000}"/>
    <cellStyle name="Normal 2 2 4 20 4 4" xfId="23323" xr:uid="{00000000-0005-0000-0000-00001B5B0000}"/>
    <cellStyle name="Normal 2 2 4 20 4 5" xfId="23324" xr:uid="{00000000-0005-0000-0000-00001C5B0000}"/>
    <cellStyle name="Normal 2 2 4 20 4 6" xfId="23325" xr:uid="{00000000-0005-0000-0000-00001D5B0000}"/>
    <cellStyle name="Normal 2 2 4 20 4 7" xfId="23326" xr:uid="{00000000-0005-0000-0000-00001E5B0000}"/>
    <cellStyle name="Normal 2 2 4 20 4 8" xfId="23327" xr:uid="{00000000-0005-0000-0000-00001F5B0000}"/>
    <cellStyle name="Normal 2 2 4 20 4 9" xfId="23328" xr:uid="{00000000-0005-0000-0000-0000205B0000}"/>
    <cellStyle name="Normal 2 2 4 20 5" xfId="23329" xr:uid="{00000000-0005-0000-0000-0000215B0000}"/>
    <cellStyle name="Normal 2 2 4 20 5 10" xfId="23330" xr:uid="{00000000-0005-0000-0000-0000225B0000}"/>
    <cellStyle name="Normal 2 2 4 20 5 2" xfId="23331" xr:uid="{00000000-0005-0000-0000-0000235B0000}"/>
    <cellStyle name="Normal 2 2 4 20 5 3" xfId="23332" xr:uid="{00000000-0005-0000-0000-0000245B0000}"/>
    <cellStyle name="Normal 2 2 4 20 5 4" xfId="23333" xr:uid="{00000000-0005-0000-0000-0000255B0000}"/>
    <cellStyle name="Normal 2 2 4 20 5 5" xfId="23334" xr:uid="{00000000-0005-0000-0000-0000265B0000}"/>
    <cellStyle name="Normal 2 2 4 20 5 6" xfId="23335" xr:uid="{00000000-0005-0000-0000-0000275B0000}"/>
    <cellStyle name="Normal 2 2 4 20 5 7" xfId="23336" xr:uid="{00000000-0005-0000-0000-0000285B0000}"/>
    <cellStyle name="Normal 2 2 4 20 5 8" xfId="23337" xr:uid="{00000000-0005-0000-0000-0000295B0000}"/>
    <cellStyle name="Normal 2 2 4 20 5 9" xfId="23338" xr:uid="{00000000-0005-0000-0000-00002A5B0000}"/>
    <cellStyle name="Normal 2 2 4 20 6" xfId="23339" xr:uid="{00000000-0005-0000-0000-00002B5B0000}"/>
    <cellStyle name="Normal 2 2 4 20 7" xfId="23340" xr:uid="{00000000-0005-0000-0000-00002C5B0000}"/>
    <cellStyle name="Normal 2 2 4 20 8" xfId="23341" xr:uid="{00000000-0005-0000-0000-00002D5B0000}"/>
    <cellStyle name="Normal 2 2 4 20 9" xfId="23342" xr:uid="{00000000-0005-0000-0000-00002E5B0000}"/>
    <cellStyle name="Normal 2 2 4 21" xfId="23343" xr:uid="{00000000-0005-0000-0000-00002F5B0000}"/>
    <cellStyle name="Normal 2 2 4 21 10" xfId="23344" xr:uid="{00000000-0005-0000-0000-0000305B0000}"/>
    <cellStyle name="Normal 2 2 4 21 11" xfId="23345" xr:uid="{00000000-0005-0000-0000-0000315B0000}"/>
    <cellStyle name="Normal 2 2 4 21 12" xfId="23346" xr:uid="{00000000-0005-0000-0000-0000325B0000}"/>
    <cellStyle name="Normal 2 2 4 21 13" xfId="23347" xr:uid="{00000000-0005-0000-0000-0000335B0000}"/>
    <cellStyle name="Normal 2 2 4 21 14" xfId="23348" xr:uid="{00000000-0005-0000-0000-0000345B0000}"/>
    <cellStyle name="Normal 2 2 4 21 2" xfId="23349" xr:uid="{00000000-0005-0000-0000-0000355B0000}"/>
    <cellStyle name="Normal 2 2 4 21 2 10" xfId="23350" xr:uid="{00000000-0005-0000-0000-0000365B0000}"/>
    <cellStyle name="Normal 2 2 4 21 2 2" xfId="23351" xr:uid="{00000000-0005-0000-0000-0000375B0000}"/>
    <cellStyle name="Normal 2 2 4 21 2 3" xfId="23352" xr:uid="{00000000-0005-0000-0000-0000385B0000}"/>
    <cellStyle name="Normal 2 2 4 21 2 4" xfId="23353" xr:uid="{00000000-0005-0000-0000-0000395B0000}"/>
    <cellStyle name="Normal 2 2 4 21 2 5" xfId="23354" xr:uid="{00000000-0005-0000-0000-00003A5B0000}"/>
    <cellStyle name="Normal 2 2 4 21 2 6" xfId="23355" xr:uid="{00000000-0005-0000-0000-00003B5B0000}"/>
    <cellStyle name="Normal 2 2 4 21 2 7" xfId="23356" xr:uid="{00000000-0005-0000-0000-00003C5B0000}"/>
    <cellStyle name="Normal 2 2 4 21 2 8" xfId="23357" xr:uid="{00000000-0005-0000-0000-00003D5B0000}"/>
    <cellStyle name="Normal 2 2 4 21 2 9" xfId="23358" xr:uid="{00000000-0005-0000-0000-00003E5B0000}"/>
    <cellStyle name="Normal 2 2 4 21 3" xfId="23359" xr:uid="{00000000-0005-0000-0000-00003F5B0000}"/>
    <cellStyle name="Normal 2 2 4 21 3 10" xfId="23360" xr:uid="{00000000-0005-0000-0000-0000405B0000}"/>
    <cellStyle name="Normal 2 2 4 21 3 2" xfId="23361" xr:uid="{00000000-0005-0000-0000-0000415B0000}"/>
    <cellStyle name="Normal 2 2 4 21 3 3" xfId="23362" xr:uid="{00000000-0005-0000-0000-0000425B0000}"/>
    <cellStyle name="Normal 2 2 4 21 3 4" xfId="23363" xr:uid="{00000000-0005-0000-0000-0000435B0000}"/>
    <cellStyle name="Normal 2 2 4 21 3 5" xfId="23364" xr:uid="{00000000-0005-0000-0000-0000445B0000}"/>
    <cellStyle name="Normal 2 2 4 21 3 6" xfId="23365" xr:uid="{00000000-0005-0000-0000-0000455B0000}"/>
    <cellStyle name="Normal 2 2 4 21 3 7" xfId="23366" xr:uid="{00000000-0005-0000-0000-0000465B0000}"/>
    <cellStyle name="Normal 2 2 4 21 3 8" xfId="23367" xr:uid="{00000000-0005-0000-0000-0000475B0000}"/>
    <cellStyle name="Normal 2 2 4 21 3 9" xfId="23368" xr:uid="{00000000-0005-0000-0000-0000485B0000}"/>
    <cellStyle name="Normal 2 2 4 21 4" xfId="23369" xr:uid="{00000000-0005-0000-0000-0000495B0000}"/>
    <cellStyle name="Normal 2 2 4 21 4 10" xfId="23370" xr:uid="{00000000-0005-0000-0000-00004A5B0000}"/>
    <cellStyle name="Normal 2 2 4 21 4 2" xfId="23371" xr:uid="{00000000-0005-0000-0000-00004B5B0000}"/>
    <cellStyle name="Normal 2 2 4 21 4 3" xfId="23372" xr:uid="{00000000-0005-0000-0000-00004C5B0000}"/>
    <cellStyle name="Normal 2 2 4 21 4 4" xfId="23373" xr:uid="{00000000-0005-0000-0000-00004D5B0000}"/>
    <cellStyle name="Normal 2 2 4 21 4 5" xfId="23374" xr:uid="{00000000-0005-0000-0000-00004E5B0000}"/>
    <cellStyle name="Normal 2 2 4 21 4 6" xfId="23375" xr:uid="{00000000-0005-0000-0000-00004F5B0000}"/>
    <cellStyle name="Normal 2 2 4 21 4 7" xfId="23376" xr:uid="{00000000-0005-0000-0000-0000505B0000}"/>
    <cellStyle name="Normal 2 2 4 21 4 8" xfId="23377" xr:uid="{00000000-0005-0000-0000-0000515B0000}"/>
    <cellStyle name="Normal 2 2 4 21 4 9" xfId="23378" xr:uid="{00000000-0005-0000-0000-0000525B0000}"/>
    <cellStyle name="Normal 2 2 4 21 5" xfId="23379" xr:uid="{00000000-0005-0000-0000-0000535B0000}"/>
    <cellStyle name="Normal 2 2 4 21 5 10" xfId="23380" xr:uid="{00000000-0005-0000-0000-0000545B0000}"/>
    <cellStyle name="Normal 2 2 4 21 5 2" xfId="23381" xr:uid="{00000000-0005-0000-0000-0000555B0000}"/>
    <cellStyle name="Normal 2 2 4 21 5 3" xfId="23382" xr:uid="{00000000-0005-0000-0000-0000565B0000}"/>
    <cellStyle name="Normal 2 2 4 21 5 4" xfId="23383" xr:uid="{00000000-0005-0000-0000-0000575B0000}"/>
    <cellStyle name="Normal 2 2 4 21 5 5" xfId="23384" xr:uid="{00000000-0005-0000-0000-0000585B0000}"/>
    <cellStyle name="Normal 2 2 4 21 5 6" xfId="23385" xr:uid="{00000000-0005-0000-0000-0000595B0000}"/>
    <cellStyle name="Normal 2 2 4 21 5 7" xfId="23386" xr:uid="{00000000-0005-0000-0000-00005A5B0000}"/>
    <cellStyle name="Normal 2 2 4 21 5 8" xfId="23387" xr:uid="{00000000-0005-0000-0000-00005B5B0000}"/>
    <cellStyle name="Normal 2 2 4 21 5 9" xfId="23388" xr:uid="{00000000-0005-0000-0000-00005C5B0000}"/>
    <cellStyle name="Normal 2 2 4 21 6" xfId="23389" xr:uid="{00000000-0005-0000-0000-00005D5B0000}"/>
    <cellStyle name="Normal 2 2 4 21 7" xfId="23390" xr:uid="{00000000-0005-0000-0000-00005E5B0000}"/>
    <cellStyle name="Normal 2 2 4 21 8" xfId="23391" xr:uid="{00000000-0005-0000-0000-00005F5B0000}"/>
    <cellStyle name="Normal 2 2 4 21 9" xfId="23392" xr:uid="{00000000-0005-0000-0000-0000605B0000}"/>
    <cellStyle name="Normal 2 2 4 22" xfId="23393" xr:uid="{00000000-0005-0000-0000-0000615B0000}"/>
    <cellStyle name="Normal 2 2 4 22 10" xfId="23394" xr:uid="{00000000-0005-0000-0000-0000625B0000}"/>
    <cellStyle name="Normal 2 2 4 22 11" xfId="23395" xr:uid="{00000000-0005-0000-0000-0000635B0000}"/>
    <cellStyle name="Normal 2 2 4 22 12" xfId="23396" xr:uid="{00000000-0005-0000-0000-0000645B0000}"/>
    <cellStyle name="Normal 2 2 4 22 13" xfId="23397" xr:uid="{00000000-0005-0000-0000-0000655B0000}"/>
    <cellStyle name="Normal 2 2 4 22 14" xfId="23398" xr:uid="{00000000-0005-0000-0000-0000665B0000}"/>
    <cellStyle name="Normal 2 2 4 22 2" xfId="23399" xr:uid="{00000000-0005-0000-0000-0000675B0000}"/>
    <cellStyle name="Normal 2 2 4 22 2 10" xfId="23400" xr:uid="{00000000-0005-0000-0000-0000685B0000}"/>
    <cellStyle name="Normal 2 2 4 22 2 2" xfId="23401" xr:uid="{00000000-0005-0000-0000-0000695B0000}"/>
    <cellStyle name="Normal 2 2 4 22 2 3" xfId="23402" xr:uid="{00000000-0005-0000-0000-00006A5B0000}"/>
    <cellStyle name="Normal 2 2 4 22 2 4" xfId="23403" xr:uid="{00000000-0005-0000-0000-00006B5B0000}"/>
    <cellStyle name="Normal 2 2 4 22 2 5" xfId="23404" xr:uid="{00000000-0005-0000-0000-00006C5B0000}"/>
    <cellStyle name="Normal 2 2 4 22 2 6" xfId="23405" xr:uid="{00000000-0005-0000-0000-00006D5B0000}"/>
    <cellStyle name="Normal 2 2 4 22 2 7" xfId="23406" xr:uid="{00000000-0005-0000-0000-00006E5B0000}"/>
    <cellStyle name="Normal 2 2 4 22 2 8" xfId="23407" xr:uid="{00000000-0005-0000-0000-00006F5B0000}"/>
    <cellStyle name="Normal 2 2 4 22 2 9" xfId="23408" xr:uid="{00000000-0005-0000-0000-0000705B0000}"/>
    <cellStyle name="Normal 2 2 4 22 3" xfId="23409" xr:uid="{00000000-0005-0000-0000-0000715B0000}"/>
    <cellStyle name="Normal 2 2 4 22 3 10" xfId="23410" xr:uid="{00000000-0005-0000-0000-0000725B0000}"/>
    <cellStyle name="Normal 2 2 4 22 3 2" xfId="23411" xr:uid="{00000000-0005-0000-0000-0000735B0000}"/>
    <cellStyle name="Normal 2 2 4 22 3 3" xfId="23412" xr:uid="{00000000-0005-0000-0000-0000745B0000}"/>
    <cellStyle name="Normal 2 2 4 22 3 4" xfId="23413" xr:uid="{00000000-0005-0000-0000-0000755B0000}"/>
    <cellStyle name="Normal 2 2 4 22 3 5" xfId="23414" xr:uid="{00000000-0005-0000-0000-0000765B0000}"/>
    <cellStyle name="Normal 2 2 4 22 3 6" xfId="23415" xr:uid="{00000000-0005-0000-0000-0000775B0000}"/>
    <cellStyle name="Normal 2 2 4 22 3 7" xfId="23416" xr:uid="{00000000-0005-0000-0000-0000785B0000}"/>
    <cellStyle name="Normal 2 2 4 22 3 8" xfId="23417" xr:uid="{00000000-0005-0000-0000-0000795B0000}"/>
    <cellStyle name="Normal 2 2 4 22 3 9" xfId="23418" xr:uid="{00000000-0005-0000-0000-00007A5B0000}"/>
    <cellStyle name="Normal 2 2 4 22 4" xfId="23419" xr:uid="{00000000-0005-0000-0000-00007B5B0000}"/>
    <cellStyle name="Normal 2 2 4 22 4 10" xfId="23420" xr:uid="{00000000-0005-0000-0000-00007C5B0000}"/>
    <cellStyle name="Normal 2 2 4 22 4 2" xfId="23421" xr:uid="{00000000-0005-0000-0000-00007D5B0000}"/>
    <cellStyle name="Normal 2 2 4 22 4 3" xfId="23422" xr:uid="{00000000-0005-0000-0000-00007E5B0000}"/>
    <cellStyle name="Normal 2 2 4 22 4 4" xfId="23423" xr:uid="{00000000-0005-0000-0000-00007F5B0000}"/>
    <cellStyle name="Normal 2 2 4 22 4 5" xfId="23424" xr:uid="{00000000-0005-0000-0000-0000805B0000}"/>
    <cellStyle name="Normal 2 2 4 22 4 6" xfId="23425" xr:uid="{00000000-0005-0000-0000-0000815B0000}"/>
    <cellStyle name="Normal 2 2 4 22 4 7" xfId="23426" xr:uid="{00000000-0005-0000-0000-0000825B0000}"/>
    <cellStyle name="Normal 2 2 4 22 4 8" xfId="23427" xr:uid="{00000000-0005-0000-0000-0000835B0000}"/>
    <cellStyle name="Normal 2 2 4 22 4 9" xfId="23428" xr:uid="{00000000-0005-0000-0000-0000845B0000}"/>
    <cellStyle name="Normal 2 2 4 22 5" xfId="23429" xr:uid="{00000000-0005-0000-0000-0000855B0000}"/>
    <cellStyle name="Normal 2 2 4 22 5 10" xfId="23430" xr:uid="{00000000-0005-0000-0000-0000865B0000}"/>
    <cellStyle name="Normal 2 2 4 22 5 2" xfId="23431" xr:uid="{00000000-0005-0000-0000-0000875B0000}"/>
    <cellStyle name="Normal 2 2 4 22 5 3" xfId="23432" xr:uid="{00000000-0005-0000-0000-0000885B0000}"/>
    <cellStyle name="Normal 2 2 4 22 5 4" xfId="23433" xr:uid="{00000000-0005-0000-0000-0000895B0000}"/>
    <cellStyle name="Normal 2 2 4 22 5 5" xfId="23434" xr:uid="{00000000-0005-0000-0000-00008A5B0000}"/>
    <cellStyle name="Normal 2 2 4 22 5 6" xfId="23435" xr:uid="{00000000-0005-0000-0000-00008B5B0000}"/>
    <cellStyle name="Normal 2 2 4 22 5 7" xfId="23436" xr:uid="{00000000-0005-0000-0000-00008C5B0000}"/>
    <cellStyle name="Normal 2 2 4 22 5 8" xfId="23437" xr:uid="{00000000-0005-0000-0000-00008D5B0000}"/>
    <cellStyle name="Normal 2 2 4 22 5 9" xfId="23438" xr:uid="{00000000-0005-0000-0000-00008E5B0000}"/>
    <cellStyle name="Normal 2 2 4 22 6" xfId="23439" xr:uid="{00000000-0005-0000-0000-00008F5B0000}"/>
    <cellStyle name="Normal 2 2 4 22 7" xfId="23440" xr:uid="{00000000-0005-0000-0000-0000905B0000}"/>
    <cellStyle name="Normal 2 2 4 22 8" xfId="23441" xr:uid="{00000000-0005-0000-0000-0000915B0000}"/>
    <cellStyle name="Normal 2 2 4 22 9" xfId="23442" xr:uid="{00000000-0005-0000-0000-0000925B0000}"/>
    <cellStyle name="Normal 2 2 4 23" xfId="23443" xr:uid="{00000000-0005-0000-0000-0000935B0000}"/>
    <cellStyle name="Normal 2 2 4 23 10" xfId="23444" xr:uid="{00000000-0005-0000-0000-0000945B0000}"/>
    <cellStyle name="Normal 2 2 4 23 11" xfId="23445" xr:uid="{00000000-0005-0000-0000-0000955B0000}"/>
    <cellStyle name="Normal 2 2 4 23 12" xfId="23446" xr:uid="{00000000-0005-0000-0000-0000965B0000}"/>
    <cellStyle name="Normal 2 2 4 23 13" xfId="23447" xr:uid="{00000000-0005-0000-0000-0000975B0000}"/>
    <cellStyle name="Normal 2 2 4 23 14" xfId="23448" xr:uid="{00000000-0005-0000-0000-0000985B0000}"/>
    <cellStyle name="Normal 2 2 4 23 2" xfId="23449" xr:uid="{00000000-0005-0000-0000-0000995B0000}"/>
    <cellStyle name="Normal 2 2 4 23 2 10" xfId="23450" xr:uid="{00000000-0005-0000-0000-00009A5B0000}"/>
    <cellStyle name="Normal 2 2 4 23 2 2" xfId="23451" xr:uid="{00000000-0005-0000-0000-00009B5B0000}"/>
    <cellStyle name="Normal 2 2 4 23 2 3" xfId="23452" xr:uid="{00000000-0005-0000-0000-00009C5B0000}"/>
    <cellStyle name="Normal 2 2 4 23 2 4" xfId="23453" xr:uid="{00000000-0005-0000-0000-00009D5B0000}"/>
    <cellStyle name="Normal 2 2 4 23 2 5" xfId="23454" xr:uid="{00000000-0005-0000-0000-00009E5B0000}"/>
    <cellStyle name="Normal 2 2 4 23 2 6" xfId="23455" xr:uid="{00000000-0005-0000-0000-00009F5B0000}"/>
    <cellStyle name="Normal 2 2 4 23 2 7" xfId="23456" xr:uid="{00000000-0005-0000-0000-0000A05B0000}"/>
    <cellStyle name="Normal 2 2 4 23 2 8" xfId="23457" xr:uid="{00000000-0005-0000-0000-0000A15B0000}"/>
    <cellStyle name="Normal 2 2 4 23 2 9" xfId="23458" xr:uid="{00000000-0005-0000-0000-0000A25B0000}"/>
    <cellStyle name="Normal 2 2 4 23 3" xfId="23459" xr:uid="{00000000-0005-0000-0000-0000A35B0000}"/>
    <cellStyle name="Normal 2 2 4 23 3 10" xfId="23460" xr:uid="{00000000-0005-0000-0000-0000A45B0000}"/>
    <cellStyle name="Normal 2 2 4 23 3 2" xfId="23461" xr:uid="{00000000-0005-0000-0000-0000A55B0000}"/>
    <cellStyle name="Normal 2 2 4 23 3 3" xfId="23462" xr:uid="{00000000-0005-0000-0000-0000A65B0000}"/>
    <cellStyle name="Normal 2 2 4 23 3 4" xfId="23463" xr:uid="{00000000-0005-0000-0000-0000A75B0000}"/>
    <cellStyle name="Normal 2 2 4 23 3 5" xfId="23464" xr:uid="{00000000-0005-0000-0000-0000A85B0000}"/>
    <cellStyle name="Normal 2 2 4 23 3 6" xfId="23465" xr:uid="{00000000-0005-0000-0000-0000A95B0000}"/>
    <cellStyle name="Normal 2 2 4 23 3 7" xfId="23466" xr:uid="{00000000-0005-0000-0000-0000AA5B0000}"/>
    <cellStyle name="Normal 2 2 4 23 3 8" xfId="23467" xr:uid="{00000000-0005-0000-0000-0000AB5B0000}"/>
    <cellStyle name="Normal 2 2 4 23 3 9" xfId="23468" xr:uid="{00000000-0005-0000-0000-0000AC5B0000}"/>
    <cellStyle name="Normal 2 2 4 23 4" xfId="23469" xr:uid="{00000000-0005-0000-0000-0000AD5B0000}"/>
    <cellStyle name="Normal 2 2 4 23 4 10" xfId="23470" xr:uid="{00000000-0005-0000-0000-0000AE5B0000}"/>
    <cellStyle name="Normal 2 2 4 23 4 2" xfId="23471" xr:uid="{00000000-0005-0000-0000-0000AF5B0000}"/>
    <cellStyle name="Normal 2 2 4 23 4 3" xfId="23472" xr:uid="{00000000-0005-0000-0000-0000B05B0000}"/>
    <cellStyle name="Normal 2 2 4 23 4 4" xfId="23473" xr:uid="{00000000-0005-0000-0000-0000B15B0000}"/>
    <cellStyle name="Normal 2 2 4 23 4 5" xfId="23474" xr:uid="{00000000-0005-0000-0000-0000B25B0000}"/>
    <cellStyle name="Normal 2 2 4 23 4 6" xfId="23475" xr:uid="{00000000-0005-0000-0000-0000B35B0000}"/>
    <cellStyle name="Normal 2 2 4 23 4 7" xfId="23476" xr:uid="{00000000-0005-0000-0000-0000B45B0000}"/>
    <cellStyle name="Normal 2 2 4 23 4 8" xfId="23477" xr:uid="{00000000-0005-0000-0000-0000B55B0000}"/>
    <cellStyle name="Normal 2 2 4 23 4 9" xfId="23478" xr:uid="{00000000-0005-0000-0000-0000B65B0000}"/>
    <cellStyle name="Normal 2 2 4 23 5" xfId="23479" xr:uid="{00000000-0005-0000-0000-0000B75B0000}"/>
    <cellStyle name="Normal 2 2 4 23 5 10" xfId="23480" xr:uid="{00000000-0005-0000-0000-0000B85B0000}"/>
    <cellStyle name="Normal 2 2 4 23 5 2" xfId="23481" xr:uid="{00000000-0005-0000-0000-0000B95B0000}"/>
    <cellStyle name="Normal 2 2 4 23 5 3" xfId="23482" xr:uid="{00000000-0005-0000-0000-0000BA5B0000}"/>
    <cellStyle name="Normal 2 2 4 23 5 4" xfId="23483" xr:uid="{00000000-0005-0000-0000-0000BB5B0000}"/>
    <cellStyle name="Normal 2 2 4 23 5 5" xfId="23484" xr:uid="{00000000-0005-0000-0000-0000BC5B0000}"/>
    <cellStyle name="Normal 2 2 4 23 5 6" xfId="23485" xr:uid="{00000000-0005-0000-0000-0000BD5B0000}"/>
    <cellStyle name="Normal 2 2 4 23 5 7" xfId="23486" xr:uid="{00000000-0005-0000-0000-0000BE5B0000}"/>
    <cellStyle name="Normal 2 2 4 23 5 8" xfId="23487" xr:uid="{00000000-0005-0000-0000-0000BF5B0000}"/>
    <cellStyle name="Normal 2 2 4 23 5 9" xfId="23488" xr:uid="{00000000-0005-0000-0000-0000C05B0000}"/>
    <cellStyle name="Normal 2 2 4 23 6" xfId="23489" xr:uid="{00000000-0005-0000-0000-0000C15B0000}"/>
    <cellStyle name="Normal 2 2 4 23 7" xfId="23490" xr:uid="{00000000-0005-0000-0000-0000C25B0000}"/>
    <cellStyle name="Normal 2 2 4 23 8" xfId="23491" xr:uid="{00000000-0005-0000-0000-0000C35B0000}"/>
    <cellStyle name="Normal 2 2 4 23 9" xfId="23492" xr:uid="{00000000-0005-0000-0000-0000C45B0000}"/>
    <cellStyle name="Normal 2 2 4 24" xfId="23493" xr:uid="{00000000-0005-0000-0000-0000C55B0000}"/>
    <cellStyle name="Normal 2 2 4 24 10" xfId="23494" xr:uid="{00000000-0005-0000-0000-0000C65B0000}"/>
    <cellStyle name="Normal 2 2 4 24 11" xfId="23495" xr:uid="{00000000-0005-0000-0000-0000C75B0000}"/>
    <cellStyle name="Normal 2 2 4 24 12" xfId="23496" xr:uid="{00000000-0005-0000-0000-0000C85B0000}"/>
    <cellStyle name="Normal 2 2 4 24 13" xfId="23497" xr:uid="{00000000-0005-0000-0000-0000C95B0000}"/>
    <cellStyle name="Normal 2 2 4 24 14" xfId="23498" xr:uid="{00000000-0005-0000-0000-0000CA5B0000}"/>
    <cellStyle name="Normal 2 2 4 24 2" xfId="23499" xr:uid="{00000000-0005-0000-0000-0000CB5B0000}"/>
    <cellStyle name="Normal 2 2 4 24 2 10" xfId="23500" xr:uid="{00000000-0005-0000-0000-0000CC5B0000}"/>
    <cellStyle name="Normal 2 2 4 24 2 2" xfId="23501" xr:uid="{00000000-0005-0000-0000-0000CD5B0000}"/>
    <cellStyle name="Normal 2 2 4 24 2 3" xfId="23502" xr:uid="{00000000-0005-0000-0000-0000CE5B0000}"/>
    <cellStyle name="Normal 2 2 4 24 2 4" xfId="23503" xr:uid="{00000000-0005-0000-0000-0000CF5B0000}"/>
    <cellStyle name="Normal 2 2 4 24 2 5" xfId="23504" xr:uid="{00000000-0005-0000-0000-0000D05B0000}"/>
    <cellStyle name="Normal 2 2 4 24 2 6" xfId="23505" xr:uid="{00000000-0005-0000-0000-0000D15B0000}"/>
    <cellStyle name="Normal 2 2 4 24 2 7" xfId="23506" xr:uid="{00000000-0005-0000-0000-0000D25B0000}"/>
    <cellStyle name="Normal 2 2 4 24 2 8" xfId="23507" xr:uid="{00000000-0005-0000-0000-0000D35B0000}"/>
    <cellStyle name="Normal 2 2 4 24 2 9" xfId="23508" xr:uid="{00000000-0005-0000-0000-0000D45B0000}"/>
    <cellStyle name="Normal 2 2 4 24 3" xfId="23509" xr:uid="{00000000-0005-0000-0000-0000D55B0000}"/>
    <cellStyle name="Normal 2 2 4 24 3 10" xfId="23510" xr:uid="{00000000-0005-0000-0000-0000D65B0000}"/>
    <cellStyle name="Normal 2 2 4 24 3 2" xfId="23511" xr:uid="{00000000-0005-0000-0000-0000D75B0000}"/>
    <cellStyle name="Normal 2 2 4 24 3 3" xfId="23512" xr:uid="{00000000-0005-0000-0000-0000D85B0000}"/>
    <cellStyle name="Normal 2 2 4 24 3 4" xfId="23513" xr:uid="{00000000-0005-0000-0000-0000D95B0000}"/>
    <cellStyle name="Normal 2 2 4 24 3 5" xfId="23514" xr:uid="{00000000-0005-0000-0000-0000DA5B0000}"/>
    <cellStyle name="Normal 2 2 4 24 3 6" xfId="23515" xr:uid="{00000000-0005-0000-0000-0000DB5B0000}"/>
    <cellStyle name="Normal 2 2 4 24 3 7" xfId="23516" xr:uid="{00000000-0005-0000-0000-0000DC5B0000}"/>
    <cellStyle name="Normal 2 2 4 24 3 8" xfId="23517" xr:uid="{00000000-0005-0000-0000-0000DD5B0000}"/>
    <cellStyle name="Normal 2 2 4 24 3 9" xfId="23518" xr:uid="{00000000-0005-0000-0000-0000DE5B0000}"/>
    <cellStyle name="Normal 2 2 4 24 4" xfId="23519" xr:uid="{00000000-0005-0000-0000-0000DF5B0000}"/>
    <cellStyle name="Normal 2 2 4 24 4 10" xfId="23520" xr:uid="{00000000-0005-0000-0000-0000E05B0000}"/>
    <cellStyle name="Normal 2 2 4 24 4 2" xfId="23521" xr:uid="{00000000-0005-0000-0000-0000E15B0000}"/>
    <cellStyle name="Normal 2 2 4 24 4 3" xfId="23522" xr:uid="{00000000-0005-0000-0000-0000E25B0000}"/>
    <cellStyle name="Normal 2 2 4 24 4 4" xfId="23523" xr:uid="{00000000-0005-0000-0000-0000E35B0000}"/>
    <cellStyle name="Normal 2 2 4 24 4 5" xfId="23524" xr:uid="{00000000-0005-0000-0000-0000E45B0000}"/>
    <cellStyle name="Normal 2 2 4 24 4 6" xfId="23525" xr:uid="{00000000-0005-0000-0000-0000E55B0000}"/>
    <cellStyle name="Normal 2 2 4 24 4 7" xfId="23526" xr:uid="{00000000-0005-0000-0000-0000E65B0000}"/>
    <cellStyle name="Normal 2 2 4 24 4 8" xfId="23527" xr:uid="{00000000-0005-0000-0000-0000E75B0000}"/>
    <cellStyle name="Normal 2 2 4 24 4 9" xfId="23528" xr:uid="{00000000-0005-0000-0000-0000E85B0000}"/>
    <cellStyle name="Normal 2 2 4 24 5" xfId="23529" xr:uid="{00000000-0005-0000-0000-0000E95B0000}"/>
    <cellStyle name="Normal 2 2 4 24 5 10" xfId="23530" xr:uid="{00000000-0005-0000-0000-0000EA5B0000}"/>
    <cellStyle name="Normal 2 2 4 24 5 2" xfId="23531" xr:uid="{00000000-0005-0000-0000-0000EB5B0000}"/>
    <cellStyle name="Normal 2 2 4 24 5 3" xfId="23532" xr:uid="{00000000-0005-0000-0000-0000EC5B0000}"/>
    <cellStyle name="Normal 2 2 4 24 5 4" xfId="23533" xr:uid="{00000000-0005-0000-0000-0000ED5B0000}"/>
    <cellStyle name="Normal 2 2 4 24 5 5" xfId="23534" xr:uid="{00000000-0005-0000-0000-0000EE5B0000}"/>
    <cellStyle name="Normal 2 2 4 24 5 6" xfId="23535" xr:uid="{00000000-0005-0000-0000-0000EF5B0000}"/>
    <cellStyle name="Normal 2 2 4 24 5 7" xfId="23536" xr:uid="{00000000-0005-0000-0000-0000F05B0000}"/>
    <cellStyle name="Normal 2 2 4 24 5 8" xfId="23537" xr:uid="{00000000-0005-0000-0000-0000F15B0000}"/>
    <cellStyle name="Normal 2 2 4 24 5 9" xfId="23538" xr:uid="{00000000-0005-0000-0000-0000F25B0000}"/>
    <cellStyle name="Normal 2 2 4 24 6" xfId="23539" xr:uid="{00000000-0005-0000-0000-0000F35B0000}"/>
    <cellStyle name="Normal 2 2 4 24 7" xfId="23540" xr:uid="{00000000-0005-0000-0000-0000F45B0000}"/>
    <cellStyle name="Normal 2 2 4 24 8" xfId="23541" xr:uid="{00000000-0005-0000-0000-0000F55B0000}"/>
    <cellStyle name="Normal 2 2 4 24 9" xfId="23542" xr:uid="{00000000-0005-0000-0000-0000F65B0000}"/>
    <cellStyle name="Normal 2 2 4 25" xfId="23543" xr:uid="{00000000-0005-0000-0000-0000F75B0000}"/>
    <cellStyle name="Normal 2 2 4 25 10" xfId="23544" xr:uid="{00000000-0005-0000-0000-0000F85B0000}"/>
    <cellStyle name="Normal 2 2 4 25 11" xfId="23545" xr:uid="{00000000-0005-0000-0000-0000F95B0000}"/>
    <cellStyle name="Normal 2 2 4 25 12" xfId="23546" xr:uid="{00000000-0005-0000-0000-0000FA5B0000}"/>
    <cellStyle name="Normal 2 2 4 25 13" xfId="23547" xr:uid="{00000000-0005-0000-0000-0000FB5B0000}"/>
    <cellStyle name="Normal 2 2 4 25 14" xfId="23548" xr:uid="{00000000-0005-0000-0000-0000FC5B0000}"/>
    <cellStyle name="Normal 2 2 4 25 2" xfId="23549" xr:uid="{00000000-0005-0000-0000-0000FD5B0000}"/>
    <cellStyle name="Normal 2 2 4 25 2 10" xfId="23550" xr:uid="{00000000-0005-0000-0000-0000FE5B0000}"/>
    <cellStyle name="Normal 2 2 4 25 2 2" xfId="23551" xr:uid="{00000000-0005-0000-0000-0000FF5B0000}"/>
    <cellStyle name="Normal 2 2 4 25 2 3" xfId="23552" xr:uid="{00000000-0005-0000-0000-0000005C0000}"/>
    <cellStyle name="Normal 2 2 4 25 2 4" xfId="23553" xr:uid="{00000000-0005-0000-0000-0000015C0000}"/>
    <cellStyle name="Normal 2 2 4 25 2 5" xfId="23554" xr:uid="{00000000-0005-0000-0000-0000025C0000}"/>
    <cellStyle name="Normal 2 2 4 25 2 6" xfId="23555" xr:uid="{00000000-0005-0000-0000-0000035C0000}"/>
    <cellStyle name="Normal 2 2 4 25 2 7" xfId="23556" xr:uid="{00000000-0005-0000-0000-0000045C0000}"/>
    <cellStyle name="Normal 2 2 4 25 2 8" xfId="23557" xr:uid="{00000000-0005-0000-0000-0000055C0000}"/>
    <cellStyle name="Normal 2 2 4 25 2 9" xfId="23558" xr:uid="{00000000-0005-0000-0000-0000065C0000}"/>
    <cellStyle name="Normal 2 2 4 25 3" xfId="23559" xr:uid="{00000000-0005-0000-0000-0000075C0000}"/>
    <cellStyle name="Normal 2 2 4 25 3 10" xfId="23560" xr:uid="{00000000-0005-0000-0000-0000085C0000}"/>
    <cellStyle name="Normal 2 2 4 25 3 2" xfId="23561" xr:uid="{00000000-0005-0000-0000-0000095C0000}"/>
    <cellStyle name="Normal 2 2 4 25 3 3" xfId="23562" xr:uid="{00000000-0005-0000-0000-00000A5C0000}"/>
    <cellStyle name="Normal 2 2 4 25 3 4" xfId="23563" xr:uid="{00000000-0005-0000-0000-00000B5C0000}"/>
    <cellStyle name="Normal 2 2 4 25 3 5" xfId="23564" xr:uid="{00000000-0005-0000-0000-00000C5C0000}"/>
    <cellStyle name="Normal 2 2 4 25 3 6" xfId="23565" xr:uid="{00000000-0005-0000-0000-00000D5C0000}"/>
    <cellStyle name="Normal 2 2 4 25 3 7" xfId="23566" xr:uid="{00000000-0005-0000-0000-00000E5C0000}"/>
    <cellStyle name="Normal 2 2 4 25 3 8" xfId="23567" xr:uid="{00000000-0005-0000-0000-00000F5C0000}"/>
    <cellStyle name="Normal 2 2 4 25 3 9" xfId="23568" xr:uid="{00000000-0005-0000-0000-0000105C0000}"/>
    <cellStyle name="Normal 2 2 4 25 4" xfId="23569" xr:uid="{00000000-0005-0000-0000-0000115C0000}"/>
    <cellStyle name="Normal 2 2 4 25 4 10" xfId="23570" xr:uid="{00000000-0005-0000-0000-0000125C0000}"/>
    <cellStyle name="Normal 2 2 4 25 4 2" xfId="23571" xr:uid="{00000000-0005-0000-0000-0000135C0000}"/>
    <cellStyle name="Normal 2 2 4 25 4 3" xfId="23572" xr:uid="{00000000-0005-0000-0000-0000145C0000}"/>
    <cellStyle name="Normal 2 2 4 25 4 4" xfId="23573" xr:uid="{00000000-0005-0000-0000-0000155C0000}"/>
    <cellStyle name="Normal 2 2 4 25 4 5" xfId="23574" xr:uid="{00000000-0005-0000-0000-0000165C0000}"/>
    <cellStyle name="Normal 2 2 4 25 4 6" xfId="23575" xr:uid="{00000000-0005-0000-0000-0000175C0000}"/>
    <cellStyle name="Normal 2 2 4 25 4 7" xfId="23576" xr:uid="{00000000-0005-0000-0000-0000185C0000}"/>
    <cellStyle name="Normal 2 2 4 25 4 8" xfId="23577" xr:uid="{00000000-0005-0000-0000-0000195C0000}"/>
    <cellStyle name="Normal 2 2 4 25 4 9" xfId="23578" xr:uid="{00000000-0005-0000-0000-00001A5C0000}"/>
    <cellStyle name="Normal 2 2 4 25 5" xfId="23579" xr:uid="{00000000-0005-0000-0000-00001B5C0000}"/>
    <cellStyle name="Normal 2 2 4 25 5 10" xfId="23580" xr:uid="{00000000-0005-0000-0000-00001C5C0000}"/>
    <cellStyle name="Normal 2 2 4 25 5 2" xfId="23581" xr:uid="{00000000-0005-0000-0000-00001D5C0000}"/>
    <cellStyle name="Normal 2 2 4 25 5 3" xfId="23582" xr:uid="{00000000-0005-0000-0000-00001E5C0000}"/>
    <cellStyle name="Normal 2 2 4 25 5 4" xfId="23583" xr:uid="{00000000-0005-0000-0000-00001F5C0000}"/>
    <cellStyle name="Normal 2 2 4 25 5 5" xfId="23584" xr:uid="{00000000-0005-0000-0000-0000205C0000}"/>
    <cellStyle name="Normal 2 2 4 25 5 6" xfId="23585" xr:uid="{00000000-0005-0000-0000-0000215C0000}"/>
    <cellStyle name="Normal 2 2 4 25 5 7" xfId="23586" xr:uid="{00000000-0005-0000-0000-0000225C0000}"/>
    <cellStyle name="Normal 2 2 4 25 5 8" xfId="23587" xr:uid="{00000000-0005-0000-0000-0000235C0000}"/>
    <cellStyle name="Normal 2 2 4 25 5 9" xfId="23588" xr:uid="{00000000-0005-0000-0000-0000245C0000}"/>
    <cellStyle name="Normal 2 2 4 25 6" xfId="23589" xr:uid="{00000000-0005-0000-0000-0000255C0000}"/>
    <cellStyle name="Normal 2 2 4 25 7" xfId="23590" xr:uid="{00000000-0005-0000-0000-0000265C0000}"/>
    <cellStyle name="Normal 2 2 4 25 8" xfId="23591" xr:uid="{00000000-0005-0000-0000-0000275C0000}"/>
    <cellStyle name="Normal 2 2 4 25 9" xfId="23592" xr:uid="{00000000-0005-0000-0000-0000285C0000}"/>
    <cellStyle name="Normal 2 2 4 26" xfId="23593" xr:uid="{00000000-0005-0000-0000-0000295C0000}"/>
    <cellStyle name="Normal 2 2 4 26 10" xfId="23594" xr:uid="{00000000-0005-0000-0000-00002A5C0000}"/>
    <cellStyle name="Normal 2 2 4 26 11" xfId="23595" xr:uid="{00000000-0005-0000-0000-00002B5C0000}"/>
    <cellStyle name="Normal 2 2 4 26 12" xfId="23596" xr:uid="{00000000-0005-0000-0000-00002C5C0000}"/>
    <cellStyle name="Normal 2 2 4 26 13" xfId="23597" xr:uid="{00000000-0005-0000-0000-00002D5C0000}"/>
    <cellStyle name="Normal 2 2 4 26 14" xfId="23598" xr:uid="{00000000-0005-0000-0000-00002E5C0000}"/>
    <cellStyle name="Normal 2 2 4 26 2" xfId="23599" xr:uid="{00000000-0005-0000-0000-00002F5C0000}"/>
    <cellStyle name="Normal 2 2 4 26 2 10" xfId="23600" xr:uid="{00000000-0005-0000-0000-0000305C0000}"/>
    <cellStyle name="Normal 2 2 4 26 2 2" xfId="23601" xr:uid="{00000000-0005-0000-0000-0000315C0000}"/>
    <cellStyle name="Normal 2 2 4 26 2 3" xfId="23602" xr:uid="{00000000-0005-0000-0000-0000325C0000}"/>
    <cellStyle name="Normal 2 2 4 26 2 4" xfId="23603" xr:uid="{00000000-0005-0000-0000-0000335C0000}"/>
    <cellStyle name="Normal 2 2 4 26 2 5" xfId="23604" xr:uid="{00000000-0005-0000-0000-0000345C0000}"/>
    <cellStyle name="Normal 2 2 4 26 2 6" xfId="23605" xr:uid="{00000000-0005-0000-0000-0000355C0000}"/>
    <cellStyle name="Normal 2 2 4 26 2 7" xfId="23606" xr:uid="{00000000-0005-0000-0000-0000365C0000}"/>
    <cellStyle name="Normal 2 2 4 26 2 8" xfId="23607" xr:uid="{00000000-0005-0000-0000-0000375C0000}"/>
    <cellStyle name="Normal 2 2 4 26 2 9" xfId="23608" xr:uid="{00000000-0005-0000-0000-0000385C0000}"/>
    <cellStyle name="Normal 2 2 4 26 3" xfId="23609" xr:uid="{00000000-0005-0000-0000-0000395C0000}"/>
    <cellStyle name="Normal 2 2 4 26 3 10" xfId="23610" xr:uid="{00000000-0005-0000-0000-00003A5C0000}"/>
    <cellStyle name="Normal 2 2 4 26 3 2" xfId="23611" xr:uid="{00000000-0005-0000-0000-00003B5C0000}"/>
    <cellStyle name="Normal 2 2 4 26 3 3" xfId="23612" xr:uid="{00000000-0005-0000-0000-00003C5C0000}"/>
    <cellStyle name="Normal 2 2 4 26 3 4" xfId="23613" xr:uid="{00000000-0005-0000-0000-00003D5C0000}"/>
    <cellStyle name="Normal 2 2 4 26 3 5" xfId="23614" xr:uid="{00000000-0005-0000-0000-00003E5C0000}"/>
    <cellStyle name="Normal 2 2 4 26 3 6" xfId="23615" xr:uid="{00000000-0005-0000-0000-00003F5C0000}"/>
    <cellStyle name="Normal 2 2 4 26 3 7" xfId="23616" xr:uid="{00000000-0005-0000-0000-0000405C0000}"/>
    <cellStyle name="Normal 2 2 4 26 3 8" xfId="23617" xr:uid="{00000000-0005-0000-0000-0000415C0000}"/>
    <cellStyle name="Normal 2 2 4 26 3 9" xfId="23618" xr:uid="{00000000-0005-0000-0000-0000425C0000}"/>
    <cellStyle name="Normal 2 2 4 26 4" xfId="23619" xr:uid="{00000000-0005-0000-0000-0000435C0000}"/>
    <cellStyle name="Normal 2 2 4 26 4 10" xfId="23620" xr:uid="{00000000-0005-0000-0000-0000445C0000}"/>
    <cellStyle name="Normal 2 2 4 26 4 2" xfId="23621" xr:uid="{00000000-0005-0000-0000-0000455C0000}"/>
    <cellStyle name="Normal 2 2 4 26 4 3" xfId="23622" xr:uid="{00000000-0005-0000-0000-0000465C0000}"/>
    <cellStyle name="Normal 2 2 4 26 4 4" xfId="23623" xr:uid="{00000000-0005-0000-0000-0000475C0000}"/>
    <cellStyle name="Normal 2 2 4 26 4 5" xfId="23624" xr:uid="{00000000-0005-0000-0000-0000485C0000}"/>
    <cellStyle name="Normal 2 2 4 26 4 6" xfId="23625" xr:uid="{00000000-0005-0000-0000-0000495C0000}"/>
    <cellStyle name="Normal 2 2 4 26 4 7" xfId="23626" xr:uid="{00000000-0005-0000-0000-00004A5C0000}"/>
    <cellStyle name="Normal 2 2 4 26 4 8" xfId="23627" xr:uid="{00000000-0005-0000-0000-00004B5C0000}"/>
    <cellStyle name="Normal 2 2 4 26 4 9" xfId="23628" xr:uid="{00000000-0005-0000-0000-00004C5C0000}"/>
    <cellStyle name="Normal 2 2 4 26 5" xfId="23629" xr:uid="{00000000-0005-0000-0000-00004D5C0000}"/>
    <cellStyle name="Normal 2 2 4 26 5 10" xfId="23630" xr:uid="{00000000-0005-0000-0000-00004E5C0000}"/>
    <cellStyle name="Normal 2 2 4 26 5 2" xfId="23631" xr:uid="{00000000-0005-0000-0000-00004F5C0000}"/>
    <cellStyle name="Normal 2 2 4 26 5 3" xfId="23632" xr:uid="{00000000-0005-0000-0000-0000505C0000}"/>
    <cellStyle name="Normal 2 2 4 26 5 4" xfId="23633" xr:uid="{00000000-0005-0000-0000-0000515C0000}"/>
    <cellStyle name="Normal 2 2 4 26 5 5" xfId="23634" xr:uid="{00000000-0005-0000-0000-0000525C0000}"/>
    <cellStyle name="Normal 2 2 4 26 5 6" xfId="23635" xr:uid="{00000000-0005-0000-0000-0000535C0000}"/>
    <cellStyle name="Normal 2 2 4 26 5 7" xfId="23636" xr:uid="{00000000-0005-0000-0000-0000545C0000}"/>
    <cellStyle name="Normal 2 2 4 26 5 8" xfId="23637" xr:uid="{00000000-0005-0000-0000-0000555C0000}"/>
    <cellStyle name="Normal 2 2 4 26 5 9" xfId="23638" xr:uid="{00000000-0005-0000-0000-0000565C0000}"/>
    <cellStyle name="Normal 2 2 4 26 6" xfId="23639" xr:uid="{00000000-0005-0000-0000-0000575C0000}"/>
    <cellStyle name="Normal 2 2 4 26 7" xfId="23640" xr:uid="{00000000-0005-0000-0000-0000585C0000}"/>
    <cellStyle name="Normal 2 2 4 26 8" xfId="23641" xr:uid="{00000000-0005-0000-0000-0000595C0000}"/>
    <cellStyle name="Normal 2 2 4 26 9" xfId="23642" xr:uid="{00000000-0005-0000-0000-00005A5C0000}"/>
    <cellStyle name="Normal 2 2 4 27" xfId="23643" xr:uid="{00000000-0005-0000-0000-00005B5C0000}"/>
    <cellStyle name="Normal 2 2 4 27 10" xfId="23644" xr:uid="{00000000-0005-0000-0000-00005C5C0000}"/>
    <cellStyle name="Normal 2 2 4 27 11" xfId="23645" xr:uid="{00000000-0005-0000-0000-00005D5C0000}"/>
    <cellStyle name="Normal 2 2 4 27 12" xfId="23646" xr:uid="{00000000-0005-0000-0000-00005E5C0000}"/>
    <cellStyle name="Normal 2 2 4 27 13" xfId="23647" xr:uid="{00000000-0005-0000-0000-00005F5C0000}"/>
    <cellStyle name="Normal 2 2 4 27 14" xfId="23648" xr:uid="{00000000-0005-0000-0000-0000605C0000}"/>
    <cellStyle name="Normal 2 2 4 27 2" xfId="23649" xr:uid="{00000000-0005-0000-0000-0000615C0000}"/>
    <cellStyle name="Normal 2 2 4 27 2 10" xfId="23650" xr:uid="{00000000-0005-0000-0000-0000625C0000}"/>
    <cellStyle name="Normal 2 2 4 27 2 2" xfId="23651" xr:uid="{00000000-0005-0000-0000-0000635C0000}"/>
    <cellStyle name="Normal 2 2 4 27 2 3" xfId="23652" xr:uid="{00000000-0005-0000-0000-0000645C0000}"/>
    <cellStyle name="Normal 2 2 4 27 2 4" xfId="23653" xr:uid="{00000000-0005-0000-0000-0000655C0000}"/>
    <cellStyle name="Normal 2 2 4 27 2 5" xfId="23654" xr:uid="{00000000-0005-0000-0000-0000665C0000}"/>
    <cellStyle name="Normal 2 2 4 27 2 6" xfId="23655" xr:uid="{00000000-0005-0000-0000-0000675C0000}"/>
    <cellStyle name="Normal 2 2 4 27 2 7" xfId="23656" xr:uid="{00000000-0005-0000-0000-0000685C0000}"/>
    <cellStyle name="Normal 2 2 4 27 2 8" xfId="23657" xr:uid="{00000000-0005-0000-0000-0000695C0000}"/>
    <cellStyle name="Normal 2 2 4 27 2 9" xfId="23658" xr:uid="{00000000-0005-0000-0000-00006A5C0000}"/>
    <cellStyle name="Normal 2 2 4 27 3" xfId="23659" xr:uid="{00000000-0005-0000-0000-00006B5C0000}"/>
    <cellStyle name="Normal 2 2 4 27 3 10" xfId="23660" xr:uid="{00000000-0005-0000-0000-00006C5C0000}"/>
    <cellStyle name="Normal 2 2 4 27 3 2" xfId="23661" xr:uid="{00000000-0005-0000-0000-00006D5C0000}"/>
    <cellStyle name="Normal 2 2 4 27 3 3" xfId="23662" xr:uid="{00000000-0005-0000-0000-00006E5C0000}"/>
    <cellStyle name="Normal 2 2 4 27 3 4" xfId="23663" xr:uid="{00000000-0005-0000-0000-00006F5C0000}"/>
    <cellStyle name="Normal 2 2 4 27 3 5" xfId="23664" xr:uid="{00000000-0005-0000-0000-0000705C0000}"/>
    <cellStyle name="Normal 2 2 4 27 3 6" xfId="23665" xr:uid="{00000000-0005-0000-0000-0000715C0000}"/>
    <cellStyle name="Normal 2 2 4 27 3 7" xfId="23666" xr:uid="{00000000-0005-0000-0000-0000725C0000}"/>
    <cellStyle name="Normal 2 2 4 27 3 8" xfId="23667" xr:uid="{00000000-0005-0000-0000-0000735C0000}"/>
    <cellStyle name="Normal 2 2 4 27 3 9" xfId="23668" xr:uid="{00000000-0005-0000-0000-0000745C0000}"/>
    <cellStyle name="Normal 2 2 4 27 4" xfId="23669" xr:uid="{00000000-0005-0000-0000-0000755C0000}"/>
    <cellStyle name="Normal 2 2 4 27 4 10" xfId="23670" xr:uid="{00000000-0005-0000-0000-0000765C0000}"/>
    <cellStyle name="Normal 2 2 4 27 4 2" xfId="23671" xr:uid="{00000000-0005-0000-0000-0000775C0000}"/>
    <cellStyle name="Normal 2 2 4 27 4 3" xfId="23672" xr:uid="{00000000-0005-0000-0000-0000785C0000}"/>
    <cellStyle name="Normal 2 2 4 27 4 4" xfId="23673" xr:uid="{00000000-0005-0000-0000-0000795C0000}"/>
    <cellStyle name="Normal 2 2 4 27 4 5" xfId="23674" xr:uid="{00000000-0005-0000-0000-00007A5C0000}"/>
    <cellStyle name="Normal 2 2 4 27 4 6" xfId="23675" xr:uid="{00000000-0005-0000-0000-00007B5C0000}"/>
    <cellStyle name="Normal 2 2 4 27 4 7" xfId="23676" xr:uid="{00000000-0005-0000-0000-00007C5C0000}"/>
    <cellStyle name="Normal 2 2 4 27 4 8" xfId="23677" xr:uid="{00000000-0005-0000-0000-00007D5C0000}"/>
    <cellStyle name="Normal 2 2 4 27 4 9" xfId="23678" xr:uid="{00000000-0005-0000-0000-00007E5C0000}"/>
    <cellStyle name="Normal 2 2 4 27 5" xfId="23679" xr:uid="{00000000-0005-0000-0000-00007F5C0000}"/>
    <cellStyle name="Normal 2 2 4 27 5 10" xfId="23680" xr:uid="{00000000-0005-0000-0000-0000805C0000}"/>
    <cellStyle name="Normal 2 2 4 27 5 2" xfId="23681" xr:uid="{00000000-0005-0000-0000-0000815C0000}"/>
    <cellStyle name="Normal 2 2 4 27 5 3" xfId="23682" xr:uid="{00000000-0005-0000-0000-0000825C0000}"/>
    <cellStyle name="Normal 2 2 4 27 5 4" xfId="23683" xr:uid="{00000000-0005-0000-0000-0000835C0000}"/>
    <cellStyle name="Normal 2 2 4 27 5 5" xfId="23684" xr:uid="{00000000-0005-0000-0000-0000845C0000}"/>
    <cellStyle name="Normal 2 2 4 27 5 6" xfId="23685" xr:uid="{00000000-0005-0000-0000-0000855C0000}"/>
    <cellStyle name="Normal 2 2 4 27 5 7" xfId="23686" xr:uid="{00000000-0005-0000-0000-0000865C0000}"/>
    <cellStyle name="Normal 2 2 4 27 5 8" xfId="23687" xr:uid="{00000000-0005-0000-0000-0000875C0000}"/>
    <cellStyle name="Normal 2 2 4 27 5 9" xfId="23688" xr:uid="{00000000-0005-0000-0000-0000885C0000}"/>
    <cellStyle name="Normal 2 2 4 27 6" xfId="23689" xr:uid="{00000000-0005-0000-0000-0000895C0000}"/>
    <cellStyle name="Normal 2 2 4 27 7" xfId="23690" xr:uid="{00000000-0005-0000-0000-00008A5C0000}"/>
    <cellStyle name="Normal 2 2 4 27 8" xfId="23691" xr:uid="{00000000-0005-0000-0000-00008B5C0000}"/>
    <cellStyle name="Normal 2 2 4 27 9" xfId="23692" xr:uid="{00000000-0005-0000-0000-00008C5C0000}"/>
    <cellStyle name="Normal 2 2 4 28" xfId="23693" xr:uid="{00000000-0005-0000-0000-00008D5C0000}"/>
    <cellStyle name="Normal 2 2 4 28 10" xfId="23694" xr:uid="{00000000-0005-0000-0000-00008E5C0000}"/>
    <cellStyle name="Normal 2 2 4 28 11" xfId="23695" xr:uid="{00000000-0005-0000-0000-00008F5C0000}"/>
    <cellStyle name="Normal 2 2 4 28 12" xfId="23696" xr:uid="{00000000-0005-0000-0000-0000905C0000}"/>
    <cellStyle name="Normal 2 2 4 28 13" xfId="23697" xr:uid="{00000000-0005-0000-0000-0000915C0000}"/>
    <cellStyle name="Normal 2 2 4 28 14" xfId="23698" xr:uid="{00000000-0005-0000-0000-0000925C0000}"/>
    <cellStyle name="Normal 2 2 4 28 2" xfId="23699" xr:uid="{00000000-0005-0000-0000-0000935C0000}"/>
    <cellStyle name="Normal 2 2 4 28 2 10" xfId="23700" xr:uid="{00000000-0005-0000-0000-0000945C0000}"/>
    <cellStyle name="Normal 2 2 4 28 2 2" xfId="23701" xr:uid="{00000000-0005-0000-0000-0000955C0000}"/>
    <cellStyle name="Normal 2 2 4 28 2 3" xfId="23702" xr:uid="{00000000-0005-0000-0000-0000965C0000}"/>
    <cellStyle name="Normal 2 2 4 28 2 4" xfId="23703" xr:uid="{00000000-0005-0000-0000-0000975C0000}"/>
    <cellStyle name="Normal 2 2 4 28 2 5" xfId="23704" xr:uid="{00000000-0005-0000-0000-0000985C0000}"/>
    <cellStyle name="Normal 2 2 4 28 2 6" xfId="23705" xr:uid="{00000000-0005-0000-0000-0000995C0000}"/>
    <cellStyle name="Normal 2 2 4 28 2 7" xfId="23706" xr:uid="{00000000-0005-0000-0000-00009A5C0000}"/>
    <cellStyle name="Normal 2 2 4 28 2 8" xfId="23707" xr:uid="{00000000-0005-0000-0000-00009B5C0000}"/>
    <cellStyle name="Normal 2 2 4 28 2 9" xfId="23708" xr:uid="{00000000-0005-0000-0000-00009C5C0000}"/>
    <cellStyle name="Normal 2 2 4 28 3" xfId="23709" xr:uid="{00000000-0005-0000-0000-00009D5C0000}"/>
    <cellStyle name="Normal 2 2 4 28 3 10" xfId="23710" xr:uid="{00000000-0005-0000-0000-00009E5C0000}"/>
    <cellStyle name="Normal 2 2 4 28 3 2" xfId="23711" xr:uid="{00000000-0005-0000-0000-00009F5C0000}"/>
    <cellStyle name="Normal 2 2 4 28 3 3" xfId="23712" xr:uid="{00000000-0005-0000-0000-0000A05C0000}"/>
    <cellStyle name="Normal 2 2 4 28 3 4" xfId="23713" xr:uid="{00000000-0005-0000-0000-0000A15C0000}"/>
    <cellStyle name="Normal 2 2 4 28 3 5" xfId="23714" xr:uid="{00000000-0005-0000-0000-0000A25C0000}"/>
    <cellStyle name="Normal 2 2 4 28 3 6" xfId="23715" xr:uid="{00000000-0005-0000-0000-0000A35C0000}"/>
    <cellStyle name="Normal 2 2 4 28 3 7" xfId="23716" xr:uid="{00000000-0005-0000-0000-0000A45C0000}"/>
    <cellStyle name="Normal 2 2 4 28 3 8" xfId="23717" xr:uid="{00000000-0005-0000-0000-0000A55C0000}"/>
    <cellStyle name="Normal 2 2 4 28 3 9" xfId="23718" xr:uid="{00000000-0005-0000-0000-0000A65C0000}"/>
    <cellStyle name="Normal 2 2 4 28 4" xfId="23719" xr:uid="{00000000-0005-0000-0000-0000A75C0000}"/>
    <cellStyle name="Normal 2 2 4 28 4 10" xfId="23720" xr:uid="{00000000-0005-0000-0000-0000A85C0000}"/>
    <cellStyle name="Normal 2 2 4 28 4 2" xfId="23721" xr:uid="{00000000-0005-0000-0000-0000A95C0000}"/>
    <cellStyle name="Normal 2 2 4 28 4 3" xfId="23722" xr:uid="{00000000-0005-0000-0000-0000AA5C0000}"/>
    <cellStyle name="Normal 2 2 4 28 4 4" xfId="23723" xr:uid="{00000000-0005-0000-0000-0000AB5C0000}"/>
    <cellStyle name="Normal 2 2 4 28 4 5" xfId="23724" xr:uid="{00000000-0005-0000-0000-0000AC5C0000}"/>
    <cellStyle name="Normal 2 2 4 28 4 6" xfId="23725" xr:uid="{00000000-0005-0000-0000-0000AD5C0000}"/>
    <cellStyle name="Normal 2 2 4 28 4 7" xfId="23726" xr:uid="{00000000-0005-0000-0000-0000AE5C0000}"/>
    <cellStyle name="Normal 2 2 4 28 4 8" xfId="23727" xr:uid="{00000000-0005-0000-0000-0000AF5C0000}"/>
    <cellStyle name="Normal 2 2 4 28 4 9" xfId="23728" xr:uid="{00000000-0005-0000-0000-0000B05C0000}"/>
    <cellStyle name="Normal 2 2 4 28 5" xfId="23729" xr:uid="{00000000-0005-0000-0000-0000B15C0000}"/>
    <cellStyle name="Normal 2 2 4 28 5 10" xfId="23730" xr:uid="{00000000-0005-0000-0000-0000B25C0000}"/>
    <cellStyle name="Normal 2 2 4 28 5 2" xfId="23731" xr:uid="{00000000-0005-0000-0000-0000B35C0000}"/>
    <cellStyle name="Normal 2 2 4 28 5 3" xfId="23732" xr:uid="{00000000-0005-0000-0000-0000B45C0000}"/>
    <cellStyle name="Normal 2 2 4 28 5 4" xfId="23733" xr:uid="{00000000-0005-0000-0000-0000B55C0000}"/>
    <cellStyle name="Normal 2 2 4 28 5 5" xfId="23734" xr:uid="{00000000-0005-0000-0000-0000B65C0000}"/>
    <cellStyle name="Normal 2 2 4 28 5 6" xfId="23735" xr:uid="{00000000-0005-0000-0000-0000B75C0000}"/>
    <cellStyle name="Normal 2 2 4 28 5 7" xfId="23736" xr:uid="{00000000-0005-0000-0000-0000B85C0000}"/>
    <cellStyle name="Normal 2 2 4 28 5 8" xfId="23737" xr:uid="{00000000-0005-0000-0000-0000B95C0000}"/>
    <cellStyle name="Normal 2 2 4 28 5 9" xfId="23738" xr:uid="{00000000-0005-0000-0000-0000BA5C0000}"/>
    <cellStyle name="Normal 2 2 4 28 6" xfId="23739" xr:uid="{00000000-0005-0000-0000-0000BB5C0000}"/>
    <cellStyle name="Normal 2 2 4 28 7" xfId="23740" xr:uid="{00000000-0005-0000-0000-0000BC5C0000}"/>
    <cellStyle name="Normal 2 2 4 28 8" xfId="23741" xr:uid="{00000000-0005-0000-0000-0000BD5C0000}"/>
    <cellStyle name="Normal 2 2 4 28 9" xfId="23742" xr:uid="{00000000-0005-0000-0000-0000BE5C0000}"/>
    <cellStyle name="Normal 2 2 4 29" xfId="23743" xr:uid="{00000000-0005-0000-0000-0000BF5C0000}"/>
    <cellStyle name="Normal 2 2 4 29 10" xfId="23744" xr:uid="{00000000-0005-0000-0000-0000C05C0000}"/>
    <cellStyle name="Normal 2 2 4 29 11" xfId="23745" xr:uid="{00000000-0005-0000-0000-0000C15C0000}"/>
    <cellStyle name="Normal 2 2 4 29 12" xfId="23746" xr:uid="{00000000-0005-0000-0000-0000C25C0000}"/>
    <cellStyle name="Normal 2 2 4 29 13" xfId="23747" xr:uid="{00000000-0005-0000-0000-0000C35C0000}"/>
    <cellStyle name="Normal 2 2 4 29 14" xfId="23748" xr:uid="{00000000-0005-0000-0000-0000C45C0000}"/>
    <cellStyle name="Normal 2 2 4 29 2" xfId="23749" xr:uid="{00000000-0005-0000-0000-0000C55C0000}"/>
    <cellStyle name="Normal 2 2 4 29 2 10" xfId="23750" xr:uid="{00000000-0005-0000-0000-0000C65C0000}"/>
    <cellStyle name="Normal 2 2 4 29 2 2" xfId="23751" xr:uid="{00000000-0005-0000-0000-0000C75C0000}"/>
    <cellStyle name="Normal 2 2 4 29 2 3" xfId="23752" xr:uid="{00000000-0005-0000-0000-0000C85C0000}"/>
    <cellStyle name="Normal 2 2 4 29 2 4" xfId="23753" xr:uid="{00000000-0005-0000-0000-0000C95C0000}"/>
    <cellStyle name="Normal 2 2 4 29 2 5" xfId="23754" xr:uid="{00000000-0005-0000-0000-0000CA5C0000}"/>
    <cellStyle name="Normal 2 2 4 29 2 6" xfId="23755" xr:uid="{00000000-0005-0000-0000-0000CB5C0000}"/>
    <cellStyle name="Normal 2 2 4 29 2 7" xfId="23756" xr:uid="{00000000-0005-0000-0000-0000CC5C0000}"/>
    <cellStyle name="Normal 2 2 4 29 2 8" xfId="23757" xr:uid="{00000000-0005-0000-0000-0000CD5C0000}"/>
    <cellStyle name="Normal 2 2 4 29 2 9" xfId="23758" xr:uid="{00000000-0005-0000-0000-0000CE5C0000}"/>
    <cellStyle name="Normal 2 2 4 29 3" xfId="23759" xr:uid="{00000000-0005-0000-0000-0000CF5C0000}"/>
    <cellStyle name="Normal 2 2 4 29 3 10" xfId="23760" xr:uid="{00000000-0005-0000-0000-0000D05C0000}"/>
    <cellStyle name="Normal 2 2 4 29 3 2" xfId="23761" xr:uid="{00000000-0005-0000-0000-0000D15C0000}"/>
    <cellStyle name="Normal 2 2 4 29 3 3" xfId="23762" xr:uid="{00000000-0005-0000-0000-0000D25C0000}"/>
    <cellStyle name="Normal 2 2 4 29 3 4" xfId="23763" xr:uid="{00000000-0005-0000-0000-0000D35C0000}"/>
    <cellStyle name="Normal 2 2 4 29 3 5" xfId="23764" xr:uid="{00000000-0005-0000-0000-0000D45C0000}"/>
    <cellStyle name="Normal 2 2 4 29 3 6" xfId="23765" xr:uid="{00000000-0005-0000-0000-0000D55C0000}"/>
    <cellStyle name="Normal 2 2 4 29 3 7" xfId="23766" xr:uid="{00000000-0005-0000-0000-0000D65C0000}"/>
    <cellStyle name="Normal 2 2 4 29 3 8" xfId="23767" xr:uid="{00000000-0005-0000-0000-0000D75C0000}"/>
    <cellStyle name="Normal 2 2 4 29 3 9" xfId="23768" xr:uid="{00000000-0005-0000-0000-0000D85C0000}"/>
    <cellStyle name="Normal 2 2 4 29 4" xfId="23769" xr:uid="{00000000-0005-0000-0000-0000D95C0000}"/>
    <cellStyle name="Normal 2 2 4 29 4 10" xfId="23770" xr:uid="{00000000-0005-0000-0000-0000DA5C0000}"/>
    <cellStyle name="Normal 2 2 4 29 4 2" xfId="23771" xr:uid="{00000000-0005-0000-0000-0000DB5C0000}"/>
    <cellStyle name="Normal 2 2 4 29 4 3" xfId="23772" xr:uid="{00000000-0005-0000-0000-0000DC5C0000}"/>
    <cellStyle name="Normal 2 2 4 29 4 4" xfId="23773" xr:uid="{00000000-0005-0000-0000-0000DD5C0000}"/>
    <cellStyle name="Normal 2 2 4 29 4 5" xfId="23774" xr:uid="{00000000-0005-0000-0000-0000DE5C0000}"/>
    <cellStyle name="Normal 2 2 4 29 4 6" xfId="23775" xr:uid="{00000000-0005-0000-0000-0000DF5C0000}"/>
    <cellStyle name="Normal 2 2 4 29 4 7" xfId="23776" xr:uid="{00000000-0005-0000-0000-0000E05C0000}"/>
    <cellStyle name="Normal 2 2 4 29 4 8" xfId="23777" xr:uid="{00000000-0005-0000-0000-0000E15C0000}"/>
    <cellStyle name="Normal 2 2 4 29 4 9" xfId="23778" xr:uid="{00000000-0005-0000-0000-0000E25C0000}"/>
    <cellStyle name="Normal 2 2 4 29 5" xfId="23779" xr:uid="{00000000-0005-0000-0000-0000E35C0000}"/>
    <cellStyle name="Normal 2 2 4 29 5 10" xfId="23780" xr:uid="{00000000-0005-0000-0000-0000E45C0000}"/>
    <cellStyle name="Normal 2 2 4 29 5 2" xfId="23781" xr:uid="{00000000-0005-0000-0000-0000E55C0000}"/>
    <cellStyle name="Normal 2 2 4 29 5 3" xfId="23782" xr:uid="{00000000-0005-0000-0000-0000E65C0000}"/>
    <cellStyle name="Normal 2 2 4 29 5 4" xfId="23783" xr:uid="{00000000-0005-0000-0000-0000E75C0000}"/>
    <cellStyle name="Normal 2 2 4 29 5 5" xfId="23784" xr:uid="{00000000-0005-0000-0000-0000E85C0000}"/>
    <cellStyle name="Normal 2 2 4 29 5 6" xfId="23785" xr:uid="{00000000-0005-0000-0000-0000E95C0000}"/>
    <cellStyle name="Normal 2 2 4 29 5 7" xfId="23786" xr:uid="{00000000-0005-0000-0000-0000EA5C0000}"/>
    <cellStyle name="Normal 2 2 4 29 5 8" xfId="23787" xr:uid="{00000000-0005-0000-0000-0000EB5C0000}"/>
    <cellStyle name="Normal 2 2 4 29 5 9" xfId="23788" xr:uid="{00000000-0005-0000-0000-0000EC5C0000}"/>
    <cellStyle name="Normal 2 2 4 29 6" xfId="23789" xr:uid="{00000000-0005-0000-0000-0000ED5C0000}"/>
    <cellStyle name="Normal 2 2 4 29 7" xfId="23790" xr:uid="{00000000-0005-0000-0000-0000EE5C0000}"/>
    <cellStyle name="Normal 2 2 4 29 8" xfId="23791" xr:uid="{00000000-0005-0000-0000-0000EF5C0000}"/>
    <cellStyle name="Normal 2 2 4 29 9" xfId="23792" xr:uid="{00000000-0005-0000-0000-0000F05C0000}"/>
    <cellStyle name="Normal 2 2 4 3" xfId="23793" xr:uid="{00000000-0005-0000-0000-0000F15C0000}"/>
    <cellStyle name="Normal 2 2 4 3 10" xfId="23794" xr:uid="{00000000-0005-0000-0000-0000F25C0000}"/>
    <cellStyle name="Normal 2 2 4 3 11" xfId="23795" xr:uid="{00000000-0005-0000-0000-0000F35C0000}"/>
    <cellStyle name="Normal 2 2 4 3 12" xfId="23796" xr:uid="{00000000-0005-0000-0000-0000F45C0000}"/>
    <cellStyle name="Normal 2 2 4 3 13" xfId="23797" xr:uid="{00000000-0005-0000-0000-0000F55C0000}"/>
    <cellStyle name="Normal 2 2 4 3 14" xfId="23798" xr:uid="{00000000-0005-0000-0000-0000F65C0000}"/>
    <cellStyle name="Normal 2 2 4 3 2" xfId="23799" xr:uid="{00000000-0005-0000-0000-0000F75C0000}"/>
    <cellStyle name="Normal 2 2 4 3 2 10" xfId="23800" xr:uid="{00000000-0005-0000-0000-0000F85C0000}"/>
    <cellStyle name="Normal 2 2 4 3 2 2" xfId="23801" xr:uid="{00000000-0005-0000-0000-0000F95C0000}"/>
    <cellStyle name="Normal 2 2 4 3 2 3" xfId="23802" xr:uid="{00000000-0005-0000-0000-0000FA5C0000}"/>
    <cellStyle name="Normal 2 2 4 3 2 4" xfId="23803" xr:uid="{00000000-0005-0000-0000-0000FB5C0000}"/>
    <cellStyle name="Normal 2 2 4 3 2 5" xfId="23804" xr:uid="{00000000-0005-0000-0000-0000FC5C0000}"/>
    <cellStyle name="Normal 2 2 4 3 2 6" xfId="23805" xr:uid="{00000000-0005-0000-0000-0000FD5C0000}"/>
    <cellStyle name="Normal 2 2 4 3 2 7" xfId="23806" xr:uid="{00000000-0005-0000-0000-0000FE5C0000}"/>
    <cellStyle name="Normal 2 2 4 3 2 8" xfId="23807" xr:uid="{00000000-0005-0000-0000-0000FF5C0000}"/>
    <cellStyle name="Normal 2 2 4 3 2 9" xfId="23808" xr:uid="{00000000-0005-0000-0000-0000005D0000}"/>
    <cellStyle name="Normal 2 2 4 3 3" xfId="23809" xr:uid="{00000000-0005-0000-0000-0000015D0000}"/>
    <cellStyle name="Normal 2 2 4 3 3 10" xfId="23810" xr:uid="{00000000-0005-0000-0000-0000025D0000}"/>
    <cellStyle name="Normal 2 2 4 3 3 2" xfId="23811" xr:uid="{00000000-0005-0000-0000-0000035D0000}"/>
    <cellStyle name="Normal 2 2 4 3 3 3" xfId="23812" xr:uid="{00000000-0005-0000-0000-0000045D0000}"/>
    <cellStyle name="Normal 2 2 4 3 3 4" xfId="23813" xr:uid="{00000000-0005-0000-0000-0000055D0000}"/>
    <cellStyle name="Normal 2 2 4 3 3 5" xfId="23814" xr:uid="{00000000-0005-0000-0000-0000065D0000}"/>
    <cellStyle name="Normal 2 2 4 3 3 6" xfId="23815" xr:uid="{00000000-0005-0000-0000-0000075D0000}"/>
    <cellStyle name="Normal 2 2 4 3 3 7" xfId="23816" xr:uid="{00000000-0005-0000-0000-0000085D0000}"/>
    <cellStyle name="Normal 2 2 4 3 3 8" xfId="23817" xr:uid="{00000000-0005-0000-0000-0000095D0000}"/>
    <cellStyle name="Normal 2 2 4 3 3 9" xfId="23818" xr:uid="{00000000-0005-0000-0000-00000A5D0000}"/>
    <cellStyle name="Normal 2 2 4 3 4" xfId="23819" xr:uid="{00000000-0005-0000-0000-00000B5D0000}"/>
    <cellStyle name="Normal 2 2 4 3 4 10" xfId="23820" xr:uid="{00000000-0005-0000-0000-00000C5D0000}"/>
    <cellStyle name="Normal 2 2 4 3 4 2" xfId="23821" xr:uid="{00000000-0005-0000-0000-00000D5D0000}"/>
    <cellStyle name="Normal 2 2 4 3 4 3" xfId="23822" xr:uid="{00000000-0005-0000-0000-00000E5D0000}"/>
    <cellStyle name="Normal 2 2 4 3 4 4" xfId="23823" xr:uid="{00000000-0005-0000-0000-00000F5D0000}"/>
    <cellStyle name="Normal 2 2 4 3 4 5" xfId="23824" xr:uid="{00000000-0005-0000-0000-0000105D0000}"/>
    <cellStyle name="Normal 2 2 4 3 4 6" xfId="23825" xr:uid="{00000000-0005-0000-0000-0000115D0000}"/>
    <cellStyle name="Normal 2 2 4 3 4 7" xfId="23826" xr:uid="{00000000-0005-0000-0000-0000125D0000}"/>
    <cellStyle name="Normal 2 2 4 3 4 8" xfId="23827" xr:uid="{00000000-0005-0000-0000-0000135D0000}"/>
    <cellStyle name="Normal 2 2 4 3 4 9" xfId="23828" xr:uid="{00000000-0005-0000-0000-0000145D0000}"/>
    <cellStyle name="Normal 2 2 4 3 5" xfId="23829" xr:uid="{00000000-0005-0000-0000-0000155D0000}"/>
    <cellStyle name="Normal 2 2 4 3 5 10" xfId="23830" xr:uid="{00000000-0005-0000-0000-0000165D0000}"/>
    <cellStyle name="Normal 2 2 4 3 5 2" xfId="23831" xr:uid="{00000000-0005-0000-0000-0000175D0000}"/>
    <cellStyle name="Normal 2 2 4 3 5 3" xfId="23832" xr:uid="{00000000-0005-0000-0000-0000185D0000}"/>
    <cellStyle name="Normal 2 2 4 3 5 4" xfId="23833" xr:uid="{00000000-0005-0000-0000-0000195D0000}"/>
    <cellStyle name="Normal 2 2 4 3 5 5" xfId="23834" xr:uid="{00000000-0005-0000-0000-00001A5D0000}"/>
    <cellStyle name="Normal 2 2 4 3 5 6" xfId="23835" xr:uid="{00000000-0005-0000-0000-00001B5D0000}"/>
    <cellStyle name="Normal 2 2 4 3 5 7" xfId="23836" xr:uid="{00000000-0005-0000-0000-00001C5D0000}"/>
    <cellStyle name="Normal 2 2 4 3 5 8" xfId="23837" xr:uid="{00000000-0005-0000-0000-00001D5D0000}"/>
    <cellStyle name="Normal 2 2 4 3 5 9" xfId="23838" xr:uid="{00000000-0005-0000-0000-00001E5D0000}"/>
    <cellStyle name="Normal 2 2 4 3 6" xfId="23839" xr:uid="{00000000-0005-0000-0000-00001F5D0000}"/>
    <cellStyle name="Normal 2 2 4 3 7" xfId="23840" xr:uid="{00000000-0005-0000-0000-0000205D0000}"/>
    <cellStyle name="Normal 2 2 4 3 8" xfId="23841" xr:uid="{00000000-0005-0000-0000-0000215D0000}"/>
    <cellStyle name="Normal 2 2 4 3 9" xfId="23842" xr:uid="{00000000-0005-0000-0000-0000225D0000}"/>
    <cellStyle name="Normal 2 2 4 30" xfId="23843" xr:uid="{00000000-0005-0000-0000-0000235D0000}"/>
    <cellStyle name="Normal 2 2 4 30 10" xfId="23844" xr:uid="{00000000-0005-0000-0000-0000245D0000}"/>
    <cellStyle name="Normal 2 2 4 30 11" xfId="23845" xr:uid="{00000000-0005-0000-0000-0000255D0000}"/>
    <cellStyle name="Normal 2 2 4 30 12" xfId="23846" xr:uid="{00000000-0005-0000-0000-0000265D0000}"/>
    <cellStyle name="Normal 2 2 4 30 13" xfId="23847" xr:uid="{00000000-0005-0000-0000-0000275D0000}"/>
    <cellStyle name="Normal 2 2 4 30 14" xfId="23848" xr:uid="{00000000-0005-0000-0000-0000285D0000}"/>
    <cellStyle name="Normal 2 2 4 30 2" xfId="23849" xr:uid="{00000000-0005-0000-0000-0000295D0000}"/>
    <cellStyle name="Normal 2 2 4 30 2 10" xfId="23850" xr:uid="{00000000-0005-0000-0000-00002A5D0000}"/>
    <cellStyle name="Normal 2 2 4 30 2 2" xfId="23851" xr:uid="{00000000-0005-0000-0000-00002B5D0000}"/>
    <cellStyle name="Normal 2 2 4 30 2 3" xfId="23852" xr:uid="{00000000-0005-0000-0000-00002C5D0000}"/>
    <cellStyle name="Normal 2 2 4 30 2 4" xfId="23853" xr:uid="{00000000-0005-0000-0000-00002D5D0000}"/>
    <cellStyle name="Normal 2 2 4 30 2 5" xfId="23854" xr:uid="{00000000-0005-0000-0000-00002E5D0000}"/>
    <cellStyle name="Normal 2 2 4 30 2 6" xfId="23855" xr:uid="{00000000-0005-0000-0000-00002F5D0000}"/>
    <cellStyle name="Normal 2 2 4 30 2 7" xfId="23856" xr:uid="{00000000-0005-0000-0000-0000305D0000}"/>
    <cellStyle name="Normal 2 2 4 30 2 8" xfId="23857" xr:uid="{00000000-0005-0000-0000-0000315D0000}"/>
    <cellStyle name="Normal 2 2 4 30 2 9" xfId="23858" xr:uid="{00000000-0005-0000-0000-0000325D0000}"/>
    <cellStyle name="Normal 2 2 4 30 3" xfId="23859" xr:uid="{00000000-0005-0000-0000-0000335D0000}"/>
    <cellStyle name="Normal 2 2 4 30 3 10" xfId="23860" xr:uid="{00000000-0005-0000-0000-0000345D0000}"/>
    <cellStyle name="Normal 2 2 4 30 3 2" xfId="23861" xr:uid="{00000000-0005-0000-0000-0000355D0000}"/>
    <cellStyle name="Normal 2 2 4 30 3 3" xfId="23862" xr:uid="{00000000-0005-0000-0000-0000365D0000}"/>
    <cellStyle name="Normal 2 2 4 30 3 4" xfId="23863" xr:uid="{00000000-0005-0000-0000-0000375D0000}"/>
    <cellStyle name="Normal 2 2 4 30 3 5" xfId="23864" xr:uid="{00000000-0005-0000-0000-0000385D0000}"/>
    <cellStyle name="Normal 2 2 4 30 3 6" xfId="23865" xr:uid="{00000000-0005-0000-0000-0000395D0000}"/>
    <cellStyle name="Normal 2 2 4 30 3 7" xfId="23866" xr:uid="{00000000-0005-0000-0000-00003A5D0000}"/>
    <cellStyle name="Normal 2 2 4 30 3 8" xfId="23867" xr:uid="{00000000-0005-0000-0000-00003B5D0000}"/>
    <cellStyle name="Normal 2 2 4 30 3 9" xfId="23868" xr:uid="{00000000-0005-0000-0000-00003C5D0000}"/>
    <cellStyle name="Normal 2 2 4 30 4" xfId="23869" xr:uid="{00000000-0005-0000-0000-00003D5D0000}"/>
    <cellStyle name="Normal 2 2 4 30 4 10" xfId="23870" xr:uid="{00000000-0005-0000-0000-00003E5D0000}"/>
    <cellStyle name="Normal 2 2 4 30 4 2" xfId="23871" xr:uid="{00000000-0005-0000-0000-00003F5D0000}"/>
    <cellStyle name="Normal 2 2 4 30 4 3" xfId="23872" xr:uid="{00000000-0005-0000-0000-0000405D0000}"/>
    <cellStyle name="Normal 2 2 4 30 4 4" xfId="23873" xr:uid="{00000000-0005-0000-0000-0000415D0000}"/>
    <cellStyle name="Normal 2 2 4 30 4 5" xfId="23874" xr:uid="{00000000-0005-0000-0000-0000425D0000}"/>
    <cellStyle name="Normal 2 2 4 30 4 6" xfId="23875" xr:uid="{00000000-0005-0000-0000-0000435D0000}"/>
    <cellStyle name="Normal 2 2 4 30 4 7" xfId="23876" xr:uid="{00000000-0005-0000-0000-0000445D0000}"/>
    <cellStyle name="Normal 2 2 4 30 4 8" xfId="23877" xr:uid="{00000000-0005-0000-0000-0000455D0000}"/>
    <cellStyle name="Normal 2 2 4 30 4 9" xfId="23878" xr:uid="{00000000-0005-0000-0000-0000465D0000}"/>
    <cellStyle name="Normal 2 2 4 30 5" xfId="23879" xr:uid="{00000000-0005-0000-0000-0000475D0000}"/>
    <cellStyle name="Normal 2 2 4 30 5 10" xfId="23880" xr:uid="{00000000-0005-0000-0000-0000485D0000}"/>
    <cellStyle name="Normal 2 2 4 30 5 2" xfId="23881" xr:uid="{00000000-0005-0000-0000-0000495D0000}"/>
    <cellStyle name="Normal 2 2 4 30 5 3" xfId="23882" xr:uid="{00000000-0005-0000-0000-00004A5D0000}"/>
    <cellStyle name="Normal 2 2 4 30 5 4" xfId="23883" xr:uid="{00000000-0005-0000-0000-00004B5D0000}"/>
    <cellStyle name="Normal 2 2 4 30 5 5" xfId="23884" xr:uid="{00000000-0005-0000-0000-00004C5D0000}"/>
    <cellStyle name="Normal 2 2 4 30 5 6" xfId="23885" xr:uid="{00000000-0005-0000-0000-00004D5D0000}"/>
    <cellStyle name="Normal 2 2 4 30 5 7" xfId="23886" xr:uid="{00000000-0005-0000-0000-00004E5D0000}"/>
    <cellStyle name="Normal 2 2 4 30 5 8" xfId="23887" xr:uid="{00000000-0005-0000-0000-00004F5D0000}"/>
    <cellStyle name="Normal 2 2 4 30 5 9" xfId="23888" xr:uid="{00000000-0005-0000-0000-0000505D0000}"/>
    <cellStyle name="Normal 2 2 4 30 6" xfId="23889" xr:uid="{00000000-0005-0000-0000-0000515D0000}"/>
    <cellStyle name="Normal 2 2 4 30 7" xfId="23890" xr:uid="{00000000-0005-0000-0000-0000525D0000}"/>
    <cellStyle name="Normal 2 2 4 30 8" xfId="23891" xr:uid="{00000000-0005-0000-0000-0000535D0000}"/>
    <cellStyle name="Normal 2 2 4 30 9" xfId="23892" xr:uid="{00000000-0005-0000-0000-0000545D0000}"/>
    <cellStyle name="Normal 2 2 4 31" xfId="23893" xr:uid="{00000000-0005-0000-0000-0000555D0000}"/>
    <cellStyle name="Normal 2 2 4 31 10" xfId="23894" xr:uid="{00000000-0005-0000-0000-0000565D0000}"/>
    <cellStyle name="Normal 2 2 4 31 11" xfId="23895" xr:uid="{00000000-0005-0000-0000-0000575D0000}"/>
    <cellStyle name="Normal 2 2 4 31 12" xfId="23896" xr:uid="{00000000-0005-0000-0000-0000585D0000}"/>
    <cellStyle name="Normal 2 2 4 31 13" xfId="23897" xr:uid="{00000000-0005-0000-0000-0000595D0000}"/>
    <cellStyle name="Normal 2 2 4 31 14" xfId="23898" xr:uid="{00000000-0005-0000-0000-00005A5D0000}"/>
    <cellStyle name="Normal 2 2 4 31 2" xfId="23899" xr:uid="{00000000-0005-0000-0000-00005B5D0000}"/>
    <cellStyle name="Normal 2 2 4 31 2 10" xfId="23900" xr:uid="{00000000-0005-0000-0000-00005C5D0000}"/>
    <cellStyle name="Normal 2 2 4 31 2 2" xfId="23901" xr:uid="{00000000-0005-0000-0000-00005D5D0000}"/>
    <cellStyle name="Normal 2 2 4 31 2 3" xfId="23902" xr:uid="{00000000-0005-0000-0000-00005E5D0000}"/>
    <cellStyle name="Normal 2 2 4 31 2 4" xfId="23903" xr:uid="{00000000-0005-0000-0000-00005F5D0000}"/>
    <cellStyle name="Normal 2 2 4 31 2 5" xfId="23904" xr:uid="{00000000-0005-0000-0000-0000605D0000}"/>
    <cellStyle name="Normal 2 2 4 31 2 6" xfId="23905" xr:uid="{00000000-0005-0000-0000-0000615D0000}"/>
    <cellStyle name="Normal 2 2 4 31 2 7" xfId="23906" xr:uid="{00000000-0005-0000-0000-0000625D0000}"/>
    <cellStyle name="Normal 2 2 4 31 2 8" xfId="23907" xr:uid="{00000000-0005-0000-0000-0000635D0000}"/>
    <cellStyle name="Normal 2 2 4 31 2 9" xfId="23908" xr:uid="{00000000-0005-0000-0000-0000645D0000}"/>
    <cellStyle name="Normal 2 2 4 31 3" xfId="23909" xr:uid="{00000000-0005-0000-0000-0000655D0000}"/>
    <cellStyle name="Normal 2 2 4 31 3 10" xfId="23910" xr:uid="{00000000-0005-0000-0000-0000665D0000}"/>
    <cellStyle name="Normal 2 2 4 31 3 2" xfId="23911" xr:uid="{00000000-0005-0000-0000-0000675D0000}"/>
    <cellStyle name="Normal 2 2 4 31 3 3" xfId="23912" xr:uid="{00000000-0005-0000-0000-0000685D0000}"/>
    <cellStyle name="Normal 2 2 4 31 3 4" xfId="23913" xr:uid="{00000000-0005-0000-0000-0000695D0000}"/>
    <cellStyle name="Normal 2 2 4 31 3 5" xfId="23914" xr:uid="{00000000-0005-0000-0000-00006A5D0000}"/>
    <cellStyle name="Normal 2 2 4 31 3 6" xfId="23915" xr:uid="{00000000-0005-0000-0000-00006B5D0000}"/>
    <cellStyle name="Normal 2 2 4 31 3 7" xfId="23916" xr:uid="{00000000-0005-0000-0000-00006C5D0000}"/>
    <cellStyle name="Normal 2 2 4 31 3 8" xfId="23917" xr:uid="{00000000-0005-0000-0000-00006D5D0000}"/>
    <cellStyle name="Normal 2 2 4 31 3 9" xfId="23918" xr:uid="{00000000-0005-0000-0000-00006E5D0000}"/>
    <cellStyle name="Normal 2 2 4 31 4" xfId="23919" xr:uid="{00000000-0005-0000-0000-00006F5D0000}"/>
    <cellStyle name="Normal 2 2 4 31 4 10" xfId="23920" xr:uid="{00000000-0005-0000-0000-0000705D0000}"/>
    <cellStyle name="Normal 2 2 4 31 4 2" xfId="23921" xr:uid="{00000000-0005-0000-0000-0000715D0000}"/>
    <cellStyle name="Normal 2 2 4 31 4 3" xfId="23922" xr:uid="{00000000-0005-0000-0000-0000725D0000}"/>
    <cellStyle name="Normal 2 2 4 31 4 4" xfId="23923" xr:uid="{00000000-0005-0000-0000-0000735D0000}"/>
    <cellStyle name="Normal 2 2 4 31 4 5" xfId="23924" xr:uid="{00000000-0005-0000-0000-0000745D0000}"/>
    <cellStyle name="Normal 2 2 4 31 4 6" xfId="23925" xr:uid="{00000000-0005-0000-0000-0000755D0000}"/>
    <cellStyle name="Normal 2 2 4 31 4 7" xfId="23926" xr:uid="{00000000-0005-0000-0000-0000765D0000}"/>
    <cellStyle name="Normal 2 2 4 31 4 8" xfId="23927" xr:uid="{00000000-0005-0000-0000-0000775D0000}"/>
    <cellStyle name="Normal 2 2 4 31 4 9" xfId="23928" xr:uid="{00000000-0005-0000-0000-0000785D0000}"/>
    <cellStyle name="Normal 2 2 4 31 5" xfId="23929" xr:uid="{00000000-0005-0000-0000-0000795D0000}"/>
    <cellStyle name="Normal 2 2 4 31 5 10" xfId="23930" xr:uid="{00000000-0005-0000-0000-00007A5D0000}"/>
    <cellStyle name="Normal 2 2 4 31 5 2" xfId="23931" xr:uid="{00000000-0005-0000-0000-00007B5D0000}"/>
    <cellStyle name="Normal 2 2 4 31 5 3" xfId="23932" xr:uid="{00000000-0005-0000-0000-00007C5D0000}"/>
    <cellStyle name="Normal 2 2 4 31 5 4" xfId="23933" xr:uid="{00000000-0005-0000-0000-00007D5D0000}"/>
    <cellStyle name="Normal 2 2 4 31 5 5" xfId="23934" xr:uid="{00000000-0005-0000-0000-00007E5D0000}"/>
    <cellStyle name="Normal 2 2 4 31 5 6" xfId="23935" xr:uid="{00000000-0005-0000-0000-00007F5D0000}"/>
    <cellStyle name="Normal 2 2 4 31 5 7" xfId="23936" xr:uid="{00000000-0005-0000-0000-0000805D0000}"/>
    <cellStyle name="Normal 2 2 4 31 5 8" xfId="23937" xr:uid="{00000000-0005-0000-0000-0000815D0000}"/>
    <cellStyle name="Normal 2 2 4 31 5 9" xfId="23938" xr:uid="{00000000-0005-0000-0000-0000825D0000}"/>
    <cellStyle name="Normal 2 2 4 31 6" xfId="23939" xr:uid="{00000000-0005-0000-0000-0000835D0000}"/>
    <cellStyle name="Normal 2 2 4 31 7" xfId="23940" xr:uid="{00000000-0005-0000-0000-0000845D0000}"/>
    <cellStyle name="Normal 2 2 4 31 8" xfId="23941" xr:uid="{00000000-0005-0000-0000-0000855D0000}"/>
    <cellStyle name="Normal 2 2 4 31 9" xfId="23942" xr:uid="{00000000-0005-0000-0000-0000865D0000}"/>
    <cellStyle name="Normal 2 2 4 32" xfId="23943" xr:uid="{00000000-0005-0000-0000-0000875D0000}"/>
    <cellStyle name="Normal 2 2 4 32 10" xfId="23944" xr:uid="{00000000-0005-0000-0000-0000885D0000}"/>
    <cellStyle name="Normal 2 2 4 32 11" xfId="23945" xr:uid="{00000000-0005-0000-0000-0000895D0000}"/>
    <cellStyle name="Normal 2 2 4 32 12" xfId="23946" xr:uid="{00000000-0005-0000-0000-00008A5D0000}"/>
    <cellStyle name="Normal 2 2 4 32 13" xfId="23947" xr:uid="{00000000-0005-0000-0000-00008B5D0000}"/>
    <cellStyle name="Normal 2 2 4 32 14" xfId="23948" xr:uid="{00000000-0005-0000-0000-00008C5D0000}"/>
    <cellStyle name="Normal 2 2 4 32 2" xfId="23949" xr:uid="{00000000-0005-0000-0000-00008D5D0000}"/>
    <cellStyle name="Normal 2 2 4 32 2 10" xfId="23950" xr:uid="{00000000-0005-0000-0000-00008E5D0000}"/>
    <cellStyle name="Normal 2 2 4 32 2 2" xfId="23951" xr:uid="{00000000-0005-0000-0000-00008F5D0000}"/>
    <cellStyle name="Normal 2 2 4 32 2 3" xfId="23952" xr:uid="{00000000-0005-0000-0000-0000905D0000}"/>
    <cellStyle name="Normal 2 2 4 32 2 4" xfId="23953" xr:uid="{00000000-0005-0000-0000-0000915D0000}"/>
    <cellStyle name="Normal 2 2 4 32 2 5" xfId="23954" xr:uid="{00000000-0005-0000-0000-0000925D0000}"/>
    <cellStyle name="Normal 2 2 4 32 2 6" xfId="23955" xr:uid="{00000000-0005-0000-0000-0000935D0000}"/>
    <cellStyle name="Normal 2 2 4 32 2 7" xfId="23956" xr:uid="{00000000-0005-0000-0000-0000945D0000}"/>
    <cellStyle name="Normal 2 2 4 32 2 8" xfId="23957" xr:uid="{00000000-0005-0000-0000-0000955D0000}"/>
    <cellStyle name="Normal 2 2 4 32 2 9" xfId="23958" xr:uid="{00000000-0005-0000-0000-0000965D0000}"/>
    <cellStyle name="Normal 2 2 4 32 3" xfId="23959" xr:uid="{00000000-0005-0000-0000-0000975D0000}"/>
    <cellStyle name="Normal 2 2 4 32 3 10" xfId="23960" xr:uid="{00000000-0005-0000-0000-0000985D0000}"/>
    <cellStyle name="Normal 2 2 4 32 3 2" xfId="23961" xr:uid="{00000000-0005-0000-0000-0000995D0000}"/>
    <cellStyle name="Normal 2 2 4 32 3 3" xfId="23962" xr:uid="{00000000-0005-0000-0000-00009A5D0000}"/>
    <cellStyle name="Normal 2 2 4 32 3 4" xfId="23963" xr:uid="{00000000-0005-0000-0000-00009B5D0000}"/>
    <cellStyle name="Normal 2 2 4 32 3 5" xfId="23964" xr:uid="{00000000-0005-0000-0000-00009C5D0000}"/>
    <cellStyle name="Normal 2 2 4 32 3 6" xfId="23965" xr:uid="{00000000-0005-0000-0000-00009D5D0000}"/>
    <cellStyle name="Normal 2 2 4 32 3 7" xfId="23966" xr:uid="{00000000-0005-0000-0000-00009E5D0000}"/>
    <cellStyle name="Normal 2 2 4 32 3 8" xfId="23967" xr:uid="{00000000-0005-0000-0000-00009F5D0000}"/>
    <cellStyle name="Normal 2 2 4 32 3 9" xfId="23968" xr:uid="{00000000-0005-0000-0000-0000A05D0000}"/>
    <cellStyle name="Normal 2 2 4 32 4" xfId="23969" xr:uid="{00000000-0005-0000-0000-0000A15D0000}"/>
    <cellStyle name="Normal 2 2 4 32 4 10" xfId="23970" xr:uid="{00000000-0005-0000-0000-0000A25D0000}"/>
    <cellStyle name="Normal 2 2 4 32 4 2" xfId="23971" xr:uid="{00000000-0005-0000-0000-0000A35D0000}"/>
    <cellStyle name="Normal 2 2 4 32 4 3" xfId="23972" xr:uid="{00000000-0005-0000-0000-0000A45D0000}"/>
    <cellStyle name="Normal 2 2 4 32 4 4" xfId="23973" xr:uid="{00000000-0005-0000-0000-0000A55D0000}"/>
    <cellStyle name="Normal 2 2 4 32 4 5" xfId="23974" xr:uid="{00000000-0005-0000-0000-0000A65D0000}"/>
    <cellStyle name="Normal 2 2 4 32 4 6" xfId="23975" xr:uid="{00000000-0005-0000-0000-0000A75D0000}"/>
    <cellStyle name="Normal 2 2 4 32 4 7" xfId="23976" xr:uid="{00000000-0005-0000-0000-0000A85D0000}"/>
    <cellStyle name="Normal 2 2 4 32 4 8" xfId="23977" xr:uid="{00000000-0005-0000-0000-0000A95D0000}"/>
    <cellStyle name="Normal 2 2 4 32 4 9" xfId="23978" xr:uid="{00000000-0005-0000-0000-0000AA5D0000}"/>
    <cellStyle name="Normal 2 2 4 32 5" xfId="23979" xr:uid="{00000000-0005-0000-0000-0000AB5D0000}"/>
    <cellStyle name="Normal 2 2 4 32 5 10" xfId="23980" xr:uid="{00000000-0005-0000-0000-0000AC5D0000}"/>
    <cellStyle name="Normal 2 2 4 32 5 2" xfId="23981" xr:uid="{00000000-0005-0000-0000-0000AD5D0000}"/>
    <cellStyle name="Normal 2 2 4 32 5 3" xfId="23982" xr:uid="{00000000-0005-0000-0000-0000AE5D0000}"/>
    <cellStyle name="Normal 2 2 4 32 5 4" xfId="23983" xr:uid="{00000000-0005-0000-0000-0000AF5D0000}"/>
    <cellStyle name="Normal 2 2 4 32 5 5" xfId="23984" xr:uid="{00000000-0005-0000-0000-0000B05D0000}"/>
    <cellStyle name="Normal 2 2 4 32 5 6" xfId="23985" xr:uid="{00000000-0005-0000-0000-0000B15D0000}"/>
    <cellStyle name="Normal 2 2 4 32 5 7" xfId="23986" xr:uid="{00000000-0005-0000-0000-0000B25D0000}"/>
    <cellStyle name="Normal 2 2 4 32 5 8" xfId="23987" xr:uid="{00000000-0005-0000-0000-0000B35D0000}"/>
    <cellStyle name="Normal 2 2 4 32 5 9" xfId="23988" xr:uid="{00000000-0005-0000-0000-0000B45D0000}"/>
    <cellStyle name="Normal 2 2 4 32 6" xfId="23989" xr:uid="{00000000-0005-0000-0000-0000B55D0000}"/>
    <cellStyle name="Normal 2 2 4 32 7" xfId="23990" xr:uid="{00000000-0005-0000-0000-0000B65D0000}"/>
    <cellStyle name="Normal 2 2 4 32 8" xfId="23991" xr:uid="{00000000-0005-0000-0000-0000B75D0000}"/>
    <cellStyle name="Normal 2 2 4 32 9" xfId="23992" xr:uid="{00000000-0005-0000-0000-0000B85D0000}"/>
    <cellStyle name="Normal 2 2 4 33" xfId="23993" xr:uid="{00000000-0005-0000-0000-0000B95D0000}"/>
    <cellStyle name="Normal 2 2 4 33 10" xfId="23994" xr:uid="{00000000-0005-0000-0000-0000BA5D0000}"/>
    <cellStyle name="Normal 2 2 4 33 11" xfId="23995" xr:uid="{00000000-0005-0000-0000-0000BB5D0000}"/>
    <cellStyle name="Normal 2 2 4 33 12" xfId="23996" xr:uid="{00000000-0005-0000-0000-0000BC5D0000}"/>
    <cellStyle name="Normal 2 2 4 33 13" xfId="23997" xr:uid="{00000000-0005-0000-0000-0000BD5D0000}"/>
    <cellStyle name="Normal 2 2 4 33 14" xfId="23998" xr:uid="{00000000-0005-0000-0000-0000BE5D0000}"/>
    <cellStyle name="Normal 2 2 4 33 2" xfId="23999" xr:uid="{00000000-0005-0000-0000-0000BF5D0000}"/>
    <cellStyle name="Normal 2 2 4 33 2 10" xfId="24000" xr:uid="{00000000-0005-0000-0000-0000C05D0000}"/>
    <cellStyle name="Normal 2 2 4 33 2 2" xfId="24001" xr:uid="{00000000-0005-0000-0000-0000C15D0000}"/>
    <cellStyle name="Normal 2 2 4 33 2 3" xfId="24002" xr:uid="{00000000-0005-0000-0000-0000C25D0000}"/>
    <cellStyle name="Normal 2 2 4 33 2 4" xfId="24003" xr:uid="{00000000-0005-0000-0000-0000C35D0000}"/>
    <cellStyle name="Normal 2 2 4 33 2 5" xfId="24004" xr:uid="{00000000-0005-0000-0000-0000C45D0000}"/>
    <cellStyle name="Normal 2 2 4 33 2 6" xfId="24005" xr:uid="{00000000-0005-0000-0000-0000C55D0000}"/>
    <cellStyle name="Normal 2 2 4 33 2 7" xfId="24006" xr:uid="{00000000-0005-0000-0000-0000C65D0000}"/>
    <cellStyle name="Normal 2 2 4 33 2 8" xfId="24007" xr:uid="{00000000-0005-0000-0000-0000C75D0000}"/>
    <cellStyle name="Normal 2 2 4 33 2 9" xfId="24008" xr:uid="{00000000-0005-0000-0000-0000C85D0000}"/>
    <cellStyle name="Normal 2 2 4 33 3" xfId="24009" xr:uid="{00000000-0005-0000-0000-0000C95D0000}"/>
    <cellStyle name="Normal 2 2 4 33 3 10" xfId="24010" xr:uid="{00000000-0005-0000-0000-0000CA5D0000}"/>
    <cellStyle name="Normal 2 2 4 33 3 2" xfId="24011" xr:uid="{00000000-0005-0000-0000-0000CB5D0000}"/>
    <cellStyle name="Normal 2 2 4 33 3 3" xfId="24012" xr:uid="{00000000-0005-0000-0000-0000CC5D0000}"/>
    <cellStyle name="Normal 2 2 4 33 3 4" xfId="24013" xr:uid="{00000000-0005-0000-0000-0000CD5D0000}"/>
    <cellStyle name="Normal 2 2 4 33 3 5" xfId="24014" xr:uid="{00000000-0005-0000-0000-0000CE5D0000}"/>
    <cellStyle name="Normal 2 2 4 33 3 6" xfId="24015" xr:uid="{00000000-0005-0000-0000-0000CF5D0000}"/>
    <cellStyle name="Normal 2 2 4 33 3 7" xfId="24016" xr:uid="{00000000-0005-0000-0000-0000D05D0000}"/>
    <cellStyle name="Normal 2 2 4 33 3 8" xfId="24017" xr:uid="{00000000-0005-0000-0000-0000D15D0000}"/>
    <cellStyle name="Normal 2 2 4 33 3 9" xfId="24018" xr:uid="{00000000-0005-0000-0000-0000D25D0000}"/>
    <cellStyle name="Normal 2 2 4 33 4" xfId="24019" xr:uid="{00000000-0005-0000-0000-0000D35D0000}"/>
    <cellStyle name="Normal 2 2 4 33 4 10" xfId="24020" xr:uid="{00000000-0005-0000-0000-0000D45D0000}"/>
    <cellStyle name="Normal 2 2 4 33 4 2" xfId="24021" xr:uid="{00000000-0005-0000-0000-0000D55D0000}"/>
    <cellStyle name="Normal 2 2 4 33 4 3" xfId="24022" xr:uid="{00000000-0005-0000-0000-0000D65D0000}"/>
    <cellStyle name="Normal 2 2 4 33 4 4" xfId="24023" xr:uid="{00000000-0005-0000-0000-0000D75D0000}"/>
    <cellStyle name="Normal 2 2 4 33 4 5" xfId="24024" xr:uid="{00000000-0005-0000-0000-0000D85D0000}"/>
    <cellStyle name="Normal 2 2 4 33 4 6" xfId="24025" xr:uid="{00000000-0005-0000-0000-0000D95D0000}"/>
    <cellStyle name="Normal 2 2 4 33 4 7" xfId="24026" xr:uid="{00000000-0005-0000-0000-0000DA5D0000}"/>
    <cellStyle name="Normal 2 2 4 33 4 8" xfId="24027" xr:uid="{00000000-0005-0000-0000-0000DB5D0000}"/>
    <cellStyle name="Normal 2 2 4 33 4 9" xfId="24028" xr:uid="{00000000-0005-0000-0000-0000DC5D0000}"/>
    <cellStyle name="Normal 2 2 4 33 5" xfId="24029" xr:uid="{00000000-0005-0000-0000-0000DD5D0000}"/>
    <cellStyle name="Normal 2 2 4 33 5 10" xfId="24030" xr:uid="{00000000-0005-0000-0000-0000DE5D0000}"/>
    <cellStyle name="Normal 2 2 4 33 5 2" xfId="24031" xr:uid="{00000000-0005-0000-0000-0000DF5D0000}"/>
    <cellStyle name="Normal 2 2 4 33 5 3" xfId="24032" xr:uid="{00000000-0005-0000-0000-0000E05D0000}"/>
    <cellStyle name="Normal 2 2 4 33 5 4" xfId="24033" xr:uid="{00000000-0005-0000-0000-0000E15D0000}"/>
    <cellStyle name="Normal 2 2 4 33 5 5" xfId="24034" xr:uid="{00000000-0005-0000-0000-0000E25D0000}"/>
    <cellStyle name="Normal 2 2 4 33 5 6" xfId="24035" xr:uid="{00000000-0005-0000-0000-0000E35D0000}"/>
    <cellStyle name="Normal 2 2 4 33 5 7" xfId="24036" xr:uid="{00000000-0005-0000-0000-0000E45D0000}"/>
    <cellStyle name="Normal 2 2 4 33 5 8" xfId="24037" xr:uid="{00000000-0005-0000-0000-0000E55D0000}"/>
    <cellStyle name="Normal 2 2 4 33 5 9" xfId="24038" xr:uid="{00000000-0005-0000-0000-0000E65D0000}"/>
    <cellStyle name="Normal 2 2 4 33 6" xfId="24039" xr:uid="{00000000-0005-0000-0000-0000E75D0000}"/>
    <cellStyle name="Normal 2 2 4 33 7" xfId="24040" xr:uid="{00000000-0005-0000-0000-0000E85D0000}"/>
    <cellStyle name="Normal 2 2 4 33 8" xfId="24041" xr:uid="{00000000-0005-0000-0000-0000E95D0000}"/>
    <cellStyle name="Normal 2 2 4 33 9" xfId="24042" xr:uid="{00000000-0005-0000-0000-0000EA5D0000}"/>
    <cellStyle name="Normal 2 2 4 34" xfId="24043" xr:uid="{00000000-0005-0000-0000-0000EB5D0000}"/>
    <cellStyle name="Normal 2 2 4 35" xfId="24044" xr:uid="{00000000-0005-0000-0000-0000EC5D0000}"/>
    <cellStyle name="Normal 2 2 4 36" xfId="24045" xr:uid="{00000000-0005-0000-0000-0000ED5D0000}"/>
    <cellStyle name="Normal 2 2 4 37" xfId="21773" xr:uid="{00000000-0005-0000-0000-00000D550000}"/>
    <cellStyle name="Normal 2 2 4 4" xfId="24046" xr:uid="{00000000-0005-0000-0000-0000EE5D0000}"/>
    <cellStyle name="Normal 2 2 4 4 10" xfId="24047" xr:uid="{00000000-0005-0000-0000-0000EF5D0000}"/>
    <cellStyle name="Normal 2 2 4 4 11" xfId="24048" xr:uid="{00000000-0005-0000-0000-0000F05D0000}"/>
    <cellStyle name="Normal 2 2 4 4 12" xfId="24049" xr:uid="{00000000-0005-0000-0000-0000F15D0000}"/>
    <cellStyle name="Normal 2 2 4 4 13" xfId="24050" xr:uid="{00000000-0005-0000-0000-0000F25D0000}"/>
    <cellStyle name="Normal 2 2 4 4 14" xfId="24051" xr:uid="{00000000-0005-0000-0000-0000F35D0000}"/>
    <cellStyle name="Normal 2 2 4 4 2" xfId="24052" xr:uid="{00000000-0005-0000-0000-0000F45D0000}"/>
    <cellStyle name="Normal 2 2 4 4 2 10" xfId="24053" xr:uid="{00000000-0005-0000-0000-0000F55D0000}"/>
    <cellStyle name="Normal 2 2 4 4 2 2" xfId="24054" xr:uid="{00000000-0005-0000-0000-0000F65D0000}"/>
    <cellStyle name="Normal 2 2 4 4 2 3" xfId="24055" xr:uid="{00000000-0005-0000-0000-0000F75D0000}"/>
    <cellStyle name="Normal 2 2 4 4 2 4" xfId="24056" xr:uid="{00000000-0005-0000-0000-0000F85D0000}"/>
    <cellStyle name="Normal 2 2 4 4 2 5" xfId="24057" xr:uid="{00000000-0005-0000-0000-0000F95D0000}"/>
    <cellStyle name="Normal 2 2 4 4 2 6" xfId="24058" xr:uid="{00000000-0005-0000-0000-0000FA5D0000}"/>
    <cellStyle name="Normal 2 2 4 4 2 7" xfId="24059" xr:uid="{00000000-0005-0000-0000-0000FB5D0000}"/>
    <cellStyle name="Normal 2 2 4 4 2 8" xfId="24060" xr:uid="{00000000-0005-0000-0000-0000FC5D0000}"/>
    <cellStyle name="Normal 2 2 4 4 2 9" xfId="24061" xr:uid="{00000000-0005-0000-0000-0000FD5D0000}"/>
    <cellStyle name="Normal 2 2 4 4 3" xfId="24062" xr:uid="{00000000-0005-0000-0000-0000FE5D0000}"/>
    <cellStyle name="Normal 2 2 4 4 3 10" xfId="24063" xr:uid="{00000000-0005-0000-0000-0000FF5D0000}"/>
    <cellStyle name="Normal 2 2 4 4 3 2" xfId="24064" xr:uid="{00000000-0005-0000-0000-0000005E0000}"/>
    <cellStyle name="Normal 2 2 4 4 3 3" xfId="24065" xr:uid="{00000000-0005-0000-0000-0000015E0000}"/>
    <cellStyle name="Normal 2 2 4 4 3 4" xfId="24066" xr:uid="{00000000-0005-0000-0000-0000025E0000}"/>
    <cellStyle name="Normal 2 2 4 4 3 5" xfId="24067" xr:uid="{00000000-0005-0000-0000-0000035E0000}"/>
    <cellStyle name="Normal 2 2 4 4 3 6" xfId="24068" xr:uid="{00000000-0005-0000-0000-0000045E0000}"/>
    <cellStyle name="Normal 2 2 4 4 3 7" xfId="24069" xr:uid="{00000000-0005-0000-0000-0000055E0000}"/>
    <cellStyle name="Normal 2 2 4 4 3 8" xfId="24070" xr:uid="{00000000-0005-0000-0000-0000065E0000}"/>
    <cellStyle name="Normal 2 2 4 4 3 9" xfId="24071" xr:uid="{00000000-0005-0000-0000-0000075E0000}"/>
    <cellStyle name="Normal 2 2 4 4 4" xfId="24072" xr:uid="{00000000-0005-0000-0000-0000085E0000}"/>
    <cellStyle name="Normal 2 2 4 4 4 10" xfId="24073" xr:uid="{00000000-0005-0000-0000-0000095E0000}"/>
    <cellStyle name="Normal 2 2 4 4 4 2" xfId="24074" xr:uid="{00000000-0005-0000-0000-00000A5E0000}"/>
    <cellStyle name="Normal 2 2 4 4 4 3" xfId="24075" xr:uid="{00000000-0005-0000-0000-00000B5E0000}"/>
    <cellStyle name="Normal 2 2 4 4 4 4" xfId="24076" xr:uid="{00000000-0005-0000-0000-00000C5E0000}"/>
    <cellStyle name="Normal 2 2 4 4 4 5" xfId="24077" xr:uid="{00000000-0005-0000-0000-00000D5E0000}"/>
    <cellStyle name="Normal 2 2 4 4 4 6" xfId="24078" xr:uid="{00000000-0005-0000-0000-00000E5E0000}"/>
    <cellStyle name="Normal 2 2 4 4 4 7" xfId="24079" xr:uid="{00000000-0005-0000-0000-00000F5E0000}"/>
    <cellStyle name="Normal 2 2 4 4 4 8" xfId="24080" xr:uid="{00000000-0005-0000-0000-0000105E0000}"/>
    <cellStyle name="Normal 2 2 4 4 4 9" xfId="24081" xr:uid="{00000000-0005-0000-0000-0000115E0000}"/>
    <cellStyle name="Normal 2 2 4 4 5" xfId="24082" xr:uid="{00000000-0005-0000-0000-0000125E0000}"/>
    <cellStyle name="Normal 2 2 4 4 5 10" xfId="24083" xr:uid="{00000000-0005-0000-0000-0000135E0000}"/>
    <cellStyle name="Normal 2 2 4 4 5 2" xfId="24084" xr:uid="{00000000-0005-0000-0000-0000145E0000}"/>
    <cellStyle name="Normal 2 2 4 4 5 3" xfId="24085" xr:uid="{00000000-0005-0000-0000-0000155E0000}"/>
    <cellStyle name="Normal 2 2 4 4 5 4" xfId="24086" xr:uid="{00000000-0005-0000-0000-0000165E0000}"/>
    <cellStyle name="Normal 2 2 4 4 5 5" xfId="24087" xr:uid="{00000000-0005-0000-0000-0000175E0000}"/>
    <cellStyle name="Normal 2 2 4 4 5 6" xfId="24088" xr:uid="{00000000-0005-0000-0000-0000185E0000}"/>
    <cellStyle name="Normal 2 2 4 4 5 7" xfId="24089" xr:uid="{00000000-0005-0000-0000-0000195E0000}"/>
    <cellStyle name="Normal 2 2 4 4 5 8" xfId="24090" xr:uid="{00000000-0005-0000-0000-00001A5E0000}"/>
    <cellStyle name="Normal 2 2 4 4 5 9" xfId="24091" xr:uid="{00000000-0005-0000-0000-00001B5E0000}"/>
    <cellStyle name="Normal 2 2 4 4 6" xfId="24092" xr:uid="{00000000-0005-0000-0000-00001C5E0000}"/>
    <cellStyle name="Normal 2 2 4 4 7" xfId="24093" xr:uid="{00000000-0005-0000-0000-00001D5E0000}"/>
    <cellStyle name="Normal 2 2 4 4 8" xfId="24094" xr:uid="{00000000-0005-0000-0000-00001E5E0000}"/>
    <cellStyle name="Normal 2 2 4 4 9" xfId="24095" xr:uid="{00000000-0005-0000-0000-00001F5E0000}"/>
    <cellStyle name="Normal 2 2 4 5" xfId="24096" xr:uid="{00000000-0005-0000-0000-0000205E0000}"/>
    <cellStyle name="Normal 2 2 4 5 10" xfId="24097" xr:uid="{00000000-0005-0000-0000-0000215E0000}"/>
    <cellStyle name="Normal 2 2 4 5 11" xfId="24098" xr:uid="{00000000-0005-0000-0000-0000225E0000}"/>
    <cellStyle name="Normal 2 2 4 5 12" xfId="24099" xr:uid="{00000000-0005-0000-0000-0000235E0000}"/>
    <cellStyle name="Normal 2 2 4 5 13" xfId="24100" xr:uid="{00000000-0005-0000-0000-0000245E0000}"/>
    <cellStyle name="Normal 2 2 4 5 14" xfId="24101" xr:uid="{00000000-0005-0000-0000-0000255E0000}"/>
    <cellStyle name="Normal 2 2 4 5 2" xfId="24102" xr:uid="{00000000-0005-0000-0000-0000265E0000}"/>
    <cellStyle name="Normal 2 2 4 5 2 10" xfId="24103" xr:uid="{00000000-0005-0000-0000-0000275E0000}"/>
    <cellStyle name="Normal 2 2 4 5 2 2" xfId="24104" xr:uid="{00000000-0005-0000-0000-0000285E0000}"/>
    <cellStyle name="Normal 2 2 4 5 2 3" xfId="24105" xr:uid="{00000000-0005-0000-0000-0000295E0000}"/>
    <cellStyle name="Normal 2 2 4 5 2 4" xfId="24106" xr:uid="{00000000-0005-0000-0000-00002A5E0000}"/>
    <cellStyle name="Normal 2 2 4 5 2 5" xfId="24107" xr:uid="{00000000-0005-0000-0000-00002B5E0000}"/>
    <cellStyle name="Normal 2 2 4 5 2 6" xfId="24108" xr:uid="{00000000-0005-0000-0000-00002C5E0000}"/>
    <cellStyle name="Normal 2 2 4 5 2 7" xfId="24109" xr:uid="{00000000-0005-0000-0000-00002D5E0000}"/>
    <cellStyle name="Normal 2 2 4 5 2 8" xfId="24110" xr:uid="{00000000-0005-0000-0000-00002E5E0000}"/>
    <cellStyle name="Normal 2 2 4 5 2 9" xfId="24111" xr:uid="{00000000-0005-0000-0000-00002F5E0000}"/>
    <cellStyle name="Normal 2 2 4 5 3" xfId="24112" xr:uid="{00000000-0005-0000-0000-0000305E0000}"/>
    <cellStyle name="Normal 2 2 4 5 3 10" xfId="24113" xr:uid="{00000000-0005-0000-0000-0000315E0000}"/>
    <cellStyle name="Normal 2 2 4 5 3 2" xfId="24114" xr:uid="{00000000-0005-0000-0000-0000325E0000}"/>
    <cellStyle name="Normal 2 2 4 5 3 3" xfId="24115" xr:uid="{00000000-0005-0000-0000-0000335E0000}"/>
    <cellStyle name="Normal 2 2 4 5 3 4" xfId="24116" xr:uid="{00000000-0005-0000-0000-0000345E0000}"/>
    <cellStyle name="Normal 2 2 4 5 3 5" xfId="24117" xr:uid="{00000000-0005-0000-0000-0000355E0000}"/>
    <cellStyle name="Normal 2 2 4 5 3 6" xfId="24118" xr:uid="{00000000-0005-0000-0000-0000365E0000}"/>
    <cellStyle name="Normal 2 2 4 5 3 7" xfId="24119" xr:uid="{00000000-0005-0000-0000-0000375E0000}"/>
    <cellStyle name="Normal 2 2 4 5 3 8" xfId="24120" xr:uid="{00000000-0005-0000-0000-0000385E0000}"/>
    <cellStyle name="Normal 2 2 4 5 3 9" xfId="24121" xr:uid="{00000000-0005-0000-0000-0000395E0000}"/>
    <cellStyle name="Normal 2 2 4 5 4" xfId="24122" xr:uid="{00000000-0005-0000-0000-00003A5E0000}"/>
    <cellStyle name="Normal 2 2 4 5 4 10" xfId="24123" xr:uid="{00000000-0005-0000-0000-00003B5E0000}"/>
    <cellStyle name="Normal 2 2 4 5 4 2" xfId="24124" xr:uid="{00000000-0005-0000-0000-00003C5E0000}"/>
    <cellStyle name="Normal 2 2 4 5 4 3" xfId="24125" xr:uid="{00000000-0005-0000-0000-00003D5E0000}"/>
    <cellStyle name="Normal 2 2 4 5 4 4" xfId="24126" xr:uid="{00000000-0005-0000-0000-00003E5E0000}"/>
    <cellStyle name="Normal 2 2 4 5 4 5" xfId="24127" xr:uid="{00000000-0005-0000-0000-00003F5E0000}"/>
    <cellStyle name="Normal 2 2 4 5 4 6" xfId="24128" xr:uid="{00000000-0005-0000-0000-0000405E0000}"/>
    <cellStyle name="Normal 2 2 4 5 4 7" xfId="24129" xr:uid="{00000000-0005-0000-0000-0000415E0000}"/>
    <cellStyle name="Normal 2 2 4 5 4 8" xfId="24130" xr:uid="{00000000-0005-0000-0000-0000425E0000}"/>
    <cellStyle name="Normal 2 2 4 5 4 9" xfId="24131" xr:uid="{00000000-0005-0000-0000-0000435E0000}"/>
    <cellStyle name="Normal 2 2 4 5 5" xfId="24132" xr:uid="{00000000-0005-0000-0000-0000445E0000}"/>
    <cellStyle name="Normal 2 2 4 5 5 10" xfId="24133" xr:uid="{00000000-0005-0000-0000-0000455E0000}"/>
    <cellStyle name="Normal 2 2 4 5 5 2" xfId="24134" xr:uid="{00000000-0005-0000-0000-0000465E0000}"/>
    <cellStyle name="Normal 2 2 4 5 5 3" xfId="24135" xr:uid="{00000000-0005-0000-0000-0000475E0000}"/>
    <cellStyle name="Normal 2 2 4 5 5 4" xfId="24136" xr:uid="{00000000-0005-0000-0000-0000485E0000}"/>
    <cellStyle name="Normal 2 2 4 5 5 5" xfId="24137" xr:uid="{00000000-0005-0000-0000-0000495E0000}"/>
    <cellStyle name="Normal 2 2 4 5 5 6" xfId="24138" xr:uid="{00000000-0005-0000-0000-00004A5E0000}"/>
    <cellStyle name="Normal 2 2 4 5 5 7" xfId="24139" xr:uid="{00000000-0005-0000-0000-00004B5E0000}"/>
    <cellStyle name="Normal 2 2 4 5 5 8" xfId="24140" xr:uid="{00000000-0005-0000-0000-00004C5E0000}"/>
    <cellStyle name="Normal 2 2 4 5 5 9" xfId="24141" xr:uid="{00000000-0005-0000-0000-00004D5E0000}"/>
    <cellStyle name="Normal 2 2 4 5 6" xfId="24142" xr:uid="{00000000-0005-0000-0000-00004E5E0000}"/>
    <cellStyle name="Normal 2 2 4 5 7" xfId="24143" xr:uid="{00000000-0005-0000-0000-00004F5E0000}"/>
    <cellStyle name="Normal 2 2 4 5 8" xfId="24144" xr:uid="{00000000-0005-0000-0000-0000505E0000}"/>
    <cellStyle name="Normal 2 2 4 5 9" xfId="24145" xr:uid="{00000000-0005-0000-0000-0000515E0000}"/>
    <cellStyle name="Normal 2 2 4 6" xfId="24146" xr:uid="{00000000-0005-0000-0000-0000525E0000}"/>
    <cellStyle name="Normal 2 2 4 6 10" xfId="24147" xr:uid="{00000000-0005-0000-0000-0000535E0000}"/>
    <cellStyle name="Normal 2 2 4 6 11" xfId="24148" xr:uid="{00000000-0005-0000-0000-0000545E0000}"/>
    <cellStyle name="Normal 2 2 4 6 12" xfId="24149" xr:uid="{00000000-0005-0000-0000-0000555E0000}"/>
    <cellStyle name="Normal 2 2 4 6 13" xfId="24150" xr:uid="{00000000-0005-0000-0000-0000565E0000}"/>
    <cellStyle name="Normal 2 2 4 6 14" xfId="24151" xr:uid="{00000000-0005-0000-0000-0000575E0000}"/>
    <cellStyle name="Normal 2 2 4 6 2" xfId="24152" xr:uid="{00000000-0005-0000-0000-0000585E0000}"/>
    <cellStyle name="Normal 2 2 4 6 2 10" xfId="24153" xr:uid="{00000000-0005-0000-0000-0000595E0000}"/>
    <cellStyle name="Normal 2 2 4 6 2 2" xfId="24154" xr:uid="{00000000-0005-0000-0000-00005A5E0000}"/>
    <cellStyle name="Normal 2 2 4 6 2 3" xfId="24155" xr:uid="{00000000-0005-0000-0000-00005B5E0000}"/>
    <cellStyle name="Normal 2 2 4 6 2 4" xfId="24156" xr:uid="{00000000-0005-0000-0000-00005C5E0000}"/>
    <cellStyle name="Normal 2 2 4 6 2 5" xfId="24157" xr:uid="{00000000-0005-0000-0000-00005D5E0000}"/>
    <cellStyle name="Normal 2 2 4 6 2 6" xfId="24158" xr:uid="{00000000-0005-0000-0000-00005E5E0000}"/>
    <cellStyle name="Normal 2 2 4 6 2 7" xfId="24159" xr:uid="{00000000-0005-0000-0000-00005F5E0000}"/>
    <cellStyle name="Normal 2 2 4 6 2 8" xfId="24160" xr:uid="{00000000-0005-0000-0000-0000605E0000}"/>
    <cellStyle name="Normal 2 2 4 6 2 9" xfId="24161" xr:uid="{00000000-0005-0000-0000-0000615E0000}"/>
    <cellStyle name="Normal 2 2 4 6 3" xfId="24162" xr:uid="{00000000-0005-0000-0000-0000625E0000}"/>
    <cellStyle name="Normal 2 2 4 6 3 10" xfId="24163" xr:uid="{00000000-0005-0000-0000-0000635E0000}"/>
    <cellStyle name="Normal 2 2 4 6 3 2" xfId="24164" xr:uid="{00000000-0005-0000-0000-0000645E0000}"/>
    <cellStyle name="Normal 2 2 4 6 3 3" xfId="24165" xr:uid="{00000000-0005-0000-0000-0000655E0000}"/>
    <cellStyle name="Normal 2 2 4 6 3 4" xfId="24166" xr:uid="{00000000-0005-0000-0000-0000665E0000}"/>
    <cellStyle name="Normal 2 2 4 6 3 5" xfId="24167" xr:uid="{00000000-0005-0000-0000-0000675E0000}"/>
    <cellStyle name="Normal 2 2 4 6 3 6" xfId="24168" xr:uid="{00000000-0005-0000-0000-0000685E0000}"/>
    <cellStyle name="Normal 2 2 4 6 3 7" xfId="24169" xr:uid="{00000000-0005-0000-0000-0000695E0000}"/>
    <cellStyle name="Normal 2 2 4 6 3 8" xfId="24170" xr:uid="{00000000-0005-0000-0000-00006A5E0000}"/>
    <cellStyle name="Normal 2 2 4 6 3 9" xfId="24171" xr:uid="{00000000-0005-0000-0000-00006B5E0000}"/>
    <cellStyle name="Normal 2 2 4 6 4" xfId="24172" xr:uid="{00000000-0005-0000-0000-00006C5E0000}"/>
    <cellStyle name="Normal 2 2 4 6 4 10" xfId="24173" xr:uid="{00000000-0005-0000-0000-00006D5E0000}"/>
    <cellStyle name="Normal 2 2 4 6 4 2" xfId="24174" xr:uid="{00000000-0005-0000-0000-00006E5E0000}"/>
    <cellStyle name="Normal 2 2 4 6 4 3" xfId="24175" xr:uid="{00000000-0005-0000-0000-00006F5E0000}"/>
    <cellStyle name="Normal 2 2 4 6 4 4" xfId="24176" xr:uid="{00000000-0005-0000-0000-0000705E0000}"/>
    <cellStyle name="Normal 2 2 4 6 4 5" xfId="24177" xr:uid="{00000000-0005-0000-0000-0000715E0000}"/>
    <cellStyle name="Normal 2 2 4 6 4 6" xfId="24178" xr:uid="{00000000-0005-0000-0000-0000725E0000}"/>
    <cellStyle name="Normal 2 2 4 6 4 7" xfId="24179" xr:uid="{00000000-0005-0000-0000-0000735E0000}"/>
    <cellStyle name="Normal 2 2 4 6 4 8" xfId="24180" xr:uid="{00000000-0005-0000-0000-0000745E0000}"/>
    <cellStyle name="Normal 2 2 4 6 4 9" xfId="24181" xr:uid="{00000000-0005-0000-0000-0000755E0000}"/>
    <cellStyle name="Normal 2 2 4 6 5" xfId="24182" xr:uid="{00000000-0005-0000-0000-0000765E0000}"/>
    <cellStyle name="Normal 2 2 4 6 5 10" xfId="24183" xr:uid="{00000000-0005-0000-0000-0000775E0000}"/>
    <cellStyle name="Normal 2 2 4 6 5 2" xfId="24184" xr:uid="{00000000-0005-0000-0000-0000785E0000}"/>
    <cellStyle name="Normal 2 2 4 6 5 3" xfId="24185" xr:uid="{00000000-0005-0000-0000-0000795E0000}"/>
    <cellStyle name="Normal 2 2 4 6 5 4" xfId="24186" xr:uid="{00000000-0005-0000-0000-00007A5E0000}"/>
    <cellStyle name="Normal 2 2 4 6 5 5" xfId="24187" xr:uid="{00000000-0005-0000-0000-00007B5E0000}"/>
    <cellStyle name="Normal 2 2 4 6 5 6" xfId="24188" xr:uid="{00000000-0005-0000-0000-00007C5E0000}"/>
    <cellStyle name="Normal 2 2 4 6 5 7" xfId="24189" xr:uid="{00000000-0005-0000-0000-00007D5E0000}"/>
    <cellStyle name="Normal 2 2 4 6 5 8" xfId="24190" xr:uid="{00000000-0005-0000-0000-00007E5E0000}"/>
    <cellStyle name="Normal 2 2 4 6 5 9" xfId="24191" xr:uid="{00000000-0005-0000-0000-00007F5E0000}"/>
    <cellStyle name="Normal 2 2 4 6 6" xfId="24192" xr:uid="{00000000-0005-0000-0000-0000805E0000}"/>
    <cellStyle name="Normal 2 2 4 6 7" xfId="24193" xr:uid="{00000000-0005-0000-0000-0000815E0000}"/>
    <cellStyle name="Normal 2 2 4 6 8" xfId="24194" xr:uid="{00000000-0005-0000-0000-0000825E0000}"/>
    <cellStyle name="Normal 2 2 4 6 9" xfId="24195" xr:uid="{00000000-0005-0000-0000-0000835E0000}"/>
    <cellStyle name="Normal 2 2 4 7" xfId="24196" xr:uid="{00000000-0005-0000-0000-0000845E0000}"/>
    <cellStyle name="Normal 2 2 4 7 10" xfId="24197" xr:uid="{00000000-0005-0000-0000-0000855E0000}"/>
    <cellStyle name="Normal 2 2 4 7 11" xfId="24198" xr:uid="{00000000-0005-0000-0000-0000865E0000}"/>
    <cellStyle name="Normal 2 2 4 7 12" xfId="24199" xr:uid="{00000000-0005-0000-0000-0000875E0000}"/>
    <cellStyle name="Normal 2 2 4 7 13" xfId="24200" xr:uid="{00000000-0005-0000-0000-0000885E0000}"/>
    <cellStyle name="Normal 2 2 4 7 14" xfId="24201" xr:uid="{00000000-0005-0000-0000-0000895E0000}"/>
    <cellStyle name="Normal 2 2 4 7 2" xfId="24202" xr:uid="{00000000-0005-0000-0000-00008A5E0000}"/>
    <cellStyle name="Normal 2 2 4 7 2 10" xfId="24203" xr:uid="{00000000-0005-0000-0000-00008B5E0000}"/>
    <cellStyle name="Normal 2 2 4 7 2 2" xfId="24204" xr:uid="{00000000-0005-0000-0000-00008C5E0000}"/>
    <cellStyle name="Normal 2 2 4 7 2 3" xfId="24205" xr:uid="{00000000-0005-0000-0000-00008D5E0000}"/>
    <cellStyle name="Normal 2 2 4 7 2 4" xfId="24206" xr:uid="{00000000-0005-0000-0000-00008E5E0000}"/>
    <cellStyle name="Normal 2 2 4 7 2 5" xfId="24207" xr:uid="{00000000-0005-0000-0000-00008F5E0000}"/>
    <cellStyle name="Normal 2 2 4 7 2 6" xfId="24208" xr:uid="{00000000-0005-0000-0000-0000905E0000}"/>
    <cellStyle name="Normal 2 2 4 7 2 7" xfId="24209" xr:uid="{00000000-0005-0000-0000-0000915E0000}"/>
    <cellStyle name="Normal 2 2 4 7 2 8" xfId="24210" xr:uid="{00000000-0005-0000-0000-0000925E0000}"/>
    <cellStyle name="Normal 2 2 4 7 2 9" xfId="24211" xr:uid="{00000000-0005-0000-0000-0000935E0000}"/>
    <cellStyle name="Normal 2 2 4 7 3" xfId="24212" xr:uid="{00000000-0005-0000-0000-0000945E0000}"/>
    <cellStyle name="Normal 2 2 4 7 3 10" xfId="24213" xr:uid="{00000000-0005-0000-0000-0000955E0000}"/>
    <cellStyle name="Normal 2 2 4 7 3 2" xfId="24214" xr:uid="{00000000-0005-0000-0000-0000965E0000}"/>
    <cellStyle name="Normal 2 2 4 7 3 3" xfId="24215" xr:uid="{00000000-0005-0000-0000-0000975E0000}"/>
    <cellStyle name="Normal 2 2 4 7 3 4" xfId="24216" xr:uid="{00000000-0005-0000-0000-0000985E0000}"/>
    <cellStyle name="Normal 2 2 4 7 3 5" xfId="24217" xr:uid="{00000000-0005-0000-0000-0000995E0000}"/>
    <cellStyle name="Normal 2 2 4 7 3 6" xfId="24218" xr:uid="{00000000-0005-0000-0000-00009A5E0000}"/>
    <cellStyle name="Normal 2 2 4 7 3 7" xfId="24219" xr:uid="{00000000-0005-0000-0000-00009B5E0000}"/>
    <cellStyle name="Normal 2 2 4 7 3 8" xfId="24220" xr:uid="{00000000-0005-0000-0000-00009C5E0000}"/>
    <cellStyle name="Normal 2 2 4 7 3 9" xfId="24221" xr:uid="{00000000-0005-0000-0000-00009D5E0000}"/>
    <cellStyle name="Normal 2 2 4 7 4" xfId="24222" xr:uid="{00000000-0005-0000-0000-00009E5E0000}"/>
    <cellStyle name="Normal 2 2 4 7 4 10" xfId="24223" xr:uid="{00000000-0005-0000-0000-00009F5E0000}"/>
    <cellStyle name="Normal 2 2 4 7 4 2" xfId="24224" xr:uid="{00000000-0005-0000-0000-0000A05E0000}"/>
    <cellStyle name="Normal 2 2 4 7 4 3" xfId="24225" xr:uid="{00000000-0005-0000-0000-0000A15E0000}"/>
    <cellStyle name="Normal 2 2 4 7 4 4" xfId="24226" xr:uid="{00000000-0005-0000-0000-0000A25E0000}"/>
    <cellStyle name="Normal 2 2 4 7 4 5" xfId="24227" xr:uid="{00000000-0005-0000-0000-0000A35E0000}"/>
    <cellStyle name="Normal 2 2 4 7 4 6" xfId="24228" xr:uid="{00000000-0005-0000-0000-0000A45E0000}"/>
    <cellStyle name="Normal 2 2 4 7 4 7" xfId="24229" xr:uid="{00000000-0005-0000-0000-0000A55E0000}"/>
    <cellStyle name="Normal 2 2 4 7 4 8" xfId="24230" xr:uid="{00000000-0005-0000-0000-0000A65E0000}"/>
    <cellStyle name="Normal 2 2 4 7 4 9" xfId="24231" xr:uid="{00000000-0005-0000-0000-0000A75E0000}"/>
    <cellStyle name="Normal 2 2 4 7 5" xfId="24232" xr:uid="{00000000-0005-0000-0000-0000A85E0000}"/>
    <cellStyle name="Normal 2 2 4 7 5 10" xfId="24233" xr:uid="{00000000-0005-0000-0000-0000A95E0000}"/>
    <cellStyle name="Normal 2 2 4 7 5 2" xfId="24234" xr:uid="{00000000-0005-0000-0000-0000AA5E0000}"/>
    <cellStyle name="Normal 2 2 4 7 5 3" xfId="24235" xr:uid="{00000000-0005-0000-0000-0000AB5E0000}"/>
    <cellStyle name="Normal 2 2 4 7 5 4" xfId="24236" xr:uid="{00000000-0005-0000-0000-0000AC5E0000}"/>
    <cellStyle name="Normal 2 2 4 7 5 5" xfId="24237" xr:uid="{00000000-0005-0000-0000-0000AD5E0000}"/>
    <cellStyle name="Normal 2 2 4 7 5 6" xfId="24238" xr:uid="{00000000-0005-0000-0000-0000AE5E0000}"/>
    <cellStyle name="Normal 2 2 4 7 5 7" xfId="24239" xr:uid="{00000000-0005-0000-0000-0000AF5E0000}"/>
    <cellStyle name="Normal 2 2 4 7 5 8" xfId="24240" xr:uid="{00000000-0005-0000-0000-0000B05E0000}"/>
    <cellStyle name="Normal 2 2 4 7 5 9" xfId="24241" xr:uid="{00000000-0005-0000-0000-0000B15E0000}"/>
    <cellStyle name="Normal 2 2 4 7 6" xfId="24242" xr:uid="{00000000-0005-0000-0000-0000B25E0000}"/>
    <cellStyle name="Normal 2 2 4 7 7" xfId="24243" xr:uid="{00000000-0005-0000-0000-0000B35E0000}"/>
    <cellStyle name="Normal 2 2 4 7 8" xfId="24244" xr:uid="{00000000-0005-0000-0000-0000B45E0000}"/>
    <cellStyle name="Normal 2 2 4 7 9" xfId="24245" xr:uid="{00000000-0005-0000-0000-0000B55E0000}"/>
    <cellStyle name="Normal 2 2 4 8" xfId="24246" xr:uid="{00000000-0005-0000-0000-0000B65E0000}"/>
    <cellStyle name="Normal 2 2 4 8 10" xfId="24247" xr:uid="{00000000-0005-0000-0000-0000B75E0000}"/>
    <cellStyle name="Normal 2 2 4 8 11" xfId="24248" xr:uid="{00000000-0005-0000-0000-0000B85E0000}"/>
    <cellStyle name="Normal 2 2 4 8 12" xfId="24249" xr:uid="{00000000-0005-0000-0000-0000B95E0000}"/>
    <cellStyle name="Normal 2 2 4 8 13" xfId="24250" xr:uid="{00000000-0005-0000-0000-0000BA5E0000}"/>
    <cellStyle name="Normal 2 2 4 8 14" xfId="24251" xr:uid="{00000000-0005-0000-0000-0000BB5E0000}"/>
    <cellStyle name="Normal 2 2 4 8 2" xfId="24252" xr:uid="{00000000-0005-0000-0000-0000BC5E0000}"/>
    <cellStyle name="Normal 2 2 4 8 2 10" xfId="24253" xr:uid="{00000000-0005-0000-0000-0000BD5E0000}"/>
    <cellStyle name="Normal 2 2 4 8 2 2" xfId="24254" xr:uid="{00000000-0005-0000-0000-0000BE5E0000}"/>
    <cellStyle name="Normal 2 2 4 8 2 3" xfId="24255" xr:uid="{00000000-0005-0000-0000-0000BF5E0000}"/>
    <cellStyle name="Normal 2 2 4 8 2 4" xfId="24256" xr:uid="{00000000-0005-0000-0000-0000C05E0000}"/>
    <cellStyle name="Normal 2 2 4 8 2 5" xfId="24257" xr:uid="{00000000-0005-0000-0000-0000C15E0000}"/>
    <cellStyle name="Normal 2 2 4 8 2 6" xfId="24258" xr:uid="{00000000-0005-0000-0000-0000C25E0000}"/>
    <cellStyle name="Normal 2 2 4 8 2 7" xfId="24259" xr:uid="{00000000-0005-0000-0000-0000C35E0000}"/>
    <cellStyle name="Normal 2 2 4 8 2 8" xfId="24260" xr:uid="{00000000-0005-0000-0000-0000C45E0000}"/>
    <cellStyle name="Normal 2 2 4 8 2 9" xfId="24261" xr:uid="{00000000-0005-0000-0000-0000C55E0000}"/>
    <cellStyle name="Normal 2 2 4 8 3" xfId="24262" xr:uid="{00000000-0005-0000-0000-0000C65E0000}"/>
    <cellStyle name="Normal 2 2 4 8 3 10" xfId="24263" xr:uid="{00000000-0005-0000-0000-0000C75E0000}"/>
    <cellStyle name="Normal 2 2 4 8 3 2" xfId="24264" xr:uid="{00000000-0005-0000-0000-0000C85E0000}"/>
    <cellStyle name="Normal 2 2 4 8 3 3" xfId="24265" xr:uid="{00000000-0005-0000-0000-0000C95E0000}"/>
    <cellStyle name="Normal 2 2 4 8 3 4" xfId="24266" xr:uid="{00000000-0005-0000-0000-0000CA5E0000}"/>
    <cellStyle name="Normal 2 2 4 8 3 5" xfId="24267" xr:uid="{00000000-0005-0000-0000-0000CB5E0000}"/>
    <cellStyle name="Normal 2 2 4 8 3 6" xfId="24268" xr:uid="{00000000-0005-0000-0000-0000CC5E0000}"/>
    <cellStyle name="Normal 2 2 4 8 3 7" xfId="24269" xr:uid="{00000000-0005-0000-0000-0000CD5E0000}"/>
    <cellStyle name="Normal 2 2 4 8 3 8" xfId="24270" xr:uid="{00000000-0005-0000-0000-0000CE5E0000}"/>
    <cellStyle name="Normal 2 2 4 8 3 9" xfId="24271" xr:uid="{00000000-0005-0000-0000-0000CF5E0000}"/>
    <cellStyle name="Normal 2 2 4 8 4" xfId="24272" xr:uid="{00000000-0005-0000-0000-0000D05E0000}"/>
    <cellStyle name="Normal 2 2 4 8 4 10" xfId="24273" xr:uid="{00000000-0005-0000-0000-0000D15E0000}"/>
    <cellStyle name="Normal 2 2 4 8 4 2" xfId="24274" xr:uid="{00000000-0005-0000-0000-0000D25E0000}"/>
    <cellStyle name="Normal 2 2 4 8 4 3" xfId="24275" xr:uid="{00000000-0005-0000-0000-0000D35E0000}"/>
    <cellStyle name="Normal 2 2 4 8 4 4" xfId="24276" xr:uid="{00000000-0005-0000-0000-0000D45E0000}"/>
    <cellStyle name="Normal 2 2 4 8 4 5" xfId="24277" xr:uid="{00000000-0005-0000-0000-0000D55E0000}"/>
    <cellStyle name="Normal 2 2 4 8 4 6" xfId="24278" xr:uid="{00000000-0005-0000-0000-0000D65E0000}"/>
    <cellStyle name="Normal 2 2 4 8 4 7" xfId="24279" xr:uid="{00000000-0005-0000-0000-0000D75E0000}"/>
    <cellStyle name="Normal 2 2 4 8 4 8" xfId="24280" xr:uid="{00000000-0005-0000-0000-0000D85E0000}"/>
    <cellStyle name="Normal 2 2 4 8 4 9" xfId="24281" xr:uid="{00000000-0005-0000-0000-0000D95E0000}"/>
    <cellStyle name="Normal 2 2 4 8 5" xfId="24282" xr:uid="{00000000-0005-0000-0000-0000DA5E0000}"/>
    <cellStyle name="Normal 2 2 4 8 5 10" xfId="24283" xr:uid="{00000000-0005-0000-0000-0000DB5E0000}"/>
    <cellStyle name="Normal 2 2 4 8 5 2" xfId="24284" xr:uid="{00000000-0005-0000-0000-0000DC5E0000}"/>
    <cellStyle name="Normal 2 2 4 8 5 3" xfId="24285" xr:uid="{00000000-0005-0000-0000-0000DD5E0000}"/>
    <cellStyle name="Normal 2 2 4 8 5 4" xfId="24286" xr:uid="{00000000-0005-0000-0000-0000DE5E0000}"/>
    <cellStyle name="Normal 2 2 4 8 5 5" xfId="24287" xr:uid="{00000000-0005-0000-0000-0000DF5E0000}"/>
    <cellStyle name="Normal 2 2 4 8 5 6" xfId="24288" xr:uid="{00000000-0005-0000-0000-0000E05E0000}"/>
    <cellStyle name="Normal 2 2 4 8 5 7" xfId="24289" xr:uid="{00000000-0005-0000-0000-0000E15E0000}"/>
    <cellStyle name="Normal 2 2 4 8 5 8" xfId="24290" xr:uid="{00000000-0005-0000-0000-0000E25E0000}"/>
    <cellStyle name="Normal 2 2 4 8 5 9" xfId="24291" xr:uid="{00000000-0005-0000-0000-0000E35E0000}"/>
    <cellStyle name="Normal 2 2 4 8 6" xfId="24292" xr:uid="{00000000-0005-0000-0000-0000E45E0000}"/>
    <cellStyle name="Normal 2 2 4 8 7" xfId="24293" xr:uid="{00000000-0005-0000-0000-0000E55E0000}"/>
    <cellStyle name="Normal 2 2 4 8 8" xfId="24294" xr:uid="{00000000-0005-0000-0000-0000E65E0000}"/>
    <cellStyle name="Normal 2 2 4 8 9" xfId="24295" xr:uid="{00000000-0005-0000-0000-0000E75E0000}"/>
    <cellStyle name="Normal 2 2 4 9" xfId="24296" xr:uid="{00000000-0005-0000-0000-0000E85E0000}"/>
    <cellStyle name="Normal 2 2 4 9 10" xfId="24297" xr:uid="{00000000-0005-0000-0000-0000E95E0000}"/>
    <cellStyle name="Normal 2 2 4 9 11" xfId="24298" xr:uid="{00000000-0005-0000-0000-0000EA5E0000}"/>
    <cellStyle name="Normal 2 2 4 9 12" xfId="24299" xr:uid="{00000000-0005-0000-0000-0000EB5E0000}"/>
    <cellStyle name="Normal 2 2 4 9 13" xfId="24300" xr:uid="{00000000-0005-0000-0000-0000EC5E0000}"/>
    <cellStyle name="Normal 2 2 4 9 14" xfId="24301" xr:uid="{00000000-0005-0000-0000-0000ED5E0000}"/>
    <cellStyle name="Normal 2 2 4 9 2" xfId="24302" xr:uid="{00000000-0005-0000-0000-0000EE5E0000}"/>
    <cellStyle name="Normal 2 2 4 9 2 10" xfId="24303" xr:uid="{00000000-0005-0000-0000-0000EF5E0000}"/>
    <cellStyle name="Normal 2 2 4 9 2 2" xfId="24304" xr:uid="{00000000-0005-0000-0000-0000F05E0000}"/>
    <cellStyle name="Normal 2 2 4 9 2 3" xfId="24305" xr:uid="{00000000-0005-0000-0000-0000F15E0000}"/>
    <cellStyle name="Normal 2 2 4 9 2 4" xfId="24306" xr:uid="{00000000-0005-0000-0000-0000F25E0000}"/>
    <cellStyle name="Normal 2 2 4 9 2 5" xfId="24307" xr:uid="{00000000-0005-0000-0000-0000F35E0000}"/>
    <cellStyle name="Normal 2 2 4 9 2 6" xfId="24308" xr:uid="{00000000-0005-0000-0000-0000F45E0000}"/>
    <cellStyle name="Normal 2 2 4 9 2 7" xfId="24309" xr:uid="{00000000-0005-0000-0000-0000F55E0000}"/>
    <cellStyle name="Normal 2 2 4 9 2 8" xfId="24310" xr:uid="{00000000-0005-0000-0000-0000F65E0000}"/>
    <cellStyle name="Normal 2 2 4 9 2 9" xfId="24311" xr:uid="{00000000-0005-0000-0000-0000F75E0000}"/>
    <cellStyle name="Normal 2 2 4 9 3" xfId="24312" xr:uid="{00000000-0005-0000-0000-0000F85E0000}"/>
    <cellStyle name="Normal 2 2 4 9 3 10" xfId="24313" xr:uid="{00000000-0005-0000-0000-0000F95E0000}"/>
    <cellStyle name="Normal 2 2 4 9 3 2" xfId="24314" xr:uid="{00000000-0005-0000-0000-0000FA5E0000}"/>
    <cellStyle name="Normal 2 2 4 9 3 3" xfId="24315" xr:uid="{00000000-0005-0000-0000-0000FB5E0000}"/>
    <cellStyle name="Normal 2 2 4 9 3 4" xfId="24316" xr:uid="{00000000-0005-0000-0000-0000FC5E0000}"/>
    <cellStyle name="Normal 2 2 4 9 3 5" xfId="24317" xr:uid="{00000000-0005-0000-0000-0000FD5E0000}"/>
    <cellStyle name="Normal 2 2 4 9 3 6" xfId="24318" xr:uid="{00000000-0005-0000-0000-0000FE5E0000}"/>
    <cellStyle name="Normal 2 2 4 9 3 7" xfId="24319" xr:uid="{00000000-0005-0000-0000-0000FF5E0000}"/>
    <cellStyle name="Normal 2 2 4 9 3 8" xfId="24320" xr:uid="{00000000-0005-0000-0000-0000005F0000}"/>
    <cellStyle name="Normal 2 2 4 9 3 9" xfId="24321" xr:uid="{00000000-0005-0000-0000-0000015F0000}"/>
    <cellStyle name="Normal 2 2 4 9 4" xfId="24322" xr:uid="{00000000-0005-0000-0000-0000025F0000}"/>
    <cellStyle name="Normal 2 2 4 9 4 10" xfId="24323" xr:uid="{00000000-0005-0000-0000-0000035F0000}"/>
    <cellStyle name="Normal 2 2 4 9 4 2" xfId="24324" xr:uid="{00000000-0005-0000-0000-0000045F0000}"/>
    <cellStyle name="Normal 2 2 4 9 4 3" xfId="24325" xr:uid="{00000000-0005-0000-0000-0000055F0000}"/>
    <cellStyle name="Normal 2 2 4 9 4 4" xfId="24326" xr:uid="{00000000-0005-0000-0000-0000065F0000}"/>
    <cellStyle name="Normal 2 2 4 9 4 5" xfId="24327" xr:uid="{00000000-0005-0000-0000-0000075F0000}"/>
    <cellStyle name="Normal 2 2 4 9 4 6" xfId="24328" xr:uid="{00000000-0005-0000-0000-0000085F0000}"/>
    <cellStyle name="Normal 2 2 4 9 4 7" xfId="24329" xr:uid="{00000000-0005-0000-0000-0000095F0000}"/>
    <cellStyle name="Normal 2 2 4 9 4 8" xfId="24330" xr:uid="{00000000-0005-0000-0000-00000A5F0000}"/>
    <cellStyle name="Normal 2 2 4 9 4 9" xfId="24331" xr:uid="{00000000-0005-0000-0000-00000B5F0000}"/>
    <cellStyle name="Normal 2 2 4 9 5" xfId="24332" xr:uid="{00000000-0005-0000-0000-00000C5F0000}"/>
    <cellStyle name="Normal 2 2 4 9 5 10" xfId="24333" xr:uid="{00000000-0005-0000-0000-00000D5F0000}"/>
    <cellStyle name="Normal 2 2 4 9 5 2" xfId="24334" xr:uid="{00000000-0005-0000-0000-00000E5F0000}"/>
    <cellStyle name="Normal 2 2 4 9 5 3" xfId="24335" xr:uid="{00000000-0005-0000-0000-00000F5F0000}"/>
    <cellStyle name="Normal 2 2 4 9 5 4" xfId="24336" xr:uid="{00000000-0005-0000-0000-0000105F0000}"/>
    <cellStyle name="Normal 2 2 4 9 5 5" xfId="24337" xr:uid="{00000000-0005-0000-0000-0000115F0000}"/>
    <cellStyle name="Normal 2 2 4 9 5 6" xfId="24338" xr:uid="{00000000-0005-0000-0000-0000125F0000}"/>
    <cellStyle name="Normal 2 2 4 9 5 7" xfId="24339" xr:uid="{00000000-0005-0000-0000-0000135F0000}"/>
    <cellStyle name="Normal 2 2 4 9 5 8" xfId="24340" xr:uid="{00000000-0005-0000-0000-0000145F0000}"/>
    <cellStyle name="Normal 2 2 4 9 5 9" xfId="24341" xr:uid="{00000000-0005-0000-0000-0000155F0000}"/>
    <cellStyle name="Normal 2 2 4 9 6" xfId="24342" xr:uid="{00000000-0005-0000-0000-0000165F0000}"/>
    <cellStyle name="Normal 2 2 4 9 7" xfId="24343" xr:uid="{00000000-0005-0000-0000-0000175F0000}"/>
    <cellStyle name="Normal 2 2 4 9 8" xfId="24344" xr:uid="{00000000-0005-0000-0000-0000185F0000}"/>
    <cellStyle name="Normal 2 2 4 9 9" xfId="24345" xr:uid="{00000000-0005-0000-0000-0000195F0000}"/>
    <cellStyle name="Normal 2 2 40" xfId="24346" xr:uid="{00000000-0005-0000-0000-00001A5F0000}"/>
    <cellStyle name="Normal 2 2 41" xfId="24347" xr:uid="{00000000-0005-0000-0000-00001B5F0000}"/>
    <cellStyle name="Normal 2 2 41 10" xfId="24348" xr:uid="{00000000-0005-0000-0000-00001C5F0000}"/>
    <cellStyle name="Normal 2 2 41 2" xfId="24349" xr:uid="{00000000-0005-0000-0000-00001D5F0000}"/>
    <cellStyle name="Normal 2 2 41 3" xfId="24350" xr:uid="{00000000-0005-0000-0000-00001E5F0000}"/>
    <cellStyle name="Normal 2 2 41 4" xfId="24351" xr:uid="{00000000-0005-0000-0000-00001F5F0000}"/>
    <cellStyle name="Normal 2 2 41 5" xfId="24352" xr:uid="{00000000-0005-0000-0000-0000205F0000}"/>
    <cellStyle name="Normal 2 2 41 6" xfId="24353" xr:uid="{00000000-0005-0000-0000-0000215F0000}"/>
    <cellStyle name="Normal 2 2 41 7" xfId="24354" xr:uid="{00000000-0005-0000-0000-0000225F0000}"/>
    <cellStyle name="Normal 2 2 41 8" xfId="24355" xr:uid="{00000000-0005-0000-0000-0000235F0000}"/>
    <cellStyle name="Normal 2 2 41 9" xfId="24356" xr:uid="{00000000-0005-0000-0000-0000245F0000}"/>
    <cellStyle name="Normal 2 2 42" xfId="24357" xr:uid="{00000000-0005-0000-0000-0000255F0000}"/>
    <cellStyle name="Normal 2 2 43" xfId="24358" xr:uid="{00000000-0005-0000-0000-0000265F0000}"/>
    <cellStyle name="Normal 2 2 44" xfId="24359" xr:uid="{00000000-0005-0000-0000-0000275F0000}"/>
    <cellStyle name="Normal 2 2 45" xfId="24360" xr:uid="{00000000-0005-0000-0000-0000285F0000}"/>
    <cellStyle name="Normal 2 2 46" xfId="24361" xr:uid="{00000000-0005-0000-0000-0000295F0000}"/>
    <cellStyle name="Normal 2 2 47" xfId="24362" xr:uid="{00000000-0005-0000-0000-00002A5F0000}"/>
    <cellStyle name="Normal 2 2 48" xfId="24363" xr:uid="{00000000-0005-0000-0000-00002B5F0000}"/>
    <cellStyle name="Normal 2 2 49" xfId="24364" xr:uid="{00000000-0005-0000-0000-00002C5F0000}"/>
    <cellStyle name="Normal 2 2 5" xfId="35" xr:uid="{00000000-0005-0000-0000-000023000000}"/>
    <cellStyle name="Normal 2 2 5 10" xfId="24366" xr:uid="{00000000-0005-0000-0000-00002E5F0000}"/>
    <cellStyle name="Normal 2 2 5 10 10" xfId="24367" xr:uid="{00000000-0005-0000-0000-00002F5F0000}"/>
    <cellStyle name="Normal 2 2 5 10 11" xfId="24368" xr:uid="{00000000-0005-0000-0000-0000305F0000}"/>
    <cellStyle name="Normal 2 2 5 10 12" xfId="24369" xr:uid="{00000000-0005-0000-0000-0000315F0000}"/>
    <cellStyle name="Normal 2 2 5 10 13" xfId="24370" xr:uid="{00000000-0005-0000-0000-0000325F0000}"/>
    <cellStyle name="Normal 2 2 5 10 14" xfId="24371" xr:uid="{00000000-0005-0000-0000-0000335F0000}"/>
    <cellStyle name="Normal 2 2 5 10 2" xfId="24372" xr:uid="{00000000-0005-0000-0000-0000345F0000}"/>
    <cellStyle name="Normal 2 2 5 10 2 10" xfId="24373" xr:uid="{00000000-0005-0000-0000-0000355F0000}"/>
    <cellStyle name="Normal 2 2 5 10 2 2" xfId="24374" xr:uid="{00000000-0005-0000-0000-0000365F0000}"/>
    <cellStyle name="Normal 2 2 5 10 2 3" xfId="24375" xr:uid="{00000000-0005-0000-0000-0000375F0000}"/>
    <cellStyle name="Normal 2 2 5 10 2 4" xfId="24376" xr:uid="{00000000-0005-0000-0000-0000385F0000}"/>
    <cellStyle name="Normal 2 2 5 10 2 5" xfId="24377" xr:uid="{00000000-0005-0000-0000-0000395F0000}"/>
    <cellStyle name="Normal 2 2 5 10 2 6" xfId="24378" xr:uid="{00000000-0005-0000-0000-00003A5F0000}"/>
    <cellStyle name="Normal 2 2 5 10 2 7" xfId="24379" xr:uid="{00000000-0005-0000-0000-00003B5F0000}"/>
    <cellStyle name="Normal 2 2 5 10 2 8" xfId="24380" xr:uid="{00000000-0005-0000-0000-00003C5F0000}"/>
    <cellStyle name="Normal 2 2 5 10 2 9" xfId="24381" xr:uid="{00000000-0005-0000-0000-00003D5F0000}"/>
    <cellStyle name="Normal 2 2 5 10 3" xfId="24382" xr:uid="{00000000-0005-0000-0000-00003E5F0000}"/>
    <cellStyle name="Normal 2 2 5 10 3 10" xfId="24383" xr:uid="{00000000-0005-0000-0000-00003F5F0000}"/>
    <cellStyle name="Normal 2 2 5 10 3 2" xfId="24384" xr:uid="{00000000-0005-0000-0000-0000405F0000}"/>
    <cellStyle name="Normal 2 2 5 10 3 3" xfId="24385" xr:uid="{00000000-0005-0000-0000-0000415F0000}"/>
    <cellStyle name="Normal 2 2 5 10 3 4" xfId="24386" xr:uid="{00000000-0005-0000-0000-0000425F0000}"/>
    <cellStyle name="Normal 2 2 5 10 3 5" xfId="24387" xr:uid="{00000000-0005-0000-0000-0000435F0000}"/>
    <cellStyle name="Normal 2 2 5 10 3 6" xfId="24388" xr:uid="{00000000-0005-0000-0000-0000445F0000}"/>
    <cellStyle name="Normal 2 2 5 10 3 7" xfId="24389" xr:uid="{00000000-0005-0000-0000-0000455F0000}"/>
    <cellStyle name="Normal 2 2 5 10 3 8" xfId="24390" xr:uid="{00000000-0005-0000-0000-0000465F0000}"/>
    <cellStyle name="Normal 2 2 5 10 3 9" xfId="24391" xr:uid="{00000000-0005-0000-0000-0000475F0000}"/>
    <cellStyle name="Normal 2 2 5 10 4" xfId="24392" xr:uid="{00000000-0005-0000-0000-0000485F0000}"/>
    <cellStyle name="Normal 2 2 5 10 4 10" xfId="24393" xr:uid="{00000000-0005-0000-0000-0000495F0000}"/>
    <cellStyle name="Normal 2 2 5 10 4 2" xfId="24394" xr:uid="{00000000-0005-0000-0000-00004A5F0000}"/>
    <cellStyle name="Normal 2 2 5 10 4 3" xfId="24395" xr:uid="{00000000-0005-0000-0000-00004B5F0000}"/>
    <cellStyle name="Normal 2 2 5 10 4 4" xfId="24396" xr:uid="{00000000-0005-0000-0000-00004C5F0000}"/>
    <cellStyle name="Normal 2 2 5 10 4 5" xfId="24397" xr:uid="{00000000-0005-0000-0000-00004D5F0000}"/>
    <cellStyle name="Normal 2 2 5 10 4 6" xfId="24398" xr:uid="{00000000-0005-0000-0000-00004E5F0000}"/>
    <cellStyle name="Normal 2 2 5 10 4 7" xfId="24399" xr:uid="{00000000-0005-0000-0000-00004F5F0000}"/>
    <cellStyle name="Normal 2 2 5 10 4 8" xfId="24400" xr:uid="{00000000-0005-0000-0000-0000505F0000}"/>
    <cellStyle name="Normal 2 2 5 10 4 9" xfId="24401" xr:uid="{00000000-0005-0000-0000-0000515F0000}"/>
    <cellStyle name="Normal 2 2 5 10 5" xfId="24402" xr:uid="{00000000-0005-0000-0000-0000525F0000}"/>
    <cellStyle name="Normal 2 2 5 10 5 10" xfId="24403" xr:uid="{00000000-0005-0000-0000-0000535F0000}"/>
    <cellStyle name="Normal 2 2 5 10 5 2" xfId="24404" xr:uid="{00000000-0005-0000-0000-0000545F0000}"/>
    <cellStyle name="Normal 2 2 5 10 5 3" xfId="24405" xr:uid="{00000000-0005-0000-0000-0000555F0000}"/>
    <cellStyle name="Normal 2 2 5 10 5 4" xfId="24406" xr:uid="{00000000-0005-0000-0000-0000565F0000}"/>
    <cellStyle name="Normal 2 2 5 10 5 5" xfId="24407" xr:uid="{00000000-0005-0000-0000-0000575F0000}"/>
    <cellStyle name="Normal 2 2 5 10 5 6" xfId="24408" xr:uid="{00000000-0005-0000-0000-0000585F0000}"/>
    <cellStyle name="Normal 2 2 5 10 5 7" xfId="24409" xr:uid="{00000000-0005-0000-0000-0000595F0000}"/>
    <cellStyle name="Normal 2 2 5 10 5 8" xfId="24410" xr:uid="{00000000-0005-0000-0000-00005A5F0000}"/>
    <cellStyle name="Normal 2 2 5 10 5 9" xfId="24411" xr:uid="{00000000-0005-0000-0000-00005B5F0000}"/>
    <cellStyle name="Normal 2 2 5 10 6" xfId="24412" xr:uid="{00000000-0005-0000-0000-00005C5F0000}"/>
    <cellStyle name="Normal 2 2 5 10 7" xfId="24413" xr:uid="{00000000-0005-0000-0000-00005D5F0000}"/>
    <cellStyle name="Normal 2 2 5 10 8" xfId="24414" xr:uid="{00000000-0005-0000-0000-00005E5F0000}"/>
    <cellStyle name="Normal 2 2 5 10 9" xfId="24415" xr:uid="{00000000-0005-0000-0000-00005F5F0000}"/>
    <cellStyle name="Normal 2 2 5 11" xfId="24416" xr:uid="{00000000-0005-0000-0000-0000605F0000}"/>
    <cellStyle name="Normal 2 2 5 11 10" xfId="24417" xr:uid="{00000000-0005-0000-0000-0000615F0000}"/>
    <cellStyle name="Normal 2 2 5 11 11" xfId="24418" xr:uid="{00000000-0005-0000-0000-0000625F0000}"/>
    <cellStyle name="Normal 2 2 5 11 12" xfId="24419" xr:uid="{00000000-0005-0000-0000-0000635F0000}"/>
    <cellStyle name="Normal 2 2 5 11 13" xfId="24420" xr:uid="{00000000-0005-0000-0000-0000645F0000}"/>
    <cellStyle name="Normal 2 2 5 11 14" xfId="24421" xr:uid="{00000000-0005-0000-0000-0000655F0000}"/>
    <cellStyle name="Normal 2 2 5 11 2" xfId="24422" xr:uid="{00000000-0005-0000-0000-0000665F0000}"/>
    <cellStyle name="Normal 2 2 5 11 2 10" xfId="24423" xr:uid="{00000000-0005-0000-0000-0000675F0000}"/>
    <cellStyle name="Normal 2 2 5 11 2 2" xfId="24424" xr:uid="{00000000-0005-0000-0000-0000685F0000}"/>
    <cellStyle name="Normal 2 2 5 11 2 3" xfId="24425" xr:uid="{00000000-0005-0000-0000-0000695F0000}"/>
    <cellStyle name="Normal 2 2 5 11 2 4" xfId="24426" xr:uid="{00000000-0005-0000-0000-00006A5F0000}"/>
    <cellStyle name="Normal 2 2 5 11 2 5" xfId="24427" xr:uid="{00000000-0005-0000-0000-00006B5F0000}"/>
    <cellStyle name="Normal 2 2 5 11 2 6" xfId="24428" xr:uid="{00000000-0005-0000-0000-00006C5F0000}"/>
    <cellStyle name="Normal 2 2 5 11 2 7" xfId="24429" xr:uid="{00000000-0005-0000-0000-00006D5F0000}"/>
    <cellStyle name="Normal 2 2 5 11 2 8" xfId="24430" xr:uid="{00000000-0005-0000-0000-00006E5F0000}"/>
    <cellStyle name="Normal 2 2 5 11 2 9" xfId="24431" xr:uid="{00000000-0005-0000-0000-00006F5F0000}"/>
    <cellStyle name="Normal 2 2 5 11 3" xfId="24432" xr:uid="{00000000-0005-0000-0000-0000705F0000}"/>
    <cellStyle name="Normal 2 2 5 11 3 10" xfId="24433" xr:uid="{00000000-0005-0000-0000-0000715F0000}"/>
    <cellStyle name="Normal 2 2 5 11 3 2" xfId="24434" xr:uid="{00000000-0005-0000-0000-0000725F0000}"/>
    <cellStyle name="Normal 2 2 5 11 3 3" xfId="24435" xr:uid="{00000000-0005-0000-0000-0000735F0000}"/>
    <cellStyle name="Normal 2 2 5 11 3 4" xfId="24436" xr:uid="{00000000-0005-0000-0000-0000745F0000}"/>
    <cellStyle name="Normal 2 2 5 11 3 5" xfId="24437" xr:uid="{00000000-0005-0000-0000-0000755F0000}"/>
    <cellStyle name="Normal 2 2 5 11 3 6" xfId="24438" xr:uid="{00000000-0005-0000-0000-0000765F0000}"/>
    <cellStyle name="Normal 2 2 5 11 3 7" xfId="24439" xr:uid="{00000000-0005-0000-0000-0000775F0000}"/>
    <cellStyle name="Normal 2 2 5 11 3 8" xfId="24440" xr:uid="{00000000-0005-0000-0000-0000785F0000}"/>
    <cellStyle name="Normal 2 2 5 11 3 9" xfId="24441" xr:uid="{00000000-0005-0000-0000-0000795F0000}"/>
    <cellStyle name="Normal 2 2 5 11 4" xfId="24442" xr:uid="{00000000-0005-0000-0000-00007A5F0000}"/>
    <cellStyle name="Normal 2 2 5 11 4 10" xfId="24443" xr:uid="{00000000-0005-0000-0000-00007B5F0000}"/>
    <cellStyle name="Normal 2 2 5 11 4 2" xfId="24444" xr:uid="{00000000-0005-0000-0000-00007C5F0000}"/>
    <cellStyle name="Normal 2 2 5 11 4 3" xfId="24445" xr:uid="{00000000-0005-0000-0000-00007D5F0000}"/>
    <cellStyle name="Normal 2 2 5 11 4 4" xfId="24446" xr:uid="{00000000-0005-0000-0000-00007E5F0000}"/>
    <cellStyle name="Normal 2 2 5 11 4 5" xfId="24447" xr:uid="{00000000-0005-0000-0000-00007F5F0000}"/>
    <cellStyle name="Normal 2 2 5 11 4 6" xfId="24448" xr:uid="{00000000-0005-0000-0000-0000805F0000}"/>
    <cellStyle name="Normal 2 2 5 11 4 7" xfId="24449" xr:uid="{00000000-0005-0000-0000-0000815F0000}"/>
    <cellStyle name="Normal 2 2 5 11 4 8" xfId="24450" xr:uid="{00000000-0005-0000-0000-0000825F0000}"/>
    <cellStyle name="Normal 2 2 5 11 4 9" xfId="24451" xr:uid="{00000000-0005-0000-0000-0000835F0000}"/>
    <cellStyle name="Normal 2 2 5 11 5" xfId="24452" xr:uid="{00000000-0005-0000-0000-0000845F0000}"/>
    <cellStyle name="Normal 2 2 5 11 5 10" xfId="24453" xr:uid="{00000000-0005-0000-0000-0000855F0000}"/>
    <cellStyle name="Normal 2 2 5 11 5 2" xfId="24454" xr:uid="{00000000-0005-0000-0000-0000865F0000}"/>
    <cellStyle name="Normal 2 2 5 11 5 3" xfId="24455" xr:uid="{00000000-0005-0000-0000-0000875F0000}"/>
    <cellStyle name="Normal 2 2 5 11 5 4" xfId="24456" xr:uid="{00000000-0005-0000-0000-0000885F0000}"/>
    <cellStyle name="Normal 2 2 5 11 5 5" xfId="24457" xr:uid="{00000000-0005-0000-0000-0000895F0000}"/>
    <cellStyle name="Normal 2 2 5 11 5 6" xfId="24458" xr:uid="{00000000-0005-0000-0000-00008A5F0000}"/>
    <cellStyle name="Normal 2 2 5 11 5 7" xfId="24459" xr:uid="{00000000-0005-0000-0000-00008B5F0000}"/>
    <cellStyle name="Normal 2 2 5 11 5 8" xfId="24460" xr:uid="{00000000-0005-0000-0000-00008C5F0000}"/>
    <cellStyle name="Normal 2 2 5 11 5 9" xfId="24461" xr:uid="{00000000-0005-0000-0000-00008D5F0000}"/>
    <cellStyle name="Normal 2 2 5 11 6" xfId="24462" xr:uid="{00000000-0005-0000-0000-00008E5F0000}"/>
    <cellStyle name="Normal 2 2 5 11 7" xfId="24463" xr:uid="{00000000-0005-0000-0000-00008F5F0000}"/>
    <cellStyle name="Normal 2 2 5 11 8" xfId="24464" xr:uid="{00000000-0005-0000-0000-0000905F0000}"/>
    <cellStyle name="Normal 2 2 5 11 9" xfId="24465" xr:uid="{00000000-0005-0000-0000-0000915F0000}"/>
    <cellStyle name="Normal 2 2 5 12" xfId="24466" xr:uid="{00000000-0005-0000-0000-0000925F0000}"/>
    <cellStyle name="Normal 2 2 5 12 10" xfId="24467" xr:uid="{00000000-0005-0000-0000-0000935F0000}"/>
    <cellStyle name="Normal 2 2 5 12 11" xfId="24468" xr:uid="{00000000-0005-0000-0000-0000945F0000}"/>
    <cellStyle name="Normal 2 2 5 12 12" xfId="24469" xr:uid="{00000000-0005-0000-0000-0000955F0000}"/>
    <cellStyle name="Normal 2 2 5 12 13" xfId="24470" xr:uid="{00000000-0005-0000-0000-0000965F0000}"/>
    <cellStyle name="Normal 2 2 5 12 14" xfId="24471" xr:uid="{00000000-0005-0000-0000-0000975F0000}"/>
    <cellStyle name="Normal 2 2 5 12 2" xfId="24472" xr:uid="{00000000-0005-0000-0000-0000985F0000}"/>
    <cellStyle name="Normal 2 2 5 12 2 10" xfId="24473" xr:uid="{00000000-0005-0000-0000-0000995F0000}"/>
    <cellStyle name="Normal 2 2 5 12 2 2" xfId="24474" xr:uid="{00000000-0005-0000-0000-00009A5F0000}"/>
    <cellStyle name="Normal 2 2 5 12 2 3" xfId="24475" xr:uid="{00000000-0005-0000-0000-00009B5F0000}"/>
    <cellStyle name="Normal 2 2 5 12 2 4" xfId="24476" xr:uid="{00000000-0005-0000-0000-00009C5F0000}"/>
    <cellStyle name="Normal 2 2 5 12 2 5" xfId="24477" xr:uid="{00000000-0005-0000-0000-00009D5F0000}"/>
    <cellStyle name="Normal 2 2 5 12 2 6" xfId="24478" xr:uid="{00000000-0005-0000-0000-00009E5F0000}"/>
    <cellStyle name="Normal 2 2 5 12 2 7" xfId="24479" xr:uid="{00000000-0005-0000-0000-00009F5F0000}"/>
    <cellStyle name="Normal 2 2 5 12 2 8" xfId="24480" xr:uid="{00000000-0005-0000-0000-0000A05F0000}"/>
    <cellStyle name="Normal 2 2 5 12 2 9" xfId="24481" xr:uid="{00000000-0005-0000-0000-0000A15F0000}"/>
    <cellStyle name="Normal 2 2 5 12 3" xfId="24482" xr:uid="{00000000-0005-0000-0000-0000A25F0000}"/>
    <cellStyle name="Normal 2 2 5 12 3 10" xfId="24483" xr:uid="{00000000-0005-0000-0000-0000A35F0000}"/>
    <cellStyle name="Normal 2 2 5 12 3 2" xfId="24484" xr:uid="{00000000-0005-0000-0000-0000A45F0000}"/>
    <cellStyle name="Normal 2 2 5 12 3 3" xfId="24485" xr:uid="{00000000-0005-0000-0000-0000A55F0000}"/>
    <cellStyle name="Normal 2 2 5 12 3 4" xfId="24486" xr:uid="{00000000-0005-0000-0000-0000A65F0000}"/>
    <cellStyle name="Normal 2 2 5 12 3 5" xfId="24487" xr:uid="{00000000-0005-0000-0000-0000A75F0000}"/>
    <cellStyle name="Normal 2 2 5 12 3 6" xfId="24488" xr:uid="{00000000-0005-0000-0000-0000A85F0000}"/>
    <cellStyle name="Normal 2 2 5 12 3 7" xfId="24489" xr:uid="{00000000-0005-0000-0000-0000A95F0000}"/>
    <cellStyle name="Normal 2 2 5 12 3 8" xfId="24490" xr:uid="{00000000-0005-0000-0000-0000AA5F0000}"/>
    <cellStyle name="Normal 2 2 5 12 3 9" xfId="24491" xr:uid="{00000000-0005-0000-0000-0000AB5F0000}"/>
    <cellStyle name="Normal 2 2 5 12 4" xfId="24492" xr:uid="{00000000-0005-0000-0000-0000AC5F0000}"/>
    <cellStyle name="Normal 2 2 5 12 4 10" xfId="24493" xr:uid="{00000000-0005-0000-0000-0000AD5F0000}"/>
    <cellStyle name="Normal 2 2 5 12 4 2" xfId="24494" xr:uid="{00000000-0005-0000-0000-0000AE5F0000}"/>
    <cellStyle name="Normal 2 2 5 12 4 3" xfId="24495" xr:uid="{00000000-0005-0000-0000-0000AF5F0000}"/>
    <cellStyle name="Normal 2 2 5 12 4 4" xfId="24496" xr:uid="{00000000-0005-0000-0000-0000B05F0000}"/>
    <cellStyle name="Normal 2 2 5 12 4 5" xfId="24497" xr:uid="{00000000-0005-0000-0000-0000B15F0000}"/>
    <cellStyle name="Normal 2 2 5 12 4 6" xfId="24498" xr:uid="{00000000-0005-0000-0000-0000B25F0000}"/>
    <cellStyle name="Normal 2 2 5 12 4 7" xfId="24499" xr:uid="{00000000-0005-0000-0000-0000B35F0000}"/>
    <cellStyle name="Normal 2 2 5 12 4 8" xfId="24500" xr:uid="{00000000-0005-0000-0000-0000B45F0000}"/>
    <cellStyle name="Normal 2 2 5 12 4 9" xfId="24501" xr:uid="{00000000-0005-0000-0000-0000B55F0000}"/>
    <cellStyle name="Normal 2 2 5 12 5" xfId="24502" xr:uid="{00000000-0005-0000-0000-0000B65F0000}"/>
    <cellStyle name="Normal 2 2 5 12 5 10" xfId="24503" xr:uid="{00000000-0005-0000-0000-0000B75F0000}"/>
    <cellStyle name="Normal 2 2 5 12 5 2" xfId="24504" xr:uid="{00000000-0005-0000-0000-0000B85F0000}"/>
    <cellStyle name="Normal 2 2 5 12 5 3" xfId="24505" xr:uid="{00000000-0005-0000-0000-0000B95F0000}"/>
    <cellStyle name="Normal 2 2 5 12 5 4" xfId="24506" xr:uid="{00000000-0005-0000-0000-0000BA5F0000}"/>
    <cellStyle name="Normal 2 2 5 12 5 5" xfId="24507" xr:uid="{00000000-0005-0000-0000-0000BB5F0000}"/>
    <cellStyle name="Normal 2 2 5 12 5 6" xfId="24508" xr:uid="{00000000-0005-0000-0000-0000BC5F0000}"/>
    <cellStyle name="Normal 2 2 5 12 5 7" xfId="24509" xr:uid="{00000000-0005-0000-0000-0000BD5F0000}"/>
    <cellStyle name="Normal 2 2 5 12 5 8" xfId="24510" xr:uid="{00000000-0005-0000-0000-0000BE5F0000}"/>
    <cellStyle name="Normal 2 2 5 12 5 9" xfId="24511" xr:uid="{00000000-0005-0000-0000-0000BF5F0000}"/>
    <cellStyle name="Normal 2 2 5 12 6" xfId="24512" xr:uid="{00000000-0005-0000-0000-0000C05F0000}"/>
    <cellStyle name="Normal 2 2 5 12 7" xfId="24513" xr:uid="{00000000-0005-0000-0000-0000C15F0000}"/>
    <cellStyle name="Normal 2 2 5 12 8" xfId="24514" xr:uid="{00000000-0005-0000-0000-0000C25F0000}"/>
    <cellStyle name="Normal 2 2 5 12 9" xfId="24515" xr:uid="{00000000-0005-0000-0000-0000C35F0000}"/>
    <cellStyle name="Normal 2 2 5 13" xfId="24516" xr:uid="{00000000-0005-0000-0000-0000C45F0000}"/>
    <cellStyle name="Normal 2 2 5 13 10" xfId="24517" xr:uid="{00000000-0005-0000-0000-0000C55F0000}"/>
    <cellStyle name="Normal 2 2 5 13 11" xfId="24518" xr:uid="{00000000-0005-0000-0000-0000C65F0000}"/>
    <cellStyle name="Normal 2 2 5 13 12" xfId="24519" xr:uid="{00000000-0005-0000-0000-0000C75F0000}"/>
    <cellStyle name="Normal 2 2 5 13 13" xfId="24520" xr:uid="{00000000-0005-0000-0000-0000C85F0000}"/>
    <cellStyle name="Normal 2 2 5 13 14" xfId="24521" xr:uid="{00000000-0005-0000-0000-0000C95F0000}"/>
    <cellStyle name="Normal 2 2 5 13 2" xfId="24522" xr:uid="{00000000-0005-0000-0000-0000CA5F0000}"/>
    <cellStyle name="Normal 2 2 5 13 2 10" xfId="24523" xr:uid="{00000000-0005-0000-0000-0000CB5F0000}"/>
    <cellStyle name="Normal 2 2 5 13 2 2" xfId="24524" xr:uid="{00000000-0005-0000-0000-0000CC5F0000}"/>
    <cellStyle name="Normal 2 2 5 13 2 3" xfId="24525" xr:uid="{00000000-0005-0000-0000-0000CD5F0000}"/>
    <cellStyle name="Normal 2 2 5 13 2 4" xfId="24526" xr:uid="{00000000-0005-0000-0000-0000CE5F0000}"/>
    <cellStyle name="Normal 2 2 5 13 2 5" xfId="24527" xr:uid="{00000000-0005-0000-0000-0000CF5F0000}"/>
    <cellStyle name="Normal 2 2 5 13 2 6" xfId="24528" xr:uid="{00000000-0005-0000-0000-0000D05F0000}"/>
    <cellStyle name="Normal 2 2 5 13 2 7" xfId="24529" xr:uid="{00000000-0005-0000-0000-0000D15F0000}"/>
    <cellStyle name="Normal 2 2 5 13 2 8" xfId="24530" xr:uid="{00000000-0005-0000-0000-0000D25F0000}"/>
    <cellStyle name="Normal 2 2 5 13 2 9" xfId="24531" xr:uid="{00000000-0005-0000-0000-0000D35F0000}"/>
    <cellStyle name="Normal 2 2 5 13 3" xfId="24532" xr:uid="{00000000-0005-0000-0000-0000D45F0000}"/>
    <cellStyle name="Normal 2 2 5 13 3 10" xfId="24533" xr:uid="{00000000-0005-0000-0000-0000D55F0000}"/>
    <cellStyle name="Normal 2 2 5 13 3 2" xfId="24534" xr:uid="{00000000-0005-0000-0000-0000D65F0000}"/>
    <cellStyle name="Normal 2 2 5 13 3 3" xfId="24535" xr:uid="{00000000-0005-0000-0000-0000D75F0000}"/>
    <cellStyle name="Normal 2 2 5 13 3 4" xfId="24536" xr:uid="{00000000-0005-0000-0000-0000D85F0000}"/>
    <cellStyle name="Normal 2 2 5 13 3 5" xfId="24537" xr:uid="{00000000-0005-0000-0000-0000D95F0000}"/>
    <cellStyle name="Normal 2 2 5 13 3 6" xfId="24538" xr:uid="{00000000-0005-0000-0000-0000DA5F0000}"/>
    <cellStyle name="Normal 2 2 5 13 3 7" xfId="24539" xr:uid="{00000000-0005-0000-0000-0000DB5F0000}"/>
    <cellStyle name="Normal 2 2 5 13 3 8" xfId="24540" xr:uid="{00000000-0005-0000-0000-0000DC5F0000}"/>
    <cellStyle name="Normal 2 2 5 13 3 9" xfId="24541" xr:uid="{00000000-0005-0000-0000-0000DD5F0000}"/>
    <cellStyle name="Normal 2 2 5 13 4" xfId="24542" xr:uid="{00000000-0005-0000-0000-0000DE5F0000}"/>
    <cellStyle name="Normal 2 2 5 13 4 10" xfId="24543" xr:uid="{00000000-0005-0000-0000-0000DF5F0000}"/>
    <cellStyle name="Normal 2 2 5 13 4 2" xfId="24544" xr:uid="{00000000-0005-0000-0000-0000E05F0000}"/>
    <cellStyle name="Normal 2 2 5 13 4 3" xfId="24545" xr:uid="{00000000-0005-0000-0000-0000E15F0000}"/>
    <cellStyle name="Normal 2 2 5 13 4 4" xfId="24546" xr:uid="{00000000-0005-0000-0000-0000E25F0000}"/>
    <cellStyle name="Normal 2 2 5 13 4 5" xfId="24547" xr:uid="{00000000-0005-0000-0000-0000E35F0000}"/>
    <cellStyle name="Normal 2 2 5 13 4 6" xfId="24548" xr:uid="{00000000-0005-0000-0000-0000E45F0000}"/>
    <cellStyle name="Normal 2 2 5 13 4 7" xfId="24549" xr:uid="{00000000-0005-0000-0000-0000E55F0000}"/>
    <cellStyle name="Normal 2 2 5 13 4 8" xfId="24550" xr:uid="{00000000-0005-0000-0000-0000E65F0000}"/>
    <cellStyle name="Normal 2 2 5 13 4 9" xfId="24551" xr:uid="{00000000-0005-0000-0000-0000E75F0000}"/>
    <cellStyle name="Normal 2 2 5 13 5" xfId="24552" xr:uid="{00000000-0005-0000-0000-0000E85F0000}"/>
    <cellStyle name="Normal 2 2 5 13 5 10" xfId="24553" xr:uid="{00000000-0005-0000-0000-0000E95F0000}"/>
    <cellStyle name="Normal 2 2 5 13 5 2" xfId="24554" xr:uid="{00000000-0005-0000-0000-0000EA5F0000}"/>
    <cellStyle name="Normal 2 2 5 13 5 3" xfId="24555" xr:uid="{00000000-0005-0000-0000-0000EB5F0000}"/>
    <cellStyle name="Normal 2 2 5 13 5 4" xfId="24556" xr:uid="{00000000-0005-0000-0000-0000EC5F0000}"/>
    <cellStyle name="Normal 2 2 5 13 5 5" xfId="24557" xr:uid="{00000000-0005-0000-0000-0000ED5F0000}"/>
    <cellStyle name="Normal 2 2 5 13 5 6" xfId="24558" xr:uid="{00000000-0005-0000-0000-0000EE5F0000}"/>
    <cellStyle name="Normal 2 2 5 13 5 7" xfId="24559" xr:uid="{00000000-0005-0000-0000-0000EF5F0000}"/>
    <cellStyle name="Normal 2 2 5 13 5 8" xfId="24560" xr:uid="{00000000-0005-0000-0000-0000F05F0000}"/>
    <cellStyle name="Normal 2 2 5 13 5 9" xfId="24561" xr:uid="{00000000-0005-0000-0000-0000F15F0000}"/>
    <cellStyle name="Normal 2 2 5 13 6" xfId="24562" xr:uid="{00000000-0005-0000-0000-0000F25F0000}"/>
    <cellStyle name="Normal 2 2 5 13 7" xfId="24563" xr:uid="{00000000-0005-0000-0000-0000F35F0000}"/>
    <cellStyle name="Normal 2 2 5 13 8" xfId="24564" xr:uid="{00000000-0005-0000-0000-0000F45F0000}"/>
    <cellStyle name="Normal 2 2 5 13 9" xfId="24565" xr:uid="{00000000-0005-0000-0000-0000F55F0000}"/>
    <cellStyle name="Normal 2 2 5 14" xfId="24566" xr:uid="{00000000-0005-0000-0000-0000F65F0000}"/>
    <cellStyle name="Normal 2 2 5 14 10" xfId="24567" xr:uid="{00000000-0005-0000-0000-0000F75F0000}"/>
    <cellStyle name="Normal 2 2 5 14 11" xfId="24568" xr:uid="{00000000-0005-0000-0000-0000F85F0000}"/>
    <cellStyle name="Normal 2 2 5 14 12" xfId="24569" xr:uid="{00000000-0005-0000-0000-0000F95F0000}"/>
    <cellStyle name="Normal 2 2 5 14 13" xfId="24570" xr:uid="{00000000-0005-0000-0000-0000FA5F0000}"/>
    <cellStyle name="Normal 2 2 5 14 14" xfId="24571" xr:uid="{00000000-0005-0000-0000-0000FB5F0000}"/>
    <cellStyle name="Normal 2 2 5 14 2" xfId="24572" xr:uid="{00000000-0005-0000-0000-0000FC5F0000}"/>
    <cellStyle name="Normal 2 2 5 14 2 10" xfId="24573" xr:uid="{00000000-0005-0000-0000-0000FD5F0000}"/>
    <cellStyle name="Normal 2 2 5 14 2 2" xfId="24574" xr:uid="{00000000-0005-0000-0000-0000FE5F0000}"/>
    <cellStyle name="Normal 2 2 5 14 2 3" xfId="24575" xr:uid="{00000000-0005-0000-0000-0000FF5F0000}"/>
    <cellStyle name="Normal 2 2 5 14 2 4" xfId="24576" xr:uid="{00000000-0005-0000-0000-000000600000}"/>
    <cellStyle name="Normal 2 2 5 14 2 5" xfId="24577" xr:uid="{00000000-0005-0000-0000-000001600000}"/>
    <cellStyle name="Normal 2 2 5 14 2 6" xfId="24578" xr:uid="{00000000-0005-0000-0000-000002600000}"/>
    <cellStyle name="Normal 2 2 5 14 2 7" xfId="24579" xr:uid="{00000000-0005-0000-0000-000003600000}"/>
    <cellStyle name="Normal 2 2 5 14 2 8" xfId="24580" xr:uid="{00000000-0005-0000-0000-000004600000}"/>
    <cellStyle name="Normal 2 2 5 14 2 9" xfId="24581" xr:uid="{00000000-0005-0000-0000-000005600000}"/>
    <cellStyle name="Normal 2 2 5 14 3" xfId="24582" xr:uid="{00000000-0005-0000-0000-000006600000}"/>
    <cellStyle name="Normal 2 2 5 14 3 10" xfId="24583" xr:uid="{00000000-0005-0000-0000-000007600000}"/>
    <cellStyle name="Normal 2 2 5 14 3 2" xfId="24584" xr:uid="{00000000-0005-0000-0000-000008600000}"/>
    <cellStyle name="Normal 2 2 5 14 3 3" xfId="24585" xr:uid="{00000000-0005-0000-0000-000009600000}"/>
    <cellStyle name="Normal 2 2 5 14 3 4" xfId="24586" xr:uid="{00000000-0005-0000-0000-00000A600000}"/>
    <cellStyle name="Normal 2 2 5 14 3 5" xfId="24587" xr:uid="{00000000-0005-0000-0000-00000B600000}"/>
    <cellStyle name="Normal 2 2 5 14 3 6" xfId="24588" xr:uid="{00000000-0005-0000-0000-00000C600000}"/>
    <cellStyle name="Normal 2 2 5 14 3 7" xfId="24589" xr:uid="{00000000-0005-0000-0000-00000D600000}"/>
    <cellStyle name="Normal 2 2 5 14 3 8" xfId="24590" xr:uid="{00000000-0005-0000-0000-00000E600000}"/>
    <cellStyle name="Normal 2 2 5 14 3 9" xfId="24591" xr:uid="{00000000-0005-0000-0000-00000F600000}"/>
    <cellStyle name="Normal 2 2 5 14 4" xfId="24592" xr:uid="{00000000-0005-0000-0000-000010600000}"/>
    <cellStyle name="Normal 2 2 5 14 4 10" xfId="24593" xr:uid="{00000000-0005-0000-0000-000011600000}"/>
    <cellStyle name="Normal 2 2 5 14 4 2" xfId="24594" xr:uid="{00000000-0005-0000-0000-000012600000}"/>
    <cellStyle name="Normal 2 2 5 14 4 3" xfId="24595" xr:uid="{00000000-0005-0000-0000-000013600000}"/>
    <cellStyle name="Normal 2 2 5 14 4 4" xfId="24596" xr:uid="{00000000-0005-0000-0000-000014600000}"/>
    <cellStyle name="Normal 2 2 5 14 4 5" xfId="24597" xr:uid="{00000000-0005-0000-0000-000015600000}"/>
    <cellStyle name="Normal 2 2 5 14 4 6" xfId="24598" xr:uid="{00000000-0005-0000-0000-000016600000}"/>
    <cellStyle name="Normal 2 2 5 14 4 7" xfId="24599" xr:uid="{00000000-0005-0000-0000-000017600000}"/>
    <cellStyle name="Normal 2 2 5 14 4 8" xfId="24600" xr:uid="{00000000-0005-0000-0000-000018600000}"/>
    <cellStyle name="Normal 2 2 5 14 4 9" xfId="24601" xr:uid="{00000000-0005-0000-0000-000019600000}"/>
    <cellStyle name="Normal 2 2 5 14 5" xfId="24602" xr:uid="{00000000-0005-0000-0000-00001A600000}"/>
    <cellStyle name="Normal 2 2 5 14 5 10" xfId="24603" xr:uid="{00000000-0005-0000-0000-00001B600000}"/>
    <cellStyle name="Normal 2 2 5 14 5 2" xfId="24604" xr:uid="{00000000-0005-0000-0000-00001C600000}"/>
    <cellStyle name="Normal 2 2 5 14 5 3" xfId="24605" xr:uid="{00000000-0005-0000-0000-00001D600000}"/>
    <cellStyle name="Normal 2 2 5 14 5 4" xfId="24606" xr:uid="{00000000-0005-0000-0000-00001E600000}"/>
    <cellStyle name="Normal 2 2 5 14 5 5" xfId="24607" xr:uid="{00000000-0005-0000-0000-00001F600000}"/>
    <cellStyle name="Normal 2 2 5 14 5 6" xfId="24608" xr:uid="{00000000-0005-0000-0000-000020600000}"/>
    <cellStyle name="Normal 2 2 5 14 5 7" xfId="24609" xr:uid="{00000000-0005-0000-0000-000021600000}"/>
    <cellStyle name="Normal 2 2 5 14 5 8" xfId="24610" xr:uid="{00000000-0005-0000-0000-000022600000}"/>
    <cellStyle name="Normal 2 2 5 14 5 9" xfId="24611" xr:uid="{00000000-0005-0000-0000-000023600000}"/>
    <cellStyle name="Normal 2 2 5 14 6" xfId="24612" xr:uid="{00000000-0005-0000-0000-000024600000}"/>
    <cellStyle name="Normal 2 2 5 14 7" xfId="24613" xr:uid="{00000000-0005-0000-0000-000025600000}"/>
    <cellStyle name="Normal 2 2 5 14 8" xfId="24614" xr:uid="{00000000-0005-0000-0000-000026600000}"/>
    <cellStyle name="Normal 2 2 5 14 9" xfId="24615" xr:uid="{00000000-0005-0000-0000-000027600000}"/>
    <cellStyle name="Normal 2 2 5 15" xfId="24616" xr:uid="{00000000-0005-0000-0000-000028600000}"/>
    <cellStyle name="Normal 2 2 5 15 10" xfId="24617" xr:uid="{00000000-0005-0000-0000-000029600000}"/>
    <cellStyle name="Normal 2 2 5 15 11" xfId="24618" xr:uid="{00000000-0005-0000-0000-00002A600000}"/>
    <cellStyle name="Normal 2 2 5 15 12" xfId="24619" xr:uid="{00000000-0005-0000-0000-00002B600000}"/>
    <cellStyle name="Normal 2 2 5 15 13" xfId="24620" xr:uid="{00000000-0005-0000-0000-00002C600000}"/>
    <cellStyle name="Normal 2 2 5 15 14" xfId="24621" xr:uid="{00000000-0005-0000-0000-00002D600000}"/>
    <cellStyle name="Normal 2 2 5 15 2" xfId="24622" xr:uid="{00000000-0005-0000-0000-00002E600000}"/>
    <cellStyle name="Normal 2 2 5 15 2 10" xfId="24623" xr:uid="{00000000-0005-0000-0000-00002F600000}"/>
    <cellStyle name="Normal 2 2 5 15 2 2" xfId="24624" xr:uid="{00000000-0005-0000-0000-000030600000}"/>
    <cellStyle name="Normal 2 2 5 15 2 3" xfId="24625" xr:uid="{00000000-0005-0000-0000-000031600000}"/>
    <cellStyle name="Normal 2 2 5 15 2 4" xfId="24626" xr:uid="{00000000-0005-0000-0000-000032600000}"/>
    <cellStyle name="Normal 2 2 5 15 2 5" xfId="24627" xr:uid="{00000000-0005-0000-0000-000033600000}"/>
    <cellStyle name="Normal 2 2 5 15 2 6" xfId="24628" xr:uid="{00000000-0005-0000-0000-000034600000}"/>
    <cellStyle name="Normal 2 2 5 15 2 7" xfId="24629" xr:uid="{00000000-0005-0000-0000-000035600000}"/>
    <cellStyle name="Normal 2 2 5 15 2 8" xfId="24630" xr:uid="{00000000-0005-0000-0000-000036600000}"/>
    <cellStyle name="Normal 2 2 5 15 2 9" xfId="24631" xr:uid="{00000000-0005-0000-0000-000037600000}"/>
    <cellStyle name="Normal 2 2 5 15 3" xfId="24632" xr:uid="{00000000-0005-0000-0000-000038600000}"/>
    <cellStyle name="Normal 2 2 5 15 3 10" xfId="24633" xr:uid="{00000000-0005-0000-0000-000039600000}"/>
    <cellStyle name="Normal 2 2 5 15 3 2" xfId="24634" xr:uid="{00000000-0005-0000-0000-00003A600000}"/>
    <cellStyle name="Normal 2 2 5 15 3 3" xfId="24635" xr:uid="{00000000-0005-0000-0000-00003B600000}"/>
    <cellStyle name="Normal 2 2 5 15 3 4" xfId="24636" xr:uid="{00000000-0005-0000-0000-00003C600000}"/>
    <cellStyle name="Normal 2 2 5 15 3 5" xfId="24637" xr:uid="{00000000-0005-0000-0000-00003D600000}"/>
    <cellStyle name="Normal 2 2 5 15 3 6" xfId="24638" xr:uid="{00000000-0005-0000-0000-00003E600000}"/>
    <cellStyle name="Normal 2 2 5 15 3 7" xfId="24639" xr:uid="{00000000-0005-0000-0000-00003F600000}"/>
    <cellStyle name="Normal 2 2 5 15 3 8" xfId="24640" xr:uid="{00000000-0005-0000-0000-000040600000}"/>
    <cellStyle name="Normal 2 2 5 15 3 9" xfId="24641" xr:uid="{00000000-0005-0000-0000-000041600000}"/>
    <cellStyle name="Normal 2 2 5 15 4" xfId="24642" xr:uid="{00000000-0005-0000-0000-000042600000}"/>
    <cellStyle name="Normal 2 2 5 15 4 10" xfId="24643" xr:uid="{00000000-0005-0000-0000-000043600000}"/>
    <cellStyle name="Normal 2 2 5 15 4 2" xfId="24644" xr:uid="{00000000-0005-0000-0000-000044600000}"/>
    <cellStyle name="Normal 2 2 5 15 4 3" xfId="24645" xr:uid="{00000000-0005-0000-0000-000045600000}"/>
    <cellStyle name="Normal 2 2 5 15 4 4" xfId="24646" xr:uid="{00000000-0005-0000-0000-000046600000}"/>
    <cellStyle name="Normal 2 2 5 15 4 5" xfId="24647" xr:uid="{00000000-0005-0000-0000-000047600000}"/>
    <cellStyle name="Normal 2 2 5 15 4 6" xfId="24648" xr:uid="{00000000-0005-0000-0000-000048600000}"/>
    <cellStyle name="Normal 2 2 5 15 4 7" xfId="24649" xr:uid="{00000000-0005-0000-0000-000049600000}"/>
    <cellStyle name="Normal 2 2 5 15 4 8" xfId="24650" xr:uid="{00000000-0005-0000-0000-00004A600000}"/>
    <cellStyle name="Normal 2 2 5 15 4 9" xfId="24651" xr:uid="{00000000-0005-0000-0000-00004B600000}"/>
    <cellStyle name="Normal 2 2 5 15 5" xfId="24652" xr:uid="{00000000-0005-0000-0000-00004C600000}"/>
    <cellStyle name="Normal 2 2 5 15 5 10" xfId="24653" xr:uid="{00000000-0005-0000-0000-00004D600000}"/>
    <cellStyle name="Normal 2 2 5 15 5 2" xfId="24654" xr:uid="{00000000-0005-0000-0000-00004E600000}"/>
    <cellStyle name="Normal 2 2 5 15 5 3" xfId="24655" xr:uid="{00000000-0005-0000-0000-00004F600000}"/>
    <cellStyle name="Normal 2 2 5 15 5 4" xfId="24656" xr:uid="{00000000-0005-0000-0000-000050600000}"/>
    <cellStyle name="Normal 2 2 5 15 5 5" xfId="24657" xr:uid="{00000000-0005-0000-0000-000051600000}"/>
    <cellStyle name="Normal 2 2 5 15 5 6" xfId="24658" xr:uid="{00000000-0005-0000-0000-000052600000}"/>
    <cellStyle name="Normal 2 2 5 15 5 7" xfId="24659" xr:uid="{00000000-0005-0000-0000-000053600000}"/>
    <cellStyle name="Normal 2 2 5 15 5 8" xfId="24660" xr:uid="{00000000-0005-0000-0000-000054600000}"/>
    <cellStyle name="Normal 2 2 5 15 5 9" xfId="24661" xr:uid="{00000000-0005-0000-0000-000055600000}"/>
    <cellStyle name="Normal 2 2 5 15 6" xfId="24662" xr:uid="{00000000-0005-0000-0000-000056600000}"/>
    <cellStyle name="Normal 2 2 5 15 7" xfId="24663" xr:uid="{00000000-0005-0000-0000-000057600000}"/>
    <cellStyle name="Normal 2 2 5 15 8" xfId="24664" xr:uid="{00000000-0005-0000-0000-000058600000}"/>
    <cellStyle name="Normal 2 2 5 15 9" xfId="24665" xr:uid="{00000000-0005-0000-0000-000059600000}"/>
    <cellStyle name="Normal 2 2 5 16" xfId="24666" xr:uid="{00000000-0005-0000-0000-00005A600000}"/>
    <cellStyle name="Normal 2 2 5 16 10" xfId="24667" xr:uid="{00000000-0005-0000-0000-00005B600000}"/>
    <cellStyle name="Normal 2 2 5 16 11" xfId="24668" xr:uid="{00000000-0005-0000-0000-00005C600000}"/>
    <cellStyle name="Normal 2 2 5 16 12" xfId="24669" xr:uid="{00000000-0005-0000-0000-00005D600000}"/>
    <cellStyle name="Normal 2 2 5 16 13" xfId="24670" xr:uid="{00000000-0005-0000-0000-00005E600000}"/>
    <cellStyle name="Normal 2 2 5 16 14" xfId="24671" xr:uid="{00000000-0005-0000-0000-00005F600000}"/>
    <cellStyle name="Normal 2 2 5 16 2" xfId="24672" xr:uid="{00000000-0005-0000-0000-000060600000}"/>
    <cellStyle name="Normal 2 2 5 16 2 10" xfId="24673" xr:uid="{00000000-0005-0000-0000-000061600000}"/>
    <cellStyle name="Normal 2 2 5 16 2 2" xfId="24674" xr:uid="{00000000-0005-0000-0000-000062600000}"/>
    <cellStyle name="Normal 2 2 5 16 2 3" xfId="24675" xr:uid="{00000000-0005-0000-0000-000063600000}"/>
    <cellStyle name="Normal 2 2 5 16 2 4" xfId="24676" xr:uid="{00000000-0005-0000-0000-000064600000}"/>
    <cellStyle name="Normal 2 2 5 16 2 5" xfId="24677" xr:uid="{00000000-0005-0000-0000-000065600000}"/>
    <cellStyle name="Normal 2 2 5 16 2 6" xfId="24678" xr:uid="{00000000-0005-0000-0000-000066600000}"/>
    <cellStyle name="Normal 2 2 5 16 2 7" xfId="24679" xr:uid="{00000000-0005-0000-0000-000067600000}"/>
    <cellStyle name="Normal 2 2 5 16 2 8" xfId="24680" xr:uid="{00000000-0005-0000-0000-000068600000}"/>
    <cellStyle name="Normal 2 2 5 16 2 9" xfId="24681" xr:uid="{00000000-0005-0000-0000-000069600000}"/>
    <cellStyle name="Normal 2 2 5 16 3" xfId="24682" xr:uid="{00000000-0005-0000-0000-00006A600000}"/>
    <cellStyle name="Normal 2 2 5 16 3 10" xfId="24683" xr:uid="{00000000-0005-0000-0000-00006B600000}"/>
    <cellStyle name="Normal 2 2 5 16 3 2" xfId="24684" xr:uid="{00000000-0005-0000-0000-00006C600000}"/>
    <cellStyle name="Normal 2 2 5 16 3 3" xfId="24685" xr:uid="{00000000-0005-0000-0000-00006D600000}"/>
    <cellStyle name="Normal 2 2 5 16 3 4" xfId="24686" xr:uid="{00000000-0005-0000-0000-00006E600000}"/>
    <cellStyle name="Normal 2 2 5 16 3 5" xfId="24687" xr:uid="{00000000-0005-0000-0000-00006F600000}"/>
    <cellStyle name="Normal 2 2 5 16 3 6" xfId="24688" xr:uid="{00000000-0005-0000-0000-000070600000}"/>
    <cellStyle name="Normal 2 2 5 16 3 7" xfId="24689" xr:uid="{00000000-0005-0000-0000-000071600000}"/>
    <cellStyle name="Normal 2 2 5 16 3 8" xfId="24690" xr:uid="{00000000-0005-0000-0000-000072600000}"/>
    <cellStyle name="Normal 2 2 5 16 3 9" xfId="24691" xr:uid="{00000000-0005-0000-0000-000073600000}"/>
    <cellStyle name="Normal 2 2 5 16 4" xfId="24692" xr:uid="{00000000-0005-0000-0000-000074600000}"/>
    <cellStyle name="Normal 2 2 5 16 4 10" xfId="24693" xr:uid="{00000000-0005-0000-0000-000075600000}"/>
    <cellStyle name="Normal 2 2 5 16 4 2" xfId="24694" xr:uid="{00000000-0005-0000-0000-000076600000}"/>
    <cellStyle name="Normal 2 2 5 16 4 3" xfId="24695" xr:uid="{00000000-0005-0000-0000-000077600000}"/>
    <cellStyle name="Normal 2 2 5 16 4 4" xfId="24696" xr:uid="{00000000-0005-0000-0000-000078600000}"/>
    <cellStyle name="Normal 2 2 5 16 4 5" xfId="24697" xr:uid="{00000000-0005-0000-0000-000079600000}"/>
    <cellStyle name="Normal 2 2 5 16 4 6" xfId="24698" xr:uid="{00000000-0005-0000-0000-00007A600000}"/>
    <cellStyle name="Normal 2 2 5 16 4 7" xfId="24699" xr:uid="{00000000-0005-0000-0000-00007B600000}"/>
    <cellStyle name="Normal 2 2 5 16 4 8" xfId="24700" xr:uid="{00000000-0005-0000-0000-00007C600000}"/>
    <cellStyle name="Normal 2 2 5 16 4 9" xfId="24701" xr:uid="{00000000-0005-0000-0000-00007D600000}"/>
    <cellStyle name="Normal 2 2 5 16 5" xfId="24702" xr:uid="{00000000-0005-0000-0000-00007E600000}"/>
    <cellStyle name="Normal 2 2 5 16 5 10" xfId="24703" xr:uid="{00000000-0005-0000-0000-00007F600000}"/>
    <cellStyle name="Normal 2 2 5 16 5 2" xfId="24704" xr:uid="{00000000-0005-0000-0000-000080600000}"/>
    <cellStyle name="Normal 2 2 5 16 5 3" xfId="24705" xr:uid="{00000000-0005-0000-0000-000081600000}"/>
    <cellStyle name="Normal 2 2 5 16 5 4" xfId="24706" xr:uid="{00000000-0005-0000-0000-000082600000}"/>
    <cellStyle name="Normal 2 2 5 16 5 5" xfId="24707" xr:uid="{00000000-0005-0000-0000-000083600000}"/>
    <cellStyle name="Normal 2 2 5 16 5 6" xfId="24708" xr:uid="{00000000-0005-0000-0000-000084600000}"/>
    <cellStyle name="Normal 2 2 5 16 5 7" xfId="24709" xr:uid="{00000000-0005-0000-0000-000085600000}"/>
    <cellStyle name="Normal 2 2 5 16 5 8" xfId="24710" xr:uid="{00000000-0005-0000-0000-000086600000}"/>
    <cellStyle name="Normal 2 2 5 16 5 9" xfId="24711" xr:uid="{00000000-0005-0000-0000-000087600000}"/>
    <cellStyle name="Normal 2 2 5 16 6" xfId="24712" xr:uid="{00000000-0005-0000-0000-000088600000}"/>
    <cellStyle name="Normal 2 2 5 16 7" xfId="24713" xr:uid="{00000000-0005-0000-0000-000089600000}"/>
    <cellStyle name="Normal 2 2 5 16 8" xfId="24714" xr:uid="{00000000-0005-0000-0000-00008A600000}"/>
    <cellStyle name="Normal 2 2 5 16 9" xfId="24715" xr:uid="{00000000-0005-0000-0000-00008B600000}"/>
    <cellStyle name="Normal 2 2 5 17" xfId="24716" xr:uid="{00000000-0005-0000-0000-00008C600000}"/>
    <cellStyle name="Normal 2 2 5 17 10" xfId="24717" xr:uid="{00000000-0005-0000-0000-00008D600000}"/>
    <cellStyle name="Normal 2 2 5 17 11" xfId="24718" xr:uid="{00000000-0005-0000-0000-00008E600000}"/>
    <cellStyle name="Normal 2 2 5 17 12" xfId="24719" xr:uid="{00000000-0005-0000-0000-00008F600000}"/>
    <cellStyle name="Normal 2 2 5 17 13" xfId="24720" xr:uid="{00000000-0005-0000-0000-000090600000}"/>
    <cellStyle name="Normal 2 2 5 17 14" xfId="24721" xr:uid="{00000000-0005-0000-0000-000091600000}"/>
    <cellStyle name="Normal 2 2 5 17 2" xfId="24722" xr:uid="{00000000-0005-0000-0000-000092600000}"/>
    <cellStyle name="Normal 2 2 5 17 2 10" xfId="24723" xr:uid="{00000000-0005-0000-0000-000093600000}"/>
    <cellStyle name="Normal 2 2 5 17 2 2" xfId="24724" xr:uid="{00000000-0005-0000-0000-000094600000}"/>
    <cellStyle name="Normal 2 2 5 17 2 3" xfId="24725" xr:uid="{00000000-0005-0000-0000-000095600000}"/>
    <cellStyle name="Normal 2 2 5 17 2 4" xfId="24726" xr:uid="{00000000-0005-0000-0000-000096600000}"/>
    <cellStyle name="Normal 2 2 5 17 2 5" xfId="24727" xr:uid="{00000000-0005-0000-0000-000097600000}"/>
    <cellStyle name="Normal 2 2 5 17 2 6" xfId="24728" xr:uid="{00000000-0005-0000-0000-000098600000}"/>
    <cellStyle name="Normal 2 2 5 17 2 7" xfId="24729" xr:uid="{00000000-0005-0000-0000-000099600000}"/>
    <cellStyle name="Normal 2 2 5 17 2 8" xfId="24730" xr:uid="{00000000-0005-0000-0000-00009A600000}"/>
    <cellStyle name="Normal 2 2 5 17 2 9" xfId="24731" xr:uid="{00000000-0005-0000-0000-00009B600000}"/>
    <cellStyle name="Normal 2 2 5 17 3" xfId="24732" xr:uid="{00000000-0005-0000-0000-00009C600000}"/>
    <cellStyle name="Normal 2 2 5 17 3 10" xfId="24733" xr:uid="{00000000-0005-0000-0000-00009D600000}"/>
    <cellStyle name="Normal 2 2 5 17 3 2" xfId="24734" xr:uid="{00000000-0005-0000-0000-00009E600000}"/>
    <cellStyle name="Normal 2 2 5 17 3 3" xfId="24735" xr:uid="{00000000-0005-0000-0000-00009F600000}"/>
    <cellStyle name="Normal 2 2 5 17 3 4" xfId="24736" xr:uid="{00000000-0005-0000-0000-0000A0600000}"/>
    <cellStyle name="Normal 2 2 5 17 3 5" xfId="24737" xr:uid="{00000000-0005-0000-0000-0000A1600000}"/>
    <cellStyle name="Normal 2 2 5 17 3 6" xfId="24738" xr:uid="{00000000-0005-0000-0000-0000A2600000}"/>
    <cellStyle name="Normal 2 2 5 17 3 7" xfId="24739" xr:uid="{00000000-0005-0000-0000-0000A3600000}"/>
    <cellStyle name="Normal 2 2 5 17 3 8" xfId="24740" xr:uid="{00000000-0005-0000-0000-0000A4600000}"/>
    <cellStyle name="Normal 2 2 5 17 3 9" xfId="24741" xr:uid="{00000000-0005-0000-0000-0000A5600000}"/>
    <cellStyle name="Normal 2 2 5 17 4" xfId="24742" xr:uid="{00000000-0005-0000-0000-0000A6600000}"/>
    <cellStyle name="Normal 2 2 5 17 4 10" xfId="24743" xr:uid="{00000000-0005-0000-0000-0000A7600000}"/>
    <cellStyle name="Normal 2 2 5 17 4 2" xfId="24744" xr:uid="{00000000-0005-0000-0000-0000A8600000}"/>
    <cellStyle name="Normal 2 2 5 17 4 3" xfId="24745" xr:uid="{00000000-0005-0000-0000-0000A9600000}"/>
    <cellStyle name="Normal 2 2 5 17 4 4" xfId="24746" xr:uid="{00000000-0005-0000-0000-0000AA600000}"/>
    <cellStyle name="Normal 2 2 5 17 4 5" xfId="24747" xr:uid="{00000000-0005-0000-0000-0000AB600000}"/>
    <cellStyle name="Normal 2 2 5 17 4 6" xfId="24748" xr:uid="{00000000-0005-0000-0000-0000AC600000}"/>
    <cellStyle name="Normal 2 2 5 17 4 7" xfId="24749" xr:uid="{00000000-0005-0000-0000-0000AD600000}"/>
    <cellStyle name="Normal 2 2 5 17 4 8" xfId="24750" xr:uid="{00000000-0005-0000-0000-0000AE600000}"/>
    <cellStyle name="Normal 2 2 5 17 4 9" xfId="24751" xr:uid="{00000000-0005-0000-0000-0000AF600000}"/>
    <cellStyle name="Normal 2 2 5 17 5" xfId="24752" xr:uid="{00000000-0005-0000-0000-0000B0600000}"/>
    <cellStyle name="Normal 2 2 5 17 5 10" xfId="24753" xr:uid="{00000000-0005-0000-0000-0000B1600000}"/>
    <cellStyle name="Normal 2 2 5 17 5 2" xfId="24754" xr:uid="{00000000-0005-0000-0000-0000B2600000}"/>
    <cellStyle name="Normal 2 2 5 17 5 3" xfId="24755" xr:uid="{00000000-0005-0000-0000-0000B3600000}"/>
    <cellStyle name="Normal 2 2 5 17 5 4" xfId="24756" xr:uid="{00000000-0005-0000-0000-0000B4600000}"/>
    <cellStyle name="Normal 2 2 5 17 5 5" xfId="24757" xr:uid="{00000000-0005-0000-0000-0000B5600000}"/>
    <cellStyle name="Normal 2 2 5 17 5 6" xfId="24758" xr:uid="{00000000-0005-0000-0000-0000B6600000}"/>
    <cellStyle name="Normal 2 2 5 17 5 7" xfId="24759" xr:uid="{00000000-0005-0000-0000-0000B7600000}"/>
    <cellStyle name="Normal 2 2 5 17 5 8" xfId="24760" xr:uid="{00000000-0005-0000-0000-0000B8600000}"/>
    <cellStyle name="Normal 2 2 5 17 5 9" xfId="24761" xr:uid="{00000000-0005-0000-0000-0000B9600000}"/>
    <cellStyle name="Normal 2 2 5 17 6" xfId="24762" xr:uid="{00000000-0005-0000-0000-0000BA600000}"/>
    <cellStyle name="Normal 2 2 5 17 7" xfId="24763" xr:uid="{00000000-0005-0000-0000-0000BB600000}"/>
    <cellStyle name="Normal 2 2 5 17 8" xfId="24764" xr:uid="{00000000-0005-0000-0000-0000BC600000}"/>
    <cellStyle name="Normal 2 2 5 17 9" xfId="24765" xr:uid="{00000000-0005-0000-0000-0000BD600000}"/>
    <cellStyle name="Normal 2 2 5 18" xfId="24766" xr:uid="{00000000-0005-0000-0000-0000BE600000}"/>
    <cellStyle name="Normal 2 2 5 18 10" xfId="24767" xr:uid="{00000000-0005-0000-0000-0000BF600000}"/>
    <cellStyle name="Normal 2 2 5 18 11" xfId="24768" xr:uid="{00000000-0005-0000-0000-0000C0600000}"/>
    <cellStyle name="Normal 2 2 5 18 12" xfId="24769" xr:uid="{00000000-0005-0000-0000-0000C1600000}"/>
    <cellStyle name="Normal 2 2 5 18 13" xfId="24770" xr:uid="{00000000-0005-0000-0000-0000C2600000}"/>
    <cellStyle name="Normal 2 2 5 18 14" xfId="24771" xr:uid="{00000000-0005-0000-0000-0000C3600000}"/>
    <cellStyle name="Normal 2 2 5 18 2" xfId="24772" xr:uid="{00000000-0005-0000-0000-0000C4600000}"/>
    <cellStyle name="Normal 2 2 5 18 2 10" xfId="24773" xr:uid="{00000000-0005-0000-0000-0000C5600000}"/>
    <cellStyle name="Normal 2 2 5 18 2 2" xfId="24774" xr:uid="{00000000-0005-0000-0000-0000C6600000}"/>
    <cellStyle name="Normal 2 2 5 18 2 3" xfId="24775" xr:uid="{00000000-0005-0000-0000-0000C7600000}"/>
    <cellStyle name="Normal 2 2 5 18 2 4" xfId="24776" xr:uid="{00000000-0005-0000-0000-0000C8600000}"/>
    <cellStyle name="Normal 2 2 5 18 2 5" xfId="24777" xr:uid="{00000000-0005-0000-0000-0000C9600000}"/>
    <cellStyle name="Normal 2 2 5 18 2 6" xfId="24778" xr:uid="{00000000-0005-0000-0000-0000CA600000}"/>
    <cellStyle name="Normal 2 2 5 18 2 7" xfId="24779" xr:uid="{00000000-0005-0000-0000-0000CB600000}"/>
    <cellStyle name="Normal 2 2 5 18 2 8" xfId="24780" xr:uid="{00000000-0005-0000-0000-0000CC600000}"/>
    <cellStyle name="Normal 2 2 5 18 2 9" xfId="24781" xr:uid="{00000000-0005-0000-0000-0000CD600000}"/>
    <cellStyle name="Normal 2 2 5 18 3" xfId="24782" xr:uid="{00000000-0005-0000-0000-0000CE600000}"/>
    <cellStyle name="Normal 2 2 5 18 3 10" xfId="24783" xr:uid="{00000000-0005-0000-0000-0000CF600000}"/>
    <cellStyle name="Normal 2 2 5 18 3 2" xfId="24784" xr:uid="{00000000-0005-0000-0000-0000D0600000}"/>
    <cellStyle name="Normal 2 2 5 18 3 3" xfId="24785" xr:uid="{00000000-0005-0000-0000-0000D1600000}"/>
    <cellStyle name="Normal 2 2 5 18 3 4" xfId="24786" xr:uid="{00000000-0005-0000-0000-0000D2600000}"/>
    <cellStyle name="Normal 2 2 5 18 3 5" xfId="24787" xr:uid="{00000000-0005-0000-0000-0000D3600000}"/>
    <cellStyle name="Normal 2 2 5 18 3 6" xfId="24788" xr:uid="{00000000-0005-0000-0000-0000D4600000}"/>
    <cellStyle name="Normal 2 2 5 18 3 7" xfId="24789" xr:uid="{00000000-0005-0000-0000-0000D5600000}"/>
    <cellStyle name="Normal 2 2 5 18 3 8" xfId="24790" xr:uid="{00000000-0005-0000-0000-0000D6600000}"/>
    <cellStyle name="Normal 2 2 5 18 3 9" xfId="24791" xr:uid="{00000000-0005-0000-0000-0000D7600000}"/>
    <cellStyle name="Normal 2 2 5 18 4" xfId="24792" xr:uid="{00000000-0005-0000-0000-0000D8600000}"/>
    <cellStyle name="Normal 2 2 5 18 4 10" xfId="24793" xr:uid="{00000000-0005-0000-0000-0000D9600000}"/>
    <cellStyle name="Normal 2 2 5 18 4 2" xfId="24794" xr:uid="{00000000-0005-0000-0000-0000DA600000}"/>
    <cellStyle name="Normal 2 2 5 18 4 3" xfId="24795" xr:uid="{00000000-0005-0000-0000-0000DB600000}"/>
    <cellStyle name="Normal 2 2 5 18 4 4" xfId="24796" xr:uid="{00000000-0005-0000-0000-0000DC600000}"/>
    <cellStyle name="Normal 2 2 5 18 4 5" xfId="24797" xr:uid="{00000000-0005-0000-0000-0000DD600000}"/>
    <cellStyle name="Normal 2 2 5 18 4 6" xfId="24798" xr:uid="{00000000-0005-0000-0000-0000DE600000}"/>
    <cellStyle name="Normal 2 2 5 18 4 7" xfId="24799" xr:uid="{00000000-0005-0000-0000-0000DF600000}"/>
    <cellStyle name="Normal 2 2 5 18 4 8" xfId="24800" xr:uid="{00000000-0005-0000-0000-0000E0600000}"/>
    <cellStyle name="Normal 2 2 5 18 4 9" xfId="24801" xr:uid="{00000000-0005-0000-0000-0000E1600000}"/>
    <cellStyle name="Normal 2 2 5 18 5" xfId="24802" xr:uid="{00000000-0005-0000-0000-0000E2600000}"/>
    <cellStyle name="Normal 2 2 5 18 5 10" xfId="24803" xr:uid="{00000000-0005-0000-0000-0000E3600000}"/>
    <cellStyle name="Normal 2 2 5 18 5 2" xfId="24804" xr:uid="{00000000-0005-0000-0000-0000E4600000}"/>
    <cellStyle name="Normal 2 2 5 18 5 3" xfId="24805" xr:uid="{00000000-0005-0000-0000-0000E5600000}"/>
    <cellStyle name="Normal 2 2 5 18 5 4" xfId="24806" xr:uid="{00000000-0005-0000-0000-0000E6600000}"/>
    <cellStyle name="Normal 2 2 5 18 5 5" xfId="24807" xr:uid="{00000000-0005-0000-0000-0000E7600000}"/>
    <cellStyle name="Normal 2 2 5 18 5 6" xfId="24808" xr:uid="{00000000-0005-0000-0000-0000E8600000}"/>
    <cellStyle name="Normal 2 2 5 18 5 7" xfId="24809" xr:uid="{00000000-0005-0000-0000-0000E9600000}"/>
    <cellStyle name="Normal 2 2 5 18 5 8" xfId="24810" xr:uid="{00000000-0005-0000-0000-0000EA600000}"/>
    <cellStyle name="Normal 2 2 5 18 5 9" xfId="24811" xr:uid="{00000000-0005-0000-0000-0000EB600000}"/>
    <cellStyle name="Normal 2 2 5 18 6" xfId="24812" xr:uid="{00000000-0005-0000-0000-0000EC600000}"/>
    <cellStyle name="Normal 2 2 5 18 7" xfId="24813" xr:uid="{00000000-0005-0000-0000-0000ED600000}"/>
    <cellStyle name="Normal 2 2 5 18 8" xfId="24814" xr:uid="{00000000-0005-0000-0000-0000EE600000}"/>
    <cellStyle name="Normal 2 2 5 18 9" xfId="24815" xr:uid="{00000000-0005-0000-0000-0000EF600000}"/>
    <cellStyle name="Normal 2 2 5 19" xfId="24816" xr:uid="{00000000-0005-0000-0000-0000F0600000}"/>
    <cellStyle name="Normal 2 2 5 19 10" xfId="24817" xr:uid="{00000000-0005-0000-0000-0000F1600000}"/>
    <cellStyle name="Normal 2 2 5 19 11" xfId="24818" xr:uid="{00000000-0005-0000-0000-0000F2600000}"/>
    <cellStyle name="Normal 2 2 5 19 12" xfId="24819" xr:uid="{00000000-0005-0000-0000-0000F3600000}"/>
    <cellStyle name="Normal 2 2 5 19 13" xfId="24820" xr:uid="{00000000-0005-0000-0000-0000F4600000}"/>
    <cellStyle name="Normal 2 2 5 19 14" xfId="24821" xr:uid="{00000000-0005-0000-0000-0000F5600000}"/>
    <cellStyle name="Normal 2 2 5 19 2" xfId="24822" xr:uid="{00000000-0005-0000-0000-0000F6600000}"/>
    <cellStyle name="Normal 2 2 5 19 2 10" xfId="24823" xr:uid="{00000000-0005-0000-0000-0000F7600000}"/>
    <cellStyle name="Normal 2 2 5 19 2 2" xfId="24824" xr:uid="{00000000-0005-0000-0000-0000F8600000}"/>
    <cellStyle name="Normal 2 2 5 19 2 3" xfId="24825" xr:uid="{00000000-0005-0000-0000-0000F9600000}"/>
    <cellStyle name="Normal 2 2 5 19 2 4" xfId="24826" xr:uid="{00000000-0005-0000-0000-0000FA600000}"/>
    <cellStyle name="Normal 2 2 5 19 2 5" xfId="24827" xr:uid="{00000000-0005-0000-0000-0000FB600000}"/>
    <cellStyle name="Normal 2 2 5 19 2 6" xfId="24828" xr:uid="{00000000-0005-0000-0000-0000FC600000}"/>
    <cellStyle name="Normal 2 2 5 19 2 7" xfId="24829" xr:uid="{00000000-0005-0000-0000-0000FD600000}"/>
    <cellStyle name="Normal 2 2 5 19 2 8" xfId="24830" xr:uid="{00000000-0005-0000-0000-0000FE600000}"/>
    <cellStyle name="Normal 2 2 5 19 2 9" xfId="24831" xr:uid="{00000000-0005-0000-0000-0000FF600000}"/>
    <cellStyle name="Normal 2 2 5 19 3" xfId="24832" xr:uid="{00000000-0005-0000-0000-000000610000}"/>
    <cellStyle name="Normal 2 2 5 19 3 10" xfId="24833" xr:uid="{00000000-0005-0000-0000-000001610000}"/>
    <cellStyle name="Normal 2 2 5 19 3 2" xfId="24834" xr:uid="{00000000-0005-0000-0000-000002610000}"/>
    <cellStyle name="Normal 2 2 5 19 3 3" xfId="24835" xr:uid="{00000000-0005-0000-0000-000003610000}"/>
    <cellStyle name="Normal 2 2 5 19 3 4" xfId="24836" xr:uid="{00000000-0005-0000-0000-000004610000}"/>
    <cellStyle name="Normal 2 2 5 19 3 5" xfId="24837" xr:uid="{00000000-0005-0000-0000-000005610000}"/>
    <cellStyle name="Normal 2 2 5 19 3 6" xfId="24838" xr:uid="{00000000-0005-0000-0000-000006610000}"/>
    <cellStyle name="Normal 2 2 5 19 3 7" xfId="24839" xr:uid="{00000000-0005-0000-0000-000007610000}"/>
    <cellStyle name="Normal 2 2 5 19 3 8" xfId="24840" xr:uid="{00000000-0005-0000-0000-000008610000}"/>
    <cellStyle name="Normal 2 2 5 19 3 9" xfId="24841" xr:uid="{00000000-0005-0000-0000-000009610000}"/>
    <cellStyle name="Normal 2 2 5 19 4" xfId="24842" xr:uid="{00000000-0005-0000-0000-00000A610000}"/>
    <cellStyle name="Normal 2 2 5 19 4 10" xfId="24843" xr:uid="{00000000-0005-0000-0000-00000B610000}"/>
    <cellStyle name="Normal 2 2 5 19 4 2" xfId="24844" xr:uid="{00000000-0005-0000-0000-00000C610000}"/>
    <cellStyle name="Normal 2 2 5 19 4 3" xfId="24845" xr:uid="{00000000-0005-0000-0000-00000D610000}"/>
    <cellStyle name="Normal 2 2 5 19 4 4" xfId="24846" xr:uid="{00000000-0005-0000-0000-00000E610000}"/>
    <cellStyle name="Normal 2 2 5 19 4 5" xfId="24847" xr:uid="{00000000-0005-0000-0000-00000F610000}"/>
    <cellStyle name="Normal 2 2 5 19 4 6" xfId="24848" xr:uid="{00000000-0005-0000-0000-000010610000}"/>
    <cellStyle name="Normal 2 2 5 19 4 7" xfId="24849" xr:uid="{00000000-0005-0000-0000-000011610000}"/>
    <cellStyle name="Normal 2 2 5 19 4 8" xfId="24850" xr:uid="{00000000-0005-0000-0000-000012610000}"/>
    <cellStyle name="Normal 2 2 5 19 4 9" xfId="24851" xr:uid="{00000000-0005-0000-0000-000013610000}"/>
    <cellStyle name="Normal 2 2 5 19 5" xfId="24852" xr:uid="{00000000-0005-0000-0000-000014610000}"/>
    <cellStyle name="Normal 2 2 5 19 5 10" xfId="24853" xr:uid="{00000000-0005-0000-0000-000015610000}"/>
    <cellStyle name="Normal 2 2 5 19 5 2" xfId="24854" xr:uid="{00000000-0005-0000-0000-000016610000}"/>
    <cellStyle name="Normal 2 2 5 19 5 3" xfId="24855" xr:uid="{00000000-0005-0000-0000-000017610000}"/>
    <cellStyle name="Normal 2 2 5 19 5 4" xfId="24856" xr:uid="{00000000-0005-0000-0000-000018610000}"/>
    <cellStyle name="Normal 2 2 5 19 5 5" xfId="24857" xr:uid="{00000000-0005-0000-0000-000019610000}"/>
    <cellStyle name="Normal 2 2 5 19 5 6" xfId="24858" xr:uid="{00000000-0005-0000-0000-00001A610000}"/>
    <cellStyle name="Normal 2 2 5 19 5 7" xfId="24859" xr:uid="{00000000-0005-0000-0000-00001B610000}"/>
    <cellStyle name="Normal 2 2 5 19 5 8" xfId="24860" xr:uid="{00000000-0005-0000-0000-00001C610000}"/>
    <cellStyle name="Normal 2 2 5 19 5 9" xfId="24861" xr:uid="{00000000-0005-0000-0000-00001D610000}"/>
    <cellStyle name="Normal 2 2 5 19 6" xfId="24862" xr:uid="{00000000-0005-0000-0000-00001E610000}"/>
    <cellStyle name="Normal 2 2 5 19 7" xfId="24863" xr:uid="{00000000-0005-0000-0000-00001F610000}"/>
    <cellStyle name="Normal 2 2 5 19 8" xfId="24864" xr:uid="{00000000-0005-0000-0000-000020610000}"/>
    <cellStyle name="Normal 2 2 5 19 9" xfId="24865" xr:uid="{00000000-0005-0000-0000-000021610000}"/>
    <cellStyle name="Normal 2 2 5 2" xfId="24866" xr:uid="{00000000-0005-0000-0000-000022610000}"/>
    <cellStyle name="Normal 2 2 5 2 10" xfId="24867" xr:uid="{00000000-0005-0000-0000-000023610000}"/>
    <cellStyle name="Normal 2 2 5 2 11" xfId="24868" xr:uid="{00000000-0005-0000-0000-000024610000}"/>
    <cellStyle name="Normal 2 2 5 2 12" xfId="24869" xr:uid="{00000000-0005-0000-0000-000025610000}"/>
    <cellStyle name="Normal 2 2 5 2 13" xfId="24870" xr:uid="{00000000-0005-0000-0000-000026610000}"/>
    <cellStyle name="Normal 2 2 5 2 14" xfId="24871" xr:uid="{00000000-0005-0000-0000-000027610000}"/>
    <cellStyle name="Normal 2 2 5 2 15" xfId="24872" xr:uid="{00000000-0005-0000-0000-000028610000}"/>
    <cellStyle name="Normal 2 2 5 2 16" xfId="24873" xr:uid="{00000000-0005-0000-0000-000029610000}"/>
    <cellStyle name="Normal 2 2 5 2 17" xfId="24874" xr:uid="{00000000-0005-0000-0000-00002A610000}"/>
    <cellStyle name="Normal 2 2 5 2 18" xfId="24875" xr:uid="{00000000-0005-0000-0000-00002B610000}"/>
    <cellStyle name="Normal 2 2 5 2 19" xfId="24876" xr:uid="{00000000-0005-0000-0000-00002C610000}"/>
    <cellStyle name="Normal 2 2 5 2 2" xfId="24877" xr:uid="{00000000-0005-0000-0000-00002D610000}"/>
    <cellStyle name="Normal 2 2 5 2 20" xfId="24878" xr:uid="{00000000-0005-0000-0000-00002E610000}"/>
    <cellStyle name="Normal 2 2 5 2 21" xfId="24879" xr:uid="{00000000-0005-0000-0000-00002F610000}"/>
    <cellStyle name="Normal 2 2 5 2 21 10" xfId="24880" xr:uid="{00000000-0005-0000-0000-000030610000}"/>
    <cellStyle name="Normal 2 2 5 2 21 2" xfId="24881" xr:uid="{00000000-0005-0000-0000-000031610000}"/>
    <cellStyle name="Normal 2 2 5 2 21 3" xfId="24882" xr:uid="{00000000-0005-0000-0000-000032610000}"/>
    <cellStyle name="Normal 2 2 5 2 21 4" xfId="24883" xr:uid="{00000000-0005-0000-0000-000033610000}"/>
    <cellStyle name="Normal 2 2 5 2 21 5" xfId="24884" xr:uid="{00000000-0005-0000-0000-000034610000}"/>
    <cellStyle name="Normal 2 2 5 2 21 6" xfId="24885" xr:uid="{00000000-0005-0000-0000-000035610000}"/>
    <cellStyle name="Normal 2 2 5 2 21 7" xfId="24886" xr:uid="{00000000-0005-0000-0000-000036610000}"/>
    <cellStyle name="Normal 2 2 5 2 21 8" xfId="24887" xr:uid="{00000000-0005-0000-0000-000037610000}"/>
    <cellStyle name="Normal 2 2 5 2 21 9" xfId="24888" xr:uid="{00000000-0005-0000-0000-000038610000}"/>
    <cellStyle name="Normal 2 2 5 2 22" xfId="24889" xr:uid="{00000000-0005-0000-0000-000039610000}"/>
    <cellStyle name="Normal 2 2 5 2 22 10" xfId="24890" xr:uid="{00000000-0005-0000-0000-00003A610000}"/>
    <cellStyle name="Normal 2 2 5 2 22 2" xfId="24891" xr:uid="{00000000-0005-0000-0000-00003B610000}"/>
    <cellStyle name="Normal 2 2 5 2 22 3" xfId="24892" xr:uid="{00000000-0005-0000-0000-00003C610000}"/>
    <cellStyle name="Normal 2 2 5 2 22 4" xfId="24893" xr:uid="{00000000-0005-0000-0000-00003D610000}"/>
    <cellStyle name="Normal 2 2 5 2 22 5" xfId="24894" xr:uid="{00000000-0005-0000-0000-00003E610000}"/>
    <cellStyle name="Normal 2 2 5 2 22 6" xfId="24895" xr:uid="{00000000-0005-0000-0000-00003F610000}"/>
    <cellStyle name="Normal 2 2 5 2 22 7" xfId="24896" xr:uid="{00000000-0005-0000-0000-000040610000}"/>
    <cellStyle name="Normal 2 2 5 2 22 8" xfId="24897" xr:uid="{00000000-0005-0000-0000-000041610000}"/>
    <cellStyle name="Normal 2 2 5 2 22 9" xfId="24898" xr:uid="{00000000-0005-0000-0000-000042610000}"/>
    <cellStyle name="Normal 2 2 5 2 23" xfId="24899" xr:uid="{00000000-0005-0000-0000-000043610000}"/>
    <cellStyle name="Normal 2 2 5 2 23 10" xfId="24900" xr:uid="{00000000-0005-0000-0000-000044610000}"/>
    <cellStyle name="Normal 2 2 5 2 23 2" xfId="24901" xr:uid="{00000000-0005-0000-0000-000045610000}"/>
    <cellStyle name="Normal 2 2 5 2 23 3" xfId="24902" xr:uid="{00000000-0005-0000-0000-000046610000}"/>
    <cellStyle name="Normal 2 2 5 2 23 4" xfId="24903" xr:uid="{00000000-0005-0000-0000-000047610000}"/>
    <cellStyle name="Normal 2 2 5 2 23 5" xfId="24904" xr:uid="{00000000-0005-0000-0000-000048610000}"/>
    <cellStyle name="Normal 2 2 5 2 23 6" xfId="24905" xr:uid="{00000000-0005-0000-0000-000049610000}"/>
    <cellStyle name="Normal 2 2 5 2 23 7" xfId="24906" xr:uid="{00000000-0005-0000-0000-00004A610000}"/>
    <cellStyle name="Normal 2 2 5 2 23 8" xfId="24907" xr:uid="{00000000-0005-0000-0000-00004B610000}"/>
    <cellStyle name="Normal 2 2 5 2 23 9" xfId="24908" xr:uid="{00000000-0005-0000-0000-00004C610000}"/>
    <cellStyle name="Normal 2 2 5 2 24" xfId="24909" xr:uid="{00000000-0005-0000-0000-00004D610000}"/>
    <cellStyle name="Normal 2 2 5 2 24 10" xfId="24910" xr:uid="{00000000-0005-0000-0000-00004E610000}"/>
    <cellStyle name="Normal 2 2 5 2 24 2" xfId="24911" xr:uid="{00000000-0005-0000-0000-00004F610000}"/>
    <cellStyle name="Normal 2 2 5 2 24 3" xfId="24912" xr:uid="{00000000-0005-0000-0000-000050610000}"/>
    <cellStyle name="Normal 2 2 5 2 24 4" xfId="24913" xr:uid="{00000000-0005-0000-0000-000051610000}"/>
    <cellStyle name="Normal 2 2 5 2 24 5" xfId="24914" xr:uid="{00000000-0005-0000-0000-000052610000}"/>
    <cellStyle name="Normal 2 2 5 2 24 6" xfId="24915" xr:uid="{00000000-0005-0000-0000-000053610000}"/>
    <cellStyle name="Normal 2 2 5 2 24 7" xfId="24916" xr:uid="{00000000-0005-0000-0000-000054610000}"/>
    <cellStyle name="Normal 2 2 5 2 24 8" xfId="24917" xr:uid="{00000000-0005-0000-0000-000055610000}"/>
    <cellStyle name="Normal 2 2 5 2 24 9" xfId="24918" xr:uid="{00000000-0005-0000-0000-000056610000}"/>
    <cellStyle name="Normal 2 2 5 2 25" xfId="24919" xr:uid="{00000000-0005-0000-0000-000057610000}"/>
    <cellStyle name="Normal 2 2 5 2 26" xfId="24920" xr:uid="{00000000-0005-0000-0000-000058610000}"/>
    <cellStyle name="Normal 2 2 5 2 27" xfId="24921" xr:uid="{00000000-0005-0000-0000-000059610000}"/>
    <cellStyle name="Normal 2 2 5 2 28" xfId="24922" xr:uid="{00000000-0005-0000-0000-00005A610000}"/>
    <cellStyle name="Normal 2 2 5 2 29" xfId="24923" xr:uid="{00000000-0005-0000-0000-00005B610000}"/>
    <cellStyle name="Normal 2 2 5 2 3" xfId="24924" xr:uid="{00000000-0005-0000-0000-00005C610000}"/>
    <cellStyle name="Normal 2 2 5 2 30" xfId="24925" xr:uid="{00000000-0005-0000-0000-00005D610000}"/>
    <cellStyle name="Normal 2 2 5 2 31" xfId="24926" xr:uid="{00000000-0005-0000-0000-00005E610000}"/>
    <cellStyle name="Normal 2 2 5 2 32" xfId="24927" xr:uid="{00000000-0005-0000-0000-00005F610000}"/>
    <cellStyle name="Normal 2 2 5 2 33" xfId="24928" xr:uid="{00000000-0005-0000-0000-000060610000}"/>
    <cellStyle name="Normal 2 2 5 2 4" xfId="24929" xr:uid="{00000000-0005-0000-0000-000061610000}"/>
    <cellStyle name="Normal 2 2 5 2 5" xfId="24930" xr:uid="{00000000-0005-0000-0000-000062610000}"/>
    <cellStyle name="Normal 2 2 5 2 6" xfId="24931" xr:uid="{00000000-0005-0000-0000-000063610000}"/>
    <cellStyle name="Normal 2 2 5 2 7" xfId="24932" xr:uid="{00000000-0005-0000-0000-000064610000}"/>
    <cellStyle name="Normal 2 2 5 2 8" xfId="24933" xr:uid="{00000000-0005-0000-0000-000065610000}"/>
    <cellStyle name="Normal 2 2 5 2 9" xfId="24934" xr:uid="{00000000-0005-0000-0000-000066610000}"/>
    <cellStyle name="Normal 2 2 5 20" xfId="24935" xr:uid="{00000000-0005-0000-0000-000067610000}"/>
    <cellStyle name="Normal 2 2 5 20 10" xfId="24936" xr:uid="{00000000-0005-0000-0000-000068610000}"/>
    <cellStyle name="Normal 2 2 5 20 11" xfId="24937" xr:uid="{00000000-0005-0000-0000-000069610000}"/>
    <cellStyle name="Normal 2 2 5 20 12" xfId="24938" xr:uid="{00000000-0005-0000-0000-00006A610000}"/>
    <cellStyle name="Normal 2 2 5 20 13" xfId="24939" xr:uid="{00000000-0005-0000-0000-00006B610000}"/>
    <cellStyle name="Normal 2 2 5 20 14" xfId="24940" xr:uid="{00000000-0005-0000-0000-00006C610000}"/>
    <cellStyle name="Normal 2 2 5 20 2" xfId="24941" xr:uid="{00000000-0005-0000-0000-00006D610000}"/>
    <cellStyle name="Normal 2 2 5 20 2 10" xfId="24942" xr:uid="{00000000-0005-0000-0000-00006E610000}"/>
    <cellStyle name="Normal 2 2 5 20 2 2" xfId="24943" xr:uid="{00000000-0005-0000-0000-00006F610000}"/>
    <cellStyle name="Normal 2 2 5 20 2 3" xfId="24944" xr:uid="{00000000-0005-0000-0000-000070610000}"/>
    <cellStyle name="Normal 2 2 5 20 2 4" xfId="24945" xr:uid="{00000000-0005-0000-0000-000071610000}"/>
    <cellStyle name="Normal 2 2 5 20 2 5" xfId="24946" xr:uid="{00000000-0005-0000-0000-000072610000}"/>
    <cellStyle name="Normal 2 2 5 20 2 6" xfId="24947" xr:uid="{00000000-0005-0000-0000-000073610000}"/>
    <cellStyle name="Normal 2 2 5 20 2 7" xfId="24948" xr:uid="{00000000-0005-0000-0000-000074610000}"/>
    <cellStyle name="Normal 2 2 5 20 2 8" xfId="24949" xr:uid="{00000000-0005-0000-0000-000075610000}"/>
    <cellStyle name="Normal 2 2 5 20 2 9" xfId="24950" xr:uid="{00000000-0005-0000-0000-000076610000}"/>
    <cellStyle name="Normal 2 2 5 20 3" xfId="24951" xr:uid="{00000000-0005-0000-0000-000077610000}"/>
    <cellStyle name="Normal 2 2 5 20 3 10" xfId="24952" xr:uid="{00000000-0005-0000-0000-000078610000}"/>
    <cellStyle name="Normal 2 2 5 20 3 2" xfId="24953" xr:uid="{00000000-0005-0000-0000-000079610000}"/>
    <cellStyle name="Normal 2 2 5 20 3 3" xfId="24954" xr:uid="{00000000-0005-0000-0000-00007A610000}"/>
    <cellStyle name="Normal 2 2 5 20 3 4" xfId="24955" xr:uid="{00000000-0005-0000-0000-00007B610000}"/>
    <cellStyle name="Normal 2 2 5 20 3 5" xfId="24956" xr:uid="{00000000-0005-0000-0000-00007C610000}"/>
    <cellStyle name="Normal 2 2 5 20 3 6" xfId="24957" xr:uid="{00000000-0005-0000-0000-00007D610000}"/>
    <cellStyle name="Normal 2 2 5 20 3 7" xfId="24958" xr:uid="{00000000-0005-0000-0000-00007E610000}"/>
    <cellStyle name="Normal 2 2 5 20 3 8" xfId="24959" xr:uid="{00000000-0005-0000-0000-00007F610000}"/>
    <cellStyle name="Normal 2 2 5 20 3 9" xfId="24960" xr:uid="{00000000-0005-0000-0000-000080610000}"/>
    <cellStyle name="Normal 2 2 5 20 4" xfId="24961" xr:uid="{00000000-0005-0000-0000-000081610000}"/>
    <cellStyle name="Normal 2 2 5 20 4 10" xfId="24962" xr:uid="{00000000-0005-0000-0000-000082610000}"/>
    <cellStyle name="Normal 2 2 5 20 4 2" xfId="24963" xr:uid="{00000000-0005-0000-0000-000083610000}"/>
    <cellStyle name="Normal 2 2 5 20 4 3" xfId="24964" xr:uid="{00000000-0005-0000-0000-000084610000}"/>
    <cellStyle name="Normal 2 2 5 20 4 4" xfId="24965" xr:uid="{00000000-0005-0000-0000-000085610000}"/>
    <cellStyle name="Normal 2 2 5 20 4 5" xfId="24966" xr:uid="{00000000-0005-0000-0000-000086610000}"/>
    <cellStyle name="Normal 2 2 5 20 4 6" xfId="24967" xr:uid="{00000000-0005-0000-0000-000087610000}"/>
    <cellStyle name="Normal 2 2 5 20 4 7" xfId="24968" xr:uid="{00000000-0005-0000-0000-000088610000}"/>
    <cellStyle name="Normal 2 2 5 20 4 8" xfId="24969" xr:uid="{00000000-0005-0000-0000-000089610000}"/>
    <cellStyle name="Normal 2 2 5 20 4 9" xfId="24970" xr:uid="{00000000-0005-0000-0000-00008A610000}"/>
    <cellStyle name="Normal 2 2 5 20 5" xfId="24971" xr:uid="{00000000-0005-0000-0000-00008B610000}"/>
    <cellStyle name="Normal 2 2 5 20 5 10" xfId="24972" xr:uid="{00000000-0005-0000-0000-00008C610000}"/>
    <cellStyle name="Normal 2 2 5 20 5 2" xfId="24973" xr:uid="{00000000-0005-0000-0000-00008D610000}"/>
    <cellStyle name="Normal 2 2 5 20 5 3" xfId="24974" xr:uid="{00000000-0005-0000-0000-00008E610000}"/>
    <cellStyle name="Normal 2 2 5 20 5 4" xfId="24975" xr:uid="{00000000-0005-0000-0000-00008F610000}"/>
    <cellStyle name="Normal 2 2 5 20 5 5" xfId="24976" xr:uid="{00000000-0005-0000-0000-000090610000}"/>
    <cellStyle name="Normal 2 2 5 20 5 6" xfId="24977" xr:uid="{00000000-0005-0000-0000-000091610000}"/>
    <cellStyle name="Normal 2 2 5 20 5 7" xfId="24978" xr:uid="{00000000-0005-0000-0000-000092610000}"/>
    <cellStyle name="Normal 2 2 5 20 5 8" xfId="24979" xr:uid="{00000000-0005-0000-0000-000093610000}"/>
    <cellStyle name="Normal 2 2 5 20 5 9" xfId="24980" xr:uid="{00000000-0005-0000-0000-000094610000}"/>
    <cellStyle name="Normal 2 2 5 20 6" xfId="24981" xr:uid="{00000000-0005-0000-0000-000095610000}"/>
    <cellStyle name="Normal 2 2 5 20 7" xfId="24982" xr:uid="{00000000-0005-0000-0000-000096610000}"/>
    <cellStyle name="Normal 2 2 5 20 8" xfId="24983" xr:uid="{00000000-0005-0000-0000-000097610000}"/>
    <cellStyle name="Normal 2 2 5 20 9" xfId="24984" xr:uid="{00000000-0005-0000-0000-000098610000}"/>
    <cellStyle name="Normal 2 2 5 21" xfId="24985" xr:uid="{00000000-0005-0000-0000-000099610000}"/>
    <cellStyle name="Normal 2 2 5 22" xfId="24986" xr:uid="{00000000-0005-0000-0000-00009A610000}"/>
    <cellStyle name="Normal 2 2 5 23" xfId="24987" xr:uid="{00000000-0005-0000-0000-00009B610000}"/>
    <cellStyle name="Normal 2 2 5 24" xfId="24365" xr:uid="{00000000-0005-0000-0000-00002D5F0000}"/>
    <cellStyle name="Normal 2 2 5 3" xfId="24988" xr:uid="{00000000-0005-0000-0000-00009C610000}"/>
    <cellStyle name="Normal 2 2 5 3 10" xfId="24989" xr:uid="{00000000-0005-0000-0000-00009D610000}"/>
    <cellStyle name="Normal 2 2 5 3 11" xfId="24990" xr:uid="{00000000-0005-0000-0000-00009E610000}"/>
    <cellStyle name="Normal 2 2 5 3 12" xfId="24991" xr:uid="{00000000-0005-0000-0000-00009F610000}"/>
    <cellStyle name="Normal 2 2 5 3 13" xfId="24992" xr:uid="{00000000-0005-0000-0000-0000A0610000}"/>
    <cellStyle name="Normal 2 2 5 3 14" xfId="24993" xr:uid="{00000000-0005-0000-0000-0000A1610000}"/>
    <cellStyle name="Normal 2 2 5 3 2" xfId="24994" xr:uid="{00000000-0005-0000-0000-0000A2610000}"/>
    <cellStyle name="Normal 2 2 5 3 2 10" xfId="24995" xr:uid="{00000000-0005-0000-0000-0000A3610000}"/>
    <cellStyle name="Normal 2 2 5 3 2 2" xfId="24996" xr:uid="{00000000-0005-0000-0000-0000A4610000}"/>
    <cellStyle name="Normal 2 2 5 3 2 3" xfId="24997" xr:uid="{00000000-0005-0000-0000-0000A5610000}"/>
    <cellStyle name="Normal 2 2 5 3 2 4" xfId="24998" xr:uid="{00000000-0005-0000-0000-0000A6610000}"/>
    <cellStyle name="Normal 2 2 5 3 2 5" xfId="24999" xr:uid="{00000000-0005-0000-0000-0000A7610000}"/>
    <cellStyle name="Normal 2 2 5 3 2 6" xfId="25000" xr:uid="{00000000-0005-0000-0000-0000A8610000}"/>
    <cellStyle name="Normal 2 2 5 3 2 7" xfId="25001" xr:uid="{00000000-0005-0000-0000-0000A9610000}"/>
    <cellStyle name="Normal 2 2 5 3 2 8" xfId="25002" xr:uid="{00000000-0005-0000-0000-0000AA610000}"/>
    <cellStyle name="Normal 2 2 5 3 2 9" xfId="25003" xr:uid="{00000000-0005-0000-0000-0000AB610000}"/>
    <cellStyle name="Normal 2 2 5 3 3" xfId="25004" xr:uid="{00000000-0005-0000-0000-0000AC610000}"/>
    <cellStyle name="Normal 2 2 5 3 3 10" xfId="25005" xr:uid="{00000000-0005-0000-0000-0000AD610000}"/>
    <cellStyle name="Normal 2 2 5 3 3 2" xfId="25006" xr:uid="{00000000-0005-0000-0000-0000AE610000}"/>
    <cellStyle name="Normal 2 2 5 3 3 3" xfId="25007" xr:uid="{00000000-0005-0000-0000-0000AF610000}"/>
    <cellStyle name="Normal 2 2 5 3 3 4" xfId="25008" xr:uid="{00000000-0005-0000-0000-0000B0610000}"/>
    <cellStyle name="Normal 2 2 5 3 3 5" xfId="25009" xr:uid="{00000000-0005-0000-0000-0000B1610000}"/>
    <cellStyle name="Normal 2 2 5 3 3 6" xfId="25010" xr:uid="{00000000-0005-0000-0000-0000B2610000}"/>
    <cellStyle name="Normal 2 2 5 3 3 7" xfId="25011" xr:uid="{00000000-0005-0000-0000-0000B3610000}"/>
    <cellStyle name="Normal 2 2 5 3 3 8" xfId="25012" xr:uid="{00000000-0005-0000-0000-0000B4610000}"/>
    <cellStyle name="Normal 2 2 5 3 3 9" xfId="25013" xr:uid="{00000000-0005-0000-0000-0000B5610000}"/>
    <cellStyle name="Normal 2 2 5 3 4" xfId="25014" xr:uid="{00000000-0005-0000-0000-0000B6610000}"/>
    <cellStyle name="Normal 2 2 5 3 4 10" xfId="25015" xr:uid="{00000000-0005-0000-0000-0000B7610000}"/>
    <cellStyle name="Normal 2 2 5 3 4 2" xfId="25016" xr:uid="{00000000-0005-0000-0000-0000B8610000}"/>
    <cellStyle name="Normal 2 2 5 3 4 3" xfId="25017" xr:uid="{00000000-0005-0000-0000-0000B9610000}"/>
    <cellStyle name="Normal 2 2 5 3 4 4" xfId="25018" xr:uid="{00000000-0005-0000-0000-0000BA610000}"/>
    <cellStyle name="Normal 2 2 5 3 4 5" xfId="25019" xr:uid="{00000000-0005-0000-0000-0000BB610000}"/>
    <cellStyle name="Normal 2 2 5 3 4 6" xfId="25020" xr:uid="{00000000-0005-0000-0000-0000BC610000}"/>
    <cellStyle name="Normal 2 2 5 3 4 7" xfId="25021" xr:uid="{00000000-0005-0000-0000-0000BD610000}"/>
    <cellStyle name="Normal 2 2 5 3 4 8" xfId="25022" xr:uid="{00000000-0005-0000-0000-0000BE610000}"/>
    <cellStyle name="Normal 2 2 5 3 4 9" xfId="25023" xr:uid="{00000000-0005-0000-0000-0000BF610000}"/>
    <cellStyle name="Normal 2 2 5 3 5" xfId="25024" xr:uid="{00000000-0005-0000-0000-0000C0610000}"/>
    <cellStyle name="Normal 2 2 5 3 5 10" xfId="25025" xr:uid="{00000000-0005-0000-0000-0000C1610000}"/>
    <cellStyle name="Normal 2 2 5 3 5 2" xfId="25026" xr:uid="{00000000-0005-0000-0000-0000C2610000}"/>
    <cellStyle name="Normal 2 2 5 3 5 3" xfId="25027" xr:uid="{00000000-0005-0000-0000-0000C3610000}"/>
    <cellStyle name="Normal 2 2 5 3 5 4" xfId="25028" xr:uid="{00000000-0005-0000-0000-0000C4610000}"/>
    <cellStyle name="Normal 2 2 5 3 5 5" xfId="25029" xr:uid="{00000000-0005-0000-0000-0000C5610000}"/>
    <cellStyle name="Normal 2 2 5 3 5 6" xfId="25030" xr:uid="{00000000-0005-0000-0000-0000C6610000}"/>
    <cellStyle name="Normal 2 2 5 3 5 7" xfId="25031" xr:uid="{00000000-0005-0000-0000-0000C7610000}"/>
    <cellStyle name="Normal 2 2 5 3 5 8" xfId="25032" xr:uid="{00000000-0005-0000-0000-0000C8610000}"/>
    <cellStyle name="Normal 2 2 5 3 5 9" xfId="25033" xr:uid="{00000000-0005-0000-0000-0000C9610000}"/>
    <cellStyle name="Normal 2 2 5 3 6" xfId="25034" xr:uid="{00000000-0005-0000-0000-0000CA610000}"/>
    <cellStyle name="Normal 2 2 5 3 7" xfId="25035" xr:uid="{00000000-0005-0000-0000-0000CB610000}"/>
    <cellStyle name="Normal 2 2 5 3 8" xfId="25036" xr:uid="{00000000-0005-0000-0000-0000CC610000}"/>
    <cellStyle name="Normal 2 2 5 3 9" xfId="25037" xr:uid="{00000000-0005-0000-0000-0000CD610000}"/>
    <cellStyle name="Normal 2 2 5 4" xfId="25038" xr:uid="{00000000-0005-0000-0000-0000CE610000}"/>
    <cellStyle name="Normal 2 2 5 4 10" xfId="25039" xr:uid="{00000000-0005-0000-0000-0000CF610000}"/>
    <cellStyle name="Normal 2 2 5 4 11" xfId="25040" xr:uid="{00000000-0005-0000-0000-0000D0610000}"/>
    <cellStyle name="Normal 2 2 5 4 12" xfId="25041" xr:uid="{00000000-0005-0000-0000-0000D1610000}"/>
    <cellStyle name="Normal 2 2 5 4 13" xfId="25042" xr:uid="{00000000-0005-0000-0000-0000D2610000}"/>
    <cellStyle name="Normal 2 2 5 4 14" xfId="25043" xr:uid="{00000000-0005-0000-0000-0000D3610000}"/>
    <cellStyle name="Normal 2 2 5 4 2" xfId="25044" xr:uid="{00000000-0005-0000-0000-0000D4610000}"/>
    <cellStyle name="Normal 2 2 5 4 2 10" xfId="25045" xr:uid="{00000000-0005-0000-0000-0000D5610000}"/>
    <cellStyle name="Normal 2 2 5 4 2 2" xfId="25046" xr:uid="{00000000-0005-0000-0000-0000D6610000}"/>
    <cellStyle name="Normal 2 2 5 4 2 3" xfId="25047" xr:uid="{00000000-0005-0000-0000-0000D7610000}"/>
    <cellStyle name="Normal 2 2 5 4 2 4" xfId="25048" xr:uid="{00000000-0005-0000-0000-0000D8610000}"/>
    <cellStyle name="Normal 2 2 5 4 2 5" xfId="25049" xr:uid="{00000000-0005-0000-0000-0000D9610000}"/>
    <cellStyle name="Normal 2 2 5 4 2 6" xfId="25050" xr:uid="{00000000-0005-0000-0000-0000DA610000}"/>
    <cellStyle name="Normal 2 2 5 4 2 7" xfId="25051" xr:uid="{00000000-0005-0000-0000-0000DB610000}"/>
    <cellStyle name="Normal 2 2 5 4 2 8" xfId="25052" xr:uid="{00000000-0005-0000-0000-0000DC610000}"/>
    <cellStyle name="Normal 2 2 5 4 2 9" xfId="25053" xr:uid="{00000000-0005-0000-0000-0000DD610000}"/>
    <cellStyle name="Normal 2 2 5 4 3" xfId="25054" xr:uid="{00000000-0005-0000-0000-0000DE610000}"/>
    <cellStyle name="Normal 2 2 5 4 3 10" xfId="25055" xr:uid="{00000000-0005-0000-0000-0000DF610000}"/>
    <cellStyle name="Normal 2 2 5 4 3 2" xfId="25056" xr:uid="{00000000-0005-0000-0000-0000E0610000}"/>
    <cellStyle name="Normal 2 2 5 4 3 3" xfId="25057" xr:uid="{00000000-0005-0000-0000-0000E1610000}"/>
    <cellStyle name="Normal 2 2 5 4 3 4" xfId="25058" xr:uid="{00000000-0005-0000-0000-0000E2610000}"/>
    <cellStyle name="Normal 2 2 5 4 3 5" xfId="25059" xr:uid="{00000000-0005-0000-0000-0000E3610000}"/>
    <cellStyle name="Normal 2 2 5 4 3 6" xfId="25060" xr:uid="{00000000-0005-0000-0000-0000E4610000}"/>
    <cellStyle name="Normal 2 2 5 4 3 7" xfId="25061" xr:uid="{00000000-0005-0000-0000-0000E5610000}"/>
    <cellStyle name="Normal 2 2 5 4 3 8" xfId="25062" xr:uid="{00000000-0005-0000-0000-0000E6610000}"/>
    <cellStyle name="Normal 2 2 5 4 3 9" xfId="25063" xr:uid="{00000000-0005-0000-0000-0000E7610000}"/>
    <cellStyle name="Normal 2 2 5 4 4" xfId="25064" xr:uid="{00000000-0005-0000-0000-0000E8610000}"/>
    <cellStyle name="Normal 2 2 5 4 4 10" xfId="25065" xr:uid="{00000000-0005-0000-0000-0000E9610000}"/>
    <cellStyle name="Normal 2 2 5 4 4 2" xfId="25066" xr:uid="{00000000-0005-0000-0000-0000EA610000}"/>
    <cellStyle name="Normal 2 2 5 4 4 3" xfId="25067" xr:uid="{00000000-0005-0000-0000-0000EB610000}"/>
    <cellStyle name="Normal 2 2 5 4 4 4" xfId="25068" xr:uid="{00000000-0005-0000-0000-0000EC610000}"/>
    <cellStyle name="Normal 2 2 5 4 4 5" xfId="25069" xr:uid="{00000000-0005-0000-0000-0000ED610000}"/>
    <cellStyle name="Normal 2 2 5 4 4 6" xfId="25070" xr:uid="{00000000-0005-0000-0000-0000EE610000}"/>
    <cellStyle name="Normal 2 2 5 4 4 7" xfId="25071" xr:uid="{00000000-0005-0000-0000-0000EF610000}"/>
    <cellStyle name="Normal 2 2 5 4 4 8" xfId="25072" xr:uid="{00000000-0005-0000-0000-0000F0610000}"/>
    <cellStyle name="Normal 2 2 5 4 4 9" xfId="25073" xr:uid="{00000000-0005-0000-0000-0000F1610000}"/>
    <cellStyle name="Normal 2 2 5 4 5" xfId="25074" xr:uid="{00000000-0005-0000-0000-0000F2610000}"/>
    <cellStyle name="Normal 2 2 5 4 5 10" xfId="25075" xr:uid="{00000000-0005-0000-0000-0000F3610000}"/>
    <cellStyle name="Normal 2 2 5 4 5 2" xfId="25076" xr:uid="{00000000-0005-0000-0000-0000F4610000}"/>
    <cellStyle name="Normal 2 2 5 4 5 3" xfId="25077" xr:uid="{00000000-0005-0000-0000-0000F5610000}"/>
    <cellStyle name="Normal 2 2 5 4 5 4" xfId="25078" xr:uid="{00000000-0005-0000-0000-0000F6610000}"/>
    <cellStyle name="Normal 2 2 5 4 5 5" xfId="25079" xr:uid="{00000000-0005-0000-0000-0000F7610000}"/>
    <cellStyle name="Normal 2 2 5 4 5 6" xfId="25080" xr:uid="{00000000-0005-0000-0000-0000F8610000}"/>
    <cellStyle name="Normal 2 2 5 4 5 7" xfId="25081" xr:uid="{00000000-0005-0000-0000-0000F9610000}"/>
    <cellStyle name="Normal 2 2 5 4 5 8" xfId="25082" xr:uid="{00000000-0005-0000-0000-0000FA610000}"/>
    <cellStyle name="Normal 2 2 5 4 5 9" xfId="25083" xr:uid="{00000000-0005-0000-0000-0000FB610000}"/>
    <cellStyle name="Normal 2 2 5 4 6" xfId="25084" xr:uid="{00000000-0005-0000-0000-0000FC610000}"/>
    <cellStyle name="Normal 2 2 5 4 7" xfId="25085" xr:uid="{00000000-0005-0000-0000-0000FD610000}"/>
    <cellStyle name="Normal 2 2 5 4 8" xfId="25086" xr:uid="{00000000-0005-0000-0000-0000FE610000}"/>
    <cellStyle name="Normal 2 2 5 4 9" xfId="25087" xr:uid="{00000000-0005-0000-0000-0000FF610000}"/>
    <cellStyle name="Normal 2 2 5 5" xfId="25088" xr:uid="{00000000-0005-0000-0000-000000620000}"/>
    <cellStyle name="Normal 2 2 5 5 10" xfId="25089" xr:uid="{00000000-0005-0000-0000-000001620000}"/>
    <cellStyle name="Normal 2 2 5 5 11" xfId="25090" xr:uid="{00000000-0005-0000-0000-000002620000}"/>
    <cellStyle name="Normal 2 2 5 5 12" xfId="25091" xr:uid="{00000000-0005-0000-0000-000003620000}"/>
    <cellStyle name="Normal 2 2 5 5 13" xfId="25092" xr:uid="{00000000-0005-0000-0000-000004620000}"/>
    <cellStyle name="Normal 2 2 5 5 14" xfId="25093" xr:uid="{00000000-0005-0000-0000-000005620000}"/>
    <cellStyle name="Normal 2 2 5 5 2" xfId="25094" xr:uid="{00000000-0005-0000-0000-000006620000}"/>
    <cellStyle name="Normal 2 2 5 5 2 10" xfId="25095" xr:uid="{00000000-0005-0000-0000-000007620000}"/>
    <cellStyle name="Normal 2 2 5 5 2 2" xfId="25096" xr:uid="{00000000-0005-0000-0000-000008620000}"/>
    <cellStyle name="Normal 2 2 5 5 2 3" xfId="25097" xr:uid="{00000000-0005-0000-0000-000009620000}"/>
    <cellStyle name="Normal 2 2 5 5 2 4" xfId="25098" xr:uid="{00000000-0005-0000-0000-00000A620000}"/>
    <cellStyle name="Normal 2 2 5 5 2 5" xfId="25099" xr:uid="{00000000-0005-0000-0000-00000B620000}"/>
    <cellStyle name="Normal 2 2 5 5 2 6" xfId="25100" xr:uid="{00000000-0005-0000-0000-00000C620000}"/>
    <cellStyle name="Normal 2 2 5 5 2 7" xfId="25101" xr:uid="{00000000-0005-0000-0000-00000D620000}"/>
    <cellStyle name="Normal 2 2 5 5 2 8" xfId="25102" xr:uid="{00000000-0005-0000-0000-00000E620000}"/>
    <cellStyle name="Normal 2 2 5 5 2 9" xfId="25103" xr:uid="{00000000-0005-0000-0000-00000F620000}"/>
    <cellStyle name="Normal 2 2 5 5 3" xfId="25104" xr:uid="{00000000-0005-0000-0000-000010620000}"/>
    <cellStyle name="Normal 2 2 5 5 3 10" xfId="25105" xr:uid="{00000000-0005-0000-0000-000011620000}"/>
    <cellStyle name="Normal 2 2 5 5 3 2" xfId="25106" xr:uid="{00000000-0005-0000-0000-000012620000}"/>
    <cellStyle name="Normal 2 2 5 5 3 3" xfId="25107" xr:uid="{00000000-0005-0000-0000-000013620000}"/>
    <cellStyle name="Normal 2 2 5 5 3 4" xfId="25108" xr:uid="{00000000-0005-0000-0000-000014620000}"/>
    <cellStyle name="Normal 2 2 5 5 3 5" xfId="25109" xr:uid="{00000000-0005-0000-0000-000015620000}"/>
    <cellStyle name="Normal 2 2 5 5 3 6" xfId="25110" xr:uid="{00000000-0005-0000-0000-000016620000}"/>
    <cellStyle name="Normal 2 2 5 5 3 7" xfId="25111" xr:uid="{00000000-0005-0000-0000-000017620000}"/>
    <cellStyle name="Normal 2 2 5 5 3 8" xfId="25112" xr:uid="{00000000-0005-0000-0000-000018620000}"/>
    <cellStyle name="Normal 2 2 5 5 3 9" xfId="25113" xr:uid="{00000000-0005-0000-0000-000019620000}"/>
    <cellStyle name="Normal 2 2 5 5 4" xfId="25114" xr:uid="{00000000-0005-0000-0000-00001A620000}"/>
    <cellStyle name="Normal 2 2 5 5 4 10" xfId="25115" xr:uid="{00000000-0005-0000-0000-00001B620000}"/>
    <cellStyle name="Normal 2 2 5 5 4 2" xfId="25116" xr:uid="{00000000-0005-0000-0000-00001C620000}"/>
    <cellStyle name="Normal 2 2 5 5 4 3" xfId="25117" xr:uid="{00000000-0005-0000-0000-00001D620000}"/>
    <cellStyle name="Normal 2 2 5 5 4 4" xfId="25118" xr:uid="{00000000-0005-0000-0000-00001E620000}"/>
    <cellStyle name="Normal 2 2 5 5 4 5" xfId="25119" xr:uid="{00000000-0005-0000-0000-00001F620000}"/>
    <cellStyle name="Normal 2 2 5 5 4 6" xfId="25120" xr:uid="{00000000-0005-0000-0000-000020620000}"/>
    <cellStyle name="Normal 2 2 5 5 4 7" xfId="25121" xr:uid="{00000000-0005-0000-0000-000021620000}"/>
    <cellStyle name="Normal 2 2 5 5 4 8" xfId="25122" xr:uid="{00000000-0005-0000-0000-000022620000}"/>
    <cellStyle name="Normal 2 2 5 5 4 9" xfId="25123" xr:uid="{00000000-0005-0000-0000-000023620000}"/>
    <cellStyle name="Normal 2 2 5 5 5" xfId="25124" xr:uid="{00000000-0005-0000-0000-000024620000}"/>
    <cellStyle name="Normal 2 2 5 5 5 10" xfId="25125" xr:uid="{00000000-0005-0000-0000-000025620000}"/>
    <cellStyle name="Normal 2 2 5 5 5 2" xfId="25126" xr:uid="{00000000-0005-0000-0000-000026620000}"/>
    <cellStyle name="Normal 2 2 5 5 5 3" xfId="25127" xr:uid="{00000000-0005-0000-0000-000027620000}"/>
    <cellStyle name="Normal 2 2 5 5 5 4" xfId="25128" xr:uid="{00000000-0005-0000-0000-000028620000}"/>
    <cellStyle name="Normal 2 2 5 5 5 5" xfId="25129" xr:uid="{00000000-0005-0000-0000-000029620000}"/>
    <cellStyle name="Normal 2 2 5 5 5 6" xfId="25130" xr:uid="{00000000-0005-0000-0000-00002A620000}"/>
    <cellStyle name="Normal 2 2 5 5 5 7" xfId="25131" xr:uid="{00000000-0005-0000-0000-00002B620000}"/>
    <cellStyle name="Normal 2 2 5 5 5 8" xfId="25132" xr:uid="{00000000-0005-0000-0000-00002C620000}"/>
    <cellStyle name="Normal 2 2 5 5 5 9" xfId="25133" xr:uid="{00000000-0005-0000-0000-00002D620000}"/>
    <cellStyle name="Normal 2 2 5 5 6" xfId="25134" xr:uid="{00000000-0005-0000-0000-00002E620000}"/>
    <cellStyle name="Normal 2 2 5 5 7" xfId="25135" xr:uid="{00000000-0005-0000-0000-00002F620000}"/>
    <cellStyle name="Normal 2 2 5 5 8" xfId="25136" xr:uid="{00000000-0005-0000-0000-000030620000}"/>
    <cellStyle name="Normal 2 2 5 5 9" xfId="25137" xr:uid="{00000000-0005-0000-0000-000031620000}"/>
    <cellStyle name="Normal 2 2 5 6" xfId="25138" xr:uid="{00000000-0005-0000-0000-000032620000}"/>
    <cellStyle name="Normal 2 2 5 6 10" xfId="25139" xr:uid="{00000000-0005-0000-0000-000033620000}"/>
    <cellStyle name="Normal 2 2 5 6 11" xfId="25140" xr:uid="{00000000-0005-0000-0000-000034620000}"/>
    <cellStyle name="Normal 2 2 5 6 12" xfId="25141" xr:uid="{00000000-0005-0000-0000-000035620000}"/>
    <cellStyle name="Normal 2 2 5 6 13" xfId="25142" xr:uid="{00000000-0005-0000-0000-000036620000}"/>
    <cellStyle name="Normal 2 2 5 6 14" xfId="25143" xr:uid="{00000000-0005-0000-0000-000037620000}"/>
    <cellStyle name="Normal 2 2 5 6 2" xfId="25144" xr:uid="{00000000-0005-0000-0000-000038620000}"/>
    <cellStyle name="Normal 2 2 5 6 2 10" xfId="25145" xr:uid="{00000000-0005-0000-0000-000039620000}"/>
    <cellStyle name="Normal 2 2 5 6 2 2" xfId="25146" xr:uid="{00000000-0005-0000-0000-00003A620000}"/>
    <cellStyle name="Normal 2 2 5 6 2 3" xfId="25147" xr:uid="{00000000-0005-0000-0000-00003B620000}"/>
    <cellStyle name="Normal 2 2 5 6 2 4" xfId="25148" xr:uid="{00000000-0005-0000-0000-00003C620000}"/>
    <cellStyle name="Normal 2 2 5 6 2 5" xfId="25149" xr:uid="{00000000-0005-0000-0000-00003D620000}"/>
    <cellStyle name="Normal 2 2 5 6 2 6" xfId="25150" xr:uid="{00000000-0005-0000-0000-00003E620000}"/>
    <cellStyle name="Normal 2 2 5 6 2 7" xfId="25151" xr:uid="{00000000-0005-0000-0000-00003F620000}"/>
    <cellStyle name="Normal 2 2 5 6 2 8" xfId="25152" xr:uid="{00000000-0005-0000-0000-000040620000}"/>
    <cellStyle name="Normal 2 2 5 6 2 9" xfId="25153" xr:uid="{00000000-0005-0000-0000-000041620000}"/>
    <cellStyle name="Normal 2 2 5 6 3" xfId="25154" xr:uid="{00000000-0005-0000-0000-000042620000}"/>
    <cellStyle name="Normal 2 2 5 6 3 10" xfId="25155" xr:uid="{00000000-0005-0000-0000-000043620000}"/>
    <cellStyle name="Normal 2 2 5 6 3 2" xfId="25156" xr:uid="{00000000-0005-0000-0000-000044620000}"/>
    <cellStyle name="Normal 2 2 5 6 3 3" xfId="25157" xr:uid="{00000000-0005-0000-0000-000045620000}"/>
    <cellStyle name="Normal 2 2 5 6 3 4" xfId="25158" xr:uid="{00000000-0005-0000-0000-000046620000}"/>
    <cellStyle name="Normal 2 2 5 6 3 5" xfId="25159" xr:uid="{00000000-0005-0000-0000-000047620000}"/>
    <cellStyle name="Normal 2 2 5 6 3 6" xfId="25160" xr:uid="{00000000-0005-0000-0000-000048620000}"/>
    <cellStyle name="Normal 2 2 5 6 3 7" xfId="25161" xr:uid="{00000000-0005-0000-0000-000049620000}"/>
    <cellStyle name="Normal 2 2 5 6 3 8" xfId="25162" xr:uid="{00000000-0005-0000-0000-00004A620000}"/>
    <cellStyle name="Normal 2 2 5 6 3 9" xfId="25163" xr:uid="{00000000-0005-0000-0000-00004B620000}"/>
    <cellStyle name="Normal 2 2 5 6 4" xfId="25164" xr:uid="{00000000-0005-0000-0000-00004C620000}"/>
    <cellStyle name="Normal 2 2 5 6 4 10" xfId="25165" xr:uid="{00000000-0005-0000-0000-00004D620000}"/>
    <cellStyle name="Normal 2 2 5 6 4 2" xfId="25166" xr:uid="{00000000-0005-0000-0000-00004E620000}"/>
    <cellStyle name="Normal 2 2 5 6 4 3" xfId="25167" xr:uid="{00000000-0005-0000-0000-00004F620000}"/>
    <cellStyle name="Normal 2 2 5 6 4 4" xfId="25168" xr:uid="{00000000-0005-0000-0000-000050620000}"/>
    <cellStyle name="Normal 2 2 5 6 4 5" xfId="25169" xr:uid="{00000000-0005-0000-0000-000051620000}"/>
    <cellStyle name="Normal 2 2 5 6 4 6" xfId="25170" xr:uid="{00000000-0005-0000-0000-000052620000}"/>
    <cellStyle name="Normal 2 2 5 6 4 7" xfId="25171" xr:uid="{00000000-0005-0000-0000-000053620000}"/>
    <cellStyle name="Normal 2 2 5 6 4 8" xfId="25172" xr:uid="{00000000-0005-0000-0000-000054620000}"/>
    <cellStyle name="Normal 2 2 5 6 4 9" xfId="25173" xr:uid="{00000000-0005-0000-0000-000055620000}"/>
    <cellStyle name="Normal 2 2 5 6 5" xfId="25174" xr:uid="{00000000-0005-0000-0000-000056620000}"/>
    <cellStyle name="Normal 2 2 5 6 5 10" xfId="25175" xr:uid="{00000000-0005-0000-0000-000057620000}"/>
    <cellStyle name="Normal 2 2 5 6 5 2" xfId="25176" xr:uid="{00000000-0005-0000-0000-000058620000}"/>
    <cellStyle name="Normal 2 2 5 6 5 3" xfId="25177" xr:uid="{00000000-0005-0000-0000-000059620000}"/>
    <cellStyle name="Normal 2 2 5 6 5 4" xfId="25178" xr:uid="{00000000-0005-0000-0000-00005A620000}"/>
    <cellStyle name="Normal 2 2 5 6 5 5" xfId="25179" xr:uid="{00000000-0005-0000-0000-00005B620000}"/>
    <cellStyle name="Normal 2 2 5 6 5 6" xfId="25180" xr:uid="{00000000-0005-0000-0000-00005C620000}"/>
    <cellStyle name="Normal 2 2 5 6 5 7" xfId="25181" xr:uid="{00000000-0005-0000-0000-00005D620000}"/>
    <cellStyle name="Normal 2 2 5 6 5 8" xfId="25182" xr:uid="{00000000-0005-0000-0000-00005E620000}"/>
    <cellStyle name="Normal 2 2 5 6 5 9" xfId="25183" xr:uid="{00000000-0005-0000-0000-00005F620000}"/>
    <cellStyle name="Normal 2 2 5 6 6" xfId="25184" xr:uid="{00000000-0005-0000-0000-000060620000}"/>
    <cellStyle name="Normal 2 2 5 6 7" xfId="25185" xr:uid="{00000000-0005-0000-0000-000061620000}"/>
    <cellStyle name="Normal 2 2 5 6 8" xfId="25186" xr:uid="{00000000-0005-0000-0000-000062620000}"/>
    <cellStyle name="Normal 2 2 5 6 9" xfId="25187" xr:uid="{00000000-0005-0000-0000-000063620000}"/>
    <cellStyle name="Normal 2 2 5 7" xfId="25188" xr:uid="{00000000-0005-0000-0000-000064620000}"/>
    <cellStyle name="Normal 2 2 5 7 10" xfId="25189" xr:uid="{00000000-0005-0000-0000-000065620000}"/>
    <cellStyle name="Normal 2 2 5 7 11" xfId="25190" xr:uid="{00000000-0005-0000-0000-000066620000}"/>
    <cellStyle name="Normal 2 2 5 7 12" xfId="25191" xr:uid="{00000000-0005-0000-0000-000067620000}"/>
    <cellStyle name="Normal 2 2 5 7 13" xfId="25192" xr:uid="{00000000-0005-0000-0000-000068620000}"/>
    <cellStyle name="Normal 2 2 5 7 14" xfId="25193" xr:uid="{00000000-0005-0000-0000-000069620000}"/>
    <cellStyle name="Normal 2 2 5 7 2" xfId="25194" xr:uid="{00000000-0005-0000-0000-00006A620000}"/>
    <cellStyle name="Normal 2 2 5 7 2 10" xfId="25195" xr:uid="{00000000-0005-0000-0000-00006B620000}"/>
    <cellStyle name="Normal 2 2 5 7 2 2" xfId="25196" xr:uid="{00000000-0005-0000-0000-00006C620000}"/>
    <cellStyle name="Normal 2 2 5 7 2 3" xfId="25197" xr:uid="{00000000-0005-0000-0000-00006D620000}"/>
    <cellStyle name="Normal 2 2 5 7 2 4" xfId="25198" xr:uid="{00000000-0005-0000-0000-00006E620000}"/>
    <cellStyle name="Normal 2 2 5 7 2 5" xfId="25199" xr:uid="{00000000-0005-0000-0000-00006F620000}"/>
    <cellStyle name="Normal 2 2 5 7 2 6" xfId="25200" xr:uid="{00000000-0005-0000-0000-000070620000}"/>
    <cellStyle name="Normal 2 2 5 7 2 7" xfId="25201" xr:uid="{00000000-0005-0000-0000-000071620000}"/>
    <cellStyle name="Normal 2 2 5 7 2 8" xfId="25202" xr:uid="{00000000-0005-0000-0000-000072620000}"/>
    <cellStyle name="Normal 2 2 5 7 2 9" xfId="25203" xr:uid="{00000000-0005-0000-0000-000073620000}"/>
    <cellStyle name="Normal 2 2 5 7 3" xfId="25204" xr:uid="{00000000-0005-0000-0000-000074620000}"/>
    <cellStyle name="Normal 2 2 5 7 3 10" xfId="25205" xr:uid="{00000000-0005-0000-0000-000075620000}"/>
    <cellStyle name="Normal 2 2 5 7 3 2" xfId="25206" xr:uid="{00000000-0005-0000-0000-000076620000}"/>
    <cellStyle name="Normal 2 2 5 7 3 3" xfId="25207" xr:uid="{00000000-0005-0000-0000-000077620000}"/>
    <cellStyle name="Normal 2 2 5 7 3 4" xfId="25208" xr:uid="{00000000-0005-0000-0000-000078620000}"/>
    <cellStyle name="Normal 2 2 5 7 3 5" xfId="25209" xr:uid="{00000000-0005-0000-0000-000079620000}"/>
    <cellStyle name="Normal 2 2 5 7 3 6" xfId="25210" xr:uid="{00000000-0005-0000-0000-00007A620000}"/>
    <cellStyle name="Normal 2 2 5 7 3 7" xfId="25211" xr:uid="{00000000-0005-0000-0000-00007B620000}"/>
    <cellStyle name="Normal 2 2 5 7 3 8" xfId="25212" xr:uid="{00000000-0005-0000-0000-00007C620000}"/>
    <cellStyle name="Normal 2 2 5 7 3 9" xfId="25213" xr:uid="{00000000-0005-0000-0000-00007D620000}"/>
    <cellStyle name="Normal 2 2 5 7 4" xfId="25214" xr:uid="{00000000-0005-0000-0000-00007E620000}"/>
    <cellStyle name="Normal 2 2 5 7 4 10" xfId="25215" xr:uid="{00000000-0005-0000-0000-00007F620000}"/>
    <cellStyle name="Normal 2 2 5 7 4 2" xfId="25216" xr:uid="{00000000-0005-0000-0000-000080620000}"/>
    <cellStyle name="Normal 2 2 5 7 4 3" xfId="25217" xr:uid="{00000000-0005-0000-0000-000081620000}"/>
    <cellStyle name="Normal 2 2 5 7 4 4" xfId="25218" xr:uid="{00000000-0005-0000-0000-000082620000}"/>
    <cellStyle name="Normal 2 2 5 7 4 5" xfId="25219" xr:uid="{00000000-0005-0000-0000-000083620000}"/>
    <cellStyle name="Normal 2 2 5 7 4 6" xfId="25220" xr:uid="{00000000-0005-0000-0000-000084620000}"/>
    <cellStyle name="Normal 2 2 5 7 4 7" xfId="25221" xr:uid="{00000000-0005-0000-0000-000085620000}"/>
    <cellStyle name="Normal 2 2 5 7 4 8" xfId="25222" xr:uid="{00000000-0005-0000-0000-000086620000}"/>
    <cellStyle name="Normal 2 2 5 7 4 9" xfId="25223" xr:uid="{00000000-0005-0000-0000-000087620000}"/>
    <cellStyle name="Normal 2 2 5 7 5" xfId="25224" xr:uid="{00000000-0005-0000-0000-000088620000}"/>
    <cellStyle name="Normal 2 2 5 7 5 10" xfId="25225" xr:uid="{00000000-0005-0000-0000-000089620000}"/>
    <cellStyle name="Normal 2 2 5 7 5 2" xfId="25226" xr:uid="{00000000-0005-0000-0000-00008A620000}"/>
    <cellStyle name="Normal 2 2 5 7 5 3" xfId="25227" xr:uid="{00000000-0005-0000-0000-00008B620000}"/>
    <cellStyle name="Normal 2 2 5 7 5 4" xfId="25228" xr:uid="{00000000-0005-0000-0000-00008C620000}"/>
    <cellStyle name="Normal 2 2 5 7 5 5" xfId="25229" xr:uid="{00000000-0005-0000-0000-00008D620000}"/>
    <cellStyle name="Normal 2 2 5 7 5 6" xfId="25230" xr:uid="{00000000-0005-0000-0000-00008E620000}"/>
    <cellStyle name="Normal 2 2 5 7 5 7" xfId="25231" xr:uid="{00000000-0005-0000-0000-00008F620000}"/>
    <cellStyle name="Normal 2 2 5 7 5 8" xfId="25232" xr:uid="{00000000-0005-0000-0000-000090620000}"/>
    <cellStyle name="Normal 2 2 5 7 5 9" xfId="25233" xr:uid="{00000000-0005-0000-0000-000091620000}"/>
    <cellStyle name="Normal 2 2 5 7 6" xfId="25234" xr:uid="{00000000-0005-0000-0000-000092620000}"/>
    <cellStyle name="Normal 2 2 5 7 7" xfId="25235" xr:uid="{00000000-0005-0000-0000-000093620000}"/>
    <cellStyle name="Normal 2 2 5 7 8" xfId="25236" xr:uid="{00000000-0005-0000-0000-000094620000}"/>
    <cellStyle name="Normal 2 2 5 7 9" xfId="25237" xr:uid="{00000000-0005-0000-0000-000095620000}"/>
    <cellStyle name="Normal 2 2 5 8" xfId="25238" xr:uid="{00000000-0005-0000-0000-000096620000}"/>
    <cellStyle name="Normal 2 2 5 8 10" xfId="25239" xr:uid="{00000000-0005-0000-0000-000097620000}"/>
    <cellStyle name="Normal 2 2 5 8 11" xfId="25240" xr:uid="{00000000-0005-0000-0000-000098620000}"/>
    <cellStyle name="Normal 2 2 5 8 12" xfId="25241" xr:uid="{00000000-0005-0000-0000-000099620000}"/>
    <cellStyle name="Normal 2 2 5 8 13" xfId="25242" xr:uid="{00000000-0005-0000-0000-00009A620000}"/>
    <cellStyle name="Normal 2 2 5 8 14" xfId="25243" xr:uid="{00000000-0005-0000-0000-00009B620000}"/>
    <cellStyle name="Normal 2 2 5 8 2" xfId="25244" xr:uid="{00000000-0005-0000-0000-00009C620000}"/>
    <cellStyle name="Normal 2 2 5 8 2 10" xfId="25245" xr:uid="{00000000-0005-0000-0000-00009D620000}"/>
    <cellStyle name="Normal 2 2 5 8 2 2" xfId="25246" xr:uid="{00000000-0005-0000-0000-00009E620000}"/>
    <cellStyle name="Normal 2 2 5 8 2 3" xfId="25247" xr:uid="{00000000-0005-0000-0000-00009F620000}"/>
    <cellStyle name="Normal 2 2 5 8 2 4" xfId="25248" xr:uid="{00000000-0005-0000-0000-0000A0620000}"/>
    <cellStyle name="Normal 2 2 5 8 2 5" xfId="25249" xr:uid="{00000000-0005-0000-0000-0000A1620000}"/>
    <cellStyle name="Normal 2 2 5 8 2 6" xfId="25250" xr:uid="{00000000-0005-0000-0000-0000A2620000}"/>
    <cellStyle name="Normal 2 2 5 8 2 7" xfId="25251" xr:uid="{00000000-0005-0000-0000-0000A3620000}"/>
    <cellStyle name="Normal 2 2 5 8 2 8" xfId="25252" xr:uid="{00000000-0005-0000-0000-0000A4620000}"/>
    <cellStyle name="Normal 2 2 5 8 2 9" xfId="25253" xr:uid="{00000000-0005-0000-0000-0000A5620000}"/>
    <cellStyle name="Normal 2 2 5 8 3" xfId="25254" xr:uid="{00000000-0005-0000-0000-0000A6620000}"/>
    <cellStyle name="Normal 2 2 5 8 3 10" xfId="25255" xr:uid="{00000000-0005-0000-0000-0000A7620000}"/>
    <cellStyle name="Normal 2 2 5 8 3 2" xfId="25256" xr:uid="{00000000-0005-0000-0000-0000A8620000}"/>
    <cellStyle name="Normal 2 2 5 8 3 3" xfId="25257" xr:uid="{00000000-0005-0000-0000-0000A9620000}"/>
    <cellStyle name="Normal 2 2 5 8 3 4" xfId="25258" xr:uid="{00000000-0005-0000-0000-0000AA620000}"/>
    <cellStyle name="Normal 2 2 5 8 3 5" xfId="25259" xr:uid="{00000000-0005-0000-0000-0000AB620000}"/>
    <cellStyle name="Normal 2 2 5 8 3 6" xfId="25260" xr:uid="{00000000-0005-0000-0000-0000AC620000}"/>
    <cellStyle name="Normal 2 2 5 8 3 7" xfId="25261" xr:uid="{00000000-0005-0000-0000-0000AD620000}"/>
    <cellStyle name="Normal 2 2 5 8 3 8" xfId="25262" xr:uid="{00000000-0005-0000-0000-0000AE620000}"/>
    <cellStyle name="Normal 2 2 5 8 3 9" xfId="25263" xr:uid="{00000000-0005-0000-0000-0000AF620000}"/>
    <cellStyle name="Normal 2 2 5 8 4" xfId="25264" xr:uid="{00000000-0005-0000-0000-0000B0620000}"/>
    <cellStyle name="Normal 2 2 5 8 4 10" xfId="25265" xr:uid="{00000000-0005-0000-0000-0000B1620000}"/>
    <cellStyle name="Normal 2 2 5 8 4 2" xfId="25266" xr:uid="{00000000-0005-0000-0000-0000B2620000}"/>
    <cellStyle name="Normal 2 2 5 8 4 3" xfId="25267" xr:uid="{00000000-0005-0000-0000-0000B3620000}"/>
    <cellStyle name="Normal 2 2 5 8 4 4" xfId="25268" xr:uid="{00000000-0005-0000-0000-0000B4620000}"/>
    <cellStyle name="Normal 2 2 5 8 4 5" xfId="25269" xr:uid="{00000000-0005-0000-0000-0000B5620000}"/>
    <cellStyle name="Normal 2 2 5 8 4 6" xfId="25270" xr:uid="{00000000-0005-0000-0000-0000B6620000}"/>
    <cellStyle name="Normal 2 2 5 8 4 7" xfId="25271" xr:uid="{00000000-0005-0000-0000-0000B7620000}"/>
    <cellStyle name="Normal 2 2 5 8 4 8" xfId="25272" xr:uid="{00000000-0005-0000-0000-0000B8620000}"/>
    <cellStyle name="Normal 2 2 5 8 4 9" xfId="25273" xr:uid="{00000000-0005-0000-0000-0000B9620000}"/>
    <cellStyle name="Normal 2 2 5 8 5" xfId="25274" xr:uid="{00000000-0005-0000-0000-0000BA620000}"/>
    <cellStyle name="Normal 2 2 5 8 5 10" xfId="25275" xr:uid="{00000000-0005-0000-0000-0000BB620000}"/>
    <cellStyle name="Normal 2 2 5 8 5 2" xfId="25276" xr:uid="{00000000-0005-0000-0000-0000BC620000}"/>
    <cellStyle name="Normal 2 2 5 8 5 3" xfId="25277" xr:uid="{00000000-0005-0000-0000-0000BD620000}"/>
    <cellStyle name="Normal 2 2 5 8 5 4" xfId="25278" xr:uid="{00000000-0005-0000-0000-0000BE620000}"/>
    <cellStyle name="Normal 2 2 5 8 5 5" xfId="25279" xr:uid="{00000000-0005-0000-0000-0000BF620000}"/>
    <cellStyle name="Normal 2 2 5 8 5 6" xfId="25280" xr:uid="{00000000-0005-0000-0000-0000C0620000}"/>
    <cellStyle name="Normal 2 2 5 8 5 7" xfId="25281" xr:uid="{00000000-0005-0000-0000-0000C1620000}"/>
    <cellStyle name="Normal 2 2 5 8 5 8" xfId="25282" xr:uid="{00000000-0005-0000-0000-0000C2620000}"/>
    <cellStyle name="Normal 2 2 5 8 5 9" xfId="25283" xr:uid="{00000000-0005-0000-0000-0000C3620000}"/>
    <cellStyle name="Normal 2 2 5 8 6" xfId="25284" xr:uid="{00000000-0005-0000-0000-0000C4620000}"/>
    <cellStyle name="Normal 2 2 5 8 7" xfId="25285" xr:uid="{00000000-0005-0000-0000-0000C5620000}"/>
    <cellStyle name="Normal 2 2 5 8 8" xfId="25286" xr:uid="{00000000-0005-0000-0000-0000C6620000}"/>
    <cellStyle name="Normal 2 2 5 8 9" xfId="25287" xr:uid="{00000000-0005-0000-0000-0000C7620000}"/>
    <cellStyle name="Normal 2 2 5 9" xfId="25288" xr:uid="{00000000-0005-0000-0000-0000C8620000}"/>
    <cellStyle name="Normal 2 2 5 9 10" xfId="25289" xr:uid="{00000000-0005-0000-0000-0000C9620000}"/>
    <cellStyle name="Normal 2 2 5 9 11" xfId="25290" xr:uid="{00000000-0005-0000-0000-0000CA620000}"/>
    <cellStyle name="Normal 2 2 5 9 12" xfId="25291" xr:uid="{00000000-0005-0000-0000-0000CB620000}"/>
    <cellStyle name="Normal 2 2 5 9 13" xfId="25292" xr:uid="{00000000-0005-0000-0000-0000CC620000}"/>
    <cellStyle name="Normal 2 2 5 9 14" xfId="25293" xr:uid="{00000000-0005-0000-0000-0000CD620000}"/>
    <cellStyle name="Normal 2 2 5 9 2" xfId="25294" xr:uid="{00000000-0005-0000-0000-0000CE620000}"/>
    <cellStyle name="Normal 2 2 5 9 2 10" xfId="25295" xr:uid="{00000000-0005-0000-0000-0000CF620000}"/>
    <cellStyle name="Normal 2 2 5 9 2 2" xfId="25296" xr:uid="{00000000-0005-0000-0000-0000D0620000}"/>
    <cellStyle name="Normal 2 2 5 9 2 3" xfId="25297" xr:uid="{00000000-0005-0000-0000-0000D1620000}"/>
    <cellStyle name="Normal 2 2 5 9 2 4" xfId="25298" xr:uid="{00000000-0005-0000-0000-0000D2620000}"/>
    <cellStyle name="Normal 2 2 5 9 2 5" xfId="25299" xr:uid="{00000000-0005-0000-0000-0000D3620000}"/>
    <cellStyle name="Normal 2 2 5 9 2 6" xfId="25300" xr:uid="{00000000-0005-0000-0000-0000D4620000}"/>
    <cellStyle name="Normal 2 2 5 9 2 7" xfId="25301" xr:uid="{00000000-0005-0000-0000-0000D5620000}"/>
    <cellStyle name="Normal 2 2 5 9 2 8" xfId="25302" xr:uid="{00000000-0005-0000-0000-0000D6620000}"/>
    <cellStyle name="Normal 2 2 5 9 2 9" xfId="25303" xr:uid="{00000000-0005-0000-0000-0000D7620000}"/>
    <cellStyle name="Normal 2 2 5 9 3" xfId="25304" xr:uid="{00000000-0005-0000-0000-0000D8620000}"/>
    <cellStyle name="Normal 2 2 5 9 3 10" xfId="25305" xr:uid="{00000000-0005-0000-0000-0000D9620000}"/>
    <cellStyle name="Normal 2 2 5 9 3 2" xfId="25306" xr:uid="{00000000-0005-0000-0000-0000DA620000}"/>
    <cellStyle name="Normal 2 2 5 9 3 3" xfId="25307" xr:uid="{00000000-0005-0000-0000-0000DB620000}"/>
    <cellStyle name="Normal 2 2 5 9 3 4" xfId="25308" xr:uid="{00000000-0005-0000-0000-0000DC620000}"/>
    <cellStyle name="Normal 2 2 5 9 3 5" xfId="25309" xr:uid="{00000000-0005-0000-0000-0000DD620000}"/>
    <cellStyle name="Normal 2 2 5 9 3 6" xfId="25310" xr:uid="{00000000-0005-0000-0000-0000DE620000}"/>
    <cellStyle name="Normal 2 2 5 9 3 7" xfId="25311" xr:uid="{00000000-0005-0000-0000-0000DF620000}"/>
    <cellStyle name="Normal 2 2 5 9 3 8" xfId="25312" xr:uid="{00000000-0005-0000-0000-0000E0620000}"/>
    <cellStyle name="Normal 2 2 5 9 3 9" xfId="25313" xr:uid="{00000000-0005-0000-0000-0000E1620000}"/>
    <cellStyle name="Normal 2 2 5 9 4" xfId="25314" xr:uid="{00000000-0005-0000-0000-0000E2620000}"/>
    <cellStyle name="Normal 2 2 5 9 4 10" xfId="25315" xr:uid="{00000000-0005-0000-0000-0000E3620000}"/>
    <cellStyle name="Normal 2 2 5 9 4 2" xfId="25316" xr:uid="{00000000-0005-0000-0000-0000E4620000}"/>
    <cellStyle name="Normal 2 2 5 9 4 3" xfId="25317" xr:uid="{00000000-0005-0000-0000-0000E5620000}"/>
    <cellStyle name="Normal 2 2 5 9 4 4" xfId="25318" xr:uid="{00000000-0005-0000-0000-0000E6620000}"/>
    <cellStyle name="Normal 2 2 5 9 4 5" xfId="25319" xr:uid="{00000000-0005-0000-0000-0000E7620000}"/>
    <cellStyle name="Normal 2 2 5 9 4 6" xfId="25320" xr:uid="{00000000-0005-0000-0000-0000E8620000}"/>
    <cellStyle name="Normal 2 2 5 9 4 7" xfId="25321" xr:uid="{00000000-0005-0000-0000-0000E9620000}"/>
    <cellStyle name="Normal 2 2 5 9 4 8" xfId="25322" xr:uid="{00000000-0005-0000-0000-0000EA620000}"/>
    <cellStyle name="Normal 2 2 5 9 4 9" xfId="25323" xr:uid="{00000000-0005-0000-0000-0000EB620000}"/>
    <cellStyle name="Normal 2 2 5 9 5" xfId="25324" xr:uid="{00000000-0005-0000-0000-0000EC620000}"/>
    <cellStyle name="Normal 2 2 5 9 5 10" xfId="25325" xr:uid="{00000000-0005-0000-0000-0000ED620000}"/>
    <cellStyle name="Normal 2 2 5 9 5 2" xfId="25326" xr:uid="{00000000-0005-0000-0000-0000EE620000}"/>
    <cellStyle name="Normal 2 2 5 9 5 3" xfId="25327" xr:uid="{00000000-0005-0000-0000-0000EF620000}"/>
    <cellStyle name="Normal 2 2 5 9 5 4" xfId="25328" xr:uid="{00000000-0005-0000-0000-0000F0620000}"/>
    <cellStyle name="Normal 2 2 5 9 5 5" xfId="25329" xr:uid="{00000000-0005-0000-0000-0000F1620000}"/>
    <cellStyle name="Normal 2 2 5 9 5 6" xfId="25330" xr:uid="{00000000-0005-0000-0000-0000F2620000}"/>
    <cellStyle name="Normal 2 2 5 9 5 7" xfId="25331" xr:uid="{00000000-0005-0000-0000-0000F3620000}"/>
    <cellStyle name="Normal 2 2 5 9 5 8" xfId="25332" xr:uid="{00000000-0005-0000-0000-0000F4620000}"/>
    <cellStyle name="Normal 2 2 5 9 5 9" xfId="25333" xr:uid="{00000000-0005-0000-0000-0000F5620000}"/>
    <cellStyle name="Normal 2 2 5 9 6" xfId="25334" xr:uid="{00000000-0005-0000-0000-0000F6620000}"/>
    <cellStyle name="Normal 2 2 5 9 7" xfId="25335" xr:uid="{00000000-0005-0000-0000-0000F7620000}"/>
    <cellStyle name="Normal 2 2 5 9 8" xfId="25336" xr:uid="{00000000-0005-0000-0000-0000F8620000}"/>
    <cellStyle name="Normal 2 2 5 9 9" xfId="25337" xr:uid="{00000000-0005-0000-0000-0000F9620000}"/>
    <cellStyle name="Normal 2 2 50" xfId="25338" xr:uid="{00000000-0005-0000-0000-0000FA620000}"/>
    <cellStyle name="Normal 2 2 51" xfId="25339" xr:uid="{00000000-0005-0000-0000-0000FB620000}"/>
    <cellStyle name="Normal 2 2 52" xfId="54" xr:uid="{00000000-0005-0000-0000-000036000000}"/>
    <cellStyle name="Normal 2 2 52 2" xfId="25340" xr:uid="{00000000-0005-0000-0000-0000FC620000}"/>
    <cellStyle name="Normal 2 2 53" xfId="6200" xr:uid="{00000000-0005-0000-0000-000038180000}"/>
    <cellStyle name="Normal 2 2 6" xfId="25341" xr:uid="{00000000-0005-0000-0000-0000FD620000}"/>
    <cellStyle name="Normal 2 2 6 2" xfId="25342" xr:uid="{00000000-0005-0000-0000-0000FE620000}"/>
    <cellStyle name="Normal 2 2 6 3" xfId="25343" xr:uid="{00000000-0005-0000-0000-0000FF620000}"/>
    <cellStyle name="Normal 2 2 7" xfId="25344" xr:uid="{00000000-0005-0000-0000-000000630000}"/>
    <cellStyle name="Normal 2 2 7 2" xfId="25345" xr:uid="{00000000-0005-0000-0000-000001630000}"/>
    <cellStyle name="Normal 2 2 7 3" xfId="25346" xr:uid="{00000000-0005-0000-0000-000002630000}"/>
    <cellStyle name="Normal 2 2 8" xfId="25347" xr:uid="{00000000-0005-0000-0000-000003630000}"/>
    <cellStyle name="Normal 2 2 8 2" xfId="25348" xr:uid="{00000000-0005-0000-0000-000004630000}"/>
    <cellStyle name="Normal 2 2 8 3" xfId="25349" xr:uid="{00000000-0005-0000-0000-000005630000}"/>
    <cellStyle name="Normal 2 2 9" xfId="25350" xr:uid="{00000000-0005-0000-0000-000006630000}"/>
    <cellStyle name="Normal 2 2 9 2" xfId="25351" xr:uid="{00000000-0005-0000-0000-000007630000}"/>
    <cellStyle name="Normal 2 2 9 3" xfId="25352" xr:uid="{00000000-0005-0000-0000-000008630000}"/>
    <cellStyle name="Normal 2 20" xfId="25353" xr:uid="{00000000-0005-0000-0000-000009630000}"/>
    <cellStyle name="Normal 2 20 2" xfId="25354" xr:uid="{00000000-0005-0000-0000-00000A630000}"/>
    <cellStyle name="Normal 2 20 3" xfId="25355" xr:uid="{00000000-0005-0000-0000-00000B630000}"/>
    <cellStyle name="Normal 2 21" xfId="25356" xr:uid="{00000000-0005-0000-0000-00000C630000}"/>
    <cellStyle name="Normal 2 21 2" xfId="25357" xr:uid="{00000000-0005-0000-0000-00000D630000}"/>
    <cellStyle name="Normal 2 21 3" xfId="25358" xr:uid="{00000000-0005-0000-0000-00000E630000}"/>
    <cellStyle name="Normal 2 22" xfId="25359" xr:uid="{00000000-0005-0000-0000-00000F630000}"/>
    <cellStyle name="Normal 2 22 2" xfId="25360" xr:uid="{00000000-0005-0000-0000-000010630000}"/>
    <cellStyle name="Normal 2 22 3" xfId="25361" xr:uid="{00000000-0005-0000-0000-000011630000}"/>
    <cellStyle name="Normal 2 23" xfId="25362" xr:uid="{00000000-0005-0000-0000-000012630000}"/>
    <cellStyle name="Normal 2 23 2" xfId="25363" xr:uid="{00000000-0005-0000-0000-000013630000}"/>
    <cellStyle name="Normal 2 23 2 2" xfId="25364" xr:uid="{00000000-0005-0000-0000-000014630000}"/>
    <cellStyle name="Normal 2 23 3" xfId="25365" xr:uid="{00000000-0005-0000-0000-000015630000}"/>
    <cellStyle name="Normal 2 24" xfId="25366" xr:uid="{00000000-0005-0000-0000-000016630000}"/>
    <cellStyle name="Normal 2 24 2" xfId="25367" xr:uid="{00000000-0005-0000-0000-000017630000}"/>
    <cellStyle name="Normal 2 24 3" xfId="25368" xr:uid="{00000000-0005-0000-0000-000018630000}"/>
    <cellStyle name="Normal 2 25" xfId="25369" xr:uid="{00000000-0005-0000-0000-000019630000}"/>
    <cellStyle name="Normal 2 25 2" xfId="25370" xr:uid="{00000000-0005-0000-0000-00001A630000}"/>
    <cellStyle name="Normal 2 25 3" xfId="25371" xr:uid="{00000000-0005-0000-0000-00001B630000}"/>
    <cellStyle name="Normal 2 26" xfId="25372" xr:uid="{00000000-0005-0000-0000-00001C630000}"/>
    <cellStyle name="Normal 2 26 2" xfId="25373" xr:uid="{00000000-0005-0000-0000-00001D630000}"/>
    <cellStyle name="Normal 2 26 3" xfId="25374" xr:uid="{00000000-0005-0000-0000-00001E630000}"/>
    <cellStyle name="Normal 2 27" xfId="25375" xr:uid="{00000000-0005-0000-0000-00001F630000}"/>
    <cellStyle name="Normal 2 27 2" xfId="25376" xr:uid="{00000000-0005-0000-0000-000020630000}"/>
    <cellStyle name="Normal 2 27 3" xfId="25377" xr:uid="{00000000-0005-0000-0000-000021630000}"/>
    <cellStyle name="Normal 2 28" xfId="25378" xr:uid="{00000000-0005-0000-0000-000022630000}"/>
    <cellStyle name="Normal 2 28 2" xfId="25379" xr:uid="{00000000-0005-0000-0000-000023630000}"/>
    <cellStyle name="Normal 2 28 3" xfId="25380" xr:uid="{00000000-0005-0000-0000-000024630000}"/>
    <cellStyle name="Normal 2 29" xfId="25381" xr:uid="{00000000-0005-0000-0000-000025630000}"/>
    <cellStyle name="Normal 2 29 2" xfId="25382" xr:uid="{00000000-0005-0000-0000-000026630000}"/>
    <cellStyle name="Normal 2 29 3" xfId="25383" xr:uid="{00000000-0005-0000-0000-000027630000}"/>
    <cellStyle name="Normal 2 3" xfId="26" xr:uid="{00000000-0005-0000-0000-00001A000000}"/>
    <cellStyle name="Normal 2 3 10" xfId="25385" xr:uid="{00000000-0005-0000-0000-000029630000}"/>
    <cellStyle name="Normal 2 3 10 10" xfId="25386" xr:uid="{00000000-0005-0000-0000-00002A630000}"/>
    <cellStyle name="Normal 2 3 10 11" xfId="25387" xr:uid="{00000000-0005-0000-0000-00002B630000}"/>
    <cellStyle name="Normal 2 3 10 12" xfId="25388" xr:uid="{00000000-0005-0000-0000-00002C630000}"/>
    <cellStyle name="Normal 2 3 10 13" xfId="25389" xr:uid="{00000000-0005-0000-0000-00002D630000}"/>
    <cellStyle name="Normal 2 3 10 14" xfId="25390" xr:uid="{00000000-0005-0000-0000-00002E630000}"/>
    <cellStyle name="Normal 2 3 10 2" xfId="25391" xr:uid="{00000000-0005-0000-0000-00002F630000}"/>
    <cellStyle name="Normal 2 3 10 2 10" xfId="25392" xr:uid="{00000000-0005-0000-0000-000030630000}"/>
    <cellStyle name="Normal 2 3 10 2 2" xfId="25393" xr:uid="{00000000-0005-0000-0000-000031630000}"/>
    <cellStyle name="Normal 2 3 10 2 3" xfId="25394" xr:uid="{00000000-0005-0000-0000-000032630000}"/>
    <cellStyle name="Normal 2 3 10 2 4" xfId="25395" xr:uid="{00000000-0005-0000-0000-000033630000}"/>
    <cellStyle name="Normal 2 3 10 2 5" xfId="25396" xr:uid="{00000000-0005-0000-0000-000034630000}"/>
    <cellStyle name="Normal 2 3 10 2 6" xfId="25397" xr:uid="{00000000-0005-0000-0000-000035630000}"/>
    <cellStyle name="Normal 2 3 10 2 7" xfId="25398" xr:uid="{00000000-0005-0000-0000-000036630000}"/>
    <cellStyle name="Normal 2 3 10 2 8" xfId="25399" xr:uid="{00000000-0005-0000-0000-000037630000}"/>
    <cellStyle name="Normal 2 3 10 2 9" xfId="25400" xr:uid="{00000000-0005-0000-0000-000038630000}"/>
    <cellStyle name="Normal 2 3 10 3" xfId="25401" xr:uid="{00000000-0005-0000-0000-000039630000}"/>
    <cellStyle name="Normal 2 3 10 3 10" xfId="25402" xr:uid="{00000000-0005-0000-0000-00003A630000}"/>
    <cellStyle name="Normal 2 3 10 3 2" xfId="25403" xr:uid="{00000000-0005-0000-0000-00003B630000}"/>
    <cellStyle name="Normal 2 3 10 3 3" xfId="25404" xr:uid="{00000000-0005-0000-0000-00003C630000}"/>
    <cellStyle name="Normal 2 3 10 3 4" xfId="25405" xr:uid="{00000000-0005-0000-0000-00003D630000}"/>
    <cellStyle name="Normal 2 3 10 3 5" xfId="25406" xr:uid="{00000000-0005-0000-0000-00003E630000}"/>
    <cellStyle name="Normal 2 3 10 3 6" xfId="25407" xr:uid="{00000000-0005-0000-0000-00003F630000}"/>
    <cellStyle name="Normal 2 3 10 3 7" xfId="25408" xr:uid="{00000000-0005-0000-0000-000040630000}"/>
    <cellStyle name="Normal 2 3 10 3 8" xfId="25409" xr:uid="{00000000-0005-0000-0000-000041630000}"/>
    <cellStyle name="Normal 2 3 10 3 9" xfId="25410" xr:uid="{00000000-0005-0000-0000-000042630000}"/>
    <cellStyle name="Normal 2 3 10 4" xfId="25411" xr:uid="{00000000-0005-0000-0000-000043630000}"/>
    <cellStyle name="Normal 2 3 10 4 10" xfId="25412" xr:uid="{00000000-0005-0000-0000-000044630000}"/>
    <cellStyle name="Normal 2 3 10 4 2" xfId="25413" xr:uid="{00000000-0005-0000-0000-000045630000}"/>
    <cellStyle name="Normal 2 3 10 4 3" xfId="25414" xr:uid="{00000000-0005-0000-0000-000046630000}"/>
    <cellStyle name="Normal 2 3 10 4 4" xfId="25415" xr:uid="{00000000-0005-0000-0000-000047630000}"/>
    <cellStyle name="Normal 2 3 10 4 5" xfId="25416" xr:uid="{00000000-0005-0000-0000-000048630000}"/>
    <cellStyle name="Normal 2 3 10 4 6" xfId="25417" xr:uid="{00000000-0005-0000-0000-000049630000}"/>
    <cellStyle name="Normal 2 3 10 4 7" xfId="25418" xr:uid="{00000000-0005-0000-0000-00004A630000}"/>
    <cellStyle name="Normal 2 3 10 4 8" xfId="25419" xr:uid="{00000000-0005-0000-0000-00004B630000}"/>
    <cellStyle name="Normal 2 3 10 4 9" xfId="25420" xr:uid="{00000000-0005-0000-0000-00004C630000}"/>
    <cellStyle name="Normal 2 3 10 5" xfId="25421" xr:uid="{00000000-0005-0000-0000-00004D630000}"/>
    <cellStyle name="Normal 2 3 10 5 10" xfId="25422" xr:uid="{00000000-0005-0000-0000-00004E630000}"/>
    <cellStyle name="Normal 2 3 10 5 2" xfId="25423" xr:uid="{00000000-0005-0000-0000-00004F630000}"/>
    <cellStyle name="Normal 2 3 10 5 3" xfId="25424" xr:uid="{00000000-0005-0000-0000-000050630000}"/>
    <cellStyle name="Normal 2 3 10 5 4" xfId="25425" xr:uid="{00000000-0005-0000-0000-000051630000}"/>
    <cellStyle name="Normal 2 3 10 5 5" xfId="25426" xr:uid="{00000000-0005-0000-0000-000052630000}"/>
    <cellStyle name="Normal 2 3 10 5 6" xfId="25427" xr:uid="{00000000-0005-0000-0000-000053630000}"/>
    <cellStyle name="Normal 2 3 10 5 7" xfId="25428" xr:uid="{00000000-0005-0000-0000-000054630000}"/>
    <cellStyle name="Normal 2 3 10 5 8" xfId="25429" xr:uid="{00000000-0005-0000-0000-000055630000}"/>
    <cellStyle name="Normal 2 3 10 5 9" xfId="25430" xr:uid="{00000000-0005-0000-0000-000056630000}"/>
    <cellStyle name="Normal 2 3 10 6" xfId="25431" xr:uid="{00000000-0005-0000-0000-000057630000}"/>
    <cellStyle name="Normal 2 3 10 7" xfId="25432" xr:uid="{00000000-0005-0000-0000-000058630000}"/>
    <cellStyle name="Normal 2 3 10 8" xfId="25433" xr:uid="{00000000-0005-0000-0000-000059630000}"/>
    <cellStyle name="Normal 2 3 10 9" xfId="25434" xr:uid="{00000000-0005-0000-0000-00005A630000}"/>
    <cellStyle name="Normal 2 3 11" xfId="25435" xr:uid="{00000000-0005-0000-0000-00005B630000}"/>
    <cellStyle name="Normal 2 3 11 10" xfId="25436" xr:uid="{00000000-0005-0000-0000-00005C630000}"/>
    <cellStyle name="Normal 2 3 11 11" xfId="25437" xr:uid="{00000000-0005-0000-0000-00005D630000}"/>
    <cellStyle name="Normal 2 3 11 12" xfId="25438" xr:uid="{00000000-0005-0000-0000-00005E630000}"/>
    <cellStyle name="Normal 2 3 11 13" xfId="25439" xr:uid="{00000000-0005-0000-0000-00005F630000}"/>
    <cellStyle name="Normal 2 3 11 14" xfId="25440" xr:uid="{00000000-0005-0000-0000-000060630000}"/>
    <cellStyle name="Normal 2 3 11 2" xfId="25441" xr:uid="{00000000-0005-0000-0000-000061630000}"/>
    <cellStyle name="Normal 2 3 11 2 10" xfId="25442" xr:uid="{00000000-0005-0000-0000-000062630000}"/>
    <cellStyle name="Normal 2 3 11 2 2" xfId="25443" xr:uid="{00000000-0005-0000-0000-000063630000}"/>
    <cellStyle name="Normal 2 3 11 2 3" xfId="25444" xr:uid="{00000000-0005-0000-0000-000064630000}"/>
    <cellStyle name="Normal 2 3 11 2 4" xfId="25445" xr:uid="{00000000-0005-0000-0000-000065630000}"/>
    <cellStyle name="Normal 2 3 11 2 5" xfId="25446" xr:uid="{00000000-0005-0000-0000-000066630000}"/>
    <cellStyle name="Normal 2 3 11 2 6" xfId="25447" xr:uid="{00000000-0005-0000-0000-000067630000}"/>
    <cellStyle name="Normal 2 3 11 2 7" xfId="25448" xr:uid="{00000000-0005-0000-0000-000068630000}"/>
    <cellStyle name="Normal 2 3 11 2 8" xfId="25449" xr:uid="{00000000-0005-0000-0000-000069630000}"/>
    <cellStyle name="Normal 2 3 11 2 9" xfId="25450" xr:uid="{00000000-0005-0000-0000-00006A630000}"/>
    <cellStyle name="Normal 2 3 11 3" xfId="25451" xr:uid="{00000000-0005-0000-0000-00006B630000}"/>
    <cellStyle name="Normal 2 3 11 3 10" xfId="25452" xr:uid="{00000000-0005-0000-0000-00006C630000}"/>
    <cellStyle name="Normal 2 3 11 3 2" xfId="25453" xr:uid="{00000000-0005-0000-0000-00006D630000}"/>
    <cellStyle name="Normal 2 3 11 3 3" xfId="25454" xr:uid="{00000000-0005-0000-0000-00006E630000}"/>
    <cellStyle name="Normal 2 3 11 3 4" xfId="25455" xr:uid="{00000000-0005-0000-0000-00006F630000}"/>
    <cellStyle name="Normal 2 3 11 3 5" xfId="25456" xr:uid="{00000000-0005-0000-0000-000070630000}"/>
    <cellStyle name="Normal 2 3 11 3 6" xfId="25457" xr:uid="{00000000-0005-0000-0000-000071630000}"/>
    <cellStyle name="Normal 2 3 11 3 7" xfId="25458" xr:uid="{00000000-0005-0000-0000-000072630000}"/>
    <cellStyle name="Normal 2 3 11 3 8" xfId="25459" xr:uid="{00000000-0005-0000-0000-000073630000}"/>
    <cellStyle name="Normal 2 3 11 3 9" xfId="25460" xr:uid="{00000000-0005-0000-0000-000074630000}"/>
    <cellStyle name="Normal 2 3 11 4" xfId="25461" xr:uid="{00000000-0005-0000-0000-000075630000}"/>
    <cellStyle name="Normal 2 3 11 4 10" xfId="25462" xr:uid="{00000000-0005-0000-0000-000076630000}"/>
    <cellStyle name="Normal 2 3 11 4 2" xfId="25463" xr:uid="{00000000-0005-0000-0000-000077630000}"/>
    <cellStyle name="Normal 2 3 11 4 3" xfId="25464" xr:uid="{00000000-0005-0000-0000-000078630000}"/>
    <cellStyle name="Normal 2 3 11 4 4" xfId="25465" xr:uid="{00000000-0005-0000-0000-000079630000}"/>
    <cellStyle name="Normal 2 3 11 4 5" xfId="25466" xr:uid="{00000000-0005-0000-0000-00007A630000}"/>
    <cellStyle name="Normal 2 3 11 4 6" xfId="25467" xr:uid="{00000000-0005-0000-0000-00007B630000}"/>
    <cellStyle name="Normal 2 3 11 4 7" xfId="25468" xr:uid="{00000000-0005-0000-0000-00007C630000}"/>
    <cellStyle name="Normal 2 3 11 4 8" xfId="25469" xr:uid="{00000000-0005-0000-0000-00007D630000}"/>
    <cellStyle name="Normal 2 3 11 4 9" xfId="25470" xr:uid="{00000000-0005-0000-0000-00007E630000}"/>
    <cellStyle name="Normal 2 3 11 5" xfId="25471" xr:uid="{00000000-0005-0000-0000-00007F630000}"/>
    <cellStyle name="Normal 2 3 11 5 10" xfId="25472" xr:uid="{00000000-0005-0000-0000-000080630000}"/>
    <cellStyle name="Normal 2 3 11 5 2" xfId="25473" xr:uid="{00000000-0005-0000-0000-000081630000}"/>
    <cellStyle name="Normal 2 3 11 5 3" xfId="25474" xr:uid="{00000000-0005-0000-0000-000082630000}"/>
    <cellStyle name="Normal 2 3 11 5 4" xfId="25475" xr:uid="{00000000-0005-0000-0000-000083630000}"/>
    <cellStyle name="Normal 2 3 11 5 5" xfId="25476" xr:uid="{00000000-0005-0000-0000-000084630000}"/>
    <cellStyle name="Normal 2 3 11 5 6" xfId="25477" xr:uid="{00000000-0005-0000-0000-000085630000}"/>
    <cellStyle name="Normal 2 3 11 5 7" xfId="25478" xr:uid="{00000000-0005-0000-0000-000086630000}"/>
    <cellStyle name="Normal 2 3 11 5 8" xfId="25479" xr:uid="{00000000-0005-0000-0000-000087630000}"/>
    <cellStyle name="Normal 2 3 11 5 9" xfId="25480" xr:uid="{00000000-0005-0000-0000-000088630000}"/>
    <cellStyle name="Normal 2 3 11 6" xfId="25481" xr:uid="{00000000-0005-0000-0000-000089630000}"/>
    <cellStyle name="Normal 2 3 11 7" xfId="25482" xr:uid="{00000000-0005-0000-0000-00008A630000}"/>
    <cellStyle name="Normal 2 3 11 8" xfId="25483" xr:uid="{00000000-0005-0000-0000-00008B630000}"/>
    <cellStyle name="Normal 2 3 11 9" xfId="25484" xr:uid="{00000000-0005-0000-0000-00008C630000}"/>
    <cellStyle name="Normal 2 3 12" xfId="25485" xr:uid="{00000000-0005-0000-0000-00008D630000}"/>
    <cellStyle name="Normal 2 3 12 10" xfId="25486" xr:uid="{00000000-0005-0000-0000-00008E630000}"/>
    <cellStyle name="Normal 2 3 12 11" xfId="25487" xr:uid="{00000000-0005-0000-0000-00008F630000}"/>
    <cellStyle name="Normal 2 3 12 12" xfId="25488" xr:uid="{00000000-0005-0000-0000-000090630000}"/>
    <cellStyle name="Normal 2 3 12 13" xfId="25489" xr:uid="{00000000-0005-0000-0000-000091630000}"/>
    <cellStyle name="Normal 2 3 12 14" xfId="25490" xr:uid="{00000000-0005-0000-0000-000092630000}"/>
    <cellStyle name="Normal 2 3 12 2" xfId="25491" xr:uid="{00000000-0005-0000-0000-000093630000}"/>
    <cellStyle name="Normal 2 3 12 2 10" xfId="25492" xr:uid="{00000000-0005-0000-0000-000094630000}"/>
    <cellStyle name="Normal 2 3 12 2 2" xfId="25493" xr:uid="{00000000-0005-0000-0000-000095630000}"/>
    <cellStyle name="Normal 2 3 12 2 3" xfId="25494" xr:uid="{00000000-0005-0000-0000-000096630000}"/>
    <cellStyle name="Normal 2 3 12 2 4" xfId="25495" xr:uid="{00000000-0005-0000-0000-000097630000}"/>
    <cellStyle name="Normal 2 3 12 2 5" xfId="25496" xr:uid="{00000000-0005-0000-0000-000098630000}"/>
    <cellStyle name="Normal 2 3 12 2 6" xfId="25497" xr:uid="{00000000-0005-0000-0000-000099630000}"/>
    <cellStyle name="Normal 2 3 12 2 7" xfId="25498" xr:uid="{00000000-0005-0000-0000-00009A630000}"/>
    <cellStyle name="Normal 2 3 12 2 8" xfId="25499" xr:uid="{00000000-0005-0000-0000-00009B630000}"/>
    <cellStyle name="Normal 2 3 12 2 9" xfId="25500" xr:uid="{00000000-0005-0000-0000-00009C630000}"/>
    <cellStyle name="Normal 2 3 12 3" xfId="25501" xr:uid="{00000000-0005-0000-0000-00009D630000}"/>
    <cellStyle name="Normal 2 3 12 3 10" xfId="25502" xr:uid="{00000000-0005-0000-0000-00009E630000}"/>
    <cellStyle name="Normal 2 3 12 3 2" xfId="25503" xr:uid="{00000000-0005-0000-0000-00009F630000}"/>
    <cellStyle name="Normal 2 3 12 3 3" xfId="25504" xr:uid="{00000000-0005-0000-0000-0000A0630000}"/>
    <cellStyle name="Normal 2 3 12 3 4" xfId="25505" xr:uid="{00000000-0005-0000-0000-0000A1630000}"/>
    <cellStyle name="Normal 2 3 12 3 5" xfId="25506" xr:uid="{00000000-0005-0000-0000-0000A2630000}"/>
    <cellStyle name="Normal 2 3 12 3 6" xfId="25507" xr:uid="{00000000-0005-0000-0000-0000A3630000}"/>
    <cellStyle name="Normal 2 3 12 3 7" xfId="25508" xr:uid="{00000000-0005-0000-0000-0000A4630000}"/>
    <cellStyle name="Normal 2 3 12 3 8" xfId="25509" xr:uid="{00000000-0005-0000-0000-0000A5630000}"/>
    <cellStyle name="Normal 2 3 12 3 9" xfId="25510" xr:uid="{00000000-0005-0000-0000-0000A6630000}"/>
    <cellStyle name="Normal 2 3 12 4" xfId="25511" xr:uid="{00000000-0005-0000-0000-0000A7630000}"/>
    <cellStyle name="Normal 2 3 12 4 10" xfId="25512" xr:uid="{00000000-0005-0000-0000-0000A8630000}"/>
    <cellStyle name="Normal 2 3 12 4 2" xfId="25513" xr:uid="{00000000-0005-0000-0000-0000A9630000}"/>
    <cellStyle name="Normal 2 3 12 4 3" xfId="25514" xr:uid="{00000000-0005-0000-0000-0000AA630000}"/>
    <cellStyle name="Normal 2 3 12 4 4" xfId="25515" xr:uid="{00000000-0005-0000-0000-0000AB630000}"/>
    <cellStyle name="Normal 2 3 12 4 5" xfId="25516" xr:uid="{00000000-0005-0000-0000-0000AC630000}"/>
    <cellStyle name="Normal 2 3 12 4 6" xfId="25517" xr:uid="{00000000-0005-0000-0000-0000AD630000}"/>
    <cellStyle name="Normal 2 3 12 4 7" xfId="25518" xr:uid="{00000000-0005-0000-0000-0000AE630000}"/>
    <cellStyle name="Normal 2 3 12 4 8" xfId="25519" xr:uid="{00000000-0005-0000-0000-0000AF630000}"/>
    <cellStyle name="Normal 2 3 12 4 9" xfId="25520" xr:uid="{00000000-0005-0000-0000-0000B0630000}"/>
    <cellStyle name="Normal 2 3 12 5" xfId="25521" xr:uid="{00000000-0005-0000-0000-0000B1630000}"/>
    <cellStyle name="Normal 2 3 12 5 10" xfId="25522" xr:uid="{00000000-0005-0000-0000-0000B2630000}"/>
    <cellStyle name="Normal 2 3 12 5 2" xfId="25523" xr:uid="{00000000-0005-0000-0000-0000B3630000}"/>
    <cellStyle name="Normal 2 3 12 5 3" xfId="25524" xr:uid="{00000000-0005-0000-0000-0000B4630000}"/>
    <cellStyle name="Normal 2 3 12 5 4" xfId="25525" xr:uid="{00000000-0005-0000-0000-0000B5630000}"/>
    <cellStyle name="Normal 2 3 12 5 5" xfId="25526" xr:uid="{00000000-0005-0000-0000-0000B6630000}"/>
    <cellStyle name="Normal 2 3 12 5 6" xfId="25527" xr:uid="{00000000-0005-0000-0000-0000B7630000}"/>
    <cellStyle name="Normal 2 3 12 5 7" xfId="25528" xr:uid="{00000000-0005-0000-0000-0000B8630000}"/>
    <cellStyle name="Normal 2 3 12 5 8" xfId="25529" xr:uid="{00000000-0005-0000-0000-0000B9630000}"/>
    <cellStyle name="Normal 2 3 12 5 9" xfId="25530" xr:uid="{00000000-0005-0000-0000-0000BA630000}"/>
    <cellStyle name="Normal 2 3 12 6" xfId="25531" xr:uid="{00000000-0005-0000-0000-0000BB630000}"/>
    <cellStyle name="Normal 2 3 12 7" xfId="25532" xr:uid="{00000000-0005-0000-0000-0000BC630000}"/>
    <cellStyle name="Normal 2 3 12 8" xfId="25533" xr:uid="{00000000-0005-0000-0000-0000BD630000}"/>
    <cellStyle name="Normal 2 3 12 9" xfId="25534" xr:uid="{00000000-0005-0000-0000-0000BE630000}"/>
    <cellStyle name="Normal 2 3 13" xfId="25535" xr:uid="{00000000-0005-0000-0000-0000BF630000}"/>
    <cellStyle name="Normal 2 3 13 10" xfId="25536" xr:uid="{00000000-0005-0000-0000-0000C0630000}"/>
    <cellStyle name="Normal 2 3 13 11" xfId="25537" xr:uid="{00000000-0005-0000-0000-0000C1630000}"/>
    <cellStyle name="Normal 2 3 13 12" xfId="25538" xr:uid="{00000000-0005-0000-0000-0000C2630000}"/>
    <cellStyle name="Normal 2 3 13 13" xfId="25539" xr:uid="{00000000-0005-0000-0000-0000C3630000}"/>
    <cellStyle name="Normal 2 3 13 14" xfId="25540" xr:uid="{00000000-0005-0000-0000-0000C4630000}"/>
    <cellStyle name="Normal 2 3 13 2" xfId="25541" xr:uid="{00000000-0005-0000-0000-0000C5630000}"/>
    <cellStyle name="Normal 2 3 13 2 10" xfId="25542" xr:uid="{00000000-0005-0000-0000-0000C6630000}"/>
    <cellStyle name="Normal 2 3 13 2 2" xfId="25543" xr:uid="{00000000-0005-0000-0000-0000C7630000}"/>
    <cellStyle name="Normal 2 3 13 2 3" xfId="25544" xr:uid="{00000000-0005-0000-0000-0000C8630000}"/>
    <cellStyle name="Normal 2 3 13 2 4" xfId="25545" xr:uid="{00000000-0005-0000-0000-0000C9630000}"/>
    <cellStyle name="Normal 2 3 13 2 5" xfId="25546" xr:uid="{00000000-0005-0000-0000-0000CA630000}"/>
    <cellStyle name="Normal 2 3 13 2 6" xfId="25547" xr:uid="{00000000-0005-0000-0000-0000CB630000}"/>
    <cellStyle name="Normal 2 3 13 2 7" xfId="25548" xr:uid="{00000000-0005-0000-0000-0000CC630000}"/>
    <cellStyle name="Normal 2 3 13 2 8" xfId="25549" xr:uid="{00000000-0005-0000-0000-0000CD630000}"/>
    <cellStyle name="Normal 2 3 13 2 9" xfId="25550" xr:uid="{00000000-0005-0000-0000-0000CE630000}"/>
    <cellStyle name="Normal 2 3 13 3" xfId="25551" xr:uid="{00000000-0005-0000-0000-0000CF630000}"/>
    <cellStyle name="Normal 2 3 13 3 10" xfId="25552" xr:uid="{00000000-0005-0000-0000-0000D0630000}"/>
    <cellStyle name="Normal 2 3 13 3 2" xfId="25553" xr:uid="{00000000-0005-0000-0000-0000D1630000}"/>
    <cellStyle name="Normal 2 3 13 3 3" xfId="25554" xr:uid="{00000000-0005-0000-0000-0000D2630000}"/>
    <cellStyle name="Normal 2 3 13 3 4" xfId="25555" xr:uid="{00000000-0005-0000-0000-0000D3630000}"/>
    <cellStyle name="Normal 2 3 13 3 5" xfId="25556" xr:uid="{00000000-0005-0000-0000-0000D4630000}"/>
    <cellStyle name="Normal 2 3 13 3 6" xfId="25557" xr:uid="{00000000-0005-0000-0000-0000D5630000}"/>
    <cellStyle name="Normal 2 3 13 3 7" xfId="25558" xr:uid="{00000000-0005-0000-0000-0000D6630000}"/>
    <cellStyle name="Normal 2 3 13 3 8" xfId="25559" xr:uid="{00000000-0005-0000-0000-0000D7630000}"/>
    <cellStyle name="Normal 2 3 13 3 9" xfId="25560" xr:uid="{00000000-0005-0000-0000-0000D8630000}"/>
    <cellStyle name="Normal 2 3 13 4" xfId="25561" xr:uid="{00000000-0005-0000-0000-0000D9630000}"/>
    <cellStyle name="Normal 2 3 13 4 10" xfId="25562" xr:uid="{00000000-0005-0000-0000-0000DA630000}"/>
    <cellStyle name="Normal 2 3 13 4 2" xfId="25563" xr:uid="{00000000-0005-0000-0000-0000DB630000}"/>
    <cellStyle name="Normal 2 3 13 4 3" xfId="25564" xr:uid="{00000000-0005-0000-0000-0000DC630000}"/>
    <cellStyle name="Normal 2 3 13 4 4" xfId="25565" xr:uid="{00000000-0005-0000-0000-0000DD630000}"/>
    <cellStyle name="Normal 2 3 13 4 5" xfId="25566" xr:uid="{00000000-0005-0000-0000-0000DE630000}"/>
    <cellStyle name="Normal 2 3 13 4 6" xfId="25567" xr:uid="{00000000-0005-0000-0000-0000DF630000}"/>
    <cellStyle name="Normal 2 3 13 4 7" xfId="25568" xr:uid="{00000000-0005-0000-0000-0000E0630000}"/>
    <cellStyle name="Normal 2 3 13 4 8" xfId="25569" xr:uid="{00000000-0005-0000-0000-0000E1630000}"/>
    <cellStyle name="Normal 2 3 13 4 9" xfId="25570" xr:uid="{00000000-0005-0000-0000-0000E2630000}"/>
    <cellStyle name="Normal 2 3 13 5" xfId="25571" xr:uid="{00000000-0005-0000-0000-0000E3630000}"/>
    <cellStyle name="Normal 2 3 13 5 10" xfId="25572" xr:uid="{00000000-0005-0000-0000-0000E4630000}"/>
    <cellStyle name="Normal 2 3 13 5 2" xfId="25573" xr:uid="{00000000-0005-0000-0000-0000E5630000}"/>
    <cellStyle name="Normal 2 3 13 5 3" xfId="25574" xr:uid="{00000000-0005-0000-0000-0000E6630000}"/>
    <cellStyle name="Normal 2 3 13 5 4" xfId="25575" xr:uid="{00000000-0005-0000-0000-0000E7630000}"/>
    <cellStyle name="Normal 2 3 13 5 5" xfId="25576" xr:uid="{00000000-0005-0000-0000-0000E8630000}"/>
    <cellStyle name="Normal 2 3 13 5 6" xfId="25577" xr:uid="{00000000-0005-0000-0000-0000E9630000}"/>
    <cellStyle name="Normal 2 3 13 5 7" xfId="25578" xr:uid="{00000000-0005-0000-0000-0000EA630000}"/>
    <cellStyle name="Normal 2 3 13 5 8" xfId="25579" xr:uid="{00000000-0005-0000-0000-0000EB630000}"/>
    <cellStyle name="Normal 2 3 13 5 9" xfId="25580" xr:uid="{00000000-0005-0000-0000-0000EC630000}"/>
    <cellStyle name="Normal 2 3 13 6" xfId="25581" xr:uid="{00000000-0005-0000-0000-0000ED630000}"/>
    <cellStyle name="Normal 2 3 13 7" xfId="25582" xr:uid="{00000000-0005-0000-0000-0000EE630000}"/>
    <cellStyle name="Normal 2 3 13 8" xfId="25583" xr:uid="{00000000-0005-0000-0000-0000EF630000}"/>
    <cellStyle name="Normal 2 3 13 9" xfId="25584" xr:uid="{00000000-0005-0000-0000-0000F0630000}"/>
    <cellStyle name="Normal 2 3 14" xfId="25585" xr:uid="{00000000-0005-0000-0000-0000F1630000}"/>
    <cellStyle name="Normal 2 3 14 10" xfId="25586" xr:uid="{00000000-0005-0000-0000-0000F2630000}"/>
    <cellStyle name="Normal 2 3 14 11" xfId="25587" xr:uid="{00000000-0005-0000-0000-0000F3630000}"/>
    <cellStyle name="Normal 2 3 14 12" xfId="25588" xr:uid="{00000000-0005-0000-0000-0000F4630000}"/>
    <cellStyle name="Normal 2 3 14 13" xfId="25589" xr:uid="{00000000-0005-0000-0000-0000F5630000}"/>
    <cellStyle name="Normal 2 3 14 14" xfId="25590" xr:uid="{00000000-0005-0000-0000-0000F6630000}"/>
    <cellStyle name="Normal 2 3 14 2" xfId="25591" xr:uid="{00000000-0005-0000-0000-0000F7630000}"/>
    <cellStyle name="Normal 2 3 14 2 10" xfId="25592" xr:uid="{00000000-0005-0000-0000-0000F8630000}"/>
    <cellStyle name="Normal 2 3 14 2 2" xfId="25593" xr:uid="{00000000-0005-0000-0000-0000F9630000}"/>
    <cellStyle name="Normal 2 3 14 2 3" xfId="25594" xr:uid="{00000000-0005-0000-0000-0000FA630000}"/>
    <cellStyle name="Normal 2 3 14 2 4" xfId="25595" xr:uid="{00000000-0005-0000-0000-0000FB630000}"/>
    <cellStyle name="Normal 2 3 14 2 5" xfId="25596" xr:uid="{00000000-0005-0000-0000-0000FC630000}"/>
    <cellStyle name="Normal 2 3 14 2 6" xfId="25597" xr:uid="{00000000-0005-0000-0000-0000FD630000}"/>
    <cellStyle name="Normal 2 3 14 2 7" xfId="25598" xr:uid="{00000000-0005-0000-0000-0000FE630000}"/>
    <cellStyle name="Normal 2 3 14 2 8" xfId="25599" xr:uid="{00000000-0005-0000-0000-0000FF630000}"/>
    <cellStyle name="Normal 2 3 14 2 9" xfId="25600" xr:uid="{00000000-0005-0000-0000-000000640000}"/>
    <cellStyle name="Normal 2 3 14 3" xfId="25601" xr:uid="{00000000-0005-0000-0000-000001640000}"/>
    <cellStyle name="Normal 2 3 14 3 10" xfId="25602" xr:uid="{00000000-0005-0000-0000-000002640000}"/>
    <cellStyle name="Normal 2 3 14 3 2" xfId="25603" xr:uid="{00000000-0005-0000-0000-000003640000}"/>
    <cellStyle name="Normal 2 3 14 3 3" xfId="25604" xr:uid="{00000000-0005-0000-0000-000004640000}"/>
    <cellStyle name="Normal 2 3 14 3 4" xfId="25605" xr:uid="{00000000-0005-0000-0000-000005640000}"/>
    <cellStyle name="Normal 2 3 14 3 5" xfId="25606" xr:uid="{00000000-0005-0000-0000-000006640000}"/>
    <cellStyle name="Normal 2 3 14 3 6" xfId="25607" xr:uid="{00000000-0005-0000-0000-000007640000}"/>
    <cellStyle name="Normal 2 3 14 3 7" xfId="25608" xr:uid="{00000000-0005-0000-0000-000008640000}"/>
    <cellStyle name="Normal 2 3 14 3 8" xfId="25609" xr:uid="{00000000-0005-0000-0000-000009640000}"/>
    <cellStyle name="Normal 2 3 14 3 9" xfId="25610" xr:uid="{00000000-0005-0000-0000-00000A640000}"/>
    <cellStyle name="Normal 2 3 14 4" xfId="25611" xr:uid="{00000000-0005-0000-0000-00000B640000}"/>
    <cellStyle name="Normal 2 3 14 4 10" xfId="25612" xr:uid="{00000000-0005-0000-0000-00000C640000}"/>
    <cellStyle name="Normal 2 3 14 4 2" xfId="25613" xr:uid="{00000000-0005-0000-0000-00000D640000}"/>
    <cellStyle name="Normal 2 3 14 4 3" xfId="25614" xr:uid="{00000000-0005-0000-0000-00000E640000}"/>
    <cellStyle name="Normal 2 3 14 4 4" xfId="25615" xr:uid="{00000000-0005-0000-0000-00000F640000}"/>
    <cellStyle name="Normal 2 3 14 4 5" xfId="25616" xr:uid="{00000000-0005-0000-0000-000010640000}"/>
    <cellStyle name="Normal 2 3 14 4 6" xfId="25617" xr:uid="{00000000-0005-0000-0000-000011640000}"/>
    <cellStyle name="Normal 2 3 14 4 7" xfId="25618" xr:uid="{00000000-0005-0000-0000-000012640000}"/>
    <cellStyle name="Normal 2 3 14 4 8" xfId="25619" xr:uid="{00000000-0005-0000-0000-000013640000}"/>
    <cellStyle name="Normal 2 3 14 4 9" xfId="25620" xr:uid="{00000000-0005-0000-0000-000014640000}"/>
    <cellStyle name="Normal 2 3 14 5" xfId="25621" xr:uid="{00000000-0005-0000-0000-000015640000}"/>
    <cellStyle name="Normal 2 3 14 5 10" xfId="25622" xr:uid="{00000000-0005-0000-0000-000016640000}"/>
    <cellStyle name="Normal 2 3 14 5 2" xfId="25623" xr:uid="{00000000-0005-0000-0000-000017640000}"/>
    <cellStyle name="Normal 2 3 14 5 3" xfId="25624" xr:uid="{00000000-0005-0000-0000-000018640000}"/>
    <cellStyle name="Normal 2 3 14 5 4" xfId="25625" xr:uid="{00000000-0005-0000-0000-000019640000}"/>
    <cellStyle name="Normal 2 3 14 5 5" xfId="25626" xr:uid="{00000000-0005-0000-0000-00001A640000}"/>
    <cellStyle name="Normal 2 3 14 5 6" xfId="25627" xr:uid="{00000000-0005-0000-0000-00001B640000}"/>
    <cellStyle name="Normal 2 3 14 5 7" xfId="25628" xr:uid="{00000000-0005-0000-0000-00001C640000}"/>
    <cellStyle name="Normal 2 3 14 5 8" xfId="25629" xr:uid="{00000000-0005-0000-0000-00001D640000}"/>
    <cellStyle name="Normal 2 3 14 5 9" xfId="25630" xr:uid="{00000000-0005-0000-0000-00001E640000}"/>
    <cellStyle name="Normal 2 3 14 6" xfId="25631" xr:uid="{00000000-0005-0000-0000-00001F640000}"/>
    <cellStyle name="Normal 2 3 14 7" xfId="25632" xr:uid="{00000000-0005-0000-0000-000020640000}"/>
    <cellStyle name="Normal 2 3 14 8" xfId="25633" xr:uid="{00000000-0005-0000-0000-000021640000}"/>
    <cellStyle name="Normal 2 3 14 9" xfId="25634" xr:uid="{00000000-0005-0000-0000-000022640000}"/>
    <cellStyle name="Normal 2 3 15" xfId="25635" xr:uid="{00000000-0005-0000-0000-000023640000}"/>
    <cellStyle name="Normal 2 3 15 10" xfId="25636" xr:uid="{00000000-0005-0000-0000-000024640000}"/>
    <cellStyle name="Normal 2 3 15 11" xfId="25637" xr:uid="{00000000-0005-0000-0000-000025640000}"/>
    <cellStyle name="Normal 2 3 15 12" xfId="25638" xr:uid="{00000000-0005-0000-0000-000026640000}"/>
    <cellStyle name="Normal 2 3 15 13" xfId="25639" xr:uid="{00000000-0005-0000-0000-000027640000}"/>
    <cellStyle name="Normal 2 3 15 14" xfId="25640" xr:uid="{00000000-0005-0000-0000-000028640000}"/>
    <cellStyle name="Normal 2 3 15 2" xfId="25641" xr:uid="{00000000-0005-0000-0000-000029640000}"/>
    <cellStyle name="Normal 2 3 15 2 10" xfId="25642" xr:uid="{00000000-0005-0000-0000-00002A640000}"/>
    <cellStyle name="Normal 2 3 15 2 2" xfId="25643" xr:uid="{00000000-0005-0000-0000-00002B640000}"/>
    <cellStyle name="Normal 2 3 15 2 3" xfId="25644" xr:uid="{00000000-0005-0000-0000-00002C640000}"/>
    <cellStyle name="Normal 2 3 15 2 4" xfId="25645" xr:uid="{00000000-0005-0000-0000-00002D640000}"/>
    <cellStyle name="Normal 2 3 15 2 5" xfId="25646" xr:uid="{00000000-0005-0000-0000-00002E640000}"/>
    <cellStyle name="Normal 2 3 15 2 6" xfId="25647" xr:uid="{00000000-0005-0000-0000-00002F640000}"/>
    <cellStyle name="Normal 2 3 15 2 7" xfId="25648" xr:uid="{00000000-0005-0000-0000-000030640000}"/>
    <cellStyle name="Normal 2 3 15 2 8" xfId="25649" xr:uid="{00000000-0005-0000-0000-000031640000}"/>
    <cellStyle name="Normal 2 3 15 2 9" xfId="25650" xr:uid="{00000000-0005-0000-0000-000032640000}"/>
    <cellStyle name="Normal 2 3 15 3" xfId="25651" xr:uid="{00000000-0005-0000-0000-000033640000}"/>
    <cellStyle name="Normal 2 3 15 3 10" xfId="25652" xr:uid="{00000000-0005-0000-0000-000034640000}"/>
    <cellStyle name="Normal 2 3 15 3 2" xfId="25653" xr:uid="{00000000-0005-0000-0000-000035640000}"/>
    <cellStyle name="Normal 2 3 15 3 3" xfId="25654" xr:uid="{00000000-0005-0000-0000-000036640000}"/>
    <cellStyle name="Normal 2 3 15 3 4" xfId="25655" xr:uid="{00000000-0005-0000-0000-000037640000}"/>
    <cellStyle name="Normal 2 3 15 3 5" xfId="25656" xr:uid="{00000000-0005-0000-0000-000038640000}"/>
    <cellStyle name="Normal 2 3 15 3 6" xfId="25657" xr:uid="{00000000-0005-0000-0000-000039640000}"/>
    <cellStyle name="Normal 2 3 15 3 7" xfId="25658" xr:uid="{00000000-0005-0000-0000-00003A640000}"/>
    <cellStyle name="Normal 2 3 15 3 8" xfId="25659" xr:uid="{00000000-0005-0000-0000-00003B640000}"/>
    <cellStyle name="Normal 2 3 15 3 9" xfId="25660" xr:uid="{00000000-0005-0000-0000-00003C640000}"/>
    <cellStyle name="Normal 2 3 15 4" xfId="25661" xr:uid="{00000000-0005-0000-0000-00003D640000}"/>
    <cellStyle name="Normal 2 3 15 4 10" xfId="25662" xr:uid="{00000000-0005-0000-0000-00003E640000}"/>
    <cellStyle name="Normal 2 3 15 4 2" xfId="25663" xr:uid="{00000000-0005-0000-0000-00003F640000}"/>
    <cellStyle name="Normal 2 3 15 4 3" xfId="25664" xr:uid="{00000000-0005-0000-0000-000040640000}"/>
    <cellStyle name="Normal 2 3 15 4 4" xfId="25665" xr:uid="{00000000-0005-0000-0000-000041640000}"/>
    <cellStyle name="Normal 2 3 15 4 5" xfId="25666" xr:uid="{00000000-0005-0000-0000-000042640000}"/>
    <cellStyle name="Normal 2 3 15 4 6" xfId="25667" xr:uid="{00000000-0005-0000-0000-000043640000}"/>
    <cellStyle name="Normal 2 3 15 4 7" xfId="25668" xr:uid="{00000000-0005-0000-0000-000044640000}"/>
    <cellStyle name="Normal 2 3 15 4 8" xfId="25669" xr:uid="{00000000-0005-0000-0000-000045640000}"/>
    <cellStyle name="Normal 2 3 15 4 9" xfId="25670" xr:uid="{00000000-0005-0000-0000-000046640000}"/>
    <cellStyle name="Normal 2 3 15 5" xfId="25671" xr:uid="{00000000-0005-0000-0000-000047640000}"/>
    <cellStyle name="Normal 2 3 15 5 10" xfId="25672" xr:uid="{00000000-0005-0000-0000-000048640000}"/>
    <cellStyle name="Normal 2 3 15 5 2" xfId="25673" xr:uid="{00000000-0005-0000-0000-000049640000}"/>
    <cellStyle name="Normal 2 3 15 5 3" xfId="25674" xr:uid="{00000000-0005-0000-0000-00004A640000}"/>
    <cellStyle name="Normal 2 3 15 5 4" xfId="25675" xr:uid="{00000000-0005-0000-0000-00004B640000}"/>
    <cellStyle name="Normal 2 3 15 5 5" xfId="25676" xr:uid="{00000000-0005-0000-0000-00004C640000}"/>
    <cellStyle name="Normal 2 3 15 5 6" xfId="25677" xr:uid="{00000000-0005-0000-0000-00004D640000}"/>
    <cellStyle name="Normal 2 3 15 5 7" xfId="25678" xr:uid="{00000000-0005-0000-0000-00004E640000}"/>
    <cellStyle name="Normal 2 3 15 5 8" xfId="25679" xr:uid="{00000000-0005-0000-0000-00004F640000}"/>
    <cellStyle name="Normal 2 3 15 5 9" xfId="25680" xr:uid="{00000000-0005-0000-0000-000050640000}"/>
    <cellStyle name="Normal 2 3 15 6" xfId="25681" xr:uid="{00000000-0005-0000-0000-000051640000}"/>
    <cellStyle name="Normal 2 3 15 7" xfId="25682" xr:uid="{00000000-0005-0000-0000-000052640000}"/>
    <cellStyle name="Normal 2 3 15 8" xfId="25683" xr:uid="{00000000-0005-0000-0000-000053640000}"/>
    <cellStyle name="Normal 2 3 15 9" xfId="25684" xr:uid="{00000000-0005-0000-0000-000054640000}"/>
    <cellStyle name="Normal 2 3 16" xfId="25685" xr:uid="{00000000-0005-0000-0000-000055640000}"/>
    <cellStyle name="Normal 2 3 16 10" xfId="25686" xr:uid="{00000000-0005-0000-0000-000056640000}"/>
    <cellStyle name="Normal 2 3 16 11" xfId="25687" xr:uid="{00000000-0005-0000-0000-000057640000}"/>
    <cellStyle name="Normal 2 3 16 12" xfId="25688" xr:uid="{00000000-0005-0000-0000-000058640000}"/>
    <cellStyle name="Normal 2 3 16 13" xfId="25689" xr:uid="{00000000-0005-0000-0000-000059640000}"/>
    <cellStyle name="Normal 2 3 16 14" xfId="25690" xr:uid="{00000000-0005-0000-0000-00005A640000}"/>
    <cellStyle name="Normal 2 3 16 2" xfId="25691" xr:uid="{00000000-0005-0000-0000-00005B640000}"/>
    <cellStyle name="Normal 2 3 16 2 10" xfId="25692" xr:uid="{00000000-0005-0000-0000-00005C640000}"/>
    <cellStyle name="Normal 2 3 16 2 2" xfId="25693" xr:uid="{00000000-0005-0000-0000-00005D640000}"/>
    <cellStyle name="Normal 2 3 16 2 3" xfId="25694" xr:uid="{00000000-0005-0000-0000-00005E640000}"/>
    <cellStyle name="Normal 2 3 16 2 4" xfId="25695" xr:uid="{00000000-0005-0000-0000-00005F640000}"/>
    <cellStyle name="Normal 2 3 16 2 5" xfId="25696" xr:uid="{00000000-0005-0000-0000-000060640000}"/>
    <cellStyle name="Normal 2 3 16 2 6" xfId="25697" xr:uid="{00000000-0005-0000-0000-000061640000}"/>
    <cellStyle name="Normal 2 3 16 2 7" xfId="25698" xr:uid="{00000000-0005-0000-0000-000062640000}"/>
    <cellStyle name="Normal 2 3 16 2 8" xfId="25699" xr:uid="{00000000-0005-0000-0000-000063640000}"/>
    <cellStyle name="Normal 2 3 16 2 9" xfId="25700" xr:uid="{00000000-0005-0000-0000-000064640000}"/>
    <cellStyle name="Normal 2 3 16 3" xfId="25701" xr:uid="{00000000-0005-0000-0000-000065640000}"/>
    <cellStyle name="Normal 2 3 16 3 10" xfId="25702" xr:uid="{00000000-0005-0000-0000-000066640000}"/>
    <cellStyle name="Normal 2 3 16 3 2" xfId="25703" xr:uid="{00000000-0005-0000-0000-000067640000}"/>
    <cellStyle name="Normal 2 3 16 3 3" xfId="25704" xr:uid="{00000000-0005-0000-0000-000068640000}"/>
    <cellStyle name="Normal 2 3 16 3 4" xfId="25705" xr:uid="{00000000-0005-0000-0000-000069640000}"/>
    <cellStyle name="Normal 2 3 16 3 5" xfId="25706" xr:uid="{00000000-0005-0000-0000-00006A640000}"/>
    <cellStyle name="Normal 2 3 16 3 6" xfId="25707" xr:uid="{00000000-0005-0000-0000-00006B640000}"/>
    <cellStyle name="Normal 2 3 16 3 7" xfId="25708" xr:uid="{00000000-0005-0000-0000-00006C640000}"/>
    <cellStyle name="Normal 2 3 16 3 8" xfId="25709" xr:uid="{00000000-0005-0000-0000-00006D640000}"/>
    <cellStyle name="Normal 2 3 16 3 9" xfId="25710" xr:uid="{00000000-0005-0000-0000-00006E640000}"/>
    <cellStyle name="Normal 2 3 16 4" xfId="25711" xr:uid="{00000000-0005-0000-0000-00006F640000}"/>
    <cellStyle name="Normal 2 3 16 4 10" xfId="25712" xr:uid="{00000000-0005-0000-0000-000070640000}"/>
    <cellStyle name="Normal 2 3 16 4 2" xfId="25713" xr:uid="{00000000-0005-0000-0000-000071640000}"/>
    <cellStyle name="Normal 2 3 16 4 3" xfId="25714" xr:uid="{00000000-0005-0000-0000-000072640000}"/>
    <cellStyle name="Normal 2 3 16 4 4" xfId="25715" xr:uid="{00000000-0005-0000-0000-000073640000}"/>
    <cellStyle name="Normal 2 3 16 4 5" xfId="25716" xr:uid="{00000000-0005-0000-0000-000074640000}"/>
    <cellStyle name="Normal 2 3 16 4 6" xfId="25717" xr:uid="{00000000-0005-0000-0000-000075640000}"/>
    <cellStyle name="Normal 2 3 16 4 7" xfId="25718" xr:uid="{00000000-0005-0000-0000-000076640000}"/>
    <cellStyle name="Normal 2 3 16 4 8" xfId="25719" xr:uid="{00000000-0005-0000-0000-000077640000}"/>
    <cellStyle name="Normal 2 3 16 4 9" xfId="25720" xr:uid="{00000000-0005-0000-0000-000078640000}"/>
    <cellStyle name="Normal 2 3 16 5" xfId="25721" xr:uid="{00000000-0005-0000-0000-000079640000}"/>
    <cellStyle name="Normal 2 3 16 5 10" xfId="25722" xr:uid="{00000000-0005-0000-0000-00007A640000}"/>
    <cellStyle name="Normal 2 3 16 5 2" xfId="25723" xr:uid="{00000000-0005-0000-0000-00007B640000}"/>
    <cellStyle name="Normal 2 3 16 5 3" xfId="25724" xr:uid="{00000000-0005-0000-0000-00007C640000}"/>
    <cellStyle name="Normal 2 3 16 5 4" xfId="25725" xr:uid="{00000000-0005-0000-0000-00007D640000}"/>
    <cellStyle name="Normal 2 3 16 5 5" xfId="25726" xr:uid="{00000000-0005-0000-0000-00007E640000}"/>
    <cellStyle name="Normal 2 3 16 5 6" xfId="25727" xr:uid="{00000000-0005-0000-0000-00007F640000}"/>
    <cellStyle name="Normal 2 3 16 5 7" xfId="25728" xr:uid="{00000000-0005-0000-0000-000080640000}"/>
    <cellStyle name="Normal 2 3 16 5 8" xfId="25729" xr:uid="{00000000-0005-0000-0000-000081640000}"/>
    <cellStyle name="Normal 2 3 16 5 9" xfId="25730" xr:uid="{00000000-0005-0000-0000-000082640000}"/>
    <cellStyle name="Normal 2 3 16 6" xfId="25731" xr:uid="{00000000-0005-0000-0000-000083640000}"/>
    <cellStyle name="Normal 2 3 16 7" xfId="25732" xr:uid="{00000000-0005-0000-0000-000084640000}"/>
    <cellStyle name="Normal 2 3 16 8" xfId="25733" xr:uid="{00000000-0005-0000-0000-000085640000}"/>
    <cellStyle name="Normal 2 3 16 9" xfId="25734" xr:uid="{00000000-0005-0000-0000-000086640000}"/>
    <cellStyle name="Normal 2 3 17" xfId="25735" xr:uid="{00000000-0005-0000-0000-000087640000}"/>
    <cellStyle name="Normal 2 3 17 10" xfId="25736" xr:uid="{00000000-0005-0000-0000-000088640000}"/>
    <cellStyle name="Normal 2 3 17 11" xfId="25737" xr:uid="{00000000-0005-0000-0000-000089640000}"/>
    <cellStyle name="Normal 2 3 17 12" xfId="25738" xr:uid="{00000000-0005-0000-0000-00008A640000}"/>
    <cellStyle name="Normal 2 3 17 13" xfId="25739" xr:uid="{00000000-0005-0000-0000-00008B640000}"/>
    <cellStyle name="Normal 2 3 17 14" xfId="25740" xr:uid="{00000000-0005-0000-0000-00008C640000}"/>
    <cellStyle name="Normal 2 3 17 2" xfId="25741" xr:uid="{00000000-0005-0000-0000-00008D640000}"/>
    <cellStyle name="Normal 2 3 17 2 10" xfId="25742" xr:uid="{00000000-0005-0000-0000-00008E640000}"/>
    <cellStyle name="Normal 2 3 17 2 2" xfId="25743" xr:uid="{00000000-0005-0000-0000-00008F640000}"/>
    <cellStyle name="Normal 2 3 17 2 3" xfId="25744" xr:uid="{00000000-0005-0000-0000-000090640000}"/>
    <cellStyle name="Normal 2 3 17 2 4" xfId="25745" xr:uid="{00000000-0005-0000-0000-000091640000}"/>
    <cellStyle name="Normal 2 3 17 2 5" xfId="25746" xr:uid="{00000000-0005-0000-0000-000092640000}"/>
    <cellStyle name="Normal 2 3 17 2 6" xfId="25747" xr:uid="{00000000-0005-0000-0000-000093640000}"/>
    <cellStyle name="Normal 2 3 17 2 7" xfId="25748" xr:uid="{00000000-0005-0000-0000-000094640000}"/>
    <cellStyle name="Normal 2 3 17 2 8" xfId="25749" xr:uid="{00000000-0005-0000-0000-000095640000}"/>
    <cellStyle name="Normal 2 3 17 2 9" xfId="25750" xr:uid="{00000000-0005-0000-0000-000096640000}"/>
    <cellStyle name="Normal 2 3 17 3" xfId="25751" xr:uid="{00000000-0005-0000-0000-000097640000}"/>
    <cellStyle name="Normal 2 3 17 3 10" xfId="25752" xr:uid="{00000000-0005-0000-0000-000098640000}"/>
    <cellStyle name="Normal 2 3 17 3 2" xfId="25753" xr:uid="{00000000-0005-0000-0000-000099640000}"/>
    <cellStyle name="Normal 2 3 17 3 3" xfId="25754" xr:uid="{00000000-0005-0000-0000-00009A640000}"/>
    <cellStyle name="Normal 2 3 17 3 4" xfId="25755" xr:uid="{00000000-0005-0000-0000-00009B640000}"/>
    <cellStyle name="Normal 2 3 17 3 5" xfId="25756" xr:uid="{00000000-0005-0000-0000-00009C640000}"/>
    <cellStyle name="Normal 2 3 17 3 6" xfId="25757" xr:uid="{00000000-0005-0000-0000-00009D640000}"/>
    <cellStyle name="Normal 2 3 17 3 7" xfId="25758" xr:uid="{00000000-0005-0000-0000-00009E640000}"/>
    <cellStyle name="Normal 2 3 17 3 8" xfId="25759" xr:uid="{00000000-0005-0000-0000-00009F640000}"/>
    <cellStyle name="Normal 2 3 17 3 9" xfId="25760" xr:uid="{00000000-0005-0000-0000-0000A0640000}"/>
    <cellStyle name="Normal 2 3 17 4" xfId="25761" xr:uid="{00000000-0005-0000-0000-0000A1640000}"/>
    <cellStyle name="Normal 2 3 17 4 10" xfId="25762" xr:uid="{00000000-0005-0000-0000-0000A2640000}"/>
    <cellStyle name="Normal 2 3 17 4 2" xfId="25763" xr:uid="{00000000-0005-0000-0000-0000A3640000}"/>
    <cellStyle name="Normal 2 3 17 4 3" xfId="25764" xr:uid="{00000000-0005-0000-0000-0000A4640000}"/>
    <cellStyle name="Normal 2 3 17 4 4" xfId="25765" xr:uid="{00000000-0005-0000-0000-0000A5640000}"/>
    <cellStyle name="Normal 2 3 17 4 5" xfId="25766" xr:uid="{00000000-0005-0000-0000-0000A6640000}"/>
    <cellStyle name="Normal 2 3 17 4 6" xfId="25767" xr:uid="{00000000-0005-0000-0000-0000A7640000}"/>
    <cellStyle name="Normal 2 3 17 4 7" xfId="25768" xr:uid="{00000000-0005-0000-0000-0000A8640000}"/>
    <cellStyle name="Normal 2 3 17 4 8" xfId="25769" xr:uid="{00000000-0005-0000-0000-0000A9640000}"/>
    <cellStyle name="Normal 2 3 17 4 9" xfId="25770" xr:uid="{00000000-0005-0000-0000-0000AA640000}"/>
    <cellStyle name="Normal 2 3 17 5" xfId="25771" xr:uid="{00000000-0005-0000-0000-0000AB640000}"/>
    <cellStyle name="Normal 2 3 17 5 10" xfId="25772" xr:uid="{00000000-0005-0000-0000-0000AC640000}"/>
    <cellStyle name="Normal 2 3 17 5 2" xfId="25773" xr:uid="{00000000-0005-0000-0000-0000AD640000}"/>
    <cellStyle name="Normal 2 3 17 5 3" xfId="25774" xr:uid="{00000000-0005-0000-0000-0000AE640000}"/>
    <cellStyle name="Normal 2 3 17 5 4" xfId="25775" xr:uid="{00000000-0005-0000-0000-0000AF640000}"/>
    <cellStyle name="Normal 2 3 17 5 5" xfId="25776" xr:uid="{00000000-0005-0000-0000-0000B0640000}"/>
    <cellStyle name="Normal 2 3 17 5 6" xfId="25777" xr:uid="{00000000-0005-0000-0000-0000B1640000}"/>
    <cellStyle name="Normal 2 3 17 5 7" xfId="25778" xr:uid="{00000000-0005-0000-0000-0000B2640000}"/>
    <cellStyle name="Normal 2 3 17 5 8" xfId="25779" xr:uid="{00000000-0005-0000-0000-0000B3640000}"/>
    <cellStyle name="Normal 2 3 17 5 9" xfId="25780" xr:uid="{00000000-0005-0000-0000-0000B4640000}"/>
    <cellStyle name="Normal 2 3 17 6" xfId="25781" xr:uid="{00000000-0005-0000-0000-0000B5640000}"/>
    <cellStyle name="Normal 2 3 17 7" xfId="25782" xr:uid="{00000000-0005-0000-0000-0000B6640000}"/>
    <cellStyle name="Normal 2 3 17 8" xfId="25783" xr:uid="{00000000-0005-0000-0000-0000B7640000}"/>
    <cellStyle name="Normal 2 3 17 9" xfId="25784" xr:uid="{00000000-0005-0000-0000-0000B8640000}"/>
    <cellStyle name="Normal 2 3 18" xfId="25785" xr:uid="{00000000-0005-0000-0000-0000B9640000}"/>
    <cellStyle name="Normal 2 3 18 10" xfId="25786" xr:uid="{00000000-0005-0000-0000-0000BA640000}"/>
    <cellStyle name="Normal 2 3 18 11" xfId="25787" xr:uid="{00000000-0005-0000-0000-0000BB640000}"/>
    <cellStyle name="Normal 2 3 18 12" xfId="25788" xr:uid="{00000000-0005-0000-0000-0000BC640000}"/>
    <cellStyle name="Normal 2 3 18 13" xfId="25789" xr:uid="{00000000-0005-0000-0000-0000BD640000}"/>
    <cellStyle name="Normal 2 3 18 14" xfId="25790" xr:uid="{00000000-0005-0000-0000-0000BE640000}"/>
    <cellStyle name="Normal 2 3 18 2" xfId="25791" xr:uid="{00000000-0005-0000-0000-0000BF640000}"/>
    <cellStyle name="Normal 2 3 18 2 10" xfId="25792" xr:uid="{00000000-0005-0000-0000-0000C0640000}"/>
    <cellStyle name="Normal 2 3 18 2 2" xfId="25793" xr:uid="{00000000-0005-0000-0000-0000C1640000}"/>
    <cellStyle name="Normal 2 3 18 2 3" xfId="25794" xr:uid="{00000000-0005-0000-0000-0000C2640000}"/>
    <cellStyle name="Normal 2 3 18 2 4" xfId="25795" xr:uid="{00000000-0005-0000-0000-0000C3640000}"/>
    <cellStyle name="Normal 2 3 18 2 5" xfId="25796" xr:uid="{00000000-0005-0000-0000-0000C4640000}"/>
    <cellStyle name="Normal 2 3 18 2 6" xfId="25797" xr:uid="{00000000-0005-0000-0000-0000C5640000}"/>
    <cellStyle name="Normal 2 3 18 2 7" xfId="25798" xr:uid="{00000000-0005-0000-0000-0000C6640000}"/>
    <cellStyle name="Normal 2 3 18 2 8" xfId="25799" xr:uid="{00000000-0005-0000-0000-0000C7640000}"/>
    <cellStyle name="Normal 2 3 18 2 9" xfId="25800" xr:uid="{00000000-0005-0000-0000-0000C8640000}"/>
    <cellStyle name="Normal 2 3 18 3" xfId="25801" xr:uid="{00000000-0005-0000-0000-0000C9640000}"/>
    <cellStyle name="Normal 2 3 18 3 10" xfId="25802" xr:uid="{00000000-0005-0000-0000-0000CA640000}"/>
    <cellStyle name="Normal 2 3 18 3 2" xfId="25803" xr:uid="{00000000-0005-0000-0000-0000CB640000}"/>
    <cellStyle name="Normal 2 3 18 3 3" xfId="25804" xr:uid="{00000000-0005-0000-0000-0000CC640000}"/>
    <cellStyle name="Normal 2 3 18 3 4" xfId="25805" xr:uid="{00000000-0005-0000-0000-0000CD640000}"/>
    <cellStyle name="Normal 2 3 18 3 5" xfId="25806" xr:uid="{00000000-0005-0000-0000-0000CE640000}"/>
    <cellStyle name="Normal 2 3 18 3 6" xfId="25807" xr:uid="{00000000-0005-0000-0000-0000CF640000}"/>
    <cellStyle name="Normal 2 3 18 3 7" xfId="25808" xr:uid="{00000000-0005-0000-0000-0000D0640000}"/>
    <cellStyle name="Normal 2 3 18 3 8" xfId="25809" xr:uid="{00000000-0005-0000-0000-0000D1640000}"/>
    <cellStyle name="Normal 2 3 18 3 9" xfId="25810" xr:uid="{00000000-0005-0000-0000-0000D2640000}"/>
    <cellStyle name="Normal 2 3 18 4" xfId="25811" xr:uid="{00000000-0005-0000-0000-0000D3640000}"/>
    <cellStyle name="Normal 2 3 18 4 10" xfId="25812" xr:uid="{00000000-0005-0000-0000-0000D4640000}"/>
    <cellStyle name="Normal 2 3 18 4 2" xfId="25813" xr:uid="{00000000-0005-0000-0000-0000D5640000}"/>
    <cellStyle name="Normal 2 3 18 4 3" xfId="25814" xr:uid="{00000000-0005-0000-0000-0000D6640000}"/>
    <cellStyle name="Normal 2 3 18 4 4" xfId="25815" xr:uid="{00000000-0005-0000-0000-0000D7640000}"/>
    <cellStyle name="Normal 2 3 18 4 5" xfId="25816" xr:uid="{00000000-0005-0000-0000-0000D8640000}"/>
    <cellStyle name="Normal 2 3 18 4 6" xfId="25817" xr:uid="{00000000-0005-0000-0000-0000D9640000}"/>
    <cellStyle name="Normal 2 3 18 4 7" xfId="25818" xr:uid="{00000000-0005-0000-0000-0000DA640000}"/>
    <cellStyle name="Normal 2 3 18 4 8" xfId="25819" xr:uid="{00000000-0005-0000-0000-0000DB640000}"/>
    <cellStyle name="Normal 2 3 18 4 9" xfId="25820" xr:uid="{00000000-0005-0000-0000-0000DC640000}"/>
    <cellStyle name="Normal 2 3 18 5" xfId="25821" xr:uid="{00000000-0005-0000-0000-0000DD640000}"/>
    <cellStyle name="Normal 2 3 18 5 10" xfId="25822" xr:uid="{00000000-0005-0000-0000-0000DE640000}"/>
    <cellStyle name="Normal 2 3 18 5 2" xfId="25823" xr:uid="{00000000-0005-0000-0000-0000DF640000}"/>
    <cellStyle name="Normal 2 3 18 5 3" xfId="25824" xr:uid="{00000000-0005-0000-0000-0000E0640000}"/>
    <cellStyle name="Normal 2 3 18 5 4" xfId="25825" xr:uid="{00000000-0005-0000-0000-0000E1640000}"/>
    <cellStyle name="Normal 2 3 18 5 5" xfId="25826" xr:uid="{00000000-0005-0000-0000-0000E2640000}"/>
    <cellStyle name="Normal 2 3 18 5 6" xfId="25827" xr:uid="{00000000-0005-0000-0000-0000E3640000}"/>
    <cellStyle name="Normal 2 3 18 5 7" xfId="25828" xr:uid="{00000000-0005-0000-0000-0000E4640000}"/>
    <cellStyle name="Normal 2 3 18 5 8" xfId="25829" xr:uid="{00000000-0005-0000-0000-0000E5640000}"/>
    <cellStyle name="Normal 2 3 18 5 9" xfId="25830" xr:uid="{00000000-0005-0000-0000-0000E6640000}"/>
    <cellStyle name="Normal 2 3 18 6" xfId="25831" xr:uid="{00000000-0005-0000-0000-0000E7640000}"/>
    <cellStyle name="Normal 2 3 18 7" xfId="25832" xr:uid="{00000000-0005-0000-0000-0000E8640000}"/>
    <cellStyle name="Normal 2 3 18 8" xfId="25833" xr:uid="{00000000-0005-0000-0000-0000E9640000}"/>
    <cellStyle name="Normal 2 3 18 9" xfId="25834" xr:uid="{00000000-0005-0000-0000-0000EA640000}"/>
    <cellStyle name="Normal 2 3 19" xfId="25835" xr:uid="{00000000-0005-0000-0000-0000EB640000}"/>
    <cellStyle name="Normal 2 3 19 10" xfId="25836" xr:uid="{00000000-0005-0000-0000-0000EC640000}"/>
    <cellStyle name="Normal 2 3 19 11" xfId="25837" xr:uid="{00000000-0005-0000-0000-0000ED640000}"/>
    <cellStyle name="Normal 2 3 19 12" xfId="25838" xr:uid="{00000000-0005-0000-0000-0000EE640000}"/>
    <cellStyle name="Normal 2 3 19 13" xfId="25839" xr:uid="{00000000-0005-0000-0000-0000EF640000}"/>
    <cellStyle name="Normal 2 3 19 14" xfId="25840" xr:uid="{00000000-0005-0000-0000-0000F0640000}"/>
    <cellStyle name="Normal 2 3 19 2" xfId="25841" xr:uid="{00000000-0005-0000-0000-0000F1640000}"/>
    <cellStyle name="Normal 2 3 19 2 10" xfId="25842" xr:uid="{00000000-0005-0000-0000-0000F2640000}"/>
    <cellStyle name="Normal 2 3 19 2 2" xfId="25843" xr:uid="{00000000-0005-0000-0000-0000F3640000}"/>
    <cellStyle name="Normal 2 3 19 2 3" xfId="25844" xr:uid="{00000000-0005-0000-0000-0000F4640000}"/>
    <cellStyle name="Normal 2 3 19 2 4" xfId="25845" xr:uid="{00000000-0005-0000-0000-0000F5640000}"/>
    <cellStyle name="Normal 2 3 19 2 5" xfId="25846" xr:uid="{00000000-0005-0000-0000-0000F6640000}"/>
    <cellStyle name="Normal 2 3 19 2 6" xfId="25847" xr:uid="{00000000-0005-0000-0000-0000F7640000}"/>
    <cellStyle name="Normal 2 3 19 2 7" xfId="25848" xr:uid="{00000000-0005-0000-0000-0000F8640000}"/>
    <cellStyle name="Normal 2 3 19 2 8" xfId="25849" xr:uid="{00000000-0005-0000-0000-0000F9640000}"/>
    <cellStyle name="Normal 2 3 19 2 9" xfId="25850" xr:uid="{00000000-0005-0000-0000-0000FA640000}"/>
    <cellStyle name="Normal 2 3 19 3" xfId="25851" xr:uid="{00000000-0005-0000-0000-0000FB640000}"/>
    <cellStyle name="Normal 2 3 19 3 10" xfId="25852" xr:uid="{00000000-0005-0000-0000-0000FC640000}"/>
    <cellStyle name="Normal 2 3 19 3 2" xfId="25853" xr:uid="{00000000-0005-0000-0000-0000FD640000}"/>
    <cellStyle name="Normal 2 3 19 3 3" xfId="25854" xr:uid="{00000000-0005-0000-0000-0000FE640000}"/>
    <cellStyle name="Normal 2 3 19 3 4" xfId="25855" xr:uid="{00000000-0005-0000-0000-0000FF640000}"/>
    <cellStyle name="Normal 2 3 19 3 5" xfId="25856" xr:uid="{00000000-0005-0000-0000-000000650000}"/>
    <cellStyle name="Normal 2 3 19 3 6" xfId="25857" xr:uid="{00000000-0005-0000-0000-000001650000}"/>
    <cellStyle name="Normal 2 3 19 3 7" xfId="25858" xr:uid="{00000000-0005-0000-0000-000002650000}"/>
    <cellStyle name="Normal 2 3 19 3 8" xfId="25859" xr:uid="{00000000-0005-0000-0000-000003650000}"/>
    <cellStyle name="Normal 2 3 19 3 9" xfId="25860" xr:uid="{00000000-0005-0000-0000-000004650000}"/>
    <cellStyle name="Normal 2 3 19 4" xfId="25861" xr:uid="{00000000-0005-0000-0000-000005650000}"/>
    <cellStyle name="Normal 2 3 19 4 10" xfId="25862" xr:uid="{00000000-0005-0000-0000-000006650000}"/>
    <cellStyle name="Normal 2 3 19 4 2" xfId="25863" xr:uid="{00000000-0005-0000-0000-000007650000}"/>
    <cellStyle name="Normal 2 3 19 4 3" xfId="25864" xr:uid="{00000000-0005-0000-0000-000008650000}"/>
    <cellStyle name="Normal 2 3 19 4 4" xfId="25865" xr:uid="{00000000-0005-0000-0000-000009650000}"/>
    <cellStyle name="Normal 2 3 19 4 5" xfId="25866" xr:uid="{00000000-0005-0000-0000-00000A650000}"/>
    <cellStyle name="Normal 2 3 19 4 6" xfId="25867" xr:uid="{00000000-0005-0000-0000-00000B650000}"/>
    <cellStyle name="Normal 2 3 19 4 7" xfId="25868" xr:uid="{00000000-0005-0000-0000-00000C650000}"/>
    <cellStyle name="Normal 2 3 19 4 8" xfId="25869" xr:uid="{00000000-0005-0000-0000-00000D650000}"/>
    <cellStyle name="Normal 2 3 19 4 9" xfId="25870" xr:uid="{00000000-0005-0000-0000-00000E650000}"/>
    <cellStyle name="Normal 2 3 19 5" xfId="25871" xr:uid="{00000000-0005-0000-0000-00000F650000}"/>
    <cellStyle name="Normal 2 3 19 5 10" xfId="25872" xr:uid="{00000000-0005-0000-0000-000010650000}"/>
    <cellStyle name="Normal 2 3 19 5 2" xfId="25873" xr:uid="{00000000-0005-0000-0000-000011650000}"/>
    <cellStyle name="Normal 2 3 19 5 3" xfId="25874" xr:uid="{00000000-0005-0000-0000-000012650000}"/>
    <cellStyle name="Normal 2 3 19 5 4" xfId="25875" xr:uid="{00000000-0005-0000-0000-000013650000}"/>
    <cellStyle name="Normal 2 3 19 5 5" xfId="25876" xr:uid="{00000000-0005-0000-0000-000014650000}"/>
    <cellStyle name="Normal 2 3 19 5 6" xfId="25877" xr:uid="{00000000-0005-0000-0000-000015650000}"/>
    <cellStyle name="Normal 2 3 19 5 7" xfId="25878" xr:uid="{00000000-0005-0000-0000-000016650000}"/>
    <cellStyle name="Normal 2 3 19 5 8" xfId="25879" xr:uid="{00000000-0005-0000-0000-000017650000}"/>
    <cellStyle name="Normal 2 3 19 5 9" xfId="25880" xr:uid="{00000000-0005-0000-0000-000018650000}"/>
    <cellStyle name="Normal 2 3 19 6" xfId="25881" xr:uid="{00000000-0005-0000-0000-000019650000}"/>
    <cellStyle name="Normal 2 3 19 7" xfId="25882" xr:uid="{00000000-0005-0000-0000-00001A650000}"/>
    <cellStyle name="Normal 2 3 19 8" xfId="25883" xr:uid="{00000000-0005-0000-0000-00001B650000}"/>
    <cellStyle name="Normal 2 3 19 9" xfId="25884" xr:uid="{00000000-0005-0000-0000-00001C650000}"/>
    <cellStyle name="Normal 2 3 2" xfId="55" xr:uid="{00000000-0005-0000-0000-000037000000}"/>
    <cellStyle name="Normal 2 3 2 10" xfId="25886" xr:uid="{00000000-0005-0000-0000-00001E650000}"/>
    <cellStyle name="Normal 2 3 2 10 10" xfId="25887" xr:uid="{00000000-0005-0000-0000-00001F650000}"/>
    <cellStyle name="Normal 2 3 2 10 11" xfId="25888" xr:uid="{00000000-0005-0000-0000-000020650000}"/>
    <cellStyle name="Normal 2 3 2 10 12" xfId="25889" xr:uid="{00000000-0005-0000-0000-000021650000}"/>
    <cellStyle name="Normal 2 3 2 10 13" xfId="25890" xr:uid="{00000000-0005-0000-0000-000022650000}"/>
    <cellStyle name="Normal 2 3 2 10 14" xfId="25891" xr:uid="{00000000-0005-0000-0000-000023650000}"/>
    <cellStyle name="Normal 2 3 2 10 2" xfId="25892" xr:uid="{00000000-0005-0000-0000-000024650000}"/>
    <cellStyle name="Normal 2 3 2 10 2 10" xfId="25893" xr:uid="{00000000-0005-0000-0000-000025650000}"/>
    <cellStyle name="Normal 2 3 2 10 2 2" xfId="25894" xr:uid="{00000000-0005-0000-0000-000026650000}"/>
    <cellStyle name="Normal 2 3 2 10 2 3" xfId="25895" xr:uid="{00000000-0005-0000-0000-000027650000}"/>
    <cellStyle name="Normal 2 3 2 10 2 4" xfId="25896" xr:uid="{00000000-0005-0000-0000-000028650000}"/>
    <cellStyle name="Normal 2 3 2 10 2 5" xfId="25897" xr:uid="{00000000-0005-0000-0000-000029650000}"/>
    <cellStyle name="Normal 2 3 2 10 2 6" xfId="25898" xr:uid="{00000000-0005-0000-0000-00002A650000}"/>
    <cellStyle name="Normal 2 3 2 10 2 7" xfId="25899" xr:uid="{00000000-0005-0000-0000-00002B650000}"/>
    <cellStyle name="Normal 2 3 2 10 2 8" xfId="25900" xr:uid="{00000000-0005-0000-0000-00002C650000}"/>
    <cellStyle name="Normal 2 3 2 10 2 9" xfId="25901" xr:uid="{00000000-0005-0000-0000-00002D650000}"/>
    <cellStyle name="Normal 2 3 2 10 3" xfId="25902" xr:uid="{00000000-0005-0000-0000-00002E650000}"/>
    <cellStyle name="Normal 2 3 2 10 3 10" xfId="25903" xr:uid="{00000000-0005-0000-0000-00002F650000}"/>
    <cellStyle name="Normal 2 3 2 10 3 2" xfId="25904" xr:uid="{00000000-0005-0000-0000-000030650000}"/>
    <cellStyle name="Normal 2 3 2 10 3 3" xfId="25905" xr:uid="{00000000-0005-0000-0000-000031650000}"/>
    <cellStyle name="Normal 2 3 2 10 3 4" xfId="25906" xr:uid="{00000000-0005-0000-0000-000032650000}"/>
    <cellStyle name="Normal 2 3 2 10 3 5" xfId="25907" xr:uid="{00000000-0005-0000-0000-000033650000}"/>
    <cellStyle name="Normal 2 3 2 10 3 6" xfId="25908" xr:uid="{00000000-0005-0000-0000-000034650000}"/>
    <cellStyle name="Normal 2 3 2 10 3 7" xfId="25909" xr:uid="{00000000-0005-0000-0000-000035650000}"/>
    <cellStyle name="Normal 2 3 2 10 3 8" xfId="25910" xr:uid="{00000000-0005-0000-0000-000036650000}"/>
    <cellStyle name="Normal 2 3 2 10 3 9" xfId="25911" xr:uid="{00000000-0005-0000-0000-000037650000}"/>
    <cellStyle name="Normal 2 3 2 10 4" xfId="25912" xr:uid="{00000000-0005-0000-0000-000038650000}"/>
    <cellStyle name="Normal 2 3 2 10 4 10" xfId="25913" xr:uid="{00000000-0005-0000-0000-000039650000}"/>
    <cellStyle name="Normal 2 3 2 10 4 2" xfId="25914" xr:uid="{00000000-0005-0000-0000-00003A650000}"/>
    <cellStyle name="Normal 2 3 2 10 4 3" xfId="25915" xr:uid="{00000000-0005-0000-0000-00003B650000}"/>
    <cellStyle name="Normal 2 3 2 10 4 4" xfId="25916" xr:uid="{00000000-0005-0000-0000-00003C650000}"/>
    <cellStyle name="Normal 2 3 2 10 4 5" xfId="25917" xr:uid="{00000000-0005-0000-0000-00003D650000}"/>
    <cellStyle name="Normal 2 3 2 10 4 6" xfId="25918" xr:uid="{00000000-0005-0000-0000-00003E650000}"/>
    <cellStyle name="Normal 2 3 2 10 4 7" xfId="25919" xr:uid="{00000000-0005-0000-0000-00003F650000}"/>
    <cellStyle name="Normal 2 3 2 10 4 8" xfId="25920" xr:uid="{00000000-0005-0000-0000-000040650000}"/>
    <cellStyle name="Normal 2 3 2 10 4 9" xfId="25921" xr:uid="{00000000-0005-0000-0000-000041650000}"/>
    <cellStyle name="Normal 2 3 2 10 5" xfId="25922" xr:uid="{00000000-0005-0000-0000-000042650000}"/>
    <cellStyle name="Normal 2 3 2 10 5 10" xfId="25923" xr:uid="{00000000-0005-0000-0000-000043650000}"/>
    <cellStyle name="Normal 2 3 2 10 5 2" xfId="25924" xr:uid="{00000000-0005-0000-0000-000044650000}"/>
    <cellStyle name="Normal 2 3 2 10 5 3" xfId="25925" xr:uid="{00000000-0005-0000-0000-000045650000}"/>
    <cellStyle name="Normal 2 3 2 10 5 4" xfId="25926" xr:uid="{00000000-0005-0000-0000-000046650000}"/>
    <cellStyle name="Normal 2 3 2 10 5 5" xfId="25927" xr:uid="{00000000-0005-0000-0000-000047650000}"/>
    <cellStyle name="Normal 2 3 2 10 5 6" xfId="25928" xr:uid="{00000000-0005-0000-0000-000048650000}"/>
    <cellStyle name="Normal 2 3 2 10 5 7" xfId="25929" xr:uid="{00000000-0005-0000-0000-000049650000}"/>
    <cellStyle name="Normal 2 3 2 10 5 8" xfId="25930" xr:uid="{00000000-0005-0000-0000-00004A650000}"/>
    <cellStyle name="Normal 2 3 2 10 5 9" xfId="25931" xr:uid="{00000000-0005-0000-0000-00004B650000}"/>
    <cellStyle name="Normal 2 3 2 10 6" xfId="25932" xr:uid="{00000000-0005-0000-0000-00004C650000}"/>
    <cellStyle name="Normal 2 3 2 10 7" xfId="25933" xr:uid="{00000000-0005-0000-0000-00004D650000}"/>
    <cellStyle name="Normal 2 3 2 10 8" xfId="25934" xr:uid="{00000000-0005-0000-0000-00004E650000}"/>
    <cellStyle name="Normal 2 3 2 10 9" xfId="25935" xr:uid="{00000000-0005-0000-0000-00004F650000}"/>
    <cellStyle name="Normal 2 3 2 11" xfId="25936" xr:uid="{00000000-0005-0000-0000-000050650000}"/>
    <cellStyle name="Normal 2 3 2 11 10" xfId="25937" xr:uid="{00000000-0005-0000-0000-000051650000}"/>
    <cellStyle name="Normal 2 3 2 11 11" xfId="25938" xr:uid="{00000000-0005-0000-0000-000052650000}"/>
    <cellStyle name="Normal 2 3 2 11 12" xfId="25939" xr:uid="{00000000-0005-0000-0000-000053650000}"/>
    <cellStyle name="Normal 2 3 2 11 13" xfId="25940" xr:uid="{00000000-0005-0000-0000-000054650000}"/>
    <cellStyle name="Normal 2 3 2 11 14" xfId="25941" xr:uid="{00000000-0005-0000-0000-000055650000}"/>
    <cellStyle name="Normal 2 3 2 11 2" xfId="25942" xr:uid="{00000000-0005-0000-0000-000056650000}"/>
    <cellStyle name="Normal 2 3 2 11 2 10" xfId="25943" xr:uid="{00000000-0005-0000-0000-000057650000}"/>
    <cellStyle name="Normal 2 3 2 11 2 2" xfId="25944" xr:uid="{00000000-0005-0000-0000-000058650000}"/>
    <cellStyle name="Normal 2 3 2 11 2 3" xfId="25945" xr:uid="{00000000-0005-0000-0000-000059650000}"/>
    <cellStyle name="Normal 2 3 2 11 2 4" xfId="25946" xr:uid="{00000000-0005-0000-0000-00005A650000}"/>
    <cellStyle name="Normal 2 3 2 11 2 5" xfId="25947" xr:uid="{00000000-0005-0000-0000-00005B650000}"/>
    <cellStyle name="Normal 2 3 2 11 2 6" xfId="25948" xr:uid="{00000000-0005-0000-0000-00005C650000}"/>
    <cellStyle name="Normal 2 3 2 11 2 7" xfId="25949" xr:uid="{00000000-0005-0000-0000-00005D650000}"/>
    <cellStyle name="Normal 2 3 2 11 2 8" xfId="25950" xr:uid="{00000000-0005-0000-0000-00005E650000}"/>
    <cellStyle name="Normal 2 3 2 11 2 9" xfId="25951" xr:uid="{00000000-0005-0000-0000-00005F650000}"/>
    <cellStyle name="Normal 2 3 2 11 3" xfId="25952" xr:uid="{00000000-0005-0000-0000-000060650000}"/>
    <cellStyle name="Normal 2 3 2 11 3 10" xfId="25953" xr:uid="{00000000-0005-0000-0000-000061650000}"/>
    <cellStyle name="Normal 2 3 2 11 3 2" xfId="25954" xr:uid="{00000000-0005-0000-0000-000062650000}"/>
    <cellStyle name="Normal 2 3 2 11 3 3" xfId="25955" xr:uid="{00000000-0005-0000-0000-000063650000}"/>
    <cellStyle name="Normal 2 3 2 11 3 4" xfId="25956" xr:uid="{00000000-0005-0000-0000-000064650000}"/>
    <cellStyle name="Normal 2 3 2 11 3 5" xfId="25957" xr:uid="{00000000-0005-0000-0000-000065650000}"/>
    <cellStyle name="Normal 2 3 2 11 3 6" xfId="25958" xr:uid="{00000000-0005-0000-0000-000066650000}"/>
    <cellStyle name="Normal 2 3 2 11 3 7" xfId="25959" xr:uid="{00000000-0005-0000-0000-000067650000}"/>
    <cellStyle name="Normal 2 3 2 11 3 8" xfId="25960" xr:uid="{00000000-0005-0000-0000-000068650000}"/>
    <cellStyle name="Normal 2 3 2 11 3 9" xfId="25961" xr:uid="{00000000-0005-0000-0000-000069650000}"/>
    <cellStyle name="Normal 2 3 2 11 4" xfId="25962" xr:uid="{00000000-0005-0000-0000-00006A650000}"/>
    <cellStyle name="Normal 2 3 2 11 4 10" xfId="25963" xr:uid="{00000000-0005-0000-0000-00006B650000}"/>
    <cellStyle name="Normal 2 3 2 11 4 2" xfId="25964" xr:uid="{00000000-0005-0000-0000-00006C650000}"/>
    <cellStyle name="Normal 2 3 2 11 4 3" xfId="25965" xr:uid="{00000000-0005-0000-0000-00006D650000}"/>
    <cellStyle name="Normal 2 3 2 11 4 4" xfId="25966" xr:uid="{00000000-0005-0000-0000-00006E650000}"/>
    <cellStyle name="Normal 2 3 2 11 4 5" xfId="25967" xr:uid="{00000000-0005-0000-0000-00006F650000}"/>
    <cellStyle name="Normal 2 3 2 11 4 6" xfId="25968" xr:uid="{00000000-0005-0000-0000-000070650000}"/>
    <cellStyle name="Normal 2 3 2 11 4 7" xfId="25969" xr:uid="{00000000-0005-0000-0000-000071650000}"/>
    <cellStyle name="Normal 2 3 2 11 4 8" xfId="25970" xr:uid="{00000000-0005-0000-0000-000072650000}"/>
    <cellStyle name="Normal 2 3 2 11 4 9" xfId="25971" xr:uid="{00000000-0005-0000-0000-000073650000}"/>
    <cellStyle name="Normal 2 3 2 11 5" xfId="25972" xr:uid="{00000000-0005-0000-0000-000074650000}"/>
    <cellStyle name="Normal 2 3 2 11 5 10" xfId="25973" xr:uid="{00000000-0005-0000-0000-000075650000}"/>
    <cellStyle name="Normal 2 3 2 11 5 2" xfId="25974" xr:uid="{00000000-0005-0000-0000-000076650000}"/>
    <cellStyle name="Normal 2 3 2 11 5 3" xfId="25975" xr:uid="{00000000-0005-0000-0000-000077650000}"/>
    <cellStyle name="Normal 2 3 2 11 5 4" xfId="25976" xr:uid="{00000000-0005-0000-0000-000078650000}"/>
    <cellStyle name="Normal 2 3 2 11 5 5" xfId="25977" xr:uid="{00000000-0005-0000-0000-000079650000}"/>
    <cellStyle name="Normal 2 3 2 11 5 6" xfId="25978" xr:uid="{00000000-0005-0000-0000-00007A650000}"/>
    <cellStyle name="Normal 2 3 2 11 5 7" xfId="25979" xr:uid="{00000000-0005-0000-0000-00007B650000}"/>
    <cellStyle name="Normal 2 3 2 11 5 8" xfId="25980" xr:uid="{00000000-0005-0000-0000-00007C650000}"/>
    <cellStyle name="Normal 2 3 2 11 5 9" xfId="25981" xr:uid="{00000000-0005-0000-0000-00007D650000}"/>
    <cellStyle name="Normal 2 3 2 11 6" xfId="25982" xr:uid="{00000000-0005-0000-0000-00007E650000}"/>
    <cellStyle name="Normal 2 3 2 11 7" xfId="25983" xr:uid="{00000000-0005-0000-0000-00007F650000}"/>
    <cellStyle name="Normal 2 3 2 11 8" xfId="25984" xr:uid="{00000000-0005-0000-0000-000080650000}"/>
    <cellStyle name="Normal 2 3 2 11 9" xfId="25985" xr:uid="{00000000-0005-0000-0000-000081650000}"/>
    <cellStyle name="Normal 2 3 2 12" xfId="25986" xr:uid="{00000000-0005-0000-0000-000082650000}"/>
    <cellStyle name="Normal 2 3 2 12 10" xfId="25987" xr:uid="{00000000-0005-0000-0000-000083650000}"/>
    <cellStyle name="Normal 2 3 2 12 11" xfId="25988" xr:uid="{00000000-0005-0000-0000-000084650000}"/>
    <cellStyle name="Normal 2 3 2 12 12" xfId="25989" xr:uid="{00000000-0005-0000-0000-000085650000}"/>
    <cellStyle name="Normal 2 3 2 12 13" xfId="25990" xr:uid="{00000000-0005-0000-0000-000086650000}"/>
    <cellStyle name="Normal 2 3 2 12 14" xfId="25991" xr:uid="{00000000-0005-0000-0000-000087650000}"/>
    <cellStyle name="Normal 2 3 2 12 2" xfId="25992" xr:uid="{00000000-0005-0000-0000-000088650000}"/>
    <cellStyle name="Normal 2 3 2 12 2 10" xfId="25993" xr:uid="{00000000-0005-0000-0000-000089650000}"/>
    <cellStyle name="Normal 2 3 2 12 2 2" xfId="25994" xr:uid="{00000000-0005-0000-0000-00008A650000}"/>
    <cellStyle name="Normal 2 3 2 12 2 3" xfId="25995" xr:uid="{00000000-0005-0000-0000-00008B650000}"/>
    <cellStyle name="Normal 2 3 2 12 2 4" xfId="25996" xr:uid="{00000000-0005-0000-0000-00008C650000}"/>
    <cellStyle name="Normal 2 3 2 12 2 5" xfId="25997" xr:uid="{00000000-0005-0000-0000-00008D650000}"/>
    <cellStyle name="Normal 2 3 2 12 2 6" xfId="25998" xr:uid="{00000000-0005-0000-0000-00008E650000}"/>
    <cellStyle name="Normal 2 3 2 12 2 7" xfId="25999" xr:uid="{00000000-0005-0000-0000-00008F650000}"/>
    <cellStyle name="Normal 2 3 2 12 2 8" xfId="26000" xr:uid="{00000000-0005-0000-0000-000090650000}"/>
    <cellStyle name="Normal 2 3 2 12 2 9" xfId="26001" xr:uid="{00000000-0005-0000-0000-000091650000}"/>
    <cellStyle name="Normal 2 3 2 12 3" xfId="26002" xr:uid="{00000000-0005-0000-0000-000092650000}"/>
    <cellStyle name="Normal 2 3 2 12 3 10" xfId="26003" xr:uid="{00000000-0005-0000-0000-000093650000}"/>
    <cellStyle name="Normal 2 3 2 12 3 2" xfId="26004" xr:uid="{00000000-0005-0000-0000-000094650000}"/>
    <cellStyle name="Normal 2 3 2 12 3 3" xfId="26005" xr:uid="{00000000-0005-0000-0000-000095650000}"/>
    <cellStyle name="Normal 2 3 2 12 3 4" xfId="26006" xr:uid="{00000000-0005-0000-0000-000096650000}"/>
    <cellStyle name="Normal 2 3 2 12 3 5" xfId="26007" xr:uid="{00000000-0005-0000-0000-000097650000}"/>
    <cellStyle name="Normal 2 3 2 12 3 6" xfId="26008" xr:uid="{00000000-0005-0000-0000-000098650000}"/>
    <cellStyle name="Normal 2 3 2 12 3 7" xfId="26009" xr:uid="{00000000-0005-0000-0000-000099650000}"/>
    <cellStyle name="Normal 2 3 2 12 3 8" xfId="26010" xr:uid="{00000000-0005-0000-0000-00009A650000}"/>
    <cellStyle name="Normal 2 3 2 12 3 9" xfId="26011" xr:uid="{00000000-0005-0000-0000-00009B650000}"/>
    <cellStyle name="Normal 2 3 2 12 4" xfId="26012" xr:uid="{00000000-0005-0000-0000-00009C650000}"/>
    <cellStyle name="Normal 2 3 2 12 4 10" xfId="26013" xr:uid="{00000000-0005-0000-0000-00009D650000}"/>
    <cellStyle name="Normal 2 3 2 12 4 2" xfId="26014" xr:uid="{00000000-0005-0000-0000-00009E650000}"/>
    <cellStyle name="Normal 2 3 2 12 4 3" xfId="26015" xr:uid="{00000000-0005-0000-0000-00009F650000}"/>
    <cellStyle name="Normal 2 3 2 12 4 4" xfId="26016" xr:uid="{00000000-0005-0000-0000-0000A0650000}"/>
    <cellStyle name="Normal 2 3 2 12 4 5" xfId="26017" xr:uid="{00000000-0005-0000-0000-0000A1650000}"/>
    <cellStyle name="Normal 2 3 2 12 4 6" xfId="26018" xr:uid="{00000000-0005-0000-0000-0000A2650000}"/>
    <cellStyle name="Normal 2 3 2 12 4 7" xfId="26019" xr:uid="{00000000-0005-0000-0000-0000A3650000}"/>
    <cellStyle name="Normal 2 3 2 12 4 8" xfId="26020" xr:uid="{00000000-0005-0000-0000-0000A4650000}"/>
    <cellStyle name="Normal 2 3 2 12 4 9" xfId="26021" xr:uid="{00000000-0005-0000-0000-0000A5650000}"/>
    <cellStyle name="Normal 2 3 2 12 5" xfId="26022" xr:uid="{00000000-0005-0000-0000-0000A6650000}"/>
    <cellStyle name="Normal 2 3 2 12 5 10" xfId="26023" xr:uid="{00000000-0005-0000-0000-0000A7650000}"/>
    <cellStyle name="Normal 2 3 2 12 5 2" xfId="26024" xr:uid="{00000000-0005-0000-0000-0000A8650000}"/>
    <cellStyle name="Normal 2 3 2 12 5 3" xfId="26025" xr:uid="{00000000-0005-0000-0000-0000A9650000}"/>
    <cellStyle name="Normal 2 3 2 12 5 4" xfId="26026" xr:uid="{00000000-0005-0000-0000-0000AA650000}"/>
    <cellStyle name="Normal 2 3 2 12 5 5" xfId="26027" xr:uid="{00000000-0005-0000-0000-0000AB650000}"/>
    <cellStyle name="Normal 2 3 2 12 5 6" xfId="26028" xr:uid="{00000000-0005-0000-0000-0000AC650000}"/>
    <cellStyle name="Normal 2 3 2 12 5 7" xfId="26029" xr:uid="{00000000-0005-0000-0000-0000AD650000}"/>
    <cellStyle name="Normal 2 3 2 12 5 8" xfId="26030" xr:uid="{00000000-0005-0000-0000-0000AE650000}"/>
    <cellStyle name="Normal 2 3 2 12 5 9" xfId="26031" xr:uid="{00000000-0005-0000-0000-0000AF650000}"/>
    <cellStyle name="Normal 2 3 2 12 6" xfId="26032" xr:uid="{00000000-0005-0000-0000-0000B0650000}"/>
    <cellStyle name="Normal 2 3 2 12 7" xfId="26033" xr:uid="{00000000-0005-0000-0000-0000B1650000}"/>
    <cellStyle name="Normal 2 3 2 12 8" xfId="26034" xr:uid="{00000000-0005-0000-0000-0000B2650000}"/>
    <cellStyle name="Normal 2 3 2 12 9" xfId="26035" xr:uid="{00000000-0005-0000-0000-0000B3650000}"/>
    <cellStyle name="Normal 2 3 2 13" xfId="26036" xr:uid="{00000000-0005-0000-0000-0000B4650000}"/>
    <cellStyle name="Normal 2 3 2 13 10" xfId="26037" xr:uid="{00000000-0005-0000-0000-0000B5650000}"/>
    <cellStyle name="Normal 2 3 2 13 11" xfId="26038" xr:uid="{00000000-0005-0000-0000-0000B6650000}"/>
    <cellStyle name="Normal 2 3 2 13 12" xfId="26039" xr:uid="{00000000-0005-0000-0000-0000B7650000}"/>
    <cellStyle name="Normal 2 3 2 13 13" xfId="26040" xr:uid="{00000000-0005-0000-0000-0000B8650000}"/>
    <cellStyle name="Normal 2 3 2 13 14" xfId="26041" xr:uid="{00000000-0005-0000-0000-0000B9650000}"/>
    <cellStyle name="Normal 2 3 2 13 2" xfId="26042" xr:uid="{00000000-0005-0000-0000-0000BA650000}"/>
    <cellStyle name="Normal 2 3 2 13 2 10" xfId="26043" xr:uid="{00000000-0005-0000-0000-0000BB650000}"/>
    <cellStyle name="Normal 2 3 2 13 2 2" xfId="26044" xr:uid="{00000000-0005-0000-0000-0000BC650000}"/>
    <cellStyle name="Normal 2 3 2 13 2 3" xfId="26045" xr:uid="{00000000-0005-0000-0000-0000BD650000}"/>
    <cellStyle name="Normal 2 3 2 13 2 4" xfId="26046" xr:uid="{00000000-0005-0000-0000-0000BE650000}"/>
    <cellStyle name="Normal 2 3 2 13 2 5" xfId="26047" xr:uid="{00000000-0005-0000-0000-0000BF650000}"/>
    <cellStyle name="Normal 2 3 2 13 2 6" xfId="26048" xr:uid="{00000000-0005-0000-0000-0000C0650000}"/>
    <cellStyle name="Normal 2 3 2 13 2 7" xfId="26049" xr:uid="{00000000-0005-0000-0000-0000C1650000}"/>
    <cellStyle name="Normal 2 3 2 13 2 8" xfId="26050" xr:uid="{00000000-0005-0000-0000-0000C2650000}"/>
    <cellStyle name="Normal 2 3 2 13 2 9" xfId="26051" xr:uid="{00000000-0005-0000-0000-0000C3650000}"/>
    <cellStyle name="Normal 2 3 2 13 3" xfId="26052" xr:uid="{00000000-0005-0000-0000-0000C4650000}"/>
    <cellStyle name="Normal 2 3 2 13 3 10" xfId="26053" xr:uid="{00000000-0005-0000-0000-0000C5650000}"/>
    <cellStyle name="Normal 2 3 2 13 3 2" xfId="26054" xr:uid="{00000000-0005-0000-0000-0000C6650000}"/>
    <cellStyle name="Normal 2 3 2 13 3 3" xfId="26055" xr:uid="{00000000-0005-0000-0000-0000C7650000}"/>
    <cellStyle name="Normal 2 3 2 13 3 4" xfId="26056" xr:uid="{00000000-0005-0000-0000-0000C8650000}"/>
    <cellStyle name="Normal 2 3 2 13 3 5" xfId="26057" xr:uid="{00000000-0005-0000-0000-0000C9650000}"/>
    <cellStyle name="Normal 2 3 2 13 3 6" xfId="26058" xr:uid="{00000000-0005-0000-0000-0000CA650000}"/>
    <cellStyle name="Normal 2 3 2 13 3 7" xfId="26059" xr:uid="{00000000-0005-0000-0000-0000CB650000}"/>
    <cellStyle name="Normal 2 3 2 13 3 8" xfId="26060" xr:uid="{00000000-0005-0000-0000-0000CC650000}"/>
    <cellStyle name="Normal 2 3 2 13 3 9" xfId="26061" xr:uid="{00000000-0005-0000-0000-0000CD650000}"/>
    <cellStyle name="Normal 2 3 2 13 4" xfId="26062" xr:uid="{00000000-0005-0000-0000-0000CE650000}"/>
    <cellStyle name="Normal 2 3 2 13 4 10" xfId="26063" xr:uid="{00000000-0005-0000-0000-0000CF650000}"/>
    <cellStyle name="Normal 2 3 2 13 4 2" xfId="26064" xr:uid="{00000000-0005-0000-0000-0000D0650000}"/>
    <cellStyle name="Normal 2 3 2 13 4 3" xfId="26065" xr:uid="{00000000-0005-0000-0000-0000D1650000}"/>
    <cellStyle name="Normal 2 3 2 13 4 4" xfId="26066" xr:uid="{00000000-0005-0000-0000-0000D2650000}"/>
    <cellStyle name="Normal 2 3 2 13 4 5" xfId="26067" xr:uid="{00000000-0005-0000-0000-0000D3650000}"/>
    <cellStyle name="Normal 2 3 2 13 4 6" xfId="26068" xr:uid="{00000000-0005-0000-0000-0000D4650000}"/>
    <cellStyle name="Normal 2 3 2 13 4 7" xfId="26069" xr:uid="{00000000-0005-0000-0000-0000D5650000}"/>
    <cellStyle name="Normal 2 3 2 13 4 8" xfId="26070" xr:uid="{00000000-0005-0000-0000-0000D6650000}"/>
    <cellStyle name="Normal 2 3 2 13 4 9" xfId="26071" xr:uid="{00000000-0005-0000-0000-0000D7650000}"/>
    <cellStyle name="Normal 2 3 2 13 5" xfId="26072" xr:uid="{00000000-0005-0000-0000-0000D8650000}"/>
    <cellStyle name="Normal 2 3 2 13 5 10" xfId="26073" xr:uid="{00000000-0005-0000-0000-0000D9650000}"/>
    <cellStyle name="Normal 2 3 2 13 5 2" xfId="26074" xr:uid="{00000000-0005-0000-0000-0000DA650000}"/>
    <cellStyle name="Normal 2 3 2 13 5 3" xfId="26075" xr:uid="{00000000-0005-0000-0000-0000DB650000}"/>
    <cellStyle name="Normal 2 3 2 13 5 4" xfId="26076" xr:uid="{00000000-0005-0000-0000-0000DC650000}"/>
    <cellStyle name="Normal 2 3 2 13 5 5" xfId="26077" xr:uid="{00000000-0005-0000-0000-0000DD650000}"/>
    <cellStyle name="Normal 2 3 2 13 5 6" xfId="26078" xr:uid="{00000000-0005-0000-0000-0000DE650000}"/>
    <cellStyle name="Normal 2 3 2 13 5 7" xfId="26079" xr:uid="{00000000-0005-0000-0000-0000DF650000}"/>
    <cellStyle name="Normal 2 3 2 13 5 8" xfId="26080" xr:uid="{00000000-0005-0000-0000-0000E0650000}"/>
    <cellStyle name="Normal 2 3 2 13 5 9" xfId="26081" xr:uid="{00000000-0005-0000-0000-0000E1650000}"/>
    <cellStyle name="Normal 2 3 2 13 6" xfId="26082" xr:uid="{00000000-0005-0000-0000-0000E2650000}"/>
    <cellStyle name="Normal 2 3 2 13 7" xfId="26083" xr:uid="{00000000-0005-0000-0000-0000E3650000}"/>
    <cellStyle name="Normal 2 3 2 13 8" xfId="26084" xr:uid="{00000000-0005-0000-0000-0000E4650000}"/>
    <cellStyle name="Normal 2 3 2 13 9" xfId="26085" xr:uid="{00000000-0005-0000-0000-0000E5650000}"/>
    <cellStyle name="Normal 2 3 2 14" xfId="26086" xr:uid="{00000000-0005-0000-0000-0000E6650000}"/>
    <cellStyle name="Normal 2 3 2 14 10" xfId="26087" xr:uid="{00000000-0005-0000-0000-0000E7650000}"/>
    <cellStyle name="Normal 2 3 2 14 11" xfId="26088" xr:uid="{00000000-0005-0000-0000-0000E8650000}"/>
    <cellStyle name="Normal 2 3 2 14 12" xfId="26089" xr:uid="{00000000-0005-0000-0000-0000E9650000}"/>
    <cellStyle name="Normal 2 3 2 14 13" xfId="26090" xr:uid="{00000000-0005-0000-0000-0000EA650000}"/>
    <cellStyle name="Normal 2 3 2 14 14" xfId="26091" xr:uid="{00000000-0005-0000-0000-0000EB650000}"/>
    <cellStyle name="Normal 2 3 2 14 2" xfId="26092" xr:uid="{00000000-0005-0000-0000-0000EC650000}"/>
    <cellStyle name="Normal 2 3 2 14 2 10" xfId="26093" xr:uid="{00000000-0005-0000-0000-0000ED650000}"/>
    <cellStyle name="Normal 2 3 2 14 2 2" xfId="26094" xr:uid="{00000000-0005-0000-0000-0000EE650000}"/>
    <cellStyle name="Normal 2 3 2 14 2 3" xfId="26095" xr:uid="{00000000-0005-0000-0000-0000EF650000}"/>
    <cellStyle name="Normal 2 3 2 14 2 4" xfId="26096" xr:uid="{00000000-0005-0000-0000-0000F0650000}"/>
    <cellStyle name="Normal 2 3 2 14 2 5" xfId="26097" xr:uid="{00000000-0005-0000-0000-0000F1650000}"/>
    <cellStyle name="Normal 2 3 2 14 2 6" xfId="26098" xr:uid="{00000000-0005-0000-0000-0000F2650000}"/>
    <cellStyle name="Normal 2 3 2 14 2 7" xfId="26099" xr:uid="{00000000-0005-0000-0000-0000F3650000}"/>
    <cellStyle name="Normal 2 3 2 14 2 8" xfId="26100" xr:uid="{00000000-0005-0000-0000-0000F4650000}"/>
    <cellStyle name="Normal 2 3 2 14 2 9" xfId="26101" xr:uid="{00000000-0005-0000-0000-0000F5650000}"/>
    <cellStyle name="Normal 2 3 2 14 3" xfId="26102" xr:uid="{00000000-0005-0000-0000-0000F6650000}"/>
    <cellStyle name="Normal 2 3 2 14 3 10" xfId="26103" xr:uid="{00000000-0005-0000-0000-0000F7650000}"/>
    <cellStyle name="Normal 2 3 2 14 3 2" xfId="26104" xr:uid="{00000000-0005-0000-0000-0000F8650000}"/>
    <cellStyle name="Normal 2 3 2 14 3 3" xfId="26105" xr:uid="{00000000-0005-0000-0000-0000F9650000}"/>
    <cellStyle name="Normal 2 3 2 14 3 4" xfId="26106" xr:uid="{00000000-0005-0000-0000-0000FA650000}"/>
    <cellStyle name="Normal 2 3 2 14 3 5" xfId="26107" xr:uid="{00000000-0005-0000-0000-0000FB650000}"/>
    <cellStyle name="Normal 2 3 2 14 3 6" xfId="26108" xr:uid="{00000000-0005-0000-0000-0000FC650000}"/>
    <cellStyle name="Normal 2 3 2 14 3 7" xfId="26109" xr:uid="{00000000-0005-0000-0000-0000FD650000}"/>
    <cellStyle name="Normal 2 3 2 14 3 8" xfId="26110" xr:uid="{00000000-0005-0000-0000-0000FE650000}"/>
    <cellStyle name="Normal 2 3 2 14 3 9" xfId="26111" xr:uid="{00000000-0005-0000-0000-0000FF650000}"/>
    <cellStyle name="Normal 2 3 2 14 4" xfId="26112" xr:uid="{00000000-0005-0000-0000-000000660000}"/>
    <cellStyle name="Normal 2 3 2 14 4 10" xfId="26113" xr:uid="{00000000-0005-0000-0000-000001660000}"/>
    <cellStyle name="Normal 2 3 2 14 4 2" xfId="26114" xr:uid="{00000000-0005-0000-0000-000002660000}"/>
    <cellStyle name="Normal 2 3 2 14 4 3" xfId="26115" xr:uid="{00000000-0005-0000-0000-000003660000}"/>
    <cellStyle name="Normal 2 3 2 14 4 4" xfId="26116" xr:uid="{00000000-0005-0000-0000-000004660000}"/>
    <cellStyle name="Normal 2 3 2 14 4 5" xfId="26117" xr:uid="{00000000-0005-0000-0000-000005660000}"/>
    <cellStyle name="Normal 2 3 2 14 4 6" xfId="26118" xr:uid="{00000000-0005-0000-0000-000006660000}"/>
    <cellStyle name="Normal 2 3 2 14 4 7" xfId="26119" xr:uid="{00000000-0005-0000-0000-000007660000}"/>
    <cellStyle name="Normal 2 3 2 14 4 8" xfId="26120" xr:uid="{00000000-0005-0000-0000-000008660000}"/>
    <cellStyle name="Normal 2 3 2 14 4 9" xfId="26121" xr:uid="{00000000-0005-0000-0000-000009660000}"/>
    <cellStyle name="Normal 2 3 2 14 5" xfId="26122" xr:uid="{00000000-0005-0000-0000-00000A660000}"/>
    <cellStyle name="Normal 2 3 2 14 5 10" xfId="26123" xr:uid="{00000000-0005-0000-0000-00000B660000}"/>
    <cellStyle name="Normal 2 3 2 14 5 2" xfId="26124" xr:uid="{00000000-0005-0000-0000-00000C660000}"/>
    <cellStyle name="Normal 2 3 2 14 5 3" xfId="26125" xr:uid="{00000000-0005-0000-0000-00000D660000}"/>
    <cellStyle name="Normal 2 3 2 14 5 4" xfId="26126" xr:uid="{00000000-0005-0000-0000-00000E660000}"/>
    <cellStyle name="Normal 2 3 2 14 5 5" xfId="26127" xr:uid="{00000000-0005-0000-0000-00000F660000}"/>
    <cellStyle name="Normal 2 3 2 14 5 6" xfId="26128" xr:uid="{00000000-0005-0000-0000-000010660000}"/>
    <cellStyle name="Normal 2 3 2 14 5 7" xfId="26129" xr:uid="{00000000-0005-0000-0000-000011660000}"/>
    <cellStyle name="Normal 2 3 2 14 5 8" xfId="26130" xr:uid="{00000000-0005-0000-0000-000012660000}"/>
    <cellStyle name="Normal 2 3 2 14 5 9" xfId="26131" xr:uid="{00000000-0005-0000-0000-000013660000}"/>
    <cellStyle name="Normal 2 3 2 14 6" xfId="26132" xr:uid="{00000000-0005-0000-0000-000014660000}"/>
    <cellStyle name="Normal 2 3 2 14 7" xfId="26133" xr:uid="{00000000-0005-0000-0000-000015660000}"/>
    <cellStyle name="Normal 2 3 2 14 8" xfId="26134" xr:uid="{00000000-0005-0000-0000-000016660000}"/>
    <cellStyle name="Normal 2 3 2 14 9" xfId="26135" xr:uid="{00000000-0005-0000-0000-000017660000}"/>
    <cellStyle name="Normal 2 3 2 15" xfId="26136" xr:uid="{00000000-0005-0000-0000-000018660000}"/>
    <cellStyle name="Normal 2 3 2 15 10" xfId="26137" xr:uid="{00000000-0005-0000-0000-000019660000}"/>
    <cellStyle name="Normal 2 3 2 15 11" xfId="26138" xr:uid="{00000000-0005-0000-0000-00001A660000}"/>
    <cellStyle name="Normal 2 3 2 15 12" xfId="26139" xr:uid="{00000000-0005-0000-0000-00001B660000}"/>
    <cellStyle name="Normal 2 3 2 15 13" xfId="26140" xr:uid="{00000000-0005-0000-0000-00001C660000}"/>
    <cellStyle name="Normal 2 3 2 15 14" xfId="26141" xr:uid="{00000000-0005-0000-0000-00001D660000}"/>
    <cellStyle name="Normal 2 3 2 15 2" xfId="26142" xr:uid="{00000000-0005-0000-0000-00001E660000}"/>
    <cellStyle name="Normal 2 3 2 15 2 10" xfId="26143" xr:uid="{00000000-0005-0000-0000-00001F660000}"/>
    <cellStyle name="Normal 2 3 2 15 2 2" xfId="26144" xr:uid="{00000000-0005-0000-0000-000020660000}"/>
    <cellStyle name="Normal 2 3 2 15 2 3" xfId="26145" xr:uid="{00000000-0005-0000-0000-000021660000}"/>
    <cellStyle name="Normal 2 3 2 15 2 4" xfId="26146" xr:uid="{00000000-0005-0000-0000-000022660000}"/>
    <cellStyle name="Normal 2 3 2 15 2 5" xfId="26147" xr:uid="{00000000-0005-0000-0000-000023660000}"/>
    <cellStyle name="Normal 2 3 2 15 2 6" xfId="26148" xr:uid="{00000000-0005-0000-0000-000024660000}"/>
    <cellStyle name="Normal 2 3 2 15 2 7" xfId="26149" xr:uid="{00000000-0005-0000-0000-000025660000}"/>
    <cellStyle name="Normal 2 3 2 15 2 8" xfId="26150" xr:uid="{00000000-0005-0000-0000-000026660000}"/>
    <cellStyle name="Normal 2 3 2 15 2 9" xfId="26151" xr:uid="{00000000-0005-0000-0000-000027660000}"/>
    <cellStyle name="Normal 2 3 2 15 3" xfId="26152" xr:uid="{00000000-0005-0000-0000-000028660000}"/>
    <cellStyle name="Normal 2 3 2 15 3 10" xfId="26153" xr:uid="{00000000-0005-0000-0000-000029660000}"/>
    <cellStyle name="Normal 2 3 2 15 3 2" xfId="26154" xr:uid="{00000000-0005-0000-0000-00002A660000}"/>
    <cellStyle name="Normal 2 3 2 15 3 3" xfId="26155" xr:uid="{00000000-0005-0000-0000-00002B660000}"/>
    <cellStyle name="Normal 2 3 2 15 3 4" xfId="26156" xr:uid="{00000000-0005-0000-0000-00002C660000}"/>
    <cellStyle name="Normal 2 3 2 15 3 5" xfId="26157" xr:uid="{00000000-0005-0000-0000-00002D660000}"/>
    <cellStyle name="Normal 2 3 2 15 3 6" xfId="26158" xr:uid="{00000000-0005-0000-0000-00002E660000}"/>
    <cellStyle name="Normal 2 3 2 15 3 7" xfId="26159" xr:uid="{00000000-0005-0000-0000-00002F660000}"/>
    <cellStyle name="Normal 2 3 2 15 3 8" xfId="26160" xr:uid="{00000000-0005-0000-0000-000030660000}"/>
    <cellStyle name="Normal 2 3 2 15 3 9" xfId="26161" xr:uid="{00000000-0005-0000-0000-000031660000}"/>
    <cellStyle name="Normal 2 3 2 15 4" xfId="26162" xr:uid="{00000000-0005-0000-0000-000032660000}"/>
    <cellStyle name="Normal 2 3 2 15 4 10" xfId="26163" xr:uid="{00000000-0005-0000-0000-000033660000}"/>
    <cellStyle name="Normal 2 3 2 15 4 2" xfId="26164" xr:uid="{00000000-0005-0000-0000-000034660000}"/>
    <cellStyle name="Normal 2 3 2 15 4 3" xfId="26165" xr:uid="{00000000-0005-0000-0000-000035660000}"/>
    <cellStyle name="Normal 2 3 2 15 4 4" xfId="26166" xr:uid="{00000000-0005-0000-0000-000036660000}"/>
    <cellStyle name="Normal 2 3 2 15 4 5" xfId="26167" xr:uid="{00000000-0005-0000-0000-000037660000}"/>
    <cellStyle name="Normal 2 3 2 15 4 6" xfId="26168" xr:uid="{00000000-0005-0000-0000-000038660000}"/>
    <cellStyle name="Normal 2 3 2 15 4 7" xfId="26169" xr:uid="{00000000-0005-0000-0000-000039660000}"/>
    <cellStyle name="Normal 2 3 2 15 4 8" xfId="26170" xr:uid="{00000000-0005-0000-0000-00003A660000}"/>
    <cellStyle name="Normal 2 3 2 15 4 9" xfId="26171" xr:uid="{00000000-0005-0000-0000-00003B660000}"/>
    <cellStyle name="Normal 2 3 2 15 5" xfId="26172" xr:uid="{00000000-0005-0000-0000-00003C660000}"/>
    <cellStyle name="Normal 2 3 2 15 5 10" xfId="26173" xr:uid="{00000000-0005-0000-0000-00003D660000}"/>
    <cellStyle name="Normal 2 3 2 15 5 2" xfId="26174" xr:uid="{00000000-0005-0000-0000-00003E660000}"/>
    <cellStyle name="Normal 2 3 2 15 5 3" xfId="26175" xr:uid="{00000000-0005-0000-0000-00003F660000}"/>
    <cellStyle name="Normal 2 3 2 15 5 4" xfId="26176" xr:uid="{00000000-0005-0000-0000-000040660000}"/>
    <cellStyle name="Normal 2 3 2 15 5 5" xfId="26177" xr:uid="{00000000-0005-0000-0000-000041660000}"/>
    <cellStyle name="Normal 2 3 2 15 5 6" xfId="26178" xr:uid="{00000000-0005-0000-0000-000042660000}"/>
    <cellStyle name="Normal 2 3 2 15 5 7" xfId="26179" xr:uid="{00000000-0005-0000-0000-000043660000}"/>
    <cellStyle name="Normal 2 3 2 15 5 8" xfId="26180" xr:uid="{00000000-0005-0000-0000-000044660000}"/>
    <cellStyle name="Normal 2 3 2 15 5 9" xfId="26181" xr:uid="{00000000-0005-0000-0000-000045660000}"/>
    <cellStyle name="Normal 2 3 2 15 6" xfId="26182" xr:uid="{00000000-0005-0000-0000-000046660000}"/>
    <cellStyle name="Normal 2 3 2 15 7" xfId="26183" xr:uid="{00000000-0005-0000-0000-000047660000}"/>
    <cellStyle name="Normal 2 3 2 15 8" xfId="26184" xr:uid="{00000000-0005-0000-0000-000048660000}"/>
    <cellStyle name="Normal 2 3 2 15 9" xfId="26185" xr:uid="{00000000-0005-0000-0000-000049660000}"/>
    <cellStyle name="Normal 2 3 2 16" xfId="26186" xr:uid="{00000000-0005-0000-0000-00004A660000}"/>
    <cellStyle name="Normal 2 3 2 16 10" xfId="26187" xr:uid="{00000000-0005-0000-0000-00004B660000}"/>
    <cellStyle name="Normal 2 3 2 16 11" xfId="26188" xr:uid="{00000000-0005-0000-0000-00004C660000}"/>
    <cellStyle name="Normal 2 3 2 16 12" xfId="26189" xr:uid="{00000000-0005-0000-0000-00004D660000}"/>
    <cellStyle name="Normal 2 3 2 16 13" xfId="26190" xr:uid="{00000000-0005-0000-0000-00004E660000}"/>
    <cellStyle name="Normal 2 3 2 16 14" xfId="26191" xr:uid="{00000000-0005-0000-0000-00004F660000}"/>
    <cellStyle name="Normal 2 3 2 16 2" xfId="26192" xr:uid="{00000000-0005-0000-0000-000050660000}"/>
    <cellStyle name="Normal 2 3 2 16 2 10" xfId="26193" xr:uid="{00000000-0005-0000-0000-000051660000}"/>
    <cellStyle name="Normal 2 3 2 16 2 2" xfId="26194" xr:uid="{00000000-0005-0000-0000-000052660000}"/>
    <cellStyle name="Normal 2 3 2 16 2 3" xfId="26195" xr:uid="{00000000-0005-0000-0000-000053660000}"/>
    <cellStyle name="Normal 2 3 2 16 2 4" xfId="26196" xr:uid="{00000000-0005-0000-0000-000054660000}"/>
    <cellStyle name="Normal 2 3 2 16 2 5" xfId="26197" xr:uid="{00000000-0005-0000-0000-000055660000}"/>
    <cellStyle name="Normal 2 3 2 16 2 6" xfId="26198" xr:uid="{00000000-0005-0000-0000-000056660000}"/>
    <cellStyle name="Normal 2 3 2 16 2 7" xfId="26199" xr:uid="{00000000-0005-0000-0000-000057660000}"/>
    <cellStyle name="Normal 2 3 2 16 2 8" xfId="26200" xr:uid="{00000000-0005-0000-0000-000058660000}"/>
    <cellStyle name="Normal 2 3 2 16 2 9" xfId="26201" xr:uid="{00000000-0005-0000-0000-000059660000}"/>
    <cellStyle name="Normal 2 3 2 16 3" xfId="26202" xr:uid="{00000000-0005-0000-0000-00005A660000}"/>
    <cellStyle name="Normal 2 3 2 16 3 10" xfId="26203" xr:uid="{00000000-0005-0000-0000-00005B660000}"/>
    <cellStyle name="Normal 2 3 2 16 3 2" xfId="26204" xr:uid="{00000000-0005-0000-0000-00005C660000}"/>
    <cellStyle name="Normal 2 3 2 16 3 3" xfId="26205" xr:uid="{00000000-0005-0000-0000-00005D660000}"/>
    <cellStyle name="Normal 2 3 2 16 3 4" xfId="26206" xr:uid="{00000000-0005-0000-0000-00005E660000}"/>
    <cellStyle name="Normal 2 3 2 16 3 5" xfId="26207" xr:uid="{00000000-0005-0000-0000-00005F660000}"/>
    <cellStyle name="Normal 2 3 2 16 3 6" xfId="26208" xr:uid="{00000000-0005-0000-0000-000060660000}"/>
    <cellStyle name="Normal 2 3 2 16 3 7" xfId="26209" xr:uid="{00000000-0005-0000-0000-000061660000}"/>
    <cellStyle name="Normal 2 3 2 16 3 8" xfId="26210" xr:uid="{00000000-0005-0000-0000-000062660000}"/>
    <cellStyle name="Normal 2 3 2 16 3 9" xfId="26211" xr:uid="{00000000-0005-0000-0000-000063660000}"/>
    <cellStyle name="Normal 2 3 2 16 4" xfId="26212" xr:uid="{00000000-0005-0000-0000-000064660000}"/>
    <cellStyle name="Normal 2 3 2 16 4 10" xfId="26213" xr:uid="{00000000-0005-0000-0000-000065660000}"/>
    <cellStyle name="Normal 2 3 2 16 4 2" xfId="26214" xr:uid="{00000000-0005-0000-0000-000066660000}"/>
    <cellStyle name="Normal 2 3 2 16 4 3" xfId="26215" xr:uid="{00000000-0005-0000-0000-000067660000}"/>
    <cellStyle name="Normal 2 3 2 16 4 4" xfId="26216" xr:uid="{00000000-0005-0000-0000-000068660000}"/>
    <cellStyle name="Normal 2 3 2 16 4 5" xfId="26217" xr:uid="{00000000-0005-0000-0000-000069660000}"/>
    <cellStyle name="Normal 2 3 2 16 4 6" xfId="26218" xr:uid="{00000000-0005-0000-0000-00006A660000}"/>
    <cellStyle name="Normal 2 3 2 16 4 7" xfId="26219" xr:uid="{00000000-0005-0000-0000-00006B660000}"/>
    <cellStyle name="Normal 2 3 2 16 4 8" xfId="26220" xr:uid="{00000000-0005-0000-0000-00006C660000}"/>
    <cellStyle name="Normal 2 3 2 16 4 9" xfId="26221" xr:uid="{00000000-0005-0000-0000-00006D660000}"/>
    <cellStyle name="Normal 2 3 2 16 5" xfId="26222" xr:uid="{00000000-0005-0000-0000-00006E660000}"/>
    <cellStyle name="Normal 2 3 2 16 5 10" xfId="26223" xr:uid="{00000000-0005-0000-0000-00006F660000}"/>
    <cellStyle name="Normal 2 3 2 16 5 2" xfId="26224" xr:uid="{00000000-0005-0000-0000-000070660000}"/>
    <cellStyle name="Normal 2 3 2 16 5 3" xfId="26225" xr:uid="{00000000-0005-0000-0000-000071660000}"/>
    <cellStyle name="Normal 2 3 2 16 5 4" xfId="26226" xr:uid="{00000000-0005-0000-0000-000072660000}"/>
    <cellStyle name="Normal 2 3 2 16 5 5" xfId="26227" xr:uid="{00000000-0005-0000-0000-000073660000}"/>
    <cellStyle name="Normal 2 3 2 16 5 6" xfId="26228" xr:uid="{00000000-0005-0000-0000-000074660000}"/>
    <cellStyle name="Normal 2 3 2 16 5 7" xfId="26229" xr:uid="{00000000-0005-0000-0000-000075660000}"/>
    <cellStyle name="Normal 2 3 2 16 5 8" xfId="26230" xr:uid="{00000000-0005-0000-0000-000076660000}"/>
    <cellStyle name="Normal 2 3 2 16 5 9" xfId="26231" xr:uid="{00000000-0005-0000-0000-000077660000}"/>
    <cellStyle name="Normal 2 3 2 16 6" xfId="26232" xr:uid="{00000000-0005-0000-0000-000078660000}"/>
    <cellStyle name="Normal 2 3 2 16 7" xfId="26233" xr:uid="{00000000-0005-0000-0000-000079660000}"/>
    <cellStyle name="Normal 2 3 2 16 8" xfId="26234" xr:uid="{00000000-0005-0000-0000-00007A660000}"/>
    <cellStyle name="Normal 2 3 2 16 9" xfId="26235" xr:uid="{00000000-0005-0000-0000-00007B660000}"/>
    <cellStyle name="Normal 2 3 2 17" xfId="26236" xr:uid="{00000000-0005-0000-0000-00007C660000}"/>
    <cellStyle name="Normal 2 3 2 17 10" xfId="26237" xr:uid="{00000000-0005-0000-0000-00007D660000}"/>
    <cellStyle name="Normal 2 3 2 17 11" xfId="26238" xr:uid="{00000000-0005-0000-0000-00007E660000}"/>
    <cellStyle name="Normal 2 3 2 17 12" xfId="26239" xr:uid="{00000000-0005-0000-0000-00007F660000}"/>
    <cellStyle name="Normal 2 3 2 17 13" xfId="26240" xr:uid="{00000000-0005-0000-0000-000080660000}"/>
    <cellStyle name="Normal 2 3 2 17 14" xfId="26241" xr:uid="{00000000-0005-0000-0000-000081660000}"/>
    <cellStyle name="Normal 2 3 2 17 2" xfId="26242" xr:uid="{00000000-0005-0000-0000-000082660000}"/>
    <cellStyle name="Normal 2 3 2 17 2 10" xfId="26243" xr:uid="{00000000-0005-0000-0000-000083660000}"/>
    <cellStyle name="Normal 2 3 2 17 2 2" xfId="26244" xr:uid="{00000000-0005-0000-0000-000084660000}"/>
    <cellStyle name="Normal 2 3 2 17 2 3" xfId="26245" xr:uid="{00000000-0005-0000-0000-000085660000}"/>
    <cellStyle name="Normal 2 3 2 17 2 4" xfId="26246" xr:uid="{00000000-0005-0000-0000-000086660000}"/>
    <cellStyle name="Normal 2 3 2 17 2 5" xfId="26247" xr:uid="{00000000-0005-0000-0000-000087660000}"/>
    <cellStyle name="Normal 2 3 2 17 2 6" xfId="26248" xr:uid="{00000000-0005-0000-0000-000088660000}"/>
    <cellStyle name="Normal 2 3 2 17 2 7" xfId="26249" xr:uid="{00000000-0005-0000-0000-000089660000}"/>
    <cellStyle name="Normal 2 3 2 17 2 8" xfId="26250" xr:uid="{00000000-0005-0000-0000-00008A660000}"/>
    <cellStyle name="Normal 2 3 2 17 2 9" xfId="26251" xr:uid="{00000000-0005-0000-0000-00008B660000}"/>
    <cellStyle name="Normal 2 3 2 17 3" xfId="26252" xr:uid="{00000000-0005-0000-0000-00008C660000}"/>
    <cellStyle name="Normal 2 3 2 17 3 10" xfId="26253" xr:uid="{00000000-0005-0000-0000-00008D660000}"/>
    <cellStyle name="Normal 2 3 2 17 3 2" xfId="26254" xr:uid="{00000000-0005-0000-0000-00008E660000}"/>
    <cellStyle name="Normal 2 3 2 17 3 3" xfId="26255" xr:uid="{00000000-0005-0000-0000-00008F660000}"/>
    <cellStyle name="Normal 2 3 2 17 3 4" xfId="26256" xr:uid="{00000000-0005-0000-0000-000090660000}"/>
    <cellStyle name="Normal 2 3 2 17 3 5" xfId="26257" xr:uid="{00000000-0005-0000-0000-000091660000}"/>
    <cellStyle name="Normal 2 3 2 17 3 6" xfId="26258" xr:uid="{00000000-0005-0000-0000-000092660000}"/>
    <cellStyle name="Normal 2 3 2 17 3 7" xfId="26259" xr:uid="{00000000-0005-0000-0000-000093660000}"/>
    <cellStyle name="Normal 2 3 2 17 3 8" xfId="26260" xr:uid="{00000000-0005-0000-0000-000094660000}"/>
    <cellStyle name="Normal 2 3 2 17 3 9" xfId="26261" xr:uid="{00000000-0005-0000-0000-000095660000}"/>
    <cellStyle name="Normal 2 3 2 17 4" xfId="26262" xr:uid="{00000000-0005-0000-0000-000096660000}"/>
    <cellStyle name="Normal 2 3 2 17 4 10" xfId="26263" xr:uid="{00000000-0005-0000-0000-000097660000}"/>
    <cellStyle name="Normal 2 3 2 17 4 2" xfId="26264" xr:uid="{00000000-0005-0000-0000-000098660000}"/>
    <cellStyle name="Normal 2 3 2 17 4 3" xfId="26265" xr:uid="{00000000-0005-0000-0000-000099660000}"/>
    <cellStyle name="Normal 2 3 2 17 4 4" xfId="26266" xr:uid="{00000000-0005-0000-0000-00009A660000}"/>
    <cellStyle name="Normal 2 3 2 17 4 5" xfId="26267" xr:uid="{00000000-0005-0000-0000-00009B660000}"/>
    <cellStyle name="Normal 2 3 2 17 4 6" xfId="26268" xr:uid="{00000000-0005-0000-0000-00009C660000}"/>
    <cellStyle name="Normal 2 3 2 17 4 7" xfId="26269" xr:uid="{00000000-0005-0000-0000-00009D660000}"/>
    <cellStyle name="Normal 2 3 2 17 4 8" xfId="26270" xr:uid="{00000000-0005-0000-0000-00009E660000}"/>
    <cellStyle name="Normal 2 3 2 17 4 9" xfId="26271" xr:uid="{00000000-0005-0000-0000-00009F660000}"/>
    <cellStyle name="Normal 2 3 2 17 5" xfId="26272" xr:uid="{00000000-0005-0000-0000-0000A0660000}"/>
    <cellStyle name="Normal 2 3 2 17 5 10" xfId="26273" xr:uid="{00000000-0005-0000-0000-0000A1660000}"/>
    <cellStyle name="Normal 2 3 2 17 5 2" xfId="26274" xr:uid="{00000000-0005-0000-0000-0000A2660000}"/>
    <cellStyle name="Normal 2 3 2 17 5 3" xfId="26275" xr:uid="{00000000-0005-0000-0000-0000A3660000}"/>
    <cellStyle name="Normal 2 3 2 17 5 4" xfId="26276" xr:uid="{00000000-0005-0000-0000-0000A4660000}"/>
    <cellStyle name="Normal 2 3 2 17 5 5" xfId="26277" xr:uid="{00000000-0005-0000-0000-0000A5660000}"/>
    <cellStyle name="Normal 2 3 2 17 5 6" xfId="26278" xr:uid="{00000000-0005-0000-0000-0000A6660000}"/>
    <cellStyle name="Normal 2 3 2 17 5 7" xfId="26279" xr:uid="{00000000-0005-0000-0000-0000A7660000}"/>
    <cellStyle name="Normal 2 3 2 17 5 8" xfId="26280" xr:uid="{00000000-0005-0000-0000-0000A8660000}"/>
    <cellStyle name="Normal 2 3 2 17 5 9" xfId="26281" xr:uid="{00000000-0005-0000-0000-0000A9660000}"/>
    <cellStyle name="Normal 2 3 2 17 6" xfId="26282" xr:uid="{00000000-0005-0000-0000-0000AA660000}"/>
    <cellStyle name="Normal 2 3 2 17 7" xfId="26283" xr:uid="{00000000-0005-0000-0000-0000AB660000}"/>
    <cellStyle name="Normal 2 3 2 17 8" xfId="26284" xr:uid="{00000000-0005-0000-0000-0000AC660000}"/>
    <cellStyle name="Normal 2 3 2 17 9" xfId="26285" xr:uid="{00000000-0005-0000-0000-0000AD660000}"/>
    <cellStyle name="Normal 2 3 2 18" xfId="26286" xr:uid="{00000000-0005-0000-0000-0000AE660000}"/>
    <cellStyle name="Normal 2 3 2 18 10" xfId="26287" xr:uid="{00000000-0005-0000-0000-0000AF660000}"/>
    <cellStyle name="Normal 2 3 2 18 11" xfId="26288" xr:uid="{00000000-0005-0000-0000-0000B0660000}"/>
    <cellStyle name="Normal 2 3 2 18 12" xfId="26289" xr:uid="{00000000-0005-0000-0000-0000B1660000}"/>
    <cellStyle name="Normal 2 3 2 18 13" xfId="26290" xr:uid="{00000000-0005-0000-0000-0000B2660000}"/>
    <cellStyle name="Normal 2 3 2 18 14" xfId="26291" xr:uid="{00000000-0005-0000-0000-0000B3660000}"/>
    <cellStyle name="Normal 2 3 2 18 2" xfId="26292" xr:uid="{00000000-0005-0000-0000-0000B4660000}"/>
    <cellStyle name="Normal 2 3 2 18 2 10" xfId="26293" xr:uid="{00000000-0005-0000-0000-0000B5660000}"/>
    <cellStyle name="Normal 2 3 2 18 2 2" xfId="26294" xr:uid="{00000000-0005-0000-0000-0000B6660000}"/>
    <cellStyle name="Normal 2 3 2 18 2 3" xfId="26295" xr:uid="{00000000-0005-0000-0000-0000B7660000}"/>
    <cellStyle name="Normal 2 3 2 18 2 4" xfId="26296" xr:uid="{00000000-0005-0000-0000-0000B8660000}"/>
    <cellStyle name="Normal 2 3 2 18 2 5" xfId="26297" xr:uid="{00000000-0005-0000-0000-0000B9660000}"/>
    <cellStyle name="Normal 2 3 2 18 2 6" xfId="26298" xr:uid="{00000000-0005-0000-0000-0000BA660000}"/>
    <cellStyle name="Normal 2 3 2 18 2 7" xfId="26299" xr:uid="{00000000-0005-0000-0000-0000BB660000}"/>
    <cellStyle name="Normal 2 3 2 18 2 8" xfId="26300" xr:uid="{00000000-0005-0000-0000-0000BC660000}"/>
    <cellStyle name="Normal 2 3 2 18 2 9" xfId="26301" xr:uid="{00000000-0005-0000-0000-0000BD660000}"/>
    <cellStyle name="Normal 2 3 2 18 3" xfId="26302" xr:uid="{00000000-0005-0000-0000-0000BE660000}"/>
    <cellStyle name="Normal 2 3 2 18 3 10" xfId="26303" xr:uid="{00000000-0005-0000-0000-0000BF660000}"/>
    <cellStyle name="Normal 2 3 2 18 3 2" xfId="26304" xr:uid="{00000000-0005-0000-0000-0000C0660000}"/>
    <cellStyle name="Normal 2 3 2 18 3 3" xfId="26305" xr:uid="{00000000-0005-0000-0000-0000C1660000}"/>
    <cellStyle name="Normal 2 3 2 18 3 4" xfId="26306" xr:uid="{00000000-0005-0000-0000-0000C2660000}"/>
    <cellStyle name="Normal 2 3 2 18 3 5" xfId="26307" xr:uid="{00000000-0005-0000-0000-0000C3660000}"/>
    <cellStyle name="Normal 2 3 2 18 3 6" xfId="26308" xr:uid="{00000000-0005-0000-0000-0000C4660000}"/>
    <cellStyle name="Normal 2 3 2 18 3 7" xfId="26309" xr:uid="{00000000-0005-0000-0000-0000C5660000}"/>
    <cellStyle name="Normal 2 3 2 18 3 8" xfId="26310" xr:uid="{00000000-0005-0000-0000-0000C6660000}"/>
    <cellStyle name="Normal 2 3 2 18 3 9" xfId="26311" xr:uid="{00000000-0005-0000-0000-0000C7660000}"/>
    <cellStyle name="Normal 2 3 2 18 4" xfId="26312" xr:uid="{00000000-0005-0000-0000-0000C8660000}"/>
    <cellStyle name="Normal 2 3 2 18 4 10" xfId="26313" xr:uid="{00000000-0005-0000-0000-0000C9660000}"/>
    <cellStyle name="Normal 2 3 2 18 4 2" xfId="26314" xr:uid="{00000000-0005-0000-0000-0000CA660000}"/>
    <cellStyle name="Normal 2 3 2 18 4 3" xfId="26315" xr:uid="{00000000-0005-0000-0000-0000CB660000}"/>
    <cellStyle name="Normal 2 3 2 18 4 4" xfId="26316" xr:uid="{00000000-0005-0000-0000-0000CC660000}"/>
    <cellStyle name="Normal 2 3 2 18 4 5" xfId="26317" xr:uid="{00000000-0005-0000-0000-0000CD660000}"/>
    <cellStyle name="Normal 2 3 2 18 4 6" xfId="26318" xr:uid="{00000000-0005-0000-0000-0000CE660000}"/>
    <cellStyle name="Normal 2 3 2 18 4 7" xfId="26319" xr:uid="{00000000-0005-0000-0000-0000CF660000}"/>
    <cellStyle name="Normal 2 3 2 18 4 8" xfId="26320" xr:uid="{00000000-0005-0000-0000-0000D0660000}"/>
    <cellStyle name="Normal 2 3 2 18 4 9" xfId="26321" xr:uid="{00000000-0005-0000-0000-0000D1660000}"/>
    <cellStyle name="Normal 2 3 2 18 5" xfId="26322" xr:uid="{00000000-0005-0000-0000-0000D2660000}"/>
    <cellStyle name="Normal 2 3 2 18 5 10" xfId="26323" xr:uid="{00000000-0005-0000-0000-0000D3660000}"/>
    <cellStyle name="Normal 2 3 2 18 5 2" xfId="26324" xr:uid="{00000000-0005-0000-0000-0000D4660000}"/>
    <cellStyle name="Normal 2 3 2 18 5 3" xfId="26325" xr:uid="{00000000-0005-0000-0000-0000D5660000}"/>
    <cellStyle name="Normal 2 3 2 18 5 4" xfId="26326" xr:uid="{00000000-0005-0000-0000-0000D6660000}"/>
    <cellStyle name="Normal 2 3 2 18 5 5" xfId="26327" xr:uid="{00000000-0005-0000-0000-0000D7660000}"/>
    <cellStyle name="Normal 2 3 2 18 5 6" xfId="26328" xr:uid="{00000000-0005-0000-0000-0000D8660000}"/>
    <cellStyle name="Normal 2 3 2 18 5 7" xfId="26329" xr:uid="{00000000-0005-0000-0000-0000D9660000}"/>
    <cellStyle name="Normal 2 3 2 18 5 8" xfId="26330" xr:uid="{00000000-0005-0000-0000-0000DA660000}"/>
    <cellStyle name="Normal 2 3 2 18 5 9" xfId="26331" xr:uid="{00000000-0005-0000-0000-0000DB660000}"/>
    <cellStyle name="Normal 2 3 2 18 6" xfId="26332" xr:uid="{00000000-0005-0000-0000-0000DC660000}"/>
    <cellStyle name="Normal 2 3 2 18 7" xfId="26333" xr:uid="{00000000-0005-0000-0000-0000DD660000}"/>
    <cellStyle name="Normal 2 3 2 18 8" xfId="26334" xr:uid="{00000000-0005-0000-0000-0000DE660000}"/>
    <cellStyle name="Normal 2 3 2 18 9" xfId="26335" xr:uid="{00000000-0005-0000-0000-0000DF660000}"/>
    <cellStyle name="Normal 2 3 2 19" xfId="26336" xr:uid="{00000000-0005-0000-0000-0000E0660000}"/>
    <cellStyle name="Normal 2 3 2 19 10" xfId="26337" xr:uid="{00000000-0005-0000-0000-0000E1660000}"/>
    <cellStyle name="Normal 2 3 2 19 11" xfId="26338" xr:uid="{00000000-0005-0000-0000-0000E2660000}"/>
    <cellStyle name="Normal 2 3 2 19 12" xfId="26339" xr:uid="{00000000-0005-0000-0000-0000E3660000}"/>
    <cellStyle name="Normal 2 3 2 19 13" xfId="26340" xr:uid="{00000000-0005-0000-0000-0000E4660000}"/>
    <cellStyle name="Normal 2 3 2 19 14" xfId="26341" xr:uid="{00000000-0005-0000-0000-0000E5660000}"/>
    <cellStyle name="Normal 2 3 2 19 2" xfId="26342" xr:uid="{00000000-0005-0000-0000-0000E6660000}"/>
    <cellStyle name="Normal 2 3 2 19 2 10" xfId="26343" xr:uid="{00000000-0005-0000-0000-0000E7660000}"/>
    <cellStyle name="Normal 2 3 2 19 2 2" xfId="26344" xr:uid="{00000000-0005-0000-0000-0000E8660000}"/>
    <cellStyle name="Normal 2 3 2 19 2 3" xfId="26345" xr:uid="{00000000-0005-0000-0000-0000E9660000}"/>
    <cellStyle name="Normal 2 3 2 19 2 4" xfId="26346" xr:uid="{00000000-0005-0000-0000-0000EA660000}"/>
    <cellStyle name="Normal 2 3 2 19 2 5" xfId="26347" xr:uid="{00000000-0005-0000-0000-0000EB660000}"/>
    <cellStyle name="Normal 2 3 2 19 2 6" xfId="26348" xr:uid="{00000000-0005-0000-0000-0000EC660000}"/>
    <cellStyle name="Normal 2 3 2 19 2 7" xfId="26349" xr:uid="{00000000-0005-0000-0000-0000ED660000}"/>
    <cellStyle name="Normal 2 3 2 19 2 8" xfId="26350" xr:uid="{00000000-0005-0000-0000-0000EE660000}"/>
    <cellStyle name="Normal 2 3 2 19 2 9" xfId="26351" xr:uid="{00000000-0005-0000-0000-0000EF660000}"/>
    <cellStyle name="Normal 2 3 2 19 3" xfId="26352" xr:uid="{00000000-0005-0000-0000-0000F0660000}"/>
    <cellStyle name="Normal 2 3 2 19 3 10" xfId="26353" xr:uid="{00000000-0005-0000-0000-0000F1660000}"/>
    <cellStyle name="Normal 2 3 2 19 3 2" xfId="26354" xr:uid="{00000000-0005-0000-0000-0000F2660000}"/>
    <cellStyle name="Normal 2 3 2 19 3 3" xfId="26355" xr:uid="{00000000-0005-0000-0000-0000F3660000}"/>
    <cellStyle name="Normal 2 3 2 19 3 4" xfId="26356" xr:uid="{00000000-0005-0000-0000-0000F4660000}"/>
    <cellStyle name="Normal 2 3 2 19 3 5" xfId="26357" xr:uid="{00000000-0005-0000-0000-0000F5660000}"/>
    <cellStyle name="Normal 2 3 2 19 3 6" xfId="26358" xr:uid="{00000000-0005-0000-0000-0000F6660000}"/>
    <cellStyle name="Normal 2 3 2 19 3 7" xfId="26359" xr:uid="{00000000-0005-0000-0000-0000F7660000}"/>
    <cellStyle name="Normal 2 3 2 19 3 8" xfId="26360" xr:uid="{00000000-0005-0000-0000-0000F8660000}"/>
    <cellStyle name="Normal 2 3 2 19 3 9" xfId="26361" xr:uid="{00000000-0005-0000-0000-0000F9660000}"/>
    <cellStyle name="Normal 2 3 2 19 4" xfId="26362" xr:uid="{00000000-0005-0000-0000-0000FA660000}"/>
    <cellStyle name="Normal 2 3 2 19 4 10" xfId="26363" xr:uid="{00000000-0005-0000-0000-0000FB660000}"/>
    <cellStyle name="Normal 2 3 2 19 4 2" xfId="26364" xr:uid="{00000000-0005-0000-0000-0000FC660000}"/>
    <cellStyle name="Normal 2 3 2 19 4 3" xfId="26365" xr:uid="{00000000-0005-0000-0000-0000FD660000}"/>
    <cellStyle name="Normal 2 3 2 19 4 4" xfId="26366" xr:uid="{00000000-0005-0000-0000-0000FE660000}"/>
    <cellStyle name="Normal 2 3 2 19 4 5" xfId="26367" xr:uid="{00000000-0005-0000-0000-0000FF660000}"/>
    <cellStyle name="Normal 2 3 2 19 4 6" xfId="26368" xr:uid="{00000000-0005-0000-0000-000000670000}"/>
    <cellStyle name="Normal 2 3 2 19 4 7" xfId="26369" xr:uid="{00000000-0005-0000-0000-000001670000}"/>
    <cellStyle name="Normal 2 3 2 19 4 8" xfId="26370" xr:uid="{00000000-0005-0000-0000-000002670000}"/>
    <cellStyle name="Normal 2 3 2 19 4 9" xfId="26371" xr:uid="{00000000-0005-0000-0000-000003670000}"/>
    <cellStyle name="Normal 2 3 2 19 5" xfId="26372" xr:uid="{00000000-0005-0000-0000-000004670000}"/>
    <cellStyle name="Normal 2 3 2 19 5 10" xfId="26373" xr:uid="{00000000-0005-0000-0000-000005670000}"/>
    <cellStyle name="Normal 2 3 2 19 5 2" xfId="26374" xr:uid="{00000000-0005-0000-0000-000006670000}"/>
    <cellStyle name="Normal 2 3 2 19 5 3" xfId="26375" xr:uid="{00000000-0005-0000-0000-000007670000}"/>
    <cellStyle name="Normal 2 3 2 19 5 4" xfId="26376" xr:uid="{00000000-0005-0000-0000-000008670000}"/>
    <cellStyle name="Normal 2 3 2 19 5 5" xfId="26377" xr:uid="{00000000-0005-0000-0000-000009670000}"/>
    <cellStyle name="Normal 2 3 2 19 5 6" xfId="26378" xr:uid="{00000000-0005-0000-0000-00000A670000}"/>
    <cellStyle name="Normal 2 3 2 19 5 7" xfId="26379" xr:uid="{00000000-0005-0000-0000-00000B670000}"/>
    <cellStyle name="Normal 2 3 2 19 5 8" xfId="26380" xr:uid="{00000000-0005-0000-0000-00000C670000}"/>
    <cellStyle name="Normal 2 3 2 19 5 9" xfId="26381" xr:uid="{00000000-0005-0000-0000-00000D670000}"/>
    <cellStyle name="Normal 2 3 2 19 6" xfId="26382" xr:uid="{00000000-0005-0000-0000-00000E670000}"/>
    <cellStyle name="Normal 2 3 2 19 7" xfId="26383" xr:uid="{00000000-0005-0000-0000-00000F670000}"/>
    <cellStyle name="Normal 2 3 2 19 8" xfId="26384" xr:uid="{00000000-0005-0000-0000-000010670000}"/>
    <cellStyle name="Normal 2 3 2 19 9" xfId="26385" xr:uid="{00000000-0005-0000-0000-000011670000}"/>
    <cellStyle name="Normal 2 3 2 2" xfId="26386" xr:uid="{00000000-0005-0000-0000-000012670000}"/>
    <cellStyle name="Normal 2 3 2 2 10" xfId="26387" xr:uid="{00000000-0005-0000-0000-000013670000}"/>
    <cellStyle name="Normal 2 3 2 2 11" xfId="26388" xr:uid="{00000000-0005-0000-0000-000014670000}"/>
    <cellStyle name="Normal 2 3 2 2 12" xfId="26389" xr:uid="{00000000-0005-0000-0000-000015670000}"/>
    <cellStyle name="Normal 2 3 2 2 13" xfId="26390" xr:uid="{00000000-0005-0000-0000-000016670000}"/>
    <cellStyle name="Normal 2 3 2 2 14" xfId="26391" xr:uid="{00000000-0005-0000-0000-000017670000}"/>
    <cellStyle name="Normal 2 3 2 2 15" xfId="26392" xr:uid="{00000000-0005-0000-0000-000018670000}"/>
    <cellStyle name="Normal 2 3 2 2 16" xfId="26393" xr:uid="{00000000-0005-0000-0000-000019670000}"/>
    <cellStyle name="Normal 2 3 2 2 2" xfId="26394" xr:uid="{00000000-0005-0000-0000-00001A670000}"/>
    <cellStyle name="Normal 2 3 2 2 2 10" xfId="26395" xr:uid="{00000000-0005-0000-0000-00001B670000}"/>
    <cellStyle name="Normal 2 3 2 2 2 11" xfId="26396" xr:uid="{00000000-0005-0000-0000-00001C670000}"/>
    <cellStyle name="Normal 2 3 2 2 2 12" xfId="26397" xr:uid="{00000000-0005-0000-0000-00001D670000}"/>
    <cellStyle name="Normal 2 3 2 2 2 2" xfId="26398" xr:uid="{00000000-0005-0000-0000-00001E670000}"/>
    <cellStyle name="Normal 2 3 2 2 2 3" xfId="26399" xr:uid="{00000000-0005-0000-0000-00001F670000}"/>
    <cellStyle name="Normal 2 3 2 2 2 4" xfId="26400" xr:uid="{00000000-0005-0000-0000-000020670000}"/>
    <cellStyle name="Normal 2 3 2 2 2 5" xfId="26401" xr:uid="{00000000-0005-0000-0000-000021670000}"/>
    <cellStyle name="Normal 2 3 2 2 2 6" xfId="26402" xr:uid="{00000000-0005-0000-0000-000022670000}"/>
    <cellStyle name="Normal 2 3 2 2 2 7" xfId="26403" xr:uid="{00000000-0005-0000-0000-000023670000}"/>
    <cellStyle name="Normal 2 3 2 2 2 8" xfId="26404" xr:uid="{00000000-0005-0000-0000-000024670000}"/>
    <cellStyle name="Normal 2 3 2 2 2 9" xfId="26405" xr:uid="{00000000-0005-0000-0000-000025670000}"/>
    <cellStyle name="Normal 2 3 2 2 3" xfId="26406" xr:uid="{00000000-0005-0000-0000-000026670000}"/>
    <cellStyle name="Normal 2 3 2 2 3 10" xfId="26407" xr:uid="{00000000-0005-0000-0000-000027670000}"/>
    <cellStyle name="Normal 2 3 2 2 3 2" xfId="26408" xr:uid="{00000000-0005-0000-0000-000028670000}"/>
    <cellStyle name="Normal 2 3 2 2 3 3" xfId="26409" xr:uid="{00000000-0005-0000-0000-000029670000}"/>
    <cellStyle name="Normal 2 3 2 2 3 4" xfId="26410" xr:uid="{00000000-0005-0000-0000-00002A670000}"/>
    <cellStyle name="Normal 2 3 2 2 3 5" xfId="26411" xr:uid="{00000000-0005-0000-0000-00002B670000}"/>
    <cellStyle name="Normal 2 3 2 2 3 6" xfId="26412" xr:uid="{00000000-0005-0000-0000-00002C670000}"/>
    <cellStyle name="Normal 2 3 2 2 3 7" xfId="26413" xr:uid="{00000000-0005-0000-0000-00002D670000}"/>
    <cellStyle name="Normal 2 3 2 2 3 8" xfId="26414" xr:uid="{00000000-0005-0000-0000-00002E670000}"/>
    <cellStyle name="Normal 2 3 2 2 3 9" xfId="26415" xr:uid="{00000000-0005-0000-0000-00002F670000}"/>
    <cellStyle name="Normal 2 3 2 2 4" xfId="26416" xr:uid="{00000000-0005-0000-0000-000030670000}"/>
    <cellStyle name="Normal 2 3 2 2 4 10" xfId="26417" xr:uid="{00000000-0005-0000-0000-000031670000}"/>
    <cellStyle name="Normal 2 3 2 2 4 2" xfId="26418" xr:uid="{00000000-0005-0000-0000-000032670000}"/>
    <cellStyle name="Normal 2 3 2 2 4 3" xfId="26419" xr:uid="{00000000-0005-0000-0000-000033670000}"/>
    <cellStyle name="Normal 2 3 2 2 4 4" xfId="26420" xr:uid="{00000000-0005-0000-0000-000034670000}"/>
    <cellStyle name="Normal 2 3 2 2 4 5" xfId="26421" xr:uid="{00000000-0005-0000-0000-000035670000}"/>
    <cellStyle name="Normal 2 3 2 2 4 6" xfId="26422" xr:uid="{00000000-0005-0000-0000-000036670000}"/>
    <cellStyle name="Normal 2 3 2 2 4 7" xfId="26423" xr:uid="{00000000-0005-0000-0000-000037670000}"/>
    <cellStyle name="Normal 2 3 2 2 4 8" xfId="26424" xr:uid="{00000000-0005-0000-0000-000038670000}"/>
    <cellStyle name="Normal 2 3 2 2 4 9" xfId="26425" xr:uid="{00000000-0005-0000-0000-000039670000}"/>
    <cellStyle name="Normal 2 3 2 2 5" xfId="26426" xr:uid="{00000000-0005-0000-0000-00003A670000}"/>
    <cellStyle name="Normal 2 3 2 2 5 10" xfId="26427" xr:uid="{00000000-0005-0000-0000-00003B670000}"/>
    <cellStyle name="Normal 2 3 2 2 5 2" xfId="26428" xr:uid="{00000000-0005-0000-0000-00003C670000}"/>
    <cellStyle name="Normal 2 3 2 2 5 3" xfId="26429" xr:uid="{00000000-0005-0000-0000-00003D670000}"/>
    <cellStyle name="Normal 2 3 2 2 5 4" xfId="26430" xr:uid="{00000000-0005-0000-0000-00003E670000}"/>
    <cellStyle name="Normal 2 3 2 2 5 5" xfId="26431" xr:uid="{00000000-0005-0000-0000-00003F670000}"/>
    <cellStyle name="Normal 2 3 2 2 5 6" xfId="26432" xr:uid="{00000000-0005-0000-0000-000040670000}"/>
    <cellStyle name="Normal 2 3 2 2 5 7" xfId="26433" xr:uid="{00000000-0005-0000-0000-000041670000}"/>
    <cellStyle name="Normal 2 3 2 2 5 8" xfId="26434" xr:uid="{00000000-0005-0000-0000-000042670000}"/>
    <cellStyle name="Normal 2 3 2 2 5 9" xfId="26435" xr:uid="{00000000-0005-0000-0000-000043670000}"/>
    <cellStyle name="Normal 2 3 2 2 6" xfId="26436" xr:uid="{00000000-0005-0000-0000-000044670000}"/>
    <cellStyle name="Normal 2 3 2 2 7" xfId="26437" xr:uid="{00000000-0005-0000-0000-000045670000}"/>
    <cellStyle name="Normal 2 3 2 2 8" xfId="26438" xr:uid="{00000000-0005-0000-0000-000046670000}"/>
    <cellStyle name="Normal 2 3 2 2 9" xfId="26439" xr:uid="{00000000-0005-0000-0000-000047670000}"/>
    <cellStyle name="Normal 2 3 2 20" xfId="26440" xr:uid="{00000000-0005-0000-0000-000048670000}"/>
    <cellStyle name="Normal 2 3 2 20 10" xfId="26441" xr:uid="{00000000-0005-0000-0000-000049670000}"/>
    <cellStyle name="Normal 2 3 2 20 11" xfId="26442" xr:uid="{00000000-0005-0000-0000-00004A670000}"/>
    <cellStyle name="Normal 2 3 2 20 12" xfId="26443" xr:uid="{00000000-0005-0000-0000-00004B670000}"/>
    <cellStyle name="Normal 2 3 2 20 13" xfId="26444" xr:uid="{00000000-0005-0000-0000-00004C670000}"/>
    <cellStyle name="Normal 2 3 2 20 14" xfId="26445" xr:uid="{00000000-0005-0000-0000-00004D670000}"/>
    <cellStyle name="Normal 2 3 2 20 2" xfId="26446" xr:uid="{00000000-0005-0000-0000-00004E670000}"/>
    <cellStyle name="Normal 2 3 2 20 2 10" xfId="26447" xr:uid="{00000000-0005-0000-0000-00004F670000}"/>
    <cellStyle name="Normal 2 3 2 20 2 2" xfId="26448" xr:uid="{00000000-0005-0000-0000-000050670000}"/>
    <cellStyle name="Normal 2 3 2 20 2 3" xfId="26449" xr:uid="{00000000-0005-0000-0000-000051670000}"/>
    <cellStyle name="Normal 2 3 2 20 2 4" xfId="26450" xr:uid="{00000000-0005-0000-0000-000052670000}"/>
    <cellStyle name="Normal 2 3 2 20 2 5" xfId="26451" xr:uid="{00000000-0005-0000-0000-000053670000}"/>
    <cellStyle name="Normal 2 3 2 20 2 6" xfId="26452" xr:uid="{00000000-0005-0000-0000-000054670000}"/>
    <cellStyle name="Normal 2 3 2 20 2 7" xfId="26453" xr:uid="{00000000-0005-0000-0000-000055670000}"/>
    <cellStyle name="Normal 2 3 2 20 2 8" xfId="26454" xr:uid="{00000000-0005-0000-0000-000056670000}"/>
    <cellStyle name="Normal 2 3 2 20 2 9" xfId="26455" xr:uid="{00000000-0005-0000-0000-000057670000}"/>
    <cellStyle name="Normal 2 3 2 20 3" xfId="26456" xr:uid="{00000000-0005-0000-0000-000058670000}"/>
    <cellStyle name="Normal 2 3 2 20 3 10" xfId="26457" xr:uid="{00000000-0005-0000-0000-000059670000}"/>
    <cellStyle name="Normal 2 3 2 20 3 2" xfId="26458" xr:uid="{00000000-0005-0000-0000-00005A670000}"/>
    <cellStyle name="Normal 2 3 2 20 3 3" xfId="26459" xr:uid="{00000000-0005-0000-0000-00005B670000}"/>
    <cellStyle name="Normal 2 3 2 20 3 4" xfId="26460" xr:uid="{00000000-0005-0000-0000-00005C670000}"/>
    <cellStyle name="Normal 2 3 2 20 3 5" xfId="26461" xr:uid="{00000000-0005-0000-0000-00005D670000}"/>
    <cellStyle name="Normal 2 3 2 20 3 6" xfId="26462" xr:uid="{00000000-0005-0000-0000-00005E670000}"/>
    <cellStyle name="Normal 2 3 2 20 3 7" xfId="26463" xr:uid="{00000000-0005-0000-0000-00005F670000}"/>
    <cellStyle name="Normal 2 3 2 20 3 8" xfId="26464" xr:uid="{00000000-0005-0000-0000-000060670000}"/>
    <cellStyle name="Normal 2 3 2 20 3 9" xfId="26465" xr:uid="{00000000-0005-0000-0000-000061670000}"/>
    <cellStyle name="Normal 2 3 2 20 4" xfId="26466" xr:uid="{00000000-0005-0000-0000-000062670000}"/>
    <cellStyle name="Normal 2 3 2 20 4 10" xfId="26467" xr:uid="{00000000-0005-0000-0000-000063670000}"/>
    <cellStyle name="Normal 2 3 2 20 4 2" xfId="26468" xr:uid="{00000000-0005-0000-0000-000064670000}"/>
    <cellStyle name="Normal 2 3 2 20 4 3" xfId="26469" xr:uid="{00000000-0005-0000-0000-000065670000}"/>
    <cellStyle name="Normal 2 3 2 20 4 4" xfId="26470" xr:uid="{00000000-0005-0000-0000-000066670000}"/>
    <cellStyle name="Normal 2 3 2 20 4 5" xfId="26471" xr:uid="{00000000-0005-0000-0000-000067670000}"/>
    <cellStyle name="Normal 2 3 2 20 4 6" xfId="26472" xr:uid="{00000000-0005-0000-0000-000068670000}"/>
    <cellStyle name="Normal 2 3 2 20 4 7" xfId="26473" xr:uid="{00000000-0005-0000-0000-000069670000}"/>
    <cellStyle name="Normal 2 3 2 20 4 8" xfId="26474" xr:uid="{00000000-0005-0000-0000-00006A670000}"/>
    <cellStyle name="Normal 2 3 2 20 4 9" xfId="26475" xr:uid="{00000000-0005-0000-0000-00006B670000}"/>
    <cellStyle name="Normal 2 3 2 20 5" xfId="26476" xr:uid="{00000000-0005-0000-0000-00006C670000}"/>
    <cellStyle name="Normal 2 3 2 20 5 10" xfId="26477" xr:uid="{00000000-0005-0000-0000-00006D670000}"/>
    <cellStyle name="Normal 2 3 2 20 5 2" xfId="26478" xr:uid="{00000000-0005-0000-0000-00006E670000}"/>
    <cellStyle name="Normal 2 3 2 20 5 3" xfId="26479" xr:uid="{00000000-0005-0000-0000-00006F670000}"/>
    <cellStyle name="Normal 2 3 2 20 5 4" xfId="26480" xr:uid="{00000000-0005-0000-0000-000070670000}"/>
    <cellStyle name="Normal 2 3 2 20 5 5" xfId="26481" xr:uid="{00000000-0005-0000-0000-000071670000}"/>
    <cellStyle name="Normal 2 3 2 20 5 6" xfId="26482" xr:uid="{00000000-0005-0000-0000-000072670000}"/>
    <cellStyle name="Normal 2 3 2 20 5 7" xfId="26483" xr:uid="{00000000-0005-0000-0000-000073670000}"/>
    <cellStyle name="Normal 2 3 2 20 5 8" xfId="26484" xr:uid="{00000000-0005-0000-0000-000074670000}"/>
    <cellStyle name="Normal 2 3 2 20 5 9" xfId="26485" xr:uid="{00000000-0005-0000-0000-000075670000}"/>
    <cellStyle name="Normal 2 3 2 20 6" xfId="26486" xr:uid="{00000000-0005-0000-0000-000076670000}"/>
    <cellStyle name="Normal 2 3 2 20 7" xfId="26487" xr:uid="{00000000-0005-0000-0000-000077670000}"/>
    <cellStyle name="Normal 2 3 2 20 8" xfId="26488" xr:uid="{00000000-0005-0000-0000-000078670000}"/>
    <cellStyle name="Normal 2 3 2 20 9" xfId="26489" xr:uid="{00000000-0005-0000-0000-000079670000}"/>
    <cellStyle name="Normal 2 3 2 21" xfId="26490" xr:uid="{00000000-0005-0000-0000-00007A670000}"/>
    <cellStyle name="Normal 2 3 2 21 10" xfId="26491" xr:uid="{00000000-0005-0000-0000-00007B670000}"/>
    <cellStyle name="Normal 2 3 2 21 11" xfId="26492" xr:uid="{00000000-0005-0000-0000-00007C670000}"/>
    <cellStyle name="Normal 2 3 2 21 12" xfId="26493" xr:uid="{00000000-0005-0000-0000-00007D670000}"/>
    <cellStyle name="Normal 2 3 2 21 13" xfId="26494" xr:uid="{00000000-0005-0000-0000-00007E670000}"/>
    <cellStyle name="Normal 2 3 2 21 14" xfId="26495" xr:uid="{00000000-0005-0000-0000-00007F670000}"/>
    <cellStyle name="Normal 2 3 2 21 2" xfId="26496" xr:uid="{00000000-0005-0000-0000-000080670000}"/>
    <cellStyle name="Normal 2 3 2 21 2 10" xfId="26497" xr:uid="{00000000-0005-0000-0000-000081670000}"/>
    <cellStyle name="Normal 2 3 2 21 2 2" xfId="26498" xr:uid="{00000000-0005-0000-0000-000082670000}"/>
    <cellStyle name="Normal 2 3 2 21 2 3" xfId="26499" xr:uid="{00000000-0005-0000-0000-000083670000}"/>
    <cellStyle name="Normal 2 3 2 21 2 4" xfId="26500" xr:uid="{00000000-0005-0000-0000-000084670000}"/>
    <cellStyle name="Normal 2 3 2 21 2 5" xfId="26501" xr:uid="{00000000-0005-0000-0000-000085670000}"/>
    <cellStyle name="Normal 2 3 2 21 2 6" xfId="26502" xr:uid="{00000000-0005-0000-0000-000086670000}"/>
    <cellStyle name="Normal 2 3 2 21 2 7" xfId="26503" xr:uid="{00000000-0005-0000-0000-000087670000}"/>
    <cellStyle name="Normal 2 3 2 21 2 8" xfId="26504" xr:uid="{00000000-0005-0000-0000-000088670000}"/>
    <cellStyle name="Normal 2 3 2 21 2 9" xfId="26505" xr:uid="{00000000-0005-0000-0000-000089670000}"/>
    <cellStyle name="Normal 2 3 2 21 3" xfId="26506" xr:uid="{00000000-0005-0000-0000-00008A670000}"/>
    <cellStyle name="Normal 2 3 2 21 3 10" xfId="26507" xr:uid="{00000000-0005-0000-0000-00008B670000}"/>
    <cellStyle name="Normal 2 3 2 21 3 2" xfId="26508" xr:uid="{00000000-0005-0000-0000-00008C670000}"/>
    <cellStyle name="Normal 2 3 2 21 3 3" xfId="26509" xr:uid="{00000000-0005-0000-0000-00008D670000}"/>
    <cellStyle name="Normal 2 3 2 21 3 4" xfId="26510" xr:uid="{00000000-0005-0000-0000-00008E670000}"/>
    <cellStyle name="Normal 2 3 2 21 3 5" xfId="26511" xr:uid="{00000000-0005-0000-0000-00008F670000}"/>
    <cellStyle name="Normal 2 3 2 21 3 6" xfId="26512" xr:uid="{00000000-0005-0000-0000-000090670000}"/>
    <cellStyle name="Normal 2 3 2 21 3 7" xfId="26513" xr:uid="{00000000-0005-0000-0000-000091670000}"/>
    <cellStyle name="Normal 2 3 2 21 3 8" xfId="26514" xr:uid="{00000000-0005-0000-0000-000092670000}"/>
    <cellStyle name="Normal 2 3 2 21 3 9" xfId="26515" xr:uid="{00000000-0005-0000-0000-000093670000}"/>
    <cellStyle name="Normal 2 3 2 21 4" xfId="26516" xr:uid="{00000000-0005-0000-0000-000094670000}"/>
    <cellStyle name="Normal 2 3 2 21 4 10" xfId="26517" xr:uid="{00000000-0005-0000-0000-000095670000}"/>
    <cellStyle name="Normal 2 3 2 21 4 2" xfId="26518" xr:uid="{00000000-0005-0000-0000-000096670000}"/>
    <cellStyle name="Normal 2 3 2 21 4 3" xfId="26519" xr:uid="{00000000-0005-0000-0000-000097670000}"/>
    <cellStyle name="Normal 2 3 2 21 4 4" xfId="26520" xr:uid="{00000000-0005-0000-0000-000098670000}"/>
    <cellStyle name="Normal 2 3 2 21 4 5" xfId="26521" xr:uid="{00000000-0005-0000-0000-000099670000}"/>
    <cellStyle name="Normal 2 3 2 21 4 6" xfId="26522" xr:uid="{00000000-0005-0000-0000-00009A670000}"/>
    <cellStyle name="Normal 2 3 2 21 4 7" xfId="26523" xr:uid="{00000000-0005-0000-0000-00009B670000}"/>
    <cellStyle name="Normal 2 3 2 21 4 8" xfId="26524" xr:uid="{00000000-0005-0000-0000-00009C670000}"/>
    <cellStyle name="Normal 2 3 2 21 4 9" xfId="26525" xr:uid="{00000000-0005-0000-0000-00009D670000}"/>
    <cellStyle name="Normal 2 3 2 21 5" xfId="26526" xr:uid="{00000000-0005-0000-0000-00009E670000}"/>
    <cellStyle name="Normal 2 3 2 21 5 10" xfId="26527" xr:uid="{00000000-0005-0000-0000-00009F670000}"/>
    <cellStyle name="Normal 2 3 2 21 5 2" xfId="26528" xr:uid="{00000000-0005-0000-0000-0000A0670000}"/>
    <cellStyle name="Normal 2 3 2 21 5 3" xfId="26529" xr:uid="{00000000-0005-0000-0000-0000A1670000}"/>
    <cellStyle name="Normal 2 3 2 21 5 4" xfId="26530" xr:uid="{00000000-0005-0000-0000-0000A2670000}"/>
    <cellStyle name="Normal 2 3 2 21 5 5" xfId="26531" xr:uid="{00000000-0005-0000-0000-0000A3670000}"/>
    <cellStyle name="Normal 2 3 2 21 5 6" xfId="26532" xr:uid="{00000000-0005-0000-0000-0000A4670000}"/>
    <cellStyle name="Normal 2 3 2 21 5 7" xfId="26533" xr:uid="{00000000-0005-0000-0000-0000A5670000}"/>
    <cellStyle name="Normal 2 3 2 21 5 8" xfId="26534" xr:uid="{00000000-0005-0000-0000-0000A6670000}"/>
    <cellStyle name="Normal 2 3 2 21 5 9" xfId="26535" xr:uid="{00000000-0005-0000-0000-0000A7670000}"/>
    <cellStyle name="Normal 2 3 2 21 6" xfId="26536" xr:uid="{00000000-0005-0000-0000-0000A8670000}"/>
    <cellStyle name="Normal 2 3 2 21 7" xfId="26537" xr:uid="{00000000-0005-0000-0000-0000A9670000}"/>
    <cellStyle name="Normal 2 3 2 21 8" xfId="26538" xr:uid="{00000000-0005-0000-0000-0000AA670000}"/>
    <cellStyle name="Normal 2 3 2 21 9" xfId="26539" xr:uid="{00000000-0005-0000-0000-0000AB670000}"/>
    <cellStyle name="Normal 2 3 2 22" xfId="26540" xr:uid="{00000000-0005-0000-0000-0000AC670000}"/>
    <cellStyle name="Normal 2 3 2 22 10" xfId="26541" xr:uid="{00000000-0005-0000-0000-0000AD670000}"/>
    <cellStyle name="Normal 2 3 2 22 11" xfId="26542" xr:uid="{00000000-0005-0000-0000-0000AE670000}"/>
    <cellStyle name="Normal 2 3 2 22 12" xfId="26543" xr:uid="{00000000-0005-0000-0000-0000AF670000}"/>
    <cellStyle name="Normal 2 3 2 22 13" xfId="26544" xr:uid="{00000000-0005-0000-0000-0000B0670000}"/>
    <cellStyle name="Normal 2 3 2 22 14" xfId="26545" xr:uid="{00000000-0005-0000-0000-0000B1670000}"/>
    <cellStyle name="Normal 2 3 2 22 2" xfId="26546" xr:uid="{00000000-0005-0000-0000-0000B2670000}"/>
    <cellStyle name="Normal 2 3 2 22 2 10" xfId="26547" xr:uid="{00000000-0005-0000-0000-0000B3670000}"/>
    <cellStyle name="Normal 2 3 2 22 2 2" xfId="26548" xr:uid="{00000000-0005-0000-0000-0000B4670000}"/>
    <cellStyle name="Normal 2 3 2 22 2 3" xfId="26549" xr:uid="{00000000-0005-0000-0000-0000B5670000}"/>
    <cellStyle name="Normal 2 3 2 22 2 4" xfId="26550" xr:uid="{00000000-0005-0000-0000-0000B6670000}"/>
    <cellStyle name="Normal 2 3 2 22 2 5" xfId="26551" xr:uid="{00000000-0005-0000-0000-0000B7670000}"/>
    <cellStyle name="Normal 2 3 2 22 2 6" xfId="26552" xr:uid="{00000000-0005-0000-0000-0000B8670000}"/>
    <cellStyle name="Normal 2 3 2 22 2 7" xfId="26553" xr:uid="{00000000-0005-0000-0000-0000B9670000}"/>
    <cellStyle name="Normal 2 3 2 22 2 8" xfId="26554" xr:uid="{00000000-0005-0000-0000-0000BA670000}"/>
    <cellStyle name="Normal 2 3 2 22 2 9" xfId="26555" xr:uid="{00000000-0005-0000-0000-0000BB670000}"/>
    <cellStyle name="Normal 2 3 2 22 3" xfId="26556" xr:uid="{00000000-0005-0000-0000-0000BC670000}"/>
    <cellStyle name="Normal 2 3 2 22 3 10" xfId="26557" xr:uid="{00000000-0005-0000-0000-0000BD670000}"/>
    <cellStyle name="Normal 2 3 2 22 3 2" xfId="26558" xr:uid="{00000000-0005-0000-0000-0000BE670000}"/>
    <cellStyle name="Normal 2 3 2 22 3 3" xfId="26559" xr:uid="{00000000-0005-0000-0000-0000BF670000}"/>
    <cellStyle name="Normal 2 3 2 22 3 4" xfId="26560" xr:uid="{00000000-0005-0000-0000-0000C0670000}"/>
    <cellStyle name="Normal 2 3 2 22 3 5" xfId="26561" xr:uid="{00000000-0005-0000-0000-0000C1670000}"/>
    <cellStyle name="Normal 2 3 2 22 3 6" xfId="26562" xr:uid="{00000000-0005-0000-0000-0000C2670000}"/>
    <cellStyle name="Normal 2 3 2 22 3 7" xfId="26563" xr:uid="{00000000-0005-0000-0000-0000C3670000}"/>
    <cellStyle name="Normal 2 3 2 22 3 8" xfId="26564" xr:uid="{00000000-0005-0000-0000-0000C4670000}"/>
    <cellStyle name="Normal 2 3 2 22 3 9" xfId="26565" xr:uid="{00000000-0005-0000-0000-0000C5670000}"/>
    <cellStyle name="Normal 2 3 2 22 4" xfId="26566" xr:uid="{00000000-0005-0000-0000-0000C6670000}"/>
    <cellStyle name="Normal 2 3 2 22 4 10" xfId="26567" xr:uid="{00000000-0005-0000-0000-0000C7670000}"/>
    <cellStyle name="Normal 2 3 2 22 4 2" xfId="26568" xr:uid="{00000000-0005-0000-0000-0000C8670000}"/>
    <cellStyle name="Normal 2 3 2 22 4 3" xfId="26569" xr:uid="{00000000-0005-0000-0000-0000C9670000}"/>
    <cellStyle name="Normal 2 3 2 22 4 4" xfId="26570" xr:uid="{00000000-0005-0000-0000-0000CA670000}"/>
    <cellStyle name="Normal 2 3 2 22 4 5" xfId="26571" xr:uid="{00000000-0005-0000-0000-0000CB670000}"/>
    <cellStyle name="Normal 2 3 2 22 4 6" xfId="26572" xr:uid="{00000000-0005-0000-0000-0000CC670000}"/>
    <cellStyle name="Normal 2 3 2 22 4 7" xfId="26573" xr:uid="{00000000-0005-0000-0000-0000CD670000}"/>
    <cellStyle name="Normal 2 3 2 22 4 8" xfId="26574" xr:uid="{00000000-0005-0000-0000-0000CE670000}"/>
    <cellStyle name="Normal 2 3 2 22 4 9" xfId="26575" xr:uid="{00000000-0005-0000-0000-0000CF670000}"/>
    <cellStyle name="Normal 2 3 2 22 5" xfId="26576" xr:uid="{00000000-0005-0000-0000-0000D0670000}"/>
    <cellStyle name="Normal 2 3 2 22 5 10" xfId="26577" xr:uid="{00000000-0005-0000-0000-0000D1670000}"/>
    <cellStyle name="Normal 2 3 2 22 5 2" xfId="26578" xr:uid="{00000000-0005-0000-0000-0000D2670000}"/>
    <cellStyle name="Normal 2 3 2 22 5 3" xfId="26579" xr:uid="{00000000-0005-0000-0000-0000D3670000}"/>
    <cellStyle name="Normal 2 3 2 22 5 4" xfId="26580" xr:uid="{00000000-0005-0000-0000-0000D4670000}"/>
    <cellStyle name="Normal 2 3 2 22 5 5" xfId="26581" xr:uid="{00000000-0005-0000-0000-0000D5670000}"/>
    <cellStyle name="Normal 2 3 2 22 5 6" xfId="26582" xr:uid="{00000000-0005-0000-0000-0000D6670000}"/>
    <cellStyle name="Normal 2 3 2 22 5 7" xfId="26583" xr:uid="{00000000-0005-0000-0000-0000D7670000}"/>
    <cellStyle name="Normal 2 3 2 22 5 8" xfId="26584" xr:uid="{00000000-0005-0000-0000-0000D8670000}"/>
    <cellStyle name="Normal 2 3 2 22 5 9" xfId="26585" xr:uid="{00000000-0005-0000-0000-0000D9670000}"/>
    <cellStyle name="Normal 2 3 2 22 6" xfId="26586" xr:uid="{00000000-0005-0000-0000-0000DA670000}"/>
    <cellStyle name="Normal 2 3 2 22 7" xfId="26587" xr:uid="{00000000-0005-0000-0000-0000DB670000}"/>
    <cellStyle name="Normal 2 3 2 22 8" xfId="26588" xr:uid="{00000000-0005-0000-0000-0000DC670000}"/>
    <cellStyle name="Normal 2 3 2 22 9" xfId="26589" xr:uid="{00000000-0005-0000-0000-0000DD670000}"/>
    <cellStyle name="Normal 2 3 2 23" xfId="26590" xr:uid="{00000000-0005-0000-0000-0000DE670000}"/>
    <cellStyle name="Normal 2 3 2 23 10" xfId="26591" xr:uid="{00000000-0005-0000-0000-0000DF670000}"/>
    <cellStyle name="Normal 2 3 2 23 11" xfId="26592" xr:uid="{00000000-0005-0000-0000-0000E0670000}"/>
    <cellStyle name="Normal 2 3 2 23 12" xfId="26593" xr:uid="{00000000-0005-0000-0000-0000E1670000}"/>
    <cellStyle name="Normal 2 3 2 23 13" xfId="26594" xr:uid="{00000000-0005-0000-0000-0000E2670000}"/>
    <cellStyle name="Normal 2 3 2 23 14" xfId="26595" xr:uid="{00000000-0005-0000-0000-0000E3670000}"/>
    <cellStyle name="Normal 2 3 2 23 2" xfId="26596" xr:uid="{00000000-0005-0000-0000-0000E4670000}"/>
    <cellStyle name="Normal 2 3 2 23 2 10" xfId="26597" xr:uid="{00000000-0005-0000-0000-0000E5670000}"/>
    <cellStyle name="Normal 2 3 2 23 2 2" xfId="26598" xr:uid="{00000000-0005-0000-0000-0000E6670000}"/>
    <cellStyle name="Normal 2 3 2 23 2 3" xfId="26599" xr:uid="{00000000-0005-0000-0000-0000E7670000}"/>
    <cellStyle name="Normal 2 3 2 23 2 4" xfId="26600" xr:uid="{00000000-0005-0000-0000-0000E8670000}"/>
    <cellStyle name="Normal 2 3 2 23 2 5" xfId="26601" xr:uid="{00000000-0005-0000-0000-0000E9670000}"/>
    <cellStyle name="Normal 2 3 2 23 2 6" xfId="26602" xr:uid="{00000000-0005-0000-0000-0000EA670000}"/>
    <cellStyle name="Normal 2 3 2 23 2 7" xfId="26603" xr:uid="{00000000-0005-0000-0000-0000EB670000}"/>
    <cellStyle name="Normal 2 3 2 23 2 8" xfId="26604" xr:uid="{00000000-0005-0000-0000-0000EC670000}"/>
    <cellStyle name="Normal 2 3 2 23 2 9" xfId="26605" xr:uid="{00000000-0005-0000-0000-0000ED670000}"/>
    <cellStyle name="Normal 2 3 2 23 3" xfId="26606" xr:uid="{00000000-0005-0000-0000-0000EE670000}"/>
    <cellStyle name="Normal 2 3 2 23 3 10" xfId="26607" xr:uid="{00000000-0005-0000-0000-0000EF670000}"/>
    <cellStyle name="Normal 2 3 2 23 3 2" xfId="26608" xr:uid="{00000000-0005-0000-0000-0000F0670000}"/>
    <cellStyle name="Normal 2 3 2 23 3 3" xfId="26609" xr:uid="{00000000-0005-0000-0000-0000F1670000}"/>
    <cellStyle name="Normal 2 3 2 23 3 4" xfId="26610" xr:uid="{00000000-0005-0000-0000-0000F2670000}"/>
    <cellStyle name="Normal 2 3 2 23 3 5" xfId="26611" xr:uid="{00000000-0005-0000-0000-0000F3670000}"/>
    <cellStyle name="Normal 2 3 2 23 3 6" xfId="26612" xr:uid="{00000000-0005-0000-0000-0000F4670000}"/>
    <cellStyle name="Normal 2 3 2 23 3 7" xfId="26613" xr:uid="{00000000-0005-0000-0000-0000F5670000}"/>
    <cellStyle name="Normal 2 3 2 23 3 8" xfId="26614" xr:uid="{00000000-0005-0000-0000-0000F6670000}"/>
    <cellStyle name="Normal 2 3 2 23 3 9" xfId="26615" xr:uid="{00000000-0005-0000-0000-0000F7670000}"/>
    <cellStyle name="Normal 2 3 2 23 4" xfId="26616" xr:uid="{00000000-0005-0000-0000-0000F8670000}"/>
    <cellStyle name="Normal 2 3 2 23 4 10" xfId="26617" xr:uid="{00000000-0005-0000-0000-0000F9670000}"/>
    <cellStyle name="Normal 2 3 2 23 4 2" xfId="26618" xr:uid="{00000000-0005-0000-0000-0000FA670000}"/>
    <cellStyle name="Normal 2 3 2 23 4 3" xfId="26619" xr:uid="{00000000-0005-0000-0000-0000FB670000}"/>
    <cellStyle name="Normal 2 3 2 23 4 4" xfId="26620" xr:uid="{00000000-0005-0000-0000-0000FC670000}"/>
    <cellStyle name="Normal 2 3 2 23 4 5" xfId="26621" xr:uid="{00000000-0005-0000-0000-0000FD670000}"/>
    <cellStyle name="Normal 2 3 2 23 4 6" xfId="26622" xr:uid="{00000000-0005-0000-0000-0000FE670000}"/>
    <cellStyle name="Normal 2 3 2 23 4 7" xfId="26623" xr:uid="{00000000-0005-0000-0000-0000FF670000}"/>
    <cellStyle name="Normal 2 3 2 23 4 8" xfId="26624" xr:uid="{00000000-0005-0000-0000-000000680000}"/>
    <cellStyle name="Normal 2 3 2 23 4 9" xfId="26625" xr:uid="{00000000-0005-0000-0000-000001680000}"/>
    <cellStyle name="Normal 2 3 2 23 5" xfId="26626" xr:uid="{00000000-0005-0000-0000-000002680000}"/>
    <cellStyle name="Normal 2 3 2 23 5 10" xfId="26627" xr:uid="{00000000-0005-0000-0000-000003680000}"/>
    <cellStyle name="Normal 2 3 2 23 5 2" xfId="26628" xr:uid="{00000000-0005-0000-0000-000004680000}"/>
    <cellStyle name="Normal 2 3 2 23 5 3" xfId="26629" xr:uid="{00000000-0005-0000-0000-000005680000}"/>
    <cellStyle name="Normal 2 3 2 23 5 4" xfId="26630" xr:uid="{00000000-0005-0000-0000-000006680000}"/>
    <cellStyle name="Normal 2 3 2 23 5 5" xfId="26631" xr:uid="{00000000-0005-0000-0000-000007680000}"/>
    <cellStyle name="Normal 2 3 2 23 5 6" xfId="26632" xr:uid="{00000000-0005-0000-0000-000008680000}"/>
    <cellStyle name="Normal 2 3 2 23 5 7" xfId="26633" xr:uid="{00000000-0005-0000-0000-000009680000}"/>
    <cellStyle name="Normal 2 3 2 23 5 8" xfId="26634" xr:uid="{00000000-0005-0000-0000-00000A680000}"/>
    <cellStyle name="Normal 2 3 2 23 5 9" xfId="26635" xr:uid="{00000000-0005-0000-0000-00000B680000}"/>
    <cellStyle name="Normal 2 3 2 23 6" xfId="26636" xr:uid="{00000000-0005-0000-0000-00000C680000}"/>
    <cellStyle name="Normal 2 3 2 23 7" xfId="26637" xr:uid="{00000000-0005-0000-0000-00000D680000}"/>
    <cellStyle name="Normal 2 3 2 23 8" xfId="26638" xr:uid="{00000000-0005-0000-0000-00000E680000}"/>
    <cellStyle name="Normal 2 3 2 23 9" xfId="26639" xr:uid="{00000000-0005-0000-0000-00000F680000}"/>
    <cellStyle name="Normal 2 3 2 24" xfId="26640" xr:uid="{00000000-0005-0000-0000-000010680000}"/>
    <cellStyle name="Normal 2 3 2 24 10" xfId="26641" xr:uid="{00000000-0005-0000-0000-000011680000}"/>
    <cellStyle name="Normal 2 3 2 24 11" xfId="26642" xr:uid="{00000000-0005-0000-0000-000012680000}"/>
    <cellStyle name="Normal 2 3 2 24 12" xfId="26643" xr:uid="{00000000-0005-0000-0000-000013680000}"/>
    <cellStyle name="Normal 2 3 2 24 13" xfId="26644" xr:uid="{00000000-0005-0000-0000-000014680000}"/>
    <cellStyle name="Normal 2 3 2 24 14" xfId="26645" xr:uid="{00000000-0005-0000-0000-000015680000}"/>
    <cellStyle name="Normal 2 3 2 24 2" xfId="26646" xr:uid="{00000000-0005-0000-0000-000016680000}"/>
    <cellStyle name="Normal 2 3 2 24 2 10" xfId="26647" xr:uid="{00000000-0005-0000-0000-000017680000}"/>
    <cellStyle name="Normal 2 3 2 24 2 2" xfId="26648" xr:uid="{00000000-0005-0000-0000-000018680000}"/>
    <cellStyle name="Normal 2 3 2 24 2 3" xfId="26649" xr:uid="{00000000-0005-0000-0000-000019680000}"/>
    <cellStyle name="Normal 2 3 2 24 2 4" xfId="26650" xr:uid="{00000000-0005-0000-0000-00001A680000}"/>
    <cellStyle name="Normal 2 3 2 24 2 5" xfId="26651" xr:uid="{00000000-0005-0000-0000-00001B680000}"/>
    <cellStyle name="Normal 2 3 2 24 2 6" xfId="26652" xr:uid="{00000000-0005-0000-0000-00001C680000}"/>
    <cellStyle name="Normal 2 3 2 24 2 7" xfId="26653" xr:uid="{00000000-0005-0000-0000-00001D680000}"/>
    <cellStyle name="Normal 2 3 2 24 2 8" xfId="26654" xr:uid="{00000000-0005-0000-0000-00001E680000}"/>
    <cellStyle name="Normal 2 3 2 24 2 9" xfId="26655" xr:uid="{00000000-0005-0000-0000-00001F680000}"/>
    <cellStyle name="Normal 2 3 2 24 3" xfId="26656" xr:uid="{00000000-0005-0000-0000-000020680000}"/>
    <cellStyle name="Normal 2 3 2 24 3 10" xfId="26657" xr:uid="{00000000-0005-0000-0000-000021680000}"/>
    <cellStyle name="Normal 2 3 2 24 3 2" xfId="26658" xr:uid="{00000000-0005-0000-0000-000022680000}"/>
    <cellStyle name="Normal 2 3 2 24 3 3" xfId="26659" xr:uid="{00000000-0005-0000-0000-000023680000}"/>
    <cellStyle name="Normal 2 3 2 24 3 4" xfId="26660" xr:uid="{00000000-0005-0000-0000-000024680000}"/>
    <cellStyle name="Normal 2 3 2 24 3 5" xfId="26661" xr:uid="{00000000-0005-0000-0000-000025680000}"/>
    <cellStyle name="Normal 2 3 2 24 3 6" xfId="26662" xr:uid="{00000000-0005-0000-0000-000026680000}"/>
    <cellStyle name="Normal 2 3 2 24 3 7" xfId="26663" xr:uid="{00000000-0005-0000-0000-000027680000}"/>
    <cellStyle name="Normal 2 3 2 24 3 8" xfId="26664" xr:uid="{00000000-0005-0000-0000-000028680000}"/>
    <cellStyle name="Normal 2 3 2 24 3 9" xfId="26665" xr:uid="{00000000-0005-0000-0000-000029680000}"/>
    <cellStyle name="Normal 2 3 2 24 4" xfId="26666" xr:uid="{00000000-0005-0000-0000-00002A680000}"/>
    <cellStyle name="Normal 2 3 2 24 4 10" xfId="26667" xr:uid="{00000000-0005-0000-0000-00002B680000}"/>
    <cellStyle name="Normal 2 3 2 24 4 2" xfId="26668" xr:uid="{00000000-0005-0000-0000-00002C680000}"/>
    <cellStyle name="Normal 2 3 2 24 4 3" xfId="26669" xr:uid="{00000000-0005-0000-0000-00002D680000}"/>
    <cellStyle name="Normal 2 3 2 24 4 4" xfId="26670" xr:uid="{00000000-0005-0000-0000-00002E680000}"/>
    <cellStyle name="Normal 2 3 2 24 4 5" xfId="26671" xr:uid="{00000000-0005-0000-0000-00002F680000}"/>
    <cellStyle name="Normal 2 3 2 24 4 6" xfId="26672" xr:uid="{00000000-0005-0000-0000-000030680000}"/>
    <cellStyle name="Normal 2 3 2 24 4 7" xfId="26673" xr:uid="{00000000-0005-0000-0000-000031680000}"/>
    <cellStyle name="Normal 2 3 2 24 4 8" xfId="26674" xr:uid="{00000000-0005-0000-0000-000032680000}"/>
    <cellStyle name="Normal 2 3 2 24 4 9" xfId="26675" xr:uid="{00000000-0005-0000-0000-000033680000}"/>
    <cellStyle name="Normal 2 3 2 24 5" xfId="26676" xr:uid="{00000000-0005-0000-0000-000034680000}"/>
    <cellStyle name="Normal 2 3 2 24 5 10" xfId="26677" xr:uid="{00000000-0005-0000-0000-000035680000}"/>
    <cellStyle name="Normal 2 3 2 24 5 2" xfId="26678" xr:uid="{00000000-0005-0000-0000-000036680000}"/>
    <cellStyle name="Normal 2 3 2 24 5 3" xfId="26679" xr:uid="{00000000-0005-0000-0000-000037680000}"/>
    <cellStyle name="Normal 2 3 2 24 5 4" xfId="26680" xr:uid="{00000000-0005-0000-0000-000038680000}"/>
    <cellStyle name="Normal 2 3 2 24 5 5" xfId="26681" xr:uid="{00000000-0005-0000-0000-000039680000}"/>
    <cellStyle name="Normal 2 3 2 24 5 6" xfId="26682" xr:uid="{00000000-0005-0000-0000-00003A680000}"/>
    <cellStyle name="Normal 2 3 2 24 5 7" xfId="26683" xr:uid="{00000000-0005-0000-0000-00003B680000}"/>
    <cellStyle name="Normal 2 3 2 24 5 8" xfId="26684" xr:uid="{00000000-0005-0000-0000-00003C680000}"/>
    <cellStyle name="Normal 2 3 2 24 5 9" xfId="26685" xr:uid="{00000000-0005-0000-0000-00003D680000}"/>
    <cellStyle name="Normal 2 3 2 24 6" xfId="26686" xr:uid="{00000000-0005-0000-0000-00003E680000}"/>
    <cellStyle name="Normal 2 3 2 24 7" xfId="26687" xr:uid="{00000000-0005-0000-0000-00003F680000}"/>
    <cellStyle name="Normal 2 3 2 24 8" xfId="26688" xr:uid="{00000000-0005-0000-0000-000040680000}"/>
    <cellStyle name="Normal 2 3 2 24 9" xfId="26689" xr:uid="{00000000-0005-0000-0000-000041680000}"/>
    <cellStyle name="Normal 2 3 2 25" xfId="26690" xr:uid="{00000000-0005-0000-0000-000042680000}"/>
    <cellStyle name="Normal 2 3 2 25 10" xfId="26691" xr:uid="{00000000-0005-0000-0000-000043680000}"/>
    <cellStyle name="Normal 2 3 2 25 11" xfId="26692" xr:uid="{00000000-0005-0000-0000-000044680000}"/>
    <cellStyle name="Normal 2 3 2 25 12" xfId="26693" xr:uid="{00000000-0005-0000-0000-000045680000}"/>
    <cellStyle name="Normal 2 3 2 25 13" xfId="26694" xr:uid="{00000000-0005-0000-0000-000046680000}"/>
    <cellStyle name="Normal 2 3 2 25 14" xfId="26695" xr:uid="{00000000-0005-0000-0000-000047680000}"/>
    <cellStyle name="Normal 2 3 2 25 2" xfId="26696" xr:uid="{00000000-0005-0000-0000-000048680000}"/>
    <cellStyle name="Normal 2 3 2 25 2 10" xfId="26697" xr:uid="{00000000-0005-0000-0000-000049680000}"/>
    <cellStyle name="Normal 2 3 2 25 2 2" xfId="26698" xr:uid="{00000000-0005-0000-0000-00004A680000}"/>
    <cellStyle name="Normal 2 3 2 25 2 3" xfId="26699" xr:uid="{00000000-0005-0000-0000-00004B680000}"/>
    <cellStyle name="Normal 2 3 2 25 2 4" xfId="26700" xr:uid="{00000000-0005-0000-0000-00004C680000}"/>
    <cellStyle name="Normal 2 3 2 25 2 5" xfId="26701" xr:uid="{00000000-0005-0000-0000-00004D680000}"/>
    <cellStyle name="Normal 2 3 2 25 2 6" xfId="26702" xr:uid="{00000000-0005-0000-0000-00004E680000}"/>
    <cellStyle name="Normal 2 3 2 25 2 7" xfId="26703" xr:uid="{00000000-0005-0000-0000-00004F680000}"/>
    <cellStyle name="Normal 2 3 2 25 2 8" xfId="26704" xr:uid="{00000000-0005-0000-0000-000050680000}"/>
    <cellStyle name="Normal 2 3 2 25 2 9" xfId="26705" xr:uid="{00000000-0005-0000-0000-000051680000}"/>
    <cellStyle name="Normal 2 3 2 25 3" xfId="26706" xr:uid="{00000000-0005-0000-0000-000052680000}"/>
    <cellStyle name="Normal 2 3 2 25 3 10" xfId="26707" xr:uid="{00000000-0005-0000-0000-000053680000}"/>
    <cellStyle name="Normal 2 3 2 25 3 2" xfId="26708" xr:uid="{00000000-0005-0000-0000-000054680000}"/>
    <cellStyle name="Normal 2 3 2 25 3 3" xfId="26709" xr:uid="{00000000-0005-0000-0000-000055680000}"/>
    <cellStyle name="Normal 2 3 2 25 3 4" xfId="26710" xr:uid="{00000000-0005-0000-0000-000056680000}"/>
    <cellStyle name="Normal 2 3 2 25 3 5" xfId="26711" xr:uid="{00000000-0005-0000-0000-000057680000}"/>
    <cellStyle name="Normal 2 3 2 25 3 6" xfId="26712" xr:uid="{00000000-0005-0000-0000-000058680000}"/>
    <cellStyle name="Normal 2 3 2 25 3 7" xfId="26713" xr:uid="{00000000-0005-0000-0000-000059680000}"/>
    <cellStyle name="Normal 2 3 2 25 3 8" xfId="26714" xr:uid="{00000000-0005-0000-0000-00005A680000}"/>
    <cellStyle name="Normal 2 3 2 25 3 9" xfId="26715" xr:uid="{00000000-0005-0000-0000-00005B680000}"/>
    <cellStyle name="Normal 2 3 2 25 4" xfId="26716" xr:uid="{00000000-0005-0000-0000-00005C680000}"/>
    <cellStyle name="Normal 2 3 2 25 4 10" xfId="26717" xr:uid="{00000000-0005-0000-0000-00005D680000}"/>
    <cellStyle name="Normal 2 3 2 25 4 2" xfId="26718" xr:uid="{00000000-0005-0000-0000-00005E680000}"/>
    <cellStyle name="Normal 2 3 2 25 4 3" xfId="26719" xr:uid="{00000000-0005-0000-0000-00005F680000}"/>
    <cellStyle name="Normal 2 3 2 25 4 4" xfId="26720" xr:uid="{00000000-0005-0000-0000-000060680000}"/>
    <cellStyle name="Normal 2 3 2 25 4 5" xfId="26721" xr:uid="{00000000-0005-0000-0000-000061680000}"/>
    <cellStyle name="Normal 2 3 2 25 4 6" xfId="26722" xr:uid="{00000000-0005-0000-0000-000062680000}"/>
    <cellStyle name="Normal 2 3 2 25 4 7" xfId="26723" xr:uid="{00000000-0005-0000-0000-000063680000}"/>
    <cellStyle name="Normal 2 3 2 25 4 8" xfId="26724" xr:uid="{00000000-0005-0000-0000-000064680000}"/>
    <cellStyle name="Normal 2 3 2 25 4 9" xfId="26725" xr:uid="{00000000-0005-0000-0000-000065680000}"/>
    <cellStyle name="Normal 2 3 2 25 5" xfId="26726" xr:uid="{00000000-0005-0000-0000-000066680000}"/>
    <cellStyle name="Normal 2 3 2 25 5 10" xfId="26727" xr:uid="{00000000-0005-0000-0000-000067680000}"/>
    <cellStyle name="Normal 2 3 2 25 5 2" xfId="26728" xr:uid="{00000000-0005-0000-0000-000068680000}"/>
    <cellStyle name="Normal 2 3 2 25 5 3" xfId="26729" xr:uid="{00000000-0005-0000-0000-000069680000}"/>
    <cellStyle name="Normal 2 3 2 25 5 4" xfId="26730" xr:uid="{00000000-0005-0000-0000-00006A680000}"/>
    <cellStyle name="Normal 2 3 2 25 5 5" xfId="26731" xr:uid="{00000000-0005-0000-0000-00006B680000}"/>
    <cellStyle name="Normal 2 3 2 25 5 6" xfId="26732" xr:uid="{00000000-0005-0000-0000-00006C680000}"/>
    <cellStyle name="Normal 2 3 2 25 5 7" xfId="26733" xr:uid="{00000000-0005-0000-0000-00006D680000}"/>
    <cellStyle name="Normal 2 3 2 25 5 8" xfId="26734" xr:uid="{00000000-0005-0000-0000-00006E680000}"/>
    <cellStyle name="Normal 2 3 2 25 5 9" xfId="26735" xr:uid="{00000000-0005-0000-0000-00006F680000}"/>
    <cellStyle name="Normal 2 3 2 25 6" xfId="26736" xr:uid="{00000000-0005-0000-0000-000070680000}"/>
    <cellStyle name="Normal 2 3 2 25 7" xfId="26737" xr:uid="{00000000-0005-0000-0000-000071680000}"/>
    <cellStyle name="Normal 2 3 2 25 8" xfId="26738" xr:uid="{00000000-0005-0000-0000-000072680000}"/>
    <cellStyle name="Normal 2 3 2 25 9" xfId="26739" xr:uid="{00000000-0005-0000-0000-000073680000}"/>
    <cellStyle name="Normal 2 3 2 26" xfId="26740" xr:uid="{00000000-0005-0000-0000-000074680000}"/>
    <cellStyle name="Normal 2 3 2 26 10" xfId="26741" xr:uid="{00000000-0005-0000-0000-000075680000}"/>
    <cellStyle name="Normal 2 3 2 26 11" xfId="26742" xr:uid="{00000000-0005-0000-0000-000076680000}"/>
    <cellStyle name="Normal 2 3 2 26 12" xfId="26743" xr:uid="{00000000-0005-0000-0000-000077680000}"/>
    <cellStyle name="Normal 2 3 2 26 13" xfId="26744" xr:uid="{00000000-0005-0000-0000-000078680000}"/>
    <cellStyle name="Normal 2 3 2 26 14" xfId="26745" xr:uid="{00000000-0005-0000-0000-000079680000}"/>
    <cellStyle name="Normal 2 3 2 26 2" xfId="26746" xr:uid="{00000000-0005-0000-0000-00007A680000}"/>
    <cellStyle name="Normal 2 3 2 26 2 10" xfId="26747" xr:uid="{00000000-0005-0000-0000-00007B680000}"/>
    <cellStyle name="Normal 2 3 2 26 2 2" xfId="26748" xr:uid="{00000000-0005-0000-0000-00007C680000}"/>
    <cellStyle name="Normal 2 3 2 26 2 3" xfId="26749" xr:uid="{00000000-0005-0000-0000-00007D680000}"/>
    <cellStyle name="Normal 2 3 2 26 2 4" xfId="26750" xr:uid="{00000000-0005-0000-0000-00007E680000}"/>
    <cellStyle name="Normal 2 3 2 26 2 5" xfId="26751" xr:uid="{00000000-0005-0000-0000-00007F680000}"/>
    <cellStyle name="Normal 2 3 2 26 2 6" xfId="26752" xr:uid="{00000000-0005-0000-0000-000080680000}"/>
    <cellStyle name="Normal 2 3 2 26 2 7" xfId="26753" xr:uid="{00000000-0005-0000-0000-000081680000}"/>
    <cellStyle name="Normal 2 3 2 26 2 8" xfId="26754" xr:uid="{00000000-0005-0000-0000-000082680000}"/>
    <cellStyle name="Normal 2 3 2 26 2 9" xfId="26755" xr:uid="{00000000-0005-0000-0000-000083680000}"/>
    <cellStyle name="Normal 2 3 2 26 3" xfId="26756" xr:uid="{00000000-0005-0000-0000-000084680000}"/>
    <cellStyle name="Normal 2 3 2 26 3 10" xfId="26757" xr:uid="{00000000-0005-0000-0000-000085680000}"/>
    <cellStyle name="Normal 2 3 2 26 3 2" xfId="26758" xr:uid="{00000000-0005-0000-0000-000086680000}"/>
    <cellStyle name="Normal 2 3 2 26 3 3" xfId="26759" xr:uid="{00000000-0005-0000-0000-000087680000}"/>
    <cellStyle name="Normal 2 3 2 26 3 4" xfId="26760" xr:uid="{00000000-0005-0000-0000-000088680000}"/>
    <cellStyle name="Normal 2 3 2 26 3 5" xfId="26761" xr:uid="{00000000-0005-0000-0000-000089680000}"/>
    <cellStyle name="Normal 2 3 2 26 3 6" xfId="26762" xr:uid="{00000000-0005-0000-0000-00008A680000}"/>
    <cellStyle name="Normal 2 3 2 26 3 7" xfId="26763" xr:uid="{00000000-0005-0000-0000-00008B680000}"/>
    <cellStyle name="Normal 2 3 2 26 3 8" xfId="26764" xr:uid="{00000000-0005-0000-0000-00008C680000}"/>
    <cellStyle name="Normal 2 3 2 26 3 9" xfId="26765" xr:uid="{00000000-0005-0000-0000-00008D680000}"/>
    <cellStyle name="Normal 2 3 2 26 4" xfId="26766" xr:uid="{00000000-0005-0000-0000-00008E680000}"/>
    <cellStyle name="Normal 2 3 2 26 4 10" xfId="26767" xr:uid="{00000000-0005-0000-0000-00008F680000}"/>
    <cellStyle name="Normal 2 3 2 26 4 2" xfId="26768" xr:uid="{00000000-0005-0000-0000-000090680000}"/>
    <cellStyle name="Normal 2 3 2 26 4 3" xfId="26769" xr:uid="{00000000-0005-0000-0000-000091680000}"/>
    <cellStyle name="Normal 2 3 2 26 4 4" xfId="26770" xr:uid="{00000000-0005-0000-0000-000092680000}"/>
    <cellStyle name="Normal 2 3 2 26 4 5" xfId="26771" xr:uid="{00000000-0005-0000-0000-000093680000}"/>
    <cellStyle name="Normal 2 3 2 26 4 6" xfId="26772" xr:uid="{00000000-0005-0000-0000-000094680000}"/>
    <cellStyle name="Normal 2 3 2 26 4 7" xfId="26773" xr:uid="{00000000-0005-0000-0000-000095680000}"/>
    <cellStyle name="Normal 2 3 2 26 4 8" xfId="26774" xr:uid="{00000000-0005-0000-0000-000096680000}"/>
    <cellStyle name="Normal 2 3 2 26 4 9" xfId="26775" xr:uid="{00000000-0005-0000-0000-000097680000}"/>
    <cellStyle name="Normal 2 3 2 26 5" xfId="26776" xr:uid="{00000000-0005-0000-0000-000098680000}"/>
    <cellStyle name="Normal 2 3 2 26 5 10" xfId="26777" xr:uid="{00000000-0005-0000-0000-000099680000}"/>
    <cellStyle name="Normal 2 3 2 26 5 2" xfId="26778" xr:uid="{00000000-0005-0000-0000-00009A680000}"/>
    <cellStyle name="Normal 2 3 2 26 5 3" xfId="26779" xr:uid="{00000000-0005-0000-0000-00009B680000}"/>
    <cellStyle name="Normal 2 3 2 26 5 4" xfId="26780" xr:uid="{00000000-0005-0000-0000-00009C680000}"/>
    <cellStyle name="Normal 2 3 2 26 5 5" xfId="26781" xr:uid="{00000000-0005-0000-0000-00009D680000}"/>
    <cellStyle name="Normal 2 3 2 26 5 6" xfId="26782" xr:uid="{00000000-0005-0000-0000-00009E680000}"/>
    <cellStyle name="Normal 2 3 2 26 5 7" xfId="26783" xr:uid="{00000000-0005-0000-0000-00009F680000}"/>
    <cellStyle name="Normal 2 3 2 26 5 8" xfId="26784" xr:uid="{00000000-0005-0000-0000-0000A0680000}"/>
    <cellStyle name="Normal 2 3 2 26 5 9" xfId="26785" xr:uid="{00000000-0005-0000-0000-0000A1680000}"/>
    <cellStyle name="Normal 2 3 2 26 6" xfId="26786" xr:uid="{00000000-0005-0000-0000-0000A2680000}"/>
    <cellStyle name="Normal 2 3 2 26 7" xfId="26787" xr:uid="{00000000-0005-0000-0000-0000A3680000}"/>
    <cellStyle name="Normal 2 3 2 26 8" xfId="26788" xr:uid="{00000000-0005-0000-0000-0000A4680000}"/>
    <cellStyle name="Normal 2 3 2 26 9" xfId="26789" xr:uid="{00000000-0005-0000-0000-0000A5680000}"/>
    <cellStyle name="Normal 2 3 2 27" xfId="26790" xr:uid="{00000000-0005-0000-0000-0000A6680000}"/>
    <cellStyle name="Normal 2 3 2 27 10" xfId="26791" xr:uid="{00000000-0005-0000-0000-0000A7680000}"/>
    <cellStyle name="Normal 2 3 2 27 11" xfId="26792" xr:uid="{00000000-0005-0000-0000-0000A8680000}"/>
    <cellStyle name="Normal 2 3 2 27 12" xfId="26793" xr:uid="{00000000-0005-0000-0000-0000A9680000}"/>
    <cellStyle name="Normal 2 3 2 27 13" xfId="26794" xr:uid="{00000000-0005-0000-0000-0000AA680000}"/>
    <cellStyle name="Normal 2 3 2 27 14" xfId="26795" xr:uid="{00000000-0005-0000-0000-0000AB680000}"/>
    <cellStyle name="Normal 2 3 2 27 2" xfId="26796" xr:uid="{00000000-0005-0000-0000-0000AC680000}"/>
    <cellStyle name="Normal 2 3 2 27 2 10" xfId="26797" xr:uid="{00000000-0005-0000-0000-0000AD680000}"/>
    <cellStyle name="Normal 2 3 2 27 2 2" xfId="26798" xr:uid="{00000000-0005-0000-0000-0000AE680000}"/>
    <cellStyle name="Normal 2 3 2 27 2 3" xfId="26799" xr:uid="{00000000-0005-0000-0000-0000AF680000}"/>
    <cellStyle name="Normal 2 3 2 27 2 4" xfId="26800" xr:uid="{00000000-0005-0000-0000-0000B0680000}"/>
    <cellStyle name="Normal 2 3 2 27 2 5" xfId="26801" xr:uid="{00000000-0005-0000-0000-0000B1680000}"/>
    <cellStyle name="Normal 2 3 2 27 2 6" xfId="26802" xr:uid="{00000000-0005-0000-0000-0000B2680000}"/>
    <cellStyle name="Normal 2 3 2 27 2 7" xfId="26803" xr:uid="{00000000-0005-0000-0000-0000B3680000}"/>
    <cellStyle name="Normal 2 3 2 27 2 8" xfId="26804" xr:uid="{00000000-0005-0000-0000-0000B4680000}"/>
    <cellStyle name="Normal 2 3 2 27 2 9" xfId="26805" xr:uid="{00000000-0005-0000-0000-0000B5680000}"/>
    <cellStyle name="Normal 2 3 2 27 3" xfId="26806" xr:uid="{00000000-0005-0000-0000-0000B6680000}"/>
    <cellStyle name="Normal 2 3 2 27 3 10" xfId="26807" xr:uid="{00000000-0005-0000-0000-0000B7680000}"/>
    <cellStyle name="Normal 2 3 2 27 3 2" xfId="26808" xr:uid="{00000000-0005-0000-0000-0000B8680000}"/>
    <cellStyle name="Normal 2 3 2 27 3 3" xfId="26809" xr:uid="{00000000-0005-0000-0000-0000B9680000}"/>
    <cellStyle name="Normal 2 3 2 27 3 4" xfId="26810" xr:uid="{00000000-0005-0000-0000-0000BA680000}"/>
    <cellStyle name="Normal 2 3 2 27 3 5" xfId="26811" xr:uid="{00000000-0005-0000-0000-0000BB680000}"/>
    <cellStyle name="Normal 2 3 2 27 3 6" xfId="26812" xr:uid="{00000000-0005-0000-0000-0000BC680000}"/>
    <cellStyle name="Normal 2 3 2 27 3 7" xfId="26813" xr:uid="{00000000-0005-0000-0000-0000BD680000}"/>
    <cellStyle name="Normal 2 3 2 27 3 8" xfId="26814" xr:uid="{00000000-0005-0000-0000-0000BE680000}"/>
    <cellStyle name="Normal 2 3 2 27 3 9" xfId="26815" xr:uid="{00000000-0005-0000-0000-0000BF680000}"/>
    <cellStyle name="Normal 2 3 2 27 4" xfId="26816" xr:uid="{00000000-0005-0000-0000-0000C0680000}"/>
    <cellStyle name="Normal 2 3 2 27 4 10" xfId="26817" xr:uid="{00000000-0005-0000-0000-0000C1680000}"/>
    <cellStyle name="Normal 2 3 2 27 4 2" xfId="26818" xr:uid="{00000000-0005-0000-0000-0000C2680000}"/>
    <cellStyle name="Normal 2 3 2 27 4 3" xfId="26819" xr:uid="{00000000-0005-0000-0000-0000C3680000}"/>
    <cellStyle name="Normal 2 3 2 27 4 4" xfId="26820" xr:uid="{00000000-0005-0000-0000-0000C4680000}"/>
    <cellStyle name="Normal 2 3 2 27 4 5" xfId="26821" xr:uid="{00000000-0005-0000-0000-0000C5680000}"/>
    <cellStyle name="Normal 2 3 2 27 4 6" xfId="26822" xr:uid="{00000000-0005-0000-0000-0000C6680000}"/>
    <cellStyle name="Normal 2 3 2 27 4 7" xfId="26823" xr:uid="{00000000-0005-0000-0000-0000C7680000}"/>
    <cellStyle name="Normal 2 3 2 27 4 8" xfId="26824" xr:uid="{00000000-0005-0000-0000-0000C8680000}"/>
    <cellStyle name="Normal 2 3 2 27 4 9" xfId="26825" xr:uid="{00000000-0005-0000-0000-0000C9680000}"/>
    <cellStyle name="Normal 2 3 2 27 5" xfId="26826" xr:uid="{00000000-0005-0000-0000-0000CA680000}"/>
    <cellStyle name="Normal 2 3 2 27 5 10" xfId="26827" xr:uid="{00000000-0005-0000-0000-0000CB680000}"/>
    <cellStyle name="Normal 2 3 2 27 5 2" xfId="26828" xr:uid="{00000000-0005-0000-0000-0000CC680000}"/>
    <cellStyle name="Normal 2 3 2 27 5 3" xfId="26829" xr:uid="{00000000-0005-0000-0000-0000CD680000}"/>
    <cellStyle name="Normal 2 3 2 27 5 4" xfId="26830" xr:uid="{00000000-0005-0000-0000-0000CE680000}"/>
    <cellStyle name="Normal 2 3 2 27 5 5" xfId="26831" xr:uid="{00000000-0005-0000-0000-0000CF680000}"/>
    <cellStyle name="Normal 2 3 2 27 5 6" xfId="26832" xr:uid="{00000000-0005-0000-0000-0000D0680000}"/>
    <cellStyle name="Normal 2 3 2 27 5 7" xfId="26833" xr:uid="{00000000-0005-0000-0000-0000D1680000}"/>
    <cellStyle name="Normal 2 3 2 27 5 8" xfId="26834" xr:uid="{00000000-0005-0000-0000-0000D2680000}"/>
    <cellStyle name="Normal 2 3 2 27 5 9" xfId="26835" xr:uid="{00000000-0005-0000-0000-0000D3680000}"/>
    <cellStyle name="Normal 2 3 2 27 6" xfId="26836" xr:uid="{00000000-0005-0000-0000-0000D4680000}"/>
    <cellStyle name="Normal 2 3 2 27 7" xfId="26837" xr:uid="{00000000-0005-0000-0000-0000D5680000}"/>
    <cellStyle name="Normal 2 3 2 27 8" xfId="26838" xr:uid="{00000000-0005-0000-0000-0000D6680000}"/>
    <cellStyle name="Normal 2 3 2 27 9" xfId="26839" xr:uid="{00000000-0005-0000-0000-0000D7680000}"/>
    <cellStyle name="Normal 2 3 2 28" xfId="26840" xr:uid="{00000000-0005-0000-0000-0000D8680000}"/>
    <cellStyle name="Normal 2 3 2 28 10" xfId="26841" xr:uid="{00000000-0005-0000-0000-0000D9680000}"/>
    <cellStyle name="Normal 2 3 2 28 11" xfId="26842" xr:uid="{00000000-0005-0000-0000-0000DA680000}"/>
    <cellStyle name="Normal 2 3 2 28 12" xfId="26843" xr:uid="{00000000-0005-0000-0000-0000DB680000}"/>
    <cellStyle name="Normal 2 3 2 28 13" xfId="26844" xr:uid="{00000000-0005-0000-0000-0000DC680000}"/>
    <cellStyle name="Normal 2 3 2 28 14" xfId="26845" xr:uid="{00000000-0005-0000-0000-0000DD680000}"/>
    <cellStyle name="Normal 2 3 2 28 2" xfId="26846" xr:uid="{00000000-0005-0000-0000-0000DE680000}"/>
    <cellStyle name="Normal 2 3 2 28 2 10" xfId="26847" xr:uid="{00000000-0005-0000-0000-0000DF680000}"/>
    <cellStyle name="Normal 2 3 2 28 2 2" xfId="26848" xr:uid="{00000000-0005-0000-0000-0000E0680000}"/>
    <cellStyle name="Normal 2 3 2 28 2 3" xfId="26849" xr:uid="{00000000-0005-0000-0000-0000E1680000}"/>
    <cellStyle name="Normal 2 3 2 28 2 4" xfId="26850" xr:uid="{00000000-0005-0000-0000-0000E2680000}"/>
    <cellStyle name="Normal 2 3 2 28 2 5" xfId="26851" xr:uid="{00000000-0005-0000-0000-0000E3680000}"/>
    <cellStyle name="Normal 2 3 2 28 2 6" xfId="26852" xr:uid="{00000000-0005-0000-0000-0000E4680000}"/>
    <cellStyle name="Normal 2 3 2 28 2 7" xfId="26853" xr:uid="{00000000-0005-0000-0000-0000E5680000}"/>
    <cellStyle name="Normal 2 3 2 28 2 8" xfId="26854" xr:uid="{00000000-0005-0000-0000-0000E6680000}"/>
    <cellStyle name="Normal 2 3 2 28 2 9" xfId="26855" xr:uid="{00000000-0005-0000-0000-0000E7680000}"/>
    <cellStyle name="Normal 2 3 2 28 3" xfId="26856" xr:uid="{00000000-0005-0000-0000-0000E8680000}"/>
    <cellStyle name="Normal 2 3 2 28 3 10" xfId="26857" xr:uid="{00000000-0005-0000-0000-0000E9680000}"/>
    <cellStyle name="Normal 2 3 2 28 3 2" xfId="26858" xr:uid="{00000000-0005-0000-0000-0000EA680000}"/>
    <cellStyle name="Normal 2 3 2 28 3 3" xfId="26859" xr:uid="{00000000-0005-0000-0000-0000EB680000}"/>
    <cellStyle name="Normal 2 3 2 28 3 4" xfId="26860" xr:uid="{00000000-0005-0000-0000-0000EC680000}"/>
    <cellStyle name="Normal 2 3 2 28 3 5" xfId="26861" xr:uid="{00000000-0005-0000-0000-0000ED680000}"/>
    <cellStyle name="Normal 2 3 2 28 3 6" xfId="26862" xr:uid="{00000000-0005-0000-0000-0000EE680000}"/>
    <cellStyle name="Normal 2 3 2 28 3 7" xfId="26863" xr:uid="{00000000-0005-0000-0000-0000EF680000}"/>
    <cellStyle name="Normal 2 3 2 28 3 8" xfId="26864" xr:uid="{00000000-0005-0000-0000-0000F0680000}"/>
    <cellStyle name="Normal 2 3 2 28 3 9" xfId="26865" xr:uid="{00000000-0005-0000-0000-0000F1680000}"/>
    <cellStyle name="Normal 2 3 2 28 4" xfId="26866" xr:uid="{00000000-0005-0000-0000-0000F2680000}"/>
    <cellStyle name="Normal 2 3 2 28 4 10" xfId="26867" xr:uid="{00000000-0005-0000-0000-0000F3680000}"/>
    <cellStyle name="Normal 2 3 2 28 4 2" xfId="26868" xr:uid="{00000000-0005-0000-0000-0000F4680000}"/>
    <cellStyle name="Normal 2 3 2 28 4 3" xfId="26869" xr:uid="{00000000-0005-0000-0000-0000F5680000}"/>
    <cellStyle name="Normal 2 3 2 28 4 4" xfId="26870" xr:uid="{00000000-0005-0000-0000-0000F6680000}"/>
    <cellStyle name="Normal 2 3 2 28 4 5" xfId="26871" xr:uid="{00000000-0005-0000-0000-0000F7680000}"/>
    <cellStyle name="Normal 2 3 2 28 4 6" xfId="26872" xr:uid="{00000000-0005-0000-0000-0000F8680000}"/>
    <cellStyle name="Normal 2 3 2 28 4 7" xfId="26873" xr:uid="{00000000-0005-0000-0000-0000F9680000}"/>
    <cellStyle name="Normal 2 3 2 28 4 8" xfId="26874" xr:uid="{00000000-0005-0000-0000-0000FA680000}"/>
    <cellStyle name="Normal 2 3 2 28 4 9" xfId="26875" xr:uid="{00000000-0005-0000-0000-0000FB680000}"/>
    <cellStyle name="Normal 2 3 2 28 5" xfId="26876" xr:uid="{00000000-0005-0000-0000-0000FC680000}"/>
    <cellStyle name="Normal 2 3 2 28 5 10" xfId="26877" xr:uid="{00000000-0005-0000-0000-0000FD680000}"/>
    <cellStyle name="Normal 2 3 2 28 5 2" xfId="26878" xr:uid="{00000000-0005-0000-0000-0000FE680000}"/>
    <cellStyle name="Normal 2 3 2 28 5 3" xfId="26879" xr:uid="{00000000-0005-0000-0000-0000FF680000}"/>
    <cellStyle name="Normal 2 3 2 28 5 4" xfId="26880" xr:uid="{00000000-0005-0000-0000-000000690000}"/>
    <cellStyle name="Normal 2 3 2 28 5 5" xfId="26881" xr:uid="{00000000-0005-0000-0000-000001690000}"/>
    <cellStyle name="Normal 2 3 2 28 5 6" xfId="26882" xr:uid="{00000000-0005-0000-0000-000002690000}"/>
    <cellStyle name="Normal 2 3 2 28 5 7" xfId="26883" xr:uid="{00000000-0005-0000-0000-000003690000}"/>
    <cellStyle name="Normal 2 3 2 28 5 8" xfId="26884" xr:uid="{00000000-0005-0000-0000-000004690000}"/>
    <cellStyle name="Normal 2 3 2 28 5 9" xfId="26885" xr:uid="{00000000-0005-0000-0000-000005690000}"/>
    <cellStyle name="Normal 2 3 2 28 6" xfId="26886" xr:uid="{00000000-0005-0000-0000-000006690000}"/>
    <cellStyle name="Normal 2 3 2 28 7" xfId="26887" xr:uid="{00000000-0005-0000-0000-000007690000}"/>
    <cellStyle name="Normal 2 3 2 28 8" xfId="26888" xr:uid="{00000000-0005-0000-0000-000008690000}"/>
    <cellStyle name="Normal 2 3 2 28 9" xfId="26889" xr:uid="{00000000-0005-0000-0000-000009690000}"/>
    <cellStyle name="Normal 2 3 2 29" xfId="26890" xr:uid="{00000000-0005-0000-0000-00000A690000}"/>
    <cellStyle name="Normal 2 3 2 29 10" xfId="26891" xr:uid="{00000000-0005-0000-0000-00000B690000}"/>
    <cellStyle name="Normal 2 3 2 29 11" xfId="26892" xr:uid="{00000000-0005-0000-0000-00000C690000}"/>
    <cellStyle name="Normal 2 3 2 29 12" xfId="26893" xr:uid="{00000000-0005-0000-0000-00000D690000}"/>
    <cellStyle name="Normal 2 3 2 29 13" xfId="26894" xr:uid="{00000000-0005-0000-0000-00000E690000}"/>
    <cellStyle name="Normal 2 3 2 29 14" xfId="26895" xr:uid="{00000000-0005-0000-0000-00000F690000}"/>
    <cellStyle name="Normal 2 3 2 29 2" xfId="26896" xr:uid="{00000000-0005-0000-0000-000010690000}"/>
    <cellStyle name="Normal 2 3 2 29 2 10" xfId="26897" xr:uid="{00000000-0005-0000-0000-000011690000}"/>
    <cellStyle name="Normal 2 3 2 29 2 2" xfId="26898" xr:uid="{00000000-0005-0000-0000-000012690000}"/>
    <cellStyle name="Normal 2 3 2 29 2 3" xfId="26899" xr:uid="{00000000-0005-0000-0000-000013690000}"/>
    <cellStyle name="Normal 2 3 2 29 2 4" xfId="26900" xr:uid="{00000000-0005-0000-0000-000014690000}"/>
    <cellStyle name="Normal 2 3 2 29 2 5" xfId="26901" xr:uid="{00000000-0005-0000-0000-000015690000}"/>
    <cellStyle name="Normal 2 3 2 29 2 6" xfId="26902" xr:uid="{00000000-0005-0000-0000-000016690000}"/>
    <cellStyle name="Normal 2 3 2 29 2 7" xfId="26903" xr:uid="{00000000-0005-0000-0000-000017690000}"/>
    <cellStyle name="Normal 2 3 2 29 2 8" xfId="26904" xr:uid="{00000000-0005-0000-0000-000018690000}"/>
    <cellStyle name="Normal 2 3 2 29 2 9" xfId="26905" xr:uid="{00000000-0005-0000-0000-000019690000}"/>
    <cellStyle name="Normal 2 3 2 29 3" xfId="26906" xr:uid="{00000000-0005-0000-0000-00001A690000}"/>
    <cellStyle name="Normal 2 3 2 29 3 10" xfId="26907" xr:uid="{00000000-0005-0000-0000-00001B690000}"/>
    <cellStyle name="Normal 2 3 2 29 3 2" xfId="26908" xr:uid="{00000000-0005-0000-0000-00001C690000}"/>
    <cellStyle name="Normal 2 3 2 29 3 3" xfId="26909" xr:uid="{00000000-0005-0000-0000-00001D690000}"/>
    <cellStyle name="Normal 2 3 2 29 3 4" xfId="26910" xr:uid="{00000000-0005-0000-0000-00001E690000}"/>
    <cellStyle name="Normal 2 3 2 29 3 5" xfId="26911" xr:uid="{00000000-0005-0000-0000-00001F690000}"/>
    <cellStyle name="Normal 2 3 2 29 3 6" xfId="26912" xr:uid="{00000000-0005-0000-0000-000020690000}"/>
    <cellStyle name="Normal 2 3 2 29 3 7" xfId="26913" xr:uid="{00000000-0005-0000-0000-000021690000}"/>
    <cellStyle name="Normal 2 3 2 29 3 8" xfId="26914" xr:uid="{00000000-0005-0000-0000-000022690000}"/>
    <cellStyle name="Normal 2 3 2 29 3 9" xfId="26915" xr:uid="{00000000-0005-0000-0000-000023690000}"/>
    <cellStyle name="Normal 2 3 2 29 4" xfId="26916" xr:uid="{00000000-0005-0000-0000-000024690000}"/>
    <cellStyle name="Normal 2 3 2 29 4 10" xfId="26917" xr:uid="{00000000-0005-0000-0000-000025690000}"/>
    <cellStyle name="Normal 2 3 2 29 4 2" xfId="26918" xr:uid="{00000000-0005-0000-0000-000026690000}"/>
    <cellStyle name="Normal 2 3 2 29 4 3" xfId="26919" xr:uid="{00000000-0005-0000-0000-000027690000}"/>
    <cellStyle name="Normal 2 3 2 29 4 4" xfId="26920" xr:uid="{00000000-0005-0000-0000-000028690000}"/>
    <cellStyle name="Normal 2 3 2 29 4 5" xfId="26921" xr:uid="{00000000-0005-0000-0000-000029690000}"/>
    <cellStyle name="Normal 2 3 2 29 4 6" xfId="26922" xr:uid="{00000000-0005-0000-0000-00002A690000}"/>
    <cellStyle name="Normal 2 3 2 29 4 7" xfId="26923" xr:uid="{00000000-0005-0000-0000-00002B690000}"/>
    <cellStyle name="Normal 2 3 2 29 4 8" xfId="26924" xr:uid="{00000000-0005-0000-0000-00002C690000}"/>
    <cellStyle name="Normal 2 3 2 29 4 9" xfId="26925" xr:uid="{00000000-0005-0000-0000-00002D690000}"/>
    <cellStyle name="Normal 2 3 2 29 5" xfId="26926" xr:uid="{00000000-0005-0000-0000-00002E690000}"/>
    <cellStyle name="Normal 2 3 2 29 5 10" xfId="26927" xr:uid="{00000000-0005-0000-0000-00002F690000}"/>
    <cellStyle name="Normal 2 3 2 29 5 2" xfId="26928" xr:uid="{00000000-0005-0000-0000-000030690000}"/>
    <cellStyle name="Normal 2 3 2 29 5 3" xfId="26929" xr:uid="{00000000-0005-0000-0000-000031690000}"/>
    <cellStyle name="Normal 2 3 2 29 5 4" xfId="26930" xr:uid="{00000000-0005-0000-0000-000032690000}"/>
    <cellStyle name="Normal 2 3 2 29 5 5" xfId="26931" xr:uid="{00000000-0005-0000-0000-000033690000}"/>
    <cellStyle name="Normal 2 3 2 29 5 6" xfId="26932" xr:uid="{00000000-0005-0000-0000-000034690000}"/>
    <cellStyle name="Normal 2 3 2 29 5 7" xfId="26933" xr:uid="{00000000-0005-0000-0000-000035690000}"/>
    <cellStyle name="Normal 2 3 2 29 5 8" xfId="26934" xr:uid="{00000000-0005-0000-0000-000036690000}"/>
    <cellStyle name="Normal 2 3 2 29 5 9" xfId="26935" xr:uid="{00000000-0005-0000-0000-000037690000}"/>
    <cellStyle name="Normal 2 3 2 29 6" xfId="26936" xr:uid="{00000000-0005-0000-0000-000038690000}"/>
    <cellStyle name="Normal 2 3 2 29 7" xfId="26937" xr:uid="{00000000-0005-0000-0000-000039690000}"/>
    <cellStyle name="Normal 2 3 2 29 8" xfId="26938" xr:uid="{00000000-0005-0000-0000-00003A690000}"/>
    <cellStyle name="Normal 2 3 2 29 9" xfId="26939" xr:uid="{00000000-0005-0000-0000-00003B690000}"/>
    <cellStyle name="Normal 2 3 2 3" xfId="26940" xr:uid="{00000000-0005-0000-0000-00003C690000}"/>
    <cellStyle name="Normal 2 3 2 3 10" xfId="26941" xr:uid="{00000000-0005-0000-0000-00003D690000}"/>
    <cellStyle name="Normal 2 3 2 3 11" xfId="26942" xr:uid="{00000000-0005-0000-0000-00003E690000}"/>
    <cellStyle name="Normal 2 3 2 3 12" xfId="26943" xr:uid="{00000000-0005-0000-0000-00003F690000}"/>
    <cellStyle name="Normal 2 3 2 3 13" xfId="26944" xr:uid="{00000000-0005-0000-0000-000040690000}"/>
    <cellStyle name="Normal 2 3 2 3 14" xfId="26945" xr:uid="{00000000-0005-0000-0000-000041690000}"/>
    <cellStyle name="Normal 2 3 2 3 15" xfId="26946" xr:uid="{00000000-0005-0000-0000-000042690000}"/>
    <cellStyle name="Normal 2 3 2 3 16" xfId="26947" xr:uid="{00000000-0005-0000-0000-000043690000}"/>
    <cellStyle name="Normal 2 3 2 3 2" xfId="26948" xr:uid="{00000000-0005-0000-0000-000044690000}"/>
    <cellStyle name="Normal 2 3 2 3 2 10" xfId="26949" xr:uid="{00000000-0005-0000-0000-000045690000}"/>
    <cellStyle name="Normal 2 3 2 3 2 2" xfId="26950" xr:uid="{00000000-0005-0000-0000-000046690000}"/>
    <cellStyle name="Normal 2 3 2 3 2 3" xfId="26951" xr:uid="{00000000-0005-0000-0000-000047690000}"/>
    <cellStyle name="Normal 2 3 2 3 2 4" xfId="26952" xr:uid="{00000000-0005-0000-0000-000048690000}"/>
    <cellStyle name="Normal 2 3 2 3 2 5" xfId="26953" xr:uid="{00000000-0005-0000-0000-000049690000}"/>
    <cellStyle name="Normal 2 3 2 3 2 6" xfId="26954" xr:uid="{00000000-0005-0000-0000-00004A690000}"/>
    <cellStyle name="Normal 2 3 2 3 2 7" xfId="26955" xr:uid="{00000000-0005-0000-0000-00004B690000}"/>
    <cellStyle name="Normal 2 3 2 3 2 8" xfId="26956" xr:uid="{00000000-0005-0000-0000-00004C690000}"/>
    <cellStyle name="Normal 2 3 2 3 2 9" xfId="26957" xr:uid="{00000000-0005-0000-0000-00004D690000}"/>
    <cellStyle name="Normal 2 3 2 3 3" xfId="26958" xr:uid="{00000000-0005-0000-0000-00004E690000}"/>
    <cellStyle name="Normal 2 3 2 3 3 10" xfId="26959" xr:uid="{00000000-0005-0000-0000-00004F690000}"/>
    <cellStyle name="Normal 2 3 2 3 3 2" xfId="26960" xr:uid="{00000000-0005-0000-0000-000050690000}"/>
    <cellStyle name="Normal 2 3 2 3 3 3" xfId="26961" xr:uid="{00000000-0005-0000-0000-000051690000}"/>
    <cellStyle name="Normal 2 3 2 3 3 4" xfId="26962" xr:uid="{00000000-0005-0000-0000-000052690000}"/>
    <cellStyle name="Normal 2 3 2 3 3 5" xfId="26963" xr:uid="{00000000-0005-0000-0000-000053690000}"/>
    <cellStyle name="Normal 2 3 2 3 3 6" xfId="26964" xr:uid="{00000000-0005-0000-0000-000054690000}"/>
    <cellStyle name="Normal 2 3 2 3 3 7" xfId="26965" xr:uid="{00000000-0005-0000-0000-000055690000}"/>
    <cellStyle name="Normal 2 3 2 3 3 8" xfId="26966" xr:uid="{00000000-0005-0000-0000-000056690000}"/>
    <cellStyle name="Normal 2 3 2 3 3 9" xfId="26967" xr:uid="{00000000-0005-0000-0000-000057690000}"/>
    <cellStyle name="Normal 2 3 2 3 4" xfId="26968" xr:uid="{00000000-0005-0000-0000-000058690000}"/>
    <cellStyle name="Normal 2 3 2 3 4 10" xfId="26969" xr:uid="{00000000-0005-0000-0000-000059690000}"/>
    <cellStyle name="Normal 2 3 2 3 4 2" xfId="26970" xr:uid="{00000000-0005-0000-0000-00005A690000}"/>
    <cellStyle name="Normal 2 3 2 3 4 3" xfId="26971" xr:uid="{00000000-0005-0000-0000-00005B690000}"/>
    <cellStyle name="Normal 2 3 2 3 4 4" xfId="26972" xr:uid="{00000000-0005-0000-0000-00005C690000}"/>
    <cellStyle name="Normal 2 3 2 3 4 5" xfId="26973" xr:uid="{00000000-0005-0000-0000-00005D690000}"/>
    <cellStyle name="Normal 2 3 2 3 4 6" xfId="26974" xr:uid="{00000000-0005-0000-0000-00005E690000}"/>
    <cellStyle name="Normal 2 3 2 3 4 7" xfId="26975" xr:uid="{00000000-0005-0000-0000-00005F690000}"/>
    <cellStyle name="Normal 2 3 2 3 4 8" xfId="26976" xr:uid="{00000000-0005-0000-0000-000060690000}"/>
    <cellStyle name="Normal 2 3 2 3 4 9" xfId="26977" xr:uid="{00000000-0005-0000-0000-000061690000}"/>
    <cellStyle name="Normal 2 3 2 3 5" xfId="26978" xr:uid="{00000000-0005-0000-0000-000062690000}"/>
    <cellStyle name="Normal 2 3 2 3 5 10" xfId="26979" xr:uid="{00000000-0005-0000-0000-000063690000}"/>
    <cellStyle name="Normal 2 3 2 3 5 2" xfId="26980" xr:uid="{00000000-0005-0000-0000-000064690000}"/>
    <cellStyle name="Normal 2 3 2 3 5 3" xfId="26981" xr:uid="{00000000-0005-0000-0000-000065690000}"/>
    <cellStyle name="Normal 2 3 2 3 5 4" xfId="26982" xr:uid="{00000000-0005-0000-0000-000066690000}"/>
    <cellStyle name="Normal 2 3 2 3 5 5" xfId="26983" xr:uid="{00000000-0005-0000-0000-000067690000}"/>
    <cellStyle name="Normal 2 3 2 3 5 6" xfId="26984" xr:uid="{00000000-0005-0000-0000-000068690000}"/>
    <cellStyle name="Normal 2 3 2 3 5 7" xfId="26985" xr:uid="{00000000-0005-0000-0000-000069690000}"/>
    <cellStyle name="Normal 2 3 2 3 5 8" xfId="26986" xr:uid="{00000000-0005-0000-0000-00006A690000}"/>
    <cellStyle name="Normal 2 3 2 3 5 9" xfId="26987" xr:uid="{00000000-0005-0000-0000-00006B690000}"/>
    <cellStyle name="Normal 2 3 2 3 6" xfId="26988" xr:uid="{00000000-0005-0000-0000-00006C690000}"/>
    <cellStyle name="Normal 2 3 2 3 7" xfId="26989" xr:uid="{00000000-0005-0000-0000-00006D690000}"/>
    <cellStyle name="Normal 2 3 2 3 8" xfId="26990" xr:uid="{00000000-0005-0000-0000-00006E690000}"/>
    <cellStyle name="Normal 2 3 2 3 9" xfId="26991" xr:uid="{00000000-0005-0000-0000-00006F690000}"/>
    <cellStyle name="Normal 2 3 2 30" xfId="26992" xr:uid="{00000000-0005-0000-0000-000070690000}"/>
    <cellStyle name="Normal 2 3 2 30 10" xfId="26993" xr:uid="{00000000-0005-0000-0000-000071690000}"/>
    <cellStyle name="Normal 2 3 2 30 11" xfId="26994" xr:uid="{00000000-0005-0000-0000-000072690000}"/>
    <cellStyle name="Normal 2 3 2 30 12" xfId="26995" xr:uid="{00000000-0005-0000-0000-000073690000}"/>
    <cellStyle name="Normal 2 3 2 30 13" xfId="26996" xr:uid="{00000000-0005-0000-0000-000074690000}"/>
    <cellStyle name="Normal 2 3 2 30 14" xfId="26997" xr:uid="{00000000-0005-0000-0000-000075690000}"/>
    <cellStyle name="Normal 2 3 2 30 2" xfId="26998" xr:uid="{00000000-0005-0000-0000-000076690000}"/>
    <cellStyle name="Normal 2 3 2 30 2 10" xfId="26999" xr:uid="{00000000-0005-0000-0000-000077690000}"/>
    <cellStyle name="Normal 2 3 2 30 2 2" xfId="27000" xr:uid="{00000000-0005-0000-0000-000078690000}"/>
    <cellStyle name="Normal 2 3 2 30 2 3" xfId="27001" xr:uid="{00000000-0005-0000-0000-000079690000}"/>
    <cellStyle name="Normal 2 3 2 30 2 4" xfId="27002" xr:uid="{00000000-0005-0000-0000-00007A690000}"/>
    <cellStyle name="Normal 2 3 2 30 2 5" xfId="27003" xr:uid="{00000000-0005-0000-0000-00007B690000}"/>
    <cellStyle name="Normal 2 3 2 30 2 6" xfId="27004" xr:uid="{00000000-0005-0000-0000-00007C690000}"/>
    <cellStyle name="Normal 2 3 2 30 2 7" xfId="27005" xr:uid="{00000000-0005-0000-0000-00007D690000}"/>
    <cellStyle name="Normal 2 3 2 30 2 8" xfId="27006" xr:uid="{00000000-0005-0000-0000-00007E690000}"/>
    <cellStyle name="Normal 2 3 2 30 2 9" xfId="27007" xr:uid="{00000000-0005-0000-0000-00007F690000}"/>
    <cellStyle name="Normal 2 3 2 30 3" xfId="27008" xr:uid="{00000000-0005-0000-0000-000080690000}"/>
    <cellStyle name="Normal 2 3 2 30 3 10" xfId="27009" xr:uid="{00000000-0005-0000-0000-000081690000}"/>
    <cellStyle name="Normal 2 3 2 30 3 2" xfId="27010" xr:uid="{00000000-0005-0000-0000-000082690000}"/>
    <cellStyle name="Normal 2 3 2 30 3 3" xfId="27011" xr:uid="{00000000-0005-0000-0000-000083690000}"/>
    <cellStyle name="Normal 2 3 2 30 3 4" xfId="27012" xr:uid="{00000000-0005-0000-0000-000084690000}"/>
    <cellStyle name="Normal 2 3 2 30 3 5" xfId="27013" xr:uid="{00000000-0005-0000-0000-000085690000}"/>
    <cellStyle name="Normal 2 3 2 30 3 6" xfId="27014" xr:uid="{00000000-0005-0000-0000-000086690000}"/>
    <cellStyle name="Normal 2 3 2 30 3 7" xfId="27015" xr:uid="{00000000-0005-0000-0000-000087690000}"/>
    <cellStyle name="Normal 2 3 2 30 3 8" xfId="27016" xr:uid="{00000000-0005-0000-0000-000088690000}"/>
    <cellStyle name="Normal 2 3 2 30 3 9" xfId="27017" xr:uid="{00000000-0005-0000-0000-000089690000}"/>
    <cellStyle name="Normal 2 3 2 30 4" xfId="27018" xr:uid="{00000000-0005-0000-0000-00008A690000}"/>
    <cellStyle name="Normal 2 3 2 30 4 10" xfId="27019" xr:uid="{00000000-0005-0000-0000-00008B690000}"/>
    <cellStyle name="Normal 2 3 2 30 4 2" xfId="27020" xr:uid="{00000000-0005-0000-0000-00008C690000}"/>
    <cellStyle name="Normal 2 3 2 30 4 3" xfId="27021" xr:uid="{00000000-0005-0000-0000-00008D690000}"/>
    <cellStyle name="Normal 2 3 2 30 4 4" xfId="27022" xr:uid="{00000000-0005-0000-0000-00008E690000}"/>
    <cellStyle name="Normal 2 3 2 30 4 5" xfId="27023" xr:uid="{00000000-0005-0000-0000-00008F690000}"/>
    <cellStyle name="Normal 2 3 2 30 4 6" xfId="27024" xr:uid="{00000000-0005-0000-0000-000090690000}"/>
    <cellStyle name="Normal 2 3 2 30 4 7" xfId="27025" xr:uid="{00000000-0005-0000-0000-000091690000}"/>
    <cellStyle name="Normal 2 3 2 30 4 8" xfId="27026" xr:uid="{00000000-0005-0000-0000-000092690000}"/>
    <cellStyle name="Normal 2 3 2 30 4 9" xfId="27027" xr:uid="{00000000-0005-0000-0000-000093690000}"/>
    <cellStyle name="Normal 2 3 2 30 5" xfId="27028" xr:uid="{00000000-0005-0000-0000-000094690000}"/>
    <cellStyle name="Normal 2 3 2 30 5 10" xfId="27029" xr:uid="{00000000-0005-0000-0000-000095690000}"/>
    <cellStyle name="Normal 2 3 2 30 5 2" xfId="27030" xr:uid="{00000000-0005-0000-0000-000096690000}"/>
    <cellStyle name="Normal 2 3 2 30 5 3" xfId="27031" xr:uid="{00000000-0005-0000-0000-000097690000}"/>
    <cellStyle name="Normal 2 3 2 30 5 4" xfId="27032" xr:uid="{00000000-0005-0000-0000-000098690000}"/>
    <cellStyle name="Normal 2 3 2 30 5 5" xfId="27033" xr:uid="{00000000-0005-0000-0000-000099690000}"/>
    <cellStyle name="Normal 2 3 2 30 5 6" xfId="27034" xr:uid="{00000000-0005-0000-0000-00009A690000}"/>
    <cellStyle name="Normal 2 3 2 30 5 7" xfId="27035" xr:uid="{00000000-0005-0000-0000-00009B690000}"/>
    <cellStyle name="Normal 2 3 2 30 5 8" xfId="27036" xr:uid="{00000000-0005-0000-0000-00009C690000}"/>
    <cellStyle name="Normal 2 3 2 30 5 9" xfId="27037" xr:uid="{00000000-0005-0000-0000-00009D690000}"/>
    <cellStyle name="Normal 2 3 2 30 6" xfId="27038" xr:uid="{00000000-0005-0000-0000-00009E690000}"/>
    <cellStyle name="Normal 2 3 2 30 7" xfId="27039" xr:uid="{00000000-0005-0000-0000-00009F690000}"/>
    <cellStyle name="Normal 2 3 2 30 8" xfId="27040" xr:uid="{00000000-0005-0000-0000-0000A0690000}"/>
    <cellStyle name="Normal 2 3 2 30 9" xfId="27041" xr:uid="{00000000-0005-0000-0000-0000A1690000}"/>
    <cellStyle name="Normal 2 3 2 31" xfId="27042" xr:uid="{00000000-0005-0000-0000-0000A2690000}"/>
    <cellStyle name="Normal 2 3 2 31 10" xfId="27043" xr:uid="{00000000-0005-0000-0000-0000A3690000}"/>
    <cellStyle name="Normal 2 3 2 31 11" xfId="27044" xr:uid="{00000000-0005-0000-0000-0000A4690000}"/>
    <cellStyle name="Normal 2 3 2 31 12" xfId="27045" xr:uid="{00000000-0005-0000-0000-0000A5690000}"/>
    <cellStyle name="Normal 2 3 2 31 13" xfId="27046" xr:uid="{00000000-0005-0000-0000-0000A6690000}"/>
    <cellStyle name="Normal 2 3 2 31 14" xfId="27047" xr:uid="{00000000-0005-0000-0000-0000A7690000}"/>
    <cellStyle name="Normal 2 3 2 31 2" xfId="27048" xr:uid="{00000000-0005-0000-0000-0000A8690000}"/>
    <cellStyle name="Normal 2 3 2 31 2 10" xfId="27049" xr:uid="{00000000-0005-0000-0000-0000A9690000}"/>
    <cellStyle name="Normal 2 3 2 31 2 2" xfId="27050" xr:uid="{00000000-0005-0000-0000-0000AA690000}"/>
    <cellStyle name="Normal 2 3 2 31 2 3" xfId="27051" xr:uid="{00000000-0005-0000-0000-0000AB690000}"/>
    <cellStyle name="Normal 2 3 2 31 2 4" xfId="27052" xr:uid="{00000000-0005-0000-0000-0000AC690000}"/>
    <cellStyle name="Normal 2 3 2 31 2 5" xfId="27053" xr:uid="{00000000-0005-0000-0000-0000AD690000}"/>
    <cellStyle name="Normal 2 3 2 31 2 6" xfId="27054" xr:uid="{00000000-0005-0000-0000-0000AE690000}"/>
    <cellStyle name="Normal 2 3 2 31 2 7" xfId="27055" xr:uid="{00000000-0005-0000-0000-0000AF690000}"/>
    <cellStyle name="Normal 2 3 2 31 2 8" xfId="27056" xr:uid="{00000000-0005-0000-0000-0000B0690000}"/>
    <cellStyle name="Normal 2 3 2 31 2 9" xfId="27057" xr:uid="{00000000-0005-0000-0000-0000B1690000}"/>
    <cellStyle name="Normal 2 3 2 31 3" xfId="27058" xr:uid="{00000000-0005-0000-0000-0000B2690000}"/>
    <cellStyle name="Normal 2 3 2 31 3 10" xfId="27059" xr:uid="{00000000-0005-0000-0000-0000B3690000}"/>
    <cellStyle name="Normal 2 3 2 31 3 2" xfId="27060" xr:uid="{00000000-0005-0000-0000-0000B4690000}"/>
    <cellStyle name="Normal 2 3 2 31 3 3" xfId="27061" xr:uid="{00000000-0005-0000-0000-0000B5690000}"/>
    <cellStyle name="Normal 2 3 2 31 3 4" xfId="27062" xr:uid="{00000000-0005-0000-0000-0000B6690000}"/>
    <cellStyle name="Normal 2 3 2 31 3 5" xfId="27063" xr:uid="{00000000-0005-0000-0000-0000B7690000}"/>
    <cellStyle name="Normal 2 3 2 31 3 6" xfId="27064" xr:uid="{00000000-0005-0000-0000-0000B8690000}"/>
    <cellStyle name="Normal 2 3 2 31 3 7" xfId="27065" xr:uid="{00000000-0005-0000-0000-0000B9690000}"/>
    <cellStyle name="Normal 2 3 2 31 3 8" xfId="27066" xr:uid="{00000000-0005-0000-0000-0000BA690000}"/>
    <cellStyle name="Normal 2 3 2 31 3 9" xfId="27067" xr:uid="{00000000-0005-0000-0000-0000BB690000}"/>
    <cellStyle name="Normal 2 3 2 31 4" xfId="27068" xr:uid="{00000000-0005-0000-0000-0000BC690000}"/>
    <cellStyle name="Normal 2 3 2 31 4 10" xfId="27069" xr:uid="{00000000-0005-0000-0000-0000BD690000}"/>
    <cellStyle name="Normal 2 3 2 31 4 2" xfId="27070" xr:uid="{00000000-0005-0000-0000-0000BE690000}"/>
    <cellStyle name="Normal 2 3 2 31 4 3" xfId="27071" xr:uid="{00000000-0005-0000-0000-0000BF690000}"/>
    <cellStyle name="Normal 2 3 2 31 4 4" xfId="27072" xr:uid="{00000000-0005-0000-0000-0000C0690000}"/>
    <cellStyle name="Normal 2 3 2 31 4 5" xfId="27073" xr:uid="{00000000-0005-0000-0000-0000C1690000}"/>
    <cellStyle name="Normal 2 3 2 31 4 6" xfId="27074" xr:uid="{00000000-0005-0000-0000-0000C2690000}"/>
    <cellStyle name="Normal 2 3 2 31 4 7" xfId="27075" xr:uid="{00000000-0005-0000-0000-0000C3690000}"/>
    <cellStyle name="Normal 2 3 2 31 4 8" xfId="27076" xr:uid="{00000000-0005-0000-0000-0000C4690000}"/>
    <cellStyle name="Normal 2 3 2 31 4 9" xfId="27077" xr:uid="{00000000-0005-0000-0000-0000C5690000}"/>
    <cellStyle name="Normal 2 3 2 31 5" xfId="27078" xr:uid="{00000000-0005-0000-0000-0000C6690000}"/>
    <cellStyle name="Normal 2 3 2 31 5 10" xfId="27079" xr:uid="{00000000-0005-0000-0000-0000C7690000}"/>
    <cellStyle name="Normal 2 3 2 31 5 2" xfId="27080" xr:uid="{00000000-0005-0000-0000-0000C8690000}"/>
    <cellStyle name="Normal 2 3 2 31 5 3" xfId="27081" xr:uid="{00000000-0005-0000-0000-0000C9690000}"/>
    <cellStyle name="Normal 2 3 2 31 5 4" xfId="27082" xr:uid="{00000000-0005-0000-0000-0000CA690000}"/>
    <cellStyle name="Normal 2 3 2 31 5 5" xfId="27083" xr:uid="{00000000-0005-0000-0000-0000CB690000}"/>
    <cellStyle name="Normal 2 3 2 31 5 6" xfId="27084" xr:uid="{00000000-0005-0000-0000-0000CC690000}"/>
    <cellStyle name="Normal 2 3 2 31 5 7" xfId="27085" xr:uid="{00000000-0005-0000-0000-0000CD690000}"/>
    <cellStyle name="Normal 2 3 2 31 5 8" xfId="27086" xr:uid="{00000000-0005-0000-0000-0000CE690000}"/>
    <cellStyle name="Normal 2 3 2 31 5 9" xfId="27087" xr:uid="{00000000-0005-0000-0000-0000CF690000}"/>
    <cellStyle name="Normal 2 3 2 31 6" xfId="27088" xr:uid="{00000000-0005-0000-0000-0000D0690000}"/>
    <cellStyle name="Normal 2 3 2 31 7" xfId="27089" xr:uid="{00000000-0005-0000-0000-0000D1690000}"/>
    <cellStyle name="Normal 2 3 2 31 8" xfId="27090" xr:uid="{00000000-0005-0000-0000-0000D2690000}"/>
    <cellStyle name="Normal 2 3 2 31 9" xfId="27091" xr:uid="{00000000-0005-0000-0000-0000D3690000}"/>
    <cellStyle name="Normal 2 3 2 32" xfId="27092" xr:uid="{00000000-0005-0000-0000-0000D4690000}"/>
    <cellStyle name="Normal 2 3 2 32 10" xfId="27093" xr:uid="{00000000-0005-0000-0000-0000D5690000}"/>
    <cellStyle name="Normal 2 3 2 32 11" xfId="27094" xr:uid="{00000000-0005-0000-0000-0000D6690000}"/>
    <cellStyle name="Normal 2 3 2 32 12" xfId="27095" xr:uid="{00000000-0005-0000-0000-0000D7690000}"/>
    <cellStyle name="Normal 2 3 2 32 13" xfId="27096" xr:uid="{00000000-0005-0000-0000-0000D8690000}"/>
    <cellStyle name="Normal 2 3 2 32 14" xfId="27097" xr:uid="{00000000-0005-0000-0000-0000D9690000}"/>
    <cellStyle name="Normal 2 3 2 32 2" xfId="27098" xr:uid="{00000000-0005-0000-0000-0000DA690000}"/>
    <cellStyle name="Normal 2 3 2 32 2 10" xfId="27099" xr:uid="{00000000-0005-0000-0000-0000DB690000}"/>
    <cellStyle name="Normal 2 3 2 32 2 2" xfId="27100" xr:uid="{00000000-0005-0000-0000-0000DC690000}"/>
    <cellStyle name="Normal 2 3 2 32 2 3" xfId="27101" xr:uid="{00000000-0005-0000-0000-0000DD690000}"/>
    <cellStyle name="Normal 2 3 2 32 2 4" xfId="27102" xr:uid="{00000000-0005-0000-0000-0000DE690000}"/>
    <cellStyle name="Normal 2 3 2 32 2 5" xfId="27103" xr:uid="{00000000-0005-0000-0000-0000DF690000}"/>
    <cellStyle name="Normal 2 3 2 32 2 6" xfId="27104" xr:uid="{00000000-0005-0000-0000-0000E0690000}"/>
    <cellStyle name="Normal 2 3 2 32 2 7" xfId="27105" xr:uid="{00000000-0005-0000-0000-0000E1690000}"/>
    <cellStyle name="Normal 2 3 2 32 2 8" xfId="27106" xr:uid="{00000000-0005-0000-0000-0000E2690000}"/>
    <cellStyle name="Normal 2 3 2 32 2 9" xfId="27107" xr:uid="{00000000-0005-0000-0000-0000E3690000}"/>
    <cellStyle name="Normal 2 3 2 32 3" xfId="27108" xr:uid="{00000000-0005-0000-0000-0000E4690000}"/>
    <cellStyle name="Normal 2 3 2 32 3 10" xfId="27109" xr:uid="{00000000-0005-0000-0000-0000E5690000}"/>
    <cellStyle name="Normal 2 3 2 32 3 2" xfId="27110" xr:uid="{00000000-0005-0000-0000-0000E6690000}"/>
    <cellStyle name="Normal 2 3 2 32 3 3" xfId="27111" xr:uid="{00000000-0005-0000-0000-0000E7690000}"/>
    <cellStyle name="Normal 2 3 2 32 3 4" xfId="27112" xr:uid="{00000000-0005-0000-0000-0000E8690000}"/>
    <cellStyle name="Normal 2 3 2 32 3 5" xfId="27113" xr:uid="{00000000-0005-0000-0000-0000E9690000}"/>
    <cellStyle name="Normal 2 3 2 32 3 6" xfId="27114" xr:uid="{00000000-0005-0000-0000-0000EA690000}"/>
    <cellStyle name="Normal 2 3 2 32 3 7" xfId="27115" xr:uid="{00000000-0005-0000-0000-0000EB690000}"/>
    <cellStyle name="Normal 2 3 2 32 3 8" xfId="27116" xr:uid="{00000000-0005-0000-0000-0000EC690000}"/>
    <cellStyle name="Normal 2 3 2 32 3 9" xfId="27117" xr:uid="{00000000-0005-0000-0000-0000ED690000}"/>
    <cellStyle name="Normal 2 3 2 32 4" xfId="27118" xr:uid="{00000000-0005-0000-0000-0000EE690000}"/>
    <cellStyle name="Normal 2 3 2 32 4 10" xfId="27119" xr:uid="{00000000-0005-0000-0000-0000EF690000}"/>
    <cellStyle name="Normal 2 3 2 32 4 2" xfId="27120" xr:uid="{00000000-0005-0000-0000-0000F0690000}"/>
    <cellStyle name="Normal 2 3 2 32 4 3" xfId="27121" xr:uid="{00000000-0005-0000-0000-0000F1690000}"/>
    <cellStyle name="Normal 2 3 2 32 4 4" xfId="27122" xr:uid="{00000000-0005-0000-0000-0000F2690000}"/>
    <cellStyle name="Normal 2 3 2 32 4 5" xfId="27123" xr:uid="{00000000-0005-0000-0000-0000F3690000}"/>
    <cellStyle name="Normal 2 3 2 32 4 6" xfId="27124" xr:uid="{00000000-0005-0000-0000-0000F4690000}"/>
    <cellStyle name="Normal 2 3 2 32 4 7" xfId="27125" xr:uid="{00000000-0005-0000-0000-0000F5690000}"/>
    <cellStyle name="Normal 2 3 2 32 4 8" xfId="27126" xr:uid="{00000000-0005-0000-0000-0000F6690000}"/>
    <cellStyle name="Normal 2 3 2 32 4 9" xfId="27127" xr:uid="{00000000-0005-0000-0000-0000F7690000}"/>
    <cellStyle name="Normal 2 3 2 32 5" xfId="27128" xr:uid="{00000000-0005-0000-0000-0000F8690000}"/>
    <cellStyle name="Normal 2 3 2 32 5 10" xfId="27129" xr:uid="{00000000-0005-0000-0000-0000F9690000}"/>
    <cellStyle name="Normal 2 3 2 32 5 2" xfId="27130" xr:uid="{00000000-0005-0000-0000-0000FA690000}"/>
    <cellStyle name="Normal 2 3 2 32 5 3" xfId="27131" xr:uid="{00000000-0005-0000-0000-0000FB690000}"/>
    <cellStyle name="Normal 2 3 2 32 5 4" xfId="27132" xr:uid="{00000000-0005-0000-0000-0000FC690000}"/>
    <cellStyle name="Normal 2 3 2 32 5 5" xfId="27133" xr:uid="{00000000-0005-0000-0000-0000FD690000}"/>
    <cellStyle name="Normal 2 3 2 32 5 6" xfId="27134" xr:uid="{00000000-0005-0000-0000-0000FE690000}"/>
    <cellStyle name="Normal 2 3 2 32 5 7" xfId="27135" xr:uid="{00000000-0005-0000-0000-0000FF690000}"/>
    <cellStyle name="Normal 2 3 2 32 5 8" xfId="27136" xr:uid="{00000000-0005-0000-0000-0000006A0000}"/>
    <cellStyle name="Normal 2 3 2 32 5 9" xfId="27137" xr:uid="{00000000-0005-0000-0000-0000016A0000}"/>
    <cellStyle name="Normal 2 3 2 32 6" xfId="27138" xr:uid="{00000000-0005-0000-0000-0000026A0000}"/>
    <cellStyle name="Normal 2 3 2 32 7" xfId="27139" xr:uid="{00000000-0005-0000-0000-0000036A0000}"/>
    <cellStyle name="Normal 2 3 2 32 8" xfId="27140" xr:uid="{00000000-0005-0000-0000-0000046A0000}"/>
    <cellStyle name="Normal 2 3 2 32 9" xfId="27141" xr:uid="{00000000-0005-0000-0000-0000056A0000}"/>
    <cellStyle name="Normal 2 3 2 33" xfId="27142" xr:uid="{00000000-0005-0000-0000-0000066A0000}"/>
    <cellStyle name="Normal 2 3 2 33 10" xfId="27143" xr:uid="{00000000-0005-0000-0000-0000076A0000}"/>
    <cellStyle name="Normal 2 3 2 33 11" xfId="27144" xr:uid="{00000000-0005-0000-0000-0000086A0000}"/>
    <cellStyle name="Normal 2 3 2 33 12" xfId="27145" xr:uid="{00000000-0005-0000-0000-0000096A0000}"/>
    <cellStyle name="Normal 2 3 2 33 13" xfId="27146" xr:uid="{00000000-0005-0000-0000-00000A6A0000}"/>
    <cellStyle name="Normal 2 3 2 33 14" xfId="27147" xr:uid="{00000000-0005-0000-0000-00000B6A0000}"/>
    <cellStyle name="Normal 2 3 2 33 2" xfId="27148" xr:uid="{00000000-0005-0000-0000-00000C6A0000}"/>
    <cellStyle name="Normal 2 3 2 33 2 10" xfId="27149" xr:uid="{00000000-0005-0000-0000-00000D6A0000}"/>
    <cellStyle name="Normal 2 3 2 33 2 2" xfId="27150" xr:uid="{00000000-0005-0000-0000-00000E6A0000}"/>
    <cellStyle name="Normal 2 3 2 33 2 3" xfId="27151" xr:uid="{00000000-0005-0000-0000-00000F6A0000}"/>
    <cellStyle name="Normal 2 3 2 33 2 4" xfId="27152" xr:uid="{00000000-0005-0000-0000-0000106A0000}"/>
    <cellStyle name="Normal 2 3 2 33 2 5" xfId="27153" xr:uid="{00000000-0005-0000-0000-0000116A0000}"/>
    <cellStyle name="Normal 2 3 2 33 2 6" xfId="27154" xr:uid="{00000000-0005-0000-0000-0000126A0000}"/>
    <cellStyle name="Normal 2 3 2 33 2 7" xfId="27155" xr:uid="{00000000-0005-0000-0000-0000136A0000}"/>
    <cellStyle name="Normal 2 3 2 33 2 8" xfId="27156" xr:uid="{00000000-0005-0000-0000-0000146A0000}"/>
    <cellStyle name="Normal 2 3 2 33 2 9" xfId="27157" xr:uid="{00000000-0005-0000-0000-0000156A0000}"/>
    <cellStyle name="Normal 2 3 2 33 3" xfId="27158" xr:uid="{00000000-0005-0000-0000-0000166A0000}"/>
    <cellStyle name="Normal 2 3 2 33 3 10" xfId="27159" xr:uid="{00000000-0005-0000-0000-0000176A0000}"/>
    <cellStyle name="Normal 2 3 2 33 3 2" xfId="27160" xr:uid="{00000000-0005-0000-0000-0000186A0000}"/>
    <cellStyle name="Normal 2 3 2 33 3 3" xfId="27161" xr:uid="{00000000-0005-0000-0000-0000196A0000}"/>
    <cellStyle name="Normal 2 3 2 33 3 4" xfId="27162" xr:uid="{00000000-0005-0000-0000-00001A6A0000}"/>
    <cellStyle name="Normal 2 3 2 33 3 5" xfId="27163" xr:uid="{00000000-0005-0000-0000-00001B6A0000}"/>
    <cellStyle name="Normal 2 3 2 33 3 6" xfId="27164" xr:uid="{00000000-0005-0000-0000-00001C6A0000}"/>
    <cellStyle name="Normal 2 3 2 33 3 7" xfId="27165" xr:uid="{00000000-0005-0000-0000-00001D6A0000}"/>
    <cellStyle name="Normal 2 3 2 33 3 8" xfId="27166" xr:uid="{00000000-0005-0000-0000-00001E6A0000}"/>
    <cellStyle name="Normal 2 3 2 33 3 9" xfId="27167" xr:uid="{00000000-0005-0000-0000-00001F6A0000}"/>
    <cellStyle name="Normal 2 3 2 33 4" xfId="27168" xr:uid="{00000000-0005-0000-0000-0000206A0000}"/>
    <cellStyle name="Normal 2 3 2 33 4 10" xfId="27169" xr:uid="{00000000-0005-0000-0000-0000216A0000}"/>
    <cellStyle name="Normal 2 3 2 33 4 2" xfId="27170" xr:uid="{00000000-0005-0000-0000-0000226A0000}"/>
    <cellStyle name="Normal 2 3 2 33 4 3" xfId="27171" xr:uid="{00000000-0005-0000-0000-0000236A0000}"/>
    <cellStyle name="Normal 2 3 2 33 4 4" xfId="27172" xr:uid="{00000000-0005-0000-0000-0000246A0000}"/>
    <cellStyle name="Normal 2 3 2 33 4 5" xfId="27173" xr:uid="{00000000-0005-0000-0000-0000256A0000}"/>
    <cellStyle name="Normal 2 3 2 33 4 6" xfId="27174" xr:uid="{00000000-0005-0000-0000-0000266A0000}"/>
    <cellStyle name="Normal 2 3 2 33 4 7" xfId="27175" xr:uid="{00000000-0005-0000-0000-0000276A0000}"/>
    <cellStyle name="Normal 2 3 2 33 4 8" xfId="27176" xr:uid="{00000000-0005-0000-0000-0000286A0000}"/>
    <cellStyle name="Normal 2 3 2 33 4 9" xfId="27177" xr:uid="{00000000-0005-0000-0000-0000296A0000}"/>
    <cellStyle name="Normal 2 3 2 33 5" xfId="27178" xr:uid="{00000000-0005-0000-0000-00002A6A0000}"/>
    <cellStyle name="Normal 2 3 2 33 5 10" xfId="27179" xr:uid="{00000000-0005-0000-0000-00002B6A0000}"/>
    <cellStyle name="Normal 2 3 2 33 5 2" xfId="27180" xr:uid="{00000000-0005-0000-0000-00002C6A0000}"/>
    <cellStyle name="Normal 2 3 2 33 5 3" xfId="27181" xr:uid="{00000000-0005-0000-0000-00002D6A0000}"/>
    <cellStyle name="Normal 2 3 2 33 5 4" xfId="27182" xr:uid="{00000000-0005-0000-0000-00002E6A0000}"/>
    <cellStyle name="Normal 2 3 2 33 5 5" xfId="27183" xr:uid="{00000000-0005-0000-0000-00002F6A0000}"/>
    <cellStyle name="Normal 2 3 2 33 5 6" xfId="27184" xr:uid="{00000000-0005-0000-0000-0000306A0000}"/>
    <cellStyle name="Normal 2 3 2 33 5 7" xfId="27185" xr:uid="{00000000-0005-0000-0000-0000316A0000}"/>
    <cellStyle name="Normal 2 3 2 33 5 8" xfId="27186" xr:uid="{00000000-0005-0000-0000-0000326A0000}"/>
    <cellStyle name="Normal 2 3 2 33 5 9" xfId="27187" xr:uid="{00000000-0005-0000-0000-0000336A0000}"/>
    <cellStyle name="Normal 2 3 2 33 6" xfId="27188" xr:uid="{00000000-0005-0000-0000-0000346A0000}"/>
    <cellStyle name="Normal 2 3 2 33 7" xfId="27189" xr:uid="{00000000-0005-0000-0000-0000356A0000}"/>
    <cellStyle name="Normal 2 3 2 33 8" xfId="27190" xr:uid="{00000000-0005-0000-0000-0000366A0000}"/>
    <cellStyle name="Normal 2 3 2 33 9" xfId="27191" xr:uid="{00000000-0005-0000-0000-0000376A0000}"/>
    <cellStyle name="Normal 2 3 2 34" xfId="27192" xr:uid="{00000000-0005-0000-0000-0000386A0000}"/>
    <cellStyle name="Normal 2 3 2 34 10" xfId="27193" xr:uid="{00000000-0005-0000-0000-0000396A0000}"/>
    <cellStyle name="Normal 2 3 2 34 2" xfId="27194" xr:uid="{00000000-0005-0000-0000-00003A6A0000}"/>
    <cellStyle name="Normal 2 3 2 34 3" xfId="27195" xr:uid="{00000000-0005-0000-0000-00003B6A0000}"/>
    <cellStyle name="Normal 2 3 2 34 4" xfId="27196" xr:uid="{00000000-0005-0000-0000-00003C6A0000}"/>
    <cellStyle name="Normal 2 3 2 34 5" xfId="27197" xr:uid="{00000000-0005-0000-0000-00003D6A0000}"/>
    <cellStyle name="Normal 2 3 2 34 6" xfId="27198" xr:uid="{00000000-0005-0000-0000-00003E6A0000}"/>
    <cellStyle name="Normal 2 3 2 34 7" xfId="27199" xr:uid="{00000000-0005-0000-0000-00003F6A0000}"/>
    <cellStyle name="Normal 2 3 2 34 8" xfId="27200" xr:uid="{00000000-0005-0000-0000-0000406A0000}"/>
    <cellStyle name="Normal 2 3 2 34 9" xfId="27201" xr:uid="{00000000-0005-0000-0000-0000416A0000}"/>
    <cellStyle name="Normal 2 3 2 35" xfId="27202" xr:uid="{00000000-0005-0000-0000-0000426A0000}"/>
    <cellStyle name="Normal 2 3 2 35 10" xfId="27203" xr:uid="{00000000-0005-0000-0000-0000436A0000}"/>
    <cellStyle name="Normal 2 3 2 35 2" xfId="27204" xr:uid="{00000000-0005-0000-0000-0000446A0000}"/>
    <cellStyle name="Normal 2 3 2 35 3" xfId="27205" xr:uid="{00000000-0005-0000-0000-0000456A0000}"/>
    <cellStyle name="Normal 2 3 2 35 4" xfId="27206" xr:uid="{00000000-0005-0000-0000-0000466A0000}"/>
    <cellStyle name="Normal 2 3 2 35 5" xfId="27207" xr:uid="{00000000-0005-0000-0000-0000476A0000}"/>
    <cellStyle name="Normal 2 3 2 35 6" xfId="27208" xr:uid="{00000000-0005-0000-0000-0000486A0000}"/>
    <cellStyle name="Normal 2 3 2 35 7" xfId="27209" xr:uid="{00000000-0005-0000-0000-0000496A0000}"/>
    <cellStyle name="Normal 2 3 2 35 8" xfId="27210" xr:uid="{00000000-0005-0000-0000-00004A6A0000}"/>
    <cellStyle name="Normal 2 3 2 35 9" xfId="27211" xr:uid="{00000000-0005-0000-0000-00004B6A0000}"/>
    <cellStyle name="Normal 2 3 2 36" xfId="27212" xr:uid="{00000000-0005-0000-0000-00004C6A0000}"/>
    <cellStyle name="Normal 2 3 2 36 10" xfId="27213" xr:uid="{00000000-0005-0000-0000-00004D6A0000}"/>
    <cellStyle name="Normal 2 3 2 36 2" xfId="27214" xr:uid="{00000000-0005-0000-0000-00004E6A0000}"/>
    <cellStyle name="Normal 2 3 2 36 3" xfId="27215" xr:uid="{00000000-0005-0000-0000-00004F6A0000}"/>
    <cellStyle name="Normal 2 3 2 36 4" xfId="27216" xr:uid="{00000000-0005-0000-0000-0000506A0000}"/>
    <cellStyle name="Normal 2 3 2 36 5" xfId="27217" xr:uid="{00000000-0005-0000-0000-0000516A0000}"/>
    <cellStyle name="Normal 2 3 2 36 6" xfId="27218" xr:uid="{00000000-0005-0000-0000-0000526A0000}"/>
    <cellStyle name="Normal 2 3 2 36 7" xfId="27219" xr:uid="{00000000-0005-0000-0000-0000536A0000}"/>
    <cellStyle name="Normal 2 3 2 36 8" xfId="27220" xr:uid="{00000000-0005-0000-0000-0000546A0000}"/>
    <cellStyle name="Normal 2 3 2 36 9" xfId="27221" xr:uid="{00000000-0005-0000-0000-0000556A0000}"/>
    <cellStyle name="Normal 2 3 2 37" xfId="27222" xr:uid="{00000000-0005-0000-0000-0000566A0000}"/>
    <cellStyle name="Normal 2 3 2 37 10" xfId="27223" xr:uid="{00000000-0005-0000-0000-0000576A0000}"/>
    <cellStyle name="Normal 2 3 2 37 2" xfId="27224" xr:uid="{00000000-0005-0000-0000-0000586A0000}"/>
    <cellStyle name="Normal 2 3 2 37 3" xfId="27225" xr:uid="{00000000-0005-0000-0000-0000596A0000}"/>
    <cellStyle name="Normal 2 3 2 37 4" xfId="27226" xr:uid="{00000000-0005-0000-0000-00005A6A0000}"/>
    <cellStyle name="Normal 2 3 2 37 5" xfId="27227" xr:uid="{00000000-0005-0000-0000-00005B6A0000}"/>
    <cellStyle name="Normal 2 3 2 37 6" xfId="27228" xr:uid="{00000000-0005-0000-0000-00005C6A0000}"/>
    <cellStyle name="Normal 2 3 2 37 7" xfId="27229" xr:uid="{00000000-0005-0000-0000-00005D6A0000}"/>
    <cellStyle name="Normal 2 3 2 37 8" xfId="27230" xr:uid="{00000000-0005-0000-0000-00005E6A0000}"/>
    <cellStyle name="Normal 2 3 2 37 9" xfId="27231" xr:uid="{00000000-0005-0000-0000-00005F6A0000}"/>
    <cellStyle name="Normal 2 3 2 38" xfId="27232" xr:uid="{00000000-0005-0000-0000-0000606A0000}"/>
    <cellStyle name="Normal 2 3 2 39" xfId="27233" xr:uid="{00000000-0005-0000-0000-0000616A0000}"/>
    <cellStyle name="Normal 2 3 2 4" xfId="27234" xr:uid="{00000000-0005-0000-0000-0000626A0000}"/>
    <cellStyle name="Normal 2 3 2 4 10" xfId="27235" xr:uid="{00000000-0005-0000-0000-0000636A0000}"/>
    <cellStyle name="Normal 2 3 2 4 11" xfId="27236" xr:uid="{00000000-0005-0000-0000-0000646A0000}"/>
    <cellStyle name="Normal 2 3 2 4 12" xfId="27237" xr:uid="{00000000-0005-0000-0000-0000656A0000}"/>
    <cellStyle name="Normal 2 3 2 4 13" xfId="27238" xr:uid="{00000000-0005-0000-0000-0000666A0000}"/>
    <cellStyle name="Normal 2 3 2 4 14" xfId="27239" xr:uid="{00000000-0005-0000-0000-0000676A0000}"/>
    <cellStyle name="Normal 2 3 2 4 2" xfId="27240" xr:uid="{00000000-0005-0000-0000-0000686A0000}"/>
    <cellStyle name="Normal 2 3 2 4 2 10" xfId="27241" xr:uid="{00000000-0005-0000-0000-0000696A0000}"/>
    <cellStyle name="Normal 2 3 2 4 2 2" xfId="27242" xr:uid="{00000000-0005-0000-0000-00006A6A0000}"/>
    <cellStyle name="Normal 2 3 2 4 2 3" xfId="27243" xr:uid="{00000000-0005-0000-0000-00006B6A0000}"/>
    <cellStyle name="Normal 2 3 2 4 2 4" xfId="27244" xr:uid="{00000000-0005-0000-0000-00006C6A0000}"/>
    <cellStyle name="Normal 2 3 2 4 2 5" xfId="27245" xr:uid="{00000000-0005-0000-0000-00006D6A0000}"/>
    <cellStyle name="Normal 2 3 2 4 2 6" xfId="27246" xr:uid="{00000000-0005-0000-0000-00006E6A0000}"/>
    <cellStyle name="Normal 2 3 2 4 2 7" xfId="27247" xr:uid="{00000000-0005-0000-0000-00006F6A0000}"/>
    <cellStyle name="Normal 2 3 2 4 2 8" xfId="27248" xr:uid="{00000000-0005-0000-0000-0000706A0000}"/>
    <cellStyle name="Normal 2 3 2 4 2 9" xfId="27249" xr:uid="{00000000-0005-0000-0000-0000716A0000}"/>
    <cellStyle name="Normal 2 3 2 4 3" xfId="27250" xr:uid="{00000000-0005-0000-0000-0000726A0000}"/>
    <cellStyle name="Normal 2 3 2 4 3 10" xfId="27251" xr:uid="{00000000-0005-0000-0000-0000736A0000}"/>
    <cellStyle name="Normal 2 3 2 4 3 2" xfId="27252" xr:uid="{00000000-0005-0000-0000-0000746A0000}"/>
    <cellStyle name="Normal 2 3 2 4 3 3" xfId="27253" xr:uid="{00000000-0005-0000-0000-0000756A0000}"/>
    <cellStyle name="Normal 2 3 2 4 3 4" xfId="27254" xr:uid="{00000000-0005-0000-0000-0000766A0000}"/>
    <cellStyle name="Normal 2 3 2 4 3 5" xfId="27255" xr:uid="{00000000-0005-0000-0000-0000776A0000}"/>
    <cellStyle name="Normal 2 3 2 4 3 6" xfId="27256" xr:uid="{00000000-0005-0000-0000-0000786A0000}"/>
    <cellStyle name="Normal 2 3 2 4 3 7" xfId="27257" xr:uid="{00000000-0005-0000-0000-0000796A0000}"/>
    <cellStyle name="Normal 2 3 2 4 3 8" xfId="27258" xr:uid="{00000000-0005-0000-0000-00007A6A0000}"/>
    <cellStyle name="Normal 2 3 2 4 3 9" xfId="27259" xr:uid="{00000000-0005-0000-0000-00007B6A0000}"/>
    <cellStyle name="Normal 2 3 2 4 4" xfId="27260" xr:uid="{00000000-0005-0000-0000-00007C6A0000}"/>
    <cellStyle name="Normal 2 3 2 4 4 10" xfId="27261" xr:uid="{00000000-0005-0000-0000-00007D6A0000}"/>
    <cellStyle name="Normal 2 3 2 4 4 2" xfId="27262" xr:uid="{00000000-0005-0000-0000-00007E6A0000}"/>
    <cellStyle name="Normal 2 3 2 4 4 3" xfId="27263" xr:uid="{00000000-0005-0000-0000-00007F6A0000}"/>
    <cellStyle name="Normal 2 3 2 4 4 4" xfId="27264" xr:uid="{00000000-0005-0000-0000-0000806A0000}"/>
    <cellStyle name="Normal 2 3 2 4 4 5" xfId="27265" xr:uid="{00000000-0005-0000-0000-0000816A0000}"/>
    <cellStyle name="Normal 2 3 2 4 4 6" xfId="27266" xr:uid="{00000000-0005-0000-0000-0000826A0000}"/>
    <cellStyle name="Normal 2 3 2 4 4 7" xfId="27267" xr:uid="{00000000-0005-0000-0000-0000836A0000}"/>
    <cellStyle name="Normal 2 3 2 4 4 8" xfId="27268" xr:uid="{00000000-0005-0000-0000-0000846A0000}"/>
    <cellStyle name="Normal 2 3 2 4 4 9" xfId="27269" xr:uid="{00000000-0005-0000-0000-0000856A0000}"/>
    <cellStyle name="Normal 2 3 2 4 5" xfId="27270" xr:uid="{00000000-0005-0000-0000-0000866A0000}"/>
    <cellStyle name="Normal 2 3 2 4 5 10" xfId="27271" xr:uid="{00000000-0005-0000-0000-0000876A0000}"/>
    <cellStyle name="Normal 2 3 2 4 5 2" xfId="27272" xr:uid="{00000000-0005-0000-0000-0000886A0000}"/>
    <cellStyle name="Normal 2 3 2 4 5 3" xfId="27273" xr:uid="{00000000-0005-0000-0000-0000896A0000}"/>
    <cellStyle name="Normal 2 3 2 4 5 4" xfId="27274" xr:uid="{00000000-0005-0000-0000-00008A6A0000}"/>
    <cellStyle name="Normal 2 3 2 4 5 5" xfId="27275" xr:uid="{00000000-0005-0000-0000-00008B6A0000}"/>
    <cellStyle name="Normal 2 3 2 4 5 6" xfId="27276" xr:uid="{00000000-0005-0000-0000-00008C6A0000}"/>
    <cellStyle name="Normal 2 3 2 4 5 7" xfId="27277" xr:uid="{00000000-0005-0000-0000-00008D6A0000}"/>
    <cellStyle name="Normal 2 3 2 4 5 8" xfId="27278" xr:uid="{00000000-0005-0000-0000-00008E6A0000}"/>
    <cellStyle name="Normal 2 3 2 4 5 9" xfId="27279" xr:uid="{00000000-0005-0000-0000-00008F6A0000}"/>
    <cellStyle name="Normal 2 3 2 4 6" xfId="27280" xr:uid="{00000000-0005-0000-0000-0000906A0000}"/>
    <cellStyle name="Normal 2 3 2 4 7" xfId="27281" xr:uid="{00000000-0005-0000-0000-0000916A0000}"/>
    <cellStyle name="Normal 2 3 2 4 8" xfId="27282" xr:uid="{00000000-0005-0000-0000-0000926A0000}"/>
    <cellStyle name="Normal 2 3 2 4 9" xfId="27283" xr:uid="{00000000-0005-0000-0000-0000936A0000}"/>
    <cellStyle name="Normal 2 3 2 40" xfId="27284" xr:uid="{00000000-0005-0000-0000-0000946A0000}"/>
    <cellStyle name="Normal 2 3 2 41" xfId="27285" xr:uid="{00000000-0005-0000-0000-0000956A0000}"/>
    <cellStyle name="Normal 2 3 2 42" xfId="27286" xr:uid="{00000000-0005-0000-0000-0000966A0000}"/>
    <cellStyle name="Normal 2 3 2 43" xfId="27287" xr:uid="{00000000-0005-0000-0000-0000976A0000}"/>
    <cellStyle name="Normal 2 3 2 44" xfId="27288" xr:uid="{00000000-0005-0000-0000-0000986A0000}"/>
    <cellStyle name="Normal 2 3 2 45" xfId="27289" xr:uid="{00000000-0005-0000-0000-0000996A0000}"/>
    <cellStyle name="Normal 2 3 2 46" xfId="27290" xr:uid="{00000000-0005-0000-0000-00009A6A0000}"/>
    <cellStyle name="Normal 2 3 2 47" xfId="27291" xr:uid="{00000000-0005-0000-0000-00009B6A0000}"/>
    <cellStyle name="Normal 2 3 2 48" xfId="27292" xr:uid="{00000000-0005-0000-0000-00009C6A0000}"/>
    <cellStyle name="Normal 2 3 2 49" xfId="25885" xr:uid="{00000000-0005-0000-0000-00001D650000}"/>
    <cellStyle name="Normal 2 3 2 5" xfId="27293" xr:uid="{00000000-0005-0000-0000-00009D6A0000}"/>
    <cellStyle name="Normal 2 3 2 5 10" xfId="27294" xr:uid="{00000000-0005-0000-0000-00009E6A0000}"/>
    <cellStyle name="Normal 2 3 2 5 11" xfId="27295" xr:uid="{00000000-0005-0000-0000-00009F6A0000}"/>
    <cellStyle name="Normal 2 3 2 5 12" xfId="27296" xr:uid="{00000000-0005-0000-0000-0000A06A0000}"/>
    <cellStyle name="Normal 2 3 2 5 13" xfId="27297" xr:uid="{00000000-0005-0000-0000-0000A16A0000}"/>
    <cellStyle name="Normal 2 3 2 5 14" xfId="27298" xr:uid="{00000000-0005-0000-0000-0000A26A0000}"/>
    <cellStyle name="Normal 2 3 2 5 2" xfId="27299" xr:uid="{00000000-0005-0000-0000-0000A36A0000}"/>
    <cellStyle name="Normal 2 3 2 5 2 10" xfId="27300" xr:uid="{00000000-0005-0000-0000-0000A46A0000}"/>
    <cellStyle name="Normal 2 3 2 5 2 2" xfId="27301" xr:uid="{00000000-0005-0000-0000-0000A56A0000}"/>
    <cellStyle name="Normal 2 3 2 5 2 3" xfId="27302" xr:uid="{00000000-0005-0000-0000-0000A66A0000}"/>
    <cellStyle name="Normal 2 3 2 5 2 4" xfId="27303" xr:uid="{00000000-0005-0000-0000-0000A76A0000}"/>
    <cellStyle name="Normal 2 3 2 5 2 5" xfId="27304" xr:uid="{00000000-0005-0000-0000-0000A86A0000}"/>
    <cellStyle name="Normal 2 3 2 5 2 6" xfId="27305" xr:uid="{00000000-0005-0000-0000-0000A96A0000}"/>
    <cellStyle name="Normal 2 3 2 5 2 7" xfId="27306" xr:uid="{00000000-0005-0000-0000-0000AA6A0000}"/>
    <cellStyle name="Normal 2 3 2 5 2 8" xfId="27307" xr:uid="{00000000-0005-0000-0000-0000AB6A0000}"/>
    <cellStyle name="Normal 2 3 2 5 2 9" xfId="27308" xr:uid="{00000000-0005-0000-0000-0000AC6A0000}"/>
    <cellStyle name="Normal 2 3 2 5 3" xfId="27309" xr:uid="{00000000-0005-0000-0000-0000AD6A0000}"/>
    <cellStyle name="Normal 2 3 2 5 3 10" xfId="27310" xr:uid="{00000000-0005-0000-0000-0000AE6A0000}"/>
    <cellStyle name="Normal 2 3 2 5 3 2" xfId="27311" xr:uid="{00000000-0005-0000-0000-0000AF6A0000}"/>
    <cellStyle name="Normal 2 3 2 5 3 3" xfId="27312" xr:uid="{00000000-0005-0000-0000-0000B06A0000}"/>
    <cellStyle name="Normal 2 3 2 5 3 4" xfId="27313" xr:uid="{00000000-0005-0000-0000-0000B16A0000}"/>
    <cellStyle name="Normal 2 3 2 5 3 5" xfId="27314" xr:uid="{00000000-0005-0000-0000-0000B26A0000}"/>
    <cellStyle name="Normal 2 3 2 5 3 6" xfId="27315" xr:uid="{00000000-0005-0000-0000-0000B36A0000}"/>
    <cellStyle name="Normal 2 3 2 5 3 7" xfId="27316" xr:uid="{00000000-0005-0000-0000-0000B46A0000}"/>
    <cellStyle name="Normal 2 3 2 5 3 8" xfId="27317" xr:uid="{00000000-0005-0000-0000-0000B56A0000}"/>
    <cellStyle name="Normal 2 3 2 5 3 9" xfId="27318" xr:uid="{00000000-0005-0000-0000-0000B66A0000}"/>
    <cellStyle name="Normal 2 3 2 5 4" xfId="27319" xr:uid="{00000000-0005-0000-0000-0000B76A0000}"/>
    <cellStyle name="Normal 2 3 2 5 4 10" xfId="27320" xr:uid="{00000000-0005-0000-0000-0000B86A0000}"/>
    <cellStyle name="Normal 2 3 2 5 4 2" xfId="27321" xr:uid="{00000000-0005-0000-0000-0000B96A0000}"/>
    <cellStyle name="Normal 2 3 2 5 4 3" xfId="27322" xr:uid="{00000000-0005-0000-0000-0000BA6A0000}"/>
    <cellStyle name="Normal 2 3 2 5 4 4" xfId="27323" xr:uid="{00000000-0005-0000-0000-0000BB6A0000}"/>
    <cellStyle name="Normal 2 3 2 5 4 5" xfId="27324" xr:uid="{00000000-0005-0000-0000-0000BC6A0000}"/>
    <cellStyle name="Normal 2 3 2 5 4 6" xfId="27325" xr:uid="{00000000-0005-0000-0000-0000BD6A0000}"/>
    <cellStyle name="Normal 2 3 2 5 4 7" xfId="27326" xr:uid="{00000000-0005-0000-0000-0000BE6A0000}"/>
    <cellStyle name="Normal 2 3 2 5 4 8" xfId="27327" xr:uid="{00000000-0005-0000-0000-0000BF6A0000}"/>
    <cellStyle name="Normal 2 3 2 5 4 9" xfId="27328" xr:uid="{00000000-0005-0000-0000-0000C06A0000}"/>
    <cellStyle name="Normal 2 3 2 5 5" xfId="27329" xr:uid="{00000000-0005-0000-0000-0000C16A0000}"/>
    <cellStyle name="Normal 2 3 2 5 5 10" xfId="27330" xr:uid="{00000000-0005-0000-0000-0000C26A0000}"/>
    <cellStyle name="Normal 2 3 2 5 5 2" xfId="27331" xr:uid="{00000000-0005-0000-0000-0000C36A0000}"/>
    <cellStyle name="Normal 2 3 2 5 5 3" xfId="27332" xr:uid="{00000000-0005-0000-0000-0000C46A0000}"/>
    <cellStyle name="Normal 2 3 2 5 5 4" xfId="27333" xr:uid="{00000000-0005-0000-0000-0000C56A0000}"/>
    <cellStyle name="Normal 2 3 2 5 5 5" xfId="27334" xr:uid="{00000000-0005-0000-0000-0000C66A0000}"/>
    <cellStyle name="Normal 2 3 2 5 5 6" xfId="27335" xr:uid="{00000000-0005-0000-0000-0000C76A0000}"/>
    <cellStyle name="Normal 2 3 2 5 5 7" xfId="27336" xr:uid="{00000000-0005-0000-0000-0000C86A0000}"/>
    <cellStyle name="Normal 2 3 2 5 5 8" xfId="27337" xr:uid="{00000000-0005-0000-0000-0000C96A0000}"/>
    <cellStyle name="Normal 2 3 2 5 5 9" xfId="27338" xr:uid="{00000000-0005-0000-0000-0000CA6A0000}"/>
    <cellStyle name="Normal 2 3 2 5 6" xfId="27339" xr:uid="{00000000-0005-0000-0000-0000CB6A0000}"/>
    <cellStyle name="Normal 2 3 2 5 7" xfId="27340" xr:uid="{00000000-0005-0000-0000-0000CC6A0000}"/>
    <cellStyle name="Normal 2 3 2 5 8" xfId="27341" xr:uid="{00000000-0005-0000-0000-0000CD6A0000}"/>
    <cellStyle name="Normal 2 3 2 5 9" xfId="27342" xr:uid="{00000000-0005-0000-0000-0000CE6A0000}"/>
    <cellStyle name="Normal 2 3 2 6" xfId="27343" xr:uid="{00000000-0005-0000-0000-0000CF6A0000}"/>
    <cellStyle name="Normal 2 3 2 6 10" xfId="27344" xr:uid="{00000000-0005-0000-0000-0000D06A0000}"/>
    <cellStyle name="Normal 2 3 2 6 11" xfId="27345" xr:uid="{00000000-0005-0000-0000-0000D16A0000}"/>
    <cellStyle name="Normal 2 3 2 6 12" xfId="27346" xr:uid="{00000000-0005-0000-0000-0000D26A0000}"/>
    <cellStyle name="Normal 2 3 2 6 13" xfId="27347" xr:uid="{00000000-0005-0000-0000-0000D36A0000}"/>
    <cellStyle name="Normal 2 3 2 6 14" xfId="27348" xr:uid="{00000000-0005-0000-0000-0000D46A0000}"/>
    <cellStyle name="Normal 2 3 2 6 2" xfId="27349" xr:uid="{00000000-0005-0000-0000-0000D56A0000}"/>
    <cellStyle name="Normal 2 3 2 6 2 10" xfId="27350" xr:uid="{00000000-0005-0000-0000-0000D66A0000}"/>
    <cellStyle name="Normal 2 3 2 6 2 2" xfId="27351" xr:uid="{00000000-0005-0000-0000-0000D76A0000}"/>
    <cellStyle name="Normal 2 3 2 6 2 3" xfId="27352" xr:uid="{00000000-0005-0000-0000-0000D86A0000}"/>
    <cellStyle name="Normal 2 3 2 6 2 4" xfId="27353" xr:uid="{00000000-0005-0000-0000-0000D96A0000}"/>
    <cellStyle name="Normal 2 3 2 6 2 5" xfId="27354" xr:uid="{00000000-0005-0000-0000-0000DA6A0000}"/>
    <cellStyle name="Normal 2 3 2 6 2 6" xfId="27355" xr:uid="{00000000-0005-0000-0000-0000DB6A0000}"/>
    <cellStyle name="Normal 2 3 2 6 2 7" xfId="27356" xr:uid="{00000000-0005-0000-0000-0000DC6A0000}"/>
    <cellStyle name="Normal 2 3 2 6 2 8" xfId="27357" xr:uid="{00000000-0005-0000-0000-0000DD6A0000}"/>
    <cellStyle name="Normal 2 3 2 6 2 9" xfId="27358" xr:uid="{00000000-0005-0000-0000-0000DE6A0000}"/>
    <cellStyle name="Normal 2 3 2 6 3" xfId="27359" xr:uid="{00000000-0005-0000-0000-0000DF6A0000}"/>
    <cellStyle name="Normal 2 3 2 6 3 10" xfId="27360" xr:uid="{00000000-0005-0000-0000-0000E06A0000}"/>
    <cellStyle name="Normal 2 3 2 6 3 2" xfId="27361" xr:uid="{00000000-0005-0000-0000-0000E16A0000}"/>
    <cellStyle name="Normal 2 3 2 6 3 3" xfId="27362" xr:uid="{00000000-0005-0000-0000-0000E26A0000}"/>
    <cellStyle name="Normal 2 3 2 6 3 4" xfId="27363" xr:uid="{00000000-0005-0000-0000-0000E36A0000}"/>
    <cellStyle name="Normal 2 3 2 6 3 5" xfId="27364" xr:uid="{00000000-0005-0000-0000-0000E46A0000}"/>
    <cellStyle name="Normal 2 3 2 6 3 6" xfId="27365" xr:uid="{00000000-0005-0000-0000-0000E56A0000}"/>
    <cellStyle name="Normal 2 3 2 6 3 7" xfId="27366" xr:uid="{00000000-0005-0000-0000-0000E66A0000}"/>
    <cellStyle name="Normal 2 3 2 6 3 8" xfId="27367" xr:uid="{00000000-0005-0000-0000-0000E76A0000}"/>
    <cellStyle name="Normal 2 3 2 6 3 9" xfId="27368" xr:uid="{00000000-0005-0000-0000-0000E86A0000}"/>
    <cellStyle name="Normal 2 3 2 6 4" xfId="27369" xr:uid="{00000000-0005-0000-0000-0000E96A0000}"/>
    <cellStyle name="Normal 2 3 2 6 4 10" xfId="27370" xr:uid="{00000000-0005-0000-0000-0000EA6A0000}"/>
    <cellStyle name="Normal 2 3 2 6 4 2" xfId="27371" xr:uid="{00000000-0005-0000-0000-0000EB6A0000}"/>
    <cellStyle name="Normal 2 3 2 6 4 3" xfId="27372" xr:uid="{00000000-0005-0000-0000-0000EC6A0000}"/>
    <cellStyle name="Normal 2 3 2 6 4 4" xfId="27373" xr:uid="{00000000-0005-0000-0000-0000ED6A0000}"/>
    <cellStyle name="Normal 2 3 2 6 4 5" xfId="27374" xr:uid="{00000000-0005-0000-0000-0000EE6A0000}"/>
    <cellStyle name="Normal 2 3 2 6 4 6" xfId="27375" xr:uid="{00000000-0005-0000-0000-0000EF6A0000}"/>
    <cellStyle name="Normal 2 3 2 6 4 7" xfId="27376" xr:uid="{00000000-0005-0000-0000-0000F06A0000}"/>
    <cellStyle name="Normal 2 3 2 6 4 8" xfId="27377" xr:uid="{00000000-0005-0000-0000-0000F16A0000}"/>
    <cellStyle name="Normal 2 3 2 6 4 9" xfId="27378" xr:uid="{00000000-0005-0000-0000-0000F26A0000}"/>
    <cellStyle name="Normal 2 3 2 6 5" xfId="27379" xr:uid="{00000000-0005-0000-0000-0000F36A0000}"/>
    <cellStyle name="Normal 2 3 2 6 5 10" xfId="27380" xr:uid="{00000000-0005-0000-0000-0000F46A0000}"/>
    <cellStyle name="Normal 2 3 2 6 5 2" xfId="27381" xr:uid="{00000000-0005-0000-0000-0000F56A0000}"/>
    <cellStyle name="Normal 2 3 2 6 5 3" xfId="27382" xr:uid="{00000000-0005-0000-0000-0000F66A0000}"/>
    <cellStyle name="Normal 2 3 2 6 5 4" xfId="27383" xr:uid="{00000000-0005-0000-0000-0000F76A0000}"/>
    <cellStyle name="Normal 2 3 2 6 5 5" xfId="27384" xr:uid="{00000000-0005-0000-0000-0000F86A0000}"/>
    <cellStyle name="Normal 2 3 2 6 5 6" xfId="27385" xr:uid="{00000000-0005-0000-0000-0000F96A0000}"/>
    <cellStyle name="Normal 2 3 2 6 5 7" xfId="27386" xr:uid="{00000000-0005-0000-0000-0000FA6A0000}"/>
    <cellStyle name="Normal 2 3 2 6 5 8" xfId="27387" xr:uid="{00000000-0005-0000-0000-0000FB6A0000}"/>
    <cellStyle name="Normal 2 3 2 6 5 9" xfId="27388" xr:uid="{00000000-0005-0000-0000-0000FC6A0000}"/>
    <cellStyle name="Normal 2 3 2 6 6" xfId="27389" xr:uid="{00000000-0005-0000-0000-0000FD6A0000}"/>
    <cellStyle name="Normal 2 3 2 6 7" xfId="27390" xr:uid="{00000000-0005-0000-0000-0000FE6A0000}"/>
    <cellStyle name="Normal 2 3 2 6 8" xfId="27391" xr:uid="{00000000-0005-0000-0000-0000FF6A0000}"/>
    <cellStyle name="Normal 2 3 2 6 9" xfId="27392" xr:uid="{00000000-0005-0000-0000-0000006B0000}"/>
    <cellStyle name="Normal 2 3 2 7" xfId="27393" xr:uid="{00000000-0005-0000-0000-0000016B0000}"/>
    <cellStyle name="Normal 2 3 2 7 10" xfId="27394" xr:uid="{00000000-0005-0000-0000-0000026B0000}"/>
    <cellStyle name="Normal 2 3 2 7 11" xfId="27395" xr:uid="{00000000-0005-0000-0000-0000036B0000}"/>
    <cellStyle name="Normal 2 3 2 7 12" xfId="27396" xr:uid="{00000000-0005-0000-0000-0000046B0000}"/>
    <cellStyle name="Normal 2 3 2 7 13" xfId="27397" xr:uid="{00000000-0005-0000-0000-0000056B0000}"/>
    <cellStyle name="Normal 2 3 2 7 14" xfId="27398" xr:uid="{00000000-0005-0000-0000-0000066B0000}"/>
    <cellStyle name="Normal 2 3 2 7 2" xfId="27399" xr:uid="{00000000-0005-0000-0000-0000076B0000}"/>
    <cellStyle name="Normal 2 3 2 7 2 10" xfId="27400" xr:uid="{00000000-0005-0000-0000-0000086B0000}"/>
    <cellStyle name="Normal 2 3 2 7 2 2" xfId="27401" xr:uid="{00000000-0005-0000-0000-0000096B0000}"/>
    <cellStyle name="Normal 2 3 2 7 2 3" xfId="27402" xr:uid="{00000000-0005-0000-0000-00000A6B0000}"/>
    <cellStyle name="Normal 2 3 2 7 2 4" xfId="27403" xr:uid="{00000000-0005-0000-0000-00000B6B0000}"/>
    <cellStyle name="Normal 2 3 2 7 2 5" xfId="27404" xr:uid="{00000000-0005-0000-0000-00000C6B0000}"/>
    <cellStyle name="Normal 2 3 2 7 2 6" xfId="27405" xr:uid="{00000000-0005-0000-0000-00000D6B0000}"/>
    <cellStyle name="Normal 2 3 2 7 2 7" xfId="27406" xr:uid="{00000000-0005-0000-0000-00000E6B0000}"/>
    <cellStyle name="Normal 2 3 2 7 2 8" xfId="27407" xr:uid="{00000000-0005-0000-0000-00000F6B0000}"/>
    <cellStyle name="Normal 2 3 2 7 2 9" xfId="27408" xr:uid="{00000000-0005-0000-0000-0000106B0000}"/>
    <cellStyle name="Normal 2 3 2 7 3" xfId="27409" xr:uid="{00000000-0005-0000-0000-0000116B0000}"/>
    <cellStyle name="Normal 2 3 2 7 3 10" xfId="27410" xr:uid="{00000000-0005-0000-0000-0000126B0000}"/>
    <cellStyle name="Normal 2 3 2 7 3 2" xfId="27411" xr:uid="{00000000-0005-0000-0000-0000136B0000}"/>
    <cellStyle name="Normal 2 3 2 7 3 3" xfId="27412" xr:uid="{00000000-0005-0000-0000-0000146B0000}"/>
    <cellStyle name="Normal 2 3 2 7 3 4" xfId="27413" xr:uid="{00000000-0005-0000-0000-0000156B0000}"/>
    <cellStyle name="Normal 2 3 2 7 3 5" xfId="27414" xr:uid="{00000000-0005-0000-0000-0000166B0000}"/>
    <cellStyle name="Normal 2 3 2 7 3 6" xfId="27415" xr:uid="{00000000-0005-0000-0000-0000176B0000}"/>
    <cellStyle name="Normal 2 3 2 7 3 7" xfId="27416" xr:uid="{00000000-0005-0000-0000-0000186B0000}"/>
    <cellStyle name="Normal 2 3 2 7 3 8" xfId="27417" xr:uid="{00000000-0005-0000-0000-0000196B0000}"/>
    <cellStyle name="Normal 2 3 2 7 3 9" xfId="27418" xr:uid="{00000000-0005-0000-0000-00001A6B0000}"/>
    <cellStyle name="Normal 2 3 2 7 4" xfId="27419" xr:uid="{00000000-0005-0000-0000-00001B6B0000}"/>
    <cellStyle name="Normal 2 3 2 7 4 10" xfId="27420" xr:uid="{00000000-0005-0000-0000-00001C6B0000}"/>
    <cellStyle name="Normal 2 3 2 7 4 2" xfId="27421" xr:uid="{00000000-0005-0000-0000-00001D6B0000}"/>
    <cellStyle name="Normal 2 3 2 7 4 3" xfId="27422" xr:uid="{00000000-0005-0000-0000-00001E6B0000}"/>
    <cellStyle name="Normal 2 3 2 7 4 4" xfId="27423" xr:uid="{00000000-0005-0000-0000-00001F6B0000}"/>
    <cellStyle name="Normal 2 3 2 7 4 5" xfId="27424" xr:uid="{00000000-0005-0000-0000-0000206B0000}"/>
    <cellStyle name="Normal 2 3 2 7 4 6" xfId="27425" xr:uid="{00000000-0005-0000-0000-0000216B0000}"/>
    <cellStyle name="Normal 2 3 2 7 4 7" xfId="27426" xr:uid="{00000000-0005-0000-0000-0000226B0000}"/>
    <cellStyle name="Normal 2 3 2 7 4 8" xfId="27427" xr:uid="{00000000-0005-0000-0000-0000236B0000}"/>
    <cellStyle name="Normal 2 3 2 7 4 9" xfId="27428" xr:uid="{00000000-0005-0000-0000-0000246B0000}"/>
    <cellStyle name="Normal 2 3 2 7 5" xfId="27429" xr:uid="{00000000-0005-0000-0000-0000256B0000}"/>
    <cellStyle name="Normal 2 3 2 7 5 10" xfId="27430" xr:uid="{00000000-0005-0000-0000-0000266B0000}"/>
    <cellStyle name="Normal 2 3 2 7 5 2" xfId="27431" xr:uid="{00000000-0005-0000-0000-0000276B0000}"/>
    <cellStyle name="Normal 2 3 2 7 5 3" xfId="27432" xr:uid="{00000000-0005-0000-0000-0000286B0000}"/>
    <cellStyle name="Normal 2 3 2 7 5 4" xfId="27433" xr:uid="{00000000-0005-0000-0000-0000296B0000}"/>
    <cellStyle name="Normal 2 3 2 7 5 5" xfId="27434" xr:uid="{00000000-0005-0000-0000-00002A6B0000}"/>
    <cellStyle name="Normal 2 3 2 7 5 6" xfId="27435" xr:uid="{00000000-0005-0000-0000-00002B6B0000}"/>
    <cellStyle name="Normal 2 3 2 7 5 7" xfId="27436" xr:uid="{00000000-0005-0000-0000-00002C6B0000}"/>
    <cellStyle name="Normal 2 3 2 7 5 8" xfId="27437" xr:uid="{00000000-0005-0000-0000-00002D6B0000}"/>
    <cellStyle name="Normal 2 3 2 7 5 9" xfId="27438" xr:uid="{00000000-0005-0000-0000-00002E6B0000}"/>
    <cellStyle name="Normal 2 3 2 7 6" xfId="27439" xr:uid="{00000000-0005-0000-0000-00002F6B0000}"/>
    <cellStyle name="Normal 2 3 2 7 7" xfId="27440" xr:uid="{00000000-0005-0000-0000-0000306B0000}"/>
    <cellStyle name="Normal 2 3 2 7 8" xfId="27441" xr:uid="{00000000-0005-0000-0000-0000316B0000}"/>
    <cellStyle name="Normal 2 3 2 7 9" xfId="27442" xr:uid="{00000000-0005-0000-0000-0000326B0000}"/>
    <cellStyle name="Normal 2 3 2 8" xfId="27443" xr:uid="{00000000-0005-0000-0000-0000336B0000}"/>
    <cellStyle name="Normal 2 3 2 8 10" xfId="27444" xr:uid="{00000000-0005-0000-0000-0000346B0000}"/>
    <cellStyle name="Normal 2 3 2 8 11" xfId="27445" xr:uid="{00000000-0005-0000-0000-0000356B0000}"/>
    <cellStyle name="Normal 2 3 2 8 12" xfId="27446" xr:uid="{00000000-0005-0000-0000-0000366B0000}"/>
    <cellStyle name="Normal 2 3 2 8 13" xfId="27447" xr:uid="{00000000-0005-0000-0000-0000376B0000}"/>
    <cellStyle name="Normal 2 3 2 8 14" xfId="27448" xr:uid="{00000000-0005-0000-0000-0000386B0000}"/>
    <cellStyle name="Normal 2 3 2 8 2" xfId="27449" xr:uid="{00000000-0005-0000-0000-0000396B0000}"/>
    <cellStyle name="Normal 2 3 2 8 2 10" xfId="27450" xr:uid="{00000000-0005-0000-0000-00003A6B0000}"/>
    <cellStyle name="Normal 2 3 2 8 2 2" xfId="27451" xr:uid="{00000000-0005-0000-0000-00003B6B0000}"/>
    <cellStyle name="Normal 2 3 2 8 2 3" xfId="27452" xr:uid="{00000000-0005-0000-0000-00003C6B0000}"/>
    <cellStyle name="Normal 2 3 2 8 2 4" xfId="27453" xr:uid="{00000000-0005-0000-0000-00003D6B0000}"/>
    <cellStyle name="Normal 2 3 2 8 2 5" xfId="27454" xr:uid="{00000000-0005-0000-0000-00003E6B0000}"/>
    <cellStyle name="Normal 2 3 2 8 2 6" xfId="27455" xr:uid="{00000000-0005-0000-0000-00003F6B0000}"/>
    <cellStyle name="Normal 2 3 2 8 2 7" xfId="27456" xr:uid="{00000000-0005-0000-0000-0000406B0000}"/>
    <cellStyle name="Normal 2 3 2 8 2 8" xfId="27457" xr:uid="{00000000-0005-0000-0000-0000416B0000}"/>
    <cellStyle name="Normal 2 3 2 8 2 9" xfId="27458" xr:uid="{00000000-0005-0000-0000-0000426B0000}"/>
    <cellStyle name="Normal 2 3 2 8 3" xfId="27459" xr:uid="{00000000-0005-0000-0000-0000436B0000}"/>
    <cellStyle name="Normal 2 3 2 8 3 10" xfId="27460" xr:uid="{00000000-0005-0000-0000-0000446B0000}"/>
    <cellStyle name="Normal 2 3 2 8 3 2" xfId="27461" xr:uid="{00000000-0005-0000-0000-0000456B0000}"/>
    <cellStyle name="Normal 2 3 2 8 3 3" xfId="27462" xr:uid="{00000000-0005-0000-0000-0000466B0000}"/>
    <cellStyle name="Normal 2 3 2 8 3 4" xfId="27463" xr:uid="{00000000-0005-0000-0000-0000476B0000}"/>
    <cellStyle name="Normal 2 3 2 8 3 5" xfId="27464" xr:uid="{00000000-0005-0000-0000-0000486B0000}"/>
    <cellStyle name="Normal 2 3 2 8 3 6" xfId="27465" xr:uid="{00000000-0005-0000-0000-0000496B0000}"/>
    <cellStyle name="Normal 2 3 2 8 3 7" xfId="27466" xr:uid="{00000000-0005-0000-0000-00004A6B0000}"/>
    <cellStyle name="Normal 2 3 2 8 3 8" xfId="27467" xr:uid="{00000000-0005-0000-0000-00004B6B0000}"/>
    <cellStyle name="Normal 2 3 2 8 3 9" xfId="27468" xr:uid="{00000000-0005-0000-0000-00004C6B0000}"/>
    <cellStyle name="Normal 2 3 2 8 4" xfId="27469" xr:uid="{00000000-0005-0000-0000-00004D6B0000}"/>
    <cellStyle name="Normal 2 3 2 8 4 10" xfId="27470" xr:uid="{00000000-0005-0000-0000-00004E6B0000}"/>
    <cellStyle name="Normal 2 3 2 8 4 2" xfId="27471" xr:uid="{00000000-0005-0000-0000-00004F6B0000}"/>
    <cellStyle name="Normal 2 3 2 8 4 3" xfId="27472" xr:uid="{00000000-0005-0000-0000-0000506B0000}"/>
    <cellStyle name="Normal 2 3 2 8 4 4" xfId="27473" xr:uid="{00000000-0005-0000-0000-0000516B0000}"/>
    <cellStyle name="Normal 2 3 2 8 4 5" xfId="27474" xr:uid="{00000000-0005-0000-0000-0000526B0000}"/>
    <cellStyle name="Normal 2 3 2 8 4 6" xfId="27475" xr:uid="{00000000-0005-0000-0000-0000536B0000}"/>
    <cellStyle name="Normal 2 3 2 8 4 7" xfId="27476" xr:uid="{00000000-0005-0000-0000-0000546B0000}"/>
    <cellStyle name="Normal 2 3 2 8 4 8" xfId="27477" xr:uid="{00000000-0005-0000-0000-0000556B0000}"/>
    <cellStyle name="Normal 2 3 2 8 4 9" xfId="27478" xr:uid="{00000000-0005-0000-0000-0000566B0000}"/>
    <cellStyle name="Normal 2 3 2 8 5" xfId="27479" xr:uid="{00000000-0005-0000-0000-0000576B0000}"/>
    <cellStyle name="Normal 2 3 2 8 5 10" xfId="27480" xr:uid="{00000000-0005-0000-0000-0000586B0000}"/>
    <cellStyle name="Normal 2 3 2 8 5 2" xfId="27481" xr:uid="{00000000-0005-0000-0000-0000596B0000}"/>
    <cellStyle name="Normal 2 3 2 8 5 3" xfId="27482" xr:uid="{00000000-0005-0000-0000-00005A6B0000}"/>
    <cellStyle name="Normal 2 3 2 8 5 4" xfId="27483" xr:uid="{00000000-0005-0000-0000-00005B6B0000}"/>
    <cellStyle name="Normal 2 3 2 8 5 5" xfId="27484" xr:uid="{00000000-0005-0000-0000-00005C6B0000}"/>
    <cellStyle name="Normal 2 3 2 8 5 6" xfId="27485" xr:uid="{00000000-0005-0000-0000-00005D6B0000}"/>
    <cellStyle name="Normal 2 3 2 8 5 7" xfId="27486" xr:uid="{00000000-0005-0000-0000-00005E6B0000}"/>
    <cellStyle name="Normal 2 3 2 8 5 8" xfId="27487" xr:uid="{00000000-0005-0000-0000-00005F6B0000}"/>
    <cellStyle name="Normal 2 3 2 8 5 9" xfId="27488" xr:uid="{00000000-0005-0000-0000-0000606B0000}"/>
    <cellStyle name="Normal 2 3 2 8 6" xfId="27489" xr:uid="{00000000-0005-0000-0000-0000616B0000}"/>
    <cellStyle name="Normal 2 3 2 8 7" xfId="27490" xr:uid="{00000000-0005-0000-0000-0000626B0000}"/>
    <cellStyle name="Normal 2 3 2 8 8" xfId="27491" xr:uid="{00000000-0005-0000-0000-0000636B0000}"/>
    <cellStyle name="Normal 2 3 2 8 9" xfId="27492" xr:uid="{00000000-0005-0000-0000-0000646B0000}"/>
    <cellStyle name="Normal 2 3 2 9" xfId="27493" xr:uid="{00000000-0005-0000-0000-0000656B0000}"/>
    <cellStyle name="Normal 2 3 2 9 10" xfId="27494" xr:uid="{00000000-0005-0000-0000-0000666B0000}"/>
    <cellStyle name="Normal 2 3 2 9 11" xfId="27495" xr:uid="{00000000-0005-0000-0000-0000676B0000}"/>
    <cellStyle name="Normal 2 3 2 9 12" xfId="27496" xr:uid="{00000000-0005-0000-0000-0000686B0000}"/>
    <cellStyle name="Normal 2 3 2 9 13" xfId="27497" xr:uid="{00000000-0005-0000-0000-0000696B0000}"/>
    <cellStyle name="Normal 2 3 2 9 14" xfId="27498" xr:uid="{00000000-0005-0000-0000-00006A6B0000}"/>
    <cellStyle name="Normal 2 3 2 9 2" xfId="27499" xr:uid="{00000000-0005-0000-0000-00006B6B0000}"/>
    <cellStyle name="Normal 2 3 2 9 2 10" xfId="27500" xr:uid="{00000000-0005-0000-0000-00006C6B0000}"/>
    <cellStyle name="Normal 2 3 2 9 2 2" xfId="27501" xr:uid="{00000000-0005-0000-0000-00006D6B0000}"/>
    <cellStyle name="Normal 2 3 2 9 2 3" xfId="27502" xr:uid="{00000000-0005-0000-0000-00006E6B0000}"/>
    <cellStyle name="Normal 2 3 2 9 2 4" xfId="27503" xr:uid="{00000000-0005-0000-0000-00006F6B0000}"/>
    <cellStyle name="Normal 2 3 2 9 2 5" xfId="27504" xr:uid="{00000000-0005-0000-0000-0000706B0000}"/>
    <cellStyle name="Normal 2 3 2 9 2 6" xfId="27505" xr:uid="{00000000-0005-0000-0000-0000716B0000}"/>
    <cellStyle name="Normal 2 3 2 9 2 7" xfId="27506" xr:uid="{00000000-0005-0000-0000-0000726B0000}"/>
    <cellStyle name="Normal 2 3 2 9 2 8" xfId="27507" xr:uid="{00000000-0005-0000-0000-0000736B0000}"/>
    <cellStyle name="Normal 2 3 2 9 2 9" xfId="27508" xr:uid="{00000000-0005-0000-0000-0000746B0000}"/>
    <cellStyle name="Normal 2 3 2 9 3" xfId="27509" xr:uid="{00000000-0005-0000-0000-0000756B0000}"/>
    <cellStyle name="Normal 2 3 2 9 3 10" xfId="27510" xr:uid="{00000000-0005-0000-0000-0000766B0000}"/>
    <cellStyle name="Normal 2 3 2 9 3 2" xfId="27511" xr:uid="{00000000-0005-0000-0000-0000776B0000}"/>
    <cellStyle name="Normal 2 3 2 9 3 3" xfId="27512" xr:uid="{00000000-0005-0000-0000-0000786B0000}"/>
    <cellStyle name="Normal 2 3 2 9 3 4" xfId="27513" xr:uid="{00000000-0005-0000-0000-0000796B0000}"/>
    <cellStyle name="Normal 2 3 2 9 3 5" xfId="27514" xr:uid="{00000000-0005-0000-0000-00007A6B0000}"/>
    <cellStyle name="Normal 2 3 2 9 3 6" xfId="27515" xr:uid="{00000000-0005-0000-0000-00007B6B0000}"/>
    <cellStyle name="Normal 2 3 2 9 3 7" xfId="27516" xr:uid="{00000000-0005-0000-0000-00007C6B0000}"/>
    <cellStyle name="Normal 2 3 2 9 3 8" xfId="27517" xr:uid="{00000000-0005-0000-0000-00007D6B0000}"/>
    <cellStyle name="Normal 2 3 2 9 3 9" xfId="27518" xr:uid="{00000000-0005-0000-0000-00007E6B0000}"/>
    <cellStyle name="Normal 2 3 2 9 4" xfId="27519" xr:uid="{00000000-0005-0000-0000-00007F6B0000}"/>
    <cellStyle name="Normal 2 3 2 9 4 10" xfId="27520" xr:uid="{00000000-0005-0000-0000-0000806B0000}"/>
    <cellStyle name="Normal 2 3 2 9 4 2" xfId="27521" xr:uid="{00000000-0005-0000-0000-0000816B0000}"/>
    <cellStyle name="Normal 2 3 2 9 4 3" xfId="27522" xr:uid="{00000000-0005-0000-0000-0000826B0000}"/>
    <cellStyle name="Normal 2 3 2 9 4 4" xfId="27523" xr:uid="{00000000-0005-0000-0000-0000836B0000}"/>
    <cellStyle name="Normal 2 3 2 9 4 5" xfId="27524" xr:uid="{00000000-0005-0000-0000-0000846B0000}"/>
    <cellStyle name="Normal 2 3 2 9 4 6" xfId="27525" xr:uid="{00000000-0005-0000-0000-0000856B0000}"/>
    <cellStyle name="Normal 2 3 2 9 4 7" xfId="27526" xr:uid="{00000000-0005-0000-0000-0000866B0000}"/>
    <cellStyle name="Normal 2 3 2 9 4 8" xfId="27527" xr:uid="{00000000-0005-0000-0000-0000876B0000}"/>
    <cellStyle name="Normal 2 3 2 9 4 9" xfId="27528" xr:uid="{00000000-0005-0000-0000-0000886B0000}"/>
    <cellStyle name="Normal 2 3 2 9 5" xfId="27529" xr:uid="{00000000-0005-0000-0000-0000896B0000}"/>
    <cellStyle name="Normal 2 3 2 9 5 10" xfId="27530" xr:uid="{00000000-0005-0000-0000-00008A6B0000}"/>
    <cellStyle name="Normal 2 3 2 9 5 2" xfId="27531" xr:uid="{00000000-0005-0000-0000-00008B6B0000}"/>
    <cellStyle name="Normal 2 3 2 9 5 3" xfId="27532" xr:uid="{00000000-0005-0000-0000-00008C6B0000}"/>
    <cellStyle name="Normal 2 3 2 9 5 4" xfId="27533" xr:uid="{00000000-0005-0000-0000-00008D6B0000}"/>
    <cellStyle name="Normal 2 3 2 9 5 5" xfId="27534" xr:uid="{00000000-0005-0000-0000-00008E6B0000}"/>
    <cellStyle name="Normal 2 3 2 9 5 6" xfId="27535" xr:uid="{00000000-0005-0000-0000-00008F6B0000}"/>
    <cellStyle name="Normal 2 3 2 9 5 7" xfId="27536" xr:uid="{00000000-0005-0000-0000-0000906B0000}"/>
    <cellStyle name="Normal 2 3 2 9 5 8" xfId="27537" xr:uid="{00000000-0005-0000-0000-0000916B0000}"/>
    <cellStyle name="Normal 2 3 2 9 5 9" xfId="27538" xr:uid="{00000000-0005-0000-0000-0000926B0000}"/>
    <cellStyle name="Normal 2 3 2 9 6" xfId="27539" xr:uid="{00000000-0005-0000-0000-0000936B0000}"/>
    <cellStyle name="Normal 2 3 2 9 7" xfId="27540" xr:uid="{00000000-0005-0000-0000-0000946B0000}"/>
    <cellStyle name="Normal 2 3 2 9 8" xfId="27541" xr:uid="{00000000-0005-0000-0000-0000956B0000}"/>
    <cellStyle name="Normal 2 3 2 9 9" xfId="27542" xr:uid="{00000000-0005-0000-0000-0000966B0000}"/>
    <cellStyle name="Normal 2 3 20" xfId="27543" xr:uid="{00000000-0005-0000-0000-0000976B0000}"/>
    <cellStyle name="Normal 2 3 20 10" xfId="27544" xr:uid="{00000000-0005-0000-0000-0000986B0000}"/>
    <cellStyle name="Normal 2 3 20 11" xfId="27545" xr:uid="{00000000-0005-0000-0000-0000996B0000}"/>
    <cellStyle name="Normal 2 3 20 12" xfId="27546" xr:uid="{00000000-0005-0000-0000-00009A6B0000}"/>
    <cellStyle name="Normal 2 3 20 13" xfId="27547" xr:uid="{00000000-0005-0000-0000-00009B6B0000}"/>
    <cellStyle name="Normal 2 3 20 14" xfId="27548" xr:uid="{00000000-0005-0000-0000-00009C6B0000}"/>
    <cellStyle name="Normal 2 3 20 2" xfId="27549" xr:uid="{00000000-0005-0000-0000-00009D6B0000}"/>
    <cellStyle name="Normal 2 3 20 2 10" xfId="27550" xr:uid="{00000000-0005-0000-0000-00009E6B0000}"/>
    <cellStyle name="Normal 2 3 20 2 2" xfId="27551" xr:uid="{00000000-0005-0000-0000-00009F6B0000}"/>
    <cellStyle name="Normal 2 3 20 2 3" xfId="27552" xr:uid="{00000000-0005-0000-0000-0000A06B0000}"/>
    <cellStyle name="Normal 2 3 20 2 4" xfId="27553" xr:uid="{00000000-0005-0000-0000-0000A16B0000}"/>
    <cellStyle name="Normal 2 3 20 2 5" xfId="27554" xr:uid="{00000000-0005-0000-0000-0000A26B0000}"/>
    <cellStyle name="Normal 2 3 20 2 6" xfId="27555" xr:uid="{00000000-0005-0000-0000-0000A36B0000}"/>
    <cellStyle name="Normal 2 3 20 2 7" xfId="27556" xr:uid="{00000000-0005-0000-0000-0000A46B0000}"/>
    <cellStyle name="Normal 2 3 20 2 8" xfId="27557" xr:uid="{00000000-0005-0000-0000-0000A56B0000}"/>
    <cellStyle name="Normal 2 3 20 2 9" xfId="27558" xr:uid="{00000000-0005-0000-0000-0000A66B0000}"/>
    <cellStyle name="Normal 2 3 20 3" xfId="27559" xr:uid="{00000000-0005-0000-0000-0000A76B0000}"/>
    <cellStyle name="Normal 2 3 20 3 10" xfId="27560" xr:uid="{00000000-0005-0000-0000-0000A86B0000}"/>
    <cellStyle name="Normal 2 3 20 3 2" xfId="27561" xr:uid="{00000000-0005-0000-0000-0000A96B0000}"/>
    <cellStyle name="Normal 2 3 20 3 3" xfId="27562" xr:uid="{00000000-0005-0000-0000-0000AA6B0000}"/>
    <cellStyle name="Normal 2 3 20 3 4" xfId="27563" xr:uid="{00000000-0005-0000-0000-0000AB6B0000}"/>
    <cellStyle name="Normal 2 3 20 3 5" xfId="27564" xr:uid="{00000000-0005-0000-0000-0000AC6B0000}"/>
    <cellStyle name="Normal 2 3 20 3 6" xfId="27565" xr:uid="{00000000-0005-0000-0000-0000AD6B0000}"/>
    <cellStyle name="Normal 2 3 20 3 7" xfId="27566" xr:uid="{00000000-0005-0000-0000-0000AE6B0000}"/>
    <cellStyle name="Normal 2 3 20 3 8" xfId="27567" xr:uid="{00000000-0005-0000-0000-0000AF6B0000}"/>
    <cellStyle name="Normal 2 3 20 3 9" xfId="27568" xr:uid="{00000000-0005-0000-0000-0000B06B0000}"/>
    <cellStyle name="Normal 2 3 20 4" xfId="27569" xr:uid="{00000000-0005-0000-0000-0000B16B0000}"/>
    <cellStyle name="Normal 2 3 20 4 10" xfId="27570" xr:uid="{00000000-0005-0000-0000-0000B26B0000}"/>
    <cellStyle name="Normal 2 3 20 4 2" xfId="27571" xr:uid="{00000000-0005-0000-0000-0000B36B0000}"/>
    <cellStyle name="Normal 2 3 20 4 3" xfId="27572" xr:uid="{00000000-0005-0000-0000-0000B46B0000}"/>
    <cellStyle name="Normal 2 3 20 4 4" xfId="27573" xr:uid="{00000000-0005-0000-0000-0000B56B0000}"/>
    <cellStyle name="Normal 2 3 20 4 5" xfId="27574" xr:uid="{00000000-0005-0000-0000-0000B66B0000}"/>
    <cellStyle name="Normal 2 3 20 4 6" xfId="27575" xr:uid="{00000000-0005-0000-0000-0000B76B0000}"/>
    <cellStyle name="Normal 2 3 20 4 7" xfId="27576" xr:uid="{00000000-0005-0000-0000-0000B86B0000}"/>
    <cellStyle name="Normal 2 3 20 4 8" xfId="27577" xr:uid="{00000000-0005-0000-0000-0000B96B0000}"/>
    <cellStyle name="Normal 2 3 20 4 9" xfId="27578" xr:uid="{00000000-0005-0000-0000-0000BA6B0000}"/>
    <cellStyle name="Normal 2 3 20 5" xfId="27579" xr:uid="{00000000-0005-0000-0000-0000BB6B0000}"/>
    <cellStyle name="Normal 2 3 20 5 10" xfId="27580" xr:uid="{00000000-0005-0000-0000-0000BC6B0000}"/>
    <cellStyle name="Normal 2 3 20 5 2" xfId="27581" xr:uid="{00000000-0005-0000-0000-0000BD6B0000}"/>
    <cellStyle name="Normal 2 3 20 5 3" xfId="27582" xr:uid="{00000000-0005-0000-0000-0000BE6B0000}"/>
    <cellStyle name="Normal 2 3 20 5 4" xfId="27583" xr:uid="{00000000-0005-0000-0000-0000BF6B0000}"/>
    <cellStyle name="Normal 2 3 20 5 5" xfId="27584" xr:uid="{00000000-0005-0000-0000-0000C06B0000}"/>
    <cellStyle name="Normal 2 3 20 5 6" xfId="27585" xr:uid="{00000000-0005-0000-0000-0000C16B0000}"/>
    <cellStyle name="Normal 2 3 20 5 7" xfId="27586" xr:uid="{00000000-0005-0000-0000-0000C26B0000}"/>
    <cellStyle name="Normal 2 3 20 5 8" xfId="27587" xr:uid="{00000000-0005-0000-0000-0000C36B0000}"/>
    <cellStyle name="Normal 2 3 20 5 9" xfId="27588" xr:uid="{00000000-0005-0000-0000-0000C46B0000}"/>
    <cellStyle name="Normal 2 3 20 6" xfId="27589" xr:uid="{00000000-0005-0000-0000-0000C56B0000}"/>
    <cellStyle name="Normal 2 3 20 7" xfId="27590" xr:uid="{00000000-0005-0000-0000-0000C66B0000}"/>
    <cellStyle name="Normal 2 3 20 8" xfId="27591" xr:uid="{00000000-0005-0000-0000-0000C76B0000}"/>
    <cellStyle name="Normal 2 3 20 9" xfId="27592" xr:uid="{00000000-0005-0000-0000-0000C86B0000}"/>
    <cellStyle name="Normal 2 3 21" xfId="27593" xr:uid="{00000000-0005-0000-0000-0000C96B0000}"/>
    <cellStyle name="Normal 2 3 21 10" xfId="27594" xr:uid="{00000000-0005-0000-0000-0000CA6B0000}"/>
    <cellStyle name="Normal 2 3 21 11" xfId="27595" xr:uid="{00000000-0005-0000-0000-0000CB6B0000}"/>
    <cellStyle name="Normal 2 3 21 12" xfId="27596" xr:uid="{00000000-0005-0000-0000-0000CC6B0000}"/>
    <cellStyle name="Normal 2 3 21 13" xfId="27597" xr:uid="{00000000-0005-0000-0000-0000CD6B0000}"/>
    <cellStyle name="Normal 2 3 21 14" xfId="27598" xr:uid="{00000000-0005-0000-0000-0000CE6B0000}"/>
    <cellStyle name="Normal 2 3 21 2" xfId="27599" xr:uid="{00000000-0005-0000-0000-0000CF6B0000}"/>
    <cellStyle name="Normal 2 3 21 2 10" xfId="27600" xr:uid="{00000000-0005-0000-0000-0000D06B0000}"/>
    <cellStyle name="Normal 2 3 21 2 2" xfId="27601" xr:uid="{00000000-0005-0000-0000-0000D16B0000}"/>
    <cellStyle name="Normal 2 3 21 2 3" xfId="27602" xr:uid="{00000000-0005-0000-0000-0000D26B0000}"/>
    <cellStyle name="Normal 2 3 21 2 4" xfId="27603" xr:uid="{00000000-0005-0000-0000-0000D36B0000}"/>
    <cellStyle name="Normal 2 3 21 2 5" xfId="27604" xr:uid="{00000000-0005-0000-0000-0000D46B0000}"/>
    <cellStyle name="Normal 2 3 21 2 6" xfId="27605" xr:uid="{00000000-0005-0000-0000-0000D56B0000}"/>
    <cellStyle name="Normal 2 3 21 2 7" xfId="27606" xr:uid="{00000000-0005-0000-0000-0000D66B0000}"/>
    <cellStyle name="Normal 2 3 21 2 8" xfId="27607" xr:uid="{00000000-0005-0000-0000-0000D76B0000}"/>
    <cellStyle name="Normal 2 3 21 2 9" xfId="27608" xr:uid="{00000000-0005-0000-0000-0000D86B0000}"/>
    <cellStyle name="Normal 2 3 21 3" xfId="27609" xr:uid="{00000000-0005-0000-0000-0000D96B0000}"/>
    <cellStyle name="Normal 2 3 21 3 10" xfId="27610" xr:uid="{00000000-0005-0000-0000-0000DA6B0000}"/>
    <cellStyle name="Normal 2 3 21 3 2" xfId="27611" xr:uid="{00000000-0005-0000-0000-0000DB6B0000}"/>
    <cellStyle name="Normal 2 3 21 3 3" xfId="27612" xr:uid="{00000000-0005-0000-0000-0000DC6B0000}"/>
    <cellStyle name="Normal 2 3 21 3 4" xfId="27613" xr:uid="{00000000-0005-0000-0000-0000DD6B0000}"/>
    <cellStyle name="Normal 2 3 21 3 5" xfId="27614" xr:uid="{00000000-0005-0000-0000-0000DE6B0000}"/>
    <cellStyle name="Normal 2 3 21 3 6" xfId="27615" xr:uid="{00000000-0005-0000-0000-0000DF6B0000}"/>
    <cellStyle name="Normal 2 3 21 3 7" xfId="27616" xr:uid="{00000000-0005-0000-0000-0000E06B0000}"/>
    <cellStyle name="Normal 2 3 21 3 8" xfId="27617" xr:uid="{00000000-0005-0000-0000-0000E16B0000}"/>
    <cellStyle name="Normal 2 3 21 3 9" xfId="27618" xr:uid="{00000000-0005-0000-0000-0000E26B0000}"/>
    <cellStyle name="Normal 2 3 21 4" xfId="27619" xr:uid="{00000000-0005-0000-0000-0000E36B0000}"/>
    <cellStyle name="Normal 2 3 21 4 10" xfId="27620" xr:uid="{00000000-0005-0000-0000-0000E46B0000}"/>
    <cellStyle name="Normal 2 3 21 4 2" xfId="27621" xr:uid="{00000000-0005-0000-0000-0000E56B0000}"/>
    <cellStyle name="Normal 2 3 21 4 3" xfId="27622" xr:uid="{00000000-0005-0000-0000-0000E66B0000}"/>
    <cellStyle name="Normal 2 3 21 4 4" xfId="27623" xr:uid="{00000000-0005-0000-0000-0000E76B0000}"/>
    <cellStyle name="Normal 2 3 21 4 5" xfId="27624" xr:uid="{00000000-0005-0000-0000-0000E86B0000}"/>
    <cellStyle name="Normal 2 3 21 4 6" xfId="27625" xr:uid="{00000000-0005-0000-0000-0000E96B0000}"/>
    <cellStyle name="Normal 2 3 21 4 7" xfId="27626" xr:uid="{00000000-0005-0000-0000-0000EA6B0000}"/>
    <cellStyle name="Normal 2 3 21 4 8" xfId="27627" xr:uid="{00000000-0005-0000-0000-0000EB6B0000}"/>
    <cellStyle name="Normal 2 3 21 4 9" xfId="27628" xr:uid="{00000000-0005-0000-0000-0000EC6B0000}"/>
    <cellStyle name="Normal 2 3 21 5" xfId="27629" xr:uid="{00000000-0005-0000-0000-0000ED6B0000}"/>
    <cellStyle name="Normal 2 3 21 5 10" xfId="27630" xr:uid="{00000000-0005-0000-0000-0000EE6B0000}"/>
    <cellStyle name="Normal 2 3 21 5 2" xfId="27631" xr:uid="{00000000-0005-0000-0000-0000EF6B0000}"/>
    <cellStyle name="Normal 2 3 21 5 3" xfId="27632" xr:uid="{00000000-0005-0000-0000-0000F06B0000}"/>
    <cellStyle name="Normal 2 3 21 5 4" xfId="27633" xr:uid="{00000000-0005-0000-0000-0000F16B0000}"/>
    <cellStyle name="Normal 2 3 21 5 5" xfId="27634" xr:uid="{00000000-0005-0000-0000-0000F26B0000}"/>
    <cellStyle name="Normal 2 3 21 5 6" xfId="27635" xr:uid="{00000000-0005-0000-0000-0000F36B0000}"/>
    <cellStyle name="Normal 2 3 21 5 7" xfId="27636" xr:uid="{00000000-0005-0000-0000-0000F46B0000}"/>
    <cellStyle name="Normal 2 3 21 5 8" xfId="27637" xr:uid="{00000000-0005-0000-0000-0000F56B0000}"/>
    <cellStyle name="Normal 2 3 21 5 9" xfId="27638" xr:uid="{00000000-0005-0000-0000-0000F66B0000}"/>
    <cellStyle name="Normal 2 3 21 6" xfId="27639" xr:uid="{00000000-0005-0000-0000-0000F76B0000}"/>
    <cellStyle name="Normal 2 3 21 7" xfId="27640" xr:uid="{00000000-0005-0000-0000-0000F86B0000}"/>
    <cellStyle name="Normal 2 3 21 8" xfId="27641" xr:uid="{00000000-0005-0000-0000-0000F96B0000}"/>
    <cellStyle name="Normal 2 3 21 9" xfId="27642" xr:uid="{00000000-0005-0000-0000-0000FA6B0000}"/>
    <cellStyle name="Normal 2 3 22" xfId="27643" xr:uid="{00000000-0005-0000-0000-0000FB6B0000}"/>
    <cellStyle name="Normal 2 3 22 10" xfId="27644" xr:uid="{00000000-0005-0000-0000-0000FC6B0000}"/>
    <cellStyle name="Normal 2 3 22 11" xfId="27645" xr:uid="{00000000-0005-0000-0000-0000FD6B0000}"/>
    <cellStyle name="Normal 2 3 22 12" xfId="27646" xr:uid="{00000000-0005-0000-0000-0000FE6B0000}"/>
    <cellStyle name="Normal 2 3 22 13" xfId="27647" xr:uid="{00000000-0005-0000-0000-0000FF6B0000}"/>
    <cellStyle name="Normal 2 3 22 14" xfId="27648" xr:uid="{00000000-0005-0000-0000-0000006C0000}"/>
    <cellStyle name="Normal 2 3 22 2" xfId="27649" xr:uid="{00000000-0005-0000-0000-0000016C0000}"/>
    <cellStyle name="Normal 2 3 22 2 10" xfId="27650" xr:uid="{00000000-0005-0000-0000-0000026C0000}"/>
    <cellStyle name="Normal 2 3 22 2 2" xfId="27651" xr:uid="{00000000-0005-0000-0000-0000036C0000}"/>
    <cellStyle name="Normal 2 3 22 2 3" xfId="27652" xr:uid="{00000000-0005-0000-0000-0000046C0000}"/>
    <cellStyle name="Normal 2 3 22 2 4" xfId="27653" xr:uid="{00000000-0005-0000-0000-0000056C0000}"/>
    <cellStyle name="Normal 2 3 22 2 5" xfId="27654" xr:uid="{00000000-0005-0000-0000-0000066C0000}"/>
    <cellStyle name="Normal 2 3 22 2 6" xfId="27655" xr:uid="{00000000-0005-0000-0000-0000076C0000}"/>
    <cellStyle name="Normal 2 3 22 2 7" xfId="27656" xr:uid="{00000000-0005-0000-0000-0000086C0000}"/>
    <cellStyle name="Normal 2 3 22 2 8" xfId="27657" xr:uid="{00000000-0005-0000-0000-0000096C0000}"/>
    <cellStyle name="Normal 2 3 22 2 9" xfId="27658" xr:uid="{00000000-0005-0000-0000-00000A6C0000}"/>
    <cellStyle name="Normal 2 3 22 3" xfId="27659" xr:uid="{00000000-0005-0000-0000-00000B6C0000}"/>
    <cellStyle name="Normal 2 3 22 3 10" xfId="27660" xr:uid="{00000000-0005-0000-0000-00000C6C0000}"/>
    <cellStyle name="Normal 2 3 22 3 2" xfId="27661" xr:uid="{00000000-0005-0000-0000-00000D6C0000}"/>
    <cellStyle name="Normal 2 3 22 3 3" xfId="27662" xr:uid="{00000000-0005-0000-0000-00000E6C0000}"/>
    <cellStyle name="Normal 2 3 22 3 4" xfId="27663" xr:uid="{00000000-0005-0000-0000-00000F6C0000}"/>
    <cellStyle name="Normal 2 3 22 3 5" xfId="27664" xr:uid="{00000000-0005-0000-0000-0000106C0000}"/>
    <cellStyle name="Normal 2 3 22 3 6" xfId="27665" xr:uid="{00000000-0005-0000-0000-0000116C0000}"/>
    <cellStyle name="Normal 2 3 22 3 7" xfId="27666" xr:uid="{00000000-0005-0000-0000-0000126C0000}"/>
    <cellStyle name="Normal 2 3 22 3 8" xfId="27667" xr:uid="{00000000-0005-0000-0000-0000136C0000}"/>
    <cellStyle name="Normal 2 3 22 3 9" xfId="27668" xr:uid="{00000000-0005-0000-0000-0000146C0000}"/>
    <cellStyle name="Normal 2 3 22 4" xfId="27669" xr:uid="{00000000-0005-0000-0000-0000156C0000}"/>
    <cellStyle name="Normal 2 3 22 4 10" xfId="27670" xr:uid="{00000000-0005-0000-0000-0000166C0000}"/>
    <cellStyle name="Normal 2 3 22 4 2" xfId="27671" xr:uid="{00000000-0005-0000-0000-0000176C0000}"/>
    <cellStyle name="Normal 2 3 22 4 3" xfId="27672" xr:uid="{00000000-0005-0000-0000-0000186C0000}"/>
    <cellStyle name="Normal 2 3 22 4 4" xfId="27673" xr:uid="{00000000-0005-0000-0000-0000196C0000}"/>
    <cellStyle name="Normal 2 3 22 4 5" xfId="27674" xr:uid="{00000000-0005-0000-0000-00001A6C0000}"/>
    <cellStyle name="Normal 2 3 22 4 6" xfId="27675" xr:uid="{00000000-0005-0000-0000-00001B6C0000}"/>
    <cellStyle name="Normal 2 3 22 4 7" xfId="27676" xr:uid="{00000000-0005-0000-0000-00001C6C0000}"/>
    <cellStyle name="Normal 2 3 22 4 8" xfId="27677" xr:uid="{00000000-0005-0000-0000-00001D6C0000}"/>
    <cellStyle name="Normal 2 3 22 4 9" xfId="27678" xr:uid="{00000000-0005-0000-0000-00001E6C0000}"/>
    <cellStyle name="Normal 2 3 22 5" xfId="27679" xr:uid="{00000000-0005-0000-0000-00001F6C0000}"/>
    <cellStyle name="Normal 2 3 22 5 10" xfId="27680" xr:uid="{00000000-0005-0000-0000-0000206C0000}"/>
    <cellStyle name="Normal 2 3 22 5 2" xfId="27681" xr:uid="{00000000-0005-0000-0000-0000216C0000}"/>
    <cellStyle name="Normal 2 3 22 5 3" xfId="27682" xr:uid="{00000000-0005-0000-0000-0000226C0000}"/>
    <cellStyle name="Normal 2 3 22 5 4" xfId="27683" xr:uid="{00000000-0005-0000-0000-0000236C0000}"/>
    <cellStyle name="Normal 2 3 22 5 5" xfId="27684" xr:uid="{00000000-0005-0000-0000-0000246C0000}"/>
    <cellStyle name="Normal 2 3 22 5 6" xfId="27685" xr:uid="{00000000-0005-0000-0000-0000256C0000}"/>
    <cellStyle name="Normal 2 3 22 5 7" xfId="27686" xr:uid="{00000000-0005-0000-0000-0000266C0000}"/>
    <cellStyle name="Normal 2 3 22 5 8" xfId="27687" xr:uid="{00000000-0005-0000-0000-0000276C0000}"/>
    <cellStyle name="Normal 2 3 22 5 9" xfId="27688" xr:uid="{00000000-0005-0000-0000-0000286C0000}"/>
    <cellStyle name="Normal 2 3 22 6" xfId="27689" xr:uid="{00000000-0005-0000-0000-0000296C0000}"/>
    <cellStyle name="Normal 2 3 22 7" xfId="27690" xr:uid="{00000000-0005-0000-0000-00002A6C0000}"/>
    <cellStyle name="Normal 2 3 22 8" xfId="27691" xr:uid="{00000000-0005-0000-0000-00002B6C0000}"/>
    <cellStyle name="Normal 2 3 22 9" xfId="27692" xr:uid="{00000000-0005-0000-0000-00002C6C0000}"/>
    <cellStyle name="Normal 2 3 23" xfId="27693" xr:uid="{00000000-0005-0000-0000-00002D6C0000}"/>
    <cellStyle name="Normal 2 3 23 10" xfId="27694" xr:uid="{00000000-0005-0000-0000-00002E6C0000}"/>
    <cellStyle name="Normal 2 3 23 11" xfId="27695" xr:uid="{00000000-0005-0000-0000-00002F6C0000}"/>
    <cellStyle name="Normal 2 3 23 12" xfId="27696" xr:uid="{00000000-0005-0000-0000-0000306C0000}"/>
    <cellStyle name="Normal 2 3 23 13" xfId="27697" xr:uid="{00000000-0005-0000-0000-0000316C0000}"/>
    <cellStyle name="Normal 2 3 23 14" xfId="27698" xr:uid="{00000000-0005-0000-0000-0000326C0000}"/>
    <cellStyle name="Normal 2 3 23 2" xfId="27699" xr:uid="{00000000-0005-0000-0000-0000336C0000}"/>
    <cellStyle name="Normal 2 3 23 2 10" xfId="27700" xr:uid="{00000000-0005-0000-0000-0000346C0000}"/>
    <cellStyle name="Normal 2 3 23 2 2" xfId="27701" xr:uid="{00000000-0005-0000-0000-0000356C0000}"/>
    <cellStyle name="Normal 2 3 23 2 3" xfId="27702" xr:uid="{00000000-0005-0000-0000-0000366C0000}"/>
    <cellStyle name="Normal 2 3 23 2 4" xfId="27703" xr:uid="{00000000-0005-0000-0000-0000376C0000}"/>
    <cellStyle name="Normal 2 3 23 2 5" xfId="27704" xr:uid="{00000000-0005-0000-0000-0000386C0000}"/>
    <cellStyle name="Normal 2 3 23 2 6" xfId="27705" xr:uid="{00000000-0005-0000-0000-0000396C0000}"/>
    <cellStyle name="Normal 2 3 23 2 7" xfId="27706" xr:uid="{00000000-0005-0000-0000-00003A6C0000}"/>
    <cellStyle name="Normal 2 3 23 2 8" xfId="27707" xr:uid="{00000000-0005-0000-0000-00003B6C0000}"/>
    <cellStyle name="Normal 2 3 23 2 9" xfId="27708" xr:uid="{00000000-0005-0000-0000-00003C6C0000}"/>
    <cellStyle name="Normal 2 3 23 3" xfId="27709" xr:uid="{00000000-0005-0000-0000-00003D6C0000}"/>
    <cellStyle name="Normal 2 3 23 3 10" xfId="27710" xr:uid="{00000000-0005-0000-0000-00003E6C0000}"/>
    <cellStyle name="Normal 2 3 23 3 2" xfId="27711" xr:uid="{00000000-0005-0000-0000-00003F6C0000}"/>
    <cellStyle name="Normal 2 3 23 3 3" xfId="27712" xr:uid="{00000000-0005-0000-0000-0000406C0000}"/>
    <cellStyle name="Normal 2 3 23 3 4" xfId="27713" xr:uid="{00000000-0005-0000-0000-0000416C0000}"/>
    <cellStyle name="Normal 2 3 23 3 5" xfId="27714" xr:uid="{00000000-0005-0000-0000-0000426C0000}"/>
    <cellStyle name="Normal 2 3 23 3 6" xfId="27715" xr:uid="{00000000-0005-0000-0000-0000436C0000}"/>
    <cellStyle name="Normal 2 3 23 3 7" xfId="27716" xr:uid="{00000000-0005-0000-0000-0000446C0000}"/>
    <cellStyle name="Normal 2 3 23 3 8" xfId="27717" xr:uid="{00000000-0005-0000-0000-0000456C0000}"/>
    <cellStyle name="Normal 2 3 23 3 9" xfId="27718" xr:uid="{00000000-0005-0000-0000-0000466C0000}"/>
    <cellStyle name="Normal 2 3 23 4" xfId="27719" xr:uid="{00000000-0005-0000-0000-0000476C0000}"/>
    <cellStyle name="Normal 2 3 23 4 10" xfId="27720" xr:uid="{00000000-0005-0000-0000-0000486C0000}"/>
    <cellStyle name="Normal 2 3 23 4 2" xfId="27721" xr:uid="{00000000-0005-0000-0000-0000496C0000}"/>
    <cellStyle name="Normal 2 3 23 4 3" xfId="27722" xr:uid="{00000000-0005-0000-0000-00004A6C0000}"/>
    <cellStyle name="Normal 2 3 23 4 4" xfId="27723" xr:uid="{00000000-0005-0000-0000-00004B6C0000}"/>
    <cellStyle name="Normal 2 3 23 4 5" xfId="27724" xr:uid="{00000000-0005-0000-0000-00004C6C0000}"/>
    <cellStyle name="Normal 2 3 23 4 6" xfId="27725" xr:uid="{00000000-0005-0000-0000-00004D6C0000}"/>
    <cellStyle name="Normal 2 3 23 4 7" xfId="27726" xr:uid="{00000000-0005-0000-0000-00004E6C0000}"/>
    <cellStyle name="Normal 2 3 23 4 8" xfId="27727" xr:uid="{00000000-0005-0000-0000-00004F6C0000}"/>
    <cellStyle name="Normal 2 3 23 4 9" xfId="27728" xr:uid="{00000000-0005-0000-0000-0000506C0000}"/>
    <cellStyle name="Normal 2 3 23 5" xfId="27729" xr:uid="{00000000-0005-0000-0000-0000516C0000}"/>
    <cellStyle name="Normal 2 3 23 5 10" xfId="27730" xr:uid="{00000000-0005-0000-0000-0000526C0000}"/>
    <cellStyle name="Normal 2 3 23 5 2" xfId="27731" xr:uid="{00000000-0005-0000-0000-0000536C0000}"/>
    <cellStyle name="Normal 2 3 23 5 3" xfId="27732" xr:uid="{00000000-0005-0000-0000-0000546C0000}"/>
    <cellStyle name="Normal 2 3 23 5 4" xfId="27733" xr:uid="{00000000-0005-0000-0000-0000556C0000}"/>
    <cellStyle name="Normal 2 3 23 5 5" xfId="27734" xr:uid="{00000000-0005-0000-0000-0000566C0000}"/>
    <cellStyle name="Normal 2 3 23 5 6" xfId="27735" xr:uid="{00000000-0005-0000-0000-0000576C0000}"/>
    <cellStyle name="Normal 2 3 23 5 7" xfId="27736" xr:uid="{00000000-0005-0000-0000-0000586C0000}"/>
    <cellStyle name="Normal 2 3 23 5 8" xfId="27737" xr:uid="{00000000-0005-0000-0000-0000596C0000}"/>
    <cellStyle name="Normal 2 3 23 5 9" xfId="27738" xr:uid="{00000000-0005-0000-0000-00005A6C0000}"/>
    <cellStyle name="Normal 2 3 23 6" xfId="27739" xr:uid="{00000000-0005-0000-0000-00005B6C0000}"/>
    <cellStyle name="Normal 2 3 23 7" xfId="27740" xr:uid="{00000000-0005-0000-0000-00005C6C0000}"/>
    <cellStyle name="Normal 2 3 23 8" xfId="27741" xr:uid="{00000000-0005-0000-0000-00005D6C0000}"/>
    <cellStyle name="Normal 2 3 23 9" xfId="27742" xr:uid="{00000000-0005-0000-0000-00005E6C0000}"/>
    <cellStyle name="Normal 2 3 24" xfId="27743" xr:uid="{00000000-0005-0000-0000-00005F6C0000}"/>
    <cellStyle name="Normal 2 3 24 10" xfId="27744" xr:uid="{00000000-0005-0000-0000-0000606C0000}"/>
    <cellStyle name="Normal 2 3 24 11" xfId="27745" xr:uid="{00000000-0005-0000-0000-0000616C0000}"/>
    <cellStyle name="Normal 2 3 24 12" xfId="27746" xr:uid="{00000000-0005-0000-0000-0000626C0000}"/>
    <cellStyle name="Normal 2 3 24 13" xfId="27747" xr:uid="{00000000-0005-0000-0000-0000636C0000}"/>
    <cellStyle name="Normal 2 3 24 14" xfId="27748" xr:uid="{00000000-0005-0000-0000-0000646C0000}"/>
    <cellStyle name="Normal 2 3 24 2" xfId="27749" xr:uid="{00000000-0005-0000-0000-0000656C0000}"/>
    <cellStyle name="Normal 2 3 24 2 10" xfId="27750" xr:uid="{00000000-0005-0000-0000-0000666C0000}"/>
    <cellStyle name="Normal 2 3 24 2 2" xfId="27751" xr:uid="{00000000-0005-0000-0000-0000676C0000}"/>
    <cellStyle name="Normal 2 3 24 2 3" xfId="27752" xr:uid="{00000000-0005-0000-0000-0000686C0000}"/>
    <cellStyle name="Normal 2 3 24 2 4" xfId="27753" xr:uid="{00000000-0005-0000-0000-0000696C0000}"/>
    <cellStyle name="Normal 2 3 24 2 5" xfId="27754" xr:uid="{00000000-0005-0000-0000-00006A6C0000}"/>
    <cellStyle name="Normal 2 3 24 2 6" xfId="27755" xr:uid="{00000000-0005-0000-0000-00006B6C0000}"/>
    <cellStyle name="Normal 2 3 24 2 7" xfId="27756" xr:uid="{00000000-0005-0000-0000-00006C6C0000}"/>
    <cellStyle name="Normal 2 3 24 2 8" xfId="27757" xr:uid="{00000000-0005-0000-0000-00006D6C0000}"/>
    <cellStyle name="Normal 2 3 24 2 9" xfId="27758" xr:uid="{00000000-0005-0000-0000-00006E6C0000}"/>
    <cellStyle name="Normal 2 3 24 3" xfId="27759" xr:uid="{00000000-0005-0000-0000-00006F6C0000}"/>
    <cellStyle name="Normal 2 3 24 3 10" xfId="27760" xr:uid="{00000000-0005-0000-0000-0000706C0000}"/>
    <cellStyle name="Normal 2 3 24 3 2" xfId="27761" xr:uid="{00000000-0005-0000-0000-0000716C0000}"/>
    <cellStyle name="Normal 2 3 24 3 3" xfId="27762" xr:uid="{00000000-0005-0000-0000-0000726C0000}"/>
    <cellStyle name="Normal 2 3 24 3 4" xfId="27763" xr:uid="{00000000-0005-0000-0000-0000736C0000}"/>
    <cellStyle name="Normal 2 3 24 3 5" xfId="27764" xr:uid="{00000000-0005-0000-0000-0000746C0000}"/>
    <cellStyle name="Normal 2 3 24 3 6" xfId="27765" xr:uid="{00000000-0005-0000-0000-0000756C0000}"/>
    <cellStyle name="Normal 2 3 24 3 7" xfId="27766" xr:uid="{00000000-0005-0000-0000-0000766C0000}"/>
    <cellStyle name="Normal 2 3 24 3 8" xfId="27767" xr:uid="{00000000-0005-0000-0000-0000776C0000}"/>
    <cellStyle name="Normal 2 3 24 3 9" xfId="27768" xr:uid="{00000000-0005-0000-0000-0000786C0000}"/>
    <cellStyle name="Normal 2 3 24 4" xfId="27769" xr:uid="{00000000-0005-0000-0000-0000796C0000}"/>
    <cellStyle name="Normal 2 3 24 4 10" xfId="27770" xr:uid="{00000000-0005-0000-0000-00007A6C0000}"/>
    <cellStyle name="Normal 2 3 24 4 2" xfId="27771" xr:uid="{00000000-0005-0000-0000-00007B6C0000}"/>
    <cellStyle name="Normal 2 3 24 4 3" xfId="27772" xr:uid="{00000000-0005-0000-0000-00007C6C0000}"/>
    <cellStyle name="Normal 2 3 24 4 4" xfId="27773" xr:uid="{00000000-0005-0000-0000-00007D6C0000}"/>
    <cellStyle name="Normal 2 3 24 4 5" xfId="27774" xr:uid="{00000000-0005-0000-0000-00007E6C0000}"/>
    <cellStyle name="Normal 2 3 24 4 6" xfId="27775" xr:uid="{00000000-0005-0000-0000-00007F6C0000}"/>
    <cellStyle name="Normal 2 3 24 4 7" xfId="27776" xr:uid="{00000000-0005-0000-0000-0000806C0000}"/>
    <cellStyle name="Normal 2 3 24 4 8" xfId="27777" xr:uid="{00000000-0005-0000-0000-0000816C0000}"/>
    <cellStyle name="Normal 2 3 24 4 9" xfId="27778" xr:uid="{00000000-0005-0000-0000-0000826C0000}"/>
    <cellStyle name="Normal 2 3 24 5" xfId="27779" xr:uid="{00000000-0005-0000-0000-0000836C0000}"/>
    <cellStyle name="Normal 2 3 24 5 10" xfId="27780" xr:uid="{00000000-0005-0000-0000-0000846C0000}"/>
    <cellStyle name="Normal 2 3 24 5 2" xfId="27781" xr:uid="{00000000-0005-0000-0000-0000856C0000}"/>
    <cellStyle name="Normal 2 3 24 5 3" xfId="27782" xr:uid="{00000000-0005-0000-0000-0000866C0000}"/>
    <cellStyle name="Normal 2 3 24 5 4" xfId="27783" xr:uid="{00000000-0005-0000-0000-0000876C0000}"/>
    <cellStyle name="Normal 2 3 24 5 5" xfId="27784" xr:uid="{00000000-0005-0000-0000-0000886C0000}"/>
    <cellStyle name="Normal 2 3 24 5 6" xfId="27785" xr:uid="{00000000-0005-0000-0000-0000896C0000}"/>
    <cellStyle name="Normal 2 3 24 5 7" xfId="27786" xr:uid="{00000000-0005-0000-0000-00008A6C0000}"/>
    <cellStyle name="Normal 2 3 24 5 8" xfId="27787" xr:uid="{00000000-0005-0000-0000-00008B6C0000}"/>
    <cellStyle name="Normal 2 3 24 5 9" xfId="27788" xr:uid="{00000000-0005-0000-0000-00008C6C0000}"/>
    <cellStyle name="Normal 2 3 24 6" xfId="27789" xr:uid="{00000000-0005-0000-0000-00008D6C0000}"/>
    <cellStyle name="Normal 2 3 24 7" xfId="27790" xr:uid="{00000000-0005-0000-0000-00008E6C0000}"/>
    <cellStyle name="Normal 2 3 24 8" xfId="27791" xr:uid="{00000000-0005-0000-0000-00008F6C0000}"/>
    <cellStyle name="Normal 2 3 24 9" xfId="27792" xr:uid="{00000000-0005-0000-0000-0000906C0000}"/>
    <cellStyle name="Normal 2 3 25" xfId="27793" xr:uid="{00000000-0005-0000-0000-0000916C0000}"/>
    <cellStyle name="Normal 2 3 25 10" xfId="27794" xr:uid="{00000000-0005-0000-0000-0000926C0000}"/>
    <cellStyle name="Normal 2 3 25 11" xfId="27795" xr:uid="{00000000-0005-0000-0000-0000936C0000}"/>
    <cellStyle name="Normal 2 3 25 12" xfId="27796" xr:uid="{00000000-0005-0000-0000-0000946C0000}"/>
    <cellStyle name="Normal 2 3 25 13" xfId="27797" xr:uid="{00000000-0005-0000-0000-0000956C0000}"/>
    <cellStyle name="Normal 2 3 25 14" xfId="27798" xr:uid="{00000000-0005-0000-0000-0000966C0000}"/>
    <cellStyle name="Normal 2 3 25 2" xfId="27799" xr:uid="{00000000-0005-0000-0000-0000976C0000}"/>
    <cellStyle name="Normal 2 3 25 2 10" xfId="27800" xr:uid="{00000000-0005-0000-0000-0000986C0000}"/>
    <cellStyle name="Normal 2 3 25 2 2" xfId="27801" xr:uid="{00000000-0005-0000-0000-0000996C0000}"/>
    <cellStyle name="Normal 2 3 25 2 3" xfId="27802" xr:uid="{00000000-0005-0000-0000-00009A6C0000}"/>
    <cellStyle name="Normal 2 3 25 2 4" xfId="27803" xr:uid="{00000000-0005-0000-0000-00009B6C0000}"/>
    <cellStyle name="Normal 2 3 25 2 5" xfId="27804" xr:uid="{00000000-0005-0000-0000-00009C6C0000}"/>
    <cellStyle name="Normal 2 3 25 2 6" xfId="27805" xr:uid="{00000000-0005-0000-0000-00009D6C0000}"/>
    <cellStyle name="Normal 2 3 25 2 7" xfId="27806" xr:uid="{00000000-0005-0000-0000-00009E6C0000}"/>
    <cellStyle name="Normal 2 3 25 2 8" xfId="27807" xr:uid="{00000000-0005-0000-0000-00009F6C0000}"/>
    <cellStyle name="Normal 2 3 25 2 9" xfId="27808" xr:uid="{00000000-0005-0000-0000-0000A06C0000}"/>
    <cellStyle name="Normal 2 3 25 3" xfId="27809" xr:uid="{00000000-0005-0000-0000-0000A16C0000}"/>
    <cellStyle name="Normal 2 3 25 3 10" xfId="27810" xr:uid="{00000000-0005-0000-0000-0000A26C0000}"/>
    <cellStyle name="Normal 2 3 25 3 2" xfId="27811" xr:uid="{00000000-0005-0000-0000-0000A36C0000}"/>
    <cellStyle name="Normal 2 3 25 3 3" xfId="27812" xr:uid="{00000000-0005-0000-0000-0000A46C0000}"/>
    <cellStyle name="Normal 2 3 25 3 4" xfId="27813" xr:uid="{00000000-0005-0000-0000-0000A56C0000}"/>
    <cellStyle name="Normal 2 3 25 3 5" xfId="27814" xr:uid="{00000000-0005-0000-0000-0000A66C0000}"/>
    <cellStyle name="Normal 2 3 25 3 6" xfId="27815" xr:uid="{00000000-0005-0000-0000-0000A76C0000}"/>
    <cellStyle name="Normal 2 3 25 3 7" xfId="27816" xr:uid="{00000000-0005-0000-0000-0000A86C0000}"/>
    <cellStyle name="Normal 2 3 25 3 8" xfId="27817" xr:uid="{00000000-0005-0000-0000-0000A96C0000}"/>
    <cellStyle name="Normal 2 3 25 3 9" xfId="27818" xr:uid="{00000000-0005-0000-0000-0000AA6C0000}"/>
    <cellStyle name="Normal 2 3 25 4" xfId="27819" xr:uid="{00000000-0005-0000-0000-0000AB6C0000}"/>
    <cellStyle name="Normal 2 3 25 4 10" xfId="27820" xr:uid="{00000000-0005-0000-0000-0000AC6C0000}"/>
    <cellStyle name="Normal 2 3 25 4 2" xfId="27821" xr:uid="{00000000-0005-0000-0000-0000AD6C0000}"/>
    <cellStyle name="Normal 2 3 25 4 3" xfId="27822" xr:uid="{00000000-0005-0000-0000-0000AE6C0000}"/>
    <cellStyle name="Normal 2 3 25 4 4" xfId="27823" xr:uid="{00000000-0005-0000-0000-0000AF6C0000}"/>
    <cellStyle name="Normal 2 3 25 4 5" xfId="27824" xr:uid="{00000000-0005-0000-0000-0000B06C0000}"/>
    <cellStyle name="Normal 2 3 25 4 6" xfId="27825" xr:uid="{00000000-0005-0000-0000-0000B16C0000}"/>
    <cellStyle name="Normal 2 3 25 4 7" xfId="27826" xr:uid="{00000000-0005-0000-0000-0000B26C0000}"/>
    <cellStyle name="Normal 2 3 25 4 8" xfId="27827" xr:uid="{00000000-0005-0000-0000-0000B36C0000}"/>
    <cellStyle name="Normal 2 3 25 4 9" xfId="27828" xr:uid="{00000000-0005-0000-0000-0000B46C0000}"/>
    <cellStyle name="Normal 2 3 25 5" xfId="27829" xr:uid="{00000000-0005-0000-0000-0000B56C0000}"/>
    <cellStyle name="Normal 2 3 25 5 10" xfId="27830" xr:uid="{00000000-0005-0000-0000-0000B66C0000}"/>
    <cellStyle name="Normal 2 3 25 5 2" xfId="27831" xr:uid="{00000000-0005-0000-0000-0000B76C0000}"/>
    <cellStyle name="Normal 2 3 25 5 3" xfId="27832" xr:uid="{00000000-0005-0000-0000-0000B86C0000}"/>
    <cellStyle name="Normal 2 3 25 5 4" xfId="27833" xr:uid="{00000000-0005-0000-0000-0000B96C0000}"/>
    <cellStyle name="Normal 2 3 25 5 5" xfId="27834" xr:uid="{00000000-0005-0000-0000-0000BA6C0000}"/>
    <cellStyle name="Normal 2 3 25 5 6" xfId="27835" xr:uid="{00000000-0005-0000-0000-0000BB6C0000}"/>
    <cellStyle name="Normal 2 3 25 5 7" xfId="27836" xr:uid="{00000000-0005-0000-0000-0000BC6C0000}"/>
    <cellStyle name="Normal 2 3 25 5 8" xfId="27837" xr:uid="{00000000-0005-0000-0000-0000BD6C0000}"/>
    <cellStyle name="Normal 2 3 25 5 9" xfId="27838" xr:uid="{00000000-0005-0000-0000-0000BE6C0000}"/>
    <cellStyle name="Normal 2 3 25 6" xfId="27839" xr:uid="{00000000-0005-0000-0000-0000BF6C0000}"/>
    <cellStyle name="Normal 2 3 25 7" xfId="27840" xr:uid="{00000000-0005-0000-0000-0000C06C0000}"/>
    <cellStyle name="Normal 2 3 25 8" xfId="27841" xr:uid="{00000000-0005-0000-0000-0000C16C0000}"/>
    <cellStyle name="Normal 2 3 25 9" xfId="27842" xr:uid="{00000000-0005-0000-0000-0000C26C0000}"/>
    <cellStyle name="Normal 2 3 26" xfId="27843" xr:uid="{00000000-0005-0000-0000-0000C36C0000}"/>
    <cellStyle name="Normal 2 3 26 10" xfId="27844" xr:uid="{00000000-0005-0000-0000-0000C46C0000}"/>
    <cellStyle name="Normal 2 3 26 11" xfId="27845" xr:uid="{00000000-0005-0000-0000-0000C56C0000}"/>
    <cellStyle name="Normal 2 3 26 12" xfId="27846" xr:uid="{00000000-0005-0000-0000-0000C66C0000}"/>
    <cellStyle name="Normal 2 3 26 13" xfId="27847" xr:uid="{00000000-0005-0000-0000-0000C76C0000}"/>
    <cellStyle name="Normal 2 3 26 14" xfId="27848" xr:uid="{00000000-0005-0000-0000-0000C86C0000}"/>
    <cellStyle name="Normal 2 3 26 2" xfId="27849" xr:uid="{00000000-0005-0000-0000-0000C96C0000}"/>
    <cellStyle name="Normal 2 3 26 2 10" xfId="27850" xr:uid="{00000000-0005-0000-0000-0000CA6C0000}"/>
    <cellStyle name="Normal 2 3 26 2 2" xfId="27851" xr:uid="{00000000-0005-0000-0000-0000CB6C0000}"/>
    <cellStyle name="Normal 2 3 26 2 3" xfId="27852" xr:uid="{00000000-0005-0000-0000-0000CC6C0000}"/>
    <cellStyle name="Normal 2 3 26 2 4" xfId="27853" xr:uid="{00000000-0005-0000-0000-0000CD6C0000}"/>
    <cellStyle name="Normal 2 3 26 2 5" xfId="27854" xr:uid="{00000000-0005-0000-0000-0000CE6C0000}"/>
    <cellStyle name="Normal 2 3 26 2 6" xfId="27855" xr:uid="{00000000-0005-0000-0000-0000CF6C0000}"/>
    <cellStyle name="Normal 2 3 26 2 7" xfId="27856" xr:uid="{00000000-0005-0000-0000-0000D06C0000}"/>
    <cellStyle name="Normal 2 3 26 2 8" xfId="27857" xr:uid="{00000000-0005-0000-0000-0000D16C0000}"/>
    <cellStyle name="Normal 2 3 26 2 9" xfId="27858" xr:uid="{00000000-0005-0000-0000-0000D26C0000}"/>
    <cellStyle name="Normal 2 3 26 3" xfId="27859" xr:uid="{00000000-0005-0000-0000-0000D36C0000}"/>
    <cellStyle name="Normal 2 3 26 3 10" xfId="27860" xr:uid="{00000000-0005-0000-0000-0000D46C0000}"/>
    <cellStyle name="Normal 2 3 26 3 2" xfId="27861" xr:uid="{00000000-0005-0000-0000-0000D56C0000}"/>
    <cellStyle name="Normal 2 3 26 3 3" xfId="27862" xr:uid="{00000000-0005-0000-0000-0000D66C0000}"/>
    <cellStyle name="Normal 2 3 26 3 4" xfId="27863" xr:uid="{00000000-0005-0000-0000-0000D76C0000}"/>
    <cellStyle name="Normal 2 3 26 3 5" xfId="27864" xr:uid="{00000000-0005-0000-0000-0000D86C0000}"/>
    <cellStyle name="Normal 2 3 26 3 6" xfId="27865" xr:uid="{00000000-0005-0000-0000-0000D96C0000}"/>
    <cellStyle name="Normal 2 3 26 3 7" xfId="27866" xr:uid="{00000000-0005-0000-0000-0000DA6C0000}"/>
    <cellStyle name="Normal 2 3 26 3 8" xfId="27867" xr:uid="{00000000-0005-0000-0000-0000DB6C0000}"/>
    <cellStyle name="Normal 2 3 26 3 9" xfId="27868" xr:uid="{00000000-0005-0000-0000-0000DC6C0000}"/>
    <cellStyle name="Normal 2 3 26 4" xfId="27869" xr:uid="{00000000-0005-0000-0000-0000DD6C0000}"/>
    <cellStyle name="Normal 2 3 26 4 10" xfId="27870" xr:uid="{00000000-0005-0000-0000-0000DE6C0000}"/>
    <cellStyle name="Normal 2 3 26 4 2" xfId="27871" xr:uid="{00000000-0005-0000-0000-0000DF6C0000}"/>
    <cellStyle name="Normal 2 3 26 4 3" xfId="27872" xr:uid="{00000000-0005-0000-0000-0000E06C0000}"/>
    <cellStyle name="Normal 2 3 26 4 4" xfId="27873" xr:uid="{00000000-0005-0000-0000-0000E16C0000}"/>
    <cellStyle name="Normal 2 3 26 4 5" xfId="27874" xr:uid="{00000000-0005-0000-0000-0000E26C0000}"/>
    <cellStyle name="Normal 2 3 26 4 6" xfId="27875" xr:uid="{00000000-0005-0000-0000-0000E36C0000}"/>
    <cellStyle name="Normal 2 3 26 4 7" xfId="27876" xr:uid="{00000000-0005-0000-0000-0000E46C0000}"/>
    <cellStyle name="Normal 2 3 26 4 8" xfId="27877" xr:uid="{00000000-0005-0000-0000-0000E56C0000}"/>
    <cellStyle name="Normal 2 3 26 4 9" xfId="27878" xr:uid="{00000000-0005-0000-0000-0000E66C0000}"/>
    <cellStyle name="Normal 2 3 26 5" xfId="27879" xr:uid="{00000000-0005-0000-0000-0000E76C0000}"/>
    <cellStyle name="Normal 2 3 26 5 10" xfId="27880" xr:uid="{00000000-0005-0000-0000-0000E86C0000}"/>
    <cellStyle name="Normal 2 3 26 5 2" xfId="27881" xr:uid="{00000000-0005-0000-0000-0000E96C0000}"/>
    <cellStyle name="Normal 2 3 26 5 3" xfId="27882" xr:uid="{00000000-0005-0000-0000-0000EA6C0000}"/>
    <cellStyle name="Normal 2 3 26 5 4" xfId="27883" xr:uid="{00000000-0005-0000-0000-0000EB6C0000}"/>
    <cellStyle name="Normal 2 3 26 5 5" xfId="27884" xr:uid="{00000000-0005-0000-0000-0000EC6C0000}"/>
    <cellStyle name="Normal 2 3 26 5 6" xfId="27885" xr:uid="{00000000-0005-0000-0000-0000ED6C0000}"/>
    <cellStyle name="Normal 2 3 26 5 7" xfId="27886" xr:uid="{00000000-0005-0000-0000-0000EE6C0000}"/>
    <cellStyle name="Normal 2 3 26 5 8" xfId="27887" xr:uid="{00000000-0005-0000-0000-0000EF6C0000}"/>
    <cellStyle name="Normal 2 3 26 5 9" xfId="27888" xr:uid="{00000000-0005-0000-0000-0000F06C0000}"/>
    <cellStyle name="Normal 2 3 26 6" xfId="27889" xr:uid="{00000000-0005-0000-0000-0000F16C0000}"/>
    <cellStyle name="Normal 2 3 26 7" xfId="27890" xr:uid="{00000000-0005-0000-0000-0000F26C0000}"/>
    <cellStyle name="Normal 2 3 26 8" xfId="27891" xr:uid="{00000000-0005-0000-0000-0000F36C0000}"/>
    <cellStyle name="Normal 2 3 26 9" xfId="27892" xr:uid="{00000000-0005-0000-0000-0000F46C0000}"/>
    <cellStyle name="Normal 2 3 27" xfId="27893" xr:uid="{00000000-0005-0000-0000-0000F56C0000}"/>
    <cellStyle name="Normal 2 3 27 10" xfId="27894" xr:uid="{00000000-0005-0000-0000-0000F66C0000}"/>
    <cellStyle name="Normal 2 3 27 11" xfId="27895" xr:uid="{00000000-0005-0000-0000-0000F76C0000}"/>
    <cellStyle name="Normal 2 3 27 12" xfId="27896" xr:uid="{00000000-0005-0000-0000-0000F86C0000}"/>
    <cellStyle name="Normal 2 3 27 13" xfId="27897" xr:uid="{00000000-0005-0000-0000-0000F96C0000}"/>
    <cellStyle name="Normal 2 3 27 14" xfId="27898" xr:uid="{00000000-0005-0000-0000-0000FA6C0000}"/>
    <cellStyle name="Normal 2 3 27 2" xfId="27899" xr:uid="{00000000-0005-0000-0000-0000FB6C0000}"/>
    <cellStyle name="Normal 2 3 27 2 10" xfId="27900" xr:uid="{00000000-0005-0000-0000-0000FC6C0000}"/>
    <cellStyle name="Normal 2 3 27 2 2" xfId="27901" xr:uid="{00000000-0005-0000-0000-0000FD6C0000}"/>
    <cellStyle name="Normal 2 3 27 2 3" xfId="27902" xr:uid="{00000000-0005-0000-0000-0000FE6C0000}"/>
    <cellStyle name="Normal 2 3 27 2 4" xfId="27903" xr:uid="{00000000-0005-0000-0000-0000FF6C0000}"/>
    <cellStyle name="Normal 2 3 27 2 5" xfId="27904" xr:uid="{00000000-0005-0000-0000-0000006D0000}"/>
    <cellStyle name="Normal 2 3 27 2 6" xfId="27905" xr:uid="{00000000-0005-0000-0000-0000016D0000}"/>
    <cellStyle name="Normal 2 3 27 2 7" xfId="27906" xr:uid="{00000000-0005-0000-0000-0000026D0000}"/>
    <cellStyle name="Normal 2 3 27 2 8" xfId="27907" xr:uid="{00000000-0005-0000-0000-0000036D0000}"/>
    <cellStyle name="Normal 2 3 27 2 9" xfId="27908" xr:uid="{00000000-0005-0000-0000-0000046D0000}"/>
    <cellStyle name="Normal 2 3 27 3" xfId="27909" xr:uid="{00000000-0005-0000-0000-0000056D0000}"/>
    <cellStyle name="Normal 2 3 27 3 10" xfId="27910" xr:uid="{00000000-0005-0000-0000-0000066D0000}"/>
    <cellStyle name="Normal 2 3 27 3 2" xfId="27911" xr:uid="{00000000-0005-0000-0000-0000076D0000}"/>
    <cellStyle name="Normal 2 3 27 3 3" xfId="27912" xr:uid="{00000000-0005-0000-0000-0000086D0000}"/>
    <cellStyle name="Normal 2 3 27 3 4" xfId="27913" xr:uid="{00000000-0005-0000-0000-0000096D0000}"/>
    <cellStyle name="Normal 2 3 27 3 5" xfId="27914" xr:uid="{00000000-0005-0000-0000-00000A6D0000}"/>
    <cellStyle name="Normal 2 3 27 3 6" xfId="27915" xr:uid="{00000000-0005-0000-0000-00000B6D0000}"/>
    <cellStyle name="Normal 2 3 27 3 7" xfId="27916" xr:uid="{00000000-0005-0000-0000-00000C6D0000}"/>
    <cellStyle name="Normal 2 3 27 3 8" xfId="27917" xr:uid="{00000000-0005-0000-0000-00000D6D0000}"/>
    <cellStyle name="Normal 2 3 27 3 9" xfId="27918" xr:uid="{00000000-0005-0000-0000-00000E6D0000}"/>
    <cellStyle name="Normal 2 3 27 4" xfId="27919" xr:uid="{00000000-0005-0000-0000-00000F6D0000}"/>
    <cellStyle name="Normal 2 3 27 4 10" xfId="27920" xr:uid="{00000000-0005-0000-0000-0000106D0000}"/>
    <cellStyle name="Normal 2 3 27 4 2" xfId="27921" xr:uid="{00000000-0005-0000-0000-0000116D0000}"/>
    <cellStyle name="Normal 2 3 27 4 3" xfId="27922" xr:uid="{00000000-0005-0000-0000-0000126D0000}"/>
    <cellStyle name="Normal 2 3 27 4 4" xfId="27923" xr:uid="{00000000-0005-0000-0000-0000136D0000}"/>
    <cellStyle name="Normal 2 3 27 4 5" xfId="27924" xr:uid="{00000000-0005-0000-0000-0000146D0000}"/>
    <cellStyle name="Normal 2 3 27 4 6" xfId="27925" xr:uid="{00000000-0005-0000-0000-0000156D0000}"/>
    <cellStyle name="Normal 2 3 27 4 7" xfId="27926" xr:uid="{00000000-0005-0000-0000-0000166D0000}"/>
    <cellStyle name="Normal 2 3 27 4 8" xfId="27927" xr:uid="{00000000-0005-0000-0000-0000176D0000}"/>
    <cellStyle name="Normal 2 3 27 4 9" xfId="27928" xr:uid="{00000000-0005-0000-0000-0000186D0000}"/>
    <cellStyle name="Normal 2 3 27 5" xfId="27929" xr:uid="{00000000-0005-0000-0000-0000196D0000}"/>
    <cellStyle name="Normal 2 3 27 5 10" xfId="27930" xr:uid="{00000000-0005-0000-0000-00001A6D0000}"/>
    <cellStyle name="Normal 2 3 27 5 2" xfId="27931" xr:uid="{00000000-0005-0000-0000-00001B6D0000}"/>
    <cellStyle name="Normal 2 3 27 5 3" xfId="27932" xr:uid="{00000000-0005-0000-0000-00001C6D0000}"/>
    <cellStyle name="Normal 2 3 27 5 4" xfId="27933" xr:uid="{00000000-0005-0000-0000-00001D6D0000}"/>
    <cellStyle name="Normal 2 3 27 5 5" xfId="27934" xr:uid="{00000000-0005-0000-0000-00001E6D0000}"/>
    <cellStyle name="Normal 2 3 27 5 6" xfId="27935" xr:uid="{00000000-0005-0000-0000-00001F6D0000}"/>
    <cellStyle name="Normal 2 3 27 5 7" xfId="27936" xr:uid="{00000000-0005-0000-0000-0000206D0000}"/>
    <cellStyle name="Normal 2 3 27 5 8" xfId="27937" xr:uid="{00000000-0005-0000-0000-0000216D0000}"/>
    <cellStyle name="Normal 2 3 27 5 9" xfId="27938" xr:uid="{00000000-0005-0000-0000-0000226D0000}"/>
    <cellStyle name="Normal 2 3 27 6" xfId="27939" xr:uid="{00000000-0005-0000-0000-0000236D0000}"/>
    <cellStyle name="Normal 2 3 27 7" xfId="27940" xr:uid="{00000000-0005-0000-0000-0000246D0000}"/>
    <cellStyle name="Normal 2 3 27 8" xfId="27941" xr:uid="{00000000-0005-0000-0000-0000256D0000}"/>
    <cellStyle name="Normal 2 3 27 9" xfId="27942" xr:uid="{00000000-0005-0000-0000-0000266D0000}"/>
    <cellStyle name="Normal 2 3 28" xfId="27943" xr:uid="{00000000-0005-0000-0000-0000276D0000}"/>
    <cellStyle name="Normal 2 3 28 10" xfId="27944" xr:uid="{00000000-0005-0000-0000-0000286D0000}"/>
    <cellStyle name="Normal 2 3 28 11" xfId="27945" xr:uid="{00000000-0005-0000-0000-0000296D0000}"/>
    <cellStyle name="Normal 2 3 28 12" xfId="27946" xr:uid="{00000000-0005-0000-0000-00002A6D0000}"/>
    <cellStyle name="Normal 2 3 28 13" xfId="27947" xr:uid="{00000000-0005-0000-0000-00002B6D0000}"/>
    <cellStyle name="Normal 2 3 28 14" xfId="27948" xr:uid="{00000000-0005-0000-0000-00002C6D0000}"/>
    <cellStyle name="Normal 2 3 28 2" xfId="27949" xr:uid="{00000000-0005-0000-0000-00002D6D0000}"/>
    <cellStyle name="Normal 2 3 28 2 10" xfId="27950" xr:uid="{00000000-0005-0000-0000-00002E6D0000}"/>
    <cellStyle name="Normal 2 3 28 2 2" xfId="27951" xr:uid="{00000000-0005-0000-0000-00002F6D0000}"/>
    <cellStyle name="Normal 2 3 28 2 3" xfId="27952" xr:uid="{00000000-0005-0000-0000-0000306D0000}"/>
    <cellStyle name="Normal 2 3 28 2 4" xfId="27953" xr:uid="{00000000-0005-0000-0000-0000316D0000}"/>
    <cellStyle name="Normal 2 3 28 2 5" xfId="27954" xr:uid="{00000000-0005-0000-0000-0000326D0000}"/>
    <cellStyle name="Normal 2 3 28 2 6" xfId="27955" xr:uid="{00000000-0005-0000-0000-0000336D0000}"/>
    <cellStyle name="Normal 2 3 28 2 7" xfId="27956" xr:uid="{00000000-0005-0000-0000-0000346D0000}"/>
    <cellStyle name="Normal 2 3 28 2 8" xfId="27957" xr:uid="{00000000-0005-0000-0000-0000356D0000}"/>
    <cellStyle name="Normal 2 3 28 2 9" xfId="27958" xr:uid="{00000000-0005-0000-0000-0000366D0000}"/>
    <cellStyle name="Normal 2 3 28 3" xfId="27959" xr:uid="{00000000-0005-0000-0000-0000376D0000}"/>
    <cellStyle name="Normal 2 3 28 3 10" xfId="27960" xr:uid="{00000000-0005-0000-0000-0000386D0000}"/>
    <cellStyle name="Normal 2 3 28 3 2" xfId="27961" xr:uid="{00000000-0005-0000-0000-0000396D0000}"/>
    <cellStyle name="Normal 2 3 28 3 3" xfId="27962" xr:uid="{00000000-0005-0000-0000-00003A6D0000}"/>
    <cellStyle name="Normal 2 3 28 3 4" xfId="27963" xr:uid="{00000000-0005-0000-0000-00003B6D0000}"/>
    <cellStyle name="Normal 2 3 28 3 5" xfId="27964" xr:uid="{00000000-0005-0000-0000-00003C6D0000}"/>
    <cellStyle name="Normal 2 3 28 3 6" xfId="27965" xr:uid="{00000000-0005-0000-0000-00003D6D0000}"/>
    <cellStyle name="Normal 2 3 28 3 7" xfId="27966" xr:uid="{00000000-0005-0000-0000-00003E6D0000}"/>
    <cellStyle name="Normal 2 3 28 3 8" xfId="27967" xr:uid="{00000000-0005-0000-0000-00003F6D0000}"/>
    <cellStyle name="Normal 2 3 28 3 9" xfId="27968" xr:uid="{00000000-0005-0000-0000-0000406D0000}"/>
    <cellStyle name="Normal 2 3 28 4" xfId="27969" xr:uid="{00000000-0005-0000-0000-0000416D0000}"/>
    <cellStyle name="Normal 2 3 28 4 10" xfId="27970" xr:uid="{00000000-0005-0000-0000-0000426D0000}"/>
    <cellStyle name="Normal 2 3 28 4 2" xfId="27971" xr:uid="{00000000-0005-0000-0000-0000436D0000}"/>
    <cellStyle name="Normal 2 3 28 4 3" xfId="27972" xr:uid="{00000000-0005-0000-0000-0000446D0000}"/>
    <cellStyle name="Normal 2 3 28 4 4" xfId="27973" xr:uid="{00000000-0005-0000-0000-0000456D0000}"/>
    <cellStyle name="Normal 2 3 28 4 5" xfId="27974" xr:uid="{00000000-0005-0000-0000-0000466D0000}"/>
    <cellStyle name="Normal 2 3 28 4 6" xfId="27975" xr:uid="{00000000-0005-0000-0000-0000476D0000}"/>
    <cellStyle name="Normal 2 3 28 4 7" xfId="27976" xr:uid="{00000000-0005-0000-0000-0000486D0000}"/>
    <cellStyle name="Normal 2 3 28 4 8" xfId="27977" xr:uid="{00000000-0005-0000-0000-0000496D0000}"/>
    <cellStyle name="Normal 2 3 28 4 9" xfId="27978" xr:uid="{00000000-0005-0000-0000-00004A6D0000}"/>
    <cellStyle name="Normal 2 3 28 5" xfId="27979" xr:uid="{00000000-0005-0000-0000-00004B6D0000}"/>
    <cellStyle name="Normal 2 3 28 5 10" xfId="27980" xr:uid="{00000000-0005-0000-0000-00004C6D0000}"/>
    <cellStyle name="Normal 2 3 28 5 2" xfId="27981" xr:uid="{00000000-0005-0000-0000-00004D6D0000}"/>
    <cellStyle name="Normal 2 3 28 5 3" xfId="27982" xr:uid="{00000000-0005-0000-0000-00004E6D0000}"/>
    <cellStyle name="Normal 2 3 28 5 4" xfId="27983" xr:uid="{00000000-0005-0000-0000-00004F6D0000}"/>
    <cellStyle name="Normal 2 3 28 5 5" xfId="27984" xr:uid="{00000000-0005-0000-0000-0000506D0000}"/>
    <cellStyle name="Normal 2 3 28 5 6" xfId="27985" xr:uid="{00000000-0005-0000-0000-0000516D0000}"/>
    <cellStyle name="Normal 2 3 28 5 7" xfId="27986" xr:uid="{00000000-0005-0000-0000-0000526D0000}"/>
    <cellStyle name="Normal 2 3 28 5 8" xfId="27987" xr:uid="{00000000-0005-0000-0000-0000536D0000}"/>
    <cellStyle name="Normal 2 3 28 5 9" xfId="27988" xr:uid="{00000000-0005-0000-0000-0000546D0000}"/>
    <cellStyle name="Normal 2 3 28 6" xfId="27989" xr:uid="{00000000-0005-0000-0000-0000556D0000}"/>
    <cellStyle name="Normal 2 3 28 7" xfId="27990" xr:uid="{00000000-0005-0000-0000-0000566D0000}"/>
    <cellStyle name="Normal 2 3 28 8" xfId="27991" xr:uid="{00000000-0005-0000-0000-0000576D0000}"/>
    <cellStyle name="Normal 2 3 28 9" xfId="27992" xr:uid="{00000000-0005-0000-0000-0000586D0000}"/>
    <cellStyle name="Normal 2 3 29" xfId="27993" xr:uid="{00000000-0005-0000-0000-0000596D0000}"/>
    <cellStyle name="Normal 2 3 29 10" xfId="27994" xr:uid="{00000000-0005-0000-0000-00005A6D0000}"/>
    <cellStyle name="Normal 2 3 29 11" xfId="27995" xr:uid="{00000000-0005-0000-0000-00005B6D0000}"/>
    <cellStyle name="Normal 2 3 29 12" xfId="27996" xr:uid="{00000000-0005-0000-0000-00005C6D0000}"/>
    <cellStyle name="Normal 2 3 29 13" xfId="27997" xr:uid="{00000000-0005-0000-0000-00005D6D0000}"/>
    <cellStyle name="Normal 2 3 29 14" xfId="27998" xr:uid="{00000000-0005-0000-0000-00005E6D0000}"/>
    <cellStyle name="Normal 2 3 29 2" xfId="27999" xr:uid="{00000000-0005-0000-0000-00005F6D0000}"/>
    <cellStyle name="Normal 2 3 29 2 10" xfId="28000" xr:uid="{00000000-0005-0000-0000-0000606D0000}"/>
    <cellStyle name="Normal 2 3 29 2 2" xfId="28001" xr:uid="{00000000-0005-0000-0000-0000616D0000}"/>
    <cellStyle name="Normal 2 3 29 2 3" xfId="28002" xr:uid="{00000000-0005-0000-0000-0000626D0000}"/>
    <cellStyle name="Normal 2 3 29 2 4" xfId="28003" xr:uid="{00000000-0005-0000-0000-0000636D0000}"/>
    <cellStyle name="Normal 2 3 29 2 5" xfId="28004" xr:uid="{00000000-0005-0000-0000-0000646D0000}"/>
    <cellStyle name="Normal 2 3 29 2 6" xfId="28005" xr:uid="{00000000-0005-0000-0000-0000656D0000}"/>
    <cellStyle name="Normal 2 3 29 2 7" xfId="28006" xr:uid="{00000000-0005-0000-0000-0000666D0000}"/>
    <cellStyle name="Normal 2 3 29 2 8" xfId="28007" xr:uid="{00000000-0005-0000-0000-0000676D0000}"/>
    <cellStyle name="Normal 2 3 29 2 9" xfId="28008" xr:uid="{00000000-0005-0000-0000-0000686D0000}"/>
    <cellStyle name="Normal 2 3 29 3" xfId="28009" xr:uid="{00000000-0005-0000-0000-0000696D0000}"/>
    <cellStyle name="Normal 2 3 29 3 10" xfId="28010" xr:uid="{00000000-0005-0000-0000-00006A6D0000}"/>
    <cellStyle name="Normal 2 3 29 3 2" xfId="28011" xr:uid="{00000000-0005-0000-0000-00006B6D0000}"/>
    <cellStyle name="Normal 2 3 29 3 3" xfId="28012" xr:uid="{00000000-0005-0000-0000-00006C6D0000}"/>
    <cellStyle name="Normal 2 3 29 3 4" xfId="28013" xr:uid="{00000000-0005-0000-0000-00006D6D0000}"/>
    <cellStyle name="Normal 2 3 29 3 5" xfId="28014" xr:uid="{00000000-0005-0000-0000-00006E6D0000}"/>
    <cellStyle name="Normal 2 3 29 3 6" xfId="28015" xr:uid="{00000000-0005-0000-0000-00006F6D0000}"/>
    <cellStyle name="Normal 2 3 29 3 7" xfId="28016" xr:uid="{00000000-0005-0000-0000-0000706D0000}"/>
    <cellStyle name="Normal 2 3 29 3 8" xfId="28017" xr:uid="{00000000-0005-0000-0000-0000716D0000}"/>
    <cellStyle name="Normal 2 3 29 3 9" xfId="28018" xr:uid="{00000000-0005-0000-0000-0000726D0000}"/>
    <cellStyle name="Normal 2 3 29 4" xfId="28019" xr:uid="{00000000-0005-0000-0000-0000736D0000}"/>
    <cellStyle name="Normal 2 3 29 4 10" xfId="28020" xr:uid="{00000000-0005-0000-0000-0000746D0000}"/>
    <cellStyle name="Normal 2 3 29 4 2" xfId="28021" xr:uid="{00000000-0005-0000-0000-0000756D0000}"/>
    <cellStyle name="Normal 2 3 29 4 3" xfId="28022" xr:uid="{00000000-0005-0000-0000-0000766D0000}"/>
    <cellStyle name="Normal 2 3 29 4 4" xfId="28023" xr:uid="{00000000-0005-0000-0000-0000776D0000}"/>
    <cellStyle name="Normal 2 3 29 4 5" xfId="28024" xr:uid="{00000000-0005-0000-0000-0000786D0000}"/>
    <cellStyle name="Normal 2 3 29 4 6" xfId="28025" xr:uid="{00000000-0005-0000-0000-0000796D0000}"/>
    <cellStyle name="Normal 2 3 29 4 7" xfId="28026" xr:uid="{00000000-0005-0000-0000-00007A6D0000}"/>
    <cellStyle name="Normal 2 3 29 4 8" xfId="28027" xr:uid="{00000000-0005-0000-0000-00007B6D0000}"/>
    <cellStyle name="Normal 2 3 29 4 9" xfId="28028" xr:uid="{00000000-0005-0000-0000-00007C6D0000}"/>
    <cellStyle name="Normal 2 3 29 5" xfId="28029" xr:uid="{00000000-0005-0000-0000-00007D6D0000}"/>
    <cellStyle name="Normal 2 3 29 5 10" xfId="28030" xr:uid="{00000000-0005-0000-0000-00007E6D0000}"/>
    <cellStyle name="Normal 2 3 29 5 2" xfId="28031" xr:uid="{00000000-0005-0000-0000-00007F6D0000}"/>
    <cellStyle name="Normal 2 3 29 5 3" xfId="28032" xr:uid="{00000000-0005-0000-0000-0000806D0000}"/>
    <cellStyle name="Normal 2 3 29 5 4" xfId="28033" xr:uid="{00000000-0005-0000-0000-0000816D0000}"/>
    <cellStyle name="Normal 2 3 29 5 5" xfId="28034" xr:uid="{00000000-0005-0000-0000-0000826D0000}"/>
    <cellStyle name="Normal 2 3 29 5 6" xfId="28035" xr:uid="{00000000-0005-0000-0000-0000836D0000}"/>
    <cellStyle name="Normal 2 3 29 5 7" xfId="28036" xr:uid="{00000000-0005-0000-0000-0000846D0000}"/>
    <cellStyle name="Normal 2 3 29 5 8" xfId="28037" xr:uid="{00000000-0005-0000-0000-0000856D0000}"/>
    <cellStyle name="Normal 2 3 29 5 9" xfId="28038" xr:uid="{00000000-0005-0000-0000-0000866D0000}"/>
    <cellStyle name="Normal 2 3 29 6" xfId="28039" xr:uid="{00000000-0005-0000-0000-0000876D0000}"/>
    <cellStyle name="Normal 2 3 29 7" xfId="28040" xr:uid="{00000000-0005-0000-0000-0000886D0000}"/>
    <cellStyle name="Normal 2 3 29 8" xfId="28041" xr:uid="{00000000-0005-0000-0000-0000896D0000}"/>
    <cellStyle name="Normal 2 3 29 9" xfId="28042" xr:uid="{00000000-0005-0000-0000-00008A6D0000}"/>
    <cellStyle name="Normal 2 3 3" xfId="28043" xr:uid="{00000000-0005-0000-0000-00008B6D0000}"/>
    <cellStyle name="Normal 2 3 3 10" xfId="28044" xr:uid="{00000000-0005-0000-0000-00008C6D0000}"/>
    <cellStyle name="Normal 2 3 3 11" xfId="28045" xr:uid="{00000000-0005-0000-0000-00008D6D0000}"/>
    <cellStyle name="Normal 2 3 3 12" xfId="28046" xr:uid="{00000000-0005-0000-0000-00008E6D0000}"/>
    <cellStyle name="Normal 2 3 3 13" xfId="28047" xr:uid="{00000000-0005-0000-0000-00008F6D0000}"/>
    <cellStyle name="Normal 2 3 3 14" xfId="28048" xr:uid="{00000000-0005-0000-0000-0000906D0000}"/>
    <cellStyle name="Normal 2 3 3 15" xfId="28049" xr:uid="{00000000-0005-0000-0000-0000916D0000}"/>
    <cellStyle name="Normal 2 3 3 16" xfId="28050" xr:uid="{00000000-0005-0000-0000-0000926D0000}"/>
    <cellStyle name="Normal 2 3 3 2" xfId="28051" xr:uid="{00000000-0005-0000-0000-0000936D0000}"/>
    <cellStyle name="Normal 2 3 3 2 10" xfId="28052" xr:uid="{00000000-0005-0000-0000-0000946D0000}"/>
    <cellStyle name="Normal 2 3 3 2 2" xfId="28053" xr:uid="{00000000-0005-0000-0000-0000956D0000}"/>
    <cellStyle name="Normal 2 3 3 2 3" xfId="28054" xr:uid="{00000000-0005-0000-0000-0000966D0000}"/>
    <cellStyle name="Normal 2 3 3 2 4" xfId="28055" xr:uid="{00000000-0005-0000-0000-0000976D0000}"/>
    <cellStyle name="Normal 2 3 3 2 5" xfId="28056" xr:uid="{00000000-0005-0000-0000-0000986D0000}"/>
    <cellStyle name="Normal 2 3 3 2 6" xfId="28057" xr:uid="{00000000-0005-0000-0000-0000996D0000}"/>
    <cellStyle name="Normal 2 3 3 2 7" xfId="28058" xr:uid="{00000000-0005-0000-0000-00009A6D0000}"/>
    <cellStyle name="Normal 2 3 3 2 8" xfId="28059" xr:uid="{00000000-0005-0000-0000-00009B6D0000}"/>
    <cellStyle name="Normal 2 3 3 2 9" xfId="28060" xr:uid="{00000000-0005-0000-0000-00009C6D0000}"/>
    <cellStyle name="Normal 2 3 3 3" xfId="28061" xr:uid="{00000000-0005-0000-0000-00009D6D0000}"/>
    <cellStyle name="Normal 2 3 3 3 10" xfId="28062" xr:uid="{00000000-0005-0000-0000-00009E6D0000}"/>
    <cellStyle name="Normal 2 3 3 3 2" xfId="28063" xr:uid="{00000000-0005-0000-0000-00009F6D0000}"/>
    <cellStyle name="Normal 2 3 3 3 3" xfId="28064" xr:uid="{00000000-0005-0000-0000-0000A06D0000}"/>
    <cellStyle name="Normal 2 3 3 3 4" xfId="28065" xr:uid="{00000000-0005-0000-0000-0000A16D0000}"/>
    <cellStyle name="Normal 2 3 3 3 5" xfId="28066" xr:uid="{00000000-0005-0000-0000-0000A26D0000}"/>
    <cellStyle name="Normal 2 3 3 3 6" xfId="28067" xr:uid="{00000000-0005-0000-0000-0000A36D0000}"/>
    <cellStyle name="Normal 2 3 3 3 7" xfId="28068" xr:uid="{00000000-0005-0000-0000-0000A46D0000}"/>
    <cellStyle name="Normal 2 3 3 3 8" xfId="28069" xr:uid="{00000000-0005-0000-0000-0000A56D0000}"/>
    <cellStyle name="Normal 2 3 3 3 9" xfId="28070" xr:uid="{00000000-0005-0000-0000-0000A66D0000}"/>
    <cellStyle name="Normal 2 3 3 4" xfId="28071" xr:uid="{00000000-0005-0000-0000-0000A76D0000}"/>
    <cellStyle name="Normal 2 3 3 4 10" xfId="28072" xr:uid="{00000000-0005-0000-0000-0000A86D0000}"/>
    <cellStyle name="Normal 2 3 3 4 2" xfId="28073" xr:uid="{00000000-0005-0000-0000-0000A96D0000}"/>
    <cellStyle name="Normal 2 3 3 4 3" xfId="28074" xr:uid="{00000000-0005-0000-0000-0000AA6D0000}"/>
    <cellStyle name="Normal 2 3 3 4 4" xfId="28075" xr:uid="{00000000-0005-0000-0000-0000AB6D0000}"/>
    <cellStyle name="Normal 2 3 3 4 5" xfId="28076" xr:uid="{00000000-0005-0000-0000-0000AC6D0000}"/>
    <cellStyle name="Normal 2 3 3 4 6" xfId="28077" xr:uid="{00000000-0005-0000-0000-0000AD6D0000}"/>
    <cellStyle name="Normal 2 3 3 4 7" xfId="28078" xr:uid="{00000000-0005-0000-0000-0000AE6D0000}"/>
    <cellStyle name="Normal 2 3 3 4 8" xfId="28079" xr:uid="{00000000-0005-0000-0000-0000AF6D0000}"/>
    <cellStyle name="Normal 2 3 3 4 9" xfId="28080" xr:uid="{00000000-0005-0000-0000-0000B06D0000}"/>
    <cellStyle name="Normal 2 3 3 5" xfId="28081" xr:uid="{00000000-0005-0000-0000-0000B16D0000}"/>
    <cellStyle name="Normal 2 3 3 5 10" xfId="28082" xr:uid="{00000000-0005-0000-0000-0000B26D0000}"/>
    <cellStyle name="Normal 2 3 3 5 2" xfId="28083" xr:uid="{00000000-0005-0000-0000-0000B36D0000}"/>
    <cellStyle name="Normal 2 3 3 5 3" xfId="28084" xr:uid="{00000000-0005-0000-0000-0000B46D0000}"/>
    <cellStyle name="Normal 2 3 3 5 4" xfId="28085" xr:uid="{00000000-0005-0000-0000-0000B56D0000}"/>
    <cellStyle name="Normal 2 3 3 5 5" xfId="28086" xr:uid="{00000000-0005-0000-0000-0000B66D0000}"/>
    <cellStyle name="Normal 2 3 3 5 6" xfId="28087" xr:uid="{00000000-0005-0000-0000-0000B76D0000}"/>
    <cellStyle name="Normal 2 3 3 5 7" xfId="28088" xr:uid="{00000000-0005-0000-0000-0000B86D0000}"/>
    <cellStyle name="Normal 2 3 3 5 8" xfId="28089" xr:uid="{00000000-0005-0000-0000-0000B96D0000}"/>
    <cellStyle name="Normal 2 3 3 5 9" xfId="28090" xr:uid="{00000000-0005-0000-0000-0000BA6D0000}"/>
    <cellStyle name="Normal 2 3 3 6" xfId="28091" xr:uid="{00000000-0005-0000-0000-0000BB6D0000}"/>
    <cellStyle name="Normal 2 3 3 7" xfId="28092" xr:uid="{00000000-0005-0000-0000-0000BC6D0000}"/>
    <cellStyle name="Normal 2 3 3 8" xfId="28093" xr:uid="{00000000-0005-0000-0000-0000BD6D0000}"/>
    <cellStyle name="Normal 2 3 3 9" xfId="28094" xr:uid="{00000000-0005-0000-0000-0000BE6D0000}"/>
    <cellStyle name="Normal 2 3 30" xfId="28095" xr:uid="{00000000-0005-0000-0000-0000BF6D0000}"/>
    <cellStyle name="Normal 2 3 30 10" xfId="28096" xr:uid="{00000000-0005-0000-0000-0000C06D0000}"/>
    <cellStyle name="Normal 2 3 30 11" xfId="28097" xr:uid="{00000000-0005-0000-0000-0000C16D0000}"/>
    <cellStyle name="Normal 2 3 30 12" xfId="28098" xr:uid="{00000000-0005-0000-0000-0000C26D0000}"/>
    <cellStyle name="Normal 2 3 30 13" xfId="28099" xr:uid="{00000000-0005-0000-0000-0000C36D0000}"/>
    <cellStyle name="Normal 2 3 30 14" xfId="28100" xr:uid="{00000000-0005-0000-0000-0000C46D0000}"/>
    <cellStyle name="Normal 2 3 30 2" xfId="28101" xr:uid="{00000000-0005-0000-0000-0000C56D0000}"/>
    <cellStyle name="Normal 2 3 30 2 10" xfId="28102" xr:uid="{00000000-0005-0000-0000-0000C66D0000}"/>
    <cellStyle name="Normal 2 3 30 2 2" xfId="28103" xr:uid="{00000000-0005-0000-0000-0000C76D0000}"/>
    <cellStyle name="Normal 2 3 30 2 3" xfId="28104" xr:uid="{00000000-0005-0000-0000-0000C86D0000}"/>
    <cellStyle name="Normal 2 3 30 2 4" xfId="28105" xr:uid="{00000000-0005-0000-0000-0000C96D0000}"/>
    <cellStyle name="Normal 2 3 30 2 5" xfId="28106" xr:uid="{00000000-0005-0000-0000-0000CA6D0000}"/>
    <cellStyle name="Normal 2 3 30 2 6" xfId="28107" xr:uid="{00000000-0005-0000-0000-0000CB6D0000}"/>
    <cellStyle name="Normal 2 3 30 2 7" xfId="28108" xr:uid="{00000000-0005-0000-0000-0000CC6D0000}"/>
    <cellStyle name="Normal 2 3 30 2 8" xfId="28109" xr:uid="{00000000-0005-0000-0000-0000CD6D0000}"/>
    <cellStyle name="Normal 2 3 30 2 9" xfId="28110" xr:uid="{00000000-0005-0000-0000-0000CE6D0000}"/>
    <cellStyle name="Normal 2 3 30 3" xfId="28111" xr:uid="{00000000-0005-0000-0000-0000CF6D0000}"/>
    <cellStyle name="Normal 2 3 30 3 10" xfId="28112" xr:uid="{00000000-0005-0000-0000-0000D06D0000}"/>
    <cellStyle name="Normal 2 3 30 3 2" xfId="28113" xr:uid="{00000000-0005-0000-0000-0000D16D0000}"/>
    <cellStyle name="Normal 2 3 30 3 3" xfId="28114" xr:uid="{00000000-0005-0000-0000-0000D26D0000}"/>
    <cellStyle name="Normal 2 3 30 3 4" xfId="28115" xr:uid="{00000000-0005-0000-0000-0000D36D0000}"/>
    <cellStyle name="Normal 2 3 30 3 5" xfId="28116" xr:uid="{00000000-0005-0000-0000-0000D46D0000}"/>
    <cellStyle name="Normal 2 3 30 3 6" xfId="28117" xr:uid="{00000000-0005-0000-0000-0000D56D0000}"/>
    <cellStyle name="Normal 2 3 30 3 7" xfId="28118" xr:uid="{00000000-0005-0000-0000-0000D66D0000}"/>
    <cellStyle name="Normal 2 3 30 3 8" xfId="28119" xr:uid="{00000000-0005-0000-0000-0000D76D0000}"/>
    <cellStyle name="Normal 2 3 30 3 9" xfId="28120" xr:uid="{00000000-0005-0000-0000-0000D86D0000}"/>
    <cellStyle name="Normal 2 3 30 4" xfId="28121" xr:uid="{00000000-0005-0000-0000-0000D96D0000}"/>
    <cellStyle name="Normal 2 3 30 4 10" xfId="28122" xr:uid="{00000000-0005-0000-0000-0000DA6D0000}"/>
    <cellStyle name="Normal 2 3 30 4 2" xfId="28123" xr:uid="{00000000-0005-0000-0000-0000DB6D0000}"/>
    <cellStyle name="Normal 2 3 30 4 3" xfId="28124" xr:uid="{00000000-0005-0000-0000-0000DC6D0000}"/>
    <cellStyle name="Normal 2 3 30 4 4" xfId="28125" xr:uid="{00000000-0005-0000-0000-0000DD6D0000}"/>
    <cellStyle name="Normal 2 3 30 4 5" xfId="28126" xr:uid="{00000000-0005-0000-0000-0000DE6D0000}"/>
    <cellStyle name="Normal 2 3 30 4 6" xfId="28127" xr:uid="{00000000-0005-0000-0000-0000DF6D0000}"/>
    <cellStyle name="Normal 2 3 30 4 7" xfId="28128" xr:uid="{00000000-0005-0000-0000-0000E06D0000}"/>
    <cellStyle name="Normal 2 3 30 4 8" xfId="28129" xr:uid="{00000000-0005-0000-0000-0000E16D0000}"/>
    <cellStyle name="Normal 2 3 30 4 9" xfId="28130" xr:uid="{00000000-0005-0000-0000-0000E26D0000}"/>
    <cellStyle name="Normal 2 3 30 5" xfId="28131" xr:uid="{00000000-0005-0000-0000-0000E36D0000}"/>
    <cellStyle name="Normal 2 3 30 5 10" xfId="28132" xr:uid="{00000000-0005-0000-0000-0000E46D0000}"/>
    <cellStyle name="Normal 2 3 30 5 2" xfId="28133" xr:uid="{00000000-0005-0000-0000-0000E56D0000}"/>
    <cellStyle name="Normal 2 3 30 5 3" xfId="28134" xr:uid="{00000000-0005-0000-0000-0000E66D0000}"/>
    <cellStyle name="Normal 2 3 30 5 4" xfId="28135" xr:uid="{00000000-0005-0000-0000-0000E76D0000}"/>
    <cellStyle name="Normal 2 3 30 5 5" xfId="28136" xr:uid="{00000000-0005-0000-0000-0000E86D0000}"/>
    <cellStyle name="Normal 2 3 30 5 6" xfId="28137" xr:uid="{00000000-0005-0000-0000-0000E96D0000}"/>
    <cellStyle name="Normal 2 3 30 5 7" xfId="28138" xr:uid="{00000000-0005-0000-0000-0000EA6D0000}"/>
    <cellStyle name="Normal 2 3 30 5 8" xfId="28139" xr:uid="{00000000-0005-0000-0000-0000EB6D0000}"/>
    <cellStyle name="Normal 2 3 30 5 9" xfId="28140" xr:uid="{00000000-0005-0000-0000-0000EC6D0000}"/>
    <cellStyle name="Normal 2 3 30 6" xfId="28141" xr:uid="{00000000-0005-0000-0000-0000ED6D0000}"/>
    <cellStyle name="Normal 2 3 30 7" xfId="28142" xr:uid="{00000000-0005-0000-0000-0000EE6D0000}"/>
    <cellStyle name="Normal 2 3 30 8" xfId="28143" xr:uid="{00000000-0005-0000-0000-0000EF6D0000}"/>
    <cellStyle name="Normal 2 3 30 9" xfId="28144" xr:uid="{00000000-0005-0000-0000-0000F06D0000}"/>
    <cellStyle name="Normal 2 3 31" xfId="28145" xr:uid="{00000000-0005-0000-0000-0000F16D0000}"/>
    <cellStyle name="Normal 2 3 31 10" xfId="28146" xr:uid="{00000000-0005-0000-0000-0000F26D0000}"/>
    <cellStyle name="Normal 2 3 31 11" xfId="28147" xr:uid="{00000000-0005-0000-0000-0000F36D0000}"/>
    <cellStyle name="Normal 2 3 31 12" xfId="28148" xr:uid="{00000000-0005-0000-0000-0000F46D0000}"/>
    <cellStyle name="Normal 2 3 31 13" xfId="28149" xr:uid="{00000000-0005-0000-0000-0000F56D0000}"/>
    <cellStyle name="Normal 2 3 31 14" xfId="28150" xr:uid="{00000000-0005-0000-0000-0000F66D0000}"/>
    <cellStyle name="Normal 2 3 31 2" xfId="28151" xr:uid="{00000000-0005-0000-0000-0000F76D0000}"/>
    <cellStyle name="Normal 2 3 31 2 10" xfId="28152" xr:uid="{00000000-0005-0000-0000-0000F86D0000}"/>
    <cellStyle name="Normal 2 3 31 2 2" xfId="28153" xr:uid="{00000000-0005-0000-0000-0000F96D0000}"/>
    <cellStyle name="Normal 2 3 31 2 3" xfId="28154" xr:uid="{00000000-0005-0000-0000-0000FA6D0000}"/>
    <cellStyle name="Normal 2 3 31 2 4" xfId="28155" xr:uid="{00000000-0005-0000-0000-0000FB6D0000}"/>
    <cellStyle name="Normal 2 3 31 2 5" xfId="28156" xr:uid="{00000000-0005-0000-0000-0000FC6D0000}"/>
    <cellStyle name="Normal 2 3 31 2 6" xfId="28157" xr:uid="{00000000-0005-0000-0000-0000FD6D0000}"/>
    <cellStyle name="Normal 2 3 31 2 7" xfId="28158" xr:uid="{00000000-0005-0000-0000-0000FE6D0000}"/>
    <cellStyle name="Normal 2 3 31 2 8" xfId="28159" xr:uid="{00000000-0005-0000-0000-0000FF6D0000}"/>
    <cellStyle name="Normal 2 3 31 2 9" xfId="28160" xr:uid="{00000000-0005-0000-0000-0000006E0000}"/>
    <cellStyle name="Normal 2 3 31 3" xfId="28161" xr:uid="{00000000-0005-0000-0000-0000016E0000}"/>
    <cellStyle name="Normal 2 3 31 3 10" xfId="28162" xr:uid="{00000000-0005-0000-0000-0000026E0000}"/>
    <cellStyle name="Normal 2 3 31 3 2" xfId="28163" xr:uid="{00000000-0005-0000-0000-0000036E0000}"/>
    <cellStyle name="Normal 2 3 31 3 3" xfId="28164" xr:uid="{00000000-0005-0000-0000-0000046E0000}"/>
    <cellStyle name="Normal 2 3 31 3 4" xfId="28165" xr:uid="{00000000-0005-0000-0000-0000056E0000}"/>
    <cellStyle name="Normal 2 3 31 3 5" xfId="28166" xr:uid="{00000000-0005-0000-0000-0000066E0000}"/>
    <cellStyle name="Normal 2 3 31 3 6" xfId="28167" xr:uid="{00000000-0005-0000-0000-0000076E0000}"/>
    <cellStyle name="Normal 2 3 31 3 7" xfId="28168" xr:uid="{00000000-0005-0000-0000-0000086E0000}"/>
    <cellStyle name="Normal 2 3 31 3 8" xfId="28169" xr:uid="{00000000-0005-0000-0000-0000096E0000}"/>
    <cellStyle name="Normal 2 3 31 3 9" xfId="28170" xr:uid="{00000000-0005-0000-0000-00000A6E0000}"/>
    <cellStyle name="Normal 2 3 31 4" xfId="28171" xr:uid="{00000000-0005-0000-0000-00000B6E0000}"/>
    <cellStyle name="Normal 2 3 31 4 10" xfId="28172" xr:uid="{00000000-0005-0000-0000-00000C6E0000}"/>
    <cellStyle name="Normal 2 3 31 4 2" xfId="28173" xr:uid="{00000000-0005-0000-0000-00000D6E0000}"/>
    <cellStyle name="Normal 2 3 31 4 3" xfId="28174" xr:uid="{00000000-0005-0000-0000-00000E6E0000}"/>
    <cellStyle name="Normal 2 3 31 4 4" xfId="28175" xr:uid="{00000000-0005-0000-0000-00000F6E0000}"/>
    <cellStyle name="Normal 2 3 31 4 5" xfId="28176" xr:uid="{00000000-0005-0000-0000-0000106E0000}"/>
    <cellStyle name="Normal 2 3 31 4 6" xfId="28177" xr:uid="{00000000-0005-0000-0000-0000116E0000}"/>
    <cellStyle name="Normal 2 3 31 4 7" xfId="28178" xr:uid="{00000000-0005-0000-0000-0000126E0000}"/>
    <cellStyle name="Normal 2 3 31 4 8" xfId="28179" xr:uid="{00000000-0005-0000-0000-0000136E0000}"/>
    <cellStyle name="Normal 2 3 31 4 9" xfId="28180" xr:uid="{00000000-0005-0000-0000-0000146E0000}"/>
    <cellStyle name="Normal 2 3 31 5" xfId="28181" xr:uid="{00000000-0005-0000-0000-0000156E0000}"/>
    <cellStyle name="Normal 2 3 31 5 10" xfId="28182" xr:uid="{00000000-0005-0000-0000-0000166E0000}"/>
    <cellStyle name="Normal 2 3 31 5 2" xfId="28183" xr:uid="{00000000-0005-0000-0000-0000176E0000}"/>
    <cellStyle name="Normal 2 3 31 5 3" xfId="28184" xr:uid="{00000000-0005-0000-0000-0000186E0000}"/>
    <cellStyle name="Normal 2 3 31 5 4" xfId="28185" xr:uid="{00000000-0005-0000-0000-0000196E0000}"/>
    <cellStyle name="Normal 2 3 31 5 5" xfId="28186" xr:uid="{00000000-0005-0000-0000-00001A6E0000}"/>
    <cellStyle name="Normal 2 3 31 5 6" xfId="28187" xr:uid="{00000000-0005-0000-0000-00001B6E0000}"/>
    <cellStyle name="Normal 2 3 31 5 7" xfId="28188" xr:uid="{00000000-0005-0000-0000-00001C6E0000}"/>
    <cellStyle name="Normal 2 3 31 5 8" xfId="28189" xr:uid="{00000000-0005-0000-0000-00001D6E0000}"/>
    <cellStyle name="Normal 2 3 31 5 9" xfId="28190" xr:uid="{00000000-0005-0000-0000-00001E6E0000}"/>
    <cellStyle name="Normal 2 3 31 6" xfId="28191" xr:uid="{00000000-0005-0000-0000-00001F6E0000}"/>
    <cellStyle name="Normal 2 3 31 7" xfId="28192" xr:uid="{00000000-0005-0000-0000-0000206E0000}"/>
    <cellStyle name="Normal 2 3 31 8" xfId="28193" xr:uid="{00000000-0005-0000-0000-0000216E0000}"/>
    <cellStyle name="Normal 2 3 31 9" xfId="28194" xr:uid="{00000000-0005-0000-0000-0000226E0000}"/>
    <cellStyle name="Normal 2 3 32" xfId="28195" xr:uid="{00000000-0005-0000-0000-0000236E0000}"/>
    <cellStyle name="Normal 2 3 32 10" xfId="28196" xr:uid="{00000000-0005-0000-0000-0000246E0000}"/>
    <cellStyle name="Normal 2 3 32 11" xfId="28197" xr:uid="{00000000-0005-0000-0000-0000256E0000}"/>
    <cellStyle name="Normal 2 3 32 12" xfId="28198" xr:uid="{00000000-0005-0000-0000-0000266E0000}"/>
    <cellStyle name="Normal 2 3 32 13" xfId="28199" xr:uid="{00000000-0005-0000-0000-0000276E0000}"/>
    <cellStyle name="Normal 2 3 32 14" xfId="28200" xr:uid="{00000000-0005-0000-0000-0000286E0000}"/>
    <cellStyle name="Normal 2 3 32 2" xfId="28201" xr:uid="{00000000-0005-0000-0000-0000296E0000}"/>
    <cellStyle name="Normal 2 3 32 2 10" xfId="28202" xr:uid="{00000000-0005-0000-0000-00002A6E0000}"/>
    <cellStyle name="Normal 2 3 32 2 2" xfId="28203" xr:uid="{00000000-0005-0000-0000-00002B6E0000}"/>
    <cellStyle name="Normal 2 3 32 2 3" xfId="28204" xr:uid="{00000000-0005-0000-0000-00002C6E0000}"/>
    <cellStyle name="Normal 2 3 32 2 4" xfId="28205" xr:uid="{00000000-0005-0000-0000-00002D6E0000}"/>
    <cellStyle name="Normal 2 3 32 2 5" xfId="28206" xr:uid="{00000000-0005-0000-0000-00002E6E0000}"/>
    <cellStyle name="Normal 2 3 32 2 6" xfId="28207" xr:uid="{00000000-0005-0000-0000-00002F6E0000}"/>
    <cellStyle name="Normal 2 3 32 2 7" xfId="28208" xr:uid="{00000000-0005-0000-0000-0000306E0000}"/>
    <cellStyle name="Normal 2 3 32 2 8" xfId="28209" xr:uid="{00000000-0005-0000-0000-0000316E0000}"/>
    <cellStyle name="Normal 2 3 32 2 9" xfId="28210" xr:uid="{00000000-0005-0000-0000-0000326E0000}"/>
    <cellStyle name="Normal 2 3 32 3" xfId="28211" xr:uid="{00000000-0005-0000-0000-0000336E0000}"/>
    <cellStyle name="Normal 2 3 32 3 10" xfId="28212" xr:uid="{00000000-0005-0000-0000-0000346E0000}"/>
    <cellStyle name="Normal 2 3 32 3 2" xfId="28213" xr:uid="{00000000-0005-0000-0000-0000356E0000}"/>
    <cellStyle name="Normal 2 3 32 3 3" xfId="28214" xr:uid="{00000000-0005-0000-0000-0000366E0000}"/>
    <cellStyle name="Normal 2 3 32 3 4" xfId="28215" xr:uid="{00000000-0005-0000-0000-0000376E0000}"/>
    <cellStyle name="Normal 2 3 32 3 5" xfId="28216" xr:uid="{00000000-0005-0000-0000-0000386E0000}"/>
    <cellStyle name="Normal 2 3 32 3 6" xfId="28217" xr:uid="{00000000-0005-0000-0000-0000396E0000}"/>
    <cellStyle name="Normal 2 3 32 3 7" xfId="28218" xr:uid="{00000000-0005-0000-0000-00003A6E0000}"/>
    <cellStyle name="Normal 2 3 32 3 8" xfId="28219" xr:uid="{00000000-0005-0000-0000-00003B6E0000}"/>
    <cellStyle name="Normal 2 3 32 3 9" xfId="28220" xr:uid="{00000000-0005-0000-0000-00003C6E0000}"/>
    <cellStyle name="Normal 2 3 32 4" xfId="28221" xr:uid="{00000000-0005-0000-0000-00003D6E0000}"/>
    <cellStyle name="Normal 2 3 32 4 10" xfId="28222" xr:uid="{00000000-0005-0000-0000-00003E6E0000}"/>
    <cellStyle name="Normal 2 3 32 4 2" xfId="28223" xr:uid="{00000000-0005-0000-0000-00003F6E0000}"/>
    <cellStyle name="Normal 2 3 32 4 3" xfId="28224" xr:uid="{00000000-0005-0000-0000-0000406E0000}"/>
    <cellStyle name="Normal 2 3 32 4 4" xfId="28225" xr:uid="{00000000-0005-0000-0000-0000416E0000}"/>
    <cellStyle name="Normal 2 3 32 4 5" xfId="28226" xr:uid="{00000000-0005-0000-0000-0000426E0000}"/>
    <cellStyle name="Normal 2 3 32 4 6" xfId="28227" xr:uid="{00000000-0005-0000-0000-0000436E0000}"/>
    <cellStyle name="Normal 2 3 32 4 7" xfId="28228" xr:uid="{00000000-0005-0000-0000-0000446E0000}"/>
    <cellStyle name="Normal 2 3 32 4 8" xfId="28229" xr:uid="{00000000-0005-0000-0000-0000456E0000}"/>
    <cellStyle name="Normal 2 3 32 4 9" xfId="28230" xr:uid="{00000000-0005-0000-0000-0000466E0000}"/>
    <cellStyle name="Normal 2 3 32 5" xfId="28231" xr:uid="{00000000-0005-0000-0000-0000476E0000}"/>
    <cellStyle name="Normal 2 3 32 5 10" xfId="28232" xr:uid="{00000000-0005-0000-0000-0000486E0000}"/>
    <cellStyle name="Normal 2 3 32 5 2" xfId="28233" xr:uid="{00000000-0005-0000-0000-0000496E0000}"/>
    <cellStyle name="Normal 2 3 32 5 3" xfId="28234" xr:uid="{00000000-0005-0000-0000-00004A6E0000}"/>
    <cellStyle name="Normal 2 3 32 5 4" xfId="28235" xr:uid="{00000000-0005-0000-0000-00004B6E0000}"/>
    <cellStyle name="Normal 2 3 32 5 5" xfId="28236" xr:uid="{00000000-0005-0000-0000-00004C6E0000}"/>
    <cellStyle name="Normal 2 3 32 5 6" xfId="28237" xr:uid="{00000000-0005-0000-0000-00004D6E0000}"/>
    <cellStyle name="Normal 2 3 32 5 7" xfId="28238" xr:uid="{00000000-0005-0000-0000-00004E6E0000}"/>
    <cellStyle name="Normal 2 3 32 5 8" xfId="28239" xr:uid="{00000000-0005-0000-0000-00004F6E0000}"/>
    <cellStyle name="Normal 2 3 32 5 9" xfId="28240" xr:uid="{00000000-0005-0000-0000-0000506E0000}"/>
    <cellStyle name="Normal 2 3 32 6" xfId="28241" xr:uid="{00000000-0005-0000-0000-0000516E0000}"/>
    <cellStyle name="Normal 2 3 32 7" xfId="28242" xr:uid="{00000000-0005-0000-0000-0000526E0000}"/>
    <cellStyle name="Normal 2 3 32 8" xfId="28243" xr:uid="{00000000-0005-0000-0000-0000536E0000}"/>
    <cellStyle name="Normal 2 3 32 9" xfId="28244" xr:uid="{00000000-0005-0000-0000-0000546E0000}"/>
    <cellStyle name="Normal 2 3 33" xfId="28245" xr:uid="{00000000-0005-0000-0000-0000556E0000}"/>
    <cellStyle name="Normal 2 3 33 10" xfId="28246" xr:uid="{00000000-0005-0000-0000-0000566E0000}"/>
    <cellStyle name="Normal 2 3 33 11" xfId="28247" xr:uid="{00000000-0005-0000-0000-0000576E0000}"/>
    <cellStyle name="Normal 2 3 33 12" xfId="28248" xr:uid="{00000000-0005-0000-0000-0000586E0000}"/>
    <cellStyle name="Normal 2 3 33 13" xfId="28249" xr:uid="{00000000-0005-0000-0000-0000596E0000}"/>
    <cellStyle name="Normal 2 3 33 14" xfId="28250" xr:uid="{00000000-0005-0000-0000-00005A6E0000}"/>
    <cellStyle name="Normal 2 3 33 2" xfId="28251" xr:uid="{00000000-0005-0000-0000-00005B6E0000}"/>
    <cellStyle name="Normal 2 3 33 2 10" xfId="28252" xr:uid="{00000000-0005-0000-0000-00005C6E0000}"/>
    <cellStyle name="Normal 2 3 33 2 2" xfId="28253" xr:uid="{00000000-0005-0000-0000-00005D6E0000}"/>
    <cellStyle name="Normal 2 3 33 2 3" xfId="28254" xr:uid="{00000000-0005-0000-0000-00005E6E0000}"/>
    <cellStyle name="Normal 2 3 33 2 4" xfId="28255" xr:uid="{00000000-0005-0000-0000-00005F6E0000}"/>
    <cellStyle name="Normal 2 3 33 2 5" xfId="28256" xr:uid="{00000000-0005-0000-0000-0000606E0000}"/>
    <cellStyle name="Normal 2 3 33 2 6" xfId="28257" xr:uid="{00000000-0005-0000-0000-0000616E0000}"/>
    <cellStyle name="Normal 2 3 33 2 7" xfId="28258" xr:uid="{00000000-0005-0000-0000-0000626E0000}"/>
    <cellStyle name="Normal 2 3 33 2 8" xfId="28259" xr:uid="{00000000-0005-0000-0000-0000636E0000}"/>
    <cellStyle name="Normal 2 3 33 2 9" xfId="28260" xr:uid="{00000000-0005-0000-0000-0000646E0000}"/>
    <cellStyle name="Normal 2 3 33 3" xfId="28261" xr:uid="{00000000-0005-0000-0000-0000656E0000}"/>
    <cellStyle name="Normal 2 3 33 3 10" xfId="28262" xr:uid="{00000000-0005-0000-0000-0000666E0000}"/>
    <cellStyle name="Normal 2 3 33 3 2" xfId="28263" xr:uid="{00000000-0005-0000-0000-0000676E0000}"/>
    <cellStyle name="Normal 2 3 33 3 3" xfId="28264" xr:uid="{00000000-0005-0000-0000-0000686E0000}"/>
    <cellStyle name="Normal 2 3 33 3 4" xfId="28265" xr:uid="{00000000-0005-0000-0000-0000696E0000}"/>
    <cellStyle name="Normal 2 3 33 3 5" xfId="28266" xr:uid="{00000000-0005-0000-0000-00006A6E0000}"/>
    <cellStyle name="Normal 2 3 33 3 6" xfId="28267" xr:uid="{00000000-0005-0000-0000-00006B6E0000}"/>
    <cellStyle name="Normal 2 3 33 3 7" xfId="28268" xr:uid="{00000000-0005-0000-0000-00006C6E0000}"/>
    <cellStyle name="Normal 2 3 33 3 8" xfId="28269" xr:uid="{00000000-0005-0000-0000-00006D6E0000}"/>
    <cellStyle name="Normal 2 3 33 3 9" xfId="28270" xr:uid="{00000000-0005-0000-0000-00006E6E0000}"/>
    <cellStyle name="Normal 2 3 33 4" xfId="28271" xr:uid="{00000000-0005-0000-0000-00006F6E0000}"/>
    <cellStyle name="Normal 2 3 33 4 10" xfId="28272" xr:uid="{00000000-0005-0000-0000-0000706E0000}"/>
    <cellStyle name="Normal 2 3 33 4 2" xfId="28273" xr:uid="{00000000-0005-0000-0000-0000716E0000}"/>
    <cellStyle name="Normal 2 3 33 4 3" xfId="28274" xr:uid="{00000000-0005-0000-0000-0000726E0000}"/>
    <cellStyle name="Normal 2 3 33 4 4" xfId="28275" xr:uid="{00000000-0005-0000-0000-0000736E0000}"/>
    <cellStyle name="Normal 2 3 33 4 5" xfId="28276" xr:uid="{00000000-0005-0000-0000-0000746E0000}"/>
    <cellStyle name="Normal 2 3 33 4 6" xfId="28277" xr:uid="{00000000-0005-0000-0000-0000756E0000}"/>
    <cellStyle name="Normal 2 3 33 4 7" xfId="28278" xr:uid="{00000000-0005-0000-0000-0000766E0000}"/>
    <cellStyle name="Normal 2 3 33 4 8" xfId="28279" xr:uid="{00000000-0005-0000-0000-0000776E0000}"/>
    <cellStyle name="Normal 2 3 33 4 9" xfId="28280" xr:uid="{00000000-0005-0000-0000-0000786E0000}"/>
    <cellStyle name="Normal 2 3 33 5" xfId="28281" xr:uid="{00000000-0005-0000-0000-0000796E0000}"/>
    <cellStyle name="Normal 2 3 33 5 10" xfId="28282" xr:uid="{00000000-0005-0000-0000-00007A6E0000}"/>
    <cellStyle name="Normal 2 3 33 5 2" xfId="28283" xr:uid="{00000000-0005-0000-0000-00007B6E0000}"/>
    <cellStyle name="Normal 2 3 33 5 3" xfId="28284" xr:uid="{00000000-0005-0000-0000-00007C6E0000}"/>
    <cellStyle name="Normal 2 3 33 5 4" xfId="28285" xr:uid="{00000000-0005-0000-0000-00007D6E0000}"/>
    <cellStyle name="Normal 2 3 33 5 5" xfId="28286" xr:uid="{00000000-0005-0000-0000-00007E6E0000}"/>
    <cellStyle name="Normal 2 3 33 5 6" xfId="28287" xr:uid="{00000000-0005-0000-0000-00007F6E0000}"/>
    <cellStyle name="Normal 2 3 33 5 7" xfId="28288" xr:uid="{00000000-0005-0000-0000-0000806E0000}"/>
    <cellStyle name="Normal 2 3 33 5 8" xfId="28289" xr:uid="{00000000-0005-0000-0000-0000816E0000}"/>
    <cellStyle name="Normal 2 3 33 5 9" xfId="28290" xr:uid="{00000000-0005-0000-0000-0000826E0000}"/>
    <cellStyle name="Normal 2 3 33 6" xfId="28291" xr:uid="{00000000-0005-0000-0000-0000836E0000}"/>
    <cellStyle name="Normal 2 3 33 7" xfId="28292" xr:uid="{00000000-0005-0000-0000-0000846E0000}"/>
    <cellStyle name="Normal 2 3 33 8" xfId="28293" xr:uid="{00000000-0005-0000-0000-0000856E0000}"/>
    <cellStyle name="Normal 2 3 33 9" xfId="28294" xr:uid="{00000000-0005-0000-0000-0000866E0000}"/>
    <cellStyle name="Normal 2 3 34" xfId="28295" xr:uid="{00000000-0005-0000-0000-0000876E0000}"/>
    <cellStyle name="Normal 2 3 34 10" xfId="28296" xr:uid="{00000000-0005-0000-0000-0000886E0000}"/>
    <cellStyle name="Normal 2 3 34 11" xfId="28297" xr:uid="{00000000-0005-0000-0000-0000896E0000}"/>
    <cellStyle name="Normal 2 3 34 12" xfId="28298" xr:uid="{00000000-0005-0000-0000-00008A6E0000}"/>
    <cellStyle name="Normal 2 3 34 13" xfId="28299" xr:uid="{00000000-0005-0000-0000-00008B6E0000}"/>
    <cellStyle name="Normal 2 3 34 14" xfId="28300" xr:uid="{00000000-0005-0000-0000-00008C6E0000}"/>
    <cellStyle name="Normal 2 3 34 2" xfId="28301" xr:uid="{00000000-0005-0000-0000-00008D6E0000}"/>
    <cellStyle name="Normal 2 3 34 2 10" xfId="28302" xr:uid="{00000000-0005-0000-0000-00008E6E0000}"/>
    <cellStyle name="Normal 2 3 34 2 2" xfId="28303" xr:uid="{00000000-0005-0000-0000-00008F6E0000}"/>
    <cellStyle name="Normal 2 3 34 2 3" xfId="28304" xr:uid="{00000000-0005-0000-0000-0000906E0000}"/>
    <cellStyle name="Normal 2 3 34 2 4" xfId="28305" xr:uid="{00000000-0005-0000-0000-0000916E0000}"/>
    <cellStyle name="Normal 2 3 34 2 5" xfId="28306" xr:uid="{00000000-0005-0000-0000-0000926E0000}"/>
    <cellStyle name="Normal 2 3 34 2 6" xfId="28307" xr:uid="{00000000-0005-0000-0000-0000936E0000}"/>
    <cellStyle name="Normal 2 3 34 2 7" xfId="28308" xr:uid="{00000000-0005-0000-0000-0000946E0000}"/>
    <cellStyle name="Normal 2 3 34 2 8" xfId="28309" xr:uid="{00000000-0005-0000-0000-0000956E0000}"/>
    <cellStyle name="Normal 2 3 34 2 9" xfId="28310" xr:uid="{00000000-0005-0000-0000-0000966E0000}"/>
    <cellStyle name="Normal 2 3 34 3" xfId="28311" xr:uid="{00000000-0005-0000-0000-0000976E0000}"/>
    <cellStyle name="Normal 2 3 34 3 10" xfId="28312" xr:uid="{00000000-0005-0000-0000-0000986E0000}"/>
    <cellStyle name="Normal 2 3 34 3 2" xfId="28313" xr:uid="{00000000-0005-0000-0000-0000996E0000}"/>
    <cellStyle name="Normal 2 3 34 3 3" xfId="28314" xr:uid="{00000000-0005-0000-0000-00009A6E0000}"/>
    <cellStyle name="Normal 2 3 34 3 4" xfId="28315" xr:uid="{00000000-0005-0000-0000-00009B6E0000}"/>
    <cellStyle name="Normal 2 3 34 3 5" xfId="28316" xr:uid="{00000000-0005-0000-0000-00009C6E0000}"/>
    <cellStyle name="Normal 2 3 34 3 6" xfId="28317" xr:uid="{00000000-0005-0000-0000-00009D6E0000}"/>
    <cellStyle name="Normal 2 3 34 3 7" xfId="28318" xr:uid="{00000000-0005-0000-0000-00009E6E0000}"/>
    <cellStyle name="Normal 2 3 34 3 8" xfId="28319" xr:uid="{00000000-0005-0000-0000-00009F6E0000}"/>
    <cellStyle name="Normal 2 3 34 3 9" xfId="28320" xr:uid="{00000000-0005-0000-0000-0000A06E0000}"/>
    <cellStyle name="Normal 2 3 34 4" xfId="28321" xr:uid="{00000000-0005-0000-0000-0000A16E0000}"/>
    <cellStyle name="Normal 2 3 34 4 10" xfId="28322" xr:uid="{00000000-0005-0000-0000-0000A26E0000}"/>
    <cellStyle name="Normal 2 3 34 4 2" xfId="28323" xr:uid="{00000000-0005-0000-0000-0000A36E0000}"/>
    <cellStyle name="Normal 2 3 34 4 3" xfId="28324" xr:uid="{00000000-0005-0000-0000-0000A46E0000}"/>
    <cellStyle name="Normal 2 3 34 4 4" xfId="28325" xr:uid="{00000000-0005-0000-0000-0000A56E0000}"/>
    <cellStyle name="Normal 2 3 34 4 5" xfId="28326" xr:uid="{00000000-0005-0000-0000-0000A66E0000}"/>
    <cellStyle name="Normal 2 3 34 4 6" xfId="28327" xr:uid="{00000000-0005-0000-0000-0000A76E0000}"/>
    <cellStyle name="Normal 2 3 34 4 7" xfId="28328" xr:uid="{00000000-0005-0000-0000-0000A86E0000}"/>
    <cellStyle name="Normal 2 3 34 4 8" xfId="28329" xr:uid="{00000000-0005-0000-0000-0000A96E0000}"/>
    <cellStyle name="Normal 2 3 34 4 9" xfId="28330" xr:uid="{00000000-0005-0000-0000-0000AA6E0000}"/>
    <cellStyle name="Normal 2 3 34 5" xfId="28331" xr:uid="{00000000-0005-0000-0000-0000AB6E0000}"/>
    <cellStyle name="Normal 2 3 34 5 10" xfId="28332" xr:uid="{00000000-0005-0000-0000-0000AC6E0000}"/>
    <cellStyle name="Normal 2 3 34 5 2" xfId="28333" xr:uid="{00000000-0005-0000-0000-0000AD6E0000}"/>
    <cellStyle name="Normal 2 3 34 5 3" xfId="28334" xr:uid="{00000000-0005-0000-0000-0000AE6E0000}"/>
    <cellStyle name="Normal 2 3 34 5 4" xfId="28335" xr:uid="{00000000-0005-0000-0000-0000AF6E0000}"/>
    <cellStyle name="Normal 2 3 34 5 5" xfId="28336" xr:uid="{00000000-0005-0000-0000-0000B06E0000}"/>
    <cellStyle name="Normal 2 3 34 5 6" xfId="28337" xr:uid="{00000000-0005-0000-0000-0000B16E0000}"/>
    <cellStyle name="Normal 2 3 34 5 7" xfId="28338" xr:uid="{00000000-0005-0000-0000-0000B26E0000}"/>
    <cellStyle name="Normal 2 3 34 5 8" xfId="28339" xr:uid="{00000000-0005-0000-0000-0000B36E0000}"/>
    <cellStyle name="Normal 2 3 34 5 9" xfId="28340" xr:uid="{00000000-0005-0000-0000-0000B46E0000}"/>
    <cellStyle name="Normal 2 3 34 6" xfId="28341" xr:uid="{00000000-0005-0000-0000-0000B56E0000}"/>
    <cellStyle name="Normal 2 3 34 7" xfId="28342" xr:uid="{00000000-0005-0000-0000-0000B66E0000}"/>
    <cellStyle name="Normal 2 3 34 8" xfId="28343" xr:uid="{00000000-0005-0000-0000-0000B76E0000}"/>
    <cellStyle name="Normal 2 3 34 9" xfId="28344" xr:uid="{00000000-0005-0000-0000-0000B86E0000}"/>
    <cellStyle name="Normal 2 3 35" xfId="28345" xr:uid="{00000000-0005-0000-0000-0000B96E0000}"/>
    <cellStyle name="Normal 2 3 35 10" xfId="28346" xr:uid="{00000000-0005-0000-0000-0000BA6E0000}"/>
    <cellStyle name="Normal 2 3 35 2" xfId="28347" xr:uid="{00000000-0005-0000-0000-0000BB6E0000}"/>
    <cellStyle name="Normal 2 3 35 3" xfId="28348" xr:uid="{00000000-0005-0000-0000-0000BC6E0000}"/>
    <cellStyle name="Normal 2 3 35 4" xfId="28349" xr:uid="{00000000-0005-0000-0000-0000BD6E0000}"/>
    <cellStyle name="Normal 2 3 35 5" xfId="28350" xr:uid="{00000000-0005-0000-0000-0000BE6E0000}"/>
    <cellStyle name="Normal 2 3 35 6" xfId="28351" xr:uid="{00000000-0005-0000-0000-0000BF6E0000}"/>
    <cellStyle name="Normal 2 3 35 7" xfId="28352" xr:uid="{00000000-0005-0000-0000-0000C06E0000}"/>
    <cellStyle name="Normal 2 3 35 8" xfId="28353" xr:uid="{00000000-0005-0000-0000-0000C16E0000}"/>
    <cellStyle name="Normal 2 3 35 9" xfId="28354" xr:uid="{00000000-0005-0000-0000-0000C26E0000}"/>
    <cellStyle name="Normal 2 3 36" xfId="28355" xr:uid="{00000000-0005-0000-0000-0000C36E0000}"/>
    <cellStyle name="Normal 2 3 36 10" xfId="28356" xr:uid="{00000000-0005-0000-0000-0000C46E0000}"/>
    <cellStyle name="Normal 2 3 36 2" xfId="28357" xr:uid="{00000000-0005-0000-0000-0000C56E0000}"/>
    <cellStyle name="Normal 2 3 36 3" xfId="28358" xr:uid="{00000000-0005-0000-0000-0000C66E0000}"/>
    <cellStyle name="Normal 2 3 36 4" xfId="28359" xr:uid="{00000000-0005-0000-0000-0000C76E0000}"/>
    <cellStyle name="Normal 2 3 36 5" xfId="28360" xr:uid="{00000000-0005-0000-0000-0000C86E0000}"/>
    <cellStyle name="Normal 2 3 36 6" xfId="28361" xr:uid="{00000000-0005-0000-0000-0000C96E0000}"/>
    <cellStyle name="Normal 2 3 36 7" xfId="28362" xr:uid="{00000000-0005-0000-0000-0000CA6E0000}"/>
    <cellStyle name="Normal 2 3 36 8" xfId="28363" xr:uid="{00000000-0005-0000-0000-0000CB6E0000}"/>
    <cellStyle name="Normal 2 3 36 9" xfId="28364" xr:uid="{00000000-0005-0000-0000-0000CC6E0000}"/>
    <cellStyle name="Normal 2 3 37" xfId="28365" xr:uid="{00000000-0005-0000-0000-0000CD6E0000}"/>
    <cellStyle name="Normal 2 3 37 10" xfId="28366" xr:uid="{00000000-0005-0000-0000-0000CE6E0000}"/>
    <cellStyle name="Normal 2 3 37 2" xfId="28367" xr:uid="{00000000-0005-0000-0000-0000CF6E0000}"/>
    <cellStyle name="Normal 2 3 37 3" xfId="28368" xr:uid="{00000000-0005-0000-0000-0000D06E0000}"/>
    <cellStyle name="Normal 2 3 37 4" xfId="28369" xr:uid="{00000000-0005-0000-0000-0000D16E0000}"/>
    <cellStyle name="Normal 2 3 37 5" xfId="28370" xr:uid="{00000000-0005-0000-0000-0000D26E0000}"/>
    <cellStyle name="Normal 2 3 37 6" xfId="28371" xr:uid="{00000000-0005-0000-0000-0000D36E0000}"/>
    <cellStyle name="Normal 2 3 37 7" xfId="28372" xr:uid="{00000000-0005-0000-0000-0000D46E0000}"/>
    <cellStyle name="Normal 2 3 37 8" xfId="28373" xr:uid="{00000000-0005-0000-0000-0000D56E0000}"/>
    <cellStyle name="Normal 2 3 37 9" xfId="28374" xr:uid="{00000000-0005-0000-0000-0000D66E0000}"/>
    <cellStyle name="Normal 2 3 38" xfId="28375" xr:uid="{00000000-0005-0000-0000-0000D76E0000}"/>
    <cellStyle name="Normal 2 3 38 10" xfId="28376" xr:uid="{00000000-0005-0000-0000-0000D86E0000}"/>
    <cellStyle name="Normal 2 3 38 2" xfId="28377" xr:uid="{00000000-0005-0000-0000-0000D96E0000}"/>
    <cellStyle name="Normal 2 3 38 3" xfId="28378" xr:uid="{00000000-0005-0000-0000-0000DA6E0000}"/>
    <cellStyle name="Normal 2 3 38 4" xfId="28379" xr:uid="{00000000-0005-0000-0000-0000DB6E0000}"/>
    <cellStyle name="Normal 2 3 38 5" xfId="28380" xr:uid="{00000000-0005-0000-0000-0000DC6E0000}"/>
    <cellStyle name="Normal 2 3 38 6" xfId="28381" xr:uid="{00000000-0005-0000-0000-0000DD6E0000}"/>
    <cellStyle name="Normal 2 3 38 7" xfId="28382" xr:uid="{00000000-0005-0000-0000-0000DE6E0000}"/>
    <cellStyle name="Normal 2 3 38 8" xfId="28383" xr:uid="{00000000-0005-0000-0000-0000DF6E0000}"/>
    <cellStyle name="Normal 2 3 38 9" xfId="28384" xr:uid="{00000000-0005-0000-0000-0000E06E0000}"/>
    <cellStyle name="Normal 2 3 39" xfId="28385" xr:uid="{00000000-0005-0000-0000-0000E16E0000}"/>
    <cellStyle name="Normal 2 3 4" xfId="28386" xr:uid="{00000000-0005-0000-0000-0000E26E0000}"/>
    <cellStyle name="Normal 2 3 4 10" xfId="28387" xr:uid="{00000000-0005-0000-0000-0000E36E0000}"/>
    <cellStyle name="Normal 2 3 4 11" xfId="28388" xr:uid="{00000000-0005-0000-0000-0000E46E0000}"/>
    <cellStyle name="Normal 2 3 4 12" xfId="28389" xr:uid="{00000000-0005-0000-0000-0000E56E0000}"/>
    <cellStyle name="Normal 2 3 4 13" xfId="28390" xr:uid="{00000000-0005-0000-0000-0000E66E0000}"/>
    <cellStyle name="Normal 2 3 4 14" xfId="28391" xr:uid="{00000000-0005-0000-0000-0000E76E0000}"/>
    <cellStyle name="Normal 2 3 4 15" xfId="28392" xr:uid="{00000000-0005-0000-0000-0000E86E0000}"/>
    <cellStyle name="Normal 2 3 4 16" xfId="28393" xr:uid="{00000000-0005-0000-0000-0000E96E0000}"/>
    <cellStyle name="Normal 2 3 4 2" xfId="28394" xr:uid="{00000000-0005-0000-0000-0000EA6E0000}"/>
    <cellStyle name="Normal 2 3 4 2 10" xfId="28395" xr:uid="{00000000-0005-0000-0000-0000EB6E0000}"/>
    <cellStyle name="Normal 2 3 4 2 2" xfId="28396" xr:uid="{00000000-0005-0000-0000-0000EC6E0000}"/>
    <cellStyle name="Normal 2 3 4 2 3" xfId="28397" xr:uid="{00000000-0005-0000-0000-0000ED6E0000}"/>
    <cellStyle name="Normal 2 3 4 2 4" xfId="28398" xr:uid="{00000000-0005-0000-0000-0000EE6E0000}"/>
    <cellStyle name="Normal 2 3 4 2 5" xfId="28399" xr:uid="{00000000-0005-0000-0000-0000EF6E0000}"/>
    <cellStyle name="Normal 2 3 4 2 6" xfId="28400" xr:uid="{00000000-0005-0000-0000-0000F06E0000}"/>
    <cellStyle name="Normal 2 3 4 2 7" xfId="28401" xr:uid="{00000000-0005-0000-0000-0000F16E0000}"/>
    <cellStyle name="Normal 2 3 4 2 8" xfId="28402" xr:uid="{00000000-0005-0000-0000-0000F26E0000}"/>
    <cellStyle name="Normal 2 3 4 2 9" xfId="28403" xr:uid="{00000000-0005-0000-0000-0000F36E0000}"/>
    <cellStyle name="Normal 2 3 4 3" xfId="28404" xr:uid="{00000000-0005-0000-0000-0000F46E0000}"/>
    <cellStyle name="Normal 2 3 4 3 10" xfId="28405" xr:uid="{00000000-0005-0000-0000-0000F56E0000}"/>
    <cellStyle name="Normal 2 3 4 3 2" xfId="28406" xr:uid="{00000000-0005-0000-0000-0000F66E0000}"/>
    <cellStyle name="Normal 2 3 4 3 3" xfId="28407" xr:uid="{00000000-0005-0000-0000-0000F76E0000}"/>
    <cellStyle name="Normal 2 3 4 3 4" xfId="28408" xr:uid="{00000000-0005-0000-0000-0000F86E0000}"/>
    <cellStyle name="Normal 2 3 4 3 5" xfId="28409" xr:uid="{00000000-0005-0000-0000-0000F96E0000}"/>
    <cellStyle name="Normal 2 3 4 3 6" xfId="28410" xr:uid="{00000000-0005-0000-0000-0000FA6E0000}"/>
    <cellStyle name="Normal 2 3 4 3 7" xfId="28411" xr:uid="{00000000-0005-0000-0000-0000FB6E0000}"/>
    <cellStyle name="Normal 2 3 4 3 8" xfId="28412" xr:uid="{00000000-0005-0000-0000-0000FC6E0000}"/>
    <cellStyle name="Normal 2 3 4 3 9" xfId="28413" xr:uid="{00000000-0005-0000-0000-0000FD6E0000}"/>
    <cellStyle name="Normal 2 3 4 4" xfId="28414" xr:uid="{00000000-0005-0000-0000-0000FE6E0000}"/>
    <cellStyle name="Normal 2 3 4 4 10" xfId="28415" xr:uid="{00000000-0005-0000-0000-0000FF6E0000}"/>
    <cellStyle name="Normal 2 3 4 4 2" xfId="28416" xr:uid="{00000000-0005-0000-0000-0000006F0000}"/>
    <cellStyle name="Normal 2 3 4 4 3" xfId="28417" xr:uid="{00000000-0005-0000-0000-0000016F0000}"/>
    <cellStyle name="Normal 2 3 4 4 4" xfId="28418" xr:uid="{00000000-0005-0000-0000-0000026F0000}"/>
    <cellStyle name="Normal 2 3 4 4 5" xfId="28419" xr:uid="{00000000-0005-0000-0000-0000036F0000}"/>
    <cellStyle name="Normal 2 3 4 4 6" xfId="28420" xr:uid="{00000000-0005-0000-0000-0000046F0000}"/>
    <cellStyle name="Normal 2 3 4 4 7" xfId="28421" xr:uid="{00000000-0005-0000-0000-0000056F0000}"/>
    <cellStyle name="Normal 2 3 4 4 8" xfId="28422" xr:uid="{00000000-0005-0000-0000-0000066F0000}"/>
    <cellStyle name="Normal 2 3 4 4 9" xfId="28423" xr:uid="{00000000-0005-0000-0000-0000076F0000}"/>
    <cellStyle name="Normal 2 3 4 5" xfId="28424" xr:uid="{00000000-0005-0000-0000-0000086F0000}"/>
    <cellStyle name="Normal 2 3 4 5 10" xfId="28425" xr:uid="{00000000-0005-0000-0000-0000096F0000}"/>
    <cellStyle name="Normal 2 3 4 5 2" xfId="28426" xr:uid="{00000000-0005-0000-0000-00000A6F0000}"/>
    <cellStyle name="Normal 2 3 4 5 3" xfId="28427" xr:uid="{00000000-0005-0000-0000-00000B6F0000}"/>
    <cellStyle name="Normal 2 3 4 5 4" xfId="28428" xr:uid="{00000000-0005-0000-0000-00000C6F0000}"/>
    <cellStyle name="Normal 2 3 4 5 5" xfId="28429" xr:uid="{00000000-0005-0000-0000-00000D6F0000}"/>
    <cellStyle name="Normal 2 3 4 5 6" xfId="28430" xr:uid="{00000000-0005-0000-0000-00000E6F0000}"/>
    <cellStyle name="Normal 2 3 4 5 7" xfId="28431" xr:uid="{00000000-0005-0000-0000-00000F6F0000}"/>
    <cellStyle name="Normal 2 3 4 5 8" xfId="28432" xr:uid="{00000000-0005-0000-0000-0000106F0000}"/>
    <cellStyle name="Normal 2 3 4 5 9" xfId="28433" xr:uid="{00000000-0005-0000-0000-0000116F0000}"/>
    <cellStyle name="Normal 2 3 4 6" xfId="28434" xr:uid="{00000000-0005-0000-0000-0000126F0000}"/>
    <cellStyle name="Normal 2 3 4 7" xfId="28435" xr:uid="{00000000-0005-0000-0000-0000136F0000}"/>
    <cellStyle name="Normal 2 3 4 8" xfId="28436" xr:uid="{00000000-0005-0000-0000-0000146F0000}"/>
    <cellStyle name="Normal 2 3 4 9" xfId="28437" xr:uid="{00000000-0005-0000-0000-0000156F0000}"/>
    <cellStyle name="Normal 2 3 40" xfId="28438" xr:uid="{00000000-0005-0000-0000-0000166F0000}"/>
    <cellStyle name="Normal 2 3 41" xfId="28439" xr:uid="{00000000-0005-0000-0000-0000176F0000}"/>
    <cellStyle name="Normal 2 3 42" xfId="28440" xr:uid="{00000000-0005-0000-0000-0000186F0000}"/>
    <cellStyle name="Normal 2 3 43" xfId="28441" xr:uid="{00000000-0005-0000-0000-0000196F0000}"/>
    <cellStyle name="Normal 2 3 44" xfId="28442" xr:uid="{00000000-0005-0000-0000-00001A6F0000}"/>
    <cellStyle name="Normal 2 3 45" xfId="28443" xr:uid="{00000000-0005-0000-0000-00001B6F0000}"/>
    <cellStyle name="Normal 2 3 46" xfId="28444" xr:uid="{00000000-0005-0000-0000-00001C6F0000}"/>
    <cellStyle name="Normal 2 3 47" xfId="28445" xr:uid="{00000000-0005-0000-0000-00001D6F0000}"/>
    <cellStyle name="Normal 2 3 48" xfId="28446" xr:uid="{00000000-0005-0000-0000-00001E6F0000}"/>
    <cellStyle name="Normal 2 3 49" xfId="28447" xr:uid="{00000000-0005-0000-0000-00001F6F0000}"/>
    <cellStyle name="Normal 2 3 5" xfId="28448" xr:uid="{00000000-0005-0000-0000-0000206F0000}"/>
    <cellStyle name="Normal 2 3 5 10" xfId="28449" xr:uid="{00000000-0005-0000-0000-0000216F0000}"/>
    <cellStyle name="Normal 2 3 5 11" xfId="28450" xr:uid="{00000000-0005-0000-0000-0000226F0000}"/>
    <cellStyle name="Normal 2 3 5 12" xfId="28451" xr:uid="{00000000-0005-0000-0000-0000236F0000}"/>
    <cellStyle name="Normal 2 3 5 13" xfId="28452" xr:uid="{00000000-0005-0000-0000-0000246F0000}"/>
    <cellStyle name="Normal 2 3 5 14" xfId="28453" xr:uid="{00000000-0005-0000-0000-0000256F0000}"/>
    <cellStyle name="Normal 2 3 5 15" xfId="28454" xr:uid="{00000000-0005-0000-0000-0000266F0000}"/>
    <cellStyle name="Normal 2 3 5 16" xfId="28455" xr:uid="{00000000-0005-0000-0000-0000276F0000}"/>
    <cellStyle name="Normal 2 3 5 2" xfId="28456" xr:uid="{00000000-0005-0000-0000-0000286F0000}"/>
    <cellStyle name="Normal 2 3 5 2 10" xfId="28457" xr:uid="{00000000-0005-0000-0000-0000296F0000}"/>
    <cellStyle name="Normal 2 3 5 2 11" xfId="28458" xr:uid="{00000000-0005-0000-0000-00002A6F0000}"/>
    <cellStyle name="Normal 2 3 5 2 12" xfId="28459" xr:uid="{00000000-0005-0000-0000-00002B6F0000}"/>
    <cellStyle name="Normal 2 3 5 2 2" xfId="28460" xr:uid="{00000000-0005-0000-0000-00002C6F0000}"/>
    <cellStyle name="Normal 2 3 5 2 3" xfId="28461" xr:uid="{00000000-0005-0000-0000-00002D6F0000}"/>
    <cellStyle name="Normal 2 3 5 2 4" xfId="28462" xr:uid="{00000000-0005-0000-0000-00002E6F0000}"/>
    <cellStyle name="Normal 2 3 5 2 5" xfId="28463" xr:uid="{00000000-0005-0000-0000-00002F6F0000}"/>
    <cellStyle name="Normal 2 3 5 2 6" xfId="28464" xr:uid="{00000000-0005-0000-0000-0000306F0000}"/>
    <cellStyle name="Normal 2 3 5 2 7" xfId="28465" xr:uid="{00000000-0005-0000-0000-0000316F0000}"/>
    <cellStyle name="Normal 2 3 5 2 8" xfId="28466" xr:uid="{00000000-0005-0000-0000-0000326F0000}"/>
    <cellStyle name="Normal 2 3 5 2 9" xfId="28467" xr:uid="{00000000-0005-0000-0000-0000336F0000}"/>
    <cellStyle name="Normal 2 3 5 3" xfId="28468" xr:uid="{00000000-0005-0000-0000-0000346F0000}"/>
    <cellStyle name="Normal 2 3 5 3 10" xfId="28469" xr:uid="{00000000-0005-0000-0000-0000356F0000}"/>
    <cellStyle name="Normal 2 3 5 3 2" xfId="28470" xr:uid="{00000000-0005-0000-0000-0000366F0000}"/>
    <cellStyle name="Normal 2 3 5 3 3" xfId="28471" xr:uid="{00000000-0005-0000-0000-0000376F0000}"/>
    <cellStyle name="Normal 2 3 5 3 4" xfId="28472" xr:uid="{00000000-0005-0000-0000-0000386F0000}"/>
    <cellStyle name="Normal 2 3 5 3 5" xfId="28473" xr:uid="{00000000-0005-0000-0000-0000396F0000}"/>
    <cellStyle name="Normal 2 3 5 3 6" xfId="28474" xr:uid="{00000000-0005-0000-0000-00003A6F0000}"/>
    <cellStyle name="Normal 2 3 5 3 7" xfId="28475" xr:uid="{00000000-0005-0000-0000-00003B6F0000}"/>
    <cellStyle name="Normal 2 3 5 3 8" xfId="28476" xr:uid="{00000000-0005-0000-0000-00003C6F0000}"/>
    <cellStyle name="Normal 2 3 5 3 9" xfId="28477" xr:uid="{00000000-0005-0000-0000-00003D6F0000}"/>
    <cellStyle name="Normal 2 3 5 4" xfId="28478" xr:uid="{00000000-0005-0000-0000-00003E6F0000}"/>
    <cellStyle name="Normal 2 3 5 4 10" xfId="28479" xr:uid="{00000000-0005-0000-0000-00003F6F0000}"/>
    <cellStyle name="Normal 2 3 5 4 2" xfId="28480" xr:uid="{00000000-0005-0000-0000-0000406F0000}"/>
    <cellStyle name="Normal 2 3 5 4 3" xfId="28481" xr:uid="{00000000-0005-0000-0000-0000416F0000}"/>
    <cellStyle name="Normal 2 3 5 4 4" xfId="28482" xr:uid="{00000000-0005-0000-0000-0000426F0000}"/>
    <cellStyle name="Normal 2 3 5 4 5" xfId="28483" xr:uid="{00000000-0005-0000-0000-0000436F0000}"/>
    <cellStyle name="Normal 2 3 5 4 6" xfId="28484" xr:uid="{00000000-0005-0000-0000-0000446F0000}"/>
    <cellStyle name="Normal 2 3 5 4 7" xfId="28485" xr:uid="{00000000-0005-0000-0000-0000456F0000}"/>
    <cellStyle name="Normal 2 3 5 4 8" xfId="28486" xr:uid="{00000000-0005-0000-0000-0000466F0000}"/>
    <cellStyle name="Normal 2 3 5 4 9" xfId="28487" xr:uid="{00000000-0005-0000-0000-0000476F0000}"/>
    <cellStyle name="Normal 2 3 5 5" xfId="28488" xr:uid="{00000000-0005-0000-0000-0000486F0000}"/>
    <cellStyle name="Normal 2 3 5 5 10" xfId="28489" xr:uid="{00000000-0005-0000-0000-0000496F0000}"/>
    <cellStyle name="Normal 2 3 5 5 2" xfId="28490" xr:uid="{00000000-0005-0000-0000-00004A6F0000}"/>
    <cellStyle name="Normal 2 3 5 5 3" xfId="28491" xr:uid="{00000000-0005-0000-0000-00004B6F0000}"/>
    <cellStyle name="Normal 2 3 5 5 4" xfId="28492" xr:uid="{00000000-0005-0000-0000-00004C6F0000}"/>
    <cellStyle name="Normal 2 3 5 5 5" xfId="28493" xr:uid="{00000000-0005-0000-0000-00004D6F0000}"/>
    <cellStyle name="Normal 2 3 5 5 6" xfId="28494" xr:uid="{00000000-0005-0000-0000-00004E6F0000}"/>
    <cellStyle name="Normal 2 3 5 5 7" xfId="28495" xr:uid="{00000000-0005-0000-0000-00004F6F0000}"/>
    <cellStyle name="Normal 2 3 5 5 8" xfId="28496" xr:uid="{00000000-0005-0000-0000-0000506F0000}"/>
    <cellStyle name="Normal 2 3 5 5 9" xfId="28497" xr:uid="{00000000-0005-0000-0000-0000516F0000}"/>
    <cellStyle name="Normal 2 3 5 6" xfId="28498" xr:uid="{00000000-0005-0000-0000-0000526F0000}"/>
    <cellStyle name="Normal 2 3 5 7" xfId="28499" xr:uid="{00000000-0005-0000-0000-0000536F0000}"/>
    <cellStyle name="Normal 2 3 5 8" xfId="28500" xr:uid="{00000000-0005-0000-0000-0000546F0000}"/>
    <cellStyle name="Normal 2 3 5 9" xfId="28501" xr:uid="{00000000-0005-0000-0000-0000556F0000}"/>
    <cellStyle name="Normal 2 3 50" xfId="25384" xr:uid="{00000000-0005-0000-0000-000028630000}"/>
    <cellStyle name="Normal 2 3 6" xfId="28502" xr:uid="{00000000-0005-0000-0000-0000566F0000}"/>
    <cellStyle name="Normal 2 3 6 10" xfId="28503" xr:uid="{00000000-0005-0000-0000-0000576F0000}"/>
    <cellStyle name="Normal 2 3 6 11" xfId="28504" xr:uid="{00000000-0005-0000-0000-0000586F0000}"/>
    <cellStyle name="Normal 2 3 6 12" xfId="28505" xr:uid="{00000000-0005-0000-0000-0000596F0000}"/>
    <cellStyle name="Normal 2 3 6 13" xfId="28506" xr:uid="{00000000-0005-0000-0000-00005A6F0000}"/>
    <cellStyle name="Normal 2 3 6 14" xfId="28507" xr:uid="{00000000-0005-0000-0000-00005B6F0000}"/>
    <cellStyle name="Normal 2 3 6 2" xfId="28508" xr:uid="{00000000-0005-0000-0000-00005C6F0000}"/>
    <cellStyle name="Normal 2 3 6 2 10" xfId="28509" xr:uid="{00000000-0005-0000-0000-00005D6F0000}"/>
    <cellStyle name="Normal 2 3 6 2 2" xfId="28510" xr:uid="{00000000-0005-0000-0000-00005E6F0000}"/>
    <cellStyle name="Normal 2 3 6 2 3" xfId="28511" xr:uid="{00000000-0005-0000-0000-00005F6F0000}"/>
    <cellStyle name="Normal 2 3 6 2 4" xfId="28512" xr:uid="{00000000-0005-0000-0000-0000606F0000}"/>
    <cellStyle name="Normal 2 3 6 2 5" xfId="28513" xr:uid="{00000000-0005-0000-0000-0000616F0000}"/>
    <cellStyle name="Normal 2 3 6 2 6" xfId="28514" xr:uid="{00000000-0005-0000-0000-0000626F0000}"/>
    <cellStyle name="Normal 2 3 6 2 7" xfId="28515" xr:uid="{00000000-0005-0000-0000-0000636F0000}"/>
    <cellStyle name="Normal 2 3 6 2 8" xfId="28516" xr:uid="{00000000-0005-0000-0000-0000646F0000}"/>
    <cellStyle name="Normal 2 3 6 2 9" xfId="28517" xr:uid="{00000000-0005-0000-0000-0000656F0000}"/>
    <cellStyle name="Normal 2 3 6 3" xfId="28518" xr:uid="{00000000-0005-0000-0000-0000666F0000}"/>
    <cellStyle name="Normal 2 3 6 3 10" xfId="28519" xr:uid="{00000000-0005-0000-0000-0000676F0000}"/>
    <cellStyle name="Normal 2 3 6 3 2" xfId="28520" xr:uid="{00000000-0005-0000-0000-0000686F0000}"/>
    <cellStyle name="Normal 2 3 6 3 3" xfId="28521" xr:uid="{00000000-0005-0000-0000-0000696F0000}"/>
    <cellStyle name="Normal 2 3 6 3 4" xfId="28522" xr:uid="{00000000-0005-0000-0000-00006A6F0000}"/>
    <cellStyle name="Normal 2 3 6 3 5" xfId="28523" xr:uid="{00000000-0005-0000-0000-00006B6F0000}"/>
    <cellStyle name="Normal 2 3 6 3 6" xfId="28524" xr:uid="{00000000-0005-0000-0000-00006C6F0000}"/>
    <cellStyle name="Normal 2 3 6 3 7" xfId="28525" xr:uid="{00000000-0005-0000-0000-00006D6F0000}"/>
    <cellStyle name="Normal 2 3 6 3 8" xfId="28526" xr:uid="{00000000-0005-0000-0000-00006E6F0000}"/>
    <cellStyle name="Normal 2 3 6 3 9" xfId="28527" xr:uid="{00000000-0005-0000-0000-00006F6F0000}"/>
    <cellStyle name="Normal 2 3 6 4" xfId="28528" xr:uid="{00000000-0005-0000-0000-0000706F0000}"/>
    <cellStyle name="Normal 2 3 6 4 10" xfId="28529" xr:uid="{00000000-0005-0000-0000-0000716F0000}"/>
    <cellStyle name="Normal 2 3 6 4 2" xfId="28530" xr:uid="{00000000-0005-0000-0000-0000726F0000}"/>
    <cellStyle name="Normal 2 3 6 4 3" xfId="28531" xr:uid="{00000000-0005-0000-0000-0000736F0000}"/>
    <cellStyle name="Normal 2 3 6 4 4" xfId="28532" xr:uid="{00000000-0005-0000-0000-0000746F0000}"/>
    <cellStyle name="Normal 2 3 6 4 5" xfId="28533" xr:uid="{00000000-0005-0000-0000-0000756F0000}"/>
    <cellStyle name="Normal 2 3 6 4 6" xfId="28534" xr:uid="{00000000-0005-0000-0000-0000766F0000}"/>
    <cellStyle name="Normal 2 3 6 4 7" xfId="28535" xr:uid="{00000000-0005-0000-0000-0000776F0000}"/>
    <cellStyle name="Normal 2 3 6 4 8" xfId="28536" xr:uid="{00000000-0005-0000-0000-0000786F0000}"/>
    <cellStyle name="Normal 2 3 6 4 9" xfId="28537" xr:uid="{00000000-0005-0000-0000-0000796F0000}"/>
    <cellStyle name="Normal 2 3 6 5" xfId="28538" xr:uid="{00000000-0005-0000-0000-00007A6F0000}"/>
    <cellStyle name="Normal 2 3 6 5 10" xfId="28539" xr:uid="{00000000-0005-0000-0000-00007B6F0000}"/>
    <cellStyle name="Normal 2 3 6 5 2" xfId="28540" xr:uid="{00000000-0005-0000-0000-00007C6F0000}"/>
    <cellStyle name="Normal 2 3 6 5 3" xfId="28541" xr:uid="{00000000-0005-0000-0000-00007D6F0000}"/>
    <cellStyle name="Normal 2 3 6 5 4" xfId="28542" xr:uid="{00000000-0005-0000-0000-00007E6F0000}"/>
    <cellStyle name="Normal 2 3 6 5 5" xfId="28543" xr:uid="{00000000-0005-0000-0000-00007F6F0000}"/>
    <cellStyle name="Normal 2 3 6 5 6" xfId="28544" xr:uid="{00000000-0005-0000-0000-0000806F0000}"/>
    <cellStyle name="Normal 2 3 6 5 7" xfId="28545" xr:uid="{00000000-0005-0000-0000-0000816F0000}"/>
    <cellStyle name="Normal 2 3 6 5 8" xfId="28546" xr:uid="{00000000-0005-0000-0000-0000826F0000}"/>
    <cellStyle name="Normal 2 3 6 5 9" xfId="28547" xr:uid="{00000000-0005-0000-0000-0000836F0000}"/>
    <cellStyle name="Normal 2 3 6 6" xfId="28548" xr:uid="{00000000-0005-0000-0000-0000846F0000}"/>
    <cellStyle name="Normal 2 3 6 7" xfId="28549" xr:uid="{00000000-0005-0000-0000-0000856F0000}"/>
    <cellStyle name="Normal 2 3 6 8" xfId="28550" xr:uid="{00000000-0005-0000-0000-0000866F0000}"/>
    <cellStyle name="Normal 2 3 6 9" xfId="28551" xr:uid="{00000000-0005-0000-0000-0000876F0000}"/>
    <cellStyle name="Normal 2 3 7" xfId="28552" xr:uid="{00000000-0005-0000-0000-0000886F0000}"/>
    <cellStyle name="Normal 2 3 7 10" xfId="28553" xr:uid="{00000000-0005-0000-0000-0000896F0000}"/>
    <cellStyle name="Normal 2 3 7 11" xfId="28554" xr:uid="{00000000-0005-0000-0000-00008A6F0000}"/>
    <cellStyle name="Normal 2 3 7 12" xfId="28555" xr:uid="{00000000-0005-0000-0000-00008B6F0000}"/>
    <cellStyle name="Normal 2 3 7 13" xfId="28556" xr:uid="{00000000-0005-0000-0000-00008C6F0000}"/>
    <cellStyle name="Normal 2 3 7 14" xfId="28557" xr:uid="{00000000-0005-0000-0000-00008D6F0000}"/>
    <cellStyle name="Normal 2 3 7 2" xfId="28558" xr:uid="{00000000-0005-0000-0000-00008E6F0000}"/>
    <cellStyle name="Normal 2 3 7 2 10" xfId="28559" xr:uid="{00000000-0005-0000-0000-00008F6F0000}"/>
    <cellStyle name="Normal 2 3 7 2 2" xfId="28560" xr:uid="{00000000-0005-0000-0000-0000906F0000}"/>
    <cellStyle name="Normal 2 3 7 2 3" xfId="28561" xr:uid="{00000000-0005-0000-0000-0000916F0000}"/>
    <cellStyle name="Normal 2 3 7 2 4" xfId="28562" xr:uid="{00000000-0005-0000-0000-0000926F0000}"/>
    <cellStyle name="Normal 2 3 7 2 5" xfId="28563" xr:uid="{00000000-0005-0000-0000-0000936F0000}"/>
    <cellStyle name="Normal 2 3 7 2 6" xfId="28564" xr:uid="{00000000-0005-0000-0000-0000946F0000}"/>
    <cellStyle name="Normal 2 3 7 2 7" xfId="28565" xr:uid="{00000000-0005-0000-0000-0000956F0000}"/>
    <cellStyle name="Normal 2 3 7 2 8" xfId="28566" xr:uid="{00000000-0005-0000-0000-0000966F0000}"/>
    <cellStyle name="Normal 2 3 7 2 9" xfId="28567" xr:uid="{00000000-0005-0000-0000-0000976F0000}"/>
    <cellStyle name="Normal 2 3 7 3" xfId="28568" xr:uid="{00000000-0005-0000-0000-0000986F0000}"/>
    <cellStyle name="Normal 2 3 7 3 10" xfId="28569" xr:uid="{00000000-0005-0000-0000-0000996F0000}"/>
    <cellStyle name="Normal 2 3 7 3 2" xfId="28570" xr:uid="{00000000-0005-0000-0000-00009A6F0000}"/>
    <cellStyle name="Normal 2 3 7 3 3" xfId="28571" xr:uid="{00000000-0005-0000-0000-00009B6F0000}"/>
    <cellStyle name="Normal 2 3 7 3 4" xfId="28572" xr:uid="{00000000-0005-0000-0000-00009C6F0000}"/>
    <cellStyle name="Normal 2 3 7 3 5" xfId="28573" xr:uid="{00000000-0005-0000-0000-00009D6F0000}"/>
    <cellStyle name="Normal 2 3 7 3 6" xfId="28574" xr:uid="{00000000-0005-0000-0000-00009E6F0000}"/>
    <cellStyle name="Normal 2 3 7 3 7" xfId="28575" xr:uid="{00000000-0005-0000-0000-00009F6F0000}"/>
    <cellStyle name="Normal 2 3 7 3 8" xfId="28576" xr:uid="{00000000-0005-0000-0000-0000A06F0000}"/>
    <cellStyle name="Normal 2 3 7 3 9" xfId="28577" xr:uid="{00000000-0005-0000-0000-0000A16F0000}"/>
    <cellStyle name="Normal 2 3 7 4" xfId="28578" xr:uid="{00000000-0005-0000-0000-0000A26F0000}"/>
    <cellStyle name="Normal 2 3 7 4 10" xfId="28579" xr:uid="{00000000-0005-0000-0000-0000A36F0000}"/>
    <cellStyle name="Normal 2 3 7 4 2" xfId="28580" xr:uid="{00000000-0005-0000-0000-0000A46F0000}"/>
    <cellStyle name="Normal 2 3 7 4 3" xfId="28581" xr:uid="{00000000-0005-0000-0000-0000A56F0000}"/>
    <cellStyle name="Normal 2 3 7 4 4" xfId="28582" xr:uid="{00000000-0005-0000-0000-0000A66F0000}"/>
    <cellStyle name="Normal 2 3 7 4 5" xfId="28583" xr:uid="{00000000-0005-0000-0000-0000A76F0000}"/>
    <cellStyle name="Normal 2 3 7 4 6" xfId="28584" xr:uid="{00000000-0005-0000-0000-0000A86F0000}"/>
    <cellStyle name="Normal 2 3 7 4 7" xfId="28585" xr:uid="{00000000-0005-0000-0000-0000A96F0000}"/>
    <cellStyle name="Normal 2 3 7 4 8" xfId="28586" xr:uid="{00000000-0005-0000-0000-0000AA6F0000}"/>
    <cellStyle name="Normal 2 3 7 4 9" xfId="28587" xr:uid="{00000000-0005-0000-0000-0000AB6F0000}"/>
    <cellStyle name="Normal 2 3 7 5" xfId="28588" xr:uid="{00000000-0005-0000-0000-0000AC6F0000}"/>
    <cellStyle name="Normal 2 3 7 5 10" xfId="28589" xr:uid="{00000000-0005-0000-0000-0000AD6F0000}"/>
    <cellStyle name="Normal 2 3 7 5 2" xfId="28590" xr:uid="{00000000-0005-0000-0000-0000AE6F0000}"/>
    <cellStyle name="Normal 2 3 7 5 3" xfId="28591" xr:uid="{00000000-0005-0000-0000-0000AF6F0000}"/>
    <cellStyle name="Normal 2 3 7 5 4" xfId="28592" xr:uid="{00000000-0005-0000-0000-0000B06F0000}"/>
    <cellStyle name="Normal 2 3 7 5 5" xfId="28593" xr:uid="{00000000-0005-0000-0000-0000B16F0000}"/>
    <cellStyle name="Normal 2 3 7 5 6" xfId="28594" xr:uid="{00000000-0005-0000-0000-0000B26F0000}"/>
    <cellStyle name="Normal 2 3 7 5 7" xfId="28595" xr:uid="{00000000-0005-0000-0000-0000B36F0000}"/>
    <cellStyle name="Normal 2 3 7 5 8" xfId="28596" xr:uid="{00000000-0005-0000-0000-0000B46F0000}"/>
    <cellStyle name="Normal 2 3 7 5 9" xfId="28597" xr:uid="{00000000-0005-0000-0000-0000B56F0000}"/>
    <cellStyle name="Normal 2 3 7 6" xfId="28598" xr:uid="{00000000-0005-0000-0000-0000B66F0000}"/>
    <cellStyle name="Normal 2 3 7 7" xfId="28599" xr:uid="{00000000-0005-0000-0000-0000B76F0000}"/>
    <cellStyle name="Normal 2 3 7 8" xfId="28600" xr:uid="{00000000-0005-0000-0000-0000B86F0000}"/>
    <cellStyle name="Normal 2 3 7 9" xfId="28601" xr:uid="{00000000-0005-0000-0000-0000B96F0000}"/>
    <cellStyle name="Normal 2 3 8" xfId="28602" xr:uid="{00000000-0005-0000-0000-0000BA6F0000}"/>
    <cellStyle name="Normal 2 3 8 10" xfId="28603" xr:uid="{00000000-0005-0000-0000-0000BB6F0000}"/>
    <cellStyle name="Normal 2 3 8 11" xfId="28604" xr:uid="{00000000-0005-0000-0000-0000BC6F0000}"/>
    <cellStyle name="Normal 2 3 8 12" xfId="28605" xr:uid="{00000000-0005-0000-0000-0000BD6F0000}"/>
    <cellStyle name="Normal 2 3 8 13" xfId="28606" xr:uid="{00000000-0005-0000-0000-0000BE6F0000}"/>
    <cellStyle name="Normal 2 3 8 14" xfId="28607" xr:uid="{00000000-0005-0000-0000-0000BF6F0000}"/>
    <cellStyle name="Normal 2 3 8 2" xfId="28608" xr:uid="{00000000-0005-0000-0000-0000C06F0000}"/>
    <cellStyle name="Normal 2 3 8 2 10" xfId="28609" xr:uid="{00000000-0005-0000-0000-0000C16F0000}"/>
    <cellStyle name="Normal 2 3 8 2 2" xfId="28610" xr:uid="{00000000-0005-0000-0000-0000C26F0000}"/>
    <cellStyle name="Normal 2 3 8 2 3" xfId="28611" xr:uid="{00000000-0005-0000-0000-0000C36F0000}"/>
    <cellStyle name="Normal 2 3 8 2 4" xfId="28612" xr:uid="{00000000-0005-0000-0000-0000C46F0000}"/>
    <cellStyle name="Normal 2 3 8 2 5" xfId="28613" xr:uid="{00000000-0005-0000-0000-0000C56F0000}"/>
    <cellStyle name="Normal 2 3 8 2 6" xfId="28614" xr:uid="{00000000-0005-0000-0000-0000C66F0000}"/>
    <cellStyle name="Normal 2 3 8 2 7" xfId="28615" xr:uid="{00000000-0005-0000-0000-0000C76F0000}"/>
    <cellStyle name="Normal 2 3 8 2 8" xfId="28616" xr:uid="{00000000-0005-0000-0000-0000C86F0000}"/>
    <cellStyle name="Normal 2 3 8 2 9" xfId="28617" xr:uid="{00000000-0005-0000-0000-0000C96F0000}"/>
    <cellStyle name="Normal 2 3 8 3" xfId="28618" xr:uid="{00000000-0005-0000-0000-0000CA6F0000}"/>
    <cellStyle name="Normal 2 3 8 3 10" xfId="28619" xr:uid="{00000000-0005-0000-0000-0000CB6F0000}"/>
    <cellStyle name="Normal 2 3 8 3 2" xfId="28620" xr:uid="{00000000-0005-0000-0000-0000CC6F0000}"/>
    <cellStyle name="Normal 2 3 8 3 3" xfId="28621" xr:uid="{00000000-0005-0000-0000-0000CD6F0000}"/>
    <cellStyle name="Normal 2 3 8 3 4" xfId="28622" xr:uid="{00000000-0005-0000-0000-0000CE6F0000}"/>
    <cellStyle name="Normal 2 3 8 3 5" xfId="28623" xr:uid="{00000000-0005-0000-0000-0000CF6F0000}"/>
    <cellStyle name="Normal 2 3 8 3 6" xfId="28624" xr:uid="{00000000-0005-0000-0000-0000D06F0000}"/>
    <cellStyle name="Normal 2 3 8 3 7" xfId="28625" xr:uid="{00000000-0005-0000-0000-0000D16F0000}"/>
    <cellStyle name="Normal 2 3 8 3 8" xfId="28626" xr:uid="{00000000-0005-0000-0000-0000D26F0000}"/>
    <cellStyle name="Normal 2 3 8 3 9" xfId="28627" xr:uid="{00000000-0005-0000-0000-0000D36F0000}"/>
    <cellStyle name="Normal 2 3 8 4" xfId="28628" xr:uid="{00000000-0005-0000-0000-0000D46F0000}"/>
    <cellStyle name="Normal 2 3 8 4 10" xfId="28629" xr:uid="{00000000-0005-0000-0000-0000D56F0000}"/>
    <cellStyle name="Normal 2 3 8 4 2" xfId="28630" xr:uid="{00000000-0005-0000-0000-0000D66F0000}"/>
    <cellStyle name="Normal 2 3 8 4 3" xfId="28631" xr:uid="{00000000-0005-0000-0000-0000D76F0000}"/>
    <cellStyle name="Normal 2 3 8 4 4" xfId="28632" xr:uid="{00000000-0005-0000-0000-0000D86F0000}"/>
    <cellStyle name="Normal 2 3 8 4 5" xfId="28633" xr:uid="{00000000-0005-0000-0000-0000D96F0000}"/>
    <cellStyle name="Normal 2 3 8 4 6" xfId="28634" xr:uid="{00000000-0005-0000-0000-0000DA6F0000}"/>
    <cellStyle name="Normal 2 3 8 4 7" xfId="28635" xr:uid="{00000000-0005-0000-0000-0000DB6F0000}"/>
    <cellStyle name="Normal 2 3 8 4 8" xfId="28636" xr:uid="{00000000-0005-0000-0000-0000DC6F0000}"/>
    <cellStyle name="Normal 2 3 8 4 9" xfId="28637" xr:uid="{00000000-0005-0000-0000-0000DD6F0000}"/>
    <cellStyle name="Normal 2 3 8 5" xfId="28638" xr:uid="{00000000-0005-0000-0000-0000DE6F0000}"/>
    <cellStyle name="Normal 2 3 8 5 10" xfId="28639" xr:uid="{00000000-0005-0000-0000-0000DF6F0000}"/>
    <cellStyle name="Normal 2 3 8 5 2" xfId="28640" xr:uid="{00000000-0005-0000-0000-0000E06F0000}"/>
    <cellStyle name="Normal 2 3 8 5 3" xfId="28641" xr:uid="{00000000-0005-0000-0000-0000E16F0000}"/>
    <cellStyle name="Normal 2 3 8 5 4" xfId="28642" xr:uid="{00000000-0005-0000-0000-0000E26F0000}"/>
    <cellStyle name="Normal 2 3 8 5 5" xfId="28643" xr:uid="{00000000-0005-0000-0000-0000E36F0000}"/>
    <cellStyle name="Normal 2 3 8 5 6" xfId="28644" xr:uid="{00000000-0005-0000-0000-0000E46F0000}"/>
    <cellStyle name="Normal 2 3 8 5 7" xfId="28645" xr:uid="{00000000-0005-0000-0000-0000E56F0000}"/>
    <cellStyle name="Normal 2 3 8 5 8" xfId="28646" xr:uid="{00000000-0005-0000-0000-0000E66F0000}"/>
    <cellStyle name="Normal 2 3 8 5 9" xfId="28647" xr:uid="{00000000-0005-0000-0000-0000E76F0000}"/>
    <cellStyle name="Normal 2 3 8 6" xfId="28648" xr:uid="{00000000-0005-0000-0000-0000E86F0000}"/>
    <cellStyle name="Normal 2 3 8 7" xfId="28649" xr:uid="{00000000-0005-0000-0000-0000E96F0000}"/>
    <cellStyle name="Normal 2 3 8 8" xfId="28650" xr:uid="{00000000-0005-0000-0000-0000EA6F0000}"/>
    <cellStyle name="Normal 2 3 8 9" xfId="28651" xr:uid="{00000000-0005-0000-0000-0000EB6F0000}"/>
    <cellStyle name="Normal 2 3 9" xfId="28652" xr:uid="{00000000-0005-0000-0000-0000EC6F0000}"/>
    <cellStyle name="Normal 2 3 9 10" xfId="28653" xr:uid="{00000000-0005-0000-0000-0000ED6F0000}"/>
    <cellStyle name="Normal 2 3 9 11" xfId="28654" xr:uid="{00000000-0005-0000-0000-0000EE6F0000}"/>
    <cellStyle name="Normal 2 3 9 12" xfId="28655" xr:uid="{00000000-0005-0000-0000-0000EF6F0000}"/>
    <cellStyle name="Normal 2 3 9 13" xfId="28656" xr:uid="{00000000-0005-0000-0000-0000F06F0000}"/>
    <cellStyle name="Normal 2 3 9 14" xfId="28657" xr:uid="{00000000-0005-0000-0000-0000F16F0000}"/>
    <cellStyle name="Normal 2 3 9 2" xfId="28658" xr:uid="{00000000-0005-0000-0000-0000F26F0000}"/>
    <cellStyle name="Normal 2 3 9 2 10" xfId="28659" xr:uid="{00000000-0005-0000-0000-0000F36F0000}"/>
    <cellStyle name="Normal 2 3 9 2 2" xfId="28660" xr:uid="{00000000-0005-0000-0000-0000F46F0000}"/>
    <cellStyle name="Normal 2 3 9 2 3" xfId="28661" xr:uid="{00000000-0005-0000-0000-0000F56F0000}"/>
    <cellStyle name="Normal 2 3 9 2 4" xfId="28662" xr:uid="{00000000-0005-0000-0000-0000F66F0000}"/>
    <cellStyle name="Normal 2 3 9 2 5" xfId="28663" xr:uid="{00000000-0005-0000-0000-0000F76F0000}"/>
    <cellStyle name="Normal 2 3 9 2 6" xfId="28664" xr:uid="{00000000-0005-0000-0000-0000F86F0000}"/>
    <cellStyle name="Normal 2 3 9 2 7" xfId="28665" xr:uid="{00000000-0005-0000-0000-0000F96F0000}"/>
    <cellStyle name="Normal 2 3 9 2 8" xfId="28666" xr:uid="{00000000-0005-0000-0000-0000FA6F0000}"/>
    <cellStyle name="Normal 2 3 9 2 9" xfId="28667" xr:uid="{00000000-0005-0000-0000-0000FB6F0000}"/>
    <cellStyle name="Normal 2 3 9 3" xfId="28668" xr:uid="{00000000-0005-0000-0000-0000FC6F0000}"/>
    <cellStyle name="Normal 2 3 9 3 10" xfId="28669" xr:uid="{00000000-0005-0000-0000-0000FD6F0000}"/>
    <cellStyle name="Normal 2 3 9 3 2" xfId="28670" xr:uid="{00000000-0005-0000-0000-0000FE6F0000}"/>
    <cellStyle name="Normal 2 3 9 3 3" xfId="28671" xr:uid="{00000000-0005-0000-0000-0000FF6F0000}"/>
    <cellStyle name="Normal 2 3 9 3 4" xfId="28672" xr:uid="{00000000-0005-0000-0000-000000700000}"/>
    <cellStyle name="Normal 2 3 9 3 5" xfId="28673" xr:uid="{00000000-0005-0000-0000-000001700000}"/>
    <cellStyle name="Normal 2 3 9 3 6" xfId="28674" xr:uid="{00000000-0005-0000-0000-000002700000}"/>
    <cellStyle name="Normal 2 3 9 3 7" xfId="28675" xr:uid="{00000000-0005-0000-0000-000003700000}"/>
    <cellStyle name="Normal 2 3 9 3 8" xfId="28676" xr:uid="{00000000-0005-0000-0000-000004700000}"/>
    <cellStyle name="Normal 2 3 9 3 9" xfId="28677" xr:uid="{00000000-0005-0000-0000-000005700000}"/>
    <cellStyle name="Normal 2 3 9 4" xfId="28678" xr:uid="{00000000-0005-0000-0000-000006700000}"/>
    <cellStyle name="Normal 2 3 9 4 10" xfId="28679" xr:uid="{00000000-0005-0000-0000-000007700000}"/>
    <cellStyle name="Normal 2 3 9 4 2" xfId="28680" xr:uid="{00000000-0005-0000-0000-000008700000}"/>
    <cellStyle name="Normal 2 3 9 4 3" xfId="28681" xr:uid="{00000000-0005-0000-0000-000009700000}"/>
    <cellStyle name="Normal 2 3 9 4 4" xfId="28682" xr:uid="{00000000-0005-0000-0000-00000A700000}"/>
    <cellStyle name="Normal 2 3 9 4 5" xfId="28683" xr:uid="{00000000-0005-0000-0000-00000B700000}"/>
    <cellStyle name="Normal 2 3 9 4 6" xfId="28684" xr:uid="{00000000-0005-0000-0000-00000C700000}"/>
    <cellStyle name="Normal 2 3 9 4 7" xfId="28685" xr:uid="{00000000-0005-0000-0000-00000D700000}"/>
    <cellStyle name="Normal 2 3 9 4 8" xfId="28686" xr:uid="{00000000-0005-0000-0000-00000E700000}"/>
    <cellStyle name="Normal 2 3 9 4 9" xfId="28687" xr:uid="{00000000-0005-0000-0000-00000F700000}"/>
    <cellStyle name="Normal 2 3 9 5" xfId="28688" xr:uid="{00000000-0005-0000-0000-000010700000}"/>
    <cellStyle name="Normal 2 3 9 5 10" xfId="28689" xr:uid="{00000000-0005-0000-0000-000011700000}"/>
    <cellStyle name="Normal 2 3 9 5 2" xfId="28690" xr:uid="{00000000-0005-0000-0000-000012700000}"/>
    <cellStyle name="Normal 2 3 9 5 3" xfId="28691" xr:uid="{00000000-0005-0000-0000-000013700000}"/>
    <cellStyle name="Normal 2 3 9 5 4" xfId="28692" xr:uid="{00000000-0005-0000-0000-000014700000}"/>
    <cellStyle name="Normal 2 3 9 5 5" xfId="28693" xr:uid="{00000000-0005-0000-0000-000015700000}"/>
    <cellStyle name="Normal 2 3 9 5 6" xfId="28694" xr:uid="{00000000-0005-0000-0000-000016700000}"/>
    <cellStyle name="Normal 2 3 9 5 7" xfId="28695" xr:uid="{00000000-0005-0000-0000-000017700000}"/>
    <cellStyle name="Normal 2 3 9 5 8" xfId="28696" xr:uid="{00000000-0005-0000-0000-000018700000}"/>
    <cellStyle name="Normal 2 3 9 5 9" xfId="28697" xr:uid="{00000000-0005-0000-0000-000019700000}"/>
    <cellStyle name="Normal 2 3 9 6" xfId="28698" xr:uid="{00000000-0005-0000-0000-00001A700000}"/>
    <cellStyle name="Normal 2 3 9 7" xfId="28699" xr:uid="{00000000-0005-0000-0000-00001B700000}"/>
    <cellStyle name="Normal 2 3 9 8" xfId="28700" xr:uid="{00000000-0005-0000-0000-00001C700000}"/>
    <cellStyle name="Normal 2 3 9 9" xfId="28701" xr:uid="{00000000-0005-0000-0000-00001D700000}"/>
    <cellStyle name="Normal 2 30" xfId="28702" xr:uid="{00000000-0005-0000-0000-00001E700000}"/>
    <cellStyle name="Normal 2 30 2" xfId="28703" xr:uid="{00000000-0005-0000-0000-00001F700000}"/>
    <cellStyle name="Normal 2 30 3" xfId="28704" xr:uid="{00000000-0005-0000-0000-000020700000}"/>
    <cellStyle name="Normal 2 31" xfId="28705" xr:uid="{00000000-0005-0000-0000-000021700000}"/>
    <cellStyle name="Normal 2 31 2" xfId="28706" xr:uid="{00000000-0005-0000-0000-000022700000}"/>
    <cellStyle name="Normal 2 31 2 2" xfId="28707" xr:uid="{00000000-0005-0000-0000-000023700000}"/>
    <cellStyle name="Normal 2 31 3" xfId="28708" xr:uid="{00000000-0005-0000-0000-000024700000}"/>
    <cellStyle name="Normal 2 32" xfId="28709" xr:uid="{00000000-0005-0000-0000-000025700000}"/>
    <cellStyle name="Normal 2 32 2" xfId="28710" xr:uid="{00000000-0005-0000-0000-000026700000}"/>
    <cellStyle name="Normal 2 32 2 2" xfId="28711" xr:uid="{00000000-0005-0000-0000-000027700000}"/>
    <cellStyle name="Normal 2 32 3" xfId="28712" xr:uid="{00000000-0005-0000-0000-000028700000}"/>
    <cellStyle name="Normal 2 33" xfId="28713" xr:uid="{00000000-0005-0000-0000-000029700000}"/>
    <cellStyle name="Normal 2 33 2" xfId="28714" xr:uid="{00000000-0005-0000-0000-00002A700000}"/>
    <cellStyle name="Normal 2 33 2 2" xfId="28715" xr:uid="{00000000-0005-0000-0000-00002B700000}"/>
    <cellStyle name="Normal 2 33 2 2 2" xfId="28716" xr:uid="{00000000-0005-0000-0000-00002C700000}"/>
    <cellStyle name="Normal 2 33 2 2 2 2" xfId="28717" xr:uid="{00000000-0005-0000-0000-00002D700000}"/>
    <cellStyle name="Normal 2 33 2 3" xfId="28718" xr:uid="{00000000-0005-0000-0000-00002E700000}"/>
    <cellStyle name="Normal 2 33 2 4" xfId="28719" xr:uid="{00000000-0005-0000-0000-00002F700000}"/>
    <cellStyle name="Normal 2 33 3" xfId="28720" xr:uid="{00000000-0005-0000-0000-000030700000}"/>
    <cellStyle name="Normal 2 33 3 2" xfId="28721" xr:uid="{00000000-0005-0000-0000-000031700000}"/>
    <cellStyle name="Normal 2 33 3 3" xfId="28722" xr:uid="{00000000-0005-0000-0000-000032700000}"/>
    <cellStyle name="Normal 2 33 4" xfId="28723" xr:uid="{00000000-0005-0000-0000-000033700000}"/>
    <cellStyle name="Normal 2 34" xfId="28724" xr:uid="{00000000-0005-0000-0000-000034700000}"/>
    <cellStyle name="Normal 2 34 2" xfId="28725" xr:uid="{00000000-0005-0000-0000-000035700000}"/>
    <cellStyle name="Normal 2 34 2 2" xfId="28726" xr:uid="{00000000-0005-0000-0000-000036700000}"/>
    <cellStyle name="Normal 2 34 3" xfId="28727" xr:uid="{00000000-0005-0000-0000-000037700000}"/>
    <cellStyle name="Normal 2 35" xfId="28728" xr:uid="{00000000-0005-0000-0000-000038700000}"/>
    <cellStyle name="Normal 2 35 2" xfId="28729" xr:uid="{00000000-0005-0000-0000-000039700000}"/>
    <cellStyle name="Normal 2 35 2 2" xfId="28730" xr:uid="{00000000-0005-0000-0000-00003A700000}"/>
    <cellStyle name="Normal 2 35 3" xfId="28731" xr:uid="{00000000-0005-0000-0000-00003B700000}"/>
    <cellStyle name="Normal 2 36" xfId="28732" xr:uid="{00000000-0005-0000-0000-00003C700000}"/>
    <cellStyle name="Normal 2 36 2" xfId="28733" xr:uid="{00000000-0005-0000-0000-00003D700000}"/>
    <cellStyle name="Normal 2 36 2 2" xfId="28734" xr:uid="{00000000-0005-0000-0000-00003E700000}"/>
    <cellStyle name="Normal 2 36 3" xfId="28735" xr:uid="{00000000-0005-0000-0000-00003F700000}"/>
    <cellStyle name="Normal 2 37" xfId="28736" xr:uid="{00000000-0005-0000-0000-000040700000}"/>
    <cellStyle name="Normal 2 37 2" xfId="28737" xr:uid="{00000000-0005-0000-0000-000041700000}"/>
    <cellStyle name="Normal 2 37 3" xfId="28738" xr:uid="{00000000-0005-0000-0000-000042700000}"/>
    <cellStyle name="Normal 2 38" xfId="28739" xr:uid="{00000000-0005-0000-0000-000043700000}"/>
    <cellStyle name="Normal 2 38 2" xfId="28740" xr:uid="{00000000-0005-0000-0000-000044700000}"/>
    <cellStyle name="Normal 2 38 3" xfId="28741" xr:uid="{00000000-0005-0000-0000-000045700000}"/>
    <cellStyle name="Normal 2 39" xfId="28742" xr:uid="{00000000-0005-0000-0000-000046700000}"/>
    <cellStyle name="Normal 2 39 2" xfId="28743" xr:uid="{00000000-0005-0000-0000-000047700000}"/>
    <cellStyle name="Normal 2 39 3" xfId="28744" xr:uid="{00000000-0005-0000-0000-000048700000}"/>
    <cellStyle name="Normal 2 4" xfId="11" xr:uid="{00000000-0005-0000-0000-00000B000000}"/>
    <cellStyle name="Normal 2 4 10" xfId="28745" xr:uid="{00000000-0005-0000-0000-000049700000}"/>
    <cellStyle name="Normal 2 4 11" xfId="28746" xr:uid="{00000000-0005-0000-0000-00004A700000}"/>
    <cellStyle name="Normal 2 4 12" xfId="28747" xr:uid="{00000000-0005-0000-0000-00004B700000}"/>
    <cellStyle name="Normal 2 4 13" xfId="28748" xr:uid="{00000000-0005-0000-0000-00004C700000}"/>
    <cellStyle name="Normal 2 4 14" xfId="28749" xr:uid="{00000000-0005-0000-0000-00004D700000}"/>
    <cellStyle name="Normal 2 4 15" xfId="28750" xr:uid="{00000000-0005-0000-0000-00004E700000}"/>
    <cellStyle name="Normal 2 4 16" xfId="28751" xr:uid="{00000000-0005-0000-0000-00004F700000}"/>
    <cellStyle name="Normal 2 4 17" xfId="28752" xr:uid="{00000000-0005-0000-0000-000050700000}"/>
    <cellStyle name="Normal 2 4 18" xfId="28753" xr:uid="{00000000-0005-0000-0000-000051700000}"/>
    <cellStyle name="Normal 2 4 19" xfId="28754" xr:uid="{00000000-0005-0000-0000-000052700000}"/>
    <cellStyle name="Normal 2 4 2" xfId="56" xr:uid="{00000000-0005-0000-0000-000038000000}"/>
    <cellStyle name="Normal 2 4 2 10" xfId="28756" xr:uid="{00000000-0005-0000-0000-000054700000}"/>
    <cellStyle name="Normal 2 4 2 11" xfId="28757" xr:uid="{00000000-0005-0000-0000-000055700000}"/>
    <cellStyle name="Normal 2 4 2 12" xfId="28758" xr:uid="{00000000-0005-0000-0000-000056700000}"/>
    <cellStyle name="Normal 2 4 2 13" xfId="28759" xr:uid="{00000000-0005-0000-0000-000057700000}"/>
    <cellStyle name="Normal 2 4 2 14" xfId="28760" xr:uid="{00000000-0005-0000-0000-000058700000}"/>
    <cellStyle name="Normal 2 4 2 15" xfId="28761" xr:uid="{00000000-0005-0000-0000-000059700000}"/>
    <cellStyle name="Normal 2 4 2 16" xfId="28762" xr:uid="{00000000-0005-0000-0000-00005A700000}"/>
    <cellStyle name="Normal 2 4 2 17" xfId="28763" xr:uid="{00000000-0005-0000-0000-00005B700000}"/>
    <cellStyle name="Normal 2 4 2 18" xfId="28764" xr:uid="{00000000-0005-0000-0000-00005C700000}"/>
    <cellStyle name="Normal 2 4 2 18 2" xfId="28765" xr:uid="{00000000-0005-0000-0000-00005D700000}"/>
    <cellStyle name="Normal 2 4 2 18 2 2" xfId="28766" xr:uid="{00000000-0005-0000-0000-00005E700000}"/>
    <cellStyle name="Normal 2 4 2 18 2 2 2" xfId="28767" xr:uid="{00000000-0005-0000-0000-00005F700000}"/>
    <cellStyle name="Normal 2 4 2 18 2 2 2 2" xfId="28768" xr:uid="{00000000-0005-0000-0000-000060700000}"/>
    <cellStyle name="Normal 2 4 2 18 2 3" xfId="28769" xr:uid="{00000000-0005-0000-0000-000061700000}"/>
    <cellStyle name="Normal 2 4 2 18 3" xfId="28770" xr:uid="{00000000-0005-0000-0000-000062700000}"/>
    <cellStyle name="Normal 2 4 2 18 3 2" xfId="28771" xr:uid="{00000000-0005-0000-0000-000063700000}"/>
    <cellStyle name="Normal 2 4 2 19" xfId="28772" xr:uid="{00000000-0005-0000-0000-000064700000}"/>
    <cellStyle name="Normal 2 4 2 2" xfId="28773" xr:uid="{00000000-0005-0000-0000-000065700000}"/>
    <cellStyle name="Normal 2 4 2 2 2" xfId="28774" xr:uid="{00000000-0005-0000-0000-000066700000}"/>
    <cellStyle name="Normal 2 4 2 20" xfId="28775" xr:uid="{00000000-0005-0000-0000-000067700000}"/>
    <cellStyle name="Normal 2 4 2 21" xfId="28755" xr:uid="{00000000-0005-0000-0000-000053700000}"/>
    <cellStyle name="Normal 2 4 2 3" xfId="28776" xr:uid="{00000000-0005-0000-0000-000068700000}"/>
    <cellStyle name="Normal 2 4 2 4" xfId="28777" xr:uid="{00000000-0005-0000-0000-000069700000}"/>
    <cellStyle name="Normal 2 4 2 5" xfId="28778" xr:uid="{00000000-0005-0000-0000-00006A700000}"/>
    <cellStyle name="Normal 2 4 2 6" xfId="28779" xr:uid="{00000000-0005-0000-0000-00006B700000}"/>
    <cellStyle name="Normal 2 4 2 7" xfId="28780" xr:uid="{00000000-0005-0000-0000-00006C700000}"/>
    <cellStyle name="Normal 2 4 2 8" xfId="28781" xr:uid="{00000000-0005-0000-0000-00006D700000}"/>
    <cellStyle name="Normal 2 4 2 9" xfId="28782" xr:uid="{00000000-0005-0000-0000-00006E700000}"/>
    <cellStyle name="Normal 2 4 3" xfId="28783" xr:uid="{00000000-0005-0000-0000-00006F700000}"/>
    <cellStyle name="Normal 2 4 3 2" xfId="28784" xr:uid="{00000000-0005-0000-0000-000070700000}"/>
    <cellStyle name="Normal 2 4 3 3" xfId="28785" xr:uid="{00000000-0005-0000-0000-000071700000}"/>
    <cellStyle name="Normal 2 4 4" xfId="28786" xr:uid="{00000000-0005-0000-0000-000072700000}"/>
    <cellStyle name="Normal 2 4 4 2" xfId="28787" xr:uid="{00000000-0005-0000-0000-000073700000}"/>
    <cellStyle name="Normal 2 4 4 3" xfId="28788" xr:uid="{00000000-0005-0000-0000-000074700000}"/>
    <cellStyle name="Normal 2 4 5" xfId="28789" xr:uid="{00000000-0005-0000-0000-000075700000}"/>
    <cellStyle name="Normal 2 4 5 2" xfId="28790" xr:uid="{00000000-0005-0000-0000-000076700000}"/>
    <cellStyle name="Normal 2 4 6" xfId="28791" xr:uid="{00000000-0005-0000-0000-000077700000}"/>
    <cellStyle name="Normal 2 4 6 2" xfId="28792" xr:uid="{00000000-0005-0000-0000-000078700000}"/>
    <cellStyle name="Normal 2 4 7" xfId="28793" xr:uid="{00000000-0005-0000-0000-000079700000}"/>
    <cellStyle name="Normal 2 4 8" xfId="28794" xr:uid="{00000000-0005-0000-0000-00007A700000}"/>
    <cellStyle name="Normal 2 4 9" xfId="28795" xr:uid="{00000000-0005-0000-0000-00007B700000}"/>
    <cellStyle name="Normal 2 40" xfId="28796" xr:uid="{00000000-0005-0000-0000-00007C700000}"/>
    <cellStyle name="Normal 2 40 2" xfId="28797" xr:uid="{00000000-0005-0000-0000-00007D700000}"/>
    <cellStyle name="Normal 2 40 3" xfId="28798" xr:uid="{00000000-0005-0000-0000-00007E700000}"/>
    <cellStyle name="Normal 2 41" xfId="20" xr:uid="{00000000-0005-0000-0000-000014000000}"/>
    <cellStyle name="Normal 2 41 2" xfId="28799" xr:uid="{00000000-0005-0000-0000-00007F700000}"/>
    <cellStyle name="Normal 2 41 2 2" xfId="28800" xr:uid="{00000000-0005-0000-0000-000080700000}"/>
    <cellStyle name="Normal 2 41 3" xfId="28801" xr:uid="{00000000-0005-0000-0000-000081700000}"/>
    <cellStyle name="Normal 2 41 4" xfId="28802" xr:uid="{00000000-0005-0000-0000-000082700000}"/>
    <cellStyle name="Normal 2 41 5" xfId="28803" xr:uid="{00000000-0005-0000-0000-000083700000}"/>
    <cellStyle name="Normal 2 41 6" xfId="28804" xr:uid="{00000000-0005-0000-0000-000084700000}"/>
    <cellStyle name="Normal 2 41 7" xfId="28805" xr:uid="{00000000-0005-0000-0000-000085700000}"/>
    <cellStyle name="Normal 2 41 8" xfId="28806" xr:uid="{00000000-0005-0000-0000-000086700000}"/>
    <cellStyle name="Normal 2 41 8 2" xfId="28807" xr:uid="{00000000-0005-0000-0000-000087700000}"/>
    <cellStyle name="Normal 2 41 9" xfId="28808" xr:uid="{00000000-0005-0000-0000-000088700000}"/>
    <cellStyle name="Normal 2 42" xfId="28809" xr:uid="{00000000-0005-0000-0000-000089700000}"/>
    <cellStyle name="Normal 2 42 2" xfId="28810" xr:uid="{00000000-0005-0000-0000-00008A700000}"/>
    <cellStyle name="Normal 2 42 3" xfId="28811" xr:uid="{00000000-0005-0000-0000-00008B700000}"/>
    <cellStyle name="Normal 2 42 4" xfId="28812" xr:uid="{00000000-0005-0000-0000-00008C700000}"/>
    <cellStyle name="Normal 2 42 5" xfId="28813" xr:uid="{00000000-0005-0000-0000-00008D700000}"/>
    <cellStyle name="Normal 2 42 6" xfId="28814" xr:uid="{00000000-0005-0000-0000-00008E700000}"/>
    <cellStyle name="Normal 2 42 7" xfId="28815" xr:uid="{00000000-0005-0000-0000-00008F700000}"/>
    <cellStyle name="Normal 2 42 8" xfId="28816" xr:uid="{00000000-0005-0000-0000-000090700000}"/>
    <cellStyle name="Normal 2 43" xfId="28817" xr:uid="{00000000-0005-0000-0000-000091700000}"/>
    <cellStyle name="Normal 2 43 2" xfId="28818" xr:uid="{00000000-0005-0000-0000-000092700000}"/>
    <cellStyle name="Normal 2 43 3" xfId="28819" xr:uid="{00000000-0005-0000-0000-000093700000}"/>
    <cellStyle name="Normal 2 44" xfId="28820" xr:uid="{00000000-0005-0000-0000-000094700000}"/>
    <cellStyle name="Normal 2 44 2" xfId="28821" xr:uid="{00000000-0005-0000-0000-000095700000}"/>
    <cellStyle name="Normal 2 44 3" xfId="28822" xr:uid="{00000000-0005-0000-0000-000096700000}"/>
    <cellStyle name="Normal 2 45" xfId="28823" xr:uid="{00000000-0005-0000-0000-000097700000}"/>
    <cellStyle name="Normal 2 45 2" xfId="28824" xr:uid="{00000000-0005-0000-0000-000098700000}"/>
    <cellStyle name="Normal 2 45 3" xfId="28825" xr:uid="{00000000-0005-0000-0000-000099700000}"/>
    <cellStyle name="Normal 2 46" xfId="28826" xr:uid="{00000000-0005-0000-0000-00009A700000}"/>
    <cellStyle name="Normal 2 46 2" xfId="28827" xr:uid="{00000000-0005-0000-0000-00009B700000}"/>
    <cellStyle name="Normal 2 46 3" xfId="28828" xr:uid="{00000000-0005-0000-0000-00009C700000}"/>
    <cellStyle name="Normal 2 47" xfId="28829" xr:uid="{00000000-0005-0000-0000-00009D700000}"/>
    <cellStyle name="Normal 2 47 2" xfId="28830" xr:uid="{00000000-0005-0000-0000-00009E700000}"/>
    <cellStyle name="Normal 2 47 3" xfId="28831" xr:uid="{00000000-0005-0000-0000-00009F700000}"/>
    <cellStyle name="Normal 2 48" xfId="28832" xr:uid="{00000000-0005-0000-0000-0000A0700000}"/>
    <cellStyle name="Normal 2 48 2" xfId="28833" xr:uid="{00000000-0005-0000-0000-0000A1700000}"/>
    <cellStyle name="Normal 2 48 3" xfId="28834" xr:uid="{00000000-0005-0000-0000-0000A2700000}"/>
    <cellStyle name="Normal 2 49" xfId="28835" xr:uid="{00000000-0005-0000-0000-0000A3700000}"/>
    <cellStyle name="Normal 2 49 2" xfId="28836" xr:uid="{00000000-0005-0000-0000-0000A4700000}"/>
    <cellStyle name="Normal 2 49 3" xfId="28837" xr:uid="{00000000-0005-0000-0000-0000A5700000}"/>
    <cellStyle name="Normal 2 5" xfId="33" xr:uid="{00000000-0005-0000-0000-000021000000}"/>
    <cellStyle name="Normal 2 5 10" xfId="28839" xr:uid="{00000000-0005-0000-0000-0000A7700000}"/>
    <cellStyle name="Normal 2 5 11" xfId="28840" xr:uid="{00000000-0005-0000-0000-0000A8700000}"/>
    <cellStyle name="Normal 2 5 12" xfId="28841" xr:uid="{00000000-0005-0000-0000-0000A9700000}"/>
    <cellStyle name="Normal 2 5 13" xfId="28842" xr:uid="{00000000-0005-0000-0000-0000AA700000}"/>
    <cellStyle name="Normal 2 5 14" xfId="28843" xr:uid="{00000000-0005-0000-0000-0000AB700000}"/>
    <cellStyle name="Normal 2 5 15" xfId="28844" xr:uid="{00000000-0005-0000-0000-0000AC700000}"/>
    <cellStyle name="Normal 2 5 16" xfId="28845" xr:uid="{00000000-0005-0000-0000-0000AD700000}"/>
    <cellStyle name="Normal 2 5 17" xfId="28846" xr:uid="{00000000-0005-0000-0000-0000AE700000}"/>
    <cellStyle name="Normal 2 5 18" xfId="28847" xr:uid="{00000000-0005-0000-0000-0000AF700000}"/>
    <cellStyle name="Normal 2 5 19" xfId="28848" xr:uid="{00000000-0005-0000-0000-0000B0700000}"/>
    <cellStyle name="Normal 2 5 2" xfId="28849" xr:uid="{00000000-0005-0000-0000-0000B1700000}"/>
    <cellStyle name="Normal 2 5 2 10" xfId="28850" xr:uid="{00000000-0005-0000-0000-0000B2700000}"/>
    <cellStyle name="Normal 2 5 2 11" xfId="28851" xr:uid="{00000000-0005-0000-0000-0000B3700000}"/>
    <cellStyle name="Normal 2 5 2 12" xfId="28852" xr:uid="{00000000-0005-0000-0000-0000B4700000}"/>
    <cellStyle name="Normal 2 5 2 13" xfId="28853" xr:uid="{00000000-0005-0000-0000-0000B5700000}"/>
    <cellStyle name="Normal 2 5 2 14" xfId="28854" xr:uid="{00000000-0005-0000-0000-0000B6700000}"/>
    <cellStyle name="Normal 2 5 2 15" xfId="28855" xr:uid="{00000000-0005-0000-0000-0000B7700000}"/>
    <cellStyle name="Normal 2 5 2 16" xfId="28856" xr:uid="{00000000-0005-0000-0000-0000B8700000}"/>
    <cellStyle name="Normal 2 5 2 17" xfId="28857" xr:uid="{00000000-0005-0000-0000-0000B9700000}"/>
    <cellStyle name="Normal 2 5 2 18" xfId="28858" xr:uid="{00000000-0005-0000-0000-0000BA700000}"/>
    <cellStyle name="Normal 2 5 2 19" xfId="28859" xr:uid="{00000000-0005-0000-0000-0000BB700000}"/>
    <cellStyle name="Normal 2 5 2 2" xfId="28860" xr:uid="{00000000-0005-0000-0000-0000BC700000}"/>
    <cellStyle name="Normal 2 5 2 2 10" xfId="28861" xr:uid="{00000000-0005-0000-0000-0000BD700000}"/>
    <cellStyle name="Normal 2 5 2 2 11" xfId="28862" xr:uid="{00000000-0005-0000-0000-0000BE700000}"/>
    <cellStyle name="Normal 2 5 2 2 12" xfId="28863" xr:uid="{00000000-0005-0000-0000-0000BF700000}"/>
    <cellStyle name="Normal 2 5 2 2 13" xfId="28864" xr:uid="{00000000-0005-0000-0000-0000C0700000}"/>
    <cellStyle name="Normal 2 5 2 2 14" xfId="28865" xr:uid="{00000000-0005-0000-0000-0000C1700000}"/>
    <cellStyle name="Normal 2 5 2 2 15" xfId="28866" xr:uid="{00000000-0005-0000-0000-0000C2700000}"/>
    <cellStyle name="Normal 2 5 2 2 16" xfId="28867" xr:uid="{00000000-0005-0000-0000-0000C3700000}"/>
    <cellStyle name="Normal 2 5 2 2 17" xfId="28868" xr:uid="{00000000-0005-0000-0000-0000C4700000}"/>
    <cellStyle name="Normal 2 5 2 2 18" xfId="28869" xr:uid="{00000000-0005-0000-0000-0000C5700000}"/>
    <cellStyle name="Normal 2 5 2 2 19" xfId="28870" xr:uid="{00000000-0005-0000-0000-0000C6700000}"/>
    <cellStyle name="Normal 2 5 2 2 2" xfId="28871" xr:uid="{00000000-0005-0000-0000-0000C7700000}"/>
    <cellStyle name="Normal 2 5 2 2 20" xfId="28872" xr:uid="{00000000-0005-0000-0000-0000C8700000}"/>
    <cellStyle name="Normal 2 5 2 2 3" xfId="28873" xr:uid="{00000000-0005-0000-0000-0000C9700000}"/>
    <cellStyle name="Normal 2 5 2 2 4" xfId="28874" xr:uid="{00000000-0005-0000-0000-0000CA700000}"/>
    <cellStyle name="Normal 2 5 2 2 5" xfId="28875" xr:uid="{00000000-0005-0000-0000-0000CB700000}"/>
    <cellStyle name="Normal 2 5 2 2 6" xfId="28876" xr:uid="{00000000-0005-0000-0000-0000CC700000}"/>
    <cellStyle name="Normal 2 5 2 2 7" xfId="28877" xr:uid="{00000000-0005-0000-0000-0000CD700000}"/>
    <cellStyle name="Normal 2 5 2 2 8" xfId="28878" xr:uid="{00000000-0005-0000-0000-0000CE700000}"/>
    <cellStyle name="Normal 2 5 2 2 9" xfId="28879" xr:uid="{00000000-0005-0000-0000-0000CF700000}"/>
    <cellStyle name="Normal 2 5 2 20" xfId="28880" xr:uid="{00000000-0005-0000-0000-0000D0700000}"/>
    <cellStyle name="Normal 2 5 2 21" xfId="28881" xr:uid="{00000000-0005-0000-0000-0000D1700000}"/>
    <cellStyle name="Normal 2 5 2 22" xfId="28882" xr:uid="{00000000-0005-0000-0000-0000D2700000}"/>
    <cellStyle name="Normal 2 5 2 23" xfId="28883" xr:uid="{00000000-0005-0000-0000-0000D3700000}"/>
    <cellStyle name="Normal 2 5 2 3" xfId="28884" xr:uid="{00000000-0005-0000-0000-0000D4700000}"/>
    <cellStyle name="Normal 2 5 2 4" xfId="28885" xr:uid="{00000000-0005-0000-0000-0000D5700000}"/>
    <cellStyle name="Normal 2 5 2 5" xfId="28886" xr:uid="{00000000-0005-0000-0000-0000D6700000}"/>
    <cellStyle name="Normal 2 5 2 6" xfId="28887" xr:uid="{00000000-0005-0000-0000-0000D7700000}"/>
    <cellStyle name="Normal 2 5 2 7" xfId="28888" xr:uid="{00000000-0005-0000-0000-0000D8700000}"/>
    <cellStyle name="Normal 2 5 2 8" xfId="28889" xr:uid="{00000000-0005-0000-0000-0000D9700000}"/>
    <cellStyle name="Normal 2 5 2 9" xfId="28890" xr:uid="{00000000-0005-0000-0000-0000DA700000}"/>
    <cellStyle name="Normal 2 5 20" xfId="28891" xr:uid="{00000000-0005-0000-0000-0000DB700000}"/>
    <cellStyle name="Normal 2 5 21" xfId="28892" xr:uid="{00000000-0005-0000-0000-0000DC700000}"/>
    <cellStyle name="Normal 2 5 22" xfId="28893" xr:uid="{00000000-0005-0000-0000-0000DD700000}"/>
    <cellStyle name="Normal 2 5 23" xfId="28894" xr:uid="{00000000-0005-0000-0000-0000DE700000}"/>
    <cellStyle name="Normal 2 5 24" xfId="28895" xr:uid="{00000000-0005-0000-0000-0000DF700000}"/>
    <cellStyle name="Normal 2 5 25" xfId="28896" xr:uid="{00000000-0005-0000-0000-0000E0700000}"/>
    <cellStyle name="Normal 2 5 26" xfId="28897" xr:uid="{00000000-0005-0000-0000-0000E1700000}"/>
    <cellStyle name="Normal 2 5 27" xfId="28898" xr:uid="{00000000-0005-0000-0000-0000E2700000}"/>
    <cellStyle name="Normal 2 5 28" xfId="28899" xr:uid="{00000000-0005-0000-0000-0000E3700000}"/>
    <cellStyle name="Normal 2 5 29" xfId="28900" xr:uid="{00000000-0005-0000-0000-0000E4700000}"/>
    <cellStyle name="Normal 2 5 3" xfId="28901" xr:uid="{00000000-0005-0000-0000-0000E5700000}"/>
    <cellStyle name="Normal 2 5 3 2" xfId="28902" xr:uid="{00000000-0005-0000-0000-0000E6700000}"/>
    <cellStyle name="Normal 2 5 3 3" xfId="28903" xr:uid="{00000000-0005-0000-0000-0000E7700000}"/>
    <cellStyle name="Normal 2 5 3 4" xfId="28904" xr:uid="{00000000-0005-0000-0000-0000E8700000}"/>
    <cellStyle name="Normal 2 5 30" xfId="28905" xr:uid="{00000000-0005-0000-0000-0000E9700000}"/>
    <cellStyle name="Normal 2 5 31" xfId="28906" xr:uid="{00000000-0005-0000-0000-0000EA700000}"/>
    <cellStyle name="Normal 2 5 32" xfId="28907" xr:uid="{00000000-0005-0000-0000-0000EB700000}"/>
    <cellStyle name="Normal 2 5 33" xfId="28908" xr:uid="{00000000-0005-0000-0000-0000EC700000}"/>
    <cellStyle name="Normal 2 5 34" xfId="28909" xr:uid="{00000000-0005-0000-0000-0000ED700000}"/>
    <cellStyle name="Normal 2 5 35" xfId="28910" xr:uid="{00000000-0005-0000-0000-0000EE700000}"/>
    <cellStyle name="Normal 2 5 36" xfId="28838" xr:uid="{00000000-0005-0000-0000-0000A6700000}"/>
    <cellStyle name="Normal 2 5 4" xfId="28911" xr:uid="{00000000-0005-0000-0000-0000EF700000}"/>
    <cellStyle name="Normal 2 5 4 2" xfId="28912" xr:uid="{00000000-0005-0000-0000-0000F0700000}"/>
    <cellStyle name="Normal 2 5 5" xfId="28913" xr:uid="{00000000-0005-0000-0000-0000F1700000}"/>
    <cellStyle name="Normal 2 5 5 2" xfId="28914" xr:uid="{00000000-0005-0000-0000-0000F2700000}"/>
    <cellStyle name="Normal 2 5 6" xfId="28915" xr:uid="{00000000-0005-0000-0000-0000F3700000}"/>
    <cellStyle name="Normal 2 5 6 2" xfId="28916" xr:uid="{00000000-0005-0000-0000-0000F4700000}"/>
    <cellStyle name="Normal 2 5 7" xfId="28917" xr:uid="{00000000-0005-0000-0000-0000F5700000}"/>
    <cellStyle name="Normal 2 5 7 2" xfId="28918" xr:uid="{00000000-0005-0000-0000-0000F6700000}"/>
    <cellStyle name="Normal 2 5 8" xfId="28919" xr:uid="{00000000-0005-0000-0000-0000F7700000}"/>
    <cellStyle name="Normal 2 5 9" xfId="28920" xr:uid="{00000000-0005-0000-0000-0000F8700000}"/>
    <cellStyle name="Normal 2 50" xfId="28921" xr:uid="{00000000-0005-0000-0000-0000F9700000}"/>
    <cellStyle name="Normal 2 50 2" xfId="28922" xr:uid="{00000000-0005-0000-0000-0000FA700000}"/>
    <cellStyle name="Normal 2 50 3" xfId="28923" xr:uid="{00000000-0005-0000-0000-0000FB700000}"/>
    <cellStyle name="Normal 2 51" xfId="28924" xr:uid="{00000000-0005-0000-0000-0000FC700000}"/>
    <cellStyle name="Normal 2 51 2" xfId="28925" xr:uid="{00000000-0005-0000-0000-0000FD700000}"/>
    <cellStyle name="Normal 2 51 3" xfId="28926" xr:uid="{00000000-0005-0000-0000-0000FE700000}"/>
    <cellStyle name="Normal 2 51 4" xfId="28927" xr:uid="{00000000-0005-0000-0000-0000FF700000}"/>
    <cellStyle name="Normal 2 51 5" xfId="28928" xr:uid="{00000000-0005-0000-0000-000000710000}"/>
    <cellStyle name="Normal 2 52" xfId="28929" xr:uid="{00000000-0005-0000-0000-000001710000}"/>
    <cellStyle name="Normal 2 52 2" xfId="28930" xr:uid="{00000000-0005-0000-0000-000002710000}"/>
    <cellStyle name="Normal 2 52 3" xfId="28931" xr:uid="{00000000-0005-0000-0000-000003710000}"/>
    <cellStyle name="Normal 2 52 4" xfId="28932" xr:uid="{00000000-0005-0000-0000-000004710000}"/>
    <cellStyle name="Normal 2 52 5" xfId="28933" xr:uid="{00000000-0005-0000-0000-000005710000}"/>
    <cellStyle name="Normal 2 53" xfId="28934" xr:uid="{00000000-0005-0000-0000-000006710000}"/>
    <cellStyle name="Normal 2 53 2" xfId="28935" xr:uid="{00000000-0005-0000-0000-000007710000}"/>
    <cellStyle name="Normal 2 53 3" xfId="28936" xr:uid="{00000000-0005-0000-0000-000008710000}"/>
    <cellStyle name="Normal 2 53 4" xfId="28937" xr:uid="{00000000-0005-0000-0000-000009710000}"/>
    <cellStyle name="Normal 2 53 5" xfId="28938" xr:uid="{00000000-0005-0000-0000-00000A710000}"/>
    <cellStyle name="Normal 2 54" xfId="28939" xr:uid="{00000000-0005-0000-0000-00000B710000}"/>
    <cellStyle name="Normal 2 54 2" xfId="28940" xr:uid="{00000000-0005-0000-0000-00000C710000}"/>
    <cellStyle name="Normal 2 54 3" xfId="28941" xr:uid="{00000000-0005-0000-0000-00000D710000}"/>
    <cellStyle name="Normal 2 54 4" xfId="28942" xr:uid="{00000000-0005-0000-0000-00000E710000}"/>
    <cellStyle name="Normal 2 54 5" xfId="28943" xr:uid="{00000000-0005-0000-0000-00000F710000}"/>
    <cellStyle name="Normal 2 55" xfId="28944" xr:uid="{00000000-0005-0000-0000-000010710000}"/>
    <cellStyle name="Normal 2 55 2" xfId="28945" xr:uid="{00000000-0005-0000-0000-000011710000}"/>
    <cellStyle name="Normal 2 55 3" xfId="28946" xr:uid="{00000000-0005-0000-0000-000012710000}"/>
    <cellStyle name="Normal 2 55 4" xfId="28947" xr:uid="{00000000-0005-0000-0000-000013710000}"/>
    <cellStyle name="Normal 2 55 5" xfId="28948" xr:uid="{00000000-0005-0000-0000-000014710000}"/>
    <cellStyle name="Normal 2 56" xfId="28949" xr:uid="{00000000-0005-0000-0000-000015710000}"/>
    <cellStyle name="Normal 2 56 2" xfId="28950" xr:uid="{00000000-0005-0000-0000-000016710000}"/>
    <cellStyle name="Normal 2 56 3" xfId="28951" xr:uid="{00000000-0005-0000-0000-000017710000}"/>
    <cellStyle name="Normal 2 56 4" xfId="28952" xr:uid="{00000000-0005-0000-0000-000018710000}"/>
    <cellStyle name="Normal 2 56 5" xfId="28953" xr:uid="{00000000-0005-0000-0000-000019710000}"/>
    <cellStyle name="Normal 2 57" xfId="28954" xr:uid="{00000000-0005-0000-0000-00001A710000}"/>
    <cellStyle name="Normal 2 57 2" xfId="28955" xr:uid="{00000000-0005-0000-0000-00001B710000}"/>
    <cellStyle name="Normal 2 57 3" xfId="28956" xr:uid="{00000000-0005-0000-0000-00001C710000}"/>
    <cellStyle name="Normal 2 57 4" xfId="28957" xr:uid="{00000000-0005-0000-0000-00001D710000}"/>
    <cellStyle name="Normal 2 57 5" xfId="28958" xr:uid="{00000000-0005-0000-0000-00001E710000}"/>
    <cellStyle name="Normal 2 58" xfId="28959" xr:uid="{00000000-0005-0000-0000-00001F710000}"/>
    <cellStyle name="Normal 2 58 2" xfId="28960" xr:uid="{00000000-0005-0000-0000-000020710000}"/>
    <cellStyle name="Normal 2 58 3" xfId="28961" xr:uid="{00000000-0005-0000-0000-000021710000}"/>
    <cellStyle name="Normal 2 58 4" xfId="28962" xr:uid="{00000000-0005-0000-0000-000022710000}"/>
    <cellStyle name="Normal 2 58 5" xfId="28963" xr:uid="{00000000-0005-0000-0000-000023710000}"/>
    <cellStyle name="Normal 2 59" xfId="28964" xr:uid="{00000000-0005-0000-0000-000024710000}"/>
    <cellStyle name="Normal 2 59 2" xfId="28965" xr:uid="{00000000-0005-0000-0000-000025710000}"/>
    <cellStyle name="Normal 2 59 3" xfId="28966" xr:uid="{00000000-0005-0000-0000-000026710000}"/>
    <cellStyle name="Normal 2 59 4" xfId="28967" xr:uid="{00000000-0005-0000-0000-000027710000}"/>
    <cellStyle name="Normal 2 59 5" xfId="28968" xr:uid="{00000000-0005-0000-0000-000028710000}"/>
    <cellStyle name="Normal 2 6" xfId="28969" xr:uid="{00000000-0005-0000-0000-000029710000}"/>
    <cellStyle name="Normal 2 6 10" xfId="28970" xr:uid="{00000000-0005-0000-0000-00002A710000}"/>
    <cellStyle name="Normal 2 6 11" xfId="28971" xr:uid="{00000000-0005-0000-0000-00002B710000}"/>
    <cellStyle name="Normal 2 6 12" xfId="28972" xr:uid="{00000000-0005-0000-0000-00002C710000}"/>
    <cellStyle name="Normal 2 6 13" xfId="28973" xr:uid="{00000000-0005-0000-0000-00002D710000}"/>
    <cellStyle name="Normal 2 6 14" xfId="28974" xr:uid="{00000000-0005-0000-0000-00002E710000}"/>
    <cellStyle name="Normal 2 6 15" xfId="28975" xr:uid="{00000000-0005-0000-0000-00002F710000}"/>
    <cellStyle name="Normal 2 6 16" xfId="28976" xr:uid="{00000000-0005-0000-0000-000030710000}"/>
    <cellStyle name="Normal 2 6 17" xfId="28977" xr:uid="{00000000-0005-0000-0000-000031710000}"/>
    <cellStyle name="Normal 2 6 18" xfId="28978" xr:uid="{00000000-0005-0000-0000-000032710000}"/>
    <cellStyle name="Normal 2 6 19" xfId="28979" xr:uid="{00000000-0005-0000-0000-000033710000}"/>
    <cellStyle name="Normal 2 6 2" xfId="28980" xr:uid="{00000000-0005-0000-0000-000034710000}"/>
    <cellStyle name="Normal 2 6 2 10" xfId="28981" xr:uid="{00000000-0005-0000-0000-000035710000}"/>
    <cellStyle name="Normal 2 6 2 11" xfId="28982" xr:uid="{00000000-0005-0000-0000-000036710000}"/>
    <cellStyle name="Normal 2 6 2 12" xfId="28983" xr:uid="{00000000-0005-0000-0000-000037710000}"/>
    <cellStyle name="Normal 2 6 2 13" xfId="28984" xr:uid="{00000000-0005-0000-0000-000038710000}"/>
    <cellStyle name="Normal 2 6 2 14" xfId="28985" xr:uid="{00000000-0005-0000-0000-000039710000}"/>
    <cellStyle name="Normal 2 6 2 15" xfId="28986" xr:uid="{00000000-0005-0000-0000-00003A710000}"/>
    <cellStyle name="Normal 2 6 2 16" xfId="28987" xr:uid="{00000000-0005-0000-0000-00003B710000}"/>
    <cellStyle name="Normal 2 6 2 17" xfId="28988" xr:uid="{00000000-0005-0000-0000-00003C710000}"/>
    <cellStyle name="Normal 2 6 2 18" xfId="28989" xr:uid="{00000000-0005-0000-0000-00003D710000}"/>
    <cellStyle name="Normal 2 6 2 19" xfId="28990" xr:uid="{00000000-0005-0000-0000-00003E710000}"/>
    <cellStyle name="Normal 2 6 2 2" xfId="28991" xr:uid="{00000000-0005-0000-0000-00003F710000}"/>
    <cellStyle name="Normal 2 6 2 20" xfId="28992" xr:uid="{00000000-0005-0000-0000-000040710000}"/>
    <cellStyle name="Normal 2 6 2 21" xfId="28993" xr:uid="{00000000-0005-0000-0000-000041710000}"/>
    <cellStyle name="Normal 2 6 2 3" xfId="28994" xr:uid="{00000000-0005-0000-0000-000042710000}"/>
    <cellStyle name="Normal 2 6 2 4" xfId="28995" xr:uid="{00000000-0005-0000-0000-000043710000}"/>
    <cellStyle name="Normal 2 6 2 5" xfId="28996" xr:uid="{00000000-0005-0000-0000-000044710000}"/>
    <cellStyle name="Normal 2 6 2 6" xfId="28997" xr:uid="{00000000-0005-0000-0000-000045710000}"/>
    <cellStyle name="Normal 2 6 2 7" xfId="28998" xr:uid="{00000000-0005-0000-0000-000046710000}"/>
    <cellStyle name="Normal 2 6 2 8" xfId="28999" xr:uid="{00000000-0005-0000-0000-000047710000}"/>
    <cellStyle name="Normal 2 6 2 9" xfId="29000" xr:uid="{00000000-0005-0000-0000-000048710000}"/>
    <cellStyle name="Normal 2 6 20" xfId="29001" xr:uid="{00000000-0005-0000-0000-000049710000}"/>
    <cellStyle name="Normal 2 6 21" xfId="29002" xr:uid="{00000000-0005-0000-0000-00004A710000}"/>
    <cellStyle name="Normal 2 6 22" xfId="29003" xr:uid="{00000000-0005-0000-0000-00004B710000}"/>
    <cellStyle name="Normal 2 6 3" xfId="29004" xr:uid="{00000000-0005-0000-0000-00004C710000}"/>
    <cellStyle name="Normal 2 6 4" xfId="29005" xr:uid="{00000000-0005-0000-0000-00004D710000}"/>
    <cellStyle name="Normal 2 6 5" xfId="29006" xr:uid="{00000000-0005-0000-0000-00004E710000}"/>
    <cellStyle name="Normal 2 6 6" xfId="29007" xr:uid="{00000000-0005-0000-0000-00004F710000}"/>
    <cellStyle name="Normal 2 6 7" xfId="29008" xr:uid="{00000000-0005-0000-0000-000050710000}"/>
    <cellStyle name="Normal 2 6 8" xfId="29009" xr:uid="{00000000-0005-0000-0000-000051710000}"/>
    <cellStyle name="Normal 2 6 9" xfId="29010" xr:uid="{00000000-0005-0000-0000-000052710000}"/>
    <cellStyle name="Normal 2 60" xfId="29011" xr:uid="{00000000-0005-0000-0000-000053710000}"/>
    <cellStyle name="Normal 2 60 2" xfId="29012" xr:uid="{00000000-0005-0000-0000-000054710000}"/>
    <cellStyle name="Normal 2 60 3" xfId="29013" xr:uid="{00000000-0005-0000-0000-000055710000}"/>
    <cellStyle name="Normal 2 61" xfId="29014" xr:uid="{00000000-0005-0000-0000-000056710000}"/>
    <cellStyle name="Normal 2 61 2" xfId="29015" xr:uid="{00000000-0005-0000-0000-000057710000}"/>
    <cellStyle name="Normal 2 61 3" xfId="29016" xr:uid="{00000000-0005-0000-0000-000058710000}"/>
    <cellStyle name="Normal 2 62" xfId="29017" xr:uid="{00000000-0005-0000-0000-000059710000}"/>
    <cellStyle name="Normal 2 62 2" xfId="29018" xr:uid="{00000000-0005-0000-0000-00005A710000}"/>
    <cellStyle name="Normal 2 62 3" xfId="29019" xr:uid="{00000000-0005-0000-0000-00005B710000}"/>
    <cellStyle name="Normal 2 63" xfId="29020" xr:uid="{00000000-0005-0000-0000-00005C710000}"/>
    <cellStyle name="Normal 2 63 2" xfId="29021" xr:uid="{00000000-0005-0000-0000-00005D710000}"/>
    <cellStyle name="Normal 2 63 3" xfId="29022" xr:uid="{00000000-0005-0000-0000-00005E710000}"/>
    <cellStyle name="Normal 2 64" xfId="29023" xr:uid="{00000000-0005-0000-0000-00005F710000}"/>
    <cellStyle name="Normal 2 64 2" xfId="29024" xr:uid="{00000000-0005-0000-0000-000060710000}"/>
    <cellStyle name="Normal 2 64 3" xfId="29025" xr:uid="{00000000-0005-0000-0000-000061710000}"/>
    <cellStyle name="Normal 2 65" xfId="29026" xr:uid="{00000000-0005-0000-0000-000062710000}"/>
    <cellStyle name="Normal 2 65 2" xfId="29027" xr:uid="{00000000-0005-0000-0000-000063710000}"/>
    <cellStyle name="Normal 2 65 3" xfId="29028" xr:uid="{00000000-0005-0000-0000-000064710000}"/>
    <cellStyle name="Normal 2 66" xfId="29029" xr:uid="{00000000-0005-0000-0000-000065710000}"/>
    <cellStyle name="Normal 2 66 2" xfId="29030" xr:uid="{00000000-0005-0000-0000-000066710000}"/>
    <cellStyle name="Normal 2 66 3" xfId="29031" xr:uid="{00000000-0005-0000-0000-000067710000}"/>
    <cellStyle name="Normal 2 67" xfId="29032" xr:uid="{00000000-0005-0000-0000-000068710000}"/>
    <cellStyle name="Normal 2 67 2" xfId="29033" xr:uid="{00000000-0005-0000-0000-000069710000}"/>
    <cellStyle name="Normal 2 67 3" xfId="29034" xr:uid="{00000000-0005-0000-0000-00006A710000}"/>
    <cellStyle name="Normal 2 68" xfId="29035" xr:uid="{00000000-0005-0000-0000-00006B710000}"/>
    <cellStyle name="Normal 2 68 2" xfId="29036" xr:uid="{00000000-0005-0000-0000-00006C710000}"/>
    <cellStyle name="Normal 2 68 3" xfId="29037" xr:uid="{00000000-0005-0000-0000-00006D710000}"/>
    <cellStyle name="Normal 2 69" xfId="29038" xr:uid="{00000000-0005-0000-0000-00006E710000}"/>
    <cellStyle name="Normal 2 69 2" xfId="29039" xr:uid="{00000000-0005-0000-0000-00006F710000}"/>
    <cellStyle name="Normal 2 69 3" xfId="29040" xr:uid="{00000000-0005-0000-0000-000070710000}"/>
    <cellStyle name="Normal 2 7" xfId="29041" xr:uid="{00000000-0005-0000-0000-000071710000}"/>
    <cellStyle name="Normal 2 7 2" xfId="29042" xr:uid="{00000000-0005-0000-0000-000072710000}"/>
    <cellStyle name="Normal 2 7 3" xfId="29043" xr:uid="{00000000-0005-0000-0000-000073710000}"/>
    <cellStyle name="Normal 2 70" xfId="29044" xr:uid="{00000000-0005-0000-0000-000074710000}"/>
    <cellStyle name="Normal 2 70 2" xfId="29045" xr:uid="{00000000-0005-0000-0000-000075710000}"/>
    <cellStyle name="Normal 2 70 3" xfId="29046" xr:uid="{00000000-0005-0000-0000-000076710000}"/>
    <cellStyle name="Normal 2 71" xfId="29047" xr:uid="{00000000-0005-0000-0000-000077710000}"/>
    <cellStyle name="Normal 2 71 2" xfId="29048" xr:uid="{00000000-0005-0000-0000-000078710000}"/>
    <cellStyle name="Normal 2 71 3" xfId="29049" xr:uid="{00000000-0005-0000-0000-000079710000}"/>
    <cellStyle name="Normal 2 72" xfId="29050" xr:uid="{00000000-0005-0000-0000-00007A710000}"/>
    <cellStyle name="Normal 2 72 2" xfId="29051" xr:uid="{00000000-0005-0000-0000-00007B710000}"/>
    <cellStyle name="Normal 2 72 3" xfId="29052" xr:uid="{00000000-0005-0000-0000-00007C710000}"/>
    <cellStyle name="Normal 2 73" xfId="29053" xr:uid="{00000000-0005-0000-0000-00007D710000}"/>
    <cellStyle name="Normal 2 73 2" xfId="29054" xr:uid="{00000000-0005-0000-0000-00007E710000}"/>
    <cellStyle name="Normal 2 73 3" xfId="29055" xr:uid="{00000000-0005-0000-0000-00007F710000}"/>
    <cellStyle name="Normal 2 74" xfId="29056" xr:uid="{00000000-0005-0000-0000-000080710000}"/>
    <cellStyle name="Normal 2 74 2" xfId="29057" xr:uid="{00000000-0005-0000-0000-000081710000}"/>
    <cellStyle name="Normal 2 74 3" xfId="29058" xr:uid="{00000000-0005-0000-0000-000082710000}"/>
    <cellStyle name="Normal 2 75" xfId="29059" xr:uid="{00000000-0005-0000-0000-000083710000}"/>
    <cellStyle name="Normal 2 76" xfId="29060" xr:uid="{00000000-0005-0000-0000-000084710000}"/>
    <cellStyle name="Normal 2 77" xfId="29061" xr:uid="{00000000-0005-0000-0000-000085710000}"/>
    <cellStyle name="Normal 2 78" xfId="29062" xr:uid="{00000000-0005-0000-0000-000086710000}"/>
    <cellStyle name="Normal 2 79" xfId="29063" xr:uid="{00000000-0005-0000-0000-000087710000}"/>
    <cellStyle name="Normal 2 8" xfId="29064" xr:uid="{00000000-0005-0000-0000-000088710000}"/>
    <cellStyle name="Normal 2 8 2" xfId="29065" xr:uid="{00000000-0005-0000-0000-000089710000}"/>
    <cellStyle name="Normal 2 8 3" xfId="29066" xr:uid="{00000000-0005-0000-0000-00008A710000}"/>
    <cellStyle name="Normal 2 80" xfId="29067" xr:uid="{00000000-0005-0000-0000-00008B710000}"/>
    <cellStyle name="Normal 2 81" xfId="29068" xr:uid="{00000000-0005-0000-0000-00008C710000}"/>
    <cellStyle name="Normal 2 82" xfId="29069" xr:uid="{00000000-0005-0000-0000-00008D710000}"/>
    <cellStyle name="Normal 2 82 2" xfId="29070" xr:uid="{00000000-0005-0000-0000-00008E710000}"/>
    <cellStyle name="Normal 2 82 2 2" xfId="29071" xr:uid="{00000000-0005-0000-0000-00008F710000}"/>
    <cellStyle name="Normal 2 82 2 3" xfId="29072" xr:uid="{00000000-0005-0000-0000-000090710000}"/>
    <cellStyle name="Normal 2 82 3" xfId="29073" xr:uid="{00000000-0005-0000-0000-000091710000}"/>
    <cellStyle name="Normal 2 82 4" xfId="29074" xr:uid="{00000000-0005-0000-0000-000092710000}"/>
    <cellStyle name="Normal 2 83" xfId="29075" xr:uid="{00000000-0005-0000-0000-000093710000}"/>
    <cellStyle name="Normal 2 83 2" xfId="29076" xr:uid="{00000000-0005-0000-0000-000094710000}"/>
    <cellStyle name="Normal 2 84" xfId="29077" xr:uid="{00000000-0005-0000-0000-000095710000}"/>
    <cellStyle name="Normal 2 84 2" xfId="29078" xr:uid="{00000000-0005-0000-0000-000096710000}"/>
    <cellStyle name="Normal 2 85" xfId="29079" xr:uid="{00000000-0005-0000-0000-000097710000}"/>
    <cellStyle name="Normal 2 85 2" xfId="29080" xr:uid="{00000000-0005-0000-0000-000098710000}"/>
    <cellStyle name="Normal 2 85 2 2" xfId="29081" xr:uid="{00000000-0005-0000-0000-000099710000}"/>
    <cellStyle name="Normal 2 85 3" xfId="29082" xr:uid="{00000000-0005-0000-0000-00009A710000}"/>
    <cellStyle name="Normal 2 85 4" xfId="29083" xr:uid="{00000000-0005-0000-0000-00009B710000}"/>
    <cellStyle name="Normal 2 85 5" xfId="29084" xr:uid="{00000000-0005-0000-0000-00009C710000}"/>
    <cellStyle name="Normal 2 86" xfId="29085" xr:uid="{00000000-0005-0000-0000-00009D710000}"/>
    <cellStyle name="Normal 2 86 2" xfId="29086" xr:uid="{00000000-0005-0000-0000-00009E710000}"/>
    <cellStyle name="Normal 2 86 2 2" xfId="29087" xr:uid="{00000000-0005-0000-0000-00009F710000}"/>
    <cellStyle name="Normal 2 86 3" xfId="29088" xr:uid="{00000000-0005-0000-0000-0000A0710000}"/>
    <cellStyle name="Normal 2 87" xfId="29089" xr:uid="{00000000-0005-0000-0000-0000A1710000}"/>
    <cellStyle name="Normal 2 87 2" xfId="29090" xr:uid="{00000000-0005-0000-0000-0000A2710000}"/>
    <cellStyle name="Normal 2 87 3" xfId="29091" xr:uid="{00000000-0005-0000-0000-0000A3710000}"/>
    <cellStyle name="Normal 2 87 4" xfId="29092" xr:uid="{00000000-0005-0000-0000-0000A4710000}"/>
    <cellStyle name="Normal 2 87 5" xfId="29093" xr:uid="{00000000-0005-0000-0000-0000A5710000}"/>
    <cellStyle name="Normal 2 88" xfId="29094" xr:uid="{00000000-0005-0000-0000-0000A6710000}"/>
    <cellStyle name="Normal 2 88 2" xfId="29095" xr:uid="{00000000-0005-0000-0000-0000A7710000}"/>
    <cellStyle name="Normal 2 88 3" xfId="29096" xr:uid="{00000000-0005-0000-0000-0000A8710000}"/>
    <cellStyle name="Normal 2 88 4" xfId="29097" xr:uid="{00000000-0005-0000-0000-0000A9710000}"/>
    <cellStyle name="Normal 2 88 5" xfId="29098" xr:uid="{00000000-0005-0000-0000-0000AA710000}"/>
    <cellStyle name="Normal 2 89" xfId="29099" xr:uid="{00000000-0005-0000-0000-0000AB710000}"/>
    <cellStyle name="Normal 2 89 2" xfId="29100" xr:uid="{00000000-0005-0000-0000-0000AC710000}"/>
    <cellStyle name="Normal 2 9" xfId="29101" xr:uid="{00000000-0005-0000-0000-0000AD710000}"/>
    <cellStyle name="Normal 2 9 2" xfId="29102" xr:uid="{00000000-0005-0000-0000-0000AE710000}"/>
    <cellStyle name="Normal 2 9 3" xfId="29103" xr:uid="{00000000-0005-0000-0000-0000AF710000}"/>
    <cellStyle name="Normal 2 9 4" xfId="29104" xr:uid="{00000000-0005-0000-0000-0000B0710000}"/>
    <cellStyle name="Normal 2 9 5" xfId="29105" xr:uid="{00000000-0005-0000-0000-0000B1710000}"/>
    <cellStyle name="Normal 2 9_Enlaces" xfId="29106" xr:uid="{00000000-0005-0000-0000-0000B2710000}"/>
    <cellStyle name="Normal 2 90" xfId="29107" xr:uid="{00000000-0005-0000-0000-0000B3710000}"/>
    <cellStyle name="Normal 2 90 2" xfId="29108" xr:uid="{00000000-0005-0000-0000-0000B4710000}"/>
    <cellStyle name="Normal 2 91" xfId="29109" xr:uid="{00000000-0005-0000-0000-0000B5710000}"/>
    <cellStyle name="Normal 2 91 2" xfId="29110" xr:uid="{00000000-0005-0000-0000-0000B6710000}"/>
    <cellStyle name="Normal 2 92" xfId="29111" xr:uid="{00000000-0005-0000-0000-0000B7710000}"/>
    <cellStyle name="Normal 2 92 2" xfId="29112" xr:uid="{00000000-0005-0000-0000-0000B8710000}"/>
    <cellStyle name="Normal 2 93" xfId="29113" xr:uid="{00000000-0005-0000-0000-0000B9710000}"/>
    <cellStyle name="Normal 2 93 2" xfId="29114" xr:uid="{00000000-0005-0000-0000-0000BA710000}"/>
    <cellStyle name="Normal 2 94" xfId="29115" xr:uid="{00000000-0005-0000-0000-0000BB710000}"/>
    <cellStyle name="Normal 2 94 2" xfId="29116" xr:uid="{00000000-0005-0000-0000-0000BC710000}"/>
    <cellStyle name="Normal 2 95" xfId="29117" xr:uid="{00000000-0005-0000-0000-0000BD710000}"/>
    <cellStyle name="Normal 2 95 2" xfId="29118" xr:uid="{00000000-0005-0000-0000-0000BE710000}"/>
    <cellStyle name="Normal 2 96" xfId="29119" xr:uid="{00000000-0005-0000-0000-0000BF710000}"/>
    <cellStyle name="Normal 2 96 2" xfId="29120" xr:uid="{00000000-0005-0000-0000-0000C0710000}"/>
    <cellStyle name="Normal 2 97" xfId="29121" xr:uid="{00000000-0005-0000-0000-0000C1710000}"/>
    <cellStyle name="Normal 2 97 2" xfId="29122" xr:uid="{00000000-0005-0000-0000-0000C2710000}"/>
    <cellStyle name="Normal 2 98" xfId="29123" xr:uid="{00000000-0005-0000-0000-0000C3710000}"/>
    <cellStyle name="Normal 2 98 2" xfId="29124" xr:uid="{00000000-0005-0000-0000-0000C4710000}"/>
    <cellStyle name="Normal 2 99" xfId="29125" xr:uid="{00000000-0005-0000-0000-0000C5710000}"/>
    <cellStyle name="Normal 2 99 2" xfId="29126" xr:uid="{00000000-0005-0000-0000-0000C6710000}"/>
    <cellStyle name="Normal 20" xfId="29127" xr:uid="{00000000-0005-0000-0000-0000C7710000}"/>
    <cellStyle name="Normal 20 10" xfId="29128" xr:uid="{00000000-0005-0000-0000-0000C8710000}"/>
    <cellStyle name="Normal 20 11" xfId="29129" xr:uid="{00000000-0005-0000-0000-0000C9710000}"/>
    <cellStyle name="Normal 20 12" xfId="29130" xr:uid="{00000000-0005-0000-0000-0000CA710000}"/>
    <cellStyle name="Normal 20 13" xfId="29131" xr:uid="{00000000-0005-0000-0000-0000CB710000}"/>
    <cellStyle name="Normal 20 14" xfId="29132" xr:uid="{00000000-0005-0000-0000-0000CC710000}"/>
    <cellStyle name="Normal 20 15" xfId="29133" xr:uid="{00000000-0005-0000-0000-0000CD710000}"/>
    <cellStyle name="Normal 20 16" xfId="29134" xr:uid="{00000000-0005-0000-0000-0000CE710000}"/>
    <cellStyle name="Normal 20 17" xfId="29135" xr:uid="{00000000-0005-0000-0000-0000CF710000}"/>
    <cellStyle name="Normal 20 18" xfId="29136" xr:uid="{00000000-0005-0000-0000-0000D0710000}"/>
    <cellStyle name="Normal 20 19" xfId="29137" xr:uid="{00000000-0005-0000-0000-0000D1710000}"/>
    <cellStyle name="Normal 20 2" xfId="29138" xr:uid="{00000000-0005-0000-0000-0000D2710000}"/>
    <cellStyle name="Normal 20 2 2" xfId="29139" xr:uid="{00000000-0005-0000-0000-0000D3710000}"/>
    <cellStyle name="Normal 20 2 3" xfId="29140" xr:uid="{00000000-0005-0000-0000-0000D4710000}"/>
    <cellStyle name="Normal 20 2 4" xfId="29141" xr:uid="{00000000-0005-0000-0000-0000D5710000}"/>
    <cellStyle name="Normal 20 20" xfId="29142" xr:uid="{00000000-0005-0000-0000-0000D6710000}"/>
    <cellStyle name="Normal 20 21" xfId="29143" xr:uid="{00000000-0005-0000-0000-0000D7710000}"/>
    <cellStyle name="Normal 20 22" xfId="29144" xr:uid="{00000000-0005-0000-0000-0000D8710000}"/>
    <cellStyle name="Normal 20 23" xfId="29145" xr:uid="{00000000-0005-0000-0000-0000D9710000}"/>
    <cellStyle name="Normal 20 24" xfId="29146" xr:uid="{00000000-0005-0000-0000-0000DA710000}"/>
    <cellStyle name="Normal 20 25" xfId="29147" xr:uid="{00000000-0005-0000-0000-0000DB710000}"/>
    <cellStyle name="Normal 20 26" xfId="29148" xr:uid="{00000000-0005-0000-0000-0000DC710000}"/>
    <cellStyle name="Normal 20 3" xfId="29149" xr:uid="{00000000-0005-0000-0000-0000DD710000}"/>
    <cellStyle name="Normal 20 4" xfId="29150" xr:uid="{00000000-0005-0000-0000-0000DE710000}"/>
    <cellStyle name="Normal 20 5" xfId="29151" xr:uid="{00000000-0005-0000-0000-0000DF710000}"/>
    <cellStyle name="Normal 20 6" xfId="29152" xr:uid="{00000000-0005-0000-0000-0000E0710000}"/>
    <cellStyle name="Normal 20 7" xfId="29153" xr:uid="{00000000-0005-0000-0000-0000E1710000}"/>
    <cellStyle name="Normal 20 8" xfId="29154" xr:uid="{00000000-0005-0000-0000-0000E2710000}"/>
    <cellStyle name="Normal 20 9" xfId="29155" xr:uid="{00000000-0005-0000-0000-0000E3710000}"/>
    <cellStyle name="Normal 200" xfId="39231" xr:uid="{00000000-0005-0000-0000-00003F990000}"/>
    <cellStyle name="Normal 201" xfId="39232" xr:uid="{00000000-0005-0000-0000-000040990000}"/>
    <cellStyle name="Normal 202" xfId="39233" xr:uid="{00000000-0005-0000-0000-000041990000}"/>
    <cellStyle name="Normal 203" xfId="39234" xr:uid="{00000000-0005-0000-0000-000042990000}"/>
    <cellStyle name="Normal 204" xfId="39235" xr:uid="{00000000-0005-0000-0000-000043990000}"/>
    <cellStyle name="Normal 205" xfId="39236" xr:uid="{00000000-0005-0000-0000-000044990000}"/>
    <cellStyle name="Normal 206" xfId="39237" xr:uid="{00000000-0005-0000-0000-000045990000}"/>
    <cellStyle name="Normal 207" xfId="39238" xr:uid="{00000000-0005-0000-0000-000046990000}"/>
    <cellStyle name="Normal 208" xfId="39239" xr:uid="{00000000-0005-0000-0000-000047990000}"/>
    <cellStyle name="Normal 209" xfId="39240" xr:uid="{00000000-0005-0000-0000-000048990000}"/>
    <cellStyle name="Normal 21" xfId="29156" xr:uid="{00000000-0005-0000-0000-0000E4710000}"/>
    <cellStyle name="Normal 21 10" xfId="29157" xr:uid="{00000000-0005-0000-0000-0000E5710000}"/>
    <cellStyle name="Normal 21 11" xfId="29158" xr:uid="{00000000-0005-0000-0000-0000E6710000}"/>
    <cellStyle name="Normal 21 12" xfId="29159" xr:uid="{00000000-0005-0000-0000-0000E7710000}"/>
    <cellStyle name="Normal 21 13" xfId="29160" xr:uid="{00000000-0005-0000-0000-0000E8710000}"/>
    <cellStyle name="Normal 21 14" xfId="29161" xr:uid="{00000000-0005-0000-0000-0000E9710000}"/>
    <cellStyle name="Normal 21 15" xfId="29162" xr:uid="{00000000-0005-0000-0000-0000EA710000}"/>
    <cellStyle name="Normal 21 16" xfId="29163" xr:uid="{00000000-0005-0000-0000-0000EB710000}"/>
    <cellStyle name="Normal 21 17" xfId="29164" xr:uid="{00000000-0005-0000-0000-0000EC710000}"/>
    <cellStyle name="Normal 21 18" xfId="29165" xr:uid="{00000000-0005-0000-0000-0000ED710000}"/>
    <cellStyle name="Normal 21 19" xfId="29166" xr:uid="{00000000-0005-0000-0000-0000EE710000}"/>
    <cellStyle name="Normal 21 2" xfId="29167" xr:uid="{00000000-0005-0000-0000-0000EF710000}"/>
    <cellStyle name="Normal 21 2 2" xfId="29168" xr:uid="{00000000-0005-0000-0000-0000F0710000}"/>
    <cellStyle name="Normal 21 2 3" xfId="29169" xr:uid="{00000000-0005-0000-0000-0000F1710000}"/>
    <cellStyle name="Normal 21 20" xfId="29170" xr:uid="{00000000-0005-0000-0000-0000F2710000}"/>
    <cellStyle name="Normal 21 21" xfId="29171" xr:uid="{00000000-0005-0000-0000-0000F3710000}"/>
    <cellStyle name="Normal 21 22" xfId="29172" xr:uid="{00000000-0005-0000-0000-0000F4710000}"/>
    <cellStyle name="Normal 21 23" xfId="29173" xr:uid="{00000000-0005-0000-0000-0000F5710000}"/>
    <cellStyle name="Normal 21 24" xfId="29174" xr:uid="{00000000-0005-0000-0000-0000F6710000}"/>
    <cellStyle name="Normal 21 25" xfId="29175" xr:uid="{00000000-0005-0000-0000-0000F7710000}"/>
    <cellStyle name="Normal 21 26" xfId="29176" xr:uid="{00000000-0005-0000-0000-0000F8710000}"/>
    <cellStyle name="Normal 21 3" xfId="29177" xr:uid="{00000000-0005-0000-0000-0000F9710000}"/>
    <cellStyle name="Normal 21 3 2" xfId="29178" xr:uid="{00000000-0005-0000-0000-0000FA710000}"/>
    <cellStyle name="Normal 21 3 3" xfId="29179" xr:uid="{00000000-0005-0000-0000-0000FB710000}"/>
    <cellStyle name="Normal 21 4" xfId="29180" xr:uid="{00000000-0005-0000-0000-0000FC710000}"/>
    <cellStyle name="Normal 21 5" xfId="29181" xr:uid="{00000000-0005-0000-0000-0000FD710000}"/>
    <cellStyle name="Normal 21 6" xfId="29182" xr:uid="{00000000-0005-0000-0000-0000FE710000}"/>
    <cellStyle name="Normal 21 7" xfId="29183" xr:uid="{00000000-0005-0000-0000-0000FF710000}"/>
    <cellStyle name="Normal 21 8" xfId="29184" xr:uid="{00000000-0005-0000-0000-000000720000}"/>
    <cellStyle name="Normal 21 9" xfId="29185" xr:uid="{00000000-0005-0000-0000-000001720000}"/>
    <cellStyle name="Normal 210" xfId="39241" xr:uid="{00000000-0005-0000-0000-000049990000}"/>
    <cellStyle name="Normal 211" xfId="39242" xr:uid="{00000000-0005-0000-0000-00004A990000}"/>
    <cellStyle name="Normal 212" xfId="39243" xr:uid="{00000000-0005-0000-0000-00004B990000}"/>
    <cellStyle name="Normal 213" xfId="39244" xr:uid="{00000000-0005-0000-0000-00004C990000}"/>
    <cellStyle name="Normal 214" xfId="39245" xr:uid="{00000000-0005-0000-0000-00004D990000}"/>
    <cellStyle name="Normal 22" xfId="29186" xr:uid="{00000000-0005-0000-0000-000002720000}"/>
    <cellStyle name="Normal 22 10" xfId="29187" xr:uid="{00000000-0005-0000-0000-000003720000}"/>
    <cellStyle name="Normal 22 11" xfId="29188" xr:uid="{00000000-0005-0000-0000-000004720000}"/>
    <cellStyle name="Normal 22 12" xfId="29189" xr:uid="{00000000-0005-0000-0000-000005720000}"/>
    <cellStyle name="Normal 22 13" xfId="29190" xr:uid="{00000000-0005-0000-0000-000006720000}"/>
    <cellStyle name="Normal 22 14" xfId="29191" xr:uid="{00000000-0005-0000-0000-000007720000}"/>
    <cellStyle name="Normal 22 15" xfId="29192" xr:uid="{00000000-0005-0000-0000-000008720000}"/>
    <cellStyle name="Normal 22 16" xfId="29193" xr:uid="{00000000-0005-0000-0000-000009720000}"/>
    <cellStyle name="Normal 22 17" xfId="29194" xr:uid="{00000000-0005-0000-0000-00000A720000}"/>
    <cellStyle name="Normal 22 18" xfId="29195" xr:uid="{00000000-0005-0000-0000-00000B720000}"/>
    <cellStyle name="Normal 22 19" xfId="29196" xr:uid="{00000000-0005-0000-0000-00000C720000}"/>
    <cellStyle name="Normal 22 2" xfId="29197" xr:uid="{00000000-0005-0000-0000-00000D720000}"/>
    <cellStyle name="Normal 22 2 2" xfId="29198" xr:uid="{00000000-0005-0000-0000-00000E720000}"/>
    <cellStyle name="Normal 22 2 3" xfId="29199" xr:uid="{00000000-0005-0000-0000-00000F720000}"/>
    <cellStyle name="Normal 22 20" xfId="29200" xr:uid="{00000000-0005-0000-0000-000010720000}"/>
    <cellStyle name="Normal 22 21" xfId="29201" xr:uid="{00000000-0005-0000-0000-000011720000}"/>
    <cellStyle name="Normal 22 22" xfId="29202" xr:uid="{00000000-0005-0000-0000-000012720000}"/>
    <cellStyle name="Normal 22 23" xfId="29203" xr:uid="{00000000-0005-0000-0000-000013720000}"/>
    <cellStyle name="Normal 22 24" xfId="29204" xr:uid="{00000000-0005-0000-0000-000014720000}"/>
    <cellStyle name="Normal 22 25" xfId="29205" xr:uid="{00000000-0005-0000-0000-000015720000}"/>
    <cellStyle name="Normal 22 26" xfId="29206" xr:uid="{00000000-0005-0000-0000-000016720000}"/>
    <cellStyle name="Normal 22 3" xfId="29207" xr:uid="{00000000-0005-0000-0000-000017720000}"/>
    <cellStyle name="Normal 22 3 2" xfId="29208" xr:uid="{00000000-0005-0000-0000-000018720000}"/>
    <cellStyle name="Normal 22 3 3" xfId="29209" xr:uid="{00000000-0005-0000-0000-000019720000}"/>
    <cellStyle name="Normal 22 3 4" xfId="29210" xr:uid="{00000000-0005-0000-0000-00001A720000}"/>
    <cellStyle name="Normal 22 3 5" xfId="29211" xr:uid="{00000000-0005-0000-0000-00001B720000}"/>
    <cellStyle name="Normal 22 4" xfId="29212" xr:uid="{00000000-0005-0000-0000-00001C720000}"/>
    <cellStyle name="Normal 22 5" xfId="29213" xr:uid="{00000000-0005-0000-0000-00001D720000}"/>
    <cellStyle name="Normal 22 6" xfId="29214" xr:uid="{00000000-0005-0000-0000-00001E720000}"/>
    <cellStyle name="Normal 22 7" xfId="29215" xr:uid="{00000000-0005-0000-0000-00001F720000}"/>
    <cellStyle name="Normal 22 8" xfId="29216" xr:uid="{00000000-0005-0000-0000-000020720000}"/>
    <cellStyle name="Normal 22 9" xfId="29217" xr:uid="{00000000-0005-0000-0000-000021720000}"/>
    <cellStyle name="Normal 23" xfId="29218" xr:uid="{00000000-0005-0000-0000-000022720000}"/>
    <cellStyle name="Normal 23 10" xfId="29219" xr:uid="{00000000-0005-0000-0000-000023720000}"/>
    <cellStyle name="Normal 23 11" xfId="29220" xr:uid="{00000000-0005-0000-0000-000024720000}"/>
    <cellStyle name="Normal 23 12" xfId="29221" xr:uid="{00000000-0005-0000-0000-000025720000}"/>
    <cellStyle name="Normal 23 13" xfId="29222" xr:uid="{00000000-0005-0000-0000-000026720000}"/>
    <cellStyle name="Normal 23 14" xfId="29223" xr:uid="{00000000-0005-0000-0000-000027720000}"/>
    <cellStyle name="Normal 23 15" xfId="29224" xr:uid="{00000000-0005-0000-0000-000028720000}"/>
    <cellStyle name="Normal 23 16" xfId="29225" xr:uid="{00000000-0005-0000-0000-000029720000}"/>
    <cellStyle name="Normal 23 17" xfId="29226" xr:uid="{00000000-0005-0000-0000-00002A720000}"/>
    <cellStyle name="Normal 23 18" xfId="29227" xr:uid="{00000000-0005-0000-0000-00002B720000}"/>
    <cellStyle name="Normal 23 19" xfId="29228" xr:uid="{00000000-0005-0000-0000-00002C720000}"/>
    <cellStyle name="Normal 23 2" xfId="29229" xr:uid="{00000000-0005-0000-0000-00002D720000}"/>
    <cellStyle name="Normal 23 2 2" xfId="29230" xr:uid="{00000000-0005-0000-0000-00002E720000}"/>
    <cellStyle name="Normal 23 2 3" xfId="29231" xr:uid="{00000000-0005-0000-0000-00002F720000}"/>
    <cellStyle name="Normal 23 20" xfId="29232" xr:uid="{00000000-0005-0000-0000-000030720000}"/>
    <cellStyle name="Normal 23 21" xfId="29233" xr:uid="{00000000-0005-0000-0000-000031720000}"/>
    <cellStyle name="Normal 23 22" xfId="29234" xr:uid="{00000000-0005-0000-0000-000032720000}"/>
    <cellStyle name="Normal 23 23" xfId="29235" xr:uid="{00000000-0005-0000-0000-000033720000}"/>
    <cellStyle name="Normal 23 24" xfId="29236" xr:uid="{00000000-0005-0000-0000-000034720000}"/>
    <cellStyle name="Normal 23 25" xfId="29237" xr:uid="{00000000-0005-0000-0000-000035720000}"/>
    <cellStyle name="Normal 23 26" xfId="29238" xr:uid="{00000000-0005-0000-0000-000036720000}"/>
    <cellStyle name="Normal 23 3" xfId="29239" xr:uid="{00000000-0005-0000-0000-000037720000}"/>
    <cellStyle name="Normal 23 3 2" xfId="29240" xr:uid="{00000000-0005-0000-0000-000038720000}"/>
    <cellStyle name="Normal 23 3 3" xfId="29241" xr:uid="{00000000-0005-0000-0000-000039720000}"/>
    <cellStyle name="Normal 23 3 4" xfId="29242" xr:uid="{00000000-0005-0000-0000-00003A720000}"/>
    <cellStyle name="Normal 23 3 5" xfId="29243" xr:uid="{00000000-0005-0000-0000-00003B720000}"/>
    <cellStyle name="Normal 23 4" xfId="29244" xr:uid="{00000000-0005-0000-0000-00003C720000}"/>
    <cellStyle name="Normal 23 5" xfId="29245" xr:uid="{00000000-0005-0000-0000-00003D720000}"/>
    <cellStyle name="Normal 23 6" xfId="29246" xr:uid="{00000000-0005-0000-0000-00003E720000}"/>
    <cellStyle name="Normal 23 7" xfId="29247" xr:uid="{00000000-0005-0000-0000-00003F720000}"/>
    <cellStyle name="Normal 23 8" xfId="29248" xr:uid="{00000000-0005-0000-0000-000040720000}"/>
    <cellStyle name="Normal 23 9" xfId="29249" xr:uid="{00000000-0005-0000-0000-000041720000}"/>
    <cellStyle name="Normal 24" xfId="29250" xr:uid="{00000000-0005-0000-0000-000042720000}"/>
    <cellStyle name="Normal 24 10" xfId="29251" xr:uid="{00000000-0005-0000-0000-000043720000}"/>
    <cellStyle name="Normal 24 11" xfId="29252" xr:uid="{00000000-0005-0000-0000-000044720000}"/>
    <cellStyle name="Normal 24 12" xfId="29253" xr:uid="{00000000-0005-0000-0000-000045720000}"/>
    <cellStyle name="Normal 24 13" xfId="29254" xr:uid="{00000000-0005-0000-0000-000046720000}"/>
    <cellStyle name="Normal 24 14" xfId="29255" xr:uid="{00000000-0005-0000-0000-000047720000}"/>
    <cellStyle name="Normal 24 15" xfId="29256" xr:uid="{00000000-0005-0000-0000-000048720000}"/>
    <cellStyle name="Normal 24 16" xfId="29257" xr:uid="{00000000-0005-0000-0000-000049720000}"/>
    <cellStyle name="Normal 24 17" xfId="29258" xr:uid="{00000000-0005-0000-0000-00004A720000}"/>
    <cellStyle name="Normal 24 18" xfId="29259" xr:uid="{00000000-0005-0000-0000-00004B720000}"/>
    <cellStyle name="Normal 24 19" xfId="29260" xr:uid="{00000000-0005-0000-0000-00004C720000}"/>
    <cellStyle name="Normal 24 2" xfId="29261" xr:uid="{00000000-0005-0000-0000-00004D720000}"/>
    <cellStyle name="Normal 24 20" xfId="29262" xr:uid="{00000000-0005-0000-0000-00004E720000}"/>
    <cellStyle name="Normal 24 21" xfId="29263" xr:uid="{00000000-0005-0000-0000-00004F720000}"/>
    <cellStyle name="Normal 24 22" xfId="29264" xr:uid="{00000000-0005-0000-0000-000050720000}"/>
    <cellStyle name="Normal 24 23" xfId="29265" xr:uid="{00000000-0005-0000-0000-000051720000}"/>
    <cellStyle name="Normal 24 24" xfId="29266" xr:uid="{00000000-0005-0000-0000-000052720000}"/>
    <cellStyle name="Normal 24 25" xfId="29267" xr:uid="{00000000-0005-0000-0000-000053720000}"/>
    <cellStyle name="Normal 24 26" xfId="29268" xr:uid="{00000000-0005-0000-0000-000054720000}"/>
    <cellStyle name="Normal 24 27" xfId="29269" xr:uid="{00000000-0005-0000-0000-000055720000}"/>
    <cellStyle name="Normal 24 3" xfId="29270" xr:uid="{00000000-0005-0000-0000-000056720000}"/>
    <cellStyle name="Normal 24 4" xfId="29271" xr:uid="{00000000-0005-0000-0000-000057720000}"/>
    <cellStyle name="Normal 24 5" xfId="29272" xr:uid="{00000000-0005-0000-0000-000058720000}"/>
    <cellStyle name="Normal 24 6" xfId="29273" xr:uid="{00000000-0005-0000-0000-000059720000}"/>
    <cellStyle name="Normal 24 7" xfId="29274" xr:uid="{00000000-0005-0000-0000-00005A720000}"/>
    <cellStyle name="Normal 24 8" xfId="29275" xr:uid="{00000000-0005-0000-0000-00005B720000}"/>
    <cellStyle name="Normal 24 9" xfId="29276" xr:uid="{00000000-0005-0000-0000-00005C720000}"/>
    <cellStyle name="Normal 25" xfId="29277" xr:uid="{00000000-0005-0000-0000-00005D720000}"/>
    <cellStyle name="Normal 25 10" xfId="29278" xr:uid="{00000000-0005-0000-0000-00005E720000}"/>
    <cellStyle name="Normal 25 11" xfId="29279" xr:uid="{00000000-0005-0000-0000-00005F720000}"/>
    <cellStyle name="Normal 25 12" xfId="29280" xr:uid="{00000000-0005-0000-0000-000060720000}"/>
    <cellStyle name="Normal 25 13" xfId="29281" xr:uid="{00000000-0005-0000-0000-000061720000}"/>
    <cellStyle name="Normal 25 14" xfId="29282" xr:uid="{00000000-0005-0000-0000-000062720000}"/>
    <cellStyle name="Normal 25 15" xfId="29283" xr:uid="{00000000-0005-0000-0000-000063720000}"/>
    <cellStyle name="Normal 25 16" xfId="29284" xr:uid="{00000000-0005-0000-0000-000064720000}"/>
    <cellStyle name="Normal 25 17" xfId="29285" xr:uid="{00000000-0005-0000-0000-000065720000}"/>
    <cellStyle name="Normal 25 18" xfId="29286" xr:uid="{00000000-0005-0000-0000-000066720000}"/>
    <cellStyle name="Normal 25 19" xfId="29287" xr:uid="{00000000-0005-0000-0000-000067720000}"/>
    <cellStyle name="Normal 25 2" xfId="29288" xr:uid="{00000000-0005-0000-0000-000068720000}"/>
    <cellStyle name="Normal 25 20" xfId="29289" xr:uid="{00000000-0005-0000-0000-000069720000}"/>
    <cellStyle name="Normal 25 21" xfId="29290" xr:uid="{00000000-0005-0000-0000-00006A720000}"/>
    <cellStyle name="Normal 25 22" xfId="29291" xr:uid="{00000000-0005-0000-0000-00006B720000}"/>
    <cellStyle name="Normal 25 23" xfId="29292" xr:uid="{00000000-0005-0000-0000-00006C720000}"/>
    <cellStyle name="Normal 25 24" xfId="29293" xr:uid="{00000000-0005-0000-0000-00006D720000}"/>
    <cellStyle name="Normal 25 25" xfId="29294" xr:uid="{00000000-0005-0000-0000-00006E720000}"/>
    <cellStyle name="Normal 25 3" xfId="29295" xr:uid="{00000000-0005-0000-0000-00006F720000}"/>
    <cellStyle name="Normal 25 4" xfId="29296" xr:uid="{00000000-0005-0000-0000-000070720000}"/>
    <cellStyle name="Normal 25 5" xfId="29297" xr:uid="{00000000-0005-0000-0000-000071720000}"/>
    <cellStyle name="Normal 25 6" xfId="29298" xr:uid="{00000000-0005-0000-0000-000072720000}"/>
    <cellStyle name="Normal 25 7" xfId="29299" xr:uid="{00000000-0005-0000-0000-000073720000}"/>
    <cellStyle name="Normal 25 8" xfId="29300" xr:uid="{00000000-0005-0000-0000-000074720000}"/>
    <cellStyle name="Normal 25 9" xfId="29301" xr:uid="{00000000-0005-0000-0000-000075720000}"/>
    <cellStyle name="Normal 26" xfId="29302" xr:uid="{00000000-0005-0000-0000-000076720000}"/>
    <cellStyle name="Normal 26 10" xfId="29303" xr:uid="{00000000-0005-0000-0000-000077720000}"/>
    <cellStyle name="Normal 26 11" xfId="29304" xr:uid="{00000000-0005-0000-0000-000078720000}"/>
    <cellStyle name="Normal 26 12" xfId="29305" xr:uid="{00000000-0005-0000-0000-000079720000}"/>
    <cellStyle name="Normal 26 13" xfId="29306" xr:uid="{00000000-0005-0000-0000-00007A720000}"/>
    <cellStyle name="Normal 26 14" xfId="29307" xr:uid="{00000000-0005-0000-0000-00007B720000}"/>
    <cellStyle name="Normal 26 15" xfId="29308" xr:uid="{00000000-0005-0000-0000-00007C720000}"/>
    <cellStyle name="Normal 26 16" xfId="29309" xr:uid="{00000000-0005-0000-0000-00007D720000}"/>
    <cellStyle name="Normal 26 17" xfId="29310" xr:uid="{00000000-0005-0000-0000-00007E720000}"/>
    <cellStyle name="Normal 26 18" xfId="29311" xr:uid="{00000000-0005-0000-0000-00007F720000}"/>
    <cellStyle name="Normal 26 19" xfId="29312" xr:uid="{00000000-0005-0000-0000-000080720000}"/>
    <cellStyle name="Normal 26 2" xfId="29313" xr:uid="{00000000-0005-0000-0000-000081720000}"/>
    <cellStyle name="Normal 26 20" xfId="29314" xr:uid="{00000000-0005-0000-0000-000082720000}"/>
    <cellStyle name="Normal 26 21" xfId="29315" xr:uid="{00000000-0005-0000-0000-000083720000}"/>
    <cellStyle name="Normal 26 22" xfId="29316" xr:uid="{00000000-0005-0000-0000-000084720000}"/>
    <cellStyle name="Normal 26 23" xfId="29317" xr:uid="{00000000-0005-0000-0000-000085720000}"/>
    <cellStyle name="Normal 26 24" xfId="29318" xr:uid="{00000000-0005-0000-0000-000086720000}"/>
    <cellStyle name="Normal 26 25" xfId="29319" xr:uid="{00000000-0005-0000-0000-000087720000}"/>
    <cellStyle name="Normal 26 3" xfId="29320" xr:uid="{00000000-0005-0000-0000-000088720000}"/>
    <cellStyle name="Normal 26 4" xfId="29321" xr:uid="{00000000-0005-0000-0000-000089720000}"/>
    <cellStyle name="Normal 26 5" xfId="29322" xr:uid="{00000000-0005-0000-0000-00008A720000}"/>
    <cellStyle name="Normal 26 6" xfId="29323" xr:uid="{00000000-0005-0000-0000-00008B720000}"/>
    <cellStyle name="Normal 26 7" xfId="29324" xr:uid="{00000000-0005-0000-0000-00008C720000}"/>
    <cellStyle name="Normal 26 8" xfId="29325" xr:uid="{00000000-0005-0000-0000-00008D720000}"/>
    <cellStyle name="Normal 26 9" xfId="29326" xr:uid="{00000000-0005-0000-0000-00008E720000}"/>
    <cellStyle name="Normal 27" xfId="29327" xr:uid="{00000000-0005-0000-0000-00008F720000}"/>
    <cellStyle name="Normal 27 2" xfId="29328" xr:uid="{00000000-0005-0000-0000-000090720000}"/>
    <cellStyle name="Normal 28" xfId="29329" xr:uid="{00000000-0005-0000-0000-000091720000}"/>
    <cellStyle name="Normal 28 10" xfId="29330" xr:uid="{00000000-0005-0000-0000-000092720000}"/>
    <cellStyle name="Normal 28 11" xfId="29331" xr:uid="{00000000-0005-0000-0000-000093720000}"/>
    <cellStyle name="Normal 28 12" xfId="29332" xr:uid="{00000000-0005-0000-0000-000094720000}"/>
    <cellStyle name="Normal 28 13" xfId="29333" xr:uid="{00000000-0005-0000-0000-000095720000}"/>
    <cellStyle name="Normal 28 14" xfId="29334" xr:uid="{00000000-0005-0000-0000-000096720000}"/>
    <cellStyle name="Normal 28 15" xfId="29335" xr:uid="{00000000-0005-0000-0000-000097720000}"/>
    <cellStyle name="Normal 28 16" xfId="29336" xr:uid="{00000000-0005-0000-0000-000098720000}"/>
    <cellStyle name="Normal 28 17" xfId="29337" xr:uid="{00000000-0005-0000-0000-000099720000}"/>
    <cellStyle name="Normal 28 18" xfId="29338" xr:uid="{00000000-0005-0000-0000-00009A720000}"/>
    <cellStyle name="Normal 28 19" xfId="29339" xr:uid="{00000000-0005-0000-0000-00009B720000}"/>
    <cellStyle name="Normal 28 2" xfId="29340" xr:uid="{00000000-0005-0000-0000-00009C720000}"/>
    <cellStyle name="Normal 28 2 2" xfId="29341" xr:uid="{00000000-0005-0000-0000-00009D720000}"/>
    <cellStyle name="Normal 28 2 3" xfId="29342" xr:uid="{00000000-0005-0000-0000-00009E720000}"/>
    <cellStyle name="Normal 28 20" xfId="29343" xr:uid="{00000000-0005-0000-0000-00009F720000}"/>
    <cellStyle name="Normal 28 21" xfId="29344" xr:uid="{00000000-0005-0000-0000-0000A0720000}"/>
    <cellStyle name="Normal 28 22" xfId="29345" xr:uid="{00000000-0005-0000-0000-0000A1720000}"/>
    <cellStyle name="Normal 28 23" xfId="29346" xr:uid="{00000000-0005-0000-0000-0000A2720000}"/>
    <cellStyle name="Normal 28 24" xfId="29347" xr:uid="{00000000-0005-0000-0000-0000A3720000}"/>
    <cellStyle name="Normal 28 25" xfId="29348" xr:uid="{00000000-0005-0000-0000-0000A4720000}"/>
    <cellStyle name="Normal 28 26" xfId="29349" xr:uid="{00000000-0005-0000-0000-0000A5720000}"/>
    <cellStyle name="Normal 28 3" xfId="29350" xr:uid="{00000000-0005-0000-0000-0000A6720000}"/>
    <cellStyle name="Normal 28 3 2" xfId="29351" xr:uid="{00000000-0005-0000-0000-0000A7720000}"/>
    <cellStyle name="Normal 28 3 3" xfId="29352" xr:uid="{00000000-0005-0000-0000-0000A8720000}"/>
    <cellStyle name="Normal 28 4" xfId="29353" xr:uid="{00000000-0005-0000-0000-0000A9720000}"/>
    <cellStyle name="Normal 28 5" xfId="29354" xr:uid="{00000000-0005-0000-0000-0000AA720000}"/>
    <cellStyle name="Normal 28 6" xfId="29355" xr:uid="{00000000-0005-0000-0000-0000AB720000}"/>
    <cellStyle name="Normal 28 7" xfId="29356" xr:uid="{00000000-0005-0000-0000-0000AC720000}"/>
    <cellStyle name="Normal 28 8" xfId="29357" xr:uid="{00000000-0005-0000-0000-0000AD720000}"/>
    <cellStyle name="Normal 28 9" xfId="29358" xr:uid="{00000000-0005-0000-0000-0000AE720000}"/>
    <cellStyle name="Normal 29" xfId="29359" xr:uid="{00000000-0005-0000-0000-0000AF720000}"/>
    <cellStyle name="Normal 29 10" xfId="29360" xr:uid="{00000000-0005-0000-0000-0000B0720000}"/>
    <cellStyle name="Normal 29 11" xfId="29361" xr:uid="{00000000-0005-0000-0000-0000B1720000}"/>
    <cellStyle name="Normal 29 12" xfId="29362" xr:uid="{00000000-0005-0000-0000-0000B2720000}"/>
    <cellStyle name="Normal 29 13" xfId="29363" xr:uid="{00000000-0005-0000-0000-0000B3720000}"/>
    <cellStyle name="Normal 29 14" xfId="29364" xr:uid="{00000000-0005-0000-0000-0000B4720000}"/>
    <cellStyle name="Normal 29 15" xfId="29365" xr:uid="{00000000-0005-0000-0000-0000B5720000}"/>
    <cellStyle name="Normal 29 16" xfId="29366" xr:uid="{00000000-0005-0000-0000-0000B6720000}"/>
    <cellStyle name="Normal 29 17" xfId="29367" xr:uid="{00000000-0005-0000-0000-0000B7720000}"/>
    <cellStyle name="Normal 29 18" xfId="29368" xr:uid="{00000000-0005-0000-0000-0000B8720000}"/>
    <cellStyle name="Normal 29 19" xfId="29369" xr:uid="{00000000-0005-0000-0000-0000B9720000}"/>
    <cellStyle name="Normal 29 2" xfId="29370" xr:uid="{00000000-0005-0000-0000-0000BA720000}"/>
    <cellStyle name="Normal 29 2 2" xfId="29371" xr:uid="{00000000-0005-0000-0000-0000BB720000}"/>
    <cellStyle name="Normal 29 2 3" xfId="29372" xr:uid="{00000000-0005-0000-0000-0000BC720000}"/>
    <cellStyle name="Normal 29 20" xfId="29373" xr:uid="{00000000-0005-0000-0000-0000BD720000}"/>
    <cellStyle name="Normal 29 21" xfId="29374" xr:uid="{00000000-0005-0000-0000-0000BE720000}"/>
    <cellStyle name="Normal 29 22" xfId="29375" xr:uid="{00000000-0005-0000-0000-0000BF720000}"/>
    <cellStyle name="Normal 29 23" xfId="29376" xr:uid="{00000000-0005-0000-0000-0000C0720000}"/>
    <cellStyle name="Normal 29 24" xfId="29377" xr:uid="{00000000-0005-0000-0000-0000C1720000}"/>
    <cellStyle name="Normal 29 25" xfId="29378" xr:uid="{00000000-0005-0000-0000-0000C2720000}"/>
    <cellStyle name="Normal 29 26" xfId="29379" xr:uid="{00000000-0005-0000-0000-0000C3720000}"/>
    <cellStyle name="Normal 29 3" xfId="29380" xr:uid="{00000000-0005-0000-0000-0000C4720000}"/>
    <cellStyle name="Normal 29 3 2" xfId="29381" xr:uid="{00000000-0005-0000-0000-0000C5720000}"/>
    <cellStyle name="Normal 29 3 3" xfId="29382" xr:uid="{00000000-0005-0000-0000-0000C6720000}"/>
    <cellStyle name="Normal 29 4" xfId="29383" xr:uid="{00000000-0005-0000-0000-0000C7720000}"/>
    <cellStyle name="Normal 29 5" xfId="29384" xr:uid="{00000000-0005-0000-0000-0000C8720000}"/>
    <cellStyle name="Normal 29 6" xfId="29385" xr:uid="{00000000-0005-0000-0000-0000C9720000}"/>
    <cellStyle name="Normal 29 7" xfId="29386" xr:uid="{00000000-0005-0000-0000-0000CA720000}"/>
    <cellStyle name="Normal 29 8" xfId="29387" xr:uid="{00000000-0005-0000-0000-0000CB720000}"/>
    <cellStyle name="Normal 29 9" xfId="29388" xr:uid="{00000000-0005-0000-0000-0000CC720000}"/>
    <cellStyle name="Normal 3" xfId="12" xr:uid="{00000000-0005-0000-0000-00000C000000}"/>
    <cellStyle name="Normal 3 10" xfId="29390" xr:uid="{00000000-0005-0000-0000-0000CE720000}"/>
    <cellStyle name="Normal 3 10 2" xfId="29391" xr:uid="{00000000-0005-0000-0000-0000CF720000}"/>
    <cellStyle name="Normal 3 10 3" xfId="29392" xr:uid="{00000000-0005-0000-0000-0000D0720000}"/>
    <cellStyle name="Normal 3 10 4" xfId="29393" xr:uid="{00000000-0005-0000-0000-0000D1720000}"/>
    <cellStyle name="Normal 3 10 5" xfId="29394" xr:uid="{00000000-0005-0000-0000-0000D2720000}"/>
    <cellStyle name="Normal 3 10 6" xfId="29395" xr:uid="{00000000-0005-0000-0000-0000D3720000}"/>
    <cellStyle name="Normal 3 10_Enlaces" xfId="29396" xr:uid="{00000000-0005-0000-0000-0000D4720000}"/>
    <cellStyle name="Normal 3 100" xfId="29397" xr:uid="{00000000-0005-0000-0000-0000D5720000}"/>
    <cellStyle name="Normal 3 100 2" xfId="29398" xr:uid="{00000000-0005-0000-0000-0000D6720000}"/>
    <cellStyle name="Normal 3 100 3" xfId="29399" xr:uid="{00000000-0005-0000-0000-0000D7720000}"/>
    <cellStyle name="Normal 3 101" xfId="29400" xr:uid="{00000000-0005-0000-0000-0000D8720000}"/>
    <cellStyle name="Normal 3 101 2" xfId="29401" xr:uid="{00000000-0005-0000-0000-0000D9720000}"/>
    <cellStyle name="Normal 3 101 3" xfId="29402" xr:uid="{00000000-0005-0000-0000-0000DA720000}"/>
    <cellStyle name="Normal 3 102" xfId="29403" xr:uid="{00000000-0005-0000-0000-0000DB720000}"/>
    <cellStyle name="Normal 3 102 2" xfId="29404" xr:uid="{00000000-0005-0000-0000-0000DC720000}"/>
    <cellStyle name="Normal 3 102 3" xfId="29405" xr:uid="{00000000-0005-0000-0000-0000DD720000}"/>
    <cellStyle name="Normal 3 103" xfId="29406" xr:uid="{00000000-0005-0000-0000-0000DE720000}"/>
    <cellStyle name="Normal 3 103 2" xfId="29407" xr:uid="{00000000-0005-0000-0000-0000DF720000}"/>
    <cellStyle name="Normal 3 103 3" xfId="29408" xr:uid="{00000000-0005-0000-0000-0000E0720000}"/>
    <cellStyle name="Normal 3 104" xfId="29409" xr:uid="{00000000-0005-0000-0000-0000E1720000}"/>
    <cellStyle name="Normal 3 104 2" xfId="29410" xr:uid="{00000000-0005-0000-0000-0000E2720000}"/>
    <cellStyle name="Normal 3 104 3" xfId="29411" xr:uid="{00000000-0005-0000-0000-0000E3720000}"/>
    <cellStyle name="Normal 3 105" xfId="29412" xr:uid="{00000000-0005-0000-0000-0000E4720000}"/>
    <cellStyle name="Normal 3 105 2" xfId="29413" xr:uid="{00000000-0005-0000-0000-0000E5720000}"/>
    <cellStyle name="Normal 3 105 3" xfId="29414" xr:uid="{00000000-0005-0000-0000-0000E6720000}"/>
    <cellStyle name="Normal 3 106" xfId="29415" xr:uid="{00000000-0005-0000-0000-0000E7720000}"/>
    <cellStyle name="Normal 3 106 2" xfId="29416" xr:uid="{00000000-0005-0000-0000-0000E8720000}"/>
    <cellStyle name="Normal 3 106 3" xfId="29417" xr:uid="{00000000-0005-0000-0000-0000E9720000}"/>
    <cellStyle name="Normal 3 107" xfId="29418" xr:uid="{00000000-0005-0000-0000-0000EA720000}"/>
    <cellStyle name="Normal 3 107 2" xfId="29419" xr:uid="{00000000-0005-0000-0000-0000EB720000}"/>
    <cellStyle name="Normal 3 107 3" xfId="29420" xr:uid="{00000000-0005-0000-0000-0000EC720000}"/>
    <cellStyle name="Normal 3 108" xfId="29421" xr:uid="{00000000-0005-0000-0000-0000ED720000}"/>
    <cellStyle name="Normal 3 108 2" xfId="29422" xr:uid="{00000000-0005-0000-0000-0000EE720000}"/>
    <cellStyle name="Normal 3 108 3" xfId="29423" xr:uid="{00000000-0005-0000-0000-0000EF720000}"/>
    <cellStyle name="Normal 3 109" xfId="29424" xr:uid="{00000000-0005-0000-0000-0000F0720000}"/>
    <cellStyle name="Normal 3 109 2" xfId="29425" xr:uid="{00000000-0005-0000-0000-0000F1720000}"/>
    <cellStyle name="Normal 3 109 3" xfId="29426" xr:uid="{00000000-0005-0000-0000-0000F2720000}"/>
    <cellStyle name="Normal 3 11" xfId="29427" xr:uid="{00000000-0005-0000-0000-0000F3720000}"/>
    <cellStyle name="Normal 3 11 2" xfId="29428" xr:uid="{00000000-0005-0000-0000-0000F4720000}"/>
    <cellStyle name="Normal 3 11 3" xfId="29429" xr:uid="{00000000-0005-0000-0000-0000F5720000}"/>
    <cellStyle name="Normal 3 11 4" xfId="29430" xr:uid="{00000000-0005-0000-0000-0000F6720000}"/>
    <cellStyle name="Normal 3 11_Enlaces" xfId="29431" xr:uid="{00000000-0005-0000-0000-0000F7720000}"/>
    <cellStyle name="Normal 3 110" xfId="29432" xr:uid="{00000000-0005-0000-0000-0000F8720000}"/>
    <cellStyle name="Normal 3 110 2" xfId="29433" xr:uid="{00000000-0005-0000-0000-0000F9720000}"/>
    <cellStyle name="Normal 3 110 3" xfId="29434" xr:uid="{00000000-0005-0000-0000-0000FA720000}"/>
    <cellStyle name="Normal 3 111" xfId="29435" xr:uid="{00000000-0005-0000-0000-0000FB720000}"/>
    <cellStyle name="Normal 3 111 2" xfId="29436" xr:uid="{00000000-0005-0000-0000-0000FC720000}"/>
    <cellStyle name="Normal 3 111 3" xfId="29437" xr:uid="{00000000-0005-0000-0000-0000FD720000}"/>
    <cellStyle name="Normal 3 112" xfId="29438" xr:uid="{00000000-0005-0000-0000-0000FE720000}"/>
    <cellStyle name="Normal 3 112 2" xfId="29439" xr:uid="{00000000-0005-0000-0000-0000FF720000}"/>
    <cellStyle name="Normal 3 112 3" xfId="29440" xr:uid="{00000000-0005-0000-0000-000000730000}"/>
    <cellStyle name="Normal 3 113" xfId="29441" xr:uid="{00000000-0005-0000-0000-000001730000}"/>
    <cellStyle name="Normal 3 113 2" xfId="29442" xr:uid="{00000000-0005-0000-0000-000002730000}"/>
    <cellStyle name="Normal 3 113 3" xfId="29443" xr:uid="{00000000-0005-0000-0000-000003730000}"/>
    <cellStyle name="Normal 3 114" xfId="29444" xr:uid="{00000000-0005-0000-0000-000004730000}"/>
    <cellStyle name="Normal 3 114 2" xfId="29445" xr:uid="{00000000-0005-0000-0000-000005730000}"/>
    <cellStyle name="Normal 3 114 3" xfId="29446" xr:uid="{00000000-0005-0000-0000-000006730000}"/>
    <cellStyle name="Normal 3 115" xfId="29447" xr:uid="{00000000-0005-0000-0000-000007730000}"/>
    <cellStyle name="Normal 3 115 2" xfId="29448" xr:uid="{00000000-0005-0000-0000-000008730000}"/>
    <cellStyle name="Normal 3 115 3" xfId="29449" xr:uid="{00000000-0005-0000-0000-000009730000}"/>
    <cellStyle name="Normal 3 116" xfId="29450" xr:uid="{00000000-0005-0000-0000-00000A730000}"/>
    <cellStyle name="Normal 3 116 2" xfId="29451" xr:uid="{00000000-0005-0000-0000-00000B730000}"/>
    <cellStyle name="Normal 3 116 3" xfId="29452" xr:uid="{00000000-0005-0000-0000-00000C730000}"/>
    <cellStyle name="Normal 3 117" xfId="29453" xr:uid="{00000000-0005-0000-0000-00000D730000}"/>
    <cellStyle name="Normal 3 117 2" xfId="29454" xr:uid="{00000000-0005-0000-0000-00000E730000}"/>
    <cellStyle name="Normal 3 117 3" xfId="29455" xr:uid="{00000000-0005-0000-0000-00000F730000}"/>
    <cellStyle name="Normal 3 118" xfId="29456" xr:uid="{00000000-0005-0000-0000-000010730000}"/>
    <cellStyle name="Normal 3 118 2" xfId="29457" xr:uid="{00000000-0005-0000-0000-000011730000}"/>
    <cellStyle name="Normal 3 118 3" xfId="29458" xr:uid="{00000000-0005-0000-0000-000012730000}"/>
    <cellStyle name="Normal 3 119" xfId="29459" xr:uid="{00000000-0005-0000-0000-000013730000}"/>
    <cellStyle name="Normal 3 119 2" xfId="29460" xr:uid="{00000000-0005-0000-0000-000014730000}"/>
    <cellStyle name="Normal 3 119 3" xfId="29461" xr:uid="{00000000-0005-0000-0000-000015730000}"/>
    <cellStyle name="Normal 3 12" xfId="29462" xr:uid="{00000000-0005-0000-0000-000016730000}"/>
    <cellStyle name="Normal 3 12 2" xfId="29463" xr:uid="{00000000-0005-0000-0000-000017730000}"/>
    <cellStyle name="Normal 3 12 3" xfId="29464" xr:uid="{00000000-0005-0000-0000-000018730000}"/>
    <cellStyle name="Normal 3 12_Enlaces" xfId="29465" xr:uid="{00000000-0005-0000-0000-000019730000}"/>
    <cellStyle name="Normal 3 120" xfId="29466" xr:uid="{00000000-0005-0000-0000-00001A730000}"/>
    <cellStyle name="Normal 3 120 2" xfId="29467" xr:uid="{00000000-0005-0000-0000-00001B730000}"/>
    <cellStyle name="Normal 3 120 3" xfId="29468" xr:uid="{00000000-0005-0000-0000-00001C730000}"/>
    <cellStyle name="Normal 3 121" xfId="29469" xr:uid="{00000000-0005-0000-0000-00001D730000}"/>
    <cellStyle name="Normal 3 121 2" xfId="29470" xr:uid="{00000000-0005-0000-0000-00001E730000}"/>
    <cellStyle name="Normal 3 121 3" xfId="29471" xr:uid="{00000000-0005-0000-0000-00001F730000}"/>
    <cellStyle name="Normal 3 122" xfId="29472" xr:uid="{00000000-0005-0000-0000-000020730000}"/>
    <cellStyle name="Normal 3 122 2" xfId="29473" xr:uid="{00000000-0005-0000-0000-000021730000}"/>
    <cellStyle name="Normal 3 122 3" xfId="29474" xr:uid="{00000000-0005-0000-0000-000022730000}"/>
    <cellStyle name="Normal 3 123" xfId="29475" xr:uid="{00000000-0005-0000-0000-000023730000}"/>
    <cellStyle name="Normal 3 123 2" xfId="29476" xr:uid="{00000000-0005-0000-0000-000024730000}"/>
    <cellStyle name="Normal 3 123 3" xfId="29477" xr:uid="{00000000-0005-0000-0000-000025730000}"/>
    <cellStyle name="Normal 3 124" xfId="29478" xr:uid="{00000000-0005-0000-0000-000026730000}"/>
    <cellStyle name="Normal 3 125" xfId="29479" xr:uid="{00000000-0005-0000-0000-000027730000}"/>
    <cellStyle name="Normal 3 126" xfId="29480" xr:uid="{00000000-0005-0000-0000-000028730000}"/>
    <cellStyle name="Normal 3 127" xfId="29481" xr:uid="{00000000-0005-0000-0000-000029730000}"/>
    <cellStyle name="Normal 3 128" xfId="29482" xr:uid="{00000000-0005-0000-0000-00002A730000}"/>
    <cellStyle name="Normal 3 129" xfId="29483" xr:uid="{00000000-0005-0000-0000-00002B730000}"/>
    <cellStyle name="Normal 3 13" xfId="29484" xr:uid="{00000000-0005-0000-0000-00002C730000}"/>
    <cellStyle name="Normal 3 13 2" xfId="29485" xr:uid="{00000000-0005-0000-0000-00002D730000}"/>
    <cellStyle name="Normal 3 13 3" xfId="29486" xr:uid="{00000000-0005-0000-0000-00002E730000}"/>
    <cellStyle name="Normal 3 13_Enlaces" xfId="29487" xr:uid="{00000000-0005-0000-0000-00002F730000}"/>
    <cellStyle name="Normal 3 130" xfId="29488" xr:uid="{00000000-0005-0000-0000-000030730000}"/>
    <cellStyle name="Normal 3 131" xfId="29489" xr:uid="{00000000-0005-0000-0000-000031730000}"/>
    <cellStyle name="Normal 3 131 2" xfId="29490" xr:uid="{00000000-0005-0000-0000-000032730000}"/>
    <cellStyle name="Normal 3 132" xfId="29491" xr:uid="{00000000-0005-0000-0000-000033730000}"/>
    <cellStyle name="Normal 3 132 2" xfId="29492" xr:uid="{00000000-0005-0000-0000-000034730000}"/>
    <cellStyle name="Normal 3 133" xfId="29493" xr:uid="{00000000-0005-0000-0000-000035730000}"/>
    <cellStyle name="Normal 3 133 2" xfId="29494" xr:uid="{00000000-0005-0000-0000-000036730000}"/>
    <cellStyle name="Normal 3 134" xfId="29495" xr:uid="{00000000-0005-0000-0000-000037730000}"/>
    <cellStyle name="Normal 3 134 2" xfId="29496" xr:uid="{00000000-0005-0000-0000-000038730000}"/>
    <cellStyle name="Normal 3 135" xfId="29497" xr:uid="{00000000-0005-0000-0000-000039730000}"/>
    <cellStyle name="Normal 3 135 2" xfId="29498" xr:uid="{00000000-0005-0000-0000-00003A730000}"/>
    <cellStyle name="Normal 3 136" xfId="29499" xr:uid="{00000000-0005-0000-0000-00003B730000}"/>
    <cellStyle name="Normal 3 136 2" xfId="29500" xr:uid="{00000000-0005-0000-0000-00003C730000}"/>
    <cellStyle name="Normal 3 137" xfId="29501" xr:uid="{00000000-0005-0000-0000-00003D730000}"/>
    <cellStyle name="Normal 3 137 2" xfId="29502" xr:uid="{00000000-0005-0000-0000-00003E730000}"/>
    <cellStyle name="Normal 3 138" xfId="29503" xr:uid="{00000000-0005-0000-0000-00003F730000}"/>
    <cellStyle name="Normal 3 138 2" xfId="29504" xr:uid="{00000000-0005-0000-0000-000040730000}"/>
    <cellStyle name="Normal 3 139" xfId="29505" xr:uid="{00000000-0005-0000-0000-000041730000}"/>
    <cellStyle name="Normal 3 139 2" xfId="29506" xr:uid="{00000000-0005-0000-0000-000042730000}"/>
    <cellStyle name="Normal 3 14" xfId="29507" xr:uid="{00000000-0005-0000-0000-000043730000}"/>
    <cellStyle name="Normal 3 14 2" xfId="29508" xr:uid="{00000000-0005-0000-0000-000044730000}"/>
    <cellStyle name="Normal 3 14 3" xfId="29509" xr:uid="{00000000-0005-0000-0000-000045730000}"/>
    <cellStyle name="Normal 3 14_Enlaces" xfId="29510" xr:uid="{00000000-0005-0000-0000-000046730000}"/>
    <cellStyle name="Normal 3 140" xfId="29511" xr:uid="{00000000-0005-0000-0000-000047730000}"/>
    <cellStyle name="Normal 3 140 2" xfId="29512" xr:uid="{00000000-0005-0000-0000-000048730000}"/>
    <cellStyle name="Normal 3 141" xfId="29513" xr:uid="{00000000-0005-0000-0000-000049730000}"/>
    <cellStyle name="Normal 3 141 2" xfId="29514" xr:uid="{00000000-0005-0000-0000-00004A730000}"/>
    <cellStyle name="Normal 3 142" xfId="29515" xr:uid="{00000000-0005-0000-0000-00004B730000}"/>
    <cellStyle name="Normal 3 143" xfId="29516" xr:uid="{00000000-0005-0000-0000-00004C730000}"/>
    <cellStyle name="Normal 3 143 2" xfId="29517" xr:uid="{00000000-0005-0000-0000-00004D730000}"/>
    <cellStyle name="Normal 3 144" xfId="29518" xr:uid="{00000000-0005-0000-0000-00004E730000}"/>
    <cellStyle name="Normal 3 145" xfId="29519" xr:uid="{00000000-0005-0000-0000-00004F730000}"/>
    <cellStyle name="Normal 3 146" xfId="29389" xr:uid="{00000000-0005-0000-0000-0000CD720000}"/>
    <cellStyle name="Normal 3 15" xfId="29520" xr:uid="{00000000-0005-0000-0000-000050730000}"/>
    <cellStyle name="Normal 3 15 2" xfId="29521" xr:uid="{00000000-0005-0000-0000-000051730000}"/>
    <cellStyle name="Normal 3 15 3" xfId="29522" xr:uid="{00000000-0005-0000-0000-000052730000}"/>
    <cellStyle name="Normal 3 15_Enlaces" xfId="29523" xr:uid="{00000000-0005-0000-0000-000053730000}"/>
    <cellStyle name="Normal 3 16" xfId="29524" xr:uid="{00000000-0005-0000-0000-000054730000}"/>
    <cellStyle name="Normal 3 16 2" xfId="29525" xr:uid="{00000000-0005-0000-0000-000055730000}"/>
    <cellStyle name="Normal 3 16 3" xfId="29526" xr:uid="{00000000-0005-0000-0000-000056730000}"/>
    <cellStyle name="Normal 3 16_Enlaces" xfId="29527" xr:uid="{00000000-0005-0000-0000-000057730000}"/>
    <cellStyle name="Normal 3 17" xfId="29528" xr:uid="{00000000-0005-0000-0000-000058730000}"/>
    <cellStyle name="Normal 3 17 2" xfId="29529" xr:uid="{00000000-0005-0000-0000-000059730000}"/>
    <cellStyle name="Normal 3 17 3" xfId="29530" xr:uid="{00000000-0005-0000-0000-00005A730000}"/>
    <cellStyle name="Normal 3 17_Enlaces" xfId="29531" xr:uid="{00000000-0005-0000-0000-00005B730000}"/>
    <cellStyle name="Normal 3 18" xfId="29532" xr:uid="{00000000-0005-0000-0000-00005C730000}"/>
    <cellStyle name="Normal 3 18 2" xfId="29533" xr:uid="{00000000-0005-0000-0000-00005D730000}"/>
    <cellStyle name="Normal 3 18 3" xfId="29534" xr:uid="{00000000-0005-0000-0000-00005E730000}"/>
    <cellStyle name="Normal 3 18_Enlaces" xfId="29535" xr:uid="{00000000-0005-0000-0000-00005F730000}"/>
    <cellStyle name="Normal 3 19" xfId="29536" xr:uid="{00000000-0005-0000-0000-000060730000}"/>
    <cellStyle name="Normal 3 19 2" xfId="29537" xr:uid="{00000000-0005-0000-0000-000061730000}"/>
    <cellStyle name="Normal 3 19 3" xfId="29538" xr:uid="{00000000-0005-0000-0000-000062730000}"/>
    <cellStyle name="Normal 3 19_Enlaces" xfId="29539" xr:uid="{00000000-0005-0000-0000-000063730000}"/>
    <cellStyle name="Normal 3 2" xfId="57" xr:uid="{00000000-0005-0000-0000-000039000000}"/>
    <cellStyle name="Normal 3 2 10" xfId="29541" xr:uid="{00000000-0005-0000-0000-000065730000}"/>
    <cellStyle name="Normal 3 2 10 2" xfId="29542" xr:uid="{00000000-0005-0000-0000-000066730000}"/>
    <cellStyle name="Normal 3 2 10 3" xfId="29543" xr:uid="{00000000-0005-0000-0000-000067730000}"/>
    <cellStyle name="Normal 3 2 11" xfId="29544" xr:uid="{00000000-0005-0000-0000-000068730000}"/>
    <cellStyle name="Normal 3 2 11 2" xfId="29545" xr:uid="{00000000-0005-0000-0000-000069730000}"/>
    <cellStyle name="Normal 3 2 12" xfId="29546" xr:uid="{00000000-0005-0000-0000-00006A730000}"/>
    <cellStyle name="Normal 3 2 12 2" xfId="29547" xr:uid="{00000000-0005-0000-0000-00006B730000}"/>
    <cellStyle name="Normal 3 2 13" xfId="29548" xr:uid="{00000000-0005-0000-0000-00006C730000}"/>
    <cellStyle name="Normal 3 2 13 2" xfId="29549" xr:uid="{00000000-0005-0000-0000-00006D730000}"/>
    <cellStyle name="Normal 3 2 14" xfId="29550" xr:uid="{00000000-0005-0000-0000-00006E730000}"/>
    <cellStyle name="Normal 3 2 14 2" xfId="29551" xr:uid="{00000000-0005-0000-0000-00006F730000}"/>
    <cellStyle name="Normal 3 2 15" xfId="29552" xr:uid="{00000000-0005-0000-0000-000070730000}"/>
    <cellStyle name="Normal 3 2 15 2" xfId="29553" xr:uid="{00000000-0005-0000-0000-000071730000}"/>
    <cellStyle name="Normal 3 2 16" xfId="29554" xr:uid="{00000000-0005-0000-0000-000072730000}"/>
    <cellStyle name="Normal 3 2 16 2" xfId="29555" xr:uid="{00000000-0005-0000-0000-000073730000}"/>
    <cellStyle name="Normal 3 2 17" xfId="29556" xr:uid="{00000000-0005-0000-0000-000074730000}"/>
    <cellStyle name="Normal 3 2 17 2" xfId="29557" xr:uid="{00000000-0005-0000-0000-000075730000}"/>
    <cellStyle name="Normal 3 2 18" xfId="29558" xr:uid="{00000000-0005-0000-0000-000076730000}"/>
    <cellStyle name="Normal 3 2 18 2" xfId="29559" xr:uid="{00000000-0005-0000-0000-000077730000}"/>
    <cellStyle name="Normal 3 2 19" xfId="29560" xr:uid="{00000000-0005-0000-0000-000078730000}"/>
    <cellStyle name="Normal 3 2 19 2" xfId="29561" xr:uid="{00000000-0005-0000-0000-000079730000}"/>
    <cellStyle name="Normal 3 2 2" xfId="29562" xr:uid="{00000000-0005-0000-0000-00007A730000}"/>
    <cellStyle name="Normal 3 2 2 2" xfId="29563" xr:uid="{00000000-0005-0000-0000-00007B730000}"/>
    <cellStyle name="Normal 3 2 2 2 2" xfId="29564" xr:uid="{00000000-0005-0000-0000-00007C730000}"/>
    <cellStyle name="Normal 3 2 20" xfId="29565" xr:uid="{00000000-0005-0000-0000-00007D730000}"/>
    <cellStyle name="Normal 3 2 20 2" xfId="29566" xr:uid="{00000000-0005-0000-0000-00007E730000}"/>
    <cellStyle name="Normal 3 2 21" xfId="29567" xr:uid="{00000000-0005-0000-0000-00007F730000}"/>
    <cellStyle name="Normal 3 2 21 2" xfId="29568" xr:uid="{00000000-0005-0000-0000-000080730000}"/>
    <cellStyle name="Normal 3 2 22" xfId="29569" xr:uid="{00000000-0005-0000-0000-000081730000}"/>
    <cellStyle name="Normal 3 2 22 2" xfId="29570" xr:uid="{00000000-0005-0000-0000-000082730000}"/>
    <cellStyle name="Normal 3 2 23" xfId="29571" xr:uid="{00000000-0005-0000-0000-000083730000}"/>
    <cellStyle name="Normal 3 2 23 2" xfId="29572" xr:uid="{00000000-0005-0000-0000-000084730000}"/>
    <cellStyle name="Normal 3 2 24" xfId="29573" xr:uid="{00000000-0005-0000-0000-000085730000}"/>
    <cellStyle name="Normal 3 2 24 2" xfId="29574" xr:uid="{00000000-0005-0000-0000-000086730000}"/>
    <cellStyle name="Normal 3 2 25" xfId="29575" xr:uid="{00000000-0005-0000-0000-000087730000}"/>
    <cellStyle name="Normal 3 2 25 2" xfId="29576" xr:uid="{00000000-0005-0000-0000-000088730000}"/>
    <cellStyle name="Normal 3 2 26" xfId="29577" xr:uid="{00000000-0005-0000-0000-000089730000}"/>
    <cellStyle name="Normal 3 2 27" xfId="29578" xr:uid="{00000000-0005-0000-0000-00008A730000}"/>
    <cellStyle name="Normal 3 2 28" xfId="29579" xr:uid="{00000000-0005-0000-0000-00008B730000}"/>
    <cellStyle name="Normal 3 2 29" xfId="29580" xr:uid="{00000000-0005-0000-0000-00008C730000}"/>
    <cellStyle name="Normal 3 2 3" xfId="29581" xr:uid="{00000000-0005-0000-0000-00008D730000}"/>
    <cellStyle name="Normal 3 2 3 2" xfId="29582" xr:uid="{00000000-0005-0000-0000-00008E730000}"/>
    <cellStyle name="Normal 3 2 3 3" xfId="29583" xr:uid="{00000000-0005-0000-0000-00008F730000}"/>
    <cellStyle name="Normal 3 2 30" xfId="29584" xr:uid="{00000000-0005-0000-0000-000090730000}"/>
    <cellStyle name="Normal 3 2 31" xfId="29585" xr:uid="{00000000-0005-0000-0000-000091730000}"/>
    <cellStyle name="Normal 3 2 32" xfId="29586" xr:uid="{00000000-0005-0000-0000-000092730000}"/>
    <cellStyle name="Normal 3 2 33" xfId="29587" xr:uid="{00000000-0005-0000-0000-000093730000}"/>
    <cellStyle name="Normal 3 2 34" xfId="29588" xr:uid="{00000000-0005-0000-0000-000094730000}"/>
    <cellStyle name="Normal 3 2 35" xfId="29589" xr:uid="{00000000-0005-0000-0000-000095730000}"/>
    <cellStyle name="Normal 3 2 36" xfId="29590" xr:uid="{00000000-0005-0000-0000-000096730000}"/>
    <cellStyle name="Normal 3 2 37" xfId="29591" xr:uid="{00000000-0005-0000-0000-000097730000}"/>
    <cellStyle name="Normal 3 2 38" xfId="29592" xr:uid="{00000000-0005-0000-0000-000098730000}"/>
    <cellStyle name="Normal 3 2 39" xfId="29593" xr:uid="{00000000-0005-0000-0000-000099730000}"/>
    <cellStyle name="Normal 3 2 4" xfId="29594" xr:uid="{00000000-0005-0000-0000-00009A730000}"/>
    <cellStyle name="Normal 3 2 4 2" xfId="29595" xr:uid="{00000000-0005-0000-0000-00009B730000}"/>
    <cellStyle name="Normal 3 2 4 3" xfId="29596" xr:uid="{00000000-0005-0000-0000-00009C730000}"/>
    <cellStyle name="Normal 3 2 40" xfId="29597" xr:uid="{00000000-0005-0000-0000-00009D730000}"/>
    <cellStyle name="Normal 3 2 41" xfId="29598" xr:uid="{00000000-0005-0000-0000-00009E730000}"/>
    <cellStyle name="Normal 3 2 42" xfId="29599" xr:uid="{00000000-0005-0000-0000-00009F730000}"/>
    <cellStyle name="Normal 3 2 43" xfId="29600" xr:uid="{00000000-0005-0000-0000-0000A0730000}"/>
    <cellStyle name="Normal 3 2 44" xfId="29601" xr:uid="{00000000-0005-0000-0000-0000A1730000}"/>
    <cellStyle name="Normal 3 2 45" xfId="29602" xr:uid="{00000000-0005-0000-0000-0000A2730000}"/>
    <cellStyle name="Normal 3 2 46" xfId="29603" xr:uid="{00000000-0005-0000-0000-0000A3730000}"/>
    <cellStyle name="Normal 3 2 47" xfId="29604" xr:uid="{00000000-0005-0000-0000-0000A4730000}"/>
    <cellStyle name="Normal 3 2 48" xfId="29605" xr:uid="{00000000-0005-0000-0000-0000A5730000}"/>
    <cellStyle name="Normal 3 2 49" xfId="29606" xr:uid="{00000000-0005-0000-0000-0000A6730000}"/>
    <cellStyle name="Normal 3 2 5" xfId="29607" xr:uid="{00000000-0005-0000-0000-0000A7730000}"/>
    <cellStyle name="Normal 3 2 5 2" xfId="29608" xr:uid="{00000000-0005-0000-0000-0000A8730000}"/>
    <cellStyle name="Normal 3 2 5 3" xfId="29609" xr:uid="{00000000-0005-0000-0000-0000A9730000}"/>
    <cellStyle name="Normal 3 2 50" xfId="29610" xr:uid="{00000000-0005-0000-0000-0000AA730000}"/>
    <cellStyle name="Normal 3 2 51" xfId="29611" xr:uid="{00000000-0005-0000-0000-0000AB730000}"/>
    <cellStyle name="Normal 3 2 52" xfId="29612" xr:uid="{00000000-0005-0000-0000-0000AC730000}"/>
    <cellStyle name="Normal 3 2 53" xfId="29613" xr:uid="{00000000-0005-0000-0000-0000AD730000}"/>
    <cellStyle name="Normal 3 2 54" xfId="29614" xr:uid="{00000000-0005-0000-0000-0000AE730000}"/>
    <cellStyle name="Normal 3 2 55" xfId="29615" xr:uid="{00000000-0005-0000-0000-0000AF730000}"/>
    <cellStyle name="Normal 3 2 56" xfId="29616" xr:uid="{00000000-0005-0000-0000-0000B0730000}"/>
    <cellStyle name="Normal 3 2 57" xfId="29617" xr:uid="{00000000-0005-0000-0000-0000B1730000}"/>
    <cellStyle name="Normal 3 2 58" xfId="29618" xr:uid="{00000000-0005-0000-0000-0000B2730000}"/>
    <cellStyle name="Normal 3 2 59" xfId="29619" xr:uid="{00000000-0005-0000-0000-0000B3730000}"/>
    <cellStyle name="Normal 3 2 6" xfId="29620" xr:uid="{00000000-0005-0000-0000-0000B4730000}"/>
    <cellStyle name="Normal 3 2 6 2" xfId="29621" xr:uid="{00000000-0005-0000-0000-0000B5730000}"/>
    <cellStyle name="Normal 3 2 6 3" xfId="29622" xr:uid="{00000000-0005-0000-0000-0000B6730000}"/>
    <cellStyle name="Normal 3 2 60" xfId="29623" xr:uid="{00000000-0005-0000-0000-0000B7730000}"/>
    <cellStyle name="Normal 3 2 61" xfId="29624" xr:uid="{00000000-0005-0000-0000-0000B8730000}"/>
    <cellStyle name="Normal 3 2 62" xfId="29625" xr:uid="{00000000-0005-0000-0000-0000B9730000}"/>
    <cellStyle name="Normal 3 2 63" xfId="29626" xr:uid="{00000000-0005-0000-0000-0000BA730000}"/>
    <cellStyle name="Normal 3 2 64" xfId="29627" xr:uid="{00000000-0005-0000-0000-0000BB730000}"/>
    <cellStyle name="Normal 3 2 65" xfId="29628" xr:uid="{00000000-0005-0000-0000-0000BC730000}"/>
    <cellStyle name="Normal 3 2 66" xfId="29629" xr:uid="{00000000-0005-0000-0000-0000BD730000}"/>
    <cellStyle name="Normal 3 2 67" xfId="29630" xr:uid="{00000000-0005-0000-0000-0000BE730000}"/>
    <cellStyle name="Normal 3 2 68" xfId="29631" xr:uid="{00000000-0005-0000-0000-0000BF730000}"/>
    <cellStyle name="Normal 3 2 69" xfId="29632" xr:uid="{00000000-0005-0000-0000-0000C0730000}"/>
    <cellStyle name="Normal 3 2 7" xfId="29633" xr:uid="{00000000-0005-0000-0000-0000C1730000}"/>
    <cellStyle name="Normal 3 2 7 2" xfId="29634" xr:uid="{00000000-0005-0000-0000-0000C2730000}"/>
    <cellStyle name="Normal 3 2 7 3" xfId="29635" xr:uid="{00000000-0005-0000-0000-0000C3730000}"/>
    <cellStyle name="Normal 3 2 70" xfId="29636" xr:uid="{00000000-0005-0000-0000-0000C4730000}"/>
    <cellStyle name="Normal 3 2 71" xfId="29637" xr:uid="{00000000-0005-0000-0000-0000C5730000}"/>
    <cellStyle name="Normal 3 2 72" xfId="29638" xr:uid="{00000000-0005-0000-0000-0000C6730000}"/>
    <cellStyle name="Normal 3 2 73" xfId="29639" xr:uid="{00000000-0005-0000-0000-0000C7730000}"/>
    <cellStyle name="Normal 3 2 74" xfId="29640" xr:uid="{00000000-0005-0000-0000-0000C8730000}"/>
    <cellStyle name="Normal 3 2 75" xfId="29641" xr:uid="{00000000-0005-0000-0000-0000C9730000}"/>
    <cellStyle name="Normal 3 2 76" xfId="29642" xr:uid="{00000000-0005-0000-0000-0000CA730000}"/>
    <cellStyle name="Normal 3 2 77" xfId="29643" xr:uid="{00000000-0005-0000-0000-0000CB730000}"/>
    <cellStyle name="Normal 3 2 78" xfId="29644" xr:uid="{00000000-0005-0000-0000-0000CC730000}"/>
    <cellStyle name="Normal 3 2 79" xfId="29645" xr:uid="{00000000-0005-0000-0000-0000CD730000}"/>
    <cellStyle name="Normal 3 2 8" xfId="29646" xr:uid="{00000000-0005-0000-0000-0000CE730000}"/>
    <cellStyle name="Normal 3 2 8 2" xfId="29647" xr:uid="{00000000-0005-0000-0000-0000CF730000}"/>
    <cellStyle name="Normal 3 2 8 3" xfId="29648" xr:uid="{00000000-0005-0000-0000-0000D0730000}"/>
    <cellStyle name="Normal 3 2 80" xfId="29649" xr:uid="{00000000-0005-0000-0000-0000D1730000}"/>
    <cellStyle name="Normal 3 2 81" xfId="29650" xr:uid="{00000000-0005-0000-0000-0000D2730000}"/>
    <cellStyle name="Normal 3 2 82" xfId="29651" xr:uid="{00000000-0005-0000-0000-0000D3730000}"/>
    <cellStyle name="Normal 3 2 83" xfId="29652" xr:uid="{00000000-0005-0000-0000-0000D4730000}"/>
    <cellStyle name="Normal 3 2 84" xfId="29653" xr:uid="{00000000-0005-0000-0000-0000D5730000}"/>
    <cellStyle name="Normal 3 2 85" xfId="29654" xr:uid="{00000000-0005-0000-0000-0000D6730000}"/>
    <cellStyle name="Normal 3 2 86" xfId="29655" xr:uid="{00000000-0005-0000-0000-0000D7730000}"/>
    <cellStyle name="Normal 3 2 87" xfId="29656" xr:uid="{00000000-0005-0000-0000-0000D8730000}"/>
    <cellStyle name="Normal 3 2 88" xfId="29657" xr:uid="{00000000-0005-0000-0000-0000D9730000}"/>
    <cellStyle name="Normal 3 2 89" xfId="29658" xr:uid="{00000000-0005-0000-0000-0000DA730000}"/>
    <cellStyle name="Normal 3 2 9" xfId="29659" xr:uid="{00000000-0005-0000-0000-0000DB730000}"/>
    <cellStyle name="Normal 3 2 9 2" xfId="29660" xr:uid="{00000000-0005-0000-0000-0000DC730000}"/>
    <cellStyle name="Normal 3 2 9 3" xfId="29661" xr:uid="{00000000-0005-0000-0000-0000DD730000}"/>
    <cellStyle name="Normal 3 2 90" xfId="29662" xr:uid="{00000000-0005-0000-0000-0000DE730000}"/>
    <cellStyle name="Normal 3 2 91" xfId="29663" xr:uid="{00000000-0005-0000-0000-0000DF730000}"/>
    <cellStyle name="Normal 3 2 92" xfId="29664" xr:uid="{00000000-0005-0000-0000-0000E0730000}"/>
    <cellStyle name="Normal 3 2 93" xfId="29665" xr:uid="{00000000-0005-0000-0000-0000E1730000}"/>
    <cellStyle name="Normal 3 2 94" xfId="29666" xr:uid="{00000000-0005-0000-0000-0000E2730000}"/>
    <cellStyle name="Normal 3 2 95" xfId="29540" xr:uid="{00000000-0005-0000-0000-000064730000}"/>
    <cellStyle name="Normal 3 2_Xa Parametrización de Usuarios" xfId="29667" xr:uid="{00000000-0005-0000-0000-0000E3730000}"/>
    <cellStyle name="Normal 3 20" xfId="29668" xr:uid="{00000000-0005-0000-0000-0000E4730000}"/>
    <cellStyle name="Normal 3 20 2" xfId="29669" xr:uid="{00000000-0005-0000-0000-0000E5730000}"/>
    <cellStyle name="Normal 3 20 3" xfId="29670" xr:uid="{00000000-0005-0000-0000-0000E6730000}"/>
    <cellStyle name="Normal 3 20_Enlaces" xfId="29671" xr:uid="{00000000-0005-0000-0000-0000E7730000}"/>
    <cellStyle name="Normal 3 21" xfId="29672" xr:uid="{00000000-0005-0000-0000-0000E8730000}"/>
    <cellStyle name="Normal 3 21 2" xfId="29673" xr:uid="{00000000-0005-0000-0000-0000E9730000}"/>
    <cellStyle name="Normal 3 21_Enlaces" xfId="29674" xr:uid="{00000000-0005-0000-0000-0000EA730000}"/>
    <cellStyle name="Normal 3 22" xfId="29675" xr:uid="{00000000-0005-0000-0000-0000EB730000}"/>
    <cellStyle name="Normal 3 22 2" xfId="29676" xr:uid="{00000000-0005-0000-0000-0000EC730000}"/>
    <cellStyle name="Normal 3 22_Enlaces" xfId="29677" xr:uid="{00000000-0005-0000-0000-0000ED730000}"/>
    <cellStyle name="Normal 3 23" xfId="29678" xr:uid="{00000000-0005-0000-0000-0000EE730000}"/>
    <cellStyle name="Normal 3 23 2" xfId="29679" xr:uid="{00000000-0005-0000-0000-0000EF730000}"/>
    <cellStyle name="Normal 3 23_Enlaces" xfId="29680" xr:uid="{00000000-0005-0000-0000-0000F0730000}"/>
    <cellStyle name="Normal 3 24" xfId="29681" xr:uid="{00000000-0005-0000-0000-0000F1730000}"/>
    <cellStyle name="Normal 3 24 2" xfId="29682" xr:uid="{00000000-0005-0000-0000-0000F2730000}"/>
    <cellStyle name="Normal 3 24_Enlaces" xfId="29683" xr:uid="{00000000-0005-0000-0000-0000F3730000}"/>
    <cellStyle name="Normal 3 25" xfId="29684" xr:uid="{00000000-0005-0000-0000-0000F4730000}"/>
    <cellStyle name="Normal 3 25 2" xfId="29685" xr:uid="{00000000-0005-0000-0000-0000F5730000}"/>
    <cellStyle name="Normal 3 25_Enlaces" xfId="29686" xr:uid="{00000000-0005-0000-0000-0000F6730000}"/>
    <cellStyle name="Normal 3 26" xfId="29687" xr:uid="{00000000-0005-0000-0000-0000F7730000}"/>
    <cellStyle name="Normal 3 26 2" xfId="29688" xr:uid="{00000000-0005-0000-0000-0000F8730000}"/>
    <cellStyle name="Normal 3 26_Enlaces" xfId="29689" xr:uid="{00000000-0005-0000-0000-0000F9730000}"/>
    <cellStyle name="Normal 3 27" xfId="29690" xr:uid="{00000000-0005-0000-0000-0000FA730000}"/>
    <cellStyle name="Normal 3 27 2" xfId="29691" xr:uid="{00000000-0005-0000-0000-0000FB730000}"/>
    <cellStyle name="Normal 3 27_Enlaces" xfId="29692" xr:uid="{00000000-0005-0000-0000-0000FC730000}"/>
    <cellStyle name="Normal 3 28" xfId="29693" xr:uid="{00000000-0005-0000-0000-0000FD730000}"/>
    <cellStyle name="Normal 3 29" xfId="29694" xr:uid="{00000000-0005-0000-0000-0000FE730000}"/>
    <cellStyle name="Normal 3 3" xfId="58" xr:uid="{00000000-0005-0000-0000-00003A000000}"/>
    <cellStyle name="Normal 3 3 10" xfId="29696" xr:uid="{00000000-0005-0000-0000-000000740000}"/>
    <cellStyle name="Normal 3 3 11" xfId="29697" xr:uid="{00000000-0005-0000-0000-000001740000}"/>
    <cellStyle name="Normal 3 3 12" xfId="29698" xr:uid="{00000000-0005-0000-0000-000002740000}"/>
    <cellStyle name="Normal 3 3 13" xfId="29699" xr:uid="{00000000-0005-0000-0000-000003740000}"/>
    <cellStyle name="Normal 3 3 14" xfId="29700" xr:uid="{00000000-0005-0000-0000-000004740000}"/>
    <cellStyle name="Normal 3 3 15" xfId="29701" xr:uid="{00000000-0005-0000-0000-000005740000}"/>
    <cellStyle name="Normal 3 3 16" xfId="29702" xr:uid="{00000000-0005-0000-0000-000006740000}"/>
    <cellStyle name="Normal 3 3 17" xfId="29703" xr:uid="{00000000-0005-0000-0000-000007740000}"/>
    <cellStyle name="Normal 3 3 18" xfId="29704" xr:uid="{00000000-0005-0000-0000-000008740000}"/>
    <cellStyle name="Normal 3 3 19" xfId="29705" xr:uid="{00000000-0005-0000-0000-000009740000}"/>
    <cellStyle name="Normal 3 3 2" xfId="29706" xr:uid="{00000000-0005-0000-0000-00000A740000}"/>
    <cellStyle name="Normal 3 3 2 2" xfId="29707" xr:uid="{00000000-0005-0000-0000-00000B740000}"/>
    <cellStyle name="Normal 3 3 2 3" xfId="29708" xr:uid="{00000000-0005-0000-0000-00000C740000}"/>
    <cellStyle name="Normal 3 3 20" xfId="29709" xr:uid="{00000000-0005-0000-0000-00000D740000}"/>
    <cellStyle name="Normal 3 3 21" xfId="29710" xr:uid="{00000000-0005-0000-0000-00000E740000}"/>
    <cellStyle name="Normal 3 3 22" xfId="29711" xr:uid="{00000000-0005-0000-0000-00000F740000}"/>
    <cellStyle name="Normal 3 3 23" xfId="29712" xr:uid="{00000000-0005-0000-0000-000010740000}"/>
    <cellStyle name="Normal 3 3 24" xfId="29713" xr:uid="{00000000-0005-0000-0000-000011740000}"/>
    <cellStyle name="Normal 3 3 25" xfId="29714" xr:uid="{00000000-0005-0000-0000-000012740000}"/>
    <cellStyle name="Normal 3 3 26" xfId="29715" xr:uid="{00000000-0005-0000-0000-000013740000}"/>
    <cellStyle name="Normal 3 3 27" xfId="29716" xr:uid="{00000000-0005-0000-0000-000014740000}"/>
    <cellStyle name="Normal 3 3 28" xfId="29717" xr:uid="{00000000-0005-0000-0000-000015740000}"/>
    <cellStyle name="Normal 3 3 29" xfId="29718" xr:uid="{00000000-0005-0000-0000-000016740000}"/>
    <cellStyle name="Normal 3 3 3" xfId="29719" xr:uid="{00000000-0005-0000-0000-000017740000}"/>
    <cellStyle name="Normal 3 3 30" xfId="29720" xr:uid="{00000000-0005-0000-0000-000018740000}"/>
    <cellStyle name="Normal 3 3 31" xfId="29695" xr:uid="{00000000-0005-0000-0000-0000FF730000}"/>
    <cellStyle name="Normal 3 3 4" xfId="29721" xr:uid="{00000000-0005-0000-0000-000019740000}"/>
    <cellStyle name="Normal 3 3 5" xfId="29722" xr:uid="{00000000-0005-0000-0000-00001A740000}"/>
    <cellStyle name="Normal 3 3 6" xfId="29723" xr:uid="{00000000-0005-0000-0000-00001B740000}"/>
    <cellStyle name="Normal 3 3 7" xfId="29724" xr:uid="{00000000-0005-0000-0000-00001C740000}"/>
    <cellStyle name="Normal 3 3 8" xfId="29725" xr:uid="{00000000-0005-0000-0000-00001D740000}"/>
    <cellStyle name="Normal 3 3 9" xfId="29726" xr:uid="{00000000-0005-0000-0000-00001E740000}"/>
    <cellStyle name="Normal 3 3_Enlaces" xfId="29727" xr:uid="{00000000-0005-0000-0000-00001F740000}"/>
    <cellStyle name="Normal 3 30" xfId="29728" xr:uid="{00000000-0005-0000-0000-000020740000}"/>
    <cellStyle name="Normal 3 31" xfId="29729" xr:uid="{00000000-0005-0000-0000-000021740000}"/>
    <cellStyle name="Normal 3 32" xfId="29730" xr:uid="{00000000-0005-0000-0000-000022740000}"/>
    <cellStyle name="Normal 3 33" xfId="29731" xr:uid="{00000000-0005-0000-0000-000023740000}"/>
    <cellStyle name="Normal 3 34" xfId="29732" xr:uid="{00000000-0005-0000-0000-000024740000}"/>
    <cellStyle name="Normal 3 35" xfId="29733" xr:uid="{00000000-0005-0000-0000-000025740000}"/>
    <cellStyle name="Normal 3 36" xfId="29734" xr:uid="{00000000-0005-0000-0000-000026740000}"/>
    <cellStyle name="Normal 3 37" xfId="29735" xr:uid="{00000000-0005-0000-0000-000027740000}"/>
    <cellStyle name="Normal 3 38" xfId="29736" xr:uid="{00000000-0005-0000-0000-000028740000}"/>
    <cellStyle name="Normal 3 39" xfId="29737" xr:uid="{00000000-0005-0000-0000-000029740000}"/>
    <cellStyle name="Normal 3 4" xfId="39" xr:uid="{00000000-0005-0000-0000-000027000000}"/>
    <cellStyle name="Normal 3 4 10" xfId="29739" xr:uid="{00000000-0005-0000-0000-00002B740000}"/>
    <cellStyle name="Normal 3 4 11" xfId="29740" xr:uid="{00000000-0005-0000-0000-00002C740000}"/>
    <cellStyle name="Normal 3 4 12" xfId="29741" xr:uid="{00000000-0005-0000-0000-00002D740000}"/>
    <cellStyle name="Normal 3 4 13" xfId="29742" xr:uid="{00000000-0005-0000-0000-00002E740000}"/>
    <cellStyle name="Normal 3 4 14" xfId="29743" xr:uid="{00000000-0005-0000-0000-00002F740000}"/>
    <cellStyle name="Normal 3 4 15" xfId="29744" xr:uid="{00000000-0005-0000-0000-000030740000}"/>
    <cellStyle name="Normal 3 4 16" xfId="29745" xr:uid="{00000000-0005-0000-0000-000031740000}"/>
    <cellStyle name="Normal 3 4 17" xfId="29746" xr:uid="{00000000-0005-0000-0000-000032740000}"/>
    <cellStyle name="Normal 3 4 18" xfId="29747" xr:uid="{00000000-0005-0000-0000-000033740000}"/>
    <cellStyle name="Normal 3 4 19" xfId="29748" xr:uid="{00000000-0005-0000-0000-000034740000}"/>
    <cellStyle name="Normal 3 4 2" xfId="29749" xr:uid="{00000000-0005-0000-0000-000035740000}"/>
    <cellStyle name="Normal 3 4 2 2" xfId="29750" xr:uid="{00000000-0005-0000-0000-000036740000}"/>
    <cellStyle name="Normal 3 4 20" xfId="29751" xr:uid="{00000000-0005-0000-0000-000037740000}"/>
    <cellStyle name="Normal 3 4 21" xfId="29752" xr:uid="{00000000-0005-0000-0000-000038740000}"/>
    <cellStyle name="Normal 3 4 22" xfId="29753" xr:uid="{00000000-0005-0000-0000-000039740000}"/>
    <cellStyle name="Normal 3 4 23" xfId="29754" xr:uid="{00000000-0005-0000-0000-00003A740000}"/>
    <cellStyle name="Normal 3 4 24" xfId="29755" xr:uid="{00000000-0005-0000-0000-00003B740000}"/>
    <cellStyle name="Normal 3 4 24 2" xfId="29756" xr:uid="{00000000-0005-0000-0000-00003C740000}"/>
    <cellStyle name="Normal 3 4 25" xfId="29738" xr:uid="{00000000-0005-0000-0000-00002A740000}"/>
    <cellStyle name="Normal 3 4 3" xfId="29757" xr:uid="{00000000-0005-0000-0000-00003D740000}"/>
    <cellStyle name="Normal 3 4 4" xfId="29758" xr:uid="{00000000-0005-0000-0000-00003E740000}"/>
    <cellStyle name="Normal 3 4 5" xfId="29759" xr:uid="{00000000-0005-0000-0000-00003F740000}"/>
    <cellStyle name="Normal 3 4 6" xfId="29760" xr:uid="{00000000-0005-0000-0000-000040740000}"/>
    <cellStyle name="Normal 3 4 7" xfId="29761" xr:uid="{00000000-0005-0000-0000-000041740000}"/>
    <cellStyle name="Normal 3 4 8" xfId="29762" xr:uid="{00000000-0005-0000-0000-000042740000}"/>
    <cellStyle name="Normal 3 4 9" xfId="29763" xr:uid="{00000000-0005-0000-0000-000043740000}"/>
    <cellStyle name="Normal 3 4_Enlaces" xfId="29764" xr:uid="{00000000-0005-0000-0000-000044740000}"/>
    <cellStyle name="Normal 3 40" xfId="29765" xr:uid="{00000000-0005-0000-0000-000045740000}"/>
    <cellStyle name="Normal 3 41" xfId="29766" xr:uid="{00000000-0005-0000-0000-000046740000}"/>
    <cellStyle name="Normal 3 42" xfId="29767" xr:uid="{00000000-0005-0000-0000-000047740000}"/>
    <cellStyle name="Normal 3 43" xfId="29768" xr:uid="{00000000-0005-0000-0000-000048740000}"/>
    <cellStyle name="Normal 3 44" xfId="29769" xr:uid="{00000000-0005-0000-0000-000049740000}"/>
    <cellStyle name="Normal 3 45" xfId="29770" xr:uid="{00000000-0005-0000-0000-00004A740000}"/>
    <cellStyle name="Normal 3 46" xfId="29771" xr:uid="{00000000-0005-0000-0000-00004B740000}"/>
    <cellStyle name="Normal 3 47" xfId="29772" xr:uid="{00000000-0005-0000-0000-00004C740000}"/>
    <cellStyle name="Normal 3 48" xfId="29773" xr:uid="{00000000-0005-0000-0000-00004D740000}"/>
    <cellStyle name="Normal 3 49" xfId="29774" xr:uid="{00000000-0005-0000-0000-00004E740000}"/>
    <cellStyle name="Normal 3 5" xfId="29775" xr:uid="{00000000-0005-0000-0000-00004F740000}"/>
    <cellStyle name="Normal 3 5 2" xfId="29776" xr:uid="{00000000-0005-0000-0000-000050740000}"/>
    <cellStyle name="Normal 3 5 3" xfId="29777" xr:uid="{00000000-0005-0000-0000-000051740000}"/>
    <cellStyle name="Normal 3 5 4" xfId="29778" xr:uid="{00000000-0005-0000-0000-000052740000}"/>
    <cellStyle name="Normal 3 5_Enlaces" xfId="29779" xr:uid="{00000000-0005-0000-0000-000053740000}"/>
    <cellStyle name="Normal 3 50" xfId="29780" xr:uid="{00000000-0005-0000-0000-000054740000}"/>
    <cellStyle name="Normal 3 51" xfId="29781" xr:uid="{00000000-0005-0000-0000-000055740000}"/>
    <cellStyle name="Normal 3 52" xfId="29782" xr:uid="{00000000-0005-0000-0000-000056740000}"/>
    <cellStyle name="Normal 3 53" xfId="29783" xr:uid="{00000000-0005-0000-0000-000057740000}"/>
    <cellStyle name="Normal 3 54" xfId="29784" xr:uid="{00000000-0005-0000-0000-000058740000}"/>
    <cellStyle name="Normal 3 55" xfId="29785" xr:uid="{00000000-0005-0000-0000-000059740000}"/>
    <cellStyle name="Normal 3 56" xfId="29786" xr:uid="{00000000-0005-0000-0000-00005A740000}"/>
    <cellStyle name="Normal 3 57" xfId="29787" xr:uid="{00000000-0005-0000-0000-00005B740000}"/>
    <cellStyle name="Normal 3 58" xfId="29788" xr:uid="{00000000-0005-0000-0000-00005C740000}"/>
    <cellStyle name="Normal 3 59" xfId="29789" xr:uid="{00000000-0005-0000-0000-00005D740000}"/>
    <cellStyle name="Normal 3 6" xfId="29790" xr:uid="{00000000-0005-0000-0000-00005E740000}"/>
    <cellStyle name="Normal 3 6 2" xfId="29791" xr:uid="{00000000-0005-0000-0000-00005F740000}"/>
    <cellStyle name="Normal 3 6 3" xfId="29792" xr:uid="{00000000-0005-0000-0000-000060740000}"/>
    <cellStyle name="Normal 3 6 4" xfId="29793" xr:uid="{00000000-0005-0000-0000-000061740000}"/>
    <cellStyle name="Normal 3 6_Enlaces" xfId="29794" xr:uid="{00000000-0005-0000-0000-000062740000}"/>
    <cellStyle name="Normal 3 60" xfId="29795" xr:uid="{00000000-0005-0000-0000-000063740000}"/>
    <cellStyle name="Normal 3 61" xfId="29796" xr:uid="{00000000-0005-0000-0000-000064740000}"/>
    <cellStyle name="Normal 3 62" xfId="29797" xr:uid="{00000000-0005-0000-0000-000065740000}"/>
    <cellStyle name="Normal 3 63" xfId="29798" xr:uid="{00000000-0005-0000-0000-000066740000}"/>
    <cellStyle name="Normal 3 64" xfId="29799" xr:uid="{00000000-0005-0000-0000-000067740000}"/>
    <cellStyle name="Normal 3 65" xfId="29800" xr:uid="{00000000-0005-0000-0000-000068740000}"/>
    <cellStyle name="Normal 3 66" xfId="29801" xr:uid="{00000000-0005-0000-0000-000069740000}"/>
    <cellStyle name="Normal 3 67" xfId="29802" xr:uid="{00000000-0005-0000-0000-00006A740000}"/>
    <cellStyle name="Normal 3 68" xfId="29803" xr:uid="{00000000-0005-0000-0000-00006B740000}"/>
    <cellStyle name="Normal 3 69" xfId="29804" xr:uid="{00000000-0005-0000-0000-00006C740000}"/>
    <cellStyle name="Normal 3 7" xfId="29805" xr:uid="{00000000-0005-0000-0000-00006D740000}"/>
    <cellStyle name="Normal 3 7 2" xfId="29806" xr:uid="{00000000-0005-0000-0000-00006E740000}"/>
    <cellStyle name="Normal 3 7 3" xfId="29807" xr:uid="{00000000-0005-0000-0000-00006F740000}"/>
    <cellStyle name="Normal 3 7 4" xfId="29808" xr:uid="{00000000-0005-0000-0000-000070740000}"/>
    <cellStyle name="Normal 3 7_Enlaces" xfId="29809" xr:uid="{00000000-0005-0000-0000-000071740000}"/>
    <cellStyle name="Normal 3 70" xfId="29810" xr:uid="{00000000-0005-0000-0000-000072740000}"/>
    <cellStyle name="Normal 3 71" xfId="29811" xr:uid="{00000000-0005-0000-0000-000073740000}"/>
    <cellStyle name="Normal 3 72" xfId="29812" xr:uid="{00000000-0005-0000-0000-000074740000}"/>
    <cellStyle name="Normal 3 73" xfId="29813" xr:uid="{00000000-0005-0000-0000-000075740000}"/>
    <cellStyle name="Normal 3 74" xfId="29814" xr:uid="{00000000-0005-0000-0000-000076740000}"/>
    <cellStyle name="Normal 3 75" xfId="29815" xr:uid="{00000000-0005-0000-0000-000077740000}"/>
    <cellStyle name="Normal 3 76" xfId="29816" xr:uid="{00000000-0005-0000-0000-000078740000}"/>
    <cellStyle name="Normal 3 77" xfId="29817" xr:uid="{00000000-0005-0000-0000-000079740000}"/>
    <cellStyle name="Normal 3 78" xfId="29818" xr:uid="{00000000-0005-0000-0000-00007A740000}"/>
    <cellStyle name="Normal 3 79" xfId="29819" xr:uid="{00000000-0005-0000-0000-00007B740000}"/>
    <cellStyle name="Normal 3 8" xfId="29820" xr:uid="{00000000-0005-0000-0000-00007C740000}"/>
    <cellStyle name="Normal 3 8 2" xfId="29821" xr:uid="{00000000-0005-0000-0000-00007D740000}"/>
    <cellStyle name="Normal 3 8 3" xfId="29822" xr:uid="{00000000-0005-0000-0000-00007E740000}"/>
    <cellStyle name="Normal 3 8 4" xfId="29823" xr:uid="{00000000-0005-0000-0000-00007F740000}"/>
    <cellStyle name="Normal 3 8_Enlaces" xfId="29824" xr:uid="{00000000-0005-0000-0000-000080740000}"/>
    <cellStyle name="Normal 3 80" xfId="29825" xr:uid="{00000000-0005-0000-0000-000081740000}"/>
    <cellStyle name="Normal 3 81" xfId="29826" xr:uid="{00000000-0005-0000-0000-000082740000}"/>
    <cellStyle name="Normal 3 82" xfId="29827" xr:uid="{00000000-0005-0000-0000-000083740000}"/>
    <cellStyle name="Normal 3 83" xfId="29828" xr:uid="{00000000-0005-0000-0000-000084740000}"/>
    <cellStyle name="Normal 3 84" xfId="29829" xr:uid="{00000000-0005-0000-0000-000085740000}"/>
    <cellStyle name="Normal 3 85" xfId="29830" xr:uid="{00000000-0005-0000-0000-000086740000}"/>
    <cellStyle name="Normal 3 86" xfId="29831" xr:uid="{00000000-0005-0000-0000-000087740000}"/>
    <cellStyle name="Normal 3 87" xfId="29832" xr:uid="{00000000-0005-0000-0000-000088740000}"/>
    <cellStyle name="Normal 3 88" xfId="29833" xr:uid="{00000000-0005-0000-0000-000089740000}"/>
    <cellStyle name="Normal 3 89" xfId="29834" xr:uid="{00000000-0005-0000-0000-00008A740000}"/>
    <cellStyle name="Normal 3 9" xfId="29835" xr:uid="{00000000-0005-0000-0000-00008B740000}"/>
    <cellStyle name="Normal 3 9 2" xfId="29836" xr:uid="{00000000-0005-0000-0000-00008C740000}"/>
    <cellStyle name="Normal 3 9 3" xfId="29837" xr:uid="{00000000-0005-0000-0000-00008D740000}"/>
    <cellStyle name="Normal 3 9 4" xfId="29838" xr:uid="{00000000-0005-0000-0000-00008E740000}"/>
    <cellStyle name="Normal 3 9_Enlaces" xfId="29839" xr:uid="{00000000-0005-0000-0000-00008F740000}"/>
    <cellStyle name="Normal 3 90" xfId="29840" xr:uid="{00000000-0005-0000-0000-000090740000}"/>
    <cellStyle name="Normal 3 91" xfId="29841" xr:uid="{00000000-0005-0000-0000-000091740000}"/>
    <cellStyle name="Normal 3 92" xfId="29842" xr:uid="{00000000-0005-0000-0000-000092740000}"/>
    <cellStyle name="Normal 3 93" xfId="29843" xr:uid="{00000000-0005-0000-0000-000093740000}"/>
    <cellStyle name="Normal 3 94" xfId="29844" xr:uid="{00000000-0005-0000-0000-000094740000}"/>
    <cellStyle name="Normal 3 95" xfId="29845" xr:uid="{00000000-0005-0000-0000-000095740000}"/>
    <cellStyle name="Normal 3 96" xfId="29846" xr:uid="{00000000-0005-0000-0000-000096740000}"/>
    <cellStyle name="Normal 3 97" xfId="29847" xr:uid="{00000000-0005-0000-0000-000097740000}"/>
    <cellStyle name="Normal 3 98" xfId="29848" xr:uid="{00000000-0005-0000-0000-000098740000}"/>
    <cellStyle name="Normal 3 98 2" xfId="29849" xr:uid="{00000000-0005-0000-0000-000099740000}"/>
    <cellStyle name="Normal 3 98 3" xfId="29850" xr:uid="{00000000-0005-0000-0000-00009A740000}"/>
    <cellStyle name="Normal 3 98 4" xfId="29851" xr:uid="{00000000-0005-0000-0000-00009B740000}"/>
    <cellStyle name="Normal 3 98 5" xfId="29852" xr:uid="{00000000-0005-0000-0000-00009C740000}"/>
    <cellStyle name="Normal 3 98 6" xfId="29853" xr:uid="{00000000-0005-0000-0000-00009D740000}"/>
    <cellStyle name="Normal 3 99" xfId="29854" xr:uid="{00000000-0005-0000-0000-00009E740000}"/>
    <cellStyle name="Normal 3 99 2" xfId="29855" xr:uid="{00000000-0005-0000-0000-00009F740000}"/>
    <cellStyle name="Normal 3 99 3" xfId="29856" xr:uid="{00000000-0005-0000-0000-0000A0740000}"/>
    <cellStyle name="Normal 3 99 4" xfId="29857" xr:uid="{00000000-0005-0000-0000-0000A1740000}"/>
    <cellStyle name="Normal 3 99 5" xfId="29858" xr:uid="{00000000-0005-0000-0000-0000A2740000}"/>
    <cellStyle name="Normal 3 99 6" xfId="29859" xr:uid="{00000000-0005-0000-0000-0000A3740000}"/>
    <cellStyle name="Normal 3_Enlaces" xfId="29860" xr:uid="{00000000-0005-0000-0000-0000A4740000}"/>
    <cellStyle name="Normal 30" xfId="29861" xr:uid="{00000000-0005-0000-0000-0000A5740000}"/>
    <cellStyle name="Normal 30 10" xfId="29862" xr:uid="{00000000-0005-0000-0000-0000A6740000}"/>
    <cellStyle name="Normal 30 11" xfId="29863" xr:uid="{00000000-0005-0000-0000-0000A7740000}"/>
    <cellStyle name="Normal 30 12" xfId="29864" xr:uid="{00000000-0005-0000-0000-0000A8740000}"/>
    <cellStyle name="Normal 30 13" xfId="29865" xr:uid="{00000000-0005-0000-0000-0000A9740000}"/>
    <cellStyle name="Normal 30 14" xfId="29866" xr:uid="{00000000-0005-0000-0000-0000AA740000}"/>
    <cellStyle name="Normal 30 15" xfId="29867" xr:uid="{00000000-0005-0000-0000-0000AB740000}"/>
    <cellStyle name="Normal 30 16" xfId="29868" xr:uid="{00000000-0005-0000-0000-0000AC740000}"/>
    <cellStyle name="Normal 30 17" xfId="29869" xr:uid="{00000000-0005-0000-0000-0000AD740000}"/>
    <cellStyle name="Normal 30 18" xfId="29870" xr:uid="{00000000-0005-0000-0000-0000AE740000}"/>
    <cellStyle name="Normal 30 19" xfId="29871" xr:uid="{00000000-0005-0000-0000-0000AF740000}"/>
    <cellStyle name="Normal 30 2" xfId="29872" xr:uid="{00000000-0005-0000-0000-0000B0740000}"/>
    <cellStyle name="Normal 30 2 2" xfId="29873" xr:uid="{00000000-0005-0000-0000-0000B1740000}"/>
    <cellStyle name="Normal 30 2 3" xfId="29874" xr:uid="{00000000-0005-0000-0000-0000B2740000}"/>
    <cellStyle name="Normal 30 20" xfId="29875" xr:uid="{00000000-0005-0000-0000-0000B3740000}"/>
    <cellStyle name="Normal 30 21" xfId="29876" xr:uid="{00000000-0005-0000-0000-0000B4740000}"/>
    <cellStyle name="Normal 30 22" xfId="29877" xr:uid="{00000000-0005-0000-0000-0000B5740000}"/>
    <cellStyle name="Normal 30 23" xfId="29878" xr:uid="{00000000-0005-0000-0000-0000B6740000}"/>
    <cellStyle name="Normal 30 24" xfId="29879" xr:uid="{00000000-0005-0000-0000-0000B7740000}"/>
    <cellStyle name="Normal 30 25" xfId="29880" xr:uid="{00000000-0005-0000-0000-0000B8740000}"/>
    <cellStyle name="Normal 30 26" xfId="29881" xr:uid="{00000000-0005-0000-0000-0000B9740000}"/>
    <cellStyle name="Normal 30 3" xfId="29882" xr:uid="{00000000-0005-0000-0000-0000BA740000}"/>
    <cellStyle name="Normal 30 3 2" xfId="29883" xr:uid="{00000000-0005-0000-0000-0000BB740000}"/>
    <cellStyle name="Normal 30 3 3" xfId="29884" xr:uid="{00000000-0005-0000-0000-0000BC740000}"/>
    <cellStyle name="Normal 30 3 4" xfId="29885" xr:uid="{00000000-0005-0000-0000-0000BD740000}"/>
    <cellStyle name="Normal 30 3 5" xfId="29886" xr:uid="{00000000-0005-0000-0000-0000BE740000}"/>
    <cellStyle name="Normal 30 4" xfId="29887" xr:uid="{00000000-0005-0000-0000-0000BF740000}"/>
    <cellStyle name="Normal 30 5" xfId="29888" xr:uid="{00000000-0005-0000-0000-0000C0740000}"/>
    <cellStyle name="Normal 30 6" xfId="29889" xr:uid="{00000000-0005-0000-0000-0000C1740000}"/>
    <cellStyle name="Normal 30 7" xfId="29890" xr:uid="{00000000-0005-0000-0000-0000C2740000}"/>
    <cellStyle name="Normal 30 8" xfId="29891" xr:uid="{00000000-0005-0000-0000-0000C3740000}"/>
    <cellStyle name="Normal 30 9" xfId="29892" xr:uid="{00000000-0005-0000-0000-0000C4740000}"/>
    <cellStyle name="Normal 31" xfId="29893" xr:uid="{00000000-0005-0000-0000-0000C5740000}"/>
    <cellStyle name="Normal 31 10" xfId="29894" xr:uid="{00000000-0005-0000-0000-0000C6740000}"/>
    <cellStyle name="Normal 31 11" xfId="29895" xr:uid="{00000000-0005-0000-0000-0000C7740000}"/>
    <cellStyle name="Normal 31 12" xfId="29896" xr:uid="{00000000-0005-0000-0000-0000C8740000}"/>
    <cellStyle name="Normal 31 13" xfId="29897" xr:uid="{00000000-0005-0000-0000-0000C9740000}"/>
    <cellStyle name="Normal 31 14" xfId="29898" xr:uid="{00000000-0005-0000-0000-0000CA740000}"/>
    <cellStyle name="Normal 31 15" xfId="29899" xr:uid="{00000000-0005-0000-0000-0000CB740000}"/>
    <cellStyle name="Normal 31 16" xfId="29900" xr:uid="{00000000-0005-0000-0000-0000CC740000}"/>
    <cellStyle name="Normal 31 17" xfId="29901" xr:uid="{00000000-0005-0000-0000-0000CD740000}"/>
    <cellStyle name="Normal 31 18" xfId="29902" xr:uid="{00000000-0005-0000-0000-0000CE740000}"/>
    <cellStyle name="Normal 31 19" xfId="29903" xr:uid="{00000000-0005-0000-0000-0000CF740000}"/>
    <cellStyle name="Normal 31 2" xfId="29904" xr:uid="{00000000-0005-0000-0000-0000D0740000}"/>
    <cellStyle name="Normal 31 2 2" xfId="29905" xr:uid="{00000000-0005-0000-0000-0000D1740000}"/>
    <cellStyle name="Normal 31 2 3" xfId="29906" xr:uid="{00000000-0005-0000-0000-0000D2740000}"/>
    <cellStyle name="Normal 31 20" xfId="29907" xr:uid="{00000000-0005-0000-0000-0000D3740000}"/>
    <cellStyle name="Normal 31 21" xfId="29908" xr:uid="{00000000-0005-0000-0000-0000D4740000}"/>
    <cellStyle name="Normal 31 22" xfId="29909" xr:uid="{00000000-0005-0000-0000-0000D5740000}"/>
    <cellStyle name="Normal 31 23" xfId="29910" xr:uid="{00000000-0005-0000-0000-0000D6740000}"/>
    <cellStyle name="Normal 31 24" xfId="29911" xr:uid="{00000000-0005-0000-0000-0000D7740000}"/>
    <cellStyle name="Normal 31 25" xfId="29912" xr:uid="{00000000-0005-0000-0000-0000D8740000}"/>
    <cellStyle name="Normal 31 26" xfId="29913" xr:uid="{00000000-0005-0000-0000-0000D9740000}"/>
    <cellStyle name="Normal 31 3" xfId="29914" xr:uid="{00000000-0005-0000-0000-0000DA740000}"/>
    <cellStyle name="Normal 31 3 2" xfId="29915" xr:uid="{00000000-0005-0000-0000-0000DB740000}"/>
    <cellStyle name="Normal 31 3 3" xfId="29916" xr:uid="{00000000-0005-0000-0000-0000DC740000}"/>
    <cellStyle name="Normal 31 4" xfId="29917" xr:uid="{00000000-0005-0000-0000-0000DD740000}"/>
    <cellStyle name="Normal 31 5" xfId="29918" xr:uid="{00000000-0005-0000-0000-0000DE740000}"/>
    <cellStyle name="Normal 31 6" xfId="29919" xr:uid="{00000000-0005-0000-0000-0000DF740000}"/>
    <cellStyle name="Normal 31 7" xfId="29920" xr:uid="{00000000-0005-0000-0000-0000E0740000}"/>
    <cellStyle name="Normal 31 8" xfId="29921" xr:uid="{00000000-0005-0000-0000-0000E1740000}"/>
    <cellStyle name="Normal 31 9" xfId="29922" xr:uid="{00000000-0005-0000-0000-0000E2740000}"/>
    <cellStyle name="Normal 32" xfId="29923" xr:uid="{00000000-0005-0000-0000-0000E3740000}"/>
    <cellStyle name="Normal 32 2" xfId="29924" xr:uid="{00000000-0005-0000-0000-0000E4740000}"/>
    <cellStyle name="Normal 32 3" xfId="29925" xr:uid="{00000000-0005-0000-0000-0000E5740000}"/>
    <cellStyle name="Normal 32 4" xfId="29926" xr:uid="{00000000-0005-0000-0000-0000E6740000}"/>
    <cellStyle name="Normal 32 5" xfId="29927" xr:uid="{00000000-0005-0000-0000-0000E7740000}"/>
    <cellStyle name="Normal 33" xfId="29928" xr:uid="{00000000-0005-0000-0000-0000E8740000}"/>
    <cellStyle name="Normal 33 2" xfId="29929" xr:uid="{00000000-0005-0000-0000-0000E9740000}"/>
    <cellStyle name="Normal 33 3" xfId="29930" xr:uid="{00000000-0005-0000-0000-0000EA740000}"/>
    <cellStyle name="Normal 33 4" xfId="29931" xr:uid="{00000000-0005-0000-0000-0000EB740000}"/>
    <cellStyle name="Normal 33 5" xfId="29932" xr:uid="{00000000-0005-0000-0000-0000EC740000}"/>
    <cellStyle name="Normal 34" xfId="29933" xr:uid="{00000000-0005-0000-0000-0000ED740000}"/>
    <cellStyle name="Normal 34 10" xfId="29934" xr:uid="{00000000-0005-0000-0000-0000EE740000}"/>
    <cellStyle name="Normal 34 11" xfId="29935" xr:uid="{00000000-0005-0000-0000-0000EF740000}"/>
    <cellStyle name="Normal 34 12" xfId="29936" xr:uid="{00000000-0005-0000-0000-0000F0740000}"/>
    <cellStyle name="Normal 34 13" xfId="29937" xr:uid="{00000000-0005-0000-0000-0000F1740000}"/>
    <cellStyle name="Normal 34 14" xfId="29938" xr:uid="{00000000-0005-0000-0000-0000F2740000}"/>
    <cellStyle name="Normal 34 15" xfId="29939" xr:uid="{00000000-0005-0000-0000-0000F3740000}"/>
    <cellStyle name="Normal 34 16" xfId="29940" xr:uid="{00000000-0005-0000-0000-0000F4740000}"/>
    <cellStyle name="Normal 34 17" xfId="29941" xr:uid="{00000000-0005-0000-0000-0000F5740000}"/>
    <cellStyle name="Normal 34 18" xfId="29942" xr:uid="{00000000-0005-0000-0000-0000F6740000}"/>
    <cellStyle name="Normal 34 19" xfId="29943" xr:uid="{00000000-0005-0000-0000-0000F7740000}"/>
    <cellStyle name="Normal 34 2" xfId="29944" xr:uid="{00000000-0005-0000-0000-0000F8740000}"/>
    <cellStyle name="Normal 34 2 2" xfId="29945" xr:uid="{00000000-0005-0000-0000-0000F9740000}"/>
    <cellStyle name="Normal 34 2 3" xfId="29946" xr:uid="{00000000-0005-0000-0000-0000FA740000}"/>
    <cellStyle name="Normal 34 20" xfId="29947" xr:uid="{00000000-0005-0000-0000-0000FB740000}"/>
    <cellStyle name="Normal 34 21" xfId="29948" xr:uid="{00000000-0005-0000-0000-0000FC740000}"/>
    <cellStyle name="Normal 34 22" xfId="29949" xr:uid="{00000000-0005-0000-0000-0000FD740000}"/>
    <cellStyle name="Normal 34 23" xfId="29950" xr:uid="{00000000-0005-0000-0000-0000FE740000}"/>
    <cellStyle name="Normal 34 24" xfId="29951" xr:uid="{00000000-0005-0000-0000-0000FF740000}"/>
    <cellStyle name="Normal 34 25" xfId="29952" xr:uid="{00000000-0005-0000-0000-000000750000}"/>
    <cellStyle name="Normal 34 26" xfId="29953" xr:uid="{00000000-0005-0000-0000-000001750000}"/>
    <cellStyle name="Normal 34 3" xfId="29954" xr:uid="{00000000-0005-0000-0000-000002750000}"/>
    <cellStyle name="Normal 34 3 2" xfId="29955" xr:uid="{00000000-0005-0000-0000-000003750000}"/>
    <cellStyle name="Normal 34 3 3" xfId="29956" xr:uid="{00000000-0005-0000-0000-000004750000}"/>
    <cellStyle name="Normal 34 3 4" xfId="29957" xr:uid="{00000000-0005-0000-0000-000005750000}"/>
    <cellStyle name="Normal 34 3 5" xfId="29958" xr:uid="{00000000-0005-0000-0000-000006750000}"/>
    <cellStyle name="Normal 34 4" xfId="29959" xr:uid="{00000000-0005-0000-0000-000007750000}"/>
    <cellStyle name="Normal 34 5" xfId="29960" xr:uid="{00000000-0005-0000-0000-000008750000}"/>
    <cellStyle name="Normal 34 6" xfId="29961" xr:uid="{00000000-0005-0000-0000-000009750000}"/>
    <cellStyle name="Normal 34 7" xfId="29962" xr:uid="{00000000-0005-0000-0000-00000A750000}"/>
    <cellStyle name="Normal 34 8" xfId="29963" xr:uid="{00000000-0005-0000-0000-00000B750000}"/>
    <cellStyle name="Normal 34 9" xfId="29964" xr:uid="{00000000-0005-0000-0000-00000C750000}"/>
    <cellStyle name="Normal 35" xfId="29965" xr:uid="{00000000-0005-0000-0000-00000D750000}"/>
    <cellStyle name="Normal 35 10" xfId="29966" xr:uid="{00000000-0005-0000-0000-00000E750000}"/>
    <cellStyle name="Normal 35 11" xfId="29967" xr:uid="{00000000-0005-0000-0000-00000F750000}"/>
    <cellStyle name="Normal 35 12" xfId="29968" xr:uid="{00000000-0005-0000-0000-000010750000}"/>
    <cellStyle name="Normal 35 13" xfId="29969" xr:uid="{00000000-0005-0000-0000-000011750000}"/>
    <cellStyle name="Normal 35 14" xfId="29970" xr:uid="{00000000-0005-0000-0000-000012750000}"/>
    <cellStyle name="Normal 35 15" xfId="29971" xr:uid="{00000000-0005-0000-0000-000013750000}"/>
    <cellStyle name="Normal 35 16" xfId="29972" xr:uid="{00000000-0005-0000-0000-000014750000}"/>
    <cellStyle name="Normal 35 17" xfId="29973" xr:uid="{00000000-0005-0000-0000-000015750000}"/>
    <cellStyle name="Normal 35 18" xfId="29974" xr:uid="{00000000-0005-0000-0000-000016750000}"/>
    <cellStyle name="Normal 35 19" xfId="29975" xr:uid="{00000000-0005-0000-0000-000017750000}"/>
    <cellStyle name="Normal 35 2" xfId="29976" xr:uid="{00000000-0005-0000-0000-000018750000}"/>
    <cellStyle name="Normal 35 2 2" xfId="29977" xr:uid="{00000000-0005-0000-0000-000019750000}"/>
    <cellStyle name="Normal 35 2 3" xfId="29978" xr:uid="{00000000-0005-0000-0000-00001A750000}"/>
    <cellStyle name="Normal 35 20" xfId="29979" xr:uid="{00000000-0005-0000-0000-00001B750000}"/>
    <cellStyle name="Normal 35 21" xfId="29980" xr:uid="{00000000-0005-0000-0000-00001C750000}"/>
    <cellStyle name="Normal 35 22" xfId="29981" xr:uid="{00000000-0005-0000-0000-00001D750000}"/>
    <cellStyle name="Normal 35 23" xfId="29982" xr:uid="{00000000-0005-0000-0000-00001E750000}"/>
    <cellStyle name="Normal 35 24" xfId="29983" xr:uid="{00000000-0005-0000-0000-00001F750000}"/>
    <cellStyle name="Normal 35 25" xfId="29984" xr:uid="{00000000-0005-0000-0000-000020750000}"/>
    <cellStyle name="Normal 35 3" xfId="29985" xr:uid="{00000000-0005-0000-0000-000021750000}"/>
    <cellStyle name="Normal 35 3 2" xfId="29986" xr:uid="{00000000-0005-0000-0000-000022750000}"/>
    <cellStyle name="Normal 35 3 3" xfId="29987" xr:uid="{00000000-0005-0000-0000-000023750000}"/>
    <cellStyle name="Normal 35 3 4" xfId="29988" xr:uid="{00000000-0005-0000-0000-000024750000}"/>
    <cellStyle name="Normal 35 3 5" xfId="29989" xr:uid="{00000000-0005-0000-0000-000025750000}"/>
    <cellStyle name="Normal 35 4" xfId="29990" xr:uid="{00000000-0005-0000-0000-000026750000}"/>
    <cellStyle name="Normal 35 5" xfId="29991" xr:uid="{00000000-0005-0000-0000-000027750000}"/>
    <cellStyle name="Normal 35 6" xfId="29992" xr:uid="{00000000-0005-0000-0000-000028750000}"/>
    <cellStyle name="Normal 35 7" xfId="29993" xr:uid="{00000000-0005-0000-0000-000029750000}"/>
    <cellStyle name="Normal 35 8" xfId="29994" xr:uid="{00000000-0005-0000-0000-00002A750000}"/>
    <cellStyle name="Normal 35 9" xfId="29995" xr:uid="{00000000-0005-0000-0000-00002B750000}"/>
    <cellStyle name="Normal 36" xfId="29996" xr:uid="{00000000-0005-0000-0000-00002C750000}"/>
    <cellStyle name="Normal 36 2" xfId="29997" xr:uid="{00000000-0005-0000-0000-00002D750000}"/>
    <cellStyle name="Normal 36 3" xfId="29998" xr:uid="{00000000-0005-0000-0000-00002E750000}"/>
    <cellStyle name="Normal 36 4" xfId="29999" xr:uid="{00000000-0005-0000-0000-00002F750000}"/>
    <cellStyle name="Normal 37" xfId="30000" xr:uid="{00000000-0005-0000-0000-000030750000}"/>
    <cellStyle name="Normal 37 10" xfId="30001" xr:uid="{00000000-0005-0000-0000-000031750000}"/>
    <cellStyle name="Normal 37 11" xfId="30002" xr:uid="{00000000-0005-0000-0000-000032750000}"/>
    <cellStyle name="Normal 37 12" xfId="30003" xr:uid="{00000000-0005-0000-0000-000033750000}"/>
    <cellStyle name="Normal 37 13" xfId="30004" xr:uid="{00000000-0005-0000-0000-000034750000}"/>
    <cellStyle name="Normal 37 14" xfId="30005" xr:uid="{00000000-0005-0000-0000-000035750000}"/>
    <cellStyle name="Normal 37 15" xfId="30006" xr:uid="{00000000-0005-0000-0000-000036750000}"/>
    <cellStyle name="Normal 37 16" xfId="30007" xr:uid="{00000000-0005-0000-0000-000037750000}"/>
    <cellStyle name="Normal 37 17" xfId="30008" xr:uid="{00000000-0005-0000-0000-000038750000}"/>
    <cellStyle name="Normal 37 18" xfId="30009" xr:uid="{00000000-0005-0000-0000-000039750000}"/>
    <cellStyle name="Normal 37 19" xfId="30010" xr:uid="{00000000-0005-0000-0000-00003A750000}"/>
    <cellStyle name="Normal 37 2" xfId="30011" xr:uid="{00000000-0005-0000-0000-00003B750000}"/>
    <cellStyle name="Normal 37 2 2" xfId="30012" xr:uid="{00000000-0005-0000-0000-00003C750000}"/>
    <cellStyle name="Normal 37 20" xfId="30013" xr:uid="{00000000-0005-0000-0000-00003D750000}"/>
    <cellStyle name="Normal 37 21" xfId="30014" xr:uid="{00000000-0005-0000-0000-00003E750000}"/>
    <cellStyle name="Normal 37 22" xfId="30015" xr:uid="{00000000-0005-0000-0000-00003F750000}"/>
    <cellStyle name="Normal 37 23" xfId="30016" xr:uid="{00000000-0005-0000-0000-000040750000}"/>
    <cellStyle name="Normal 37 24" xfId="30017" xr:uid="{00000000-0005-0000-0000-000041750000}"/>
    <cellStyle name="Normal 37 25" xfId="30018" xr:uid="{00000000-0005-0000-0000-000042750000}"/>
    <cellStyle name="Normal 37 26" xfId="30019" xr:uid="{00000000-0005-0000-0000-000043750000}"/>
    <cellStyle name="Normal 37 3" xfId="30020" xr:uid="{00000000-0005-0000-0000-000044750000}"/>
    <cellStyle name="Normal 37 3 2" xfId="30021" xr:uid="{00000000-0005-0000-0000-000045750000}"/>
    <cellStyle name="Normal 37 4" xfId="30022" xr:uid="{00000000-0005-0000-0000-000046750000}"/>
    <cellStyle name="Normal 37 4 2" xfId="30023" xr:uid="{00000000-0005-0000-0000-000047750000}"/>
    <cellStyle name="Normal 37 5" xfId="30024" xr:uid="{00000000-0005-0000-0000-000048750000}"/>
    <cellStyle name="Normal 37 5 2" xfId="30025" xr:uid="{00000000-0005-0000-0000-000049750000}"/>
    <cellStyle name="Normal 37 6" xfId="30026" xr:uid="{00000000-0005-0000-0000-00004A750000}"/>
    <cellStyle name="Normal 37 7" xfId="30027" xr:uid="{00000000-0005-0000-0000-00004B750000}"/>
    <cellStyle name="Normal 37 8" xfId="30028" xr:uid="{00000000-0005-0000-0000-00004C750000}"/>
    <cellStyle name="Normal 37 9" xfId="30029" xr:uid="{00000000-0005-0000-0000-00004D750000}"/>
    <cellStyle name="Normal 38" xfId="30030" xr:uid="{00000000-0005-0000-0000-00004E750000}"/>
    <cellStyle name="Normal 38 10" xfId="30031" xr:uid="{00000000-0005-0000-0000-00004F750000}"/>
    <cellStyle name="Normal 38 11" xfId="30032" xr:uid="{00000000-0005-0000-0000-000050750000}"/>
    <cellStyle name="Normal 38 12" xfId="30033" xr:uid="{00000000-0005-0000-0000-000051750000}"/>
    <cellStyle name="Normal 38 13" xfId="30034" xr:uid="{00000000-0005-0000-0000-000052750000}"/>
    <cellStyle name="Normal 38 14" xfId="30035" xr:uid="{00000000-0005-0000-0000-000053750000}"/>
    <cellStyle name="Normal 38 15" xfId="30036" xr:uid="{00000000-0005-0000-0000-000054750000}"/>
    <cellStyle name="Normal 38 16" xfId="30037" xr:uid="{00000000-0005-0000-0000-000055750000}"/>
    <cellStyle name="Normal 38 17" xfId="30038" xr:uid="{00000000-0005-0000-0000-000056750000}"/>
    <cellStyle name="Normal 38 18" xfId="30039" xr:uid="{00000000-0005-0000-0000-000057750000}"/>
    <cellStyle name="Normal 38 19" xfId="30040" xr:uid="{00000000-0005-0000-0000-000058750000}"/>
    <cellStyle name="Normal 38 2" xfId="30041" xr:uid="{00000000-0005-0000-0000-000059750000}"/>
    <cellStyle name="Normal 38 2 2" xfId="30042" xr:uid="{00000000-0005-0000-0000-00005A750000}"/>
    <cellStyle name="Normal 38 20" xfId="30043" xr:uid="{00000000-0005-0000-0000-00005B750000}"/>
    <cellStyle name="Normal 38 21" xfId="30044" xr:uid="{00000000-0005-0000-0000-00005C750000}"/>
    <cellStyle name="Normal 38 22" xfId="30045" xr:uid="{00000000-0005-0000-0000-00005D750000}"/>
    <cellStyle name="Normal 38 23" xfId="30046" xr:uid="{00000000-0005-0000-0000-00005E750000}"/>
    <cellStyle name="Normal 38 24" xfId="30047" xr:uid="{00000000-0005-0000-0000-00005F750000}"/>
    <cellStyle name="Normal 38 25" xfId="30048" xr:uid="{00000000-0005-0000-0000-000060750000}"/>
    <cellStyle name="Normal 38 26" xfId="30049" xr:uid="{00000000-0005-0000-0000-000061750000}"/>
    <cellStyle name="Normal 38 3" xfId="30050" xr:uid="{00000000-0005-0000-0000-000062750000}"/>
    <cellStyle name="Normal 38 3 2" xfId="30051" xr:uid="{00000000-0005-0000-0000-000063750000}"/>
    <cellStyle name="Normal 38 4" xfId="30052" xr:uid="{00000000-0005-0000-0000-000064750000}"/>
    <cellStyle name="Normal 38 4 2" xfId="30053" xr:uid="{00000000-0005-0000-0000-000065750000}"/>
    <cellStyle name="Normal 38 5" xfId="30054" xr:uid="{00000000-0005-0000-0000-000066750000}"/>
    <cellStyle name="Normal 38 5 2" xfId="30055" xr:uid="{00000000-0005-0000-0000-000067750000}"/>
    <cellStyle name="Normal 38 6" xfId="30056" xr:uid="{00000000-0005-0000-0000-000068750000}"/>
    <cellStyle name="Normal 38 7" xfId="30057" xr:uid="{00000000-0005-0000-0000-000069750000}"/>
    <cellStyle name="Normal 38 8" xfId="30058" xr:uid="{00000000-0005-0000-0000-00006A750000}"/>
    <cellStyle name="Normal 38 9" xfId="30059" xr:uid="{00000000-0005-0000-0000-00006B750000}"/>
    <cellStyle name="Normal 39" xfId="30060" xr:uid="{00000000-0005-0000-0000-00006C750000}"/>
    <cellStyle name="Normal 39 10" xfId="30061" xr:uid="{00000000-0005-0000-0000-00006D750000}"/>
    <cellStyle name="Normal 39 11" xfId="30062" xr:uid="{00000000-0005-0000-0000-00006E750000}"/>
    <cellStyle name="Normal 39 12" xfId="30063" xr:uid="{00000000-0005-0000-0000-00006F750000}"/>
    <cellStyle name="Normal 39 13" xfId="30064" xr:uid="{00000000-0005-0000-0000-000070750000}"/>
    <cellStyle name="Normal 39 14" xfId="30065" xr:uid="{00000000-0005-0000-0000-000071750000}"/>
    <cellStyle name="Normal 39 15" xfId="30066" xr:uid="{00000000-0005-0000-0000-000072750000}"/>
    <cellStyle name="Normal 39 16" xfId="30067" xr:uid="{00000000-0005-0000-0000-000073750000}"/>
    <cellStyle name="Normal 39 17" xfId="30068" xr:uid="{00000000-0005-0000-0000-000074750000}"/>
    <cellStyle name="Normal 39 18" xfId="30069" xr:uid="{00000000-0005-0000-0000-000075750000}"/>
    <cellStyle name="Normal 39 19" xfId="30070" xr:uid="{00000000-0005-0000-0000-000076750000}"/>
    <cellStyle name="Normal 39 2" xfId="30071" xr:uid="{00000000-0005-0000-0000-000077750000}"/>
    <cellStyle name="Normal 39 2 2" xfId="30072" xr:uid="{00000000-0005-0000-0000-000078750000}"/>
    <cellStyle name="Normal 39 20" xfId="30073" xr:uid="{00000000-0005-0000-0000-000079750000}"/>
    <cellStyle name="Normal 39 21" xfId="30074" xr:uid="{00000000-0005-0000-0000-00007A750000}"/>
    <cellStyle name="Normal 39 22" xfId="30075" xr:uid="{00000000-0005-0000-0000-00007B750000}"/>
    <cellStyle name="Normal 39 23" xfId="30076" xr:uid="{00000000-0005-0000-0000-00007C750000}"/>
    <cellStyle name="Normal 39 24" xfId="30077" xr:uid="{00000000-0005-0000-0000-00007D750000}"/>
    <cellStyle name="Normal 39 25" xfId="30078" xr:uid="{00000000-0005-0000-0000-00007E750000}"/>
    <cellStyle name="Normal 39 26" xfId="30079" xr:uid="{00000000-0005-0000-0000-00007F750000}"/>
    <cellStyle name="Normal 39 3" xfId="30080" xr:uid="{00000000-0005-0000-0000-000080750000}"/>
    <cellStyle name="Normal 39 3 2" xfId="30081" xr:uid="{00000000-0005-0000-0000-000081750000}"/>
    <cellStyle name="Normal 39 4" xfId="30082" xr:uid="{00000000-0005-0000-0000-000082750000}"/>
    <cellStyle name="Normal 39 4 2" xfId="30083" xr:uid="{00000000-0005-0000-0000-000083750000}"/>
    <cellStyle name="Normal 39 5" xfId="30084" xr:uid="{00000000-0005-0000-0000-000084750000}"/>
    <cellStyle name="Normal 39 5 2" xfId="30085" xr:uid="{00000000-0005-0000-0000-000085750000}"/>
    <cellStyle name="Normal 39 6" xfId="30086" xr:uid="{00000000-0005-0000-0000-000086750000}"/>
    <cellStyle name="Normal 39 7" xfId="30087" xr:uid="{00000000-0005-0000-0000-000087750000}"/>
    <cellStyle name="Normal 39 8" xfId="30088" xr:uid="{00000000-0005-0000-0000-000088750000}"/>
    <cellStyle name="Normal 39 9" xfId="30089" xr:uid="{00000000-0005-0000-0000-000089750000}"/>
    <cellStyle name="Normal 4" xfId="15" xr:uid="{00000000-0005-0000-0000-00000F000000}"/>
    <cellStyle name="Normal 4 10" xfId="30091" xr:uid="{00000000-0005-0000-0000-00008B750000}"/>
    <cellStyle name="Normal 4 10 2" xfId="30092" xr:uid="{00000000-0005-0000-0000-00008C750000}"/>
    <cellStyle name="Normal 4 10 3" xfId="30093" xr:uid="{00000000-0005-0000-0000-00008D750000}"/>
    <cellStyle name="Normal 4 10 4" xfId="30094" xr:uid="{00000000-0005-0000-0000-00008E750000}"/>
    <cellStyle name="Normal 4 10 5" xfId="30095" xr:uid="{00000000-0005-0000-0000-00008F750000}"/>
    <cellStyle name="Normal 4 10_Enlaces" xfId="30096" xr:uid="{00000000-0005-0000-0000-000090750000}"/>
    <cellStyle name="Normal 4 100" xfId="30097" xr:uid="{00000000-0005-0000-0000-000091750000}"/>
    <cellStyle name="Normal 4 100 2" xfId="30098" xr:uid="{00000000-0005-0000-0000-000092750000}"/>
    <cellStyle name="Normal 4 100 3" xfId="30099" xr:uid="{00000000-0005-0000-0000-000093750000}"/>
    <cellStyle name="Normal 4 101" xfId="30100" xr:uid="{00000000-0005-0000-0000-000094750000}"/>
    <cellStyle name="Normal 4 101 2" xfId="30101" xr:uid="{00000000-0005-0000-0000-000095750000}"/>
    <cellStyle name="Normal 4 101 3" xfId="30102" xr:uid="{00000000-0005-0000-0000-000096750000}"/>
    <cellStyle name="Normal 4 102" xfId="30103" xr:uid="{00000000-0005-0000-0000-000097750000}"/>
    <cellStyle name="Normal 4 102 2" xfId="30104" xr:uid="{00000000-0005-0000-0000-000098750000}"/>
    <cellStyle name="Normal 4 102 3" xfId="30105" xr:uid="{00000000-0005-0000-0000-000099750000}"/>
    <cellStyle name="Normal 4 103" xfId="30106" xr:uid="{00000000-0005-0000-0000-00009A750000}"/>
    <cellStyle name="Normal 4 103 2" xfId="30107" xr:uid="{00000000-0005-0000-0000-00009B750000}"/>
    <cellStyle name="Normal 4 103 3" xfId="30108" xr:uid="{00000000-0005-0000-0000-00009C750000}"/>
    <cellStyle name="Normal 4 104" xfId="30109" xr:uid="{00000000-0005-0000-0000-00009D750000}"/>
    <cellStyle name="Normal 4 104 2" xfId="30110" xr:uid="{00000000-0005-0000-0000-00009E750000}"/>
    <cellStyle name="Normal 4 104 3" xfId="30111" xr:uid="{00000000-0005-0000-0000-00009F750000}"/>
    <cellStyle name="Normal 4 105" xfId="30112" xr:uid="{00000000-0005-0000-0000-0000A0750000}"/>
    <cellStyle name="Normal 4 105 2" xfId="30113" xr:uid="{00000000-0005-0000-0000-0000A1750000}"/>
    <cellStyle name="Normal 4 105 3" xfId="30114" xr:uid="{00000000-0005-0000-0000-0000A2750000}"/>
    <cellStyle name="Normal 4 106" xfId="30115" xr:uid="{00000000-0005-0000-0000-0000A3750000}"/>
    <cellStyle name="Normal 4 106 2" xfId="30116" xr:uid="{00000000-0005-0000-0000-0000A4750000}"/>
    <cellStyle name="Normal 4 106 3" xfId="30117" xr:uid="{00000000-0005-0000-0000-0000A5750000}"/>
    <cellStyle name="Normal 4 107" xfId="30118" xr:uid="{00000000-0005-0000-0000-0000A6750000}"/>
    <cellStyle name="Normal 4 107 2" xfId="30119" xr:uid="{00000000-0005-0000-0000-0000A7750000}"/>
    <cellStyle name="Normal 4 107 3" xfId="30120" xr:uid="{00000000-0005-0000-0000-0000A8750000}"/>
    <cellStyle name="Normal 4 108" xfId="30121" xr:uid="{00000000-0005-0000-0000-0000A9750000}"/>
    <cellStyle name="Normal 4 108 2" xfId="30122" xr:uid="{00000000-0005-0000-0000-0000AA750000}"/>
    <cellStyle name="Normal 4 108 3" xfId="30123" xr:uid="{00000000-0005-0000-0000-0000AB750000}"/>
    <cellStyle name="Normal 4 109" xfId="30124" xr:uid="{00000000-0005-0000-0000-0000AC750000}"/>
    <cellStyle name="Normal 4 109 2" xfId="30125" xr:uid="{00000000-0005-0000-0000-0000AD750000}"/>
    <cellStyle name="Normal 4 109 3" xfId="30126" xr:uid="{00000000-0005-0000-0000-0000AE750000}"/>
    <cellStyle name="Normal 4 11" xfId="30127" xr:uid="{00000000-0005-0000-0000-0000AF750000}"/>
    <cellStyle name="Normal 4 11 2" xfId="30128" xr:uid="{00000000-0005-0000-0000-0000B0750000}"/>
    <cellStyle name="Normal 4 11 3" xfId="30129" xr:uid="{00000000-0005-0000-0000-0000B1750000}"/>
    <cellStyle name="Normal 4 11 4" xfId="30130" xr:uid="{00000000-0005-0000-0000-0000B2750000}"/>
    <cellStyle name="Normal 4 11 5" xfId="30131" xr:uid="{00000000-0005-0000-0000-0000B3750000}"/>
    <cellStyle name="Normal 4 11_Enlaces" xfId="30132" xr:uid="{00000000-0005-0000-0000-0000B4750000}"/>
    <cellStyle name="Normal 4 110" xfId="30133" xr:uid="{00000000-0005-0000-0000-0000B5750000}"/>
    <cellStyle name="Normal 4 110 2" xfId="30134" xr:uid="{00000000-0005-0000-0000-0000B6750000}"/>
    <cellStyle name="Normal 4 110 3" xfId="30135" xr:uid="{00000000-0005-0000-0000-0000B7750000}"/>
    <cellStyle name="Normal 4 111" xfId="30136" xr:uid="{00000000-0005-0000-0000-0000B8750000}"/>
    <cellStyle name="Normal 4 111 2" xfId="30137" xr:uid="{00000000-0005-0000-0000-0000B9750000}"/>
    <cellStyle name="Normal 4 111 3" xfId="30138" xr:uid="{00000000-0005-0000-0000-0000BA750000}"/>
    <cellStyle name="Normal 4 112" xfId="30139" xr:uid="{00000000-0005-0000-0000-0000BB750000}"/>
    <cellStyle name="Normal 4 112 2" xfId="30140" xr:uid="{00000000-0005-0000-0000-0000BC750000}"/>
    <cellStyle name="Normal 4 112 3" xfId="30141" xr:uid="{00000000-0005-0000-0000-0000BD750000}"/>
    <cellStyle name="Normal 4 113" xfId="30142" xr:uid="{00000000-0005-0000-0000-0000BE750000}"/>
    <cellStyle name="Normal 4 113 2" xfId="30143" xr:uid="{00000000-0005-0000-0000-0000BF750000}"/>
    <cellStyle name="Normal 4 113 3" xfId="30144" xr:uid="{00000000-0005-0000-0000-0000C0750000}"/>
    <cellStyle name="Normal 4 114" xfId="30145" xr:uid="{00000000-0005-0000-0000-0000C1750000}"/>
    <cellStyle name="Normal 4 114 2" xfId="30146" xr:uid="{00000000-0005-0000-0000-0000C2750000}"/>
    <cellStyle name="Normal 4 114 3" xfId="30147" xr:uid="{00000000-0005-0000-0000-0000C3750000}"/>
    <cellStyle name="Normal 4 115" xfId="30148" xr:uid="{00000000-0005-0000-0000-0000C4750000}"/>
    <cellStyle name="Normal 4 115 2" xfId="30149" xr:uid="{00000000-0005-0000-0000-0000C5750000}"/>
    <cellStyle name="Normal 4 115 3" xfId="30150" xr:uid="{00000000-0005-0000-0000-0000C6750000}"/>
    <cellStyle name="Normal 4 116" xfId="30151" xr:uid="{00000000-0005-0000-0000-0000C7750000}"/>
    <cellStyle name="Normal 4 116 2" xfId="30152" xr:uid="{00000000-0005-0000-0000-0000C8750000}"/>
    <cellStyle name="Normal 4 116 3" xfId="30153" xr:uid="{00000000-0005-0000-0000-0000C9750000}"/>
    <cellStyle name="Normal 4 117" xfId="30154" xr:uid="{00000000-0005-0000-0000-0000CA750000}"/>
    <cellStyle name="Normal 4 117 2" xfId="30155" xr:uid="{00000000-0005-0000-0000-0000CB750000}"/>
    <cellStyle name="Normal 4 117 3" xfId="30156" xr:uid="{00000000-0005-0000-0000-0000CC750000}"/>
    <cellStyle name="Normal 4 118" xfId="30157" xr:uid="{00000000-0005-0000-0000-0000CD750000}"/>
    <cellStyle name="Normal 4 118 2" xfId="30158" xr:uid="{00000000-0005-0000-0000-0000CE750000}"/>
    <cellStyle name="Normal 4 118 3" xfId="30159" xr:uid="{00000000-0005-0000-0000-0000CF750000}"/>
    <cellStyle name="Normal 4 119" xfId="30160" xr:uid="{00000000-0005-0000-0000-0000D0750000}"/>
    <cellStyle name="Normal 4 119 2" xfId="30161" xr:uid="{00000000-0005-0000-0000-0000D1750000}"/>
    <cellStyle name="Normal 4 119 3" xfId="30162" xr:uid="{00000000-0005-0000-0000-0000D2750000}"/>
    <cellStyle name="Normal 4 12" xfId="30163" xr:uid="{00000000-0005-0000-0000-0000D3750000}"/>
    <cellStyle name="Normal 4 12 2" xfId="30164" xr:uid="{00000000-0005-0000-0000-0000D4750000}"/>
    <cellStyle name="Normal 4 12 3" xfId="30165" xr:uid="{00000000-0005-0000-0000-0000D5750000}"/>
    <cellStyle name="Normal 4 12 4" xfId="30166" xr:uid="{00000000-0005-0000-0000-0000D6750000}"/>
    <cellStyle name="Normal 4 12 5" xfId="30167" xr:uid="{00000000-0005-0000-0000-0000D7750000}"/>
    <cellStyle name="Normal 4 12_Enlaces" xfId="30168" xr:uid="{00000000-0005-0000-0000-0000D8750000}"/>
    <cellStyle name="Normal 4 120" xfId="30169" xr:uid="{00000000-0005-0000-0000-0000D9750000}"/>
    <cellStyle name="Normal 4 120 2" xfId="30170" xr:uid="{00000000-0005-0000-0000-0000DA750000}"/>
    <cellStyle name="Normal 4 120 3" xfId="30171" xr:uid="{00000000-0005-0000-0000-0000DB750000}"/>
    <cellStyle name="Normal 4 121" xfId="30172" xr:uid="{00000000-0005-0000-0000-0000DC750000}"/>
    <cellStyle name="Normal 4 121 2" xfId="30173" xr:uid="{00000000-0005-0000-0000-0000DD750000}"/>
    <cellStyle name="Normal 4 121 3" xfId="30174" xr:uid="{00000000-0005-0000-0000-0000DE750000}"/>
    <cellStyle name="Normal 4 122" xfId="30175" xr:uid="{00000000-0005-0000-0000-0000DF750000}"/>
    <cellStyle name="Normal 4 122 2" xfId="30176" xr:uid="{00000000-0005-0000-0000-0000E0750000}"/>
    <cellStyle name="Normal 4 122 3" xfId="30177" xr:uid="{00000000-0005-0000-0000-0000E1750000}"/>
    <cellStyle name="Normal 4 123" xfId="30178" xr:uid="{00000000-0005-0000-0000-0000E2750000}"/>
    <cellStyle name="Normal 4 123 2" xfId="30179" xr:uid="{00000000-0005-0000-0000-0000E3750000}"/>
    <cellStyle name="Normal 4 123 3" xfId="30180" xr:uid="{00000000-0005-0000-0000-0000E4750000}"/>
    <cellStyle name="Normal 4 124" xfId="30181" xr:uid="{00000000-0005-0000-0000-0000E5750000}"/>
    <cellStyle name="Normal 4 125" xfId="30182" xr:uid="{00000000-0005-0000-0000-0000E6750000}"/>
    <cellStyle name="Normal 4 126" xfId="30183" xr:uid="{00000000-0005-0000-0000-0000E7750000}"/>
    <cellStyle name="Normal 4 127" xfId="30184" xr:uid="{00000000-0005-0000-0000-0000E8750000}"/>
    <cellStyle name="Normal 4 128" xfId="30185" xr:uid="{00000000-0005-0000-0000-0000E9750000}"/>
    <cellStyle name="Normal 4 129" xfId="30186" xr:uid="{00000000-0005-0000-0000-0000EA750000}"/>
    <cellStyle name="Normal 4 13" xfId="30187" xr:uid="{00000000-0005-0000-0000-0000EB750000}"/>
    <cellStyle name="Normal 4 13 2" xfId="30188" xr:uid="{00000000-0005-0000-0000-0000EC750000}"/>
    <cellStyle name="Normal 4 13 3" xfId="30189" xr:uid="{00000000-0005-0000-0000-0000ED750000}"/>
    <cellStyle name="Normal 4 13 4" xfId="30190" xr:uid="{00000000-0005-0000-0000-0000EE750000}"/>
    <cellStyle name="Normal 4 13 5" xfId="30191" xr:uid="{00000000-0005-0000-0000-0000EF750000}"/>
    <cellStyle name="Normal 4 13_Enlaces" xfId="30192" xr:uid="{00000000-0005-0000-0000-0000F0750000}"/>
    <cellStyle name="Normal 4 130" xfId="30193" xr:uid="{00000000-0005-0000-0000-0000F1750000}"/>
    <cellStyle name="Normal 4 131" xfId="30194" xr:uid="{00000000-0005-0000-0000-0000F2750000}"/>
    <cellStyle name="Normal 4 131 2" xfId="30195" xr:uid="{00000000-0005-0000-0000-0000F3750000}"/>
    <cellStyle name="Normal 4 132" xfId="30196" xr:uid="{00000000-0005-0000-0000-0000F4750000}"/>
    <cellStyle name="Normal 4 132 2" xfId="30197" xr:uid="{00000000-0005-0000-0000-0000F5750000}"/>
    <cellStyle name="Normal 4 133" xfId="30198" xr:uid="{00000000-0005-0000-0000-0000F6750000}"/>
    <cellStyle name="Normal 4 133 2" xfId="30199" xr:uid="{00000000-0005-0000-0000-0000F7750000}"/>
    <cellStyle name="Normal 4 134" xfId="30200" xr:uid="{00000000-0005-0000-0000-0000F8750000}"/>
    <cellStyle name="Normal 4 134 2" xfId="30201" xr:uid="{00000000-0005-0000-0000-0000F9750000}"/>
    <cellStyle name="Normal 4 135" xfId="30202" xr:uid="{00000000-0005-0000-0000-0000FA750000}"/>
    <cellStyle name="Normal 4 135 2" xfId="30203" xr:uid="{00000000-0005-0000-0000-0000FB750000}"/>
    <cellStyle name="Normal 4 136" xfId="30204" xr:uid="{00000000-0005-0000-0000-0000FC750000}"/>
    <cellStyle name="Normal 4 136 2" xfId="30205" xr:uid="{00000000-0005-0000-0000-0000FD750000}"/>
    <cellStyle name="Normal 4 137" xfId="30206" xr:uid="{00000000-0005-0000-0000-0000FE750000}"/>
    <cellStyle name="Normal 4 137 2" xfId="30207" xr:uid="{00000000-0005-0000-0000-0000FF750000}"/>
    <cellStyle name="Normal 4 138" xfId="30208" xr:uid="{00000000-0005-0000-0000-000000760000}"/>
    <cellStyle name="Normal 4 138 2" xfId="30209" xr:uid="{00000000-0005-0000-0000-000001760000}"/>
    <cellStyle name="Normal 4 139" xfId="30210" xr:uid="{00000000-0005-0000-0000-000002760000}"/>
    <cellStyle name="Normal 4 139 2" xfId="30211" xr:uid="{00000000-0005-0000-0000-000003760000}"/>
    <cellStyle name="Normal 4 14" xfId="30212" xr:uid="{00000000-0005-0000-0000-000004760000}"/>
    <cellStyle name="Normal 4 14 2" xfId="30213" xr:uid="{00000000-0005-0000-0000-000005760000}"/>
    <cellStyle name="Normal 4 14 3" xfId="30214" xr:uid="{00000000-0005-0000-0000-000006760000}"/>
    <cellStyle name="Normal 4 14 4" xfId="30215" xr:uid="{00000000-0005-0000-0000-000007760000}"/>
    <cellStyle name="Normal 4 14 5" xfId="30216" xr:uid="{00000000-0005-0000-0000-000008760000}"/>
    <cellStyle name="Normal 4 14_Enlaces" xfId="30217" xr:uid="{00000000-0005-0000-0000-000009760000}"/>
    <cellStyle name="Normal 4 140" xfId="30218" xr:uid="{00000000-0005-0000-0000-00000A760000}"/>
    <cellStyle name="Normal 4 140 2" xfId="30219" xr:uid="{00000000-0005-0000-0000-00000B760000}"/>
    <cellStyle name="Normal 4 141" xfId="30220" xr:uid="{00000000-0005-0000-0000-00000C760000}"/>
    <cellStyle name="Normal 4 141 2" xfId="30221" xr:uid="{00000000-0005-0000-0000-00000D760000}"/>
    <cellStyle name="Normal 4 142" xfId="30222" xr:uid="{00000000-0005-0000-0000-00000E760000}"/>
    <cellStyle name="Normal 4 142 2" xfId="30223" xr:uid="{00000000-0005-0000-0000-00000F760000}"/>
    <cellStyle name="Normal 4 143" xfId="30224" xr:uid="{00000000-0005-0000-0000-000010760000}"/>
    <cellStyle name="Normal 4 143 2" xfId="30225" xr:uid="{00000000-0005-0000-0000-000011760000}"/>
    <cellStyle name="Normal 4 144" xfId="30226" xr:uid="{00000000-0005-0000-0000-000012760000}"/>
    <cellStyle name="Normal 4 144 2" xfId="30227" xr:uid="{00000000-0005-0000-0000-000013760000}"/>
    <cellStyle name="Normal 4 145" xfId="30228" xr:uid="{00000000-0005-0000-0000-000014760000}"/>
    <cellStyle name="Normal 4 145 2" xfId="30229" xr:uid="{00000000-0005-0000-0000-000015760000}"/>
    <cellStyle name="Normal 4 146" xfId="30230" xr:uid="{00000000-0005-0000-0000-000016760000}"/>
    <cellStyle name="Normal 4 146 2" xfId="30231" xr:uid="{00000000-0005-0000-0000-000017760000}"/>
    <cellStyle name="Normal 4 147" xfId="30232" xr:uid="{00000000-0005-0000-0000-000018760000}"/>
    <cellStyle name="Normal 4 147 2" xfId="30233" xr:uid="{00000000-0005-0000-0000-000019760000}"/>
    <cellStyle name="Normal 4 148" xfId="30234" xr:uid="{00000000-0005-0000-0000-00001A760000}"/>
    <cellStyle name="Normal 4 148 2" xfId="30235" xr:uid="{00000000-0005-0000-0000-00001B760000}"/>
    <cellStyle name="Normal 4 148 3" xfId="30236" xr:uid="{00000000-0005-0000-0000-00001C760000}"/>
    <cellStyle name="Normal 4 149" xfId="30237" xr:uid="{00000000-0005-0000-0000-00001D760000}"/>
    <cellStyle name="Normal 4 149 2" xfId="30238" xr:uid="{00000000-0005-0000-0000-00001E760000}"/>
    <cellStyle name="Normal 4 149 3" xfId="30239" xr:uid="{00000000-0005-0000-0000-00001F760000}"/>
    <cellStyle name="Normal 4 15" xfId="30240" xr:uid="{00000000-0005-0000-0000-000020760000}"/>
    <cellStyle name="Normal 4 15 2" xfId="30241" xr:uid="{00000000-0005-0000-0000-000021760000}"/>
    <cellStyle name="Normal 4 15 3" xfId="30242" xr:uid="{00000000-0005-0000-0000-000022760000}"/>
    <cellStyle name="Normal 4 15 4" xfId="30243" xr:uid="{00000000-0005-0000-0000-000023760000}"/>
    <cellStyle name="Normal 4 15 5" xfId="30244" xr:uid="{00000000-0005-0000-0000-000024760000}"/>
    <cellStyle name="Normal 4 15_Enlaces" xfId="30245" xr:uid="{00000000-0005-0000-0000-000025760000}"/>
    <cellStyle name="Normal 4 150" xfId="30246" xr:uid="{00000000-0005-0000-0000-000026760000}"/>
    <cellStyle name="Normal 4 150 2" xfId="30247" xr:uid="{00000000-0005-0000-0000-000027760000}"/>
    <cellStyle name="Normal 4 150 3" xfId="30248" xr:uid="{00000000-0005-0000-0000-000028760000}"/>
    <cellStyle name="Normal 4 151" xfId="30249" xr:uid="{00000000-0005-0000-0000-000029760000}"/>
    <cellStyle name="Normal 4 151 2" xfId="30250" xr:uid="{00000000-0005-0000-0000-00002A760000}"/>
    <cellStyle name="Normal 4 151 3" xfId="30251" xr:uid="{00000000-0005-0000-0000-00002B760000}"/>
    <cellStyle name="Normal 4 152" xfId="30252" xr:uid="{00000000-0005-0000-0000-00002C760000}"/>
    <cellStyle name="Normal 4 152 2" xfId="30253" xr:uid="{00000000-0005-0000-0000-00002D760000}"/>
    <cellStyle name="Normal 4 152 3" xfId="30254" xr:uid="{00000000-0005-0000-0000-00002E760000}"/>
    <cellStyle name="Normal 4 153" xfId="30255" xr:uid="{00000000-0005-0000-0000-00002F760000}"/>
    <cellStyle name="Normal 4 153 2" xfId="30256" xr:uid="{00000000-0005-0000-0000-000030760000}"/>
    <cellStyle name="Normal 4 154" xfId="30257" xr:uid="{00000000-0005-0000-0000-000031760000}"/>
    <cellStyle name="Normal 4 155" xfId="30258" xr:uid="{00000000-0005-0000-0000-000032760000}"/>
    <cellStyle name="Normal 4 156" xfId="30259" xr:uid="{00000000-0005-0000-0000-000033760000}"/>
    <cellStyle name="Normal 4 157" xfId="30260" xr:uid="{00000000-0005-0000-0000-000034760000}"/>
    <cellStyle name="Normal 4 158" xfId="30261" xr:uid="{00000000-0005-0000-0000-000035760000}"/>
    <cellStyle name="Normal 4 159" xfId="30262" xr:uid="{00000000-0005-0000-0000-000036760000}"/>
    <cellStyle name="Normal 4 16" xfId="30263" xr:uid="{00000000-0005-0000-0000-000037760000}"/>
    <cellStyle name="Normal 4 16 2" xfId="30264" xr:uid="{00000000-0005-0000-0000-000038760000}"/>
    <cellStyle name="Normal 4 16 3" xfId="30265" xr:uid="{00000000-0005-0000-0000-000039760000}"/>
    <cellStyle name="Normal 4 16 4" xfId="30266" xr:uid="{00000000-0005-0000-0000-00003A760000}"/>
    <cellStyle name="Normal 4 16 5" xfId="30267" xr:uid="{00000000-0005-0000-0000-00003B760000}"/>
    <cellStyle name="Normal 4 16_Enlaces" xfId="30268" xr:uid="{00000000-0005-0000-0000-00003C760000}"/>
    <cellStyle name="Normal 4 160" xfId="30269" xr:uid="{00000000-0005-0000-0000-00003D760000}"/>
    <cellStyle name="Normal 4 161" xfId="30270" xr:uid="{00000000-0005-0000-0000-00003E760000}"/>
    <cellStyle name="Normal 4 162" xfId="30271" xr:uid="{00000000-0005-0000-0000-00003F760000}"/>
    <cellStyle name="Normal 4 163" xfId="30272" xr:uid="{00000000-0005-0000-0000-000040760000}"/>
    <cellStyle name="Normal 4 164" xfId="30273" xr:uid="{00000000-0005-0000-0000-000041760000}"/>
    <cellStyle name="Normal 4 165" xfId="30274" xr:uid="{00000000-0005-0000-0000-000042760000}"/>
    <cellStyle name="Normal 4 166" xfId="30275" xr:uid="{00000000-0005-0000-0000-000043760000}"/>
    <cellStyle name="Normal 4 167" xfId="30276" xr:uid="{00000000-0005-0000-0000-000044760000}"/>
    <cellStyle name="Normal 4 168" xfId="30277" xr:uid="{00000000-0005-0000-0000-000045760000}"/>
    <cellStyle name="Normal 4 169" xfId="30278" xr:uid="{00000000-0005-0000-0000-000046760000}"/>
    <cellStyle name="Normal 4 17" xfId="30279" xr:uid="{00000000-0005-0000-0000-000047760000}"/>
    <cellStyle name="Normal 4 17 2" xfId="30280" xr:uid="{00000000-0005-0000-0000-000048760000}"/>
    <cellStyle name="Normal 4 17 3" xfId="30281" xr:uid="{00000000-0005-0000-0000-000049760000}"/>
    <cellStyle name="Normal 4 17 4" xfId="30282" xr:uid="{00000000-0005-0000-0000-00004A760000}"/>
    <cellStyle name="Normal 4 17 5" xfId="30283" xr:uid="{00000000-0005-0000-0000-00004B760000}"/>
    <cellStyle name="Normal 4 17_Enlaces" xfId="30284" xr:uid="{00000000-0005-0000-0000-00004C760000}"/>
    <cellStyle name="Normal 4 170" xfId="30285" xr:uid="{00000000-0005-0000-0000-00004D760000}"/>
    <cellStyle name="Normal 4 171" xfId="30286" xr:uid="{00000000-0005-0000-0000-00004E760000}"/>
    <cellStyle name="Normal 4 172" xfId="30090" xr:uid="{00000000-0005-0000-0000-00008A750000}"/>
    <cellStyle name="Normal 4 18" xfId="30287" xr:uid="{00000000-0005-0000-0000-00004F760000}"/>
    <cellStyle name="Normal 4 18 2" xfId="30288" xr:uid="{00000000-0005-0000-0000-000050760000}"/>
    <cellStyle name="Normal 4 18 3" xfId="30289" xr:uid="{00000000-0005-0000-0000-000051760000}"/>
    <cellStyle name="Normal 4 18 4" xfId="30290" xr:uid="{00000000-0005-0000-0000-000052760000}"/>
    <cellStyle name="Normal 4 18 5" xfId="30291" xr:uid="{00000000-0005-0000-0000-000053760000}"/>
    <cellStyle name="Normal 4 18_Enlaces" xfId="30292" xr:uid="{00000000-0005-0000-0000-000054760000}"/>
    <cellStyle name="Normal 4 19" xfId="30293" xr:uid="{00000000-0005-0000-0000-000055760000}"/>
    <cellStyle name="Normal 4 19 2" xfId="30294" xr:uid="{00000000-0005-0000-0000-000056760000}"/>
    <cellStyle name="Normal 4 19 3" xfId="30295" xr:uid="{00000000-0005-0000-0000-000057760000}"/>
    <cellStyle name="Normal 4 19 4" xfId="30296" xr:uid="{00000000-0005-0000-0000-000058760000}"/>
    <cellStyle name="Normal 4 19 5" xfId="30297" xr:uid="{00000000-0005-0000-0000-000059760000}"/>
    <cellStyle name="Normal 4 19_Enlaces" xfId="30298" xr:uid="{00000000-0005-0000-0000-00005A760000}"/>
    <cellStyle name="Normal 4 2" xfId="59" xr:uid="{00000000-0005-0000-0000-00003B000000}"/>
    <cellStyle name="Normal 4 2 10" xfId="30300" xr:uid="{00000000-0005-0000-0000-00005C760000}"/>
    <cellStyle name="Normal 4 2 10 2" xfId="30301" xr:uid="{00000000-0005-0000-0000-00005D760000}"/>
    <cellStyle name="Normal 4 2 11" xfId="30302" xr:uid="{00000000-0005-0000-0000-00005E760000}"/>
    <cellStyle name="Normal 4 2 11 2" xfId="30303" xr:uid="{00000000-0005-0000-0000-00005F760000}"/>
    <cellStyle name="Normal 4 2 12" xfId="30304" xr:uid="{00000000-0005-0000-0000-000060760000}"/>
    <cellStyle name="Normal 4 2 12 2" xfId="30305" xr:uid="{00000000-0005-0000-0000-000061760000}"/>
    <cellStyle name="Normal 4 2 13" xfId="30306" xr:uid="{00000000-0005-0000-0000-000062760000}"/>
    <cellStyle name="Normal 4 2 13 2" xfId="30307" xr:uid="{00000000-0005-0000-0000-000063760000}"/>
    <cellStyle name="Normal 4 2 14" xfId="30308" xr:uid="{00000000-0005-0000-0000-000064760000}"/>
    <cellStyle name="Normal 4 2 14 2" xfId="30309" xr:uid="{00000000-0005-0000-0000-000065760000}"/>
    <cellStyle name="Normal 4 2 15" xfId="30310" xr:uid="{00000000-0005-0000-0000-000066760000}"/>
    <cellStyle name="Normal 4 2 15 2" xfId="30311" xr:uid="{00000000-0005-0000-0000-000067760000}"/>
    <cellStyle name="Normal 4 2 16" xfId="30312" xr:uid="{00000000-0005-0000-0000-000068760000}"/>
    <cellStyle name="Normal 4 2 16 2" xfId="30313" xr:uid="{00000000-0005-0000-0000-000069760000}"/>
    <cellStyle name="Normal 4 2 17" xfId="30314" xr:uid="{00000000-0005-0000-0000-00006A760000}"/>
    <cellStyle name="Normal 4 2 17 2" xfId="30315" xr:uid="{00000000-0005-0000-0000-00006B760000}"/>
    <cellStyle name="Normal 4 2 18" xfId="30316" xr:uid="{00000000-0005-0000-0000-00006C760000}"/>
    <cellStyle name="Normal 4 2 18 2" xfId="30317" xr:uid="{00000000-0005-0000-0000-00006D760000}"/>
    <cellStyle name="Normal 4 2 19" xfId="30318" xr:uid="{00000000-0005-0000-0000-00006E760000}"/>
    <cellStyle name="Normal 4 2 19 2" xfId="30319" xr:uid="{00000000-0005-0000-0000-00006F760000}"/>
    <cellStyle name="Normal 4 2 2" xfId="30320" xr:uid="{00000000-0005-0000-0000-000070760000}"/>
    <cellStyle name="Normal 4 2 2 2" xfId="30321" xr:uid="{00000000-0005-0000-0000-000071760000}"/>
    <cellStyle name="Normal 4 2 20" xfId="30322" xr:uid="{00000000-0005-0000-0000-000072760000}"/>
    <cellStyle name="Normal 4 2 20 2" xfId="30323" xr:uid="{00000000-0005-0000-0000-000073760000}"/>
    <cellStyle name="Normal 4 2 21" xfId="30324" xr:uid="{00000000-0005-0000-0000-000074760000}"/>
    <cellStyle name="Normal 4 2 21 2" xfId="30325" xr:uid="{00000000-0005-0000-0000-000075760000}"/>
    <cellStyle name="Normal 4 2 22" xfId="30326" xr:uid="{00000000-0005-0000-0000-000076760000}"/>
    <cellStyle name="Normal 4 2 22 2" xfId="30327" xr:uid="{00000000-0005-0000-0000-000077760000}"/>
    <cellStyle name="Normal 4 2 23" xfId="30328" xr:uid="{00000000-0005-0000-0000-000078760000}"/>
    <cellStyle name="Normal 4 2 23 2" xfId="30329" xr:uid="{00000000-0005-0000-0000-000079760000}"/>
    <cellStyle name="Normal 4 2 24" xfId="30330" xr:uid="{00000000-0005-0000-0000-00007A760000}"/>
    <cellStyle name="Normal 4 2 25" xfId="30331" xr:uid="{00000000-0005-0000-0000-00007B760000}"/>
    <cellStyle name="Normal 4 2 26" xfId="30332" xr:uid="{00000000-0005-0000-0000-00007C760000}"/>
    <cellStyle name="Normal 4 2 27" xfId="30333" xr:uid="{00000000-0005-0000-0000-00007D760000}"/>
    <cellStyle name="Normal 4 2 28" xfId="30334" xr:uid="{00000000-0005-0000-0000-00007E760000}"/>
    <cellStyle name="Normal 4 2 29" xfId="30335" xr:uid="{00000000-0005-0000-0000-00007F760000}"/>
    <cellStyle name="Normal 4 2 3" xfId="30336" xr:uid="{00000000-0005-0000-0000-000080760000}"/>
    <cellStyle name="Normal 4 2 3 2" xfId="30337" xr:uid="{00000000-0005-0000-0000-000081760000}"/>
    <cellStyle name="Normal 4 2 30" xfId="30338" xr:uid="{00000000-0005-0000-0000-000082760000}"/>
    <cellStyle name="Normal 4 2 31" xfId="30339" xr:uid="{00000000-0005-0000-0000-000083760000}"/>
    <cellStyle name="Normal 4 2 32" xfId="30340" xr:uid="{00000000-0005-0000-0000-000084760000}"/>
    <cellStyle name="Normal 4 2 33" xfId="30341" xr:uid="{00000000-0005-0000-0000-000085760000}"/>
    <cellStyle name="Normal 4 2 34" xfId="30342" xr:uid="{00000000-0005-0000-0000-000086760000}"/>
    <cellStyle name="Normal 4 2 35" xfId="30343" xr:uid="{00000000-0005-0000-0000-000087760000}"/>
    <cellStyle name="Normal 4 2 36" xfId="30344" xr:uid="{00000000-0005-0000-0000-000088760000}"/>
    <cellStyle name="Normal 4 2 37" xfId="30345" xr:uid="{00000000-0005-0000-0000-000089760000}"/>
    <cellStyle name="Normal 4 2 38" xfId="30346" xr:uid="{00000000-0005-0000-0000-00008A760000}"/>
    <cellStyle name="Normal 4 2 39" xfId="30347" xr:uid="{00000000-0005-0000-0000-00008B760000}"/>
    <cellStyle name="Normal 4 2 4" xfId="30348" xr:uid="{00000000-0005-0000-0000-00008C760000}"/>
    <cellStyle name="Normal 4 2 4 2" xfId="30349" xr:uid="{00000000-0005-0000-0000-00008D760000}"/>
    <cellStyle name="Normal 4 2 40" xfId="30350" xr:uid="{00000000-0005-0000-0000-00008E760000}"/>
    <cellStyle name="Normal 4 2 41" xfId="30351" xr:uid="{00000000-0005-0000-0000-00008F760000}"/>
    <cellStyle name="Normal 4 2 42" xfId="30352" xr:uid="{00000000-0005-0000-0000-000090760000}"/>
    <cellStyle name="Normal 4 2 43" xfId="30353" xr:uid="{00000000-0005-0000-0000-000091760000}"/>
    <cellStyle name="Normal 4 2 44" xfId="30354" xr:uid="{00000000-0005-0000-0000-000092760000}"/>
    <cellStyle name="Normal 4 2 45" xfId="30355" xr:uid="{00000000-0005-0000-0000-000093760000}"/>
    <cellStyle name="Normal 4 2 46" xfId="30356" xr:uid="{00000000-0005-0000-0000-000094760000}"/>
    <cellStyle name="Normal 4 2 47" xfId="30357" xr:uid="{00000000-0005-0000-0000-000095760000}"/>
    <cellStyle name="Normal 4 2 48" xfId="30358" xr:uid="{00000000-0005-0000-0000-000096760000}"/>
    <cellStyle name="Normal 4 2 49" xfId="30359" xr:uid="{00000000-0005-0000-0000-000097760000}"/>
    <cellStyle name="Normal 4 2 5" xfId="30360" xr:uid="{00000000-0005-0000-0000-000098760000}"/>
    <cellStyle name="Normal 4 2 5 2" xfId="30361" xr:uid="{00000000-0005-0000-0000-000099760000}"/>
    <cellStyle name="Normal 4 2 50" xfId="30362" xr:uid="{00000000-0005-0000-0000-00009A760000}"/>
    <cellStyle name="Normal 4 2 51" xfId="30363" xr:uid="{00000000-0005-0000-0000-00009B760000}"/>
    <cellStyle name="Normal 4 2 52" xfId="30364" xr:uid="{00000000-0005-0000-0000-00009C760000}"/>
    <cellStyle name="Normal 4 2 53" xfId="30365" xr:uid="{00000000-0005-0000-0000-00009D760000}"/>
    <cellStyle name="Normal 4 2 54" xfId="30366" xr:uid="{00000000-0005-0000-0000-00009E760000}"/>
    <cellStyle name="Normal 4 2 55" xfId="30367" xr:uid="{00000000-0005-0000-0000-00009F760000}"/>
    <cellStyle name="Normal 4 2 56" xfId="30368" xr:uid="{00000000-0005-0000-0000-0000A0760000}"/>
    <cellStyle name="Normal 4 2 57" xfId="30369" xr:uid="{00000000-0005-0000-0000-0000A1760000}"/>
    <cellStyle name="Normal 4 2 58" xfId="30370" xr:uid="{00000000-0005-0000-0000-0000A2760000}"/>
    <cellStyle name="Normal 4 2 59" xfId="30371" xr:uid="{00000000-0005-0000-0000-0000A3760000}"/>
    <cellStyle name="Normal 4 2 6" xfId="30372" xr:uid="{00000000-0005-0000-0000-0000A4760000}"/>
    <cellStyle name="Normal 4 2 6 2" xfId="30373" xr:uid="{00000000-0005-0000-0000-0000A5760000}"/>
    <cellStyle name="Normal 4 2 60" xfId="30374" xr:uid="{00000000-0005-0000-0000-0000A6760000}"/>
    <cellStyle name="Normal 4 2 61" xfId="30375" xr:uid="{00000000-0005-0000-0000-0000A7760000}"/>
    <cellStyle name="Normal 4 2 62" xfId="30376" xr:uid="{00000000-0005-0000-0000-0000A8760000}"/>
    <cellStyle name="Normal 4 2 63" xfId="30377" xr:uid="{00000000-0005-0000-0000-0000A9760000}"/>
    <cellStyle name="Normal 4 2 64" xfId="30378" xr:uid="{00000000-0005-0000-0000-0000AA760000}"/>
    <cellStyle name="Normal 4 2 65" xfId="30379" xr:uid="{00000000-0005-0000-0000-0000AB760000}"/>
    <cellStyle name="Normal 4 2 66" xfId="30380" xr:uid="{00000000-0005-0000-0000-0000AC760000}"/>
    <cellStyle name="Normal 4 2 67" xfId="30381" xr:uid="{00000000-0005-0000-0000-0000AD760000}"/>
    <cellStyle name="Normal 4 2 68" xfId="30382" xr:uid="{00000000-0005-0000-0000-0000AE760000}"/>
    <cellStyle name="Normal 4 2 69" xfId="30383" xr:uid="{00000000-0005-0000-0000-0000AF760000}"/>
    <cellStyle name="Normal 4 2 7" xfId="30384" xr:uid="{00000000-0005-0000-0000-0000B0760000}"/>
    <cellStyle name="Normal 4 2 7 2" xfId="30385" xr:uid="{00000000-0005-0000-0000-0000B1760000}"/>
    <cellStyle name="Normal 4 2 70" xfId="30386" xr:uid="{00000000-0005-0000-0000-0000B2760000}"/>
    <cellStyle name="Normal 4 2 71" xfId="30387" xr:uid="{00000000-0005-0000-0000-0000B3760000}"/>
    <cellStyle name="Normal 4 2 72" xfId="30388" xr:uid="{00000000-0005-0000-0000-0000B4760000}"/>
    <cellStyle name="Normal 4 2 73" xfId="30389" xr:uid="{00000000-0005-0000-0000-0000B5760000}"/>
    <cellStyle name="Normal 4 2 74" xfId="30390" xr:uid="{00000000-0005-0000-0000-0000B6760000}"/>
    <cellStyle name="Normal 4 2 75" xfId="30391" xr:uid="{00000000-0005-0000-0000-0000B7760000}"/>
    <cellStyle name="Normal 4 2 76" xfId="30392" xr:uid="{00000000-0005-0000-0000-0000B8760000}"/>
    <cellStyle name="Normal 4 2 77" xfId="30393" xr:uid="{00000000-0005-0000-0000-0000B9760000}"/>
    <cellStyle name="Normal 4 2 78" xfId="30394" xr:uid="{00000000-0005-0000-0000-0000BA760000}"/>
    <cellStyle name="Normal 4 2 79" xfId="30395" xr:uid="{00000000-0005-0000-0000-0000BB760000}"/>
    <cellStyle name="Normal 4 2 8" xfId="30396" xr:uid="{00000000-0005-0000-0000-0000BC760000}"/>
    <cellStyle name="Normal 4 2 8 2" xfId="30397" xr:uid="{00000000-0005-0000-0000-0000BD760000}"/>
    <cellStyle name="Normal 4 2 80" xfId="30398" xr:uid="{00000000-0005-0000-0000-0000BE760000}"/>
    <cellStyle name="Normal 4 2 81" xfId="30399" xr:uid="{00000000-0005-0000-0000-0000BF760000}"/>
    <cellStyle name="Normal 4 2 82" xfId="30400" xr:uid="{00000000-0005-0000-0000-0000C0760000}"/>
    <cellStyle name="Normal 4 2 83" xfId="30401" xr:uid="{00000000-0005-0000-0000-0000C1760000}"/>
    <cellStyle name="Normal 4 2 84" xfId="30402" xr:uid="{00000000-0005-0000-0000-0000C2760000}"/>
    <cellStyle name="Normal 4 2 85" xfId="30403" xr:uid="{00000000-0005-0000-0000-0000C3760000}"/>
    <cellStyle name="Normal 4 2 86" xfId="30404" xr:uid="{00000000-0005-0000-0000-0000C4760000}"/>
    <cellStyle name="Normal 4 2 87" xfId="30405" xr:uid="{00000000-0005-0000-0000-0000C5760000}"/>
    <cellStyle name="Normal 4 2 87 2" xfId="30406" xr:uid="{00000000-0005-0000-0000-0000C6760000}"/>
    <cellStyle name="Normal 4 2 88" xfId="30299" xr:uid="{00000000-0005-0000-0000-00005B760000}"/>
    <cellStyle name="Normal 4 2 9" xfId="30407" xr:uid="{00000000-0005-0000-0000-0000C7760000}"/>
    <cellStyle name="Normal 4 2 9 2" xfId="30408" xr:uid="{00000000-0005-0000-0000-0000C8760000}"/>
    <cellStyle name="Normal 4 2_Xa Parametrización de Usuarios" xfId="30409" xr:uid="{00000000-0005-0000-0000-0000C9760000}"/>
    <cellStyle name="Normal 4 20" xfId="30410" xr:uid="{00000000-0005-0000-0000-0000CA760000}"/>
    <cellStyle name="Normal 4 20 2" xfId="30411" xr:uid="{00000000-0005-0000-0000-0000CB760000}"/>
    <cellStyle name="Normal 4 20 3" xfId="30412" xr:uid="{00000000-0005-0000-0000-0000CC760000}"/>
    <cellStyle name="Normal 4 20 4" xfId="30413" xr:uid="{00000000-0005-0000-0000-0000CD760000}"/>
    <cellStyle name="Normal 4 20_Enlaces" xfId="30414" xr:uid="{00000000-0005-0000-0000-0000CE760000}"/>
    <cellStyle name="Normal 4 21" xfId="30415" xr:uid="{00000000-0005-0000-0000-0000CF760000}"/>
    <cellStyle name="Normal 4 21 2" xfId="30416" xr:uid="{00000000-0005-0000-0000-0000D0760000}"/>
    <cellStyle name="Normal 4 21 3" xfId="30417" xr:uid="{00000000-0005-0000-0000-0000D1760000}"/>
    <cellStyle name="Normal 4 21 4" xfId="30418" xr:uid="{00000000-0005-0000-0000-0000D2760000}"/>
    <cellStyle name="Normal 4 21_Enlaces" xfId="30419" xr:uid="{00000000-0005-0000-0000-0000D3760000}"/>
    <cellStyle name="Normal 4 22" xfId="30420" xr:uid="{00000000-0005-0000-0000-0000D4760000}"/>
    <cellStyle name="Normal 4 22 2" xfId="30421" xr:uid="{00000000-0005-0000-0000-0000D5760000}"/>
    <cellStyle name="Normal 4 22 3" xfId="30422" xr:uid="{00000000-0005-0000-0000-0000D6760000}"/>
    <cellStyle name="Normal 4 22 4" xfId="30423" xr:uid="{00000000-0005-0000-0000-0000D7760000}"/>
    <cellStyle name="Normal 4 22_Enlaces" xfId="30424" xr:uid="{00000000-0005-0000-0000-0000D8760000}"/>
    <cellStyle name="Normal 4 23" xfId="30425" xr:uid="{00000000-0005-0000-0000-0000D9760000}"/>
    <cellStyle name="Normal 4 23 2" xfId="30426" xr:uid="{00000000-0005-0000-0000-0000DA760000}"/>
    <cellStyle name="Normal 4 23 3" xfId="30427" xr:uid="{00000000-0005-0000-0000-0000DB760000}"/>
    <cellStyle name="Normal 4 23 4" xfId="30428" xr:uid="{00000000-0005-0000-0000-0000DC760000}"/>
    <cellStyle name="Normal 4 23_Enlaces" xfId="30429" xr:uid="{00000000-0005-0000-0000-0000DD760000}"/>
    <cellStyle name="Normal 4 24" xfId="30430" xr:uid="{00000000-0005-0000-0000-0000DE760000}"/>
    <cellStyle name="Normal 4 24 2" xfId="30431" xr:uid="{00000000-0005-0000-0000-0000DF760000}"/>
    <cellStyle name="Normal 4 24 3" xfId="30432" xr:uid="{00000000-0005-0000-0000-0000E0760000}"/>
    <cellStyle name="Normal 4 24 4" xfId="30433" xr:uid="{00000000-0005-0000-0000-0000E1760000}"/>
    <cellStyle name="Normal 4 24_Enlaces" xfId="30434" xr:uid="{00000000-0005-0000-0000-0000E2760000}"/>
    <cellStyle name="Normal 4 25" xfId="30435" xr:uid="{00000000-0005-0000-0000-0000E3760000}"/>
    <cellStyle name="Normal 4 25 2" xfId="30436" xr:uid="{00000000-0005-0000-0000-0000E4760000}"/>
    <cellStyle name="Normal 4 25 3" xfId="30437" xr:uid="{00000000-0005-0000-0000-0000E5760000}"/>
    <cellStyle name="Normal 4 25 4" xfId="30438" xr:uid="{00000000-0005-0000-0000-0000E6760000}"/>
    <cellStyle name="Normal 4 25_Enlaces" xfId="30439" xr:uid="{00000000-0005-0000-0000-0000E7760000}"/>
    <cellStyle name="Normal 4 26" xfId="30440" xr:uid="{00000000-0005-0000-0000-0000E8760000}"/>
    <cellStyle name="Normal 4 26 2" xfId="30441" xr:uid="{00000000-0005-0000-0000-0000E9760000}"/>
    <cellStyle name="Normal 4 26 3" xfId="30442" xr:uid="{00000000-0005-0000-0000-0000EA760000}"/>
    <cellStyle name="Normal 4 26 4" xfId="30443" xr:uid="{00000000-0005-0000-0000-0000EB760000}"/>
    <cellStyle name="Normal 4 26_Enlaces" xfId="30444" xr:uid="{00000000-0005-0000-0000-0000EC760000}"/>
    <cellStyle name="Normal 4 27" xfId="30445" xr:uid="{00000000-0005-0000-0000-0000ED760000}"/>
    <cellStyle name="Normal 4 27 2" xfId="30446" xr:uid="{00000000-0005-0000-0000-0000EE760000}"/>
    <cellStyle name="Normal 4 27 3" xfId="30447" xr:uid="{00000000-0005-0000-0000-0000EF760000}"/>
    <cellStyle name="Normal 4 28" xfId="30448" xr:uid="{00000000-0005-0000-0000-0000F0760000}"/>
    <cellStyle name="Normal 4 28 2" xfId="30449" xr:uid="{00000000-0005-0000-0000-0000F1760000}"/>
    <cellStyle name="Normal 4 28 3" xfId="30450" xr:uid="{00000000-0005-0000-0000-0000F2760000}"/>
    <cellStyle name="Normal 4 29" xfId="30451" xr:uid="{00000000-0005-0000-0000-0000F3760000}"/>
    <cellStyle name="Normal 4 29 2" xfId="30452" xr:uid="{00000000-0005-0000-0000-0000F4760000}"/>
    <cellStyle name="Normal 4 29 3" xfId="30453" xr:uid="{00000000-0005-0000-0000-0000F5760000}"/>
    <cellStyle name="Normal 4 3" xfId="40" xr:uid="{00000000-0005-0000-0000-000028000000}"/>
    <cellStyle name="Normal 4 3 10" xfId="30455" xr:uid="{00000000-0005-0000-0000-0000F7760000}"/>
    <cellStyle name="Normal 4 3 11" xfId="30456" xr:uid="{00000000-0005-0000-0000-0000F8760000}"/>
    <cellStyle name="Normal 4 3 12" xfId="30457" xr:uid="{00000000-0005-0000-0000-0000F9760000}"/>
    <cellStyle name="Normal 4 3 13" xfId="30458" xr:uid="{00000000-0005-0000-0000-0000FA760000}"/>
    <cellStyle name="Normal 4 3 14" xfId="30459" xr:uid="{00000000-0005-0000-0000-0000FB760000}"/>
    <cellStyle name="Normal 4 3 15" xfId="30460" xr:uid="{00000000-0005-0000-0000-0000FC760000}"/>
    <cellStyle name="Normal 4 3 16" xfId="30461" xr:uid="{00000000-0005-0000-0000-0000FD760000}"/>
    <cellStyle name="Normal 4 3 17" xfId="30462" xr:uid="{00000000-0005-0000-0000-0000FE760000}"/>
    <cellStyle name="Normal 4 3 18" xfId="30463" xr:uid="{00000000-0005-0000-0000-0000FF760000}"/>
    <cellStyle name="Normal 4 3 19" xfId="30464" xr:uid="{00000000-0005-0000-0000-000000770000}"/>
    <cellStyle name="Normal 4 3 2" xfId="30465" xr:uid="{00000000-0005-0000-0000-000001770000}"/>
    <cellStyle name="Normal 4 3 2 2" xfId="30466" xr:uid="{00000000-0005-0000-0000-000002770000}"/>
    <cellStyle name="Normal 4 3 20" xfId="30467" xr:uid="{00000000-0005-0000-0000-000003770000}"/>
    <cellStyle name="Normal 4 3 21" xfId="30468" xr:uid="{00000000-0005-0000-0000-000004770000}"/>
    <cellStyle name="Normal 4 3 22" xfId="30469" xr:uid="{00000000-0005-0000-0000-000005770000}"/>
    <cellStyle name="Normal 4 3 23" xfId="30470" xr:uid="{00000000-0005-0000-0000-000006770000}"/>
    <cellStyle name="Normal 4 3 24" xfId="30471" xr:uid="{00000000-0005-0000-0000-000007770000}"/>
    <cellStyle name="Normal 4 3 25" xfId="30472" xr:uid="{00000000-0005-0000-0000-000008770000}"/>
    <cellStyle name="Normal 4 3 26" xfId="30473" xr:uid="{00000000-0005-0000-0000-000009770000}"/>
    <cellStyle name="Normal 4 3 27" xfId="30474" xr:uid="{00000000-0005-0000-0000-00000A770000}"/>
    <cellStyle name="Normal 4 3 28" xfId="30475" xr:uid="{00000000-0005-0000-0000-00000B770000}"/>
    <cellStyle name="Normal 4 3 29" xfId="30476" xr:uid="{00000000-0005-0000-0000-00000C770000}"/>
    <cellStyle name="Normal 4 3 3" xfId="30477" xr:uid="{00000000-0005-0000-0000-00000D770000}"/>
    <cellStyle name="Normal 4 3 30" xfId="30478" xr:uid="{00000000-0005-0000-0000-00000E770000}"/>
    <cellStyle name="Normal 4 3 31" xfId="30479" xr:uid="{00000000-0005-0000-0000-00000F770000}"/>
    <cellStyle name="Normal 4 3 32" xfId="30480" xr:uid="{00000000-0005-0000-0000-000010770000}"/>
    <cellStyle name="Normal 4 3 33" xfId="30481" xr:uid="{00000000-0005-0000-0000-000011770000}"/>
    <cellStyle name="Normal 4 3 34" xfId="30482" xr:uid="{00000000-0005-0000-0000-000012770000}"/>
    <cellStyle name="Normal 4 3 35" xfId="30454" xr:uid="{00000000-0005-0000-0000-0000F6760000}"/>
    <cellStyle name="Normal 4 3 4" xfId="30483" xr:uid="{00000000-0005-0000-0000-000013770000}"/>
    <cellStyle name="Normal 4 3 5" xfId="30484" xr:uid="{00000000-0005-0000-0000-000014770000}"/>
    <cellStyle name="Normal 4 3 6" xfId="30485" xr:uid="{00000000-0005-0000-0000-000015770000}"/>
    <cellStyle name="Normal 4 3 7" xfId="30486" xr:uid="{00000000-0005-0000-0000-000016770000}"/>
    <cellStyle name="Normal 4 3 8" xfId="30487" xr:uid="{00000000-0005-0000-0000-000017770000}"/>
    <cellStyle name="Normal 4 3 9" xfId="30488" xr:uid="{00000000-0005-0000-0000-000018770000}"/>
    <cellStyle name="Normal 4 3_Enlaces" xfId="30489" xr:uid="{00000000-0005-0000-0000-000019770000}"/>
    <cellStyle name="Normal 4 30" xfId="30490" xr:uid="{00000000-0005-0000-0000-00001A770000}"/>
    <cellStyle name="Normal 4 30 2" xfId="30491" xr:uid="{00000000-0005-0000-0000-00001B770000}"/>
    <cellStyle name="Normal 4 30 3" xfId="30492" xr:uid="{00000000-0005-0000-0000-00001C770000}"/>
    <cellStyle name="Normal 4 31" xfId="30493" xr:uid="{00000000-0005-0000-0000-00001D770000}"/>
    <cellStyle name="Normal 4 31 2" xfId="30494" xr:uid="{00000000-0005-0000-0000-00001E770000}"/>
    <cellStyle name="Normal 4 31 3" xfId="30495" xr:uid="{00000000-0005-0000-0000-00001F770000}"/>
    <cellStyle name="Normal 4 32" xfId="30496" xr:uid="{00000000-0005-0000-0000-000020770000}"/>
    <cellStyle name="Normal 4 32 2" xfId="30497" xr:uid="{00000000-0005-0000-0000-000021770000}"/>
    <cellStyle name="Normal 4 32 3" xfId="30498" xr:uid="{00000000-0005-0000-0000-000022770000}"/>
    <cellStyle name="Normal 4 33" xfId="30499" xr:uid="{00000000-0005-0000-0000-000023770000}"/>
    <cellStyle name="Normal 4 33 2" xfId="30500" xr:uid="{00000000-0005-0000-0000-000024770000}"/>
    <cellStyle name="Normal 4 33 3" xfId="30501" xr:uid="{00000000-0005-0000-0000-000025770000}"/>
    <cellStyle name="Normal 4 34" xfId="30502" xr:uid="{00000000-0005-0000-0000-000026770000}"/>
    <cellStyle name="Normal 4 34 2" xfId="30503" xr:uid="{00000000-0005-0000-0000-000027770000}"/>
    <cellStyle name="Normal 4 34 3" xfId="30504" xr:uid="{00000000-0005-0000-0000-000028770000}"/>
    <cellStyle name="Normal 4 35" xfId="30505" xr:uid="{00000000-0005-0000-0000-000029770000}"/>
    <cellStyle name="Normal 4 35 2" xfId="30506" xr:uid="{00000000-0005-0000-0000-00002A770000}"/>
    <cellStyle name="Normal 4 35 3" xfId="30507" xr:uid="{00000000-0005-0000-0000-00002B770000}"/>
    <cellStyle name="Normal 4 36" xfId="30508" xr:uid="{00000000-0005-0000-0000-00002C770000}"/>
    <cellStyle name="Normal 4 36 2" xfId="30509" xr:uid="{00000000-0005-0000-0000-00002D770000}"/>
    <cellStyle name="Normal 4 36 3" xfId="30510" xr:uid="{00000000-0005-0000-0000-00002E770000}"/>
    <cellStyle name="Normal 4 37" xfId="30511" xr:uid="{00000000-0005-0000-0000-00002F770000}"/>
    <cellStyle name="Normal 4 37 2" xfId="30512" xr:uid="{00000000-0005-0000-0000-000030770000}"/>
    <cellStyle name="Normal 4 37 3" xfId="30513" xr:uid="{00000000-0005-0000-0000-000031770000}"/>
    <cellStyle name="Normal 4 38" xfId="30514" xr:uid="{00000000-0005-0000-0000-000032770000}"/>
    <cellStyle name="Normal 4 38 2" xfId="30515" xr:uid="{00000000-0005-0000-0000-000033770000}"/>
    <cellStyle name="Normal 4 38 3" xfId="30516" xr:uid="{00000000-0005-0000-0000-000034770000}"/>
    <cellStyle name="Normal 4 39" xfId="30517" xr:uid="{00000000-0005-0000-0000-000035770000}"/>
    <cellStyle name="Normal 4 39 2" xfId="30518" xr:uid="{00000000-0005-0000-0000-000036770000}"/>
    <cellStyle name="Normal 4 39 3" xfId="30519" xr:uid="{00000000-0005-0000-0000-000037770000}"/>
    <cellStyle name="Normal 4 4" xfId="30520" xr:uid="{00000000-0005-0000-0000-000038770000}"/>
    <cellStyle name="Normal 4 4 2" xfId="30521" xr:uid="{00000000-0005-0000-0000-000039770000}"/>
    <cellStyle name="Normal 4 4 3" xfId="30522" xr:uid="{00000000-0005-0000-0000-00003A770000}"/>
    <cellStyle name="Normal 4 4 4" xfId="30523" xr:uid="{00000000-0005-0000-0000-00003B770000}"/>
    <cellStyle name="Normal 4 4 5" xfId="30524" xr:uid="{00000000-0005-0000-0000-00003C770000}"/>
    <cellStyle name="Normal 4 4_Enlaces" xfId="30525" xr:uid="{00000000-0005-0000-0000-00003D770000}"/>
    <cellStyle name="Normal 4 40" xfId="30526" xr:uid="{00000000-0005-0000-0000-00003E770000}"/>
    <cellStyle name="Normal 4 40 2" xfId="30527" xr:uid="{00000000-0005-0000-0000-00003F770000}"/>
    <cellStyle name="Normal 4 40 3" xfId="30528" xr:uid="{00000000-0005-0000-0000-000040770000}"/>
    <cellStyle name="Normal 4 41" xfId="30529" xr:uid="{00000000-0005-0000-0000-000041770000}"/>
    <cellStyle name="Normal 4 41 2" xfId="30530" xr:uid="{00000000-0005-0000-0000-000042770000}"/>
    <cellStyle name="Normal 4 41 3" xfId="30531" xr:uid="{00000000-0005-0000-0000-000043770000}"/>
    <cellStyle name="Normal 4 42" xfId="30532" xr:uid="{00000000-0005-0000-0000-000044770000}"/>
    <cellStyle name="Normal 4 42 2" xfId="30533" xr:uid="{00000000-0005-0000-0000-000045770000}"/>
    <cellStyle name="Normal 4 42 3" xfId="30534" xr:uid="{00000000-0005-0000-0000-000046770000}"/>
    <cellStyle name="Normal 4 43" xfId="30535" xr:uid="{00000000-0005-0000-0000-000047770000}"/>
    <cellStyle name="Normal 4 43 2" xfId="30536" xr:uid="{00000000-0005-0000-0000-000048770000}"/>
    <cellStyle name="Normal 4 43 3" xfId="30537" xr:uid="{00000000-0005-0000-0000-000049770000}"/>
    <cellStyle name="Normal 4 44" xfId="30538" xr:uid="{00000000-0005-0000-0000-00004A770000}"/>
    <cellStyle name="Normal 4 44 2" xfId="30539" xr:uid="{00000000-0005-0000-0000-00004B770000}"/>
    <cellStyle name="Normal 4 44 3" xfId="30540" xr:uid="{00000000-0005-0000-0000-00004C770000}"/>
    <cellStyle name="Normal 4 45" xfId="30541" xr:uid="{00000000-0005-0000-0000-00004D770000}"/>
    <cellStyle name="Normal 4 45 2" xfId="30542" xr:uid="{00000000-0005-0000-0000-00004E770000}"/>
    <cellStyle name="Normal 4 45 3" xfId="30543" xr:uid="{00000000-0005-0000-0000-00004F770000}"/>
    <cellStyle name="Normal 4 46" xfId="30544" xr:uid="{00000000-0005-0000-0000-000050770000}"/>
    <cellStyle name="Normal 4 46 2" xfId="30545" xr:uid="{00000000-0005-0000-0000-000051770000}"/>
    <cellStyle name="Normal 4 46 3" xfId="30546" xr:uid="{00000000-0005-0000-0000-000052770000}"/>
    <cellStyle name="Normal 4 47" xfId="30547" xr:uid="{00000000-0005-0000-0000-000053770000}"/>
    <cellStyle name="Normal 4 48" xfId="30548" xr:uid="{00000000-0005-0000-0000-000054770000}"/>
    <cellStyle name="Normal 4 49" xfId="30549" xr:uid="{00000000-0005-0000-0000-000055770000}"/>
    <cellStyle name="Normal 4 5" xfId="30550" xr:uid="{00000000-0005-0000-0000-000056770000}"/>
    <cellStyle name="Normal 4 5 2" xfId="30551" xr:uid="{00000000-0005-0000-0000-000057770000}"/>
    <cellStyle name="Normal 4 5 3" xfId="30552" xr:uid="{00000000-0005-0000-0000-000058770000}"/>
    <cellStyle name="Normal 4 5 4" xfId="30553" xr:uid="{00000000-0005-0000-0000-000059770000}"/>
    <cellStyle name="Normal 4 5 5" xfId="30554" xr:uid="{00000000-0005-0000-0000-00005A770000}"/>
    <cellStyle name="Normal 4 5_Enlaces" xfId="30555" xr:uid="{00000000-0005-0000-0000-00005B770000}"/>
    <cellStyle name="Normal 4 50" xfId="30556" xr:uid="{00000000-0005-0000-0000-00005C770000}"/>
    <cellStyle name="Normal 4 51" xfId="30557" xr:uid="{00000000-0005-0000-0000-00005D770000}"/>
    <cellStyle name="Normal 4 52" xfId="30558" xr:uid="{00000000-0005-0000-0000-00005E770000}"/>
    <cellStyle name="Normal 4 53" xfId="30559" xr:uid="{00000000-0005-0000-0000-00005F770000}"/>
    <cellStyle name="Normal 4 54" xfId="30560" xr:uid="{00000000-0005-0000-0000-000060770000}"/>
    <cellStyle name="Normal 4 55" xfId="30561" xr:uid="{00000000-0005-0000-0000-000061770000}"/>
    <cellStyle name="Normal 4 56" xfId="30562" xr:uid="{00000000-0005-0000-0000-000062770000}"/>
    <cellStyle name="Normal 4 57" xfId="30563" xr:uid="{00000000-0005-0000-0000-000063770000}"/>
    <cellStyle name="Normal 4 58" xfId="30564" xr:uid="{00000000-0005-0000-0000-000064770000}"/>
    <cellStyle name="Normal 4 59" xfId="30565" xr:uid="{00000000-0005-0000-0000-000065770000}"/>
    <cellStyle name="Normal 4 6" xfId="30566" xr:uid="{00000000-0005-0000-0000-000066770000}"/>
    <cellStyle name="Normal 4 6 2" xfId="30567" xr:uid="{00000000-0005-0000-0000-000067770000}"/>
    <cellStyle name="Normal 4 6 3" xfId="30568" xr:uid="{00000000-0005-0000-0000-000068770000}"/>
    <cellStyle name="Normal 4 6 4" xfId="30569" xr:uid="{00000000-0005-0000-0000-000069770000}"/>
    <cellStyle name="Normal 4 6 5" xfId="30570" xr:uid="{00000000-0005-0000-0000-00006A770000}"/>
    <cellStyle name="Normal 4 6_Enlaces" xfId="30571" xr:uid="{00000000-0005-0000-0000-00006B770000}"/>
    <cellStyle name="Normal 4 60" xfId="30572" xr:uid="{00000000-0005-0000-0000-00006C770000}"/>
    <cellStyle name="Normal 4 61" xfId="30573" xr:uid="{00000000-0005-0000-0000-00006D770000}"/>
    <cellStyle name="Normal 4 62" xfId="30574" xr:uid="{00000000-0005-0000-0000-00006E770000}"/>
    <cellStyle name="Normal 4 63" xfId="30575" xr:uid="{00000000-0005-0000-0000-00006F770000}"/>
    <cellStyle name="Normal 4 64" xfId="30576" xr:uid="{00000000-0005-0000-0000-000070770000}"/>
    <cellStyle name="Normal 4 65" xfId="30577" xr:uid="{00000000-0005-0000-0000-000071770000}"/>
    <cellStyle name="Normal 4 66" xfId="30578" xr:uid="{00000000-0005-0000-0000-000072770000}"/>
    <cellStyle name="Normal 4 67" xfId="30579" xr:uid="{00000000-0005-0000-0000-000073770000}"/>
    <cellStyle name="Normal 4 68" xfId="30580" xr:uid="{00000000-0005-0000-0000-000074770000}"/>
    <cellStyle name="Normal 4 69" xfId="30581" xr:uid="{00000000-0005-0000-0000-000075770000}"/>
    <cellStyle name="Normal 4 7" xfId="30582" xr:uid="{00000000-0005-0000-0000-000076770000}"/>
    <cellStyle name="Normal 4 7 2" xfId="30583" xr:uid="{00000000-0005-0000-0000-000077770000}"/>
    <cellStyle name="Normal 4 7 3" xfId="30584" xr:uid="{00000000-0005-0000-0000-000078770000}"/>
    <cellStyle name="Normal 4 7 4" xfId="30585" xr:uid="{00000000-0005-0000-0000-000079770000}"/>
    <cellStyle name="Normal 4 7 5" xfId="30586" xr:uid="{00000000-0005-0000-0000-00007A770000}"/>
    <cellStyle name="Normal 4 7_Enlaces" xfId="30587" xr:uid="{00000000-0005-0000-0000-00007B770000}"/>
    <cellStyle name="Normal 4 70" xfId="30588" xr:uid="{00000000-0005-0000-0000-00007C770000}"/>
    <cellStyle name="Normal 4 71" xfId="30589" xr:uid="{00000000-0005-0000-0000-00007D770000}"/>
    <cellStyle name="Normal 4 72" xfId="30590" xr:uid="{00000000-0005-0000-0000-00007E770000}"/>
    <cellStyle name="Normal 4 73" xfId="30591" xr:uid="{00000000-0005-0000-0000-00007F770000}"/>
    <cellStyle name="Normal 4 74" xfId="30592" xr:uid="{00000000-0005-0000-0000-000080770000}"/>
    <cellStyle name="Normal 4 75" xfId="30593" xr:uid="{00000000-0005-0000-0000-000081770000}"/>
    <cellStyle name="Normal 4 76" xfId="30594" xr:uid="{00000000-0005-0000-0000-000082770000}"/>
    <cellStyle name="Normal 4 77" xfId="30595" xr:uid="{00000000-0005-0000-0000-000083770000}"/>
    <cellStyle name="Normal 4 78" xfId="30596" xr:uid="{00000000-0005-0000-0000-000084770000}"/>
    <cellStyle name="Normal 4 79" xfId="30597" xr:uid="{00000000-0005-0000-0000-000085770000}"/>
    <cellStyle name="Normal 4 8" xfId="30598" xr:uid="{00000000-0005-0000-0000-000086770000}"/>
    <cellStyle name="Normal 4 8 2" xfId="30599" xr:uid="{00000000-0005-0000-0000-000087770000}"/>
    <cellStyle name="Normal 4 8 3" xfId="30600" xr:uid="{00000000-0005-0000-0000-000088770000}"/>
    <cellStyle name="Normal 4 8 4" xfId="30601" xr:uid="{00000000-0005-0000-0000-000089770000}"/>
    <cellStyle name="Normal 4 8 5" xfId="30602" xr:uid="{00000000-0005-0000-0000-00008A770000}"/>
    <cellStyle name="Normal 4 8_Enlaces" xfId="30603" xr:uid="{00000000-0005-0000-0000-00008B770000}"/>
    <cellStyle name="Normal 4 80" xfId="30604" xr:uid="{00000000-0005-0000-0000-00008C770000}"/>
    <cellStyle name="Normal 4 81" xfId="30605" xr:uid="{00000000-0005-0000-0000-00008D770000}"/>
    <cellStyle name="Normal 4 82" xfId="30606" xr:uid="{00000000-0005-0000-0000-00008E770000}"/>
    <cellStyle name="Normal 4 83" xfId="30607" xr:uid="{00000000-0005-0000-0000-00008F770000}"/>
    <cellStyle name="Normal 4 84" xfId="30608" xr:uid="{00000000-0005-0000-0000-000090770000}"/>
    <cellStyle name="Normal 4 85" xfId="30609" xr:uid="{00000000-0005-0000-0000-000091770000}"/>
    <cellStyle name="Normal 4 86" xfId="30610" xr:uid="{00000000-0005-0000-0000-000092770000}"/>
    <cellStyle name="Normal 4 87" xfId="30611" xr:uid="{00000000-0005-0000-0000-000093770000}"/>
    <cellStyle name="Normal 4 88" xfId="30612" xr:uid="{00000000-0005-0000-0000-000094770000}"/>
    <cellStyle name="Normal 4 89" xfId="30613" xr:uid="{00000000-0005-0000-0000-000095770000}"/>
    <cellStyle name="Normal 4 9" xfId="30614" xr:uid="{00000000-0005-0000-0000-000096770000}"/>
    <cellStyle name="Normal 4 9 2" xfId="30615" xr:uid="{00000000-0005-0000-0000-000097770000}"/>
    <cellStyle name="Normal 4 9 3" xfId="30616" xr:uid="{00000000-0005-0000-0000-000098770000}"/>
    <cellStyle name="Normal 4 9 4" xfId="30617" xr:uid="{00000000-0005-0000-0000-000099770000}"/>
    <cellStyle name="Normal 4 9 5" xfId="30618" xr:uid="{00000000-0005-0000-0000-00009A770000}"/>
    <cellStyle name="Normal 4 9_Enlaces" xfId="30619" xr:uid="{00000000-0005-0000-0000-00009B770000}"/>
    <cellStyle name="Normal 4 90" xfId="30620" xr:uid="{00000000-0005-0000-0000-00009C770000}"/>
    <cellStyle name="Normal 4 91" xfId="30621" xr:uid="{00000000-0005-0000-0000-00009D770000}"/>
    <cellStyle name="Normal 4 92" xfId="30622" xr:uid="{00000000-0005-0000-0000-00009E770000}"/>
    <cellStyle name="Normal 4 93" xfId="30623" xr:uid="{00000000-0005-0000-0000-00009F770000}"/>
    <cellStyle name="Normal 4 94" xfId="30624" xr:uid="{00000000-0005-0000-0000-0000A0770000}"/>
    <cellStyle name="Normal 4 95" xfId="30625" xr:uid="{00000000-0005-0000-0000-0000A1770000}"/>
    <cellStyle name="Normal 4 96" xfId="30626" xr:uid="{00000000-0005-0000-0000-0000A2770000}"/>
    <cellStyle name="Normal 4 97" xfId="30627" xr:uid="{00000000-0005-0000-0000-0000A3770000}"/>
    <cellStyle name="Normal 4 98" xfId="30628" xr:uid="{00000000-0005-0000-0000-0000A4770000}"/>
    <cellStyle name="Normal 4 98 2" xfId="30629" xr:uid="{00000000-0005-0000-0000-0000A5770000}"/>
    <cellStyle name="Normal 4 98 3" xfId="30630" xr:uid="{00000000-0005-0000-0000-0000A6770000}"/>
    <cellStyle name="Normal 4 98 4" xfId="30631" xr:uid="{00000000-0005-0000-0000-0000A7770000}"/>
    <cellStyle name="Normal 4 98 5" xfId="30632" xr:uid="{00000000-0005-0000-0000-0000A8770000}"/>
    <cellStyle name="Normal 4 98 6" xfId="30633" xr:uid="{00000000-0005-0000-0000-0000A9770000}"/>
    <cellStyle name="Normal 4 99" xfId="30634" xr:uid="{00000000-0005-0000-0000-0000AA770000}"/>
    <cellStyle name="Normal 4 99 2" xfId="30635" xr:uid="{00000000-0005-0000-0000-0000AB770000}"/>
    <cellStyle name="Normal 4 99 3" xfId="30636" xr:uid="{00000000-0005-0000-0000-0000AC770000}"/>
    <cellStyle name="Normal 4 99 4" xfId="30637" xr:uid="{00000000-0005-0000-0000-0000AD770000}"/>
    <cellStyle name="Normal 4 99 5" xfId="30638" xr:uid="{00000000-0005-0000-0000-0000AE770000}"/>
    <cellStyle name="Normal 4 99 6" xfId="30639" xr:uid="{00000000-0005-0000-0000-0000AF770000}"/>
    <cellStyle name="Normal 4_Enlaces" xfId="30640" xr:uid="{00000000-0005-0000-0000-0000B0770000}"/>
    <cellStyle name="Normal 40" xfId="30641" xr:uid="{00000000-0005-0000-0000-0000B1770000}"/>
    <cellStyle name="Normal 40 10" xfId="30642" xr:uid="{00000000-0005-0000-0000-0000B2770000}"/>
    <cellStyle name="Normal 40 11" xfId="30643" xr:uid="{00000000-0005-0000-0000-0000B3770000}"/>
    <cellStyle name="Normal 40 12" xfId="30644" xr:uid="{00000000-0005-0000-0000-0000B4770000}"/>
    <cellStyle name="Normal 40 13" xfId="30645" xr:uid="{00000000-0005-0000-0000-0000B5770000}"/>
    <cellStyle name="Normal 40 14" xfId="30646" xr:uid="{00000000-0005-0000-0000-0000B6770000}"/>
    <cellStyle name="Normal 40 15" xfId="30647" xr:uid="{00000000-0005-0000-0000-0000B7770000}"/>
    <cellStyle name="Normal 40 16" xfId="30648" xr:uid="{00000000-0005-0000-0000-0000B8770000}"/>
    <cellStyle name="Normal 40 17" xfId="30649" xr:uid="{00000000-0005-0000-0000-0000B9770000}"/>
    <cellStyle name="Normal 40 18" xfId="30650" xr:uid="{00000000-0005-0000-0000-0000BA770000}"/>
    <cellStyle name="Normal 40 19" xfId="30651" xr:uid="{00000000-0005-0000-0000-0000BB770000}"/>
    <cellStyle name="Normal 40 2" xfId="30652" xr:uid="{00000000-0005-0000-0000-0000BC770000}"/>
    <cellStyle name="Normal 40 2 2" xfId="30653" xr:uid="{00000000-0005-0000-0000-0000BD770000}"/>
    <cellStyle name="Normal 40 20" xfId="30654" xr:uid="{00000000-0005-0000-0000-0000BE770000}"/>
    <cellStyle name="Normal 40 21" xfId="30655" xr:uid="{00000000-0005-0000-0000-0000BF770000}"/>
    <cellStyle name="Normal 40 22" xfId="30656" xr:uid="{00000000-0005-0000-0000-0000C0770000}"/>
    <cellStyle name="Normal 40 23" xfId="30657" xr:uid="{00000000-0005-0000-0000-0000C1770000}"/>
    <cellStyle name="Normal 40 24" xfId="30658" xr:uid="{00000000-0005-0000-0000-0000C2770000}"/>
    <cellStyle name="Normal 40 25" xfId="30659" xr:uid="{00000000-0005-0000-0000-0000C3770000}"/>
    <cellStyle name="Normal 40 26" xfId="30660" xr:uid="{00000000-0005-0000-0000-0000C4770000}"/>
    <cellStyle name="Normal 40 3" xfId="30661" xr:uid="{00000000-0005-0000-0000-0000C5770000}"/>
    <cellStyle name="Normal 40 3 2" xfId="30662" xr:uid="{00000000-0005-0000-0000-0000C6770000}"/>
    <cellStyle name="Normal 40 4" xfId="30663" xr:uid="{00000000-0005-0000-0000-0000C7770000}"/>
    <cellStyle name="Normal 40 4 2" xfId="30664" xr:uid="{00000000-0005-0000-0000-0000C8770000}"/>
    <cellStyle name="Normal 40 5" xfId="30665" xr:uid="{00000000-0005-0000-0000-0000C9770000}"/>
    <cellStyle name="Normal 40 5 2" xfId="30666" xr:uid="{00000000-0005-0000-0000-0000CA770000}"/>
    <cellStyle name="Normal 40 6" xfId="30667" xr:uid="{00000000-0005-0000-0000-0000CB770000}"/>
    <cellStyle name="Normal 40 7" xfId="30668" xr:uid="{00000000-0005-0000-0000-0000CC770000}"/>
    <cellStyle name="Normal 40 8" xfId="30669" xr:uid="{00000000-0005-0000-0000-0000CD770000}"/>
    <cellStyle name="Normal 40 9" xfId="30670" xr:uid="{00000000-0005-0000-0000-0000CE770000}"/>
    <cellStyle name="Normal 41" xfId="30671" xr:uid="{00000000-0005-0000-0000-0000CF770000}"/>
    <cellStyle name="Normal 41 10" xfId="30672" xr:uid="{00000000-0005-0000-0000-0000D0770000}"/>
    <cellStyle name="Normal 41 11" xfId="30673" xr:uid="{00000000-0005-0000-0000-0000D1770000}"/>
    <cellStyle name="Normal 41 12" xfId="30674" xr:uid="{00000000-0005-0000-0000-0000D2770000}"/>
    <cellStyle name="Normal 41 13" xfId="30675" xr:uid="{00000000-0005-0000-0000-0000D3770000}"/>
    <cellStyle name="Normal 41 14" xfId="30676" xr:uid="{00000000-0005-0000-0000-0000D4770000}"/>
    <cellStyle name="Normal 41 15" xfId="30677" xr:uid="{00000000-0005-0000-0000-0000D5770000}"/>
    <cellStyle name="Normal 41 16" xfId="30678" xr:uid="{00000000-0005-0000-0000-0000D6770000}"/>
    <cellStyle name="Normal 41 17" xfId="30679" xr:uid="{00000000-0005-0000-0000-0000D7770000}"/>
    <cellStyle name="Normal 41 18" xfId="30680" xr:uid="{00000000-0005-0000-0000-0000D8770000}"/>
    <cellStyle name="Normal 41 19" xfId="30681" xr:uid="{00000000-0005-0000-0000-0000D9770000}"/>
    <cellStyle name="Normal 41 2" xfId="30682" xr:uid="{00000000-0005-0000-0000-0000DA770000}"/>
    <cellStyle name="Normal 41 2 2" xfId="30683" xr:uid="{00000000-0005-0000-0000-0000DB770000}"/>
    <cellStyle name="Normal 41 20" xfId="30684" xr:uid="{00000000-0005-0000-0000-0000DC770000}"/>
    <cellStyle name="Normal 41 21" xfId="30685" xr:uid="{00000000-0005-0000-0000-0000DD770000}"/>
    <cellStyle name="Normal 41 22" xfId="30686" xr:uid="{00000000-0005-0000-0000-0000DE770000}"/>
    <cellStyle name="Normal 41 23" xfId="30687" xr:uid="{00000000-0005-0000-0000-0000DF770000}"/>
    <cellStyle name="Normal 41 24" xfId="30688" xr:uid="{00000000-0005-0000-0000-0000E0770000}"/>
    <cellStyle name="Normal 41 25" xfId="30689" xr:uid="{00000000-0005-0000-0000-0000E1770000}"/>
    <cellStyle name="Normal 41 26" xfId="30690" xr:uid="{00000000-0005-0000-0000-0000E2770000}"/>
    <cellStyle name="Normal 41 3" xfId="30691" xr:uid="{00000000-0005-0000-0000-0000E3770000}"/>
    <cellStyle name="Normal 41 3 2" xfId="30692" xr:uid="{00000000-0005-0000-0000-0000E4770000}"/>
    <cellStyle name="Normal 41 4" xfId="30693" xr:uid="{00000000-0005-0000-0000-0000E5770000}"/>
    <cellStyle name="Normal 41 4 2" xfId="30694" xr:uid="{00000000-0005-0000-0000-0000E6770000}"/>
    <cellStyle name="Normal 41 5" xfId="30695" xr:uid="{00000000-0005-0000-0000-0000E7770000}"/>
    <cellStyle name="Normal 41 5 2" xfId="30696" xr:uid="{00000000-0005-0000-0000-0000E8770000}"/>
    <cellStyle name="Normal 41 6" xfId="30697" xr:uid="{00000000-0005-0000-0000-0000E9770000}"/>
    <cellStyle name="Normal 41 7" xfId="30698" xr:uid="{00000000-0005-0000-0000-0000EA770000}"/>
    <cellStyle name="Normal 41 8" xfId="30699" xr:uid="{00000000-0005-0000-0000-0000EB770000}"/>
    <cellStyle name="Normal 41 9" xfId="30700" xr:uid="{00000000-0005-0000-0000-0000EC770000}"/>
    <cellStyle name="Normal 42" xfId="30701" xr:uid="{00000000-0005-0000-0000-0000ED770000}"/>
    <cellStyle name="Normal 43" xfId="30702" xr:uid="{00000000-0005-0000-0000-0000EE770000}"/>
    <cellStyle name="Normal 43 10" xfId="30703" xr:uid="{00000000-0005-0000-0000-0000EF770000}"/>
    <cellStyle name="Normal 43 11" xfId="30704" xr:uid="{00000000-0005-0000-0000-0000F0770000}"/>
    <cellStyle name="Normal 43 12" xfId="30705" xr:uid="{00000000-0005-0000-0000-0000F1770000}"/>
    <cellStyle name="Normal 43 13" xfId="30706" xr:uid="{00000000-0005-0000-0000-0000F2770000}"/>
    <cellStyle name="Normal 43 14" xfId="30707" xr:uid="{00000000-0005-0000-0000-0000F3770000}"/>
    <cellStyle name="Normal 43 15" xfId="30708" xr:uid="{00000000-0005-0000-0000-0000F4770000}"/>
    <cellStyle name="Normal 43 16" xfId="30709" xr:uid="{00000000-0005-0000-0000-0000F5770000}"/>
    <cellStyle name="Normal 43 17" xfId="30710" xr:uid="{00000000-0005-0000-0000-0000F6770000}"/>
    <cellStyle name="Normal 43 18" xfId="30711" xr:uid="{00000000-0005-0000-0000-0000F7770000}"/>
    <cellStyle name="Normal 43 19" xfId="30712" xr:uid="{00000000-0005-0000-0000-0000F8770000}"/>
    <cellStyle name="Normal 43 2" xfId="30713" xr:uid="{00000000-0005-0000-0000-0000F9770000}"/>
    <cellStyle name="Normal 43 2 2" xfId="30714" xr:uid="{00000000-0005-0000-0000-0000FA770000}"/>
    <cellStyle name="Normal 43 20" xfId="30715" xr:uid="{00000000-0005-0000-0000-0000FB770000}"/>
    <cellStyle name="Normal 43 21" xfId="30716" xr:uid="{00000000-0005-0000-0000-0000FC770000}"/>
    <cellStyle name="Normal 43 22" xfId="30717" xr:uid="{00000000-0005-0000-0000-0000FD770000}"/>
    <cellStyle name="Normal 43 23" xfId="30718" xr:uid="{00000000-0005-0000-0000-0000FE770000}"/>
    <cellStyle name="Normal 43 24" xfId="30719" xr:uid="{00000000-0005-0000-0000-0000FF770000}"/>
    <cellStyle name="Normal 43 25" xfId="30720" xr:uid="{00000000-0005-0000-0000-000000780000}"/>
    <cellStyle name="Normal 43 26" xfId="30721" xr:uid="{00000000-0005-0000-0000-000001780000}"/>
    <cellStyle name="Normal 43 27" xfId="30722" xr:uid="{00000000-0005-0000-0000-000002780000}"/>
    <cellStyle name="Normal 43 28" xfId="30723" xr:uid="{00000000-0005-0000-0000-000003780000}"/>
    <cellStyle name="Normal 43 3" xfId="30724" xr:uid="{00000000-0005-0000-0000-000004780000}"/>
    <cellStyle name="Normal 43 3 2" xfId="30725" xr:uid="{00000000-0005-0000-0000-000005780000}"/>
    <cellStyle name="Normal 43 4" xfId="30726" xr:uid="{00000000-0005-0000-0000-000006780000}"/>
    <cellStyle name="Normal 43 4 2" xfId="30727" xr:uid="{00000000-0005-0000-0000-000007780000}"/>
    <cellStyle name="Normal 43 5" xfId="30728" xr:uid="{00000000-0005-0000-0000-000008780000}"/>
    <cellStyle name="Normal 43 5 2" xfId="30729" xr:uid="{00000000-0005-0000-0000-000009780000}"/>
    <cellStyle name="Normal 43 6" xfId="30730" xr:uid="{00000000-0005-0000-0000-00000A780000}"/>
    <cellStyle name="Normal 43 7" xfId="30731" xr:uid="{00000000-0005-0000-0000-00000B780000}"/>
    <cellStyle name="Normal 43 8" xfId="30732" xr:uid="{00000000-0005-0000-0000-00000C780000}"/>
    <cellStyle name="Normal 43 9" xfId="30733" xr:uid="{00000000-0005-0000-0000-00000D780000}"/>
    <cellStyle name="Normal 44" xfId="30734" xr:uid="{00000000-0005-0000-0000-00000E780000}"/>
    <cellStyle name="Normal 44 10" xfId="30735" xr:uid="{00000000-0005-0000-0000-00000F780000}"/>
    <cellStyle name="Normal 44 11" xfId="30736" xr:uid="{00000000-0005-0000-0000-000010780000}"/>
    <cellStyle name="Normal 44 12" xfId="30737" xr:uid="{00000000-0005-0000-0000-000011780000}"/>
    <cellStyle name="Normal 44 13" xfId="30738" xr:uid="{00000000-0005-0000-0000-000012780000}"/>
    <cellStyle name="Normal 44 14" xfId="30739" xr:uid="{00000000-0005-0000-0000-000013780000}"/>
    <cellStyle name="Normal 44 15" xfId="30740" xr:uid="{00000000-0005-0000-0000-000014780000}"/>
    <cellStyle name="Normal 44 16" xfId="30741" xr:uid="{00000000-0005-0000-0000-000015780000}"/>
    <cellStyle name="Normal 44 17" xfId="30742" xr:uid="{00000000-0005-0000-0000-000016780000}"/>
    <cellStyle name="Normal 44 18" xfId="30743" xr:uid="{00000000-0005-0000-0000-000017780000}"/>
    <cellStyle name="Normal 44 19" xfId="30744" xr:uid="{00000000-0005-0000-0000-000018780000}"/>
    <cellStyle name="Normal 44 2" xfId="30745" xr:uid="{00000000-0005-0000-0000-000019780000}"/>
    <cellStyle name="Normal 44 2 2" xfId="30746" xr:uid="{00000000-0005-0000-0000-00001A780000}"/>
    <cellStyle name="Normal 44 20" xfId="30747" xr:uid="{00000000-0005-0000-0000-00001B780000}"/>
    <cellStyle name="Normal 44 21" xfId="30748" xr:uid="{00000000-0005-0000-0000-00001C780000}"/>
    <cellStyle name="Normal 44 22" xfId="30749" xr:uid="{00000000-0005-0000-0000-00001D780000}"/>
    <cellStyle name="Normal 44 23" xfId="30750" xr:uid="{00000000-0005-0000-0000-00001E780000}"/>
    <cellStyle name="Normal 44 24" xfId="30751" xr:uid="{00000000-0005-0000-0000-00001F780000}"/>
    <cellStyle name="Normal 44 25" xfId="30752" xr:uid="{00000000-0005-0000-0000-000020780000}"/>
    <cellStyle name="Normal 44 26" xfId="30753" xr:uid="{00000000-0005-0000-0000-000021780000}"/>
    <cellStyle name="Normal 44 3" xfId="30754" xr:uid="{00000000-0005-0000-0000-000022780000}"/>
    <cellStyle name="Normal 44 3 2" xfId="30755" xr:uid="{00000000-0005-0000-0000-000023780000}"/>
    <cellStyle name="Normal 44 4" xfId="30756" xr:uid="{00000000-0005-0000-0000-000024780000}"/>
    <cellStyle name="Normal 44 4 2" xfId="30757" xr:uid="{00000000-0005-0000-0000-000025780000}"/>
    <cellStyle name="Normal 44 5" xfId="30758" xr:uid="{00000000-0005-0000-0000-000026780000}"/>
    <cellStyle name="Normal 44 5 2" xfId="30759" xr:uid="{00000000-0005-0000-0000-000027780000}"/>
    <cellStyle name="Normal 44 6" xfId="30760" xr:uid="{00000000-0005-0000-0000-000028780000}"/>
    <cellStyle name="Normal 44 7" xfId="30761" xr:uid="{00000000-0005-0000-0000-000029780000}"/>
    <cellStyle name="Normal 44 8" xfId="30762" xr:uid="{00000000-0005-0000-0000-00002A780000}"/>
    <cellStyle name="Normal 44 9" xfId="30763" xr:uid="{00000000-0005-0000-0000-00002B780000}"/>
    <cellStyle name="Normal 45" xfId="30764" xr:uid="{00000000-0005-0000-0000-00002C780000}"/>
    <cellStyle name="Normal 46" xfId="30765" xr:uid="{00000000-0005-0000-0000-00002D780000}"/>
    <cellStyle name="Normal 47" xfId="30766" xr:uid="{00000000-0005-0000-0000-00002E780000}"/>
    <cellStyle name="Normal 48" xfId="30767" xr:uid="{00000000-0005-0000-0000-00002F780000}"/>
    <cellStyle name="Normal 49" xfId="30768" xr:uid="{00000000-0005-0000-0000-000030780000}"/>
    <cellStyle name="Normal 49 10" xfId="30769" xr:uid="{00000000-0005-0000-0000-000031780000}"/>
    <cellStyle name="Normal 49 11" xfId="30770" xr:uid="{00000000-0005-0000-0000-000032780000}"/>
    <cellStyle name="Normal 49 12" xfId="30771" xr:uid="{00000000-0005-0000-0000-000033780000}"/>
    <cellStyle name="Normal 49 13" xfId="30772" xr:uid="{00000000-0005-0000-0000-000034780000}"/>
    <cellStyle name="Normal 49 14" xfId="30773" xr:uid="{00000000-0005-0000-0000-000035780000}"/>
    <cellStyle name="Normal 49 15" xfId="30774" xr:uid="{00000000-0005-0000-0000-000036780000}"/>
    <cellStyle name="Normal 49 16" xfId="30775" xr:uid="{00000000-0005-0000-0000-000037780000}"/>
    <cellStyle name="Normal 49 17" xfId="30776" xr:uid="{00000000-0005-0000-0000-000038780000}"/>
    <cellStyle name="Normal 49 18" xfId="30777" xr:uid="{00000000-0005-0000-0000-000039780000}"/>
    <cellStyle name="Normal 49 19" xfId="30778" xr:uid="{00000000-0005-0000-0000-00003A780000}"/>
    <cellStyle name="Normal 49 2" xfId="30779" xr:uid="{00000000-0005-0000-0000-00003B780000}"/>
    <cellStyle name="Normal 49 2 2" xfId="30780" xr:uid="{00000000-0005-0000-0000-00003C780000}"/>
    <cellStyle name="Normal 49 20" xfId="30781" xr:uid="{00000000-0005-0000-0000-00003D780000}"/>
    <cellStyle name="Normal 49 21" xfId="30782" xr:uid="{00000000-0005-0000-0000-00003E780000}"/>
    <cellStyle name="Normal 49 22" xfId="30783" xr:uid="{00000000-0005-0000-0000-00003F780000}"/>
    <cellStyle name="Normal 49 23" xfId="30784" xr:uid="{00000000-0005-0000-0000-000040780000}"/>
    <cellStyle name="Normal 49 24" xfId="30785" xr:uid="{00000000-0005-0000-0000-000041780000}"/>
    <cellStyle name="Normal 49 25" xfId="30786" xr:uid="{00000000-0005-0000-0000-000042780000}"/>
    <cellStyle name="Normal 49 26" xfId="30787" xr:uid="{00000000-0005-0000-0000-000043780000}"/>
    <cellStyle name="Normal 49 3" xfId="30788" xr:uid="{00000000-0005-0000-0000-000044780000}"/>
    <cellStyle name="Normal 49 3 2" xfId="30789" xr:uid="{00000000-0005-0000-0000-000045780000}"/>
    <cellStyle name="Normal 49 4" xfId="30790" xr:uid="{00000000-0005-0000-0000-000046780000}"/>
    <cellStyle name="Normal 49 4 2" xfId="30791" xr:uid="{00000000-0005-0000-0000-000047780000}"/>
    <cellStyle name="Normal 49 5" xfId="30792" xr:uid="{00000000-0005-0000-0000-000048780000}"/>
    <cellStyle name="Normal 49 5 2" xfId="30793" xr:uid="{00000000-0005-0000-0000-000049780000}"/>
    <cellStyle name="Normal 49 6" xfId="30794" xr:uid="{00000000-0005-0000-0000-00004A780000}"/>
    <cellStyle name="Normal 49 7" xfId="30795" xr:uid="{00000000-0005-0000-0000-00004B780000}"/>
    <cellStyle name="Normal 49 8" xfId="30796" xr:uid="{00000000-0005-0000-0000-00004C780000}"/>
    <cellStyle name="Normal 49 9" xfId="30797" xr:uid="{00000000-0005-0000-0000-00004D780000}"/>
    <cellStyle name="Normal 5" xfId="23" xr:uid="{00000000-0005-0000-0000-000017000000}"/>
    <cellStyle name="Normal 5 10" xfId="36" xr:uid="{00000000-0005-0000-0000-000024000000}"/>
    <cellStyle name="Normal 5 10 10" xfId="30799" xr:uid="{00000000-0005-0000-0000-00004F780000}"/>
    <cellStyle name="Normal 5 10 10 10" xfId="30800" xr:uid="{00000000-0005-0000-0000-000050780000}"/>
    <cellStyle name="Normal 5 10 10 11" xfId="30801" xr:uid="{00000000-0005-0000-0000-000051780000}"/>
    <cellStyle name="Normal 5 10 10 12" xfId="30802" xr:uid="{00000000-0005-0000-0000-000052780000}"/>
    <cellStyle name="Normal 5 10 10 13" xfId="30803" xr:uid="{00000000-0005-0000-0000-000053780000}"/>
    <cellStyle name="Normal 5 10 10 14" xfId="30804" xr:uid="{00000000-0005-0000-0000-000054780000}"/>
    <cellStyle name="Normal 5 10 10 2" xfId="30805" xr:uid="{00000000-0005-0000-0000-000055780000}"/>
    <cellStyle name="Normal 5 10 10 2 10" xfId="30806" xr:uid="{00000000-0005-0000-0000-000056780000}"/>
    <cellStyle name="Normal 5 10 10 2 2" xfId="30807" xr:uid="{00000000-0005-0000-0000-000057780000}"/>
    <cellStyle name="Normal 5 10 10 2 3" xfId="30808" xr:uid="{00000000-0005-0000-0000-000058780000}"/>
    <cellStyle name="Normal 5 10 10 2 4" xfId="30809" xr:uid="{00000000-0005-0000-0000-000059780000}"/>
    <cellStyle name="Normal 5 10 10 2 5" xfId="30810" xr:uid="{00000000-0005-0000-0000-00005A780000}"/>
    <cellStyle name="Normal 5 10 10 2 6" xfId="30811" xr:uid="{00000000-0005-0000-0000-00005B780000}"/>
    <cellStyle name="Normal 5 10 10 2 7" xfId="30812" xr:uid="{00000000-0005-0000-0000-00005C780000}"/>
    <cellStyle name="Normal 5 10 10 2 8" xfId="30813" xr:uid="{00000000-0005-0000-0000-00005D780000}"/>
    <cellStyle name="Normal 5 10 10 2 9" xfId="30814" xr:uid="{00000000-0005-0000-0000-00005E780000}"/>
    <cellStyle name="Normal 5 10 10 3" xfId="30815" xr:uid="{00000000-0005-0000-0000-00005F780000}"/>
    <cellStyle name="Normal 5 10 10 3 10" xfId="30816" xr:uid="{00000000-0005-0000-0000-000060780000}"/>
    <cellStyle name="Normal 5 10 10 3 2" xfId="30817" xr:uid="{00000000-0005-0000-0000-000061780000}"/>
    <cellStyle name="Normal 5 10 10 3 3" xfId="30818" xr:uid="{00000000-0005-0000-0000-000062780000}"/>
    <cellStyle name="Normal 5 10 10 3 4" xfId="30819" xr:uid="{00000000-0005-0000-0000-000063780000}"/>
    <cellStyle name="Normal 5 10 10 3 5" xfId="30820" xr:uid="{00000000-0005-0000-0000-000064780000}"/>
    <cellStyle name="Normal 5 10 10 3 6" xfId="30821" xr:uid="{00000000-0005-0000-0000-000065780000}"/>
    <cellStyle name="Normal 5 10 10 3 7" xfId="30822" xr:uid="{00000000-0005-0000-0000-000066780000}"/>
    <cellStyle name="Normal 5 10 10 3 8" xfId="30823" xr:uid="{00000000-0005-0000-0000-000067780000}"/>
    <cellStyle name="Normal 5 10 10 3 9" xfId="30824" xr:uid="{00000000-0005-0000-0000-000068780000}"/>
    <cellStyle name="Normal 5 10 10 4" xfId="30825" xr:uid="{00000000-0005-0000-0000-000069780000}"/>
    <cellStyle name="Normal 5 10 10 4 10" xfId="30826" xr:uid="{00000000-0005-0000-0000-00006A780000}"/>
    <cellStyle name="Normal 5 10 10 4 2" xfId="30827" xr:uid="{00000000-0005-0000-0000-00006B780000}"/>
    <cellStyle name="Normal 5 10 10 4 3" xfId="30828" xr:uid="{00000000-0005-0000-0000-00006C780000}"/>
    <cellStyle name="Normal 5 10 10 4 4" xfId="30829" xr:uid="{00000000-0005-0000-0000-00006D780000}"/>
    <cellStyle name="Normal 5 10 10 4 5" xfId="30830" xr:uid="{00000000-0005-0000-0000-00006E780000}"/>
    <cellStyle name="Normal 5 10 10 4 6" xfId="30831" xr:uid="{00000000-0005-0000-0000-00006F780000}"/>
    <cellStyle name="Normal 5 10 10 4 7" xfId="30832" xr:uid="{00000000-0005-0000-0000-000070780000}"/>
    <cellStyle name="Normal 5 10 10 4 8" xfId="30833" xr:uid="{00000000-0005-0000-0000-000071780000}"/>
    <cellStyle name="Normal 5 10 10 4 9" xfId="30834" xr:uid="{00000000-0005-0000-0000-000072780000}"/>
    <cellStyle name="Normal 5 10 10 5" xfId="30835" xr:uid="{00000000-0005-0000-0000-000073780000}"/>
    <cellStyle name="Normal 5 10 10 5 10" xfId="30836" xr:uid="{00000000-0005-0000-0000-000074780000}"/>
    <cellStyle name="Normal 5 10 10 5 2" xfId="30837" xr:uid="{00000000-0005-0000-0000-000075780000}"/>
    <cellStyle name="Normal 5 10 10 5 3" xfId="30838" xr:uid="{00000000-0005-0000-0000-000076780000}"/>
    <cellStyle name="Normal 5 10 10 5 4" xfId="30839" xr:uid="{00000000-0005-0000-0000-000077780000}"/>
    <cellStyle name="Normal 5 10 10 5 5" xfId="30840" xr:uid="{00000000-0005-0000-0000-000078780000}"/>
    <cellStyle name="Normal 5 10 10 5 6" xfId="30841" xr:uid="{00000000-0005-0000-0000-000079780000}"/>
    <cellStyle name="Normal 5 10 10 5 7" xfId="30842" xr:uid="{00000000-0005-0000-0000-00007A780000}"/>
    <cellStyle name="Normal 5 10 10 5 8" xfId="30843" xr:uid="{00000000-0005-0000-0000-00007B780000}"/>
    <cellStyle name="Normal 5 10 10 5 9" xfId="30844" xr:uid="{00000000-0005-0000-0000-00007C780000}"/>
    <cellStyle name="Normal 5 10 10 6" xfId="30845" xr:uid="{00000000-0005-0000-0000-00007D780000}"/>
    <cellStyle name="Normal 5 10 10 7" xfId="30846" xr:uid="{00000000-0005-0000-0000-00007E780000}"/>
    <cellStyle name="Normal 5 10 10 8" xfId="30847" xr:uid="{00000000-0005-0000-0000-00007F780000}"/>
    <cellStyle name="Normal 5 10 10 9" xfId="30848" xr:uid="{00000000-0005-0000-0000-000080780000}"/>
    <cellStyle name="Normal 5 10 11" xfId="30849" xr:uid="{00000000-0005-0000-0000-000081780000}"/>
    <cellStyle name="Normal 5 10 11 10" xfId="30850" xr:uid="{00000000-0005-0000-0000-000082780000}"/>
    <cellStyle name="Normal 5 10 11 11" xfId="30851" xr:uid="{00000000-0005-0000-0000-000083780000}"/>
    <cellStyle name="Normal 5 10 11 12" xfId="30852" xr:uid="{00000000-0005-0000-0000-000084780000}"/>
    <cellStyle name="Normal 5 10 11 13" xfId="30853" xr:uid="{00000000-0005-0000-0000-000085780000}"/>
    <cellStyle name="Normal 5 10 11 14" xfId="30854" xr:uid="{00000000-0005-0000-0000-000086780000}"/>
    <cellStyle name="Normal 5 10 11 2" xfId="30855" xr:uid="{00000000-0005-0000-0000-000087780000}"/>
    <cellStyle name="Normal 5 10 11 2 10" xfId="30856" xr:uid="{00000000-0005-0000-0000-000088780000}"/>
    <cellStyle name="Normal 5 10 11 2 2" xfId="30857" xr:uid="{00000000-0005-0000-0000-000089780000}"/>
    <cellStyle name="Normal 5 10 11 2 3" xfId="30858" xr:uid="{00000000-0005-0000-0000-00008A780000}"/>
    <cellStyle name="Normal 5 10 11 2 4" xfId="30859" xr:uid="{00000000-0005-0000-0000-00008B780000}"/>
    <cellStyle name="Normal 5 10 11 2 5" xfId="30860" xr:uid="{00000000-0005-0000-0000-00008C780000}"/>
    <cellStyle name="Normal 5 10 11 2 6" xfId="30861" xr:uid="{00000000-0005-0000-0000-00008D780000}"/>
    <cellStyle name="Normal 5 10 11 2 7" xfId="30862" xr:uid="{00000000-0005-0000-0000-00008E780000}"/>
    <cellStyle name="Normal 5 10 11 2 8" xfId="30863" xr:uid="{00000000-0005-0000-0000-00008F780000}"/>
    <cellStyle name="Normal 5 10 11 2 9" xfId="30864" xr:uid="{00000000-0005-0000-0000-000090780000}"/>
    <cellStyle name="Normal 5 10 11 3" xfId="30865" xr:uid="{00000000-0005-0000-0000-000091780000}"/>
    <cellStyle name="Normal 5 10 11 3 10" xfId="30866" xr:uid="{00000000-0005-0000-0000-000092780000}"/>
    <cellStyle name="Normal 5 10 11 3 2" xfId="30867" xr:uid="{00000000-0005-0000-0000-000093780000}"/>
    <cellStyle name="Normal 5 10 11 3 3" xfId="30868" xr:uid="{00000000-0005-0000-0000-000094780000}"/>
    <cellStyle name="Normal 5 10 11 3 4" xfId="30869" xr:uid="{00000000-0005-0000-0000-000095780000}"/>
    <cellStyle name="Normal 5 10 11 3 5" xfId="30870" xr:uid="{00000000-0005-0000-0000-000096780000}"/>
    <cellStyle name="Normal 5 10 11 3 6" xfId="30871" xr:uid="{00000000-0005-0000-0000-000097780000}"/>
    <cellStyle name="Normal 5 10 11 3 7" xfId="30872" xr:uid="{00000000-0005-0000-0000-000098780000}"/>
    <cellStyle name="Normal 5 10 11 3 8" xfId="30873" xr:uid="{00000000-0005-0000-0000-000099780000}"/>
    <cellStyle name="Normal 5 10 11 3 9" xfId="30874" xr:uid="{00000000-0005-0000-0000-00009A780000}"/>
    <cellStyle name="Normal 5 10 11 4" xfId="30875" xr:uid="{00000000-0005-0000-0000-00009B780000}"/>
    <cellStyle name="Normal 5 10 11 4 10" xfId="30876" xr:uid="{00000000-0005-0000-0000-00009C780000}"/>
    <cellStyle name="Normal 5 10 11 4 2" xfId="30877" xr:uid="{00000000-0005-0000-0000-00009D780000}"/>
    <cellStyle name="Normal 5 10 11 4 3" xfId="30878" xr:uid="{00000000-0005-0000-0000-00009E780000}"/>
    <cellStyle name="Normal 5 10 11 4 4" xfId="30879" xr:uid="{00000000-0005-0000-0000-00009F780000}"/>
    <cellStyle name="Normal 5 10 11 4 5" xfId="30880" xr:uid="{00000000-0005-0000-0000-0000A0780000}"/>
    <cellStyle name="Normal 5 10 11 4 6" xfId="30881" xr:uid="{00000000-0005-0000-0000-0000A1780000}"/>
    <cellStyle name="Normal 5 10 11 4 7" xfId="30882" xr:uid="{00000000-0005-0000-0000-0000A2780000}"/>
    <cellStyle name="Normal 5 10 11 4 8" xfId="30883" xr:uid="{00000000-0005-0000-0000-0000A3780000}"/>
    <cellStyle name="Normal 5 10 11 4 9" xfId="30884" xr:uid="{00000000-0005-0000-0000-0000A4780000}"/>
    <cellStyle name="Normal 5 10 11 5" xfId="30885" xr:uid="{00000000-0005-0000-0000-0000A5780000}"/>
    <cellStyle name="Normal 5 10 11 5 10" xfId="30886" xr:uid="{00000000-0005-0000-0000-0000A6780000}"/>
    <cellStyle name="Normal 5 10 11 5 2" xfId="30887" xr:uid="{00000000-0005-0000-0000-0000A7780000}"/>
    <cellStyle name="Normal 5 10 11 5 3" xfId="30888" xr:uid="{00000000-0005-0000-0000-0000A8780000}"/>
    <cellStyle name="Normal 5 10 11 5 4" xfId="30889" xr:uid="{00000000-0005-0000-0000-0000A9780000}"/>
    <cellStyle name="Normal 5 10 11 5 5" xfId="30890" xr:uid="{00000000-0005-0000-0000-0000AA780000}"/>
    <cellStyle name="Normal 5 10 11 5 6" xfId="30891" xr:uid="{00000000-0005-0000-0000-0000AB780000}"/>
    <cellStyle name="Normal 5 10 11 5 7" xfId="30892" xr:uid="{00000000-0005-0000-0000-0000AC780000}"/>
    <cellStyle name="Normal 5 10 11 5 8" xfId="30893" xr:uid="{00000000-0005-0000-0000-0000AD780000}"/>
    <cellStyle name="Normal 5 10 11 5 9" xfId="30894" xr:uid="{00000000-0005-0000-0000-0000AE780000}"/>
    <cellStyle name="Normal 5 10 11 6" xfId="30895" xr:uid="{00000000-0005-0000-0000-0000AF780000}"/>
    <cellStyle name="Normal 5 10 11 7" xfId="30896" xr:uid="{00000000-0005-0000-0000-0000B0780000}"/>
    <cellStyle name="Normal 5 10 11 8" xfId="30897" xr:uid="{00000000-0005-0000-0000-0000B1780000}"/>
    <cellStyle name="Normal 5 10 11 9" xfId="30898" xr:uid="{00000000-0005-0000-0000-0000B2780000}"/>
    <cellStyle name="Normal 5 10 12" xfId="30899" xr:uid="{00000000-0005-0000-0000-0000B3780000}"/>
    <cellStyle name="Normal 5 10 12 10" xfId="30900" xr:uid="{00000000-0005-0000-0000-0000B4780000}"/>
    <cellStyle name="Normal 5 10 12 11" xfId="30901" xr:uid="{00000000-0005-0000-0000-0000B5780000}"/>
    <cellStyle name="Normal 5 10 12 12" xfId="30902" xr:uid="{00000000-0005-0000-0000-0000B6780000}"/>
    <cellStyle name="Normal 5 10 12 13" xfId="30903" xr:uid="{00000000-0005-0000-0000-0000B7780000}"/>
    <cellStyle name="Normal 5 10 12 14" xfId="30904" xr:uid="{00000000-0005-0000-0000-0000B8780000}"/>
    <cellStyle name="Normal 5 10 12 2" xfId="30905" xr:uid="{00000000-0005-0000-0000-0000B9780000}"/>
    <cellStyle name="Normal 5 10 12 2 10" xfId="30906" xr:uid="{00000000-0005-0000-0000-0000BA780000}"/>
    <cellStyle name="Normal 5 10 12 2 2" xfId="30907" xr:uid="{00000000-0005-0000-0000-0000BB780000}"/>
    <cellStyle name="Normal 5 10 12 2 3" xfId="30908" xr:uid="{00000000-0005-0000-0000-0000BC780000}"/>
    <cellStyle name="Normal 5 10 12 2 4" xfId="30909" xr:uid="{00000000-0005-0000-0000-0000BD780000}"/>
    <cellStyle name="Normal 5 10 12 2 5" xfId="30910" xr:uid="{00000000-0005-0000-0000-0000BE780000}"/>
    <cellStyle name="Normal 5 10 12 2 6" xfId="30911" xr:uid="{00000000-0005-0000-0000-0000BF780000}"/>
    <cellStyle name="Normal 5 10 12 2 7" xfId="30912" xr:uid="{00000000-0005-0000-0000-0000C0780000}"/>
    <cellStyle name="Normal 5 10 12 2 8" xfId="30913" xr:uid="{00000000-0005-0000-0000-0000C1780000}"/>
    <cellStyle name="Normal 5 10 12 2 9" xfId="30914" xr:uid="{00000000-0005-0000-0000-0000C2780000}"/>
    <cellStyle name="Normal 5 10 12 3" xfId="30915" xr:uid="{00000000-0005-0000-0000-0000C3780000}"/>
    <cellStyle name="Normal 5 10 12 3 10" xfId="30916" xr:uid="{00000000-0005-0000-0000-0000C4780000}"/>
    <cellStyle name="Normal 5 10 12 3 2" xfId="30917" xr:uid="{00000000-0005-0000-0000-0000C5780000}"/>
    <cellStyle name="Normal 5 10 12 3 3" xfId="30918" xr:uid="{00000000-0005-0000-0000-0000C6780000}"/>
    <cellStyle name="Normal 5 10 12 3 4" xfId="30919" xr:uid="{00000000-0005-0000-0000-0000C7780000}"/>
    <cellStyle name="Normal 5 10 12 3 5" xfId="30920" xr:uid="{00000000-0005-0000-0000-0000C8780000}"/>
    <cellStyle name="Normal 5 10 12 3 6" xfId="30921" xr:uid="{00000000-0005-0000-0000-0000C9780000}"/>
    <cellStyle name="Normal 5 10 12 3 7" xfId="30922" xr:uid="{00000000-0005-0000-0000-0000CA780000}"/>
    <cellStyle name="Normal 5 10 12 3 8" xfId="30923" xr:uid="{00000000-0005-0000-0000-0000CB780000}"/>
    <cellStyle name="Normal 5 10 12 3 9" xfId="30924" xr:uid="{00000000-0005-0000-0000-0000CC780000}"/>
    <cellStyle name="Normal 5 10 12 4" xfId="30925" xr:uid="{00000000-0005-0000-0000-0000CD780000}"/>
    <cellStyle name="Normal 5 10 12 4 10" xfId="30926" xr:uid="{00000000-0005-0000-0000-0000CE780000}"/>
    <cellStyle name="Normal 5 10 12 4 2" xfId="30927" xr:uid="{00000000-0005-0000-0000-0000CF780000}"/>
    <cellStyle name="Normal 5 10 12 4 3" xfId="30928" xr:uid="{00000000-0005-0000-0000-0000D0780000}"/>
    <cellStyle name="Normal 5 10 12 4 4" xfId="30929" xr:uid="{00000000-0005-0000-0000-0000D1780000}"/>
    <cellStyle name="Normal 5 10 12 4 5" xfId="30930" xr:uid="{00000000-0005-0000-0000-0000D2780000}"/>
    <cellStyle name="Normal 5 10 12 4 6" xfId="30931" xr:uid="{00000000-0005-0000-0000-0000D3780000}"/>
    <cellStyle name="Normal 5 10 12 4 7" xfId="30932" xr:uid="{00000000-0005-0000-0000-0000D4780000}"/>
    <cellStyle name="Normal 5 10 12 4 8" xfId="30933" xr:uid="{00000000-0005-0000-0000-0000D5780000}"/>
    <cellStyle name="Normal 5 10 12 4 9" xfId="30934" xr:uid="{00000000-0005-0000-0000-0000D6780000}"/>
    <cellStyle name="Normal 5 10 12 5" xfId="30935" xr:uid="{00000000-0005-0000-0000-0000D7780000}"/>
    <cellStyle name="Normal 5 10 12 5 10" xfId="30936" xr:uid="{00000000-0005-0000-0000-0000D8780000}"/>
    <cellStyle name="Normal 5 10 12 5 2" xfId="30937" xr:uid="{00000000-0005-0000-0000-0000D9780000}"/>
    <cellStyle name="Normal 5 10 12 5 3" xfId="30938" xr:uid="{00000000-0005-0000-0000-0000DA780000}"/>
    <cellStyle name="Normal 5 10 12 5 4" xfId="30939" xr:uid="{00000000-0005-0000-0000-0000DB780000}"/>
    <cellStyle name="Normal 5 10 12 5 5" xfId="30940" xr:uid="{00000000-0005-0000-0000-0000DC780000}"/>
    <cellStyle name="Normal 5 10 12 5 6" xfId="30941" xr:uid="{00000000-0005-0000-0000-0000DD780000}"/>
    <cellStyle name="Normal 5 10 12 5 7" xfId="30942" xr:uid="{00000000-0005-0000-0000-0000DE780000}"/>
    <cellStyle name="Normal 5 10 12 5 8" xfId="30943" xr:uid="{00000000-0005-0000-0000-0000DF780000}"/>
    <cellStyle name="Normal 5 10 12 5 9" xfId="30944" xr:uid="{00000000-0005-0000-0000-0000E0780000}"/>
    <cellStyle name="Normal 5 10 12 6" xfId="30945" xr:uid="{00000000-0005-0000-0000-0000E1780000}"/>
    <cellStyle name="Normal 5 10 12 7" xfId="30946" xr:uid="{00000000-0005-0000-0000-0000E2780000}"/>
    <cellStyle name="Normal 5 10 12 8" xfId="30947" xr:uid="{00000000-0005-0000-0000-0000E3780000}"/>
    <cellStyle name="Normal 5 10 12 9" xfId="30948" xr:uid="{00000000-0005-0000-0000-0000E4780000}"/>
    <cellStyle name="Normal 5 10 13" xfId="30949" xr:uid="{00000000-0005-0000-0000-0000E5780000}"/>
    <cellStyle name="Normal 5 10 13 10" xfId="30950" xr:uid="{00000000-0005-0000-0000-0000E6780000}"/>
    <cellStyle name="Normal 5 10 13 11" xfId="30951" xr:uid="{00000000-0005-0000-0000-0000E7780000}"/>
    <cellStyle name="Normal 5 10 13 12" xfId="30952" xr:uid="{00000000-0005-0000-0000-0000E8780000}"/>
    <cellStyle name="Normal 5 10 13 13" xfId="30953" xr:uid="{00000000-0005-0000-0000-0000E9780000}"/>
    <cellStyle name="Normal 5 10 13 14" xfId="30954" xr:uid="{00000000-0005-0000-0000-0000EA780000}"/>
    <cellStyle name="Normal 5 10 13 2" xfId="30955" xr:uid="{00000000-0005-0000-0000-0000EB780000}"/>
    <cellStyle name="Normal 5 10 13 2 10" xfId="30956" xr:uid="{00000000-0005-0000-0000-0000EC780000}"/>
    <cellStyle name="Normal 5 10 13 2 2" xfId="30957" xr:uid="{00000000-0005-0000-0000-0000ED780000}"/>
    <cellStyle name="Normal 5 10 13 2 3" xfId="30958" xr:uid="{00000000-0005-0000-0000-0000EE780000}"/>
    <cellStyle name="Normal 5 10 13 2 4" xfId="30959" xr:uid="{00000000-0005-0000-0000-0000EF780000}"/>
    <cellStyle name="Normal 5 10 13 2 5" xfId="30960" xr:uid="{00000000-0005-0000-0000-0000F0780000}"/>
    <cellStyle name="Normal 5 10 13 2 6" xfId="30961" xr:uid="{00000000-0005-0000-0000-0000F1780000}"/>
    <cellStyle name="Normal 5 10 13 2 7" xfId="30962" xr:uid="{00000000-0005-0000-0000-0000F2780000}"/>
    <cellStyle name="Normal 5 10 13 2 8" xfId="30963" xr:uid="{00000000-0005-0000-0000-0000F3780000}"/>
    <cellStyle name="Normal 5 10 13 2 9" xfId="30964" xr:uid="{00000000-0005-0000-0000-0000F4780000}"/>
    <cellStyle name="Normal 5 10 13 3" xfId="30965" xr:uid="{00000000-0005-0000-0000-0000F5780000}"/>
    <cellStyle name="Normal 5 10 13 3 10" xfId="30966" xr:uid="{00000000-0005-0000-0000-0000F6780000}"/>
    <cellStyle name="Normal 5 10 13 3 2" xfId="30967" xr:uid="{00000000-0005-0000-0000-0000F7780000}"/>
    <cellStyle name="Normal 5 10 13 3 3" xfId="30968" xr:uid="{00000000-0005-0000-0000-0000F8780000}"/>
    <cellStyle name="Normal 5 10 13 3 4" xfId="30969" xr:uid="{00000000-0005-0000-0000-0000F9780000}"/>
    <cellStyle name="Normal 5 10 13 3 5" xfId="30970" xr:uid="{00000000-0005-0000-0000-0000FA780000}"/>
    <cellStyle name="Normal 5 10 13 3 6" xfId="30971" xr:uid="{00000000-0005-0000-0000-0000FB780000}"/>
    <cellStyle name="Normal 5 10 13 3 7" xfId="30972" xr:uid="{00000000-0005-0000-0000-0000FC780000}"/>
    <cellStyle name="Normal 5 10 13 3 8" xfId="30973" xr:uid="{00000000-0005-0000-0000-0000FD780000}"/>
    <cellStyle name="Normal 5 10 13 3 9" xfId="30974" xr:uid="{00000000-0005-0000-0000-0000FE780000}"/>
    <cellStyle name="Normal 5 10 13 4" xfId="30975" xr:uid="{00000000-0005-0000-0000-0000FF780000}"/>
    <cellStyle name="Normal 5 10 13 4 10" xfId="30976" xr:uid="{00000000-0005-0000-0000-000000790000}"/>
    <cellStyle name="Normal 5 10 13 4 2" xfId="30977" xr:uid="{00000000-0005-0000-0000-000001790000}"/>
    <cellStyle name="Normal 5 10 13 4 3" xfId="30978" xr:uid="{00000000-0005-0000-0000-000002790000}"/>
    <cellStyle name="Normal 5 10 13 4 4" xfId="30979" xr:uid="{00000000-0005-0000-0000-000003790000}"/>
    <cellStyle name="Normal 5 10 13 4 5" xfId="30980" xr:uid="{00000000-0005-0000-0000-000004790000}"/>
    <cellStyle name="Normal 5 10 13 4 6" xfId="30981" xr:uid="{00000000-0005-0000-0000-000005790000}"/>
    <cellStyle name="Normal 5 10 13 4 7" xfId="30982" xr:uid="{00000000-0005-0000-0000-000006790000}"/>
    <cellStyle name="Normal 5 10 13 4 8" xfId="30983" xr:uid="{00000000-0005-0000-0000-000007790000}"/>
    <cellStyle name="Normal 5 10 13 4 9" xfId="30984" xr:uid="{00000000-0005-0000-0000-000008790000}"/>
    <cellStyle name="Normal 5 10 13 5" xfId="30985" xr:uid="{00000000-0005-0000-0000-000009790000}"/>
    <cellStyle name="Normal 5 10 13 5 10" xfId="30986" xr:uid="{00000000-0005-0000-0000-00000A790000}"/>
    <cellStyle name="Normal 5 10 13 5 2" xfId="30987" xr:uid="{00000000-0005-0000-0000-00000B790000}"/>
    <cellStyle name="Normal 5 10 13 5 3" xfId="30988" xr:uid="{00000000-0005-0000-0000-00000C790000}"/>
    <cellStyle name="Normal 5 10 13 5 4" xfId="30989" xr:uid="{00000000-0005-0000-0000-00000D790000}"/>
    <cellStyle name="Normal 5 10 13 5 5" xfId="30990" xr:uid="{00000000-0005-0000-0000-00000E790000}"/>
    <cellStyle name="Normal 5 10 13 5 6" xfId="30991" xr:uid="{00000000-0005-0000-0000-00000F790000}"/>
    <cellStyle name="Normal 5 10 13 5 7" xfId="30992" xr:uid="{00000000-0005-0000-0000-000010790000}"/>
    <cellStyle name="Normal 5 10 13 5 8" xfId="30993" xr:uid="{00000000-0005-0000-0000-000011790000}"/>
    <cellStyle name="Normal 5 10 13 5 9" xfId="30994" xr:uid="{00000000-0005-0000-0000-000012790000}"/>
    <cellStyle name="Normal 5 10 13 6" xfId="30995" xr:uid="{00000000-0005-0000-0000-000013790000}"/>
    <cellStyle name="Normal 5 10 13 7" xfId="30996" xr:uid="{00000000-0005-0000-0000-000014790000}"/>
    <cellStyle name="Normal 5 10 13 8" xfId="30997" xr:uid="{00000000-0005-0000-0000-000015790000}"/>
    <cellStyle name="Normal 5 10 13 9" xfId="30998" xr:uid="{00000000-0005-0000-0000-000016790000}"/>
    <cellStyle name="Normal 5 10 14" xfId="30999" xr:uid="{00000000-0005-0000-0000-000017790000}"/>
    <cellStyle name="Normal 5 10 14 10" xfId="31000" xr:uid="{00000000-0005-0000-0000-000018790000}"/>
    <cellStyle name="Normal 5 10 14 11" xfId="31001" xr:uid="{00000000-0005-0000-0000-000019790000}"/>
    <cellStyle name="Normal 5 10 14 12" xfId="31002" xr:uid="{00000000-0005-0000-0000-00001A790000}"/>
    <cellStyle name="Normal 5 10 14 13" xfId="31003" xr:uid="{00000000-0005-0000-0000-00001B790000}"/>
    <cellStyle name="Normal 5 10 14 14" xfId="31004" xr:uid="{00000000-0005-0000-0000-00001C790000}"/>
    <cellStyle name="Normal 5 10 14 2" xfId="31005" xr:uid="{00000000-0005-0000-0000-00001D790000}"/>
    <cellStyle name="Normal 5 10 14 2 10" xfId="31006" xr:uid="{00000000-0005-0000-0000-00001E790000}"/>
    <cellStyle name="Normal 5 10 14 2 2" xfId="31007" xr:uid="{00000000-0005-0000-0000-00001F790000}"/>
    <cellStyle name="Normal 5 10 14 2 3" xfId="31008" xr:uid="{00000000-0005-0000-0000-000020790000}"/>
    <cellStyle name="Normal 5 10 14 2 4" xfId="31009" xr:uid="{00000000-0005-0000-0000-000021790000}"/>
    <cellStyle name="Normal 5 10 14 2 5" xfId="31010" xr:uid="{00000000-0005-0000-0000-000022790000}"/>
    <cellStyle name="Normal 5 10 14 2 6" xfId="31011" xr:uid="{00000000-0005-0000-0000-000023790000}"/>
    <cellStyle name="Normal 5 10 14 2 7" xfId="31012" xr:uid="{00000000-0005-0000-0000-000024790000}"/>
    <cellStyle name="Normal 5 10 14 2 8" xfId="31013" xr:uid="{00000000-0005-0000-0000-000025790000}"/>
    <cellStyle name="Normal 5 10 14 2 9" xfId="31014" xr:uid="{00000000-0005-0000-0000-000026790000}"/>
    <cellStyle name="Normal 5 10 14 3" xfId="31015" xr:uid="{00000000-0005-0000-0000-000027790000}"/>
    <cellStyle name="Normal 5 10 14 3 10" xfId="31016" xr:uid="{00000000-0005-0000-0000-000028790000}"/>
    <cellStyle name="Normal 5 10 14 3 2" xfId="31017" xr:uid="{00000000-0005-0000-0000-000029790000}"/>
    <cellStyle name="Normal 5 10 14 3 3" xfId="31018" xr:uid="{00000000-0005-0000-0000-00002A790000}"/>
    <cellStyle name="Normal 5 10 14 3 4" xfId="31019" xr:uid="{00000000-0005-0000-0000-00002B790000}"/>
    <cellStyle name="Normal 5 10 14 3 5" xfId="31020" xr:uid="{00000000-0005-0000-0000-00002C790000}"/>
    <cellStyle name="Normal 5 10 14 3 6" xfId="31021" xr:uid="{00000000-0005-0000-0000-00002D790000}"/>
    <cellStyle name="Normal 5 10 14 3 7" xfId="31022" xr:uid="{00000000-0005-0000-0000-00002E790000}"/>
    <cellStyle name="Normal 5 10 14 3 8" xfId="31023" xr:uid="{00000000-0005-0000-0000-00002F790000}"/>
    <cellStyle name="Normal 5 10 14 3 9" xfId="31024" xr:uid="{00000000-0005-0000-0000-000030790000}"/>
    <cellStyle name="Normal 5 10 14 4" xfId="31025" xr:uid="{00000000-0005-0000-0000-000031790000}"/>
    <cellStyle name="Normal 5 10 14 4 10" xfId="31026" xr:uid="{00000000-0005-0000-0000-000032790000}"/>
    <cellStyle name="Normal 5 10 14 4 2" xfId="31027" xr:uid="{00000000-0005-0000-0000-000033790000}"/>
    <cellStyle name="Normal 5 10 14 4 3" xfId="31028" xr:uid="{00000000-0005-0000-0000-000034790000}"/>
    <cellStyle name="Normal 5 10 14 4 4" xfId="31029" xr:uid="{00000000-0005-0000-0000-000035790000}"/>
    <cellStyle name="Normal 5 10 14 4 5" xfId="31030" xr:uid="{00000000-0005-0000-0000-000036790000}"/>
    <cellStyle name="Normal 5 10 14 4 6" xfId="31031" xr:uid="{00000000-0005-0000-0000-000037790000}"/>
    <cellStyle name="Normal 5 10 14 4 7" xfId="31032" xr:uid="{00000000-0005-0000-0000-000038790000}"/>
    <cellStyle name="Normal 5 10 14 4 8" xfId="31033" xr:uid="{00000000-0005-0000-0000-000039790000}"/>
    <cellStyle name="Normal 5 10 14 4 9" xfId="31034" xr:uid="{00000000-0005-0000-0000-00003A790000}"/>
    <cellStyle name="Normal 5 10 14 5" xfId="31035" xr:uid="{00000000-0005-0000-0000-00003B790000}"/>
    <cellStyle name="Normal 5 10 14 5 10" xfId="31036" xr:uid="{00000000-0005-0000-0000-00003C790000}"/>
    <cellStyle name="Normal 5 10 14 5 2" xfId="31037" xr:uid="{00000000-0005-0000-0000-00003D790000}"/>
    <cellStyle name="Normal 5 10 14 5 3" xfId="31038" xr:uid="{00000000-0005-0000-0000-00003E790000}"/>
    <cellStyle name="Normal 5 10 14 5 4" xfId="31039" xr:uid="{00000000-0005-0000-0000-00003F790000}"/>
    <cellStyle name="Normal 5 10 14 5 5" xfId="31040" xr:uid="{00000000-0005-0000-0000-000040790000}"/>
    <cellStyle name="Normal 5 10 14 5 6" xfId="31041" xr:uid="{00000000-0005-0000-0000-000041790000}"/>
    <cellStyle name="Normal 5 10 14 5 7" xfId="31042" xr:uid="{00000000-0005-0000-0000-000042790000}"/>
    <cellStyle name="Normal 5 10 14 5 8" xfId="31043" xr:uid="{00000000-0005-0000-0000-000043790000}"/>
    <cellStyle name="Normal 5 10 14 5 9" xfId="31044" xr:uid="{00000000-0005-0000-0000-000044790000}"/>
    <cellStyle name="Normal 5 10 14 6" xfId="31045" xr:uid="{00000000-0005-0000-0000-000045790000}"/>
    <cellStyle name="Normal 5 10 14 7" xfId="31046" xr:uid="{00000000-0005-0000-0000-000046790000}"/>
    <cellStyle name="Normal 5 10 14 8" xfId="31047" xr:uid="{00000000-0005-0000-0000-000047790000}"/>
    <cellStyle name="Normal 5 10 14 9" xfId="31048" xr:uid="{00000000-0005-0000-0000-000048790000}"/>
    <cellStyle name="Normal 5 10 15" xfId="31049" xr:uid="{00000000-0005-0000-0000-000049790000}"/>
    <cellStyle name="Normal 5 10 15 10" xfId="31050" xr:uid="{00000000-0005-0000-0000-00004A790000}"/>
    <cellStyle name="Normal 5 10 15 11" xfId="31051" xr:uid="{00000000-0005-0000-0000-00004B790000}"/>
    <cellStyle name="Normal 5 10 15 12" xfId="31052" xr:uid="{00000000-0005-0000-0000-00004C790000}"/>
    <cellStyle name="Normal 5 10 15 13" xfId="31053" xr:uid="{00000000-0005-0000-0000-00004D790000}"/>
    <cellStyle name="Normal 5 10 15 14" xfId="31054" xr:uid="{00000000-0005-0000-0000-00004E790000}"/>
    <cellStyle name="Normal 5 10 15 2" xfId="31055" xr:uid="{00000000-0005-0000-0000-00004F790000}"/>
    <cellStyle name="Normal 5 10 15 2 10" xfId="31056" xr:uid="{00000000-0005-0000-0000-000050790000}"/>
    <cellStyle name="Normal 5 10 15 2 2" xfId="31057" xr:uid="{00000000-0005-0000-0000-000051790000}"/>
    <cellStyle name="Normal 5 10 15 2 3" xfId="31058" xr:uid="{00000000-0005-0000-0000-000052790000}"/>
    <cellStyle name="Normal 5 10 15 2 4" xfId="31059" xr:uid="{00000000-0005-0000-0000-000053790000}"/>
    <cellStyle name="Normal 5 10 15 2 5" xfId="31060" xr:uid="{00000000-0005-0000-0000-000054790000}"/>
    <cellStyle name="Normal 5 10 15 2 6" xfId="31061" xr:uid="{00000000-0005-0000-0000-000055790000}"/>
    <cellStyle name="Normal 5 10 15 2 7" xfId="31062" xr:uid="{00000000-0005-0000-0000-000056790000}"/>
    <cellStyle name="Normal 5 10 15 2 8" xfId="31063" xr:uid="{00000000-0005-0000-0000-000057790000}"/>
    <cellStyle name="Normal 5 10 15 2 9" xfId="31064" xr:uid="{00000000-0005-0000-0000-000058790000}"/>
    <cellStyle name="Normal 5 10 15 3" xfId="31065" xr:uid="{00000000-0005-0000-0000-000059790000}"/>
    <cellStyle name="Normal 5 10 15 3 10" xfId="31066" xr:uid="{00000000-0005-0000-0000-00005A790000}"/>
    <cellStyle name="Normal 5 10 15 3 2" xfId="31067" xr:uid="{00000000-0005-0000-0000-00005B790000}"/>
    <cellStyle name="Normal 5 10 15 3 3" xfId="31068" xr:uid="{00000000-0005-0000-0000-00005C790000}"/>
    <cellStyle name="Normal 5 10 15 3 4" xfId="31069" xr:uid="{00000000-0005-0000-0000-00005D790000}"/>
    <cellStyle name="Normal 5 10 15 3 5" xfId="31070" xr:uid="{00000000-0005-0000-0000-00005E790000}"/>
    <cellStyle name="Normal 5 10 15 3 6" xfId="31071" xr:uid="{00000000-0005-0000-0000-00005F790000}"/>
    <cellStyle name="Normal 5 10 15 3 7" xfId="31072" xr:uid="{00000000-0005-0000-0000-000060790000}"/>
    <cellStyle name="Normal 5 10 15 3 8" xfId="31073" xr:uid="{00000000-0005-0000-0000-000061790000}"/>
    <cellStyle name="Normal 5 10 15 3 9" xfId="31074" xr:uid="{00000000-0005-0000-0000-000062790000}"/>
    <cellStyle name="Normal 5 10 15 4" xfId="31075" xr:uid="{00000000-0005-0000-0000-000063790000}"/>
    <cellStyle name="Normal 5 10 15 4 10" xfId="31076" xr:uid="{00000000-0005-0000-0000-000064790000}"/>
    <cellStyle name="Normal 5 10 15 4 2" xfId="31077" xr:uid="{00000000-0005-0000-0000-000065790000}"/>
    <cellStyle name="Normal 5 10 15 4 3" xfId="31078" xr:uid="{00000000-0005-0000-0000-000066790000}"/>
    <cellStyle name="Normal 5 10 15 4 4" xfId="31079" xr:uid="{00000000-0005-0000-0000-000067790000}"/>
    <cellStyle name="Normal 5 10 15 4 5" xfId="31080" xr:uid="{00000000-0005-0000-0000-000068790000}"/>
    <cellStyle name="Normal 5 10 15 4 6" xfId="31081" xr:uid="{00000000-0005-0000-0000-000069790000}"/>
    <cellStyle name="Normal 5 10 15 4 7" xfId="31082" xr:uid="{00000000-0005-0000-0000-00006A790000}"/>
    <cellStyle name="Normal 5 10 15 4 8" xfId="31083" xr:uid="{00000000-0005-0000-0000-00006B790000}"/>
    <cellStyle name="Normal 5 10 15 4 9" xfId="31084" xr:uid="{00000000-0005-0000-0000-00006C790000}"/>
    <cellStyle name="Normal 5 10 15 5" xfId="31085" xr:uid="{00000000-0005-0000-0000-00006D790000}"/>
    <cellStyle name="Normal 5 10 15 5 10" xfId="31086" xr:uid="{00000000-0005-0000-0000-00006E790000}"/>
    <cellStyle name="Normal 5 10 15 5 2" xfId="31087" xr:uid="{00000000-0005-0000-0000-00006F790000}"/>
    <cellStyle name="Normal 5 10 15 5 3" xfId="31088" xr:uid="{00000000-0005-0000-0000-000070790000}"/>
    <cellStyle name="Normal 5 10 15 5 4" xfId="31089" xr:uid="{00000000-0005-0000-0000-000071790000}"/>
    <cellStyle name="Normal 5 10 15 5 5" xfId="31090" xr:uid="{00000000-0005-0000-0000-000072790000}"/>
    <cellStyle name="Normal 5 10 15 5 6" xfId="31091" xr:uid="{00000000-0005-0000-0000-000073790000}"/>
    <cellStyle name="Normal 5 10 15 5 7" xfId="31092" xr:uid="{00000000-0005-0000-0000-000074790000}"/>
    <cellStyle name="Normal 5 10 15 5 8" xfId="31093" xr:uid="{00000000-0005-0000-0000-000075790000}"/>
    <cellStyle name="Normal 5 10 15 5 9" xfId="31094" xr:uid="{00000000-0005-0000-0000-000076790000}"/>
    <cellStyle name="Normal 5 10 15 6" xfId="31095" xr:uid="{00000000-0005-0000-0000-000077790000}"/>
    <cellStyle name="Normal 5 10 15 7" xfId="31096" xr:uid="{00000000-0005-0000-0000-000078790000}"/>
    <cellStyle name="Normal 5 10 15 8" xfId="31097" xr:uid="{00000000-0005-0000-0000-000079790000}"/>
    <cellStyle name="Normal 5 10 15 9" xfId="31098" xr:uid="{00000000-0005-0000-0000-00007A790000}"/>
    <cellStyle name="Normal 5 10 16" xfId="31099" xr:uid="{00000000-0005-0000-0000-00007B790000}"/>
    <cellStyle name="Normal 5 10 16 10" xfId="31100" xr:uid="{00000000-0005-0000-0000-00007C790000}"/>
    <cellStyle name="Normal 5 10 16 11" xfId="31101" xr:uid="{00000000-0005-0000-0000-00007D790000}"/>
    <cellStyle name="Normal 5 10 16 12" xfId="31102" xr:uid="{00000000-0005-0000-0000-00007E790000}"/>
    <cellStyle name="Normal 5 10 16 13" xfId="31103" xr:uid="{00000000-0005-0000-0000-00007F790000}"/>
    <cellStyle name="Normal 5 10 16 14" xfId="31104" xr:uid="{00000000-0005-0000-0000-000080790000}"/>
    <cellStyle name="Normal 5 10 16 2" xfId="31105" xr:uid="{00000000-0005-0000-0000-000081790000}"/>
    <cellStyle name="Normal 5 10 16 2 10" xfId="31106" xr:uid="{00000000-0005-0000-0000-000082790000}"/>
    <cellStyle name="Normal 5 10 16 2 2" xfId="31107" xr:uid="{00000000-0005-0000-0000-000083790000}"/>
    <cellStyle name="Normal 5 10 16 2 3" xfId="31108" xr:uid="{00000000-0005-0000-0000-000084790000}"/>
    <cellStyle name="Normal 5 10 16 2 4" xfId="31109" xr:uid="{00000000-0005-0000-0000-000085790000}"/>
    <cellStyle name="Normal 5 10 16 2 5" xfId="31110" xr:uid="{00000000-0005-0000-0000-000086790000}"/>
    <cellStyle name="Normal 5 10 16 2 6" xfId="31111" xr:uid="{00000000-0005-0000-0000-000087790000}"/>
    <cellStyle name="Normal 5 10 16 2 7" xfId="31112" xr:uid="{00000000-0005-0000-0000-000088790000}"/>
    <cellStyle name="Normal 5 10 16 2 8" xfId="31113" xr:uid="{00000000-0005-0000-0000-000089790000}"/>
    <cellStyle name="Normal 5 10 16 2 9" xfId="31114" xr:uid="{00000000-0005-0000-0000-00008A790000}"/>
    <cellStyle name="Normal 5 10 16 3" xfId="31115" xr:uid="{00000000-0005-0000-0000-00008B790000}"/>
    <cellStyle name="Normal 5 10 16 3 10" xfId="31116" xr:uid="{00000000-0005-0000-0000-00008C790000}"/>
    <cellStyle name="Normal 5 10 16 3 2" xfId="31117" xr:uid="{00000000-0005-0000-0000-00008D790000}"/>
    <cellStyle name="Normal 5 10 16 3 3" xfId="31118" xr:uid="{00000000-0005-0000-0000-00008E790000}"/>
    <cellStyle name="Normal 5 10 16 3 4" xfId="31119" xr:uid="{00000000-0005-0000-0000-00008F790000}"/>
    <cellStyle name="Normal 5 10 16 3 5" xfId="31120" xr:uid="{00000000-0005-0000-0000-000090790000}"/>
    <cellStyle name="Normal 5 10 16 3 6" xfId="31121" xr:uid="{00000000-0005-0000-0000-000091790000}"/>
    <cellStyle name="Normal 5 10 16 3 7" xfId="31122" xr:uid="{00000000-0005-0000-0000-000092790000}"/>
    <cellStyle name="Normal 5 10 16 3 8" xfId="31123" xr:uid="{00000000-0005-0000-0000-000093790000}"/>
    <cellStyle name="Normal 5 10 16 3 9" xfId="31124" xr:uid="{00000000-0005-0000-0000-000094790000}"/>
    <cellStyle name="Normal 5 10 16 4" xfId="31125" xr:uid="{00000000-0005-0000-0000-000095790000}"/>
    <cellStyle name="Normal 5 10 16 4 10" xfId="31126" xr:uid="{00000000-0005-0000-0000-000096790000}"/>
    <cellStyle name="Normal 5 10 16 4 2" xfId="31127" xr:uid="{00000000-0005-0000-0000-000097790000}"/>
    <cellStyle name="Normal 5 10 16 4 3" xfId="31128" xr:uid="{00000000-0005-0000-0000-000098790000}"/>
    <cellStyle name="Normal 5 10 16 4 4" xfId="31129" xr:uid="{00000000-0005-0000-0000-000099790000}"/>
    <cellStyle name="Normal 5 10 16 4 5" xfId="31130" xr:uid="{00000000-0005-0000-0000-00009A790000}"/>
    <cellStyle name="Normal 5 10 16 4 6" xfId="31131" xr:uid="{00000000-0005-0000-0000-00009B790000}"/>
    <cellStyle name="Normal 5 10 16 4 7" xfId="31132" xr:uid="{00000000-0005-0000-0000-00009C790000}"/>
    <cellStyle name="Normal 5 10 16 4 8" xfId="31133" xr:uid="{00000000-0005-0000-0000-00009D790000}"/>
    <cellStyle name="Normal 5 10 16 4 9" xfId="31134" xr:uid="{00000000-0005-0000-0000-00009E790000}"/>
    <cellStyle name="Normal 5 10 16 5" xfId="31135" xr:uid="{00000000-0005-0000-0000-00009F790000}"/>
    <cellStyle name="Normal 5 10 16 5 10" xfId="31136" xr:uid="{00000000-0005-0000-0000-0000A0790000}"/>
    <cellStyle name="Normal 5 10 16 5 2" xfId="31137" xr:uid="{00000000-0005-0000-0000-0000A1790000}"/>
    <cellStyle name="Normal 5 10 16 5 3" xfId="31138" xr:uid="{00000000-0005-0000-0000-0000A2790000}"/>
    <cellStyle name="Normal 5 10 16 5 4" xfId="31139" xr:uid="{00000000-0005-0000-0000-0000A3790000}"/>
    <cellStyle name="Normal 5 10 16 5 5" xfId="31140" xr:uid="{00000000-0005-0000-0000-0000A4790000}"/>
    <cellStyle name="Normal 5 10 16 5 6" xfId="31141" xr:uid="{00000000-0005-0000-0000-0000A5790000}"/>
    <cellStyle name="Normal 5 10 16 5 7" xfId="31142" xr:uid="{00000000-0005-0000-0000-0000A6790000}"/>
    <cellStyle name="Normal 5 10 16 5 8" xfId="31143" xr:uid="{00000000-0005-0000-0000-0000A7790000}"/>
    <cellStyle name="Normal 5 10 16 5 9" xfId="31144" xr:uid="{00000000-0005-0000-0000-0000A8790000}"/>
    <cellStyle name="Normal 5 10 16 6" xfId="31145" xr:uid="{00000000-0005-0000-0000-0000A9790000}"/>
    <cellStyle name="Normal 5 10 16 7" xfId="31146" xr:uid="{00000000-0005-0000-0000-0000AA790000}"/>
    <cellStyle name="Normal 5 10 16 8" xfId="31147" xr:uid="{00000000-0005-0000-0000-0000AB790000}"/>
    <cellStyle name="Normal 5 10 16 9" xfId="31148" xr:uid="{00000000-0005-0000-0000-0000AC790000}"/>
    <cellStyle name="Normal 5 10 17" xfId="31149" xr:uid="{00000000-0005-0000-0000-0000AD790000}"/>
    <cellStyle name="Normal 5 10 17 10" xfId="31150" xr:uid="{00000000-0005-0000-0000-0000AE790000}"/>
    <cellStyle name="Normal 5 10 17 11" xfId="31151" xr:uid="{00000000-0005-0000-0000-0000AF790000}"/>
    <cellStyle name="Normal 5 10 17 12" xfId="31152" xr:uid="{00000000-0005-0000-0000-0000B0790000}"/>
    <cellStyle name="Normal 5 10 17 13" xfId="31153" xr:uid="{00000000-0005-0000-0000-0000B1790000}"/>
    <cellStyle name="Normal 5 10 17 14" xfId="31154" xr:uid="{00000000-0005-0000-0000-0000B2790000}"/>
    <cellStyle name="Normal 5 10 17 2" xfId="31155" xr:uid="{00000000-0005-0000-0000-0000B3790000}"/>
    <cellStyle name="Normal 5 10 17 2 10" xfId="31156" xr:uid="{00000000-0005-0000-0000-0000B4790000}"/>
    <cellStyle name="Normal 5 10 17 2 2" xfId="31157" xr:uid="{00000000-0005-0000-0000-0000B5790000}"/>
    <cellStyle name="Normal 5 10 17 2 3" xfId="31158" xr:uid="{00000000-0005-0000-0000-0000B6790000}"/>
    <cellStyle name="Normal 5 10 17 2 4" xfId="31159" xr:uid="{00000000-0005-0000-0000-0000B7790000}"/>
    <cellStyle name="Normal 5 10 17 2 5" xfId="31160" xr:uid="{00000000-0005-0000-0000-0000B8790000}"/>
    <cellStyle name="Normal 5 10 17 2 6" xfId="31161" xr:uid="{00000000-0005-0000-0000-0000B9790000}"/>
    <cellStyle name="Normal 5 10 17 2 7" xfId="31162" xr:uid="{00000000-0005-0000-0000-0000BA790000}"/>
    <cellStyle name="Normal 5 10 17 2 8" xfId="31163" xr:uid="{00000000-0005-0000-0000-0000BB790000}"/>
    <cellStyle name="Normal 5 10 17 2 9" xfId="31164" xr:uid="{00000000-0005-0000-0000-0000BC790000}"/>
    <cellStyle name="Normal 5 10 17 3" xfId="31165" xr:uid="{00000000-0005-0000-0000-0000BD790000}"/>
    <cellStyle name="Normal 5 10 17 3 10" xfId="31166" xr:uid="{00000000-0005-0000-0000-0000BE790000}"/>
    <cellStyle name="Normal 5 10 17 3 2" xfId="31167" xr:uid="{00000000-0005-0000-0000-0000BF790000}"/>
    <cellStyle name="Normal 5 10 17 3 3" xfId="31168" xr:uid="{00000000-0005-0000-0000-0000C0790000}"/>
    <cellStyle name="Normal 5 10 17 3 4" xfId="31169" xr:uid="{00000000-0005-0000-0000-0000C1790000}"/>
    <cellStyle name="Normal 5 10 17 3 5" xfId="31170" xr:uid="{00000000-0005-0000-0000-0000C2790000}"/>
    <cellStyle name="Normal 5 10 17 3 6" xfId="31171" xr:uid="{00000000-0005-0000-0000-0000C3790000}"/>
    <cellStyle name="Normal 5 10 17 3 7" xfId="31172" xr:uid="{00000000-0005-0000-0000-0000C4790000}"/>
    <cellStyle name="Normal 5 10 17 3 8" xfId="31173" xr:uid="{00000000-0005-0000-0000-0000C5790000}"/>
    <cellStyle name="Normal 5 10 17 3 9" xfId="31174" xr:uid="{00000000-0005-0000-0000-0000C6790000}"/>
    <cellStyle name="Normal 5 10 17 4" xfId="31175" xr:uid="{00000000-0005-0000-0000-0000C7790000}"/>
    <cellStyle name="Normal 5 10 17 4 10" xfId="31176" xr:uid="{00000000-0005-0000-0000-0000C8790000}"/>
    <cellStyle name="Normal 5 10 17 4 2" xfId="31177" xr:uid="{00000000-0005-0000-0000-0000C9790000}"/>
    <cellStyle name="Normal 5 10 17 4 3" xfId="31178" xr:uid="{00000000-0005-0000-0000-0000CA790000}"/>
    <cellStyle name="Normal 5 10 17 4 4" xfId="31179" xr:uid="{00000000-0005-0000-0000-0000CB790000}"/>
    <cellStyle name="Normal 5 10 17 4 5" xfId="31180" xr:uid="{00000000-0005-0000-0000-0000CC790000}"/>
    <cellStyle name="Normal 5 10 17 4 6" xfId="31181" xr:uid="{00000000-0005-0000-0000-0000CD790000}"/>
    <cellStyle name="Normal 5 10 17 4 7" xfId="31182" xr:uid="{00000000-0005-0000-0000-0000CE790000}"/>
    <cellStyle name="Normal 5 10 17 4 8" xfId="31183" xr:uid="{00000000-0005-0000-0000-0000CF790000}"/>
    <cellStyle name="Normal 5 10 17 4 9" xfId="31184" xr:uid="{00000000-0005-0000-0000-0000D0790000}"/>
    <cellStyle name="Normal 5 10 17 5" xfId="31185" xr:uid="{00000000-0005-0000-0000-0000D1790000}"/>
    <cellStyle name="Normal 5 10 17 5 10" xfId="31186" xr:uid="{00000000-0005-0000-0000-0000D2790000}"/>
    <cellStyle name="Normal 5 10 17 5 2" xfId="31187" xr:uid="{00000000-0005-0000-0000-0000D3790000}"/>
    <cellStyle name="Normal 5 10 17 5 3" xfId="31188" xr:uid="{00000000-0005-0000-0000-0000D4790000}"/>
    <cellStyle name="Normal 5 10 17 5 4" xfId="31189" xr:uid="{00000000-0005-0000-0000-0000D5790000}"/>
    <cellStyle name="Normal 5 10 17 5 5" xfId="31190" xr:uid="{00000000-0005-0000-0000-0000D6790000}"/>
    <cellStyle name="Normal 5 10 17 5 6" xfId="31191" xr:uid="{00000000-0005-0000-0000-0000D7790000}"/>
    <cellStyle name="Normal 5 10 17 5 7" xfId="31192" xr:uid="{00000000-0005-0000-0000-0000D8790000}"/>
    <cellStyle name="Normal 5 10 17 5 8" xfId="31193" xr:uid="{00000000-0005-0000-0000-0000D9790000}"/>
    <cellStyle name="Normal 5 10 17 5 9" xfId="31194" xr:uid="{00000000-0005-0000-0000-0000DA790000}"/>
    <cellStyle name="Normal 5 10 17 6" xfId="31195" xr:uid="{00000000-0005-0000-0000-0000DB790000}"/>
    <cellStyle name="Normal 5 10 17 7" xfId="31196" xr:uid="{00000000-0005-0000-0000-0000DC790000}"/>
    <cellStyle name="Normal 5 10 17 8" xfId="31197" xr:uid="{00000000-0005-0000-0000-0000DD790000}"/>
    <cellStyle name="Normal 5 10 17 9" xfId="31198" xr:uid="{00000000-0005-0000-0000-0000DE790000}"/>
    <cellStyle name="Normal 5 10 18" xfId="31199" xr:uid="{00000000-0005-0000-0000-0000DF790000}"/>
    <cellStyle name="Normal 5 10 18 10" xfId="31200" xr:uid="{00000000-0005-0000-0000-0000E0790000}"/>
    <cellStyle name="Normal 5 10 18 11" xfId="31201" xr:uid="{00000000-0005-0000-0000-0000E1790000}"/>
    <cellStyle name="Normal 5 10 18 12" xfId="31202" xr:uid="{00000000-0005-0000-0000-0000E2790000}"/>
    <cellStyle name="Normal 5 10 18 13" xfId="31203" xr:uid="{00000000-0005-0000-0000-0000E3790000}"/>
    <cellStyle name="Normal 5 10 18 14" xfId="31204" xr:uid="{00000000-0005-0000-0000-0000E4790000}"/>
    <cellStyle name="Normal 5 10 18 2" xfId="31205" xr:uid="{00000000-0005-0000-0000-0000E5790000}"/>
    <cellStyle name="Normal 5 10 18 2 10" xfId="31206" xr:uid="{00000000-0005-0000-0000-0000E6790000}"/>
    <cellStyle name="Normal 5 10 18 2 2" xfId="31207" xr:uid="{00000000-0005-0000-0000-0000E7790000}"/>
    <cellStyle name="Normal 5 10 18 2 3" xfId="31208" xr:uid="{00000000-0005-0000-0000-0000E8790000}"/>
    <cellStyle name="Normal 5 10 18 2 4" xfId="31209" xr:uid="{00000000-0005-0000-0000-0000E9790000}"/>
    <cellStyle name="Normal 5 10 18 2 5" xfId="31210" xr:uid="{00000000-0005-0000-0000-0000EA790000}"/>
    <cellStyle name="Normal 5 10 18 2 6" xfId="31211" xr:uid="{00000000-0005-0000-0000-0000EB790000}"/>
    <cellStyle name="Normal 5 10 18 2 7" xfId="31212" xr:uid="{00000000-0005-0000-0000-0000EC790000}"/>
    <cellStyle name="Normal 5 10 18 2 8" xfId="31213" xr:uid="{00000000-0005-0000-0000-0000ED790000}"/>
    <cellStyle name="Normal 5 10 18 2 9" xfId="31214" xr:uid="{00000000-0005-0000-0000-0000EE790000}"/>
    <cellStyle name="Normal 5 10 18 3" xfId="31215" xr:uid="{00000000-0005-0000-0000-0000EF790000}"/>
    <cellStyle name="Normal 5 10 18 3 10" xfId="31216" xr:uid="{00000000-0005-0000-0000-0000F0790000}"/>
    <cellStyle name="Normal 5 10 18 3 2" xfId="31217" xr:uid="{00000000-0005-0000-0000-0000F1790000}"/>
    <cellStyle name="Normal 5 10 18 3 3" xfId="31218" xr:uid="{00000000-0005-0000-0000-0000F2790000}"/>
    <cellStyle name="Normal 5 10 18 3 4" xfId="31219" xr:uid="{00000000-0005-0000-0000-0000F3790000}"/>
    <cellStyle name="Normal 5 10 18 3 5" xfId="31220" xr:uid="{00000000-0005-0000-0000-0000F4790000}"/>
    <cellStyle name="Normal 5 10 18 3 6" xfId="31221" xr:uid="{00000000-0005-0000-0000-0000F5790000}"/>
    <cellStyle name="Normal 5 10 18 3 7" xfId="31222" xr:uid="{00000000-0005-0000-0000-0000F6790000}"/>
    <cellStyle name="Normal 5 10 18 3 8" xfId="31223" xr:uid="{00000000-0005-0000-0000-0000F7790000}"/>
    <cellStyle name="Normal 5 10 18 3 9" xfId="31224" xr:uid="{00000000-0005-0000-0000-0000F8790000}"/>
    <cellStyle name="Normal 5 10 18 4" xfId="31225" xr:uid="{00000000-0005-0000-0000-0000F9790000}"/>
    <cellStyle name="Normal 5 10 18 4 10" xfId="31226" xr:uid="{00000000-0005-0000-0000-0000FA790000}"/>
    <cellStyle name="Normal 5 10 18 4 2" xfId="31227" xr:uid="{00000000-0005-0000-0000-0000FB790000}"/>
    <cellStyle name="Normal 5 10 18 4 3" xfId="31228" xr:uid="{00000000-0005-0000-0000-0000FC790000}"/>
    <cellStyle name="Normal 5 10 18 4 4" xfId="31229" xr:uid="{00000000-0005-0000-0000-0000FD790000}"/>
    <cellStyle name="Normal 5 10 18 4 5" xfId="31230" xr:uid="{00000000-0005-0000-0000-0000FE790000}"/>
    <cellStyle name="Normal 5 10 18 4 6" xfId="31231" xr:uid="{00000000-0005-0000-0000-0000FF790000}"/>
    <cellStyle name="Normal 5 10 18 4 7" xfId="31232" xr:uid="{00000000-0005-0000-0000-0000007A0000}"/>
    <cellStyle name="Normal 5 10 18 4 8" xfId="31233" xr:uid="{00000000-0005-0000-0000-0000017A0000}"/>
    <cellStyle name="Normal 5 10 18 4 9" xfId="31234" xr:uid="{00000000-0005-0000-0000-0000027A0000}"/>
    <cellStyle name="Normal 5 10 18 5" xfId="31235" xr:uid="{00000000-0005-0000-0000-0000037A0000}"/>
    <cellStyle name="Normal 5 10 18 5 10" xfId="31236" xr:uid="{00000000-0005-0000-0000-0000047A0000}"/>
    <cellStyle name="Normal 5 10 18 5 2" xfId="31237" xr:uid="{00000000-0005-0000-0000-0000057A0000}"/>
    <cellStyle name="Normal 5 10 18 5 3" xfId="31238" xr:uid="{00000000-0005-0000-0000-0000067A0000}"/>
    <cellStyle name="Normal 5 10 18 5 4" xfId="31239" xr:uid="{00000000-0005-0000-0000-0000077A0000}"/>
    <cellStyle name="Normal 5 10 18 5 5" xfId="31240" xr:uid="{00000000-0005-0000-0000-0000087A0000}"/>
    <cellStyle name="Normal 5 10 18 5 6" xfId="31241" xr:uid="{00000000-0005-0000-0000-0000097A0000}"/>
    <cellStyle name="Normal 5 10 18 5 7" xfId="31242" xr:uid="{00000000-0005-0000-0000-00000A7A0000}"/>
    <cellStyle name="Normal 5 10 18 5 8" xfId="31243" xr:uid="{00000000-0005-0000-0000-00000B7A0000}"/>
    <cellStyle name="Normal 5 10 18 5 9" xfId="31244" xr:uid="{00000000-0005-0000-0000-00000C7A0000}"/>
    <cellStyle name="Normal 5 10 18 6" xfId="31245" xr:uid="{00000000-0005-0000-0000-00000D7A0000}"/>
    <cellStyle name="Normal 5 10 18 7" xfId="31246" xr:uid="{00000000-0005-0000-0000-00000E7A0000}"/>
    <cellStyle name="Normal 5 10 18 8" xfId="31247" xr:uid="{00000000-0005-0000-0000-00000F7A0000}"/>
    <cellStyle name="Normal 5 10 18 9" xfId="31248" xr:uid="{00000000-0005-0000-0000-0000107A0000}"/>
    <cellStyle name="Normal 5 10 19" xfId="31249" xr:uid="{00000000-0005-0000-0000-0000117A0000}"/>
    <cellStyle name="Normal 5 10 19 10" xfId="31250" xr:uid="{00000000-0005-0000-0000-0000127A0000}"/>
    <cellStyle name="Normal 5 10 19 11" xfId="31251" xr:uid="{00000000-0005-0000-0000-0000137A0000}"/>
    <cellStyle name="Normal 5 10 19 12" xfId="31252" xr:uid="{00000000-0005-0000-0000-0000147A0000}"/>
    <cellStyle name="Normal 5 10 19 13" xfId="31253" xr:uid="{00000000-0005-0000-0000-0000157A0000}"/>
    <cellStyle name="Normal 5 10 19 14" xfId="31254" xr:uid="{00000000-0005-0000-0000-0000167A0000}"/>
    <cellStyle name="Normal 5 10 19 2" xfId="31255" xr:uid="{00000000-0005-0000-0000-0000177A0000}"/>
    <cellStyle name="Normal 5 10 19 2 10" xfId="31256" xr:uid="{00000000-0005-0000-0000-0000187A0000}"/>
    <cellStyle name="Normal 5 10 19 2 2" xfId="31257" xr:uid="{00000000-0005-0000-0000-0000197A0000}"/>
    <cellStyle name="Normal 5 10 19 2 3" xfId="31258" xr:uid="{00000000-0005-0000-0000-00001A7A0000}"/>
    <cellStyle name="Normal 5 10 19 2 4" xfId="31259" xr:uid="{00000000-0005-0000-0000-00001B7A0000}"/>
    <cellStyle name="Normal 5 10 19 2 5" xfId="31260" xr:uid="{00000000-0005-0000-0000-00001C7A0000}"/>
    <cellStyle name="Normal 5 10 19 2 6" xfId="31261" xr:uid="{00000000-0005-0000-0000-00001D7A0000}"/>
    <cellStyle name="Normal 5 10 19 2 7" xfId="31262" xr:uid="{00000000-0005-0000-0000-00001E7A0000}"/>
    <cellStyle name="Normal 5 10 19 2 8" xfId="31263" xr:uid="{00000000-0005-0000-0000-00001F7A0000}"/>
    <cellStyle name="Normal 5 10 19 2 9" xfId="31264" xr:uid="{00000000-0005-0000-0000-0000207A0000}"/>
    <cellStyle name="Normal 5 10 19 3" xfId="31265" xr:uid="{00000000-0005-0000-0000-0000217A0000}"/>
    <cellStyle name="Normal 5 10 19 3 10" xfId="31266" xr:uid="{00000000-0005-0000-0000-0000227A0000}"/>
    <cellStyle name="Normal 5 10 19 3 2" xfId="31267" xr:uid="{00000000-0005-0000-0000-0000237A0000}"/>
    <cellStyle name="Normal 5 10 19 3 3" xfId="31268" xr:uid="{00000000-0005-0000-0000-0000247A0000}"/>
    <cellStyle name="Normal 5 10 19 3 4" xfId="31269" xr:uid="{00000000-0005-0000-0000-0000257A0000}"/>
    <cellStyle name="Normal 5 10 19 3 5" xfId="31270" xr:uid="{00000000-0005-0000-0000-0000267A0000}"/>
    <cellStyle name="Normal 5 10 19 3 6" xfId="31271" xr:uid="{00000000-0005-0000-0000-0000277A0000}"/>
    <cellStyle name="Normal 5 10 19 3 7" xfId="31272" xr:uid="{00000000-0005-0000-0000-0000287A0000}"/>
    <cellStyle name="Normal 5 10 19 3 8" xfId="31273" xr:uid="{00000000-0005-0000-0000-0000297A0000}"/>
    <cellStyle name="Normal 5 10 19 3 9" xfId="31274" xr:uid="{00000000-0005-0000-0000-00002A7A0000}"/>
    <cellStyle name="Normal 5 10 19 4" xfId="31275" xr:uid="{00000000-0005-0000-0000-00002B7A0000}"/>
    <cellStyle name="Normal 5 10 19 4 10" xfId="31276" xr:uid="{00000000-0005-0000-0000-00002C7A0000}"/>
    <cellStyle name="Normal 5 10 19 4 2" xfId="31277" xr:uid="{00000000-0005-0000-0000-00002D7A0000}"/>
    <cellStyle name="Normal 5 10 19 4 3" xfId="31278" xr:uid="{00000000-0005-0000-0000-00002E7A0000}"/>
    <cellStyle name="Normal 5 10 19 4 4" xfId="31279" xr:uid="{00000000-0005-0000-0000-00002F7A0000}"/>
    <cellStyle name="Normal 5 10 19 4 5" xfId="31280" xr:uid="{00000000-0005-0000-0000-0000307A0000}"/>
    <cellStyle name="Normal 5 10 19 4 6" xfId="31281" xr:uid="{00000000-0005-0000-0000-0000317A0000}"/>
    <cellStyle name="Normal 5 10 19 4 7" xfId="31282" xr:uid="{00000000-0005-0000-0000-0000327A0000}"/>
    <cellStyle name="Normal 5 10 19 4 8" xfId="31283" xr:uid="{00000000-0005-0000-0000-0000337A0000}"/>
    <cellStyle name="Normal 5 10 19 4 9" xfId="31284" xr:uid="{00000000-0005-0000-0000-0000347A0000}"/>
    <cellStyle name="Normal 5 10 19 5" xfId="31285" xr:uid="{00000000-0005-0000-0000-0000357A0000}"/>
    <cellStyle name="Normal 5 10 19 5 10" xfId="31286" xr:uid="{00000000-0005-0000-0000-0000367A0000}"/>
    <cellStyle name="Normal 5 10 19 5 2" xfId="31287" xr:uid="{00000000-0005-0000-0000-0000377A0000}"/>
    <cellStyle name="Normal 5 10 19 5 3" xfId="31288" xr:uid="{00000000-0005-0000-0000-0000387A0000}"/>
    <cellStyle name="Normal 5 10 19 5 4" xfId="31289" xr:uid="{00000000-0005-0000-0000-0000397A0000}"/>
    <cellStyle name="Normal 5 10 19 5 5" xfId="31290" xr:uid="{00000000-0005-0000-0000-00003A7A0000}"/>
    <cellStyle name="Normal 5 10 19 5 6" xfId="31291" xr:uid="{00000000-0005-0000-0000-00003B7A0000}"/>
    <cellStyle name="Normal 5 10 19 5 7" xfId="31292" xr:uid="{00000000-0005-0000-0000-00003C7A0000}"/>
    <cellStyle name="Normal 5 10 19 5 8" xfId="31293" xr:uid="{00000000-0005-0000-0000-00003D7A0000}"/>
    <cellStyle name="Normal 5 10 19 5 9" xfId="31294" xr:uid="{00000000-0005-0000-0000-00003E7A0000}"/>
    <cellStyle name="Normal 5 10 19 6" xfId="31295" xr:uid="{00000000-0005-0000-0000-00003F7A0000}"/>
    <cellStyle name="Normal 5 10 19 7" xfId="31296" xr:uid="{00000000-0005-0000-0000-0000407A0000}"/>
    <cellStyle name="Normal 5 10 19 8" xfId="31297" xr:uid="{00000000-0005-0000-0000-0000417A0000}"/>
    <cellStyle name="Normal 5 10 19 9" xfId="31298" xr:uid="{00000000-0005-0000-0000-0000427A0000}"/>
    <cellStyle name="Normal 5 10 2" xfId="60" xr:uid="{00000000-0005-0000-0000-00003C000000}"/>
    <cellStyle name="Normal 5 10 2 10" xfId="31300" xr:uid="{00000000-0005-0000-0000-0000447A0000}"/>
    <cellStyle name="Normal 5 10 2 10 10" xfId="31301" xr:uid="{00000000-0005-0000-0000-0000457A0000}"/>
    <cellStyle name="Normal 5 10 2 10 11" xfId="31302" xr:uid="{00000000-0005-0000-0000-0000467A0000}"/>
    <cellStyle name="Normal 5 10 2 10 12" xfId="31303" xr:uid="{00000000-0005-0000-0000-0000477A0000}"/>
    <cellStyle name="Normal 5 10 2 10 13" xfId="31304" xr:uid="{00000000-0005-0000-0000-0000487A0000}"/>
    <cellStyle name="Normal 5 10 2 10 14" xfId="31305" xr:uid="{00000000-0005-0000-0000-0000497A0000}"/>
    <cellStyle name="Normal 5 10 2 10 2" xfId="31306" xr:uid="{00000000-0005-0000-0000-00004A7A0000}"/>
    <cellStyle name="Normal 5 10 2 10 2 10" xfId="31307" xr:uid="{00000000-0005-0000-0000-00004B7A0000}"/>
    <cellStyle name="Normal 5 10 2 10 2 2" xfId="31308" xr:uid="{00000000-0005-0000-0000-00004C7A0000}"/>
    <cellStyle name="Normal 5 10 2 10 2 3" xfId="31309" xr:uid="{00000000-0005-0000-0000-00004D7A0000}"/>
    <cellStyle name="Normal 5 10 2 10 2 4" xfId="31310" xr:uid="{00000000-0005-0000-0000-00004E7A0000}"/>
    <cellStyle name="Normal 5 10 2 10 2 5" xfId="31311" xr:uid="{00000000-0005-0000-0000-00004F7A0000}"/>
    <cellStyle name="Normal 5 10 2 10 2 6" xfId="31312" xr:uid="{00000000-0005-0000-0000-0000507A0000}"/>
    <cellStyle name="Normal 5 10 2 10 2 7" xfId="31313" xr:uid="{00000000-0005-0000-0000-0000517A0000}"/>
    <cellStyle name="Normal 5 10 2 10 2 8" xfId="31314" xr:uid="{00000000-0005-0000-0000-0000527A0000}"/>
    <cellStyle name="Normal 5 10 2 10 2 9" xfId="31315" xr:uid="{00000000-0005-0000-0000-0000537A0000}"/>
    <cellStyle name="Normal 5 10 2 10 3" xfId="31316" xr:uid="{00000000-0005-0000-0000-0000547A0000}"/>
    <cellStyle name="Normal 5 10 2 10 3 10" xfId="31317" xr:uid="{00000000-0005-0000-0000-0000557A0000}"/>
    <cellStyle name="Normal 5 10 2 10 3 2" xfId="31318" xr:uid="{00000000-0005-0000-0000-0000567A0000}"/>
    <cellStyle name="Normal 5 10 2 10 3 3" xfId="31319" xr:uid="{00000000-0005-0000-0000-0000577A0000}"/>
    <cellStyle name="Normal 5 10 2 10 3 4" xfId="31320" xr:uid="{00000000-0005-0000-0000-0000587A0000}"/>
    <cellStyle name="Normal 5 10 2 10 3 5" xfId="31321" xr:uid="{00000000-0005-0000-0000-0000597A0000}"/>
    <cellStyle name="Normal 5 10 2 10 3 6" xfId="31322" xr:uid="{00000000-0005-0000-0000-00005A7A0000}"/>
    <cellStyle name="Normal 5 10 2 10 3 7" xfId="31323" xr:uid="{00000000-0005-0000-0000-00005B7A0000}"/>
    <cellStyle name="Normal 5 10 2 10 3 8" xfId="31324" xr:uid="{00000000-0005-0000-0000-00005C7A0000}"/>
    <cellStyle name="Normal 5 10 2 10 3 9" xfId="31325" xr:uid="{00000000-0005-0000-0000-00005D7A0000}"/>
    <cellStyle name="Normal 5 10 2 10 4" xfId="31326" xr:uid="{00000000-0005-0000-0000-00005E7A0000}"/>
    <cellStyle name="Normal 5 10 2 10 4 10" xfId="31327" xr:uid="{00000000-0005-0000-0000-00005F7A0000}"/>
    <cellStyle name="Normal 5 10 2 10 4 2" xfId="31328" xr:uid="{00000000-0005-0000-0000-0000607A0000}"/>
    <cellStyle name="Normal 5 10 2 10 4 3" xfId="31329" xr:uid="{00000000-0005-0000-0000-0000617A0000}"/>
    <cellStyle name="Normal 5 10 2 10 4 4" xfId="31330" xr:uid="{00000000-0005-0000-0000-0000627A0000}"/>
    <cellStyle name="Normal 5 10 2 10 4 5" xfId="31331" xr:uid="{00000000-0005-0000-0000-0000637A0000}"/>
    <cellStyle name="Normal 5 10 2 10 4 6" xfId="31332" xr:uid="{00000000-0005-0000-0000-0000647A0000}"/>
    <cellStyle name="Normal 5 10 2 10 4 7" xfId="31333" xr:uid="{00000000-0005-0000-0000-0000657A0000}"/>
    <cellStyle name="Normal 5 10 2 10 4 8" xfId="31334" xr:uid="{00000000-0005-0000-0000-0000667A0000}"/>
    <cellStyle name="Normal 5 10 2 10 4 9" xfId="31335" xr:uid="{00000000-0005-0000-0000-0000677A0000}"/>
    <cellStyle name="Normal 5 10 2 10 5" xfId="31336" xr:uid="{00000000-0005-0000-0000-0000687A0000}"/>
    <cellStyle name="Normal 5 10 2 10 5 10" xfId="31337" xr:uid="{00000000-0005-0000-0000-0000697A0000}"/>
    <cellStyle name="Normal 5 10 2 10 5 2" xfId="31338" xr:uid="{00000000-0005-0000-0000-00006A7A0000}"/>
    <cellStyle name="Normal 5 10 2 10 5 3" xfId="31339" xr:uid="{00000000-0005-0000-0000-00006B7A0000}"/>
    <cellStyle name="Normal 5 10 2 10 5 4" xfId="31340" xr:uid="{00000000-0005-0000-0000-00006C7A0000}"/>
    <cellStyle name="Normal 5 10 2 10 5 5" xfId="31341" xr:uid="{00000000-0005-0000-0000-00006D7A0000}"/>
    <cellStyle name="Normal 5 10 2 10 5 6" xfId="31342" xr:uid="{00000000-0005-0000-0000-00006E7A0000}"/>
    <cellStyle name="Normal 5 10 2 10 5 7" xfId="31343" xr:uid="{00000000-0005-0000-0000-00006F7A0000}"/>
    <cellStyle name="Normal 5 10 2 10 5 8" xfId="31344" xr:uid="{00000000-0005-0000-0000-0000707A0000}"/>
    <cellStyle name="Normal 5 10 2 10 5 9" xfId="31345" xr:uid="{00000000-0005-0000-0000-0000717A0000}"/>
    <cellStyle name="Normal 5 10 2 10 6" xfId="31346" xr:uid="{00000000-0005-0000-0000-0000727A0000}"/>
    <cellStyle name="Normal 5 10 2 10 7" xfId="31347" xr:uid="{00000000-0005-0000-0000-0000737A0000}"/>
    <cellStyle name="Normal 5 10 2 10 8" xfId="31348" xr:uid="{00000000-0005-0000-0000-0000747A0000}"/>
    <cellStyle name="Normal 5 10 2 10 9" xfId="31349" xr:uid="{00000000-0005-0000-0000-0000757A0000}"/>
    <cellStyle name="Normal 5 10 2 11" xfId="31350" xr:uid="{00000000-0005-0000-0000-0000767A0000}"/>
    <cellStyle name="Normal 5 10 2 11 10" xfId="31351" xr:uid="{00000000-0005-0000-0000-0000777A0000}"/>
    <cellStyle name="Normal 5 10 2 11 11" xfId="31352" xr:uid="{00000000-0005-0000-0000-0000787A0000}"/>
    <cellStyle name="Normal 5 10 2 11 12" xfId="31353" xr:uid="{00000000-0005-0000-0000-0000797A0000}"/>
    <cellStyle name="Normal 5 10 2 11 13" xfId="31354" xr:uid="{00000000-0005-0000-0000-00007A7A0000}"/>
    <cellStyle name="Normal 5 10 2 11 14" xfId="31355" xr:uid="{00000000-0005-0000-0000-00007B7A0000}"/>
    <cellStyle name="Normal 5 10 2 11 2" xfId="31356" xr:uid="{00000000-0005-0000-0000-00007C7A0000}"/>
    <cellStyle name="Normal 5 10 2 11 2 10" xfId="31357" xr:uid="{00000000-0005-0000-0000-00007D7A0000}"/>
    <cellStyle name="Normal 5 10 2 11 2 2" xfId="31358" xr:uid="{00000000-0005-0000-0000-00007E7A0000}"/>
    <cellStyle name="Normal 5 10 2 11 2 3" xfId="31359" xr:uid="{00000000-0005-0000-0000-00007F7A0000}"/>
    <cellStyle name="Normal 5 10 2 11 2 4" xfId="31360" xr:uid="{00000000-0005-0000-0000-0000807A0000}"/>
    <cellStyle name="Normal 5 10 2 11 2 5" xfId="31361" xr:uid="{00000000-0005-0000-0000-0000817A0000}"/>
    <cellStyle name="Normal 5 10 2 11 2 6" xfId="31362" xr:uid="{00000000-0005-0000-0000-0000827A0000}"/>
    <cellStyle name="Normal 5 10 2 11 2 7" xfId="31363" xr:uid="{00000000-0005-0000-0000-0000837A0000}"/>
    <cellStyle name="Normal 5 10 2 11 2 8" xfId="31364" xr:uid="{00000000-0005-0000-0000-0000847A0000}"/>
    <cellStyle name="Normal 5 10 2 11 2 9" xfId="31365" xr:uid="{00000000-0005-0000-0000-0000857A0000}"/>
    <cellStyle name="Normal 5 10 2 11 3" xfId="31366" xr:uid="{00000000-0005-0000-0000-0000867A0000}"/>
    <cellStyle name="Normal 5 10 2 11 3 10" xfId="31367" xr:uid="{00000000-0005-0000-0000-0000877A0000}"/>
    <cellStyle name="Normal 5 10 2 11 3 2" xfId="31368" xr:uid="{00000000-0005-0000-0000-0000887A0000}"/>
    <cellStyle name="Normal 5 10 2 11 3 3" xfId="31369" xr:uid="{00000000-0005-0000-0000-0000897A0000}"/>
    <cellStyle name="Normal 5 10 2 11 3 4" xfId="31370" xr:uid="{00000000-0005-0000-0000-00008A7A0000}"/>
    <cellStyle name="Normal 5 10 2 11 3 5" xfId="31371" xr:uid="{00000000-0005-0000-0000-00008B7A0000}"/>
    <cellStyle name="Normal 5 10 2 11 3 6" xfId="31372" xr:uid="{00000000-0005-0000-0000-00008C7A0000}"/>
    <cellStyle name="Normal 5 10 2 11 3 7" xfId="31373" xr:uid="{00000000-0005-0000-0000-00008D7A0000}"/>
    <cellStyle name="Normal 5 10 2 11 3 8" xfId="31374" xr:uid="{00000000-0005-0000-0000-00008E7A0000}"/>
    <cellStyle name="Normal 5 10 2 11 3 9" xfId="31375" xr:uid="{00000000-0005-0000-0000-00008F7A0000}"/>
    <cellStyle name="Normal 5 10 2 11 4" xfId="31376" xr:uid="{00000000-0005-0000-0000-0000907A0000}"/>
    <cellStyle name="Normal 5 10 2 11 4 10" xfId="31377" xr:uid="{00000000-0005-0000-0000-0000917A0000}"/>
    <cellStyle name="Normal 5 10 2 11 4 2" xfId="31378" xr:uid="{00000000-0005-0000-0000-0000927A0000}"/>
    <cellStyle name="Normal 5 10 2 11 4 3" xfId="31379" xr:uid="{00000000-0005-0000-0000-0000937A0000}"/>
    <cellStyle name="Normal 5 10 2 11 4 4" xfId="31380" xr:uid="{00000000-0005-0000-0000-0000947A0000}"/>
    <cellStyle name="Normal 5 10 2 11 4 5" xfId="31381" xr:uid="{00000000-0005-0000-0000-0000957A0000}"/>
    <cellStyle name="Normal 5 10 2 11 4 6" xfId="31382" xr:uid="{00000000-0005-0000-0000-0000967A0000}"/>
    <cellStyle name="Normal 5 10 2 11 4 7" xfId="31383" xr:uid="{00000000-0005-0000-0000-0000977A0000}"/>
    <cellStyle name="Normal 5 10 2 11 4 8" xfId="31384" xr:uid="{00000000-0005-0000-0000-0000987A0000}"/>
    <cellStyle name="Normal 5 10 2 11 4 9" xfId="31385" xr:uid="{00000000-0005-0000-0000-0000997A0000}"/>
    <cellStyle name="Normal 5 10 2 11 5" xfId="31386" xr:uid="{00000000-0005-0000-0000-00009A7A0000}"/>
    <cellStyle name="Normal 5 10 2 11 5 10" xfId="31387" xr:uid="{00000000-0005-0000-0000-00009B7A0000}"/>
    <cellStyle name="Normal 5 10 2 11 5 2" xfId="31388" xr:uid="{00000000-0005-0000-0000-00009C7A0000}"/>
    <cellStyle name="Normal 5 10 2 11 5 3" xfId="31389" xr:uid="{00000000-0005-0000-0000-00009D7A0000}"/>
    <cellStyle name="Normal 5 10 2 11 5 4" xfId="31390" xr:uid="{00000000-0005-0000-0000-00009E7A0000}"/>
    <cellStyle name="Normal 5 10 2 11 5 5" xfId="31391" xr:uid="{00000000-0005-0000-0000-00009F7A0000}"/>
    <cellStyle name="Normal 5 10 2 11 5 6" xfId="31392" xr:uid="{00000000-0005-0000-0000-0000A07A0000}"/>
    <cellStyle name="Normal 5 10 2 11 5 7" xfId="31393" xr:uid="{00000000-0005-0000-0000-0000A17A0000}"/>
    <cellStyle name="Normal 5 10 2 11 5 8" xfId="31394" xr:uid="{00000000-0005-0000-0000-0000A27A0000}"/>
    <cellStyle name="Normal 5 10 2 11 5 9" xfId="31395" xr:uid="{00000000-0005-0000-0000-0000A37A0000}"/>
    <cellStyle name="Normal 5 10 2 11 6" xfId="31396" xr:uid="{00000000-0005-0000-0000-0000A47A0000}"/>
    <cellStyle name="Normal 5 10 2 11 7" xfId="31397" xr:uid="{00000000-0005-0000-0000-0000A57A0000}"/>
    <cellStyle name="Normal 5 10 2 11 8" xfId="31398" xr:uid="{00000000-0005-0000-0000-0000A67A0000}"/>
    <cellStyle name="Normal 5 10 2 11 9" xfId="31399" xr:uid="{00000000-0005-0000-0000-0000A77A0000}"/>
    <cellStyle name="Normal 5 10 2 12" xfId="31400" xr:uid="{00000000-0005-0000-0000-0000A87A0000}"/>
    <cellStyle name="Normal 5 10 2 12 10" xfId="31401" xr:uid="{00000000-0005-0000-0000-0000A97A0000}"/>
    <cellStyle name="Normal 5 10 2 12 11" xfId="31402" xr:uid="{00000000-0005-0000-0000-0000AA7A0000}"/>
    <cellStyle name="Normal 5 10 2 12 12" xfId="31403" xr:uid="{00000000-0005-0000-0000-0000AB7A0000}"/>
    <cellStyle name="Normal 5 10 2 12 13" xfId="31404" xr:uid="{00000000-0005-0000-0000-0000AC7A0000}"/>
    <cellStyle name="Normal 5 10 2 12 14" xfId="31405" xr:uid="{00000000-0005-0000-0000-0000AD7A0000}"/>
    <cellStyle name="Normal 5 10 2 12 2" xfId="31406" xr:uid="{00000000-0005-0000-0000-0000AE7A0000}"/>
    <cellStyle name="Normal 5 10 2 12 2 10" xfId="31407" xr:uid="{00000000-0005-0000-0000-0000AF7A0000}"/>
    <cellStyle name="Normal 5 10 2 12 2 2" xfId="31408" xr:uid="{00000000-0005-0000-0000-0000B07A0000}"/>
    <cellStyle name="Normal 5 10 2 12 2 3" xfId="31409" xr:uid="{00000000-0005-0000-0000-0000B17A0000}"/>
    <cellStyle name="Normal 5 10 2 12 2 4" xfId="31410" xr:uid="{00000000-0005-0000-0000-0000B27A0000}"/>
    <cellStyle name="Normal 5 10 2 12 2 5" xfId="31411" xr:uid="{00000000-0005-0000-0000-0000B37A0000}"/>
    <cellStyle name="Normal 5 10 2 12 2 6" xfId="31412" xr:uid="{00000000-0005-0000-0000-0000B47A0000}"/>
    <cellStyle name="Normal 5 10 2 12 2 7" xfId="31413" xr:uid="{00000000-0005-0000-0000-0000B57A0000}"/>
    <cellStyle name="Normal 5 10 2 12 2 8" xfId="31414" xr:uid="{00000000-0005-0000-0000-0000B67A0000}"/>
    <cellStyle name="Normal 5 10 2 12 2 9" xfId="31415" xr:uid="{00000000-0005-0000-0000-0000B77A0000}"/>
    <cellStyle name="Normal 5 10 2 12 3" xfId="31416" xr:uid="{00000000-0005-0000-0000-0000B87A0000}"/>
    <cellStyle name="Normal 5 10 2 12 3 10" xfId="31417" xr:uid="{00000000-0005-0000-0000-0000B97A0000}"/>
    <cellStyle name="Normal 5 10 2 12 3 2" xfId="31418" xr:uid="{00000000-0005-0000-0000-0000BA7A0000}"/>
    <cellStyle name="Normal 5 10 2 12 3 3" xfId="31419" xr:uid="{00000000-0005-0000-0000-0000BB7A0000}"/>
    <cellStyle name="Normal 5 10 2 12 3 4" xfId="31420" xr:uid="{00000000-0005-0000-0000-0000BC7A0000}"/>
    <cellStyle name="Normal 5 10 2 12 3 5" xfId="31421" xr:uid="{00000000-0005-0000-0000-0000BD7A0000}"/>
    <cellStyle name="Normal 5 10 2 12 3 6" xfId="31422" xr:uid="{00000000-0005-0000-0000-0000BE7A0000}"/>
    <cellStyle name="Normal 5 10 2 12 3 7" xfId="31423" xr:uid="{00000000-0005-0000-0000-0000BF7A0000}"/>
    <cellStyle name="Normal 5 10 2 12 3 8" xfId="31424" xr:uid="{00000000-0005-0000-0000-0000C07A0000}"/>
    <cellStyle name="Normal 5 10 2 12 3 9" xfId="31425" xr:uid="{00000000-0005-0000-0000-0000C17A0000}"/>
    <cellStyle name="Normal 5 10 2 12 4" xfId="31426" xr:uid="{00000000-0005-0000-0000-0000C27A0000}"/>
    <cellStyle name="Normal 5 10 2 12 4 10" xfId="31427" xr:uid="{00000000-0005-0000-0000-0000C37A0000}"/>
    <cellStyle name="Normal 5 10 2 12 4 2" xfId="31428" xr:uid="{00000000-0005-0000-0000-0000C47A0000}"/>
    <cellStyle name="Normal 5 10 2 12 4 3" xfId="31429" xr:uid="{00000000-0005-0000-0000-0000C57A0000}"/>
    <cellStyle name="Normal 5 10 2 12 4 4" xfId="31430" xr:uid="{00000000-0005-0000-0000-0000C67A0000}"/>
    <cellStyle name="Normal 5 10 2 12 4 5" xfId="31431" xr:uid="{00000000-0005-0000-0000-0000C77A0000}"/>
    <cellStyle name="Normal 5 10 2 12 4 6" xfId="31432" xr:uid="{00000000-0005-0000-0000-0000C87A0000}"/>
    <cellStyle name="Normal 5 10 2 12 4 7" xfId="31433" xr:uid="{00000000-0005-0000-0000-0000C97A0000}"/>
    <cellStyle name="Normal 5 10 2 12 4 8" xfId="31434" xr:uid="{00000000-0005-0000-0000-0000CA7A0000}"/>
    <cellStyle name="Normal 5 10 2 12 4 9" xfId="31435" xr:uid="{00000000-0005-0000-0000-0000CB7A0000}"/>
    <cellStyle name="Normal 5 10 2 12 5" xfId="31436" xr:uid="{00000000-0005-0000-0000-0000CC7A0000}"/>
    <cellStyle name="Normal 5 10 2 12 5 10" xfId="31437" xr:uid="{00000000-0005-0000-0000-0000CD7A0000}"/>
    <cellStyle name="Normal 5 10 2 12 5 2" xfId="31438" xr:uid="{00000000-0005-0000-0000-0000CE7A0000}"/>
    <cellStyle name="Normal 5 10 2 12 5 3" xfId="31439" xr:uid="{00000000-0005-0000-0000-0000CF7A0000}"/>
    <cellStyle name="Normal 5 10 2 12 5 4" xfId="31440" xr:uid="{00000000-0005-0000-0000-0000D07A0000}"/>
    <cellStyle name="Normal 5 10 2 12 5 5" xfId="31441" xr:uid="{00000000-0005-0000-0000-0000D17A0000}"/>
    <cellStyle name="Normal 5 10 2 12 5 6" xfId="31442" xr:uid="{00000000-0005-0000-0000-0000D27A0000}"/>
    <cellStyle name="Normal 5 10 2 12 5 7" xfId="31443" xr:uid="{00000000-0005-0000-0000-0000D37A0000}"/>
    <cellStyle name="Normal 5 10 2 12 5 8" xfId="31444" xr:uid="{00000000-0005-0000-0000-0000D47A0000}"/>
    <cellStyle name="Normal 5 10 2 12 5 9" xfId="31445" xr:uid="{00000000-0005-0000-0000-0000D57A0000}"/>
    <cellStyle name="Normal 5 10 2 12 6" xfId="31446" xr:uid="{00000000-0005-0000-0000-0000D67A0000}"/>
    <cellStyle name="Normal 5 10 2 12 7" xfId="31447" xr:uid="{00000000-0005-0000-0000-0000D77A0000}"/>
    <cellStyle name="Normal 5 10 2 12 8" xfId="31448" xr:uid="{00000000-0005-0000-0000-0000D87A0000}"/>
    <cellStyle name="Normal 5 10 2 12 9" xfId="31449" xr:uid="{00000000-0005-0000-0000-0000D97A0000}"/>
    <cellStyle name="Normal 5 10 2 13" xfId="31450" xr:uid="{00000000-0005-0000-0000-0000DA7A0000}"/>
    <cellStyle name="Normal 5 10 2 13 10" xfId="31451" xr:uid="{00000000-0005-0000-0000-0000DB7A0000}"/>
    <cellStyle name="Normal 5 10 2 13 11" xfId="31452" xr:uid="{00000000-0005-0000-0000-0000DC7A0000}"/>
    <cellStyle name="Normal 5 10 2 13 12" xfId="31453" xr:uid="{00000000-0005-0000-0000-0000DD7A0000}"/>
    <cellStyle name="Normal 5 10 2 13 13" xfId="31454" xr:uid="{00000000-0005-0000-0000-0000DE7A0000}"/>
    <cellStyle name="Normal 5 10 2 13 14" xfId="31455" xr:uid="{00000000-0005-0000-0000-0000DF7A0000}"/>
    <cellStyle name="Normal 5 10 2 13 2" xfId="31456" xr:uid="{00000000-0005-0000-0000-0000E07A0000}"/>
    <cellStyle name="Normal 5 10 2 13 2 10" xfId="31457" xr:uid="{00000000-0005-0000-0000-0000E17A0000}"/>
    <cellStyle name="Normal 5 10 2 13 2 2" xfId="31458" xr:uid="{00000000-0005-0000-0000-0000E27A0000}"/>
    <cellStyle name="Normal 5 10 2 13 2 3" xfId="31459" xr:uid="{00000000-0005-0000-0000-0000E37A0000}"/>
    <cellStyle name="Normal 5 10 2 13 2 4" xfId="31460" xr:uid="{00000000-0005-0000-0000-0000E47A0000}"/>
    <cellStyle name="Normal 5 10 2 13 2 5" xfId="31461" xr:uid="{00000000-0005-0000-0000-0000E57A0000}"/>
    <cellStyle name="Normal 5 10 2 13 2 6" xfId="31462" xr:uid="{00000000-0005-0000-0000-0000E67A0000}"/>
    <cellStyle name="Normal 5 10 2 13 2 7" xfId="31463" xr:uid="{00000000-0005-0000-0000-0000E77A0000}"/>
    <cellStyle name="Normal 5 10 2 13 2 8" xfId="31464" xr:uid="{00000000-0005-0000-0000-0000E87A0000}"/>
    <cellStyle name="Normal 5 10 2 13 2 9" xfId="31465" xr:uid="{00000000-0005-0000-0000-0000E97A0000}"/>
    <cellStyle name="Normal 5 10 2 13 3" xfId="31466" xr:uid="{00000000-0005-0000-0000-0000EA7A0000}"/>
    <cellStyle name="Normal 5 10 2 13 3 10" xfId="31467" xr:uid="{00000000-0005-0000-0000-0000EB7A0000}"/>
    <cellStyle name="Normal 5 10 2 13 3 2" xfId="31468" xr:uid="{00000000-0005-0000-0000-0000EC7A0000}"/>
    <cellStyle name="Normal 5 10 2 13 3 3" xfId="31469" xr:uid="{00000000-0005-0000-0000-0000ED7A0000}"/>
    <cellStyle name="Normal 5 10 2 13 3 4" xfId="31470" xr:uid="{00000000-0005-0000-0000-0000EE7A0000}"/>
    <cellStyle name="Normal 5 10 2 13 3 5" xfId="31471" xr:uid="{00000000-0005-0000-0000-0000EF7A0000}"/>
    <cellStyle name="Normal 5 10 2 13 3 6" xfId="31472" xr:uid="{00000000-0005-0000-0000-0000F07A0000}"/>
    <cellStyle name="Normal 5 10 2 13 3 7" xfId="31473" xr:uid="{00000000-0005-0000-0000-0000F17A0000}"/>
    <cellStyle name="Normal 5 10 2 13 3 8" xfId="31474" xr:uid="{00000000-0005-0000-0000-0000F27A0000}"/>
    <cellStyle name="Normal 5 10 2 13 3 9" xfId="31475" xr:uid="{00000000-0005-0000-0000-0000F37A0000}"/>
    <cellStyle name="Normal 5 10 2 13 4" xfId="31476" xr:uid="{00000000-0005-0000-0000-0000F47A0000}"/>
    <cellStyle name="Normal 5 10 2 13 4 10" xfId="31477" xr:uid="{00000000-0005-0000-0000-0000F57A0000}"/>
    <cellStyle name="Normal 5 10 2 13 4 2" xfId="31478" xr:uid="{00000000-0005-0000-0000-0000F67A0000}"/>
    <cellStyle name="Normal 5 10 2 13 4 3" xfId="31479" xr:uid="{00000000-0005-0000-0000-0000F77A0000}"/>
    <cellStyle name="Normal 5 10 2 13 4 4" xfId="31480" xr:uid="{00000000-0005-0000-0000-0000F87A0000}"/>
    <cellStyle name="Normal 5 10 2 13 4 5" xfId="31481" xr:uid="{00000000-0005-0000-0000-0000F97A0000}"/>
    <cellStyle name="Normal 5 10 2 13 4 6" xfId="31482" xr:uid="{00000000-0005-0000-0000-0000FA7A0000}"/>
    <cellStyle name="Normal 5 10 2 13 4 7" xfId="31483" xr:uid="{00000000-0005-0000-0000-0000FB7A0000}"/>
    <cellStyle name="Normal 5 10 2 13 4 8" xfId="31484" xr:uid="{00000000-0005-0000-0000-0000FC7A0000}"/>
    <cellStyle name="Normal 5 10 2 13 4 9" xfId="31485" xr:uid="{00000000-0005-0000-0000-0000FD7A0000}"/>
    <cellStyle name="Normal 5 10 2 13 5" xfId="31486" xr:uid="{00000000-0005-0000-0000-0000FE7A0000}"/>
    <cellStyle name="Normal 5 10 2 13 5 10" xfId="31487" xr:uid="{00000000-0005-0000-0000-0000FF7A0000}"/>
    <cellStyle name="Normal 5 10 2 13 5 2" xfId="31488" xr:uid="{00000000-0005-0000-0000-0000007B0000}"/>
    <cellStyle name="Normal 5 10 2 13 5 3" xfId="31489" xr:uid="{00000000-0005-0000-0000-0000017B0000}"/>
    <cellStyle name="Normal 5 10 2 13 5 4" xfId="31490" xr:uid="{00000000-0005-0000-0000-0000027B0000}"/>
    <cellStyle name="Normal 5 10 2 13 5 5" xfId="31491" xr:uid="{00000000-0005-0000-0000-0000037B0000}"/>
    <cellStyle name="Normal 5 10 2 13 5 6" xfId="31492" xr:uid="{00000000-0005-0000-0000-0000047B0000}"/>
    <cellStyle name="Normal 5 10 2 13 5 7" xfId="31493" xr:uid="{00000000-0005-0000-0000-0000057B0000}"/>
    <cellStyle name="Normal 5 10 2 13 5 8" xfId="31494" xr:uid="{00000000-0005-0000-0000-0000067B0000}"/>
    <cellStyle name="Normal 5 10 2 13 5 9" xfId="31495" xr:uid="{00000000-0005-0000-0000-0000077B0000}"/>
    <cellStyle name="Normal 5 10 2 13 6" xfId="31496" xr:uid="{00000000-0005-0000-0000-0000087B0000}"/>
    <cellStyle name="Normal 5 10 2 13 7" xfId="31497" xr:uid="{00000000-0005-0000-0000-0000097B0000}"/>
    <cellStyle name="Normal 5 10 2 13 8" xfId="31498" xr:uid="{00000000-0005-0000-0000-00000A7B0000}"/>
    <cellStyle name="Normal 5 10 2 13 9" xfId="31499" xr:uid="{00000000-0005-0000-0000-00000B7B0000}"/>
    <cellStyle name="Normal 5 10 2 14" xfId="31500" xr:uid="{00000000-0005-0000-0000-00000C7B0000}"/>
    <cellStyle name="Normal 5 10 2 14 10" xfId="31501" xr:uid="{00000000-0005-0000-0000-00000D7B0000}"/>
    <cellStyle name="Normal 5 10 2 14 11" xfId="31502" xr:uid="{00000000-0005-0000-0000-00000E7B0000}"/>
    <cellStyle name="Normal 5 10 2 14 12" xfId="31503" xr:uid="{00000000-0005-0000-0000-00000F7B0000}"/>
    <cellStyle name="Normal 5 10 2 14 13" xfId="31504" xr:uid="{00000000-0005-0000-0000-0000107B0000}"/>
    <cellStyle name="Normal 5 10 2 14 14" xfId="31505" xr:uid="{00000000-0005-0000-0000-0000117B0000}"/>
    <cellStyle name="Normal 5 10 2 14 2" xfId="31506" xr:uid="{00000000-0005-0000-0000-0000127B0000}"/>
    <cellStyle name="Normal 5 10 2 14 2 10" xfId="31507" xr:uid="{00000000-0005-0000-0000-0000137B0000}"/>
    <cellStyle name="Normal 5 10 2 14 2 2" xfId="31508" xr:uid="{00000000-0005-0000-0000-0000147B0000}"/>
    <cellStyle name="Normal 5 10 2 14 2 3" xfId="31509" xr:uid="{00000000-0005-0000-0000-0000157B0000}"/>
    <cellStyle name="Normal 5 10 2 14 2 4" xfId="31510" xr:uid="{00000000-0005-0000-0000-0000167B0000}"/>
    <cellStyle name="Normal 5 10 2 14 2 5" xfId="31511" xr:uid="{00000000-0005-0000-0000-0000177B0000}"/>
    <cellStyle name="Normal 5 10 2 14 2 6" xfId="31512" xr:uid="{00000000-0005-0000-0000-0000187B0000}"/>
    <cellStyle name="Normal 5 10 2 14 2 7" xfId="31513" xr:uid="{00000000-0005-0000-0000-0000197B0000}"/>
    <cellStyle name="Normal 5 10 2 14 2 8" xfId="31514" xr:uid="{00000000-0005-0000-0000-00001A7B0000}"/>
    <cellStyle name="Normal 5 10 2 14 2 9" xfId="31515" xr:uid="{00000000-0005-0000-0000-00001B7B0000}"/>
    <cellStyle name="Normal 5 10 2 14 3" xfId="31516" xr:uid="{00000000-0005-0000-0000-00001C7B0000}"/>
    <cellStyle name="Normal 5 10 2 14 3 10" xfId="31517" xr:uid="{00000000-0005-0000-0000-00001D7B0000}"/>
    <cellStyle name="Normal 5 10 2 14 3 2" xfId="31518" xr:uid="{00000000-0005-0000-0000-00001E7B0000}"/>
    <cellStyle name="Normal 5 10 2 14 3 3" xfId="31519" xr:uid="{00000000-0005-0000-0000-00001F7B0000}"/>
    <cellStyle name="Normal 5 10 2 14 3 4" xfId="31520" xr:uid="{00000000-0005-0000-0000-0000207B0000}"/>
    <cellStyle name="Normal 5 10 2 14 3 5" xfId="31521" xr:uid="{00000000-0005-0000-0000-0000217B0000}"/>
    <cellStyle name="Normal 5 10 2 14 3 6" xfId="31522" xr:uid="{00000000-0005-0000-0000-0000227B0000}"/>
    <cellStyle name="Normal 5 10 2 14 3 7" xfId="31523" xr:uid="{00000000-0005-0000-0000-0000237B0000}"/>
    <cellStyle name="Normal 5 10 2 14 3 8" xfId="31524" xr:uid="{00000000-0005-0000-0000-0000247B0000}"/>
    <cellStyle name="Normal 5 10 2 14 3 9" xfId="31525" xr:uid="{00000000-0005-0000-0000-0000257B0000}"/>
    <cellStyle name="Normal 5 10 2 14 4" xfId="31526" xr:uid="{00000000-0005-0000-0000-0000267B0000}"/>
    <cellStyle name="Normal 5 10 2 14 4 10" xfId="31527" xr:uid="{00000000-0005-0000-0000-0000277B0000}"/>
    <cellStyle name="Normal 5 10 2 14 4 2" xfId="31528" xr:uid="{00000000-0005-0000-0000-0000287B0000}"/>
    <cellStyle name="Normal 5 10 2 14 4 3" xfId="31529" xr:uid="{00000000-0005-0000-0000-0000297B0000}"/>
    <cellStyle name="Normal 5 10 2 14 4 4" xfId="31530" xr:uid="{00000000-0005-0000-0000-00002A7B0000}"/>
    <cellStyle name="Normal 5 10 2 14 4 5" xfId="31531" xr:uid="{00000000-0005-0000-0000-00002B7B0000}"/>
    <cellStyle name="Normal 5 10 2 14 4 6" xfId="31532" xr:uid="{00000000-0005-0000-0000-00002C7B0000}"/>
    <cellStyle name="Normal 5 10 2 14 4 7" xfId="31533" xr:uid="{00000000-0005-0000-0000-00002D7B0000}"/>
    <cellStyle name="Normal 5 10 2 14 4 8" xfId="31534" xr:uid="{00000000-0005-0000-0000-00002E7B0000}"/>
    <cellStyle name="Normal 5 10 2 14 4 9" xfId="31535" xr:uid="{00000000-0005-0000-0000-00002F7B0000}"/>
    <cellStyle name="Normal 5 10 2 14 5" xfId="31536" xr:uid="{00000000-0005-0000-0000-0000307B0000}"/>
    <cellStyle name="Normal 5 10 2 14 5 10" xfId="31537" xr:uid="{00000000-0005-0000-0000-0000317B0000}"/>
    <cellStyle name="Normal 5 10 2 14 5 2" xfId="31538" xr:uid="{00000000-0005-0000-0000-0000327B0000}"/>
    <cellStyle name="Normal 5 10 2 14 5 3" xfId="31539" xr:uid="{00000000-0005-0000-0000-0000337B0000}"/>
    <cellStyle name="Normal 5 10 2 14 5 4" xfId="31540" xr:uid="{00000000-0005-0000-0000-0000347B0000}"/>
    <cellStyle name="Normal 5 10 2 14 5 5" xfId="31541" xr:uid="{00000000-0005-0000-0000-0000357B0000}"/>
    <cellStyle name="Normal 5 10 2 14 5 6" xfId="31542" xr:uid="{00000000-0005-0000-0000-0000367B0000}"/>
    <cellStyle name="Normal 5 10 2 14 5 7" xfId="31543" xr:uid="{00000000-0005-0000-0000-0000377B0000}"/>
    <cellStyle name="Normal 5 10 2 14 5 8" xfId="31544" xr:uid="{00000000-0005-0000-0000-0000387B0000}"/>
    <cellStyle name="Normal 5 10 2 14 5 9" xfId="31545" xr:uid="{00000000-0005-0000-0000-0000397B0000}"/>
    <cellStyle name="Normal 5 10 2 14 6" xfId="31546" xr:uid="{00000000-0005-0000-0000-00003A7B0000}"/>
    <cellStyle name="Normal 5 10 2 14 7" xfId="31547" xr:uid="{00000000-0005-0000-0000-00003B7B0000}"/>
    <cellStyle name="Normal 5 10 2 14 8" xfId="31548" xr:uid="{00000000-0005-0000-0000-00003C7B0000}"/>
    <cellStyle name="Normal 5 10 2 14 9" xfId="31549" xr:uid="{00000000-0005-0000-0000-00003D7B0000}"/>
    <cellStyle name="Normal 5 10 2 15" xfId="31550" xr:uid="{00000000-0005-0000-0000-00003E7B0000}"/>
    <cellStyle name="Normal 5 10 2 15 10" xfId="31551" xr:uid="{00000000-0005-0000-0000-00003F7B0000}"/>
    <cellStyle name="Normal 5 10 2 15 11" xfId="31552" xr:uid="{00000000-0005-0000-0000-0000407B0000}"/>
    <cellStyle name="Normal 5 10 2 15 12" xfId="31553" xr:uid="{00000000-0005-0000-0000-0000417B0000}"/>
    <cellStyle name="Normal 5 10 2 15 13" xfId="31554" xr:uid="{00000000-0005-0000-0000-0000427B0000}"/>
    <cellStyle name="Normal 5 10 2 15 14" xfId="31555" xr:uid="{00000000-0005-0000-0000-0000437B0000}"/>
    <cellStyle name="Normal 5 10 2 15 2" xfId="31556" xr:uid="{00000000-0005-0000-0000-0000447B0000}"/>
    <cellStyle name="Normal 5 10 2 15 2 10" xfId="31557" xr:uid="{00000000-0005-0000-0000-0000457B0000}"/>
    <cellStyle name="Normal 5 10 2 15 2 2" xfId="31558" xr:uid="{00000000-0005-0000-0000-0000467B0000}"/>
    <cellStyle name="Normal 5 10 2 15 2 3" xfId="31559" xr:uid="{00000000-0005-0000-0000-0000477B0000}"/>
    <cellStyle name="Normal 5 10 2 15 2 4" xfId="31560" xr:uid="{00000000-0005-0000-0000-0000487B0000}"/>
    <cellStyle name="Normal 5 10 2 15 2 5" xfId="31561" xr:uid="{00000000-0005-0000-0000-0000497B0000}"/>
    <cellStyle name="Normal 5 10 2 15 2 6" xfId="31562" xr:uid="{00000000-0005-0000-0000-00004A7B0000}"/>
    <cellStyle name="Normal 5 10 2 15 2 7" xfId="31563" xr:uid="{00000000-0005-0000-0000-00004B7B0000}"/>
    <cellStyle name="Normal 5 10 2 15 2 8" xfId="31564" xr:uid="{00000000-0005-0000-0000-00004C7B0000}"/>
    <cellStyle name="Normal 5 10 2 15 2 9" xfId="31565" xr:uid="{00000000-0005-0000-0000-00004D7B0000}"/>
    <cellStyle name="Normal 5 10 2 15 3" xfId="31566" xr:uid="{00000000-0005-0000-0000-00004E7B0000}"/>
    <cellStyle name="Normal 5 10 2 15 3 10" xfId="31567" xr:uid="{00000000-0005-0000-0000-00004F7B0000}"/>
    <cellStyle name="Normal 5 10 2 15 3 2" xfId="31568" xr:uid="{00000000-0005-0000-0000-0000507B0000}"/>
    <cellStyle name="Normal 5 10 2 15 3 3" xfId="31569" xr:uid="{00000000-0005-0000-0000-0000517B0000}"/>
    <cellStyle name="Normal 5 10 2 15 3 4" xfId="31570" xr:uid="{00000000-0005-0000-0000-0000527B0000}"/>
    <cellStyle name="Normal 5 10 2 15 3 5" xfId="31571" xr:uid="{00000000-0005-0000-0000-0000537B0000}"/>
    <cellStyle name="Normal 5 10 2 15 3 6" xfId="31572" xr:uid="{00000000-0005-0000-0000-0000547B0000}"/>
    <cellStyle name="Normal 5 10 2 15 3 7" xfId="31573" xr:uid="{00000000-0005-0000-0000-0000557B0000}"/>
    <cellStyle name="Normal 5 10 2 15 3 8" xfId="31574" xr:uid="{00000000-0005-0000-0000-0000567B0000}"/>
    <cellStyle name="Normal 5 10 2 15 3 9" xfId="31575" xr:uid="{00000000-0005-0000-0000-0000577B0000}"/>
    <cellStyle name="Normal 5 10 2 15 4" xfId="31576" xr:uid="{00000000-0005-0000-0000-0000587B0000}"/>
    <cellStyle name="Normal 5 10 2 15 4 10" xfId="31577" xr:uid="{00000000-0005-0000-0000-0000597B0000}"/>
    <cellStyle name="Normal 5 10 2 15 4 2" xfId="31578" xr:uid="{00000000-0005-0000-0000-00005A7B0000}"/>
    <cellStyle name="Normal 5 10 2 15 4 3" xfId="31579" xr:uid="{00000000-0005-0000-0000-00005B7B0000}"/>
    <cellStyle name="Normal 5 10 2 15 4 4" xfId="31580" xr:uid="{00000000-0005-0000-0000-00005C7B0000}"/>
    <cellStyle name="Normal 5 10 2 15 4 5" xfId="31581" xr:uid="{00000000-0005-0000-0000-00005D7B0000}"/>
    <cellStyle name="Normal 5 10 2 15 4 6" xfId="31582" xr:uid="{00000000-0005-0000-0000-00005E7B0000}"/>
    <cellStyle name="Normal 5 10 2 15 4 7" xfId="31583" xr:uid="{00000000-0005-0000-0000-00005F7B0000}"/>
    <cellStyle name="Normal 5 10 2 15 4 8" xfId="31584" xr:uid="{00000000-0005-0000-0000-0000607B0000}"/>
    <cellStyle name="Normal 5 10 2 15 4 9" xfId="31585" xr:uid="{00000000-0005-0000-0000-0000617B0000}"/>
    <cellStyle name="Normal 5 10 2 15 5" xfId="31586" xr:uid="{00000000-0005-0000-0000-0000627B0000}"/>
    <cellStyle name="Normal 5 10 2 15 5 10" xfId="31587" xr:uid="{00000000-0005-0000-0000-0000637B0000}"/>
    <cellStyle name="Normal 5 10 2 15 5 2" xfId="31588" xr:uid="{00000000-0005-0000-0000-0000647B0000}"/>
    <cellStyle name="Normal 5 10 2 15 5 3" xfId="31589" xr:uid="{00000000-0005-0000-0000-0000657B0000}"/>
    <cellStyle name="Normal 5 10 2 15 5 4" xfId="31590" xr:uid="{00000000-0005-0000-0000-0000667B0000}"/>
    <cellStyle name="Normal 5 10 2 15 5 5" xfId="31591" xr:uid="{00000000-0005-0000-0000-0000677B0000}"/>
    <cellStyle name="Normal 5 10 2 15 5 6" xfId="31592" xr:uid="{00000000-0005-0000-0000-0000687B0000}"/>
    <cellStyle name="Normal 5 10 2 15 5 7" xfId="31593" xr:uid="{00000000-0005-0000-0000-0000697B0000}"/>
    <cellStyle name="Normal 5 10 2 15 5 8" xfId="31594" xr:uid="{00000000-0005-0000-0000-00006A7B0000}"/>
    <cellStyle name="Normal 5 10 2 15 5 9" xfId="31595" xr:uid="{00000000-0005-0000-0000-00006B7B0000}"/>
    <cellStyle name="Normal 5 10 2 15 6" xfId="31596" xr:uid="{00000000-0005-0000-0000-00006C7B0000}"/>
    <cellStyle name="Normal 5 10 2 15 7" xfId="31597" xr:uid="{00000000-0005-0000-0000-00006D7B0000}"/>
    <cellStyle name="Normal 5 10 2 15 8" xfId="31598" xr:uid="{00000000-0005-0000-0000-00006E7B0000}"/>
    <cellStyle name="Normal 5 10 2 15 9" xfId="31599" xr:uid="{00000000-0005-0000-0000-00006F7B0000}"/>
    <cellStyle name="Normal 5 10 2 16" xfId="31600" xr:uid="{00000000-0005-0000-0000-0000707B0000}"/>
    <cellStyle name="Normal 5 10 2 16 10" xfId="31601" xr:uid="{00000000-0005-0000-0000-0000717B0000}"/>
    <cellStyle name="Normal 5 10 2 16 11" xfId="31602" xr:uid="{00000000-0005-0000-0000-0000727B0000}"/>
    <cellStyle name="Normal 5 10 2 16 12" xfId="31603" xr:uid="{00000000-0005-0000-0000-0000737B0000}"/>
    <cellStyle name="Normal 5 10 2 16 13" xfId="31604" xr:uid="{00000000-0005-0000-0000-0000747B0000}"/>
    <cellStyle name="Normal 5 10 2 16 14" xfId="31605" xr:uid="{00000000-0005-0000-0000-0000757B0000}"/>
    <cellStyle name="Normal 5 10 2 16 2" xfId="31606" xr:uid="{00000000-0005-0000-0000-0000767B0000}"/>
    <cellStyle name="Normal 5 10 2 16 2 10" xfId="31607" xr:uid="{00000000-0005-0000-0000-0000777B0000}"/>
    <cellStyle name="Normal 5 10 2 16 2 2" xfId="31608" xr:uid="{00000000-0005-0000-0000-0000787B0000}"/>
    <cellStyle name="Normal 5 10 2 16 2 3" xfId="31609" xr:uid="{00000000-0005-0000-0000-0000797B0000}"/>
    <cellStyle name="Normal 5 10 2 16 2 4" xfId="31610" xr:uid="{00000000-0005-0000-0000-00007A7B0000}"/>
    <cellStyle name="Normal 5 10 2 16 2 5" xfId="31611" xr:uid="{00000000-0005-0000-0000-00007B7B0000}"/>
    <cellStyle name="Normal 5 10 2 16 2 6" xfId="31612" xr:uid="{00000000-0005-0000-0000-00007C7B0000}"/>
    <cellStyle name="Normal 5 10 2 16 2 7" xfId="31613" xr:uid="{00000000-0005-0000-0000-00007D7B0000}"/>
    <cellStyle name="Normal 5 10 2 16 2 8" xfId="31614" xr:uid="{00000000-0005-0000-0000-00007E7B0000}"/>
    <cellStyle name="Normal 5 10 2 16 2 9" xfId="31615" xr:uid="{00000000-0005-0000-0000-00007F7B0000}"/>
    <cellStyle name="Normal 5 10 2 16 3" xfId="31616" xr:uid="{00000000-0005-0000-0000-0000807B0000}"/>
    <cellStyle name="Normal 5 10 2 16 3 10" xfId="31617" xr:uid="{00000000-0005-0000-0000-0000817B0000}"/>
    <cellStyle name="Normal 5 10 2 16 3 2" xfId="31618" xr:uid="{00000000-0005-0000-0000-0000827B0000}"/>
    <cellStyle name="Normal 5 10 2 16 3 3" xfId="31619" xr:uid="{00000000-0005-0000-0000-0000837B0000}"/>
    <cellStyle name="Normal 5 10 2 16 3 4" xfId="31620" xr:uid="{00000000-0005-0000-0000-0000847B0000}"/>
    <cellStyle name="Normal 5 10 2 16 3 5" xfId="31621" xr:uid="{00000000-0005-0000-0000-0000857B0000}"/>
    <cellStyle name="Normal 5 10 2 16 3 6" xfId="31622" xr:uid="{00000000-0005-0000-0000-0000867B0000}"/>
    <cellStyle name="Normal 5 10 2 16 3 7" xfId="31623" xr:uid="{00000000-0005-0000-0000-0000877B0000}"/>
    <cellStyle name="Normal 5 10 2 16 3 8" xfId="31624" xr:uid="{00000000-0005-0000-0000-0000887B0000}"/>
    <cellStyle name="Normal 5 10 2 16 3 9" xfId="31625" xr:uid="{00000000-0005-0000-0000-0000897B0000}"/>
    <cellStyle name="Normal 5 10 2 16 4" xfId="31626" xr:uid="{00000000-0005-0000-0000-00008A7B0000}"/>
    <cellStyle name="Normal 5 10 2 16 4 10" xfId="31627" xr:uid="{00000000-0005-0000-0000-00008B7B0000}"/>
    <cellStyle name="Normal 5 10 2 16 4 2" xfId="31628" xr:uid="{00000000-0005-0000-0000-00008C7B0000}"/>
    <cellStyle name="Normal 5 10 2 16 4 3" xfId="31629" xr:uid="{00000000-0005-0000-0000-00008D7B0000}"/>
    <cellStyle name="Normal 5 10 2 16 4 4" xfId="31630" xr:uid="{00000000-0005-0000-0000-00008E7B0000}"/>
    <cellStyle name="Normal 5 10 2 16 4 5" xfId="31631" xr:uid="{00000000-0005-0000-0000-00008F7B0000}"/>
    <cellStyle name="Normal 5 10 2 16 4 6" xfId="31632" xr:uid="{00000000-0005-0000-0000-0000907B0000}"/>
    <cellStyle name="Normal 5 10 2 16 4 7" xfId="31633" xr:uid="{00000000-0005-0000-0000-0000917B0000}"/>
    <cellStyle name="Normal 5 10 2 16 4 8" xfId="31634" xr:uid="{00000000-0005-0000-0000-0000927B0000}"/>
    <cellStyle name="Normal 5 10 2 16 4 9" xfId="31635" xr:uid="{00000000-0005-0000-0000-0000937B0000}"/>
    <cellStyle name="Normal 5 10 2 16 5" xfId="31636" xr:uid="{00000000-0005-0000-0000-0000947B0000}"/>
    <cellStyle name="Normal 5 10 2 16 5 10" xfId="31637" xr:uid="{00000000-0005-0000-0000-0000957B0000}"/>
    <cellStyle name="Normal 5 10 2 16 5 2" xfId="31638" xr:uid="{00000000-0005-0000-0000-0000967B0000}"/>
    <cellStyle name="Normal 5 10 2 16 5 3" xfId="31639" xr:uid="{00000000-0005-0000-0000-0000977B0000}"/>
    <cellStyle name="Normal 5 10 2 16 5 4" xfId="31640" xr:uid="{00000000-0005-0000-0000-0000987B0000}"/>
    <cellStyle name="Normal 5 10 2 16 5 5" xfId="31641" xr:uid="{00000000-0005-0000-0000-0000997B0000}"/>
    <cellStyle name="Normal 5 10 2 16 5 6" xfId="31642" xr:uid="{00000000-0005-0000-0000-00009A7B0000}"/>
    <cellStyle name="Normal 5 10 2 16 5 7" xfId="31643" xr:uid="{00000000-0005-0000-0000-00009B7B0000}"/>
    <cellStyle name="Normal 5 10 2 16 5 8" xfId="31644" xr:uid="{00000000-0005-0000-0000-00009C7B0000}"/>
    <cellStyle name="Normal 5 10 2 16 5 9" xfId="31645" xr:uid="{00000000-0005-0000-0000-00009D7B0000}"/>
    <cellStyle name="Normal 5 10 2 16 6" xfId="31646" xr:uid="{00000000-0005-0000-0000-00009E7B0000}"/>
    <cellStyle name="Normal 5 10 2 16 7" xfId="31647" xr:uid="{00000000-0005-0000-0000-00009F7B0000}"/>
    <cellStyle name="Normal 5 10 2 16 8" xfId="31648" xr:uid="{00000000-0005-0000-0000-0000A07B0000}"/>
    <cellStyle name="Normal 5 10 2 16 9" xfId="31649" xr:uid="{00000000-0005-0000-0000-0000A17B0000}"/>
    <cellStyle name="Normal 5 10 2 17" xfId="31650" xr:uid="{00000000-0005-0000-0000-0000A27B0000}"/>
    <cellStyle name="Normal 5 10 2 17 10" xfId="31651" xr:uid="{00000000-0005-0000-0000-0000A37B0000}"/>
    <cellStyle name="Normal 5 10 2 17 11" xfId="31652" xr:uid="{00000000-0005-0000-0000-0000A47B0000}"/>
    <cellStyle name="Normal 5 10 2 17 12" xfId="31653" xr:uid="{00000000-0005-0000-0000-0000A57B0000}"/>
    <cellStyle name="Normal 5 10 2 17 13" xfId="31654" xr:uid="{00000000-0005-0000-0000-0000A67B0000}"/>
    <cellStyle name="Normal 5 10 2 17 14" xfId="31655" xr:uid="{00000000-0005-0000-0000-0000A77B0000}"/>
    <cellStyle name="Normal 5 10 2 17 2" xfId="31656" xr:uid="{00000000-0005-0000-0000-0000A87B0000}"/>
    <cellStyle name="Normal 5 10 2 17 2 10" xfId="31657" xr:uid="{00000000-0005-0000-0000-0000A97B0000}"/>
    <cellStyle name="Normal 5 10 2 17 2 2" xfId="31658" xr:uid="{00000000-0005-0000-0000-0000AA7B0000}"/>
    <cellStyle name="Normal 5 10 2 17 2 3" xfId="31659" xr:uid="{00000000-0005-0000-0000-0000AB7B0000}"/>
    <cellStyle name="Normal 5 10 2 17 2 4" xfId="31660" xr:uid="{00000000-0005-0000-0000-0000AC7B0000}"/>
    <cellStyle name="Normal 5 10 2 17 2 5" xfId="31661" xr:uid="{00000000-0005-0000-0000-0000AD7B0000}"/>
    <cellStyle name="Normal 5 10 2 17 2 6" xfId="31662" xr:uid="{00000000-0005-0000-0000-0000AE7B0000}"/>
    <cellStyle name="Normal 5 10 2 17 2 7" xfId="31663" xr:uid="{00000000-0005-0000-0000-0000AF7B0000}"/>
    <cellStyle name="Normal 5 10 2 17 2 8" xfId="31664" xr:uid="{00000000-0005-0000-0000-0000B07B0000}"/>
    <cellStyle name="Normal 5 10 2 17 2 9" xfId="31665" xr:uid="{00000000-0005-0000-0000-0000B17B0000}"/>
    <cellStyle name="Normal 5 10 2 17 3" xfId="31666" xr:uid="{00000000-0005-0000-0000-0000B27B0000}"/>
    <cellStyle name="Normal 5 10 2 17 3 10" xfId="31667" xr:uid="{00000000-0005-0000-0000-0000B37B0000}"/>
    <cellStyle name="Normal 5 10 2 17 3 2" xfId="31668" xr:uid="{00000000-0005-0000-0000-0000B47B0000}"/>
    <cellStyle name="Normal 5 10 2 17 3 3" xfId="31669" xr:uid="{00000000-0005-0000-0000-0000B57B0000}"/>
    <cellStyle name="Normal 5 10 2 17 3 4" xfId="31670" xr:uid="{00000000-0005-0000-0000-0000B67B0000}"/>
    <cellStyle name="Normal 5 10 2 17 3 5" xfId="31671" xr:uid="{00000000-0005-0000-0000-0000B77B0000}"/>
    <cellStyle name="Normal 5 10 2 17 3 6" xfId="31672" xr:uid="{00000000-0005-0000-0000-0000B87B0000}"/>
    <cellStyle name="Normal 5 10 2 17 3 7" xfId="31673" xr:uid="{00000000-0005-0000-0000-0000B97B0000}"/>
    <cellStyle name="Normal 5 10 2 17 3 8" xfId="31674" xr:uid="{00000000-0005-0000-0000-0000BA7B0000}"/>
    <cellStyle name="Normal 5 10 2 17 3 9" xfId="31675" xr:uid="{00000000-0005-0000-0000-0000BB7B0000}"/>
    <cellStyle name="Normal 5 10 2 17 4" xfId="31676" xr:uid="{00000000-0005-0000-0000-0000BC7B0000}"/>
    <cellStyle name="Normal 5 10 2 17 4 10" xfId="31677" xr:uid="{00000000-0005-0000-0000-0000BD7B0000}"/>
    <cellStyle name="Normal 5 10 2 17 4 2" xfId="31678" xr:uid="{00000000-0005-0000-0000-0000BE7B0000}"/>
    <cellStyle name="Normal 5 10 2 17 4 3" xfId="31679" xr:uid="{00000000-0005-0000-0000-0000BF7B0000}"/>
    <cellStyle name="Normal 5 10 2 17 4 4" xfId="31680" xr:uid="{00000000-0005-0000-0000-0000C07B0000}"/>
    <cellStyle name="Normal 5 10 2 17 4 5" xfId="31681" xr:uid="{00000000-0005-0000-0000-0000C17B0000}"/>
    <cellStyle name="Normal 5 10 2 17 4 6" xfId="31682" xr:uid="{00000000-0005-0000-0000-0000C27B0000}"/>
    <cellStyle name="Normal 5 10 2 17 4 7" xfId="31683" xr:uid="{00000000-0005-0000-0000-0000C37B0000}"/>
    <cellStyle name="Normal 5 10 2 17 4 8" xfId="31684" xr:uid="{00000000-0005-0000-0000-0000C47B0000}"/>
    <cellStyle name="Normal 5 10 2 17 4 9" xfId="31685" xr:uid="{00000000-0005-0000-0000-0000C57B0000}"/>
    <cellStyle name="Normal 5 10 2 17 5" xfId="31686" xr:uid="{00000000-0005-0000-0000-0000C67B0000}"/>
    <cellStyle name="Normal 5 10 2 17 5 10" xfId="31687" xr:uid="{00000000-0005-0000-0000-0000C77B0000}"/>
    <cellStyle name="Normal 5 10 2 17 5 2" xfId="31688" xr:uid="{00000000-0005-0000-0000-0000C87B0000}"/>
    <cellStyle name="Normal 5 10 2 17 5 3" xfId="31689" xr:uid="{00000000-0005-0000-0000-0000C97B0000}"/>
    <cellStyle name="Normal 5 10 2 17 5 4" xfId="31690" xr:uid="{00000000-0005-0000-0000-0000CA7B0000}"/>
    <cellStyle name="Normal 5 10 2 17 5 5" xfId="31691" xr:uid="{00000000-0005-0000-0000-0000CB7B0000}"/>
    <cellStyle name="Normal 5 10 2 17 5 6" xfId="31692" xr:uid="{00000000-0005-0000-0000-0000CC7B0000}"/>
    <cellStyle name="Normal 5 10 2 17 5 7" xfId="31693" xr:uid="{00000000-0005-0000-0000-0000CD7B0000}"/>
    <cellStyle name="Normal 5 10 2 17 5 8" xfId="31694" xr:uid="{00000000-0005-0000-0000-0000CE7B0000}"/>
    <cellStyle name="Normal 5 10 2 17 5 9" xfId="31695" xr:uid="{00000000-0005-0000-0000-0000CF7B0000}"/>
    <cellStyle name="Normal 5 10 2 17 6" xfId="31696" xr:uid="{00000000-0005-0000-0000-0000D07B0000}"/>
    <cellStyle name="Normal 5 10 2 17 7" xfId="31697" xr:uid="{00000000-0005-0000-0000-0000D17B0000}"/>
    <cellStyle name="Normal 5 10 2 17 8" xfId="31698" xr:uid="{00000000-0005-0000-0000-0000D27B0000}"/>
    <cellStyle name="Normal 5 10 2 17 9" xfId="31699" xr:uid="{00000000-0005-0000-0000-0000D37B0000}"/>
    <cellStyle name="Normal 5 10 2 18" xfId="31700" xr:uid="{00000000-0005-0000-0000-0000D47B0000}"/>
    <cellStyle name="Normal 5 10 2 18 10" xfId="31701" xr:uid="{00000000-0005-0000-0000-0000D57B0000}"/>
    <cellStyle name="Normal 5 10 2 18 11" xfId="31702" xr:uid="{00000000-0005-0000-0000-0000D67B0000}"/>
    <cellStyle name="Normal 5 10 2 18 12" xfId="31703" xr:uid="{00000000-0005-0000-0000-0000D77B0000}"/>
    <cellStyle name="Normal 5 10 2 18 13" xfId="31704" xr:uid="{00000000-0005-0000-0000-0000D87B0000}"/>
    <cellStyle name="Normal 5 10 2 18 14" xfId="31705" xr:uid="{00000000-0005-0000-0000-0000D97B0000}"/>
    <cellStyle name="Normal 5 10 2 18 2" xfId="31706" xr:uid="{00000000-0005-0000-0000-0000DA7B0000}"/>
    <cellStyle name="Normal 5 10 2 18 2 10" xfId="31707" xr:uid="{00000000-0005-0000-0000-0000DB7B0000}"/>
    <cellStyle name="Normal 5 10 2 18 2 2" xfId="31708" xr:uid="{00000000-0005-0000-0000-0000DC7B0000}"/>
    <cellStyle name="Normal 5 10 2 18 2 3" xfId="31709" xr:uid="{00000000-0005-0000-0000-0000DD7B0000}"/>
    <cellStyle name="Normal 5 10 2 18 2 4" xfId="31710" xr:uid="{00000000-0005-0000-0000-0000DE7B0000}"/>
    <cellStyle name="Normal 5 10 2 18 2 5" xfId="31711" xr:uid="{00000000-0005-0000-0000-0000DF7B0000}"/>
    <cellStyle name="Normal 5 10 2 18 2 6" xfId="31712" xr:uid="{00000000-0005-0000-0000-0000E07B0000}"/>
    <cellStyle name="Normal 5 10 2 18 2 7" xfId="31713" xr:uid="{00000000-0005-0000-0000-0000E17B0000}"/>
    <cellStyle name="Normal 5 10 2 18 2 8" xfId="31714" xr:uid="{00000000-0005-0000-0000-0000E27B0000}"/>
    <cellStyle name="Normal 5 10 2 18 2 9" xfId="31715" xr:uid="{00000000-0005-0000-0000-0000E37B0000}"/>
    <cellStyle name="Normal 5 10 2 18 3" xfId="31716" xr:uid="{00000000-0005-0000-0000-0000E47B0000}"/>
    <cellStyle name="Normal 5 10 2 18 3 10" xfId="31717" xr:uid="{00000000-0005-0000-0000-0000E57B0000}"/>
    <cellStyle name="Normal 5 10 2 18 3 2" xfId="31718" xr:uid="{00000000-0005-0000-0000-0000E67B0000}"/>
    <cellStyle name="Normal 5 10 2 18 3 3" xfId="31719" xr:uid="{00000000-0005-0000-0000-0000E77B0000}"/>
    <cellStyle name="Normal 5 10 2 18 3 4" xfId="31720" xr:uid="{00000000-0005-0000-0000-0000E87B0000}"/>
    <cellStyle name="Normal 5 10 2 18 3 5" xfId="31721" xr:uid="{00000000-0005-0000-0000-0000E97B0000}"/>
    <cellStyle name="Normal 5 10 2 18 3 6" xfId="31722" xr:uid="{00000000-0005-0000-0000-0000EA7B0000}"/>
    <cellStyle name="Normal 5 10 2 18 3 7" xfId="31723" xr:uid="{00000000-0005-0000-0000-0000EB7B0000}"/>
    <cellStyle name="Normal 5 10 2 18 3 8" xfId="31724" xr:uid="{00000000-0005-0000-0000-0000EC7B0000}"/>
    <cellStyle name="Normal 5 10 2 18 3 9" xfId="31725" xr:uid="{00000000-0005-0000-0000-0000ED7B0000}"/>
    <cellStyle name="Normal 5 10 2 18 4" xfId="31726" xr:uid="{00000000-0005-0000-0000-0000EE7B0000}"/>
    <cellStyle name="Normal 5 10 2 18 4 10" xfId="31727" xr:uid="{00000000-0005-0000-0000-0000EF7B0000}"/>
    <cellStyle name="Normal 5 10 2 18 4 2" xfId="31728" xr:uid="{00000000-0005-0000-0000-0000F07B0000}"/>
    <cellStyle name="Normal 5 10 2 18 4 3" xfId="31729" xr:uid="{00000000-0005-0000-0000-0000F17B0000}"/>
    <cellStyle name="Normal 5 10 2 18 4 4" xfId="31730" xr:uid="{00000000-0005-0000-0000-0000F27B0000}"/>
    <cellStyle name="Normal 5 10 2 18 4 5" xfId="31731" xr:uid="{00000000-0005-0000-0000-0000F37B0000}"/>
    <cellStyle name="Normal 5 10 2 18 4 6" xfId="31732" xr:uid="{00000000-0005-0000-0000-0000F47B0000}"/>
    <cellStyle name="Normal 5 10 2 18 4 7" xfId="31733" xr:uid="{00000000-0005-0000-0000-0000F57B0000}"/>
    <cellStyle name="Normal 5 10 2 18 4 8" xfId="31734" xr:uid="{00000000-0005-0000-0000-0000F67B0000}"/>
    <cellStyle name="Normal 5 10 2 18 4 9" xfId="31735" xr:uid="{00000000-0005-0000-0000-0000F77B0000}"/>
    <cellStyle name="Normal 5 10 2 18 5" xfId="31736" xr:uid="{00000000-0005-0000-0000-0000F87B0000}"/>
    <cellStyle name="Normal 5 10 2 18 5 10" xfId="31737" xr:uid="{00000000-0005-0000-0000-0000F97B0000}"/>
    <cellStyle name="Normal 5 10 2 18 5 2" xfId="31738" xr:uid="{00000000-0005-0000-0000-0000FA7B0000}"/>
    <cellStyle name="Normal 5 10 2 18 5 3" xfId="31739" xr:uid="{00000000-0005-0000-0000-0000FB7B0000}"/>
    <cellStyle name="Normal 5 10 2 18 5 4" xfId="31740" xr:uid="{00000000-0005-0000-0000-0000FC7B0000}"/>
    <cellStyle name="Normal 5 10 2 18 5 5" xfId="31741" xr:uid="{00000000-0005-0000-0000-0000FD7B0000}"/>
    <cellStyle name="Normal 5 10 2 18 5 6" xfId="31742" xr:uid="{00000000-0005-0000-0000-0000FE7B0000}"/>
    <cellStyle name="Normal 5 10 2 18 5 7" xfId="31743" xr:uid="{00000000-0005-0000-0000-0000FF7B0000}"/>
    <cellStyle name="Normal 5 10 2 18 5 8" xfId="31744" xr:uid="{00000000-0005-0000-0000-0000007C0000}"/>
    <cellStyle name="Normal 5 10 2 18 5 9" xfId="31745" xr:uid="{00000000-0005-0000-0000-0000017C0000}"/>
    <cellStyle name="Normal 5 10 2 18 6" xfId="31746" xr:uid="{00000000-0005-0000-0000-0000027C0000}"/>
    <cellStyle name="Normal 5 10 2 18 7" xfId="31747" xr:uid="{00000000-0005-0000-0000-0000037C0000}"/>
    <cellStyle name="Normal 5 10 2 18 8" xfId="31748" xr:uid="{00000000-0005-0000-0000-0000047C0000}"/>
    <cellStyle name="Normal 5 10 2 18 9" xfId="31749" xr:uid="{00000000-0005-0000-0000-0000057C0000}"/>
    <cellStyle name="Normal 5 10 2 19" xfId="31750" xr:uid="{00000000-0005-0000-0000-0000067C0000}"/>
    <cellStyle name="Normal 5 10 2 19 10" xfId="31751" xr:uid="{00000000-0005-0000-0000-0000077C0000}"/>
    <cellStyle name="Normal 5 10 2 19 11" xfId="31752" xr:uid="{00000000-0005-0000-0000-0000087C0000}"/>
    <cellStyle name="Normal 5 10 2 19 12" xfId="31753" xr:uid="{00000000-0005-0000-0000-0000097C0000}"/>
    <cellStyle name="Normal 5 10 2 19 13" xfId="31754" xr:uid="{00000000-0005-0000-0000-00000A7C0000}"/>
    <cellStyle name="Normal 5 10 2 19 14" xfId="31755" xr:uid="{00000000-0005-0000-0000-00000B7C0000}"/>
    <cellStyle name="Normal 5 10 2 19 2" xfId="31756" xr:uid="{00000000-0005-0000-0000-00000C7C0000}"/>
    <cellStyle name="Normal 5 10 2 19 2 10" xfId="31757" xr:uid="{00000000-0005-0000-0000-00000D7C0000}"/>
    <cellStyle name="Normal 5 10 2 19 2 2" xfId="31758" xr:uid="{00000000-0005-0000-0000-00000E7C0000}"/>
    <cellStyle name="Normal 5 10 2 19 2 3" xfId="31759" xr:uid="{00000000-0005-0000-0000-00000F7C0000}"/>
    <cellStyle name="Normal 5 10 2 19 2 4" xfId="31760" xr:uid="{00000000-0005-0000-0000-0000107C0000}"/>
    <cellStyle name="Normal 5 10 2 19 2 5" xfId="31761" xr:uid="{00000000-0005-0000-0000-0000117C0000}"/>
    <cellStyle name="Normal 5 10 2 19 2 6" xfId="31762" xr:uid="{00000000-0005-0000-0000-0000127C0000}"/>
    <cellStyle name="Normal 5 10 2 19 2 7" xfId="31763" xr:uid="{00000000-0005-0000-0000-0000137C0000}"/>
    <cellStyle name="Normal 5 10 2 19 2 8" xfId="31764" xr:uid="{00000000-0005-0000-0000-0000147C0000}"/>
    <cellStyle name="Normal 5 10 2 19 2 9" xfId="31765" xr:uid="{00000000-0005-0000-0000-0000157C0000}"/>
    <cellStyle name="Normal 5 10 2 19 3" xfId="31766" xr:uid="{00000000-0005-0000-0000-0000167C0000}"/>
    <cellStyle name="Normal 5 10 2 19 3 10" xfId="31767" xr:uid="{00000000-0005-0000-0000-0000177C0000}"/>
    <cellStyle name="Normal 5 10 2 19 3 2" xfId="31768" xr:uid="{00000000-0005-0000-0000-0000187C0000}"/>
    <cellStyle name="Normal 5 10 2 19 3 3" xfId="31769" xr:uid="{00000000-0005-0000-0000-0000197C0000}"/>
    <cellStyle name="Normal 5 10 2 19 3 4" xfId="31770" xr:uid="{00000000-0005-0000-0000-00001A7C0000}"/>
    <cellStyle name="Normal 5 10 2 19 3 5" xfId="31771" xr:uid="{00000000-0005-0000-0000-00001B7C0000}"/>
    <cellStyle name="Normal 5 10 2 19 3 6" xfId="31772" xr:uid="{00000000-0005-0000-0000-00001C7C0000}"/>
    <cellStyle name="Normal 5 10 2 19 3 7" xfId="31773" xr:uid="{00000000-0005-0000-0000-00001D7C0000}"/>
    <cellStyle name="Normal 5 10 2 19 3 8" xfId="31774" xr:uid="{00000000-0005-0000-0000-00001E7C0000}"/>
    <cellStyle name="Normal 5 10 2 19 3 9" xfId="31775" xr:uid="{00000000-0005-0000-0000-00001F7C0000}"/>
    <cellStyle name="Normal 5 10 2 19 4" xfId="31776" xr:uid="{00000000-0005-0000-0000-0000207C0000}"/>
    <cellStyle name="Normal 5 10 2 19 4 10" xfId="31777" xr:uid="{00000000-0005-0000-0000-0000217C0000}"/>
    <cellStyle name="Normal 5 10 2 19 4 2" xfId="31778" xr:uid="{00000000-0005-0000-0000-0000227C0000}"/>
    <cellStyle name="Normal 5 10 2 19 4 3" xfId="31779" xr:uid="{00000000-0005-0000-0000-0000237C0000}"/>
    <cellStyle name="Normal 5 10 2 19 4 4" xfId="31780" xr:uid="{00000000-0005-0000-0000-0000247C0000}"/>
    <cellStyle name="Normal 5 10 2 19 4 5" xfId="31781" xr:uid="{00000000-0005-0000-0000-0000257C0000}"/>
    <cellStyle name="Normal 5 10 2 19 4 6" xfId="31782" xr:uid="{00000000-0005-0000-0000-0000267C0000}"/>
    <cellStyle name="Normal 5 10 2 19 4 7" xfId="31783" xr:uid="{00000000-0005-0000-0000-0000277C0000}"/>
    <cellStyle name="Normal 5 10 2 19 4 8" xfId="31784" xr:uid="{00000000-0005-0000-0000-0000287C0000}"/>
    <cellStyle name="Normal 5 10 2 19 4 9" xfId="31785" xr:uid="{00000000-0005-0000-0000-0000297C0000}"/>
    <cellStyle name="Normal 5 10 2 19 5" xfId="31786" xr:uid="{00000000-0005-0000-0000-00002A7C0000}"/>
    <cellStyle name="Normal 5 10 2 19 5 10" xfId="31787" xr:uid="{00000000-0005-0000-0000-00002B7C0000}"/>
    <cellStyle name="Normal 5 10 2 19 5 2" xfId="31788" xr:uid="{00000000-0005-0000-0000-00002C7C0000}"/>
    <cellStyle name="Normal 5 10 2 19 5 3" xfId="31789" xr:uid="{00000000-0005-0000-0000-00002D7C0000}"/>
    <cellStyle name="Normal 5 10 2 19 5 4" xfId="31790" xr:uid="{00000000-0005-0000-0000-00002E7C0000}"/>
    <cellStyle name="Normal 5 10 2 19 5 5" xfId="31791" xr:uid="{00000000-0005-0000-0000-00002F7C0000}"/>
    <cellStyle name="Normal 5 10 2 19 5 6" xfId="31792" xr:uid="{00000000-0005-0000-0000-0000307C0000}"/>
    <cellStyle name="Normal 5 10 2 19 5 7" xfId="31793" xr:uid="{00000000-0005-0000-0000-0000317C0000}"/>
    <cellStyle name="Normal 5 10 2 19 5 8" xfId="31794" xr:uid="{00000000-0005-0000-0000-0000327C0000}"/>
    <cellStyle name="Normal 5 10 2 19 5 9" xfId="31795" xr:uid="{00000000-0005-0000-0000-0000337C0000}"/>
    <cellStyle name="Normal 5 10 2 19 6" xfId="31796" xr:uid="{00000000-0005-0000-0000-0000347C0000}"/>
    <cellStyle name="Normal 5 10 2 19 7" xfId="31797" xr:uid="{00000000-0005-0000-0000-0000357C0000}"/>
    <cellStyle name="Normal 5 10 2 19 8" xfId="31798" xr:uid="{00000000-0005-0000-0000-0000367C0000}"/>
    <cellStyle name="Normal 5 10 2 19 9" xfId="31799" xr:uid="{00000000-0005-0000-0000-0000377C0000}"/>
    <cellStyle name="Normal 5 10 2 2" xfId="31800" xr:uid="{00000000-0005-0000-0000-0000387C0000}"/>
    <cellStyle name="Normal 5 10 2 2 10" xfId="31801" xr:uid="{00000000-0005-0000-0000-0000397C0000}"/>
    <cellStyle name="Normal 5 10 2 2 11" xfId="31802" xr:uid="{00000000-0005-0000-0000-00003A7C0000}"/>
    <cellStyle name="Normal 5 10 2 2 12" xfId="31803" xr:uid="{00000000-0005-0000-0000-00003B7C0000}"/>
    <cellStyle name="Normal 5 10 2 2 13" xfId="31804" xr:uid="{00000000-0005-0000-0000-00003C7C0000}"/>
    <cellStyle name="Normal 5 10 2 2 14" xfId="31805" xr:uid="{00000000-0005-0000-0000-00003D7C0000}"/>
    <cellStyle name="Normal 5 10 2 2 15" xfId="31806" xr:uid="{00000000-0005-0000-0000-00003E7C0000}"/>
    <cellStyle name="Normal 5 10 2 2 16" xfId="31807" xr:uid="{00000000-0005-0000-0000-00003F7C0000}"/>
    <cellStyle name="Normal 5 10 2 2 2" xfId="31808" xr:uid="{00000000-0005-0000-0000-0000407C0000}"/>
    <cellStyle name="Normal 5 10 2 2 2 10" xfId="31809" xr:uid="{00000000-0005-0000-0000-0000417C0000}"/>
    <cellStyle name="Normal 5 10 2 2 2 2" xfId="31810" xr:uid="{00000000-0005-0000-0000-0000427C0000}"/>
    <cellStyle name="Normal 5 10 2 2 2 3" xfId="31811" xr:uid="{00000000-0005-0000-0000-0000437C0000}"/>
    <cellStyle name="Normal 5 10 2 2 2 4" xfId="31812" xr:uid="{00000000-0005-0000-0000-0000447C0000}"/>
    <cellStyle name="Normal 5 10 2 2 2 5" xfId="31813" xr:uid="{00000000-0005-0000-0000-0000457C0000}"/>
    <cellStyle name="Normal 5 10 2 2 2 6" xfId="31814" xr:uid="{00000000-0005-0000-0000-0000467C0000}"/>
    <cellStyle name="Normal 5 10 2 2 2 7" xfId="31815" xr:uid="{00000000-0005-0000-0000-0000477C0000}"/>
    <cellStyle name="Normal 5 10 2 2 2 8" xfId="31816" xr:uid="{00000000-0005-0000-0000-0000487C0000}"/>
    <cellStyle name="Normal 5 10 2 2 2 9" xfId="31817" xr:uid="{00000000-0005-0000-0000-0000497C0000}"/>
    <cellStyle name="Normal 5 10 2 2 3" xfId="31818" xr:uid="{00000000-0005-0000-0000-00004A7C0000}"/>
    <cellStyle name="Normal 5 10 2 2 3 10" xfId="31819" xr:uid="{00000000-0005-0000-0000-00004B7C0000}"/>
    <cellStyle name="Normal 5 10 2 2 3 2" xfId="31820" xr:uid="{00000000-0005-0000-0000-00004C7C0000}"/>
    <cellStyle name="Normal 5 10 2 2 3 3" xfId="31821" xr:uid="{00000000-0005-0000-0000-00004D7C0000}"/>
    <cellStyle name="Normal 5 10 2 2 3 4" xfId="31822" xr:uid="{00000000-0005-0000-0000-00004E7C0000}"/>
    <cellStyle name="Normal 5 10 2 2 3 5" xfId="31823" xr:uid="{00000000-0005-0000-0000-00004F7C0000}"/>
    <cellStyle name="Normal 5 10 2 2 3 6" xfId="31824" xr:uid="{00000000-0005-0000-0000-0000507C0000}"/>
    <cellStyle name="Normal 5 10 2 2 3 7" xfId="31825" xr:uid="{00000000-0005-0000-0000-0000517C0000}"/>
    <cellStyle name="Normal 5 10 2 2 3 8" xfId="31826" xr:uid="{00000000-0005-0000-0000-0000527C0000}"/>
    <cellStyle name="Normal 5 10 2 2 3 9" xfId="31827" xr:uid="{00000000-0005-0000-0000-0000537C0000}"/>
    <cellStyle name="Normal 5 10 2 2 4" xfId="31828" xr:uid="{00000000-0005-0000-0000-0000547C0000}"/>
    <cellStyle name="Normal 5 10 2 2 4 10" xfId="31829" xr:uid="{00000000-0005-0000-0000-0000557C0000}"/>
    <cellStyle name="Normal 5 10 2 2 4 2" xfId="31830" xr:uid="{00000000-0005-0000-0000-0000567C0000}"/>
    <cellStyle name="Normal 5 10 2 2 4 3" xfId="31831" xr:uid="{00000000-0005-0000-0000-0000577C0000}"/>
    <cellStyle name="Normal 5 10 2 2 4 4" xfId="31832" xr:uid="{00000000-0005-0000-0000-0000587C0000}"/>
    <cellStyle name="Normal 5 10 2 2 4 5" xfId="31833" xr:uid="{00000000-0005-0000-0000-0000597C0000}"/>
    <cellStyle name="Normal 5 10 2 2 4 6" xfId="31834" xr:uid="{00000000-0005-0000-0000-00005A7C0000}"/>
    <cellStyle name="Normal 5 10 2 2 4 7" xfId="31835" xr:uid="{00000000-0005-0000-0000-00005B7C0000}"/>
    <cellStyle name="Normal 5 10 2 2 4 8" xfId="31836" xr:uid="{00000000-0005-0000-0000-00005C7C0000}"/>
    <cellStyle name="Normal 5 10 2 2 4 9" xfId="31837" xr:uid="{00000000-0005-0000-0000-00005D7C0000}"/>
    <cellStyle name="Normal 5 10 2 2 5" xfId="31838" xr:uid="{00000000-0005-0000-0000-00005E7C0000}"/>
    <cellStyle name="Normal 5 10 2 2 5 10" xfId="31839" xr:uid="{00000000-0005-0000-0000-00005F7C0000}"/>
    <cellStyle name="Normal 5 10 2 2 5 2" xfId="31840" xr:uid="{00000000-0005-0000-0000-0000607C0000}"/>
    <cellStyle name="Normal 5 10 2 2 5 3" xfId="31841" xr:uid="{00000000-0005-0000-0000-0000617C0000}"/>
    <cellStyle name="Normal 5 10 2 2 5 4" xfId="31842" xr:uid="{00000000-0005-0000-0000-0000627C0000}"/>
    <cellStyle name="Normal 5 10 2 2 5 5" xfId="31843" xr:uid="{00000000-0005-0000-0000-0000637C0000}"/>
    <cellStyle name="Normal 5 10 2 2 5 6" xfId="31844" xr:uid="{00000000-0005-0000-0000-0000647C0000}"/>
    <cellStyle name="Normal 5 10 2 2 5 7" xfId="31845" xr:uid="{00000000-0005-0000-0000-0000657C0000}"/>
    <cellStyle name="Normal 5 10 2 2 5 8" xfId="31846" xr:uid="{00000000-0005-0000-0000-0000667C0000}"/>
    <cellStyle name="Normal 5 10 2 2 5 9" xfId="31847" xr:uid="{00000000-0005-0000-0000-0000677C0000}"/>
    <cellStyle name="Normal 5 10 2 2 6" xfId="31848" xr:uid="{00000000-0005-0000-0000-0000687C0000}"/>
    <cellStyle name="Normal 5 10 2 2 7" xfId="31849" xr:uid="{00000000-0005-0000-0000-0000697C0000}"/>
    <cellStyle name="Normal 5 10 2 2 8" xfId="31850" xr:uid="{00000000-0005-0000-0000-00006A7C0000}"/>
    <cellStyle name="Normal 5 10 2 2 9" xfId="31851" xr:uid="{00000000-0005-0000-0000-00006B7C0000}"/>
    <cellStyle name="Normal 5 10 2 20" xfId="31852" xr:uid="{00000000-0005-0000-0000-00006C7C0000}"/>
    <cellStyle name="Normal 5 10 2 20 10" xfId="31853" xr:uid="{00000000-0005-0000-0000-00006D7C0000}"/>
    <cellStyle name="Normal 5 10 2 20 11" xfId="31854" xr:uid="{00000000-0005-0000-0000-00006E7C0000}"/>
    <cellStyle name="Normal 5 10 2 20 12" xfId="31855" xr:uid="{00000000-0005-0000-0000-00006F7C0000}"/>
    <cellStyle name="Normal 5 10 2 20 13" xfId="31856" xr:uid="{00000000-0005-0000-0000-0000707C0000}"/>
    <cellStyle name="Normal 5 10 2 20 14" xfId="31857" xr:uid="{00000000-0005-0000-0000-0000717C0000}"/>
    <cellStyle name="Normal 5 10 2 20 2" xfId="31858" xr:uid="{00000000-0005-0000-0000-0000727C0000}"/>
    <cellStyle name="Normal 5 10 2 20 2 10" xfId="31859" xr:uid="{00000000-0005-0000-0000-0000737C0000}"/>
    <cellStyle name="Normal 5 10 2 20 2 2" xfId="31860" xr:uid="{00000000-0005-0000-0000-0000747C0000}"/>
    <cellStyle name="Normal 5 10 2 20 2 3" xfId="31861" xr:uid="{00000000-0005-0000-0000-0000757C0000}"/>
    <cellStyle name="Normal 5 10 2 20 2 4" xfId="31862" xr:uid="{00000000-0005-0000-0000-0000767C0000}"/>
    <cellStyle name="Normal 5 10 2 20 2 5" xfId="31863" xr:uid="{00000000-0005-0000-0000-0000777C0000}"/>
    <cellStyle name="Normal 5 10 2 20 2 6" xfId="31864" xr:uid="{00000000-0005-0000-0000-0000787C0000}"/>
    <cellStyle name="Normal 5 10 2 20 2 7" xfId="31865" xr:uid="{00000000-0005-0000-0000-0000797C0000}"/>
    <cellStyle name="Normal 5 10 2 20 2 8" xfId="31866" xr:uid="{00000000-0005-0000-0000-00007A7C0000}"/>
    <cellStyle name="Normal 5 10 2 20 2 9" xfId="31867" xr:uid="{00000000-0005-0000-0000-00007B7C0000}"/>
    <cellStyle name="Normal 5 10 2 20 3" xfId="31868" xr:uid="{00000000-0005-0000-0000-00007C7C0000}"/>
    <cellStyle name="Normal 5 10 2 20 3 10" xfId="31869" xr:uid="{00000000-0005-0000-0000-00007D7C0000}"/>
    <cellStyle name="Normal 5 10 2 20 3 2" xfId="31870" xr:uid="{00000000-0005-0000-0000-00007E7C0000}"/>
    <cellStyle name="Normal 5 10 2 20 3 3" xfId="31871" xr:uid="{00000000-0005-0000-0000-00007F7C0000}"/>
    <cellStyle name="Normal 5 10 2 20 3 4" xfId="31872" xr:uid="{00000000-0005-0000-0000-0000807C0000}"/>
    <cellStyle name="Normal 5 10 2 20 3 5" xfId="31873" xr:uid="{00000000-0005-0000-0000-0000817C0000}"/>
    <cellStyle name="Normal 5 10 2 20 3 6" xfId="31874" xr:uid="{00000000-0005-0000-0000-0000827C0000}"/>
    <cellStyle name="Normal 5 10 2 20 3 7" xfId="31875" xr:uid="{00000000-0005-0000-0000-0000837C0000}"/>
    <cellStyle name="Normal 5 10 2 20 3 8" xfId="31876" xr:uid="{00000000-0005-0000-0000-0000847C0000}"/>
    <cellStyle name="Normal 5 10 2 20 3 9" xfId="31877" xr:uid="{00000000-0005-0000-0000-0000857C0000}"/>
    <cellStyle name="Normal 5 10 2 20 4" xfId="31878" xr:uid="{00000000-0005-0000-0000-0000867C0000}"/>
    <cellStyle name="Normal 5 10 2 20 4 10" xfId="31879" xr:uid="{00000000-0005-0000-0000-0000877C0000}"/>
    <cellStyle name="Normal 5 10 2 20 4 2" xfId="31880" xr:uid="{00000000-0005-0000-0000-0000887C0000}"/>
    <cellStyle name="Normal 5 10 2 20 4 3" xfId="31881" xr:uid="{00000000-0005-0000-0000-0000897C0000}"/>
    <cellStyle name="Normal 5 10 2 20 4 4" xfId="31882" xr:uid="{00000000-0005-0000-0000-00008A7C0000}"/>
    <cellStyle name="Normal 5 10 2 20 4 5" xfId="31883" xr:uid="{00000000-0005-0000-0000-00008B7C0000}"/>
    <cellStyle name="Normal 5 10 2 20 4 6" xfId="31884" xr:uid="{00000000-0005-0000-0000-00008C7C0000}"/>
    <cellStyle name="Normal 5 10 2 20 4 7" xfId="31885" xr:uid="{00000000-0005-0000-0000-00008D7C0000}"/>
    <cellStyle name="Normal 5 10 2 20 4 8" xfId="31886" xr:uid="{00000000-0005-0000-0000-00008E7C0000}"/>
    <cellStyle name="Normal 5 10 2 20 4 9" xfId="31887" xr:uid="{00000000-0005-0000-0000-00008F7C0000}"/>
    <cellStyle name="Normal 5 10 2 20 5" xfId="31888" xr:uid="{00000000-0005-0000-0000-0000907C0000}"/>
    <cellStyle name="Normal 5 10 2 20 5 10" xfId="31889" xr:uid="{00000000-0005-0000-0000-0000917C0000}"/>
    <cellStyle name="Normal 5 10 2 20 5 2" xfId="31890" xr:uid="{00000000-0005-0000-0000-0000927C0000}"/>
    <cellStyle name="Normal 5 10 2 20 5 3" xfId="31891" xr:uid="{00000000-0005-0000-0000-0000937C0000}"/>
    <cellStyle name="Normal 5 10 2 20 5 4" xfId="31892" xr:uid="{00000000-0005-0000-0000-0000947C0000}"/>
    <cellStyle name="Normal 5 10 2 20 5 5" xfId="31893" xr:uid="{00000000-0005-0000-0000-0000957C0000}"/>
    <cellStyle name="Normal 5 10 2 20 5 6" xfId="31894" xr:uid="{00000000-0005-0000-0000-0000967C0000}"/>
    <cellStyle name="Normal 5 10 2 20 5 7" xfId="31895" xr:uid="{00000000-0005-0000-0000-0000977C0000}"/>
    <cellStyle name="Normal 5 10 2 20 5 8" xfId="31896" xr:uid="{00000000-0005-0000-0000-0000987C0000}"/>
    <cellStyle name="Normal 5 10 2 20 5 9" xfId="31897" xr:uid="{00000000-0005-0000-0000-0000997C0000}"/>
    <cellStyle name="Normal 5 10 2 20 6" xfId="31898" xr:uid="{00000000-0005-0000-0000-00009A7C0000}"/>
    <cellStyle name="Normal 5 10 2 20 7" xfId="31899" xr:uid="{00000000-0005-0000-0000-00009B7C0000}"/>
    <cellStyle name="Normal 5 10 2 20 8" xfId="31900" xr:uid="{00000000-0005-0000-0000-00009C7C0000}"/>
    <cellStyle name="Normal 5 10 2 20 9" xfId="31901" xr:uid="{00000000-0005-0000-0000-00009D7C0000}"/>
    <cellStyle name="Normal 5 10 2 21" xfId="31902" xr:uid="{00000000-0005-0000-0000-00009E7C0000}"/>
    <cellStyle name="Normal 5 10 2 21 10" xfId="31903" xr:uid="{00000000-0005-0000-0000-00009F7C0000}"/>
    <cellStyle name="Normal 5 10 2 21 11" xfId="31904" xr:uid="{00000000-0005-0000-0000-0000A07C0000}"/>
    <cellStyle name="Normal 5 10 2 21 12" xfId="31905" xr:uid="{00000000-0005-0000-0000-0000A17C0000}"/>
    <cellStyle name="Normal 5 10 2 21 13" xfId="31906" xr:uid="{00000000-0005-0000-0000-0000A27C0000}"/>
    <cellStyle name="Normal 5 10 2 21 14" xfId="31907" xr:uid="{00000000-0005-0000-0000-0000A37C0000}"/>
    <cellStyle name="Normal 5 10 2 21 2" xfId="31908" xr:uid="{00000000-0005-0000-0000-0000A47C0000}"/>
    <cellStyle name="Normal 5 10 2 21 2 10" xfId="31909" xr:uid="{00000000-0005-0000-0000-0000A57C0000}"/>
    <cellStyle name="Normal 5 10 2 21 2 2" xfId="31910" xr:uid="{00000000-0005-0000-0000-0000A67C0000}"/>
    <cellStyle name="Normal 5 10 2 21 2 3" xfId="31911" xr:uid="{00000000-0005-0000-0000-0000A77C0000}"/>
    <cellStyle name="Normal 5 10 2 21 2 4" xfId="31912" xr:uid="{00000000-0005-0000-0000-0000A87C0000}"/>
    <cellStyle name="Normal 5 10 2 21 2 5" xfId="31913" xr:uid="{00000000-0005-0000-0000-0000A97C0000}"/>
    <cellStyle name="Normal 5 10 2 21 2 6" xfId="31914" xr:uid="{00000000-0005-0000-0000-0000AA7C0000}"/>
    <cellStyle name="Normal 5 10 2 21 2 7" xfId="31915" xr:uid="{00000000-0005-0000-0000-0000AB7C0000}"/>
    <cellStyle name="Normal 5 10 2 21 2 8" xfId="31916" xr:uid="{00000000-0005-0000-0000-0000AC7C0000}"/>
    <cellStyle name="Normal 5 10 2 21 2 9" xfId="31917" xr:uid="{00000000-0005-0000-0000-0000AD7C0000}"/>
    <cellStyle name="Normal 5 10 2 21 3" xfId="31918" xr:uid="{00000000-0005-0000-0000-0000AE7C0000}"/>
    <cellStyle name="Normal 5 10 2 21 3 10" xfId="31919" xr:uid="{00000000-0005-0000-0000-0000AF7C0000}"/>
    <cellStyle name="Normal 5 10 2 21 3 2" xfId="31920" xr:uid="{00000000-0005-0000-0000-0000B07C0000}"/>
    <cellStyle name="Normal 5 10 2 21 3 3" xfId="31921" xr:uid="{00000000-0005-0000-0000-0000B17C0000}"/>
    <cellStyle name="Normal 5 10 2 21 3 4" xfId="31922" xr:uid="{00000000-0005-0000-0000-0000B27C0000}"/>
    <cellStyle name="Normal 5 10 2 21 3 5" xfId="31923" xr:uid="{00000000-0005-0000-0000-0000B37C0000}"/>
    <cellStyle name="Normal 5 10 2 21 3 6" xfId="31924" xr:uid="{00000000-0005-0000-0000-0000B47C0000}"/>
    <cellStyle name="Normal 5 10 2 21 3 7" xfId="31925" xr:uid="{00000000-0005-0000-0000-0000B57C0000}"/>
    <cellStyle name="Normal 5 10 2 21 3 8" xfId="31926" xr:uid="{00000000-0005-0000-0000-0000B67C0000}"/>
    <cellStyle name="Normal 5 10 2 21 3 9" xfId="31927" xr:uid="{00000000-0005-0000-0000-0000B77C0000}"/>
    <cellStyle name="Normal 5 10 2 21 4" xfId="31928" xr:uid="{00000000-0005-0000-0000-0000B87C0000}"/>
    <cellStyle name="Normal 5 10 2 21 4 10" xfId="31929" xr:uid="{00000000-0005-0000-0000-0000B97C0000}"/>
    <cellStyle name="Normal 5 10 2 21 4 2" xfId="31930" xr:uid="{00000000-0005-0000-0000-0000BA7C0000}"/>
    <cellStyle name="Normal 5 10 2 21 4 3" xfId="31931" xr:uid="{00000000-0005-0000-0000-0000BB7C0000}"/>
    <cellStyle name="Normal 5 10 2 21 4 4" xfId="31932" xr:uid="{00000000-0005-0000-0000-0000BC7C0000}"/>
    <cellStyle name="Normal 5 10 2 21 4 5" xfId="31933" xr:uid="{00000000-0005-0000-0000-0000BD7C0000}"/>
    <cellStyle name="Normal 5 10 2 21 4 6" xfId="31934" xr:uid="{00000000-0005-0000-0000-0000BE7C0000}"/>
    <cellStyle name="Normal 5 10 2 21 4 7" xfId="31935" xr:uid="{00000000-0005-0000-0000-0000BF7C0000}"/>
    <cellStyle name="Normal 5 10 2 21 4 8" xfId="31936" xr:uid="{00000000-0005-0000-0000-0000C07C0000}"/>
    <cellStyle name="Normal 5 10 2 21 4 9" xfId="31937" xr:uid="{00000000-0005-0000-0000-0000C17C0000}"/>
    <cellStyle name="Normal 5 10 2 21 5" xfId="31938" xr:uid="{00000000-0005-0000-0000-0000C27C0000}"/>
    <cellStyle name="Normal 5 10 2 21 5 10" xfId="31939" xr:uid="{00000000-0005-0000-0000-0000C37C0000}"/>
    <cellStyle name="Normal 5 10 2 21 5 2" xfId="31940" xr:uid="{00000000-0005-0000-0000-0000C47C0000}"/>
    <cellStyle name="Normal 5 10 2 21 5 3" xfId="31941" xr:uid="{00000000-0005-0000-0000-0000C57C0000}"/>
    <cellStyle name="Normal 5 10 2 21 5 4" xfId="31942" xr:uid="{00000000-0005-0000-0000-0000C67C0000}"/>
    <cellStyle name="Normal 5 10 2 21 5 5" xfId="31943" xr:uid="{00000000-0005-0000-0000-0000C77C0000}"/>
    <cellStyle name="Normal 5 10 2 21 5 6" xfId="31944" xr:uid="{00000000-0005-0000-0000-0000C87C0000}"/>
    <cellStyle name="Normal 5 10 2 21 5 7" xfId="31945" xr:uid="{00000000-0005-0000-0000-0000C97C0000}"/>
    <cellStyle name="Normal 5 10 2 21 5 8" xfId="31946" xr:uid="{00000000-0005-0000-0000-0000CA7C0000}"/>
    <cellStyle name="Normal 5 10 2 21 5 9" xfId="31947" xr:uid="{00000000-0005-0000-0000-0000CB7C0000}"/>
    <cellStyle name="Normal 5 10 2 21 6" xfId="31948" xr:uid="{00000000-0005-0000-0000-0000CC7C0000}"/>
    <cellStyle name="Normal 5 10 2 21 7" xfId="31949" xr:uid="{00000000-0005-0000-0000-0000CD7C0000}"/>
    <cellStyle name="Normal 5 10 2 21 8" xfId="31950" xr:uid="{00000000-0005-0000-0000-0000CE7C0000}"/>
    <cellStyle name="Normal 5 10 2 21 9" xfId="31951" xr:uid="{00000000-0005-0000-0000-0000CF7C0000}"/>
    <cellStyle name="Normal 5 10 2 22" xfId="31952" xr:uid="{00000000-0005-0000-0000-0000D07C0000}"/>
    <cellStyle name="Normal 5 10 2 22 10" xfId="31953" xr:uid="{00000000-0005-0000-0000-0000D17C0000}"/>
    <cellStyle name="Normal 5 10 2 22 11" xfId="31954" xr:uid="{00000000-0005-0000-0000-0000D27C0000}"/>
    <cellStyle name="Normal 5 10 2 22 12" xfId="31955" xr:uid="{00000000-0005-0000-0000-0000D37C0000}"/>
    <cellStyle name="Normal 5 10 2 22 13" xfId="31956" xr:uid="{00000000-0005-0000-0000-0000D47C0000}"/>
    <cellStyle name="Normal 5 10 2 22 14" xfId="31957" xr:uid="{00000000-0005-0000-0000-0000D57C0000}"/>
    <cellStyle name="Normal 5 10 2 22 2" xfId="31958" xr:uid="{00000000-0005-0000-0000-0000D67C0000}"/>
    <cellStyle name="Normal 5 10 2 22 2 10" xfId="31959" xr:uid="{00000000-0005-0000-0000-0000D77C0000}"/>
    <cellStyle name="Normal 5 10 2 22 2 2" xfId="31960" xr:uid="{00000000-0005-0000-0000-0000D87C0000}"/>
    <cellStyle name="Normal 5 10 2 22 2 3" xfId="31961" xr:uid="{00000000-0005-0000-0000-0000D97C0000}"/>
    <cellStyle name="Normal 5 10 2 22 2 4" xfId="31962" xr:uid="{00000000-0005-0000-0000-0000DA7C0000}"/>
    <cellStyle name="Normal 5 10 2 22 2 5" xfId="31963" xr:uid="{00000000-0005-0000-0000-0000DB7C0000}"/>
    <cellStyle name="Normal 5 10 2 22 2 6" xfId="31964" xr:uid="{00000000-0005-0000-0000-0000DC7C0000}"/>
    <cellStyle name="Normal 5 10 2 22 2 7" xfId="31965" xr:uid="{00000000-0005-0000-0000-0000DD7C0000}"/>
    <cellStyle name="Normal 5 10 2 22 2 8" xfId="31966" xr:uid="{00000000-0005-0000-0000-0000DE7C0000}"/>
    <cellStyle name="Normal 5 10 2 22 2 9" xfId="31967" xr:uid="{00000000-0005-0000-0000-0000DF7C0000}"/>
    <cellStyle name="Normal 5 10 2 22 3" xfId="31968" xr:uid="{00000000-0005-0000-0000-0000E07C0000}"/>
    <cellStyle name="Normal 5 10 2 22 3 10" xfId="31969" xr:uid="{00000000-0005-0000-0000-0000E17C0000}"/>
    <cellStyle name="Normal 5 10 2 22 3 2" xfId="31970" xr:uid="{00000000-0005-0000-0000-0000E27C0000}"/>
    <cellStyle name="Normal 5 10 2 22 3 3" xfId="31971" xr:uid="{00000000-0005-0000-0000-0000E37C0000}"/>
    <cellStyle name="Normal 5 10 2 22 3 4" xfId="31972" xr:uid="{00000000-0005-0000-0000-0000E47C0000}"/>
    <cellStyle name="Normal 5 10 2 22 3 5" xfId="31973" xr:uid="{00000000-0005-0000-0000-0000E57C0000}"/>
    <cellStyle name="Normal 5 10 2 22 3 6" xfId="31974" xr:uid="{00000000-0005-0000-0000-0000E67C0000}"/>
    <cellStyle name="Normal 5 10 2 22 3 7" xfId="31975" xr:uid="{00000000-0005-0000-0000-0000E77C0000}"/>
    <cellStyle name="Normal 5 10 2 22 3 8" xfId="31976" xr:uid="{00000000-0005-0000-0000-0000E87C0000}"/>
    <cellStyle name="Normal 5 10 2 22 3 9" xfId="31977" xr:uid="{00000000-0005-0000-0000-0000E97C0000}"/>
    <cellStyle name="Normal 5 10 2 22 4" xfId="31978" xr:uid="{00000000-0005-0000-0000-0000EA7C0000}"/>
    <cellStyle name="Normal 5 10 2 22 4 10" xfId="31979" xr:uid="{00000000-0005-0000-0000-0000EB7C0000}"/>
    <cellStyle name="Normal 5 10 2 22 4 2" xfId="31980" xr:uid="{00000000-0005-0000-0000-0000EC7C0000}"/>
    <cellStyle name="Normal 5 10 2 22 4 3" xfId="31981" xr:uid="{00000000-0005-0000-0000-0000ED7C0000}"/>
    <cellStyle name="Normal 5 10 2 22 4 4" xfId="31982" xr:uid="{00000000-0005-0000-0000-0000EE7C0000}"/>
    <cellStyle name="Normal 5 10 2 22 4 5" xfId="31983" xr:uid="{00000000-0005-0000-0000-0000EF7C0000}"/>
    <cellStyle name="Normal 5 10 2 22 4 6" xfId="31984" xr:uid="{00000000-0005-0000-0000-0000F07C0000}"/>
    <cellStyle name="Normal 5 10 2 22 4 7" xfId="31985" xr:uid="{00000000-0005-0000-0000-0000F17C0000}"/>
    <cellStyle name="Normal 5 10 2 22 4 8" xfId="31986" xr:uid="{00000000-0005-0000-0000-0000F27C0000}"/>
    <cellStyle name="Normal 5 10 2 22 4 9" xfId="31987" xr:uid="{00000000-0005-0000-0000-0000F37C0000}"/>
    <cellStyle name="Normal 5 10 2 22 5" xfId="31988" xr:uid="{00000000-0005-0000-0000-0000F47C0000}"/>
    <cellStyle name="Normal 5 10 2 22 5 10" xfId="31989" xr:uid="{00000000-0005-0000-0000-0000F57C0000}"/>
    <cellStyle name="Normal 5 10 2 22 5 2" xfId="31990" xr:uid="{00000000-0005-0000-0000-0000F67C0000}"/>
    <cellStyle name="Normal 5 10 2 22 5 3" xfId="31991" xr:uid="{00000000-0005-0000-0000-0000F77C0000}"/>
    <cellStyle name="Normal 5 10 2 22 5 4" xfId="31992" xr:uid="{00000000-0005-0000-0000-0000F87C0000}"/>
    <cellStyle name="Normal 5 10 2 22 5 5" xfId="31993" xr:uid="{00000000-0005-0000-0000-0000F97C0000}"/>
    <cellStyle name="Normal 5 10 2 22 5 6" xfId="31994" xr:uid="{00000000-0005-0000-0000-0000FA7C0000}"/>
    <cellStyle name="Normal 5 10 2 22 5 7" xfId="31995" xr:uid="{00000000-0005-0000-0000-0000FB7C0000}"/>
    <cellStyle name="Normal 5 10 2 22 5 8" xfId="31996" xr:uid="{00000000-0005-0000-0000-0000FC7C0000}"/>
    <cellStyle name="Normal 5 10 2 22 5 9" xfId="31997" xr:uid="{00000000-0005-0000-0000-0000FD7C0000}"/>
    <cellStyle name="Normal 5 10 2 22 6" xfId="31998" xr:uid="{00000000-0005-0000-0000-0000FE7C0000}"/>
    <cellStyle name="Normal 5 10 2 22 7" xfId="31999" xr:uid="{00000000-0005-0000-0000-0000FF7C0000}"/>
    <cellStyle name="Normal 5 10 2 22 8" xfId="32000" xr:uid="{00000000-0005-0000-0000-0000007D0000}"/>
    <cellStyle name="Normal 5 10 2 22 9" xfId="32001" xr:uid="{00000000-0005-0000-0000-0000017D0000}"/>
    <cellStyle name="Normal 5 10 2 23" xfId="32002" xr:uid="{00000000-0005-0000-0000-0000027D0000}"/>
    <cellStyle name="Normal 5 10 2 23 10" xfId="32003" xr:uid="{00000000-0005-0000-0000-0000037D0000}"/>
    <cellStyle name="Normal 5 10 2 23 11" xfId="32004" xr:uid="{00000000-0005-0000-0000-0000047D0000}"/>
    <cellStyle name="Normal 5 10 2 23 12" xfId="32005" xr:uid="{00000000-0005-0000-0000-0000057D0000}"/>
    <cellStyle name="Normal 5 10 2 23 13" xfId="32006" xr:uid="{00000000-0005-0000-0000-0000067D0000}"/>
    <cellStyle name="Normal 5 10 2 23 14" xfId="32007" xr:uid="{00000000-0005-0000-0000-0000077D0000}"/>
    <cellStyle name="Normal 5 10 2 23 2" xfId="32008" xr:uid="{00000000-0005-0000-0000-0000087D0000}"/>
    <cellStyle name="Normal 5 10 2 23 2 10" xfId="32009" xr:uid="{00000000-0005-0000-0000-0000097D0000}"/>
    <cellStyle name="Normal 5 10 2 23 2 2" xfId="32010" xr:uid="{00000000-0005-0000-0000-00000A7D0000}"/>
    <cellStyle name="Normal 5 10 2 23 2 3" xfId="32011" xr:uid="{00000000-0005-0000-0000-00000B7D0000}"/>
    <cellStyle name="Normal 5 10 2 23 2 4" xfId="32012" xr:uid="{00000000-0005-0000-0000-00000C7D0000}"/>
    <cellStyle name="Normal 5 10 2 23 2 5" xfId="32013" xr:uid="{00000000-0005-0000-0000-00000D7D0000}"/>
    <cellStyle name="Normal 5 10 2 23 2 6" xfId="32014" xr:uid="{00000000-0005-0000-0000-00000E7D0000}"/>
    <cellStyle name="Normal 5 10 2 23 2 7" xfId="32015" xr:uid="{00000000-0005-0000-0000-00000F7D0000}"/>
    <cellStyle name="Normal 5 10 2 23 2 8" xfId="32016" xr:uid="{00000000-0005-0000-0000-0000107D0000}"/>
    <cellStyle name="Normal 5 10 2 23 2 9" xfId="32017" xr:uid="{00000000-0005-0000-0000-0000117D0000}"/>
    <cellStyle name="Normal 5 10 2 23 3" xfId="32018" xr:uid="{00000000-0005-0000-0000-0000127D0000}"/>
    <cellStyle name="Normal 5 10 2 23 3 10" xfId="32019" xr:uid="{00000000-0005-0000-0000-0000137D0000}"/>
    <cellStyle name="Normal 5 10 2 23 3 2" xfId="32020" xr:uid="{00000000-0005-0000-0000-0000147D0000}"/>
    <cellStyle name="Normal 5 10 2 23 3 3" xfId="32021" xr:uid="{00000000-0005-0000-0000-0000157D0000}"/>
    <cellStyle name="Normal 5 10 2 23 3 4" xfId="32022" xr:uid="{00000000-0005-0000-0000-0000167D0000}"/>
    <cellStyle name="Normal 5 10 2 23 3 5" xfId="32023" xr:uid="{00000000-0005-0000-0000-0000177D0000}"/>
    <cellStyle name="Normal 5 10 2 23 3 6" xfId="32024" xr:uid="{00000000-0005-0000-0000-0000187D0000}"/>
    <cellStyle name="Normal 5 10 2 23 3 7" xfId="32025" xr:uid="{00000000-0005-0000-0000-0000197D0000}"/>
    <cellStyle name="Normal 5 10 2 23 3 8" xfId="32026" xr:uid="{00000000-0005-0000-0000-00001A7D0000}"/>
    <cellStyle name="Normal 5 10 2 23 3 9" xfId="32027" xr:uid="{00000000-0005-0000-0000-00001B7D0000}"/>
    <cellStyle name="Normal 5 10 2 23 4" xfId="32028" xr:uid="{00000000-0005-0000-0000-00001C7D0000}"/>
    <cellStyle name="Normal 5 10 2 23 4 10" xfId="32029" xr:uid="{00000000-0005-0000-0000-00001D7D0000}"/>
    <cellStyle name="Normal 5 10 2 23 4 2" xfId="32030" xr:uid="{00000000-0005-0000-0000-00001E7D0000}"/>
    <cellStyle name="Normal 5 10 2 23 4 3" xfId="32031" xr:uid="{00000000-0005-0000-0000-00001F7D0000}"/>
    <cellStyle name="Normal 5 10 2 23 4 4" xfId="32032" xr:uid="{00000000-0005-0000-0000-0000207D0000}"/>
    <cellStyle name="Normal 5 10 2 23 4 5" xfId="32033" xr:uid="{00000000-0005-0000-0000-0000217D0000}"/>
    <cellStyle name="Normal 5 10 2 23 4 6" xfId="32034" xr:uid="{00000000-0005-0000-0000-0000227D0000}"/>
    <cellStyle name="Normal 5 10 2 23 4 7" xfId="32035" xr:uid="{00000000-0005-0000-0000-0000237D0000}"/>
    <cellStyle name="Normal 5 10 2 23 4 8" xfId="32036" xr:uid="{00000000-0005-0000-0000-0000247D0000}"/>
    <cellStyle name="Normal 5 10 2 23 4 9" xfId="32037" xr:uid="{00000000-0005-0000-0000-0000257D0000}"/>
    <cellStyle name="Normal 5 10 2 23 5" xfId="32038" xr:uid="{00000000-0005-0000-0000-0000267D0000}"/>
    <cellStyle name="Normal 5 10 2 23 5 10" xfId="32039" xr:uid="{00000000-0005-0000-0000-0000277D0000}"/>
    <cellStyle name="Normal 5 10 2 23 5 2" xfId="32040" xr:uid="{00000000-0005-0000-0000-0000287D0000}"/>
    <cellStyle name="Normal 5 10 2 23 5 3" xfId="32041" xr:uid="{00000000-0005-0000-0000-0000297D0000}"/>
    <cellStyle name="Normal 5 10 2 23 5 4" xfId="32042" xr:uid="{00000000-0005-0000-0000-00002A7D0000}"/>
    <cellStyle name="Normal 5 10 2 23 5 5" xfId="32043" xr:uid="{00000000-0005-0000-0000-00002B7D0000}"/>
    <cellStyle name="Normal 5 10 2 23 5 6" xfId="32044" xr:uid="{00000000-0005-0000-0000-00002C7D0000}"/>
    <cellStyle name="Normal 5 10 2 23 5 7" xfId="32045" xr:uid="{00000000-0005-0000-0000-00002D7D0000}"/>
    <cellStyle name="Normal 5 10 2 23 5 8" xfId="32046" xr:uid="{00000000-0005-0000-0000-00002E7D0000}"/>
    <cellStyle name="Normal 5 10 2 23 5 9" xfId="32047" xr:uid="{00000000-0005-0000-0000-00002F7D0000}"/>
    <cellStyle name="Normal 5 10 2 23 6" xfId="32048" xr:uid="{00000000-0005-0000-0000-0000307D0000}"/>
    <cellStyle name="Normal 5 10 2 23 7" xfId="32049" xr:uid="{00000000-0005-0000-0000-0000317D0000}"/>
    <cellStyle name="Normal 5 10 2 23 8" xfId="32050" xr:uid="{00000000-0005-0000-0000-0000327D0000}"/>
    <cellStyle name="Normal 5 10 2 23 9" xfId="32051" xr:uid="{00000000-0005-0000-0000-0000337D0000}"/>
    <cellStyle name="Normal 5 10 2 24" xfId="32052" xr:uid="{00000000-0005-0000-0000-0000347D0000}"/>
    <cellStyle name="Normal 5 10 2 24 10" xfId="32053" xr:uid="{00000000-0005-0000-0000-0000357D0000}"/>
    <cellStyle name="Normal 5 10 2 24 11" xfId="32054" xr:uid="{00000000-0005-0000-0000-0000367D0000}"/>
    <cellStyle name="Normal 5 10 2 24 12" xfId="32055" xr:uid="{00000000-0005-0000-0000-0000377D0000}"/>
    <cellStyle name="Normal 5 10 2 24 13" xfId="32056" xr:uid="{00000000-0005-0000-0000-0000387D0000}"/>
    <cellStyle name="Normal 5 10 2 24 14" xfId="32057" xr:uid="{00000000-0005-0000-0000-0000397D0000}"/>
    <cellStyle name="Normal 5 10 2 24 2" xfId="32058" xr:uid="{00000000-0005-0000-0000-00003A7D0000}"/>
    <cellStyle name="Normal 5 10 2 24 2 10" xfId="32059" xr:uid="{00000000-0005-0000-0000-00003B7D0000}"/>
    <cellStyle name="Normal 5 10 2 24 2 2" xfId="32060" xr:uid="{00000000-0005-0000-0000-00003C7D0000}"/>
    <cellStyle name="Normal 5 10 2 24 2 3" xfId="32061" xr:uid="{00000000-0005-0000-0000-00003D7D0000}"/>
    <cellStyle name="Normal 5 10 2 24 2 4" xfId="32062" xr:uid="{00000000-0005-0000-0000-00003E7D0000}"/>
    <cellStyle name="Normal 5 10 2 24 2 5" xfId="32063" xr:uid="{00000000-0005-0000-0000-00003F7D0000}"/>
    <cellStyle name="Normal 5 10 2 24 2 6" xfId="32064" xr:uid="{00000000-0005-0000-0000-0000407D0000}"/>
    <cellStyle name="Normal 5 10 2 24 2 7" xfId="32065" xr:uid="{00000000-0005-0000-0000-0000417D0000}"/>
    <cellStyle name="Normal 5 10 2 24 2 8" xfId="32066" xr:uid="{00000000-0005-0000-0000-0000427D0000}"/>
    <cellStyle name="Normal 5 10 2 24 2 9" xfId="32067" xr:uid="{00000000-0005-0000-0000-0000437D0000}"/>
    <cellStyle name="Normal 5 10 2 24 3" xfId="32068" xr:uid="{00000000-0005-0000-0000-0000447D0000}"/>
    <cellStyle name="Normal 5 10 2 24 3 10" xfId="32069" xr:uid="{00000000-0005-0000-0000-0000457D0000}"/>
    <cellStyle name="Normal 5 10 2 24 3 2" xfId="32070" xr:uid="{00000000-0005-0000-0000-0000467D0000}"/>
    <cellStyle name="Normal 5 10 2 24 3 3" xfId="32071" xr:uid="{00000000-0005-0000-0000-0000477D0000}"/>
    <cellStyle name="Normal 5 10 2 24 3 4" xfId="32072" xr:uid="{00000000-0005-0000-0000-0000487D0000}"/>
    <cellStyle name="Normal 5 10 2 24 3 5" xfId="32073" xr:uid="{00000000-0005-0000-0000-0000497D0000}"/>
    <cellStyle name="Normal 5 10 2 24 3 6" xfId="32074" xr:uid="{00000000-0005-0000-0000-00004A7D0000}"/>
    <cellStyle name="Normal 5 10 2 24 3 7" xfId="32075" xr:uid="{00000000-0005-0000-0000-00004B7D0000}"/>
    <cellStyle name="Normal 5 10 2 24 3 8" xfId="32076" xr:uid="{00000000-0005-0000-0000-00004C7D0000}"/>
    <cellStyle name="Normal 5 10 2 24 3 9" xfId="32077" xr:uid="{00000000-0005-0000-0000-00004D7D0000}"/>
    <cellStyle name="Normal 5 10 2 24 4" xfId="32078" xr:uid="{00000000-0005-0000-0000-00004E7D0000}"/>
    <cellStyle name="Normal 5 10 2 24 4 10" xfId="32079" xr:uid="{00000000-0005-0000-0000-00004F7D0000}"/>
    <cellStyle name="Normal 5 10 2 24 4 2" xfId="32080" xr:uid="{00000000-0005-0000-0000-0000507D0000}"/>
    <cellStyle name="Normal 5 10 2 24 4 3" xfId="32081" xr:uid="{00000000-0005-0000-0000-0000517D0000}"/>
    <cellStyle name="Normal 5 10 2 24 4 4" xfId="32082" xr:uid="{00000000-0005-0000-0000-0000527D0000}"/>
    <cellStyle name="Normal 5 10 2 24 4 5" xfId="32083" xr:uid="{00000000-0005-0000-0000-0000537D0000}"/>
    <cellStyle name="Normal 5 10 2 24 4 6" xfId="32084" xr:uid="{00000000-0005-0000-0000-0000547D0000}"/>
    <cellStyle name="Normal 5 10 2 24 4 7" xfId="32085" xr:uid="{00000000-0005-0000-0000-0000557D0000}"/>
    <cellStyle name="Normal 5 10 2 24 4 8" xfId="32086" xr:uid="{00000000-0005-0000-0000-0000567D0000}"/>
    <cellStyle name="Normal 5 10 2 24 4 9" xfId="32087" xr:uid="{00000000-0005-0000-0000-0000577D0000}"/>
    <cellStyle name="Normal 5 10 2 24 5" xfId="32088" xr:uid="{00000000-0005-0000-0000-0000587D0000}"/>
    <cellStyle name="Normal 5 10 2 24 5 10" xfId="32089" xr:uid="{00000000-0005-0000-0000-0000597D0000}"/>
    <cellStyle name="Normal 5 10 2 24 5 2" xfId="32090" xr:uid="{00000000-0005-0000-0000-00005A7D0000}"/>
    <cellStyle name="Normal 5 10 2 24 5 3" xfId="32091" xr:uid="{00000000-0005-0000-0000-00005B7D0000}"/>
    <cellStyle name="Normal 5 10 2 24 5 4" xfId="32092" xr:uid="{00000000-0005-0000-0000-00005C7D0000}"/>
    <cellStyle name="Normal 5 10 2 24 5 5" xfId="32093" xr:uid="{00000000-0005-0000-0000-00005D7D0000}"/>
    <cellStyle name="Normal 5 10 2 24 5 6" xfId="32094" xr:uid="{00000000-0005-0000-0000-00005E7D0000}"/>
    <cellStyle name="Normal 5 10 2 24 5 7" xfId="32095" xr:uid="{00000000-0005-0000-0000-00005F7D0000}"/>
    <cellStyle name="Normal 5 10 2 24 5 8" xfId="32096" xr:uid="{00000000-0005-0000-0000-0000607D0000}"/>
    <cellStyle name="Normal 5 10 2 24 5 9" xfId="32097" xr:uid="{00000000-0005-0000-0000-0000617D0000}"/>
    <cellStyle name="Normal 5 10 2 24 6" xfId="32098" xr:uid="{00000000-0005-0000-0000-0000627D0000}"/>
    <cellStyle name="Normal 5 10 2 24 7" xfId="32099" xr:uid="{00000000-0005-0000-0000-0000637D0000}"/>
    <cellStyle name="Normal 5 10 2 24 8" xfId="32100" xr:uid="{00000000-0005-0000-0000-0000647D0000}"/>
    <cellStyle name="Normal 5 10 2 24 9" xfId="32101" xr:uid="{00000000-0005-0000-0000-0000657D0000}"/>
    <cellStyle name="Normal 5 10 2 25" xfId="32102" xr:uid="{00000000-0005-0000-0000-0000667D0000}"/>
    <cellStyle name="Normal 5 10 2 25 10" xfId="32103" xr:uid="{00000000-0005-0000-0000-0000677D0000}"/>
    <cellStyle name="Normal 5 10 2 25 11" xfId="32104" xr:uid="{00000000-0005-0000-0000-0000687D0000}"/>
    <cellStyle name="Normal 5 10 2 25 12" xfId="32105" xr:uid="{00000000-0005-0000-0000-0000697D0000}"/>
    <cellStyle name="Normal 5 10 2 25 13" xfId="32106" xr:uid="{00000000-0005-0000-0000-00006A7D0000}"/>
    <cellStyle name="Normal 5 10 2 25 14" xfId="32107" xr:uid="{00000000-0005-0000-0000-00006B7D0000}"/>
    <cellStyle name="Normal 5 10 2 25 2" xfId="32108" xr:uid="{00000000-0005-0000-0000-00006C7D0000}"/>
    <cellStyle name="Normal 5 10 2 25 2 10" xfId="32109" xr:uid="{00000000-0005-0000-0000-00006D7D0000}"/>
    <cellStyle name="Normal 5 10 2 25 2 2" xfId="32110" xr:uid="{00000000-0005-0000-0000-00006E7D0000}"/>
    <cellStyle name="Normal 5 10 2 25 2 3" xfId="32111" xr:uid="{00000000-0005-0000-0000-00006F7D0000}"/>
    <cellStyle name="Normal 5 10 2 25 2 4" xfId="32112" xr:uid="{00000000-0005-0000-0000-0000707D0000}"/>
    <cellStyle name="Normal 5 10 2 25 2 5" xfId="32113" xr:uid="{00000000-0005-0000-0000-0000717D0000}"/>
    <cellStyle name="Normal 5 10 2 25 2 6" xfId="32114" xr:uid="{00000000-0005-0000-0000-0000727D0000}"/>
    <cellStyle name="Normal 5 10 2 25 2 7" xfId="32115" xr:uid="{00000000-0005-0000-0000-0000737D0000}"/>
    <cellStyle name="Normal 5 10 2 25 2 8" xfId="32116" xr:uid="{00000000-0005-0000-0000-0000747D0000}"/>
    <cellStyle name="Normal 5 10 2 25 2 9" xfId="32117" xr:uid="{00000000-0005-0000-0000-0000757D0000}"/>
    <cellStyle name="Normal 5 10 2 25 3" xfId="32118" xr:uid="{00000000-0005-0000-0000-0000767D0000}"/>
    <cellStyle name="Normal 5 10 2 25 3 10" xfId="32119" xr:uid="{00000000-0005-0000-0000-0000777D0000}"/>
    <cellStyle name="Normal 5 10 2 25 3 2" xfId="32120" xr:uid="{00000000-0005-0000-0000-0000787D0000}"/>
    <cellStyle name="Normal 5 10 2 25 3 3" xfId="32121" xr:uid="{00000000-0005-0000-0000-0000797D0000}"/>
    <cellStyle name="Normal 5 10 2 25 3 4" xfId="32122" xr:uid="{00000000-0005-0000-0000-00007A7D0000}"/>
    <cellStyle name="Normal 5 10 2 25 3 5" xfId="32123" xr:uid="{00000000-0005-0000-0000-00007B7D0000}"/>
    <cellStyle name="Normal 5 10 2 25 3 6" xfId="32124" xr:uid="{00000000-0005-0000-0000-00007C7D0000}"/>
    <cellStyle name="Normal 5 10 2 25 3 7" xfId="32125" xr:uid="{00000000-0005-0000-0000-00007D7D0000}"/>
    <cellStyle name="Normal 5 10 2 25 3 8" xfId="32126" xr:uid="{00000000-0005-0000-0000-00007E7D0000}"/>
    <cellStyle name="Normal 5 10 2 25 3 9" xfId="32127" xr:uid="{00000000-0005-0000-0000-00007F7D0000}"/>
    <cellStyle name="Normal 5 10 2 25 4" xfId="32128" xr:uid="{00000000-0005-0000-0000-0000807D0000}"/>
    <cellStyle name="Normal 5 10 2 25 4 10" xfId="32129" xr:uid="{00000000-0005-0000-0000-0000817D0000}"/>
    <cellStyle name="Normal 5 10 2 25 4 2" xfId="32130" xr:uid="{00000000-0005-0000-0000-0000827D0000}"/>
    <cellStyle name="Normal 5 10 2 25 4 3" xfId="32131" xr:uid="{00000000-0005-0000-0000-0000837D0000}"/>
    <cellStyle name="Normal 5 10 2 25 4 4" xfId="32132" xr:uid="{00000000-0005-0000-0000-0000847D0000}"/>
    <cellStyle name="Normal 5 10 2 25 4 5" xfId="32133" xr:uid="{00000000-0005-0000-0000-0000857D0000}"/>
    <cellStyle name="Normal 5 10 2 25 4 6" xfId="32134" xr:uid="{00000000-0005-0000-0000-0000867D0000}"/>
    <cellStyle name="Normal 5 10 2 25 4 7" xfId="32135" xr:uid="{00000000-0005-0000-0000-0000877D0000}"/>
    <cellStyle name="Normal 5 10 2 25 4 8" xfId="32136" xr:uid="{00000000-0005-0000-0000-0000887D0000}"/>
    <cellStyle name="Normal 5 10 2 25 4 9" xfId="32137" xr:uid="{00000000-0005-0000-0000-0000897D0000}"/>
    <cellStyle name="Normal 5 10 2 25 5" xfId="32138" xr:uid="{00000000-0005-0000-0000-00008A7D0000}"/>
    <cellStyle name="Normal 5 10 2 25 5 10" xfId="32139" xr:uid="{00000000-0005-0000-0000-00008B7D0000}"/>
    <cellStyle name="Normal 5 10 2 25 5 2" xfId="32140" xr:uid="{00000000-0005-0000-0000-00008C7D0000}"/>
    <cellStyle name="Normal 5 10 2 25 5 3" xfId="32141" xr:uid="{00000000-0005-0000-0000-00008D7D0000}"/>
    <cellStyle name="Normal 5 10 2 25 5 4" xfId="32142" xr:uid="{00000000-0005-0000-0000-00008E7D0000}"/>
    <cellStyle name="Normal 5 10 2 25 5 5" xfId="32143" xr:uid="{00000000-0005-0000-0000-00008F7D0000}"/>
    <cellStyle name="Normal 5 10 2 25 5 6" xfId="32144" xr:uid="{00000000-0005-0000-0000-0000907D0000}"/>
    <cellStyle name="Normal 5 10 2 25 5 7" xfId="32145" xr:uid="{00000000-0005-0000-0000-0000917D0000}"/>
    <cellStyle name="Normal 5 10 2 25 5 8" xfId="32146" xr:uid="{00000000-0005-0000-0000-0000927D0000}"/>
    <cellStyle name="Normal 5 10 2 25 5 9" xfId="32147" xr:uid="{00000000-0005-0000-0000-0000937D0000}"/>
    <cellStyle name="Normal 5 10 2 25 6" xfId="32148" xr:uid="{00000000-0005-0000-0000-0000947D0000}"/>
    <cellStyle name="Normal 5 10 2 25 7" xfId="32149" xr:uid="{00000000-0005-0000-0000-0000957D0000}"/>
    <cellStyle name="Normal 5 10 2 25 8" xfId="32150" xr:uid="{00000000-0005-0000-0000-0000967D0000}"/>
    <cellStyle name="Normal 5 10 2 25 9" xfId="32151" xr:uid="{00000000-0005-0000-0000-0000977D0000}"/>
    <cellStyle name="Normal 5 10 2 26" xfId="32152" xr:uid="{00000000-0005-0000-0000-0000987D0000}"/>
    <cellStyle name="Normal 5 10 2 26 10" xfId="32153" xr:uid="{00000000-0005-0000-0000-0000997D0000}"/>
    <cellStyle name="Normal 5 10 2 26 11" xfId="32154" xr:uid="{00000000-0005-0000-0000-00009A7D0000}"/>
    <cellStyle name="Normal 5 10 2 26 12" xfId="32155" xr:uid="{00000000-0005-0000-0000-00009B7D0000}"/>
    <cellStyle name="Normal 5 10 2 26 13" xfId="32156" xr:uid="{00000000-0005-0000-0000-00009C7D0000}"/>
    <cellStyle name="Normal 5 10 2 26 14" xfId="32157" xr:uid="{00000000-0005-0000-0000-00009D7D0000}"/>
    <cellStyle name="Normal 5 10 2 26 2" xfId="32158" xr:uid="{00000000-0005-0000-0000-00009E7D0000}"/>
    <cellStyle name="Normal 5 10 2 26 2 10" xfId="32159" xr:uid="{00000000-0005-0000-0000-00009F7D0000}"/>
    <cellStyle name="Normal 5 10 2 26 2 2" xfId="32160" xr:uid="{00000000-0005-0000-0000-0000A07D0000}"/>
    <cellStyle name="Normal 5 10 2 26 2 3" xfId="32161" xr:uid="{00000000-0005-0000-0000-0000A17D0000}"/>
    <cellStyle name="Normal 5 10 2 26 2 4" xfId="32162" xr:uid="{00000000-0005-0000-0000-0000A27D0000}"/>
    <cellStyle name="Normal 5 10 2 26 2 5" xfId="32163" xr:uid="{00000000-0005-0000-0000-0000A37D0000}"/>
    <cellStyle name="Normal 5 10 2 26 2 6" xfId="32164" xr:uid="{00000000-0005-0000-0000-0000A47D0000}"/>
    <cellStyle name="Normal 5 10 2 26 2 7" xfId="32165" xr:uid="{00000000-0005-0000-0000-0000A57D0000}"/>
    <cellStyle name="Normal 5 10 2 26 2 8" xfId="32166" xr:uid="{00000000-0005-0000-0000-0000A67D0000}"/>
    <cellStyle name="Normal 5 10 2 26 2 9" xfId="32167" xr:uid="{00000000-0005-0000-0000-0000A77D0000}"/>
    <cellStyle name="Normal 5 10 2 26 3" xfId="32168" xr:uid="{00000000-0005-0000-0000-0000A87D0000}"/>
    <cellStyle name="Normal 5 10 2 26 3 10" xfId="32169" xr:uid="{00000000-0005-0000-0000-0000A97D0000}"/>
    <cellStyle name="Normal 5 10 2 26 3 2" xfId="32170" xr:uid="{00000000-0005-0000-0000-0000AA7D0000}"/>
    <cellStyle name="Normal 5 10 2 26 3 3" xfId="32171" xr:uid="{00000000-0005-0000-0000-0000AB7D0000}"/>
    <cellStyle name="Normal 5 10 2 26 3 4" xfId="32172" xr:uid="{00000000-0005-0000-0000-0000AC7D0000}"/>
    <cellStyle name="Normal 5 10 2 26 3 5" xfId="32173" xr:uid="{00000000-0005-0000-0000-0000AD7D0000}"/>
    <cellStyle name="Normal 5 10 2 26 3 6" xfId="32174" xr:uid="{00000000-0005-0000-0000-0000AE7D0000}"/>
    <cellStyle name="Normal 5 10 2 26 3 7" xfId="32175" xr:uid="{00000000-0005-0000-0000-0000AF7D0000}"/>
    <cellStyle name="Normal 5 10 2 26 3 8" xfId="32176" xr:uid="{00000000-0005-0000-0000-0000B07D0000}"/>
    <cellStyle name="Normal 5 10 2 26 3 9" xfId="32177" xr:uid="{00000000-0005-0000-0000-0000B17D0000}"/>
    <cellStyle name="Normal 5 10 2 26 4" xfId="32178" xr:uid="{00000000-0005-0000-0000-0000B27D0000}"/>
    <cellStyle name="Normal 5 10 2 26 4 10" xfId="32179" xr:uid="{00000000-0005-0000-0000-0000B37D0000}"/>
    <cellStyle name="Normal 5 10 2 26 4 2" xfId="32180" xr:uid="{00000000-0005-0000-0000-0000B47D0000}"/>
    <cellStyle name="Normal 5 10 2 26 4 3" xfId="32181" xr:uid="{00000000-0005-0000-0000-0000B57D0000}"/>
    <cellStyle name="Normal 5 10 2 26 4 4" xfId="32182" xr:uid="{00000000-0005-0000-0000-0000B67D0000}"/>
    <cellStyle name="Normal 5 10 2 26 4 5" xfId="32183" xr:uid="{00000000-0005-0000-0000-0000B77D0000}"/>
    <cellStyle name="Normal 5 10 2 26 4 6" xfId="32184" xr:uid="{00000000-0005-0000-0000-0000B87D0000}"/>
    <cellStyle name="Normal 5 10 2 26 4 7" xfId="32185" xr:uid="{00000000-0005-0000-0000-0000B97D0000}"/>
    <cellStyle name="Normal 5 10 2 26 4 8" xfId="32186" xr:uid="{00000000-0005-0000-0000-0000BA7D0000}"/>
    <cellStyle name="Normal 5 10 2 26 4 9" xfId="32187" xr:uid="{00000000-0005-0000-0000-0000BB7D0000}"/>
    <cellStyle name="Normal 5 10 2 26 5" xfId="32188" xr:uid="{00000000-0005-0000-0000-0000BC7D0000}"/>
    <cellStyle name="Normal 5 10 2 26 5 10" xfId="32189" xr:uid="{00000000-0005-0000-0000-0000BD7D0000}"/>
    <cellStyle name="Normal 5 10 2 26 5 2" xfId="32190" xr:uid="{00000000-0005-0000-0000-0000BE7D0000}"/>
    <cellStyle name="Normal 5 10 2 26 5 3" xfId="32191" xr:uid="{00000000-0005-0000-0000-0000BF7D0000}"/>
    <cellStyle name="Normal 5 10 2 26 5 4" xfId="32192" xr:uid="{00000000-0005-0000-0000-0000C07D0000}"/>
    <cellStyle name="Normal 5 10 2 26 5 5" xfId="32193" xr:uid="{00000000-0005-0000-0000-0000C17D0000}"/>
    <cellStyle name="Normal 5 10 2 26 5 6" xfId="32194" xr:uid="{00000000-0005-0000-0000-0000C27D0000}"/>
    <cellStyle name="Normal 5 10 2 26 5 7" xfId="32195" xr:uid="{00000000-0005-0000-0000-0000C37D0000}"/>
    <cellStyle name="Normal 5 10 2 26 5 8" xfId="32196" xr:uid="{00000000-0005-0000-0000-0000C47D0000}"/>
    <cellStyle name="Normal 5 10 2 26 5 9" xfId="32197" xr:uid="{00000000-0005-0000-0000-0000C57D0000}"/>
    <cellStyle name="Normal 5 10 2 26 6" xfId="32198" xr:uid="{00000000-0005-0000-0000-0000C67D0000}"/>
    <cellStyle name="Normal 5 10 2 26 7" xfId="32199" xr:uid="{00000000-0005-0000-0000-0000C77D0000}"/>
    <cellStyle name="Normal 5 10 2 26 8" xfId="32200" xr:uid="{00000000-0005-0000-0000-0000C87D0000}"/>
    <cellStyle name="Normal 5 10 2 26 9" xfId="32201" xr:uid="{00000000-0005-0000-0000-0000C97D0000}"/>
    <cellStyle name="Normal 5 10 2 27" xfId="32202" xr:uid="{00000000-0005-0000-0000-0000CA7D0000}"/>
    <cellStyle name="Normal 5 10 2 27 10" xfId="32203" xr:uid="{00000000-0005-0000-0000-0000CB7D0000}"/>
    <cellStyle name="Normal 5 10 2 27 11" xfId="32204" xr:uid="{00000000-0005-0000-0000-0000CC7D0000}"/>
    <cellStyle name="Normal 5 10 2 27 12" xfId="32205" xr:uid="{00000000-0005-0000-0000-0000CD7D0000}"/>
    <cellStyle name="Normal 5 10 2 27 13" xfId="32206" xr:uid="{00000000-0005-0000-0000-0000CE7D0000}"/>
    <cellStyle name="Normal 5 10 2 27 14" xfId="32207" xr:uid="{00000000-0005-0000-0000-0000CF7D0000}"/>
    <cellStyle name="Normal 5 10 2 27 2" xfId="32208" xr:uid="{00000000-0005-0000-0000-0000D07D0000}"/>
    <cellStyle name="Normal 5 10 2 27 2 10" xfId="32209" xr:uid="{00000000-0005-0000-0000-0000D17D0000}"/>
    <cellStyle name="Normal 5 10 2 27 2 2" xfId="32210" xr:uid="{00000000-0005-0000-0000-0000D27D0000}"/>
    <cellStyle name="Normal 5 10 2 27 2 3" xfId="32211" xr:uid="{00000000-0005-0000-0000-0000D37D0000}"/>
    <cellStyle name="Normal 5 10 2 27 2 4" xfId="32212" xr:uid="{00000000-0005-0000-0000-0000D47D0000}"/>
    <cellStyle name="Normal 5 10 2 27 2 5" xfId="32213" xr:uid="{00000000-0005-0000-0000-0000D57D0000}"/>
    <cellStyle name="Normal 5 10 2 27 2 6" xfId="32214" xr:uid="{00000000-0005-0000-0000-0000D67D0000}"/>
    <cellStyle name="Normal 5 10 2 27 2 7" xfId="32215" xr:uid="{00000000-0005-0000-0000-0000D77D0000}"/>
    <cellStyle name="Normal 5 10 2 27 2 8" xfId="32216" xr:uid="{00000000-0005-0000-0000-0000D87D0000}"/>
    <cellStyle name="Normal 5 10 2 27 2 9" xfId="32217" xr:uid="{00000000-0005-0000-0000-0000D97D0000}"/>
    <cellStyle name="Normal 5 10 2 27 3" xfId="32218" xr:uid="{00000000-0005-0000-0000-0000DA7D0000}"/>
    <cellStyle name="Normal 5 10 2 27 3 10" xfId="32219" xr:uid="{00000000-0005-0000-0000-0000DB7D0000}"/>
    <cellStyle name="Normal 5 10 2 27 3 2" xfId="32220" xr:uid="{00000000-0005-0000-0000-0000DC7D0000}"/>
    <cellStyle name="Normal 5 10 2 27 3 3" xfId="32221" xr:uid="{00000000-0005-0000-0000-0000DD7D0000}"/>
    <cellStyle name="Normal 5 10 2 27 3 4" xfId="32222" xr:uid="{00000000-0005-0000-0000-0000DE7D0000}"/>
    <cellStyle name="Normal 5 10 2 27 3 5" xfId="32223" xr:uid="{00000000-0005-0000-0000-0000DF7D0000}"/>
    <cellStyle name="Normal 5 10 2 27 3 6" xfId="32224" xr:uid="{00000000-0005-0000-0000-0000E07D0000}"/>
    <cellStyle name="Normal 5 10 2 27 3 7" xfId="32225" xr:uid="{00000000-0005-0000-0000-0000E17D0000}"/>
    <cellStyle name="Normal 5 10 2 27 3 8" xfId="32226" xr:uid="{00000000-0005-0000-0000-0000E27D0000}"/>
    <cellStyle name="Normal 5 10 2 27 3 9" xfId="32227" xr:uid="{00000000-0005-0000-0000-0000E37D0000}"/>
    <cellStyle name="Normal 5 10 2 27 4" xfId="32228" xr:uid="{00000000-0005-0000-0000-0000E47D0000}"/>
    <cellStyle name="Normal 5 10 2 27 4 10" xfId="32229" xr:uid="{00000000-0005-0000-0000-0000E57D0000}"/>
    <cellStyle name="Normal 5 10 2 27 4 2" xfId="32230" xr:uid="{00000000-0005-0000-0000-0000E67D0000}"/>
    <cellStyle name="Normal 5 10 2 27 4 3" xfId="32231" xr:uid="{00000000-0005-0000-0000-0000E77D0000}"/>
    <cellStyle name="Normal 5 10 2 27 4 4" xfId="32232" xr:uid="{00000000-0005-0000-0000-0000E87D0000}"/>
    <cellStyle name="Normal 5 10 2 27 4 5" xfId="32233" xr:uid="{00000000-0005-0000-0000-0000E97D0000}"/>
    <cellStyle name="Normal 5 10 2 27 4 6" xfId="32234" xr:uid="{00000000-0005-0000-0000-0000EA7D0000}"/>
    <cellStyle name="Normal 5 10 2 27 4 7" xfId="32235" xr:uid="{00000000-0005-0000-0000-0000EB7D0000}"/>
    <cellStyle name="Normal 5 10 2 27 4 8" xfId="32236" xr:uid="{00000000-0005-0000-0000-0000EC7D0000}"/>
    <cellStyle name="Normal 5 10 2 27 4 9" xfId="32237" xr:uid="{00000000-0005-0000-0000-0000ED7D0000}"/>
    <cellStyle name="Normal 5 10 2 27 5" xfId="32238" xr:uid="{00000000-0005-0000-0000-0000EE7D0000}"/>
    <cellStyle name="Normal 5 10 2 27 5 10" xfId="32239" xr:uid="{00000000-0005-0000-0000-0000EF7D0000}"/>
    <cellStyle name="Normal 5 10 2 27 5 2" xfId="32240" xr:uid="{00000000-0005-0000-0000-0000F07D0000}"/>
    <cellStyle name="Normal 5 10 2 27 5 3" xfId="32241" xr:uid="{00000000-0005-0000-0000-0000F17D0000}"/>
    <cellStyle name="Normal 5 10 2 27 5 4" xfId="32242" xr:uid="{00000000-0005-0000-0000-0000F27D0000}"/>
    <cellStyle name="Normal 5 10 2 27 5 5" xfId="32243" xr:uid="{00000000-0005-0000-0000-0000F37D0000}"/>
    <cellStyle name="Normal 5 10 2 27 5 6" xfId="32244" xr:uid="{00000000-0005-0000-0000-0000F47D0000}"/>
    <cellStyle name="Normal 5 10 2 27 5 7" xfId="32245" xr:uid="{00000000-0005-0000-0000-0000F57D0000}"/>
    <cellStyle name="Normal 5 10 2 27 5 8" xfId="32246" xr:uid="{00000000-0005-0000-0000-0000F67D0000}"/>
    <cellStyle name="Normal 5 10 2 27 5 9" xfId="32247" xr:uid="{00000000-0005-0000-0000-0000F77D0000}"/>
    <cellStyle name="Normal 5 10 2 27 6" xfId="32248" xr:uid="{00000000-0005-0000-0000-0000F87D0000}"/>
    <cellStyle name="Normal 5 10 2 27 7" xfId="32249" xr:uid="{00000000-0005-0000-0000-0000F97D0000}"/>
    <cellStyle name="Normal 5 10 2 27 8" xfId="32250" xr:uid="{00000000-0005-0000-0000-0000FA7D0000}"/>
    <cellStyle name="Normal 5 10 2 27 9" xfId="32251" xr:uid="{00000000-0005-0000-0000-0000FB7D0000}"/>
    <cellStyle name="Normal 5 10 2 28" xfId="32252" xr:uid="{00000000-0005-0000-0000-0000FC7D0000}"/>
    <cellStyle name="Normal 5 10 2 28 10" xfId="32253" xr:uid="{00000000-0005-0000-0000-0000FD7D0000}"/>
    <cellStyle name="Normal 5 10 2 28 11" xfId="32254" xr:uid="{00000000-0005-0000-0000-0000FE7D0000}"/>
    <cellStyle name="Normal 5 10 2 28 12" xfId="32255" xr:uid="{00000000-0005-0000-0000-0000FF7D0000}"/>
    <cellStyle name="Normal 5 10 2 28 13" xfId="32256" xr:uid="{00000000-0005-0000-0000-0000007E0000}"/>
    <cellStyle name="Normal 5 10 2 28 14" xfId="32257" xr:uid="{00000000-0005-0000-0000-0000017E0000}"/>
    <cellStyle name="Normal 5 10 2 28 2" xfId="32258" xr:uid="{00000000-0005-0000-0000-0000027E0000}"/>
    <cellStyle name="Normal 5 10 2 28 2 10" xfId="32259" xr:uid="{00000000-0005-0000-0000-0000037E0000}"/>
    <cellStyle name="Normal 5 10 2 28 2 2" xfId="32260" xr:uid="{00000000-0005-0000-0000-0000047E0000}"/>
    <cellStyle name="Normal 5 10 2 28 2 3" xfId="32261" xr:uid="{00000000-0005-0000-0000-0000057E0000}"/>
    <cellStyle name="Normal 5 10 2 28 2 4" xfId="32262" xr:uid="{00000000-0005-0000-0000-0000067E0000}"/>
    <cellStyle name="Normal 5 10 2 28 2 5" xfId="32263" xr:uid="{00000000-0005-0000-0000-0000077E0000}"/>
    <cellStyle name="Normal 5 10 2 28 2 6" xfId="32264" xr:uid="{00000000-0005-0000-0000-0000087E0000}"/>
    <cellStyle name="Normal 5 10 2 28 2 7" xfId="32265" xr:uid="{00000000-0005-0000-0000-0000097E0000}"/>
    <cellStyle name="Normal 5 10 2 28 2 8" xfId="32266" xr:uid="{00000000-0005-0000-0000-00000A7E0000}"/>
    <cellStyle name="Normal 5 10 2 28 2 9" xfId="32267" xr:uid="{00000000-0005-0000-0000-00000B7E0000}"/>
    <cellStyle name="Normal 5 10 2 28 3" xfId="32268" xr:uid="{00000000-0005-0000-0000-00000C7E0000}"/>
    <cellStyle name="Normal 5 10 2 28 3 10" xfId="32269" xr:uid="{00000000-0005-0000-0000-00000D7E0000}"/>
    <cellStyle name="Normal 5 10 2 28 3 2" xfId="32270" xr:uid="{00000000-0005-0000-0000-00000E7E0000}"/>
    <cellStyle name="Normal 5 10 2 28 3 3" xfId="32271" xr:uid="{00000000-0005-0000-0000-00000F7E0000}"/>
    <cellStyle name="Normal 5 10 2 28 3 4" xfId="32272" xr:uid="{00000000-0005-0000-0000-0000107E0000}"/>
    <cellStyle name="Normal 5 10 2 28 3 5" xfId="32273" xr:uid="{00000000-0005-0000-0000-0000117E0000}"/>
    <cellStyle name="Normal 5 10 2 28 3 6" xfId="32274" xr:uid="{00000000-0005-0000-0000-0000127E0000}"/>
    <cellStyle name="Normal 5 10 2 28 3 7" xfId="32275" xr:uid="{00000000-0005-0000-0000-0000137E0000}"/>
    <cellStyle name="Normal 5 10 2 28 3 8" xfId="32276" xr:uid="{00000000-0005-0000-0000-0000147E0000}"/>
    <cellStyle name="Normal 5 10 2 28 3 9" xfId="32277" xr:uid="{00000000-0005-0000-0000-0000157E0000}"/>
    <cellStyle name="Normal 5 10 2 28 4" xfId="32278" xr:uid="{00000000-0005-0000-0000-0000167E0000}"/>
    <cellStyle name="Normal 5 10 2 28 4 10" xfId="32279" xr:uid="{00000000-0005-0000-0000-0000177E0000}"/>
    <cellStyle name="Normal 5 10 2 28 4 2" xfId="32280" xr:uid="{00000000-0005-0000-0000-0000187E0000}"/>
    <cellStyle name="Normal 5 10 2 28 4 3" xfId="32281" xr:uid="{00000000-0005-0000-0000-0000197E0000}"/>
    <cellStyle name="Normal 5 10 2 28 4 4" xfId="32282" xr:uid="{00000000-0005-0000-0000-00001A7E0000}"/>
    <cellStyle name="Normal 5 10 2 28 4 5" xfId="32283" xr:uid="{00000000-0005-0000-0000-00001B7E0000}"/>
    <cellStyle name="Normal 5 10 2 28 4 6" xfId="32284" xr:uid="{00000000-0005-0000-0000-00001C7E0000}"/>
    <cellStyle name="Normal 5 10 2 28 4 7" xfId="32285" xr:uid="{00000000-0005-0000-0000-00001D7E0000}"/>
    <cellStyle name="Normal 5 10 2 28 4 8" xfId="32286" xr:uid="{00000000-0005-0000-0000-00001E7E0000}"/>
    <cellStyle name="Normal 5 10 2 28 4 9" xfId="32287" xr:uid="{00000000-0005-0000-0000-00001F7E0000}"/>
    <cellStyle name="Normal 5 10 2 28 5" xfId="32288" xr:uid="{00000000-0005-0000-0000-0000207E0000}"/>
    <cellStyle name="Normal 5 10 2 28 5 10" xfId="32289" xr:uid="{00000000-0005-0000-0000-0000217E0000}"/>
    <cellStyle name="Normal 5 10 2 28 5 2" xfId="32290" xr:uid="{00000000-0005-0000-0000-0000227E0000}"/>
    <cellStyle name="Normal 5 10 2 28 5 3" xfId="32291" xr:uid="{00000000-0005-0000-0000-0000237E0000}"/>
    <cellStyle name="Normal 5 10 2 28 5 4" xfId="32292" xr:uid="{00000000-0005-0000-0000-0000247E0000}"/>
    <cellStyle name="Normal 5 10 2 28 5 5" xfId="32293" xr:uid="{00000000-0005-0000-0000-0000257E0000}"/>
    <cellStyle name="Normal 5 10 2 28 5 6" xfId="32294" xr:uid="{00000000-0005-0000-0000-0000267E0000}"/>
    <cellStyle name="Normal 5 10 2 28 5 7" xfId="32295" xr:uid="{00000000-0005-0000-0000-0000277E0000}"/>
    <cellStyle name="Normal 5 10 2 28 5 8" xfId="32296" xr:uid="{00000000-0005-0000-0000-0000287E0000}"/>
    <cellStyle name="Normal 5 10 2 28 5 9" xfId="32297" xr:uid="{00000000-0005-0000-0000-0000297E0000}"/>
    <cellStyle name="Normal 5 10 2 28 6" xfId="32298" xr:uid="{00000000-0005-0000-0000-00002A7E0000}"/>
    <cellStyle name="Normal 5 10 2 28 7" xfId="32299" xr:uid="{00000000-0005-0000-0000-00002B7E0000}"/>
    <cellStyle name="Normal 5 10 2 28 8" xfId="32300" xr:uid="{00000000-0005-0000-0000-00002C7E0000}"/>
    <cellStyle name="Normal 5 10 2 28 9" xfId="32301" xr:uid="{00000000-0005-0000-0000-00002D7E0000}"/>
    <cellStyle name="Normal 5 10 2 29" xfId="32302" xr:uid="{00000000-0005-0000-0000-00002E7E0000}"/>
    <cellStyle name="Normal 5 10 2 29 10" xfId="32303" xr:uid="{00000000-0005-0000-0000-00002F7E0000}"/>
    <cellStyle name="Normal 5 10 2 29 11" xfId="32304" xr:uid="{00000000-0005-0000-0000-0000307E0000}"/>
    <cellStyle name="Normal 5 10 2 29 12" xfId="32305" xr:uid="{00000000-0005-0000-0000-0000317E0000}"/>
    <cellStyle name="Normal 5 10 2 29 13" xfId="32306" xr:uid="{00000000-0005-0000-0000-0000327E0000}"/>
    <cellStyle name="Normal 5 10 2 29 14" xfId="32307" xr:uid="{00000000-0005-0000-0000-0000337E0000}"/>
    <cellStyle name="Normal 5 10 2 29 2" xfId="32308" xr:uid="{00000000-0005-0000-0000-0000347E0000}"/>
    <cellStyle name="Normal 5 10 2 29 2 10" xfId="32309" xr:uid="{00000000-0005-0000-0000-0000357E0000}"/>
    <cellStyle name="Normal 5 10 2 29 2 2" xfId="32310" xr:uid="{00000000-0005-0000-0000-0000367E0000}"/>
    <cellStyle name="Normal 5 10 2 29 2 3" xfId="32311" xr:uid="{00000000-0005-0000-0000-0000377E0000}"/>
    <cellStyle name="Normal 5 10 2 29 2 4" xfId="32312" xr:uid="{00000000-0005-0000-0000-0000387E0000}"/>
    <cellStyle name="Normal 5 10 2 29 2 5" xfId="32313" xr:uid="{00000000-0005-0000-0000-0000397E0000}"/>
    <cellStyle name="Normal 5 10 2 29 2 6" xfId="32314" xr:uid="{00000000-0005-0000-0000-00003A7E0000}"/>
    <cellStyle name="Normal 5 10 2 29 2 7" xfId="32315" xr:uid="{00000000-0005-0000-0000-00003B7E0000}"/>
    <cellStyle name="Normal 5 10 2 29 2 8" xfId="32316" xr:uid="{00000000-0005-0000-0000-00003C7E0000}"/>
    <cellStyle name="Normal 5 10 2 29 2 9" xfId="32317" xr:uid="{00000000-0005-0000-0000-00003D7E0000}"/>
    <cellStyle name="Normal 5 10 2 29 3" xfId="32318" xr:uid="{00000000-0005-0000-0000-00003E7E0000}"/>
    <cellStyle name="Normal 5 10 2 29 3 10" xfId="32319" xr:uid="{00000000-0005-0000-0000-00003F7E0000}"/>
    <cellStyle name="Normal 5 10 2 29 3 2" xfId="32320" xr:uid="{00000000-0005-0000-0000-0000407E0000}"/>
    <cellStyle name="Normal 5 10 2 29 3 3" xfId="32321" xr:uid="{00000000-0005-0000-0000-0000417E0000}"/>
    <cellStyle name="Normal 5 10 2 29 3 4" xfId="32322" xr:uid="{00000000-0005-0000-0000-0000427E0000}"/>
    <cellStyle name="Normal 5 10 2 29 3 5" xfId="32323" xr:uid="{00000000-0005-0000-0000-0000437E0000}"/>
    <cellStyle name="Normal 5 10 2 29 3 6" xfId="32324" xr:uid="{00000000-0005-0000-0000-0000447E0000}"/>
    <cellStyle name="Normal 5 10 2 29 3 7" xfId="32325" xr:uid="{00000000-0005-0000-0000-0000457E0000}"/>
    <cellStyle name="Normal 5 10 2 29 3 8" xfId="32326" xr:uid="{00000000-0005-0000-0000-0000467E0000}"/>
    <cellStyle name="Normal 5 10 2 29 3 9" xfId="32327" xr:uid="{00000000-0005-0000-0000-0000477E0000}"/>
    <cellStyle name="Normal 5 10 2 29 4" xfId="32328" xr:uid="{00000000-0005-0000-0000-0000487E0000}"/>
    <cellStyle name="Normal 5 10 2 29 4 10" xfId="32329" xr:uid="{00000000-0005-0000-0000-0000497E0000}"/>
    <cellStyle name="Normal 5 10 2 29 4 2" xfId="32330" xr:uid="{00000000-0005-0000-0000-00004A7E0000}"/>
    <cellStyle name="Normal 5 10 2 29 4 3" xfId="32331" xr:uid="{00000000-0005-0000-0000-00004B7E0000}"/>
    <cellStyle name="Normal 5 10 2 29 4 4" xfId="32332" xr:uid="{00000000-0005-0000-0000-00004C7E0000}"/>
    <cellStyle name="Normal 5 10 2 29 4 5" xfId="32333" xr:uid="{00000000-0005-0000-0000-00004D7E0000}"/>
    <cellStyle name="Normal 5 10 2 29 4 6" xfId="32334" xr:uid="{00000000-0005-0000-0000-00004E7E0000}"/>
    <cellStyle name="Normal 5 10 2 29 4 7" xfId="32335" xr:uid="{00000000-0005-0000-0000-00004F7E0000}"/>
    <cellStyle name="Normal 5 10 2 29 4 8" xfId="32336" xr:uid="{00000000-0005-0000-0000-0000507E0000}"/>
    <cellStyle name="Normal 5 10 2 29 4 9" xfId="32337" xr:uid="{00000000-0005-0000-0000-0000517E0000}"/>
    <cellStyle name="Normal 5 10 2 29 5" xfId="32338" xr:uid="{00000000-0005-0000-0000-0000527E0000}"/>
    <cellStyle name="Normal 5 10 2 29 5 10" xfId="32339" xr:uid="{00000000-0005-0000-0000-0000537E0000}"/>
    <cellStyle name="Normal 5 10 2 29 5 2" xfId="32340" xr:uid="{00000000-0005-0000-0000-0000547E0000}"/>
    <cellStyle name="Normal 5 10 2 29 5 3" xfId="32341" xr:uid="{00000000-0005-0000-0000-0000557E0000}"/>
    <cellStyle name="Normal 5 10 2 29 5 4" xfId="32342" xr:uid="{00000000-0005-0000-0000-0000567E0000}"/>
    <cellStyle name="Normal 5 10 2 29 5 5" xfId="32343" xr:uid="{00000000-0005-0000-0000-0000577E0000}"/>
    <cellStyle name="Normal 5 10 2 29 5 6" xfId="32344" xr:uid="{00000000-0005-0000-0000-0000587E0000}"/>
    <cellStyle name="Normal 5 10 2 29 5 7" xfId="32345" xr:uid="{00000000-0005-0000-0000-0000597E0000}"/>
    <cellStyle name="Normal 5 10 2 29 5 8" xfId="32346" xr:uid="{00000000-0005-0000-0000-00005A7E0000}"/>
    <cellStyle name="Normal 5 10 2 29 5 9" xfId="32347" xr:uid="{00000000-0005-0000-0000-00005B7E0000}"/>
    <cellStyle name="Normal 5 10 2 29 6" xfId="32348" xr:uid="{00000000-0005-0000-0000-00005C7E0000}"/>
    <cellStyle name="Normal 5 10 2 29 7" xfId="32349" xr:uid="{00000000-0005-0000-0000-00005D7E0000}"/>
    <cellStyle name="Normal 5 10 2 29 8" xfId="32350" xr:uid="{00000000-0005-0000-0000-00005E7E0000}"/>
    <cellStyle name="Normal 5 10 2 29 9" xfId="32351" xr:uid="{00000000-0005-0000-0000-00005F7E0000}"/>
    <cellStyle name="Normal 5 10 2 3" xfId="32352" xr:uid="{00000000-0005-0000-0000-0000607E0000}"/>
    <cellStyle name="Normal 5 10 2 3 10" xfId="32353" xr:uid="{00000000-0005-0000-0000-0000617E0000}"/>
    <cellStyle name="Normal 5 10 2 3 11" xfId="32354" xr:uid="{00000000-0005-0000-0000-0000627E0000}"/>
    <cellStyle name="Normal 5 10 2 3 12" xfId="32355" xr:uid="{00000000-0005-0000-0000-0000637E0000}"/>
    <cellStyle name="Normal 5 10 2 3 13" xfId="32356" xr:uid="{00000000-0005-0000-0000-0000647E0000}"/>
    <cellStyle name="Normal 5 10 2 3 14" xfId="32357" xr:uid="{00000000-0005-0000-0000-0000657E0000}"/>
    <cellStyle name="Normal 5 10 2 3 2" xfId="32358" xr:uid="{00000000-0005-0000-0000-0000667E0000}"/>
    <cellStyle name="Normal 5 10 2 3 2 10" xfId="32359" xr:uid="{00000000-0005-0000-0000-0000677E0000}"/>
    <cellStyle name="Normal 5 10 2 3 2 2" xfId="32360" xr:uid="{00000000-0005-0000-0000-0000687E0000}"/>
    <cellStyle name="Normal 5 10 2 3 2 3" xfId="32361" xr:uid="{00000000-0005-0000-0000-0000697E0000}"/>
    <cellStyle name="Normal 5 10 2 3 2 4" xfId="32362" xr:uid="{00000000-0005-0000-0000-00006A7E0000}"/>
    <cellStyle name="Normal 5 10 2 3 2 5" xfId="32363" xr:uid="{00000000-0005-0000-0000-00006B7E0000}"/>
    <cellStyle name="Normal 5 10 2 3 2 6" xfId="32364" xr:uid="{00000000-0005-0000-0000-00006C7E0000}"/>
    <cellStyle name="Normal 5 10 2 3 2 7" xfId="32365" xr:uid="{00000000-0005-0000-0000-00006D7E0000}"/>
    <cellStyle name="Normal 5 10 2 3 2 8" xfId="32366" xr:uid="{00000000-0005-0000-0000-00006E7E0000}"/>
    <cellStyle name="Normal 5 10 2 3 2 9" xfId="32367" xr:uid="{00000000-0005-0000-0000-00006F7E0000}"/>
    <cellStyle name="Normal 5 10 2 3 3" xfId="32368" xr:uid="{00000000-0005-0000-0000-0000707E0000}"/>
    <cellStyle name="Normal 5 10 2 3 3 10" xfId="32369" xr:uid="{00000000-0005-0000-0000-0000717E0000}"/>
    <cellStyle name="Normal 5 10 2 3 3 2" xfId="32370" xr:uid="{00000000-0005-0000-0000-0000727E0000}"/>
    <cellStyle name="Normal 5 10 2 3 3 3" xfId="32371" xr:uid="{00000000-0005-0000-0000-0000737E0000}"/>
    <cellStyle name="Normal 5 10 2 3 3 4" xfId="32372" xr:uid="{00000000-0005-0000-0000-0000747E0000}"/>
    <cellStyle name="Normal 5 10 2 3 3 5" xfId="32373" xr:uid="{00000000-0005-0000-0000-0000757E0000}"/>
    <cellStyle name="Normal 5 10 2 3 3 6" xfId="32374" xr:uid="{00000000-0005-0000-0000-0000767E0000}"/>
    <cellStyle name="Normal 5 10 2 3 3 7" xfId="32375" xr:uid="{00000000-0005-0000-0000-0000777E0000}"/>
    <cellStyle name="Normal 5 10 2 3 3 8" xfId="32376" xr:uid="{00000000-0005-0000-0000-0000787E0000}"/>
    <cellStyle name="Normal 5 10 2 3 3 9" xfId="32377" xr:uid="{00000000-0005-0000-0000-0000797E0000}"/>
    <cellStyle name="Normal 5 10 2 3 4" xfId="32378" xr:uid="{00000000-0005-0000-0000-00007A7E0000}"/>
    <cellStyle name="Normal 5 10 2 3 4 10" xfId="32379" xr:uid="{00000000-0005-0000-0000-00007B7E0000}"/>
    <cellStyle name="Normal 5 10 2 3 4 2" xfId="32380" xr:uid="{00000000-0005-0000-0000-00007C7E0000}"/>
    <cellStyle name="Normal 5 10 2 3 4 3" xfId="32381" xr:uid="{00000000-0005-0000-0000-00007D7E0000}"/>
    <cellStyle name="Normal 5 10 2 3 4 4" xfId="32382" xr:uid="{00000000-0005-0000-0000-00007E7E0000}"/>
    <cellStyle name="Normal 5 10 2 3 4 5" xfId="32383" xr:uid="{00000000-0005-0000-0000-00007F7E0000}"/>
    <cellStyle name="Normal 5 10 2 3 4 6" xfId="32384" xr:uid="{00000000-0005-0000-0000-0000807E0000}"/>
    <cellStyle name="Normal 5 10 2 3 4 7" xfId="32385" xr:uid="{00000000-0005-0000-0000-0000817E0000}"/>
    <cellStyle name="Normal 5 10 2 3 4 8" xfId="32386" xr:uid="{00000000-0005-0000-0000-0000827E0000}"/>
    <cellStyle name="Normal 5 10 2 3 4 9" xfId="32387" xr:uid="{00000000-0005-0000-0000-0000837E0000}"/>
    <cellStyle name="Normal 5 10 2 3 5" xfId="32388" xr:uid="{00000000-0005-0000-0000-0000847E0000}"/>
    <cellStyle name="Normal 5 10 2 3 5 10" xfId="32389" xr:uid="{00000000-0005-0000-0000-0000857E0000}"/>
    <cellStyle name="Normal 5 10 2 3 5 2" xfId="32390" xr:uid="{00000000-0005-0000-0000-0000867E0000}"/>
    <cellStyle name="Normal 5 10 2 3 5 3" xfId="32391" xr:uid="{00000000-0005-0000-0000-0000877E0000}"/>
    <cellStyle name="Normal 5 10 2 3 5 4" xfId="32392" xr:uid="{00000000-0005-0000-0000-0000887E0000}"/>
    <cellStyle name="Normal 5 10 2 3 5 5" xfId="32393" xr:uid="{00000000-0005-0000-0000-0000897E0000}"/>
    <cellStyle name="Normal 5 10 2 3 5 6" xfId="32394" xr:uid="{00000000-0005-0000-0000-00008A7E0000}"/>
    <cellStyle name="Normal 5 10 2 3 5 7" xfId="32395" xr:uid="{00000000-0005-0000-0000-00008B7E0000}"/>
    <cellStyle name="Normal 5 10 2 3 5 8" xfId="32396" xr:uid="{00000000-0005-0000-0000-00008C7E0000}"/>
    <cellStyle name="Normal 5 10 2 3 5 9" xfId="32397" xr:uid="{00000000-0005-0000-0000-00008D7E0000}"/>
    <cellStyle name="Normal 5 10 2 3 6" xfId="32398" xr:uid="{00000000-0005-0000-0000-00008E7E0000}"/>
    <cellStyle name="Normal 5 10 2 3 7" xfId="32399" xr:uid="{00000000-0005-0000-0000-00008F7E0000}"/>
    <cellStyle name="Normal 5 10 2 3 8" xfId="32400" xr:uid="{00000000-0005-0000-0000-0000907E0000}"/>
    <cellStyle name="Normal 5 10 2 3 9" xfId="32401" xr:uid="{00000000-0005-0000-0000-0000917E0000}"/>
    <cellStyle name="Normal 5 10 2 30" xfId="32402" xr:uid="{00000000-0005-0000-0000-0000927E0000}"/>
    <cellStyle name="Normal 5 10 2 30 10" xfId="32403" xr:uid="{00000000-0005-0000-0000-0000937E0000}"/>
    <cellStyle name="Normal 5 10 2 30 11" xfId="32404" xr:uid="{00000000-0005-0000-0000-0000947E0000}"/>
    <cellStyle name="Normal 5 10 2 30 12" xfId="32405" xr:uid="{00000000-0005-0000-0000-0000957E0000}"/>
    <cellStyle name="Normal 5 10 2 30 13" xfId="32406" xr:uid="{00000000-0005-0000-0000-0000967E0000}"/>
    <cellStyle name="Normal 5 10 2 30 14" xfId="32407" xr:uid="{00000000-0005-0000-0000-0000977E0000}"/>
    <cellStyle name="Normal 5 10 2 30 2" xfId="32408" xr:uid="{00000000-0005-0000-0000-0000987E0000}"/>
    <cellStyle name="Normal 5 10 2 30 2 10" xfId="32409" xr:uid="{00000000-0005-0000-0000-0000997E0000}"/>
    <cellStyle name="Normal 5 10 2 30 2 2" xfId="32410" xr:uid="{00000000-0005-0000-0000-00009A7E0000}"/>
    <cellStyle name="Normal 5 10 2 30 2 3" xfId="32411" xr:uid="{00000000-0005-0000-0000-00009B7E0000}"/>
    <cellStyle name="Normal 5 10 2 30 2 4" xfId="32412" xr:uid="{00000000-0005-0000-0000-00009C7E0000}"/>
    <cellStyle name="Normal 5 10 2 30 2 5" xfId="32413" xr:uid="{00000000-0005-0000-0000-00009D7E0000}"/>
    <cellStyle name="Normal 5 10 2 30 2 6" xfId="32414" xr:uid="{00000000-0005-0000-0000-00009E7E0000}"/>
    <cellStyle name="Normal 5 10 2 30 2 7" xfId="32415" xr:uid="{00000000-0005-0000-0000-00009F7E0000}"/>
    <cellStyle name="Normal 5 10 2 30 2 8" xfId="32416" xr:uid="{00000000-0005-0000-0000-0000A07E0000}"/>
    <cellStyle name="Normal 5 10 2 30 2 9" xfId="32417" xr:uid="{00000000-0005-0000-0000-0000A17E0000}"/>
    <cellStyle name="Normal 5 10 2 30 3" xfId="32418" xr:uid="{00000000-0005-0000-0000-0000A27E0000}"/>
    <cellStyle name="Normal 5 10 2 30 3 10" xfId="32419" xr:uid="{00000000-0005-0000-0000-0000A37E0000}"/>
    <cellStyle name="Normal 5 10 2 30 3 2" xfId="32420" xr:uid="{00000000-0005-0000-0000-0000A47E0000}"/>
    <cellStyle name="Normal 5 10 2 30 3 3" xfId="32421" xr:uid="{00000000-0005-0000-0000-0000A57E0000}"/>
    <cellStyle name="Normal 5 10 2 30 3 4" xfId="32422" xr:uid="{00000000-0005-0000-0000-0000A67E0000}"/>
    <cellStyle name="Normal 5 10 2 30 3 5" xfId="32423" xr:uid="{00000000-0005-0000-0000-0000A77E0000}"/>
    <cellStyle name="Normal 5 10 2 30 3 6" xfId="32424" xr:uid="{00000000-0005-0000-0000-0000A87E0000}"/>
    <cellStyle name="Normal 5 10 2 30 3 7" xfId="32425" xr:uid="{00000000-0005-0000-0000-0000A97E0000}"/>
    <cellStyle name="Normal 5 10 2 30 3 8" xfId="32426" xr:uid="{00000000-0005-0000-0000-0000AA7E0000}"/>
    <cellStyle name="Normal 5 10 2 30 3 9" xfId="32427" xr:uid="{00000000-0005-0000-0000-0000AB7E0000}"/>
    <cellStyle name="Normal 5 10 2 30 4" xfId="32428" xr:uid="{00000000-0005-0000-0000-0000AC7E0000}"/>
    <cellStyle name="Normal 5 10 2 30 4 10" xfId="32429" xr:uid="{00000000-0005-0000-0000-0000AD7E0000}"/>
    <cellStyle name="Normal 5 10 2 30 4 2" xfId="32430" xr:uid="{00000000-0005-0000-0000-0000AE7E0000}"/>
    <cellStyle name="Normal 5 10 2 30 4 3" xfId="32431" xr:uid="{00000000-0005-0000-0000-0000AF7E0000}"/>
    <cellStyle name="Normal 5 10 2 30 4 4" xfId="32432" xr:uid="{00000000-0005-0000-0000-0000B07E0000}"/>
    <cellStyle name="Normal 5 10 2 30 4 5" xfId="32433" xr:uid="{00000000-0005-0000-0000-0000B17E0000}"/>
    <cellStyle name="Normal 5 10 2 30 4 6" xfId="32434" xr:uid="{00000000-0005-0000-0000-0000B27E0000}"/>
    <cellStyle name="Normal 5 10 2 30 4 7" xfId="32435" xr:uid="{00000000-0005-0000-0000-0000B37E0000}"/>
    <cellStyle name="Normal 5 10 2 30 4 8" xfId="32436" xr:uid="{00000000-0005-0000-0000-0000B47E0000}"/>
    <cellStyle name="Normal 5 10 2 30 4 9" xfId="32437" xr:uid="{00000000-0005-0000-0000-0000B57E0000}"/>
    <cellStyle name="Normal 5 10 2 30 5" xfId="32438" xr:uid="{00000000-0005-0000-0000-0000B67E0000}"/>
    <cellStyle name="Normal 5 10 2 30 5 10" xfId="32439" xr:uid="{00000000-0005-0000-0000-0000B77E0000}"/>
    <cellStyle name="Normal 5 10 2 30 5 2" xfId="32440" xr:uid="{00000000-0005-0000-0000-0000B87E0000}"/>
    <cellStyle name="Normal 5 10 2 30 5 3" xfId="32441" xr:uid="{00000000-0005-0000-0000-0000B97E0000}"/>
    <cellStyle name="Normal 5 10 2 30 5 4" xfId="32442" xr:uid="{00000000-0005-0000-0000-0000BA7E0000}"/>
    <cellStyle name="Normal 5 10 2 30 5 5" xfId="32443" xr:uid="{00000000-0005-0000-0000-0000BB7E0000}"/>
    <cellStyle name="Normal 5 10 2 30 5 6" xfId="32444" xr:uid="{00000000-0005-0000-0000-0000BC7E0000}"/>
    <cellStyle name="Normal 5 10 2 30 5 7" xfId="32445" xr:uid="{00000000-0005-0000-0000-0000BD7E0000}"/>
    <cellStyle name="Normal 5 10 2 30 5 8" xfId="32446" xr:uid="{00000000-0005-0000-0000-0000BE7E0000}"/>
    <cellStyle name="Normal 5 10 2 30 5 9" xfId="32447" xr:uid="{00000000-0005-0000-0000-0000BF7E0000}"/>
    <cellStyle name="Normal 5 10 2 30 6" xfId="32448" xr:uid="{00000000-0005-0000-0000-0000C07E0000}"/>
    <cellStyle name="Normal 5 10 2 30 7" xfId="32449" xr:uid="{00000000-0005-0000-0000-0000C17E0000}"/>
    <cellStyle name="Normal 5 10 2 30 8" xfId="32450" xr:uid="{00000000-0005-0000-0000-0000C27E0000}"/>
    <cellStyle name="Normal 5 10 2 30 9" xfId="32451" xr:uid="{00000000-0005-0000-0000-0000C37E0000}"/>
    <cellStyle name="Normal 5 10 2 31" xfId="32452" xr:uid="{00000000-0005-0000-0000-0000C47E0000}"/>
    <cellStyle name="Normal 5 10 2 31 10" xfId="32453" xr:uid="{00000000-0005-0000-0000-0000C57E0000}"/>
    <cellStyle name="Normal 5 10 2 31 11" xfId="32454" xr:uid="{00000000-0005-0000-0000-0000C67E0000}"/>
    <cellStyle name="Normal 5 10 2 31 12" xfId="32455" xr:uid="{00000000-0005-0000-0000-0000C77E0000}"/>
    <cellStyle name="Normal 5 10 2 31 13" xfId="32456" xr:uid="{00000000-0005-0000-0000-0000C87E0000}"/>
    <cellStyle name="Normal 5 10 2 31 14" xfId="32457" xr:uid="{00000000-0005-0000-0000-0000C97E0000}"/>
    <cellStyle name="Normal 5 10 2 31 2" xfId="32458" xr:uid="{00000000-0005-0000-0000-0000CA7E0000}"/>
    <cellStyle name="Normal 5 10 2 31 2 10" xfId="32459" xr:uid="{00000000-0005-0000-0000-0000CB7E0000}"/>
    <cellStyle name="Normal 5 10 2 31 2 2" xfId="32460" xr:uid="{00000000-0005-0000-0000-0000CC7E0000}"/>
    <cellStyle name="Normal 5 10 2 31 2 3" xfId="32461" xr:uid="{00000000-0005-0000-0000-0000CD7E0000}"/>
    <cellStyle name="Normal 5 10 2 31 2 4" xfId="32462" xr:uid="{00000000-0005-0000-0000-0000CE7E0000}"/>
    <cellStyle name="Normal 5 10 2 31 2 5" xfId="32463" xr:uid="{00000000-0005-0000-0000-0000CF7E0000}"/>
    <cellStyle name="Normal 5 10 2 31 2 6" xfId="32464" xr:uid="{00000000-0005-0000-0000-0000D07E0000}"/>
    <cellStyle name="Normal 5 10 2 31 2 7" xfId="32465" xr:uid="{00000000-0005-0000-0000-0000D17E0000}"/>
    <cellStyle name="Normal 5 10 2 31 2 8" xfId="32466" xr:uid="{00000000-0005-0000-0000-0000D27E0000}"/>
    <cellStyle name="Normal 5 10 2 31 2 9" xfId="32467" xr:uid="{00000000-0005-0000-0000-0000D37E0000}"/>
    <cellStyle name="Normal 5 10 2 31 3" xfId="32468" xr:uid="{00000000-0005-0000-0000-0000D47E0000}"/>
    <cellStyle name="Normal 5 10 2 31 3 10" xfId="32469" xr:uid="{00000000-0005-0000-0000-0000D57E0000}"/>
    <cellStyle name="Normal 5 10 2 31 3 2" xfId="32470" xr:uid="{00000000-0005-0000-0000-0000D67E0000}"/>
    <cellStyle name="Normal 5 10 2 31 3 3" xfId="32471" xr:uid="{00000000-0005-0000-0000-0000D77E0000}"/>
    <cellStyle name="Normal 5 10 2 31 3 4" xfId="32472" xr:uid="{00000000-0005-0000-0000-0000D87E0000}"/>
    <cellStyle name="Normal 5 10 2 31 3 5" xfId="32473" xr:uid="{00000000-0005-0000-0000-0000D97E0000}"/>
    <cellStyle name="Normal 5 10 2 31 3 6" xfId="32474" xr:uid="{00000000-0005-0000-0000-0000DA7E0000}"/>
    <cellStyle name="Normal 5 10 2 31 3 7" xfId="32475" xr:uid="{00000000-0005-0000-0000-0000DB7E0000}"/>
    <cellStyle name="Normal 5 10 2 31 3 8" xfId="32476" xr:uid="{00000000-0005-0000-0000-0000DC7E0000}"/>
    <cellStyle name="Normal 5 10 2 31 3 9" xfId="32477" xr:uid="{00000000-0005-0000-0000-0000DD7E0000}"/>
    <cellStyle name="Normal 5 10 2 31 4" xfId="32478" xr:uid="{00000000-0005-0000-0000-0000DE7E0000}"/>
    <cellStyle name="Normal 5 10 2 31 4 10" xfId="32479" xr:uid="{00000000-0005-0000-0000-0000DF7E0000}"/>
    <cellStyle name="Normal 5 10 2 31 4 2" xfId="32480" xr:uid="{00000000-0005-0000-0000-0000E07E0000}"/>
    <cellStyle name="Normal 5 10 2 31 4 3" xfId="32481" xr:uid="{00000000-0005-0000-0000-0000E17E0000}"/>
    <cellStyle name="Normal 5 10 2 31 4 4" xfId="32482" xr:uid="{00000000-0005-0000-0000-0000E27E0000}"/>
    <cellStyle name="Normal 5 10 2 31 4 5" xfId="32483" xr:uid="{00000000-0005-0000-0000-0000E37E0000}"/>
    <cellStyle name="Normal 5 10 2 31 4 6" xfId="32484" xr:uid="{00000000-0005-0000-0000-0000E47E0000}"/>
    <cellStyle name="Normal 5 10 2 31 4 7" xfId="32485" xr:uid="{00000000-0005-0000-0000-0000E57E0000}"/>
    <cellStyle name="Normal 5 10 2 31 4 8" xfId="32486" xr:uid="{00000000-0005-0000-0000-0000E67E0000}"/>
    <cellStyle name="Normal 5 10 2 31 4 9" xfId="32487" xr:uid="{00000000-0005-0000-0000-0000E77E0000}"/>
    <cellStyle name="Normal 5 10 2 31 5" xfId="32488" xr:uid="{00000000-0005-0000-0000-0000E87E0000}"/>
    <cellStyle name="Normal 5 10 2 31 5 10" xfId="32489" xr:uid="{00000000-0005-0000-0000-0000E97E0000}"/>
    <cellStyle name="Normal 5 10 2 31 5 2" xfId="32490" xr:uid="{00000000-0005-0000-0000-0000EA7E0000}"/>
    <cellStyle name="Normal 5 10 2 31 5 3" xfId="32491" xr:uid="{00000000-0005-0000-0000-0000EB7E0000}"/>
    <cellStyle name="Normal 5 10 2 31 5 4" xfId="32492" xr:uid="{00000000-0005-0000-0000-0000EC7E0000}"/>
    <cellStyle name="Normal 5 10 2 31 5 5" xfId="32493" xr:uid="{00000000-0005-0000-0000-0000ED7E0000}"/>
    <cellStyle name="Normal 5 10 2 31 5 6" xfId="32494" xr:uid="{00000000-0005-0000-0000-0000EE7E0000}"/>
    <cellStyle name="Normal 5 10 2 31 5 7" xfId="32495" xr:uid="{00000000-0005-0000-0000-0000EF7E0000}"/>
    <cellStyle name="Normal 5 10 2 31 5 8" xfId="32496" xr:uid="{00000000-0005-0000-0000-0000F07E0000}"/>
    <cellStyle name="Normal 5 10 2 31 5 9" xfId="32497" xr:uid="{00000000-0005-0000-0000-0000F17E0000}"/>
    <cellStyle name="Normal 5 10 2 31 6" xfId="32498" xr:uid="{00000000-0005-0000-0000-0000F27E0000}"/>
    <cellStyle name="Normal 5 10 2 31 7" xfId="32499" xr:uid="{00000000-0005-0000-0000-0000F37E0000}"/>
    <cellStyle name="Normal 5 10 2 31 8" xfId="32500" xr:uid="{00000000-0005-0000-0000-0000F47E0000}"/>
    <cellStyle name="Normal 5 10 2 31 9" xfId="32501" xr:uid="{00000000-0005-0000-0000-0000F57E0000}"/>
    <cellStyle name="Normal 5 10 2 32" xfId="32502" xr:uid="{00000000-0005-0000-0000-0000F67E0000}"/>
    <cellStyle name="Normal 5 10 2 32 10" xfId="32503" xr:uid="{00000000-0005-0000-0000-0000F77E0000}"/>
    <cellStyle name="Normal 5 10 2 32 11" xfId="32504" xr:uid="{00000000-0005-0000-0000-0000F87E0000}"/>
    <cellStyle name="Normal 5 10 2 32 12" xfId="32505" xr:uid="{00000000-0005-0000-0000-0000F97E0000}"/>
    <cellStyle name="Normal 5 10 2 32 13" xfId="32506" xr:uid="{00000000-0005-0000-0000-0000FA7E0000}"/>
    <cellStyle name="Normal 5 10 2 32 14" xfId="32507" xr:uid="{00000000-0005-0000-0000-0000FB7E0000}"/>
    <cellStyle name="Normal 5 10 2 32 2" xfId="32508" xr:uid="{00000000-0005-0000-0000-0000FC7E0000}"/>
    <cellStyle name="Normal 5 10 2 32 2 10" xfId="32509" xr:uid="{00000000-0005-0000-0000-0000FD7E0000}"/>
    <cellStyle name="Normal 5 10 2 32 2 2" xfId="32510" xr:uid="{00000000-0005-0000-0000-0000FE7E0000}"/>
    <cellStyle name="Normal 5 10 2 32 2 3" xfId="32511" xr:uid="{00000000-0005-0000-0000-0000FF7E0000}"/>
    <cellStyle name="Normal 5 10 2 32 2 4" xfId="32512" xr:uid="{00000000-0005-0000-0000-0000007F0000}"/>
    <cellStyle name="Normal 5 10 2 32 2 5" xfId="32513" xr:uid="{00000000-0005-0000-0000-0000017F0000}"/>
    <cellStyle name="Normal 5 10 2 32 2 6" xfId="32514" xr:uid="{00000000-0005-0000-0000-0000027F0000}"/>
    <cellStyle name="Normal 5 10 2 32 2 7" xfId="32515" xr:uid="{00000000-0005-0000-0000-0000037F0000}"/>
    <cellStyle name="Normal 5 10 2 32 2 8" xfId="32516" xr:uid="{00000000-0005-0000-0000-0000047F0000}"/>
    <cellStyle name="Normal 5 10 2 32 2 9" xfId="32517" xr:uid="{00000000-0005-0000-0000-0000057F0000}"/>
    <cellStyle name="Normal 5 10 2 32 3" xfId="32518" xr:uid="{00000000-0005-0000-0000-0000067F0000}"/>
    <cellStyle name="Normal 5 10 2 32 3 10" xfId="32519" xr:uid="{00000000-0005-0000-0000-0000077F0000}"/>
    <cellStyle name="Normal 5 10 2 32 3 2" xfId="32520" xr:uid="{00000000-0005-0000-0000-0000087F0000}"/>
    <cellStyle name="Normal 5 10 2 32 3 3" xfId="32521" xr:uid="{00000000-0005-0000-0000-0000097F0000}"/>
    <cellStyle name="Normal 5 10 2 32 3 4" xfId="32522" xr:uid="{00000000-0005-0000-0000-00000A7F0000}"/>
    <cellStyle name="Normal 5 10 2 32 3 5" xfId="32523" xr:uid="{00000000-0005-0000-0000-00000B7F0000}"/>
    <cellStyle name="Normal 5 10 2 32 3 6" xfId="32524" xr:uid="{00000000-0005-0000-0000-00000C7F0000}"/>
    <cellStyle name="Normal 5 10 2 32 3 7" xfId="32525" xr:uid="{00000000-0005-0000-0000-00000D7F0000}"/>
    <cellStyle name="Normal 5 10 2 32 3 8" xfId="32526" xr:uid="{00000000-0005-0000-0000-00000E7F0000}"/>
    <cellStyle name="Normal 5 10 2 32 3 9" xfId="32527" xr:uid="{00000000-0005-0000-0000-00000F7F0000}"/>
    <cellStyle name="Normal 5 10 2 32 4" xfId="32528" xr:uid="{00000000-0005-0000-0000-0000107F0000}"/>
    <cellStyle name="Normal 5 10 2 32 4 10" xfId="32529" xr:uid="{00000000-0005-0000-0000-0000117F0000}"/>
    <cellStyle name="Normal 5 10 2 32 4 2" xfId="32530" xr:uid="{00000000-0005-0000-0000-0000127F0000}"/>
    <cellStyle name="Normal 5 10 2 32 4 3" xfId="32531" xr:uid="{00000000-0005-0000-0000-0000137F0000}"/>
    <cellStyle name="Normal 5 10 2 32 4 4" xfId="32532" xr:uid="{00000000-0005-0000-0000-0000147F0000}"/>
    <cellStyle name="Normal 5 10 2 32 4 5" xfId="32533" xr:uid="{00000000-0005-0000-0000-0000157F0000}"/>
    <cellStyle name="Normal 5 10 2 32 4 6" xfId="32534" xr:uid="{00000000-0005-0000-0000-0000167F0000}"/>
    <cellStyle name="Normal 5 10 2 32 4 7" xfId="32535" xr:uid="{00000000-0005-0000-0000-0000177F0000}"/>
    <cellStyle name="Normal 5 10 2 32 4 8" xfId="32536" xr:uid="{00000000-0005-0000-0000-0000187F0000}"/>
    <cellStyle name="Normal 5 10 2 32 4 9" xfId="32537" xr:uid="{00000000-0005-0000-0000-0000197F0000}"/>
    <cellStyle name="Normal 5 10 2 32 5" xfId="32538" xr:uid="{00000000-0005-0000-0000-00001A7F0000}"/>
    <cellStyle name="Normal 5 10 2 32 5 10" xfId="32539" xr:uid="{00000000-0005-0000-0000-00001B7F0000}"/>
    <cellStyle name="Normal 5 10 2 32 5 2" xfId="32540" xr:uid="{00000000-0005-0000-0000-00001C7F0000}"/>
    <cellStyle name="Normal 5 10 2 32 5 3" xfId="32541" xr:uid="{00000000-0005-0000-0000-00001D7F0000}"/>
    <cellStyle name="Normal 5 10 2 32 5 4" xfId="32542" xr:uid="{00000000-0005-0000-0000-00001E7F0000}"/>
    <cellStyle name="Normal 5 10 2 32 5 5" xfId="32543" xr:uid="{00000000-0005-0000-0000-00001F7F0000}"/>
    <cellStyle name="Normal 5 10 2 32 5 6" xfId="32544" xr:uid="{00000000-0005-0000-0000-0000207F0000}"/>
    <cellStyle name="Normal 5 10 2 32 5 7" xfId="32545" xr:uid="{00000000-0005-0000-0000-0000217F0000}"/>
    <cellStyle name="Normal 5 10 2 32 5 8" xfId="32546" xr:uid="{00000000-0005-0000-0000-0000227F0000}"/>
    <cellStyle name="Normal 5 10 2 32 5 9" xfId="32547" xr:uid="{00000000-0005-0000-0000-0000237F0000}"/>
    <cellStyle name="Normal 5 10 2 32 6" xfId="32548" xr:uid="{00000000-0005-0000-0000-0000247F0000}"/>
    <cellStyle name="Normal 5 10 2 32 7" xfId="32549" xr:uid="{00000000-0005-0000-0000-0000257F0000}"/>
    <cellStyle name="Normal 5 10 2 32 8" xfId="32550" xr:uid="{00000000-0005-0000-0000-0000267F0000}"/>
    <cellStyle name="Normal 5 10 2 32 9" xfId="32551" xr:uid="{00000000-0005-0000-0000-0000277F0000}"/>
    <cellStyle name="Normal 5 10 2 33" xfId="32552" xr:uid="{00000000-0005-0000-0000-0000287F0000}"/>
    <cellStyle name="Normal 5 10 2 33 10" xfId="32553" xr:uid="{00000000-0005-0000-0000-0000297F0000}"/>
    <cellStyle name="Normal 5 10 2 33 11" xfId="32554" xr:uid="{00000000-0005-0000-0000-00002A7F0000}"/>
    <cellStyle name="Normal 5 10 2 33 12" xfId="32555" xr:uid="{00000000-0005-0000-0000-00002B7F0000}"/>
    <cellStyle name="Normal 5 10 2 33 13" xfId="32556" xr:uid="{00000000-0005-0000-0000-00002C7F0000}"/>
    <cellStyle name="Normal 5 10 2 33 14" xfId="32557" xr:uid="{00000000-0005-0000-0000-00002D7F0000}"/>
    <cellStyle name="Normal 5 10 2 33 2" xfId="32558" xr:uid="{00000000-0005-0000-0000-00002E7F0000}"/>
    <cellStyle name="Normal 5 10 2 33 2 10" xfId="32559" xr:uid="{00000000-0005-0000-0000-00002F7F0000}"/>
    <cellStyle name="Normal 5 10 2 33 2 2" xfId="32560" xr:uid="{00000000-0005-0000-0000-0000307F0000}"/>
    <cellStyle name="Normal 5 10 2 33 2 3" xfId="32561" xr:uid="{00000000-0005-0000-0000-0000317F0000}"/>
    <cellStyle name="Normal 5 10 2 33 2 4" xfId="32562" xr:uid="{00000000-0005-0000-0000-0000327F0000}"/>
    <cellStyle name="Normal 5 10 2 33 2 5" xfId="32563" xr:uid="{00000000-0005-0000-0000-0000337F0000}"/>
    <cellStyle name="Normal 5 10 2 33 2 6" xfId="32564" xr:uid="{00000000-0005-0000-0000-0000347F0000}"/>
    <cellStyle name="Normal 5 10 2 33 2 7" xfId="32565" xr:uid="{00000000-0005-0000-0000-0000357F0000}"/>
    <cellStyle name="Normal 5 10 2 33 2 8" xfId="32566" xr:uid="{00000000-0005-0000-0000-0000367F0000}"/>
    <cellStyle name="Normal 5 10 2 33 2 9" xfId="32567" xr:uid="{00000000-0005-0000-0000-0000377F0000}"/>
    <cellStyle name="Normal 5 10 2 33 3" xfId="32568" xr:uid="{00000000-0005-0000-0000-0000387F0000}"/>
    <cellStyle name="Normal 5 10 2 33 3 10" xfId="32569" xr:uid="{00000000-0005-0000-0000-0000397F0000}"/>
    <cellStyle name="Normal 5 10 2 33 3 2" xfId="32570" xr:uid="{00000000-0005-0000-0000-00003A7F0000}"/>
    <cellStyle name="Normal 5 10 2 33 3 3" xfId="32571" xr:uid="{00000000-0005-0000-0000-00003B7F0000}"/>
    <cellStyle name="Normal 5 10 2 33 3 4" xfId="32572" xr:uid="{00000000-0005-0000-0000-00003C7F0000}"/>
    <cellStyle name="Normal 5 10 2 33 3 5" xfId="32573" xr:uid="{00000000-0005-0000-0000-00003D7F0000}"/>
    <cellStyle name="Normal 5 10 2 33 3 6" xfId="32574" xr:uid="{00000000-0005-0000-0000-00003E7F0000}"/>
    <cellStyle name="Normal 5 10 2 33 3 7" xfId="32575" xr:uid="{00000000-0005-0000-0000-00003F7F0000}"/>
    <cellStyle name="Normal 5 10 2 33 3 8" xfId="32576" xr:uid="{00000000-0005-0000-0000-0000407F0000}"/>
    <cellStyle name="Normal 5 10 2 33 3 9" xfId="32577" xr:uid="{00000000-0005-0000-0000-0000417F0000}"/>
    <cellStyle name="Normal 5 10 2 33 4" xfId="32578" xr:uid="{00000000-0005-0000-0000-0000427F0000}"/>
    <cellStyle name="Normal 5 10 2 33 4 10" xfId="32579" xr:uid="{00000000-0005-0000-0000-0000437F0000}"/>
    <cellStyle name="Normal 5 10 2 33 4 2" xfId="32580" xr:uid="{00000000-0005-0000-0000-0000447F0000}"/>
    <cellStyle name="Normal 5 10 2 33 4 3" xfId="32581" xr:uid="{00000000-0005-0000-0000-0000457F0000}"/>
    <cellStyle name="Normal 5 10 2 33 4 4" xfId="32582" xr:uid="{00000000-0005-0000-0000-0000467F0000}"/>
    <cellStyle name="Normal 5 10 2 33 4 5" xfId="32583" xr:uid="{00000000-0005-0000-0000-0000477F0000}"/>
    <cellStyle name="Normal 5 10 2 33 4 6" xfId="32584" xr:uid="{00000000-0005-0000-0000-0000487F0000}"/>
    <cellStyle name="Normal 5 10 2 33 4 7" xfId="32585" xr:uid="{00000000-0005-0000-0000-0000497F0000}"/>
    <cellStyle name="Normal 5 10 2 33 4 8" xfId="32586" xr:uid="{00000000-0005-0000-0000-00004A7F0000}"/>
    <cellStyle name="Normal 5 10 2 33 4 9" xfId="32587" xr:uid="{00000000-0005-0000-0000-00004B7F0000}"/>
    <cellStyle name="Normal 5 10 2 33 5" xfId="32588" xr:uid="{00000000-0005-0000-0000-00004C7F0000}"/>
    <cellStyle name="Normal 5 10 2 33 5 10" xfId="32589" xr:uid="{00000000-0005-0000-0000-00004D7F0000}"/>
    <cellStyle name="Normal 5 10 2 33 5 2" xfId="32590" xr:uid="{00000000-0005-0000-0000-00004E7F0000}"/>
    <cellStyle name="Normal 5 10 2 33 5 3" xfId="32591" xr:uid="{00000000-0005-0000-0000-00004F7F0000}"/>
    <cellStyle name="Normal 5 10 2 33 5 4" xfId="32592" xr:uid="{00000000-0005-0000-0000-0000507F0000}"/>
    <cellStyle name="Normal 5 10 2 33 5 5" xfId="32593" xr:uid="{00000000-0005-0000-0000-0000517F0000}"/>
    <cellStyle name="Normal 5 10 2 33 5 6" xfId="32594" xr:uid="{00000000-0005-0000-0000-0000527F0000}"/>
    <cellStyle name="Normal 5 10 2 33 5 7" xfId="32595" xr:uid="{00000000-0005-0000-0000-0000537F0000}"/>
    <cellStyle name="Normal 5 10 2 33 5 8" xfId="32596" xr:uid="{00000000-0005-0000-0000-0000547F0000}"/>
    <cellStyle name="Normal 5 10 2 33 5 9" xfId="32597" xr:uid="{00000000-0005-0000-0000-0000557F0000}"/>
    <cellStyle name="Normal 5 10 2 33 6" xfId="32598" xr:uid="{00000000-0005-0000-0000-0000567F0000}"/>
    <cellStyle name="Normal 5 10 2 33 7" xfId="32599" xr:uid="{00000000-0005-0000-0000-0000577F0000}"/>
    <cellStyle name="Normal 5 10 2 33 8" xfId="32600" xr:uid="{00000000-0005-0000-0000-0000587F0000}"/>
    <cellStyle name="Normal 5 10 2 33 9" xfId="32601" xr:uid="{00000000-0005-0000-0000-0000597F0000}"/>
    <cellStyle name="Normal 5 10 2 34" xfId="32602" xr:uid="{00000000-0005-0000-0000-00005A7F0000}"/>
    <cellStyle name="Normal 5 10 2 34 10" xfId="32603" xr:uid="{00000000-0005-0000-0000-00005B7F0000}"/>
    <cellStyle name="Normal 5 10 2 34 2" xfId="32604" xr:uid="{00000000-0005-0000-0000-00005C7F0000}"/>
    <cellStyle name="Normal 5 10 2 34 3" xfId="32605" xr:uid="{00000000-0005-0000-0000-00005D7F0000}"/>
    <cellStyle name="Normal 5 10 2 34 4" xfId="32606" xr:uid="{00000000-0005-0000-0000-00005E7F0000}"/>
    <cellStyle name="Normal 5 10 2 34 5" xfId="32607" xr:uid="{00000000-0005-0000-0000-00005F7F0000}"/>
    <cellStyle name="Normal 5 10 2 34 6" xfId="32608" xr:uid="{00000000-0005-0000-0000-0000607F0000}"/>
    <cellStyle name="Normal 5 10 2 34 7" xfId="32609" xr:uid="{00000000-0005-0000-0000-0000617F0000}"/>
    <cellStyle name="Normal 5 10 2 34 8" xfId="32610" xr:uid="{00000000-0005-0000-0000-0000627F0000}"/>
    <cellStyle name="Normal 5 10 2 34 9" xfId="32611" xr:uid="{00000000-0005-0000-0000-0000637F0000}"/>
    <cellStyle name="Normal 5 10 2 35" xfId="32612" xr:uid="{00000000-0005-0000-0000-0000647F0000}"/>
    <cellStyle name="Normal 5 10 2 35 10" xfId="32613" xr:uid="{00000000-0005-0000-0000-0000657F0000}"/>
    <cellStyle name="Normal 5 10 2 35 2" xfId="32614" xr:uid="{00000000-0005-0000-0000-0000667F0000}"/>
    <cellStyle name="Normal 5 10 2 35 3" xfId="32615" xr:uid="{00000000-0005-0000-0000-0000677F0000}"/>
    <cellStyle name="Normal 5 10 2 35 4" xfId="32616" xr:uid="{00000000-0005-0000-0000-0000687F0000}"/>
    <cellStyle name="Normal 5 10 2 35 5" xfId="32617" xr:uid="{00000000-0005-0000-0000-0000697F0000}"/>
    <cellStyle name="Normal 5 10 2 35 6" xfId="32618" xr:uid="{00000000-0005-0000-0000-00006A7F0000}"/>
    <cellStyle name="Normal 5 10 2 35 7" xfId="32619" xr:uid="{00000000-0005-0000-0000-00006B7F0000}"/>
    <cellStyle name="Normal 5 10 2 35 8" xfId="32620" xr:uid="{00000000-0005-0000-0000-00006C7F0000}"/>
    <cellStyle name="Normal 5 10 2 35 9" xfId="32621" xr:uid="{00000000-0005-0000-0000-00006D7F0000}"/>
    <cellStyle name="Normal 5 10 2 36" xfId="32622" xr:uid="{00000000-0005-0000-0000-00006E7F0000}"/>
    <cellStyle name="Normal 5 10 2 36 10" xfId="32623" xr:uid="{00000000-0005-0000-0000-00006F7F0000}"/>
    <cellStyle name="Normal 5 10 2 36 2" xfId="32624" xr:uid="{00000000-0005-0000-0000-0000707F0000}"/>
    <cellStyle name="Normal 5 10 2 36 3" xfId="32625" xr:uid="{00000000-0005-0000-0000-0000717F0000}"/>
    <cellStyle name="Normal 5 10 2 36 4" xfId="32626" xr:uid="{00000000-0005-0000-0000-0000727F0000}"/>
    <cellStyle name="Normal 5 10 2 36 5" xfId="32627" xr:uid="{00000000-0005-0000-0000-0000737F0000}"/>
    <cellStyle name="Normal 5 10 2 36 6" xfId="32628" xr:uid="{00000000-0005-0000-0000-0000747F0000}"/>
    <cellStyle name="Normal 5 10 2 36 7" xfId="32629" xr:uid="{00000000-0005-0000-0000-0000757F0000}"/>
    <cellStyle name="Normal 5 10 2 36 8" xfId="32630" xr:uid="{00000000-0005-0000-0000-0000767F0000}"/>
    <cellStyle name="Normal 5 10 2 36 9" xfId="32631" xr:uid="{00000000-0005-0000-0000-0000777F0000}"/>
    <cellStyle name="Normal 5 10 2 37" xfId="32632" xr:uid="{00000000-0005-0000-0000-0000787F0000}"/>
    <cellStyle name="Normal 5 10 2 37 10" xfId="32633" xr:uid="{00000000-0005-0000-0000-0000797F0000}"/>
    <cellStyle name="Normal 5 10 2 37 2" xfId="32634" xr:uid="{00000000-0005-0000-0000-00007A7F0000}"/>
    <cellStyle name="Normal 5 10 2 37 3" xfId="32635" xr:uid="{00000000-0005-0000-0000-00007B7F0000}"/>
    <cellStyle name="Normal 5 10 2 37 4" xfId="32636" xr:uid="{00000000-0005-0000-0000-00007C7F0000}"/>
    <cellStyle name="Normal 5 10 2 37 5" xfId="32637" xr:uid="{00000000-0005-0000-0000-00007D7F0000}"/>
    <cellStyle name="Normal 5 10 2 37 6" xfId="32638" xr:uid="{00000000-0005-0000-0000-00007E7F0000}"/>
    <cellStyle name="Normal 5 10 2 37 7" xfId="32639" xr:uid="{00000000-0005-0000-0000-00007F7F0000}"/>
    <cellStyle name="Normal 5 10 2 37 8" xfId="32640" xr:uid="{00000000-0005-0000-0000-0000807F0000}"/>
    <cellStyle name="Normal 5 10 2 37 9" xfId="32641" xr:uid="{00000000-0005-0000-0000-0000817F0000}"/>
    <cellStyle name="Normal 5 10 2 38" xfId="32642" xr:uid="{00000000-0005-0000-0000-0000827F0000}"/>
    <cellStyle name="Normal 5 10 2 39" xfId="32643" xr:uid="{00000000-0005-0000-0000-0000837F0000}"/>
    <cellStyle name="Normal 5 10 2 4" xfId="32644" xr:uid="{00000000-0005-0000-0000-0000847F0000}"/>
    <cellStyle name="Normal 5 10 2 4 10" xfId="32645" xr:uid="{00000000-0005-0000-0000-0000857F0000}"/>
    <cellStyle name="Normal 5 10 2 4 11" xfId="32646" xr:uid="{00000000-0005-0000-0000-0000867F0000}"/>
    <cellStyle name="Normal 5 10 2 4 12" xfId="32647" xr:uid="{00000000-0005-0000-0000-0000877F0000}"/>
    <cellStyle name="Normal 5 10 2 4 13" xfId="32648" xr:uid="{00000000-0005-0000-0000-0000887F0000}"/>
    <cellStyle name="Normal 5 10 2 4 14" xfId="32649" xr:uid="{00000000-0005-0000-0000-0000897F0000}"/>
    <cellStyle name="Normal 5 10 2 4 2" xfId="32650" xr:uid="{00000000-0005-0000-0000-00008A7F0000}"/>
    <cellStyle name="Normal 5 10 2 4 2 10" xfId="32651" xr:uid="{00000000-0005-0000-0000-00008B7F0000}"/>
    <cellStyle name="Normal 5 10 2 4 2 2" xfId="32652" xr:uid="{00000000-0005-0000-0000-00008C7F0000}"/>
    <cellStyle name="Normal 5 10 2 4 2 3" xfId="32653" xr:uid="{00000000-0005-0000-0000-00008D7F0000}"/>
    <cellStyle name="Normal 5 10 2 4 2 4" xfId="32654" xr:uid="{00000000-0005-0000-0000-00008E7F0000}"/>
    <cellStyle name="Normal 5 10 2 4 2 5" xfId="32655" xr:uid="{00000000-0005-0000-0000-00008F7F0000}"/>
    <cellStyle name="Normal 5 10 2 4 2 6" xfId="32656" xr:uid="{00000000-0005-0000-0000-0000907F0000}"/>
    <cellStyle name="Normal 5 10 2 4 2 7" xfId="32657" xr:uid="{00000000-0005-0000-0000-0000917F0000}"/>
    <cellStyle name="Normal 5 10 2 4 2 8" xfId="32658" xr:uid="{00000000-0005-0000-0000-0000927F0000}"/>
    <cellStyle name="Normal 5 10 2 4 2 9" xfId="32659" xr:uid="{00000000-0005-0000-0000-0000937F0000}"/>
    <cellStyle name="Normal 5 10 2 4 3" xfId="32660" xr:uid="{00000000-0005-0000-0000-0000947F0000}"/>
    <cellStyle name="Normal 5 10 2 4 3 10" xfId="32661" xr:uid="{00000000-0005-0000-0000-0000957F0000}"/>
    <cellStyle name="Normal 5 10 2 4 3 2" xfId="32662" xr:uid="{00000000-0005-0000-0000-0000967F0000}"/>
    <cellStyle name="Normal 5 10 2 4 3 3" xfId="32663" xr:uid="{00000000-0005-0000-0000-0000977F0000}"/>
    <cellStyle name="Normal 5 10 2 4 3 4" xfId="32664" xr:uid="{00000000-0005-0000-0000-0000987F0000}"/>
    <cellStyle name="Normal 5 10 2 4 3 5" xfId="32665" xr:uid="{00000000-0005-0000-0000-0000997F0000}"/>
    <cellStyle name="Normal 5 10 2 4 3 6" xfId="32666" xr:uid="{00000000-0005-0000-0000-00009A7F0000}"/>
    <cellStyle name="Normal 5 10 2 4 3 7" xfId="32667" xr:uid="{00000000-0005-0000-0000-00009B7F0000}"/>
    <cellStyle name="Normal 5 10 2 4 3 8" xfId="32668" xr:uid="{00000000-0005-0000-0000-00009C7F0000}"/>
    <cellStyle name="Normal 5 10 2 4 3 9" xfId="32669" xr:uid="{00000000-0005-0000-0000-00009D7F0000}"/>
    <cellStyle name="Normal 5 10 2 4 4" xfId="32670" xr:uid="{00000000-0005-0000-0000-00009E7F0000}"/>
    <cellStyle name="Normal 5 10 2 4 4 10" xfId="32671" xr:uid="{00000000-0005-0000-0000-00009F7F0000}"/>
    <cellStyle name="Normal 5 10 2 4 4 2" xfId="32672" xr:uid="{00000000-0005-0000-0000-0000A07F0000}"/>
    <cellStyle name="Normal 5 10 2 4 4 3" xfId="32673" xr:uid="{00000000-0005-0000-0000-0000A17F0000}"/>
    <cellStyle name="Normal 5 10 2 4 4 4" xfId="32674" xr:uid="{00000000-0005-0000-0000-0000A27F0000}"/>
    <cellStyle name="Normal 5 10 2 4 4 5" xfId="32675" xr:uid="{00000000-0005-0000-0000-0000A37F0000}"/>
    <cellStyle name="Normal 5 10 2 4 4 6" xfId="32676" xr:uid="{00000000-0005-0000-0000-0000A47F0000}"/>
    <cellStyle name="Normal 5 10 2 4 4 7" xfId="32677" xr:uid="{00000000-0005-0000-0000-0000A57F0000}"/>
    <cellStyle name="Normal 5 10 2 4 4 8" xfId="32678" xr:uid="{00000000-0005-0000-0000-0000A67F0000}"/>
    <cellStyle name="Normal 5 10 2 4 4 9" xfId="32679" xr:uid="{00000000-0005-0000-0000-0000A77F0000}"/>
    <cellStyle name="Normal 5 10 2 4 5" xfId="32680" xr:uid="{00000000-0005-0000-0000-0000A87F0000}"/>
    <cellStyle name="Normal 5 10 2 4 5 10" xfId="32681" xr:uid="{00000000-0005-0000-0000-0000A97F0000}"/>
    <cellStyle name="Normal 5 10 2 4 5 2" xfId="32682" xr:uid="{00000000-0005-0000-0000-0000AA7F0000}"/>
    <cellStyle name="Normal 5 10 2 4 5 3" xfId="32683" xr:uid="{00000000-0005-0000-0000-0000AB7F0000}"/>
    <cellStyle name="Normal 5 10 2 4 5 4" xfId="32684" xr:uid="{00000000-0005-0000-0000-0000AC7F0000}"/>
    <cellStyle name="Normal 5 10 2 4 5 5" xfId="32685" xr:uid="{00000000-0005-0000-0000-0000AD7F0000}"/>
    <cellStyle name="Normal 5 10 2 4 5 6" xfId="32686" xr:uid="{00000000-0005-0000-0000-0000AE7F0000}"/>
    <cellStyle name="Normal 5 10 2 4 5 7" xfId="32687" xr:uid="{00000000-0005-0000-0000-0000AF7F0000}"/>
    <cellStyle name="Normal 5 10 2 4 5 8" xfId="32688" xr:uid="{00000000-0005-0000-0000-0000B07F0000}"/>
    <cellStyle name="Normal 5 10 2 4 5 9" xfId="32689" xr:uid="{00000000-0005-0000-0000-0000B17F0000}"/>
    <cellStyle name="Normal 5 10 2 4 6" xfId="32690" xr:uid="{00000000-0005-0000-0000-0000B27F0000}"/>
    <cellStyle name="Normal 5 10 2 4 7" xfId="32691" xr:uid="{00000000-0005-0000-0000-0000B37F0000}"/>
    <cellStyle name="Normal 5 10 2 4 8" xfId="32692" xr:uid="{00000000-0005-0000-0000-0000B47F0000}"/>
    <cellStyle name="Normal 5 10 2 4 9" xfId="32693" xr:uid="{00000000-0005-0000-0000-0000B57F0000}"/>
    <cellStyle name="Normal 5 10 2 40" xfId="32694" xr:uid="{00000000-0005-0000-0000-0000B67F0000}"/>
    <cellStyle name="Normal 5 10 2 41" xfId="32695" xr:uid="{00000000-0005-0000-0000-0000B77F0000}"/>
    <cellStyle name="Normal 5 10 2 42" xfId="32696" xr:uid="{00000000-0005-0000-0000-0000B87F0000}"/>
    <cellStyle name="Normal 5 10 2 43" xfId="32697" xr:uid="{00000000-0005-0000-0000-0000B97F0000}"/>
    <cellStyle name="Normal 5 10 2 44" xfId="32698" xr:uid="{00000000-0005-0000-0000-0000BA7F0000}"/>
    <cellStyle name="Normal 5 10 2 45" xfId="32699" xr:uid="{00000000-0005-0000-0000-0000BB7F0000}"/>
    <cellStyle name="Normal 5 10 2 46" xfId="32700" xr:uid="{00000000-0005-0000-0000-0000BC7F0000}"/>
    <cellStyle name="Normal 5 10 2 47" xfId="32701" xr:uid="{00000000-0005-0000-0000-0000BD7F0000}"/>
    <cellStyle name="Normal 5 10 2 48" xfId="32702" xr:uid="{00000000-0005-0000-0000-0000BE7F0000}"/>
    <cellStyle name="Normal 5 10 2 49" xfId="31299" xr:uid="{00000000-0005-0000-0000-0000437A0000}"/>
    <cellStyle name="Normal 5 10 2 5" xfId="32703" xr:uid="{00000000-0005-0000-0000-0000BF7F0000}"/>
    <cellStyle name="Normal 5 10 2 5 10" xfId="32704" xr:uid="{00000000-0005-0000-0000-0000C07F0000}"/>
    <cellStyle name="Normal 5 10 2 5 11" xfId="32705" xr:uid="{00000000-0005-0000-0000-0000C17F0000}"/>
    <cellStyle name="Normal 5 10 2 5 12" xfId="32706" xr:uid="{00000000-0005-0000-0000-0000C27F0000}"/>
    <cellStyle name="Normal 5 10 2 5 13" xfId="32707" xr:uid="{00000000-0005-0000-0000-0000C37F0000}"/>
    <cellStyle name="Normal 5 10 2 5 14" xfId="32708" xr:uid="{00000000-0005-0000-0000-0000C47F0000}"/>
    <cellStyle name="Normal 5 10 2 5 2" xfId="32709" xr:uid="{00000000-0005-0000-0000-0000C57F0000}"/>
    <cellStyle name="Normal 5 10 2 5 2 10" xfId="32710" xr:uid="{00000000-0005-0000-0000-0000C67F0000}"/>
    <cellStyle name="Normal 5 10 2 5 2 2" xfId="32711" xr:uid="{00000000-0005-0000-0000-0000C77F0000}"/>
    <cellStyle name="Normal 5 10 2 5 2 3" xfId="32712" xr:uid="{00000000-0005-0000-0000-0000C87F0000}"/>
    <cellStyle name="Normal 5 10 2 5 2 4" xfId="32713" xr:uid="{00000000-0005-0000-0000-0000C97F0000}"/>
    <cellStyle name="Normal 5 10 2 5 2 5" xfId="32714" xr:uid="{00000000-0005-0000-0000-0000CA7F0000}"/>
    <cellStyle name="Normal 5 10 2 5 2 6" xfId="32715" xr:uid="{00000000-0005-0000-0000-0000CB7F0000}"/>
    <cellStyle name="Normal 5 10 2 5 2 7" xfId="32716" xr:uid="{00000000-0005-0000-0000-0000CC7F0000}"/>
    <cellStyle name="Normal 5 10 2 5 2 8" xfId="32717" xr:uid="{00000000-0005-0000-0000-0000CD7F0000}"/>
    <cellStyle name="Normal 5 10 2 5 2 9" xfId="32718" xr:uid="{00000000-0005-0000-0000-0000CE7F0000}"/>
    <cellStyle name="Normal 5 10 2 5 3" xfId="32719" xr:uid="{00000000-0005-0000-0000-0000CF7F0000}"/>
    <cellStyle name="Normal 5 10 2 5 3 10" xfId="32720" xr:uid="{00000000-0005-0000-0000-0000D07F0000}"/>
    <cellStyle name="Normal 5 10 2 5 3 2" xfId="32721" xr:uid="{00000000-0005-0000-0000-0000D17F0000}"/>
    <cellStyle name="Normal 5 10 2 5 3 3" xfId="32722" xr:uid="{00000000-0005-0000-0000-0000D27F0000}"/>
    <cellStyle name="Normal 5 10 2 5 3 4" xfId="32723" xr:uid="{00000000-0005-0000-0000-0000D37F0000}"/>
    <cellStyle name="Normal 5 10 2 5 3 5" xfId="32724" xr:uid="{00000000-0005-0000-0000-0000D47F0000}"/>
    <cellStyle name="Normal 5 10 2 5 3 6" xfId="32725" xr:uid="{00000000-0005-0000-0000-0000D57F0000}"/>
    <cellStyle name="Normal 5 10 2 5 3 7" xfId="32726" xr:uid="{00000000-0005-0000-0000-0000D67F0000}"/>
    <cellStyle name="Normal 5 10 2 5 3 8" xfId="32727" xr:uid="{00000000-0005-0000-0000-0000D77F0000}"/>
    <cellStyle name="Normal 5 10 2 5 3 9" xfId="32728" xr:uid="{00000000-0005-0000-0000-0000D87F0000}"/>
    <cellStyle name="Normal 5 10 2 5 4" xfId="32729" xr:uid="{00000000-0005-0000-0000-0000D97F0000}"/>
    <cellStyle name="Normal 5 10 2 5 4 10" xfId="32730" xr:uid="{00000000-0005-0000-0000-0000DA7F0000}"/>
    <cellStyle name="Normal 5 10 2 5 4 2" xfId="32731" xr:uid="{00000000-0005-0000-0000-0000DB7F0000}"/>
    <cellStyle name="Normal 5 10 2 5 4 3" xfId="32732" xr:uid="{00000000-0005-0000-0000-0000DC7F0000}"/>
    <cellStyle name="Normal 5 10 2 5 4 4" xfId="32733" xr:uid="{00000000-0005-0000-0000-0000DD7F0000}"/>
    <cellStyle name="Normal 5 10 2 5 4 5" xfId="32734" xr:uid="{00000000-0005-0000-0000-0000DE7F0000}"/>
    <cellStyle name="Normal 5 10 2 5 4 6" xfId="32735" xr:uid="{00000000-0005-0000-0000-0000DF7F0000}"/>
    <cellStyle name="Normal 5 10 2 5 4 7" xfId="32736" xr:uid="{00000000-0005-0000-0000-0000E07F0000}"/>
    <cellStyle name="Normal 5 10 2 5 4 8" xfId="32737" xr:uid="{00000000-0005-0000-0000-0000E17F0000}"/>
    <cellStyle name="Normal 5 10 2 5 4 9" xfId="32738" xr:uid="{00000000-0005-0000-0000-0000E27F0000}"/>
    <cellStyle name="Normal 5 10 2 5 5" xfId="32739" xr:uid="{00000000-0005-0000-0000-0000E37F0000}"/>
    <cellStyle name="Normal 5 10 2 5 5 10" xfId="32740" xr:uid="{00000000-0005-0000-0000-0000E47F0000}"/>
    <cellStyle name="Normal 5 10 2 5 5 2" xfId="32741" xr:uid="{00000000-0005-0000-0000-0000E57F0000}"/>
    <cellStyle name="Normal 5 10 2 5 5 3" xfId="32742" xr:uid="{00000000-0005-0000-0000-0000E67F0000}"/>
    <cellStyle name="Normal 5 10 2 5 5 4" xfId="32743" xr:uid="{00000000-0005-0000-0000-0000E77F0000}"/>
    <cellStyle name="Normal 5 10 2 5 5 5" xfId="32744" xr:uid="{00000000-0005-0000-0000-0000E87F0000}"/>
    <cellStyle name="Normal 5 10 2 5 5 6" xfId="32745" xr:uid="{00000000-0005-0000-0000-0000E97F0000}"/>
    <cellStyle name="Normal 5 10 2 5 5 7" xfId="32746" xr:uid="{00000000-0005-0000-0000-0000EA7F0000}"/>
    <cellStyle name="Normal 5 10 2 5 5 8" xfId="32747" xr:uid="{00000000-0005-0000-0000-0000EB7F0000}"/>
    <cellStyle name="Normal 5 10 2 5 5 9" xfId="32748" xr:uid="{00000000-0005-0000-0000-0000EC7F0000}"/>
    <cellStyle name="Normal 5 10 2 5 6" xfId="32749" xr:uid="{00000000-0005-0000-0000-0000ED7F0000}"/>
    <cellStyle name="Normal 5 10 2 5 7" xfId="32750" xr:uid="{00000000-0005-0000-0000-0000EE7F0000}"/>
    <cellStyle name="Normal 5 10 2 5 8" xfId="32751" xr:uid="{00000000-0005-0000-0000-0000EF7F0000}"/>
    <cellStyle name="Normal 5 10 2 5 9" xfId="32752" xr:uid="{00000000-0005-0000-0000-0000F07F0000}"/>
    <cellStyle name="Normal 5 10 2 6" xfId="32753" xr:uid="{00000000-0005-0000-0000-0000F17F0000}"/>
    <cellStyle name="Normal 5 10 2 6 10" xfId="32754" xr:uid="{00000000-0005-0000-0000-0000F27F0000}"/>
    <cellStyle name="Normal 5 10 2 6 11" xfId="32755" xr:uid="{00000000-0005-0000-0000-0000F37F0000}"/>
    <cellStyle name="Normal 5 10 2 6 12" xfId="32756" xr:uid="{00000000-0005-0000-0000-0000F47F0000}"/>
    <cellStyle name="Normal 5 10 2 6 13" xfId="32757" xr:uid="{00000000-0005-0000-0000-0000F57F0000}"/>
    <cellStyle name="Normal 5 10 2 6 14" xfId="32758" xr:uid="{00000000-0005-0000-0000-0000F67F0000}"/>
    <cellStyle name="Normal 5 10 2 6 2" xfId="32759" xr:uid="{00000000-0005-0000-0000-0000F77F0000}"/>
    <cellStyle name="Normal 5 10 2 6 2 10" xfId="32760" xr:uid="{00000000-0005-0000-0000-0000F87F0000}"/>
    <cellStyle name="Normal 5 10 2 6 2 2" xfId="32761" xr:uid="{00000000-0005-0000-0000-0000F97F0000}"/>
    <cellStyle name="Normal 5 10 2 6 2 3" xfId="32762" xr:uid="{00000000-0005-0000-0000-0000FA7F0000}"/>
    <cellStyle name="Normal 5 10 2 6 2 4" xfId="32763" xr:uid="{00000000-0005-0000-0000-0000FB7F0000}"/>
    <cellStyle name="Normal 5 10 2 6 2 5" xfId="32764" xr:uid="{00000000-0005-0000-0000-0000FC7F0000}"/>
    <cellStyle name="Normal 5 10 2 6 2 6" xfId="32765" xr:uid="{00000000-0005-0000-0000-0000FD7F0000}"/>
    <cellStyle name="Normal 5 10 2 6 2 7" xfId="32766" xr:uid="{00000000-0005-0000-0000-0000FE7F0000}"/>
    <cellStyle name="Normal 5 10 2 6 2 8" xfId="32767" xr:uid="{00000000-0005-0000-0000-0000FF7F0000}"/>
    <cellStyle name="Normal 5 10 2 6 2 9" xfId="32768" xr:uid="{00000000-0005-0000-0000-000000800000}"/>
    <cellStyle name="Normal 5 10 2 6 3" xfId="32769" xr:uid="{00000000-0005-0000-0000-000001800000}"/>
    <cellStyle name="Normal 5 10 2 6 3 10" xfId="32770" xr:uid="{00000000-0005-0000-0000-000002800000}"/>
    <cellStyle name="Normal 5 10 2 6 3 2" xfId="32771" xr:uid="{00000000-0005-0000-0000-000003800000}"/>
    <cellStyle name="Normal 5 10 2 6 3 3" xfId="32772" xr:uid="{00000000-0005-0000-0000-000004800000}"/>
    <cellStyle name="Normal 5 10 2 6 3 4" xfId="32773" xr:uid="{00000000-0005-0000-0000-000005800000}"/>
    <cellStyle name="Normal 5 10 2 6 3 5" xfId="32774" xr:uid="{00000000-0005-0000-0000-000006800000}"/>
    <cellStyle name="Normal 5 10 2 6 3 6" xfId="32775" xr:uid="{00000000-0005-0000-0000-000007800000}"/>
    <cellStyle name="Normal 5 10 2 6 3 7" xfId="32776" xr:uid="{00000000-0005-0000-0000-000008800000}"/>
    <cellStyle name="Normal 5 10 2 6 3 8" xfId="32777" xr:uid="{00000000-0005-0000-0000-000009800000}"/>
    <cellStyle name="Normal 5 10 2 6 3 9" xfId="32778" xr:uid="{00000000-0005-0000-0000-00000A800000}"/>
    <cellStyle name="Normal 5 10 2 6 4" xfId="32779" xr:uid="{00000000-0005-0000-0000-00000B800000}"/>
    <cellStyle name="Normal 5 10 2 6 4 10" xfId="32780" xr:uid="{00000000-0005-0000-0000-00000C800000}"/>
    <cellStyle name="Normal 5 10 2 6 4 2" xfId="32781" xr:uid="{00000000-0005-0000-0000-00000D800000}"/>
    <cellStyle name="Normal 5 10 2 6 4 3" xfId="32782" xr:uid="{00000000-0005-0000-0000-00000E800000}"/>
    <cellStyle name="Normal 5 10 2 6 4 4" xfId="32783" xr:uid="{00000000-0005-0000-0000-00000F800000}"/>
    <cellStyle name="Normal 5 10 2 6 4 5" xfId="32784" xr:uid="{00000000-0005-0000-0000-000010800000}"/>
    <cellStyle name="Normal 5 10 2 6 4 6" xfId="32785" xr:uid="{00000000-0005-0000-0000-000011800000}"/>
    <cellStyle name="Normal 5 10 2 6 4 7" xfId="32786" xr:uid="{00000000-0005-0000-0000-000012800000}"/>
    <cellStyle name="Normal 5 10 2 6 4 8" xfId="32787" xr:uid="{00000000-0005-0000-0000-000013800000}"/>
    <cellStyle name="Normal 5 10 2 6 4 9" xfId="32788" xr:uid="{00000000-0005-0000-0000-000014800000}"/>
    <cellStyle name="Normal 5 10 2 6 5" xfId="32789" xr:uid="{00000000-0005-0000-0000-000015800000}"/>
    <cellStyle name="Normal 5 10 2 6 5 10" xfId="32790" xr:uid="{00000000-0005-0000-0000-000016800000}"/>
    <cellStyle name="Normal 5 10 2 6 5 2" xfId="32791" xr:uid="{00000000-0005-0000-0000-000017800000}"/>
    <cellStyle name="Normal 5 10 2 6 5 3" xfId="32792" xr:uid="{00000000-0005-0000-0000-000018800000}"/>
    <cellStyle name="Normal 5 10 2 6 5 4" xfId="32793" xr:uid="{00000000-0005-0000-0000-000019800000}"/>
    <cellStyle name="Normal 5 10 2 6 5 5" xfId="32794" xr:uid="{00000000-0005-0000-0000-00001A800000}"/>
    <cellStyle name="Normal 5 10 2 6 5 6" xfId="32795" xr:uid="{00000000-0005-0000-0000-00001B800000}"/>
    <cellStyle name="Normal 5 10 2 6 5 7" xfId="32796" xr:uid="{00000000-0005-0000-0000-00001C800000}"/>
    <cellStyle name="Normal 5 10 2 6 5 8" xfId="32797" xr:uid="{00000000-0005-0000-0000-00001D800000}"/>
    <cellStyle name="Normal 5 10 2 6 5 9" xfId="32798" xr:uid="{00000000-0005-0000-0000-00001E800000}"/>
    <cellStyle name="Normal 5 10 2 6 6" xfId="32799" xr:uid="{00000000-0005-0000-0000-00001F800000}"/>
    <cellStyle name="Normal 5 10 2 6 7" xfId="32800" xr:uid="{00000000-0005-0000-0000-000020800000}"/>
    <cellStyle name="Normal 5 10 2 6 8" xfId="32801" xr:uid="{00000000-0005-0000-0000-000021800000}"/>
    <cellStyle name="Normal 5 10 2 6 9" xfId="32802" xr:uid="{00000000-0005-0000-0000-000022800000}"/>
    <cellStyle name="Normal 5 10 2 7" xfId="32803" xr:uid="{00000000-0005-0000-0000-000023800000}"/>
    <cellStyle name="Normal 5 10 2 7 10" xfId="32804" xr:uid="{00000000-0005-0000-0000-000024800000}"/>
    <cellStyle name="Normal 5 10 2 7 11" xfId="32805" xr:uid="{00000000-0005-0000-0000-000025800000}"/>
    <cellStyle name="Normal 5 10 2 7 12" xfId="32806" xr:uid="{00000000-0005-0000-0000-000026800000}"/>
    <cellStyle name="Normal 5 10 2 7 13" xfId="32807" xr:uid="{00000000-0005-0000-0000-000027800000}"/>
    <cellStyle name="Normal 5 10 2 7 14" xfId="32808" xr:uid="{00000000-0005-0000-0000-000028800000}"/>
    <cellStyle name="Normal 5 10 2 7 2" xfId="32809" xr:uid="{00000000-0005-0000-0000-000029800000}"/>
    <cellStyle name="Normal 5 10 2 7 2 10" xfId="32810" xr:uid="{00000000-0005-0000-0000-00002A800000}"/>
    <cellStyle name="Normal 5 10 2 7 2 2" xfId="32811" xr:uid="{00000000-0005-0000-0000-00002B800000}"/>
    <cellStyle name="Normal 5 10 2 7 2 3" xfId="32812" xr:uid="{00000000-0005-0000-0000-00002C800000}"/>
    <cellStyle name="Normal 5 10 2 7 2 4" xfId="32813" xr:uid="{00000000-0005-0000-0000-00002D800000}"/>
    <cellStyle name="Normal 5 10 2 7 2 5" xfId="32814" xr:uid="{00000000-0005-0000-0000-00002E800000}"/>
    <cellStyle name="Normal 5 10 2 7 2 6" xfId="32815" xr:uid="{00000000-0005-0000-0000-00002F800000}"/>
    <cellStyle name="Normal 5 10 2 7 2 7" xfId="32816" xr:uid="{00000000-0005-0000-0000-000030800000}"/>
    <cellStyle name="Normal 5 10 2 7 2 8" xfId="32817" xr:uid="{00000000-0005-0000-0000-000031800000}"/>
    <cellStyle name="Normal 5 10 2 7 2 9" xfId="32818" xr:uid="{00000000-0005-0000-0000-000032800000}"/>
    <cellStyle name="Normal 5 10 2 7 3" xfId="32819" xr:uid="{00000000-0005-0000-0000-000033800000}"/>
    <cellStyle name="Normal 5 10 2 7 3 10" xfId="32820" xr:uid="{00000000-0005-0000-0000-000034800000}"/>
    <cellStyle name="Normal 5 10 2 7 3 2" xfId="32821" xr:uid="{00000000-0005-0000-0000-000035800000}"/>
    <cellStyle name="Normal 5 10 2 7 3 3" xfId="32822" xr:uid="{00000000-0005-0000-0000-000036800000}"/>
    <cellStyle name="Normal 5 10 2 7 3 4" xfId="32823" xr:uid="{00000000-0005-0000-0000-000037800000}"/>
    <cellStyle name="Normal 5 10 2 7 3 5" xfId="32824" xr:uid="{00000000-0005-0000-0000-000038800000}"/>
    <cellStyle name="Normal 5 10 2 7 3 6" xfId="32825" xr:uid="{00000000-0005-0000-0000-000039800000}"/>
    <cellStyle name="Normal 5 10 2 7 3 7" xfId="32826" xr:uid="{00000000-0005-0000-0000-00003A800000}"/>
    <cellStyle name="Normal 5 10 2 7 3 8" xfId="32827" xr:uid="{00000000-0005-0000-0000-00003B800000}"/>
    <cellStyle name="Normal 5 10 2 7 3 9" xfId="32828" xr:uid="{00000000-0005-0000-0000-00003C800000}"/>
    <cellStyle name="Normal 5 10 2 7 4" xfId="32829" xr:uid="{00000000-0005-0000-0000-00003D800000}"/>
    <cellStyle name="Normal 5 10 2 7 4 10" xfId="32830" xr:uid="{00000000-0005-0000-0000-00003E800000}"/>
    <cellStyle name="Normal 5 10 2 7 4 2" xfId="32831" xr:uid="{00000000-0005-0000-0000-00003F800000}"/>
    <cellStyle name="Normal 5 10 2 7 4 3" xfId="32832" xr:uid="{00000000-0005-0000-0000-000040800000}"/>
    <cellStyle name="Normal 5 10 2 7 4 4" xfId="32833" xr:uid="{00000000-0005-0000-0000-000041800000}"/>
    <cellStyle name="Normal 5 10 2 7 4 5" xfId="32834" xr:uid="{00000000-0005-0000-0000-000042800000}"/>
    <cellStyle name="Normal 5 10 2 7 4 6" xfId="32835" xr:uid="{00000000-0005-0000-0000-000043800000}"/>
    <cellStyle name="Normal 5 10 2 7 4 7" xfId="32836" xr:uid="{00000000-0005-0000-0000-000044800000}"/>
    <cellStyle name="Normal 5 10 2 7 4 8" xfId="32837" xr:uid="{00000000-0005-0000-0000-000045800000}"/>
    <cellStyle name="Normal 5 10 2 7 4 9" xfId="32838" xr:uid="{00000000-0005-0000-0000-000046800000}"/>
    <cellStyle name="Normal 5 10 2 7 5" xfId="32839" xr:uid="{00000000-0005-0000-0000-000047800000}"/>
    <cellStyle name="Normal 5 10 2 7 5 10" xfId="32840" xr:uid="{00000000-0005-0000-0000-000048800000}"/>
    <cellStyle name="Normal 5 10 2 7 5 2" xfId="32841" xr:uid="{00000000-0005-0000-0000-000049800000}"/>
    <cellStyle name="Normal 5 10 2 7 5 3" xfId="32842" xr:uid="{00000000-0005-0000-0000-00004A800000}"/>
    <cellStyle name="Normal 5 10 2 7 5 4" xfId="32843" xr:uid="{00000000-0005-0000-0000-00004B800000}"/>
    <cellStyle name="Normal 5 10 2 7 5 5" xfId="32844" xr:uid="{00000000-0005-0000-0000-00004C800000}"/>
    <cellStyle name="Normal 5 10 2 7 5 6" xfId="32845" xr:uid="{00000000-0005-0000-0000-00004D800000}"/>
    <cellStyle name="Normal 5 10 2 7 5 7" xfId="32846" xr:uid="{00000000-0005-0000-0000-00004E800000}"/>
    <cellStyle name="Normal 5 10 2 7 5 8" xfId="32847" xr:uid="{00000000-0005-0000-0000-00004F800000}"/>
    <cellStyle name="Normal 5 10 2 7 5 9" xfId="32848" xr:uid="{00000000-0005-0000-0000-000050800000}"/>
    <cellStyle name="Normal 5 10 2 7 6" xfId="32849" xr:uid="{00000000-0005-0000-0000-000051800000}"/>
    <cellStyle name="Normal 5 10 2 7 7" xfId="32850" xr:uid="{00000000-0005-0000-0000-000052800000}"/>
    <cellStyle name="Normal 5 10 2 7 8" xfId="32851" xr:uid="{00000000-0005-0000-0000-000053800000}"/>
    <cellStyle name="Normal 5 10 2 7 9" xfId="32852" xr:uid="{00000000-0005-0000-0000-000054800000}"/>
    <cellStyle name="Normal 5 10 2 8" xfId="32853" xr:uid="{00000000-0005-0000-0000-000055800000}"/>
    <cellStyle name="Normal 5 10 2 8 10" xfId="32854" xr:uid="{00000000-0005-0000-0000-000056800000}"/>
    <cellStyle name="Normal 5 10 2 8 11" xfId="32855" xr:uid="{00000000-0005-0000-0000-000057800000}"/>
    <cellStyle name="Normal 5 10 2 8 12" xfId="32856" xr:uid="{00000000-0005-0000-0000-000058800000}"/>
    <cellStyle name="Normal 5 10 2 8 13" xfId="32857" xr:uid="{00000000-0005-0000-0000-000059800000}"/>
    <cellStyle name="Normal 5 10 2 8 14" xfId="32858" xr:uid="{00000000-0005-0000-0000-00005A800000}"/>
    <cellStyle name="Normal 5 10 2 8 2" xfId="32859" xr:uid="{00000000-0005-0000-0000-00005B800000}"/>
    <cellStyle name="Normal 5 10 2 8 2 10" xfId="32860" xr:uid="{00000000-0005-0000-0000-00005C800000}"/>
    <cellStyle name="Normal 5 10 2 8 2 2" xfId="32861" xr:uid="{00000000-0005-0000-0000-00005D800000}"/>
    <cellStyle name="Normal 5 10 2 8 2 3" xfId="32862" xr:uid="{00000000-0005-0000-0000-00005E800000}"/>
    <cellStyle name="Normal 5 10 2 8 2 4" xfId="32863" xr:uid="{00000000-0005-0000-0000-00005F800000}"/>
    <cellStyle name="Normal 5 10 2 8 2 5" xfId="32864" xr:uid="{00000000-0005-0000-0000-000060800000}"/>
    <cellStyle name="Normal 5 10 2 8 2 6" xfId="32865" xr:uid="{00000000-0005-0000-0000-000061800000}"/>
    <cellStyle name="Normal 5 10 2 8 2 7" xfId="32866" xr:uid="{00000000-0005-0000-0000-000062800000}"/>
    <cellStyle name="Normal 5 10 2 8 2 8" xfId="32867" xr:uid="{00000000-0005-0000-0000-000063800000}"/>
    <cellStyle name="Normal 5 10 2 8 2 9" xfId="32868" xr:uid="{00000000-0005-0000-0000-000064800000}"/>
    <cellStyle name="Normal 5 10 2 8 3" xfId="32869" xr:uid="{00000000-0005-0000-0000-000065800000}"/>
    <cellStyle name="Normal 5 10 2 8 3 10" xfId="32870" xr:uid="{00000000-0005-0000-0000-000066800000}"/>
    <cellStyle name="Normal 5 10 2 8 3 2" xfId="32871" xr:uid="{00000000-0005-0000-0000-000067800000}"/>
    <cellStyle name="Normal 5 10 2 8 3 3" xfId="32872" xr:uid="{00000000-0005-0000-0000-000068800000}"/>
    <cellStyle name="Normal 5 10 2 8 3 4" xfId="32873" xr:uid="{00000000-0005-0000-0000-000069800000}"/>
    <cellStyle name="Normal 5 10 2 8 3 5" xfId="32874" xr:uid="{00000000-0005-0000-0000-00006A800000}"/>
    <cellStyle name="Normal 5 10 2 8 3 6" xfId="32875" xr:uid="{00000000-0005-0000-0000-00006B800000}"/>
    <cellStyle name="Normal 5 10 2 8 3 7" xfId="32876" xr:uid="{00000000-0005-0000-0000-00006C800000}"/>
    <cellStyle name="Normal 5 10 2 8 3 8" xfId="32877" xr:uid="{00000000-0005-0000-0000-00006D800000}"/>
    <cellStyle name="Normal 5 10 2 8 3 9" xfId="32878" xr:uid="{00000000-0005-0000-0000-00006E800000}"/>
    <cellStyle name="Normal 5 10 2 8 4" xfId="32879" xr:uid="{00000000-0005-0000-0000-00006F800000}"/>
    <cellStyle name="Normal 5 10 2 8 4 10" xfId="32880" xr:uid="{00000000-0005-0000-0000-000070800000}"/>
    <cellStyle name="Normal 5 10 2 8 4 2" xfId="32881" xr:uid="{00000000-0005-0000-0000-000071800000}"/>
    <cellStyle name="Normal 5 10 2 8 4 3" xfId="32882" xr:uid="{00000000-0005-0000-0000-000072800000}"/>
    <cellStyle name="Normal 5 10 2 8 4 4" xfId="32883" xr:uid="{00000000-0005-0000-0000-000073800000}"/>
    <cellStyle name="Normal 5 10 2 8 4 5" xfId="32884" xr:uid="{00000000-0005-0000-0000-000074800000}"/>
    <cellStyle name="Normal 5 10 2 8 4 6" xfId="32885" xr:uid="{00000000-0005-0000-0000-000075800000}"/>
    <cellStyle name="Normal 5 10 2 8 4 7" xfId="32886" xr:uid="{00000000-0005-0000-0000-000076800000}"/>
    <cellStyle name="Normal 5 10 2 8 4 8" xfId="32887" xr:uid="{00000000-0005-0000-0000-000077800000}"/>
    <cellStyle name="Normal 5 10 2 8 4 9" xfId="32888" xr:uid="{00000000-0005-0000-0000-000078800000}"/>
    <cellStyle name="Normal 5 10 2 8 5" xfId="32889" xr:uid="{00000000-0005-0000-0000-000079800000}"/>
    <cellStyle name="Normal 5 10 2 8 5 10" xfId="32890" xr:uid="{00000000-0005-0000-0000-00007A800000}"/>
    <cellStyle name="Normal 5 10 2 8 5 2" xfId="32891" xr:uid="{00000000-0005-0000-0000-00007B800000}"/>
    <cellStyle name="Normal 5 10 2 8 5 3" xfId="32892" xr:uid="{00000000-0005-0000-0000-00007C800000}"/>
    <cellStyle name="Normal 5 10 2 8 5 4" xfId="32893" xr:uid="{00000000-0005-0000-0000-00007D800000}"/>
    <cellStyle name="Normal 5 10 2 8 5 5" xfId="32894" xr:uid="{00000000-0005-0000-0000-00007E800000}"/>
    <cellStyle name="Normal 5 10 2 8 5 6" xfId="32895" xr:uid="{00000000-0005-0000-0000-00007F800000}"/>
    <cellStyle name="Normal 5 10 2 8 5 7" xfId="32896" xr:uid="{00000000-0005-0000-0000-000080800000}"/>
    <cellStyle name="Normal 5 10 2 8 5 8" xfId="32897" xr:uid="{00000000-0005-0000-0000-000081800000}"/>
    <cellStyle name="Normal 5 10 2 8 5 9" xfId="32898" xr:uid="{00000000-0005-0000-0000-000082800000}"/>
    <cellStyle name="Normal 5 10 2 8 6" xfId="32899" xr:uid="{00000000-0005-0000-0000-000083800000}"/>
    <cellStyle name="Normal 5 10 2 8 7" xfId="32900" xr:uid="{00000000-0005-0000-0000-000084800000}"/>
    <cellStyle name="Normal 5 10 2 8 8" xfId="32901" xr:uid="{00000000-0005-0000-0000-000085800000}"/>
    <cellStyle name="Normal 5 10 2 8 9" xfId="32902" xr:uid="{00000000-0005-0000-0000-000086800000}"/>
    <cellStyle name="Normal 5 10 2 9" xfId="32903" xr:uid="{00000000-0005-0000-0000-000087800000}"/>
    <cellStyle name="Normal 5 10 2 9 10" xfId="32904" xr:uid="{00000000-0005-0000-0000-000088800000}"/>
    <cellStyle name="Normal 5 10 2 9 11" xfId="32905" xr:uid="{00000000-0005-0000-0000-000089800000}"/>
    <cellStyle name="Normal 5 10 2 9 12" xfId="32906" xr:uid="{00000000-0005-0000-0000-00008A800000}"/>
    <cellStyle name="Normal 5 10 2 9 13" xfId="32907" xr:uid="{00000000-0005-0000-0000-00008B800000}"/>
    <cellStyle name="Normal 5 10 2 9 14" xfId="32908" xr:uid="{00000000-0005-0000-0000-00008C800000}"/>
    <cellStyle name="Normal 5 10 2 9 2" xfId="32909" xr:uid="{00000000-0005-0000-0000-00008D800000}"/>
    <cellStyle name="Normal 5 10 2 9 2 10" xfId="32910" xr:uid="{00000000-0005-0000-0000-00008E800000}"/>
    <cellStyle name="Normal 5 10 2 9 2 2" xfId="32911" xr:uid="{00000000-0005-0000-0000-00008F800000}"/>
    <cellStyle name="Normal 5 10 2 9 2 3" xfId="32912" xr:uid="{00000000-0005-0000-0000-000090800000}"/>
    <cellStyle name="Normal 5 10 2 9 2 4" xfId="32913" xr:uid="{00000000-0005-0000-0000-000091800000}"/>
    <cellStyle name="Normal 5 10 2 9 2 5" xfId="32914" xr:uid="{00000000-0005-0000-0000-000092800000}"/>
    <cellStyle name="Normal 5 10 2 9 2 6" xfId="32915" xr:uid="{00000000-0005-0000-0000-000093800000}"/>
    <cellStyle name="Normal 5 10 2 9 2 7" xfId="32916" xr:uid="{00000000-0005-0000-0000-000094800000}"/>
    <cellStyle name="Normal 5 10 2 9 2 8" xfId="32917" xr:uid="{00000000-0005-0000-0000-000095800000}"/>
    <cellStyle name="Normal 5 10 2 9 2 9" xfId="32918" xr:uid="{00000000-0005-0000-0000-000096800000}"/>
    <cellStyle name="Normal 5 10 2 9 3" xfId="32919" xr:uid="{00000000-0005-0000-0000-000097800000}"/>
    <cellStyle name="Normal 5 10 2 9 3 10" xfId="32920" xr:uid="{00000000-0005-0000-0000-000098800000}"/>
    <cellStyle name="Normal 5 10 2 9 3 2" xfId="32921" xr:uid="{00000000-0005-0000-0000-000099800000}"/>
    <cellStyle name="Normal 5 10 2 9 3 3" xfId="32922" xr:uid="{00000000-0005-0000-0000-00009A800000}"/>
    <cellStyle name="Normal 5 10 2 9 3 4" xfId="32923" xr:uid="{00000000-0005-0000-0000-00009B800000}"/>
    <cellStyle name="Normal 5 10 2 9 3 5" xfId="32924" xr:uid="{00000000-0005-0000-0000-00009C800000}"/>
    <cellStyle name="Normal 5 10 2 9 3 6" xfId="32925" xr:uid="{00000000-0005-0000-0000-00009D800000}"/>
    <cellStyle name="Normal 5 10 2 9 3 7" xfId="32926" xr:uid="{00000000-0005-0000-0000-00009E800000}"/>
    <cellStyle name="Normal 5 10 2 9 3 8" xfId="32927" xr:uid="{00000000-0005-0000-0000-00009F800000}"/>
    <cellStyle name="Normal 5 10 2 9 3 9" xfId="32928" xr:uid="{00000000-0005-0000-0000-0000A0800000}"/>
    <cellStyle name="Normal 5 10 2 9 4" xfId="32929" xr:uid="{00000000-0005-0000-0000-0000A1800000}"/>
    <cellStyle name="Normal 5 10 2 9 4 10" xfId="32930" xr:uid="{00000000-0005-0000-0000-0000A2800000}"/>
    <cellStyle name="Normal 5 10 2 9 4 2" xfId="32931" xr:uid="{00000000-0005-0000-0000-0000A3800000}"/>
    <cellStyle name="Normal 5 10 2 9 4 3" xfId="32932" xr:uid="{00000000-0005-0000-0000-0000A4800000}"/>
    <cellStyle name="Normal 5 10 2 9 4 4" xfId="32933" xr:uid="{00000000-0005-0000-0000-0000A5800000}"/>
    <cellStyle name="Normal 5 10 2 9 4 5" xfId="32934" xr:uid="{00000000-0005-0000-0000-0000A6800000}"/>
    <cellStyle name="Normal 5 10 2 9 4 6" xfId="32935" xr:uid="{00000000-0005-0000-0000-0000A7800000}"/>
    <cellStyle name="Normal 5 10 2 9 4 7" xfId="32936" xr:uid="{00000000-0005-0000-0000-0000A8800000}"/>
    <cellStyle name="Normal 5 10 2 9 4 8" xfId="32937" xr:uid="{00000000-0005-0000-0000-0000A9800000}"/>
    <cellStyle name="Normal 5 10 2 9 4 9" xfId="32938" xr:uid="{00000000-0005-0000-0000-0000AA800000}"/>
    <cellStyle name="Normal 5 10 2 9 5" xfId="32939" xr:uid="{00000000-0005-0000-0000-0000AB800000}"/>
    <cellStyle name="Normal 5 10 2 9 5 10" xfId="32940" xr:uid="{00000000-0005-0000-0000-0000AC800000}"/>
    <cellStyle name="Normal 5 10 2 9 5 2" xfId="32941" xr:uid="{00000000-0005-0000-0000-0000AD800000}"/>
    <cellStyle name="Normal 5 10 2 9 5 3" xfId="32942" xr:uid="{00000000-0005-0000-0000-0000AE800000}"/>
    <cellStyle name="Normal 5 10 2 9 5 4" xfId="32943" xr:uid="{00000000-0005-0000-0000-0000AF800000}"/>
    <cellStyle name="Normal 5 10 2 9 5 5" xfId="32944" xr:uid="{00000000-0005-0000-0000-0000B0800000}"/>
    <cellStyle name="Normal 5 10 2 9 5 6" xfId="32945" xr:uid="{00000000-0005-0000-0000-0000B1800000}"/>
    <cellStyle name="Normal 5 10 2 9 5 7" xfId="32946" xr:uid="{00000000-0005-0000-0000-0000B2800000}"/>
    <cellStyle name="Normal 5 10 2 9 5 8" xfId="32947" xr:uid="{00000000-0005-0000-0000-0000B3800000}"/>
    <cellStyle name="Normal 5 10 2 9 5 9" xfId="32948" xr:uid="{00000000-0005-0000-0000-0000B4800000}"/>
    <cellStyle name="Normal 5 10 2 9 6" xfId="32949" xr:uid="{00000000-0005-0000-0000-0000B5800000}"/>
    <cellStyle name="Normal 5 10 2 9 7" xfId="32950" xr:uid="{00000000-0005-0000-0000-0000B6800000}"/>
    <cellStyle name="Normal 5 10 2 9 8" xfId="32951" xr:uid="{00000000-0005-0000-0000-0000B7800000}"/>
    <cellStyle name="Normal 5 10 2 9 9" xfId="32952" xr:uid="{00000000-0005-0000-0000-0000B8800000}"/>
    <cellStyle name="Normal 5 10 20" xfId="32953" xr:uid="{00000000-0005-0000-0000-0000B9800000}"/>
    <cellStyle name="Normal 5 10 20 10" xfId="32954" xr:uid="{00000000-0005-0000-0000-0000BA800000}"/>
    <cellStyle name="Normal 5 10 20 11" xfId="32955" xr:uid="{00000000-0005-0000-0000-0000BB800000}"/>
    <cellStyle name="Normal 5 10 20 12" xfId="32956" xr:uid="{00000000-0005-0000-0000-0000BC800000}"/>
    <cellStyle name="Normal 5 10 20 13" xfId="32957" xr:uid="{00000000-0005-0000-0000-0000BD800000}"/>
    <cellStyle name="Normal 5 10 20 14" xfId="32958" xr:uid="{00000000-0005-0000-0000-0000BE800000}"/>
    <cellStyle name="Normal 5 10 20 2" xfId="32959" xr:uid="{00000000-0005-0000-0000-0000BF800000}"/>
    <cellStyle name="Normal 5 10 20 2 10" xfId="32960" xr:uid="{00000000-0005-0000-0000-0000C0800000}"/>
    <cellStyle name="Normal 5 10 20 2 2" xfId="32961" xr:uid="{00000000-0005-0000-0000-0000C1800000}"/>
    <cellStyle name="Normal 5 10 20 2 3" xfId="32962" xr:uid="{00000000-0005-0000-0000-0000C2800000}"/>
    <cellStyle name="Normal 5 10 20 2 4" xfId="32963" xr:uid="{00000000-0005-0000-0000-0000C3800000}"/>
    <cellStyle name="Normal 5 10 20 2 5" xfId="32964" xr:uid="{00000000-0005-0000-0000-0000C4800000}"/>
    <cellStyle name="Normal 5 10 20 2 6" xfId="32965" xr:uid="{00000000-0005-0000-0000-0000C5800000}"/>
    <cellStyle name="Normal 5 10 20 2 7" xfId="32966" xr:uid="{00000000-0005-0000-0000-0000C6800000}"/>
    <cellStyle name="Normal 5 10 20 2 8" xfId="32967" xr:uid="{00000000-0005-0000-0000-0000C7800000}"/>
    <cellStyle name="Normal 5 10 20 2 9" xfId="32968" xr:uid="{00000000-0005-0000-0000-0000C8800000}"/>
    <cellStyle name="Normal 5 10 20 3" xfId="32969" xr:uid="{00000000-0005-0000-0000-0000C9800000}"/>
    <cellStyle name="Normal 5 10 20 3 10" xfId="32970" xr:uid="{00000000-0005-0000-0000-0000CA800000}"/>
    <cellStyle name="Normal 5 10 20 3 2" xfId="32971" xr:uid="{00000000-0005-0000-0000-0000CB800000}"/>
    <cellStyle name="Normal 5 10 20 3 3" xfId="32972" xr:uid="{00000000-0005-0000-0000-0000CC800000}"/>
    <cellStyle name="Normal 5 10 20 3 4" xfId="32973" xr:uid="{00000000-0005-0000-0000-0000CD800000}"/>
    <cellStyle name="Normal 5 10 20 3 5" xfId="32974" xr:uid="{00000000-0005-0000-0000-0000CE800000}"/>
    <cellStyle name="Normal 5 10 20 3 6" xfId="32975" xr:uid="{00000000-0005-0000-0000-0000CF800000}"/>
    <cellStyle name="Normal 5 10 20 3 7" xfId="32976" xr:uid="{00000000-0005-0000-0000-0000D0800000}"/>
    <cellStyle name="Normal 5 10 20 3 8" xfId="32977" xr:uid="{00000000-0005-0000-0000-0000D1800000}"/>
    <cellStyle name="Normal 5 10 20 3 9" xfId="32978" xr:uid="{00000000-0005-0000-0000-0000D2800000}"/>
    <cellStyle name="Normal 5 10 20 4" xfId="32979" xr:uid="{00000000-0005-0000-0000-0000D3800000}"/>
    <cellStyle name="Normal 5 10 20 4 10" xfId="32980" xr:uid="{00000000-0005-0000-0000-0000D4800000}"/>
    <cellStyle name="Normal 5 10 20 4 2" xfId="32981" xr:uid="{00000000-0005-0000-0000-0000D5800000}"/>
    <cellStyle name="Normal 5 10 20 4 3" xfId="32982" xr:uid="{00000000-0005-0000-0000-0000D6800000}"/>
    <cellStyle name="Normal 5 10 20 4 4" xfId="32983" xr:uid="{00000000-0005-0000-0000-0000D7800000}"/>
    <cellStyle name="Normal 5 10 20 4 5" xfId="32984" xr:uid="{00000000-0005-0000-0000-0000D8800000}"/>
    <cellStyle name="Normal 5 10 20 4 6" xfId="32985" xr:uid="{00000000-0005-0000-0000-0000D9800000}"/>
    <cellStyle name="Normal 5 10 20 4 7" xfId="32986" xr:uid="{00000000-0005-0000-0000-0000DA800000}"/>
    <cellStyle name="Normal 5 10 20 4 8" xfId="32987" xr:uid="{00000000-0005-0000-0000-0000DB800000}"/>
    <cellStyle name="Normal 5 10 20 4 9" xfId="32988" xr:uid="{00000000-0005-0000-0000-0000DC800000}"/>
    <cellStyle name="Normal 5 10 20 5" xfId="32989" xr:uid="{00000000-0005-0000-0000-0000DD800000}"/>
    <cellStyle name="Normal 5 10 20 5 10" xfId="32990" xr:uid="{00000000-0005-0000-0000-0000DE800000}"/>
    <cellStyle name="Normal 5 10 20 5 2" xfId="32991" xr:uid="{00000000-0005-0000-0000-0000DF800000}"/>
    <cellStyle name="Normal 5 10 20 5 3" xfId="32992" xr:uid="{00000000-0005-0000-0000-0000E0800000}"/>
    <cellStyle name="Normal 5 10 20 5 4" xfId="32993" xr:uid="{00000000-0005-0000-0000-0000E1800000}"/>
    <cellStyle name="Normal 5 10 20 5 5" xfId="32994" xr:uid="{00000000-0005-0000-0000-0000E2800000}"/>
    <cellStyle name="Normal 5 10 20 5 6" xfId="32995" xr:uid="{00000000-0005-0000-0000-0000E3800000}"/>
    <cellStyle name="Normal 5 10 20 5 7" xfId="32996" xr:uid="{00000000-0005-0000-0000-0000E4800000}"/>
    <cellStyle name="Normal 5 10 20 5 8" xfId="32997" xr:uid="{00000000-0005-0000-0000-0000E5800000}"/>
    <cellStyle name="Normal 5 10 20 5 9" xfId="32998" xr:uid="{00000000-0005-0000-0000-0000E6800000}"/>
    <cellStyle name="Normal 5 10 20 6" xfId="32999" xr:uid="{00000000-0005-0000-0000-0000E7800000}"/>
    <cellStyle name="Normal 5 10 20 7" xfId="33000" xr:uid="{00000000-0005-0000-0000-0000E8800000}"/>
    <cellStyle name="Normal 5 10 20 8" xfId="33001" xr:uid="{00000000-0005-0000-0000-0000E9800000}"/>
    <cellStyle name="Normal 5 10 20 9" xfId="33002" xr:uid="{00000000-0005-0000-0000-0000EA800000}"/>
    <cellStyle name="Normal 5 10 21" xfId="33003" xr:uid="{00000000-0005-0000-0000-0000EB800000}"/>
    <cellStyle name="Normal 5 10 21 10" xfId="33004" xr:uid="{00000000-0005-0000-0000-0000EC800000}"/>
    <cellStyle name="Normal 5 10 21 11" xfId="33005" xr:uid="{00000000-0005-0000-0000-0000ED800000}"/>
    <cellStyle name="Normal 5 10 21 12" xfId="33006" xr:uid="{00000000-0005-0000-0000-0000EE800000}"/>
    <cellStyle name="Normal 5 10 21 13" xfId="33007" xr:uid="{00000000-0005-0000-0000-0000EF800000}"/>
    <cellStyle name="Normal 5 10 21 14" xfId="33008" xr:uid="{00000000-0005-0000-0000-0000F0800000}"/>
    <cellStyle name="Normal 5 10 21 2" xfId="33009" xr:uid="{00000000-0005-0000-0000-0000F1800000}"/>
    <cellStyle name="Normal 5 10 21 2 10" xfId="33010" xr:uid="{00000000-0005-0000-0000-0000F2800000}"/>
    <cellStyle name="Normal 5 10 21 2 2" xfId="33011" xr:uid="{00000000-0005-0000-0000-0000F3800000}"/>
    <cellStyle name="Normal 5 10 21 2 3" xfId="33012" xr:uid="{00000000-0005-0000-0000-0000F4800000}"/>
    <cellStyle name="Normal 5 10 21 2 4" xfId="33013" xr:uid="{00000000-0005-0000-0000-0000F5800000}"/>
    <cellStyle name="Normal 5 10 21 2 5" xfId="33014" xr:uid="{00000000-0005-0000-0000-0000F6800000}"/>
    <cellStyle name="Normal 5 10 21 2 6" xfId="33015" xr:uid="{00000000-0005-0000-0000-0000F7800000}"/>
    <cellStyle name="Normal 5 10 21 2 7" xfId="33016" xr:uid="{00000000-0005-0000-0000-0000F8800000}"/>
    <cellStyle name="Normal 5 10 21 2 8" xfId="33017" xr:uid="{00000000-0005-0000-0000-0000F9800000}"/>
    <cellStyle name="Normal 5 10 21 2 9" xfId="33018" xr:uid="{00000000-0005-0000-0000-0000FA800000}"/>
    <cellStyle name="Normal 5 10 21 3" xfId="33019" xr:uid="{00000000-0005-0000-0000-0000FB800000}"/>
    <cellStyle name="Normal 5 10 21 3 10" xfId="33020" xr:uid="{00000000-0005-0000-0000-0000FC800000}"/>
    <cellStyle name="Normal 5 10 21 3 2" xfId="33021" xr:uid="{00000000-0005-0000-0000-0000FD800000}"/>
    <cellStyle name="Normal 5 10 21 3 3" xfId="33022" xr:uid="{00000000-0005-0000-0000-0000FE800000}"/>
    <cellStyle name="Normal 5 10 21 3 4" xfId="33023" xr:uid="{00000000-0005-0000-0000-0000FF800000}"/>
    <cellStyle name="Normal 5 10 21 3 5" xfId="33024" xr:uid="{00000000-0005-0000-0000-000000810000}"/>
    <cellStyle name="Normal 5 10 21 3 6" xfId="33025" xr:uid="{00000000-0005-0000-0000-000001810000}"/>
    <cellStyle name="Normal 5 10 21 3 7" xfId="33026" xr:uid="{00000000-0005-0000-0000-000002810000}"/>
    <cellStyle name="Normal 5 10 21 3 8" xfId="33027" xr:uid="{00000000-0005-0000-0000-000003810000}"/>
    <cellStyle name="Normal 5 10 21 3 9" xfId="33028" xr:uid="{00000000-0005-0000-0000-000004810000}"/>
    <cellStyle name="Normal 5 10 21 4" xfId="33029" xr:uid="{00000000-0005-0000-0000-000005810000}"/>
    <cellStyle name="Normal 5 10 21 4 10" xfId="33030" xr:uid="{00000000-0005-0000-0000-000006810000}"/>
    <cellStyle name="Normal 5 10 21 4 2" xfId="33031" xr:uid="{00000000-0005-0000-0000-000007810000}"/>
    <cellStyle name="Normal 5 10 21 4 3" xfId="33032" xr:uid="{00000000-0005-0000-0000-000008810000}"/>
    <cellStyle name="Normal 5 10 21 4 4" xfId="33033" xr:uid="{00000000-0005-0000-0000-000009810000}"/>
    <cellStyle name="Normal 5 10 21 4 5" xfId="33034" xr:uid="{00000000-0005-0000-0000-00000A810000}"/>
    <cellStyle name="Normal 5 10 21 4 6" xfId="33035" xr:uid="{00000000-0005-0000-0000-00000B810000}"/>
    <cellStyle name="Normal 5 10 21 4 7" xfId="33036" xr:uid="{00000000-0005-0000-0000-00000C810000}"/>
    <cellStyle name="Normal 5 10 21 4 8" xfId="33037" xr:uid="{00000000-0005-0000-0000-00000D810000}"/>
    <cellStyle name="Normal 5 10 21 4 9" xfId="33038" xr:uid="{00000000-0005-0000-0000-00000E810000}"/>
    <cellStyle name="Normal 5 10 21 5" xfId="33039" xr:uid="{00000000-0005-0000-0000-00000F810000}"/>
    <cellStyle name="Normal 5 10 21 5 10" xfId="33040" xr:uid="{00000000-0005-0000-0000-000010810000}"/>
    <cellStyle name="Normal 5 10 21 5 2" xfId="33041" xr:uid="{00000000-0005-0000-0000-000011810000}"/>
    <cellStyle name="Normal 5 10 21 5 3" xfId="33042" xr:uid="{00000000-0005-0000-0000-000012810000}"/>
    <cellStyle name="Normal 5 10 21 5 4" xfId="33043" xr:uid="{00000000-0005-0000-0000-000013810000}"/>
    <cellStyle name="Normal 5 10 21 5 5" xfId="33044" xr:uid="{00000000-0005-0000-0000-000014810000}"/>
    <cellStyle name="Normal 5 10 21 5 6" xfId="33045" xr:uid="{00000000-0005-0000-0000-000015810000}"/>
    <cellStyle name="Normal 5 10 21 5 7" xfId="33046" xr:uid="{00000000-0005-0000-0000-000016810000}"/>
    <cellStyle name="Normal 5 10 21 5 8" xfId="33047" xr:uid="{00000000-0005-0000-0000-000017810000}"/>
    <cellStyle name="Normal 5 10 21 5 9" xfId="33048" xr:uid="{00000000-0005-0000-0000-000018810000}"/>
    <cellStyle name="Normal 5 10 21 6" xfId="33049" xr:uid="{00000000-0005-0000-0000-000019810000}"/>
    <cellStyle name="Normal 5 10 21 7" xfId="33050" xr:uid="{00000000-0005-0000-0000-00001A810000}"/>
    <cellStyle name="Normal 5 10 21 8" xfId="33051" xr:uid="{00000000-0005-0000-0000-00001B810000}"/>
    <cellStyle name="Normal 5 10 21 9" xfId="33052" xr:uid="{00000000-0005-0000-0000-00001C810000}"/>
    <cellStyle name="Normal 5 10 22" xfId="33053" xr:uid="{00000000-0005-0000-0000-00001D810000}"/>
    <cellStyle name="Normal 5 10 22 10" xfId="33054" xr:uid="{00000000-0005-0000-0000-00001E810000}"/>
    <cellStyle name="Normal 5 10 22 11" xfId="33055" xr:uid="{00000000-0005-0000-0000-00001F810000}"/>
    <cellStyle name="Normal 5 10 22 12" xfId="33056" xr:uid="{00000000-0005-0000-0000-000020810000}"/>
    <cellStyle name="Normal 5 10 22 13" xfId="33057" xr:uid="{00000000-0005-0000-0000-000021810000}"/>
    <cellStyle name="Normal 5 10 22 14" xfId="33058" xr:uid="{00000000-0005-0000-0000-000022810000}"/>
    <cellStyle name="Normal 5 10 22 2" xfId="33059" xr:uid="{00000000-0005-0000-0000-000023810000}"/>
    <cellStyle name="Normal 5 10 22 2 10" xfId="33060" xr:uid="{00000000-0005-0000-0000-000024810000}"/>
    <cellStyle name="Normal 5 10 22 2 2" xfId="33061" xr:uid="{00000000-0005-0000-0000-000025810000}"/>
    <cellStyle name="Normal 5 10 22 2 3" xfId="33062" xr:uid="{00000000-0005-0000-0000-000026810000}"/>
    <cellStyle name="Normal 5 10 22 2 4" xfId="33063" xr:uid="{00000000-0005-0000-0000-000027810000}"/>
    <cellStyle name="Normal 5 10 22 2 5" xfId="33064" xr:uid="{00000000-0005-0000-0000-000028810000}"/>
    <cellStyle name="Normal 5 10 22 2 6" xfId="33065" xr:uid="{00000000-0005-0000-0000-000029810000}"/>
    <cellStyle name="Normal 5 10 22 2 7" xfId="33066" xr:uid="{00000000-0005-0000-0000-00002A810000}"/>
    <cellStyle name="Normal 5 10 22 2 8" xfId="33067" xr:uid="{00000000-0005-0000-0000-00002B810000}"/>
    <cellStyle name="Normal 5 10 22 2 9" xfId="33068" xr:uid="{00000000-0005-0000-0000-00002C810000}"/>
    <cellStyle name="Normal 5 10 22 3" xfId="33069" xr:uid="{00000000-0005-0000-0000-00002D810000}"/>
    <cellStyle name="Normal 5 10 22 3 10" xfId="33070" xr:uid="{00000000-0005-0000-0000-00002E810000}"/>
    <cellStyle name="Normal 5 10 22 3 2" xfId="33071" xr:uid="{00000000-0005-0000-0000-00002F810000}"/>
    <cellStyle name="Normal 5 10 22 3 3" xfId="33072" xr:uid="{00000000-0005-0000-0000-000030810000}"/>
    <cellStyle name="Normal 5 10 22 3 4" xfId="33073" xr:uid="{00000000-0005-0000-0000-000031810000}"/>
    <cellStyle name="Normal 5 10 22 3 5" xfId="33074" xr:uid="{00000000-0005-0000-0000-000032810000}"/>
    <cellStyle name="Normal 5 10 22 3 6" xfId="33075" xr:uid="{00000000-0005-0000-0000-000033810000}"/>
    <cellStyle name="Normal 5 10 22 3 7" xfId="33076" xr:uid="{00000000-0005-0000-0000-000034810000}"/>
    <cellStyle name="Normal 5 10 22 3 8" xfId="33077" xr:uid="{00000000-0005-0000-0000-000035810000}"/>
    <cellStyle name="Normal 5 10 22 3 9" xfId="33078" xr:uid="{00000000-0005-0000-0000-000036810000}"/>
    <cellStyle name="Normal 5 10 22 4" xfId="33079" xr:uid="{00000000-0005-0000-0000-000037810000}"/>
    <cellStyle name="Normal 5 10 22 4 10" xfId="33080" xr:uid="{00000000-0005-0000-0000-000038810000}"/>
    <cellStyle name="Normal 5 10 22 4 2" xfId="33081" xr:uid="{00000000-0005-0000-0000-000039810000}"/>
    <cellStyle name="Normal 5 10 22 4 3" xfId="33082" xr:uid="{00000000-0005-0000-0000-00003A810000}"/>
    <cellStyle name="Normal 5 10 22 4 4" xfId="33083" xr:uid="{00000000-0005-0000-0000-00003B810000}"/>
    <cellStyle name="Normal 5 10 22 4 5" xfId="33084" xr:uid="{00000000-0005-0000-0000-00003C810000}"/>
    <cellStyle name="Normal 5 10 22 4 6" xfId="33085" xr:uid="{00000000-0005-0000-0000-00003D810000}"/>
    <cellStyle name="Normal 5 10 22 4 7" xfId="33086" xr:uid="{00000000-0005-0000-0000-00003E810000}"/>
    <cellStyle name="Normal 5 10 22 4 8" xfId="33087" xr:uid="{00000000-0005-0000-0000-00003F810000}"/>
    <cellStyle name="Normal 5 10 22 4 9" xfId="33088" xr:uid="{00000000-0005-0000-0000-000040810000}"/>
    <cellStyle name="Normal 5 10 22 5" xfId="33089" xr:uid="{00000000-0005-0000-0000-000041810000}"/>
    <cellStyle name="Normal 5 10 22 5 10" xfId="33090" xr:uid="{00000000-0005-0000-0000-000042810000}"/>
    <cellStyle name="Normal 5 10 22 5 2" xfId="33091" xr:uid="{00000000-0005-0000-0000-000043810000}"/>
    <cellStyle name="Normal 5 10 22 5 3" xfId="33092" xr:uid="{00000000-0005-0000-0000-000044810000}"/>
    <cellStyle name="Normal 5 10 22 5 4" xfId="33093" xr:uid="{00000000-0005-0000-0000-000045810000}"/>
    <cellStyle name="Normal 5 10 22 5 5" xfId="33094" xr:uid="{00000000-0005-0000-0000-000046810000}"/>
    <cellStyle name="Normal 5 10 22 5 6" xfId="33095" xr:uid="{00000000-0005-0000-0000-000047810000}"/>
    <cellStyle name="Normal 5 10 22 5 7" xfId="33096" xr:uid="{00000000-0005-0000-0000-000048810000}"/>
    <cellStyle name="Normal 5 10 22 5 8" xfId="33097" xr:uid="{00000000-0005-0000-0000-000049810000}"/>
    <cellStyle name="Normal 5 10 22 5 9" xfId="33098" xr:uid="{00000000-0005-0000-0000-00004A810000}"/>
    <cellStyle name="Normal 5 10 22 6" xfId="33099" xr:uid="{00000000-0005-0000-0000-00004B810000}"/>
    <cellStyle name="Normal 5 10 22 7" xfId="33100" xr:uid="{00000000-0005-0000-0000-00004C810000}"/>
    <cellStyle name="Normal 5 10 22 8" xfId="33101" xr:uid="{00000000-0005-0000-0000-00004D810000}"/>
    <cellStyle name="Normal 5 10 22 9" xfId="33102" xr:uid="{00000000-0005-0000-0000-00004E810000}"/>
    <cellStyle name="Normal 5 10 23" xfId="33103" xr:uid="{00000000-0005-0000-0000-00004F810000}"/>
    <cellStyle name="Normal 5 10 23 10" xfId="33104" xr:uid="{00000000-0005-0000-0000-000050810000}"/>
    <cellStyle name="Normal 5 10 23 11" xfId="33105" xr:uid="{00000000-0005-0000-0000-000051810000}"/>
    <cellStyle name="Normal 5 10 23 12" xfId="33106" xr:uid="{00000000-0005-0000-0000-000052810000}"/>
    <cellStyle name="Normal 5 10 23 13" xfId="33107" xr:uid="{00000000-0005-0000-0000-000053810000}"/>
    <cellStyle name="Normal 5 10 23 14" xfId="33108" xr:uid="{00000000-0005-0000-0000-000054810000}"/>
    <cellStyle name="Normal 5 10 23 2" xfId="33109" xr:uid="{00000000-0005-0000-0000-000055810000}"/>
    <cellStyle name="Normal 5 10 23 2 10" xfId="33110" xr:uid="{00000000-0005-0000-0000-000056810000}"/>
    <cellStyle name="Normal 5 10 23 2 2" xfId="33111" xr:uid="{00000000-0005-0000-0000-000057810000}"/>
    <cellStyle name="Normal 5 10 23 2 3" xfId="33112" xr:uid="{00000000-0005-0000-0000-000058810000}"/>
    <cellStyle name="Normal 5 10 23 2 4" xfId="33113" xr:uid="{00000000-0005-0000-0000-000059810000}"/>
    <cellStyle name="Normal 5 10 23 2 5" xfId="33114" xr:uid="{00000000-0005-0000-0000-00005A810000}"/>
    <cellStyle name="Normal 5 10 23 2 6" xfId="33115" xr:uid="{00000000-0005-0000-0000-00005B810000}"/>
    <cellStyle name="Normal 5 10 23 2 7" xfId="33116" xr:uid="{00000000-0005-0000-0000-00005C810000}"/>
    <cellStyle name="Normal 5 10 23 2 8" xfId="33117" xr:uid="{00000000-0005-0000-0000-00005D810000}"/>
    <cellStyle name="Normal 5 10 23 2 9" xfId="33118" xr:uid="{00000000-0005-0000-0000-00005E810000}"/>
    <cellStyle name="Normal 5 10 23 3" xfId="33119" xr:uid="{00000000-0005-0000-0000-00005F810000}"/>
    <cellStyle name="Normal 5 10 23 3 10" xfId="33120" xr:uid="{00000000-0005-0000-0000-000060810000}"/>
    <cellStyle name="Normal 5 10 23 3 2" xfId="33121" xr:uid="{00000000-0005-0000-0000-000061810000}"/>
    <cellStyle name="Normal 5 10 23 3 3" xfId="33122" xr:uid="{00000000-0005-0000-0000-000062810000}"/>
    <cellStyle name="Normal 5 10 23 3 4" xfId="33123" xr:uid="{00000000-0005-0000-0000-000063810000}"/>
    <cellStyle name="Normal 5 10 23 3 5" xfId="33124" xr:uid="{00000000-0005-0000-0000-000064810000}"/>
    <cellStyle name="Normal 5 10 23 3 6" xfId="33125" xr:uid="{00000000-0005-0000-0000-000065810000}"/>
    <cellStyle name="Normal 5 10 23 3 7" xfId="33126" xr:uid="{00000000-0005-0000-0000-000066810000}"/>
    <cellStyle name="Normal 5 10 23 3 8" xfId="33127" xr:uid="{00000000-0005-0000-0000-000067810000}"/>
    <cellStyle name="Normal 5 10 23 3 9" xfId="33128" xr:uid="{00000000-0005-0000-0000-000068810000}"/>
    <cellStyle name="Normal 5 10 23 4" xfId="33129" xr:uid="{00000000-0005-0000-0000-000069810000}"/>
    <cellStyle name="Normal 5 10 23 4 10" xfId="33130" xr:uid="{00000000-0005-0000-0000-00006A810000}"/>
    <cellStyle name="Normal 5 10 23 4 2" xfId="33131" xr:uid="{00000000-0005-0000-0000-00006B810000}"/>
    <cellStyle name="Normal 5 10 23 4 3" xfId="33132" xr:uid="{00000000-0005-0000-0000-00006C810000}"/>
    <cellStyle name="Normal 5 10 23 4 4" xfId="33133" xr:uid="{00000000-0005-0000-0000-00006D810000}"/>
    <cellStyle name="Normal 5 10 23 4 5" xfId="33134" xr:uid="{00000000-0005-0000-0000-00006E810000}"/>
    <cellStyle name="Normal 5 10 23 4 6" xfId="33135" xr:uid="{00000000-0005-0000-0000-00006F810000}"/>
    <cellStyle name="Normal 5 10 23 4 7" xfId="33136" xr:uid="{00000000-0005-0000-0000-000070810000}"/>
    <cellStyle name="Normal 5 10 23 4 8" xfId="33137" xr:uid="{00000000-0005-0000-0000-000071810000}"/>
    <cellStyle name="Normal 5 10 23 4 9" xfId="33138" xr:uid="{00000000-0005-0000-0000-000072810000}"/>
    <cellStyle name="Normal 5 10 23 5" xfId="33139" xr:uid="{00000000-0005-0000-0000-000073810000}"/>
    <cellStyle name="Normal 5 10 23 5 10" xfId="33140" xr:uid="{00000000-0005-0000-0000-000074810000}"/>
    <cellStyle name="Normal 5 10 23 5 2" xfId="33141" xr:uid="{00000000-0005-0000-0000-000075810000}"/>
    <cellStyle name="Normal 5 10 23 5 3" xfId="33142" xr:uid="{00000000-0005-0000-0000-000076810000}"/>
    <cellStyle name="Normal 5 10 23 5 4" xfId="33143" xr:uid="{00000000-0005-0000-0000-000077810000}"/>
    <cellStyle name="Normal 5 10 23 5 5" xfId="33144" xr:uid="{00000000-0005-0000-0000-000078810000}"/>
    <cellStyle name="Normal 5 10 23 5 6" xfId="33145" xr:uid="{00000000-0005-0000-0000-000079810000}"/>
    <cellStyle name="Normal 5 10 23 5 7" xfId="33146" xr:uid="{00000000-0005-0000-0000-00007A810000}"/>
    <cellStyle name="Normal 5 10 23 5 8" xfId="33147" xr:uid="{00000000-0005-0000-0000-00007B810000}"/>
    <cellStyle name="Normal 5 10 23 5 9" xfId="33148" xr:uid="{00000000-0005-0000-0000-00007C810000}"/>
    <cellStyle name="Normal 5 10 23 6" xfId="33149" xr:uid="{00000000-0005-0000-0000-00007D810000}"/>
    <cellStyle name="Normal 5 10 23 7" xfId="33150" xr:uid="{00000000-0005-0000-0000-00007E810000}"/>
    <cellStyle name="Normal 5 10 23 8" xfId="33151" xr:uid="{00000000-0005-0000-0000-00007F810000}"/>
    <cellStyle name="Normal 5 10 23 9" xfId="33152" xr:uid="{00000000-0005-0000-0000-000080810000}"/>
    <cellStyle name="Normal 5 10 24" xfId="33153" xr:uid="{00000000-0005-0000-0000-000081810000}"/>
    <cellStyle name="Normal 5 10 24 10" xfId="33154" xr:uid="{00000000-0005-0000-0000-000082810000}"/>
    <cellStyle name="Normal 5 10 24 11" xfId="33155" xr:uid="{00000000-0005-0000-0000-000083810000}"/>
    <cellStyle name="Normal 5 10 24 12" xfId="33156" xr:uid="{00000000-0005-0000-0000-000084810000}"/>
    <cellStyle name="Normal 5 10 24 13" xfId="33157" xr:uid="{00000000-0005-0000-0000-000085810000}"/>
    <cellStyle name="Normal 5 10 24 14" xfId="33158" xr:uid="{00000000-0005-0000-0000-000086810000}"/>
    <cellStyle name="Normal 5 10 24 2" xfId="33159" xr:uid="{00000000-0005-0000-0000-000087810000}"/>
    <cellStyle name="Normal 5 10 24 2 10" xfId="33160" xr:uid="{00000000-0005-0000-0000-000088810000}"/>
    <cellStyle name="Normal 5 10 24 2 2" xfId="33161" xr:uid="{00000000-0005-0000-0000-000089810000}"/>
    <cellStyle name="Normal 5 10 24 2 3" xfId="33162" xr:uid="{00000000-0005-0000-0000-00008A810000}"/>
    <cellStyle name="Normal 5 10 24 2 4" xfId="33163" xr:uid="{00000000-0005-0000-0000-00008B810000}"/>
    <cellStyle name="Normal 5 10 24 2 5" xfId="33164" xr:uid="{00000000-0005-0000-0000-00008C810000}"/>
    <cellStyle name="Normal 5 10 24 2 6" xfId="33165" xr:uid="{00000000-0005-0000-0000-00008D810000}"/>
    <cellStyle name="Normal 5 10 24 2 7" xfId="33166" xr:uid="{00000000-0005-0000-0000-00008E810000}"/>
    <cellStyle name="Normal 5 10 24 2 8" xfId="33167" xr:uid="{00000000-0005-0000-0000-00008F810000}"/>
    <cellStyle name="Normal 5 10 24 2 9" xfId="33168" xr:uid="{00000000-0005-0000-0000-000090810000}"/>
    <cellStyle name="Normal 5 10 24 3" xfId="33169" xr:uid="{00000000-0005-0000-0000-000091810000}"/>
    <cellStyle name="Normal 5 10 24 3 10" xfId="33170" xr:uid="{00000000-0005-0000-0000-000092810000}"/>
    <cellStyle name="Normal 5 10 24 3 2" xfId="33171" xr:uid="{00000000-0005-0000-0000-000093810000}"/>
    <cellStyle name="Normal 5 10 24 3 3" xfId="33172" xr:uid="{00000000-0005-0000-0000-000094810000}"/>
    <cellStyle name="Normal 5 10 24 3 4" xfId="33173" xr:uid="{00000000-0005-0000-0000-000095810000}"/>
    <cellStyle name="Normal 5 10 24 3 5" xfId="33174" xr:uid="{00000000-0005-0000-0000-000096810000}"/>
    <cellStyle name="Normal 5 10 24 3 6" xfId="33175" xr:uid="{00000000-0005-0000-0000-000097810000}"/>
    <cellStyle name="Normal 5 10 24 3 7" xfId="33176" xr:uid="{00000000-0005-0000-0000-000098810000}"/>
    <cellStyle name="Normal 5 10 24 3 8" xfId="33177" xr:uid="{00000000-0005-0000-0000-000099810000}"/>
    <cellStyle name="Normal 5 10 24 3 9" xfId="33178" xr:uid="{00000000-0005-0000-0000-00009A810000}"/>
    <cellStyle name="Normal 5 10 24 4" xfId="33179" xr:uid="{00000000-0005-0000-0000-00009B810000}"/>
    <cellStyle name="Normal 5 10 24 4 10" xfId="33180" xr:uid="{00000000-0005-0000-0000-00009C810000}"/>
    <cellStyle name="Normal 5 10 24 4 2" xfId="33181" xr:uid="{00000000-0005-0000-0000-00009D810000}"/>
    <cellStyle name="Normal 5 10 24 4 3" xfId="33182" xr:uid="{00000000-0005-0000-0000-00009E810000}"/>
    <cellStyle name="Normal 5 10 24 4 4" xfId="33183" xr:uid="{00000000-0005-0000-0000-00009F810000}"/>
    <cellStyle name="Normal 5 10 24 4 5" xfId="33184" xr:uid="{00000000-0005-0000-0000-0000A0810000}"/>
    <cellStyle name="Normal 5 10 24 4 6" xfId="33185" xr:uid="{00000000-0005-0000-0000-0000A1810000}"/>
    <cellStyle name="Normal 5 10 24 4 7" xfId="33186" xr:uid="{00000000-0005-0000-0000-0000A2810000}"/>
    <cellStyle name="Normal 5 10 24 4 8" xfId="33187" xr:uid="{00000000-0005-0000-0000-0000A3810000}"/>
    <cellStyle name="Normal 5 10 24 4 9" xfId="33188" xr:uid="{00000000-0005-0000-0000-0000A4810000}"/>
    <cellStyle name="Normal 5 10 24 5" xfId="33189" xr:uid="{00000000-0005-0000-0000-0000A5810000}"/>
    <cellStyle name="Normal 5 10 24 5 10" xfId="33190" xr:uid="{00000000-0005-0000-0000-0000A6810000}"/>
    <cellStyle name="Normal 5 10 24 5 2" xfId="33191" xr:uid="{00000000-0005-0000-0000-0000A7810000}"/>
    <cellStyle name="Normal 5 10 24 5 3" xfId="33192" xr:uid="{00000000-0005-0000-0000-0000A8810000}"/>
    <cellStyle name="Normal 5 10 24 5 4" xfId="33193" xr:uid="{00000000-0005-0000-0000-0000A9810000}"/>
    <cellStyle name="Normal 5 10 24 5 5" xfId="33194" xr:uid="{00000000-0005-0000-0000-0000AA810000}"/>
    <cellStyle name="Normal 5 10 24 5 6" xfId="33195" xr:uid="{00000000-0005-0000-0000-0000AB810000}"/>
    <cellStyle name="Normal 5 10 24 5 7" xfId="33196" xr:uid="{00000000-0005-0000-0000-0000AC810000}"/>
    <cellStyle name="Normal 5 10 24 5 8" xfId="33197" xr:uid="{00000000-0005-0000-0000-0000AD810000}"/>
    <cellStyle name="Normal 5 10 24 5 9" xfId="33198" xr:uid="{00000000-0005-0000-0000-0000AE810000}"/>
    <cellStyle name="Normal 5 10 24 6" xfId="33199" xr:uid="{00000000-0005-0000-0000-0000AF810000}"/>
    <cellStyle name="Normal 5 10 24 7" xfId="33200" xr:uid="{00000000-0005-0000-0000-0000B0810000}"/>
    <cellStyle name="Normal 5 10 24 8" xfId="33201" xr:uid="{00000000-0005-0000-0000-0000B1810000}"/>
    <cellStyle name="Normal 5 10 24 9" xfId="33202" xr:uid="{00000000-0005-0000-0000-0000B2810000}"/>
    <cellStyle name="Normal 5 10 25" xfId="33203" xr:uid="{00000000-0005-0000-0000-0000B3810000}"/>
    <cellStyle name="Normal 5 10 25 10" xfId="33204" xr:uid="{00000000-0005-0000-0000-0000B4810000}"/>
    <cellStyle name="Normal 5 10 25 11" xfId="33205" xr:uid="{00000000-0005-0000-0000-0000B5810000}"/>
    <cellStyle name="Normal 5 10 25 12" xfId="33206" xr:uid="{00000000-0005-0000-0000-0000B6810000}"/>
    <cellStyle name="Normal 5 10 25 13" xfId="33207" xr:uid="{00000000-0005-0000-0000-0000B7810000}"/>
    <cellStyle name="Normal 5 10 25 14" xfId="33208" xr:uid="{00000000-0005-0000-0000-0000B8810000}"/>
    <cellStyle name="Normal 5 10 25 2" xfId="33209" xr:uid="{00000000-0005-0000-0000-0000B9810000}"/>
    <cellStyle name="Normal 5 10 25 2 10" xfId="33210" xr:uid="{00000000-0005-0000-0000-0000BA810000}"/>
    <cellStyle name="Normal 5 10 25 2 2" xfId="33211" xr:uid="{00000000-0005-0000-0000-0000BB810000}"/>
    <cellStyle name="Normal 5 10 25 2 3" xfId="33212" xr:uid="{00000000-0005-0000-0000-0000BC810000}"/>
    <cellStyle name="Normal 5 10 25 2 4" xfId="33213" xr:uid="{00000000-0005-0000-0000-0000BD810000}"/>
    <cellStyle name="Normal 5 10 25 2 5" xfId="33214" xr:uid="{00000000-0005-0000-0000-0000BE810000}"/>
    <cellStyle name="Normal 5 10 25 2 6" xfId="33215" xr:uid="{00000000-0005-0000-0000-0000BF810000}"/>
    <cellStyle name="Normal 5 10 25 2 7" xfId="33216" xr:uid="{00000000-0005-0000-0000-0000C0810000}"/>
    <cellStyle name="Normal 5 10 25 2 8" xfId="33217" xr:uid="{00000000-0005-0000-0000-0000C1810000}"/>
    <cellStyle name="Normal 5 10 25 2 9" xfId="33218" xr:uid="{00000000-0005-0000-0000-0000C2810000}"/>
    <cellStyle name="Normal 5 10 25 3" xfId="33219" xr:uid="{00000000-0005-0000-0000-0000C3810000}"/>
    <cellStyle name="Normal 5 10 25 3 10" xfId="33220" xr:uid="{00000000-0005-0000-0000-0000C4810000}"/>
    <cellStyle name="Normal 5 10 25 3 2" xfId="33221" xr:uid="{00000000-0005-0000-0000-0000C5810000}"/>
    <cellStyle name="Normal 5 10 25 3 3" xfId="33222" xr:uid="{00000000-0005-0000-0000-0000C6810000}"/>
    <cellStyle name="Normal 5 10 25 3 4" xfId="33223" xr:uid="{00000000-0005-0000-0000-0000C7810000}"/>
    <cellStyle name="Normal 5 10 25 3 5" xfId="33224" xr:uid="{00000000-0005-0000-0000-0000C8810000}"/>
    <cellStyle name="Normal 5 10 25 3 6" xfId="33225" xr:uid="{00000000-0005-0000-0000-0000C9810000}"/>
    <cellStyle name="Normal 5 10 25 3 7" xfId="33226" xr:uid="{00000000-0005-0000-0000-0000CA810000}"/>
    <cellStyle name="Normal 5 10 25 3 8" xfId="33227" xr:uid="{00000000-0005-0000-0000-0000CB810000}"/>
    <cellStyle name="Normal 5 10 25 3 9" xfId="33228" xr:uid="{00000000-0005-0000-0000-0000CC810000}"/>
    <cellStyle name="Normal 5 10 25 4" xfId="33229" xr:uid="{00000000-0005-0000-0000-0000CD810000}"/>
    <cellStyle name="Normal 5 10 25 4 10" xfId="33230" xr:uid="{00000000-0005-0000-0000-0000CE810000}"/>
    <cellStyle name="Normal 5 10 25 4 2" xfId="33231" xr:uid="{00000000-0005-0000-0000-0000CF810000}"/>
    <cellStyle name="Normal 5 10 25 4 3" xfId="33232" xr:uid="{00000000-0005-0000-0000-0000D0810000}"/>
    <cellStyle name="Normal 5 10 25 4 4" xfId="33233" xr:uid="{00000000-0005-0000-0000-0000D1810000}"/>
    <cellStyle name="Normal 5 10 25 4 5" xfId="33234" xr:uid="{00000000-0005-0000-0000-0000D2810000}"/>
    <cellStyle name="Normal 5 10 25 4 6" xfId="33235" xr:uid="{00000000-0005-0000-0000-0000D3810000}"/>
    <cellStyle name="Normal 5 10 25 4 7" xfId="33236" xr:uid="{00000000-0005-0000-0000-0000D4810000}"/>
    <cellStyle name="Normal 5 10 25 4 8" xfId="33237" xr:uid="{00000000-0005-0000-0000-0000D5810000}"/>
    <cellStyle name="Normal 5 10 25 4 9" xfId="33238" xr:uid="{00000000-0005-0000-0000-0000D6810000}"/>
    <cellStyle name="Normal 5 10 25 5" xfId="33239" xr:uid="{00000000-0005-0000-0000-0000D7810000}"/>
    <cellStyle name="Normal 5 10 25 5 10" xfId="33240" xr:uid="{00000000-0005-0000-0000-0000D8810000}"/>
    <cellStyle name="Normal 5 10 25 5 2" xfId="33241" xr:uid="{00000000-0005-0000-0000-0000D9810000}"/>
    <cellStyle name="Normal 5 10 25 5 3" xfId="33242" xr:uid="{00000000-0005-0000-0000-0000DA810000}"/>
    <cellStyle name="Normal 5 10 25 5 4" xfId="33243" xr:uid="{00000000-0005-0000-0000-0000DB810000}"/>
    <cellStyle name="Normal 5 10 25 5 5" xfId="33244" xr:uid="{00000000-0005-0000-0000-0000DC810000}"/>
    <cellStyle name="Normal 5 10 25 5 6" xfId="33245" xr:uid="{00000000-0005-0000-0000-0000DD810000}"/>
    <cellStyle name="Normal 5 10 25 5 7" xfId="33246" xr:uid="{00000000-0005-0000-0000-0000DE810000}"/>
    <cellStyle name="Normal 5 10 25 5 8" xfId="33247" xr:uid="{00000000-0005-0000-0000-0000DF810000}"/>
    <cellStyle name="Normal 5 10 25 5 9" xfId="33248" xr:uid="{00000000-0005-0000-0000-0000E0810000}"/>
    <cellStyle name="Normal 5 10 25 6" xfId="33249" xr:uid="{00000000-0005-0000-0000-0000E1810000}"/>
    <cellStyle name="Normal 5 10 25 7" xfId="33250" xr:uid="{00000000-0005-0000-0000-0000E2810000}"/>
    <cellStyle name="Normal 5 10 25 8" xfId="33251" xr:uid="{00000000-0005-0000-0000-0000E3810000}"/>
    <cellStyle name="Normal 5 10 25 9" xfId="33252" xr:uid="{00000000-0005-0000-0000-0000E4810000}"/>
    <cellStyle name="Normal 5 10 26" xfId="33253" xr:uid="{00000000-0005-0000-0000-0000E5810000}"/>
    <cellStyle name="Normal 5 10 26 10" xfId="33254" xr:uid="{00000000-0005-0000-0000-0000E6810000}"/>
    <cellStyle name="Normal 5 10 26 11" xfId="33255" xr:uid="{00000000-0005-0000-0000-0000E7810000}"/>
    <cellStyle name="Normal 5 10 26 12" xfId="33256" xr:uid="{00000000-0005-0000-0000-0000E8810000}"/>
    <cellStyle name="Normal 5 10 26 13" xfId="33257" xr:uid="{00000000-0005-0000-0000-0000E9810000}"/>
    <cellStyle name="Normal 5 10 26 14" xfId="33258" xr:uid="{00000000-0005-0000-0000-0000EA810000}"/>
    <cellStyle name="Normal 5 10 26 2" xfId="33259" xr:uid="{00000000-0005-0000-0000-0000EB810000}"/>
    <cellStyle name="Normal 5 10 26 2 10" xfId="33260" xr:uid="{00000000-0005-0000-0000-0000EC810000}"/>
    <cellStyle name="Normal 5 10 26 2 2" xfId="33261" xr:uid="{00000000-0005-0000-0000-0000ED810000}"/>
    <cellStyle name="Normal 5 10 26 2 3" xfId="33262" xr:uid="{00000000-0005-0000-0000-0000EE810000}"/>
    <cellStyle name="Normal 5 10 26 2 4" xfId="33263" xr:uid="{00000000-0005-0000-0000-0000EF810000}"/>
    <cellStyle name="Normal 5 10 26 2 5" xfId="33264" xr:uid="{00000000-0005-0000-0000-0000F0810000}"/>
    <cellStyle name="Normal 5 10 26 2 6" xfId="33265" xr:uid="{00000000-0005-0000-0000-0000F1810000}"/>
    <cellStyle name="Normal 5 10 26 2 7" xfId="33266" xr:uid="{00000000-0005-0000-0000-0000F2810000}"/>
    <cellStyle name="Normal 5 10 26 2 8" xfId="33267" xr:uid="{00000000-0005-0000-0000-0000F3810000}"/>
    <cellStyle name="Normal 5 10 26 2 9" xfId="33268" xr:uid="{00000000-0005-0000-0000-0000F4810000}"/>
    <cellStyle name="Normal 5 10 26 3" xfId="33269" xr:uid="{00000000-0005-0000-0000-0000F5810000}"/>
    <cellStyle name="Normal 5 10 26 3 10" xfId="33270" xr:uid="{00000000-0005-0000-0000-0000F6810000}"/>
    <cellStyle name="Normal 5 10 26 3 2" xfId="33271" xr:uid="{00000000-0005-0000-0000-0000F7810000}"/>
    <cellStyle name="Normal 5 10 26 3 3" xfId="33272" xr:uid="{00000000-0005-0000-0000-0000F8810000}"/>
    <cellStyle name="Normal 5 10 26 3 4" xfId="33273" xr:uid="{00000000-0005-0000-0000-0000F9810000}"/>
    <cellStyle name="Normal 5 10 26 3 5" xfId="33274" xr:uid="{00000000-0005-0000-0000-0000FA810000}"/>
    <cellStyle name="Normal 5 10 26 3 6" xfId="33275" xr:uid="{00000000-0005-0000-0000-0000FB810000}"/>
    <cellStyle name="Normal 5 10 26 3 7" xfId="33276" xr:uid="{00000000-0005-0000-0000-0000FC810000}"/>
    <cellStyle name="Normal 5 10 26 3 8" xfId="33277" xr:uid="{00000000-0005-0000-0000-0000FD810000}"/>
    <cellStyle name="Normal 5 10 26 3 9" xfId="33278" xr:uid="{00000000-0005-0000-0000-0000FE810000}"/>
    <cellStyle name="Normal 5 10 26 4" xfId="33279" xr:uid="{00000000-0005-0000-0000-0000FF810000}"/>
    <cellStyle name="Normal 5 10 26 4 10" xfId="33280" xr:uid="{00000000-0005-0000-0000-000000820000}"/>
    <cellStyle name="Normal 5 10 26 4 2" xfId="33281" xr:uid="{00000000-0005-0000-0000-000001820000}"/>
    <cellStyle name="Normal 5 10 26 4 3" xfId="33282" xr:uid="{00000000-0005-0000-0000-000002820000}"/>
    <cellStyle name="Normal 5 10 26 4 4" xfId="33283" xr:uid="{00000000-0005-0000-0000-000003820000}"/>
    <cellStyle name="Normal 5 10 26 4 5" xfId="33284" xr:uid="{00000000-0005-0000-0000-000004820000}"/>
    <cellStyle name="Normal 5 10 26 4 6" xfId="33285" xr:uid="{00000000-0005-0000-0000-000005820000}"/>
    <cellStyle name="Normal 5 10 26 4 7" xfId="33286" xr:uid="{00000000-0005-0000-0000-000006820000}"/>
    <cellStyle name="Normal 5 10 26 4 8" xfId="33287" xr:uid="{00000000-0005-0000-0000-000007820000}"/>
    <cellStyle name="Normal 5 10 26 4 9" xfId="33288" xr:uid="{00000000-0005-0000-0000-000008820000}"/>
    <cellStyle name="Normal 5 10 26 5" xfId="33289" xr:uid="{00000000-0005-0000-0000-000009820000}"/>
    <cellStyle name="Normal 5 10 26 5 10" xfId="33290" xr:uid="{00000000-0005-0000-0000-00000A820000}"/>
    <cellStyle name="Normal 5 10 26 5 2" xfId="33291" xr:uid="{00000000-0005-0000-0000-00000B820000}"/>
    <cellStyle name="Normal 5 10 26 5 3" xfId="33292" xr:uid="{00000000-0005-0000-0000-00000C820000}"/>
    <cellStyle name="Normal 5 10 26 5 4" xfId="33293" xr:uid="{00000000-0005-0000-0000-00000D820000}"/>
    <cellStyle name="Normal 5 10 26 5 5" xfId="33294" xr:uid="{00000000-0005-0000-0000-00000E820000}"/>
    <cellStyle name="Normal 5 10 26 5 6" xfId="33295" xr:uid="{00000000-0005-0000-0000-00000F820000}"/>
    <cellStyle name="Normal 5 10 26 5 7" xfId="33296" xr:uid="{00000000-0005-0000-0000-000010820000}"/>
    <cellStyle name="Normal 5 10 26 5 8" xfId="33297" xr:uid="{00000000-0005-0000-0000-000011820000}"/>
    <cellStyle name="Normal 5 10 26 5 9" xfId="33298" xr:uid="{00000000-0005-0000-0000-000012820000}"/>
    <cellStyle name="Normal 5 10 26 6" xfId="33299" xr:uid="{00000000-0005-0000-0000-000013820000}"/>
    <cellStyle name="Normal 5 10 26 7" xfId="33300" xr:uid="{00000000-0005-0000-0000-000014820000}"/>
    <cellStyle name="Normal 5 10 26 8" xfId="33301" xr:uid="{00000000-0005-0000-0000-000015820000}"/>
    <cellStyle name="Normal 5 10 26 9" xfId="33302" xr:uid="{00000000-0005-0000-0000-000016820000}"/>
    <cellStyle name="Normal 5 10 27" xfId="33303" xr:uid="{00000000-0005-0000-0000-000017820000}"/>
    <cellStyle name="Normal 5 10 27 10" xfId="33304" xr:uid="{00000000-0005-0000-0000-000018820000}"/>
    <cellStyle name="Normal 5 10 27 11" xfId="33305" xr:uid="{00000000-0005-0000-0000-000019820000}"/>
    <cellStyle name="Normal 5 10 27 12" xfId="33306" xr:uid="{00000000-0005-0000-0000-00001A820000}"/>
    <cellStyle name="Normal 5 10 27 13" xfId="33307" xr:uid="{00000000-0005-0000-0000-00001B820000}"/>
    <cellStyle name="Normal 5 10 27 14" xfId="33308" xr:uid="{00000000-0005-0000-0000-00001C820000}"/>
    <cellStyle name="Normal 5 10 27 2" xfId="33309" xr:uid="{00000000-0005-0000-0000-00001D820000}"/>
    <cellStyle name="Normal 5 10 27 2 10" xfId="33310" xr:uid="{00000000-0005-0000-0000-00001E820000}"/>
    <cellStyle name="Normal 5 10 27 2 2" xfId="33311" xr:uid="{00000000-0005-0000-0000-00001F820000}"/>
    <cellStyle name="Normal 5 10 27 2 3" xfId="33312" xr:uid="{00000000-0005-0000-0000-000020820000}"/>
    <cellStyle name="Normal 5 10 27 2 4" xfId="33313" xr:uid="{00000000-0005-0000-0000-000021820000}"/>
    <cellStyle name="Normal 5 10 27 2 5" xfId="33314" xr:uid="{00000000-0005-0000-0000-000022820000}"/>
    <cellStyle name="Normal 5 10 27 2 6" xfId="33315" xr:uid="{00000000-0005-0000-0000-000023820000}"/>
    <cellStyle name="Normal 5 10 27 2 7" xfId="33316" xr:uid="{00000000-0005-0000-0000-000024820000}"/>
    <cellStyle name="Normal 5 10 27 2 8" xfId="33317" xr:uid="{00000000-0005-0000-0000-000025820000}"/>
    <cellStyle name="Normal 5 10 27 2 9" xfId="33318" xr:uid="{00000000-0005-0000-0000-000026820000}"/>
    <cellStyle name="Normal 5 10 27 3" xfId="33319" xr:uid="{00000000-0005-0000-0000-000027820000}"/>
    <cellStyle name="Normal 5 10 27 3 10" xfId="33320" xr:uid="{00000000-0005-0000-0000-000028820000}"/>
    <cellStyle name="Normal 5 10 27 3 2" xfId="33321" xr:uid="{00000000-0005-0000-0000-000029820000}"/>
    <cellStyle name="Normal 5 10 27 3 3" xfId="33322" xr:uid="{00000000-0005-0000-0000-00002A820000}"/>
    <cellStyle name="Normal 5 10 27 3 4" xfId="33323" xr:uid="{00000000-0005-0000-0000-00002B820000}"/>
    <cellStyle name="Normal 5 10 27 3 5" xfId="33324" xr:uid="{00000000-0005-0000-0000-00002C820000}"/>
    <cellStyle name="Normal 5 10 27 3 6" xfId="33325" xr:uid="{00000000-0005-0000-0000-00002D820000}"/>
    <cellStyle name="Normal 5 10 27 3 7" xfId="33326" xr:uid="{00000000-0005-0000-0000-00002E820000}"/>
    <cellStyle name="Normal 5 10 27 3 8" xfId="33327" xr:uid="{00000000-0005-0000-0000-00002F820000}"/>
    <cellStyle name="Normal 5 10 27 3 9" xfId="33328" xr:uid="{00000000-0005-0000-0000-000030820000}"/>
    <cellStyle name="Normal 5 10 27 4" xfId="33329" xr:uid="{00000000-0005-0000-0000-000031820000}"/>
    <cellStyle name="Normal 5 10 27 4 10" xfId="33330" xr:uid="{00000000-0005-0000-0000-000032820000}"/>
    <cellStyle name="Normal 5 10 27 4 2" xfId="33331" xr:uid="{00000000-0005-0000-0000-000033820000}"/>
    <cellStyle name="Normal 5 10 27 4 3" xfId="33332" xr:uid="{00000000-0005-0000-0000-000034820000}"/>
    <cellStyle name="Normal 5 10 27 4 4" xfId="33333" xr:uid="{00000000-0005-0000-0000-000035820000}"/>
    <cellStyle name="Normal 5 10 27 4 5" xfId="33334" xr:uid="{00000000-0005-0000-0000-000036820000}"/>
    <cellStyle name="Normal 5 10 27 4 6" xfId="33335" xr:uid="{00000000-0005-0000-0000-000037820000}"/>
    <cellStyle name="Normal 5 10 27 4 7" xfId="33336" xr:uid="{00000000-0005-0000-0000-000038820000}"/>
    <cellStyle name="Normal 5 10 27 4 8" xfId="33337" xr:uid="{00000000-0005-0000-0000-000039820000}"/>
    <cellStyle name="Normal 5 10 27 4 9" xfId="33338" xr:uid="{00000000-0005-0000-0000-00003A820000}"/>
    <cellStyle name="Normal 5 10 27 5" xfId="33339" xr:uid="{00000000-0005-0000-0000-00003B820000}"/>
    <cellStyle name="Normal 5 10 27 5 10" xfId="33340" xr:uid="{00000000-0005-0000-0000-00003C820000}"/>
    <cellStyle name="Normal 5 10 27 5 2" xfId="33341" xr:uid="{00000000-0005-0000-0000-00003D820000}"/>
    <cellStyle name="Normal 5 10 27 5 3" xfId="33342" xr:uid="{00000000-0005-0000-0000-00003E820000}"/>
    <cellStyle name="Normal 5 10 27 5 4" xfId="33343" xr:uid="{00000000-0005-0000-0000-00003F820000}"/>
    <cellStyle name="Normal 5 10 27 5 5" xfId="33344" xr:uid="{00000000-0005-0000-0000-000040820000}"/>
    <cellStyle name="Normal 5 10 27 5 6" xfId="33345" xr:uid="{00000000-0005-0000-0000-000041820000}"/>
    <cellStyle name="Normal 5 10 27 5 7" xfId="33346" xr:uid="{00000000-0005-0000-0000-000042820000}"/>
    <cellStyle name="Normal 5 10 27 5 8" xfId="33347" xr:uid="{00000000-0005-0000-0000-000043820000}"/>
    <cellStyle name="Normal 5 10 27 5 9" xfId="33348" xr:uid="{00000000-0005-0000-0000-000044820000}"/>
    <cellStyle name="Normal 5 10 27 6" xfId="33349" xr:uid="{00000000-0005-0000-0000-000045820000}"/>
    <cellStyle name="Normal 5 10 27 7" xfId="33350" xr:uid="{00000000-0005-0000-0000-000046820000}"/>
    <cellStyle name="Normal 5 10 27 8" xfId="33351" xr:uid="{00000000-0005-0000-0000-000047820000}"/>
    <cellStyle name="Normal 5 10 27 9" xfId="33352" xr:uid="{00000000-0005-0000-0000-000048820000}"/>
    <cellStyle name="Normal 5 10 28" xfId="33353" xr:uid="{00000000-0005-0000-0000-000049820000}"/>
    <cellStyle name="Normal 5 10 28 10" xfId="33354" xr:uid="{00000000-0005-0000-0000-00004A820000}"/>
    <cellStyle name="Normal 5 10 28 11" xfId="33355" xr:uid="{00000000-0005-0000-0000-00004B820000}"/>
    <cellStyle name="Normal 5 10 28 12" xfId="33356" xr:uid="{00000000-0005-0000-0000-00004C820000}"/>
    <cellStyle name="Normal 5 10 28 13" xfId="33357" xr:uid="{00000000-0005-0000-0000-00004D820000}"/>
    <cellStyle name="Normal 5 10 28 14" xfId="33358" xr:uid="{00000000-0005-0000-0000-00004E820000}"/>
    <cellStyle name="Normal 5 10 28 2" xfId="33359" xr:uid="{00000000-0005-0000-0000-00004F820000}"/>
    <cellStyle name="Normal 5 10 28 2 10" xfId="33360" xr:uid="{00000000-0005-0000-0000-000050820000}"/>
    <cellStyle name="Normal 5 10 28 2 2" xfId="33361" xr:uid="{00000000-0005-0000-0000-000051820000}"/>
    <cellStyle name="Normal 5 10 28 2 3" xfId="33362" xr:uid="{00000000-0005-0000-0000-000052820000}"/>
    <cellStyle name="Normal 5 10 28 2 4" xfId="33363" xr:uid="{00000000-0005-0000-0000-000053820000}"/>
    <cellStyle name="Normal 5 10 28 2 5" xfId="33364" xr:uid="{00000000-0005-0000-0000-000054820000}"/>
    <cellStyle name="Normal 5 10 28 2 6" xfId="33365" xr:uid="{00000000-0005-0000-0000-000055820000}"/>
    <cellStyle name="Normal 5 10 28 2 7" xfId="33366" xr:uid="{00000000-0005-0000-0000-000056820000}"/>
    <cellStyle name="Normal 5 10 28 2 8" xfId="33367" xr:uid="{00000000-0005-0000-0000-000057820000}"/>
    <cellStyle name="Normal 5 10 28 2 9" xfId="33368" xr:uid="{00000000-0005-0000-0000-000058820000}"/>
    <cellStyle name="Normal 5 10 28 3" xfId="33369" xr:uid="{00000000-0005-0000-0000-000059820000}"/>
    <cellStyle name="Normal 5 10 28 3 10" xfId="33370" xr:uid="{00000000-0005-0000-0000-00005A820000}"/>
    <cellStyle name="Normal 5 10 28 3 2" xfId="33371" xr:uid="{00000000-0005-0000-0000-00005B820000}"/>
    <cellStyle name="Normal 5 10 28 3 3" xfId="33372" xr:uid="{00000000-0005-0000-0000-00005C820000}"/>
    <cellStyle name="Normal 5 10 28 3 4" xfId="33373" xr:uid="{00000000-0005-0000-0000-00005D820000}"/>
    <cellStyle name="Normal 5 10 28 3 5" xfId="33374" xr:uid="{00000000-0005-0000-0000-00005E820000}"/>
    <cellStyle name="Normal 5 10 28 3 6" xfId="33375" xr:uid="{00000000-0005-0000-0000-00005F820000}"/>
    <cellStyle name="Normal 5 10 28 3 7" xfId="33376" xr:uid="{00000000-0005-0000-0000-000060820000}"/>
    <cellStyle name="Normal 5 10 28 3 8" xfId="33377" xr:uid="{00000000-0005-0000-0000-000061820000}"/>
    <cellStyle name="Normal 5 10 28 3 9" xfId="33378" xr:uid="{00000000-0005-0000-0000-000062820000}"/>
    <cellStyle name="Normal 5 10 28 4" xfId="33379" xr:uid="{00000000-0005-0000-0000-000063820000}"/>
    <cellStyle name="Normal 5 10 28 4 10" xfId="33380" xr:uid="{00000000-0005-0000-0000-000064820000}"/>
    <cellStyle name="Normal 5 10 28 4 2" xfId="33381" xr:uid="{00000000-0005-0000-0000-000065820000}"/>
    <cellStyle name="Normal 5 10 28 4 3" xfId="33382" xr:uid="{00000000-0005-0000-0000-000066820000}"/>
    <cellStyle name="Normal 5 10 28 4 4" xfId="33383" xr:uid="{00000000-0005-0000-0000-000067820000}"/>
    <cellStyle name="Normal 5 10 28 4 5" xfId="33384" xr:uid="{00000000-0005-0000-0000-000068820000}"/>
    <cellStyle name="Normal 5 10 28 4 6" xfId="33385" xr:uid="{00000000-0005-0000-0000-000069820000}"/>
    <cellStyle name="Normal 5 10 28 4 7" xfId="33386" xr:uid="{00000000-0005-0000-0000-00006A820000}"/>
    <cellStyle name="Normal 5 10 28 4 8" xfId="33387" xr:uid="{00000000-0005-0000-0000-00006B820000}"/>
    <cellStyle name="Normal 5 10 28 4 9" xfId="33388" xr:uid="{00000000-0005-0000-0000-00006C820000}"/>
    <cellStyle name="Normal 5 10 28 5" xfId="33389" xr:uid="{00000000-0005-0000-0000-00006D820000}"/>
    <cellStyle name="Normal 5 10 28 5 10" xfId="33390" xr:uid="{00000000-0005-0000-0000-00006E820000}"/>
    <cellStyle name="Normal 5 10 28 5 2" xfId="33391" xr:uid="{00000000-0005-0000-0000-00006F820000}"/>
    <cellStyle name="Normal 5 10 28 5 3" xfId="33392" xr:uid="{00000000-0005-0000-0000-000070820000}"/>
    <cellStyle name="Normal 5 10 28 5 4" xfId="33393" xr:uid="{00000000-0005-0000-0000-000071820000}"/>
    <cellStyle name="Normal 5 10 28 5 5" xfId="33394" xr:uid="{00000000-0005-0000-0000-000072820000}"/>
    <cellStyle name="Normal 5 10 28 5 6" xfId="33395" xr:uid="{00000000-0005-0000-0000-000073820000}"/>
    <cellStyle name="Normal 5 10 28 5 7" xfId="33396" xr:uid="{00000000-0005-0000-0000-000074820000}"/>
    <cellStyle name="Normal 5 10 28 5 8" xfId="33397" xr:uid="{00000000-0005-0000-0000-000075820000}"/>
    <cellStyle name="Normal 5 10 28 5 9" xfId="33398" xr:uid="{00000000-0005-0000-0000-000076820000}"/>
    <cellStyle name="Normal 5 10 28 6" xfId="33399" xr:uid="{00000000-0005-0000-0000-000077820000}"/>
    <cellStyle name="Normal 5 10 28 7" xfId="33400" xr:uid="{00000000-0005-0000-0000-000078820000}"/>
    <cellStyle name="Normal 5 10 28 8" xfId="33401" xr:uid="{00000000-0005-0000-0000-000079820000}"/>
    <cellStyle name="Normal 5 10 28 9" xfId="33402" xr:uid="{00000000-0005-0000-0000-00007A820000}"/>
    <cellStyle name="Normal 5 10 29" xfId="33403" xr:uid="{00000000-0005-0000-0000-00007B820000}"/>
    <cellStyle name="Normal 5 10 29 10" xfId="33404" xr:uid="{00000000-0005-0000-0000-00007C820000}"/>
    <cellStyle name="Normal 5 10 29 11" xfId="33405" xr:uid="{00000000-0005-0000-0000-00007D820000}"/>
    <cellStyle name="Normal 5 10 29 12" xfId="33406" xr:uid="{00000000-0005-0000-0000-00007E820000}"/>
    <cellStyle name="Normal 5 10 29 13" xfId="33407" xr:uid="{00000000-0005-0000-0000-00007F820000}"/>
    <cellStyle name="Normal 5 10 29 14" xfId="33408" xr:uid="{00000000-0005-0000-0000-000080820000}"/>
    <cellStyle name="Normal 5 10 29 2" xfId="33409" xr:uid="{00000000-0005-0000-0000-000081820000}"/>
    <cellStyle name="Normal 5 10 29 2 10" xfId="33410" xr:uid="{00000000-0005-0000-0000-000082820000}"/>
    <cellStyle name="Normal 5 10 29 2 2" xfId="33411" xr:uid="{00000000-0005-0000-0000-000083820000}"/>
    <cellStyle name="Normal 5 10 29 2 3" xfId="33412" xr:uid="{00000000-0005-0000-0000-000084820000}"/>
    <cellStyle name="Normal 5 10 29 2 4" xfId="33413" xr:uid="{00000000-0005-0000-0000-000085820000}"/>
    <cellStyle name="Normal 5 10 29 2 5" xfId="33414" xr:uid="{00000000-0005-0000-0000-000086820000}"/>
    <cellStyle name="Normal 5 10 29 2 6" xfId="33415" xr:uid="{00000000-0005-0000-0000-000087820000}"/>
    <cellStyle name="Normal 5 10 29 2 7" xfId="33416" xr:uid="{00000000-0005-0000-0000-000088820000}"/>
    <cellStyle name="Normal 5 10 29 2 8" xfId="33417" xr:uid="{00000000-0005-0000-0000-000089820000}"/>
    <cellStyle name="Normal 5 10 29 2 9" xfId="33418" xr:uid="{00000000-0005-0000-0000-00008A820000}"/>
    <cellStyle name="Normal 5 10 29 3" xfId="33419" xr:uid="{00000000-0005-0000-0000-00008B820000}"/>
    <cellStyle name="Normal 5 10 29 3 10" xfId="33420" xr:uid="{00000000-0005-0000-0000-00008C820000}"/>
    <cellStyle name="Normal 5 10 29 3 2" xfId="33421" xr:uid="{00000000-0005-0000-0000-00008D820000}"/>
    <cellStyle name="Normal 5 10 29 3 3" xfId="33422" xr:uid="{00000000-0005-0000-0000-00008E820000}"/>
    <cellStyle name="Normal 5 10 29 3 4" xfId="33423" xr:uid="{00000000-0005-0000-0000-00008F820000}"/>
    <cellStyle name="Normal 5 10 29 3 5" xfId="33424" xr:uid="{00000000-0005-0000-0000-000090820000}"/>
    <cellStyle name="Normal 5 10 29 3 6" xfId="33425" xr:uid="{00000000-0005-0000-0000-000091820000}"/>
    <cellStyle name="Normal 5 10 29 3 7" xfId="33426" xr:uid="{00000000-0005-0000-0000-000092820000}"/>
    <cellStyle name="Normal 5 10 29 3 8" xfId="33427" xr:uid="{00000000-0005-0000-0000-000093820000}"/>
    <cellStyle name="Normal 5 10 29 3 9" xfId="33428" xr:uid="{00000000-0005-0000-0000-000094820000}"/>
    <cellStyle name="Normal 5 10 29 4" xfId="33429" xr:uid="{00000000-0005-0000-0000-000095820000}"/>
    <cellStyle name="Normal 5 10 29 4 10" xfId="33430" xr:uid="{00000000-0005-0000-0000-000096820000}"/>
    <cellStyle name="Normal 5 10 29 4 2" xfId="33431" xr:uid="{00000000-0005-0000-0000-000097820000}"/>
    <cellStyle name="Normal 5 10 29 4 3" xfId="33432" xr:uid="{00000000-0005-0000-0000-000098820000}"/>
    <cellStyle name="Normal 5 10 29 4 4" xfId="33433" xr:uid="{00000000-0005-0000-0000-000099820000}"/>
    <cellStyle name="Normal 5 10 29 4 5" xfId="33434" xr:uid="{00000000-0005-0000-0000-00009A820000}"/>
    <cellStyle name="Normal 5 10 29 4 6" xfId="33435" xr:uid="{00000000-0005-0000-0000-00009B820000}"/>
    <cellStyle name="Normal 5 10 29 4 7" xfId="33436" xr:uid="{00000000-0005-0000-0000-00009C820000}"/>
    <cellStyle name="Normal 5 10 29 4 8" xfId="33437" xr:uid="{00000000-0005-0000-0000-00009D820000}"/>
    <cellStyle name="Normal 5 10 29 4 9" xfId="33438" xr:uid="{00000000-0005-0000-0000-00009E820000}"/>
    <cellStyle name="Normal 5 10 29 5" xfId="33439" xr:uid="{00000000-0005-0000-0000-00009F820000}"/>
    <cellStyle name="Normal 5 10 29 5 10" xfId="33440" xr:uid="{00000000-0005-0000-0000-0000A0820000}"/>
    <cellStyle name="Normal 5 10 29 5 2" xfId="33441" xr:uid="{00000000-0005-0000-0000-0000A1820000}"/>
    <cellStyle name="Normal 5 10 29 5 3" xfId="33442" xr:uid="{00000000-0005-0000-0000-0000A2820000}"/>
    <cellStyle name="Normal 5 10 29 5 4" xfId="33443" xr:uid="{00000000-0005-0000-0000-0000A3820000}"/>
    <cellStyle name="Normal 5 10 29 5 5" xfId="33444" xr:uid="{00000000-0005-0000-0000-0000A4820000}"/>
    <cellStyle name="Normal 5 10 29 5 6" xfId="33445" xr:uid="{00000000-0005-0000-0000-0000A5820000}"/>
    <cellStyle name="Normal 5 10 29 5 7" xfId="33446" xr:uid="{00000000-0005-0000-0000-0000A6820000}"/>
    <cellStyle name="Normal 5 10 29 5 8" xfId="33447" xr:uid="{00000000-0005-0000-0000-0000A7820000}"/>
    <cellStyle name="Normal 5 10 29 5 9" xfId="33448" xr:uid="{00000000-0005-0000-0000-0000A8820000}"/>
    <cellStyle name="Normal 5 10 29 6" xfId="33449" xr:uid="{00000000-0005-0000-0000-0000A9820000}"/>
    <cellStyle name="Normal 5 10 29 7" xfId="33450" xr:uid="{00000000-0005-0000-0000-0000AA820000}"/>
    <cellStyle name="Normal 5 10 29 8" xfId="33451" xr:uid="{00000000-0005-0000-0000-0000AB820000}"/>
    <cellStyle name="Normal 5 10 29 9" xfId="33452" xr:uid="{00000000-0005-0000-0000-0000AC820000}"/>
    <cellStyle name="Normal 5 10 3" xfId="33453" xr:uid="{00000000-0005-0000-0000-0000AD820000}"/>
    <cellStyle name="Normal 5 10 3 10" xfId="33454" xr:uid="{00000000-0005-0000-0000-0000AE820000}"/>
    <cellStyle name="Normal 5 10 3 11" xfId="33455" xr:uid="{00000000-0005-0000-0000-0000AF820000}"/>
    <cellStyle name="Normal 5 10 3 12" xfId="33456" xr:uid="{00000000-0005-0000-0000-0000B0820000}"/>
    <cellStyle name="Normal 5 10 3 13" xfId="33457" xr:uid="{00000000-0005-0000-0000-0000B1820000}"/>
    <cellStyle name="Normal 5 10 3 14" xfId="33458" xr:uid="{00000000-0005-0000-0000-0000B2820000}"/>
    <cellStyle name="Normal 5 10 3 2" xfId="33459" xr:uid="{00000000-0005-0000-0000-0000B3820000}"/>
    <cellStyle name="Normal 5 10 3 2 10" xfId="33460" xr:uid="{00000000-0005-0000-0000-0000B4820000}"/>
    <cellStyle name="Normal 5 10 3 2 2" xfId="33461" xr:uid="{00000000-0005-0000-0000-0000B5820000}"/>
    <cellStyle name="Normal 5 10 3 2 3" xfId="33462" xr:uid="{00000000-0005-0000-0000-0000B6820000}"/>
    <cellStyle name="Normal 5 10 3 2 4" xfId="33463" xr:uid="{00000000-0005-0000-0000-0000B7820000}"/>
    <cellStyle name="Normal 5 10 3 2 5" xfId="33464" xr:uid="{00000000-0005-0000-0000-0000B8820000}"/>
    <cellStyle name="Normal 5 10 3 2 6" xfId="33465" xr:uid="{00000000-0005-0000-0000-0000B9820000}"/>
    <cellStyle name="Normal 5 10 3 2 7" xfId="33466" xr:uid="{00000000-0005-0000-0000-0000BA820000}"/>
    <cellStyle name="Normal 5 10 3 2 8" xfId="33467" xr:uid="{00000000-0005-0000-0000-0000BB820000}"/>
    <cellStyle name="Normal 5 10 3 2 9" xfId="33468" xr:uid="{00000000-0005-0000-0000-0000BC820000}"/>
    <cellStyle name="Normal 5 10 3 3" xfId="33469" xr:uid="{00000000-0005-0000-0000-0000BD820000}"/>
    <cellStyle name="Normal 5 10 3 3 10" xfId="33470" xr:uid="{00000000-0005-0000-0000-0000BE820000}"/>
    <cellStyle name="Normal 5 10 3 3 2" xfId="33471" xr:uid="{00000000-0005-0000-0000-0000BF820000}"/>
    <cellStyle name="Normal 5 10 3 3 3" xfId="33472" xr:uid="{00000000-0005-0000-0000-0000C0820000}"/>
    <cellStyle name="Normal 5 10 3 3 4" xfId="33473" xr:uid="{00000000-0005-0000-0000-0000C1820000}"/>
    <cellStyle name="Normal 5 10 3 3 5" xfId="33474" xr:uid="{00000000-0005-0000-0000-0000C2820000}"/>
    <cellStyle name="Normal 5 10 3 3 6" xfId="33475" xr:uid="{00000000-0005-0000-0000-0000C3820000}"/>
    <cellStyle name="Normal 5 10 3 3 7" xfId="33476" xr:uid="{00000000-0005-0000-0000-0000C4820000}"/>
    <cellStyle name="Normal 5 10 3 3 8" xfId="33477" xr:uid="{00000000-0005-0000-0000-0000C5820000}"/>
    <cellStyle name="Normal 5 10 3 3 9" xfId="33478" xr:uid="{00000000-0005-0000-0000-0000C6820000}"/>
    <cellStyle name="Normal 5 10 3 4" xfId="33479" xr:uid="{00000000-0005-0000-0000-0000C7820000}"/>
    <cellStyle name="Normal 5 10 3 4 10" xfId="33480" xr:uid="{00000000-0005-0000-0000-0000C8820000}"/>
    <cellStyle name="Normal 5 10 3 4 2" xfId="33481" xr:uid="{00000000-0005-0000-0000-0000C9820000}"/>
    <cellStyle name="Normal 5 10 3 4 3" xfId="33482" xr:uid="{00000000-0005-0000-0000-0000CA820000}"/>
    <cellStyle name="Normal 5 10 3 4 4" xfId="33483" xr:uid="{00000000-0005-0000-0000-0000CB820000}"/>
    <cellStyle name="Normal 5 10 3 4 5" xfId="33484" xr:uid="{00000000-0005-0000-0000-0000CC820000}"/>
    <cellStyle name="Normal 5 10 3 4 6" xfId="33485" xr:uid="{00000000-0005-0000-0000-0000CD820000}"/>
    <cellStyle name="Normal 5 10 3 4 7" xfId="33486" xr:uid="{00000000-0005-0000-0000-0000CE820000}"/>
    <cellStyle name="Normal 5 10 3 4 8" xfId="33487" xr:uid="{00000000-0005-0000-0000-0000CF820000}"/>
    <cellStyle name="Normal 5 10 3 4 9" xfId="33488" xr:uid="{00000000-0005-0000-0000-0000D0820000}"/>
    <cellStyle name="Normal 5 10 3 5" xfId="33489" xr:uid="{00000000-0005-0000-0000-0000D1820000}"/>
    <cellStyle name="Normal 5 10 3 5 10" xfId="33490" xr:uid="{00000000-0005-0000-0000-0000D2820000}"/>
    <cellStyle name="Normal 5 10 3 5 2" xfId="33491" xr:uid="{00000000-0005-0000-0000-0000D3820000}"/>
    <cellStyle name="Normal 5 10 3 5 3" xfId="33492" xr:uid="{00000000-0005-0000-0000-0000D4820000}"/>
    <cellStyle name="Normal 5 10 3 5 4" xfId="33493" xr:uid="{00000000-0005-0000-0000-0000D5820000}"/>
    <cellStyle name="Normal 5 10 3 5 5" xfId="33494" xr:uid="{00000000-0005-0000-0000-0000D6820000}"/>
    <cellStyle name="Normal 5 10 3 5 6" xfId="33495" xr:uid="{00000000-0005-0000-0000-0000D7820000}"/>
    <cellStyle name="Normal 5 10 3 5 7" xfId="33496" xr:uid="{00000000-0005-0000-0000-0000D8820000}"/>
    <cellStyle name="Normal 5 10 3 5 8" xfId="33497" xr:uid="{00000000-0005-0000-0000-0000D9820000}"/>
    <cellStyle name="Normal 5 10 3 5 9" xfId="33498" xr:uid="{00000000-0005-0000-0000-0000DA820000}"/>
    <cellStyle name="Normal 5 10 3 6" xfId="33499" xr:uid="{00000000-0005-0000-0000-0000DB820000}"/>
    <cellStyle name="Normal 5 10 3 7" xfId="33500" xr:uid="{00000000-0005-0000-0000-0000DC820000}"/>
    <cellStyle name="Normal 5 10 3 8" xfId="33501" xr:uid="{00000000-0005-0000-0000-0000DD820000}"/>
    <cellStyle name="Normal 5 10 3 9" xfId="33502" xr:uid="{00000000-0005-0000-0000-0000DE820000}"/>
    <cellStyle name="Normal 5 10 30" xfId="33503" xr:uid="{00000000-0005-0000-0000-0000DF820000}"/>
    <cellStyle name="Normal 5 10 30 10" xfId="33504" xr:uid="{00000000-0005-0000-0000-0000E0820000}"/>
    <cellStyle name="Normal 5 10 30 11" xfId="33505" xr:uid="{00000000-0005-0000-0000-0000E1820000}"/>
    <cellStyle name="Normal 5 10 30 12" xfId="33506" xr:uid="{00000000-0005-0000-0000-0000E2820000}"/>
    <cellStyle name="Normal 5 10 30 13" xfId="33507" xr:uid="{00000000-0005-0000-0000-0000E3820000}"/>
    <cellStyle name="Normal 5 10 30 14" xfId="33508" xr:uid="{00000000-0005-0000-0000-0000E4820000}"/>
    <cellStyle name="Normal 5 10 30 2" xfId="33509" xr:uid="{00000000-0005-0000-0000-0000E5820000}"/>
    <cellStyle name="Normal 5 10 30 2 10" xfId="33510" xr:uid="{00000000-0005-0000-0000-0000E6820000}"/>
    <cellStyle name="Normal 5 10 30 2 2" xfId="33511" xr:uid="{00000000-0005-0000-0000-0000E7820000}"/>
    <cellStyle name="Normal 5 10 30 2 3" xfId="33512" xr:uid="{00000000-0005-0000-0000-0000E8820000}"/>
    <cellStyle name="Normal 5 10 30 2 4" xfId="33513" xr:uid="{00000000-0005-0000-0000-0000E9820000}"/>
    <cellStyle name="Normal 5 10 30 2 5" xfId="33514" xr:uid="{00000000-0005-0000-0000-0000EA820000}"/>
    <cellStyle name="Normal 5 10 30 2 6" xfId="33515" xr:uid="{00000000-0005-0000-0000-0000EB820000}"/>
    <cellStyle name="Normal 5 10 30 2 7" xfId="33516" xr:uid="{00000000-0005-0000-0000-0000EC820000}"/>
    <cellStyle name="Normal 5 10 30 2 8" xfId="33517" xr:uid="{00000000-0005-0000-0000-0000ED820000}"/>
    <cellStyle name="Normal 5 10 30 2 9" xfId="33518" xr:uid="{00000000-0005-0000-0000-0000EE820000}"/>
    <cellStyle name="Normal 5 10 30 3" xfId="33519" xr:uid="{00000000-0005-0000-0000-0000EF820000}"/>
    <cellStyle name="Normal 5 10 30 3 10" xfId="33520" xr:uid="{00000000-0005-0000-0000-0000F0820000}"/>
    <cellStyle name="Normal 5 10 30 3 2" xfId="33521" xr:uid="{00000000-0005-0000-0000-0000F1820000}"/>
    <cellStyle name="Normal 5 10 30 3 3" xfId="33522" xr:uid="{00000000-0005-0000-0000-0000F2820000}"/>
    <cellStyle name="Normal 5 10 30 3 4" xfId="33523" xr:uid="{00000000-0005-0000-0000-0000F3820000}"/>
    <cellStyle name="Normal 5 10 30 3 5" xfId="33524" xr:uid="{00000000-0005-0000-0000-0000F4820000}"/>
    <cellStyle name="Normal 5 10 30 3 6" xfId="33525" xr:uid="{00000000-0005-0000-0000-0000F5820000}"/>
    <cellStyle name="Normal 5 10 30 3 7" xfId="33526" xr:uid="{00000000-0005-0000-0000-0000F6820000}"/>
    <cellStyle name="Normal 5 10 30 3 8" xfId="33527" xr:uid="{00000000-0005-0000-0000-0000F7820000}"/>
    <cellStyle name="Normal 5 10 30 3 9" xfId="33528" xr:uid="{00000000-0005-0000-0000-0000F8820000}"/>
    <cellStyle name="Normal 5 10 30 4" xfId="33529" xr:uid="{00000000-0005-0000-0000-0000F9820000}"/>
    <cellStyle name="Normal 5 10 30 4 10" xfId="33530" xr:uid="{00000000-0005-0000-0000-0000FA820000}"/>
    <cellStyle name="Normal 5 10 30 4 2" xfId="33531" xr:uid="{00000000-0005-0000-0000-0000FB820000}"/>
    <cellStyle name="Normal 5 10 30 4 3" xfId="33532" xr:uid="{00000000-0005-0000-0000-0000FC820000}"/>
    <cellStyle name="Normal 5 10 30 4 4" xfId="33533" xr:uid="{00000000-0005-0000-0000-0000FD820000}"/>
    <cellStyle name="Normal 5 10 30 4 5" xfId="33534" xr:uid="{00000000-0005-0000-0000-0000FE820000}"/>
    <cellStyle name="Normal 5 10 30 4 6" xfId="33535" xr:uid="{00000000-0005-0000-0000-0000FF820000}"/>
    <cellStyle name="Normal 5 10 30 4 7" xfId="33536" xr:uid="{00000000-0005-0000-0000-000000830000}"/>
    <cellStyle name="Normal 5 10 30 4 8" xfId="33537" xr:uid="{00000000-0005-0000-0000-000001830000}"/>
    <cellStyle name="Normal 5 10 30 4 9" xfId="33538" xr:uid="{00000000-0005-0000-0000-000002830000}"/>
    <cellStyle name="Normal 5 10 30 5" xfId="33539" xr:uid="{00000000-0005-0000-0000-000003830000}"/>
    <cellStyle name="Normal 5 10 30 5 10" xfId="33540" xr:uid="{00000000-0005-0000-0000-000004830000}"/>
    <cellStyle name="Normal 5 10 30 5 2" xfId="33541" xr:uid="{00000000-0005-0000-0000-000005830000}"/>
    <cellStyle name="Normal 5 10 30 5 3" xfId="33542" xr:uid="{00000000-0005-0000-0000-000006830000}"/>
    <cellStyle name="Normal 5 10 30 5 4" xfId="33543" xr:uid="{00000000-0005-0000-0000-000007830000}"/>
    <cellStyle name="Normal 5 10 30 5 5" xfId="33544" xr:uid="{00000000-0005-0000-0000-000008830000}"/>
    <cellStyle name="Normal 5 10 30 5 6" xfId="33545" xr:uid="{00000000-0005-0000-0000-000009830000}"/>
    <cellStyle name="Normal 5 10 30 5 7" xfId="33546" xr:uid="{00000000-0005-0000-0000-00000A830000}"/>
    <cellStyle name="Normal 5 10 30 5 8" xfId="33547" xr:uid="{00000000-0005-0000-0000-00000B830000}"/>
    <cellStyle name="Normal 5 10 30 5 9" xfId="33548" xr:uid="{00000000-0005-0000-0000-00000C830000}"/>
    <cellStyle name="Normal 5 10 30 6" xfId="33549" xr:uid="{00000000-0005-0000-0000-00000D830000}"/>
    <cellStyle name="Normal 5 10 30 7" xfId="33550" xr:uid="{00000000-0005-0000-0000-00000E830000}"/>
    <cellStyle name="Normal 5 10 30 8" xfId="33551" xr:uid="{00000000-0005-0000-0000-00000F830000}"/>
    <cellStyle name="Normal 5 10 30 9" xfId="33552" xr:uid="{00000000-0005-0000-0000-000010830000}"/>
    <cellStyle name="Normal 5 10 31" xfId="33553" xr:uid="{00000000-0005-0000-0000-000011830000}"/>
    <cellStyle name="Normal 5 10 31 10" xfId="33554" xr:uid="{00000000-0005-0000-0000-000012830000}"/>
    <cellStyle name="Normal 5 10 31 11" xfId="33555" xr:uid="{00000000-0005-0000-0000-000013830000}"/>
    <cellStyle name="Normal 5 10 31 12" xfId="33556" xr:uid="{00000000-0005-0000-0000-000014830000}"/>
    <cellStyle name="Normal 5 10 31 13" xfId="33557" xr:uid="{00000000-0005-0000-0000-000015830000}"/>
    <cellStyle name="Normal 5 10 31 14" xfId="33558" xr:uid="{00000000-0005-0000-0000-000016830000}"/>
    <cellStyle name="Normal 5 10 31 2" xfId="33559" xr:uid="{00000000-0005-0000-0000-000017830000}"/>
    <cellStyle name="Normal 5 10 31 2 10" xfId="33560" xr:uid="{00000000-0005-0000-0000-000018830000}"/>
    <cellStyle name="Normal 5 10 31 2 2" xfId="33561" xr:uid="{00000000-0005-0000-0000-000019830000}"/>
    <cellStyle name="Normal 5 10 31 2 3" xfId="33562" xr:uid="{00000000-0005-0000-0000-00001A830000}"/>
    <cellStyle name="Normal 5 10 31 2 4" xfId="33563" xr:uid="{00000000-0005-0000-0000-00001B830000}"/>
    <cellStyle name="Normal 5 10 31 2 5" xfId="33564" xr:uid="{00000000-0005-0000-0000-00001C830000}"/>
    <cellStyle name="Normal 5 10 31 2 6" xfId="33565" xr:uid="{00000000-0005-0000-0000-00001D830000}"/>
    <cellStyle name="Normal 5 10 31 2 7" xfId="33566" xr:uid="{00000000-0005-0000-0000-00001E830000}"/>
    <cellStyle name="Normal 5 10 31 2 8" xfId="33567" xr:uid="{00000000-0005-0000-0000-00001F830000}"/>
    <cellStyle name="Normal 5 10 31 2 9" xfId="33568" xr:uid="{00000000-0005-0000-0000-000020830000}"/>
    <cellStyle name="Normal 5 10 31 3" xfId="33569" xr:uid="{00000000-0005-0000-0000-000021830000}"/>
    <cellStyle name="Normal 5 10 31 3 10" xfId="33570" xr:uid="{00000000-0005-0000-0000-000022830000}"/>
    <cellStyle name="Normal 5 10 31 3 2" xfId="33571" xr:uid="{00000000-0005-0000-0000-000023830000}"/>
    <cellStyle name="Normal 5 10 31 3 3" xfId="33572" xr:uid="{00000000-0005-0000-0000-000024830000}"/>
    <cellStyle name="Normal 5 10 31 3 4" xfId="33573" xr:uid="{00000000-0005-0000-0000-000025830000}"/>
    <cellStyle name="Normal 5 10 31 3 5" xfId="33574" xr:uid="{00000000-0005-0000-0000-000026830000}"/>
    <cellStyle name="Normal 5 10 31 3 6" xfId="33575" xr:uid="{00000000-0005-0000-0000-000027830000}"/>
    <cellStyle name="Normal 5 10 31 3 7" xfId="33576" xr:uid="{00000000-0005-0000-0000-000028830000}"/>
    <cellStyle name="Normal 5 10 31 3 8" xfId="33577" xr:uid="{00000000-0005-0000-0000-000029830000}"/>
    <cellStyle name="Normal 5 10 31 3 9" xfId="33578" xr:uid="{00000000-0005-0000-0000-00002A830000}"/>
    <cellStyle name="Normal 5 10 31 4" xfId="33579" xr:uid="{00000000-0005-0000-0000-00002B830000}"/>
    <cellStyle name="Normal 5 10 31 4 10" xfId="33580" xr:uid="{00000000-0005-0000-0000-00002C830000}"/>
    <cellStyle name="Normal 5 10 31 4 2" xfId="33581" xr:uid="{00000000-0005-0000-0000-00002D830000}"/>
    <cellStyle name="Normal 5 10 31 4 3" xfId="33582" xr:uid="{00000000-0005-0000-0000-00002E830000}"/>
    <cellStyle name="Normal 5 10 31 4 4" xfId="33583" xr:uid="{00000000-0005-0000-0000-00002F830000}"/>
    <cellStyle name="Normal 5 10 31 4 5" xfId="33584" xr:uid="{00000000-0005-0000-0000-000030830000}"/>
    <cellStyle name="Normal 5 10 31 4 6" xfId="33585" xr:uid="{00000000-0005-0000-0000-000031830000}"/>
    <cellStyle name="Normal 5 10 31 4 7" xfId="33586" xr:uid="{00000000-0005-0000-0000-000032830000}"/>
    <cellStyle name="Normal 5 10 31 4 8" xfId="33587" xr:uid="{00000000-0005-0000-0000-000033830000}"/>
    <cellStyle name="Normal 5 10 31 4 9" xfId="33588" xr:uid="{00000000-0005-0000-0000-000034830000}"/>
    <cellStyle name="Normal 5 10 31 5" xfId="33589" xr:uid="{00000000-0005-0000-0000-000035830000}"/>
    <cellStyle name="Normal 5 10 31 5 10" xfId="33590" xr:uid="{00000000-0005-0000-0000-000036830000}"/>
    <cellStyle name="Normal 5 10 31 5 2" xfId="33591" xr:uid="{00000000-0005-0000-0000-000037830000}"/>
    <cellStyle name="Normal 5 10 31 5 3" xfId="33592" xr:uid="{00000000-0005-0000-0000-000038830000}"/>
    <cellStyle name="Normal 5 10 31 5 4" xfId="33593" xr:uid="{00000000-0005-0000-0000-000039830000}"/>
    <cellStyle name="Normal 5 10 31 5 5" xfId="33594" xr:uid="{00000000-0005-0000-0000-00003A830000}"/>
    <cellStyle name="Normal 5 10 31 5 6" xfId="33595" xr:uid="{00000000-0005-0000-0000-00003B830000}"/>
    <cellStyle name="Normal 5 10 31 5 7" xfId="33596" xr:uid="{00000000-0005-0000-0000-00003C830000}"/>
    <cellStyle name="Normal 5 10 31 5 8" xfId="33597" xr:uid="{00000000-0005-0000-0000-00003D830000}"/>
    <cellStyle name="Normal 5 10 31 5 9" xfId="33598" xr:uid="{00000000-0005-0000-0000-00003E830000}"/>
    <cellStyle name="Normal 5 10 31 6" xfId="33599" xr:uid="{00000000-0005-0000-0000-00003F830000}"/>
    <cellStyle name="Normal 5 10 31 7" xfId="33600" xr:uid="{00000000-0005-0000-0000-000040830000}"/>
    <cellStyle name="Normal 5 10 31 8" xfId="33601" xr:uid="{00000000-0005-0000-0000-000041830000}"/>
    <cellStyle name="Normal 5 10 31 9" xfId="33602" xr:uid="{00000000-0005-0000-0000-000042830000}"/>
    <cellStyle name="Normal 5 10 32" xfId="33603" xr:uid="{00000000-0005-0000-0000-000043830000}"/>
    <cellStyle name="Normal 5 10 32 10" xfId="33604" xr:uid="{00000000-0005-0000-0000-000044830000}"/>
    <cellStyle name="Normal 5 10 32 11" xfId="33605" xr:uid="{00000000-0005-0000-0000-000045830000}"/>
    <cellStyle name="Normal 5 10 32 12" xfId="33606" xr:uid="{00000000-0005-0000-0000-000046830000}"/>
    <cellStyle name="Normal 5 10 32 13" xfId="33607" xr:uid="{00000000-0005-0000-0000-000047830000}"/>
    <cellStyle name="Normal 5 10 32 14" xfId="33608" xr:uid="{00000000-0005-0000-0000-000048830000}"/>
    <cellStyle name="Normal 5 10 32 2" xfId="33609" xr:uid="{00000000-0005-0000-0000-000049830000}"/>
    <cellStyle name="Normal 5 10 32 2 10" xfId="33610" xr:uid="{00000000-0005-0000-0000-00004A830000}"/>
    <cellStyle name="Normal 5 10 32 2 2" xfId="33611" xr:uid="{00000000-0005-0000-0000-00004B830000}"/>
    <cellStyle name="Normal 5 10 32 2 3" xfId="33612" xr:uid="{00000000-0005-0000-0000-00004C830000}"/>
    <cellStyle name="Normal 5 10 32 2 4" xfId="33613" xr:uid="{00000000-0005-0000-0000-00004D830000}"/>
    <cellStyle name="Normal 5 10 32 2 5" xfId="33614" xr:uid="{00000000-0005-0000-0000-00004E830000}"/>
    <cellStyle name="Normal 5 10 32 2 6" xfId="33615" xr:uid="{00000000-0005-0000-0000-00004F830000}"/>
    <cellStyle name="Normal 5 10 32 2 7" xfId="33616" xr:uid="{00000000-0005-0000-0000-000050830000}"/>
    <cellStyle name="Normal 5 10 32 2 8" xfId="33617" xr:uid="{00000000-0005-0000-0000-000051830000}"/>
    <cellStyle name="Normal 5 10 32 2 9" xfId="33618" xr:uid="{00000000-0005-0000-0000-000052830000}"/>
    <cellStyle name="Normal 5 10 32 3" xfId="33619" xr:uid="{00000000-0005-0000-0000-000053830000}"/>
    <cellStyle name="Normal 5 10 32 3 10" xfId="33620" xr:uid="{00000000-0005-0000-0000-000054830000}"/>
    <cellStyle name="Normal 5 10 32 3 2" xfId="33621" xr:uid="{00000000-0005-0000-0000-000055830000}"/>
    <cellStyle name="Normal 5 10 32 3 3" xfId="33622" xr:uid="{00000000-0005-0000-0000-000056830000}"/>
    <cellStyle name="Normal 5 10 32 3 4" xfId="33623" xr:uid="{00000000-0005-0000-0000-000057830000}"/>
    <cellStyle name="Normal 5 10 32 3 5" xfId="33624" xr:uid="{00000000-0005-0000-0000-000058830000}"/>
    <cellStyle name="Normal 5 10 32 3 6" xfId="33625" xr:uid="{00000000-0005-0000-0000-000059830000}"/>
    <cellStyle name="Normal 5 10 32 3 7" xfId="33626" xr:uid="{00000000-0005-0000-0000-00005A830000}"/>
    <cellStyle name="Normal 5 10 32 3 8" xfId="33627" xr:uid="{00000000-0005-0000-0000-00005B830000}"/>
    <cellStyle name="Normal 5 10 32 3 9" xfId="33628" xr:uid="{00000000-0005-0000-0000-00005C830000}"/>
    <cellStyle name="Normal 5 10 32 4" xfId="33629" xr:uid="{00000000-0005-0000-0000-00005D830000}"/>
    <cellStyle name="Normal 5 10 32 4 10" xfId="33630" xr:uid="{00000000-0005-0000-0000-00005E830000}"/>
    <cellStyle name="Normal 5 10 32 4 2" xfId="33631" xr:uid="{00000000-0005-0000-0000-00005F830000}"/>
    <cellStyle name="Normal 5 10 32 4 3" xfId="33632" xr:uid="{00000000-0005-0000-0000-000060830000}"/>
    <cellStyle name="Normal 5 10 32 4 4" xfId="33633" xr:uid="{00000000-0005-0000-0000-000061830000}"/>
    <cellStyle name="Normal 5 10 32 4 5" xfId="33634" xr:uid="{00000000-0005-0000-0000-000062830000}"/>
    <cellStyle name="Normal 5 10 32 4 6" xfId="33635" xr:uid="{00000000-0005-0000-0000-000063830000}"/>
    <cellStyle name="Normal 5 10 32 4 7" xfId="33636" xr:uid="{00000000-0005-0000-0000-000064830000}"/>
    <cellStyle name="Normal 5 10 32 4 8" xfId="33637" xr:uid="{00000000-0005-0000-0000-000065830000}"/>
    <cellStyle name="Normal 5 10 32 4 9" xfId="33638" xr:uid="{00000000-0005-0000-0000-000066830000}"/>
    <cellStyle name="Normal 5 10 32 5" xfId="33639" xr:uid="{00000000-0005-0000-0000-000067830000}"/>
    <cellStyle name="Normal 5 10 32 5 10" xfId="33640" xr:uid="{00000000-0005-0000-0000-000068830000}"/>
    <cellStyle name="Normal 5 10 32 5 2" xfId="33641" xr:uid="{00000000-0005-0000-0000-000069830000}"/>
    <cellStyle name="Normal 5 10 32 5 3" xfId="33642" xr:uid="{00000000-0005-0000-0000-00006A830000}"/>
    <cellStyle name="Normal 5 10 32 5 4" xfId="33643" xr:uid="{00000000-0005-0000-0000-00006B830000}"/>
    <cellStyle name="Normal 5 10 32 5 5" xfId="33644" xr:uid="{00000000-0005-0000-0000-00006C830000}"/>
    <cellStyle name="Normal 5 10 32 5 6" xfId="33645" xr:uid="{00000000-0005-0000-0000-00006D830000}"/>
    <cellStyle name="Normal 5 10 32 5 7" xfId="33646" xr:uid="{00000000-0005-0000-0000-00006E830000}"/>
    <cellStyle name="Normal 5 10 32 5 8" xfId="33647" xr:uid="{00000000-0005-0000-0000-00006F830000}"/>
    <cellStyle name="Normal 5 10 32 5 9" xfId="33648" xr:uid="{00000000-0005-0000-0000-000070830000}"/>
    <cellStyle name="Normal 5 10 32 6" xfId="33649" xr:uid="{00000000-0005-0000-0000-000071830000}"/>
    <cellStyle name="Normal 5 10 32 7" xfId="33650" xr:uid="{00000000-0005-0000-0000-000072830000}"/>
    <cellStyle name="Normal 5 10 32 8" xfId="33651" xr:uid="{00000000-0005-0000-0000-000073830000}"/>
    <cellStyle name="Normal 5 10 32 9" xfId="33652" xr:uid="{00000000-0005-0000-0000-000074830000}"/>
    <cellStyle name="Normal 5 10 33" xfId="33653" xr:uid="{00000000-0005-0000-0000-000075830000}"/>
    <cellStyle name="Normal 5 10 33 10" xfId="33654" xr:uid="{00000000-0005-0000-0000-000076830000}"/>
    <cellStyle name="Normal 5 10 33 11" xfId="33655" xr:uid="{00000000-0005-0000-0000-000077830000}"/>
    <cellStyle name="Normal 5 10 33 12" xfId="33656" xr:uid="{00000000-0005-0000-0000-000078830000}"/>
    <cellStyle name="Normal 5 10 33 13" xfId="33657" xr:uid="{00000000-0005-0000-0000-000079830000}"/>
    <cellStyle name="Normal 5 10 33 14" xfId="33658" xr:uid="{00000000-0005-0000-0000-00007A830000}"/>
    <cellStyle name="Normal 5 10 33 2" xfId="33659" xr:uid="{00000000-0005-0000-0000-00007B830000}"/>
    <cellStyle name="Normal 5 10 33 2 10" xfId="33660" xr:uid="{00000000-0005-0000-0000-00007C830000}"/>
    <cellStyle name="Normal 5 10 33 2 2" xfId="33661" xr:uid="{00000000-0005-0000-0000-00007D830000}"/>
    <cellStyle name="Normal 5 10 33 2 3" xfId="33662" xr:uid="{00000000-0005-0000-0000-00007E830000}"/>
    <cellStyle name="Normal 5 10 33 2 4" xfId="33663" xr:uid="{00000000-0005-0000-0000-00007F830000}"/>
    <cellStyle name="Normal 5 10 33 2 5" xfId="33664" xr:uid="{00000000-0005-0000-0000-000080830000}"/>
    <cellStyle name="Normal 5 10 33 2 6" xfId="33665" xr:uid="{00000000-0005-0000-0000-000081830000}"/>
    <cellStyle name="Normal 5 10 33 2 7" xfId="33666" xr:uid="{00000000-0005-0000-0000-000082830000}"/>
    <cellStyle name="Normal 5 10 33 2 8" xfId="33667" xr:uid="{00000000-0005-0000-0000-000083830000}"/>
    <cellStyle name="Normal 5 10 33 2 9" xfId="33668" xr:uid="{00000000-0005-0000-0000-000084830000}"/>
    <cellStyle name="Normal 5 10 33 3" xfId="33669" xr:uid="{00000000-0005-0000-0000-000085830000}"/>
    <cellStyle name="Normal 5 10 33 3 10" xfId="33670" xr:uid="{00000000-0005-0000-0000-000086830000}"/>
    <cellStyle name="Normal 5 10 33 3 2" xfId="33671" xr:uid="{00000000-0005-0000-0000-000087830000}"/>
    <cellStyle name="Normal 5 10 33 3 3" xfId="33672" xr:uid="{00000000-0005-0000-0000-000088830000}"/>
    <cellStyle name="Normal 5 10 33 3 4" xfId="33673" xr:uid="{00000000-0005-0000-0000-000089830000}"/>
    <cellStyle name="Normal 5 10 33 3 5" xfId="33674" xr:uid="{00000000-0005-0000-0000-00008A830000}"/>
    <cellStyle name="Normal 5 10 33 3 6" xfId="33675" xr:uid="{00000000-0005-0000-0000-00008B830000}"/>
    <cellStyle name="Normal 5 10 33 3 7" xfId="33676" xr:uid="{00000000-0005-0000-0000-00008C830000}"/>
    <cellStyle name="Normal 5 10 33 3 8" xfId="33677" xr:uid="{00000000-0005-0000-0000-00008D830000}"/>
    <cellStyle name="Normal 5 10 33 3 9" xfId="33678" xr:uid="{00000000-0005-0000-0000-00008E830000}"/>
    <cellStyle name="Normal 5 10 33 4" xfId="33679" xr:uid="{00000000-0005-0000-0000-00008F830000}"/>
    <cellStyle name="Normal 5 10 33 4 10" xfId="33680" xr:uid="{00000000-0005-0000-0000-000090830000}"/>
    <cellStyle name="Normal 5 10 33 4 2" xfId="33681" xr:uid="{00000000-0005-0000-0000-000091830000}"/>
    <cellStyle name="Normal 5 10 33 4 3" xfId="33682" xr:uid="{00000000-0005-0000-0000-000092830000}"/>
    <cellStyle name="Normal 5 10 33 4 4" xfId="33683" xr:uid="{00000000-0005-0000-0000-000093830000}"/>
    <cellStyle name="Normal 5 10 33 4 5" xfId="33684" xr:uid="{00000000-0005-0000-0000-000094830000}"/>
    <cellStyle name="Normal 5 10 33 4 6" xfId="33685" xr:uid="{00000000-0005-0000-0000-000095830000}"/>
    <cellStyle name="Normal 5 10 33 4 7" xfId="33686" xr:uid="{00000000-0005-0000-0000-000096830000}"/>
    <cellStyle name="Normal 5 10 33 4 8" xfId="33687" xr:uid="{00000000-0005-0000-0000-000097830000}"/>
    <cellStyle name="Normal 5 10 33 4 9" xfId="33688" xr:uid="{00000000-0005-0000-0000-000098830000}"/>
    <cellStyle name="Normal 5 10 33 5" xfId="33689" xr:uid="{00000000-0005-0000-0000-000099830000}"/>
    <cellStyle name="Normal 5 10 33 5 10" xfId="33690" xr:uid="{00000000-0005-0000-0000-00009A830000}"/>
    <cellStyle name="Normal 5 10 33 5 2" xfId="33691" xr:uid="{00000000-0005-0000-0000-00009B830000}"/>
    <cellStyle name="Normal 5 10 33 5 3" xfId="33692" xr:uid="{00000000-0005-0000-0000-00009C830000}"/>
    <cellStyle name="Normal 5 10 33 5 4" xfId="33693" xr:uid="{00000000-0005-0000-0000-00009D830000}"/>
    <cellStyle name="Normal 5 10 33 5 5" xfId="33694" xr:uid="{00000000-0005-0000-0000-00009E830000}"/>
    <cellStyle name="Normal 5 10 33 5 6" xfId="33695" xr:uid="{00000000-0005-0000-0000-00009F830000}"/>
    <cellStyle name="Normal 5 10 33 5 7" xfId="33696" xr:uid="{00000000-0005-0000-0000-0000A0830000}"/>
    <cellStyle name="Normal 5 10 33 5 8" xfId="33697" xr:uid="{00000000-0005-0000-0000-0000A1830000}"/>
    <cellStyle name="Normal 5 10 33 5 9" xfId="33698" xr:uid="{00000000-0005-0000-0000-0000A2830000}"/>
    <cellStyle name="Normal 5 10 33 6" xfId="33699" xr:uid="{00000000-0005-0000-0000-0000A3830000}"/>
    <cellStyle name="Normal 5 10 33 7" xfId="33700" xr:uid="{00000000-0005-0000-0000-0000A4830000}"/>
    <cellStyle name="Normal 5 10 33 8" xfId="33701" xr:uid="{00000000-0005-0000-0000-0000A5830000}"/>
    <cellStyle name="Normal 5 10 33 9" xfId="33702" xr:uid="{00000000-0005-0000-0000-0000A6830000}"/>
    <cellStyle name="Normal 5 10 34" xfId="33703" xr:uid="{00000000-0005-0000-0000-0000A7830000}"/>
    <cellStyle name="Normal 5 10 34 10" xfId="33704" xr:uid="{00000000-0005-0000-0000-0000A8830000}"/>
    <cellStyle name="Normal 5 10 34 11" xfId="33705" xr:uid="{00000000-0005-0000-0000-0000A9830000}"/>
    <cellStyle name="Normal 5 10 34 12" xfId="33706" xr:uid="{00000000-0005-0000-0000-0000AA830000}"/>
    <cellStyle name="Normal 5 10 34 13" xfId="33707" xr:uid="{00000000-0005-0000-0000-0000AB830000}"/>
    <cellStyle name="Normal 5 10 34 14" xfId="33708" xr:uid="{00000000-0005-0000-0000-0000AC830000}"/>
    <cellStyle name="Normal 5 10 34 2" xfId="33709" xr:uid="{00000000-0005-0000-0000-0000AD830000}"/>
    <cellStyle name="Normal 5 10 34 2 10" xfId="33710" xr:uid="{00000000-0005-0000-0000-0000AE830000}"/>
    <cellStyle name="Normal 5 10 34 2 2" xfId="33711" xr:uid="{00000000-0005-0000-0000-0000AF830000}"/>
    <cellStyle name="Normal 5 10 34 2 3" xfId="33712" xr:uid="{00000000-0005-0000-0000-0000B0830000}"/>
    <cellStyle name="Normal 5 10 34 2 4" xfId="33713" xr:uid="{00000000-0005-0000-0000-0000B1830000}"/>
    <cellStyle name="Normal 5 10 34 2 5" xfId="33714" xr:uid="{00000000-0005-0000-0000-0000B2830000}"/>
    <cellStyle name="Normal 5 10 34 2 6" xfId="33715" xr:uid="{00000000-0005-0000-0000-0000B3830000}"/>
    <cellStyle name="Normal 5 10 34 2 7" xfId="33716" xr:uid="{00000000-0005-0000-0000-0000B4830000}"/>
    <cellStyle name="Normal 5 10 34 2 8" xfId="33717" xr:uid="{00000000-0005-0000-0000-0000B5830000}"/>
    <cellStyle name="Normal 5 10 34 2 9" xfId="33718" xr:uid="{00000000-0005-0000-0000-0000B6830000}"/>
    <cellStyle name="Normal 5 10 34 3" xfId="33719" xr:uid="{00000000-0005-0000-0000-0000B7830000}"/>
    <cellStyle name="Normal 5 10 34 3 10" xfId="33720" xr:uid="{00000000-0005-0000-0000-0000B8830000}"/>
    <cellStyle name="Normal 5 10 34 3 2" xfId="33721" xr:uid="{00000000-0005-0000-0000-0000B9830000}"/>
    <cellStyle name="Normal 5 10 34 3 3" xfId="33722" xr:uid="{00000000-0005-0000-0000-0000BA830000}"/>
    <cellStyle name="Normal 5 10 34 3 4" xfId="33723" xr:uid="{00000000-0005-0000-0000-0000BB830000}"/>
    <cellStyle name="Normal 5 10 34 3 5" xfId="33724" xr:uid="{00000000-0005-0000-0000-0000BC830000}"/>
    <cellStyle name="Normal 5 10 34 3 6" xfId="33725" xr:uid="{00000000-0005-0000-0000-0000BD830000}"/>
    <cellStyle name="Normal 5 10 34 3 7" xfId="33726" xr:uid="{00000000-0005-0000-0000-0000BE830000}"/>
    <cellStyle name="Normal 5 10 34 3 8" xfId="33727" xr:uid="{00000000-0005-0000-0000-0000BF830000}"/>
    <cellStyle name="Normal 5 10 34 3 9" xfId="33728" xr:uid="{00000000-0005-0000-0000-0000C0830000}"/>
    <cellStyle name="Normal 5 10 34 4" xfId="33729" xr:uid="{00000000-0005-0000-0000-0000C1830000}"/>
    <cellStyle name="Normal 5 10 34 4 10" xfId="33730" xr:uid="{00000000-0005-0000-0000-0000C2830000}"/>
    <cellStyle name="Normal 5 10 34 4 2" xfId="33731" xr:uid="{00000000-0005-0000-0000-0000C3830000}"/>
    <cellStyle name="Normal 5 10 34 4 3" xfId="33732" xr:uid="{00000000-0005-0000-0000-0000C4830000}"/>
    <cellStyle name="Normal 5 10 34 4 4" xfId="33733" xr:uid="{00000000-0005-0000-0000-0000C5830000}"/>
    <cellStyle name="Normal 5 10 34 4 5" xfId="33734" xr:uid="{00000000-0005-0000-0000-0000C6830000}"/>
    <cellStyle name="Normal 5 10 34 4 6" xfId="33735" xr:uid="{00000000-0005-0000-0000-0000C7830000}"/>
    <cellStyle name="Normal 5 10 34 4 7" xfId="33736" xr:uid="{00000000-0005-0000-0000-0000C8830000}"/>
    <cellStyle name="Normal 5 10 34 4 8" xfId="33737" xr:uid="{00000000-0005-0000-0000-0000C9830000}"/>
    <cellStyle name="Normal 5 10 34 4 9" xfId="33738" xr:uid="{00000000-0005-0000-0000-0000CA830000}"/>
    <cellStyle name="Normal 5 10 34 5" xfId="33739" xr:uid="{00000000-0005-0000-0000-0000CB830000}"/>
    <cellStyle name="Normal 5 10 34 5 10" xfId="33740" xr:uid="{00000000-0005-0000-0000-0000CC830000}"/>
    <cellStyle name="Normal 5 10 34 5 2" xfId="33741" xr:uid="{00000000-0005-0000-0000-0000CD830000}"/>
    <cellStyle name="Normal 5 10 34 5 3" xfId="33742" xr:uid="{00000000-0005-0000-0000-0000CE830000}"/>
    <cellStyle name="Normal 5 10 34 5 4" xfId="33743" xr:uid="{00000000-0005-0000-0000-0000CF830000}"/>
    <cellStyle name="Normal 5 10 34 5 5" xfId="33744" xr:uid="{00000000-0005-0000-0000-0000D0830000}"/>
    <cellStyle name="Normal 5 10 34 5 6" xfId="33745" xr:uid="{00000000-0005-0000-0000-0000D1830000}"/>
    <cellStyle name="Normal 5 10 34 5 7" xfId="33746" xr:uid="{00000000-0005-0000-0000-0000D2830000}"/>
    <cellStyle name="Normal 5 10 34 5 8" xfId="33747" xr:uid="{00000000-0005-0000-0000-0000D3830000}"/>
    <cellStyle name="Normal 5 10 34 5 9" xfId="33748" xr:uid="{00000000-0005-0000-0000-0000D4830000}"/>
    <cellStyle name="Normal 5 10 34 6" xfId="33749" xr:uid="{00000000-0005-0000-0000-0000D5830000}"/>
    <cellStyle name="Normal 5 10 34 7" xfId="33750" xr:uid="{00000000-0005-0000-0000-0000D6830000}"/>
    <cellStyle name="Normal 5 10 34 8" xfId="33751" xr:uid="{00000000-0005-0000-0000-0000D7830000}"/>
    <cellStyle name="Normal 5 10 34 9" xfId="33752" xr:uid="{00000000-0005-0000-0000-0000D8830000}"/>
    <cellStyle name="Normal 5 10 35" xfId="33753" xr:uid="{00000000-0005-0000-0000-0000D9830000}"/>
    <cellStyle name="Normal 5 10 35 10" xfId="33754" xr:uid="{00000000-0005-0000-0000-0000DA830000}"/>
    <cellStyle name="Normal 5 10 35 2" xfId="33755" xr:uid="{00000000-0005-0000-0000-0000DB830000}"/>
    <cellStyle name="Normal 5 10 35 3" xfId="33756" xr:uid="{00000000-0005-0000-0000-0000DC830000}"/>
    <cellStyle name="Normal 5 10 35 4" xfId="33757" xr:uid="{00000000-0005-0000-0000-0000DD830000}"/>
    <cellStyle name="Normal 5 10 35 5" xfId="33758" xr:uid="{00000000-0005-0000-0000-0000DE830000}"/>
    <cellStyle name="Normal 5 10 35 6" xfId="33759" xr:uid="{00000000-0005-0000-0000-0000DF830000}"/>
    <cellStyle name="Normal 5 10 35 7" xfId="33760" xr:uid="{00000000-0005-0000-0000-0000E0830000}"/>
    <cellStyle name="Normal 5 10 35 8" xfId="33761" xr:uid="{00000000-0005-0000-0000-0000E1830000}"/>
    <cellStyle name="Normal 5 10 35 9" xfId="33762" xr:uid="{00000000-0005-0000-0000-0000E2830000}"/>
    <cellStyle name="Normal 5 10 36" xfId="33763" xr:uid="{00000000-0005-0000-0000-0000E3830000}"/>
    <cellStyle name="Normal 5 10 36 10" xfId="33764" xr:uid="{00000000-0005-0000-0000-0000E4830000}"/>
    <cellStyle name="Normal 5 10 36 2" xfId="33765" xr:uid="{00000000-0005-0000-0000-0000E5830000}"/>
    <cellStyle name="Normal 5 10 36 3" xfId="33766" xr:uid="{00000000-0005-0000-0000-0000E6830000}"/>
    <cellStyle name="Normal 5 10 36 4" xfId="33767" xr:uid="{00000000-0005-0000-0000-0000E7830000}"/>
    <cellStyle name="Normal 5 10 36 5" xfId="33768" xr:uid="{00000000-0005-0000-0000-0000E8830000}"/>
    <cellStyle name="Normal 5 10 36 6" xfId="33769" xr:uid="{00000000-0005-0000-0000-0000E9830000}"/>
    <cellStyle name="Normal 5 10 36 7" xfId="33770" xr:uid="{00000000-0005-0000-0000-0000EA830000}"/>
    <cellStyle name="Normal 5 10 36 8" xfId="33771" xr:uid="{00000000-0005-0000-0000-0000EB830000}"/>
    <cellStyle name="Normal 5 10 36 9" xfId="33772" xr:uid="{00000000-0005-0000-0000-0000EC830000}"/>
    <cellStyle name="Normal 5 10 37" xfId="33773" xr:uid="{00000000-0005-0000-0000-0000ED830000}"/>
    <cellStyle name="Normal 5 10 37 10" xfId="33774" xr:uid="{00000000-0005-0000-0000-0000EE830000}"/>
    <cellStyle name="Normal 5 10 37 2" xfId="33775" xr:uid="{00000000-0005-0000-0000-0000EF830000}"/>
    <cellStyle name="Normal 5 10 37 3" xfId="33776" xr:uid="{00000000-0005-0000-0000-0000F0830000}"/>
    <cellStyle name="Normal 5 10 37 4" xfId="33777" xr:uid="{00000000-0005-0000-0000-0000F1830000}"/>
    <cellStyle name="Normal 5 10 37 5" xfId="33778" xr:uid="{00000000-0005-0000-0000-0000F2830000}"/>
    <cellStyle name="Normal 5 10 37 6" xfId="33779" xr:uid="{00000000-0005-0000-0000-0000F3830000}"/>
    <cellStyle name="Normal 5 10 37 7" xfId="33780" xr:uid="{00000000-0005-0000-0000-0000F4830000}"/>
    <cellStyle name="Normal 5 10 37 8" xfId="33781" xr:uid="{00000000-0005-0000-0000-0000F5830000}"/>
    <cellStyle name="Normal 5 10 37 9" xfId="33782" xr:uid="{00000000-0005-0000-0000-0000F6830000}"/>
    <cellStyle name="Normal 5 10 38" xfId="33783" xr:uid="{00000000-0005-0000-0000-0000F7830000}"/>
    <cellStyle name="Normal 5 10 38 10" xfId="33784" xr:uid="{00000000-0005-0000-0000-0000F8830000}"/>
    <cellStyle name="Normal 5 10 38 2" xfId="33785" xr:uid="{00000000-0005-0000-0000-0000F9830000}"/>
    <cellStyle name="Normal 5 10 38 3" xfId="33786" xr:uid="{00000000-0005-0000-0000-0000FA830000}"/>
    <cellStyle name="Normal 5 10 38 4" xfId="33787" xr:uid="{00000000-0005-0000-0000-0000FB830000}"/>
    <cellStyle name="Normal 5 10 38 5" xfId="33788" xr:uid="{00000000-0005-0000-0000-0000FC830000}"/>
    <cellStyle name="Normal 5 10 38 6" xfId="33789" xr:uid="{00000000-0005-0000-0000-0000FD830000}"/>
    <cellStyle name="Normal 5 10 38 7" xfId="33790" xr:uid="{00000000-0005-0000-0000-0000FE830000}"/>
    <cellStyle name="Normal 5 10 38 8" xfId="33791" xr:uid="{00000000-0005-0000-0000-0000FF830000}"/>
    <cellStyle name="Normal 5 10 38 9" xfId="33792" xr:uid="{00000000-0005-0000-0000-000000840000}"/>
    <cellStyle name="Normal 5 10 39" xfId="33793" xr:uid="{00000000-0005-0000-0000-000001840000}"/>
    <cellStyle name="Normal 5 10 4" xfId="33794" xr:uid="{00000000-0005-0000-0000-000002840000}"/>
    <cellStyle name="Normal 5 10 4 10" xfId="33795" xr:uid="{00000000-0005-0000-0000-000003840000}"/>
    <cellStyle name="Normal 5 10 4 11" xfId="33796" xr:uid="{00000000-0005-0000-0000-000004840000}"/>
    <cellStyle name="Normal 5 10 4 12" xfId="33797" xr:uid="{00000000-0005-0000-0000-000005840000}"/>
    <cellStyle name="Normal 5 10 4 13" xfId="33798" xr:uid="{00000000-0005-0000-0000-000006840000}"/>
    <cellStyle name="Normal 5 10 4 14" xfId="33799" xr:uid="{00000000-0005-0000-0000-000007840000}"/>
    <cellStyle name="Normal 5 10 4 2" xfId="33800" xr:uid="{00000000-0005-0000-0000-000008840000}"/>
    <cellStyle name="Normal 5 10 4 2 10" xfId="33801" xr:uid="{00000000-0005-0000-0000-000009840000}"/>
    <cellStyle name="Normal 5 10 4 2 2" xfId="33802" xr:uid="{00000000-0005-0000-0000-00000A840000}"/>
    <cellStyle name="Normal 5 10 4 2 3" xfId="33803" xr:uid="{00000000-0005-0000-0000-00000B840000}"/>
    <cellStyle name="Normal 5 10 4 2 4" xfId="33804" xr:uid="{00000000-0005-0000-0000-00000C840000}"/>
    <cellStyle name="Normal 5 10 4 2 5" xfId="33805" xr:uid="{00000000-0005-0000-0000-00000D840000}"/>
    <cellStyle name="Normal 5 10 4 2 6" xfId="33806" xr:uid="{00000000-0005-0000-0000-00000E840000}"/>
    <cellStyle name="Normal 5 10 4 2 7" xfId="33807" xr:uid="{00000000-0005-0000-0000-00000F840000}"/>
    <cellStyle name="Normal 5 10 4 2 8" xfId="33808" xr:uid="{00000000-0005-0000-0000-000010840000}"/>
    <cellStyle name="Normal 5 10 4 2 9" xfId="33809" xr:uid="{00000000-0005-0000-0000-000011840000}"/>
    <cellStyle name="Normal 5 10 4 3" xfId="33810" xr:uid="{00000000-0005-0000-0000-000012840000}"/>
    <cellStyle name="Normal 5 10 4 3 10" xfId="33811" xr:uid="{00000000-0005-0000-0000-000013840000}"/>
    <cellStyle name="Normal 5 10 4 3 2" xfId="33812" xr:uid="{00000000-0005-0000-0000-000014840000}"/>
    <cellStyle name="Normal 5 10 4 3 3" xfId="33813" xr:uid="{00000000-0005-0000-0000-000015840000}"/>
    <cellStyle name="Normal 5 10 4 3 4" xfId="33814" xr:uid="{00000000-0005-0000-0000-000016840000}"/>
    <cellStyle name="Normal 5 10 4 3 5" xfId="33815" xr:uid="{00000000-0005-0000-0000-000017840000}"/>
    <cellStyle name="Normal 5 10 4 3 6" xfId="33816" xr:uid="{00000000-0005-0000-0000-000018840000}"/>
    <cellStyle name="Normal 5 10 4 3 7" xfId="33817" xr:uid="{00000000-0005-0000-0000-000019840000}"/>
    <cellStyle name="Normal 5 10 4 3 8" xfId="33818" xr:uid="{00000000-0005-0000-0000-00001A840000}"/>
    <cellStyle name="Normal 5 10 4 3 9" xfId="33819" xr:uid="{00000000-0005-0000-0000-00001B840000}"/>
    <cellStyle name="Normal 5 10 4 4" xfId="33820" xr:uid="{00000000-0005-0000-0000-00001C840000}"/>
    <cellStyle name="Normal 5 10 4 4 10" xfId="33821" xr:uid="{00000000-0005-0000-0000-00001D840000}"/>
    <cellStyle name="Normal 5 10 4 4 2" xfId="33822" xr:uid="{00000000-0005-0000-0000-00001E840000}"/>
    <cellStyle name="Normal 5 10 4 4 3" xfId="33823" xr:uid="{00000000-0005-0000-0000-00001F840000}"/>
    <cellStyle name="Normal 5 10 4 4 4" xfId="33824" xr:uid="{00000000-0005-0000-0000-000020840000}"/>
    <cellStyle name="Normal 5 10 4 4 5" xfId="33825" xr:uid="{00000000-0005-0000-0000-000021840000}"/>
    <cellStyle name="Normal 5 10 4 4 6" xfId="33826" xr:uid="{00000000-0005-0000-0000-000022840000}"/>
    <cellStyle name="Normal 5 10 4 4 7" xfId="33827" xr:uid="{00000000-0005-0000-0000-000023840000}"/>
    <cellStyle name="Normal 5 10 4 4 8" xfId="33828" xr:uid="{00000000-0005-0000-0000-000024840000}"/>
    <cellStyle name="Normal 5 10 4 4 9" xfId="33829" xr:uid="{00000000-0005-0000-0000-000025840000}"/>
    <cellStyle name="Normal 5 10 4 5" xfId="33830" xr:uid="{00000000-0005-0000-0000-000026840000}"/>
    <cellStyle name="Normal 5 10 4 5 10" xfId="33831" xr:uid="{00000000-0005-0000-0000-000027840000}"/>
    <cellStyle name="Normal 5 10 4 5 2" xfId="33832" xr:uid="{00000000-0005-0000-0000-000028840000}"/>
    <cellStyle name="Normal 5 10 4 5 3" xfId="33833" xr:uid="{00000000-0005-0000-0000-000029840000}"/>
    <cellStyle name="Normal 5 10 4 5 4" xfId="33834" xr:uid="{00000000-0005-0000-0000-00002A840000}"/>
    <cellStyle name="Normal 5 10 4 5 5" xfId="33835" xr:uid="{00000000-0005-0000-0000-00002B840000}"/>
    <cellStyle name="Normal 5 10 4 5 6" xfId="33836" xr:uid="{00000000-0005-0000-0000-00002C840000}"/>
    <cellStyle name="Normal 5 10 4 5 7" xfId="33837" xr:uid="{00000000-0005-0000-0000-00002D840000}"/>
    <cellStyle name="Normal 5 10 4 5 8" xfId="33838" xr:uid="{00000000-0005-0000-0000-00002E840000}"/>
    <cellStyle name="Normal 5 10 4 5 9" xfId="33839" xr:uid="{00000000-0005-0000-0000-00002F840000}"/>
    <cellStyle name="Normal 5 10 4 6" xfId="33840" xr:uid="{00000000-0005-0000-0000-000030840000}"/>
    <cellStyle name="Normal 5 10 4 7" xfId="33841" xr:uid="{00000000-0005-0000-0000-000031840000}"/>
    <cellStyle name="Normal 5 10 4 8" xfId="33842" xr:uid="{00000000-0005-0000-0000-000032840000}"/>
    <cellStyle name="Normal 5 10 4 9" xfId="33843" xr:uid="{00000000-0005-0000-0000-000033840000}"/>
    <cellStyle name="Normal 5 10 40" xfId="33844" xr:uid="{00000000-0005-0000-0000-000034840000}"/>
    <cellStyle name="Normal 5 10 41" xfId="33845" xr:uid="{00000000-0005-0000-0000-000035840000}"/>
    <cellStyle name="Normal 5 10 42" xfId="33846" xr:uid="{00000000-0005-0000-0000-000036840000}"/>
    <cellStyle name="Normal 5 10 43" xfId="33847" xr:uid="{00000000-0005-0000-0000-000037840000}"/>
    <cellStyle name="Normal 5 10 44" xfId="33848" xr:uid="{00000000-0005-0000-0000-000038840000}"/>
    <cellStyle name="Normal 5 10 45" xfId="33849" xr:uid="{00000000-0005-0000-0000-000039840000}"/>
    <cellStyle name="Normal 5 10 46" xfId="33850" xr:uid="{00000000-0005-0000-0000-00003A840000}"/>
    <cellStyle name="Normal 5 10 47" xfId="33851" xr:uid="{00000000-0005-0000-0000-00003B840000}"/>
    <cellStyle name="Normal 5 10 48" xfId="33852" xr:uid="{00000000-0005-0000-0000-00003C840000}"/>
    <cellStyle name="Normal 5 10 49" xfId="33853" xr:uid="{00000000-0005-0000-0000-00003D840000}"/>
    <cellStyle name="Normal 5 10 5" xfId="33854" xr:uid="{00000000-0005-0000-0000-00003E840000}"/>
    <cellStyle name="Normal 5 10 5 10" xfId="33855" xr:uid="{00000000-0005-0000-0000-00003F840000}"/>
    <cellStyle name="Normal 5 10 5 11" xfId="33856" xr:uid="{00000000-0005-0000-0000-000040840000}"/>
    <cellStyle name="Normal 5 10 5 12" xfId="33857" xr:uid="{00000000-0005-0000-0000-000041840000}"/>
    <cellStyle name="Normal 5 10 5 13" xfId="33858" xr:uid="{00000000-0005-0000-0000-000042840000}"/>
    <cellStyle name="Normal 5 10 5 14" xfId="33859" xr:uid="{00000000-0005-0000-0000-000043840000}"/>
    <cellStyle name="Normal 5 10 5 2" xfId="33860" xr:uid="{00000000-0005-0000-0000-000044840000}"/>
    <cellStyle name="Normal 5 10 5 2 10" xfId="33861" xr:uid="{00000000-0005-0000-0000-000045840000}"/>
    <cellStyle name="Normal 5 10 5 2 2" xfId="33862" xr:uid="{00000000-0005-0000-0000-000046840000}"/>
    <cellStyle name="Normal 5 10 5 2 3" xfId="33863" xr:uid="{00000000-0005-0000-0000-000047840000}"/>
    <cellStyle name="Normal 5 10 5 2 4" xfId="33864" xr:uid="{00000000-0005-0000-0000-000048840000}"/>
    <cellStyle name="Normal 5 10 5 2 5" xfId="33865" xr:uid="{00000000-0005-0000-0000-000049840000}"/>
    <cellStyle name="Normal 5 10 5 2 6" xfId="33866" xr:uid="{00000000-0005-0000-0000-00004A840000}"/>
    <cellStyle name="Normal 5 10 5 2 7" xfId="33867" xr:uid="{00000000-0005-0000-0000-00004B840000}"/>
    <cellStyle name="Normal 5 10 5 2 8" xfId="33868" xr:uid="{00000000-0005-0000-0000-00004C840000}"/>
    <cellStyle name="Normal 5 10 5 2 9" xfId="33869" xr:uid="{00000000-0005-0000-0000-00004D840000}"/>
    <cellStyle name="Normal 5 10 5 3" xfId="33870" xr:uid="{00000000-0005-0000-0000-00004E840000}"/>
    <cellStyle name="Normal 5 10 5 3 10" xfId="33871" xr:uid="{00000000-0005-0000-0000-00004F840000}"/>
    <cellStyle name="Normal 5 10 5 3 2" xfId="33872" xr:uid="{00000000-0005-0000-0000-000050840000}"/>
    <cellStyle name="Normal 5 10 5 3 3" xfId="33873" xr:uid="{00000000-0005-0000-0000-000051840000}"/>
    <cellStyle name="Normal 5 10 5 3 4" xfId="33874" xr:uid="{00000000-0005-0000-0000-000052840000}"/>
    <cellStyle name="Normal 5 10 5 3 5" xfId="33875" xr:uid="{00000000-0005-0000-0000-000053840000}"/>
    <cellStyle name="Normal 5 10 5 3 6" xfId="33876" xr:uid="{00000000-0005-0000-0000-000054840000}"/>
    <cellStyle name="Normal 5 10 5 3 7" xfId="33877" xr:uid="{00000000-0005-0000-0000-000055840000}"/>
    <cellStyle name="Normal 5 10 5 3 8" xfId="33878" xr:uid="{00000000-0005-0000-0000-000056840000}"/>
    <cellStyle name="Normal 5 10 5 3 9" xfId="33879" xr:uid="{00000000-0005-0000-0000-000057840000}"/>
    <cellStyle name="Normal 5 10 5 4" xfId="33880" xr:uid="{00000000-0005-0000-0000-000058840000}"/>
    <cellStyle name="Normal 5 10 5 4 10" xfId="33881" xr:uid="{00000000-0005-0000-0000-000059840000}"/>
    <cellStyle name="Normal 5 10 5 4 2" xfId="33882" xr:uid="{00000000-0005-0000-0000-00005A840000}"/>
    <cellStyle name="Normal 5 10 5 4 3" xfId="33883" xr:uid="{00000000-0005-0000-0000-00005B840000}"/>
    <cellStyle name="Normal 5 10 5 4 4" xfId="33884" xr:uid="{00000000-0005-0000-0000-00005C840000}"/>
    <cellStyle name="Normal 5 10 5 4 5" xfId="33885" xr:uid="{00000000-0005-0000-0000-00005D840000}"/>
    <cellStyle name="Normal 5 10 5 4 6" xfId="33886" xr:uid="{00000000-0005-0000-0000-00005E840000}"/>
    <cellStyle name="Normal 5 10 5 4 7" xfId="33887" xr:uid="{00000000-0005-0000-0000-00005F840000}"/>
    <cellStyle name="Normal 5 10 5 4 8" xfId="33888" xr:uid="{00000000-0005-0000-0000-000060840000}"/>
    <cellStyle name="Normal 5 10 5 4 9" xfId="33889" xr:uid="{00000000-0005-0000-0000-000061840000}"/>
    <cellStyle name="Normal 5 10 5 5" xfId="33890" xr:uid="{00000000-0005-0000-0000-000062840000}"/>
    <cellStyle name="Normal 5 10 5 5 10" xfId="33891" xr:uid="{00000000-0005-0000-0000-000063840000}"/>
    <cellStyle name="Normal 5 10 5 5 2" xfId="33892" xr:uid="{00000000-0005-0000-0000-000064840000}"/>
    <cellStyle name="Normal 5 10 5 5 3" xfId="33893" xr:uid="{00000000-0005-0000-0000-000065840000}"/>
    <cellStyle name="Normal 5 10 5 5 4" xfId="33894" xr:uid="{00000000-0005-0000-0000-000066840000}"/>
    <cellStyle name="Normal 5 10 5 5 5" xfId="33895" xr:uid="{00000000-0005-0000-0000-000067840000}"/>
    <cellStyle name="Normal 5 10 5 5 6" xfId="33896" xr:uid="{00000000-0005-0000-0000-000068840000}"/>
    <cellStyle name="Normal 5 10 5 5 7" xfId="33897" xr:uid="{00000000-0005-0000-0000-000069840000}"/>
    <cellStyle name="Normal 5 10 5 5 8" xfId="33898" xr:uid="{00000000-0005-0000-0000-00006A840000}"/>
    <cellStyle name="Normal 5 10 5 5 9" xfId="33899" xr:uid="{00000000-0005-0000-0000-00006B840000}"/>
    <cellStyle name="Normal 5 10 5 6" xfId="33900" xr:uid="{00000000-0005-0000-0000-00006C840000}"/>
    <cellStyle name="Normal 5 10 5 7" xfId="33901" xr:uid="{00000000-0005-0000-0000-00006D840000}"/>
    <cellStyle name="Normal 5 10 5 8" xfId="33902" xr:uid="{00000000-0005-0000-0000-00006E840000}"/>
    <cellStyle name="Normal 5 10 5 9" xfId="33903" xr:uid="{00000000-0005-0000-0000-00006F840000}"/>
    <cellStyle name="Normal 5 10 50" xfId="30798" xr:uid="{00000000-0005-0000-0000-00004E780000}"/>
    <cellStyle name="Normal 5 10 6" xfId="33904" xr:uid="{00000000-0005-0000-0000-000070840000}"/>
    <cellStyle name="Normal 5 10 6 10" xfId="33905" xr:uid="{00000000-0005-0000-0000-000071840000}"/>
    <cellStyle name="Normal 5 10 6 11" xfId="33906" xr:uid="{00000000-0005-0000-0000-000072840000}"/>
    <cellStyle name="Normal 5 10 6 12" xfId="33907" xr:uid="{00000000-0005-0000-0000-000073840000}"/>
    <cellStyle name="Normal 5 10 6 13" xfId="33908" xr:uid="{00000000-0005-0000-0000-000074840000}"/>
    <cellStyle name="Normal 5 10 6 14" xfId="33909" xr:uid="{00000000-0005-0000-0000-000075840000}"/>
    <cellStyle name="Normal 5 10 6 2" xfId="33910" xr:uid="{00000000-0005-0000-0000-000076840000}"/>
    <cellStyle name="Normal 5 10 6 2 10" xfId="33911" xr:uid="{00000000-0005-0000-0000-000077840000}"/>
    <cellStyle name="Normal 5 10 6 2 2" xfId="33912" xr:uid="{00000000-0005-0000-0000-000078840000}"/>
    <cellStyle name="Normal 5 10 6 2 3" xfId="33913" xr:uid="{00000000-0005-0000-0000-000079840000}"/>
    <cellStyle name="Normal 5 10 6 2 4" xfId="33914" xr:uid="{00000000-0005-0000-0000-00007A840000}"/>
    <cellStyle name="Normal 5 10 6 2 5" xfId="33915" xr:uid="{00000000-0005-0000-0000-00007B840000}"/>
    <cellStyle name="Normal 5 10 6 2 6" xfId="33916" xr:uid="{00000000-0005-0000-0000-00007C840000}"/>
    <cellStyle name="Normal 5 10 6 2 7" xfId="33917" xr:uid="{00000000-0005-0000-0000-00007D840000}"/>
    <cellStyle name="Normal 5 10 6 2 8" xfId="33918" xr:uid="{00000000-0005-0000-0000-00007E840000}"/>
    <cellStyle name="Normal 5 10 6 2 9" xfId="33919" xr:uid="{00000000-0005-0000-0000-00007F840000}"/>
    <cellStyle name="Normal 5 10 6 3" xfId="33920" xr:uid="{00000000-0005-0000-0000-000080840000}"/>
    <cellStyle name="Normal 5 10 6 3 10" xfId="33921" xr:uid="{00000000-0005-0000-0000-000081840000}"/>
    <cellStyle name="Normal 5 10 6 3 2" xfId="33922" xr:uid="{00000000-0005-0000-0000-000082840000}"/>
    <cellStyle name="Normal 5 10 6 3 3" xfId="33923" xr:uid="{00000000-0005-0000-0000-000083840000}"/>
    <cellStyle name="Normal 5 10 6 3 4" xfId="33924" xr:uid="{00000000-0005-0000-0000-000084840000}"/>
    <cellStyle name="Normal 5 10 6 3 5" xfId="33925" xr:uid="{00000000-0005-0000-0000-000085840000}"/>
    <cellStyle name="Normal 5 10 6 3 6" xfId="33926" xr:uid="{00000000-0005-0000-0000-000086840000}"/>
    <cellStyle name="Normal 5 10 6 3 7" xfId="33927" xr:uid="{00000000-0005-0000-0000-000087840000}"/>
    <cellStyle name="Normal 5 10 6 3 8" xfId="33928" xr:uid="{00000000-0005-0000-0000-000088840000}"/>
    <cellStyle name="Normal 5 10 6 3 9" xfId="33929" xr:uid="{00000000-0005-0000-0000-000089840000}"/>
    <cellStyle name="Normal 5 10 6 4" xfId="33930" xr:uid="{00000000-0005-0000-0000-00008A840000}"/>
    <cellStyle name="Normal 5 10 6 4 10" xfId="33931" xr:uid="{00000000-0005-0000-0000-00008B840000}"/>
    <cellStyle name="Normal 5 10 6 4 2" xfId="33932" xr:uid="{00000000-0005-0000-0000-00008C840000}"/>
    <cellStyle name="Normal 5 10 6 4 3" xfId="33933" xr:uid="{00000000-0005-0000-0000-00008D840000}"/>
    <cellStyle name="Normal 5 10 6 4 4" xfId="33934" xr:uid="{00000000-0005-0000-0000-00008E840000}"/>
    <cellStyle name="Normal 5 10 6 4 5" xfId="33935" xr:uid="{00000000-0005-0000-0000-00008F840000}"/>
    <cellStyle name="Normal 5 10 6 4 6" xfId="33936" xr:uid="{00000000-0005-0000-0000-000090840000}"/>
    <cellStyle name="Normal 5 10 6 4 7" xfId="33937" xr:uid="{00000000-0005-0000-0000-000091840000}"/>
    <cellStyle name="Normal 5 10 6 4 8" xfId="33938" xr:uid="{00000000-0005-0000-0000-000092840000}"/>
    <cellStyle name="Normal 5 10 6 4 9" xfId="33939" xr:uid="{00000000-0005-0000-0000-000093840000}"/>
    <cellStyle name="Normal 5 10 6 5" xfId="33940" xr:uid="{00000000-0005-0000-0000-000094840000}"/>
    <cellStyle name="Normal 5 10 6 5 10" xfId="33941" xr:uid="{00000000-0005-0000-0000-000095840000}"/>
    <cellStyle name="Normal 5 10 6 5 2" xfId="33942" xr:uid="{00000000-0005-0000-0000-000096840000}"/>
    <cellStyle name="Normal 5 10 6 5 3" xfId="33943" xr:uid="{00000000-0005-0000-0000-000097840000}"/>
    <cellStyle name="Normal 5 10 6 5 4" xfId="33944" xr:uid="{00000000-0005-0000-0000-000098840000}"/>
    <cellStyle name="Normal 5 10 6 5 5" xfId="33945" xr:uid="{00000000-0005-0000-0000-000099840000}"/>
    <cellStyle name="Normal 5 10 6 5 6" xfId="33946" xr:uid="{00000000-0005-0000-0000-00009A840000}"/>
    <cellStyle name="Normal 5 10 6 5 7" xfId="33947" xr:uid="{00000000-0005-0000-0000-00009B840000}"/>
    <cellStyle name="Normal 5 10 6 5 8" xfId="33948" xr:uid="{00000000-0005-0000-0000-00009C840000}"/>
    <cellStyle name="Normal 5 10 6 5 9" xfId="33949" xr:uid="{00000000-0005-0000-0000-00009D840000}"/>
    <cellStyle name="Normal 5 10 6 6" xfId="33950" xr:uid="{00000000-0005-0000-0000-00009E840000}"/>
    <cellStyle name="Normal 5 10 6 7" xfId="33951" xr:uid="{00000000-0005-0000-0000-00009F840000}"/>
    <cellStyle name="Normal 5 10 6 8" xfId="33952" xr:uid="{00000000-0005-0000-0000-0000A0840000}"/>
    <cellStyle name="Normal 5 10 6 9" xfId="33953" xr:uid="{00000000-0005-0000-0000-0000A1840000}"/>
    <cellStyle name="Normal 5 10 7" xfId="33954" xr:uid="{00000000-0005-0000-0000-0000A2840000}"/>
    <cellStyle name="Normal 5 10 7 10" xfId="33955" xr:uid="{00000000-0005-0000-0000-0000A3840000}"/>
    <cellStyle name="Normal 5 10 7 11" xfId="33956" xr:uid="{00000000-0005-0000-0000-0000A4840000}"/>
    <cellStyle name="Normal 5 10 7 12" xfId="33957" xr:uid="{00000000-0005-0000-0000-0000A5840000}"/>
    <cellStyle name="Normal 5 10 7 13" xfId="33958" xr:uid="{00000000-0005-0000-0000-0000A6840000}"/>
    <cellStyle name="Normal 5 10 7 14" xfId="33959" xr:uid="{00000000-0005-0000-0000-0000A7840000}"/>
    <cellStyle name="Normal 5 10 7 2" xfId="33960" xr:uid="{00000000-0005-0000-0000-0000A8840000}"/>
    <cellStyle name="Normal 5 10 7 2 10" xfId="33961" xr:uid="{00000000-0005-0000-0000-0000A9840000}"/>
    <cellStyle name="Normal 5 10 7 2 2" xfId="33962" xr:uid="{00000000-0005-0000-0000-0000AA840000}"/>
    <cellStyle name="Normal 5 10 7 2 3" xfId="33963" xr:uid="{00000000-0005-0000-0000-0000AB840000}"/>
    <cellStyle name="Normal 5 10 7 2 4" xfId="33964" xr:uid="{00000000-0005-0000-0000-0000AC840000}"/>
    <cellStyle name="Normal 5 10 7 2 5" xfId="33965" xr:uid="{00000000-0005-0000-0000-0000AD840000}"/>
    <cellStyle name="Normal 5 10 7 2 6" xfId="33966" xr:uid="{00000000-0005-0000-0000-0000AE840000}"/>
    <cellStyle name="Normal 5 10 7 2 7" xfId="33967" xr:uid="{00000000-0005-0000-0000-0000AF840000}"/>
    <cellStyle name="Normal 5 10 7 2 8" xfId="33968" xr:uid="{00000000-0005-0000-0000-0000B0840000}"/>
    <cellStyle name="Normal 5 10 7 2 9" xfId="33969" xr:uid="{00000000-0005-0000-0000-0000B1840000}"/>
    <cellStyle name="Normal 5 10 7 3" xfId="33970" xr:uid="{00000000-0005-0000-0000-0000B2840000}"/>
    <cellStyle name="Normal 5 10 7 3 10" xfId="33971" xr:uid="{00000000-0005-0000-0000-0000B3840000}"/>
    <cellStyle name="Normal 5 10 7 3 2" xfId="33972" xr:uid="{00000000-0005-0000-0000-0000B4840000}"/>
    <cellStyle name="Normal 5 10 7 3 3" xfId="33973" xr:uid="{00000000-0005-0000-0000-0000B5840000}"/>
    <cellStyle name="Normal 5 10 7 3 4" xfId="33974" xr:uid="{00000000-0005-0000-0000-0000B6840000}"/>
    <cellStyle name="Normal 5 10 7 3 5" xfId="33975" xr:uid="{00000000-0005-0000-0000-0000B7840000}"/>
    <cellStyle name="Normal 5 10 7 3 6" xfId="33976" xr:uid="{00000000-0005-0000-0000-0000B8840000}"/>
    <cellStyle name="Normal 5 10 7 3 7" xfId="33977" xr:uid="{00000000-0005-0000-0000-0000B9840000}"/>
    <cellStyle name="Normal 5 10 7 3 8" xfId="33978" xr:uid="{00000000-0005-0000-0000-0000BA840000}"/>
    <cellStyle name="Normal 5 10 7 3 9" xfId="33979" xr:uid="{00000000-0005-0000-0000-0000BB840000}"/>
    <cellStyle name="Normal 5 10 7 4" xfId="33980" xr:uid="{00000000-0005-0000-0000-0000BC840000}"/>
    <cellStyle name="Normal 5 10 7 4 10" xfId="33981" xr:uid="{00000000-0005-0000-0000-0000BD840000}"/>
    <cellStyle name="Normal 5 10 7 4 2" xfId="33982" xr:uid="{00000000-0005-0000-0000-0000BE840000}"/>
    <cellStyle name="Normal 5 10 7 4 3" xfId="33983" xr:uid="{00000000-0005-0000-0000-0000BF840000}"/>
    <cellStyle name="Normal 5 10 7 4 4" xfId="33984" xr:uid="{00000000-0005-0000-0000-0000C0840000}"/>
    <cellStyle name="Normal 5 10 7 4 5" xfId="33985" xr:uid="{00000000-0005-0000-0000-0000C1840000}"/>
    <cellStyle name="Normal 5 10 7 4 6" xfId="33986" xr:uid="{00000000-0005-0000-0000-0000C2840000}"/>
    <cellStyle name="Normal 5 10 7 4 7" xfId="33987" xr:uid="{00000000-0005-0000-0000-0000C3840000}"/>
    <cellStyle name="Normal 5 10 7 4 8" xfId="33988" xr:uid="{00000000-0005-0000-0000-0000C4840000}"/>
    <cellStyle name="Normal 5 10 7 4 9" xfId="33989" xr:uid="{00000000-0005-0000-0000-0000C5840000}"/>
    <cellStyle name="Normal 5 10 7 5" xfId="33990" xr:uid="{00000000-0005-0000-0000-0000C6840000}"/>
    <cellStyle name="Normal 5 10 7 5 10" xfId="33991" xr:uid="{00000000-0005-0000-0000-0000C7840000}"/>
    <cellStyle name="Normal 5 10 7 5 2" xfId="33992" xr:uid="{00000000-0005-0000-0000-0000C8840000}"/>
    <cellStyle name="Normal 5 10 7 5 3" xfId="33993" xr:uid="{00000000-0005-0000-0000-0000C9840000}"/>
    <cellStyle name="Normal 5 10 7 5 4" xfId="33994" xr:uid="{00000000-0005-0000-0000-0000CA840000}"/>
    <cellStyle name="Normal 5 10 7 5 5" xfId="33995" xr:uid="{00000000-0005-0000-0000-0000CB840000}"/>
    <cellStyle name="Normal 5 10 7 5 6" xfId="33996" xr:uid="{00000000-0005-0000-0000-0000CC840000}"/>
    <cellStyle name="Normal 5 10 7 5 7" xfId="33997" xr:uid="{00000000-0005-0000-0000-0000CD840000}"/>
    <cellStyle name="Normal 5 10 7 5 8" xfId="33998" xr:uid="{00000000-0005-0000-0000-0000CE840000}"/>
    <cellStyle name="Normal 5 10 7 5 9" xfId="33999" xr:uid="{00000000-0005-0000-0000-0000CF840000}"/>
    <cellStyle name="Normal 5 10 7 6" xfId="34000" xr:uid="{00000000-0005-0000-0000-0000D0840000}"/>
    <cellStyle name="Normal 5 10 7 7" xfId="34001" xr:uid="{00000000-0005-0000-0000-0000D1840000}"/>
    <cellStyle name="Normal 5 10 7 8" xfId="34002" xr:uid="{00000000-0005-0000-0000-0000D2840000}"/>
    <cellStyle name="Normal 5 10 7 9" xfId="34003" xr:uid="{00000000-0005-0000-0000-0000D3840000}"/>
    <cellStyle name="Normal 5 10 8" xfId="34004" xr:uid="{00000000-0005-0000-0000-0000D4840000}"/>
    <cellStyle name="Normal 5 10 8 10" xfId="34005" xr:uid="{00000000-0005-0000-0000-0000D5840000}"/>
    <cellStyle name="Normal 5 10 8 11" xfId="34006" xr:uid="{00000000-0005-0000-0000-0000D6840000}"/>
    <cellStyle name="Normal 5 10 8 12" xfId="34007" xr:uid="{00000000-0005-0000-0000-0000D7840000}"/>
    <cellStyle name="Normal 5 10 8 13" xfId="34008" xr:uid="{00000000-0005-0000-0000-0000D8840000}"/>
    <cellStyle name="Normal 5 10 8 14" xfId="34009" xr:uid="{00000000-0005-0000-0000-0000D9840000}"/>
    <cellStyle name="Normal 5 10 8 2" xfId="34010" xr:uid="{00000000-0005-0000-0000-0000DA840000}"/>
    <cellStyle name="Normal 5 10 8 2 10" xfId="34011" xr:uid="{00000000-0005-0000-0000-0000DB840000}"/>
    <cellStyle name="Normal 5 10 8 2 2" xfId="34012" xr:uid="{00000000-0005-0000-0000-0000DC840000}"/>
    <cellStyle name="Normal 5 10 8 2 3" xfId="34013" xr:uid="{00000000-0005-0000-0000-0000DD840000}"/>
    <cellStyle name="Normal 5 10 8 2 4" xfId="34014" xr:uid="{00000000-0005-0000-0000-0000DE840000}"/>
    <cellStyle name="Normal 5 10 8 2 5" xfId="34015" xr:uid="{00000000-0005-0000-0000-0000DF840000}"/>
    <cellStyle name="Normal 5 10 8 2 6" xfId="34016" xr:uid="{00000000-0005-0000-0000-0000E0840000}"/>
    <cellStyle name="Normal 5 10 8 2 7" xfId="34017" xr:uid="{00000000-0005-0000-0000-0000E1840000}"/>
    <cellStyle name="Normal 5 10 8 2 8" xfId="34018" xr:uid="{00000000-0005-0000-0000-0000E2840000}"/>
    <cellStyle name="Normal 5 10 8 2 9" xfId="34019" xr:uid="{00000000-0005-0000-0000-0000E3840000}"/>
    <cellStyle name="Normal 5 10 8 3" xfId="34020" xr:uid="{00000000-0005-0000-0000-0000E4840000}"/>
    <cellStyle name="Normal 5 10 8 3 10" xfId="34021" xr:uid="{00000000-0005-0000-0000-0000E5840000}"/>
    <cellStyle name="Normal 5 10 8 3 2" xfId="34022" xr:uid="{00000000-0005-0000-0000-0000E6840000}"/>
    <cellStyle name="Normal 5 10 8 3 3" xfId="34023" xr:uid="{00000000-0005-0000-0000-0000E7840000}"/>
    <cellStyle name="Normal 5 10 8 3 4" xfId="34024" xr:uid="{00000000-0005-0000-0000-0000E8840000}"/>
    <cellStyle name="Normal 5 10 8 3 5" xfId="34025" xr:uid="{00000000-0005-0000-0000-0000E9840000}"/>
    <cellStyle name="Normal 5 10 8 3 6" xfId="34026" xr:uid="{00000000-0005-0000-0000-0000EA840000}"/>
    <cellStyle name="Normal 5 10 8 3 7" xfId="34027" xr:uid="{00000000-0005-0000-0000-0000EB840000}"/>
    <cellStyle name="Normal 5 10 8 3 8" xfId="34028" xr:uid="{00000000-0005-0000-0000-0000EC840000}"/>
    <cellStyle name="Normal 5 10 8 3 9" xfId="34029" xr:uid="{00000000-0005-0000-0000-0000ED840000}"/>
    <cellStyle name="Normal 5 10 8 4" xfId="34030" xr:uid="{00000000-0005-0000-0000-0000EE840000}"/>
    <cellStyle name="Normal 5 10 8 4 10" xfId="34031" xr:uid="{00000000-0005-0000-0000-0000EF840000}"/>
    <cellStyle name="Normal 5 10 8 4 2" xfId="34032" xr:uid="{00000000-0005-0000-0000-0000F0840000}"/>
    <cellStyle name="Normal 5 10 8 4 3" xfId="34033" xr:uid="{00000000-0005-0000-0000-0000F1840000}"/>
    <cellStyle name="Normal 5 10 8 4 4" xfId="34034" xr:uid="{00000000-0005-0000-0000-0000F2840000}"/>
    <cellStyle name="Normal 5 10 8 4 5" xfId="34035" xr:uid="{00000000-0005-0000-0000-0000F3840000}"/>
    <cellStyle name="Normal 5 10 8 4 6" xfId="34036" xr:uid="{00000000-0005-0000-0000-0000F4840000}"/>
    <cellStyle name="Normal 5 10 8 4 7" xfId="34037" xr:uid="{00000000-0005-0000-0000-0000F5840000}"/>
    <cellStyle name="Normal 5 10 8 4 8" xfId="34038" xr:uid="{00000000-0005-0000-0000-0000F6840000}"/>
    <cellStyle name="Normal 5 10 8 4 9" xfId="34039" xr:uid="{00000000-0005-0000-0000-0000F7840000}"/>
    <cellStyle name="Normal 5 10 8 5" xfId="34040" xr:uid="{00000000-0005-0000-0000-0000F8840000}"/>
    <cellStyle name="Normal 5 10 8 5 10" xfId="34041" xr:uid="{00000000-0005-0000-0000-0000F9840000}"/>
    <cellStyle name="Normal 5 10 8 5 2" xfId="34042" xr:uid="{00000000-0005-0000-0000-0000FA840000}"/>
    <cellStyle name="Normal 5 10 8 5 3" xfId="34043" xr:uid="{00000000-0005-0000-0000-0000FB840000}"/>
    <cellStyle name="Normal 5 10 8 5 4" xfId="34044" xr:uid="{00000000-0005-0000-0000-0000FC840000}"/>
    <cellStyle name="Normal 5 10 8 5 5" xfId="34045" xr:uid="{00000000-0005-0000-0000-0000FD840000}"/>
    <cellStyle name="Normal 5 10 8 5 6" xfId="34046" xr:uid="{00000000-0005-0000-0000-0000FE840000}"/>
    <cellStyle name="Normal 5 10 8 5 7" xfId="34047" xr:uid="{00000000-0005-0000-0000-0000FF840000}"/>
    <cellStyle name="Normal 5 10 8 5 8" xfId="34048" xr:uid="{00000000-0005-0000-0000-000000850000}"/>
    <cellStyle name="Normal 5 10 8 5 9" xfId="34049" xr:uid="{00000000-0005-0000-0000-000001850000}"/>
    <cellStyle name="Normal 5 10 8 6" xfId="34050" xr:uid="{00000000-0005-0000-0000-000002850000}"/>
    <cellStyle name="Normal 5 10 8 7" xfId="34051" xr:uid="{00000000-0005-0000-0000-000003850000}"/>
    <cellStyle name="Normal 5 10 8 8" xfId="34052" xr:uid="{00000000-0005-0000-0000-000004850000}"/>
    <cellStyle name="Normal 5 10 8 9" xfId="34053" xr:uid="{00000000-0005-0000-0000-000005850000}"/>
    <cellStyle name="Normal 5 10 9" xfId="34054" xr:uid="{00000000-0005-0000-0000-000006850000}"/>
    <cellStyle name="Normal 5 10 9 10" xfId="34055" xr:uid="{00000000-0005-0000-0000-000007850000}"/>
    <cellStyle name="Normal 5 10 9 11" xfId="34056" xr:uid="{00000000-0005-0000-0000-000008850000}"/>
    <cellStyle name="Normal 5 10 9 12" xfId="34057" xr:uid="{00000000-0005-0000-0000-000009850000}"/>
    <cellStyle name="Normal 5 10 9 13" xfId="34058" xr:uid="{00000000-0005-0000-0000-00000A850000}"/>
    <cellStyle name="Normal 5 10 9 14" xfId="34059" xr:uid="{00000000-0005-0000-0000-00000B850000}"/>
    <cellStyle name="Normal 5 10 9 2" xfId="34060" xr:uid="{00000000-0005-0000-0000-00000C850000}"/>
    <cellStyle name="Normal 5 10 9 2 10" xfId="34061" xr:uid="{00000000-0005-0000-0000-00000D850000}"/>
    <cellStyle name="Normal 5 10 9 2 2" xfId="34062" xr:uid="{00000000-0005-0000-0000-00000E850000}"/>
    <cellStyle name="Normal 5 10 9 2 3" xfId="34063" xr:uid="{00000000-0005-0000-0000-00000F850000}"/>
    <cellStyle name="Normal 5 10 9 2 4" xfId="34064" xr:uid="{00000000-0005-0000-0000-000010850000}"/>
    <cellStyle name="Normal 5 10 9 2 5" xfId="34065" xr:uid="{00000000-0005-0000-0000-000011850000}"/>
    <cellStyle name="Normal 5 10 9 2 6" xfId="34066" xr:uid="{00000000-0005-0000-0000-000012850000}"/>
    <cellStyle name="Normal 5 10 9 2 7" xfId="34067" xr:uid="{00000000-0005-0000-0000-000013850000}"/>
    <cellStyle name="Normal 5 10 9 2 8" xfId="34068" xr:uid="{00000000-0005-0000-0000-000014850000}"/>
    <cellStyle name="Normal 5 10 9 2 9" xfId="34069" xr:uid="{00000000-0005-0000-0000-000015850000}"/>
    <cellStyle name="Normal 5 10 9 3" xfId="34070" xr:uid="{00000000-0005-0000-0000-000016850000}"/>
    <cellStyle name="Normal 5 10 9 3 10" xfId="34071" xr:uid="{00000000-0005-0000-0000-000017850000}"/>
    <cellStyle name="Normal 5 10 9 3 2" xfId="34072" xr:uid="{00000000-0005-0000-0000-000018850000}"/>
    <cellStyle name="Normal 5 10 9 3 3" xfId="34073" xr:uid="{00000000-0005-0000-0000-000019850000}"/>
    <cellStyle name="Normal 5 10 9 3 4" xfId="34074" xr:uid="{00000000-0005-0000-0000-00001A850000}"/>
    <cellStyle name="Normal 5 10 9 3 5" xfId="34075" xr:uid="{00000000-0005-0000-0000-00001B850000}"/>
    <cellStyle name="Normal 5 10 9 3 6" xfId="34076" xr:uid="{00000000-0005-0000-0000-00001C850000}"/>
    <cellStyle name="Normal 5 10 9 3 7" xfId="34077" xr:uid="{00000000-0005-0000-0000-00001D850000}"/>
    <cellStyle name="Normal 5 10 9 3 8" xfId="34078" xr:uid="{00000000-0005-0000-0000-00001E850000}"/>
    <cellStyle name="Normal 5 10 9 3 9" xfId="34079" xr:uid="{00000000-0005-0000-0000-00001F850000}"/>
    <cellStyle name="Normal 5 10 9 4" xfId="34080" xr:uid="{00000000-0005-0000-0000-000020850000}"/>
    <cellStyle name="Normal 5 10 9 4 10" xfId="34081" xr:uid="{00000000-0005-0000-0000-000021850000}"/>
    <cellStyle name="Normal 5 10 9 4 2" xfId="34082" xr:uid="{00000000-0005-0000-0000-000022850000}"/>
    <cellStyle name="Normal 5 10 9 4 3" xfId="34083" xr:uid="{00000000-0005-0000-0000-000023850000}"/>
    <cellStyle name="Normal 5 10 9 4 4" xfId="34084" xr:uid="{00000000-0005-0000-0000-000024850000}"/>
    <cellStyle name="Normal 5 10 9 4 5" xfId="34085" xr:uid="{00000000-0005-0000-0000-000025850000}"/>
    <cellStyle name="Normal 5 10 9 4 6" xfId="34086" xr:uid="{00000000-0005-0000-0000-000026850000}"/>
    <cellStyle name="Normal 5 10 9 4 7" xfId="34087" xr:uid="{00000000-0005-0000-0000-000027850000}"/>
    <cellStyle name="Normal 5 10 9 4 8" xfId="34088" xr:uid="{00000000-0005-0000-0000-000028850000}"/>
    <cellStyle name="Normal 5 10 9 4 9" xfId="34089" xr:uid="{00000000-0005-0000-0000-000029850000}"/>
    <cellStyle name="Normal 5 10 9 5" xfId="34090" xr:uid="{00000000-0005-0000-0000-00002A850000}"/>
    <cellStyle name="Normal 5 10 9 5 10" xfId="34091" xr:uid="{00000000-0005-0000-0000-00002B850000}"/>
    <cellStyle name="Normal 5 10 9 5 2" xfId="34092" xr:uid="{00000000-0005-0000-0000-00002C850000}"/>
    <cellStyle name="Normal 5 10 9 5 3" xfId="34093" xr:uid="{00000000-0005-0000-0000-00002D850000}"/>
    <cellStyle name="Normal 5 10 9 5 4" xfId="34094" xr:uid="{00000000-0005-0000-0000-00002E850000}"/>
    <cellStyle name="Normal 5 10 9 5 5" xfId="34095" xr:uid="{00000000-0005-0000-0000-00002F850000}"/>
    <cellStyle name="Normal 5 10 9 5 6" xfId="34096" xr:uid="{00000000-0005-0000-0000-000030850000}"/>
    <cellStyle name="Normal 5 10 9 5 7" xfId="34097" xr:uid="{00000000-0005-0000-0000-000031850000}"/>
    <cellStyle name="Normal 5 10 9 5 8" xfId="34098" xr:uid="{00000000-0005-0000-0000-000032850000}"/>
    <cellStyle name="Normal 5 10 9 5 9" xfId="34099" xr:uid="{00000000-0005-0000-0000-000033850000}"/>
    <cellStyle name="Normal 5 10 9 6" xfId="34100" xr:uid="{00000000-0005-0000-0000-000034850000}"/>
    <cellStyle name="Normal 5 10 9 7" xfId="34101" xr:uid="{00000000-0005-0000-0000-000035850000}"/>
    <cellStyle name="Normal 5 10 9 8" xfId="34102" xr:uid="{00000000-0005-0000-0000-000036850000}"/>
    <cellStyle name="Normal 5 10 9 9" xfId="34103" xr:uid="{00000000-0005-0000-0000-000037850000}"/>
    <cellStyle name="Normal 5 11" xfId="34104" xr:uid="{00000000-0005-0000-0000-000038850000}"/>
    <cellStyle name="Normal 5 11 2" xfId="34105" xr:uid="{00000000-0005-0000-0000-000039850000}"/>
    <cellStyle name="Normal 5 11 2 2" xfId="34106" xr:uid="{00000000-0005-0000-0000-00003A850000}"/>
    <cellStyle name="Normal 5 11 3" xfId="34107" xr:uid="{00000000-0005-0000-0000-00003B850000}"/>
    <cellStyle name="Normal 5 11 4" xfId="34108" xr:uid="{00000000-0005-0000-0000-00003C850000}"/>
    <cellStyle name="Normal 5 12" xfId="34109" xr:uid="{00000000-0005-0000-0000-00003D850000}"/>
    <cellStyle name="Normal 5 12 2" xfId="34110" xr:uid="{00000000-0005-0000-0000-00003E850000}"/>
    <cellStyle name="Normal 5 12 2 2" xfId="34111" xr:uid="{00000000-0005-0000-0000-00003F850000}"/>
    <cellStyle name="Normal 5 12 3" xfId="34112" xr:uid="{00000000-0005-0000-0000-000040850000}"/>
    <cellStyle name="Normal 5 12 4" xfId="34113" xr:uid="{00000000-0005-0000-0000-000041850000}"/>
    <cellStyle name="Normal 5 13" xfId="34114" xr:uid="{00000000-0005-0000-0000-000042850000}"/>
    <cellStyle name="Normal 5 13 2" xfId="34115" xr:uid="{00000000-0005-0000-0000-000043850000}"/>
    <cellStyle name="Normal 5 13 2 2" xfId="34116" xr:uid="{00000000-0005-0000-0000-000044850000}"/>
    <cellStyle name="Normal 5 13 3" xfId="34117" xr:uid="{00000000-0005-0000-0000-000045850000}"/>
    <cellStyle name="Normal 5 13 4" xfId="34118" xr:uid="{00000000-0005-0000-0000-000046850000}"/>
    <cellStyle name="Normal 5 14" xfId="34119" xr:uid="{00000000-0005-0000-0000-000047850000}"/>
    <cellStyle name="Normal 5 14 2" xfId="34120" xr:uid="{00000000-0005-0000-0000-000048850000}"/>
    <cellStyle name="Normal 5 14 2 2" xfId="34121" xr:uid="{00000000-0005-0000-0000-000049850000}"/>
    <cellStyle name="Normal 5 14 3" xfId="34122" xr:uid="{00000000-0005-0000-0000-00004A850000}"/>
    <cellStyle name="Normal 5 14 4" xfId="34123" xr:uid="{00000000-0005-0000-0000-00004B850000}"/>
    <cellStyle name="Normal 5 15" xfId="34124" xr:uid="{00000000-0005-0000-0000-00004C850000}"/>
    <cellStyle name="Normal 5 15 2" xfId="34125" xr:uid="{00000000-0005-0000-0000-00004D850000}"/>
    <cellStyle name="Normal 5 15 2 2" xfId="34126" xr:uid="{00000000-0005-0000-0000-00004E850000}"/>
    <cellStyle name="Normal 5 15 3" xfId="34127" xr:uid="{00000000-0005-0000-0000-00004F850000}"/>
    <cellStyle name="Normal 5 15 4" xfId="34128" xr:uid="{00000000-0005-0000-0000-000050850000}"/>
    <cellStyle name="Normal 5 16" xfId="34129" xr:uid="{00000000-0005-0000-0000-000051850000}"/>
    <cellStyle name="Normal 5 16 2" xfId="34130" xr:uid="{00000000-0005-0000-0000-000052850000}"/>
    <cellStyle name="Normal 5 16 2 2" xfId="34131" xr:uid="{00000000-0005-0000-0000-000053850000}"/>
    <cellStyle name="Normal 5 16 3" xfId="34132" xr:uid="{00000000-0005-0000-0000-000054850000}"/>
    <cellStyle name="Normal 5 16 4" xfId="34133" xr:uid="{00000000-0005-0000-0000-000055850000}"/>
    <cellStyle name="Normal 5 17" xfId="34134" xr:uid="{00000000-0005-0000-0000-000056850000}"/>
    <cellStyle name="Normal 5 17 10" xfId="34135" xr:uid="{00000000-0005-0000-0000-000057850000}"/>
    <cellStyle name="Normal 5 17 10 10" xfId="34136" xr:uid="{00000000-0005-0000-0000-000058850000}"/>
    <cellStyle name="Normal 5 17 10 11" xfId="34137" xr:uid="{00000000-0005-0000-0000-000059850000}"/>
    <cellStyle name="Normal 5 17 10 12" xfId="34138" xr:uid="{00000000-0005-0000-0000-00005A850000}"/>
    <cellStyle name="Normal 5 17 10 13" xfId="34139" xr:uid="{00000000-0005-0000-0000-00005B850000}"/>
    <cellStyle name="Normal 5 17 10 14" xfId="34140" xr:uid="{00000000-0005-0000-0000-00005C850000}"/>
    <cellStyle name="Normal 5 17 10 2" xfId="34141" xr:uid="{00000000-0005-0000-0000-00005D850000}"/>
    <cellStyle name="Normal 5 17 10 2 10" xfId="34142" xr:uid="{00000000-0005-0000-0000-00005E850000}"/>
    <cellStyle name="Normal 5 17 10 2 2" xfId="34143" xr:uid="{00000000-0005-0000-0000-00005F850000}"/>
    <cellStyle name="Normal 5 17 10 2 3" xfId="34144" xr:uid="{00000000-0005-0000-0000-000060850000}"/>
    <cellStyle name="Normal 5 17 10 2 4" xfId="34145" xr:uid="{00000000-0005-0000-0000-000061850000}"/>
    <cellStyle name="Normal 5 17 10 2 5" xfId="34146" xr:uid="{00000000-0005-0000-0000-000062850000}"/>
    <cellStyle name="Normal 5 17 10 2 6" xfId="34147" xr:uid="{00000000-0005-0000-0000-000063850000}"/>
    <cellStyle name="Normal 5 17 10 2 7" xfId="34148" xr:uid="{00000000-0005-0000-0000-000064850000}"/>
    <cellStyle name="Normal 5 17 10 2 8" xfId="34149" xr:uid="{00000000-0005-0000-0000-000065850000}"/>
    <cellStyle name="Normal 5 17 10 2 9" xfId="34150" xr:uid="{00000000-0005-0000-0000-000066850000}"/>
    <cellStyle name="Normal 5 17 10 3" xfId="34151" xr:uid="{00000000-0005-0000-0000-000067850000}"/>
    <cellStyle name="Normal 5 17 10 3 10" xfId="34152" xr:uid="{00000000-0005-0000-0000-000068850000}"/>
    <cellStyle name="Normal 5 17 10 3 2" xfId="34153" xr:uid="{00000000-0005-0000-0000-000069850000}"/>
    <cellStyle name="Normal 5 17 10 3 3" xfId="34154" xr:uid="{00000000-0005-0000-0000-00006A850000}"/>
    <cellStyle name="Normal 5 17 10 3 4" xfId="34155" xr:uid="{00000000-0005-0000-0000-00006B850000}"/>
    <cellStyle name="Normal 5 17 10 3 5" xfId="34156" xr:uid="{00000000-0005-0000-0000-00006C850000}"/>
    <cellStyle name="Normal 5 17 10 3 6" xfId="34157" xr:uid="{00000000-0005-0000-0000-00006D850000}"/>
    <cellStyle name="Normal 5 17 10 3 7" xfId="34158" xr:uid="{00000000-0005-0000-0000-00006E850000}"/>
    <cellStyle name="Normal 5 17 10 3 8" xfId="34159" xr:uid="{00000000-0005-0000-0000-00006F850000}"/>
    <cellStyle name="Normal 5 17 10 3 9" xfId="34160" xr:uid="{00000000-0005-0000-0000-000070850000}"/>
    <cellStyle name="Normal 5 17 10 4" xfId="34161" xr:uid="{00000000-0005-0000-0000-000071850000}"/>
    <cellStyle name="Normal 5 17 10 4 10" xfId="34162" xr:uid="{00000000-0005-0000-0000-000072850000}"/>
    <cellStyle name="Normal 5 17 10 4 2" xfId="34163" xr:uid="{00000000-0005-0000-0000-000073850000}"/>
    <cellStyle name="Normal 5 17 10 4 3" xfId="34164" xr:uid="{00000000-0005-0000-0000-000074850000}"/>
    <cellStyle name="Normal 5 17 10 4 4" xfId="34165" xr:uid="{00000000-0005-0000-0000-000075850000}"/>
    <cellStyle name="Normal 5 17 10 4 5" xfId="34166" xr:uid="{00000000-0005-0000-0000-000076850000}"/>
    <cellStyle name="Normal 5 17 10 4 6" xfId="34167" xr:uid="{00000000-0005-0000-0000-000077850000}"/>
    <cellStyle name="Normal 5 17 10 4 7" xfId="34168" xr:uid="{00000000-0005-0000-0000-000078850000}"/>
    <cellStyle name="Normal 5 17 10 4 8" xfId="34169" xr:uid="{00000000-0005-0000-0000-000079850000}"/>
    <cellStyle name="Normal 5 17 10 4 9" xfId="34170" xr:uid="{00000000-0005-0000-0000-00007A850000}"/>
    <cellStyle name="Normal 5 17 10 5" xfId="34171" xr:uid="{00000000-0005-0000-0000-00007B850000}"/>
    <cellStyle name="Normal 5 17 10 5 10" xfId="34172" xr:uid="{00000000-0005-0000-0000-00007C850000}"/>
    <cellStyle name="Normal 5 17 10 5 2" xfId="34173" xr:uid="{00000000-0005-0000-0000-00007D850000}"/>
    <cellStyle name="Normal 5 17 10 5 3" xfId="34174" xr:uid="{00000000-0005-0000-0000-00007E850000}"/>
    <cellStyle name="Normal 5 17 10 5 4" xfId="34175" xr:uid="{00000000-0005-0000-0000-00007F850000}"/>
    <cellStyle name="Normal 5 17 10 5 5" xfId="34176" xr:uid="{00000000-0005-0000-0000-000080850000}"/>
    <cellStyle name="Normal 5 17 10 5 6" xfId="34177" xr:uid="{00000000-0005-0000-0000-000081850000}"/>
    <cellStyle name="Normal 5 17 10 5 7" xfId="34178" xr:uid="{00000000-0005-0000-0000-000082850000}"/>
    <cellStyle name="Normal 5 17 10 5 8" xfId="34179" xr:uid="{00000000-0005-0000-0000-000083850000}"/>
    <cellStyle name="Normal 5 17 10 5 9" xfId="34180" xr:uid="{00000000-0005-0000-0000-000084850000}"/>
    <cellStyle name="Normal 5 17 10 6" xfId="34181" xr:uid="{00000000-0005-0000-0000-000085850000}"/>
    <cellStyle name="Normal 5 17 10 7" xfId="34182" xr:uid="{00000000-0005-0000-0000-000086850000}"/>
    <cellStyle name="Normal 5 17 10 8" xfId="34183" xr:uid="{00000000-0005-0000-0000-000087850000}"/>
    <cellStyle name="Normal 5 17 10 9" xfId="34184" xr:uid="{00000000-0005-0000-0000-000088850000}"/>
    <cellStyle name="Normal 5 17 11" xfId="34185" xr:uid="{00000000-0005-0000-0000-000089850000}"/>
    <cellStyle name="Normal 5 17 11 10" xfId="34186" xr:uid="{00000000-0005-0000-0000-00008A850000}"/>
    <cellStyle name="Normal 5 17 11 11" xfId="34187" xr:uid="{00000000-0005-0000-0000-00008B850000}"/>
    <cellStyle name="Normal 5 17 11 12" xfId="34188" xr:uid="{00000000-0005-0000-0000-00008C850000}"/>
    <cellStyle name="Normal 5 17 11 13" xfId="34189" xr:uid="{00000000-0005-0000-0000-00008D850000}"/>
    <cellStyle name="Normal 5 17 11 14" xfId="34190" xr:uid="{00000000-0005-0000-0000-00008E850000}"/>
    <cellStyle name="Normal 5 17 11 2" xfId="34191" xr:uid="{00000000-0005-0000-0000-00008F850000}"/>
    <cellStyle name="Normal 5 17 11 2 10" xfId="34192" xr:uid="{00000000-0005-0000-0000-000090850000}"/>
    <cellStyle name="Normal 5 17 11 2 2" xfId="34193" xr:uid="{00000000-0005-0000-0000-000091850000}"/>
    <cellStyle name="Normal 5 17 11 2 3" xfId="34194" xr:uid="{00000000-0005-0000-0000-000092850000}"/>
    <cellStyle name="Normal 5 17 11 2 4" xfId="34195" xr:uid="{00000000-0005-0000-0000-000093850000}"/>
    <cellStyle name="Normal 5 17 11 2 5" xfId="34196" xr:uid="{00000000-0005-0000-0000-000094850000}"/>
    <cellStyle name="Normal 5 17 11 2 6" xfId="34197" xr:uid="{00000000-0005-0000-0000-000095850000}"/>
    <cellStyle name="Normal 5 17 11 2 7" xfId="34198" xr:uid="{00000000-0005-0000-0000-000096850000}"/>
    <cellStyle name="Normal 5 17 11 2 8" xfId="34199" xr:uid="{00000000-0005-0000-0000-000097850000}"/>
    <cellStyle name="Normal 5 17 11 2 9" xfId="34200" xr:uid="{00000000-0005-0000-0000-000098850000}"/>
    <cellStyle name="Normal 5 17 11 3" xfId="34201" xr:uid="{00000000-0005-0000-0000-000099850000}"/>
    <cellStyle name="Normal 5 17 11 3 10" xfId="34202" xr:uid="{00000000-0005-0000-0000-00009A850000}"/>
    <cellStyle name="Normal 5 17 11 3 2" xfId="34203" xr:uid="{00000000-0005-0000-0000-00009B850000}"/>
    <cellStyle name="Normal 5 17 11 3 3" xfId="34204" xr:uid="{00000000-0005-0000-0000-00009C850000}"/>
    <cellStyle name="Normal 5 17 11 3 4" xfId="34205" xr:uid="{00000000-0005-0000-0000-00009D850000}"/>
    <cellStyle name="Normal 5 17 11 3 5" xfId="34206" xr:uid="{00000000-0005-0000-0000-00009E850000}"/>
    <cellStyle name="Normal 5 17 11 3 6" xfId="34207" xr:uid="{00000000-0005-0000-0000-00009F850000}"/>
    <cellStyle name="Normal 5 17 11 3 7" xfId="34208" xr:uid="{00000000-0005-0000-0000-0000A0850000}"/>
    <cellStyle name="Normal 5 17 11 3 8" xfId="34209" xr:uid="{00000000-0005-0000-0000-0000A1850000}"/>
    <cellStyle name="Normal 5 17 11 3 9" xfId="34210" xr:uid="{00000000-0005-0000-0000-0000A2850000}"/>
    <cellStyle name="Normal 5 17 11 4" xfId="34211" xr:uid="{00000000-0005-0000-0000-0000A3850000}"/>
    <cellStyle name="Normal 5 17 11 4 10" xfId="34212" xr:uid="{00000000-0005-0000-0000-0000A4850000}"/>
    <cellStyle name="Normal 5 17 11 4 2" xfId="34213" xr:uid="{00000000-0005-0000-0000-0000A5850000}"/>
    <cellStyle name="Normal 5 17 11 4 3" xfId="34214" xr:uid="{00000000-0005-0000-0000-0000A6850000}"/>
    <cellStyle name="Normal 5 17 11 4 4" xfId="34215" xr:uid="{00000000-0005-0000-0000-0000A7850000}"/>
    <cellStyle name="Normal 5 17 11 4 5" xfId="34216" xr:uid="{00000000-0005-0000-0000-0000A8850000}"/>
    <cellStyle name="Normal 5 17 11 4 6" xfId="34217" xr:uid="{00000000-0005-0000-0000-0000A9850000}"/>
    <cellStyle name="Normal 5 17 11 4 7" xfId="34218" xr:uid="{00000000-0005-0000-0000-0000AA850000}"/>
    <cellStyle name="Normal 5 17 11 4 8" xfId="34219" xr:uid="{00000000-0005-0000-0000-0000AB850000}"/>
    <cellStyle name="Normal 5 17 11 4 9" xfId="34220" xr:uid="{00000000-0005-0000-0000-0000AC850000}"/>
    <cellStyle name="Normal 5 17 11 5" xfId="34221" xr:uid="{00000000-0005-0000-0000-0000AD850000}"/>
    <cellStyle name="Normal 5 17 11 5 10" xfId="34222" xr:uid="{00000000-0005-0000-0000-0000AE850000}"/>
    <cellStyle name="Normal 5 17 11 5 2" xfId="34223" xr:uid="{00000000-0005-0000-0000-0000AF850000}"/>
    <cellStyle name="Normal 5 17 11 5 3" xfId="34224" xr:uid="{00000000-0005-0000-0000-0000B0850000}"/>
    <cellStyle name="Normal 5 17 11 5 4" xfId="34225" xr:uid="{00000000-0005-0000-0000-0000B1850000}"/>
    <cellStyle name="Normal 5 17 11 5 5" xfId="34226" xr:uid="{00000000-0005-0000-0000-0000B2850000}"/>
    <cellStyle name="Normal 5 17 11 5 6" xfId="34227" xr:uid="{00000000-0005-0000-0000-0000B3850000}"/>
    <cellStyle name="Normal 5 17 11 5 7" xfId="34228" xr:uid="{00000000-0005-0000-0000-0000B4850000}"/>
    <cellStyle name="Normal 5 17 11 5 8" xfId="34229" xr:uid="{00000000-0005-0000-0000-0000B5850000}"/>
    <cellStyle name="Normal 5 17 11 5 9" xfId="34230" xr:uid="{00000000-0005-0000-0000-0000B6850000}"/>
    <cellStyle name="Normal 5 17 11 6" xfId="34231" xr:uid="{00000000-0005-0000-0000-0000B7850000}"/>
    <cellStyle name="Normal 5 17 11 7" xfId="34232" xr:uid="{00000000-0005-0000-0000-0000B8850000}"/>
    <cellStyle name="Normal 5 17 11 8" xfId="34233" xr:uid="{00000000-0005-0000-0000-0000B9850000}"/>
    <cellStyle name="Normal 5 17 11 9" xfId="34234" xr:uid="{00000000-0005-0000-0000-0000BA850000}"/>
    <cellStyle name="Normal 5 17 12" xfId="34235" xr:uid="{00000000-0005-0000-0000-0000BB850000}"/>
    <cellStyle name="Normal 5 17 12 10" xfId="34236" xr:uid="{00000000-0005-0000-0000-0000BC850000}"/>
    <cellStyle name="Normal 5 17 12 11" xfId="34237" xr:uid="{00000000-0005-0000-0000-0000BD850000}"/>
    <cellStyle name="Normal 5 17 12 12" xfId="34238" xr:uid="{00000000-0005-0000-0000-0000BE850000}"/>
    <cellStyle name="Normal 5 17 12 13" xfId="34239" xr:uid="{00000000-0005-0000-0000-0000BF850000}"/>
    <cellStyle name="Normal 5 17 12 14" xfId="34240" xr:uid="{00000000-0005-0000-0000-0000C0850000}"/>
    <cellStyle name="Normal 5 17 12 2" xfId="34241" xr:uid="{00000000-0005-0000-0000-0000C1850000}"/>
    <cellStyle name="Normal 5 17 12 2 10" xfId="34242" xr:uid="{00000000-0005-0000-0000-0000C2850000}"/>
    <cellStyle name="Normal 5 17 12 2 2" xfId="34243" xr:uid="{00000000-0005-0000-0000-0000C3850000}"/>
    <cellStyle name="Normal 5 17 12 2 3" xfId="34244" xr:uid="{00000000-0005-0000-0000-0000C4850000}"/>
    <cellStyle name="Normal 5 17 12 2 4" xfId="34245" xr:uid="{00000000-0005-0000-0000-0000C5850000}"/>
    <cellStyle name="Normal 5 17 12 2 5" xfId="34246" xr:uid="{00000000-0005-0000-0000-0000C6850000}"/>
    <cellStyle name="Normal 5 17 12 2 6" xfId="34247" xr:uid="{00000000-0005-0000-0000-0000C7850000}"/>
    <cellStyle name="Normal 5 17 12 2 7" xfId="34248" xr:uid="{00000000-0005-0000-0000-0000C8850000}"/>
    <cellStyle name="Normal 5 17 12 2 8" xfId="34249" xr:uid="{00000000-0005-0000-0000-0000C9850000}"/>
    <cellStyle name="Normal 5 17 12 2 9" xfId="34250" xr:uid="{00000000-0005-0000-0000-0000CA850000}"/>
    <cellStyle name="Normal 5 17 12 3" xfId="34251" xr:uid="{00000000-0005-0000-0000-0000CB850000}"/>
    <cellStyle name="Normal 5 17 12 3 10" xfId="34252" xr:uid="{00000000-0005-0000-0000-0000CC850000}"/>
    <cellStyle name="Normal 5 17 12 3 2" xfId="34253" xr:uid="{00000000-0005-0000-0000-0000CD850000}"/>
    <cellStyle name="Normal 5 17 12 3 3" xfId="34254" xr:uid="{00000000-0005-0000-0000-0000CE850000}"/>
    <cellStyle name="Normal 5 17 12 3 4" xfId="34255" xr:uid="{00000000-0005-0000-0000-0000CF850000}"/>
    <cellStyle name="Normal 5 17 12 3 5" xfId="34256" xr:uid="{00000000-0005-0000-0000-0000D0850000}"/>
    <cellStyle name="Normal 5 17 12 3 6" xfId="34257" xr:uid="{00000000-0005-0000-0000-0000D1850000}"/>
    <cellStyle name="Normal 5 17 12 3 7" xfId="34258" xr:uid="{00000000-0005-0000-0000-0000D2850000}"/>
    <cellStyle name="Normal 5 17 12 3 8" xfId="34259" xr:uid="{00000000-0005-0000-0000-0000D3850000}"/>
    <cellStyle name="Normal 5 17 12 3 9" xfId="34260" xr:uid="{00000000-0005-0000-0000-0000D4850000}"/>
    <cellStyle name="Normal 5 17 12 4" xfId="34261" xr:uid="{00000000-0005-0000-0000-0000D5850000}"/>
    <cellStyle name="Normal 5 17 12 4 10" xfId="34262" xr:uid="{00000000-0005-0000-0000-0000D6850000}"/>
    <cellStyle name="Normal 5 17 12 4 2" xfId="34263" xr:uid="{00000000-0005-0000-0000-0000D7850000}"/>
    <cellStyle name="Normal 5 17 12 4 3" xfId="34264" xr:uid="{00000000-0005-0000-0000-0000D8850000}"/>
    <cellStyle name="Normal 5 17 12 4 4" xfId="34265" xr:uid="{00000000-0005-0000-0000-0000D9850000}"/>
    <cellStyle name="Normal 5 17 12 4 5" xfId="34266" xr:uid="{00000000-0005-0000-0000-0000DA850000}"/>
    <cellStyle name="Normal 5 17 12 4 6" xfId="34267" xr:uid="{00000000-0005-0000-0000-0000DB850000}"/>
    <cellStyle name="Normal 5 17 12 4 7" xfId="34268" xr:uid="{00000000-0005-0000-0000-0000DC850000}"/>
    <cellStyle name="Normal 5 17 12 4 8" xfId="34269" xr:uid="{00000000-0005-0000-0000-0000DD850000}"/>
    <cellStyle name="Normal 5 17 12 4 9" xfId="34270" xr:uid="{00000000-0005-0000-0000-0000DE850000}"/>
    <cellStyle name="Normal 5 17 12 5" xfId="34271" xr:uid="{00000000-0005-0000-0000-0000DF850000}"/>
    <cellStyle name="Normal 5 17 12 5 10" xfId="34272" xr:uid="{00000000-0005-0000-0000-0000E0850000}"/>
    <cellStyle name="Normal 5 17 12 5 2" xfId="34273" xr:uid="{00000000-0005-0000-0000-0000E1850000}"/>
    <cellStyle name="Normal 5 17 12 5 3" xfId="34274" xr:uid="{00000000-0005-0000-0000-0000E2850000}"/>
    <cellStyle name="Normal 5 17 12 5 4" xfId="34275" xr:uid="{00000000-0005-0000-0000-0000E3850000}"/>
    <cellStyle name="Normal 5 17 12 5 5" xfId="34276" xr:uid="{00000000-0005-0000-0000-0000E4850000}"/>
    <cellStyle name="Normal 5 17 12 5 6" xfId="34277" xr:uid="{00000000-0005-0000-0000-0000E5850000}"/>
    <cellStyle name="Normal 5 17 12 5 7" xfId="34278" xr:uid="{00000000-0005-0000-0000-0000E6850000}"/>
    <cellStyle name="Normal 5 17 12 5 8" xfId="34279" xr:uid="{00000000-0005-0000-0000-0000E7850000}"/>
    <cellStyle name="Normal 5 17 12 5 9" xfId="34280" xr:uid="{00000000-0005-0000-0000-0000E8850000}"/>
    <cellStyle name="Normal 5 17 12 6" xfId="34281" xr:uid="{00000000-0005-0000-0000-0000E9850000}"/>
    <cellStyle name="Normal 5 17 12 7" xfId="34282" xr:uid="{00000000-0005-0000-0000-0000EA850000}"/>
    <cellStyle name="Normal 5 17 12 8" xfId="34283" xr:uid="{00000000-0005-0000-0000-0000EB850000}"/>
    <cellStyle name="Normal 5 17 12 9" xfId="34284" xr:uid="{00000000-0005-0000-0000-0000EC850000}"/>
    <cellStyle name="Normal 5 17 13" xfId="34285" xr:uid="{00000000-0005-0000-0000-0000ED850000}"/>
    <cellStyle name="Normal 5 17 13 10" xfId="34286" xr:uid="{00000000-0005-0000-0000-0000EE850000}"/>
    <cellStyle name="Normal 5 17 13 11" xfId="34287" xr:uid="{00000000-0005-0000-0000-0000EF850000}"/>
    <cellStyle name="Normal 5 17 13 12" xfId="34288" xr:uid="{00000000-0005-0000-0000-0000F0850000}"/>
    <cellStyle name="Normal 5 17 13 13" xfId="34289" xr:uid="{00000000-0005-0000-0000-0000F1850000}"/>
    <cellStyle name="Normal 5 17 13 14" xfId="34290" xr:uid="{00000000-0005-0000-0000-0000F2850000}"/>
    <cellStyle name="Normal 5 17 13 2" xfId="34291" xr:uid="{00000000-0005-0000-0000-0000F3850000}"/>
    <cellStyle name="Normal 5 17 13 2 10" xfId="34292" xr:uid="{00000000-0005-0000-0000-0000F4850000}"/>
    <cellStyle name="Normal 5 17 13 2 2" xfId="34293" xr:uid="{00000000-0005-0000-0000-0000F5850000}"/>
    <cellStyle name="Normal 5 17 13 2 3" xfId="34294" xr:uid="{00000000-0005-0000-0000-0000F6850000}"/>
    <cellStyle name="Normal 5 17 13 2 4" xfId="34295" xr:uid="{00000000-0005-0000-0000-0000F7850000}"/>
    <cellStyle name="Normal 5 17 13 2 5" xfId="34296" xr:uid="{00000000-0005-0000-0000-0000F8850000}"/>
    <cellStyle name="Normal 5 17 13 2 6" xfId="34297" xr:uid="{00000000-0005-0000-0000-0000F9850000}"/>
    <cellStyle name="Normal 5 17 13 2 7" xfId="34298" xr:uid="{00000000-0005-0000-0000-0000FA850000}"/>
    <cellStyle name="Normal 5 17 13 2 8" xfId="34299" xr:uid="{00000000-0005-0000-0000-0000FB850000}"/>
    <cellStyle name="Normal 5 17 13 2 9" xfId="34300" xr:uid="{00000000-0005-0000-0000-0000FC850000}"/>
    <cellStyle name="Normal 5 17 13 3" xfId="34301" xr:uid="{00000000-0005-0000-0000-0000FD850000}"/>
    <cellStyle name="Normal 5 17 13 3 10" xfId="34302" xr:uid="{00000000-0005-0000-0000-0000FE850000}"/>
    <cellStyle name="Normal 5 17 13 3 2" xfId="34303" xr:uid="{00000000-0005-0000-0000-0000FF850000}"/>
    <cellStyle name="Normal 5 17 13 3 3" xfId="34304" xr:uid="{00000000-0005-0000-0000-000000860000}"/>
    <cellStyle name="Normal 5 17 13 3 4" xfId="34305" xr:uid="{00000000-0005-0000-0000-000001860000}"/>
    <cellStyle name="Normal 5 17 13 3 5" xfId="34306" xr:uid="{00000000-0005-0000-0000-000002860000}"/>
    <cellStyle name="Normal 5 17 13 3 6" xfId="34307" xr:uid="{00000000-0005-0000-0000-000003860000}"/>
    <cellStyle name="Normal 5 17 13 3 7" xfId="34308" xr:uid="{00000000-0005-0000-0000-000004860000}"/>
    <cellStyle name="Normal 5 17 13 3 8" xfId="34309" xr:uid="{00000000-0005-0000-0000-000005860000}"/>
    <cellStyle name="Normal 5 17 13 3 9" xfId="34310" xr:uid="{00000000-0005-0000-0000-000006860000}"/>
    <cellStyle name="Normal 5 17 13 4" xfId="34311" xr:uid="{00000000-0005-0000-0000-000007860000}"/>
    <cellStyle name="Normal 5 17 13 4 10" xfId="34312" xr:uid="{00000000-0005-0000-0000-000008860000}"/>
    <cellStyle name="Normal 5 17 13 4 2" xfId="34313" xr:uid="{00000000-0005-0000-0000-000009860000}"/>
    <cellStyle name="Normal 5 17 13 4 3" xfId="34314" xr:uid="{00000000-0005-0000-0000-00000A860000}"/>
    <cellStyle name="Normal 5 17 13 4 4" xfId="34315" xr:uid="{00000000-0005-0000-0000-00000B860000}"/>
    <cellStyle name="Normal 5 17 13 4 5" xfId="34316" xr:uid="{00000000-0005-0000-0000-00000C860000}"/>
    <cellStyle name="Normal 5 17 13 4 6" xfId="34317" xr:uid="{00000000-0005-0000-0000-00000D860000}"/>
    <cellStyle name="Normal 5 17 13 4 7" xfId="34318" xr:uid="{00000000-0005-0000-0000-00000E860000}"/>
    <cellStyle name="Normal 5 17 13 4 8" xfId="34319" xr:uid="{00000000-0005-0000-0000-00000F860000}"/>
    <cellStyle name="Normal 5 17 13 4 9" xfId="34320" xr:uid="{00000000-0005-0000-0000-000010860000}"/>
    <cellStyle name="Normal 5 17 13 5" xfId="34321" xr:uid="{00000000-0005-0000-0000-000011860000}"/>
    <cellStyle name="Normal 5 17 13 5 10" xfId="34322" xr:uid="{00000000-0005-0000-0000-000012860000}"/>
    <cellStyle name="Normal 5 17 13 5 2" xfId="34323" xr:uid="{00000000-0005-0000-0000-000013860000}"/>
    <cellStyle name="Normal 5 17 13 5 3" xfId="34324" xr:uid="{00000000-0005-0000-0000-000014860000}"/>
    <cellStyle name="Normal 5 17 13 5 4" xfId="34325" xr:uid="{00000000-0005-0000-0000-000015860000}"/>
    <cellStyle name="Normal 5 17 13 5 5" xfId="34326" xr:uid="{00000000-0005-0000-0000-000016860000}"/>
    <cellStyle name="Normal 5 17 13 5 6" xfId="34327" xr:uid="{00000000-0005-0000-0000-000017860000}"/>
    <cellStyle name="Normal 5 17 13 5 7" xfId="34328" xr:uid="{00000000-0005-0000-0000-000018860000}"/>
    <cellStyle name="Normal 5 17 13 5 8" xfId="34329" xr:uid="{00000000-0005-0000-0000-000019860000}"/>
    <cellStyle name="Normal 5 17 13 5 9" xfId="34330" xr:uid="{00000000-0005-0000-0000-00001A860000}"/>
    <cellStyle name="Normal 5 17 13 6" xfId="34331" xr:uid="{00000000-0005-0000-0000-00001B860000}"/>
    <cellStyle name="Normal 5 17 13 7" xfId="34332" xr:uid="{00000000-0005-0000-0000-00001C860000}"/>
    <cellStyle name="Normal 5 17 13 8" xfId="34333" xr:uid="{00000000-0005-0000-0000-00001D860000}"/>
    <cellStyle name="Normal 5 17 13 9" xfId="34334" xr:uid="{00000000-0005-0000-0000-00001E860000}"/>
    <cellStyle name="Normal 5 17 14" xfId="34335" xr:uid="{00000000-0005-0000-0000-00001F860000}"/>
    <cellStyle name="Normal 5 17 14 10" xfId="34336" xr:uid="{00000000-0005-0000-0000-000020860000}"/>
    <cellStyle name="Normal 5 17 14 11" xfId="34337" xr:uid="{00000000-0005-0000-0000-000021860000}"/>
    <cellStyle name="Normal 5 17 14 12" xfId="34338" xr:uid="{00000000-0005-0000-0000-000022860000}"/>
    <cellStyle name="Normal 5 17 14 13" xfId="34339" xr:uid="{00000000-0005-0000-0000-000023860000}"/>
    <cellStyle name="Normal 5 17 14 14" xfId="34340" xr:uid="{00000000-0005-0000-0000-000024860000}"/>
    <cellStyle name="Normal 5 17 14 2" xfId="34341" xr:uid="{00000000-0005-0000-0000-000025860000}"/>
    <cellStyle name="Normal 5 17 14 2 10" xfId="34342" xr:uid="{00000000-0005-0000-0000-000026860000}"/>
    <cellStyle name="Normal 5 17 14 2 2" xfId="34343" xr:uid="{00000000-0005-0000-0000-000027860000}"/>
    <cellStyle name="Normal 5 17 14 2 3" xfId="34344" xr:uid="{00000000-0005-0000-0000-000028860000}"/>
    <cellStyle name="Normal 5 17 14 2 4" xfId="34345" xr:uid="{00000000-0005-0000-0000-000029860000}"/>
    <cellStyle name="Normal 5 17 14 2 5" xfId="34346" xr:uid="{00000000-0005-0000-0000-00002A860000}"/>
    <cellStyle name="Normal 5 17 14 2 6" xfId="34347" xr:uid="{00000000-0005-0000-0000-00002B860000}"/>
    <cellStyle name="Normal 5 17 14 2 7" xfId="34348" xr:uid="{00000000-0005-0000-0000-00002C860000}"/>
    <cellStyle name="Normal 5 17 14 2 8" xfId="34349" xr:uid="{00000000-0005-0000-0000-00002D860000}"/>
    <cellStyle name="Normal 5 17 14 2 9" xfId="34350" xr:uid="{00000000-0005-0000-0000-00002E860000}"/>
    <cellStyle name="Normal 5 17 14 3" xfId="34351" xr:uid="{00000000-0005-0000-0000-00002F860000}"/>
    <cellStyle name="Normal 5 17 14 3 10" xfId="34352" xr:uid="{00000000-0005-0000-0000-000030860000}"/>
    <cellStyle name="Normal 5 17 14 3 2" xfId="34353" xr:uid="{00000000-0005-0000-0000-000031860000}"/>
    <cellStyle name="Normal 5 17 14 3 3" xfId="34354" xr:uid="{00000000-0005-0000-0000-000032860000}"/>
    <cellStyle name="Normal 5 17 14 3 4" xfId="34355" xr:uid="{00000000-0005-0000-0000-000033860000}"/>
    <cellStyle name="Normal 5 17 14 3 5" xfId="34356" xr:uid="{00000000-0005-0000-0000-000034860000}"/>
    <cellStyle name="Normal 5 17 14 3 6" xfId="34357" xr:uid="{00000000-0005-0000-0000-000035860000}"/>
    <cellStyle name="Normal 5 17 14 3 7" xfId="34358" xr:uid="{00000000-0005-0000-0000-000036860000}"/>
    <cellStyle name="Normal 5 17 14 3 8" xfId="34359" xr:uid="{00000000-0005-0000-0000-000037860000}"/>
    <cellStyle name="Normal 5 17 14 3 9" xfId="34360" xr:uid="{00000000-0005-0000-0000-000038860000}"/>
    <cellStyle name="Normal 5 17 14 4" xfId="34361" xr:uid="{00000000-0005-0000-0000-000039860000}"/>
    <cellStyle name="Normal 5 17 14 4 10" xfId="34362" xr:uid="{00000000-0005-0000-0000-00003A860000}"/>
    <cellStyle name="Normal 5 17 14 4 2" xfId="34363" xr:uid="{00000000-0005-0000-0000-00003B860000}"/>
    <cellStyle name="Normal 5 17 14 4 3" xfId="34364" xr:uid="{00000000-0005-0000-0000-00003C860000}"/>
    <cellStyle name="Normal 5 17 14 4 4" xfId="34365" xr:uid="{00000000-0005-0000-0000-00003D860000}"/>
    <cellStyle name="Normal 5 17 14 4 5" xfId="34366" xr:uid="{00000000-0005-0000-0000-00003E860000}"/>
    <cellStyle name="Normal 5 17 14 4 6" xfId="34367" xr:uid="{00000000-0005-0000-0000-00003F860000}"/>
    <cellStyle name="Normal 5 17 14 4 7" xfId="34368" xr:uid="{00000000-0005-0000-0000-000040860000}"/>
    <cellStyle name="Normal 5 17 14 4 8" xfId="34369" xr:uid="{00000000-0005-0000-0000-000041860000}"/>
    <cellStyle name="Normal 5 17 14 4 9" xfId="34370" xr:uid="{00000000-0005-0000-0000-000042860000}"/>
    <cellStyle name="Normal 5 17 14 5" xfId="34371" xr:uid="{00000000-0005-0000-0000-000043860000}"/>
    <cellStyle name="Normal 5 17 14 5 10" xfId="34372" xr:uid="{00000000-0005-0000-0000-000044860000}"/>
    <cellStyle name="Normal 5 17 14 5 2" xfId="34373" xr:uid="{00000000-0005-0000-0000-000045860000}"/>
    <cellStyle name="Normal 5 17 14 5 3" xfId="34374" xr:uid="{00000000-0005-0000-0000-000046860000}"/>
    <cellStyle name="Normal 5 17 14 5 4" xfId="34375" xr:uid="{00000000-0005-0000-0000-000047860000}"/>
    <cellStyle name="Normal 5 17 14 5 5" xfId="34376" xr:uid="{00000000-0005-0000-0000-000048860000}"/>
    <cellStyle name="Normal 5 17 14 5 6" xfId="34377" xr:uid="{00000000-0005-0000-0000-000049860000}"/>
    <cellStyle name="Normal 5 17 14 5 7" xfId="34378" xr:uid="{00000000-0005-0000-0000-00004A860000}"/>
    <cellStyle name="Normal 5 17 14 5 8" xfId="34379" xr:uid="{00000000-0005-0000-0000-00004B860000}"/>
    <cellStyle name="Normal 5 17 14 5 9" xfId="34380" xr:uid="{00000000-0005-0000-0000-00004C860000}"/>
    <cellStyle name="Normal 5 17 14 6" xfId="34381" xr:uid="{00000000-0005-0000-0000-00004D860000}"/>
    <cellStyle name="Normal 5 17 14 7" xfId="34382" xr:uid="{00000000-0005-0000-0000-00004E860000}"/>
    <cellStyle name="Normal 5 17 14 8" xfId="34383" xr:uid="{00000000-0005-0000-0000-00004F860000}"/>
    <cellStyle name="Normal 5 17 14 9" xfId="34384" xr:uid="{00000000-0005-0000-0000-000050860000}"/>
    <cellStyle name="Normal 5 17 15" xfId="34385" xr:uid="{00000000-0005-0000-0000-000051860000}"/>
    <cellStyle name="Normal 5 17 15 10" xfId="34386" xr:uid="{00000000-0005-0000-0000-000052860000}"/>
    <cellStyle name="Normal 5 17 15 11" xfId="34387" xr:uid="{00000000-0005-0000-0000-000053860000}"/>
    <cellStyle name="Normal 5 17 15 12" xfId="34388" xr:uid="{00000000-0005-0000-0000-000054860000}"/>
    <cellStyle name="Normal 5 17 15 13" xfId="34389" xr:uid="{00000000-0005-0000-0000-000055860000}"/>
    <cellStyle name="Normal 5 17 15 14" xfId="34390" xr:uid="{00000000-0005-0000-0000-000056860000}"/>
    <cellStyle name="Normal 5 17 15 2" xfId="34391" xr:uid="{00000000-0005-0000-0000-000057860000}"/>
    <cellStyle name="Normal 5 17 15 2 10" xfId="34392" xr:uid="{00000000-0005-0000-0000-000058860000}"/>
    <cellStyle name="Normal 5 17 15 2 2" xfId="34393" xr:uid="{00000000-0005-0000-0000-000059860000}"/>
    <cellStyle name="Normal 5 17 15 2 3" xfId="34394" xr:uid="{00000000-0005-0000-0000-00005A860000}"/>
    <cellStyle name="Normal 5 17 15 2 4" xfId="34395" xr:uid="{00000000-0005-0000-0000-00005B860000}"/>
    <cellStyle name="Normal 5 17 15 2 5" xfId="34396" xr:uid="{00000000-0005-0000-0000-00005C860000}"/>
    <cellStyle name="Normal 5 17 15 2 6" xfId="34397" xr:uid="{00000000-0005-0000-0000-00005D860000}"/>
    <cellStyle name="Normal 5 17 15 2 7" xfId="34398" xr:uid="{00000000-0005-0000-0000-00005E860000}"/>
    <cellStyle name="Normal 5 17 15 2 8" xfId="34399" xr:uid="{00000000-0005-0000-0000-00005F860000}"/>
    <cellStyle name="Normal 5 17 15 2 9" xfId="34400" xr:uid="{00000000-0005-0000-0000-000060860000}"/>
    <cellStyle name="Normal 5 17 15 3" xfId="34401" xr:uid="{00000000-0005-0000-0000-000061860000}"/>
    <cellStyle name="Normal 5 17 15 3 10" xfId="34402" xr:uid="{00000000-0005-0000-0000-000062860000}"/>
    <cellStyle name="Normal 5 17 15 3 2" xfId="34403" xr:uid="{00000000-0005-0000-0000-000063860000}"/>
    <cellStyle name="Normal 5 17 15 3 3" xfId="34404" xr:uid="{00000000-0005-0000-0000-000064860000}"/>
    <cellStyle name="Normal 5 17 15 3 4" xfId="34405" xr:uid="{00000000-0005-0000-0000-000065860000}"/>
    <cellStyle name="Normal 5 17 15 3 5" xfId="34406" xr:uid="{00000000-0005-0000-0000-000066860000}"/>
    <cellStyle name="Normal 5 17 15 3 6" xfId="34407" xr:uid="{00000000-0005-0000-0000-000067860000}"/>
    <cellStyle name="Normal 5 17 15 3 7" xfId="34408" xr:uid="{00000000-0005-0000-0000-000068860000}"/>
    <cellStyle name="Normal 5 17 15 3 8" xfId="34409" xr:uid="{00000000-0005-0000-0000-000069860000}"/>
    <cellStyle name="Normal 5 17 15 3 9" xfId="34410" xr:uid="{00000000-0005-0000-0000-00006A860000}"/>
    <cellStyle name="Normal 5 17 15 4" xfId="34411" xr:uid="{00000000-0005-0000-0000-00006B860000}"/>
    <cellStyle name="Normal 5 17 15 4 10" xfId="34412" xr:uid="{00000000-0005-0000-0000-00006C860000}"/>
    <cellStyle name="Normal 5 17 15 4 2" xfId="34413" xr:uid="{00000000-0005-0000-0000-00006D860000}"/>
    <cellStyle name="Normal 5 17 15 4 3" xfId="34414" xr:uid="{00000000-0005-0000-0000-00006E860000}"/>
    <cellStyle name="Normal 5 17 15 4 4" xfId="34415" xr:uid="{00000000-0005-0000-0000-00006F860000}"/>
    <cellStyle name="Normal 5 17 15 4 5" xfId="34416" xr:uid="{00000000-0005-0000-0000-000070860000}"/>
    <cellStyle name="Normal 5 17 15 4 6" xfId="34417" xr:uid="{00000000-0005-0000-0000-000071860000}"/>
    <cellStyle name="Normal 5 17 15 4 7" xfId="34418" xr:uid="{00000000-0005-0000-0000-000072860000}"/>
    <cellStyle name="Normal 5 17 15 4 8" xfId="34419" xr:uid="{00000000-0005-0000-0000-000073860000}"/>
    <cellStyle name="Normal 5 17 15 4 9" xfId="34420" xr:uid="{00000000-0005-0000-0000-000074860000}"/>
    <cellStyle name="Normal 5 17 15 5" xfId="34421" xr:uid="{00000000-0005-0000-0000-000075860000}"/>
    <cellStyle name="Normal 5 17 15 5 10" xfId="34422" xr:uid="{00000000-0005-0000-0000-000076860000}"/>
    <cellStyle name="Normal 5 17 15 5 2" xfId="34423" xr:uid="{00000000-0005-0000-0000-000077860000}"/>
    <cellStyle name="Normal 5 17 15 5 3" xfId="34424" xr:uid="{00000000-0005-0000-0000-000078860000}"/>
    <cellStyle name="Normal 5 17 15 5 4" xfId="34425" xr:uid="{00000000-0005-0000-0000-000079860000}"/>
    <cellStyle name="Normal 5 17 15 5 5" xfId="34426" xr:uid="{00000000-0005-0000-0000-00007A860000}"/>
    <cellStyle name="Normal 5 17 15 5 6" xfId="34427" xr:uid="{00000000-0005-0000-0000-00007B860000}"/>
    <cellStyle name="Normal 5 17 15 5 7" xfId="34428" xr:uid="{00000000-0005-0000-0000-00007C860000}"/>
    <cellStyle name="Normal 5 17 15 5 8" xfId="34429" xr:uid="{00000000-0005-0000-0000-00007D860000}"/>
    <cellStyle name="Normal 5 17 15 5 9" xfId="34430" xr:uid="{00000000-0005-0000-0000-00007E860000}"/>
    <cellStyle name="Normal 5 17 15 6" xfId="34431" xr:uid="{00000000-0005-0000-0000-00007F860000}"/>
    <cellStyle name="Normal 5 17 15 7" xfId="34432" xr:uid="{00000000-0005-0000-0000-000080860000}"/>
    <cellStyle name="Normal 5 17 15 8" xfId="34433" xr:uid="{00000000-0005-0000-0000-000081860000}"/>
    <cellStyle name="Normal 5 17 15 9" xfId="34434" xr:uid="{00000000-0005-0000-0000-000082860000}"/>
    <cellStyle name="Normal 5 17 16" xfId="34435" xr:uid="{00000000-0005-0000-0000-000083860000}"/>
    <cellStyle name="Normal 5 17 16 10" xfId="34436" xr:uid="{00000000-0005-0000-0000-000084860000}"/>
    <cellStyle name="Normal 5 17 16 11" xfId="34437" xr:uid="{00000000-0005-0000-0000-000085860000}"/>
    <cellStyle name="Normal 5 17 16 12" xfId="34438" xr:uid="{00000000-0005-0000-0000-000086860000}"/>
    <cellStyle name="Normal 5 17 16 13" xfId="34439" xr:uid="{00000000-0005-0000-0000-000087860000}"/>
    <cellStyle name="Normal 5 17 16 14" xfId="34440" xr:uid="{00000000-0005-0000-0000-000088860000}"/>
    <cellStyle name="Normal 5 17 16 2" xfId="34441" xr:uid="{00000000-0005-0000-0000-000089860000}"/>
    <cellStyle name="Normal 5 17 16 2 10" xfId="34442" xr:uid="{00000000-0005-0000-0000-00008A860000}"/>
    <cellStyle name="Normal 5 17 16 2 2" xfId="34443" xr:uid="{00000000-0005-0000-0000-00008B860000}"/>
    <cellStyle name="Normal 5 17 16 2 3" xfId="34444" xr:uid="{00000000-0005-0000-0000-00008C860000}"/>
    <cellStyle name="Normal 5 17 16 2 4" xfId="34445" xr:uid="{00000000-0005-0000-0000-00008D860000}"/>
    <cellStyle name="Normal 5 17 16 2 5" xfId="34446" xr:uid="{00000000-0005-0000-0000-00008E860000}"/>
    <cellStyle name="Normal 5 17 16 2 6" xfId="34447" xr:uid="{00000000-0005-0000-0000-00008F860000}"/>
    <cellStyle name="Normal 5 17 16 2 7" xfId="34448" xr:uid="{00000000-0005-0000-0000-000090860000}"/>
    <cellStyle name="Normal 5 17 16 2 8" xfId="34449" xr:uid="{00000000-0005-0000-0000-000091860000}"/>
    <cellStyle name="Normal 5 17 16 2 9" xfId="34450" xr:uid="{00000000-0005-0000-0000-000092860000}"/>
    <cellStyle name="Normal 5 17 16 3" xfId="34451" xr:uid="{00000000-0005-0000-0000-000093860000}"/>
    <cellStyle name="Normal 5 17 16 3 10" xfId="34452" xr:uid="{00000000-0005-0000-0000-000094860000}"/>
    <cellStyle name="Normal 5 17 16 3 2" xfId="34453" xr:uid="{00000000-0005-0000-0000-000095860000}"/>
    <cellStyle name="Normal 5 17 16 3 3" xfId="34454" xr:uid="{00000000-0005-0000-0000-000096860000}"/>
    <cellStyle name="Normal 5 17 16 3 4" xfId="34455" xr:uid="{00000000-0005-0000-0000-000097860000}"/>
    <cellStyle name="Normal 5 17 16 3 5" xfId="34456" xr:uid="{00000000-0005-0000-0000-000098860000}"/>
    <cellStyle name="Normal 5 17 16 3 6" xfId="34457" xr:uid="{00000000-0005-0000-0000-000099860000}"/>
    <cellStyle name="Normal 5 17 16 3 7" xfId="34458" xr:uid="{00000000-0005-0000-0000-00009A860000}"/>
    <cellStyle name="Normal 5 17 16 3 8" xfId="34459" xr:uid="{00000000-0005-0000-0000-00009B860000}"/>
    <cellStyle name="Normal 5 17 16 3 9" xfId="34460" xr:uid="{00000000-0005-0000-0000-00009C860000}"/>
    <cellStyle name="Normal 5 17 16 4" xfId="34461" xr:uid="{00000000-0005-0000-0000-00009D860000}"/>
    <cellStyle name="Normal 5 17 16 4 10" xfId="34462" xr:uid="{00000000-0005-0000-0000-00009E860000}"/>
    <cellStyle name="Normal 5 17 16 4 2" xfId="34463" xr:uid="{00000000-0005-0000-0000-00009F860000}"/>
    <cellStyle name="Normal 5 17 16 4 3" xfId="34464" xr:uid="{00000000-0005-0000-0000-0000A0860000}"/>
    <cellStyle name="Normal 5 17 16 4 4" xfId="34465" xr:uid="{00000000-0005-0000-0000-0000A1860000}"/>
    <cellStyle name="Normal 5 17 16 4 5" xfId="34466" xr:uid="{00000000-0005-0000-0000-0000A2860000}"/>
    <cellStyle name="Normal 5 17 16 4 6" xfId="34467" xr:uid="{00000000-0005-0000-0000-0000A3860000}"/>
    <cellStyle name="Normal 5 17 16 4 7" xfId="34468" xr:uid="{00000000-0005-0000-0000-0000A4860000}"/>
    <cellStyle name="Normal 5 17 16 4 8" xfId="34469" xr:uid="{00000000-0005-0000-0000-0000A5860000}"/>
    <cellStyle name="Normal 5 17 16 4 9" xfId="34470" xr:uid="{00000000-0005-0000-0000-0000A6860000}"/>
    <cellStyle name="Normal 5 17 16 5" xfId="34471" xr:uid="{00000000-0005-0000-0000-0000A7860000}"/>
    <cellStyle name="Normal 5 17 16 5 10" xfId="34472" xr:uid="{00000000-0005-0000-0000-0000A8860000}"/>
    <cellStyle name="Normal 5 17 16 5 2" xfId="34473" xr:uid="{00000000-0005-0000-0000-0000A9860000}"/>
    <cellStyle name="Normal 5 17 16 5 3" xfId="34474" xr:uid="{00000000-0005-0000-0000-0000AA860000}"/>
    <cellStyle name="Normal 5 17 16 5 4" xfId="34475" xr:uid="{00000000-0005-0000-0000-0000AB860000}"/>
    <cellStyle name="Normal 5 17 16 5 5" xfId="34476" xr:uid="{00000000-0005-0000-0000-0000AC860000}"/>
    <cellStyle name="Normal 5 17 16 5 6" xfId="34477" xr:uid="{00000000-0005-0000-0000-0000AD860000}"/>
    <cellStyle name="Normal 5 17 16 5 7" xfId="34478" xr:uid="{00000000-0005-0000-0000-0000AE860000}"/>
    <cellStyle name="Normal 5 17 16 5 8" xfId="34479" xr:uid="{00000000-0005-0000-0000-0000AF860000}"/>
    <cellStyle name="Normal 5 17 16 5 9" xfId="34480" xr:uid="{00000000-0005-0000-0000-0000B0860000}"/>
    <cellStyle name="Normal 5 17 16 6" xfId="34481" xr:uid="{00000000-0005-0000-0000-0000B1860000}"/>
    <cellStyle name="Normal 5 17 16 7" xfId="34482" xr:uid="{00000000-0005-0000-0000-0000B2860000}"/>
    <cellStyle name="Normal 5 17 16 8" xfId="34483" xr:uid="{00000000-0005-0000-0000-0000B3860000}"/>
    <cellStyle name="Normal 5 17 16 9" xfId="34484" xr:uid="{00000000-0005-0000-0000-0000B4860000}"/>
    <cellStyle name="Normal 5 17 17" xfId="34485" xr:uid="{00000000-0005-0000-0000-0000B5860000}"/>
    <cellStyle name="Normal 5 17 17 10" xfId="34486" xr:uid="{00000000-0005-0000-0000-0000B6860000}"/>
    <cellStyle name="Normal 5 17 17 11" xfId="34487" xr:uid="{00000000-0005-0000-0000-0000B7860000}"/>
    <cellStyle name="Normal 5 17 17 12" xfId="34488" xr:uid="{00000000-0005-0000-0000-0000B8860000}"/>
    <cellStyle name="Normal 5 17 17 13" xfId="34489" xr:uid="{00000000-0005-0000-0000-0000B9860000}"/>
    <cellStyle name="Normal 5 17 17 14" xfId="34490" xr:uid="{00000000-0005-0000-0000-0000BA860000}"/>
    <cellStyle name="Normal 5 17 17 2" xfId="34491" xr:uid="{00000000-0005-0000-0000-0000BB860000}"/>
    <cellStyle name="Normal 5 17 17 2 10" xfId="34492" xr:uid="{00000000-0005-0000-0000-0000BC860000}"/>
    <cellStyle name="Normal 5 17 17 2 2" xfId="34493" xr:uid="{00000000-0005-0000-0000-0000BD860000}"/>
    <cellStyle name="Normal 5 17 17 2 3" xfId="34494" xr:uid="{00000000-0005-0000-0000-0000BE860000}"/>
    <cellStyle name="Normal 5 17 17 2 4" xfId="34495" xr:uid="{00000000-0005-0000-0000-0000BF860000}"/>
    <cellStyle name="Normal 5 17 17 2 5" xfId="34496" xr:uid="{00000000-0005-0000-0000-0000C0860000}"/>
    <cellStyle name="Normal 5 17 17 2 6" xfId="34497" xr:uid="{00000000-0005-0000-0000-0000C1860000}"/>
    <cellStyle name="Normal 5 17 17 2 7" xfId="34498" xr:uid="{00000000-0005-0000-0000-0000C2860000}"/>
    <cellStyle name="Normal 5 17 17 2 8" xfId="34499" xr:uid="{00000000-0005-0000-0000-0000C3860000}"/>
    <cellStyle name="Normal 5 17 17 2 9" xfId="34500" xr:uid="{00000000-0005-0000-0000-0000C4860000}"/>
    <cellStyle name="Normal 5 17 17 3" xfId="34501" xr:uid="{00000000-0005-0000-0000-0000C5860000}"/>
    <cellStyle name="Normal 5 17 17 3 10" xfId="34502" xr:uid="{00000000-0005-0000-0000-0000C6860000}"/>
    <cellStyle name="Normal 5 17 17 3 2" xfId="34503" xr:uid="{00000000-0005-0000-0000-0000C7860000}"/>
    <cellStyle name="Normal 5 17 17 3 3" xfId="34504" xr:uid="{00000000-0005-0000-0000-0000C8860000}"/>
    <cellStyle name="Normal 5 17 17 3 4" xfId="34505" xr:uid="{00000000-0005-0000-0000-0000C9860000}"/>
    <cellStyle name="Normal 5 17 17 3 5" xfId="34506" xr:uid="{00000000-0005-0000-0000-0000CA860000}"/>
    <cellStyle name="Normal 5 17 17 3 6" xfId="34507" xr:uid="{00000000-0005-0000-0000-0000CB860000}"/>
    <cellStyle name="Normal 5 17 17 3 7" xfId="34508" xr:uid="{00000000-0005-0000-0000-0000CC860000}"/>
    <cellStyle name="Normal 5 17 17 3 8" xfId="34509" xr:uid="{00000000-0005-0000-0000-0000CD860000}"/>
    <cellStyle name="Normal 5 17 17 3 9" xfId="34510" xr:uid="{00000000-0005-0000-0000-0000CE860000}"/>
    <cellStyle name="Normal 5 17 17 4" xfId="34511" xr:uid="{00000000-0005-0000-0000-0000CF860000}"/>
    <cellStyle name="Normal 5 17 17 4 10" xfId="34512" xr:uid="{00000000-0005-0000-0000-0000D0860000}"/>
    <cellStyle name="Normal 5 17 17 4 2" xfId="34513" xr:uid="{00000000-0005-0000-0000-0000D1860000}"/>
    <cellStyle name="Normal 5 17 17 4 3" xfId="34514" xr:uid="{00000000-0005-0000-0000-0000D2860000}"/>
    <cellStyle name="Normal 5 17 17 4 4" xfId="34515" xr:uid="{00000000-0005-0000-0000-0000D3860000}"/>
    <cellStyle name="Normal 5 17 17 4 5" xfId="34516" xr:uid="{00000000-0005-0000-0000-0000D4860000}"/>
    <cellStyle name="Normal 5 17 17 4 6" xfId="34517" xr:uid="{00000000-0005-0000-0000-0000D5860000}"/>
    <cellStyle name="Normal 5 17 17 4 7" xfId="34518" xr:uid="{00000000-0005-0000-0000-0000D6860000}"/>
    <cellStyle name="Normal 5 17 17 4 8" xfId="34519" xr:uid="{00000000-0005-0000-0000-0000D7860000}"/>
    <cellStyle name="Normal 5 17 17 4 9" xfId="34520" xr:uid="{00000000-0005-0000-0000-0000D8860000}"/>
    <cellStyle name="Normal 5 17 17 5" xfId="34521" xr:uid="{00000000-0005-0000-0000-0000D9860000}"/>
    <cellStyle name="Normal 5 17 17 5 10" xfId="34522" xr:uid="{00000000-0005-0000-0000-0000DA860000}"/>
    <cellStyle name="Normal 5 17 17 5 2" xfId="34523" xr:uid="{00000000-0005-0000-0000-0000DB860000}"/>
    <cellStyle name="Normal 5 17 17 5 3" xfId="34524" xr:uid="{00000000-0005-0000-0000-0000DC860000}"/>
    <cellStyle name="Normal 5 17 17 5 4" xfId="34525" xr:uid="{00000000-0005-0000-0000-0000DD860000}"/>
    <cellStyle name="Normal 5 17 17 5 5" xfId="34526" xr:uid="{00000000-0005-0000-0000-0000DE860000}"/>
    <cellStyle name="Normal 5 17 17 5 6" xfId="34527" xr:uid="{00000000-0005-0000-0000-0000DF860000}"/>
    <cellStyle name="Normal 5 17 17 5 7" xfId="34528" xr:uid="{00000000-0005-0000-0000-0000E0860000}"/>
    <cellStyle name="Normal 5 17 17 5 8" xfId="34529" xr:uid="{00000000-0005-0000-0000-0000E1860000}"/>
    <cellStyle name="Normal 5 17 17 5 9" xfId="34530" xr:uid="{00000000-0005-0000-0000-0000E2860000}"/>
    <cellStyle name="Normal 5 17 17 6" xfId="34531" xr:uid="{00000000-0005-0000-0000-0000E3860000}"/>
    <cellStyle name="Normal 5 17 17 7" xfId="34532" xr:uid="{00000000-0005-0000-0000-0000E4860000}"/>
    <cellStyle name="Normal 5 17 17 8" xfId="34533" xr:uid="{00000000-0005-0000-0000-0000E5860000}"/>
    <cellStyle name="Normal 5 17 17 9" xfId="34534" xr:uid="{00000000-0005-0000-0000-0000E6860000}"/>
    <cellStyle name="Normal 5 17 18" xfId="34535" xr:uid="{00000000-0005-0000-0000-0000E7860000}"/>
    <cellStyle name="Normal 5 17 18 10" xfId="34536" xr:uid="{00000000-0005-0000-0000-0000E8860000}"/>
    <cellStyle name="Normal 5 17 18 11" xfId="34537" xr:uid="{00000000-0005-0000-0000-0000E9860000}"/>
    <cellStyle name="Normal 5 17 18 12" xfId="34538" xr:uid="{00000000-0005-0000-0000-0000EA860000}"/>
    <cellStyle name="Normal 5 17 18 13" xfId="34539" xr:uid="{00000000-0005-0000-0000-0000EB860000}"/>
    <cellStyle name="Normal 5 17 18 14" xfId="34540" xr:uid="{00000000-0005-0000-0000-0000EC860000}"/>
    <cellStyle name="Normal 5 17 18 2" xfId="34541" xr:uid="{00000000-0005-0000-0000-0000ED860000}"/>
    <cellStyle name="Normal 5 17 18 2 10" xfId="34542" xr:uid="{00000000-0005-0000-0000-0000EE860000}"/>
    <cellStyle name="Normal 5 17 18 2 2" xfId="34543" xr:uid="{00000000-0005-0000-0000-0000EF860000}"/>
    <cellStyle name="Normal 5 17 18 2 3" xfId="34544" xr:uid="{00000000-0005-0000-0000-0000F0860000}"/>
    <cellStyle name="Normal 5 17 18 2 4" xfId="34545" xr:uid="{00000000-0005-0000-0000-0000F1860000}"/>
    <cellStyle name="Normal 5 17 18 2 5" xfId="34546" xr:uid="{00000000-0005-0000-0000-0000F2860000}"/>
    <cellStyle name="Normal 5 17 18 2 6" xfId="34547" xr:uid="{00000000-0005-0000-0000-0000F3860000}"/>
    <cellStyle name="Normal 5 17 18 2 7" xfId="34548" xr:uid="{00000000-0005-0000-0000-0000F4860000}"/>
    <cellStyle name="Normal 5 17 18 2 8" xfId="34549" xr:uid="{00000000-0005-0000-0000-0000F5860000}"/>
    <cellStyle name="Normal 5 17 18 2 9" xfId="34550" xr:uid="{00000000-0005-0000-0000-0000F6860000}"/>
    <cellStyle name="Normal 5 17 18 3" xfId="34551" xr:uid="{00000000-0005-0000-0000-0000F7860000}"/>
    <cellStyle name="Normal 5 17 18 3 10" xfId="34552" xr:uid="{00000000-0005-0000-0000-0000F8860000}"/>
    <cellStyle name="Normal 5 17 18 3 2" xfId="34553" xr:uid="{00000000-0005-0000-0000-0000F9860000}"/>
    <cellStyle name="Normal 5 17 18 3 3" xfId="34554" xr:uid="{00000000-0005-0000-0000-0000FA860000}"/>
    <cellStyle name="Normal 5 17 18 3 4" xfId="34555" xr:uid="{00000000-0005-0000-0000-0000FB860000}"/>
    <cellStyle name="Normal 5 17 18 3 5" xfId="34556" xr:uid="{00000000-0005-0000-0000-0000FC860000}"/>
    <cellStyle name="Normal 5 17 18 3 6" xfId="34557" xr:uid="{00000000-0005-0000-0000-0000FD860000}"/>
    <cellStyle name="Normal 5 17 18 3 7" xfId="34558" xr:uid="{00000000-0005-0000-0000-0000FE860000}"/>
    <cellStyle name="Normal 5 17 18 3 8" xfId="34559" xr:uid="{00000000-0005-0000-0000-0000FF860000}"/>
    <cellStyle name="Normal 5 17 18 3 9" xfId="34560" xr:uid="{00000000-0005-0000-0000-000000870000}"/>
    <cellStyle name="Normal 5 17 18 4" xfId="34561" xr:uid="{00000000-0005-0000-0000-000001870000}"/>
    <cellStyle name="Normal 5 17 18 4 10" xfId="34562" xr:uid="{00000000-0005-0000-0000-000002870000}"/>
    <cellStyle name="Normal 5 17 18 4 2" xfId="34563" xr:uid="{00000000-0005-0000-0000-000003870000}"/>
    <cellStyle name="Normal 5 17 18 4 3" xfId="34564" xr:uid="{00000000-0005-0000-0000-000004870000}"/>
    <cellStyle name="Normal 5 17 18 4 4" xfId="34565" xr:uid="{00000000-0005-0000-0000-000005870000}"/>
    <cellStyle name="Normal 5 17 18 4 5" xfId="34566" xr:uid="{00000000-0005-0000-0000-000006870000}"/>
    <cellStyle name="Normal 5 17 18 4 6" xfId="34567" xr:uid="{00000000-0005-0000-0000-000007870000}"/>
    <cellStyle name="Normal 5 17 18 4 7" xfId="34568" xr:uid="{00000000-0005-0000-0000-000008870000}"/>
    <cellStyle name="Normal 5 17 18 4 8" xfId="34569" xr:uid="{00000000-0005-0000-0000-000009870000}"/>
    <cellStyle name="Normal 5 17 18 4 9" xfId="34570" xr:uid="{00000000-0005-0000-0000-00000A870000}"/>
    <cellStyle name="Normal 5 17 18 5" xfId="34571" xr:uid="{00000000-0005-0000-0000-00000B870000}"/>
    <cellStyle name="Normal 5 17 18 5 10" xfId="34572" xr:uid="{00000000-0005-0000-0000-00000C870000}"/>
    <cellStyle name="Normal 5 17 18 5 2" xfId="34573" xr:uid="{00000000-0005-0000-0000-00000D870000}"/>
    <cellStyle name="Normal 5 17 18 5 3" xfId="34574" xr:uid="{00000000-0005-0000-0000-00000E870000}"/>
    <cellStyle name="Normal 5 17 18 5 4" xfId="34575" xr:uid="{00000000-0005-0000-0000-00000F870000}"/>
    <cellStyle name="Normal 5 17 18 5 5" xfId="34576" xr:uid="{00000000-0005-0000-0000-000010870000}"/>
    <cellStyle name="Normal 5 17 18 5 6" xfId="34577" xr:uid="{00000000-0005-0000-0000-000011870000}"/>
    <cellStyle name="Normal 5 17 18 5 7" xfId="34578" xr:uid="{00000000-0005-0000-0000-000012870000}"/>
    <cellStyle name="Normal 5 17 18 5 8" xfId="34579" xr:uid="{00000000-0005-0000-0000-000013870000}"/>
    <cellStyle name="Normal 5 17 18 5 9" xfId="34580" xr:uid="{00000000-0005-0000-0000-000014870000}"/>
    <cellStyle name="Normal 5 17 18 6" xfId="34581" xr:uid="{00000000-0005-0000-0000-000015870000}"/>
    <cellStyle name="Normal 5 17 18 7" xfId="34582" xr:uid="{00000000-0005-0000-0000-000016870000}"/>
    <cellStyle name="Normal 5 17 18 8" xfId="34583" xr:uid="{00000000-0005-0000-0000-000017870000}"/>
    <cellStyle name="Normal 5 17 18 9" xfId="34584" xr:uid="{00000000-0005-0000-0000-000018870000}"/>
    <cellStyle name="Normal 5 17 19" xfId="34585" xr:uid="{00000000-0005-0000-0000-000019870000}"/>
    <cellStyle name="Normal 5 17 19 10" xfId="34586" xr:uid="{00000000-0005-0000-0000-00001A870000}"/>
    <cellStyle name="Normal 5 17 19 11" xfId="34587" xr:uid="{00000000-0005-0000-0000-00001B870000}"/>
    <cellStyle name="Normal 5 17 19 12" xfId="34588" xr:uid="{00000000-0005-0000-0000-00001C870000}"/>
    <cellStyle name="Normal 5 17 19 13" xfId="34589" xr:uid="{00000000-0005-0000-0000-00001D870000}"/>
    <cellStyle name="Normal 5 17 19 14" xfId="34590" xr:uid="{00000000-0005-0000-0000-00001E870000}"/>
    <cellStyle name="Normal 5 17 19 2" xfId="34591" xr:uid="{00000000-0005-0000-0000-00001F870000}"/>
    <cellStyle name="Normal 5 17 19 2 10" xfId="34592" xr:uid="{00000000-0005-0000-0000-000020870000}"/>
    <cellStyle name="Normal 5 17 19 2 2" xfId="34593" xr:uid="{00000000-0005-0000-0000-000021870000}"/>
    <cellStyle name="Normal 5 17 19 2 3" xfId="34594" xr:uid="{00000000-0005-0000-0000-000022870000}"/>
    <cellStyle name="Normal 5 17 19 2 4" xfId="34595" xr:uid="{00000000-0005-0000-0000-000023870000}"/>
    <cellStyle name="Normal 5 17 19 2 5" xfId="34596" xr:uid="{00000000-0005-0000-0000-000024870000}"/>
    <cellStyle name="Normal 5 17 19 2 6" xfId="34597" xr:uid="{00000000-0005-0000-0000-000025870000}"/>
    <cellStyle name="Normal 5 17 19 2 7" xfId="34598" xr:uid="{00000000-0005-0000-0000-000026870000}"/>
    <cellStyle name="Normal 5 17 19 2 8" xfId="34599" xr:uid="{00000000-0005-0000-0000-000027870000}"/>
    <cellStyle name="Normal 5 17 19 2 9" xfId="34600" xr:uid="{00000000-0005-0000-0000-000028870000}"/>
    <cellStyle name="Normal 5 17 19 3" xfId="34601" xr:uid="{00000000-0005-0000-0000-000029870000}"/>
    <cellStyle name="Normal 5 17 19 3 10" xfId="34602" xr:uid="{00000000-0005-0000-0000-00002A870000}"/>
    <cellStyle name="Normal 5 17 19 3 2" xfId="34603" xr:uid="{00000000-0005-0000-0000-00002B870000}"/>
    <cellStyle name="Normal 5 17 19 3 3" xfId="34604" xr:uid="{00000000-0005-0000-0000-00002C870000}"/>
    <cellStyle name="Normal 5 17 19 3 4" xfId="34605" xr:uid="{00000000-0005-0000-0000-00002D870000}"/>
    <cellStyle name="Normal 5 17 19 3 5" xfId="34606" xr:uid="{00000000-0005-0000-0000-00002E870000}"/>
    <cellStyle name="Normal 5 17 19 3 6" xfId="34607" xr:uid="{00000000-0005-0000-0000-00002F870000}"/>
    <cellStyle name="Normal 5 17 19 3 7" xfId="34608" xr:uid="{00000000-0005-0000-0000-000030870000}"/>
    <cellStyle name="Normal 5 17 19 3 8" xfId="34609" xr:uid="{00000000-0005-0000-0000-000031870000}"/>
    <cellStyle name="Normal 5 17 19 3 9" xfId="34610" xr:uid="{00000000-0005-0000-0000-000032870000}"/>
    <cellStyle name="Normal 5 17 19 4" xfId="34611" xr:uid="{00000000-0005-0000-0000-000033870000}"/>
    <cellStyle name="Normal 5 17 19 4 10" xfId="34612" xr:uid="{00000000-0005-0000-0000-000034870000}"/>
    <cellStyle name="Normal 5 17 19 4 2" xfId="34613" xr:uid="{00000000-0005-0000-0000-000035870000}"/>
    <cellStyle name="Normal 5 17 19 4 3" xfId="34614" xr:uid="{00000000-0005-0000-0000-000036870000}"/>
    <cellStyle name="Normal 5 17 19 4 4" xfId="34615" xr:uid="{00000000-0005-0000-0000-000037870000}"/>
    <cellStyle name="Normal 5 17 19 4 5" xfId="34616" xr:uid="{00000000-0005-0000-0000-000038870000}"/>
    <cellStyle name="Normal 5 17 19 4 6" xfId="34617" xr:uid="{00000000-0005-0000-0000-000039870000}"/>
    <cellStyle name="Normal 5 17 19 4 7" xfId="34618" xr:uid="{00000000-0005-0000-0000-00003A870000}"/>
    <cellStyle name="Normal 5 17 19 4 8" xfId="34619" xr:uid="{00000000-0005-0000-0000-00003B870000}"/>
    <cellStyle name="Normal 5 17 19 4 9" xfId="34620" xr:uid="{00000000-0005-0000-0000-00003C870000}"/>
    <cellStyle name="Normal 5 17 19 5" xfId="34621" xr:uid="{00000000-0005-0000-0000-00003D870000}"/>
    <cellStyle name="Normal 5 17 19 5 10" xfId="34622" xr:uid="{00000000-0005-0000-0000-00003E870000}"/>
    <cellStyle name="Normal 5 17 19 5 2" xfId="34623" xr:uid="{00000000-0005-0000-0000-00003F870000}"/>
    <cellStyle name="Normal 5 17 19 5 3" xfId="34624" xr:uid="{00000000-0005-0000-0000-000040870000}"/>
    <cellStyle name="Normal 5 17 19 5 4" xfId="34625" xr:uid="{00000000-0005-0000-0000-000041870000}"/>
    <cellStyle name="Normal 5 17 19 5 5" xfId="34626" xr:uid="{00000000-0005-0000-0000-000042870000}"/>
    <cellStyle name="Normal 5 17 19 5 6" xfId="34627" xr:uid="{00000000-0005-0000-0000-000043870000}"/>
    <cellStyle name="Normal 5 17 19 5 7" xfId="34628" xr:uid="{00000000-0005-0000-0000-000044870000}"/>
    <cellStyle name="Normal 5 17 19 5 8" xfId="34629" xr:uid="{00000000-0005-0000-0000-000045870000}"/>
    <cellStyle name="Normal 5 17 19 5 9" xfId="34630" xr:uid="{00000000-0005-0000-0000-000046870000}"/>
    <cellStyle name="Normal 5 17 19 6" xfId="34631" xr:uid="{00000000-0005-0000-0000-000047870000}"/>
    <cellStyle name="Normal 5 17 19 7" xfId="34632" xr:uid="{00000000-0005-0000-0000-000048870000}"/>
    <cellStyle name="Normal 5 17 19 8" xfId="34633" xr:uid="{00000000-0005-0000-0000-000049870000}"/>
    <cellStyle name="Normal 5 17 19 9" xfId="34634" xr:uid="{00000000-0005-0000-0000-00004A870000}"/>
    <cellStyle name="Normal 5 17 2" xfId="34635" xr:uid="{00000000-0005-0000-0000-00004B870000}"/>
    <cellStyle name="Normal 5 17 2 10" xfId="34636" xr:uid="{00000000-0005-0000-0000-00004C870000}"/>
    <cellStyle name="Normal 5 17 2 10 10" xfId="34637" xr:uid="{00000000-0005-0000-0000-00004D870000}"/>
    <cellStyle name="Normal 5 17 2 10 11" xfId="34638" xr:uid="{00000000-0005-0000-0000-00004E870000}"/>
    <cellStyle name="Normal 5 17 2 10 12" xfId="34639" xr:uid="{00000000-0005-0000-0000-00004F870000}"/>
    <cellStyle name="Normal 5 17 2 10 13" xfId="34640" xr:uid="{00000000-0005-0000-0000-000050870000}"/>
    <cellStyle name="Normal 5 17 2 10 14" xfId="34641" xr:uid="{00000000-0005-0000-0000-000051870000}"/>
    <cellStyle name="Normal 5 17 2 10 2" xfId="34642" xr:uid="{00000000-0005-0000-0000-000052870000}"/>
    <cellStyle name="Normal 5 17 2 10 2 10" xfId="34643" xr:uid="{00000000-0005-0000-0000-000053870000}"/>
    <cellStyle name="Normal 5 17 2 10 2 2" xfId="34644" xr:uid="{00000000-0005-0000-0000-000054870000}"/>
    <cellStyle name="Normal 5 17 2 10 2 3" xfId="34645" xr:uid="{00000000-0005-0000-0000-000055870000}"/>
    <cellStyle name="Normal 5 17 2 10 2 4" xfId="34646" xr:uid="{00000000-0005-0000-0000-000056870000}"/>
    <cellStyle name="Normal 5 17 2 10 2 5" xfId="34647" xr:uid="{00000000-0005-0000-0000-000057870000}"/>
    <cellStyle name="Normal 5 17 2 10 2 6" xfId="34648" xr:uid="{00000000-0005-0000-0000-000058870000}"/>
    <cellStyle name="Normal 5 17 2 10 2 7" xfId="34649" xr:uid="{00000000-0005-0000-0000-000059870000}"/>
    <cellStyle name="Normal 5 17 2 10 2 8" xfId="34650" xr:uid="{00000000-0005-0000-0000-00005A870000}"/>
    <cellStyle name="Normal 5 17 2 10 2 9" xfId="34651" xr:uid="{00000000-0005-0000-0000-00005B870000}"/>
    <cellStyle name="Normal 5 17 2 10 3" xfId="34652" xr:uid="{00000000-0005-0000-0000-00005C870000}"/>
    <cellStyle name="Normal 5 17 2 10 3 10" xfId="34653" xr:uid="{00000000-0005-0000-0000-00005D870000}"/>
    <cellStyle name="Normal 5 17 2 10 3 2" xfId="34654" xr:uid="{00000000-0005-0000-0000-00005E870000}"/>
    <cellStyle name="Normal 5 17 2 10 3 3" xfId="34655" xr:uid="{00000000-0005-0000-0000-00005F870000}"/>
    <cellStyle name="Normal 5 17 2 10 3 4" xfId="34656" xr:uid="{00000000-0005-0000-0000-000060870000}"/>
    <cellStyle name="Normal 5 17 2 10 3 5" xfId="34657" xr:uid="{00000000-0005-0000-0000-000061870000}"/>
    <cellStyle name="Normal 5 17 2 10 3 6" xfId="34658" xr:uid="{00000000-0005-0000-0000-000062870000}"/>
    <cellStyle name="Normal 5 17 2 10 3 7" xfId="34659" xr:uid="{00000000-0005-0000-0000-000063870000}"/>
    <cellStyle name="Normal 5 17 2 10 3 8" xfId="34660" xr:uid="{00000000-0005-0000-0000-000064870000}"/>
    <cellStyle name="Normal 5 17 2 10 3 9" xfId="34661" xr:uid="{00000000-0005-0000-0000-000065870000}"/>
    <cellStyle name="Normal 5 17 2 10 4" xfId="34662" xr:uid="{00000000-0005-0000-0000-000066870000}"/>
    <cellStyle name="Normal 5 17 2 10 4 10" xfId="34663" xr:uid="{00000000-0005-0000-0000-000067870000}"/>
    <cellStyle name="Normal 5 17 2 10 4 2" xfId="34664" xr:uid="{00000000-0005-0000-0000-000068870000}"/>
    <cellStyle name="Normal 5 17 2 10 4 3" xfId="34665" xr:uid="{00000000-0005-0000-0000-000069870000}"/>
    <cellStyle name="Normal 5 17 2 10 4 4" xfId="34666" xr:uid="{00000000-0005-0000-0000-00006A870000}"/>
    <cellStyle name="Normal 5 17 2 10 4 5" xfId="34667" xr:uid="{00000000-0005-0000-0000-00006B870000}"/>
    <cellStyle name="Normal 5 17 2 10 4 6" xfId="34668" xr:uid="{00000000-0005-0000-0000-00006C870000}"/>
    <cellStyle name="Normal 5 17 2 10 4 7" xfId="34669" xr:uid="{00000000-0005-0000-0000-00006D870000}"/>
    <cellStyle name="Normal 5 17 2 10 4 8" xfId="34670" xr:uid="{00000000-0005-0000-0000-00006E870000}"/>
    <cellStyle name="Normal 5 17 2 10 4 9" xfId="34671" xr:uid="{00000000-0005-0000-0000-00006F870000}"/>
    <cellStyle name="Normal 5 17 2 10 5" xfId="34672" xr:uid="{00000000-0005-0000-0000-000070870000}"/>
    <cellStyle name="Normal 5 17 2 10 5 10" xfId="34673" xr:uid="{00000000-0005-0000-0000-000071870000}"/>
    <cellStyle name="Normal 5 17 2 10 5 2" xfId="34674" xr:uid="{00000000-0005-0000-0000-000072870000}"/>
    <cellStyle name="Normal 5 17 2 10 5 3" xfId="34675" xr:uid="{00000000-0005-0000-0000-000073870000}"/>
    <cellStyle name="Normal 5 17 2 10 5 4" xfId="34676" xr:uid="{00000000-0005-0000-0000-000074870000}"/>
    <cellStyle name="Normal 5 17 2 10 5 5" xfId="34677" xr:uid="{00000000-0005-0000-0000-000075870000}"/>
    <cellStyle name="Normal 5 17 2 10 5 6" xfId="34678" xr:uid="{00000000-0005-0000-0000-000076870000}"/>
    <cellStyle name="Normal 5 17 2 10 5 7" xfId="34679" xr:uid="{00000000-0005-0000-0000-000077870000}"/>
    <cellStyle name="Normal 5 17 2 10 5 8" xfId="34680" xr:uid="{00000000-0005-0000-0000-000078870000}"/>
    <cellStyle name="Normal 5 17 2 10 5 9" xfId="34681" xr:uid="{00000000-0005-0000-0000-000079870000}"/>
    <cellStyle name="Normal 5 17 2 10 6" xfId="34682" xr:uid="{00000000-0005-0000-0000-00007A870000}"/>
    <cellStyle name="Normal 5 17 2 10 7" xfId="34683" xr:uid="{00000000-0005-0000-0000-00007B870000}"/>
    <cellStyle name="Normal 5 17 2 10 8" xfId="34684" xr:uid="{00000000-0005-0000-0000-00007C870000}"/>
    <cellStyle name="Normal 5 17 2 10 9" xfId="34685" xr:uid="{00000000-0005-0000-0000-00007D870000}"/>
    <cellStyle name="Normal 5 17 2 11" xfId="34686" xr:uid="{00000000-0005-0000-0000-00007E870000}"/>
    <cellStyle name="Normal 5 17 2 11 10" xfId="34687" xr:uid="{00000000-0005-0000-0000-00007F870000}"/>
    <cellStyle name="Normal 5 17 2 11 11" xfId="34688" xr:uid="{00000000-0005-0000-0000-000080870000}"/>
    <cellStyle name="Normal 5 17 2 11 12" xfId="34689" xr:uid="{00000000-0005-0000-0000-000081870000}"/>
    <cellStyle name="Normal 5 17 2 11 13" xfId="34690" xr:uid="{00000000-0005-0000-0000-000082870000}"/>
    <cellStyle name="Normal 5 17 2 11 14" xfId="34691" xr:uid="{00000000-0005-0000-0000-000083870000}"/>
    <cellStyle name="Normal 5 17 2 11 2" xfId="34692" xr:uid="{00000000-0005-0000-0000-000084870000}"/>
    <cellStyle name="Normal 5 17 2 11 2 10" xfId="34693" xr:uid="{00000000-0005-0000-0000-000085870000}"/>
    <cellStyle name="Normal 5 17 2 11 2 2" xfId="34694" xr:uid="{00000000-0005-0000-0000-000086870000}"/>
    <cellStyle name="Normal 5 17 2 11 2 3" xfId="34695" xr:uid="{00000000-0005-0000-0000-000087870000}"/>
    <cellStyle name="Normal 5 17 2 11 2 4" xfId="34696" xr:uid="{00000000-0005-0000-0000-000088870000}"/>
    <cellStyle name="Normal 5 17 2 11 2 5" xfId="34697" xr:uid="{00000000-0005-0000-0000-000089870000}"/>
    <cellStyle name="Normal 5 17 2 11 2 6" xfId="34698" xr:uid="{00000000-0005-0000-0000-00008A870000}"/>
    <cellStyle name="Normal 5 17 2 11 2 7" xfId="34699" xr:uid="{00000000-0005-0000-0000-00008B870000}"/>
    <cellStyle name="Normal 5 17 2 11 2 8" xfId="34700" xr:uid="{00000000-0005-0000-0000-00008C870000}"/>
    <cellStyle name="Normal 5 17 2 11 2 9" xfId="34701" xr:uid="{00000000-0005-0000-0000-00008D870000}"/>
    <cellStyle name="Normal 5 17 2 11 3" xfId="34702" xr:uid="{00000000-0005-0000-0000-00008E870000}"/>
    <cellStyle name="Normal 5 17 2 11 3 10" xfId="34703" xr:uid="{00000000-0005-0000-0000-00008F870000}"/>
    <cellStyle name="Normal 5 17 2 11 3 2" xfId="34704" xr:uid="{00000000-0005-0000-0000-000090870000}"/>
    <cellStyle name="Normal 5 17 2 11 3 3" xfId="34705" xr:uid="{00000000-0005-0000-0000-000091870000}"/>
    <cellStyle name="Normal 5 17 2 11 3 4" xfId="34706" xr:uid="{00000000-0005-0000-0000-000092870000}"/>
    <cellStyle name="Normal 5 17 2 11 3 5" xfId="34707" xr:uid="{00000000-0005-0000-0000-000093870000}"/>
    <cellStyle name="Normal 5 17 2 11 3 6" xfId="34708" xr:uid="{00000000-0005-0000-0000-000094870000}"/>
    <cellStyle name="Normal 5 17 2 11 3 7" xfId="34709" xr:uid="{00000000-0005-0000-0000-000095870000}"/>
    <cellStyle name="Normal 5 17 2 11 3 8" xfId="34710" xr:uid="{00000000-0005-0000-0000-000096870000}"/>
    <cellStyle name="Normal 5 17 2 11 3 9" xfId="34711" xr:uid="{00000000-0005-0000-0000-000097870000}"/>
    <cellStyle name="Normal 5 17 2 11 4" xfId="34712" xr:uid="{00000000-0005-0000-0000-000098870000}"/>
    <cellStyle name="Normal 5 17 2 11 4 10" xfId="34713" xr:uid="{00000000-0005-0000-0000-000099870000}"/>
    <cellStyle name="Normal 5 17 2 11 4 2" xfId="34714" xr:uid="{00000000-0005-0000-0000-00009A870000}"/>
    <cellStyle name="Normal 5 17 2 11 4 3" xfId="34715" xr:uid="{00000000-0005-0000-0000-00009B870000}"/>
    <cellStyle name="Normal 5 17 2 11 4 4" xfId="34716" xr:uid="{00000000-0005-0000-0000-00009C870000}"/>
    <cellStyle name="Normal 5 17 2 11 4 5" xfId="34717" xr:uid="{00000000-0005-0000-0000-00009D870000}"/>
    <cellStyle name="Normal 5 17 2 11 4 6" xfId="34718" xr:uid="{00000000-0005-0000-0000-00009E870000}"/>
    <cellStyle name="Normal 5 17 2 11 4 7" xfId="34719" xr:uid="{00000000-0005-0000-0000-00009F870000}"/>
    <cellStyle name="Normal 5 17 2 11 4 8" xfId="34720" xr:uid="{00000000-0005-0000-0000-0000A0870000}"/>
    <cellStyle name="Normal 5 17 2 11 4 9" xfId="34721" xr:uid="{00000000-0005-0000-0000-0000A1870000}"/>
    <cellStyle name="Normal 5 17 2 11 5" xfId="34722" xr:uid="{00000000-0005-0000-0000-0000A2870000}"/>
    <cellStyle name="Normal 5 17 2 11 5 10" xfId="34723" xr:uid="{00000000-0005-0000-0000-0000A3870000}"/>
    <cellStyle name="Normal 5 17 2 11 5 2" xfId="34724" xr:uid="{00000000-0005-0000-0000-0000A4870000}"/>
    <cellStyle name="Normal 5 17 2 11 5 3" xfId="34725" xr:uid="{00000000-0005-0000-0000-0000A5870000}"/>
    <cellStyle name="Normal 5 17 2 11 5 4" xfId="34726" xr:uid="{00000000-0005-0000-0000-0000A6870000}"/>
    <cellStyle name="Normal 5 17 2 11 5 5" xfId="34727" xr:uid="{00000000-0005-0000-0000-0000A7870000}"/>
    <cellStyle name="Normal 5 17 2 11 5 6" xfId="34728" xr:uid="{00000000-0005-0000-0000-0000A8870000}"/>
    <cellStyle name="Normal 5 17 2 11 5 7" xfId="34729" xr:uid="{00000000-0005-0000-0000-0000A9870000}"/>
    <cellStyle name="Normal 5 17 2 11 5 8" xfId="34730" xr:uid="{00000000-0005-0000-0000-0000AA870000}"/>
    <cellStyle name="Normal 5 17 2 11 5 9" xfId="34731" xr:uid="{00000000-0005-0000-0000-0000AB870000}"/>
    <cellStyle name="Normal 5 17 2 11 6" xfId="34732" xr:uid="{00000000-0005-0000-0000-0000AC870000}"/>
    <cellStyle name="Normal 5 17 2 11 7" xfId="34733" xr:uid="{00000000-0005-0000-0000-0000AD870000}"/>
    <cellStyle name="Normal 5 17 2 11 8" xfId="34734" xr:uid="{00000000-0005-0000-0000-0000AE870000}"/>
    <cellStyle name="Normal 5 17 2 11 9" xfId="34735" xr:uid="{00000000-0005-0000-0000-0000AF870000}"/>
    <cellStyle name="Normal 5 17 2 12" xfId="34736" xr:uid="{00000000-0005-0000-0000-0000B0870000}"/>
    <cellStyle name="Normal 5 17 2 12 10" xfId="34737" xr:uid="{00000000-0005-0000-0000-0000B1870000}"/>
    <cellStyle name="Normal 5 17 2 12 11" xfId="34738" xr:uid="{00000000-0005-0000-0000-0000B2870000}"/>
    <cellStyle name="Normal 5 17 2 12 12" xfId="34739" xr:uid="{00000000-0005-0000-0000-0000B3870000}"/>
    <cellStyle name="Normal 5 17 2 12 13" xfId="34740" xr:uid="{00000000-0005-0000-0000-0000B4870000}"/>
    <cellStyle name="Normal 5 17 2 12 14" xfId="34741" xr:uid="{00000000-0005-0000-0000-0000B5870000}"/>
    <cellStyle name="Normal 5 17 2 12 2" xfId="34742" xr:uid="{00000000-0005-0000-0000-0000B6870000}"/>
    <cellStyle name="Normal 5 17 2 12 2 10" xfId="34743" xr:uid="{00000000-0005-0000-0000-0000B7870000}"/>
    <cellStyle name="Normal 5 17 2 12 2 2" xfId="34744" xr:uid="{00000000-0005-0000-0000-0000B8870000}"/>
    <cellStyle name="Normal 5 17 2 12 2 3" xfId="34745" xr:uid="{00000000-0005-0000-0000-0000B9870000}"/>
    <cellStyle name="Normal 5 17 2 12 2 4" xfId="34746" xr:uid="{00000000-0005-0000-0000-0000BA870000}"/>
    <cellStyle name="Normal 5 17 2 12 2 5" xfId="34747" xr:uid="{00000000-0005-0000-0000-0000BB870000}"/>
    <cellStyle name="Normal 5 17 2 12 2 6" xfId="34748" xr:uid="{00000000-0005-0000-0000-0000BC870000}"/>
    <cellStyle name="Normal 5 17 2 12 2 7" xfId="34749" xr:uid="{00000000-0005-0000-0000-0000BD870000}"/>
    <cellStyle name="Normal 5 17 2 12 2 8" xfId="34750" xr:uid="{00000000-0005-0000-0000-0000BE870000}"/>
    <cellStyle name="Normal 5 17 2 12 2 9" xfId="34751" xr:uid="{00000000-0005-0000-0000-0000BF870000}"/>
    <cellStyle name="Normal 5 17 2 12 3" xfId="34752" xr:uid="{00000000-0005-0000-0000-0000C0870000}"/>
    <cellStyle name="Normal 5 17 2 12 3 10" xfId="34753" xr:uid="{00000000-0005-0000-0000-0000C1870000}"/>
    <cellStyle name="Normal 5 17 2 12 3 2" xfId="34754" xr:uid="{00000000-0005-0000-0000-0000C2870000}"/>
    <cellStyle name="Normal 5 17 2 12 3 3" xfId="34755" xr:uid="{00000000-0005-0000-0000-0000C3870000}"/>
    <cellStyle name="Normal 5 17 2 12 3 4" xfId="34756" xr:uid="{00000000-0005-0000-0000-0000C4870000}"/>
    <cellStyle name="Normal 5 17 2 12 3 5" xfId="34757" xr:uid="{00000000-0005-0000-0000-0000C5870000}"/>
    <cellStyle name="Normal 5 17 2 12 3 6" xfId="34758" xr:uid="{00000000-0005-0000-0000-0000C6870000}"/>
    <cellStyle name="Normal 5 17 2 12 3 7" xfId="34759" xr:uid="{00000000-0005-0000-0000-0000C7870000}"/>
    <cellStyle name="Normal 5 17 2 12 3 8" xfId="34760" xr:uid="{00000000-0005-0000-0000-0000C8870000}"/>
    <cellStyle name="Normal 5 17 2 12 3 9" xfId="34761" xr:uid="{00000000-0005-0000-0000-0000C9870000}"/>
    <cellStyle name="Normal 5 17 2 12 4" xfId="34762" xr:uid="{00000000-0005-0000-0000-0000CA870000}"/>
    <cellStyle name="Normal 5 17 2 12 4 10" xfId="34763" xr:uid="{00000000-0005-0000-0000-0000CB870000}"/>
    <cellStyle name="Normal 5 17 2 12 4 2" xfId="34764" xr:uid="{00000000-0005-0000-0000-0000CC870000}"/>
    <cellStyle name="Normal 5 17 2 12 4 3" xfId="34765" xr:uid="{00000000-0005-0000-0000-0000CD870000}"/>
    <cellStyle name="Normal 5 17 2 12 4 4" xfId="34766" xr:uid="{00000000-0005-0000-0000-0000CE870000}"/>
    <cellStyle name="Normal 5 17 2 12 4 5" xfId="34767" xr:uid="{00000000-0005-0000-0000-0000CF870000}"/>
    <cellStyle name="Normal 5 17 2 12 4 6" xfId="34768" xr:uid="{00000000-0005-0000-0000-0000D0870000}"/>
    <cellStyle name="Normal 5 17 2 12 4 7" xfId="34769" xr:uid="{00000000-0005-0000-0000-0000D1870000}"/>
    <cellStyle name="Normal 5 17 2 12 4 8" xfId="34770" xr:uid="{00000000-0005-0000-0000-0000D2870000}"/>
    <cellStyle name="Normal 5 17 2 12 4 9" xfId="34771" xr:uid="{00000000-0005-0000-0000-0000D3870000}"/>
    <cellStyle name="Normal 5 17 2 12 5" xfId="34772" xr:uid="{00000000-0005-0000-0000-0000D4870000}"/>
    <cellStyle name="Normal 5 17 2 12 5 10" xfId="34773" xr:uid="{00000000-0005-0000-0000-0000D5870000}"/>
    <cellStyle name="Normal 5 17 2 12 5 2" xfId="34774" xr:uid="{00000000-0005-0000-0000-0000D6870000}"/>
    <cellStyle name="Normal 5 17 2 12 5 3" xfId="34775" xr:uid="{00000000-0005-0000-0000-0000D7870000}"/>
    <cellStyle name="Normal 5 17 2 12 5 4" xfId="34776" xr:uid="{00000000-0005-0000-0000-0000D8870000}"/>
    <cellStyle name="Normal 5 17 2 12 5 5" xfId="34777" xr:uid="{00000000-0005-0000-0000-0000D9870000}"/>
    <cellStyle name="Normal 5 17 2 12 5 6" xfId="34778" xr:uid="{00000000-0005-0000-0000-0000DA870000}"/>
    <cellStyle name="Normal 5 17 2 12 5 7" xfId="34779" xr:uid="{00000000-0005-0000-0000-0000DB870000}"/>
    <cellStyle name="Normal 5 17 2 12 5 8" xfId="34780" xr:uid="{00000000-0005-0000-0000-0000DC870000}"/>
    <cellStyle name="Normal 5 17 2 12 5 9" xfId="34781" xr:uid="{00000000-0005-0000-0000-0000DD870000}"/>
    <cellStyle name="Normal 5 17 2 12 6" xfId="34782" xr:uid="{00000000-0005-0000-0000-0000DE870000}"/>
    <cellStyle name="Normal 5 17 2 12 7" xfId="34783" xr:uid="{00000000-0005-0000-0000-0000DF870000}"/>
    <cellStyle name="Normal 5 17 2 12 8" xfId="34784" xr:uid="{00000000-0005-0000-0000-0000E0870000}"/>
    <cellStyle name="Normal 5 17 2 12 9" xfId="34785" xr:uid="{00000000-0005-0000-0000-0000E1870000}"/>
    <cellStyle name="Normal 5 17 2 13" xfId="34786" xr:uid="{00000000-0005-0000-0000-0000E2870000}"/>
    <cellStyle name="Normal 5 17 2 13 10" xfId="34787" xr:uid="{00000000-0005-0000-0000-0000E3870000}"/>
    <cellStyle name="Normal 5 17 2 13 11" xfId="34788" xr:uid="{00000000-0005-0000-0000-0000E4870000}"/>
    <cellStyle name="Normal 5 17 2 13 12" xfId="34789" xr:uid="{00000000-0005-0000-0000-0000E5870000}"/>
    <cellStyle name="Normal 5 17 2 13 13" xfId="34790" xr:uid="{00000000-0005-0000-0000-0000E6870000}"/>
    <cellStyle name="Normal 5 17 2 13 14" xfId="34791" xr:uid="{00000000-0005-0000-0000-0000E7870000}"/>
    <cellStyle name="Normal 5 17 2 13 2" xfId="34792" xr:uid="{00000000-0005-0000-0000-0000E8870000}"/>
    <cellStyle name="Normal 5 17 2 13 2 10" xfId="34793" xr:uid="{00000000-0005-0000-0000-0000E9870000}"/>
    <cellStyle name="Normal 5 17 2 13 2 2" xfId="34794" xr:uid="{00000000-0005-0000-0000-0000EA870000}"/>
    <cellStyle name="Normal 5 17 2 13 2 3" xfId="34795" xr:uid="{00000000-0005-0000-0000-0000EB870000}"/>
    <cellStyle name="Normal 5 17 2 13 2 4" xfId="34796" xr:uid="{00000000-0005-0000-0000-0000EC870000}"/>
    <cellStyle name="Normal 5 17 2 13 2 5" xfId="34797" xr:uid="{00000000-0005-0000-0000-0000ED870000}"/>
    <cellStyle name="Normal 5 17 2 13 2 6" xfId="34798" xr:uid="{00000000-0005-0000-0000-0000EE870000}"/>
    <cellStyle name="Normal 5 17 2 13 2 7" xfId="34799" xr:uid="{00000000-0005-0000-0000-0000EF870000}"/>
    <cellStyle name="Normal 5 17 2 13 2 8" xfId="34800" xr:uid="{00000000-0005-0000-0000-0000F0870000}"/>
    <cellStyle name="Normal 5 17 2 13 2 9" xfId="34801" xr:uid="{00000000-0005-0000-0000-0000F1870000}"/>
    <cellStyle name="Normal 5 17 2 13 3" xfId="34802" xr:uid="{00000000-0005-0000-0000-0000F2870000}"/>
    <cellStyle name="Normal 5 17 2 13 3 10" xfId="34803" xr:uid="{00000000-0005-0000-0000-0000F3870000}"/>
    <cellStyle name="Normal 5 17 2 13 3 2" xfId="34804" xr:uid="{00000000-0005-0000-0000-0000F4870000}"/>
    <cellStyle name="Normal 5 17 2 13 3 3" xfId="34805" xr:uid="{00000000-0005-0000-0000-0000F5870000}"/>
    <cellStyle name="Normal 5 17 2 13 3 4" xfId="34806" xr:uid="{00000000-0005-0000-0000-0000F6870000}"/>
    <cellStyle name="Normal 5 17 2 13 3 5" xfId="34807" xr:uid="{00000000-0005-0000-0000-0000F7870000}"/>
    <cellStyle name="Normal 5 17 2 13 3 6" xfId="34808" xr:uid="{00000000-0005-0000-0000-0000F8870000}"/>
    <cellStyle name="Normal 5 17 2 13 3 7" xfId="34809" xr:uid="{00000000-0005-0000-0000-0000F9870000}"/>
    <cellStyle name="Normal 5 17 2 13 3 8" xfId="34810" xr:uid="{00000000-0005-0000-0000-0000FA870000}"/>
    <cellStyle name="Normal 5 17 2 13 3 9" xfId="34811" xr:uid="{00000000-0005-0000-0000-0000FB870000}"/>
    <cellStyle name="Normal 5 17 2 13 4" xfId="34812" xr:uid="{00000000-0005-0000-0000-0000FC870000}"/>
    <cellStyle name="Normal 5 17 2 13 4 10" xfId="34813" xr:uid="{00000000-0005-0000-0000-0000FD870000}"/>
    <cellStyle name="Normal 5 17 2 13 4 2" xfId="34814" xr:uid="{00000000-0005-0000-0000-0000FE870000}"/>
    <cellStyle name="Normal 5 17 2 13 4 3" xfId="34815" xr:uid="{00000000-0005-0000-0000-0000FF870000}"/>
    <cellStyle name="Normal 5 17 2 13 4 4" xfId="34816" xr:uid="{00000000-0005-0000-0000-000000880000}"/>
    <cellStyle name="Normal 5 17 2 13 4 5" xfId="34817" xr:uid="{00000000-0005-0000-0000-000001880000}"/>
    <cellStyle name="Normal 5 17 2 13 4 6" xfId="34818" xr:uid="{00000000-0005-0000-0000-000002880000}"/>
    <cellStyle name="Normal 5 17 2 13 4 7" xfId="34819" xr:uid="{00000000-0005-0000-0000-000003880000}"/>
    <cellStyle name="Normal 5 17 2 13 4 8" xfId="34820" xr:uid="{00000000-0005-0000-0000-000004880000}"/>
    <cellStyle name="Normal 5 17 2 13 4 9" xfId="34821" xr:uid="{00000000-0005-0000-0000-000005880000}"/>
    <cellStyle name="Normal 5 17 2 13 5" xfId="34822" xr:uid="{00000000-0005-0000-0000-000006880000}"/>
    <cellStyle name="Normal 5 17 2 13 5 10" xfId="34823" xr:uid="{00000000-0005-0000-0000-000007880000}"/>
    <cellStyle name="Normal 5 17 2 13 5 2" xfId="34824" xr:uid="{00000000-0005-0000-0000-000008880000}"/>
    <cellStyle name="Normal 5 17 2 13 5 3" xfId="34825" xr:uid="{00000000-0005-0000-0000-000009880000}"/>
    <cellStyle name="Normal 5 17 2 13 5 4" xfId="34826" xr:uid="{00000000-0005-0000-0000-00000A880000}"/>
    <cellStyle name="Normal 5 17 2 13 5 5" xfId="34827" xr:uid="{00000000-0005-0000-0000-00000B880000}"/>
    <cellStyle name="Normal 5 17 2 13 5 6" xfId="34828" xr:uid="{00000000-0005-0000-0000-00000C880000}"/>
    <cellStyle name="Normal 5 17 2 13 5 7" xfId="34829" xr:uid="{00000000-0005-0000-0000-00000D880000}"/>
    <cellStyle name="Normal 5 17 2 13 5 8" xfId="34830" xr:uid="{00000000-0005-0000-0000-00000E880000}"/>
    <cellStyle name="Normal 5 17 2 13 5 9" xfId="34831" xr:uid="{00000000-0005-0000-0000-00000F880000}"/>
    <cellStyle name="Normal 5 17 2 13 6" xfId="34832" xr:uid="{00000000-0005-0000-0000-000010880000}"/>
    <cellStyle name="Normal 5 17 2 13 7" xfId="34833" xr:uid="{00000000-0005-0000-0000-000011880000}"/>
    <cellStyle name="Normal 5 17 2 13 8" xfId="34834" xr:uid="{00000000-0005-0000-0000-000012880000}"/>
    <cellStyle name="Normal 5 17 2 13 9" xfId="34835" xr:uid="{00000000-0005-0000-0000-000013880000}"/>
    <cellStyle name="Normal 5 17 2 14" xfId="34836" xr:uid="{00000000-0005-0000-0000-000014880000}"/>
    <cellStyle name="Normal 5 17 2 14 10" xfId="34837" xr:uid="{00000000-0005-0000-0000-000015880000}"/>
    <cellStyle name="Normal 5 17 2 14 11" xfId="34838" xr:uid="{00000000-0005-0000-0000-000016880000}"/>
    <cellStyle name="Normal 5 17 2 14 12" xfId="34839" xr:uid="{00000000-0005-0000-0000-000017880000}"/>
    <cellStyle name="Normal 5 17 2 14 13" xfId="34840" xr:uid="{00000000-0005-0000-0000-000018880000}"/>
    <cellStyle name="Normal 5 17 2 14 14" xfId="34841" xr:uid="{00000000-0005-0000-0000-000019880000}"/>
    <cellStyle name="Normal 5 17 2 14 2" xfId="34842" xr:uid="{00000000-0005-0000-0000-00001A880000}"/>
    <cellStyle name="Normal 5 17 2 14 2 10" xfId="34843" xr:uid="{00000000-0005-0000-0000-00001B880000}"/>
    <cellStyle name="Normal 5 17 2 14 2 2" xfId="34844" xr:uid="{00000000-0005-0000-0000-00001C880000}"/>
    <cellStyle name="Normal 5 17 2 14 2 3" xfId="34845" xr:uid="{00000000-0005-0000-0000-00001D880000}"/>
    <cellStyle name="Normal 5 17 2 14 2 4" xfId="34846" xr:uid="{00000000-0005-0000-0000-00001E880000}"/>
    <cellStyle name="Normal 5 17 2 14 2 5" xfId="34847" xr:uid="{00000000-0005-0000-0000-00001F880000}"/>
    <cellStyle name="Normal 5 17 2 14 2 6" xfId="34848" xr:uid="{00000000-0005-0000-0000-000020880000}"/>
    <cellStyle name="Normal 5 17 2 14 2 7" xfId="34849" xr:uid="{00000000-0005-0000-0000-000021880000}"/>
    <cellStyle name="Normal 5 17 2 14 2 8" xfId="34850" xr:uid="{00000000-0005-0000-0000-000022880000}"/>
    <cellStyle name="Normal 5 17 2 14 2 9" xfId="34851" xr:uid="{00000000-0005-0000-0000-000023880000}"/>
    <cellStyle name="Normal 5 17 2 14 3" xfId="34852" xr:uid="{00000000-0005-0000-0000-000024880000}"/>
    <cellStyle name="Normal 5 17 2 14 3 10" xfId="34853" xr:uid="{00000000-0005-0000-0000-000025880000}"/>
    <cellStyle name="Normal 5 17 2 14 3 2" xfId="34854" xr:uid="{00000000-0005-0000-0000-000026880000}"/>
    <cellStyle name="Normal 5 17 2 14 3 3" xfId="34855" xr:uid="{00000000-0005-0000-0000-000027880000}"/>
    <cellStyle name="Normal 5 17 2 14 3 4" xfId="34856" xr:uid="{00000000-0005-0000-0000-000028880000}"/>
    <cellStyle name="Normal 5 17 2 14 3 5" xfId="34857" xr:uid="{00000000-0005-0000-0000-000029880000}"/>
    <cellStyle name="Normal 5 17 2 14 3 6" xfId="34858" xr:uid="{00000000-0005-0000-0000-00002A880000}"/>
    <cellStyle name="Normal 5 17 2 14 3 7" xfId="34859" xr:uid="{00000000-0005-0000-0000-00002B880000}"/>
    <cellStyle name="Normal 5 17 2 14 3 8" xfId="34860" xr:uid="{00000000-0005-0000-0000-00002C880000}"/>
    <cellStyle name="Normal 5 17 2 14 3 9" xfId="34861" xr:uid="{00000000-0005-0000-0000-00002D880000}"/>
    <cellStyle name="Normal 5 17 2 14 4" xfId="34862" xr:uid="{00000000-0005-0000-0000-00002E880000}"/>
    <cellStyle name="Normal 5 17 2 14 4 10" xfId="34863" xr:uid="{00000000-0005-0000-0000-00002F880000}"/>
    <cellStyle name="Normal 5 17 2 14 4 2" xfId="34864" xr:uid="{00000000-0005-0000-0000-000030880000}"/>
    <cellStyle name="Normal 5 17 2 14 4 3" xfId="34865" xr:uid="{00000000-0005-0000-0000-000031880000}"/>
    <cellStyle name="Normal 5 17 2 14 4 4" xfId="34866" xr:uid="{00000000-0005-0000-0000-000032880000}"/>
    <cellStyle name="Normal 5 17 2 14 4 5" xfId="34867" xr:uid="{00000000-0005-0000-0000-000033880000}"/>
    <cellStyle name="Normal 5 17 2 14 4 6" xfId="34868" xr:uid="{00000000-0005-0000-0000-000034880000}"/>
    <cellStyle name="Normal 5 17 2 14 4 7" xfId="34869" xr:uid="{00000000-0005-0000-0000-000035880000}"/>
    <cellStyle name="Normal 5 17 2 14 4 8" xfId="34870" xr:uid="{00000000-0005-0000-0000-000036880000}"/>
    <cellStyle name="Normal 5 17 2 14 4 9" xfId="34871" xr:uid="{00000000-0005-0000-0000-000037880000}"/>
    <cellStyle name="Normal 5 17 2 14 5" xfId="34872" xr:uid="{00000000-0005-0000-0000-000038880000}"/>
    <cellStyle name="Normal 5 17 2 14 5 10" xfId="34873" xr:uid="{00000000-0005-0000-0000-000039880000}"/>
    <cellStyle name="Normal 5 17 2 14 5 2" xfId="34874" xr:uid="{00000000-0005-0000-0000-00003A880000}"/>
    <cellStyle name="Normal 5 17 2 14 5 3" xfId="34875" xr:uid="{00000000-0005-0000-0000-00003B880000}"/>
    <cellStyle name="Normal 5 17 2 14 5 4" xfId="34876" xr:uid="{00000000-0005-0000-0000-00003C880000}"/>
    <cellStyle name="Normal 5 17 2 14 5 5" xfId="34877" xr:uid="{00000000-0005-0000-0000-00003D880000}"/>
    <cellStyle name="Normal 5 17 2 14 5 6" xfId="34878" xr:uid="{00000000-0005-0000-0000-00003E880000}"/>
    <cellStyle name="Normal 5 17 2 14 5 7" xfId="34879" xr:uid="{00000000-0005-0000-0000-00003F880000}"/>
    <cellStyle name="Normal 5 17 2 14 5 8" xfId="34880" xr:uid="{00000000-0005-0000-0000-000040880000}"/>
    <cellStyle name="Normal 5 17 2 14 5 9" xfId="34881" xr:uid="{00000000-0005-0000-0000-000041880000}"/>
    <cellStyle name="Normal 5 17 2 14 6" xfId="34882" xr:uid="{00000000-0005-0000-0000-000042880000}"/>
    <cellStyle name="Normal 5 17 2 14 7" xfId="34883" xr:uid="{00000000-0005-0000-0000-000043880000}"/>
    <cellStyle name="Normal 5 17 2 14 8" xfId="34884" xr:uid="{00000000-0005-0000-0000-000044880000}"/>
    <cellStyle name="Normal 5 17 2 14 9" xfId="34885" xr:uid="{00000000-0005-0000-0000-000045880000}"/>
    <cellStyle name="Normal 5 17 2 15" xfId="34886" xr:uid="{00000000-0005-0000-0000-000046880000}"/>
    <cellStyle name="Normal 5 17 2 15 10" xfId="34887" xr:uid="{00000000-0005-0000-0000-000047880000}"/>
    <cellStyle name="Normal 5 17 2 15 11" xfId="34888" xr:uid="{00000000-0005-0000-0000-000048880000}"/>
    <cellStyle name="Normal 5 17 2 15 12" xfId="34889" xr:uid="{00000000-0005-0000-0000-000049880000}"/>
    <cellStyle name="Normal 5 17 2 15 13" xfId="34890" xr:uid="{00000000-0005-0000-0000-00004A880000}"/>
    <cellStyle name="Normal 5 17 2 15 14" xfId="34891" xr:uid="{00000000-0005-0000-0000-00004B880000}"/>
    <cellStyle name="Normal 5 17 2 15 2" xfId="34892" xr:uid="{00000000-0005-0000-0000-00004C880000}"/>
    <cellStyle name="Normal 5 17 2 15 2 10" xfId="34893" xr:uid="{00000000-0005-0000-0000-00004D880000}"/>
    <cellStyle name="Normal 5 17 2 15 2 2" xfId="34894" xr:uid="{00000000-0005-0000-0000-00004E880000}"/>
    <cellStyle name="Normal 5 17 2 15 2 3" xfId="34895" xr:uid="{00000000-0005-0000-0000-00004F880000}"/>
    <cellStyle name="Normal 5 17 2 15 2 4" xfId="34896" xr:uid="{00000000-0005-0000-0000-000050880000}"/>
    <cellStyle name="Normal 5 17 2 15 2 5" xfId="34897" xr:uid="{00000000-0005-0000-0000-000051880000}"/>
    <cellStyle name="Normal 5 17 2 15 2 6" xfId="34898" xr:uid="{00000000-0005-0000-0000-000052880000}"/>
    <cellStyle name="Normal 5 17 2 15 2 7" xfId="34899" xr:uid="{00000000-0005-0000-0000-000053880000}"/>
    <cellStyle name="Normal 5 17 2 15 2 8" xfId="34900" xr:uid="{00000000-0005-0000-0000-000054880000}"/>
    <cellStyle name="Normal 5 17 2 15 2 9" xfId="34901" xr:uid="{00000000-0005-0000-0000-000055880000}"/>
    <cellStyle name="Normal 5 17 2 15 3" xfId="34902" xr:uid="{00000000-0005-0000-0000-000056880000}"/>
    <cellStyle name="Normal 5 17 2 15 3 10" xfId="34903" xr:uid="{00000000-0005-0000-0000-000057880000}"/>
    <cellStyle name="Normal 5 17 2 15 3 2" xfId="34904" xr:uid="{00000000-0005-0000-0000-000058880000}"/>
    <cellStyle name="Normal 5 17 2 15 3 3" xfId="34905" xr:uid="{00000000-0005-0000-0000-000059880000}"/>
    <cellStyle name="Normal 5 17 2 15 3 4" xfId="34906" xr:uid="{00000000-0005-0000-0000-00005A880000}"/>
    <cellStyle name="Normal 5 17 2 15 3 5" xfId="34907" xr:uid="{00000000-0005-0000-0000-00005B880000}"/>
    <cellStyle name="Normal 5 17 2 15 3 6" xfId="34908" xr:uid="{00000000-0005-0000-0000-00005C880000}"/>
    <cellStyle name="Normal 5 17 2 15 3 7" xfId="34909" xr:uid="{00000000-0005-0000-0000-00005D880000}"/>
    <cellStyle name="Normal 5 17 2 15 3 8" xfId="34910" xr:uid="{00000000-0005-0000-0000-00005E880000}"/>
    <cellStyle name="Normal 5 17 2 15 3 9" xfId="34911" xr:uid="{00000000-0005-0000-0000-00005F880000}"/>
    <cellStyle name="Normal 5 17 2 15 4" xfId="34912" xr:uid="{00000000-0005-0000-0000-000060880000}"/>
    <cellStyle name="Normal 5 17 2 15 4 10" xfId="34913" xr:uid="{00000000-0005-0000-0000-000061880000}"/>
    <cellStyle name="Normal 5 17 2 15 4 2" xfId="34914" xr:uid="{00000000-0005-0000-0000-000062880000}"/>
    <cellStyle name="Normal 5 17 2 15 4 3" xfId="34915" xr:uid="{00000000-0005-0000-0000-000063880000}"/>
    <cellStyle name="Normal 5 17 2 15 4 4" xfId="34916" xr:uid="{00000000-0005-0000-0000-000064880000}"/>
    <cellStyle name="Normal 5 17 2 15 4 5" xfId="34917" xr:uid="{00000000-0005-0000-0000-000065880000}"/>
    <cellStyle name="Normal 5 17 2 15 4 6" xfId="34918" xr:uid="{00000000-0005-0000-0000-000066880000}"/>
    <cellStyle name="Normal 5 17 2 15 4 7" xfId="34919" xr:uid="{00000000-0005-0000-0000-000067880000}"/>
    <cellStyle name="Normal 5 17 2 15 4 8" xfId="34920" xr:uid="{00000000-0005-0000-0000-000068880000}"/>
    <cellStyle name="Normal 5 17 2 15 4 9" xfId="34921" xr:uid="{00000000-0005-0000-0000-000069880000}"/>
    <cellStyle name="Normal 5 17 2 15 5" xfId="34922" xr:uid="{00000000-0005-0000-0000-00006A880000}"/>
    <cellStyle name="Normal 5 17 2 15 5 10" xfId="34923" xr:uid="{00000000-0005-0000-0000-00006B880000}"/>
    <cellStyle name="Normal 5 17 2 15 5 2" xfId="34924" xr:uid="{00000000-0005-0000-0000-00006C880000}"/>
    <cellStyle name="Normal 5 17 2 15 5 3" xfId="34925" xr:uid="{00000000-0005-0000-0000-00006D880000}"/>
    <cellStyle name="Normal 5 17 2 15 5 4" xfId="34926" xr:uid="{00000000-0005-0000-0000-00006E880000}"/>
    <cellStyle name="Normal 5 17 2 15 5 5" xfId="34927" xr:uid="{00000000-0005-0000-0000-00006F880000}"/>
    <cellStyle name="Normal 5 17 2 15 5 6" xfId="34928" xr:uid="{00000000-0005-0000-0000-000070880000}"/>
    <cellStyle name="Normal 5 17 2 15 5 7" xfId="34929" xr:uid="{00000000-0005-0000-0000-000071880000}"/>
    <cellStyle name="Normal 5 17 2 15 5 8" xfId="34930" xr:uid="{00000000-0005-0000-0000-000072880000}"/>
    <cellStyle name="Normal 5 17 2 15 5 9" xfId="34931" xr:uid="{00000000-0005-0000-0000-000073880000}"/>
    <cellStyle name="Normal 5 17 2 15 6" xfId="34932" xr:uid="{00000000-0005-0000-0000-000074880000}"/>
    <cellStyle name="Normal 5 17 2 15 7" xfId="34933" xr:uid="{00000000-0005-0000-0000-000075880000}"/>
    <cellStyle name="Normal 5 17 2 15 8" xfId="34934" xr:uid="{00000000-0005-0000-0000-000076880000}"/>
    <cellStyle name="Normal 5 17 2 15 9" xfId="34935" xr:uid="{00000000-0005-0000-0000-000077880000}"/>
    <cellStyle name="Normal 5 17 2 16" xfId="34936" xr:uid="{00000000-0005-0000-0000-000078880000}"/>
    <cellStyle name="Normal 5 17 2 16 10" xfId="34937" xr:uid="{00000000-0005-0000-0000-000079880000}"/>
    <cellStyle name="Normal 5 17 2 16 11" xfId="34938" xr:uid="{00000000-0005-0000-0000-00007A880000}"/>
    <cellStyle name="Normal 5 17 2 16 12" xfId="34939" xr:uid="{00000000-0005-0000-0000-00007B880000}"/>
    <cellStyle name="Normal 5 17 2 16 13" xfId="34940" xr:uid="{00000000-0005-0000-0000-00007C880000}"/>
    <cellStyle name="Normal 5 17 2 16 14" xfId="34941" xr:uid="{00000000-0005-0000-0000-00007D880000}"/>
    <cellStyle name="Normal 5 17 2 16 2" xfId="34942" xr:uid="{00000000-0005-0000-0000-00007E880000}"/>
    <cellStyle name="Normal 5 17 2 16 2 10" xfId="34943" xr:uid="{00000000-0005-0000-0000-00007F880000}"/>
    <cellStyle name="Normal 5 17 2 16 2 2" xfId="34944" xr:uid="{00000000-0005-0000-0000-000080880000}"/>
    <cellStyle name="Normal 5 17 2 16 2 3" xfId="34945" xr:uid="{00000000-0005-0000-0000-000081880000}"/>
    <cellStyle name="Normal 5 17 2 16 2 4" xfId="34946" xr:uid="{00000000-0005-0000-0000-000082880000}"/>
    <cellStyle name="Normal 5 17 2 16 2 5" xfId="34947" xr:uid="{00000000-0005-0000-0000-000083880000}"/>
    <cellStyle name="Normal 5 17 2 16 2 6" xfId="34948" xr:uid="{00000000-0005-0000-0000-000084880000}"/>
    <cellStyle name="Normal 5 17 2 16 2 7" xfId="34949" xr:uid="{00000000-0005-0000-0000-000085880000}"/>
    <cellStyle name="Normal 5 17 2 16 2 8" xfId="34950" xr:uid="{00000000-0005-0000-0000-000086880000}"/>
    <cellStyle name="Normal 5 17 2 16 2 9" xfId="34951" xr:uid="{00000000-0005-0000-0000-000087880000}"/>
    <cellStyle name="Normal 5 17 2 16 3" xfId="34952" xr:uid="{00000000-0005-0000-0000-000088880000}"/>
    <cellStyle name="Normal 5 17 2 16 3 10" xfId="34953" xr:uid="{00000000-0005-0000-0000-000089880000}"/>
    <cellStyle name="Normal 5 17 2 16 3 2" xfId="34954" xr:uid="{00000000-0005-0000-0000-00008A880000}"/>
    <cellStyle name="Normal 5 17 2 16 3 3" xfId="34955" xr:uid="{00000000-0005-0000-0000-00008B880000}"/>
    <cellStyle name="Normal 5 17 2 16 3 4" xfId="34956" xr:uid="{00000000-0005-0000-0000-00008C880000}"/>
    <cellStyle name="Normal 5 17 2 16 3 5" xfId="34957" xr:uid="{00000000-0005-0000-0000-00008D880000}"/>
    <cellStyle name="Normal 5 17 2 16 3 6" xfId="34958" xr:uid="{00000000-0005-0000-0000-00008E880000}"/>
    <cellStyle name="Normal 5 17 2 16 3 7" xfId="34959" xr:uid="{00000000-0005-0000-0000-00008F880000}"/>
    <cellStyle name="Normal 5 17 2 16 3 8" xfId="34960" xr:uid="{00000000-0005-0000-0000-000090880000}"/>
    <cellStyle name="Normal 5 17 2 16 3 9" xfId="34961" xr:uid="{00000000-0005-0000-0000-000091880000}"/>
    <cellStyle name="Normal 5 17 2 16 4" xfId="34962" xr:uid="{00000000-0005-0000-0000-000092880000}"/>
    <cellStyle name="Normal 5 17 2 16 4 10" xfId="34963" xr:uid="{00000000-0005-0000-0000-000093880000}"/>
    <cellStyle name="Normal 5 17 2 16 4 2" xfId="34964" xr:uid="{00000000-0005-0000-0000-000094880000}"/>
    <cellStyle name="Normal 5 17 2 16 4 3" xfId="34965" xr:uid="{00000000-0005-0000-0000-000095880000}"/>
    <cellStyle name="Normal 5 17 2 16 4 4" xfId="34966" xr:uid="{00000000-0005-0000-0000-000096880000}"/>
    <cellStyle name="Normal 5 17 2 16 4 5" xfId="34967" xr:uid="{00000000-0005-0000-0000-000097880000}"/>
    <cellStyle name="Normal 5 17 2 16 4 6" xfId="34968" xr:uid="{00000000-0005-0000-0000-000098880000}"/>
    <cellStyle name="Normal 5 17 2 16 4 7" xfId="34969" xr:uid="{00000000-0005-0000-0000-000099880000}"/>
    <cellStyle name="Normal 5 17 2 16 4 8" xfId="34970" xr:uid="{00000000-0005-0000-0000-00009A880000}"/>
    <cellStyle name="Normal 5 17 2 16 4 9" xfId="34971" xr:uid="{00000000-0005-0000-0000-00009B880000}"/>
    <cellStyle name="Normal 5 17 2 16 5" xfId="34972" xr:uid="{00000000-0005-0000-0000-00009C880000}"/>
    <cellStyle name="Normal 5 17 2 16 5 10" xfId="34973" xr:uid="{00000000-0005-0000-0000-00009D880000}"/>
    <cellStyle name="Normal 5 17 2 16 5 2" xfId="34974" xr:uid="{00000000-0005-0000-0000-00009E880000}"/>
    <cellStyle name="Normal 5 17 2 16 5 3" xfId="34975" xr:uid="{00000000-0005-0000-0000-00009F880000}"/>
    <cellStyle name="Normal 5 17 2 16 5 4" xfId="34976" xr:uid="{00000000-0005-0000-0000-0000A0880000}"/>
    <cellStyle name="Normal 5 17 2 16 5 5" xfId="34977" xr:uid="{00000000-0005-0000-0000-0000A1880000}"/>
    <cellStyle name="Normal 5 17 2 16 5 6" xfId="34978" xr:uid="{00000000-0005-0000-0000-0000A2880000}"/>
    <cellStyle name="Normal 5 17 2 16 5 7" xfId="34979" xr:uid="{00000000-0005-0000-0000-0000A3880000}"/>
    <cellStyle name="Normal 5 17 2 16 5 8" xfId="34980" xr:uid="{00000000-0005-0000-0000-0000A4880000}"/>
    <cellStyle name="Normal 5 17 2 16 5 9" xfId="34981" xr:uid="{00000000-0005-0000-0000-0000A5880000}"/>
    <cellStyle name="Normal 5 17 2 16 6" xfId="34982" xr:uid="{00000000-0005-0000-0000-0000A6880000}"/>
    <cellStyle name="Normal 5 17 2 16 7" xfId="34983" xr:uid="{00000000-0005-0000-0000-0000A7880000}"/>
    <cellStyle name="Normal 5 17 2 16 8" xfId="34984" xr:uid="{00000000-0005-0000-0000-0000A8880000}"/>
    <cellStyle name="Normal 5 17 2 16 9" xfId="34985" xr:uid="{00000000-0005-0000-0000-0000A9880000}"/>
    <cellStyle name="Normal 5 17 2 17" xfId="34986" xr:uid="{00000000-0005-0000-0000-0000AA880000}"/>
    <cellStyle name="Normal 5 17 2 17 10" xfId="34987" xr:uid="{00000000-0005-0000-0000-0000AB880000}"/>
    <cellStyle name="Normal 5 17 2 17 11" xfId="34988" xr:uid="{00000000-0005-0000-0000-0000AC880000}"/>
    <cellStyle name="Normal 5 17 2 17 12" xfId="34989" xr:uid="{00000000-0005-0000-0000-0000AD880000}"/>
    <cellStyle name="Normal 5 17 2 17 13" xfId="34990" xr:uid="{00000000-0005-0000-0000-0000AE880000}"/>
    <cellStyle name="Normal 5 17 2 17 14" xfId="34991" xr:uid="{00000000-0005-0000-0000-0000AF880000}"/>
    <cellStyle name="Normal 5 17 2 17 2" xfId="34992" xr:uid="{00000000-0005-0000-0000-0000B0880000}"/>
    <cellStyle name="Normal 5 17 2 17 2 10" xfId="34993" xr:uid="{00000000-0005-0000-0000-0000B1880000}"/>
    <cellStyle name="Normal 5 17 2 17 2 2" xfId="34994" xr:uid="{00000000-0005-0000-0000-0000B2880000}"/>
    <cellStyle name="Normal 5 17 2 17 2 3" xfId="34995" xr:uid="{00000000-0005-0000-0000-0000B3880000}"/>
    <cellStyle name="Normal 5 17 2 17 2 4" xfId="34996" xr:uid="{00000000-0005-0000-0000-0000B4880000}"/>
    <cellStyle name="Normal 5 17 2 17 2 5" xfId="34997" xr:uid="{00000000-0005-0000-0000-0000B5880000}"/>
    <cellStyle name="Normal 5 17 2 17 2 6" xfId="34998" xr:uid="{00000000-0005-0000-0000-0000B6880000}"/>
    <cellStyle name="Normal 5 17 2 17 2 7" xfId="34999" xr:uid="{00000000-0005-0000-0000-0000B7880000}"/>
    <cellStyle name="Normal 5 17 2 17 2 8" xfId="35000" xr:uid="{00000000-0005-0000-0000-0000B8880000}"/>
    <cellStyle name="Normal 5 17 2 17 2 9" xfId="35001" xr:uid="{00000000-0005-0000-0000-0000B9880000}"/>
    <cellStyle name="Normal 5 17 2 17 3" xfId="35002" xr:uid="{00000000-0005-0000-0000-0000BA880000}"/>
    <cellStyle name="Normal 5 17 2 17 3 10" xfId="35003" xr:uid="{00000000-0005-0000-0000-0000BB880000}"/>
    <cellStyle name="Normal 5 17 2 17 3 2" xfId="35004" xr:uid="{00000000-0005-0000-0000-0000BC880000}"/>
    <cellStyle name="Normal 5 17 2 17 3 3" xfId="35005" xr:uid="{00000000-0005-0000-0000-0000BD880000}"/>
    <cellStyle name="Normal 5 17 2 17 3 4" xfId="35006" xr:uid="{00000000-0005-0000-0000-0000BE880000}"/>
    <cellStyle name="Normal 5 17 2 17 3 5" xfId="35007" xr:uid="{00000000-0005-0000-0000-0000BF880000}"/>
    <cellStyle name="Normal 5 17 2 17 3 6" xfId="35008" xr:uid="{00000000-0005-0000-0000-0000C0880000}"/>
    <cellStyle name="Normal 5 17 2 17 3 7" xfId="35009" xr:uid="{00000000-0005-0000-0000-0000C1880000}"/>
    <cellStyle name="Normal 5 17 2 17 3 8" xfId="35010" xr:uid="{00000000-0005-0000-0000-0000C2880000}"/>
    <cellStyle name="Normal 5 17 2 17 3 9" xfId="35011" xr:uid="{00000000-0005-0000-0000-0000C3880000}"/>
    <cellStyle name="Normal 5 17 2 17 4" xfId="35012" xr:uid="{00000000-0005-0000-0000-0000C4880000}"/>
    <cellStyle name="Normal 5 17 2 17 4 10" xfId="35013" xr:uid="{00000000-0005-0000-0000-0000C5880000}"/>
    <cellStyle name="Normal 5 17 2 17 4 2" xfId="35014" xr:uid="{00000000-0005-0000-0000-0000C6880000}"/>
    <cellStyle name="Normal 5 17 2 17 4 3" xfId="35015" xr:uid="{00000000-0005-0000-0000-0000C7880000}"/>
    <cellStyle name="Normal 5 17 2 17 4 4" xfId="35016" xr:uid="{00000000-0005-0000-0000-0000C8880000}"/>
    <cellStyle name="Normal 5 17 2 17 4 5" xfId="35017" xr:uid="{00000000-0005-0000-0000-0000C9880000}"/>
    <cellStyle name="Normal 5 17 2 17 4 6" xfId="35018" xr:uid="{00000000-0005-0000-0000-0000CA880000}"/>
    <cellStyle name="Normal 5 17 2 17 4 7" xfId="35019" xr:uid="{00000000-0005-0000-0000-0000CB880000}"/>
    <cellStyle name="Normal 5 17 2 17 4 8" xfId="35020" xr:uid="{00000000-0005-0000-0000-0000CC880000}"/>
    <cellStyle name="Normal 5 17 2 17 4 9" xfId="35021" xr:uid="{00000000-0005-0000-0000-0000CD880000}"/>
    <cellStyle name="Normal 5 17 2 17 5" xfId="35022" xr:uid="{00000000-0005-0000-0000-0000CE880000}"/>
    <cellStyle name="Normal 5 17 2 17 5 10" xfId="35023" xr:uid="{00000000-0005-0000-0000-0000CF880000}"/>
    <cellStyle name="Normal 5 17 2 17 5 2" xfId="35024" xr:uid="{00000000-0005-0000-0000-0000D0880000}"/>
    <cellStyle name="Normal 5 17 2 17 5 3" xfId="35025" xr:uid="{00000000-0005-0000-0000-0000D1880000}"/>
    <cellStyle name="Normal 5 17 2 17 5 4" xfId="35026" xr:uid="{00000000-0005-0000-0000-0000D2880000}"/>
    <cellStyle name="Normal 5 17 2 17 5 5" xfId="35027" xr:uid="{00000000-0005-0000-0000-0000D3880000}"/>
    <cellStyle name="Normal 5 17 2 17 5 6" xfId="35028" xr:uid="{00000000-0005-0000-0000-0000D4880000}"/>
    <cellStyle name="Normal 5 17 2 17 5 7" xfId="35029" xr:uid="{00000000-0005-0000-0000-0000D5880000}"/>
    <cellStyle name="Normal 5 17 2 17 5 8" xfId="35030" xr:uid="{00000000-0005-0000-0000-0000D6880000}"/>
    <cellStyle name="Normal 5 17 2 17 5 9" xfId="35031" xr:uid="{00000000-0005-0000-0000-0000D7880000}"/>
    <cellStyle name="Normal 5 17 2 17 6" xfId="35032" xr:uid="{00000000-0005-0000-0000-0000D8880000}"/>
    <cellStyle name="Normal 5 17 2 17 7" xfId="35033" xr:uid="{00000000-0005-0000-0000-0000D9880000}"/>
    <cellStyle name="Normal 5 17 2 17 8" xfId="35034" xr:uid="{00000000-0005-0000-0000-0000DA880000}"/>
    <cellStyle name="Normal 5 17 2 17 9" xfId="35035" xr:uid="{00000000-0005-0000-0000-0000DB880000}"/>
    <cellStyle name="Normal 5 17 2 18" xfId="35036" xr:uid="{00000000-0005-0000-0000-0000DC880000}"/>
    <cellStyle name="Normal 5 17 2 18 10" xfId="35037" xr:uid="{00000000-0005-0000-0000-0000DD880000}"/>
    <cellStyle name="Normal 5 17 2 18 11" xfId="35038" xr:uid="{00000000-0005-0000-0000-0000DE880000}"/>
    <cellStyle name="Normal 5 17 2 18 12" xfId="35039" xr:uid="{00000000-0005-0000-0000-0000DF880000}"/>
    <cellStyle name="Normal 5 17 2 18 13" xfId="35040" xr:uid="{00000000-0005-0000-0000-0000E0880000}"/>
    <cellStyle name="Normal 5 17 2 18 14" xfId="35041" xr:uid="{00000000-0005-0000-0000-0000E1880000}"/>
    <cellStyle name="Normal 5 17 2 18 2" xfId="35042" xr:uid="{00000000-0005-0000-0000-0000E2880000}"/>
    <cellStyle name="Normal 5 17 2 18 2 10" xfId="35043" xr:uid="{00000000-0005-0000-0000-0000E3880000}"/>
    <cellStyle name="Normal 5 17 2 18 2 2" xfId="35044" xr:uid="{00000000-0005-0000-0000-0000E4880000}"/>
    <cellStyle name="Normal 5 17 2 18 2 3" xfId="35045" xr:uid="{00000000-0005-0000-0000-0000E5880000}"/>
    <cellStyle name="Normal 5 17 2 18 2 4" xfId="35046" xr:uid="{00000000-0005-0000-0000-0000E6880000}"/>
    <cellStyle name="Normal 5 17 2 18 2 5" xfId="35047" xr:uid="{00000000-0005-0000-0000-0000E7880000}"/>
    <cellStyle name="Normal 5 17 2 18 2 6" xfId="35048" xr:uid="{00000000-0005-0000-0000-0000E8880000}"/>
    <cellStyle name="Normal 5 17 2 18 2 7" xfId="35049" xr:uid="{00000000-0005-0000-0000-0000E9880000}"/>
    <cellStyle name="Normal 5 17 2 18 2 8" xfId="35050" xr:uid="{00000000-0005-0000-0000-0000EA880000}"/>
    <cellStyle name="Normal 5 17 2 18 2 9" xfId="35051" xr:uid="{00000000-0005-0000-0000-0000EB880000}"/>
    <cellStyle name="Normal 5 17 2 18 3" xfId="35052" xr:uid="{00000000-0005-0000-0000-0000EC880000}"/>
    <cellStyle name="Normal 5 17 2 18 3 10" xfId="35053" xr:uid="{00000000-0005-0000-0000-0000ED880000}"/>
    <cellStyle name="Normal 5 17 2 18 3 2" xfId="35054" xr:uid="{00000000-0005-0000-0000-0000EE880000}"/>
    <cellStyle name="Normal 5 17 2 18 3 3" xfId="35055" xr:uid="{00000000-0005-0000-0000-0000EF880000}"/>
    <cellStyle name="Normal 5 17 2 18 3 4" xfId="35056" xr:uid="{00000000-0005-0000-0000-0000F0880000}"/>
    <cellStyle name="Normal 5 17 2 18 3 5" xfId="35057" xr:uid="{00000000-0005-0000-0000-0000F1880000}"/>
    <cellStyle name="Normal 5 17 2 18 3 6" xfId="35058" xr:uid="{00000000-0005-0000-0000-0000F2880000}"/>
    <cellStyle name="Normal 5 17 2 18 3 7" xfId="35059" xr:uid="{00000000-0005-0000-0000-0000F3880000}"/>
    <cellStyle name="Normal 5 17 2 18 3 8" xfId="35060" xr:uid="{00000000-0005-0000-0000-0000F4880000}"/>
    <cellStyle name="Normal 5 17 2 18 3 9" xfId="35061" xr:uid="{00000000-0005-0000-0000-0000F5880000}"/>
    <cellStyle name="Normal 5 17 2 18 4" xfId="35062" xr:uid="{00000000-0005-0000-0000-0000F6880000}"/>
    <cellStyle name="Normal 5 17 2 18 4 10" xfId="35063" xr:uid="{00000000-0005-0000-0000-0000F7880000}"/>
    <cellStyle name="Normal 5 17 2 18 4 2" xfId="35064" xr:uid="{00000000-0005-0000-0000-0000F8880000}"/>
    <cellStyle name="Normal 5 17 2 18 4 3" xfId="35065" xr:uid="{00000000-0005-0000-0000-0000F9880000}"/>
    <cellStyle name="Normal 5 17 2 18 4 4" xfId="35066" xr:uid="{00000000-0005-0000-0000-0000FA880000}"/>
    <cellStyle name="Normal 5 17 2 18 4 5" xfId="35067" xr:uid="{00000000-0005-0000-0000-0000FB880000}"/>
    <cellStyle name="Normal 5 17 2 18 4 6" xfId="35068" xr:uid="{00000000-0005-0000-0000-0000FC880000}"/>
    <cellStyle name="Normal 5 17 2 18 4 7" xfId="35069" xr:uid="{00000000-0005-0000-0000-0000FD880000}"/>
    <cellStyle name="Normal 5 17 2 18 4 8" xfId="35070" xr:uid="{00000000-0005-0000-0000-0000FE880000}"/>
    <cellStyle name="Normal 5 17 2 18 4 9" xfId="35071" xr:uid="{00000000-0005-0000-0000-0000FF880000}"/>
    <cellStyle name="Normal 5 17 2 18 5" xfId="35072" xr:uid="{00000000-0005-0000-0000-000000890000}"/>
    <cellStyle name="Normal 5 17 2 18 5 10" xfId="35073" xr:uid="{00000000-0005-0000-0000-000001890000}"/>
    <cellStyle name="Normal 5 17 2 18 5 2" xfId="35074" xr:uid="{00000000-0005-0000-0000-000002890000}"/>
    <cellStyle name="Normal 5 17 2 18 5 3" xfId="35075" xr:uid="{00000000-0005-0000-0000-000003890000}"/>
    <cellStyle name="Normal 5 17 2 18 5 4" xfId="35076" xr:uid="{00000000-0005-0000-0000-000004890000}"/>
    <cellStyle name="Normal 5 17 2 18 5 5" xfId="35077" xr:uid="{00000000-0005-0000-0000-000005890000}"/>
    <cellStyle name="Normal 5 17 2 18 5 6" xfId="35078" xr:uid="{00000000-0005-0000-0000-000006890000}"/>
    <cellStyle name="Normal 5 17 2 18 5 7" xfId="35079" xr:uid="{00000000-0005-0000-0000-000007890000}"/>
    <cellStyle name="Normal 5 17 2 18 5 8" xfId="35080" xr:uid="{00000000-0005-0000-0000-000008890000}"/>
    <cellStyle name="Normal 5 17 2 18 5 9" xfId="35081" xr:uid="{00000000-0005-0000-0000-000009890000}"/>
    <cellStyle name="Normal 5 17 2 18 6" xfId="35082" xr:uid="{00000000-0005-0000-0000-00000A890000}"/>
    <cellStyle name="Normal 5 17 2 18 7" xfId="35083" xr:uid="{00000000-0005-0000-0000-00000B890000}"/>
    <cellStyle name="Normal 5 17 2 18 8" xfId="35084" xr:uid="{00000000-0005-0000-0000-00000C890000}"/>
    <cellStyle name="Normal 5 17 2 18 9" xfId="35085" xr:uid="{00000000-0005-0000-0000-00000D890000}"/>
    <cellStyle name="Normal 5 17 2 19" xfId="35086" xr:uid="{00000000-0005-0000-0000-00000E890000}"/>
    <cellStyle name="Normal 5 17 2 19 10" xfId="35087" xr:uid="{00000000-0005-0000-0000-00000F890000}"/>
    <cellStyle name="Normal 5 17 2 19 11" xfId="35088" xr:uid="{00000000-0005-0000-0000-000010890000}"/>
    <cellStyle name="Normal 5 17 2 19 12" xfId="35089" xr:uid="{00000000-0005-0000-0000-000011890000}"/>
    <cellStyle name="Normal 5 17 2 19 13" xfId="35090" xr:uid="{00000000-0005-0000-0000-000012890000}"/>
    <cellStyle name="Normal 5 17 2 19 14" xfId="35091" xr:uid="{00000000-0005-0000-0000-000013890000}"/>
    <cellStyle name="Normal 5 17 2 19 2" xfId="35092" xr:uid="{00000000-0005-0000-0000-000014890000}"/>
    <cellStyle name="Normal 5 17 2 19 2 10" xfId="35093" xr:uid="{00000000-0005-0000-0000-000015890000}"/>
    <cellStyle name="Normal 5 17 2 19 2 2" xfId="35094" xr:uid="{00000000-0005-0000-0000-000016890000}"/>
    <cellStyle name="Normal 5 17 2 19 2 3" xfId="35095" xr:uid="{00000000-0005-0000-0000-000017890000}"/>
    <cellStyle name="Normal 5 17 2 19 2 4" xfId="35096" xr:uid="{00000000-0005-0000-0000-000018890000}"/>
    <cellStyle name="Normal 5 17 2 19 2 5" xfId="35097" xr:uid="{00000000-0005-0000-0000-000019890000}"/>
    <cellStyle name="Normal 5 17 2 19 2 6" xfId="35098" xr:uid="{00000000-0005-0000-0000-00001A890000}"/>
    <cellStyle name="Normal 5 17 2 19 2 7" xfId="35099" xr:uid="{00000000-0005-0000-0000-00001B890000}"/>
    <cellStyle name="Normal 5 17 2 19 2 8" xfId="35100" xr:uid="{00000000-0005-0000-0000-00001C890000}"/>
    <cellStyle name="Normal 5 17 2 19 2 9" xfId="35101" xr:uid="{00000000-0005-0000-0000-00001D890000}"/>
    <cellStyle name="Normal 5 17 2 19 3" xfId="35102" xr:uid="{00000000-0005-0000-0000-00001E890000}"/>
    <cellStyle name="Normal 5 17 2 19 3 10" xfId="35103" xr:uid="{00000000-0005-0000-0000-00001F890000}"/>
    <cellStyle name="Normal 5 17 2 19 3 2" xfId="35104" xr:uid="{00000000-0005-0000-0000-000020890000}"/>
    <cellStyle name="Normal 5 17 2 19 3 3" xfId="35105" xr:uid="{00000000-0005-0000-0000-000021890000}"/>
    <cellStyle name="Normal 5 17 2 19 3 4" xfId="35106" xr:uid="{00000000-0005-0000-0000-000022890000}"/>
    <cellStyle name="Normal 5 17 2 19 3 5" xfId="35107" xr:uid="{00000000-0005-0000-0000-000023890000}"/>
    <cellStyle name="Normal 5 17 2 19 3 6" xfId="35108" xr:uid="{00000000-0005-0000-0000-000024890000}"/>
    <cellStyle name="Normal 5 17 2 19 3 7" xfId="35109" xr:uid="{00000000-0005-0000-0000-000025890000}"/>
    <cellStyle name="Normal 5 17 2 19 3 8" xfId="35110" xr:uid="{00000000-0005-0000-0000-000026890000}"/>
    <cellStyle name="Normal 5 17 2 19 3 9" xfId="35111" xr:uid="{00000000-0005-0000-0000-000027890000}"/>
    <cellStyle name="Normal 5 17 2 19 4" xfId="35112" xr:uid="{00000000-0005-0000-0000-000028890000}"/>
    <cellStyle name="Normal 5 17 2 19 4 10" xfId="35113" xr:uid="{00000000-0005-0000-0000-000029890000}"/>
    <cellStyle name="Normal 5 17 2 19 4 2" xfId="35114" xr:uid="{00000000-0005-0000-0000-00002A890000}"/>
    <cellStyle name="Normal 5 17 2 19 4 3" xfId="35115" xr:uid="{00000000-0005-0000-0000-00002B890000}"/>
    <cellStyle name="Normal 5 17 2 19 4 4" xfId="35116" xr:uid="{00000000-0005-0000-0000-00002C890000}"/>
    <cellStyle name="Normal 5 17 2 19 4 5" xfId="35117" xr:uid="{00000000-0005-0000-0000-00002D890000}"/>
    <cellStyle name="Normal 5 17 2 19 4 6" xfId="35118" xr:uid="{00000000-0005-0000-0000-00002E890000}"/>
    <cellStyle name="Normal 5 17 2 19 4 7" xfId="35119" xr:uid="{00000000-0005-0000-0000-00002F890000}"/>
    <cellStyle name="Normal 5 17 2 19 4 8" xfId="35120" xr:uid="{00000000-0005-0000-0000-000030890000}"/>
    <cellStyle name="Normal 5 17 2 19 4 9" xfId="35121" xr:uid="{00000000-0005-0000-0000-000031890000}"/>
    <cellStyle name="Normal 5 17 2 19 5" xfId="35122" xr:uid="{00000000-0005-0000-0000-000032890000}"/>
    <cellStyle name="Normal 5 17 2 19 5 10" xfId="35123" xr:uid="{00000000-0005-0000-0000-000033890000}"/>
    <cellStyle name="Normal 5 17 2 19 5 2" xfId="35124" xr:uid="{00000000-0005-0000-0000-000034890000}"/>
    <cellStyle name="Normal 5 17 2 19 5 3" xfId="35125" xr:uid="{00000000-0005-0000-0000-000035890000}"/>
    <cellStyle name="Normal 5 17 2 19 5 4" xfId="35126" xr:uid="{00000000-0005-0000-0000-000036890000}"/>
    <cellStyle name="Normal 5 17 2 19 5 5" xfId="35127" xr:uid="{00000000-0005-0000-0000-000037890000}"/>
    <cellStyle name="Normal 5 17 2 19 5 6" xfId="35128" xr:uid="{00000000-0005-0000-0000-000038890000}"/>
    <cellStyle name="Normal 5 17 2 19 5 7" xfId="35129" xr:uid="{00000000-0005-0000-0000-000039890000}"/>
    <cellStyle name="Normal 5 17 2 19 5 8" xfId="35130" xr:uid="{00000000-0005-0000-0000-00003A890000}"/>
    <cellStyle name="Normal 5 17 2 19 5 9" xfId="35131" xr:uid="{00000000-0005-0000-0000-00003B890000}"/>
    <cellStyle name="Normal 5 17 2 19 6" xfId="35132" xr:uid="{00000000-0005-0000-0000-00003C890000}"/>
    <cellStyle name="Normal 5 17 2 19 7" xfId="35133" xr:uid="{00000000-0005-0000-0000-00003D890000}"/>
    <cellStyle name="Normal 5 17 2 19 8" xfId="35134" xr:uid="{00000000-0005-0000-0000-00003E890000}"/>
    <cellStyle name="Normal 5 17 2 19 9" xfId="35135" xr:uid="{00000000-0005-0000-0000-00003F890000}"/>
    <cellStyle name="Normal 5 17 2 2" xfId="35136" xr:uid="{00000000-0005-0000-0000-000040890000}"/>
    <cellStyle name="Normal 5 17 2 2 10" xfId="35137" xr:uid="{00000000-0005-0000-0000-000041890000}"/>
    <cellStyle name="Normal 5 17 2 2 11" xfId="35138" xr:uid="{00000000-0005-0000-0000-000042890000}"/>
    <cellStyle name="Normal 5 17 2 2 12" xfId="35139" xr:uid="{00000000-0005-0000-0000-000043890000}"/>
    <cellStyle name="Normal 5 17 2 2 13" xfId="35140" xr:uid="{00000000-0005-0000-0000-000044890000}"/>
    <cellStyle name="Normal 5 17 2 2 14" xfId="35141" xr:uid="{00000000-0005-0000-0000-000045890000}"/>
    <cellStyle name="Normal 5 17 2 2 15" xfId="35142" xr:uid="{00000000-0005-0000-0000-000046890000}"/>
    <cellStyle name="Normal 5 17 2 2 16" xfId="35143" xr:uid="{00000000-0005-0000-0000-000047890000}"/>
    <cellStyle name="Normal 5 17 2 2 2" xfId="35144" xr:uid="{00000000-0005-0000-0000-000048890000}"/>
    <cellStyle name="Normal 5 17 2 2 2 10" xfId="35145" xr:uid="{00000000-0005-0000-0000-000049890000}"/>
    <cellStyle name="Normal 5 17 2 2 2 2" xfId="35146" xr:uid="{00000000-0005-0000-0000-00004A890000}"/>
    <cellStyle name="Normal 5 17 2 2 2 3" xfId="35147" xr:uid="{00000000-0005-0000-0000-00004B890000}"/>
    <cellStyle name="Normal 5 17 2 2 2 4" xfId="35148" xr:uid="{00000000-0005-0000-0000-00004C890000}"/>
    <cellStyle name="Normal 5 17 2 2 2 5" xfId="35149" xr:uid="{00000000-0005-0000-0000-00004D890000}"/>
    <cellStyle name="Normal 5 17 2 2 2 6" xfId="35150" xr:uid="{00000000-0005-0000-0000-00004E890000}"/>
    <cellStyle name="Normal 5 17 2 2 2 7" xfId="35151" xr:uid="{00000000-0005-0000-0000-00004F890000}"/>
    <cellStyle name="Normal 5 17 2 2 2 8" xfId="35152" xr:uid="{00000000-0005-0000-0000-000050890000}"/>
    <cellStyle name="Normal 5 17 2 2 2 9" xfId="35153" xr:uid="{00000000-0005-0000-0000-000051890000}"/>
    <cellStyle name="Normal 5 17 2 2 3" xfId="35154" xr:uid="{00000000-0005-0000-0000-000052890000}"/>
    <cellStyle name="Normal 5 17 2 2 3 10" xfId="35155" xr:uid="{00000000-0005-0000-0000-000053890000}"/>
    <cellStyle name="Normal 5 17 2 2 3 2" xfId="35156" xr:uid="{00000000-0005-0000-0000-000054890000}"/>
    <cellStyle name="Normal 5 17 2 2 3 3" xfId="35157" xr:uid="{00000000-0005-0000-0000-000055890000}"/>
    <cellStyle name="Normal 5 17 2 2 3 4" xfId="35158" xr:uid="{00000000-0005-0000-0000-000056890000}"/>
    <cellStyle name="Normal 5 17 2 2 3 5" xfId="35159" xr:uid="{00000000-0005-0000-0000-000057890000}"/>
    <cellStyle name="Normal 5 17 2 2 3 6" xfId="35160" xr:uid="{00000000-0005-0000-0000-000058890000}"/>
    <cellStyle name="Normal 5 17 2 2 3 7" xfId="35161" xr:uid="{00000000-0005-0000-0000-000059890000}"/>
    <cellStyle name="Normal 5 17 2 2 3 8" xfId="35162" xr:uid="{00000000-0005-0000-0000-00005A890000}"/>
    <cellStyle name="Normal 5 17 2 2 3 9" xfId="35163" xr:uid="{00000000-0005-0000-0000-00005B890000}"/>
    <cellStyle name="Normal 5 17 2 2 4" xfId="35164" xr:uid="{00000000-0005-0000-0000-00005C890000}"/>
    <cellStyle name="Normal 5 17 2 2 4 10" xfId="35165" xr:uid="{00000000-0005-0000-0000-00005D890000}"/>
    <cellStyle name="Normal 5 17 2 2 4 2" xfId="35166" xr:uid="{00000000-0005-0000-0000-00005E890000}"/>
    <cellStyle name="Normal 5 17 2 2 4 3" xfId="35167" xr:uid="{00000000-0005-0000-0000-00005F890000}"/>
    <cellStyle name="Normal 5 17 2 2 4 4" xfId="35168" xr:uid="{00000000-0005-0000-0000-000060890000}"/>
    <cellStyle name="Normal 5 17 2 2 4 5" xfId="35169" xr:uid="{00000000-0005-0000-0000-000061890000}"/>
    <cellStyle name="Normal 5 17 2 2 4 6" xfId="35170" xr:uid="{00000000-0005-0000-0000-000062890000}"/>
    <cellStyle name="Normal 5 17 2 2 4 7" xfId="35171" xr:uid="{00000000-0005-0000-0000-000063890000}"/>
    <cellStyle name="Normal 5 17 2 2 4 8" xfId="35172" xr:uid="{00000000-0005-0000-0000-000064890000}"/>
    <cellStyle name="Normal 5 17 2 2 4 9" xfId="35173" xr:uid="{00000000-0005-0000-0000-000065890000}"/>
    <cellStyle name="Normal 5 17 2 2 5" xfId="35174" xr:uid="{00000000-0005-0000-0000-000066890000}"/>
    <cellStyle name="Normal 5 17 2 2 5 10" xfId="35175" xr:uid="{00000000-0005-0000-0000-000067890000}"/>
    <cellStyle name="Normal 5 17 2 2 5 2" xfId="35176" xr:uid="{00000000-0005-0000-0000-000068890000}"/>
    <cellStyle name="Normal 5 17 2 2 5 3" xfId="35177" xr:uid="{00000000-0005-0000-0000-000069890000}"/>
    <cellStyle name="Normal 5 17 2 2 5 4" xfId="35178" xr:uid="{00000000-0005-0000-0000-00006A890000}"/>
    <cellStyle name="Normal 5 17 2 2 5 5" xfId="35179" xr:uid="{00000000-0005-0000-0000-00006B890000}"/>
    <cellStyle name="Normal 5 17 2 2 5 6" xfId="35180" xr:uid="{00000000-0005-0000-0000-00006C890000}"/>
    <cellStyle name="Normal 5 17 2 2 5 7" xfId="35181" xr:uid="{00000000-0005-0000-0000-00006D890000}"/>
    <cellStyle name="Normal 5 17 2 2 5 8" xfId="35182" xr:uid="{00000000-0005-0000-0000-00006E890000}"/>
    <cellStyle name="Normal 5 17 2 2 5 9" xfId="35183" xr:uid="{00000000-0005-0000-0000-00006F890000}"/>
    <cellStyle name="Normal 5 17 2 2 6" xfId="35184" xr:uid="{00000000-0005-0000-0000-000070890000}"/>
    <cellStyle name="Normal 5 17 2 2 7" xfId="35185" xr:uid="{00000000-0005-0000-0000-000071890000}"/>
    <cellStyle name="Normal 5 17 2 2 8" xfId="35186" xr:uid="{00000000-0005-0000-0000-000072890000}"/>
    <cellStyle name="Normal 5 17 2 2 9" xfId="35187" xr:uid="{00000000-0005-0000-0000-000073890000}"/>
    <cellStyle name="Normal 5 17 2 20" xfId="35188" xr:uid="{00000000-0005-0000-0000-000074890000}"/>
    <cellStyle name="Normal 5 17 2 20 10" xfId="35189" xr:uid="{00000000-0005-0000-0000-000075890000}"/>
    <cellStyle name="Normal 5 17 2 20 11" xfId="35190" xr:uid="{00000000-0005-0000-0000-000076890000}"/>
    <cellStyle name="Normal 5 17 2 20 12" xfId="35191" xr:uid="{00000000-0005-0000-0000-000077890000}"/>
    <cellStyle name="Normal 5 17 2 20 13" xfId="35192" xr:uid="{00000000-0005-0000-0000-000078890000}"/>
    <cellStyle name="Normal 5 17 2 20 14" xfId="35193" xr:uid="{00000000-0005-0000-0000-000079890000}"/>
    <cellStyle name="Normal 5 17 2 20 2" xfId="35194" xr:uid="{00000000-0005-0000-0000-00007A890000}"/>
    <cellStyle name="Normal 5 17 2 20 2 10" xfId="35195" xr:uid="{00000000-0005-0000-0000-00007B890000}"/>
    <cellStyle name="Normal 5 17 2 20 2 2" xfId="35196" xr:uid="{00000000-0005-0000-0000-00007C890000}"/>
    <cellStyle name="Normal 5 17 2 20 2 3" xfId="35197" xr:uid="{00000000-0005-0000-0000-00007D890000}"/>
    <cellStyle name="Normal 5 17 2 20 2 4" xfId="35198" xr:uid="{00000000-0005-0000-0000-00007E890000}"/>
    <cellStyle name="Normal 5 17 2 20 2 5" xfId="35199" xr:uid="{00000000-0005-0000-0000-00007F890000}"/>
    <cellStyle name="Normal 5 17 2 20 2 6" xfId="35200" xr:uid="{00000000-0005-0000-0000-000080890000}"/>
    <cellStyle name="Normal 5 17 2 20 2 7" xfId="35201" xr:uid="{00000000-0005-0000-0000-000081890000}"/>
    <cellStyle name="Normal 5 17 2 20 2 8" xfId="35202" xr:uid="{00000000-0005-0000-0000-000082890000}"/>
    <cellStyle name="Normal 5 17 2 20 2 9" xfId="35203" xr:uid="{00000000-0005-0000-0000-000083890000}"/>
    <cellStyle name="Normal 5 17 2 20 3" xfId="35204" xr:uid="{00000000-0005-0000-0000-000084890000}"/>
    <cellStyle name="Normal 5 17 2 20 3 10" xfId="35205" xr:uid="{00000000-0005-0000-0000-000085890000}"/>
    <cellStyle name="Normal 5 17 2 20 3 2" xfId="35206" xr:uid="{00000000-0005-0000-0000-000086890000}"/>
    <cellStyle name="Normal 5 17 2 20 3 3" xfId="35207" xr:uid="{00000000-0005-0000-0000-000087890000}"/>
    <cellStyle name="Normal 5 17 2 20 3 4" xfId="35208" xr:uid="{00000000-0005-0000-0000-000088890000}"/>
    <cellStyle name="Normal 5 17 2 20 3 5" xfId="35209" xr:uid="{00000000-0005-0000-0000-000089890000}"/>
    <cellStyle name="Normal 5 17 2 20 3 6" xfId="35210" xr:uid="{00000000-0005-0000-0000-00008A890000}"/>
    <cellStyle name="Normal 5 17 2 20 3 7" xfId="35211" xr:uid="{00000000-0005-0000-0000-00008B890000}"/>
    <cellStyle name="Normal 5 17 2 20 3 8" xfId="35212" xr:uid="{00000000-0005-0000-0000-00008C890000}"/>
    <cellStyle name="Normal 5 17 2 20 3 9" xfId="35213" xr:uid="{00000000-0005-0000-0000-00008D890000}"/>
    <cellStyle name="Normal 5 17 2 20 4" xfId="35214" xr:uid="{00000000-0005-0000-0000-00008E890000}"/>
    <cellStyle name="Normal 5 17 2 20 4 10" xfId="35215" xr:uid="{00000000-0005-0000-0000-00008F890000}"/>
    <cellStyle name="Normal 5 17 2 20 4 2" xfId="35216" xr:uid="{00000000-0005-0000-0000-000090890000}"/>
    <cellStyle name="Normal 5 17 2 20 4 3" xfId="35217" xr:uid="{00000000-0005-0000-0000-000091890000}"/>
    <cellStyle name="Normal 5 17 2 20 4 4" xfId="35218" xr:uid="{00000000-0005-0000-0000-000092890000}"/>
    <cellStyle name="Normal 5 17 2 20 4 5" xfId="35219" xr:uid="{00000000-0005-0000-0000-000093890000}"/>
    <cellStyle name="Normal 5 17 2 20 4 6" xfId="35220" xr:uid="{00000000-0005-0000-0000-000094890000}"/>
    <cellStyle name="Normal 5 17 2 20 4 7" xfId="35221" xr:uid="{00000000-0005-0000-0000-000095890000}"/>
    <cellStyle name="Normal 5 17 2 20 4 8" xfId="35222" xr:uid="{00000000-0005-0000-0000-000096890000}"/>
    <cellStyle name="Normal 5 17 2 20 4 9" xfId="35223" xr:uid="{00000000-0005-0000-0000-000097890000}"/>
    <cellStyle name="Normal 5 17 2 20 5" xfId="35224" xr:uid="{00000000-0005-0000-0000-000098890000}"/>
    <cellStyle name="Normal 5 17 2 20 5 10" xfId="35225" xr:uid="{00000000-0005-0000-0000-000099890000}"/>
    <cellStyle name="Normal 5 17 2 20 5 2" xfId="35226" xr:uid="{00000000-0005-0000-0000-00009A890000}"/>
    <cellStyle name="Normal 5 17 2 20 5 3" xfId="35227" xr:uid="{00000000-0005-0000-0000-00009B890000}"/>
    <cellStyle name="Normal 5 17 2 20 5 4" xfId="35228" xr:uid="{00000000-0005-0000-0000-00009C890000}"/>
    <cellStyle name="Normal 5 17 2 20 5 5" xfId="35229" xr:uid="{00000000-0005-0000-0000-00009D890000}"/>
    <cellStyle name="Normal 5 17 2 20 5 6" xfId="35230" xr:uid="{00000000-0005-0000-0000-00009E890000}"/>
    <cellStyle name="Normal 5 17 2 20 5 7" xfId="35231" xr:uid="{00000000-0005-0000-0000-00009F890000}"/>
    <cellStyle name="Normal 5 17 2 20 5 8" xfId="35232" xr:uid="{00000000-0005-0000-0000-0000A0890000}"/>
    <cellStyle name="Normal 5 17 2 20 5 9" xfId="35233" xr:uid="{00000000-0005-0000-0000-0000A1890000}"/>
    <cellStyle name="Normal 5 17 2 20 6" xfId="35234" xr:uid="{00000000-0005-0000-0000-0000A2890000}"/>
    <cellStyle name="Normal 5 17 2 20 7" xfId="35235" xr:uid="{00000000-0005-0000-0000-0000A3890000}"/>
    <cellStyle name="Normal 5 17 2 20 8" xfId="35236" xr:uid="{00000000-0005-0000-0000-0000A4890000}"/>
    <cellStyle name="Normal 5 17 2 20 9" xfId="35237" xr:uid="{00000000-0005-0000-0000-0000A5890000}"/>
    <cellStyle name="Normal 5 17 2 21" xfId="35238" xr:uid="{00000000-0005-0000-0000-0000A6890000}"/>
    <cellStyle name="Normal 5 17 2 21 10" xfId="35239" xr:uid="{00000000-0005-0000-0000-0000A7890000}"/>
    <cellStyle name="Normal 5 17 2 21 11" xfId="35240" xr:uid="{00000000-0005-0000-0000-0000A8890000}"/>
    <cellStyle name="Normal 5 17 2 21 12" xfId="35241" xr:uid="{00000000-0005-0000-0000-0000A9890000}"/>
    <cellStyle name="Normal 5 17 2 21 13" xfId="35242" xr:uid="{00000000-0005-0000-0000-0000AA890000}"/>
    <cellStyle name="Normal 5 17 2 21 14" xfId="35243" xr:uid="{00000000-0005-0000-0000-0000AB890000}"/>
    <cellStyle name="Normal 5 17 2 21 2" xfId="35244" xr:uid="{00000000-0005-0000-0000-0000AC890000}"/>
    <cellStyle name="Normal 5 17 2 21 2 10" xfId="35245" xr:uid="{00000000-0005-0000-0000-0000AD890000}"/>
    <cellStyle name="Normal 5 17 2 21 2 2" xfId="35246" xr:uid="{00000000-0005-0000-0000-0000AE890000}"/>
    <cellStyle name="Normal 5 17 2 21 2 3" xfId="35247" xr:uid="{00000000-0005-0000-0000-0000AF890000}"/>
    <cellStyle name="Normal 5 17 2 21 2 4" xfId="35248" xr:uid="{00000000-0005-0000-0000-0000B0890000}"/>
    <cellStyle name="Normal 5 17 2 21 2 5" xfId="35249" xr:uid="{00000000-0005-0000-0000-0000B1890000}"/>
    <cellStyle name="Normal 5 17 2 21 2 6" xfId="35250" xr:uid="{00000000-0005-0000-0000-0000B2890000}"/>
    <cellStyle name="Normal 5 17 2 21 2 7" xfId="35251" xr:uid="{00000000-0005-0000-0000-0000B3890000}"/>
    <cellStyle name="Normal 5 17 2 21 2 8" xfId="35252" xr:uid="{00000000-0005-0000-0000-0000B4890000}"/>
    <cellStyle name="Normal 5 17 2 21 2 9" xfId="35253" xr:uid="{00000000-0005-0000-0000-0000B5890000}"/>
    <cellStyle name="Normal 5 17 2 21 3" xfId="35254" xr:uid="{00000000-0005-0000-0000-0000B6890000}"/>
    <cellStyle name="Normal 5 17 2 21 3 10" xfId="35255" xr:uid="{00000000-0005-0000-0000-0000B7890000}"/>
    <cellStyle name="Normal 5 17 2 21 3 2" xfId="35256" xr:uid="{00000000-0005-0000-0000-0000B8890000}"/>
    <cellStyle name="Normal 5 17 2 21 3 3" xfId="35257" xr:uid="{00000000-0005-0000-0000-0000B9890000}"/>
    <cellStyle name="Normal 5 17 2 21 3 4" xfId="35258" xr:uid="{00000000-0005-0000-0000-0000BA890000}"/>
    <cellStyle name="Normal 5 17 2 21 3 5" xfId="35259" xr:uid="{00000000-0005-0000-0000-0000BB890000}"/>
    <cellStyle name="Normal 5 17 2 21 3 6" xfId="35260" xr:uid="{00000000-0005-0000-0000-0000BC890000}"/>
    <cellStyle name="Normal 5 17 2 21 3 7" xfId="35261" xr:uid="{00000000-0005-0000-0000-0000BD890000}"/>
    <cellStyle name="Normal 5 17 2 21 3 8" xfId="35262" xr:uid="{00000000-0005-0000-0000-0000BE890000}"/>
    <cellStyle name="Normal 5 17 2 21 3 9" xfId="35263" xr:uid="{00000000-0005-0000-0000-0000BF890000}"/>
    <cellStyle name="Normal 5 17 2 21 4" xfId="35264" xr:uid="{00000000-0005-0000-0000-0000C0890000}"/>
    <cellStyle name="Normal 5 17 2 21 4 10" xfId="35265" xr:uid="{00000000-0005-0000-0000-0000C1890000}"/>
    <cellStyle name="Normal 5 17 2 21 4 2" xfId="35266" xr:uid="{00000000-0005-0000-0000-0000C2890000}"/>
    <cellStyle name="Normal 5 17 2 21 4 3" xfId="35267" xr:uid="{00000000-0005-0000-0000-0000C3890000}"/>
    <cellStyle name="Normal 5 17 2 21 4 4" xfId="35268" xr:uid="{00000000-0005-0000-0000-0000C4890000}"/>
    <cellStyle name="Normal 5 17 2 21 4 5" xfId="35269" xr:uid="{00000000-0005-0000-0000-0000C5890000}"/>
    <cellStyle name="Normal 5 17 2 21 4 6" xfId="35270" xr:uid="{00000000-0005-0000-0000-0000C6890000}"/>
    <cellStyle name="Normal 5 17 2 21 4 7" xfId="35271" xr:uid="{00000000-0005-0000-0000-0000C7890000}"/>
    <cellStyle name="Normal 5 17 2 21 4 8" xfId="35272" xr:uid="{00000000-0005-0000-0000-0000C8890000}"/>
    <cellStyle name="Normal 5 17 2 21 4 9" xfId="35273" xr:uid="{00000000-0005-0000-0000-0000C9890000}"/>
    <cellStyle name="Normal 5 17 2 21 5" xfId="35274" xr:uid="{00000000-0005-0000-0000-0000CA890000}"/>
    <cellStyle name="Normal 5 17 2 21 5 10" xfId="35275" xr:uid="{00000000-0005-0000-0000-0000CB890000}"/>
    <cellStyle name="Normal 5 17 2 21 5 2" xfId="35276" xr:uid="{00000000-0005-0000-0000-0000CC890000}"/>
    <cellStyle name="Normal 5 17 2 21 5 3" xfId="35277" xr:uid="{00000000-0005-0000-0000-0000CD890000}"/>
    <cellStyle name="Normal 5 17 2 21 5 4" xfId="35278" xr:uid="{00000000-0005-0000-0000-0000CE890000}"/>
    <cellStyle name="Normal 5 17 2 21 5 5" xfId="35279" xr:uid="{00000000-0005-0000-0000-0000CF890000}"/>
    <cellStyle name="Normal 5 17 2 21 5 6" xfId="35280" xr:uid="{00000000-0005-0000-0000-0000D0890000}"/>
    <cellStyle name="Normal 5 17 2 21 5 7" xfId="35281" xr:uid="{00000000-0005-0000-0000-0000D1890000}"/>
    <cellStyle name="Normal 5 17 2 21 5 8" xfId="35282" xr:uid="{00000000-0005-0000-0000-0000D2890000}"/>
    <cellStyle name="Normal 5 17 2 21 5 9" xfId="35283" xr:uid="{00000000-0005-0000-0000-0000D3890000}"/>
    <cellStyle name="Normal 5 17 2 21 6" xfId="35284" xr:uid="{00000000-0005-0000-0000-0000D4890000}"/>
    <cellStyle name="Normal 5 17 2 21 7" xfId="35285" xr:uid="{00000000-0005-0000-0000-0000D5890000}"/>
    <cellStyle name="Normal 5 17 2 21 8" xfId="35286" xr:uid="{00000000-0005-0000-0000-0000D6890000}"/>
    <cellStyle name="Normal 5 17 2 21 9" xfId="35287" xr:uid="{00000000-0005-0000-0000-0000D7890000}"/>
    <cellStyle name="Normal 5 17 2 22" xfId="35288" xr:uid="{00000000-0005-0000-0000-0000D8890000}"/>
    <cellStyle name="Normal 5 17 2 22 10" xfId="35289" xr:uid="{00000000-0005-0000-0000-0000D9890000}"/>
    <cellStyle name="Normal 5 17 2 22 11" xfId="35290" xr:uid="{00000000-0005-0000-0000-0000DA890000}"/>
    <cellStyle name="Normal 5 17 2 22 12" xfId="35291" xr:uid="{00000000-0005-0000-0000-0000DB890000}"/>
    <cellStyle name="Normal 5 17 2 22 13" xfId="35292" xr:uid="{00000000-0005-0000-0000-0000DC890000}"/>
    <cellStyle name="Normal 5 17 2 22 14" xfId="35293" xr:uid="{00000000-0005-0000-0000-0000DD890000}"/>
    <cellStyle name="Normal 5 17 2 22 2" xfId="35294" xr:uid="{00000000-0005-0000-0000-0000DE890000}"/>
    <cellStyle name="Normal 5 17 2 22 2 10" xfId="35295" xr:uid="{00000000-0005-0000-0000-0000DF890000}"/>
    <cellStyle name="Normal 5 17 2 22 2 2" xfId="35296" xr:uid="{00000000-0005-0000-0000-0000E0890000}"/>
    <cellStyle name="Normal 5 17 2 22 2 3" xfId="35297" xr:uid="{00000000-0005-0000-0000-0000E1890000}"/>
    <cellStyle name="Normal 5 17 2 22 2 4" xfId="35298" xr:uid="{00000000-0005-0000-0000-0000E2890000}"/>
    <cellStyle name="Normal 5 17 2 22 2 5" xfId="35299" xr:uid="{00000000-0005-0000-0000-0000E3890000}"/>
    <cellStyle name="Normal 5 17 2 22 2 6" xfId="35300" xr:uid="{00000000-0005-0000-0000-0000E4890000}"/>
    <cellStyle name="Normal 5 17 2 22 2 7" xfId="35301" xr:uid="{00000000-0005-0000-0000-0000E5890000}"/>
    <cellStyle name="Normal 5 17 2 22 2 8" xfId="35302" xr:uid="{00000000-0005-0000-0000-0000E6890000}"/>
    <cellStyle name="Normal 5 17 2 22 2 9" xfId="35303" xr:uid="{00000000-0005-0000-0000-0000E7890000}"/>
    <cellStyle name="Normal 5 17 2 22 3" xfId="35304" xr:uid="{00000000-0005-0000-0000-0000E8890000}"/>
    <cellStyle name="Normal 5 17 2 22 3 10" xfId="35305" xr:uid="{00000000-0005-0000-0000-0000E9890000}"/>
    <cellStyle name="Normal 5 17 2 22 3 2" xfId="35306" xr:uid="{00000000-0005-0000-0000-0000EA890000}"/>
    <cellStyle name="Normal 5 17 2 22 3 3" xfId="35307" xr:uid="{00000000-0005-0000-0000-0000EB890000}"/>
    <cellStyle name="Normal 5 17 2 22 3 4" xfId="35308" xr:uid="{00000000-0005-0000-0000-0000EC890000}"/>
    <cellStyle name="Normal 5 17 2 22 3 5" xfId="35309" xr:uid="{00000000-0005-0000-0000-0000ED890000}"/>
    <cellStyle name="Normal 5 17 2 22 3 6" xfId="35310" xr:uid="{00000000-0005-0000-0000-0000EE890000}"/>
    <cellStyle name="Normal 5 17 2 22 3 7" xfId="35311" xr:uid="{00000000-0005-0000-0000-0000EF890000}"/>
    <cellStyle name="Normal 5 17 2 22 3 8" xfId="35312" xr:uid="{00000000-0005-0000-0000-0000F0890000}"/>
    <cellStyle name="Normal 5 17 2 22 3 9" xfId="35313" xr:uid="{00000000-0005-0000-0000-0000F1890000}"/>
    <cellStyle name="Normal 5 17 2 22 4" xfId="35314" xr:uid="{00000000-0005-0000-0000-0000F2890000}"/>
    <cellStyle name="Normal 5 17 2 22 4 10" xfId="35315" xr:uid="{00000000-0005-0000-0000-0000F3890000}"/>
    <cellStyle name="Normal 5 17 2 22 4 2" xfId="35316" xr:uid="{00000000-0005-0000-0000-0000F4890000}"/>
    <cellStyle name="Normal 5 17 2 22 4 3" xfId="35317" xr:uid="{00000000-0005-0000-0000-0000F5890000}"/>
    <cellStyle name="Normal 5 17 2 22 4 4" xfId="35318" xr:uid="{00000000-0005-0000-0000-0000F6890000}"/>
    <cellStyle name="Normal 5 17 2 22 4 5" xfId="35319" xr:uid="{00000000-0005-0000-0000-0000F7890000}"/>
    <cellStyle name="Normal 5 17 2 22 4 6" xfId="35320" xr:uid="{00000000-0005-0000-0000-0000F8890000}"/>
    <cellStyle name="Normal 5 17 2 22 4 7" xfId="35321" xr:uid="{00000000-0005-0000-0000-0000F9890000}"/>
    <cellStyle name="Normal 5 17 2 22 4 8" xfId="35322" xr:uid="{00000000-0005-0000-0000-0000FA890000}"/>
    <cellStyle name="Normal 5 17 2 22 4 9" xfId="35323" xr:uid="{00000000-0005-0000-0000-0000FB890000}"/>
    <cellStyle name="Normal 5 17 2 22 5" xfId="35324" xr:uid="{00000000-0005-0000-0000-0000FC890000}"/>
    <cellStyle name="Normal 5 17 2 22 5 10" xfId="35325" xr:uid="{00000000-0005-0000-0000-0000FD890000}"/>
    <cellStyle name="Normal 5 17 2 22 5 2" xfId="35326" xr:uid="{00000000-0005-0000-0000-0000FE890000}"/>
    <cellStyle name="Normal 5 17 2 22 5 3" xfId="35327" xr:uid="{00000000-0005-0000-0000-0000FF890000}"/>
    <cellStyle name="Normal 5 17 2 22 5 4" xfId="35328" xr:uid="{00000000-0005-0000-0000-0000008A0000}"/>
    <cellStyle name="Normal 5 17 2 22 5 5" xfId="35329" xr:uid="{00000000-0005-0000-0000-0000018A0000}"/>
    <cellStyle name="Normal 5 17 2 22 5 6" xfId="35330" xr:uid="{00000000-0005-0000-0000-0000028A0000}"/>
    <cellStyle name="Normal 5 17 2 22 5 7" xfId="35331" xr:uid="{00000000-0005-0000-0000-0000038A0000}"/>
    <cellStyle name="Normal 5 17 2 22 5 8" xfId="35332" xr:uid="{00000000-0005-0000-0000-0000048A0000}"/>
    <cellStyle name="Normal 5 17 2 22 5 9" xfId="35333" xr:uid="{00000000-0005-0000-0000-0000058A0000}"/>
    <cellStyle name="Normal 5 17 2 22 6" xfId="35334" xr:uid="{00000000-0005-0000-0000-0000068A0000}"/>
    <cellStyle name="Normal 5 17 2 22 7" xfId="35335" xr:uid="{00000000-0005-0000-0000-0000078A0000}"/>
    <cellStyle name="Normal 5 17 2 22 8" xfId="35336" xr:uid="{00000000-0005-0000-0000-0000088A0000}"/>
    <cellStyle name="Normal 5 17 2 22 9" xfId="35337" xr:uid="{00000000-0005-0000-0000-0000098A0000}"/>
    <cellStyle name="Normal 5 17 2 23" xfId="35338" xr:uid="{00000000-0005-0000-0000-00000A8A0000}"/>
    <cellStyle name="Normal 5 17 2 23 10" xfId="35339" xr:uid="{00000000-0005-0000-0000-00000B8A0000}"/>
    <cellStyle name="Normal 5 17 2 23 11" xfId="35340" xr:uid="{00000000-0005-0000-0000-00000C8A0000}"/>
    <cellStyle name="Normal 5 17 2 23 12" xfId="35341" xr:uid="{00000000-0005-0000-0000-00000D8A0000}"/>
    <cellStyle name="Normal 5 17 2 23 13" xfId="35342" xr:uid="{00000000-0005-0000-0000-00000E8A0000}"/>
    <cellStyle name="Normal 5 17 2 23 14" xfId="35343" xr:uid="{00000000-0005-0000-0000-00000F8A0000}"/>
    <cellStyle name="Normal 5 17 2 23 2" xfId="35344" xr:uid="{00000000-0005-0000-0000-0000108A0000}"/>
    <cellStyle name="Normal 5 17 2 23 2 10" xfId="35345" xr:uid="{00000000-0005-0000-0000-0000118A0000}"/>
    <cellStyle name="Normal 5 17 2 23 2 2" xfId="35346" xr:uid="{00000000-0005-0000-0000-0000128A0000}"/>
    <cellStyle name="Normal 5 17 2 23 2 3" xfId="35347" xr:uid="{00000000-0005-0000-0000-0000138A0000}"/>
    <cellStyle name="Normal 5 17 2 23 2 4" xfId="35348" xr:uid="{00000000-0005-0000-0000-0000148A0000}"/>
    <cellStyle name="Normal 5 17 2 23 2 5" xfId="35349" xr:uid="{00000000-0005-0000-0000-0000158A0000}"/>
    <cellStyle name="Normal 5 17 2 23 2 6" xfId="35350" xr:uid="{00000000-0005-0000-0000-0000168A0000}"/>
    <cellStyle name="Normal 5 17 2 23 2 7" xfId="35351" xr:uid="{00000000-0005-0000-0000-0000178A0000}"/>
    <cellStyle name="Normal 5 17 2 23 2 8" xfId="35352" xr:uid="{00000000-0005-0000-0000-0000188A0000}"/>
    <cellStyle name="Normal 5 17 2 23 2 9" xfId="35353" xr:uid="{00000000-0005-0000-0000-0000198A0000}"/>
    <cellStyle name="Normal 5 17 2 23 3" xfId="35354" xr:uid="{00000000-0005-0000-0000-00001A8A0000}"/>
    <cellStyle name="Normal 5 17 2 23 3 10" xfId="35355" xr:uid="{00000000-0005-0000-0000-00001B8A0000}"/>
    <cellStyle name="Normal 5 17 2 23 3 2" xfId="35356" xr:uid="{00000000-0005-0000-0000-00001C8A0000}"/>
    <cellStyle name="Normal 5 17 2 23 3 3" xfId="35357" xr:uid="{00000000-0005-0000-0000-00001D8A0000}"/>
    <cellStyle name="Normal 5 17 2 23 3 4" xfId="35358" xr:uid="{00000000-0005-0000-0000-00001E8A0000}"/>
    <cellStyle name="Normal 5 17 2 23 3 5" xfId="35359" xr:uid="{00000000-0005-0000-0000-00001F8A0000}"/>
    <cellStyle name="Normal 5 17 2 23 3 6" xfId="35360" xr:uid="{00000000-0005-0000-0000-0000208A0000}"/>
    <cellStyle name="Normal 5 17 2 23 3 7" xfId="35361" xr:uid="{00000000-0005-0000-0000-0000218A0000}"/>
    <cellStyle name="Normal 5 17 2 23 3 8" xfId="35362" xr:uid="{00000000-0005-0000-0000-0000228A0000}"/>
    <cellStyle name="Normal 5 17 2 23 3 9" xfId="35363" xr:uid="{00000000-0005-0000-0000-0000238A0000}"/>
    <cellStyle name="Normal 5 17 2 23 4" xfId="35364" xr:uid="{00000000-0005-0000-0000-0000248A0000}"/>
    <cellStyle name="Normal 5 17 2 23 4 10" xfId="35365" xr:uid="{00000000-0005-0000-0000-0000258A0000}"/>
    <cellStyle name="Normal 5 17 2 23 4 2" xfId="35366" xr:uid="{00000000-0005-0000-0000-0000268A0000}"/>
    <cellStyle name="Normal 5 17 2 23 4 3" xfId="35367" xr:uid="{00000000-0005-0000-0000-0000278A0000}"/>
    <cellStyle name="Normal 5 17 2 23 4 4" xfId="35368" xr:uid="{00000000-0005-0000-0000-0000288A0000}"/>
    <cellStyle name="Normal 5 17 2 23 4 5" xfId="35369" xr:uid="{00000000-0005-0000-0000-0000298A0000}"/>
    <cellStyle name="Normal 5 17 2 23 4 6" xfId="35370" xr:uid="{00000000-0005-0000-0000-00002A8A0000}"/>
    <cellStyle name="Normal 5 17 2 23 4 7" xfId="35371" xr:uid="{00000000-0005-0000-0000-00002B8A0000}"/>
    <cellStyle name="Normal 5 17 2 23 4 8" xfId="35372" xr:uid="{00000000-0005-0000-0000-00002C8A0000}"/>
    <cellStyle name="Normal 5 17 2 23 4 9" xfId="35373" xr:uid="{00000000-0005-0000-0000-00002D8A0000}"/>
    <cellStyle name="Normal 5 17 2 23 5" xfId="35374" xr:uid="{00000000-0005-0000-0000-00002E8A0000}"/>
    <cellStyle name="Normal 5 17 2 23 5 10" xfId="35375" xr:uid="{00000000-0005-0000-0000-00002F8A0000}"/>
    <cellStyle name="Normal 5 17 2 23 5 2" xfId="35376" xr:uid="{00000000-0005-0000-0000-0000308A0000}"/>
    <cellStyle name="Normal 5 17 2 23 5 3" xfId="35377" xr:uid="{00000000-0005-0000-0000-0000318A0000}"/>
    <cellStyle name="Normal 5 17 2 23 5 4" xfId="35378" xr:uid="{00000000-0005-0000-0000-0000328A0000}"/>
    <cellStyle name="Normal 5 17 2 23 5 5" xfId="35379" xr:uid="{00000000-0005-0000-0000-0000338A0000}"/>
    <cellStyle name="Normal 5 17 2 23 5 6" xfId="35380" xr:uid="{00000000-0005-0000-0000-0000348A0000}"/>
    <cellStyle name="Normal 5 17 2 23 5 7" xfId="35381" xr:uid="{00000000-0005-0000-0000-0000358A0000}"/>
    <cellStyle name="Normal 5 17 2 23 5 8" xfId="35382" xr:uid="{00000000-0005-0000-0000-0000368A0000}"/>
    <cellStyle name="Normal 5 17 2 23 5 9" xfId="35383" xr:uid="{00000000-0005-0000-0000-0000378A0000}"/>
    <cellStyle name="Normal 5 17 2 23 6" xfId="35384" xr:uid="{00000000-0005-0000-0000-0000388A0000}"/>
    <cellStyle name="Normal 5 17 2 23 7" xfId="35385" xr:uid="{00000000-0005-0000-0000-0000398A0000}"/>
    <cellStyle name="Normal 5 17 2 23 8" xfId="35386" xr:uid="{00000000-0005-0000-0000-00003A8A0000}"/>
    <cellStyle name="Normal 5 17 2 23 9" xfId="35387" xr:uid="{00000000-0005-0000-0000-00003B8A0000}"/>
    <cellStyle name="Normal 5 17 2 24" xfId="35388" xr:uid="{00000000-0005-0000-0000-00003C8A0000}"/>
    <cellStyle name="Normal 5 17 2 24 10" xfId="35389" xr:uid="{00000000-0005-0000-0000-00003D8A0000}"/>
    <cellStyle name="Normal 5 17 2 24 11" xfId="35390" xr:uid="{00000000-0005-0000-0000-00003E8A0000}"/>
    <cellStyle name="Normal 5 17 2 24 12" xfId="35391" xr:uid="{00000000-0005-0000-0000-00003F8A0000}"/>
    <cellStyle name="Normal 5 17 2 24 13" xfId="35392" xr:uid="{00000000-0005-0000-0000-0000408A0000}"/>
    <cellStyle name="Normal 5 17 2 24 14" xfId="35393" xr:uid="{00000000-0005-0000-0000-0000418A0000}"/>
    <cellStyle name="Normal 5 17 2 24 2" xfId="35394" xr:uid="{00000000-0005-0000-0000-0000428A0000}"/>
    <cellStyle name="Normal 5 17 2 24 2 10" xfId="35395" xr:uid="{00000000-0005-0000-0000-0000438A0000}"/>
    <cellStyle name="Normal 5 17 2 24 2 2" xfId="35396" xr:uid="{00000000-0005-0000-0000-0000448A0000}"/>
    <cellStyle name="Normal 5 17 2 24 2 3" xfId="35397" xr:uid="{00000000-0005-0000-0000-0000458A0000}"/>
    <cellStyle name="Normal 5 17 2 24 2 4" xfId="35398" xr:uid="{00000000-0005-0000-0000-0000468A0000}"/>
    <cellStyle name="Normal 5 17 2 24 2 5" xfId="35399" xr:uid="{00000000-0005-0000-0000-0000478A0000}"/>
    <cellStyle name="Normal 5 17 2 24 2 6" xfId="35400" xr:uid="{00000000-0005-0000-0000-0000488A0000}"/>
    <cellStyle name="Normal 5 17 2 24 2 7" xfId="35401" xr:uid="{00000000-0005-0000-0000-0000498A0000}"/>
    <cellStyle name="Normal 5 17 2 24 2 8" xfId="35402" xr:uid="{00000000-0005-0000-0000-00004A8A0000}"/>
    <cellStyle name="Normal 5 17 2 24 2 9" xfId="35403" xr:uid="{00000000-0005-0000-0000-00004B8A0000}"/>
    <cellStyle name="Normal 5 17 2 24 3" xfId="35404" xr:uid="{00000000-0005-0000-0000-00004C8A0000}"/>
    <cellStyle name="Normal 5 17 2 24 3 10" xfId="35405" xr:uid="{00000000-0005-0000-0000-00004D8A0000}"/>
    <cellStyle name="Normal 5 17 2 24 3 2" xfId="35406" xr:uid="{00000000-0005-0000-0000-00004E8A0000}"/>
    <cellStyle name="Normal 5 17 2 24 3 3" xfId="35407" xr:uid="{00000000-0005-0000-0000-00004F8A0000}"/>
    <cellStyle name="Normal 5 17 2 24 3 4" xfId="35408" xr:uid="{00000000-0005-0000-0000-0000508A0000}"/>
    <cellStyle name="Normal 5 17 2 24 3 5" xfId="35409" xr:uid="{00000000-0005-0000-0000-0000518A0000}"/>
    <cellStyle name="Normal 5 17 2 24 3 6" xfId="35410" xr:uid="{00000000-0005-0000-0000-0000528A0000}"/>
    <cellStyle name="Normal 5 17 2 24 3 7" xfId="35411" xr:uid="{00000000-0005-0000-0000-0000538A0000}"/>
    <cellStyle name="Normal 5 17 2 24 3 8" xfId="35412" xr:uid="{00000000-0005-0000-0000-0000548A0000}"/>
    <cellStyle name="Normal 5 17 2 24 3 9" xfId="35413" xr:uid="{00000000-0005-0000-0000-0000558A0000}"/>
    <cellStyle name="Normal 5 17 2 24 4" xfId="35414" xr:uid="{00000000-0005-0000-0000-0000568A0000}"/>
    <cellStyle name="Normal 5 17 2 24 4 10" xfId="35415" xr:uid="{00000000-0005-0000-0000-0000578A0000}"/>
    <cellStyle name="Normal 5 17 2 24 4 2" xfId="35416" xr:uid="{00000000-0005-0000-0000-0000588A0000}"/>
    <cellStyle name="Normal 5 17 2 24 4 3" xfId="35417" xr:uid="{00000000-0005-0000-0000-0000598A0000}"/>
    <cellStyle name="Normal 5 17 2 24 4 4" xfId="35418" xr:uid="{00000000-0005-0000-0000-00005A8A0000}"/>
    <cellStyle name="Normal 5 17 2 24 4 5" xfId="35419" xr:uid="{00000000-0005-0000-0000-00005B8A0000}"/>
    <cellStyle name="Normal 5 17 2 24 4 6" xfId="35420" xr:uid="{00000000-0005-0000-0000-00005C8A0000}"/>
    <cellStyle name="Normal 5 17 2 24 4 7" xfId="35421" xr:uid="{00000000-0005-0000-0000-00005D8A0000}"/>
    <cellStyle name="Normal 5 17 2 24 4 8" xfId="35422" xr:uid="{00000000-0005-0000-0000-00005E8A0000}"/>
    <cellStyle name="Normal 5 17 2 24 4 9" xfId="35423" xr:uid="{00000000-0005-0000-0000-00005F8A0000}"/>
    <cellStyle name="Normal 5 17 2 24 5" xfId="35424" xr:uid="{00000000-0005-0000-0000-0000608A0000}"/>
    <cellStyle name="Normal 5 17 2 24 5 10" xfId="35425" xr:uid="{00000000-0005-0000-0000-0000618A0000}"/>
    <cellStyle name="Normal 5 17 2 24 5 2" xfId="35426" xr:uid="{00000000-0005-0000-0000-0000628A0000}"/>
    <cellStyle name="Normal 5 17 2 24 5 3" xfId="35427" xr:uid="{00000000-0005-0000-0000-0000638A0000}"/>
    <cellStyle name="Normal 5 17 2 24 5 4" xfId="35428" xr:uid="{00000000-0005-0000-0000-0000648A0000}"/>
    <cellStyle name="Normal 5 17 2 24 5 5" xfId="35429" xr:uid="{00000000-0005-0000-0000-0000658A0000}"/>
    <cellStyle name="Normal 5 17 2 24 5 6" xfId="35430" xr:uid="{00000000-0005-0000-0000-0000668A0000}"/>
    <cellStyle name="Normal 5 17 2 24 5 7" xfId="35431" xr:uid="{00000000-0005-0000-0000-0000678A0000}"/>
    <cellStyle name="Normal 5 17 2 24 5 8" xfId="35432" xr:uid="{00000000-0005-0000-0000-0000688A0000}"/>
    <cellStyle name="Normal 5 17 2 24 5 9" xfId="35433" xr:uid="{00000000-0005-0000-0000-0000698A0000}"/>
    <cellStyle name="Normal 5 17 2 24 6" xfId="35434" xr:uid="{00000000-0005-0000-0000-00006A8A0000}"/>
    <cellStyle name="Normal 5 17 2 24 7" xfId="35435" xr:uid="{00000000-0005-0000-0000-00006B8A0000}"/>
    <cellStyle name="Normal 5 17 2 24 8" xfId="35436" xr:uid="{00000000-0005-0000-0000-00006C8A0000}"/>
    <cellStyle name="Normal 5 17 2 24 9" xfId="35437" xr:uid="{00000000-0005-0000-0000-00006D8A0000}"/>
    <cellStyle name="Normal 5 17 2 25" xfId="35438" xr:uid="{00000000-0005-0000-0000-00006E8A0000}"/>
    <cellStyle name="Normal 5 17 2 25 10" xfId="35439" xr:uid="{00000000-0005-0000-0000-00006F8A0000}"/>
    <cellStyle name="Normal 5 17 2 25 11" xfId="35440" xr:uid="{00000000-0005-0000-0000-0000708A0000}"/>
    <cellStyle name="Normal 5 17 2 25 12" xfId="35441" xr:uid="{00000000-0005-0000-0000-0000718A0000}"/>
    <cellStyle name="Normal 5 17 2 25 13" xfId="35442" xr:uid="{00000000-0005-0000-0000-0000728A0000}"/>
    <cellStyle name="Normal 5 17 2 25 14" xfId="35443" xr:uid="{00000000-0005-0000-0000-0000738A0000}"/>
    <cellStyle name="Normal 5 17 2 25 2" xfId="35444" xr:uid="{00000000-0005-0000-0000-0000748A0000}"/>
    <cellStyle name="Normal 5 17 2 25 2 10" xfId="35445" xr:uid="{00000000-0005-0000-0000-0000758A0000}"/>
    <cellStyle name="Normal 5 17 2 25 2 2" xfId="35446" xr:uid="{00000000-0005-0000-0000-0000768A0000}"/>
    <cellStyle name="Normal 5 17 2 25 2 3" xfId="35447" xr:uid="{00000000-0005-0000-0000-0000778A0000}"/>
    <cellStyle name="Normal 5 17 2 25 2 4" xfId="35448" xr:uid="{00000000-0005-0000-0000-0000788A0000}"/>
    <cellStyle name="Normal 5 17 2 25 2 5" xfId="35449" xr:uid="{00000000-0005-0000-0000-0000798A0000}"/>
    <cellStyle name="Normal 5 17 2 25 2 6" xfId="35450" xr:uid="{00000000-0005-0000-0000-00007A8A0000}"/>
    <cellStyle name="Normal 5 17 2 25 2 7" xfId="35451" xr:uid="{00000000-0005-0000-0000-00007B8A0000}"/>
    <cellStyle name="Normal 5 17 2 25 2 8" xfId="35452" xr:uid="{00000000-0005-0000-0000-00007C8A0000}"/>
    <cellStyle name="Normal 5 17 2 25 2 9" xfId="35453" xr:uid="{00000000-0005-0000-0000-00007D8A0000}"/>
    <cellStyle name="Normal 5 17 2 25 3" xfId="35454" xr:uid="{00000000-0005-0000-0000-00007E8A0000}"/>
    <cellStyle name="Normal 5 17 2 25 3 10" xfId="35455" xr:uid="{00000000-0005-0000-0000-00007F8A0000}"/>
    <cellStyle name="Normal 5 17 2 25 3 2" xfId="35456" xr:uid="{00000000-0005-0000-0000-0000808A0000}"/>
    <cellStyle name="Normal 5 17 2 25 3 3" xfId="35457" xr:uid="{00000000-0005-0000-0000-0000818A0000}"/>
    <cellStyle name="Normal 5 17 2 25 3 4" xfId="35458" xr:uid="{00000000-0005-0000-0000-0000828A0000}"/>
    <cellStyle name="Normal 5 17 2 25 3 5" xfId="35459" xr:uid="{00000000-0005-0000-0000-0000838A0000}"/>
    <cellStyle name="Normal 5 17 2 25 3 6" xfId="35460" xr:uid="{00000000-0005-0000-0000-0000848A0000}"/>
    <cellStyle name="Normal 5 17 2 25 3 7" xfId="35461" xr:uid="{00000000-0005-0000-0000-0000858A0000}"/>
    <cellStyle name="Normal 5 17 2 25 3 8" xfId="35462" xr:uid="{00000000-0005-0000-0000-0000868A0000}"/>
    <cellStyle name="Normal 5 17 2 25 3 9" xfId="35463" xr:uid="{00000000-0005-0000-0000-0000878A0000}"/>
    <cellStyle name="Normal 5 17 2 25 4" xfId="35464" xr:uid="{00000000-0005-0000-0000-0000888A0000}"/>
    <cellStyle name="Normal 5 17 2 25 4 10" xfId="35465" xr:uid="{00000000-0005-0000-0000-0000898A0000}"/>
    <cellStyle name="Normal 5 17 2 25 4 2" xfId="35466" xr:uid="{00000000-0005-0000-0000-00008A8A0000}"/>
    <cellStyle name="Normal 5 17 2 25 4 3" xfId="35467" xr:uid="{00000000-0005-0000-0000-00008B8A0000}"/>
    <cellStyle name="Normal 5 17 2 25 4 4" xfId="35468" xr:uid="{00000000-0005-0000-0000-00008C8A0000}"/>
    <cellStyle name="Normal 5 17 2 25 4 5" xfId="35469" xr:uid="{00000000-0005-0000-0000-00008D8A0000}"/>
    <cellStyle name="Normal 5 17 2 25 4 6" xfId="35470" xr:uid="{00000000-0005-0000-0000-00008E8A0000}"/>
    <cellStyle name="Normal 5 17 2 25 4 7" xfId="35471" xr:uid="{00000000-0005-0000-0000-00008F8A0000}"/>
    <cellStyle name="Normal 5 17 2 25 4 8" xfId="35472" xr:uid="{00000000-0005-0000-0000-0000908A0000}"/>
    <cellStyle name="Normal 5 17 2 25 4 9" xfId="35473" xr:uid="{00000000-0005-0000-0000-0000918A0000}"/>
    <cellStyle name="Normal 5 17 2 25 5" xfId="35474" xr:uid="{00000000-0005-0000-0000-0000928A0000}"/>
    <cellStyle name="Normal 5 17 2 25 5 10" xfId="35475" xr:uid="{00000000-0005-0000-0000-0000938A0000}"/>
    <cellStyle name="Normal 5 17 2 25 5 2" xfId="35476" xr:uid="{00000000-0005-0000-0000-0000948A0000}"/>
    <cellStyle name="Normal 5 17 2 25 5 3" xfId="35477" xr:uid="{00000000-0005-0000-0000-0000958A0000}"/>
    <cellStyle name="Normal 5 17 2 25 5 4" xfId="35478" xr:uid="{00000000-0005-0000-0000-0000968A0000}"/>
    <cellStyle name="Normal 5 17 2 25 5 5" xfId="35479" xr:uid="{00000000-0005-0000-0000-0000978A0000}"/>
    <cellStyle name="Normal 5 17 2 25 5 6" xfId="35480" xr:uid="{00000000-0005-0000-0000-0000988A0000}"/>
    <cellStyle name="Normal 5 17 2 25 5 7" xfId="35481" xr:uid="{00000000-0005-0000-0000-0000998A0000}"/>
    <cellStyle name="Normal 5 17 2 25 5 8" xfId="35482" xr:uid="{00000000-0005-0000-0000-00009A8A0000}"/>
    <cellStyle name="Normal 5 17 2 25 5 9" xfId="35483" xr:uid="{00000000-0005-0000-0000-00009B8A0000}"/>
    <cellStyle name="Normal 5 17 2 25 6" xfId="35484" xr:uid="{00000000-0005-0000-0000-00009C8A0000}"/>
    <cellStyle name="Normal 5 17 2 25 7" xfId="35485" xr:uid="{00000000-0005-0000-0000-00009D8A0000}"/>
    <cellStyle name="Normal 5 17 2 25 8" xfId="35486" xr:uid="{00000000-0005-0000-0000-00009E8A0000}"/>
    <cellStyle name="Normal 5 17 2 25 9" xfId="35487" xr:uid="{00000000-0005-0000-0000-00009F8A0000}"/>
    <cellStyle name="Normal 5 17 2 26" xfId="35488" xr:uid="{00000000-0005-0000-0000-0000A08A0000}"/>
    <cellStyle name="Normal 5 17 2 26 10" xfId="35489" xr:uid="{00000000-0005-0000-0000-0000A18A0000}"/>
    <cellStyle name="Normal 5 17 2 26 11" xfId="35490" xr:uid="{00000000-0005-0000-0000-0000A28A0000}"/>
    <cellStyle name="Normal 5 17 2 26 12" xfId="35491" xr:uid="{00000000-0005-0000-0000-0000A38A0000}"/>
    <cellStyle name="Normal 5 17 2 26 13" xfId="35492" xr:uid="{00000000-0005-0000-0000-0000A48A0000}"/>
    <cellStyle name="Normal 5 17 2 26 14" xfId="35493" xr:uid="{00000000-0005-0000-0000-0000A58A0000}"/>
    <cellStyle name="Normal 5 17 2 26 2" xfId="35494" xr:uid="{00000000-0005-0000-0000-0000A68A0000}"/>
    <cellStyle name="Normal 5 17 2 26 2 10" xfId="35495" xr:uid="{00000000-0005-0000-0000-0000A78A0000}"/>
    <cellStyle name="Normal 5 17 2 26 2 2" xfId="35496" xr:uid="{00000000-0005-0000-0000-0000A88A0000}"/>
    <cellStyle name="Normal 5 17 2 26 2 3" xfId="35497" xr:uid="{00000000-0005-0000-0000-0000A98A0000}"/>
    <cellStyle name="Normal 5 17 2 26 2 4" xfId="35498" xr:uid="{00000000-0005-0000-0000-0000AA8A0000}"/>
    <cellStyle name="Normal 5 17 2 26 2 5" xfId="35499" xr:uid="{00000000-0005-0000-0000-0000AB8A0000}"/>
    <cellStyle name="Normal 5 17 2 26 2 6" xfId="35500" xr:uid="{00000000-0005-0000-0000-0000AC8A0000}"/>
    <cellStyle name="Normal 5 17 2 26 2 7" xfId="35501" xr:uid="{00000000-0005-0000-0000-0000AD8A0000}"/>
    <cellStyle name="Normal 5 17 2 26 2 8" xfId="35502" xr:uid="{00000000-0005-0000-0000-0000AE8A0000}"/>
    <cellStyle name="Normal 5 17 2 26 2 9" xfId="35503" xr:uid="{00000000-0005-0000-0000-0000AF8A0000}"/>
    <cellStyle name="Normal 5 17 2 26 3" xfId="35504" xr:uid="{00000000-0005-0000-0000-0000B08A0000}"/>
    <cellStyle name="Normal 5 17 2 26 3 10" xfId="35505" xr:uid="{00000000-0005-0000-0000-0000B18A0000}"/>
    <cellStyle name="Normal 5 17 2 26 3 2" xfId="35506" xr:uid="{00000000-0005-0000-0000-0000B28A0000}"/>
    <cellStyle name="Normal 5 17 2 26 3 3" xfId="35507" xr:uid="{00000000-0005-0000-0000-0000B38A0000}"/>
    <cellStyle name="Normal 5 17 2 26 3 4" xfId="35508" xr:uid="{00000000-0005-0000-0000-0000B48A0000}"/>
    <cellStyle name="Normal 5 17 2 26 3 5" xfId="35509" xr:uid="{00000000-0005-0000-0000-0000B58A0000}"/>
    <cellStyle name="Normal 5 17 2 26 3 6" xfId="35510" xr:uid="{00000000-0005-0000-0000-0000B68A0000}"/>
    <cellStyle name="Normal 5 17 2 26 3 7" xfId="35511" xr:uid="{00000000-0005-0000-0000-0000B78A0000}"/>
    <cellStyle name="Normal 5 17 2 26 3 8" xfId="35512" xr:uid="{00000000-0005-0000-0000-0000B88A0000}"/>
    <cellStyle name="Normal 5 17 2 26 3 9" xfId="35513" xr:uid="{00000000-0005-0000-0000-0000B98A0000}"/>
    <cellStyle name="Normal 5 17 2 26 4" xfId="35514" xr:uid="{00000000-0005-0000-0000-0000BA8A0000}"/>
    <cellStyle name="Normal 5 17 2 26 4 10" xfId="35515" xr:uid="{00000000-0005-0000-0000-0000BB8A0000}"/>
    <cellStyle name="Normal 5 17 2 26 4 2" xfId="35516" xr:uid="{00000000-0005-0000-0000-0000BC8A0000}"/>
    <cellStyle name="Normal 5 17 2 26 4 3" xfId="35517" xr:uid="{00000000-0005-0000-0000-0000BD8A0000}"/>
    <cellStyle name="Normal 5 17 2 26 4 4" xfId="35518" xr:uid="{00000000-0005-0000-0000-0000BE8A0000}"/>
    <cellStyle name="Normal 5 17 2 26 4 5" xfId="35519" xr:uid="{00000000-0005-0000-0000-0000BF8A0000}"/>
    <cellStyle name="Normal 5 17 2 26 4 6" xfId="35520" xr:uid="{00000000-0005-0000-0000-0000C08A0000}"/>
    <cellStyle name="Normal 5 17 2 26 4 7" xfId="35521" xr:uid="{00000000-0005-0000-0000-0000C18A0000}"/>
    <cellStyle name="Normal 5 17 2 26 4 8" xfId="35522" xr:uid="{00000000-0005-0000-0000-0000C28A0000}"/>
    <cellStyle name="Normal 5 17 2 26 4 9" xfId="35523" xr:uid="{00000000-0005-0000-0000-0000C38A0000}"/>
    <cellStyle name="Normal 5 17 2 26 5" xfId="35524" xr:uid="{00000000-0005-0000-0000-0000C48A0000}"/>
    <cellStyle name="Normal 5 17 2 26 5 10" xfId="35525" xr:uid="{00000000-0005-0000-0000-0000C58A0000}"/>
    <cellStyle name="Normal 5 17 2 26 5 2" xfId="35526" xr:uid="{00000000-0005-0000-0000-0000C68A0000}"/>
    <cellStyle name="Normal 5 17 2 26 5 3" xfId="35527" xr:uid="{00000000-0005-0000-0000-0000C78A0000}"/>
    <cellStyle name="Normal 5 17 2 26 5 4" xfId="35528" xr:uid="{00000000-0005-0000-0000-0000C88A0000}"/>
    <cellStyle name="Normal 5 17 2 26 5 5" xfId="35529" xr:uid="{00000000-0005-0000-0000-0000C98A0000}"/>
    <cellStyle name="Normal 5 17 2 26 5 6" xfId="35530" xr:uid="{00000000-0005-0000-0000-0000CA8A0000}"/>
    <cellStyle name="Normal 5 17 2 26 5 7" xfId="35531" xr:uid="{00000000-0005-0000-0000-0000CB8A0000}"/>
    <cellStyle name="Normal 5 17 2 26 5 8" xfId="35532" xr:uid="{00000000-0005-0000-0000-0000CC8A0000}"/>
    <cellStyle name="Normal 5 17 2 26 5 9" xfId="35533" xr:uid="{00000000-0005-0000-0000-0000CD8A0000}"/>
    <cellStyle name="Normal 5 17 2 26 6" xfId="35534" xr:uid="{00000000-0005-0000-0000-0000CE8A0000}"/>
    <cellStyle name="Normal 5 17 2 26 7" xfId="35535" xr:uid="{00000000-0005-0000-0000-0000CF8A0000}"/>
    <cellStyle name="Normal 5 17 2 26 8" xfId="35536" xr:uid="{00000000-0005-0000-0000-0000D08A0000}"/>
    <cellStyle name="Normal 5 17 2 26 9" xfId="35537" xr:uid="{00000000-0005-0000-0000-0000D18A0000}"/>
    <cellStyle name="Normal 5 17 2 27" xfId="35538" xr:uid="{00000000-0005-0000-0000-0000D28A0000}"/>
    <cellStyle name="Normal 5 17 2 27 10" xfId="35539" xr:uid="{00000000-0005-0000-0000-0000D38A0000}"/>
    <cellStyle name="Normal 5 17 2 27 11" xfId="35540" xr:uid="{00000000-0005-0000-0000-0000D48A0000}"/>
    <cellStyle name="Normal 5 17 2 27 12" xfId="35541" xr:uid="{00000000-0005-0000-0000-0000D58A0000}"/>
    <cellStyle name="Normal 5 17 2 27 13" xfId="35542" xr:uid="{00000000-0005-0000-0000-0000D68A0000}"/>
    <cellStyle name="Normal 5 17 2 27 14" xfId="35543" xr:uid="{00000000-0005-0000-0000-0000D78A0000}"/>
    <cellStyle name="Normal 5 17 2 27 2" xfId="35544" xr:uid="{00000000-0005-0000-0000-0000D88A0000}"/>
    <cellStyle name="Normal 5 17 2 27 2 10" xfId="35545" xr:uid="{00000000-0005-0000-0000-0000D98A0000}"/>
    <cellStyle name="Normal 5 17 2 27 2 2" xfId="35546" xr:uid="{00000000-0005-0000-0000-0000DA8A0000}"/>
    <cellStyle name="Normal 5 17 2 27 2 3" xfId="35547" xr:uid="{00000000-0005-0000-0000-0000DB8A0000}"/>
    <cellStyle name="Normal 5 17 2 27 2 4" xfId="35548" xr:uid="{00000000-0005-0000-0000-0000DC8A0000}"/>
    <cellStyle name="Normal 5 17 2 27 2 5" xfId="35549" xr:uid="{00000000-0005-0000-0000-0000DD8A0000}"/>
    <cellStyle name="Normal 5 17 2 27 2 6" xfId="35550" xr:uid="{00000000-0005-0000-0000-0000DE8A0000}"/>
    <cellStyle name="Normal 5 17 2 27 2 7" xfId="35551" xr:uid="{00000000-0005-0000-0000-0000DF8A0000}"/>
    <cellStyle name="Normal 5 17 2 27 2 8" xfId="35552" xr:uid="{00000000-0005-0000-0000-0000E08A0000}"/>
    <cellStyle name="Normal 5 17 2 27 2 9" xfId="35553" xr:uid="{00000000-0005-0000-0000-0000E18A0000}"/>
    <cellStyle name="Normal 5 17 2 27 3" xfId="35554" xr:uid="{00000000-0005-0000-0000-0000E28A0000}"/>
    <cellStyle name="Normal 5 17 2 27 3 10" xfId="35555" xr:uid="{00000000-0005-0000-0000-0000E38A0000}"/>
    <cellStyle name="Normal 5 17 2 27 3 2" xfId="35556" xr:uid="{00000000-0005-0000-0000-0000E48A0000}"/>
    <cellStyle name="Normal 5 17 2 27 3 3" xfId="35557" xr:uid="{00000000-0005-0000-0000-0000E58A0000}"/>
    <cellStyle name="Normal 5 17 2 27 3 4" xfId="35558" xr:uid="{00000000-0005-0000-0000-0000E68A0000}"/>
    <cellStyle name="Normal 5 17 2 27 3 5" xfId="35559" xr:uid="{00000000-0005-0000-0000-0000E78A0000}"/>
    <cellStyle name="Normal 5 17 2 27 3 6" xfId="35560" xr:uid="{00000000-0005-0000-0000-0000E88A0000}"/>
    <cellStyle name="Normal 5 17 2 27 3 7" xfId="35561" xr:uid="{00000000-0005-0000-0000-0000E98A0000}"/>
    <cellStyle name="Normal 5 17 2 27 3 8" xfId="35562" xr:uid="{00000000-0005-0000-0000-0000EA8A0000}"/>
    <cellStyle name="Normal 5 17 2 27 3 9" xfId="35563" xr:uid="{00000000-0005-0000-0000-0000EB8A0000}"/>
    <cellStyle name="Normal 5 17 2 27 4" xfId="35564" xr:uid="{00000000-0005-0000-0000-0000EC8A0000}"/>
    <cellStyle name="Normal 5 17 2 27 4 10" xfId="35565" xr:uid="{00000000-0005-0000-0000-0000ED8A0000}"/>
    <cellStyle name="Normal 5 17 2 27 4 2" xfId="35566" xr:uid="{00000000-0005-0000-0000-0000EE8A0000}"/>
    <cellStyle name="Normal 5 17 2 27 4 3" xfId="35567" xr:uid="{00000000-0005-0000-0000-0000EF8A0000}"/>
    <cellStyle name="Normal 5 17 2 27 4 4" xfId="35568" xr:uid="{00000000-0005-0000-0000-0000F08A0000}"/>
    <cellStyle name="Normal 5 17 2 27 4 5" xfId="35569" xr:uid="{00000000-0005-0000-0000-0000F18A0000}"/>
    <cellStyle name="Normal 5 17 2 27 4 6" xfId="35570" xr:uid="{00000000-0005-0000-0000-0000F28A0000}"/>
    <cellStyle name="Normal 5 17 2 27 4 7" xfId="35571" xr:uid="{00000000-0005-0000-0000-0000F38A0000}"/>
    <cellStyle name="Normal 5 17 2 27 4 8" xfId="35572" xr:uid="{00000000-0005-0000-0000-0000F48A0000}"/>
    <cellStyle name="Normal 5 17 2 27 4 9" xfId="35573" xr:uid="{00000000-0005-0000-0000-0000F58A0000}"/>
    <cellStyle name="Normal 5 17 2 27 5" xfId="35574" xr:uid="{00000000-0005-0000-0000-0000F68A0000}"/>
    <cellStyle name="Normal 5 17 2 27 5 10" xfId="35575" xr:uid="{00000000-0005-0000-0000-0000F78A0000}"/>
    <cellStyle name="Normal 5 17 2 27 5 2" xfId="35576" xr:uid="{00000000-0005-0000-0000-0000F88A0000}"/>
    <cellStyle name="Normal 5 17 2 27 5 3" xfId="35577" xr:uid="{00000000-0005-0000-0000-0000F98A0000}"/>
    <cellStyle name="Normal 5 17 2 27 5 4" xfId="35578" xr:uid="{00000000-0005-0000-0000-0000FA8A0000}"/>
    <cellStyle name="Normal 5 17 2 27 5 5" xfId="35579" xr:uid="{00000000-0005-0000-0000-0000FB8A0000}"/>
    <cellStyle name="Normal 5 17 2 27 5 6" xfId="35580" xr:uid="{00000000-0005-0000-0000-0000FC8A0000}"/>
    <cellStyle name="Normal 5 17 2 27 5 7" xfId="35581" xr:uid="{00000000-0005-0000-0000-0000FD8A0000}"/>
    <cellStyle name="Normal 5 17 2 27 5 8" xfId="35582" xr:uid="{00000000-0005-0000-0000-0000FE8A0000}"/>
    <cellStyle name="Normal 5 17 2 27 5 9" xfId="35583" xr:uid="{00000000-0005-0000-0000-0000FF8A0000}"/>
    <cellStyle name="Normal 5 17 2 27 6" xfId="35584" xr:uid="{00000000-0005-0000-0000-0000008B0000}"/>
    <cellStyle name="Normal 5 17 2 27 7" xfId="35585" xr:uid="{00000000-0005-0000-0000-0000018B0000}"/>
    <cellStyle name="Normal 5 17 2 27 8" xfId="35586" xr:uid="{00000000-0005-0000-0000-0000028B0000}"/>
    <cellStyle name="Normal 5 17 2 27 9" xfId="35587" xr:uid="{00000000-0005-0000-0000-0000038B0000}"/>
    <cellStyle name="Normal 5 17 2 28" xfId="35588" xr:uid="{00000000-0005-0000-0000-0000048B0000}"/>
    <cellStyle name="Normal 5 17 2 28 10" xfId="35589" xr:uid="{00000000-0005-0000-0000-0000058B0000}"/>
    <cellStyle name="Normal 5 17 2 28 11" xfId="35590" xr:uid="{00000000-0005-0000-0000-0000068B0000}"/>
    <cellStyle name="Normal 5 17 2 28 12" xfId="35591" xr:uid="{00000000-0005-0000-0000-0000078B0000}"/>
    <cellStyle name="Normal 5 17 2 28 13" xfId="35592" xr:uid="{00000000-0005-0000-0000-0000088B0000}"/>
    <cellStyle name="Normal 5 17 2 28 14" xfId="35593" xr:uid="{00000000-0005-0000-0000-0000098B0000}"/>
    <cellStyle name="Normal 5 17 2 28 2" xfId="35594" xr:uid="{00000000-0005-0000-0000-00000A8B0000}"/>
    <cellStyle name="Normal 5 17 2 28 2 10" xfId="35595" xr:uid="{00000000-0005-0000-0000-00000B8B0000}"/>
    <cellStyle name="Normal 5 17 2 28 2 2" xfId="35596" xr:uid="{00000000-0005-0000-0000-00000C8B0000}"/>
    <cellStyle name="Normal 5 17 2 28 2 3" xfId="35597" xr:uid="{00000000-0005-0000-0000-00000D8B0000}"/>
    <cellStyle name="Normal 5 17 2 28 2 4" xfId="35598" xr:uid="{00000000-0005-0000-0000-00000E8B0000}"/>
    <cellStyle name="Normal 5 17 2 28 2 5" xfId="35599" xr:uid="{00000000-0005-0000-0000-00000F8B0000}"/>
    <cellStyle name="Normal 5 17 2 28 2 6" xfId="35600" xr:uid="{00000000-0005-0000-0000-0000108B0000}"/>
    <cellStyle name="Normal 5 17 2 28 2 7" xfId="35601" xr:uid="{00000000-0005-0000-0000-0000118B0000}"/>
    <cellStyle name="Normal 5 17 2 28 2 8" xfId="35602" xr:uid="{00000000-0005-0000-0000-0000128B0000}"/>
    <cellStyle name="Normal 5 17 2 28 2 9" xfId="35603" xr:uid="{00000000-0005-0000-0000-0000138B0000}"/>
    <cellStyle name="Normal 5 17 2 28 3" xfId="35604" xr:uid="{00000000-0005-0000-0000-0000148B0000}"/>
    <cellStyle name="Normal 5 17 2 28 3 10" xfId="35605" xr:uid="{00000000-0005-0000-0000-0000158B0000}"/>
    <cellStyle name="Normal 5 17 2 28 3 2" xfId="35606" xr:uid="{00000000-0005-0000-0000-0000168B0000}"/>
    <cellStyle name="Normal 5 17 2 28 3 3" xfId="35607" xr:uid="{00000000-0005-0000-0000-0000178B0000}"/>
    <cellStyle name="Normal 5 17 2 28 3 4" xfId="35608" xr:uid="{00000000-0005-0000-0000-0000188B0000}"/>
    <cellStyle name="Normal 5 17 2 28 3 5" xfId="35609" xr:uid="{00000000-0005-0000-0000-0000198B0000}"/>
    <cellStyle name="Normal 5 17 2 28 3 6" xfId="35610" xr:uid="{00000000-0005-0000-0000-00001A8B0000}"/>
    <cellStyle name="Normal 5 17 2 28 3 7" xfId="35611" xr:uid="{00000000-0005-0000-0000-00001B8B0000}"/>
    <cellStyle name="Normal 5 17 2 28 3 8" xfId="35612" xr:uid="{00000000-0005-0000-0000-00001C8B0000}"/>
    <cellStyle name="Normal 5 17 2 28 3 9" xfId="35613" xr:uid="{00000000-0005-0000-0000-00001D8B0000}"/>
    <cellStyle name="Normal 5 17 2 28 4" xfId="35614" xr:uid="{00000000-0005-0000-0000-00001E8B0000}"/>
    <cellStyle name="Normal 5 17 2 28 4 10" xfId="35615" xr:uid="{00000000-0005-0000-0000-00001F8B0000}"/>
    <cellStyle name="Normal 5 17 2 28 4 2" xfId="35616" xr:uid="{00000000-0005-0000-0000-0000208B0000}"/>
    <cellStyle name="Normal 5 17 2 28 4 3" xfId="35617" xr:uid="{00000000-0005-0000-0000-0000218B0000}"/>
    <cellStyle name="Normal 5 17 2 28 4 4" xfId="35618" xr:uid="{00000000-0005-0000-0000-0000228B0000}"/>
    <cellStyle name="Normal 5 17 2 28 4 5" xfId="35619" xr:uid="{00000000-0005-0000-0000-0000238B0000}"/>
    <cellStyle name="Normal 5 17 2 28 4 6" xfId="35620" xr:uid="{00000000-0005-0000-0000-0000248B0000}"/>
    <cellStyle name="Normal 5 17 2 28 4 7" xfId="35621" xr:uid="{00000000-0005-0000-0000-0000258B0000}"/>
    <cellStyle name="Normal 5 17 2 28 4 8" xfId="35622" xr:uid="{00000000-0005-0000-0000-0000268B0000}"/>
    <cellStyle name="Normal 5 17 2 28 4 9" xfId="35623" xr:uid="{00000000-0005-0000-0000-0000278B0000}"/>
    <cellStyle name="Normal 5 17 2 28 5" xfId="35624" xr:uid="{00000000-0005-0000-0000-0000288B0000}"/>
    <cellStyle name="Normal 5 17 2 28 5 10" xfId="35625" xr:uid="{00000000-0005-0000-0000-0000298B0000}"/>
    <cellStyle name="Normal 5 17 2 28 5 2" xfId="35626" xr:uid="{00000000-0005-0000-0000-00002A8B0000}"/>
    <cellStyle name="Normal 5 17 2 28 5 3" xfId="35627" xr:uid="{00000000-0005-0000-0000-00002B8B0000}"/>
    <cellStyle name="Normal 5 17 2 28 5 4" xfId="35628" xr:uid="{00000000-0005-0000-0000-00002C8B0000}"/>
    <cellStyle name="Normal 5 17 2 28 5 5" xfId="35629" xr:uid="{00000000-0005-0000-0000-00002D8B0000}"/>
    <cellStyle name="Normal 5 17 2 28 5 6" xfId="35630" xr:uid="{00000000-0005-0000-0000-00002E8B0000}"/>
    <cellStyle name="Normal 5 17 2 28 5 7" xfId="35631" xr:uid="{00000000-0005-0000-0000-00002F8B0000}"/>
    <cellStyle name="Normal 5 17 2 28 5 8" xfId="35632" xr:uid="{00000000-0005-0000-0000-0000308B0000}"/>
    <cellStyle name="Normal 5 17 2 28 5 9" xfId="35633" xr:uid="{00000000-0005-0000-0000-0000318B0000}"/>
    <cellStyle name="Normal 5 17 2 28 6" xfId="35634" xr:uid="{00000000-0005-0000-0000-0000328B0000}"/>
    <cellStyle name="Normal 5 17 2 28 7" xfId="35635" xr:uid="{00000000-0005-0000-0000-0000338B0000}"/>
    <cellStyle name="Normal 5 17 2 28 8" xfId="35636" xr:uid="{00000000-0005-0000-0000-0000348B0000}"/>
    <cellStyle name="Normal 5 17 2 28 9" xfId="35637" xr:uid="{00000000-0005-0000-0000-0000358B0000}"/>
    <cellStyle name="Normal 5 17 2 29" xfId="35638" xr:uid="{00000000-0005-0000-0000-0000368B0000}"/>
    <cellStyle name="Normal 5 17 2 29 10" xfId="35639" xr:uid="{00000000-0005-0000-0000-0000378B0000}"/>
    <cellStyle name="Normal 5 17 2 29 11" xfId="35640" xr:uid="{00000000-0005-0000-0000-0000388B0000}"/>
    <cellStyle name="Normal 5 17 2 29 12" xfId="35641" xr:uid="{00000000-0005-0000-0000-0000398B0000}"/>
    <cellStyle name="Normal 5 17 2 29 13" xfId="35642" xr:uid="{00000000-0005-0000-0000-00003A8B0000}"/>
    <cellStyle name="Normal 5 17 2 29 14" xfId="35643" xr:uid="{00000000-0005-0000-0000-00003B8B0000}"/>
    <cellStyle name="Normal 5 17 2 29 2" xfId="35644" xr:uid="{00000000-0005-0000-0000-00003C8B0000}"/>
    <cellStyle name="Normal 5 17 2 29 2 10" xfId="35645" xr:uid="{00000000-0005-0000-0000-00003D8B0000}"/>
    <cellStyle name="Normal 5 17 2 29 2 2" xfId="35646" xr:uid="{00000000-0005-0000-0000-00003E8B0000}"/>
    <cellStyle name="Normal 5 17 2 29 2 3" xfId="35647" xr:uid="{00000000-0005-0000-0000-00003F8B0000}"/>
    <cellStyle name="Normal 5 17 2 29 2 4" xfId="35648" xr:uid="{00000000-0005-0000-0000-0000408B0000}"/>
    <cellStyle name="Normal 5 17 2 29 2 5" xfId="35649" xr:uid="{00000000-0005-0000-0000-0000418B0000}"/>
    <cellStyle name="Normal 5 17 2 29 2 6" xfId="35650" xr:uid="{00000000-0005-0000-0000-0000428B0000}"/>
    <cellStyle name="Normal 5 17 2 29 2 7" xfId="35651" xr:uid="{00000000-0005-0000-0000-0000438B0000}"/>
    <cellStyle name="Normal 5 17 2 29 2 8" xfId="35652" xr:uid="{00000000-0005-0000-0000-0000448B0000}"/>
    <cellStyle name="Normal 5 17 2 29 2 9" xfId="35653" xr:uid="{00000000-0005-0000-0000-0000458B0000}"/>
    <cellStyle name="Normal 5 17 2 29 3" xfId="35654" xr:uid="{00000000-0005-0000-0000-0000468B0000}"/>
    <cellStyle name="Normal 5 17 2 29 3 10" xfId="35655" xr:uid="{00000000-0005-0000-0000-0000478B0000}"/>
    <cellStyle name="Normal 5 17 2 29 3 2" xfId="35656" xr:uid="{00000000-0005-0000-0000-0000488B0000}"/>
    <cellStyle name="Normal 5 17 2 29 3 3" xfId="35657" xr:uid="{00000000-0005-0000-0000-0000498B0000}"/>
    <cellStyle name="Normal 5 17 2 29 3 4" xfId="35658" xr:uid="{00000000-0005-0000-0000-00004A8B0000}"/>
    <cellStyle name="Normal 5 17 2 29 3 5" xfId="35659" xr:uid="{00000000-0005-0000-0000-00004B8B0000}"/>
    <cellStyle name="Normal 5 17 2 29 3 6" xfId="35660" xr:uid="{00000000-0005-0000-0000-00004C8B0000}"/>
    <cellStyle name="Normal 5 17 2 29 3 7" xfId="35661" xr:uid="{00000000-0005-0000-0000-00004D8B0000}"/>
    <cellStyle name="Normal 5 17 2 29 3 8" xfId="35662" xr:uid="{00000000-0005-0000-0000-00004E8B0000}"/>
    <cellStyle name="Normal 5 17 2 29 3 9" xfId="35663" xr:uid="{00000000-0005-0000-0000-00004F8B0000}"/>
    <cellStyle name="Normal 5 17 2 29 4" xfId="35664" xr:uid="{00000000-0005-0000-0000-0000508B0000}"/>
    <cellStyle name="Normal 5 17 2 29 4 10" xfId="35665" xr:uid="{00000000-0005-0000-0000-0000518B0000}"/>
    <cellStyle name="Normal 5 17 2 29 4 2" xfId="35666" xr:uid="{00000000-0005-0000-0000-0000528B0000}"/>
    <cellStyle name="Normal 5 17 2 29 4 3" xfId="35667" xr:uid="{00000000-0005-0000-0000-0000538B0000}"/>
    <cellStyle name="Normal 5 17 2 29 4 4" xfId="35668" xr:uid="{00000000-0005-0000-0000-0000548B0000}"/>
    <cellStyle name="Normal 5 17 2 29 4 5" xfId="35669" xr:uid="{00000000-0005-0000-0000-0000558B0000}"/>
    <cellStyle name="Normal 5 17 2 29 4 6" xfId="35670" xr:uid="{00000000-0005-0000-0000-0000568B0000}"/>
    <cellStyle name="Normal 5 17 2 29 4 7" xfId="35671" xr:uid="{00000000-0005-0000-0000-0000578B0000}"/>
    <cellStyle name="Normal 5 17 2 29 4 8" xfId="35672" xr:uid="{00000000-0005-0000-0000-0000588B0000}"/>
    <cellStyle name="Normal 5 17 2 29 4 9" xfId="35673" xr:uid="{00000000-0005-0000-0000-0000598B0000}"/>
    <cellStyle name="Normal 5 17 2 29 5" xfId="35674" xr:uid="{00000000-0005-0000-0000-00005A8B0000}"/>
    <cellStyle name="Normal 5 17 2 29 5 10" xfId="35675" xr:uid="{00000000-0005-0000-0000-00005B8B0000}"/>
    <cellStyle name="Normal 5 17 2 29 5 2" xfId="35676" xr:uid="{00000000-0005-0000-0000-00005C8B0000}"/>
    <cellStyle name="Normal 5 17 2 29 5 3" xfId="35677" xr:uid="{00000000-0005-0000-0000-00005D8B0000}"/>
    <cellStyle name="Normal 5 17 2 29 5 4" xfId="35678" xr:uid="{00000000-0005-0000-0000-00005E8B0000}"/>
    <cellStyle name="Normal 5 17 2 29 5 5" xfId="35679" xr:uid="{00000000-0005-0000-0000-00005F8B0000}"/>
    <cellStyle name="Normal 5 17 2 29 5 6" xfId="35680" xr:uid="{00000000-0005-0000-0000-0000608B0000}"/>
    <cellStyle name="Normal 5 17 2 29 5 7" xfId="35681" xr:uid="{00000000-0005-0000-0000-0000618B0000}"/>
    <cellStyle name="Normal 5 17 2 29 5 8" xfId="35682" xr:uid="{00000000-0005-0000-0000-0000628B0000}"/>
    <cellStyle name="Normal 5 17 2 29 5 9" xfId="35683" xr:uid="{00000000-0005-0000-0000-0000638B0000}"/>
    <cellStyle name="Normal 5 17 2 29 6" xfId="35684" xr:uid="{00000000-0005-0000-0000-0000648B0000}"/>
    <cellStyle name="Normal 5 17 2 29 7" xfId="35685" xr:uid="{00000000-0005-0000-0000-0000658B0000}"/>
    <cellStyle name="Normal 5 17 2 29 8" xfId="35686" xr:uid="{00000000-0005-0000-0000-0000668B0000}"/>
    <cellStyle name="Normal 5 17 2 29 9" xfId="35687" xr:uid="{00000000-0005-0000-0000-0000678B0000}"/>
    <cellStyle name="Normal 5 17 2 3" xfId="35688" xr:uid="{00000000-0005-0000-0000-0000688B0000}"/>
    <cellStyle name="Normal 5 17 2 3 10" xfId="35689" xr:uid="{00000000-0005-0000-0000-0000698B0000}"/>
    <cellStyle name="Normal 5 17 2 3 11" xfId="35690" xr:uid="{00000000-0005-0000-0000-00006A8B0000}"/>
    <cellStyle name="Normal 5 17 2 3 12" xfId="35691" xr:uid="{00000000-0005-0000-0000-00006B8B0000}"/>
    <cellStyle name="Normal 5 17 2 3 13" xfId="35692" xr:uid="{00000000-0005-0000-0000-00006C8B0000}"/>
    <cellStyle name="Normal 5 17 2 3 14" xfId="35693" xr:uid="{00000000-0005-0000-0000-00006D8B0000}"/>
    <cellStyle name="Normal 5 17 2 3 2" xfId="35694" xr:uid="{00000000-0005-0000-0000-00006E8B0000}"/>
    <cellStyle name="Normal 5 17 2 3 2 10" xfId="35695" xr:uid="{00000000-0005-0000-0000-00006F8B0000}"/>
    <cellStyle name="Normal 5 17 2 3 2 2" xfId="35696" xr:uid="{00000000-0005-0000-0000-0000708B0000}"/>
    <cellStyle name="Normal 5 17 2 3 2 3" xfId="35697" xr:uid="{00000000-0005-0000-0000-0000718B0000}"/>
    <cellStyle name="Normal 5 17 2 3 2 4" xfId="35698" xr:uid="{00000000-0005-0000-0000-0000728B0000}"/>
    <cellStyle name="Normal 5 17 2 3 2 5" xfId="35699" xr:uid="{00000000-0005-0000-0000-0000738B0000}"/>
    <cellStyle name="Normal 5 17 2 3 2 6" xfId="35700" xr:uid="{00000000-0005-0000-0000-0000748B0000}"/>
    <cellStyle name="Normal 5 17 2 3 2 7" xfId="35701" xr:uid="{00000000-0005-0000-0000-0000758B0000}"/>
    <cellStyle name="Normal 5 17 2 3 2 8" xfId="35702" xr:uid="{00000000-0005-0000-0000-0000768B0000}"/>
    <cellStyle name="Normal 5 17 2 3 2 9" xfId="35703" xr:uid="{00000000-0005-0000-0000-0000778B0000}"/>
    <cellStyle name="Normal 5 17 2 3 3" xfId="35704" xr:uid="{00000000-0005-0000-0000-0000788B0000}"/>
    <cellStyle name="Normal 5 17 2 3 3 10" xfId="35705" xr:uid="{00000000-0005-0000-0000-0000798B0000}"/>
    <cellStyle name="Normal 5 17 2 3 3 2" xfId="35706" xr:uid="{00000000-0005-0000-0000-00007A8B0000}"/>
    <cellStyle name="Normal 5 17 2 3 3 3" xfId="35707" xr:uid="{00000000-0005-0000-0000-00007B8B0000}"/>
    <cellStyle name="Normal 5 17 2 3 3 4" xfId="35708" xr:uid="{00000000-0005-0000-0000-00007C8B0000}"/>
    <cellStyle name="Normal 5 17 2 3 3 5" xfId="35709" xr:uid="{00000000-0005-0000-0000-00007D8B0000}"/>
    <cellStyle name="Normal 5 17 2 3 3 6" xfId="35710" xr:uid="{00000000-0005-0000-0000-00007E8B0000}"/>
    <cellStyle name="Normal 5 17 2 3 3 7" xfId="35711" xr:uid="{00000000-0005-0000-0000-00007F8B0000}"/>
    <cellStyle name="Normal 5 17 2 3 3 8" xfId="35712" xr:uid="{00000000-0005-0000-0000-0000808B0000}"/>
    <cellStyle name="Normal 5 17 2 3 3 9" xfId="35713" xr:uid="{00000000-0005-0000-0000-0000818B0000}"/>
    <cellStyle name="Normal 5 17 2 3 4" xfId="35714" xr:uid="{00000000-0005-0000-0000-0000828B0000}"/>
    <cellStyle name="Normal 5 17 2 3 4 10" xfId="35715" xr:uid="{00000000-0005-0000-0000-0000838B0000}"/>
    <cellStyle name="Normal 5 17 2 3 4 2" xfId="35716" xr:uid="{00000000-0005-0000-0000-0000848B0000}"/>
    <cellStyle name="Normal 5 17 2 3 4 3" xfId="35717" xr:uid="{00000000-0005-0000-0000-0000858B0000}"/>
    <cellStyle name="Normal 5 17 2 3 4 4" xfId="35718" xr:uid="{00000000-0005-0000-0000-0000868B0000}"/>
    <cellStyle name="Normal 5 17 2 3 4 5" xfId="35719" xr:uid="{00000000-0005-0000-0000-0000878B0000}"/>
    <cellStyle name="Normal 5 17 2 3 4 6" xfId="35720" xr:uid="{00000000-0005-0000-0000-0000888B0000}"/>
    <cellStyle name="Normal 5 17 2 3 4 7" xfId="35721" xr:uid="{00000000-0005-0000-0000-0000898B0000}"/>
    <cellStyle name="Normal 5 17 2 3 4 8" xfId="35722" xr:uid="{00000000-0005-0000-0000-00008A8B0000}"/>
    <cellStyle name="Normal 5 17 2 3 4 9" xfId="35723" xr:uid="{00000000-0005-0000-0000-00008B8B0000}"/>
    <cellStyle name="Normal 5 17 2 3 5" xfId="35724" xr:uid="{00000000-0005-0000-0000-00008C8B0000}"/>
    <cellStyle name="Normal 5 17 2 3 5 10" xfId="35725" xr:uid="{00000000-0005-0000-0000-00008D8B0000}"/>
    <cellStyle name="Normal 5 17 2 3 5 2" xfId="35726" xr:uid="{00000000-0005-0000-0000-00008E8B0000}"/>
    <cellStyle name="Normal 5 17 2 3 5 3" xfId="35727" xr:uid="{00000000-0005-0000-0000-00008F8B0000}"/>
    <cellStyle name="Normal 5 17 2 3 5 4" xfId="35728" xr:uid="{00000000-0005-0000-0000-0000908B0000}"/>
    <cellStyle name="Normal 5 17 2 3 5 5" xfId="35729" xr:uid="{00000000-0005-0000-0000-0000918B0000}"/>
    <cellStyle name="Normal 5 17 2 3 5 6" xfId="35730" xr:uid="{00000000-0005-0000-0000-0000928B0000}"/>
    <cellStyle name="Normal 5 17 2 3 5 7" xfId="35731" xr:uid="{00000000-0005-0000-0000-0000938B0000}"/>
    <cellStyle name="Normal 5 17 2 3 5 8" xfId="35732" xr:uid="{00000000-0005-0000-0000-0000948B0000}"/>
    <cellStyle name="Normal 5 17 2 3 5 9" xfId="35733" xr:uid="{00000000-0005-0000-0000-0000958B0000}"/>
    <cellStyle name="Normal 5 17 2 3 6" xfId="35734" xr:uid="{00000000-0005-0000-0000-0000968B0000}"/>
    <cellStyle name="Normal 5 17 2 3 7" xfId="35735" xr:uid="{00000000-0005-0000-0000-0000978B0000}"/>
    <cellStyle name="Normal 5 17 2 3 8" xfId="35736" xr:uid="{00000000-0005-0000-0000-0000988B0000}"/>
    <cellStyle name="Normal 5 17 2 3 9" xfId="35737" xr:uid="{00000000-0005-0000-0000-0000998B0000}"/>
    <cellStyle name="Normal 5 17 2 30" xfId="35738" xr:uid="{00000000-0005-0000-0000-00009A8B0000}"/>
    <cellStyle name="Normal 5 17 2 30 10" xfId="35739" xr:uid="{00000000-0005-0000-0000-00009B8B0000}"/>
    <cellStyle name="Normal 5 17 2 30 11" xfId="35740" xr:uid="{00000000-0005-0000-0000-00009C8B0000}"/>
    <cellStyle name="Normal 5 17 2 30 12" xfId="35741" xr:uid="{00000000-0005-0000-0000-00009D8B0000}"/>
    <cellStyle name="Normal 5 17 2 30 13" xfId="35742" xr:uid="{00000000-0005-0000-0000-00009E8B0000}"/>
    <cellStyle name="Normal 5 17 2 30 14" xfId="35743" xr:uid="{00000000-0005-0000-0000-00009F8B0000}"/>
    <cellStyle name="Normal 5 17 2 30 2" xfId="35744" xr:uid="{00000000-0005-0000-0000-0000A08B0000}"/>
    <cellStyle name="Normal 5 17 2 30 2 10" xfId="35745" xr:uid="{00000000-0005-0000-0000-0000A18B0000}"/>
    <cellStyle name="Normal 5 17 2 30 2 2" xfId="35746" xr:uid="{00000000-0005-0000-0000-0000A28B0000}"/>
    <cellStyle name="Normal 5 17 2 30 2 3" xfId="35747" xr:uid="{00000000-0005-0000-0000-0000A38B0000}"/>
    <cellStyle name="Normal 5 17 2 30 2 4" xfId="35748" xr:uid="{00000000-0005-0000-0000-0000A48B0000}"/>
    <cellStyle name="Normal 5 17 2 30 2 5" xfId="35749" xr:uid="{00000000-0005-0000-0000-0000A58B0000}"/>
    <cellStyle name="Normal 5 17 2 30 2 6" xfId="35750" xr:uid="{00000000-0005-0000-0000-0000A68B0000}"/>
    <cellStyle name="Normal 5 17 2 30 2 7" xfId="35751" xr:uid="{00000000-0005-0000-0000-0000A78B0000}"/>
    <cellStyle name="Normal 5 17 2 30 2 8" xfId="35752" xr:uid="{00000000-0005-0000-0000-0000A88B0000}"/>
    <cellStyle name="Normal 5 17 2 30 2 9" xfId="35753" xr:uid="{00000000-0005-0000-0000-0000A98B0000}"/>
    <cellStyle name="Normal 5 17 2 30 3" xfId="35754" xr:uid="{00000000-0005-0000-0000-0000AA8B0000}"/>
    <cellStyle name="Normal 5 17 2 30 3 10" xfId="35755" xr:uid="{00000000-0005-0000-0000-0000AB8B0000}"/>
    <cellStyle name="Normal 5 17 2 30 3 2" xfId="35756" xr:uid="{00000000-0005-0000-0000-0000AC8B0000}"/>
    <cellStyle name="Normal 5 17 2 30 3 3" xfId="35757" xr:uid="{00000000-0005-0000-0000-0000AD8B0000}"/>
    <cellStyle name="Normal 5 17 2 30 3 4" xfId="35758" xr:uid="{00000000-0005-0000-0000-0000AE8B0000}"/>
    <cellStyle name="Normal 5 17 2 30 3 5" xfId="35759" xr:uid="{00000000-0005-0000-0000-0000AF8B0000}"/>
    <cellStyle name="Normal 5 17 2 30 3 6" xfId="35760" xr:uid="{00000000-0005-0000-0000-0000B08B0000}"/>
    <cellStyle name="Normal 5 17 2 30 3 7" xfId="35761" xr:uid="{00000000-0005-0000-0000-0000B18B0000}"/>
    <cellStyle name="Normal 5 17 2 30 3 8" xfId="35762" xr:uid="{00000000-0005-0000-0000-0000B28B0000}"/>
    <cellStyle name="Normal 5 17 2 30 3 9" xfId="35763" xr:uid="{00000000-0005-0000-0000-0000B38B0000}"/>
    <cellStyle name="Normal 5 17 2 30 4" xfId="35764" xr:uid="{00000000-0005-0000-0000-0000B48B0000}"/>
    <cellStyle name="Normal 5 17 2 30 4 10" xfId="35765" xr:uid="{00000000-0005-0000-0000-0000B58B0000}"/>
    <cellStyle name="Normal 5 17 2 30 4 2" xfId="35766" xr:uid="{00000000-0005-0000-0000-0000B68B0000}"/>
    <cellStyle name="Normal 5 17 2 30 4 3" xfId="35767" xr:uid="{00000000-0005-0000-0000-0000B78B0000}"/>
    <cellStyle name="Normal 5 17 2 30 4 4" xfId="35768" xr:uid="{00000000-0005-0000-0000-0000B88B0000}"/>
    <cellStyle name="Normal 5 17 2 30 4 5" xfId="35769" xr:uid="{00000000-0005-0000-0000-0000B98B0000}"/>
    <cellStyle name="Normal 5 17 2 30 4 6" xfId="35770" xr:uid="{00000000-0005-0000-0000-0000BA8B0000}"/>
    <cellStyle name="Normal 5 17 2 30 4 7" xfId="35771" xr:uid="{00000000-0005-0000-0000-0000BB8B0000}"/>
    <cellStyle name="Normal 5 17 2 30 4 8" xfId="35772" xr:uid="{00000000-0005-0000-0000-0000BC8B0000}"/>
    <cellStyle name="Normal 5 17 2 30 4 9" xfId="35773" xr:uid="{00000000-0005-0000-0000-0000BD8B0000}"/>
    <cellStyle name="Normal 5 17 2 30 5" xfId="35774" xr:uid="{00000000-0005-0000-0000-0000BE8B0000}"/>
    <cellStyle name="Normal 5 17 2 30 5 10" xfId="35775" xr:uid="{00000000-0005-0000-0000-0000BF8B0000}"/>
    <cellStyle name="Normal 5 17 2 30 5 2" xfId="35776" xr:uid="{00000000-0005-0000-0000-0000C08B0000}"/>
    <cellStyle name="Normal 5 17 2 30 5 3" xfId="35777" xr:uid="{00000000-0005-0000-0000-0000C18B0000}"/>
    <cellStyle name="Normal 5 17 2 30 5 4" xfId="35778" xr:uid="{00000000-0005-0000-0000-0000C28B0000}"/>
    <cellStyle name="Normal 5 17 2 30 5 5" xfId="35779" xr:uid="{00000000-0005-0000-0000-0000C38B0000}"/>
    <cellStyle name="Normal 5 17 2 30 5 6" xfId="35780" xr:uid="{00000000-0005-0000-0000-0000C48B0000}"/>
    <cellStyle name="Normal 5 17 2 30 5 7" xfId="35781" xr:uid="{00000000-0005-0000-0000-0000C58B0000}"/>
    <cellStyle name="Normal 5 17 2 30 5 8" xfId="35782" xr:uid="{00000000-0005-0000-0000-0000C68B0000}"/>
    <cellStyle name="Normal 5 17 2 30 5 9" xfId="35783" xr:uid="{00000000-0005-0000-0000-0000C78B0000}"/>
    <cellStyle name="Normal 5 17 2 30 6" xfId="35784" xr:uid="{00000000-0005-0000-0000-0000C88B0000}"/>
    <cellStyle name="Normal 5 17 2 30 7" xfId="35785" xr:uid="{00000000-0005-0000-0000-0000C98B0000}"/>
    <cellStyle name="Normal 5 17 2 30 8" xfId="35786" xr:uid="{00000000-0005-0000-0000-0000CA8B0000}"/>
    <cellStyle name="Normal 5 17 2 30 9" xfId="35787" xr:uid="{00000000-0005-0000-0000-0000CB8B0000}"/>
    <cellStyle name="Normal 5 17 2 31" xfId="35788" xr:uid="{00000000-0005-0000-0000-0000CC8B0000}"/>
    <cellStyle name="Normal 5 17 2 31 10" xfId="35789" xr:uid="{00000000-0005-0000-0000-0000CD8B0000}"/>
    <cellStyle name="Normal 5 17 2 31 11" xfId="35790" xr:uid="{00000000-0005-0000-0000-0000CE8B0000}"/>
    <cellStyle name="Normal 5 17 2 31 12" xfId="35791" xr:uid="{00000000-0005-0000-0000-0000CF8B0000}"/>
    <cellStyle name="Normal 5 17 2 31 13" xfId="35792" xr:uid="{00000000-0005-0000-0000-0000D08B0000}"/>
    <cellStyle name="Normal 5 17 2 31 14" xfId="35793" xr:uid="{00000000-0005-0000-0000-0000D18B0000}"/>
    <cellStyle name="Normal 5 17 2 31 2" xfId="35794" xr:uid="{00000000-0005-0000-0000-0000D28B0000}"/>
    <cellStyle name="Normal 5 17 2 31 2 10" xfId="35795" xr:uid="{00000000-0005-0000-0000-0000D38B0000}"/>
    <cellStyle name="Normal 5 17 2 31 2 2" xfId="35796" xr:uid="{00000000-0005-0000-0000-0000D48B0000}"/>
    <cellStyle name="Normal 5 17 2 31 2 3" xfId="35797" xr:uid="{00000000-0005-0000-0000-0000D58B0000}"/>
    <cellStyle name="Normal 5 17 2 31 2 4" xfId="35798" xr:uid="{00000000-0005-0000-0000-0000D68B0000}"/>
    <cellStyle name="Normal 5 17 2 31 2 5" xfId="35799" xr:uid="{00000000-0005-0000-0000-0000D78B0000}"/>
    <cellStyle name="Normal 5 17 2 31 2 6" xfId="35800" xr:uid="{00000000-0005-0000-0000-0000D88B0000}"/>
    <cellStyle name="Normal 5 17 2 31 2 7" xfId="35801" xr:uid="{00000000-0005-0000-0000-0000D98B0000}"/>
    <cellStyle name="Normal 5 17 2 31 2 8" xfId="35802" xr:uid="{00000000-0005-0000-0000-0000DA8B0000}"/>
    <cellStyle name="Normal 5 17 2 31 2 9" xfId="35803" xr:uid="{00000000-0005-0000-0000-0000DB8B0000}"/>
    <cellStyle name="Normal 5 17 2 31 3" xfId="35804" xr:uid="{00000000-0005-0000-0000-0000DC8B0000}"/>
    <cellStyle name="Normal 5 17 2 31 3 10" xfId="35805" xr:uid="{00000000-0005-0000-0000-0000DD8B0000}"/>
    <cellStyle name="Normal 5 17 2 31 3 2" xfId="35806" xr:uid="{00000000-0005-0000-0000-0000DE8B0000}"/>
    <cellStyle name="Normal 5 17 2 31 3 3" xfId="35807" xr:uid="{00000000-0005-0000-0000-0000DF8B0000}"/>
    <cellStyle name="Normal 5 17 2 31 3 4" xfId="35808" xr:uid="{00000000-0005-0000-0000-0000E08B0000}"/>
    <cellStyle name="Normal 5 17 2 31 3 5" xfId="35809" xr:uid="{00000000-0005-0000-0000-0000E18B0000}"/>
    <cellStyle name="Normal 5 17 2 31 3 6" xfId="35810" xr:uid="{00000000-0005-0000-0000-0000E28B0000}"/>
    <cellStyle name="Normal 5 17 2 31 3 7" xfId="35811" xr:uid="{00000000-0005-0000-0000-0000E38B0000}"/>
    <cellStyle name="Normal 5 17 2 31 3 8" xfId="35812" xr:uid="{00000000-0005-0000-0000-0000E48B0000}"/>
    <cellStyle name="Normal 5 17 2 31 3 9" xfId="35813" xr:uid="{00000000-0005-0000-0000-0000E58B0000}"/>
    <cellStyle name="Normal 5 17 2 31 4" xfId="35814" xr:uid="{00000000-0005-0000-0000-0000E68B0000}"/>
    <cellStyle name="Normal 5 17 2 31 4 10" xfId="35815" xr:uid="{00000000-0005-0000-0000-0000E78B0000}"/>
    <cellStyle name="Normal 5 17 2 31 4 2" xfId="35816" xr:uid="{00000000-0005-0000-0000-0000E88B0000}"/>
    <cellStyle name="Normal 5 17 2 31 4 3" xfId="35817" xr:uid="{00000000-0005-0000-0000-0000E98B0000}"/>
    <cellStyle name="Normal 5 17 2 31 4 4" xfId="35818" xr:uid="{00000000-0005-0000-0000-0000EA8B0000}"/>
    <cellStyle name="Normal 5 17 2 31 4 5" xfId="35819" xr:uid="{00000000-0005-0000-0000-0000EB8B0000}"/>
    <cellStyle name="Normal 5 17 2 31 4 6" xfId="35820" xr:uid="{00000000-0005-0000-0000-0000EC8B0000}"/>
    <cellStyle name="Normal 5 17 2 31 4 7" xfId="35821" xr:uid="{00000000-0005-0000-0000-0000ED8B0000}"/>
    <cellStyle name="Normal 5 17 2 31 4 8" xfId="35822" xr:uid="{00000000-0005-0000-0000-0000EE8B0000}"/>
    <cellStyle name="Normal 5 17 2 31 4 9" xfId="35823" xr:uid="{00000000-0005-0000-0000-0000EF8B0000}"/>
    <cellStyle name="Normal 5 17 2 31 5" xfId="35824" xr:uid="{00000000-0005-0000-0000-0000F08B0000}"/>
    <cellStyle name="Normal 5 17 2 31 5 10" xfId="35825" xr:uid="{00000000-0005-0000-0000-0000F18B0000}"/>
    <cellStyle name="Normal 5 17 2 31 5 2" xfId="35826" xr:uid="{00000000-0005-0000-0000-0000F28B0000}"/>
    <cellStyle name="Normal 5 17 2 31 5 3" xfId="35827" xr:uid="{00000000-0005-0000-0000-0000F38B0000}"/>
    <cellStyle name="Normal 5 17 2 31 5 4" xfId="35828" xr:uid="{00000000-0005-0000-0000-0000F48B0000}"/>
    <cellStyle name="Normal 5 17 2 31 5 5" xfId="35829" xr:uid="{00000000-0005-0000-0000-0000F58B0000}"/>
    <cellStyle name="Normal 5 17 2 31 5 6" xfId="35830" xr:uid="{00000000-0005-0000-0000-0000F68B0000}"/>
    <cellStyle name="Normal 5 17 2 31 5 7" xfId="35831" xr:uid="{00000000-0005-0000-0000-0000F78B0000}"/>
    <cellStyle name="Normal 5 17 2 31 5 8" xfId="35832" xr:uid="{00000000-0005-0000-0000-0000F88B0000}"/>
    <cellStyle name="Normal 5 17 2 31 5 9" xfId="35833" xr:uid="{00000000-0005-0000-0000-0000F98B0000}"/>
    <cellStyle name="Normal 5 17 2 31 6" xfId="35834" xr:uid="{00000000-0005-0000-0000-0000FA8B0000}"/>
    <cellStyle name="Normal 5 17 2 31 7" xfId="35835" xr:uid="{00000000-0005-0000-0000-0000FB8B0000}"/>
    <cellStyle name="Normal 5 17 2 31 8" xfId="35836" xr:uid="{00000000-0005-0000-0000-0000FC8B0000}"/>
    <cellStyle name="Normal 5 17 2 31 9" xfId="35837" xr:uid="{00000000-0005-0000-0000-0000FD8B0000}"/>
    <cellStyle name="Normal 5 17 2 32" xfId="35838" xr:uid="{00000000-0005-0000-0000-0000FE8B0000}"/>
    <cellStyle name="Normal 5 17 2 32 10" xfId="35839" xr:uid="{00000000-0005-0000-0000-0000FF8B0000}"/>
    <cellStyle name="Normal 5 17 2 32 11" xfId="35840" xr:uid="{00000000-0005-0000-0000-0000008C0000}"/>
    <cellStyle name="Normal 5 17 2 32 12" xfId="35841" xr:uid="{00000000-0005-0000-0000-0000018C0000}"/>
    <cellStyle name="Normal 5 17 2 32 13" xfId="35842" xr:uid="{00000000-0005-0000-0000-0000028C0000}"/>
    <cellStyle name="Normal 5 17 2 32 14" xfId="35843" xr:uid="{00000000-0005-0000-0000-0000038C0000}"/>
    <cellStyle name="Normal 5 17 2 32 2" xfId="35844" xr:uid="{00000000-0005-0000-0000-0000048C0000}"/>
    <cellStyle name="Normal 5 17 2 32 2 10" xfId="35845" xr:uid="{00000000-0005-0000-0000-0000058C0000}"/>
    <cellStyle name="Normal 5 17 2 32 2 2" xfId="35846" xr:uid="{00000000-0005-0000-0000-0000068C0000}"/>
    <cellStyle name="Normal 5 17 2 32 2 3" xfId="35847" xr:uid="{00000000-0005-0000-0000-0000078C0000}"/>
    <cellStyle name="Normal 5 17 2 32 2 4" xfId="35848" xr:uid="{00000000-0005-0000-0000-0000088C0000}"/>
    <cellStyle name="Normal 5 17 2 32 2 5" xfId="35849" xr:uid="{00000000-0005-0000-0000-0000098C0000}"/>
    <cellStyle name="Normal 5 17 2 32 2 6" xfId="35850" xr:uid="{00000000-0005-0000-0000-00000A8C0000}"/>
    <cellStyle name="Normal 5 17 2 32 2 7" xfId="35851" xr:uid="{00000000-0005-0000-0000-00000B8C0000}"/>
    <cellStyle name="Normal 5 17 2 32 2 8" xfId="35852" xr:uid="{00000000-0005-0000-0000-00000C8C0000}"/>
    <cellStyle name="Normal 5 17 2 32 2 9" xfId="35853" xr:uid="{00000000-0005-0000-0000-00000D8C0000}"/>
    <cellStyle name="Normal 5 17 2 32 3" xfId="35854" xr:uid="{00000000-0005-0000-0000-00000E8C0000}"/>
    <cellStyle name="Normal 5 17 2 32 3 10" xfId="35855" xr:uid="{00000000-0005-0000-0000-00000F8C0000}"/>
    <cellStyle name="Normal 5 17 2 32 3 2" xfId="35856" xr:uid="{00000000-0005-0000-0000-0000108C0000}"/>
    <cellStyle name="Normal 5 17 2 32 3 3" xfId="35857" xr:uid="{00000000-0005-0000-0000-0000118C0000}"/>
    <cellStyle name="Normal 5 17 2 32 3 4" xfId="35858" xr:uid="{00000000-0005-0000-0000-0000128C0000}"/>
    <cellStyle name="Normal 5 17 2 32 3 5" xfId="35859" xr:uid="{00000000-0005-0000-0000-0000138C0000}"/>
    <cellStyle name="Normal 5 17 2 32 3 6" xfId="35860" xr:uid="{00000000-0005-0000-0000-0000148C0000}"/>
    <cellStyle name="Normal 5 17 2 32 3 7" xfId="35861" xr:uid="{00000000-0005-0000-0000-0000158C0000}"/>
    <cellStyle name="Normal 5 17 2 32 3 8" xfId="35862" xr:uid="{00000000-0005-0000-0000-0000168C0000}"/>
    <cellStyle name="Normal 5 17 2 32 3 9" xfId="35863" xr:uid="{00000000-0005-0000-0000-0000178C0000}"/>
    <cellStyle name="Normal 5 17 2 32 4" xfId="35864" xr:uid="{00000000-0005-0000-0000-0000188C0000}"/>
    <cellStyle name="Normal 5 17 2 32 4 10" xfId="35865" xr:uid="{00000000-0005-0000-0000-0000198C0000}"/>
    <cellStyle name="Normal 5 17 2 32 4 2" xfId="35866" xr:uid="{00000000-0005-0000-0000-00001A8C0000}"/>
    <cellStyle name="Normal 5 17 2 32 4 3" xfId="35867" xr:uid="{00000000-0005-0000-0000-00001B8C0000}"/>
    <cellStyle name="Normal 5 17 2 32 4 4" xfId="35868" xr:uid="{00000000-0005-0000-0000-00001C8C0000}"/>
    <cellStyle name="Normal 5 17 2 32 4 5" xfId="35869" xr:uid="{00000000-0005-0000-0000-00001D8C0000}"/>
    <cellStyle name="Normal 5 17 2 32 4 6" xfId="35870" xr:uid="{00000000-0005-0000-0000-00001E8C0000}"/>
    <cellStyle name="Normal 5 17 2 32 4 7" xfId="35871" xr:uid="{00000000-0005-0000-0000-00001F8C0000}"/>
    <cellStyle name="Normal 5 17 2 32 4 8" xfId="35872" xr:uid="{00000000-0005-0000-0000-0000208C0000}"/>
    <cellStyle name="Normal 5 17 2 32 4 9" xfId="35873" xr:uid="{00000000-0005-0000-0000-0000218C0000}"/>
    <cellStyle name="Normal 5 17 2 32 5" xfId="35874" xr:uid="{00000000-0005-0000-0000-0000228C0000}"/>
    <cellStyle name="Normal 5 17 2 32 5 10" xfId="35875" xr:uid="{00000000-0005-0000-0000-0000238C0000}"/>
    <cellStyle name="Normal 5 17 2 32 5 2" xfId="35876" xr:uid="{00000000-0005-0000-0000-0000248C0000}"/>
    <cellStyle name="Normal 5 17 2 32 5 3" xfId="35877" xr:uid="{00000000-0005-0000-0000-0000258C0000}"/>
    <cellStyle name="Normal 5 17 2 32 5 4" xfId="35878" xr:uid="{00000000-0005-0000-0000-0000268C0000}"/>
    <cellStyle name="Normal 5 17 2 32 5 5" xfId="35879" xr:uid="{00000000-0005-0000-0000-0000278C0000}"/>
    <cellStyle name="Normal 5 17 2 32 5 6" xfId="35880" xr:uid="{00000000-0005-0000-0000-0000288C0000}"/>
    <cellStyle name="Normal 5 17 2 32 5 7" xfId="35881" xr:uid="{00000000-0005-0000-0000-0000298C0000}"/>
    <cellStyle name="Normal 5 17 2 32 5 8" xfId="35882" xr:uid="{00000000-0005-0000-0000-00002A8C0000}"/>
    <cellStyle name="Normal 5 17 2 32 5 9" xfId="35883" xr:uid="{00000000-0005-0000-0000-00002B8C0000}"/>
    <cellStyle name="Normal 5 17 2 32 6" xfId="35884" xr:uid="{00000000-0005-0000-0000-00002C8C0000}"/>
    <cellStyle name="Normal 5 17 2 32 7" xfId="35885" xr:uid="{00000000-0005-0000-0000-00002D8C0000}"/>
    <cellStyle name="Normal 5 17 2 32 8" xfId="35886" xr:uid="{00000000-0005-0000-0000-00002E8C0000}"/>
    <cellStyle name="Normal 5 17 2 32 9" xfId="35887" xr:uid="{00000000-0005-0000-0000-00002F8C0000}"/>
    <cellStyle name="Normal 5 17 2 33" xfId="35888" xr:uid="{00000000-0005-0000-0000-0000308C0000}"/>
    <cellStyle name="Normal 5 17 2 33 10" xfId="35889" xr:uid="{00000000-0005-0000-0000-0000318C0000}"/>
    <cellStyle name="Normal 5 17 2 33 11" xfId="35890" xr:uid="{00000000-0005-0000-0000-0000328C0000}"/>
    <cellStyle name="Normal 5 17 2 33 12" xfId="35891" xr:uid="{00000000-0005-0000-0000-0000338C0000}"/>
    <cellStyle name="Normal 5 17 2 33 13" xfId="35892" xr:uid="{00000000-0005-0000-0000-0000348C0000}"/>
    <cellStyle name="Normal 5 17 2 33 14" xfId="35893" xr:uid="{00000000-0005-0000-0000-0000358C0000}"/>
    <cellStyle name="Normal 5 17 2 33 2" xfId="35894" xr:uid="{00000000-0005-0000-0000-0000368C0000}"/>
    <cellStyle name="Normal 5 17 2 33 2 10" xfId="35895" xr:uid="{00000000-0005-0000-0000-0000378C0000}"/>
    <cellStyle name="Normal 5 17 2 33 2 2" xfId="35896" xr:uid="{00000000-0005-0000-0000-0000388C0000}"/>
    <cellStyle name="Normal 5 17 2 33 2 3" xfId="35897" xr:uid="{00000000-0005-0000-0000-0000398C0000}"/>
    <cellStyle name="Normal 5 17 2 33 2 4" xfId="35898" xr:uid="{00000000-0005-0000-0000-00003A8C0000}"/>
    <cellStyle name="Normal 5 17 2 33 2 5" xfId="35899" xr:uid="{00000000-0005-0000-0000-00003B8C0000}"/>
    <cellStyle name="Normal 5 17 2 33 2 6" xfId="35900" xr:uid="{00000000-0005-0000-0000-00003C8C0000}"/>
    <cellStyle name="Normal 5 17 2 33 2 7" xfId="35901" xr:uid="{00000000-0005-0000-0000-00003D8C0000}"/>
    <cellStyle name="Normal 5 17 2 33 2 8" xfId="35902" xr:uid="{00000000-0005-0000-0000-00003E8C0000}"/>
    <cellStyle name="Normal 5 17 2 33 2 9" xfId="35903" xr:uid="{00000000-0005-0000-0000-00003F8C0000}"/>
    <cellStyle name="Normal 5 17 2 33 3" xfId="35904" xr:uid="{00000000-0005-0000-0000-0000408C0000}"/>
    <cellStyle name="Normal 5 17 2 33 3 10" xfId="35905" xr:uid="{00000000-0005-0000-0000-0000418C0000}"/>
    <cellStyle name="Normal 5 17 2 33 3 2" xfId="35906" xr:uid="{00000000-0005-0000-0000-0000428C0000}"/>
    <cellStyle name="Normal 5 17 2 33 3 3" xfId="35907" xr:uid="{00000000-0005-0000-0000-0000438C0000}"/>
    <cellStyle name="Normal 5 17 2 33 3 4" xfId="35908" xr:uid="{00000000-0005-0000-0000-0000448C0000}"/>
    <cellStyle name="Normal 5 17 2 33 3 5" xfId="35909" xr:uid="{00000000-0005-0000-0000-0000458C0000}"/>
    <cellStyle name="Normal 5 17 2 33 3 6" xfId="35910" xr:uid="{00000000-0005-0000-0000-0000468C0000}"/>
    <cellStyle name="Normal 5 17 2 33 3 7" xfId="35911" xr:uid="{00000000-0005-0000-0000-0000478C0000}"/>
    <cellStyle name="Normal 5 17 2 33 3 8" xfId="35912" xr:uid="{00000000-0005-0000-0000-0000488C0000}"/>
    <cellStyle name="Normal 5 17 2 33 3 9" xfId="35913" xr:uid="{00000000-0005-0000-0000-0000498C0000}"/>
    <cellStyle name="Normal 5 17 2 33 4" xfId="35914" xr:uid="{00000000-0005-0000-0000-00004A8C0000}"/>
    <cellStyle name="Normal 5 17 2 33 4 10" xfId="35915" xr:uid="{00000000-0005-0000-0000-00004B8C0000}"/>
    <cellStyle name="Normal 5 17 2 33 4 2" xfId="35916" xr:uid="{00000000-0005-0000-0000-00004C8C0000}"/>
    <cellStyle name="Normal 5 17 2 33 4 3" xfId="35917" xr:uid="{00000000-0005-0000-0000-00004D8C0000}"/>
    <cellStyle name="Normal 5 17 2 33 4 4" xfId="35918" xr:uid="{00000000-0005-0000-0000-00004E8C0000}"/>
    <cellStyle name="Normal 5 17 2 33 4 5" xfId="35919" xr:uid="{00000000-0005-0000-0000-00004F8C0000}"/>
    <cellStyle name="Normal 5 17 2 33 4 6" xfId="35920" xr:uid="{00000000-0005-0000-0000-0000508C0000}"/>
    <cellStyle name="Normal 5 17 2 33 4 7" xfId="35921" xr:uid="{00000000-0005-0000-0000-0000518C0000}"/>
    <cellStyle name="Normal 5 17 2 33 4 8" xfId="35922" xr:uid="{00000000-0005-0000-0000-0000528C0000}"/>
    <cellStyle name="Normal 5 17 2 33 4 9" xfId="35923" xr:uid="{00000000-0005-0000-0000-0000538C0000}"/>
    <cellStyle name="Normal 5 17 2 33 5" xfId="35924" xr:uid="{00000000-0005-0000-0000-0000548C0000}"/>
    <cellStyle name="Normal 5 17 2 33 5 10" xfId="35925" xr:uid="{00000000-0005-0000-0000-0000558C0000}"/>
    <cellStyle name="Normal 5 17 2 33 5 2" xfId="35926" xr:uid="{00000000-0005-0000-0000-0000568C0000}"/>
    <cellStyle name="Normal 5 17 2 33 5 3" xfId="35927" xr:uid="{00000000-0005-0000-0000-0000578C0000}"/>
    <cellStyle name="Normal 5 17 2 33 5 4" xfId="35928" xr:uid="{00000000-0005-0000-0000-0000588C0000}"/>
    <cellStyle name="Normal 5 17 2 33 5 5" xfId="35929" xr:uid="{00000000-0005-0000-0000-0000598C0000}"/>
    <cellStyle name="Normal 5 17 2 33 5 6" xfId="35930" xr:uid="{00000000-0005-0000-0000-00005A8C0000}"/>
    <cellStyle name="Normal 5 17 2 33 5 7" xfId="35931" xr:uid="{00000000-0005-0000-0000-00005B8C0000}"/>
    <cellStyle name="Normal 5 17 2 33 5 8" xfId="35932" xr:uid="{00000000-0005-0000-0000-00005C8C0000}"/>
    <cellStyle name="Normal 5 17 2 33 5 9" xfId="35933" xr:uid="{00000000-0005-0000-0000-00005D8C0000}"/>
    <cellStyle name="Normal 5 17 2 33 6" xfId="35934" xr:uid="{00000000-0005-0000-0000-00005E8C0000}"/>
    <cellStyle name="Normal 5 17 2 33 7" xfId="35935" xr:uid="{00000000-0005-0000-0000-00005F8C0000}"/>
    <cellStyle name="Normal 5 17 2 33 8" xfId="35936" xr:uid="{00000000-0005-0000-0000-0000608C0000}"/>
    <cellStyle name="Normal 5 17 2 33 9" xfId="35937" xr:uid="{00000000-0005-0000-0000-0000618C0000}"/>
    <cellStyle name="Normal 5 17 2 34" xfId="35938" xr:uid="{00000000-0005-0000-0000-0000628C0000}"/>
    <cellStyle name="Normal 5 17 2 34 10" xfId="35939" xr:uid="{00000000-0005-0000-0000-0000638C0000}"/>
    <cellStyle name="Normal 5 17 2 34 2" xfId="35940" xr:uid="{00000000-0005-0000-0000-0000648C0000}"/>
    <cellStyle name="Normal 5 17 2 34 3" xfId="35941" xr:uid="{00000000-0005-0000-0000-0000658C0000}"/>
    <cellStyle name="Normal 5 17 2 34 4" xfId="35942" xr:uid="{00000000-0005-0000-0000-0000668C0000}"/>
    <cellStyle name="Normal 5 17 2 34 5" xfId="35943" xr:uid="{00000000-0005-0000-0000-0000678C0000}"/>
    <cellStyle name="Normal 5 17 2 34 6" xfId="35944" xr:uid="{00000000-0005-0000-0000-0000688C0000}"/>
    <cellStyle name="Normal 5 17 2 34 7" xfId="35945" xr:uid="{00000000-0005-0000-0000-0000698C0000}"/>
    <cellStyle name="Normal 5 17 2 34 8" xfId="35946" xr:uid="{00000000-0005-0000-0000-00006A8C0000}"/>
    <cellStyle name="Normal 5 17 2 34 9" xfId="35947" xr:uid="{00000000-0005-0000-0000-00006B8C0000}"/>
    <cellStyle name="Normal 5 17 2 35" xfId="35948" xr:uid="{00000000-0005-0000-0000-00006C8C0000}"/>
    <cellStyle name="Normal 5 17 2 35 10" xfId="35949" xr:uid="{00000000-0005-0000-0000-00006D8C0000}"/>
    <cellStyle name="Normal 5 17 2 35 2" xfId="35950" xr:uid="{00000000-0005-0000-0000-00006E8C0000}"/>
    <cellStyle name="Normal 5 17 2 35 3" xfId="35951" xr:uid="{00000000-0005-0000-0000-00006F8C0000}"/>
    <cellStyle name="Normal 5 17 2 35 4" xfId="35952" xr:uid="{00000000-0005-0000-0000-0000708C0000}"/>
    <cellStyle name="Normal 5 17 2 35 5" xfId="35953" xr:uid="{00000000-0005-0000-0000-0000718C0000}"/>
    <cellStyle name="Normal 5 17 2 35 6" xfId="35954" xr:uid="{00000000-0005-0000-0000-0000728C0000}"/>
    <cellStyle name="Normal 5 17 2 35 7" xfId="35955" xr:uid="{00000000-0005-0000-0000-0000738C0000}"/>
    <cellStyle name="Normal 5 17 2 35 8" xfId="35956" xr:uid="{00000000-0005-0000-0000-0000748C0000}"/>
    <cellStyle name="Normal 5 17 2 35 9" xfId="35957" xr:uid="{00000000-0005-0000-0000-0000758C0000}"/>
    <cellStyle name="Normal 5 17 2 36" xfId="35958" xr:uid="{00000000-0005-0000-0000-0000768C0000}"/>
    <cellStyle name="Normal 5 17 2 36 10" xfId="35959" xr:uid="{00000000-0005-0000-0000-0000778C0000}"/>
    <cellStyle name="Normal 5 17 2 36 2" xfId="35960" xr:uid="{00000000-0005-0000-0000-0000788C0000}"/>
    <cellStyle name="Normal 5 17 2 36 3" xfId="35961" xr:uid="{00000000-0005-0000-0000-0000798C0000}"/>
    <cellStyle name="Normal 5 17 2 36 4" xfId="35962" xr:uid="{00000000-0005-0000-0000-00007A8C0000}"/>
    <cellStyle name="Normal 5 17 2 36 5" xfId="35963" xr:uid="{00000000-0005-0000-0000-00007B8C0000}"/>
    <cellStyle name="Normal 5 17 2 36 6" xfId="35964" xr:uid="{00000000-0005-0000-0000-00007C8C0000}"/>
    <cellStyle name="Normal 5 17 2 36 7" xfId="35965" xr:uid="{00000000-0005-0000-0000-00007D8C0000}"/>
    <cellStyle name="Normal 5 17 2 36 8" xfId="35966" xr:uid="{00000000-0005-0000-0000-00007E8C0000}"/>
    <cellStyle name="Normal 5 17 2 36 9" xfId="35967" xr:uid="{00000000-0005-0000-0000-00007F8C0000}"/>
    <cellStyle name="Normal 5 17 2 37" xfId="35968" xr:uid="{00000000-0005-0000-0000-0000808C0000}"/>
    <cellStyle name="Normal 5 17 2 37 10" xfId="35969" xr:uid="{00000000-0005-0000-0000-0000818C0000}"/>
    <cellStyle name="Normal 5 17 2 37 2" xfId="35970" xr:uid="{00000000-0005-0000-0000-0000828C0000}"/>
    <cellStyle name="Normal 5 17 2 37 3" xfId="35971" xr:uid="{00000000-0005-0000-0000-0000838C0000}"/>
    <cellStyle name="Normal 5 17 2 37 4" xfId="35972" xr:uid="{00000000-0005-0000-0000-0000848C0000}"/>
    <cellStyle name="Normal 5 17 2 37 5" xfId="35973" xr:uid="{00000000-0005-0000-0000-0000858C0000}"/>
    <cellStyle name="Normal 5 17 2 37 6" xfId="35974" xr:uid="{00000000-0005-0000-0000-0000868C0000}"/>
    <cellStyle name="Normal 5 17 2 37 7" xfId="35975" xr:uid="{00000000-0005-0000-0000-0000878C0000}"/>
    <cellStyle name="Normal 5 17 2 37 8" xfId="35976" xr:uid="{00000000-0005-0000-0000-0000888C0000}"/>
    <cellStyle name="Normal 5 17 2 37 9" xfId="35977" xr:uid="{00000000-0005-0000-0000-0000898C0000}"/>
    <cellStyle name="Normal 5 17 2 38" xfId="35978" xr:uid="{00000000-0005-0000-0000-00008A8C0000}"/>
    <cellStyle name="Normal 5 17 2 39" xfId="35979" xr:uid="{00000000-0005-0000-0000-00008B8C0000}"/>
    <cellStyle name="Normal 5 17 2 4" xfId="35980" xr:uid="{00000000-0005-0000-0000-00008C8C0000}"/>
    <cellStyle name="Normal 5 17 2 4 10" xfId="35981" xr:uid="{00000000-0005-0000-0000-00008D8C0000}"/>
    <cellStyle name="Normal 5 17 2 4 11" xfId="35982" xr:uid="{00000000-0005-0000-0000-00008E8C0000}"/>
    <cellStyle name="Normal 5 17 2 4 12" xfId="35983" xr:uid="{00000000-0005-0000-0000-00008F8C0000}"/>
    <cellStyle name="Normal 5 17 2 4 13" xfId="35984" xr:uid="{00000000-0005-0000-0000-0000908C0000}"/>
    <cellStyle name="Normal 5 17 2 4 14" xfId="35985" xr:uid="{00000000-0005-0000-0000-0000918C0000}"/>
    <cellStyle name="Normal 5 17 2 4 2" xfId="35986" xr:uid="{00000000-0005-0000-0000-0000928C0000}"/>
    <cellStyle name="Normal 5 17 2 4 2 10" xfId="35987" xr:uid="{00000000-0005-0000-0000-0000938C0000}"/>
    <cellStyle name="Normal 5 17 2 4 2 2" xfId="35988" xr:uid="{00000000-0005-0000-0000-0000948C0000}"/>
    <cellStyle name="Normal 5 17 2 4 2 3" xfId="35989" xr:uid="{00000000-0005-0000-0000-0000958C0000}"/>
    <cellStyle name="Normal 5 17 2 4 2 4" xfId="35990" xr:uid="{00000000-0005-0000-0000-0000968C0000}"/>
    <cellStyle name="Normal 5 17 2 4 2 5" xfId="35991" xr:uid="{00000000-0005-0000-0000-0000978C0000}"/>
    <cellStyle name="Normal 5 17 2 4 2 6" xfId="35992" xr:uid="{00000000-0005-0000-0000-0000988C0000}"/>
    <cellStyle name="Normal 5 17 2 4 2 7" xfId="35993" xr:uid="{00000000-0005-0000-0000-0000998C0000}"/>
    <cellStyle name="Normal 5 17 2 4 2 8" xfId="35994" xr:uid="{00000000-0005-0000-0000-00009A8C0000}"/>
    <cellStyle name="Normal 5 17 2 4 2 9" xfId="35995" xr:uid="{00000000-0005-0000-0000-00009B8C0000}"/>
    <cellStyle name="Normal 5 17 2 4 3" xfId="35996" xr:uid="{00000000-0005-0000-0000-00009C8C0000}"/>
    <cellStyle name="Normal 5 17 2 4 3 10" xfId="35997" xr:uid="{00000000-0005-0000-0000-00009D8C0000}"/>
    <cellStyle name="Normal 5 17 2 4 3 2" xfId="35998" xr:uid="{00000000-0005-0000-0000-00009E8C0000}"/>
    <cellStyle name="Normal 5 17 2 4 3 3" xfId="35999" xr:uid="{00000000-0005-0000-0000-00009F8C0000}"/>
    <cellStyle name="Normal 5 17 2 4 3 4" xfId="36000" xr:uid="{00000000-0005-0000-0000-0000A08C0000}"/>
    <cellStyle name="Normal 5 17 2 4 3 5" xfId="36001" xr:uid="{00000000-0005-0000-0000-0000A18C0000}"/>
    <cellStyle name="Normal 5 17 2 4 3 6" xfId="36002" xr:uid="{00000000-0005-0000-0000-0000A28C0000}"/>
    <cellStyle name="Normal 5 17 2 4 3 7" xfId="36003" xr:uid="{00000000-0005-0000-0000-0000A38C0000}"/>
    <cellStyle name="Normal 5 17 2 4 3 8" xfId="36004" xr:uid="{00000000-0005-0000-0000-0000A48C0000}"/>
    <cellStyle name="Normal 5 17 2 4 3 9" xfId="36005" xr:uid="{00000000-0005-0000-0000-0000A58C0000}"/>
    <cellStyle name="Normal 5 17 2 4 4" xfId="36006" xr:uid="{00000000-0005-0000-0000-0000A68C0000}"/>
    <cellStyle name="Normal 5 17 2 4 4 10" xfId="36007" xr:uid="{00000000-0005-0000-0000-0000A78C0000}"/>
    <cellStyle name="Normal 5 17 2 4 4 2" xfId="36008" xr:uid="{00000000-0005-0000-0000-0000A88C0000}"/>
    <cellStyle name="Normal 5 17 2 4 4 3" xfId="36009" xr:uid="{00000000-0005-0000-0000-0000A98C0000}"/>
    <cellStyle name="Normal 5 17 2 4 4 4" xfId="36010" xr:uid="{00000000-0005-0000-0000-0000AA8C0000}"/>
    <cellStyle name="Normal 5 17 2 4 4 5" xfId="36011" xr:uid="{00000000-0005-0000-0000-0000AB8C0000}"/>
    <cellStyle name="Normal 5 17 2 4 4 6" xfId="36012" xr:uid="{00000000-0005-0000-0000-0000AC8C0000}"/>
    <cellStyle name="Normal 5 17 2 4 4 7" xfId="36013" xr:uid="{00000000-0005-0000-0000-0000AD8C0000}"/>
    <cellStyle name="Normal 5 17 2 4 4 8" xfId="36014" xr:uid="{00000000-0005-0000-0000-0000AE8C0000}"/>
    <cellStyle name="Normal 5 17 2 4 4 9" xfId="36015" xr:uid="{00000000-0005-0000-0000-0000AF8C0000}"/>
    <cellStyle name="Normal 5 17 2 4 5" xfId="36016" xr:uid="{00000000-0005-0000-0000-0000B08C0000}"/>
    <cellStyle name="Normal 5 17 2 4 5 10" xfId="36017" xr:uid="{00000000-0005-0000-0000-0000B18C0000}"/>
    <cellStyle name="Normal 5 17 2 4 5 2" xfId="36018" xr:uid="{00000000-0005-0000-0000-0000B28C0000}"/>
    <cellStyle name="Normal 5 17 2 4 5 3" xfId="36019" xr:uid="{00000000-0005-0000-0000-0000B38C0000}"/>
    <cellStyle name="Normal 5 17 2 4 5 4" xfId="36020" xr:uid="{00000000-0005-0000-0000-0000B48C0000}"/>
    <cellStyle name="Normal 5 17 2 4 5 5" xfId="36021" xr:uid="{00000000-0005-0000-0000-0000B58C0000}"/>
    <cellStyle name="Normal 5 17 2 4 5 6" xfId="36022" xr:uid="{00000000-0005-0000-0000-0000B68C0000}"/>
    <cellStyle name="Normal 5 17 2 4 5 7" xfId="36023" xr:uid="{00000000-0005-0000-0000-0000B78C0000}"/>
    <cellStyle name="Normal 5 17 2 4 5 8" xfId="36024" xr:uid="{00000000-0005-0000-0000-0000B88C0000}"/>
    <cellStyle name="Normal 5 17 2 4 5 9" xfId="36025" xr:uid="{00000000-0005-0000-0000-0000B98C0000}"/>
    <cellStyle name="Normal 5 17 2 4 6" xfId="36026" xr:uid="{00000000-0005-0000-0000-0000BA8C0000}"/>
    <cellStyle name="Normal 5 17 2 4 7" xfId="36027" xr:uid="{00000000-0005-0000-0000-0000BB8C0000}"/>
    <cellStyle name="Normal 5 17 2 4 8" xfId="36028" xr:uid="{00000000-0005-0000-0000-0000BC8C0000}"/>
    <cellStyle name="Normal 5 17 2 4 9" xfId="36029" xr:uid="{00000000-0005-0000-0000-0000BD8C0000}"/>
    <cellStyle name="Normal 5 17 2 40" xfId="36030" xr:uid="{00000000-0005-0000-0000-0000BE8C0000}"/>
    <cellStyle name="Normal 5 17 2 41" xfId="36031" xr:uid="{00000000-0005-0000-0000-0000BF8C0000}"/>
    <cellStyle name="Normal 5 17 2 42" xfId="36032" xr:uid="{00000000-0005-0000-0000-0000C08C0000}"/>
    <cellStyle name="Normal 5 17 2 43" xfId="36033" xr:uid="{00000000-0005-0000-0000-0000C18C0000}"/>
    <cellStyle name="Normal 5 17 2 44" xfId="36034" xr:uid="{00000000-0005-0000-0000-0000C28C0000}"/>
    <cellStyle name="Normal 5 17 2 45" xfId="36035" xr:uid="{00000000-0005-0000-0000-0000C38C0000}"/>
    <cellStyle name="Normal 5 17 2 46" xfId="36036" xr:uid="{00000000-0005-0000-0000-0000C48C0000}"/>
    <cellStyle name="Normal 5 17 2 47" xfId="36037" xr:uid="{00000000-0005-0000-0000-0000C58C0000}"/>
    <cellStyle name="Normal 5 17 2 48" xfId="36038" xr:uid="{00000000-0005-0000-0000-0000C68C0000}"/>
    <cellStyle name="Normal 5 17 2 5" xfId="36039" xr:uid="{00000000-0005-0000-0000-0000C78C0000}"/>
    <cellStyle name="Normal 5 17 2 5 10" xfId="36040" xr:uid="{00000000-0005-0000-0000-0000C88C0000}"/>
    <cellStyle name="Normal 5 17 2 5 11" xfId="36041" xr:uid="{00000000-0005-0000-0000-0000C98C0000}"/>
    <cellStyle name="Normal 5 17 2 5 12" xfId="36042" xr:uid="{00000000-0005-0000-0000-0000CA8C0000}"/>
    <cellStyle name="Normal 5 17 2 5 13" xfId="36043" xr:uid="{00000000-0005-0000-0000-0000CB8C0000}"/>
    <cellStyle name="Normal 5 17 2 5 14" xfId="36044" xr:uid="{00000000-0005-0000-0000-0000CC8C0000}"/>
    <cellStyle name="Normal 5 17 2 5 2" xfId="36045" xr:uid="{00000000-0005-0000-0000-0000CD8C0000}"/>
    <cellStyle name="Normal 5 17 2 5 2 10" xfId="36046" xr:uid="{00000000-0005-0000-0000-0000CE8C0000}"/>
    <cellStyle name="Normal 5 17 2 5 2 2" xfId="36047" xr:uid="{00000000-0005-0000-0000-0000CF8C0000}"/>
    <cellStyle name="Normal 5 17 2 5 2 3" xfId="36048" xr:uid="{00000000-0005-0000-0000-0000D08C0000}"/>
    <cellStyle name="Normal 5 17 2 5 2 4" xfId="36049" xr:uid="{00000000-0005-0000-0000-0000D18C0000}"/>
    <cellStyle name="Normal 5 17 2 5 2 5" xfId="36050" xr:uid="{00000000-0005-0000-0000-0000D28C0000}"/>
    <cellStyle name="Normal 5 17 2 5 2 6" xfId="36051" xr:uid="{00000000-0005-0000-0000-0000D38C0000}"/>
    <cellStyle name="Normal 5 17 2 5 2 7" xfId="36052" xr:uid="{00000000-0005-0000-0000-0000D48C0000}"/>
    <cellStyle name="Normal 5 17 2 5 2 8" xfId="36053" xr:uid="{00000000-0005-0000-0000-0000D58C0000}"/>
    <cellStyle name="Normal 5 17 2 5 2 9" xfId="36054" xr:uid="{00000000-0005-0000-0000-0000D68C0000}"/>
    <cellStyle name="Normal 5 17 2 5 3" xfId="36055" xr:uid="{00000000-0005-0000-0000-0000D78C0000}"/>
    <cellStyle name="Normal 5 17 2 5 3 10" xfId="36056" xr:uid="{00000000-0005-0000-0000-0000D88C0000}"/>
    <cellStyle name="Normal 5 17 2 5 3 2" xfId="36057" xr:uid="{00000000-0005-0000-0000-0000D98C0000}"/>
    <cellStyle name="Normal 5 17 2 5 3 3" xfId="36058" xr:uid="{00000000-0005-0000-0000-0000DA8C0000}"/>
    <cellStyle name="Normal 5 17 2 5 3 4" xfId="36059" xr:uid="{00000000-0005-0000-0000-0000DB8C0000}"/>
    <cellStyle name="Normal 5 17 2 5 3 5" xfId="36060" xr:uid="{00000000-0005-0000-0000-0000DC8C0000}"/>
    <cellStyle name="Normal 5 17 2 5 3 6" xfId="36061" xr:uid="{00000000-0005-0000-0000-0000DD8C0000}"/>
    <cellStyle name="Normal 5 17 2 5 3 7" xfId="36062" xr:uid="{00000000-0005-0000-0000-0000DE8C0000}"/>
    <cellStyle name="Normal 5 17 2 5 3 8" xfId="36063" xr:uid="{00000000-0005-0000-0000-0000DF8C0000}"/>
    <cellStyle name="Normal 5 17 2 5 3 9" xfId="36064" xr:uid="{00000000-0005-0000-0000-0000E08C0000}"/>
    <cellStyle name="Normal 5 17 2 5 4" xfId="36065" xr:uid="{00000000-0005-0000-0000-0000E18C0000}"/>
    <cellStyle name="Normal 5 17 2 5 4 10" xfId="36066" xr:uid="{00000000-0005-0000-0000-0000E28C0000}"/>
    <cellStyle name="Normal 5 17 2 5 4 2" xfId="36067" xr:uid="{00000000-0005-0000-0000-0000E38C0000}"/>
    <cellStyle name="Normal 5 17 2 5 4 3" xfId="36068" xr:uid="{00000000-0005-0000-0000-0000E48C0000}"/>
    <cellStyle name="Normal 5 17 2 5 4 4" xfId="36069" xr:uid="{00000000-0005-0000-0000-0000E58C0000}"/>
    <cellStyle name="Normal 5 17 2 5 4 5" xfId="36070" xr:uid="{00000000-0005-0000-0000-0000E68C0000}"/>
    <cellStyle name="Normal 5 17 2 5 4 6" xfId="36071" xr:uid="{00000000-0005-0000-0000-0000E78C0000}"/>
    <cellStyle name="Normal 5 17 2 5 4 7" xfId="36072" xr:uid="{00000000-0005-0000-0000-0000E88C0000}"/>
    <cellStyle name="Normal 5 17 2 5 4 8" xfId="36073" xr:uid="{00000000-0005-0000-0000-0000E98C0000}"/>
    <cellStyle name="Normal 5 17 2 5 4 9" xfId="36074" xr:uid="{00000000-0005-0000-0000-0000EA8C0000}"/>
    <cellStyle name="Normal 5 17 2 5 5" xfId="36075" xr:uid="{00000000-0005-0000-0000-0000EB8C0000}"/>
    <cellStyle name="Normal 5 17 2 5 5 10" xfId="36076" xr:uid="{00000000-0005-0000-0000-0000EC8C0000}"/>
    <cellStyle name="Normal 5 17 2 5 5 2" xfId="36077" xr:uid="{00000000-0005-0000-0000-0000ED8C0000}"/>
    <cellStyle name="Normal 5 17 2 5 5 3" xfId="36078" xr:uid="{00000000-0005-0000-0000-0000EE8C0000}"/>
    <cellStyle name="Normal 5 17 2 5 5 4" xfId="36079" xr:uid="{00000000-0005-0000-0000-0000EF8C0000}"/>
    <cellStyle name="Normal 5 17 2 5 5 5" xfId="36080" xr:uid="{00000000-0005-0000-0000-0000F08C0000}"/>
    <cellStyle name="Normal 5 17 2 5 5 6" xfId="36081" xr:uid="{00000000-0005-0000-0000-0000F18C0000}"/>
    <cellStyle name="Normal 5 17 2 5 5 7" xfId="36082" xr:uid="{00000000-0005-0000-0000-0000F28C0000}"/>
    <cellStyle name="Normal 5 17 2 5 5 8" xfId="36083" xr:uid="{00000000-0005-0000-0000-0000F38C0000}"/>
    <cellStyle name="Normal 5 17 2 5 5 9" xfId="36084" xr:uid="{00000000-0005-0000-0000-0000F48C0000}"/>
    <cellStyle name="Normal 5 17 2 5 6" xfId="36085" xr:uid="{00000000-0005-0000-0000-0000F58C0000}"/>
    <cellStyle name="Normal 5 17 2 5 7" xfId="36086" xr:uid="{00000000-0005-0000-0000-0000F68C0000}"/>
    <cellStyle name="Normal 5 17 2 5 8" xfId="36087" xr:uid="{00000000-0005-0000-0000-0000F78C0000}"/>
    <cellStyle name="Normal 5 17 2 5 9" xfId="36088" xr:uid="{00000000-0005-0000-0000-0000F88C0000}"/>
    <cellStyle name="Normal 5 17 2 6" xfId="36089" xr:uid="{00000000-0005-0000-0000-0000F98C0000}"/>
    <cellStyle name="Normal 5 17 2 6 10" xfId="36090" xr:uid="{00000000-0005-0000-0000-0000FA8C0000}"/>
    <cellStyle name="Normal 5 17 2 6 11" xfId="36091" xr:uid="{00000000-0005-0000-0000-0000FB8C0000}"/>
    <cellStyle name="Normal 5 17 2 6 12" xfId="36092" xr:uid="{00000000-0005-0000-0000-0000FC8C0000}"/>
    <cellStyle name="Normal 5 17 2 6 13" xfId="36093" xr:uid="{00000000-0005-0000-0000-0000FD8C0000}"/>
    <cellStyle name="Normal 5 17 2 6 14" xfId="36094" xr:uid="{00000000-0005-0000-0000-0000FE8C0000}"/>
    <cellStyle name="Normal 5 17 2 6 2" xfId="36095" xr:uid="{00000000-0005-0000-0000-0000FF8C0000}"/>
    <cellStyle name="Normal 5 17 2 6 2 10" xfId="36096" xr:uid="{00000000-0005-0000-0000-0000008D0000}"/>
    <cellStyle name="Normal 5 17 2 6 2 2" xfId="36097" xr:uid="{00000000-0005-0000-0000-0000018D0000}"/>
    <cellStyle name="Normal 5 17 2 6 2 3" xfId="36098" xr:uid="{00000000-0005-0000-0000-0000028D0000}"/>
    <cellStyle name="Normal 5 17 2 6 2 4" xfId="36099" xr:uid="{00000000-0005-0000-0000-0000038D0000}"/>
    <cellStyle name="Normal 5 17 2 6 2 5" xfId="36100" xr:uid="{00000000-0005-0000-0000-0000048D0000}"/>
    <cellStyle name="Normal 5 17 2 6 2 6" xfId="36101" xr:uid="{00000000-0005-0000-0000-0000058D0000}"/>
    <cellStyle name="Normal 5 17 2 6 2 7" xfId="36102" xr:uid="{00000000-0005-0000-0000-0000068D0000}"/>
    <cellStyle name="Normal 5 17 2 6 2 8" xfId="36103" xr:uid="{00000000-0005-0000-0000-0000078D0000}"/>
    <cellStyle name="Normal 5 17 2 6 2 9" xfId="36104" xr:uid="{00000000-0005-0000-0000-0000088D0000}"/>
    <cellStyle name="Normal 5 17 2 6 3" xfId="36105" xr:uid="{00000000-0005-0000-0000-0000098D0000}"/>
    <cellStyle name="Normal 5 17 2 6 3 10" xfId="36106" xr:uid="{00000000-0005-0000-0000-00000A8D0000}"/>
    <cellStyle name="Normal 5 17 2 6 3 2" xfId="36107" xr:uid="{00000000-0005-0000-0000-00000B8D0000}"/>
    <cellStyle name="Normal 5 17 2 6 3 3" xfId="36108" xr:uid="{00000000-0005-0000-0000-00000C8D0000}"/>
    <cellStyle name="Normal 5 17 2 6 3 4" xfId="36109" xr:uid="{00000000-0005-0000-0000-00000D8D0000}"/>
    <cellStyle name="Normal 5 17 2 6 3 5" xfId="36110" xr:uid="{00000000-0005-0000-0000-00000E8D0000}"/>
    <cellStyle name="Normal 5 17 2 6 3 6" xfId="36111" xr:uid="{00000000-0005-0000-0000-00000F8D0000}"/>
    <cellStyle name="Normal 5 17 2 6 3 7" xfId="36112" xr:uid="{00000000-0005-0000-0000-0000108D0000}"/>
    <cellStyle name="Normal 5 17 2 6 3 8" xfId="36113" xr:uid="{00000000-0005-0000-0000-0000118D0000}"/>
    <cellStyle name="Normal 5 17 2 6 3 9" xfId="36114" xr:uid="{00000000-0005-0000-0000-0000128D0000}"/>
    <cellStyle name="Normal 5 17 2 6 4" xfId="36115" xr:uid="{00000000-0005-0000-0000-0000138D0000}"/>
    <cellStyle name="Normal 5 17 2 6 4 10" xfId="36116" xr:uid="{00000000-0005-0000-0000-0000148D0000}"/>
    <cellStyle name="Normal 5 17 2 6 4 2" xfId="36117" xr:uid="{00000000-0005-0000-0000-0000158D0000}"/>
    <cellStyle name="Normal 5 17 2 6 4 3" xfId="36118" xr:uid="{00000000-0005-0000-0000-0000168D0000}"/>
    <cellStyle name="Normal 5 17 2 6 4 4" xfId="36119" xr:uid="{00000000-0005-0000-0000-0000178D0000}"/>
    <cellStyle name="Normal 5 17 2 6 4 5" xfId="36120" xr:uid="{00000000-0005-0000-0000-0000188D0000}"/>
    <cellStyle name="Normal 5 17 2 6 4 6" xfId="36121" xr:uid="{00000000-0005-0000-0000-0000198D0000}"/>
    <cellStyle name="Normal 5 17 2 6 4 7" xfId="36122" xr:uid="{00000000-0005-0000-0000-00001A8D0000}"/>
    <cellStyle name="Normal 5 17 2 6 4 8" xfId="36123" xr:uid="{00000000-0005-0000-0000-00001B8D0000}"/>
    <cellStyle name="Normal 5 17 2 6 4 9" xfId="36124" xr:uid="{00000000-0005-0000-0000-00001C8D0000}"/>
    <cellStyle name="Normal 5 17 2 6 5" xfId="36125" xr:uid="{00000000-0005-0000-0000-00001D8D0000}"/>
    <cellStyle name="Normal 5 17 2 6 5 10" xfId="36126" xr:uid="{00000000-0005-0000-0000-00001E8D0000}"/>
    <cellStyle name="Normal 5 17 2 6 5 2" xfId="36127" xr:uid="{00000000-0005-0000-0000-00001F8D0000}"/>
    <cellStyle name="Normal 5 17 2 6 5 3" xfId="36128" xr:uid="{00000000-0005-0000-0000-0000208D0000}"/>
    <cellStyle name="Normal 5 17 2 6 5 4" xfId="36129" xr:uid="{00000000-0005-0000-0000-0000218D0000}"/>
    <cellStyle name="Normal 5 17 2 6 5 5" xfId="36130" xr:uid="{00000000-0005-0000-0000-0000228D0000}"/>
    <cellStyle name="Normal 5 17 2 6 5 6" xfId="36131" xr:uid="{00000000-0005-0000-0000-0000238D0000}"/>
    <cellStyle name="Normal 5 17 2 6 5 7" xfId="36132" xr:uid="{00000000-0005-0000-0000-0000248D0000}"/>
    <cellStyle name="Normal 5 17 2 6 5 8" xfId="36133" xr:uid="{00000000-0005-0000-0000-0000258D0000}"/>
    <cellStyle name="Normal 5 17 2 6 5 9" xfId="36134" xr:uid="{00000000-0005-0000-0000-0000268D0000}"/>
    <cellStyle name="Normal 5 17 2 6 6" xfId="36135" xr:uid="{00000000-0005-0000-0000-0000278D0000}"/>
    <cellStyle name="Normal 5 17 2 6 7" xfId="36136" xr:uid="{00000000-0005-0000-0000-0000288D0000}"/>
    <cellStyle name="Normal 5 17 2 6 8" xfId="36137" xr:uid="{00000000-0005-0000-0000-0000298D0000}"/>
    <cellStyle name="Normal 5 17 2 6 9" xfId="36138" xr:uid="{00000000-0005-0000-0000-00002A8D0000}"/>
    <cellStyle name="Normal 5 17 2 7" xfId="36139" xr:uid="{00000000-0005-0000-0000-00002B8D0000}"/>
    <cellStyle name="Normal 5 17 2 7 10" xfId="36140" xr:uid="{00000000-0005-0000-0000-00002C8D0000}"/>
    <cellStyle name="Normal 5 17 2 7 11" xfId="36141" xr:uid="{00000000-0005-0000-0000-00002D8D0000}"/>
    <cellStyle name="Normal 5 17 2 7 12" xfId="36142" xr:uid="{00000000-0005-0000-0000-00002E8D0000}"/>
    <cellStyle name="Normal 5 17 2 7 13" xfId="36143" xr:uid="{00000000-0005-0000-0000-00002F8D0000}"/>
    <cellStyle name="Normal 5 17 2 7 14" xfId="36144" xr:uid="{00000000-0005-0000-0000-0000308D0000}"/>
    <cellStyle name="Normal 5 17 2 7 2" xfId="36145" xr:uid="{00000000-0005-0000-0000-0000318D0000}"/>
    <cellStyle name="Normal 5 17 2 7 2 10" xfId="36146" xr:uid="{00000000-0005-0000-0000-0000328D0000}"/>
    <cellStyle name="Normal 5 17 2 7 2 2" xfId="36147" xr:uid="{00000000-0005-0000-0000-0000338D0000}"/>
    <cellStyle name="Normal 5 17 2 7 2 3" xfId="36148" xr:uid="{00000000-0005-0000-0000-0000348D0000}"/>
    <cellStyle name="Normal 5 17 2 7 2 4" xfId="36149" xr:uid="{00000000-0005-0000-0000-0000358D0000}"/>
    <cellStyle name="Normal 5 17 2 7 2 5" xfId="36150" xr:uid="{00000000-0005-0000-0000-0000368D0000}"/>
    <cellStyle name="Normal 5 17 2 7 2 6" xfId="36151" xr:uid="{00000000-0005-0000-0000-0000378D0000}"/>
    <cellStyle name="Normal 5 17 2 7 2 7" xfId="36152" xr:uid="{00000000-0005-0000-0000-0000388D0000}"/>
    <cellStyle name="Normal 5 17 2 7 2 8" xfId="36153" xr:uid="{00000000-0005-0000-0000-0000398D0000}"/>
    <cellStyle name="Normal 5 17 2 7 2 9" xfId="36154" xr:uid="{00000000-0005-0000-0000-00003A8D0000}"/>
    <cellStyle name="Normal 5 17 2 7 3" xfId="36155" xr:uid="{00000000-0005-0000-0000-00003B8D0000}"/>
    <cellStyle name="Normal 5 17 2 7 3 10" xfId="36156" xr:uid="{00000000-0005-0000-0000-00003C8D0000}"/>
    <cellStyle name="Normal 5 17 2 7 3 2" xfId="36157" xr:uid="{00000000-0005-0000-0000-00003D8D0000}"/>
    <cellStyle name="Normal 5 17 2 7 3 3" xfId="36158" xr:uid="{00000000-0005-0000-0000-00003E8D0000}"/>
    <cellStyle name="Normal 5 17 2 7 3 4" xfId="36159" xr:uid="{00000000-0005-0000-0000-00003F8D0000}"/>
    <cellStyle name="Normal 5 17 2 7 3 5" xfId="36160" xr:uid="{00000000-0005-0000-0000-0000408D0000}"/>
    <cellStyle name="Normal 5 17 2 7 3 6" xfId="36161" xr:uid="{00000000-0005-0000-0000-0000418D0000}"/>
    <cellStyle name="Normal 5 17 2 7 3 7" xfId="36162" xr:uid="{00000000-0005-0000-0000-0000428D0000}"/>
    <cellStyle name="Normal 5 17 2 7 3 8" xfId="36163" xr:uid="{00000000-0005-0000-0000-0000438D0000}"/>
    <cellStyle name="Normal 5 17 2 7 3 9" xfId="36164" xr:uid="{00000000-0005-0000-0000-0000448D0000}"/>
    <cellStyle name="Normal 5 17 2 7 4" xfId="36165" xr:uid="{00000000-0005-0000-0000-0000458D0000}"/>
    <cellStyle name="Normal 5 17 2 7 4 10" xfId="36166" xr:uid="{00000000-0005-0000-0000-0000468D0000}"/>
    <cellStyle name="Normal 5 17 2 7 4 2" xfId="36167" xr:uid="{00000000-0005-0000-0000-0000478D0000}"/>
    <cellStyle name="Normal 5 17 2 7 4 3" xfId="36168" xr:uid="{00000000-0005-0000-0000-0000488D0000}"/>
    <cellStyle name="Normal 5 17 2 7 4 4" xfId="36169" xr:uid="{00000000-0005-0000-0000-0000498D0000}"/>
    <cellStyle name="Normal 5 17 2 7 4 5" xfId="36170" xr:uid="{00000000-0005-0000-0000-00004A8D0000}"/>
    <cellStyle name="Normal 5 17 2 7 4 6" xfId="36171" xr:uid="{00000000-0005-0000-0000-00004B8D0000}"/>
    <cellStyle name="Normal 5 17 2 7 4 7" xfId="36172" xr:uid="{00000000-0005-0000-0000-00004C8D0000}"/>
    <cellStyle name="Normal 5 17 2 7 4 8" xfId="36173" xr:uid="{00000000-0005-0000-0000-00004D8D0000}"/>
    <cellStyle name="Normal 5 17 2 7 4 9" xfId="36174" xr:uid="{00000000-0005-0000-0000-00004E8D0000}"/>
    <cellStyle name="Normal 5 17 2 7 5" xfId="36175" xr:uid="{00000000-0005-0000-0000-00004F8D0000}"/>
    <cellStyle name="Normal 5 17 2 7 5 10" xfId="36176" xr:uid="{00000000-0005-0000-0000-0000508D0000}"/>
    <cellStyle name="Normal 5 17 2 7 5 2" xfId="36177" xr:uid="{00000000-0005-0000-0000-0000518D0000}"/>
    <cellStyle name="Normal 5 17 2 7 5 3" xfId="36178" xr:uid="{00000000-0005-0000-0000-0000528D0000}"/>
    <cellStyle name="Normal 5 17 2 7 5 4" xfId="36179" xr:uid="{00000000-0005-0000-0000-0000538D0000}"/>
    <cellStyle name="Normal 5 17 2 7 5 5" xfId="36180" xr:uid="{00000000-0005-0000-0000-0000548D0000}"/>
    <cellStyle name="Normal 5 17 2 7 5 6" xfId="36181" xr:uid="{00000000-0005-0000-0000-0000558D0000}"/>
    <cellStyle name="Normal 5 17 2 7 5 7" xfId="36182" xr:uid="{00000000-0005-0000-0000-0000568D0000}"/>
    <cellStyle name="Normal 5 17 2 7 5 8" xfId="36183" xr:uid="{00000000-0005-0000-0000-0000578D0000}"/>
    <cellStyle name="Normal 5 17 2 7 5 9" xfId="36184" xr:uid="{00000000-0005-0000-0000-0000588D0000}"/>
    <cellStyle name="Normal 5 17 2 7 6" xfId="36185" xr:uid="{00000000-0005-0000-0000-0000598D0000}"/>
    <cellStyle name="Normal 5 17 2 7 7" xfId="36186" xr:uid="{00000000-0005-0000-0000-00005A8D0000}"/>
    <cellStyle name="Normal 5 17 2 7 8" xfId="36187" xr:uid="{00000000-0005-0000-0000-00005B8D0000}"/>
    <cellStyle name="Normal 5 17 2 7 9" xfId="36188" xr:uid="{00000000-0005-0000-0000-00005C8D0000}"/>
    <cellStyle name="Normal 5 17 2 8" xfId="36189" xr:uid="{00000000-0005-0000-0000-00005D8D0000}"/>
    <cellStyle name="Normal 5 17 2 8 10" xfId="36190" xr:uid="{00000000-0005-0000-0000-00005E8D0000}"/>
    <cellStyle name="Normal 5 17 2 8 11" xfId="36191" xr:uid="{00000000-0005-0000-0000-00005F8D0000}"/>
    <cellStyle name="Normal 5 17 2 8 12" xfId="36192" xr:uid="{00000000-0005-0000-0000-0000608D0000}"/>
    <cellStyle name="Normal 5 17 2 8 13" xfId="36193" xr:uid="{00000000-0005-0000-0000-0000618D0000}"/>
    <cellStyle name="Normal 5 17 2 8 14" xfId="36194" xr:uid="{00000000-0005-0000-0000-0000628D0000}"/>
    <cellStyle name="Normal 5 17 2 8 2" xfId="36195" xr:uid="{00000000-0005-0000-0000-0000638D0000}"/>
    <cellStyle name="Normal 5 17 2 8 2 10" xfId="36196" xr:uid="{00000000-0005-0000-0000-0000648D0000}"/>
    <cellStyle name="Normal 5 17 2 8 2 2" xfId="36197" xr:uid="{00000000-0005-0000-0000-0000658D0000}"/>
    <cellStyle name="Normal 5 17 2 8 2 3" xfId="36198" xr:uid="{00000000-0005-0000-0000-0000668D0000}"/>
    <cellStyle name="Normal 5 17 2 8 2 4" xfId="36199" xr:uid="{00000000-0005-0000-0000-0000678D0000}"/>
    <cellStyle name="Normal 5 17 2 8 2 5" xfId="36200" xr:uid="{00000000-0005-0000-0000-0000688D0000}"/>
    <cellStyle name="Normal 5 17 2 8 2 6" xfId="36201" xr:uid="{00000000-0005-0000-0000-0000698D0000}"/>
    <cellStyle name="Normal 5 17 2 8 2 7" xfId="36202" xr:uid="{00000000-0005-0000-0000-00006A8D0000}"/>
    <cellStyle name="Normal 5 17 2 8 2 8" xfId="36203" xr:uid="{00000000-0005-0000-0000-00006B8D0000}"/>
    <cellStyle name="Normal 5 17 2 8 2 9" xfId="36204" xr:uid="{00000000-0005-0000-0000-00006C8D0000}"/>
    <cellStyle name="Normal 5 17 2 8 3" xfId="36205" xr:uid="{00000000-0005-0000-0000-00006D8D0000}"/>
    <cellStyle name="Normal 5 17 2 8 3 10" xfId="36206" xr:uid="{00000000-0005-0000-0000-00006E8D0000}"/>
    <cellStyle name="Normal 5 17 2 8 3 2" xfId="36207" xr:uid="{00000000-0005-0000-0000-00006F8D0000}"/>
    <cellStyle name="Normal 5 17 2 8 3 3" xfId="36208" xr:uid="{00000000-0005-0000-0000-0000708D0000}"/>
    <cellStyle name="Normal 5 17 2 8 3 4" xfId="36209" xr:uid="{00000000-0005-0000-0000-0000718D0000}"/>
    <cellStyle name="Normal 5 17 2 8 3 5" xfId="36210" xr:uid="{00000000-0005-0000-0000-0000728D0000}"/>
    <cellStyle name="Normal 5 17 2 8 3 6" xfId="36211" xr:uid="{00000000-0005-0000-0000-0000738D0000}"/>
    <cellStyle name="Normal 5 17 2 8 3 7" xfId="36212" xr:uid="{00000000-0005-0000-0000-0000748D0000}"/>
    <cellStyle name="Normal 5 17 2 8 3 8" xfId="36213" xr:uid="{00000000-0005-0000-0000-0000758D0000}"/>
    <cellStyle name="Normal 5 17 2 8 3 9" xfId="36214" xr:uid="{00000000-0005-0000-0000-0000768D0000}"/>
    <cellStyle name="Normal 5 17 2 8 4" xfId="36215" xr:uid="{00000000-0005-0000-0000-0000778D0000}"/>
    <cellStyle name="Normal 5 17 2 8 4 10" xfId="36216" xr:uid="{00000000-0005-0000-0000-0000788D0000}"/>
    <cellStyle name="Normal 5 17 2 8 4 2" xfId="36217" xr:uid="{00000000-0005-0000-0000-0000798D0000}"/>
    <cellStyle name="Normal 5 17 2 8 4 3" xfId="36218" xr:uid="{00000000-0005-0000-0000-00007A8D0000}"/>
    <cellStyle name="Normal 5 17 2 8 4 4" xfId="36219" xr:uid="{00000000-0005-0000-0000-00007B8D0000}"/>
    <cellStyle name="Normal 5 17 2 8 4 5" xfId="36220" xr:uid="{00000000-0005-0000-0000-00007C8D0000}"/>
    <cellStyle name="Normal 5 17 2 8 4 6" xfId="36221" xr:uid="{00000000-0005-0000-0000-00007D8D0000}"/>
    <cellStyle name="Normal 5 17 2 8 4 7" xfId="36222" xr:uid="{00000000-0005-0000-0000-00007E8D0000}"/>
    <cellStyle name="Normal 5 17 2 8 4 8" xfId="36223" xr:uid="{00000000-0005-0000-0000-00007F8D0000}"/>
    <cellStyle name="Normal 5 17 2 8 4 9" xfId="36224" xr:uid="{00000000-0005-0000-0000-0000808D0000}"/>
    <cellStyle name="Normal 5 17 2 8 5" xfId="36225" xr:uid="{00000000-0005-0000-0000-0000818D0000}"/>
    <cellStyle name="Normal 5 17 2 8 5 10" xfId="36226" xr:uid="{00000000-0005-0000-0000-0000828D0000}"/>
    <cellStyle name="Normal 5 17 2 8 5 2" xfId="36227" xr:uid="{00000000-0005-0000-0000-0000838D0000}"/>
    <cellStyle name="Normal 5 17 2 8 5 3" xfId="36228" xr:uid="{00000000-0005-0000-0000-0000848D0000}"/>
    <cellStyle name="Normal 5 17 2 8 5 4" xfId="36229" xr:uid="{00000000-0005-0000-0000-0000858D0000}"/>
    <cellStyle name="Normal 5 17 2 8 5 5" xfId="36230" xr:uid="{00000000-0005-0000-0000-0000868D0000}"/>
    <cellStyle name="Normal 5 17 2 8 5 6" xfId="36231" xr:uid="{00000000-0005-0000-0000-0000878D0000}"/>
    <cellStyle name="Normal 5 17 2 8 5 7" xfId="36232" xr:uid="{00000000-0005-0000-0000-0000888D0000}"/>
    <cellStyle name="Normal 5 17 2 8 5 8" xfId="36233" xr:uid="{00000000-0005-0000-0000-0000898D0000}"/>
    <cellStyle name="Normal 5 17 2 8 5 9" xfId="36234" xr:uid="{00000000-0005-0000-0000-00008A8D0000}"/>
    <cellStyle name="Normal 5 17 2 8 6" xfId="36235" xr:uid="{00000000-0005-0000-0000-00008B8D0000}"/>
    <cellStyle name="Normal 5 17 2 8 7" xfId="36236" xr:uid="{00000000-0005-0000-0000-00008C8D0000}"/>
    <cellStyle name="Normal 5 17 2 8 8" xfId="36237" xr:uid="{00000000-0005-0000-0000-00008D8D0000}"/>
    <cellStyle name="Normal 5 17 2 8 9" xfId="36238" xr:uid="{00000000-0005-0000-0000-00008E8D0000}"/>
    <cellStyle name="Normal 5 17 2 9" xfId="36239" xr:uid="{00000000-0005-0000-0000-00008F8D0000}"/>
    <cellStyle name="Normal 5 17 2 9 10" xfId="36240" xr:uid="{00000000-0005-0000-0000-0000908D0000}"/>
    <cellStyle name="Normal 5 17 2 9 11" xfId="36241" xr:uid="{00000000-0005-0000-0000-0000918D0000}"/>
    <cellStyle name="Normal 5 17 2 9 12" xfId="36242" xr:uid="{00000000-0005-0000-0000-0000928D0000}"/>
    <cellStyle name="Normal 5 17 2 9 13" xfId="36243" xr:uid="{00000000-0005-0000-0000-0000938D0000}"/>
    <cellStyle name="Normal 5 17 2 9 14" xfId="36244" xr:uid="{00000000-0005-0000-0000-0000948D0000}"/>
    <cellStyle name="Normal 5 17 2 9 2" xfId="36245" xr:uid="{00000000-0005-0000-0000-0000958D0000}"/>
    <cellStyle name="Normal 5 17 2 9 2 10" xfId="36246" xr:uid="{00000000-0005-0000-0000-0000968D0000}"/>
    <cellStyle name="Normal 5 17 2 9 2 2" xfId="36247" xr:uid="{00000000-0005-0000-0000-0000978D0000}"/>
    <cellStyle name="Normal 5 17 2 9 2 3" xfId="36248" xr:uid="{00000000-0005-0000-0000-0000988D0000}"/>
    <cellStyle name="Normal 5 17 2 9 2 4" xfId="36249" xr:uid="{00000000-0005-0000-0000-0000998D0000}"/>
    <cellStyle name="Normal 5 17 2 9 2 5" xfId="36250" xr:uid="{00000000-0005-0000-0000-00009A8D0000}"/>
    <cellStyle name="Normal 5 17 2 9 2 6" xfId="36251" xr:uid="{00000000-0005-0000-0000-00009B8D0000}"/>
    <cellStyle name="Normal 5 17 2 9 2 7" xfId="36252" xr:uid="{00000000-0005-0000-0000-00009C8D0000}"/>
    <cellStyle name="Normal 5 17 2 9 2 8" xfId="36253" xr:uid="{00000000-0005-0000-0000-00009D8D0000}"/>
    <cellStyle name="Normal 5 17 2 9 2 9" xfId="36254" xr:uid="{00000000-0005-0000-0000-00009E8D0000}"/>
    <cellStyle name="Normal 5 17 2 9 3" xfId="36255" xr:uid="{00000000-0005-0000-0000-00009F8D0000}"/>
    <cellStyle name="Normal 5 17 2 9 3 10" xfId="36256" xr:uid="{00000000-0005-0000-0000-0000A08D0000}"/>
    <cellStyle name="Normal 5 17 2 9 3 2" xfId="36257" xr:uid="{00000000-0005-0000-0000-0000A18D0000}"/>
    <cellStyle name="Normal 5 17 2 9 3 3" xfId="36258" xr:uid="{00000000-0005-0000-0000-0000A28D0000}"/>
    <cellStyle name="Normal 5 17 2 9 3 4" xfId="36259" xr:uid="{00000000-0005-0000-0000-0000A38D0000}"/>
    <cellStyle name="Normal 5 17 2 9 3 5" xfId="36260" xr:uid="{00000000-0005-0000-0000-0000A48D0000}"/>
    <cellStyle name="Normal 5 17 2 9 3 6" xfId="36261" xr:uid="{00000000-0005-0000-0000-0000A58D0000}"/>
    <cellStyle name="Normal 5 17 2 9 3 7" xfId="36262" xr:uid="{00000000-0005-0000-0000-0000A68D0000}"/>
    <cellStyle name="Normal 5 17 2 9 3 8" xfId="36263" xr:uid="{00000000-0005-0000-0000-0000A78D0000}"/>
    <cellStyle name="Normal 5 17 2 9 3 9" xfId="36264" xr:uid="{00000000-0005-0000-0000-0000A88D0000}"/>
    <cellStyle name="Normal 5 17 2 9 4" xfId="36265" xr:uid="{00000000-0005-0000-0000-0000A98D0000}"/>
    <cellStyle name="Normal 5 17 2 9 4 10" xfId="36266" xr:uid="{00000000-0005-0000-0000-0000AA8D0000}"/>
    <cellStyle name="Normal 5 17 2 9 4 2" xfId="36267" xr:uid="{00000000-0005-0000-0000-0000AB8D0000}"/>
    <cellStyle name="Normal 5 17 2 9 4 3" xfId="36268" xr:uid="{00000000-0005-0000-0000-0000AC8D0000}"/>
    <cellStyle name="Normal 5 17 2 9 4 4" xfId="36269" xr:uid="{00000000-0005-0000-0000-0000AD8D0000}"/>
    <cellStyle name="Normal 5 17 2 9 4 5" xfId="36270" xr:uid="{00000000-0005-0000-0000-0000AE8D0000}"/>
    <cellStyle name="Normal 5 17 2 9 4 6" xfId="36271" xr:uid="{00000000-0005-0000-0000-0000AF8D0000}"/>
    <cellStyle name="Normal 5 17 2 9 4 7" xfId="36272" xr:uid="{00000000-0005-0000-0000-0000B08D0000}"/>
    <cellStyle name="Normal 5 17 2 9 4 8" xfId="36273" xr:uid="{00000000-0005-0000-0000-0000B18D0000}"/>
    <cellStyle name="Normal 5 17 2 9 4 9" xfId="36274" xr:uid="{00000000-0005-0000-0000-0000B28D0000}"/>
    <cellStyle name="Normal 5 17 2 9 5" xfId="36275" xr:uid="{00000000-0005-0000-0000-0000B38D0000}"/>
    <cellStyle name="Normal 5 17 2 9 5 10" xfId="36276" xr:uid="{00000000-0005-0000-0000-0000B48D0000}"/>
    <cellStyle name="Normal 5 17 2 9 5 2" xfId="36277" xr:uid="{00000000-0005-0000-0000-0000B58D0000}"/>
    <cellStyle name="Normal 5 17 2 9 5 3" xfId="36278" xr:uid="{00000000-0005-0000-0000-0000B68D0000}"/>
    <cellStyle name="Normal 5 17 2 9 5 4" xfId="36279" xr:uid="{00000000-0005-0000-0000-0000B78D0000}"/>
    <cellStyle name="Normal 5 17 2 9 5 5" xfId="36280" xr:uid="{00000000-0005-0000-0000-0000B88D0000}"/>
    <cellStyle name="Normal 5 17 2 9 5 6" xfId="36281" xr:uid="{00000000-0005-0000-0000-0000B98D0000}"/>
    <cellStyle name="Normal 5 17 2 9 5 7" xfId="36282" xr:uid="{00000000-0005-0000-0000-0000BA8D0000}"/>
    <cellStyle name="Normal 5 17 2 9 5 8" xfId="36283" xr:uid="{00000000-0005-0000-0000-0000BB8D0000}"/>
    <cellStyle name="Normal 5 17 2 9 5 9" xfId="36284" xr:uid="{00000000-0005-0000-0000-0000BC8D0000}"/>
    <cellStyle name="Normal 5 17 2 9 6" xfId="36285" xr:uid="{00000000-0005-0000-0000-0000BD8D0000}"/>
    <cellStyle name="Normal 5 17 2 9 7" xfId="36286" xr:uid="{00000000-0005-0000-0000-0000BE8D0000}"/>
    <cellStyle name="Normal 5 17 2 9 8" xfId="36287" xr:uid="{00000000-0005-0000-0000-0000BF8D0000}"/>
    <cellStyle name="Normal 5 17 2 9 9" xfId="36288" xr:uid="{00000000-0005-0000-0000-0000C08D0000}"/>
    <cellStyle name="Normal 5 17 20" xfId="36289" xr:uid="{00000000-0005-0000-0000-0000C18D0000}"/>
    <cellStyle name="Normal 5 17 20 10" xfId="36290" xr:uid="{00000000-0005-0000-0000-0000C28D0000}"/>
    <cellStyle name="Normal 5 17 20 11" xfId="36291" xr:uid="{00000000-0005-0000-0000-0000C38D0000}"/>
    <cellStyle name="Normal 5 17 20 12" xfId="36292" xr:uid="{00000000-0005-0000-0000-0000C48D0000}"/>
    <cellStyle name="Normal 5 17 20 13" xfId="36293" xr:uid="{00000000-0005-0000-0000-0000C58D0000}"/>
    <cellStyle name="Normal 5 17 20 14" xfId="36294" xr:uid="{00000000-0005-0000-0000-0000C68D0000}"/>
    <cellStyle name="Normal 5 17 20 2" xfId="36295" xr:uid="{00000000-0005-0000-0000-0000C78D0000}"/>
    <cellStyle name="Normal 5 17 20 2 10" xfId="36296" xr:uid="{00000000-0005-0000-0000-0000C88D0000}"/>
    <cellStyle name="Normal 5 17 20 2 2" xfId="36297" xr:uid="{00000000-0005-0000-0000-0000C98D0000}"/>
    <cellStyle name="Normal 5 17 20 2 3" xfId="36298" xr:uid="{00000000-0005-0000-0000-0000CA8D0000}"/>
    <cellStyle name="Normal 5 17 20 2 4" xfId="36299" xr:uid="{00000000-0005-0000-0000-0000CB8D0000}"/>
    <cellStyle name="Normal 5 17 20 2 5" xfId="36300" xr:uid="{00000000-0005-0000-0000-0000CC8D0000}"/>
    <cellStyle name="Normal 5 17 20 2 6" xfId="36301" xr:uid="{00000000-0005-0000-0000-0000CD8D0000}"/>
    <cellStyle name="Normal 5 17 20 2 7" xfId="36302" xr:uid="{00000000-0005-0000-0000-0000CE8D0000}"/>
    <cellStyle name="Normal 5 17 20 2 8" xfId="36303" xr:uid="{00000000-0005-0000-0000-0000CF8D0000}"/>
    <cellStyle name="Normal 5 17 20 2 9" xfId="36304" xr:uid="{00000000-0005-0000-0000-0000D08D0000}"/>
    <cellStyle name="Normal 5 17 20 3" xfId="36305" xr:uid="{00000000-0005-0000-0000-0000D18D0000}"/>
    <cellStyle name="Normal 5 17 20 3 10" xfId="36306" xr:uid="{00000000-0005-0000-0000-0000D28D0000}"/>
    <cellStyle name="Normal 5 17 20 3 2" xfId="36307" xr:uid="{00000000-0005-0000-0000-0000D38D0000}"/>
    <cellStyle name="Normal 5 17 20 3 3" xfId="36308" xr:uid="{00000000-0005-0000-0000-0000D48D0000}"/>
    <cellStyle name="Normal 5 17 20 3 4" xfId="36309" xr:uid="{00000000-0005-0000-0000-0000D58D0000}"/>
    <cellStyle name="Normal 5 17 20 3 5" xfId="36310" xr:uid="{00000000-0005-0000-0000-0000D68D0000}"/>
    <cellStyle name="Normal 5 17 20 3 6" xfId="36311" xr:uid="{00000000-0005-0000-0000-0000D78D0000}"/>
    <cellStyle name="Normal 5 17 20 3 7" xfId="36312" xr:uid="{00000000-0005-0000-0000-0000D88D0000}"/>
    <cellStyle name="Normal 5 17 20 3 8" xfId="36313" xr:uid="{00000000-0005-0000-0000-0000D98D0000}"/>
    <cellStyle name="Normal 5 17 20 3 9" xfId="36314" xr:uid="{00000000-0005-0000-0000-0000DA8D0000}"/>
    <cellStyle name="Normal 5 17 20 4" xfId="36315" xr:uid="{00000000-0005-0000-0000-0000DB8D0000}"/>
    <cellStyle name="Normal 5 17 20 4 10" xfId="36316" xr:uid="{00000000-0005-0000-0000-0000DC8D0000}"/>
    <cellStyle name="Normal 5 17 20 4 2" xfId="36317" xr:uid="{00000000-0005-0000-0000-0000DD8D0000}"/>
    <cellStyle name="Normal 5 17 20 4 3" xfId="36318" xr:uid="{00000000-0005-0000-0000-0000DE8D0000}"/>
    <cellStyle name="Normal 5 17 20 4 4" xfId="36319" xr:uid="{00000000-0005-0000-0000-0000DF8D0000}"/>
    <cellStyle name="Normal 5 17 20 4 5" xfId="36320" xr:uid="{00000000-0005-0000-0000-0000E08D0000}"/>
    <cellStyle name="Normal 5 17 20 4 6" xfId="36321" xr:uid="{00000000-0005-0000-0000-0000E18D0000}"/>
    <cellStyle name="Normal 5 17 20 4 7" xfId="36322" xr:uid="{00000000-0005-0000-0000-0000E28D0000}"/>
    <cellStyle name="Normal 5 17 20 4 8" xfId="36323" xr:uid="{00000000-0005-0000-0000-0000E38D0000}"/>
    <cellStyle name="Normal 5 17 20 4 9" xfId="36324" xr:uid="{00000000-0005-0000-0000-0000E48D0000}"/>
    <cellStyle name="Normal 5 17 20 5" xfId="36325" xr:uid="{00000000-0005-0000-0000-0000E58D0000}"/>
    <cellStyle name="Normal 5 17 20 5 10" xfId="36326" xr:uid="{00000000-0005-0000-0000-0000E68D0000}"/>
    <cellStyle name="Normal 5 17 20 5 2" xfId="36327" xr:uid="{00000000-0005-0000-0000-0000E78D0000}"/>
    <cellStyle name="Normal 5 17 20 5 3" xfId="36328" xr:uid="{00000000-0005-0000-0000-0000E88D0000}"/>
    <cellStyle name="Normal 5 17 20 5 4" xfId="36329" xr:uid="{00000000-0005-0000-0000-0000E98D0000}"/>
    <cellStyle name="Normal 5 17 20 5 5" xfId="36330" xr:uid="{00000000-0005-0000-0000-0000EA8D0000}"/>
    <cellStyle name="Normal 5 17 20 5 6" xfId="36331" xr:uid="{00000000-0005-0000-0000-0000EB8D0000}"/>
    <cellStyle name="Normal 5 17 20 5 7" xfId="36332" xr:uid="{00000000-0005-0000-0000-0000EC8D0000}"/>
    <cellStyle name="Normal 5 17 20 5 8" xfId="36333" xr:uid="{00000000-0005-0000-0000-0000ED8D0000}"/>
    <cellStyle name="Normal 5 17 20 5 9" xfId="36334" xr:uid="{00000000-0005-0000-0000-0000EE8D0000}"/>
    <cellStyle name="Normal 5 17 20 6" xfId="36335" xr:uid="{00000000-0005-0000-0000-0000EF8D0000}"/>
    <cellStyle name="Normal 5 17 20 7" xfId="36336" xr:uid="{00000000-0005-0000-0000-0000F08D0000}"/>
    <cellStyle name="Normal 5 17 20 8" xfId="36337" xr:uid="{00000000-0005-0000-0000-0000F18D0000}"/>
    <cellStyle name="Normal 5 17 20 9" xfId="36338" xr:uid="{00000000-0005-0000-0000-0000F28D0000}"/>
    <cellStyle name="Normal 5 17 21" xfId="36339" xr:uid="{00000000-0005-0000-0000-0000F38D0000}"/>
    <cellStyle name="Normal 5 17 21 10" xfId="36340" xr:uid="{00000000-0005-0000-0000-0000F48D0000}"/>
    <cellStyle name="Normal 5 17 21 11" xfId="36341" xr:uid="{00000000-0005-0000-0000-0000F58D0000}"/>
    <cellStyle name="Normal 5 17 21 12" xfId="36342" xr:uid="{00000000-0005-0000-0000-0000F68D0000}"/>
    <cellStyle name="Normal 5 17 21 13" xfId="36343" xr:uid="{00000000-0005-0000-0000-0000F78D0000}"/>
    <cellStyle name="Normal 5 17 21 14" xfId="36344" xr:uid="{00000000-0005-0000-0000-0000F88D0000}"/>
    <cellStyle name="Normal 5 17 21 2" xfId="36345" xr:uid="{00000000-0005-0000-0000-0000F98D0000}"/>
    <cellStyle name="Normal 5 17 21 2 10" xfId="36346" xr:uid="{00000000-0005-0000-0000-0000FA8D0000}"/>
    <cellStyle name="Normal 5 17 21 2 2" xfId="36347" xr:uid="{00000000-0005-0000-0000-0000FB8D0000}"/>
    <cellStyle name="Normal 5 17 21 2 3" xfId="36348" xr:uid="{00000000-0005-0000-0000-0000FC8D0000}"/>
    <cellStyle name="Normal 5 17 21 2 4" xfId="36349" xr:uid="{00000000-0005-0000-0000-0000FD8D0000}"/>
    <cellStyle name="Normal 5 17 21 2 5" xfId="36350" xr:uid="{00000000-0005-0000-0000-0000FE8D0000}"/>
    <cellStyle name="Normal 5 17 21 2 6" xfId="36351" xr:uid="{00000000-0005-0000-0000-0000FF8D0000}"/>
    <cellStyle name="Normal 5 17 21 2 7" xfId="36352" xr:uid="{00000000-0005-0000-0000-0000008E0000}"/>
    <cellStyle name="Normal 5 17 21 2 8" xfId="36353" xr:uid="{00000000-0005-0000-0000-0000018E0000}"/>
    <cellStyle name="Normal 5 17 21 2 9" xfId="36354" xr:uid="{00000000-0005-0000-0000-0000028E0000}"/>
    <cellStyle name="Normal 5 17 21 3" xfId="36355" xr:uid="{00000000-0005-0000-0000-0000038E0000}"/>
    <cellStyle name="Normal 5 17 21 3 10" xfId="36356" xr:uid="{00000000-0005-0000-0000-0000048E0000}"/>
    <cellStyle name="Normal 5 17 21 3 2" xfId="36357" xr:uid="{00000000-0005-0000-0000-0000058E0000}"/>
    <cellStyle name="Normal 5 17 21 3 3" xfId="36358" xr:uid="{00000000-0005-0000-0000-0000068E0000}"/>
    <cellStyle name="Normal 5 17 21 3 4" xfId="36359" xr:uid="{00000000-0005-0000-0000-0000078E0000}"/>
    <cellStyle name="Normal 5 17 21 3 5" xfId="36360" xr:uid="{00000000-0005-0000-0000-0000088E0000}"/>
    <cellStyle name="Normal 5 17 21 3 6" xfId="36361" xr:uid="{00000000-0005-0000-0000-0000098E0000}"/>
    <cellStyle name="Normal 5 17 21 3 7" xfId="36362" xr:uid="{00000000-0005-0000-0000-00000A8E0000}"/>
    <cellStyle name="Normal 5 17 21 3 8" xfId="36363" xr:uid="{00000000-0005-0000-0000-00000B8E0000}"/>
    <cellStyle name="Normal 5 17 21 3 9" xfId="36364" xr:uid="{00000000-0005-0000-0000-00000C8E0000}"/>
    <cellStyle name="Normal 5 17 21 4" xfId="36365" xr:uid="{00000000-0005-0000-0000-00000D8E0000}"/>
    <cellStyle name="Normal 5 17 21 4 10" xfId="36366" xr:uid="{00000000-0005-0000-0000-00000E8E0000}"/>
    <cellStyle name="Normal 5 17 21 4 2" xfId="36367" xr:uid="{00000000-0005-0000-0000-00000F8E0000}"/>
    <cellStyle name="Normal 5 17 21 4 3" xfId="36368" xr:uid="{00000000-0005-0000-0000-0000108E0000}"/>
    <cellStyle name="Normal 5 17 21 4 4" xfId="36369" xr:uid="{00000000-0005-0000-0000-0000118E0000}"/>
    <cellStyle name="Normal 5 17 21 4 5" xfId="36370" xr:uid="{00000000-0005-0000-0000-0000128E0000}"/>
    <cellStyle name="Normal 5 17 21 4 6" xfId="36371" xr:uid="{00000000-0005-0000-0000-0000138E0000}"/>
    <cellStyle name="Normal 5 17 21 4 7" xfId="36372" xr:uid="{00000000-0005-0000-0000-0000148E0000}"/>
    <cellStyle name="Normal 5 17 21 4 8" xfId="36373" xr:uid="{00000000-0005-0000-0000-0000158E0000}"/>
    <cellStyle name="Normal 5 17 21 4 9" xfId="36374" xr:uid="{00000000-0005-0000-0000-0000168E0000}"/>
    <cellStyle name="Normal 5 17 21 5" xfId="36375" xr:uid="{00000000-0005-0000-0000-0000178E0000}"/>
    <cellStyle name="Normal 5 17 21 5 10" xfId="36376" xr:uid="{00000000-0005-0000-0000-0000188E0000}"/>
    <cellStyle name="Normal 5 17 21 5 2" xfId="36377" xr:uid="{00000000-0005-0000-0000-0000198E0000}"/>
    <cellStyle name="Normal 5 17 21 5 3" xfId="36378" xr:uid="{00000000-0005-0000-0000-00001A8E0000}"/>
    <cellStyle name="Normal 5 17 21 5 4" xfId="36379" xr:uid="{00000000-0005-0000-0000-00001B8E0000}"/>
    <cellStyle name="Normal 5 17 21 5 5" xfId="36380" xr:uid="{00000000-0005-0000-0000-00001C8E0000}"/>
    <cellStyle name="Normal 5 17 21 5 6" xfId="36381" xr:uid="{00000000-0005-0000-0000-00001D8E0000}"/>
    <cellStyle name="Normal 5 17 21 5 7" xfId="36382" xr:uid="{00000000-0005-0000-0000-00001E8E0000}"/>
    <cellStyle name="Normal 5 17 21 5 8" xfId="36383" xr:uid="{00000000-0005-0000-0000-00001F8E0000}"/>
    <cellStyle name="Normal 5 17 21 5 9" xfId="36384" xr:uid="{00000000-0005-0000-0000-0000208E0000}"/>
    <cellStyle name="Normal 5 17 21 6" xfId="36385" xr:uid="{00000000-0005-0000-0000-0000218E0000}"/>
    <cellStyle name="Normal 5 17 21 7" xfId="36386" xr:uid="{00000000-0005-0000-0000-0000228E0000}"/>
    <cellStyle name="Normal 5 17 21 8" xfId="36387" xr:uid="{00000000-0005-0000-0000-0000238E0000}"/>
    <cellStyle name="Normal 5 17 21 9" xfId="36388" xr:uid="{00000000-0005-0000-0000-0000248E0000}"/>
    <cellStyle name="Normal 5 17 22" xfId="36389" xr:uid="{00000000-0005-0000-0000-0000258E0000}"/>
    <cellStyle name="Normal 5 17 22 10" xfId="36390" xr:uid="{00000000-0005-0000-0000-0000268E0000}"/>
    <cellStyle name="Normal 5 17 22 11" xfId="36391" xr:uid="{00000000-0005-0000-0000-0000278E0000}"/>
    <cellStyle name="Normal 5 17 22 12" xfId="36392" xr:uid="{00000000-0005-0000-0000-0000288E0000}"/>
    <cellStyle name="Normal 5 17 22 13" xfId="36393" xr:uid="{00000000-0005-0000-0000-0000298E0000}"/>
    <cellStyle name="Normal 5 17 22 14" xfId="36394" xr:uid="{00000000-0005-0000-0000-00002A8E0000}"/>
    <cellStyle name="Normal 5 17 22 2" xfId="36395" xr:uid="{00000000-0005-0000-0000-00002B8E0000}"/>
    <cellStyle name="Normal 5 17 22 2 10" xfId="36396" xr:uid="{00000000-0005-0000-0000-00002C8E0000}"/>
    <cellStyle name="Normal 5 17 22 2 2" xfId="36397" xr:uid="{00000000-0005-0000-0000-00002D8E0000}"/>
    <cellStyle name="Normal 5 17 22 2 3" xfId="36398" xr:uid="{00000000-0005-0000-0000-00002E8E0000}"/>
    <cellStyle name="Normal 5 17 22 2 4" xfId="36399" xr:uid="{00000000-0005-0000-0000-00002F8E0000}"/>
    <cellStyle name="Normal 5 17 22 2 5" xfId="36400" xr:uid="{00000000-0005-0000-0000-0000308E0000}"/>
    <cellStyle name="Normal 5 17 22 2 6" xfId="36401" xr:uid="{00000000-0005-0000-0000-0000318E0000}"/>
    <cellStyle name="Normal 5 17 22 2 7" xfId="36402" xr:uid="{00000000-0005-0000-0000-0000328E0000}"/>
    <cellStyle name="Normal 5 17 22 2 8" xfId="36403" xr:uid="{00000000-0005-0000-0000-0000338E0000}"/>
    <cellStyle name="Normal 5 17 22 2 9" xfId="36404" xr:uid="{00000000-0005-0000-0000-0000348E0000}"/>
    <cellStyle name="Normal 5 17 22 3" xfId="36405" xr:uid="{00000000-0005-0000-0000-0000358E0000}"/>
    <cellStyle name="Normal 5 17 22 3 10" xfId="36406" xr:uid="{00000000-0005-0000-0000-0000368E0000}"/>
    <cellStyle name="Normal 5 17 22 3 2" xfId="36407" xr:uid="{00000000-0005-0000-0000-0000378E0000}"/>
    <cellStyle name="Normal 5 17 22 3 3" xfId="36408" xr:uid="{00000000-0005-0000-0000-0000388E0000}"/>
    <cellStyle name="Normal 5 17 22 3 4" xfId="36409" xr:uid="{00000000-0005-0000-0000-0000398E0000}"/>
    <cellStyle name="Normal 5 17 22 3 5" xfId="36410" xr:uid="{00000000-0005-0000-0000-00003A8E0000}"/>
    <cellStyle name="Normal 5 17 22 3 6" xfId="36411" xr:uid="{00000000-0005-0000-0000-00003B8E0000}"/>
    <cellStyle name="Normal 5 17 22 3 7" xfId="36412" xr:uid="{00000000-0005-0000-0000-00003C8E0000}"/>
    <cellStyle name="Normal 5 17 22 3 8" xfId="36413" xr:uid="{00000000-0005-0000-0000-00003D8E0000}"/>
    <cellStyle name="Normal 5 17 22 3 9" xfId="36414" xr:uid="{00000000-0005-0000-0000-00003E8E0000}"/>
    <cellStyle name="Normal 5 17 22 4" xfId="36415" xr:uid="{00000000-0005-0000-0000-00003F8E0000}"/>
    <cellStyle name="Normal 5 17 22 4 10" xfId="36416" xr:uid="{00000000-0005-0000-0000-0000408E0000}"/>
    <cellStyle name="Normal 5 17 22 4 2" xfId="36417" xr:uid="{00000000-0005-0000-0000-0000418E0000}"/>
    <cellStyle name="Normal 5 17 22 4 3" xfId="36418" xr:uid="{00000000-0005-0000-0000-0000428E0000}"/>
    <cellStyle name="Normal 5 17 22 4 4" xfId="36419" xr:uid="{00000000-0005-0000-0000-0000438E0000}"/>
    <cellStyle name="Normal 5 17 22 4 5" xfId="36420" xr:uid="{00000000-0005-0000-0000-0000448E0000}"/>
    <cellStyle name="Normal 5 17 22 4 6" xfId="36421" xr:uid="{00000000-0005-0000-0000-0000458E0000}"/>
    <cellStyle name="Normal 5 17 22 4 7" xfId="36422" xr:uid="{00000000-0005-0000-0000-0000468E0000}"/>
    <cellStyle name="Normal 5 17 22 4 8" xfId="36423" xr:uid="{00000000-0005-0000-0000-0000478E0000}"/>
    <cellStyle name="Normal 5 17 22 4 9" xfId="36424" xr:uid="{00000000-0005-0000-0000-0000488E0000}"/>
    <cellStyle name="Normal 5 17 22 5" xfId="36425" xr:uid="{00000000-0005-0000-0000-0000498E0000}"/>
    <cellStyle name="Normal 5 17 22 5 10" xfId="36426" xr:uid="{00000000-0005-0000-0000-00004A8E0000}"/>
    <cellStyle name="Normal 5 17 22 5 2" xfId="36427" xr:uid="{00000000-0005-0000-0000-00004B8E0000}"/>
    <cellStyle name="Normal 5 17 22 5 3" xfId="36428" xr:uid="{00000000-0005-0000-0000-00004C8E0000}"/>
    <cellStyle name="Normal 5 17 22 5 4" xfId="36429" xr:uid="{00000000-0005-0000-0000-00004D8E0000}"/>
    <cellStyle name="Normal 5 17 22 5 5" xfId="36430" xr:uid="{00000000-0005-0000-0000-00004E8E0000}"/>
    <cellStyle name="Normal 5 17 22 5 6" xfId="36431" xr:uid="{00000000-0005-0000-0000-00004F8E0000}"/>
    <cellStyle name="Normal 5 17 22 5 7" xfId="36432" xr:uid="{00000000-0005-0000-0000-0000508E0000}"/>
    <cellStyle name="Normal 5 17 22 5 8" xfId="36433" xr:uid="{00000000-0005-0000-0000-0000518E0000}"/>
    <cellStyle name="Normal 5 17 22 5 9" xfId="36434" xr:uid="{00000000-0005-0000-0000-0000528E0000}"/>
    <cellStyle name="Normal 5 17 22 6" xfId="36435" xr:uid="{00000000-0005-0000-0000-0000538E0000}"/>
    <cellStyle name="Normal 5 17 22 7" xfId="36436" xr:uid="{00000000-0005-0000-0000-0000548E0000}"/>
    <cellStyle name="Normal 5 17 22 8" xfId="36437" xr:uid="{00000000-0005-0000-0000-0000558E0000}"/>
    <cellStyle name="Normal 5 17 22 9" xfId="36438" xr:uid="{00000000-0005-0000-0000-0000568E0000}"/>
    <cellStyle name="Normal 5 17 23" xfId="36439" xr:uid="{00000000-0005-0000-0000-0000578E0000}"/>
    <cellStyle name="Normal 5 17 23 10" xfId="36440" xr:uid="{00000000-0005-0000-0000-0000588E0000}"/>
    <cellStyle name="Normal 5 17 23 11" xfId="36441" xr:uid="{00000000-0005-0000-0000-0000598E0000}"/>
    <cellStyle name="Normal 5 17 23 12" xfId="36442" xr:uid="{00000000-0005-0000-0000-00005A8E0000}"/>
    <cellStyle name="Normal 5 17 23 13" xfId="36443" xr:uid="{00000000-0005-0000-0000-00005B8E0000}"/>
    <cellStyle name="Normal 5 17 23 14" xfId="36444" xr:uid="{00000000-0005-0000-0000-00005C8E0000}"/>
    <cellStyle name="Normal 5 17 23 2" xfId="36445" xr:uid="{00000000-0005-0000-0000-00005D8E0000}"/>
    <cellStyle name="Normal 5 17 23 2 10" xfId="36446" xr:uid="{00000000-0005-0000-0000-00005E8E0000}"/>
    <cellStyle name="Normal 5 17 23 2 2" xfId="36447" xr:uid="{00000000-0005-0000-0000-00005F8E0000}"/>
    <cellStyle name="Normal 5 17 23 2 3" xfId="36448" xr:uid="{00000000-0005-0000-0000-0000608E0000}"/>
    <cellStyle name="Normal 5 17 23 2 4" xfId="36449" xr:uid="{00000000-0005-0000-0000-0000618E0000}"/>
    <cellStyle name="Normal 5 17 23 2 5" xfId="36450" xr:uid="{00000000-0005-0000-0000-0000628E0000}"/>
    <cellStyle name="Normal 5 17 23 2 6" xfId="36451" xr:uid="{00000000-0005-0000-0000-0000638E0000}"/>
    <cellStyle name="Normal 5 17 23 2 7" xfId="36452" xr:uid="{00000000-0005-0000-0000-0000648E0000}"/>
    <cellStyle name="Normal 5 17 23 2 8" xfId="36453" xr:uid="{00000000-0005-0000-0000-0000658E0000}"/>
    <cellStyle name="Normal 5 17 23 2 9" xfId="36454" xr:uid="{00000000-0005-0000-0000-0000668E0000}"/>
    <cellStyle name="Normal 5 17 23 3" xfId="36455" xr:uid="{00000000-0005-0000-0000-0000678E0000}"/>
    <cellStyle name="Normal 5 17 23 3 10" xfId="36456" xr:uid="{00000000-0005-0000-0000-0000688E0000}"/>
    <cellStyle name="Normal 5 17 23 3 2" xfId="36457" xr:uid="{00000000-0005-0000-0000-0000698E0000}"/>
    <cellStyle name="Normal 5 17 23 3 3" xfId="36458" xr:uid="{00000000-0005-0000-0000-00006A8E0000}"/>
    <cellStyle name="Normal 5 17 23 3 4" xfId="36459" xr:uid="{00000000-0005-0000-0000-00006B8E0000}"/>
    <cellStyle name="Normal 5 17 23 3 5" xfId="36460" xr:uid="{00000000-0005-0000-0000-00006C8E0000}"/>
    <cellStyle name="Normal 5 17 23 3 6" xfId="36461" xr:uid="{00000000-0005-0000-0000-00006D8E0000}"/>
    <cellStyle name="Normal 5 17 23 3 7" xfId="36462" xr:uid="{00000000-0005-0000-0000-00006E8E0000}"/>
    <cellStyle name="Normal 5 17 23 3 8" xfId="36463" xr:uid="{00000000-0005-0000-0000-00006F8E0000}"/>
    <cellStyle name="Normal 5 17 23 3 9" xfId="36464" xr:uid="{00000000-0005-0000-0000-0000708E0000}"/>
    <cellStyle name="Normal 5 17 23 4" xfId="36465" xr:uid="{00000000-0005-0000-0000-0000718E0000}"/>
    <cellStyle name="Normal 5 17 23 4 10" xfId="36466" xr:uid="{00000000-0005-0000-0000-0000728E0000}"/>
    <cellStyle name="Normal 5 17 23 4 2" xfId="36467" xr:uid="{00000000-0005-0000-0000-0000738E0000}"/>
    <cellStyle name="Normal 5 17 23 4 3" xfId="36468" xr:uid="{00000000-0005-0000-0000-0000748E0000}"/>
    <cellStyle name="Normal 5 17 23 4 4" xfId="36469" xr:uid="{00000000-0005-0000-0000-0000758E0000}"/>
    <cellStyle name="Normal 5 17 23 4 5" xfId="36470" xr:uid="{00000000-0005-0000-0000-0000768E0000}"/>
    <cellStyle name="Normal 5 17 23 4 6" xfId="36471" xr:uid="{00000000-0005-0000-0000-0000778E0000}"/>
    <cellStyle name="Normal 5 17 23 4 7" xfId="36472" xr:uid="{00000000-0005-0000-0000-0000788E0000}"/>
    <cellStyle name="Normal 5 17 23 4 8" xfId="36473" xr:uid="{00000000-0005-0000-0000-0000798E0000}"/>
    <cellStyle name="Normal 5 17 23 4 9" xfId="36474" xr:uid="{00000000-0005-0000-0000-00007A8E0000}"/>
    <cellStyle name="Normal 5 17 23 5" xfId="36475" xr:uid="{00000000-0005-0000-0000-00007B8E0000}"/>
    <cellStyle name="Normal 5 17 23 5 10" xfId="36476" xr:uid="{00000000-0005-0000-0000-00007C8E0000}"/>
    <cellStyle name="Normal 5 17 23 5 2" xfId="36477" xr:uid="{00000000-0005-0000-0000-00007D8E0000}"/>
    <cellStyle name="Normal 5 17 23 5 3" xfId="36478" xr:uid="{00000000-0005-0000-0000-00007E8E0000}"/>
    <cellStyle name="Normal 5 17 23 5 4" xfId="36479" xr:uid="{00000000-0005-0000-0000-00007F8E0000}"/>
    <cellStyle name="Normal 5 17 23 5 5" xfId="36480" xr:uid="{00000000-0005-0000-0000-0000808E0000}"/>
    <cellStyle name="Normal 5 17 23 5 6" xfId="36481" xr:uid="{00000000-0005-0000-0000-0000818E0000}"/>
    <cellStyle name="Normal 5 17 23 5 7" xfId="36482" xr:uid="{00000000-0005-0000-0000-0000828E0000}"/>
    <cellStyle name="Normal 5 17 23 5 8" xfId="36483" xr:uid="{00000000-0005-0000-0000-0000838E0000}"/>
    <cellStyle name="Normal 5 17 23 5 9" xfId="36484" xr:uid="{00000000-0005-0000-0000-0000848E0000}"/>
    <cellStyle name="Normal 5 17 23 6" xfId="36485" xr:uid="{00000000-0005-0000-0000-0000858E0000}"/>
    <cellStyle name="Normal 5 17 23 7" xfId="36486" xr:uid="{00000000-0005-0000-0000-0000868E0000}"/>
    <cellStyle name="Normal 5 17 23 8" xfId="36487" xr:uid="{00000000-0005-0000-0000-0000878E0000}"/>
    <cellStyle name="Normal 5 17 23 9" xfId="36488" xr:uid="{00000000-0005-0000-0000-0000888E0000}"/>
    <cellStyle name="Normal 5 17 24" xfId="36489" xr:uid="{00000000-0005-0000-0000-0000898E0000}"/>
    <cellStyle name="Normal 5 17 24 10" xfId="36490" xr:uid="{00000000-0005-0000-0000-00008A8E0000}"/>
    <cellStyle name="Normal 5 17 24 11" xfId="36491" xr:uid="{00000000-0005-0000-0000-00008B8E0000}"/>
    <cellStyle name="Normal 5 17 24 12" xfId="36492" xr:uid="{00000000-0005-0000-0000-00008C8E0000}"/>
    <cellStyle name="Normal 5 17 24 13" xfId="36493" xr:uid="{00000000-0005-0000-0000-00008D8E0000}"/>
    <cellStyle name="Normal 5 17 24 14" xfId="36494" xr:uid="{00000000-0005-0000-0000-00008E8E0000}"/>
    <cellStyle name="Normal 5 17 24 2" xfId="36495" xr:uid="{00000000-0005-0000-0000-00008F8E0000}"/>
    <cellStyle name="Normal 5 17 24 2 10" xfId="36496" xr:uid="{00000000-0005-0000-0000-0000908E0000}"/>
    <cellStyle name="Normal 5 17 24 2 2" xfId="36497" xr:uid="{00000000-0005-0000-0000-0000918E0000}"/>
    <cellStyle name="Normal 5 17 24 2 3" xfId="36498" xr:uid="{00000000-0005-0000-0000-0000928E0000}"/>
    <cellStyle name="Normal 5 17 24 2 4" xfId="36499" xr:uid="{00000000-0005-0000-0000-0000938E0000}"/>
    <cellStyle name="Normal 5 17 24 2 5" xfId="36500" xr:uid="{00000000-0005-0000-0000-0000948E0000}"/>
    <cellStyle name="Normal 5 17 24 2 6" xfId="36501" xr:uid="{00000000-0005-0000-0000-0000958E0000}"/>
    <cellStyle name="Normal 5 17 24 2 7" xfId="36502" xr:uid="{00000000-0005-0000-0000-0000968E0000}"/>
    <cellStyle name="Normal 5 17 24 2 8" xfId="36503" xr:uid="{00000000-0005-0000-0000-0000978E0000}"/>
    <cellStyle name="Normal 5 17 24 2 9" xfId="36504" xr:uid="{00000000-0005-0000-0000-0000988E0000}"/>
    <cellStyle name="Normal 5 17 24 3" xfId="36505" xr:uid="{00000000-0005-0000-0000-0000998E0000}"/>
    <cellStyle name="Normal 5 17 24 3 10" xfId="36506" xr:uid="{00000000-0005-0000-0000-00009A8E0000}"/>
    <cellStyle name="Normal 5 17 24 3 2" xfId="36507" xr:uid="{00000000-0005-0000-0000-00009B8E0000}"/>
    <cellStyle name="Normal 5 17 24 3 3" xfId="36508" xr:uid="{00000000-0005-0000-0000-00009C8E0000}"/>
    <cellStyle name="Normal 5 17 24 3 4" xfId="36509" xr:uid="{00000000-0005-0000-0000-00009D8E0000}"/>
    <cellStyle name="Normal 5 17 24 3 5" xfId="36510" xr:uid="{00000000-0005-0000-0000-00009E8E0000}"/>
    <cellStyle name="Normal 5 17 24 3 6" xfId="36511" xr:uid="{00000000-0005-0000-0000-00009F8E0000}"/>
    <cellStyle name="Normal 5 17 24 3 7" xfId="36512" xr:uid="{00000000-0005-0000-0000-0000A08E0000}"/>
    <cellStyle name="Normal 5 17 24 3 8" xfId="36513" xr:uid="{00000000-0005-0000-0000-0000A18E0000}"/>
    <cellStyle name="Normal 5 17 24 3 9" xfId="36514" xr:uid="{00000000-0005-0000-0000-0000A28E0000}"/>
    <cellStyle name="Normal 5 17 24 4" xfId="36515" xr:uid="{00000000-0005-0000-0000-0000A38E0000}"/>
    <cellStyle name="Normal 5 17 24 4 10" xfId="36516" xr:uid="{00000000-0005-0000-0000-0000A48E0000}"/>
    <cellStyle name="Normal 5 17 24 4 2" xfId="36517" xr:uid="{00000000-0005-0000-0000-0000A58E0000}"/>
    <cellStyle name="Normal 5 17 24 4 3" xfId="36518" xr:uid="{00000000-0005-0000-0000-0000A68E0000}"/>
    <cellStyle name="Normal 5 17 24 4 4" xfId="36519" xr:uid="{00000000-0005-0000-0000-0000A78E0000}"/>
    <cellStyle name="Normal 5 17 24 4 5" xfId="36520" xr:uid="{00000000-0005-0000-0000-0000A88E0000}"/>
    <cellStyle name="Normal 5 17 24 4 6" xfId="36521" xr:uid="{00000000-0005-0000-0000-0000A98E0000}"/>
    <cellStyle name="Normal 5 17 24 4 7" xfId="36522" xr:uid="{00000000-0005-0000-0000-0000AA8E0000}"/>
    <cellStyle name="Normal 5 17 24 4 8" xfId="36523" xr:uid="{00000000-0005-0000-0000-0000AB8E0000}"/>
    <cellStyle name="Normal 5 17 24 4 9" xfId="36524" xr:uid="{00000000-0005-0000-0000-0000AC8E0000}"/>
    <cellStyle name="Normal 5 17 24 5" xfId="36525" xr:uid="{00000000-0005-0000-0000-0000AD8E0000}"/>
    <cellStyle name="Normal 5 17 24 5 10" xfId="36526" xr:uid="{00000000-0005-0000-0000-0000AE8E0000}"/>
    <cellStyle name="Normal 5 17 24 5 2" xfId="36527" xr:uid="{00000000-0005-0000-0000-0000AF8E0000}"/>
    <cellStyle name="Normal 5 17 24 5 3" xfId="36528" xr:uid="{00000000-0005-0000-0000-0000B08E0000}"/>
    <cellStyle name="Normal 5 17 24 5 4" xfId="36529" xr:uid="{00000000-0005-0000-0000-0000B18E0000}"/>
    <cellStyle name="Normal 5 17 24 5 5" xfId="36530" xr:uid="{00000000-0005-0000-0000-0000B28E0000}"/>
    <cellStyle name="Normal 5 17 24 5 6" xfId="36531" xr:uid="{00000000-0005-0000-0000-0000B38E0000}"/>
    <cellStyle name="Normal 5 17 24 5 7" xfId="36532" xr:uid="{00000000-0005-0000-0000-0000B48E0000}"/>
    <cellStyle name="Normal 5 17 24 5 8" xfId="36533" xr:uid="{00000000-0005-0000-0000-0000B58E0000}"/>
    <cellStyle name="Normal 5 17 24 5 9" xfId="36534" xr:uid="{00000000-0005-0000-0000-0000B68E0000}"/>
    <cellStyle name="Normal 5 17 24 6" xfId="36535" xr:uid="{00000000-0005-0000-0000-0000B78E0000}"/>
    <cellStyle name="Normal 5 17 24 7" xfId="36536" xr:uid="{00000000-0005-0000-0000-0000B88E0000}"/>
    <cellStyle name="Normal 5 17 24 8" xfId="36537" xr:uid="{00000000-0005-0000-0000-0000B98E0000}"/>
    <cellStyle name="Normal 5 17 24 9" xfId="36538" xr:uid="{00000000-0005-0000-0000-0000BA8E0000}"/>
    <cellStyle name="Normal 5 17 25" xfId="36539" xr:uid="{00000000-0005-0000-0000-0000BB8E0000}"/>
    <cellStyle name="Normal 5 17 25 10" xfId="36540" xr:uid="{00000000-0005-0000-0000-0000BC8E0000}"/>
    <cellStyle name="Normal 5 17 25 11" xfId="36541" xr:uid="{00000000-0005-0000-0000-0000BD8E0000}"/>
    <cellStyle name="Normal 5 17 25 12" xfId="36542" xr:uid="{00000000-0005-0000-0000-0000BE8E0000}"/>
    <cellStyle name="Normal 5 17 25 13" xfId="36543" xr:uid="{00000000-0005-0000-0000-0000BF8E0000}"/>
    <cellStyle name="Normal 5 17 25 14" xfId="36544" xr:uid="{00000000-0005-0000-0000-0000C08E0000}"/>
    <cellStyle name="Normal 5 17 25 2" xfId="36545" xr:uid="{00000000-0005-0000-0000-0000C18E0000}"/>
    <cellStyle name="Normal 5 17 25 2 10" xfId="36546" xr:uid="{00000000-0005-0000-0000-0000C28E0000}"/>
    <cellStyle name="Normal 5 17 25 2 2" xfId="36547" xr:uid="{00000000-0005-0000-0000-0000C38E0000}"/>
    <cellStyle name="Normal 5 17 25 2 3" xfId="36548" xr:uid="{00000000-0005-0000-0000-0000C48E0000}"/>
    <cellStyle name="Normal 5 17 25 2 4" xfId="36549" xr:uid="{00000000-0005-0000-0000-0000C58E0000}"/>
    <cellStyle name="Normal 5 17 25 2 5" xfId="36550" xr:uid="{00000000-0005-0000-0000-0000C68E0000}"/>
    <cellStyle name="Normal 5 17 25 2 6" xfId="36551" xr:uid="{00000000-0005-0000-0000-0000C78E0000}"/>
    <cellStyle name="Normal 5 17 25 2 7" xfId="36552" xr:uid="{00000000-0005-0000-0000-0000C88E0000}"/>
    <cellStyle name="Normal 5 17 25 2 8" xfId="36553" xr:uid="{00000000-0005-0000-0000-0000C98E0000}"/>
    <cellStyle name="Normal 5 17 25 2 9" xfId="36554" xr:uid="{00000000-0005-0000-0000-0000CA8E0000}"/>
    <cellStyle name="Normal 5 17 25 3" xfId="36555" xr:uid="{00000000-0005-0000-0000-0000CB8E0000}"/>
    <cellStyle name="Normal 5 17 25 3 10" xfId="36556" xr:uid="{00000000-0005-0000-0000-0000CC8E0000}"/>
    <cellStyle name="Normal 5 17 25 3 2" xfId="36557" xr:uid="{00000000-0005-0000-0000-0000CD8E0000}"/>
    <cellStyle name="Normal 5 17 25 3 3" xfId="36558" xr:uid="{00000000-0005-0000-0000-0000CE8E0000}"/>
    <cellStyle name="Normal 5 17 25 3 4" xfId="36559" xr:uid="{00000000-0005-0000-0000-0000CF8E0000}"/>
    <cellStyle name="Normal 5 17 25 3 5" xfId="36560" xr:uid="{00000000-0005-0000-0000-0000D08E0000}"/>
    <cellStyle name="Normal 5 17 25 3 6" xfId="36561" xr:uid="{00000000-0005-0000-0000-0000D18E0000}"/>
    <cellStyle name="Normal 5 17 25 3 7" xfId="36562" xr:uid="{00000000-0005-0000-0000-0000D28E0000}"/>
    <cellStyle name="Normal 5 17 25 3 8" xfId="36563" xr:uid="{00000000-0005-0000-0000-0000D38E0000}"/>
    <cellStyle name="Normal 5 17 25 3 9" xfId="36564" xr:uid="{00000000-0005-0000-0000-0000D48E0000}"/>
    <cellStyle name="Normal 5 17 25 4" xfId="36565" xr:uid="{00000000-0005-0000-0000-0000D58E0000}"/>
    <cellStyle name="Normal 5 17 25 4 10" xfId="36566" xr:uid="{00000000-0005-0000-0000-0000D68E0000}"/>
    <cellStyle name="Normal 5 17 25 4 2" xfId="36567" xr:uid="{00000000-0005-0000-0000-0000D78E0000}"/>
    <cellStyle name="Normal 5 17 25 4 3" xfId="36568" xr:uid="{00000000-0005-0000-0000-0000D88E0000}"/>
    <cellStyle name="Normal 5 17 25 4 4" xfId="36569" xr:uid="{00000000-0005-0000-0000-0000D98E0000}"/>
    <cellStyle name="Normal 5 17 25 4 5" xfId="36570" xr:uid="{00000000-0005-0000-0000-0000DA8E0000}"/>
    <cellStyle name="Normal 5 17 25 4 6" xfId="36571" xr:uid="{00000000-0005-0000-0000-0000DB8E0000}"/>
    <cellStyle name="Normal 5 17 25 4 7" xfId="36572" xr:uid="{00000000-0005-0000-0000-0000DC8E0000}"/>
    <cellStyle name="Normal 5 17 25 4 8" xfId="36573" xr:uid="{00000000-0005-0000-0000-0000DD8E0000}"/>
    <cellStyle name="Normal 5 17 25 4 9" xfId="36574" xr:uid="{00000000-0005-0000-0000-0000DE8E0000}"/>
    <cellStyle name="Normal 5 17 25 5" xfId="36575" xr:uid="{00000000-0005-0000-0000-0000DF8E0000}"/>
    <cellStyle name="Normal 5 17 25 5 10" xfId="36576" xr:uid="{00000000-0005-0000-0000-0000E08E0000}"/>
    <cellStyle name="Normal 5 17 25 5 2" xfId="36577" xr:uid="{00000000-0005-0000-0000-0000E18E0000}"/>
    <cellStyle name="Normal 5 17 25 5 3" xfId="36578" xr:uid="{00000000-0005-0000-0000-0000E28E0000}"/>
    <cellStyle name="Normal 5 17 25 5 4" xfId="36579" xr:uid="{00000000-0005-0000-0000-0000E38E0000}"/>
    <cellStyle name="Normal 5 17 25 5 5" xfId="36580" xr:uid="{00000000-0005-0000-0000-0000E48E0000}"/>
    <cellStyle name="Normal 5 17 25 5 6" xfId="36581" xr:uid="{00000000-0005-0000-0000-0000E58E0000}"/>
    <cellStyle name="Normal 5 17 25 5 7" xfId="36582" xr:uid="{00000000-0005-0000-0000-0000E68E0000}"/>
    <cellStyle name="Normal 5 17 25 5 8" xfId="36583" xr:uid="{00000000-0005-0000-0000-0000E78E0000}"/>
    <cellStyle name="Normal 5 17 25 5 9" xfId="36584" xr:uid="{00000000-0005-0000-0000-0000E88E0000}"/>
    <cellStyle name="Normal 5 17 25 6" xfId="36585" xr:uid="{00000000-0005-0000-0000-0000E98E0000}"/>
    <cellStyle name="Normal 5 17 25 7" xfId="36586" xr:uid="{00000000-0005-0000-0000-0000EA8E0000}"/>
    <cellStyle name="Normal 5 17 25 8" xfId="36587" xr:uid="{00000000-0005-0000-0000-0000EB8E0000}"/>
    <cellStyle name="Normal 5 17 25 9" xfId="36588" xr:uid="{00000000-0005-0000-0000-0000EC8E0000}"/>
    <cellStyle name="Normal 5 17 26" xfId="36589" xr:uid="{00000000-0005-0000-0000-0000ED8E0000}"/>
    <cellStyle name="Normal 5 17 26 10" xfId="36590" xr:uid="{00000000-0005-0000-0000-0000EE8E0000}"/>
    <cellStyle name="Normal 5 17 26 11" xfId="36591" xr:uid="{00000000-0005-0000-0000-0000EF8E0000}"/>
    <cellStyle name="Normal 5 17 26 12" xfId="36592" xr:uid="{00000000-0005-0000-0000-0000F08E0000}"/>
    <cellStyle name="Normal 5 17 26 13" xfId="36593" xr:uid="{00000000-0005-0000-0000-0000F18E0000}"/>
    <cellStyle name="Normal 5 17 26 14" xfId="36594" xr:uid="{00000000-0005-0000-0000-0000F28E0000}"/>
    <cellStyle name="Normal 5 17 26 2" xfId="36595" xr:uid="{00000000-0005-0000-0000-0000F38E0000}"/>
    <cellStyle name="Normal 5 17 26 2 10" xfId="36596" xr:uid="{00000000-0005-0000-0000-0000F48E0000}"/>
    <cellStyle name="Normal 5 17 26 2 2" xfId="36597" xr:uid="{00000000-0005-0000-0000-0000F58E0000}"/>
    <cellStyle name="Normal 5 17 26 2 3" xfId="36598" xr:uid="{00000000-0005-0000-0000-0000F68E0000}"/>
    <cellStyle name="Normal 5 17 26 2 4" xfId="36599" xr:uid="{00000000-0005-0000-0000-0000F78E0000}"/>
    <cellStyle name="Normal 5 17 26 2 5" xfId="36600" xr:uid="{00000000-0005-0000-0000-0000F88E0000}"/>
    <cellStyle name="Normal 5 17 26 2 6" xfId="36601" xr:uid="{00000000-0005-0000-0000-0000F98E0000}"/>
    <cellStyle name="Normal 5 17 26 2 7" xfId="36602" xr:uid="{00000000-0005-0000-0000-0000FA8E0000}"/>
    <cellStyle name="Normal 5 17 26 2 8" xfId="36603" xr:uid="{00000000-0005-0000-0000-0000FB8E0000}"/>
    <cellStyle name="Normal 5 17 26 2 9" xfId="36604" xr:uid="{00000000-0005-0000-0000-0000FC8E0000}"/>
    <cellStyle name="Normal 5 17 26 3" xfId="36605" xr:uid="{00000000-0005-0000-0000-0000FD8E0000}"/>
    <cellStyle name="Normal 5 17 26 3 10" xfId="36606" xr:uid="{00000000-0005-0000-0000-0000FE8E0000}"/>
    <cellStyle name="Normal 5 17 26 3 2" xfId="36607" xr:uid="{00000000-0005-0000-0000-0000FF8E0000}"/>
    <cellStyle name="Normal 5 17 26 3 3" xfId="36608" xr:uid="{00000000-0005-0000-0000-0000008F0000}"/>
    <cellStyle name="Normal 5 17 26 3 4" xfId="36609" xr:uid="{00000000-0005-0000-0000-0000018F0000}"/>
    <cellStyle name="Normal 5 17 26 3 5" xfId="36610" xr:uid="{00000000-0005-0000-0000-0000028F0000}"/>
    <cellStyle name="Normal 5 17 26 3 6" xfId="36611" xr:uid="{00000000-0005-0000-0000-0000038F0000}"/>
    <cellStyle name="Normal 5 17 26 3 7" xfId="36612" xr:uid="{00000000-0005-0000-0000-0000048F0000}"/>
    <cellStyle name="Normal 5 17 26 3 8" xfId="36613" xr:uid="{00000000-0005-0000-0000-0000058F0000}"/>
    <cellStyle name="Normal 5 17 26 3 9" xfId="36614" xr:uid="{00000000-0005-0000-0000-0000068F0000}"/>
    <cellStyle name="Normal 5 17 26 4" xfId="36615" xr:uid="{00000000-0005-0000-0000-0000078F0000}"/>
    <cellStyle name="Normal 5 17 26 4 10" xfId="36616" xr:uid="{00000000-0005-0000-0000-0000088F0000}"/>
    <cellStyle name="Normal 5 17 26 4 2" xfId="36617" xr:uid="{00000000-0005-0000-0000-0000098F0000}"/>
    <cellStyle name="Normal 5 17 26 4 3" xfId="36618" xr:uid="{00000000-0005-0000-0000-00000A8F0000}"/>
    <cellStyle name="Normal 5 17 26 4 4" xfId="36619" xr:uid="{00000000-0005-0000-0000-00000B8F0000}"/>
    <cellStyle name="Normal 5 17 26 4 5" xfId="36620" xr:uid="{00000000-0005-0000-0000-00000C8F0000}"/>
    <cellStyle name="Normal 5 17 26 4 6" xfId="36621" xr:uid="{00000000-0005-0000-0000-00000D8F0000}"/>
    <cellStyle name="Normal 5 17 26 4 7" xfId="36622" xr:uid="{00000000-0005-0000-0000-00000E8F0000}"/>
    <cellStyle name="Normal 5 17 26 4 8" xfId="36623" xr:uid="{00000000-0005-0000-0000-00000F8F0000}"/>
    <cellStyle name="Normal 5 17 26 4 9" xfId="36624" xr:uid="{00000000-0005-0000-0000-0000108F0000}"/>
    <cellStyle name="Normal 5 17 26 5" xfId="36625" xr:uid="{00000000-0005-0000-0000-0000118F0000}"/>
    <cellStyle name="Normal 5 17 26 5 10" xfId="36626" xr:uid="{00000000-0005-0000-0000-0000128F0000}"/>
    <cellStyle name="Normal 5 17 26 5 2" xfId="36627" xr:uid="{00000000-0005-0000-0000-0000138F0000}"/>
    <cellStyle name="Normal 5 17 26 5 3" xfId="36628" xr:uid="{00000000-0005-0000-0000-0000148F0000}"/>
    <cellStyle name="Normal 5 17 26 5 4" xfId="36629" xr:uid="{00000000-0005-0000-0000-0000158F0000}"/>
    <cellStyle name="Normal 5 17 26 5 5" xfId="36630" xr:uid="{00000000-0005-0000-0000-0000168F0000}"/>
    <cellStyle name="Normal 5 17 26 5 6" xfId="36631" xr:uid="{00000000-0005-0000-0000-0000178F0000}"/>
    <cellStyle name="Normal 5 17 26 5 7" xfId="36632" xr:uid="{00000000-0005-0000-0000-0000188F0000}"/>
    <cellStyle name="Normal 5 17 26 5 8" xfId="36633" xr:uid="{00000000-0005-0000-0000-0000198F0000}"/>
    <cellStyle name="Normal 5 17 26 5 9" xfId="36634" xr:uid="{00000000-0005-0000-0000-00001A8F0000}"/>
    <cellStyle name="Normal 5 17 26 6" xfId="36635" xr:uid="{00000000-0005-0000-0000-00001B8F0000}"/>
    <cellStyle name="Normal 5 17 26 7" xfId="36636" xr:uid="{00000000-0005-0000-0000-00001C8F0000}"/>
    <cellStyle name="Normal 5 17 26 8" xfId="36637" xr:uid="{00000000-0005-0000-0000-00001D8F0000}"/>
    <cellStyle name="Normal 5 17 26 9" xfId="36638" xr:uid="{00000000-0005-0000-0000-00001E8F0000}"/>
    <cellStyle name="Normal 5 17 27" xfId="36639" xr:uid="{00000000-0005-0000-0000-00001F8F0000}"/>
    <cellStyle name="Normal 5 17 27 10" xfId="36640" xr:uid="{00000000-0005-0000-0000-0000208F0000}"/>
    <cellStyle name="Normal 5 17 27 11" xfId="36641" xr:uid="{00000000-0005-0000-0000-0000218F0000}"/>
    <cellStyle name="Normal 5 17 27 12" xfId="36642" xr:uid="{00000000-0005-0000-0000-0000228F0000}"/>
    <cellStyle name="Normal 5 17 27 13" xfId="36643" xr:uid="{00000000-0005-0000-0000-0000238F0000}"/>
    <cellStyle name="Normal 5 17 27 14" xfId="36644" xr:uid="{00000000-0005-0000-0000-0000248F0000}"/>
    <cellStyle name="Normal 5 17 27 2" xfId="36645" xr:uid="{00000000-0005-0000-0000-0000258F0000}"/>
    <cellStyle name="Normal 5 17 27 2 10" xfId="36646" xr:uid="{00000000-0005-0000-0000-0000268F0000}"/>
    <cellStyle name="Normal 5 17 27 2 2" xfId="36647" xr:uid="{00000000-0005-0000-0000-0000278F0000}"/>
    <cellStyle name="Normal 5 17 27 2 3" xfId="36648" xr:uid="{00000000-0005-0000-0000-0000288F0000}"/>
    <cellStyle name="Normal 5 17 27 2 4" xfId="36649" xr:uid="{00000000-0005-0000-0000-0000298F0000}"/>
    <cellStyle name="Normal 5 17 27 2 5" xfId="36650" xr:uid="{00000000-0005-0000-0000-00002A8F0000}"/>
    <cellStyle name="Normal 5 17 27 2 6" xfId="36651" xr:uid="{00000000-0005-0000-0000-00002B8F0000}"/>
    <cellStyle name="Normal 5 17 27 2 7" xfId="36652" xr:uid="{00000000-0005-0000-0000-00002C8F0000}"/>
    <cellStyle name="Normal 5 17 27 2 8" xfId="36653" xr:uid="{00000000-0005-0000-0000-00002D8F0000}"/>
    <cellStyle name="Normal 5 17 27 2 9" xfId="36654" xr:uid="{00000000-0005-0000-0000-00002E8F0000}"/>
    <cellStyle name="Normal 5 17 27 3" xfId="36655" xr:uid="{00000000-0005-0000-0000-00002F8F0000}"/>
    <cellStyle name="Normal 5 17 27 3 10" xfId="36656" xr:uid="{00000000-0005-0000-0000-0000308F0000}"/>
    <cellStyle name="Normal 5 17 27 3 2" xfId="36657" xr:uid="{00000000-0005-0000-0000-0000318F0000}"/>
    <cellStyle name="Normal 5 17 27 3 3" xfId="36658" xr:uid="{00000000-0005-0000-0000-0000328F0000}"/>
    <cellStyle name="Normal 5 17 27 3 4" xfId="36659" xr:uid="{00000000-0005-0000-0000-0000338F0000}"/>
    <cellStyle name="Normal 5 17 27 3 5" xfId="36660" xr:uid="{00000000-0005-0000-0000-0000348F0000}"/>
    <cellStyle name="Normal 5 17 27 3 6" xfId="36661" xr:uid="{00000000-0005-0000-0000-0000358F0000}"/>
    <cellStyle name="Normal 5 17 27 3 7" xfId="36662" xr:uid="{00000000-0005-0000-0000-0000368F0000}"/>
    <cellStyle name="Normal 5 17 27 3 8" xfId="36663" xr:uid="{00000000-0005-0000-0000-0000378F0000}"/>
    <cellStyle name="Normal 5 17 27 3 9" xfId="36664" xr:uid="{00000000-0005-0000-0000-0000388F0000}"/>
    <cellStyle name="Normal 5 17 27 4" xfId="36665" xr:uid="{00000000-0005-0000-0000-0000398F0000}"/>
    <cellStyle name="Normal 5 17 27 4 10" xfId="36666" xr:uid="{00000000-0005-0000-0000-00003A8F0000}"/>
    <cellStyle name="Normal 5 17 27 4 2" xfId="36667" xr:uid="{00000000-0005-0000-0000-00003B8F0000}"/>
    <cellStyle name="Normal 5 17 27 4 3" xfId="36668" xr:uid="{00000000-0005-0000-0000-00003C8F0000}"/>
    <cellStyle name="Normal 5 17 27 4 4" xfId="36669" xr:uid="{00000000-0005-0000-0000-00003D8F0000}"/>
    <cellStyle name="Normal 5 17 27 4 5" xfId="36670" xr:uid="{00000000-0005-0000-0000-00003E8F0000}"/>
    <cellStyle name="Normal 5 17 27 4 6" xfId="36671" xr:uid="{00000000-0005-0000-0000-00003F8F0000}"/>
    <cellStyle name="Normal 5 17 27 4 7" xfId="36672" xr:uid="{00000000-0005-0000-0000-0000408F0000}"/>
    <cellStyle name="Normal 5 17 27 4 8" xfId="36673" xr:uid="{00000000-0005-0000-0000-0000418F0000}"/>
    <cellStyle name="Normal 5 17 27 4 9" xfId="36674" xr:uid="{00000000-0005-0000-0000-0000428F0000}"/>
    <cellStyle name="Normal 5 17 27 5" xfId="36675" xr:uid="{00000000-0005-0000-0000-0000438F0000}"/>
    <cellStyle name="Normal 5 17 27 5 10" xfId="36676" xr:uid="{00000000-0005-0000-0000-0000448F0000}"/>
    <cellStyle name="Normal 5 17 27 5 2" xfId="36677" xr:uid="{00000000-0005-0000-0000-0000458F0000}"/>
    <cellStyle name="Normal 5 17 27 5 3" xfId="36678" xr:uid="{00000000-0005-0000-0000-0000468F0000}"/>
    <cellStyle name="Normal 5 17 27 5 4" xfId="36679" xr:uid="{00000000-0005-0000-0000-0000478F0000}"/>
    <cellStyle name="Normal 5 17 27 5 5" xfId="36680" xr:uid="{00000000-0005-0000-0000-0000488F0000}"/>
    <cellStyle name="Normal 5 17 27 5 6" xfId="36681" xr:uid="{00000000-0005-0000-0000-0000498F0000}"/>
    <cellStyle name="Normal 5 17 27 5 7" xfId="36682" xr:uid="{00000000-0005-0000-0000-00004A8F0000}"/>
    <cellStyle name="Normal 5 17 27 5 8" xfId="36683" xr:uid="{00000000-0005-0000-0000-00004B8F0000}"/>
    <cellStyle name="Normal 5 17 27 5 9" xfId="36684" xr:uid="{00000000-0005-0000-0000-00004C8F0000}"/>
    <cellStyle name="Normal 5 17 27 6" xfId="36685" xr:uid="{00000000-0005-0000-0000-00004D8F0000}"/>
    <cellStyle name="Normal 5 17 27 7" xfId="36686" xr:uid="{00000000-0005-0000-0000-00004E8F0000}"/>
    <cellStyle name="Normal 5 17 27 8" xfId="36687" xr:uid="{00000000-0005-0000-0000-00004F8F0000}"/>
    <cellStyle name="Normal 5 17 27 9" xfId="36688" xr:uid="{00000000-0005-0000-0000-0000508F0000}"/>
    <cellStyle name="Normal 5 17 28" xfId="36689" xr:uid="{00000000-0005-0000-0000-0000518F0000}"/>
    <cellStyle name="Normal 5 17 28 10" xfId="36690" xr:uid="{00000000-0005-0000-0000-0000528F0000}"/>
    <cellStyle name="Normal 5 17 28 11" xfId="36691" xr:uid="{00000000-0005-0000-0000-0000538F0000}"/>
    <cellStyle name="Normal 5 17 28 12" xfId="36692" xr:uid="{00000000-0005-0000-0000-0000548F0000}"/>
    <cellStyle name="Normal 5 17 28 13" xfId="36693" xr:uid="{00000000-0005-0000-0000-0000558F0000}"/>
    <cellStyle name="Normal 5 17 28 14" xfId="36694" xr:uid="{00000000-0005-0000-0000-0000568F0000}"/>
    <cellStyle name="Normal 5 17 28 2" xfId="36695" xr:uid="{00000000-0005-0000-0000-0000578F0000}"/>
    <cellStyle name="Normal 5 17 28 2 10" xfId="36696" xr:uid="{00000000-0005-0000-0000-0000588F0000}"/>
    <cellStyle name="Normal 5 17 28 2 2" xfId="36697" xr:uid="{00000000-0005-0000-0000-0000598F0000}"/>
    <cellStyle name="Normal 5 17 28 2 3" xfId="36698" xr:uid="{00000000-0005-0000-0000-00005A8F0000}"/>
    <cellStyle name="Normal 5 17 28 2 4" xfId="36699" xr:uid="{00000000-0005-0000-0000-00005B8F0000}"/>
    <cellStyle name="Normal 5 17 28 2 5" xfId="36700" xr:uid="{00000000-0005-0000-0000-00005C8F0000}"/>
    <cellStyle name="Normal 5 17 28 2 6" xfId="36701" xr:uid="{00000000-0005-0000-0000-00005D8F0000}"/>
    <cellStyle name="Normal 5 17 28 2 7" xfId="36702" xr:uid="{00000000-0005-0000-0000-00005E8F0000}"/>
    <cellStyle name="Normal 5 17 28 2 8" xfId="36703" xr:uid="{00000000-0005-0000-0000-00005F8F0000}"/>
    <cellStyle name="Normal 5 17 28 2 9" xfId="36704" xr:uid="{00000000-0005-0000-0000-0000608F0000}"/>
    <cellStyle name="Normal 5 17 28 3" xfId="36705" xr:uid="{00000000-0005-0000-0000-0000618F0000}"/>
    <cellStyle name="Normal 5 17 28 3 10" xfId="36706" xr:uid="{00000000-0005-0000-0000-0000628F0000}"/>
    <cellStyle name="Normal 5 17 28 3 2" xfId="36707" xr:uid="{00000000-0005-0000-0000-0000638F0000}"/>
    <cellStyle name="Normal 5 17 28 3 3" xfId="36708" xr:uid="{00000000-0005-0000-0000-0000648F0000}"/>
    <cellStyle name="Normal 5 17 28 3 4" xfId="36709" xr:uid="{00000000-0005-0000-0000-0000658F0000}"/>
    <cellStyle name="Normal 5 17 28 3 5" xfId="36710" xr:uid="{00000000-0005-0000-0000-0000668F0000}"/>
    <cellStyle name="Normal 5 17 28 3 6" xfId="36711" xr:uid="{00000000-0005-0000-0000-0000678F0000}"/>
    <cellStyle name="Normal 5 17 28 3 7" xfId="36712" xr:uid="{00000000-0005-0000-0000-0000688F0000}"/>
    <cellStyle name="Normal 5 17 28 3 8" xfId="36713" xr:uid="{00000000-0005-0000-0000-0000698F0000}"/>
    <cellStyle name="Normal 5 17 28 3 9" xfId="36714" xr:uid="{00000000-0005-0000-0000-00006A8F0000}"/>
    <cellStyle name="Normal 5 17 28 4" xfId="36715" xr:uid="{00000000-0005-0000-0000-00006B8F0000}"/>
    <cellStyle name="Normal 5 17 28 4 10" xfId="36716" xr:uid="{00000000-0005-0000-0000-00006C8F0000}"/>
    <cellStyle name="Normal 5 17 28 4 2" xfId="36717" xr:uid="{00000000-0005-0000-0000-00006D8F0000}"/>
    <cellStyle name="Normal 5 17 28 4 3" xfId="36718" xr:uid="{00000000-0005-0000-0000-00006E8F0000}"/>
    <cellStyle name="Normal 5 17 28 4 4" xfId="36719" xr:uid="{00000000-0005-0000-0000-00006F8F0000}"/>
    <cellStyle name="Normal 5 17 28 4 5" xfId="36720" xr:uid="{00000000-0005-0000-0000-0000708F0000}"/>
    <cellStyle name="Normal 5 17 28 4 6" xfId="36721" xr:uid="{00000000-0005-0000-0000-0000718F0000}"/>
    <cellStyle name="Normal 5 17 28 4 7" xfId="36722" xr:uid="{00000000-0005-0000-0000-0000728F0000}"/>
    <cellStyle name="Normal 5 17 28 4 8" xfId="36723" xr:uid="{00000000-0005-0000-0000-0000738F0000}"/>
    <cellStyle name="Normal 5 17 28 4 9" xfId="36724" xr:uid="{00000000-0005-0000-0000-0000748F0000}"/>
    <cellStyle name="Normal 5 17 28 5" xfId="36725" xr:uid="{00000000-0005-0000-0000-0000758F0000}"/>
    <cellStyle name="Normal 5 17 28 5 10" xfId="36726" xr:uid="{00000000-0005-0000-0000-0000768F0000}"/>
    <cellStyle name="Normal 5 17 28 5 2" xfId="36727" xr:uid="{00000000-0005-0000-0000-0000778F0000}"/>
    <cellStyle name="Normal 5 17 28 5 3" xfId="36728" xr:uid="{00000000-0005-0000-0000-0000788F0000}"/>
    <cellStyle name="Normal 5 17 28 5 4" xfId="36729" xr:uid="{00000000-0005-0000-0000-0000798F0000}"/>
    <cellStyle name="Normal 5 17 28 5 5" xfId="36730" xr:uid="{00000000-0005-0000-0000-00007A8F0000}"/>
    <cellStyle name="Normal 5 17 28 5 6" xfId="36731" xr:uid="{00000000-0005-0000-0000-00007B8F0000}"/>
    <cellStyle name="Normal 5 17 28 5 7" xfId="36732" xr:uid="{00000000-0005-0000-0000-00007C8F0000}"/>
    <cellStyle name="Normal 5 17 28 5 8" xfId="36733" xr:uid="{00000000-0005-0000-0000-00007D8F0000}"/>
    <cellStyle name="Normal 5 17 28 5 9" xfId="36734" xr:uid="{00000000-0005-0000-0000-00007E8F0000}"/>
    <cellStyle name="Normal 5 17 28 6" xfId="36735" xr:uid="{00000000-0005-0000-0000-00007F8F0000}"/>
    <cellStyle name="Normal 5 17 28 7" xfId="36736" xr:uid="{00000000-0005-0000-0000-0000808F0000}"/>
    <cellStyle name="Normal 5 17 28 8" xfId="36737" xr:uid="{00000000-0005-0000-0000-0000818F0000}"/>
    <cellStyle name="Normal 5 17 28 9" xfId="36738" xr:uid="{00000000-0005-0000-0000-0000828F0000}"/>
    <cellStyle name="Normal 5 17 29" xfId="36739" xr:uid="{00000000-0005-0000-0000-0000838F0000}"/>
    <cellStyle name="Normal 5 17 29 10" xfId="36740" xr:uid="{00000000-0005-0000-0000-0000848F0000}"/>
    <cellStyle name="Normal 5 17 29 11" xfId="36741" xr:uid="{00000000-0005-0000-0000-0000858F0000}"/>
    <cellStyle name="Normal 5 17 29 12" xfId="36742" xr:uid="{00000000-0005-0000-0000-0000868F0000}"/>
    <cellStyle name="Normal 5 17 29 13" xfId="36743" xr:uid="{00000000-0005-0000-0000-0000878F0000}"/>
    <cellStyle name="Normal 5 17 29 14" xfId="36744" xr:uid="{00000000-0005-0000-0000-0000888F0000}"/>
    <cellStyle name="Normal 5 17 29 2" xfId="36745" xr:uid="{00000000-0005-0000-0000-0000898F0000}"/>
    <cellStyle name="Normal 5 17 29 2 10" xfId="36746" xr:uid="{00000000-0005-0000-0000-00008A8F0000}"/>
    <cellStyle name="Normal 5 17 29 2 2" xfId="36747" xr:uid="{00000000-0005-0000-0000-00008B8F0000}"/>
    <cellStyle name="Normal 5 17 29 2 3" xfId="36748" xr:uid="{00000000-0005-0000-0000-00008C8F0000}"/>
    <cellStyle name="Normal 5 17 29 2 4" xfId="36749" xr:uid="{00000000-0005-0000-0000-00008D8F0000}"/>
    <cellStyle name="Normal 5 17 29 2 5" xfId="36750" xr:uid="{00000000-0005-0000-0000-00008E8F0000}"/>
    <cellStyle name="Normal 5 17 29 2 6" xfId="36751" xr:uid="{00000000-0005-0000-0000-00008F8F0000}"/>
    <cellStyle name="Normal 5 17 29 2 7" xfId="36752" xr:uid="{00000000-0005-0000-0000-0000908F0000}"/>
    <cellStyle name="Normal 5 17 29 2 8" xfId="36753" xr:uid="{00000000-0005-0000-0000-0000918F0000}"/>
    <cellStyle name="Normal 5 17 29 2 9" xfId="36754" xr:uid="{00000000-0005-0000-0000-0000928F0000}"/>
    <cellStyle name="Normal 5 17 29 3" xfId="36755" xr:uid="{00000000-0005-0000-0000-0000938F0000}"/>
    <cellStyle name="Normal 5 17 29 3 10" xfId="36756" xr:uid="{00000000-0005-0000-0000-0000948F0000}"/>
    <cellStyle name="Normal 5 17 29 3 2" xfId="36757" xr:uid="{00000000-0005-0000-0000-0000958F0000}"/>
    <cellStyle name="Normal 5 17 29 3 3" xfId="36758" xr:uid="{00000000-0005-0000-0000-0000968F0000}"/>
    <cellStyle name="Normal 5 17 29 3 4" xfId="36759" xr:uid="{00000000-0005-0000-0000-0000978F0000}"/>
    <cellStyle name="Normal 5 17 29 3 5" xfId="36760" xr:uid="{00000000-0005-0000-0000-0000988F0000}"/>
    <cellStyle name="Normal 5 17 29 3 6" xfId="36761" xr:uid="{00000000-0005-0000-0000-0000998F0000}"/>
    <cellStyle name="Normal 5 17 29 3 7" xfId="36762" xr:uid="{00000000-0005-0000-0000-00009A8F0000}"/>
    <cellStyle name="Normal 5 17 29 3 8" xfId="36763" xr:uid="{00000000-0005-0000-0000-00009B8F0000}"/>
    <cellStyle name="Normal 5 17 29 3 9" xfId="36764" xr:uid="{00000000-0005-0000-0000-00009C8F0000}"/>
    <cellStyle name="Normal 5 17 29 4" xfId="36765" xr:uid="{00000000-0005-0000-0000-00009D8F0000}"/>
    <cellStyle name="Normal 5 17 29 4 10" xfId="36766" xr:uid="{00000000-0005-0000-0000-00009E8F0000}"/>
    <cellStyle name="Normal 5 17 29 4 2" xfId="36767" xr:uid="{00000000-0005-0000-0000-00009F8F0000}"/>
    <cellStyle name="Normal 5 17 29 4 3" xfId="36768" xr:uid="{00000000-0005-0000-0000-0000A08F0000}"/>
    <cellStyle name="Normal 5 17 29 4 4" xfId="36769" xr:uid="{00000000-0005-0000-0000-0000A18F0000}"/>
    <cellStyle name="Normal 5 17 29 4 5" xfId="36770" xr:uid="{00000000-0005-0000-0000-0000A28F0000}"/>
    <cellStyle name="Normal 5 17 29 4 6" xfId="36771" xr:uid="{00000000-0005-0000-0000-0000A38F0000}"/>
    <cellStyle name="Normal 5 17 29 4 7" xfId="36772" xr:uid="{00000000-0005-0000-0000-0000A48F0000}"/>
    <cellStyle name="Normal 5 17 29 4 8" xfId="36773" xr:uid="{00000000-0005-0000-0000-0000A58F0000}"/>
    <cellStyle name="Normal 5 17 29 4 9" xfId="36774" xr:uid="{00000000-0005-0000-0000-0000A68F0000}"/>
    <cellStyle name="Normal 5 17 29 5" xfId="36775" xr:uid="{00000000-0005-0000-0000-0000A78F0000}"/>
    <cellStyle name="Normal 5 17 29 5 10" xfId="36776" xr:uid="{00000000-0005-0000-0000-0000A88F0000}"/>
    <cellStyle name="Normal 5 17 29 5 2" xfId="36777" xr:uid="{00000000-0005-0000-0000-0000A98F0000}"/>
    <cellStyle name="Normal 5 17 29 5 3" xfId="36778" xr:uid="{00000000-0005-0000-0000-0000AA8F0000}"/>
    <cellStyle name="Normal 5 17 29 5 4" xfId="36779" xr:uid="{00000000-0005-0000-0000-0000AB8F0000}"/>
    <cellStyle name="Normal 5 17 29 5 5" xfId="36780" xr:uid="{00000000-0005-0000-0000-0000AC8F0000}"/>
    <cellStyle name="Normal 5 17 29 5 6" xfId="36781" xr:uid="{00000000-0005-0000-0000-0000AD8F0000}"/>
    <cellStyle name="Normal 5 17 29 5 7" xfId="36782" xr:uid="{00000000-0005-0000-0000-0000AE8F0000}"/>
    <cellStyle name="Normal 5 17 29 5 8" xfId="36783" xr:uid="{00000000-0005-0000-0000-0000AF8F0000}"/>
    <cellStyle name="Normal 5 17 29 5 9" xfId="36784" xr:uid="{00000000-0005-0000-0000-0000B08F0000}"/>
    <cellStyle name="Normal 5 17 29 6" xfId="36785" xr:uid="{00000000-0005-0000-0000-0000B18F0000}"/>
    <cellStyle name="Normal 5 17 29 7" xfId="36786" xr:uid="{00000000-0005-0000-0000-0000B28F0000}"/>
    <cellStyle name="Normal 5 17 29 8" xfId="36787" xr:uid="{00000000-0005-0000-0000-0000B38F0000}"/>
    <cellStyle name="Normal 5 17 29 9" xfId="36788" xr:uid="{00000000-0005-0000-0000-0000B48F0000}"/>
    <cellStyle name="Normal 5 17 3" xfId="36789" xr:uid="{00000000-0005-0000-0000-0000B58F0000}"/>
    <cellStyle name="Normal 5 17 3 10" xfId="36790" xr:uid="{00000000-0005-0000-0000-0000B68F0000}"/>
    <cellStyle name="Normal 5 17 3 11" xfId="36791" xr:uid="{00000000-0005-0000-0000-0000B78F0000}"/>
    <cellStyle name="Normal 5 17 3 12" xfId="36792" xr:uid="{00000000-0005-0000-0000-0000B88F0000}"/>
    <cellStyle name="Normal 5 17 3 13" xfId="36793" xr:uid="{00000000-0005-0000-0000-0000B98F0000}"/>
    <cellStyle name="Normal 5 17 3 14" xfId="36794" xr:uid="{00000000-0005-0000-0000-0000BA8F0000}"/>
    <cellStyle name="Normal 5 17 3 2" xfId="36795" xr:uid="{00000000-0005-0000-0000-0000BB8F0000}"/>
    <cellStyle name="Normal 5 17 3 2 10" xfId="36796" xr:uid="{00000000-0005-0000-0000-0000BC8F0000}"/>
    <cellStyle name="Normal 5 17 3 2 2" xfId="36797" xr:uid="{00000000-0005-0000-0000-0000BD8F0000}"/>
    <cellStyle name="Normal 5 17 3 2 3" xfId="36798" xr:uid="{00000000-0005-0000-0000-0000BE8F0000}"/>
    <cellStyle name="Normal 5 17 3 2 4" xfId="36799" xr:uid="{00000000-0005-0000-0000-0000BF8F0000}"/>
    <cellStyle name="Normal 5 17 3 2 5" xfId="36800" xr:uid="{00000000-0005-0000-0000-0000C08F0000}"/>
    <cellStyle name="Normal 5 17 3 2 6" xfId="36801" xr:uid="{00000000-0005-0000-0000-0000C18F0000}"/>
    <cellStyle name="Normal 5 17 3 2 7" xfId="36802" xr:uid="{00000000-0005-0000-0000-0000C28F0000}"/>
    <cellStyle name="Normal 5 17 3 2 8" xfId="36803" xr:uid="{00000000-0005-0000-0000-0000C38F0000}"/>
    <cellStyle name="Normal 5 17 3 2 9" xfId="36804" xr:uid="{00000000-0005-0000-0000-0000C48F0000}"/>
    <cellStyle name="Normal 5 17 3 3" xfId="36805" xr:uid="{00000000-0005-0000-0000-0000C58F0000}"/>
    <cellStyle name="Normal 5 17 3 3 10" xfId="36806" xr:uid="{00000000-0005-0000-0000-0000C68F0000}"/>
    <cellStyle name="Normal 5 17 3 3 2" xfId="36807" xr:uid="{00000000-0005-0000-0000-0000C78F0000}"/>
    <cellStyle name="Normal 5 17 3 3 3" xfId="36808" xr:uid="{00000000-0005-0000-0000-0000C88F0000}"/>
    <cellStyle name="Normal 5 17 3 3 4" xfId="36809" xr:uid="{00000000-0005-0000-0000-0000C98F0000}"/>
    <cellStyle name="Normal 5 17 3 3 5" xfId="36810" xr:uid="{00000000-0005-0000-0000-0000CA8F0000}"/>
    <cellStyle name="Normal 5 17 3 3 6" xfId="36811" xr:uid="{00000000-0005-0000-0000-0000CB8F0000}"/>
    <cellStyle name="Normal 5 17 3 3 7" xfId="36812" xr:uid="{00000000-0005-0000-0000-0000CC8F0000}"/>
    <cellStyle name="Normal 5 17 3 3 8" xfId="36813" xr:uid="{00000000-0005-0000-0000-0000CD8F0000}"/>
    <cellStyle name="Normal 5 17 3 3 9" xfId="36814" xr:uid="{00000000-0005-0000-0000-0000CE8F0000}"/>
    <cellStyle name="Normal 5 17 3 4" xfId="36815" xr:uid="{00000000-0005-0000-0000-0000CF8F0000}"/>
    <cellStyle name="Normal 5 17 3 4 10" xfId="36816" xr:uid="{00000000-0005-0000-0000-0000D08F0000}"/>
    <cellStyle name="Normal 5 17 3 4 2" xfId="36817" xr:uid="{00000000-0005-0000-0000-0000D18F0000}"/>
    <cellStyle name="Normal 5 17 3 4 3" xfId="36818" xr:uid="{00000000-0005-0000-0000-0000D28F0000}"/>
    <cellStyle name="Normal 5 17 3 4 4" xfId="36819" xr:uid="{00000000-0005-0000-0000-0000D38F0000}"/>
    <cellStyle name="Normal 5 17 3 4 5" xfId="36820" xr:uid="{00000000-0005-0000-0000-0000D48F0000}"/>
    <cellStyle name="Normal 5 17 3 4 6" xfId="36821" xr:uid="{00000000-0005-0000-0000-0000D58F0000}"/>
    <cellStyle name="Normal 5 17 3 4 7" xfId="36822" xr:uid="{00000000-0005-0000-0000-0000D68F0000}"/>
    <cellStyle name="Normal 5 17 3 4 8" xfId="36823" xr:uid="{00000000-0005-0000-0000-0000D78F0000}"/>
    <cellStyle name="Normal 5 17 3 4 9" xfId="36824" xr:uid="{00000000-0005-0000-0000-0000D88F0000}"/>
    <cellStyle name="Normal 5 17 3 5" xfId="36825" xr:uid="{00000000-0005-0000-0000-0000D98F0000}"/>
    <cellStyle name="Normal 5 17 3 5 10" xfId="36826" xr:uid="{00000000-0005-0000-0000-0000DA8F0000}"/>
    <cellStyle name="Normal 5 17 3 5 2" xfId="36827" xr:uid="{00000000-0005-0000-0000-0000DB8F0000}"/>
    <cellStyle name="Normal 5 17 3 5 3" xfId="36828" xr:uid="{00000000-0005-0000-0000-0000DC8F0000}"/>
    <cellStyle name="Normal 5 17 3 5 4" xfId="36829" xr:uid="{00000000-0005-0000-0000-0000DD8F0000}"/>
    <cellStyle name="Normal 5 17 3 5 5" xfId="36830" xr:uid="{00000000-0005-0000-0000-0000DE8F0000}"/>
    <cellStyle name="Normal 5 17 3 5 6" xfId="36831" xr:uid="{00000000-0005-0000-0000-0000DF8F0000}"/>
    <cellStyle name="Normal 5 17 3 5 7" xfId="36832" xr:uid="{00000000-0005-0000-0000-0000E08F0000}"/>
    <cellStyle name="Normal 5 17 3 5 8" xfId="36833" xr:uid="{00000000-0005-0000-0000-0000E18F0000}"/>
    <cellStyle name="Normal 5 17 3 5 9" xfId="36834" xr:uid="{00000000-0005-0000-0000-0000E28F0000}"/>
    <cellStyle name="Normal 5 17 3 6" xfId="36835" xr:uid="{00000000-0005-0000-0000-0000E38F0000}"/>
    <cellStyle name="Normal 5 17 3 7" xfId="36836" xr:uid="{00000000-0005-0000-0000-0000E48F0000}"/>
    <cellStyle name="Normal 5 17 3 8" xfId="36837" xr:uid="{00000000-0005-0000-0000-0000E58F0000}"/>
    <cellStyle name="Normal 5 17 3 9" xfId="36838" xr:uid="{00000000-0005-0000-0000-0000E68F0000}"/>
    <cellStyle name="Normal 5 17 30" xfId="36839" xr:uid="{00000000-0005-0000-0000-0000E78F0000}"/>
    <cellStyle name="Normal 5 17 30 10" xfId="36840" xr:uid="{00000000-0005-0000-0000-0000E88F0000}"/>
    <cellStyle name="Normal 5 17 30 11" xfId="36841" xr:uid="{00000000-0005-0000-0000-0000E98F0000}"/>
    <cellStyle name="Normal 5 17 30 12" xfId="36842" xr:uid="{00000000-0005-0000-0000-0000EA8F0000}"/>
    <cellStyle name="Normal 5 17 30 13" xfId="36843" xr:uid="{00000000-0005-0000-0000-0000EB8F0000}"/>
    <cellStyle name="Normal 5 17 30 14" xfId="36844" xr:uid="{00000000-0005-0000-0000-0000EC8F0000}"/>
    <cellStyle name="Normal 5 17 30 2" xfId="36845" xr:uid="{00000000-0005-0000-0000-0000ED8F0000}"/>
    <cellStyle name="Normal 5 17 30 2 10" xfId="36846" xr:uid="{00000000-0005-0000-0000-0000EE8F0000}"/>
    <cellStyle name="Normal 5 17 30 2 2" xfId="36847" xr:uid="{00000000-0005-0000-0000-0000EF8F0000}"/>
    <cellStyle name="Normal 5 17 30 2 3" xfId="36848" xr:uid="{00000000-0005-0000-0000-0000F08F0000}"/>
    <cellStyle name="Normal 5 17 30 2 4" xfId="36849" xr:uid="{00000000-0005-0000-0000-0000F18F0000}"/>
    <cellStyle name="Normal 5 17 30 2 5" xfId="36850" xr:uid="{00000000-0005-0000-0000-0000F28F0000}"/>
    <cellStyle name="Normal 5 17 30 2 6" xfId="36851" xr:uid="{00000000-0005-0000-0000-0000F38F0000}"/>
    <cellStyle name="Normal 5 17 30 2 7" xfId="36852" xr:uid="{00000000-0005-0000-0000-0000F48F0000}"/>
    <cellStyle name="Normal 5 17 30 2 8" xfId="36853" xr:uid="{00000000-0005-0000-0000-0000F58F0000}"/>
    <cellStyle name="Normal 5 17 30 2 9" xfId="36854" xr:uid="{00000000-0005-0000-0000-0000F68F0000}"/>
    <cellStyle name="Normal 5 17 30 3" xfId="36855" xr:uid="{00000000-0005-0000-0000-0000F78F0000}"/>
    <cellStyle name="Normal 5 17 30 3 10" xfId="36856" xr:uid="{00000000-0005-0000-0000-0000F88F0000}"/>
    <cellStyle name="Normal 5 17 30 3 2" xfId="36857" xr:uid="{00000000-0005-0000-0000-0000F98F0000}"/>
    <cellStyle name="Normal 5 17 30 3 3" xfId="36858" xr:uid="{00000000-0005-0000-0000-0000FA8F0000}"/>
    <cellStyle name="Normal 5 17 30 3 4" xfId="36859" xr:uid="{00000000-0005-0000-0000-0000FB8F0000}"/>
    <cellStyle name="Normal 5 17 30 3 5" xfId="36860" xr:uid="{00000000-0005-0000-0000-0000FC8F0000}"/>
    <cellStyle name="Normal 5 17 30 3 6" xfId="36861" xr:uid="{00000000-0005-0000-0000-0000FD8F0000}"/>
    <cellStyle name="Normal 5 17 30 3 7" xfId="36862" xr:uid="{00000000-0005-0000-0000-0000FE8F0000}"/>
    <cellStyle name="Normal 5 17 30 3 8" xfId="36863" xr:uid="{00000000-0005-0000-0000-0000FF8F0000}"/>
    <cellStyle name="Normal 5 17 30 3 9" xfId="36864" xr:uid="{00000000-0005-0000-0000-000000900000}"/>
    <cellStyle name="Normal 5 17 30 4" xfId="36865" xr:uid="{00000000-0005-0000-0000-000001900000}"/>
    <cellStyle name="Normal 5 17 30 4 10" xfId="36866" xr:uid="{00000000-0005-0000-0000-000002900000}"/>
    <cellStyle name="Normal 5 17 30 4 2" xfId="36867" xr:uid="{00000000-0005-0000-0000-000003900000}"/>
    <cellStyle name="Normal 5 17 30 4 3" xfId="36868" xr:uid="{00000000-0005-0000-0000-000004900000}"/>
    <cellStyle name="Normal 5 17 30 4 4" xfId="36869" xr:uid="{00000000-0005-0000-0000-000005900000}"/>
    <cellStyle name="Normal 5 17 30 4 5" xfId="36870" xr:uid="{00000000-0005-0000-0000-000006900000}"/>
    <cellStyle name="Normal 5 17 30 4 6" xfId="36871" xr:uid="{00000000-0005-0000-0000-000007900000}"/>
    <cellStyle name="Normal 5 17 30 4 7" xfId="36872" xr:uid="{00000000-0005-0000-0000-000008900000}"/>
    <cellStyle name="Normal 5 17 30 4 8" xfId="36873" xr:uid="{00000000-0005-0000-0000-000009900000}"/>
    <cellStyle name="Normal 5 17 30 4 9" xfId="36874" xr:uid="{00000000-0005-0000-0000-00000A900000}"/>
    <cellStyle name="Normal 5 17 30 5" xfId="36875" xr:uid="{00000000-0005-0000-0000-00000B900000}"/>
    <cellStyle name="Normal 5 17 30 5 10" xfId="36876" xr:uid="{00000000-0005-0000-0000-00000C900000}"/>
    <cellStyle name="Normal 5 17 30 5 2" xfId="36877" xr:uid="{00000000-0005-0000-0000-00000D900000}"/>
    <cellStyle name="Normal 5 17 30 5 3" xfId="36878" xr:uid="{00000000-0005-0000-0000-00000E900000}"/>
    <cellStyle name="Normal 5 17 30 5 4" xfId="36879" xr:uid="{00000000-0005-0000-0000-00000F900000}"/>
    <cellStyle name="Normal 5 17 30 5 5" xfId="36880" xr:uid="{00000000-0005-0000-0000-000010900000}"/>
    <cellStyle name="Normal 5 17 30 5 6" xfId="36881" xr:uid="{00000000-0005-0000-0000-000011900000}"/>
    <cellStyle name="Normal 5 17 30 5 7" xfId="36882" xr:uid="{00000000-0005-0000-0000-000012900000}"/>
    <cellStyle name="Normal 5 17 30 5 8" xfId="36883" xr:uid="{00000000-0005-0000-0000-000013900000}"/>
    <cellStyle name="Normal 5 17 30 5 9" xfId="36884" xr:uid="{00000000-0005-0000-0000-000014900000}"/>
    <cellStyle name="Normal 5 17 30 6" xfId="36885" xr:uid="{00000000-0005-0000-0000-000015900000}"/>
    <cellStyle name="Normal 5 17 30 7" xfId="36886" xr:uid="{00000000-0005-0000-0000-000016900000}"/>
    <cellStyle name="Normal 5 17 30 8" xfId="36887" xr:uid="{00000000-0005-0000-0000-000017900000}"/>
    <cellStyle name="Normal 5 17 30 9" xfId="36888" xr:uid="{00000000-0005-0000-0000-000018900000}"/>
    <cellStyle name="Normal 5 17 31" xfId="36889" xr:uid="{00000000-0005-0000-0000-000019900000}"/>
    <cellStyle name="Normal 5 17 31 10" xfId="36890" xr:uid="{00000000-0005-0000-0000-00001A900000}"/>
    <cellStyle name="Normal 5 17 31 11" xfId="36891" xr:uid="{00000000-0005-0000-0000-00001B900000}"/>
    <cellStyle name="Normal 5 17 31 12" xfId="36892" xr:uid="{00000000-0005-0000-0000-00001C900000}"/>
    <cellStyle name="Normal 5 17 31 13" xfId="36893" xr:uid="{00000000-0005-0000-0000-00001D900000}"/>
    <cellStyle name="Normal 5 17 31 14" xfId="36894" xr:uid="{00000000-0005-0000-0000-00001E900000}"/>
    <cellStyle name="Normal 5 17 31 2" xfId="36895" xr:uid="{00000000-0005-0000-0000-00001F900000}"/>
    <cellStyle name="Normal 5 17 31 2 10" xfId="36896" xr:uid="{00000000-0005-0000-0000-000020900000}"/>
    <cellStyle name="Normal 5 17 31 2 2" xfId="36897" xr:uid="{00000000-0005-0000-0000-000021900000}"/>
    <cellStyle name="Normal 5 17 31 2 3" xfId="36898" xr:uid="{00000000-0005-0000-0000-000022900000}"/>
    <cellStyle name="Normal 5 17 31 2 4" xfId="36899" xr:uid="{00000000-0005-0000-0000-000023900000}"/>
    <cellStyle name="Normal 5 17 31 2 5" xfId="36900" xr:uid="{00000000-0005-0000-0000-000024900000}"/>
    <cellStyle name="Normal 5 17 31 2 6" xfId="36901" xr:uid="{00000000-0005-0000-0000-000025900000}"/>
    <cellStyle name="Normal 5 17 31 2 7" xfId="36902" xr:uid="{00000000-0005-0000-0000-000026900000}"/>
    <cellStyle name="Normal 5 17 31 2 8" xfId="36903" xr:uid="{00000000-0005-0000-0000-000027900000}"/>
    <cellStyle name="Normal 5 17 31 2 9" xfId="36904" xr:uid="{00000000-0005-0000-0000-000028900000}"/>
    <cellStyle name="Normal 5 17 31 3" xfId="36905" xr:uid="{00000000-0005-0000-0000-000029900000}"/>
    <cellStyle name="Normal 5 17 31 3 10" xfId="36906" xr:uid="{00000000-0005-0000-0000-00002A900000}"/>
    <cellStyle name="Normal 5 17 31 3 2" xfId="36907" xr:uid="{00000000-0005-0000-0000-00002B900000}"/>
    <cellStyle name="Normal 5 17 31 3 3" xfId="36908" xr:uid="{00000000-0005-0000-0000-00002C900000}"/>
    <cellStyle name="Normal 5 17 31 3 4" xfId="36909" xr:uid="{00000000-0005-0000-0000-00002D900000}"/>
    <cellStyle name="Normal 5 17 31 3 5" xfId="36910" xr:uid="{00000000-0005-0000-0000-00002E900000}"/>
    <cellStyle name="Normal 5 17 31 3 6" xfId="36911" xr:uid="{00000000-0005-0000-0000-00002F900000}"/>
    <cellStyle name="Normal 5 17 31 3 7" xfId="36912" xr:uid="{00000000-0005-0000-0000-000030900000}"/>
    <cellStyle name="Normal 5 17 31 3 8" xfId="36913" xr:uid="{00000000-0005-0000-0000-000031900000}"/>
    <cellStyle name="Normal 5 17 31 3 9" xfId="36914" xr:uid="{00000000-0005-0000-0000-000032900000}"/>
    <cellStyle name="Normal 5 17 31 4" xfId="36915" xr:uid="{00000000-0005-0000-0000-000033900000}"/>
    <cellStyle name="Normal 5 17 31 4 10" xfId="36916" xr:uid="{00000000-0005-0000-0000-000034900000}"/>
    <cellStyle name="Normal 5 17 31 4 2" xfId="36917" xr:uid="{00000000-0005-0000-0000-000035900000}"/>
    <cellStyle name="Normal 5 17 31 4 3" xfId="36918" xr:uid="{00000000-0005-0000-0000-000036900000}"/>
    <cellStyle name="Normal 5 17 31 4 4" xfId="36919" xr:uid="{00000000-0005-0000-0000-000037900000}"/>
    <cellStyle name="Normal 5 17 31 4 5" xfId="36920" xr:uid="{00000000-0005-0000-0000-000038900000}"/>
    <cellStyle name="Normal 5 17 31 4 6" xfId="36921" xr:uid="{00000000-0005-0000-0000-000039900000}"/>
    <cellStyle name="Normal 5 17 31 4 7" xfId="36922" xr:uid="{00000000-0005-0000-0000-00003A900000}"/>
    <cellStyle name="Normal 5 17 31 4 8" xfId="36923" xr:uid="{00000000-0005-0000-0000-00003B900000}"/>
    <cellStyle name="Normal 5 17 31 4 9" xfId="36924" xr:uid="{00000000-0005-0000-0000-00003C900000}"/>
    <cellStyle name="Normal 5 17 31 5" xfId="36925" xr:uid="{00000000-0005-0000-0000-00003D900000}"/>
    <cellStyle name="Normal 5 17 31 5 10" xfId="36926" xr:uid="{00000000-0005-0000-0000-00003E900000}"/>
    <cellStyle name="Normal 5 17 31 5 2" xfId="36927" xr:uid="{00000000-0005-0000-0000-00003F900000}"/>
    <cellStyle name="Normal 5 17 31 5 3" xfId="36928" xr:uid="{00000000-0005-0000-0000-000040900000}"/>
    <cellStyle name="Normal 5 17 31 5 4" xfId="36929" xr:uid="{00000000-0005-0000-0000-000041900000}"/>
    <cellStyle name="Normal 5 17 31 5 5" xfId="36930" xr:uid="{00000000-0005-0000-0000-000042900000}"/>
    <cellStyle name="Normal 5 17 31 5 6" xfId="36931" xr:uid="{00000000-0005-0000-0000-000043900000}"/>
    <cellStyle name="Normal 5 17 31 5 7" xfId="36932" xr:uid="{00000000-0005-0000-0000-000044900000}"/>
    <cellStyle name="Normal 5 17 31 5 8" xfId="36933" xr:uid="{00000000-0005-0000-0000-000045900000}"/>
    <cellStyle name="Normal 5 17 31 5 9" xfId="36934" xr:uid="{00000000-0005-0000-0000-000046900000}"/>
    <cellStyle name="Normal 5 17 31 6" xfId="36935" xr:uid="{00000000-0005-0000-0000-000047900000}"/>
    <cellStyle name="Normal 5 17 31 7" xfId="36936" xr:uid="{00000000-0005-0000-0000-000048900000}"/>
    <cellStyle name="Normal 5 17 31 8" xfId="36937" xr:uid="{00000000-0005-0000-0000-000049900000}"/>
    <cellStyle name="Normal 5 17 31 9" xfId="36938" xr:uid="{00000000-0005-0000-0000-00004A900000}"/>
    <cellStyle name="Normal 5 17 32" xfId="36939" xr:uid="{00000000-0005-0000-0000-00004B900000}"/>
    <cellStyle name="Normal 5 17 32 10" xfId="36940" xr:uid="{00000000-0005-0000-0000-00004C900000}"/>
    <cellStyle name="Normal 5 17 32 11" xfId="36941" xr:uid="{00000000-0005-0000-0000-00004D900000}"/>
    <cellStyle name="Normal 5 17 32 12" xfId="36942" xr:uid="{00000000-0005-0000-0000-00004E900000}"/>
    <cellStyle name="Normal 5 17 32 13" xfId="36943" xr:uid="{00000000-0005-0000-0000-00004F900000}"/>
    <cellStyle name="Normal 5 17 32 14" xfId="36944" xr:uid="{00000000-0005-0000-0000-000050900000}"/>
    <cellStyle name="Normal 5 17 32 2" xfId="36945" xr:uid="{00000000-0005-0000-0000-000051900000}"/>
    <cellStyle name="Normal 5 17 32 2 10" xfId="36946" xr:uid="{00000000-0005-0000-0000-000052900000}"/>
    <cellStyle name="Normal 5 17 32 2 2" xfId="36947" xr:uid="{00000000-0005-0000-0000-000053900000}"/>
    <cellStyle name="Normal 5 17 32 2 3" xfId="36948" xr:uid="{00000000-0005-0000-0000-000054900000}"/>
    <cellStyle name="Normal 5 17 32 2 4" xfId="36949" xr:uid="{00000000-0005-0000-0000-000055900000}"/>
    <cellStyle name="Normal 5 17 32 2 5" xfId="36950" xr:uid="{00000000-0005-0000-0000-000056900000}"/>
    <cellStyle name="Normal 5 17 32 2 6" xfId="36951" xr:uid="{00000000-0005-0000-0000-000057900000}"/>
    <cellStyle name="Normal 5 17 32 2 7" xfId="36952" xr:uid="{00000000-0005-0000-0000-000058900000}"/>
    <cellStyle name="Normal 5 17 32 2 8" xfId="36953" xr:uid="{00000000-0005-0000-0000-000059900000}"/>
    <cellStyle name="Normal 5 17 32 2 9" xfId="36954" xr:uid="{00000000-0005-0000-0000-00005A900000}"/>
    <cellStyle name="Normal 5 17 32 3" xfId="36955" xr:uid="{00000000-0005-0000-0000-00005B900000}"/>
    <cellStyle name="Normal 5 17 32 3 10" xfId="36956" xr:uid="{00000000-0005-0000-0000-00005C900000}"/>
    <cellStyle name="Normal 5 17 32 3 2" xfId="36957" xr:uid="{00000000-0005-0000-0000-00005D900000}"/>
    <cellStyle name="Normal 5 17 32 3 3" xfId="36958" xr:uid="{00000000-0005-0000-0000-00005E900000}"/>
    <cellStyle name="Normal 5 17 32 3 4" xfId="36959" xr:uid="{00000000-0005-0000-0000-00005F900000}"/>
    <cellStyle name="Normal 5 17 32 3 5" xfId="36960" xr:uid="{00000000-0005-0000-0000-000060900000}"/>
    <cellStyle name="Normal 5 17 32 3 6" xfId="36961" xr:uid="{00000000-0005-0000-0000-000061900000}"/>
    <cellStyle name="Normal 5 17 32 3 7" xfId="36962" xr:uid="{00000000-0005-0000-0000-000062900000}"/>
    <cellStyle name="Normal 5 17 32 3 8" xfId="36963" xr:uid="{00000000-0005-0000-0000-000063900000}"/>
    <cellStyle name="Normal 5 17 32 3 9" xfId="36964" xr:uid="{00000000-0005-0000-0000-000064900000}"/>
    <cellStyle name="Normal 5 17 32 4" xfId="36965" xr:uid="{00000000-0005-0000-0000-000065900000}"/>
    <cellStyle name="Normal 5 17 32 4 10" xfId="36966" xr:uid="{00000000-0005-0000-0000-000066900000}"/>
    <cellStyle name="Normal 5 17 32 4 2" xfId="36967" xr:uid="{00000000-0005-0000-0000-000067900000}"/>
    <cellStyle name="Normal 5 17 32 4 3" xfId="36968" xr:uid="{00000000-0005-0000-0000-000068900000}"/>
    <cellStyle name="Normal 5 17 32 4 4" xfId="36969" xr:uid="{00000000-0005-0000-0000-000069900000}"/>
    <cellStyle name="Normal 5 17 32 4 5" xfId="36970" xr:uid="{00000000-0005-0000-0000-00006A900000}"/>
    <cellStyle name="Normal 5 17 32 4 6" xfId="36971" xr:uid="{00000000-0005-0000-0000-00006B900000}"/>
    <cellStyle name="Normal 5 17 32 4 7" xfId="36972" xr:uid="{00000000-0005-0000-0000-00006C900000}"/>
    <cellStyle name="Normal 5 17 32 4 8" xfId="36973" xr:uid="{00000000-0005-0000-0000-00006D900000}"/>
    <cellStyle name="Normal 5 17 32 4 9" xfId="36974" xr:uid="{00000000-0005-0000-0000-00006E900000}"/>
    <cellStyle name="Normal 5 17 32 5" xfId="36975" xr:uid="{00000000-0005-0000-0000-00006F900000}"/>
    <cellStyle name="Normal 5 17 32 5 10" xfId="36976" xr:uid="{00000000-0005-0000-0000-000070900000}"/>
    <cellStyle name="Normal 5 17 32 5 2" xfId="36977" xr:uid="{00000000-0005-0000-0000-000071900000}"/>
    <cellStyle name="Normal 5 17 32 5 3" xfId="36978" xr:uid="{00000000-0005-0000-0000-000072900000}"/>
    <cellStyle name="Normal 5 17 32 5 4" xfId="36979" xr:uid="{00000000-0005-0000-0000-000073900000}"/>
    <cellStyle name="Normal 5 17 32 5 5" xfId="36980" xr:uid="{00000000-0005-0000-0000-000074900000}"/>
    <cellStyle name="Normal 5 17 32 5 6" xfId="36981" xr:uid="{00000000-0005-0000-0000-000075900000}"/>
    <cellStyle name="Normal 5 17 32 5 7" xfId="36982" xr:uid="{00000000-0005-0000-0000-000076900000}"/>
    <cellStyle name="Normal 5 17 32 5 8" xfId="36983" xr:uid="{00000000-0005-0000-0000-000077900000}"/>
    <cellStyle name="Normal 5 17 32 5 9" xfId="36984" xr:uid="{00000000-0005-0000-0000-000078900000}"/>
    <cellStyle name="Normal 5 17 32 6" xfId="36985" xr:uid="{00000000-0005-0000-0000-000079900000}"/>
    <cellStyle name="Normal 5 17 32 7" xfId="36986" xr:uid="{00000000-0005-0000-0000-00007A900000}"/>
    <cellStyle name="Normal 5 17 32 8" xfId="36987" xr:uid="{00000000-0005-0000-0000-00007B900000}"/>
    <cellStyle name="Normal 5 17 32 9" xfId="36988" xr:uid="{00000000-0005-0000-0000-00007C900000}"/>
    <cellStyle name="Normal 5 17 33" xfId="36989" xr:uid="{00000000-0005-0000-0000-00007D900000}"/>
    <cellStyle name="Normal 5 17 33 10" xfId="36990" xr:uid="{00000000-0005-0000-0000-00007E900000}"/>
    <cellStyle name="Normal 5 17 33 11" xfId="36991" xr:uid="{00000000-0005-0000-0000-00007F900000}"/>
    <cellStyle name="Normal 5 17 33 12" xfId="36992" xr:uid="{00000000-0005-0000-0000-000080900000}"/>
    <cellStyle name="Normal 5 17 33 13" xfId="36993" xr:uid="{00000000-0005-0000-0000-000081900000}"/>
    <cellStyle name="Normal 5 17 33 14" xfId="36994" xr:uid="{00000000-0005-0000-0000-000082900000}"/>
    <cellStyle name="Normal 5 17 33 2" xfId="36995" xr:uid="{00000000-0005-0000-0000-000083900000}"/>
    <cellStyle name="Normal 5 17 33 2 10" xfId="36996" xr:uid="{00000000-0005-0000-0000-000084900000}"/>
    <cellStyle name="Normal 5 17 33 2 2" xfId="36997" xr:uid="{00000000-0005-0000-0000-000085900000}"/>
    <cellStyle name="Normal 5 17 33 2 3" xfId="36998" xr:uid="{00000000-0005-0000-0000-000086900000}"/>
    <cellStyle name="Normal 5 17 33 2 4" xfId="36999" xr:uid="{00000000-0005-0000-0000-000087900000}"/>
    <cellStyle name="Normal 5 17 33 2 5" xfId="37000" xr:uid="{00000000-0005-0000-0000-000088900000}"/>
    <cellStyle name="Normal 5 17 33 2 6" xfId="37001" xr:uid="{00000000-0005-0000-0000-000089900000}"/>
    <cellStyle name="Normal 5 17 33 2 7" xfId="37002" xr:uid="{00000000-0005-0000-0000-00008A900000}"/>
    <cellStyle name="Normal 5 17 33 2 8" xfId="37003" xr:uid="{00000000-0005-0000-0000-00008B900000}"/>
    <cellStyle name="Normal 5 17 33 2 9" xfId="37004" xr:uid="{00000000-0005-0000-0000-00008C900000}"/>
    <cellStyle name="Normal 5 17 33 3" xfId="37005" xr:uid="{00000000-0005-0000-0000-00008D900000}"/>
    <cellStyle name="Normal 5 17 33 3 10" xfId="37006" xr:uid="{00000000-0005-0000-0000-00008E900000}"/>
    <cellStyle name="Normal 5 17 33 3 2" xfId="37007" xr:uid="{00000000-0005-0000-0000-00008F900000}"/>
    <cellStyle name="Normal 5 17 33 3 3" xfId="37008" xr:uid="{00000000-0005-0000-0000-000090900000}"/>
    <cellStyle name="Normal 5 17 33 3 4" xfId="37009" xr:uid="{00000000-0005-0000-0000-000091900000}"/>
    <cellStyle name="Normal 5 17 33 3 5" xfId="37010" xr:uid="{00000000-0005-0000-0000-000092900000}"/>
    <cellStyle name="Normal 5 17 33 3 6" xfId="37011" xr:uid="{00000000-0005-0000-0000-000093900000}"/>
    <cellStyle name="Normal 5 17 33 3 7" xfId="37012" xr:uid="{00000000-0005-0000-0000-000094900000}"/>
    <cellStyle name="Normal 5 17 33 3 8" xfId="37013" xr:uid="{00000000-0005-0000-0000-000095900000}"/>
    <cellStyle name="Normal 5 17 33 3 9" xfId="37014" xr:uid="{00000000-0005-0000-0000-000096900000}"/>
    <cellStyle name="Normal 5 17 33 4" xfId="37015" xr:uid="{00000000-0005-0000-0000-000097900000}"/>
    <cellStyle name="Normal 5 17 33 4 10" xfId="37016" xr:uid="{00000000-0005-0000-0000-000098900000}"/>
    <cellStyle name="Normal 5 17 33 4 2" xfId="37017" xr:uid="{00000000-0005-0000-0000-000099900000}"/>
    <cellStyle name="Normal 5 17 33 4 3" xfId="37018" xr:uid="{00000000-0005-0000-0000-00009A900000}"/>
    <cellStyle name="Normal 5 17 33 4 4" xfId="37019" xr:uid="{00000000-0005-0000-0000-00009B900000}"/>
    <cellStyle name="Normal 5 17 33 4 5" xfId="37020" xr:uid="{00000000-0005-0000-0000-00009C900000}"/>
    <cellStyle name="Normal 5 17 33 4 6" xfId="37021" xr:uid="{00000000-0005-0000-0000-00009D900000}"/>
    <cellStyle name="Normal 5 17 33 4 7" xfId="37022" xr:uid="{00000000-0005-0000-0000-00009E900000}"/>
    <cellStyle name="Normal 5 17 33 4 8" xfId="37023" xr:uid="{00000000-0005-0000-0000-00009F900000}"/>
    <cellStyle name="Normal 5 17 33 4 9" xfId="37024" xr:uid="{00000000-0005-0000-0000-0000A0900000}"/>
    <cellStyle name="Normal 5 17 33 5" xfId="37025" xr:uid="{00000000-0005-0000-0000-0000A1900000}"/>
    <cellStyle name="Normal 5 17 33 5 10" xfId="37026" xr:uid="{00000000-0005-0000-0000-0000A2900000}"/>
    <cellStyle name="Normal 5 17 33 5 2" xfId="37027" xr:uid="{00000000-0005-0000-0000-0000A3900000}"/>
    <cellStyle name="Normal 5 17 33 5 3" xfId="37028" xr:uid="{00000000-0005-0000-0000-0000A4900000}"/>
    <cellStyle name="Normal 5 17 33 5 4" xfId="37029" xr:uid="{00000000-0005-0000-0000-0000A5900000}"/>
    <cellStyle name="Normal 5 17 33 5 5" xfId="37030" xr:uid="{00000000-0005-0000-0000-0000A6900000}"/>
    <cellStyle name="Normal 5 17 33 5 6" xfId="37031" xr:uid="{00000000-0005-0000-0000-0000A7900000}"/>
    <cellStyle name="Normal 5 17 33 5 7" xfId="37032" xr:uid="{00000000-0005-0000-0000-0000A8900000}"/>
    <cellStyle name="Normal 5 17 33 5 8" xfId="37033" xr:uid="{00000000-0005-0000-0000-0000A9900000}"/>
    <cellStyle name="Normal 5 17 33 5 9" xfId="37034" xr:uid="{00000000-0005-0000-0000-0000AA900000}"/>
    <cellStyle name="Normal 5 17 33 6" xfId="37035" xr:uid="{00000000-0005-0000-0000-0000AB900000}"/>
    <cellStyle name="Normal 5 17 33 7" xfId="37036" xr:uid="{00000000-0005-0000-0000-0000AC900000}"/>
    <cellStyle name="Normal 5 17 33 8" xfId="37037" xr:uid="{00000000-0005-0000-0000-0000AD900000}"/>
    <cellStyle name="Normal 5 17 33 9" xfId="37038" xr:uid="{00000000-0005-0000-0000-0000AE900000}"/>
    <cellStyle name="Normal 5 17 34" xfId="37039" xr:uid="{00000000-0005-0000-0000-0000AF900000}"/>
    <cellStyle name="Normal 5 17 34 10" xfId="37040" xr:uid="{00000000-0005-0000-0000-0000B0900000}"/>
    <cellStyle name="Normal 5 17 34 11" xfId="37041" xr:uid="{00000000-0005-0000-0000-0000B1900000}"/>
    <cellStyle name="Normal 5 17 34 12" xfId="37042" xr:uid="{00000000-0005-0000-0000-0000B2900000}"/>
    <cellStyle name="Normal 5 17 34 13" xfId="37043" xr:uid="{00000000-0005-0000-0000-0000B3900000}"/>
    <cellStyle name="Normal 5 17 34 14" xfId="37044" xr:uid="{00000000-0005-0000-0000-0000B4900000}"/>
    <cellStyle name="Normal 5 17 34 2" xfId="37045" xr:uid="{00000000-0005-0000-0000-0000B5900000}"/>
    <cellStyle name="Normal 5 17 34 2 10" xfId="37046" xr:uid="{00000000-0005-0000-0000-0000B6900000}"/>
    <cellStyle name="Normal 5 17 34 2 2" xfId="37047" xr:uid="{00000000-0005-0000-0000-0000B7900000}"/>
    <cellStyle name="Normal 5 17 34 2 3" xfId="37048" xr:uid="{00000000-0005-0000-0000-0000B8900000}"/>
    <cellStyle name="Normal 5 17 34 2 4" xfId="37049" xr:uid="{00000000-0005-0000-0000-0000B9900000}"/>
    <cellStyle name="Normal 5 17 34 2 5" xfId="37050" xr:uid="{00000000-0005-0000-0000-0000BA900000}"/>
    <cellStyle name="Normal 5 17 34 2 6" xfId="37051" xr:uid="{00000000-0005-0000-0000-0000BB900000}"/>
    <cellStyle name="Normal 5 17 34 2 7" xfId="37052" xr:uid="{00000000-0005-0000-0000-0000BC900000}"/>
    <cellStyle name="Normal 5 17 34 2 8" xfId="37053" xr:uid="{00000000-0005-0000-0000-0000BD900000}"/>
    <cellStyle name="Normal 5 17 34 2 9" xfId="37054" xr:uid="{00000000-0005-0000-0000-0000BE900000}"/>
    <cellStyle name="Normal 5 17 34 3" xfId="37055" xr:uid="{00000000-0005-0000-0000-0000BF900000}"/>
    <cellStyle name="Normal 5 17 34 3 10" xfId="37056" xr:uid="{00000000-0005-0000-0000-0000C0900000}"/>
    <cellStyle name="Normal 5 17 34 3 2" xfId="37057" xr:uid="{00000000-0005-0000-0000-0000C1900000}"/>
    <cellStyle name="Normal 5 17 34 3 3" xfId="37058" xr:uid="{00000000-0005-0000-0000-0000C2900000}"/>
    <cellStyle name="Normal 5 17 34 3 4" xfId="37059" xr:uid="{00000000-0005-0000-0000-0000C3900000}"/>
    <cellStyle name="Normal 5 17 34 3 5" xfId="37060" xr:uid="{00000000-0005-0000-0000-0000C4900000}"/>
    <cellStyle name="Normal 5 17 34 3 6" xfId="37061" xr:uid="{00000000-0005-0000-0000-0000C5900000}"/>
    <cellStyle name="Normal 5 17 34 3 7" xfId="37062" xr:uid="{00000000-0005-0000-0000-0000C6900000}"/>
    <cellStyle name="Normal 5 17 34 3 8" xfId="37063" xr:uid="{00000000-0005-0000-0000-0000C7900000}"/>
    <cellStyle name="Normal 5 17 34 3 9" xfId="37064" xr:uid="{00000000-0005-0000-0000-0000C8900000}"/>
    <cellStyle name="Normal 5 17 34 4" xfId="37065" xr:uid="{00000000-0005-0000-0000-0000C9900000}"/>
    <cellStyle name="Normal 5 17 34 4 10" xfId="37066" xr:uid="{00000000-0005-0000-0000-0000CA900000}"/>
    <cellStyle name="Normal 5 17 34 4 2" xfId="37067" xr:uid="{00000000-0005-0000-0000-0000CB900000}"/>
    <cellStyle name="Normal 5 17 34 4 3" xfId="37068" xr:uid="{00000000-0005-0000-0000-0000CC900000}"/>
    <cellStyle name="Normal 5 17 34 4 4" xfId="37069" xr:uid="{00000000-0005-0000-0000-0000CD900000}"/>
    <cellStyle name="Normal 5 17 34 4 5" xfId="37070" xr:uid="{00000000-0005-0000-0000-0000CE900000}"/>
    <cellStyle name="Normal 5 17 34 4 6" xfId="37071" xr:uid="{00000000-0005-0000-0000-0000CF900000}"/>
    <cellStyle name="Normal 5 17 34 4 7" xfId="37072" xr:uid="{00000000-0005-0000-0000-0000D0900000}"/>
    <cellStyle name="Normal 5 17 34 4 8" xfId="37073" xr:uid="{00000000-0005-0000-0000-0000D1900000}"/>
    <cellStyle name="Normal 5 17 34 4 9" xfId="37074" xr:uid="{00000000-0005-0000-0000-0000D2900000}"/>
    <cellStyle name="Normal 5 17 34 5" xfId="37075" xr:uid="{00000000-0005-0000-0000-0000D3900000}"/>
    <cellStyle name="Normal 5 17 34 5 10" xfId="37076" xr:uid="{00000000-0005-0000-0000-0000D4900000}"/>
    <cellStyle name="Normal 5 17 34 5 2" xfId="37077" xr:uid="{00000000-0005-0000-0000-0000D5900000}"/>
    <cellStyle name="Normal 5 17 34 5 3" xfId="37078" xr:uid="{00000000-0005-0000-0000-0000D6900000}"/>
    <cellStyle name="Normal 5 17 34 5 4" xfId="37079" xr:uid="{00000000-0005-0000-0000-0000D7900000}"/>
    <cellStyle name="Normal 5 17 34 5 5" xfId="37080" xr:uid="{00000000-0005-0000-0000-0000D8900000}"/>
    <cellStyle name="Normal 5 17 34 5 6" xfId="37081" xr:uid="{00000000-0005-0000-0000-0000D9900000}"/>
    <cellStyle name="Normal 5 17 34 5 7" xfId="37082" xr:uid="{00000000-0005-0000-0000-0000DA900000}"/>
    <cellStyle name="Normal 5 17 34 5 8" xfId="37083" xr:uid="{00000000-0005-0000-0000-0000DB900000}"/>
    <cellStyle name="Normal 5 17 34 5 9" xfId="37084" xr:uid="{00000000-0005-0000-0000-0000DC900000}"/>
    <cellStyle name="Normal 5 17 34 6" xfId="37085" xr:uid="{00000000-0005-0000-0000-0000DD900000}"/>
    <cellStyle name="Normal 5 17 34 7" xfId="37086" xr:uid="{00000000-0005-0000-0000-0000DE900000}"/>
    <cellStyle name="Normal 5 17 34 8" xfId="37087" xr:uid="{00000000-0005-0000-0000-0000DF900000}"/>
    <cellStyle name="Normal 5 17 34 9" xfId="37088" xr:uid="{00000000-0005-0000-0000-0000E0900000}"/>
    <cellStyle name="Normal 5 17 35" xfId="37089" xr:uid="{00000000-0005-0000-0000-0000E1900000}"/>
    <cellStyle name="Normal 5 17 35 10" xfId="37090" xr:uid="{00000000-0005-0000-0000-0000E2900000}"/>
    <cellStyle name="Normal 5 17 35 2" xfId="37091" xr:uid="{00000000-0005-0000-0000-0000E3900000}"/>
    <cellStyle name="Normal 5 17 35 3" xfId="37092" xr:uid="{00000000-0005-0000-0000-0000E4900000}"/>
    <cellStyle name="Normal 5 17 35 4" xfId="37093" xr:uid="{00000000-0005-0000-0000-0000E5900000}"/>
    <cellStyle name="Normal 5 17 35 5" xfId="37094" xr:uid="{00000000-0005-0000-0000-0000E6900000}"/>
    <cellStyle name="Normal 5 17 35 6" xfId="37095" xr:uid="{00000000-0005-0000-0000-0000E7900000}"/>
    <cellStyle name="Normal 5 17 35 7" xfId="37096" xr:uid="{00000000-0005-0000-0000-0000E8900000}"/>
    <cellStyle name="Normal 5 17 35 8" xfId="37097" xr:uid="{00000000-0005-0000-0000-0000E9900000}"/>
    <cellStyle name="Normal 5 17 35 9" xfId="37098" xr:uid="{00000000-0005-0000-0000-0000EA900000}"/>
    <cellStyle name="Normal 5 17 36" xfId="37099" xr:uid="{00000000-0005-0000-0000-0000EB900000}"/>
    <cellStyle name="Normal 5 17 36 10" xfId="37100" xr:uid="{00000000-0005-0000-0000-0000EC900000}"/>
    <cellStyle name="Normal 5 17 36 2" xfId="37101" xr:uid="{00000000-0005-0000-0000-0000ED900000}"/>
    <cellStyle name="Normal 5 17 36 3" xfId="37102" xr:uid="{00000000-0005-0000-0000-0000EE900000}"/>
    <cellStyle name="Normal 5 17 36 4" xfId="37103" xr:uid="{00000000-0005-0000-0000-0000EF900000}"/>
    <cellStyle name="Normal 5 17 36 5" xfId="37104" xr:uid="{00000000-0005-0000-0000-0000F0900000}"/>
    <cellStyle name="Normal 5 17 36 6" xfId="37105" xr:uid="{00000000-0005-0000-0000-0000F1900000}"/>
    <cellStyle name="Normal 5 17 36 7" xfId="37106" xr:uid="{00000000-0005-0000-0000-0000F2900000}"/>
    <cellStyle name="Normal 5 17 36 8" xfId="37107" xr:uid="{00000000-0005-0000-0000-0000F3900000}"/>
    <cellStyle name="Normal 5 17 36 9" xfId="37108" xr:uid="{00000000-0005-0000-0000-0000F4900000}"/>
    <cellStyle name="Normal 5 17 37" xfId="37109" xr:uid="{00000000-0005-0000-0000-0000F5900000}"/>
    <cellStyle name="Normal 5 17 37 10" xfId="37110" xr:uid="{00000000-0005-0000-0000-0000F6900000}"/>
    <cellStyle name="Normal 5 17 37 2" xfId="37111" xr:uid="{00000000-0005-0000-0000-0000F7900000}"/>
    <cellStyle name="Normal 5 17 37 3" xfId="37112" xr:uid="{00000000-0005-0000-0000-0000F8900000}"/>
    <cellStyle name="Normal 5 17 37 4" xfId="37113" xr:uid="{00000000-0005-0000-0000-0000F9900000}"/>
    <cellStyle name="Normal 5 17 37 5" xfId="37114" xr:uid="{00000000-0005-0000-0000-0000FA900000}"/>
    <cellStyle name="Normal 5 17 37 6" xfId="37115" xr:uid="{00000000-0005-0000-0000-0000FB900000}"/>
    <cellStyle name="Normal 5 17 37 7" xfId="37116" xr:uid="{00000000-0005-0000-0000-0000FC900000}"/>
    <cellStyle name="Normal 5 17 37 8" xfId="37117" xr:uid="{00000000-0005-0000-0000-0000FD900000}"/>
    <cellStyle name="Normal 5 17 37 9" xfId="37118" xr:uid="{00000000-0005-0000-0000-0000FE900000}"/>
    <cellStyle name="Normal 5 17 38" xfId="37119" xr:uid="{00000000-0005-0000-0000-0000FF900000}"/>
    <cellStyle name="Normal 5 17 38 10" xfId="37120" xr:uid="{00000000-0005-0000-0000-000000910000}"/>
    <cellStyle name="Normal 5 17 38 2" xfId="37121" xr:uid="{00000000-0005-0000-0000-000001910000}"/>
    <cellStyle name="Normal 5 17 38 3" xfId="37122" xr:uid="{00000000-0005-0000-0000-000002910000}"/>
    <cellStyle name="Normal 5 17 38 4" xfId="37123" xr:uid="{00000000-0005-0000-0000-000003910000}"/>
    <cellStyle name="Normal 5 17 38 5" xfId="37124" xr:uid="{00000000-0005-0000-0000-000004910000}"/>
    <cellStyle name="Normal 5 17 38 6" xfId="37125" xr:uid="{00000000-0005-0000-0000-000005910000}"/>
    <cellStyle name="Normal 5 17 38 7" xfId="37126" xr:uid="{00000000-0005-0000-0000-000006910000}"/>
    <cellStyle name="Normal 5 17 38 8" xfId="37127" xr:uid="{00000000-0005-0000-0000-000007910000}"/>
    <cellStyle name="Normal 5 17 38 9" xfId="37128" xr:uid="{00000000-0005-0000-0000-000008910000}"/>
    <cellStyle name="Normal 5 17 39" xfId="37129" xr:uid="{00000000-0005-0000-0000-000009910000}"/>
    <cellStyle name="Normal 5 17 4" xfId="37130" xr:uid="{00000000-0005-0000-0000-00000A910000}"/>
    <cellStyle name="Normal 5 17 4 10" xfId="37131" xr:uid="{00000000-0005-0000-0000-00000B910000}"/>
    <cellStyle name="Normal 5 17 4 11" xfId="37132" xr:uid="{00000000-0005-0000-0000-00000C910000}"/>
    <cellStyle name="Normal 5 17 4 12" xfId="37133" xr:uid="{00000000-0005-0000-0000-00000D910000}"/>
    <cellStyle name="Normal 5 17 4 13" xfId="37134" xr:uid="{00000000-0005-0000-0000-00000E910000}"/>
    <cellStyle name="Normal 5 17 4 14" xfId="37135" xr:uid="{00000000-0005-0000-0000-00000F910000}"/>
    <cellStyle name="Normal 5 17 4 2" xfId="37136" xr:uid="{00000000-0005-0000-0000-000010910000}"/>
    <cellStyle name="Normal 5 17 4 2 10" xfId="37137" xr:uid="{00000000-0005-0000-0000-000011910000}"/>
    <cellStyle name="Normal 5 17 4 2 2" xfId="37138" xr:uid="{00000000-0005-0000-0000-000012910000}"/>
    <cellStyle name="Normal 5 17 4 2 3" xfId="37139" xr:uid="{00000000-0005-0000-0000-000013910000}"/>
    <cellStyle name="Normal 5 17 4 2 4" xfId="37140" xr:uid="{00000000-0005-0000-0000-000014910000}"/>
    <cellStyle name="Normal 5 17 4 2 5" xfId="37141" xr:uid="{00000000-0005-0000-0000-000015910000}"/>
    <cellStyle name="Normal 5 17 4 2 6" xfId="37142" xr:uid="{00000000-0005-0000-0000-000016910000}"/>
    <cellStyle name="Normal 5 17 4 2 7" xfId="37143" xr:uid="{00000000-0005-0000-0000-000017910000}"/>
    <cellStyle name="Normal 5 17 4 2 8" xfId="37144" xr:uid="{00000000-0005-0000-0000-000018910000}"/>
    <cellStyle name="Normal 5 17 4 2 9" xfId="37145" xr:uid="{00000000-0005-0000-0000-000019910000}"/>
    <cellStyle name="Normal 5 17 4 3" xfId="37146" xr:uid="{00000000-0005-0000-0000-00001A910000}"/>
    <cellStyle name="Normal 5 17 4 3 10" xfId="37147" xr:uid="{00000000-0005-0000-0000-00001B910000}"/>
    <cellStyle name="Normal 5 17 4 3 2" xfId="37148" xr:uid="{00000000-0005-0000-0000-00001C910000}"/>
    <cellStyle name="Normal 5 17 4 3 3" xfId="37149" xr:uid="{00000000-0005-0000-0000-00001D910000}"/>
    <cellStyle name="Normal 5 17 4 3 4" xfId="37150" xr:uid="{00000000-0005-0000-0000-00001E910000}"/>
    <cellStyle name="Normal 5 17 4 3 5" xfId="37151" xr:uid="{00000000-0005-0000-0000-00001F910000}"/>
    <cellStyle name="Normal 5 17 4 3 6" xfId="37152" xr:uid="{00000000-0005-0000-0000-000020910000}"/>
    <cellStyle name="Normal 5 17 4 3 7" xfId="37153" xr:uid="{00000000-0005-0000-0000-000021910000}"/>
    <cellStyle name="Normal 5 17 4 3 8" xfId="37154" xr:uid="{00000000-0005-0000-0000-000022910000}"/>
    <cellStyle name="Normal 5 17 4 3 9" xfId="37155" xr:uid="{00000000-0005-0000-0000-000023910000}"/>
    <cellStyle name="Normal 5 17 4 4" xfId="37156" xr:uid="{00000000-0005-0000-0000-000024910000}"/>
    <cellStyle name="Normal 5 17 4 4 10" xfId="37157" xr:uid="{00000000-0005-0000-0000-000025910000}"/>
    <cellStyle name="Normal 5 17 4 4 2" xfId="37158" xr:uid="{00000000-0005-0000-0000-000026910000}"/>
    <cellStyle name="Normal 5 17 4 4 3" xfId="37159" xr:uid="{00000000-0005-0000-0000-000027910000}"/>
    <cellStyle name="Normal 5 17 4 4 4" xfId="37160" xr:uid="{00000000-0005-0000-0000-000028910000}"/>
    <cellStyle name="Normal 5 17 4 4 5" xfId="37161" xr:uid="{00000000-0005-0000-0000-000029910000}"/>
    <cellStyle name="Normal 5 17 4 4 6" xfId="37162" xr:uid="{00000000-0005-0000-0000-00002A910000}"/>
    <cellStyle name="Normal 5 17 4 4 7" xfId="37163" xr:uid="{00000000-0005-0000-0000-00002B910000}"/>
    <cellStyle name="Normal 5 17 4 4 8" xfId="37164" xr:uid="{00000000-0005-0000-0000-00002C910000}"/>
    <cellStyle name="Normal 5 17 4 4 9" xfId="37165" xr:uid="{00000000-0005-0000-0000-00002D910000}"/>
    <cellStyle name="Normal 5 17 4 5" xfId="37166" xr:uid="{00000000-0005-0000-0000-00002E910000}"/>
    <cellStyle name="Normal 5 17 4 5 10" xfId="37167" xr:uid="{00000000-0005-0000-0000-00002F910000}"/>
    <cellStyle name="Normal 5 17 4 5 2" xfId="37168" xr:uid="{00000000-0005-0000-0000-000030910000}"/>
    <cellStyle name="Normal 5 17 4 5 3" xfId="37169" xr:uid="{00000000-0005-0000-0000-000031910000}"/>
    <cellStyle name="Normal 5 17 4 5 4" xfId="37170" xr:uid="{00000000-0005-0000-0000-000032910000}"/>
    <cellStyle name="Normal 5 17 4 5 5" xfId="37171" xr:uid="{00000000-0005-0000-0000-000033910000}"/>
    <cellStyle name="Normal 5 17 4 5 6" xfId="37172" xr:uid="{00000000-0005-0000-0000-000034910000}"/>
    <cellStyle name="Normal 5 17 4 5 7" xfId="37173" xr:uid="{00000000-0005-0000-0000-000035910000}"/>
    <cellStyle name="Normal 5 17 4 5 8" xfId="37174" xr:uid="{00000000-0005-0000-0000-000036910000}"/>
    <cellStyle name="Normal 5 17 4 5 9" xfId="37175" xr:uid="{00000000-0005-0000-0000-000037910000}"/>
    <cellStyle name="Normal 5 17 4 6" xfId="37176" xr:uid="{00000000-0005-0000-0000-000038910000}"/>
    <cellStyle name="Normal 5 17 4 7" xfId="37177" xr:uid="{00000000-0005-0000-0000-000039910000}"/>
    <cellStyle name="Normal 5 17 4 8" xfId="37178" xr:uid="{00000000-0005-0000-0000-00003A910000}"/>
    <cellStyle name="Normal 5 17 4 9" xfId="37179" xr:uid="{00000000-0005-0000-0000-00003B910000}"/>
    <cellStyle name="Normal 5 17 40" xfId="37180" xr:uid="{00000000-0005-0000-0000-00003C910000}"/>
    <cellStyle name="Normal 5 17 41" xfId="37181" xr:uid="{00000000-0005-0000-0000-00003D910000}"/>
    <cellStyle name="Normal 5 17 42" xfId="37182" xr:uid="{00000000-0005-0000-0000-00003E910000}"/>
    <cellStyle name="Normal 5 17 43" xfId="37183" xr:uid="{00000000-0005-0000-0000-00003F910000}"/>
    <cellStyle name="Normal 5 17 44" xfId="37184" xr:uid="{00000000-0005-0000-0000-000040910000}"/>
    <cellStyle name="Normal 5 17 45" xfId="37185" xr:uid="{00000000-0005-0000-0000-000041910000}"/>
    <cellStyle name="Normal 5 17 46" xfId="37186" xr:uid="{00000000-0005-0000-0000-000042910000}"/>
    <cellStyle name="Normal 5 17 47" xfId="37187" xr:uid="{00000000-0005-0000-0000-000043910000}"/>
    <cellStyle name="Normal 5 17 48" xfId="37188" xr:uid="{00000000-0005-0000-0000-000044910000}"/>
    <cellStyle name="Normal 5 17 49" xfId="37189" xr:uid="{00000000-0005-0000-0000-000045910000}"/>
    <cellStyle name="Normal 5 17 5" xfId="37190" xr:uid="{00000000-0005-0000-0000-000046910000}"/>
    <cellStyle name="Normal 5 17 5 10" xfId="37191" xr:uid="{00000000-0005-0000-0000-000047910000}"/>
    <cellStyle name="Normal 5 17 5 11" xfId="37192" xr:uid="{00000000-0005-0000-0000-000048910000}"/>
    <cellStyle name="Normal 5 17 5 12" xfId="37193" xr:uid="{00000000-0005-0000-0000-000049910000}"/>
    <cellStyle name="Normal 5 17 5 13" xfId="37194" xr:uid="{00000000-0005-0000-0000-00004A910000}"/>
    <cellStyle name="Normal 5 17 5 14" xfId="37195" xr:uid="{00000000-0005-0000-0000-00004B910000}"/>
    <cellStyle name="Normal 5 17 5 2" xfId="37196" xr:uid="{00000000-0005-0000-0000-00004C910000}"/>
    <cellStyle name="Normal 5 17 5 2 10" xfId="37197" xr:uid="{00000000-0005-0000-0000-00004D910000}"/>
    <cellStyle name="Normal 5 17 5 2 2" xfId="37198" xr:uid="{00000000-0005-0000-0000-00004E910000}"/>
    <cellStyle name="Normal 5 17 5 2 3" xfId="37199" xr:uid="{00000000-0005-0000-0000-00004F910000}"/>
    <cellStyle name="Normal 5 17 5 2 4" xfId="37200" xr:uid="{00000000-0005-0000-0000-000050910000}"/>
    <cellStyle name="Normal 5 17 5 2 5" xfId="37201" xr:uid="{00000000-0005-0000-0000-000051910000}"/>
    <cellStyle name="Normal 5 17 5 2 6" xfId="37202" xr:uid="{00000000-0005-0000-0000-000052910000}"/>
    <cellStyle name="Normal 5 17 5 2 7" xfId="37203" xr:uid="{00000000-0005-0000-0000-000053910000}"/>
    <cellStyle name="Normal 5 17 5 2 8" xfId="37204" xr:uid="{00000000-0005-0000-0000-000054910000}"/>
    <cellStyle name="Normal 5 17 5 2 9" xfId="37205" xr:uid="{00000000-0005-0000-0000-000055910000}"/>
    <cellStyle name="Normal 5 17 5 3" xfId="37206" xr:uid="{00000000-0005-0000-0000-000056910000}"/>
    <cellStyle name="Normal 5 17 5 3 10" xfId="37207" xr:uid="{00000000-0005-0000-0000-000057910000}"/>
    <cellStyle name="Normal 5 17 5 3 2" xfId="37208" xr:uid="{00000000-0005-0000-0000-000058910000}"/>
    <cellStyle name="Normal 5 17 5 3 3" xfId="37209" xr:uid="{00000000-0005-0000-0000-000059910000}"/>
    <cellStyle name="Normal 5 17 5 3 4" xfId="37210" xr:uid="{00000000-0005-0000-0000-00005A910000}"/>
    <cellStyle name="Normal 5 17 5 3 5" xfId="37211" xr:uid="{00000000-0005-0000-0000-00005B910000}"/>
    <cellStyle name="Normal 5 17 5 3 6" xfId="37212" xr:uid="{00000000-0005-0000-0000-00005C910000}"/>
    <cellStyle name="Normal 5 17 5 3 7" xfId="37213" xr:uid="{00000000-0005-0000-0000-00005D910000}"/>
    <cellStyle name="Normal 5 17 5 3 8" xfId="37214" xr:uid="{00000000-0005-0000-0000-00005E910000}"/>
    <cellStyle name="Normal 5 17 5 3 9" xfId="37215" xr:uid="{00000000-0005-0000-0000-00005F910000}"/>
    <cellStyle name="Normal 5 17 5 4" xfId="37216" xr:uid="{00000000-0005-0000-0000-000060910000}"/>
    <cellStyle name="Normal 5 17 5 4 10" xfId="37217" xr:uid="{00000000-0005-0000-0000-000061910000}"/>
    <cellStyle name="Normal 5 17 5 4 2" xfId="37218" xr:uid="{00000000-0005-0000-0000-000062910000}"/>
    <cellStyle name="Normal 5 17 5 4 3" xfId="37219" xr:uid="{00000000-0005-0000-0000-000063910000}"/>
    <cellStyle name="Normal 5 17 5 4 4" xfId="37220" xr:uid="{00000000-0005-0000-0000-000064910000}"/>
    <cellStyle name="Normal 5 17 5 4 5" xfId="37221" xr:uid="{00000000-0005-0000-0000-000065910000}"/>
    <cellStyle name="Normal 5 17 5 4 6" xfId="37222" xr:uid="{00000000-0005-0000-0000-000066910000}"/>
    <cellStyle name="Normal 5 17 5 4 7" xfId="37223" xr:uid="{00000000-0005-0000-0000-000067910000}"/>
    <cellStyle name="Normal 5 17 5 4 8" xfId="37224" xr:uid="{00000000-0005-0000-0000-000068910000}"/>
    <cellStyle name="Normal 5 17 5 4 9" xfId="37225" xr:uid="{00000000-0005-0000-0000-000069910000}"/>
    <cellStyle name="Normal 5 17 5 5" xfId="37226" xr:uid="{00000000-0005-0000-0000-00006A910000}"/>
    <cellStyle name="Normal 5 17 5 5 10" xfId="37227" xr:uid="{00000000-0005-0000-0000-00006B910000}"/>
    <cellStyle name="Normal 5 17 5 5 2" xfId="37228" xr:uid="{00000000-0005-0000-0000-00006C910000}"/>
    <cellStyle name="Normal 5 17 5 5 3" xfId="37229" xr:uid="{00000000-0005-0000-0000-00006D910000}"/>
    <cellStyle name="Normal 5 17 5 5 4" xfId="37230" xr:uid="{00000000-0005-0000-0000-00006E910000}"/>
    <cellStyle name="Normal 5 17 5 5 5" xfId="37231" xr:uid="{00000000-0005-0000-0000-00006F910000}"/>
    <cellStyle name="Normal 5 17 5 5 6" xfId="37232" xr:uid="{00000000-0005-0000-0000-000070910000}"/>
    <cellStyle name="Normal 5 17 5 5 7" xfId="37233" xr:uid="{00000000-0005-0000-0000-000071910000}"/>
    <cellStyle name="Normal 5 17 5 5 8" xfId="37234" xr:uid="{00000000-0005-0000-0000-000072910000}"/>
    <cellStyle name="Normal 5 17 5 5 9" xfId="37235" xr:uid="{00000000-0005-0000-0000-000073910000}"/>
    <cellStyle name="Normal 5 17 5 6" xfId="37236" xr:uid="{00000000-0005-0000-0000-000074910000}"/>
    <cellStyle name="Normal 5 17 5 7" xfId="37237" xr:uid="{00000000-0005-0000-0000-000075910000}"/>
    <cellStyle name="Normal 5 17 5 8" xfId="37238" xr:uid="{00000000-0005-0000-0000-000076910000}"/>
    <cellStyle name="Normal 5 17 5 9" xfId="37239" xr:uid="{00000000-0005-0000-0000-000077910000}"/>
    <cellStyle name="Normal 5 17 6" xfId="37240" xr:uid="{00000000-0005-0000-0000-000078910000}"/>
    <cellStyle name="Normal 5 17 6 10" xfId="37241" xr:uid="{00000000-0005-0000-0000-000079910000}"/>
    <cellStyle name="Normal 5 17 6 11" xfId="37242" xr:uid="{00000000-0005-0000-0000-00007A910000}"/>
    <cellStyle name="Normal 5 17 6 12" xfId="37243" xr:uid="{00000000-0005-0000-0000-00007B910000}"/>
    <cellStyle name="Normal 5 17 6 13" xfId="37244" xr:uid="{00000000-0005-0000-0000-00007C910000}"/>
    <cellStyle name="Normal 5 17 6 14" xfId="37245" xr:uid="{00000000-0005-0000-0000-00007D910000}"/>
    <cellStyle name="Normal 5 17 6 2" xfId="37246" xr:uid="{00000000-0005-0000-0000-00007E910000}"/>
    <cellStyle name="Normal 5 17 6 2 10" xfId="37247" xr:uid="{00000000-0005-0000-0000-00007F910000}"/>
    <cellStyle name="Normal 5 17 6 2 2" xfId="37248" xr:uid="{00000000-0005-0000-0000-000080910000}"/>
    <cellStyle name="Normal 5 17 6 2 3" xfId="37249" xr:uid="{00000000-0005-0000-0000-000081910000}"/>
    <cellStyle name="Normal 5 17 6 2 4" xfId="37250" xr:uid="{00000000-0005-0000-0000-000082910000}"/>
    <cellStyle name="Normal 5 17 6 2 5" xfId="37251" xr:uid="{00000000-0005-0000-0000-000083910000}"/>
    <cellStyle name="Normal 5 17 6 2 6" xfId="37252" xr:uid="{00000000-0005-0000-0000-000084910000}"/>
    <cellStyle name="Normal 5 17 6 2 7" xfId="37253" xr:uid="{00000000-0005-0000-0000-000085910000}"/>
    <cellStyle name="Normal 5 17 6 2 8" xfId="37254" xr:uid="{00000000-0005-0000-0000-000086910000}"/>
    <cellStyle name="Normal 5 17 6 2 9" xfId="37255" xr:uid="{00000000-0005-0000-0000-000087910000}"/>
    <cellStyle name="Normal 5 17 6 3" xfId="37256" xr:uid="{00000000-0005-0000-0000-000088910000}"/>
    <cellStyle name="Normal 5 17 6 3 10" xfId="37257" xr:uid="{00000000-0005-0000-0000-000089910000}"/>
    <cellStyle name="Normal 5 17 6 3 2" xfId="37258" xr:uid="{00000000-0005-0000-0000-00008A910000}"/>
    <cellStyle name="Normal 5 17 6 3 3" xfId="37259" xr:uid="{00000000-0005-0000-0000-00008B910000}"/>
    <cellStyle name="Normal 5 17 6 3 4" xfId="37260" xr:uid="{00000000-0005-0000-0000-00008C910000}"/>
    <cellStyle name="Normal 5 17 6 3 5" xfId="37261" xr:uid="{00000000-0005-0000-0000-00008D910000}"/>
    <cellStyle name="Normal 5 17 6 3 6" xfId="37262" xr:uid="{00000000-0005-0000-0000-00008E910000}"/>
    <cellStyle name="Normal 5 17 6 3 7" xfId="37263" xr:uid="{00000000-0005-0000-0000-00008F910000}"/>
    <cellStyle name="Normal 5 17 6 3 8" xfId="37264" xr:uid="{00000000-0005-0000-0000-000090910000}"/>
    <cellStyle name="Normal 5 17 6 3 9" xfId="37265" xr:uid="{00000000-0005-0000-0000-000091910000}"/>
    <cellStyle name="Normal 5 17 6 4" xfId="37266" xr:uid="{00000000-0005-0000-0000-000092910000}"/>
    <cellStyle name="Normal 5 17 6 4 10" xfId="37267" xr:uid="{00000000-0005-0000-0000-000093910000}"/>
    <cellStyle name="Normal 5 17 6 4 2" xfId="37268" xr:uid="{00000000-0005-0000-0000-000094910000}"/>
    <cellStyle name="Normal 5 17 6 4 3" xfId="37269" xr:uid="{00000000-0005-0000-0000-000095910000}"/>
    <cellStyle name="Normal 5 17 6 4 4" xfId="37270" xr:uid="{00000000-0005-0000-0000-000096910000}"/>
    <cellStyle name="Normal 5 17 6 4 5" xfId="37271" xr:uid="{00000000-0005-0000-0000-000097910000}"/>
    <cellStyle name="Normal 5 17 6 4 6" xfId="37272" xr:uid="{00000000-0005-0000-0000-000098910000}"/>
    <cellStyle name="Normal 5 17 6 4 7" xfId="37273" xr:uid="{00000000-0005-0000-0000-000099910000}"/>
    <cellStyle name="Normal 5 17 6 4 8" xfId="37274" xr:uid="{00000000-0005-0000-0000-00009A910000}"/>
    <cellStyle name="Normal 5 17 6 4 9" xfId="37275" xr:uid="{00000000-0005-0000-0000-00009B910000}"/>
    <cellStyle name="Normal 5 17 6 5" xfId="37276" xr:uid="{00000000-0005-0000-0000-00009C910000}"/>
    <cellStyle name="Normal 5 17 6 5 10" xfId="37277" xr:uid="{00000000-0005-0000-0000-00009D910000}"/>
    <cellStyle name="Normal 5 17 6 5 2" xfId="37278" xr:uid="{00000000-0005-0000-0000-00009E910000}"/>
    <cellStyle name="Normal 5 17 6 5 3" xfId="37279" xr:uid="{00000000-0005-0000-0000-00009F910000}"/>
    <cellStyle name="Normal 5 17 6 5 4" xfId="37280" xr:uid="{00000000-0005-0000-0000-0000A0910000}"/>
    <cellStyle name="Normal 5 17 6 5 5" xfId="37281" xr:uid="{00000000-0005-0000-0000-0000A1910000}"/>
    <cellStyle name="Normal 5 17 6 5 6" xfId="37282" xr:uid="{00000000-0005-0000-0000-0000A2910000}"/>
    <cellStyle name="Normal 5 17 6 5 7" xfId="37283" xr:uid="{00000000-0005-0000-0000-0000A3910000}"/>
    <cellStyle name="Normal 5 17 6 5 8" xfId="37284" xr:uid="{00000000-0005-0000-0000-0000A4910000}"/>
    <cellStyle name="Normal 5 17 6 5 9" xfId="37285" xr:uid="{00000000-0005-0000-0000-0000A5910000}"/>
    <cellStyle name="Normal 5 17 6 6" xfId="37286" xr:uid="{00000000-0005-0000-0000-0000A6910000}"/>
    <cellStyle name="Normal 5 17 6 7" xfId="37287" xr:uid="{00000000-0005-0000-0000-0000A7910000}"/>
    <cellStyle name="Normal 5 17 6 8" xfId="37288" xr:uid="{00000000-0005-0000-0000-0000A8910000}"/>
    <cellStyle name="Normal 5 17 6 9" xfId="37289" xr:uid="{00000000-0005-0000-0000-0000A9910000}"/>
    <cellStyle name="Normal 5 17 7" xfId="37290" xr:uid="{00000000-0005-0000-0000-0000AA910000}"/>
    <cellStyle name="Normal 5 17 7 10" xfId="37291" xr:uid="{00000000-0005-0000-0000-0000AB910000}"/>
    <cellStyle name="Normal 5 17 7 11" xfId="37292" xr:uid="{00000000-0005-0000-0000-0000AC910000}"/>
    <cellStyle name="Normal 5 17 7 12" xfId="37293" xr:uid="{00000000-0005-0000-0000-0000AD910000}"/>
    <cellStyle name="Normal 5 17 7 13" xfId="37294" xr:uid="{00000000-0005-0000-0000-0000AE910000}"/>
    <cellStyle name="Normal 5 17 7 14" xfId="37295" xr:uid="{00000000-0005-0000-0000-0000AF910000}"/>
    <cellStyle name="Normal 5 17 7 2" xfId="37296" xr:uid="{00000000-0005-0000-0000-0000B0910000}"/>
    <cellStyle name="Normal 5 17 7 2 10" xfId="37297" xr:uid="{00000000-0005-0000-0000-0000B1910000}"/>
    <cellStyle name="Normal 5 17 7 2 2" xfId="37298" xr:uid="{00000000-0005-0000-0000-0000B2910000}"/>
    <cellStyle name="Normal 5 17 7 2 3" xfId="37299" xr:uid="{00000000-0005-0000-0000-0000B3910000}"/>
    <cellStyle name="Normal 5 17 7 2 4" xfId="37300" xr:uid="{00000000-0005-0000-0000-0000B4910000}"/>
    <cellStyle name="Normal 5 17 7 2 5" xfId="37301" xr:uid="{00000000-0005-0000-0000-0000B5910000}"/>
    <cellStyle name="Normal 5 17 7 2 6" xfId="37302" xr:uid="{00000000-0005-0000-0000-0000B6910000}"/>
    <cellStyle name="Normal 5 17 7 2 7" xfId="37303" xr:uid="{00000000-0005-0000-0000-0000B7910000}"/>
    <cellStyle name="Normal 5 17 7 2 8" xfId="37304" xr:uid="{00000000-0005-0000-0000-0000B8910000}"/>
    <cellStyle name="Normal 5 17 7 2 9" xfId="37305" xr:uid="{00000000-0005-0000-0000-0000B9910000}"/>
    <cellStyle name="Normal 5 17 7 3" xfId="37306" xr:uid="{00000000-0005-0000-0000-0000BA910000}"/>
    <cellStyle name="Normal 5 17 7 3 10" xfId="37307" xr:uid="{00000000-0005-0000-0000-0000BB910000}"/>
    <cellStyle name="Normal 5 17 7 3 2" xfId="37308" xr:uid="{00000000-0005-0000-0000-0000BC910000}"/>
    <cellStyle name="Normal 5 17 7 3 3" xfId="37309" xr:uid="{00000000-0005-0000-0000-0000BD910000}"/>
    <cellStyle name="Normal 5 17 7 3 4" xfId="37310" xr:uid="{00000000-0005-0000-0000-0000BE910000}"/>
    <cellStyle name="Normal 5 17 7 3 5" xfId="37311" xr:uid="{00000000-0005-0000-0000-0000BF910000}"/>
    <cellStyle name="Normal 5 17 7 3 6" xfId="37312" xr:uid="{00000000-0005-0000-0000-0000C0910000}"/>
    <cellStyle name="Normal 5 17 7 3 7" xfId="37313" xr:uid="{00000000-0005-0000-0000-0000C1910000}"/>
    <cellStyle name="Normal 5 17 7 3 8" xfId="37314" xr:uid="{00000000-0005-0000-0000-0000C2910000}"/>
    <cellStyle name="Normal 5 17 7 3 9" xfId="37315" xr:uid="{00000000-0005-0000-0000-0000C3910000}"/>
    <cellStyle name="Normal 5 17 7 4" xfId="37316" xr:uid="{00000000-0005-0000-0000-0000C4910000}"/>
    <cellStyle name="Normal 5 17 7 4 10" xfId="37317" xr:uid="{00000000-0005-0000-0000-0000C5910000}"/>
    <cellStyle name="Normal 5 17 7 4 2" xfId="37318" xr:uid="{00000000-0005-0000-0000-0000C6910000}"/>
    <cellStyle name="Normal 5 17 7 4 3" xfId="37319" xr:uid="{00000000-0005-0000-0000-0000C7910000}"/>
    <cellStyle name="Normal 5 17 7 4 4" xfId="37320" xr:uid="{00000000-0005-0000-0000-0000C8910000}"/>
    <cellStyle name="Normal 5 17 7 4 5" xfId="37321" xr:uid="{00000000-0005-0000-0000-0000C9910000}"/>
    <cellStyle name="Normal 5 17 7 4 6" xfId="37322" xr:uid="{00000000-0005-0000-0000-0000CA910000}"/>
    <cellStyle name="Normal 5 17 7 4 7" xfId="37323" xr:uid="{00000000-0005-0000-0000-0000CB910000}"/>
    <cellStyle name="Normal 5 17 7 4 8" xfId="37324" xr:uid="{00000000-0005-0000-0000-0000CC910000}"/>
    <cellStyle name="Normal 5 17 7 4 9" xfId="37325" xr:uid="{00000000-0005-0000-0000-0000CD910000}"/>
    <cellStyle name="Normal 5 17 7 5" xfId="37326" xr:uid="{00000000-0005-0000-0000-0000CE910000}"/>
    <cellStyle name="Normal 5 17 7 5 10" xfId="37327" xr:uid="{00000000-0005-0000-0000-0000CF910000}"/>
    <cellStyle name="Normal 5 17 7 5 2" xfId="37328" xr:uid="{00000000-0005-0000-0000-0000D0910000}"/>
    <cellStyle name="Normal 5 17 7 5 3" xfId="37329" xr:uid="{00000000-0005-0000-0000-0000D1910000}"/>
    <cellStyle name="Normal 5 17 7 5 4" xfId="37330" xr:uid="{00000000-0005-0000-0000-0000D2910000}"/>
    <cellStyle name="Normal 5 17 7 5 5" xfId="37331" xr:uid="{00000000-0005-0000-0000-0000D3910000}"/>
    <cellStyle name="Normal 5 17 7 5 6" xfId="37332" xr:uid="{00000000-0005-0000-0000-0000D4910000}"/>
    <cellStyle name="Normal 5 17 7 5 7" xfId="37333" xr:uid="{00000000-0005-0000-0000-0000D5910000}"/>
    <cellStyle name="Normal 5 17 7 5 8" xfId="37334" xr:uid="{00000000-0005-0000-0000-0000D6910000}"/>
    <cellStyle name="Normal 5 17 7 5 9" xfId="37335" xr:uid="{00000000-0005-0000-0000-0000D7910000}"/>
    <cellStyle name="Normal 5 17 7 6" xfId="37336" xr:uid="{00000000-0005-0000-0000-0000D8910000}"/>
    <cellStyle name="Normal 5 17 7 7" xfId="37337" xr:uid="{00000000-0005-0000-0000-0000D9910000}"/>
    <cellStyle name="Normal 5 17 7 8" xfId="37338" xr:uid="{00000000-0005-0000-0000-0000DA910000}"/>
    <cellStyle name="Normal 5 17 7 9" xfId="37339" xr:uid="{00000000-0005-0000-0000-0000DB910000}"/>
    <cellStyle name="Normal 5 17 8" xfId="37340" xr:uid="{00000000-0005-0000-0000-0000DC910000}"/>
    <cellStyle name="Normal 5 17 8 10" xfId="37341" xr:uid="{00000000-0005-0000-0000-0000DD910000}"/>
    <cellStyle name="Normal 5 17 8 11" xfId="37342" xr:uid="{00000000-0005-0000-0000-0000DE910000}"/>
    <cellStyle name="Normal 5 17 8 12" xfId="37343" xr:uid="{00000000-0005-0000-0000-0000DF910000}"/>
    <cellStyle name="Normal 5 17 8 13" xfId="37344" xr:uid="{00000000-0005-0000-0000-0000E0910000}"/>
    <cellStyle name="Normal 5 17 8 14" xfId="37345" xr:uid="{00000000-0005-0000-0000-0000E1910000}"/>
    <cellStyle name="Normal 5 17 8 2" xfId="37346" xr:uid="{00000000-0005-0000-0000-0000E2910000}"/>
    <cellStyle name="Normal 5 17 8 2 10" xfId="37347" xr:uid="{00000000-0005-0000-0000-0000E3910000}"/>
    <cellStyle name="Normal 5 17 8 2 2" xfId="37348" xr:uid="{00000000-0005-0000-0000-0000E4910000}"/>
    <cellStyle name="Normal 5 17 8 2 3" xfId="37349" xr:uid="{00000000-0005-0000-0000-0000E5910000}"/>
    <cellStyle name="Normal 5 17 8 2 4" xfId="37350" xr:uid="{00000000-0005-0000-0000-0000E6910000}"/>
    <cellStyle name="Normal 5 17 8 2 5" xfId="37351" xr:uid="{00000000-0005-0000-0000-0000E7910000}"/>
    <cellStyle name="Normal 5 17 8 2 6" xfId="37352" xr:uid="{00000000-0005-0000-0000-0000E8910000}"/>
    <cellStyle name="Normal 5 17 8 2 7" xfId="37353" xr:uid="{00000000-0005-0000-0000-0000E9910000}"/>
    <cellStyle name="Normal 5 17 8 2 8" xfId="37354" xr:uid="{00000000-0005-0000-0000-0000EA910000}"/>
    <cellStyle name="Normal 5 17 8 2 9" xfId="37355" xr:uid="{00000000-0005-0000-0000-0000EB910000}"/>
    <cellStyle name="Normal 5 17 8 3" xfId="37356" xr:uid="{00000000-0005-0000-0000-0000EC910000}"/>
    <cellStyle name="Normal 5 17 8 3 10" xfId="37357" xr:uid="{00000000-0005-0000-0000-0000ED910000}"/>
    <cellStyle name="Normal 5 17 8 3 2" xfId="37358" xr:uid="{00000000-0005-0000-0000-0000EE910000}"/>
    <cellStyle name="Normal 5 17 8 3 3" xfId="37359" xr:uid="{00000000-0005-0000-0000-0000EF910000}"/>
    <cellStyle name="Normal 5 17 8 3 4" xfId="37360" xr:uid="{00000000-0005-0000-0000-0000F0910000}"/>
    <cellStyle name="Normal 5 17 8 3 5" xfId="37361" xr:uid="{00000000-0005-0000-0000-0000F1910000}"/>
    <cellStyle name="Normal 5 17 8 3 6" xfId="37362" xr:uid="{00000000-0005-0000-0000-0000F2910000}"/>
    <cellStyle name="Normal 5 17 8 3 7" xfId="37363" xr:uid="{00000000-0005-0000-0000-0000F3910000}"/>
    <cellStyle name="Normal 5 17 8 3 8" xfId="37364" xr:uid="{00000000-0005-0000-0000-0000F4910000}"/>
    <cellStyle name="Normal 5 17 8 3 9" xfId="37365" xr:uid="{00000000-0005-0000-0000-0000F5910000}"/>
    <cellStyle name="Normal 5 17 8 4" xfId="37366" xr:uid="{00000000-0005-0000-0000-0000F6910000}"/>
    <cellStyle name="Normal 5 17 8 4 10" xfId="37367" xr:uid="{00000000-0005-0000-0000-0000F7910000}"/>
    <cellStyle name="Normal 5 17 8 4 2" xfId="37368" xr:uid="{00000000-0005-0000-0000-0000F8910000}"/>
    <cellStyle name="Normal 5 17 8 4 3" xfId="37369" xr:uid="{00000000-0005-0000-0000-0000F9910000}"/>
    <cellStyle name="Normal 5 17 8 4 4" xfId="37370" xr:uid="{00000000-0005-0000-0000-0000FA910000}"/>
    <cellStyle name="Normal 5 17 8 4 5" xfId="37371" xr:uid="{00000000-0005-0000-0000-0000FB910000}"/>
    <cellStyle name="Normal 5 17 8 4 6" xfId="37372" xr:uid="{00000000-0005-0000-0000-0000FC910000}"/>
    <cellStyle name="Normal 5 17 8 4 7" xfId="37373" xr:uid="{00000000-0005-0000-0000-0000FD910000}"/>
    <cellStyle name="Normal 5 17 8 4 8" xfId="37374" xr:uid="{00000000-0005-0000-0000-0000FE910000}"/>
    <cellStyle name="Normal 5 17 8 4 9" xfId="37375" xr:uid="{00000000-0005-0000-0000-0000FF910000}"/>
    <cellStyle name="Normal 5 17 8 5" xfId="37376" xr:uid="{00000000-0005-0000-0000-000000920000}"/>
    <cellStyle name="Normal 5 17 8 5 10" xfId="37377" xr:uid="{00000000-0005-0000-0000-000001920000}"/>
    <cellStyle name="Normal 5 17 8 5 2" xfId="37378" xr:uid="{00000000-0005-0000-0000-000002920000}"/>
    <cellStyle name="Normal 5 17 8 5 3" xfId="37379" xr:uid="{00000000-0005-0000-0000-000003920000}"/>
    <cellStyle name="Normal 5 17 8 5 4" xfId="37380" xr:uid="{00000000-0005-0000-0000-000004920000}"/>
    <cellStyle name="Normal 5 17 8 5 5" xfId="37381" xr:uid="{00000000-0005-0000-0000-000005920000}"/>
    <cellStyle name="Normal 5 17 8 5 6" xfId="37382" xr:uid="{00000000-0005-0000-0000-000006920000}"/>
    <cellStyle name="Normal 5 17 8 5 7" xfId="37383" xr:uid="{00000000-0005-0000-0000-000007920000}"/>
    <cellStyle name="Normal 5 17 8 5 8" xfId="37384" xr:uid="{00000000-0005-0000-0000-000008920000}"/>
    <cellStyle name="Normal 5 17 8 5 9" xfId="37385" xr:uid="{00000000-0005-0000-0000-000009920000}"/>
    <cellStyle name="Normal 5 17 8 6" xfId="37386" xr:uid="{00000000-0005-0000-0000-00000A920000}"/>
    <cellStyle name="Normal 5 17 8 7" xfId="37387" xr:uid="{00000000-0005-0000-0000-00000B920000}"/>
    <cellStyle name="Normal 5 17 8 8" xfId="37388" xr:uid="{00000000-0005-0000-0000-00000C920000}"/>
    <cellStyle name="Normal 5 17 8 9" xfId="37389" xr:uid="{00000000-0005-0000-0000-00000D920000}"/>
    <cellStyle name="Normal 5 17 9" xfId="37390" xr:uid="{00000000-0005-0000-0000-00000E920000}"/>
    <cellStyle name="Normal 5 17 9 10" xfId="37391" xr:uid="{00000000-0005-0000-0000-00000F920000}"/>
    <cellStyle name="Normal 5 17 9 11" xfId="37392" xr:uid="{00000000-0005-0000-0000-000010920000}"/>
    <cellStyle name="Normal 5 17 9 12" xfId="37393" xr:uid="{00000000-0005-0000-0000-000011920000}"/>
    <cellStyle name="Normal 5 17 9 13" xfId="37394" xr:uid="{00000000-0005-0000-0000-000012920000}"/>
    <cellStyle name="Normal 5 17 9 14" xfId="37395" xr:uid="{00000000-0005-0000-0000-000013920000}"/>
    <cellStyle name="Normal 5 17 9 2" xfId="37396" xr:uid="{00000000-0005-0000-0000-000014920000}"/>
    <cellStyle name="Normal 5 17 9 2 10" xfId="37397" xr:uid="{00000000-0005-0000-0000-000015920000}"/>
    <cellStyle name="Normal 5 17 9 2 2" xfId="37398" xr:uid="{00000000-0005-0000-0000-000016920000}"/>
    <cellStyle name="Normal 5 17 9 2 3" xfId="37399" xr:uid="{00000000-0005-0000-0000-000017920000}"/>
    <cellStyle name="Normal 5 17 9 2 4" xfId="37400" xr:uid="{00000000-0005-0000-0000-000018920000}"/>
    <cellStyle name="Normal 5 17 9 2 5" xfId="37401" xr:uid="{00000000-0005-0000-0000-000019920000}"/>
    <cellStyle name="Normal 5 17 9 2 6" xfId="37402" xr:uid="{00000000-0005-0000-0000-00001A920000}"/>
    <cellStyle name="Normal 5 17 9 2 7" xfId="37403" xr:uid="{00000000-0005-0000-0000-00001B920000}"/>
    <cellStyle name="Normal 5 17 9 2 8" xfId="37404" xr:uid="{00000000-0005-0000-0000-00001C920000}"/>
    <cellStyle name="Normal 5 17 9 2 9" xfId="37405" xr:uid="{00000000-0005-0000-0000-00001D920000}"/>
    <cellStyle name="Normal 5 17 9 3" xfId="37406" xr:uid="{00000000-0005-0000-0000-00001E920000}"/>
    <cellStyle name="Normal 5 17 9 3 10" xfId="37407" xr:uid="{00000000-0005-0000-0000-00001F920000}"/>
    <cellStyle name="Normal 5 17 9 3 2" xfId="37408" xr:uid="{00000000-0005-0000-0000-000020920000}"/>
    <cellStyle name="Normal 5 17 9 3 3" xfId="37409" xr:uid="{00000000-0005-0000-0000-000021920000}"/>
    <cellStyle name="Normal 5 17 9 3 4" xfId="37410" xr:uid="{00000000-0005-0000-0000-000022920000}"/>
    <cellStyle name="Normal 5 17 9 3 5" xfId="37411" xr:uid="{00000000-0005-0000-0000-000023920000}"/>
    <cellStyle name="Normal 5 17 9 3 6" xfId="37412" xr:uid="{00000000-0005-0000-0000-000024920000}"/>
    <cellStyle name="Normal 5 17 9 3 7" xfId="37413" xr:uid="{00000000-0005-0000-0000-000025920000}"/>
    <cellStyle name="Normal 5 17 9 3 8" xfId="37414" xr:uid="{00000000-0005-0000-0000-000026920000}"/>
    <cellStyle name="Normal 5 17 9 3 9" xfId="37415" xr:uid="{00000000-0005-0000-0000-000027920000}"/>
    <cellStyle name="Normal 5 17 9 4" xfId="37416" xr:uid="{00000000-0005-0000-0000-000028920000}"/>
    <cellStyle name="Normal 5 17 9 4 10" xfId="37417" xr:uid="{00000000-0005-0000-0000-000029920000}"/>
    <cellStyle name="Normal 5 17 9 4 2" xfId="37418" xr:uid="{00000000-0005-0000-0000-00002A920000}"/>
    <cellStyle name="Normal 5 17 9 4 3" xfId="37419" xr:uid="{00000000-0005-0000-0000-00002B920000}"/>
    <cellStyle name="Normal 5 17 9 4 4" xfId="37420" xr:uid="{00000000-0005-0000-0000-00002C920000}"/>
    <cellStyle name="Normal 5 17 9 4 5" xfId="37421" xr:uid="{00000000-0005-0000-0000-00002D920000}"/>
    <cellStyle name="Normal 5 17 9 4 6" xfId="37422" xr:uid="{00000000-0005-0000-0000-00002E920000}"/>
    <cellStyle name="Normal 5 17 9 4 7" xfId="37423" xr:uid="{00000000-0005-0000-0000-00002F920000}"/>
    <cellStyle name="Normal 5 17 9 4 8" xfId="37424" xr:uid="{00000000-0005-0000-0000-000030920000}"/>
    <cellStyle name="Normal 5 17 9 4 9" xfId="37425" xr:uid="{00000000-0005-0000-0000-000031920000}"/>
    <cellStyle name="Normal 5 17 9 5" xfId="37426" xr:uid="{00000000-0005-0000-0000-000032920000}"/>
    <cellStyle name="Normal 5 17 9 5 10" xfId="37427" xr:uid="{00000000-0005-0000-0000-000033920000}"/>
    <cellStyle name="Normal 5 17 9 5 2" xfId="37428" xr:uid="{00000000-0005-0000-0000-000034920000}"/>
    <cellStyle name="Normal 5 17 9 5 3" xfId="37429" xr:uid="{00000000-0005-0000-0000-000035920000}"/>
    <cellStyle name="Normal 5 17 9 5 4" xfId="37430" xr:uid="{00000000-0005-0000-0000-000036920000}"/>
    <cellStyle name="Normal 5 17 9 5 5" xfId="37431" xr:uid="{00000000-0005-0000-0000-000037920000}"/>
    <cellStyle name="Normal 5 17 9 5 6" xfId="37432" xr:uid="{00000000-0005-0000-0000-000038920000}"/>
    <cellStyle name="Normal 5 17 9 5 7" xfId="37433" xr:uid="{00000000-0005-0000-0000-000039920000}"/>
    <cellStyle name="Normal 5 17 9 5 8" xfId="37434" xr:uid="{00000000-0005-0000-0000-00003A920000}"/>
    <cellStyle name="Normal 5 17 9 5 9" xfId="37435" xr:uid="{00000000-0005-0000-0000-00003B920000}"/>
    <cellStyle name="Normal 5 17 9 6" xfId="37436" xr:uid="{00000000-0005-0000-0000-00003C920000}"/>
    <cellStyle name="Normal 5 17 9 7" xfId="37437" xr:uid="{00000000-0005-0000-0000-00003D920000}"/>
    <cellStyle name="Normal 5 17 9 8" xfId="37438" xr:uid="{00000000-0005-0000-0000-00003E920000}"/>
    <cellStyle name="Normal 5 17 9 9" xfId="37439" xr:uid="{00000000-0005-0000-0000-00003F920000}"/>
    <cellStyle name="Normal 5 18" xfId="37440" xr:uid="{00000000-0005-0000-0000-000040920000}"/>
    <cellStyle name="Normal 5 18 2" xfId="37441" xr:uid="{00000000-0005-0000-0000-000041920000}"/>
    <cellStyle name="Normal 5 18 2 2" xfId="37442" xr:uid="{00000000-0005-0000-0000-000042920000}"/>
    <cellStyle name="Normal 5 18 3" xfId="37443" xr:uid="{00000000-0005-0000-0000-000043920000}"/>
    <cellStyle name="Normal 5 18 4" xfId="37444" xr:uid="{00000000-0005-0000-0000-000044920000}"/>
    <cellStyle name="Normal 5 19" xfId="37445" xr:uid="{00000000-0005-0000-0000-000045920000}"/>
    <cellStyle name="Normal 5 19 2" xfId="37446" xr:uid="{00000000-0005-0000-0000-000046920000}"/>
    <cellStyle name="Normal 5 19 2 2" xfId="37447" xr:uid="{00000000-0005-0000-0000-000047920000}"/>
    <cellStyle name="Normal 5 19 3" xfId="37448" xr:uid="{00000000-0005-0000-0000-000048920000}"/>
    <cellStyle name="Normal 5 19 4" xfId="37449" xr:uid="{00000000-0005-0000-0000-000049920000}"/>
    <cellStyle name="Normal 5 2" xfId="27" xr:uid="{00000000-0005-0000-0000-00001B000000}"/>
    <cellStyle name="Normal 5 2 10" xfId="37451" xr:uid="{00000000-0005-0000-0000-00004B920000}"/>
    <cellStyle name="Normal 5 2 11" xfId="37452" xr:uid="{00000000-0005-0000-0000-00004C920000}"/>
    <cellStyle name="Normal 5 2 12" xfId="37453" xr:uid="{00000000-0005-0000-0000-00004D920000}"/>
    <cellStyle name="Normal 5 2 13" xfId="37454" xr:uid="{00000000-0005-0000-0000-00004E920000}"/>
    <cellStyle name="Normal 5 2 14" xfId="37455" xr:uid="{00000000-0005-0000-0000-00004F920000}"/>
    <cellStyle name="Normal 5 2 15" xfId="37456" xr:uid="{00000000-0005-0000-0000-000050920000}"/>
    <cellStyle name="Normal 5 2 16" xfId="37457" xr:uid="{00000000-0005-0000-0000-000051920000}"/>
    <cellStyle name="Normal 5 2 17" xfId="37458" xr:uid="{00000000-0005-0000-0000-000052920000}"/>
    <cellStyle name="Normal 5 2 18" xfId="37459" xr:uid="{00000000-0005-0000-0000-000053920000}"/>
    <cellStyle name="Normal 5 2 19" xfId="37460" xr:uid="{00000000-0005-0000-0000-000054920000}"/>
    <cellStyle name="Normal 5 2 2" xfId="61" xr:uid="{00000000-0005-0000-0000-00003D000000}"/>
    <cellStyle name="Normal 5 2 2 2" xfId="37462" xr:uid="{00000000-0005-0000-0000-000056920000}"/>
    <cellStyle name="Normal 5 2 2 2 2" xfId="37463" xr:uid="{00000000-0005-0000-0000-000057920000}"/>
    <cellStyle name="Normal 5 2 2 3" xfId="37461" xr:uid="{00000000-0005-0000-0000-000055920000}"/>
    <cellStyle name="Normal 5 2 20" xfId="37464" xr:uid="{00000000-0005-0000-0000-000058920000}"/>
    <cellStyle name="Normal 5 2 21" xfId="37465" xr:uid="{00000000-0005-0000-0000-000059920000}"/>
    <cellStyle name="Normal 5 2 22" xfId="37466" xr:uid="{00000000-0005-0000-0000-00005A920000}"/>
    <cellStyle name="Normal 5 2 23" xfId="37467" xr:uid="{00000000-0005-0000-0000-00005B920000}"/>
    <cellStyle name="Normal 5 2 24" xfId="37468" xr:uid="{00000000-0005-0000-0000-00005C920000}"/>
    <cellStyle name="Normal 5 2 25" xfId="37469" xr:uid="{00000000-0005-0000-0000-00005D920000}"/>
    <cellStyle name="Normal 5 2 26" xfId="37470" xr:uid="{00000000-0005-0000-0000-00005E920000}"/>
    <cellStyle name="Normal 5 2 27" xfId="37471" xr:uid="{00000000-0005-0000-0000-00005F920000}"/>
    <cellStyle name="Normal 5 2 28" xfId="37472" xr:uid="{00000000-0005-0000-0000-000060920000}"/>
    <cellStyle name="Normal 5 2 29" xfId="37473" xr:uid="{00000000-0005-0000-0000-000061920000}"/>
    <cellStyle name="Normal 5 2 3" xfId="37474" xr:uid="{00000000-0005-0000-0000-000062920000}"/>
    <cellStyle name="Normal 5 2 30" xfId="37475" xr:uid="{00000000-0005-0000-0000-000063920000}"/>
    <cellStyle name="Normal 5 2 31" xfId="37476" xr:uid="{00000000-0005-0000-0000-000064920000}"/>
    <cellStyle name="Normal 5 2 32" xfId="37477" xr:uid="{00000000-0005-0000-0000-000065920000}"/>
    <cellStyle name="Normal 5 2 33" xfId="37478" xr:uid="{00000000-0005-0000-0000-000066920000}"/>
    <cellStyle name="Normal 5 2 34" xfId="37479" xr:uid="{00000000-0005-0000-0000-000067920000}"/>
    <cellStyle name="Normal 5 2 35" xfId="37480" xr:uid="{00000000-0005-0000-0000-000068920000}"/>
    <cellStyle name="Normal 5 2 36" xfId="37481" xr:uid="{00000000-0005-0000-0000-000069920000}"/>
    <cellStyle name="Normal 5 2 37" xfId="37482" xr:uid="{00000000-0005-0000-0000-00006A920000}"/>
    <cellStyle name="Normal 5 2 38" xfId="37483" xr:uid="{00000000-0005-0000-0000-00006B920000}"/>
    <cellStyle name="Normal 5 2 39" xfId="37484" xr:uid="{00000000-0005-0000-0000-00006C920000}"/>
    <cellStyle name="Normal 5 2 4" xfId="37485" xr:uid="{00000000-0005-0000-0000-00006D920000}"/>
    <cellStyle name="Normal 5 2 40" xfId="37486" xr:uid="{00000000-0005-0000-0000-00006E920000}"/>
    <cellStyle name="Normal 5 2 41" xfId="37487" xr:uid="{00000000-0005-0000-0000-00006F920000}"/>
    <cellStyle name="Normal 5 2 42" xfId="37488" xr:uid="{00000000-0005-0000-0000-000070920000}"/>
    <cellStyle name="Normal 5 2 43" xfId="37489" xr:uid="{00000000-0005-0000-0000-000071920000}"/>
    <cellStyle name="Normal 5 2 44" xfId="37490" xr:uid="{00000000-0005-0000-0000-000072920000}"/>
    <cellStyle name="Normal 5 2 45" xfId="37491" xr:uid="{00000000-0005-0000-0000-000073920000}"/>
    <cellStyle name="Normal 5 2 46" xfId="37492" xr:uid="{00000000-0005-0000-0000-000074920000}"/>
    <cellStyle name="Normal 5 2 47" xfId="37493" xr:uid="{00000000-0005-0000-0000-000075920000}"/>
    <cellStyle name="Normal 5 2 48" xfId="37494" xr:uid="{00000000-0005-0000-0000-000076920000}"/>
    <cellStyle name="Normal 5 2 49" xfId="37495" xr:uid="{00000000-0005-0000-0000-000077920000}"/>
    <cellStyle name="Normal 5 2 5" xfId="37496" xr:uid="{00000000-0005-0000-0000-000078920000}"/>
    <cellStyle name="Normal 5 2 50" xfId="37497" xr:uid="{00000000-0005-0000-0000-000079920000}"/>
    <cellStyle name="Normal 5 2 51" xfId="37498" xr:uid="{00000000-0005-0000-0000-00007A920000}"/>
    <cellStyle name="Normal 5 2 52" xfId="37499" xr:uid="{00000000-0005-0000-0000-00007B920000}"/>
    <cellStyle name="Normal 5 2 53" xfId="37500" xr:uid="{00000000-0005-0000-0000-00007C920000}"/>
    <cellStyle name="Normal 5 2 54" xfId="37501" xr:uid="{00000000-0005-0000-0000-00007D920000}"/>
    <cellStyle name="Normal 5 2 55" xfId="37502" xr:uid="{00000000-0005-0000-0000-00007E920000}"/>
    <cellStyle name="Normal 5 2 56" xfId="37503" xr:uid="{00000000-0005-0000-0000-00007F920000}"/>
    <cellStyle name="Normal 5 2 57" xfId="37504" xr:uid="{00000000-0005-0000-0000-000080920000}"/>
    <cellStyle name="Normal 5 2 58" xfId="37505" xr:uid="{00000000-0005-0000-0000-000081920000}"/>
    <cellStyle name="Normal 5 2 59" xfId="37506" xr:uid="{00000000-0005-0000-0000-000082920000}"/>
    <cellStyle name="Normal 5 2 6" xfId="37507" xr:uid="{00000000-0005-0000-0000-000083920000}"/>
    <cellStyle name="Normal 5 2 60" xfId="37508" xr:uid="{00000000-0005-0000-0000-000084920000}"/>
    <cellStyle name="Normal 5 2 61" xfId="37509" xr:uid="{00000000-0005-0000-0000-000085920000}"/>
    <cellStyle name="Normal 5 2 62" xfId="37510" xr:uid="{00000000-0005-0000-0000-000086920000}"/>
    <cellStyle name="Normal 5 2 63" xfId="37511" xr:uid="{00000000-0005-0000-0000-000087920000}"/>
    <cellStyle name="Normal 5 2 64" xfId="37512" xr:uid="{00000000-0005-0000-0000-000088920000}"/>
    <cellStyle name="Normal 5 2 65" xfId="37513" xr:uid="{00000000-0005-0000-0000-000089920000}"/>
    <cellStyle name="Normal 5 2 66" xfId="37514" xr:uid="{00000000-0005-0000-0000-00008A920000}"/>
    <cellStyle name="Normal 5 2 67" xfId="37515" xr:uid="{00000000-0005-0000-0000-00008B920000}"/>
    <cellStyle name="Normal 5 2 68" xfId="37516" xr:uid="{00000000-0005-0000-0000-00008C920000}"/>
    <cellStyle name="Normal 5 2 69" xfId="37517" xr:uid="{00000000-0005-0000-0000-00008D920000}"/>
    <cellStyle name="Normal 5 2 7" xfId="37518" xr:uid="{00000000-0005-0000-0000-00008E920000}"/>
    <cellStyle name="Normal 5 2 70" xfId="37519" xr:uid="{00000000-0005-0000-0000-00008F920000}"/>
    <cellStyle name="Normal 5 2 71" xfId="37520" xr:uid="{00000000-0005-0000-0000-000090920000}"/>
    <cellStyle name="Normal 5 2 72" xfId="37521" xr:uid="{00000000-0005-0000-0000-000091920000}"/>
    <cellStyle name="Normal 5 2 73" xfId="37522" xr:uid="{00000000-0005-0000-0000-000092920000}"/>
    <cellStyle name="Normal 5 2 74" xfId="37523" xr:uid="{00000000-0005-0000-0000-000093920000}"/>
    <cellStyle name="Normal 5 2 75" xfId="37524" xr:uid="{00000000-0005-0000-0000-000094920000}"/>
    <cellStyle name="Normal 5 2 76" xfId="37525" xr:uid="{00000000-0005-0000-0000-000095920000}"/>
    <cellStyle name="Normal 5 2 77" xfId="37526" xr:uid="{00000000-0005-0000-0000-000096920000}"/>
    <cellStyle name="Normal 5 2 78" xfId="37527" xr:uid="{00000000-0005-0000-0000-000097920000}"/>
    <cellStyle name="Normal 5 2 79" xfId="37528" xr:uid="{00000000-0005-0000-0000-000098920000}"/>
    <cellStyle name="Normal 5 2 8" xfId="37529" xr:uid="{00000000-0005-0000-0000-000099920000}"/>
    <cellStyle name="Normal 5 2 80" xfId="37530" xr:uid="{00000000-0005-0000-0000-00009A920000}"/>
    <cellStyle name="Normal 5 2 81" xfId="37531" xr:uid="{00000000-0005-0000-0000-00009B920000}"/>
    <cellStyle name="Normal 5 2 82" xfId="37532" xr:uid="{00000000-0005-0000-0000-00009C920000}"/>
    <cellStyle name="Normal 5 2 83" xfId="37450" xr:uid="{00000000-0005-0000-0000-00004A920000}"/>
    <cellStyle name="Normal 5 2 9" xfId="37533" xr:uid="{00000000-0005-0000-0000-00009D920000}"/>
    <cellStyle name="Normal 5 2_Enlaces" xfId="37534" xr:uid="{00000000-0005-0000-0000-00009E920000}"/>
    <cellStyle name="Normal 5 20" xfId="37535" xr:uid="{00000000-0005-0000-0000-00009F920000}"/>
    <cellStyle name="Normal 5 20 2" xfId="37536" xr:uid="{00000000-0005-0000-0000-0000A0920000}"/>
    <cellStyle name="Normal 5 20 2 2" xfId="37537" xr:uid="{00000000-0005-0000-0000-0000A1920000}"/>
    <cellStyle name="Normal 5 20 3" xfId="37538" xr:uid="{00000000-0005-0000-0000-0000A2920000}"/>
    <cellStyle name="Normal 5 20 4" xfId="37539" xr:uid="{00000000-0005-0000-0000-0000A3920000}"/>
    <cellStyle name="Normal 5 21" xfId="37540" xr:uid="{00000000-0005-0000-0000-0000A4920000}"/>
    <cellStyle name="Normal 5 21 2" xfId="37541" xr:uid="{00000000-0005-0000-0000-0000A5920000}"/>
    <cellStyle name="Normal 5 21 2 2" xfId="37542" xr:uid="{00000000-0005-0000-0000-0000A6920000}"/>
    <cellStyle name="Normal 5 21 3" xfId="37543" xr:uid="{00000000-0005-0000-0000-0000A7920000}"/>
    <cellStyle name="Normal 5 21 4" xfId="37544" xr:uid="{00000000-0005-0000-0000-0000A8920000}"/>
    <cellStyle name="Normal 5 22" xfId="37545" xr:uid="{00000000-0005-0000-0000-0000A9920000}"/>
    <cellStyle name="Normal 5 22 2" xfId="37546" xr:uid="{00000000-0005-0000-0000-0000AA920000}"/>
    <cellStyle name="Normal 5 22 3" xfId="37547" xr:uid="{00000000-0005-0000-0000-0000AB920000}"/>
    <cellStyle name="Normal 5 23" xfId="37548" xr:uid="{00000000-0005-0000-0000-0000AC920000}"/>
    <cellStyle name="Normal 5 24" xfId="37549" xr:uid="{00000000-0005-0000-0000-0000AD920000}"/>
    <cellStyle name="Normal 5 25" xfId="37550" xr:uid="{00000000-0005-0000-0000-0000AE920000}"/>
    <cellStyle name="Normal 5 26" xfId="37551" xr:uid="{00000000-0005-0000-0000-0000AF920000}"/>
    <cellStyle name="Normal 5 27" xfId="37552" xr:uid="{00000000-0005-0000-0000-0000B0920000}"/>
    <cellStyle name="Normal 5 28" xfId="37553" xr:uid="{00000000-0005-0000-0000-0000B1920000}"/>
    <cellStyle name="Normal 5 29" xfId="37554" xr:uid="{00000000-0005-0000-0000-0000B2920000}"/>
    <cellStyle name="Normal 5 3" xfId="62" xr:uid="{00000000-0005-0000-0000-00003E000000}"/>
    <cellStyle name="Normal 5 3 10" xfId="37556" xr:uid="{00000000-0005-0000-0000-0000B4920000}"/>
    <cellStyle name="Normal 5 3 11" xfId="37557" xr:uid="{00000000-0005-0000-0000-0000B5920000}"/>
    <cellStyle name="Normal 5 3 12" xfId="37558" xr:uid="{00000000-0005-0000-0000-0000B6920000}"/>
    <cellStyle name="Normal 5 3 13" xfId="37555" xr:uid="{00000000-0005-0000-0000-0000B3920000}"/>
    <cellStyle name="Normal 5 3 2" xfId="37559" xr:uid="{00000000-0005-0000-0000-0000B7920000}"/>
    <cellStyle name="Normal 5 3 3" xfId="37560" xr:uid="{00000000-0005-0000-0000-0000B8920000}"/>
    <cellStyle name="Normal 5 3 4" xfId="37561" xr:uid="{00000000-0005-0000-0000-0000B9920000}"/>
    <cellStyle name="Normal 5 3 4 2" xfId="37562" xr:uid="{00000000-0005-0000-0000-0000BA920000}"/>
    <cellStyle name="Normal 5 3 4 2 2" xfId="37563" xr:uid="{00000000-0005-0000-0000-0000BB920000}"/>
    <cellStyle name="Normal 5 3 4 3" xfId="37564" xr:uid="{00000000-0005-0000-0000-0000BC920000}"/>
    <cellStyle name="Normal 5 3 5" xfId="37565" xr:uid="{00000000-0005-0000-0000-0000BD920000}"/>
    <cellStyle name="Normal 5 3 6" xfId="37566" xr:uid="{00000000-0005-0000-0000-0000BE920000}"/>
    <cellStyle name="Normal 5 3 7" xfId="37567" xr:uid="{00000000-0005-0000-0000-0000BF920000}"/>
    <cellStyle name="Normal 5 3 7 2" xfId="37568" xr:uid="{00000000-0005-0000-0000-0000C0920000}"/>
    <cellStyle name="Normal 5 3 8" xfId="37569" xr:uid="{00000000-0005-0000-0000-0000C1920000}"/>
    <cellStyle name="Normal 5 3 9" xfId="37570" xr:uid="{00000000-0005-0000-0000-0000C2920000}"/>
    <cellStyle name="Normal 5 3_Implem" xfId="37571" xr:uid="{00000000-0005-0000-0000-0000C3920000}"/>
    <cellStyle name="Normal 5 30" xfId="37572" xr:uid="{00000000-0005-0000-0000-0000C4920000}"/>
    <cellStyle name="Normal 5 31" xfId="37573" xr:uid="{00000000-0005-0000-0000-0000C5920000}"/>
    <cellStyle name="Normal 5 32" xfId="37574" xr:uid="{00000000-0005-0000-0000-0000C6920000}"/>
    <cellStyle name="Normal 5 33" xfId="37575" xr:uid="{00000000-0005-0000-0000-0000C7920000}"/>
    <cellStyle name="Normal 5 34" xfId="37576" xr:uid="{00000000-0005-0000-0000-0000C8920000}"/>
    <cellStyle name="Normal 5 35" xfId="37577" xr:uid="{00000000-0005-0000-0000-0000C9920000}"/>
    <cellStyle name="Normal 5 36" xfId="37578" xr:uid="{00000000-0005-0000-0000-0000CA920000}"/>
    <cellStyle name="Normal 5 37" xfId="37579" xr:uid="{00000000-0005-0000-0000-0000CB920000}"/>
    <cellStyle name="Normal 5 38" xfId="37580" xr:uid="{00000000-0005-0000-0000-0000CC920000}"/>
    <cellStyle name="Normal 5 39" xfId="37581" xr:uid="{00000000-0005-0000-0000-0000CD920000}"/>
    <cellStyle name="Normal 5 4" xfId="41" xr:uid="{00000000-0005-0000-0000-000029000000}"/>
    <cellStyle name="Normal 5 4 2" xfId="37583" xr:uid="{00000000-0005-0000-0000-0000CF920000}"/>
    <cellStyle name="Normal 5 4 2 2" xfId="37584" xr:uid="{00000000-0005-0000-0000-0000D0920000}"/>
    <cellStyle name="Normal 5 4 3" xfId="37585" xr:uid="{00000000-0005-0000-0000-0000D1920000}"/>
    <cellStyle name="Normal 5 4 4" xfId="37586" xr:uid="{00000000-0005-0000-0000-0000D2920000}"/>
    <cellStyle name="Normal 5 4 5" xfId="37582" xr:uid="{00000000-0005-0000-0000-0000CE920000}"/>
    <cellStyle name="Normal 5 40" xfId="37587" xr:uid="{00000000-0005-0000-0000-0000D3920000}"/>
    <cellStyle name="Normal 5 41" xfId="37588" xr:uid="{00000000-0005-0000-0000-0000D4920000}"/>
    <cellStyle name="Normal 5 42" xfId="37589" xr:uid="{00000000-0005-0000-0000-0000D5920000}"/>
    <cellStyle name="Normal 5 43" xfId="37590" xr:uid="{00000000-0005-0000-0000-0000D6920000}"/>
    <cellStyle name="Normal 5 44" xfId="37591" xr:uid="{00000000-0005-0000-0000-0000D7920000}"/>
    <cellStyle name="Normal 5 45" xfId="37592" xr:uid="{00000000-0005-0000-0000-0000D8920000}"/>
    <cellStyle name="Normal 5 46" xfId="37593" xr:uid="{00000000-0005-0000-0000-0000D9920000}"/>
    <cellStyle name="Normal 5 47" xfId="37594" xr:uid="{00000000-0005-0000-0000-0000DA920000}"/>
    <cellStyle name="Normal 5 48" xfId="37595" xr:uid="{00000000-0005-0000-0000-0000DB920000}"/>
    <cellStyle name="Normal 5 49" xfId="37596" xr:uid="{00000000-0005-0000-0000-0000DC920000}"/>
    <cellStyle name="Normal 5 5" xfId="37597" xr:uid="{00000000-0005-0000-0000-0000DD920000}"/>
    <cellStyle name="Normal 5 5 2" xfId="37598" xr:uid="{00000000-0005-0000-0000-0000DE920000}"/>
    <cellStyle name="Normal 5 5 2 2" xfId="37599" xr:uid="{00000000-0005-0000-0000-0000DF920000}"/>
    <cellStyle name="Normal 5 5 3" xfId="37600" xr:uid="{00000000-0005-0000-0000-0000E0920000}"/>
    <cellStyle name="Normal 5 5 4" xfId="37601" xr:uid="{00000000-0005-0000-0000-0000E1920000}"/>
    <cellStyle name="Normal 5 50" xfId="37602" xr:uid="{00000000-0005-0000-0000-0000E2920000}"/>
    <cellStyle name="Normal 5 51" xfId="37603" xr:uid="{00000000-0005-0000-0000-0000E3920000}"/>
    <cellStyle name="Normal 5 52" xfId="37604" xr:uid="{00000000-0005-0000-0000-0000E4920000}"/>
    <cellStyle name="Normal 5 53" xfId="37605" xr:uid="{00000000-0005-0000-0000-0000E5920000}"/>
    <cellStyle name="Normal 5 54" xfId="37606" xr:uid="{00000000-0005-0000-0000-0000E6920000}"/>
    <cellStyle name="Normal 5 55" xfId="37607" xr:uid="{00000000-0005-0000-0000-0000E7920000}"/>
    <cellStyle name="Normal 5 56" xfId="37608" xr:uid="{00000000-0005-0000-0000-0000E8920000}"/>
    <cellStyle name="Normal 5 57" xfId="37609" xr:uid="{00000000-0005-0000-0000-0000E9920000}"/>
    <cellStyle name="Normal 5 58" xfId="37610" xr:uid="{00000000-0005-0000-0000-0000EA920000}"/>
    <cellStyle name="Normal 5 59" xfId="37611" xr:uid="{00000000-0005-0000-0000-0000EB920000}"/>
    <cellStyle name="Normal 5 6" xfId="37612" xr:uid="{00000000-0005-0000-0000-0000EC920000}"/>
    <cellStyle name="Normal 5 6 2" xfId="37613" xr:uid="{00000000-0005-0000-0000-0000ED920000}"/>
    <cellStyle name="Normal 5 6 2 2" xfId="37614" xr:uid="{00000000-0005-0000-0000-0000EE920000}"/>
    <cellStyle name="Normal 5 6 3" xfId="37615" xr:uid="{00000000-0005-0000-0000-0000EF920000}"/>
    <cellStyle name="Normal 5 6 4" xfId="37616" xr:uid="{00000000-0005-0000-0000-0000F0920000}"/>
    <cellStyle name="Normal 5 60" xfId="37617" xr:uid="{00000000-0005-0000-0000-0000F1920000}"/>
    <cellStyle name="Normal 5 7" xfId="37618" xr:uid="{00000000-0005-0000-0000-0000F2920000}"/>
    <cellStyle name="Normal 5 7 2" xfId="37619" xr:uid="{00000000-0005-0000-0000-0000F3920000}"/>
    <cellStyle name="Normal 5 7 2 2" xfId="37620" xr:uid="{00000000-0005-0000-0000-0000F4920000}"/>
    <cellStyle name="Normal 5 7 3" xfId="37621" xr:uid="{00000000-0005-0000-0000-0000F5920000}"/>
    <cellStyle name="Normal 5 7 4" xfId="37622" xr:uid="{00000000-0005-0000-0000-0000F6920000}"/>
    <cellStyle name="Normal 5 8" xfId="37623" xr:uid="{00000000-0005-0000-0000-0000F7920000}"/>
    <cellStyle name="Normal 5 8 2" xfId="37624" xr:uid="{00000000-0005-0000-0000-0000F8920000}"/>
    <cellStyle name="Normal 5 8 2 2" xfId="37625" xr:uid="{00000000-0005-0000-0000-0000F9920000}"/>
    <cellStyle name="Normal 5 8 3" xfId="37626" xr:uid="{00000000-0005-0000-0000-0000FA920000}"/>
    <cellStyle name="Normal 5 8 4" xfId="37627" xr:uid="{00000000-0005-0000-0000-0000FB920000}"/>
    <cellStyle name="Normal 5 9" xfId="37628" xr:uid="{00000000-0005-0000-0000-0000FC920000}"/>
    <cellStyle name="Normal 5 9 2" xfId="37629" xr:uid="{00000000-0005-0000-0000-0000FD920000}"/>
    <cellStyle name="Normal 5 9 2 2" xfId="37630" xr:uid="{00000000-0005-0000-0000-0000FE920000}"/>
    <cellStyle name="Normal 5 9 3" xfId="37631" xr:uid="{00000000-0005-0000-0000-0000FF920000}"/>
    <cellStyle name="Normal 5 9 4" xfId="37632" xr:uid="{00000000-0005-0000-0000-000000930000}"/>
    <cellStyle name="Normal 50" xfId="37633" xr:uid="{00000000-0005-0000-0000-000001930000}"/>
    <cellStyle name="Normal 50 10" xfId="37634" xr:uid="{00000000-0005-0000-0000-000002930000}"/>
    <cellStyle name="Normal 50 11" xfId="37635" xr:uid="{00000000-0005-0000-0000-000003930000}"/>
    <cellStyle name="Normal 50 12" xfId="37636" xr:uid="{00000000-0005-0000-0000-000004930000}"/>
    <cellStyle name="Normal 50 13" xfId="37637" xr:uid="{00000000-0005-0000-0000-000005930000}"/>
    <cellStyle name="Normal 50 14" xfId="37638" xr:uid="{00000000-0005-0000-0000-000006930000}"/>
    <cellStyle name="Normal 50 15" xfId="37639" xr:uid="{00000000-0005-0000-0000-000007930000}"/>
    <cellStyle name="Normal 50 16" xfId="37640" xr:uid="{00000000-0005-0000-0000-000008930000}"/>
    <cellStyle name="Normal 50 17" xfId="37641" xr:uid="{00000000-0005-0000-0000-000009930000}"/>
    <cellStyle name="Normal 50 18" xfId="37642" xr:uid="{00000000-0005-0000-0000-00000A930000}"/>
    <cellStyle name="Normal 50 19" xfId="37643" xr:uid="{00000000-0005-0000-0000-00000B930000}"/>
    <cellStyle name="Normal 50 2" xfId="37644" xr:uid="{00000000-0005-0000-0000-00000C930000}"/>
    <cellStyle name="Normal 50 2 2" xfId="37645" xr:uid="{00000000-0005-0000-0000-00000D930000}"/>
    <cellStyle name="Normal 50 20" xfId="37646" xr:uid="{00000000-0005-0000-0000-00000E930000}"/>
    <cellStyle name="Normal 50 21" xfId="37647" xr:uid="{00000000-0005-0000-0000-00000F930000}"/>
    <cellStyle name="Normal 50 22" xfId="37648" xr:uid="{00000000-0005-0000-0000-000010930000}"/>
    <cellStyle name="Normal 50 23" xfId="37649" xr:uid="{00000000-0005-0000-0000-000011930000}"/>
    <cellStyle name="Normal 50 24" xfId="37650" xr:uid="{00000000-0005-0000-0000-000012930000}"/>
    <cellStyle name="Normal 50 25" xfId="37651" xr:uid="{00000000-0005-0000-0000-000013930000}"/>
    <cellStyle name="Normal 50 26" xfId="37652" xr:uid="{00000000-0005-0000-0000-000014930000}"/>
    <cellStyle name="Normal 50 3" xfId="37653" xr:uid="{00000000-0005-0000-0000-000015930000}"/>
    <cellStyle name="Normal 50 3 2" xfId="37654" xr:uid="{00000000-0005-0000-0000-000016930000}"/>
    <cellStyle name="Normal 50 4" xfId="37655" xr:uid="{00000000-0005-0000-0000-000017930000}"/>
    <cellStyle name="Normal 50 4 2" xfId="37656" xr:uid="{00000000-0005-0000-0000-000018930000}"/>
    <cellStyle name="Normal 50 5" xfId="37657" xr:uid="{00000000-0005-0000-0000-000019930000}"/>
    <cellStyle name="Normal 50 5 2" xfId="37658" xr:uid="{00000000-0005-0000-0000-00001A930000}"/>
    <cellStyle name="Normal 50 6" xfId="37659" xr:uid="{00000000-0005-0000-0000-00001B930000}"/>
    <cellStyle name="Normal 50 7" xfId="37660" xr:uid="{00000000-0005-0000-0000-00001C930000}"/>
    <cellStyle name="Normal 50 8" xfId="37661" xr:uid="{00000000-0005-0000-0000-00001D930000}"/>
    <cellStyle name="Normal 50 9" xfId="37662" xr:uid="{00000000-0005-0000-0000-00001E930000}"/>
    <cellStyle name="Normal 51" xfId="37663" xr:uid="{00000000-0005-0000-0000-00001F930000}"/>
    <cellStyle name="Normal 52" xfId="37664" xr:uid="{00000000-0005-0000-0000-000020930000}"/>
    <cellStyle name="Normal 53" xfId="37665" xr:uid="{00000000-0005-0000-0000-000021930000}"/>
    <cellStyle name="Normal 54" xfId="37666" xr:uid="{00000000-0005-0000-0000-000022930000}"/>
    <cellStyle name="Normal 55" xfId="37667" xr:uid="{00000000-0005-0000-0000-000023930000}"/>
    <cellStyle name="Normal 56" xfId="37668" xr:uid="{00000000-0005-0000-0000-000024930000}"/>
    <cellStyle name="Normal 57" xfId="37669" xr:uid="{00000000-0005-0000-0000-000025930000}"/>
    <cellStyle name="Normal 58" xfId="37670" xr:uid="{00000000-0005-0000-0000-000026930000}"/>
    <cellStyle name="Normal 59" xfId="37671" xr:uid="{00000000-0005-0000-0000-000027930000}"/>
    <cellStyle name="Normal 6" xfId="43" xr:uid="{00000000-0005-0000-0000-00002B000000}"/>
    <cellStyle name="Normal 6 10" xfId="37673" xr:uid="{00000000-0005-0000-0000-000029930000}"/>
    <cellStyle name="Normal 6 11" xfId="37674" xr:uid="{00000000-0005-0000-0000-00002A930000}"/>
    <cellStyle name="Normal 6 12" xfId="37675" xr:uid="{00000000-0005-0000-0000-00002B930000}"/>
    <cellStyle name="Normal 6 13" xfId="37676" xr:uid="{00000000-0005-0000-0000-00002C930000}"/>
    <cellStyle name="Normal 6 14" xfId="37677" xr:uid="{00000000-0005-0000-0000-00002D930000}"/>
    <cellStyle name="Normal 6 15" xfId="37678" xr:uid="{00000000-0005-0000-0000-00002E930000}"/>
    <cellStyle name="Normal 6 16" xfId="37679" xr:uid="{00000000-0005-0000-0000-00002F930000}"/>
    <cellStyle name="Normal 6 17" xfId="37680" xr:uid="{00000000-0005-0000-0000-000030930000}"/>
    <cellStyle name="Normal 6 18" xfId="37681" xr:uid="{00000000-0005-0000-0000-000031930000}"/>
    <cellStyle name="Normal 6 19" xfId="37682" xr:uid="{00000000-0005-0000-0000-000032930000}"/>
    <cellStyle name="Normal 6 2" xfId="37683" xr:uid="{00000000-0005-0000-0000-000033930000}"/>
    <cellStyle name="Normal 6 2 10" xfId="37684" xr:uid="{00000000-0005-0000-0000-000034930000}"/>
    <cellStyle name="Normal 6 2 11" xfId="37685" xr:uid="{00000000-0005-0000-0000-000035930000}"/>
    <cellStyle name="Normal 6 2 12" xfId="37686" xr:uid="{00000000-0005-0000-0000-000036930000}"/>
    <cellStyle name="Normal 6 2 13" xfId="37687" xr:uid="{00000000-0005-0000-0000-000037930000}"/>
    <cellStyle name="Normal 6 2 14" xfId="37688" xr:uid="{00000000-0005-0000-0000-000038930000}"/>
    <cellStyle name="Normal 6 2 15" xfId="37689" xr:uid="{00000000-0005-0000-0000-000039930000}"/>
    <cellStyle name="Normal 6 2 16" xfId="37690" xr:uid="{00000000-0005-0000-0000-00003A930000}"/>
    <cellStyle name="Normal 6 2 17" xfId="37691" xr:uid="{00000000-0005-0000-0000-00003B930000}"/>
    <cellStyle name="Normal 6 2 18" xfId="37692" xr:uid="{00000000-0005-0000-0000-00003C930000}"/>
    <cellStyle name="Normal 6 2 19" xfId="37693" xr:uid="{00000000-0005-0000-0000-00003D930000}"/>
    <cellStyle name="Normal 6 2 2" xfId="37694" xr:uid="{00000000-0005-0000-0000-00003E930000}"/>
    <cellStyle name="Normal 6 2 20" xfId="37695" xr:uid="{00000000-0005-0000-0000-00003F930000}"/>
    <cellStyle name="Normal 6 2 21" xfId="37696" xr:uid="{00000000-0005-0000-0000-000040930000}"/>
    <cellStyle name="Normal 6 2 22" xfId="37697" xr:uid="{00000000-0005-0000-0000-000041930000}"/>
    <cellStyle name="Normal 6 2 23" xfId="37698" xr:uid="{00000000-0005-0000-0000-000042930000}"/>
    <cellStyle name="Normal 6 2 24" xfId="37699" xr:uid="{00000000-0005-0000-0000-000043930000}"/>
    <cellStyle name="Normal 6 2 25" xfId="37700" xr:uid="{00000000-0005-0000-0000-000044930000}"/>
    <cellStyle name="Normal 6 2 26" xfId="37701" xr:uid="{00000000-0005-0000-0000-000045930000}"/>
    <cellStyle name="Normal 6 2 27" xfId="37702" xr:uid="{00000000-0005-0000-0000-000046930000}"/>
    <cellStyle name="Normal 6 2 28" xfId="37703" xr:uid="{00000000-0005-0000-0000-000047930000}"/>
    <cellStyle name="Normal 6 2 29" xfId="37704" xr:uid="{00000000-0005-0000-0000-000048930000}"/>
    <cellStyle name="Normal 6 2 3" xfId="37705" xr:uid="{00000000-0005-0000-0000-000049930000}"/>
    <cellStyle name="Normal 6 2 30" xfId="37706" xr:uid="{00000000-0005-0000-0000-00004A930000}"/>
    <cellStyle name="Normal 6 2 31" xfId="37707" xr:uid="{00000000-0005-0000-0000-00004B930000}"/>
    <cellStyle name="Normal 6 2 32" xfId="37708" xr:uid="{00000000-0005-0000-0000-00004C930000}"/>
    <cellStyle name="Normal 6 2 33" xfId="37709" xr:uid="{00000000-0005-0000-0000-00004D930000}"/>
    <cellStyle name="Normal 6 2 34" xfId="37710" xr:uid="{00000000-0005-0000-0000-00004E930000}"/>
    <cellStyle name="Normal 6 2 35" xfId="37711" xr:uid="{00000000-0005-0000-0000-00004F930000}"/>
    <cellStyle name="Normal 6 2 36" xfId="37712" xr:uid="{00000000-0005-0000-0000-000050930000}"/>
    <cellStyle name="Normal 6 2 37" xfId="37713" xr:uid="{00000000-0005-0000-0000-000051930000}"/>
    <cellStyle name="Normal 6 2 38" xfId="37714" xr:uid="{00000000-0005-0000-0000-000052930000}"/>
    <cellStyle name="Normal 6 2 39" xfId="37715" xr:uid="{00000000-0005-0000-0000-000053930000}"/>
    <cellStyle name="Normal 6 2 4" xfId="37716" xr:uid="{00000000-0005-0000-0000-000054930000}"/>
    <cellStyle name="Normal 6 2 40" xfId="37717" xr:uid="{00000000-0005-0000-0000-000055930000}"/>
    <cellStyle name="Normal 6 2 41" xfId="37718" xr:uid="{00000000-0005-0000-0000-000056930000}"/>
    <cellStyle name="Normal 6 2 42" xfId="37719" xr:uid="{00000000-0005-0000-0000-000057930000}"/>
    <cellStyle name="Normal 6 2 43" xfId="37720" xr:uid="{00000000-0005-0000-0000-000058930000}"/>
    <cellStyle name="Normal 6 2 44" xfId="37721" xr:uid="{00000000-0005-0000-0000-000059930000}"/>
    <cellStyle name="Normal 6 2 45" xfId="37722" xr:uid="{00000000-0005-0000-0000-00005A930000}"/>
    <cellStyle name="Normal 6 2 46" xfId="37723" xr:uid="{00000000-0005-0000-0000-00005B930000}"/>
    <cellStyle name="Normal 6 2 47" xfId="37724" xr:uid="{00000000-0005-0000-0000-00005C930000}"/>
    <cellStyle name="Normal 6 2 48" xfId="37725" xr:uid="{00000000-0005-0000-0000-00005D930000}"/>
    <cellStyle name="Normal 6 2 49" xfId="37726" xr:uid="{00000000-0005-0000-0000-00005E930000}"/>
    <cellStyle name="Normal 6 2 5" xfId="37727" xr:uid="{00000000-0005-0000-0000-00005F930000}"/>
    <cellStyle name="Normal 6 2 50" xfId="37728" xr:uid="{00000000-0005-0000-0000-000060930000}"/>
    <cellStyle name="Normal 6 2 51" xfId="37729" xr:uid="{00000000-0005-0000-0000-000061930000}"/>
    <cellStyle name="Normal 6 2 52" xfId="37730" xr:uid="{00000000-0005-0000-0000-000062930000}"/>
    <cellStyle name="Normal 6 2 53" xfId="37731" xr:uid="{00000000-0005-0000-0000-000063930000}"/>
    <cellStyle name="Normal 6 2 54" xfId="37732" xr:uid="{00000000-0005-0000-0000-000064930000}"/>
    <cellStyle name="Normal 6 2 55" xfId="37733" xr:uid="{00000000-0005-0000-0000-000065930000}"/>
    <cellStyle name="Normal 6 2 56" xfId="37734" xr:uid="{00000000-0005-0000-0000-000066930000}"/>
    <cellStyle name="Normal 6 2 57" xfId="37735" xr:uid="{00000000-0005-0000-0000-000067930000}"/>
    <cellStyle name="Normal 6 2 58" xfId="37736" xr:uid="{00000000-0005-0000-0000-000068930000}"/>
    <cellStyle name="Normal 6 2 59" xfId="37737" xr:uid="{00000000-0005-0000-0000-000069930000}"/>
    <cellStyle name="Normal 6 2 6" xfId="37738" xr:uid="{00000000-0005-0000-0000-00006A930000}"/>
    <cellStyle name="Normal 6 2 60" xfId="37739" xr:uid="{00000000-0005-0000-0000-00006B930000}"/>
    <cellStyle name="Normal 6 2 61" xfId="37740" xr:uid="{00000000-0005-0000-0000-00006C930000}"/>
    <cellStyle name="Normal 6 2 62" xfId="37741" xr:uid="{00000000-0005-0000-0000-00006D930000}"/>
    <cellStyle name="Normal 6 2 63" xfId="37742" xr:uid="{00000000-0005-0000-0000-00006E930000}"/>
    <cellStyle name="Normal 6 2 64" xfId="37743" xr:uid="{00000000-0005-0000-0000-00006F930000}"/>
    <cellStyle name="Normal 6 2 65" xfId="37744" xr:uid="{00000000-0005-0000-0000-000070930000}"/>
    <cellStyle name="Normal 6 2 66" xfId="37745" xr:uid="{00000000-0005-0000-0000-000071930000}"/>
    <cellStyle name="Normal 6 2 67" xfId="37746" xr:uid="{00000000-0005-0000-0000-000072930000}"/>
    <cellStyle name="Normal 6 2 68" xfId="37747" xr:uid="{00000000-0005-0000-0000-000073930000}"/>
    <cellStyle name="Normal 6 2 69" xfId="37748" xr:uid="{00000000-0005-0000-0000-000074930000}"/>
    <cellStyle name="Normal 6 2 7" xfId="37749" xr:uid="{00000000-0005-0000-0000-000075930000}"/>
    <cellStyle name="Normal 6 2 70" xfId="37750" xr:uid="{00000000-0005-0000-0000-000076930000}"/>
    <cellStyle name="Normal 6 2 71" xfId="37751" xr:uid="{00000000-0005-0000-0000-000077930000}"/>
    <cellStyle name="Normal 6 2 72" xfId="37752" xr:uid="{00000000-0005-0000-0000-000078930000}"/>
    <cellStyle name="Normal 6 2 73" xfId="37753" xr:uid="{00000000-0005-0000-0000-000079930000}"/>
    <cellStyle name="Normal 6 2 74" xfId="37754" xr:uid="{00000000-0005-0000-0000-00007A930000}"/>
    <cellStyle name="Normal 6 2 75" xfId="37755" xr:uid="{00000000-0005-0000-0000-00007B930000}"/>
    <cellStyle name="Normal 6 2 76" xfId="37756" xr:uid="{00000000-0005-0000-0000-00007C930000}"/>
    <cellStyle name="Normal 6 2 77" xfId="37757" xr:uid="{00000000-0005-0000-0000-00007D930000}"/>
    <cellStyle name="Normal 6 2 78" xfId="37758" xr:uid="{00000000-0005-0000-0000-00007E930000}"/>
    <cellStyle name="Normal 6 2 79" xfId="37759" xr:uid="{00000000-0005-0000-0000-00007F930000}"/>
    <cellStyle name="Normal 6 2 8" xfId="37760" xr:uid="{00000000-0005-0000-0000-000080930000}"/>
    <cellStyle name="Normal 6 2 80" xfId="37761" xr:uid="{00000000-0005-0000-0000-000081930000}"/>
    <cellStyle name="Normal 6 2 81" xfId="37762" xr:uid="{00000000-0005-0000-0000-000082930000}"/>
    <cellStyle name="Normal 6 2 82" xfId="37763" xr:uid="{00000000-0005-0000-0000-000083930000}"/>
    <cellStyle name="Normal 6 2 83" xfId="37764" xr:uid="{00000000-0005-0000-0000-000084930000}"/>
    <cellStyle name="Normal 6 2 84" xfId="37765" xr:uid="{00000000-0005-0000-0000-000085930000}"/>
    <cellStyle name="Normal 6 2 85" xfId="37766" xr:uid="{00000000-0005-0000-0000-000086930000}"/>
    <cellStyle name="Normal 6 2 86" xfId="37767" xr:uid="{00000000-0005-0000-0000-000087930000}"/>
    <cellStyle name="Normal 6 2 9" xfId="37768" xr:uid="{00000000-0005-0000-0000-000088930000}"/>
    <cellStyle name="Normal 6 2_Xa Parametrización de Usuarios" xfId="37769" xr:uid="{00000000-0005-0000-0000-000089930000}"/>
    <cellStyle name="Normal 6 20" xfId="37770" xr:uid="{00000000-0005-0000-0000-00008A930000}"/>
    <cellStyle name="Normal 6 21" xfId="37771" xr:uid="{00000000-0005-0000-0000-00008B930000}"/>
    <cellStyle name="Normal 6 22" xfId="37772" xr:uid="{00000000-0005-0000-0000-00008C930000}"/>
    <cellStyle name="Normal 6 23" xfId="37773" xr:uid="{00000000-0005-0000-0000-00008D930000}"/>
    <cellStyle name="Normal 6 24" xfId="37774" xr:uid="{00000000-0005-0000-0000-00008E930000}"/>
    <cellStyle name="Normal 6 25" xfId="37775" xr:uid="{00000000-0005-0000-0000-00008F930000}"/>
    <cellStyle name="Normal 6 26" xfId="37776" xr:uid="{00000000-0005-0000-0000-000090930000}"/>
    <cellStyle name="Normal 6 27" xfId="37777" xr:uid="{00000000-0005-0000-0000-000091930000}"/>
    <cellStyle name="Normal 6 28" xfId="37778" xr:uid="{00000000-0005-0000-0000-000092930000}"/>
    <cellStyle name="Normal 6 29" xfId="37779" xr:uid="{00000000-0005-0000-0000-000093930000}"/>
    <cellStyle name="Normal 6 3" xfId="37780" xr:uid="{00000000-0005-0000-0000-000094930000}"/>
    <cellStyle name="Normal 6 3 10" xfId="37781" xr:uid="{00000000-0005-0000-0000-000095930000}"/>
    <cellStyle name="Normal 6 3 11" xfId="37782" xr:uid="{00000000-0005-0000-0000-000096930000}"/>
    <cellStyle name="Normal 6 3 12" xfId="37783" xr:uid="{00000000-0005-0000-0000-000097930000}"/>
    <cellStyle name="Normal 6 3 2" xfId="37784" xr:uid="{00000000-0005-0000-0000-000098930000}"/>
    <cellStyle name="Normal 6 3 3" xfId="37785" xr:uid="{00000000-0005-0000-0000-000099930000}"/>
    <cellStyle name="Normal 6 3 4" xfId="37786" xr:uid="{00000000-0005-0000-0000-00009A930000}"/>
    <cellStyle name="Normal 6 3 5" xfId="37787" xr:uid="{00000000-0005-0000-0000-00009B930000}"/>
    <cellStyle name="Normal 6 3 6" xfId="37788" xr:uid="{00000000-0005-0000-0000-00009C930000}"/>
    <cellStyle name="Normal 6 3 7" xfId="37789" xr:uid="{00000000-0005-0000-0000-00009D930000}"/>
    <cellStyle name="Normal 6 3 8" xfId="37790" xr:uid="{00000000-0005-0000-0000-00009E930000}"/>
    <cellStyle name="Normal 6 3 9" xfId="37791" xr:uid="{00000000-0005-0000-0000-00009F930000}"/>
    <cellStyle name="Normal 6 3_Xa Parametrización de Usuarios" xfId="37792" xr:uid="{00000000-0005-0000-0000-0000A0930000}"/>
    <cellStyle name="Normal 6 30" xfId="39189" xr:uid="{00000000-0005-0000-0000-000015990000}"/>
    <cellStyle name="Normal 6 31" xfId="37672" xr:uid="{00000000-0005-0000-0000-000028930000}"/>
    <cellStyle name="Normal 6 4" xfId="37793" xr:uid="{00000000-0005-0000-0000-0000A1930000}"/>
    <cellStyle name="Normal 6 5" xfId="37794" xr:uid="{00000000-0005-0000-0000-0000A2930000}"/>
    <cellStyle name="Normal 6 6" xfId="37795" xr:uid="{00000000-0005-0000-0000-0000A3930000}"/>
    <cellStyle name="Normal 6 7" xfId="37796" xr:uid="{00000000-0005-0000-0000-0000A4930000}"/>
    <cellStyle name="Normal 6 8" xfId="37797" xr:uid="{00000000-0005-0000-0000-0000A5930000}"/>
    <cellStyle name="Normal 6 9" xfId="37798" xr:uid="{00000000-0005-0000-0000-0000A6930000}"/>
    <cellStyle name="Normal 60" xfId="37799" xr:uid="{00000000-0005-0000-0000-0000A7930000}"/>
    <cellStyle name="Normal 61" xfId="37800" xr:uid="{00000000-0005-0000-0000-0000A8930000}"/>
    <cellStyle name="Normal 61 2" xfId="37801" xr:uid="{00000000-0005-0000-0000-0000A9930000}"/>
    <cellStyle name="Normal 61 2 2" xfId="37802" xr:uid="{00000000-0005-0000-0000-0000AA930000}"/>
    <cellStyle name="Normal 61 2 3" xfId="37803" xr:uid="{00000000-0005-0000-0000-0000AB930000}"/>
    <cellStyle name="Normal 61 3" xfId="37804" xr:uid="{00000000-0005-0000-0000-0000AC930000}"/>
    <cellStyle name="Normal 62" xfId="37805" xr:uid="{00000000-0005-0000-0000-0000AD930000}"/>
    <cellStyle name="Normal 62 2" xfId="37806" xr:uid="{00000000-0005-0000-0000-0000AE930000}"/>
    <cellStyle name="Normal 62 3" xfId="37807" xr:uid="{00000000-0005-0000-0000-0000AF930000}"/>
    <cellStyle name="Normal 62 4" xfId="39190" xr:uid="{00000000-0005-0000-0000-000016990000}"/>
    <cellStyle name="Normal 63" xfId="37808" xr:uid="{00000000-0005-0000-0000-0000B0930000}"/>
    <cellStyle name="Normal 63 2" xfId="37809" xr:uid="{00000000-0005-0000-0000-0000B1930000}"/>
    <cellStyle name="Normal 63 3" xfId="37810" xr:uid="{00000000-0005-0000-0000-0000B2930000}"/>
    <cellStyle name="Normal 63 4" xfId="37811" xr:uid="{00000000-0005-0000-0000-0000B3930000}"/>
    <cellStyle name="Normal 63 5" xfId="39191" xr:uid="{00000000-0005-0000-0000-000017990000}"/>
    <cellStyle name="Normal 64" xfId="37812" xr:uid="{00000000-0005-0000-0000-0000B4930000}"/>
    <cellStyle name="Normal 64 2" xfId="37813" xr:uid="{00000000-0005-0000-0000-0000B5930000}"/>
    <cellStyle name="Normal 64 3" xfId="37814" xr:uid="{00000000-0005-0000-0000-0000B6930000}"/>
    <cellStyle name="Normal 64 4" xfId="37815" xr:uid="{00000000-0005-0000-0000-0000B7930000}"/>
    <cellStyle name="Normal 64 5" xfId="39192" xr:uid="{00000000-0005-0000-0000-000018990000}"/>
    <cellStyle name="Normal 65" xfId="37816" xr:uid="{00000000-0005-0000-0000-0000B8930000}"/>
    <cellStyle name="Normal 65 2" xfId="37817" xr:uid="{00000000-0005-0000-0000-0000B9930000}"/>
    <cellStyle name="Normal 65 3" xfId="37818" xr:uid="{00000000-0005-0000-0000-0000BA930000}"/>
    <cellStyle name="Normal 66" xfId="37819" xr:uid="{00000000-0005-0000-0000-0000BB930000}"/>
    <cellStyle name="Normal 66 2" xfId="37820" xr:uid="{00000000-0005-0000-0000-0000BC930000}"/>
    <cellStyle name="Normal 66 3" xfId="37821" xr:uid="{00000000-0005-0000-0000-0000BD930000}"/>
    <cellStyle name="Normal 66 4" xfId="39193" xr:uid="{00000000-0005-0000-0000-000019990000}"/>
    <cellStyle name="Normal 67" xfId="37822" xr:uid="{00000000-0005-0000-0000-0000BE930000}"/>
    <cellStyle name="Normal 67 2" xfId="37823" xr:uid="{00000000-0005-0000-0000-0000BF930000}"/>
    <cellStyle name="Normal 67 3" xfId="39194" xr:uid="{00000000-0005-0000-0000-00001A990000}"/>
    <cellStyle name="Normal 68" xfId="37824" xr:uid="{00000000-0005-0000-0000-0000C0930000}"/>
    <cellStyle name="Normal 68 2" xfId="37825" xr:uid="{00000000-0005-0000-0000-0000C1930000}"/>
    <cellStyle name="Normal 68 3" xfId="39195" xr:uid="{00000000-0005-0000-0000-00001B990000}"/>
    <cellStyle name="Normal 69" xfId="37826" xr:uid="{00000000-0005-0000-0000-0000C2930000}"/>
    <cellStyle name="Normal 69 2" xfId="37827" xr:uid="{00000000-0005-0000-0000-0000C3930000}"/>
    <cellStyle name="Normal 69 3" xfId="37828" xr:uid="{00000000-0005-0000-0000-0000C4930000}"/>
    <cellStyle name="Normal 69 4" xfId="39196" xr:uid="{00000000-0005-0000-0000-00001C990000}"/>
    <cellStyle name="Normal 7" xfId="2" xr:uid="{00000000-0005-0000-0000-000002000000}"/>
    <cellStyle name="Normal 7 10" xfId="63" xr:uid="{00000000-0005-0000-0000-00003F000000}"/>
    <cellStyle name="Normal 7 11" xfId="37829" xr:uid="{00000000-0005-0000-0000-0000C5930000}"/>
    <cellStyle name="Normal 7 12" xfId="37830" xr:uid="{00000000-0005-0000-0000-0000C6930000}"/>
    <cellStyle name="Normal 7 13" xfId="37831" xr:uid="{00000000-0005-0000-0000-0000C7930000}"/>
    <cellStyle name="Normal 7 14" xfId="37832" xr:uid="{00000000-0005-0000-0000-0000C8930000}"/>
    <cellStyle name="Normal 7 15" xfId="37833" xr:uid="{00000000-0005-0000-0000-0000C9930000}"/>
    <cellStyle name="Normal 7 16" xfId="37834" xr:uid="{00000000-0005-0000-0000-0000CA930000}"/>
    <cellStyle name="Normal 7 17" xfId="37835" xr:uid="{00000000-0005-0000-0000-0000CB930000}"/>
    <cellStyle name="Normal 7 18" xfId="37836" xr:uid="{00000000-0005-0000-0000-0000CC930000}"/>
    <cellStyle name="Normal 7 19" xfId="37837" xr:uid="{00000000-0005-0000-0000-0000CD930000}"/>
    <cellStyle name="Normal 7 2" xfId="6" xr:uid="{00000000-0005-0000-0000-000006000000}"/>
    <cellStyle name="Normal 7 2 10" xfId="37838" xr:uid="{00000000-0005-0000-0000-0000CE930000}"/>
    <cellStyle name="Normal 7 2 11" xfId="37839" xr:uid="{00000000-0005-0000-0000-0000CF930000}"/>
    <cellStyle name="Normal 7 2 12" xfId="37840" xr:uid="{00000000-0005-0000-0000-0000D0930000}"/>
    <cellStyle name="Normal 7 2 13" xfId="37841" xr:uid="{00000000-0005-0000-0000-0000D1930000}"/>
    <cellStyle name="Normal 7 2 14" xfId="37842" xr:uid="{00000000-0005-0000-0000-0000D2930000}"/>
    <cellStyle name="Normal 7 2 15" xfId="37843" xr:uid="{00000000-0005-0000-0000-0000D3930000}"/>
    <cellStyle name="Normal 7 2 16" xfId="37844" xr:uid="{00000000-0005-0000-0000-0000D4930000}"/>
    <cellStyle name="Normal 7 2 17" xfId="37845" xr:uid="{00000000-0005-0000-0000-0000D5930000}"/>
    <cellStyle name="Normal 7 2 18" xfId="37846" xr:uid="{00000000-0005-0000-0000-0000D6930000}"/>
    <cellStyle name="Normal 7 2 19" xfId="37847" xr:uid="{00000000-0005-0000-0000-0000D7930000}"/>
    <cellStyle name="Normal 7 2 2" xfId="37848" xr:uid="{00000000-0005-0000-0000-0000D8930000}"/>
    <cellStyle name="Normal 7 2 2 2" xfId="37849" xr:uid="{00000000-0005-0000-0000-0000D9930000}"/>
    <cellStyle name="Normal 7 2 2 2 2" xfId="37850" xr:uid="{00000000-0005-0000-0000-0000DA930000}"/>
    <cellStyle name="Normal 7 2 20" xfId="37851" xr:uid="{00000000-0005-0000-0000-0000DB930000}"/>
    <cellStyle name="Normal 7 2 21" xfId="37852" xr:uid="{00000000-0005-0000-0000-0000DC930000}"/>
    <cellStyle name="Normal 7 2 22" xfId="37853" xr:uid="{00000000-0005-0000-0000-0000DD930000}"/>
    <cellStyle name="Normal 7 2 23" xfId="37854" xr:uid="{00000000-0005-0000-0000-0000DE930000}"/>
    <cellStyle name="Normal 7 2 24" xfId="37855" xr:uid="{00000000-0005-0000-0000-0000DF930000}"/>
    <cellStyle name="Normal 7 2 25" xfId="37856" xr:uid="{00000000-0005-0000-0000-0000E0930000}"/>
    <cellStyle name="Normal 7 2 26" xfId="37857" xr:uid="{00000000-0005-0000-0000-0000E1930000}"/>
    <cellStyle name="Normal 7 2 27" xfId="37858" xr:uid="{00000000-0005-0000-0000-0000E2930000}"/>
    <cellStyle name="Normal 7 2 28" xfId="37859" xr:uid="{00000000-0005-0000-0000-0000E3930000}"/>
    <cellStyle name="Normal 7 2 29" xfId="37860" xr:uid="{00000000-0005-0000-0000-0000E4930000}"/>
    <cellStyle name="Normal 7 2 3" xfId="37861" xr:uid="{00000000-0005-0000-0000-0000E5930000}"/>
    <cellStyle name="Normal 7 2 30" xfId="37862" xr:uid="{00000000-0005-0000-0000-0000E6930000}"/>
    <cellStyle name="Normal 7 2 31" xfId="37863" xr:uid="{00000000-0005-0000-0000-0000E7930000}"/>
    <cellStyle name="Normal 7 2 32" xfId="37864" xr:uid="{00000000-0005-0000-0000-0000E8930000}"/>
    <cellStyle name="Normal 7 2 33" xfId="37865" xr:uid="{00000000-0005-0000-0000-0000E9930000}"/>
    <cellStyle name="Normal 7 2 34" xfId="37866" xr:uid="{00000000-0005-0000-0000-0000EA930000}"/>
    <cellStyle name="Normal 7 2 35" xfId="37867" xr:uid="{00000000-0005-0000-0000-0000EB930000}"/>
    <cellStyle name="Normal 7 2 36" xfId="37868" xr:uid="{00000000-0005-0000-0000-0000EC930000}"/>
    <cellStyle name="Normal 7 2 37" xfId="37869" xr:uid="{00000000-0005-0000-0000-0000ED930000}"/>
    <cellStyle name="Normal 7 2 38" xfId="37870" xr:uid="{00000000-0005-0000-0000-0000EE930000}"/>
    <cellStyle name="Normal 7 2 39" xfId="37871" xr:uid="{00000000-0005-0000-0000-0000EF930000}"/>
    <cellStyle name="Normal 7 2 4" xfId="37872" xr:uid="{00000000-0005-0000-0000-0000F0930000}"/>
    <cellStyle name="Normal 7 2 40" xfId="37873" xr:uid="{00000000-0005-0000-0000-0000F1930000}"/>
    <cellStyle name="Normal 7 2 41" xfId="37874" xr:uid="{00000000-0005-0000-0000-0000F2930000}"/>
    <cellStyle name="Normal 7 2 42" xfId="37875" xr:uid="{00000000-0005-0000-0000-0000F3930000}"/>
    <cellStyle name="Normal 7 2 43" xfId="37876" xr:uid="{00000000-0005-0000-0000-0000F4930000}"/>
    <cellStyle name="Normal 7 2 44" xfId="37877" xr:uid="{00000000-0005-0000-0000-0000F5930000}"/>
    <cellStyle name="Normal 7 2 45" xfId="37878" xr:uid="{00000000-0005-0000-0000-0000F6930000}"/>
    <cellStyle name="Normal 7 2 46" xfId="37879" xr:uid="{00000000-0005-0000-0000-0000F7930000}"/>
    <cellStyle name="Normal 7 2 47" xfId="37880" xr:uid="{00000000-0005-0000-0000-0000F8930000}"/>
    <cellStyle name="Normal 7 2 48" xfId="37881" xr:uid="{00000000-0005-0000-0000-0000F9930000}"/>
    <cellStyle name="Normal 7 2 49" xfId="37882" xr:uid="{00000000-0005-0000-0000-0000FA930000}"/>
    <cellStyle name="Normal 7 2 5" xfId="37883" xr:uid="{00000000-0005-0000-0000-0000FB930000}"/>
    <cellStyle name="Normal 7 2 50" xfId="37884" xr:uid="{00000000-0005-0000-0000-0000FC930000}"/>
    <cellStyle name="Normal 7 2 51" xfId="37885" xr:uid="{00000000-0005-0000-0000-0000FD930000}"/>
    <cellStyle name="Normal 7 2 52" xfId="37886" xr:uid="{00000000-0005-0000-0000-0000FE930000}"/>
    <cellStyle name="Normal 7 2 53" xfId="37887" xr:uid="{00000000-0005-0000-0000-0000FF930000}"/>
    <cellStyle name="Normal 7 2 54" xfId="37888" xr:uid="{00000000-0005-0000-0000-000000940000}"/>
    <cellStyle name="Normal 7 2 55" xfId="37889" xr:uid="{00000000-0005-0000-0000-000001940000}"/>
    <cellStyle name="Normal 7 2 56" xfId="37890" xr:uid="{00000000-0005-0000-0000-000002940000}"/>
    <cellStyle name="Normal 7 2 57" xfId="37891" xr:uid="{00000000-0005-0000-0000-000003940000}"/>
    <cellStyle name="Normal 7 2 58" xfId="37892" xr:uid="{00000000-0005-0000-0000-000004940000}"/>
    <cellStyle name="Normal 7 2 59" xfId="37893" xr:uid="{00000000-0005-0000-0000-000005940000}"/>
    <cellStyle name="Normal 7 2 6" xfId="37894" xr:uid="{00000000-0005-0000-0000-000006940000}"/>
    <cellStyle name="Normal 7 2 60" xfId="37895" xr:uid="{00000000-0005-0000-0000-000007940000}"/>
    <cellStyle name="Normal 7 2 61" xfId="37896" xr:uid="{00000000-0005-0000-0000-000008940000}"/>
    <cellStyle name="Normal 7 2 62" xfId="37897" xr:uid="{00000000-0005-0000-0000-000009940000}"/>
    <cellStyle name="Normal 7 2 63" xfId="37898" xr:uid="{00000000-0005-0000-0000-00000A940000}"/>
    <cellStyle name="Normal 7 2 64" xfId="37899" xr:uid="{00000000-0005-0000-0000-00000B940000}"/>
    <cellStyle name="Normal 7 2 65" xfId="37900" xr:uid="{00000000-0005-0000-0000-00000C940000}"/>
    <cellStyle name="Normal 7 2 66" xfId="37901" xr:uid="{00000000-0005-0000-0000-00000D940000}"/>
    <cellStyle name="Normal 7 2 67" xfId="37902" xr:uid="{00000000-0005-0000-0000-00000E940000}"/>
    <cellStyle name="Normal 7 2 68" xfId="37903" xr:uid="{00000000-0005-0000-0000-00000F940000}"/>
    <cellStyle name="Normal 7 2 69" xfId="37904" xr:uid="{00000000-0005-0000-0000-000010940000}"/>
    <cellStyle name="Normal 7 2 7" xfId="37905" xr:uid="{00000000-0005-0000-0000-000011940000}"/>
    <cellStyle name="Normal 7 2 70" xfId="37906" xr:uid="{00000000-0005-0000-0000-000012940000}"/>
    <cellStyle name="Normal 7 2 71" xfId="37907" xr:uid="{00000000-0005-0000-0000-000013940000}"/>
    <cellStyle name="Normal 7 2 72" xfId="37908" xr:uid="{00000000-0005-0000-0000-000014940000}"/>
    <cellStyle name="Normal 7 2 73" xfId="37909" xr:uid="{00000000-0005-0000-0000-000015940000}"/>
    <cellStyle name="Normal 7 2 74" xfId="37910" xr:uid="{00000000-0005-0000-0000-000016940000}"/>
    <cellStyle name="Normal 7 2 75" xfId="37911" xr:uid="{00000000-0005-0000-0000-000017940000}"/>
    <cellStyle name="Normal 7 2 76" xfId="37912" xr:uid="{00000000-0005-0000-0000-000018940000}"/>
    <cellStyle name="Normal 7 2 77" xfId="37913" xr:uid="{00000000-0005-0000-0000-000019940000}"/>
    <cellStyle name="Normal 7 2 78" xfId="37914" xr:uid="{00000000-0005-0000-0000-00001A940000}"/>
    <cellStyle name="Normal 7 2 79" xfId="37915" xr:uid="{00000000-0005-0000-0000-00001B940000}"/>
    <cellStyle name="Normal 7 2 8" xfId="37916" xr:uid="{00000000-0005-0000-0000-00001C940000}"/>
    <cellStyle name="Normal 7 2 80" xfId="37917" xr:uid="{00000000-0005-0000-0000-00001D940000}"/>
    <cellStyle name="Normal 7 2 81" xfId="37918" xr:uid="{00000000-0005-0000-0000-00001E940000}"/>
    <cellStyle name="Normal 7 2 9" xfId="37919" xr:uid="{00000000-0005-0000-0000-00001F940000}"/>
    <cellStyle name="Normal 7 2_Enlaces" xfId="37920" xr:uid="{00000000-0005-0000-0000-000020940000}"/>
    <cellStyle name="Normal 7 20" xfId="37921" xr:uid="{00000000-0005-0000-0000-000021940000}"/>
    <cellStyle name="Normal 7 21" xfId="37922" xr:uid="{00000000-0005-0000-0000-000022940000}"/>
    <cellStyle name="Normal 7 22" xfId="37923" xr:uid="{00000000-0005-0000-0000-000023940000}"/>
    <cellStyle name="Normal 7 23" xfId="37924" xr:uid="{00000000-0005-0000-0000-000024940000}"/>
    <cellStyle name="Normal 7 24" xfId="37925" xr:uid="{00000000-0005-0000-0000-000025940000}"/>
    <cellStyle name="Normal 7 25" xfId="37926" xr:uid="{00000000-0005-0000-0000-000026940000}"/>
    <cellStyle name="Normal 7 26" xfId="37927" xr:uid="{00000000-0005-0000-0000-000027940000}"/>
    <cellStyle name="Normal 7 27" xfId="37928" xr:uid="{00000000-0005-0000-0000-000028940000}"/>
    <cellStyle name="Normal 7 28" xfId="37929" xr:uid="{00000000-0005-0000-0000-000029940000}"/>
    <cellStyle name="Normal 7 29" xfId="37930" xr:uid="{00000000-0005-0000-0000-00002A940000}"/>
    <cellStyle name="Normal 7 3" xfId="37931" xr:uid="{00000000-0005-0000-0000-00002B940000}"/>
    <cellStyle name="Normal 7 3 2" xfId="37932" xr:uid="{00000000-0005-0000-0000-00002C940000}"/>
    <cellStyle name="Normal 7 3 3" xfId="37933" xr:uid="{00000000-0005-0000-0000-00002D940000}"/>
    <cellStyle name="Normal 7 3 4" xfId="37934" xr:uid="{00000000-0005-0000-0000-00002E940000}"/>
    <cellStyle name="Normal 7 3 4 2" xfId="37935" xr:uid="{00000000-0005-0000-0000-00002F940000}"/>
    <cellStyle name="Normal 7 3 4 2 2" xfId="37936" xr:uid="{00000000-0005-0000-0000-000030940000}"/>
    <cellStyle name="Normal 7 3 4 3" xfId="37937" xr:uid="{00000000-0005-0000-0000-000031940000}"/>
    <cellStyle name="Normal 7 3 5" xfId="37938" xr:uid="{00000000-0005-0000-0000-000032940000}"/>
    <cellStyle name="Normal 7 3 6" xfId="37939" xr:uid="{00000000-0005-0000-0000-000033940000}"/>
    <cellStyle name="Normal 7 3 7" xfId="37940" xr:uid="{00000000-0005-0000-0000-000034940000}"/>
    <cellStyle name="Normal 7 3 7 2" xfId="37941" xr:uid="{00000000-0005-0000-0000-000035940000}"/>
    <cellStyle name="Normal 7 3_Implem" xfId="37942" xr:uid="{00000000-0005-0000-0000-000036940000}"/>
    <cellStyle name="Normal 7 30" xfId="37943" xr:uid="{00000000-0005-0000-0000-000037940000}"/>
    <cellStyle name="Normal 7 30 2" xfId="37944" xr:uid="{00000000-0005-0000-0000-000038940000}"/>
    <cellStyle name="Normal 7 31" xfId="37945" xr:uid="{00000000-0005-0000-0000-000039940000}"/>
    <cellStyle name="Normal 7 32" xfId="37946" xr:uid="{00000000-0005-0000-0000-00003A940000}"/>
    <cellStyle name="Normal 7 33" xfId="37947" xr:uid="{00000000-0005-0000-0000-00003B940000}"/>
    <cellStyle name="Normal 7 34" xfId="37948" xr:uid="{00000000-0005-0000-0000-00003C940000}"/>
    <cellStyle name="Normal 7 35" xfId="37949" xr:uid="{00000000-0005-0000-0000-00003D940000}"/>
    <cellStyle name="Normal 7 36" xfId="37950" xr:uid="{00000000-0005-0000-0000-00003E940000}"/>
    <cellStyle name="Normal 7 37" xfId="37951" xr:uid="{00000000-0005-0000-0000-00003F940000}"/>
    <cellStyle name="Normal 7 38" xfId="37952" xr:uid="{00000000-0005-0000-0000-000040940000}"/>
    <cellStyle name="Normal 7 39" xfId="37953" xr:uid="{00000000-0005-0000-0000-000041940000}"/>
    <cellStyle name="Normal 7 4" xfId="64" xr:uid="{00000000-0005-0000-0000-000040000000}"/>
    <cellStyle name="Normal 7 4 2" xfId="37954" xr:uid="{00000000-0005-0000-0000-000042940000}"/>
    <cellStyle name="Normal 7 40" xfId="37955" xr:uid="{00000000-0005-0000-0000-000043940000}"/>
    <cellStyle name="Normal 7 41" xfId="37956" xr:uid="{00000000-0005-0000-0000-000044940000}"/>
    <cellStyle name="Normal 7 42" xfId="37957" xr:uid="{00000000-0005-0000-0000-000045940000}"/>
    <cellStyle name="Normal 7 43" xfId="37958" xr:uid="{00000000-0005-0000-0000-000046940000}"/>
    <cellStyle name="Normal 7 44" xfId="37959" xr:uid="{00000000-0005-0000-0000-000047940000}"/>
    <cellStyle name="Normal 7 45" xfId="37960" xr:uid="{00000000-0005-0000-0000-000048940000}"/>
    <cellStyle name="Normal 7 46" xfId="37961" xr:uid="{00000000-0005-0000-0000-000049940000}"/>
    <cellStyle name="Normal 7 5" xfId="37962" xr:uid="{00000000-0005-0000-0000-00004A940000}"/>
    <cellStyle name="Normal 7 6" xfId="37963" xr:uid="{00000000-0005-0000-0000-00004B940000}"/>
    <cellStyle name="Normal 7 7" xfId="37964" xr:uid="{00000000-0005-0000-0000-00004C940000}"/>
    <cellStyle name="Normal 7 8" xfId="37965" xr:uid="{00000000-0005-0000-0000-00004D940000}"/>
    <cellStyle name="Normal 7 9" xfId="37966" xr:uid="{00000000-0005-0000-0000-00004E940000}"/>
    <cellStyle name="Normal 70" xfId="37967" xr:uid="{00000000-0005-0000-0000-00004F940000}"/>
    <cellStyle name="Normal 70 2" xfId="37968" xr:uid="{00000000-0005-0000-0000-000050940000}"/>
    <cellStyle name="Normal 71" xfId="37969" xr:uid="{00000000-0005-0000-0000-000051940000}"/>
    <cellStyle name="Normal 71 2" xfId="37970" xr:uid="{00000000-0005-0000-0000-000052940000}"/>
    <cellStyle name="Normal 72" xfId="37971" xr:uid="{00000000-0005-0000-0000-000053940000}"/>
    <cellStyle name="Normal 72 2" xfId="37972" xr:uid="{00000000-0005-0000-0000-000054940000}"/>
    <cellStyle name="Normal 72 3" xfId="37973" xr:uid="{00000000-0005-0000-0000-000055940000}"/>
    <cellStyle name="Normal 72 4" xfId="39197" xr:uid="{00000000-0005-0000-0000-00001D990000}"/>
    <cellStyle name="Normal 73" xfId="37974" xr:uid="{00000000-0005-0000-0000-000056940000}"/>
    <cellStyle name="Normal 73 2" xfId="37975" xr:uid="{00000000-0005-0000-0000-000057940000}"/>
    <cellStyle name="Normal 74" xfId="37976" xr:uid="{00000000-0005-0000-0000-000058940000}"/>
    <cellStyle name="Normal 74 2" xfId="37977" xr:uid="{00000000-0005-0000-0000-000059940000}"/>
    <cellStyle name="Normal 75" xfId="37978" xr:uid="{00000000-0005-0000-0000-00005A940000}"/>
    <cellStyle name="Normal 75 2" xfId="37979" xr:uid="{00000000-0005-0000-0000-00005B940000}"/>
    <cellStyle name="Normal 75 3" xfId="37980" xr:uid="{00000000-0005-0000-0000-00005C940000}"/>
    <cellStyle name="Normal 75 4" xfId="39198" xr:uid="{00000000-0005-0000-0000-00001E990000}"/>
    <cellStyle name="Normal 76" xfId="37981" xr:uid="{00000000-0005-0000-0000-00005D940000}"/>
    <cellStyle name="Normal 76 2" xfId="37982" xr:uid="{00000000-0005-0000-0000-00005E940000}"/>
    <cellStyle name="Normal 76 3" xfId="37983" xr:uid="{00000000-0005-0000-0000-00005F940000}"/>
    <cellStyle name="Normal 76 4" xfId="39199" xr:uid="{00000000-0005-0000-0000-00001F990000}"/>
    <cellStyle name="Normal 77" xfId="37984" xr:uid="{00000000-0005-0000-0000-000060940000}"/>
    <cellStyle name="Normal 77 2" xfId="37985" xr:uid="{00000000-0005-0000-0000-000061940000}"/>
    <cellStyle name="Normal 77 3" xfId="37986" xr:uid="{00000000-0005-0000-0000-000062940000}"/>
    <cellStyle name="Normal 77 4" xfId="39200" xr:uid="{00000000-0005-0000-0000-000020990000}"/>
    <cellStyle name="Normal 78" xfId="37987" xr:uid="{00000000-0005-0000-0000-000063940000}"/>
    <cellStyle name="Normal 78 2" xfId="37988" xr:uid="{00000000-0005-0000-0000-000064940000}"/>
    <cellStyle name="Normal 79" xfId="37989" xr:uid="{00000000-0005-0000-0000-000065940000}"/>
    <cellStyle name="Normal 79 2" xfId="37990" xr:uid="{00000000-0005-0000-0000-000066940000}"/>
    <cellStyle name="Normal 8" xfId="1" xr:uid="{00000000-0005-0000-0000-000001000000}"/>
    <cellStyle name="Normal 8 2" xfId="65" xr:uid="{00000000-0005-0000-0000-000041000000}"/>
    <cellStyle name="Normal 8 2 2" xfId="37993" xr:uid="{00000000-0005-0000-0000-000069940000}"/>
    <cellStyle name="Normal 8 2 2 2" xfId="37994" xr:uid="{00000000-0005-0000-0000-00006A940000}"/>
    <cellStyle name="Normal 8 2 3" xfId="37995" xr:uid="{00000000-0005-0000-0000-00006B940000}"/>
    <cellStyle name="Normal 8 2 3 2" xfId="37996" xr:uid="{00000000-0005-0000-0000-00006C940000}"/>
    <cellStyle name="Normal 8 2 4" xfId="37992" xr:uid="{00000000-0005-0000-0000-000068940000}"/>
    <cellStyle name="Normal 8 3" xfId="37" xr:uid="{00000000-0005-0000-0000-000025000000}"/>
    <cellStyle name="Normal 8 3 2" xfId="37997" xr:uid="{00000000-0005-0000-0000-00006D940000}"/>
    <cellStyle name="Normal 8 4" xfId="37998" xr:uid="{00000000-0005-0000-0000-00006E940000}"/>
    <cellStyle name="Normal 8 5" xfId="37999" xr:uid="{00000000-0005-0000-0000-00006F940000}"/>
    <cellStyle name="Normal 8 6" xfId="38000" xr:uid="{00000000-0005-0000-0000-000070940000}"/>
    <cellStyle name="Normal 8 7" xfId="38001" xr:uid="{00000000-0005-0000-0000-000071940000}"/>
    <cellStyle name="Normal 8 8" xfId="38002" xr:uid="{00000000-0005-0000-0000-000072940000}"/>
    <cellStyle name="Normal 8 8 2" xfId="38003" xr:uid="{00000000-0005-0000-0000-000073940000}"/>
    <cellStyle name="Normal 8 9" xfId="37991" xr:uid="{00000000-0005-0000-0000-000067940000}"/>
    <cellStyle name="Normal 80" xfId="38004" xr:uid="{00000000-0005-0000-0000-000074940000}"/>
    <cellStyle name="Normal 80 2" xfId="38005" xr:uid="{00000000-0005-0000-0000-000075940000}"/>
    <cellStyle name="Normal 80 3" xfId="38006" xr:uid="{00000000-0005-0000-0000-000076940000}"/>
    <cellStyle name="Normal 80 4" xfId="39201" xr:uid="{00000000-0005-0000-0000-000021990000}"/>
    <cellStyle name="Normal 81" xfId="3" xr:uid="{00000000-0005-0000-0000-000003000000}"/>
    <cellStyle name="Normal 81 2" xfId="38008" xr:uid="{00000000-0005-0000-0000-000078940000}"/>
    <cellStyle name="Normal 81 3" xfId="39202" xr:uid="{00000000-0005-0000-0000-000022990000}"/>
    <cellStyle name="Normal 81 4" xfId="38007" xr:uid="{00000000-0005-0000-0000-000077940000}"/>
    <cellStyle name="Normal 82" xfId="38009" xr:uid="{00000000-0005-0000-0000-000079940000}"/>
    <cellStyle name="Normal 82 2" xfId="38010" xr:uid="{00000000-0005-0000-0000-00007A940000}"/>
    <cellStyle name="Normal 83" xfId="38011" xr:uid="{00000000-0005-0000-0000-00007B940000}"/>
    <cellStyle name="Normal 83 2" xfId="38012" xr:uid="{00000000-0005-0000-0000-00007C940000}"/>
    <cellStyle name="Normal 83 3" xfId="38013" xr:uid="{00000000-0005-0000-0000-00007D940000}"/>
    <cellStyle name="Normal 83 4" xfId="39203" xr:uid="{00000000-0005-0000-0000-000023990000}"/>
    <cellStyle name="Normal 84" xfId="38014" xr:uid="{00000000-0005-0000-0000-00007E940000}"/>
    <cellStyle name="Normal 84 2" xfId="38015" xr:uid="{00000000-0005-0000-0000-00007F940000}"/>
    <cellStyle name="Normal 85" xfId="38016" xr:uid="{00000000-0005-0000-0000-000080940000}"/>
    <cellStyle name="Normal 85 2" xfId="38017" xr:uid="{00000000-0005-0000-0000-000081940000}"/>
    <cellStyle name="Normal 85 3" xfId="38018" xr:uid="{00000000-0005-0000-0000-000082940000}"/>
    <cellStyle name="Normal 86" xfId="38019" xr:uid="{00000000-0005-0000-0000-000083940000}"/>
    <cellStyle name="Normal 86 2" xfId="38020" xr:uid="{00000000-0005-0000-0000-000084940000}"/>
    <cellStyle name="Normal 86 3" xfId="38021" xr:uid="{00000000-0005-0000-0000-000085940000}"/>
    <cellStyle name="Normal 86 4" xfId="39204" xr:uid="{00000000-0005-0000-0000-000024990000}"/>
    <cellStyle name="Normal 87" xfId="38022" xr:uid="{00000000-0005-0000-0000-000086940000}"/>
    <cellStyle name="Normal 87 2" xfId="38023" xr:uid="{00000000-0005-0000-0000-000087940000}"/>
    <cellStyle name="Normal 88" xfId="38024" xr:uid="{00000000-0005-0000-0000-000088940000}"/>
    <cellStyle name="Normal 88 2" xfId="38025" xr:uid="{00000000-0005-0000-0000-000089940000}"/>
    <cellStyle name="Normal 88 3" xfId="38026" xr:uid="{00000000-0005-0000-0000-00008A940000}"/>
    <cellStyle name="Normal 88 4" xfId="39205" xr:uid="{00000000-0005-0000-0000-000025990000}"/>
    <cellStyle name="Normal 89" xfId="38027" xr:uid="{00000000-0005-0000-0000-00008B940000}"/>
    <cellStyle name="Normal 89 2" xfId="38028" xr:uid="{00000000-0005-0000-0000-00008C940000}"/>
    <cellStyle name="Normal 9" xfId="38" xr:uid="{00000000-0005-0000-0000-000026000000}"/>
    <cellStyle name="Normal 9 10" xfId="38030" xr:uid="{00000000-0005-0000-0000-00008E940000}"/>
    <cellStyle name="Normal 9 11" xfId="38031" xr:uid="{00000000-0005-0000-0000-00008F940000}"/>
    <cellStyle name="Normal 9 12" xfId="38032" xr:uid="{00000000-0005-0000-0000-000090940000}"/>
    <cellStyle name="Normal 9 13" xfId="38033" xr:uid="{00000000-0005-0000-0000-000091940000}"/>
    <cellStyle name="Normal 9 14" xfId="38034" xr:uid="{00000000-0005-0000-0000-000092940000}"/>
    <cellStyle name="Normal 9 15" xfId="38035" xr:uid="{00000000-0005-0000-0000-000093940000}"/>
    <cellStyle name="Normal 9 16" xfId="38036" xr:uid="{00000000-0005-0000-0000-000094940000}"/>
    <cellStyle name="Normal 9 17" xfId="38037" xr:uid="{00000000-0005-0000-0000-000095940000}"/>
    <cellStyle name="Normal 9 18" xfId="38038" xr:uid="{00000000-0005-0000-0000-000096940000}"/>
    <cellStyle name="Normal 9 19" xfId="38039" xr:uid="{00000000-0005-0000-0000-000097940000}"/>
    <cellStyle name="Normal 9 2" xfId="66" xr:uid="{00000000-0005-0000-0000-000042000000}"/>
    <cellStyle name="Normal 9 2 10" xfId="38041" xr:uid="{00000000-0005-0000-0000-000099940000}"/>
    <cellStyle name="Normal 9 2 11" xfId="38042" xr:uid="{00000000-0005-0000-0000-00009A940000}"/>
    <cellStyle name="Normal 9 2 12" xfId="38043" xr:uid="{00000000-0005-0000-0000-00009B940000}"/>
    <cellStyle name="Normal 9 2 13" xfId="38044" xr:uid="{00000000-0005-0000-0000-00009C940000}"/>
    <cellStyle name="Normal 9 2 14" xfId="38045" xr:uid="{00000000-0005-0000-0000-00009D940000}"/>
    <cellStyle name="Normal 9 2 15" xfId="38046" xr:uid="{00000000-0005-0000-0000-00009E940000}"/>
    <cellStyle name="Normal 9 2 16" xfId="38047" xr:uid="{00000000-0005-0000-0000-00009F940000}"/>
    <cellStyle name="Normal 9 2 17" xfId="38048" xr:uid="{00000000-0005-0000-0000-0000A0940000}"/>
    <cellStyle name="Normal 9 2 18" xfId="38049" xr:uid="{00000000-0005-0000-0000-0000A1940000}"/>
    <cellStyle name="Normal 9 2 19" xfId="38050" xr:uid="{00000000-0005-0000-0000-0000A2940000}"/>
    <cellStyle name="Normal 9 2 2" xfId="38051" xr:uid="{00000000-0005-0000-0000-0000A3940000}"/>
    <cellStyle name="Normal 9 2 2 2" xfId="38052" xr:uid="{00000000-0005-0000-0000-0000A4940000}"/>
    <cellStyle name="Normal 9 2 2 2 2" xfId="38053" xr:uid="{00000000-0005-0000-0000-0000A5940000}"/>
    <cellStyle name="Normal 9 2 20" xfId="38054" xr:uid="{00000000-0005-0000-0000-0000A6940000}"/>
    <cellStyle name="Normal 9 2 21" xfId="38055" xr:uid="{00000000-0005-0000-0000-0000A7940000}"/>
    <cellStyle name="Normal 9 2 22" xfId="38056" xr:uid="{00000000-0005-0000-0000-0000A8940000}"/>
    <cellStyle name="Normal 9 2 23" xfId="38057" xr:uid="{00000000-0005-0000-0000-0000A9940000}"/>
    <cellStyle name="Normal 9 2 24" xfId="38058" xr:uid="{00000000-0005-0000-0000-0000AA940000}"/>
    <cellStyle name="Normal 9 2 25" xfId="38059" xr:uid="{00000000-0005-0000-0000-0000AB940000}"/>
    <cellStyle name="Normal 9 2 26" xfId="38060" xr:uid="{00000000-0005-0000-0000-0000AC940000}"/>
    <cellStyle name="Normal 9 2 27" xfId="38061" xr:uid="{00000000-0005-0000-0000-0000AD940000}"/>
    <cellStyle name="Normal 9 2 28" xfId="38062" xr:uid="{00000000-0005-0000-0000-0000AE940000}"/>
    <cellStyle name="Normal 9 2 29" xfId="38063" xr:uid="{00000000-0005-0000-0000-0000AF940000}"/>
    <cellStyle name="Normal 9 2 3" xfId="38064" xr:uid="{00000000-0005-0000-0000-0000B0940000}"/>
    <cellStyle name="Normal 9 2 30" xfId="38065" xr:uid="{00000000-0005-0000-0000-0000B1940000}"/>
    <cellStyle name="Normal 9 2 31" xfId="38066" xr:uid="{00000000-0005-0000-0000-0000B2940000}"/>
    <cellStyle name="Normal 9 2 32" xfId="38067" xr:uid="{00000000-0005-0000-0000-0000B3940000}"/>
    <cellStyle name="Normal 9 2 33" xfId="38068" xr:uid="{00000000-0005-0000-0000-0000B4940000}"/>
    <cellStyle name="Normal 9 2 34" xfId="38069" xr:uid="{00000000-0005-0000-0000-0000B5940000}"/>
    <cellStyle name="Normal 9 2 35" xfId="38070" xr:uid="{00000000-0005-0000-0000-0000B6940000}"/>
    <cellStyle name="Normal 9 2 36" xfId="38071" xr:uid="{00000000-0005-0000-0000-0000B7940000}"/>
    <cellStyle name="Normal 9 2 37" xfId="38072" xr:uid="{00000000-0005-0000-0000-0000B8940000}"/>
    <cellStyle name="Normal 9 2 38" xfId="38073" xr:uid="{00000000-0005-0000-0000-0000B9940000}"/>
    <cellStyle name="Normal 9 2 39" xfId="38074" xr:uid="{00000000-0005-0000-0000-0000BA940000}"/>
    <cellStyle name="Normal 9 2 4" xfId="38075" xr:uid="{00000000-0005-0000-0000-0000BB940000}"/>
    <cellStyle name="Normal 9 2 40" xfId="38076" xr:uid="{00000000-0005-0000-0000-0000BC940000}"/>
    <cellStyle name="Normal 9 2 41" xfId="38077" xr:uid="{00000000-0005-0000-0000-0000BD940000}"/>
    <cellStyle name="Normal 9 2 42" xfId="38078" xr:uid="{00000000-0005-0000-0000-0000BE940000}"/>
    <cellStyle name="Normal 9 2 43" xfId="38079" xr:uid="{00000000-0005-0000-0000-0000BF940000}"/>
    <cellStyle name="Normal 9 2 44" xfId="38080" xr:uid="{00000000-0005-0000-0000-0000C0940000}"/>
    <cellStyle name="Normal 9 2 45" xfId="38081" xr:uid="{00000000-0005-0000-0000-0000C1940000}"/>
    <cellStyle name="Normal 9 2 46" xfId="38082" xr:uid="{00000000-0005-0000-0000-0000C2940000}"/>
    <cellStyle name="Normal 9 2 47" xfId="38083" xr:uid="{00000000-0005-0000-0000-0000C3940000}"/>
    <cellStyle name="Normal 9 2 48" xfId="38084" xr:uid="{00000000-0005-0000-0000-0000C4940000}"/>
    <cellStyle name="Normal 9 2 49" xfId="38085" xr:uid="{00000000-0005-0000-0000-0000C5940000}"/>
    <cellStyle name="Normal 9 2 5" xfId="38086" xr:uid="{00000000-0005-0000-0000-0000C6940000}"/>
    <cellStyle name="Normal 9 2 50" xfId="38087" xr:uid="{00000000-0005-0000-0000-0000C7940000}"/>
    <cellStyle name="Normal 9 2 51" xfId="38088" xr:uid="{00000000-0005-0000-0000-0000C8940000}"/>
    <cellStyle name="Normal 9 2 52" xfId="38089" xr:uid="{00000000-0005-0000-0000-0000C9940000}"/>
    <cellStyle name="Normal 9 2 53" xfId="38090" xr:uid="{00000000-0005-0000-0000-0000CA940000}"/>
    <cellStyle name="Normal 9 2 54" xfId="38091" xr:uid="{00000000-0005-0000-0000-0000CB940000}"/>
    <cellStyle name="Normal 9 2 55" xfId="38092" xr:uid="{00000000-0005-0000-0000-0000CC940000}"/>
    <cellStyle name="Normal 9 2 56" xfId="38093" xr:uid="{00000000-0005-0000-0000-0000CD940000}"/>
    <cellStyle name="Normal 9 2 57" xfId="38094" xr:uid="{00000000-0005-0000-0000-0000CE940000}"/>
    <cellStyle name="Normal 9 2 58" xfId="38095" xr:uid="{00000000-0005-0000-0000-0000CF940000}"/>
    <cellStyle name="Normal 9 2 59" xfId="38096" xr:uid="{00000000-0005-0000-0000-0000D0940000}"/>
    <cellStyle name="Normal 9 2 6" xfId="38097" xr:uid="{00000000-0005-0000-0000-0000D1940000}"/>
    <cellStyle name="Normal 9 2 60" xfId="38098" xr:uid="{00000000-0005-0000-0000-0000D2940000}"/>
    <cellStyle name="Normal 9 2 61" xfId="38099" xr:uid="{00000000-0005-0000-0000-0000D3940000}"/>
    <cellStyle name="Normal 9 2 62" xfId="38100" xr:uid="{00000000-0005-0000-0000-0000D4940000}"/>
    <cellStyle name="Normal 9 2 63" xfId="38101" xr:uid="{00000000-0005-0000-0000-0000D5940000}"/>
    <cellStyle name="Normal 9 2 64" xfId="38102" xr:uid="{00000000-0005-0000-0000-0000D6940000}"/>
    <cellStyle name="Normal 9 2 65" xfId="38103" xr:uid="{00000000-0005-0000-0000-0000D7940000}"/>
    <cellStyle name="Normal 9 2 66" xfId="38104" xr:uid="{00000000-0005-0000-0000-0000D8940000}"/>
    <cellStyle name="Normal 9 2 67" xfId="38105" xr:uid="{00000000-0005-0000-0000-0000D9940000}"/>
    <cellStyle name="Normal 9 2 68" xfId="38106" xr:uid="{00000000-0005-0000-0000-0000DA940000}"/>
    <cellStyle name="Normal 9 2 69" xfId="38107" xr:uid="{00000000-0005-0000-0000-0000DB940000}"/>
    <cellStyle name="Normal 9 2 7" xfId="38108" xr:uid="{00000000-0005-0000-0000-0000DC940000}"/>
    <cellStyle name="Normal 9 2 70" xfId="38109" xr:uid="{00000000-0005-0000-0000-0000DD940000}"/>
    <cellStyle name="Normal 9 2 71" xfId="38110" xr:uid="{00000000-0005-0000-0000-0000DE940000}"/>
    <cellStyle name="Normal 9 2 72" xfId="38111" xr:uid="{00000000-0005-0000-0000-0000DF940000}"/>
    <cellStyle name="Normal 9 2 73" xfId="38112" xr:uid="{00000000-0005-0000-0000-0000E0940000}"/>
    <cellStyle name="Normal 9 2 74" xfId="38113" xr:uid="{00000000-0005-0000-0000-0000E1940000}"/>
    <cellStyle name="Normal 9 2 75" xfId="38114" xr:uid="{00000000-0005-0000-0000-0000E2940000}"/>
    <cellStyle name="Normal 9 2 76" xfId="38115" xr:uid="{00000000-0005-0000-0000-0000E3940000}"/>
    <cellStyle name="Normal 9 2 77" xfId="38116" xr:uid="{00000000-0005-0000-0000-0000E4940000}"/>
    <cellStyle name="Normal 9 2 78" xfId="38117" xr:uid="{00000000-0005-0000-0000-0000E5940000}"/>
    <cellStyle name="Normal 9 2 79" xfId="38118" xr:uid="{00000000-0005-0000-0000-0000E6940000}"/>
    <cellStyle name="Normal 9 2 8" xfId="38119" xr:uid="{00000000-0005-0000-0000-0000E7940000}"/>
    <cellStyle name="Normal 9 2 80" xfId="38040" xr:uid="{00000000-0005-0000-0000-000098940000}"/>
    <cellStyle name="Normal 9 2 9" xfId="38120" xr:uid="{00000000-0005-0000-0000-0000E8940000}"/>
    <cellStyle name="Normal 9 2_Enlaces" xfId="38121" xr:uid="{00000000-0005-0000-0000-0000E9940000}"/>
    <cellStyle name="Normal 9 20" xfId="38122" xr:uid="{00000000-0005-0000-0000-0000EA940000}"/>
    <cellStyle name="Normal 9 20 2" xfId="38123" xr:uid="{00000000-0005-0000-0000-0000EB940000}"/>
    <cellStyle name="Normal 9 20 2 2" xfId="38124" xr:uid="{00000000-0005-0000-0000-0000EC940000}"/>
    <cellStyle name="Normal 9 20 2 3" xfId="38125" xr:uid="{00000000-0005-0000-0000-0000ED940000}"/>
    <cellStyle name="Normal 9 20 3" xfId="38126" xr:uid="{00000000-0005-0000-0000-0000EE940000}"/>
    <cellStyle name="Normal 9 20 4" xfId="38127" xr:uid="{00000000-0005-0000-0000-0000EF940000}"/>
    <cellStyle name="Normal 9 21" xfId="38128" xr:uid="{00000000-0005-0000-0000-0000F0940000}"/>
    <cellStyle name="Normal 9 21 2" xfId="38129" xr:uid="{00000000-0005-0000-0000-0000F1940000}"/>
    <cellStyle name="Normal 9 21 2 2" xfId="38130" xr:uid="{00000000-0005-0000-0000-0000F2940000}"/>
    <cellStyle name="Normal 9 21 2 3" xfId="38131" xr:uid="{00000000-0005-0000-0000-0000F3940000}"/>
    <cellStyle name="Normal 9 21 3" xfId="38132" xr:uid="{00000000-0005-0000-0000-0000F4940000}"/>
    <cellStyle name="Normal 9 21 4" xfId="38133" xr:uid="{00000000-0005-0000-0000-0000F5940000}"/>
    <cellStyle name="Normal 9 22" xfId="38134" xr:uid="{00000000-0005-0000-0000-0000F6940000}"/>
    <cellStyle name="Normal 9 22 2" xfId="38135" xr:uid="{00000000-0005-0000-0000-0000F7940000}"/>
    <cellStyle name="Normal 9 22 2 2" xfId="38136" xr:uid="{00000000-0005-0000-0000-0000F8940000}"/>
    <cellStyle name="Normal 9 22 2 3" xfId="38137" xr:uid="{00000000-0005-0000-0000-0000F9940000}"/>
    <cellStyle name="Normal 9 22 3" xfId="38138" xr:uid="{00000000-0005-0000-0000-0000FA940000}"/>
    <cellStyle name="Normal 9 22 4" xfId="38139" xr:uid="{00000000-0005-0000-0000-0000FB940000}"/>
    <cellStyle name="Normal 9 23" xfId="38140" xr:uid="{00000000-0005-0000-0000-0000FC940000}"/>
    <cellStyle name="Normal 9 23 2" xfId="38141" xr:uid="{00000000-0005-0000-0000-0000FD940000}"/>
    <cellStyle name="Normal 9 23 2 2" xfId="38142" xr:uid="{00000000-0005-0000-0000-0000FE940000}"/>
    <cellStyle name="Normal 9 23 2 3" xfId="38143" xr:uid="{00000000-0005-0000-0000-0000FF940000}"/>
    <cellStyle name="Normal 9 23 3" xfId="38144" xr:uid="{00000000-0005-0000-0000-000000950000}"/>
    <cellStyle name="Normal 9 23 4" xfId="38145" xr:uid="{00000000-0005-0000-0000-000001950000}"/>
    <cellStyle name="Normal 9 24" xfId="38146" xr:uid="{00000000-0005-0000-0000-000002950000}"/>
    <cellStyle name="Normal 9 24 2" xfId="38147" xr:uid="{00000000-0005-0000-0000-000003950000}"/>
    <cellStyle name="Normal 9 24 2 2" xfId="38148" xr:uid="{00000000-0005-0000-0000-000004950000}"/>
    <cellStyle name="Normal 9 24 2 3" xfId="38149" xr:uid="{00000000-0005-0000-0000-000005950000}"/>
    <cellStyle name="Normal 9 24 3" xfId="38150" xr:uid="{00000000-0005-0000-0000-000006950000}"/>
    <cellStyle name="Normal 9 24 4" xfId="38151" xr:uid="{00000000-0005-0000-0000-000007950000}"/>
    <cellStyle name="Normal 9 25" xfId="38152" xr:uid="{00000000-0005-0000-0000-000008950000}"/>
    <cellStyle name="Normal 9 25 2" xfId="38153" xr:uid="{00000000-0005-0000-0000-000009950000}"/>
    <cellStyle name="Normal 9 25 2 2" xfId="38154" xr:uid="{00000000-0005-0000-0000-00000A950000}"/>
    <cellStyle name="Normal 9 25 2 3" xfId="38155" xr:uid="{00000000-0005-0000-0000-00000B950000}"/>
    <cellStyle name="Normal 9 25 3" xfId="38156" xr:uid="{00000000-0005-0000-0000-00000C950000}"/>
    <cellStyle name="Normal 9 25 4" xfId="38157" xr:uid="{00000000-0005-0000-0000-00000D950000}"/>
    <cellStyle name="Normal 9 26" xfId="38158" xr:uid="{00000000-0005-0000-0000-00000E950000}"/>
    <cellStyle name="Normal 9 26 2" xfId="38159" xr:uid="{00000000-0005-0000-0000-00000F950000}"/>
    <cellStyle name="Normal 9 26 2 2" xfId="38160" xr:uid="{00000000-0005-0000-0000-000010950000}"/>
    <cellStyle name="Normal 9 26 2 3" xfId="38161" xr:uid="{00000000-0005-0000-0000-000011950000}"/>
    <cellStyle name="Normal 9 26 3" xfId="38162" xr:uid="{00000000-0005-0000-0000-000012950000}"/>
    <cellStyle name="Normal 9 26 4" xfId="38163" xr:uid="{00000000-0005-0000-0000-000013950000}"/>
    <cellStyle name="Normal 9 27" xfId="38164" xr:uid="{00000000-0005-0000-0000-000014950000}"/>
    <cellStyle name="Normal 9 27 2" xfId="38165" xr:uid="{00000000-0005-0000-0000-000015950000}"/>
    <cellStyle name="Normal 9 27 2 2" xfId="38166" xr:uid="{00000000-0005-0000-0000-000016950000}"/>
    <cellStyle name="Normal 9 27 2 3" xfId="38167" xr:uid="{00000000-0005-0000-0000-000017950000}"/>
    <cellStyle name="Normal 9 27 3" xfId="38168" xr:uid="{00000000-0005-0000-0000-000018950000}"/>
    <cellStyle name="Normal 9 27 4" xfId="38169" xr:uid="{00000000-0005-0000-0000-000019950000}"/>
    <cellStyle name="Normal 9 28" xfId="38170" xr:uid="{00000000-0005-0000-0000-00001A950000}"/>
    <cellStyle name="Normal 9 28 2" xfId="38171" xr:uid="{00000000-0005-0000-0000-00001B950000}"/>
    <cellStyle name="Normal 9 28 2 2" xfId="38172" xr:uid="{00000000-0005-0000-0000-00001C950000}"/>
    <cellStyle name="Normal 9 28 2 3" xfId="38173" xr:uid="{00000000-0005-0000-0000-00001D950000}"/>
    <cellStyle name="Normal 9 28 3" xfId="38174" xr:uid="{00000000-0005-0000-0000-00001E950000}"/>
    <cellStyle name="Normal 9 28 4" xfId="38175" xr:uid="{00000000-0005-0000-0000-00001F950000}"/>
    <cellStyle name="Normal 9 29" xfId="38176" xr:uid="{00000000-0005-0000-0000-000020950000}"/>
    <cellStyle name="Normal 9 29 2" xfId="38177" xr:uid="{00000000-0005-0000-0000-000021950000}"/>
    <cellStyle name="Normal 9 29 2 2" xfId="38178" xr:uid="{00000000-0005-0000-0000-000022950000}"/>
    <cellStyle name="Normal 9 29 2 3" xfId="38179" xr:uid="{00000000-0005-0000-0000-000023950000}"/>
    <cellStyle name="Normal 9 29 3" xfId="38180" xr:uid="{00000000-0005-0000-0000-000024950000}"/>
    <cellStyle name="Normal 9 29 4" xfId="38181" xr:uid="{00000000-0005-0000-0000-000025950000}"/>
    <cellStyle name="Normal 9 3" xfId="38182" xr:uid="{00000000-0005-0000-0000-000026950000}"/>
    <cellStyle name="Normal 9 3 2" xfId="38183" xr:uid="{00000000-0005-0000-0000-000027950000}"/>
    <cellStyle name="Normal 9 3 2 2" xfId="38184" xr:uid="{00000000-0005-0000-0000-000028950000}"/>
    <cellStyle name="Normal 9 3 2 2 2" xfId="38185" xr:uid="{00000000-0005-0000-0000-000029950000}"/>
    <cellStyle name="Normal 9 3 2 2 3" xfId="38186" xr:uid="{00000000-0005-0000-0000-00002A950000}"/>
    <cellStyle name="Normal 9 3 2 3" xfId="38187" xr:uid="{00000000-0005-0000-0000-00002B950000}"/>
    <cellStyle name="Normal 9 3 2 4" xfId="38188" xr:uid="{00000000-0005-0000-0000-00002C950000}"/>
    <cellStyle name="Normal 9 3 3" xfId="38189" xr:uid="{00000000-0005-0000-0000-00002D950000}"/>
    <cellStyle name="Normal 9 3 3 2" xfId="38190" xr:uid="{00000000-0005-0000-0000-00002E950000}"/>
    <cellStyle name="Normal 9 3 3 2 2" xfId="38191" xr:uid="{00000000-0005-0000-0000-00002F950000}"/>
    <cellStyle name="Normal 9 3 3 2 3" xfId="38192" xr:uid="{00000000-0005-0000-0000-000030950000}"/>
    <cellStyle name="Normal 9 3 3 3" xfId="38193" xr:uid="{00000000-0005-0000-0000-000031950000}"/>
    <cellStyle name="Normal 9 3 3 4" xfId="38194" xr:uid="{00000000-0005-0000-0000-000032950000}"/>
    <cellStyle name="Normal 9 3 4" xfId="38195" xr:uid="{00000000-0005-0000-0000-000033950000}"/>
    <cellStyle name="Normal 9 3 4 2" xfId="38196" xr:uid="{00000000-0005-0000-0000-000034950000}"/>
    <cellStyle name="Normal 9 3 4 2 2" xfId="38197" xr:uid="{00000000-0005-0000-0000-000035950000}"/>
    <cellStyle name="Normal 9 3 4 2 2 2" xfId="38198" xr:uid="{00000000-0005-0000-0000-000036950000}"/>
    <cellStyle name="Normal 9 3 4 2 2 2 2" xfId="38199" xr:uid="{00000000-0005-0000-0000-000037950000}"/>
    <cellStyle name="Normal 9 3 4 2 2 2 3" xfId="38200" xr:uid="{00000000-0005-0000-0000-000038950000}"/>
    <cellStyle name="Normal 9 3 4 2 2 3" xfId="38201" xr:uid="{00000000-0005-0000-0000-000039950000}"/>
    <cellStyle name="Normal 9 3 4 2 2 4" xfId="38202" xr:uid="{00000000-0005-0000-0000-00003A950000}"/>
    <cellStyle name="Normal 9 3 4 3" xfId="38203" xr:uid="{00000000-0005-0000-0000-00003B950000}"/>
    <cellStyle name="Normal 9 3 4 3 2" xfId="38204" xr:uid="{00000000-0005-0000-0000-00003C950000}"/>
    <cellStyle name="Normal 9 3 4 3 2 2" xfId="38205" xr:uid="{00000000-0005-0000-0000-00003D950000}"/>
    <cellStyle name="Normal 9 3 4 3 2 3" xfId="38206" xr:uid="{00000000-0005-0000-0000-00003E950000}"/>
    <cellStyle name="Normal 9 3 4 3 3" xfId="38207" xr:uid="{00000000-0005-0000-0000-00003F950000}"/>
    <cellStyle name="Normal 9 3 4 3 4" xfId="38208" xr:uid="{00000000-0005-0000-0000-000040950000}"/>
    <cellStyle name="Normal 9 3 4 4" xfId="38209" xr:uid="{00000000-0005-0000-0000-000041950000}"/>
    <cellStyle name="Normal 9 3 4 4 2" xfId="38210" xr:uid="{00000000-0005-0000-0000-000042950000}"/>
    <cellStyle name="Normal 9 3 4 4 3" xfId="38211" xr:uid="{00000000-0005-0000-0000-000043950000}"/>
    <cellStyle name="Normal 9 3 4 5" xfId="38212" xr:uid="{00000000-0005-0000-0000-000044950000}"/>
    <cellStyle name="Normal 9 3 5" xfId="38213" xr:uid="{00000000-0005-0000-0000-000045950000}"/>
    <cellStyle name="Normal 9 3 5 2" xfId="38214" xr:uid="{00000000-0005-0000-0000-000046950000}"/>
    <cellStyle name="Normal 9 3 5 2 2" xfId="38215" xr:uid="{00000000-0005-0000-0000-000047950000}"/>
    <cellStyle name="Normal 9 3 5 2 3" xfId="38216" xr:uid="{00000000-0005-0000-0000-000048950000}"/>
    <cellStyle name="Normal 9 3 5 3" xfId="38217" xr:uid="{00000000-0005-0000-0000-000049950000}"/>
    <cellStyle name="Normal 9 3 5 4" xfId="38218" xr:uid="{00000000-0005-0000-0000-00004A950000}"/>
    <cellStyle name="Normal 9 3 6" xfId="38219" xr:uid="{00000000-0005-0000-0000-00004B950000}"/>
    <cellStyle name="Normal 9 3 6 2" xfId="38220" xr:uid="{00000000-0005-0000-0000-00004C950000}"/>
    <cellStyle name="Normal 9 3 6 2 2" xfId="38221" xr:uid="{00000000-0005-0000-0000-00004D950000}"/>
    <cellStyle name="Normal 9 3 6 2 3" xfId="38222" xr:uid="{00000000-0005-0000-0000-00004E950000}"/>
    <cellStyle name="Normal 9 3 6 3" xfId="38223" xr:uid="{00000000-0005-0000-0000-00004F950000}"/>
    <cellStyle name="Normal 9 3 6 4" xfId="38224" xr:uid="{00000000-0005-0000-0000-000050950000}"/>
    <cellStyle name="Normal 9 3 7" xfId="38225" xr:uid="{00000000-0005-0000-0000-000051950000}"/>
    <cellStyle name="Normal 9 3 7 2" xfId="38226" xr:uid="{00000000-0005-0000-0000-000052950000}"/>
    <cellStyle name="Normal 9 3 7 3" xfId="38227" xr:uid="{00000000-0005-0000-0000-000053950000}"/>
    <cellStyle name="Normal 9 3 7 3 2" xfId="38228" xr:uid="{00000000-0005-0000-0000-000054950000}"/>
    <cellStyle name="Normal 9 3 7 3 3" xfId="38229" xr:uid="{00000000-0005-0000-0000-000055950000}"/>
    <cellStyle name="Normal 9 3 7 4" xfId="38230" xr:uid="{00000000-0005-0000-0000-000056950000}"/>
    <cellStyle name="Normal 9 3 8" xfId="38231" xr:uid="{00000000-0005-0000-0000-000057950000}"/>
    <cellStyle name="Normal 9 3 9" xfId="38232" xr:uid="{00000000-0005-0000-0000-000058950000}"/>
    <cellStyle name="Normal 9 3 9 2" xfId="38233" xr:uid="{00000000-0005-0000-0000-000059950000}"/>
    <cellStyle name="Normal 9 3 9 2 2" xfId="38234" xr:uid="{00000000-0005-0000-0000-00005A950000}"/>
    <cellStyle name="Normal 9 3 9 2 3" xfId="38235" xr:uid="{00000000-0005-0000-0000-00005B950000}"/>
    <cellStyle name="Normal 9 3 9 3" xfId="38236" xr:uid="{00000000-0005-0000-0000-00005C950000}"/>
    <cellStyle name="Normal 9 3 9 4" xfId="38237" xr:uid="{00000000-0005-0000-0000-00005D950000}"/>
    <cellStyle name="Normal 9 3_Implem" xfId="38238" xr:uid="{00000000-0005-0000-0000-00005E950000}"/>
    <cellStyle name="Normal 9 30" xfId="39188" xr:uid="{00000000-0005-0000-0000-000014990000}"/>
    <cellStyle name="Normal 9 31" xfId="38029" xr:uid="{00000000-0005-0000-0000-00008D940000}"/>
    <cellStyle name="Normal 9 4" xfId="38239" xr:uid="{00000000-0005-0000-0000-00005F950000}"/>
    <cellStyle name="Normal 9 4 2" xfId="38240" xr:uid="{00000000-0005-0000-0000-000060950000}"/>
    <cellStyle name="Normal 9 4 2 2" xfId="38241" xr:uid="{00000000-0005-0000-0000-000061950000}"/>
    <cellStyle name="Normal 9 4 2 3" xfId="38242" xr:uid="{00000000-0005-0000-0000-000062950000}"/>
    <cellStyle name="Normal 9 4 3" xfId="38243" xr:uid="{00000000-0005-0000-0000-000063950000}"/>
    <cellStyle name="Normal 9 4 4" xfId="38244" xr:uid="{00000000-0005-0000-0000-000064950000}"/>
    <cellStyle name="Normal 9 5" xfId="38245" xr:uid="{00000000-0005-0000-0000-000065950000}"/>
    <cellStyle name="Normal 9 5 2" xfId="38246" xr:uid="{00000000-0005-0000-0000-000066950000}"/>
    <cellStyle name="Normal 9 5 2 2" xfId="38247" xr:uid="{00000000-0005-0000-0000-000067950000}"/>
    <cellStyle name="Normal 9 5 2 3" xfId="38248" xr:uid="{00000000-0005-0000-0000-000068950000}"/>
    <cellStyle name="Normal 9 5 3" xfId="38249" xr:uid="{00000000-0005-0000-0000-000069950000}"/>
    <cellStyle name="Normal 9 5 4" xfId="38250" xr:uid="{00000000-0005-0000-0000-00006A950000}"/>
    <cellStyle name="Normal 9 6" xfId="38251" xr:uid="{00000000-0005-0000-0000-00006B950000}"/>
    <cellStyle name="Normal 9 6 2" xfId="38252" xr:uid="{00000000-0005-0000-0000-00006C950000}"/>
    <cellStyle name="Normal 9 6 2 2" xfId="38253" xr:uid="{00000000-0005-0000-0000-00006D950000}"/>
    <cellStyle name="Normal 9 6 2 3" xfId="38254" xr:uid="{00000000-0005-0000-0000-00006E950000}"/>
    <cellStyle name="Normal 9 6 3" xfId="38255" xr:uid="{00000000-0005-0000-0000-00006F950000}"/>
    <cellStyle name="Normal 9 6 4" xfId="38256" xr:uid="{00000000-0005-0000-0000-000070950000}"/>
    <cellStyle name="Normal 9 7" xfId="38257" xr:uid="{00000000-0005-0000-0000-000071950000}"/>
    <cellStyle name="Normal 9 7 2" xfId="38258" xr:uid="{00000000-0005-0000-0000-000072950000}"/>
    <cellStyle name="Normal 9 7 2 2" xfId="38259" xr:uid="{00000000-0005-0000-0000-000073950000}"/>
    <cellStyle name="Normal 9 7 2 3" xfId="38260" xr:uid="{00000000-0005-0000-0000-000074950000}"/>
    <cellStyle name="Normal 9 7 3" xfId="38261" xr:uid="{00000000-0005-0000-0000-000075950000}"/>
    <cellStyle name="Normal 9 7 4" xfId="38262" xr:uid="{00000000-0005-0000-0000-000076950000}"/>
    <cellStyle name="Normal 9 8" xfId="38263" xr:uid="{00000000-0005-0000-0000-000077950000}"/>
    <cellStyle name="Normal 9 8 2" xfId="38264" xr:uid="{00000000-0005-0000-0000-000078950000}"/>
    <cellStyle name="Normal 9 8 2 2" xfId="38265" xr:uid="{00000000-0005-0000-0000-000079950000}"/>
    <cellStyle name="Normal 9 8 2 3" xfId="38266" xr:uid="{00000000-0005-0000-0000-00007A950000}"/>
    <cellStyle name="Normal 9 8 3" xfId="38267" xr:uid="{00000000-0005-0000-0000-00007B950000}"/>
    <cellStyle name="Normal 9 8 4" xfId="38268" xr:uid="{00000000-0005-0000-0000-00007C950000}"/>
    <cellStyle name="Normal 9 9" xfId="38269" xr:uid="{00000000-0005-0000-0000-00007D950000}"/>
    <cellStyle name="Normal 9 9 2" xfId="38270" xr:uid="{00000000-0005-0000-0000-00007E950000}"/>
    <cellStyle name="Normal 9 9 2 2" xfId="38271" xr:uid="{00000000-0005-0000-0000-00007F950000}"/>
    <cellStyle name="Normal 9 9 2 3" xfId="38272" xr:uid="{00000000-0005-0000-0000-000080950000}"/>
    <cellStyle name="Normal 9 9 3" xfId="38273" xr:uid="{00000000-0005-0000-0000-000081950000}"/>
    <cellStyle name="Normal 9 9 4" xfId="38274" xr:uid="{00000000-0005-0000-0000-000082950000}"/>
    <cellStyle name="Normal 90" xfId="38275" xr:uid="{00000000-0005-0000-0000-000083950000}"/>
    <cellStyle name="Normal 90 2" xfId="38276" xr:uid="{00000000-0005-0000-0000-000084950000}"/>
    <cellStyle name="Normal 90 2 2" xfId="38277" xr:uid="{00000000-0005-0000-0000-000085950000}"/>
    <cellStyle name="Normal 90 2 2 2" xfId="38278" xr:uid="{00000000-0005-0000-0000-000086950000}"/>
    <cellStyle name="Normal 90 2 2 3" xfId="38279" xr:uid="{00000000-0005-0000-0000-000087950000}"/>
    <cellStyle name="Normal 90 2 3" xfId="38280" xr:uid="{00000000-0005-0000-0000-000088950000}"/>
    <cellStyle name="Normal 90 2 4" xfId="38281" xr:uid="{00000000-0005-0000-0000-000089950000}"/>
    <cellStyle name="Normal 90 3" xfId="38282" xr:uid="{00000000-0005-0000-0000-00008A950000}"/>
    <cellStyle name="Normal 90 3 2" xfId="38283" xr:uid="{00000000-0005-0000-0000-00008B950000}"/>
    <cellStyle name="Normal 90 3 3" xfId="38284" xr:uid="{00000000-0005-0000-0000-00008C950000}"/>
    <cellStyle name="Normal 90 4" xfId="38285" xr:uid="{00000000-0005-0000-0000-00008D950000}"/>
    <cellStyle name="Normal 90 5" xfId="38286" xr:uid="{00000000-0005-0000-0000-00008E950000}"/>
    <cellStyle name="Normal 91" xfId="38287" xr:uid="{00000000-0005-0000-0000-00008F950000}"/>
    <cellStyle name="Normal 91 2" xfId="38288" xr:uid="{00000000-0005-0000-0000-000090950000}"/>
    <cellStyle name="Normal 91 2 2" xfId="38289" xr:uid="{00000000-0005-0000-0000-000091950000}"/>
    <cellStyle name="Normal 91 2 2 2" xfId="38290" xr:uid="{00000000-0005-0000-0000-000092950000}"/>
    <cellStyle name="Normal 91 2 2 3" xfId="38291" xr:uid="{00000000-0005-0000-0000-000093950000}"/>
    <cellStyle name="Normal 91 2 3" xfId="38292" xr:uid="{00000000-0005-0000-0000-000094950000}"/>
    <cellStyle name="Normal 91 2 4" xfId="38293" xr:uid="{00000000-0005-0000-0000-000095950000}"/>
    <cellStyle name="Normal 91 3" xfId="38294" xr:uid="{00000000-0005-0000-0000-000096950000}"/>
    <cellStyle name="Normal 91 3 2" xfId="38295" xr:uid="{00000000-0005-0000-0000-000097950000}"/>
    <cellStyle name="Normal 91 3 3" xfId="38296" xr:uid="{00000000-0005-0000-0000-000098950000}"/>
    <cellStyle name="Normal 91 4" xfId="38297" xr:uid="{00000000-0005-0000-0000-000099950000}"/>
    <cellStyle name="Normal 91 5" xfId="38298" xr:uid="{00000000-0005-0000-0000-00009A950000}"/>
    <cellStyle name="Normal 92" xfId="38299" xr:uid="{00000000-0005-0000-0000-00009B950000}"/>
    <cellStyle name="Normal 92 2" xfId="38300" xr:uid="{00000000-0005-0000-0000-00009C950000}"/>
    <cellStyle name="Normal 92 2 2" xfId="38301" xr:uid="{00000000-0005-0000-0000-00009D950000}"/>
    <cellStyle name="Normal 92 2 2 2" xfId="38302" xr:uid="{00000000-0005-0000-0000-00009E950000}"/>
    <cellStyle name="Normal 92 2 2 3" xfId="38303" xr:uid="{00000000-0005-0000-0000-00009F950000}"/>
    <cellStyle name="Normal 92 2 3" xfId="38304" xr:uid="{00000000-0005-0000-0000-0000A0950000}"/>
    <cellStyle name="Normal 92 2 4" xfId="38305" xr:uid="{00000000-0005-0000-0000-0000A1950000}"/>
    <cellStyle name="Normal 92 3" xfId="38306" xr:uid="{00000000-0005-0000-0000-0000A2950000}"/>
    <cellStyle name="Normal 92 3 2" xfId="38307" xr:uid="{00000000-0005-0000-0000-0000A3950000}"/>
    <cellStyle name="Normal 92 3 3" xfId="38308" xr:uid="{00000000-0005-0000-0000-0000A4950000}"/>
    <cellStyle name="Normal 92 4" xfId="38309" xr:uid="{00000000-0005-0000-0000-0000A5950000}"/>
    <cellStyle name="Normal 92 5" xfId="38310" xr:uid="{00000000-0005-0000-0000-0000A6950000}"/>
    <cellStyle name="Normal 92 6" xfId="38311" xr:uid="{00000000-0005-0000-0000-0000A7950000}"/>
    <cellStyle name="Normal 92 7" xfId="39206" xr:uid="{00000000-0005-0000-0000-000026990000}"/>
    <cellStyle name="Normal 93" xfId="38312" xr:uid="{00000000-0005-0000-0000-0000A8950000}"/>
    <cellStyle name="Normal 93 2" xfId="38313" xr:uid="{00000000-0005-0000-0000-0000A9950000}"/>
    <cellStyle name="Normal 93 2 2" xfId="38314" xr:uid="{00000000-0005-0000-0000-0000AA950000}"/>
    <cellStyle name="Normal 93 2 2 2" xfId="38315" xr:uid="{00000000-0005-0000-0000-0000AB950000}"/>
    <cellStyle name="Normal 93 2 2 3" xfId="38316" xr:uid="{00000000-0005-0000-0000-0000AC950000}"/>
    <cellStyle name="Normal 93 2 3" xfId="38317" xr:uid="{00000000-0005-0000-0000-0000AD950000}"/>
    <cellStyle name="Normal 93 2 4" xfId="38318" xr:uid="{00000000-0005-0000-0000-0000AE950000}"/>
    <cellStyle name="Normal 93 3" xfId="38319" xr:uid="{00000000-0005-0000-0000-0000AF950000}"/>
    <cellStyle name="Normal 93 3 2" xfId="38320" xr:uid="{00000000-0005-0000-0000-0000B0950000}"/>
    <cellStyle name="Normal 93 3 3" xfId="38321" xr:uid="{00000000-0005-0000-0000-0000B1950000}"/>
    <cellStyle name="Normal 93 4" xfId="38322" xr:uid="{00000000-0005-0000-0000-0000B2950000}"/>
    <cellStyle name="Normal 93 5" xfId="38323" xr:uid="{00000000-0005-0000-0000-0000B3950000}"/>
    <cellStyle name="Normal 93 6" xfId="38324" xr:uid="{00000000-0005-0000-0000-0000B4950000}"/>
    <cellStyle name="Normal 93 7" xfId="39207" xr:uid="{00000000-0005-0000-0000-000027990000}"/>
    <cellStyle name="Normal 94" xfId="38325" xr:uid="{00000000-0005-0000-0000-0000B5950000}"/>
    <cellStyle name="Normal 94 2" xfId="38326" xr:uid="{00000000-0005-0000-0000-0000B6950000}"/>
    <cellStyle name="Normal 94 2 2" xfId="38327" xr:uid="{00000000-0005-0000-0000-0000B7950000}"/>
    <cellStyle name="Normal 94 2 2 2" xfId="38328" xr:uid="{00000000-0005-0000-0000-0000B8950000}"/>
    <cellStyle name="Normal 94 2 2 3" xfId="38329" xr:uid="{00000000-0005-0000-0000-0000B9950000}"/>
    <cellStyle name="Normal 94 2 3" xfId="38330" xr:uid="{00000000-0005-0000-0000-0000BA950000}"/>
    <cellStyle name="Normal 94 2 4" xfId="38331" xr:uid="{00000000-0005-0000-0000-0000BB950000}"/>
    <cellStyle name="Normal 94 3" xfId="38332" xr:uid="{00000000-0005-0000-0000-0000BC950000}"/>
    <cellStyle name="Normal 94 3 2" xfId="38333" xr:uid="{00000000-0005-0000-0000-0000BD950000}"/>
    <cellStyle name="Normal 94 3 3" xfId="38334" xr:uid="{00000000-0005-0000-0000-0000BE950000}"/>
    <cellStyle name="Normal 94 4" xfId="38335" xr:uid="{00000000-0005-0000-0000-0000BF950000}"/>
    <cellStyle name="Normal 94 5" xfId="38336" xr:uid="{00000000-0005-0000-0000-0000C0950000}"/>
    <cellStyle name="Normal 94 6" xfId="38337" xr:uid="{00000000-0005-0000-0000-0000C1950000}"/>
    <cellStyle name="Normal 95" xfId="38338" xr:uid="{00000000-0005-0000-0000-0000C2950000}"/>
    <cellStyle name="Normal 95 2" xfId="38339" xr:uid="{00000000-0005-0000-0000-0000C3950000}"/>
    <cellStyle name="Normal 95 2 2" xfId="38340" xr:uid="{00000000-0005-0000-0000-0000C4950000}"/>
    <cellStyle name="Normal 95 2 2 2" xfId="38341" xr:uid="{00000000-0005-0000-0000-0000C5950000}"/>
    <cellStyle name="Normal 95 2 2 3" xfId="38342" xr:uid="{00000000-0005-0000-0000-0000C6950000}"/>
    <cellStyle name="Normal 95 2 3" xfId="38343" xr:uid="{00000000-0005-0000-0000-0000C7950000}"/>
    <cellStyle name="Normal 95 2 4" xfId="38344" xr:uid="{00000000-0005-0000-0000-0000C8950000}"/>
    <cellStyle name="Normal 95 3" xfId="38345" xr:uid="{00000000-0005-0000-0000-0000C9950000}"/>
    <cellStyle name="Normal 95 3 2" xfId="38346" xr:uid="{00000000-0005-0000-0000-0000CA950000}"/>
    <cellStyle name="Normal 95 3 3" xfId="38347" xr:uid="{00000000-0005-0000-0000-0000CB950000}"/>
    <cellStyle name="Normal 95 4" xfId="38348" xr:uid="{00000000-0005-0000-0000-0000CC950000}"/>
    <cellStyle name="Normal 95 5" xfId="38349" xr:uid="{00000000-0005-0000-0000-0000CD950000}"/>
    <cellStyle name="Normal 96" xfId="38350" xr:uid="{00000000-0005-0000-0000-0000CE950000}"/>
    <cellStyle name="Normal 96 2" xfId="38351" xr:uid="{00000000-0005-0000-0000-0000CF950000}"/>
    <cellStyle name="Normal 96 2 2" xfId="38352" xr:uid="{00000000-0005-0000-0000-0000D0950000}"/>
    <cellStyle name="Normal 96 2 2 2" xfId="38353" xr:uid="{00000000-0005-0000-0000-0000D1950000}"/>
    <cellStyle name="Normal 96 2 2 3" xfId="38354" xr:uid="{00000000-0005-0000-0000-0000D2950000}"/>
    <cellStyle name="Normal 96 2 3" xfId="38355" xr:uid="{00000000-0005-0000-0000-0000D3950000}"/>
    <cellStyle name="Normal 96 2 4" xfId="38356" xr:uid="{00000000-0005-0000-0000-0000D4950000}"/>
    <cellStyle name="Normal 96 3" xfId="38357" xr:uid="{00000000-0005-0000-0000-0000D5950000}"/>
    <cellStyle name="Normal 96 3 2" xfId="38358" xr:uid="{00000000-0005-0000-0000-0000D6950000}"/>
    <cellStyle name="Normal 96 3 3" xfId="38359" xr:uid="{00000000-0005-0000-0000-0000D7950000}"/>
    <cellStyle name="Normal 96 4" xfId="38360" xr:uid="{00000000-0005-0000-0000-0000D8950000}"/>
    <cellStyle name="Normal 96 5" xfId="38361" xr:uid="{00000000-0005-0000-0000-0000D9950000}"/>
    <cellStyle name="Normal 96 6" xfId="38362" xr:uid="{00000000-0005-0000-0000-0000DA950000}"/>
    <cellStyle name="Normal 97" xfId="38363" xr:uid="{00000000-0005-0000-0000-0000DB950000}"/>
    <cellStyle name="Normal 97 2" xfId="38364" xr:uid="{00000000-0005-0000-0000-0000DC950000}"/>
    <cellStyle name="Normal 97 2 2" xfId="38365" xr:uid="{00000000-0005-0000-0000-0000DD950000}"/>
    <cellStyle name="Normal 97 2 2 2" xfId="38366" xr:uid="{00000000-0005-0000-0000-0000DE950000}"/>
    <cellStyle name="Normal 97 2 2 3" xfId="38367" xr:uid="{00000000-0005-0000-0000-0000DF950000}"/>
    <cellStyle name="Normal 97 2 3" xfId="38368" xr:uid="{00000000-0005-0000-0000-0000E0950000}"/>
    <cellStyle name="Normal 97 2 4" xfId="38369" xr:uid="{00000000-0005-0000-0000-0000E1950000}"/>
    <cellStyle name="Normal 97 3" xfId="38370" xr:uid="{00000000-0005-0000-0000-0000E2950000}"/>
    <cellStyle name="Normal 97 3 2" xfId="38371" xr:uid="{00000000-0005-0000-0000-0000E3950000}"/>
    <cellStyle name="Normal 97 3 3" xfId="38372" xr:uid="{00000000-0005-0000-0000-0000E4950000}"/>
    <cellStyle name="Normal 97 4" xfId="38373" xr:uid="{00000000-0005-0000-0000-0000E5950000}"/>
    <cellStyle name="Normal 97 5" xfId="38374" xr:uid="{00000000-0005-0000-0000-0000E6950000}"/>
    <cellStyle name="Normal 98" xfId="38375" xr:uid="{00000000-0005-0000-0000-0000E7950000}"/>
    <cellStyle name="Normal 98 2" xfId="38376" xr:uid="{00000000-0005-0000-0000-0000E8950000}"/>
    <cellStyle name="Normal 98 2 2" xfId="38377" xr:uid="{00000000-0005-0000-0000-0000E9950000}"/>
    <cellStyle name="Normal 98 2 2 2" xfId="38378" xr:uid="{00000000-0005-0000-0000-0000EA950000}"/>
    <cellStyle name="Normal 98 2 2 3" xfId="38379" xr:uid="{00000000-0005-0000-0000-0000EB950000}"/>
    <cellStyle name="Normal 98 2 3" xfId="38380" xr:uid="{00000000-0005-0000-0000-0000EC950000}"/>
    <cellStyle name="Normal 98 2 4" xfId="38381" xr:uid="{00000000-0005-0000-0000-0000ED950000}"/>
    <cellStyle name="Normal 98 3" xfId="38382" xr:uid="{00000000-0005-0000-0000-0000EE950000}"/>
    <cellStyle name="Normal 98 3 2" xfId="38383" xr:uid="{00000000-0005-0000-0000-0000EF950000}"/>
    <cellStyle name="Normal 98 3 3" xfId="38384" xr:uid="{00000000-0005-0000-0000-0000F0950000}"/>
    <cellStyle name="Normal 98 4" xfId="38385" xr:uid="{00000000-0005-0000-0000-0000F1950000}"/>
    <cellStyle name="Normal 98 5" xfId="38386" xr:uid="{00000000-0005-0000-0000-0000F2950000}"/>
    <cellStyle name="Normal 99" xfId="38387" xr:uid="{00000000-0005-0000-0000-0000F3950000}"/>
    <cellStyle name="Normal 99 2" xfId="38388" xr:uid="{00000000-0005-0000-0000-0000F4950000}"/>
    <cellStyle name="Normal 99 2 2" xfId="38389" xr:uid="{00000000-0005-0000-0000-0000F5950000}"/>
    <cellStyle name="Normal 99 2 2 2" xfId="38390" xr:uid="{00000000-0005-0000-0000-0000F6950000}"/>
    <cellStyle name="Normal 99 2 2 3" xfId="38391" xr:uid="{00000000-0005-0000-0000-0000F7950000}"/>
    <cellStyle name="Normal 99 2 3" xfId="38392" xr:uid="{00000000-0005-0000-0000-0000F8950000}"/>
    <cellStyle name="Normal 99 2 4" xfId="38393" xr:uid="{00000000-0005-0000-0000-0000F9950000}"/>
    <cellStyle name="Normal 99 3" xfId="38394" xr:uid="{00000000-0005-0000-0000-0000FA950000}"/>
    <cellStyle name="Normal 99 3 2" xfId="38395" xr:uid="{00000000-0005-0000-0000-0000FB950000}"/>
    <cellStyle name="Normal 99 3 3" xfId="38396" xr:uid="{00000000-0005-0000-0000-0000FC950000}"/>
    <cellStyle name="Normal 99 4" xfId="38397" xr:uid="{00000000-0005-0000-0000-0000FD950000}"/>
    <cellStyle name="Normal 99 5" xfId="38398" xr:uid="{00000000-0005-0000-0000-0000FE950000}"/>
    <cellStyle name="Normal 99 6" xfId="38399" xr:uid="{00000000-0005-0000-0000-0000FF950000}"/>
    <cellStyle name="Notas 10" xfId="38400" xr:uid="{00000000-0005-0000-0000-000000960000}"/>
    <cellStyle name="Notas 2" xfId="38401" xr:uid="{00000000-0005-0000-0000-000001960000}"/>
    <cellStyle name="Notas 2 2" xfId="38402" xr:uid="{00000000-0005-0000-0000-000002960000}"/>
    <cellStyle name="Notas 2 2 2" xfId="38403" xr:uid="{00000000-0005-0000-0000-000003960000}"/>
    <cellStyle name="Notas 2 2 2 2" xfId="38404" xr:uid="{00000000-0005-0000-0000-000004960000}"/>
    <cellStyle name="Notas 2 2 2 2 2" xfId="38405" xr:uid="{00000000-0005-0000-0000-000005960000}"/>
    <cellStyle name="Notas 2 2 2 2 2 2" xfId="38406" xr:uid="{00000000-0005-0000-0000-000006960000}"/>
    <cellStyle name="Notas 2 2 2 2 2 2 2" xfId="38407" xr:uid="{00000000-0005-0000-0000-000007960000}"/>
    <cellStyle name="Notas 2 2 2 2 2 2 3" xfId="38408" xr:uid="{00000000-0005-0000-0000-000008960000}"/>
    <cellStyle name="Notas 2 2 2 2 2 3" xfId="38409" xr:uid="{00000000-0005-0000-0000-000009960000}"/>
    <cellStyle name="Notas 2 2 2 2 2 4" xfId="38410" xr:uid="{00000000-0005-0000-0000-00000A960000}"/>
    <cellStyle name="Notas 2 2 2 2 3" xfId="38411" xr:uid="{00000000-0005-0000-0000-00000B960000}"/>
    <cellStyle name="Notas 2 2 2 2 3 2" xfId="38412" xr:uid="{00000000-0005-0000-0000-00000C960000}"/>
    <cellStyle name="Notas 2 2 2 2 3 3" xfId="38413" xr:uid="{00000000-0005-0000-0000-00000D960000}"/>
    <cellStyle name="Notas 2 2 2 2 4" xfId="38414" xr:uid="{00000000-0005-0000-0000-00000E960000}"/>
    <cellStyle name="Notas 2 2 2 2 5" xfId="38415" xr:uid="{00000000-0005-0000-0000-00000F960000}"/>
    <cellStyle name="Notas 2 2 2 3" xfId="38416" xr:uid="{00000000-0005-0000-0000-000010960000}"/>
    <cellStyle name="Notas 2 2 2 3 2" xfId="38417" xr:uid="{00000000-0005-0000-0000-000011960000}"/>
    <cellStyle name="Notas 2 2 2 3 3" xfId="38418" xr:uid="{00000000-0005-0000-0000-000012960000}"/>
    <cellStyle name="Notas 2 2 2 4" xfId="38419" xr:uid="{00000000-0005-0000-0000-000013960000}"/>
    <cellStyle name="Notas 2 2 2 5" xfId="38420" xr:uid="{00000000-0005-0000-0000-000014960000}"/>
    <cellStyle name="Notas 2 2 3" xfId="38421" xr:uid="{00000000-0005-0000-0000-000015960000}"/>
    <cellStyle name="Notas 2 2 3 2" xfId="38422" xr:uid="{00000000-0005-0000-0000-000016960000}"/>
    <cellStyle name="Notas 2 2 3 2 2" xfId="38423" xr:uid="{00000000-0005-0000-0000-000017960000}"/>
    <cellStyle name="Notas 2 2 3 2 3" xfId="38424" xr:uid="{00000000-0005-0000-0000-000018960000}"/>
    <cellStyle name="Notas 2 2 3 3" xfId="38425" xr:uid="{00000000-0005-0000-0000-000019960000}"/>
    <cellStyle name="Notas 2 2 3 4" xfId="38426" xr:uid="{00000000-0005-0000-0000-00001A960000}"/>
    <cellStyle name="Notas 2 2 4" xfId="38427" xr:uid="{00000000-0005-0000-0000-00001B960000}"/>
    <cellStyle name="Notas 2 2 4 2" xfId="38428" xr:uid="{00000000-0005-0000-0000-00001C960000}"/>
    <cellStyle name="Notas 2 2 4 2 2" xfId="38429" xr:uid="{00000000-0005-0000-0000-00001D960000}"/>
    <cellStyle name="Notas 2 2 4 2 3" xfId="38430" xr:uid="{00000000-0005-0000-0000-00001E960000}"/>
    <cellStyle name="Notas 2 2 4 3" xfId="38431" xr:uid="{00000000-0005-0000-0000-00001F960000}"/>
    <cellStyle name="Notas 2 2 4 4" xfId="38432" xr:uid="{00000000-0005-0000-0000-000020960000}"/>
    <cellStyle name="Notas 2 2 5" xfId="38433" xr:uid="{00000000-0005-0000-0000-000021960000}"/>
    <cellStyle name="Notas 2 2 5 2" xfId="38434" xr:uid="{00000000-0005-0000-0000-000022960000}"/>
    <cellStyle name="Notas 2 2 5 3" xfId="38435" xr:uid="{00000000-0005-0000-0000-000023960000}"/>
    <cellStyle name="Notas 2 2 6" xfId="38436" xr:uid="{00000000-0005-0000-0000-000024960000}"/>
    <cellStyle name="Notas 2 2 7" xfId="38437" xr:uid="{00000000-0005-0000-0000-000025960000}"/>
    <cellStyle name="Notas 2 3" xfId="38438" xr:uid="{00000000-0005-0000-0000-000026960000}"/>
    <cellStyle name="Notas 2 3 2" xfId="38439" xr:uid="{00000000-0005-0000-0000-000027960000}"/>
    <cellStyle name="Notas 2 3 2 2" xfId="38440" xr:uid="{00000000-0005-0000-0000-000028960000}"/>
    <cellStyle name="Notas 2 3 2 3" xfId="38441" xr:uid="{00000000-0005-0000-0000-000029960000}"/>
    <cellStyle name="Notas 2 3 3" xfId="38442" xr:uid="{00000000-0005-0000-0000-00002A960000}"/>
    <cellStyle name="Notas 2 3 4" xfId="38443" xr:uid="{00000000-0005-0000-0000-00002B960000}"/>
    <cellStyle name="Notas 2 4" xfId="38444" xr:uid="{00000000-0005-0000-0000-00002C960000}"/>
    <cellStyle name="Notas 2 4 2" xfId="38445" xr:uid="{00000000-0005-0000-0000-00002D960000}"/>
    <cellStyle name="Notas 2 4 2 2" xfId="38446" xr:uid="{00000000-0005-0000-0000-00002E960000}"/>
    <cellStyle name="Notas 2 4 2 3" xfId="38447" xr:uid="{00000000-0005-0000-0000-00002F960000}"/>
    <cellStyle name="Notas 2 4 3" xfId="38448" xr:uid="{00000000-0005-0000-0000-000030960000}"/>
    <cellStyle name="Notas 2 4 4" xfId="38449" xr:uid="{00000000-0005-0000-0000-000031960000}"/>
    <cellStyle name="Notas 2 5" xfId="38450" xr:uid="{00000000-0005-0000-0000-000032960000}"/>
    <cellStyle name="Notas 2 5 2" xfId="38451" xr:uid="{00000000-0005-0000-0000-000033960000}"/>
    <cellStyle name="Notas 2 5 2 2" xfId="38452" xr:uid="{00000000-0005-0000-0000-000034960000}"/>
    <cellStyle name="Notas 2 5 2 3" xfId="38453" xr:uid="{00000000-0005-0000-0000-000035960000}"/>
    <cellStyle name="Notas 2 5 3" xfId="38454" xr:uid="{00000000-0005-0000-0000-000036960000}"/>
    <cellStyle name="Notas 2 5 4" xfId="38455" xr:uid="{00000000-0005-0000-0000-000037960000}"/>
    <cellStyle name="Notas 2 6" xfId="38456" xr:uid="{00000000-0005-0000-0000-000038960000}"/>
    <cellStyle name="Notas 2 6 2" xfId="38457" xr:uid="{00000000-0005-0000-0000-000039960000}"/>
    <cellStyle name="Notas 2 6 3" xfId="38458" xr:uid="{00000000-0005-0000-0000-00003A960000}"/>
    <cellStyle name="Notas 2 7" xfId="38459" xr:uid="{00000000-0005-0000-0000-00003B960000}"/>
    <cellStyle name="Notas 2 8" xfId="38460" xr:uid="{00000000-0005-0000-0000-00003C960000}"/>
    <cellStyle name="Notas 3" xfId="38461" xr:uid="{00000000-0005-0000-0000-00003D960000}"/>
    <cellStyle name="Notas 3 2" xfId="38462" xr:uid="{00000000-0005-0000-0000-00003E960000}"/>
    <cellStyle name="Notas 3 2 2" xfId="38463" xr:uid="{00000000-0005-0000-0000-00003F960000}"/>
    <cellStyle name="Notas 3 2 2 2" xfId="38464" xr:uid="{00000000-0005-0000-0000-000040960000}"/>
    <cellStyle name="Notas 3 2 2 3" xfId="38465" xr:uid="{00000000-0005-0000-0000-000041960000}"/>
    <cellStyle name="Notas 3 2 3" xfId="38466" xr:uid="{00000000-0005-0000-0000-000042960000}"/>
    <cellStyle name="Notas 3 2 4" xfId="38467" xr:uid="{00000000-0005-0000-0000-000043960000}"/>
    <cellStyle name="Notas 3 2 5" xfId="38468" xr:uid="{00000000-0005-0000-0000-000044960000}"/>
    <cellStyle name="Notas 3 3" xfId="38469" xr:uid="{00000000-0005-0000-0000-000045960000}"/>
    <cellStyle name="Notas 3 3 2" xfId="38470" xr:uid="{00000000-0005-0000-0000-000046960000}"/>
    <cellStyle name="Notas 3 3 3" xfId="38471" xr:uid="{00000000-0005-0000-0000-000047960000}"/>
    <cellStyle name="Notas 3 4" xfId="38472" xr:uid="{00000000-0005-0000-0000-000048960000}"/>
    <cellStyle name="Notas 3 5" xfId="38473" xr:uid="{00000000-0005-0000-0000-000049960000}"/>
    <cellStyle name="Notas 4" xfId="38474" xr:uid="{00000000-0005-0000-0000-00004A960000}"/>
    <cellStyle name="Notas 4 2" xfId="38475" xr:uid="{00000000-0005-0000-0000-00004B960000}"/>
    <cellStyle name="Notas 4 2 2" xfId="38476" xr:uid="{00000000-0005-0000-0000-00004C960000}"/>
    <cellStyle name="Notas 4 2 3" xfId="38477" xr:uid="{00000000-0005-0000-0000-00004D960000}"/>
    <cellStyle name="Notas 4 3" xfId="38478" xr:uid="{00000000-0005-0000-0000-00004E960000}"/>
    <cellStyle name="Notas 4 4" xfId="38479" xr:uid="{00000000-0005-0000-0000-00004F960000}"/>
    <cellStyle name="Notas 5" xfId="38480" xr:uid="{00000000-0005-0000-0000-000050960000}"/>
    <cellStyle name="Notas 5 2" xfId="38481" xr:uid="{00000000-0005-0000-0000-000051960000}"/>
    <cellStyle name="Notas 5 2 2" xfId="38482" xr:uid="{00000000-0005-0000-0000-000052960000}"/>
    <cellStyle name="Notas 5 2 3" xfId="38483" xr:uid="{00000000-0005-0000-0000-000053960000}"/>
    <cellStyle name="Notas 5 3" xfId="38484" xr:uid="{00000000-0005-0000-0000-000054960000}"/>
    <cellStyle name="Notas 5 4" xfId="38485" xr:uid="{00000000-0005-0000-0000-000055960000}"/>
    <cellStyle name="Notas 6" xfId="38486" xr:uid="{00000000-0005-0000-0000-000056960000}"/>
    <cellStyle name="Notas 6 2" xfId="38487" xr:uid="{00000000-0005-0000-0000-000057960000}"/>
    <cellStyle name="Notas 6 2 2" xfId="38488" xr:uid="{00000000-0005-0000-0000-000058960000}"/>
    <cellStyle name="Notas 6 2 3" xfId="38489" xr:uid="{00000000-0005-0000-0000-000059960000}"/>
    <cellStyle name="Notas 6 3" xfId="38490" xr:uid="{00000000-0005-0000-0000-00005A960000}"/>
    <cellStyle name="Notas 6 4" xfId="38491" xr:uid="{00000000-0005-0000-0000-00005B960000}"/>
    <cellStyle name="Notas 7" xfId="38492" xr:uid="{00000000-0005-0000-0000-00005C960000}"/>
    <cellStyle name="Notas 7 2" xfId="38493" xr:uid="{00000000-0005-0000-0000-00005D960000}"/>
    <cellStyle name="Notas 7 2 2" xfId="38494" xr:uid="{00000000-0005-0000-0000-00005E960000}"/>
    <cellStyle name="Notas 7 2 3" xfId="38495" xr:uid="{00000000-0005-0000-0000-00005F960000}"/>
    <cellStyle name="Notas 7 3" xfId="38496" xr:uid="{00000000-0005-0000-0000-000060960000}"/>
    <cellStyle name="Notas 7 4" xfId="38497" xr:uid="{00000000-0005-0000-0000-000061960000}"/>
    <cellStyle name="Notas 8" xfId="38498" xr:uid="{00000000-0005-0000-0000-000062960000}"/>
    <cellStyle name="Notas 8 2" xfId="38499" xr:uid="{00000000-0005-0000-0000-000063960000}"/>
    <cellStyle name="Notas 8 2 2" xfId="38500" xr:uid="{00000000-0005-0000-0000-000064960000}"/>
    <cellStyle name="Notas 8 2 3" xfId="38501" xr:uid="{00000000-0005-0000-0000-000065960000}"/>
    <cellStyle name="Notas 8 3" xfId="38502" xr:uid="{00000000-0005-0000-0000-000066960000}"/>
    <cellStyle name="Notas 8 4" xfId="38503" xr:uid="{00000000-0005-0000-0000-000067960000}"/>
    <cellStyle name="Notas 9" xfId="38504" xr:uid="{00000000-0005-0000-0000-000068960000}"/>
    <cellStyle name="Notas 9 2" xfId="38505" xr:uid="{00000000-0005-0000-0000-000069960000}"/>
    <cellStyle name="Notas 9 2 2" xfId="38506" xr:uid="{00000000-0005-0000-0000-00006A960000}"/>
    <cellStyle name="Notas 9 2 3" xfId="38507" xr:uid="{00000000-0005-0000-0000-00006B960000}"/>
    <cellStyle name="Notas 9 3" xfId="38508" xr:uid="{00000000-0005-0000-0000-00006C960000}"/>
    <cellStyle name="Notas 9 4" xfId="38509" xr:uid="{00000000-0005-0000-0000-00006D960000}"/>
    <cellStyle name="Note" xfId="38510" xr:uid="{00000000-0005-0000-0000-00006E960000}"/>
    <cellStyle name="Note 10" xfId="38511" xr:uid="{00000000-0005-0000-0000-00006F960000}"/>
    <cellStyle name="Note 11" xfId="38512" xr:uid="{00000000-0005-0000-0000-000070960000}"/>
    <cellStyle name="Note 2" xfId="38513" xr:uid="{00000000-0005-0000-0000-000071960000}"/>
    <cellStyle name="Note 2 2" xfId="38514" xr:uid="{00000000-0005-0000-0000-000072960000}"/>
    <cellStyle name="Note 2 2 2" xfId="38515" xr:uid="{00000000-0005-0000-0000-000073960000}"/>
    <cellStyle name="Note 2 2 2 2" xfId="38516" xr:uid="{00000000-0005-0000-0000-000074960000}"/>
    <cellStyle name="Note 2 2 2 3" xfId="38517" xr:uid="{00000000-0005-0000-0000-000075960000}"/>
    <cellStyle name="Note 2 2 3" xfId="38518" xr:uid="{00000000-0005-0000-0000-000076960000}"/>
    <cellStyle name="Note 2 2 4" xfId="38519" xr:uid="{00000000-0005-0000-0000-000077960000}"/>
    <cellStyle name="Note 2 3" xfId="38520" xr:uid="{00000000-0005-0000-0000-000078960000}"/>
    <cellStyle name="Note 2 3 2" xfId="38521" xr:uid="{00000000-0005-0000-0000-000079960000}"/>
    <cellStyle name="Note 2 3 2 2" xfId="38522" xr:uid="{00000000-0005-0000-0000-00007A960000}"/>
    <cellStyle name="Note 2 3 2 3" xfId="38523" xr:uid="{00000000-0005-0000-0000-00007B960000}"/>
    <cellStyle name="Note 2 3 3" xfId="38524" xr:uid="{00000000-0005-0000-0000-00007C960000}"/>
    <cellStyle name="Note 2 3 4" xfId="38525" xr:uid="{00000000-0005-0000-0000-00007D960000}"/>
    <cellStyle name="Note 2 4" xfId="38526" xr:uid="{00000000-0005-0000-0000-00007E960000}"/>
    <cellStyle name="Note 2 4 2" xfId="38527" xr:uid="{00000000-0005-0000-0000-00007F960000}"/>
    <cellStyle name="Note 2 4 2 2" xfId="38528" xr:uid="{00000000-0005-0000-0000-000080960000}"/>
    <cellStyle name="Note 2 4 2 3" xfId="38529" xr:uid="{00000000-0005-0000-0000-000081960000}"/>
    <cellStyle name="Note 2 4 3" xfId="38530" xr:uid="{00000000-0005-0000-0000-000082960000}"/>
    <cellStyle name="Note 2 4 4" xfId="38531" xr:uid="{00000000-0005-0000-0000-000083960000}"/>
    <cellStyle name="Note 2 5" xfId="38532" xr:uid="{00000000-0005-0000-0000-000084960000}"/>
    <cellStyle name="Note 2 5 2" xfId="38533" xr:uid="{00000000-0005-0000-0000-000085960000}"/>
    <cellStyle name="Note 2 5 3" xfId="38534" xr:uid="{00000000-0005-0000-0000-000086960000}"/>
    <cellStyle name="Note 2 6" xfId="38535" xr:uid="{00000000-0005-0000-0000-000087960000}"/>
    <cellStyle name="Note 2 7" xfId="38536" xr:uid="{00000000-0005-0000-0000-000088960000}"/>
    <cellStyle name="Note 3" xfId="38537" xr:uid="{00000000-0005-0000-0000-000089960000}"/>
    <cellStyle name="Note 3 2" xfId="38538" xr:uid="{00000000-0005-0000-0000-00008A960000}"/>
    <cellStyle name="Note 3 2 2" xfId="38539" xr:uid="{00000000-0005-0000-0000-00008B960000}"/>
    <cellStyle name="Note 3 2 2 2" xfId="38540" xr:uid="{00000000-0005-0000-0000-00008C960000}"/>
    <cellStyle name="Note 3 2 2 3" xfId="38541" xr:uid="{00000000-0005-0000-0000-00008D960000}"/>
    <cellStyle name="Note 3 2 3" xfId="38542" xr:uid="{00000000-0005-0000-0000-00008E960000}"/>
    <cellStyle name="Note 3 2 4" xfId="38543" xr:uid="{00000000-0005-0000-0000-00008F960000}"/>
    <cellStyle name="Note 3 3" xfId="38544" xr:uid="{00000000-0005-0000-0000-000090960000}"/>
    <cellStyle name="Note 3 3 2" xfId="38545" xr:uid="{00000000-0005-0000-0000-000091960000}"/>
    <cellStyle name="Note 3 3 2 2" xfId="38546" xr:uid="{00000000-0005-0000-0000-000092960000}"/>
    <cellStyle name="Note 3 3 2 3" xfId="38547" xr:uid="{00000000-0005-0000-0000-000093960000}"/>
    <cellStyle name="Note 3 3 3" xfId="38548" xr:uid="{00000000-0005-0000-0000-000094960000}"/>
    <cellStyle name="Note 3 3 4" xfId="38549" xr:uid="{00000000-0005-0000-0000-000095960000}"/>
    <cellStyle name="Note 3 4" xfId="38550" xr:uid="{00000000-0005-0000-0000-000096960000}"/>
    <cellStyle name="Note 3 4 2" xfId="38551" xr:uid="{00000000-0005-0000-0000-000097960000}"/>
    <cellStyle name="Note 3 4 2 2" xfId="38552" xr:uid="{00000000-0005-0000-0000-000098960000}"/>
    <cellStyle name="Note 3 4 2 3" xfId="38553" xr:uid="{00000000-0005-0000-0000-000099960000}"/>
    <cellStyle name="Note 3 4 3" xfId="38554" xr:uid="{00000000-0005-0000-0000-00009A960000}"/>
    <cellStyle name="Note 3 4 4" xfId="38555" xr:uid="{00000000-0005-0000-0000-00009B960000}"/>
    <cellStyle name="Note 3 5" xfId="38556" xr:uid="{00000000-0005-0000-0000-00009C960000}"/>
    <cellStyle name="Note 3 5 2" xfId="38557" xr:uid="{00000000-0005-0000-0000-00009D960000}"/>
    <cellStyle name="Note 3 5 3" xfId="38558" xr:uid="{00000000-0005-0000-0000-00009E960000}"/>
    <cellStyle name="Note 3 6" xfId="38559" xr:uid="{00000000-0005-0000-0000-00009F960000}"/>
    <cellStyle name="Note 3 7" xfId="38560" xr:uid="{00000000-0005-0000-0000-0000A0960000}"/>
    <cellStyle name="Note 4" xfId="38561" xr:uid="{00000000-0005-0000-0000-0000A1960000}"/>
    <cellStyle name="Note 4 2" xfId="38562" xr:uid="{00000000-0005-0000-0000-0000A2960000}"/>
    <cellStyle name="Note 4 2 2" xfId="38563" xr:uid="{00000000-0005-0000-0000-0000A3960000}"/>
    <cellStyle name="Note 4 2 2 2" xfId="38564" xr:uid="{00000000-0005-0000-0000-0000A4960000}"/>
    <cellStyle name="Note 4 2 2 3" xfId="38565" xr:uid="{00000000-0005-0000-0000-0000A5960000}"/>
    <cellStyle name="Note 4 2 3" xfId="38566" xr:uid="{00000000-0005-0000-0000-0000A6960000}"/>
    <cellStyle name="Note 4 2 4" xfId="38567" xr:uid="{00000000-0005-0000-0000-0000A7960000}"/>
    <cellStyle name="Note 4 3" xfId="38568" xr:uid="{00000000-0005-0000-0000-0000A8960000}"/>
    <cellStyle name="Note 4 3 2" xfId="38569" xr:uid="{00000000-0005-0000-0000-0000A9960000}"/>
    <cellStyle name="Note 4 3 2 2" xfId="38570" xr:uid="{00000000-0005-0000-0000-0000AA960000}"/>
    <cellStyle name="Note 4 3 2 3" xfId="38571" xr:uid="{00000000-0005-0000-0000-0000AB960000}"/>
    <cellStyle name="Note 4 3 3" xfId="38572" xr:uid="{00000000-0005-0000-0000-0000AC960000}"/>
    <cellStyle name="Note 4 3 4" xfId="38573" xr:uid="{00000000-0005-0000-0000-0000AD960000}"/>
    <cellStyle name="Note 4 4" xfId="38574" xr:uid="{00000000-0005-0000-0000-0000AE960000}"/>
    <cellStyle name="Note 4 4 2" xfId="38575" xr:uid="{00000000-0005-0000-0000-0000AF960000}"/>
    <cellStyle name="Note 4 4 2 2" xfId="38576" xr:uid="{00000000-0005-0000-0000-0000B0960000}"/>
    <cellStyle name="Note 4 4 2 3" xfId="38577" xr:uid="{00000000-0005-0000-0000-0000B1960000}"/>
    <cellStyle name="Note 4 4 3" xfId="38578" xr:uid="{00000000-0005-0000-0000-0000B2960000}"/>
    <cellStyle name="Note 4 4 4" xfId="38579" xr:uid="{00000000-0005-0000-0000-0000B3960000}"/>
    <cellStyle name="Note 4 5" xfId="38580" xr:uid="{00000000-0005-0000-0000-0000B4960000}"/>
    <cellStyle name="Note 4 5 2" xfId="38581" xr:uid="{00000000-0005-0000-0000-0000B5960000}"/>
    <cellStyle name="Note 4 5 3" xfId="38582" xr:uid="{00000000-0005-0000-0000-0000B6960000}"/>
    <cellStyle name="Note 4 6" xfId="38583" xr:uid="{00000000-0005-0000-0000-0000B7960000}"/>
    <cellStyle name="Note 4 7" xfId="38584" xr:uid="{00000000-0005-0000-0000-0000B8960000}"/>
    <cellStyle name="Note 5" xfId="38585" xr:uid="{00000000-0005-0000-0000-0000B9960000}"/>
    <cellStyle name="Note 5 2" xfId="38586" xr:uid="{00000000-0005-0000-0000-0000BA960000}"/>
    <cellStyle name="Note 5 2 2" xfId="38587" xr:uid="{00000000-0005-0000-0000-0000BB960000}"/>
    <cellStyle name="Note 5 2 2 2" xfId="38588" xr:uid="{00000000-0005-0000-0000-0000BC960000}"/>
    <cellStyle name="Note 5 2 2 3" xfId="38589" xr:uid="{00000000-0005-0000-0000-0000BD960000}"/>
    <cellStyle name="Note 5 2 3" xfId="38590" xr:uid="{00000000-0005-0000-0000-0000BE960000}"/>
    <cellStyle name="Note 5 2 4" xfId="38591" xr:uid="{00000000-0005-0000-0000-0000BF960000}"/>
    <cellStyle name="Note 5 3" xfId="38592" xr:uid="{00000000-0005-0000-0000-0000C0960000}"/>
    <cellStyle name="Note 5 3 2" xfId="38593" xr:uid="{00000000-0005-0000-0000-0000C1960000}"/>
    <cellStyle name="Note 5 3 2 2" xfId="38594" xr:uid="{00000000-0005-0000-0000-0000C2960000}"/>
    <cellStyle name="Note 5 3 2 3" xfId="38595" xr:uid="{00000000-0005-0000-0000-0000C3960000}"/>
    <cellStyle name="Note 5 3 3" xfId="38596" xr:uid="{00000000-0005-0000-0000-0000C4960000}"/>
    <cellStyle name="Note 5 3 4" xfId="38597" xr:uid="{00000000-0005-0000-0000-0000C5960000}"/>
    <cellStyle name="Note 5 4" xfId="38598" xr:uid="{00000000-0005-0000-0000-0000C6960000}"/>
    <cellStyle name="Note 5 4 2" xfId="38599" xr:uid="{00000000-0005-0000-0000-0000C7960000}"/>
    <cellStyle name="Note 5 4 2 2" xfId="38600" xr:uid="{00000000-0005-0000-0000-0000C8960000}"/>
    <cellStyle name="Note 5 4 2 3" xfId="38601" xr:uid="{00000000-0005-0000-0000-0000C9960000}"/>
    <cellStyle name="Note 5 4 3" xfId="38602" xr:uid="{00000000-0005-0000-0000-0000CA960000}"/>
    <cellStyle name="Note 5 4 4" xfId="38603" xr:uid="{00000000-0005-0000-0000-0000CB960000}"/>
    <cellStyle name="Note 5 5" xfId="38604" xr:uid="{00000000-0005-0000-0000-0000CC960000}"/>
    <cellStyle name="Note 5 5 2" xfId="38605" xr:uid="{00000000-0005-0000-0000-0000CD960000}"/>
    <cellStyle name="Note 5 5 3" xfId="38606" xr:uid="{00000000-0005-0000-0000-0000CE960000}"/>
    <cellStyle name="Note 5 6" xfId="38607" xr:uid="{00000000-0005-0000-0000-0000CF960000}"/>
    <cellStyle name="Note 5 7" xfId="38608" xr:uid="{00000000-0005-0000-0000-0000D0960000}"/>
    <cellStyle name="Note 6" xfId="38609" xr:uid="{00000000-0005-0000-0000-0000D1960000}"/>
    <cellStyle name="Note 6 2" xfId="38610" xr:uid="{00000000-0005-0000-0000-0000D2960000}"/>
    <cellStyle name="Note 6 2 2" xfId="38611" xr:uid="{00000000-0005-0000-0000-0000D3960000}"/>
    <cellStyle name="Note 6 2 3" xfId="38612" xr:uid="{00000000-0005-0000-0000-0000D4960000}"/>
    <cellStyle name="Note 6 3" xfId="38613" xr:uid="{00000000-0005-0000-0000-0000D5960000}"/>
    <cellStyle name="Note 6 4" xfId="38614" xr:uid="{00000000-0005-0000-0000-0000D6960000}"/>
    <cellStyle name="Note 7" xfId="38615" xr:uid="{00000000-0005-0000-0000-0000D7960000}"/>
    <cellStyle name="Note 7 2" xfId="38616" xr:uid="{00000000-0005-0000-0000-0000D8960000}"/>
    <cellStyle name="Note 7 2 2" xfId="38617" xr:uid="{00000000-0005-0000-0000-0000D9960000}"/>
    <cellStyle name="Note 7 2 3" xfId="38618" xr:uid="{00000000-0005-0000-0000-0000DA960000}"/>
    <cellStyle name="Note 7 3" xfId="38619" xr:uid="{00000000-0005-0000-0000-0000DB960000}"/>
    <cellStyle name="Note 7 4" xfId="38620" xr:uid="{00000000-0005-0000-0000-0000DC960000}"/>
    <cellStyle name="Note 8" xfId="38621" xr:uid="{00000000-0005-0000-0000-0000DD960000}"/>
    <cellStyle name="Note 8 2" xfId="38622" xr:uid="{00000000-0005-0000-0000-0000DE960000}"/>
    <cellStyle name="Note 8 2 2" xfId="38623" xr:uid="{00000000-0005-0000-0000-0000DF960000}"/>
    <cellStyle name="Note 8 2 3" xfId="38624" xr:uid="{00000000-0005-0000-0000-0000E0960000}"/>
    <cellStyle name="Note 8 3" xfId="38625" xr:uid="{00000000-0005-0000-0000-0000E1960000}"/>
    <cellStyle name="Note 8 4" xfId="38626" xr:uid="{00000000-0005-0000-0000-0000E2960000}"/>
    <cellStyle name="Note 9" xfId="38627" xr:uid="{00000000-0005-0000-0000-0000E3960000}"/>
    <cellStyle name="Note 9 2" xfId="38628" xr:uid="{00000000-0005-0000-0000-0000E4960000}"/>
    <cellStyle name="Note 9 3" xfId="38629" xr:uid="{00000000-0005-0000-0000-0000E5960000}"/>
    <cellStyle name="Output" xfId="38630" xr:uid="{00000000-0005-0000-0000-0000E6960000}"/>
    <cellStyle name="Output 2" xfId="38631" xr:uid="{00000000-0005-0000-0000-0000E7960000}"/>
    <cellStyle name="Output 2 2" xfId="38632" xr:uid="{00000000-0005-0000-0000-0000E8960000}"/>
    <cellStyle name="Output 2 2 2" xfId="38633" xr:uid="{00000000-0005-0000-0000-0000E9960000}"/>
    <cellStyle name="Output 2 2 3" xfId="38634" xr:uid="{00000000-0005-0000-0000-0000EA960000}"/>
    <cellStyle name="Output 2 3" xfId="38635" xr:uid="{00000000-0005-0000-0000-0000EB960000}"/>
    <cellStyle name="Output 2 4" xfId="38636" xr:uid="{00000000-0005-0000-0000-0000EC960000}"/>
    <cellStyle name="Output 3" xfId="38637" xr:uid="{00000000-0005-0000-0000-0000ED960000}"/>
    <cellStyle name="Output 3 2" xfId="38638" xr:uid="{00000000-0005-0000-0000-0000EE960000}"/>
    <cellStyle name="Output 3 2 2" xfId="38639" xr:uid="{00000000-0005-0000-0000-0000EF960000}"/>
    <cellStyle name="Output 3 2 3" xfId="38640" xr:uid="{00000000-0005-0000-0000-0000F0960000}"/>
    <cellStyle name="Output 3 3" xfId="38641" xr:uid="{00000000-0005-0000-0000-0000F1960000}"/>
    <cellStyle name="Output 3 4" xfId="38642" xr:uid="{00000000-0005-0000-0000-0000F2960000}"/>
    <cellStyle name="Output 4" xfId="38643" xr:uid="{00000000-0005-0000-0000-0000F3960000}"/>
    <cellStyle name="Output 4 2" xfId="38644" xr:uid="{00000000-0005-0000-0000-0000F4960000}"/>
    <cellStyle name="Output 4 2 2" xfId="38645" xr:uid="{00000000-0005-0000-0000-0000F5960000}"/>
    <cellStyle name="Output 4 2 3" xfId="38646" xr:uid="{00000000-0005-0000-0000-0000F6960000}"/>
    <cellStyle name="Output 4 3" xfId="38647" xr:uid="{00000000-0005-0000-0000-0000F7960000}"/>
    <cellStyle name="Output 4 4" xfId="38648" xr:uid="{00000000-0005-0000-0000-0000F8960000}"/>
    <cellStyle name="Output 5" xfId="38649" xr:uid="{00000000-0005-0000-0000-0000F9960000}"/>
    <cellStyle name="Output 5 2" xfId="38650" xr:uid="{00000000-0005-0000-0000-0000FA960000}"/>
    <cellStyle name="Output 5 2 2" xfId="38651" xr:uid="{00000000-0005-0000-0000-0000FB960000}"/>
    <cellStyle name="Output 5 2 3" xfId="38652" xr:uid="{00000000-0005-0000-0000-0000FC960000}"/>
    <cellStyle name="Output 5 3" xfId="38653" xr:uid="{00000000-0005-0000-0000-0000FD960000}"/>
    <cellStyle name="Output 5 4" xfId="38654" xr:uid="{00000000-0005-0000-0000-0000FE960000}"/>
    <cellStyle name="Output 6" xfId="38655" xr:uid="{00000000-0005-0000-0000-0000FF960000}"/>
    <cellStyle name="Output 6 2" xfId="38656" xr:uid="{00000000-0005-0000-0000-000000970000}"/>
    <cellStyle name="Output 6 3" xfId="38657" xr:uid="{00000000-0005-0000-0000-000001970000}"/>
    <cellStyle name="Output 7" xfId="38658" xr:uid="{00000000-0005-0000-0000-000002970000}"/>
    <cellStyle name="Output 8" xfId="38659" xr:uid="{00000000-0005-0000-0000-000003970000}"/>
    <cellStyle name="Porcentaje 2" xfId="38660" xr:uid="{00000000-0005-0000-0000-000004970000}"/>
    <cellStyle name="Porcentual 2" xfId="38661" xr:uid="{00000000-0005-0000-0000-000005970000}"/>
    <cellStyle name="Porcentual 2 2" xfId="38662" xr:uid="{00000000-0005-0000-0000-000006970000}"/>
    <cellStyle name="Porcentual 2 2 2" xfId="38663" xr:uid="{00000000-0005-0000-0000-000007970000}"/>
    <cellStyle name="Porcentual 2 2 2 2" xfId="38664" xr:uid="{00000000-0005-0000-0000-000008970000}"/>
    <cellStyle name="Porcentual 2 2 2 3" xfId="38665" xr:uid="{00000000-0005-0000-0000-000009970000}"/>
    <cellStyle name="Porcentual 2 2 3" xfId="38666" xr:uid="{00000000-0005-0000-0000-00000A970000}"/>
    <cellStyle name="Porcentual 2 2 4" xfId="38667" xr:uid="{00000000-0005-0000-0000-00000B970000}"/>
    <cellStyle name="Porcentual 2 3" xfId="38668" xr:uid="{00000000-0005-0000-0000-00000C970000}"/>
    <cellStyle name="Porcentual 2 3 2" xfId="38669" xr:uid="{00000000-0005-0000-0000-00000D970000}"/>
    <cellStyle name="Porcentual 2 3 2 2" xfId="38670" xr:uid="{00000000-0005-0000-0000-00000E970000}"/>
    <cellStyle name="Porcentual 2 3 2 3" xfId="38671" xr:uid="{00000000-0005-0000-0000-00000F970000}"/>
    <cellStyle name="Porcentual 2 3 3" xfId="38672" xr:uid="{00000000-0005-0000-0000-000010970000}"/>
    <cellStyle name="Porcentual 2 3 4" xfId="38673" xr:uid="{00000000-0005-0000-0000-000011970000}"/>
    <cellStyle name="Porcentual 2 4" xfId="38674" xr:uid="{00000000-0005-0000-0000-000012970000}"/>
    <cellStyle name="Porcentual 2 4 2" xfId="38675" xr:uid="{00000000-0005-0000-0000-000013970000}"/>
    <cellStyle name="Porcentual 2 4 2 2" xfId="38676" xr:uid="{00000000-0005-0000-0000-000014970000}"/>
    <cellStyle name="Porcentual 2 4 2 3" xfId="38677" xr:uid="{00000000-0005-0000-0000-000015970000}"/>
    <cellStyle name="Porcentual 2 4 3" xfId="38678" xr:uid="{00000000-0005-0000-0000-000016970000}"/>
    <cellStyle name="Porcentual 2 4 4" xfId="38679" xr:uid="{00000000-0005-0000-0000-000017970000}"/>
    <cellStyle name="Porcentual 2 5" xfId="38680" xr:uid="{00000000-0005-0000-0000-000018970000}"/>
    <cellStyle name="Porcentual 2 5 2" xfId="38681" xr:uid="{00000000-0005-0000-0000-000019970000}"/>
    <cellStyle name="Porcentual 2 5 2 2" xfId="38682" xr:uid="{00000000-0005-0000-0000-00001A970000}"/>
    <cellStyle name="Porcentual 2 5 2 3" xfId="38683" xr:uid="{00000000-0005-0000-0000-00001B970000}"/>
    <cellStyle name="Porcentual 2 5 3" xfId="38684" xr:uid="{00000000-0005-0000-0000-00001C970000}"/>
    <cellStyle name="Porcentual 2 5 4" xfId="38685" xr:uid="{00000000-0005-0000-0000-00001D970000}"/>
    <cellStyle name="Salida 10" xfId="38686" xr:uid="{00000000-0005-0000-0000-00001E970000}"/>
    <cellStyle name="Salida 11" xfId="38687" xr:uid="{00000000-0005-0000-0000-00001F970000}"/>
    <cellStyle name="Salida 2" xfId="38688" xr:uid="{00000000-0005-0000-0000-000020970000}"/>
    <cellStyle name="Salida 2 2" xfId="38689" xr:uid="{00000000-0005-0000-0000-000021970000}"/>
    <cellStyle name="Salida 2 2 2" xfId="38690" xr:uid="{00000000-0005-0000-0000-000022970000}"/>
    <cellStyle name="Salida 2 2 3" xfId="38691" xr:uid="{00000000-0005-0000-0000-000023970000}"/>
    <cellStyle name="Salida 2 2 4" xfId="38692" xr:uid="{00000000-0005-0000-0000-000024970000}"/>
    <cellStyle name="Salida 2 3" xfId="38693" xr:uid="{00000000-0005-0000-0000-000025970000}"/>
    <cellStyle name="Salida 2 4" xfId="38694" xr:uid="{00000000-0005-0000-0000-000026970000}"/>
    <cellStyle name="Salida 3" xfId="38695" xr:uid="{00000000-0005-0000-0000-000027970000}"/>
    <cellStyle name="Salida 3 2" xfId="38696" xr:uid="{00000000-0005-0000-0000-000028970000}"/>
    <cellStyle name="Salida 3 2 2" xfId="38697" xr:uid="{00000000-0005-0000-0000-000029970000}"/>
    <cellStyle name="Salida 3 2 3" xfId="38698" xr:uid="{00000000-0005-0000-0000-00002A970000}"/>
    <cellStyle name="Salida 3 3" xfId="38699" xr:uid="{00000000-0005-0000-0000-00002B970000}"/>
    <cellStyle name="Salida 3 4" xfId="38700" xr:uid="{00000000-0005-0000-0000-00002C970000}"/>
    <cellStyle name="Salida 4" xfId="38701" xr:uid="{00000000-0005-0000-0000-00002D970000}"/>
    <cellStyle name="Salida 4 2" xfId="38702" xr:uid="{00000000-0005-0000-0000-00002E970000}"/>
    <cellStyle name="Salida 4 2 2" xfId="38703" xr:uid="{00000000-0005-0000-0000-00002F970000}"/>
    <cellStyle name="Salida 4 2 3" xfId="38704" xr:uid="{00000000-0005-0000-0000-000030970000}"/>
    <cellStyle name="Salida 4 3" xfId="38705" xr:uid="{00000000-0005-0000-0000-000031970000}"/>
    <cellStyle name="Salida 4 4" xfId="38706" xr:uid="{00000000-0005-0000-0000-000032970000}"/>
    <cellStyle name="Salida 5" xfId="38707" xr:uid="{00000000-0005-0000-0000-000033970000}"/>
    <cellStyle name="Salida 5 2" xfId="38708" xr:uid="{00000000-0005-0000-0000-000034970000}"/>
    <cellStyle name="Salida 5 2 2" xfId="38709" xr:uid="{00000000-0005-0000-0000-000035970000}"/>
    <cellStyle name="Salida 5 2 3" xfId="38710" xr:uid="{00000000-0005-0000-0000-000036970000}"/>
    <cellStyle name="Salida 5 3" xfId="38711" xr:uid="{00000000-0005-0000-0000-000037970000}"/>
    <cellStyle name="Salida 5 4" xfId="38712" xr:uid="{00000000-0005-0000-0000-000038970000}"/>
    <cellStyle name="Salida 6" xfId="38713" xr:uid="{00000000-0005-0000-0000-000039970000}"/>
    <cellStyle name="Salida 6 2" xfId="38714" xr:uid="{00000000-0005-0000-0000-00003A970000}"/>
    <cellStyle name="Salida 6 2 2" xfId="38715" xr:uid="{00000000-0005-0000-0000-00003B970000}"/>
    <cellStyle name="Salida 6 2 3" xfId="38716" xr:uid="{00000000-0005-0000-0000-00003C970000}"/>
    <cellStyle name="Salida 6 3" xfId="38717" xr:uid="{00000000-0005-0000-0000-00003D970000}"/>
    <cellStyle name="Salida 6 4" xfId="38718" xr:uid="{00000000-0005-0000-0000-00003E970000}"/>
    <cellStyle name="Salida 7" xfId="38719" xr:uid="{00000000-0005-0000-0000-00003F970000}"/>
    <cellStyle name="Salida 7 2" xfId="38720" xr:uid="{00000000-0005-0000-0000-000040970000}"/>
    <cellStyle name="Salida 7 2 2" xfId="38721" xr:uid="{00000000-0005-0000-0000-000041970000}"/>
    <cellStyle name="Salida 7 2 3" xfId="38722" xr:uid="{00000000-0005-0000-0000-000042970000}"/>
    <cellStyle name="Salida 7 3" xfId="38723" xr:uid="{00000000-0005-0000-0000-000043970000}"/>
    <cellStyle name="Salida 7 4" xfId="38724" xr:uid="{00000000-0005-0000-0000-000044970000}"/>
    <cellStyle name="Salida 8" xfId="38725" xr:uid="{00000000-0005-0000-0000-000045970000}"/>
    <cellStyle name="Salida 8 2" xfId="38726" xr:uid="{00000000-0005-0000-0000-000046970000}"/>
    <cellStyle name="Salida 8 2 2" xfId="38727" xr:uid="{00000000-0005-0000-0000-000047970000}"/>
    <cellStyle name="Salida 8 2 3" xfId="38728" xr:uid="{00000000-0005-0000-0000-000048970000}"/>
    <cellStyle name="Salida 8 3" xfId="38729" xr:uid="{00000000-0005-0000-0000-000049970000}"/>
    <cellStyle name="Salida 8 4" xfId="38730" xr:uid="{00000000-0005-0000-0000-00004A970000}"/>
    <cellStyle name="Salida 9" xfId="38731" xr:uid="{00000000-0005-0000-0000-00004B970000}"/>
    <cellStyle name="Salida 9 2" xfId="38732" xr:uid="{00000000-0005-0000-0000-00004C970000}"/>
    <cellStyle name="Salida 9 3" xfId="38733" xr:uid="{00000000-0005-0000-0000-00004D970000}"/>
    <cellStyle name="TableStyleLight1" xfId="38734" xr:uid="{00000000-0005-0000-0000-00004E970000}"/>
    <cellStyle name="TableStyleLight1 2" xfId="38735" xr:uid="{00000000-0005-0000-0000-00004F970000}"/>
    <cellStyle name="TableStyleLight1 2 2" xfId="38736" xr:uid="{00000000-0005-0000-0000-000050970000}"/>
    <cellStyle name="TableStyleLight1 2 3" xfId="38737" xr:uid="{00000000-0005-0000-0000-000051970000}"/>
    <cellStyle name="TableStyleLight1 3" xfId="38738" xr:uid="{00000000-0005-0000-0000-000052970000}"/>
    <cellStyle name="TableStyleLight1 4" xfId="38739" xr:uid="{00000000-0005-0000-0000-000053970000}"/>
    <cellStyle name="Texto de advertencia 10" xfId="38740" xr:uid="{00000000-0005-0000-0000-000054970000}"/>
    <cellStyle name="Texto de advertencia 10 2" xfId="38741" xr:uid="{00000000-0005-0000-0000-000055970000}"/>
    <cellStyle name="Texto de advertencia 10 3" xfId="38742" xr:uid="{00000000-0005-0000-0000-000056970000}"/>
    <cellStyle name="Texto de advertencia 11" xfId="38743" xr:uid="{00000000-0005-0000-0000-000057970000}"/>
    <cellStyle name="Texto de advertencia 12" xfId="38744" xr:uid="{00000000-0005-0000-0000-000058970000}"/>
    <cellStyle name="Texto de advertencia 2" xfId="38745" xr:uid="{00000000-0005-0000-0000-000059970000}"/>
    <cellStyle name="Texto de advertencia 2 2" xfId="38746" xr:uid="{00000000-0005-0000-0000-00005A970000}"/>
    <cellStyle name="Texto de advertencia 2 2 2" xfId="38747" xr:uid="{00000000-0005-0000-0000-00005B970000}"/>
    <cellStyle name="Texto de advertencia 2 2 2 2" xfId="38748" xr:uid="{00000000-0005-0000-0000-00005C970000}"/>
    <cellStyle name="Texto de advertencia 2 2 2 2 2" xfId="38749" xr:uid="{00000000-0005-0000-0000-00005D970000}"/>
    <cellStyle name="Texto de advertencia 2 2 2 2 2 2" xfId="38750" xr:uid="{00000000-0005-0000-0000-00005E970000}"/>
    <cellStyle name="Texto de advertencia 2 2 2 2 2 2 2" xfId="38751" xr:uid="{00000000-0005-0000-0000-00005F970000}"/>
    <cellStyle name="Texto de advertencia 2 2 2 2 2 2 3" xfId="38752" xr:uid="{00000000-0005-0000-0000-000060970000}"/>
    <cellStyle name="Texto de advertencia 2 2 2 2 2 3" xfId="38753" xr:uid="{00000000-0005-0000-0000-000061970000}"/>
    <cellStyle name="Texto de advertencia 2 2 2 2 2 4" xfId="38754" xr:uid="{00000000-0005-0000-0000-000062970000}"/>
    <cellStyle name="Texto de advertencia 2 2 2 2 3" xfId="38755" xr:uid="{00000000-0005-0000-0000-000063970000}"/>
    <cellStyle name="Texto de advertencia 2 2 2 2 3 2" xfId="38756" xr:uid="{00000000-0005-0000-0000-000064970000}"/>
    <cellStyle name="Texto de advertencia 2 2 2 2 3 3" xfId="38757" xr:uid="{00000000-0005-0000-0000-000065970000}"/>
    <cellStyle name="Texto de advertencia 2 2 2 2 4" xfId="38758" xr:uid="{00000000-0005-0000-0000-000066970000}"/>
    <cellStyle name="Texto de advertencia 2 2 2 2 5" xfId="38759" xr:uid="{00000000-0005-0000-0000-000067970000}"/>
    <cellStyle name="Texto de advertencia 2 2 2 3" xfId="38760" xr:uid="{00000000-0005-0000-0000-000068970000}"/>
    <cellStyle name="Texto de advertencia 2 2 2 3 2" xfId="38761" xr:uid="{00000000-0005-0000-0000-000069970000}"/>
    <cellStyle name="Texto de advertencia 2 2 2 3 3" xfId="38762" xr:uid="{00000000-0005-0000-0000-00006A970000}"/>
    <cellStyle name="Texto de advertencia 2 2 2 4" xfId="38763" xr:uid="{00000000-0005-0000-0000-00006B970000}"/>
    <cellStyle name="Texto de advertencia 2 2 2 5" xfId="38764" xr:uid="{00000000-0005-0000-0000-00006C970000}"/>
    <cellStyle name="Texto de advertencia 2 2 3" xfId="38765" xr:uid="{00000000-0005-0000-0000-00006D970000}"/>
    <cellStyle name="Texto de advertencia 2 2 3 2" xfId="38766" xr:uid="{00000000-0005-0000-0000-00006E970000}"/>
    <cellStyle name="Texto de advertencia 2 2 3 2 2" xfId="38767" xr:uid="{00000000-0005-0000-0000-00006F970000}"/>
    <cellStyle name="Texto de advertencia 2 2 3 2 3" xfId="38768" xr:uid="{00000000-0005-0000-0000-000070970000}"/>
    <cellStyle name="Texto de advertencia 2 2 3 3" xfId="38769" xr:uid="{00000000-0005-0000-0000-000071970000}"/>
    <cellStyle name="Texto de advertencia 2 2 3 4" xfId="38770" xr:uid="{00000000-0005-0000-0000-000072970000}"/>
    <cellStyle name="Texto de advertencia 2 2 4" xfId="38771" xr:uid="{00000000-0005-0000-0000-000073970000}"/>
    <cellStyle name="Texto de advertencia 2 2 4 2" xfId="38772" xr:uid="{00000000-0005-0000-0000-000074970000}"/>
    <cellStyle name="Texto de advertencia 2 2 4 2 2" xfId="38773" xr:uid="{00000000-0005-0000-0000-000075970000}"/>
    <cellStyle name="Texto de advertencia 2 2 4 2 3" xfId="38774" xr:uid="{00000000-0005-0000-0000-000076970000}"/>
    <cellStyle name="Texto de advertencia 2 2 4 3" xfId="38775" xr:uid="{00000000-0005-0000-0000-000077970000}"/>
    <cellStyle name="Texto de advertencia 2 2 4 4" xfId="38776" xr:uid="{00000000-0005-0000-0000-000078970000}"/>
    <cellStyle name="Texto de advertencia 2 2 5" xfId="38777" xr:uid="{00000000-0005-0000-0000-000079970000}"/>
    <cellStyle name="Texto de advertencia 2 2 5 2" xfId="38778" xr:uid="{00000000-0005-0000-0000-00007A970000}"/>
    <cellStyle name="Texto de advertencia 2 2 5 3" xfId="38779" xr:uid="{00000000-0005-0000-0000-00007B970000}"/>
    <cellStyle name="Texto de advertencia 2 2 6" xfId="38780" xr:uid="{00000000-0005-0000-0000-00007C970000}"/>
    <cellStyle name="Texto de advertencia 2 2 7" xfId="38781" xr:uid="{00000000-0005-0000-0000-00007D970000}"/>
    <cellStyle name="Texto de advertencia 2 3" xfId="38782" xr:uid="{00000000-0005-0000-0000-00007E970000}"/>
    <cellStyle name="Texto de advertencia 2 3 2" xfId="38783" xr:uid="{00000000-0005-0000-0000-00007F970000}"/>
    <cellStyle name="Texto de advertencia 2 3 2 2" xfId="38784" xr:uid="{00000000-0005-0000-0000-000080970000}"/>
    <cellStyle name="Texto de advertencia 2 3 2 3" xfId="38785" xr:uid="{00000000-0005-0000-0000-000081970000}"/>
    <cellStyle name="Texto de advertencia 2 3 3" xfId="38786" xr:uid="{00000000-0005-0000-0000-000082970000}"/>
    <cellStyle name="Texto de advertencia 2 3 4" xfId="38787" xr:uid="{00000000-0005-0000-0000-000083970000}"/>
    <cellStyle name="Texto de advertencia 2 4" xfId="38788" xr:uid="{00000000-0005-0000-0000-000084970000}"/>
    <cellStyle name="Texto de advertencia 2 4 2" xfId="38789" xr:uid="{00000000-0005-0000-0000-000085970000}"/>
    <cellStyle name="Texto de advertencia 2 4 2 2" xfId="38790" xr:uid="{00000000-0005-0000-0000-000086970000}"/>
    <cellStyle name="Texto de advertencia 2 4 2 3" xfId="38791" xr:uid="{00000000-0005-0000-0000-000087970000}"/>
    <cellStyle name="Texto de advertencia 2 4 3" xfId="38792" xr:uid="{00000000-0005-0000-0000-000088970000}"/>
    <cellStyle name="Texto de advertencia 2 4 4" xfId="38793" xr:uid="{00000000-0005-0000-0000-000089970000}"/>
    <cellStyle name="Texto de advertencia 2 5" xfId="38794" xr:uid="{00000000-0005-0000-0000-00008A970000}"/>
    <cellStyle name="Texto de advertencia 2 5 2" xfId="38795" xr:uid="{00000000-0005-0000-0000-00008B970000}"/>
    <cellStyle name="Texto de advertencia 2 5 3" xfId="38796" xr:uid="{00000000-0005-0000-0000-00008C970000}"/>
    <cellStyle name="Texto de advertencia 2 6" xfId="38797" xr:uid="{00000000-0005-0000-0000-00008D970000}"/>
    <cellStyle name="Texto de advertencia 2 7" xfId="38798" xr:uid="{00000000-0005-0000-0000-00008E970000}"/>
    <cellStyle name="Texto de advertencia 3" xfId="38799" xr:uid="{00000000-0005-0000-0000-00008F970000}"/>
    <cellStyle name="Texto de advertencia 3 2" xfId="38800" xr:uid="{00000000-0005-0000-0000-000090970000}"/>
    <cellStyle name="Texto de advertencia 3 2 2" xfId="38801" xr:uid="{00000000-0005-0000-0000-000091970000}"/>
    <cellStyle name="Texto de advertencia 3 2 3" xfId="38802" xr:uid="{00000000-0005-0000-0000-000092970000}"/>
    <cellStyle name="Texto de advertencia 3 3" xfId="38803" xr:uid="{00000000-0005-0000-0000-000093970000}"/>
    <cellStyle name="Texto de advertencia 3 4" xfId="38804" xr:uid="{00000000-0005-0000-0000-000094970000}"/>
    <cellStyle name="Texto de advertencia 4" xfId="38805" xr:uid="{00000000-0005-0000-0000-000095970000}"/>
    <cellStyle name="Texto de advertencia 4 2" xfId="38806" xr:uid="{00000000-0005-0000-0000-000096970000}"/>
    <cellStyle name="Texto de advertencia 4 2 2" xfId="38807" xr:uid="{00000000-0005-0000-0000-000097970000}"/>
    <cellStyle name="Texto de advertencia 4 2 3" xfId="38808" xr:uid="{00000000-0005-0000-0000-000098970000}"/>
    <cellStyle name="Texto de advertencia 4 3" xfId="38809" xr:uid="{00000000-0005-0000-0000-000099970000}"/>
    <cellStyle name="Texto de advertencia 4 4" xfId="38810" xr:uid="{00000000-0005-0000-0000-00009A970000}"/>
    <cellStyle name="Texto de advertencia 5" xfId="38811" xr:uid="{00000000-0005-0000-0000-00009B970000}"/>
    <cellStyle name="Texto de advertencia 5 2" xfId="38812" xr:uid="{00000000-0005-0000-0000-00009C970000}"/>
    <cellStyle name="Texto de advertencia 5 2 2" xfId="38813" xr:uid="{00000000-0005-0000-0000-00009D970000}"/>
    <cellStyle name="Texto de advertencia 5 2 3" xfId="38814" xr:uid="{00000000-0005-0000-0000-00009E970000}"/>
    <cellStyle name="Texto de advertencia 5 3" xfId="38815" xr:uid="{00000000-0005-0000-0000-00009F970000}"/>
    <cellStyle name="Texto de advertencia 5 4" xfId="38816" xr:uid="{00000000-0005-0000-0000-0000A0970000}"/>
    <cellStyle name="Texto de advertencia 6" xfId="38817" xr:uid="{00000000-0005-0000-0000-0000A1970000}"/>
    <cellStyle name="Texto de advertencia 6 2" xfId="38818" xr:uid="{00000000-0005-0000-0000-0000A2970000}"/>
    <cellStyle name="Texto de advertencia 6 2 2" xfId="38819" xr:uid="{00000000-0005-0000-0000-0000A3970000}"/>
    <cellStyle name="Texto de advertencia 6 2 3" xfId="38820" xr:uid="{00000000-0005-0000-0000-0000A4970000}"/>
    <cellStyle name="Texto de advertencia 6 3" xfId="38821" xr:uid="{00000000-0005-0000-0000-0000A5970000}"/>
    <cellStyle name="Texto de advertencia 6 4" xfId="38822" xr:uid="{00000000-0005-0000-0000-0000A6970000}"/>
    <cellStyle name="Texto de advertencia 7" xfId="38823" xr:uid="{00000000-0005-0000-0000-0000A7970000}"/>
    <cellStyle name="Texto de advertencia 7 2" xfId="38824" xr:uid="{00000000-0005-0000-0000-0000A8970000}"/>
    <cellStyle name="Texto de advertencia 7 2 2" xfId="38825" xr:uid="{00000000-0005-0000-0000-0000A9970000}"/>
    <cellStyle name="Texto de advertencia 7 2 3" xfId="38826" xr:uid="{00000000-0005-0000-0000-0000AA970000}"/>
    <cellStyle name="Texto de advertencia 7 3" xfId="38827" xr:uid="{00000000-0005-0000-0000-0000AB970000}"/>
    <cellStyle name="Texto de advertencia 7 4" xfId="38828" xr:uid="{00000000-0005-0000-0000-0000AC970000}"/>
    <cellStyle name="Texto de advertencia 8" xfId="38829" xr:uid="{00000000-0005-0000-0000-0000AD970000}"/>
    <cellStyle name="Texto de advertencia 8 2" xfId="38830" xr:uid="{00000000-0005-0000-0000-0000AE970000}"/>
    <cellStyle name="Texto de advertencia 8 2 2" xfId="38831" xr:uid="{00000000-0005-0000-0000-0000AF970000}"/>
    <cellStyle name="Texto de advertencia 8 2 3" xfId="38832" xr:uid="{00000000-0005-0000-0000-0000B0970000}"/>
    <cellStyle name="Texto de advertencia 8 3" xfId="38833" xr:uid="{00000000-0005-0000-0000-0000B1970000}"/>
    <cellStyle name="Texto de advertencia 8 4" xfId="38834" xr:uid="{00000000-0005-0000-0000-0000B2970000}"/>
    <cellStyle name="Texto de advertencia 9" xfId="38835" xr:uid="{00000000-0005-0000-0000-0000B3970000}"/>
    <cellStyle name="Texto de advertencia 9 2" xfId="38836" xr:uid="{00000000-0005-0000-0000-0000B4970000}"/>
    <cellStyle name="Texto de advertencia 9 2 2" xfId="38837" xr:uid="{00000000-0005-0000-0000-0000B5970000}"/>
    <cellStyle name="Texto de advertencia 9 2 3" xfId="38838" xr:uid="{00000000-0005-0000-0000-0000B6970000}"/>
    <cellStyle name="Texto de advertencia 9 3" xfId="38839" xr:uid="{00000000-0005-0000-0000-0000B7970000}"/>
    <cellStyle name="Texto de advertencia 9 4" xfId="38840" xr:uid="{00000000-0005-0000-0000-0000B8970000}"/>
    <cellStyle name="Texto explicativo 10" xfId="38841" xr:uid="{00000000-0005-0000-0000-0000B9970000}"/>
    <cellStyle name="Texto explicativo 11" xfId="38842" xr:uid="{00000000-0005-0000-0000-0000BA970000}"/>
    <cellStyle name="Texto explicativo 2" xfId="38843" xr:uid="{00000000-0005-0000-0000-0000BB970000}"/>
    <cellStyle name="Texto explicativo 2 2" xfId="38844" xr:uid="{00000000-0005-0000-0000-0000BC970000}"/>
    <cellStyle name="Texto explicativo 2 2 2" xfId="38845" xr:uid="{00000000-0005-0000-0000-0000BD970000}"/>
    <cellStyle name="Texto explicativo 2 2 3" xfId="38846" xr:uid="{00000000-0005-0000-0000-0000BE970000}"/>
    <cellStyle name="Texto explicativo 2 2 4" xfId="38847" xr:uid="{00000000-0005-0000-0000-0000BF970000}"/>
    <cellStyle name="Texto explicativo 2 3" xfId="38848" xr:uid="{00000000-0005-0000-0000-0000C0970000}"/>
    <cellStyle name="Texto explicativo 2 4" xfId="38849" xr:uid="{00000000-0005-0000-0000-0000C1970000}"/>
    <cellStyle name="Texto explicativo 3" xfId="38850" xr:uid="{00000000-0005-0000-0000-0000C2970000}"/>
    <cellStyle name="Texto explicativo 3 2" xfId="38851" xr:uid="{00000000-0005-0000-0000-0000C3970000}"/>
    <cellStyle name="Texto explicativo 3 2 2" xfId="38852" xr:uid="{00000000-0005-0000-0000-0000C4970000}"/>
    <cellStyle name="Texto explicativo 3 2 3" xfId="38853" xr:uid="{00000000-0005-0000-0000-0000C5970000}"/>
    <cellStyle name="Texto explicativo 3 3" xfId="38854" xr:uid="{00000000-0005-0000-0000-0000C6970000}"/>
    <cellStyle name="Texto explicativo 3 4" xfId="38855" xr:uid="{00000000-0005-0000-0000-0000C7970000}"/>
    <cellStyle name="Texto explicativo 4" xfId="38856" xr:uid="{00000000-0005-0000-0000-0000C8970000}"/>
    <cellStyle name="Texto explicativo 4 2" xfId="38857" xr:uid="{00000000-0005-0000-0000-0000C9970000}"/>
    <cellStyle name="Texto explicativo 4 2 2" xfId="38858" xr:uid="{00000000-0005-0000-0000-0000CA970000}"/>
    <cellStyle name="Texto explicativo 4 2 3" xfId="38859" xr:uid="{00000000-0005-0000-0000-0000CB970000}"/>
    <cellStyle name="Texto explicativo 4 3" xfId="38860" xr:uid="{00000000-0005-0000-0000-0000CC970000}"/>
    <cellStyle name="Texto explicativo 4 4" xfId="38861" xr:uid="{00000000-0005-0000-0000-0000CD970000}"/>
    <cellStyle name="Texto explicativo 5" xfId="38862" xr:uid="{00000000-0005-0000-0000-0000CE970000}"/>
    <cellStyle name="Texto explicativo 5 2" xfId="38863" xr:uid="{00000000-0005-0000-0000-0000CF970000}"/>
    <cellStyle name="Texto explicativo 5 2 2" xfId="38864" xr:uid="{00000000-0005-0000-0000-0000D0970000}"/>
    <cellStyle name="Texto explicativo 5 2 3" xfId="38865" xr:uid="{00000000-0005-0000-0000-0000D1970000}"/>
    <cellStyle name="Texto explicativo 5 3" xfId="38866" xr:uid="{00000000-0005-0000-0000-0000D2970000}"/>
    <cellStyle name="Texto explicativo 5 4" xfId="38867" xr:uid="{00000000-0005-0000-0000-0000D3970000}"/>
    <cellStyle name="Texto explicativo 6" xfId="38868" xr:uid="{00000000-0005-0000-0000-0000D4970000}"/>
    <cellStyle name="Texto explicativo 6 2" xfId="38869" xr:uid="{00000000-0005-0000-0000-0000D5970000}"/>
    <cellStyle name="Texto explicativo 6 2 2" xfId="38870" xr:uid="{00000000-0005-0000-0000-0000D6970000}"/>
    <cellStyle name="Texto explicativo 6 2 3" xfId="38871" xr:uid="{00000000-0005-0000-0000-0000D7970000}"/>
    <cellStyle name="Texto explicativo 6 3" xfId="38872" xr:uid="{00000000-0005-0000-0000-0000D8970000}"/>
    <cellStyle name="Texto explicativo 6 4" xfId="38873" xr:uid="{00000000-0005-0000-0000-0000D9970000}"/>
    <cellStyle name="Texto explicativo 7" xfId="38874" xr:uid="{00000000-0005-0000-0000-0000DA970000}"/>
    <cellStyle name="Texto explicativo 7 2" xfId="38875" xr:uid="{00000000-0005-0000-0000-0000DB970000}"/>
    <cellStyle name="Texto explicativo 7 2 2" xfId="38876" xr:uid="{00000000-0005-0000-0000-0000DC970000}"/>
    <cellStyle name="Texto explicativo 7 2 3" xfId="38877" xr:uid="{00000000-0005-0000-0000-0000DD970000}"/>
    <cellStyle name="Texto explicativo 7 3" xfId="38878" xr:uid="{00000000-0005-0000-0000-0000DE970000}"/>
    <cellStyle name="Texto explicativo 7 4" xfId="38879" xr:uid="{00000000-0005-0000-0000-0000DF970000}"/>
    <cellStyle name="Texto explicativo 8" xfId="38880" xr:uid="{00000000-0005-0000-0000-0000E0970000}"/>
    <cellStyle name="Texto explicativo 8 2" xfId="38881" xr:uid="{00000000-0005-0000-0000-0000E1970000}"/>
    <cellStyle name="Texto explicativo 8 2 2" xfId="38882" xr:uid="{00000000-0005-0000-0000-0000E2970000}"/>
    <cellStyle name="Texto explicativo 8 2 3" xfId="38883" xr:uid="{00000000-0005-0000-0000-0000E3970000}"/>
    <cellStyle name="Texto explicativo 8 3" xfId="38884" xr:uid="{00000000-0005-0000-0000-0000E4970000}"/>
    <cellStyle name="Texto explicativo 8 4" xfId="38885" xr:uid="{00000000-0005-0000-0000-0000E5970000}"/>
    <cellStyle name="Texto explicativo 9" xfId="38886" xr:uid="{00000000-0005-0000-0000-0000E6970000}"/>
    <cellStyle name="Texto explicativo 9 2" xfId="38887" xr:uid="{00000000-0005-0000-0000-0000E7970000}"/>
    <cellStyle name="Texto explicativo 9 3" xfId="38888" xr:uid="{00000000-0005-0000-0000-0000E8970000}"/>
    <cellStyle name="Title" xfId="38889" xr:uid="{00000000-0005-0000-0000-0000E9970000}"/>
    <cellStyle name="Title 2" xfId="38890" xr:uid="{00000000-0005-0000-0000-0000EA970000}"/>
    <cellStyle name="Title 2 2" xfId="38891" xr:uid="{00000000-0005-0000-0000-0000EB970000}"/>
    <cellStyle name="Title 2 2 2" xfId="38892" xr:uid="{00000000-0005-0000-0000-0000EC970000}"/>
    <cellStyle name="Title 2 2 3" xfId="38893" xr:uid="{00000000-0005-0000-0000-0000ED970000}"/>
    <cellStyle name="Title 2 3" xfId="38894" xr:uid="{00000000-0005-0000-0000-0000EE970000}"/>
    <cellStyle name="Title 2 4" xfId="38895" xr:uid="{00000000-0005-0000-0000-0000EF970000}"/>
    <cellStyle name="Title 3" xfId="38896" xr:uid="{00000000-0005-0000-0000-0000F0970000}"/>
    <cellStyle name="Title 3 2" xfId="38897" xr:uid="{00000000-0005-0000-0000-0000F1970000}"/>
    <cellStyle name="Title 3 2 2" xfId="38898" xr:uid="{00000000-0005-0000-0000-0000F2970000}"/>
    <cellStyle name="Title 3 2 3" xfId="38899" xr:uid="{00000000-0005-0000-0000-0000F3970000}"/>
    <cellStyle name="Title 3 3" xfId="38900" xr:uid="{00000000-0005-0000-0000-0000F4970000}"/>
    <cellStyle name="Title 3 4" xfId="38901" xr:uid="{00000000-0005-0000-0000-0000F5970000}"/>
    <cellStyle name="Title 4" xfId="38902" xr:uid="{00000000-0005-0000-0000-0000F6970000}"/>
    <cellStyle name="Title 4 2" xfId="38903" xr:uid="{00000000-0005-0000-0000-0000F7970000}"/>
    <cellStyle name="Title 4 2 2" xfId="38904" xr:uid="{00000000-0005-0000-0000-0000F8970000}"/>
    <cellStyle name="Title 4 2 3" xfId="38905" xr:uid="{00000000-0005-0000-0000-0000F9970000}"/>
    <cellStyle name="Title 4 3" xfId="38906" xr:uid="{00000000-0005-0000-0000-0000FA970000}"/>
    <cellStyle name="Title 4 4" xfId="38907" xr:uid="{00000000-0005-0000-0000-0000FB970000}"/>
    <cellStyle name="Title 5" xfId="38908" xr:uid="{00000000-0005-0000-0000-0000FC970000}"/>
    <cellStyle name="Title 5 2" xfId="38909" xr:uid="{00000000-0005-0000-0000-0000FD970000}"/>
    <cellStyle name="Title 5 2 2" xfId="38910" xr:uid="{00000000-0005-0000-0000-0000FE970000}"/>
    <cellStyle name="Title 5 2 3" xfId="38911" xr:uid="{00000000-0005-0000-0000-0000FF970000}"/>
    <cellStyle name="Title 5 3" xfId="38912" xr:uid="{00000000-0005-0000-0000-000000980000}"/>
    <cellStyle name="Title 5 4" xfId="38913" xr:uid="{00000000-0005-0000-0000-000001980000}"/>
    <cellStyle name="Title 6" xfId="38914" xr:uid="{00000000-0005-0000-0000-000002980000}"/>
    <cellStyle name="Title 6 2" xfId="38915" xr:uid="{00000000-0005-0000-0000-000003980000}"/>
    <cellStyle name="Title 6 3" xfId="38916" xr:uid="{00000000-0005-0000-0000-000004980000}"/>
    <cellStyle name="Title 7" xfId="38917" xr:uid="{00000000-0005-0000-0000-000005980000}"/>
    <cellStyle name="Title 8" xfId="38918" xr:uid="{00000000-0005-0000-0000-000006980000}"/>
    <cellStyle name="Título 1 10" xfId="38919" xr:uid="{00000000-0005-0000-0000-000007980000}"/>
    <cellStyle name="Título 1 11" xfId="38920" xr:uid="{00000000-0005-0000-0000-000008980000}"/>
    <cellStyle name="Título 1 2" xfId="38921" xr:uid="{00000000-0005-0000-0000-000009980000}"/>
    <cellStyle name="Título 1 2 2" xfId="38922" xr:uid="{00000000-0005-0000-0000-00000A980000}"/>
    <cellStyle name="Título 1 2 2 2" xfId="38923" xr:uid="{00000000-0005-0000-0000-00000B980000}"/>
    <cellStyle name="Título 1 2 2 3" xfId="38924" xr:uid="{00000000-0005-0000-0000-00000C980000}"/>
    <cellStyle name="Título 1 2 3" xfId="38925" xr:uid="{00000000-0005-0000-0000-00000D980000}"/>
    <cellStyle name="Título 1 2 4" xfId="38926" xr:uid="{00000000-0005-0000-0000-00000E980000}"/>
    <cellStyle name="Título 1 3" xfId="38927" xr:uid="{00000000-0005-0000-0000-00000F980000}"/>
    <cellStyle name="Título 1 3 2" xfId="38928" xr:uid="{00000000-0005-0000-0000-000010980000}"/>
    <cellStyle name="Título 1 3 2 2" xfId="38929" xr:uid="{00000000-0005-0000-0000-000011980000}"/>
    <cellStyle name="Título 1 3 2 3" xfId="38930" xr:uid="{00000000-0005-0000-0000-000012980000}"/>
    <cellStyle name="Título 1 3 3" xfId="38931" xr:uid="{00000000-0005-0000-0000-000013980000}"/>
    <cellStyle name="Título 1 3 4" xfId="38932" xr:uid="{00000000-0005-0000-0000-000014980000}"/>
    <cellStyle name="Título 1 4" xfId="38933" xr:uid="{00000000-0005-0000-0000-000015980000}"/>
    <cellStyle name="Título 1 4 2" xfId="38934" xr:uid="{00000000-0005-0000-0000-000016980000}"/>
    <cellStyle name="Título 1 4 2 2" xfId="38935" xr:uid="{00000000-0005-0000-0000-000017980000}"/>
    <cellStyle name="Título 1 4 2 3" xfId="38936" xr:uid="{00000000-0005-0000-0000-000018980000}"/>
    <cellStyle name="Título 1 4 3" xfId="38937" xr:uid="{00000000-0005-0000-0000-000019980000}"/>
    <cellStyle name="Título 1 4 4" xfId="38938" xr:uid="{00000000-0005-0000-0000-00001A980000}"/>
    <cellStyle name="Título 1 5" xfId="38939" xr:uid="{00000000-0005-0000-0000-00001B980000}"/>
    <cellStyle name="Título 1 5 2" xfId="38940" xr:uid="{00000000-0005-0000-0000-00001C980000}"/>
    <cellStyle name="Título 1 5 2 2" xfId="38941" xr:uid="{00000000-0005-0000-0000-00001D980000}"/>
    <cellStyle name="Título 1 5 2 3" xfId="38942" xr:uid="{00000000-0005-0000-0000-00001E980000}"/>
    <cellStyle name="Título 1 5 3" xfId="38943" xr:uid="{00000000-0005-0000-0000-00001F980000}"/>
    <cellStyle name="Título 1 5 4" xfId="38944" xr:uid="{00000000-0005-0000-0000-000020980000}"/>
    <cellStyle name="Título 1 6" xfId="38945" xr:uid="{00000000-0005-0000-0000-000021980000}"/>
    <cellStyle name="Título 1 6 2" xfId="38946" xr:uid="{00000000-0005-0000-0000-000022980000}"/>
    <cellStyle name="Título 1 6 2 2" xfId="38947" xr:uid="{00000000-0005-0000-0000-000023980000}"/>
    <cellStyle name="Título 1 6 2 3" xfId="38948" xr:uid="{00000000-0005-0000-0000-000024980000}"/>
    <cellStyle name="Título 1 6 3" xfId="38949" xr:uid="{00000000-0005-0000-0000-000025980000}"/>
    <cellStyle name="Título 1 6 4" xfId="38950" xr:uid="{00000000-0005-0000-0000-000026980000}"/>
    <cellStyle name="Título 1 7" xfId="38951" xr:uid="{00000000-0005-0000-0000-000027980000}"/>
    <cellStyle name="Título 1 7 2" xfId="38952" xr:uid="{00000000-0005-0000-0000-000028980000}"/>
    <cellStyle name="Título 1 7 2 2" xfId="38953" xr:uid="{00000000-0005-0000-0000-000029980000}"/>
    <cellStyle name="Título 1 7 2 3" xfId="38954" xr:uid="{00000000-0005-0000-0000-00002A980000}"/>
    <cellStyle name="Título 1 7 3" xfId="38955" xr:uid="{00000000-0005-0000-0000-00002B980000}"/>
    <cellStyle name="Título 1 7 4" xfId="38956" xr:uid="{00000000-0005-0000-0000-00002C980000}"/>
    <cellStyle name="Título 1 8" xfId="38957" xr:uid="{00000000-0005-0000-0000-00002D980000}"/>
    <cellStyle name="Título 1 8 2" xfId="38958" xr:uid="{00000000-0005-0000-0000-00002E980000}"/>
    <cellStyle name="Título 1 8 2 2" xfId="38959" xr:uid="{00000000-0005-0000-0000-00002F980000}"/>
    <cellStyle name="Título 1 8 2 3" xfId="38960" xr:uid="{00000000-0005-0000-0000-000030980000}"/>
    <cellStyle name="Título 1 8 3" xfId="38961" xr:uid="{00000000-0005-0000-0000-000031980000}"/>
    <cellStyle name="Título 1 8 4" xfId="38962" xr:uid="{00000000-0005-0000-0000-000032980000}"/>
    <cellStyle name="Título 1 9" xfId="38963" xr:uid="{00000000-0005-0000-0000-000033980000}"/>
    <cellStyle name="Título 1 9 2" xfId="38964" xr:uid="{00000000-0005-0000-0000-000034980000}"/>
    <cellStyle name="Título 1 9 3" xfId="38965" xr:uid="{00000000-0005-0000-0000-000035980000}"/>
    <cellStyle name="Título 10" xfId="38966" xr:uid="{00000000-0005-0000-0000-000036980000}"/>
    <cellStyle name="Título 10 2" xfId="38967" xr:uid="{00000000-0005-0000-0000-000037980000}"/>
    <cellStyle name="Título 10 2 2" xfId="38968" xr:uid="{00000000-0005-0000-0000-000038980000}"/>
    <cellStyle name="Título 10 2 3" xfId="38969" xr:uid="{00000000-0005-0000-0000-000039980000}"/>
    <cellStyle name="Título 10 3" xfId="38970" xr:uid="{00000000-0005-0000-0000-00003A980000}"/>
    <cellStyle name="Título 10 4" xfId="38971" xr:uid="{00000000-0005-0000-0000-00003B980000}"/>
    <cellStyle name="Título 11" xfId="38972" xr:uid="{00000000-0005-0000-0000-00003C980000}"/>
    <cellStyle name="Título 11 2" xfId="38973" xr:uid="{00000000-0005-0000-0000-00003D980000}"/>
    <cellStyle name="Título 11 3" xfId="38974" xr:uid="{00000000-0005-0000-0000-00003E980000}"/>
    <cellStyle name="Título 12" xfId="38975" xr:uid="{00000000-0005-0000-0000-00003F980000}"/>
    <cellStyle name="Título 13" xfId="38976" xr:uid="{00000000-0005-0000-0000-000040980000}"/>
    <cellStyle name="Título 2 10" xfId="38977" xr:uid="{00000000-0005-0000-0000-000041980000}"/>
    <cellStyle name="Título 2 11" xfId="38978" xr:uid="{00000000-0005-0000-0000-000042980000}"/>
    <cellStyle name="Título 2 2" xfId="38979" xr:uid="{00000000-0005-0000-0000-000043980000}"/>
    <cellStyle name="Título 2 2 2" xfId="38980" xr:uid="{00000000-0005-0000-0000-000044980000}"/>
    <cellStyle name="Título 2 2 2 2" xfId="38981" xr:uid="{00000000-0005-0000-0000-000045980000}"/>
    <cellStyle name="Título 2 2 2 3" xfId="38982" xr:uid="{00000000-0005-0000-0000-000046980000}"/>
    <cellStyle name="Título 2 2 2 4" xfId="38983" xr:uid="{00000000-0005-0000-0000-000047980000}"/>
    <cellStyle name="Título 2 2 3" xfId="38984" xr:uid="{00000000-0005-0000-0000-000048980000}"/>
    <cellStyle name="Título 2 2 4" xfId="38985" xr:uid="{00000000-0005-0000-0000-000049980000}"/>
    <cellStyle name="Título 2 3" xfId="38986" xr:uid="{00000000-0005-0000-0000-00004A980000}"/>
    <cellStyle name="Título 2 3 2" xfId="38987" xr:uid="{00000000-0005-0000-0000-00004B980000}"/>
    <cellStyle name="Título 2 3 2 2" xfId="38988" xr:uid="{00000000-0005-0000-0000-00004C980000}"/>
    <cellStyle name="Título 2 3 2 3" xfId="38989" xr:uid="{00000000-0005-0000-0000-00004D980000}"/>
    <cellStyle name="Título 2 3 3" xfId="38990" xr:uid="{00000000-0005-0000-0000-00004E980000}"/>
    <cellStyle name="Título 2 3 4" xfId="38991" xr:uid="{00000000-0005-0000-0000-00004F980000}"/>
    <cellStyle name="Título 2 4" xfId="38992" xr:uid="{00000000-0005-0000-0000-000050980000}"/>
    <cellStyle name="Título 2 4 2" xfId="38993" xr:uid="{00000000-0005-0000-0000-000051980000}"/>
    <cellStyle name="Título 2 4 2 2" xfId="38994" xr:uid="{00000000-0005-0000-0000-000052980000}"/>
    <cellStyle name="Título 2 4 2 3" xfId="38995" xr:uid="{00000000-0005-0000-0000-000053980000}"/>
    <cellStyle name="Título 2 4 3" xfId="38996" xr:uid="{00000000-0005-0000-0000-000054980000}"/>
    <cellStyle name="Título 2 4 4" xfId="38997" xr:uid="{00000000-0005-0000-0000-000055980000}"/>
    <cellStyle name="Título 2 5" xfId="38998" xr:uid="{00000000-0005-0000-0000-000056980000}"/>
    <cellStyle name="Título 2 5 2" xfId="38999" xr:uid="{00000000-0005-0000-0000-000057980000}"/>
    <cellStyle name="Título 2 5 2 2" xfId="39000" xr:uid="{00000000-0005-0000-0000-000058980000}"/>
    <cellStyle name="Título 2 5 2 3" xfId="39001" xr:uid="{00000000-0005-0000-0000-000059980000}"/>
    <cellStyle name="Título 2 5 3" xfId="39002" xr:uid="{00000000-0005-0000-0000-00005A980000}"/>
    <cellStyle name="Título 2 5 4" xfId="39003" xr:uid="{00000000-0005-0000-0000-00005B980000}"/>
    <cellStyle name="Título 2 6" xfId="39004" xr:uid="{00000000-0005-0000-0000-00005C980000}"/>
    <cellStyle name="Título 2 6 2" xfId="39005" xr:uid="{00000000-0005-0000-0000-00005D980000}"/>
    <cellStyle name="Título 2 6 2 2" xfId="39006" xr:uid="{00000000-0005-0000-0000-00005E980000}"/>
    <cellStyle name="Título 2 6 2 3" xfId="39007" xr:uid="{00000000-0005-0000-0000-00005F980000}"/>
    <cellStyle name="Título 2 6 3" xfId="39008" xr:uid="{00000000-0005-0000-0000-000060980000}"/>
    <cellStyle name="Título 2 6 4" xfId="39009" xr:uid="{00000000-0005-0000-0000-000061980000}"/>
    <cellStyle name="Título 2 7" xfId="39010" xr:uid="{00000000-0005-0000-0000-000062980000}"/>
    <cellStyle name="Título 2 7 2" xfId="39011" xr:uid="{00000000-0005-0000-0000-000063980000}"/>
    <cellStyle name="Título 2 7 2 2" xfId="39012" xr:uid="{00000000-0005-0000-0000-000064980000}"/>
    <cellStyle name="Título 2 7 2 3" xfId="39013" xr:uid="{00000000-0005-0000-0000-000065980000}"/>
    <cellStyle name="Título 2 7 3" xfId="39014" xr:uid="{00000000-0005-0000-0000-000066980000}"/>
    <cellStyle name="Título 2 7 4" xfId="39015" xr:uid="{00000000-0005-0000-0000-000067980000}"/>
    <cellStyle name="Título 2 8" xfId="39016" xr:uid="{00000000-0005-0000-0000-000068980000}"/>
    <cellStyle name="Título 2 8 2" xfId="39017" xr:uid="{00000000-0005-0000-0000-000069980000}"/>
    <cellStyle name="Título 2 8 2 2" xfId="39018" xr:uid="{00000000-0005-0000-0000-00006A980000}"/>
    <cellStyle name="Título 2 8 2 3" xfId="39019" xr:uid="{00000000-0005-0000-0000-00006B980000}"/>
    <cellStyle name="Título 2 8 3" xfId="39020" xr:uid="{00000000-0005-0000-0000-00006C980000}"/>
    <cellStyle name="Título 2 8 4" xfId="39021" xr:uid="{00000000-0005-0000-0000-00006D980000}"/>
    <cellStyle name="Título 2 9" xfId="39022" xr:uid="{00000000-0005-0000-0000-00006E980000}"/>
    <cellStyle name="Título 2 9 2" xfId="39023" xr:uid="{00000000-0005-0000-0000-00006F980000}"/>
    <cellStyle name="Título 2 9 3" xfId="39024" xr:uid="{00000000-0005-0000-0000-000070980000}"/>
    <cellStyle name="Título 3 10" xfId="39025" xr:uid="{00000000-0005-0000-0000-000071980000}"/>
    <cellStyle name="Título 3 11" xfId="39026" xr:uid="{00000000-0005-0000-0000-000072980000}"/>
    <cellStyle name="Título 3 2" xfId="39027" xr:uid="{00000000-0005-0000-0000-000073980000}"/>
    <cellStyle name="Título 3 2 2" xfId="39028" xr:uid="{00000000-0005-0000-0000-000074980000}"/>
    <cellStyle name="Título 3 2 2 2" xfId="39029" xr:uid="{00000000-0005-0000-0000-000075980000}"/>
    <cellStyle name="Título 3 2 2 3" xfId="39030" xr:uid="{00000000-0005-0000-0000-000076980000}"/>
    <cellStyle name="Título 3 2 2 4" xfId="39031" xr:uid="{00000000-0005-0000-0000-000077980000}"/>
    <cellStyle name="Título 3 2 3" xfId="39032" xr:uid="{00000000-0005-0000-0000-000078980000}"/>
    <cellStyle name="Título 3 2 4" xfId="39033" xr:uid="{00000000-0005-0000-0000-000079980000}"/>
    <cellStyle name="Título 3 3" xfId="39034" xr:uid="{00000000-0005-0000-0000-00007A980000}"/>
    <cellStyle name="Título 3 3 2" xfId="39035" xr:uid="{00000000-0005-0000-0000-00007B980000}"/>
    <cellStyle name="Título 3 3 2 2" xfId="39036" xr:uid="{00000000-0005-0000-0000-00007C980000}"/>
    <cellStyle name="Título 3 3 2 3" xfId="39037" xr:uid="{00000000-0005-0000-0000-00007D980000}"/>
    <cellStyle name="Título 3 3 3" xfId="39038" xr:uid="{00000000-0005-0000-0000-00007E980000}"/>
    <cellStyle name="Título 3 3 4" xfId="39039" xr:uid="{00000000-0005-0000-0000-00007F980000}"/>
    <cellStyle name="Título 3 4" xfId="39040" xr:uid="{00000000-0005-0000-0000-000080980000}"/>
    <cellStyle name="Título 3 4 2" xfId="39041" xr:uid="{00000000-0005-0000-0000-000081980000}"/>
    <cellStyle name="Título 3 4 2 2" xfId="39042" xr:uid="{00000000-0005-0000-0000-000082980000}"/>
    <cellStyle name="Título 3 4 2 3" xfId="39043" xr:uid="{00000000-0005-0000-0000-000083980000}"/>
    <cellStyle name="Título 3 4 3" xfId="39044" xr:uid="{00000000-0005-0000-0000-000084980000}"/>
    <cellStyle name="Título 3 4 4" xfId="39045" xr:uid="{00000000-0005-0000-0000-000085980000}"/>
    <cellStyle name="Título 3 5" xfId="39046" xr:uid="{00000000-0005-0000-0000-000086980000}"/>
    <cellStyle name="Título 3 5 2" xfId="39047" xr:uid="{00000000-0005-0000-0000-000087980000}"/>
    <cellStyle name="Título 3 5 2 2" xfId="39048" xr:uid="{00000000-0005-0000-0000-000088980000}"/>
    <cellStyle name="Título 3 5 2 3" xfId="39049" xr:uid="{00000000-0005-0000-0000-000089980000}"/>
    <cellStyle name="Título 3 5 3" xfId="39050" xr:uid="{00000000-0005-0000-0000-00008A980000}"/>
    <cellStyle name="Título 3 5 4" xfId="39051" xr:uid="{00000000-0005-0000-0000-00008B980000}"/>
    <cellStyle name="Título 3 6" xfId="39052" xr:uid="{00000000-0005-0000-0000-00008C980000}"/>
    <cellStyle name="Título 3 6 2" xfId="39053" xr:uid="{00000000-0005-0000-0000-00008D980000}"/>
    <cellStyle name="Título 3 6 2 2" xfId="39054" xr:uid="{00000000-0005-0000-0000-00008E980000}"/>
    <cellStyle name="Título 3 6 2 3" xfId="39055" xr:uid="{00000000-0005-0000-0000-00008F980000}"/>
    <cellStyle name="Título 3 6 3" xfId="39056" xr:uid="{00000000-0005-0000-0000-000090980000}"/>
    <cellStyle name="Título 3 6 4" xfId="39057" xr:uid="{00000000-0005-0000-0000-000091980000}"/>
    <cellStyle name="Título 3 7" xfId="39058" xr:uid="{00000000-0005-0000-0000-000092980000}"/>
    <cellStyle name="Título 3 7 2" xfId="39059" xr:uid="{00000000-0005-0000-0000-000093980000}"/>
    <cellStyle name="Título 3 7 2 2" xfId="39060" xr:uid="{00000000-0005-0000-0000-000094980000}"/>
    <cellStyle name="Título 3 7 2 3" xfId="39061" xr:uid="{00000000-0005-0000-0000-000095980000}"/>
    <cellStyle name="Título 3 7 3" xfId="39062" xr:uid="{00000000-0005-0000-0000-000096980000}"/>
    <cellStyle name="Título 3 7 4" xfId="39063" xr:uid="{00000000-0005-0000-0000-000097980000}"/>
    <cellStyle name="Título 3 8" xfId="39064" xr:uid="{00000000-0005-0000-0000-000098980000}"/>
    <cellStyle name="Título 3 8 2" xfId="39065" xr:uid="{00000000-0005-0000-0000-000099980000}"/>
    <cellStyle name="Título 3 8 2 2" xfId="39066" xr:uid="{00000000-0005-0000-0000-00009A980000}"/>
    <cellStyle name="Título 3 8 2 3" xfId="39067" xr:uid="{00000000-0005-0000-0000-00009B980000}"/>
    <cellStyle name="Título 3 8 3" xfId="39068" xr:uid="{00000000-0005-0000-0000-00009C980000}"/>
    <cellStyle name="Título 3 8 4" xfId="39069" xr:uid="{00000000-0005-0000-0000-00009D980000}"/>
    <cellStyle name="Título 3 9" xfId="39070" xr:uid="{00000000-0005-0000-0000-00009E980000}"/>
    <cellStyle name="Título 3 9 2" xfId="39071" xr:uid="{00000000-0005-0000-0000-00009F980000}"/>
    <cellStyle name="Título 3 9 3" xfId="39072" xr:uid="{00000000-0005-0000-0000-0000A0980000}"/>
    <cellStyle name="Título 4" xfId="39073" xr:uid="{00000000-0005-0000-0000-0000A1980000}"/>
    <cellStyle name="Título 4 2" xfId="39074" xr:uid="{00000000-0005-0000-0000-0000A2980000}"/>
    <cellStyle name="Título 4 2 2" xfId="39075" xr:uid="{00000000-0005-0000-0000-0000A3980000}"/>
    <cellStyle name="Título 4 2 3" xfId="39076" xr:uid="{00000000-0005-0000-0000-0000A4980000}"/>
    <cellStyle name="Título 4 2 4" xfId="39077" xr:uid="{00000000-0005-0000-0000-0000A5980000}"/>
    <cellStyle name="Título 4 3" xfId="39078" xr:uid="{00000000-0005-0000-0000-0000A6980000}"/>
    <cellStyle name="Título 4 4" xfId="39079" xr:uid="{00000000-0005-0000-0000-0000A7980000}"/>
    <cellStyle name="Título 5" xfId="39080" xr:uid="{00000000-0005-0000-0000-0000A8980000}"/>
    <cellStyle name="Título 5 2" xfId="39081" xr:uid="{00000000-0005-0000-0000-0000A9980000}"/>
    <cellStyle name="Título 5 2 2" xfId="39082" xr:uid="{00000000-0005-0000-0000-0000AA980000}"/>
    <cellStyle name="Título 5 2 3" xfId="39083" xr:uid="{00000000-0005-0000-0000-0000AB980000}"/>
    <cellStyle name="Título 5 2 4" xfId="39084" xr:uid="{00000000-0005-0000-0000-0000AC980000}"/>
    <cellStyle name="Título 5 3" xfId="39085" xr:uid="{00000000-0005-0000-0000-0000AD980000}"/>
    <cellStyle name="Título 5 4" xfId="39086" xr:uid="{00000000-0005-0000-0000-0000AE980000}"/>
    <cellStyle name="Título 6" xfId="39087" xr:uid="{00000000-0005-0000-0000-0000AF980000}"/>
    <cellStyle name="Título 6 2" xfId="39088" xr:uid="{00000000-0005-0000-0000-0000B0980000}"/>
    <cellStyle name="Título 6 2 2" xfId="39089" xr:uid="{00000000-0005-0000-0000-0000B1980000}"/>
    <cellStyle name="Título 6 2 3" xfId="39090" xr:uid="{00000000-0005-0000-0000-0000B2980000}"/>
    <cellStyle name="Título 6 3" xfId="39091" xr:uid="{00000000-0005-0000-0000-0000B3980000}"/>
    <cellStyle name="Título 6 4" xfId="39092" xr:uid="{00000000-0005-0000-0000-0000B4980000}"/>
    <cellStyle name="Título 7" xfId="39093" xr:uid="{00000000-0005-0000-0000-0000B5980000}"/>
    <cellStyle name="Título 7 2" xfId="39094" xr:uid="{00000000-0005-0000-0000-0000B6980000}"/>
    <cellStyle name="Título 7 2 2" xfId="39095" xr:uid="{00000000-0005-0000-0000-0000B7980000}"/>
    <cellStyle name="Título 7 2 3" xfId="39096" xr:uid="{00000000-0005-0000-0000-0000B8980000}"/>
    <cellStyle name="Título 7 3" xfId="39097" xr:uid="{00000000-0005-0000-0000-0000B9980000}"/>
    <cellStyle name="Título 7 4" xfId="39098" xr:uid="{00000000-0005-0000-0000-0000BA980000}"/>
    <cellStyle name="Título 8" xfId="39099" xr:uid="{00000000-0005-0000-0000-0000BB980000}"/>
    <cellStyle name="Título 8 2" xfId="39100" xr:uid="{00000000-0005-0000-0000-0000BC980000}"/>
    <cellStyle name="Título 8 2 2" xfId="39101" xr:uid="{00000000-0005-0000-0000-0000BD980000}"/>
    <cellStyle name="Título 8 2 3" xfId="39102" xr:uid="{00000000-0005-0000-0000-0000BE980000}"/>
    <cellStyle name="Título 8 3" xfId="39103" xr:uid="{00000000-0005-0000-0000-0000BF980000}"/>
    <cellStyle name="Título 8 4" xfId="39104" xr:uid="{00000000-0005-0000-0000-0000C0980000}"/>
    <cellStyle name="Título 9" xfId="39105" xr:uid="{00000000-0005-0000-0000-0000C1980000}"/>
    <cellStyle name="Título 9 2" xfId="39106" xr:uid="{00000000-0005-0000-0000-0000C2980000}"/>
    <cellStyle name="Título 9 2 2" xfId="39107" xr:uid="{00000000-0005-0000-0000-0000C3980000}"/>
    <cellStyle name="Título 9 2 3" xfId="39108" xr:uid="{00000000-0005-0000-0000-0000C4980000}"/>
    <cellStyle name="Título 9 3" xfId="39109" xr:uid="{00000000-0005-0000-0000-0000C5980000}"/>
    <cellStyle name="Título 9 4" xfId="39110" xr:uid="{00000000-0005-0000-0000-0000C6980000}"/>
    <cellStyle name="Total 2" xfId="39111" xr:uid="{00000000-0005-0000-0000-0000C7980000}"/>
    <cellStyle name="Total 2 2" xfId="39112" xr:uid="{00000000-0005-0000-0000-0000C8980000}"/>
    <cellStyle name="Total 2 2 2" xfId="39113" xr:uid="{00000000-0005-0000-0000-0000C9980000}"/>
    <cellStyle name="Total 2 2 3" xfId="39114" xr:uid="{00000000-0005-0000-0000-0000CA980000}"/>
    <cellStyle name="Total 2 3" xfId="39115" xr:uid="{00000000-0005-0000-0000-0000CB980000}"/>
    <cellStyle name="Total 2 4" xfId="39116" xr:uid="{00000000-0005-0000-0000-0000CC980000}"/>
    <cellStyle name="Total 3" xfId="39117" xr:uid="{00000000-0005-0000-0000-0000CD980000}"/>
    <cellStyle name="Total 3 2" xfId="39118" xr:uid="{00000000-0005-0000-0000-0000CE980000}"/>
    <cellStyle name="Total 3 2 2" xfId="39119" xr:uid="{00000000-0005-0000-0000-0000CF980000}"/>
    <cellStyle name="Total 3 2 3" xfId="39120" xr:uid="{00000000-0005-0000-0000-0000D0980000}"/>
    <cellStyle name="Total 3 3" xfId="39121" xr:uid="{00000000-0005-0000-0000-0000D1980000}"/>
    <cellStyle name="Total 3 4" xfId="39122" xr:uid="{00000000-0005-0000-0000-0000D2980000}"/>
    <cellStyle name="Total 4" xfId="39123" xr:uid="{00000000-0005-0000-0000-0000D3980000}"/>
    <cellStyle name="Total 4 2" xfId="39124" xr:uid="{00000000-0005-0000-0000-0000D4980000}"/>
    <cellStyle name="Total 4 2 2" xfId="39125" xr:uid="{00000000-0005-0000-0000-0000D5980000}"/>
    <cellStyle name="Total 4 2 3" xfId="39126" xr:uid="{00000000-0005-0000-0000-0000D6980000}"/>
    <cellStyle name="Total 4 3" xfId="39127" xr:uid="{00000000-0005-0000-0000-0000D7980000}"/>
    <cellStyle name="Total 4 4" xfId="39128" xr:uid="{00000000-0005-0000-0000-0000D8980000}"/>
    <cellStyle name="Total 5" xfId="39129" xr:uid="{00000000-0005-0000-0000-0000D9980000}"/>
    <cellStyle name="Total 5 2" xfId="39130" xr:uid="{00000000-0005-0000-0000-0000DA980000}"/>
    <cellStyle name="Total 5 3" xfId="39131" xr:uid="{00000000-0005-0000-0000-0000DB980000}"/>
    <cellStyle name="Total 6" xfId="39132" xr:uid="{00000000-0005-0000-0000-0000DC980000}"/>
    <cellStyle name="Total 7" xfId="39133" xr:uid="{00000000-0005-0000-0000-0000DD980000}"/>
    <cellStyle name="Warning Text" xfId="39134" xr:uid="{00000000-0005-0000-0000-0000DE980000}"/>
    <cellStyle name="Warning Text 2" xfId="39135" xr:uid="{00000000-0005-0000-0000-0000DF980000}"/>
    <cellStyle name="Warning Text 2 2" xfId="39136" xr:uid="{00000000-0005-0000-0000-0000E0980000}"/>
    <cellStyle name="Warning Text 2 2 2" xfId="39137" xr:uid="{00000000-0005-0000-0000-0000E1980000}"/>
    <cellStyle name="Warning Text 2 2 3" xfId="39138" xr:uid="{00000000-0005-0000-0000-0000E2980000}"/>
    <cellStyle name="Warning Text 2 3" xfId="39139" xr:uid="{00000000-0005-0000-0000-0000E3980000}"/>
    <cellStyle name="Warning Text 2 4" xfId="39140" xr:uid="{00000000-0005-0000-0000-0000E4980000}"/>
    <cellStyle name="Warning Text 3" xfId="39141" xr:uid="{00000000-0005-0000-0000-0000E5980000}"/>
    <cellStyle name="Warning Text 3 2" xfId="39142" xr:uid="{00000000-0005-0000-0000-0000E6980000}"/>
    <cellStyle name="Warning Text 3 2 2" xfId="39143" xr:uid="{00000000-0005-0000-0000-0000E7980000}"/>
    <cellStyle name="Warning Text 3 2 3" xfId="39144" xr:uid="{00000000-0005-0000-0000-0000E8980000}"/>
    <cellStyle name="Warning Text 3 3" xfId="39145" xr:uid="{00000000-0005-0000-0000-0000E9980000}"/>
    <cellStyle name="Warning Text 3 4" xfId="39146" xr:uid="{00000000-0005-0000-0000-0000EA980000}"/>
    <cellStyle name="Warning Text 4" xfId="39147" xr:uid="{00000000-0005-0000-0000-0000EB980000}"/>
    <cellStyle name="Warning Text 4 2" xfId="39148" xr:uid="{00000000-0005-0000-0000-0000EC980000}"/>
    <cellStyle name="Warning Text 4 2 2" xfId="39149" xr:uid="{00000000-0005-0000-0000-0000ED980000}"/>
    <cellStyle name="Warning Text 4 2 3" xfId="39150" xr:uid="{00000000-0005-0000-0000-0000EE980000}"/>
    <cellStyle name="Warning Text 4 3" xfId="39151" xr:uid="{00000000-0005-0000-0000-0000EF980000}"/>
    <cellStyle name="Warning Text 4 4" xfId="39152" xr:uid="{00000000-0005-0000-0000-0000F0980000}"/>
    <cellStyle name="Warning Text 5" xfId="39153" xr:uid="{00000000-0005-0000-0000-0000F1980000}"/>
    <cellStyle name="Warning Text 5 2" xfId="39154" xr:uid="{00000000-0005-0000-0000-0000F2980000}"/>
    <cellStyle name="Warning Text 5 2 2" xfId="39155" xr:uid="{00000000-0005-0000-0000-0000F3980000}"/>
    <cellStyle name="Warning Text 5 2 3" xfId="39156" xr:uid="{00000000-0005-0000-0000-0000F4980000}"/>
    <cellStyle name="Warning Text 5 3" xfId="39157" xr:uid="{00000000-0005-0000-0000-0000F5980000}"/>
    <cellStyle name="Warning Text 5 4" xfId="39158" xr:uid="{00000000-0005-0000-0000-0000F6980000}"/>
    <cellStyle name="Warning Text 6" xfId="39159" xr:uid="{00000000-0005-0000-0000-0000F7980000}"/>
    <cellStyle name="Warning Text 6 2" xfId="39160" xr:uid="{00000000-0005-0000-0000-0000F8980000}"/>
    <cellStyle name="Warning Text 6 3" xfId="39161" xr:uid="{00000000-0005-0000-0000-0000F9980000}"/>
    <cellStyle name="Warning Text 7" xfId="39162" xr:uid="{00000000-0005-0000-0000-0000FA980000}"/>
    <cellStyle name="Warning Text 8" xfId="39163" xr:uid="{00000000-0005-0000-0000-0000FB980000}"/>
    <cellStyle name="好" xfId="39164" xr:uid="{00000000-0005-0000-0000-0000FC980000}"/>
    <cellStyle name="差" xfId="39165" xr:uid="{00000000-0005-0000-0000-0000FD980000}"/>
    <cellStyle name="强调文字颜色 1" xfId="39166" xr:uid="{00000000-0005-0000-0000-0000FE980000}"/>
    <cellStyle name="强调文字颜色 2" xfId="39167" xr:uid="{00000000-0005-0000-0000-0000FF980000}"/>
    <cellStyle name="强调文字颜色 3" xfId="39168" xr:uid="{00000000-0005-0000-0000-000000990000}"/>
    <cellStyle name="强调文字颜色 4" xfId="39169" xr:uid="{00000000-0005-0000-0000-000001990000}"/>
    <cellStyle name="强调文字颜色 5" xfId="39170" xr:uid="{00000000-0005-0000-0000-000002990000}"/>
    <cellStyle name="强调文字颜色 6" xfId="39171" xr:uid="{00000000-0005-0000-0000-000003990000}"/>
    <cellStyle name="标题" xfId="39172" xr:uid="{00000000-0005-0000-0000-000004990000}"/>
    <cellStyle name="标题 1" xfId="39173" xr:uid="{00000000-0005-0000-0000-000005990000}"/>
    <cellStyle name="标题 2" xfId="39174" xr:uid="{00000000-0005-0000-0000-000006990000}"/>
    <cellStyle name="标题 3" xfId="39175" xr:uid="{00000000-0005-0000-0000-000007990000}"/>
    <cellStyle name="标题 4" xfId="39176" xr:uid="{00000000-0005-0000-0000-000008990000}"/>
    <cellStyle name="检查单元格" xfId="39177" xr:uid="{00000000-0005-0000-0000-000009990000}"/>
    <cellStyle name="汇总" xfId="39178" xr:uid="{00000000-0005-0000-0000-00000A990000}"/>
    <cellStyle name="注释" xfId="39179" xr:uid="{00000000-0005-0000-0000-00000B990000}"/>
    <cellStyle name="解释性文本" xfId="39180" xr:uid="{00000000-0005-0000-0000-00000C990000}"/>
    <cellStyle name="警告文本" xfId="39181" xr:uid="{00000000-0005-0000-0000-00000D990000}"/>
    <cellStyle name="计算" xfId="39182" xr:uid="{00000000-0005-0000-0000-00000E990000}"/>
    <cellStyle name="输入" xfId="39183" xr:uid="{00000000-0005-0000-0000-00000F990000}"/>
    <cellStyle name="输出" xfId="39184" xr:uid="{00000000-0005-0000-0000-000010990000}"/>
    <cellStyle name="适中" xfId="39185" xr:uid="{00000000-0005-0000-0000-000011990000}"/>
    <cellStyle name="链接单元格" xfId="39186" xr:uid="{00000000-0005-0000-0000-00001299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Users/Lenovo/AppData/Local/Microsoft/Windows/Temporary%20Internet%20Files/Content.Outlook/I8UJS5CV/Informe%20Gesti&#243;n%20Incidentes%20CB%20Bancolombia%20con%20corte%20al%2030%20septiembre%202014.xlsx?0EF71056" TargetMode="External"/><Relationship Id="rId1" Type="http://schemas.openxmlformats.org/officeDocument/2006/relationships/externalLinkPath" Target="file:///\\0EF71056\Informe%20Gesti&#243;n%20Incidentes%20CB%20Bancolombia%20con%20corte%20al%2030%20septiembre%2020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D4" sqref="D4"/>
    </sheetView>
  </sheetViews>
  <sheetFormatPr baseColWidth="10" defaultColWidth="11.42578125" defaultRowHeight="13.5"/>
  <cols>
    <col min="1" max="1" width="20" style="3" bestFit="1" customWidth="1"/>
    <col min="2" max="2" width="25.42578125" style="3" bestFit="1" customWidth="1"/>
    <col min="3" max="3" width="18.140625" style="3" bestFit="1" customWidth="1"/>
    <col min="4" max="4" width="18" style="3" bestFit="1" customWidth="1"/>
    <col min="5" max="5" width="15.85546875" style="1" customWidth="1"/>
    <col min="6" max="6" width="11.42578125" style="1" customWidth="1"/>
    <col min="7" max="16384" width="11.42578125" style="1"/>
  </cols>
  <sheetData>
    <row r="1" spans="1:7">
      <c r="A1" s="43" t="s">
        <v>0</v>
      </c>
      <c r="B1" s="44"/>
      <c r="C1" s="44"/>
      <c r="D1" s="45"/>
      <c r="E1" s="8" t="s">
        <v>1</v>
      </c>
    </row>
    <row r="2" spans="1:7">
      <c r="A2" s="8" t="s">
        <v>2</v>
      </c>
      <c r="B2" s="8" t="s">
        <v>3</v>
      </c>
      <c r="C2" s="8" t="s">
        <v>4</v>
      </c>
      <c r="D2" s="8" t="s">
        <v>5</v>
      </c>
      <c r="E2" s="9">
        <v>5.1999999999999998E-2</v>
      </c>
    </row>
    <row r="3" spans="1:7">
      <c r="A3" s="4" t="s">
        <v>6</v>
      </c>
      <c r="B3" s="4" t="s">
        <v>7</v>
      </c>
      <c r="C3" s="10">
        <f>62700.07*(1+$E$2)</f>
        <v>65960.473639999997</v>
      </c>
      <c r="D3" s="10">
        <f>42357.4*(1+$E$2)</f>
        <v>44559.984800000006</v>
      </c>
      <c r="E3" s="2"/>
      <c r="F3" s="2"/>
      <c r="G3" s="2"/>
    </row>
    <row r="4" spans="1:7">
      <c r="A4" s="4" t="s">
        <v>8</v>
      </c>
      <c r="B4" s="4" t="s">
        <v>9</v>
      </c>
      <c r="C4" s="10">
        <f>155716.31*(1+$E$2)</f>
        <v>163813.55812</v>
      </c>
      <c r="D4" s="10">
        <f>127766.53*(1+$E$2)</f>
        <v>134410.38956000001</v>
      </c>
      <c r="E4" s="2"/>
      <c r="F4" s="2"/>
      <c r="G4" s="2"/>
    </row>
    <row r="5" spans="1:7">
      <c r="A5" s="4" t="s">
        <v>10</v>
      </c>
      <c r="B5" s="4" t="s">
        <v>11</v>
      </c>
      <c r="C5" s="10">
        <f>262099.22*(1+$E$2)</f>
        <v>275728.37943999999</v>
      </c>
      <c r="D5" s="10">
        <f>211886.19*(1+$E$2)</f>
        <v>222904.27188000001</v>
      </c>
      <c r="E5" s="2"/>
      <c r="F5" s="2"/>
      <c r="G5" s="2"/>
    </row>
    <row r="6" spans="1:7">
      <c r="A6" s="4" t="s">
        <v>12</v>
      </c>
      <c r="B6" s="4" t="s">
        <v>13</v>
      </c>
      <c r="C6" s="10">
        <f>455883.78*(1+$E$2)</f>
        <v>479589.73656000005</v>
      </c>
      <c r="D6" s="10">
        <f>441833.68*(1+$E$2)</f>
        <v>464809.03136000002</v>
      </c>
      <c r="E6" s="2"/>
      <c r="F6" s="2"/>
      <c r="G6" s="2"/>
    </row>
    <row r="7" spans="1:7">
      <c r="A7" s="4" t="s">
        <v>14</v>
      </c>
      <c r="B7" s="4" t="s">
        <v>15</v>
      </c>
      <c r="C7" s="10">
        <f>455883.78*(1+$E$2)</f>
        <v>479589.73656000005</v>
      </c>
      <c r="D7" s="10">
        <f>441833.68*(1+$E$2)</f>
        <v>464809.03136000002</v>
      </c>
      <c r="E7" s="2"/>
      <c r="F7" s="2"/>
      <c r="G7" s="2"/>
    </row>
    <row r="8" spans="1:7" ht="24" customHeight="1">
      <c r="A8" s="46" t="s">
        <v>16</v>
      </c>
      <c r="B8" s="44"/>
      <c r="C8" s="44"/>
      <c r="D8" s="45"/>
      <c r="E8" s="2"/>
    </row>
    <row r="9" spans="1:7">
      <c r="A9" s="5"/>
      <c r="B9" s="6"/>
      <c r="C9" s="6"/>
      <c r="D9" s="7"/>
    </row>
    <row r="10" spans="1:7">
      <c r="A10" s="4" t="s">
        <v>17</v>
      </c>
      <c r="B10" s="10">
        <f>36031.04*(1+$E$2)</f>
        <v>37904.65408</v>
      </c>
      <c r="C10" s="2"/>
      <c r="D10" s="2"/>
    </row>
    <row r="11" spans="1:7">
      <c r="A11" s="4" t="s">
        <v>18</v>
      </c>
      <c r="B11" s="10">
        <f>30182.1*(1+$E$2)</f>
        <v>31751.569199999998</v>
      </c>
      <c r="C11" s="2"/>
      <c r="D11" s="2"/>
    </row>
    <row r="12" spans="1:7">
      <c r="A12" s="4" t="s">
        <v>19</v>
      </c>
      <c r="B12" s="10">
        <f>15432.22*(1+$E$2)</f>
        <v>16234.69544</v>
      </c>
      <c r="C12" s="2"/>
      <c r="D12" s="2"/>
    </row>
    <row r="13" spans="1:7">
      <c r="A13" s="4" t="s">
        <v>20</v>
      </c>
      <c r="B13" s="10">
        <f>244669.03*(1+$E$2)</f>
        <v>257391.81956</v>
      </c>
      <c r="C13" s="2"/>
      <c r="D13" s="2"/>
    </row>
    <row r="14" spans="1:7">
      <c r="A14" s="4" t="s">
        <v>21</v>
      </c>
      <c r="B14" s="10">
        <f>291399.51*(1+$E$2)</f>
        <v>306552.28452000004</v>
      </c>
      <c r="C14" s="2"/>
      <c r="D14" s="2"/>
    </row>
    <row r="15" spans="1:7">
      <c r="A15" s="4" t="s">
        <v>22</v>
      </c>
      <c r="B15" s="11">
        <f>53547.34*(1+$E$2)</f>
        <v>56331.801679999997</v>
      </c>
      <c r="C15" s="2"/>
      <c r="D15" s="2"/>
    </row>
    <row r="16" spans="1:7">
      <c r="E16" s="2"/>
    </row>
  </sheetData>
  <mergeCells count="2">
    <mergeCell ref="A1:D1"/>
    <mergeCell ref="A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4331-2A2E-43F2-9F86-F6E97C3F9561}">
  <dimension ref="A1:J12"/>
  <sheetViews>
    <sheetView tabSelected="1" workbookViewId="0">
      <selection activeCell="E16" sqref="E16:I16"/>
    </sheetView>
  </sheetViews>
  <sheetFormatPr baseColWidth="10" defaultRowHeight="12.75"/>
  <cols>
    <col min="6" max="6" width="16" customWidth="1"/>
    <col min="7" max="7" width="21.7109375" customWidth="1"/>
  </cols>
  <sheetData>
    <row r="1" spans="1:10">
      <c r="A1" s="56" t="s">
        <v>1200</v>
      </c>
      <c r="B1" s="57"/>
      <c r="C1" s="57"/>
      <c r="D1" s="57"/>
      <c r="E1" s="3"/>
      <c r="F1" s="58" t="s">
        <v>1201</v>
      </c>
      <c r="G1" s="59"/>
      <c r="H1" s="59"/>
      <c r="I1" s="59"/>
      <c r="J1" s="60"/>
    </row>
    <row r="2" spans="1:10">
      <c r="A2" s="61" t="s">
        <v>1202</v>
      </c>
      <c r="B2" s="61"/>
      <c r="C2" s="61"/>
      <c r="D2" s="61"/>
      <c r="E2" s="3"/>
      <c r="F2" s="62">
        <f>A3</f>
        <v>45960</v>
      </c>
      <c r="G2" s="63"/>
      <c r="H2" s="63"/>
      <c r="I2" s="63"/>
      <c r="J2" s="64"/>
    </row>
    <row r="3" spans="1:10">
      <c r="A3" s="65">
        <v>45960</v>
      </c>
      <c r="B3" s="61"/>
      <c r="C3" s="61"/>
      <c r="D3" s="61"/>
      <c r="E3" s="3"/>
      <c r="F3" s="19"/>
      <c r="G3" s="19"/>
      <c r="H3" s="19"/>
      <c r="I3" s="20"/>
      <c r="J3" s="20"/>
    </row>
    <row r="4" spans="1:10">
      <c r="A4" s="66"/>
      <c r="B4" s="66"/>
      <c r="C4" s="66"/>
      <c r="D4" s="66"/>
      <c r="E4" s="3"/>
      <c r="F4" s="22" t="s">
        <v>1203</v>
      </c>
      <c r="G4" s="22" t="s">
        <v>1204</v>
      </c>
      <c r="H4" s="23" t="s">
        <v>1205</v>
      </c>
      <c r="I4" s="22" t="s">
        <v>1206</v>
      </c>
      <c r="J4" s="24" t="s">
        <v>1205</v>
      </c>
    </row>
    <row r="5" spans="1:10">
      <c r="A5" s="25" t="s">
        <v>1203</v>
      </c>
      <c r="B5" s="18" t="s">
        <v>1207</v>
      </c>
      <c r="C5" s="26" t="s">
        <v>1208</v>
      </c>
      <c r="D5" s="25" t="s">
        <v>1133</v>
      </c>
      <c r="E5" s="3"/>
      <c r="F5" s="27" t="s">
        <v>1215</v>
      </c>
      <c r="G5" s="27" t="s">
        <v>1216</v>
      </c>
      <c r="H5" s="27">
        <f>416200+565450</f>
        <v>981650</v>
      </c>
      <c r="I5" s="28">
        <f t="shared" ref="I5:I11" si="0">H5*0.12</f>
        <v>117798</v>
      </c>
      <c r="J5" s="29">
        <f t="shared" ref="J5:J11" si="1">H5+I5</f>
        <v>1099448</v>
      </c>
    </row>
    <row r="6" spans="1:10">
      <c r="A6" s="30" t="s">
        <v>1209</v>
      </c>
      <c r="B6" s="21">
        <f>COUNTA(ADECUCACIONES!A:A)-1</f>
        <v>20</v>
      </c>
      <c r="C6" s="31">
        <v>0</v>
      </c>
      <c r="D6" s="32">
        <f>ADECUCACIONES!AE22</f>
        <v>2624774</v>
      </c>
      <c r="E6" s="3"/>
      <c r="F6" s="27"/>
      <c r="G6" s="27"/>
      <c r="H6" s="28"/>
      <c r="I6" s="28">
        <f t="shared" si="0"/>
        <v>0</v>
      </c>
      <c r="J6" s="29">
        <f t="shared" si="1"/>
        <v>0</v>
      </c>
    </row>
    <row r="7" spans="1:10">
      <c r="A7" s="30" t="s">
        <v>1210</v>
      </c>
      <c r="B7" s="21">
        <f>COUNTA(INCIDENTES!A:A)-1</f>
        <v>114</v>
      </c>
      <c r="C7" s="31">
        <v>0</v>
      </c>
      <c r="D7" s="33">
        <f>INCIDENTES!AH116</f>
        <v>13289236</v>
      </c>
      <c r="E7" s="3"/>
      <c r="F7" s="34"/>
      <c r="G7" s="35"/>
      <c r="H7" s="36"/>
      <c r="I7" s="28">
        <f t="shared" si="0"/>
        <v>0</v>
      </c>
      <c r="J7" s="29">
        <f t="shared" si="1"/>
        <v>0</v>
      </c>
    </row>
    <row r="8" spans="1:10">
      <c r="A8" s="30" t="s">
        <v>1211</v>
      </c>
      <c r="B8" s="21">
        <f>COUNTA(OC!A:A)-1</f>
        <v>10</v>
      </c>
      <c r="C8" s="31">
        <v>0</v>
      </c>
      <c r="D8" s="33">
        <f>OC!AG12</f>
        <v>561069</v>
      </c>
      <c r="E8" s="3"/>
      <c r="F8" s="34"/>
      <c r="G8" s="35"/>
      <c r="H8" s="36"/>
      <c r="I8" s="28">
        <f t="shared" si="0"/>
        <v>0</v>
      </c>
      <c r="J8" s="29">
        <f t="shared" si="1"/>
        <v>0</v>
      </c>
    </row>
    <row r="9" spans="1:10">
      <c r="A9" s="30" t="s">
        <v>1212</v>
      </c>
      <c r="B9" s="21">
        <v>0</v>
      </c>
      <c r="C9" s="31">
        <v>0</v>
      </c>
      <c r="D9" s="33">
        <f>J12</f>
        <v>1099448</v>
      </c>
      <c r="E9" s="3"/>
      <c r="F9" s="34"/>
      <c r="G9" s="35"/>
      <c r="H9" s="36"/>
      <c r="I9" s="28">
        <f t="shared" si="0"/>
        <v>0</v>
      </c>
      <c r="J9" s="29">
        <f t="shared" si="1"/>
        <v>0</v>
      </c>
    </row>
    <row r="10" spans="1:10">
      <c r="A10" s="47" t="s">
        <v>1213</v>
      </c>
      <c r="B10" s="48"/>
      <c r="C10" s="49"/>
      <c r="D10" s="37">
        <f>SUM(D6:D9)</f>
        <v>17574527</v>
      </c>
      <c r="E10" s="3"/>
      <c r="F10" s="34"/>
      <c r="G10" s="35"/>
      <c r="H10" s="36"/>
      <c r="I10" s="28">
        <f t="shared" si="0"/>
        <v>0</v>
      </c>
      <c r="J10" s="29">
        <f t="shared" si="1"/>
        <v>0</v>
      </c>
    </row>
    <row r="11" spans="1:10">
      <c r="A11" s="50" t="s">
        <v>1214</v>
      </c>
      <c r="B11" s="51"/>
      <c r="C11" s="52"/>
      <c r="D11" s="38">
        <f>D10*0.19</f>
        <v>3339160.13</v>
      </c>
      <c r="E11" s="3"/>
      <c r="F11" s="34"/>
      <c r="G11" s="35"/>
      <c r="H11" s="36"/>
      <c r="I11" s="28">
        <f t="shared" si="0"/>
        <v>0</v>
      </c>
      <c r="J11" s="29">
        <f t="shared" si="1"/>
        <v>0</v>
      </c>
    </row>
    <row r="12" spans="1:10">
      <c r="A12" s="53" t="s">
        <v>1205</v>
      </c>
      <c r="B12" s="54"/>
      <c r="C12" s="55"/>
      <c r="D12" s="39">
        <f>D10+D11</f>
        <v>20913687.129999999</v>
      </c>
      <c r="E12" s="3"/>
      <c r="F12" s="40" t="s">
        <v>1205</v>
      </c>
      <c r="G12" s="41"/>
      <c r="H12" s="42">
        <f>SUM(H5:H11)</f>
        <v>981650</v>
      </c>
      <c r="I12" s="42">
        <f>SUM(I5:I11)</f>
        <v>117798</v>
      </c>
      <c r="J12" s="42">
        <f>SUM(J5:J11)</f>
        <v>1099448</v>
      </c>
    </row>
  </sheetData>
  <mergeCells count="9">
    <mergeCell ref="A10:C10"/>
    <mergeCell ref="A11:C11"/>
    <mergeCell ref="A12:C12"/>
    <mergeCell ref="A1:D1"/>
    <mergeCell ref="F1:J1"/>
    <mergeCell ref="A2:D2"/>
    <mergeCell ref="F2:J2"/>
    <mergeCell ref="A3:D3"/>
    <mergeCell ref="A4:D4"/>
  </mergeCells>
  <conditionalFormatting sqref="F5:F6">
    <cfRule type="duplicateValues" dxfId="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2"/>
  <sheetViews>
    <sheetView topLeftCell="U1" workbookViewId="0">
      <selection activeCell="V19" sqref="V19"/>
    </sheetView>
  </sheetViews>
  <sheetFormatPr baseColWidth="10" defaultColWidth="9.140625" defaultRowHeight="12.75"/>
  <cols>
    <col min="1" max="1" width="13" customWidth="1"/>
    <col min="2" max="2" width="29" customWidth="1"/>
    <col min="3" max="3" width="27" customWidth="1"/>
    <col min="4" max="4" width="13" customWidth="1"/>
    <col min="5" max="5" width="21" customWidth="1"/>
    <col min="6" max="6" width="12" customWidth="1"/>
    <col min="7" max="7" width="11" customWidth="1"/>
    <col min="8" max="8" width="32" customWidth="1"/>
    <col min="9" max="9" width="17" customWidth="1"/>
    <col min="10" max="10" width="24"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22" customWidth="1"/>
    <col min="22" max="22" width="14" customWidth="1"/>
    <col min="23" max="23" width="18" customWidth="1"/>
    <col min="24" max="24" width="36" customWidth="1"/>
    <col min="25" max="25" width="17" customWidth="1"/>
    <col min="26" max="26" width="21" customWidth="1"/>
    <col min="27" max="28" width="10" customWidth="1"/>
    <col min="29" max="29" width="34" customWidth="1"/>
    <col min="30" max="30" width="28" style="16" customWidth="1"/>
    <col min="31" max="31" width="39" style="16" customWidth="1"/>
  </cols>
  <sheetData>
    <row r="1" spans="1:31" ht="30">
      <c r="A1" s="12" t="s">
        <v>23</v>
      </c>
      <c r="B1" s="12" t="s">
        <v>24</v>
      </c>
      <c r="C1" s="12" t="s">
        <v>25</v>
      </c>
      <c r="D1" s="12"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12" t="s">
        <v>41</v>
      </c>
      <c r="T1" s="12" t="s">
        <v>42</v>
      </c>
      <c r="U1" s="12" t="s">
        <v>43</v>
      </c>
      <c r="V1" s="12" t="s">
        <v>44</v>
      </c>
      <c r="W1" s="12" t="s">
        <v>45</v>
      </c>
      <c r="X1" s="12" t="s">
        <v>46</v>
      </c>
      <c r="Y1" s="12" t="s">
        <v>47</v>
      </c>
      <c r="Z1" s="12" t="s">
        <v>48</v>
      </c>
      <c r="AA1" s="12" t="s">
        <v>49</v>
      </c>
      <c r="AB1" s="12" t="s">
        <v>50</v>
      </c>
      <c r="AC1" s="12" t="s">
        <v>51</v>
      </c>
      <c r="AD1" s="15" t="s">
        <v>52</v>
      </c>
      <c r="AE1" s="15" t="s">
        <v>53</v>
      </c>
    </row>
    <row r="2" spans="1:31">
      <c r="A2" t="s">
        <v>54</v>
      </c>
      <c r="B2" t="s">
        <v>55</v>
      </c>
      <c r="C2" t="s">
        <v>56</v>
      </c>
      <c r="D2" t="s">
        <v>57</v>
      </c>
      <c r="E2" t="s">
        <v>58</v>
      </c>
      <c r="F2" t="s">
        <v>59</v>
      </c>
      <c r="G2" t="s">
        <v>60</v>
      </c>
      <c r="H2" t="s">
        <v>61</v>
      </c>
      <c r="I2" t="s">
        <v>62</v>
      </c>
      <c r="J2" t="s">
        <v>63</v>
      </c>
      <c r="K2" t="s">
        <v>64</v>
      </c>
      <c r="L2" t="s">
        <v>65</v>
      </c>
      <c r="M2" t="s">
        <v>66</v>
      </c>
      <c r="N2" s="13">
        <v>45924.619444444441</v>
      </c>
      <c r="O2" s="13">
        <v>45932.457326388889</v>
      </c>
      <c r="P2" t="s">
        <v>67</v>
      </c>
      <c r="Q2" t="s">
        <v>68</v>
      </c>
      <c r="R2" t="s">
        <v>69</v>
      </c>
      <c r="S2" t="s">
        <v>70</v>
      </c>
      <c r="T2" t="s">
        <v>71</v>
      </c>
      <c r="V2" t="s">
        <v>72</v>
      </c>
      <c r="W2" t="s">
        <v>73</v>
      </c>
      <c r="X2" t="s">
        <v>74</v>
      </c>
      <c r="Y2" s="14">
        <v>0</v>
      </c>
      <c r="Z2" s="14">
        <v>0</v>
      </c>
      <c r="AA2" s="14">
        <v>0</v>
      </c>
      <c r="AB2" s="14">
        <v>0</v>
      </c>
      <c r="AC2" s="14">
        <v>1</v>
      </c>
      <c r="AD2" s="16">
        <v>464809</v>
      </c>
      <c r="AE2" s="16">
        <v>464809</v>
      </c>
    </row>
    <row r="3" spans="1:31">
      <c r="A3" t="s">
        <v>75</v>
      </c>
      <c r="B3" t="s">
        <v>55</v>
      </c>
      <c r="C3" t="s">
        <v>56</v>
      </c>
      <c r="D3" t="s">
        <v>76</v>
      </c>
      <c r="E3" t="s">
        <v>77</v>
      </c>
      <c r="F3" t="s">
        <v>78</v>
      </c>
      <c r="G3" t="s">
        <v>60</v>
      </c>
      <c r="H3" t="s">
        <v>61</v>
      </c>
      <c r="I3" t="s">
        <v>79</v>
      </c>
      <c r="J3" t="s">
        <v>75</v>
      </c>
      <c r="K3" t="s">
        <v>80</v>
      </c>
      <c r="L3" t="s">
        <v>65</v>
      </c>
      <c r="M3" t="s">
        <v>81</v>
      </c>
      <c r="N3" s="13">
        <v>45929.696527777778</v>
      </c>
      <c r="O3" s="13">
        <v>45952.645636574067</v>
      </c>
      <c r="P3" t="s">
        <v>67</v>
      </c>
      <c r="Q3" t="s">
        <v>68</v>
      </c>
      <c r="R3" t="s">
        <v>69</v>
      </c>
      <c r="S3" t="s">
        <v>82</v>
      </c>
      <c r="T3" t="s">
        <v>71</v>
      </c>
      <c r="V3" t="s">
        <v>83</v>
      </c>
      <c r="W3" t="s">
        <v>73</v>
      </c>
      <c r="X3" t="s">
        <v>84</v>
      </c>
      <c r="Y3" s="14">
        <v>0</v>
      </c>
      <c r="Z3" s="14">
        <v>0</v>
      </c>
      <c r="AA3" s="14">
        <v>0</v>
      </c>
      <c r="AB3" s="14">
        <v>0</v>
      </c>
      <c r="AC3" s="14">
        <v>1</v>
      </c>
      <c r="AD3" s="16">
        <v>44560</v>
      </c>
      <c r="AE3" s="16">
        <v>44560</v>
      </c>
    </row>
    <row r="4" spans="1:31">
      <c r="A4" t="s">
        <v>85</v>
      </c>
      <c r="B4" t="s">
        <v>86</v>
      </c>
      <c r="C4" t="s">
        <v>87</v>
      </c>
      <c r="D4" t="s">
        <v>88</v>
      </c>
      <c r="E4" t="s">
        <v>89</v>
      </c>
      <c r="F4" t="s">
        <v>90</v>
      </c>
      <c r="G4" t="s">
        <v>60</v>
      </c>
      <c r="H4" t="s">
        <v>61</v>
      </c>
      <c r="I4" t="s">
        <v>91</v>
      </c>
      <c r="J4" t="s">
        <v>92</v>
      </c>
      <c r="K4" t="s">
        <v>93</v>
      </c>
      <c r="L4" t="s">
        <v>65</v>
      </c>
      <c r="M4" t="s">
        <v>94</v>
      </c>
      <c r="N4" s="13">
        <v>45931.706944444442</v>
      </c>
      <c r="O4" s="13">
        <v>45936.609722222223</v>
      </c>
      <c r="P4" t="s">
        <v>67</v>
      </c>
      <c r="Q4" t="s">
        <v>68</v>
      </c>
      <c r="R4" t="s">
        <v>95</v>
      </c>
      <c r="S4" t="s">
        <v>96</v>
      </c>
      <c r="T4" t="s">
        <v>71</v>
      </c>
      <c r="U4" t="s">
        <v>97</v>
      </c>
      <c r="V4" t="s">
        <v>83</v>
      </c>
      <c r="W4" t="s">
        <v>73</v>
      </c>
      <c r="X4" t="s">
        <v>98</v>
      </c>
      <c r="Y4" s="14">
        <v>0</v>
      </c>
      <c r="Z4" s="14">
        <v>0</v>
      </c>
      <c r="AA4" s="14">
        <v>0</v>
      </c>
      <c r="AB4" s="14">
        <v>0</v>
      </c>
      <c r="AC4" s="14">
        <v>1</v>
      </c>
      <c r="AD4" s="16">
        <v>44560</v>
      </c>
      <c r="AE4" s="16">
        <v>44560</v>
      </c>
    </row>
    <row r="5" spans="1:31">
      <c r="A5" t="s">
        <v>75</v>
      </c>
      <c r="B5" t="s">
        <v>55</v>
      </c>
      <c r="C5" t="s">
        <v>56</v>
      </c>
      <c r="D5" t="s">
        <v>99</v>
      </c>
      <c r="E5" t="s">
        <v>100</v>
      </c>
      <c r="F5" t="s">
        <v>101</v>
      </c>
      <c r="G5" t="s">
        <v>60</v>
      </c>
      <c r="H5" t="s">
        <v>61</v>
      </c>
      <c r="I5" t="s">
        <v>102</v>
      </c>
      <c r="J5" t="s">
        <v>103</v>
      </c>
      <c r="K5" t="s">
        <v>104</v>
      </c>
      <c r="L5" t="s">
        <v>65</v>
      </c>
      <c r="M5" t="s">
        <v>105</v>
      </c>
      <c r="N5" s="13">
        <v>45931.740972222222</v>
      </c>
      <c r="O5" s="13">
        <v>45932.625335648147</v>
      </c>
      <c r="P5" t="s">
        <v>67</v>
      </c>
      <c r="Q5" t="s">
        <v>68</v>
      </c>
      <c r="R5" t="s">
        <v>69</v>
      </c>
      <c r="S5" t="s">
        <v>106</v>
      </c>
      <c r="T5" t="s">
        <v>71</v>
      </c>
      <c r="V5" t="s">
        <v>107</v>
      </c>
      <c r="W5" t="s">
        <v>73</v>
      </c>
      <c r="X5" t="s">
        <v>108</v>
      </c>
      <c r="Y5" s="14">
        <v>0</v>
      </c>
      <c r="Z5" s="14">
        <v>0</v>
      </c>
      <c r="AA5" s="14">
        <v>0</v>
      </c>
      <c r="AB5" s="14">
        <v>0</v>
      </c>
      <c r="AC5" s="14">
        <v>1</v>
      </c>
      <c r="AD5" s="16">
        <v>134410</v>
      </c>
      <c r="AE5" s="16">
        <v>134410</v>
      </c>
    </row>
    <row r="6" spans="1:31">
      <c r="A6" t="s">
        <v>54</v>
      </c>
      <c r="B6" t="s">
        <v>55</v>
      </c>
      <c r="C6" t="s">
        <v>56</v>
      </c>
      <c r="D6" t="s">
        <v>109</v>
      </c>
      <c r="E6" t="s">
        <v>110</v>
      </c>
      <c r="F6" t="s">
        <v>111</v>
      </c>
      <c r="G6" t="s">
        <v>60</v>
      </c>
      <c r="H6" t="s">
        <v>61</v>
      </c>
      <c r="I6" t="s">
        <v>112</v>
      </c>
      <c r="J6" t="s">
        <v>113</v>
      </c>
      <c r="K6" t="s">
        <v>114</v>
      </c>
      <c r="L6" t="s">
        <v>65</v>
      </c>
      <c r="M6" t="s">
        <v>115</v>
      </c>
      <c r="N6" s="13">
        <v>45931.697916666657</v>
      </c>
      <c r="O6" s="13">
        <v>45937.376689814817</v>
      </c>
      <c r="P6" t="s">
        <v>67</v>
      </c>
      <c r="Q6" t="s">
        <v>68</v>
      </c>
      <c r="R6" t="s">
        <v>69</v>
      </c>
      <c r="S6" t="s">
        <v>116</v>
      </c>
      <c r="T6" t="s">
        <v>71</v>
      </c>
      <c r="V6" t="s">
        <v>107</v>
      </c>
      <c r="W6" t="s">
        <v>73</v>
      </c>
      <c r="X6" t="s">
        <v>74</v>
      </c>
      <c r="Y6" s="14">
        <v>0</v>
      </c>
      <c r="Z6" s="14">
        <v>0</v>
      </c>
      <c r="AA6" s="14">
        <v>0</v>
      </c>
      <c r="AB6" s="14">
        <v>0</v>
      </c>
      <c r="AC6" s="14">
        <v>1</v>
      </c>
      <c r="AD6" s="16">
        <v>134410</v>
      </c>
      <c r="AE6" s="16">
        <v>134410</v>
      </c>
    </row>
    <row r="7" spans="1:31">
      <c r="A7" t="s">
        <v>117</v>
      </c>
      <c r="B7" t="s">
        <v>118</v>
      </c>
      <c r="C7" t="s">
        <v>119</v>
      </c>
      <c r="D7" t="s">
        <v>120</v>
      </c>
      <c r="E7" t="s">
        <v>121</v>
      </c>
      <c r="F7" t="s">
        <v>122</v>
      </c>
      <c r="G7" t="s">
        <v>60</v>
      </c>
      <c r="H7" t="s">
        <v>61</v>
      </c>
      <c r="I7" t="s">
        <v>118</v>
      </c>
      <c r="J7" t="s">
        <v>117</v>
      </c>
      <c r="K7" t="s">
        <v>123</v>
      </c>
      <c r="L7" t="s">
        <v>65</v>
      </c>
      <c r="M7" t="s">
        <v>124</v>
      </c>
      <c r="N7" s="13">
        <v>45931.333333333343</v>
      </c>
      <c r="O7" s="13">
        <v>45932.517835648148</v>
      </c>
      <c r="P7" t="s">
        <v>67</v>
      </c>
      <c r="Q7" t="s">
        <v>68</v>
      </c>
      <c r="R7" t="s">
        <v>69</v>
      </c>
      <c r="S7" t="s">
        <v>125</v>
      </c>
      <c r="T7" t="s">
        <v>71</v>
      </c>
      <c r="V7" t="s">
        <v>83</v>
      </c>
      <c r="W7" t="s">
        <v>73</v>
      </c>
      <c r="X7" t="s">
        <v>126</v>
      </c>
      <c r="Y7" s="14">
        <v>0</v>
      </c>
      <c r="Z7" s="14">
        <v>0</v>
      </c>
      <c r="AA7" s="14">
        <v>0</v>
      </c>
      <c r="AB7" s="14">
        <v>0</v>
      </c>
      <c r="AC7" s="14">
        <v>1</v>
      </c>
      <c r="AD7" s="16">
        <v>44560</v>
      </c>
      <c r="AE7" s="16">
        <v>44560</v>
      </c>
    </row>
    <row r="8" spans="1:31">
      <c r="A8" t="s">
        <v>117</v>
      </c>
      <c r="B8" t="s">
        <v>118</v>
      </c>
      <c r="C8" t="s">
        <v>119</v>
      </c>
      <c r="D8" t="s">
        <v>120</v>
      </c>
      <c r="E8" t="s">
        <v>127</v>
      </c>
      <c r="F8" t="s">
        <v>128</v>
      </c>
      <c r="G8" t="s">
        <v>60</v>
      </c>
      <c r="H8" t="s">
        <v>61</v>
      </c>
      <c r="I8" t="s">
        <v>118</v>
      </c>
      <c r="J8" t="s">
        <v>117</v>
      </c>
      <c r="K8" t="s">
        <v>129</v>
      </c>
      <c r="L8" t="s">
        <v>65</v>
      </c>
      <c r="M8" t="s">
        <v>130</v>
      </c>
      <c r="N8" s="13">
        <v>45931.5</v>
      </c>
      <c r="O8" s="13">
        <v>45932.59238425926</v>
      </c>
      <c r="P8" t="s">
        <v>67</v>
      </c>
      <c r="Q8" t="s">
        <v>68</v>
      </c>
      <c r="R8" t="s">
        <v>69</v>
      </c>
      <c r="S8" t="s">
        <v>131</v>
      </c>
      <c r="T8" t="s">
        <v>71</v>
      </c>
      <c r="V8" t="s">
        <v>83</v>
      </c>
      <c r="W8" t="s">
        <v>73</v>
      </c>
      <c r="X8" t="s">
        <v>132</v>
      </c>
      <c r="Y8" s="14">
        <v>0</v>
      </c>
      <c r="Z8" s="14">
        <v>0</v>
      </c>
      <c r="AA8" s="14">
        <v>0</v>
      </c>
      <c r="AB8" s="14">
        <v>0</v>
      </c>
      <c r="AC8" s="14">
        <v>1</v>
      </c>
      <c r="AD8" s="16">
        <v>44560</v>
      </c>
      <c r="AE8" s="16">
        <v>44560</v>
      </c>
    </row>
    <row r="9" spans="1:31">
      <c r="A9" t="s">
        <v>133</v>
      </c>
      <c r="B9" t="s">
        <v>134</v>
      </c>
      <c r="C9" t="s">
        <v>135</v>
      </c>
      <c r="D9" t="s">
        <v>136</v>
      </c>
      <c r="E9" t="s">
        <v>137</v>
      </c>
      <c r="F9" t="s">
        <v>138</v>
      </c>
      <c r="G9" t="s">
        <v>60</v>
      </c>
      <c r="H9" t="s">
        <v>61</v>
      </c>
      <c r="I9" t="s">
        <v>139</v>
      </c>
      <c r="J9" t="s">
        <v>140</v>
      </c>
      <c r="K9" t="s">
        <v>141</v>
      </c>
      <c r="L9" t="s">
        <v>65</v>
      </c>
      <c r="M9" t="s">
        <v>142</v>
      </c>
      <c r="N9" s="13">
        <v>45940.314583333333</v>
      </c>
      <c r="O9" s="13">
        <v>45945.481944444437</v>
      </c>
      <c r="P9" t="s">
        <v>67</v>
      </c>
      <c r="Q9" t="s">
        <v>143</v>
      </c>
      <c r="R9" t="s">
        <v>69</v>
      </c>
      <c r="S9" t="s">
        <v>144</v>
      </c>
      <c r="T9" t="s">
        <v>71</v>
      </c>
      <c r="V9" t="s">
        <v>145</v>
      </c>
      <c r="W9" t="s">
        <v>73</v>
      </c>
      <c r="X9" t="s">
        <v>146</v>
      </c>
      <c r="Y9" s="14">
        <v>0</v>
      </c>
      <c r="Z9" s="14">
        <v>0</v>
      </c>
      <c r="AA9" s="14">
        <v>0</v>
      </c>
      <c r="AB9" s="14">
        <v>0</v>
      </c>
      <c r="AC9" s="14">
        <v>1</v>
      </c>
      <c r="AD9" s="16">
        <v>222904</v>
      </c>
      <c r="AE9" s="16">
        <v>222904</v>
      </c>
    </row>
    <row r="10" spans="1:31">
      <c r="A10" t="s">
        <v>54</v>
      </c>
      <c r="B10" t="s">
        <v>55</v>
      </c>
      <c r="C10" t="s">
        <v>56</v>
      </c>
      <c r="D10" t="s">
        <v>147</v>
      </c>
      <c r="E10" t="s">
        <v>148</v>
      </c>
      <c r="F10" t="s">
        <v>149</v>
      </c>
      <c r="G10" t="s">
        <v>60</v>
      </c>
      <c r="H10" t="s">
        <v>61</v>
      </c>
      <c r="I10" t="s">
        <v>112</v>
      </c>
      <c r="J10" t="s">
        <v>54</v>
      </c>
      <c r="K10" t="s">
        <v>150</v>
      </c>
      <c r="L10" t="s">
        <v>65</v>
      </c>
      <c r="M10" t="s">
        <v>151</v>
      </c>
      <c r="N10" s="13">
        <v>45940.734027777777</v>
      </c>
      <c r="O10" s="13">
        <v>45946.54791666667</v>
      </c>
      <c r="P10" t="s">
        <v>67</v>
      </c>
      <c r="Q10" t="s">
        <v>143</v>
      </c>
      <c r="R10" t="s">
        <v>95</v>
      </c>
      <c r="S10" t="s">
        <v>152</v>
      </c>
      <c r="T10" t="s">
        <v>71</v>
      </c>
      <c r="U10" t="s">
        <v>153</v>
      </c>
      <c r="V10" t="s">
        <v>83</v>
      </c>
      <c r="W10" t="s">
        <v>73</v>
      </c>
      <c r="X10" t="s">
        <v>154</v>
      </c>
      <c r="Y10" s="14">
        <v>0</v>
      </c>
      <c r="Z10" s="14">
        <v>0</v>
      </c>
      <c r="AA10" s="14">
        <v>0</v>
      </c>
      <c r="AB10" s="14">
        <v>0</v>
      </c>
      <c r="AC10" s="14">
        <v>1</v>
      </c>
      <c r="AD10" s="16">
        <v>44560</v>
      </c>
      <c r="AE10" s="16">
        <v>44560</v>
      </c>
    </row>
    <row r="11" spans="1:31">
      <c r="A11" t="s">
        <v>155</v>
      </c>
      <c r="B11" t="s">
        <v>156</v>
      </c>
      <c r="C11" t="s">
        <v>157</v>
      </c>
      <c r="D11" t="s">
        <v>158</v>
      </c>
      <c r="E11" t="s">
        <v>159</v>
      </c>
      <c r="F11" t="s">
        <v>160</v>
      </c>
      <c r="G11" t="s">
        <v>60</v>
      </c>
      <c r="H11" t="s">
        <v>61</v>
      </c>
      <c r="I11" t="s">
        <v>161</v>
      </c>
      <c r="J11" t="s">
        <v>162</v>
      </c>
      <c r="K11" t="s">
        <v>163</v>
      </c>
      <c r="L11" t="s">
        <v>65</v>
      </c>
      <c r="M11" t="s">
        <v>164</v>
      </c>
      <c r="N11" s="13">
        <v>45940.441666666673</v>
      </c>
      <c r="O11" s="13">
        <v>45946.618055555547</v>
      </c>
      <c r="P11" t="s">
        <v>67</v>
      </c>
      <c r="Q11" t="s">
        <v>143</v>
      </c>
      <c r="R11" t="s">
        <v>95</v>
      </c>
      <c r="S11" t="s">
        <v>165</v>
      </c>
      <c r="T11" t="s">
        <v>71</v>
      </c>
      <c r="U11" t="s">
        <v>166</v>
      </c>
      <c r="V11" t="s">
        <v>83</v>
      </c>
      <c r="W11" t="s">
        <v>73</v>
      </c>
      <c r="X11" t="s">
        <v>167</v>
      </c>
      <c r="Y11" s="14">
        <v>0</v>
      </c>
      <c r="Z11" s="14">
        <v>0</v>
      </c>
      <c r="AA11" s="14">
        <v>0</v>
      </c>
      <c r="AB11" s="14">
        <v>0</v>
      </c>
      <c r="AC11" s="14">
        <v>1</v>
      </c>
      <c r="AD11" s="16">
        <v>44560</v>
      </c>
      <c r="AE11" s="16">
        <v>44560</v>
      </c>
    </row>
    <row r="12" spans="1:31">
      <c r="A12" t="s">
        <v>75</v>
      </c>
      <c r="B12" t="s">
        <v>55</v>
      </c>
      <c r="C12" t="s">
        <v>56</v>
      </c>
      <c r="D12" t="s">
        <v>76</v>
      </c>
      <c r="E12" t="s">
        <v>168</v>
      </c>
      <c r="F12" t="s">
        <v>169</v>
      </c>
      <c r="G12" t="s">
        <v>60</v>
      </c>
      <c r="H12" t="s">
        <v>61</v>
      </c>
      <c r="I12" t="s">
        <v>79</v>
      </c>
      <c r="J12" t="s">
        <v>75</v>
      </c>
      <c r="K12" t="s">
        <v>170</v>
      </c>
      <c r="L12" t="s">
        <v>65</v>
      </c>
      <c r="M12" t="s">
        <v>171</v>
      </c>
      <c r="N12" s="13">
        <v>45940.712500000001</v>
      </c>
      <c r="O12" s="13">
        <v>45946.248611111107</v>
      </c>
      <c r="P12" t="s">
        <v>67</v>
      </c>
      <c r="Q12" t="s">
        <v>143</v>
      </c>
      <c r="R12" t="s">
        <v>95</v>
      </c>
      <c r="S12" t="s">
        <v>172</v>
      </c>
      <c r="T12" t="s">
        <v>71</v>
      </c>
      <c r="U12" t="s">
        <v>173</v>
      </c>
      <c r="V12" t="s">
        <v>83</v>
      </c>
      <c r="W12" t="s">
        <v>73</v>
      </c>
      <c r="X12" t="s">
        <v>174</v>
      </c>
      <c r="Y12" s="14">
        <v>0</v>
      </c>
      <c r="Z12" s="14">
        <v>0</v>
      </c>
      <c r="AA12" s="14">
        <v>0</v>
      </c>
      <c r="AB12" s="14">
        <v>0</v>
      </c>
      <c r="AC12" s="14">
        <v>1</v>
      </c>
      <c r="AD12" s="16">
        <v>44560</v>
      </c>
      <c r="AE12" s="16">
        <v>44560</v>
      </c>
    </row>
    <row r="13" spans="1:31">
      <c r="A13" t="s">
        <v>175</v>
      </c>
      <c r="B13" t="s">
        <v>176</v>
      </c>
      <c r="C13" t="s">
        <v>177</v>
      </c>
      <c r="D13" t="s">
        <v>178</v>
      </c>
      <c r="E13" t="s">
        <v>179</v>
      </c>
      <c r="F13" t="s">
        <v>180</v>
      </c>
      <c r="G13" t="s">
        <v>60</v>
      </c>
      <c r="H13" t="s">
        <v>61</v>
      </c>
      <c r="I13" t="s">
        <v>181</v>
      </c>
      <c r="J13" t="s">
        <v>182</v>
      </c>
      <c r="K13" t="s">
        <v>183</v>
      </c>
      <c r="L13" t="s">
        <v>65</v>
      </c>
      <c r="M13" t="s">
        <v>184</v>
      </c>
      <c r="N13" s="13">
        <v>45950.333333333343</v>
      </c>
      <c r="O13" s="13">
        <v>45952.555555555547</v>
      </c>
      <c r="P13" t="s">
        <v>67</v>
      </c>
      <c r="Q13" t="s">
        <v>143</v>
      </c>
      <c r="R13" t="s">
        <v>69</v>
      </c>
      <c r="S13" t="s">
        <v>185</v>
      </c>
      <c r="T13" t="s">
        <v>71</v>
      </c>
      <c r="V13" t="s">
        <v>145</v>
      </c>
      <c r="W13" t="s">
        <v>73</v>
      </c>
      <c r="X13" t="s">
        <v>186</v>
      </c>
      <c r="Y13" s="14">
        <v>0</v>
      </c>
      <c r="Z13" s="14">
        <v>0</v>
      </c>
      <c r="AA13" s="14">
        <v>0</v>
      </c>
      <c r="AB13" s="14">
        <v>0</v>
      </c>
      <c r="AC13" s="14">
        <v>1</v>
      </c>
      <c r="AD13" s="16">
        <v>222904</v>
      </c>
      <c r="AE13" s="16">
        <v>222904</v>
      </c>
    </row>
    <row r="14" spans="1:31">
      <c r="A14" t="s">
        <v>117</v>
      </c>
      <c r="B14" t="s">
        <v>118</v>
      </c>
      <c r="C14" t="s">
        <v>119</v>
      </c>
      <c r="D14" t="s">
        <v>120</v>
      </c>
      <c r="E14" t="s">
        <v>187</v>
      </c>
      <c r="F14" t="s">
        <v>188</v>
      </c>
      <c r="G14" t="s">
        <v>60</v>
      </c>
      <c r="H14" t="s">
        <v>61</v>
      </c>
      <c r="I14" t="s">
        <v>118</v>
      </c>
      <c r="J14" t="s">
        <v>117</v>
      </c>
      <c r="K14" t="s">
        <v>189</v>
      </c>
      <c r="L14" t="s">
        <v>65</v>
      </c>
      <c r="M14" t="s">
        <v>190</v>
      </c>
      <c r="N14" s="13">
        <v>45950.333333333343</v>
      </c>
      <c r="O14" s="13">
        <v>45953.286805555559</v>
      </c>
      <c r="P14" t="s">
        <v>67</v>
      </c>
      <c r="Q14" t="s">
        <v>143</v>
      </c>
      <c r="R14" t="s">
        <v>95</v>
      </c>
      <c r="S14" t="s">
        <v>191</v>
      </c>
      <c r="T14" t="s">
        <v>71</v>
      </c>
      <c r="U14" t="s">
        <v>192</v>
      </c>
      <c r="V14" t="s">
        <v>83</v>
      </c>
      <c r="W14" t="s">
        <v>73</v>
      </c>
      <c r="X14" t="s">
        <v>193</v>
      </c>
      <c r="Y14" s="14">
        <v>0</v>
      </c>
      <c r="Z14" s="14">
        <v>0</v>
      </c>
      <c r="AA14" s="14">
        <v>0</v>
      </c>
      <c r="AB14" s="14">
        <v>0</v>
      </c>
      <c r="AC14" s="14">
        <v>1</v>
      </c>
      <c r="AD14" s="16">
        <v>44560</v>
      </c>
      <c r="AE14" s="16">
        <v>44560</v>
      </c>
    </row>
    <row r="15" spans="1:31">
      <c r="A15" t="s">
        <v>75</v>
      </c>
      <c r="B15" t="s">
        <v>55</v>
      </c>
      <c r="C15" t="s">
        <v>56</v>
      </c>
      <c r="D15" t="s">
        <v>76</v>
      </c>
      <c r="E15" t="s">
        <v>194</v>
      </c>
      <c r="F15" t="s">
        <v>195</v>
      </c>
      <c r="G15" t="s">
        <v>60</v>
      </c>
      <c r="H15" t="s">
        <v>61</v>
      </c>
      <c r="I15" t="s">
        <v>79</v>
      </c>
      <c r="J15" t="s">
        <v>75</v>
      </c>
      <c r="K15" t="s">
        <v>196</v>
      </c>
      <c r="L15" t="s">
        <v>65</v>
      </c>
      <c r="M15" t="s">
        <v>197</v>
      </c>
      <c r="N15" s="13">
        <v>45952.714583333327</v>
      </c>
      <c r="O15" s="13">
        <v>45954.646527777782</v>
      </c>
      <c r="P15" t="s">
        <v>67</v>
      </c>
      <c r="Q15" t="s">
        <v>143</v>
      </c>
      <c r="R15" t="s">
        <v>69</v>
      </c>
      <c r="S15" t="s">
        <v>198</v>
      </c>
      <c r="T15" t="s">
        <v>71</v>
      </c>
      <c r="V15" t="s">
        <v>83</v>
      </c>
      <c r="W15" t="s">
        <v>73</v>
      </c>
      <c r="X15" t="s">
        <v>199</v>
      </c>
      <c r="Y15" s="14">
        <v>0</v>
      </c>
      <c r="Z15" s="14">
        <v>0</v>
      </c>
      <c r="AA15" s="14">
        <v>0</v>
      </c>
      <c r="AB15" s="14">
        <v>0</v>
      </c>
      <c r="AC15" s="14">
        <v>1</v>
      </c>
      <c r="AD15" s="16">
        <v>44560</v>
      </c>
      <c r="AE15" s="16">
        <v>44560</v>
      </c>
    </row>
    <row r="16" spans="1:31">
      <c r="A16" t="s">
        <v>85</v>
      </c>
      <c r="B16" t="s">
        <v>86</v>
      </c>
      <c r="C16" t="s">
        <v>87</v>
      </c>
      <c r="D16" t="s">
        <v>200</v>
      </c>
      <c r="E16" t="s">
        <v>201</v>
      </c>
      <c r="F16" t="s">
        <v>202</v>
      </c>
      <c r="G16" t="s">
        <v>60</v>
      </c>
      <c r="H16" t="s">
        <v>61</v>
      </c>
      <c r="I16" t="s">
        <v>91</v>
      </c>
      <c r="J16" t="s">
        <v>85</v>
      </c>
      <c r="K16" t="s">
        <v>203</v>
      </c>
      <c r="L16" t="s">
        <v>65</v>
      </c>
      <c r="M16" t="s">
        <v>204</v>
      </c>
      <c r="N16" s="13">
        <v>45959.881249999999</v>
      </c>
      <c r="O16" s="13">
        <v>45961.286805555559</v>
      </c>
      <c r="P16" t="s">
        <v>67</v>
      </c>
      <c r="Q16" t="s">
        <v>68</v>
      </c>
      <c r="R16" t="s">
        <v>69</v>
      </c>
      <c r="S16" t="s">
        <v>205</v>
      </c>
      <c r="T16" t="s">
        <v>71</v>
      </c>
      <c r="V16" t="s">
        <v>83</v>
      </c>
      <c r="W16" t="s">
        <v>73</v>
      </c>
      <c r="X16" t="s">
        <v>206</v>
      </c>
      <c r="Y16" s="14">
        <v>0</v>
      </c>
      <c r="Z16" s="14">
        <v>0</v>
      </c>
      <c r="AA16" s="14">
        <v>0</v>
      </c>
      <c r="AB16" s="14">
        <v>0</v>
      </c>
      <c r="AC16" s="14">
        <v>1</v>
      </c>
      <c r="AD16" s="16">
        <v>44560</v>
      </c>
      <c r="AE16" s="16">
        <v>44560</v>
      </c>
    </row>
    <row r="17" spans="1:31">
      <c r="A17" t="s">
        <v>85</v>
      </c>
      <c r="B17" t="s">
        <v>86</v>
      </c>
      <c r="C17" t="s">
        <v>87</v>
      </c>
      <c r="D17" t="s">
        <v>207</v>
      </c>
      <c r="E17" t="s">
        <v>208</v>
      </c>
      <c r="F17" t="s">
        <v>209</v>
      </c>
      <c r="G17" t="s">
        <v>60</v>
      </c>
      <c r="H17" t="s">
        <v>61</v>
      </c>
      <c r="I17" t="s">
        <v>91</v>
      </c>
      <c r="J17" t="s">
        <v>210</v>
      </c>
      <c r="K17" t="s">
        <v>211</v>
      </c>
      <c r="L17" t="s">
        <v>65</v>
      </c>
      <c r="M17" t="s">
        <v>212</v>
      </c>
      <c r="N17" s="13">
        <v>45959.881944444453</v>
      </c>
      <c r="O17" s="13">
        <v>45961.484027777777</v>
      </c>
      <c r="P17" t="s">
        <v>67</v>
      </c>
      <c r="Q17" t="s">
        <v>68</v>
      </c>
      <c r="R17" t="s">
        <v>69</v>
      </c>
      <c r="S17" t="s">
        <v>213</v>
      </c>
      <c r="T17" t="s">
        <v>71</v>
      </c>
      <c r="V17" t="s">
        <v>72</v>
      </c>
      <c r="W17" t="s">
        <v>73</v>
      </c>
      <c r="X17" t="s">
        <v>214</v>
      </c>
      <c r="Y17" s="14">
        <v>0</v>
      </c>
      <c r="Z17" s="14">
        <v>0</v>
      </c>
      <c r="AA17" s="14">
        <v>0</v>
      </c>
      <c r="AB17" s="14">
        <v>0</v>
      </c>
      <c r="AC17" s="14">
        <v>1</v>
      </c>
      <c r="AD17" s="16">
        <v>464809</v>
      </c>
      <c r="AE17" s="16">
        <v>464809</v>
      </c>
    </row>
    <row r="18" spans="1:31">
      <c r="A18" t="s">
        <v>54</v>
      </c>
      <c r="B18" t="s">
        <v>55</v>
      </c>
      <c r="C18" t="s">
        <v>56</v>
      </c>
      <c r="D18" t="s">
        <v>147</v>
      </c>
      <c r="E18" t="s">
        <v>215</v>
      </c>
      <c r="F18" t="s">
        <v>216</v>
      </c>
      <c r="G18" t="s">
        <v>60</v>
      </c>
      <c r="H18" t="s">
        <v>61</v>
      </c>
      <c r="I18" t="s">
        <v>112</v>
      </c>
      <c r="J18" t="s">
        <v>54</v>
      </c>
      <c r="K18" t="s">
        <v>217</v>
      </c>
      <c r="L18" t="s">
        <v>65</v>
      </c>
      <c r="M18" t="s">
        <v>218</v>
      </c>
      <c r="N18" s="13">
        <v>45959.681250000001</v>
      </c>
      <c r="O18" s="13">
        <v>45961.554861111108</v>
      </c>
      <c r="P18" t="s">
        <v>67</v>
      </c>
      <c r="Q18" t="s">
        <v>68</v>
      </c>
      <c r="R18" t="s">
        <v>69</v>
      </c>
      <c r="S18" t="s">
        <v>219</v>
      </c>
      <c r="T18" t="s">
        <v>71</v>
      </c>
      <c r="V18" t="s">
        <v>83</v>
      </c>
      <c r="W18" t="s">
        <v>73</v>
      </c>
      <c r="X18" t="s">
        <v>154</v>
      </c>
      <c r="Y18" s="14">
        <v>0</v>
      </c>
      <c r="Z18" s="14">
        <v>0</v>
      </c>
      <c r="AA18" s="14">
        <v>0</v>
      </c>
      <c r="AB18" s="14">
        <v>0</v>
      </c>
      <c r="AC18" s="14">
        <v>1</v>
      </c>
      <c r="AD18" s="16">
        <v>44560</v>
      </c>
      <c r="AE18" s="16">
        <v>44560</v>
      </c>
    </row>
    <row r="19" spans="1:31">
      <c r="A19" t="s">
        <v>54</v>
      </c>
      <c r="B19" t="s">
        <v>55</v>
      </c>
      <c r="C19" t="s">
        <v>56</v>
      </c>
      <c r="D19" t="s">
        <v>220</v>
      </c>
      <c r="E19" t="s">
        <v>221</v>
      </c>
      <c r="F19" t="s">
        <v>222</v>
      </c>
      <c r="G19" t="s">
        <v>60</v>
      </c>
      <c r="H19" t="s">
        <v>61</v>
      </c>
      <c r="I19" t="s">
        <v>112</v>
      </c>
      <c r="J19" t="s">
        <v>223</v>
      </c>
      <c r="K19" t="s">
        <v>224</v>
      </c>
      <c r="L19" t="s">
        <v>65</v>
      </c>
      <c r="M19" t="s">
        <v>225</v>
      </c>
      <c r="N19" s="13">
        <v>45959.684027777781</v>
      </c>
      <c r="O19" s="13">
        <v>45961.715277777781</v>
      </c>
      <c r="P19" t="s">
        <v>67</v>
      </c>
      <c r="Q19" t="s">
        <v>68</v>
      </c>
      <c r="R19" t="s">
        <v>69</v>
      </c>
      <c r="S19" t="s">
        <v>226</v>
      </c>
      <c r="T19" t="s">
        <v>71</v>
      </c>
      <c r="V19" t="s">
        <v>145</v>
      </c>
      <c r="W19" t="s">
        <v>73</v>
      </c>
      <c r="X19" t="s">
        <v>227</v>
      </c>
      <c r="Y19" s="14">
        <v>0</v>
      </c>
      <c r="Z19" s="14">
        <v>0</v>
      </c>
      <c r="AA19" s="14">
        <v>0</v>
      </c>
      <c r="AB19" s="14">
        <v>0</v>
      </c>
      <c r="AC19" s="14">
        <v>1</v>
      </c>
      <c r="AD19" s="16">
        <v>222904</v>
      </c>
      <c r="AE19" s="16">
        <v>222904</v>
      </c>
    </row>
    <row r="20" spans="1:31">
      <c r="A20" t="s">
        <v>228</v>
      </c>
      <c r="B20" t="s">
        <v>55</v>
      </c>
      <c r="C20" t="s">
        <v>229</v>
      </c>
      <c r="D20" t="s">
        <v>230</v>
      </c>
      <c r="E20" t="s">
        <v>231</v>
      </c>
      <c r="F20" t="s">
        <v>232</v>
      </c>
      <c r="G20" t="s">
        <v>60</v>
      </c>
      <c r="H20" t="s">
        <v>61</v>
      </c>
      <c r="I20" t="s">
        <v>233</v>
      </c>
      <c r="J20" t="s">
        <v>228</v>
      </c>
      <c r="K20" t="s">
        <v>234</v>
      </c>
      <c r="L20" t="s">
        <v>65</v>
      </c>
      <c r="M20" t="s">
        <v>235</v>
      </c>
      <c r="N20" s="13">
        <v>45959.640972222223</v>
      </c>
      <c r="O20" s="13">
        <v>45960.581250000003</v>
      </c>
      <c r="P20" t="s">
        <v>67</v>
      </c>
      <c r="Q20" t="s">
        <v>68</v>
      </c>
      <c r="R20" t="s">
        <v>69</v>
      </c>
      <c r="S20" t="s">
        <v>236</v>
      </c>
      <c r="T20" t="s">
        <v>71</v>
      </c>
      <c r="V20" t="s">
        <v>83</v>
      </c>
      <c r="W20" t="s">
        <v>73</v>
      </c>
      <c r="X20" t="s">
        <v>237</v>
      </c>
      <c r="Y20" s="14">
        <v>0</v>
      </c>
      <c r="Z20" s="14">
        <v>0</v>
      </c>
      <c r="AA20" s="14">
        <v>0</v>
      </c>
      <c r="AB20" s="14">
        <v>0</v>
      </c>
      <c r="AC20" s="14">
        <v>1</v>
      </c>
      <c r="AD20" s="16">
        <v>44560</v>
      </c>
      <c r="AE20" s="16">
        <v>44560</v>
      </c>
    </row>
    <row r="21" spans="1:31">
      <c r="A21" t="s">
        <v>238</v>
      </c>
      <c r="B21" t="s">
        <v>176</v>
      </c>
      <c r="C21" t="s">
        <v>177</v>
      </c>
      <c r="D21" t="s">
        <v>239</v>
      </c>
      <c r="E21" t="s">
        <v>240</v>
      </c>
      <c r="F21" t="s">
        <v>241</v>
      </c>
      <c r="G21" t="s">
        <v>60</v>
      </c>
      <c r="H21" t="s">
        <v>61</v>
      </c>
      <c r="I21" t="s">
        <v>242</v>
      </c>
      <c r="J21" t="s">
        <v>243</v>
      </c>
      <c r="K21" t="s">
        <v>244</v>
      </c>
      <c r="L21" t="s">
        <v>65</v>
      </c>
      <c r="M21" t="s">
        <v>245</v>
      </c>
      <c r="N21" s="13">
        <v>45959.48541666667</v>
      </c>
      <c r="O21" s="13">
        <v>45961.570138888892</v>
      </c>
      <c r="P21" t="s">
        <v>67</v>
      </c>
      <c r="Q21" t="s">
        <v>68</v>
      </c>
      <c r="R21" t="s">
        <v>69</v>
      </c>
      <c r="S21" t="s">
        <v>246</v>
      </c>
      <c r="T21" t="s">
        <v>71</v>
      </c>
      <c r="V21" t="s">
        <v>145</v>
      </c>
      <c r="W21" t="s">
        <v>73</v>
      </c>
      <c r="X21" t="s">
        <v>247</v>
      </c>
      <c r="Y21" s="14">
        <v>0</v>
      </c>
      <c r="Z21" s="14">
        <v>0</v>
      </c>
      <c r="AA21" s="14">
        <v>0</v>
      </c>
      <c r="AB21" s="14">
        <v>0</v>
      </c>
      <c r="AC21" s="14">
        <v>1</v>
      </c>
      <c r="AD21" s="16">
        <v>222904</v>
      </c>
      <c r="AE21" s="16">
        <v>222904</v>
      </c>
    </row>
    <row r="22" spans="1:31">
      <c r="AE22" s="17">
        <f>SUM(AE2:AE21)</f>
        <v>2624774</v>
      </c>
    </row>
  </sheetData>
  <autoFilter ref="A1:AE21" xr:uid="{00000000-0009-0000-0000-000001000000}"/>
  <conditionalFormatting sqref="E1:E1048576">
    <cfRule type="duplicateValues" dxfId="3"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H116"/>
  <sheetViews>
    <sheetView topLeftCell="V1" workbookViewId="0">
      <selection activeCell="AC65" sqref="AC65"/>
    </sheetView>
  </sheetViews>
  <sheetFormatPr baseColWidth="10" defaultColWidth="9.140625" defaultRowHeight="12.75"/>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9" customWidth="1"/>
    <col min="10" max="10" width="42" customWidth="1"/>
    <col min="11" max="11" width="10" customWidth="1"/>
    <col min="12" max="12" width="31" customWidth="1"/>
    <col min="13" max="13" width="41" customWidth="1"/>
    <col min="14" max="14" width="44" customWidth="1"/>
    <col min="15" max="15" width="11" customWidth="1"/>
    <col min="16" max="16" width="13" customWidth="1"/>
    <col min="17" max="17" width="24" customWidth="1"/>
    <col min="18" max="18" width="28" customWidth="1"/>
    <col min="19" max="19" width="14" customWidth="1"/>
    <col min="20" max="20" width="15" customWidth="1"/>
    <col min="21" max="21" width="35" customWidth="1"/>
    <col min="22" max="22" width="50" customWidth="1"/>
    <col min="23" max="23" width="20" customWidth="1"/>
    <col min="24" max="24" width="22" customWidth="1"/>
    <col min="25" max="25" width="14" customWidth="1"/>
    <col min="26" max="26" width="18" customWidth="1"/>
    <col min="27" max="27" width="42" customWidth="1"/>
    <col min="28" max="28" width="16" customWidth="1"/>
    <col min="29" max="29" width="17" customWidth="1"/>
    <col min="30" max="30" width="21" customWidth="1"/>
    <col min="31" max="32" width="10" customWidth="1"/>
    <col min="33" max="33" width="34" style="16" customWidth="1"/>
    <col min="34" max="34" width="39" style="16" customWidth="1"/>
  </cols>
  <sheetData>
    <row r="1" spans="1:34" ht="30">
      <c r="A1" s="12" t="s">
        <v>23</v>
      </c>
      <c r="B1" s="12" t="s">
        <v>24</v>
      </c>
      <c r="C1" s="12" t="s">
        <v>25</v>
      </c>
      <c r="D1" s="12" t="s">
        <v>26</v>
      </c>
      <c r="E1" s="12" t="s">
        <v>27</v>
      </c>
      <c r="F1" s="12" t="s">
        <v>28</v>
      </c>
      <c r="G1" s="12" t="s">
        <v>29</v>
      </c>
      <c r="H1" s="12" t="s">
        <v>31</v>
      </c>
      <c r="I1" s="12" t="s">
        <v>32</v>
      </c>
      <c r="J1" s="12" t="s">
        <v>33</v>
      </c>
      <c r="K1" s="12" t="s">
        <v>34</v>
      </c>
      <c r="L1" s="12" t="s">
        <v>35</v>
      </c>
      <c r="M1" s="12" t="s">
        <v>248</v>
      </c>
      <c r="N1" s="12" t="s">
        <v>249</v>
      </c>
      <c r="O1" s="12" t="s">
        <v>250</v>
      </c>
      <c r="P1" s="12" t="s">
        <v>251</v>
      </c>
      <c r="Q1" s="12" t="s">
        <v>252</v>
      </c>
      <c r="R1" s="12" t="s">
        <v>253</v>
      </c>
      <c r="S1" s="12" t="s">
        <v>38</v>
      </c>
      <c r="T1" s="12" t="s">
        <v>39</v>
      </c>
      <c r="U1" s="12" t="s">
        <v>40</v>
      </c>
      <c r="V1" s="12" t="s">
        <v>254</v>
      </c>
      <c r="W1" s="12" t="s">
        <v>42</v>
      </c>
      <c r="X1" s="12" t="s">
        <v>43</v>
      </c>
      <c r="Y1" s="12" t="s">
        <v>44</v>
      </c>
      <c r="Z1" s="12" t="s">
        <v>45</v>
      </c>
      <c r="AA1" s="12" t="s">
        <v>46</v>
      </c>
      <c r="AB1" s="12" t="s">
        <v>255</v>
      </c>
      <c r="AC1" s="12" t="s">
        <v>47</v>
      </c>
      <c r="AD1" s="12" t="s">
        <v>256</v>
      </c>
      <c r="AE1" s="12" t="s">
        <v>49</v>
      </c>
      <c r="AF1" s="12" t="s">
        <v>50</v>
      </c>
      <c r="AG1" s="15" t="s">
        <v>51</v>
      </c>
      <c r="AH1" s="15" t="s">
        <v>257</v>
      </c>
    </row>
    <row r="2" spans="1:34" hidden="1">
      <c r="A2" t="s">
        <v>133</v>
      </c>
      <c r="B2" t="s">
        <v>134</v>
      </c>
      <c r="C2" t="s">
        <v>135</v>
      </c>
      <c r="D2" t="s">
        <v>258</v>
      </c>
      <c r="E2" t="s">
        <v>259</v>
      </c>
      <c r="F2" t="s">
        <v>260</v>
      </c>
      <c r="G2" t="s">
        <v>261</v>
      </c>
      <c r="H2" t="s">
        <v>139</v>
      </c>
      <c r="I2" t="s">
        <v>262</v>
      </c>
      <c r="J2" t="s">
        <v>263</v>
      </c>
      <c r="K2" t="s">
        <v>65</v>
      </c>
      <c r="L2" t="s">
        <v>264</v>
      </c>
      <c r="M2" s="13">
        <v>45929.441296296303</v>
      </c>
      <c r="N2" s="13">
        <v>45931.434027777781</v>
      </c>
      <c r="O2" t="s">
        <v>265</v>
      </c>
      <c r="P2" t="s">
        <v>266</v>
      </c>
      <c r="Q2" t="s">
        <v>267</v>
      </c>
      <c r="R2" t="s">
        <v>268</v>
      </c>
      <c r="S2" t="s">
        <v>269</v>
      </c>
      <c r="T2" t="s">
        <v>269</v>
      </c>
      <c r="U2" t="s">
        <v>270</v>
      </c>
      <c r="V2" t="s">
        <v>271</v>
      </c>
      <c r="W2" t="s">
        <v>71</v>
      </c>
      <c r="X2" t="s">
        <v>272</v>
      </c>
      <c r="Y2" t="s">
        <v>107</v>
      </c>
      <c r="Z2" t="s">
        <v>73</v>
      </c>
      <c r="AA2" t="s">
        <v>273</v>
      </c>
      <c r="AB2" s="14">
        <v>1</v>
      </c>
      <c r="AC2" s="14">
        <v>0</v>
      </c>
      <c r="AD2" s="14">
        <v>0</v>
      </c>
      <c r="AE2" s="14">
        <v>0</v>
      </c>
      <c r="AF2" s="14">
        <v>0</v>
      </c>
      <c r="AG2" s="16">
        <v>163814</v>
      </c>
      <c r="AH2" s="16">
        <v>163814</v>
      </c>
    </row>
    <row r="3" spans="1:34" hidden="1">
      <c r="A3" t="s">
        <v>274</v>
      </c>
      <c r="B3" t="s">
        <v>156</v>
      </c>
      <c r="C3" t="s">
        <v>157</v>
      </c>
      <c r="D3" t="s">
        <v>275</v>
      </c>
      <c r="E3" t="s">
        <v>276</v>
      </c>
      <c r="F3" t="s">
        <v>277</v>
      </c>
      <c r="G3" t="s">
        <v>261</v>
      </c>
      <c r="H3" t="s">
        <v>278</v>
      </c>
      <c r="I3" t="s">
        <v>279</v>
      </c>
      <c r="J3" t="s">
        <v>280</v>
      </c>
      <c r="K3" t="s">
        <v>65</v>
      </c>
      <c r="L3" t="s">
        <v>281</v>
      </c>
      <c r="M3" s="13">
        <v>45930.413622685177</v>
      </c>
      <c r="N3" s="13">
        <v>45931.413194444453</v>
      </c>
      <c r="O3" t="s">
        <v>265</v>
      </c>
      <c r="P3" t="s">
        <v>266</v>
      </c>
      <c r="Q3" t="s">
        <v>267</v>
      </c>
      <c r="R3" t="s">
        <v>268</v>
      </c>
      <c r="S3" t="s">
        <v>67</v>
      </c>
      <c r="T3" t="s">
        <v>143</v>
      </c>
      <c r="U3" t="s">
        <v>282</v>
      </c>
      <c r="V3" t="s">
        <v>283</v>
      </c>
      <c r="W3" t="s">
        <v>71</v>
      </c>
      <c r="X3" t="s">
        <v>284</v>
      </c>
      <c r="Y3" t="s">
        <v>83</v>
      </c>
      <c r="Z3" t="s">
        <v>73</v>
      </c>
      <c r="AA3" t="s">
        <v>285</v>
      </c>
      <c r="AB3" s="14">
        <v>1</v>
      </c>
      <c r="AC3" s="14">
        <v>0</v>
      </c>
      <c r="AD3" s="14">
        <v>0</v>
      </c>
      <c r="AE3" s="14">
        <v>0</v>
      </c>
      <c r="AF3" s="14">
        <v>0</v>
      </c>
      <c r="AG3" s="16">
        <v>65960</v>
      </c>
      <c r="AH3" s="16">
        <v>65960</v>
      </c>
    </row>
    <row r="4" spans="1:34" hidden="1">
      <c r="A4" t="s">
        <v>238</v>
      </c>
      <c r="B4" t="s">
        <v>176</v>
      </c>
      <c r="C4" t="s">
        <v>177</v>
      </c>
      <c r="D4" t="s">
        <v>286</v>
      </c>
      <c r="E4" t="s">
        <v>287</v>
      </c>
      <c r="F4" t="s">
        <v>288</v>
      </c>
      <c r="G4" t="s">
        <v>261</v>
      </c>
      <c r="H4" t="s">
        <v>242</v>
      </c>
      <c r="I4" t="s">
        <v>289</v>
      </c>
      <c r="J4" t="s">
        <v>290</v>
      </c>
      <c r="K4" t="s">
        <v>65</v>
      </c>
      <c r="L4" t="s">
        <v>291</v>
      </c>
      <c r="M4" s="13">
        <v>45930.709108796298</v>
      </c>
      <c r="N4" s="13">
        <v>45931.584722222222</v>
      </c>
      <c r="O4" t="s">
        <v>265</v>
      </c>
      <c r="P4" t="s">
        <v>292</v>
      </c>
      <c r="Q4" t="s">
        <v>293</v>
      </c>
      <c r="R4" t="s">
        <v>294</v>
      </c>
      <c r="S4" t="s">
        <v>67</v>
      </c>
      <c r="T4" t="s">
        <v>143</v>
      </c>
      <c r="U4" t="s">
        <v>295</v>
      </c>
      <c r="V4" t="s">
        <v>296</v>
      </c>
      <c r="W4" t="s">
        <v>71</v>
      </c>
      <c r="X4" t="s">
        <v>297</v>
      </c>
      <c r="Y4" t="s">
        <v>107</v>
      </c>
      <c r="Z4" t="s">
        <v>73</v>
      </c>
      <c r="AA4" t="s">
        <v>298</v>
      </c>
      <c r="AB4" s="14">
        <v>1</v>
      </c>
      <c r="AC4" s="14">
        <v>0</v>
      </c>
      <c r="AD4" s="14">
        <v>0</v>
      </c>
      <c r="AE4" s="14">
        <v>0</v>
      </c>
      <c r="AF4" s="14">
        <v>0</v>
      </c>
      <c r="AG4" s="16">
        <v>163814</v>
      </c>
      <c r="AH4" s="16">
        <v>163814</v>
      </c>
    </row>
    <row r="5" spans="1:34" hidden="1">
      <c r="A5" t="s">
        <v>117</v>
      </c>
      <c r="B5" t="s">
        <v>118</v>
      </c>
      <c r="C5" t="s">
        <v>119</v>
      </c>
      <c r="D5" t="s">
        <v>299</v>
      </c>
      <c r="E5" t="s">
        <v>300</v>
      </c>
      <c r="F5" t="s">
        <v>301</v>
      </c>
      <c r="G5" t="s">
        <v>261</v>
      </c>
      <c r="H5" t="s">
        <v>118</v>
      </c>
      <c r="I5" t="s">
        <v>302</v>
      </c>
      <c r="J5" t="s">
        <v>303</v>
      </c>
      <c r="K5" t="s">
        <v>65</v>
      </c>
      <c r="L5" t="s">
        <v>304</v>
      </c>
      <c r="M5" s="13">
        <v>45931.333333333343</v>
      </c>
      <c r="N5" s="13">
        <v>45931.484722222223</v>
      </c>
      <c r="O5" t="s">
        <v>265</v>
      </c>
      <c r="P5" t="s">
        <v>292</v>
      </c>
      <c r="Q5" t="s">
        <v>305</v>
      </c>
      <c r="R5" t="s">
        <v>306</v>
      </c>
      <c r="S5" t="s">
        <v>269</v>
      </c>
      <c r="T5" t="s">
        <v>269</v>
      </c>
      <c r="V5" t="s">
        <v>307</v>
      </c>
      <c r="W5" t="s">
        <v>308</v>
      </c>
      <c r="Y5" t="s">
        <v>83</v>
      </c>
      <c r="Z5" t="s">
        <v>73</v>
      </c>
      <c r="AA5" t="s">
        <v>309</v>
      </c>
      <c r="AB5" s="14">
        <v>0</v>
      </c>
      <c r="AC5" s="14">
        <v>0</v>
      </c>
      <c r="AD5" s="14">
        <v>0</v>
      </c>
      <c r="AE5" s="14">
        <v>0</v>
      </c>
      <c r="AF5" s="14">
        <v>0</v>
      </c>
      <c r="AG5" s="16">
        <v>37905</v>
      </c>
      <c r="AH5" s="16">
        <v>37905</v>
      </c>
    </row>
    <row r="6" spans="1:34" hidden="1">
      <c r="A6" t="s">
        <v>310</v>
      </c>
      <c r="B6" t="s">
        <v>134</v>
      </c>
      <c r="C6" t="s">
        <v>135</v>
      </c>
      <c r="D6" t="s">
        <v>311</v>
      </c>
      <c r="E6" t="s">
        <v>312</v>
      </c>
      <c r="F6" t="s">
        <v>313</v>
      </c>
      <c r="G6" t="s">
        <v>261</v>
      </c>
      <c r="H6" t="s">
        <v>314</v>
      </c>
      <c r="I6" t="s">
        <v>310</v>
      </c>
      <c r="J6" t="s">
        <v>315</v>
      </c>
      <c r="K6" t="s">
        <v>65</v>
      </c>
      <c r="L6" t="s">
        <v>316</v>
      </c>
      <c r="M6" s="13">
        <v>45931.447615740741</v>
      </c>
      <c r="N6" s="13">
        <v>45931.959027777782</v>
      </c>
      <c r="O6" t="s">
        <v>265</v>
      </c>
      <c r="P6" t="s">
        <v>292</v>
      </c>
      <c r="Q6" t="s">
        <v>293</v>
      </c>
      <c r="R6" t="s">
        <v>294</v>
      </c>
      <c r="S6" t="s">
        <v>269</v>
      </c>
      <c r="T6" t="s">
        <v>269</v>
      </c>
      <c r="V6" t="s">
        <v>317</v>
      </c>
      <c r="W6" t="s">
        <v>308</v>
      </c>
      <c r="Y6" t="s">
        <v>83</v>
      </c>
      <c r="Z6" t="s">
        <v>73</v>
      </c>
      <c r="AA6" t="s">
        <v>318</v>
      </c>
      <c r="AB6" s="14">
        <v>0</v>
      </c>
      <c r="AC6" s="14">
        <v>0</v>
      </c>
      <c r="AD6" s="14">
        <v>0</v>
      </c>
      <c r="AE6" s="14">
        <v>0</v>
      </c>
      <c r="AF6" s="14">
        <v>0</v>
      </c>
      <c r="AG6" s="16">
        <v>37905</v>
      </c>
      <c r="AH6" s="16">
        <v>37905</v>
      </c>
    </row>
    <row r="7" spans="1:34" hidden="1">
      <c r="A7" t="s">
        <v>274</v>
      </c>
      <c r="B7" t="s">
        <v>156</v>
      </c>
      <c r="C7" t="s">
        <v>157</v>
      </c>
      <c r="D7" t="s">
        <v>275</v>
      </c>
      <c r="E7" t="s">
        <v>319</v>
      </c>
      <c r="F7" t="s">
        <v>320</v>
      </c>
      <c r="G7" t="s">
        <v>261</v>
      </c>
      <c r="H7" t="s">
        <v>278</v>
      </c>
      <c r="I7" t="s">
        <v>279</v>
      </c>
      <c r="J7" t="s">
        <v>321</v>
      </c>
      <c r="K7" t="s">
        <v>65</v>
      </c>
      <c r="L7" t="s">
        <v>322</v>
      </c>
      <c r="M7" s="13">
        <v>45931.461631944447</v>
      </c>
      <c r="N7" s="13">
        <v>45931.963194444441</v>
      </c>
      <c r="O7" t="s">
        <v>265</v>
      </c>
      <c r="P7" t="s">
        <v>292</v>
      </c>
      <c r="Q7" t="s">
        <v>305</v>
      </c>
      <c r="R7" t="s">
        <v>306</v>
      </c>
      <c r="S7" t="s">
        <v>323</v>
      </c>
      <c r="T7" t="s">
        <v>323</v>
      </c>
      <c r="U7" t="s">
        <v>295</v>
      </c>
      <c r="V7" t="s">
        <v>324</v>
      </c>
      <c r="W7" t="s">
        <v>71</v>
      </c>
      <c r="X7" t="s">
        <v>325</v>
      </c>
      <c r="Y7" t="s">
        <v>83</v>
      </c>
      <c r="Z7" t="s">
        <v>73</v>
      </c>
      <c r="AA7" t="s">
        <v>285</v>
      </c>
      <c r="AB7" s="14">
        <v>1</v>
      </c>
      <c r="AC7" s="14">
        <v>0</v>
      </c>
      <c r="AD7" s="14">
        <v>0</v>
      </c>
      <c r="AE7" s="14">
        <v>0</v>
      </c>
      <c r="AF7" s="14">
        <v>0</v>
      </c>
      <c r="AG7" s="16">
        <v>65960</v>
      </c>
      <c r="AH7" s="16">
        <v>65960</v>
      </c>
    </row>
    <row r="8" spans="1:34" hidden="1">
      <c r="A8" t="s">
        <v>85</v>
      </c>
      <c r="B8" t="s">
        <v>86</v>
      </c>
      <c r="C8" t="s">
        <v>87</v>
      </c>
      <c r="D8" t="s">
        <v>326</v>
      </c>
      <c r="E8" t="s">
        <v>327</v>
      </c>
      <c r="F8" t="s">
        <v>328</v>
      </c>
      <c r="G8" t="s">
        <v>261</v>
      </c>
      <c r="H8" t="s">
        <v>91</v>
      </c>
      <c r="I8" t="s">
        <v>329</v>
      </c>
      <c r="J8" t="s">
        <v>330</v>
      </c>
      <c r="K8" t="s">
        <v>65</v>
      </c>
      <c r="L8" t="s">
        <v>331</v>
      </c>
      <c r="M8" s="13">
        <v>45931.612245370372</v>
      </c>
      <c r="N8" s="13">
        <v>45933.495138888888</v>
      </c>
      <c r="O8" t="s">
        <v>265</v>
      </c>
      <c r="P8" t="s">
        <v>292</v>
      </c>
      <c r="Q8" t="s">
        <v>332</v>
      </c>
      <c r="R8" t="s">
        <v>333</v>
      </c>
      <c r="S8" t="s">
        <v>67</v>
      </c>
      <c r="T8" t="s">
        <v>143</v>
      </c>
      <c r="U8" t="s">
        <v>295</v>
      </c>
      <c r="V8" t="s">
        <v>334</v>
      </c>
      <c r="W8" t="s">
        <v>71</v>
      </c>
      <c r="X8" t="s">
        <v>335</v>
      </c>
      <c r="Y8" t="s">
        <v>107</v>
      </c>
      <c r="Z8" t="s">
        <v>73</v>
      </c>
      <c r="AA8" t="s">
        <v>336</v>
      </c>
      <c r="AB8" s="14">
        <v>1</v>
      </c>
      <c r="AC8" s="14">
        <v>0</v>
      </c>
      <c r="AD8" s="14">
        <v>0</v>
      </c>
      <c r="AE8" s="14">
        <v>0</v>
      </c>
      <c r="AF8" s="14">
        <v>0</v>
      </c>
      <c r="AG8" s="16">
        <v>163814</v>
      </c>
      <c r="AH8" s="16">
        <v>163814</v>
      </c>
    </row>
    <row r="9" spans="1:34" hidden="1">
      <c r="A9" t="s">
        <v>75</v>
      </c>
      <c r="B9" t="s">
        <v>55</v>
      </c>
      <c r="C9" t="s">
        <v>56</v>
      </c>
      <c r="D9" t="s">
        <v>337</v>
      </c>
      <c r="E9" t="s">
        <v>338</v>
      </c>
      <c r="F9" t="s">
        <v>339</v>
      </c>
      <c r="G9" t="s">
        <v>261</v>
      </c>
      <c r="H9" t="s">
        <v>79</v>
      </c>
      <c r="I9" t="s">
        <v>340</v>
      </c>
      <c r="J9" t="s">
        <v>341</v>
      </c>
      <c r="K9" t="s">
        <v>65</v>
      </c>
      <c r="L9" t="s">
        <v>342</v>
      </c>
      <c r="M9" s="13">
        <v>45931.616759259261</v>
      </c>
      <c r="N9" s="13">
        <v>45932.645833333343</v>
      </c>
      <c r="O9" t="s">
        <v>265</v>
      </c>
      <c r="P9" t="s">
        <v>292</v>
      </c>
      <c r="Q9" t="s">
        <v>305</v>
      </c>
      <c r="R9" t="s">
        <v>306</v>
      </c>
      <c r="S9" t="s">
        <v>269</v>
      </c>
      <c r="T9" t="s">
        <v>269</v>
      </c>
      <c r="U9" t="s">
        <v>295</v>
      </c>
      <c r="V9" t="s">
        <v>343</v>
      </c>
      <c r="W9" t="s">
        <v>71</v>
      </c>
      <c r="X9" t="s">
        <v>344</v>
      </c>
      <c r="Y9" t="s">
        <v>107</v>
      </c>
      <c r="Z9" t="s">
        <v>73</v>
      </c>
      <c r="AA9" t="s">
        <v>345</v>
      </c>
      <c r="AB9" s="14">
        <v>1</v>
      </c>
      <c r="AC9" s="14">
        <v>0</v>
      </c>
      <c r="AD9" s="14">
        <v>0</v>
      </c>
      <c r="AE9" s="14">
        <v>0</v>
      </c>
      <c r="AF9" s="14">
        <v>0</v>
      </c>
      <c r="AG9" s="16">
        <v>163814</v>
      </c>
      <c r="AH9" s="16">
        <v>163814</v>
      </c>
    </row>
    <row r="10" spans="1:34" hidden="1">
      <c r="A10" t="s">
        <v>75</v>
      </c>
      <c r="B10" t="s">
        <v>55</v>
      </c>
      <c r="C10" t="s">
        <v>56</v>
      </c>
      <c r="D10" t="s">
        <v>76</v>
      </c>
      <c r="E10" t="s">
        <v>346</v>
      </c>
      <c r="F10" t="s">
        <v>347</v>
      </c>
      <c r="G10" t="s">
        <v>261</v>
      </c>
      <c r="H10" t="s">
        <v>79</v>
      </c>
      <c r="I10" t="s">
        <v>75</v>
      </c>
      <c r="J10" t="s">
        <v>348</v>
      </c>
      <c r="K10" t="s">
        <v>65</v>
      </c>
      <c r="L10" t="s">
        <v>349</v>
      </c>
      <c r="M10" s="13">
        <v>45932.333333333343</v>
      </c>
      <c r="N10" s="13">
        <v>45932.640277777777</v>
      </c>
      <c r="O10" t="s">
        <v>265</v>
      </c>
      <c r="P10" t="s">
        <v>292</v>
      </c>
      <c r="Q10" t="s">
        <v>305</v>
      </c>
      <c r="R10" t="s">
        <v>306</v>
      </c>
      <c r="S10" t="s">
        <v>350</v>
      </c>
      <c r="T10" t="s">
        <v>351</v>
      </c>
      <c r="U10" t="s">
        <v>352</v>
      </c>
      <c r="V10" t="s">
        <v>353</v>
      </c>
      <c r="W10" t="s">
        <v>71</v>
      </c>
      <c r="X10" t="s">
        <v>265</v>
      </c>
      <c r="Y10" t="s">
        <v>83</v>
      </c>
      <c r="Z10" t="s">
        <v>73</v>
      </c>
      <c r="AA10" t="s">
        <v>354</v>
      </c>
      <c r="AB10" s="14">
        <v>1</v>
      </c>
      <c r="AC10" s="14">
        <v>0</v>
      </c>
      <c r="AD10" s="14">
        <v>0</v>
      </c>
      <c r="AE10" s="14">
        <v>0</v>
      </c>
      <c r="AF10" s="14">
        <v>0</v>
      </c>
      <c r="AG10" s="16">
        <v>65960</v>
      </c>
      <c r="AH10" s="16">
        <v>65960</v>
      </c>
    </row>
    <row r="11" spans="1:34" hidden="1">
      <c r="A11" t="s">
        <v>75</v>
      </c>
      <c r="B11" t="s">
        <v>55</v>
      </c>
      <c r="C11" t="s">
        <v>56</v>
      </c>
      <c r="D11" t="s">
        <v>355</v>
      </c>
      <c r="E11" t="s">
        <v>356</v>
      </c>
      <c r="F11" t="s">
        <v>357</v>
      </c>
      <c r="G11" t="s">
        <v>261</v>
      </c>
      <c r="H11" t="s">
        <v>102</v>
      </c>
      <c r="I11" t="s">
        <v>358</v>
      </c>
      <c r="J11" t="s">
        <v>359</v>
      </c>
      <c r="K11" t="s">
        <v>65</v>
      </c>
      <c r="L11" t="s">
        <v>360</v>
      </c>
      <c r="M11" s="13">
        <v>45932.373240740737</v>
      </c>
      <c r="N11" s="13">
        <v>45934.44027777778</v>
      </c>
      <c r="O11" t="s">
        <v>265</v>
      </c>
      <c r="P11" t="s">
        <v>292</v>
      </c>
      <c r="Q11" t="s">
        <v>332</v>
      </c>
      <c r="R11" t="s">
        <v>333</v>
      </c>
      <c r="S11" t="s">
        <v>269</v>
      </c>
      <c r="T11" t="s">
        <v>269</v>
      </c>
      <c r="V11" t="s">
        <v>361</v>
      </c>
      <c r="W11" t="s">
        <v>308</v>
      </c>
      <c r="Y11" t="s">
        <v>145</v>
      </c>
      <c r="Z11" t="s">
        <v>73</v>
      </c>
      <c r="AA11" t="s">
        <v>362</v>
      </c>
      <c r="AB11" s="14">
        <v>0</v>
      </c>
      <c r="AC11" s="14">
        <v>0</v>
      </c>
      <c r="AD11" s="14">
        <v>0</v>
      </c>
      <c r="AE11" s="14">
        <v>0</v>
      </c>
      <c r="AF11" s="14">
        <v>0</v>
      </c>
      <c r="AG11" s="16">
        <v>37905</v>
      </c>
      <c r="AH11" s="16">
        <v>37905</v>
      </c>
    </row>
    <row r="12" spans="1:34" hidden="1">
      <c r="A12" t="s">
        <v>274</v>
      </c>
      <c r="B12" t="s">
        <v>156</v>
      </c>
      <c r="C12" t="s">
        <v>157</v>
      </c>
      <c r="D12" t="s">
        <v>275</v>
      </c>
      <c r="E12" t="s">
        <v>363</v>
      </c>
      <c r="F12" t="s">
        <v>364</v>
      </c>
      <c r="G12" t="s">
        <v>261</v>
      </c>
      <c r="H12" t="s">
        <v>278</v>
      </c>
      <c r="I12" t="s">
        <v>279</v>
      </c>
      <c r="J12" t="s">
        <v>365</v>
      </c>
      <c r="K12" t="s">
        <v>65</v>
      </c>
      <c r="L12" t="s">
        <v>366</v>
      </c>
      <c r="M12" s="13">
        <v>45932.445729166669</v>
      </c>
      <c r="N12" s="13">
        <v>45933.384027777778</v>
      </c>
      <c r="O12" t="s">
        <v>265</v>
      </c>
      <c r="P12" t="s">
        <v>292</v>
      </c>
      <c r="Q12" t="s">
        <v>332</v>
      </c>
      <c r="R12" t="s">
        <v>367</v>
      </c>
      <c r="S12" t="s">
        <v>269</v>
      </c>
      <c r="T12" t="s">
        <v>269</v>
      </c>
      <c r="U12" t="s">
        <v>295</v>
      </c>
      <c r="V12" t="s">
        <v>368</v>
      </c>
      <c r="W12" t="s">
        <v>71</v>
      </c>
      <c r="X12" t="s">
        <v>369</v>
      </c>
      <c r="Y12" t="s">
        <v>83</v>
      </c>
      <c r="Z12" t="s">
        <v>73</v>
      </c>
      <c r="AA12" t="s">
        <v>370</v>
      </c>
      <c r="AB12" s="14">
        <v>1</v>
      </c>
      <c r="AC12" s="14">
        <v>0</v>
      </c>
      <c r="AD12" s="14">
        <v>0</v>
      </c>
      <c r="AE12" s="14">
        <v>0</v>
      </c>
      <c r="AF12" s="14">
        <v>0</v>
      </c>
      <c r="AG12" s="16">
        <v>65960</v>
      </c>
      <c r="AH12" s="16">
        <v>65960</v>
      </c>
    </row>
    <row r="13" spans="1:34" hidden="1">
      <c r="A13" t="s">
        <v>54</v>
      </c>
      <c r="B13" t="s">
        <v>55</v>
      </c>
      <c r="C13" t="s">
        <v>56</v>
      </c>
      <c r="D13" t="s">
        <v>57</v>
      </c>
      <c r="E13" t="s">
        <v>371</v>
      </c>
      <c r="F13" t="s">
        <v>372</v>
      </c>
      <c r="G13" t="s">
        <v>261</v>
      </c>
      <c r="H13" t="s">
        <v>62</v>
      </c>
      <c r="I13" t="s">
        <v>63</v>
      </c>
      <c r="J13" t="s">
        <v>373</v>
      </c>
      <c r="K13" t="s">
        <v>65</v>
      </c>
      <c r="L13" t="s">
        <v>374</v>
      </c>
      <c r="M13" s="13">
        <v>45932.457361111112</v>
      </c>
      <c r="N13" s="13">
        <v>45932.748611111107</v>
      </c>
      <c r="O13" t="s">
        <v>265</v>
      </c>
      <c r="P13" t="s">
        <v>292</v>
      </c>
      <c r="Q13" t="s">
        <v>305</v>
      </c>
      <c r="R13" t="s">
        <v>306</v>
      </c>
      <c r="S13" t="s">
        <v>67</v>
      </c>
      <c r="T13" t="s">
        <v>68</v>
      </c>
      <c r="U13" t="s">
        <v>295</v>
      </c>
      <c r="V13" t="s">
        <v>375</v>
      </c>
      <c r="W13" t="s">
        <v>71</v>
      </c>
      <c r="X13" t="s">
        <v>376</v>
      </c>
      <c r="Y13" t="s">
        <v>72</v>
      </c>
      <c r="Z13" t="s">
        <v>73</v>
      </c>
      <c r="AA13" t="s">
        <v>74</v>
      </c>
      <c r="AB13" s="14">
        <v>1</v>
      </c>
      <c r="AC13" s="14">
        <v>0</v>
      </c>
      <c r="AD13" s="14">
        <v>0</v>
      </c>
      <c r="AE13" s="14">
        <v>0</v>
      </c>
      <c r="AF13" s="14">
        <v>0</v>
      </c>
      <c r="AG13" s="16">
        <v>479590</v>
      </c>
      <c r="AH13" s="16">
        <v>479590</v>
      </c>
    </row>
    <row r="14" spans="1:34" hidden="1">
      <c r="A14" t="s">
        <v>75</v>
      </c>
      <c r="B14" t="s">
        <v>55</v>
      </c>
      <c r="C14" t="s">
        <v>56</v>
      </c>
      <c r="D14" t="s">
        <v>76</v>
      </c>
      <c r="E14" t="s">
        <v>377</v>
      </c>
      <c r="F14" t="s">
        <v>378</v>
      </c>
      <c r="G14" t="s">
        <v>261</v>
      </c>
      <c r="H14" t="s">
        <v>79</v>
      </c>
      <c r="I14" t="s">
        <v>75</v>
      </c>
      <c r="J14" t="s">
        <v>379</v>
      </c>
      <c r="K14" t="s">
        <v>65</v>
      </c>
      <c r="L14" t="s">
        <v>380</v>
      </c>
      <c r="M14" s="13">
        <v>45932.513402777768</v>
      </c>
      <c r="N14" s="13">
        <v>45933.380555555559</v>
      </c>
      <c r="O14" t="s">
        <v>265</v>
      </c>
      <c r="P14" t="s">
        <v>292</v>
      </c>
      <c r="Q14" t="s">
        <v>381</v>
      </c>
      <c r="R14" t="s">
        <v>382</v>
      </c>
      <c r="S14" t="s">
        <v>323</v>
      </c>
      <c r="T14" t="s">
        <v>269</v>
      </c>
      <c r="V14" t="s">
        <v>383</v>
      </c>
      <c r="W14" t="s">
        <v>308</v>
      </c>
      <c r="Y14" t="s">
        <v>83</v>
      </c>
      <c r="Z14" t="s">
        <v>73</v>
      </c>
      <c r="AA14" t="s">
        <v>362</v>
      </c>
      <c r="AB14" s="14">
        <v>0</v>
      </c>
      <c r="AC14" s="14">
        <v>0</v>
      </c>
      <c r="AD14" s="14">
        <v>0</v>
      </c>
      <c r="AE14" s="14">
        <v>0</v>
      </c>
      <c r="AF14" s="14">
        <v>0</v>
      </c>
      <c r="AG14" s="16">
        <v>37905</v>
      </c>
      <c r="AH14" s="16">
        <v>37905</v>
      </c>
    </row>
    <row r="15" spans="1:34" hidden="1">
      <c r="A15" t="s">
        <v>54</v>
      </c>
      <c r="B15" t="s">
        <v>55</v>
      </c>
      <c r="C15" t="s">
        <v>56</v>
      </c>
      <c r="D15" t="s">
        <v>384</v>
      </c>
      <c r="E15" t="s">
        <v>385</v>
      </c>
      <c r="F15" t="s">
        <v>386</v>
      </c>
      <c r="G15" t="s">
        <v>261</v>
      </c>
      <c r="H15" t="s">
        <v>112</v>
      </c>
      <c r="I15" t="s">
        <v>387</v>
      </c>
      <c r="J15" t="s">
        <v>388</v>
      </c>
      <c r="K15" t="s">
        <v>65</v>
      </c>
      <c r="L15" t="s">
        <v>389</v>
      </c>
      <c r="M15" s="13">
        <v>45932.684293981481</v>
      </c>
      <c r="N15" s="13">
        <v>45934.443055555559</v>
      </c>
      <c r="O15" t="s">
        <v>265</v>
      </c>
      <c r="P15" t="s">
        <v>292</v>
      </c>
      <c r="Q15" t="s">
        <v>332</v>
      </c>
      <c r="R15" t="s">
        <v>333</v>
      </c>
      <c r="S15" t="s">
        <v>67</v>
      </c>
      <c r="T15" t="s">
        <v>68</v>
      </c>
      <c r="V15" t="s">
        <v>390</v>
      </c>
      <c r="W15" t="s">
        <v>308</v>
      </c>
      <c r="Y15" t="s">
        <v>107</v>
      </c>
      <c r="Z15" t="s">
        <v>73</v>
      </c>
      <c r="AA15" t="s">
        <v>362</v>
      </c>
      <c r="AB15" s="14">
        <v>0</v>
      </c>
      <c r="AC15" s="14">
        <v>0</v>
      </c>
      <c r="AD15" s="14">
        <v>0</v>
      </c>
      <c r="AE15" s="14">
        <v>0</v>
      </c>
      <c r="AF15" s="14">
        <v>0</v>
      </c>
      <c r="AG15" s="16">
        <v>37905</v>
      </c>
      <c r="AH15" s="16">
        <v>37905</v>
      </c>
    </row>
    <row r="16" spans="1:34" hidden="1">
      <c r="A16" t="s">
        <v>391</v>
      </c>
      <c r="B16" t="s">
        <v>176</v>
      </c>
      <c r="C16" t="s">
        <v>177</v>
      </c>
      <c r="D16" t="s">
        <v>392</v>
      </c>
      <c r="E16" t="s">
        <v>393</v>
      </c>
      <c r="F16" t="s">
        <v>394</v>
      </c>
      <c r="G16" t="s">
        <v>261</v>
      </c>
      <c r="H16" t="s">
        <v>91</v>
      </c>
      <c r="I16" t="s">
        <v>395</v>
      </c>
      <c r="J16" t="s">
        <v>396</v>
      </c>
      <c r="K16" t="s">
        <v>65</v>
      </c>
      <c r="L16" t="s">
        <v>397</v>
      </c>
      <c r="M16" s="13">
        <v>45932.695810185192</v>
      </c>
      <c r="N16" s="13">
        <v>45937.706250000003</v>
      </c>
      <c r="O16" t="s">
        <v>265</v>
      </c>
      <c r="P16" t="s">
        <v>292</v>
      </c>
      <c r="Q16" t="s">
        <v>305</v>
      </c>
      <c r="R16" t="s">
        <v>306</v>
      </c>
      <c r="S16" t="s">
        <v>67</v>
      </c>
      <c r="T16" t="s">
        <v>143</v>
      </c>
      <c r="U16" t="s">
        <v>295</v>
      </c>
      <c r="V16" t="s">
        <v>398</v>
      </c>
      <c r="W16" t="s">
        <v>71</v>
      </c>
      <c r="X16" t="s">
        <v>399</v>
      </c>
      <c r="Y16" t="s">
        <v>107</v>
      </c>
      <c r="Z16" t="s">
        <v>73</v>
      </c>
      <c r="AA16" t="s">
        <v>400</v>
      </c>
      <c r="AB16" s="14">
        <v>1</v>
      </c>
      <c r="AC16" s="14">
        <v>0</v>
      </c>
      <c r="AD16" s="14">
        <v>0</v>
      </c>
      <c r="AE16" s="14">
        <v>0</v>
      </c>
      <c r="AF16" s="14">
        <v>0</v>
      </c>
      <c r="AG16" s="16">
        <v>163814</v>
      </c>
      <c r="AH16" s="16">
        <v>163814</v>
      </c>
    </row>
    <row r="17" spans="1:34" hidden="1">
      <c r="A17" t="s">
        <v>85</v>
      </c>
      <c r="B17" t="s">
        <v>86</v>
      </c>
      <c r="C17" t="s">
        <v>87</v>
      </c>
      <c r="D17" t="s">
        <v>200</v>
      </c>
      <c r="E17" t="s">
        <v>401</v>
      </c>
      <c r="F17" t="s">
        <v>402</v>
      </c>
      <c r="G17" t="s">
        <v>261</v>
      </c>
      <c r="H17" t="s">
        <v>91</v>
      </c>
      <c r="I17" t="s">
        <v>85</v>
      </c>
      <c r="J17" t="s">
        <v>403</v>
      </c>
      <c r="K17" t="s">
        <v>65</v>
      </c>
      <c r="L17" t="s">
        <v>404</v>
      </c>
      <c r="M17" s="13">
        <v>45932.72148148148</v>
      </c>
      <c r="N17" s="13">
        <v>45933.480555555558</v>
      </c>
      <c r="O17" t="s">
        <v>265</v>
      </c>
      <c r="P17" t="s">
        <v>292</v>
      </c>
      <c r="Q17" t="s">
        <v>305</v>
      </c>
      <c r="R17" t="s">
        <v>306</v>
      </c>
      <c r="S17" t="s">
        <v>67</v>
      </c>
      <c r="T17" t="s">
        <v>143</v>
      </c>
      <c r="U17" t="s">
        <v>295</v>
      </c>
      <c r="V17" t="s">
        <v>405</v>
      </c>
      <c r="W17" t="s">
        <v>71</v>
      </c>
      <c r="X17" t="s">
        <v>406</v>
      </c>
      <c r="Y17" t="s">
        <v>83</v>
      </c>
      <c r="Z17" t="s">
        <v>73</v>
      </c>
      <c r="AA17" t="s">
        <v>407</v>
      </c>
      <c r="AB17" s="14">
        <v>1</v>
      </c>
      <c r="AC17" s="14">
        <v>0</v>
      </c>
      <c r="AD17" s="14">
        <v>0</v>
      </c>
      <c r="AE17" s="14">
        <v>0</v>
      </c>
      <c r="AF17" s="14">
        <v>0</v>
      </c>
      <c r="AG17" s="16">
        <v>65960</v>
      </c>
      <c r="AH17" s="16">
        <v>65960</v>
      </c>
    </row>
    <row r="18" spans="1:34" hidden="1">
      <c r="A18" t="s">
        <v>54</v>
      </c>
      <c r="B18" t="s">
        <v>55</v>
      </c>
      <c r="C18" t="s">
        <v>56</v>
      </c>
      <c r="D18" t="s">
        <v>408</v>
      </c>
      <c r="E18" t="s">
        <v>409</v>
      </c>
      <c r="F18" t="s">
        <v>410</v>
      </c>
      <c r="G18" t="s">
        <v>261</v>
      </c>
      <c r="H18" t="s">
        <v>112</v>
      </c>
      <c r="I18" t="s">
        <v>411</v>
      </c>
      <c r="J18" t="s">
        <v>412</v>
      </c>
      <c r="K18" t="s">
        <v>65</v>
      </c>
      <c r="L18" t="s">
        <v>413</v>
      </c>
      <c r="M18" s="13">
        <v>45933.607395833344</v>
      </c>
      <c r="N18" s="13">
        <v>45937.387499999997</v>
      </c>
      <c r="O18" t="s">
        <v>265</v>
      </c>
      <c r="P18" t="s">
        <v>292</v>
      </c>
      <c r="Q18" t="s">
        <v>305</v>
      </c>
      <c r="R18" t="s">
        <v>306</v>
      </c>
      <c r="S18" t="s">
        <v>269</v>
      </c>
      <c r="T18" t="s">
        <v>269</v>
      </c>
      <c r="U18" t="s">
        <v>295</v>
      </c>
      <c r="V18" t="s">
        <v>414</v>
      </c>
      <c r="W18" t="s">
        <v>71</v>
      </c>
      <c r="X18" t="s">
        <v>415</v>
      </c>
      <c r="Y18" t="s">
        <v>72</v>
      </c>
      <c r="Z18" t="s">
        <v>73</v>
      </c>
      <c r="AA18" t="s">
        <v>416</v>
      </c>
      <c r="AB18" s="14">
        <v>1</v>
      </c>
      <c r="AC18" s="14">
        <v>0</v>
      </c>
      <c r="AD18" s="14">
        <v>0</v>
      </c>
      <c r="AE18" s="14">
        <v>0</v>
      </c>
      <c r="AF18" s="14">
        <v>0</v>
      </c>
      <c r="AG18" s="16">
        <v>479590</v>
      </c>
      <c r="AH18" s="16">
        <v>479590</v>
      </c>
    </row>
    <row r="19" spans="1:34" hidden="1">
      <c r="A19" t="s">
        <v>417</v>
      </c>
      <c r="B19" t="s">
        <v>134</v>
      </c>
      <c r="C19" t="s">
        <v>135</v>
      </c>
      <c r="D19" t="s">
        <v>418</v>
      </c>
      <c r="E19" t="s">
        <v>419</v>
      </c>
      <c r="F19" t="s">
        <v>420</v>
      </c>
      <c r="G19" t="s">
        <v>261</v>
      </c>
      <c r="H19" t="s">
        <v>421</v>
      </c>
      <c r="I19" t="s">
        <v>422</v>
      </c>
      <c r="J19" t="s">
        <v>423</v>
      </c>
      <c r="K19" t="s">
        <v>65</v>
      </c>
      <c r="L19" t="s">
        <v>424</v>
      </c>
      <c r="M19" s="13">
        <v>45933.612384259257</v>
      </c>
      <c r="N19" s="13">
        <v>45936.40902777778</v>
      </c>
      <c r="O19" t="s">
        <v>265</v>
      </c>
      <c r="P19" t="s">
        <v>292</v>
      </c>
      <c r="Q19" t="s">
        <v>332</v>
      </c>
      <c r="R19" t="s">
        <v>367</v>
      </c>
      <c r="S19" t="s">
        <v>269</v>
      </c>
      <c r="T19" t="s">
        <v>269</v>
      </c>
      <c r="V19" t="s">
        <v>425</v>
      </c>
      <c r="W19" t="s">
        <v>308</v>
      </c>
      <c r="Y19" t="s">
        <v>72</v>
      </c>
      <c r="Z19" t="s">
        <v>73</v>
      </c>
      <c r="AA19" t="s">
        <v>426</v>
      </c>
      <c r="AB19" s="14">
        <v>0</v>
      </c>
      <c r="AC19" s="14">
        <v>0</v>
      </c>
      <c r="AD19" s="14">
        <v>0</v>
      </c>
      <c r="AE19" s="14">
        <v>0</v>
      </c>
      <c r="AF19" s="14">
        <v>0</v>
      </c>
      <c r="AG19" s="16">
        <v>37905</v>
      </c>
      <c r="AH19" s="16">
        <v>37905</v>
      </c>
    </row>
    <row r="20" spans="1:34" hidden="1">
      <c r="A20" t="s">
        <v>175</v>
      </c>
      <c r="B20" t="s">
        <v>176</v>
      </c>
      <c r="C20" t="s">
        <v>177</v>
      </c>
      <c r="D20" t="s">
        <v>427</v>
      </c>
      <c r="E20" t="s">
        <v>428</v>
      </c>
      <c r="F20" t="s">
        <v>429</v>
      </c>
      <c r="G20" t="s">
        <v>261</v>
      </c>
      <c r="H20" t="s">
        <v>181</v>
      </c>
      <c r="I20" t="s">
        <v>430</v>
      </c>
      <c r="J20" t="s">
        <v>431</v>
      </c>
      <c r="K20" t="s">
        <v>65</v>
      </c>
      <c r="L20" t="s">
        <v>432</v>
      </c>
      <c r="M20" s="13">
        <v>45933.640613425923</v>
      </c>
      <c r="N20" s="13">
        <v>45936.583333333343</v>
      </c>
      <c r="O20" t="s">
        <v>265</v>
      </c>
      <c r="P20" t="s">
        <v>266</v>
      </c>
      <c r="Q20" t="s">
        <v>267</v>
      </c>
      <c r="R20" t="s">
        <v>268</v>
      </c>
      <c r="S20" t="s">
        <v>67</v>
      </c>
      <c r="T20" t="s">
        <v>143</v>
      </c>
      <c r="U20" t="s">
        <v>295</v>
      </c>
      <c r="V20" t="s">
        <v>433</v>
      </c>
      <c r="W20" t="s">
        <v>71</v>
      </c>
      <c r="X20" t="s">
        <v>434</v>
      </c>
      <c r="Y20" t="s">
        <v>72</v>
      </c>
      <c r="Z20" t="s">
        <v>73</v>
      </c>
      <c r="AA20" t="s">
        <v>186</v>
      </c>
      <c r="AB20" s="14">
        <v>1</v>
      </c>
      <c r="AC20" s="14">
        <v>0</v>
      </c>
      <c r="AD20" s="14">
        <v>0</v>
      </c>
      <c r="AE20" s="14">
        <v>0</v>
      </c>
      <c r="AF20" s="14">
        <v>0</v>
      </c>
      <c r="AG20" s="16">
        <v>479590</v>
      </c>
      <c r="AH20" s="16">
        <v>479590</v>
      </c>
    </row>
    <row r="21" spans="1:34" hidden="1">
      <c r="A21" t="s">
        <v>75</v>
      </c>
      <c r="B21" t="s">
        <v>55</v>
      </c>
      <c r="C21" t="s">
        <v>56</v>
      </c>
      <c r="D21" t="s">
        <v>435</v>
      </c>
      <c r="E21" t="s">
        <v>436</v>
      </c>
      <c r="F21" t="s">
        <v>437</v>
      </c>
      <c r="G21" t="s">
        <v>261</v>
      </c>
      <c r="H21" t="s">
        <v>79</v>
      </c>
      <c r="I21" t="s">
        <v>438</v>
      </c>
      <c r="J21" t="s">
        <v>439</v>
      </c>
      <c r="K21" t="s">
        <v>65</v>
      </c>
      <c r="L21" t="s">
        <v>440</v>
      </c>
      <c r="M21" s="13">
        <v>45933.727916666663</v>
      </c>
      <c r="N21" s="13">
        <v>45934.510416666657</v>
      </c>
      <c r="O21" t="s">
        <v>265</v>
      </c>
      <c r="P21" t="s">
        <v>292</v>
      </c>
      <c r="Q21" t="s">
        <v>381</v>
      </c>
      <c r="R21" t="s">
        <v>441</v>
      </c>
      <c r="S21" t="s">
        <v>67</v>
      </c>
      <c r="T21" t="s">
        <v>143</v>
      </c>
      <c r="U21" t="s">
        <v>295</v>
      </c>
      <c r="V21" t="s">
        <v>442</v>
      </c>
      <c r="W21" t="s">
        <v>71</v>
      </c>
      <c r="X21" t="s">
        <v>443</v>
      </c>
      <c r="Y21" t="s">
        <v>83</v>
      </c>
      <c r="Z21" t="s">
        <v>73</v>
      </c>
      <c r="AA21" t="s">
        <v>345</v>
      </c>
      <c r="AB21" s="14">
        <v>1</v>
      </c>
      <c r="AC21" s="14">
        <v>0</v>
      </c>
      <c r="AD21" s="14">
        <v>0</v>
      </c>
      <c r="AE21" s="14">
        <v>0</v>
      </c>
      <c r="AF21" s="14">
        <v>0</v>
      </c>
      <c r="AG21" s="16">
        <v>65960</v>
      </c>
      <c r="AH21" s="16">
        <v>65960</v>
      </c>
    </row>
    <row r="22" spans="1:34" hidden="1">
      <c r="A22" t="s">
        <v>444</v>
      </c>
      <c r="B22" t="s">
        <v>176</v>
      </c>
      <c r="C22" t="s">
        <v>177</v>
      </c>
      <c r="D22" t="s">
        <v>445</v>
      </c>
      <c r="E22" t="s">
        <v>446</v>
      </c>
      <c r="F22" t="s">
        <v>447</v>
      </c>
      <c r="G22" t="s">
        <v>261</v>
      </c>
      <c r="H22" t="s">
        <v>448</v>
      </c>
      <c r="I22" t="s">
        <v>449</v>
      </c>
      <c r="J22" t="s">
        <v>450</v>
      </c>
      <c r="K22" t="s">
        <v>65</v>
      </c>
      <c r="L22" t="s">
        <v>451</v>
      </c>
      <c r="M22" s="13">
        <v>45934.333333333343</v>
      </c>
      <c r="N22" s="13">
        <v>45936.455555555563</v>
      </c>
      <c r="O22" t="s">
        <v>265</v>
      </c>
      <c r="P22" t="s">
        <v>292</v>
      </c>
      <c r="Q22" t="s">
        <v>332</v>
      </c>
      <c r="R22" t="s">
        <v>367</v>
      </c>
      <c r="S22" t="s">
        <v>67</v>
      </c>
      <c r="T22" t="s">
        <v>68</v>
      </c>
      <c r="V22" t="s">
        <v>452</v>
      </c>
      <c r="W22" t="s">
        <v>308</v>
      </c>
      <c r="Y22" t="s">
        <v>107</v>
      </c>
      <c r="Z22" t="s">
        <v>73</v>
      </c>
      <c r="AA22" t="s">
        <v>453</v>
      </c>
      <c r="AB22" s="14">
        <v>0</v>
      </c>
      <c r="AC22" s="14">
        <v>0</v>
      </c>
      <c r="AD22" s="14">
        <v>0</v>
      </c>
      <c r="AE22" s="14">
        <v>0</v>
      </c>
      <c r="AF22" s="14">
        <v>0</v>
      </c>
      <c r="AG22" s="16">
        <v>37905</v>
      </c>
      <c r="AH22" s="16">
        <v>37905</v>
      </c>
    </row>
    <row r="23" spans="1:34" hidden="1">
      <c r="A23" t="s">
        <v>85</v>
      </c>
      <c r="B23" t="s">
        <v>86</v>
      </c>
      <c r="C23" t="s">
        <v>87</v>
      </c>
      <c r="D23" t="s">
        <v>454</v>
      </c>
      <c r="E23" t="s">
        <v>455</v>
      </c>
      <c r="F23" t="s">
        <v>456</v>
      </c>
      <c r="G23" t="s">
        <v>261</v>
      </c>
      <c r="H23" t="s">
        <v>91</v>
      </c>
      <c r="I23" t="s">
        <v>457</v>
      </c>
      <c r="J23" t="s">
        <v>458</v>
      </c>
      <c r="K23" t="s">
        <v>65</v>
      </c>
      <c r="L23" t="s">
        <v>459</v>
      </c>
      <c r="M23" s="13">
        <v>45935.44803240741</v>
      </c>
      <c r="N23" s="13">
        <v>45936.627083333333</v>
      </c>
      <c r="O23" t="s">
        <v>265</v>
      </c>
      <c r="P23" t="s">
        <v>292</v>
      </c>
      <c r="Q23" t="s">
        <v>332</v>
      </c>
      <c r="R23" t="s">
        <v>333</v>
      </c>
      <c r="S23" t="s">
        <v>269</v>
      </c>
      <c r="T23" t="s">
        <v>269</v>
      </c>
      <c r="V23" t="s">
        <v>460</v>
      </c>
      <c r="W23" t="s">
        <v>308</v>
      </c>
      <c r="Y23" t="s">
        <v>145</v>
      </c>
      <c r="Z23" t="s">
        <v>73</v>
      </c>
      <c r="AA23" t="s">
        <v>461</v>
      </c>
      <c r="AB23" s="14">
        <v>0</v>
      </c>
      <c r="AC23" s="14">
        <v>0</v>
      </c>
      <c r="AD23" s="14">
        <v>0</v>
      </c>
      <c r="AE23" s="14">
        <v>0</v>
      </c>
      <c r="AF23" s="14">
        <v>0</v>
      </c>
      <c r="AG23" s="16">
        <v>37905</v>
      </c>
      <c r="AH23" s="16">
        <v>37905</v>
      </c>
    </row>
    <row r="24" spans="1:34" hidden="1">
      <c r="A24" t="s">
        <v>391</v>
      </c>
      <c r="B24" t="s">
        <v>176</v>
      </c>
      <c r="C24" t="s">
        <v>177</v>
      </c>
      <c r="D24" t="s">
        <v>392</v>
      </c>
      <c r="E24" t="s">
        <v>462</v>
      </c>
      <c r="F24" t="s">
        <v>463</v>
      </c>
      <c r="G24" t="s">
        <v>261</v>
      </c>
      <c r="H24" t="s">
        <v>91</v>
      </c>
      <c r="I24" t="s">
        <v>395</v>
      </c>
      <c r="J24" t="s">
        <v>464</v>
      </c>
      <c r="K24" t="s">
        <v>65</v>
      </c>
      <c r="L24" t="s">
        <v>465</v>
      </c>
      <c r="M24" s="13">
        <v>45936.429537037038</v>
      </c>
      <c r="N24" s="13">
        <v>45937.503472222219</v>
      </c>
      <c r="O24" t="s">
        <v>265</v>
      </c>
      <c r="P24" t="s">
        <v>292</v>
      </c>
      <c r="Q24" t="s">
        <v>381</v>
      </c>
      <c r="R24" t="s">
        <v>382</v>
      </c>
      <c r="S24" t="s">
        <v>323</v>
      </c>
      <c r="T24" t="s">
        <v>323</v>
      </c>
      <c r="U24" t="s">
        <v>295</v>
      </c>
      <c r="V24" t="s">
        <v>466</v>
      </c>
      <c r="W24" t="s">
        <v>71</v>
      </c>
      <c r="X24" t="s">
        <v>467</v>
      </c>
      <c r="Y24" t="s">
        <v>107</v>
      </c>
      <c r="Z24" t="s">
        <v>73</v>
      </c>
      <c r="AA24" t="s">
        <v>400</v>
      </c>
      <c r="AB24" s="14">
        <v>1</v>
      </c>
      <c r="AC24" s="14">
        <v>0</v>
      </c>
      <c r="AD24" s="14">
        <v>0</v>
      </c>
      <c r="AE24" s="14">
        <v>0</v>
      </c>
      <c r="AF24" s="14">
        <v>0</v>
      </c>
      <c r="AG24" s="16">
        <v>163814</v>
      </c>
      <c r="AH24" s="16">
        <v>163814</v>
      </c>
    </row>
    <row r="25" spans="1:34" hidden="1">
      <c r="A25" t="s">
        <v>310</v>
      </c>
      <c r="B25" t="s">
        <v>134</v>
      </c>
      <c r="C25" t="s">
        <v>135</v>
      </c>
      <c r="D25" t="s">
        <v>311</v>
      </c>
      <c r="E25" t="s">
        <v>468</v>
      </c>
      <c r="F25" t="s">
        <v>469</v>
      </c>
      <c r="G25" t="s">
        <v>261</v>
      </c>
      <c r="H25" t="s">
        <v>314</v>
      </c>
      <c r="I25" t="s">
        <v>310</v>
      </c>
      <c r="J25" t="s">
        <v>470</v>
      </c>
      <c r="K25" t="s">
        <v>65</v>
      </c>
      <c r="L25" t="s">
        <v>471</v>
      </c>
      <c r="M25" s="13">
        <v>45936.606145833342</v>
      </c>
      <c r="N25" s="13">
        <v>45936.737500000003</v>
      </c>
      <c r="O25" t="s">
        <v>265</v>
      </c>
      <c r="P25" t="s">
        <v>292</v>
      </c>
      <c r="Q25" t="s">
        <v>332</v>
      </c>
      <c r="R25" t="s">
        <v>367</v>
      </c>
      <c r="S25" t="s">
        <v>67</v>
      </c>
      <c r="T25" t="s">
        <v>68</v>
      </c>
      <c r="V25" t="s">
        <v>472</v>
      </c>
      <c r="W25" t="s">
        <v>308</v>
      </c>
      <c r="Y25" t="s">
        <v>83</v>
      </c>
      <c r="Z25" t="s">
        <v>73</v>
      </c>
      <c r="AA25" t="s">
        <v>318</v>
      </c>
      <c r="AB25" s="14">
        <v>0</v>
      </c>
      <c r="AC25" s="14">
        <v>0</v>
      </c>
      <c r="AD25" s="14">
        <v>0</v>
      </c>
      <c r="AE25" s="14">
        <v>0</v>
      </c>
      <c r="AF25" s="14">
        <v>0</v>
      </c>
      <c r="AG25" s="16">
        <v>37905</v>
      </c>
      <c r="AH25" s="16">
        <v>37905</v>
      </c>
    </row>
    <row r="26" spans="1:34" hidden="1">
      <c r="A26" t="s">
        <v>117</v>
      </c>
      <c r="B26" t="s">
        <v>118</v>
      </c>
      <c r="C26" t="s">
        <v>119</v>
      </c>
      <c r="D26" t="s">
        <v>120</v>
      </c>
      <c r="E26" t="s">
        <v>473</v>
      </c>
      <c r="F26" t="s">
        <v>474</v>
      </c>
      <c r="G26" t="s">
        <v>261</v>
      </c>
      <c r="H26" t="s">
        <v>118</v>
      </c>
      <c r="I26" t="s">
        <v>117</v>
      </c>
      <c r="J26" t="s">
        <v>475</v>
      </c>
      <c r="K26" t="s">
        <v>65</v>
      </c>
      <c r="L26" t="s">
        <v>476</v>
      </c>
      <c r="M26" s="13">
        <v>45936.707731481481</v>
      </c>
      <c r="N26" s="13">
        <v>45937.703472222223</v>
      </c>
      <c r="O26" t="s">
        <v>265</v>
      </c>
      <c r="P26" t="s">
        <v>292</v>
      </c>
      <c r="Q26" t="s">
        <v>305</v>
      </c>
      <c r="R26" t="s">
        <v>306</v>
      </c>
      <c r="S26" t="s">
        <v>269</v>
      </c>
      <c r="T26" t="s">
        <v>269</v>
      </c>
      <c r="U26" t="s">
        <v>352</v>
      </c>
      <c r="V26" t="s">
        <v>477</v>
      </c>
      <c r="W26" t="s">
        <v>71</v>
      </c>
      <c r="X26" t="s">
        <v>478</v>
      </c>
      <c r="Y26" t="s">
        <v>83</v>
      </c>
      <c r="Z26" t="s">
        <v>73</v>
      </c>
      <c r="AA26" t="s">
        <v>479</v>
      </c>
      <c r="AB26" s="14">
        <v>1</v>
      </c>
      <c r="AC26" s="14">
        <v>0</v>
      </c>
      <c r="AD26" s="14">
        <v>0</v>
      </c>
      <c r="AE26" s="14">
        <v>0</v>
      </c>
      <c r="AF26" s="14">
        <v>0</v>
      </c>
      <c r="AG26" s="16">
        <v>65960</v>
      </c>
      <c r="AH26" s="16">
        <v>65960</v>
      </c>
    </row>
    <row r="27" spans="1:34" hidden="1">
      <c r="A27" t="s">
        <v>133</v>
      </c>
      <c r="B27" t="s">
        <v>134</v>
      </c>
      <c r="C27" t="s">
        <v>135</v>
      </c>
      <c r="D27" t="s">
        <v>480</v>
      </c>
      <c r="E27" t="s">
        <v>481</v>
      </c>
      <c r="F27" t="s">
        <v>482</v>
      </c>
      <c r="G27" t="s">
        <v>261</v>
      </c>
      <c r="H27" t="s">
        <v>483</v>
      </c>
      <c r="I27" t="s">
        <v>484</v>
      </c>
      <c r="J27" t="s">
        <v>485</v>
      </c>
      <c r="K27" t="s">
        <v>65</v>
      </c>
      <c r="L27" t="s">
        <v>486</v>
      </c>
      <c r="M27" s="13">
        <v>45937.333333333343</v>
      </c>
      <c r="N27" s="13">
        <v>45938.626388888893</v>
      </c>
      <c r="O27" t="s">
        <v>265</v>
      </c>
      <c r="P27" t="s">
        <v>292</v>
      </c>
      <c r="Q27" t="s">
        <v>332</v>
      </c>
      <c r="R27" t="s">
        <v>367</v>
      </c>
      <c r="S27" t="s">
        <v>350</v>
      </c>
      <c r="T27" t="s">
        <v>487</v>
      </c>
      <c r="U27" t="s">
        <v>295</v>
      </c>
      <c r="V27" t="s">
        <v>488</v>
      </c>
      <c r="W27" t="s">
        <v>71</v>
      </c>
      <c r="X27" t="s">
        <v>489</v>
      </c>
      <c r="Y27" t="s">
        <v>72</v>
      </c>
      <c r="Z27" t="s">
        <v>73</v>
      </c>
      <c r="AA27" t="s">
        <v>490</v>
      </c>
      <c r="AB27" s="14">
        <v>1</v>
      </c>
      <c r="AC27" s="14">
        <v>0</v>
      </c>
      <c r="AD27" s="14">
        <v>0</v>
      </c>
      <c r="AE27" s="14">
        <v>0</v>
      </c>
      <c r="AF27" s="14">
        <v>0</v>
      </c>
      <c r="AG27" s="16">
        <v>479590</v>
      </c>
      <c r="AH27" s="16">
        <v>479590</v>
      </c>
    </row>
    <row r="28" spans="1:34" hidden="1">
      <c r="A28" t="s">
        <v>54</v>
      </c>
      <c r="B28" t="s">
        <v>55</v>
      </c>
      <c r="C28" t="s">
        <v>56</v>
      </c>
      <c r="D28" t="s">
        <v>147</v>
      </c>
      <c r="E28" t="s">
        <v>491</v>
      </c>
      <c r="F28" t="s">
        <v>492</v>
      </c>
      <c r="G28" t="s">
        <v>261</v>
      </c>
      <c r="H28" t="s">
        <v>112</v>
      </c>
      <c r="I28" t="s">
        <v>54</v>
      </c>
      <c r="J28" t="s">
        <v>493</v>
      </c>
      <c r="K28" t="s">
        <v>65</v>
      </c>
      <c r="L28" t="s">
        <v>494</v>
      </c>
      <c r="M28" s="13">
        <v>45937.425219907411</v>
      </c>
      <c r="N28" s="13">
        <v>45937.65347222222</v>
      </c>
      <c r="O28" t="s">
        <v>265</v>
      </c>
      <c r="P28" t="s">
        <v>292</v>
      </c>
      <c r="Q28" t="s">
        <v>332</v>
      </c>
      <c r="R28" t="s">
        <v>333</v>
      </c>
      <c r="S28" t="s">
        <v>269</v>
      </c>
      <c r="T28" t="s">
        <v>269</v>
      </c>
      <c r="U28" t="s">
        <v>295</v>
      </c>
      <c r="V28" t="s">
        <v>495</v>
      </c>
      <c r="W28" t="s">
        <v>71</v>
      </c>
      <c r="X28" t="s">
        <v>496</v>
      </c>
      <c r="Y28" t="s">
        <v>83</v>
      </c>
      <c r="Z28" t="s">
        <v>73</v>
      </c>
      <c r="AA28" t="s">
        <v>154</v>
      </c>
      <c r="AB28" s="14">
        <v>1</v>
      </c>
      <c r="AC28" s="14">
        <v>0</v>
      </c>
      <c r="AD28" s="14">
        <v>0</v>
      </c>
      <c r="AE28" s="14">
        <v>0</v>
      </c>
      <c r="AF28" s="14">
        <v>0</v>
      </c>
      <c r="AG28" s="16">
        <v>65960</v>
      </c>
      <c r="AH28" s="16">
        <v>65960</v>
      </c>
    </row>
    <row r="29" spans="1:34" hidden="1">
      <c r="A29" t="s">
        <v>85</v>
      </c>
      <c r="B29" t="s">
        <v>86</v>
      </c>
      <c r="C29" t="s">
        <v>87</v>
      </c>
      <c r="D29" t="s">
        <v>497</v>
      </c>
      <c r="E29" t="s">
        <v>498</v>
      </c>
      <c r="F29" t="s">
        <v>499</v>
      </c>
      <c r="G29" t="s">
        <v>261</v>
      </c>
      <c r="H29" t="s">
        <v>91</v>
      </c>
      <c r="I29" t="s">
        <v>500</v>
      </c>
      <c r="J29" t="s">
        <v>501</v>
      </c>
      <c r="K29" t="s">
        <v>65</v>
      </c>
      <c r="L29" t="s">
        <v>502</v>
      </c>
      <c r="M29" s="13">
        <v>45937.43246527778</v>
      </c>
      <c r="N29" s="13">
        <v>45939.604861111111</v>
      </c>
      <c r="O29" t="s">
        <v>265</v>
      </c>
      <c r="P29" t="s">
        <v>292</v>
      </c>
      <c r="Q29" t="s">
        <v>332</v>
      </c>
      <c r="R29" t="s">
        <v>367</v>
      </c>
      <c r="S29" t="s">
        <v>269</v>
      </c>
      <c r="T29" t="s">
        <v>269</v>
      </c>
      <c r="U29" t="s">
        <v>295</v>
      </c>
      <c r="V29" t="s">
        <v>503</v>
      </c>
      <c r="W29" t="s">
        <v>71</v>
      </c>
      <c r="X29" t="s">
        <v>504</v>
      </c>
      <c r="Y29" t="s">
        <v>145</v>
      </c>
      <c r="Z29" t="s">
        <v>73</v>
      </c>
      <c r="AA29" t="s">
        <v>505</v>
      </c>
      <c r="AB29" s="14">
        <v>1</v>
      </c>
      <c r="AC29" s="14">
        <v>0</v>
      </c>
      <c r="AD29" s="14">
        <v>0</v>
      </c>
      <c r="AE29" s="14">
        <v>0</v>
      </c>
      <c r="AF29" s="14">
        <v>0</v>
      </c>
      <c r="AG29" s="16">
        <v>275728</v>
      </c>
      <c r="AH29" s="16">
        <v>275728</v>
      </c>
    </row>
    <row r="30" spans="1:34" hidden="1">
      <c r="A30" t="s">
        <v>391</v>
      </c>
      <c r="B30" t="s">
        <v>176</v>
      </c>
      <c r="C30" t="s">
        <v>177</v>
      </c>
      <c r="D30" t="s">
        <v>506</v>
      </c>
      <c r="E30" t="s">
        <v>507</v>
      </c>
      <c r="F30" t="s">
        <v>508</v>
      </c>
      <c r="G30" t="s">
        <v>261</v>
      </c>
      <c r="H30" t="s">
        <v>509</v>
      </c>
      <c r="I30" t="s">
        <v>391</v>
      </c>
      <c r="J30" t="s">
        <v>510</v>
      </c>
      <c r="K30" t="s">
        <v>65</v>
      </c>
      <c r="L30" t="s">
        <v>511</v>
      </c>
      <c r="M30" s="13">
        <v>45937.435219907413</v>
      </c>
      <c r="N30" s="13">
        <v>45937.655555555553</v>
      </c>
      <c r="O30" t="s">
        <v>265</v>
      </c>
      <c r="P30" t="s">
        <v>292</v>
      </c>
      <c r="Q30" t="s">
        <v>332</v>
      </c>
      <c r="R30" t="s">
        <v>333</v>
      </c>
      <c r="S30" t="s">
        <v>67</v>
      </c>
      <c r="T30" t="s">
        <v>143</v>
      </c>
      <c r="U30" t="s">
        <v>295</v>
      </c>
      <c r="V30" t="s">
        <v>512</v>
      </c>
      <c r="W30" t="s">
        <v>71</v>
      </c>
      <c r="X30" t="s">
        <v>513</v>
      </c>
      <c r="Y30" t="s">
        <v>83</v>
      </c>
      <c r="Z30" t="s">
        <v>73</v>
      </c>
      <c r="AA30" t="s">
        <v>514</v>
      </c>
      <c r="AB30" s="14">
        <v>1</v>
      </c>
      <c r="AC30" s="14">
        <v>0</v>
      </c>
      <c r="AD30" s="14">
        <v>0</v>
      </c>
      <c r="AE30" s="14">
        <v>0</v>
      </c>
      <c r="AF30" s="14">
        <v>0</v>
      </c>
      <c r="AG30" s="16">
        <v>65960</v>
      </c>
      <c r="AH30" s="16">
        <v>65960</v>
      </c>
    </row>
    <row r="31" spans="1:34" hidden="1">
      <c r="A31" t="s">
        <v>155</v>
      </c>
      <c r="B31" t="s">
        <v>156</v>
      </c>
      <c r="C31" t="s">
        <v>157</v>
      </c>
      <c r="D31" t="s">
        <v>515</v>
      </c>
      <c r="E31" t="s">
        <v>516</v>
      </c>
      <c r="F31" t="s">
        <v>517</v>
      </c>
      <c r="G31" t="s">
        <v>261</v>
      </c>
      <c r="H31" t="s">
        <v>518</v>
      </c>
      <c r="I31" t="s">
        <v>519</v>
      </c>
      <c r="J31" t="s">
        <v>520</v>
      </c>
      <c r="K31" t="s">
        <v>65</v>
      </c>
      <c r="L31" t="s">
        <v>521</v>
      </c>
      <c r="M31" s="13">
        <v>45937.512777777767</v>
      </c>
      <c r="N31" s="13">
        <v>45939.618055555547</v>
      </c>
      <c r="O31" t="s">
        <v>265</v>
      </c>
      <c r="P31" t="s">
        <v>292</v>
      </c>
      <c r="Q31" t="s">
        <v>332</v>
      </c>
      <c r="R31" t="s">
        <v>367</v>
      </c>
      <c r="S31" t="s">
        <v>67</v>
      </c>
      <c r="T31" t="s">
        <v>68</v>
      </c>
      <c r="V31" t="s">
        <v>522</v>
      </c>
      <c r="W31" t="s">
        <v>308</v>
      </c>
      <c r="Y31" t="s">
        <v>145</v>
      </c>
      <c r="Z31" t="s">
        <v>73</v>
      </c>
      <c r="AA31" t="s">
        <v>523</v>
      </c>
      <c r="AB31" s="14">
        <v>0</v>
      </c>
      <c r="AC31" s="14">
        <v>0</v>
      </c>
      <c r="AD31" s="14">
        <v>0</v>
      </c>
      <c r="AE31" s="14">
        <v>0</v>
      </c>
      <c r="AF31" s="14">
        <v>0</v>
      </c>
      <c r="AG31" s="16">
        <v>37905</v>
      </c>
      <c r="AH31" s="16">
        <v>37905</v>
      </c>
    </row>
    <row r="32" spans="1:34" hidden="1">
      <c r="A32" t="s">
        <v>133</v>
      </c>
      <c r="B32" t="s">
        <v>134</v>
      </c>
      <c r="C32" t="s">
        <v>135</v>
      </c>
      <c r="D32" t="s">
        <v>524</v>
      </c>
      <c r="E32" t="s">
        <v>525</v>
      </c>
      <c r="F32" t="s">
        <v>526</v>
      </c>
      <c r="G32" t="s">
        <v>261</v>
      </c>
      <c r="H32" t="s">
        <v>139</v>
      </c>
      <c r="I32" t="s">
        <v>133</v>
      </c>
      <c r="J32" t="s">
        <v>527</v>
      </c>
      <c r="K32" t="s">
        <v>65</v>
      </c>
      <c r="L32" t="s">
        <v>528</v>
      </c>
      <c r="M32" s="13">
        <v>45937.519143518519</v>
      </c>
      <c r="N32" s="13">
        <v>45938.455555555563</v>
      </c>
      <c r="O32" t="s">
        <v>265</v>
      </c>
      <c r="P32" t="s">
        <v>292</v>
      </c>
      <c r="Q32" t="s">
        <v>305</v>
      </c>
      <c r="R32" t="s">
        <v>306</v>
      </c>
      <c r="S32" t="s">
        <v>67</v>
      </c>
      <c r="T32" t="s">
        <v>68</v>
      </c>
      <c r="V32" t="s">
        <v>529</v>
      </c>
      <c r="W32" t="s">
        <v>308</v>
      </c>
      <c r="Y32" t="s">
        <v>83</v>
      </c>
      <c r="Z32" t="s">
        <v>73</v>
      </c>
      <c r="AA32" t="s">
        <v>146</v>
      </c>
      <c r="AB32" s="14">
        <v>0</v>
      </c>
      <c r="AC32" s="14">
        <v>0</v>
      </c>
      <c r="AD32" s="14">
        <v>0</v>
      </c>
      <c r="AE32" s="14">
        <v>0</v>
      </c>
      <c r="AF32" s="14">
        <v>0</v>
      </c>
      <c r="AG32" s="16">
        <v>37905</v>
      </c>
      <c r="AH32" s="16">
        <v>37905</v>
      </c>
    </row>
    <row r="33" spans="1:34" hidden="1">
      <c r="A33" t="s">
        <v>85</v>
      </c>
      <c r="B33" t="s">
        <v>86</v>
      </c>
      <c r="C33" t="s">
        <v>87</v>
      </c>
      <c r="D33" t="s">
        <v>200</v>
      </c>
      <c r="E33" t="s">
        <v>530</v>
      </c>
      <c r="F33" t="s">
        <v>531</v>
      </c>
      <c r="G33" t="s">
        <v>261</v>
      </c>
      <c r="H33" t="s">
        <v>91</v>
      </c>
      <c r="I33" t="s">
        <v>85</v>
      </c>
      <c r="J33" t="s">
        <v>532</v>
      </c>
      <c r="K33" t="s">
        <v>65</v>
      </c>
      <c r="L33" t="s">
        <v>533</v>
      </c>
      <c r="M33" s="13">
        <v>45937.572777777779</v>
      </c>
      <c r="N33" s="13">
        <v>45938.618055555547</v>
      </c>
      <c r="O33" t="s">
        <v>265</v>
      </c>
      <c r="P33" t="s">
        <v>292</v>
      </c>
      <c r="Q33" t="s">
        <v>332</v>
      </c>
      <c r="R33" t="s">
        <v>367</v>
      </c>
      <c r="S33" t="s">
        <v>67</v>
      </c>
      <c r="T33" t="s">
        <v>68</v>
      </c>
      <c r="U33" t="s">
        <v>295</v>
      </c>
      <c r="V33" t="s">
        <v>534</v>
      </c>
      <c r="W33" t="s">
        <v>71</v>
      </c>
      <c r="X33" t="s">
        <v>535</v>
      </c>
      <c r="Y33" t="s">
        <v>83</v>
      </c>
      <c r="Z33" t="s">
        <v>73</v>
      </c>
      <c r="AA33" t="s">
        <v>336</v>
      </c>
      <c r="AB33" s="14">
        <v>1</v>
      </c>
      <c r="AC33" s="14">
        <v>0</v>
      </c>
      <c r="AD33" s="14">
        <v>0</v>
      </c>
      <c r="AE33" s="14">
        <v>0</v>
      </c>
      <c r="AF33" s="14">
        <v>0</v>
      </c>
      <c r="AG33" s="16">
        <v>65960</v>
      </c>
      <c r="AH33" s="16">
        <v>65960</v>
      </c>
    </row>
    <row r="34" spans="1:34" hidden="1">
      <c r="A34" t="s">
        <v>117</v>
      </c>
      <c r="B34" t="s">
        <v>118</v>
      </c>
      <c r="C34" t="s">
        <v>119</v>
      </c>
      <c r="D34" t="s">
        <v>120</v>
      </c>
      <c r="E34" t="s">
        <v>536</v>
      </c>
      <c r="F34" t="s">
        <v>537</v>
      </c>
      <c r="G34" t="s">
        <v>261</v>
      </c>
      <c r="H34" t="s">
        <v>118</v>
      </c>
      <c r="I34" t="s">
        <v>117</v>
      </c>
      <c r="J34" t="s">
        <v>538</v>
      </c>
      <c r="K34" t="s">
        <v>65</v>
      </c>
      <c r="L34" t="s">
        <v>539</v>
      </c>
      <c r="M34" s="13">
        <v>45937.702233796299</v>
      </c>
      <c r="N34" s="13">
        <v>45938.62777777778</v>
      </c>
      <c r="O34" t="s">
        <v>265</v>
      </c>
      <c r="P34" t="s">
        <v>292</v>
      </c>
      <c r="Q34" t="s">
        <v>332</v>
      </c>
      <c r="R34" t="s">
        <v>367</v>
      </c>
      <c r="S34" t="s">
        <v>67</v>
      </c>
      <c r="T34" t="s">
        <v>143</v>
      </c>
      <c r="U34" t="s">
        <v>295</v>
      </c>
      <c r="V34" t="s">
        <v>540</v>
      </c>
      <c r="W34" t="s">
        <v>71</v>
      </c>
      <c r="X34" t="s">
        <v>541</v>
      </c>
      <c r="Y34" t="s">
        <v>83</v>
      </c>
      <c r="Z34" t="s">
        <v>73</v>
      </c>
      <c r="AA34" t="s">
        <v>193</v>
      </c>
      <c r="AB34" s="14">
        <v>1</v>
      </c>
      <c r="AC34" s="14">
        <v>0</v>
      </c>
      <c r="AD34" s="14">
        <v>0</v>
      </c>
      <c r="AE34" s="14">
        <v>0</v>
      </c>
      <c r="AF34" s="14">
        <v>0</v>
      </c>
      <c r="AG34" s="16">
        <v>65960</v>
      </c>
      <c r="AH34" s="16">
        <v>65960</v>
      </c>
    </row>
    <row r="35" spans="1:34" hidden="1">
      <c r="A35" t="s">
        <v>75</v>
      </c>
      <c r="B35" t="s">
        <v>55</v>
      </c>
      <c r="C35" t="s">
        <v>56</v>
      </c>
      <c r="D35" t="s">
        <v>542</v>
      </c>
      <c r="E35" t="s">
        <v>543</v>
      </c>
      <c r="F35" t="s">
        <v>544</v>
      </c>
      <c r="G35" t="s">
        <v>261</v>
      </c>
      <c r="H35" t="s">
        <v>79</v>
      </c>
      <c r="I35" t="s">
        <v>545</v>
      </c>
      <c r="J35" t="s">
        <v>546</v>
      </c>
      <c r="K35" t="s">
        <v>65</v>
      </c>
      <c r="L35" t="s">
        <v>547</v>
      </c>
      <c r="M35" s="13">
        <v>45938.342858796299</v>
      </c>
      <c r="N35" s="13">
        <v>45938.588194444441</v>
      </c>
      <c r="O35" t="s">
        <v>265</v>
      </c>
      <c r="P35" t="s">
        <v>292</v>
      </c>
      <c r="Q35" t="s">
        <v>332</v>
      </c>
      <c r="R35" t="s">
        <v>333</v>
      </c>
      <c r="S35" t="s">
        <v>323</v>
      </c>
      <c r="T35" t="s">
        <v>323</v>
      </c>
      <c r="V35" t="s">
        <v>548</v>
      </c>
      <c r="W35" t="s">
        <v>308</v>
      </c>
      <c r="Y35" t="s">
        <v>107</v>
      </c>
      <c r="Z35" t="s">
        <v>73</v>
      </c>
      <c r="AA35" t="s">
        <v>174</v>
      </c>
      <c r="AB35" s="14">
        <v>0</v>
      </c>
      <c r="AC35" s="14">
        <v>0</v>
      </c>
      <c r="AD35" s="14">
        <v>0</v>
      </c>
      <c r="AE35" s="14">
        <v>0</v>
      </c>
      <c r="AF35" s="14">
        <v>0</v>
      </c>
      <c r="AG35" s="16">
        <v>37905</v>
      </c>
      <c r="AH35" s="16">
        <v>37905</v>
      </c>
    </row>
    <row r="36" spans="1:34" hidden="1">
      <c r="A36" t="s">
        <v>133</v>
      </c>
      <c r="B36" t="s">
        <v>134</v>
      </c>
      <c r="C36" t="s">
        <v>135</v>
      </c>
      <c r="D36" t="s">
        <v>549</v>
      </c>
      <c r="E36" t="s">
        <v>550</v>
      </c>
      <c r="F36" t="s">
        <v>551</v>
      </c>
      <c r="G36" t="s">
        <v>261</v>
      </c>
      <c r="H36" t="s">
        <v>139</v>
      </c>
      <c r="I36" t="s">
        <v>552</v>
      </c>
      <c r="J36" t="s">
        <v>553</v>
      </c>
      <c r="K36" t="s">
        <v>65</v>
      </c>
      <c r="L36" t="s">
        <v>554</v>
      </c>
      <c r="M36" s="13">
        <v>45938.361932870372</v>
      </c>
      <c r="N36" s="13">
        <v>45939.753472222219</v>
      </c>
      <c r="O36" t="s">
        <v>265</v>
      </c>
      <c r="P36" t="s">
        <v>292</v>
      </c>
      <c r="Q36" t="s">
        <v>305</v>
      </c>
      <c r="R36" t="s">
        <v>306</v>
      </c>
      <c r="S36" t="s">
        <v>269</v>
      </c>
      <c r="T36" t="s">
        <v>269</v>
      </c>
      <c r="U36" t="s">
        <v>295</v>
      </c>
      <c r="V36" t="s">
        <v>555</v>
      </c>
      <c r="W36" t="s">
        <v>71</v>
      </c>
      <c r="X36" t="s">
        <v>556</v>
      </c>
      <c r="Y36" t="s">
        <v>145</v>
      </c>
      <c r="Z36" t="s">
        <v>73</v>
      </c>
      <c r="AA36" t="s">
        <v>146</v>
      </c>
      <c r="AB36" s="14">
        <v>1</v>
      </c>
      <c r="AC36" s="14">
        <v>0</v>
      </c>
      <c r="AD36" s="14">
        <v>0</v>
      </c>
      <c r="AE36" s="14">
        <v>0</v>
      </c>
      <c r="AF36" s="14">
        <v>0</v>
      </c>
      <c r="AG36" s="16">
        <v>275728</v>
      </c>
      <c r="AH36" s="16">
        <v>275728</v>
      </c>
    </row>
    <row r="37" spans="1:34" hidden="1">
      <c r="A37" t="s">
        <v>75</v>
      </c>
      <c r="B37" t="s">
        <v>55</v>
      </c>
      <c r="C37" t="s">
        <v>56</v>
      </c>
      <c r="D37" t="s">
        <v>76</v>
      </c>
      <c r="E37" t="s">
        <v>557</v>
      </c>
      <c r="F37" t="s">
        <v>558</v>
      </c>
      <c r="G37" t="s">
        <v>261</v>
      </c>
      <c r="H37" t="s">
        <v>79</v>
      </c>
      <c r="I37" t="s">
        <v>75</v>
      </c>
      <c r="J37" t="s">
        <v>170</v>
      </c>
      <c r="K37" t="s">
        <v>65</v>
      </c>
      <c r="L37" t="s">
        <v>559</v>
      </c>
      <c r="M37" s="13">
        <v>45938.528541666667</v>
      </c>
      <c r="N37" s="13">
        <v>45939.438194444447</v>
      </c>
      <c r="O37" t="s">
        <v>265</v>
      </c>
      <c r="P37" t="s">
        <v>292</v>
      </c>
      <c r="Q37" t="s">
        <v>305</v>
      </c>
      <c r="R37" t="s">
        <v>306</v>
      </c>
      <c r="S37" t="s">
        <v>67</v>
      </c>
      <c r="T37" t="s">
        <v>143</v>
      </c>
      <c r="U37" t="s">
        <v>295</v>
      </c>
      <c r="V37" t="s">
        <v>560</v>
      </c>
      <c r="W37" t="s">
        <v>71</v>
      </c>
      <c r="X37" t="s">
        <v>561</v>
      </c>
      <c r="Y37" t="s">
        <v>83</v>
      </c>
      <c r="Z37" t="s">
        <v>73</v>
      </c>
      <c r="AA37" t="s">
        <v>345</v>
      </c>
      <c r="AB37" s="14">
        <v>1</v>
      </c>
      <c r="AC37" s="14">
        <v>0</v>
      </c>
      <c r="AD37" s="14">
        <v>0</v>
      </c>
      <c r="AE37" s="14">
        <v>0</v>
      </c>
      <c r="AF37" s="14">
        <v>0</v>
      </c>
      <c r="AG37" s="16">
        <v>65960</v>
      </c>
      <c r="AH37" s="16">
        <v>65960</v>
      </c>
    </row>
    <row r="38" spans="1:34" hidden="1">
      <c r="A38" t="s">
        <v>54</v>
      </c>
      <c r="B38" t="s">
        <v>55</v>
      </c>
      <c r="C38" t="s">
        <v>56</v>
      </c>
      <c r="D38" t="s">
        <v>147</v>
      </c>
      <c r="E38" t="s">
        <v>562</v>
      </c>
      <c r="F38" t="s">
        <v>492</v>
      </c>
      <c r="G38" t="s">
        <v>261</v>
      </c>
      <c r="H38" t="s">
        <v>112</v>
      </c>
      <c r="I38" t="s">
        <v>54</v>
      </c>
      <c r="J38" t="s">
        <v>493</v>
      </c>
      <c r="K38" t="s">
        <v>65</v>
      </c>
      <c r="L38" t="s">
        <v>563</v>
      </c>
      <c r="M38" s="13">
        <v>45938.687245370369</v>
      </c>
      <c r="N38" s="13">
        <v>45939.525000000001</v>
      </c>
      <c r="O38" t="s">
        <v>265</v>
      </c>
      <c r="P38" t="s">
        <v>292</v>
      </c>
      <c r="Q38" t="s">
        <v>332</v>
      </c>
      <c r="R38" t="s">
        <v>333</v>
      </c>
      <c r="S38" t="s">
        <v>269</v>
      </c>
      <c r="T38" t="s">
        <v>269</v>
      </c>
      <c r="U38" t="s">
        <v>295</v>
      </c>
      <c r="V38" t="s">
        <v>564</v>
      </c>
      <c r="W38" t="s">
        <v>71</v>
      </c>
      <c r="X38" t="s">
        <v>496</v>
      </c>
      <c r="Y38" t="s">
        <v>83</v>
      </c>
      <c r="Z38" t="s">
        <v>73</v>
      </c>
      <c r="AA38" t="s">
        <v>154</v>
      </c>
      <c r="AB38" s="14">
        <v>1</v>
      </c>
      <c r="AC38" s="14">
        <v>0</v>
      </c>
      <c r="AD38" s="14">
        <v>0</v>
      </c>
      <c r="AE38" s="14">
        <v>0</v>
      </c>
      <c r="AF38" s="14">
        <v>0</v>
      </c>
      <c r="AG38" s="16">
        <v>65960</v>
      </c>
      <c r="AH38" s="16">
        <v>65960</v>
      </c>
    </row>
    <row r="39" spans="1:34" hidden="1">
      <c r="A39" t="s">
        <v>565</v>
      </c>
      <c r="B39" t="s">
        <v>156</v>
      </c>
      <c r="C39" t="s">
        <v>157</v>
      </c>
      <c r="D39" t="s">
        <v>566</v>
      </c>
      <c r="E39" t="s">
        <v>567</v>
      </c>
      <c r="F39" t="s">
        <v>568</v>
      </c>
      <c r="G39" t="s">
        <v>261</v>
      </c>
      <c r="H39" t="s">
        <v>569</v>
      </c>
      <c r="I39" t="s">
        <v>570</v>
      </c>
      <c r="J39" t="s">
        <v>571</v>
      </c>
      <c r="K39" t="s">
        <v>65</v>
      </c>
      <c r="L39" t="s">
        <v>572</v>
      </c>
      <c r="M39" s="13">
        <v>45939.411354166667</v>
      </c>
      <c r="N39" s="13">
        <v>45940.504861111112</v>
      </c>
      <c r="O39" t="s">
        <v>265</v>
      </c>
      <c r="P39" t="s">
        <v>292</v>
      </c>
      <c r="Q39" t="s">
        <v>381</v>
      </c>
      <c r="R39" t="s">
        <v>573</v>
      </c>
      <c r="S39" t="s">
        <v>323</v>
      </c>
      <c r="T39" t="s">
        <v>323</v>
      </c>
      <c r="U39" t="s">
        <v>295</v>
      </c>
      <c r="V39" t="s">
        <v>574</v>
      </c>
      <c r="W39" t="s">
        <v>71</v>
      </c>
      <c r="X39" t="s">
        <v>575</v>
      </c>
      <c r="Y39" t="s">
        <v>107</v>
      </c>
      <c r="Z39" t="s">
        <v>73</v>
      </c>
      <c r="AA39" t="s">
        <v>576</v>
      </c>
      <c r="AB39" s="14">
        <v>1</v>
      </c>
      <c r="AC39" s="14">
        <v>0</v>
      </c>
      <c r="AD39" s="14">
        <v>0</v>
      </c>
      <c r="AE39" s="14">
        <v>0</v>
      </c>
      <c r="AF39" s="14">
        <v>0</v>
      </c>
      <c r="AG39" s="16">
        <v>163814</v>
      </c>
      <c r="AH39" s="16">
        <v>163814</v>
      </c>
    </row>
    <row r="40" spans="1:34" hidden="1">
      <c r="A40" t="s">
        <v>577</v>
      </c>
      <c r="B40" t="s">
        <v>86</v>
      </c>
      <c r="C40" t="s">
        <v>87</v>
      </c>
      <c r="D40" t="s">
        <v>578</v>
      </c>
      <c r="E40" t="s">
        <v>579</v>
      </c>
      <c r="F40" t="s">
        <v>580</v>
      </c>
      <c r="G40" t="s">
        <v>261</v>
      </c>
      <c r="H40" t="s">
        <v>91</v>
      </c>
      <c r="I40" t="s">
        <v>577</v>
      </c>
      <c r="J40" t="s">
        <v>581</v>
      </c>
      <c r="K40" t="s">
        <v>65</v>
      </c>
      <c r="L40" t="s">
        <v>582</v>
      </c>
      <c r="M40" s="13">
        <v>45939.468333333331</v>
      </c>
      <c r="N40" s="13">
        <v>45940.370833333327</v>
      </c>
      <c r="O40" t="s">
        <v>265</v>
      </c>
      <c r="P40" t="s">
        <v>292</v>
      </c>
      <c r="Q40" t="s">
        <v>305</v>
      </c>
      <c r="R40" t="s">
        <v>306</v>
      </c>
      <c r="S40" t="s">
        <v>67</v>
      </c>
      <c r="T40" t="s">
        <v>68</v>
      </c>
      <c r="U40" t="s">
        <v>295</v>
      </c>
      <c r="V40" t="s">
        <v>583</v>
      </c>
      <c r="W40" t="s">
        <v>71</v>
      </c>
      <c r="X40" t="s">
        <v>584</v>
      </c>
      <c r="Y40" t="s">
        <v>83</v>
      </c>
      <c r="Z40" t="s">
        <v>73</v>
      </c>
      <c r="AA40" t="s">
        <v>585</v>
      </c>
      <c r="AB40" s="14">
        <v>1</v>
      </c>
      <c r="AC40" s="14">
        <v>0</v>
      </c>
      <c r="AD40" s="14">
        <v>0</v>
      </c>
      <c r="AE40" s="14">
        <v>0</v>
      </c>
      <c r="AF40" s="14">
        <v>0</v>
      </c>
      <c r="AG40" s="16">
        <v>65960</v>
      </c>
      <c r="AH40" s="16">
        <v>65960</v>
      </c>
    </row>
    <row r="41" spans="1:34" hidden="1">
      <c r="A41" t="s">
        <v>54</v>
      </c>
      <c r="B41" t="s">
        <v>55</v>
      </c>
      <c r="C41" t="s">
        <v>56</v>
      </c>
      <c r="D41" t="s">
        <v>586</v>
      </c>
      <c r="E41" t="s">
        <v>587</v>
      </c>
      <c r="F41" t="s">
        <v>588</v>
      </c>
      <c r="G41" t="s">
        <v>261</v>
      </c>
      <c r="H41" t="s">
        <v>62</v>
      </c>
      <c r="I41" t="s">
        <v>589</v>
      </c>
      <c r="J41" t="s">
        <v>590</v>
      </c>
      <c r="K41" t="s">
        <v>65</v>
      </c>
      <c r="L41" t="s">
        <v>591</v>
      </c>
      <c r="M41" s="13">
        <v>45939.740173611113</v>
      </c>
      <c r="N41" s="13">
        <v>45945.361805555563</v>
      </c>
      <c r="O41" t="s">
        <v>265</v>
      </c>
      <c r="P41" t="s">
        <v>292</v>
      </c>
      <c r="Q41" t="s">
        <v>305</v>
      </c>
      <c r="R41" t="s">
        <v>306</v>
      </c>
      <c r="S41" t="s">
        <v>67</v>
      </c>
      <c r="T41" t="s">
        <v>68</v>
      </c>
      <c r="V41" t="s">
        <v>592</v>
      </c>
      <c r="W41" t="s">
        <v>308</v>
      </c>
      <c r="Y41" t="s">
        <v>72</v>
      </c>
      <c r="Z41" t="s">
        <v>73</v>
      </c>
      <c r="AA41" t="s">
        <v>227</v>
      </c>
      <c r="AB41" s="14">
        <v>0</v>
      </c>
      <c r="AC41" s="14">
        <v>0</v>
      </c>
      <c r="AD41" s="14">
        <v>0</v>
      </c>
      <c r="AE41" s="14">
        <v>0</v>
      </c>
      <c r="AF41" s="14">
        <v>0</v>
      </c>
      <c r="AG41" s="16">
        <v>37905</v>
      </c>
      <c r="AH41" s="16">
        <v>37905</v>
      </c>
    </row>
    <row r="42" spans="1:34" hidden="1">
      <c r="A42" t="s">
        <v>117</v>
      </c>
      <c r="B42" t="s">
        <v>118</v>
      </c>
      <c r="C42" t="s">
        <v>119</v>
      </c>
      <c r="D42" t="s">
        <v>593</v>
      </c>
      <c r="E42" t="s">
        <v>594</v>
      </c>
      <c r="F42" t="s">
        <v>595</v>
      </c>
      <c r="G42" t="s">
        <v>261</v>
      </c>
      <c r="H42" t="s">
        <v>118</v>
      </c>
      <c r="I42" t="s">
        <v>596</v>
      </c>
      <c r="J42" t="s">
        <v>597</v>
      </c>
      <c r="K42" t="s">
        <v>65</v>
      </c>
      <c r="L42" t="s">
        <v>598</v>
      </c>
      <c r="M42" s="13">
        <v>45940.333333333343</v>
      </c>
      <c r="N42" s="13">
        <v>45940.465277777781</v>
      </c>
      <c r="O42" t="s">
        <v>265</v>
      </c>
      <c r="P42" t="s">
        <v>292</v>
      </c>
      <c r="Q42" t="s">
        <v>305</v>
      </c>
      <c r="R42" t="s">
        <v>306</v>
      </c>
      <c r="S42" t="s">
        <v>269</v>
      </c>
      <c r="T42" t="s">
        <v>269</v>
      </c>
      <c r="U42" t="s">
        <v>352</v>
      </c>
      <c r="V42" t="s">
        <v>599</v>
      </c>
      <c r="W42" t="s">
        <v>71</v>
      </c>
      <c r="X42" t="s">
        <v>600</v>
      </c>
      <c r="Y42" t="s">
        <v>107</v>
      </c>
      <c r="Z42" t="s">
        <v>73</v>
      </c>
      <c r="AA42" t="s">
        <v>601</v>
      </c>
      <c r="AB42" s="14">
        <v>1</v>
      </c>
      <c r="AC42" s="14">
        <v>0</v>
      </c>
      <c r="AD42" s="14">
        <v>0</v>
      </c>
      <c r="AE42" s="14">
        <v>0</v>
      </c>
      <c r="AF42" s="14">
        <v>0</v>
      </c>
      <c r="AG42" s="16">
        <v>163814</v>
      </c>
      <c r="AH42" s="16">
        <v>163814</v>
      </c>
    </row>
    <row r="43" spans="1:34" hidden="1">
      <c r="A43" t="s">
        <v>228</v>
      </c>
      <c r="B43" t="s">
        <v>55</v>
      </c>
      <c r="C43" t="s">
        <v>229</v>
      </c>
      <c r="D43" t="s">
        <v>602</v>
      </c>
      <c r="E43" t="s">
        <v>603</v>
      </c>
      <c r="F43" t="s">
        <v>604</v>
      </c>
      <c r="G43" t="s">
        <v>261</v>
      </c>
      <c r="H43" t="s">
        <v>605</v>
      </c>
      <c r="I43" t="s">
        <v>606</v>
      </c>
      <c r="J43" t="s">
        <v>607</v>
      </c>
      <c r="K43" t="s">
        <v>65</v>
      </c>
      <c r="L43" t="s">
        <v>608</v>
      </c>
      <c r="M43" s="13">
        <v>45940.333333333343</v>
      </c>
      <c r="N43" s="13">
        <v>45941.638194444437</v>
      </c>
      <c r="O43" t="s">
        <v>265</v>
      </c>
      <c r="P43" t="s">
        <v>292</v>
      </c>
      <c r="Q43" t="s">
        <v>305</v>
      </c>
      <c r="R43" t="s">
        <v>306</v>
      </c>
      <c r="S43" t="s">
        <v>67</v>
      </c>
      <c r="T43" t="s">
        <v>143</v>
      </c>
      <c r="U43" t="s">
        <v>352</v>
      </c>
      <c r="V43" t="s">
        <v>609</v>
      </c>
      <c r="W43" t="s">
        <v>71</v>
      </c>
      <c r="X43" t="s">
        <v>610</v>
      </c>
      <c r="Y43" t="s">
        <v>107</v>
      </c>
      <c r="Z43" t="s">
        <v>73</v>
      </c>
      <c r="AA43" t="s">
        <v>611</v>
      </c>
      <c r="AB43" s="14">
        <v>1</v>
      </c>
      <c r="AC43" s="14">
        <v>0</v>
      </c>
      <c r="AD43" s="14">
        <v>0</v>
      </c>
      <c r="AE43" s="14">
        <v>0</v>
      </c>
      <c r="AF43" s="14">
        <v>0</v>
      </c>
      <c r="AG43" s="16">
        <v>163814</v>
      </c>
      <c r="AH43" s="16">
        <v>163814</v>
      </c>
    </row>
    <row r="44" spans="1:34" hidden="1">
      <c r="A44" t="s">
        <v>228</v>
      </c>
      <c r="B44" t="s">
        <v>55</v>
      </c>
      <c r="C44" t="s">
        <v>229</v>
      </c>
      <c r="D44" t="s">
        <v>612</v>
      </c>
      <c r="E44" t="s">
        <v>613</v>
      </c>
      <c r="F44" t="s">
        <v>614</v>
      </c>
      <c r="G44" t="s">
        <v>261</v>
      </c>
      <c r="H44" t="s">
        <v>233</v>
      </c>
      <c r="I44" t="s">
        <v>615</v>
      </c>
      <c r="J44" t="s">
        <v>616</v>
      </c>
      <c r="K44" t="s">
        <v>65</v>
      </c>
      <c r="L44" t="s">
        <v>617</v>
      </c>
      <c r="M44" s="13">
        <v>45940.40865740741</v>
      </c>
      <c r="N44" s="13">
        <v>45940.717361111107</v>
      </c>
      <c r="O44" t="s">
        <v>265</v>
      </c>
      <c r="P44" t="s">
        <v>292</v>
      </c>
      <c r="Q44" t="s">
        <v>293</v>
      </c>
      <c r="R44" t="s">
        <v>294</v>
      </c>
      <c r="S44" t="s">
        <v>269</v>
      </c>
      <c r="T44" t="s">
        <v>269</v>
      </c>
      <c r="U44" t="s">
        <v>295</v>
      </c>
      <c r="V44" t="s">
        <v>618</v>
      </c>
      <c r="W44" t="s">
        <v>71</v>
      </c>
      <c r="X44" t="s">
        <v>619</v>
      </c>
      <c r="Y44" t="s">
        <v>83</v>
      </c>
      <c r="Z44" t="s">
        <v>73</v>
      </c>
      <c r="AA44" t="s">
        <v>620</v>
      </c>
      <c r="AB44" s="14">
        <v>1</v>
      </c>
      <c r="AC44" s="14">
        <v>0</v>
      </c>
      <c r="AD44" s="14">
        <v>0</v>
      </c>
      <c r="AE44" s="14">
        <v>0</v>
      </c>
      <c r="AF44" s="14">
        <v>0</v>
      </c>
      <c r="AG44" s="16">
        <v>65960</v>
      </c>
      <c r="AH44" s="16">
        <v>65960</v>
      </c>
    </row>
    <row r="45" spans="1:34" hidden="1">
      <c r="A45" t="s">
        <v>621</v>
      </c>
      <c r="B45" t="s">
        <v>55</v>
      </c>
      <c r="C45" t="s">
        <v>229</v>
      </c>
      <c r="D45" t="s">
        <v>622</v>
      </c>
      <c r="E45" t="s">
        <v>623</v>
      </c>
      <c r="F45" t="s">
        <v>624</v>
      </c>
      <c r="G45" t="s">
        <v>261</v>
      </c>
      <c r="H45" t="s">
        <v>625</v>
      </c>
      <c r="I45" t="s">
        <v>621</v>
      </c>
      <c r="J45" t="s">
        <v>626</v>
      </c>
      <c r="K45" t="s">
        <v>65</v>
      </c>
      <c r="L45" t="s">
        <v>627</v>
      </c>
      <c r="M45" s="13">
        <v>45940.427870370368</v>
      </c>
      <c r="N45" s="13">
        <v>45941.377083333333</v>
      </c>
      <c r="O45" t="s">
        <v>265</v>
      </c>
      <c r="P45" t="s">
        <v>292</v>
      </c>
      <c r="Q45" t="s">
        <v>381</v>
      </c>
      <c r="R45" t="s">
        <v>382</v>
      </c>
      <c r="S45" t="s">
        <v>67</v>
      </c>
      <c r="T45" t="s">
        <v>68</v>
      </c>
      <c r="V45" t="s">
        <v>628</v>
      </c>
      <c r="W45" t="s">
        <v>308</v>
      </c>
      <c r="Y45" t="s">
        <v>83</v>
      </c>
      <c r="Z45" t="s">
        <v>73</v>
      </c>
      <c r="AA45" t="s">
        <v>362</v>
      </c>
      <c r="AB45" s="14">
        <v>0</v>
      </c>
      <c r="AC45" s="14">
        <v>0</v>
      </c>
      <c r="AD45" s="14">
        <v>0</v>
      </c>
      <c r="AE45" s="14">
        <v>0</v>
      </c>
      <c r="AF45" s="14">
        <v>0</v>
      </c>
      <c r="AG45" s="16">
        <v>37905</v>
      </c>
      <c r="AH45" s="16">
        <v>37905</v>
      </c>
    </row>
    <row r="46" spans="1:34" hidden="1">
      <c r="A46" t="s">
        <v>629</v>
      </c>
      <c r="B46" t="s">
        <v>176</v>
      </c>
      <c r="C46" t="s">
        <v>177</v>
      </c>
      <c r="D46" t="s">
        <v>630</v>
      </c>
      <c r="E46" t="s">
        <v>631</v>
      </c>
      <c r="F46" t="s">
        <v>632</v>
      </c>
      <c r="G46" t="s">
        <v>261</v>
      </c>
      <c r="H46" t="s">
        <v>181</v>
      </c>
      <c r="I46" t="s">
        <v>633</v>
      </c>
      <c r="J46" t="s">
        <v>634</v>
      </c>
      <c r="K46" t="s">
        <v>65</v>
      </c>
      <c r="L46" t="s">
        <v>635</v>
      </c>
      <c r="M46" s="13">
        <v>45940.464583333327</v>
      </c>
      <c r="N46" s="13">
        <v>45941.674305555563</v>
      </c>
      <c r="O46" t="s">
        <v>265</v>
      </c>
      <c r="P46" t="s">
        <v>292</v>
      </c>
      <c r="Q46" t="s">
        <v>305</v>
      </c>
      <c r="R46" t="s">
        <v>306</v>
      </c>
      <c r="S46" t="s">
        <v>269</v>
      </c>
      <c r="T46" t="s">
        <v>269</v>
      </c>
      <c r="U46" t="s">
        <v>282</v>
      </c>
      <c r="V46" t="s">
        <v>636</v>
      </c>
      <c r="W46" t="s">
        <v>308</v>
      </c>
      <c r="Y46" t="s">
        <v>107</v>
      </c>
      <c r="Z46" t="s">
        <v>73</v>
      </c>
      <c r="AA46" t="s">
        <v>637</v>
      </c>
      <c r="AB46" s="14">
        <v>0</v>
      </c>
      <c r="AC46" s="14">
        <v>0</v>
      </c>
      <c r="AD46" s="14">
        <v>0</v>
      </c>
      <c r="AE46" s="14">
        <v>0</v>
      </c>
      <c r="AF46" s="14">
        <v>0</v>
      </c>
      <c r="AG46" s="16">
        <v>37905</v>
      </c>
      <c r="AH46" s="16">
        <v>37905</v>
      </c>
    </row>
    <row r="47" spans="1:34" hidden="1">
      <c r="A47" t="s">
        <v>85</v>
      </c>
      <c r="B47" t="s">
        <v>86</v>
      </c>
      <c r="C47" t="s">
        <v>87</v>
      </c>
      <c r="D47" t="s">
        <v>638</v>
      </c>
      <c r="E47" t="s">
        <v>639</v>
      </c>
      <c r="F47" t="s">
        <v>640</v>
      </c>
      <c r="G47" t="s">
        <v>261</v>
      </c>
      <c r="H47" t="s">
        <v>91</v>
      </c>
      <c r="I47" t="s">
        <v>641</v>
      </c>
      <c r="J47" t="s">
        <v>642</v>
      </c>
      <c r="K47" t="s">
        <v>65</v>
      </c>
      <c r="L47" t="s">
        <v>643</v>
      </c>
      <c r="M47" s="13">
        <v>45940.699525462973</v>
      </c>
      <c r="N47" s="13">
        <v>45941.681944444441</v>
      </c>
      <c r="O47" t="s">
        <v>265</v>
      </c>
      <c r="P47" t="s">
        <v>292</v>
      </c>
      <c r="Q47" t="s">
        <v>381</v>
      </c>
      <c r="R47" t="s">
        <v>441</v>
      </c>
      <c r="S47" t="s">
        <v>67</v>
      </c>
      <c r="T47" t="s">
        <v>143</v>
      </c>
      <c r="U47" t="s">
        <v>295</v>
      </c>
      <c r="V47" t="s">
        <v>644</v>
      </c>
      <c r="W47" t="s">
        <v>71</v>
      </c>
      <c r="X47" t="s">
        <v>645</v>
      </c>
      <c r="Y47" t="s">
        <v>83</v>
      </c>
      <c r="Z47" t="s">
        <v>73</v>
      </c>
      <c r="AA47" t="s">
        <v>646</v>
      </c>
      <c r="AB47" s="14">
        <v>1</v>
      </c>
      <c r="AC47" s="14">
        <v>0</v>
      </c>
      <c r="AD47" s="14">
        <v>0</v>
      </c>
      <c r="AE47" s="14">
        <v>0</v>
      </c>
      <c r="AF47" s="14">
        <v>0</v>
      </c>
      <c r="AG47" s="16">
        <v>65960</v>
      </c>
      <c r="AH47" s="16">
        <v>65960</v>
      </c>
    </row>
    <row r="48" spans="1:34" hidden="1">
      <c r="A48" t="s">
        <v>310</v>
      </c>
      <c r="B48" t="s">
        <v>134</v>
      </c>
      <c r="C48" t="s">
        <v>135</v>
      </c>
      <c r="D48" t="s">
        <v>311</v>
      </c>
      <c r="E48" t="s">
        <v>647</v>
      </c>
      <c r="F48" t="s">
        <v>648</v>
      </c>
      <c r="G48" t="s">
        <v>261</v>
      </c>
      <c r="H48" t="s">
        <v>314</v>
      </c>
      <c r="I48" t="s">
        <v>310</v>
      </c>
      <c r="J48" t="s">
        <v>649</v>
      </c>
      <c r="K48" t="s">
        <v>65</v>
      </c>
      <c r="L48" t="s">
        <v>650</v>
      </c>
      <c r="M48" s="13">
        <v>45942.333333333343</v>
      </c>
      <c r="N48" s="13">
        <v>45943.399305555547</v>
      </c>
      <c r="O48" t="s">
        <v>265</v>
      </c>
      <c r="P48" t="s">
        <v>292</v>
      </c>
      <c r="Q48" t="s">
        <v>651</v>
      </c>
      <c r="R48" t="s">
        <v>367</v>
      </c>
      <c r="S48" t="s">
        <v>67</v>
      </c>
      <c r="T48" t="s">
        <v>68</v>
      </c>
      <c r="V48" t="s">
        <v>652</v>
      </c>
      <c r="W48" t="s">
        <v>308</v>
      </c>
      <c r="Y48" t="s">
        <v>83</v>
      </c>
      <c r="Z48" t="s">
        <v>73</v>
      </c>
      <c r="AA48" t="s">
        <v>318</v>
      </c>
      <c r="AB48" s="14">
        <v>0</v>
      </c>
      <c r="AC48" s="14">
        <v>0</v>
      </c>
      <c r="AD48" s="14">
        <v>0</v>
      </c>
      <c r="AE48" s="14">
        <v>0</v>
      </c>
      <c r="AF48" s="14">
        <v>0</v>
      </c>
      <c r="AG48" s="16">
        <v>37905</v>
      </c>
      <c r="AH48" s="16">
        <v>37905</v>
      </c>
    </row>
    <row r="49" spans="1:34" hidden="1">
      <c r="A49" t="s">
        <v>133</v>
      </c>
      <c r="B49" t="s">
        <v>134</v>
      </c>
      <c r="C49" t="s">
        <v>135</v>
      </c>
      <c r="D49" t="s">
        <v>653</v>
      </c>
      <c r="E49" t="s">
        <v>654</v>
      </c>
      <c r="F49" t="s">
        <v>655</v>
      </c>
      <c r="G49" t="s">
        <v>261</v>
      </c>
      <c r="H49" t="s">
        <v>139</v>
      </c>
      <c r="I49" t="s">
        <v>656</v>
      </c>
      <c r="J49" t="s">
        <v>657</v>
      </c>
      <c r="K49" t="s">
        <v>65</v>
      </c>
      <c r="L49" t="s">
        <v>658</v>
      </c>
      <c r="M49" s="13">
        <v>45943.468344907407</v>
      </c>
      <c r="N49" s="13">
        <v>45945.731944444437</v>
      </c>
      <c r="O49" t="s">
        <v>265</v>
      </c>
      <c r="P49" t="s">
        <v>292</v>
      </c>
      <c r="Q49" t="s">
        <v>305</v>
      </c>
      <c r="R49" t="s">
        <v>306</v>
      </c>
      <c r="S49" t="s">
        <v>269</v>
      </c>
      <c r="T49" t="s">
        <v>269</v>
      </c>
      <c r="U49" t="s">
        <v>295</v>
      </c>
      <c r="V49" t="s">
        <v>659</v>
      </c>
      <c r="W49" t="s">
        <v>71</v>
      </c>
      <c r="X49" t="s">
        <v>660</v>
      </c>
      <c r="Y49" t="s">
        <v>145</v>
      </c>
      <c r="Z49" t="s">
        <v>73</v>
      </c>
      <c r="AA49" t="s">
        <v>146</v>
      </c>
      <c r="AB49" s="14">
        <v>1</v>
      </c>
      <c r="AC49" s="14">
        <v>0</v>
      </c>
      <c r="AD49" s="14">
        <v>0</v>
      </c>
      <c r="AE49" s="14">
        <v>0</v>
      </c>
      <c r="AF49" s="14">
        <v>0</v>
      </c>
      <c r="AG49" s="16">
        <v>275728</v>
      </c>
      <c r="AH49" s="16">
        <v>275728</v>
      </c>
    </row>
    <row r="50" spans="1:34" hidden="1">
      <c r="A50" t="s">
        <v>133</v>
      </c>
      <c r="B50" t="s">
        <v>134</v>
      </c>
      <c r="C50" t="s">
        <v>135</v>
      </c>
      <c r="D50" t="s">
        <v>661</v>
      </c>
      <c r="E50" t="s">
        <v>662</v>
      </c>
      <c r="F50" t="s">
        <v>663</v>
      </c>
      <c r="G50" t="s">
        <v>261</v>
      </c>
      <c r="H50" t="s">
        <v>139</v>
      </c>
      <c r="I50" t="s">
        <v>664</v>
      </c>
      <c r="J50" t="s">
        <v>665</v>
      </c>
      <c r="K50" t="s">
        <v>65</v>
      </c>
      <c r="L50" t="s">
        <v>666</v>
      </c>
      <c r="M50" s="13">
        <v>45943.489363425928</v>
      </c>
      <c r="N50" s="13">
        <v>45944.657638888893</v>
      </c>
      <c r="O50" t="s">
        <v>265</v>
      </c>
      <c r="P50" t="s">
        <v>292</v>
      </c>
      <c r="Q50" t="s">
        <v>305</v>
      </c>
      <c r="R50" t="s">
        <v>306</v>
      </c>
      <c r="S50" t="s">
        <v>269</v>
      </c>
      <c r="T50" t="s">
        <v>269</v>
      </c>
      <c r="U50" t="s">
        <v>295</v>
      </c>
      <c r="V50" t="s">
        <v>667</v>
      </c>
      <c r="W50" t="s">
        <v>71</v>
      </c>
      <c r="X50" t="s">
        <v>668</v>
      </c>
      <c r="Y50" t="s">
        <v>145</v>
      </c>
      <c r="Z50" t="s">
        <v>73</v>
      </c>
      <c r="AA50" t="s">
        <v>146</v>
      </c>
      <c r="AB50" s="14">
        <v>1</v>
      </c>
      <c r="AC50" s="14">
        <v>0</v>
      </c>
      <c r="AD50" s="14">
        <v>0</v>
      </c>
      <c r="AE50" s="14">
        <v>0</v>
      </c>
      <c r="AF50" s="14">
        <v>0</v>
      </c>
      <c r="AG50" s="16">
        <v>275728</v>
      </c>
      <c r="AH50" s="16">
        <v>275728</v>
      </c>
    </row>
    <row r="51" spans="1:34" hidden="1">
      <c r="A51" t="s">
        <v>228</v>
      </c>
      <c r="B51" t="s">
        <v>55</v>
      </c>
      <c r="C51" t="s">
        <v>229</v>
      </c>
      <c r="D51" t="s">
        <v>230</v>
      </c>
      <c r="E51" t="s">
        <v>669</v>
      </c>
      <c r="F51" t="s">
        <v>670</v>
      </c>
      <c r="G51" t="s">
        <v>261</v>
      </c>
      <c r="H51" t="s">
        <v>233</v>
      </c>
      <c r="I51" t="s">
        <v>228</v>
      </c>
      <c r="J51" t="s">
        <v>671</v>
      </c>
      <c r="K51" t="s">
        <v>65</v>
      </c>
      <c r="L51" t="s">
        <v>672</v>
      </c>
      <c r="M51" s="13">
        <v>45944.333333333343</v>
      </c>
      <c r="N51" s="13">
        <v>45944.484722222223</v>
      </c>
      <c r="O51" t="s">
        <v>265</v>
      </c>
      <c r="P51" t="s">
        <v>292</v>
      </c>
      <c r="Q51" t="s">
        <v>332</v>
      </c>
      <c r="R51" t="s">
        <v>333</v>
      </c>
      <c r="S51" t="s">
        <v>269</v>
      </c>
      <c r="T51" t="s">
        <v>269</v>
      </c>
      <c r="U51" t="s">
        <v>295</v>
      </c>
      <c r="V51" t="s">
        <v>673</v>
      </c>
      <c r="W51" t="s">
        <v>71</v>
      </c>
      <c r="X51" t="s">
        <v>674</v>
      </c>
      <c r="Y51" t="s">
        <v>83</v>
      </c>
      <c r="Z51" t="s">
        <v>73</v>
      </c>
      <c r="AA51" t="s">
        <v>675</v>
      </c>
      <c r="AB51" s="14">
        <v>1</v>
      </c>
      <c r="AC51" s="14">
        <v>0</v>
      </c>
      <c r="AD51" s="14">
        <v>0</v>
      </c>
      <c r="AE51" s="14">
        <v>0</v>
      </c>
      <c r="AF51" s="14">
        <v>0</v>
      </c>
      <c r="AG51" s="16">
        <v>65960</v>
      </c>
      <c r="AH51" s="16">
        <v>65960</v>
      </c>
    </row>
    <row r="52" spans="1:34" hidden="1">
      <c r="A52" t="s">
        <v>133</v>
      </c>
      <c r="B52" t="s">
        <v>134</v>
      </c>
      <c r="C52" t="s">
        <v>135</v>
      </c>
      <c r="D52" t="s">
        <v>549</v>
      </c>
      <c r="E52" t="s">
        <v>676</v>
      </c>
      <c r="F52" t="s">
        <v>677</v>
      </c>
      <c r="G52" t="s">
        <v>261</v>
      </c>
      <c r="H52" t="s">
        <v>139</v>
      </c>
      <c r="I52" t="s">
        <v>552</v>
      </c>
      <c r="J52" t="s">
        <v>678</v>
      </c>
      <c r="K52" t="s">
        <v>65</v>
      </c>
      <c r="L52" t="s">
        <v>679</v>
      </c>
      <c r="M52" s="13">
        <v>45944.40053240741</v>
      </c>
      <c r="N52" s="13">
        <v>45946.393750000003</v>
      </c>
      <c r="O52" t="s">
        <v>265</v>
      </c>
      <c r="P52" t="s">
        <v>292</v>
      </c>
      <c r="Q52" t="s">
        <v>332</v>
      </c>
      <c r="R52" t="s">
        <v>333</v>
      </c>
      <c r="S52" t="s">
        <v>269</v>
      </c>
      <c r="T52" t="s">
        <v>269</v>
      </c>
      <c r="U52" t="s">
        <v>352</v>
      </c>
      <c r="V52" t="s">
        <v>680</v>
      </c>
      <c r="W52" t="s">
        <v>71</v>
      </c>
      <c r="X52" t="s">
        <v>681</v>
      </c>
      <c r="Y52" t="s">
        <v>145</v>
      </c>
      <c r="Z52" t="s">
        <v>73</v>
      </c>
      <c r="AA52" t="s">
        <v>146</v>
      </c>
      <c r="AB52" s="14">
        <v>1</v>
      </c>
      <c r="AC52" s="14">
        <v>0</v>
      </c>
      <c r="AD52" s="14">
        <v>0</v>
      </c>
      <c r="AE52" s="14">
        <v>0</v>
      </c>
      <c r="AF52" s="14">
        <v>0</v>
      </c>
      <c r="AG52" s="16">
        <v>275728</v>
      </c>
      <c r="AH52" s="16">
        <v>275728</v>
      </c>
    </row>
    <row r="53" spans="1:34" hidden="1">
      <c r="A53" t="s">
        <v>391</v>
      </c>
      <c r="B53" t="s">
        <v>176</v>
      </c>
      <c r="C53" t="s">
        <v>177</v>
      </c>
      <c r="D53" t="s">
        <v>506</v>
      </c>
      <c r="E53" t="s">
        <v>682</v>
      </c>
      <c r="F53" t="s">
        <v>683</v>
      </c>
      <c r="G53" t="s">
        <v>261</v>
      </c>
      <c r="H53" t="s">
        <v>509</v>
      </c>
      <c r="I53" t="s">
        <v>391</v>
      </c>
      <c r="J53" t="s">
        <v>684</v>
      </c>
      <c r="K53" t="s">
        <v>65</v>
      </c>
      <c r="L53" t="s">
        <v>685</v>
      </c>
      <c r="M53" s="13">
        <v>45944.408854166657</v>
      </c>
      <c r="N53" s="13">
        <v>45944.665972222218</v>
      </c>
      <c r="O53" t="s">
        <v>265</v>
      </c>
      <c r="P53" t="s">
        <v>292</v>
      </c>
      <c r="Q53" t="s">
        <v>332</v>
      </c>
      <c r="R53" t="s">
        <v>367</v>
      </c>
      <c r="S53" t="s">
        <v>67</v>
      </c>
      <c r="T53" t="s">
        <v>686</v>
      </c>
      <c r="U53" t="s">
        <v>295</v>
      </c>
      <c r="V53" t="s">
        <v>687</v>
      </c>
      <c r="W53" t="s">
        <v>71</v>
      </c>
      <c r="X53" t="s">
        <v>688</v>
      </c>
      <c r="Y53" t="s">
        <v>83</v>
      </c>
      <c r="Z53" t="s">
        <v>73</v>
      </c>
      <c r="AA53" t="s">
        <v>514</v>
      </c>
      <c r="AB53" s="14">
        <v>1</v>
      </c>
      <c r="AC53" s="14">
        <v>0</v>
      </c>
      <c r="AD53" s="14">
        <v>0</v>
      </c>
      <c r="AE53" s="14">
        <v>0</v>
      </c>
      <c r="AF53" s="14">
        <v>0</v>
      </c>
      <c r="AG53" s="16">
        <v>65960</v>
      </c>
      <c r="AH53" s="16">
        <v>65960</v>
      </c>
    </row>
    <row r="54" spans="1:34" hidden="1">
      <c r="A54" t="s">
        <v>310</v>
      </c>
      <c r="B54" t="s">
        <v>134</v>
      </c>
      <c r="C54" t="s">
        <v>135</v>
      </c>
      <c r="D54" t="s">
        <v>689</v>
      </c>
      <c r="E54" t="s">
        <v>690</v>
      </c>
      <c r="F54" t="s">
        <v>691</v>
      </c>
      <c r="G54" t="s">
        <v>261</v>
      </c>
      <c r="H54" t="s">
        <v>314</v>
      </c>
      <c r="I54" t="s">
        <v>692</v>
      </c>
      <c r="J54" t="s">
        <v>693</v>
      </c>
      <c r="K54" t="s">
        <v>65</v>
      </c>
      <c r="L54" t="s">
        <v>694</v>
      </c>
      <c r="M54" s="13">
        <v>45944.537824074083</v>
      </c>
      <c r="N54" s="13">
        <v>45945.668749999997</v>
      </c>
      <c r="O54" t="s">
        <v>265</v>
      </c>
      <c r="P54" t="s">
        <v>292</v>
      </c>
      <c r="Q54" t="s">
        <v>305</v>
      </c>
      <c r="R54" t="s">
        <v>306</v>
      </c>
      <c r="S54" t="s">
        <v>67</v>
      </c>
      <c r="T54" t="s">
        <v>68</v>
      </c>
      <c r="V54" t="s">
        <v>695</v>
      </c>
      <c r="W54" t="s">
        <v>308</v>
      </c>
      <c r="Y54" t="s">
        <v>107</v>
      </c>
      <c r="Z54" t="s">
        <v>73</v>
      </c>
      <c r="AA54" t="s">
        <v>318</v>
      </c>
      <c r="AB54" s="14">
        <v>0</v>
      </c>
      <c r="AC54" s="14">
        <v>0</v>
      </c>
      <c r="AD54" s="14">
        <v>0</v>
      </c>
      <c r="AE54" s="14">
        <v>0</v>
      </c>
      <c r="AF54" s="14">
        <v>0</v>
      </c>
      <c r="AG54" s="16">
        <v>37905</v>
      </c>
      <c r="AH54" s="16">
        <v>37905</v>
      </c>
    </row>
    <row r="55" spans="1:34" hidden="1">
      <c r="A55" t="s">
        <v>621</v>
      </c>
      <c r="B55" t="s">
        <v>55</v>
      </c>
      <c r="C55" t="s">
        <v>229</v>
      </c>
      <c r="D55" t="s">
        <v>622</v>
      </c>
      <c r="E55" t="s">
        <v>696</v>
      </c>
      <c r="F55" t="s">
        <v>624</v>
      </c>
      <c r="G55" t="s">
        <v>261</v>
      </c>
      <c r="H55" t="s">
        <v>625</v>
      </c>
      <c r="I55" t="s">
        <v>621</v>
      </c>
      <c r="J55" t="s">
        <v>626</v>
      </c>
      <c r="K55" t="s">
        <v>65</v>
      </c>
      <c r="L55" t="s">
        <v>697</v>
      </c>
      <c r="M55" s="13">
        <v>45944.592002314806</v>
      </c>
      <c r="N55" s="13">
        <v>45944.675000000003</v>
      </c>
      <c r="O55" t="s">
        <v>265</v>
      </c>
      <c r="P55" t="s">
        <v>292</v>
      </c>
      <c r="Q55" t="s">
        <v>332</v>
      </c>
      <c r="R55" t="s">
        <v>367</v>
      </c>
      <c r="S55" t="s">
        <v>67</v>
      </c>
      <c r="T55" t="s">
        <v>68</v>
      </c>
      <c r="V55" t="s">
        <v>698</v>
      </c>
      <c r="W55" t="s">
        <v>308</v>
      </c>
      <c r="Y55" t="s">
        <v>83</v>
      </c>
      <c r="Z55" t="s">
        <v>73</v>
      </c>
      <c r="AA55" t="s">
        <v>699</v>
      </c>
      <c r="AB55" s="14">
        <v>0</v>
      </c>
      <c r="AC55" s="14">
        <v>0</v>
      </c>
      <c r="AD55" s="14">
        <v>0</v>
      </c>
      <c r="AE55" s="14">
        <v>0</v>
      </c>
      <c r="AF55" s="14">
        <v>0</v>
      </c>
      <c r="AG55" s="16">
        <v>37905</v>
      </c>
      <c r="AH55" s="16">
        <v>37905</v>
      </c>
    </row>
    <row r="56" spans="1:34" hidden="1">
      <c r="A56" t="s">
        <v>155</v>
      </c>
      <c r="B56" t="s">
        <v>156</v>
      </c>
      <c r="C56" t="s">
        <v>157</v>
      </c>
      <c r="D56" t="s">
        <v>700</v>
      </c>
      <c r="E56" t="s">
        <v>701</v>
      </c>
      <c r="F56" t="s">
        <v>702</v>
      </c>
      <c r="G56" t="s">
        <v>261</v>
      </c>
      <c r="H56" t="s">
        <v>161</v>
      </c>
      <c r="I56" t="s">
        <v>703</v>
      </c>
      <c r="J56" t="s">
        <v>704</v>
      </c>
      <c r="K56" t="s">
        <v>65</v>
      </c>
      <c r="L56" t="s">
        <v>705</v>
      </c>
      <c r="M56" s="13">
        <v>45945.386921296304</v>
      </c>
      <c r="N56" s="13">
        <v>45945.518750000003</v>
      </c>
      <c r="O56" t="s">
        <v>265</v>
      </c>
      <c r="P56" t="s">
        <v>292</v>
      </c>
      <c r="Q56" t="s">
        <v>332</v>
      </c>
      <c r="R56" t="s">
        <v>333</v>
      </c>
      <c r="S56" t="s">
        <v>269</v>
      </c>
      <c r="T56" t="s">
        <v>269</v>
      </c>
      <c r="V56" t="s">
        <v>706</v>
      </c>
      <c r="W56" t="s">
        <v>308</v>
      </c>
      <c r="Y56" t="s">
        <v>72</v>
      </c>
      <c r="Z56" t="s">
        <v>73</v>
      </c>
      <c r="AA56" t="s">
        <v>707</v>
      </c>
      <c r="AB56" s="14">
        <v>0</v>
      </c>
      <c r="AC56" s="14">
        <v>0</v>
      </c>
      <c r="AD56" s="14">
        <v>0</v>
      </c>
      <c r="AE56" s="14">
        <v>0</v>
      </c>
      <c r="AF56" s="14">
        <v>0</v>
      </c>
      <c r="AG56" s="16">
        <v>37905</v>
      </c>
      <c r="AH56" s="16">
        <v>37905</v>
      </c>
    </row>
    <row r="57" spans="1:34" hidden="1">
      <c r="A57" t="s">
        <v>85</v>
      </c>
      <c r="B57" t="s">
        <v>86</v>
      </c>
      <c r="C57" t="s">
        <v>87</v>
      </c>
      <c r="D57" t="s">
        <v>200</v>
      </c>
      <c r="E57" t="s">
        <v>708</v>
      </c>
      <c r="F57" t="s">
        <v>709</v>
      </c>
      <c r="G57" t="s">
        <v>261</v>
      </c>
      <c r="H57" t="s">
        <v>91</v>
      </c>
      <c r="I57" t="s">
        <v>85</v>
      </c>
      <c r="J57" t="s">
        <v>710</v>
      </c>
      <c r="K57" t="s">
        <v>65</v>
      </c>
      <c r="L57" t="s">
        <v>711</v>
      </c>
      <c r="M57" s="13">
        <v>45945.38621527778</v>
      </c>
      <c r="N57" s="13">
        <v>45945.51458333333</v>
      </c>
      <c r="O57" t="s">
        <v>265</v>
      </c>
      <c r="P57" t="s">
        <v>292</v>
      </c>
      <c r="Q57" t="s">
        <v>651</v>
      </c>
      <c r="R57" t="s">
        <v>367</v>
      </c>
      <c r="S57" t="s">
        <v>67</v>
      </c>
      <c r="T57" t="s">
        <v>143</v>
      </c>
      <c r="U57" t="s">
        <v>295</v>
      </c>
      <c r="V57" t="s">
        <v>712</v>
      </c>
      <c r="W57" t="s">
        <v>71</v>
      </c>
      <c r="X57" t="s">
        <v>713</v>
      </c>
      <c r="Y57" t="s">
        <v>83</v>
      </c>
      <c r="Z57" t="s">
        <v>73</v>
      </c>
      <c r="AA57" t="s">
        <v>505</v>
      </c>
      <c r="AB57" s="14">
        <v>1</v>
      </c>
      <c r="AC57" s="14">
        <v>0</v>
      </c>
      <c r="AD57" s="14">
        <v>0</v>
      </c>
      <c r="AE57" s="14">
        <v>0</v>
      </c>
      <c r="AF57" s="14">
        <v>0</v>
      </c>
      <c r="AG57" s="16">
        <v>65960</v>
      </c>
      <c r="AH57" s="16">
        <v>65960</v>
      </c>
    </row>
    <row r="58" spans="1:34" hidden="1">
      <c r="A58" t="s">
        <v>54</v>
      </c>
      <c r="B58" t="s">
        <v>55</v>
      </c>
      <c r="C58" t="s">
        <v>56</v>
      </c>
      <c r="D58" t="s">
        <v>714</v>
      </c>
      <c r="E58" t="s">
        <v>715</v>
      </c>
      <c r="F58" t="s">
        <v>716</v>
      </c>
      <c r="G58" t="s">
        <v>261</v>
      </c>
      <c r="H58" t="s">
        <v>112</v>
      </c>
      <c r="I58" t="s">
        <v>717</v>
      </c>
      <c r="J58" t="s">
        <v>718</v>
      </c>
      <c r="K58" t="s">
        <v>65</v>
      </c>
      <c r="L58" t="s">
        <v>719</v>
      </c>
      <c r="M58" s="13">
        <v>45945.5155787037</v>
      </c>
      <c r="N58" s="13">
        <v>45946.584722222222</v>
      </c>
      <c r="O58" t="s">
        <v>265</v>
      </c>
      <c r="P58" t="s">
        <v>292</v>
      </c>
      <c r="Q58" t="s">
        <v>332</v>
      </c>
      <c r="R58" t="s">
        <v>333</v>
      </c>
      <c r="S58" t="s">
        <v>269</v>
      </c>
      <c r="T58" t="s">
        <v>269</v>
      </c>
      <c r="U58" t="s">
        <v>295</v>
      </c>
      <c r="V58" t="s">
        <v>720</v>
      </c>
      <c r="W58" t="s">
        <v>71</v>
      </c>
      <c r="X58" t="s">
        <v>721</v>
      </c>
      <c r="Y58" t="s">
        <v>107</v>
      </c>
      <c r="Z58" t="s">
        <v>73</v>
      </c>
      <c r="AA58" t="s">
        <v>416</v>
      </c>
      <c r="AB58" s="14">
        <v>1</v>
      </c>
      <c r="AC58" s="14">
        <v>0</v>
      </c>
      <c r="AD58" s="14">
        <v>0</v>
      </c>
      <c r="AE58" s="14">
        <v>0</v>
      </c>
      <c r="AF58" s="14">
        <v>0</v>
      </c>
      <c r="AG58" s="16">
        <v>163814</v>
      </c>
      <c r="AH58" s="16">
        <v>163814</v>
      </c>
    </row>
    <row r="59" spans="1:34" hidden="1">
      <c r="A59" t="s">
        <v>417</v>
      </c>
      <c r="B59" t="s">
        <v>134</v>
      </c>
      <c r="C59" t="s">
        <v>135</v>
      </c>
      <c r="D59" t="s">
        <v>722</v>
      </c>
      <c r="E59" t="s">
        <v>723</v>
      </c>
      <c r="F59" t="s">
        <v>724</v>
      </c>
      <c r="G59" t="s">
        <v>261</v>
      </c>
      <c r="H59" t="s">
        <v>421</v>
      </c>
      <c r="I59" t="s">
        <v>519</v>
      </c>
      <c r="J59" t="s">
        <v>725</v>
      </c>
      <c r="K59" t="s">
        <v>65</v>
      </c>
      <c r="L59" t="s">
        <v>726</v>
      </c>
      <c r="M59" s="13">
        <v>45945.516574074078</v>
      </c>
      <c r="N59" s="13">
        <v>45946.568749999999</v>
      </c>
      <c r="O59" t="s">
        <v>265</v>
      </c>
      <c r="P59" t="s">
        <v>292</v>
      </c>
      <c r="Q59" t="s">
        <v>332</v>
      </c>
      <c r="R59" t="s">
        <v>367</v>
      </c>
      <c r="S59" t="s">
        <v>67</v>
      </c>
      <c r="T59" t="s">
        <v>143</v>
      </c>
      <c r="U59" t="s">
        <v>295</v>
      </c>
      <c r="V59" t="s">
        <v>727</v>
      </c>
      <c r="W59" t="s">
        <v>71</v>
      </c>
      <c r="X59" t="s">
        <v>728</v>
      </c>
      <c r="Y59" t="s">
        <v>107</v>
      </c>
      <c r="Z59" t="s">
        <v>73</v>
      </c>
      <c r="AA59" t="s">
        <v>729</v>
      </c>
      <c r="AB59" s="14">
        <v>1</v>
      </c>
      <c r="AC59" s="14">
        <v>0</v>
      </c>
      <c r="AD59" s="14">
        <v>0</v>
      </c>
      <c r="AE59" s="14">
        <v>0</v>
      </c>
      <c r="AF59" s="14">
        <v>0</v>
      </c>
      <c r="AG59" s="16">
        <v>163814</v>
      </c>
      <c r="AH59" s="16">
        <v>163814</v>
      </c>
    </row>
    <row r="60" spans="1:34" hidden="1">
      <c r="A60" t="s">
        <v>391</v>
      </c>
      <c r="B60" t="s">
        <v>176</v>
      </c>
      <c r="C60" t="s">
        <v>177</v>
      </c>
      <c r="D60" t="s">
        <v>730</v>
      </c>
      <c r="E60" t="s">
        <v>731</v>
      </c>
      <c r="F60" t="s">
        <v>732</v>
      </c>
      <c r="G60" t="s">
        <v>261</v>
      </c>
      <c r="H60" t="s">
        <v>509</v>
      </c>
      <c r="I60" t="s">
        <v>733</v>
      </c>
      <c r="J60" t="s">
        <v>734</v>
      </c>
      <c r="K60" t="s">
        <v>65</v>
      </c>
      <c r="L60" t="s">
        <v>735</v>
      </c>
      <c r="M60" s="13">
        <v>45945.549328703702</v>
      </c>
      <c r="N60" s="13">
        <v>45946.722916666673</v>
      </c>
      <c r="O60" t="s">
        <v>265</v>
      </c>
      <c r="P60" t="s">
        <v>292</v>
      </c>
      <c r="Q60" t="s">
        <v>332</v>
      </c>
      <c r="R60" t="s">
        <v>333</v>
      </c>
      <c r="S60" t="s">
        <v>67</v>
      </c>
      <c r="T60" t="s">
        <v>143</v>
      </c>
      <c r="U60" t="s">
        <v>295</v>
      </c>
      <c r="V60" t="s">
        <v>736</v>
      </c>
      <c r="W60" t="s">
        <v>71</v>
      </c>
      <c r="X60" t="s">
        <v>737</v>
      </c>
      <c r="Y60" t="s">
        <v>107</v>
      </c>
      <c r="Z60" t="s">
        <v>73</v>
      </c>
      <c r="AA60" t="s">
        <v>247</v>
      </c>
      <c r="AB60" s="14">
        <v>1</v>
      </c>
      <c r="AC60" s="14">
        <v>0</v>
      </c>
      <c r="AD60" s="14">
        <v>0</v>
      </c>
      <c r="AE60" s="14">
        <v>0</v>
      </c>
      <c r="AF60" s="14">
        <v>0</v>
      </c>
      <c r="AG60" s="16">
        <v>163814</v>
      </c>
      <c r="AH60" s="16">
        <v>163814</v>
      </c>
    </row>
    <row r="61" spans="1:34" hidden="1">
      <c r="A61" t="s">
        <v>75</v>
      </c>
      <c r="B61" t="s">
        <v>55</v>
      </c>
      <c r="C61" t="s">
        <v>56</v>
      </c>
      <c r="D61" t="s">
        <v>76</v>
      </c>
      <c r="E61" t="s">
        <v>738</v>
      </c>
      <c r="F61" t="s">
        <v>739</v>
      </c>
      <c r="G61" t="s">
        <v>261</v>
      </c>
      <c r="H61" t="s">
        <v>79</v>
      </c>
      <c r="I61" t="s">
        <v>75</v>
      </c>
      <c r="J61" t="s">
        <v>740</v>
      </c>
      <c r="K61" t="s">
        <v>65</v>
      </c>
      <c r="L61" t="s">
        <v>741</v>
      </c>
      <c r="M61" s="13">
        <v>45945.626458333332</v>
      </c>
      <c r="N61" s="13">
        <v>45946.598611111112</v>
      </c>
      <c r="O61" t="s">
        <v>265</v>
      </c>
      <c r="P61" t="s">
        <v>292</v>
      </c>
      <c r="Q61" t="s">
        <v>332</v>
      </c>
      <c r="R61" t="s">
        <v>333</v>
      </c>
      <c r="S61" t="s">
        <v>350</v>
      </c>
      <c r="T61" t="s">
        <v>351</v>
      </c>
      <c r="U61" t="s">
        <v>295</v>
      </c>
      <c r="V61" t="s">
        <v>742</v>
      </c>
      <c r="W61" t="s">
        <v>71</v>
      </c>
      <c r="X61" t="s">
        <v>743</v>
      </c>
      <c r="Y61" t="s">
        <v>83</v>
      </c>
      <c r="Z61" t="s">
        <v>73</v>
      </c>
      <c r="AA61" t="s">
        <v>199</v>
      </c>
      <c r="AB61" s="14">
        <v>1</v>
      </c>
      <c r="AC61" s="14">
        <v>0</v>
      </c>
      <c r="AD61" s="14">
        <v>0</v>
      </c>
      <c r="AE61" s="14">
        <v>0</v>
      </c>
      <c r="AF61" s="14">
        <v>0</v>
      </c>
      <c r="AG61" s="16">
        <v>65960</v>
      </c>
      <c r="AH61" s="16">
        <v>65960</v>
      </c>
    </row>
    <row r="62" spans="1:34" hidden="1">
      <c r="A62" t="s">
        <v>85</v>
      </c>
      <c r="B62" t="s">
        <v>86</v>
      </c>
      <c r="C62" t="s">
        <v>87</v>
      </c>
      <c r="D62" t="s">
        <v>200</v>
      </c>
      <c r="E62" t="s">
        <v>744</v>
      </c>
      <c r="F62" t="s">
        <v>745</v>
      </c>
      <c r="G62" t="s">
        <v>261</v>
      </c>
      <c r="H62" t="s">
        <v>91</v>
      </c>
      <c r="I62" t="s">
        <v>85</v>
      </c>
      <c r="J62" t="s">
        <v>746</v>
      </c>
      <c r="K62" t="s">
        <v>65</v>
      </c>
      <c r="L62" t="s">
        <v>747</v>
      </c>
      <c r="M62" s="13">
        <v>45946.333333333343</v>
      </c>
      <c r="N62" s="13">
        <v>45946.409722222219</v>
      </c>
      <c r="O62" t="s">
        <v>265</v>
      </c>
      <c r="P62" t="s">
        <v>292</v>
      </c>
      <c r="Q62" t="s">
        <v>305</v>
      </c>
      <c r="R62" t="s">
        <v>306</v>
      </c>
      <c r="S62" t="s">
        <v>269</v>
      </c>
      <c r="T62" t="s">
        <v>269</v>
      </c>
      <c r="V62" t="s">
        <v>748</v>
      </c>
      <c r="W62" t="s">
        <v>308</v>
      </c>
      <c r="Y62" t="s">
        <v>83</v>
      </c>
      <c r="Z62" t="s">
        <v>73</v>
      </c>
      <c r="AA62" t="s">
        <v>749</v>
      </c>
      <c r="AB62" s="14">
        <v>0</v>
      </c>
      <c r="AC62" s="14">
        <v>0</v>
      </c>
      <c r="AD62" s="14">
        <v>0</v>
      </c>
      <c r="AE62" s="14">
        <v>0</v>
      </c>
      <c r="AF62" s="14">
        <v>0</v>
      </c>
      <c r="AG62" s="16">
        <v>37905</v>
      </c>
      <c r="AH62" s="16">
        <v>37905</v>
      </c>
    </row>
    <row r="63" spans="1:34" hidden="1">
      <c r="A63" t="s">
        <v>155</v>
      </c>
      <c r="B63" t="s">
        <v>156</v>
      </c>
      <c r="C63" t="s">
        <v>157</v>
      </c>
      <c r="D63" t="s">
        <v>750</v>
      </c>
      <c r="E63" t="s">
        <v>751</v>
      </c>
      <c r="F63" t="s">
        <v>752</v>
      </c>
      <c r="G63" t="s">
        <v>261</v>
      </c>
      <c r="H63" t="s">
        <v>161</v>
      </c>
      <c r="I63" t="s">
        <v>155</v>
      </c>
      <c r="J63" t="s">
        <v>753</v>
      </c>
      <c r="K63" t="s">
        <v>65</v>
      </c>
      <c r="L63" t="s">
        <v>754</v>
      </c>
      <c r="M63" s="13">
        <v>45946.444687499999</v>
      </c>
      <c r="N63" s="13">
        <v>45947.420138888891</v>
      </c>
      <c r="O63" t="s">
        <v>265</v>
      </c>
      <c r="P63" t="s">
        <v>266</v>
      </c>
      <c r="Q63" t="s">
        <v>267</v>
      </c>
      <c r="R63" t="s">
        <v>755</v>
      </c>
      <c r="S63" t="s">
        <v>350</v>
      </c>
      <c r="T63" t="s">
        <v>756</v>
      </c>
      <c r="V63" t="s">
        <v>757</v>
      </c>
      <c r="W63" t="s">
        <v>308</v>
      </c>
      <c r="Y63" t="s">
        <v>83</v>
      </c>
      <c r="Z63" t="s">
        <v>73</v>
      </c>
      <c r="AA63" t="s">
        <v>758</v>
      </c>
      <c r="AB63" s="14">
        <v>0</v>
      </c>
      <c r="AC63" s="14">
        <v>0</v>
      </c>
      <c r="AD63" s="14">
        <v>0</v>
      </c>
      <c r="AE63" s="14">
        <v>0</v>
      </c>
      <c r="AF63" s="14">
        <v>0</v>
      </c>
      <c r="AG63" s="16">
        <v>37905</v>
      </c>
      <c r="AH63" s="16">
        <v>37905</v>
      </c>
    </row>
    <row r="64" spans="1:34" hidden="1">
      <c r="A64" t="s">
        <v>759</v>
      </c>
      <c r="B64" t="s">
        <v>134</v>
      </c>
      <c r="C64" t="s">
        <v>135</v>
      </c>
      <c r="D64" t="s">
        <v>760</v>
      </c>
      <c r="E64" t="s">
        <v>761</v>
      </c>
      <c r="F64" t="s">
        <v>762</v>
      </c>
      <c r="G64" t="s">
        <v>261</v>
      </c>
      <c r="H64" t="s">
        <v>763</v>
      </c>
      <c r="I64" t="s">
        <v>764</v>
      </c>
      <c r="J64" t="s">
        <v>765</v>
      </c>
      <c r="K64" t="s">
        <v>65</v>
      </c>
      <c r="L64" t="s">
        <v>766</v>
      </c>
      <c r="M64" s="13">
        <v>45946.455208333333</v>
      </c>
      <c r="N64" s="13">
        <v>45947.695138888892</v>
      </c>
      <c r="O64" t="s">
        <v>265</v>
      </c>
      <c r="P64" t="s">
        <v>292</v>
      </c>
      <c r="Q64" t="s">
        <v>381</v>
      </c>
      <c r="R64" t="s">
        <v>441</v>
      </c>
      <c r="S64" t="s">
        <v>67</v>
      </c>
      <c r="T64" t="s">
        <v>68</v>
      </c>
      <c r="U64" t="s">
        <v>295</v>
      </c>
      <c r="V64" t="s">
        <v>767</v>
      </c>
      <c r="W64" t="s">
        <v>71</v>
      </c>
      <c r="X64" t="s">
        <v>768</v>
      </c>
      <c r="Y64" t="s">
        <v>145</v>
      </c>
      <c r="Z64" t="s">
        <v>73</v>
      </c>
      <c r="AA64" t="s">
        <v>769</v>
      </c>
      <c r="AB64" s="14">
        <v>1</v>
      </c>
      <c r="AC64" s="14">
        <v>0</v>
      </c>
      <c r="AD64" s="14">
        <v>0</v>
      </c>
      <c r="AE64" s="14">
        <v>0</v>
      </c>
      <c r="AF64" s="14">
        <v>0</v>
      </c>
      <c r="AG64" s="16">
        <v>275728</v>
      </c>
      <c r="AH64" s="16">
        <v>275728</v>
      </c>
    </row>
    <row r="65" spans="1:34">
      <c r="A65" t="s">
        <v>155</v>
      </c>
      <c r="B65" t="s">
        <v>156</v>
      </c>
      <c r="C65" t="s">
        <v>157</v>
      </c>
      <c r="D65" t="s">
        <v>770</v>
      </c>
      <c r="E65" t="s">
        <v>771</v>
      </c>
      <c r="F65" t="s">
        <v>772</v>
      </c>
      <c r="G65" t="s">
        <v>261</v>
      </c>
      <c r="H65" t="s">
        <v>773</v>
      </c>
      <c r="I65" t="s">
        <v>774</v>
      </c>
      <c r="J65" t="s">
        <v>775</v>
      </c>
      <c r="K65" t="s">
        <v>65</v>
      </c>
      <c r="L65" t="s">
        <v>776</v>
      </c>
      <c r="M65" s="13">
        <v>45946.480532407397</v>
      </c>
      <c r="N65" s="13">
        <v>45946.651388888888</v>
      </c>
      <c r="O65" t="s">
        <v>265</v>
      </c>
      <c r="P65" t="s">
        <v>292</v>
      </c>
      <c r="Q65" t="s">
        <v>332</v>
      </c>
      <c r="R65" t="s">
        <v>367</v>
      </c>
      <c r="S65" t="s">
        <v>67</v>
      </c>
      <c r="T65" t="s">
        <v>68</v>
      </c>
      <c r="U65" t="s">
        <v>295</v>
      </c>
      <c r="V65" t="s">
        <v>777</v>
      </c>
      <c r="W65" t="s">
        <v>71</v>
      </c>
      <c r="X65" t="s">
        <v>778</v>
      </c>
      <c r="Y65" t="s">
        <v>779</v>
      </c>
      <c r="Z65" t="s">
        <v>780</v>
      </c>
      <c r="AA65" t="s">
        <v>781</v>
      </c>
      <c r="AB65" s="14">
        <v>1</v>
      </c>
      <c r="AC65" s="14">
        <v>0</v>
      </c>
      <c r="AD65" s="14">
        <v>0</v>
      </c>
      <c r="AE65" s="14">
        <v>0</v>
      </c>
      <c r="AF65" s="14">
        <v>0</v>
      </c>
      <c r="AG65" s="16">
        <v>988463</v>
      </c>
      <c r="AH65" s="16">
        <v>988463</v>
      </c>
    </row>
    <row r="66" spans="1:34" hidden="1">
      <c r="A66" t="s">
        <v>85</v>
      </c>
      <c r="B66" t="s">
        <v>86</v>
      </c>
      <c r="C66" t="s">
        <v>87</v>
      </c>
      <c r="D66" t="s">
        <v>638</v>
      </c>
      <c r="E66" t="s">
        <v>782</v>
      </c>
      <c r="F66" t="s">
        <v>783</v>
      </c>
      <c r="G66" t="s">
        <v>261</v>
      </c>
      <c r="H66" t="s">
        <v>91</v>
      </c>
      <c r="I66" t="s">
        <v>641</v>
      </c>
      <c r="J66" t="s">
        <v>784</v>
      </c>
      <c r="K66" t="s">
        <v>65</v>
      </c>
      <c r="L66" t="s">
        <v>785</v>
      </c>
      <c r="M66" s="13">
        <v>45947.333333333343</v>
      </c>
      <c r="N66" s="13">
        <v>45947.563194444447</v>
      </c>
      <c r="O66" t="s">
        <v>265</v>
      </c>
      <c r="P66" t="s">
        <v>292</v>
      </c>
      <c r="Q66" t="s">
        <v>332</v>
      </c>
      <c r="R66" t="s">
        <v>333</v>
      </c>
      <c r="S66" t="s">
        <v>67</v>
      </c>
      <c r="T66" t="s">
        <v>143</v>
      </c>
      <c r="U66" t="s">
        <v>295</v>
      </c>
      <c r="V66" t="s">
        <v>786</v>
      </c>
      <c r="W66" t="s">
        <v>71</v>
      </c>
      <c r="X66" t="s">
        <v>787</v>
      </c>
      <c r="Y66" t="s">
        <v>83</v>
      </c>
      <c r="Z66" t="s">
        <v>73</v>
      </c>
      <c r="AA66" t="s">
        <v>788</v>
      </c>
      <c r="AB66" s="14">
        <v>1</v>
      </c>
      <c r="AC66" s="14">
        <v>0</v>
      </c>
      <c r="AD66" s="14">
        <v>0</v>
      </c>
      <c r="AE66" s="14">
        <v>0</v>
      </c>
      <c r="AF66" s="14">
        <v>0</v>
      </c>
      <c r="AG66" s="16">
        <v>65960</v>
      </c>
      <c r="AH66" s="16">
        <v>65960</v>
      </c>
    </row>
    <row r="67" spans="1:34" hidden="1">
      <c r="A67" t="s">
        <v>85</v>
      </c>
      <c r="B67" t="s">
        <v>86</v>
      </c>
      <c r="C67" t="s">
        <v>87</v>
      </c>
      <c r="D67" t="s">
        <v>200</v>
      </c>
      <c r="E67" t="s">
        <v>789</v>
      </c>
      <c r="F67" t="s">
        <v>790</v>
      </c>
      <c r="G67" t="s">
        <v>261</v>
      </c>
      <c r="H67" t="s">
        <v>91</v>
      </c>
      <c r="I67" t="s">
        <v>85</v>
      </c>
      <c r="J67" t="s">
        <v>791</v>
      </c>
      <c r="K67" t="s">
        <v>65</v>
      </c>
      <c r="L67" t="s">
        <v>792</v>
      </c>
      <c r="M67" s="13">
        <v>45947.353750000002</v>
      </c>
      <c r="N67" s="13">
        <v>45947.466666666667</v>
      </c>
      <c r="O67" t="s">
        <v>265</v>
      </c>
      <c r="P67" t="s">
        <v>292</v>
      </c>
      <c r="Q67" t="s">
        <v>293</v>
      </c>
      <c r="R67" t="s">
        <v>294</v>
      </c>
      <c r="S67" t="s">
        <v>67</v>
      </c>
      <c r="T67" t="s">
        <v>143</v>
      </c>
      <c r="U67" t="s">
        <v>295</v>
      </c>
      <c r="V67" t="s">
        <v>793</v>
      </c>
      <c r="W67" t="s">
        <v>71</v>
      </c>
      <c r="X67" t="s">
        <v>794</v>
      </c>
      <c r="Y67" t="s">
        <v>83</v>
      </c>
      <c r="Z67" t="s">
        <v>73</v>
      </c>
      <c r="AA67" t="s">
        <v>795</v>
      </c>
      <c r="AB67" s="14">
        <v>1</v>
      </c>
      <c r="AC67" s="14">
        <v>0</v>
      </c>
      <c r="AD67" s="14">
        <v>0</v>
      </c>
      <c r="AE67" s="14">
        <v>0</v>
      </c>
      <c r="AF67" s="14">
        <v>0</v>
      </c>
      <c r="AG67" s="16">
        <v>65960</v>
      </c>
      <c r="AH67" s="16">
        <v>65960</v>
      </c>
    </row>
    <row r="68" spans="1:34" hidden="1">
      <c r="A68" t="s">
        <v>75</v>
      </c>
      <c r="B68" t="s">
        <v>55</v>
      </c>
      <c r="C68" t="s">
        <v>56</v>
      </c>
      <c r="D68" t="s">
        <v>76</v>
      </c>
      <c r="E68" t="s">
        <v>796</v>
      </c>
      <c r="F68" t="s">
        <v>797</v>
      </c>
      <c r="G68" t="s">
        <v>261</v>
      </c>
      <c r="H68" t="s">
        <v>79</v>
      </c>
      <c r="I68" t="s">
        <v>75</v>
      </c>
      <c r="J68" t="s">
        <v>798</v>
      </c>
      <c r="K68" t="s">
        <v>65</v>
      </c>
      <c r="L68" t="s">
        <v>799</v>
      </c>
      <c r="M68" s="13">
        <v>45947.431944444441</v>
      </c>
      <c r="N68" s="13">
        <v>45947.677083333343</v>
      </c>
      <c r="O68" t="s">
        <v>265</v>
      </c>
      <c r="P68" t="s">
        <v>292</v>
      </c>
      <c r="Q68" t="s">
        <v>332</v>
      </c>
      <c r="R68" t="s">
        <v>367</v>
      </c>
      <c r="S68" t="s">
        <v>350</v>
      </c>
      <c r="T68" t="s">
        <v>756</v>
      </c>
      <c r="U68" t="s">
        <v>295</v>
      </c>
      <c r="V68" t="s">
        <v>800</v>
      </c>
      <c r="W68" t="s">
        <v>71</v>
      </c>
      <c r="X68" t="s">
        <v>801</v>
      </c>
      <c r="Y68" t="s">
        <v>83</v>
      </c>
      <c r="Z68" t="s">
        <v>73</v>
      </c>
      <c r="AA68" t="s">
        <v>174</v>
      </c>
      <c r="AB68" s="14">
        <v>1</v>
      </c>
      <c r="AC68" s="14">
        <v>0</v>
      </c>
      <c r="AD68" s="14">
        <v>0</v>
      </c>
      <c r="AE68" s="14">
        <v>0</v>
      </c>
      <c r="AF68" s="14">
        <v>0</v>
      </c>
      <c r="AG68" s="16">
        <v>65960</v>
      </c>
      <c r="AH68" s="16">
        <v>65960</v>
      </c>
    </row>
    <row r="69" spans="1:34" hidden="1">
      <c r="A69" t="s">
        <v>85</v>
      </c>
      <c r="B69" t="s">
        <v>86</v>
      </c>
      <c r="C69" t="s">
        <v>87</v>
      </c>
      <c r="D69" t="s">
        <v>802</v>
      </c>
      <c r="E69" t="s">
        <v>803</v>
      </c>
      <c r="F69" t="s">
        <v>804</v>
      </c>
      <c r="G69" t="s">
        <v>261</v>
      </c>
      <c r="H69" t="s">
        <v>91</v>
      </c>
      <c r="I69" t="s">
        <v>625</v>
      </c>
      <c r="J69" t="s">
        <v>805</v>
      </c>
      <c r="K69" t="s">
        <v>65</v>
      </c>
      <c r="L69" t="s">
        <v>806</v>
      </c>
      <c r="M69" s="13">
        <v>45947.568229166667</v>
      </c>
      <c r="N69" s="13">
        <v>45948.422222222223</v>
      </c>
      <c r="O69" t="s">
        <v>265</v>
      </c>
      <c r="P69" t="s">
        <v>292</v>
      </c>
      <c r="Q69" t="s">
        <v>332</v>
      </c>
      <c r="R69" t="s">
        <v>333</v>
      </c>
      <c r="S69" t="s">
        <v>67</v>
      </c>
      <c r="T69" t="s">
        <v>143</v>
      </c>
      <c r="U69" t="s">
        <v>295</v>
      </c>
      <c r="V69" t="s">
        <v>807</v>
      </c>
      <c r="W69" t="s">
        <v>71</v>
      </c>
      <c r="X69" t="s">
        <v>808</v>
      </c>
      <c r="Y69" t="s">
        <v>83</v>
      </c>
      <c r="Z69" t="s">
        <v>73</v>
      </c>
      <c r="AA69" t="s">
        <v>336</v>
      </c>
      <c r="AB69" s="14">
        <v>1</v>
      </c>
      <c r="AC69" s="14">
        <v>0</v>
      </c>
      <c r="AD69" s="14">
        <v>0</v>
      </c>
      <c r="AE69" s="14">
        <v>0</v>
      </c>
      <c r="AF69" s="14">
        <v>0</v>
      </c>
      <c r="AG69" s="16">
        <v>65960</v>
      </c>
      <c r="AH69" s="16">
        <v>65960</v>
      </c>
    </row>
    <row r="70" spans="1:34" hidden="1">
      <c r="A70" t="s">
        <v>85</v>
      </c>
      <c r="B70" t="s">
        <v>86</v>
      </c>
      <c r="C70" t="s">
        <v>87</v>
      </c>
      <c r="D70" t="s">
        <v>326</v>
      </c>
      <c r="E70" t="s">
        <v>809</v>
      </c>
      <c r="F70" t="s">
        <v>810</v>
      </c>
      <c r="G70" t="s">
        <v>261</v>
      </c>
      <c r="H70" t="s">
        <v>91</v>
      </c>
      <c r="I70" t="s">
        <v>329</v>
      </c>
      <c r="J70" t="s">
        <v>811</v>
      </c>
      <c r="K70" t="s">
        <v>65</v>
      </c>
      <c r="L70" t="s">
        <v>812</v>
      </c>
      <c r="M70" s="13">
        <v>45947.631840277783</v>
      </c>
      <c r="N70" s="13">
        <v>45954.634722222218</v>
      </c>
      <c r="O70" t="s">
        <v>265</v>
      </c>
      <c r="P70" t="s">
        <v>292</v>
      </c>
      <c r="Q70" t="s">
        <v>332</v>
      </c>
      <c r="R70" t="s">
        <v>333</v>
      </c>
      <c r="S70" t="s">
        <v>67</v>
      </c>
      <c r="T70" t="s">
        <v>143</v>
      </c>
      <c r="U70" t="s">
        <v>295</v>
      </c>
      <c r="V70" t="s">
        <v>813</v>
      </c>
      <c r="W70" t="s">
        <v>71</v>
      </c>
      <c r="X70" t="s">
        <v>814</v>
      </c>
      <c r="Y70" t="s">
        <v>107</v>
      </c>
      <c r="Z70" t="s">
        <v>73</v>
      </c>
      <c r="AA70" t="s">
        <v>788</v>
      </c>
      <c r="AB70" s="14">
        <v>1</v>
      </c>
      <c r="AC70" s="14">
        <v>0</v>
      </c>
      <c r="AD70" s="14">
        <v>0</v>
      </c>
      <c r="AE70" s="14">
        <v>0</v>
      </c>
      <c r="AF70" s="14">
        <v>0</v>
      </c>
      <c r="AG70" s="16">
        <v>163814</v>
      </c>
      <c r="AH70" s="16">
        <v>163814</v>
      </c>
    </row>
    <row r="71" spans="1:34" hidden="1">
      <c r="A71" t="s">
        <v>85</v>
      </c>
      <c r="B71" t="s">
        <v>86</v>
      </c>
      <c r="C71" t="s">
        <v>87</v>
      </c>
      <c r="D71" t="s">
        <v>815</v>
      </c>
      <c r="E71" t="s">
        <v>816</v>
      </c>
      <c r="F71" t="s">
        <v>817</v>
      </c>
      <c r="G71" t="s">
        <v>261</v>
      </c>
      <c r="H71" t="s">
        <v>91</v>
      </c>
      <c r="I71" t="s">
        <v>606</v>
      </c>
      <c r="J71" t="s">
        <v>818</v>
      </c>
      <c r="K71" t="s">
        <v>65</v>
      </c>
      <c r="L71" t="s">
        <v>819</v>
      </c>
      <c r="M71" s="13">
        <v>45947.677314814813</v>
      </c>
      <c r="N71" s="13">
        <v>45948.397222222222</v>
      </c>
      <c r="O71" t="s">
        <v>265</v>
      </c>
      <c r="P71" t="s">
        <v>292</v>
      </c>
      <c r="Q71" t="s">
        <v>305</v>
      </c>
      <c r="R71" t="s">
        <v>306</v>
      </c>
      <c r="S71" t="s">
        <v>67</v>
      </c>
      <c r="T71" t="s">
        <v>143</v>
      </c>
      <c r="U71" t="s">
        <v>295</v>
      </c>
      <c r="V71" t="s">
        <v>820</v>
      </c>
      <c r="W71" t="s">
        <v>71</v>
      </c>
      <c r="X71" t="s">
        <v>821</v>
      </c>
      <c r="Y71" t="s">
        <v>107</v>
      </c>
      <c r="Z71" t="s">
        <v>73</v>
      </c>
      <c r="AA71" t="s">
        <v>505</v>
      </c>
      <c r="AB71" s="14">
        <v>1</v>
      </c>
      <c r="AC71" s="14">
        <v>0</v>
      </c>
      <c r="AD71" s="14">
        <v>0</v>
      </c>
      <c r="AE71" s="14">
        <v>0</v>
      </c>
      <c r="AF71" s="14">
        <v>0</v>
      </c>
      <c r="AG71" s="16">
        <v>163814</v>
      </c>
      <c r="AH71" s="16">
        <v>163814</v>
      </c>
    </row>
    <row r="72" spans="1:34" hidden="1">
      <c r="A72" t="s">
        <v>417</v>
      </c>
      <c r="B72" t="s">
        <v>134</v>
      </c>
      <c r="C72" t="s">
        <v>135</v>
      </c>
      <c r="D72" t="s">
        <v>822</v>
      </c>
      <c r="E72" t="s">
        <v>823</v>
      </c>
      <c r="F72" t="s">
        <v>824</v>
      </c>
      <c r="G72" t="s">
        <v>261</v>
      </c>
      <c r="H72" t="s">
        <v>421</v>
      </c>
      <c r="I72" t="s">
        <v>417</v>
      </c>
      <c r="J72" t="s">
        <v>825</v>
      </c>
      <c r="K72" t="s">
        <v>65</v>
      </c>
      <c r="L72" t="s">
        <v>826</v>
      </c>
      <c r="M72" s="13">
        <v>45948.333333333343</v>
      </c>
      <c r="N72" s="13">
        <v>45949.353472222218</v>
      </c>
      <c r="O72" t="s">
        <v>265</v>
      </c>
      <c r="P72" t="s">
        <v>292</v>
      </c>
      <c r="Q72" t="s">
        <v>381</v>
      </c>
      <c r="R72" t="s">
        <v>382</v>
      </c>
      <c r="S72" t="s">
        <v>67</v>
      </c>
      <c r="T72" t="s">
        <v>68</v>
      </c>
      <c r="V72" t="s">
        <v>827</v>
      </c>
      <c r="W72" t="s">
        <v>308</v>
      </c>
      <c r="Y72" t="s">
        <v>83</v>
      </c>
      <c r="Z72" t="s">
        <v>73</v>
      </c>
      <c r="AA72" t="s">
        <v>828</v>
      </c>
      <c r="AB72" s="14">
        <v>0</v>
      </c>
      <c r="AC72" s="14">
        <v>0</v>
      </c>
      <c r="AD72" s="14">
        <v>0</v>
      </c>
      <c r="AE72" s="14">
        <v>0</v>
      </c>
      <c r="AF72" s="14">
        <v>0</v>
      </c>
      <c r="AG72" s="16">
        <v>37905</v>
      </c>
      <c r="AH72" s="16">
        <v>37905</v>
      </c>
    </row>
    <row r="73" spans="1:34" hidden="1">
      <c r="A73" t="s">
        <v>85</v>
      </c>
      <c r="B73" t="s">
        <v>86</v>
      </c>
      <c r="C73" t="s">
        <v>87</v>
      </c>
      <c r="D73" t="s">
        <v>200</v>
      </c>
      <c r="E73" t="s">
        <v>829</v>
      </c>
      <c r="F73" t="s">
        <v>830</v>
      </c>
      <c r="G73" t="s">
        <v>261</v>
      </c>
      <c r="H73" t="s">
        <v>91</v>
      </c>
      <c r="I73" t="s">
        <v>85</v>
      </c>
      <c r="J73" t="s">
        <v>831</v>
      </c>
      <c r="K73" t="s">
        <v>65</v>
      </c>
      <c r="L73" t="s">
        <v>832</v>
      </c>
      <c r="M73" s="13">
        <v>45949.469849537039</v>
      </c>
      <c r="N73" s="13">
        <v>45950.463888888888</v>
      </c>
      <c r="O73" t="s">
        <v>265</v>
      </c>
      <c r="P73" t="s">
        <v>292</v>
      </c>
      <c r="Q73" t="s">
        <v>305</v>
      </c>
      <c r="R73" t="s">
        <v>306</v>
      </c>
      <c r="S73" t="s">
        <v>67</v>
      </c>
      <c r="T73" t="s">
        <v>143</v>
      </c>
      <c r="U73" t="s">
        <v>352</v>
      </c>
      <c r="V73" t="s">
        <v>833</v>
      </c>
      <c r="W73" t="s">
        <v>71</v>
      </c>
      <c r="X73" t="s">
        <v>834</v>
      </c>
      <c r="Y73" t="s">
        <v>83</v>
      </c>
      <c r="Z73" t="s">
        <v>73</v>
      </c>
      <c r="AA73" t="s">
        <v>749</v>
      </c>
      <c r="AB73" s="14">
        <v>1</v>
      </c>
      <c r="AC73" s="14">
        <v>0</v>
      </c>
      <c r="AD73" s="14">
        <v>0</v>
      </c>
      <c r="AE73" s="14">
        <v>0</v>
      </c>
      <c r="AF73" s="14">
        <v>0</v>
      </c>
      <c r="AG73" s="16">
        <v>65960</v>
      </c>
      <c r="AH73" s="16">
        <v>65960</v>
      </c>
    </row>
    <row r="74" spans="1:34" hidden="1">
      <c r="A74" t="s">
        <v>417</v>
      </c>
      <c r="B74" t="s">
        <v>134</v>
      </c>
      <c r="C74" t="s">
        <v>135</v>
      </c>
      <c r="D74" t="s">
        <v>722</v>
      </c>
      <c r="E74" t="s">
        <v>835</v>
      </c>
      <c r="F74" t="s">
        <v>836</v>
      </c>
      <c r="G74" t="s">
        <v>261</v>
      </c>
      <c r="H74" t="s">
        <v>421</v>
      </c>
      <c r="I74" t="s">
        <v>519</v>
      </c>
      <c r="J74" t="s">
        <v>837</v>
      </c>
      <c r="K74" t="s">
        <v>65</v>
      </c>
      <c r="L74" t="s">
        <v>838</v>
      </c>
      <c r="M74" s="13">
        <v>45949.438750000001</v>
      </c>
      <c r="N74" s="13">
        <v>45950.633333333331</v>
      </c>
      <c r="O74" t="s">
        <v>265</v>
      </c>
      <c r="P74" t="s">
        <v>292</v>
      </c>
      <c r="Q74" t="s">
        <v>332</v>
      </c>
      <c r="R74" t="s">
        <v>367</v>
      </c>
      <c r="S74" t="s">
        <v>323</v>
      </c>
      <c r="T74" t="s">
        <v>323</v>
      </c>
      <c r="U74" t="s">
        <v>295</v>
      </c>
      <c r="V74" t="s">
        <v>839</v>
      </c>
      <c r="W74" t="s">
        <v>71</v>
      </c>
      <c r="X74" t="s">
        <v>840</v>
      </c>
      <c r="Y74" t="s">
        <v>107</v>
      </c>
      <c r="Z74" t="s">
        <v>73</v>
      </c>
      <c r="AA74" t="s">
        <v>426</v>
      </c>
      <c r="AB74" s="14">
        <v>1</v>
      </c>
      <c r="AC74" s="14">
        <v>0</v>
      </c>
      <c r="AD74" s="14">
        <v>0</v>
      </c>
      <c r="AE74" s="14">
        <v>0</v>
      </c>
      <c r="AF74" s="14">
        <v>0</v>
      </c>
      <c r="AG74" s="16">
        <v>163814</v>
      </c>
      <c r="AH74" s="16">
        <v>163814</v>
      </c>
    </row>
    <row r="75" spans="1:34" hidden="1">
      <c r="A75" t="s">
        <v>117</v>
      </c>
      <c r="B75" t="s">
        <v>118</v>
      </c>
      <c r="C75" t="s">
        <v>119</v>
      </c>
      <c r="D75" t="s">
        <v>841</v>
      </c>
      <c r="E75" t="s">
        <v>842</v>
      </c>
      <c r="F75" t="s">
        <v>843</v>
      </c>
      <c r="G75" t="s">
        <v>261</v>
      </c>
      <c r="H75" t="s">
        <v>118</v>
      </c>
      <c r="I75" t="s">
        <v>844</v>
      </c>
      <c r="J75" t="s">
        <v>845</v>
      </c>
      <c r="K75" t="s">
        <v>65</v>
      </c>
      <c r="L75" t="s">
        <v>846</v>
      </c>
      <c r="M75" s="13">
        <v>45950.355266203696</v>
      </c>
      <c r="N75" s="13">
        <v>45950.790277777778</v>
      </c>
      <c r="O75" t="s">
        <v>265</v>
      </c>
      <c r="P75" t="s">
        <v>266</v>
      </c>
      <c r="Q75" t="s">
        <v>267</v>
      </c>
      <c r="R75" t="s">
        <v>268</v>
      </c>
      <c r="S75" t="s">
        <v>269</v>
      </c>
      <c r="T75" t="s">
        <v>269</v>
      </c>
      <c r="U75" t="s">
        <v>295</v>
      </c>
      <c r="V75" t="s">
        <v>847</v>
      </c>
      <c r="W75" t="s">
        <v>71</v>
      </c>
      <c r="X75" t="s">
        <v>834</v>
      </c>
      <c r="Y75" t="s">
        <v>83</v>
      </c>
      <c r="Z75" t="s">
        <v>73</v>
      </c>
      <c r="AA75" t="s">
        <v>132</v>
      </c>
      <c r="AB75" s="14">
        <v>1</v>
      </c>
      <c r="AC75" s="14">
        <v>0</v>
      </c>
      <c r="AD75" s="14">
        <v>0</v>
      </c>
      <c r="AE75" s="14">
        <v>0</v>
      </c>
      <c r="AF75" s="14">
        <v>0</v>
      </c>
      <c r="AG75" s="16">
        <v>65960</v>
      </c>
      <c r="AH75" s="16">
        <v>65960</v>
      </c>
    </row>
    <row r="76" spans="1:34" hidden="1">
      <c r="A76" t="s">
        <v>228</v>
      </c>
      <c r="B76" t="s">
        <v>55</v>
      </c>
      <c r="C76" t="s">
        <v>229</v>
      </c>
      <c r="D76" t="s">
        <v>230</v>
      </c>
      <c r="E76" t="s">
        <v>848</v>
      </c>
      <c r="F76" t="s">
        <v>849</v>
      </c>
      <c r="G76" t="s">
        <v>261</v>
      </c>
      <c r="H76" t="s">
        <v>233</v>
      </c>
      <c r="I76" t="s">
        <v>228</v>
      </c>
      <c r="J76" t="s">
        <v>850</v>
      </c>
      <c r="K76" t="s">
        <v>65</v>
      </c>
      <c r="L76" t="s">
        <v>851</v>
      </c>
      <c r="M76" s="13">
        <v>45951.333333333343</v>
      </c>
      <c r="N76" s="13">
        <v>45951.743055555547</v>
      </c>
      <c r="O76" t="s">
        <v>265</v>
      </c>
      <c r="P76" t="s">
        <v>292</v>
      </c>
      <c r="Q76" t="s">
        <v>381</v>
      </c>
      <c r="R76" t="s">
        <v>382</v>
      </c>
      <c r="S76" t="s">
        <v>67</v>
      </c>
      <c r="T76" t="s">
        <v>143</v>
      </c>
      <c r="V76" t="s">
        <v>852</v>
      </c>
      <c r="W76" t="s">
        <v>308</v>
      </c>
      <c r="Y76" t="s">
        <v>83</v>
      </c>
      <c r="Z76" t="s">
        <v>73</v>
      </c>
      <c r="AA76" t="s">
        <v>362</v>
      </c>
      <c r="AB76" s="14">
        <v>0</v>
      </c>
      <c r="AC76" s="14">
        <v>0</v>
      </c>
      <c r="AD76" s="14">
        <v>0</v>
      </c>
      <c r="AE76" s="14">
        <v>0</v>
      </c>
      <c r="AF76" s="14">
        <v>0</v>
      </c>
      <c r="AG76" s="16">
        <v>37905</v>
      </c>
      <c r="AH76" s="16">
        <v>37905</v>
      </c>
    </row>
    <row r="77" spans="1:34" hidden="1">
      <c r="A77" t="s">
        <v>621</v>
      </c>
      <c r="B77" t="s">
        <v>55</v>
      </c>
      <c r="C77" t="s">
        <v>229</v>
      </c>
      <c r="D77" t="s">
        <v>622</v>
      </c>
      <c r="E77" t="s">
        <v>853</v>
      </c>
      <c r="F77" t="s">
        <v>854</v>
      </c>
      <c r="G77" t="s">
        <v>261</v>
      </c>
      <c r="H77" t="s">
        <v>625</v>
      </c>
      <c r="I77" t="s">
        <v>621</v>
      </c>
      <c r="J77" t="s">
        <v>855</v>
      </c>
      <c r="K77" t="s">
        <v>65</v>
      </c>
      <c r="L77" t="s">
        <v>856</v>
      </c>
      <c r="M77" s="13">
        <v>45951.333333333343</v>
      </c>
      <c r="N77" s="13">
        <v>45951.517361111109</v>
      </c>
      <c r="O77" t="s">
        <v>265</v>
      </c>
      <c r="P77" t="s">
        <v>292</v>
      </c>
      <c r="Q77" t="s">
        <v>332</v>
      </c>
      <c r="R77" t="s">
        <v>367</v>
      </c>
      <c r="S77" t="s">
        <v>269</v>
      </c>
      <c r="T77" t="s">
        <v>269</v>
      </c>
      <c r="U77" t="s">
        <v>295</v>
      </c>
      <c r="V77" t="s">
        <v>857</v>
      </c>
      <c r="W77" t="s">
        <v>71</v>
      </c>
      <c r="X77" t="s">
        <v>858</v>
      </c>
      <c r="Y77" t="s">
        <v>83</v>
      </c>
      <c r="Z77" t="s">
        <v>73</v>
      </c>
      <c r="AA77" t="s">
        <v>699</v>
      </c>
      <c r="AB77" s="14">
        <v>1</v>
      </c>
      <c r="AC77" s="14">
        <v>0</v>
      </c>
      <c r="AD77" s="14">
        <v>0</v>
      </c>
      <c r="AE77" s="14">
        <v>0</v>
      </c>
      <c r="AF77" s="14">
        <v>0</v>
      </c>
      <c r="AG77" s="16">
        <v>65960</v>
      </c>
      <c r="AH77" s="16">
        <v>65960</v>
      </c>
    </row>
    <row r="78" spans="1:34" hidden="1">
      <c r="A78" t="s">
        <v>565</v>
      </c>
      <c r="B78" t="s">
        <v>156</v>
      </c>
      <c r="C78" t="s">
        <v>157</v>
      </c>
      <c r="D78" t="s">
        <v>859</v>
      </c>
      <c r="E78" t="s">
        <v>860</v>
      </c>
      <c r="F78" t="s">
        <v>861</v>
      </c>
      <c r="G78" t="s">
        <v>261</v>
      </c>
      <c r="H78" t="s">
        <v>569</v>
      </c>
      <c r="I78" t="s">
        <v>862</v>
      </c>
      <c r="J78" t="s">
        <v>863</v>
      </c>
      <c r="K78" t="s">
        <v>65</v>
      </c>
      <c r="L78" t="s">
        <v>864</v>
      </c>
      <c r="M78" s="13">
        <v>45951.622164351851</v>
      </c>
      <c r="N78" s="13">
        <v>45951.655555555553</v>
      </c>
      <c r="O78" t="s">
        <v>265</v>
      </c>
      <c r="P78" t="s">
        <v>292</v>
      </c>
      <c r="Q78" t="s">
        <v>332</v>
      </c>
      <c r="R78" t="s">
        <v>333</v>
      </c>
      <c r="S78" t="s">
        <v>269</v>
      </c>
      <c r="T78" t="s">
        <v>269</v>
      </c>
      <c r="V78" t="s">
        <v>865</v>
      </c>
      <c r="W78" t="s">
        <v>308</v>
      </c>
      <c r="Y78" t="s">
        <v>72</v>
      </c>
      <c r="Z78" t="s">
        <v>73</v>
      </c>
      <c r="AA78" t="s">
        <v>866</v>
      </c>
      <c r="AB78" s="14">
        <v>0</v>
      </c>
      <c r="AC78" s="14">
        <v>0</v>
      </c>
      <c r="AD78" s="14">
        <v>0</v>
      </c>
      <c r="AE78" s="14">
        <v>0</v>
      </c>
      <c r="AF78" s="14">
        <v>0</v>
      </c>
      <c r="AG78" s="16">
        <v>37905</v>
      </c>
      <c r="AH78" s="16">
        <v>37905</v>
      </c>
    </row>
    <row r="79" spans="1:34" hidden="1">
      <c r="A79" t="s">
        <v>85</v>
      </c>
      <c r="B79" t="s">
        <v>86</v>
      </c>
      <c r="C79" t="s">
        <v>87</v>
      </c>
      <c r="D79" t="s">
        <v>200</v>
      </c>
      <c r="E79" t="s">
        <v>867</v>
      </c>
      <c r="F79" t="s">
        <v>868</v>
      </c>
      <c r="G79" t="s">
        <v>261</v>
      </c>
      <c r="H79" t="s">
        <v>91</v>
      </c>
      <c r="I79" t="s">
        <v>85</v>
      </c>
      <c r="J79" t="s">
        <v>869</v>
      </c>
      <c r="K79" t="s">
        <v>65</v>
      </c>
      <c r="L79" t="s">
        <v>870</v>
      </c>
      <c r="M79" s="13">
        <v>45952.450729166667</v>
      </c>
      <c r="N79" s="13">
        <v>45952.571527777778</v>
      </c>
      <c r="O79" t="s">
        <v>265</v>
      </c>
      <c r="P79" t="s">
        <v>292</v>
      </c>
      <c r="Q79" t="s">
        <v>332</v>
      </c>
      <c r="R79" t="s">
        <v>333</v>
      </c>
      <c r="S79" t="s">
        <v>67</v>
      </c>
      <c r="T79" t="s">
        <v>143</v>
      </c>
      <c r="U79" t="s">
        <v>295</v>
      </c>
      <c r="V79" t="s">
        <v>871</v>
      </c>
      <c r="W79" t="s">
        <v>71</v>
      </c>
      <c r="X79" t="s">
        <v>872</v>
      </c>
      <c r="Y79" t="s">
        <v>83</v>
      </c>
      <c r="Z79" t="s">
        <v>73</v>
      </c>
      <c r="AA79" t="s">
        <v>788</v>
      </c>
      <c r="AB79" s="14">
        <v>1</v>
      </c>
      <c r="AC79" s="14">
        <v>0</v>
      </c>
      <c r="AD79" s="14">
        <v>0</v>
      </c>
      <c r="AE79" s="14">
        <v>0</v>
      </c>
      <c r="AF79" s="14">
        <v>0</v>
      </c>
      <c r="AG79" s="16">
        <v>65960</v>
      </c>
      <c r="AH79" s="16">
        <v>65960</v>
      </c>
    </row>
    <row r="80" spans="1:34" hidden="1">
      <c r="A80" t="s">
        <v>155</v>
      </c>
      <c r="B80" t="s">
        <v>156</v>
      </c>
      <c r="C80" t="s">
        <v>157</v>
      </c>
      <c r="D80" t="s">
        <v>158</v>
      </c>
      <c r="E80" t="s">
        <v>873</v>
      </c>
      <c r="F80" t="s">
        <v>874</v>
      </c>
      <c r="G80" t="s">
        <v>261</v>
      </c>
      <c r="H80" t="s">
        <v>161</v>
      </c>
      <c r="I80" t="s">
        <v>162</v>
      </c>
      <c r="J80" t="s">
        <v>875</v>
      </c>
      <c r="K80" t="s">
        <v>65</v>
      </c>
      <c r="L80" t="s">
        <v>876</v>
      </c>
      <c r="M80" s="13">
        <v>45952.547719907408</v>
      </c>
      <c r="N80" s="13">
        <v>45953.536111111112</v>
      </c>
      <c r="O80" t="s">
        <v>265</v>
      </c>
      <c r="P80" t="s">
        <v>292</v>
      </c>
      <c r="Q80" t="s">
        <v>651</v>
      </c>
      <c r="R80" t="s">
        <v>367</v>
      </c>
      <c r="S80" t="s">
        <v>67</v>
      </c>
      <c r="T80" t="s">
        <v>68</v>
      </c>
      <c r="U80" t="s">
        <v>295</v>
      </c>
      <c r="V80" t="s">
        <v>877</v>
      </c>
      <c r="W80" t="s">
        <v>71</v>
      </c>
      <c r="X80" t="s">
        <v>878</v>
      </c>
      <c r="Y80" t="s">
        <v>83</v>
      </c>
      <c r="Z80" t="s">
        <v>73</v>
      </c>
      <c r="AA80" t="s">
        <v>707</v>
      </c>
      <c r="AB80" s="14">
        <v>1</v>
      </c>
      <c r="AC80" s="14">
        <v>0</v>
      </c>
      <c r="AD80" s="14">
        <v>0</v>
      </c>
      <c r="AE80" s="14">
        <v>0</v>
      </c>
      <c r="AF80" s="14">
        <v>0</v>
      </c>
      <c r="AG80" s="16">
        <v>65960</v>
      </c>
      <c r="AH80" s="16">
        <v>65960</v>
      </c>
    </row>
    <row r="81" spans="1:34" hidden="1">
      <c r="A81" t="s">
        <v>417</v>
      </c>
      <c r="B81" t="s">
        <v>134</v>
      </c>
      <c r="C81" t="s">
        <v>135</v>
      </c>
      <c r="D81" t="s">
        <v>879</v>
      </c>
      <c r="E81" t="s">
        <v>880</v>
      </c>
      <c r="F81" t="s">
        <v>881</v>
      </c>
      <c r="G81" t="s">
        <v>261</v>
      </c>
      <c r="H81" t="s">
        <v>421</v>
      </c>
      <c r="I81" t="s">
        <v>882</v>
      </c>
      <c r="J81" t="s">
        <v>883</v>
      </c>
      <c r="K81" t="s">
        <v>65</v>
      </c>
      <c r="L81" t="s">
        <v>884</v>
      </c>
      <c r="M81" s="13">
        <v>45952.609918981478</v>
      </c>
      <c r="N81" s="13">
        <v>45953.511111111111</v>
      </c>
      <c r="O81" t="s">
        <v>265</v>
      </c>
      <c r="P81" t="s">
        <v>292</v>
      </c>
      <c r="Q81" t="s">
        <v>332</v>
      </c>
      <c r="R81" t="s">
        <v>367</v>
      </c>
      <c r="S81" t="s">
        <v>323</v>
      </c>
      <c r="T81" t="s">
        <v>323</v>
      </c>
      <c r="V81" t="s">
        <v>885</v>
      </c>
      <c r="W81" t="s">
        <v>308</v>
      </c>
      <c r="Y81" t="s">
        <v>145</v>
      </c>
      <c r="Z81" t="s">
        <v>73</v>
      </c>
      <c r="AA81" t="s">
        <v>426</v>
      </c>
      <c r="AB81" s="14">
        <v>0</v>
      </c>
      <c r="AC81" s="14">
        <v>0</v>
      </c>
      <c r="AD81" s="14">
        <v>0</v>
      </c>
      <c r="AE81" s="14">
        <v>0</v>
      </c>
      <c r="AF81" s="14">
        <v>0</v>
      </c>
      <c r="AG81" s="16">
        <v>37905</v>
      </c>
      <c r="AH81" s="16">
        <v>37905</v>
      </c>
    </row>
    <row r="82" spans="1:34" hidden="1">
      <c r="A82" t="s">
        <v>155</v>
      </c>
      <c r="B82" t="s">
        <v>156</v>
      </c>
      <c r="C82" t="s">
        <v>157</v>
      </c>
      <c r="D82" t="s">
        <v>750</v>
      </c>
      <c r="E82" t="s">
        <v>886</v>
      </c>
      <c r="F82" t="s">
        <v>887</v>
      </c>
      <c r="G82" t="s">
        <v>261</v>
      </c>
      <c r="H82" t="s">
        <v>161</v>
      </c>
      <c r="I82" t="s">
        <v>155</v>
      </c>
      <c r="J82" t="s">
        <v>888</v>
      </c>
      <c r="K82" t="s">
        <v>65</v>
      </c>
      <c r="L82" t="s">
        <v>889</v>
      </c>
      <c r="M82" s="13">
        <v>45952.657280092593</v>
      </c>
      <c r="N82" s="13">
        <v>45953.551388888889</v>
      </c>
      <c r="O82" t="s">
        <v>265</v>
      </c>
      <c r="P82" t="s">
        <v>292</v>
      </c>
      <c r="Q82" t="s">
        <v>332</v>
      </c>
      <c r="R82" t="s">
        <v>367</v>
      </c>
      <c r="S82" t="s">
        <v>67</v>
      </c>
      <c r="T82" t="s">
        <v>143</v>
      </c>
      <c r="U82" t="s">
        <v>295</v>
      </c>
      <c r="V82" t="s">
        <v>890</v>
      </c>
      <c r="W82" t="s">
        <v>71</v>
      </c>
      <c r="X82" t="s">
        <v>891</v>
      </c>
      <c r="Y82" t="s">
        <v>83</v>
      </c>
      <c r="Z82" t="s">
        <v>73</v>
      </c>
      <c r="AA82" t="s">
        <v>892</v>
      </c>
      <c r="AB82" s="14">
        <v>1</v>
      </c>
      <c r="AC82" s="14">
        <v>0</v>
      </c>
      <c r="AD82" s="14">
        <v>0</v>
      </c>
      <c r="AE82" s="14">
        <v>0</v>
      </c>
      <c r="AF82" s="14">
        <v>0</v>
      </c>
      <c r="AG82" s="16">
        <v>65960</v>
      </c>
      <c r="AH82" s="16">
        <v>65960</v>
      </c>
    </row>
    <row r="83" spans="1:34" hidden="1">
      <c r="A83" t="s">
        <v>85</v>
      </c>
      <c r="B83" t="s">
        <v>86</v>
      </c>
      <c r="C83" t="s">
        <v>87</v>
      </c>
      <c r="D83" t="s">
        <v>893</v>
      </c>
      <c r="E83" t="s">
        <v>894</v>
      </c>
      <c r="F83" t="s">
        <v>895</v>
      </c>
      <c r="G83" t="s">
        <v>261</v>
      </c>
      <c r="H83" t="s">
        <v>91</v>
      </c>
      <c r="I83" t="s">
        <v>896</v>
      </c>
      <c r="J83" t="s">
        <v>897</v>
      </c>
      <c r="K83" t="s">
        <v>65</v>
      </c>
      <c r="L83" t="s">
        <v>898</v>
      </c>
      <c r="M83" s="13">
        <v>45953.333333333343</v>
      </c>
      <c r="N83" s="13">
        <v>45954.615277777782</v>
      </c>
      <c r="O83" t="s">
        <v>265</v>
      </c>
      <c r="P83" t="s">
        <v>292</v>
      </c>
      <c r="Q83" t="s">
        <v>305</v>
      </c>
      <c r="R83" t="s">
        <v>306</v>
      </c>
      <c r="S83" t="s">
        <v>67</v>
      </c>
      <c r="T83" t="s">
        <v>68</v>
      </c>
      <c r="V83" t="s">
        <v>899</v>
      </c>
      <c r="W83" t="s">
        <v>308</v>
      </c>
      <c r="Y83" t="s">
        <v>107</v>
      </c>
      <c r="Z83" t="s">
        <v>73</v>
      </c>
      <c r="AA83" t="s">
        <v>749</v>
      </c>
      <c r="AB83" s="14">
        <v>0</v>
      </c>
      <c r="AC83" s="14">
        <v>0</v>
      </c>
      <c r="AD83" s="14">
        <v>0</v>
      </c>
      <c r="AE83" s="14">
        <v>0</v>
      </c>
      <c r="AF83" s="14">
        <v>0</v>
      </c>
      <c r="AG83" s="16">
        <v>37905</v>
      </c>
      <c r="AH83" s="16">
        <v>37905</v>
      </c>
    </row>
    <row r="84" spans="1:34" hidden="1">
      <c r="A84" t="s">
        <v>577</v>
      </c>
      <c r="B84" t="s">
        <v>86</v>
      </c>
      <c r="C84" t="s">
        <v>87</v>
      </c>
      <c r="D84" t="s">
        <v>578</v>
      </c>
      <c r="E84" t="s">
        <v>900</v>
      </c>
      <c r="F84" t="s">
        <v>901</v>
      </c>
      <c r="G84" t="s">
        <v>261</v>
      </c>
      <c r="H84" t="s">
        <v>91</v>
      </c>
      <c r="I84" t="s">
        <v>577</v>
      </c>
      <c r="J84" t="s">
        <v>902</v>
      </c>
      <c r="K84" t="s">
        <v>65</v>
      </c>
      <c r="L84" t="s">
        <v>903</v>
      </c>
      <c r="M84" s="13">
        <v>45953.333333333343</v>
      </c>
      <c r="N84" s="13">
        <v>45953.499305555553</v>
      </c>
      <c r="O84" t="s">
        <v>265</v>
      </c>
      <c r="P84" t="s">
        <v>292</v>
      </c>
      <c r="Q84" t="s">
        <v>332</v>
      </c>
      <c r="R84" t="s">
        <v>333</v>
      </c>
      <c r="S84" t="s">
        <v>67</v>
      </c>
      <c r="T84" t="s">
        <v>68</v>
      </c>
      <c r="U84" t="s">
        <v>295</v>
      </c>
      <c r="V84" t="s">
        <v>904</v>
      </c>
      <c r="W84" t="s">
        <v>71</v>
      </c>
      <c r="X84" t="s">
        <v>905</v>
      </c>
      <c r="Y84" t="s">
        <v>83</v>
      </c>
      <c r="Z84" t="s">
        <v>73</v>
      </c>
      <c r="AA84" t="s">
        <v>585</v>
      </c>
      <c r="AB84" s="14">
        <v>1</v>
      </c>
      <c r="AC84" s="14">
        <v>0</v>
      </c>
      <c r="AD84" s="14">
        <v>0</v>
      </c>
      <c r="AE84" s="14">
        <v>0</v>
      </c>
      <c r="AF84" s="14">
        <v>0</v>
      </c>
      <c r="AG84" s="16">
        <v>65960</v>
      </c>
      <c r="AH84" s="16">
        <v>65960</v>
      </c>
    </row>
    <row r="85" spans="1:34" hidden="1">
      <c r="A85" t="s">
        <v>75</v>
      </c>
      <c r="B85" t="s">
        <v>55</v>
      </c>
      <c r="C85" t="s">
        <v>56</v>
      </c>
      <c r="D85" t="s">
        <v>76</v>
      </c>
      <c r="E85" t="s">
        <v>906</v>
      </c>
      <c r="F85" t="s">
        <v>907</v>
      </c>
      <c r="G85" t="s">
        <v>261</v>
      </c>
      <c r="H85" t="s">
        <v>79</v>
      </c>
      <c r="I85" t="s">
        <v>75</v>
      </c>
      <c r="J85" t="s">
        <v>908</v>
      </c>
      <c r="K85" t="s">
        <v>65</v>
      </c>
      <c r="L85" t="s">
        <v>909</v>
      </c>
      <c r="M85" s="13">
        <v>45953.444837962961</v>
      </c>
      <c r="N85" s="13">
        <v>45953.767361111109</v>
      </c>
      <c r="O85" t="s">
        <v>265</v>
      </c>
      <c r="P85" t="s">
        <v>292</v>
      </c>
      <c r="Q85" t="s">
        <v>293</v>
      </c>
      <c r="R85" t="s">
        <v>294</v>
      </c>
      <c r="S85" t="s">
        <v>269</v>
      </c>
      <c r="T85" t="s">
        <v>269</v>
      </c>
      <c r="U85" t="s">
        <v>295</v>
      </c>
      <c r="V85" t="s">
        <v>910</v>
      </c>
      <c r="W85" t="s">
        <v>71</v>
      </c>
      <c r="X85" t="s">
        <v>911</v>
      </c>
      <c r="Y85" t="s">
        <v>83</v>
      </c>
      <c r="Z85" t="s">
        <v>73</v>
      </c>
      <c r="AA85" t="s">
        <v>174</v>
      </c>
      <c r="AB85" s="14">
        <v>1</v>
      </c>
      <c r="AC85" s="14">
        <v>0</v>
      </c>
      <c r="AD85" s="14">
        <v>0</v>
      </c>
      <c r="AE85" s="14">
        <v>0</v>
      </c>
      <c r="AF85" s="14">
        <v>0</v>
      </c>
      <c r="AG85" s="16">
        <v>65960</v>
      </c>
      <c r="AH85" s="16">
        <v>65960</v>
      </c>
    </row>
    <row r="86" spans="1:34" hidden="1">
      <c r="A86" t="s">
        <v>417</v>
      </c>
      <c r="B86" t="s">
        <v>134</v>
      </c>
      <c r="C86" t="s">
        <v>135</v>
      </c>
      <c r="D86" t="s">
        <v>912</v>
      </c>
      <c r="E86" t="s">
        <v>913</v>
      </c>
      <c r="F86" t="s">
        <v>914</v>
      </c>
      <c r="G86" t="s">
        <v>261</v>
      </c>
      <c r="H86" t="s">
        <v>421</v>
      </c>
      <c r="I86" t="s">
        <v>915</v>
      </c>
      <c r="J86" t="s">
        <v>916</v>
      </c>
      <c r="K86" t="s">
        <v>65</v>
      </c>
      <c r="L86" t="s">
        <v>917</v>
      </c>
      <c r="M86" s="13">
        <v>45953.555567129632</v>
      </c>
      <c r="N86" s="13">
        <v>45954.576388888891</v>
      </c>
      <c r="O86" t="s">
        <v>265</v>
      </c>
      <c r="P86" t="s">
        <v>292</v>
      </c>
      <c r="Q86" t="s">
        <v>332</v>
      </c>
      <c r="R86" t="s">
        <v>367</v>
      </c>
      <c r="S86" t="s">
        <v>323</v>
      </c>
      <c r="T86" t="s">
        <v>323</v>
      </c>
      <c r="V86" t="s">
        <v>918</v>
      </c>
      <c r="W86" t="s">
        <v>308</v>
      </c>
      <c r="Y86" t="s">
        <v>72</v>
      </c>
      <c r="Z86" t="s">
        <v>73</v>
      </c>
      <c r="AA86" t="s">
        <v>729</v>
      </c>
      <c r="AB86" s="14">
        <v>0</v>
      </c>
      <c r="AC86" s="14">
        <v>0</v>
      </c>
      <c r="AD86" s="14">
        <v>0</v>
      </c>
      <c r="AE86" s="14">
        <v>0</v>
      </c>
      <c r="AF86" s="14">
        <v>0</v>
      </c>
      <c r="AG86" s="16">
        <v>37905</v>
      </c>
      <c r="AH86" s="16">
        <v>37905</v>
      </c>
    </row>
    <row r="87" spans="1:34" hidden="1">
      <c r="A87" t="s">
        <v>117</v>
      </c>
      <c r="B87" t="s">
        <v>118</v>
      </c>
      <c r="C87" t="s">
        <v>119</v>
      </c>
      <c r="D87" t="s">
        <v>919</v>
      </c>
      <c r="E87" t="s">
        <v>920</v>
      </c>
      <c r="F87" t="s">
        <v>921</v>
      </c>
      <c r="G87" t="s">
        <v>261</v>
      </c>
      <c r="H87" t="s">
        <v>118</v>
      </c>
      <c r="I87" t="s">
        <v>922</v>
      </c>
      <c r="J87" t="s">
        <v>923</v>
      </c>
      <c r="K87" t="s">
        <v>65</v>
      </c>
      <c r="L87" t="s">
        <v>924</v>
      </c>
      <c r="M87" s="13">
        <v>45953.712789351863</v>
      </c>
      <c r="N87" s="13">
        <v>45954.59652777778</v>
      </c>
      <c r="O87" t="s">
        <v>265</v>
      </c>
      <c r="P87" t="s">
        <v>266</v>
      </c>
      <c r="Q87" t="s">
        <v>267</v>
      </c>
      <c r="R87" t="s">
        <v>268</v>
      </c>
      <c r="S87" t="s">
        <v>323</v>
      </c>
      <c r="T87" t="s">
        <v>269</v>
      </c>
      <c r="U87" t="s">
        <v>295</v>
      </c>
      <c r="V87" t="s">
        <v>925</v>
      </c>
      <c r="W87" t="s">
        <v>71</v>
      </c>
      <c r="X87" t="s">
        <v>926</v>
      </c>
      <c r="Y87" t="s">
        <v>107</v>
      </c>
      <c r="Z87" t="s">
        <v>73</v>
      </c>
      <c r="AA87" t="s">
        <v>126</v>
      </c>
      <c r="AB87" s="14">
        <v>1</v>
      </c>
      <c r="AC87" s="14">
        <v>0</v>
      </c>
      <c r="AD87" s="14">
        <v>0</v>
      </c>
      <c r="AE87" s="14">
        <v>0</v>
      </c>
      <c r="AF87" s="14">
        <v>0</v>
      </c>
      <c r="AG87" s="16">
        <v>163814</v>
      </c>
      <c r="AH87" s="16">
        <v>163814</v>
      </c>
    </row>
    <row r="88" spans="1:34">
      <c r="A88" t="s">
        <v>54</v>
      </c>
      <c r="B88" t="s">
        <v>55</v>
      </c>
      <c r="C88" t="s">
        <v>56</v>
      </c>
      <c r="D88" t="s">
        <v>927</v>
      </c>
      <c r="E88" t="s">
        <v>928</v>
      </c>
      <c r="F88" t="s">
        <v>929</v>
      </c>
      <c r="G88" t="s">
        <v>261</v>
      </c>
      <c r="H88" t="s">
        <v>112</v>
      </c>
      <c r="I88" t="s">
        <v>930</v>
      </c>
      <c r="J88" t="s">
        <v>931</v>
      </c>
      <c r="K88" t="s">
        <v>65</v>
      </c>
      <c r="L88" t="s">
        <v>932</v>
      </c>
      <c r="M88" s="13">
        <v>45954.333333333343</v>
      </c>
      <c r="N88" s="13">
        <v>45957.686111111107</v>
      </c>
      <c r="O88" t="s">
        <v>265</v>
      </c>
      <c r="P88" t="s">
        <v>292</v>
      </c>
      <c r="Q88" t="s">
        <v>651</v>
      </c>
      <c r="R88" t="s">
        <v>367</v>
      </c>
      <c r="S88" t="s">
        <v>269</v>
      </c>
      <c r="T88" t="s">
        <v>269</v>
      </c>
      <c r="V88" t="s">
        <v>933</v>
      </c>
      <c r="W88" t="s">
        <v>308</v>
      </c>
      <c r="Y88" t="s">
        <v>779</v>
      </c>
      <c r="Z88" t="s">
        <v>934</v>
      </c>
      <c r="AA88" t="s">
        <v>416</v>
      </c>
      <c r="AB88" s="14">
        <v>0</v>
      </c>
      <c r="AC88" s="14">
        <v>0</v>
      </c>
      <c r="AD88" s="14">
        <v>0</v>
      </c>
      <c r="AE88" s="14">
        <v>0</v>
      </c>
      <c r="AF88" s="14">
        <v>0</v>
      </c>
      <c r="AG88" s="16">
        <v>37905</v>
      </c>
      <c r="AH88" s="16">
        <v>37905</v>
      </c>
    </row>
    <row r="89" spans="1:34" hidden="1">
      <c r="A89" t="s">
        <v>117</v>
      </c>
      <c r="B89" t="s">
        <v>118</v>
      </c>
      <c r="C89" t="s">
        <v>119</v>
      </c>
      <c r="D89" t="s">
        <v>935</v>
      </c>
      <c r="E89" t="s">
        <v>936</v>
      </c>
      <c r="F89" t="s">
        <v>937</v>
      </c>
      <c r="G89" t="s">
        <v>261</v>
      </c>
      <c r="H89" t="s">
        <v>118</v>
      </c>
      <c r="I89" t="s">
        <v>938</v>
      </c>
      <c r="J89" t="s">
        <v>939</v>
      </c>
      <c r="K89" t="s">
        <v>65</v>
      </c>
      <c r="L89" t="s">
        <v>940</v>
      </c>
      <c r="M89" s="13">
        <v>45954.333333333343</v>
      </c>
      <c r="N89" s="13">
        <v>45954.567361111112</v>
      </c>
      <c r="O89" t="s">
        <v>265</v>
      </c>
      <c r="P89" t="s">
        <v>292</v>
      </c>
      <c r="Q89" t="s">
        <v>305</v>
      </c>
      <c r="R89" t="s">
        <v>306</v>
      </c>
      <c r="S89" t="s">
        <v>269</v>
      </c>
      <c r="T89" t="s">
        <v>269</v>
      </c>
      <c r="U89" t="s">
        <v>352</v>
      </c>
      <c r="V89" t="s">
        <v>941</v>
      </c>
      <c r="W89" t="s">
        <v>71</v>
      </c>
      <c r="X89" t="s">
        <v>942</v>
      </c>
      <c r="Y89" t="s">
        <v>107</v>
      </c>
      <c r="Z89" t="s">
        <v>73</v>
      </c>
      <c r="AA89" t="s">
        <v>943</v>
      </c>
      <c r="AB89" s="14">
        <v>1</v>
      </c>
      <c r="AC89" s="14">
        <v>0</v>
      </c>
      <c r="AD89" s="14">
        <v>0</v>
      </c>
      <c r="AE89" s="14">
        <v>0</v>
      </c>
      <c r="AF89" s="14">
        <v>0</v>
      </c>
      <c r="AG89" s="16">
        <v>163814</v>
      </c>
      <c r="AH89" s="16">
        <v>163814</v>
      </c>
    </row>
    <row r="90" spans="1:34" hidden="1">
      <c r="A90" t="s">
        <v>117</v>
      </c>
      <c r="B90" t="s">
        <v>118</v>
      </c>
      <c r="C90" t="s">
        <v>119</v>
      </c>
      <c r="D90" t="s">
        <v>919</v>
      </c>
      <c r="E90" t="s">
        <v>944</v>
      </c>
      <c r="F90" t="s">
        <v>945</v>
      </c>
      <c r="G90" t="s">
        <v>261</v>
      </c>
      <c r="H90" t="s">
        <v>118</v>
      </c>
      <c r="I90" t="s">
        <v>922</v>
      </c>
      <c r="J90" t="s">
        <v>946</v>
      </c>
      <c r="K90" t="s">
        <v>65</v>
      </c>
      <c r="L90" t="s">
        <v>947</v>
      </c>
      <c r="M90" s="13">
        <v>45954.525636574072</v>
      </c>
      <c r="N90" s="13">
        <v>45954.722916666673</v>
      </c>
      <c r="O90" t="s">
        <v>265</v>
      </c>
      <c r="P90" t="s">
        <v>292</v>
      </c>
      <c r="Q90" t="s">
        <v>332</v>
      </c>
      <c r="R90" t="s">
        <v>333</v>
      </c>
      <c r="S90" t="s">
        <v>350</v>
      </c>
      <c r="T90" t="s">
        <v>948</v>
      </c>
      <c r="U90" t="s">
        <v>295</v>
      </c>
      <c r="V90" t="s">
        <v>949</v>
      </c>
      <c r="W90" t="s">
        <v>71</v>
      </c>
      <c r="X90" t="s">
        <v>950</v>
      </c>
      <c r="Y90" t="s">
        <v>107</v>
      </c>
      <c r="Z90" t="s">
        <v>73</v>
      </c>
      <c r="AA90" t="s">
        <v>126</v>
      </c>
      <c r="AB90" s="14">
        <v>1</v>
      </c>
      <c r="AC90" s="14">
        <v>0</v>
      </c>
      <c r="AD90" s="14">
        <v>0</v>
      </c>
      <c r="AE90" s="14">
        <v>0</v>
      </c>
      <c r="AF90" s="14">
        <v>0</v>
      </c>
      <c r="AG90" s="16">
        <v>163814</v>
      </c>
      <c r="AH90" s="16">
        <v>163814</v>
      </c>
    </row>
    <row r="91" spans="1:34" hidden="1">
      <c r="A91" t="s">
        <v>85</v>
      </c>
      <c r="B91" t="s">
        <v>86</v>
      </c>
      <c r="C91" t="s">
        <v>87</v>
      </c>
      <c r="D91" t="s">
        <v>951</v>
      </c>
      <c r="E91" t="s">
        <v>952</v>
      </c>
      <c r="F91" t="s">
        <v>953</v>
      </c>
      <c r="G91" t="s">
        <v>261</v>
      </c>
      <c r="H91" t="s">
        <v>91</v>
      </c>
      <c r="I91" t="s">
        <v>954</v>
      </c>
      <c r="J91" t="s">
        <v>955</v>
      </c>
      <c r="K91" t="s">
        <v>65</v>
      </c>
      <c r="L91" t="s">
        <v>956</v>
      </c>
      <c r="M91" s="13">
        <v>45954.529710648138</v>
      </c>
      <c r="N91" s="13">
        <v>45955.430555555547</v>
      </c>
      <c r="O91" t="s">
        <v>265</v>
      </c>
      <c r="P91" t="s">
        <v>292</v>
      </c>
      <c r="Q91" t="s">
        <v>305</v>
      </c>
      <c r="R91" t="s">
        <v>306</v>
      </c>
      <c r="S91" t="s">
        <v>269</v>
      </c>
      <c r="T91" t="s">
        <v>269</v>
      </c>
      <c r="U91" t="s">
        <v>295</v>
      </c>
      <c r="V91" t="s">
        <v>957</v>
      </c>
      <c r="W91" t="s">
        <v>71</v>
      </c>
      <c r="X91" t="s">
        <v>958</v>
      </c>
      <c r="Y91" t="s">
        <v>107</v>
      </c>
      <c r="Z91" t="s">
        <v>73</v>
      </c>
      <c r="AA91" t="s">
        <v>505</v>
      </c>
      <c r="AB91" s="14">
        <v>1</v>
      </c>
      <c r="AC91" s="14">
        <v>0</v>
      </c>
      <c r="AD91" s="14">
        <v>0</v>
      </c>
      <c r="AE91" s="14">
        <v>0</v>
      </c>
      <c r="AF91" s="14">
        <v>0</v>
      </c>
      <c r="AG91" s="16">
        <v>163814</v>
      </c>
      <c r="AH91" s="16">
        <v>163814</v>
      </c>
    </row>
    <row r="92" spans="1:34" hidden="1">
      <c r="A92" t="s">
        <v>85</v>
      </c>
      <c r="B92" t="s">
        <v>86</v>
      </c>
      <c r="C92" t="s">
        <v>87</v>
      </c>
      <c r="D92" t="s">
        <v>200</v>
      </c>
      <c r="E92" t="s">
        <v>959</v>
      </c>
      <c r="F92" t="s">
        <v>960</v>
      </c>
      <c r="G92" t="s">
        <v>261</v>
      </c>
      <c r="H92" t="s">
        <v>91</v>
      </c>
      <c r="I92" t="s">
        <v>85</v>
      </c>
      <c r="J92" t="s">
        <v>961</v>
      </c>
      <c r="K92" t="s">
        <v>65</v>
      </c>
      <c r="L92" t="s">
        <v>962</v>
      </c>
      <c r="M92" s="13">
        <v>45954.590717592589</v>
      </c>
      <c r="N92" s="13">
        <v>45955.487500000003</v>
      </c>
      <c r="O92" t="s">
        <v>265</v>
      </c>
      <c r="P92" t="s">
        <v>292</v>
      </c>
      <c r="Q92" t="s">
        <v>332</v>
      </c>
      <c r="R92" t="s">
        <v>333</v>
      </c>
      <c r="S92" t="s">
        <v>67</v>
      </c>
      <c r="T92" t="s">
        <v>143</v>
      </c>
      <c r="V92" t="s">
        <v>963</v>
      </c>
      <c r="W92" t="s">
        <v>308</v>
      </c>
      <c r="Y92" t="s">
        <v>83</v>
      </c>
      <c r="Z92" t="s">
        <v>73</v>
      </c>
      <c r="AA92" t="s">
        <v>964</v>
      </c>
      <c r="AB92" s="14">
        <v>0</v>
      </c>
      <c r="AC92" s="14">
        <v>0</v>
      </c>
      <c r="AD92" s="14">
        <v>0</v>
      </c>
      <c r="AE92" s="14">
        <v>0</v>
      </c>
      <c r="AF92" s="14">
        <v>0</v>
      </c>
      <c r="AG92" s="16">
        <v>37905</v>
      </c>
      <c r="AH92" s="16">
        <v>37905</v>
      </c>
    </row>
    <row r="93" spans="1:34" hidden="1">
      <c r="A93" t="s">
        <v>85</v>
      </c>
      <c r="B93" t="s">
        <v>86</v>
      </c>
      <c r="C93" t="s">
        <v>87</v>
      </c>
      <c r="D93" t="s">
        <v>965</v>
      </c>
      <c r="E93" t="s">
        <v>966</v>
      </c>
      <c r="F93" t="s">
        <v>967</v>
      </c>
      <c r="G93" t="s">
        <v>261</v>
      </c>
      <c r="H93" t="s">
        <v>91</v>
      </c>
      <c r="I93" t="s">
        <v>968</v>
      </c>
      <c r="J93" t="s">
        <v>969</v>
      </c>
      <c r="K93" t="s">
        <v>65</v>
      </c>
      <c r="L93" t="s">
        <v>970</v>
      </c>
      <c r="M93" s="13">
        <v>45955.542372685188</v>
      </c>
      <c r="N93" s="13">
        <v>45957.52847222222</v>
      </c>
      <c r="O93" t="s">
        <v>265</v>
      </c>
      <c r="P93" t="s">
        <v>292</v>
      </c>
      <c r="Q93" t="s">
        <v>332</v>
      </c>
      <c r="R93" t="s">
        <v>367</v>
      </c>
      <c r="S93" t="s">
        <v>350</v>
      </c>
      <c r="T93" t="s">
        <v>971</v>
      </c>
      <c r="U93" t="s">
        <v>295</v>
      </c>
      <c r="V93" t="s">
        <v>972</v>
      </c>
      <c r="W93" t="s">
        <v>71</v>
      </c>
      <c r="X93" t="s">
        <v>973</v>
      </c>
      <c r="Y93" t="s">
        <v>107</v>
      </c>
      <c r="Z93" t="s">
        <v>73</v>
      </c>
      <c r="AA93" t="s">
        <v>749</v>
      </c>
      <c r="AB93" s="14">
        <v>1</v>
      </c>
      <c r="AC93" s="14">
        <v>0</v>
      </c>
      <c r="AD93" s="14">
        <v>0</v>
      </c>
      <c r="AE93" s="14">
        <v>0</v>
      </c>
      <c r="AF93" s="14">
        <v>0</v>
      </c>
      <c r="AG93" s="16">
        <v>163814</v>
      </c>
      <c r="AH93" s="16">
        <v>163814</v>
      </c>
    </row>
    <row r="94" spans="1:34" hidden="1">
      <c r="A94" t="s">
        <v>391</v>
      </c>
      <c r="B94" t="s">
        <v>176</v>
      </c>
      <c r="C94" t="s">
        <v>177</v>
      </c>
      <c r="D94" t="s">
        <v>506</v>
      </c>
      <c r="E94" t="s">
        <v>974</v>
      </c>
      <c r="F94" t="s">
        <v>975</v>
      </c>
      <c r="G94" t="s">
        <v>261</v>
      </c>
      <c r="H94" t="s">
        <v>509</v>
      </c>
      <c r="I94" t="s">
        <v>391</v>
      </c>
      <c r="J94" t="s">
        <v>976</v>
      </c>
      <c r="K94" t="s">
        <v>65</v>
      </c>
      <c r="L94" t="s">
        <v>977</v>
      </c>
      <c r="M94" s="13">
        <v>45957.373761574083</v>
      </c>
      <c r="N94" s="13">
        <v>45957.699305555558</v>
      </c>
      <c r="O94" t="s">
        <v>265</v>
      </c>
      <c r="P94" t="s">
        <v>292</v>
      </c>
      <c r="Q94" t="s">
        <v>332</v>
      </c>
      <c r="R94" t="s">
        <v>333</v>
      </c>
      <c r="S94" t="s">
        <v>269</v>
      </c>
      <c r="T94" t="s">
        <v>269</v>
      </c>
      <c r="U94" t="s">
        <v>295</v>
      </c>
      <c r="V94" t="s">
        <v>978</v>
      </c>
      <c r="W94" t="s">
        <v>71</v>
      </c>
      <c r="X94" t="s">
        <v>979</v>
      </c>
      <c r="Y94" t="s">
        <v>83</v>
      </c>
      <c r="Z94" t="s">
        <v>73</v>
      </c>
      <c r="AA94" t="s">
        <v>400</v>
      </c>
      <c r="AB94" s="14">
        <v>1</v>
      </c>
      <c r="AC94" s="14">
        <v>0</v>
      </c>
      <c r="AD94" s="14">
        <v>0</v>
      </c>
      <c r="AE94" s="14">
        <v>0</v>
      </c>
      <c r="AF94" s="14">
        <v>0</v>
      </c>
      <c r="AG94" s="16">
        <v>65960</v>
      </c>
      <c r="AH94" s="16">
        <v>65960</v>
      </c>
    </row>
    <row r="95" spans="1:34" hidden="1">
      <c r="A95" t="s">
        <v>85</v>
      </c>
      <c r="B95" t="s">
        <v>86</v>
      </c>
      <c r="C95" t="s">
        <v>87</v>
      </c>
      <c r="D95" t="s">
        <v>980</v>
      </c>
      <c r="E95" t="s">
        <v>981</v>
      </c>
      <c r="F95" t="s">
        <v>982</v>
      </c>
      <c r="G95" t="s">
        <v>261</v>
      </c>
      <c r="H95" t="s">
        <v>91</v>
      </c>
      <c r="I95" t="s">
        <v>983</v>
      </c>
      <c r="J95" t="s">
        <v>984</v>
      </c>
      <c r="K95" t="s">
        <v>65</v>
      </c>
      <c r="L95" t="s">
        <v>985</v>
      </c>
      <c r="M95" s="13">
        <v>45957.461354166669</v>
      </c>
      <c r="N95" s="13">
        <v>45958.677083333343</v>
      </c>
      <c r="O95" t="s">
        <v>265</v>
      </c>
      <c r="P95" t="s">
        <v>292</v>
      </c>
      <c r="Q95" t="s">
        <v>293</v>
      </c>
      <c r="R95" t="s">
        <v>294</v>
      </c>
      <c r="S95" t="s">
        <v>67</v>
      </c>
      <c r="T95" t="s">
        <v>68</v>
      </c>
      <c r="V95" t="s">
        <v>986</v>
      </c>
      <c r="W95" t="s">
        <v>308</v>
      </c>
      <c r="Y95" t="s">
        <v>107</v>
      </c>
      <c r="Z95" t="s">
        <v>73</v>
      </c>
      <c r="AA95" t="s">
        <v>505</v>
      </c>
      <c r="AB95" s="14">
        <v>0</v>
      </c>
      <c r="AC95" s="14">
        <v>0</v>
      </c>
      <c r="AD95" s="14">
        <v>0</v>
      </c>
      <c r="AE95" s="14">
        <v>0</v>
      </c>
      <c r="AF95" s="14">
        <v>0</v>
      </c>
      <c r="AG95" s="16">
        <v>37905</v>
      </c>
      <c r="AH95" s="16">
        <v>37905</v>
      </c>
    </row>
    <row r="96" spans="1:34" hidden="1">
      <c r="A96" t="s">
        <v>85</v>
      </c>
      <c r="B96" t="s">
        <v>86</v>
      </c>
      <c r="C96" t="s">
        <v>87</v>
      </c>
      <c r="D96" t="s">
        <v>200</v>
      </c>
      <c r="E96" t="s">
        <v>987</v>
      </c>
      <c r="F96" t="s">
        <v>988</v>
      </c>
      <c r="G96" t="s">
        <v>261</v>
      </c>
      <c r="H96" t="s">
        <v>91</v>
      </c>
      <c r="I96" t="s">
        <v>85</v>
      </c>
      <c r="J96" t="s">
        <v>989</v>
      </c>
      <c r="K96" t="s">
        <v>65</v>
      </c>
      <c r="L96" t="s">
        <v>990</v>
      </c>
      <c r="M96" s="13">
        <v>45957.550625000003</v>
      </c>
      <c r="N96" s="13">
        <v>45958.494444444441</v>
      </c>
      <c r="O96" t="s">
        <v>265</v>
      </c>
      <c r="P96" t="s">
        <v>292</v>
      </c>
      <c r="Q96" t="s">
        <v>305</v>
      </c>
      <c r="R96" t="s">
        <v>306</v>
      </c>
      <c r="S96" t="s">
        <v>67</v>
      </c>
      <c r="T96" t="s">
        <v>143</v>
      </c>
      <c r="U96" t="s">
        <v>295</v>
      </c>
      <c r="V96" t="s">
        <v>991</v>
      </c>
      <c r="W96" t="s">
        <v>71</v>
      </c>
      <c r="X96" t="s">
        <v>992</v>
      </c>
      <c r="Y96" t="s">
        <v>83</v>
      </c>
      <c r="Z96" t="s">
        <v>73</v>
      </c>
      <c r="AA96" t="s">
        <v>749</v>
      </c>
      <c r="AB96" s="14">
        <v>1</v>
      </c>
      <c r="AC96" s="14">
        <v>0</v>
      </c>
      <c r="AD96" s="14">
        <v>0</v>
      </c>
      <c r="AE96" s="14">
        <v>0</v>
      </c>
      <c r="AF96" s="14">
        <v>0</v>
      </c>
      <c r="AG96" s="16">
        <v>65960</v>
      </c>
      <c r="AH96" s="16">
        <v>65960</v>
      </c>
    </row>
    <row r="97" spans="1:34" hidden="1">
      <c r="A97" t="s">
        <v>85</v>
      </c>
      <c r="B97" t="s">
        <v>86</v>
      </c>
      <c r="C97" t="s">
        <v>87</v>
      </c>
      <c r="D97" t="s">
        <v>200</v>
      </c>
      <c r="E97" t="s">
        <v>993</v>
      </c>
      <c r="F97" t="s">
        <v>994</v>
      </c>
      <c r="G97" t="s">
        <v>261</v>
      </c>
      <c r="H97" t="s">
        <v>91</v>
      </c>
      <c r="I97" t="s">
        <v>85</v>
      </c>
      <c r="J97" t="s">
        <v>995</v>
      </c>
      <c r="K97" t="s">
        <v>65</v>
      </c>
      <c r="L97" t="s">
        <v>996</v>
      </c>
      <c r="M97" s="13">
        <v>45957.574907407397</v>
      </c>
      <c r="N97" s="13">
        <v>45958.479166666657</v>
      </c>
      <c r="O97" t="s">
        <v>265</v>
      </c>
      <c r="P97" t="s">
        <v>292</v>
      </c>
      <c r="Q97" t="s">
        <v>305</v>
      </c>
      <c r="R97" t="s">
        <v>306</v>
      </c>
      <c r="S97" t="s">
        <v>67</v>
      </c>
      <c r="T97" t="s">
        <v>143</v>
      </c>
      <c r="U97" t="s">
        <v>295</v>
      </c>
      <c r="V97" t="s">
        <v>997</v>
      </c>
      <c r="W97" t="s">
        <v>71</v>
      </c>
      <c r="X97" t="s">
        <v>998</v>
      </c>
      <c r="Y97" t="s">
        <v>83</v>
      </c>
      <c r="Z97" t="s">
        <v>73</v>
      </c>
      <c r="AA97" t="s">
        <v>749</v>
      </c>
      <c r="AB97" s="14">
        <v>1</v>
      </c>
      <c r="AC97" s="14">
        <v>0</v>
      </c>
      <c r="AD97" s="14">
        <v>0</v>
      </c>
      <c r="AE97" s="14">
        <v>0</v>
      </c>
      <c r="AF97" s="14">
        <v>0</v>
      </c>
      <c r="AG97" s="16">
        <v>65960</v>
      </c>
      <c r="AH97" s="16">
        <v>65960</v>
      </c>
    </row>
    <row r="98" spans="1:34" hidden="1">
      <c r="A98" t="s">
        <v>565</v>
      </c>
      <c r="B98" t="s">
        <v>156</v>
      </c>
      <c r="C98" t="s">
        <v>157</v>
      </c>
      <c r="D98" t="s">
        <v>999</v>
      </c>
      <c r="E98" t="s">
        <v>1000</v>
      </c>
      <c r="F98" t="s">
        <v>1001</v>
      </c>
      <c r="G98" t="s">
        <v>261</v>
      </c>
      <c r="H98" t="s">
        <v>569</v>
      </c>
      <c r="I98" t="s">
        <v>565</v>
      </c>
      <c r="J98" t="s">
        <v>1002</v>
      </c>
      <c r="K98" t="s">
        <v>65</v>
      </c>
      <c r="L98" t="s">
        <v>1003</v>
      </c>
      <c r="M98" s="13">
        <v>45957.625162037039</v>
      </c>
      <c r="N98" s="13">
        <v>45958.519444444442</v>
      </c>
      <c r="O98" t="s">
        <v>265</v>
      </c>
      <c r="P98" t="s">
        <v>292</v>
      </c>
      <c r="Q98" t="s">
        <v>332</v>
      </c>
      <c r="R98" t="s">
        <v>367</v>
      </c>
      <c r="S98" t="s">
        <v>323</v>
      </c>
      <c r="T98" t="s">
        <v>269</v>
      </c>
      <c r="U98" t="s">
        <v>295</v>
      </c>
      <c r="V98" t="s">
        <v>1004</v>
      </c>
      <c r="W98" t="s">
        <v>71</v>
      </c>
      <c r="X98" t="s">
        <v>1005</v>
      </c>
      <c r="Y98" t="s">
        <v>83</v>
      </c>
      <c r="Z98" t="s">
        <v>73</v>
      </c>
      <c r="AA98" t="s">
        <v>1006</v>
      </c>
      <c r="AB98" s="14">
        <v>1</v>
      </c>
      <c r="AC98" s="14">
        <v>0</v>
      </c>
      <c r="AD98" s="14">
        <v>0</v>
      </c>
      <c r="AE98" s="14">
        <v>0</v>
      </c>
      <c r="AF98" s="14">
        <v>0</v>
      </c>
      <c r="AG98" s="16">
        <v>65960</v>
      </c>
      <c r="AH98" s="16">
        <v>65960</v>
      </c>
    </row>
    <row r="99" spans="1:34" hidden="1">
      <c r="A99" t="s">
        <v>621</v>
      </c>
      <c r="B99" t="s">
        <v>55</v>
      </c>
      <c r="C99" t="s">
        <v>229</v>
      </c>
      <c r="D99" t="s">
        <v>622</v>
      </c>
      <c r="E99" t="s">
        <v>1007</v>
      </c>
      <c r="F99" t="s">
        <v>1008</v>
      </c>
      <c r="G99" t="s">
        <v>261</v>
      </c>
      <c r="H99" t="s">
        <v>625</v>
      </c>
      <c r="I99" t="s">
        <v>621</v>
      </c>
      <c r="J99" t="s">
        <v>1009</v>
      </c>
      <c r="K99" t="s">
        <v>65</v>
      </c>
      <c r="L99" t="s">
        <v>1010</v>
      </c>
      <c r="M99" s="13">
        <v>45957.63380787037</v>
      </c>
      <c r="N99" s="13">
        <v>45957.697222222218</v>
      </c>
      <c r="O99" t="s">
        <v>265</v>
      </c>
      <c r="P99" t="s">
        <v>292</v>
      </c>
      <c r="Q99" t="s">
        <v>332</v>
      </c>
      <c r="R99" t="s">
        <v>367</v>
      </c>
      <c r="S99" t="s">
        <v>67</v>
      </c>
      <c r="T99" t="s">
        <v>143</v>
      </c>
      <c r="V99" t="s">
        <v>1011</v>
      </c>
      <c r="W99" t="s">
        <v>308</v>
      </c>
      <c r="Y99" t="s">
        <v>83</v>
      </c>
      <c r="Z99" t="s">
        <v>73</v>
      </c>
      <c r="AA99" t="s">
        <v>699</v>
      </c>
      <c r="AB99" s="14">
        <v>0</v>
      </c>
      <c r="AC99" s="14">
        <v>0</v>
      </c>
      <c r="AD99" s="14">
        <v>0</v>
      </c>
      <c r="AE99" s="14">
        <v>0</v>
      </c>
      <c r="AF99" s="14">
        <v>0</v>
      </c>
      <c r="AG99" s="16">
        <v>37905</v>
      </c>
      <c r="AH99" s="16">
        <v>37905</v>
      </c>
    </row>
    <row r="100" spans="1:34" hidden="1">
      <c r="A100" t="s">
        <v>444</v>
      </c>
      <c r="B100" t="s">
        <v>176</v>
      </c>
      <c r="C100" t="s">
        <v>177</v>
      </c>
      <c r="D100" t="s">
        <v>1012</v>
      </c>
      <c r="E100" t="s">
        <v>1013</v>
      </c>
      <c r="F100" t="s">
        <v>1014</v>
      </c>
      <c r="G100" t="s">
        <v>261</v>
      </c>
      <c r="H100" t="s">
        <v>1015</v>
      </c>
      <c r="I100" t="s">
        <v>444</v>
      </c>
      <c r="J100" t="s">
        <v>1016</v>
      </c>
      <c r="K100" t="s">
        <v>65</v>
      </c>
      <c r="L100" t="s">
        <v>1017</v>
      </c>
      <c r="M100" s="13">
        <v>45957.706145833326</v>
      </c>
      <c r="N100" s="13">
        <v>45958.631249999999</v>
      </c>
      <c r="O100" t="s">
        <v>265</v>
      </c>
      <c r="P100" t="s">
        <v>292</v>
      </c>
      <c r="Q100" t="s">
        <v>332</v>
      </c>
      <c r="R100" t="s">
        <v>367</v>
      </c>
      <c r="S100" t="s">
        <v>67</v>
      </c>
      <c r="T100" t="s">
        <v>68</v>
      </c>
      <c r="U100" t="s">
        <v>295</v>
      </c>
      <c r="V100" t="s">
        <v>1018</v>
      </c>
      <c r="W100" t="s">
        <v>71</v>
      </c>
      <c r="X100" t="s">
        <v>1019</v>
      </c>
      <c r="Y100" t="s">
        <v>83</v>
      </c>
      <c r="Z100" t="s">
        <v>73</v>
      </c>
      <c r="AA100" t="s">
        <v>1020</v>
      </c>
      <c r="AB100" s="14">
        <v>1</v>
      </c>
      <c r="AC100" s="14">
        <v>0</v>
      </c>
      <c r="AD100" s="14">
        <v>0</v>
      </c>
      <c r="AE100" s="14">
        <v>0</v>
      </c>
      <c r="AF100" s="14">
        <v>0</v>
      </c>
      <c r="AG100" s="16">
        <v>65960</v>
      </c>
      <c r="AH100" s="16">
        <v>65960</v>
      </c>
    </row>
    <row r="101" spans="1:34" hidden="1">
      <c r="A101" t="s">
        <v>85</v>
      </c>
      <c r="B101" t="s">
        <v>86</v>
      </c>
      <c r="C101" t="s">
        <v>87</v>
      </c>
      <c r="D101" t="s">
        <v>1021</v>
      </c>
      <c r="E101" t="s">
        <v>1022</v>
      </c>
      <c r="F101" t="s">
        <v>1023</v>
      </c>
      <c r="G101" t="s">
        <v>261</v>
      </c>
      <c r="H101" t="s">
        <v>91</v>
      </c>
      <c r="I101" t="s">
        <v>1024</v>
      </c>
      <c r="J101" t="s">
        <v>1025</v>
      </c>
      <c r="K101" t="s">
        <v>65</v>
      </c>
      <c r="L101" t="s">
        <v>1026</v>
      </c>
      <c r="M101" s="13">
        <v>45958.622557870367</v>
      </c>
      <c r="N101" s="13">
        <v>45960.424305555563</v>
      </c>
      <c r="O101" t="s">
        <v>265</v>
      </c>
      <c r="P101" t="s">
        <v>292</v>
      </c>
      <c r="Q101" t="s">
        <v>332</v>
      </c>
      <c r="R101" t="s">
        <v>367</v>
      </c>
      <c r="S101" t="s">
        <v>269</v>
      </c>
      <c r="T101" t="s">
        <v>269</v>
      </c>
      <c r="V101" t="s">
        <v>1027</v>
      </c>
      <c r="W101" t="s">
        <v>308</v>
      </c>
      <c r="Y101" t="s">
        <v>145</v>
      </c>
      <c r="Z101" t="s">
        <v>73</v>
      </c>
      <c r="AA101" t="s">
        <v>646</v>
      </c>
      <c r="AB101" s="14">
        <v>0</v>
      </c>
      <c r="AC101" s="14">
        <v>0</v>
      </c>
      <c r="AD101" s="14">
        <v>0</v>
      </c>
      <c r="AE101" s="14">
        <v>0</v>
      </c>
      <c r="AF101" s="14">
        <v>0</v>
      </c>
      <c r="AG101" s="16">
        <v>37905</v>
      </c>
      <c r="AH101" s="16">
        <v>37905</v>
      </c>
    </row>
    <row r="102" spans="1:34" hidden="1">
      <c r="A102" t="s">
        <v>85</v>
      </c>
      <c r="B102" t="s">
        <v>86</v>
      </c>
      <c r="C102" t="s">
        <v>87</v>
      </c>
      <c r="D102" t="s">
        <v>1028</v>
      </c>
      <c r="E102" t="s">
        <v>1029</v>
      </c>
      <c r="F102" t="s">
        <v>1030</v>
      </c>
      <c r="G102" t="s">
        <v>261</v>
      </c>
      <c r="H102" t="s">
        <v>91</v>
      </c>
      <c r="I102" t="s">
        <v>1031</v>
      </c>
      <c r="J102" t="s">
        <v>1032</v>
      </c>
      <c r="K102" t="s">
        <v>65</v>
      </c>
      <c r="L102" t="s">
        <v>1033</v>
      </c>
      <c r="M102" s="13">
        <v>45959.333333333343</v>
      </c>
      <c r="N102" s="13">
        <v>45960.73541666667</v>
      </c>
      <c r="O102" t="s">
        <v>265</v>
      </c>
      <c r="P102" t="s">
        <v>292</v>
      </c>
      <c r="Q102" t="s">
        <v>381</v>
      </c>
      <c r="R102" t="s">
        <v>441</v>
      </c>
      <c r="S102" t="s">
        <v>67</v>
      </c>
      <c r="T102" t="s">
        <v>68</v>
      </c>
      <c r="U102" t="s">
        <v>295</v>
      </c>
      <c r="V102" t="s">
        <v>1034</v>
      </c>
      <c r="W102" t="s">
        <v>71</v>
      </c>
      <c r="X102" t="s">
        <v>1035</v>
      </c>
      <c r="Y102" t="s">
        <v>107</v>
      </c>
      <c r="Z102" t="s">
        <v>73</v>
      </c>
      <c r="AA102" t="s">
        <v>1036</v>
      </c>
      <c r="AB102" s="14">
        <v>1</v>
      </c>
      <c r="AC102" s="14">
        <v>0</v>
      </c>
      <c r="AD102" s="14">
        <v>0</v>
      </c>
      <c r="AE102" s="14">
        <v>0</v>
      </c>
      <c r="AF102" s="14">
        <v>0</v>
      </c>
      <c r="AG102" s="16">
        <v>163814</v>
      </c>
      <c r="AH102" s="16">
        <v>163814</v>
      </c>
    </row>
    <row r="103" spans="1:34" hidden="1">
      <c r="A103" t="s">
        <v>274</v>
      </c>
      <c r="B103" t="s">
        <v>156</v>
      </c>
      <c r="C103" t="s">
        <v>157</v>
      </c>
      <c r="D103" t="s">
        <v>1037</v>
      </c>
      <c r="E103" t="s">
        <v>1038</v>
      </c>
      <c r="F103" t="s">
        <v>1039</v>
      </c>
      <c r="G103" t="s">
        <v>261</v>
      </c>
      <c r="H103" t="s">
        <v>278</v>
      </c>
      <c r="I103" t="s">
        <v>1040</v>
      </c>
      <c r="J103" t="s">
        <v>1041</v>
      </c>
      <c r="K103" t="s">
        <v>65</v>
      </c>
      <c r="L103" t="s">
        <v>1042</v>
      </c>
      <c r="M103" s="13">
        <v>45959.333333333343</v>
      </c>
      <c r="N103" s="13">
        <v>45960.75277777778</v>
      </c>
      <c r="O103" t="s">
        <v>265</v>
      </c>
      <c r="P103" t="s">
        <v>292</v>
      </c>
      <c r="Q103" t="s">
        <v>332</v>
      </c>
      <c r="R103" t="s">
        <v>333</v>
      </c>
      <c r="S103" t="s">
        <v>269</v>
      </c>
      <c r="T103" t="s">
        <v>269</v>
      </c>
      <c r="U103" t="s">
        <v>352</v>
      </c>
      <c r="V103" t="s">
        <v>1043</v>
      </c>
      <c r="W103" t="s">
        <v>71</v>
      </c>
      <c r="X103" t="s">
        <v>834</v>
      </c>
      <c r="Y103" t="s">
        <v>107</v>
      </c>
      <c r="Z103" t="s">
        <v>73</v>
      </c>
      <c r="AA103" t="s">
        <v>285</v>
      </c>
      <c r="AB103" s="14">
        <v>1</v>
      </c>
      <c r="AC103" s="14">
        <v>0</v>
      </c>
      <c r="AD103" s="14">
        <v>0</v>
      </c>
      <c r="AE103" s="14">
        <v>0</v>
      </c>
      <c r="AF103" s="14">
        <v>0</v>
      </c>
      <c r="AG103" s="16">
        <v>163814</v>
      </c>
      <c r="AH103" s="16">
        <v>163814</v>
      </c>
    </row>
    <row r="104" spans="1:34" hidden="1">
      <c r="A104" t="s">
        <v>391</v>
      </c>
      <c r="B104" t="s">
        <v>176</v>
      </c>
      <c r="C104" t="s">
        <v>177</v>
      </c>
      <c r="D104" t="s">
        <v>506</v>
      </c>
      <c r="E104" t="s">
        <v>1044</v>
      </c>
      <c r="F104" t="s">
        <v>1045</v>
      </c>
      <c r="G104" t="s">
        <v>261</v>
      </c>
      <c r="H104" t="s">
        <v>509</v>
      </c>
      <c r="I104" t="s">
        <v>391</v>
      </c>
      <c r="J104" t="s">
        <v>1046</v>
      </c>
      <c r="K104" t="s">
        <v>65</v>
      </c>
      <c r="L104" t="s">
        <v>1047</v>
      </c>
      <c r="M104" s="13">
        <v>45959.425798611112</v>
      </c>
      <c r="N104" s="13">
        <v>45959.6875</v>
      </c>
      <c r="O104" t="s">
        <v>265</v>
      </c>
      <c r="P104" t="s">
        <v>292</v>
      </c>
      <c r="Q104" t="s">
        <v>293</v>
      </c>
      <c r="R104" t="s">
        <v>294</v>
      </c>
      <c r="S104" t="s">
        <v>323</v>
      </c>
      <c r="T104" t="s">
        <v>323</v>
      </c>
      <c r="U104" t="s">
        <v>295</v>
      </c>
      <c r="V104" t="s">
        <v>1048</v>
      </c>
      <c r="W104" t="s">
        <v>71</v>
      </c>
      <c r="X104" t="s">
        <v>1049</v>
      </c>
      <c r="Y104" t="s">
        <v>83</v>
      </c>
      <c r="Z104" t="s">
        <v>73</v>
      </c>
      <c r="AA104" t="s">
        <v>400</v>
      </c>
      <c r="AB104" s="14">
        <v>1</v>
      </c>
      <c r="AC104" s="14">
        <v>0</v>
      </c>
      <c r="AD104" s="14">
        <v>0</v>
      </c>
      <c r="AE104" s="14">
        <v>0</v>
      </c>
      <c r="AF104" s="14">
        <v>0</v>
      </c>
      <c r="AG104" s="16">
        <v>65960</v>
      </c>
      <c r="AH104" s="16">
        <v>65960</v>
      </c>
    </row>
    <row r="105" spans="1:34" hidden="1">
      <c r="A105" t="s">
        <v>759</v>
      </c>
      <c r="B105" t="s">
        <v>134</v>
      </c>
      <c r="C105" t="s">
        <v>135</v>
      </c>
      <c r="D105" t="s">
        <v>1050</v>
      </c>
      <c r="E105" t="s">
        <v>1051</v>
      </c>
      <c r="F105" t="s">
        <v>1052</v>
      </c>
      <c r="G105" t="s">
        <v>261</v>
      </c>
      <c r="H105" t="s">
        <v>763</v>
      </c>
      <c r="I105" t="s">
        <v>1053</v>
      </c>
      <c r="J105" t="s">
        <v>1054</v>
      </c>
      <c r="K105" t="s">
        <v>65</v>
      </c>
      <c r="L105" t="s">
        <v>1055</v>
      </c>
      <c r="M105" s="13">
        <v>45959.443692129629</v>
      </c>
      <c r="N105" s="13">
        <v>45960.652777777781</v>
      </c>
      <c r="O105" t="s">
        <v>265</v>
      </c>
      <c r="P105" t="s">
        <v>292</v>
      </c>
      <c r="Q105" t="s">
        <v>332</v>
      </c>
      <c r="R105" t="s">
        <v>367</v>
      </c>
      <c r="S105" t="s">
        <v>269</v>
      </c>
      <c r="T105" t="s">
        <v>269</v>
      </c>
      <c r="U105" t="s">
        <v>295</v>
      </c>
      <c r="V105" t="s">
        <v>1056</v>
      </c>
      <c r="W105" t="s">
        <v>71</v>
      </c>
      <c r="X105" t="s">
        <v>1057</v>
      </c>
      <c r="Y105" t="s">
        <v>107</v>
      </c>
      <c r="Z105" t="s">
        <v>73</v>
      </c>
      <c r="AA105" t="s">
        <v>1058</v>
      </c>
      <c r="AB105" s="14">
        <v>1</v>
      </c>
      <c r="AC105" s="14">
        <v>0</v>
      </c>
      <c r="AD105" s="14">
        <v>0</v>
      </c>
      <c r="AE105" s="14">
        <v>0</v>
      </c>
      <c r="AF105" s="14">
        <v>0</v>
      </c>
      <c r="AG105" s="16">
        <v>163814</v>
      </c>
      <c r="AH105" s="16">
        <v>163814</v>
      </c>
    </row>
    <row r="106" spans="1:34" hidden="1">
      <c r="A106" t="s">
        <v>117</v>
      </c>
      <c r="B106" t="s">
        <v>118</v>
      </c>
      <c r="C106" t="s">
        <v>119</v>
      </c>
      <c r="D106" t="s">
        <v>120</v>
      </c>
      <c r="E106" t="s">
        <v>1059</v>
      </c>
      <c r="F106" t="s">
        <v>1060</v>
      </c>
      <c r="G106" t="s">
        <v>261</v>
      </c>
      <c r="H106" t="s">
        <v>118</v>
      </c>
      <c r="I106" t="s">
        <v>117</v>
      </c>
      <c r="J106" t="s">
        <v>1061</v>
      </c>
      <c r="K106" t="s">
        <v>65</v>
      </c>
      <c r="L106" t="s">
        <v>1062</v>
      </c>
      <c r="M106" s="13">
        <v>45959.494293981479</v>
      </c>
      <c r="N106" s="13">
        <v>45960.46875</v>
      </c>
      <c r="O106" t="s">
        <v>265</v>
      </c>
      <c r="P106" t="s">
        <v>292</v>
      </c>
      <c r="Q106" t="s">
        <v>293</v>
      </c>
      <c r="R106" t="s">
        <v>294</v>
      </c>
      <c r="S106" t="s">
        <v>323</v>
      </c>
      <c r="T106" t="s">
        <v>269</v>
      </c>
      <c r="U106" t="s">
        <v>295</v>
      </c>
      <c r="V106" t="s">
        <v>1063</v>
      </c>
      <c r="W106" t="s">
        <v>71</v>
      </c>
      <c r="X106" t="s">
        <v>1064</v>
      </c>
      <c r="Y106" t="s">
        <v>83</v>
      </c>
      <c r="Z106" t="s">
        <v>73</v>
      </c>
      <c r="AA106" t="s">
        <v>1065</v>
      </c>
      <c r="AB106" s="14">
        <v>1</v>
      </c>
      <c r="AC106" s="14">
        <v>0</v>
      </c>
      <c r="AD106" s="14">
        <v>0</v>
      </c>
      <c r="AE106" s="14">
        <v>0</v>
      </c>
      <c r="AF106" s="14">
        <v>0</v>
      </c>
      <c r="AG106" s="16">
        <v>65960</v>
      </c>
      <c r="AH106" s="16">
        <v>65960</v>
      </c>
    </row>
    <row r="107" spans="1:34" hidden="1">
      <c r="A107" t="s">
        <v>117</v>
      </c>
      <c r="B107" t="s">
        <v>118</v>
      </c>
      <c r="C107" t="s">
        <v>119</v>
      </c>
      <c r="D107" t="s">
        <v>120</v>
      </c>
      <c r="E107" t="s">
        <v>1066</v>
      </c>
      <c r="F107" t="s">
        <v>1067</v>
      </c>
      <c r="G107" t="s">
        <v>261</v>
      </c>
      <c r="H107" t="s">
        <v>118</v>
      </c>
      <c r="I107" t="s">
        <v>117</v>
      </c>
      <c r="J107" t="s">
        <v>1068</v>
      </c>
      <c r="K107" t="s">
        <v>65</v>
      </c>
      <c r="L107" t="s">
        <v>1069</v>
      </c>
      <c r="M107" s="13">
        <v>45959.663865740738</v>
      </c>
      <c r="N107" s="13">
        <v>45960.517361111109</v>
      </c>
      <c r="O107" t="s">
        <v>265</v>
      </c>
      <c r="P107" t="s">
        <v>292</v>
      </c>
      <c r="Q107" t="s">
        <v>332</v>
      </c>
      <c r="R107" t="s">
        <v>367</v>
      </c>
      <c r="S107" t="s">
        <v>67</v>
      </c>
      <c r="T107" t="s">
        <v>143</v>
      </c>
      <c r="U107" t="s">
        <v>295</v>
      </c>
      <c r="V107" t="s">
        <v>1070</v>
      </c>
      <c r="W107" t="s">
        <v>71</v>
      </c>
      <c r="X107" t="s">
        <v>600</v>
      </c>
      <c r="Y107" t="s">
        <v>83</v>
      </c>
      <c r="Z107" t="s">
        <v>73</v>
      </c>
      <c r="AA107" t="s">
        <v>1071</v>
      </c>
      <c r="AB107" s="14">
        <v>1</v>
      </c>
      <c r="AC107" s="14">
        <v>0</v>
      </c>
      <c r="AD107" s="14">
        <v>0</v>
      </c>
      <c r="AE107" s="14">
        <v>0</v>
      </c>
      <c r="AF107" s="14">
        <v>0</v>
      </c>
      <c r="AG107" s="16">
        <v>65960</v>
      </c>
      <c r="AH107" s="16">
        <v>65960</v>
      </c>
    </row>
    <row r="108" spans="1:34" hidden="1">
      <c r="A108" t="s">
        <v>155</v>
      </c>
      <c r="B108" t="s">
        <v>156</v>
      </c>
      <c r="C108" t="s">
        <v>157</v>
      </c>
      <c r="D108" t="s">
        <v>1072</v>
      </c>
      <c r="E108" t="s">
        <v>1073</v>
      </c>
      <c r="F108" t="s">
        <v>1074</v>
      </c>
      <c r="G108" t="s">
        <v>261</v>
      </c>
      <c r="H108" t="s">
        <v>91</v>
      </c>
      <c r="I108" t="s">
        <v>1075</v>
      </c>
      <c r="J108" t="s">
        <v>1076</v>
      </c>
      <c r="K108" t="s">
        <v>65</v>
      </c>
      <c r="L108" t="s">
        <v>1077</v>
      </c>
      <c r="M108" s="13">
        <v>45959.707245370373</v>
      </c>
      <c r="N108" s="13">
        <v>45961.458333333343</v>
      </c>
      <c r="O108" t="s">
        <v>265</v>
      </c>
      <c r="P108" t="s">
        <v>292</v>
      </c>
      <c r="Q108" t="s">
        <v>651</v>
      </c>
      <c r="R108" t="s">
        <v>367</v>
      </c>
      <c r="S108" t="s">
        <v>269</v>
      </c>
      <c r="T108" t="s">
        <v>269</v>
      </c>
      <c r="U108" t="s">
        <v>295</v>
      </c>
      <c r="V108" t="s">
        <v>1078</v>
      </c>
      <c r="W108" t="s">
        <v>71</v>
      </c>
      <c r="X108" t="s">
        <v>1079</v>
      </c>
      <c r="Y108" t="s">
        <v>72</v>
      </c>
      <c r="Z108" t="s">
        <v>73</v>
      </c>
      <c r="AA108" t="s">
        <v>523</v>
      </c>
      <c r="AB108" s="14">
        <v>1</v>
      </c>
      <c r="AC108" s="14">
        <v>0</v>
      </c>
      <c r="AD108" s="14">
        <v>0</v>
      </c>
      <c r="AE108" s="14">
        <v>0</v>
      </c>
      <c r="AF108" s="14">
        <v>0</v>
      </c>
      <c r="AG108" s="16">
        <v>479590</v>
      </c>
      <c r="AH108" s="16">
        <v>479590</v>
      </c>
    </row>
    <row r="109" spans="1:34" hidden="1">
      <c r="A109" t="s">
        <v>1080</v>
      </c>
      <c r="B109" t="s">
        <v>176</v>
      </c>
      <c r="C109" t="s">
        <v>177</v>
      </c>
      <c r="D109" t="s">
        <v>1081</v>
      </c>
      <c r="E109" t="s">
        <v>1082</v>
      </c>
      <c r="F109" t="s">
        <v>1083</v>
      </c>
      <c r="G109" t="s">
        <v>261</v>
      </c>
      <c r="H109" t="s">
        <v>1084</v>
      </c>
      <c r="I109" t="s">
        <v>1080</v>
      </c>
      <c r="J109" t="s">
        <v>1085</v>
      </c>
      <c r="K109" t="s">
        <v>65</v>
      </c>
      <c r="L109" t="s">
        <v>1086</v>
      </c>
      <c r="M109" s="13">
        <v>45960.471805555557</v>
      </c>
      <c r="N109" s="13">
        <v>45961.5</v>
      </c>
      <c r="O109" t="s">
        <v>265</v>
      </c>
      <c r="P109" t="s">
        <v>292</v>
      </c>
      <c r="Q109" t="s">
        <v>332</v>
      </c>
      <c r="R109" t="s">
        <v>367</v>
      </c>
      <c r="S109" t="s">
        <v>67</v>
      </c>
      <c r="T109" t="s">
        <v>143</v>
      </c>
      <c r="U109" t="s">
        <v>295</v>
      </c>
      <c r="V109" t="s">
        <v>1087</v>
      </c>
      <c r="W109" t="s">
        <v>71</v>
      </c>
      <c r="X109" t="s">
        <v>1088</v>
      </c>
      <c r="Y109" t="s">
        <v>83</v>
      </c>
      <c r="Z109" t="s">
        <v>73</v>
      </c>
      <c r="AA109" t="s">
        <v>1089</v>
      </c>
      <c r="AB109" s="14">
        <v>1</v>
      </c>
      <c r="AC109" s="14">
        <v>0</v>
      </c>
      <c r="AD109" s="14">
        <v>0</v>
      </c>
      <c r="AE109" s="14">
        <v>0</v>
      </c>
      <c r="AF109" s="14">
        <v>0</v>
      </c>
      <c r="AG109" s="16">
        <v>65960</v>
      </c>
      <c r="AH109" s="16">
        <v>65960</v>
      </c>
    </row>
    <row r="110" spans="1:34" hidden="1">
      <c r="A110" t="s">
        <v>117</v>
      </c>
      <c r="B110" t="s">
        <v>118</v>
      </c>
      <c r="C110" t="s">
        <v>119</v>
      </c>
      <c r="D110" t="s">
        <v>1090</v>
      </c>
      <c r="E110" t="s">
        <v>1091</v>
      </c>
      <c r="F110" t="s">
        <v>1092</v>
      </c>
      <c r="G110" t="s">
        <v>261</v>
      </c>
      <c r="H110" t="s">
        <v>118</v>
      </c>
      <c r="I110" t="s">
        <v>1093</v>
      </c>
      <c r="J110" t="s">
        <v>1094</v>
      </c>
      <c r="K110" t="s">
        <v>65</v>
      </c>
      <c r="L110" t="s">
        <v>1095</v>
      </c>
      <c r="M110" s="13">
        <v>45960.495844907397</v>
      </c>
      <c r="N110" s="13">
        <v>45961.435416666667</v>
      </c>
      <c r="O110" t="s">
        <v>265</v>
      </c>
      <c r="P110" t="s">
        <v>292</v>
      </c>
      <c r="Q110" t="s">
        <v>305</v>
      </c>
      <c r="R110" t="s">
        <v>306</v>
      </c>
      <c r="S110" t="s">
        <v>323</v>
      </c>
      <c r="T110" t="s">
        <v>323</v>
      </c>
      <c r="U110" t="s">
        <v>295</v>
      </c>
      <c r="V110" t="s">
        <v>1096</v>
      </c>
      <c r="W110" t="s">
        <v>71</v>
      </c>
      <c r="X110" t="s">
        <v>942</v>
      </c>
      <c r="Y110" t="s">
        <v>107</v>
      </c>
      <c r="Z110" t="s">
        <v>73</v>
      </c>
      <c r="AA110" t="s">
        <v>1097</v>
      </c>
      <c r="AB110" s="14">
        <v>1</v>
      </c>
      <c r="AC110" s="14">
        <v>0</v>
      </c>
      <c r="AD110" s="14">
        <v>0</v>
      </c>
      <c r="AE110" s="14">
        <v>0</v>
      </c>
      <c r="AF110" s="14">
        <v>0</v>
      </c>
      <c r="AG110" s="16">
        <v>163814</v>
      </c>
      <c r="AH110" s="16">
        <v>163814</v>
      </c>
    </row>
    <row r="111" spans="1:34" hidden="1">
      <c r="A111" t="s">
        <v>85</v>
      </c>
      <c r="B111" t="s">
        <v>86</v>
      </c>
      <c r="C111" t="s">
        <v>87</v>
      </c>
      <c r="D111" t="s">
        <v>200</v>
      </c>
      <c r="E111" t="s">
        <v>1098</v>
      </c>
      <c r="F111" t="s">
        <v>1099</v>
      </c>
      <c r="G111" t="s">
        <v>261</v>
      </c>
      <c r="H111" t="s">
        <v>91</v>
      </c>
      <c r="I111" t="s">
        <v>85</v>
      </c>
      <c r="J111" t="s">
        <v>1100</v>
      </c>
      <c r="K111" t="s">
        <v>65</v>
      </c>
      <c r="L111" t="s">
        <v>1101</v>
      </c>
      <c r="M111" s="13">
        <v>45961.407835648148</v>
      </c>
      <c r="N111" s="13">
        <v>45961.67291666667</v>
      </c>
      <c r="O111" t="s">
        <v>265</v>
      </c>
      <c r="P111" t="s">
        <v>292</v>
      </c>
      <c r="Q111" t="s">
        <v>305</v>
      </c>
      <c r="R111" t="s">
        <v>306</v>
      </c>
      <c r="S111" t="s">
        <v>67</v>
      </c>
      <c r="T111" t="s">
        <v>143</v>
      </c>
      <c r="V111" t="s">
        <v>1102</v>
      </c>
      <c r="W111" t="s">
        <v>308</v>
      </c>
      <c r="Y111" t="s">
        <v>83</v>
      </c>
      <c r="Z111" t="s">
        <v>73</v>
      </c>
      <c r="AA111" t="s">
        <v>1103</v>
      </c>
      <c r="AB111" s="14">
        <v>0</v>
      </c>
      <c r="AC111" s="14">
        <v>0</v>
      </c>
      <c r="AD111" s="14">
        <v>0</v>
      </c>
      <c r="AE111" s="14">
        <v>0</v>
      </c>
      <c r="AF111" s="14">
        <v>0</v>
      </c>
      <c r="AG111" s="16">
        <v>37905</v>
      </c>
      <c r="AH111" s="16">
        <v>37905</v>
      </c>
    </row>
    <row r="112" spans="1:34" hidden="1">
      <c r="A112" t="s">
        <v>75</v>
      </c>
      <c r="B112" t="s">
        <v>55</v>
      </c>
      <c r="C112" t="s">
        <v>56</v>
      </c>
      <c r="D112" t="s">
        <v>76</v>
      </c>
      <c r="E112" t="s">
        <v>1104</v>
      </c>
      <c r="F112" t="s">
        <v>1105</v>
      </c>
      <c r="G112" t="s">
        <v>261</v>
      </c>
      <c r="H112" t="s">
        <v>79</v>
      </c>
      <c r="I112" t="s">
        <v>75</v>
      </c>
      <c r="J112" t="s">
        <v>1106</v>
      </c>
      <c r="K112" t="s">
        <v>65</v>
      </c>
      <c r="L112" t="s">
        <v>1107</v>
      </c>
      <c r="M112" s="13">
        <v>45959.333333333343</v>
      </c>
      <c r="N112" s="13">
        <v>45959.598611111112</v>
      </c>
      <c r="O112" t="s">
        <v>265</v>
      </c>
      <c r="P112" t="s">
        <v>292</v>
      </c>
      <c r="Q112" t="s">
        <v>305</v>
      </c>
      <c r="R112" t="s">
        <v>306</v>
      </c>
      <c r="S112" t="s">
        <v>269</v>
      </c>
      <c r="T112" t="s">
        <v>269</v>
      </c>
      <c r="U112" t="s">
        <v>352</v>
      </c>
      <c r="V112" t="s">
        <v>1108</v>
      </c>
      <c r="W112" t="s">
        <v>71</v>
      </c>
      <c r="Y112" t="s">
        <v>83</v>
      </c>
      <c r="Z112" t="s">
        <v>73</v>
      </c>
      <c r="AA112" t="s">
        <v>1109</v>
      </c>
      <c r="AB112" s="14">
        <v>1</v>
      </c>
      <c r="AC112" s="14">
        <v>0</v>
      </c>
      <c r="AD112" s="14">
        <v>0</v>
      </c>
      <c r="AE112" s="14">
        <v>0</v>
      </c>
      <c r="AF112" s="14">
        <v>0</v>
      </c>
      <c r="AG112" s="16">
        <v>65960</v>
      </c>
      <c r="AH112" s="16">
        <v>65960</v>
      </c>
    </row>
    <row r="113" spans="1:34" hidden="1">
      <c r="A113" t="s">
        <v>85</v>
      </c>
      <c r="B113" t="s">
        <v>86</v>
      </c>
      <c r="C113" t="s">
        <v>87</v>
      </c>
      <c r="D113" t="s">
        <v>200</v>
      </c>
      <c r="E113" t="s">
        <v>1110</v>
      </c>
      <c r="F113" t="s">
        <v>1111</v>
      </c>
      <c r="G113" t="s">
        <v>261</v>
      </c>
      <c r="H113" t="s">
        <v>91</v>
      </c>
      <c r="I113" t="s">
        <v>85</v>
      </c>
      <c r="J113" t="s">
        <v>1112</v>
      </c>
      <c r="K113" t="s">
        <v>65</v>
      </c>
      <c r="L113" t="s">
        <v>1113</v>
      </c>
      <c r="M113" s="13">
        <v>45959.333333333343</v>
      </c>
      <c r="N113" s="13">
        <v>45961.632638888892</v>
      </c>
      <c r="O113" t="s">
        <v>265</v>
      </c>
      <c r="P113" t="s">
        <v>292</v>
      </c>
      <c r="Q113" t="s">
        <v>305</v>
      </c>
      <c r="R113" t="s">
        <v>306</v>
      </c>
      <c r="S113" t="s">
        <v>350</v>
      </c>
      <c r="T113" t="s">
        <v>351</v>
      </c>
      <c r="U113" t="s">
        <v>295</v>
      </c>
      <c r="V113" t="s">
        <v>1114</v>
      </c>
      <c r="W113" t="s">
        <v>71</v>
      </c>
      <c r="X113" t="s">
        <v>1115</v>
      </c>
      <c r="Y113" t="s">
        <v>83</v>
      </c>
      <c r="Z113" t="s">
        <v>73</v>
      </c>
      <c r="AA113" t="s">
        <v>749</v>
      </c>
      <c r="AB113" s="14">
        <v>1</v>
      </c>
      <c r="AC113" s="14">
        <v>0</v>
      </c>
      <c r="AD113" s="14">
        <v>0</v>
      </c>
      <c r="AE113" s="14">
        <v>0</v>
      </c>
      <c r="AF113" s="14">
        <v>0</v>
      </c>
      <c r="AG113" s="16">
        <v>65960</v>
      </c>
      <c r="AH113" s="16">
        <v>65960</v>
      </c>
    </row>
    <row r="114" spans="1:34" hidden="1">
      <c r="A114" t="s">
        <v>85</v>
      </c>
      <c r="B114" t="s">
        <v>86</v>
      </c>
      <c r="C114" t="s">
        <v>87</v>
      </c>
      <c r="D114" t="s">
        <v>200</v>
      </c>
      <c r="E114" t="s">
        <v>1116</v>
      </c>
      <c r="F114" t="s">
        <v>1117</v>
      </c>
      <c r="G114" t="s">
        <v>261</v>
      </c>
      <c r="H114" t="s">
        <v>91</v>
      </c>
      <c r="I114" t="s">
        <v>85</v>
      </c>
      <c r="J114" t="s">
        <v>1118</v>
      </c>
      <c r="K114" t="s">
        <v>65</v>
      </c>
      <c r="L114" t="s">
        <v>1119</v>
      </c>
      <c r="M114" s="13">
        <v>45959.333333333343</v>
      </c>
      <c r="N114" s="13">
        <v>45961.695138888892</v>
      </c>
      <c r="O114" t="s">
        <v>265</v>
      </c>
      <c r="P114" t="s">
        <v>292</v>
      </c>
      <c r="Q114" t="s">
        <v>305</v>
      </c>
      <c r="R114" t="s">
        <v>306</v>
      </c>
      <c r="S114" t="s">
        <v>269</v>
      </c>
      <c r="T114" t="s">
        <v>269</v>
      </c>
      <c r="U114" t="s">
        <v>295</v>
      </c>
      <c r="V114" t="s">
        <v>1120</v>
      </c>
      <c r="W114" t="s">
        <v>71</v>
      </c>
      <c r="X114" t="s">
        <v>1121</v>
      </c>
      <c r="Y114" t="s">
        <v>83</v>
      </c>
      <c r="Z114" t="s">
        <v>73</v>
      </c>
      <c r="AA114" t="s">
        <v>749</v>
      </c>
      <c r="AB114" s="14">
        <v>1</v>
      </c>
      <c r="AC114" s="14">
        <v>0</v>
      </c>
      <c r="AD114" s="14">
        <v>0</v>
      </c>
      <c r="AE114" s="14">
        <v>0</v>
      </c>
      <c r="AF114" s="14">
        <v>0</v>
      </c>
      <c r="AG114" s="16">
        <v>65960</v>
      </c>
      <c r="AH114" s="16">
        <v>65960</v>
      </c>
    </row>
    <row r="115" spans="1:34" hidden="1">
      <c r="A115" t="s">
        <v>85</v>
      </c>
      <c r="B115" t="s">
        <v>86</v>
      </c>
      <c r="C115" t="s">
        <v>87</v>
      </c>
      <c r="D115" t="s">
        <v>1122</v>
      </c>
      <c r="E115" t="s">
        <v>1123</v>
      </c>
      <c r="F115" t="s">
        <v>1124</v>
      </c>
      <c r="G115" t="s">
        <v>261</v>
      </c>
      <c r="H115" t="s">
        <v>91</v>
      </c>
      <c r="I115" t="s">
        <v>1125</v>
      </c>
      <c r="J115" t="s">
        <v>1126</v>
      </c>
      <c r="K115" t="s">
        <v>65</v>
      </c>
      <c r="L115" t="s">
        <v>1127</v>
      </c>
      <c r="M115" s="13">
        <v>45959.333333333343</v>
      </c>
      <c r="N115" s="13">
        <v>45960.574999999997</v>
      </c>
      <c r="O115" t="s">
        <v>265</v>
      </c>
      <c r="P115" t="s">
        <v>292</v>
      </c>
      <c r="Q115" t="s">
        <v>305</v>
      </c>
      <c r="R115" t="s">
        <v>306</v>
      </c>
      <c r="S115" t="s">
        <v>269</v>
      </c>
      <c r="T115" t="s">
        <v>269</v>
      </c>
      <c r="U115" t="s">
        <v>352</v>
      </c>
      <c r="V115" t="s">
        <v>1128</v>
      </c>
      <c r="W115" t="s">
        <v>71</v>
      </c>
      <c r="X115" t="s">
        <v>834</v>
      </c>
      <c r="Y115" t="s">
        <v>107</v>
      </c>
      <c r="Z115" t="s">
        <v>73</v>
      </c>
      <c r="AA115" t="s">
        <v>749</v>
      </c>
      <c r="AB115" s="14">
        <v>1</v>
      </c>
      <c r="AC115" s="14">
        <v>0</v>
      </c>
      <c r="AD115" s="14">
        <v>0</v>
      </c>
      <c r="AE115" s="14">
        <v>0</v>
      </c>
      <c r="AF115" s="14">
        <v>0</v>
      </c>
      <c r="AG115" s="16">
        <v>163814</v>
      </c>
      <c r="AH115" s="16">
        <v>163814</v>
      </c>
    </row>
    <row r="116" spans="1:34" hidden="1">
      <c r="AH116" s="17">
        <f>SUM(AH2:AH115)</f>
        <v>13289236</v>
      </c>
    </row>
  </sheetData>
  <autoFilter ref="A1:AH116" xr:uid="{00000000-0001-0000-0200-000000000000}">
    <filterColumn colId="25">
      <filters>
        <filter val="AEREO"/>
        <filter val="FLUVIAL"/>
      </filters>
    </filterColumn>
  </autoFilter>
  <conditionalFormatting sqref="E1:E1048576">
    <cfRule type="duplicateValues" dxfId="2"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2"/>
  <sheetViews>
    <sheetView workbookViewId="0">
      <selection activeCell="AG17" sqref="AG17"/>
    </sheetView>
  </sheetViews>
  <sheetFormatPr baseColWidth="10" defaultColWidth="9.140625" defaultRowHeight="12.75"/>
  <cols>
    <col min="1" max="1" width="13" customWidth="1"/>
    <col min="2" max="2" width="29" customWidth="1"/>
    <col min="3" max="3" width="27" customWidth="1"/>
    <col min="4" max="4" width="13" customWidth="1"/>
    <col min="5" max="5" width="21" customWidth="1"/>
    <col min="6" max="6" width="12" customWidth="1"/>
    <col min="7" max="7" width="13" customWidth="1"/>
    <col min="8" max="8" width="20" customWidth="1"/>
    <col min="9" max="9" width="29" customWidth="1"/>
    <col min="10" max="10" width="45" customWidth="1"/>
    <col min="11" max="11" width="10" customWidth="1"/>
    <col min="12" max="12" width="31" customWidth="1"/>
    <col min="13" max="13" width="41" customWidth="1"/>
    <col min="14" max="14" width="44" customWidth="1"/>
    <col min="15" max="16" width="11" customWidth="1"/>
    <col min="17" max="17" width="18" customWidth="1"/>
    <col min="18" max="18" width="14" customWidth="1"/>
    <col min="19" max="19" width="15" customWidth="1"/>
    <col min="20" max="20" width="35" customWidth="1"/>
    <col min="21" max="21" width="41" customWidth="1"/>
    <col min="22" max="22" width="50" customWidth="1"/>
    <col min="23" max="23" width="20" customWidth="1"/>
    <col min="24" max="25" width="14" customWidth="1"/>
    <col min="26" max="26" width="18" customWidth="1"/>
    <col min="27" max="27" width="35" customWidth="1"/>
    <col min="28" max="28" width="16" customWidth="1"/>
    <col min="29" max="29" width="10" customWidth="1"/>
    <col min="30" max="30" width="17" customWidth="1"/>
    <col min="31" max="31" width="21" customWidth="1"/>
    <col min="32" max="32" width="17" style="16" customWidth="1"/>
    <col min="33" max="33" width="13" style="16" customWidth="1"/>
  </cols>
  <sheetData>
    <row r="1" spans="1:33" ht="30">
      <c r="A1" s="12" t="s">
        <v>23</v>
      </c>
      <c r="B1" s="12" t="s">
        <v>24</v>
      </c>
      <c r="C1" s="12" t="s">
        <v>25</v>
      </c>
      <c r="D1" s="12" t="s">
        <v>26</v>
      </c>
      <c r="E1" s="12" t="s">
        <v>27</v>
      </c>
      <c r="F1" s="12" t="s">
        <v>28</v>
      </c>
      <c r="G1" s="12" t="s">
        <v>29</v>
      </c>
      <c r="H1" s="12" t="s">
        <v>31</v>
      </c>
      <c r="I1" s="12" t="s">
        <v>32</v>
      </c>
      <c r="J1" s="12" t="s">
        <v>33</v>
      </c>
      <c r="K1" s="12" t="s">
        <v>34</v>
      </c>
      <c r="L1" s="12" t="s">
        <v>35</v>
      </c>
      <c r="M1" s="12" t="s">
        <v>248</v>
      </c>
      <c r="N1" s="12" t="s">
        <v>249</v>
      </c>
      <c r="O1" s="12" t="s">
        <v>250</v>
      </c>
      <c r="P1" s="12" t="s">
        <v>1129</v>
      </c>
      <c r="Q1" s="12" t="s">
        <v>1130</v>
      </c>
      <c r="R1" s="12" t="s">
        <v>38</v>
      </c>
      <c r="S1" s="12" t="s">
        <v>39</v>
      </c>
      <c r="T1" s="12" t="s">
        <v>40</v>
      </c>
      <c r="U1" s="12" t="s">
        <v>1131</v>
      </c>
      <c r="V1" s="12" t="s">
        <v>254</v>
      </c>
      <c r="W1" s="12" t="s">
        <v>42</v>
      </c>
      <c r="X1" s="12" t="s">
        <v>43</v>
      </c>
      <c r="Y1" s="12" t="s">
        <v>44</v>
      </c>
      <c r="Z1" s="12" t="s">
        <v>45</v>
      </c>
      <c r="AA1" s="12" t="s">
        <v>46</v>
      </c>
      <c r="AB1" s="12" t="s">
        <v>255</v>
      </c>
      <c r="AC1" s="12" t="s">
        <v>49</v>
      </c>
      <c r="AD1" s="12" t="s">
        <v>47</v>
      </c>
      <c r="AE1" s="12" t="s">
        <v>256</v>
      </c>
      <c r="AF1" s="15" t="s">
        <v>1132</v>
      </c>
      <c r="AG1" s="15" t="s">
        <v>1133</v>
      </c>
    </row>
    <row r="2" spans="1:33">
      <c r="A2" t="s">
        <v>155</v>
      </c>
      <c r="B2" t="s">
        <v>156</v>
      </c>
      <c r="C2" t="s">
        <v>157</v>
      </c>
      <c r="D2" t="s">
        <v>515</v>
      </c>
      <c r="E2" t="s">
        <v>1134</v>
      </c>
      <c r="F2" t="s">
        <v>1135</v>
      </c>
      <c r="G2" t="s">
        <v>1136</v>
      </c>
      <c r="H2" t="s">
        <v>518</v>
      </c>
      <c r="I2" t="s">
        <v>519</v>
      </c>
      <c r="J2" t="s">
        <v>1137</v>
      </c>
      <c r="K2" t="s">
        <v>65</v>
      </c>
      <c r="L2" t="s">
        <v>1138</v>
      </c>
      <c r="M2" s="13">
        <v>45945.333333333343</v>
      </c>
      <c r="N2" s="13">
        <v>45945.494131944448</v>
      </c>
      <c r="O2" t="s">
        <v>265</v>
      </c>
      <c r="P2" t="s">
        <v>1139</v>
      </c>
      <c r="Q2" t="s">
        <v>1140</v>
      </c>
      <c r="R2" t="s">
        <v>67</v>
      </c>
      <c r="S2" t="s">
        <v>143</v>
      </c>
      <c r="U2" t="s">
        <v>1141</v>
      </c>
      <c r="V2" t="s">
        <v>1142</v>
      </c>
      <c r="W2" t="s">
        <v>308</v>
      </c>
      <c r="Y2" t="s">
        <v>145</v>
      </c>
      <c r="Z2" t="s">
        <v>73</v>
      </c>
      <c r="AA2" t="s">
        <v>1143</v>
      </c>
      <c r="AB2" s="14">
        <v>0</v>
      </c>
      <c r="AC2" s="14">
        <v>0</v>
      </c>
      <c r="AD2" s="14">
        <v>0</v>
      </c>
      <c r="AE2" s="14">
        <v>0</v>
      </c>
      <c r="AF2" s="16">
        <v>37905</v>
      </c>
      <c r="AG2" s="16">
        <v>37905</v>
      </c>
    </row>
    <row r="3" spans="1:33">
      <c r="A3" t="s">
        <v>75</v>
      </c>
      <c r="B3" t="s">
        <v>55</v>
      </c>
      <c r="C3" t="s">
        <v>56</v>
      </c>
      <c r="D3" t="s">
        <v>76</v>
      </c>
      <c r="E3" t="s">
        <v>1144</v>
      </c>
      <c r="F3" t="s">
        <v>1145</v>
      </c>
      <c r="G3" t="s">
        <v>1136</v>
      </c>
      <c r="H3" t="s">
        <v>79</v>
      </c>
      <c r="I3" t="s">
        <v>75</v>
      </c>
      <c r="J3" t="s">
        <v>1146</v>
      </c>
      <c r="K3" t="s">
        <v>65</v>
      </c>
      <c r="L3" t="s">
        <v>1147</v>
      </c>
      <c r="M3" s="13">
        <v>45945.333333333343</v>
      </c>
      <c r="N3" s="13">
        <v>45945.489166666674</v>
      </c>
      <c r="O3" t="s">
        <v>265</v>
      </c>
      <c r="P3" t="s">
        <v>1139</v>
      </c>
      <c r="Q3" t="s">
        <v>1140</v>
      </c>
      <c r="R3" t="s">
        <v>67</v>
      </c>
      <c r="S3" t="s">
        <v>143</v>
      </c>
      <c r="U3" t="s">
        <v>1141</v>
      </c>
      <c r="V3" t="s">
        <v>1148</v>
      </c>
      <c r="W3" t="s">
        <v>308</v>
      </c>
      <c r="Y3" t="s">
        <v>83</v>
      </c>
      <c r="Z3" t="s">
        <v>73</v>
      </c>
      <c r="AA3" t="s">
        <v>1143</v>
      </c>
      <c r="AB3" s="14">
        <v>0</v>
      </c>
      <c r="AC3" s="14">
        <v>0</v>
      </c>
      <c r="AD3" s="14">
        <v>0</v>
      </c>
      <c r="AE3" s="14">
        <v>0</v>
      </c>
      <c r="AF3" s="16">
        <v>37905</v>
      </c>
      <c r="AG3" s="16">
        <v>37905</v>
      </c>
    </row>
    <row r="4" spans="1:33">
      <c r="A4" t="s">
        <v>274</v>
      </c>
      <c r="B4" t="s">
        <v>156</v>
      </c>
      <c r="C4" t="s">
        <v>157</v>
      </c>
      <c r="D4" t="s">
        <v>275</v>
      </c>
      <c r="E4" t="s">
        <v>1149</v>
      </c>
      <c r="F4" t="s">
        <v>1150</v>
      </c>
      <c r="G4" t="s">
        <v>1136</v>
      </c>
      <c r="H4" t="s">
        <v>278</v>
      </c>
      <c r="I4" t="s">
        <v>279</v>
      </c>
      <c r="J4" t="s">
        <v>1151</v>
      </c>
      <c r="K4" t="s">
        <v>65</v>
      </c>
      <c r="L4" t="s">
        <v>1152</v>
      </c>
      <c r="M4" s="13">
        <v>45947.556250000001</v>
      </c>
      <c r="N4" s="13">
        <v>45951.685983796298</v>
      </c>
      <c r="O4" t="s">
        <v>265</v>
      </c>
      <c r="P4" t="s">
        <v>1139</v>
      </c>
      <c r="Q4" t="s">
        <v>1140</v>
      </c>
      <c r="R4" t="s">
        <v>67</v>
      </c>
      <c r="S4" t="s">
        <v>68</v>
      </c>
      <c r="U4" t="s">
        <v>1141</v>
      </c>
      <c r="V4" t="s">
        <v>1153</v>
      </c>
      <c r="W4" t="s">
        <v>308</v>
      </c>
      <c r="Y4" t="s">
        <v>83</v>
      </c>
      <c r="Z4" t="s">
        <v>73</v>
      </c>
      <c r="AA4" t="s">
        <v>285</v>
      </c>
      <c r="AB4" s="14">
        <v>0</v>
      </c>
      <c r="AC4" s="14">
        <v>0</v>
      </c>
      <c r="AD4" s="14">
        <v>0</v>
      </c>
      <c r="AE4" s="14">
        <v>0</v>
      </c>
      <c r="AF4" s="16">
        <v>37905</v>
      </c>
      <c r="AG4" s="16">
        <v>37905</v>
      </c>
    </row>
    <row r="5" spans="1:33">
      <c r="A5" t="s">
        <v>133</v>
      </c>
      <c r="B5" t="s">
        <v>134</v>
      </c>
      <c r="C5" t="s">
        <v>135</v>
      </c>
      <c r="D5" t="s">
        <v>480</v>
      </c>
      <c r="E5" t="s">
        <v>1154</v>
      </c>
      <c r="F5" t="s">
        <v>1155</v>
      </c>
      <c r="G5" t="s">
        <v>1136</v>
      </c>
      <c r="H5" t="s">
        <v>483</v>
      </c>
      <c r="I5" t="s">
        <v>484</v>
      </c>
      <c r="J5" t="s">
        <v>1156</v>
      </c>
      <c r="K5" t="s">
        <v>65</v>
      </c>
      <c r="L5" t="s">
        <v>1157</v>
      </c>
      <c r="M5" s="13">
        <v>45953.515972222223</v>
      </c>
      <c r="N5" s="13">
        <v>45954.492210648154</v>
      </c>
      <c r="O5" t="s">
        <v>265</v>
      </c>
      <c r="P5" t="s">
        <v>1139</v>
      </c>
      <c r="Q5" t="s">
        <v>1140</v>
      </c>
      <c r="R5" t="s">
        <v>269</v>
      </c>
      <c r="S5" t="s">
        <v>269</v>
      </c>
      <c r="U5" t="s">
        <v>1141</v>
      </c>
      <c r="V5" t="s">
        <v>1158</v>
      </c>
      <c r="W5" t="s">
        <v>308</v>
      </c>
      <c r="Y5" t="s">
        <v>72</v>
      </c>
      <c r="Z5" t="s">
        <v>73</v>
      </c>
      <c r="AA5" t="s">
        <v>490</v>
      </c>
      <c r="AB5" s="14">
        <v>0</v>
      </c>
      <c r="AC5" s="14">
        <v>0</v>
      </c>
      <c r="AD5" s="14">
        <v>0</v>
      </c>
      <c r="AE5" s="14">
        <v>0</v>
      </c>
      <c r="AF5" s="16">
        <v>37905</v>
      </c>
      <c r="AG5" s="16">
        <v>37905</v>
      </c>
    </row>
    <row r="6" spans="1:33">
      <c r="A6" t="s">
        <v>85</v>
      </c>
      <c r="B6" t="s">
        <v>86</v>
      </c>
      <c r="C6" t="s">
        <v>87</v>
      </c>
      <c r="D6" t="s">
        <v>1159</v>
      </c>
      <c r="E6" t="s">
        <v>1160</v>
      </c>
      <c r="F6" t="s">
        <v>1161</v>
      </c>
      <c r="G6" t="s">
        <v>1136</v>
      </c>
      <c r="H6" t="s">
        <v>91</v>
      </c>
      <c r="I6" t="s">
        <v>1162</v>
      </c>
      <c r="J6" t="s">
        <v>1163</v>
      </c>
      <c r="K6" t="s">
        <v>65</v>
      </c>
      <c r="L6" t="s">
        <v>1164</v>
      </c>
      <c r="M6" s="13">
        <v>45947.556250000001</v>
      </c>
      <c r="N6" s="13">
        <v>45950.698611111111</v>
      </c>
      <c r="O6" t="s">
        <v>265</v>
      </c>
      <c r="P6" t="s">
        <v>1139</v>
      </c>
      <c r="Q6" t="s">
        <v>1140</v>
      </c>
      <c r="R6" t="s">
        <v>67</v>
      </c>
      <c r="S6" t="s">
        <v>143</v>
      </c>
      <c r="U6" t="s">
        <v>1165</v>
      </c>
      <c r="V6" t="s">
        <v>1166</v>
      </c>
      <c r="W6" t="s">
        <v>308</v>
      </c>
      <c r="Y6" t="s">
        <v>145</v>
      </c>
      <c r="Z6" t="s">
        <v>73</v>
      </c>
      <c r="AA6" t="s">
        <v>1143</v>
      </c>
      <c r="AB6" s="14">
        <v>0</v>
      </c>
      <c r="AC6" s="14">
        <v>0</v>
      </c>
      <c r="AD6" s="14">
        <v>0</v>
      </c>
      <c r="AE6" s="14">
        <v>0</v>
      </c>
      <c r="AF6" s="16">
        <v>37905</v>
      </c>
      <c r="AG6" s="16">
        <v>37905</v>
      </c>
    </row>
    <row r="7" spans="1:33">
      <c r="A7" t="s">
        <v>75</v>
      </c>
      <c r="B7" t="s">
        <v>55</v>
      </c>
      <c r="C7" t="s">
        <v>56</v>
      </c>
      <c r="D7" t="s">
        <v>76</v>
      </c>
      <c r="E7" t="s">
        <v>1167</v>
      </c>
      <c r="F7" t="s">
        <v>378</v>
      </c>
      <c r="G7" t="s">
        <v>1136</v>
      </c>
      <c r="H7" t="s">
        <v>79</v>
      </c>
      <c r="I7" t="s">
        <v>75</v>
      </c>
      <c r="J7" t="s">
        <v>379</v>
      </c>
      <c r="K7" t="s">
        <v>65</v>
      </c>
      <c r="L7" t="s">
        <v>1168</v>
      </c>
      <c r="M7" s="13">
        <v>45950.720833333333</v>
      </c>
      <c r="N7" s="13">
        <v>45951.448761574073</v>
      </c>
      <c r="O7" t="s">
        <v>265</v>
      </c>
      <c r="P7" t="s">
        <v>1139</v>
      </c>
      <c r="Q7" t="s">
        <v>1140</v>
      </c>
      <c r="R7" t="s">
        <v>323</v>
      </c>
      <c r="S7" t="s">
        <v>269</v>
      </c>
      <c r="V7" t="s">
        <v>1169</v>
      </c>
      <c r="W7" t="s">
        <v>308</v>
      </c>
      <c r="Y7" t="s">
        <v>83</v>
      </c>
      <c r="Z7" t="s">
        <v>73</v>
      </c>
      <c r="AA7" t="s">
        <v>1170</v>
      </c>
      <c r="AB7" s="14">
        <v>0</v>
      </c>
      <c r="AC7" s="14">
        <v>0</v>
      </c>
      <c r="AD7" s="14">
        <v>0</v>
      </c>
      <c r="AE7" s="14">
        <v>0</v>
      </c>
      <c r="AF7" s="16">
        <v>37905</v>
      </c>
      <c r="AG7" s="16">
        <v>37905</v>
      </c>
    </row>
    <row r="8" spans="1:33">
      <c r="A8" t="s">
        <v>274</v>
      </c>
      <c r="B8" t="s">
        <v>156</v>
      </c>
      <c r="C8" t="s">
        <v>157</v>
      </c>
      <c r="D8" t="s">
        <v>1171</v>
      </c>
      <c r="E8" t="s">
        <v>1172</v>
      </c>
      <c r="F8" t="s">
        <v>1173</v>
      </c>
      <c r="G8" t="s">
        <v>1136</v>
      </c>
      <c r="H8" t="s">
        <v>278</v>
      </c>
      <c r="I8" t="s">
        <v>274</v>
      </c>
      <c r="J8" t="s">
        <v>1174</v>
      </c>
      <c r="K8" t="s">
        <v>65</v>
      </c>
      <c r="L8" t="s">
        <v>1175</v>
      </c>
      <c r="M8" s="13">
        <v>45950.711805555547</v>
      </c>
      <c r="N8" s="13">
        <v>45957.415775462963</v>
      </c>
      <c r="O8" t="s">
        <v>265</v>
      </c>
      <c r="P8" t="s">
        <v>1139</v>
      </c>
      <c r="Q8" t="s">
        <v>1140</v>
      </c>
      <c r="R8" t="s">
        <v>67</v>
      </c>
      <c r="S8" t="s">
        <v>68</v>
      </c>
      <c r="T8" t="s">
        <v>270</v>
      </c>
      <c r="U8" t="s">
        <v>1176</v>
      </c>
      <c r="V8" t="s">
        <v>1177</v>
      </c>
      <c r="W8" t="s">
        <v>71</v>
      </c>
      <c r="X8" t="s">
        <v>1178</v>
      </c>
      <c r="Y8" t="s">
        <v>83</v>
      </c>
      <c r="Z8" t="s">
        <v>73</v>
      </c>
      <c r="AA8" t="s">
        <v>1179</v>
      </c>
      <c r="AB8" s="14">
        <v>1</v>
      </c>
      <c r="AC8" s="14">
        <v>0</v>
      </c>
      <c r="AD8" s="14">
        <v>0</v>
      </c>
      <c r="AE8" s="14">
        <v>0</v>
      </c>
      <c r="AF8" s="16">
        <v>65960</v>
      </c>
      <c r="AG8" s="16">
        <v>65960</v>
      </c>
    </row>
    <row r="9" spans="1:33">
      <c r="A9" t="s">
        <v>75</v>
      </c>
      <c r="B9" t="s">
        <v>55</v>
      </c>
      <c r="C9" t="s">
        <v>56</v>
      </c>
      <c r="D9" t="s">
        <v>1180</v>
      </c>
      <c r="E9" t="s">
        <v>1181</v>
      </c>
      <c r="F9" t="s">
        <v>1182</v>
      </c>
      <c r="G9" t="s">
        <v>1136</v>
      </c>
      <c r="H9" t="s">
        <v>102</v>
      </c>
      <c r="I9" t="s">
        <v>1183</v>
      </c>
      <c r="J9" t="s">
        <v>1184</v>
      </c>
      <c r="K9" t="s">
        <v>65</v>
      </c>
      <c r="L9" t="s">
        <v>1185</v>
      </c>
      <c r="M9" s="13">
        <v>45958.636111111111</v>
      </c>
      <c r="N9" s="13">
        <v>45958.734259259261</v>
      </c>
      <c r="O9" t="s">
        <v>265</v>
      </c>
      <c r="P9" t="s">
        <v>1139</v>
      </c>
      <c r="R9" t="s">
        <v>269</v>
      </c>
      <c r="S9" t="s">
        <v>269</v>
      </c>
      <c r="V9" t="s">
        <v>1186</v>
      </c>
      <c r="W9" t="s">
        <v>308</v>
      </c>
      <c r="Y9" t="s">
        <v>145</v>
      </c>
      <c r="Z9" t="s">
        <v>73</v>
      </c>
      <c r="AA9" t="s">
        <v>1187</v>
      </c>
      <c r="AB9" s="14">
        <v>0</v>
      </c>
      <c r="AC9" s="14">
        <v>0</v>
      </c>
      <c r="AD9" s="14">
        <v>0</v>
      </c>
      <c r="AE9" s="14">
        <v>0</v>
      </c>
      <c r="AF9" s="16">
        <v>37905</v>
      </c>
      <c r="AG9" s="16">
        <v>37905</v>
      </c>
    </row>
    <row r="10" spans="1:33">
      <c r="A10" t="s">
        <v>117</v>
      </c>
      <c r="B10" t="s">
        <v>118</v>
      </c>
      <c r="C10" t="s">
        <v>119</v>
      </c>
      <c r="D10" t="s">
        <v>299</v>
      </c>
      <c r="E10" t="s">
        <v>1188</v>
      </c>
      <c r="F10" t="s">
        <v>1189</v>
      </c>
      <c r="G10" t="s">
        <v>1136</v>
      </c>
      <c r="H10" t="s">
        <v>118</v>
      </c>
      <c r="I10" t="s">
        <v>302</v>
      </c>
      <c r="J10" t="s">
        <v>1190</v>
      </c>
      <c r="K10" t="s">
        <v>65</v>
      </c>
      <c r="L10" t="s">
        <v>1191</v>
      </c>
      <c r="M10" s="13">
        <v>45960.455555555563</v>
      </c>
      <c r="N10" s="13">
        <v>45961.709722222222</v>
      </c>
      <c r="O10" t="s">
        <v>265</v>
      </c>
      <c r="P10" t="s">
        <v>1139</v>
      </c>
      <c r="Q10" t="s">
        <v>1140</v>
      </c>
      <c r="R10" t="s">
        <v>67</v>
      </c>
      <c r="S10" t="s">
        <v>143</v>
      </c>
      <c r="T10" t="s">
        <v>352</v>
      </c>
      <c r="U10" t="s">
        <v>1192</v>
      </c>
      <c r="V10" t="s">
        <v>1193</v>
      </c>
      <c r="W10" t="s">
        <v>71</v>
      </c>
      <c r="Y10" t="s">
        <v>83</v>
      </c>
      <c r="Z10" t="s">
        <v>73</v>
      </c>
      <c r="AA10" t="s">
        <v>1097</v>
      </c>
      <c r="AB10" s="14">
        <v>1</v>
      </c>
      <c r="AC10" s="14">
        <v>0</v>
      </c>
      <c r="AD10" s="14">
        <v>0</v>
      </c>
      <c r="AE10" s="14">
        <v>0</v>
      </c>
      <c r="AF10" s="16">
        <v>65960</v>
      </c>
      <c r="AG10" s="16">
        <v>65960</v>
      </c>
    </row>
    <row r="11" spans="1:33">
      <c r="A11" t="s">
        <v>117</v>
      </c>
      <c r="B11" t="s">
        <v>118</v>
      </c>
      <c r="C11" t="s">
        <v>119</v>
      </c>
      <c r="D11" t="s">
        <v>919</v>
      </c>
      <c r="E11" t="s">
        <v>1194</v>
      </c>
      <c r="F11" t="s">
        <v>1195</v>
      </c>
      <c r="G11" t="s">
        <v>1136</v>
      </c>
      <c r="H11" t="s">
        <v>118</v>
      </c>
      <c r="I11" t="s">
        <v>922</v>
      </c>
      <c r="J11" t="s">
        <v>1196</v>
      </c>
      <c r="K11" t="s">
        <v>65</v>
      </c>
      <c r="L11" t="s">
        <v>1197</v>
      </c>
      <c r="M11" s="13">
        <v>45958.636111111111</v>
      </c>
      <c r="N11" s="13">
        <v>45960.678472222222</v>
      </c>
      <c r="O11" t="s">
        <v>265</v>
      </c>
      <c r="P11" t="s">
        <v>1139</v>
      </c>
      <c r="Q11" t="s">
        <v>1140</v>
      </c>
      <c r="R11" t="s">
        <v>323</v>
      </c>
      <c r="S11" t="s">
        <v>323</v>
      </c>
      <c r="T11" t="s">
        <v>270</v>
      </c>
      <c r="U11" t="s">
        <v>1176</v>
      </c>
      <c r="V11" t="s">
        <v>1198</v>
      </c>
      <c r="W11" t="s">
        <v>71</v>
      </c>
      <c r="X11" t="s">
        <v>1199</v>
      </c>
      <c r="Y11" t="s">
        <v>107</v>
      </c>
      <c r="Z11" t="s">
        <v>73</v>
      </c>
      <c r="AA11" t="s">
        <v>943</v>
      </c>
      <c r="AB11" s="14">
        <v>1</v>
      </c>
      <c r="AC11" s="14">
        <v>0</v>
      </c>
      <c r="AD11" s="14">
        <v>0</v>
      </c>
      <c r="AE11" s="14">
        <v>0</v>
      </c>
      <c r="AF11" s="16">
        <v>163814</v>
      </c>
      <c r="AG11" s="16">
        <v>163814</v>
      </c>
    </row>
    <row r="12" spans="1:33">
      <c r="AG12" s="17">
        <f>SUM(AG2:AG11)</f>
        <v>561069</v>
      </c>
    </row>
  </sheetData>
  <autoFilter ref="A1:AG11" xr:uid="{00000000-0009-0000-0000-000003000000}"/>
  <conditionalFormatting sqref="E1:E1048576">
    <cfRule type="duplicateValues" dxfId="1"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615FA7-3027-4FFF-A8FA-0D4B30636BC5}">
  <ds:schemaRefs>
    <ds:schemaRef ds:uri="http://schemas.microsoft.com/sharepoint/v3/contenttype/forms"/>
  </ds:schemaRefs>
</ds:datastoreItem>
</file>

<file path=customXml/itemProps2.xml><?xml version="1.0" encoding="utf-8"?>
<ds:datastoreItem xmlns:ds="http://schemas.openxmlformats.org/officeDocument/2006/customXml" ds:itemID="{8310DFCC-C8C9-4192-829D-CD8788A6FA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A183A6-E278-489C-B56B-683C476AA379}">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LIQUIDACION</vt:lpstr>
      <vt:lpstr>RESUMEN LIQUIDACIONES</vt:lpstr>
      <vt:lpstr>ADECUCACIONES</vt:lpstr>
      <vt:lpstr>INCIDENTES</vt:lpstr>
      <vt:lpst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Suramericana</dc:creator>
  <cp:lastModifiedBy>Luz Nedy Molina Torrado</cp:lastModifiedBy>
  <dcterms:created xsi:type="dcterms:W3CDTF">2010-11-30T07:07:28Z</dcterms:created>
  <dcterms:modified xsi:type="dcterms:W3CDTF">2025-12-01T15:39:28Z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