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SEPTIEMBRE/"/>
    </mc:Choice>
  </mc:AlternateContent>
  <xr:revisionPtr revIDLastSave="488" documentId="13_ncr:1_{817951D2-0822-44CA-8371-5A14E4A4FC63}" xr6:coauthVersionLast="47" xr6:coauthVersionMax="47" xr10:uidLastSave="{44485E40-9FCE-42A9-972C-21EB35762D02}"/>
  <bookViews>
    <workbookView xWindow="28680" yWindow="-120" windowWidth="29040" windowHeight="15720" tabRatio="903" activeTab="2" xr2:uid="{00000000-000D-0000-FFFF-FFFF00000000}"/>
  </bookViews>
  <sheets>
    <sheet name="CAPACITACIONES " sheetId="1" r:id="rId1"/>
    <sheet name="BASE FACTURACION 2025" sheetId="28" state="hidden" r:id="rId2"/>
    <sheet name="Tabla dinámica" sheetId="109" r:id="rId3"/>
    <sheet name="CAPACITACIONES APERTURAS" sheetId="106" r:id="rId4"/>
    <sheet name="CAPACITACION OC " sheetId="95" r:id="rId5"/>
    <sheet name="CENTRO DE COSTOS" sheetId="108"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0" hidden="1">'CAPACITACIONES '!$A$1:$I$4</definedName>
    <definedName name="_xlnm._FilterDatabase" localSheetId="3" hidden="1">'CAPACITACIONES APERTURAS'!$A$1:$AC$214</definedName>
    <definedName name="_xlnm._FilterDatabase" localSheetId="5" hidden="1">'CENTRO DE COSTOS'!$A$1:$D$23</definedName>
    <definedName name="A" localSheetId="5">#REF!</definedName>
    <definedName name="A">#REF!</definedName>
    <definedName name="ACTIVIDAD" localSheetId="5">[1]Hoja2!$P$2:$P$30</definedName>
    <definedName name="Actividad">[2]Formulas!$H$2:$H$5000</definedName>
    <definedName name="Analistas">'[3]Listas Desplegables'!$T$2:$T$7</definedName>
    <definedName name="arearesponsable">'[4]Listas desplegables'!$BB$2:$BB$100</definedName>
    <definedName name="CCO" localSheetId="5">[5]Tecnicos!$A$2:$A$1000</definedName>
    <definedName name="CCO">[6]Tecnicos!$A$2:$A$1000</definedName>
    <definedName name="Clientes" localSheetId="5">[7]Clientes!$A$2:$A$100</definedName>
    <definedName name="Clientes">[2]Clientes!$A$2:$A$100</definedName>
    <definedName name="COORDINADOR">[1]Hoja2!$D$2:$D$30</definedName>
    <definedName name="Coordinadores" localSheetId="5">[8]Coordinadores!$A$2:$A$1000</definedName>
    <definedName name="Coordinadores">[2]Coordinadores!$A$2:$A$1000</definedName>
    <definedName name="DOCUMENTADOR">[1]Hoja2!$A$2:$A$30</definedName>
    <definedName name="ES">[1]Hoja2!$K$2:$K$30</definedName>
    <definedName name="ESS">[1]Hoja2!$K$2:$K$30</definedName>
    <definedName name="Estado" localSheetId="5">[7]Formulas!$K$2:$K$5000</definedName>
    <definedName name="Estado">[2]Formulas!$K$2:$K$5000</definedName>
    <definedName name="ESTADOACTIVIDAD">[1]Hoja2!$M$2:$M$30</definedName>
    <definedName name="ESTADOS" localSheetId="5">'[9]Listas desplegables'!$B$1:$D$1</definedName>
    <definedName name="ESTADOS">'[10]Listas desplegables'!$B$1:$D$1</definedName>
    <definedName name="ESTADOSCIERRES">'[11]lista desplegable'!$CX$1:$DA$1</definedName>
    <definedName name="Facturacion">'[12]Listas desplegables'!$AO$1:$AR$1</definedName>
    <definedName name="FACTURACIÓN" localSheetId="5">'[9]Listas desplegables'!$Y$1:$AB$1</definedName>
    <definedName name="FACTURACIÓN">'[10]Listas desplegables'!$Y$1:$AB$1</definedName>
    <definedName name="falla">#REF!</definedName>
    <definedName name="Fallas" localSheetId="5">'[13]Listas desplegables'!$F$2:$L$2</definedName>
    <definedName name="Fallas">'[14]Listas desplegables'!$F$2:$L$2</definedName>
    <definedName name="Grupo_Falla" localSheetId="5">'[15]Listas Desplegables'!$CH$2:$CH$5</definedName>
    <definedName name="Grupo_Falla">'[16]Listas Desplegables'!$CH$2:$CH$5</definedName>
    <definedName name="inconservmanager" localSheetId="5">'[17]Listas desplegables'!$BC$2:$BC$100</definedName>
    <definedName name="inconservmanager">'[4]Listas desplegables'!$BC$2:$BC$100</definedName>
    <definedName name="INCUMPLIMIENTO" localSheetId="5">'[4]Listas desplegables'!$AK$1:$AN$1</definedName>
    <definedName name="INCUMPLIMIENTO">'[18]Listas desplegables'!$AT$1:$AX$1</definedName>
    <definedName name="LISTA" localSheetId="5">[19]Dptos!$A$1139:$A$1171</definedName>
    <definedName name="LISTA">[19]Dptos!$A$1139:$A$1171</definedName>
    <definedName name="LISTA2" localSheetId="5">#REF!</definedName>
    <definedName name="LISTA2">[20]Hoja3!$A$1:$A$26</definedName>
    <definedName name="LOLO">[21]Coordinadores!$A$2:$A$1000</definedName>
    <definedName name="solicitudes" localSheetId="5">'[12]Listas desplegables'!$U$1:$AF$1</definedName>
    <definedName name="solicitudes">'[22]Listas desplegables'!$U$1:$AF$1</definedName>
    <definedName name="Tecnicos" localSheetId="5">[7]Tecnicos!$A$2:$A$1000</definedName>
    <definedName name="Tecnicos">[2]Tecnicos!$A$2:$A$1000</definedName>
    <definedName name="Version" localSheetId="5">[23]Formulas!$I$2:$I$3</definedName>
    <definedName name="Version">[2]Formulas!$I$2:$I$3</definedName>
  </definedNames>
  <calcPr calcId="191028"/>
  <pivotCaches>
    <pivotCache cacheId="401"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06" l="1"/>
  <c r="C3" i="106"/>
  <c r="B4" i="106"/>
  <c r="C4" i="106"/>
  <c r="B5" i="106"/>
  <c r="C5" i="106"/>
  <c r="B6" i="106"/>
  <c r="C6" i="106"/>
  <c r="B7" i="106"/>
  <c r="C7" i="106"/>
  <c r="B8" i="106"/>
  <c r="C8" i="106"/>
  <c r="B9" i="106"/>
  <c r="C9" i="106"/>
  <c r="B10" i="106"/>
  <c r="C10" i="106"/>
  <c r="B11" i="106"/>
  <c r="C11" i="106"/>
  <c r="B12" i="106"/>
  <c r="C12" i="106"/>
  <c r="B13" i="106"/>
  <c r="C13" i="106"/>
  <c r="B14" i="106"/>
  <c r="C14" i="106"/>
  <c r="B15" i="106"/>
  <c r="C15" i="106"/>
  <c r="B16" i="106"/>
  <c r="C16" i="106"/>
  <c r="B17" i="106"/>
  <c r="C17" i="106"/>
  <c r="B18" i="106"/>
  <c r="C18" i="106"/>
  <c r="B19" i="106"/>
  <c r="C19" i="106"/>
  <c r="B20" i="106"/>
  <c r="C20" i="106"/>
  <c r="B21" i="106"/>
  <c r="C21" i="106"/>
  <c r="B22" i="106"/>
  <c r="C22" i="106"/>
  <c r="B23" i="106"/>
  <c r="C23" i="106"/>
  <c r="B24" i="106"/>
  <c r="C24" i="106"/>
  <c r="B25" i="106"/>
  <c r="C25" i="106"/>
  <c r="B26" i="106"/>
  <c r="C26" i="106"/>
  <c r="B27" i="106"/>
  <c r="C27" i="106"/>
  <c r="B28" i="106"/>
  <c r="C28" i="106"/>
  <c r="B29" i="106"/>
  <c r="C29" i="106"/>
  <c r="B30" i="106"/>
  <c r="C30" i="106"/>
  <c r="B31" i="106"/>
  <c r="C31" i="106"/>
  <c r="B32" i="106"/>
  <c r="C32" i="106"/>
  <c r="B33" i="106"/>
  <c r="C33" i="106"/>
  <c r="B34" i="106"/>
  <c r="C34" i="106"/>
  <c r="B35" i="106"/>
  <c r="C35" i="106"/>
  <c r="B36" i="106"/>
  <c r="C36" i="106"/>
  <c r="B37" i="106"/>
  <c r="C37" i="106"/>
  <c r="B38" i="106"/>
  <c r="C38" i="106"/>
  <c r="B39" i="106"/>
  <c r="C39" i="106"/>
  <c r="B40" i="106"/>
  <c r="C40" i="106"/>
  <c r="B41" i="106"/>
  <c r="C41" i="106"/>
  <c r="B42" i="106"/>
  <c r="C42" i="106"/>
  <c r="B43" i="106"/>
  <c r="C43" i="106"/>
  <c r="B44" i="106"/>
  <c r="C44" i="106"/>
  <c r="B45" i="106"/>
  <c r="C45" i="106"/>
  <c r="B46" i="106"/>
  <c r="C46" i="106"/>
  <c r="B47" i="106"/>
  <c r="C47" i="106"/>
  <c r="B48" i="106"/>
  <c r="C48" i="106"/>
  <c r="B49" i="106"/>
  <c r="C49" i="106"/>
  <c r="B50" i="106"/>
  <c r="C50" i="106"/>
  <c r="B51" i="106"/>
  <c r="C51" i="106"/>
  <c r="B52" i="106"/>
  <c r="C52" i="106"/>
  <c r="B53" i="106"/>
  <c r="C53" i="106"/>
  <c r="B54" i="106"/>
  <c r="C54" i="106"/>
  <c r="B55" i="106"/>
  <c r="C55" i="106"/>
  <c r="B56" i="106"/>
  <c r="C56" i="106"/>
  <c r="B57" i="106"/>
  <c r="C57" i="106"/>
  <c r="B58" i="106"/>
  <c r="C58" i="106"/>
  <c r="B59" i="106"/>
  <c r="C59" i="106"/>
  <c r="B60" i="106"/>
  <c r="C60" i="106"/>
  <c r="B61" i="106"/>
  <c r="C61" i="106"/>
  <c r="B62" i="106"/>
  <c r="C62" i="106"/>
  <c r="B63" i="106"/>
  <c r="C63" i="106"/>
  <c r="B64" i="106"/>
  <c r="C64" i="106"/>
  <c r="B65" i="106"/>
  <c r="C65" i="106"/>
  <c r="B66" i="106"/>
  <c r="C66" i="106"/>
  <c r="B67" i="106"/>
  <c r="C67" i="106"/>
  <c r="B68" i="106"/>
  <c r="C68" i="106"/>
  <c r="B69" i="106"/>
  <c r="C69" i="106"/>
  <c r="B70" i="106"/>
  <c r="C70" i="106"/>
  <c r="B71" i="106"/>
  <c r="C71" i="106"/>
  <c r="B72" i="106"/>
  <c r="C72" i="106"/>
  <c r="B73" i="106"/>
  <c r="C73" i="106"/>
  <c r="B74" i="106"/>
  <c r="C74" i="106"/>
  <c r="B75" i="106"/>
  <c r="C75" i="106"/>
  <c r="B76" i="106"/>
  <c r="C76" i="106"/>
  <c r="B77" i="106"/>
  <c r="C77" i="106"/>
  <c r="B78" i="106"/>
  <c r="C78" i="106"/>
  <c r="B79" i="106"/>
  <c r="C79" i="106"/>
  <c r="B80" i="106"/>
  <c r="C80" i="106"/>
  <c r="B81" i="106"/>
  <c r="C81" i="106"/>
  <c r="B82" i="106"/>
  <c r="C82" i="106"/>
  <c r="B83" i="106"/>
  <c r="C83" i="106"/>
  <c r="B84" i="106"/>
  <c r="C84" i="106"/>
  <c r="B85" i="106"/>
  <c r="C85" i="106"/>
  <c r="B86" i="106"/>
  <c r="C86" i="106"/>
  <c r="B87" i="106"/>
  <c r="C87" i="106"/>
  <c r="B88" i="106"/>
  <c r="C88" i="106"/>
  <c r="B89" i="106"/>
  <c r="C89" i="106"/>
  <c r="B90" i="106"/>
  <c r="C90" i="106"/>
  <c r="B91" i="106"/>
  <c r="C91" i="106"/>
  <c r="B92" i="106"/>
  <c r="C92" i="106"/>
  <c r="B93" i="106"/>
  <c r="C93" i="106"/>
  <c r="B94" i="106"/>
  <c r="C94" i="106"/>
  <c r="B95" i="106"/>
  <c r="C95" i="106"/>
  <c r="B96" i="106"/>
  <c r="C96" i="106"/>
  <c r="B97" i="106"/>
  <c r="C97" i="106"/>
  <c r="B98" i="106"/>
  <c r="C98" i="106"/>
  <c r="B99" i="106"/>
  <c r="C99" i="106"/>
  <c r="B100" i="106"/>
  <c r="C100" i="106"/>
  <c r="B101" i="106"/>
  <c r="C101" i="106"/>
  <c r="B102" i="106"/>
  <c r="C102" i="106"/>
  <c r="B103" i="106"/>
  <c r="C103" i="106"/>
  <c r="B104" i="106"/>
  <c r="C104" i="106"/>
  <c r="B105" i="106"/>
  <c r="C105" i="106"/>
  <c r="B106" i="106"/>
  <c r="C106" i="106"/>
  <c r="B107" i="106"/>
  <c r="C107" i="106"/>
  <c r="B108" i="106"/>
  <c r="C108" i="106"/>
  <c r="B109" i="106"/>
  <c r="C109" i="106"/>
  <c r="B110" i="106"/>
  <c r="C110" i="106"/>
  <c r="B111" i="106"/>
  <c r="C111" i="106"/>
  <c r="B112" i="106"/>
  <c r="C112" i="106"/>
  <c r="B113" i="106"/>
  <c r="C113" i="106"/>
  <c r="B114" i="106"/>
  <c r="C114" i="106"/>
  <c r="B115" i="106"/>
  <c r="C115" i="106"/>
  <c r="B116" i="106"/>
  <c r="C116" i="106"/>
  <c r="B117" i="106"/>
  <c r="C117" i="106"/>
  <c r="B118" i="106"/>
  <c r="C118" i="106"/>
  <c r="B119" i="106"/>
  <c r="C119" i="106"/>
  <c r="B120" i="106"/>
  <c r="C120" i="106"/>
  <c r="B121" i="106"/>
  <c r="C121" i="106"/>
  <c r="B122" i="106"/>
  <c r="C122" i="106"/>
  <c r="B123" i="106"/>
  <c r="C123" i="106"/>
  <c r="B124" i="106"/>
  <c r="C124" i="106"/>
  <c r="B125" i="106"/>
  <c r="C125" i="106"/>
  <c r="B126" i="106"/>
  <c r="C126" i="106"/>
  <c r="B127" i="106"/>
  <c r="C127" i="106"/>
  <c r="B128" i="106"/>
  <c r="C128" i="106"/>
  <c r="B129" i="106"/>
  <c r="C129" i="106"/>
  <c r="B130" i="106"/>
  <c r="C130" i="106"/>
  <c r="B131" i="106"/>
  <c r="C131" i="106"/>
  <c r="B132" i="106"/>
  <c r="C132" i="106"/>
  <c r="B133" i="106"/>
  <c r="C133" i="106"/>
  <c r="B134" i="106"/>
  <c r="C134" i="106"/>
  <c r="B135" i="106"/>
  <c r="C135" i="106"/>
  <c r="B136" i="106"/>
  <c r="C136" i="106"/>
  <c r="B137" i="106"/>
  <c r="C137" i="106"/>
  <c r="B138" i="106"/>
  <c r="C138" i="106"/>
  <c r="B139" i="106"/>
  <c r="C139" i="106"/>
  <c r="B140" i="106"/>
  <c r="C140" i="106"/>
  <c r="B141" i="106"/>
  <c r="C141" i="106"/>
  <c r="B142" i="106"/>
  <c r="C142" i="106"/>
  <c r="B143" i="106"/>
  <c r="C143" i="106"/>
  <c r="B144" i="106"/>
  <c r="C144" i="106"/>
  <c r="B145" i="106"/>
  <c r="C145" i="106"/>
  <c r="B146" i="106"/>
  <c r="C146" i="106"/>
  <c r="B147" i="106"/>
  <c r="C147" i="106"/>
  <c r="B148" i="106"/>
  <c r="C148" i="106"/>
  <c r="B149" i="106"/>
  <c r="C149" i="106"/>
  <c r="B150" i="106"/>
  <c r="C150" i="106"/>
  <c r="B151" i="106"/>
  <c r="C151" i="106"/>
  <c r="B152" i="106"/>
  <c r="C152" i="106"/>
  <c r="B153" i="106"/>
  <c r="C153" i="106"/>
  <c r="B154" i="106"/>
  <c r="C154" i="106"/>
  <c r="B155" i="106"/>
  <c r="C155" i="106"/>
  <c r="B156" i="106"/>
  <c r="C156" i="106"/>
  <c r="B157" i="106"/>
  <c r="C157" i="106"/>
  <c r="B158" i="106"/>
  <c r="C158" i="106"/>
  <c r="B159" i="106"/>
  <c r="C159" i="106"/>
  <c r="B160" i="106"/>
  <c r="C160" i="106"/>
  <c r="B161" i="106"/>
  <c r="C161" i="106"/>
  <c r="B162" i="106"/>
  <c r="C162" i="106"/>
  <c r="B163" i="106"/>
  <c r="C163" i="106"/>
  <c r="B164" i="106"/>
  <c r="C164" i="106"/>
  <c r="B165" i="106"/>
  <c r="C165" i="106"/>
  <c r="B166" i="106"/>
  <c r="C166" i="106"/>
  <c r="B167" i="106"/>
  <c r="C167" i="106"/>
  <c r="B168" i="106"/>
  <c r="C168" i="106"/>
  <c r="B169" i="106"/>
  <c r="C169" i="106"/>
  <c r="B170" i="106"/>
  <c r="C170" i="106"/>
  <c r="B171" i="106"/>
  <c r="C171" i="106"/>
  <c r="B172" i="106"/>
  <c r="C172" i="106"/>
  <c r="B173" i="106"/>
  <c r="C173" i="106"/>
  <c r="B174" i="106"/>
  <c r="C174" i="106"/>
  <c r="B175" i="106"/>
  <c r="C175" i="106"/>
  <c r="B176" i="106"/>
  <c r="C176" i="106"/>
  <c r="B177" i="106"/>
  <c r="C177" i="106"/>
  <c r="B178" i="106"/>
  <c r="C178" i="106"/>
  <c r="B179" i="106"/>
  <c r="C179" i="106"/>
  <c r="B180" i="106"/>
  <c r="C180" i="106"/>
  <c r="B181" i="106"/>
  <c r="C181" i="106"/>
  <c r="B182" i="106"/>
  <c r="C182" i="106"/>
  <c r="B183" i="106"/>
  <c r="C183" i="106"/>
  <c r="B184" i="106"/>
  <c r="C184" i="106"/>
  <c r="B185" i="106"/>
  <c r="C185" i="106"/>
  <c r="B186" i="106"/>
  <c r="C186" i="106"/>
  <c r="B187" i="106"/>
  <c r="C187" i="106"/>
  <c r="B188" i="106"/>
  <c r="C188" i="106"/>
  <c r="B189" i="106"/>
  <c r="C189" i="106"/>
  <c r="B190" i="106"/>
  <c r="C190" i="106"/>
  <c r="B191" i="106"/>
  <c r="C191" i="106"/>
  <c r="B192" i="106"/>
  <c r="C192" i="106"/>
  <c r="B193" i="106"/>
  <c r="C193" i="106"/>
  <c r="B194" i="106"/>
  <c r="C194" i="106"/>
  <c r="B195" i="106"/>
  <c r="C195" i="106"/>
  <c r="B196" i="106"/>
  <c r="C196" i="106"/>
  <c r="B197" i="106"/>
  <c r="C197" i="106"/>
  <c r="B198" i="106"/>
  <c r="C198" i="106"/>
  <c r="B199" i="106"/>
  <c r="C199" i="106"/>
  <c r="B200" i="106"/>
  <c r="C200" i="106"/>
  <c r="B201" i="106"/>
  <c r="C201" i="106"/>
  <c r="B202" i="106"/>
  <c r="C202" i="106"/>
  <c r="B203" i="106"/>
  <c r="C203" i="106"/>
  <c r="B204" i="106"/>
  <c r="C204" i="106"/>
  <c r="B205" i="106"/>
  <c r="C205" i="106"/>
  <c r="B206" i="106"/>
  <c r="C206" i="106"/>
  <c r="B207" i="106"/>
  <c r="C207" i="106"/>
  <c r="B208" i="106"/>
  <c r="C208" i="106"/>
  <c r="B209" i="106"/>
  <c r="C209" i="106"/>
  <c r="B210" i="106"/>
  <c r="C210" i="106"/>
  <c r="B211" i="106"/>
  <c r="C211" i="106"/>
  <c r="B212" i="106"/>
  <c r="C212" i="106"/>
  <c r="B213" i="106"/>
  <c r="C213" i="106"/>
  <c r="D17" i="28" l="1"/>
  <c r="D16" i="28"/>
  <c r="D15" i="28"/>
  <c r="D14" i="28"/>
  <c r="D13" i="28"/>
  <c r="C17" i="28"/>
  <c r="C16" i="28"/>
  <c r="C15" i="28"/>
  <c r="C14" i="28"/>
  <c r="C13" i="28"/>
  <c r="F4" i="28"/>
  <c r="F5" i="28"/>
  <c r="F6" i="28"/>
  <c r="F7" i="28"/>
  <c r="F3" i="28"/>
  <c r="E3" i="28"/>
  <c r="E7" i="28"/>
  <c r="E6" i="28"/>
  <c r="E5" i="28"/>
  <c r="E4" i="28"/>
  <c r="D7" i="28"/>
  <c r="D6" i="28"/>
  <c r="D5" i="28"/>
  <c r="D4" i="28"/>
  <c r="D3" i="28"/>
  <c r="C3" i="28"/>
  <c r="C7" i="28"/>
  <c r="C6" i="28"/>
  <c r="C5" i="28"/>
  <c r="C4" i="28"/>
  <c r="E5" i="109"/>
  <c r="E6" i="109"/>
  <c r="E7" i="109"/>
  <c r="E8" i="109"/>
  <c r="E9" i="109"/>
  <c r="E10" i="109"/>
  <c r="E4" i="109"/>
  <c r="B2" i="106"/>
  <c r="C2" i="106"/>
  <c r="AA2" i="106" l="1"/>
  <c r="AA3" i="106"/>
  <c r="AA4" i="106"/>
  <c r="AA5" i="106"/>
  <c r="AA6" i="106"/>
  <c r="AA7" i="106"/>
  <c r="AA8" i="106"/>
  <c r="AA9" i="106"/>
  <c r="AA10" i="106"/>
  <c r="AA11" i="106"/>
  <c r="AA12" i="106"/>
  <c r="AA13" i="106"/>
  <c r="AA14" i="106"/>
  <c r="AA15" i="106"/>
  <c r="AA16" i="106"/>
  <c r="AA17" i="106"/>
  <c r="AA18" i="106"/>
  <c r="AA19" i="106"/>
  <c r="AA20" i="106"/>
  <c r="AA21" i="106"/>
  <c r="AA22" i="106"/>
  <c r="AA23" i="106"/>
  <c r="AA24" i="106"/>
  <c r="AA25" i="106"/>
  <c r="AA26" i="106"/>
  <c r="AA27" i="106"/>
  <c r="AA28" i="106"/>
  <c r="AA29" i="106"/>
  <c r="AA30" i="106"/>
  <c r="AA31" i="106"/>
  <c r="AA32" i="106"/>
  <c r="AA33" i="106"/>
  <c r="AA34" i="106"/>
  <c r="AA35" i="106"/>
  <c r="AA36" i="106"/>
  <c r="AA37" i="106"/>
  <c r="AA38" i="106"/>
  <c r="AA39" i="106"/>
  <c r="AA40" i="106"/>
  <c r="AA41" i="106"/>
  <c r="AA42" i="106"/>
  <c r="AA43" i="106"/>
  <c r="AA44" i="106"/>
  <c r="AA45" i="106"/>
  <c r="AA46" i="106"/>
  <c r="AA47" i="106"/>
  <c r="AA48" i="106"/>
  <c r="AA49" i="106"/>
  <c r="AA50" i="106"/>
  <c r="AA51" i="106"/>
  <c r="AA52" i="106"/>
  <c r="AA53" i="106"/>
  <c r="AA54" i="106"/>
  <c r="AA55" i="106"/>
  <c r="AA56" i="106"/>
  <c r="AA57" i="106"/>
  <c r="AA58" i="106"/>
  <c r="AA59" i="106"/>
  <c r="AA60" i="106"/>
  <c r="AA61" i="106"/>
  <c r="AA62" i="106"/>
  <c r="AA63" i="106"/>
  <c r="AA64" i="106"/>
  <c r="AA65" i="106"/>
  <c r="AA66" i="106"/>
  <c r="AA67" i="106"/>
  <c r="AA68" i="106"/>
  <c r="AA69" i="106"/>
  <c r="AA70" i="106"/>
  <c r="AA71" i="106"/>
  <c r="AA72" i="106"/>
  <c r="AA73" i="106"/>
  <c r="AA74" i="106"/>
  <c r="AA75" i="106"/>
  <c r="AA76" i="106"/>
  <c r="AA77" i="106"/>
  <c r="AA78" i="106"/>
  <c r="AA79" i="106"/>
  <c r="AA80" i="106"/>
  <c r="AA81" i="106"/>
  <c r="AA82" i="106"/>
  <c r="AA83" i="106"/>
  <c r="AA84" i="106"/>
  <c r="AA85" i="106"/>
  <c r="AA86" i="106"/>
  <c r="AA87" i="106"/>
  <c r="AA88" i="106"/>
  <c r="AA89" i="106"/>
  <c r="AA90" i="106"/>
  <c r="AA91" i="106"/>
  <c r="AA92" i="106"/>
  <c r="AA93" i="106"/>
  <c r="AA94" i="106"/>
  <c r="AA95" i="106"/>
  <c r="AA96" i="106"/>
  <c r="AA97" i="106"/>
  <c r="AA98" i="106"/>
  <c r="AA99" i="106"/>
  <c r="AA100" i="106"/>
  <c r="AA101" i="106"/>
  <c r="AA102" i="106"/>
  <c r="AA103" i="106"/>
  <c r="AA104" i="106"/>
  <c r="AA105" i="106"/>
  <c r="AA106" i="106"/>
  <c r="AA107" i="106"/>
  <c r="AA108" i="106"/>
  <c r="AA109" i="106"/>
  <c r="AA110" i="106"/>
  <c r="AA111" i="106"/>
  <c r="AA112" i="106"/>
  <c r="AA113" i="106"/>
  <c r="AA114" i="106"/>
  <c r="AA115" i="106"/>
  <c r="AA116" i="106"/>
  <c r="AA117" i="106"/>
  <c r="AA118" i="106"/>
  <c r="AA119" i="106"/>
  <c r="AA120" i="106"/>
  <c r="AA121" i="106"/>
  <c r="AA122" i="106"/>
  <c r="AA123" i="106"/>
  <c r="AA124" i="106"/>
  <c r="AA125" i="106"/>
  <c r="AA126" i="106"/>
  <c r="AA127" i="106"/>
  <c r="AA128" i="106"/>
  <c r="AA129" i="106"/>
  <c r="AA130" i="106"/>
  <c r="AA131" i="106"/>
  <c r="AA132" i="106"/>
  <c r="AA133" i="106"/>
  <c r="AA134" i="106"/>
  <c r="AA135" i="106"/>
  <c r="AA136" i="106"/>
  <c r="AA137" i="106"/>
  <c r="AA138" i="106"/>
  <c r="AA139" i="106"/>
  <c r="AA140" i="106"/>
  <c r="AA141" i="106"/>
  <c r="AA142" i="106"/>
  <c r="AA143" i="106"/>
  <c r="AA144" i="106"/>
  <c r="AA145" i="106"/>
  <c r="AA146" i="106"/>
  <c r="AA147" i="106"/>
  <c r="AA148" i="106"/>
  <c r="AA149" i="106"/>
  <c r="AA150" i="106"/>
  <c r="AA151" i="106"/>
  <c r="AA152" i="106"/>
  <c r="AA153" i="106"/>
  <c r="AA154" i="106"/>
  <c r="AA155" i="106"/>
  <c r="AA156" i="106"/>
  <c r="AA157" i="106"/>
  <c r="AA158" i="106"/>
  <c r="AA159" i="106"/>
  <c r="AA160" i="106"/>
  <c r="AA161" i="106"/>
  <c r="AA162" i="106"/>
  <c r="AA163" i="106"/>
  <c r="AA164" i="106"/>
  <c r="AA165" i="106"/>
  <c r="AA166" i="106"/>
  <c r="AA167" i="106"/>
  <c r="AA168" i="106"/>
  <c r="AA169" i="106"/>
  <c r="AA170" i="106"/>
  <c r="AA171" i="106"/>
  <c r="AA172" i="106"/>
  <c r="AA173" i="106"/>
  <c r="AA174" i="106"/>
  <c r="AA175" i="106"/>
  <c r="AA176" i="106"/>
  <c r="AA177" i="106"/>
  <c r="AA178" i="106"/>
  <c r="AA179" i="106"/>
  <c r="AA180" i="106"/>
  <c r="AA181" i="106"/>
  <c r="AA182" i="106"/>
  <c r="AA183" i="106"/>
  <c r="AA184" i="106"/>
  <c r="AA185" i="106"/>
  <c r="AA186" i="106"/>
  <c r="AA187" i="106"/>
  <c r="AA188" i="106"/>
  <c r="AA189" i="106"/>
  <c r="AA190" i="106"/>
  <c r="AA191" i="106"/>
  <c r="AA192" i="106"/>
  <c r="AA193" i="106"/>
  <c r="AA194" i="106"/>
  <c r="AA195" i="106"/>
  <c r="AA196" i="106"/>
  <c r="AA197" i="106"/>
  <c r="AA198" i="106"/>
  <c r="AA199" i="106"/>
  <c r="AA200" i="106"/>
  <c r="AA201" i="106"/>
  <c r="AA202" i="106"/>
  <c r="AA203" i="106"/>
  <c r="AA204" i="106"/>
  <c r="AA205" i="106"/>
  <c r="AA206" i="106"/>
  <c r="AA207" i="106"/>
  <c r="AA208" i="106"/>
  <c r="AA209" i="106"/>
  <c r="AA210" i="106"/>
  <c r="AA211" i="106"/>
  <c r="AA212" i="106"/>
  <c r="AA213" i="106"/>
  <c r="AB3" i="106"/>
  <c r="AB4" i="106"/>
  <c r="AB5" i="106"/>
  <c r="AB6" i="106"/>
  <c r="AB7" i="106"/>
  <c r="AB8" i="106"/>
  <c r="AB9" i="106"/>
  <c r="AB10" i="106"/>
  <c r="AB11" i="106"/>
  <c r="AB12" i="106"/>
  <c r="AB13" i="106"/>
  <c r="AB14" i="106"/>
  <c r="AB15" i="106"/>
  <c r="AB16" i="106"/>
  <c r="AB17" i="106"/>
  <c r="AB18" i="106"/>
  <c r="AB19" i="106"/>
  <c r="AB20" i="106"/>
  <c r="AB21" i="106"/>
  <c r="AB22" i="106"/>
  <c r="AB23" i="106"/>
  <c r="AB24" i="106"/>
  <c r="AB25" i="106"/>
  <c r="AB26" i="106"/>
  <c r="AB27" i="106"/>
  <c r="AB28" i="106"/>
  <c r="AB29" i="106"/>
  <c r="AB30" i="106"/>
  <c r="AB31" i="106"/>
  <c r="AB32" i="106"/>
  <c r="AB33" i="106"/>
  <c r="AB34" i="106"/>
  <c r="AB35" i="106"/>
  <c r="AB36" i="106"/>
  <c r="AB37" i="106"/>
  <c r="AB38" i="106"/>
  <c r="AB39" i="106"/>
  <c r="AB40" i="106"/>
  <c r="AB41" i="106"/>
  <c r="AB42" i="106"/>
  <c r="AB43" i="106"/>
  <c r="AB44" i="106"/>
  <c r="AB45" i="106"/>
  <c r="AB46" i="106"/>
  <c r="AB47" i="106"/>
  <c r="AB48" i="106"/>
  <c r="AB49" i="106"/>
  <c r="AB50" i="106"/>
  <c r="AB51" i="106"/>
  <c r="AB52" i="106"/>
  <c r="AB53" i="106"/>
  <c r="AB54" i="106"/>
  <c r="AB55" i="106"/>
  <c r="AB56" i="106"/>
  <c r="AB57" i="106"/>
  <c r="AB58" i="106"/>
  <c r="AB59" i="106"/>
  <c r="AB60" i="106"/>
  <c r="AB61" i="106"/>
  <c r="AB62" i="106"/>
  <c r="AB63" i="106"/>
  <c r="AB64" i="106"/>
  <c r="AB65" i="106"/>
  <c r="AB66" i="106"/>
  <c r="AB67" i="106"/>
  <c r="AB68" i="106"/>
  <c r="AB69" i="106"/>
  <c r="AB70" i="106"/>
  <c r="AB71" i="106"/>
  <c r="AB72" i="106"/>
  <c r="AB73" i="106"/>
  <c r="AB74" i="106"/>
  <c r="AB75" i="106"/>
  <c r="AB76" i="106"/>
  <c r="AB77" i="106"/>
  <c r="AB78" i="106"/>
  <c r="AB79" i="106"/>
  <c r="AB80" i="106"/>
  <c r="AB81" i="106"/>
  <c r="AB82" i="106"/>
  <c r="AB83" i="106"/>
  <c r="AB84" i="106"/>
  <c r="AB85" i="106"/>
  <c r="AB86" i="106"/>
  <c r="AB87" i="106"/>
  <c r="AB88" i="106"/>
  <c r="AB89" i="106"/>
  <c r="AB90" i="106"/>
  <c r="AB91" i="106"/>
  <c r="AB92" i="106"/>
  <c r="AB93" i="106"/>
  <c r="AB94" i="106"/>
  <c r="AB95" i="106"/>
  <c r="AB96" i="106"/>
  <c r="AB97" i="106"/>
  <c r="AB98" i="106"/>
  <c r="AB99" i="106"/>
  <c r="AB100" i="106"/>
  <c r="AB101" i="106"/>
  <c r="AB102" i="106"/>
  <c r="AB103" i="106"/>
  <c r="AB104" i="106"/>
  <c r="AB105" i="106"/>
  <c r="AB106" i="106"/>
  <c r="AB107" i="106"/>
  <c r="AB108" i="106"/>
  <c r="AB109" i="106"/>
  <c r="AB110" i="106"/>
  <c r="AB111" i="106"/>
  <c r="AB112" i="106"/>
  <c r="AB113" i="106"/>
  <c r="AB114" i="106"/>
  <c r="AB115" i="106"/>
  <c r="AB116" i="106"/>
  <c r="AB117" i="106"/>
  <c r="AB118" i="106"/>
  <c r="AB119" i="106"/>
  <c r="AB120" i="106"/>
  <c r="AB121" i="106"/>
  <c r="AB122" i="106"/>
  <c r="AB123" i="106"/>
  <c r="AB124" i="106"/>
  <c r="AB125" i="106"/>
  <c r="AB126" i="106"/>
  <c r="AB127" i="106"/>
  <c r="AB128" i="106"/>
  <c r="AB129" i="106"/>
  <c r="AB130" i="106"/>
  <c r="AB131" i="106"/>
  <c r="AB132" i="106"/>
  <c r="AB133" i="106"/>
  <c r="AB134" i="106"/>
  <c r="AB135" i="106"/>
  <c r="AB136" i="106"/>
  <c r="AB137" i="106"/>
  <c r="AB138" i="106"/>
  <c r="AB139" i="106"/>
  <c r="AB140" i="106"/>
  <c r="AB141" i="106"/>
  <c r="AB142" i="106"/>
  <c r="AB143" i="106"/>
  <c r="AB144" i="106"/>
  <c r="AB145" i="106"/>
  <c r="AB146" i="106"/>
  <c r="AB147" i="106"/>
  <c r="AB148" i="106"/>
  <c r="AB149" i="106"/>
  <c r="AB150" i="106"/>
  <c r="AB151" i="106"/>
  <c r="AB152" i="106"/>
  <c r="AB153" i="106"/>
  <c r="AB154" i="106"/>
  <c r="AB155" i="106"/>
  <c r="AB156" i="106"/>
  <c r="AB157" i="106"/>
  <c r="AB158" i="106"/>
  <c r="AB159" i="106"/>
  <c r="AB160" i="106"/>
  <c r="AB161" i="106"/>
  <c r="AB162" i="106"/>
  <c r="AB163" i="106"/>
  <c r="AB164" i="106"/>
  <c r="AB165" i="106"/>
  <c r="AB166" i="106"/>
  <c r="AB167" i="106"/>
  <c r="AB168" i="106"/>
  <c r="AB169" i="106"/>
  <c r="AB170" i="106"/>
  <c r="AB171" i="106"/>
  <c r="AB172" i="106"/>
  <c r="AB173" i="106"/>
  <c r="AB174" i="106"/>
  <c r="AB175" i="106"/>
  <c r="AB176" i="106"/>
  <c r="AB177" i="106"/>
  <c r="AB178" i="106"/>
  <c r="AB179" i="106"/>
  <c r="AB180" i="106"/>
  <c r="AB181" i="106"/>
  <c r="AB182" i="106"/>
  <c r="AB183" i="106"/>
  <c r="AB184" i="106"/>
  <c r="AB185" i="106"/>
  <c r="AB186" i="106"/>
  <c r="AB187" i="106"/>
  <c r="AB188" i="106"/>
  <c r="AB189" i="106"/>
  <c r="AB190" i="106"/>
  <c r="AB191" i="106"/>
  <c r="AB192" i="106"/>
  <c r="AB193" i="106"/>
  <c r="AB194" i="106"/>
  <c r="AB195" i="106"/>
  <c r="AB196" i="106"/>
  <c r="AB197" i="106"/>
  <c r="AB198" i="106"/>
  <c r="AB199" i="106"/>
  <c r="AB200" i="106"/>
  <c r="AB201" i="106"/>
  <c r="AB202" i="106"/>
  <c r="AB203" i="106"/>
  <c r="AB204" i="106"/>
  <c r="AB205" i="106"/>
  <c r="AB206" i="106"/>
  <c r="AB207" i="106"/>
  <c r="AB208" i="106"/>
  <c r="AB209" i="106"/>
  <c r="AB210" i="106"/>
  <c r="AB211" i="106"/>
  <c r="AB212" i="106"/>
  <c r="AB213" i="106"/>
  <c r="AV2" i="95"/>
  <c r="AW2" i="95" s="1"/>
  <c r="C2" i="95"/>
  <c r="B2" i="95"/>
  <c r="AC114" i="106" l="1"/>
  <c r="AC213" i="106"/>
  <c r="AC212" i="106"/>
  <c r="AC211" i="106"/>
  <c r="AC210" i="106"/>
  <c r="AC209" i="106"/>
  <c r="AC208" i="106"/>
  <c r="AC207" i="106"/>
  <c r="AC206" i="106"/>
  <c r="AC205" i="106"/>
  <c r="AC204" i="106"/>
  <c r="AC203" i="106"/>
  <c r="AC202" i="106"/>
  <c r="AC201" i="106"/>
  <c r="AC200" i="106"/>
  <c r="AC199" i="106"/>
  <c r="AC198" i="106"/>
  <c r="AC197" i="106"/>
  <c r="AC196" i="106"/>
  <c r="AC195" i="106"/>
  <c r="AC194" i="106"/>
  <c r="AC193" i="106"/>
  <c r="AC192" i="106"/>
  <c r="AC191" i="106"/>
  <c r="AC190" i="106"/>
  <c r="AC189" i="106"/>
  <c r="AC188" i="106"/>
  <c r="AC187" i="106"/>
  <c r="AC186" i="106"/>
  <c r="AC185" i="106"/>
  <c r="AC184" i="106"/>
  <c r="AC183" i="106"/>
  <c r="AC182" i="106"/>
  <c r="AC181" i="106"/>
  <c r="AC180" i="106"/>
  <c r="AC179" i="106"/>
  <c r="AC178" i="106"/>
  <c r="AC177" i="106"/>
  <c r="AC176" i="106"/>
  <c r="AC175" i="106"/>
  <c r="AC174" i="106"/>
  <c r="AC173" i="106"/>
  <c r="AC172" i="106"/>
  <c r="AC171" i="106"/>
  <c r="AC170" i="106"/>
  <c r="AC169" i="106"/>
  <c r="AC168" i="106"/>
  <c r="AC167" i="106"/>
  <c r="AC166" i="106"/>
  <c r="AC165" i="106"/>
  <c r="AC164" i="106"/>
  <c r="AC163" i="106"/>
  <c r="AC162" i="106"/>
  <c r="AC161" i="106"/>
  <c r="AC160" i="106"/>
  <c r="AC159" i="106"/>
  <c r="AC158" i="106"/>
  <c r="AC157" i="106"/>
  <c r="AC156" i="106"/>
  <c r="AC155" i="106"/>
  <c r="AC154" i="106"/>
  <c r="AC153" i="106"/>
  <c r="AC152" i="106"/>
  <c r="AC151" i="106"/>
  <c r="AC150" i="106"/>
  <c r="AC149" i="106"/>
  <c r="AC148" i="106"/>
  <c r="AC147" i="106"/>
  <c r="AC146" i="106"/>
  <c r="AC145" i="106"/>
  <c r="AC144" i="106"/>
  <c r="AC143" i="106"/>
  <c r="AC142" i="106"/>
  <c r="AC141" i="106"/>
  <c r="AC140" i="106"/>
  <c r="AC139" i="106"/>
  <c r="AC138" i="106"/>
  <c r="AC137" i="106"/>
  <c r="AC136" i="106"/>
  <c r="AC135" i="106"/>
  <c r="AC134" i="106"/>
  <c r="AC133" i="106"/>
  <c r="AC132" i="106"/>
  <c r="AC131" i="106"/>
  <c r="AC130" i="106"/>
  <c r="AC129" i="106"/>
  <c r="AC128" i="106"/>
  <c r="AC127" i="106"/>
  <c r="AC126" i="106"/>
  <c r="AC125" i="106"/>
  <c r="AC124" i="106"/>
  <c r="AC123" i="106"/>
  <c r="AC122" i="106"/>
  <c r="AC121" i="106"/>
  <c r="AC120" i="106"/>
  <c r="AC119" i="106"/>
  <c r="AC118" i="106"/>
  <c r="AC117" i="106"/>
  <c r="AC116" i="106"/>
  <c r="AC115" i="106"/>
  <c r="AC113" i="106"/>
  <c r="AC112" i="106"/>
  <c r="AC111" i="106"/>
  <c r="AC110" i="106"/>
  <c r="AC109" i="106"/>
  <c r="AC108" i="106"/>
  <c r="AC107" i="106"/>
  <c r="AC106" i="106"/>
  <c r="AC105" i="106"/>
  <c r="AC104" i="106"/>
  <c r="AC103" i="106"/>
  <c r="AC102" i="106"/>
  <c r="AC101" i="106"/>
  <c r="AC100" i="106"/>
  <c r="AC99" i="106"/>
  <c r="AC98" i="106"/>
  <c r="AC97" i="106"/>
  <c r="AC96" i="106"/>
  <c r="AC95" i="106"/>
  <c r="AC94" i="106"/>
  <c r="AC93" i="106"/>
  <c r="AC92" i="106"/>
  <c r="AC91" i="106"/>
  <c r="AC90" i="106"/>
  <c r="AC89" i="106"/>
  <c r="AC88" i="106"/>
  <c r="AC87" i="106"/>
  <c r="AC86" i="106"/>
  <c r="AC85" i="106"/>
  <c r="AC84" i="106"/>
  <c r="AC83" i="106"/>
  <c r="AC82" i="106"/>
  <c r="AC81" i="106"/>
  <c r="AC80" i="106"/>
  <c r="AC79" i="106"/>
  <c r="AC78" i="106"/>
  <c r="AC77" i="106"/>
  <c r="AC76" i="106"/>
  <c r="AC75" i="106"/>
  <c r="AC74" i="106"/>
  <c r="AC73" i="106"/>
  <c r="AC72" i="106"/>
  <c r="AC71" i="106"/>
  <c r="AC70" i="106"/>
  <c r="AC69" i="106"/>
  <c r="AC68" i="106"/>
  <c r="AC67" i="106"/>
  <c r="AC66" i="106"/>
  <c r="AC65" i="106"/>
  <c r="AC64" i="106"/>
  <c r="AC63" i="106"/>
  <c r="AC62" i="106"/>
  <c r="AC61" i="106"/>
  <c r="AC60" i="106"/>
  <c r="AC59" i="106"/>
  <c r="AC58" i="106"/>
  <c r="AC57" i="106"/>
  <c r="AC56" i="106"/>
  <c r="AC55" i="106"/>
  <c r="AC54" i="106"/>
  <c r="AC53" i="106"/>
  <c r="AC52" i="106"/>
  <c r="AC51" i="106"/>
  <c r="AC50" i="106"/>
  <c r="AC49" i="106"/>
  <c r="AC48" i="106"/>
  <c r="AC47" i="106"/>
  <c r="AC46" i="106"/>
  <c r="AC45" i="106"/>
  <c r="AC44" i="106"/>
  <c r="AC43" i="106"/>
  <c r="AC42" i="106"/>
  <c r="AC41" i="106"/>
  <c r="AC40" i="106"/>
  <c r="AC39" i="106"/>
  <c r="AC38" i="106"/>
  <c r="AC37" i="106"/>
  <c r="AC36" i="106"/>
  <c r="AC35" i="106"/>
  <c r="AC34" i="106"/>
  <c r="AC33" i="106"/>
  <c r="AC32" i="106"/>
  <c r="AC31" i="106"/>
  <c r="AC30" i="106"/>
  <c r="AC29" i="106"/>
  <c r="AC28" i="106"/>
  <c r="AC27" i="106"/>
  <c r="AC26" i="106"/>
  <c r="AC25" i="106"/>
  <c r="AC24" i="106"/>
  <c r="AC23" i="106"/>
  <c r="AC22" i="106"/>
  <c r="AC21" i="106"/>
  <c r="AC20" i="106"/>
  <c r="AC19" i="106"/>
  <c r="AC18" i="106"/>
  <c r="AC17" i="106"/>
  <c r="AC16" i="106"/>
  <c r="AC15" i="106"/>
  <c r="AC14" i="106"/>
  <c r="AC13" i="106"/>
  <c r="AC12" i="106"/>
  <c r="AC11" i="106"/>
  <c r="AC10" i="106"/>
  <c r="AC9" i="106"/>
  <c r="AC8" i="106"/>
  <c r="AC7" i="106"/>
  <c r="AC6" i="106"/>
  <c r="AC5" i="106"/>
  <c r="AC4" i="106"/>
  <c r="AC3" i="106"/>
  <c r="AW3" i="95"/>
  <c r="H3" i="1" s="1"/>
  <c r="I3" i="1" s="1"/>
  <c r="AB2" i="106"/>
  <c r="F3" i="1"/>
  <c r="A3" i="1"/>
  <c r="F2" i="1"/>
  <c r="AC2" i="106" l="1"/>
  <c r="AC214" i="106" s="1"/>
  <c r="F4" i="1"/>
  <c r="H2" i="1" l="1"/>
  <c r="G2" i="1"/>
  <c r="H4" i="1" l="1"/>
  <c r="I2" i="1" l="1"/>
  <c r="I4" i="1" s="1"/>
</calcChain>
</file>

<file path=xl/sharedStrings.xml><?xml version="1.0" encoding="utf-8"?>
<sst xmlns="http://schemas.openxmlformats.org/spreadsheetml/2006/main" count="4061" uniqueCount="1282">
  <si>
    <t>MES</t>
  </si>
  <si>
    <t>NIT Proveedor</t>
  </si>
  <si>
    <t>Nombre Proveedor (el proveedor ya debe estar creado para el Grupo Bancolombia)</t>
  </si>
  <si>
    <t>Concepto Facturación</t>
  </si>
  <si>
    <t>Público que se capacitó</t>
  </si>
  <si>
    <t>No. personas impactadas</t>
  </si>
  <si>
    <t>Valor Servicio Unitario</t>
  </si>
  <si>
    <t>Valor a Facturar sin IVA</t>
  </si>
  <si>
    <t>Valor a Facturar con IVA</t>
  </si>
  <si>
    <t>SEPTIEMBREDE 2025</t>
  </si>
  <si>
    <t>811013990-5</t>
  </si>
  <si>
    <t>LINEA COMUNICACIONES</t>
  </si>
  <si>
    <t>CAPACITACION CORRESPONSALES BANCARIOS APERTURAS</t>
  </si>
  <si>
    <t>CAPACITACION CORRESPONSALES BANCARIOS</t>
  </si>
  <si>
    <t>CAPACITACION CORRESPONSALES BANCARIOS OC</t>
  </si>
  <si>
    <t>TOTAL</t>
  </si>
  <si>
    <t>Incidentes, Aperturas y Gestion de campo 2025</t>
  </si>
  <si>
    <t>Incremento 2025</t>
  </si>
  <si>
    <t xml:space="preserve">Tipificación </t>
  </si>
  <si>
    <t>Descripción</t>
  </si>
  <si>
    <t>Capacitacion - Apertura</t>
  </si>
  <si>
    <t xml:space="preserve">Capacitacion OC  </t>
  </si>
  <si>
    <t>Gestión Telefónica</t>
  </si>
  <si>
    <t>Capacitación especifica Cambio de red</t>
  </si>
  <si>
    <t>Tipo I</t>
  </si>
  <si>
    <t>Metropolitano</t>
  </si>
  <si>
    <t>Tipo II</t>
  </si>
  <si>
    <t>Hasta 3 horas</t>
  </si>
  <si>
    <t>Tipo III</t>
  </si>
  <si>
    <t>De 3 a 5 horas</t>
  </si>
  <si>
    <t>Tipo IV</t>
  </si>
  <si>
    <t>Más de 5 horas</t>
  </si>
  <si>
    <t>Destino Aereo*</t>
  </si>
  <si>
    <t>Viajes en Avión</t>
  </si>
  <si>
    <t xml:space="preserve">* Tener presente que se cobrara el valor del tiquete de avion mas un porcentaje </t>
  </si>
  <si>
    <t>**Para  la capacitacion de datafono adicional se cobrara la mitad de una actividad normal, para este caso $70.053</t>
  </si>
  <si>
    <t>TARIFAS 2025</t>
  </si>
  <si>
    <t>Dia actividad Exitosa</t>
  </si>
  <si>
    <t>Dia actividad Fallida</t>
  </si>
  <si>
    <t>Destino aereo</t>
  </si>
  <si>
    <t>No incluye valor del Tiquete</t>
  </si>
  <si>
    <t>*Donde se requiera transporte aéreo o fluvial se factura adicional a tarifa TIPO IV el valor del tiquete + el 12% de admon.</t>
  </si>
  <si>
    <t>COORDINADOR</t>
  </si>
  <si>
    <t>CENTRO DE COSTOS LÍNEACOM</t>
  </si>
  <si>
    <t xml:space="preserve">Suma de  VALOR TOTAL </t>
  </si>
  <si>
    <t>Suma de  VALOR TOTAL 2</t>
  </si>
  <si>
    <t>NOMBRE CC</t>
  </si>
  <si>
    <t>DIEGO FERNANDO HENAO CARDONA</t>
  </si>
  <si>
    <t>0004-0002</t>
  </si>
  <si>
    <t>0004-0003</t>
  </si>
  <si>
    <t>JOSE MAURICIO HERNANDEZ ROJAS</t>
  </si>
  <si>
    <t>0004-0001</t>
  </si>
  <si>
    <t>JUAN SEBASTIÁN RÍOS CASTRILLÓN</t>
  </si>
  <si>
    <t>0004-0005</t>
  </si>
  <si>
    <t>KEVIN ALEXIS CORZO BUSTOS</t>
  </si>
  <si>
    <t>0004-0007</t>
  </si>
  <si>
    <t>MIGUEL JULIÁN HERNÁNDEZ GUARÍN</t>
  </si>
  <si>
    <t>0004-0008</t>
  </si>
  <si>
    <t>WILLIAM ASDRUBAL ROZO ROZO</t>
  </si>
  <si>
    <t>0004-0004</t>
  </si>
  <si>
    <t>Total general</t>
  </si>
  <si>
    <t>CIUDAD SEDE</t>
  </si>
  <si>
    <t>CÓDIGO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</si>
  <si>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</si>
  <si>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</si>
  <si>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</si>
  <si>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</si>
  <si>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</si>
  <si>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</si>
  <si>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</si>
  <si>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</si>
  <si>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</si>
  <si>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</si>
  <si>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</si>
  <si>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</si>
  <si>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</si>
  <si>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</si>
  <si>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</si>
  <si>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ATENCIÓN</t>
  </si>
  <si>
    <t>TERMINALES</t>
  </si>
  <si>
    <t>TIPIFICACION</t>
  </si>
  <si>
    <t>TIPO DE TRAYECTO</t>
  </si>
  <si>
    <t xml:space="preserve">NOMBRE DEL TECNICO </t>
  </si>
  <si>
    <t>CAPACITACIÓN COMPLETA</t>
  </si>
  <si>
    <t>CAPACITACIÓN ESPECÍFICA</t>
  </si>
  <si>
    <t>VALOR CAPACITACIÓN COMPLETA</t>
  </si>
  <si>
    <t>VALOR CAPACITACIÓN ESPECÍFICA</t>
  </si>
  <si>
    <t xml:space="preserve"> VALOR TOTAL </t>
  </si>
  <si>
    <t>PASTO</t>
  </si>
  <si>
    <t>TA-25-992136</t>
  </si>
  <si>
    <t>APERTURA</t>
  </si>
  <si>
    <t>CB CRECIMIENTO - NUEVO</t>
  </si>
  <si>
    <t>NARIÑO</t>
  </si>
  <si>
    <t>ROBERTO PAYAN</t>
  </si>
  <si>
    <t>BARRIO EL VILLA HORIZONTE ROBERTO PAYAN</t>
  </si>
  <si>
    <t>REDEBAN</t>
  </si>
  <si>
    <t>FO-25-1402263</t>
  </si>
  <si>
    <t>UNO A UNO</t>
  </si>
  <si>
    <t>EJECUTADO</t>
  </si>
  <si>
    <t>21-08 SE REALIZA CONTACTO CON EL CLIENTE VIA WHATSAPP, SE HABLA CON LA SRA MARIA ELVIRA PARRA ARTUNDUAGA AL NÚMERO 3236143368 SE VALIDA DIRECCIÓN OK, CANAL OK, DISPONIBILIDAD TOTAL, LLAMAR EL DIA DE LA INSTALACIÓN PARA CONFIRMAR VISITA, AVISO EXTERIOR ALTURA APROX 8 METROS; TOMACORRIENTE CERCANO: SI; TIENE CABINA DE SEGURIDAD; SI 01-09 SE INICIO DESPLAZAMIENTO PERO SOLO HOY SE LLEGO HASTA BARBACOAS, SE VALIDA Y SE DEBE TOMAR LANCHA EL DIA DE MAÑANA  2/09/2025 SE REALIZA INSTALACIÓN DE CORRESPONSAL, SE INSTALAN EQUIPOS CON PRUEBAS EXITOSAS, SE CAPACITA Y SE EVALÚA AL CLIENTE, SE INSTALA PUBLICIDAD COMPLETA, CB QUEDA OPERATIVO. USUARIO SOMOS BANCOLOMBIA ACTIVO</t>
  </si>
  <si>
    <t>VISITA_TÉCNICA</t>
  </si>
  <si>
    <t>SIZZZ900</t>
  </si>
  <si>
    <t>TIPO IV ESPECIAL</t>
  </si>
  <si>
    <t>FLUVIAL</t>
  </si>
  <si>
    <t>PAZ MARTINEZ RICHARD HUMBERTO</t>
  </si>
  <si>
    <t>CALI</t>
  </si>
  <si>
    <t>TA-25-992167</t>
  </si>
  <si>
    <t>CAUCA</t>
  </si>
  <si>
    <t>EL TAMBO</t>
  </si>
  <si>
    <t>BARRIO PLAYA RICA EL TAMBO 1</t>
  </si>
  <si>
    <t>FO-25-1402365</t>
  </si>
  <si>
    <t>21-08 SE REALIZA LLAMADA AL CLIENTE, SE HABLA CON LA SRA YUDY MILENA CALVACHE HERNANDEZ SE VALIDA DIRECCIÓN OK, CANAL OK, DISPONIBILIDAD TOTAL, LLAMAR EL DÍA LA INSTALACIÓN PARA CONFIRMAR VISITA, AVISO EXTERIOR ALTURA: NO INDICA ALTURA ; TOMACORRIENTE CERCANO: SI; TIENE CABINA DE SEGURIDAD: NO 25-08 DADO PROBLEMAS DE TRANSPORTE HACIA EL CORREGIMIENTO NO ES POSIBLE EL DESPLAZAMIENTO EL DIA DE HOY , SE VALIDARA EL DIA DE MAÑANA. 26-08 SE REALIZA LLAMADA CON EL CLIENTE, QUIEN INFORMA QUE PARA PODER REALIZAR EL INGRESO A LA ZONA ES NECESARIO DILIGENCIAR UNOS PERMISOS ESPECIALES, YA QUE SE TRATA DE UNA ZONA CON PRESENCIA GUERRILLERA. DEBIDO A ESTA SITUACIÓN, SE ACUERDA REPROGRAMAR LA APERTURA. 02-09 SE REALIZA INSTALACIÓN DE CORRESPONSAL, SE INSTALAN EQUIPOS CON PRUEBAS EXITOSAS, SE CAPACITA Y SE EVALÚA AL CLIENTE, SE INSTALA PUBLICIDAD COMPLETA, CB QUEDA OPERATIVO. USUARIO SOMOS BANCOLOMBIA ACTIVO</t>
  </si>
  <si>
    <t>SIZZZ915</t>
  </si>
  <si>
    <t>TIPO III</t>
  </si>
  <si>
    <t>TERRESTRE</t>
  </si>
  <si>
    <t>GIMBUEL LASSO LUIS GERMAN</t>
  </si>
  <si>
    <t>TA-25-1033974</t>
  </si>
  <si>
    <t>BARBACOAS</t>
  </si>
  <si>
    <t>BARRIO GUAYACAL BARBACOAS</t>
  </si>
  <si>
    <t>FO-25-1432981</t>
  </si>
  <si>
    <t>27-08 SE REALIZA LLAMADA AL CLIENTE, SE HABLA CON LA SRA YULIS FIORELA PORTILLA CABEZAS SE VALIDA DIRECCIÓN OK, CANAL OK, DISPONIBILIDAD TOTAL, LLAMAR EL DÍA LA INSTALACIÓN PARA CONFIRMAR VISITA, AVISO EXTERIOR ALTURA APROX 2 METROS; TOMACORRIENTE CERCANO: SI; TIENE CABINA DE SEGURIDAD: NO - COMUNICACIÓN POR WPP / EL MODEM ESTA A 4 MT 29/08/2025 POR DISPONIBILIDAD DE TRASNPORTE NO ES POSIBLE REALIZAR LA ACTIVIDAD EL DIA DE HOY, SE VIAJARA EL DIA LUNES  01-09 SE LLEGO A BARBACOAS, SE ESTA REALIZANDO LA IMPLEMENTACIÓN EL DIA DE MAÑANA  02-09 SE REALIZA INSTALACIÓN DE CORRESPONSAL, SE INSTALAN EQUIPOS CON PRUEBAS EXITOSAS, SE CAPACITA Y SE EVALÚA AL CLIENTE, SE INSTALA PUBLICIDAD COMPLETA, CB QUEDA OPERATIVO. USUARIO SOMOS BANCOLOMBIA ACTIVO</t>
  </si>
  <si>
    <t>FKZZZ635</t>
  </si>
  <si>
    <t>TIPO IV</t>
  </si>
  <si>
    <t>PEREIRA</t>
  </si>
  <si>
    <t>TA-25-1033985</t>
  </si>
  <si>
    <t>RISARALDA</t>
  </si>
  <si>
    <t>BARRIO CENTRO PEREIRA 55</t>
  </si>
  <si>
    <t>FO-25-1433027</t>
  </si>
  <si>
    <t>27-08-2025 SE REALIZA LLAMADA AL CLIENTE, SE HABLA CON LA SRA JULIANA ECHEVERRY GALVEZ SE VALIDA DIRECCIÓN OK, CANAL OK, DISPONIBILIDAD TOTAL, LLAMAR EL DÍA LA INSTALACIÓN PARA CONFIRMAR VISITA, AVISO EXTERIOR ALTURA APROX 2 METROS; TOMACORRIENTE CERCANO: SI; TIENE CABINA DE SEGURIDAD: NO // CONTACTO REALIZADO POR LA APP 29-08 REALIZAMOS LLAMADA A LA SRA JULIANA LA CUAL NOS INDICA QUE EL DÍA DE HOY NO ES POSIBLE ATENDERNOS YA QUE TIENE UN COMPROMISO QUE POR FAVOR REPROGRAMAR LA VISITA PARA LA OTRA SEMANA. 1/09/2025 SE REALIZA INSTALACIÓN DE CORRESPONSAL, SE INSTALAN EQUIPOS, SE CAPACITA Y SE EVALÚA AL CLIENTE, SE INSTALA PUBLICIDAD COMPLETA, CB QUEDA OPERATIVO. USUARIO SOMOS BANCOLOMBIA ACTIVO. NOTA: SOLO SE REALIZAN PRUEBA DE CONSULTA DE SALDO YA QUE EL CLIENTE NO TIENE TARJETA PARA HACER LAS PRUEBAS DE DEPOSITO, RETIRO, RECAUDO Y TRANSFERENCIA</t>
  </si>
  <si>
    <t>FKZZZ643</t>
  </si>
  <si>
    <t>TIPO I</t>
  </si>
  <si>
    <t>ARROYAVE CANO MANUEL GUILLERMO</t>
  </si>
  <si>
    <t>MONTERIA</t>
  </si>
  <si>
    <t>TA-25-1033987</t>
  </si>
  <si>
    <t>CORDOBA</t>
  </si>
  <si>
    <t>BARRIO POLICARPA MONTERIA 3</t>
  </si>
  <si>
    <t>FO-25-1433037</t>
  </si>
  <si>
    <t>26-08 SE REALIZA LLAMADA AL CLIENTE, SE HABLA CON LA SRA  SIDNEY PATRICIA VILLEGAS VILORIA SE VALIDA DIRECCIÓN OK, CANAL OK, DISPONIBILIDAD TOTAL, LLAMAR EL DÍA DE LA INSTALACIÓN PARA CONFIRMAR VISITA, AVISO EXTERIOR NO INDICA ALTURA; TOMACORRIENTE CERCANO: SI; TIENE CABINA DE SEGURIDAD: SI 28-08 SE REALIZÓ LLAMADA DE VALIDACIÓN Y LA SEÑORA SIDNEY PATRICIA VILLEGAS VILORIA, INFORMA QUE POR LAS FUERTE LLUVIA Y BRISA DE ANOCHE SE CAYERON VARIOS ÁRBOLES Y ESTÁ SIN FLUIDO ELÉCTRICO Y DAÑOS EN EL INTERNET. PIDE POR FAVOR ESPERAR A QUE LE SOLUCIONEN PARA RECIBIR LA INSTALACIÓN. 29-08 SE REALIZÓ LLAMADA DE VALIDACIÓN Y EL CLIENTE INFORMA QUE TODAVÍA TIENE PROBLEMAS CON EL CANAL DE COMUNICACIÓN, QUE NO HAN REALIZADO LOS ARREGLOS EN LA ZONA. 30-08 LA ACTIVIDAD SE REAGENDA PARA EL DÍA LUNES 01-09-25. 1/09/2025 SE ESCALA CASO, DONDE SE LLEVA A COMERCIO DE LA PAPELERÍA, PERO EL LOCAL NO CUENTA CON EL NOMBRE DE COMERCIO EN FACHADA, CABE ACLARAR QUE LA MERCANCÍA SI TIENE RELACIÓN CON PAPELERIA, // POR FAVOR, PROCEDAMOS CON LA IMPLANTACIÓN CORRESPONDIENTE Y DEJEMOS COMO EVIDENCIA LA CÁMARA DE COMERCIO, ASÍ COMO LA DOCUMENTACIÓN DE LA NOVEDAD PRESENTADA. 01-09 SE REALIZA INSTALACIÓN DE CORRESPONSAL, SE INSTALAN EQUIPOS CON PRUEBAS EXITOSAS, SE CAPACITA Y SE EVALÚA AL CLIENTE, SE INSTALA PUBLICIDAD COMPLETA, CB QUEDA OPERATIVO. USUARIO SOMOS BANCOLOMBIA ACTIVO. NO SÉ REALIZÓ PRUEBAS DE RECAUDO PORQUE EL CLIENTE NO IBA A PAGAR FACTURA EN EL MOMENTO Y LA DE TRANSFERENCIA EL CLIENTE NO TIENE MÁS CUENTA</t>
  </si>
  <si>
    <t>FKZZZ646</t>
  </si>
  <si>
    <t>CALDERA SALCEDO CARLOS JULIO</t>
  </si>
  <si>
    <t>TA-25-1033991</t>
  </si>
  <si>
    <t>TIMBIQUI</t>
  </si>
  <si>
    <t>BARRIO UNION DE VIVIENDAS TIMBIQUI</t>
  </si>
  <si>
    <t>FO-25-1433056</t>
  </si>
  <si>
    <t>27-08-2025 SE REALIZA LLAMADA AL CLIENTE, SE HABLA CON LA SRA  IRLANDA VENTE CONGOLINO SE VALIDA DIRECCIÓN OK, CANAL OK, DISPONIBILIDAD TOTAL, LLAMAR EL DÍA LA INSTALACIÓN PARA CONFIRMAR VISITA, AVISO EXTERIOR ALTURA APROX 3 METROS; TOMACORRIENTE CERCANO: SI; TIENE CABINA DE SEGURIDAD: SI  04-09 SE REALIZA INSTALACIÓN DE CORRESPONSAL, SE INSTALAN EQUIPOS CON PRUEBAS EXITOSAS, SE CAPACITA Y SE EVALÚA AL CLIENTE, SE INSTALA PUBLICIDAD COMPLETA, CB QUEDA OPERATIVO. USUARIO SOMOS BANCOLOMBIA ACTIVO</t>
  </si>
  <si>
    <t>FKZZZ649</t>
  </si>
  <si>
    <t>AEREO</t>
  </si>
  <si>
    <t>PAREDES CASTILLO DIEGO</t>
  </si>
  <si>
    <t>NEIVA</t>
  </si>
  <si>
    <t>TA-25-1034017</t>
  </si>
  <si>
    <t>CAQUETA</t>
  </si>
  <si>
    <t>SOLITA</t>
  </si>
  <si>
    <t>BARRIO JORDAN SOLITA</t>
  </si>
  <si>
    <t>FO-25-1433151</t>
  </si>
  <si>
    <t>27-08 SE REALIZA LLAMADA AL CLIENTE, SE HABLA CON LA SRA IDARYI CANO PINZON  SE VALIDA DIRECCIÓN OK, CANAL OK, DISPONIBILIDAD TOTAL, LLAMAR EL DÍA LA INSTALACIÓN PARA CONFIRMAR VISITA, AVISO EXTERIOR ALTURA APROX 2 METROS; TOMACORRIENTE CERCANO: SI; TIENE CABINA DE SEGURIDAD: NO - EL MODEM ESTA 5 MT  01-09  EN COMUNICACIÓN CON LA CLIENTA PARA CONFIRMAR LA INSTALACIÓN EL DÍA DE HOY, CLIENTE MANIFIESTO QUE NO ES POSIBLE ATENDER LA VISITA YA QUE POR MOTIVOS PERSONALES ESTÁ EN FLORENCIA REALIZANDO UNAS DILIGENCIAS, MANIFESTÓ ATENDER LA VISITA EL DÍA DE MAÑANA 02 DE SEPTIEMBRE EN EL TRANSCURSO DEL DÍA. 2/09/2025 SE REALIZA INSTALACIÓN DE CORRESPONSAL, SE INSTALAN EQUIPOS CON PRUEBAS EXITOSAS, SE CAPACITA Y SE EVALÚA AL CLIENTE, SE INSTALA PUBLICIDAD COMPLETA, CB QUEDA OPERATIVO. USUARIO SOMOS BANCOLOMBIA ACTIVO</t>
  </si>
  <si>
    <t>FKZZZ665</t>
  </si>
  <si>
    <t>BERMUDEZ SANCHEZ JOSE NEYBER</t>
  </si>
  <si>
    <t>VILLAVICENCIO</t>
  </si>
  <si>
    <t>TA-25-1034022</t>
  </si>
  <si>
    <t>META</t>
  </si>
  <si>
    <t>LA MACARENA</t>
  </si>
  <si>
    <t>BARRIO CENTRO LA MACARENA 9</t>
  </si>
  <si>
    <t>FO-25-1433176</t>
  </si>
  <si>
    <t>27-08 SE REALIZA LLAMADA AL CLIENTE, SE HABLA CON LA SR RICARDO FLOREZ ARENAS  SE VALIDA DIRECCIÓN OK, CANAL OK, DISPONIBILIDAD TOTAL, LLAMAR EL DÍA LA INSTALACIÓN PARA CONFIRMAR VISITA, AVISO EXTERIOR ALTURA APROX 2 METROS; TOMACORRIENTE CERCANO: SI; TIENE CABINA DE SEGURIDAD: NO - COMUNICACIÓN POR WPP / EL MODEM ESTA A 5 MT  Y NO TIENE PUERTO DISPONIBLES ( LLEVAR SWITCH) 03-09 SE REALIZA INSTALACIÓN DE CORRESPONSAL, SE INSTALAN EQUIPOS CON PRUEBAS EXITOSAS, SE CAPACITA Y SE EVALÚA AL CLIENTE, SE INSTALA PUBLICIDAD COMPLETA, CB QUEDA OPERATIVO. USUARIO SOMOS BANCOLOMBIA ACTIVO</t>
  </si>
  <si>
    <t>FKZZZ669</t>
  </si>
  <si>
    <t>ROZO JIMENEZ EDGAR ARMANDO</t>
  </si>
  <si>
    <t>BUCARAMANGA</t>
  </si>
  <si>
    <t>TA-25-1034026</t>
  </si>
  <si>
    <t>SANTANDER</t>
  </si>
  <si>
    <t>SAN GIL</t>
  </si>
  <si>
    <t>BARRIO CIUDAD FUTURO ETAPA  3 SAN GIL</t>
  </si>
  <si>
    <t>FO-25-1433206</t>
  </si>
  <si>
    <t>27-08 SE REALIZA LLAMADA AL CLIENTE, SE HABLA CON LA SRA OLGA PATRICIA SARMIENTO OTERO  SE VALIDA DIRECCIÓN OK, CANAL OK, DISPONIBILIDAD TOTAL, LLAMAR EL DÍA LA INSTALACIÓN PARA CONFIRMAR VISITA, AVISO EXTERIOR ALTURA APROX 2 METROS; TOMACORRIENTE CERCANO: SI; TIENE CABINA DE SEGURIDAD: NO - SE PROGRAMA PARA DICHA FECHA POR SOLITUD DEL USUARIO 01-09 SE REALIZA INSTALACIÓN DE CORRESPONSAL, SE INSTALAN EQUIPOS CON PRUEBAS EXITOSAS, SE CAPACITA Y SE EVALÚA AL CLIENTE, SE INSTALA PUBLICIDAD COMPLETA, CB QUEDA OPERATIVO. USUARIO SOMOS BANCOLOMBIA ACTIVO</t>
  </si>
  <si>
    <t>FKZZZ672</t>
  </si>
  <si>
    <t>TIPO II</t>
  </si>
  <si>
    <t>GELVEZ MOGOLLON JOSE ELISEO</t>
  </si>
  <si>
    <t>TA-25-1034027</t>
  </si>
  <si>
    <t>VALLE DEL CAUCA</t>
  </si>
  <si>
    <t>BARRIO BENAJAMIN HERRERA CALI</t>
  </si>
  <si>
    <t>FO-25-1433211</t>
  </si>
  <si>
    <t>27-08 SE REALIZA LLAMADA AL CLIENTE, SE HABLA CON LA SRA MALLERLY RUBIANO LOPEZ  SE VALIDA DIRECCIÓN OK, CANAL OK, DISPONIBILIDAD TOTAL, LLAMAR EL DÍA LA INSTALACIÓN PARA CONFIRMAR VISITA, AVISO EXTERIOR ALTURA: NO INDICA ALTURA; TOMACORRIENTE CERCANO: SI; TIENE CABINA DE SEGURIDAD: NO 29/08/2025 SE LLAMA AL CLIENTE AL NÚMERO 3104237740 HABLO CON LA SEÑORA MALLERLY INFORMA QUE EL DÍA DE HOY NO PUEDE ATENDER LA INSTALACIÓN TODO EL PERSONAL DE LA DROGUERÍA ESTÁ EN INVENTARIO NO ALGUIEN MÁS QUE NOS ATIENDA LA ACTIVIDAD NO SE PUEDE REPROGRAMAR VENCE EL HOY, SE LE INDICA AL CLIENTE QUE SE CANCELA LA INSTALACIÓN 01-09 SE LLAMO EL CLIENTE PERO NO CONTESTO, SE REALIZARA LLAMADA EL DIA DE MAÑANA PARA VALIDAR DISPONIBILIDAD 02-09 SE REALIZA INSTALACIÓN DE CORRESPONSAL, SE INSTALAN EQUIPOS CON PRUEBAS EXITOSAS, SE CAPACITA Y SE EVALÚA AL CLIENTE, SE INSTALA PUBLICIDAD COMPLETA, CB QUEDA OPERATIVO. USUARIO SOMOS BANCOLOMBIA ACTIVO</t>
  </si>
  <si>
    <t>FKZZZ673</t>
  </si>
  <si>
    <t>TA-25-1034476</t>
  </si>
  <si>
    <t>CB CRECIMIENTO ALIANZA - NUEVO</t>
  </si>
  <si>
    <t>PUTUMAYO</t>
  </si>
  <si>
    <t>PUERTO ASIS</t>
  </si>
  <si>
    <t>DISTRICOL LADY PERFUMERIA</t>
  </si>
  <si>
    <t>FO-25-1433932</t>
  </si>
  <si>
    <t>AGREGADOR</t>
  </si>
  <si>
    <t>DISTRICOL</t>
  </si>
  <si>
    <t>27-08 PROGRAMACIÓN REALIZADA POR LA ALIANZA 29/08/2025 POR DISPONIBILIDAD DE TRASNPORTE NO ES POSIBLE REALIZAR LA ACTIVIDAD EL DIA DE HOY, SE VIAJARA EL DIA LUNES 01-09 POR RETRASOS DEBIDO A ARREGLOS EN LA VÍA AL PUTUMAYO NO SE ALCANZA A REALIZAR VISITA EL DÍA DE HOY. SE INFORMA A CLIENTE QUE SE VISITARÁ MAÑANA DESPUÉS DE MEDIO DÍA. SEÑORA RUBIELA PIDE SE LA VISITE A LAS 3 PM 2/09/2025 SE REALIZA INSTALACIÓN DE CORRESPONSAL, SE INSTALAN EQUIPOS CON PRUEBAS EXITOSAS, SE CAPACITA Y SE EVALÚA AL CLIENTE, SE INSTALA PUBLICIDAD COMPLETA, CB QUEDA OPERATIVO. USUARIO SOMOS BANCOLOMBIA ACTIVO</t>
  </si>
  <si>
    <t>FKZZZ695</t>
  </si>
  <si>
    <t>CASTILLO HERRERA ALEX RICARDO</t>
  </si>
  <si>
    <t>TA-25-1040105</t>
  </si>
  <si>
    <t>ANTIOQUIA</t>
  </si>
  <si>
    <t>EL BAGRE</t>
  </si>
  <si>
    <t>DISTRICOL DROGUERIA G&amp;P</t>
  </si>
  <si>
    <t>FO-25-1444555</t>
  </si>
  <si>
    <t>29-08 PROGRAMACIÓN REALIZADA POR LA ALIANZA 2/09/2025 SE REALIZA INSTALACIÓN DE CORRESPONSAL, SE INSTALAN EQUIPOS CON PRUEBAS EXITOSAS, SE CAPACITA Y SE EVALÚA AL CLIENTE, SE INSTALA PUBLICIDAD COMPLETA, CB QUEDA OPERATIVO. USUARIO SOMOS BANCOLOMBIA ACTIVO. LAS PRUEBAS DE RECAUDO Y TRANSFERENCIA NO SE REALIZARON PORQUE EL CLIENTE NO TIENE OTRA CUENTA Y NO HAY FACTURAS PARA HACER RECAUDOS</t>
  </si>
  <si>
    <t>SKZZZ566</t>
  </si>
  <si>
    <t>APARTADO</t>
  </si>
  <si>
    <t>TA-25-1040106</t>
  </si>
  <si>
    <t>TURBO</t>
  </si>
  <si>
    <t>DISTRICOL VARIEDADES VIANYS</t>
  </si>
  <si>
    <t>FO-25-1444558</t>
  </si>
  <si>
    <t>29-08 PROGRAMACIÓN REALIZADA POR LA ALIANZA 2/09/2025 SE REALIZA INSTALACIÓN DE CORRESPONSAL, SE INSTALAN EQUIPOS CON PRUEBAS EXITOSAS, SE CAPACITA Y SE EVALÚA AL CLIENTE, SE INSTALA PUBLICIDAD COMPLETA, CB QUEDA OPERATIVO. USUARIO SOMOS BANCOLOMBIA ACTIVO</t>
  </si>
  <si>
    <t>SKZZZ567</t>
  </si>
  <si>
    <t>SALDARRIAGA MIRANDA SANTIAGO</t>
  </si>
  <si>
    <t>MEDELLIN</t>
  </si>
  <si>
    <t>TA-25-1040107</t>
  </si>
  <si>
    <t>VALDIVIA</t>
  </si>
  <si>
    <t>DISTRICOL AGROABARROTES EL 15</t>
  </si>
  <si>
    <t>FO-25-1444562</t>
  </si>
  <si>
    <t>SKZZZ568</t>
  </si>
  <si>
    <t>BARRIENTOS HERNANDEZ CRISTIAN HORACIO</t>
  </si>
  <si>
    <t>MANIZALES</t>
  </si>
  <si>
    <t>TA-25-1040109</t>
  </si>
  <si>
    <t>CALDAS</t>
  </si>
  <si>
    <t>RIOSUCIO</t>
  </si>
  <si>
    <t>DISTRICOL CACHARR MIL COSAS</t>
  </si>
  <si>
    <t>FO-25-1444574</t>
  </si>
  <si>
    <t>29-08 PROGRAMACIÓN REALIZADA POR LA ALIANZA 01-08 SE REALIZA INSTALACIÓN DE CORRESPONSAL, SE INSTALAN EQUIPOS CON PRUEBAS EXITOSAS, SE CAPACITA Y SE EVALÚA AL CLIENTE, SE INSTALA PUBLICIDAD COMPLETA, CB QUEDA OPERATIVO. USUARIO SOMOS BANCOLOMBIA ACTIVO. NO SE CONTABA CON LOS RECURSOS PARA HACER PRUEBAS TRANSFERENCIA</t>
  </si>
  <si>
    <t>SKZZZ570</t>
  </si>
  <si>
    <t>FRANCO CAÑAVERAL YAMID RAUL</t>
  </si>
  <si>
    <t>TA-25-1040111</t>
  </si>
  <si>
    <t>DISTRICOL DROGUERIA PAOLA</t>
  </si>
  <si>
    <t>FO-25-1444579</t>
  </si>
  <si>
    <t>29-08 PROGRAMACIÓN REALIZADA POR LA ALIANZA 01-09 NO SE LOGRA LLEGAR AL SITIO, YA QUE DEBIDO LA HORA NO HAY TRANSPORTE PARA LA ZONA, SE LLAMA AL CLIENTE Y SE LE INDICA QUE SE VISITA A PRIMERA HORA. 2/09/2025 SE REALIZA INSTALACIÓN DE CORRESPONSAL, SE INSTALAN EQUIPOS CON PRUEBAS EXITOSAS, SE CAPACITA Y SE EVALÚA AL CLIENTE, SE INSTALA PUBLICIDAD COMPLETA, CB QUEDA OPERATIVO. USUARIO SOMOS BANCOLOMBIA ACTIVO. NO SE ANEXA PRUEBA DE RETIRO, NI TRANSFERENCIA, YA QUE EL CLIENTE NO CUENTA CON TARJETA BANCOLOMBIA.</t>
  </si>
  <si>
    <t>SKZZZ571</t>
  </si>
  <si>
    <t>TA-25-1040112</t>
  </si>
  <si>
    <t>SALAMINA</t>
  </si>
  <si>
    <t>DISTRICOL MUL TIENDA SAN FELIX</t>
  </si>
  <si>
    <t>FO-25-1444582</t>
  </si>
  <si>
    <t>29-08 PROGRAMACIÓN REALIZADA POR LA ALIANZA 02-09 SE REALIZA INSTALACIÓN DE CORRESPONSAL, SE INSTALAN EQUIPOS CON PRUEBAS EXITOSAS, SE CAPACITA Y SE EVALÚA AL CLIENTE, SE INSTALA PUBLICIDAD COMPLETA, CB QUEDA OPERATIVO. USUARIO SOMOS BANCOLOMBIA ACTIVO. SE HACEN PRUEBA DE CONSULTA DE SALDO SOLAMENTE YA QUE USUARIO NO CUENTA CON LOS MEDIOS PARA REALIZAR DEMAS PRUEBAS (RETIRO, CONSIGNACIÓN, RECAUDO) SERVICIO OK</t>
  </si>
  <si>
    <t>SKZZZ572</t>
  </si>
  <si>
    <t>AGUIRRE HENAO RAUL EDUARDO</t>
  </si>
  <si>
    <t>TA-25-1040113</t>
  </si>
  <si>
    <t>LA UNION</t>
  </si>
  <si>
    <t>DISTRICOL ARCADIA T. BELLEZA</t>
  </si>
  <si>
    <t>FO-25-1444586</t>
  </si>
  <si>
    <t>29-08 PROGRAMACIÓN REALIZADA POR LA ALIANZA 2/09/2025 SE REALIZA INSTALACIÓN DE CORRESPONSAL, SE INSTALAN EQUIPOS CON PRUEBAS EXITOSAS, SE CAPACITA Y SE EVALÚA AL CLIENTE, SE INSTALA PUBLICIDAD COMPLETA, CB QUEDA OPERATIVO. USUARIO SOMOS BANCOLOMBIA ACTIVO. PRUEBAS EXCEPTO RECAUDO POR NO TENER ELEMENTOS PARA HACERLA</t>
  </si>
  <si>
    <t>SKZZZ573</t>
  </si>
  <si>
    <t>GUERRERO RAMIREZ OSCAR DARIO</t>
  </si>
  <si>
    <t>CUCUTA</t>
  </si>
  <si>
    <t>TA-25-1040114</t>
  </si>
  <si>
    <t>NORTE DE SANTANDER</t>
  </si>
  <si>
    <t>DISTRICOL GIO CAFE</t>
  </si>
  <si>
    <t>FO-25-1444592</t>
  </si>
  <si>
    <t>29-08 PROGRAMACIÓN REALIZADA POR LA ALIANZA 01-09 SE PROGRAMA VISITA PARA EL DÍA DE MAÑANA 02-09-25 ME INFORMAN EL ENCARGADO DE BODEGA QUE LAS TERMINALES TUVIERON UNA NOVEDAD Y NO QUEDARON PRE INSTALADAS PARA EL DÍA DE HOY, SE PROGRAMA VISITA PARA EL DÍA DE MAÑANA PARA DESPUÉS DE LAS 09:00 POR DISPONIBILIDAD DEL CLIENTE 2/09/2025 SE REALIZA INSTALACIÓN DE CORRESPONSAL, SE INSTALAN EQUIPOS CON PRUEBAS EXITOSAS, SE CAPACITA Y SE EVALÚA AL CLIENTE, SE INSTALA PUBLICIDAD COMPLETA, CB QUEDA OPERATIVO. USUARIO SOMOS BANCOLOMBIA ACTIVO</t>
  </si>
  <si>
    <t>SKZZZ718</t>
  </si>
  <si>
    <t>DURAN ACOSTA FRANK YONNY</t>
  </si>
  <si>
    <t>TA-25-1040116</t>
  </si>
  <si>
    <t>DISTRICOL COSMETICOS JHUR</t>
  </si>
  <si>
    <t>FO-25-1444597</t>
  </si>
  <si>
    <t>29-08 PROGRAMACIÓN REALIZADA POR LA ALIANZA 1/09/2025 AL LLEGAR AL SITIO, SE IDENTIFICA QUE NO CUENTA CON AVISO DE FUNCIONAMIENTO VISIBLE. ADEMÁS, SE OBSERVA QUE EL NOMBRE COMERCIAL REGISTRADO NO CORRESPONDE CON LA ACTIVIDAD QUE SE REALIZA EN EL ESTABLECIMIENTO. EN EL PUNTO SE IDENTIFICA QUE SE TRATA DE UN NEGOCIO TIPO TIENDA. SIN EMBARGO, EL CLIENTE INDICA QUE LOS COSMÉTICOS SE VENDEN ÚNICAMENTE POR CATÁLOGO. / POR FAVOR, PROCEDAMOS CON LA IMPLEMENTACIÓN DEL CB 81258. ES IMPORTANTE QUE AL MOMENTO DE CERRAR LA ACTIVIDAD SE INDIQUE LA NOVEDAD, YA QUE SE EVIDENCIA QUE EL ESTABLECIMIENTO NO CUENTA CON AVISO CON EL NOMBRE. 01-09 SE VISITA CB SE REALIZA INSTALACION, SE PRESENTA NOVEDAD CON LA PLACA ASIGNADA YA QUE LOS CU NO ESTAN  CON TERMINAL PROCESADAS, SE LE INFORMA AL CLIENTE QUE SE VISITA MAÑANA PARA TERMINAR  LA INSTALACION DE CB. 2/09/2025 SE REALIZA INSTALACIÓN DE CORRESPONSAL, SE INSTALAN EQUIPOS CON PRUEBAS EXITOSAS, SE CAPACITA Y SE EVALÚA AL CLIENTE, SE INSTALA PUBLICIDAD COMPLETA, CB QUEDA OPERATIVO. USUARIO SOMOS BANCOLOMBIA ACTIVO. RECAUDO NO HAY CONVENIO. TRANSFERENCIA CLIENTE NO TIENE CUENTAS.</t>
  </si>
  <si>
    <t>SKZZZ719</t>
  </si>
  <si>
    <t>NARANJO AFANADOR RUBEN JESUS</t>
  </si>
  <si>
    <t>TA-25-1040117</t>
  </si>
  <si>
    <t>DISTRICOL VARIEDADES JOSLEY</t>
  </si>
  <si>
    <t>FO-25-1444601</t>
  </si>
  <si>
    <t>29-08 PROGRAMACIÓN REALIZADA POR LA ALIANZA 01-09 SE CONTACTA EL SEÑOR JHOAN CARDENAS, ME INFORMA QUE SE LE PRESENTO UN INCONVENIENTE Y NO PUEDE ATENDER LA INSTALACIÓN EL DÍA DE HOY, SOLICITA QUE SE REAGENDE LA VISITA PARA EL DÍA 02/09 EN LA TARDE. SE REAGENDA VISITA POR SOLICITUD DEL CLIENTE. 02-09 SE REALIZA INSTALACIÓN DE CORRESPONSAL, SE INSTALAN EQUIPOS CON PRUEBAS EXITOSAS, SE CAPACITA Y SE EVALÚA AL CLIENTE, SE INSTALA PUBLICIDAD COMPLETA, CB QUEDA OPERATIVO. USUARIO SOMOS BANCOLOMBIA ACTIVO</t>
  </si>
  <si>
    <t>SKZZZ574</t>
  </si>
  <si>
    <t>TA-25-1040119</t>
  </si>
  <si>
    <t>CONVENCION</t>
  </si>
  <si>
    <t>DISTRICOL TIENDA LOS LLANOS</t>
  </si>
  <si>
    <t>FO-25-1520722</t>
  </si>
  <si>
    <t>29-08 PROGRAMACIÓN REALIZADA POR LA ALIANZA 2/09/2025 IMPOSIBILIDAD DE REALIZAR VISITA DE APERTURA – VEREDA LOS LLANOS, MUNICIPIO DE CONVENCIÓN. SE INFORMA QUE LA VISITA DE APERTURA HACE PARTE DEL MUNICIPIO DE CONVENCIÓN, EL CUAL SE ENCUENTRA AFECTADO POR LA PRESENCIA DE GRUPOS AL MARGEN DE LA LEY. ADICIONALMENTE, SE HA IDENTIFICADO QUE LA IMPLEMENTACIÓN SE REALIZARÁ EN LA VEREDA LOS LLANOS, UNA ZONA DE DIFÍCIL ACCESO Y CONSIDERABLEMENTE ALEJADA DEL CASCO URBANO DEL MUNICIPIO. TENIENDO EN CUENTA LA UBICACIÓN GEOGRÁFICA Y LA ACTUAL SITUACIÓN DE ORDEN PÚBLICO EN LA REGIÓN DEL CATATUMBO, Y CON EL FIN DE PRESERVAR LA SEGURIDAD DEL PERSONAL TÉCNICO, SE COMUNICA QUE NO ES POSIBLE ASUMIR RIESGOS EN ESTE MOMENTO PARA LLEVAR A CABO DICHA VISITA. / TENIENDO EN CUENTA LO QUE NOS INFORMAN QUE EL INGRESO DEL TÉCNICO A LA ZONA NO ES SEGURA POR FAVOR CANCELAR LA IMPLEMENTACIÓN, SERÁ INFORMADA AL ALIADO. / 12/09/2025 DESPUES DE CANCELADA LA ACTIVIDAD SOLICITAN REALIZAR LA INSTALACIÓN POR EN UN PUNTO INTERMEDIO (OCAÑA) Y ENTREGAR EQUIPOS  Y PUBLICIDAD AL USUARIO Y CAPACITAR VIRTUAL 15-09 EN COMUNICACIÓN CON EL CLIENTE ME INFORMA LA JOHANNA GARCÍA 3209400635 QUE SI ESTÁ DE ACUERDO EN RECIBIR LOS EQUIPOS Y PUBLICIDAD EN OCAÑA POR EL ORDEN PÚBLICO EN LA ZONA DEL CATATUMBO,INDICA TENER UN COMERCIO DE UN FAMILIAR PARA REALIZAR LA ACTIVACIÓN Y CAPACITACIÓN DEL DATAFONO , SE PROGRAMA VISITA A LA ESPERA DE RESPUESTA POR PARTE DE LA ENTIDAD PARA PROGRAMAR VIAJE 17/09/2025 SE CONFIRMA LA VISITA CON LA SEÑORA JOHANNA SANJUÁN GARCÍA, IDENTIFICADA CON CÉDULA NÚMERO 1.007.282.907. DIRECCIÓN: KDX 404-460, BARRIO LIBARDO ALONZO PARTE ALTA FECHA Y HORA: 17-09 A LAS 2:30 P.M., SEGÚN LO ACORDADO PREVIAMENTE CON LA USUARIA 320 940 0635 / SE ENTREGÓ PUBLICIDAD Y EQUIPOS AL USUARIO. ADICIONALMENTE, SE REALIZÓ UNA CAPACITACIÓN SOBRE EL MANEJO DEL CB EN OCAÑA. ACTUALMENTE, SE ESTÁ A LA ESPERA DE QUE EL USUARIO SE ENCUENTRE EN SITIO Y ENVÍE LOS REGISTROS FOTOGRÁFICOS DEL CORRESPONSAL INSTALADO. 19-08 USUARIO ENVIA REGISTRO FOTOGRAFICO DEL CORRESPONSAL INSTALADO. SE DOCUMENTAR LAS COORDENADAS ENVIADAS POR EL MISMO / SE REGISTRAN LAS COORDENADAS ENVIADAS POR EL USUARIO</t>
  </si>
  <si>
    <t>SKZZZ720</t>
  </si>
  <si>
    <t>GONZALEZ ESTUPIÑAN YEISON WALTER ANTONIO</t>
  </si>
  <si>
    <t>TA-25-1040123</t>
  </si>
  <si>
    <t>VILLA DEL ROSARIO</t>
  </si>
  <si>
    <t>DISTRICOL MISCELANEAGRANPARADA</t>
  </si>
  <si>
    <t>FO-25-1444619</t>
  </si>
  <si>
    <t>29-08 PROGRAMACIÓN REALIZADA POR LA ALIANZA  2/09/2025 SE REALIZA INSTALACIÓN DE CORRESPONSAL, SE INSTALAN EQUIPOS CON PRUEBAS EXITOSAS, SE CAPACITA Y SE EVALÚA AL CLIENTE, SE INSTALA PUBLICIDAD COMPLETA, CB QUEDA OPERATIVO. USUARIO SOMOS BANCOLOMBIA ACTIVO</t>
  </si>
  <si>
    <t>SKZZZ575</t>
  </si>
  <si>
    <t>PACHECO BUITRAGO JAVIER ALONSO</t>
  </si>
  <si>
    <t>TA-25-1040167</t>
  </si>
  <si>
    <t>DISTRICOL VARIEDADMARIANAPLUS</t>
  </si>
  <si>
    <t>FO-25-1444686</t>
  </si>
  <si>
    <t>29-08 PROGRAMACIÓN REALIZADA POR LA ALIANZA 02-09 SE REALIZA INSTALACIÓN DE CORRESPONSAL, SE INSTALAN EQUIPOS CON PRUEBAS EXITOSAS, SE CAPACITA Y SE EVALÚA AL CLIENTE, SE INSTALA PUBLICIDAD COMPLETA, CB QUEDA OPERATIVO. USUARIO SOMOS BANCOLOMBIA ACTIVO</t>
  </si>
  <si>
    <t>SKZZZ576</t>
  </si>
  <si>
    <t>SINCELEJO</t>
  </si>
  <si>
    <t>TA-25-1040132</t>
  </si>
  <si>
    <t>SUCRE</t>
  </si>
  <si>
    <t>COROZAL</t>
  </si>
  <si>
    <t>DISTRICOL G.M.A</t>
  </si>
  <si>
    <t>FO-25-1444642</t>
  </si>
  <si>
    <t>29-08 PROGRAMACIÓN REALIZADA POR LA ALIANZA 01-09 NO SE REALIZA INSTALACIÓN YA QUE CU NO ESTÁ PROCESADO Y POR ESO NO SE CREA LA TERMINAL, SE LE NOTIFICA AL CLIENTE Y SE LE INFORMA QUE LA INSTALACIÓN QUEDA PARA EL DÍA DE MAÑANA. 2/09/2025 SE REALIZA INSTALACIÓN DE CORRESPONSAL, SE INSTALAN EQUIPOS CON PRUEBAS EXITOSAS, SE CAPACITA Y SE EVALÚA AL CLIENTE, SE INSTALA PUBLICIDAD COMPLETA, CB QUEDA OPERATIVO. USUARIO SOMOS BANCOLOMBIA ACTIVO</t>
  </si>
  <si>
    <t>SKZZZ721</t>
  </si>
  <si>
    <t>CACERES HERNANDEZ ANDRES</t>
  </si>
  <si>
    <t>TA-25-1040137</t>
  </si>
  <si>
    <t>TULUA</t>
  </si>
  <si>
    <t>DISTRICOL PAGOS Y MAX</t>
  </si>
  <si>
    <t>FO-25-1444654</t>
  </si>
  <si>
    <t>29-08 PROGRAMACIÓN REALIZADA POR LA ALIANZA 1/09/2025 SE REALIZA INSTALACIÓN DE CORRESPONSAL, SE INSTALAN EQUIPOS CON PRUEBAS EXITOSAS, SE CAPACITA Y SE EVALÚA AL CLIENTE, SE INSTALA PUBLICIDAD COMPLETA, CB QUEDA OPERATIVO. USUARIO SOMOS BANCOLOMBIA ACTIVO</t>
  </si>
  <si>
    <t>SKZZZ577</t>
  </si>
  <si>
    <t>TORRES GARCIA JENDRY JOSE</t>
  </si>
  <si>
    <t>TA-25-1040140</t>
  </si>
  <si>
    <t>DISTRICOL SWISS LUXURY</t>
  </si>
  <si>
    <t>FO-25-1444664</t>
  </si>
  <si>
    <t>29-08 PROGRAMACIÓN REALIZADA POR LA ALIANZA 01-09 NO SE PUDO REALIZAR ACTIVIDAD POR FALTA DE TERMINAL, SE PROGRAMA VISITA PARA EL DIA MIERCOLES 03-09 SE REALIZA INSTALACIÓN DE CORRESPONSAL, SE INSTALAN EQUIPOS CON PRUEBAS EXITOSAS, SE CAPACITA Y SE EVALÚA AL CLIENTE, SE INSTALA PUBLICIDAD COMPLETA, CB QUEDA OPERATIVO. USUARIO SOMOS BANCOLOMBIA ACTIVO</t>
  </si>
  <si>
    <t>SKZZZ722</t>
  </si>
  <si>
    <t>TA-25-1054540</t>
  </si>
  <si>
    <t>PTM MEDELLLIN MINIMERCADO PA´Q</t>
  </si>
  <si>
    <t>FO-25-1467769</t>
  </si>
  <si>
    <t>COMCARD - PTM</t>
  </si>
  <si>
    <t>03-09  PROGRAMACIÓN REALIZADA POR LA ALIANZA 5/09/2025 SE REALIZA INSTALACIÓN DE CORRESPONSAL, SE INSTALAN EQUIPOS CON PRUEBAS EXITOSAS, SE CAPACITA Y SE EVALÚA AL CLIENTE, SE INSTALA PUBLICIDAD COMPLETA, CB QUEDA OPERATIVO. USUARIO SOMOS BANCOLOMBIA ACTIVO</t>
  </si>
  <si>
    <t>SMZZZ262</t>
  </si>
  <si>
    <t>CASTAÑEDA PALACIO CARLOS FELIPE</t>
  </si>
  <si>
    <t>TA-25-1054548</t>
  </si>
  <si>
    <t>PTM MEDELLIN MERKE FRUVER LA P</t>
  </si>
  <si>
    <t>FO-25-1467776</t>
  </si>
  <si>
    <t xml:space="preserve">03-09  PROGRAMACIÓN REALIZADA POR LA ALIANZA 5/09/2025 SE REALIZA INSTALACIÓN DE CORRESPONSAL, SE INSTALAN EQUIPOS CON PRUEBAS EXITOSAS, SE CAPACITA Y SE EVALÚA AL CLIENTE, SE INSTALA PUBLICIDAD COMPLETA, CB QUEDA OPERATIVO. USUARIO SOMOS BANCOLOMBIA ACTIVO. NO SE REALIZAN TRANSACCIONES COMPLETAS YA QUE NO SE TIENE HERRAMIENTAS COMO HACERLAS, SE LE PREGUNTA A CLIENTE Y TAMPOCO TIENEN </t>
  </si>
  <si>
    <t>SMZZZ263</t>
  </si>
  <si>
    <t>BADEL ACUÑA LUIS ALBERTO</t>
  </si>
  <si>
    <t>TA-25-1054554</t>
  </si>
  <si>
    <t>PTM MEDELLIN DROGUERIA TRIPLE</t>
  </si>
  <si>
    <t>FO-25-1467787</t>
  </si>
  <si>
    <t>SMZZZ264</t>
  </si>
  <si>
    <t>CARDONA MOLINA BROLIN STIVEN</t>
  </si>
  <si>
    <t>TA-25-1054556</t>
  </si>
  <si>
    <t>PTM MEDELLIN VARIEDADES LUZ ME</t>
  </si>
  <si>
    <t>FO-25-1467795</t>
  </si>
  <si>
    <t>SMZZZ266</t>
  </si>
  <si>
    <t>TA-25-1054559</t>
  </si>
  <si>
    <t>BELLO</t>
  </si>
  <si>
    <t>PTM BELLO PAPELERIA GRAN AVENI</t>
  </si>
  <si>
    <t>FO-25-1467800</t>
  </si>
  <si>
    <t>03-09  PROGRAMACIÓN REALIZADA POR LA ALIANZA 4/09/2025 SE REALIZA INSTALACIÓN DE CORRESPONSAL, SE INSTALAN EQUIPOS CON PRUEBAS EXITOSAS, SE CAPACITA Y SE EVALÚA AL CLIENTE, SE INSTALA PUBLICIDAD COMPLETA, CB QUEDA OPERATIVO. USUARIO SOMOS BANCOLOMBIA ACTIVO. NO SE REALIZAN LAS PRUEBAS POR FALTA DE LAS HERRAMIENTAS CORRESPONDIENTES, SE INDICA AL CLIENTE Y ESTE TAMPOCO CUENTA CON DICHAS HERRAMIENTAS</t>
  </si>
  <si>
    <t>SMZZZ267</t>
  </si>
  <si>
    <t>TA-25-1054565</t>
  </si>
  <si>
    <t>PTM BELLO PECADOS GOURMET</t>
  </si>
  <si>
    <t>FO-25-1467813</t>
  </si>
  <si>
    <t>03-09  PROGRAMACIÓN REALIZADA POR LA ALIANZA 04-09 SE REALIZA INSTALACIÓN DE CORRESPONSAL, SE INSTALAN EQUIPOS CON PRUEBAS EXITOSAS, SE CAPACITA Y SE EVALÚA AL CLIENTE, SE INSTALA PUBLICIDAD COMPLETA, CB QUEDA OPERATIVO. USUARIO SOMOS BANCOLOMBIA ACTIVO</t>
  </si>
  <si>
    <t>SMZZZ268</t>
  </si>
  <si>
    <t>TA-25-1054569</t>
  </si>
  <si>
    <t>ENVIGADO</t>
  </si>
  <si>
    <t>PTM ENVIGADO ALVARO DAVID VANE</t>
  </si>
  <si>
    <t>FO-25-1467824</t>
  </si>
  <si>
    <t>03-09  PROGRAMACIÓN REALIZADA POR LA ALIANZA 4/09/2025 SE REALIZA INSTALACIÓN DE CORRESPONSAL, SE INSTALAN EQUIPOS CON PRUEBAS EXITOSAS, SE CAPACITA Y SE EVALÚA AL CLIENTE, SE INSTALA PUBLICIDAD COMPLETA, CB QUEDA OPERATIVO. USUARIO SOMOS BANCOLOMBIA ACTIVO</t>
  </si>
  <si>
    <t>SMZZZ269</t>
  </si>
  <si>
    <t>DIAZ ZABALA FRANCIS DUBAN</t>
  </si>
  <si>
    <t>TA-25-1054571</t>
  </si>
  <si>
    <t>PTM TURBO CROGUERIA JYZA ESPEC</t>
  </si>
  <si>
    <t>FO-25-1467831</t>
  </si>
  <si>
    <t>SMZZZ270</t>
  </si>
  <si>
    <t>TUNJA</t>
  </si>
  <si>
    <t>TA-25-1054574</t>
  </si>
  <si>
    <t>BOYACA</t>
  </si>
  <si>
    <t>TIBANA</t>
  </si>
  <si>
    <t>PTM TIBANA D' TODITO LA SEXTA</t>
  </si>
  <si>
    <t>FO-25-1467837</t>
  </si>
  <si>
    <t>SMZZZ272</t>
  </si>
  <si>
    <t>RODRIGUEZ MURCIA YERSON IVAN</t>
  </si>
  <si>
    <t>TA-25-1054576</t>
  </si>
  <si>
    <t>FLORENCIA</t>
  </si>
  <si>
    <t>PTM FLORENCIA DROGUERIA MIIA</t>
  </si>
  <si>
    <t>FO-25-1467843</t>
  </si>
  <si>
    <t>SMZZZ273</t>
  </si>
  <si>
    <t>BOGOTA</t>
  </si>
  <si>
    <t>TA-25-1054579</t>
  </si>
  <si>
    <t>CUNDINAMARCA</t>
  </si>
  <si>
    <t>SOACHA</t>
  </si>
  <si>
    <t>PTM SOACHA MEGAINTERNET LA PUL</t>
  </si>
  <si>
    <t>FO-25-1467849</t>
  </si>
  <si>
    <t>SMZZZ274</t>
  </si>
  <si>
    <t>BUSTOS MORA DIEGO MANUEL</t>
  </si>
  <si>
    <t>TA-25-1054583</t>
  </si>
  <si>
    <t>TABIO</t>
  </si>
  <si>
    <t>PTM TABIO SUPERMARKET LA PRIME</t>
  </si>
  <si>
    <t>FO-25-1467853</t>
  </si>
  <si>
    <t>SMZZZ275</t>
  </si>
  <si>
    <t>MURCIA HERNANDEZ HARVEY IGNACIO</t>
  </si>
  <si>
    <t>TA-25-1054585</t>
  </si>
  <si>
    <t>HUILA</t>
  </si>
  <si>
    <t>LA PLATA</t>
  </si>
  <si>
    <t>PTM LA PLATA SUPER REPUESTOS D</t>
  </si>
  <si>
    <t>FO-25-1467858</t>
  </si>
  <si>
    <t>03-09  PROGRAMACIÓN REALIZADA POR LA ALIANZA 05-09 SE REALIZA INSTALACIÓN DE CORRESPONSAL, SE INSTALAN EQUIPOS CON PRUEBAS EXITOSAS, SE CAPACITA Y SE EVALÚA AL CLIENTE, SE INSTALA PUBLICIDAD COMPLETA, CB QUEDA OPERATIVO. USUARIO SOMOS BANCOLOMBIA ACTIVO</t>
  </si>
  <si>
    <t>SMZZZ276</t>
  </si>
  <si>
    <t>DEVIA REINOSO JUAN CARLOS</t>
  </si>
  <si>
    <t>SANTA MARTA</t>
  </si>
  <si>
    <t>TA-25-1054588</t>
  </si>
  <si>
    <t>MAGDALENA</t>
  </si>
  <si>
    <t>PTM SANTA MARTA VARIEDADES FUT</t>
  </si>
  <si>
    <t>FO-25-1467863</t>
  </si>
  <si>
    <t>SMZZZ278</t>
  </si>
  <si>
    <t>THOMAS  CAMPO SIGIFREDO SEGUNDO</t>
  </si>
  <si>
    <t>TA-25-1054595</t>
  </si>
  <si>
    <t>ALGARROBO</t>
  </si>
  <si>
    <t>PTM ALGARROBO SUPERMERCADO EL</t>
  </si>
  <si>
    <t>FO-25-1467869</t>
  </si>
  <si>
    <t>SMZZZ279</t>
  </si>
  <si>
    <t>TA-25-1054597</t>
  </si>
  <si>
    <t>LA LLANADA</t>
  </si>
  <si>
    <t>PTM LLANADA VARIEDADES LOREN V</t>
  </si>
  <si>
    <t>FO-25-1467873</t>
  </si>
  <si>
    <t>SMZZZ280</t>
  </si>
  <si>
    <t>TA-25-1054600</t>
  </si>
  <si>
    <t>TUQUERRES</t>
  </si>
  <si>
    <t>PTM TUQUERRES QUITO DROGUERIAS</t>
  </si>
  <si>
    <t>FO-25-1467878</t>
  </si>
  <si>
    <t>SMZZZ281</t>
  </si>
  <si>
    <t>TA-25-1054602</t>
  </si>
  <si>
    <t>PTM CUCUTA PARKIN MOTO CENTER</t>
  </si>
  <si>
    <t>FO-25-1467882</t>
  </si>
  <si>
    <t>SMZZZ283</t>
  </si>
  <si>
    <t>TA-25-1054606</t>
  </si>
  <si>
    <t>PTM CUCUTA INTERNET Y PAPELERI</t>
  </si>
  <si>
    <t>FO-25-1467888</t>
  </si>
  <si>
    <t>SMZZZ284</t>
  </si>
  <si>
    <t>MORA VEGA JEAMPIER</t>
  </si>
  <si>
    <t>TA-25-1054624</t>
  </si>
  <si>
    <t>PTM CUCUTA DROGUERIA FARMABLUE</t>
  </si>
  <si>
    <t>FO-25-1467894</t>
  </si>
  <si>
    <t>SMZZZ285</t>
  </si>
  <si>
    <t>TA-25-1054676</t>
  </si>
  <si>
    <t>BOCHALEMA</t>
  </si>
  <si>
    <t>PTM NORTE DE SANTANDER ABASTOS</t>
  </si>
  <si>
    <t>FO-25-1467901</t>
  </si>
  <si>
    <t>SMZZZ286</t>
  </si>
  <si>
    <t>TA-25-1054754</t>
  </si>
  <si>
    <t>PTM BUCARAMANGA SUPERMERCADO M</t>
  </si>
  <si>
    <t>FO-25-1467917</t>
  </si>
  <si>
    <t>SMZZZ287</t>
  </si>
  <si>
    <t>REYES RAMIREZ DIEGO ALEXANDER</t>
  </si>
  <si>
    <t>TA-25-1054948</t>
  </si>
  <si>
    <t>MALAGA</t>
  </si>
  <si>
    <t>PTM MALAGA DISTRIBUIDORA MAYOR</t>
  </si>
  <si>
    <t>FO-25-1467942</t>
  </si>
  <si>
    <t>SMZZZ289</t>
  </si>
  <si>
    <t>MARIÑO PABON JORGE ENRIQUE</t>
  </si>
  <si>
    <t>TA-25-1055041</t>
  </si>
  <si>
    <t>VETAS</t>
  </si>
  <si>
    <t>PTM VETAS INTER.COM</t>
  </si>
  <si>
    <t>FO-25-1467954</t>
  </si>
  <si>
    <t>03-09  PROGRAMACIÓN REALIZADA POR LA ALIANZA 4/09/2025 EN COMUNICACIÓN CON LA SEÑORA EMILCE DELGADO AL NÚMERO DE CONTACTO 3108070167, NOS COMENTA QUE DEBIDO A LAS FALLAS GEOLÓGICAS REGISTRADAS EN LA VÍA QUE COMUNICA EL MUNICIPIO DE CALIFORNIA CON VETAS, NOS HACE LA RECOMENDACIÓN DE QUE HAGAMOS EL DESPLAZAMIENTO BUCARAMANGA- BERLÍN, BERLÍN- VETAS,  DADO QUE EL TRANSPORTE QUE SALE HACIA DICHA ZONA SALE EL DÍA DE MAÑANA VIERNES 5 DE SEPTIEMBRE 6 DE LA MAÑANA MOTIVO HAREMOS LA APERTURA EL DÍA DE MAÑANA EN EL TRANSCURSO DEL DÍA 5/09/2025 SE REALIZA INSTALACIÓN DE CORRESPONSAL, SE INSTALAN EQUIPOS CON PRUEBAS EXITOSAS, SE CAPACITA Y SE EVALÚA AL CLIENTE, SE INSTALA PUBLICIDAD COMPLETA, CB QUEDA OPERATIVO. USUARIO SOMOS BANCOLOMBIA ACTIVO</t>
  </si>
  <si>
    <t>SMZZZ290</t>
  </si>
  <si>
    <t>IBAGUE</t>
  </si>
  <si>
    <t>TA-25-1055125</t>
  </si>
  <si>
    <t>TOLIMA</t>
  </si>
  <si>
    <t>PTM IBAGUE DISPHARMA JA PLUS</t>
  </si>
  <si>
    <t>FO-25-1467964</t>
  </si>
  <si>
    <t>SMZZZ291</t>
  </si>
  <si>
    <t>BARRAGAN TAFUR EDWIN ESTEBAN</t>
  </si>
  <si>
    <t>TA-25-1055203</t>
  </si>
  <si>
    <t>PTM IBAGUE JYV DOPRGUERIAS MON</t>
  </si>
  <si>
    <t>FO-25-1467971</t>
  </si>
  <si>
    <t>SMZZZ292</t>
  </si>
  <si>
    <t>GUTIERREZ  CAMILO ANDRES</t>
  </si>
  <si>
    <t>TA-25-1055292</t>
  </si>
  <si>
    <t>PTM IBAGUE VARIEDADES Y ACCESO</t>
  </si>
  <si>
    <t>FO-25-1467991</t>
  </si>
  <si>
    <t>SMZZZ293</t>
  </si>
  <si>
    <t>TA-25-1055365</t>
  </si>
  <si>
    <t>PTM CALI MINIMARKET BAM BAM</t>
  </si>
  <si>
    <t>FO-25-1468002</t>
  </si>
  <si>
    <t>SMZZZ294</t>
  </si>
  <si>
    <t>HERRERA MONAR GEOVANNY</t>
  </si>
  <si>
    <t>TA-25-1055511</t>
  </si>
  <si>
    <t>PTM CALI MAXI FRUVER ALANA</t>
  </si>
  <si>
    <t>FO-25-1468026</t>
  </si>
  <si>
    <t>SMZZZ295</t>
  </si>
  <si>
    <t>TA-25-1055602</t>
  </si>
  <si>
    <t>PTM CALI MULTICOPIAS LA 12</t>
  </si>
  <si>
    <t>FO-25-1468042</t>
  </si>
  <si>
    <t>SMZZZ296</t>
  </si>
  <si>
    <t>BOLAÑOS TABORDA JORGE ENRIQUE</t>
  </si>
  <si>
    <t>TA-25-1055700</t>
  </si>
  <si>
    <t>PTM CALI COLMENA SIEMPRE DIVAS</t>
  </si>
  <si>
    <t>FO-25-1468054</t>
  </si>
  <si>
    <t>03-09  PROGRAMACIÓN REALIZADA POR LA ALIANZA 4/09/2025 SE REALIZA INSTALACIÓN DE CORRESPONSAL, SE INSTALAN EQUIPOS CON PRUEBAS EXITOSAS, SE CAPACITA Y SE EVALÚA AL CLIENTE, SE INSTALA PUBLICIDAD COMPLETA, CB QUEDA OPERATIVO. USUARIO SOMOS BANCOLOMBIA ACTIVO. TRANSACCIONES DE PRUEBA EXITOSAS( SE REALIZAN LAS QUE EL CLIENTE TIENE DISPONIBLE).</t>
  </si>
  <si>
    <t>SMZZZ298</t>
  </si>
  <si>
    <t>TA-25-1055830</t>
  </si>
  <si>
    <t>PTM CALI VARIEDADES LOS MILAGR</t>
  </si>
  <si>
    <t>FO-25-1468070</t>
  </si>
  <si>
    <t>SMZZZ299</t>
  </si>
  <si>
    <t>SANCHEZ URREGO ROBINSON DAVID</t>
  </si>
  <si>
    <t>TA-25-1055986</t>
  </si>
  <si>
    <t>PTM CALI TIENDA Y LICORES HERR</t>
  </si>
  <si>
    <t>FO-25-1468092</t>
  </si>
  <si>
    <t>SMZZZ300</t>
  </si>
  <si>
    <t>TA-25-1056114</t>
  </si>
  <si>
    <t>PTM BOGOTA CIGARRERIA EMBAJADO</t>
  </si>
  <si>
    <t>FO-25-1468114</t>
  </si>
  <si>
    <t>03-09  PROGRAMACIÓN REALIZADA POR LA ALIANZA 4/09/2025 ESTANDO EN SITIO PARA REALIZAR APERTURA REDEBAN CB 3007081313  PTM BOGOTA CIGARRERIA EMBAJADO, EL COMERCIO NO TIENE EL NOMBRE DEL ESTABLECIMIENTO EN LA FACHADA, ADJUNTO CÁMARA DE COMERCIO + REGISTRO FOTOGRÁFICO./PROCEDER CON LA IMPLEMENTACIÓN CORRESPONDIENTE Y DEJAR LA NOVEDAD DOCUMENTADA EN LOS ARCHIVOS, PARA POSTERIORMENTE SER REPORTADA A LA ENTIDAD. 04-09 SE REALIZA INSTALACIÓN DE CORRESPONSAL, SE INSTALAN EQUIPOS CON PRUEBAS EXITOSAS, SE CAPACITA Y SE EVALÚA AL CLIENTE, SE INSTALA PUBLICIDAD COMPLETA, CB QUEDA OPERATIVO. USUARIO SOMOS BANCOLOMBIA ACTIVO</t>
  </si>
  <si>
    <t>SMZZZ301</t>
  </si>
  <si>
    <t>VEGA MANRIQUE JONATAN MAURICIO</t>
  </si>
  <si>
    <t>TA-25-1056313</t>
  </si>
  <si>
    <t>PTM BOGOTA DAVITEL COMUNICACIO</t>
  </si>
  <si>
    <t>FO-25-1468145</t>
  </si>
  <si>
    <t>SMZZZ302</t>
  </si>
  <si>
    <t>ORTIZ MARTINEZ STIVEN</t>
  </si>
  <si>
    <t>TA-25-1056505</t>
  </si>
  <si>
    <t>PTM BOGOTA PAPELERIA MI LIBERT</t>
  </si>
  <si>
    <t>FO-25-1468166</t>
  </si>
  <si>
    <t>SMZZZ304</t>
  </si>
  <si>
    <t>LOZADA ROJAS CHRISTIAN ANDRES</t>
  </si>
  <si>
    <t>TA-25-1056673</t>
  </si>
  <si>
    <t>PTM BOGOTA VARIEDADES MB</t>
  </si>
  <si>
    <t>FO-25-1468187</t>
  </si>
  <si>
    <t>03-09  PROGRAMACIÓN REALIZADA POR LA ALIANZA 4/09/2025  ESTANDO EN SITIO PARA REALIZAR APERTURA REDEBAN CB 3007081311 PTM BOGOTA VARIEDADES MB, EL COMERCIO NO TIENE EL NOMBRE DEL ESTABLECIMIENTO EN LA FACHADA, ADJUNTO CÁMARA DE COMERCIO + REGISTRO FOTOGRÁFICO / POR FAVOR REALICEMOS LA IMPLEMENTACIÓN Y DOCUMENTEMOS LA NOVEDAD. 04-09 SE REALIZA INSTALACIÓN DE CORRESPONSAL, SE INSTALAN EQUIPOS CON PRUEBAS EXITOSAS, SE CAPACITA Y SE EVALÚA AL CLIENTE, SE INSTALA PUBLICIDAD COMPLETA, CB QUEDA OPERATIVO. USUARIO SOMOS BANCOLOMBIA ACTIVO</t>
  </si>
  <si>
    <t>SMZZZ305</t>
  </si>
  <si>
    <t>TA-25-1056800</t>
  </si>
  <si>
    <t>PTM BOGOTA DROGUERIA J.R.G</t>
  </si>
  <si>
    <t>FO-25-1468211</t>
  </si>
  <si>
    <t>SMZZZ306</t>
  </si>
  <si>
    <t>GALEANO SORIANO JUAN DAVID</t>
  </si>
  <si>
    <t>TA-25-1056911</t>
  </si>
  <si>
    <t>PTM BOGOTA DROGUERIA GRAN SALU</t>
  </si>
  <si>
    <t>FO-25-1468221</t>
  </si>
  <si>
    <t>SMZZZ307</t>
  </si>
  <si>
    <t>HERNANDEZ NARANJO OSCAR EDUARDO</t>
  </si>
  <si>
    <t>TA-25-1078766</t>
  </si>
  <si>
    <t>DISTRICOL ALUMIACEROS</t>
  </si>
  <si>
    <t>FO-25-1496124</t>
  </si>
  <si>
    <t>08-09 PROGRAMACIÓN REALIZADA POR LA ALIANZA 9/09/2025 SE REALIZA INSTALACIÓN DE CORRESPONSAL, SE INSTALAN EQUIPOS CON PRUEBAS EXITOSAS, SE CAPACITA Y SE EVALÚA AL CLIENTE, SE INSTALA PUBLICIDAD COMPLETA, CB QUEDA OPERATIVO. USUARIO SOMOS BANCOLOMBIA ACTIVO. CLIENTE PIDE NO INSTALAR BASE YA QUE SE ENCUENTRA EN ADECUACIONES LOCATIVAS PERO SE DEJA</t>
  </si>
  <si>
    <t>VGZZZ801</t>
  </si>
  <si>
    <t>TA-25-1078792</t>
  </si>
  <si>
    <t>GUATAPE</t>
  </si>
  <si>
    <t>DISTRICOL AUTOSERVICIO JAIMITO</t>
  </si>
  <si>
    <t>FO-25-1496138</t>
  </si>
  <si>
    <t>08-09 PROGRAMACIÓN REALIZADA POR LA ALIANZA 10/09/2025 SE REALIZA INSTALACIÓN DE CORRESPONSAL, SE INSTALAN EQUIPOS CON PRUEBAS EXITOSAS, SE CAPACITA Y SE EVALÚA AL CLIENTE, SE INSTALA PUBLICIDAD COMPLETA, CB QUEDA OPERATIVO. USUARIO SOMOS BANCOLOMBIA ACTIVO</t>
  </si>
  <si>
    <t>VGZZZ802</t>
  </si>
  <si>
    <t>PAREJA ECHAVARRIA JHON DAVID</t>
  </si>
  <si>
    <t>TA-25-1078807</t>
  </si>
  <si>
    <t>SAN PEDRO DE LOS MILAGROS</t>
  </si>
  <si>
    <t>DISTRICOL  SOLUCIONES INTEGRAL</t>
  </si>
  <si>
    <t>FO-25-1496147</t>
  </si>
  <si>
    <t>08-09 PROGRAMACIÓN REALIZADA POR LA ALIANZA 9/09/2025 SE REALIZA INSTALACIÓN DE CORRESPONSAL, SE INSTALAN EQUIPOS CON PRUEBAS EXITOSAS, SE CAPACITA Y SE EVALÚA AL CLIENTE, SE INSTALA PUBLICIDAD COMPLETA, CB QUEDA OPERATIVO. USUARIO SOMOS BANCOLOMBIA ACTIVO. NO SE REALIZA TRANSFERENCIA YA QUE NO HAY CUENTA PARA REALIZARLA</t>
  </si>
  <si>
    <t>VGZZZ803</t>
  </si>
  <si>
    <t>TA-25-1078817</t>
  </si>
  <si>
    <t>SEGOVIA</t>
  </si>
  <si>
    <t>DISTRICOL JOSE27BOUTIQUE</t>
  </si>
  <si>
    <t>FO-25-1496158</t>
  </si>
  <si>
    <t>VGZZZ804</t>
  </si>
  <si>
    <t>TA-25-1078831</t>
  </si>
  <si>
    <t>DISTRICOL ELECTRODOMESTICOS</t>
  </si>
  <si>
    <t>FO-25-1496168</t>
  </si>
  <si>
    <t>08-09 PROGRAMACIÓN REALIZADA POR LA ALIANZA 9/09/2025 SE REALIZA INSTALACIÓN DE CORRESPONSAL, SE INSTALAN EQUIPOS CON PRUEBAS EXITOSAS, SE CAPACITA Y SE EVALÚA AL CLIENTE, SE INSTALA PUBLICIDAD COMPLETA, CB QUEDA OPERATIVO. USUARIO SOMOS BANCOLOMBIA ACTIVO</t>
  </si>
  <si>
    <t>VGZZZ805</t>
  </si>
  <si>
    <t>VALLEDUPAR</t>
  </si>
  <si>
    <t>TA-25-1078847</t>
  </si>
  <si>
    <t>CESAR</t>
  </si>
  <si>
    <t>DISTRICOLSOLUCIONSERVICIOSPLAY</t>
  </si>
  <si>
    <t>FO-25-1496179</t>
  </si>
  <si>
    <t>VGZZZ806</t>
  </si>
  <si>
    <t>MAESTRE MENGUAL EDGAR ENRIQUE</t>
  </si>
  <si>
    <t>TA-25-1078859</t>
  </si>
  <si>
    <t>PLANETA RICA</t>
  </si>
  <si>
    <t>DISTRICOL ISHATIENDAMULTIMARCA</t>
  </si>
  <si>
    <t>FO-25-1496188</t>
  </si>
  <si>
    <t>08-09 PROGRAMACIÓN REALIZADA POR LA ALIANZA 10/09/2025 SE ESCALA EL SIGUIENTE CASO DE APERTURA CB 81363, DONDE SE LLEGA A SITIO, PERO NO CUENTA CON AVISO CON EL NOMBRE COMERCIAL, LA DIRECCION SI ES LA CORRECTA / DAMOS VB PARA LA APERTURA YA QUE SE EVIDENCIA QUE FUNCIONA UN LOCAL COMERCIAL. 10-09 SE REALIZA INSTALACIÓN DE CORRESPONSAL, SE INSTALAN EQUIPOS CON PRUEBAS EXITOSAS, SE CAPACITA Y SE EVALÚA AL CLIENTE, SE INSTALA PUBLICIDAD COMPLETA, CB QUEDA OPERATIVO. USUARIO SOMOS BANCOLOMBIA ACTIVO</t>
  </si>
  <si>
    <t>VGZZZ807</t>
  </si>
  <si>
    <t>COGOLLO ROSSO CAMILO ANDRES</t>
  </si>
  <si>
    <t>TA-25-1078867</t>
  </si>
  <si>
    <t>NEMOCON</t>
  </si>
  <si>
    <t>DISTRICOL NEMORED</t>
  </si>
  <si>
    <t>FO-25-1496196</t>
  </si>
  <si>
    <t>VGZZZ808</t>
  </si>
  <si>
    <t>TA-25-1078883</t>
  </si>
  <si>
    <t>TENA</t>
  </si>
  <si>
    <t>DISTRICOL MILLANITO</t>
  </si>
  <si>
    <t>FO-25-1496212</t>
  </si>
  <si>
    <t>08-09 PROGRAMACIÓN REALIZADA POR LA ALIANZA 9/09/2025 SE REALIZA INSTALACIÓN DE CORRESPONSAL, SE INSTALAN EQUIPOS CON PRUEBAS EXITOSAS, SE CAPACITA Y SE EVALÚA AL CLIENTE, SE INSTALA PUBLICIDAD COMPLETA, CB QUEDA OPERATIVO. USUARIO SOMOS BANCOLOMBIA ACTIVO. SOLO SE REALIZA PRUEBA DE CONSULTA DE SALDO, NO HAY CUENTA PARA CONSIGNAR O RETIRAR</t>
  </si>
  <si>
    <t>VGZZZ809</t>
  </si>
  <si>
    <t>TA-25-1078896</t>
  </si>
  <si>
    <t>DISTRICOL COLFARMA Y MINIMARK</t>
  </si>
  <si>
    <t>FO-25-1496224</t>
  </si>
  <si>
    <t>VGZZZ810</t>
  </si>
  <si>
    <t>TA-25-1078901</t>
  </si>
  <si>
    <t>VELEZ</t>
  </si>
  <si>
    <t>DISTRICOL SIGMA DISTRIBUCIONE</t>
  </si>
  <si>
    <t>FO-25-1496236</t>
  </si>
  <si>
    <t>VGZZZ811</t>
  </si>
  <si>
    <t>GONZALEZ GONZALEZ MARIO ALBERTO</t>
  </si>
  <si>
    <t>TA-25-1078902</t>
  </si>
  <si>
    <t>LIBANO</t>
  </si>
  <si>
    <t>DISTRICOL LUJOS AUTOS Y MOTOS</t>
  </si>
  <si>
    <t>FO-25-1496248</t>
  </si>
  <si>
    <t>VGZZZ812</t>
  </si>
  <si>
    <t>TA-25-1078904</t>
  </si>
  <si>
    <t>PUERTO LEGUIZAMO</t>
  </si>
  <si>
    <t>DISTRICOL AFROELECTRICOS SOLAR</t>
  </si>
  <si>
    <t>FO-25-1496262</t>
  </si>
  <si>
    <t>VGZZZ813</t>
  </si>
  <si>
    <t>TA-25-1078907</t>
  </si>
  <si>
    <t>VALLE DEL GUAMUEZ</t>
  </si>
  <si>
    <t>DISTRICOL LA ECONOMIA AYS</t>
  </si>
  <si>
    <t>FO-25-1496272</t>
  </si>
  <si>
    <t>VGZZZ814</t>
  </si>
  <si>
    <t>TA-25-1078910</t>
  </si>
  <si>
    <t>DISTRICOL APARTABURGUER</t>
  </si>
  <si>
    <t>FO-25-1496280</t>
  </si>
  <si>
    <t>VGZZZ815</t>
  </si>
  <si>
    <t>CASTRO HENAO DANIEL ESTEBAN</t>
  </si>
  <si>
    <t>TA-25-1099857</t>
  </si>
  <si>
    <t>PTM MEDELLIN REALFARMA FARMACI</t>
  </si>
  <si>
    <t>FO-25-1520436</t>
  </si>
  <si>
    <t>12-09 PROGRAMACIÓN REALIZADA POR LA ALIANZA 16/09/2025 SE REALIZA INSTALACIÓN DE CORRESPONSAL, SE INSTALAN EQUIPOS CON PRUEBAS EXITOSAS, SE CAPACITA Y SE EVALÚA AL CLIENTE, SE INSTALA PUBLICIDAD COMPLETA, CB QUEDA OPERATIVO. USUARIO SOMOS BANCOLOMBIA ACTIVO</t>
  </si>
  <si>
    <t>VJZZZ909</t>
  </si>
  <si>
    <t>TA-25-1099862</t>
  </si>
  <si>
    <t>PTM MEDELLIN  TIENDA EL PRIMO</t>
  </si>
  <si>
    <t>FO-25-1520446</t>
  </si>
  <si>
    <t>VJZZZ910</t>
  </si>
  <si>
    <t>TA-25-1099871</t>
  </si>
  <si>
    <t>PTM BELLO PARIS TIENDA DE BELL</t>
  </si>
  <si>
    <t>FO-25-1520454</t>
  </si>
  <si>
    <t>VJZZZ911</t>
  </si>
  <si>
    <t>ZAPATA LOPEZ EDWARD ASDRUBAL</t>
  </si>
  <si>
    <t>TA-25-1099874</t>
  </si>
  <si>
    <t>ITAGUI</t>
  </si>
  <si>
    <t>PTM ITAGUI MERCADOS MEDUSA</t>
  </si>
  <si>
    <t>FO-25-1520462</t>
  </si>
  <si>
    <t>VJZZZ912</t>
  </si>
  <si>
    <t>QUINTERO SANCHEZ JUAN SEBASTIAN</t>
  </si>
  <si>
    <t>TA-25-1099876</t>
  </si>
  <si>
    <t>PTM ITAGUI PAPELERIA AGAPE SAN</t>
  </si>
  <si>
    <t>FO-25-1520466</t>
  </si>
  <si>
    <t>VJZZZ913</t>
  </si>
  <si>
    <t>CARTAGENA</t>
  </si>
  <si>
    <t>TA-25-1099877</t>
  </si>
  <si>
    <t>BOLIVAR</t>
  </si>
  <si>
    <t>PTM CARTAGENA REYNET CARTAGENA</t>
  </si>
  <si>
    <t>FO-25-1520469</t>
  </si>
  <si>
    <t>12-09 PROGRAMACIÓN REALIZADA POR LA ALIANZA 15/09/2025 SE REALIZA INSTALACIÓN DE CORRESPONSAL, SE INSTALAN EQUIPOS CON PRUEBAS EXITOSAS, SE CAPACITA Y SE EVALÚA AL CLIENTE, SE INSTALA PUBLICIDAD COMPLETA, CB QUEDA OPERATIVO. USUARIO SOMOS BANCOLOMBIA ACTIVO</t>
  </si>
  <si>
    <t>VJZZZ915</t>
  </si>
  <si>
    <t>CANEDO HERRERA ALEXANDER</t>
  </si>
  <si>
    <t>TA-25-1099879</t>
  </si>
  <si>
    <t>POPAYAN</t>
  </si>
  <si>
    <t>PTM POPAYAN TIENDA Y PAPELERIA</t>
  </si>
  <si>
    <t>FO-25-1520473</t>
  </si>
  <si>
    <t>VJZZZ917</t>
  </si>
  <si>
    <t>TA-25-1099880</t>
  </si>
  <si>
    <t>COTA</t>
  </si>
  <si>
    <t>PTM COTA ROBERT YAN CASTIBLANC</t>
  </si>
  <si>
    <t>FO-25-1520476</t>
  </si>
  <si>
    <t>VJZZZ919</t>
  </si>
  <si>
    <t>TA-25-1099882</t>
  </si>
  <si>
    <t>MOSQUERA</t>
  </si>
  <si>
    <t>PTM MOSQUERA JOYA VERSATIL</t>
  </si>
  <si>
    <t>FO-25-1520479</t>
  </si>
  <si>
    <t>VJZZZ920</t>
  </si>
  <si>
    <t>TA-25-1099886</t>
  </si>
  <si>
    <t>LA GUAJIRA</t>
  </si>
  <si>
    <t>MAICAO</t>
  </si>
  <si>
    <t>PTM MAICAO TIENDA PUERTO ESTRE</t>
  </si>
  <si>
    <t>FO-25-1520488</t>
  </si>
  <si>
    <t>VJZZZ921</t>
  </si>
  <si>
    <t>TA-25-1099890</t>
  </si>
  <si>
    <t>PTM TAMASAGRA II DROGUERIA GAL</t>
  </si>
  <si>
    <t>FO-25-1520493</t>
  </si>
  <si>
    <t>VJZZZ922</t>
  </si>
  <si>
    <t>TA-25-1099893</t>
  </si>
  <si>
    <t>PTM CUCUTA TIENDA MIXTA AILINE</t>
  </si>
  <si>
    <t>FO-25-1520498</t>
  </si>
  <si>
    <t>12-09 PROGRAMACIÓN REALIZADA POR LA ALIANZA 15-09 SE CONTACTA TELEFÓNICAMENTE AL CLIENTE, LA SEÑORA AIDE ROMERO ME INFORMA QUE TUVO QUE SALIR Y NO PUEDE ATENDER LA INSTALACIÓN, SOLICITA QUE SE REAGENDE LA VISITA PARA EL DÍA DE MAÑANA 16/09 A LAS 9AM 16-09 SE REALIZA INSTALACIÓN DE CORRESPONSAL, SE INSTALAN EQUIPOS CON PRUEBAS EXITOSAS, SE CAPACITA Y SE EVALÚA AL CLIENTE, SE INSTALA PUBLICIDAD COMPLETA, CB QUEDA OPERATIVO. USUARIO SOMOS BANCOLOMBIA ACTIVO</t>
  </si>
  <si>
    <t>VJZZZ923</t>
  </si>
  <si>
    <t>TA-25-1099896</t>
  </si>
  <si>
    <t>PTM CUCUTA DROGUERIA NORFARSAL</t>
  </si>
  <si>
    <t>FO-25-1520504</t>
  </si>
  <si>
    <t>VJZZZ924</t>
  </si>
  <si>
    <t>TA-25-1099903</t>
  </si>
  <si>
    <t>TEORAMA</t>
  </si>
  <si>
    <t>PTM VDA SAN PABLO TEORAMA IDEA</t>
  </si>
  <si>
    <t>FO-25-1520516</t>
  </si>
  <si>
    <t>12-09 PROGRAMACIÓN REALIZADA POR LA ALIANZA 16-09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22/09/2025 AUTORIZAN LA ENTREGA DE LOS EQUIPOS Y PUBLICDAD EN OCAÑA: POR FAVOR PROCEDER CON LA ENTREGA DE LOS EQUIPOS Y DE LA PUBLICIDAD SEGÚN LO INDICADO. ES IMPORTANTE TENER EN CUENTA QUE, AL MOMENTO DE REALIZAR LA ENTREGA AL CB, SE DEBE BLOQUEAR EL PUNTO CORRESPONDIENTE. ASIMISMO, LAS COORDENADAS DEBEN TOMARSE DIRECTAMENTE EN EL ESTABLECIMIENTO DEL CB, AL IGUAL QUE EL CIERRE DE LA ACTIVIDAD. 23/09/2025 POR MEDIO DEL PRESENTE, SE CONFIRMA LA ENTREGA DE LOS EQUIPOS DE PUBLICIDAD Y LA CAPACITACIÓN EXITOSA DEL PERSONAL CORRESPONDIENTE. SOLICITAMOS, POR FAVOR, EL BLOQUEO DE LA TERMINAL VJZZZ925. 24/09/2025 SE REALIZA INSTALACIÓN DE CORRESPONSAL, SE INSTALAN EQUIPOS CON PRUEBAS EXITOSAS, SE CAPACITA Y SE EVALÚA AL CLIENTE, SE INSTALA PUBLICIDAD COMPLETA, CB QUEDA OPERATIVO. USUARIO SOMOS BANCOLOMBIA ACTIVO. SE DOCUMENTAN COORDENADAS ENVIADAS POR EL USUARIO</t>
  </si>
  <si>
    <t>VJZZZ925</t>
  </si>
  <si>
    <t>TORRES MANTILLA JOSE DANIEL</t>
  </si>
  <si>
    <t>TA-25-1099912</t>
  </si>
  <si>
    <t>QUINDIO</t>
  </si>
  <si>
    <t>ARMENIA</t>
  </si>
  <si>
    <t>PTM ARMENIA PAPELERIA  SAMY TM</t>
  </si>
  <si>
    <t>FO-25-1520524</t>
  </si>
  <si>
    <t>VJZZZ926</t>
  </si>
  <si>
    <t>SANCHEZ SOLORZANO JUAN SEBASTIAN</t>
  </si>
  <si>
    <t>TA-25-1099913</t>
  </si>
  <si>
    <t>PTM BUCARAMANGA AUTOSERVICIO M</t>
  </si>
  <si>
    <t>FO-25-1520527</t>
  </si>
  <si>
    <t>VJZZZ927</t>
  </si>
  <si>
    <t>TA-25-1099915</t>
  </si>
  <si>
    <t>PIEDECUESTA</t>
  </si>
  <si>
    <t>PTM PIEDECUESTA MICROMERCADO Y</t>
  </si>
  <si>
    <t>FO-25-1520532</t>
  </si>
  <si>
    <t>VJZZZ928</t>
  </si>
  <si>
    <t>PEÑA DIAZ IVAN YESID</t>
  </si>
  <si>
    <t>TA-25-1099917</t>
  </si>
  <si>
    <t>VILLANUEVA</t>
  </si>
  <si>
    <t>PTM VILLANUEVA BENYI STORE</t>
  </si>
  <si>
    <t>FO-25-1520536</t>
  </si>
  <si>
    <t>12-09 PROGRAMACIÓN REALIZADA POR LA ALIANZA 16-09 EN COMUNICACIÓN CON EL SEÑOR ANDRES AL. MOVIL 3108839586, SE CONFIRMA DISPONIBILIDAD DE ATENCIÓN DEL CLIENTE PARA EL DÍA DE MAÑANA MIÉRCOLES 17 DE SEPTIEMBRE DESPUÉS DE LAS 8AM. 17/09/2025 SE REALIZA INSTALACIÓN DE CORRESPONSAL, SE INSTALAN EQUIPOS CON PRUEBAS EXITOSAS, SE CAPACITA Y SE EVALÚA AL CLIENTE, SE INSTALA PUBLICIDAD COMPLETA, CB QUEDA OPERATIVO. USUARIO SOMOS BANCOLOMBIA ACTIVO</t>
  </si>
  <si>
    <t>VJZZZ929</t>
  </si>
  <si>
    <t>SANTOS GONZALEZ JOHAN FABIAN</t>
  </si>
  <si>
    <t>TA-25-1099927</t>
  </si>
  <si>
    <t>PTM IBAGUE ZIBA</t>
  </si>
  <si>
    <t>FO-25-1520545</t>
  </si>
  <si>
    <t>12-09 PROGRAMACIÓN REALIZADA POR LA ALIANZA 15/09/2025 SE REALIZA INSTALACIÓN DE CORRESPONSAL, SE INSTALAN EQUIPOS CON PRUEBAS EXITOSAS, SE CAPACITA Y SE EVALÚA AL CLIENTE, SE INSTALA PUBLICIDAD COMPLETA, CB QUEDA OPERATIVO. USUARIO SOMOS BANCOLOMBIA ACTIVO. SE INSTALA AVISO EXTERIOR SIN MARCO DE ALUMINIO EN LA APERTURA DEL CB 81475, PUESTO QUE LA FACHADA DEL COMERCIO ES EN VIDRIO AUTORIZADO POR REDEBAN.</t>
  </si>
  <si>
    <t>VJZZZ930</t>
  </si>
  <si>
    <t>VARGAS HERRERA JHON JAIRO</t>
  </si>
  <si>
    <t>TA-25-1099933</t>
  </si>
  <si>
    <t>BUENAVENTURA</t>
  </si>
  <si>
    <t>PTM BUENAVENTURA AUTOSERVICIO</t>
  </si>
  <si>
    <t>FO-25-1520552</t>
  </si>
  <si>
    <t>VJZZZ931</t>
  </si>
  <si>
    <t>TA-25-1099934</t>
  </si>
  <si>
    <t>JAMUNDI</t>
  </si>
  <si>
    <t>PTM JAMUNDI TIENDA Y PAPELERIA</t>
  </si>
  <si>
    <t>FO-25-1520555</t>
  </si>
  <si>
    <t>VJZZZ932</t>
  </si>
  <si>
    <t>TA-25-1099936</t>
  </si>
  <si>
    <t>PTM TULUA RAPITIENDA LA 32</t>
  </si>
  <si>
    <t>FO-25-1520560</t>
  </si>
  <si>
    <t>VJZZZ933</t>
  </si>
  <si>
    <t>TA-25-1099944</t>
  </si>
  <si>
    <t>YUMBO</t>
  </si>
  <si>
    <t>PTM YUMBO  ESTACIÓN DE SERVICI</t>
  </si>
  <si>
    <t>FO-25-1520568</t>
  </si>
  <si>
    <t>VJZZZ934</t>
  </si>
  <si>
    <t>TA-25-1099954</t>
  </si>
  <si>
    <t>PTM BOGOTA DROGUERIA TIBABUYES</t>
  </si>
  <si>
    <t>FO-25-1520576</t>
  </si>
  <si>
    <t>VJZZZ935</t>
  </si>
  <si>
    <t>TA-25-1099955</t>
  </si>
  <si>
    <t>PTM BOGOTA PAPELERIA LIAM +</t>
  </si>
  <si>
    <t>FO-25-1520579</t>
  </si>
  <si>
    <t>VJZZZ936</t>
  </si>
  <si>
    <t>TA-25-1099956</t>
  </si>
  <si>
    <t>PTM BOGOTA DISTRIBUIDORA DE CO</t>
  </si>
  <si>
    <t>FO-25-1520583</t>
  </si>
  <si>
    <t>VJZZZ938</t>
  </si>
  <si>
    <t>GALINDO ROJAS LUIS FELIPE</t>
  </si>
  <si>
    <t>TA-25-1117892</t>
  </si>
  <si>
    <t>ENTRERRIOS</t>
  </si>
  <si>
    <t>DISTRICOL  AMERICA  STORE AG</t>
  </si>
  <si>
    <t>FO-25-1543476</t>
  </si>
  <si>
    <t>17-09 PROGRAMACIÓN REALIZADA POR LA ALIANZA 18/09/2025 SE REALIZA INSTALACIÓN DE CORRESPONSAL, SE INSTALAN EQUIPOS CON PRUEBAS EXITOSAS, SE CAPACITA Y SE EVALÚA AL CLIENTE, SE INSTALA PUBLICIDAD COMPLETA, CB QUEDA OPERATIVO. USUARIO SOMOS BANCOLOMBIA ACTIVO</t>
  </si>
  <si>
    <t>FSZZZ873</t>
  </si>
  <si>
    <t>TA-25-1117894</t>
  </si>
  <si>
    <t>MARINILLA</t>
  </si>
  <si>
    <t>DISTRICOL SCENTI SOLUCIONES</t>
  </si>
  <si>
    <t>FO-25-1543480</t>
  </si>
  <si>
    <t>FSZZZ874</t>
  </si>
  <si>
    <t>ALVAREZ ARENAS VICTOR HUGO</t>
  </si>
  <si>
    <t>TA-25-1117895</t>
  </si>
  <si>
    <t>DISTRICOL DROGUERIA SANTANDER</t>
  </si>
  <si>
    <t>FO-25-1543483</t>
  </si>
  <si>
    <t>FSZZZ875</t>
  </si>
  <si>
    <t>TA-25-1118169</t>
  </si>
  <si>
    <t>DISTRICOL TECNOLOGIA NEXUS</t>
  </si>
  <si>
    <t>FO-25-1543625</t>
  </si>
  <si>
    <t>17-09 PROGRAMACIÓN REALIZADA POR LA ALIANZA 19/09/2025 SE REALIZA INSTALACIÓN DE CORRESPONSAL, SE INSTALAN EQUIPOS CON PRUEBAS EXITOSAS, SE CAPACITA Y SE EVALÚA AL CLIENTE, SE INSTALA PUBLICIDAD COMPLETA, CB QUEDA OPERATIVO. USUARIO SOMOS BANCOLOMBIA ACTIVO</t>
  </si>
  <si>
    <t>FSZZZ876</t>
  </si>
  <si>
    <t>TA-25-1117901</t>
  </si>
  <si>
    <t>ZARAGOZA</t>
  </si>
  <si>
    <t>DISTRICOL INNOVATECH Z</t>
  </si>
  <si>
    <t>FO-25-1543503</t>
  </si>
  <si>
    <t>FSZZZ878</t>
  </si>
  <si>
    <t>TA-25-1117904</t>
  </si>
  <si>
    <t>SAN PABLO</t>
  </si>
  <si>
    <t>DISTRICOL ELECTRO LUNA</t>
  </si>
  <si>
    <t>FO-25-1543509</t>
  </si>
  <si>
    <t>FSZZZ879</t>
  </si>
  <si>
    <t>TERRESTRE/FLUVIAL</t>
  </si>
  <si>
    <t>TA-25-1117911</t>
  </si>
  <si>
    <t>SANTA ROSA DEL SUR</t>
  </si>
  <si>
    <t>DISTRICOL SOLICIONES ANPA</t>
  </si>
  <si>
    <t>FO-25-1543512</t>
  </si>
  <si>
    <t>17-09 PROGRAMACIÓN REALIZADA POR LA ALIANZA 18-09 EN COMUNICACIÓN CON LA SEÑORA ANGELA DÍAZ AL NÚMERO 3172336820 NOS INDICA QUE EL DÍA DE HOY NO TIENE LA DISPONIBILIDAD DE ATENDERNOS QUE EL DÍA DE MAÑANA ESTÁ DISPONIBLE A PARTIR DE LAS 8 AM 19/09/2025 SE REALIZA INSTALACIÓN DE CORRESPONSAL, SE INSTALAN EQUIPOS CON PRUEBAS EXITOSAS, SE CAPACITA Y SE EVALÚA AL CLIENTE, SE INSTALA PUBLICIDAD COMPLETA, CB QUEDA OPERATIVO. USUARIO SOMOS BANCOLOMBIA ACTIVO</t>
  </si>
  <si>
    <t>FSZZZ880</t>
  </si>
  <si>
    <t>TA-25-1117921</t>
  </si>
  <si>
    <t>DISTRICOL VARIEDADES LAS FERIA</t>
  </si>
  <si>
    <t>FO-25-1543517</t>
  </si>
  <si>
    <t>17-09 PROGRAMACIÓN REALIZADA POR LA ALIANZA 18-09 EN COMUNICACIÓN CON LA SEÑORA MARTHA CUERVO HIDALGO AL NÚMERO 3154002504 NOS INDICA QUE EL DÍA DE HOY NO TIENE LA DISPONIBILIDAD DE ATENDERNOS QUE EL DÍA DE MAÑANA ESTÁ DISPONIBLE A PARTIR DE LAS 9 AM 19/09/2025 SE REALIZA INSTALACIÓN DE CORRESPONSAL, SE INSTALAN EQUIPOS CON PRUEBAS EXITOSAS, SE CAPACITA Y SE EVALÚA AL CLIENTE, SE INSTALA PUBLICIDAD COMPLETA, CB QUEDA OPERATIVO. USUARIO SOMOS BANCOLOMBIA ACTIVO</t>
  </si>
  <si>
    <t>FSZZZ881</t>
  </si>
  <si>
    <t>TA-25-1117930</t>
  </si>
  <si>
    <t>CHIQUINQUIRA</t>
  </si>
  <si>
    <t>DISTRICOL TECHNOWORLD CHIQUINQ</t>
  </si>
  <si>
    <t>FO-25-1543521</t>
  </si>
  <si>
    <t>FSZZZ882</t>
  </si>
  <si>
    <t>HERRERA GARZON JEYSON STEVENT</t>
  </si>
  <si>
    <t>TA-25-1117941</t>
  </si>
  <si>
    <t>VILLAMARIA</t>
  </si>
  <si>
    <t>DISTRICOL VAR VILLA PETS</t>
  </si>
  <si>
    <t>FO-25-1543524</t>
  </si>
  <si>
    <t>FSZZZ883</t>
  </si>
  <si>
    <t>TA-25-1117968</t>
  </si>
  <si>
    <t>DISTRICOL PAÑ Y VAR LAURITA</t>
  </si>
  <si>
    <t>FO-25-1543532</t>
  </si>
  <si>
    <t>FSZZZ884</t>
  </si>
  <si>
    <t>REMICIO AMADO JOHN HEBER</t>
  </si>
  <si>
    <t>TA-25-1118025</t>
  </si>
  <si>
    <t>SAMANIEGO</t>
  </si>
  <si>
    <t>DISTRICOL SANA MENTE</t>
  </si>
  <si>
    <t>FO-25-1543544</t>
  </si>
  <si>
    <t>17-09 PROGRAMACIÓN REALIZADA POR LA ALIANZA 19-09 NO FUE POSIBLE VIAJAR AL MUNICIPIO POR PROBLEMAS EN EL TRANSPORTE, SE SEPARA BUS PARA EL DIA LUNES 22/09/2025 SE REALIZA INSTALACIÓN DE CORRESPONSAL, SE INSTALAN EQUIPOS CON PRUEBAS EXITOSAS, SE CAPACITA Y SE EVALÚA AL CLIENTE, SE INSTALA PUBLICIDAD COMPLETA, CB QUEDA OPERATIVO. USUARIO SOMOS BANCOLOMBIA ACTIVO</t>
  </si>
  <si>
    <t>FSZZZ886</t>
  </si>
  <si>
    <t>TA-25-1118045</t>
  </si>
  <si>
    <t>SANDONA</t>
  </si>
  <si>
    <t>DISTRICOL DROG NUEVO AMANECER</t>
  </si>
  <si>
    <t>FO-25-1543553</t>
  </si>
  <si>
    <t>FSZZZ887</t>
  </si>
  <si>
    <t>TA-25-1118072</t>
  </si>
  <si>
    <t>ZARZAL</t>
  </si>
  <si>
    <t>DISTRICOL DRO ECONOFARMA LA 10</t>
  </si>
  <si>
    <t>FO-25-1543558</t>
  </si>
  <si>
    <t>FSZZZ888</t>
  </si>
  <si>
    <t>TA-25-1118079</t>
  </si>
  <si>
    <t>ARAUCA</t>
  </si>
  <si>
    <t>DISTRICOL MI TESORO</t>
  </si>
  <si>
    <t>FO-25-1543564</t>
  </si>
  <si>
    <t>17-09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t>
  </si>
  <si>
    <t>FSZZZ889</t>
  </si>
  <si>
    <t>HERRERA LUQUE SAUL JAVIER</t>
  </si>
  <si>
    <t>TA-25-1118087</t>
  </si>
  <si>
    <t>SARAVENA</t>
  </si>
  <si>
    <t>DISTRICOL INTERBANS</t>
  </si>
  <si>
    <t>FO-25-1543569</t>
  </si>
  <si>
    <t>17-09 PROGRAMACIÓN REALIZADA POR LA ALIANZA 23/09/2025 SE REALIZA INSTALACIÓN DE CORRESPONSAL, SE INSTALAN EQUIPOS CON PRUEBAS EXITOSAS, SE CAPACITA Y SE EVALÚA AL CLIENTE, SE INSTALA PUBLICIDAD COMPLETA, CB QUEDA OPERATIVO. USUARIO SOMOS BANCOLOMBIA ACTIVO</t>
  </si>
  <si>
    <t>FSZZZ890</t>
  </si>
  <si>
    <t>YOPAL</t>
  </si>
  <si>
    <t>TA-25-1118097</t>
  </si>
  <si>
    <t>CASANARE</t>
  </si>
  <si>
    <t>DISTRICOL DROGUERIA FENIX</t>
  </si>
  <si>
    <t>FO-25-1543573</t>
  </si>
  <si>
    <t>FSZZZ891</t>
  </si>
  <si>
    <t>TA-25-1118107</t>
  </si>
  <si>
    <t>DISTRICOL MULTISERVIS CLIKGO</t>
  </si>
  <si>
    <t>FO-25-1543578</t>
  </si>
  <si>
    <t>FSZZZ892</t>
  </si>
  <si>
    <t>TA-25-1118118</t>
  </si>
  <si>
    <t>AGUAZUL</t>
  </si>
  <si>
    <t>DISTRICOL CACHARRERIA MAVIS</t>
  </si>
  <si>
    <t>FO-25-1543582</t>
  </si>
  <si>
    <t>FSZZZ893</t>
  </si>
  <si>
    <t>TA-25-1118128</t>
  </si>
  <si>
    <t>NUNCHIA</t>
  </si>
  <si>
    <t>DISTRICOL FERRETERIA 5 ESTRELL</t>
  </si>
  <si>
    <t>FO-25-1543585</t>
  </si>
  <si>
    <t>FSZZZ894</t>
  </si>
  <si>
    <t>TA-25-1118136</t>
  </si>
  <si>
    <t>SIBUNDOY</t>
  </si>
  <si>
    <t>DISTRICOL POLLOS PUNTO FRESCO</t>
  </si>
  <si>
    <t>FO-25-1543590</t>
  </si>
  <si>
    <t>FSZZZ895</t>
  </si>
  <si>
    <t>TA-25-1118145</t>
  </si>
  <si>
    <t>DISTRICOL FERROUNO</t>
  </si>
  <si>
    <t>FO-25-1543593</t>
  </si>
  <si>
    <t>17-09 PROGRAMACIÓN REALIZADA POR LA ALIANZA 19/09/2025 SE LLAMA AL USUARIO PARA CONFIRMAR VISITA Y NOS CONTESTA UN TRABAJADOR INFORMANDO QUE EL ENCARGADO SOLO ESTÁ EN DE 8-10 AM Y 2-4 PM SE LOGRA COMUNICAR CON EL USUARIO ENCARGADO Y NOS MANIFIESTA QUE SI PODEMOS DEJAR LA INSTALACIÓN PARA EL DÍA MIÉRCOLES DE LA OTRA SEMANA EN HORAS DE LA MAÑANA YA QUE SE LE INDICA QUE SE NECESITA DISPONIBILIDAD DE TIEMPO PARA PODER HACER LA INSTALACIÓN Y PODER DAR LA CAPACITACIÓN DE MANEJO DE TODO EL SISTEMA 24-09 SE REALIZA INSTALACIÓN DE CORRESPONSAL, SE INSTALAN EQUIPOS CON PRUEBAS EXITOSAS, SE CAPACITA Y SE EVALÚA AL CLIENTE, SE INSTALA PUBLICIDAD COMPLETA, CB QUEDA OPERATIVO. USUARIO SOMOS BANCOLOMBIA ACTIVO</t>
  </si>
  <si>
    <t>FSZZZ896</t>
  </si>
  <si>
    <t>TA-25-1118154</t>
  </si>
  <si>
    <t>DISTRICOL DROGUERIA MACROSALUD ETICA</t>
  </si>
  <si>
    <t>FO-25-1543596</t>
  </si>
  <si>
    <t>FSZZZ897</t>
  </si>
  <si>
    <t>TA-25-1118161</t>
  </si>
  <si>
    <t>DISTRICOL MADURITOS DE LUPE</t>
  </si>
  <si>
    <t>FO-25-1543600</t>
  </si>
  <si>
    <t>FSZZZ898</t>
  </si>
  <si>
    <t>TA-25-1118162</t>
  </si>
  <si>
    <t>DISTRICOL PAPELERIA JUANES E&amp;E</t>
  </si>
  <si>
    <t>FO-25-1543603</t>
  </si>
  <si>
    <t>FSZZZ899</t>
  </si>
  <si>
    <t>TA-25-1118163</t>
  </si>
  <si>
    <t>DISTRICOL TODO EN UNO</t>
  </si>
  <si>
    <t>FO-25-1543607</t>
  </si>
  <si>
    <t>FSZZZ900</t>
  </si>
  <si>
    <t>TA-25-1118164</t>
  </si>
  <si>
    <t>DISTRICOL PRACTIPAGOS LA Y</t>
  </si>
  <si>
    <t>FO-25-1543611</t>
  </si>
  <si>
    <t>FSZZZ901</t>
  </si>
  <si>
    <t>ARIAS QUILINDO JULIAN</t>
  </si>
  <si>
    <t>TA-25-1120952</t>
  </si>
  <si>
    <t>CHOCO</t>
  </si>
  <si>
    <t>NUEVO BELEN DE BAJIRA</t>
  </si>
  <si>
    <t>DISTRICOL DONDE CAMILA F</t>
  </si>
  <si>
    <t>FO-25-1546404</t>
  </si>
  <si>
    <t>17-09 EL SITIO NO HA PROCESADO EN SEI, SE APLAZA INSTALACIÓN HASTA RECIBIR NUEVA INDICACIÓN POR PARTE DE REDEBAN 18/09/2025 REDEBAN INDICA QUE EL PUNTO YA PROCESO, SE PROCEDE CON LA PROGRAMACIÓN 23/09/2025 SE REALIZA INSTALACIÓN DE CORRESPONSAL, SE INSTALAN EQUIPOS CON PRUEBAS EXITOSAS, SE CAPACITA Y SE EVALÚA AL CLIENTE, SE INSTALA PUBLICIDAD COMPLETA, CB QUEDA OPERATIVO. USUARIO SOMOS BANCOLOMBIA ACTIVO</t>
  </si>
  <si>
    <t>FTZZZ084</t>
  </si>
  <si>
    <t>TA-25-1125548</t>
  </si>
  <si>
    <t>PTM MEDELLIN DROGUERIA FARMALA</t>
  </si>
  <si>
    <t>FO-25-1553663</t>
  </si>
  <si>
    <t>19-09 PROGRAMACIÓN REALIZADA POR LA ALIANZA 22/09/2025 SE REALIZA INSTALACIÓN DE CORRESPONSAL, SE INSTALAN EQUIPOS CON PRUEBAS EXITOSAS, SE CAPACITA Y SE EVALÚA AL CLIENTE, SE INSTALA PUBLICIDAD COMPLETA, CB QUEDA OPERATIVO. USUARIO SOMOS BANCOLOMBIA ACTIVO</t>
  </si>
  <si>
    <t>SPZZZ321</t>
  </si>
  <si>
    <t>TA-25-1125554</t>
  </si>
  <si>
    <t>PTM MEDELLIN DISTRIBUIDORA JAL</t>
  </si>
  <si>
    <t>FO-25-1553676</t>
  </si>
  <si>
    <t>SPZZZ322</t>
  </si>
  <si>
    <t>TA-25-1125567</t>
  </si>
  <si>
    <t>PTM BELLO ANGELA MARIA RESTREP</t>
  </si>
  <si>
    <t>FO-25-1553687</t>
  </si>
  <si>
    <t>19-09 PROGRAMACIÓN REALIZADA POR LA ALIANZA 23/09/2025 SE REALIZA INSTALACIÓN DE CORRESPONSAL, SE INSTALAN EQUIPOS CON PRUEBAS EXITOSAS, SE CAPACITA Y SE EVALÚA AL CLIENTE, SE INSTALA PUBLICIDAD COMPLETA, CB QUEDA OPERATIVO. USUARIO SOMOS BANCOLOMBIA ACTIVO</t>
  </si>
  <si>
    <t>SPZZZ323</t>
  </si>
  <si>
    <t>TA-25-1125576</t>
  </si>
  <si>
    <t>PTM BELLO FARMASOLUCIONES BELL</t>
  </si>
  <si>
    <t>FO-25-1553700</t>
  </si>
  <si>
    <t>SPZZZ324</t>
  </si>
  <si>
    <t>TA-25-1125589</t>
  </si>
  <si>
    <t>PTM CALDAS ABARROTES DON BERRI</t>
  </si>
  <si>
    <t>FO-25-1553712</t>
  </si>
  <si>
    <t>SPZZZ325</t>
  </si>
  <si>
    <t>TA-25-1125599</t>
  </si>
  <si>
    <t>REMEDIOS</t>
  </si>
  <si>
    <t>PTM REMEDIOS Y &amp; M MINI MARKET</t>
  </si>
  <si>
    <t>FO-25-1553723</t>
  </si>
  <si>
    <t>SPZZZ326</t>
  </si>
  <si>
    <t>TA-25-1125610</t>
  </si>
  <si>
    <t>GARZON</t>
  </si>
  <si>
    <t>PTM GARZON SOLUCIONES DE CENTR</t>
  </si>
  <si>
    <t>FO-25-1553735</t>
  </si>
  <si>
    <t>SPZZZ327</t>
  </si>
  <si>
    <t>TA-25-1125620</t>
  </si>
  <si>
    <t>LEBRIJA</t>
  </si>
  <si>
    <t>PTM LEBRIJA TIENDA J.V</t>
  </si>
  <si>
    <t>FO-25-1553745</t>
  </si>
  <si>
    <t>SPZZZ328</t>
  </si>
  <si>
    <t>TA-25-1125631</t>
  </si>
  <si>
    <t>PTM IBAGUE AMIGOS PELUDITO'S P</t>
  </si>
  <si>
    <t>FO-25-1553756</t>
  </si>
  <si>
    <t>SPZZZ329</t>
  </si>
  <si>
    <t>TA-25-1125636</t>
  </si>
  <si>
    <t>PTM ARMENIA DACAFE HOGAR Y FER</t>
  </si>
  <si>
    <t>FO-25-1553767</t>
  </si>
  <si>
    <t>SPZZZ330</t>
  </si>
  <si>
    <t>MARTINEZ TOVAR OSCAR DAVID</t>
  </si>
  <si>
    <t>TA-25-1125647</t>
  </si>
  <si>
    <t>PTM BOGOTA MISCELANIA Y PAPELE</t>
  </si>
  <si>
    <t>FO-25-1553779</t>
  </si>
  <si>
    <t>SPZZZ331</t>
  </si>
  <si>
    <t>TA-25-1125655</t>
  </si>
  <si>
    <t>PTM BOGOTA MI TIENDA 258</t>
  </si>
  <si>
    <t>FO-25-1553790</t>
  </si>
  <si>
    <t>SPZZZ332</t>
  </si>
  <si>
    <t>TA-25-1145358</t>
  </si>
  <si>
    <t>DISTRICOL VARIEDADES ITZAMARA</t>
  </si>
  <si>
    <t>FO-25-1577269</t>
  </si>
  <si>
    <t>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t>
  </si>
  <si>
    <t>FWZZZ430</t>
  </si>
  <si>
    <t>TA-25-1145359</t>
  </si>
  <si>
    <t>PTM MEDELLIN DROGUERIA COMUSAL</t>
  </si>
  <si>
    <t>FO-25-1577275</t>
  </si>
  <si>
    <t>FWZZZ431</t>
  </si>
  <si>
    <t>TA-25-1145361</t>
  </si>
  <si>
    <t>DISTRICOL PAPELERIA Y VAR. S&amp;J</t>
  </si>
  <si>
    <t>FO-25-1577279</t>
  </si>
  <si>
    <t>24-09 PROGRAMACIÓN REALIZADA POR LA ALIANZA 26/09/2025 SE REALIZA INSTALACIÓN DE CORRESPONSAL, SE INSTALAN EQUIPOS CON PRUEBAS EXITOSAS, SE CAPACITA Y SE EVALÚA AL CLIENTE, SE INSTALA PUBLICIDAD COMPLETA, CB QUEDA OPERATIVO. USUARIO SOMOS BANCOLOMBIA ACTIVO</t>
  </si>
  <si>
    <t>FWZZZ432</t>
  </si>
  <si>
    <t>TA-25-1145363</t>
  </si>
  <si>
    <t>PTM BELLO BUEN PRECIO DE LA 61</t>
  </si>
  <si>
    <t>FO-25-1577284</t>
  </si>
  <si>
    <t>FWZZZ433</t>
  </si>
  <si>
    <t>TA-25-1145366</t>
  </si>
  <si>
    <t>CAREPA</t>
  </si>
  <si>
    <t>DISTRICOL TIENDA MAYELE G&amp;C</t>
  </si>
  <si>
    <t>FO-25-1577290</t>
  </si>
  <si>
    <t>FWZZZ434</t>
  </si>
  <si>
    <t>TA-25-1145367</t>
  </si>
  <si>
    <t>LA CEJA</t>
  </si>
  <si>
    <t>PTM LA CEJA PAWS PLANET</t>
  </si>
  <si>
    <t>FO-25-1577294</t>
  </si>
  <si>
    <t>FWZZZ436</t>
  </si>
  <si>
    <t>TA-25-1145371</t>
  </si>
  <si>
    <t>RIONEGRO</t>
  </si>
  <si>
    <t>DISTRICOL IXCLOUDS</t>
  </si>
  <si>
    <t>FO-25-1577303</t>
  </si>
  <si>
    <t>24-09 PROGRAMACIÓN REALIZADA POR LA ALIANZA 25/09/2025 SE REALIZA INSTALACIÓN DE CORRESPONSAL, SE INSTALAN EQUIPOS CON PRUEBAS EXITOSAS, SE CAPACITA Y SE EVALÚA AL CLIENTE, SE INSTALA PUBLICIDAD COMPLETA, CB QUEDA OPERATIVO. USUARIO SOMOS BANCOLOMBIA ACTIVO</t>
  </si>
  <si>
    <t>FWZZZ438</t>
  </si>
  <si>
    <t>TA-25-1145374</t>
  </si>
  <si>
    <t>DISTRICOL MEGA MARKET OFERTON</t>
  </si>
  <si>
    <t>FO-25-1577308</t>
  </si>
  <si>
    <t>24-09 PROGRAMACIÓN REALIZADA POR LA ALIANZA 26/09/2025 ESCALAMOS NOVEDAD DE CERCANÍA. VISITAMOS DIRECCIÓN ENCONTRANDO COMERCIO CERCANO CON CODIGO 3007068151LA BANCA SEGOVIA 1 CON DIRECCIÓN CR 53 49 77 COMERCIO EXISTENTE COORDENADAS 7.080806 -74.702343 COMERCIO A INSTALAR COORDENADAS 7.080554 -74.702437 / ENTIDAD APRUEBA INSTALACIÓN 26/09/2025 SE REALIZA INSTALACIÓN DE CORRESPONSAL, SE INSTALAN EQUIPOS CON PRUEBAS EXITOSAS, SE CAPACITA Y SE EVALÚA AL CLIENTE, SE INSTALA PUBLICIDAD COMPLETA, CB QUEDA OPERATIVO. USUARIO SOMOS BANCOLOMBIA ACTIVO</t>
  </si>
  <si>
    <t>FWZZZ439</t>
  </si>
  <si>
    <t>TA-25-1145375</t>
  </si>
  <si>
    <t>DISTRICOL FARMARIVAS</t>
  </si>
  <si>
    <t>FO-25-1577311</t>
  </si>
  <si>
    <t>FWZZZ440</t>
  </si>
  <si>
    <t>TA-25-1145377</t>
  </si>
  <si>
    <t>DISTRICOL EL PRIMO</t>
  </si>
  <si>
    <t>FO-25-1577318</t>
  </si>
  <si>
    <t>FWZZZ441</t>
  </si>
  <si>
    <t>BARRANQUILLA</t>
  </si>
  <si>
    <t>TA-25-1145378</t>
  </si>
  <si>
    <t>ATLANTICO</t>
  </si>
  <si>
    <t>PTM BARRANQUILLA DROGUERÍA LA</t>
  </si>
  <si>
    <t>FO-25-1577323</t>
  </si>
  <si>
    <t>FWZZZ442</t>
  </si>
  <si>
    <t>PORRAS CASTRO DARLON NASCK</t>
  </si>
  <si>
    <t>TA-25-1145379</t>
  </si>
  <si>
    <t>SOLEDAD</t>
  </si>
  <si>
    <t>PTM SOLEDAD TIENDA EL TESORO D</t>
  </si>
  <si>
    <t>FO-25-1577328</t>
  </si>
  <si>
    <t>FWZZZ443</t>
  </si>
  <si>
    <t>TA-25-1145382</t>
  </si>
  <si>
    <t>DISTRICOL SERVIPARK &amp; WASH</t>
  </si>
  <si>
    <t>FO-25-1577333</t>
  </si>
  <si>
    <t>24-09 PROGRAMACIÓN REALIZADA POR LA ALIANZA 30/09/2025 SE REALIZA INSTALACIÓN DE CORRESPONSAL, SE INSTALAN EQUIPOS CON PRUEBAS EXITOSAS, SE CAPACITA Y SE EVALÚA AL CLIENTE, SE INSTALA PUBLICIDAD COMPLETA, CB QUEDA OPERATIVO. USUARIO SOMOS BANCOLOMBIA ACTIVO</t>
  </si>
  <si>
    <t>FWZZZ444</t>
  </si>
  <si>
    <t>TA-25-1145386</t>
  </si>
  <si>
    <t>PTM CHIQUINQUIRA VARIEDADES LA</t>
  </si>
  <si>
    <t>FO-25-1577338</t>
  </si>
  <si>
    <t>FWZZZ445</t>
  </si>
  <si>
    <t>TA-25-1145387</t>
  </si>
  <si>
    <t>SOGAMOSO</t>
  </si>
  <si>
    <t>DISTRICOL LIZZMORE BABYS</t>
  </si>
  <si>
    <t>FO-25-1577341</t>
  </si>
  <si>
    <t>FWZZZ446</t>
  </si>
  <si>
    <t>TA-25-1145396</t>
  </si>
  <si>
    <t>DISTRICOL TIEND MELISA Y CESAR</t>
  </si>
  <si>
    <t>FO-25-1577353</t>
  </si>
  <si>
    <t>FWZZZ447</t>
  </si>
  <si>
    <t>TA-25-1145401</t>
  </si>
  <si>
    <t>AGUACHICA</t>
  </si>
  <si>
    <t>DISTRICOL DROGUERIA REB FARMA</t>
  </si>
  <si>
    <t>FO-25-1577360</t>
  </si>
  <si>
    <t>FWZZZ448</t>
  </si>
  <si>
    <t>MONTES DIAZ JOHN FRED</t>
  </si>
  <si>
    <t>TA-25-1145403</t>
  </si>
  <si>
    <t>PTM MONTERIA MISCELANEA Y PAPE</t>
  </si>
  <si>
    <t>FO-25-1586004</t>
  </si>
  <si>
    <t>24-09 PROGRAMACIÓN REALIZADA POR LA ALIANZA 25/09/2025 NO ES POSIBLE INSTALAR EL CB POR MOTIVOS DE LA TERMINAL YA QUE NO ESTÁ ACTIVA PARA EL CORRESPONSAL Y REDEBAN NOS INDICO QUE TENÍAN FALLAS CON LA WEB Y NO PUDO SER ASOCIADA LA TERMINAL EL DÍA DE HOY, POR ESE MOTIVO SE REPROGRAMA LA VISITA PARA EL DÍA DE MAÑANA FECHA 26/09/2025 26-09 REDEBAN INFORMA QUE LA VISITA PARA LA APERTURA, SE REALICE EL DÍA LUNES EN HORAS DE LA TARDE FECHA 29/09/2025 YA QUE NO HAN PODIDO SOLUCIONAR LA FALLA CON LA TERMINAL 29-09 EN COMUNICACIÓN CON ALEJANDRA SILVA DE REDEBAN INDICAN QUE NO SE A PODIDO SOLUCIONAR EL TEMA DE ASOCIACIÓN DE TERMINALES, EL DÍA DE HOY NO SE PODRÁ REALIZAR LA INSTALACIÓN YA QUE NO SE HAN ASOCIADO LAS TERMINALES, SIGUEN EN PROCESO DE SOLUCION 30/09/2025 SE REALIZA INSTALACIÓN DE CORRESPONSAL, SE INSTALAN EQUIPOS CON PRUEBAS EXITOSAS, SE CAPACITA Y SE EVALÚA AL CLIENTE, SE INSTALA PUBLICIDAD COMPLETA, CB QUEDA OPERATIVO. USUARIO SOMOS BANCOLOMBIA ACTIVO</t>
  </si>
  <si>
    <t>FWZZZ449</t>
  </si>
  <si>
    <t>GONZALEZ FERRER JESUS ALEXANDER</t>
  </si>
  <si>
    <t>TA-25-1145405</t>
  </si>
  <si>
    <t>LA APARTADA</t>
  </si>
  <si>
    <t>DISTRICOL MUNDO REPUESTOS</t>
  </si>
  <si>
    <t>FO-25-1577370</t>
  </si>
  <si>
    <t>FWZZZ450</t>
  </si>
  <si>
    <t>TA-25-1145407</t>
  </si>
  <si>
    <t>SAHAGUN</t>
  </si>
  <si>
    <t>DISTRICOL EL ROSARIO</t>
  </si>
  <si>
    <t>FO-25-1577374</t>
  </si>
  <si>
    <t>FWZZZ451</t>
  </si>
  <si>
    <t>TA-25-1145408</t>
  </si>
  <si>
    <t>SAN PELAYO</t>
  </si>
  <si>
    <t>DISTRICOL ZONA SMART SP</t>
  </si>
  <si>
    <t>FO-25-1577378</t>
  </si>
  <si>
    <t>FWZZZ453</t>
  </si>
  <si>
    <t>TA-25-1145433</t>
  </si>
  <si>
    <t>DISTRICOL AGROINSUMOS LA FINCA</t>
  </si>
  <si>
    <t>FO-25-1577388</t>
  </si>
  <si>
    <t>FWZZZ455</t>
  </si>
  <si>
    <t>TA-25-1145487</t>
  </si>
  <si>
    <t>DISTRICOL DROGUERIA SAMU</t>
  </si>
  <si>
    <t>FO-25-1577426</t>
  </si>
  <si>
    <t>FWZZZ463</t>
  </si>
  <si>
    <t>TA-25-1145512</t>
  </si>
  <si>
    <t>BUESACO</t>
  </si>
  <si>
    <t>DISTRICOL DROG LA PRESENTACION</t>
  </si>
  <si>
    <t>FO-25-1577439</t>
  </si>
  <si>
    <t>FWZZZ465</t>
  </si>
  <si>
    <t>TA-25-1145545</t>
  </si>
  <si>
    <t>DISTRICOL MARCELAS CHIP STORE</t>
  </si>
  <si>
    <t>FO-25-1577462</t>
  </si>
  <si>
    <t>FWZZZ468</t>
  </si>
  <si>
    <t>TA-25-1145582</t>
  </si>
  <si>
    <t>DISTRICOL COMIDA RAPIDA NICHE2</t>
  </si>
  <si>
    <t>FO-25-1577485</t>
  </si>
  <si>
    <t>FWZZZ469</t>
  </si>
  <si>
    <t>TA-25-1145621</t>
  </si>
  <si>
    <t>DISTRICOL CAFETERIA ASHLEY</t>
  </si>
  <si>
    <t>FO-25-1577509</t>
  </si>
  <si>
    <t>FWZZZ470</t>
  </si>
  <si>
    <t>TA-25-1145654</t>
  </si>
  <si>
    <t>LOS PATIOS</t>
  </si>
  <si>
    <t>DISTRICOL TU ENSUEÑO</t>
  </si>
  <si>
    <t>FO-25-1577531</t>
  </si>
  <si>
    <t>FWZZZ471</t>
  </si>
  <si>
    <t>TA-25-1145684</t>
  </si>
  <si>
    <t>OCAÑA</t>
  </si>
  <si>
    <t>DISTRICOL QUALITY SHOP COL</t>
  </si>
  <si>
    <t>FO-25-1577553</t>
  </si>
  <si>
    <t>FWZZZ472</t>
  </si>
  <si>
    <t>MARTINEZ FLOREZ DONIS ALBERTO</t>
  </si>
  <si>
    <t>TA-25-1145712</t>
  </si>
  <si>
    <t>LA VIRGINIA</t>
  </si>
  <si>
    <t>DISTRICOL NAUTIMOTOS TITO</t>
  </si>
  <si>
    <t>FO-25-1577574</t>
  </si>
  <si>
    <t>FWZZZ473</t>
  </si>
  <si>
    <t>TA-25-1145744</t>
  </si>
  <si>
    <t>DISTRICOL MICROMERCADO GAMBOA</t>
  </si>
  <si>
    <t>FO-25-1577595</t>
  </si>
  <si>
    <t>FWZZZ474</t>
  </si>
  <si>
    <t>TA-25-1145774</t>
  </si>
  <si>
    <t>GIRON</t>
  </si>
  <si>
    <t>DISTRICOL INVERSIONES EMG</t>
  </si>
  <si>
    <t>FO-25-1577616</t>
  </si>
  <si>
    <t>FWZZZ475</t>
  </si>
  <si>
    <t>TA-25-1145805</t>
  </si>
  <si>
    <t>PTM LEBRIJA BODEGA EMY AUTOSER</t>
  </si>
  <si>
    <t>FO-25-1577634</t>
  </si>
  <si>
    <t>FWZZZ476</t>
  </si>
  <si>
    <t>TA-25-1145806</t>
  </si>
  <si>
    <t>DISTRICOL LA GRANJA VILLANUEVA</t>
  </si>
  <si>
    <t>FO-25-1577644</t>
  </si>
  <si>
    <t>FWZZZ477</t>
  </si>
  <si>
    <t>TA-25-1145807</t>
  </si>
  <si>
    <t>DISTRICOL D&amp;V MED FARMA</t>
  </si>
  <si>
    <t>FO-25-1577648</t>
  </si>
  <si>
    <t>FWZZZ478</t>
  </si>
  <si>
    <t>SANTOS GUZMAN CHRISTIAN FELIPE</t>
  </si>
  <si>
    <t>TA-25-1145914</t>
  </si>
  <si>
    <t>DISTRICOL FARMAVID</t>
  </si>
  <si>
    <t>FO-25-1577768</t>
  </si>
  <si>
    <t>FWZZZ479</t>
  </si>
  <si>
    <t>TA-25-1145809</t>
  </si>
  <si>
    <t>DISTRICOL MINIMARKET 1</t>
  </si>
  <si>
    <t>FO-25-1577656</t>
  </si>
  <si>
    <t>FWZZZ480</t>
  </si>
  <si>
    <t>TA-25-1145810</t>
  </si>
  <si>
    <t>DISTRICOL KARENA VARIEDADES</t>
  </si>
  <si>
    <t>FO-25-1577659</t>
  </si>
  <si>
    <t>FWZZZ481</t>
  </si>
  <si>
    <t>TA-25-1145814</t>
  </si>
  <si>
    <t>DISTRICOL BRYART ARTE DIGITAL</t>
  </si>
  <si>
    <t>FO-25-1577663</t>
  </si>
  <si>
    <t>FWZZZ482</t>
  </si>
  <si>
    <t>TA-25-1145817</t>
  </si>
  <si>
    <t>DISTRICOL DYSAR</t>
  </si>
  <si>
    <t>FO-25-1577667</t>
  </si>
  <si>
    <t>24-09 PROGRAMACIÓN REALIZADA POR LA ALIANZA  25/09/2025 SE REALIZA INSTALACIÓN DE CORRESPONSAL, SE INSTALAN EQUIPOS CON PRUEBAS EXITOSAS, SE CAPACITA Y SE EVALÚA AL CLIENTE, SE INSTALA PUBLICIDAD COMPLETA, CB QUEDA OPERATIVO. USUARIO SOMOS BANCOLOMBIA ACTIVO</t>
  </si>
  <si>
    <t>FWZZZ483</t>
  </si>
  <si>
    <t>TA-25-1145818</t>
  </si>
  <si>
    <t>PTM CALI PASAJE EXPRESS</t>
  </si>
  <si>
    <t>FO-25-1577670</t>
  </si>
  <si>
    <t>FWZZZ484</t>
  </si>
  <si>
    <t>TA-25-1145821</t>
  </si>
  <si>
    <t>PTM CALI MAXITECNO</t>
  </si>
  <si>
    <t>FO-25-1577673</t>
  </si>
  <si>
    <t>FWZZZ485</t>
  </si>
  <si>
    <t>TA-25-1145822</t>
  </si>
  <si>
    <t>PTM CALI MULTI TIENDA EL BILLE</t>
  </si>
  <si>
    <t>FO-25-1577676</t>
  </si>
  <si>
    <t>FWZZZ486</t>
  </si>
  <si>
    <t>TA-25-1145823</t>
  </si>
  <si>
    <t>PTM CALI CIBERNET PAPELERIA Y</t>
  </si>
  <si>
    <t>FO-25-1577679</t>
  </si>
  <si>
    <t>FWZZZ487</t>
  </si>
  <si>
    <t>MONTERO MUESES GIAN CARLO</t>
  </si>
  <si>
    <t>TA-25-1145827</t>
  </si>
  <si>
    <t>CARTAGO</t>
  </si>
  <si>
    <t>DISTRICOL DROG MEDICAR CARTAGO</t>
  </si>
  <si>
    <t>FO-25-1577688</t>
  </si>
  <si>
    <t>FWZZZ488</t>
  </si>
  <si>
    <t>TA-25-1145828</t>
  </si>
  <si>
    <t>PALMIRA</t>
  </si>
  <si>
    <t>DISTRICOL VARIEDADES JOSUE</t>
  </si>
  <si>
    <t>FO-25-1577691</t>
  </si>
  <si>
    <t>FWZZZ489</t>
  </si>
  <si>
    <t>TA-25-1145829</t>
  </si>
  <si>
    <t>PTM TULUA ALMACEN Y VARIEDADES</t>
  </si>
  <si>
    <t>FO-25-1577694</t>
  </si>
  <si>
    <t>FWZZZ490</t>
  </si>
  <si>
    <t>TA-25-1145833</t>
  </si>
  <si>
    <t>DISTRICOL VICTORIOSA SHOP</t>
  </si>
  <si>
    <t>FO-25-1577704</t>
  </si>
  <si>
    <t>FWZZZ491</t>
  </si>
  <si>
    <t>TA-25-1145837</t>
  </si>
  <si>
    <t>DISTRICOL MINI MARK SOFIA</t>
  </si>
  <si>
    <t>FO-25-1577725</t>
  </si>
  <si>
    <t>FWZZZ492</t>
  </si>
  <si>
    <t>TA-25-1145838</t>
  </si>
  <si>
    <t>PTM VILLANUEVA DROGUERIA J&amp;C F</t>
  </si>
  <si>
    <t>FO-25-1577736</t>
  </si>
  <si>
    <t>FWZZZ493</t>
  </si>
  <si>
    <t>MOLINA CASTRO JAVIER ALBERTO</t>
  </si>
  <si>
    <t>TA-25-1145844</t>
  </si>
  <si>
    <t>MOCOA</t>
  </si>
  <si>
    <t>DISTRICOL  COPYMAX CM</t>
  </si>
  <si>
    <t>FO-25-1577739</t>
  </si>
  <si>
    <t>FWZZZ494</t>
  </si>
  <si>
    <t>TA-25-1145940</t>
  </si>
  <si>
    <t>DISTRICOL MILAN LA MARCA ERES</t>
  </si>
  <si>
    <t>FO-25-1577863</t>
  </si>
  <si>
    <t>24-09 PROGRAMACIÓN REALIZADA POR LA ALIANZA 29-09 POR FUERTES LLUVIAS EN LA VÍA SE RETRASA EL TRANSPORTE. SE ATENDERÁ MAÑANA EN HORAS DE LA TARDE 30/09/2025 SE REALIZA INSTALACIÓN DE CORRESPONSAL, SE INSTALAN EQUIPOS CON PRUEBAS EXITOSAS, SE CAPACITA Y SE EVALÚA AL CLIENTE, SE INSTALA PUBLICIDAD COMPLETA, CB QUEDA OPERATIVO. USUARIO SOMOS BANCOLOMBIA ACTIVO</t>
  </si>
  <si>
    <t>FWZZZ501</t>
  </si>
  <si>
    <t>TA-25-1145941</t>
  </si>
  <si>
    <t>DISTRICOL DROGUERÍA COMERCIAL</t>
  </si>
  <si>
    <t>FO-25-1577885</t>
  </si>
  <si>
    <t>FWZZZ502</t>
  </si>
  <si>
    <t>TA-25-1145944</t>
  </si>
  <si>
    <t>DISTRICOL FERROMATERIALES AGUD</t>
  </si>
  <si>
    <t>FO-25-1577897</t>
  </si>
  <si>
    <t>FWZZZ503</t>
  </si>
  <si>
    <t>TA-25-1145946</t>
  </si>
  <si>
    <t>PTM BOGOTA PAPELERIA GAMER CEN</t>
  </si>
  <si>
    <t>FO-25-1577903</t>
  </si>
  <si>
    <t>FWZZZ504</t>
  </si>
  <si>
    <t>TA-25-1145950</t>
  </si>
  <si>
    <t>PTM BOGOTA MI PAPELERIA Y MAS</t>
  </si>
  <si>
    <t>FO-25-1577909</t>
  </si>
  <si>
    <t>FWZZZ505</t>
  </si>
  <si>
    <t>TA-25-1145952</t>
  </si>
  <si>
    <t>PTM BOGOTA TIENDA SANTI LA SEP</t>
  </si>
  <si>
    <t>FO-25-1589721</t>
  </si>
  <si>
    <t>24-09 PROGRAMACIÓN REALIZADA POR LA ALIANZA 26/09/2025 SE LLEGA A SITIO, SE VERIFICA Y NO AHI PUNTO CABLEADO, NI PUERTO DISPONIBLE PARA LA CONEXIÓN DEL DATAFONO, CLIENTE SE NIEGA A DESCONECTAR DISPOSITIVOS PARA REALIZAR LA INSTALACIÓN. SE REPROGRAMA YA QUE INDICA QUE SE VA A CONSEGUIR UN SWITCH O REPETIDOR. SE ESCALA CON COORDINADOR QUIEN INDICA SE REALIZARA  REPROGRAMACION  PARA VISITAR NUEVAMENTE EL PUNTO. 29/09/2025 SE REALIZA INSTALACIÓN DE CORRESPONSAL, SE INSTALAN EQUIPOS CON PRUEBAS EXITOSAS, SE CAPACITA Y SE EVALÚA AL CLIENTE, SE INSTALA PUBLICIDAD COMPLETA, CB QUEDA OPERATIVO. USUARIO SOMOS BANCOLOMBIA ACTIVO</t>
  </si>
  <si>
    <t>FWZZZ506</t>
  </si>
  <si>
    <t>TA-25-1145953</t>
  </si>
  <si>
    <t>PTM BOGOTA PAGANINI 1A</t>
  </si>
  <si>
    <t>FO-25-1577918</t>
  </si>
  <si>
    <t>FWZZZ507</t>
  </si>
  <si>
    <t>TA-25-1157216</t>
  </si>
  <si>
    <t>DISTRICOL LA ESPERANZA</t>
  </si>
  <si>
    <t>FO-25-1598618</t>
  </si>
  <si>
    <t>29-09 PROGRAMACIÓN REALIZADA POR LA ALIANZA 30/09/2025 SE REALIZA INSTALACIÓN DE CORRESPONSAL, SE INSTALAN EQUIPOS CON PRUEBAS EXITOSAS, SE CAPACITA Y SE EVALÚA AL CLIENTE, SE INSTALA PUBLICIDAD COMPLETA, CB QUEDA OPERATIVO. USUARIO SOMOS BANCOLOMBIA ACTIVO</t>
  </si>
  <si>
    <t>FYZZZ185</t>
  </si>
  <si>
    <t>TA-25-1157217</t>
  </si>
  <si>
    <t>DISTRICOL TIENDA EL NIDO</t>
  </si>
  <si>
    <t>FO-25-1598624</t>
  </si>
  <si>
    <t>FYZZZ186</t>
  </si>
  <si>
    <t>MARTINEZ SALGUEDO ANDRES AUGUSTO</t>
  </si>
  <si>
    <t>TA-25-1157224</t>
  </si>
  <si>
    <t>DISTRICOL TIENDA EL MONO</t>
  </si>
  <si>
    <t>FO-25-1598639</t>
  </si>
  <si>
    <t>FYZZZ189</t>
  </si>
  <si>
    <t>TA-25-1157226</t>
  </si>
  <si>
    <t>DISTRICOL PAP ANGEL AGUALONGO</t>
  </si>
  <si>
    <t>FO-25-1598646</t>
  </si>
  <si>
    <t>FYZZZ190</t>
  </si>
  <si>
    <t>TA-25-1157228</t>
  </si>
  <si>
    <t>DISTRICOL BONGA BG</t>
  </si>
  <si>
    <t>FO-25-1598659</t>
  </si>
  <si>
    <t>FYZZZ192</t>
  </si>
  <si>
    <t>TA-25-1157233</t>
  </si>
  <si>
    <t>DISTRICOL MUEBLERIA CALIFORNIA</t>
  </si>
  <si>
    <t>FO-25-1598673</t>
  </si>
  <si>
    <t>FYZZZ195</t>
  </si>
  <si>
    <t>TA-25-1157235</t>
  </si>
  <si>
    <t>DISTRICOL OPULENCE SHOES</t>
  </si>
  <si>
    <t>FO-25-1598678</t>
  </si>
  <si>
    <t>FYZZZ196</t>
  </si>
  <si>
    <t>Ciudad Sede</t>
  </si>
  <si>
    <t>Código DANE</t>
  </si>
  <si>
    <t>OC</t>
  </si>
  <si>
    <t>Cb</t>
  </si>
  <si>
    <t>Departamento</t>
  </si>
  <si>
    <t>Ciudad</t>
  </si>
  <si>
    <t xml:space="preserve">Nmbre  del cb </t>
  </si>
  <si>
    <t>Red</t>
  </si>
  <si>
    <t>TA</t>
  </si>
  <si>
    <t>Fecha apertura del incidente (DD/MM/AAAA)</t>
  </si>
  <si>
    <t>Fecha Asignación a Línea Comunicaciones (DD/MM/AAAA)</t>
  </si>
  <si>
    <t>Fecha real de solución (DD/MM/AAAA)</t>
  </si>
  <si>
    <t>Fecha del cierre del ticket (DD/MM/AAAA)</t>
  </si>
  <si>
    <t>FECHA DE PROGRAMACIÓN
(DD/MM/AAAA)</t>
  </si>
  <si>
    <t>Fecha vencimiento del incidente</t>
  </si>
  <si>
    <t>TIEMPO DE SOLUCIÓN (DIAS)</t>
  </si>
  <si>
    <t>DENTRO DE LOS SLA</t>
  </si>
  <si>
    <t>CAUSAL</t>
  </si>
  <si>
    <t>TIPO DE ACTIVIDAD</t>
  </si>
  <si>
    <t>SOLICITUD</t>
  </si>
  <si>
    <t>DESCRIPCIÓN</t>
  </si>
  <si>
    <t>Forma de Atención</t>
  </si>
  <si>
    <t>Clase de envío</t>
  </si>
  <si>
    <t>DESCRIPCIÓN USD</t>
  </si>
  <si>
    <t>Llamada 1</t>
  </si>
  <si>
    <t>Llamada 2</t>
  </si>
  <si>
    <t>Llamada 3</t>
  </si>
  <si>
    <t>Documentación Analistas</t>
  </si>
  <si>
    <t xml:space="preserve">OBSERVACIÓN </t>
  </si>
  <si>
    <t>CANTIDAD DE ROLLOS</t>
  </si>
  <si>
    <t>RETROALIMENTACIÓN O.T.</t>
  </si>
  <si>
    <t>SERIAL / PLACA- GUIA</t>
  </si>
  <si>
    <t xml:space="preserve">LECTOR </t>
  </si>
  <si>
    <t xml:space="preserve">TERMINAL </t>
  </si>
  <si>
    <t>Técnico</t>
  </si>
  <si>
    <t>RESPONSABLE INCUMPLIMIENTO</t>
  </si>
  <si>
    <t>PORQUE</t>
  </si>
  <si>
    <t>Tipo</t>
  </si>
  <si>
    <t>Tipo de Trayecto</t>
  </si>
  <si>
    <t>Dias de visita</t>
  </si>
  <si>
    <t>SWITCH</t>
  </si>
  <si>
    <t>ACOMETIDA DATOS</t>
  </si>
  <si>
    <t>ACOMETIDA ELECTRICA</t>
  </si>
  <si>
    <t>VALOR ACTIVIDAD</t>
  </si>
  <si>
    <t>VALOR TOTAL</t>
  </si>
  <si>
    <t>CENTRO_COSTO</t>
  </si>
  <si>
    <t>DESCRIPCION</t>
  </si>
  <si>
    <t>Redeban Noroccidente (Medellín)</t>
  </si>
  <si>
    <t>Redeban Costa (Barranqullla)</t>
  </si>
  <si>
    <t>Redeban Centro ( Bogotá)</t>
  </si>
  <si>
    <t>Redeban Santander</t>
  </si>
  <si>
    <t>Redeban Suroccidente (Cali)</t>
  </si>
  <si>
    <t>Redeban Oriente (Otros)</t>
  </si>
  <si>
    <t>Redeban Eje Cafetero (Pereira)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</si>
</sst>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8" formatCode="&quot;$&quot;\ #,##0.00;[Red]\-&quot;$&quot;\ #,##0.00"/>
    <numFmt numFmtId="43" formatCode="_-* #,##0.00_-;\-* #,##0.00_-;_-* &quot;-&quot;??_-;_-@_-"/>
    <numFmt numFmtId="164" formatCode="_-* #,##0.00\ _€_-;\-* #,##0.00\ _€_-;_-* &quot;-&quot;??\ _€_-;_-@_-"/>
    <numFmt numFmtId="165" formatCode="_(&quot;$&quot;\ * #,##0.00_);_(&quot;$&quot;\ * \(#,##0.00\);_(&quot;$&quot;\ * &quot;-&quot;??_);_(@_)"/>
    <numFmt numFmtId="166" formatCode="_(* #,##0.00_);_(* \(#,##0.00\);_(* &quot;-&quot;??_);_(@_)"/>
    <numFmt numFmtId="167" formatCode="_-&quot;$&quot;* #,##0.00_-;\-&quot;$&quot;* #,##0.00_-;_-&quot;$&quot;* &quot;-&quot;??_-;_-@_-"/>
    <numFmt numFmtId="168" formatCode="[$-240A]dddd\,\ dd&quot; de &quot;mmmm&quot; de &quot;yyyy"/>
    <numFmt numFmtId="169" formatCode="[$-409]d\-m\-yy\ h:mm\ AM/PM;@"/>
    <numFmt numFmtId="170" formatCode="_ * #,##0.00_ ;_ * \-#,##0.00_ ;_ * &quot;-&quot;??_ ;_ @_ "/>
    <numFmt numFmtId="171" formatCode="_ &quot;$&quot;\ * #,##0_ ;_ &quot;$&quot;\ * \-#,##0_ ;_ &quot;$&quot;\ * &quot;-&quot;??_ ;_ @_ "/>
    <numFmt numFmtId="172" formatCode="_ [$€-2]\ * #,##0.00_ ;_ [$€-2]\ * \-#,##0.00_ ;_ [$€-2]\ * &quot;-&quot;??_ "/>
    <numFmt numFmtId="173" formatCode="[$-C0A]d\-mmm\-yy;@"/>
    <numFmt numFmtId="174" formatCode="[$-240A]General"/>
    <numFmt numFmtId="175" formatCode="0.000%"/>
    <numFmt numFmtId="176" formatCode="_ * #,##0.00_ ;_ * \-#,##0.00_ ;_ * \-??_ ;_ @_ "/>
    <numFmt numFmtId="177" formatCode="_ &quot;$&quot;\ * #,##0.00_ ;_ &quot;$&quot;\ * \-#,##0.00_ ;_ &quot;$&quot;\ * &quot;-&quot;??_ ;_ @_ "/>
    <numFmt numFmtId="178" formatCode="_-&quot;$&quot;* #,##0_-;\-&quot;$&quot;* #,##0_-;_-&quot;$&quot;* &quot;-&quot;??_-;_-@_-"/>
    <numFmt numFmtId="179" formatCode="_(&quot;$&quot;\ * #,##0_);_(&quot;$&quot;\ * \(#,##0\);_(&quot;$&quot;\ * &quot;-&quot;??_);_(@_)"/>
    <numFmt numFmtId="180" formatCode="dd/mm/yyyy;@"/>
    <numFmt numFmtId="181" formatCode="dd/mm/yyyy"/>
    <numFmt numFmtId="182" formatCode="_-[$$-240A]\ * #,##0_-;\-[$$-240A]\ * #,##0_-;_-[$$-240A]\ * &quot;-&quot;_-;_-@_-"/>
  </numFmts>
  <fonts count="86">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1"/>
      <color theme="10"/>
      <name val="Calibri"/>
      <family val="2"/>
      <scheme val="minor"/>
    </font>
    <font>
      <u/>
      <sz val="12.1"/>
      <color theme="10"/>
      <name val="Calibri"/>
      <family val="2"/>
    </font>
    <font>
      <sz val="11"/>
      <color indexed="20"/>
      <name val="Calibri"/>
      <family val="2"/>
    </font>
    <font>
      <sz val="12"/>
      <color theme="1"/>
      <name val="Trebuchet MS"/>
      <family val="2"/>
    </font>
    <font>
      <sz val="11"/>
      <color indexed="60"/>
      <name val="Calibri"/>
      <family val="2"/>
    </font>
    <font>
      <sz val="11"/>
      <color theme="1"/>
      <name val="ApexSansBookT"/>
      <family val="2"/>
    </font>
    <font>
      <sz val="10"/>
      <color indexed="64"/>
      <name val="Arial"/>
      <family val="2"/>
    </font>
    <font>
      <sz val="10"/>
      <color theme="1"/>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Apex"/>
      <family val="2"/>
    </font>
    <font>
      <sz val="8"/>
      <color theme="1"/>
      <name val="Century Gothic"/>
      <family val="2"/>
    </font>
    <font>
      <b/>
      <sz val="8"/>
      <color theme="1"/>
      <name val="Gelion Thin"/>
    </font>
    <font>
      <b/>
      <sz val="8"/>
      <name val="Gelion Thin"/>
    </font>
    <font>
      <sz val="8"/>
      <name val="Gelion Thin"/>
    </font>
    <font>
      <sz val="8"/>
      <color theme="1"/>
      <name val="Gelion Thin"/>
    </font>
    <font>
      <sz val="11"/>
      <color theme="1"/>
      <name val="Gelion Thin"/>
    </font>
    <font>
      <b/>
      <sz val="10"/>
      <name val="Gelion Thin"/>
    </font>
    <font>
      <sz val="10"/>
      <name val="Gelion Thin"/>
    </font>
    <font>
      <sz val="10"/>
      <color rgb="FF000000"/>
      <name val="Gelion Thin"/>
    </font>
    <font>
      <sz val="8"/>
      <color rgb="FF000000"/>
      <name val="Gelion Thin"/>
    </font>
    <font>
      <b/>
      <sz val="11"/>
      <color theme="1"/>
      <name val="Gelion Thin"/>
    </font>
    <font>
      <sz val="10"/>
      <name val="Century Gothic"/>
      <family val="2"/>
    </font>
    <font>
      <sz val="11"/>
      <color rgb="FF000000"/>
      <name val="Gelion Thin"/>
    </font>
    <font>
      <b/>
      <u/>
      <sz val="10"/>
      <name val="Gelion Thin"/>
    </font>
    <font>
      <b/>
      <sz val="10"/>
      <color rgb="FFC00000"/>
      <name val="Gelion Thin"/>
    </font>
    <font>
      <sz val="10"/>
      <color rgb="FFC00000"/>
      <name val="Gelion Thin"/>
    </font>
    <font>
      <sz val="10"/>
      <color theme="1"/>
      <name val="Gelion Thin"/>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00B0F0"/>
        <bgColor indexed="64"/>
      </patternFill>
    </fill>
    <fill>
      <patternFill patternType="solid">
        <fgColor theme="0"/>
        <bgColor indexed="64"/>
      </patternFill>
    </fill>
    <fill>
      <patternFill patternType="solid">
        <fgColor rgb="FF92D05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9126">
    <xf numFmtId="0" fontId="0" fillId="0" borderId="0"/>
    <xf numFmtId="0" fontId="3" fillId="0" borderId="0"/>
    <xf numFmtId="0" fontId="4" fillId="0" borderId="0"/>
    <xf numFmtId="43" fontId="3" fillId="0" borderId="0" applyFont="0" applyFill="0" applyBorder="0" applyAlignment="0" applyProtection="0"/>
    <xf numFmtId="0" fontId="5" fillId="0" borderId="0"/>
    <xf numFmtId="165" fontId="3" fillId="0" borderId="0" applyFont="0" applyFill="0" applyBorder="0" applyAlignment="0" applyProtection="0"/>
    <xf numFmtId="169" fontId="1" fillId="0" borderId="0"/>
    <xf numFmtId="0" fontId="1" fillId="0" borderId="0"/>
    <xf numFmtId="0" fontId="3" fillId="0" borderId="0"/>
    <xf numFmtId="170" fontId="3" fillId="0" borderId="0" applyFont="0" applyFill="0" applyBorder="0" applyAlignment="0" applyProtection="0"/>
    <xf numFmtId="0" fontId="1" fillId="0" borderId="0"/>
    <xf numFmtId="0" fontId="1" fillId="0" borderId="0"/>
    <xf numFmtId="169" fontId="1" fillId="0" borderId="0"/>
    <xf numFmtId="168" fontId="3" fillId="0" borderId="0"/>
    <xf numFmtId="0" fontId="1" fillId="0" borderId="0"/>
    <xf numFmtId="169" fontId="3" fillId="0" borderId="0"/>
    <xf numFmtId="0" fontId="3" fillId="0" borderId="0"/>
    <xf numFmtId="0" fontId="1" fillId="0" borderId="0"/>
    <xf numFmtId="0" fontId="6" fillId="0" borderId="0"/>
    <xf numFmtId="169" fontId="3" fillId="0" borderId="0"/>
    <xf numFmtId="0" fontId="6" fillId="0" borderId="0"/>
    <xf numFmtId="0" fontId="1" fillId="0" borderId="0"/>
    <xf numFmtId="0" fontId="3" fillId="0" borderId="0"/>
    <xf numFmtId="171" fontId="3" fillId="0" borderId="0" applyFont="0" applyFill="0" applyBorder="0" applyAlignment="0" applyProtection="0"/>
    <xf numFmtId="0" fontId="3" fillId="0" borderId="0"/>
    <xf numFmtId="165"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5" fillId="33" borderId="0" applyNumberFormat="0" applyBorder="0" applyAlignment="0" applyProtection="0"/>
    <xf numFmtId="0" fontId="1" fillId="10"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5" fillId="34" borderId="0" applyNumberFormat="0" applyBorder="0" applyAlignment="0" applyProtection="0"/>
    <xf numFmtId="0" fontId="1" fillId="1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5" fillId="35" borderId="0" applyNumberFormat="0" applyBorder="0" applyAlignment="0" applyProtection="0"/>
    <xf numFmtId="0" fontId="1" fillId="18"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5" fillId="36" borderId="0" applyNumberFormat="0" applyBorder="0" applyAlignment="0" applyProtection="0"/>
    <xf numFmtId="0" fontId="1" fillId="22"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5" fillId="37" borderId="0" applyNumberFormat="0" applyBorder="0" applyAlignment="0" applyProtection="0"/>
    <xf numFmtId="0" fontId="1" fillId="26"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5" fillId="38" borderId="0" applyNumberFormat="0" applyBorder="0" applyAlignment="0" applyProtection="0"/>
    <xf numFmtId="0" fontId="1" fillId="30"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5" fillId="45" borderId="0" applyNumberFormat="0" applyBorder="0" applyAlignment="0" applyProtection="0"/>
    <xf numFmtId="0" fontId="1" fillId="11"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5" fillId="46" borderId="0" applyNumberFormat="0" applyBorder="0" applyAlignment="0" applyProtection="0"/>
    <xf numFmtId="0" fontId="1" fillId="1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5" fillId="47" borderId="0" applyNumberFormat="0" applyBorder="0" applyAlignment="0" applyProtection="0"/>
    <xf numFmtId="0" fontId="1" fillId="19"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5" fillId="36" borderId="0" applyNumberFormat="0" applyBorder="0" applyAlignment="0" applyProtection="0"/>
    <xf numFmtId="0" fontId="1" fillId="23"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5" fillId="45" borderId="0" applyNumberFormat="0" applyBorder="0" applyAlignment="0" applyProtection="0"/>
    <xf numFmtId="0" fontId="1" fillId="27"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5" fillId="48" borderId="0" applyNumberFormat="0" applyBorder="0" applyAlignment="0" applyProtection="0"/>
    <xf numFmtId="0" fontId="1" fillId="31"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2" fillId="55" borderId="0" applyNumberFormat="0" applyBorder="0" applyAlignment="0" applyProtection="0"/>
    <xf numFmtId="0" fontId="20" fillId="12" borderId="0" applyNumberFormat="0" applyBorder="0" applyAlignment="0" applyProtection="0"/>
    <xf numFmtId="0" fontId="22" fillId="55" borderId="0" applyNumberFormat="0" applyBorder="0" applyAlignment="0" applyProtection="0"/>
    <xf numFmtId="0" fontId="22" fillId="55"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2" fillId="46" borderId="0" applyNumberFormat="0" applyBorder="0" applyAlignment="0" applyProtection="0"/>
    <xf numFmtId="0" fontId="20" fillId="16"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2" fillId="47" borderId="0" applyNumberFormat="0" applyBorder="0" applyAlignment="0" applyProtection="0"/>
    <xf numFmtId="0" fontId="20" fillId="20"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2" fillId="56" borderId="0" applyNumberFormat="0" applyBorder="0" applyAlignment="0" applyProtection="0"/>
    <xf numFmtId="0" fontId="20" fillId="24"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2" fillId="57" borderId="0" applyNumberFormat="0" applyBorder="0" applyAlignment="0" applyProtection="0"/>
    <xf numFmtId="0" fontId="20" fillId="28" borderId="0" applyNumberFormat="0" applyBorder="0" applyAlignment="0" applyProtection="0"/>
    <xf numFmtId="0" fontId="22" fillId="57" borderId="0" applyNumberFormat="0" applyBorder="0" applyAlignment="0" applyProtection="0"/>
    <xf numFmtId="0" fontId="22" fillId="57"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2" fillId="58" borderId="0" applyNumberFormat="0" applyBorder="0" applyAlignment="0" applyProtection="0"/>
    <xf numFmtId="0" fontId="20" fillId="32" borderId="0" applyNumberFormat="0" applyBorder="0" applyAlignment="0" applyProtection="0"/>
    <xf numFmtId="0" fontId="22" fillId="58" borderId="0" applyNumberFormat="0" applyBorder="0" applyAlignment="0" applyProtection="0"/>
    <xf numFmtId="0" fontId="22" fillId="5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3" fillId="59" borderId="0" applyNumberFormat="0" applyBorder="0" applyAlignment="0" applyProtection="0"/>
    <xf numFmtId="0" fontId="23" fillId="60" borderId="0" applyNumberFormat="0" applyBorder="0" applyAlignment="0" applyProtection="0"/>
    <xf numFmtId="0" fontId="23" fillId="61" borderId="0" applyNumberFormat="0" applyBorder="0" applyAlignment="0" applyProtection="0"/>
    <xf numFmtId="0" fontId="23" fillId="62" borderId="0" applyNumberFormat="0" applyBorder="0" applyAlignment="0" applyProtection="0"/>
    <xf numFmtId="0" fontId="23" fillId="63" borderId="0" applyNumberFormat="0" applyBorder="0" applyAlignment="0" applyProtection="0"/>
    <xf numFmtId="0" fontId="23" fillId="64"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25" fillId="65" borderId="11" applyNumberFormat="0" applyAlignment="0" applyProtection="0"/>
    <xf numFmtId="0" fontId="15" fillId="6" borderId="5" applyNumberFormat="0" applyAlignment="0" applyProtection="0"/>
    <xf numFmtId="0" fontId="25" fillId="65" borderId="11" applyNumberFormat="0" applyAlignment="0" applyProtection="0"/>
    <xf numFmtId="0" fontId="25" fillId="65" borderId="11"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26" fillId="66" borderId="12" applyNumberFormat="0" applyAlignment="0" applyProtection="0"/>
    <xf numFmtId="0" fontId="17" fillId="7" borderId="8" applyNumberFormat="0" applyAlignment="0" applyProtection="0"/>
    <xf numFmtId="0" fontId="26" fillId="66" borderId="12" applyNumberFormat="0" applyAlignment="0" applyProtection="0"/>
    <xf numFmtId="0" fontId="17" fillId="7" borderId="8" applyNumberFormat="0" applyAlignment="0" applyProtection="0"/>
    <xf numFmtId="0" fontId="26" fillId="66" borderId="12" applyNumberFormat="0" applyAlignment="0" applyProtection="0"/>
    <xf numFmtId="0" fontId="26" fillId="66" borderId="12" applyNumberFormat="0" applyAlignment="0" applyProtection="0"/>
    <xf numFmtId="0" fontId="26" fillId="66" borderId="12" applyNumberFormat="0" applyAlignment="0" applyProtection="0"/>
    <xf numFmtId="0" fontId="17" fillId="7" borderId="8" applyNumberFormat="0" applyAlignment="0" applyProtection="0"/>
    <xf numFmtId="0" fontId="17" fillId="7" borderId="8" applyNumberFormat="0" applyAlignment="0" applyProtection="0"/>
    <xf numFmtId="0" fontId="26" fillId="66" borderId="12" applyNumberFormat="0" applyAlignment="0" applyProtection="0"/>
    <xf numFmtId="0" fontId="26" fillId="66" borderId="12"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27" fillId="0" borderId="13"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166" fontId="3" fillId="0" borderId="0" applyFon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67" borderId="0" applyNumberFormat="0" applyBorder="0" applyAlignment="0" applyProtection="0"/>
    <xf numFmtId="0" fontId="20" fillId="9" borderId="0" applyNumberFormat="0" applyBorder="0" applyAlignment="0" applyProtection="0"/>
    <xf numFmtId="0" fontId="22" fillId="67" borderId="0" applyNumberFormat="0" applyBorder="0" applyAlignment="0" applyProtection="0"/>
    <xf numFmtId="0" fontId="22" fillId="67"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2" fillId="68" borderId="0" applyNumberFormat="0" applyBorder="0" applyAlignment="0" applyProtection="0"/>
    <xf numFmtId="0" fontId="20" fillId="13" borderId="0" applyNumberFormat="0" applyBorder="0" applyAlignment="0" applyProtection="0"/>
    <xf numFmtId="0" fontId="22" fillId="68" borderId="0" applyNumberFormat="0" applyBorder="0" applyAlignment="0" applyProtection="0"/>
    <xf numFmtId="0" fontId="22" fillId="68"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2" fillId="69" borderId="0" applyNumberFormat="0" applyBorder="0" applyAlignment="0" applyProtection="0"/>
    <xf numFmtId="0" fontId="20" fillId="17" borderId="0" applyNumberFormat="0" applyBorder="0" applyAlignment="0" applyProtection="0"/>
    <xf numFmtId="0" fontId="22" fillId="69" borderId="0" applyNumberFormat="0" applyBorder="0" applyAlignment="0" applyProtection="0"/>
    <xf numFmtId="0" fontId="22" fillId="69"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2" fillId="56" borderId="0" applyNumberFormat="0" applyBorder="0" applyAlignment="0" applyProtection="0"/>
    <xf numFmtId="0" fontId="20" fillId="21"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2" fillId="57" borderId="0" applyNumberFormat="0" applyBorder="0" applyAlignment="0" applyProtection="0"/>
    <xf numFmtId="0" fontId="20" fillId="25" borderId="0" applyNumberFormat="0" applyBorder="0" applyAlignment="0" applyProtection="0"/>
    <xf numFmtId="0" fontId="22" fillId="57" borderId="0" applyNumberFormat="0" applyBorder="0" applyAlignment="0" applyProtection="0"/>
    <xf numFmtId="0" fontId="22" fillId="57"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2" fillId="70" borderId="0" applyNumberFormat="0" applyBorder="0" applyAlignment="0" applyProtection="0"/>
    <xf numFmtId="0" fontId="20" fillId="29" borderId="0" applyNumberFormat="0" applyBorder="0" applyAlignment="0" applyProtection="0"/>
    <xf numFmtId="0" fontId="22" fillId="70" borderId="0" applyNumberFormat="0" applyBorder="0" applyAlignment="0" applyProtection="0"/>
    <xf numFmtId="0" fontId="22" fillId="70"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9" fillId="38" borderId="11" applyNumberFormat="0" applyAlignment="0" applyProtection="0"/>
    <xf numFmtId="0" fontId="13" fillId="5" borderId="5" applyNumberFormat="0" applyAlignment="0" applyProtection="0"/>
    <xf numFmtId="0" fontId="29" fillId="38" borderId="11" applyNumberFormat="0" applyAlignment="0" applyProtection="0"/>
    <xf numFmtId="0" fontId="13" fillId="5" borderId="5"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13" fillId="5" borderId="5" applyNumberFormat="0" applyAlignment="0" applyProtection="0"/>
    <xf numFmtId="0" fontId="13" fillId="5" borderId="5" applyNumberFormat="0" applyAlignment="0" applyProtection="0"/>
    <xf numFmtId="0" fontId="29" fillId="38" borderId="11" applyNumberFormat="0" applyAlignment="0" applyProtection="0"/>
    <xf numFmtId="0" fontId="29" fillId="38" borderId="11"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5" fillId="0" borderId="0"/>
    <xf numFmtId="173" fontId="5" fillId="0" borderId="0"/>
    <xf numFmtId="174" fontId="30"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1" fillId="0" borderId="0" applyNumberFormat="0" applyFill="0" applyBorder="0" applyAlignment="0" applyProtection="0">
      <alignment vertical="top"/>
      <protection locked="0"/>
    </xf>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xf numFmtId="0" fontId="32"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73" fontId="33" fillId="0" borderId="0" applyNumberFormat="0" applyFill="0" applyBorder="0" applyAlignment="0" applyProtection="0"/>
    <xf numFmtId="0" fontId="35" fillId="34" borderId="0" applyNumberFormat="0" applyBorder="0" applyAlignment="0" applyProtection="0"/>
    <xf numFmtId="0" fontId="12" fillId="3"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5"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6" fontId="3" fillId="0" borderId="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6" fontId="3" fillId="0" borderId="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5" fontId="3"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37" fillId="71" borderId="0" applyNumberFormat="0" applyBorder="0" applyAlignment="0" applyProtection="0"/>
    <xf numFmtId="0" fontId="37" fillId="71" borderId="0" applyNumberFormat="0" applyBorder="0" applyAlignment="0" applyProtection="0"/>
    <xf numFmtId="0" fontId="37" fillId="71"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169" fontId="3" fillId="0" borderId="0"/>
    <xf numFmtId="0" fontId="1" fillId="0" borderId="0"/>
    <xf numFmtId="0" fontId="3" fillId="0" borderId="0">
      <alignment vertical="top"/>
    </xf>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applyNumberFormat="0" applyFill="0" applyBorder="0" applyAlignment="0" applyProtection="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6"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69" fontId="3" fillId="0" borderId="0"/>
    <xf numFmtId="169" fontId="3" fillId="0" borderId="0"/>
    <xf numFmtId="169" fontId="3"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0" fontId="1"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0" fontId="3" fillId="0" borderId="0">
      <alignment vertical="top"/>
    </xf>
    <xf numFmtId="169" fontId="3" fillId="0" borderId="0"/>
    <xf numFmtId="173" fontId="1" fillId="0" borderId="0"/>
    <xf numFmtId="169" fontId="3" fillId="0" borderId="0"/>
    <xf numFmtId="173" fontId="1" fillId="0" borderId="0"/>
    <xf numFmtId="169"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0"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1"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3"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3"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0" fontId="1" fillId="0" borderId="0"/>
    <xf numFmtId="173" fontId="1"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alignment vertical="top"/>
    </xf>
    <xf numFmtId="0" fontId="3" fillId="0" borderId="0">
      <alignment vertical="top"/>
    </xf>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3"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0"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0" fontId="3" fillId="0" borderId="0"/>
    <xf numFmtId="173" fontId="3" fillId="0" borderId="0"/>
    <xf numFmtId="0" fontId="3" fillId="0" borderId="0"/>
    <xf numFmtId="0" fontId="3" fillId="0" borderId="0"/>
    <xf numFmtId="0" fontId="21" fillId="0" borderId="0"/>
    <xf numFmtId="173" fontId="36" fillId="0" borderId="0"/>
    <xf numFmtId="0" fontId="3" fillId="0" borderId="0"/>
    <xf numFmtId="0" fontId="3" fillId="0" borderId="0"/>
    <xf numFmtId="0" fontId="21" fillId="0" borderId="0"/>
    <xf numFmtId="173" fontId="36" fillId="0" borderId="0"/>
    <xf numFmtId="0" fontId="3" fillId="0" borderId="0"/>
    <xf numFmtId="0" fontId="3" fillId="0" borderId="0"/>
    <xf numFmtId="0" fontId="39" fillId="0" borderId="0"/>
    <xf numFmtId="0" fontId="21" fillId="0" borderId="0"/>
    <xf numFmtId="0" fontId="39" fillId="0" borderId="0"/>
    <xf numFmtId="0" fontId="39" fillId="0" borderId="0"/>
    <xf numFmtId="0" fontId="21" fillId="0" borderId="0"/>
    <xf numFmtId="173" fontId="36" fillId="0" borderId="0"/>
    <xf numFmtId="0" fontId="39" fillId="0" borderId="0"/>
    <xf numFmtId="0" fontId="21" fillId="0" borderId="0"/>
    <xf numFmtId="0" fontId="39" fillId="0" borderId="0"/>
    <xf numFmtId="0" fontId="3" fillId="0" borderId="0"/>
    <xf numFmtId="0" fontId="3" fillId="0" borderId="0"/>
    <xf numFmtId="0" fontId="21" fillId="0" borderId="0"/>
    <xf numFmtId="173" fontId="3" fillId="0" borderId="0"/>
    <xf numFmtId="0" fontId="3" fillId="0" borderId="0"/>
    <xf numFmtId="0" fontId="3" fillId="0" borderId="0"/>
    <xf numFmtId="0" fontId="21" fillId="0" borderId="0"/>
    <xf numFmtId="173" fontId="36" fillId="0" borderId="0"/>
    <xf numFmtId="0" fontId="3" fillId="0" borderId="0"/>
    <xf numFmtId="0" fontId="3" fillId="0" borderId="0"/>
    <xf numFmtId="0" fontId="39"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3" fillId="0" borderId="0"/>
    <xf numFmtId="0" fontId="21" fillId="0" borderId="0"/>
    <xf numFmtId="0" fontId="3" fillId="0" borderId="0"/>
    <xf numFmtId="0" fontId="21" fillId="0" borderId="0"/>
    <xf numFmtId="0" fontId="21" fillId="0" borderId="0"/>
    <xf numFmtId="0" fontId="3" fillId="0" borderId="0"/>
    <xf numFmtId="0" fontId="21" fillId="0" borderId="0"/>
    <xf numFmtId="0" fontId="3" fillId="0" borderId="0"/>
    <xf numFmtId="169" fontId="36" fillId="0" borderId="0"/>
    <xf numFmtId="0" fontId="3"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6" fillId="0" borderId="0"/>
    <xf numFmtId="0" fontId="36" fillId="0" borderId="0"/>
    <xf numFmtId="0" fontId="3" fillId="0" borderId="0"/>
    <xf numFmtId="169" fontId="36" fillId="0" borderId="0"/>
    <xf numFmtId="0" fontId="3" fillId="0" borderId="0"/>
    <xf numFmtId="0" fontId="21" fillId="0" borderId="0"/>
    <xf numFmtId="173" fontId="36" fillId="0" borderId="0"/>
    <xf numFmtId="0" fontId="21" fillId="0" borderId="0"/>
    <xf numFmtId="169" fontId="36" fillId="0" borderId="0"/>
    <xf numFmtId="0" fontId="21" fillId="0" borderId="0"/>
    <xf numFmtId="0" fontId="21" fillId="0" borderId="0"/>
    <xf numFmtId="0" fontId="21" fillId="0" borderId="0"/>
    <xf numFmtId="0" fontId="21" fillId="0" borderId="0"/>
    <xf numFmtId="0" fontId="3" fillId="0" borderId="0"/>
    <xf numFmtId="0" fontId="3" fillId="0" borderId="0"/>
    <xf numFmtId="173"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169" fontId="3" fillId="0" borderId="0"/>
    <xf numFmtId="173"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6" fillId="0" borderId="0"/>
    <xf numFmtId="0" fontId="3" fillId="0" borderId="0"/>
    <xf numFmtId="173" fontId="3" fillId="0" borderId="0"/>
    <xf numFmtId="0" fontId="21"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1" fillId="0" borderId="0"/>
    <xf numFmtId="169" fontId="1" fillId="0" borderId="0"/>
    <xf numFmtId="173" fontId="3" fillId="0" borderId="0"/>
    <xf numFmtId="0" fontId="39" fillId="0" borderId="0"/>
    <xf numFmtId="173" fontId="3" fillId="0" borderId="0"/>
    <xf numFmtId="173" fontId="3" fillId="0" borderId="0"/>
    <xf numFmtId="173" fontId="3" fillId="0" borderId="0"/>
    <xf numFmtId="173" fontId="3" fillId="0" borderId="0"/>
    <xf numFmtId="0" fontId="3" fillId="0" borderId="0"/>
    <xf numFmtId="173" fontId="36" fillId="0" borderId="0"/>
    <xf numFmtId="173" fontId="3" fillId="0" borderId="0"/>
    <xf numFmtId="0" fontId="3" fillId="0" borderId="0"/>
    <xf numFmtId="173" fontId="3" fillId="0" borderId="0"/>
    <xf numFmtId="0" fontId="21" fillId="0" borderId="0"/>
    <xf numFmtId="173" fontId="3" fillId="0" borderId="0"/>
    <xf numFmtId="0" fontId="39" fillId="0" borderId="0"/>
    <xf numFmtId="173" fontId="3" fillId="0" borderId="0"/>
    <xf numFmtId="0" fontId="39" fillId="0" borderId="0"/>
    <xf numFmtId="173" fontId="3" fillId="0" borderId="0"/>
    <xf numFmtId="173"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0"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0" fontId="3"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173" fontId="3" fillId="0" borderId="0"/>
    <xf numFmtId="0" fontId="3" fillId="0" borderId="0"/>
    <xf numFmtId="0" fontId="3" fillId="0" borderId="0"/>
    <xf numFmtId="169" fontId="3" fillId="0" borderId="0"/>
    <xf numFmtId="0" fontId="3" fillId="0" borderId="0"/>
    <xf numFmtId="169" fontId="3" fillId="0" borderId="0"/>
    <xf numFmtId="0" fontId="3" fillId="0" borderId="0" applyNumberFormat="0" applyFill="0" applyBorder="0" applyAlignment="0" applyProtection="0"/>
    <xf numFmtId="0" fontId="3" fillId="0" borderId="0"/>
    <xf numFmtId="0" fontId="3" fillId="0" borderId="0"/>
    <xf numFmtId="173" fontId="3" fillId="0" borderId="0"/>
    <xf numFmtId="0" fontId="3" fillId="0" borderId="0"/>
    <xf numFmtId="169" fontId="3" fillId="0" borderId="0"/>
    <xf numFmtId="0" fontId="3" fillId="0" borderId="0" applyNumberFormat="0" applyFill="0" applyBorder="0" applyAlignment="0" applyProtection="0"/>
    <xf numFmtId="0" fontId="3" fillId="0" borderId="0"/>
    <xf numFmtId="0" fontId="3" fillId="0" borderId="0"/>
    <xf numFmtId="0" fontId="3" fillId="0" borderId="0" applyNumberFormat="0" applyFill="0" applyBorder="0" applyAlignment="0" applyProtection="0"/>
    <xf numFmtId="0" fontId="3" fillId="0" borderId="0"/>
    <xf numFmtId="0" fontId="3" fillId="0" borderId="0"/>
    <xf numFmtId="173" fontId="3" fillId="0" borderId="0"/>
    <xf numFmtId="0" fontId="3" fillId="0" borderId="0"/>
    <xf numFmtId="0" fontId="38" fillId="0" borderId="0"/>
    <xf numFmtId="0" fontId="3" fillId="0" borderId="0"/>
    <xf numFmtId="0" fontId="3" fillId="0" borderId="0"/>
    <xf numFmtId="173" fontId="3" fillId="0" borderId="0"/>
    <xf numFmtId="0" fontId="3" fillId="0" borderId="0"/>
    <xf numFmtId="0" fontId="38" fillId="0" borderId="0"/>
    <xf numFmtId="173"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169"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4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3" fillId="0" borderId="0"/>
    <xf numFmtId="0" fontId="3" fillId="0" borderId="0"/>
    <xf numFmtId="0" fontId="41"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3" fillId="0" borderId="0"/>
    <xf numFmtId="0" fontId="3" fillId="0" borderId="0"/>
    <xf numFmtId="0" fontId="41" fillId="0" borderId="0"/>
    <xf numFmtId="0" fontId="3" fillId="0" borderId="0"/>
    <xf numFmtId="0" fontId="3" fillId="0" borderId="0"/>
    <xf numFmtId="0" fontId="41" fillId="0" borderId="0"/>
    <xf numFmtId="0" fontId="3" fillId="0" borderId="0"/>
    <xf numFmtId="0" fontId="3" fillId="0" borderId="0"/>
    <xf numFmtId="0" fontId="41" fillId="0" borderId="0"/>
    <xf numFmtId="0" fontId="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1" fillId="0" borderId="0"/>
    <xf numFmtId="0" fontId="3" fillId="0" borderId="0">
      <alignment vertical="top"/>
    </xf>
    <xf numFmtId="173" fontId="36" fillId="0" borderId="0"/>
    <xf numFmtId="0" fontId="3" fillId="0" borderId="0">
      <alignment vertical="top"/>
    </xf>
    <xf numFmtId="0" fontId="3"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alignment vertical="top"/>
    </xf>
    <xf numFmtId="169" fontId="3" fillId="0" borderId="0"/>
    <xf numFmtId="0" fontId="3" fillId="0" borderId="0">
      <alignment vertical="top"/>
    </xf>
    <xf numFmtId="173" fontId="36" fillId="0" borderId="0"/>
    <xf numFmtId="0" fontId="3" fillId="0" borderId="0"/>
    <xf numFmtId="0" fontId="3" fillId="0" borderId="0"/>
    <xf numFmtId="0" fontId="3"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alignment vertical="top"/>
    </xf>
    <xf numFmtId="0" fontId="3" fillId="0" borderId="0">
      <alignment vertical="top"/>
    </xf>
    <xf numFmtId="0" fontId="1" fillId="0" borderId="0"/>
    <xf numFmtId="0" fontId="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173" fontId="36"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173" fontId="3" fillId="0" borderId="0"/>
    <xf numFmtId="0" fontId="38" fillId="0" borderId="0"/>
    <xf numFmtId="0" fontId="1" fillId="0" borderId="0"/>
    <xf numFmtId="0" fontId="42" fillId="0" borderId="0"/>
    <xf numFmtId="0" fontId="38" fillId="0" borderId="0"/>
    <xf numFmtId="0" fontId="42" fillId="0" borderId="0"/>
    <xf numFmtId="169" fontId="1" fillId="0" borderId="0"/>
    <xf numFmtId="0" fontId="42" fillId="0" borderId="0"/>
    <xf numFmtId="0" fontId="38" fillId="0" borderId="0"/>
    <xf numFmtId="0" fontId="1" fillId="0" borderId="0"/>
    <xf numFmtId="0" fontId="1" fillId="0" borderId="0"/>
    <xf numFmtId="0" fontId="42" fillId="0" borderId="0"/>
    <xf numFmtId="0" fontId="38" fillId="0" borderId="0"/>
    <xf numFmtId="0" fontId="42" fillId="0" borderId="0"/>
    <xf numFmtId="0" fontId="42" fillId="0" borderId="0"/>
    <xf numFmtId="0" fontId="38" fillId="0" borderId="0"/>
    <xf numFmtId="0" fontId="42" fillId="0" borderId="0"/>
    <xf numFmtId="0" fontId="42" fillId="0" borderId="0"/>
    <xf numFmtId="0" fontId="38" fillId="0" borderId="0"/>
    <xf numFmtId="0" fontId="43" fillId="0" borderId="0"/>
    <xf numFmtId="0" fontId="38" fillId="0" borderId="0"/>
    <xf numFmtId="0" fontId="43" fillId="0" borderId="0"/>
    <xf numFmtId="0" fontId="38" fillId="0" borderId="0"/>
    <xf numFmtId="0" fontId="42" fillId="0" borderId="0"/>
    <xf numFmtId="0" fontId="4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9"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169" fontId="3" fillId="0" borderId="0"/>
    <xf numFmtId="173"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0" fontId="44" fillId="0" borderId="0"/>
    <xf numFmtId="0" fontId="1" fillId="0" borderId="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3"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1" fillId="0" borderId="0"/>
    <xf numFmtId="0" fontId="3" fillId="0" borderId="0"/>
    <xf numFmtId="0" fontId="1" fillId="0" borderId="0"/>
    <xf numFmtId="169" fontId="3" fillId="0" borderId="0"/>
    <xf numFmtId="169" fontId="3" fillId="0" borderId="0"/>
    <xf numFmtId="169" fontId="3" fillId="0" borderId="0"/>
    <xf numFmtId="0" fontId="1" fillId="0" borderId="0"/>
    <xf numFmtId="0" fontId="1" fillId="0" borderId="0"/>
    <xf numFmtId="169"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5" fillId="72" borderId="14" applyNumberFormat="0" applyFont="0" applyAlignment="0" applyProtection="0"/>
    <xf numFmtId="0" fontId="3" fillId="72" borderId="14" applyNumberFormat="0" applyFont="0" applyAlignment="0" applyProtection="0"/>
    <xf numFmtId="0" fontId="5" fillId="8" borderId="9" applyNumberFormat="0" applyFont="0" applyAlignment="0" applyProtection="0"/>
    <xf numFmtId="0" fontId="3" fillId="72" borderId="14" applyNumberFormat="0" applyFont="0" applyAlignment="0" applyProtection="0"/>
    <xf numFmtId="0" fontId="5"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0" borderId="0"/>
    <xf numFmtId="0" fontId="1" fillId="0" borderId="0"/>
    <xf numFmtId="0" fontId="1"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0" borderId="0"/>
    <xf numFmtId="0" fontId="1" fillId="0" borderId="0"/>
    <xf numFmtId="0" fontId="1" fillId="8" borderId="9" applyNumberFormat="0" applyFont="0" applyAlignment="0" applyProtection="0"/>
    <xf numFmtId="0" fontId="5"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0" fontId="1" fillId="0" borderId="0"/>
    <xf numFmtId="0" fontId="14" fillId="6" borderId="6"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4" fillId="6" borderId="6" applyNumberFormat="0" applyAlignment="0" applyProtection="0"/>
    <xf numFmtId="0" fontId="1" fillId="0" borderId="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 fillId="0" borderId="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 fillId="0" borderId="0"/>
    <xf numFmtId="0" fontId="45" fillId="65" borderId="15"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46" fillId="0" borderId="0"/>
    <xf numFmtId="0" fontId="46" fillId="0" borderId="0"/>
    <xf numFmtId="0" fontId="46" fillId="0" borderId="0"/>
    <xf numFmtId="0" fontId="1" fillId="0" borderId="0"/>
    <xf numFmtId="0" fontId="1" fillId="0" borderId="0"/>
    <xf numFmtId="0" fontId="46" fillId="0" borderId="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18" fillId="0" borderId="0" applyNumberFormat="0" applyFill="0" applyBorder="0" applyAlignment="0" applyProtection="0"/>
    <xf numFmtId="0" fontId="47" fillId="0" borderId="0" applyNumberFormat="0" applyFill="0" applyBorder="0" applyAlignment="0" applyProtection="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 fillId="0" borderId="0"/>
    <xf numFmtId="0" fontId="19"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9" fillId="0" borderId="0" applyNumberFormat="0" applyFill="0" applyBorder="0" applyAlignment="0" applyProtection="0"/>
    <xf numFmtId="0" fontId="1"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1" fillId="0" borderId="0"/>
    <xf numFmtId="0" fontId="8" fillId="0" borderId="2"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1" fillId="0" borderId="0"/>
    <xf numFmtId="0" fontId="9" fillId="0" borderId="3"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9" fillId="0" borderId="3" applyNumberFormat="0" applyFill="0" applyAlignment="0" applyProtection="0"/>
    <xf numFmtId="0" fontId="1" fillId="0" borderId="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1" fillId="0" borderId="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1" fillId="0" borderId="0"/>
    <xf numFmtId="0" fontId="50" fillId="0" borderId="17"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10" fillId="0" borderId="4"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0" fillId="0" borderId="4" applyNumberFormat="0" applyFill="0" applyAlignment="0" applyProtection="0"/>
    <xf numFmtId="0" fontId="1" fillId="0" borderId="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 fillId="0" borderId="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 fillId="0" borderId="0"/>
    <xf numFmtId="0" fontId="28" fillId="0" borderId="18"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7" fillId="0" borderId="0" applyNumberFormat="0" applyFill="0" applyBorder="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7" fillId="0" borderId="0" applyNumberFormat="0" applyFill="0" applyBorder="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1" fillId="0" borderId="0"/>
    <xf numFmtId="0" fontId="51"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2" fillId="0" borderId="10" applyNumberFormat="0" applyFill="0" applyAlignment="0" applyProtection="0"/>
    <xf numFmtId="0" fontId="2" fillId="0" borderId="10" applyNumberFormat="0" applyFill="0" applyAlignment="0" applyProtection="0"/>
    <xf numFmtId="0" fontId="1" fillId="0" borderId="0"/>
    <xf numFmtId="0" fontId="1" fillId="0" borderId="0"/>
    <xf numFmtId="0" fontId="2" fillId="0" borderId="10"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53" fillId="2" borderId="0" applyNumberFormat="0" applyBorder="0" applyAlignment="0" applyProtection="0"/>
    <xf numFmtId="0" fontId="54" fillId="3" borderId="0" applyNumberFormat="0" applyBorder="0" applyAlignment="0" applyProtection="0"/>
    <xf numFmtId="0" fontId="23" fillId="73" borderId="0" applyNumberFormat="0" applyBorder="0" applyAlignment="0" applyProtection="0"/>
    <xf numFmtId="0" fontId="23" fillId="74" borderId="0" applyNumberFormat="0" applyBorder="0" applyAlignment="0" applyProtection="0"/>
    <xf numFmtId="0" fontId="23" fillId="75" borderId="0" applyNumberFormat="0" applyBorder="0" applyAlignment="0" applyProtection="0"/>
    <xf numFmtId="0" fontId="23" fillId="76" borderId="0" applyNumberFormat="0" applyBorder="0" applyAlignment="0" applyProtection="0"/>
    <xf numFmtId="0" fontId="23" fillId="77" borderId="0" applyNumberFormat="0" applyBorder="0" applyAlignment="0" applyProtection="0"/>
    <xf numFmtId="0" fontId="23" fillId="78" borderId="0" applyNumberFormat="0" applyBorder="0" applyAlignment="0" applyProtection="0"/>
    <xf numFmtId="0" fontId="55" fillId="0" borderId="0" applyNumberFormat="0" applyFill="0" applyBorder="0" applyAlignment="0" applyProtection="0"/>
    <xf numFmtId="0" fontId="56" fillId="0" borderId="20" applyNumberFormat="0" applyFill="0" applyAlignment="0" applyProtection="0"/>
    <xf numFmtId="0" fontId="57" fillId="0" borderId="21" applyNumberFormat="0" applyFill="0" applyAlignment="0" applyProtection="0"/>
    <xf numFmtId="0" fontId="58" fillId="0" borderId="22" applyNumberFormat="0" applyFill="0" applyAlignment="0" applyProtection="0"/>
    <xf numFmtId="0" fontId="58" fillId="0" borderId="0" applyNumberFormat="0" applyFill="0" applyBorder="0" applyAlignment="0" applyProtection="0"/>
    <xf numFmtId="0" fontId="59" fillId="7" borderId="8" applyNumberFormat="0" applyAlignment="0" applyProtection="0"/>
    <xf numFmtId="0" fontId="60" fillId="0" borderId="23" applyNumberFormat="0" applyFill="0" applyAlignment="0" applyProtection="0"/>
    <xf numFmtId="0" fontId="21" fillId="8" borderId="9" applyNumberFormat="0" applyFon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6" borderId="5" applyNumberFormat="0" applyAlignment="0" applyProtection="0"/>
    <xf numFmtId="0" fontId="64" fillId="5" borderId="5" applyNumberFormat="0" applyAlignment="0" applyProtection="0"/>
    <xf numFmtId="0" fontId="65" fillId="6" borderId="6" applyNumberFormat="0" applyAlignment="0" applyProtection="0"/>
    <xf numFmtId="0" fontId="66" fillId="4" borderId="0" applyNumberFormat="0" applyBorder="0" applyAlignment="0" applyProtection="0"/>
    <xf numFmtId="0" fontId="67" fillId="0" borderId="7" applyNumberFormat="0" applyFill="0" applyAlignment="0" applyProtection="0"/>
    <xf numFmtId="0" fontId="68" fillId="0" borderId="0"/>
    <xf numFmtId="165" fontId="1" fillId="0" borderId="0" applyFont="0" applyFill="0" applyBorder="0" applyAlignment="0" applyProtection="0"/>
    <xf numFmtId="0" fontId="1" fillId="0" borderId="0"/>
    <xf numFmtId="43" fontId="1" fillId="0" borderId="0" applyFont="0" applyFill="0" applyBorder="0" applyAlignment="0" applyProtection="0"/>
  </cellStyleXfs>
  <cellXfs count="102">
    <xf numFmtId="0" fontId="0" fillId="0" borderId="0" xfId="0"/>
    <xf numFmtId="0" fontId="69" fillId="0" borderId="0" xfId="0" applyFont="1"/>
    <xf numFmtId="0" fontId="72" fillId="0" borderId="1" xfId="0" applyFont="1" applyBorder="1" applyAlignment="1">
      <alignment horizontal="left"/>
    </xf>
    <xf numFmtId="0" fontId="73" fillId="0" borderId="1" xfId="0" applyFont="1" applyBorder="1"/>
    <xf numFmtId="179" fontId="73" fillId="0" borderId="1" xfId="39123" applyNumberFormat="1" applyFont="1" applyBorder="1"/>
    <xf numFmtId="0" fontId="74" fillId="0" borderId="0" xfId="0" applyFont="1"/>
    <xf numFmtId="179" fontId="74" fillId="0" borderId="0" xfId="0" applyNumberFormat="1" applyFont="1"/>
    <xf numFmtId="0" fontId="73" fillId="0" borderId="1" xfId="0" applyFont="1" applyBorder="1" applyAlignment="1">
      <alignment horizontal="center" vertical="center"/>
    </xf>
    <xf numFmtId="0" fontId="79" fillId="0" borderId="1" xfId="39124" applyFont="1" applyBorder="1"/>
    <xf numFmtId="0" fontId="1" fillId="0" borderId="0" xfId="39124"/>
    <xf numFmtId="0" fontId="75" fillId="79" borderId="1" xfId="0" applyFont="1" applyFill="1" applyBorder="1" applyAlignment="1">
      <alignment horizontal="center" vertical="center"/>
    </xf>
    <xf numFmtId="0" fontId="75" fillId="79" borderId="1" xfId="0" applyFont="1" applyFill="1" applyBorder="1" applyAlignment="1">
      <alignment horizontal="center" vertical="center" wrapText="1"/>
    </xf>
    <xf numFmtId="22" fontId="73" fillId="0" borderId="1" xfId="0" applyNumberFormat="1" applyFont="1" applyBorder="1" applyAlignment="1">
      <alignment horizontal="center" vertical="center"/>
    </xf>
    <xf numFmtId="1" fontId="73" fillId="0" borderId="1" xfId="0" applyNumberFormat="1" applyFont="1" applyBorder="1" applyAlignment="1">
      <alignment horizontal="center" vertical="center"/>
    </xf>
    <xf numFmtId="179" fontId="73" fillId="0" borderId="1" xfId="39123" applyNumberFormat="1" applyFont="1" applyBorder="1" applyAlignment="1">
      <alignment horizontal="center" vertical="center"/>
    </xf>
    <xf numFmtId="179" fontId="74" fillId="0" borderId="0" xfId="39123" applyNumberFormat="1" applyFont="1"/>
    <xf numFmtId="165" fontId="71" fillId="79" borderId="1" xfId="2144" applyFont="1" applyFill="1" applyBorder="1" applyAlignment="1">
      <alignment horizontal="center" vertical="center"/>
    </xf>
    <xf numFmtId="0" fontId="78" fillId="0" borderId="1" xfId="0" applyFont="1" applyBorder="1" applyAlignment="1">
      <alignment vertical="center"/>
    </xf>
    <xf numFmtId="0" fontId="3" fillId="0" borderId="0" xfId="0" applyFont="1"/>
    <xf numFmtId="0" fontId="80" fillId="0" borderId="0" xfId="0" applyFont="1"/>
    <xf numFmtId="8" fontId="74" fillId="0" borderId="0" xfId="0" applyNumberFormat="1" applyFont="1"/>
    <xf numFmtId="178" fontId="73" fillId="0" borderId="1" xfId="5" applyNumberFormat="1" applyFont="1" applyBorder="1" applyAlignment="1">
      <alignment horizontal="center" vertical="center"/>
    </xf>
    <xf numFmtId="0" fontId="71" fillId="80" borderId="1" xfId="16867" applyFont="1" applyFill="1" applyBorder="1" applyAlignment="1">
      <alignment horizontal="center" vertical="center" wrapText="1"/>
    </xf>
    <xf numFmtId="0" fontId="70" fillId="80" borderId="1" xfId="0" applyFont="1" applyFill="1" applyBorder="1" applyAlignment="1" applyProtection="1">
      <alignment horizontal="center" vertical="center" wrapText="1"/>
      <protection locked="0"/>
    </xf>
    <xf numFmtId="22" fontId="71" fillId="80" borderId="1" xfId="16867" applyNumberFormat="1" applyFont="1" applyFill="1" applyBorder="1" applyAlignment="1">
      <alignment horizontal="center" vertical="center" wrapText="1"/>
    </xf>
    <xf numFmtId="0" fontId="70" fillId="80" borderId="1" xfId="16867" applyFont="1" applyFill="1" applyBorder="1" applyAlignment="1">
      <alignment horizontal="center" vertical="center" wrapText="1"/>
    </xf>
    <xf numFmtId="165" fontId="71" fillId="80" borderId="1" xfId="5" applyFont="1" applyFill="1" applyBorder="1" applyAlignment="1" applyProtection="1">
      <alignment horizontal="left" vertical="center" wrapText="1"/>
      <protection locked="0"/>
    </xf>
    <xf numFmtId="0" fontId="81" fillId="0" borderId="1" xfId="0" applyFont="1" applyBorder="1"/>
    <xf numFmtId="0" fontId="81" fillId="0" borderId="32" xfId="0" applyFont="1" applyBorder="1"/>
    <xf numFmtId="0" fontId="81" fillId="0" borderId="35" xfId="0" applyFont="1" applyBorder="1"/>
    <xf numFmtId="0" fontId="81" fillId="0" borderId="36" xfId="0" applyFont="1" applyBorder="1"/>
    <xf numFmtId="0" fontId="0" fillId="0" borderId="0" xfId="0" pivotButton="1"/>
    <xf numFmtId="182" fontId="0" fillId="0" borderId="0" xfId="0" applyNumberFormat="1"/>
    <xf numFmtId="0" fontId="0" fillId="0" borderId="0" xfId="0" applyAlignment="1">
      <alignment horizontal="center"/>
    </xf>
    <xf numFmtId="10" fontId="74" fillId="82" borderId="0" xfId="0" applyNumberFormat="1" applyFont="1" applyFill="1" applyAlignment="1">
      <alignment horizontal="center" vertical="center"/>
    </xf>
    <xf numFmtId="0" fontId="77" fillId="0" borderId="1" xfId="0" applyFont="1" applyBorder="1" applyAlignment="1">
      <alignment horizontal="left" vertical="center"/>
    </xf>
    <xf numFmtId="179" fontId="76" fillId="0" borderId="1" xfId="2144" applyNumberFormat="1" applyFont="1" applyFill="1" applyBorder="1" applyAlignment="1">
      <alignment vertical="center"/>
    </xf>
    <xf numFmtId="179" fontId="73" fillId="0" borderId="1" xfId="2144" applyNumberFormat="1" applyFont="1" applyFill="1" applyBorder="1" applyAlignment="1">
      <alignment horizontal="center" vertical="center"/>
    </xf>
    <xf numFmtId="0" fontId="75" fillId="79" borderId="24" xfId="0" applyFont="1" applyFill="1" applyBorder="1" applyAlignment="1">
      <alignment horizontal="center" vertical="center" wrapText="1"/>
    </xf>
    <xf numFmtId="0" fontId="75" fillId="79" borderId="25" xfId="0" applyFont="1" applyFill="1" applyBorder="1" applyAlignment="1">
      <alignment horizontal="center" vertical="center" wrapText="1"/>
    </xf>
    <xf numFmtId="17" fontId="77" fillId="0" borderId="26" xfId="0" applyNumberFormat="1" applyFont="1" applyBorder="1" applyAlignment="1">
      <alignment vertical="center" wrapText="1"/>
    </xf>
    <xf numFmtId="0" fontId="77" fillId="0" borderId="27" xfId="0" applyFont="1" applyBorder="1" applyAlignment="1">
      <alignment vertical="center" wrapText="1"/>
    </xf>
    <xf numFmtId="0" fontId="77" fillId="0" borderId="27" xfId="0" applyFont="1" applyBorder="1" applyAlignment="1">
      <alignment horizontal="center" vertical="center" wrapText="1"/>
    </xf>
    <xf numFmtId="178" fontId="77" fillId="0" borderId="27" xfId="0" applyNumberFormat="1" applyFont="1" applyBorder="1" applyAlignment="1">
      <alignment vertical="center" wrapText="1"/>
    </xf>
    <xf numFmtId="0" fontId="82" fillId="79" borderId="27" xfId="0" applyFont="1" applyFill="1" applyBorder="1" applyAlignment="1">
      <alignment vertical="center" wrapText="1"/>
    </xf>
    <xf numFmtId="0" fontId="82" fillId="79" borderId="27" xfId="0" applyFont="1" applyFill="1" applyBorder="1" applyAlignment="1">
      <alignment horizontal="center" vertical="center" wrapText="1"/>
    </xf>
    <xf numFmtId="178" fontId="82" fillId="79" borderId="27" xfId="0" applyNumberFormat="1" applyFont="1" applyFill="1" applyBorder="1" applyAlignment="1">
      <alignment vertical="center" wrapText="1"/>
    </xf>
    <xf numFmtId="178" fontId="75" fillId="79" borderId="27" xfId="0" applyNumberFormat="1" applyFont="1" applyFill="1" applyBorder="1" applyAlignment="1">
      <alignment vertical="center" wrapText="1"/>
    </xf>
    <xf numFmtId="0" fontId="84" fillId="0" borderId="0" xfId="0" applyFont="1"/>
    <xf numFmtId="14" fontId="84" fillId="0" borderId="0" xfId="0" applyNumberFormat="1" applyFont="1"/>
    <xf numFmtId="0" fontId="84" fillId="0" borderId="0" xfId="0" applyFont="1" applyAlignment="1">
      <alignment horizontal="center"/>
    </xf>
    <xf numFmtId="179" fontId="83" fillId="0" borderId="35" xfId="0" applyNumberFormat="1" applyFont="1" applyBorder="1"/>
    <xf numFmtId="10" fontId="0" fillId="0" borderId="0" xfId="0" applyNumberFormat="1"/>
    <xf numFmtId="179" fontId="69" fillId="0" borderId="0" xfId="39123" applyNumberFormat="1" applyFont="1"/>
    <xf numFmtId="0" fontId="76" fillId="0" borderId="0" xfId="0" applyFont="1"/>
    <xf numFmtId="0" fontId="75" fillId="80" borderId="1" xfId="0" applyFont="1" applyFill="1" applyBorder="1" applyAlignment="1" applyProtection="1">
      <alignment horizontal="center" vertical="center" wrapText="1"/>
      <protection locked="0"/>
    </xf>
    <xf numFmtId="14" fontId="75" fillId="80" borderId="33" xfId="0" applyNumberFormat="1" applyFont="1" applyFill="1" applyBorder="1" applyAlignment="1" applyProtection="1">
      <alignment horizontal="center" vertical="center" wrapText="1"/>
      <protection locked="0"/>
    </xf>
    <xf numFmtId="168" fontId="75" fillId="80" borderId="1" xfId="0" applyNumberFormat="1" applyFont="1" applyFill="1" applyBorder="1" applyAlignment="1">
      <alignment horizontal="center" vertical="center" wrapText="1"/>
    </xf>
    <xf numFmtId="168" fontId="75" fillId="80" borderId="1" xfId="0" applyNumberFormat="1" applyFont="1" applyFill="1" applyBorder="1" applyAlignment="1" applyProtection="1">
      <alignment horizontal="center" vertical="center" wrapText="1"/>
      <protection locked="0"/>
    </xf>
    <xf numFmtId="0" fontId="75" fillId="80" borderId="1" xfId="16867" applyFont="1" applyFill="1" applyBorder="1" applyAlignment="1">
      <alignment horizontal="center" vertical="center" wrapText="1"/>
    </xf>
    <xf numFmtId="0" fontId="75" fillId="80" borderId="33" xfId="16867" applyFont="1" applyFill="1" applyBorder="1" applyAlignment="1">
      <alignment horizontal="center" vertical="center" wrapText="1"/>
    </xf>
    <xf numFmtId="165" fontId="75" fillId="80" borderId="33" xfId="39123" applyFont="1" applyFill="1" applyBorder="1" applyAlignment="1">
      <alignment horizontal="center" vertical="center" wrapText="1"/>
    </xf>
    <xf numFmtId="0" fontId="75" fillId="0" borderId="0" xfId="0" applyFont="1"/>
    <xf numFmtId="178" fontId="69" fillId="0" borderId="0" xfId="0" applyNumberFormat="1" applyFont="1"/>
    <xf numFmtId="0" fontId="76" fillId="0" borderId="33" xfId="0" applyFont="1" applyBorder="1" applyAlignment="1">
      <alignment horizontal="left"/>
    </xf>
    <xf numFmtId="0" fontId="76" fillId="0" borderId="1" xfId="0" applyFont="1" applyBorder="1" applyAlignment="1">
      <alignment horizontal="center"/>
    </xf>
    <xf numFmtId="0" fontId="76" fillId="0" borderId="1" xfId="0" applyFont="1" applyBorder="1" applyAlignment="1">
      <alignment horizontal="left"/>
    </xf>
    <xf numFmtId="0" fontId="76" fillId="0" borderId="33" xfId="0" applyFont="1" applyBorder="1" applyAlignment="1" applyProtection="1">
      <alignment horizontal="left"/>
      <protection locked="0"/>
    </xf>
    <xf numFmtId="1" fontId="76" fillId="0" borderId="33" xfId="0" applyNumberFormat="1" applyFont="1" applyBorder="1" applyAlignment="1">
      <alignment horizontal="left"/>
    </xf>
    <xf numFmtId="0" fontId="76" fillId="0" borderId="34" xfId="0" applyFont="1" applyBorder="1" applyAlignment="1" applyProtection="1">
      <alignment horizontal="left"/>
      <protection locked="0"/>
    </xf>
    <xf numFmtId="0" fontId="85" fillId="0" borderId="33" xfId="0" applyFont="1" applyBorder="1" applyAlignment="1" applyProtection="1">
      <alignment horizontal="left" vertical="center"/>
      <protection locked="0"/>
    </xf>
    <xf numFmtId="0" fontId="76" fillId="81" borderId="33" xfId="0" applyFont="1" applyFill="1" applyBorder="1" applyAlignment="1" applyProtection="1">
      <alignment horizontal="left"/>
      <protection locked="0"/>
    </xf>
    <xf numFmtId="0" fontId="85" fillId="0" borderId="1" xfId="0" applyFont="1" applyBorder="1"/>
    <xf numFmtId="180" fontId="76" fillId="0" borderId="33" xfId="0" applyNumberFormat="1" applyFont="1" applyBorder="1" applyAlignment="1" applyProtection="1">
      <alignment horizontal="left" vertical="center"/>
      <protection locked="0"/>
    </xf>
    <xf numFmtId="14" fontId="76" fillId="0" borderId="33" xfId="0" applyNumberFormat="1" applyFont="1" applyBorder="1" applyAlignment="1" applyProtection="1">
      <alignment horizontal="left" vertical="center"/>
      <protection locked="0"/>
    </xf>
    <xf numFmtId="181" fontId="85" fillId="0" borderId="1" xfId="0" applyNumberFormat="1" applyFont="1" applyBorder="1" applyAlignment="1" applyProtection="1">
      <alignment horizontal="left" vertical="center"/>
      <protection locked="0"/>
    </xf>
    <xf numFmtId="0" fontId="85" fillId="0" borderId="1" xfId="0" applyFont="1" applyBorder="1" applyAlignment="1" applyProtection="1">
      <alignment horizontal="left" vertical="center"/>
      <protection locked="0"/>
    </xf>
    <xf numFmtId="0" fontId="76" fillId="0" borderId="1" xfId="0" applyFont="1" applyBorder="1" applyAlignment="1" applyProtection="1">
      <alignment horizontal="left"/>
      <protection locked="0"/>
    </xf>
    <xf numFmtId="14" fontId="85" fillId="0" borderId="33" xfId="0" applyNumberFormat="1" applyFont="1" applyBorder="1" applyAlignment="1" applyProtection="1">
      <alignment horizontal="left" vertical="center"/>
      <protection locked="0"/>
    </xf>
    <xf numFmtId="0" fontId="76" fillId="0" borderId="33" xfId="39125" applyNumberFormat="1" applyFont="1" applyBorder="1" applyAlignment="1">
      <alignment horizontal="left"/>
    </xf>
    <xf numFmtId="179" fontId="76" fillId="0" borderId="1" xfId="0" applyNumberFormat="1" applyFont="1" applyBorder="1"/>
    <xf numFmtId="0" fontId="76" fillId="81" borderId="33" xfId="0" applyFont="1" applyFill="1" applyBorder="1" applyAlignment="1">
      <alignment horizontal="left"/>
    </xf>
    <xf numFmtId="14" fontId="85" fillId="0" borderId="1" xfId="0" applyNumberFormat="1" applyFont="1" applyBorder="1" applyAlignment="1" applyProtection="1">
      <alignment horizontal="left" vertical="center"/>
      <protection locked="0"/>
    </xf>
    <xf numFmtId="0" fontId="76" fillId="0" borderId="1" xfId="0" applyFont="1" applyBorder="1" applyAlignment="1" applyProtection="1">
      <alignment horizontal="left" vertical="center"/>
      <protection locked="0"/>
    </xf>
    <xf numFmtId="1" fontId="76" fillId="0" borderId="1" xfId="0" applyNumberFormat="1" applyFont="1" applyBorder="1" applyAlignment="1">
      <alignment horizontal="left"/>
    </xf>
    <xf numFmtId="0" fontId="76" fillId="0" borderId="32" xfId="0" applyFont="1" applyBorder="1" applyAlignment="1" applyProtection="1">
      <alignment horizontal="left"/>
      <protection locked="0"/>
    </xf>
    <xf numFmtId="0" fontId="76" fillId="81" borderId="1" xfId="0" applyFont="1" applyFill="1" applyBorder="1" applyAlignment="1" applyProtection="1">
      <alignment horizontal="left"/>
      <protection locked="0"/>
    </xf>
    <xf numFmtId="180" fontId="76" fillId="0" borderId="1" xfId="0" applyNumberFormat="1" applyFont="1" applyBorder="1" applyAlignment="1" applyProtection="1">
      <alignment horizontal="left" vertical="center"/>
      <protection locked="0"/>
    </xf>
    <xf numFmtId="14" fontId="76" fillId="0" borderId="1" xfId="0" applyNumberFormat="1" applyFont="1" applyBorder="1" applyAlignment="1" applyProtection="1">
      <alignment horizontal="left" vertical="center"/>
      <protection locked="0"/>
    </xf>
    <xf numFmtId="0" fontId="76" fillId="0" borderId="1" xfId="39125" applyNumberFormat="1" applyFont="1" applyBorder="1" applyAlignment="1">
      <alignment horizontal="left"/>
    </xf>
    <xf numFmtId="0" fontId="75" fillId="80" borderId="1" xfId="0" applyFont="1" applyFill="1" applyBorder="1" applyAlignment="1">
      <alignment horizontal="center" vertical="center" wrapText="1"/>
    </xf>
    <xf numFmtId="17" fontId="82" fillId="79" borderId="30" xfId="0" applyNumberFormat="1" applyFont="1" applyFill="1" applyBorder="1" applyAlignment="1">
      <alignment horizontal="center" vertical="center" wrapText="1"/>
    </xf>
    <xf numFmtId="17" fontId="82" fillId="79" borderId="31" xfId="0" applyNumberFormat="1" applyFont="1" applyFill="1" applyBorder="1" applyAlignment="1">
      <alignment horizontal="center" vertical="center" wrapText="1"/>
    </xf>
    <xf numFmtId="17" fontId="82" fillId="79" borderId="25" xfId="0" applyNumberFormat="1" applyFont="1" applyFill="1" applyBorder="1" applyAlignment="1">
      <alignment horizontal="center" vertical="center" wrapText="1"/>
    </xf>
    <xf numFmtId="0" fontId="75" fillId="79" borderId="1" xfId="0" applyFont="1" applyFill="1" applyBorder="1" applyAlignment="1">
      <alignment horizontal="center" vertical="center"/>
    </xf>
    <xf numFmtId="0" fontId="77" fillId="0" borderId="28" xfId="0" applyFont="1" applyBorder="1" applyAlignment="1">
      <alignment horizontal="left" vertical="center"/>
    </xf>
    <xf numFmtId="0" fontId="77" fillId="0" borderId="29" xfId="0" applyFont="1" applyBorder="1" applyAlignment="1">
      <alignment horizontal="left" vertical="center"/>
    </xf>
    <xf numFmtId="0" fontId="77" fillId="0" borderId="32" xfId="0" applyFont="1" applyBorder="1" applyAlignment="1">
      <alignment horizontal="left" vertical="center"/>
    </xf>
    <xf numFmtId="0" fontId="75" fillId="79" borderId="1" xfId="0" applyFont="1" applyFill="1" applyBorder="1" applyAlignment="1">
      <alignment horizontal="center"/>
    </xf>
    <xf numFmtId="0" fontId="78" fillId="0" borderId="28" xfId="0" applyFont="1" applyBorder="1" applyAlignment="1">
      <alignment horizontal="left" vertical="center" wrapText="1"/>
    </xf>
    <xf numFmtId="0" fontId="78" fillId="0" borderId="29" xfId="0" applyFont="1" applyBorder="1" applyAlignment="1">
      <alignment horizontal="left" vertical="center" wrapText="1"/>
    </xf>
    <xf numFmtId="0" fontId="78" fillId="0" borderId="32" xfId="0" applyFont="1" applyBorder="1" applyAlignment="1">
      <alignment horizontal="left" vertical="center" wrapText="1"/>
    </xf>
  </cellXfs>
  <cellStyles count="39126">
    <cellStyle name="20% - Accent1" xfId="26" xr:uid="{00000000-0005-0000-0000-000000000000}"/>
    <cellStyle name="20% - Accent1 2" xfId="27" xr:uid="{00000000-0005-0000-0000-000001000000}"/>
    <cellStyle name="20% - Accent1 3" xfId="28" xr:uid="{00000000-0005-0000-0000-000002000000}"/>
    <cellStyle name="20% - Accent1 4" xfId="29" xr:uid="{00000000-0005-0000-0000-000003000000}"/>
    <cellStyle name="20% - Accent1 5" xfId="30" xr:uid="{00000000-0005-0000-0000-000004000000}"/>
    <cellStyle name="20% - Accent2" xfId="31" xr:uid="{00000000-0005-0000-0000-000005000000}"/>
    <cellStyle name="20% - Accent2 2" xfId="32" xr:uid="{00000000-0005-0000-0000-000006000000}"/>
    <cellStyle name="20% - Accent2 3" xfId="33" xr:uid="{00000000-0005-0000-0000-000007000000}"/>
    <cellStyle name="20% - Accent2 4" xfId="34" xr:uid="{00000000-0005-0000-0000-000008000000}"/>
    <cellStyle name="20% - Accent2 5" xfId="35" xr:uid="{00000000-0005-0000-0000-000009000000}"/>
    <cellStyle name="20% - Accent3" xfId="36" xr:uid="{00000000-0005-0000-0000-00000A000000}"/>
    <cellStyle name="20% - Accent3 2" xfId="37" xr:uid="{00000000-0005-0000-0000-00000B000000}"/>
    <cellStyle name="20% - Accent3 3" xfId="38" xr:uid="{00000000-0005-0000-0000-00000C000000}"/>
    <cellStyle name="20% - Accent3 4" xfId="39" xr:uid="{00000000-0005-0000-0000-00000D000000}"/>
    <cellStyle name="20% - Accent3 5" xfId="40" xr:uid="{00000000-0005-0000-0000-00000E000000}"/>
    <cellStyle name="20% - Accent4" xfId="41" xr:uid="{00000000-0005-0000-0000-00000F000000}"/>
    <cellStyle name="20% - Accent4 2" xfId="42" xr:uid="{00000000-0005-0000-0000-000010000000}"/>
    <cellStyle name="20% - Accent4 3" xfId="43" xr:uid="{00000000-0005-0000-0000-000011000000}"/>
    <cellStyle name="20% - Accent4 4" xfId="44" xr:uid="{00000000-0005-0000-0000-000012000000}"/>
    <cellStyle name="20% - Accent4 5" xfId="45" xr:uid="{00000000-0005-0000-0000-000013000000}"/>
    <cellStyle name="20% - Accent5" xfId="46" xr:uid="{00000000-0005-0000-0000-000014000000}"/>
    <cellStyle name="20% - Accent5 2" xfId="47" xr:uid="{00000000-0005-0000-0000-000015000000}"/>
    <cellStyle name="20% - Accent5 3" xfId="48" xr:uid="{00000000-0005-0000-0000-000016000000}"/>
    <cellStyle name="20% - Accent5 4" xfId="49" xr:uid="{00000000-0005-0000-0000-000017000000}"/>
    <cellStyle name="20% - Accent5 5" xfId="50" xr:uid="{00000000-0005-0000-0000-000018000000}"/>
    <cellStyle name="20% - Accent6" xfId="51" xr:uid="{00000000-0005-0000-0000-000019000000}"/>
    <cellStyle name="20% - Accent6 2" xfId="52" xr:uid="{00000000-0005-0000-0000-00001A000000}"/>
    <cellStyle name="20% - Accent6 3" xfId="53" xr:uid="{00000000-0005-0000-0000-00001B000000}"/>
    <cellStyle name="20% - Accent6 4" xfId="54" xr:uid="{00000000-0005-0000-0000-00001C000000}"/>
    <cellStyle name="20% - Accent6 5" xfId="55" xr:uid="{00000000-0005-0000-0000-00001D000000}"/>
    <cellStyle name="20% - Énfasis1 2" xfId="56" xr:uid="{00000000-0005-0000-0000-00001E000000}"/>
    <cellStyle name="20% - Énfasis1 2 2" xfId="57" xr:uid="{00000000-0005-0000-0000-00001F000000}"/>
    <cellStyle name="20% - Énfasis1 3" xfId="58" xr:uid="{00000000-0005-0000-0000-000020000000}"/>
    <cellStyle name="20% - Énfasis1 4" xfId="59" xr:uid="{00000000-0005-0000-0000-000021000000}"/>
    <cellStyle name="20% - Énfasis1 5" xfId="60" xr:uid="{00000000-0005-0000-0000-000022000000}"/>
    <cellStyle name="20% - Énfasis1 6" xfId="61" xr:uid="{00000000-0005-0000-0000-000023000000}"/>
    <cellStyle name="20% - Énfasis1 7" xfId="62" xr:uid="{00000000-0005-0000-0000-000024000000}"/>
    <cellStyle name="20% - Énfasis1 8" xfId="63" xr:uid="{00000000-0005-0000-0000-000025000000}"/>
    <cellStyle name="20% - Énfasis2 2" xfId="64" xr:uid="{00000000-0005-0000-0000-000026000000}"/>
    <cellStyle name="20% - Énfasis2 2 2" xfId="65" xr:uid="{00000000-0005-0000-0000-000027000000}"/>
    <cellStyle name="20% - Énfasis2 3" xfId="66" xr:uid="{00000000-0005-0000-0000-000028000000}"/>
    <cellStyle name="20% - Énfasis2 4" xfId="67" xr:uid="{00000000-0005-0000-0000-000029000000}"/>
    <cellStyle name="20% - Énfasis2 5" xfId="68" xr:uid="{00000000-0005-0000-0000-00002A000000}"/>
    <cellStyle name="20% - Énfasis2 6" xfId="69" xr:uid="{00000000-0005-0000-0000-00002B000000}"/>
    <cellStyle name="20% - Énfasis2 7" xfId="70" xr:uid="{00000000-0005-0000-0000-00002C000000}"/>
    <cellStyle name="20% - Énfasis2 8" xfId="71" xr:uid="{00000000-0005-0000-0000-00002D000000}"/>
    <cellStyle name="20% - Énfasis3 2" xfId="72" xr:uid="{00000000-0005-0000-0000-00002E000000}"/>
    <cellStyle name="20% - Énfasis3 2 2" xfId="73" xr:uid="{00000000-0005-0000-0000-00002F000000}"/>
    <cellStyle name="20% - Énfasis3 3" xfId="74" xr:uid="{00000000-0005-0000-0000-000030000000}"/>
    <cellStyle name="20% - Énfasis3 4" xfId="75" xr:uid="{00000000-0005-0000-0000-000031000000}"/>
    <cellStyle name="20% - Énfasis3 5" xfId="76" xr:uid="{00000000-0005-0000-0000-000032000000}"/>
    <cellStyle name="20% - Énfasis3 6" xfId="77" xr:uid="{00000000-0005-0000-0000-000033000000}"/>
    <cellStyle name="20% - Énfasis3 7" xfId="78" xr:uid="{00000000-0005-0000-0000-000034000000}"/>
    <cellStyle name="20% - Énfasis3 8" xfId="79" xr:uid="{00000000-0005-0000-0000-000035000000}"/>
    <cellStyle name="20% - Énfasis4 2" xfId="80" xr:uid="{00000000-0005-0000-0000-000036000000}"/>
    <cellStyle name="20% - Énfasis4 2 2" xfId="81" xr:uid="{00000000-0005-0000-0000-000037000000}"/>
    <cellStyle name="20% - Énfasis4 3" xfId="82" xr:uid="{00000000-0005-0000-0000-000038000000}"/>
    <cellStyle name="20% - Énfasis4 4" xfId="83" xr:uid="{00000000-0005-0000-0000-000039000000}"/>
    <cellStyle name="20% - Énfasis4 5" xfId="84" xr:uid="{00000000-0005-0000-0000-00003A000000}"/>
    <cellStyle name="20% - Énfasis4 6" xfId="85" xr:uid="{00000000-0005-0000-0000-00003B000000}"/>
    <cellStyle name="20% - Énfasis4 7" xfId="86" xr:uid="{00000000-0005-0000-0000-00003C000000}"/>
    <cellStyle name="20% - Énfasis4 8" xfId="87" xr:uid="{00000000-0005-0000-0000-00003D000000}"/>
    <cellStyle name="20% - Énfasis5 2" xfId="88" xr:uid="{00000000-0005-0000-0000-00003E000000}"/>
    <cellStyle name="20% - Énfasis5 2 2" xfId="89" xr:uid="{00000000-0005-0000-0000-00003F000000}"/>
    <cellStyle name="20% - Énfasis5 3" xfId="90" xr:uid="{00000000-0005-0000-0000-000040000000}"/>
    <cellStyle name="20% - Énfasis5 4" xfId="91" xr:uid="{00000000-0005-0000-0000-000041000000}"/>
    <cellStyle name="20% - Énfasis5 5" xfId="92" xr:uid="{00000000-0005-0000-0000-000042000000}"/>
    <cellStyle name="20% - Énfasis5 6" xfId="93" xr:uid="{00000000-0005-0000-0000-000043000000}"/>
    <cellStyle name="20% - Énfasis5 7" xfId="94" xr:uid="{00000000-0005-0000-0000-000044000000}"/>
    <cellStyle name="20% - Énfasis5 8" xfId="95" xr:uid="{00000000-0005-0000-0000-000045000000}"/>
    <cellStyle name="20% - Énfasis6 2" xfId="96" xr:uid="{00000000-0005-0000-0000-000046000000}"/>
    <cellStyle name="20% - Énfasis6 2 2" xfId="97" xr:uid="{00000000-0005-0000-0000-000047000000}"/>
    <cellStyle name="20% - Énfasis6 3" xfId="98" xr:uid="{00000000-0005-0000-0000-000048000000}"/>
    <cellStyle name="20% - Énfasis6 4" xfId="99" xr:uid="{00000000-0005-0000-0000-000049000000}"/>
    <cellStyle name="20% - Énfasis6 5" xfId="100" xr:uid="{00000000-0005-0000-0000-00004A000000}"/>
    <cellStyle name="20% - Énfasis6 6" xfId="101" xr:uid="{00000000-0005-0000-0000-00004B000000}"/>
    <cellStyle name="20% - Énfasis6 7" xfId="102" xr:uid="{00000000-0005-0000-0000-00004C000000}"/>
    <cellStyle name="20% - Énfasis6 8" xfId="103" xr:uid="{00000000-0005-0000-0000-00004D000000}"/>
    <cellStyle name="20% - 强调文字颜色 1" xfId="104" xr:uid="{00000000-0005-0000-0000-00004E000000}"/>
    <cellStyle name="20% - 强调文字颜色 2" xfId="105" xr:uid="{00000000-0005-0000-0000-00004F000000}"/>
    <cellStyle name="20% - 强调文字颜色 3" xfId="106" xr:uid="{00000000-0005-0000-0000-000050000000}"/>
    <cellStyle name="20% - 强调文字颜色 4" xfId="107" xr:uid="{00000000-0005-0000-0000-000051000000}"/>
    <cellStyle name="20% - 强调文字颜色 5" xfId="108" xr:uid="{00000000-0005-0000-0000-000052000000}"/>
    <cellStyle name="20% - 强调文字颜色 6" xfId="109" xr:uid="{00000000-0005-0000-0000-000053000000}"/>
    <cellStyle name="40% - Accent1" xfId="110" xr:uid="{00000000-0005-0000-0000-000054000000}"/>
    <cellStyle name="40% - Accent1 2" xfId="111" xr:uid="{00000000-0005-0000-0000-000055000000}"/>
    <cellStyle name="40% - Accent1 3" xfId="112" xr:uid="{00000000-0005-0000-0000-000056000000}"/>
    <cellStyle name="40% - Accent1 4" xfId="113" xr:uid="{00000000-0005-0000-0000-000057000000}"/>
    <cellStyle name="40% - Accent1 5" xfId="114" xr:uid="{00000000-0005-0000-0000-000058000000}"/>
    <cellStyle name="40% - Accent2" xfId="115" xr:uid="{00000000-0005-0000-0000-000059000000}"/>
    <cellStyle name="40% - Accent2 2" xfId="116" xr:uid="{00000000-0005-0000-0000-00005A000000}"/>
    <cellStyle name="40% - Accent2 3" xfId="117" xr:uid="{00000000-0005-0000-0000-00005B000000}"/>
    <cellStyle name="40% - Accent2 4" xfId="118" xr:uid="{00000000-0005-0000-0000-00005C000000}"/>
    <cellStyle name="40% - Accent2 5" xfId="119" xr:uid="{00000000-0005-0000-0000-00005D000000}"/>
    <cellStyle name="40% - Accent3" xfId="120" xr:uid="{00000000-0005-0000-0000-00005E000000}"/>
    <cellStyle name="40% - Accent3 2" xfId="121" xr:uid="{00000000-0005-0000-0000-00005F000000}"/>
    <cellStyle name="40% - Accent3 3" xfId="122" xr:uid="{00000000-0005-0000-0000-000060000000}"/>
    <cellStyle name="40% - Accent3 4" xfId="123" xr:uid="{00000000-0005-0000-0000-000061000000}"/>
    <cellStyle name="40% - Accent3 5" xfId="124" xr:uid="{00000000-0005-0000-0000-000062000000}"/>
    <cellStyle name="40% - Accent4" xfId="125" xr:uid="{00000000-0005-0000-0000-000063000000}"/>
    <cellStyle name="40% - Accent4 2" xfId="126" xr:uid="{00000000-0005-0000-0000-000064000000}"/>
    <cellStyle name="40% - Accent4 3" xfId="127" xr:uid="{00000000-0005-0000-0000-000065000000}"/>
    <cellStyle name="40% - Accent4 4" xfId="128" xr:uid="{00000000-0005-0000-0000-000066000000}"/>
    <cellStyle name="40% - Accent4 5" xfId="129" xr:uid="{00000000-0005-0000-0000-000067000000}"/>
    <cellStyle name="40% - Accent5" xfId="130" xr:uid="{00000000-0005-0000-0000-000068000000}"/>
    <cellStyle name="40% - Accent5 2" xfId="131" xr:uid="{00000000-0005-0000-0000-000069000000}"/>
    <cellStyle name="40% - Accent5 3" xfId="132" xr:uid="{00000000-0005-0000-0000-00006A000000}"/>
    <cellStyle name="40% - Accent5 4" xfId="133" xr:uid="{00000000-0005-0000-0000-00006B000000}"/>
    <cellStyle name="40% - Accent5 5" xfId="134" xr:uid="{00000000-0005-0000-0000-00006C000000}"/>
    <cellStyle name="40% - Accent6" xfId="135" xr:uid="{00000000-0005-0000-0000-00006D000000}"/>
    <cellStyle name="40% - Accent6 2" xfId="136" xr:uid="{00000000-0005-0000-0000-00006E000000}"/>
    <cellStyle name="40% - Accent6 3" xfId="137" xr:uid="{00000000-0005-0000-0000-00006F000000}"/>
    <cellStyle name="40% - Accent6 4" xfId="138" xr:uid="{00000000-0005-0000-0000-000070000000}"/>
    <cellStyle name="40% - Accent6 5" xfId="139" xr:uid="{00000000-0005-0000-0000-000071000000}"/>
    <cellStyle name="40% - Énfasis1 2" xfId="140" xr:uid="{00000000-0005-0000-0000-000072000000}"/>
    <cellStyle name="40% - Énfasis1 2 2" xfId="141" xr:uid="{00000000-0005-0000-0000-000073000000}"/>
    <cellStyle name="40% - Énfasis1 3" xfId="142" xr:uid="{00000000-0005-0000-0000-000074000000}"/>
    <cellStyle name="40% - Énfasis1 4" xfId="143" xr:uid="{00000000-0005-0000-0000-000075000000}"/>
    <cellStyle name="40% - Énfasis1 5" xfId="144" xr:uid="{00000000-0005-0000-0000-000076000000}"/>
    <cellStyle name="40% - Énfasis1 6" xfId="145" xr:uid="{00000000-0005-0000-0000-000077000000}"/>
    <cellStyle name="40% - Énfasis1 7" xfId="146" xr:uid="{00000000-0005-0000-0000-000078000000}"/>
    <cellStyle name="40% - Énfasis1 8" xfId="147" xr:uid="{00000000-0005-0000-0000-000079000000}"/>
    <cellStyle name="40% - Énfasis2 2" xfId="148" xr:uid="{00000000-0005-0000-0000-00007A000000}"/>
    <cellStyle name="40% - Énfasis2 2 2" xfId="149" xr:uid="{00000000-0005-0000-0000-00007B000000}"/>
    <cellStyle name="40% - Énfasis2 3" xfId="150" xr:uid="{00000000-0005-0000-0000-00007C000000}"/>
    <cellStyle name="40% - Énfasis2 4" xfId="151" xr:uid="{00000000-0005-0000-0000-00007D000000}"/>
    <cellStyle name="40% - Énfasis2 5" xfId="152" xr:uid="{00000000-0005-0000-0000-00007E000000}"/>
    <cellStyle name="40% - Énfasis2 6" xfId="153" xr:uid="{00000000-0005-0000-0000-00007F000000}"/>
    <cellStyle name="40% - Énfasis2 7" xfId="154" xr:uid="{00000000-0005-0000-0000-000080000000}"/>
    <cellStyle name="40% - Énfasis2 8" xfId="155" xr:uid="{00000000-0005-0000-0000-000081000000}"/>
    <cellStyle name="40% - Énfasis3 2" xfId="156" xr:uid="{00000000-0005-0000-0000-000082000000}"/>
    <cellStyle name="40% - Énfasis3 2 2" xfId="157" xr:uid="{00000000-0005-0000-0000-000083000000}"/>
    <cellStyle name="40% - Énfasis3 3" xfId="158" xr:uid="{00000000-0005-0000-0000-000084000000}"/>
    <cellStyle name="40% - Énfasis3 4" xfId="159" xr:uid="{00000000-0005-0000-0000-000085000000}"/>
    <cellStyle name="40% - Énfasis3 5" xfId="160" xr:uid="{00000000-0005-0000-0000-000086000000}"/>
    <cellStyle name="40% - Énfasis3 6" xfId="161" xr:uid="{00000000-0005-0000-0000-000087000000}"/>
    <cellStyle name="40% - Énfasis3 7" xfId="162" xr:uid="{00000000-0005-0000-0000-000088000000}"/>
    <cellStyle name="40% - Énfasis3 8" xfId="163" xr:uid="{00000000-0005-0000-0000-000089000000}"/>
    <cellStyle name="40% - Énfasis4 2" xfId="164" xr:uid="{00000000-0005-0000-0000-00008A000000}"/>
    <cellStyle name="40% - Énfasis4 2 2" xfId="165" xr:uid="{00000000-0005-0000-0000-00008B000000}"/>
    <cellStyle name="40% - Énfasis4 3" xfId="166" xr:uid="{00000000-0005-0000-0000-00008C000000}"/>
    <cellStyle name="40% - Énfasis4 4" xfId="167" xr:uid="{00000000-0005-0000-0000-00008D000000}"/>
    <cellStyle name="40% - Énfasis4 5" xfId="168" xr:uid="{00000000-0005-0000-0000-00008E000000}"/>
    <cellStyle name="40% - Énfasis4 6" xfId="169" xr:uid="{00000000-0005-0000-0000-00008F000000}"/>
    <cellStyle name="40% - Énfasis4 7" xfId="170" xr:uid="{00000000-0005-0000-0000-000090000000}"/>
    <cellStyle name="40% - Énfasis4 8" xfId="171" xr:uid="{00000000-0005-0000-0000-000091000000}"/>
    <cellStyle name="40% - Énfasis5 2" xfId="172" xr:uid="{00000000-0005-0000-0000-000092000000}"/>
    <cellStyle name="40% - Énfasis5 2 2" xfId="173" xr:uid="{00000000-0005-0000-0000-000093000000}"/>
    <cellStyle name="40% - Énfasis5 3" xfId="174" xr:uid="{00000000-0005-0000-0000-000094000000}"/>
    <cellStyle name="40% - Énfasis5 4" xfId="175" xr:uid="{00000000-0005-0000-0000-000095000000}"/>
    <cellStyle name="40% - Énfasis5 5" xfId="176" xr:uid="{00000000-0005-0000-0000-000096000000}"/>
    <cellStyle name="40% - Énfasis5 6" xfId="177" xr:uid="{00000000-0005-0000-0000-000097000000}"/>
    <cellStyle name="40% - Énfasis5 7" xfId="178" xr:uid="{00000000-0005-0000-0000-000098000000}"/>
    <cellStyle name="40% - Énfasis5 8" xfId="179" xr:uid="{00000000-0005-0000-0000-000099000000}"/>
    <cellStyle name="40% - Énfasis6 2" xfId="180" xr:uid="{00000000-0005-0000-0000-00009A000000}"/>
    <cellStyle name="40% - Énfasis6 2 2" xfId="181" xr:uid="{00000000-0005-0000-0000-00009B000000}"/>
    <cellStyle name="40% - Énfasis6 3" xfId="182" xr:uid="{00000000-0005-0000-0000-00009C000000}"/>
    <cellStyle name="40% - Énfasis6 4" xfId="183" xr:uid="{00000000-0005-0000-0000-00009D000000}"/>
    <cellStyle name="40% - Énfasis6 5" xfId="184" xr:uid="{00000000-0005-0000-0000-00009E000000}"/>
    <cellStyle name="40% - Énfasis6 6" xfId="185" xr:uid="{00000000-0005-0000-0000-00009F000000}"/>
    <cellStyle name="40% - Énfasis6 7" xfId="186" xr:uid="{00000000-0005-0000-0000-0000A0000000}"/>
    <cellStyle name="40% - Énfasis6 8" xfId="187" xr:uid="{00000000-0005-0000-0000-0000A1000000}"/>
    <cellStyle name="40% - 强调文字颜色 1" xfId="188" xr:uid="{00000000-0005-0000-0000-0000A2000000}"/>
    <cellStyle name="40% - 强调文字颜色 2" xfId="189" xr:uid="{00000000-0005-0000-0000-0000A3000000}"/>
    <cellStyle name="40% - 强调文字颜色 3" xfId="190" xr:uid="{00000000-0005-0000-0000-0000A4000000}"/>
    <cellStyle name="40% - 强调文字颜色 4" xfId="191" xr:uid="{00000000-0005-0000-0000-0000A5000000}"/>
    <cellStyle name="40% - 强调文字颜色 5" xfId="192" xr:uid="{00000000-0005-0000-0000-0000A6000000}"/>
    <cellStyle name="40% - 强调文字颜色 6" xfId="193" xr:uid="{00000000-0005-0000-0000-0000A7000000}"/>
    <cellStyle name="60% - Accent1" xfId="194" xr:uid="{00000000-0005-0000-0000-0000A8000000}"/>
    <cellStyle name="60% - Accent1 2" xfId="195" xr:uid="{00000000-0005-0000-0000-0000A9000000}"/>
    <cellStyle name="60% - Accent1 3" xfId="196" xr:uid="{00000000-0005-0000-0000-0000AA000000}"/>
    <cellStyle name="60% - Accent1 4" xfId="197" xr:uid="{00000000-0005-0000-0000-0000AB000000}"/>
    <cellStyle name="60% - Accent1 5" xfId="198" xr:uid="{00000000-0005-0000-0000-0000AC000000}"/>
    <cellStyle name="60% - Accent2" xfId="199" xr:uid="{00000000-0005-0000-0000-0000AD000000}"/>
    <cellStyle name="60% - Accent2 2" xfId="200" xr:uid="{00000000-0005-0000-0000-0000AE000000}"/>
    <cellStyle name="60% - Accent2 3" xfId="201" xr:uid="{00000000-0005-0000-0000-0000AF000000}"/>
    <cellStyle name="60% - Accent2 4" xfId="202" xr:uid="{00000000-0005-0000-0000-0000B0000000}"/>
    <cellStyle name="60% - Accent2 5" xfId="203" xr:uid="{00000000-0005-0000-0000-0000B1000000}"/>
    <cellStyle name="60% - Accent3" xfId="204" xr:uid="{00000000-0005-0000-0000-0000B2000000}"/>
    <cellStyle name="60% - Accent3 2" xfId="205" xr:uid="{00000000-0005-0000-0000-0000B3000000}"/>
    <cellStyle name="60% - Accent3 3" xfId="206" xr:uid="{00000000-0005-0000-0000-0000B4000000}"/>
    <cellStyle name="60% - Accent3 4" xfId="207" xr:uid="{00000000-0005-0000-0000-0000B5000000}"/>
    <cellStyle name="60% - Accent3 5" xfId="208" xr:uid="{00000000-0005-0000-0000-0000B6000000}"/>
    <cellStyle name="60% - Accent4" xfId="209" xr:uid="{00000000-0005-0000-0000-0000B7000000}"/>
    <cellStyle name="60% - Accent4 2" xfId="210" xr:uid="{00000000-0005-0000-0000-0000B8000000}"/>
    <cellStyle name="60% - Accent4 3" xfId="211" xr:uid="{00000000-0005-0000-0000-0000B9000000}"/>
    <cellStyle name="60% - Accent4 4" xfId="212" xr:uid="{00000000-0005-0000-0000-0000BA000000}"/>
    <cellStyle name="60% - Accent4 5" xfId="213" xr:uid="{00000000-0005-0000-0000-0000BB000000}"/>
    <cellStyle name="60% - Accent5" xfId="214" xr:uid="{00000000-0005-0000-0000-0000BC000000}"/>
    <cellStyle name="60% - Accent5 2" xfId="215" xr:uid="{00000000-0005-0000-0000-0000BD000000}"/>
    <cellStyle name="60% - Accent5 3" xfId="216" xr:uid="{00000000-0005-0000-0000-0000BE000000}"/>
    <cellStyle name="60% - Accent5 4" xfId="217" xr:uid="{00000000-0005-0000-0000-0000BF000000}"/>
    <cellStyle name="60% - Accent5 5" xfId="218" xr:uid="{00000000-0005-0000-0000-0000C0000000}"/>
    <cellStyle name="60% - Accent6" xfId="219" xr:uid="{00000000-0005-0000-0000-0000C1000000}"/>
    <cellStyle name="60% - Accent6 2" xfId="220" xr:uid="{00000000-0005-0000-0000-0000C2000000}"/>
    <cellStyle name="60% - Accent6 3" xfId="221" xr:uid="{00000000-0005-0000-0000-0000C3000000}"/>
    <cellStyle name="60% - Accent6 4" xfId="222" xr:uid="{00000000-0005-0000-0000-0000C4000000}"/>
    <cellStyle name="60% - Accent6 5" xfId="223" xr:uid="{00000000-0005-0000-0000-0000C5000000}"/>
    <cellStyle name="60% - Énfasis1 2" xfId="224" xr:uid="{00000000-0005-0000-0000-0000C6000000}"/>
    <cellStyle name="60% - Énfasis1 2 2" xfId="225" xr:uid="{00000000-0005-0000-0000-0000C7000000}"/>
    <cellStyle name="60% - Énfasis1 3" xfId="226" xr:uid="{00000000-0005-0000-0000-0000C8000000}"/>
    <cellStyle name="60% - Énfasis1 4" xfId="227" xr:uid="{00000000-0005-0000-0000-0000C9000000}"/>
    <cellStyle name="60% - Énfasis1 5" xfId="228" xr:uid="{00000000-0005-0000-0000-0000CA000000}"/>
    <cellStyle name="60% - Énfasis1 6" xfId="229" xr:uid="{00000000-0005-0000-0000-0000CB000000}"/>
    <cellStyle name="60% - Énfasis1 7" xfId="230" xr:uid="{00000000-0005-0000-0000-0000CC000000}"/>
    <cellStyle name="60% - Énfasis1 8" xfId="231" xr:uid="{00000000-0005-0000-0000-0000CD000000}"/>
    <cellStyle name="60% - Énfasis2 2" xfId="232" xr:uid="{00000000-0005-0000-0000-0000CE000000}"/>
    <cellStyle name="60% - Énfasis2 2 2" xfId="233" xr:uid="{00000000-0005-0000-0000-0000CF000000}"/>
    <cellStyle name="60% - Énfasis2 3" xfId="234" xr:uid="{00000000-0005-0000-0000-0000D0000000}"/>
    <cellStyle name="60% - Énfasis2 4" xfId="235" xr:uid="{00000000-0005-0000-0000-0000D1000000}"/>
    <cellStyle name="60% - Énfasis2 5" xfId="236" xr:uid="{00000000-0005-0000-0000-0000D2000000}"/>
    <cellStyle name="60% - Énfasis2 6" xfId="237" xr:uid="{00000000-0005-0000-0000-0000D3000000}"/>
    <cellStyle name="60% - Énfasis2 7" xfId="238" xr:uid="{00000000-0005-0000-0000-0000D4000000}"/>
    <cellStyle name="60% - Énfasis2 8" xfId="239" xr:uid="{00000000-0005-0000-0000-0000D5000000}"/>
    <cellStyle name="60% - Énfasis3 2" xfId="240" xr:uid="{00000000-0005-0000-0000-0000D6000000}"/>
    <cellStyle name="60% - Énfasis3 2 2" xfId="241" xr:uid="{00000000-0005-0000-0000-0000D7000000}"/>
    <cellStyle name="60% - Énfasis3 3" xfId="242" xr:uid="{00000000-0005-0000-0000-0000D8000000}"/>
    <cellStyle name="60% - Énfasis3 4" xfId="243" xr:uid="{00000000-0005-0000-0000-0000D9000000}"/>
    <cellStyle name="60% - Énfasis3 5" xfId="244" xr:uid="{00000000-0005-0000-0000-0000DA000000}"/>
    <cellStyle name="60% - Énfasis3 6" xfId="245" xr:uid="{00000000-0005-0000-0000-0000DB000000}"/>
    <cellStyle name="60% - Énfasis3 7" xfId="246" xr:uid="{00000000-0005-0000-0000-0000DC000000}"/>
    <cellStyle name="60% - Énfasis3 8" xfId="247" xr:uid="{00000000-0005-0000-0000-0000DD000000}"/>
    <cellStyle name="60% - Énfasis4 2" xfId="248" xr:uid="{00000000-0005-0000-0000-0000DE000000}"/>
    <cellStyle name="60% - Énfasis4 2 2" xfId="249" xr:uid="{00000000-0005-0000-0000-0000DF000000}"/>
    <cellStyle name="60% - Énfasis4 3" xfId="250" xr:uid="{00000000-0005-0000-0000-0000E0000000}"/>
    <cellStyle name="60% - Énfasis4 4" xfId="251" xr:uid="{00000000-0005-0000-0000-0000E1000000}"/>
    <cellStyle name="60% - Énfasis4 5" xfId="252" xr:uid="{00000000-0005-0000-0000-0000E2000000}"/>
    <cellStyle name="60% - Énfasis4 6" xfId="253" xr:uid="{00000000-0005-0000-0000-0000E3000000}"/>
    <cellStyle name="60% - Énfasis4 7" xfId="254" xr:uid="{00000000-0005-0000-0000-0000E4000000}"/>
    <cellStyle name="60% - Énfasis4 8" xfId="255" xr:uid="{00000000-0005-0000-0000-0000E5000000}"/>
    <cellStyle name="60% - Énfasis5 2" xfId="256" xr:uid="{00000000-0005-0000-0000-0000E6000000}"/>
    <cellStyle name="60% - Énfasis5 2 2" xfId="257" xr:uid="{00000000-0005-0000-0000-0000E7000000}"/>
    <cellStyle name="60% - Énfasis5 3" xfId="258" xr:uid="{00000000-0005-0000-0000-0000E8000000}"/>
    <cellStyle name="60% - Énfasis5 4" xfId="259" xr:uid="{00000000-0005-0000-0000-0000E9000000}"/>
    <cellStyle name="60% - Énfasis5 5" xfId="260" xr:uid="{00000000-0005-0000-0000-0000EA000000}"/>
    <cellStyle name="60% - Énfasis5 6" xfId="261" xr:uid="{00000000-0005-0000-0000-0000EB000000}"/>
    <cellStyle name="60% - Énfasis5 7" xfId="262" xr:uid="{00000000-0005-0000-0000-0000EC000000}"/>
    <cellStyle name="60% - Énfasis5 8" xfId="263" xr:uid="{00000000-0005-0000-0000-0000ED000000}"/>
    <cellStyle name="60% - Énfasis6 2" xfId="264" xr:uid="{00000000-0005-0000-0000-0000EE000000}"/>
    <cellStyle name="60% - Énfasis6 2 2" xfId="265" xr:uid="{00000000-0005-0000-0000-0000EF000000}"/>
    <cellStyle name="60% - Énfasis6 3" xfId="266" xr:uid="{00000000-0005-0000-0000-0000F0000000}"/>
    <cellStyle name="60% - Énfasis6 4" xfId="267" xr:uid="{00000000-0005-0000-0000-0000F1000000}"/>
    <cellStyle name="60% - Énfasis6 5" xfId="268" xr:uid="{00000000-0005-0000-0000-0000F2000000}"/>
    <cellStyle name="60% - Énfasis6 6" xfId="269" xr:uid="{00000000-0005-0000-0000-0000F3000000}"/>
    <cellStyle name="60% - Énfasis6 7" xfId="270" xr:uid="{00000000-0005-0000-0000-0000F4000000}"/>
    <cellStyle name="60% - Énfasis6 8" xfId="271" xr:uid="{00000000-0005-0000-0000-0000F5000000}"/>
    <cellStyle name="60% - 强调文字颜色 1" xfId="272" xr:uid="{00000000-0005-0000-0000-0000F6000000}"/>
    <cellStyle name="60% - 强调文字颜色 2" xfId="273" xr:uid="{00000000-0005-0000-0000-0000F7000000}"/>
    <cellStyle name="60% - 强调文字颜色 3" xfId="274" xr:uid="{00000000-0005-0000-0000-0000F8000000}"/>
    <cellStyle name="60% - 强调文字颜色 4" xfId="275" xr:uid="{00000000-0005-0000-0000-0000F9000000}"/>
    <cellStyle name="60% - 强调文字颜色 5" xfId="276" xr:uid="{00000000-0005-0000-0000-0000FA000000}"/>
    <cellStyle name="60% - 强调文字颜色 6" xfId="277" xr:uid="{00000000-0005-0000-0000-0000FB000000}"/>
    <cellStyle name="Accent1" xfId="278" xr:uid="{00000000-0005-0000-0000-0000FC000000}"/>
    <cellStyle name="Accent1 2" xfId="279" xr:uid="{00000000-0005-0000-0000-0000FD000000}"/>
    <cellStyle name="Accent1 3" xfId="280" xr:uid="{00000000-0005-0000-0000-0000FE000000}"/>
    <cellStyle name="Accent1 4" xfId="281" xr:uid="{00000000-0005-0000-0000-0000FF000000}"/>
    <cellStyle name="Accent1 5" xfId="282" xr:uid="{00000000-0005-0000-0000-000000010000}"/>
    <cellStyle name="Accent2" xfId="283" xr:uid="{00000000-0005-0000-0000-000001010000}"/>
    <cellStyle name="Accent2 2" xfId="284" xr:uid="{00000000-0005-0000-0000-000002010000}"/>
    <cellStyle name="Accent2 3" xfId="285" xr:uid="{00000000-0005-0000-0000-000003010000}"/>
    <cellStyle name="Accent2 4" xfId="286" xr:uid="{00000000-0005-0000-0000-000004010000}"/>
    <cellStyle name="Accent2 5" xfId="287" xr:uid="{00000000-0005-0000-0000-000005010000}"/>
    <cellStyle name="Accent3" xfId="288" xr:uid="{00000000-0005-0000-0000-000006010000}"/>
    <cellStyle name="Accent3 2" xfId="289" xr:uid="{00000000-0005-0000-0000-000007010000}"/>
    <cellStyle name="Accent3 3" xfId="290" xr:uid="{00000000-0005-0000-0000-000008010000}"/>
    <cellStyle name="Accent3 4" xfId="291" xr:uid="{00000000-0005-0000-0000-000009010000}"/>
    <cellStyle name="Accent3 5" xfId="292" xr:uid="{00000000-0005-0000-0000-00000A010000}"/>
    <cellStyle name="Accent4" xfId="293" xr:uid="{00000000-0005-0000-0000-00000B010000}"/>
    <cellStyle name="Accent4 2" xfId="294" xr:uid="{00000000-0005-0000-0000-00000C010000}"/>
    <cellStyle name="Accent4 3" xfId="295" xr:uid="{00000000-0005-0000-0000-00000D010000}"/>
    <cellStyle name="Accent4 4" xfId="296" xr:uid="{00000000-0005-0000-0000-00000E010000}"/>
    <cellStyle name="Accent4 5" xfId="297" xr:uid="{00000000-0005-0000-0000-00000F010000}"/>
    <cellStyle name="Accent5" xfId="298" xr:uid="{00000000-0005-0000-0000-000010010000}"/>
    <cellStyle name="Accent5 2" xfId="299" xr:uid="{00000000-0005-0000-0000-000011010000}"/>
    <cellStyle name="Accent5 3" xfId="300" xr:uid="{00000000-0005-0000-0000-000012010000}"/>
    <cellStyle name="Accent5 4" xfId="301" xr:uid="{00000000-0005-0000-0000-000013010000}"/>
    <cellStyle name="Accent5 5" xfId="302" xr:uid="{00000000-0005-0000-0000-000014010000}"/>
    <cellStyle name="Accent6" xfId="303" xr:uid="{00000000-0005-0000-0000-000015010000}"/>
    <cellStyle name="Accent6 2" xfId="304" xr:uid="{00000000-0005-0000-0000-000016010000}"/>
    <cellStyle name="Accent6 3" xfId="305" xr:uid="{00000000-0005-0000-0000-000017010000}"/>
    <cellStyle name="Accent6 4" xfId="306" xr:uid="{00000000-0005-0000-0000-000018010000}"/>
    <cellStyle name="Accent6 5" xfId="307" xr:uid="{00000000-0005-0000-0000-000019010000}"/>
    <cellStyle name="Bad" xfId="308" xr:uid="{00000000-0005-0000-0000-00001A010000}"/>
    <cellStyle name="Bad 2" xfId="309" xr:uid="{00000000-0005-0000-0000-00001B010000}"/>
    <cellStyle name="Bad 3" xfId="310" xr:uid="{00000000-0005-0000-0000-00001C010000}"/>
    <cellStyle name="Bad 4" xfId="311" xr:uid="{00000000-0005-0000-0000-00001D010000}"/>
    <cellStyle name="Bad 5" xfId="312" xr:uid="{00000000-0005-0000-0000-00001E010000}"/>
    <cellStyle name="Buena 2" xfId="313" xr:uid="{00000000-0005-0000-0000-00001F010000}"/>
    <cellStyle name="Buena 2 2" xfId="314" xr:uid="{00000000-0005-0000-0000-000020010000}"/>
    <cellStyle name="Buena 2 2 2" xfId="315" xr:uid="{00000000-0005-0000-0000-000021010000}"/>
    <cellStyle name="Buena 2 2 2 2" xfId="316" xr:uid="{00000000-0005-0000-0000-000022010000}"/>
    <cellStyle name="Buena 2 2 2 2 2" xfId="317" xr:uid="{00000000-0005-0000-0000-000023010000}"/>
    <cellStyle name="Buena 2 2 3" xfId="318" xr:uid="{00000000-0005-0000-0000-000024010000}"/>
    <cellStyle name="Buena 2 2 4" xfId="319" xr:uid="{00000000-0005-0000-0000-000025010000}"/>
    <cellStyle name="Buena 2 3" xfId="320" xr:uid="{00000000-0005-0000-0000-000026010000}"/>
    <cellStyle name="Buena 2 4" xfId="321" xr:uid="{00000000-0005-0000-0000-000027010000}"/>
    <cellStyle name="Buena 3" xfId="322" xr:uid="{00000000-0005-0000-0000-000028010000}"/>
    <cellStyle name="Buena 4" xfId="323" xr:uid="{00000000-0005-0000-0000-000029010000}"/>
    <cellStyle name="Buena 5" xfId="324" xr:uid="{00000000-0005-0000-0000-00002A010000}"/>
    <cellStyle name="Buena 6" xfId="325" xr:uid="{00000000-0005-0000-0000-00002B010000}"/>
    <cellStyle name="Buena 7" xfId="326" xr:uid="{00000000-0005-0000-0000-00002C010000}"/>
    <cellStyle name="Buena 8" xfId="327" xr:uid="{00000000-0005-0000-0000-00002D010000}"/>
    <cellStyle name="Buena 9" xfId="328" xr:uid="{00000000-0005-0000-0000-00002E010000}"/>
    <cellStyle name="Calculation" xfId="329" xr:uid="{00000000-0005-0000-0000-00002F010000}"/>
    <cellStyle name="Calculation 2" xfId="330" xr:uid="{00000000-0005-0000-0000-000030010000}"/>
    <cellStyle name="Calculation 3" xfId="331" xr:uid="{00000000-0005-0000-0000-000031010000}"/>
    <cellStyle name="Calculation 4" xfId="332" xr:uid="{00000000-0005-0000-0000-000032010000}"/>
    <cellStyle name="Calculation 5" xfId="333" xr:uid="{00000000-0005-0000-0000-000033010000}"/>
    <cellStyle name="Cálculo 2" xfId="334" xr:uid="{00000000-0005-0000-0000-000034010000}"/>
    <cellStyle name="Cálculo 2 2" xfId="335" xr:uid="{00000000-0005-0000-0000-000035010000}"/>
    <cellStyle name="Cálculo 3" xfId="336" xr:uid="{00000000-0005-0000-0000-000036010000}"/>
    <cellStyle name="Cálculo 4" xfId="337" xr:uid="{00000000-0005-0000-0000-000037010000}"/>
    <cellStyle name="Cálculo 5" xfId="338" xr:uid="{00000000-0005-0000-0000-000038010000}"/>
    <cellStyle name="Cálculo 6" xfId="339" xr:uid="{00000000-0005-0000-0000-000039010000}"/>
    <cellStyle name="Cálculo 7" xfId="340" xr:uid="{00000000-0005-0000-0000-00003A010000}"/>
    <cellStyle name="Cálculo 8" xfId="341" xr:uid="{00000000-0005-0000-0000-00003B010000}"/>
    <cellStyle name="Celda de comprobación 2" xfId="342" xr:uid="{00000000-0005-0000-0000-00003C010000}"/>
    <cellStyle name="Celda de comprobación 2 2" xfId="343" xr:uid="{00000000-0005-0000-0000-00003D010000}"/>
    <cellStyle name="Celda de comprobación 2 2 2" xfId="344" xr:uid="{00000000-0005-0000-0000-00003E010000}"/>
    <cellStyle name="Celda de comprobación 2 2 2 2" xfId="345" xr:uid="{00000000-0005-0000-0000-00003F010000}"/>
    <cellStyle name="Celda de comprobación 2 2 2 2 2" xfId="346" xr:uid="{00000000-0005-0000-0000-000040010000}"/>
    <cellStyle name="Celda de comprobación 2 2 3" xfId="347" xr:uid="{00000000-0005-0000-0000-000041010000}"/>
    <cellStyle name="Celda de comprobación 2 2 4" xfId="348" xr:uid="{00000000-0005-0000-0000-000042010000}"/>
    <cellStyle name="Celda de comprobación 2 3" xfId="349" xr:uid="{00000000-0005-0000-0000-000043010000}"/>
    <cellStyle name="Celda de comprobación 2 4" xfId="350" xr:uid="{00000000-0005-0000-0000-000044010000}"/>
    <cellStyle name="Celda de comprobación 3" xfId="351" xr:uid="{00000000-0005-0000-0000-000045010000}"/>
    <cellStyle name="Celda de comprobación 4" xfId="352" xr:uid="{00000000-0005-0000-0000-000046010000}"/>
    <cellStyle name="Celda de comprobación 5" xfId="353" xr:uid="{00000000-0005-0000-0000-000047010000}"/>
    <cellStyle name="Celda de comprobación 6" xfId="354" xr:uid="{00000000-0005-0000-0000-000048010000}"/>
    <cellStyle name="Celda de comprobación 7" xfId="355" xr:uid="{00000000-0005-0000-0000-000049010000}"/>
    <cellStyle name="Celda de comprobación 8" xfId="356" xr:uid="{00000000-0005-0000-0000-00004A010000}"/>
    <cellStyle name="Celda de comprobación 9" xfId="357" xr:uid="{00000000-0005-0000-0000-00004B010000}"/>
    <cellStyle name="Celda vinculada 2" xfId="358" xr:uid="{00000000-0005-0000-0000-00004C010000}"/>
    <cellStyle name="Celda vinculada 2 2" xfId="359" xr:uid="{00000000-0005-0000-0000-00004D010000}"/>
    <cellStyle name="Celda vinculada 2 2 2" xfId="360" xr:uid="{00000000-0005-0000-0000-00004E010000}"/>
    <cellStyle name="Celda vinculada 2 2 2 2" xfId="361" xr:uid="{00000000-0005-0000-0000-00004F010000}"/>
    <cellStyle name="Celda vinculada 2 2 2 2 2" xfId="362" xr:uid="{00000000-0005-0000-0000-000050010000}"/>
    <cellStyle name="Celda vinculada 2 2 3" xfId="363" xr:uid="{00000000-0005-0000-0000-000051010000}"/>
    <cellStyle name="Celda vinculada 2 2 4" xfId="364" xr:uid="{00000000-0005-0000-0000-000052010000}"/>
    <cellStyle name="Celda vinculada 2 3" xfId="365" xr:uid="{00000000-0005-0000-0000-000053010000}"/>
    <cellStyle name="Celda vinculada 2 4" xfId="366" xr:uid="{00000000-0005-0000-0000-000054010000}"/>
    <cellStyle name="Celda vinculada 3" xfId="367" xr:uid="{00000000-0005-0000-0000-000055010000}"/>
    <cellStyle name="Celda vinculada 4" xfId="368" xr:uid="{00000000-0005-0000-0000-000056010000}"/>
    <cellStyle name="Celda vinculada 5" xfId="369" xr:uid="{00000000-0005-0000-0000-000057010000}"/>
    <cellStyle name="Celda vinculada 6" xfId="370" xr:uid="{00000000-0005-0000-0000-000058010000}"/>
    <cellStyle name="Celda vinculada 7" xfId="371" xr:uid="{00000000-0005-0000-0000-000059010000}"/>
    <cellStyle name="Celda vinculada 8" xfId="372" xr:uid="{00000000-0005-0000-0000-00005A010000}"/>
    <cellStyle name="Celda vinculada 9" xfId="373" xr:uid="{00000000-0005-0000-0000-00005B010000}"/>
    <cellStyle name="Check Cell" xfId="374" xr:uid="{00000000-0005-0000-0000-00005C010000}"/>
    <cellStyle name="Check Cell 2" xfId="375" xr:uid="{00000000-0005-0000-0000-00005D010000}"/>
    <cellStyle name="Check Cell 3" xfId="376" xr:uid="{00000000-0005-0000-0000-00005E010000}"/>
    <cellStyle name="Check Cell 4" xfId="377" xr:uid="{00000000-0005-0000-0000-00005F010000}"/>
    <cellStyle name="Check Cell 5" xfId="378" xr:uid="{00000000-0005-0000-0000-000060010000}"/>
    <cellStyle name="Coma 2" xfId="379" xr:uid="{00000000-0005-0000-0000-000061010000}"/>
    <cellStyle name="Encabezado 4 2" xfId="380" xr:uid="{00000000-0005-0000-0000-000062010000}"/>
    <cellStyle name="Encabezado 4 2 2" xfId="381" xr:uid="{00000000-0005-0000-0000-000063010000}"/>
    <cellStyle name="Encabezado 4 2 2 2" xfId="382" xr:uid="{00000000-0005-0000-0000-000064010000}"/>
    <cellStyle name="Encabezado 4 2 2 2 2" xfId="383" xr:uid="{00000000-0005-0000-0000-000065010000}"/>
    <cellStyle name="Encabezado 4 2 2 2 2 2" xfId="384" xr:uid="{00000000-0005-0000-0000-000066010000}"/>
    <cellStyle name="Encabezado 4 2 2 3" xfId="385" xr:uid="{00000000-0005-0000-0000-000067010000}"/>
    <cellStyle name="Encabezado 4 2 2 4" xfId="386" xr:uid="{00000000-0005-0000-0000-000068010000}"/>
    <cellStyle name="Encabezado 4 2 3" xfId="387" xr:uid="{00000000-0005-0000-0000-000069010000}"/>
    <cellStyle name="Encabezado 4 2 4" xfId="388" xr:uid="{00000000-0005-0000-0000-00006A010000}"/>
    <cellStyle name="Encabezado 4 3" xfId="389" xr:uid="{00000000-0005-0000-0000-00006B010000}"/>
    <cellStyle name="Encabezado 4 4" xfId="390" xr:uid="{00000000-0005-0000-0000-00006C010000}"/>
    <cellStyle name="Encabezado 4 5" xfId="391" xr:uid="{00000000-0005-0000-0000-00006D010000}"/>
    <cellStyle name="Encabezado 4 6" xfId="392" xr:uid="{00000000-0005-0000-0000-00006E010000}"/>
    <cellStyle name="Encabezado 4 7" xfId="393" xr:uid="{00000000-0005-0000-0000-00006F010000}"/>
    <cellStyle name="Encabezado 4 8" xfId="394" xr:uid="{00000000-0005-0000-0000-000070010000}"/>
    <cellStyle name="Encabezado 4 9" xfId="395" xr:uid="{00000000-0005-0000-0000-000071010000}"/>
    <cellStyle name="Énfasis1 2" xfId="396" xr:uid="{00000000-0005-0000-0000-000072010000}"/>
    <cellStyle name="Énfasis1 2 2" xfId="397" xr:uid="{00000000-0005-0000-0000-000073010000}"/>
    <cellStyle name="Énfasis1 3" xfId="398" xr:uid="{00000000-0005-0000-0000-000074010000}"/>
    <cellStyle name="Énfasis1 4" xfId="399" xr:uid="{00000000-0005-0000-0000-000075010000}"/>
    <cellStyle name="Énfasis1 5" xfId="400" xr:uid="{00000000-0005-0000-0000-000076010000}"/>
    <cellStyle name="Énfasis1 6" xfId="401" xr:uid="{00000000-0005-0000-0000-000077010000}"/>
    <cellStyle name="Énfasis1 7" xfId="402" xr:uid="{00000000-0005-0000-0000-000078010000}"/>
    <cellStyle name="Énfasis1 8" xfId="403" xr:uid="{00000000-0005-0000-0000-000079010000}"/>
    <cellStyle name="Énfasis2 2" xfId="404" xr:uid="{00000000-0005-0000-0000-00007A010000}"/>
    <cellStyle name="Énfasis2 2 2" xfId="405" xr:uid="{00000000-0005-0000-0000-00007B010000}"/>
    <cellStyle name="Énfasis2 3" xfId="406" xr:uid="{00000000-0005-0000-0000-00007C010000}"/>
    <cellStyle name="Énfasis2 4" xfId="407" xr:uid="{00000000-0005-0000-0000-00007D010000}"/>
    <cellStyle name="Énfasis2 5" xfId="408" xr:uid="{00000000-0005-0000-0000-00007E010000}"/>
    <cellStyle name="Énfasis2 6" xfId="409" xr:uid="{00000000-0005-0000-0000-00007F010000}"/>
    <cellStyle name="Énfasis2 7" xfId="410" xr:uid="{00000000-0005-0000-0000-000080010000}"/>
    <cellStyle name="Énfasis2 8" xfId="411" xr:uid="{00000000-0005-0000-0000-000081010000}"/>
    <cellStyle name="Énfasis3 2" xfId="412" xr:uid="{00000000-0005-0000-0000-000082010000}"/>
    <cellStyle name="Énfasis3 2 2" xfId="413" xr:uid="{00000000-0005-0000-0000-000083010000}"/>
    <cellStyle name="Énfasis3 3" xfId="414" xr:uid="{00000000-0005-0000-0000-000084010000}"/>
    <cellStyle name="Énfasis3 4" xfId="415" xr:uid="{00000000-0005-0000-0000-000085010000}"/>
    <cellStyle name="Énfasis3 5" xfId="416" xr:uid="{00000000-0005-0000-0000-000086010000}"/>
    <cellStyle name="Énfasis3 6" xfId="417" xr:uid="{00000000-0005-0000-0000-000087010000}"/>
    <cellStyle name="Énfasis3 7" xfId="418" xr:uid="{00000000-0005-0000-0000-000088010000}"/>
    <cellStyle name="Énfasis3 8" xfId="419" xr:uid="{00000000-0005-0000-0000-000089010000}"/>
    <cellStyle name="Énfasis4 2" xfId="420" xr:uid="{00000000-0005-0000-0000-00008A010000}"/>
    <cellStyle name="Énfasis4 2 2" xfId="421" xr:uid="{00000000-0005-0000-0000-00008B010000}"/>
    <cellStyle name="Énfasis4 3" xfId="422" xr:uid="{00000000-0005-0000-0000-00008C010000}"/>
    <cellStyle name="Énfasis4 4" xfId="423" xr:uid="{00000000-0005-0000-0000-00008D010000}"/>
    <cellStyle name="Énfasis4 5" xfId="424" xr:uid="{00000000-0005-0000-0000-00008E010000}"/>
    <cellStyle name="Énfasis4 6" xfId="425" xr:uid="{00000000-0005-0000-0000-00008F010000}"/>
    <cellStyle name="Énfasis4 7" xfId="426" xr:uid="{00000000-0005-0000-0000-000090010000}"/>
    <cellStyle name="Énfasis4 8" xfId="427" xr:uid="{00000000-0005-0000-0000-000091010000}"/>
    <cellStyle name="Énfasis5 2" xfId="428" xr:uid="{00000000-0005-0000-0000-000092010000}"/>
    <cellStyle name="Énfasis5 2 2" xfId="429" xr:uid="{00000000-0005-0000-0000-000093010000}"/>
    <cellStyle name="Énfasis5 3" xfId="430" xr:uid="{00000000-0005-0000-0000-000094010000}"/>
    <cellStyle name="Énfasis5 4" xfId="431" xr:uid="{00000000-0005-0000-0000-000095010000}"/>
    <cellStyle name="Énfasis5 5" xfId="432" xr:uid="{00000000-0005-0000-0000-000096010000}"/>
    <cellStyle name="Énfasis5 6" xfId="433" xr:uid="{00000000-0005-0000-0000-000097010000}"/>
    <cellStyle name="Énfasis5 7" xfId="434" xr:uid="{00000000-0005-0000-0000-000098010000}"/>
    <cellStyle name="Énfasis5 8" xfId="435" xr:uid="{00000000-0005-0000-0000-000099010000}"/>
    <cellStyle name="Énfasis6 2" xfId="436" xr:uid="{00000000-0005-0000-0000-00009A010000}"/>
    <cellStyle name="Énfasis6 2 2" xfId="437" xr:uid="{00000000-0005-0000-0000-00009B010000}"/>
    <cellStyle name="Énfasis6 3" xfId="438" xr:uid="{00000000-0005-0000-0000-00009C010000}"/>
    <cellStyle name="Énfasis6 4" xfId="439" xr:uid="{00000000-0005-0000-0000-00009D010000}"/>
    <cellStyle name="Énfasis6 5" xfId="440" xr:uid="{00000000-0005-0000-0000-00009E010000}"/>
    <cellStyle name="Énfasis6 6" xfId="441" xr:uid="{00000000-0005-0000-0000-00009F010000}"/>
    <cellStyle name="Énfasis6 7" xfId="442" xr:uid="{00000000-0005-0000-0000-0000A0010000}"/>
    <cellStyle name="Énfasis6 8" xfId="443" xr:uid="{00000000-0005-0000-0000-0000A1010000}"/>
    <cellStyle name="Entrada 2" xfId="444" xr:uid="{00000000-0005-0000-0000-0000A2010000}"/>
    <cellStyle name="Entrada 2 2" xfId="445" xr:uid="{00000000-0005-0000-0000-0000A3010000}"/>
    <cellStyle name="Entrada 2 2 2" xfId="446" xr:uid="{00000000-0005-0000-0000-0000A4010000}"/>
    <cellStyle name="Entrada 2 2 2 2" xfId="447" xr:uid="{00000000-0005-0000-0000-0000A5010000}"/>
    <cellStyle name="Entrada 2 2 2 2 2" xfId="448" xr:uid="{00000000-0005-0000-0000-0000A6010000}"/>
    <cellStyle name="Entrada 2 2 3" xfId="449" xr:uid="{00000000-0005-0000-0000-0000A7010000}"/>
    <cellStyle name="Entrada 2 2 4" xfId="450" xr:uid="{00000000-0005-0000-0000-0000A8010000}"/>
    <cellStyle name="Entrada 2 3" xfId="451" xr:uid="{00000000-0005-0000-0000-0000A9010000}"/>
    <cellStyle name="Entrada 2 4" xfId="452" xr:uid="{00000000-0005-0000-0000-0000AA010000}"/>
    <cellStyle name="Entrada 3" xfId="453" xr:uid="{00000000-0005-0000-0000-0000AB010000}"/>
    <cellStyle name="Entrada 4" xfId="454" xr:uid="{00000000-0005-0000-0000-0000AC010000}"/>
    <cellStyle name="Entrada 5" xfId="455" xr:uid="{00000000-0005-0000-0000-0000AD010000}"/>
    <cellStyle name="Entrada 6" xfId="456" xr:uid="{00000000-0005-0000-0000-0000AE010000}"/>
    <cellStyle name="Entrada 7" xfId="457" xr:uid="{00000000-0005-0000-0000-0000AF010000}"/>
    <cellStyle name="Entrada 8" xfId="458" xr:uid="{00000000-0005-0000-0000-0000B0010000}"/>
    <cellStyle name="Entrada 9" xfId="459" xr:uid="{00000000-0005-0000-0000-0000B1010000}"/>
    <cellStyle name="Estilo 1" xfId="460" xr:uid="{00000000-0005-0000-0000-0000B2010000}"/>
    <cellStyle name="Estilo 1 10" xfId="461" xr:uid="{00000000-0005-0000-0000-0000B3010000}"/>
    <cellStyle name="Estilo 1 10 2" xfId="462" xr:uid="{00000000-0005-0000-0000-0000B4010000}"/>
    <cellStyle name="Estilo 1 10 3" xfId="463" xr:uid="{00000000-0005-0000-0000-0000B5010000}"/>
    <cellStyle name="Estilo 1 10_Enlaces" xfId="464" xr:uid="{00000000-0005-0000-0000-0000B6010000}"/>
    <cellStyle name="Estilo 1 100" xfId="465" xr:uid="{00000000-0005-0000-0000-0000B7010000}"/>
    <cellStyle name="Estilo 1 100 2" xfId="466" xr:uid="{00000000-0005-0000-0000-0000B8010000}"/>
    <cellStyle name="Estilo 1 101" xfId="467" xr:uid="{00000000-0005-0000-0000-0000B9010000}"/>
    <cellStyle name="Estilo 1 101 2" xfId="468" xr:uid="{00000000-0005-0000-0000-0000BA010000}"/>
    <cellStyle name="Estilo 1 102" xfId="469" xr:uid="{00000000-0005-0000-0000-0000BB010000}"/>
    <cellStyle name="Estilo 1 102 2" xfId="470" xr:uid="{00000000-0005-0000-0000-0000BC010000}"/>
    <cellStyle name="Estilo 1 103" xfId="471" xr:uid="{00000000-0005-0000-0000-0000BD010000}"/>
    <cellStyle name="Estilo 1 103 2" xfId="472" xr:uid="{00000000-0005-0000-0000-0000BE010000}"/>
    <cellStyle name="Estilo 1 104" xfId="473" xr:uid="{00000000-0005-0000-0000-0000BF010000}"/>
    <cellStyle name="Estilo 1 104 2" xfId="474" xr:uid="{00000000-0005-0000-0000-0000C0010000}"/>
    <cellStyle name="Estilo 1 105" xfId="475" xr:uid="{00000000-0005-0000-0000-0000C1010000}"/>
    <cellStyle name="Estilo 1 105 2" xfId="476" xr:uid="{00000000-0005-0000-0000-0000C2010000}"/>
    <cellStyle name="Estilo 1 106" xfId="477" xr:uid="{00000000-0005-0000-0000-0000C3010000}"/>
    <cellStyle name="Estilo 1 106 2" xfId="478" xr:uid="{00000000-0005-0000-0000-0000C4010000}"/>
    <cellStyle name="Estilo 1 107" xfId="479" xr:uid="{00000000-0005-0000-0000-0000C5010000}"/>
    <cellStyle name="Estilo 1 107 2" xfId="480" xr:uid="{00000000-0005-0000-0000-0000C6010000}"/>
    <cellStyle name="Estilo 1 108" xfId="481" xr:uid="{00000000-0005-0000-0000-0000C7010000}"/>
    <cellStyle name="Estilo 1 108 2" xfId="482" xr:uid="{00000000-0005-0000-0000-0000C8010000}"/>
    <cellStyle name="Estilo 1 109" xfId="483" xr:uid="{00000000-0005-0000-0000-0000C9010000}"/>
    <cellStyle name="Estilo 1 109 2" xfId="484" xr:uid="{00000000-0005-0000-0000-0000CA010000}"/>
    <cellStyle name="Estilo 1 11" xfId="485" xr:uid="{00000000-0005-0000-0000-0000CB010000}"/>
    <cellStyle name="Estilo 1 11 2" xfId="486" xr:uid="{00000000-0005-0000-0000-0000CC010000}"/>
    <cellStyle name="Estilo 1 11 3" xfId="487" xr:uid="{00000000-0005-0000-0000-0000CD010000}"/>
    <cellStyle name="Estilo 1 11_Enlaces" xfId="488" xr:uid="{00000000-0005-0000-0000-0000CE010000}"/>
    <cellStyle name="Estilo 1 110" xfId="489" xr:uid="{00000000-0005-0000-0000-0000CF010000}"/>
    <cellStyle name="Estilo 1 110 2" xfId="490" xr:uid="{00000000-0005-0000-0000-0000D0010000}"/>
    <cellStyle name="Estilo 1 111" xfId="491" xr:uid="{00000000-0005-0000-0000-0000D1010000}"/>
    <cellStyle name="Estilo 1 111 2" xfId="492" xr:uid="{00000000-0005-0000-0000-0000D2010000}"/>
    <cellStyle name="Estilo 1 112" xfId="493" xr:uid="{00000000-0005-0000-0000-0000D3010000}"/>
    <cellStyle name="Estilo 1 112 2" xfId="494" xr:uid="{00000000-0005-0000-0000-0000D4010000}"/>
    <cellStyle name="Estilo 1 113" xfId="495" xr:uid="{00000000-0005-0000-0000-0000D5010000}"/>
    <cellStyle name="Estilo 1 113 2" xfId="496" xr:uid="{00000000-0005-0000-0000-0000D6010000}"/>
    <cellStyle name="Estilo 1 114" xfId="497" xr:uid="{00000000-0005-0000-0000-0000D7010000}"/>
    <cellStyle name="Estilo 1 114 2" xfId="498" xr:uid="{00000000-0005-0000-0000-0000D8010000}"/>
    <cellStyle name="Estilo 1 115" xfId="499" xr:uid="{00000000-0005-0000-0000-0000D9010000}"/>
    <cellStyle name="Estilo 1 115 2" xfId="500" xr:uid="{00000000-0005-0000-0000-0000DA010000}"/>
    <cellStyle name="Estilo 1 116" xfId="501" xr:uid="{00000000-0005-0000-0000-0000DB010000}"/>
    <cellStyle name="Estilo 1 116 2" xfId="502" xr:uid="{00000000-0005-0000-0000-0000DC010000}"/>
    <cellStyle name="Estilo 1 117" xfId="503" xr:uid="{00000000-0005-0000-0000-0000DD010000}"/>
    <cellStyle name="Estilo 1 117 2" xfId="504" xr:uid="{00000000-0005-0000-0000-0000DE010000}"/>
    <cellStyle name="Estilo 1 118" xfId="505" xr:uid="{00000000-0005-0000-0000-0000DF010000}"/>
    <cellStyle name="Estilo 1 118 2" xfId="506" xr:uid="{00000000-0005-0000-0000-0000E0010000}"/>
    <cellStyle name="Estilo 1 119" xfId="507" xr:uid="{00000000-0005-0000-0000-0000E1010000}"/>
    <cellStyle name="Estilo 1 119 2" xfId="508" xr:uid="{00000000-0005-0000-0000-0000E2010000}"/>
    <cellStyle name="Estilo 1 12" xfId="509" xr:uid="{00000000-0005-0000-0000-0000E3010000}"/>
    <cellStyle name="Estilo 1 12 2" xfId="510" xr:uid="{00000000-0005-0000-0000-0000E4010000}"/>
    <cellStyle name="Estilo 1 12 3" xfId="511" xr:uid="{00000000-0005-0000-0000-0000E5010000}"/>
    <cellStyle name="Estilo 1 12_Enlaces" xfId="512" xr:uid="{00000000-0005-0000-0000-0000E6010000}"/>
    <cellStyle name="Estilo 1 120" xfId="513" xr:uid="{00000000-0005-0000-0000-0000E7010000}"/>
    <cellStyle name="Estilo 1 120 2" xfId="514" xr:uid="{00000000-0005-0000-0000-0000E8010000}"/>
    <cellStyle name="Estilo 1 121" xfId="515" xr:uid="{00000000-0005-0000-0000-0000E9010000}"/>
    <cellStyle name="Estilo 1 121 2" xfId="516" xr:uid="{00000000-0005-0000-0000-0000EA010000}"/>
    <cellStyle name="Estilo 1 122" xfId="517" xr:uid="{00000000-0005-0000-0000-0000EB010000}"/>
    <cellStyle name="Estilo 1 122 2" xfId="518" xr:uid="{00000000-0005-0000-0000-0000EC010000}"/>
    <cellStyle name="Estilo 1 123" xfId="519" xr:uid="{00000000-0005-0000-0000-0000ED010000}"/>
    <cellStyle name="Estilo 1 123 2" xfId="520" xr:uid="{00000000-0005-0000-0000-0000EE010000}"/>
    <cellStyle name="Estilo 1 124" xfId="521" xr:uid="{00000000-0005-0000-0000-0000EF010000}"/>
    <cellStyle name="Estilo 1 124 2" xfId="522" xr:uid="{00000000-0005-0000-0000-0000F0010000}"/>
    <cellStyle name="Estilo 1 125" xfId="523" xr:uid="{00000000-0005-0000-0000-0000F1010000}"/>
    <cellStyle name="Estilo 1 125 2" xfId="524" xr:uid="{00000000-0005-0000-0000-0000F2010000}"/>
    <cellStyle name="Estilo 1 126" xfId="525" xr:uid="{00000000-0005-0000-0000-0000F3010000}"/>
    <cellStyle name="Estilo 1 126 2" xfId="526" xr:uid="{00000000-0005-0000-0000-0000F4010000}"/>
    <cellStyle name="Estilo 1 127" xfId="527" xr:uid="{00000000-0005-0000-0000-0000F5010000}"/>
    <cellStyle name="Estilo 1 127 2" xfId="528" xr:uid="{00000000-0005-0000-0000-0000F6010000}"/>
    <cellStyle name="Estilo 1 128" xfId="529" xr:uid="{00000000-0005-0000-0000-0000F7010000}"/>
    <cellStyle name="Estilo 1 128 2" xfId="530" xr:uid="{00000000-0005-0000-0000-0000F8010000}"/>
    <cellStyle name="Estilo 1 129" xfId="531" xr:uid="{00000000-0005-0000-0000-0000F9010000}"/>
    <cellStyle name="Estilo 1 129 2" xfId="532" xr:uid="{00000000-0005-0000-0000-0000FA010000}"/>
    <cellStyle name="Estilo 1 13" xfId="533" xr:uid="{00000000-0005-0000-0000-0000FB010000}"/>
    <cellStyle name="Estilo 1 13 2" xfId="534" xr:uid="{00000000-0005-0000-0000-0000FC010000}"/>
    <cellStyle name="Estilo 1 13 3" xfId="535" xr:uid="{00000000-0005-0000-0000-0000FD010000}"/>
    <cellStyle name="Estilo 1 13_Enlaces" xfId="536" xr:uid="{00000000-0005-0000-0000-0000FE010000}"/>
    <cellStyle name="Estilo 1 130" xfId="537" xr:uid="{00000000-0005-0000-0000-0000FF010000}"/>
    <cellStyle name="Estilo 1 130 2" xfId="538" xr:uid="{00000000-0005-0000-0000-000000020000}"/>
    <cellStyle name="Estilo 1 131" xfId="539" xr:uid="{00000000-0005-0000-0000-000001020000}"/>
    <cellStyle name="Estilo 1 131 2" xfId="540" xr:uid="{00000000-0005-0000-0000-000002020000}"/>
    <cellStyle name="Estilo 1 132" xfId="541" xr:uid="{00000000-0005-0000-0000-000003020000}"/>
    <cellStyle name="Estilo 1 132 2" xfId="542" xr:uid="{00000000-0005-0000-0000-000004020000}"/>
    <cellStyle name="Estilo 1 133" xfId="543" xr:uid="{00000000-0005-0000-0000-000005020000}"/>
    <cellStyle name="Estilo 1 133 2" xfId="544" xr:uid="{00000000-0005-0000-0000-000006020000}"/>
    <cellStyle name="Estilo 1 134" xfId="545" xr:uid="{00000000-0005-0000-0000-000007020000}"/>
    <cellStyle name="Estilo 1 134 2" xfId="546" xr:uid="{00000000-0005-0000-0000-000008020000}"/>
    <cellStyle name="Estilo 1 135" xfId="547" xr:uid="{00000000-0005-0000-0000-000009020000}"/>
    <cellStyle name="Estilo 1 135 2" xfId="548" xr:uid="{00000000-0005-0000-0000-00000A020000}"/>
    <cellStyle name="Estilo 1 136" xfId="549" xr:uid="{00000000-0005-0000-0000-00000B020000}"/>
    <cellStyle name="Estilo 1 136 2" xfId="550" xr:uid="{00000000-0005-0000-0000-00000C020000}"/>
    <cellStyle name="Estilo 1 137" xfId="551" xr:uid="{00000000-0005-0000-0000-00000D020000}"/>
    <cellStyle name="Estilo 1 137 2" xfId="552" xr:uid="{00000000-0005-0000-0000-00000E020000}"/>
    <cellStyle name="Estilo 1 138" xfId="553" xr:uid="{00000000-0005-0000-0000-00000F020000}"/>
    <cellStyle name="Estilo 1 138 2" xfId="554" xr:uid="{00000000-0005-0000-0000-000010020000}"/>
    <cellStyle name="Estilo 1 139" xfId="555" xr:uid="{00000000-0005-0000-0000-000011020000}"/>
    <cellStyle name="Estilo 1 139 2" xfId="556" xr:uid="{00000000-0005-0000-0000-000012020000}"/>
    <cellStyle name="Estilo 1 14" xfId="557" xr:uid="{00000000-0005-0000-0000-000013020000}"/>
    <cellStyle name="Estilo 1 14 2" xfId="558" xr:uid="{00000000-0005-0000-0000-000014020000}"/>
    <cellStyle name="Estilo 1 14 3" xfId="559" xr:uid="{00000000-0005-0000-0000-000015020000}"/>
    <cellStyle name="Estilo 1 14_Enlaces" xfId="560" xr:uid="{00000000-0005-0000-0000-000016020000}"/>
    <cellStyle name="Estilo 1 140" xfId="561" xr:uid="{00000000-0005-0000-0000-000017020000}"/>
    <cellStyle name="Estilo 1 140 2" xfId="562" xr:uid="{00000000-0005-0000-0000-000018020000}"/>
    <cellStyle name="Estilo 1 141" xfId="563" xr:uid="{00000000-0005-0000-0000-000019020000}"/>
    <cellStyle name="Estilo 1 141 2" xfId="564" xr:uid="{00000000-0005-0000-0000-00001A020000}"/>
    <cellStyle name="Estilo 1 142" xfId="565" xr:uid="{00000000-0005-0000-0000-00001B020000}"/>
    <cellStyle name="Estilo 1 142 2" xfId="566" xr:uid="{00000000-0005-0000-0000-00001C020000}"/>
    <cellStyle name="Estilo 1 143" xfId="567" xr:uid="{00000000-0005-0000-0000-00001D020000}"/>
    <cellStyle name="Estilo 1 143 2" xfId="568" xr:uid="{00000000-0005-0000-0000-00001E020000}"/>
    <cellStyle name="Estilo 1 144" xfId="569" xr:uid="{00000000-0005-0000-0000-00001F020000}"/>
    <cellStyle name="Estilo 1 144 2" xfId="570" xr:uid="{00000000-0005-0000-0000-000020020000}"/>
    <cellStyle name="Estilo 1 145" xfId="571" xr:uid="{00000000-0005-0000-0000-000021020000}"/>
    <cellStyle name="Estilo 1 145 2" xfId="572" xr:uid="{00000000-0005-0000-0000-000022020000}"/>
    <cellStyle name="Estilo 1 146" xfId="573" xr:uid="{00000000-0005-0000-0000-000023020000}"/>
    <cellStyle name="Estilo 1 146 2" xfId="574" xr:uid="{00000000-0005-0000-0000-000024020000}"/>
    <cellStyle name="Estilo 1 147" xfId="575" xr:uid="{00000000-0005-0000-0000-000025020000}"/>
    <cellStyle name="Estilo 1 147 2" xfId="576" xr:uid="{00000000-0005-0000-0000-000026020000}"/>
    <cellStyle name="Estilo 1 148" xfId="577" xr:uid="{00000000-0005-0000-0000-000027020000}"/>
    <cellStyle name="Estilo 1 148 2" xfId="578" xr:uid="{00000000-0005-0000-0000-000028020000}"/>
    <cellStyle name="Estilo 1 149" xfId="579" xr:uid="{00000000-0005-0000-0000-000029020000}"/>
    <cellStyle name="Estilo 1 149 2" xfId="580" xr:uid="{00000000-0005-0000-0000-00002A020000}"/>
    <cellStyle name="Estilo 1 15" xfId="581" xr:uid="{00000000-0005-0000-0000-00002B020000}"/>
    <cellStyle name="Estilo 1 15 2" xfId="582" xr:uid="{00000000-0005-0000-0000-00002C020000}"/>
    <cellStyle name="Estilo 1 15 3" xfId="583" xr:uid="{00000000-0005-0000-0000-00002D020000}"/>
    <cellStyle name="Estilo 1 15_Enlaces" xfId="584" xr:uid="{00000000-0005-0000-0000-00002E020000}"/>
    <cellStyle name="Estilo 1 150" xfId="585" xr:uid="{00000000-0005-0000-0000-00002F020000}"/>
    <cellStyle name="Estilo 1 150 2" xfId="586" xr:uid="{00000000-0005-0000-0000-000030020000}"/>
    <cellStyle name="Estilo 1 151" xfId="587" xr:uid="{00000000-0005-0000-0000-000031020000}"/>
    <cellStyle name="Estilo 1 151 2" xfId="588" xr:uid="{00000000-0005-0000-0000-000032020000}"/>
    <cellStyle name="Estilo 1 152" xfId="589" xr:uid="{00000000-0005-0000-0000-000033020000}"/>
    <cellStyle name="Estilo 1 152 2" xfId="590" xr:uid="{00000000-0005-0000-0000-000034020000}"/>
    <cellStyle name="Estilo 1 153" xfId="591" xr:uid="{00000000-0005-0000-0000-000035020000}"/>
    <cellStyle name="Estilo 1 153 2" xfId="592" xr:uid="{00000000-0005-0000-0000-000036020000}"/>
    <cellStyle name="Estilo 1 154" xfId="593" xr:uid="{00000000-0005-0000-0000-000037020000}"/>
    <cellStyle name="Estilo 1 154 2" xfId="594" xr:uid="{00000000-0005-0000-0000-000038020000}"/>
    <cellStyle name="Estilo 1 155" xfId="595" xr:uid="{00000000-0005-0000-0000-000039020000}"/>
    <cellStyle name="Estilo 1 155 2" xfId="596" xr:uid="{00000000-0005-0000-0000-00003A020000}"/>
    <cellStyle name="Estilo 1 156" xfId="597" xr:uid="{00000000-0005-0000-0000-00003B020000}"/>
    <cellStyle name="Estilo 1 156 2" xfId="598" xr:uid="{00000000-0005-0000-0000-00003C020000}"/>
    <cellStyle name="Estilo 1 157" xfId="599" xr:uid="{00000000-0005-0000-0000-00003D020000}"/>
    <cellStyle name="Estilo 1 157 2" xfId="600" xr:uid="{00000000-0005-0000-0000-00003E020000}"/>
    <cellStyle name="Estilo 1 158" xfId="601" xr:uid="{00000000-0005-0000-0000-00003F020000}"/>
    <cellStyle name="Estilo 1 158 2" xfId="602" xr:uid="{00000000-0005-0000-0000-000040020000}"/>
    <cellStyle name="Estilo 1 159" xfId="603" xr:uid="{00000000-0005-0000-0000-000041020000}"/>
    <cellStyle name="Estilo 1 159 2" xfId="604" xr:uid="{00000000-0005-0000-0000-000042020000}"/>
    <cellStyle name="Estilo 1 16" xfId="605" xr:uid="{00000000-0005-0000-0000-000043020000}"/>
    <cellStyle name="Estilo 1 16 2" xfId="606" xr:uid="{00000000-0005-0000-0000-000044020000}"/>
    <cellStyle name="Estilo 1 16 3" xfId="607" xr:uid="{00000000-0005-0000-0000-000045020000}"/>
    <cellStyle name="Estilo 1 16_Enlaces" xfId="608" xr:uid="{00000000-0005-0000-0000-000046020000}"/>
    <cellStyle name="Estilo 1 160" xfId="609" xr:uid="{00000000-0005-0000-0000-000047020000}"/>
    <cellStyle name="Estilo 1 160 2" xfId="610" xr:uid="{00000000-0005-0000-0000-000048020000}"/>
    <cellStyle name="Estilo 1 161" xfId="611" xr:uid="{00000000-0005-0000-0000-000049020000}"/>
    <cellStyle name="Estilo 1 161 2" xfId="612" xr:uid="{00000000-0005-0000-0000-00004A020000}"/>
    <cellStyle name="Estilo 1 162" xfId="613" xr:uid="{00000000-0005-0000-0000-00004B020000}"/>
    <cellStyle name="Estilo 1 162 2" xfId="614" xr:uid="{00000000-0005-0000-0000-00004C020000}"/>
    <cellStyle name="Estilo 1 163" xfId="615" xr:uid="{00000000-0005-0000-0000-00004D020000}"/>
    <cellStyle name="Estilo 1 163 2" xfId="616" xr:uid="{00000000-0005-0000-0000-00004E020000}"/>
    <cellStyle name="Estilo 1 164" xfId="617" xr:uid="{00000000-0005-0000-0000-00004F020000}"/>
    <cellStyle name="Estilo 1 164 2" xfId="618" xr:uid="{00000000-0005-0000-0000-000050020000}"/>
    <cellStyle name="Estilo 1 165" xfId="619" xr:uid="{00000000-0005-0000-0000-000051020000}"/>
    <cellStyle name="Estilo 1 165 2" xfId="620" xr:uid="{00000000-0005-0000-0000-000052020000}"/>
    <cellStyle name="Estilo 1 166" xfId="621" xr:uid="{00000000-0005-0000-0000-000053020000}"/>
    <cellStyle name="Estilo 1 166 2" xfId="622" xr:uid="{00000000-0005-0000-0000-000054020000}"/>
    <cellStyle name="Estilo 1 167" xfId="623" xr:uid="{00000000-0005-0000-0000-000055020000}"/>
    <cellStyle name="Estilo 1 167 2" xfId="624" xr:uid="{00000000-0005-0000-0000-000056020000}"/>
    <cellStyle name="Estilo 1 168" xfId="625" xr:uid="{00000000-0005-0000-0000-000057020000}"/>
    <cellStyle name="Estilo 1 168 2" xfId="626" xr:uid="{00000000-0005-0000-0000-000058020000}"/>
    <cellStyle name="Estilo 1 169" xfId="627" xr:uid="{00000000-0005-0000-0000-000059020000}"/>
    <cellStyle name="Estilo 1 169 2" xfId="628" xr:uid="{00000000-0005-0000-0000-00005A020000}"/>
    <cellStyle name="Estilo 1 17" xfId="629" xr:uid="{00000000-0005-0000-0000-00005B020000}"/>
    <cellStyle name="Estilo 1 17 2" xfId="630" xr:uid="{00000000-0005-0000-0000-00005C020000}"/>
    <cellStyle name="Estilo 1 17 3" xfId="631" xr:uid="{00000000-0005-0000-0000-00005D020000}"/>
    <cellStyle name="Estilo 1 17_Enlaces" xfId="632" xr:uid="{00000000-0005-0000-0000-00005E020000}"/>
    <cellStyle name="Estilo 1 170" xfId="633" xr:uid="{00000000-0005-0000-0000-00005F020000}"/>
    <cellStyle name="Estilo 1 170 2" xfId="634" xr:uid="{00000000-0005-0000-0000-000060020000}"/>
    <cellStyle name="Estilo 1 171" xfId="635" xr:uid="{00000000-0005-0000-0000-000061020000}"/>
    <cellStyle name="Estilo 1 171 2" xfId="636" xr:uid="{00000000-0005-0000-0000-000062020000}"/>
    <cellStyle name="Estilo 1 172" xfId="637" xr:uid="{00000000-0005-0000-0000-000063020000}"/>
    <cellStyle name="Estilo 1 172 2" xfId="638" xr:uid="{00000000-0005-0000-0000-000064020000}"/>
    <cellStyle name="Estilo 1 173" xfId="639" xr:uid="{00000000-0005-0000-0000-000065020000}"/>
    <cellStyle name="Estilo 1 173 2" xfId="640" xr:uid="{00000000-0005-0000-0000-000066020000}"/>
    <cellStyle name="Estilo 1 174" xfId="641" xr:uid="{00000000-0005-0000-0000-000067020000}"/>
    <cellStyle name="Estilo 1 174 2" xfId="642" xr:uid="{00000000-0005-0000-0000-000068020000}"/>
    <cellStyle name="Estilo 1 175" xfId="643" xr:uid="{00000000-0005-0000-0000-000069020000}"/>
    <cellStyle name="Estilo 1 175 2" xfId="644" xr:uid="{00000000-0005-0000-0000-00006A020000}"/>
    <cellStyle name="Estilo 1 176" xfId="645" xr:uid="{00000000-0005-0000-0000-00006B020000}"/>
    <cellStyle name="Estilo 1 176 2" xfId="646" xr:uid="{00000000-0005-0000-0000-00006C020000}"/>
    <cellStyle name="Estilo 1 177" xfId="647" xr:uid="{00000000-0005-0000-0000-00006D020000}"/>
    <cellStyle name="Estilo 1 177 2" xfId="648" xr:uid="{00000000-0005-0000-0000-00006E020000}"/>
    <cellStyle name="Estilo 1 178" xfId="649" xr:uid="{00000000-0005-0000-0000-00006F020000}"/>
    <cellStyle name="Estilo 1 178 2" xfId="650" xr:uid="{00000000-0005-0000-0000-000070020000}"/>
    <cellStyle name="Estilo 1 179" xfId="651" xr:uid="{00000000-0005-0000-0000-000071020000}"/>
    <cellStyle name="Estilo 1 179 2" xfId="652" xr:uid="{00000000-0005-0000-0000-000072020000}"/>
    <cellStyle name="Estilo 1 18" xfId="653" xr:uid="{00000000-0005-0000-0000-000073020000}"/>
    <cellStyle name="Estilo 1 18 2" xfId="654" xr:uid="{00000000-0005-0000-0000-000074020000}"/>
    <cellStyle name="Estilo 1 18 3" xfId="655" xr:uid="{00000000-0005-0000-0000-000075020000}"/>
    <cellStyle name="Estilo 1 18_Enlaces" xfId="656" xr:uid="{00000000-0005-0000-0000-000076020000}"/>
    <cellStyle name="Estilo 1 180" xfId="657" xr:uid="{00000000-0005-0000-0000-000077020000}"/>
    <cellStyle name="Estilo 1 180 2" xfId="658" xr:uid="{00000000-0005-0000-0000-000078020000}"/>
    <cellStyle name="Estilo 1 181" xfId="659" xr:uid="{00000000-0005-0000-0000-000079020000}"/>
    <cellStyle name="Estilo 1 181 2" xfId="660" xr:uid="{00000000-0005-0000-0000-00007A020000}"/>
    <cellStyle name="Estilo 1 182" xfId="661" xr:uid="{00000000-0005-0000-0000-00007B020000}"/>
    <cellStyle name="Estilo 1 182 2" xfId="662" xr:uid="{00000000-0005-0000-0000-00007C020000}"/>
    <cellStyle name="Estilo 1 183" xfId="663" xr:uid="{00000000-0005-0000-0000-00007D020000}"/>
    <cellStyle name="Estilo 1 183 2" xfId="664" xr:uid="{00000000-0005-0000-0000-00007E020000}"/>
    <cellStyle name="Estilo 1 184" xfId="665" xr:uid="{00000000-0005-0000-0000-00007F020000}"/>
    <cellStyle name="Estilo 1 184 2" xfId="666" xr:uid="{00000000-0005-0000-0000-000080020000}"/>
    <cellStyle name="Estilo 1 185" xfId="667" xr:uid="{00000000-0005-0000-0000-000081020000}"/>
    <cellStyle name="Estilo 1 185 2" xfId="668" xr:uid="{00000000-0005-0000-0000-000082020000}"/>
    <cellStyle name="Estilo 1 186" xfId="669" xr:uid="{00000000-0005-0000-0000-000083020000}"/>
    <cellStyle name="Estilo 1 186 2" xfId="670" xr:uid="{00000000-0005-0000-0000-000084020000}"/>
    <cellStyle name="Estilo 1 187" xfId="671" xr:uid="{00000000-0005-0000-0000-000085020000}"/>
    <cellStyle name="Estilo 1 187 2" xfId="672" xr:uid="{00000000-0005-0000-0000-000086020000}"/>
    <cellStyle name="Estilo 1 188" xfId="673" xr:uid="{00000000-0005-0000-0000-000087020000}"/>
    <cellStyle name="Estilo 1 188 2" xfId="674" xr:uid="{00000000-0005-0000-0000-000088020000}"/>
    <cellStyle name="Estilo 1 189" xfId="675" xr:uid="{00000000-0005-0000-0000-000089020000}"/>
    <cellStyle name="Estilo 1 189 2" xfId="676" xr:uid="{00000000-0005-0000-0000-00008A020000}"/>
    <cellStyle name="Estilo 1 19" xfId="677" xr:uid="{00000000-0005-0000-0000-00008B020000}"/>
    <cellStyle name="Estilo 1 19 2" xfId="678" xr:uid="{00000000-0005-0000-0000-00008C020000}"/>
    <cellStyle name="Estilo 1 19 3" xfId="679" xr:uid="{00000000-0005-0000-0000-00008D020000}"/>
    <cellStyle name="Estilo 1 19_Enlaces" xfId="680" xr:uid="{00000000-0005-0000-0000-00008E020000}"/>
    <cellStyle name="Estilo 1 190" xfId="681" xr:uid="{00000000-0005-0000-0000-00008F020000}"/>
    <cellStyle name="Estilo 1 190 2" xfId="682" xr:uid="{00000000-0005-0000-0000-000090020000}"/>
    <cellStyle name="Estilo 1 191" xfId="683" xr:uid="{00000000-0005-0000-0000-000091020000}"/>
    <cellStyle name="Estilo 1 191 2" xfId="684" xr:uid="{00000000-0005-0000-0000-000092020000}"/>
    <cellStyle name="Estilo 1 192" xfId="685" xr:uid="{00000000-0005-0000-0000-000093020000}"/>
    <cellStyle name="Estilo 1 192 2" xfId="686" xr:uid="{00000000-0005-0000-0000-000094020000}"/>
    <cellStyle name="Estilo 1 193" xfId="687" xr:uid="{00000000-0005-0000-0000-000095020000}"/>
    <cellStyle name="Estilo 1 193 2" xfId="688" xr:uid="{00000000-0005-0000-0000-000096020000}"/>
    <cellStyle name="Estilo 1 194" xfId="689" xr:uid="{00000000-0005-0000-0000-000097020000}"/>
    <cellStyle name="Estilo 1 194 2" xfId="690" xr:uid="{00000000-0005-0000-0000-000098020000}"/>
    <cellStyle name="Estilo 1 195" xfId="691" xr:uid="{00000000-0005-0000-0000-000099020000}"/>
    <cellStyle name="Estilo 1 195 2" xfId="692" xr:uid="{00000000-0005-0000-0000-00009A020000}"/>
    <cellStyle name="Estilo 1 196" xfId="693" xr:uid="{00000000-0005-0000-0000-00009B020000}"/>
    <cellStyle name="Estilo 1 196 2" xfId="694" xr:uid="{00000000-0005-0000-0000-00009C020000}"/>
    <cellStyle name="Estilo 1 197" xfId="695" xr:uid="{00000000-0005-0000-0000-00009D020000}"/>
    <cellStyle name="Estilo 1 197 2" xfId="696" xr:uid="{00000000-0005-0000-0000-00009E020000}"/>
    <cellStyle name="Estilo 1 198" xfId="697" xr:uid="{00000000-0005-0000-0000-00009F020000}"/>
    <cellStyle name="Estilo 1 198 2" xfId="698" xr:uid="{00000000-0005-0000-0000-0000A0020000}"/>
    <cellStyle name="Estilo 1 199" xfId="699" xr:uid="{00000000-0005-0000-0000-0000A1020000}"/>
    <cellStyle name="Estilo 1 199 2" xfId="700" xr:uid="{00000000-0005-0000-0000-0000A2020000}"/>
    <cellStyle name="Estilo 1 2" xfId="701" xr:uid="{00000000-0005-0000-0000-0000A3020000}"/>
    <cellStyle name="Estilo 1 2 2" xfId="702" xr:uid="{00000000-0005-0000-0000-0000A4020000}"/>
    <cellStyle name="Estilo 1 2 2 2" xfId="703" xr:uid="{00000000-0005-0000-0000-0000A5020000}"/>
    <cellStyle name="Estilo 1 2 3" xfId="704" xr:uid="{00000000-0005-0000-0000-0000A6020000}"/>
    <cellStyle name="Estilo 1 2 3 2" xfId="705" xr:uid="{00000000-0005-0000-0000-0000A7020000}"/>
    <cellStyle name="Estilo 1 2 4" xfId="706" xr:uid="{00000000-0005-0000-0000-0000A8020000}"/>
    <cellStyle name="Estilo 1 2 4 2" xfId="707" xr:uid="{00000000-0005-0000-0000-0000A9020000}"/>
    <cellStyle name="Estilo 1 2 5" xfId="708" xr:uid="{00000000-0005-0000-0000-0000AA020000}"/>
    <cellStyle name="Estilo 1 2 6" xfId="709" xr:uid="{00000000-0005-0000-0000-0000AB020000}"/>
    <cellStyle name="Estilo 1 2 7" xfId="710" xr:uid="{00000000-0005-0000-0000-0000AC020000}"/>
    <cellStyle name="Estilo 1 2 7 2" xfId="711" xr:uid="{00000000-0005-0000-0000-0000AD020000}"/>
    <cellStyle name="Estilo 1 2_Enlaces" xfId="712" xr:uid="{00000000-0005-0000-0000-0000AE020000}"/>
    <cellStyle name="Estilo 1 20" xfId="713" xr:uid="{00000000-0005-0000-0000-0000AF020000}"/>
    <cellStyle name="Estilo 1 20 2" xfId="714" xr:uid="{00000000-0005-0000-0000-0000B0020000}"/>
    <cellStyle name="Estilo 1 20 3" xfId="715" xr:uid="{00000000-0005-0000-0000-0000B1020000}"/>
    <cellStyle name="Estilo 1 20_Enlaces" xfId="716" xr:uid="{00000000-0005-0000-0000-0000B2020000}"/>
    <cellStyle name="Estilo 1 200" xfId="717" xr:uid="{00000000-0005-0000-0000-0000B3020000}"/>
    <cellStyle name="Estilo 1 200 2" xfId="718" xr:uid="{00000000-0005-0000-0000-0000B4020000}"/>
    <cellStyle name="Estilo 1 21" xfId="719" xr:uid="{00000000-0005-0000-0000-0000B5020000}"/>
    <cellStyle name="Estilo 1 21 2" xfId="720" xr:uid="{00000000-0005-0000-0000-0000B6020000}"/>
    <cellStyle name="Estilo 1 21_Enlaces" xfId="721" xr:uid="{00000000-0005-0000-0000-0000B7020000}"/>
    <cellStyle name="Estilo 1 22" xfId="722" xr:uid="{00000000-0005-0000-0000-0000B8020000}"/>
    <cellStyle name="Estilo 1 22 2" xfId="723" xr:uid="{00000000-0005-0000-0000-0000B9020000}"/>
    <cellStyle name="Estilo 1 22_Enlaces" xfId="724" xr:uid="{00000000-0005-0000-0000-0000BA020000}"/>
    <cellStyle name="Estilo 1 23" xfId="725" xr:uid="{00000000-0005-0000-0000-0000BB020000}"/>
    <cellStyle name="Estilo 1 23 2" xfId="726" xr:uid="{00000000-0005-0000-0000-0000BC020000}"/>
    <cellStyle name="Estilo 1 23_Enlaces" xfId="727" xr:uid="{00000000-0005-0000-0000-0000BD020000}"/>
    <cellStyle name="Estilo 1 24" xfId="728" xr:uid="{00000000-0005-0000-0000-0000BE020000}"/>
    <cellStyle name="Estilo 1 24 2" xfId="729" xr:uid="{00000000-0005-0000-0000-0000BF020000}"/>
    <cellStyle name="Estilo 1 24_Enlaces" xfId="730" xr:uid="{00000000-0005-0000-0000-0000C0020000}"/>
    <cellStyle name="Estilo 1 25" xfId="731" xr:uid="{00000000-0005-0000-0000-0000C1020000}"/>
    <cellStyle name="Estilo 1 25 2" xfId="732" xr:uid="{00000000-0005-0000-0000-0000C2020000}"/>
    <cellStyle name="Estilo 1 25_Enlaces" xfId="733" xr:uid="{00000000-0005-0000-0000-0000C3020000}"/>
    <cellStyle name="Estilo 1 26" xfId="734" xr:uid="{00000000-0005-0000-0000-0000C4020000}"/>
    <cellStyle name="Estilo 1 26 2" xfId="735" xr:uid="{00000000-0005-0000-0000-0000C5020000}"/>
    <cellStyle name="Estilo 1 26_Enlaces" xfId="736" xr:uid="{00000000-0005-0000-0000-0000C6020000}"/>
    <cellStyle name="Estilo 1 27" xfId="737" xr:uid="{00000000-0005-0000-0000-0000C7020000}"/>
    <cellStyle name="Estilo 1 27 2" xfId="738" xr:uid="{00000000-0005-0000-0000-0000C8020000}"/>
    <cellStyle name="Estilo 1 27_Enlaces" xfId="739" xr:uid="{00000000-0005-0000-0000-0000C9020000}"/>
    <cellStyle name="Estilo 1 28" xfId="740" xr:uid="{00000000-0005-0000-0000-0000CA020000}"/>
    <cellStyle name="Estilo 1 29" xfId="741" xr:uid="{00000000-0005-0000-0000-0000CB020000}"/>
    <cellStyle name="Estilo 1 3" xfId="742" xr:uid="{00000000-0005-0000-0000-0000CC020000}"/>
    <cellStyle name="Estilo 1 3 2" xfId="743" xr:uid="{00000000-0005-0000-0000-0000CD020000}"/>
    <cellStyle name="Estilo 1 3 3" xfId="744" xr:uid="{00000000-0005-0000-0000-0000CE020000}"/>
    <cellStyle name="Estilo 1 3_Enlaces" xfId="745" xr:uid="{00000000-0005-0000-0000-0000CF020000}"/>
    <cellStyle name="Estilo 1 30" xfId="746" xr:uid="{00000000-0005-0000-0000-0000D0020000}"/>
    <cellStyle name="Estilo 1 31" xfId="747" xr:uid="{00000000-0005-0000-0000-0000D1020000}"/>
    <cellStyle name="Estilo 1 32" xfId="748" xr:uid="{00000000-0005-0000-0000-0000D2020000}"/>
    <cellStyle name="Estilo 1 33" xfId="749" xr:uid="{00000000-0005-0000-0000-0000D3020000}"/>
    <cellStyle name="Estilo 1 34" xfId="750" xr:uid="{00000000-0005-0000-0000-0000D4020000}"/>
    <cellStyle name="Estilo 1 35" xfId="751" xr:uid="{00000000-0005-0000-0000-0000D5020000}"/>
    <cellStyle name="Estilo 1 36" xfId="752" xr:uid="{00000000-0005-0000-0000-0000D6020000}"/>
    <cellStyle name="Estilo 1 37" xfId="753" xr:uid="{00000000-0005-0000-0000-0000D7020000}"/>
    <cellStyle name="Estilo 1 38" xfId="754" xr:uid="{00000000-0005-0000-0000-0000D8020000}"/>
    <cellStyle name="Estilo 1 39" xfId="755" xr:uid="{00000000-0005-0000-0000-0000D9020000}"/>
    <cellStyle name="Estilo 1 4" xfId="756" xr:uid="{00000000-0005-0000-0000-0000DA020000}"/>
    <cellStyle name="Estilo 1 4 2" xfId="757" xr:uid="{00000000-0005-0000-0000-0000DB020000}"/>
    <cellStyle name="Estilo 1 4 3" xfId="758" xr:uid="{00000000-0005-0000-0000-0000DC020000}"/>
    <cellStyle name="Estilo 1 4_Enlaces" xfId="759" xr:uid="{00000000-0005-0000-0000-0000DD020000}"/>
    <cellStyle name="Estilo 1 40" xfId="760" xr:uid="{00000000-0005-0000-0000-0000DE020000}"/>
    <cellStyle name="Estilo 1 41" xfId="761" xr:uid="{00000000-0005-0000-0000-0000DF020000}"/>
    <cellStyle name="Estilo 1 42" xfId="762" xr:uid="{00000000-0005-0000-0000-0000E0020000}"/>
    <cellStyle name="Estilo 1 43" xfId="763" xr:uid="{00000000-0005-0000-0000-0000E1020000}"/>
    <cellStyle name="Estilo 1 44" xfId="764" xr:uid="{00000000-0005-0000-0000-0000E2020000}"/>
    <cellStyle name="Estilo 1 45" xfId="765" xr:uid="{00000000-0005-0000-0000-0000E3020000}"/>
    <cellStyle name="Estilo 1 46" xfId="766" xr:uid="{00000000-0005-0000-0000-0000E4020000}"/>
    <cellStyle name="Estilo 1 47" xfId="767" xr:uid="{00000000-0005-0000-0000-0000E5020000}"/>
    <cellStyle name="Estilo 1 48" xfId="768" xr:uid="{00000000-0005-0000-0000-0000E6020000}"/>
    <cellStyle name="Estilo 1 49" xfId="769" xr:uid="{00000000-0005-0000-0000-0000E7020000}"/>
    <cellStyle name="Estilo 1 5" xfId="770" xr:uid="{00000000-0005-0000-0000-0000E8020000}"/>
    <cellStyle name="Estilo 1 5 2" xfId="771" xr:uid="{00000000-0005-0000-0000-0000E9020000}"/>
    <cellStyle name="Estilo 1 5 3" xfId="772" xr:uid="{00000000-0005-0000-0000-0000EA020000}"/>
    <cellStyle name="Estilo 1 5_Enlaces" xfId="773" xr:uid="{00000000-0005-0000-0000-0000EB020000}"/>
    <cellStyle name="Estilo 1 50" xfId="774" xr:uid="{00000000-0005-0000-0000-0000EC020000}"/>
    <cellStyle name="Estilo 1 51" xfId="775" xr:uid="{00000000-0005-0000-0000-0000ED020000}"/>
    <cellStyle name="Estilo 1 52" xfId="776" xr:uid="{00000000-0005-0000-0000-0000EE020000}"/>
    <cellStyle name="Estilo 1 53" xfId="777" xr:uid="{00000000-0005-0000-0000-0000EF020000}"/>
    <cellStyle name="Estilo 1 54" xfId="778" xr:uid="{00000000-0005-0000-0000-0000F0020000}"/>
    <cellStyle name="Estilo 1 55" xfId="779" xr:uid="{00000000-0005-0000-0000-0000F1020000}"/>
    <cellStyle name="Estilo 1 56" xfId="780" xr:uid="{00000000-0005-0000-0000-0000F2020000}"/>
    <cellStyle name="Estilo 1 57" xfId="781" xr:uid="{00000000-0005-0000-0000-0000F3020000}"/>
    <cellStyle name="Estilo 1 57 2" xfId="782" xr:uid="{00000000-0005-0000-0000-0000F4020000}"/>
    <cellStyle name="Estilo 1 57 3" xfId="783" xr:uid="{00000000-0005-0000-0000-0000F5020000}"/>
    <cellStyle name="Estilo 1 57 4" xfId="784" xr:uid="{00000000-0005-0000-0000-0000F6020000}"/>
    <cellStyle name="Estilo 1 57 5" xfId="785" xr:uid="{00000000-0005-0000-0000-0000F7020000}"/>
    <cellStyle name="Estilo 1 57 6" xfId="786" xr:uid="{00000000-0005-0000-0000-0000F8020000}"/>
    <cellStyle name="Estilo 1 58" xfId="787" xr:uid="{00000000-0005-0000-0000-0000F9020000}"/>
    <cellStyle name="Estilo 1 58 2" xfId="788" xr:uid="{00000000-0005-0000-0000-0000FA020000}"/>
    <cellStyle name="Estilo 1 58 3" xfId="789" xr:uid="{00000000-0005-0000-0000-0000FB020000}"/>
    <cellStyle name="Estilo 1 58 4" xfId="790" xr:uid="{00000000-0005-0000-0000-0000FC020000}"/>
    <cellStyle name="Estilo 1 58 5" xfId="791" xr:uid="{00000000-0005-0000-0000-0000FD020000}"/>
    <cellStyle name="Estilo 1 58 6" xfId="792" xr:uid="{00000000-0005-0000-0000-0000FE020000}"/>
    <cellStyle name="Estilo 1 59" xfId="793" xr:uid="{00000000-0005-0000-0000-0000FF020000}"/>
    <cellStyle name="Estilo 1 59 2" xfId="794" xr:uid="{00000000-0005-0000-0000-000000030000}"/>
    <cellStyle name="Estilo 1 59 3" xfId="795" xr:uid="{00000000-0005-0000-0000-000001030000}"/>
    <cellStyle name="Estilo 1 6" xfId="796" xr:uid="{00000000-0005-0000-0000-000002030000}"/>
    <cellStyle name="Estilo 1 6 2" xfId="797" xr:uid="{00000000-0005-0000-0000-000003030000}"/>
    <cellStyle name="Estilo 1 6 3" xfId="798" xr:uid="{00000000-0005-0000-0000-000004030000}"/>
    <cellStyle name="Estilo 1 6_Enlaces" xfId="799" xr:uid="{00000000-0005-0000-0000-000005030000}"/>
    <cellStyle name="Estilo 1 60" xfId="800" xr:uid="{00000000-0005-0000-0000-000006030000}"/>
    <cellStyle name="Estilo 1 60 2" xfId="801" xr:uid="{00000000-0005-0000-0000-000007030000}"/>
    <cellStyle name="Estilo 1 60 3" xfId="802" xr:uid="{00000000-0005-0000-0000-000008030000}"/>
    <cellStyle name="Estilo 1 61" xfId="803" xr:uid="{00000000-0005-0000-0000-000009030000}"/>
    <cellStyle name="Estilo 1 61 2" xfId="804" xr:uid="{00000000-0005-0000-0000-00000A030000}"/>
    <cellStyle name="Estilo 1 61 3" xfId="805" xr:uid="{00000000-0005-0000-0000-00000B030000}"/>
    <cellStyle name="Estilo 1 62" xfId="806" xr:uid="{00000000-0005-0000-0000-00000C030000}"/>
    <cellStyle name="Estilo 1 62 2" xfId="807" xr:uid="{00000000-0005-0000-0000-00000D030000}"/>
    <cellStyle name="Estilo 1 62 3" xfId="808" xr:uid="{00000000-0005-0000-0000-00000E030000}"/>
    <cellStyle name="Estilo 1 63" xfId="809" xr:uid="{00000000-0005-0000-0000-00000F030000}"/>
    <cellStyle name="Estilo 1 63 2" xfId="810" xr:uid="{00000000-0005-0000-0000-000010030000}"/>
    <cellStyle name="Estilo 1 63 3" xfId="811" xr:uid="{00000000-0005-0000-0000-000011030000}"/>
    <cellStyle name="Estilo 1 64" xfId="812" xr:uid="{00000000-0005-0000-0000-000012030000}"/>
    <cellStyle name="Estilo 1 64 2" xfId="813" xr:uid="{00000000-0005-0000-0000-000013030000}"/>
    <cellStyle name="Estilo 1 64 3" xfId="814" xr:uid="{00000000-0005-0000-0000-000014030000}"/>
    <cellStyle name="Estilo 1 65" xfId="815" xr:uid="{00000000-0005-0000-0000-000015030000}"/>
    <cellStyle name="Estilo 1 65 2" xfId="816" xr:uid="{00000000-0005-0000-0000-000016030000}"/>
    <cellStyle name="Estilo 1 65 3" xfId="817" xr:uid="{00000000-0005-0000-0000-000017030000}"/>
    <cellStyle name="Estilo 1 66" xfId="818" xr:uid="{00000000-0005-0000-0000-000018030000}"/>
    <cellStyle name="Estilo 1 66 2" xfId="819" xr:uid="{00000000-0005-0000-0000-000019030000}"/>
    <cellStyle name="Estilo 1 66 3" xfId="820" xr:uid="{00000000-0005-0000-0000-00001A030000}"/>
    <cellStyle name="Estilo 1 67" xfId="821" xr:uid="{00000000-0005-0000-0000-00001B030000}"/>
    <cellStyle name="Estilo 1 67 2" xfId="822" xr:uid="{00000000-0005-0000-0000-00001C030000}"/>
    <cellStyle name="Estilo 1 67 3" xfId="823" xr:uid="{00000000-0005-0000-0000-00001D030000}"/>
    <cellStyle name="Estilo 1 68" xfId="824" xr:uid="{00000000-0005-0000-0000-00001E030000}"/>
    <cellStyle name="Estilo 1 68 2" xfId="825" xr:uid="{00000000-0005-0000-0000-00001F030000}"/>
    <cellStyle name="Estilo 1 68 3" xfId="826" xr:uid="{00000000-0005-0000-0000-000020030000}"/>
    <cellStyle name="Estilo 1 69" xfId="827" xr:uid="{00000000-0005-0000-0000-000021030000}"/>
    <cellStyle name="Estilo 1 69 2" xfId="828" xr:uid="{00000000-0005-0000-0000-000022030000}"/>
    <cellStyle name="Estilo 1 69 3" xfId="829" xr:uid="{00000000-0005-0000-0000-000023030000}"/>
    <cellStyle name="Estilo 1 7" xfId="830" xr:uid="{00000000-0005-0000-0000-000024030000}"/>
    <cellStyle name="Estilo 1 7 2" xfId="831" xr:uid="{00000000-0005-0000-0000-000025030000}"/>
    <cellStyle name="Estilo 1 7 3" xfId="832" xr:uid="{00000000-0005-0000-0000-000026030000}"/>
    <cellStyle name="Estilo 1 7_Enlaces" xfId="833" xr:uid="{00000000-0005-0000-0000-000027030000}"/>
    <cellStyle name="Estilo 1 70" xfId="834" xr:uid="{00000000-0005-0000-0000-000028030000}"/>
    <cellStyle name="Estilo 1 70 2" xfId="835" xr:uid="{00000000-0005-0000-0000-000029030000}"/>
    <cellStyle name="Estilo 1 70 3" xfId="836" xr:uid="{00000000-0005-0000-0000-00002A030000}"/>
    <cellStyle name="Estilo 1 71" xfId="837" xr:uid="{00000000-0005-0000-0000-00002B030000}"/>
    <cellStyle name="Estilo 1 71 2" xfId="838" xr:uid="{00000000-0005-0000-0000-00002C030000}"/>
    <cellStyle name="Estilo 1 71 3" xfId="839" xr:uid="{00000000-0005-0000-0000-00002D030000}"/>
    <cellStyle name="Estilo 1 72" xfId="840" xr:uid="{00000000-0005-0000-0000-00002E030000}"/>
    <cellStyle name="Estilo 1 72 2" xfId="841" xr:uid="{00000000-0005-0000-0000-00002F030000}"/>
    <cellStyle name="Estilo 1 72 3" xfId="842" xr:uid="{00000000-0005-0000-0000-000030030000}"/>
    <cellStyle name="Estilo 1 73" xfId="843" xr:uid="{00000000-0005-0000-0000-000031030000}"/>
    <cellStyle name="Estilo 1 73 2" xfId="844" xr:uid="{00000000-0005-0000-0000-000032030000}"/>
    <cellStyle name="Estilo 1 73 3" xfId="845" xr:uid="{00000000-0005-0000-0000-000033030000}"/>
    <cellStyle name="Estilo 1 74" xfId="846" xr:uid="{00000000-0005-0000-0000-000034030000}"/>
    <cellStyle name="Estilo 1 74 2" xfId="847" xr:uid="{00000000-0005-0000-0000-000035030000}"/>
    <cellStyle name="Estilo 1 74 3" xfId="848" xr:uid="{00000000-0005-0000-0000-000036030000}"/>
    <cellStyle name="Estilo 1 75" xfId="849" xr:uid="{00000000-0005-0000-0000-000037030000}"/>
    <cellStyle name="Estilo 1 75 2" xfId="850" xr:uid="{00000000-0005-0000-0000-000038030000}"/>
    <cellStyle name="Estilo 1 75 3" xfId="851" xr:uid="{00000000-0005-0000-0000-000039030000}"/>
    <cellStyle name="Estilo 1 76" xfId="852" xr:uid="{00000000-0005-0000-0000-00003A030000}"/>
    <cellStyle name="Estilo 1 76 2" xfId="853" xr:uid="{00000000-0005-0000-0000-00003B030000}"/>
    <cellStyle name="Estilo 1 76 3" xfId="854" xr:uid="{00000000-0005-0000-0000-00003C030000}"/>
    <cellStyle name="Estilo 1 77" xfId="855" xr:uid="{00000000-0005-0000-0000-00003D030000}"/>
    <cellStyle name="Estilo 1 77 2" xfId="856" xr:uid="{00000000-0005-0000-0000-00003E030000}"/>
    <cellStyle name="Estilo 1 77 3" xfId="857" xr:uid="{00000000-0005-0000-0000-00003F030000}"/>
    <cellStyle name="Estilo 1 78" xfId="858" xr:uid="{00000000-0005-0000-0000-000040030000}"/>
    <cellStyle name="Estilo 1 78 2" xfId="859" xr:uid="{00000000-0005-0000-0000-000041030000}"/>
    <cellStyle name="Estilo 1 78 3" xfId="860" xr:uid="{00000000-0005-0000-0000-000042030000}"/>
    <cellStyle name="Estilo 1 79" xfId="861" xr:uid="{00000000-0005-0000-0000-000043030000}"/>
    <cellStyle name="Estilo 1 79 2" xfId="862" xr:uid="{00000000-0005-0000-0000-000044030000}"/>
    <cellStyle name="Estilo 1 79 3" xfId="863" xr:uid="{00000000-0005-0000-0000-000045030000}"/>
    <cellStyle name="Estilo 1 8" xfId="864" xr:uid="{00000000-0005-0000-0000-000046030000}"/>
    <cellStyle name="Estilo 1 8 2" xfId="865" xr:uid="{00000000-0005-0000-0000-000047030000}"/>
    <cellStyle name="Estilo 1 8 3" xfId="866" xr:uid="{00000000-0005-0000-0000-000048030000}"/>
    <cellStyle name="Estilo 1 8_Enlaces" xfId="867" xr:uid="{00000000-0005-0000-0000-000049030000}"/>
    <cellStyle name="Estilo 1 80" xfId="868" xr:uid="{00000000-0005-0000-0000-00004A030000}"/>
    <cellStyle name="Estilo 1 80 2" xfId="869" xr:uid="{00000000-0005-0000-0000-00004B030000}"/>
    <cellStyle name="Estilo 1 80 3" xfId="870" xr:uid="{00000000-0005-0000-0000-00004C030000}"/>
    <cellStyle name="Estilo 1 81" xfId="871" xr:uid="{00000000-0005-0000-0000-00004D030000}"/>
    <cellStyle name="Estilo 1 81 2" xfId="872" xr:uid="{00000000-0005-0000-0000-00004E030000}"/>
    <cellStyle name="Estilo 1 81 3" xfId="873" xr:uid="{00000000-0005-0000-0000-00004F030000}"/>
    <cellStyle name="Estilo 1 82" xfId="874" xr:uid="{00000000-0005-0000-0000-000050030000}"/>
    <cellStyle name="Estilo 1 82 2" xfId="875" xr:uid="{00000000-0005-0000-0000-000051030000}"/>
    <cellStyle name="Estilo 1 82 3" xfId="876" xr:uid="{00000000-0005-0000-0000-000052030000}"/>
    <cellStyle name="Estilo 1 83" xfId="877" xr:uid="{00000000-0005-0000-0000-000053030000}"/>
    <cellStyle name="Estilo 1 84" xfId="878" xr:uid="{00000000-0005-0000-0000-000054030000}"/>
    <cellStyle name="Estilo 1 85" xfId="879" xr:uid="{00000000-0005-0000-0000-000055030000}"/>
    <cellStyle name="Estilo 1 86" xfId="880" xr:uid="{00000000-0005-0000-0000-000056030000}"/>
    <cellStyle name="Estilo 1 87" xfId="881" xr:uid="{00000000-0005-0000-0000-000057030000}"/>
    <cellStyle name="Estilo 1 88" xfId="882" xr:uid="{00000000-0005-0000-0000-000058030000}"/>
    <cellStyle name="Estilo 1 89" xfId="883" xr:uid="{00000000-0005-0000-0000-000059030000}"/>
    <cellStyle name="Estilo 1 9" xfId="884" xr:uid="{00000000-0005-0000-0000-00005A030000}"/>
    <cellStyle name="Estilo 1 9 2" xfId="885" xr:uid="{00000000-0005-0000-0000-00005B030000}"/>
    <cellStyle name="Estilo 1 9 3" xfId="886" xr:uid="{00000000-0005-0000-0000-00005C030000}"/>
    <cellStyle name="Estilo 1 9_Enlaces" xfId="887" xr:uid="{00000000-0005-0000-0000-00005D030000}"/>
    <cellStyle name="Estilo 1 90" xfId="888" xr:uid="{00000000-0005-0000-0000-00005E030000}"/>
    <cellStyle name="Estilo 1 90 2" xfId="889" xr:uid="{00000000-0005-0000-0000-00005F030000}"/>
    <cellStyle name="Estilo 1 91" xfId="890" xr:uid="{00000000-0005-0000-0000-000060030000}"/>
    <cellStyle name="Estilo 1 91 2" xfId="891" xr:uid="{00000000-0005-0000-0000-000061030000}"/>
    <cellStyle name="Estilo 1 92" xfId="892" xr:uid="{00000000-0005-0000-0000-000062030000}"/>
    <cellStyle name="Estilo 1 92 2" xfId="893" xr:uid="{00000000-0005-0000-0000-000063030000}"/>
    <cellStyle name="Estilo 1 93" xfId="894" xr:uid="{00000000-0005-0000-0000-000064030000}"/>
    <cellStyle name="Estilo 1 93 2" xfId="895" xr:uid="{00000000-0005-0000-0000-000065030000}"/>
    <cellStyle name="Estilo 1 94" xfId="896" xr:uid="{00000000-0005-0000-0000-000066030000}"/>
    <cellStyle name="Estilo 1 94 2" xfId="897" xr:uid="{00000000-0005-0000-0000-000067030000}"/>
    <cellStyle name="Estilo 1 95" xfId="898" xr:uid="{00000000-0005-0000-0000-000068030000}"/>
    <cellStyle name="Estilo 1 95 2" xfId="899" xr:uid="{00000000-0005-0000-0000-000069030000}"/>
    <cellStyle name="Estilo 1 96" xfId="900" xr:uid="{00000000-0005-0000-0000-00006A030000}"/>
    <cellStyle name="Estilo 1 96 2" xfId="901" xr:uid="{00000000-0005-0000-0000-00006B030000}"/>
    <cellStyle name="Estilo 1 97" xfId="902" xr:uid="{00000000-0005-0000-0000-00006C030000}"/>
    <cellStyle name="Estilo 1 97 2" xfId="903" xr:uid="{00000000-0005-0000-0000-00006D030000}"/>
    <cellStyle name="Estilo 1 98" xfId="904" xr:uid="{00000000-0005-0000-0000-00006E030000}"/>
    <cellStyle name="Estilo 1 98 2" xfId="905" xr:uid="{00000000-0005-0000-0000-00006F030000}"/>
    <cellStyle name="Estilo 1 99" xfId="906" xr:uid="{00000000-0005-0000-0000-000070030000}"/>
    <cellStyle name="Estilo 1 99 2" xfId="907" xr:uid="{00000000-0005-0000-0000-000071030000}"/>
    <cellStyle name="Estilo 1_Enlaces" xfId="908" xr:uid="{00000000-0005-0000-0000-000072030000}"/>
    <cellStyle name="Euro" xfId="909" xr:uid="{00000000-0005-0000-0000-000073030000}"/>
    <cellStyle name="Euro 10" xfId="910" xr:uid="{00000000-0005-0000-0000-000074030000}"/>
    <cellStyle name="Euro 11" xfId="911" xr:uid="{00000000-0005-0000-0000-000075030000}"/>
    <cellStyle name="Euro 12" xfId="912" xr:uid="{00000000-0005-0000-0000-000076030000}"/>
    <cellStyle name="Euro 13" xfId="913" xr:uid="{00000000-0005-0000-0000-000077030000}"/>
    <cellStyle name="Euro 14" xfId="914" xr:uid="{00000000-0005-0000-0000-000078030000}"/>
    <cellStyle name="Euro 15" xfId="915" xr:uid="{00000000-0005-0000-0000-000079030000}"/>
    <cellStyle name="Euro 16" xfId="916" xr:uid="{00000000-0005-0000-0000-00007A030000}"/>
    <cellStyle name="Euro 17" xfId="917" xr:uid="{00000000-0005-0000-0000-00007B030000}"/>
    <cellStyle name="Euro 18" xfId="918" xr:uid="{00000000-0005-0000-0000-00007C030000}"/>
    <cellStyle name="Euro 19" xfId="919" xr:uid="{00000000-0005-0000-0000-00007D030000}"/>
    <cellStyle name="Euro 2" xfId="920" xr:uid="{00000000-0005-0000-0000-00007E030000}"/>
    <cellStyle name="Euro 2 2" xfId="921" xr:uid="{00000000-0005-0000-0000-00007F030000}"/>
    <cellStyle name="Euro 20" xfId="922" xr:uid="{00000000-0005-0000-0000-000080030000}"/>
    <cellStyle name="Euro 21" xfId="923" xr:uid="{00000000-0005-0000-0000-000081030000}"/>
    <cellStyle name="Euro 3" xfId="924" xr:uid="{00000000-0005-0000-0000-000082030000}"/>
    <cellStyle name="Euro 4" xfId="925" xr:uid="{00000000-0005-0000-0000-000083030000}"/>
    <cellStyle name="Euro 5" xfId="926" xr:uid="{00000000-0005-0000-0000-000084030000}"/>
    <cellStyle name="Euro 6" xfId="927" xr:uid="{00000000-0005-0000-0000-000085030000}"/>
    <cellStyle name="Euro 7" xfId="928" xr:uid="{00000000-0005-0000-0000-000086030000}"/>
    <cellStyle name="Euro 8" xfId="929" xr:uid="{00000000-0005-0000-0000-000087030000}"/>
    <cellStyle name="Euro 9" xfId="930" xr:uid="{00000000-0005-0000-0000-000088030000}"/>
    <cellStyle name="Excel Built-in Normal" xfId="4" xr:uid="{00000000-0005-0000-0000-000089030000}"/>
    <cellStyle name="Excel Built-in Normal 2" xfId="931" xr:uid="{00000000-0005-0000-0000-00008A030000}"/>
    <cellStyle name="Excel Built-in Normal 2 2" xfId="932" xr:uid="{00000000-0005-0000-0000-00008B030000}"/>
    <cellStyle name="Excel Built-in Normal 3" xfId="933" xr:uid="{00000000-0005-0000-0000-00008C030000}"/>
    <cellStyle name="Explanatory Text" xfId="934" xr:uid="{00000000-0005-0000-0000-00008D030000}"/>
    <cellStyle name="Explanatory Text 2" xfId="935" xr:uid="{00000000-0005-0000-0000-00008E030000}"/>
    <cellStyle name="Explanatory Text 3" xfId="936" xr:uid="{00000000-0005-0000-0000-00008F030000}"/>
    <cellStyle name="Explanatory Text 4" xfId="937" xr:uid="{00000000-0005-0000-0000-000090030000}"/>
    <cellStyle name="Explanatory Text 5" xfId="938" xr:uid="{00000000-0005-0000-0000-000091030000}"/>
    <cellStyle name="Good" xfId="939" xr:uid="{00000000-0005-0000-0000-000092030000}"/>
    <cellStyle name="Good 2" xfId="940" xr:uid="{00000000-0005-0000-0000-000093030000}"/>
    <cellStyle name="Good 3" xfId="941" xr:uid="{00000000-0005-0000-0000-000094030000}"/>
    <cellStyle name="Good 4" xfId="942" xr:uid="{00000000-0005-0000-0000-000095030000}"/>
    <cellStyle name="Good 5" xfId="943" xr:uid="{00000000-0005-0000-0000-000096030000}"/>
    <cellStyle name="Heading 1" xfId="944" xr:uid="{00000000-0005-0000-0000-000097030000}"/>
    <cellStyle name="Heading 1 2" xfId="945" xr:uid="{00000000-0005-0000-0000-000098030000}"/>
    <cellStyle name="Heading 1 3" xfId="946" xr:uid="{00000000-0005-0000-0000-000099030000}"/>
    <cellStyle name="Heading 1 4" xfId="947" xr:uid="{00000000-0005-0000-0000-00009A030000}"/>
    <cellStyle name="Heading 1 5" xfId="948" xr:uid="{00000000-0005-0000-0000-00009B030000}"/>
    <cellStyle name="Heading 2" xfId="949" xr:uid="{00000000-0005-0000-0000-00009C030000}"/>
    <cellStyle name="Heading 2 2" xfId="950" xr:uid="{00000000-0005-0000-0000-00009D030000}"/>
    <cellStyle name="Heading 2 3" xfId="951" xr:uid="{00000000-0005-0000-0000-00009E030000}"/>
    <cellStyle name="Heading 2 4" xfId="952" xr:uid="{00000000-0005-0000-0000-00009F030000}"/>
    <cellStyle name="Heading 2 5" xfId="953" xr:uid="{00000000-0005-0000-0000-0000A0030000}"/>
    <cellStyle name="Heading 3" xfId="954" xr:uid="{00000000-0005-0000-0000-0000A1030000}"/>
    <cellStyle name="Heading 3 2" xfId="955" xr:uid="{00000000-0005-0000-0000-0000A2030000}"/>
    <cellStyle name="Heading 3 3" xfId="956" xr:uid="{00000000-0005-0000-0000-0000A3030000}"/>
    <cellStyle name="Heading 3 4" xfId="957" xr:uid="{00000000-0005-0000-0000-0000A4030000}"/>
    <cellStyle name="Heading 3 5" xfId="958" xr:uid="{00000000-0005-0000-0000-0000A5030000}"/>
    <cellStyle name="Heading 4" xfId="959" xr:uid="{00000000-0005-0000-0000-0000A6030000}"/>
    <cellStyle name="Heading 4 2" xfId="960" xr:uid="{00000000-0005-0000-0000-0000A7030000}"/>
    <cellStyle name="Heading 4 3" xfId="961" xr:uid="{00000000-0005-0000-0000-0000A8030000}"/>
    <cellStyle name="Heading 4 4" xfId="962" xr:uid="{00000000-0005-0000-0000-0000A9030000}"/>
    <cellStyle name="Heading 4 5" xfId="963" xr:uid="{00000000-0005-0000-0000-0000AA030000}"/>
    <cellStyle name="Hipervínculo 2" xfId="964" xr:uid="{00000000-0005-0000-0000-0000AB030000}"/>
    <cellStyle name="Hipervínculo 2 2" xfId="965" xr:uid="{00000000-0005-0000-0000-0000AC030000}"/>
    <cellStyle name="Hipervínculo 3" xfId="966" xr:uid="{00000000-0005-0000-0000-0000AD030000}"/>
    <cellStyle name="Hipervínculo 3 2" xfId="967" xr:uid="{00000000-0005-0000-0000-0000AE030000}"/>
    <cellStyle name="Hipervínculo 4" xfId="968" xr:uid="{00000000-0005-0000-0000-0000AF030000}"/>
    <cellStyle name="Hipervínculo 5" xfId="969" xr:uid="{00000000-0005-0000-0000-0000B0030000}"/>
    <cellStyle name="Hipervínculo 6" xfId="970" xr:uid="{00000000-0005-0000-0000-0000B1030000}"/>
    <cellStyle name="Incorrecto 2" xfId="971" xr:uid="{00000000-0005-0000-0000-0000B2030000}"/>
    <cellStyle name="Incorrecto 2 2" xfId="972" xr:uid="{00000000-0005-0000-0000-0000B3030000}"/>
    <cellStyle name="Incorrecto 3" xfId="973" xr:uid="{00000000-0005-0000-0000-0000B4030000}"/>
    <cellStyle name="Incorrecto 4" xfId="974" xr:uid="{00000000-0005-0000-0000-0000B5030000}"/>
    <cellStyle name="Incorrecto 5" xfId="975" xr:uid="{00000000-0005-0000-0000-0000B6030000}"/>
    <cellStyle name="Incorrecto 6" xfId="976" xr:uid="{00000000-0005-0000-0000-0000B7030000}"/>
    <cellStyle name="Incorrecto 7" xfId="977" xr:uid="{00000000-0005-0000-0000-0000B8030000}"/>
    <cellStyle name="Incorrecto 8" xfId="978" xr:uid="{00000000-0005-0000-0000-0000B9030000}"/>
    <cellStyle name="Input" xfId="979" xr:uid="{00000000-0005-0000-0000-0000BA030000}"/>
    <cellStyle name="Input 2" xfId="980" xr:uid="{00000000-0005-0000-0000-0000BB030000}"/>
    <cellStyle name="Input 3" xfId="981" xr:uid="{00000000-0005-0000-0000-0000BC030000}"/>
    <cellStyle name="Input 4" xfId="982" xr:uid="{00000000-0005-0000-0000-0000BD030000}"/>
    <cellStyle name="Input 5" xfId="983" xr:uid="{00000000-0005-0000-0000-0000BE030000}"/>
    <cellStyle name="Linked Cell" xfId="984" xr:uid="{00000000-0005-0000-0000-0000BF030000}"/>
    <cellStyle name="Linked Cell 2" xfId="985" xr:uid="{00000000-0005-0000-0000-0000C0030000}"/>
    <cellStyle name="Linked Cell 3" xfId="986" xr:uid="{00000000-0005-0000-0000-0000C1030000}"/>
    <cellStyle name="Linked Cell 4" xfId="987" xr:uid="{00000000-0005-0000-0000-0000C2030000}"/>
    <cellStyle name="Linked Cell 5" xfId="988" xr:uid="{00000000-0005-0000-0000-0000C3030000}"/>
    <cellStyle name="Millares" xfId="39125" builtinId="3"/>
    <cellStyle name="Millares 10" xfId="989" xr:uid="{00000000-0005-0000-0000-0000C4030000}"/>
    <cellStyle name="Millares 10 10" xfId="990" xr:uid="{00000000-0005-0000-0000-0000C5030000}"/>
    <cellStyle name="Millares 10 11" xfId="991" xr:uid="{00000000-0005-0000-0000-0000C6030000}"/>
    <cellStyle name="Millares 10 12" xfId="992" xr:uid="{00000000-0005-0000-0000-0000C7030000}"/>
    <cellStyle name="Millares 10 13" xfId="993" xr:uid="{00000000-0005-0000-0000-0000C8030000}"/>
    <cellStyle name="Millares 10 14" xfId="994" xr:uid="{00000000-0005-0000-0000-0000C9030000}"/>
    <cellStyle name="Millares 10 15" xfId="995" xr:uid="{00000000-0005-0000-0000-0000CA030000}"/>
    <cellStyle name="Millares 10 16" xfId="996" xr:uid="{00000000-0005-0000-0000-0000CB030000}"/>
    <cellStyle name="Millares 10 17" xfId="997" xr:uid="{00000000-0005-0000-0000-0000CC030000}"/>
    <cellStyle name="Millares 10 18" xfId="998" xr:uid="{00000000-0005-0000-0000-0000CD030000}"/>
    <cellStyle name="Millares 10 19" xfId="999" xr:uid="{00000000-0005-0000-0000-0000CE030000}"/>
    <cellStyle name="Millares 10 2" xfId="1000" xr:uid="{00000000-0005-0000-0000-0000CF030000}"/>
    <cellStyle name="Millares 10 2 2" xfId="1001" xr:uid="{00000000-0005-0000-0000-0000D0030000}"/>
    <cellStyle name="Millares 10 2 3" xfId="1002" xr:uid="{00000000-0005-0000-0000-0000D1030000}"/>
    <cellStyle name="Millares 10 20" xfId="1003" xr:uid="{00000000-0005-0000-0000-0000D2030000}"/>
    <cellStyle name="Millares 10 21" xfId="1004" xr:uid="{00000000-0005-0000-0000-0000D3030000}"/>
    <cellStyle name="Millares 10 22" xfId="1005" xr:uid="{00000000-0005-0000-0000-0000D4030000}"/>
    <cellStyle name="Millares 10 23" xfId="1006" xr:uid="{00000000-0005-0000-0000-0000D5030000}"/>
    <cellStyle name="Millares 10 24" xfId="1007" xr:uid="{00000000-0005-0000-0000-0000D6030000}"/>
    <cellStyle name="Millares 10 25" xfId="1008" xr:uid="{00000000-0005-0000-0000-0000D7030000}"/>
    <cellStyle name="Millares 10 3" xfId="1009" xr:uid="{00000000-0005-0000-0000-0000D8030000}"/>
    <cellStyle name="Millares 10 3 2" xfId="1010" xr:uid="{00000000-0005-0000-0000-0000D9030000}"/>
    <cellStyle name="Millares 10 3 3" xfId="1011" xr:uid="{00000000-0005-0000-0000-0000DA030000}"/>
    <cellStyle name="Millares 10 4" xfId="1012" xr:uid="{00000000-0005-0000-0000-0000DB030000}"/>
    <cellStyle name="Millares 10 5" xfId="1013" xr:uid="{00000000-0005-0000-0000-0000DC030000}"/>
    <cellStyle name="Millares 10 6" xfId="1014" xr:uid="{00000000-0005-0000-0000-0000DD030000}"/>
    <cellStyle name="Millares 10 7" xfId="1015" xr:uid="{00000000-0005-0000-0000-0000DE030000}"/>
    <cellStyle name="Millares 10 8" xfId="1016" xr:uid="{00000000-0005-0000-0000-0000DF030000}"/>
    <cellStyle name="Millares 10 9" xfId="1017" xr:uid="{00000000-0005-0000-0000-0000E0030000}"/>
    <cellStyle name="Millares 11" xfId="1018" xr:uid="{00000000-0005-0000-0000-0000E1030000}"/>
    <cellStyle name="Millares 11 2" xfId="1019" xr:uid="{00000000-0005-0000-0000-0000E2030000}"/>
    <cellStyle name="Millares 12" xfId="1020" xr:uid="{00000000-0005-0000-0000-0000E3030000}"/>
    <cellStyle name="Millares 12 2" xfId="1021" xr:uid="{00000000-0005-0000-0000-0000E4030000}"/>
    <cellStyle name="Millares 13" xfId="1022" xr:uid="{00000000-0005-0000-0000-0000E5030000}"/>
    <cellStyle name="Millares 13 2" xfId="1023" xr:uid="{00000000-0005-0000-0000-0000E6030000}"/>
    <cellStyle name="Millares 14" xfId="1024" xr:uid="{00000000-0005-0000-0000-0000E7030000}"/>
    <cellStyle name="Millares 15" xfId="1025" xr:uid="{00000000-0005-0000-0000-0000E8030000}"/>
    <cellStyle name="Millares 15 2" xfId="1026" xr:uid="{00000000-0005-0000-0000-0000E9030000}"/>
    <cellStyle name="Millares 16" xfId="1027" xr:uid="{00000000-0005-0000-0000-0000EA030000}"/>
    <cellStyle name="Millares 16 2" xfId="1028" xr:uid="{00000000-0005-0000-0000-0000EB030000}"/>
    <cellStyle name="Millares 17" xfId="1029" xr:uid="{00000000-0005-0000-0000-0000EC030000}"/>
    <cellStyle name="Millares 17 2" xfId="1030" xr:uid="{00000000-0005-0000-0000-0000ED030000}"/>
    <cellStyle name="Millares 18" xfId="1031" xr:uid="{00000000-0005-0000-0000-0000EE030000}"/>
    <cellStyle name="Millares 19" xfId="1032" xr:uid="{00000000-0005-0000-0000-0000EF030000}"/>
    <cellStyle name="Millares 19 2" xfId="1033" xr:uid="{00000000-0005-0000-0000-0000F0030000}"/>
    <cellStyle name="Millares 19 3" xfId="1034" xr:uid="{00000000-0005-0000-0000-0000F1030000}"/>
    <cellStyle name="Millares 2" xfId="3" xr:uid="{00000000-0005-0000-0000-0000F2030000}"/>
    <cellStyle name="Millares 2 10" xfId="1035" xr:uid="{00000000-0005-0000-0000-0000F3030000}"/>
    <cellStyle name="Millares 2 10 2" xfId="1036" xr:uid="{00000000-0005-0000-0000-0000F4030000}"/>
    <cellStyle name="Millares 2 10 3" xfId="1037" xr:uid="{00000000-0005-0000-0000-0000F5030000}"/>
    <cellStyle name="Millares 2 11" xfId="1038" xr:uid="{00000000-0005-0000-0000-0000F6030000}"/>
    <cellStyle name="Millares 2 12" xfId="1039" xr:uid="{00000000-0005-0000-0000-0000F7030000}"/>
    <cellStyle name="Millares 2 13" xfId="1040" xr:uid="{00000000-0005-0000-0000-0000F8030000}"/>
    <cellStyle name="Millares 2 13 2" xfId="1041" xr:uid="{00000000-0005-0000-0000-0000F9030000}"/>
    <cellStyle name="Millares 2 13 2 2" xfId="1042" xr:uid="{00000000-0005-0000-0000-0000FA030000}"/>
    <cellStyle name="Millares 2 14" xfId="1043" xr:uid="{00000000-0005-0000-0000-0000FB030000}"/>
    <cellStyle name="Millares 2 14 2" xfId="1044" xr:uid="{00000000-0005-0000-0000-0000FC030000}"/>
    <cellStyle name="Millares 2 14 3" xfId="1045" xr:uid="{00000000-0005-0000-0000-0000FD030000}"/>
    <cellStyle name="Millares 2 15" xfId="1046" xr:uid="{00000000-0005-0000-0000-0000FE030000}"/>
    <cellStyle name="Millares 2 15 2" xfId="1047" xr:uid="{00000000-0005-0000-0000-0000FF030000}"/>
    <cellStyle name="Millares 2 15 3" xfId="1048" xr:uid="{00000000-0005-0000-0000-000000040000}"/>
    <cellStyle name="Millares 2 16" xfId="1049" xr:uid="{00000000-0005-0000-0000-000001040000}"/>
    <cellStyle name="Millares 2 16 2" xfId="1050" xr:uid="{00000000-0005-0000-0000-000002040000}"/>
    <cellStyle name="Millares 2 17" xfId="1051" xr:uid="{00000000-0005-0000-0000-000003040000}"/>
    <cellStyle name="Millares 2 17 2" xfId="1052" xr:uid="{00000000-0005-0000-0000-000004040000}"/>
    <cellStyle name="Millares 2 18" xfId="1053" xr:uid="{00000000-0005-0000-0000-000005040000}"/>
    <cellStyle name="Millares 2 19" xfId="1054" xr:uid="{00000000-0005-0000-0000-000006040000}"/>
    <cellStyle name="Millares 2 2" xfId="1055" xr:uid="{00000000-0005-0000-0000-000007040000}"/>
    <cellStyle name="Millares 2 2 10" xfId="1056" xr:uid="{00000000-0005-0000-0000-000008040000}"/>
    <cellStyle name="Millares 2 2 11" xfId="1057" xr:uid="{00000000-0005-0000-0000-000009040000}"/>
    <cellStyle name="Millares 2 2 12" xfId="1058" xr:uid="{00000000-0005-0000-0000-00000A040000}"/>
    <cellStyle name="Millares 2 2 13" xfId="1059" xr:uid="{00000000-0005-0000-0000-00000B040000}"/>
    <cellStyle name="Millares 2 2 14" xfId="1060" xr:uid="{00000000-0005-0000-0000-00000C040000}"/>
    <cellStyle name="Millares 2 2 15" xfId="1061" xr:uid="{00000000-0005-0000-0000-00000D040000}"/>
    <cellStyle name="Millares 2 2 16" xfId="1062" xr:uid="{00000000-0005-0000-0000-00000E040000}"/>
    <cellStyle name="Millares 2 2 17" xfId="1063" xr:uid="{00000000-0005-0000-0000-00000F040000}"/>
    <cellStyle name="Millares 2 2 18" xfId="1064" xr:uid="{00000000-0005-0000-0000-000010040000}"/>
    <cellStyle name="Millares 2 2 19" xfId="1065" xr:uid="{00000000-0005-0000-0000-000011040000}"/>
    <cellStyle name="Millares 2 2 2" xfId="1066" xr:uid="{00000000-0005-0000-0000-000012040000}"/>
    <cellStyle name="Millares 2 2 2 10" xfId="1067" xr:uid="{00000000-0005-0000-0000-000013040000}"/>
    <cellStyle name="Millares 2 2 2 11" xfId="1068" xr:uid="{00000000-0005-0000-0000-000014040000}"/>
    <cellStyle name="Millares 2 2 2 12" xfId="1069" xr:uid="{00000000-0005-0000-0000-000015040000}"/>
    <cellStyle name="Millares 2 2 2 13" xfId="1070" xr:uid="{00000000-0005-0000-0000-000016040000}"/>
    <cellStyle name="Millares 2 2 2 14" xfId="1071" xr:uid="{00000000-0005-0000-0000-000017040000}"/>
    <cellStyle name="Millares 2 2 2 15" xfId="1072" xr:uid="{00000000-0005-0000-0000-000018040000}"/>
    <cellStyle name="Millares 2 2 2 16" xfId="1073" xr:uid="{00000000-0005-0000-0000-000019040000}"/>
    <cellStyle name="Millares 2 2 2 17" xfId="1074" xr:uid="{00000000-0005-0000-0000-00001A040000}"/>
    <cellStyle name="Millares 2 2 2 18" xfId="1075" xr:uid="{00000000-0005-0000-0000-00001B040000}"/>
    <cellStyle name="Millares 2 2 2 19" xfId="1076" xr:uid="{00000000-0005-0000-0000-00001C040000}"/>
    <cellStyle name="Millares 2 2 2 2" xfId="1077" xr:uid="{00000000-0005-0000-0000-00001D040000}"/>
    <cellStyle name="Millares 2 2 2 2 10" xfId="1078" xr:uid="{00000000-0005-0000-0000-00001E040000}"/>
    <cellStyle name="Millares 2 2 2 2 11" xfId="1079" xr:uid="{00000000-0005-0000-0000-00001F040000}"/>
    <cellStyle name="Millares 2 2 2 2 12" xfId="1080" xr:uid="{00000000-0005-0000-0000-000020040000}"/>
    <cellStyle name="Millares 2 2 2 2 13" xfId="1081" xr:uid="{00000000-0005-0000-0000-000021040000}"/>
    <cellStyle name="Millares 2 2 2 2 14" xfId="1082" xr:uid="{00000000-0005-0000-0000-000022040000}"/>
    <cellStyle name="Millares 2 2 2 2 15" xfId="1083" xr:uid="{00000000-0005-0000-0000-000023040000}"/>
    <cellStyle name="Millares 2 2 2 2 16" xfId="1084" xr:uid="{00000000-0005-0000-0000-000024040000}"/>
    <cellStyle name="Millares 2 2 2 2 17" xfId="1085" xr:uid="{00000000-0005-0000-0000-000025040000}"/>
    <cellStyle name="Millares 2 2 2 2 18" xfId="1086" xr:uid="{00000000-0005-0000-0000-000026040000}"/>
    <cellStyle name="Millares 2 2 2 2 19" xfId="1087" xr:uid="{00000000-0005-0000-0000-000027040000}"/>
    <cellStyle name="Millares 2 2 2 2 2" xfId="1088" xr:uid="{00000000-0005-0000-0000-000028040000}"/>
    <cellStyle name="Millares 2 2 2 2 2 10" xfId="1089" xr:uid="{00000000-0005-0000-0000-000029040000}"/>
    <cellStyle name="Millares 2 2 2 2 2 11" xfId="1090" xr:uid="{00000000-0005-0000-0000-00002A040000}"/>
    <cellStyle name="Millares 2 2 2 2 2 12" xfId="1091" xr:uid="{00000000-0005-0000-0000-00002B040000}"/>
    <cellStyle name="Millares 2 2 2 2 2 13" xfId="1092" xr:uid="{00000000-0005-0000-0000-00002C040000}"/>
    <cellStyle name="Millares 2 2 2 2 2 14" xfId="1093" xr:uid="{00000000-0005-0000-0000-00002D040000}"/>
    <cellStyle name="Millares 2 2 2 2 2 15" xfId="1094" xr:uid="{00000000-0005-0000-0000-00002E040000}"/>
    <cellStyle name="Millares 2 2 2 2 2 16" xfId="1095" xr:uid="{00000000-0005-0000-0000-00002F040000}"/>
    <cellStyle name="Millares 2 2 2 2 2 17" xfId="1096" xr:uid="{00000000-0005-0000-0000-000030040000}"/>
    <cellStyle name="Millares 2 2 2 2 2 18" xfId="1097" xr:uid="{00000000-0005-0000-0000-000031040000}"/>
    <cellStyle name="Millares 2 2 2 2 2 19" xfId="1098" xr:uid="{00000000-0005-0000-0000-000032040000}"/>
    <cellStyle name="Millares 2 2 2 2 2 2" xfId="1099" xr:uid="{00000000-0005-0000-0000-000033040000}"/>
    <cellStyle name="Millares 2 2 2 2 2 2 10" xfId="1100" xr:uid="{00000000-0005-0000-0000-000034040000}"/>
    <cellStyle name="Millares 2 2 2 2 2 2 11" xfId="1101" xr:uid="{00000000-0005-0000-0000-000035040000}"/>
    <cellStyle name="Millares 2 2 2 2 2 2 12" xfId="1102" xr:uid="{00000000-0005-0000-0000-000036040000}"/>
    <cellStyle name="Millares 2 2 2 2 2 2 13" xfId="1103" xr:uid="{00000000-0005-0000-0000-000037040000}"/>
    <cellStyle name="Millares 2 2 2 2 2 2 14" xfId="1104" xr:uid="{00000000-0005-0000-0000-000038040000}"/>
    <cellStyle name="Millares 2 2 2 2 2 2 15" xfId="1105" xr:uid="{00000000-0005-0000-0000-000039040000}"/>
    <cellStyle name="Millares 2 2 2 2 2 2 16" xfId="1106" xr:uid="{00000000-0005-0000-0000-00003A040000}"/>
    <cellStyle name="Millares 2 2 2 2 2 2 17" xfId="1107" xr:uid="{00000000-0005-0000-0000-00003B040000}"/>
    <cellStyle name="Millares 2 2 2 2 2 2 18" xfId="1108" xr:uid="{00000000-0005-0000-0000-00003C040000}"/>
    <cellStyle name="Millares 2 2 2 2 2 2 19" xfId="1109" xr:uid="{00000000-0005-0000-0000-00003D040000}"/>
    <cellStyle name="Millares 2 2 2 2 2 2 2" xfId="1110" xr:uid="{00000000-0005-0000-0000-00003E040000}"/>
    <cellStyle name="Millares 2 2 2 2 2 2 2 10" xfId="1111" xr:uid="{00000000-0005-0000-0000-00003F040000}"/>
    <cellStyle name="Millares 2 2 2 2 2 2 2 11" xfId="1112" xr:uid="{00000000-0005-0000-0000-000040040000}"/>
    <cellStyle name="Millares 2 2 2 2 2 2 2 12" xfId="1113" xr:uid="{00000000-0005-0000-0000-000041040000}"/>
    <cellStyle name="Millares 2 2 2 2 2 2 2 13" xfId="1114" xr:uid="{00000000-0005-0000-0000-000042040000}"/>
    <cellStyle name="Millares 2 2 2 2 2 2 2 14" xfId="1115" xr:uid="{00000000-0005-0000-0000-000043040000}"/>
    <cellStyle name="Millares 2 2 2 2 2 2 2 15" xfId="1116" xr:uid="{00000000-0005-0000-0000-000044040000}"/>
    <cellStyle name="Millares 2 2 2 2 2 2 2 16" xfId="1117" xr:uid="{00000000-0005-0000-0000-000045040000}"/>
    <cellStyle name="Millares 2 2 2 2 2 2 2 17" xfId="1118" xr:uid="{00000000-0005-0000-0000-000046040000}"/>
    <cellStyle name="Millares 2 2 2 2 2 2 2 18" xfId="1119" xr:uid="{00000000-0005-0000-0000-000047040000}"/>
    <cellStyle name="Millares 2 2 2 2 2 2 2 19" xfId="1120" xr:uid="{00000000-0005-0000-0000-000048040000}"/>
    <cellStyle name="Millares 2 2 2 2 2 2 2 2" xfId="1121" xr:uid="{00000000-0005-0000-0000-000049040000}"/>
    <cellStyle name="Millares 2 2 2 2 2 2 2 2 10" xfId="1122" xr:uid="{00000000-0005-0000-0000-00004A040000}"/>
    <cellStyle name="Millares 2 2 2 2 2 2 2 2 11" xfId="1123" xr:uid="{00000000-0005-0000-0000-00004B040000}"/>
    <cellStyle name="Millares 2 2 2 2 2 2 2 2 12" xfId="1124" xr:uid="{00000000-0005-0000-0000-00004C040000}"/>
    <cellStyle name="Millares 2 2 2 2 2 2 2 2 13" xfId="1125" xr:uid="{00000000-0005-0000-0000-00004D040000}"/>
    <cellStyle name="Millares 2 2 2 2 2 2 2 2 14" xfId="1126" xr:uid="{00000000-0005-0000-0000-00004E040000}"/>
    <cellStyle name="Millares 2 2 2 2 2 2 2 2 15" xfId="1127" xr:uid="{00000000-0005-0000-0000-00004F040000}"/>
    <cellStyle name="Millares 2 2 2 2 2 2 2 2 2" xfId="1128" xr:uid="{00000000-0005-0000-0000-000050040000}"/>
    <cellStyle name="Millares 2 2 2 2 2 2 2 2 2 10" xfId="1129" xr:uid="{00000000-0005-0000-0000-000051040000}"/>
    <cellStyle name="Millares 2 2 2 2 2 2 2 2 2 11" xfId="1130" xr:uid="{00000000-0005-0000-0000-000052040000}"/>
    <cellStyle name="Millares 2 2 2 2 2 2 2 2 2 12" xfId="1131" xr:uid="{00000000-0005-0000-0000-000053040000}"/>
    <cellStyle name="Millares 2 2 2 2 2 2 2 2 2 13" xfId="1132" xr:uid="{00000000-0005-0000-0000-000054040000}"/>
    <cellStyle name="Millares 2 2 2 2 2 2 2 2 2 14" xfId="1133" xr:uid="{00000000-0005-0000-0000-000055040000}"/>
    <cellStyle name="Millares 2 2 2 2 2 2 2 2 2 15" xfId="1134" xr:uid="{00000000-0005-0000-0000-000056040000}"/>
    <cellStyle name="Millares 2 2 2 2 2 2 2 2 2 2" xfId="1135" xr:uid="{00000000-0005-0000-0000-000057040000}"/>
    <cellStyle name="Millares 2 2 2 2 2 2 2 2 2 2 10" xfId="1136" xr:uid="{00000000-0005-0000-0000-000058040000}"/>
    <cellStyle name="Millares 2 2 2 2 2 2 2 2 2 2 11" xfId="1137" xr:uid="{00000000-0005-0000-0000-000059040000}"/>
    <cellStyle name="Millares 2 2 2 2 2 2 2 2 2 2 12" xfId="1138" xr:uid="{00000000-0005-0000-0000-00005A040000}"/>
    <cellStyle name="Millares 2 2 2 2 2 2 2 2 2 2 2" xfId="1139" xr:uid="{00000000-0005-0000-0000-00005B040000}"/>
    <cellStyle name="Millares 2 2 2 2 2 2 2 2 2 2 2 10" xfId="1140" xr:uid="{00000000-0005-0000-0000-00005C040000}"/>
    <cellStyle name="Millares 2 2 2 2 2 2 2 2 2 2 2 2" xfId="1141" xr:uid="{00000000-0005-0000-0000-00005D040000}"/>
    <cellStyle name="Millares 2 2 2 2 2 2 2 2 2 2 2 3" xfId="1142" xr:uid="{00000000-0005-0000-0000-00005E040000}"/>
    <cellStyle name="Millares 2 2 2 2 2 2 2 2 2 2 2 4" xfId="1143" xr:uid="{00000000-0005-0000-0000-00005F040000}"/>
    <cellStyle name="Millares 2 2 2 2 2 2 2 2 2 2 2 5" xfId="1144" xr:uid="{00000000-0005-0000-0000-000060040000}"/>
    <cellStyle name="Millares 2 2 2 2 2 2 2 2 2 2 2 6" xfId="1145" xr:uid="{00000000-0005-0000-0000-000061040000}"/>
    <cellStyle name="Millares 2 2 2 2 2 2 2 2 2 2 2 7" xfId="1146" xr:uid="{00000000-0005-0000-0000-000062040000}"/>
    <cellStyle name="Millares 2 2 2 2 2 2 2 2 2 2 2 8" xfId="1147" xr:uid="{00000000-0005-0000-0000-000063040000}"/>
    <cellStyle name="Millares 2 2 2 2 2 2 2 2 2 2 2 9" xfId="1148" xr:uid="{00000000-0005-0000-0000-000064040000}"/>
    <cellStyle name="Millares 2 2 2 2 2 2 2 2 2 2 3" xfId="1149" xr:uid="{00000000-0005-0000-0000-000065040000}"/>
    <cellStyle name="Millares 2 2 2 2 2 2 2 2 2 2 4" xfId="1150" xr:uid="{00000000-0005-0000-0000-000066040000}"/>
    <cellStyle name="Millares 2 2 2 2 2 2 2 2 2 2 5" xfId="1151" xr:uid="{00000000-0005-0000-0000-000067040000}"/>
    <cellStyle name="Millares 2 2 2 2 2 2 2 2 2 2 6" xfId="1152" xr:uid="{00000000-0005-0000-0000-000068040000}"/>
    <cellStyle name="Millares 2 2 2 2 2 2 2 2 2 2 7" xfId="1153" xr:uid="{00000000-0005-0000-0000-000069040000}"/>
    <cellStyle name="Millares 2 2 2 2 2 2 2 2 2 2 8" xfId="1154" xr:uid="{00000000-0005-0000-0000-00006A040000}"/>
    <cellStyle name="Millares 2 2 2 2 2 2 2 2 2 2 9" xfId="1155" xr:uid="{00000000-0005-0000-0000-00006B040000}"/>
    <cellStyle name="Millares 2 2 2 2 2 2 2 2 2 3" xfId="1156" xr:uid="{00000000-0005-0000-0000-00006C040000}"/>
    <cellStyle name="Millares 2 2 2 2 2 2 2 2 2 4" xfId="1157" xr:uid="{00000000-0005-0000-0000-00006D040000}"/>
    <cellStyle name="Millares 2 2 2 2 2 2 2 2 2 5" xfId="1158" xr:uid="{00000000-0005-0000-0000-00006E040000}"/>
    <cellStyle name="Millares 2 2 2 2 2 2 2 2 2 6" xfId="1159" xr:uid="{00000000-0005-0000-0000-00006F040000}"/>
    <cellStyle name="Millares 2 2 2 2 2 2 2 2 2 6 10" xfId="1160" xr:uid="{00000000-0005-0000-0000-000070040000}"/>
    <cellStyle name="Millares 2 2 2 2 2 2 2 2 2 6 2" xfId="1161" xr:uid="{00000000-0005-0000-0000-000071040000}"/>
    <cellStyle name="Millares 2 2 2 2 2 2 2 2 2 6 3" xfId="1162" xr:uid="{00000000-0005-0000-0000-000072040000}"/>
    <cellStyle name="Millares 2 2 2 2 2 2 2 2 2 6 4" xfId="1163" xr:uid="{00000000-0005-0000-0000-000073040000}"/>
    <cellStyle name="Millares 2 2 2 2 2 2 2 2 2 6 5" xfId="1164" xr:uid="{00000000-0005-0000-0000-000074040000}"/>
    <cellStyle name="Millares 2 2 2 2 2 2 2 2 2 6 6" xfId="1165" xr:uid="{00000000-0005-0000-0000-000075040000}"/>
    <cellStyle name="Millares 2 2 2 2 2 2 2 2 2 6 7" xfId="1166" xr:uid="{00000000-0005-0000-0000-000076040000}"/>
    <cellStyle name="Millares 2 2 2 2 2 2 2 2 2 6 8" xfId="1167" xr:uid="{00000000-0005-0000-0000-000077040000}"/>
    <cellStyle name="Millares 2 2 2 2 2 2 2 2 2 6 9" xfId="1168" xr:uid="{00000000-0005-0000-0000-000078040000}"/>
    <cellStyle name="Millares 2 2 2 2 2 2 2 2 2 7" xfId="1169" xr:uid="{00000000-0005-0000-0000-000079040000}"/>
    <cellStyle name="Millares 2 2 2 2 2 2 2 2 2 8" xfId="1170" xr:uid="{00000000-0005-0000-0000-00007A040000}"/>
    <cellStyle name="Millares 2 2 2 2 2 2 2 2 2 9" xfId="1171" xr:uid="{00000000-0005-0000-0000-00007B040000}"/>
    <cellStyle name="Millares 2 2 2 2 2 2 2 2 3" xfId="1172" xr:uid="{00000000-0005-0000-0000-00007C040000}"/>
    <cellStyle name="Millares 2 2 2 2 2 2 2 2 4" xfId="1173" xr:uid="{00000000-0005-0000-0000-00007D040000}"/>
    <cellStyle name="Millares 2 2 2 2 2 2 2 2 5" xfId="1174" xr:uid="{00000000-0005-0000-0000-00007E040000}"/>
    <cellStyle name="Millares 2 2 2 2 2 2 2 2 6" xfId="1175" xr:uid="{00000000-0005-0000-0000-00007F040000}"/>
    <cellStyle name="Millares 2 2 2 2 2 2 2 2 6 10" xfId="1176" xr:uid="{00000000-0005-0000-0000-000080040000}"/>
    <cellStyle name="Millares 2 2 2 2 2 2 2 2 6 2" xfId="1177" xr:uid="{00000000-0005-0000-0000-000081040000}"/>
    <cellStyle name="Millares 2 2 2 2 2 2 2 2 6 3" xfId="1178" xr:uid="{00000000-0005-0000-0000-000082040000}"/>
    <cellStyle name="Millares 2 2 2 2 2 2 2 2 6 4" xfId="1179" xr:uid="{00000000-0005-0000-0000-000083040000}"/>
    <cellStyle name="Millares 2 2 2 2 2 2 2 2 6 5" xfId="1180" xr:uid="{00000000-0005-0000-0000-000084040000}"/>
    <cellStyle name="Millares 2 2 2 2 2 2 2 2 6 6" xfId="1181" xr:uid="{00000000-0005-0000-0000-000085040000}"/>
    <cellStyle name="Millares 2 2 2 2 2 2 2 2 6 7" xfId="1182" xr:uid="{00000000-0005-0000-0000-000086040000}"/>
    <cellStyle name="Millares 2 2 2 2 2 2 2 2 6 8" xfId="1183" xr:uid="{00000000-0005-0000-0000-000087040000}"/>
    <cellStyle name="Millares 2 2 2 2 2 2 2 2 6 9" xfId="1184" xr:uid="{00000000-0005-0000-0000-000088040000}"/>
    <cellStyle name="Millares 2 2 2 2 2 2 2 2 7" xfId="1185" xr:uid="{00000000-0005-0000-0000-000089040000}"/>
    <cellStyle name="Millares 2 2 2 2 2 2 2 2 8" xfId="1186" xr:uid="{00000000-0005-0000-0000-00008A040000}"/>
    <cellStyle name="Millares 2 2 2 2 2 2 2 2 9" xfId="1187" xr:uid="{00000000-0005-0000-0000-00008B040000}"/>
    <cellStyle name="Millares 2 2 2 2 2 2 2 20" xfId="1188" xr:uid="{00000000-0005-0000-0000-00008C040000}"/>
    <cellStyle name="Millares 2 2 2 2 2 2 2 21" xfId="1189" xr:uid="{00000000-0005-0000-0000-00008D040000}"/>
    <cellStyle name="Millares 2 2 2 2 2 2 2 22" xfId="1190" xr:uid="{00000000-0005-0000-0000-00008E040000}"/>
    <cellStyle name="Millares 2 2 2 2 2 2 2 23" xfId="1191" xr:uid="{00000000-0005-0000-0000-00008F040000}"/>
    <cellStyle name="Millares 2 2 2 2 2 2 2 24" xfId="1192" xr:uid="{00000000-0005-0000-0000-000090040000}"/>
    <cellStyle name="Millares 2 2 2 2 2 2 2 25" xfId="1193" xr:uid="{00000000-0005-0000-0000-000091040000}"/>
    <cellStyle name="Millares 2 2 2 2 2 2 2 25 10" xfId="1194" xr:uid="{00000000-0005-0000-0000-000092040000}"/>
    <cellStyle name="Millares 2 2 2 2 2 2 2 25 2" xfId="1195" xr:uid="{00000000-0005-0000-0000-000093040000}"/>
    <cellStyle name="Millares 2 2 2 2 2 2 2 25 3" xfId="1196" xr:uid="{00000000-0005-0000-0000-000094040000}"/>
    <cellStyle name="Millares 2 2 2 2 2 2 2 25 4" xfId="1197" xr:uid="{00000000-0005-0000-0000-000095040000}"/>
    <cellStyle name="Millares 2 2 2 2 2 2 2 25 5" xfId="1198" xr:uid="{00000000-0005-0000-0000-000096040000}"/>
    <cellStyle name="Millares 2 2 2 2 2 2 2 25 6" xfId="1199" xr:uid="{00000000-0005-0000-0000-000097040000}"/>
    <cellStyle name="Millares 2 2 2 2 2 2 2 25 7" xfId="1200" xr:uid="{00000000-0005-0000-0000-000098040000}"/>
    <cellStyle name="Millares 2 2 2 2 2 2 2 25 8" xfId="1201" xr:uid="{00000000-0005-0000-0000-000099040000}"/>
    <cellStyle name="Millares 2 2 2 2 2 2 2 25 9" xfId="1202" xr:uid="{00000000-0005-0000-0000-00009A040000}"/>
    <cellStyle name="Millares 2 2 2 2 2 2 2 26" xfId="1203" xr:uid="{00000000-0005-0000-0000-00009B040000}"/>
    <cellStyle name="Millares 2 2 2 2 2 2 2 27" xfId="1204" xr:uid="{00000000-0005-0000-0000-00009C040000}"/>
    <cellStyle name="Millares 2 2 2 2 2 2 2 28" xfId="1205" xr:uid="{00000000-0005-0000-0000-00009D040000}"/>
    <cellStyle name="Millares 2 2 2 2 2 2 2 29" xfId="1206" xr:uid="{00000000-0005-0000-0000-00009E040000}"/>
    <cellStyle name="Millares 2 2 2 2 2 2 2 3" xfId="1207" xr:uid="{00000000-0005-0000-0000-00009F040000}"/>
    <cellStyle name="Millares 2 2 2 2 2 2 2 30" xfId="1208" xr:uid="{00000000-0005-0000-0000-0000A0040000}"/>
    <cellStyle name="Millares 2 2 2 2 2 2 2 31" xfId="1209" xr:uid="{00000000-0005-0000-0000-0000A1040000}"/>
    <cellStyle name="Millares 2 2 2 2 2 2 2 32" xfId="1210" xr:uid="{00000000-0005-0000-0000-0000A2040000}"/>
    <cellStyle name="Millares 2 2 2 2 2 2 2 33" xfId="1211" xr:uid="{00000000-0005-0000-0000-0000A3040000}"/>
    <cellStyle name="Millares 2 2 2 2 2 2 2 34" xfId="1212" xr:uid="{00000000-0005-0000-0000-0000A4040000}"/>
    <cellStyle name="Millares 2 2 2 2 2 2 2 4" xfId="1213" xr:uid="{00000000-0005-0000-0000-0000A5040000}"/>
    <cellStyle name="Millares 2 2 2 2 2 2 2 5" xfId="1214" xr:uid="{00000000-0005-0000-0000-0000A6040000}"/>
    <cellStyle name="Millares 2 2 2 2 2 2 2 6" xfId="1215" xr:uid="{00000000-0005-0000-0000-0000A7040000}"/>
    <cellStyle name="Millares 2 2 2 2 2 2 2 7" xfId="1216" xr:uid="{00000000-0005-0000-0000-0000A8040000}"/>
    <cellStyle name="Millares 2 2 2 2 2 2 2 8" xfId="1217" xr:uid="{00000000-0005-0000-0000-0000A9040000}"/>
    <cellStyle name="Millares 2 2 2 2 2 2 2 9" xfId="1218" xr:uid="{00000000-0005-0000-0000-0000AA040000}"/>
    <cellStyle name="Millares 2 2 2 2 2 2 20" xfId="1219" xr:uid="{00000000-0005-0000-0000-0000AB040000}"/>
    <cellStyle name="Millares 2 2 2 2 2 2 21" xfId="1220" xr:uid="{00000000-0005-0000-0000-0000AC040000}"/>
    <cellStyle name="Millares 2 2 2 2 2 2 22" xfId="1221" xr:uid="{00000000-0005-0000-0000-0000AD040000}"/>
    <cellStyle name="Millares 2 2 2 2 2 2 23" xfId="1222" xr:uid="{00000000-0005-0000-0000-0000AE040000}"/>
    <cellStyle name="Millares 2 2 2 2 2 2 24" xfId="1223" xr:uid="{00000000-0005-0000-0000-0000AF040000}"/>
    <cellStyle name="Millares 2 2 2 2 2 2 25" xfId="1224" xr:uid="{00000000-0005-0000-0000-0000B0040000}"/>
    <cellStyle name="Millares 2 2 2 2 2 2 25 10" xfId="1225" xr:uid="{00000000-0005-0000-0000-0000B1040000}"/>
    <cellStyle name="Millares 2 2 2 2 2 2 25 2" xfId="1226" xr:uid="{00000000-0005-0000-0000-0000B2040000}"/>
    <cellStyle name="Millares 2 2 2 2 2 2 25 3" xfId="1227" xr:uid="{00000000-0005-0000-0000-0000B3040000}"/>
    <cellStyle name="Millares 2 2 2 2 2 2 25 4" xfId="1228" xr:uid="{00000000-0005-0000-0000-0000B4040000}"/>
    <cellStyle name="Millares 2 2 2 2 2 2 25 5" xfId="1229" xr:uid="{00000000-0005-0000-0000-0000B5040000}"/>
    <cellStyle name="Millares 2 2 2 2 2 2 25 6" xfId="1230" xr:uid="{00000000-0005-0000-0000-0000B6040000}"/>
    <cellStyle name="Millares 2 2 2 2 2 2 25 7" xfId="1231" xr:uid="{00000000-0005-0000-0000-0000B7040000}"/>
    <cellStyle name="Millares 2 2 2 2 2 2 25 8" xfId="1232" xr:uid="{00000000-0005-0000-0000-0000B8040000}"/>
    <cellStyle name="Millares 2 2 2 2 2 2 25 9" xfId="1233" xr:uid="{00000000-0005-0000-0000-0000B9040000}"/>
    <cellStyle name="Millares 2 2 2 2 2 2 26" xfId="1234" xr:uid="{00000000-0005-0000-0000-0000BA040000}"/>
    <cellStyle name="Millares 2 2 2 2 2 2 27" xfId="1235" xr:uid="{00000000-0005-0000-0000-0000BB040000}"/>
    <cellStyle name="Millares 2 2 2 2 2 2 28" xfId="1236" xr:uid="{00000000-0005-0000-0000-0000BC040000}"/>
    <cellStyle name="Millares 2 2 2 2 2 2 29" xfId="1237" xr:uid="{00000000-0005-0000-0000-0000BD040000}"/>
    <cellStyle name="Millares 2 2 2 2 2 2 3" xfId="1238" xr:uid="{00000000-0005-0000-0000-0000BE040000}"/>
    <cellStyle name="Millares 2 2 2 2 2 2 30" xfId="1239" xr:uid="{00000000-0005-0000-0000-0000BF040000}"/>
    <cellStyle name="Millares 2 2 2 2 2 2 31" xfId="1240" xr:uid="{00000000-0005-0000-0000-0000C0040000}"/>
    <cellStyle name="Millares 2 2 2 2 2 2 32" xfId="1241" xr:uid="{00000000-0005-0000-0000-0000C1040000}"/>
    <cellStyle name="Millares 2 2 2 2 2 2 33" xfId="1242" xr:uid="{00000000-0005-0000-0000-0000C2040000}"/>
    <cellStyle name="Millares 2 2 2 2 2 2 34" xfId="1243" xr:uid="{00000000-0005-0000-0000-0000C3040000}"/>
    <cellStyle name="Millares 2 2 2 2 2 2 35" xfId="1244" xr:uid="{00000000-0005-0000-0000-0000C4040000}"/>
    <cellStyle name="Millares 2 2 2 2 2 2 4" xfId="1245" xr:uid="{00000000-0005-0000-0000-0000C5040000}"/>
    <cellStyle name="Millares 2 2 2 2 2 2 5" xfId="1246" xr:uid="{00000000-0005-0000-0000-0000C6040000}"/>
    <cellStyle name="Millares 2 2 2 2 2 2 6" xfId="1247" xr:uid="{00000000-0005-0000-0000-0000C7040000}"/>
    <cellStyle name="Millares 2 2 2 2 2 2 7" xfId="1248" xr:uid="{00000000-0005-0000-0000-0000C8040000}"/>
    <cellStyle name="Millares 2 2 2 2 2 2 8" xfId="1249" xr:uid="{00000000-0005-0000-0000-0000C9040000}"/>
    <cellStyle name="Millares 2 2 2 2 2 2 9" xfId="1250" xr:uid="{00000000-0005-0000-0000-0000CA040000}"/>
    <cellStyle name="Millares 2 2 2 2 2 20" xfId="1251" xr:uid="{00000000-0005-0000-0000-0000CB040000}"/>
    <cellStyle name="Millares 2 2 2 2 2 21" xfId="1252" xr:uid="{00000000-0005-0000-0000-0000CC040000}"/>
    <cellStyle name="Millares 2 2 2 2 2 22" xfId="1253" xr:uid="{00000000-0005-0000-0000-0000CD040000}"/>
    <cellStyle name="Millares 2 2 2 2 2 23" xfId="1254" xr:uid="{00000000-0005-0000-0000-0000CE040000}"/>
    <cellStyle name="Millares 2 2 2 2 2 24" xfId="1255" xr:uid="{00000000-0005-0000-0000-0000CF040000}"/>
    <cellStyle name="Millares 2 2 2 2 2 25" xfId="1256" xr:uid="{00000000-0005-0000-0000-0000D0040000}"/>
    <cellStyle name="Millares 2 2 2 2 2 26" xfId="1257" xr:uid="{00000000-0005-0000-0000-0000D1040000}"/>
    <cellStyle name="Millares 2 2 2 2 2 27" xfId="1258" xr:uid="{00000000-0005-0000-0000-0000D2040000}"/>
    <cellStyle name="Millares 2 2 2 2 2 28" xfId="1259" xr:uid="{00000000-0005-0000-0000-0000D3040000}"/>
    <cellStyle name="Millares 2 2 2 2 2 29" xfId="1260" xr:uid="{00000000-0005-0000-0000-0000D4040000}"/>
    <cellStyle name="Millares 2 2 2 2 2 3" xfId="1261" xr:uid="{00000000-0005-0000-0000-0000D5040000}"/>
    <cellStyle name="Millares 2 2 2 2 2 30" xfId="1262" xr:uid="{00000000-0005-0000-0000-0000D6040000}"/>
    <cellStyle name="Millares 2 2 2 2 2 31" xfId="1263" xr:uid="{00000000-0005-0000-0000-0000D7040000}"/>
    <cellStyle name="Millares 2 2 2 2 2 32" xfId="1264" xr:uid="{00000000-0005-0000-0000-0000D8040000}"/>
    <cellStyle name="Millares 2 2 2 2 2 33" xfId="1265" xr:uid="{00000000-0005-0000-0000-0000D9040000}"/>
    <cellStyle name="Millares 2 2 2 2 2 34" xfId="1266" xr:uid="{00000000-0005-0000-0000-0000DA040000}"/>
    <cellStyle name="Millares 2 2 2 2 2 35" xfId="1267" xr:uid="{00000000-0005-0000-0000-0000DB040000}"/>
    <cellStyle name="Millares 2 2 2 2 2 36" xfId="1268" xr:uid="{00000000-0005-0000-0000-0000DC040000}"/>
    <cellStyle name="Millares 2 2 2 2 2 37" xfId="1269" xr:uid="{00000000-0005-0000-0000-0000DD040000}"/>
    <cellStyle name="Millares 2 2 2 2 2 38" xfId="1270" xr:uid="{00000000-0005-0000-0000-0000DE040000}"/>
    <cellStyle name="Millares 2 2 2 2 2 38 10" xfId="1271" xr:uid="{00000000-0005-0000-0000-0000DF040000}"/>
    <cellStyle name="Millares 2 2 2 2 2 38 2" xfId="1272" xr:uid="{00000000-0005-0000-0000-0000E0040000}"/>
    <cellStyle name="Millares 2 2 2 2 2 38 3" xfId="1273" xr:uid="{00000000-0005-0000-0000-0000E1040000}"/>
    <cellStyle name="Millares 2 2 2 2 2 38 4" xfId="1274" xr:uid="{00000000-0005-0000-0000-0000E2040000}"/>
    <cellStyle name="Millares 2 2 2 2 2 38 5" xfId="1275" xr:uid="{00000000-0005-0000-0000-0000E3040000}"/>
    <cellStyle name="Millares 2 2 2 2 2 38 6" xfId="1276" xr:uid="{00000000-0005-0000-0000-0000E4040000}"/>
    <cellStyle name="Millares 2 2 2 2 2 38 7" xfId="1277" xr:uid="{00000000-0005-0000-0000-0000E5040000}"/>
    <cellStyle name="Millares 2 2 2 2 2 38 8" xfId="1278" xr:uid="{00000000-0005-0000-0000-0000E6040000}"/>
    <cellStyle name="Millares 2 2 2 2 2 38 9" xfId="1279" xr:uid="{00000000-0005-0000-0000-0000E7040000}"/>
    <cellStyle name="Millares 2 2 2 2 2 39" xfId="1280" xr:uid="{00000000-0005-0000-0000-0000E8040000}"/>
    <cellStyle name="Millares 2 2 2 2 2 4" xfId="1281" xr:uid="{00000000-0005-0000-0000-0000E9040000}"/>
    <cellStyle name="Millares 2 2 2 2 2 40" xfId="1282" xr:uid="{00000000-0005-0000-0000-0000EA040000}"/>
    <cellStyle name="Millares 2 2 2 2 2 41" xfId="1283" xr:uid="{00000000-0005-0000-0000-0000EB040000}"/>
    <cellStyle name="Millares 2 2 2 2 2 42" xfId="1284" xr:uid="{00000000-0005-0000-0000-0000EC040000}"/>
    <cellStyle name="Millares 2 2 2 2 2 43" xfId="1285" xr:uid="{00000000-0005-0000-0000-0000ED040000}"/>
    <cellStyle name="Millares 2 2 2 2 2 44" xfId="1286" xr:uid="{00000000-0005-0000-0000-0000EE040000}"/>
    <cellStyle name="Millares 2 2 2 2 2 45" xfId="1287" xr:uid="{00000000-0005-0000-0000-0000EF040000}"/>
    <cellStyle name="Millares 2 2 2 2 2 46" xfId="1288" xr:uid="{00000000-0005-0000-0000-0000F0040000}"/>
    <cellStyle name="Millares 2 2 2 2 2 47" xfId="1289" xr:uid="{00000000-0005-0000-0000-0000F1040000}"/>
    <cellStyle name="Millares 2 2 2 2 2 48" xfId="1290" xr:uid="{00000000-0005-0000-0000-0000F2040000}"/>
    <cellStyle name="Millares 2 2 2 2 2 5" xfId="1291" xr:uid="{00000000-0005-0000-0000-0000F3040000}"/>
    <cellStyle name="Millares 2 2 2 2 2 6" xfId="1292" xr:uid="{00000000-0005-0000-0000-0000F4040000}"/>
    <cellStyle name="Millares 2 2 2 2 2 7" xfId="1293" xr:uid="{00000000-0005-0000-0000-0000F5040000}"/>
    <cellStyle name="Millares 2 2 2 2 2 8" xfId="1294" xr:uid="{00000000-0005-0000-0000-0000F6040000}"/>
    <cellStyle name="Millares 2 2 2 2 2 9" xfId="1295" xr:uid="{00000000-0005-0000-0000-0000F7040000}"/>
    <cellStyle name="Millares 2 2 2 2 20" xfId="1296" xr:uid="{00000000-0005-0000-0000-0000F8040000}"/>
    <cellStyle name="Millares 2 2 2 2 21" xfId="1297" xr:uid="{00000000-0005-0000-0000-0000F9040000}"/>
    <cellStyle name="Millares 2 2 2 2 22" xfId="1298" xr:uid="{00000000-0005-0000-0000-0000FA040000}"/>
    <cellStyle name="Millares 2 2 2 2 23" xfId="1299" xr:uid="{00000000-0005-0000-0000-0000FB040000}"/>
    <cellStyle name="Millares 2 2 2 2 24" xfId="1300" xr:uid="{00000000-0005-0000-0000-0000FC040000}"/>
    <cellStyle name="Millares 2 2 2 2 25" xfId="1301" xr:uid="{00000000-0005-0000-0000-0000FD040000}"/>
    <cellStyle name="Millares 2 2 2 2 26" xfId="1302" xr:uid="{00000000-0005-0000-0000-0000FE040000}"/>
    <cellStyle name="Millares 2 2 2 2 27" xfId="1303" xr:uid="{00000000-0005-0000-0000-0000FF040000}"/>
    <cellStyle name="Millares 2 2 2 2 28" xfId="1304" xr:uid="{00000000-0005-0000-0000-000000050000}"/>
    <cellStyle name="Millares 2 2 2 2 29" xfId="1305" xr:uid="{00000000-0005-0000-0000-000001050000}"/>
    <cellStyle name="Millares 2 2 2 2 3" xfId="1306" xr:uid="{00000000-0005-0000-0000-000002050000}"/>
    <cellStyle name="Millares 2 2 2 2 30" xfId="1307" xr:uid="{00000000-0005-0000-0000-000003050000}"/>
    <cellStyle name="Millares 2 2 2 2 31" xfId="1308" xr:uid="{00000000-0005-0000-0000-000004050000}"/>
    <cellStyle name="Millares 2 2 2 2 32" xfId="1309" xr:uid="{00000000-0005-0000-0000-000005050000}"/>
    <cellStyle name="Millares 2 2 2 2 33" xfId="1310" xr:uid="{00000000-0005-0000-0000-000006050000}"/>
    <cellStyle name="Millares 2 2 2 2 34" xfId="1311" xr:uid="{00000000-0005-0000-0000-000007050000}"/>
    <cellStyle name="Millares 2 2 2 2 35" xfId="1312" xr:uid="{00000000-0005-0000-0000-000008050000}"/>
    <cellStyle name="Millares 2 2 2 2 36" xfId="1313" xr:uid="{00000000-0005-0000-0000-000009050000}"/>
    <cellStyle name="Millares 2 2 2 2 37" xfId="1314" xr:uid="{00000000-0005-0000-0000-00000A050000}"/>
    <cellStyle name="Millares 2 2 2 2 38" xfId="1315" xr:uid="{00000000-0005-0000-0000-00000B050000}"/>
    <cellStyle name="Millares 2 2 2 2 39" xfId="1316" xr:uid="{00000000-0005-0000-0000-00000C050000}"/>
    <cellStyle name="Millares 2 2 2 2 39 10" xfId="1317" xr:uid="{00000000-0005-0000-0000-00000D050000}"/>
    <cellStyle name="Millares 2 2 2 2 39 2" xfId="1318" xr:uid="{00000000-0005-0000-0000-00000E050000}"/>
    <cellStyle name="Millares 2 2 2 2 39 3" xfId="1319" xr:uid="{00000000-0005-0000-0000-00000F050000}"/>
    <cellStyle name="Millares 2 2 2 2 39 4" xfId="1320" xr:uid="{00000000-0005-0000-0000-000010050000}"/>
    <cellStyle name="Millares 2 2 2 2 39 5" xfId="1321" xr:uid="{00000000-0005-0000-0000-000011050000}"/>
    <cellStyle name="Millares 2 2 2 2 39 6" xfId="1322" xr:uid="{00000000-0005-0000-0000-000012050000}"/>
    <cellStyle name="Millares 2 2 2 2 39 7" xfId="1323" xr:uid="{00000000-0005-0000-0000-000013050000}"/>
    <cellStyle name="Millares 2 2 2 2 39 8" xfId="1324" xr:uid="{00000000-0005-0000-0000-000014050000}"/>
    <cellStyle name="Millares 2 2 2 2 39 9" xfId="1325" xr:uid="{00000000-0005-0000-0000-000015050000}"/>
    <cellStyle name="Millares 2 2 2 2 4" xfId="1326" xr:uid="{00000000-0005-0000-0000-000016050000}"/>
    <cellStyle name="Millares 2 2 2 2 4 10" xfId="1327" xr:uid="{00000000-0005-0000-0000-000017050000}"/>
    <cellStyle name="Millares 2 2 2 2 4 11" xfId="1328" xr:uid="{00000000-0005-0000-0000-000018050000}"/>
    <cellStyle name="Millares 2 2 2 2 4 12" xfId="1329" xr:uid="{00000000-0005-0000-0000-000019050000}"/>
    <cellStyle name="Millares 2 2 2 2 4 13" xfId="1330" xr:uid="{00000000-0005-0000-0000-00001A050000}"/>
    <cellStyle name="Millares 2 2 2 2 4 14" xfId="1331" xr:uid="{00000000-0005-0000-0000-00001B050000}"/>
    <cellStyle name="Millares 2 2 2 2 4 15" xfId="1332" xr:uid="{00000000-0005-0000-0000-00001C050000}"/>
    <cellStyle name="Millares 2 2 2 2 4 16" xfId="1333" xr:uid="{00000000-0005-0000-0000-00001D050000}"/>
    <cellStyle name="Millares 2 2 2 2 4 17" xfId="1334" xr:uid="{00000000-0005-0000-0000-00001E050000}"/>
    <cellStyle name="Millares 2 2 2 2 4 18" xfId="1335" xr:uid="{00000000-0005-0000-0000-00001F050000}"/>
    <cellStyle name="Millares 2 2 2 2 4 19" xfId="1336" xr:uid="{00000000-0005-0000-0000-000020050000}"/>
    <cellStyle name="Millares 2 2 2 2 4 2" xfId="1337" xr:uid="{00000000-0005-0000-0000-000021050000}"/>
    <cellStyle name="Millares 2 2 2 2 4 2 10" xfId="1338" xr:uid="{00000000-0005-0000-0000-000022050000}"/>
    <cellStyle name="Millares 2 2 2 2 4 2 11" xfId="1339" xr:uid="{00000000-0005-0000-0000-000023050000}"/>
    <cellStyle name="Millares 2 2 2 2 4 2 12" xfId="1340" xr:uid="{00000000-0005-0000-0000-000024050000}"/>
    <cellStyle name="Millares 2 2 2 2 4 2 13" xfId="1341" xr:uid="{00000000-0005-0000-0000-000025050000}"/>
    <cellStyle name="Millares 2 2 2 2 4 2 14" xfId="1342" xr:uid="{00000000-0005-0000-0000-000026050000}"/>
    <cellStyle name="Millares 2 2 2 2 4 2 15" xfId="1343" xr:uid="{00000000-0005-0000-0000-000027050000}"/>
    <cellStyle name="Millares 2 2 2 2 4 2 16" xfId="1344" xr:uid="{00000000-0005-0000-0000-000028050000}"/>
    <cellStyle name="Millares 2 2 2 2 4 2 17" xfId="1345" xr:uid="{00000000-0005-0000-0000-000029050000}"/>
    <cellStyle name="Millares 2 2 2 2 4 2 18" xfId="1346" xr:uid="{00000000-0005-0000-0000-00002A050000}"/>
    <cellStyle name="Millares 2 2 2 2 4 2 19" xfId="1347" xr:uid="{00000000-0005-0000-0000-00002B050000}"/>
    <cellStyle name="Millares 2 2 2 2 4 2 2" xfId="1348" xr:uid="{00000000-0005-0000-0000-00002C050000}"/>
    <cellStyle name="Millares 2 2 2 2 4 2 20" xfId="1349" xr:uid="{00000000-0005-0000-0000-00002D050000}"/>
    <cellStyle name="Millares 2 2 2 2 4 2 3" xfId="1350" xr:uid="{00000000-0005-0000-0000-00002E050000}"/>
    <cellStyle name="Millares 2 2 2 2 4 2 4" xfId="1351" xr:uid="{00000000-0005-0000-0000-00002F050000}"/>
    <cellStyle name="Millares 2 2 2 2 4 2 5" xfId="1352" xr:uid="{00000000-0005-0000-0000-000030050000}"/>
    <cellStyle name="Millares 2 2 2 2 4 2 6" xfId="1353" xr:uid="{00000000-0005-0000-0000-000031050000}"/>
    <cellStyle name="Millares 2 2 2 2 4 2 7" xfId="1354" xr:uid="{00000000-0005-0000-0000-000032050000}"/>
    <cellStyle name="Millares 2 2 2 2 4 2 8" xfId="1355" xr:uid="{00000000-0005-0000-0000-000033050000}"/>
    <cellStyle name="Millares 2 2 2 2 4 2 9" xfId="1356" xr:uid="{00000000-0005-0000-0000-000034050000}"/>
    <cellStyle name="Millares 2 2 2 2 4 20" xfId="1357" xr:uid="{00000000-0005-0000-0000-000035050000}"/>
    <cellStyle name="Millares 2 2 2 2 4 3" xfId="1358" xr:uid="{00000000-0005-0000-0000-000036050000}"/>
    <cellStyle name="Millares 2 2 2 2 4 4" xfId="1359" xr:uid="{00000000-0005-0000-0000-000037050000}"/>
    <cellStyle name="Millares 2 2 2 2 4 5" xfId="1360" xr:uid="{00000000-0005-0000-0000-000038050000}"/>
    <cellStyle name="Millares 2 2 2 2 4 6" xfId="1361" xr:uid="{00000000-0005-0000-0000-000039050000}"/>
    <cellStyle name="Millares 2 2 2 2 4 7" xfId="1362" xr:uid="{00000000-0005-0000-0000-00003A050000}"/>
    <cellStyle name="Millares 2 2 2 2 4 8" xfId="1363" xr:uid="{00000000-0005-0000-0000-00003B050000}"/>
    <cellStyle name="Millares 2 2 2 2 4 9" xfId="1364" xr:uid="{00000000-0005-0000-0000-00003C050000}"/>
    <cellStyle name="Millares 2 2 2 2 40" xfId="1365" xr:uid="{00000000-0005-0000-0000-00003D050000}"/>
    <cellStyle name="Millares 2 2 2 2 41" xfId="1366" xr:uid="{00000000-0005-0000-0000-00003E050000}"/>
    <cellStyle name="Millares 2 2 2 2 42" xfId="1367" xr:uid="{00000000-0005-0000-0000-00003F050000}"/>
    <cellStyle name="Millares 2 2 2 2 43" xfId="1368" xr:uid="{00000000-0005-0000-0000-000040050000}"/>
    <cellStyle name="Millares 2 2 2 2 44" xfId="1369" xr:uid="{00000000-0005-0000-0000-000041050000}"/>
    <cellStyle name="Millares 2 2 2 2 45" xfId="1370" xr:uid="{00000000-0005-0000-0000-000042050000}"/>
    <cellStyle name="Millares 2 2 2 2 46" xfId="1371" xr:uid="{00000000-0005-0000-0000-000043050000}"/>
    <cellStyle name="Millares 2 2 2 2 47" xfId="1372" xr:uid="{00000000-0005-0000-0000-000044050000}"/>
    <cellStyle name="Millares 2 2 2 2 48" xfId="1373" xr:uid="{00000000-0005-0000-0000-000045050000}"/>
    <cellStyle name="Millares 2 2 2 2 5" xfId="1374" xr:uid="{00000000-0005-0000-0000-000046050000}"/>
    <cellStyle name="Millares 2 2 2 2 6" xfId="1375" xr:uid="{00000000-0005-0000-0000-000047050000}"/>
    <cellStyle name="Millares 2 2 2 2 7" xfId="1376" xr:uid="{00000000-0005-0000-0000-000048050000}"/>
    <cellStyle name="Millares 2 2 2 2 8" xfId="1377" xr:uid="{00000000-0005-0000-0000-000049050000}"/>
    <cellStyle name="Millares 2 2 2 2 9" xfId="1378" xr:uid="{00000000-0005-0000-0000-00004A050000}"/>
    <cellStyle name="Millares 2 2 2 20" xfId="1379" xr:uid="{00000000-0005-0000-0000-00004B050000}"/>
    <cellStyle name="Millares 2 2 2 21" xfId="1380" xr:uid="{00000000-0005-0000-0000-00004C050000}"/>
    <cellStyle name="Millares 2 2 2 22" xfId="1381" xr:uid="{00000000-0005-0000-0000-00004D050000}"/>
    <cellStyle name="Millares 2 2 2 23" xfId="1382" xr:uid="{00000000-0005-0000-0000-00004E050000}"/>
    <cellStyle name="Millares 2 2 2 24" xfId="1383" xr:uid="{00000000-0005-0000-0000-00004F050000}"/>
    <cellStyle name="Millares 2 2 2 25" xfId="1384" xr:uid="{00000000-0005-0000-0000-000050050000}"/>
    <cellStyle name="Millares 2 2 2 26" xfId="1385" xr:uid="{00000000-0005-0000-0000-000051050000}"/>
    <cellStyle name="Millares 2 2 2 27" xfId="1386" xr:uid="{00000000-0005-0000-0000-000052050000}"/>
    <cellStyle name="Millares 2 2 2 28" xfId="1387" xr:uid="{00000000-0005-0000-0000-000053050000}"/>
    <cellStyle name="Millares 2 2 2 29" xfId="1388" xr:uid="{00000000-0005-0000-0000-000054050000}"/>
    <cellStyle name="Millares 2 2 2 3" xfId="1389" xr:uid="{00000000-0005-0000-0000-000055050000}"/>
    <cellStyle name="Millares 2 2 2 3 10" xfId="1390" xr:uid="{00000000-0005-0000-0000-000056050000}"/>
    <cellStyle name="Millares 2 2 2 3 11" xfId="1391" xr:uid="{00000000-0005-0000-0000-000057050000}"/>
    <cellStyle name="Millares 2 2 2 3 12" xfId="1392" xr:uid="{00000000-0005-0000-0000-000058050000}"/>
    <cellStyle name="Millares 2 2 2 3 13" xfId="1393" xr:uid="{00000000-0005-0000-0000-000059050000}"/>
    <cellStyle name="Millares 2 2 2 3 14" xfId="1394" xr:uid="{00000000-0005-0000-0000-00005A050000}"/>
    <cellStyle name="Millares 2 2 2 3 15" xfId="1395" xr:uid="{00000000-0005-0000-0000-00005B050000}"/>
    <cellStyle name="Millares 2 2 2 3 16" xfId="1396" xr:uid="{00000000-0005-0000-0000-00005C050000}"/>
    <cellStyle name="Millares 2 2 2 3 17" xfId="1397" xr:uid="{00000000-0005-0000-0000-00005D050000}"/>
    <cellStyle name="Millares 2 2 2 3 18" xfId="1398" xr:uid="{00000000-0005-0000-0000-00005E050000}"/>
    <cellStyle name="Millares 2 2 2 3 19" xfId="1399" xr:uid="{00000000-0005-0000-0000-00005F050000}"/>
    <cellStyle name="Millares 2 2 2 3 2" xfId="1400" xr:uid="{00000000-0005-0000-0000-000060050000}"/>
    <cellStyle name="Millares 2 2 2 3 2 10" xfId="1401" xr:uid="{00000000-0005-0000-0000-000061050000}"/>
    <cellStyle name="Millares 2 2 2 3 2 11" xfId="1402" xr:uid="{00000000-0005-0000-0000-000062050000}"/>
    <cellStyle name="Millares 2 2 2 3 2 12" xfId="1403" xr:uid="{00000000-0005-0000-0000-000063050000}"/>
    <cellStyle name="Millares 2 2 2 3 2 13" xfId="1404" xr:uid="{00000000-0005-0000-0000-000064050000}"/>
    <cellStyle name="Millares 2 2 2 3 2 14" xfId="1405" xr:uid="{00000000-0005-0000-0000-000065050000}"/>
    <cellStyle name="Millares 2 2 2 3 2 15" xfId="1406" xr:uid="{00000000-0005-0000-0000-000066050000}"/>
    <cellStyle name="Millares 2 2 2 3 2 16" xfId="1407" xr:uid="{00000000-0005-0000-0000-000067050000}"/>
    <cellStyle name="Millares 2 2 2 3 2 17" xfId="1408" xr:uid="{00000000-0005-0000-0000-000068050000}"/>
    <cellStyle name="Millares 2 2 2 3 2 18" xfId="1409" xr:uid="{00000000-0005-0000-0000-000069050000}"/>
    <cellStyle name="Millares 2 2 2 3 2 19" xfId="1410" xr:uid="{00000000-0005-0000-0000-00006A050000}"/>
    <cellStyle name="Millares 2 2 2 3 2 2" xfId="1411" xr:uid="{00000000-0005-0000-0000-00006B050000}"/>
    <cellStyle name="Millares 2 2 2 3 2 2 10" xfId="1412" xr:uid="{00000000-0005-0000-0000-00006C050000}"/>
    <cellStyle name="Millares 2 2 2 3 2 2 11" xfId="1413" xr:uid="{00000000-0005-0000-0000-00006D050000}"/>
    <cellStyle name="Millares 2 2 2 3 2 2 12" xfId="1414" xr:uid="{00000000-0005-0000-0000-00006E050000}"/>
    <cellStyle name="Millares 2 2 2 3 2 2 13" xfId="1415" xr:uid="{00000000-0005-0000-0000-00006F050000}"/>
    <cellStyle name="Millares 2 2 2 3 2 2 14" xfId="1416" xr:uid="{00000000-0005-0000-0000-000070050000}"/>
    <cellStyle name="Millares 2 2 2 3 2 2 15" xfId="1417" xr:uid="{00000000-0005-0000-0000-000071050000}"/>
    <cellStyle name="Millares 2 2 2 3 2 2 16" xfId="1418" xr:uid="{00000000-0005-0000-0000-000072050000}"/>
    <cellStyle name="Millares 2 2 2 3 2 2 17" xfId="1419" xr:uid="{00000000-0005-0000-0000-000073050000}"/>
    <cellStyle name="Millares 2 2 2 3 2 2 18" xfId="1420" xr:uid="{00000000-0005-0000-0000-000074050000}"/>
    <cellStyle name="Millares 2 2 2 3 2 2 19" xfId="1421" xr:uid="{00000000-0005-0000-0000-000075050000}"/>
    <cellStyle name="Millares 2 2 2 3 2 2 2" xfId="1422" xr:uid="{00000000-0005-0000-0000-000076050000}"/>
    <cellStyle name="Millares 2 2 2 3 2 2 20" xfId="1423" xr:uid="{00000000-0005-0000-0000-000077050000}"/>
    <cellStyle name="Millares 2 2 2 3 2 2 3" xfId="1424" xr:uid="{00000000-0005-0000-0000-000078050000}"/>
    <cellStyle name="Millares 2 2 2 3 2 2 4" xfId="1425" xr:uid="{00000000-0005-0000-0000-000079050000}"/>
    <cellStyle name="Millares 2 2 2 3 2 2 5" xfId="1426" xr:uid="{00000000-0005-0000-0000-00007A050000}"/>
    <cellStyle name="Millares 2 2 2 3 2 2 6" xfId="1427" xr:uid="{00000000-0005-0000-0000-00007B050000}"/>
    <cellStyle name="Millares 2 2 2 3 2 2 7" xfId="1428" xr:uid="{00000000-0005-0000-0000-00007C050000}"/>
    <cellStyle name="Millares 2 2 2 3 2 2 8" xfId="1429" xr:uid="{00000000-0005-0000-0000-00007D050000}"/>
    <cellStyle name="Millares 2 2 2 3 2 2 9" xfId="1430" xr:uid="{00000000-0005-0000-0000-00007E050000}"/>
    <cellStyle name="Millares 2 2 2 3 2 20" xfId="1431" xr:uid="{00000000-0005-0000-0000-00007F050000}"/>
    <cellStyle name="Millares 2 2 2 3 2 3" xfId="1432" xr:uid="{00000000-0005-0000-0000-000080050000}"/>
    <cellStyle name="Millares 2 2 2 3 2 4" xfId="1433" xr:uid="{00000000-0005-0000-0000-000081050000}"/>
    <cellStyle name="Millares 2 2 2 3 2 5" xfId="1434" xr:uid="{00000000-0005-0000-0000-000082050000}"/>
    <cellStyle name="Millares 2 2 2 3 2 6" xfId="1435" xr:uid="{00000000-0005-0000-0000-000083050000}"/>
    <cellStyle name="Millares 2 2 2 3 2 7" xfId="1436" xr:uid="{00000000-0005-0000-0000-000084050000}"/>
    <cellStyle name="Millares 2 2 2 3 2 8" xfId="1437" xr:uid="{00000000-0005-0000-0000-000085050000}"/>
    <cellStyle name="Millares 2 2 2 3 2 9" xfId="1438" xr:uid="{00000000-0005-0000-0000-000086050000}"/>
    <cellStyle name="Millares 2 2 2 3 20" xfId="1439" xr:uid="{00000000-0005-0000-0000-000087050000}"/>
    <cellStyle name="Millares 2 2 2 3 21" xfId="1440" xr:uid="{00000000-0005-0000-0000-000088050000}"/>
    <cellStyle name="Millares 2 2 2 3 22" xfId="1441" xr:uid="{00000000-0005-0000-0000-000089050000}"/>
    <cellStyle name="Millares 2 2 2 3 23" xfId="1442" xr:uid="{00000000-0005-0000-0000-00008A050000}"/>
    <cellStyle name="Millares 2 2 2 3 24" xfId="1443" xr:uid="{00000000-0005-0000-0000-00008B050000}"/>
    <cellStyle name="Millares 2 2 2 3 25" xfId="1444" xr:uid="{00000000-0005-0000-0000-00008C050000}"/>
    <cellStyle name="Millares 2 2 2 3 26" xfId="1445" xr:uid="{00000000-0005-0000-0000-00008D050000}"/>
    <cellStyle name="Millares 2 2 2 3 27" xfId="1446" xr:uid="{00000000-0005-0000-0000-00008E050000}"/>
    <cellStyle name="Millares 2 2 2 3 28" xfId="1447" xr:uid="{00000000-0005-0000-0000-00008F050000}"/>
    <cellStyle name="Millares 2 2 2 3 29" xfId="1448" xr:uid="{00000000-0005-0000-0000-000090050000}"/>
    <cellStyle name="Millares 2 2 2 3 3" xfId="1449" xr:uid="{00000000-0005-0000-0000-000091050000}"/>
    <cellStyle name="Millares 2 2 2 3 30" xfId="1450" xr:uid="{00000000-0005-0000-0000-000092050000}"/>
    <cellStyle name="Millares 2 2 2 3 31" xfId="1451" xr:uid="{00000000-0005-0000-0000-000093050000}"/>
    <cellStyle name="Millares 2 2 2 3 32" xfId="1452" xr:uid="{00000000-0005-0000-0000-000094050000}"/>
    <cellStyle name="Millares 2 2 2 3 33" xfId="1453" xr:uid="{00000000-0005-0000-0000-000095050000}"/>
    <cellStyle name="Millares 2 2 2 3 4" xfId="1454" xr:uid="{00000000-0005-0000-0000-000096050000}"/>
    <cellStyle name="Millares 2 2 2 3 5" xfId="1455" xr:uid="{00000000-0005-0000-0000-000097050000}"/>
    <cellStyle name="Millares 2 2 2 3 6" xfId="1456" xr:uid="{00000000-0005-0000-0000-000098050000}"/>
    <cellStyle name="Millares 2 2 2 3 7" xfId="1457" xr:uid="{00000000-0005-0000-0000-000099050000}"/>
    <cellStyle name="Millares 2 2 2 3 8" xfId="1458" xr:uid="{00000000-0005-0000-0000-00009A050000}"/>
    <cellStyle name="Millares 2 2 2 3 9" xfId="1459" xr:uid="{00000000-0005-0000-0000-00009B050000}"/>
    <cellStyle name="Millares 2 2 2 30" xfId="1460" xr:uid="{00000000-0005-0000-0000-00009C050000}"/>
    <cellStyle name="Millares 2 2 2 31" xfId="1461" xr:uid="{00000000-0005-0000-0000-00009D050000}"/>
    <cellStyle name="Millares 2 2 2 32" xfId="1462" xr:uid="{00000000-0005-0000-0000-00009E050000}"/>
    <cellStyle name="Millares 2 2 2 33" xfId="1463" xr:uid="{00000000-0005-0000-0000-00009F050000}"/>
    <cellStyle name="Millares 2 2 2 34" xfId="1464" xr:uid="{00000000-0005-0000-0000-0000A0050000}"/>
    <cellStyle name="Millares 2 2 2 35" xfId="1465" xr:uid="{00000000-0005-0000-0000-0000A1050000}"/>
    <cellStyle name="Millares 2 2 2 36" xfId="1466" xr:uid="{00000000-0005-0000-0000-0000A2050000}"/>
    <cellStyle name="Millares 2 2 2 37" xfId="1467" xr:uid="{00000000-0005-0000-0000-0000A3050000}"/>
    <cellStyle name="Millares 2 2 2 38" xfId="1468" xr:uid="{00000000-0005-0000-0000-0000A4050000}"/>
    <cellStyle name="Millares 2 2 2 39" xfId="1469" xr:uid="{00000000-0005-0000-0000-0000A5050000}"/>
    <cellStyle name="Millares 2 2 2 39 10" xfId="1470" xr:uid="{00000000-0005-0000-0000-0000A6050000}"/>
    <cellStyle name="Millares 2 2 2 39 2" xfId="1471" xr:uid="{00000000-0005-0000-0000-0000A7050000}"/>
    <cellStyle name="Millares 2 2 2 39 3" xfId="1472" xr:uid="{00000000-0005-0000-0000-0000A8050000}"/>
    <cellStyle name="Millares 2 2 2 39 4" xfId="1473" xr:uid="{00000000-0005-0000-0000-0000A9050000}"/>
    <cellStyle name="Millares 2 2 2 39 5" xfId="1474" xr:uid="{00000000-0005-0000-0000-0000AA050000}"/>
    <cellStyle name="Millares 2 2 2 39 6" xfId="1475" xr:uid="{00000000-0005-0000-0000-0000AB050000}"/>
    <cellStyle name="Millares 2 2 2 39 7" xfId="1476" xr:uid="{00000000-0005-0000-0000-0000AC050000}"/>
    <cellStyle name="Millares 2 2 2 39 8" xfId="1477" xr:uid="{00000000-0005-0000-0000-0000AD050000}"/>
    <cellStyle name="Millares 2 2 2 39 9" xfId="1478" xr:uid="{00000000-0005-0000-0000-0000AE050000}"/>
    <cellStyle name="Millares 2 2 2 4" xfId="1479" xr:uid="{00000000-0005-0000-0000-0000AF050000}"/>
    <cellStyle name="Millares 2 2 2 4 10" xfId="1480" xr:uid="{00000000-0005-0000-0000-0000B0050000}"/>
    <cellStyle name="Millares 2 2 2 4 11" xfId="1481" xr:uid="{00000000-0005-0000-0000-0000B1050000}"/>
    <cellStyle name="Millares 2 2 2 4 12" xfId="1482" xr:uid="{00000000-0005-0000-0000-0000B2050000}"/>
    <cellStyle name="Millares 2 2 2 4 13" xfId="1483" xr:uid="{00000000-0005-0000-0000-0000B3050000}"/>
    <cellStyle name="Millares 2 2 2 4 14" xfId="1484" xr:uid="{00000000-0005-0000-0000-0000B4050000}"/>
    <cellStyle name="Millares 2 2 2 4 15" xfId="1485" xr:uid="{00000000-0005-0000-0000-0000B5050000}"/>
    <cellStyle name="Millares 2 2 2 4 16" xfId="1486" xr:uid="{00000000-0005-0000-0000-0000B6050000}"/>
    <cellStyle name="Millares 2 2 2 4 17" xfId="1487" xr:uid="{00000000-0005-0000-0000-0000B7050000}"/>
    <cellStyle name="Millares 2 2 2 4 18" xfId="1488" xr:uid="{00000000-0005-0000-0000-0000B8050000}"/>
    <cellStyle name="Millares 2 2 2 4 19" xfId="1489" xr:uid="{00000000-0005-0000-0000-0000B9050000}"/>
    <cellStyle name="Millares 2 2 2 4 2" xfId="1490" xr:uid="{00000000-0005-0000-0000-0000BA050000}"/>
    <cellStyle name="Millares 2 2 2 4 2 10" xfId="1491" xr:uid="{00000000-0005-0000-0000-0000BB050000}"/>
    <cellStyle name="Millares 2 2 2 4 2 11" xfId="1492" xr:uid="{00000000-0005-0000-0000-0000BC050000}"/>
    <cellStyle name="Millares 2 2 2 4 2 12" xfId="1493" xr:uid="{00000000-0005-0000-0000-0000BD050000}"/>
    <cellStyle name="Millares 2 2 2 4 2 13" xfId="1494" xr:uid="{00000000-0005-0000-0000-0000BE050000}"/>
    <cellStyle name="Millares 2 2 2 4 2 14" xfId="1495" xr:uid="{00000000-0005-0000-0000-0000BF050000}"/>
    <cellStyle name="Millares 2 2 2 4 2 15" xfId="1496" xr:uid="{00000000-0005-0000-0000-0000C0050000}"/>
    <cellStyle name="Millares 2 2 2 4 2 16" xfId="1497" xr:uid="{00000000-0005-0000-0000-0000C1050000}"/>
    <cellStyle name="Millares 2 2 2 4 2 17" xfId="1498" xr:uid="{00000000-0005-0000-0000-0000C2050000}"/>
    <cellStyle name="Millares 2 2 2 4 2 18" xfId="1499" xr:uid="{00000000-0005-0000-0000-0000C3050000}"/>
    <cellStyle name="Millares 2 2 2 4 2 19" xfId="1500" xr:uid="{00000000-0005-0000-0000-0000C4050000}"/>
    <cellStyle name="Millares 2 2 2 4 2 2" xfId="1501" xr:uid="{00000000-0005-0000-0000-0000C5050000}"/>
    <cellStyle name="Millares 2 2 2 4 2 20" xfId="1502" xr:uid="{00000000-0005-0000-0000-0000C6050000}"/>
    <cellStyle name="Millares 2 2 2 4 2 3" xfId="1503" xr:uid="{00000000-0005-0000-0000-0000C7050000}"/>
    <cellStyle name="Millares 2 2 2 4 2 4" xfId="1504" xr:uid="{00000000-0005-0000-0000-0000C8050000}"/>
    <cellStyle name="Millares 2 2 2 4 2 5" xfId="1505" xr:uid="{00000000-0005-0000-0000-0000C9050000}"/>
    <cellStyle name="Millares 2 2 2 4 2 6" xfId="1506" xr:uid="{00000000-0005-0000-0000-0000CA050000}"/>
    <cellStyle name="Millares 2 2 2 4 2 7" xfId="1507" xr:uid="{00000000-0005-0000-0000-0000CB050000}"/>
    <cellStyle name="Millares 2 2 2 4 2 8" xfId="1508" xr:uid="{00000000-0005-0000-0000-0000CC050000}"/>
    <cellStyle name="Millares 2 2 2 4 2 9" xfId="1509" xr:uid="{00000000-0005-0000-0000-0000CD050000}"/>
    <cellStyle name="Millares 2 2 2 4 20" xfId="1510" xr:uid="{00000000-0005-0000-0000-0000CE050000}"/>
    <cellStyle name="Millares 2 2 2 4 3" xfId="1511" xr:uid="{00000000-0005-0000-0000-0000CF050000}"/>
    <cellStyle name="Millares 2 2 2 4 4" xfId="1512" xr:uid="{00000000-0005-0000-0000-0000D0050000}"/>
    <cellStyle name="Millares 2 2 2 4 5" xfId="1513" xr:uid="{00000000-0005-0000-0000-0000D1050000}"/>
    <cellStyle name="Millares 2 2 2 4 6" xfId="1514" xr:uid="{00000000-0005-0000-0000-0000D2050000}"/>
    <cellStyle name="Millares 2 2 2 4 7" xfId="1515" xr:uid="{00000000-0005-0000-0000-0000D3050000}"/>
    <cellStyle name="Millares 2 2 2 4 8" xfId="1516" xr:uid="{00000000-0005-0000-0000-0000D4050000}"/>
    <cellStyle name="Millares 2 2 2 4 9" xfId="1517" xr:uid="{00000000-0005-0000-0000-0000D5050000}"/>
    <cellStyle name="Millares 2 2 2 40" xfId="1518" xr:uid="{00000000-0005-0000-0000-0000D6050000}"/>
    <cellStyle name="Millares 2 2 2 41" xfId="1519" xr:uid="{00000000-0005-0000-0000-0000D7050000}"/>
    <cellStyle name="Millares 2 2 2 42" xfId="1520" xr:uid="{00000000-0005-0000-0000-0000D8050000}"/>
    <cellStyle name="Millares 2 2 2 43" xfId="1521" xr:uid="{00000000-0005-0000-0000-0000D9050000}"/>
    <cellStyle name="Millares 2 2 2 44" xfId="1522" xr:uid="{00000000-0005-0000-0000-0000DA050000}"/>
    <cellStyle name="Millares 2 2 2 45" xfId="1523" xr:uid="{00000000-0005-0000-0000-0000DB050000}"/>
    <cellStyle name="Millares 2 2 2 46" xfId="1524" xr:uid="{00000000-0005-0000-0000-0000DC050000}"/>
    <cellStyle name="Millares 2 2 2 47" xfId="1525" xr:uid="{00000000-0005-0000-0000-0000DD050000}"/>
    <cellStyle name="Millares 2 2 2 48" xfId="1526" xr:uid="{00000000-0005-0000-0000-0000DE050000}"/>
    <cellStyle name="Millares 2 2 2 49" xfId="1527" xr:uid="{00000000-0005-0000-0000-0000DF050000}"/>
    <cellStyle name="Millares 2 2 2 5" xfId="1528" xr:uid="{00000000-0005-0000-0000-0000E0050000}"/>
    <cellStyle name="Millares 2 2 2 6" xfId="1529" xr:uid="{00000000-0005-0000-0000-0000E1050000}"/>
    <cellStyle name="Millares 2 2 2 7" xfId="1530" xr:uid="{00000000-0005-0000-0000-0000E2050000}"/>
    <cellStyle name="Millares 2 2 2 8" xfId="1531" xr:uid="{00000000-0005-0000-0000-0000E3050000}"/>
    <cellStyle name="Millares 2 2 2 9" xfId="1532" xr:uid="{00000000-0005-0000-0000-0000E4050000}"/>
    <cellStyle name="Millares 2 2 20" xfId="1533" xr:uid="{00000000-0005-0000-0000-0000E5050000}"/>
    <cellStyle name="Millares 2 2 21" xfId="1534" xr:uid="{00000000-0005-0000-0000-0000E6050000}"/>
    <cellStyle name="Millares 2 2 22" xfId="1535" xr:uid="{00000000-0005-0000-0000-0000E7050000}"/>
    <cellStyle name="Millares 2 2 23" xfId="1536" xr:uid="{00000000-0005-0000-0000-0000E8050000}"/>
    <cellStyle name="Millares 2 2 24" xfId="1537" xr:uid="{00000000-0005-0000-0000-0000E9050000}"/>
    <cellStyle name="Millares 2 2 25" xfId="1538" xr:uid="{00000000-0005-0000-0000-0000EA050000}"/>
    <cellStyle name="Millares 2 2 26" xfId="1539" xr:uid="{00000000-0005-0000-0000-0000EB050000}"/>
    <cellStyle name="Millares 2 2 27" xfId="1540" xr:uid="{00000000-0005-0000-0000-0000EC050000}"/>
    <cellStyle name="Millares 2 2 28" xfId="1541" xr:uid="{00000000-0005-0000-0000-0000ED050000}"/>
    <cellStyle name="Millares 2 2 29" xfId="1542" xr:uid="{00000000-0005-0000-0000-0000EE050000}"/>
    <cellStyle name="Millares 2 2 3" xfId="1543" xr:uid="{00000000-0005-0000-0000-0000EF050000}"/>
    <cellStyle name="Millares 2 2 3 10" xfId="1544" xr:uid="{00000000-0005-0000-0000-0000F0050000}"/>
    <cellStyle name="Millares 2 2 3 11" xfId="1545" xr:uid="{00000000-0005-0000-0000-0000F1050000}"/>
    <cellStyle name="Millares 2 2 3 12" xfId="1546" xr:uid="{00000000-0005-0000-0000-0000F2050000}"/>
    <cellStyle name="Millares 2 2 3 13" xfId="1547" xr:uid="{00000000-0005-0000-0000-0000F3050000}"/>
    <cellStyle name="Millares 2 2 3 14" xfId="1548" xr:uid="{00000000-0005-0000-0000-0000F4050000}"/>
    <cellStyle name="Millares 2 2 3 15" xfId="1549" xr:uid="{00000000-0005-0000-0000-0000F5050000}"/>
    <cellStyle name="Millares 2 2 3 16" xfId="1550" xr:uid="{00000000-0005-0000-0000-0000F6050000}"/>
    <cellStyle name="Millares 2 2 3 17" xfId="1551" xr:uid="{00000000-0005-0000-0000-0000F7050000}"/>
    <cellStyle name="Millares 2 2 3 18" xfId="1552" xr:uid="{00000000-0005-0000-0000-0000F8050000}"/>
    <cellStyle name="Millares 2 2 3 19" xfId="1553" xr:uid="{00000000-0005-0000-0000-0000F9050000}"/>
    <cellStyle name="Millares 2 2 3 2" xfId="1554" xr:uid="{00000000-0005-0000-0000-0000FA050000}"/>
    <cellStyle name="Millares 2 2 3 2 10" xfId="1555" xr:uid="{00000000-0005-0000-0000-0000FB050000}"/>
    <cellStyle name="Millares 2 2 3 2 11" xfId="1556" xr:uid="{00000000-0005-0000-0000-0000FC050000}"/>
    <cellStyle name="Millares 2 2 3 2 12" xfId="1557" xr:uid="{00000000-0005-0000-0000-0000FD050000}"/>
    <cellStyle name="Millares 2 2 3 2 13" xfId="1558" xr:uid="{00000000-0005-0000-0000-0000FE050000}"/>
    <cellStyle name="Millares 2 2 3 2 14" xfId="1559" xr:uid="{00000000-0005-0000-0000-0000FF050000}"/>
    <cellStyle name="Millares 2 2 3 2 15" xfId="1560" xr:uid="{00000000-0005-0000-0000-000000060000}"/>
    <cellStyle name="Millares 2 2 3 2 16" xfId="1561" xr:uid="{00000000-0005-0000-0000-000001060000}"/>
    <cellStyle name="Millares 2 2 3 2 17" xfId="1562" xr:uid="{00000000-0005-0000-0000-000002060000}"/>
    <cellStyle name="Millares 2 2 3 2 18" xfId="1563" xr:uid="{00000000-0005-0000-0000-000003060000}"/>
    <cellStyle name="Millares 2 2 3 2 19" xfId="1564" xr:uid="{00000000-0005-0000-0000-000004060000}"/>
    <cellStyle name="Millares 2 2 3 2 2" xfId="1565" xr:uid="{00000000-0005-0000-0000-000005060000}"/>
    <cellStyle name="Millares 2 2 3 2 2 10" xfId="1566" xr:uid="{00000000-0005-0000-0000-000006060000}"/>
    <cellStyle name="Millares 2 2 3 2 2 11" xfId="1567" xr:uid="{00000000-0005-0000-0000-000007060000}"/>
    <cellStyle name="Millares 2 2 3 2 2 12" xfId="1568" xr:uid="{00000000-0005-0000-0000-000008060000}"/>
    <cellStyle name="Millares 2 2 3 2 2 13" xfId="1569" xr:uid="{00000000-0005-0000-0000-000009060000}"/>
    <cellStyle name="Millares 2 2 3 2 2 14" xfId="1570" xr:uid="{00000000-0005-0000-0000-00000A060000}"/>
    <cellStyle name="Millares 2 2 3 2 2 15" xfId="1571" xr:uid="{00000000-0005-0000-0000-00000B060000}"/>
    <cellStyle name="Millares 2 2 3 2 2 16" xfId="1572" xr:uid="{00000000-0005-0000-0000-00000C060000}"/>
    <cellStyle name="Millares 2 2 3 2 2 17" xfId="1573" xr:uid="{00000000-0005-0000-0000-00000D060000}"/>
    <cellStyle name="Millares 2 2 3 2 2 18" xfId="1574" xr:uid="{00000000-0005-0000-0000-00000E060000}"/>
    <cellStyle name="Millares 2 2 3 2 2 19" xfId="1575" xr:uid="{00000000-0005-0000-0000-00000F060000}"/>
    <cellStyle name="Millares 2 2 3 2 2 2" xfId="1576" xr:uid="{00000000-0005-0000-0000-000010060000}"/>
    <cellStyle name="Millares 2 2 3 2 2 20" xfId="1577" xr:uid="{00000000-0005-0000-0000-000011060000}"/>
    <cellStyle name="Millares 2 2 3 2 2 3" xfId="1578" xr:uid="{00000000-0005-0000-0000-000012060000}"/>
    <cellStyle name="Millares 2 2 3 2 2 4" xfId="1579" xr:uid="{00000000-0005-0000-0000-000013060000}"/>
    <cellStyle name="Millares 2 2 3 2 2 5" xfId="1580" xr:uid="{00000000-0005-0000-0000-000014060000}"/>
    <cellStyle name="Millares 2 2 3 2 2 6" xfId="1581" xr:uid="{00000000-0005-0000-0000-000015060000}"/>
    <cellStyle name="Millares 2 2 3 2 2 7" xfId="1582" xr:uid="{00000000-0005-0000-0000-000016060000}"/>
    <cellStyle name="Millares 2 2 3 2 2 8" xfId="1583" xr:uid="{00000000-0005-0000-0000-000017060000}"/>
    <cellStyle name="Millares 2 2 3 2 2 9" xfId="1584" xr:uid="{00000000-0005-0000-0000-000018060000}"/>
    <cellStyle name="Millares 2 2 3 2 20" xfId="1585" xr:uid="{00000000-0005-0000-0000-000019060000}"/>
    <cellStyle name="Millares 2 2 3 2 3" xfId="1586" xr:uid="{00000000-0005-0000-0000-00001A060000}"/>
    <cellStyle name="Millares 2 2 3 2 4" xfId="1587" xr:uid="{00000000-0005-0000-0000-00001B060000}"/>
    <cellStyle name="Millares 2 2 3 2 5" xfId="1588" xr:uid="{00000000-0005-0000-0000-00001C060000}"/>
    <cellStyle name="Millares 2 2 3 2 6" xfId="1589" xr:uid="{00000000-0005-0000-0000-00001D060000}"/>
    <cellStyle name="Millares 2 2 3 2 7" xfId="1590" xr:uid="{00000000-0005-0000-0000-00001E060000}"/>
    <cellStyle name="Millares 2 2 3 2 8" xfId="1591" xr:uid="{00000000-0005-0000-0000-00001F060000}"/>
    <cellStyle name="Millares 2 2 3 2 9" xfId="1592" xr:uid="{00000000-0005-0000-0000-000020060000}"/>
    <cellStyle name="Millares 2 2 3 20" xfId="1593" xr:uid="{00000000-0005-0000-0000-000021060000}"/>
    <cellStyle name="Millares 2 2 3 21" xfId="1594" xr:uid="{00000000-0005-0000-0000-000022060000}"/>
    <cellStyle name="Millares 2 2 3 22" xfId="1595" xr:uid="{00000000-0005-0000-0000-000023060000}"/>
    <cellStyle name="Millares 2 2 3 23" xfId="1596" xr:uid="{00000000-0005-0000-0000-000024060000}"/>
    <cellStyle name="Millares 2 2 3 24" xfId="1597" xr:uid="{00000000-0005-0000-0000-000025060000}"/>
    <cellStyle name="Millares 2 2 3 25" xfId="1598" xr:uid="{00000000-0005-0000-0000-000026060000}"/>
    <cellStyle name="Millares 2 2 3 26" xfId="1599" xr:uid="{00000000-0005-0000-0000-000027060000}"/>
    <cellStyle name="Millares 2 2 3 27" xfId="1600" xr:uid="{00000000-0005-0000-0000-000028060000}"/>
    <cellStyle name="Millares 2 2 3 28" xfId="1601" xr:uid="{00000000-0005-0000-0000-000029060000}"/>
    <cellStyle name="Millares 2 2 3 29" xfId="1602" xr:uid="{00000000-0005-0000-0000-00002A060000}"/>
    <cellStyle name="Millares 2 2 3 3" xfId="1603" xr:uid="{00000000-0005-0000-0000-00002B060000}"/>
    <cellStyle name="Millares 2 2 3 30" xfId="1604" xr:uid="{00000000-0005-0000-0000-00002C060000}"/>
    <cellStyle name="Millares 2 2 3 31" xfId="1605" xr:uid="{00000000-0005-0000-0000-00002D060000}"/>
    <cellStyle name="Millares 2 2 3 32" xfId="1606" xr:uid="{00000000-0005-0000-0000-00002E060000}"/>
    <cellStyle name="Millares 2 2 3 33" xfId="1607" xr:uid="{00000000-0005-0000-0000-00002F060000}"/>
    <cellStyle name="Millares 2 2 3 34" xfId="1608" xr:uid="{00000000-0005-0000-0000-000030060000}"/>
    <cellStyle name="Millares 2 2 3 35" xfId="1609" xr:uid="{00000000-0005-0000-0000-000031060000}"/>
    <cellStyle name="Millares 2 2 3 4" xfId="1610" xr:uid="{00000000-0005-0000-0000-000032060000}"/>
    <cellStyle name="Millares 2 2 3 5" xfId="1611" xr:uid="{00000000-0005-0000-0000-000033060000}"/>
    <cellStyle name="Millares 2 2 3 6" xfId="1612" xr:uid="{00000000-0005-0000-0000-000034060000}"/>
    <cellStyle name="Millares 2 2 3 7" xfId="1613" xr:uid="{00000000-0005-0000-0000-000035060000}"/>
    <cellStyle name="Millares 2 2 3 8" xfId="1614" xr:uid="{00000000-0005-0000-0000-000036060000}"/>
    <cellStyle name="Millares 2 2 3 9" xfId="1615" xr:uid="{00000000-0005-0000-0000-000037060000}"/>
    <cellStyle name="Millares 2 2 30" xfId="1616" xr:uid="{00000000-0005-0000-0000-000038060000}"/>
    <cellStyle name="Millares 2 2 31" xfId="1617" xr:uid="{00000000-0005-0000-0000-000039060000}"/>
    <cellStyle name="Millares 2 2 32" xfId="1618" xr:uid="{00000000-0005-0000-0000-00003A060000}"/>
    <cellStyle name="Millares 2 2 33" xfId="1619" xr:uid="{00000000-0005-0000-0000-00003B060000}"/>
    <cellStyle name="Millares 2 2 34" xfId="1620" xr:uid="{00000000-0005-0000-0000-00003C060000}"/>
    <cellStyle name="Millares 2 2 35" xfId="1621" xr:uid="{00000000-0005-0000-0000-00003D060000}"/>
    <cellStyle name="Millares 2 2 36" xfId="1622" xr:uid="{00000000-0005-0000-0000-00003E060000}"/>
    <cellStyle name="Millares 2 2 37" xfId="1623" xr:uid="{00000000-0005-0000-0000-00003F060000}"/>
    <cellStyle name="Millares 2 2 38" xfId="1624" xr:uid="{00000000-0005-0000-0000-000040060000}"/>
    <cellStyle name="Millares 2 2 39" xfId="1625" xr:uid="{00000000-0005-0000-0000-000041060000}"/>
    <cellStyle name="Millares 2 2 39 10" xfId="1626" xr:uid="{00000000-0005-0000-0000-000042060000}"/>
    <cellStyle name="Millares 2 2 39 2" xfId="1627" xr:uid="{00000000-0005-0000-0000-000043060000}"/>
    <cellStyle name="Millares 2 2 39 3" xfId="1628" xr:uid="{00000000-0005-0000-0000-000044060000}"/>
    <cellStyle name="Millares 2 2 39 4" xfId="1629" xr:uid="{00000000-0005-0000-0000-000045060000}"/>
    <cellStyle name="Millares 2 2 39 5" xfId="1630" xr:uid="{00000000-0005-0000-0000-000046060000}"/>
    <cellStyle name="Millares 2 2 39 6" xfId="1631" xr:uid="{00000000-0005-0000-0000-000047060000}"/>
    <cellStyle name="Millares 2 2 39 7" xfId="1632" xr:uid="{00000000-0005-0000-0000-000048060000}"/>
    <cellStyle name="Millares 2 2 39 8" xfId="1633" xr:uid="{00000000-0005-0000-0000-000049060000}"/>
    <cellStyle name="Millares 2 2 39 9" xfId="1634" xr:uid="{00000000-0005-0000-0000-00004A060000}"/>
    <cellStyle name="Millares 2 2 4" xfId="1635" xr:uid="{00000000-0005-0000-0000-00004B060000}"/>
    <cellStyle name="Millares 2 2 4 10" xfId="1636" xr:uid="{00000000-0005-0000-0000-00004C060000}"/>
    <cellStyle name="Millares 2 2 4 11" xfId="1637" xr:uid="{00000000-0005-0000-0000-00004D060000}"/>
    <cellStyle name="Millares 2 2 4 12" xfId="1638" xr:uid="{00000000-0005-0000-0000-00004E060000}"/>
    <cellStyle name="Millares 2 2 4 13" xfId="1639" xr:uid="{00000000-0005-0000-0000-00004F060000}"/>
    <cellStyle name="Millares 2 2 4 14" xfId="1640" xr:uid="{00000000-0005-0000-0000-000050060000}"/>
    <cellStyle name="Millares 2 2 4 15" xfId="1641" xr:uid="{00000000-0005-0000-0000-000051060000}"/>
    <cellStyle name="Millares 2 2 4 16" xfId="1642" xr:uid="{00000000-0005-0000-0000-000052060000}"/>
    <cellStyle name="Millares 2 2 4 17" xfId="1643" xr:uid="{00000000-0005-0000-0000-000053060000}"/>
    <cellStyle name="Millares 2 2 4 18" xfId="1644" xr:uid="{00000000-0005-0000-0000-000054060000}"/>
    <cellStyle name="Millares 2 2 4 19" xfId="1645" xr:uid="{00000000-0005-0000-0000-000055060000}"/>
    <cellStyle name="Millares 2 2 4 2" xfId="1646" xr:uid="{00000000-0005-0000-0000-000056060000}"/>
    <cellStyle name="Millares 2 2 4 2 10" xfId="1647" xr:uid="{00000000-0005-0000-0000-000057060000}"/>
    <cellStyle name="Millares 2 2 4 2 11" xfId="1648" xr:uid="{00000000-0005-0000-0000-000058060000}"/>
    <cellStyle name="Millares 2 2 4 2 12" xfId="1649" xr:uid="{00000000-0005-0000-0000-000059060000}"/>
    <cellStyle name="Millares 2 2 4 2 13" xfId="1650" xr:uid="{00000000-0005-0000-0000-00005A060000}"/>
    <cellStyle name="Millares 2 2 4 2 14" xfId="1651" xr:uid="{00000000-0005-0000-0000-00005B060000}"/>
    <cellStyle name="Millares 2 2 4 2 15" xfId="1652" xr:uid="{00000000-0005-0000-0000-00005C060000}"/>
    <cellStyle name="Millares 2 2 4 2 16" xfId="1653" xr:uid="{00000000-0005-0000-0000-00005D060000}"/>
    <cellStyle name="Millares 2 2 4 2 17" xfId="1654" xr:uid="{00000000-0005-0000-0000-00005E060000}"/>
    <cellStyle name="Millares 2 2 4 2 18" xfId="1655" xr:uid="{00000000-0005-0000-0000-00005F060000}"/>
    <cellStyle name="Millares 2 2 4 2 19" xfId="1656" xr:uid="{00000000-0005-0000-0000-000060060000}"/>
    <cellStyle name="Millares 2 2 4 2 2" xfId="1657" xr:uid="{00000000-0005-0000-0000-000061060000}"/>
    <cellStyle name="Millares 2 2 4 2 20" xfId="1658" xr:uid="{00000000-0005-0000-0000-000062060000}"/>
    <cellStyle name="Millares 2 2 4 2 3" xfId="1659" xr:uid="{00000000-0005-0000-0000-000063060000}"/>
    <cellStyle name="Millares 2 2 4 2 4" xfId="1660" xr:uid="{00000000-0005-0000-0000-000064060000}"/>
    <cellStyle name="Millares 2 2 4 2 5" xfId="1661" xr:uid="{00000000-0005-0000-0000-000065060000}"/>
    <cellStyle name="Millares 2 2 4 2 6" xfId="1662" xr:uid="{00000000-0005-0000-0000-000066060000}"/>
    <cellStyle name="Millares 2 2 4 2 7" xfId="1663" xr:uid="{00000000-0005-0000-0000-000067060000}"/>
    <cellStyle name="Millares 2 2 4 2 8" xfId="1664" xr:uid="{00000000-0005-0000-0000-000068060000}"/>
    <cellStyle name="Millares 2 2 4 2 9" xfId="1665" xr:uid="{00000000-0005-0000-0000-000069060000}"/>
    <cellStyle name="Millares 2 2 4 20" xfId="1666" xr:uid="{00000000-0005-0000-0000-00006A060000}"/>
    <cellStyle name="Millares 2 2 4 3" xfId="1667" xr:uid="{00000000-0005-0000-0000-00006B060000}"/>
    <cellStyle name="Millares 2 2 4 4" xfId="1668" xr:uid="{00000000-0005-0000-0000-00006C060000}"/>
    <cellStyle name="Millares 2 2 4 5" xfId="1669" xr:uid="{00000000-0005-0000-0000-00006D060000}"/>
    <cellStyle name="Millares 2 2 4 6" xfId="1670" xr:uid="{00000000-0005-0000-0000-00006E060000}"/>
    <cellStyle name="Millares 2 2 4 7" xfId="1671" xr:uid="{00000000-0005-0000-0000-00006F060000}"/>
    <cellStyle name="Millares 2 2 4 8" xfId="1672" xr:uid="{00000000-0005-0000-0000-000070060000}"/>
    <cellStyle name="Millares 2 2 4 9" xfId="1673" xr:uid="{00000000-0005-0000-0000-000071060000}"/>
    <cellStyle name="Millares 2 2 40" xfId="1674" xr:uid="{00000000-0005-0000-0000-000072060000}"/>
    <cellStyle name="Millares 2 2 41" xfId="1675" xr:uid="{00000000-0005-0000-0000-000073060000}"/>
    <cellStyle name="Millares 2 2 42" xfId="1676" xr:uid="{00000000-0005-0000-0000-000074060000}"/>
    <cellStyle name="Millares 2 2 43" xfId="1677" xr:uid="{00000000-0005-0000-0000-000075060000}"/>
    <cellStyle name="Millares 2 2 44" xfId="1678" xr:uid="{00000000-0005-0000-0000-000076060000}"/>
    <cellStyle name="Millares 2 2 45" xfId="1679" xr:uid="{00000000-0005-0000-0000-000077060000}"/>
    <cellStyle name="Millares 2 2 46" xfId="1680" xr:uid="{00000000-0005-0000-0000-000078060000}"/>
    <cellStyle name="Millares 2 2 47" xfId="1681" xr:uid="{00000000-0005-0000-0000-000079060000}"/>
    <cellStyle name="Millares 2 2 48" xfId="1682" xr:uid="{00000000-0005-0000-0000-00007A060000}"/>
    <cellStyle name="Millares 2 2 5" xfId="1683" xr:uid="{00000000-0005-0000-0000-00007B060000}"/>
    <cellStyle name="Millares 2 2 6" xfId="1684" xr:uid="{00000000-0005-0000-0000-00007C060000}"/>
    <cellStyle name="Millares 2 2 7" xfId="1685" xr:uid="{00000000-0005-0000-0000-00007D060000}"/>
    <cellStyle name="Millares 2 2 8" xfId="1686" xr:uid="{00000000-0005-0000-0000-00007E060000}"/>
    <cellStyle name="Millares 2 2 9" xfId="1687" xr:uid="{00000000-0005-0000-0000-00007F060000}"/>
    <cellStyle name="Millares 2 20" xfId="1688" xr:uid="{00000000-0005-0000-0000-000080060000}"/>
    <cellStyle name="Millares 2 22" xfId="1689" xr:uid="{00000000-0005-0000-0000-000081060000}"/>
    <cellStyle name="Millares 2 24" xfId="1690" xr:uid="{00000000-0005-0000-0000-000082060000}"/>
    <cellStyle name="Millares 2 26" xfId="1691" xr:uid="{00000000-0005-0000-0000-000083060000}"/>
    <cellStyle name="Millares 2 28" xfId="1692" xr:uid="{00000000-0005-0000-0000-000084060000}"/>
    <cellStyle name="Millares 2 3" xfId="1693" xr:uid="{00000000-0005-0000-0000-000085060000}"/>
    <cellStyle name="Millares 2 3 2" xfId="1694" xr:uid="{00000000-0005-0000-0000-000086060000}"/>
    <cellStyle name="Millares 2 3 3" xfId="1695" xr:uid="{00000000-0005-0000-0000-000087060000}"/>
    <cellStyle name="Millares 2 3 4" xfId="1696" xr:uid="{00000000-0005-0000-0000-000088060000}"/>
    <cellStyle name="Millares 2 3 5" xfId="1697" xr:uid="{00000000-0005-0000-0000-000089060000}"/>
    <cellStyle name="Millares 2 3 6" xfId="1698" xr:uid="{00000000-0005-0000-0000-00008A060000}"/>
    <cellStyle name="Millares 2 30" xfId="1699" xr:uid="{00000000-0005-0000-0000-00008B060000}"/>
    <cellStyle name="Millares 2 32" xfId="1700" xr:uid="{00000000-0005-0000-0000-00008C060000}"/>
    <cellStyle name="Millares 2 34" xfId="1701" xr:uid="{00000000-0005-0000-0000-00008D060000}"/>
    <cellStyle name="Millares 2 36" xfId="1702" xr:uid="{00000000-0005-0000-0000-00008E060000}"/>
    <cellStyle name="Millares 2 4" xfId="1703" xr:uid="{00000000-0005-0000-0000-00008F060000}"/>
    <cellStyle name="Millares 2 4 2" xfId="1704" xr:uid="{00000000-0005-0000-0000-000090060000}"/>
    <cellStyle name="Millares 2 4 3" xfId="1705" xr:uid="{00000000-0005-0000-0000-000091060000}"/>
    <cellStyle name="Millares 2 4 4" xfId="1706" xr:uid="{00000000-0005-0000-0000-000092060000}"/>
    <cellStyle name="Millares 2 4 5" xfId="1707" xr:uid="{00000000-0005-0000-0000-000093060000}"/>
    <cellStyle name="Millares 2 4 6" xfId="1708" xr:uid="{00000000-0005-0000-0000-000094060000}"/>
    <cellStyle name="Millares 2 4 7" xfId="1709" xr:uid="{00000000-0005-0000-0000-000095060000}"/>
    <cellStyle name="Millares 2 4 8" xfId="1710" xr:uid="{00000000-0005-0000-0000-000096060000}"/>
    <cellStyle name="Millares 2 5" xfId="1711" xr:uid="{00000000-0005-0000-0000-000097060000}"/>
    <cellStyle name="Millares 2 6" xfId="1712" xr:uid="{00000000-0005-0000-0000-000098060000}"/>
    <cellStyle name="Millares 2 6 2" xfId="1713" xr:uid="{00000000-0005-0000-0000-000099060000}"/>
    <cellStyle name="Millares 2 7" xfId="1714" xr:uid="{00000000-0005-0000-0000-00009A060000}"/>
    <cellStyle name="Millares 2 7 2" xfId="1715" xr:uid="{00000000-0005-0000-0000-00009B060000}"/>
    <cellStyle name="Millares 2 7 3" xfId="1716" xr:uid="{00000000-0005-0000-0000-00009C060000}"/>
    <cellStyle name="Millares 2 8" xfId="1717" xr:uid="{00000000-0005-0000-0000-00009D060000}"/>
    <cellStyle name="Millares 2 8 2" xfId="1718" xr:uid="{00000000-0005-0000-0000-00009E060000}"/>
    <cellStyle name="Millares 2 8 3" xfId="1719" xr:uid="{00000000-0005-0000-0000-00009F060000}"/>
    <cellStyle name="Millares 2 9" xfId="1720" xr:uid="{00000000-0005-0000-0000-0000A0060000}"/>
    <cellStyle name="Millares 2 9 2" xfId="1721" xr:uid="{00000000-0005-0000-0000-0000A1060000}"/>
    <cellStyle name="Millares 2 9 3" xfId="1722" xr:uid="{00000000-0005-0000-0000-0000A2060000}"/>
    <cellStyle name="Millares 20" xfId="1723" xr:uid="{00000000-0005-0000-0000-0000A3060000}"/>
    <cellStyle name="Millares 20 2" xfId="1724" xr:uid="{00000000-0005-0000-0000-0000A4060000}"/>
    <cellStyle name="Millares 21" xfId="1725" xr:uid="{00000000-0005-0000-0000-0000A5060000}"/>
    <cellStyle name="Millares 21 2" xfId="1726" xr:uid="{00000000-0005-0000-0000-0000A6060000}"/>
    <cellStyle name="Millares 22" xfId="1727" xr:uid="{00000000-0005-0000-0000-0000A7060000}"/>
    <cellStyle name="Millares 28" xfId="1728" xr:uid="{00000000-0005-0000-0000-0000A8060000}"/>
    <cellStyle name="Millares 28 10" xfId="1729" xr:uid="{00000000-0005-0000-0000-0000A9060000}"/>
    <cellStyle name="Millares 28 11" xfId="1730" xr:uid="{00000000-0005-0000-0000-0000AA060000}"/>
    <cellStyle name="Millares 28 12" xfId="1731" xr:uid="{00000000-0005-0000-0000-0000AB060000}"/>
    <cellStyle name="Millares 28 13" xfId="1732" xr:uid="{00000000-0005-0000-0000-0000AC060000}"/>
    <cellStyle name="Millares 28 14" xfId="1733" xr:uid="{00000000-0005-0000-0000-0000AD060000}"/>
    <cellStyle name="Millares 28 15" xfId="1734" xr:uid="{00000000-0005-0000-0000-0000AE060000}"/>
    <cellStyle name="Millares 28 16" xfId="1735" xr:uid="{00000000-0005-0000-0000-0000AF060000}"/>
    <cellStyle name="Millares 28 17" xfId="1736" xr:uid="{00000000-0005-0000-0000-0000B0060000}"/>
    <cellStyle name="Millares 28 18" xfId="1737" xr:uid="{00000000-0005-0000-0000-0000B1060000}"/>
    <cellStyle name="Millares 28 19" xfId="1738" xr:uid="{00000000-0005-0000-0000-0000B2060000}"/>
    <cellStyle name="Millares 28 2" xfId="1739" xr:uid="{00000000-0005-0000-0000-0000B3060000}"/>
    <cellStyle name="Millares 28 2 2" xfId="1740" xr:uid="{00000000-0005-0000-0000-0000B4060000}"/>
    <cellStyle name="Millares 28 2 3" xfId="1741" xr:uid="{00000000-0005-0000-0000-0000B5060000}"/>
    <cellStyle name="Millares 28 20" xfId="1742" xr:uid="{00000000-0005-0000-0000-0000B6060000}"/>
    <cellStyle name="Millares 28 21" xfId="1743" xr:uid="{00000000-0005-0000-0000-0000B7060000}"/>
    <cellStyle name="Millares 28 22" xfId="1744" xr:uid="{00000000-0005-0000-0000-0000B8060000}"/>
    <cellStyle name="Millares 28 23" xfId="1745" xr:uid="{00000000-0005-0000-0000-0000B9060000}"/>
    <cellStyle name="Millares 28 24" xfId="1746" xr:uid="{00000000-0005-0000-0000-0000BA060000}"/>
    <cellStyle name="Millares 28 25" xfId="1747" xr:uid="{00000000-0005-0000-0000-0000BB060000}"/>
    <cellStyle name="Millares 28 3" xfId="1748" xr:uid="{00000000-0005-0000-0000-0000BC060000}"/>
    <cellStyle name="Millares 28 3 2" xfId="1749" xr:uid="{00000000-0005-0000-0000-0000BD060000}"/>
    <cellStyle name="Millares 28 3 3" xfId="1750" xr:uid="{00000000-0005-0000-0000-0000BE060000}"/>
    <cellStyle name="Millares 28 4" xfId="1751" xr:uid="{00000000-0005-0000-0000-0000BF060000}"/>
    <cellStyle name="Millares 28 5" xfId="1752" xr:uid="{00000000-0005-0000-0000-0000C0060000}"/>
    <cellStyle name="Millares 28 6" xfId="1753" xr:uid="{00000000-0005-0000-0000-0000C1060000}"/>
    <cellStyle name="Millares 28 7" xfId="1754" xr:uid="{00000000-0005-0000-0000-0000C2060000}"/>
    <cellStyle name="Millares 28 8" xfId="1755" xr:uid="{00000000-0005-0000-0000-0000C3060000}"/>
    <cellStyle name="Millares 28 9" xfId="1756" xr:uid="{00000000-0005-0000-0000-0000C4060000}"/>
    <cellStyle name="Millares 29" xfId="1757" xr:uid="{00000000-0005-0000-0000-0000C5060000}"/>
    <cellStyle name="Millares 29 10" xfId="1758" xr:uid="{00000000-0005-0000-0000-0000C6060000}"/>
    <cellStyle name="Millares 29 11" xfId="1759" xr:uid="{00000000-0005-0000-0000-0000C7060000}"/>
    <cellStyle name="Millares 29 12" xfId="1760" xr:uid="{00000000-0005-0000-0000-0000C8060000}"/>
    <cellStyle name="Millares 29 13" xfId="1761" xr:uid="{00000000-0005-0000-0000-0000C9060000}"/>
    <cellStyle name="Millares 29 14" xfId="1762" xr:uid="{00000000-0005-0000-0000-0000CA060000}"/>
    <cellStyle name="Millares 29 15" xfId="1763" xr:uid="{00000000-0005-0000-0000-0000CB060000}"/>
    <cellStyle name="Millares 29 16" xfId="1764" xr:uid="{00000000-0005-0000-0000-0000CC060000}"/>
    <cellStyle name="Millares 29 17" xfId="1765" xr:uid="{00000000-0005-0000-0000-0000CD060000}"/>
    <cellStyle name="Millares 29 18" xfId="1766" xr:uid="{00000000-0005-0000-0000-0000CE060000}"/>
    <cellStyle name="Millares 29 19" xfId="1767" xr:uid="{00000000-0005-0000-0000-0000CF060000}"/>
    <cellStyle name="Millares 29 2" xfId="1768" xr:uid="{00000000-0005-0000-0000-0000D0060000}"/>
    <cellStyle name="Millares 29 2 2" xfId="1769" xr:uid="{00000000-0005-0000-0000-0000D1060000}"/>
    <cellStyle name="Millares 29 2 3" xfId="1770" xr:uid="{00000000-0005-0000-0000-0000D2060000}"/>
    <cellStyle name="Millares 29 20" xfId="1771" xr:uid="{00000000-0005-0000-0000-0000D3060000}"/>
    <cellStyle name="Millares 29 21" xfId="1772" xr:uid="{00000000-0005-0000-0000-0000D4060000}"/>
    <cellStyle name="Millares 29 22" xfId="1773" xr:uid="{00000000-0005-0000-0000-0000D5060000}"/>
    <cellStyle name="Millares 29 23" xfId="1774" xr:uid="{00000000-0005-0000-0000-0000D6060000}"/>
    <cellStyle name="Millares 29 24" xfId="1775" xr:uid="{00000000-0005-0000-0000-0000D7060000}"/>
    <cellStyle name="Millares 29 25" xfId="1776" xr:uid="{00000000-0005-0000-0000-0000D8060000}"/>
    <cellStyle name="Millares 29 3" xfId="1777" xr:uid="{00000000-0005-0000-0000-0000D9060000}"/>
    <cellStyle name="Millares 29 3 2" xfId="1778" xr:uid="{00000000-0005-0000-0000-0000DA060000}"/>
    <cellStyle name="Millares 29 3 3" xfId="1779" xr:uid="{00000000-0005-0000-0000-0000DB060000}"/>
    <cellStyle name="Millares 29 4" xfId="1780" xr:uid="{00000000-0005-0000-0000-0000DC060000}"/>
    <cellStyle name="Millares 29 5" xfId="1781" xr:uid="{00000000-0005-0000-0000-0000DD060000}"/>
    <cellStyle name="Millares 29 6" xfId="1782" xr:uid="{00000000-0005-0000-0000-0000DE060000}"/>
    <cellStyle name="Millares 29 7" xfId="1783" xr:uid="{00000000-0005-0000-0000-0000DF060000}"/>
    <cellStyle name="Millares 29 8" xfId="1784" xr:uid="{00000000-0005-0000-0000-0000E0060000}"/>
    <cellStyle name="Millares 29 9" xfId="1785" xr:uid="{00000000-0005-0000-0000-0000E1060000}"/>
    <cellStyle name="Millares 3" xfId="1786" xr:uid="{00000000-0005-0000-0000-0000E2060000}"/>
    <cellStyle name="Millares 3 10" xfId="1787" xr:uid="{00000000-0005-0000-0000-0000E3060000}"/>
    <cellStyle name="Millares 3 10 10" xfId="1788" xr:uid="{00000000-0005-0000-0000-0000E4060000}"/>
    <cellStyle name="Millares 3 10 11" xfId="1789" xr:uid="{00000000-0005-0000-0000-0000E5060000}"/>
    <cellStyle name="Millares 3 10 12" xfId="1790" xr:uid="{00000000-0005-0000-0000-0000E6060000}"/>
    <cellStyle name="Millares 3 10 13" xfId="1791" xr:uid="{00000000-0005-0000-0000-0000E7060000}"/>
    <cellStyle name="Millares 3 10 14" xfId="1792" xr:uid="{00000000-0005-0000-0000-0000E8060000}"/>
    <cellStyle name="Millares 3 10 15" xfId="1793" xr:uid="{00000000-0005-0000-0000-0000E9060000}"/>
    <cellStyle name="Millares 3 10 16" xfId="1794" xr:uid="{00000000-0005-0000-0000-0000EA060000}"/>
    <cellStyle name="Millares 3 10 17" xfId="1795" xr:uid="{00000000-0005-0000-0000-0000EB060000}"/>
    <cellStyle name="Millares 3 10 18" xfId="1796" xr:uid="{00000000-0005-0000-0000-0000EC060000}"/>
    <cellStyle name="Millares 3 10 19" xfId="1797" xr:uid="{00000000-0005-0000-0000-0000ED060000}"/>
    <cellStyle name="Millares 3 10 2" xfId="1798" xr:uid="{00000000-0005-0000-0000-0000EE060000}"/>
    <cellStyle name="Millares 3 10 2 10" xfId="1799" xr:uid="{00000000-0005-0000-0000-0000EF060000}"/>
    <cellStyle name="Millares 3 10 2 11" xfId="1800" xr:uid="{00000000-0005-0000-0000-0000F0060000}"/>
    <cellStyle name="Millares 3 10 2 12" xfId="1801" xr:uid="{00000000-0005-0000-0000-0000F1060000}"/>
    <cellStyle name="Millares 3 10 2 13" xfId="1802" xr:uid="{00000000-0005-0000-0000-0000F2060000}"/>
    <cellStyle name="Millares 3 10 2 14" xfId="1803" xr:uid="{00000000-0005-0000-0000-0000F3060000}"/>
    <cellStyle name="Millares 3 10 2 15" xfId="1804" xr:uid="{00000000-0005-0000-0000-0000F4060000}"/>
    <cellStyle name="Millares 3 10 2 16" xfId="1805" xr:uid="{00000000-0005-0000-0000-0000F5060000}"/>
    <cellStyle name="Millares 3 10 2 17" xfId="1806" xr:uid="{00000000-0005-0000-0000-0000F6060000}"/>
    <cellStyle name="Millares 3 10 2 2" xfId="1807" xr:uid="{00000000-0005-0000-0000-0000F7060000}"/>
    <cellStyle name="Millares 3 10 2 3" xfId="1808" xr:uid="{00000000-0005-0000-0000-0000F8060000}"/>
    <cellStyle name="Millares 3 10 2 3 2" xfId="1809" xr:uid="{00000000-0005-0000-0000-0000F9060000}"/>
    <cellStyle name="Millares 3 10 2 4" xfId="1810" xr:uid="{00000000-0005-0000-0000-0000FA060000}"/>
    <cellStyle name="Millares 3 10 2 5" xfId="1811" xr:uid="{00000000-0005-0000-0000-0000FB060000}"/>
    <cellStyle name="Millares 3 10 2 6" xfId="1812" xr:uid="{00000000-0005-0000-0000-0000FC060000}"/>
    <cellStyle name="Millares 3 10 2 7" xfId="1813" xr:uid="{00000000-0005-0000-0000-0000FD060000}"/>
    <cellStyle name="Millares 3 10 2 8" xfId="1814" xr:uid="{00000000-0005-0000-0000-0000FE060000}"/>
    <cellStyle name="Millares 3 10 2 9" xfId="1815" xr:uid="{00000000-0005-0000-0000-0000FF060000}"/>
    <cellStyle name="Millares 3 10 3" xfId="1816" xr:uid="{00000000-0005-0000-0000-000000070000}"/>
    <cellStyle name="Millares 3 10 4" xfId="1817" xr:uid="{00000000-0005-0000-0000-000001070000}"/>
    <cellStyle name="Millares 3 10 5" xfId="1818" xr:uid="{00000000-0005-0000-0000-000002070000}"/>
    <cellStyle name="Millares 3 10 6" xfId="1819" xr:uid="{00000000-0005-0000-0000-000003070000}"/>
    <cellStyle name="Millares 3 10 7" xfId="1820" xr:uid="{00000000-0005-0000-0000-000004070000}"/>
    <cellStyle name="Millares 3 10 8" xfId="1821" xr:uid="{00000000-0005-0000-0000-000005070000}"/>
    <cellStyle name="Millares 3 10 9" xfId="1822" xr:uid="{00000000-0005-0000-0000-000006070000}"/>
    <cellStyle name="Millares 3 11" xfId="1823" xr:uid="{00000000-0005-0000-0000-000007070000}"/>
    <cellStyle name="Millares 3 11 10" xfId="1824" xr:uid="{00000000-0005-0000-0000-000008070000}"/>
    <cellStyle name="Millares 3 11 11" xfId="1825" xr:uid="{00000000-0005-0000-0000-000009070000}"/>
    <cellStyle name="Millares 3 11 12" xfId="1826" xr:uid="{00000000-0005-0000-0000-00000A070000}"/>
    <cellStyle name="Millares 3 11 13" xfId="1827" xr:uid="{00000000-0005-0000-0000-00000B070000}"/>
    <cellStyle name="Millares 3 11 14" xfId="1828" xr:uid="{00000000-0005-0000-0000-00000C070000}"/>
    <cellStyle name="Millares 3 11 15" xfId="1829" xr:uid="{00000000-0005-0000-0000-00000D070000}"/>
    <cellStyle name="Millares 3 11 16" xfId="1830" xr:uid="{00000000-0005-0000-0000-00000E070000}"/>
    <cellStyle name="Millares 3 11 17" xfId="1831" xr:uid="{00000000-0005-0000-0000-00000F070000}"/>
    <cellStyle name="Millares 3 11 18" xfId="1832" xr:uid="{00000000-0005-0000-0000-000010070000}"/>
    <cellStyle name="Millares 3 11 19" xfId="1833" xr:uid="{00000000-0005-0000-0000-000011070000}"/>
    <cellStyle name="Millares 3 11 2" xfId="1834" xr:uid="{00000000-0005-0000-0000-000012070000}"/>
    <cellStyle name="Millares 3 11 2 10" xfId="1835" xr:uid="{00000000-0005-0000-0000-000013070000}"/>
    <cellStyle name="Millares 3 11 2 11" xfId="1836" xr:uid="{00000000-0005-0000-0000-000014070000}"/>
    <cellStyle name="Millares 3 11 2 12" xfId="1837" xr:uid="{00000000-0005-0000-0000-000015070000}"/>
    <cellStyle name="Millares 3 11 2 13" xfId="1838" xr:uid="{00000000-0005-0000-0000-000016070000}"/>
    <cellStyle name="Millares 3 11 2 14" xfId="1839" xr:uid="{00000000-0005-0000-0000-000017070000}"/>
    <cellStyle name="Millares 3 11 2 15" xfId="1840" xr:uid="{00000000-0005-0000-0000-000018070000}"/>
    <cellStyle name="Millares 3 11 2 16" xfId="1841" xr:uid="{00000000-0005-0000-0000-000019070000}"/>
    <cellStyle name="Millares 3 11 2 17" xfId="1842" xr:uid="{00000000-0005-0000-0000-00001A070000}"/>
    <cellStyle name="Millares 3 11 2 2" xfId="1843" xr:uid="{00000000-0005-0000-0000-00001B070000}"/>
    <cellStyle name="Millares 3 11 2 3" xfId="1844" xr:uid="{00000000-0005-0000-0000-00001C070000}"/>
    <cellStyle name="Millares 3 11 2 3 2" xfId="1845" xr:uid="{00000000-0005-0000-0000-00001D070000}"/>
    <cellStyle name="Millares 3 11 2 4" xfId="1846" xr:uid="{00000000-0005-0000-0000-00001E070000}"/>
    <cellStyle name="Millares 3 11 2 5" xfId="1847" xr:uid="{00000000-0005-0000-0000-00001F070000}"/>
    <cellStyle name="Millares 3 11 2 6" xfId="1848" xr:uid="{00000000-0005-0000-0000-000020070000}"/>
    <cellStyle name="Millares 3 11 2 7" xfId="1849" xr:uid="{00000000-0005-0000-0000-000021070000}"/>
    <cellStyle name="Millares 3 11 2 8" xfId="1850" xr:uid="{00000000-0005-0000-0000-000022070000}"/>
    <cellStyle name="Millares 3 11 2 9" xfId="1851" xr:uid="{00000000-0005-0000-0000-000023070000}"/>
    <cellStyle name="Millares 3 11 3" xfId="1852" xr:uid="{00000000-0005-0000-0000-000024070000}"/>
    <cellStyle name="Millares 3 11 4" xfId="1853" xr:uid="{00000000-0005-0000-0000-000025070000}"/>
    <cellStyle name="Millares 3 11 5" xfId="1854" xr:uid="{00000000-0005-0000-0000-000026070000}"/>
    <cellStyle name="Millares 3 11 6" xfId="1855" xr:uid="{00000000-0005-0000-0000-000027070000}"/>
    <cellStyle name="Millares 3 11 7" xfId="1856" xr:uid="{00000000-0005-0000-0000-000028070000}"/>
    <cellStyle name="Millares 3 11 8" xfId="1857" xr:uid="{00000000-0005-0000-0000-000029070000}"/>
    <cellStyle name="Millares 3 11 9" xfId="1858" xr:uid="{00000000-0005-0000-0000-00002A070000}"/>
    <cellStyle name="Millares 3 12" xfId="1859" xr:uid="{00000000-0005-0000-0000-00002B070000}"/>
    <cellStyle name="Millares 3 12 10" xfId="1860" xr:uid="{00000000-0005-0000-0000-00002C070000}"/>
    <cellStyle name="Millares 3 12 11" xfId="1861" xr:uid="{00000000-0005-0000-0000-00002D070000}"/>
    <cellStyle name="Millares 3 12 12" xfId="1862" xr:uid="{00000000-0005-0000-0000-00002E070000}"/>
    <cellStyle name="Millares 3 12 13" xfId="1863" xr:uid="{00000000-0005-0000-0000-00002F070000}"/>
    <cellStyle name="Millares 3 12 14" xfId="1864" xr:uid="{00000000-0005-0000-0000-000030070000}"/>
    <cellStyle name="Millares 3 12 15" xfId="1865" xr:uid="{00000000-0005-0000-0000-000031070000}"/>
    <cellStyle name="Millares 3 12 16" xfId="1866" xr:uid="{00000000-0005-0000-0000-000032070000}"/>
    <cellStyle name="Millares 3 12 17" xfId="1867" xr:uid="{00000000-0005-0000-0000-000033070000}"/>
    <cellStyle name="Millares 3 12 2" xfId="1868" xr:uid="{00000000-0005-0000-0000-000034070000}"/>
    <cellStyle name="Millares 3 12 3" xfId="1869" xr:uid="{00000000-0005-0000-0000-000035070000}"/>
    <cellStyle name="Millares 3 12 3 2" xfId="1870" xr:uid="{00000000-0005-0000-0000-000036070000}"/>
    <cellStyle name="Millares 3 12 4" xfId="1871" xr:uid="{00000000-0005-0000-0000-000037070000}"/>
    <cellStyle name="Millares 3 12 5" xfId="1872" xr:uid="{00000000-0005-0000-0000-000038070000}"/>
    <cellStyle name="Millares 3 12 6" xfId="1873" xr:uid="{00000000-0005-0000-0000-000039070000}"/>
    <cellStyle name="Millares 3 12 7" xfId="1874" xr:uid="{00000000-0005-0000-0000-00003A070000}"/>
    <cellStyle name="Millares 3 12 8" xfId="1875" xr:uid="{00000000-0005-0000-0000-00003B070000}"/>
    <cellStyle name="Millares 3 12 9" xfId="1876" xr:uid="{00000000-0005-0000-0000-00003C070000}"/>
    <cellStyle name="Millares 3 13" xfId="1877" xr:uid="{00000000-0005-0000-0000-00003D070000}"/>
    <cellStyle name="Millares 3 13 10" xfId="1878" xr:uid="{00000000-0005-0000-0000-00003E070000}"/>
    <cellStyle name="Millares 3 13 11" xfId="1879" xr:uid="{00000000-0005-0000-0000-00003F070000}"/>
    <cellStyle name="Millares 3 13 12" xfId="1880" xr:uid="{00000000-0005-0000-0000-000040070000}"/>
    <cellStyle name="Millares 3 13 13" xfId="1881" xr:uid="{00000000-0005-0000-0000-000041070000}"/>
    <cellStyle name="Millares 3 13 14" xfId="1882" xr:uid="{00000000-0005-0000-0000-000042070000}"/>
    <cellStyle name="Millares 3 13 15" xfId="1883" xr:uid="{00000000-0005-0000-0000-000043070000}"/>
    <cellStyle name="Millares 3 13 16" xfId="1884" xr:uid="{00000000-0005-0000-0000-000044070000}"/>
    <cellStyle name="Millares 3 13 17" xfId="1885" xr:uid="{00000000-0005-0000-0000-000045070000}"/>
    <cellStyle name="Millares 3 13 2" xfId="1886" xr:uid="{00000000-0005-0000-0000-000046070000}"/>
    <cellStyle name="Millares 3 13 3" xfId="1887" xr:uid="{00000000-0005-0000-0000-000047070000}"/>
    <cellStyle name="Millares 3 13 3 2" xfId="1888" xr:uid="{00000000-0005-0000-0000-000048070000}"/>
    <cellStyle name="Millares 3 13 4" xfId="1889" xr:uid="{00000000-0005-0000-0000-000049070000}"/>
    <cellStyle name="Millares 3 13 5" xfId="1890" xr:uid="{00000000-0005-0000-0000-00004A070000}"/>
    <cellStyle name="Millares 3 13 6" xfId="1891" xr:uid="{00000000-0005-0000-0000-00004B070000}"/>
    <cellStyle name="Millares 3 13 7" xfId="1892" xr:uid="{00000000-0005-0000-0000-00004C070000}"/>
    <cellStyle name="Millares 3 13 8" xfId="1893" xr:uid="{00000000-0005-0000-0000-00004D070000}"/>
    <cellStyle name="Millares 3 13 9" xfId="1894" xr:uid="{00000000-0005-0000-0000-00004E070000}"/>
    <cellStyle name="Millares 3 14" xfId="1895" xr:uid="{00000000-0005-0000-0000-00004F070000}"/>
    <cellStyle name="Millares 3 14 10" xfId="1896" xr:uid="{00000000-0005-0000-0000-000050070000}"/>
    <cellStyle name="Millares 3 14 11" xfId="1897" xr:uid="{00000000-0005-0000-0000-000051070000}"/>
    <cellStyle name="Millares 3 14 12" xfId="1898" xr:uid="{00000000-0005-0000-0000-000052070000}"/>
    <cellStyle name="Millares 3 14 13" xfId="1899" xr:uid="{00000000-0005-0000-0000-000053070000}"/>
    <cellStyle name="Millares 3 14 14" xfId="1900" xr:uid="{00000000-0005-0000-0000-000054070000}"/>
    <cellStyle name="Millares 3 14 15" xfId="1901" xr:uid="{00000000-0005-0000-0000-000055070000}"/>
    <cellStyle name="Millares 3 14 16" xfId="1902" xr:uid="{00000000-0005-0000-0000-000056070000}"/>
    <cellStyle name="Millares 3 14 17" xfId="1903" xr:uid="{00000000-0005-0000-0000-000057070000}"/>
    <cellStyle name="Millares 3 14 2" xfId="1904" xr:uid="{00000000-0005-0000-0000-000058070000}"/>
    <cellStyle name="Millares 3 14 3" xfId="1905" xr:uid="{00000000-0005-0000-0000-000059070000}"/>
    <cellStyle name="Millares 3 14 3 2" xfId="1906" xr:uid="{00000000-0005-0000-0000-00005A070000}"/>
    <cellStyle name="Millares 3 14 4" xfId="1907" xr:uid="{00000000-0005-0000-0000-00005B070000}"/>
    <cellStyle name="Millares 3 14 5" xfId="1908" xr:uid="{00000000-0005-0000-0000-00005C070000}"/>
    <cellStyle name="Millares 3 14 6" xfId="1909" xr:uid="{00000000-0005-0000-0000-00005D070000}"/>
    <cellStyle name="Millares 3 14 7" xfId="1910" xr:uid="{00000000-0005-0000-0000-00005E070000}"/>
    <cellStyle name="Millares 3 14 8" xfId="1911" xr:uid="{00000000-0005-0000-0000-00005F070000}"/>
    <cellStyle name="Millares 3 14 9" xfId="1912" xr:uid="{00000000-0005-0000-0000-000060070000}"/>
    <cellStyle name="Millares 3 15" xfId="1913" xr:uid="{00000000-0005-0000-0000-000061070000}"/>
    <cellStyle name="Millares 3 16" xfId="1914" xr:uid="{00000000-0005-0000-0000-000062070000}"/>
    <cellStyle name="Millares 3 17" xfId="1915" xr:uid="{00000000-0005-0000-0000-000063070000}"/>
    <cellStyle name="Millares 3 18" xfId="1916" xr:uid="{00000000-0005-0000-0000-000064070000}"/>
    <cellStyle name="Millares 3 19" xfId="1917" xr:uid="{00000000-0005-0000-0000-000065070000}"/>
    <cellStyle name="Millares 3 2" xfId="1918" xr:uid="{00000000-0005-0000-0000-000066070000}"/>
    <cellStyle name="Millares 3 2 10" xfId="1919" xr:uid="{00000000-0005-0000-0000-000067070000}"/>
    <cellStyle name="Millares 3 2 11" xfId="1920" xr:uid="{00000000-0005-0000-0000-000068070000}"/>
    <cellStyle name="Millares 3 2 12" xfId="1921" xr:uid="{00000000-0005-0000-0000-000069070000}"/>
    <cellStyle name="Millares 3 2 13" xfId="1922" xr:uid="{00000000-0005-0000-0000-00006A070000}"/>
    <cellStyle name="Millares 3 2 14" xfId="1923" xr:uid="{00000000-0005-0000-0000-00006B070000}"/>
    <cellStyle name="Millares 3 2 15" xfId="1924" xr:uid="{00000000-0005-0000-0000-00006C070000}"/>
    <cellStyle name="Millares 3 2 16" xfId="1925" xr:uid="{00000000-0005-0000-0000-00006D070000}"/>
    <cellStyle name="Millares 3 2 17" xfId="1926" xr:uid="{00000000-0005-0000-0000-00006E070000}"/>
    <cellStyle name="Millares 3 2 18" xfId="1927" xr:uid="{00000000-0005-0000-0000-00006F070000}"/>
    <cellStyle name="Millares 3 2 19" xfId="1928" xr:uid="{00000000-0005-0000-0000-000070070000}"/>
    <cellStyle name="Millares 3 2 2" xfId="1929" xr:uid="{00000000-0005-0000-0000-000071070000}"/>
    <cellStyle name="Millares 3 2 2 10" xfId="1930" xr:uid="{00000000-0005-0000-0000-000072070000}"/>
    <cellStyle name="Millares 3 2 2 11" xfId="1931" xr:uid="{00000000-0005-0000-0000-000073070000}"/>
    <cellStyle name="Millares 3 2 2 12" xfId="1932" xr:uid="{00000000-0005-0000-0000-000074070000}"/>
    <cellStyle name="Millares 3 2 2 13" xfId="1933" xr:uid="{00000000-0005-0000-0000-000075070000}"/>
    <cellStyle name="Millares 3 2 2 14" xfId="1934" xr:uid="{00000000-0005-0000-0000-000076070000}"/>
    <cellStyle name="Millares 3 2 2 15" xfId="1935" xr:uid="{00000000-0005-0000-0000-000077070000}"/>
    <cellStyle name="Millares 3 2 2 16" xfId="1936" xr:uid="{00000000-0005-0000-0000-000078070000}"/>
    <cellStyle name="Millares 3 2 2 17" xfId="1937" xr:uid="{00000000-0005-0000-0000-000079070000}"/>
    <cellStyle name="Millares 3 2 2 18" xfId="1938" xr:uid="{00000000-0005-0000-0000-00007A070000}"/>
    <cellStyle name="Millares 3 2 2 2" xfId="1939" xr:uid="{00000000-0005-0000-0000-00007B070000}"/>
    <cellStyle name="Millares 3 2 2 2 2" xfId="1940" xr:uid="{00000000-0005-0000-0000-00007C070000}"/>
    <cellStyle name="Millares 3 2 2 2 2 2" xfId="1941" xr:uid="{00000000-0005-0000-0000-00007D070000}"/>
    <cellStyle name="Millares 3 2 2 2 2 2 2" xfId="1942" xr:uid="{00000000-0005-0000-0000-00007E070000}"/>
    <cellStyle name="Millares 3 2 2 2 2 2 2 2" xfId="1943" xr:uid="{00000000-0005-0000-0000-00007F070000}"/>
    <cellStyle name="Millares 3 2 2 2 2 2 2 3" xfId="1944" xr:uid="{00000000-0005-0000-0000-000080070000}"/>
    <cellStyle name="Millares 3 2 2 2 2 2 3" xfId="1945" xr:uid="{00000000-0005-0000-0000-000081070000}"/>
    <cellStyle name="Millares 3 2 2 2 2 3" xfId="1946" xr:uid="{00000000-0005-0000-0000-000082070000}"/>
    <cellStyle name="Millares 3 2 2 2 2 4" xfId="1947" xr:uid="{00000000-0005-0000-0000-000083070000}"/>
    <cellStyle name="Millares 3 2 2 2 2 5" xfId="1948" xr:uid="{00000000-0005-0000-0000-000084070000}"/>
    <cellStyle name="Millares 3 2 2 2 3" xfId="1949" xr:uid="{00000000-0005-0000-0000-000085070000}"/>
    <cellStyle name="Millares 3 2 2 2 4" xfId="1950" xr:uid="{00000000-0005-0000-0000-000086070000}"/>
    <cellStyle name="Millares 3 2 2 2 5" xfId="1951" xr:uid="{00000000-0005-0000-0000-000087070000}"/>
    <cellStyle name="Millares 3 2 2 3" xfId="1952" xr:uid="{00000000-0005-0000-0000-000088070000}"/>
    <cellStyle name="Millares 3 2 2 4" xfId="1953" xr:uid="{00000000-0005-0000-0000-000089070000}"/>
    <cellStyle name="Millares 3 2 2 5" xfId="1954" xr:uid="{00000000-0005-0000-0000-00008A070000}"/>
    <cellStyle name="Millares 3 2 2 5 10" xfId="1955" xr:uid="{00000000-0005-0000-0000-00008B070000}"/>
    <cellStyle name="Millares 3 2 2 5 11" xfId="1956" xr:uid="{00000000-0005-0000-0000-00008C070000}"/>
    <cellStyle name="Millares 3 2 2 5 12" xfId="1957" xr:uid="{00000000-0005-0000-0000-00008D070000}"/>
    <cellStyle name="Millares 3 2 2 5 13" xfId="1958" xr:uid="{00000000-0005-0000-0000-00008E070000}"/>
    <cellStyle name="Millares 3 2 2 5 14" xfId="1959" xr:uid="{00000000-0005-0000-0000-00008F070000}"/>
    <cellStyle name="Millares 3 2 2 5 15" xfId="1960" xr:uid="{00000000-0005-0000-0000-000090070000}"/>
    <cellStyle name="Millares 3 2 2 5 16" xfId="1961" xr:uid="{00000000-0005-0000-0000-000091070000}"/>
    <cellStyle name="Millares 3 2 2 5 17" xfId="1962" xr:uid="{00000000-0005-0000-0000-000092070000}"/>
    <cellStyle name="Millares 3 2 2 5 18" xfId="1963" xr:uid="{00000000-0005-0000-0000-000093070000}"/>
    <cellStyle name="Millares 3 2 2 5 2" xfId="1964" xr:uid="{00000000-0005-0000-0000-000094070000}"/>
    <cellStyle name="Millares 3 2 2 5 2 10" xfId="1965" xr:uid="{00000000-0005-0000-0000-000095070000}"/>
    <cellStyle name="Millares 3 2 2 5 2 11" xfId="1966" xr:uid="{00000000-0005-0000-0000-000096070000}"/>
    <cellStyle name="Millares 3 2 2 5 2 12" xfId="1967" xr:uid="{00000000-0005-0000-0000-000097070000}"/>
    <cellStyle name="Millares 3 2 2 5 2 13" xfId="1968" xr:uid="{00000000-0005-0000-0000-000098070000}"/>
    <cellStyle name="Millares 3 2 2 5 2 14" xfId="1969" xr:uid="{00000000-0005-0000-0000-000099070000}"/>
    <cellStyle name="Millares 3 2 2 5 2 15" xfId="1970" xr:uid="{00000000-0005-0000-0000-00009A070000}"/>
    <cellStyle name="Millares 3 2 2 5 2 2" xfId="1971" xr:uid="{00000000-0005-0000-0000-00009B070000}"/>
    <cellStyle name="Millares 3 2 2 5 2 2 2" xfId="1972" xr:uid="{00000000-0005-0000-0000-00009C070000}"/>
    <cellStyle name="Millares 3 2 2 5 2 2 3" xfId="1973" xr:uid="{00000000-0005-0000-0000-00009D070000}"/>
    <cellStyle name="Millares 3 2 2 5 2 2 4" xfId="1974" xr:uid="{00000000-0005-0000-0000-00009E070000}"/>
    <cellStyle name="Millares 3 2 2 5 2 2 5" xfId="1975" xr:uid="{00000000-0005-0000-0000-00009F070000}"/>
    <cellStyle name="Millares 3 2 2 5 2 2 6" xfId="1976" xr:uid="{00000000-0005-0000-0000-0000A0070000}"/>
    <cellStyle name="Millares 3 2 2 5 2 3" xfId="1977" xr:uid="{00000000-0005-0000-0000-0000A1070000}"/>
    <cellStyle name="Millares 3 2 2 5 2 4" xfId="1978" xr:uid="{00000000-0005-0000-0000-0000A2070000}"/>
    <cellStyle name="Millares 3 2 2 5 2 5" xfId="1979" xr:uid="{00000000-0005-0000-0000-0000A3070000}"/>
    <cellStyle name="Millares 3 2 2 5 2 6" xfId="1980" xr:uid="{00000000-0005-0000-0000-0000A4070000}"/>
    <cellStyle name="Millares 3 2 2 5 2 7" xfId="1981" xr:uid="{00000000-0005-0000-0000-0000A5070000}"/>
    <cellStyle name="Millares 3 2 2 5 2 8" xfId="1982" xr:uid="{00000000-0005-0000-0000-0000A6070000}"/>
    <cellStyle name="Millares 3 2 2 5 2 9" xfId="1983" xr:uid="{00000000-0005-0000-0000-0000A7070000}"/>
    <cellStyle name="Millares 3 2 2 5 3" xfId="1984" xr:uid="{00000000-0005-0000-0000-0000A8070000}"/>
    <cellStyle name="Millares 3 2 2 5 3 10" xfId="1985" xr:uid="{00000000-0005-0000-0000-0000A9070000}"/>
    <cellStyle name="Millares 3 2 2 5 3 2" xfId="1986" xr:uid="{00000000-0005-0000-0000-0000AA070000}"/>
    <cellStyle name="Millares 3 2 2 5 3 3" xfId="1987" xr:uid="{00000000-0005-0000-0000-0000AB070000}"/>
    <cellStyle name="Millares 3 2 2 5 3 4" xfId="1988" xr:uid="{00000000-0005-0000-0000-0000AC070000}"/>
    <cellStyle name="Millares 3 2 2 5 3 5" xfId="1989" xr:uid="{00000000-0005-0000-0000-0000AD070000}"/>
    <cellStyle name="Millares 3 2 2 5 3 6" xfId="1990" xr:uid="{00000000-0005-0000-0000-0000AE070000}"/>
    <cellStyle name="Millares 3 2 2 5 3 7" xfId="1991" xr:uid="{00000000-0005-0000-0000-0000AF070000}"/>
    <cellStyle name="Millares 3 2 2 5 3 8" xfId="1992" xr:uid="{00000000-0005-0000-0000-0000B0070000}"/>
    <cellStyle name="Millares 3 2 2 5 3 9" xfId="1993" xr:uid="{00000000-0005-0000-0000-0000B1070000}"/>
    <cellStyle name="Millares 3 2 2 5 4" xfId="1994" xr:uid="{00000000-0005-0000-0000-0000B2070000}"/>
    <cellStyle name="Millares 3 2 2 5 5" xfId="1995" xr:uid="{00000000-0005-0000-0000-0000B3070000}"/>
    <cellStyle name="Millares 3 2 2 5 6" xfId="1996" xr:uid="{00000000-0005-0000-0000-0000B4070000}"/>
    <cellStyle name="Millares 3 2 2 5 7" xfId="1997" xr:uid="{00000000-0005-0000-0000-0000B5070000}"/>
    <cellStyle name="Millares 3 2 2 5 8" xfId="1998" xr:uid="{00000000-0005-0000-0000-0000B6070000}"/>
    <cellStyle name="Millares 3 2 2 5 9" xfId="1999" xr:uid="{00000000-0005-0000-0000-0000B7070000}"/>
    <cellStyle name="Millares 3 2 2 6" xfId="2000" xr:uid="{00000000-0005-0000-0000-0000B8070000}"/>
    <cellStyle name="Millares 3 2 2 7" xfId="2001" xr:uid="{00000000-0005-0000-0000-0000B9070000}"/>
    <cellStyle name="Millares 3 2 2 8" xfId="2002" xr:uid="{00000000-0005-0000-0000-0000BA070000}"/>
    <cellStyle name="Millares 3 2 2 9" xfId="2003" xr:uid="{00000000-0005-0000-0000-0000BB070000}"/>
    <cellStyle name="Millares 3 2 20" xfId="2004" xr:uid="{00000000-0005-0000-0000-0000BC070000}"/>
    <cellStyle name="Millares 3 2 21" xfId="2005" xr:uid="{00000000-0005-0000-0000-0000BD070000}"/>
    <cellStyle name="Millares 3 2 22" xfId="2006" xr:uid="{00000000-0005-0000-0000-0000BE070000}"/>
    <cellStyle name="Millares 3 2 23" xfId="2007" xr:uid="{00000000-0005-0000-0000-0000BF070000}"/>
    <cellStyle name="Millares 3 2 24" xfId="2008" xr:uid="{00000000-0005-0000-0000-0000C0070000}"/>
    <cellStyle name="Millares 3 2 3" xfId="2009" xr:uid="{00000000-0005-0000-0000-0000C1070000}"/>
    <cellStyle name="Millares 3 2 4" xfId="2010" xr:uid="{00000000-0005-0000-0000-0000C2070000}"/>
    <cellStyle name="Millares 3 2 5" xfId="2011" xr:uid="{00000000-0005-0000-0000-0000C3070000}"/>
    <cellStyle name="Millares 3 2 6" xfId="2012" xr:uid="{00000000-0005-0000-0000-0000C4070000}"/>
    <cellStyle name="Millares 3 2 7" xfId="2013" xr:uid="{00000000-0005-0000-0000-0000C5070000}"/>
    <cellStyle name="Millares 3 2 8" xfId="2014" xr:uid="{00000000-0005-0000-0000-0000C6070000}"/>
    <cellStyle name="Millares 3 2 9" xfId="2015" xr:uid="{00000000-0005-0000-0000-0000C7070000}"/>
    <cellStyle name="Millares 3 20" xfId="2016" xr:uid="{00000000-0005-0000-0000-0000C8070000}"/>
    <cellStyle name="Millares 3 21" xfId="2017" xr:uid="{00000000-0005-0000-0000-0000C9070000}"/>
    <cellStyle name="Millares 3 22" xfId="2018" xr:uid="{00000000-0005-0000-0000-0000CA070000}"/>
    <cellStyle name="Millares 3 23" xfId="2019" xr:uid="{00000000-0005-0000-0000-0000CB070000}"/>
    <cellStyle name="Millares 3 24" xfId="2020" xr:uid="{00000000-0005-0000-0000-0000CC070000}"/>
    <cellStyle name="Millares 3 25" xfId="2021" xr:uid="{00000000-0005-0000-0000-0000CD070000}"/>
    <cellStyle name="Millares 3 26" xfId="2022" xr:uid="{00000000-0005-0000-0000-0000CE070000}"/>
    <cellStyle name="Millares 3 27" xfId="2023" xr:uid="{00000000-0005-0000-0000-0000CF070000}"/>
    <cellStyle name="Millares 3 28" xfId="2024" xr:uid="{00000000-0005-0000-0000-0000D0070000}"/>
    <cellStyle name="Millares 3 29" xfId="2025" xr:uid="{00000000-0005-0000-0000-0000D1070000}"/>
    <cellStyle name="Millares 3 3" xfId="2026" xr:uid="{00000000-0005-0000-0000-0000D2070000}"/>
    <cellStyle name="Millares 3 30" xfId="2027" xr:uid="{00000000-0005-0000-0000-0000D3070000}"/>
    <cellStyle name="Millares 3 4" xfId="2028" xr:uid="{00000000-0005-0000-0000-0000D4070000}"/>
    <cellStyle name="Millares 3 5" xfId="2029" xr:uid="{00000000-0005-0000-0000-0000D5070000}"/>
    <cellStyle name="Millares 3 6" xfId="2030" xr:uid="{00000000-0005-0000-0000-0000D6070000}"/>
    <cellStyle name="Millares 3 7" xfId="2031" xr:uid="{00000000-0005-0000-0000-0000D7070000}"/>
    <cellStyle name="Millares 3 8" xfId="2032" xr:uid="{00000000-0005-0000-0000-0000D8070000}"/>
    <cellStyle name="Millares 3 9" xfId="2033" xr:uid="{00000000-0005-0000-0000-0000D9070000}"/>
    <cellStyle name="Millares 30" xfId="2034" xr:uid="{00000000-0005-0000-0000-0000DA070000}"/>
    <cellStyle name="Millares 30 10" xfId="2035" xr:uid="{00000000-0005-0000-0000-0000DB070000}"/>
    <cellStyle name="Millares 30 11" xfId="2036" xr:uid="{00000000-0005-0000-0000-0000DC070000}"/>
    <cellStyle name="Millares 30 12" xfId="2037" xr:uid="{00000000-0005-0000-0000-0000DD070000}"/>
    <cellStyle name="Millares 30 13" xfId="2038" xr:uid="{00000000-0005-0000-0000-0000DE070000}"/>
    <cellStyle name="Millares 30 14" xfId="2039" xr:uid="{00000000-0005-0000-0000-0000DF070000}"/>
    <cellStyle name="Millares 30 15" xfId="2040" xr:uid="{00000000-0005-0000-0000-0000E0070000}"/>
    <cellStyle name="Millares 30 16" xfId="2041" xr:uid="{00000000-0005-0000-0000-0000E1070000}"/>
    <cellStyle name="Millares 30 17" xfId="2042" xr:uid="{00000000-0005-0000-0000-0000E2070000}"/>
    <cellStyle name="Millares 30 18" xfId="2043" xr:uid="{00000000-0005-0000-0000-0000E3070000}"/>
    <cellStyle name="Millares 30 19" xfId="2044" xr:uid="{00000000-0005-0000-0000-0000E4070000}"/>
    <cellStyle name="Millares 30 2" xfId="2045" xr:uid="{00000000-0005-0000-0000-0000E5070000}"/>
    <cellStyle name="Millares 30 2 2" xfId="2046" xr:uid="{00000000-0005-0000-0000-0000E6070000}"/>
    <cellStyle name="Millares 30 2 3" xfId="2047" xr:uid="{00000000-0005-0000-0000-0000E7070000}"/>
    <cellStyle name="Millares 30 20" xfId="2048" xr:uid="{00000000-0005-0000-0000-0000E8070000}"/>
    <cellStyle name="Millares 30 21" xfId="2049" xr:uid="{00000000-0005-0000-0000-0000E9070000}"/>
    <cellStyle name="Millares 30 22" xfId="2050" xr:uid="{00000000-0005-0000-0000-0000EA070000}"/>
    <cellStyle name="Millares 30 23" xfId="2051" xr:uid="{00000000-0005-0000-0000-0000EB070000}"/>
    <cellStyle name="Millares 30 24" xfId="2052" xr:uid="{00000000-0005-0000-0000-0000EC070000}"/>
    <cellStyle name="Millares 30 25" xfId="2053" xr:uid="{00000000-0005-0000-0000-0000ED070000}"/>
    <cellStyle name="Millares 30 3" xfId="2054" xr:uid="{00000000-0005-0000-0000-0000EE070000}"/>
    <cellStyle name="Millares 30 3 2" xfId="2055" xr:uid="{00000000-0005-0000-0000-0000EF070000}"/>
    <cellStyle name="Millares 30 3 3" xfId="2056" xr:uid="{00000000-0005-0000-0000-0000F0070000}"/>
    <cellStyle name="Millares 30 4" xfId="2057" xr:uid="{00000000-0005-0000-0000-0000F1070000}"/>
    <cellStyle name="Millares 30 5" xfId="2058" xr:uid="{00000000-0005-0000-0000-0000F2070000}"/>
    <cellStyle name="Millares 30 6" xfId="2059" xr:uid="{00000000-0005-0000-0000-0000F3070000}"/>
    <cellStyle name="Millares 30 7" xfId="2060" xr:uid="{00000000-0005-0000-0000-0000F4070000}"/>
    <cellStyle name="Millares 30 8" xfId="2061" xr:uid="{00000000-0005-0000-0000-0000F5070000}"/>
    <cellStyle name="Millares 30 9" xfId="2062" xr:uid="{00000000-0005-0000-0000-0000F6070000}"/>
    <cellStyle name="Millares 4" xfId="2063" xr:uid="{00000000-0005-0000-0000-0000F7070000}"/>
    <cellStyle name="Millares 4 2" xfId="2064" xr:uid="{00000000-0005-0000-0000-0000F8070000}"/>
    <cellStyle name="Millares 4 3" xfId="2065" xr:uid="{00000000-0005-0000-0000-0000F9070000}"/>
    <cellStyle name="Millares 5" xfId="2066" xr:uid="{00000000-0005-0000-0000-0000FA070000}"/>
    <cellStyle name="Millares 5 10" xfId="2067" xr:uid="{00000000-0005-0000-0000-0000FB070000}"/>
    <cellStyle name="Millares 5 11" xfId="2068" xr:uid="{00000000-0005-0000-0000-0000FC070000}"/>
    <cellStyle name="Millares 5 12" xfId="2069" xr:uid="{00000000-0005-0000-0000-0000FD070000}"/>
    <cellStyle name="Millares 5 13" xfId="2070" xr:uid="{00000000-0005-0000-0000-0000FE070000}"/>
    <cellStyle name="Millares 5 14" xfId="2071" xr:uid="{00000000-0005-0000-0000-0000FF070000}"/>
    <cellStyle name="Millares 5 15" xfId="2072" xr:uid="{00000000-0005-0000-0000-000000080000}"/>
    <cellStyle name="Millares 5 16" xfId="2073" xr:uid="{00000000-0005-0000-0000-000001080000}"/>
    <cellStyle name="Millares 5 17" xfId="2074" xr:uid="{00000000-0005-0000-0000-000002080000}"/>
    <cellStyle name="Millares 5 18" xfId="2075" xr:uid="{00000000-0005-0000-0000-000003080000}"/>
    <cellStyle name="Millares 5 19" xfId="2076" xr:uid="{00000000-0005-0000-0000-000004080000}"/>
    <cellStyle name="Millares 5 2" xfId="2077" xr:uid="{00000000-0005-0000-0000-000005080000}"/>
    <cellStyle name="Millares 5 2 2" xfId="2078" xr:uid="{00000000-0005-0000-0000-000006080000}"/>
    <cellStyle name="Millares 5 20" xfId="2079" xr:uid="{00000000-0005-0000-0000-000007080000}"/>
    <cellStyle name="Millares 5 21" xfId="2080" xr:uid="{00000000-0005-0000-0000-000008080000}"/>
    <cellStyle name="Millares 5 22" xfId="2081" xr:uid="{00000000-0005-0000-0000-000009080000}"/>
    <cellStyle name="Millares 5 23" xfId="2082" xr:uid="{00000000-0005-0000-0000-00000A080000}"/>
    <cellStyle name="Millares 5 24" xfId="2083" xr:uid="{00000000-0005-0000-0000-00000B080000}"/>
    <cellStyle name="Millares 5 25" xfId="2084" xr:uid="{00000000-0005-0000-0000-00000C080000}"/>
    <cellStyle name="Millares 5 26" xfId="2085" xr:uid="{00000000-0005-0000-0000-00000D080000}"/>
    <cellStyle name="Millares 5 3" xfId="2086" xr:uid="{00000000-0005-0000-0000-00000E080000}"/>
    <cellStyle name="Millares 5 4" xfId="2087" xr:uid="{00000000-0005-0000-0000-00000F080000}"/>
    <cellStyle name="Millares 5 5" xfId="2088" xr:uid="{00000000-0005-0000-0000-000010080000}"/>
    <cellStyle name="Millares 5 6" xfId="2089" xr:uid="{00000000-0005-0000-0000-000011080000}"/>
    <cellStyle name="Millares 5 7" xfId="2090" xr:uid="{00000000-0005-0000-0000-000012080000}"/>
    <cellStyle name="Millares 5 8" xfId="2091" xr:uid="{00000000-0005-0000-0000-000013080000}"/>
    <cellStyle name="Millares 5 9" xfId="2092" xr:uid="{00000000-0005-0000-0000-000014080000}"/>
    <cellStyle name="Millares 6" xfId="2093" xr:uid="{00000000-0005-0000-0000-000015080000}"/>
    <cellStyle name="Millares 6 2" xfId="2094" xr:uid="{00000000-0005-0000-0000-000016080000}"/>
    <cellStyle name="Millares 7" xfId="2095" xr:uid="{00000000-0005-0000-0000-000017080000}"/>
    <cellStyle name="Millares 7 10" xfId="2096" xr:uid="{00000000-0005-0000-0000-000018080000}"/>
    <cellStyle name="Millares 7 11" xfId="2097" xr:uid="{00000000-0005-0000-0000-000019080000}"/>
    <cellStyle name="Millares 7 12" xfId="2098" xr:uid="{00000000-0005-0000-0000-00001A080000}"/>
    <cellStyle name="Millares 7 13" xfId="2099" xr:uid="{00000000-0005-0000-0000-00001B080000}"/>
    <cellStyle name="Millares 7 14" xfId="2100" xr:uid="{00000000-0005-0000-0000-00001C080000}"/>
    <cellStyle name="Millares 7 15" xfId="2101" xr:uid="{00000000-0005-0000-0000-00001D080000}"/>
    <cellStyle name="Millares 7 16" xfId="2102" xr:uid="{00000000-0005-0000-0000-00001E080000}"/>
    <cellStyle name="Millares 7 17" xfId="2103" xr:uid="{00000000-0005-0000-0000-00001F080000}"/>
    <cellStyle name="Millares 7 18" xfId="2104" xr:uid="{00000000-0005-0000-0000-000020080000}"/>
    <cellStyle name="Millares 7 19" xfId="2105" xr:uid="{00000000-0005-0000-0000-000021080000}"/>
    <cellStyle name="Millares 7 2" xfId="2106" xr:uid="{00000000-0005-0000-0000-000022080000}"/>
    <cellStyle name="Millares 7 20" xfId="2107" xr:uid="{00000000-0005-0000-0000-000023080000}"/>
    <cellStyle name="Millares 7 21" xfId="2108" xr:uid="{00000000-0005-0000-0000-000024080000}"/>
    <cellStyle name="Millares 7 22" xfId="2109" xr:uid="{00000000-0005-0000-0000-000025080000}"/>
    <cellStyle name="Millares 7 23" xfId="2110" xr:uid="{00000000-0005-0000-0000-000026080000}"/>
    <cellStyle name="Millares 7 24" xfId="2111" xr:uid="{00000000-0005-0000-0000-000027080000}"/>
    <cellStyle name="Millares 7 3" xfId="2112" xr:uid="{00000000-0005-0000-0000-000028080000}"/>
    <cellStyle name="Millares 7 4" xfId="2113" xr:uid="{00000000-0005-0000-0000-000029080000}"/>
    <cellStyle name="Millares 7 5" xfId="2114" xr:uid="{00000000-0005-0000-0000-00002A080000}"/>
    <cellStyle name="Millares 7 6" xfId="2115" xr:uid="{00000000-0005-0000-0000-00002B080000}"/>
    <cellStyle name="Millares 7 7" xfId="2116" xr:uid="{00000000-0005-0000-0000-00002C080000}"/>
    <cellStyle name="Millares 7 8" xfId="2117" xr:uid="{00000000-0005-0000-0000-00002D080000}"/>
    <cellStyle name="Millares 7 9" xfId="2118" xr:uid="{00000000-0005-0000-0000-00002E080000}"/>
    <cellStyle name="Millares 8" xfId="2119" xr:uid="{00000000-0005-0000-0000-00002F080000}"/>
    <cellStyle name="Millares 8 10" xfId="2120" xr:uid="{00000000-0005-0000-0000-000030080000}"/>
    <cellStyle name="Millares 8 11" xfId="2121" xr:uid="{00000000-0005-0000-0000-000031080000}"/>
    <cellStyle name="Millares 8 12" xfId="2122" xr:uid="{00000000-0005-0000-0000-000032080000}"/>
    <cellStyle name="Millares 8 13" xfId="2123" xr:uid="{00000000-0005-0000-0000-000033080000}"/>
    <cellStyle name="Millares 8 14" xfId="2124" xr:uid="{00000000-0005-0000-0000-000034080000}"/>
    <cellStyle name="Millares 8 15" xfId="2125" xr:uid="{00000000-0005-0000-0000-000035080000}"/>
    <cellStyle name="Millares 8 16" xfId="2126" xr:uid="{00000000-0005-0000-0000-000036080000}"/>
    <cellStyle name="Millares 8 17" xfId="2127" xr:uid="{00000000-0005-0000-0000-000037080000}"/>
    <cellStyle name="Millares 8 18" xfId="2128" xr:uid="{00000000-0005-0000-0000-000038080000}"/>
    <cellStyle name="Millares 8 19" xfId="2129" xr:uid="{00000000-0005-0000-0000-000039080000}"/>
    <cellStyle name="Millares 8 2" xfId="2130" xr:uid="{00000000-0005-0000-0000-00003A080000}"/>
    <cellStyle name="Millares 8 20" xfId="2131" xr:uid="{00000000-0005-0000-0000-00003B080000}"/>
    <cellStyle name="Millares 8 21" xfId="2132" xr:uid="{00000000-0005-0000-0000-00003C080000}"/>
    <cellStyle name="Millares 8 22" xfId="2133" xr:uid="{00000000-0005-0000-0000-00003D080000}"/>
    <cellStyle name="Millares 8 23" xfId="2134" xr:uid="{00000000-0005-0000-0000-00003E080000}"/>
    <cellStyle name="Millares 8 24" xfId="2135" xr:uid="{00000000-0005-0000-0000-00003F080000}"/>
    <cellStyle name="Millares 8 3" xfId="2136" xr:uid="{00000000-0005-0000-0000-000040080000}"/>
    <cellStyle name="Millares 8 4" xfId="2137" xr:uid="{00000000-0005-0000-0000-000041080000}"/>
    <cellStyle name="Millares 8 5" xfId="2138" xr:uid="{00000000-0005-0000-0000-000042080000}"/>
    <cellStyle name="Millares 8 6" xfId="2139" xr:uid="{00000000-0005-0000-0000-000043080000}"/>
    <cellStyle name="Millares 8 7" xfId="2140" xr:uid="{00000000-0005-0000-0000-000044080000}"/>
    <cellStyle name="Millares 8 8" xfId="2141" xr:uid="{00000000-0005-0000-0000-000045080000}"/>
    <cellStyle name="Millares 8 9" xfId="2142" xr:uid="{00000000-0005-0000-0000-000046080000}"/>
    <cellStyle name="Millares 9" xfId="2143" xr:uid="{00000000-0005-0000-0000-000047080000}"/>
    <cellStyle name="Moneda" xfId="39123" builtinId="4"/>
    <cellStyle name="Moneda 2" xfId="5" xr:uid="{00000000-0005-0000-0000-000049080000}"/>
    <cellStyle name="Moneda 2 10" xfId="2144" xr:uid="{00000000-0005-0000-0000-00004A080000}"/>
    <cellStyle name="Moneda 2 2" xfId="2145" xr:uid="{00000000-0005-0000-0000-00004B080000}"/>
    <cellStyle name="Moneda 2 2 2" xfId="2146" xr:uid="{00000000-0005-0000-0000-00004C080000}"/>
    <cellStyle name="Moneda 2 2 3" xfId="2147" xr:uid="{00000000-0005-0000-0000-00004D080000}"/>
    <cellStyle name="Moneda 2 3" xfId="2148" xr:uid="{00000000-0005-0000-0000-00004E080000}"/>
    <cellStyle name="Moneda 2 3 2" xfId="2149" xr:uid="{00000000-0005-0000-0000-00004F080000}"/>
    <cellStyle name="Moneda 2 4" xfId="2150" xr:uid="{00000000-0005-0000-0000-000050080000}"/>
    <cellStyle name="Moneda 2 4 2" xfId="2151" xr:uid="{00000000-0005-0000-0000-000051080000}"/>
    <cellStyle name="Moneda 2 5" xfId="2152" xr:uid="{00000000-0005-0000-0000-000052080000}"/>
    <cellStyle name="Moneda 2 5 2" xfId="2153" xr:uid="{00000000-0005-0000-0000-000053080000}"/>
    <cellStyle name="Moneda 2 6" xfId="2154" xr:uid="{00000000-0005-0000-0000-000054080000}"/>
    <cellStyle name="Moneda 2 6 2" xfId="2155" xr:uid="{00000000-0005-0000-0000-000055080000}"/>
    <cellStyle name="Moneda 2 7" xfId="2156" xr:uid="{00000000-0005-0000-0000-000056080000}"/>
    <cellStyle name="Moneda 2 7 2" xfId="2157" xr:uid="{00000000-0005-0000-0000-000057080000}"/>
    <cellStyle name="Moneda 2 8" xfId="2158" xr:uid="{00000000-0005-0000-0000-000058080000}"/>
    <cellStyle name="Moneda 2 8 2" xfId="2159" xr:uid="{00000000-0005-0000-0000-000059080000}"/>
    <cellStyle name="Moneda 2 9" xfId="2160" xr:uid="{00000000-0005-0000-0000-00005A080000}"/>
    <cellStyle name="Moneda 26" xfId="2161" xr:uid="{00000000-0005-0000-0000-00005B080000}"/>
    <cellStyle name="Moneda 26 2" xfId="2162" xr:uid="{00000000-0005-0000-0000-00005C080000}"/>
    <cellStyle name="Moneda 26 2 2" xfId="2163" xr:uid="{00000000-0005-0000-0000-00005D080000}"/>
    <cellStyle name="Moneda 26 2 3" xfId="2164" xr:uid="{00000000-0005-0000-0000-00005E080000}"/>
    <cellStyle name="Moneda 26 3" xfId="2165" xr:uid="{00000000-0005-0000-0000-00005F080000}"/>
    <cellStyle name="Moneda 26 3 2" xfId="2166" xr:uid="{00000000-0005-0000-0000-000060080000}"/>
    <cellStyle name="Moneda 26 3 3" xfId="2167" xr:uid="{00000000-0005-0000-0000-000061080000}"/>
    <cellStyle name="Moneda 26 4" xfId="2168" xr:uid="{00000000-0005-0000-0000-000062080000}"/>
    <cellStyle name="Moneda 3" xfId="25" xr:uid="{00000000-0005-0000-0000-000063080000}"/>
    <cellStyle name="Moneda 3 2" xfId="2169" xr:uid="{00000000-0005-0000-0000-000064080000}"/>
    <cellStyle name="Moneda 3 3" xfId="2170" xr:uid="{00000000-0005-0000-0000-000065080000}"/>
    <cellStyle name="Moneda 3 4" xfId="2171" xr:uid="{00000000-0005-0000-0000-000066080000}"/>
    <cellStyle name="Moneda 3 5" xfId="2172" xr:uid="{00000000-0005-0000-0000-000067080000}"/>
    <cellStyle name="Moneda 3 6" xfId="2173" xr:uid="{00000000-0005-0000-0000-000068080000}"/>
    <cellStyle name="Moneda 3 7" xfId="2174" xr:uid="{00000000-0005-0000-0000-000069080000}"/>
    <cellStyle name="Moneda 3 8" xfId="2175" xr:uid="{00000000-0005-0000-0000-00006A080000}"/>
    <cellStyle name="Moneda 4" xfId="2176" xr:uid="{00000000-0005-0000-0000-00006B080000}"/>
    <cellStyle name="Neutral 2" xfId="2177" xr:uid="{00000000-0005-0000-0000-00006C080000}"/>
    <cellStyle name="Neutral 3" xfId="2178" xr:uid="{00000000-0005-0000-0000-00006D080000}"/>
    <cellStyle name="Neutral 4" xfId="2179" xr:uid="{00000000-0005-0000-0000-00006E080000}"/>
    <cellStyle name="Normal" xfId="0" builtinId="0"/>
    <cellStyle name="Normal 10" xfId="2180" xr:uid="{00000000-0005-0000-0000-000070080000}"/>
    <cellStyle name="Normal 10 10" xfId="2181" xr:uid="{00000000-0005-0000-0000-000071080000}"/>
    <cellStyle name="Normal 10 11" xfId="2182" xr:uid="{00000000-0005-0000-0000-000072080000}"/>
    <cellStyle name="Normal 10 12" xfId="2183" xr:uid="{00000000-0005-0000-0000-000073080000}"/>
    <cellStyle name="Normal 10 13" xfId="2184" xr:uid="{00000000-0005-0000-0000-000074080000}"/>
    <cellStyle name="Normal 10 14" xfId="2185" xr:uid="{00000000-0005-0000-0000-000075080000}"/>
    <cellStyle name="Normal 10 15" xfId="2186" xr:uid="{00000000-0005-0000-0000-000076080000}"/>
    <cellStyle name="Normal 10 16" xfId="2187" xr:uid="{00000000-0005-0000-0000-000077080000}"/>
    <cellStyle name="Normal 10 17" xfId="2188" xr:uid="{00000000-0005-0000-0000-000078080000}"/>
    <cellStyle name="Normal 10 18" xfId="2189" xr:uid="{00000000-0005-0000-0000-000079080000}"/>
    <cellStyle name="Normal 10 19" xfId="2190" xr:uid="{00000000-0005-0000-0000-00007A080000}"/>
    <cellStyle name="Normal 10 2" xfId="2191" xr:uid="{00000000-0005-0000-0000-00007B080000}"/>
    <cellStyle name="Normal 10 2 10" xfId="6" xr:uid="{00000000-0005-0000-0000-00007C080000}"/>
    <cellStyle name="Normal 10 2 10 10" xfId="2192" xr:uid="{00000000-0005-0000-0000-00007D080000}"/>
    <cellStyle name="Normal 10 2 10 10 10" xfId="2193" xr:uid="{00000000-0005-0000-0000-00007E080000}"/>
    <cellStyle name="Normal 10 2 10 10 11" xfId="2194" xr:uid="{00000000-0005-0000-0000-00007F080000}"/>
    <cellStyle name="Normal 10 2 10 10 12" xfId="2195" xr:uid="{00000000-0005-0000-0000-000080080000}"/>
    <cellStyle name="Normal 10 2 10 10 13" xfId="2196" xr:uid="{00000000-0005-0000-0000-000081080000}"/>
    <cellStyle name="Normal 10 2 10 10 14" xfId="2197" xr:uid="{00000000-0005-0000-0000-000082080000}"/>
    <cellStyle name="Normal 10 2 10 10 2" xfId="2198" xr:uid="{00000000-0005-0000-0000-000083080000}"/>
    <cellStyle name="Normal 10 2 10 10 2 10" xfId="2199" xr:uid="{00000000-0005-0000-0000-000084080000}"/>
    <cellStyle name="Normal 10 2 10 10 2 2" xfId="2200" xr:uid="{00000000-0005-0000-0000-000085080000}"/>
    <cellStyle name="Normal 10 2 10 10 2 3" xfId="2201" xr:uid="{00000000-0005-0000-0000-000086080000}"/>
    <cellStyle name="Normal 10 2 10 10 2 4" xfId="2202" xr:uid="{00000000-0005-0000-0000-000087080000}"/>
    <cellStyle name="Normal 10 2 10 10 2 5" xfId="2203" xr:uid="{00000000-0005-0000-0000-000088080000}"/>
    <cellStyle name="Normal 10 2 10 10 2 6" xfId="2204" xr:uid="{00000000-0005-0000-0000-000089080000}"/>
    <cellStyle name="Normal 10 2 10 10 2 7" xfId="2205" xr:uid="{00000000-0005-0000-0000-00008A080000}"/>
    <cellStyle name="Normal 10 2 10 10 2 8" xfId="2206" xr:uid="{00000000-0005-0000-0000-00008B080000}"/>
    <cellStyle name="Normal 10 2 10 10 2 9" xfId="2207" xr:uid="{00000000-0005-0000-0000-00008C080000}"/>
    <cellStyle name="Normal 10 2 10 10 3" xfId="2208" xr:uid="{00000000-0005-0000-0000-00008D080000}"/>
    <cellStyle name="Normal 10 2 10 10 3 10" xfId="2209" xr:uid="{00000000-0005-0000-0000-00008E080000}"/>
    <cellStyle name="Normal 10 2 10 10 3 2" xfId="2210" xr:uid="{00000000-0005-0000-0000-00008F080000}"/>
    <cellStyle name="Normal 10 2 10 10 3 3" xfId="2211" xr:uid="{00000000-0005-0000-0000-000090080000}"/>
    <cellStyle name="Normal 10 2 10 10 3 4" xfId="2212" xr:uid="{00000000-0005-0000-0000-000091080000}"/>
    <cellStyle name="Normal 10 2 10 10 3 5" xfId="2213" xr:uid="{00000000-0005-0000-0000-000092080000}"/>
    <cellStyle name="Normal 10 2 10 10 3 6" xfId="2214" xr:uid="{00000000-0005-0000-0000-000093080000}"/>
    <cellStyle name="Normal 10 2 10 10 3 7" xfId="2215" xr:uid="{00000000-0005-0000-0000-000094080000}"/>
    <cellStyle name="Normal 10 2 10 10 3 8" xfId="2216" xr:uid="{00000000-0005-0000-0000-000095080000}"/>
    <cellStyle name="Normal 10 2 10 10 3 9" xfId="2217" xr:uid="{00000000-0005-0000-0000-000096080000}"/>
    <cellStyle name="Normal 10 2 10 10 4" xfId="2218" xr:uid="{00000000-0005-0000-0000-000097080000}"/>
    <cellStyle name="Normal 10 2 10 10 4 10" xfId="2219" xr:uid="{00000000-0005-0000-0000-000098080000}"/>
    <cellStyle name="Normal 10 2 10 10 4 2" xfId="2220" xr:uid="{00000000-0005-0000-0000-000099080000}"/>
    <cellStyle name="Normal 10 2 10 10 4 3" xfId="2221" xr:uid="{00000000-0005-0000-0000-00009A080000}"/>
    <cellStyle name="Normal 10 2 10 10 4 4" xfId="2222" xr:uid="{00000000-0005-0000-0000-00009B080000}"/>
    <cellStyle name="Normal 10 2 10 10 4 5" xfId="2223" xr:uid="{00000000-0005-0000-0000-00009C080000}"/>
    <cellStyle name="Normal 10 2 10 10 4 6" xfId="2224" xr:uid="{00000000-0005-0000-0000-00009D080000}"/>
    <cellStyle name="Normal 10 2 10 10 4 7" xfId="2225" xr:uid="{00000000-0005-0000-0000-00009E080000}"/>
    <cellStyle name="Normal 10 2 10 10 4 8" xfId="2226" xr:uid="{00000000-0005-0000-0000-00009F080000}"/>
    <cellStyle name="Normal 10 2 10 10 4 9" xfId="2227" xr:uid="{00000000-0005-0000-0000-0000A0080000}"/>
    <cellStyle name="Normal 10 2 10 10 5" xfId="2228" xr:uid="{00000000-0005-0000-0000-0000A1080000}"/>
    <cellStyle name="Normal 10 2 10 10 5 10" xfId="2229" xr:uid="{00000000-0005-0000-0000-0000A2080000}"/>
    <cellStyle name="Normal 10 2 10 10 5 2" xfId="2230" xr:uid="{00000000-0005-0000-0000-0000A3080000}"/>
    <cellStyle name="Normal 10 2 10 10 5 3" xfId="2231" xr:uid="{00000000-0005-0000-0000-0000A4080000}"/>
    <cellStyle name="Normal 10 2 10 10 5 4" xfId="2232" xr:uid="{00000000-0005-0000-0000-0000A5080000}"/>
    <cellStyle name="Normal 10 2 10 10 5 5" xfId="2233" xr:uid="{00000000-0005-0000-0000-0000A6080000}"/>
    <cellStyle name="Normal 10 2 10 10 5 6" xfId="2234" xr:uid="{00000000-0005-0000-0000-0000A7080000}"/>
    <cellStyle name="Normal 10 2 10 10 5 7" xfId="2235" xr:uid="{00000000-0005-0000-0000-0000A8080000}"/>
    <cellStyle name="Normal 10 2 10 10 5 8" xfId="2236" xr:uid="{00000000-0005-0000-0000-0000A9080000}"/>
    <cellStyle name="Normal 10 2 10 10 5 9" xfId="2237" xr:uid="{00000000-0005-0000-0000-0000AA080000}"/>
    <cellStyle name="Normal 10 2 10 10 6" xfId="2238" xr:uid="{00000000-0005-0000-0000-0000AB080000}"/>
    <cellStyle name="Normal 10 2 10 10 7" xfId="2239" xr:uid="{00000000-0005-0000-0000-0000AC080000}"/>
    <cellStyle name="Normal 10 2 10 10 8" xfId="2240" xr:uid="{00000000-0005-0000-0000-0000AD080000}"/>
    <cellStyle name="Normal 10 2 10 10 9" xfId="2241" xr:uid="{00000000-0005-0000-0000-0000AE080000}"/>
    <cellStyle name="Normal 10 2 10 11" xfId="2242" xr:uid="{00000000-0005-0000-0000-0000AF080000}"/>
    <cellStyle name="Normal 10 2 10 11 10" xfId="2243" xr:uid="{00000000-0005-0000-0000-0000B0080000}"/>
    <cellStyle name="Normal 10 2 10 11 11" xfId="2244" xr:uid="{00000000-0005-0000-0000-0000B1080000}"/>
    <cellStyle name="Normal 10 2 10 11 12" xfId="2245" xr:uid="{00000000-0005-0000-0000-0000B2080000}"/>
    <cellStyle name="Normal 10 2 10 11 13" xfId="2246" xr:uid="{00000000-0005-0000-0000-0000B3080000}"/>
    <cellStyle name="Normal 10 2 10 11 14" xfId="2247" xr:uid="{00000000-0005-0000-0000-0000B4080000}"/>
    <cellStyle name="Normal 10 2 10 11 2" xfId="2248" xr:uid="{00000000-0005-0000-0000-0000B5080000}"/>
    <cellStyle name="Normal 10 2 10 11 2 10" xfId="2249" xr:uid="{00000000-0005-0000-0000-0000B6080000}"/>
    <cellStyle name="Normal 10 2 10 11 2 2" xfId="2250" xr:uid="{00000000-0005-0000-0000-0000B7080000}"/>
    <cellStyle name="Normal 10 2 10 11 2 3" xfId="2251" xr:uid="{00000000-0005-0000-0000-0000B8080000}"/>
    <cellStyle name="Normal 10 2 10 11 2 4" xfId="2252" xr:uid="{00000000-0005-0000-0000-0000B9080000}"/>
    <cellStyle name="Normal 10 2 10 11 2 5" xfId="2253" xr:uid="{00000000-0005-0000-0000-0000BA080000}"/>
    <cellStyle name="Normal 10 2 10 11 2 6" xfId="2254" xr:uid="{00000000-0005-0000-0000-0000BB080000}"/>
    <cellStyle name="Normal 10 2 10 11 2 7" xfId="2255" xr:uid="{00000000-0005-0000-0000-0000BC080000}"/>
    <cellStyle name="Normal 10 2 10 11 2 8" xfId="2256" xr:uid="{00000000-0005-0000-0000-0000BD080000}"/>
    <cellStyle name="Normal 10 2 10 11 2 9" xfId="2257" xr:uid="{00000000-0005-0000-0000-0000BE080000}"/>
    <cellStyle name="Normal 10 2 10 11 3" xfId="2258" xr:uid="{00000000-0005-0000-0000-0000BF080000}"/>
    <cellStyle name="Normal 10 2 10 11 3 10" xfId="2259" xr:uid="{00000000-0005-0000-0000-0000C0080000}"/>
    <cellStyle name="Normal 10 2 10 11 3 2" xfId="2260" xr:uid="{00000000-0005-0000-0000-0000C1080000}"/>
    <cellStyle name="Normal 10 2 10 11 3 3" xfId="2261" xr:uid="{00000000-0005-0000-0000-0000C2080000}"/>
    <cellStyle name="Normal 10 2 10 11 3 4" xfId="2262" xr:uid="{00000000-0005-0000-0000-0000C3080000}"/>
    <cellStyle name="Normal 10 2 10 11 3 5" xfId="2263" xr:uid="{00000000-0005-0000-0000-0000C4080000}"/>
    <cellStyle name="Normal 10 2 10 11 3 6" xfId="2264" xr:uid="{00000000-0005-0000-0000-0000C5080000}"/>
    <cellStyle name="Normal 10 2 10 11 3 7" xfId="2265" xr:uid="{00000000-0005-0000-0000-0000C6080000}"/>
    <cellStyle name="Normal 10 2 10 11 3 8" xfId="2266" xr:uid="{00000000-0005-0000-0000-0000C7080000}"/>
    <cellStyle name="Normal 10 2 10 11 3 9" xfId="2267" xr:uid="{00000000-0005-0000-0000-0000C8080000}"/>
    <cellStyle name="Normal 10 2 10 11 4" xfId="2268" xr:uid="{00000000-0005-0000-0000-0000C9080000}"/>
    <cellStyle name="Normal 10 2 10 11 4 10" xfId="2269" xr:uid="{00000000-0005-0000-0000-0000CA080000}"/>
    <cellStyle name="Normal 10 2 10 11 4 2" xfId="2270" xr:uid="{00000000-0005-0000-0000-0000CB080000}"/>
    <cellStyle name="Normal 10 2 10 11 4 3" xfId="2271" xr:uid="{00000000-0005-0000-0000-0000CC080000}"/>
    <cellStyle name="Normal 10 2 10 11 4 4" xfId="2272" xr:uid="{00000000-0005-0000-0000-0000CD080000}"/>
    <cellStyle name="Normal 10 2 10 11 4 5" xfId="2273" xr:uid="{00000000-0005-0000-0000-0000CE080000}"/>
    <cellStyle name="Normal 10 2 10 11 4 6" xfId="2274" xr:uid="{00000000-0005-0000-0000-0000CF080000}"/>
    <cellStyle name="Normal 10 2 10 11 4 7" xfId="2275" xr:uid="{00000000-0005-0000-0000-0000D0080000}"/>
    <cellStyle name="Normal 10 2 10 11 4 8" xfId="2276" xr:uid="{00000000-0005-0000-0000-0000D1080000}"/>
    <cellStyle name="Normal 10 2 10 11 4 9" xfId="2277" xr:uid="{00000000-0005-0000-0000-0000D2080000}"/>
    <cellStyle name="Normal 10 2 10 11 5" xfId="2278" xr:uid="{00000000-0005-0000-0000-0000D3080000}"/>
    <cellStyle name="Normal 10 2 10 11 5 10" xfId="2279" xr:uid="{00000000-0005-0000-0000-0000D4080000}"/>
    <cellStyle name="Normal 10 2 10 11 5 2" xfId="2280" xr:uid="{00000000-0005-0000-0000-0000D5080000}"/>
    <cellStyle name="Normal 10 2 10 11 5 3" xfId="2281" xr:uid="{00000000-0005-0000-0000-0000D6080000}"/>
    <cellStyle name="Normal 10 2 10 11 5 4" xfId="2282" xr:uid="{00000000-0005-0000-0000-0000D7080000}"/>
    <cellStyle name="Normal 10 2 10 11 5 5" xfId="2283" xr:uid="{00000000-0005-0000-0000-0000D8080000}"/>
    <cellStyle name="Normal 10 2 10 11 5 6" xfId="2284" xr:uid="{00000000-0005-0000-0000-0000D9080000}"/>
    <cellStyle name="Normal 10 2 10 11 5 7" xfId="2285" xr:uid="{00000000-0005-0000-0000-0000DA080000}"/>
    <cellStyle name="Normal 10 2 10 11 5 8" xfId="2286" xr:uid="{00000000-0005-0000-0000-0000DB080000}"/>
    <cellStyle name="Normal 10 2 10 11 5 9" xfId="2287" xr:uid="{00000000-0005-0000-0000-0000DC080000}"/>
    <cellStyle name="Normal 10 2 10 11 6" xfId="2288" xr:uid="{00000000-0005-0000-0000-0000DD080000}"/>
    <cellStyle name="Normal 10 2 10 11 7" xfId="2289" xr:uid="{00000000-0005-0000-0000-0000DE080000}"/>
    <cellStyle name="Normal 10 2 10 11 8" xfId="2290" xr:uid="{00000000-0005-0000-0000-0000DF080000}"/>
    <cellStyle name="Normal 10 2 10 11 9" xfId="2291" xr:uid="{00000000-0005-0000-0000-0000E0080000}"/>
    <cellStyle name="Normal 10 2 10 12" xfId="2292" xr:uid="{00000000-0005-0000-0000-0000E1080000}"/>
    <cellStyle name="Normal 10 2 10 12 10" xfId="2293" xr:uid="{00000000-0005-0000-0000-0000E2080000}"/>
    <cellStyle name="Normal 10 2 10 12 11" xfId="2294" xr:uid="{00000000-0005-0000-0000-0000E3080000}"/>
    <cellStyle name="Normal 10 2 10 12 12" xfId="2295" xr:uid="{00000000-0005-0000-0000-0000E4080000}"/>
    <cellStyle name="Normal 10 2 10 12 13" xfId="2296" xr:uid="{00000000-0005-0000-0000-0000E5080000}"/>
    <cellStyle name="Normal 10 2 10 12 14" xfId="2297" xr:uid="{00000000-0005-0000-0000-0000E6080000}"/>
    <cellStyle name="Normal 10 2 10 12 2" xfId="2298" xr:uid="{00000000-0005-0000-0000-0000E7080000}"/>
    <cellStyle name="Normal 10 2 10 12 2 10" xfId="2299" xr:uid="{00000000-0005-0000-0000-0000E8080000}"/>
    <cellStyle name="Normal 10 2 10 12 2 2" xfId="2300" xr:uid="{00000000-0005-0000-0000-0000E9080000}"/>
    <cellStyle name="Normal 10 2 10 12 2 3" xfId="2301" xr:uid="{00000000-0005-0000-0000-0000EA080000}"/>
    <cellStyle name="Normal 10 2 10 12 2 4" xfId="2302" xr:uid="{00000000-0005-0000-0000-0000EB080000}"/>
    <cellStyle name="Normal 10 2 10 12 2 5" xfId="2303" xr:uid="{00000000-0005-0000-0000-0000EC080000}"/>
    <cellStyle name="Normal 10 2 10 12 2 6" xfId="2304" xr:uid="{00000000-0005-0000-0000-0000ED080000}"/>
    <cellStyle name="Normal 10 2 10 12 2 7" xfId="2305" xr:uid="{00000000-0005-0000-0000-0000EE080000}"/>
    <cellStyle name="Normal 10 2 10 12 2 8" xfId="2306" xr:uid="{00000000-0005-0000-0000-0000EF080000}"/>
    <cellStyle name="Normal 10 2 10 12 2 9" xfId="2307" xr:uid="{00000000-0005-0000-0000-0000F0080000}"/>
    <cellStyle name="Normal 10 2 10 12 3" xfId="2308" xr:uid="{00000000-0005-0000-0000-0000F1080000}"/>
    <cellStyle name="Normal 10 2 10 12 3 10" xfId="2309" xr:uid="{00000000-0005-0000-0000-0000F2080000}"/>
    <cellStyle name="Normal 10 2 10 12 3 2" xfId="2310" xr:uid="{00000000-0005-0000-0000-0000F3080000}"/>
    <cellStyle name="Normal 10 2 10 12 3 3" xfId="2311" xr:uid="{00000000-0005-0000-0000-0000F4080000}"/>
    <cellStyle name="Normal 10 2 10 12 3 4" xfId="2312" xr:uid="{00000000-0005-0000-0000-0000F5080000}"/>
    <cellStyle name="Normal 10 2 10 12 3 5" xfId="2313" xr:uid="{00000000-0005-0000-0000-0000F6080000}"/>
    <cellStyle name="Normal 10 2 10 12 3 6" xfId="2314" xr:uid="{00000000-0005-0000-0000-0000F7080000}"/>
    <cellStyle name="Normal 10 2 10 12 3 7" xfId="2315" xr:uid="{00000000-0005-0000-0000-0000F8080000}"/>
    <cellStyle name="Normal 10 2 10 12 3 8" xfId="2316" xr:uid="{00000000-0005-0000-0000-0000F9080000}"/>
    <cellStyle name="Normal 10 2 10 12 3 9" xfId="2317" xr:uid="{00000000-0005-0000-0000-0000FA080000}"/>
    <cellStyle name="Normal 10 2 10 12 4" xfId="2318" xr:uid="{00000000-0005-0000-0000-0000FB080000}"/>
    <cellStyle name="Normal 10 2 10 12 4 10" xfId="2319" xr:uid="{00000000-0005-0000-0000-0000FC080000}"/>
    <cellStyle name="Normal 10 2 10 12 4 2" xfId="2320" xr:uid="{00000000-0005-0000-0000-0000FD080000}"/>
    <cellStyle name="Normal 10 2 10 12 4 3" xfId="2321" xr:uid="{00000000-0005-0000-0000-0000FE080000}"/>
    <cellStyle name="Normal 10 2 10 12 4 4" xfId="2322" xr:uid="{00000000-0005-0000-0000-0000FF080000}"/>
    <cellStyle name="Normal 10 2 10 12 4 5" xfId="2323" xr:uid="{00000000-0005-0000-0000-000000090000}"/>
    <cellStyle name="Normal 10 2 10 12 4 6" xfId="2324" xr:uid="{00000000-0005-0000-0000-000001090000}"/>
    <cellStyle name="Normal 10 2 10 12 4 7" xfId="2325" xr:uid="{00000000-0005-0000-0000-000002090000}"/>
    <cellStyle name="Normal 10 2 10 12 4 8" xfId="2326" xr:uid="{00000000-0005-0000-0000-000003090000}"/>
    <cellStyle name="Normal 10 2 10 12 4 9" xfId="2327" xr:uid="{00000000-0005-0000-0000-000004090000}"/>
    <cellStyle name="Normal 10 2 10 12 5" xfId="2328" xr:uid="{00000000-0005-0000-0000-000005090000}"/>
    <cellStyle name="Normal 10 2 10 12 5 10" xfId="2329" xr:uid="{00000000-0005-0000-0000-000006090000}"/>
    <cellStyle name="Normal 10 2 10 12 5 2" xfId="2330" xr:uid="{00000000-0005-0000-0000-000007090000}"/>
    <cellStyle name="Normal 10 2 10 12 5 3" xfId="2331" xr:uid="{00000000-0005-0000-0000-000008090000}"/>
    <cellStyle name="Normal 10 2 10 12 5 4" xfId="2332" xr:uid="{00000000-0005-0000-0000-000009090000}"/>
    <cellStyle name="Normal 10 2 10 12 5 5" xfId="2333" xr:uid="{00000000-0005-0000-0000-00000A090000}"/>
    <cellStyle name="Normal 10 2 10 12 5 6" xfId="2334" xr:uid="{00000000-0005-0000-0000-00000B090000}"/>
    <cellStyle name="Normal 10 2 10 12 5 7" xfId="2335" xr:uid="{00000000-0005-0000-0000-00000C090000}"/>
    <cellStyle name="Normal 10 2 10 12 5 8" xfId="2336" xr:uid="{00000000-0005-0000-0000-00000D090000}"/>
    <cellStyle name="Normal 10 2 10 12 5 9" xfId="2337" xr:uid="{00000000-0005-0000-0000-00000E090000}"/>
    <cellStyle name="Normal 10 2 10 12 6" xfId="2338" xr:uid="{00000000-0005-0000-0000-00000F090000}"/>
    <cellStyle name="Normal 10 2 10 12 7" xfId="2339" xr:uid="{00000000-0005-0000-0000-000010090000}"/>
    <cellStyle name="Normal 10 2 10 12 8" xfId="2340" xr:uid="{00000000-0005-0000-0000-000011090000}"/>
    <cellStyle name="Normal 10 2 10 12 9" xfId="2341" xr:uid="{00000000-0005-0000-0000-000012090000}"/>
    <cellStyle name="Normal 10 2 10 13" xfId="2342" xr:uid="{00000000-0005-0000-0000-000013090000}"/>
    <cellStyle name="Normal 10 2 10 13 10" xfId="2343" xr:uid="{00000000-0005-0000-0000-000014090000}"/>
    <cellStyle name="Normal 10 2 10 13 11" xfId="2344" xr:uid="{00000000-0005-0000-0000-000015090000}"/>
    <cellStyle name="Normal 10 2 10 13 12" xfId="2345" xr:uid="{00000000-0005-0000-0000-000016090000}"/>
    <cellStyle name="Normal 10 2 10 13 13" xfId="2346" xr:uid="{00000000-0005-0000-0000-000017090000}"/>
    <cellStyle name="Normal 10 2 10 13 14" xfId="2347" xr:uid="{00000000-0005-0000-0000-000018090000}"/>
    <cellStyle name="Normal 10 2 10 13 2" xfId="2348" xr:uid="{00000000-0005-0000-0000-000019090000}"/>
    <cellStyle name="Normal 10 2 10 13 2 10" xfId="2349" xr:uid="{00000000-0005-0000-0000-00001A090000}"/>
    <cellStyle name="Normal 10 2 10 13 2 2" xfId="2350" xr:uid="{00000000-0005-0000-0000-00001B090000}"/>
    <cellStyle name="Normal 10 2 10 13 2 3" xfId="2351" xr:uid="{00000000-0005-0000-0000-00001C090000}"/>
    <cellStyle name="Normal 10 2 10 13 2 4" xfId="2352" xr:uid="{00000000-0005-0000-0000-00001D090000}"/>
    <cellStyle name="Normal 10 2 10 13 2 5" xfId="2353" xr:uid="{00000000-0005-0000-0000-00001E090000}"/>
    <cellStyle name="Normal 10 2 10 13 2 6" xfId="2354" xr:uid="{00000000-0005-0000-0000-00001F090000}"/>
    <cellStyle name="Normal 10 2 10 13 2 7" xfId="2355" xr:uid="{00000000-0005-0000-0000-000020090000}"/>
    <cellStyle name="Normal 10 2 10 13 2 8" xfId="2356" xr:uid="{00000000-0005-0000-0000-000021090000}"/>
    <cellStyle name="Normal 10 2 10 13 2 9" xfId="2357" xr:uid="{00000000-0005-0000-0000-000022090000}"/>
    <cellStyle name="Normal 10 2 10 13 3" xfId="2358" xr:uid="{00000000-0005-0000-0000-000023090000}"/>
    <cellStyle name="Normal 10 2 10 13 3 10" xfId="2359" xr:uid="{00000000-0005-0000-0000-000024090000}"/>
    <cellStyle name="Normal 10 2 10 13 3 2" xfId="2360" xr:uid="{00000000-0005-0000-0000-000025090000}"/>
    <cellStyle name="Normal 10 2 10 13 3 3" xfId="2361" xr:uid="{00000000-0005-0000-0000-000026090000}"/>
    <cellStyle name="Normal 10 2 10 13 3 4" xfId="2362" xr:uid="{00000000-0005-0000-0000-000027090000}"/>
    <cellStyle name="Normal 10 2 10 13 3 5" xfId="2363" xr:uid="{00000000-0005-0000-0000-000028090000}"/>
    <cellStyle name="Normal 10 2 10 13 3 6" xfId="2364" xr:uid="{00000000-0005-0000-0000-000029090000}"/>
    <cellStyle name="Normal 10 2 10 13 3 7" xfId="2365" xr:uid="{00000000-0005-0000-0000-00002A090000}"/>
    <cellStyle name="Normal 10 2 10 13 3 8" xfId="2366" xr:uid="{00000000-0005-0000-0000-00002B090000}"/>
    <cellStyle name="Normal 10 2 10 13 3 9" xfId="2367" xr:uid="{00000000-0005-0000-0000-00002C090000}"/>
    <cellStyle name="Normal 10 2 10 13 4" xfId="2368" xr:uid="{00000000-0005-0000-0000-00002D090000}"/>
    <cellStyle name="Normal 10 2 10 13 4 10" xfId="2369" xr:uid="{00000000-0005-0000-0000-00002E090000}"/>
    <cellStyle name="Normal 10 2 10 13 4 2" xfId="2370" xr:uid="{00000000-0005-0000-0000-00002F090000}"/>
    <cellStyle name="Normal 10 2 10 13 4 3" xfId="2371" xr:uid="{00000000-0005-0000-0000-000030090000}"/>
    <cellStyle name="Normal 10 2 10 13 4 4" xfId="2372" xr:uid="{00000000-0005-0000-0000-000031090000}"/>
    <cellStyle name="Normal 10 2 10 13 4 5" xfId="2373" xr:uid="{00000000-0005-0000-0000-000032090000}"/>
    <cellStyle name="Normal 10 2 10 13 4 6" xfId="2374" xr:uid="{00000000-0005-0000-0000-000033090000}"/>
    <cellStyle name="Normal 10 2 10 13 4 7" xfId="2375" xr:uid="{00000000-0005-0000-0000-000034090000}"/>
    <cellStyle name="Normal 10 2 10 13 4 8" xfId="2376" xr:uid="{00000000-0005-0000-0000-000035090000}"/>
    <cellStyle name="Normal 10 2 10 13 4 9" xfId="2377" xr:uid="{00000000-0005-0000-0000-000036090000}"/>
    <cellStyle name="Normal 10 2 10 13 5" xfId="2378" xr:uid="{00000000-0005-0000-0000-000037090000}"/>
    <cellStyle name="Normal 10 2 10 13 5 10" xfId="2379" xr:uid="{00000000-0005-0000-0000-000038090000}"/>
    <cellStyle name="Normal 10 2 10 13 5 2" xfId="2380" xr:uid="{00000000-0005-0000-0000-000039090000}"/>
    <cellStyle name="Normal 10 2 10 13 5 3" xfId="2381" xr:uid="{00000000-0005-0000-0000-00003A090000}"/>
    <cellStyle name="Normal 10 2 10 13 5 4" xfId="2382" xr:uid="{00000000-0005-0000-0000-00003B090000}"/>
    <cellStyle name="Normal 10 2 10 13 5 5" xfId="2383" xr:uid="{00000000-0005-0000-0000-00003C090000}"/>
    <cellStyle name="Normal 10 2 10 13 5 6" xfId="2384" xr:uid="{00000000-0005-0000-0000-00003D090000}"/>
    <cellStyle name="Normal 10 2 10 13 5 7" xfId="2385" xr:uid="{00000000-0005-0000-0000-00003E090000}"/>
    <cellStyle name="Normal 10 2 10 13 5 8" xfId="2386" xr:uid="{00000000-0005-0000-0000-00003F090000}"/>
    <cellStyle name="Normal 10 2 10 13 5 9" xfId="2387" xr:uid="{00000000-0005-0000-0000-000040090000}"/>
    <cellStyle name="Normal 10 2 10 13 6" xfId="2388" xr:uid="{00000000-0005-0000-0000-000041090000}"/>
    <cellStyle name="Normal 10 2 10 13 7" xfId="2389" xr:uid="{00000000-0005-0000-0000-000042090000}"/>
    <cellStyle name="Normal 10 2 10 13 8" xfId="2390" xr:uid="{00000000-0005-0000-0000-000043090000}"/>
    <cellStyle name="Normal 10 2 10 13 9" xfId="2391" xr:uid="{00000000-0005-0000-0000-000044090000}"/>
    <cellStyle name="Normal 10 2 10 14" xfId="2392" xr:uid="{00000000-0005-0000-0000-000045090000}"/>
    <cellStyle name="Normal 10 2 10 14 10" xfId="2393" xr:uid="{00000000-0005-0000-0000-000046090000}"/>
    <cellStyle name="Normal 10 2 10 14 11" xfId="2394" xr:uid="{00000000-0005-0000-0000-000047090000}"/>
    <cellStyle name="Normal 10 2 10 14 12" xfId="2395" xr:uid="{00000000-0005-0000-0000-000048090000}"/>
    <cellStyle name="Normal 10 2 10 14 13" xfId="2396" xr:uid="{00000000-0005-0000-0000-000049090000}"/>
    <cellStyle name="Normal 10 2 10 14 14" xfId="2397" xr:uid="{00000000-0005-0000-0000-00004A090000}"/>
    <cellStyle name="Normal 10 2 10 14 2" xfId="2398" xr:uid="{00000000-0005-0000-0000-00004B090000}"/>
    <cellStyle name="Normal 10 2 10 14 2 10" xfId="2399" xr:uid="{00000000-0005-0000-0000-00004C090000}"/>
    <cellStyle name="Normal 10 2 10 14 2 2" xfId="2400" xr:uid="{00000000-0005-0000-0000-00004D090000}"/>
    <cellStyle name="Normal 10 2 10 14 2 3" xfId="2401" xr:uid="{00000000-0005-0000-0000-00004E090000}"/>
    <cellStyle name="Normal 10 2 10 14 2 4" xfId="2402" xr:uid="{00000000-0005-0000-0000-00004F090000}"/>
    <cellStyle name="Normal 10 2 10 14 2 5" xfId="2403" xr:uid="{00000000-0005-0000-0000-000050090000}"/>
    <cellStyle name="Normal 10 2 10 14 2 6" xfId="2404" xr:uid="{00000000-0005-0000-0000-000051090000}"/>
    <cellStyle name="Normal 10 2 10 14 2 7" xfId="2405" xr:uid="{00000000-0005-0000-0000-000052090000}"/>
    <cellStyle name="Normal 10 2 10 14 2 8" xfId="2406" xr:uid="{00000000-0005-0000-0000-000053090000}"/>
    <cellStyle name="Normal 10 2 10 14 2 9" xfId="2407" xr:uid="{00000000-0005-0000-0000-000054090000}"/>
    <cellStyle name="Normal 10 2 10 14 3" xfId="2408" xr:uid="{00000000-0005-0000-0000-000055090000}"/>
    <cellStyle name="Normal 10 2 10 14 3 10" xfId="2409" xr:uid="{00000000-0005-0000-0000-000056090000}"/>
    <cellStyle name="Normal 10 2 10 14 3 2" xfId="2410" xr:uid="{00000000-0005-0000-0000-000057090000}"/>
    <cellStyle name="Normal 10 2 10 14 3 3" xfId="2411" xr:uid="{00000000-0005-0000-0000-000058090000}"/>
    <cellStyle name="Normal 10 2 10 14 3 4" xfId="2412" xr:uid="{00000000-0005-0000-0000-000059090000}"/>
    <cellStyle name="Normal 10 2 10 14 3 5" xfId="2413" xr:uid="{00000000-0005-0000-0000-00005A090000}"/>
    <cellStyle name="Normal 10 2 10 14 3 6" xfId="2414" xr:uid="{00000000-0005-0000-0000-00005B090000}"/>
    <cellStyle name="Normal 10 2 10 14 3 7" xfId="2415" xr:uid="{00000000-0005-0000-0000-00005C090000}"/>
    <cellStyle name="Normal 10 2 10 14 3 8" xfId="2416" xr:uid="{00000000-0005-0000-0000-00005D090000}"/>
    <cellStyle name="Normal 10 2 10 14 3 9" xfId="2417" xr:uid="{00000000-0005-0000-0000-00005E090000}"/>
    <cellStyle name="Normal 10 2 10 14 4" xfId="2418" xr:uid="{00000000-0005-0000-0000-00005F090000}"/>
    <cellStyle name="Normal 10 2 10 14 4 10" xfId="2419" xr:uid="{00000000-0005-0000-0000-000060090000}"/>
    <cellStyle name="Normal 10 2 10 14 4 2" xfId="2420" xr:uid="{00000000-0005-0000-0000-000061090000}"/>
    <cellStyle name="Normal 10 2 10 14 4 3" xfId="2421" xr:uid="{00000000-0005-0000-0000-000062090000}"/>
    <cellStyle name="Normal 10 2 10 14 4 4" xfId="2422" xr:uid="{00000000-0005-0000-0000-000063090000}"/>
    <cellStyle name="Normal 10 2 10 14 4 5" xfId="2423" xr:uid="{00000000-0005-0000-0000-000064090000}"/>
    <cellStyle name="Normal 10 2 10 14 4 6" xfId="2424" xr:uid="{00000000-0005-0000-0000-000065090000}"/>
    <cellStyle name="Normal 10 2 10 14 4 7" xfId="2425" xr:uid="{00000000-0005-0000-0000-000066090000}"/>
    <cellStyle name="Normal 10 2 10 14 4 8" xfId="2426" xr:uid="{00000000-0005-0000-0000-000067090000}"/>
    <cellStyle name="Normal 10 2 10 14 4 9" xfId="2427" xr:uid="{00000000-0005-0000-0000-000068090000}"/>
    <cellStyle name="Normal 10 2 10 14 5" xfId="2428" xr:uid="{00000000-0005-0000-0000-000069090000}"/>
    <cellStyle name="Normal 10 2 10 14 5 10" xfId="2429" xr:uid="{00000000-0005-0000-0000-00006A090000}"/>
    <cellStyle name="Normal 10 2 10 14 5 2" xfId="2430" xr:uid="{00000000-0005-0000-0000-00006B090000}"/>
    <cellStyle name="Normal 10 2 10 14 5 3" xfId="2431" xr:uid="{00000000-0005-0000-0000-00006C090000}"/>
    <cellStyle name="Normal 10 2 10 14 5 4" xfId="2432" xr:uid="{00000000-0005-0000-0000-00006D090000}"/>
    <cellStyle name="Normal 10 2 10 14 5 5" xfId="2433" xr:uid="{00000000-0005-0000-0000-00006E090000}"/>
    <cellStyle name="Normal 10 2 10 14 5 6" xfId="2434" xr:uid="{00000000-0005-0000-0000-00006F090000}"/>
    <cellStyle name="Normal 10 2 10 14 5 7" xfId="2435" xr:uid="{00000000-0005-0000-0000-000070090000}"/>
    <cellStyle name="Normal 10 2 10 14 5 8" xfId="2436" xr:uid="{00000000-0005-0000-0000-000071090000}"/>
    <cellStyle name="Normal 10 2 10 14 5 9" xfId="2437" xr:uid="{00000000-0005-0000-0000-000072090000}"/>
    <cellStyle name="Normal 10 2 10 14 6" xfId="2438" xr:uid="{00000000-0005-0000-0000-000073090000}"/>
    <cellStyle name="Normal 10 2 10 14 7" xfId="2439" xr:uid="{00000000-0005-0000-0000-000074090000}"/>
    <cellStyle name="Normal 10 2 10 14 8" xfId="2440" xr:uid="{00000000-0005-0000-0000-000075090000}"/>
    <cellStyle name="Normal 10 2 10 14 9" xfId="2441" xr:uid="{00000000-0005-0000-0000-000076090000}"/>
    <cellStyle name="Normal 10 2 10 15" xfId="2442" xr:uid="{00000000-0005-0000-0000-000077090000}"/>
    <cellStyle name="Normal 10 2 10 15 10" xfId="2443" xr:uid="{00000000-0005-0000-0000-000078090000}"/>
    <cellStyle name="Normal 10 2 10 15 11" xfId="2444" xr:uid="{00000000-0005-0000-0000-000079090000}"/>
    <cellStyle name="Normal 10 2 10 15 12" xfId="2445" xr:uid="{00000000-0005-0000-0000-00007A090000}"/>
    <cellStyle name="Normal 10 2 10 15 13" xfId="2446" xr:uid="{00000000-0005-0000-0000-00007B090000}"/>
    <cellStyle name="Normal 10 2 10 15 14" xfId="2447" xr:uid="{00000000-0005-0000-0000-00007C090000}"/>
    <cellStyle name="Normal 10 2 10 15 2" xfId="2448" xr:uid="{00000000-0005-0000-0000-00007D090000}"/>
    <cellStyle name="Normal 10 2 10 15 2 10" xfId="2449" xr:uid="{00000000-0005-0000-0000-00007E090000}"/>
    <cellStyle name="Normal 10 2 10 15 2 2" xfId="2450" xr:uid="{00000000-0005-0000-0000-00007F090000}"/>
    <cellStyle name="Normal 10 2 10 15 2 3" xfId="2451" xr:uid="{00000000-0005-0000-0000-000080090000}"/>
    <cellStyle name="Normal 10 2 10 15 2 4" xfId="2452" xr:uid="{00000000-0005-0000-0000-000081090000}"/>
    <cellStyle name="Normal 10 2 10 15 2 5" xfId="2453" xr:uid="{00000000-0005-0000-0000-000082090000}"/>
    <cellStyle name="Normal 10 2 10 15 2 6" xfId="2454" xr:uid="{00000000-0005-0000-0000-000083090000}"/>
    <cellStyle name="Normal 10 2 10 15 2 7" xfId="2455" xr:uid="{00000000-0005-0000-0000-000084090000}"/>
    <cellStyle name="Normal 10 2 10 15 2 8" xfId="2456" xr:uid="{00000000-0005-0000-0000-000085090000}"/>
    <cellStyle name="Normal 10 2 10 15 2 9" xfId="2457" xr:uid="{00000000-0005-0000-0000-000086090000}"/>
    <cellStyle name="Normal 10 2 10 15 3" xfId="2458" xr:uid="{00000000-0005-0000-0000-000087090000}"/>
    <cellStyle name="Normal 10 2 10 15 3 10" xfId="2459" xr:uid="{00000000-0005-0000-0000-000088090000}"/>
    <cellStyle name="Normal 10 2 10 15 3 2" xfId="2460" xr:uid="{00000000-0005-0000-0000-000089090000}"/>
    <cellStyle name="Normal 10 2 10 15 3 3" xfId="2461" xr:uid="{00000000-0005-0000-0000-00008A090000}"/>
    <cellStyle name="Normal 10 2 10 15 3 4" xfId="2462" xr:uid="{00000000-0005-0000-0000-00008B090000}"/>
    <cellStyle name="Normal 10 2 10 15 3 5" xfId="2463" xr:uid="{00000000-0005-0000-0000-00008C090000}"/>
    <cellStyle name="Normal 10 2 10 15 3 6" xfId="2464" xr:uid="{00000000-0005-0000-0000-00008D090000}"/>
    <cellStyle name="Normal 10 2 10 15 3 7" xfId="2465" xr:uid="{00000000-0005-0000-0000-00008E090000}"/>
    <cellStyle name="Normal 10 2 10 15 3 8" xfId="2466" xr:uid="{00000000-0005-0000-0000-00008F090000}"/>
    <cellStyle name="Normal 10 2 10 15 3 9" xfId="2467" xr:uid="{00000000-0005-0000-0000-000090090000}"/>
    <cellStyle name="Normal 10 2 10 15 4" xfId="2468" xr:uid="{00000000-0005-0000-0000-000091090000}"/>
    <cellStyle name="Normal 10 2 10 15 4 10" xfId="2469" xr:uid="{00000000-0005-0000-0000-000092090000}"/>
    <cellStyle name="Normal 10 2 10 15 4 2" xfId="2470" xr:uid="{00000000-0005-0000-0000-000093090000}"/>
    <cellStyle name="Normal 10 2 10 15 4 3" xfId="2471" xr:uid="{00000000-0005-0000-0000-000094090000}"/>
    <cellStyle name="Normal 10 2 10 15 4 4" xfId="2472" xr:uid="{00000000-0005-0000-0000-000095090000}"/>
    <cellStyle name="Normal 10 2 10 15 4 5" xfId="2473" xr:uid="{00000000-0005-0000-0000-000096090000}"/>
    <cellStyle name="Normal 10 2 10 15 4 6" xfId="2474" xr:uid="{00000000-0005-0000-0000-000097090000}"/>
    <cellStyle name="Normal 10 2 10 15 4 7" xfId="2475" xr:uid="{00000000-0005-0000-0000-000098090000}"/>
    <cellStyle name="Normal 10 2 10 15 4 8" xfId="2476" xr:uid="{00000000-0005-0000-0000-000099090000}"/>
    <cellStyle name="Normal 10 2 10 15 4 9" xfId="2477" xr:uid="{00000000-0005-0000-0000-00009A090000}"/>
    <cellStyle name="Normal 10 2 10 15 5" xfId="2478" xr:uid="{00000000-0005-0000-0000-00009B090000}"/>
    <cellStyle name="Normal 10 2 10 15 5 10" xfId="2479" xr:uid="{00000000-0005-0000-0000-00009C090000}"/>
    <cellStyle name="Normal 10 2 10 15 5 2" xfId="2480" xr:uid="{00000000-0005-0000-0000-00009D090000}"/>
    <cellStyle name="Normal 10 2 10 15 5 3" xfId="2481" xr:uid="{00000000-0005-0000-0000-00009E090000}"/>
    <cellStyle name="Normal 10 2 10 15 5 4" xfId="2482" xr:uid="{00000000-0005-0000-0000-00009F090000}"/>
    <cellStyle name="Normal 10 2 10 15 5 5" xfId="2483" xr:uid="{00000000-0005-0000-0000-0000A0090000}"/>
    <cellStyle name="Normal 10 2 10 15 5 6" xfId="2484" xr:uid="{00000000-0005-0000-0000-0000A1090000}"/>
    <cellStyle name="Normal 10 2 10 15 5 7" xfId="2485" xr:uid="{00000000-0005-0000-0000-0000A2090000}"/>
    <cellStyle name="Normal 10 2 10 15 5 8" xfId="2486" xr:uid="{00000000-0005-0000-0000-0000A3090000}"/>
    <cellStyle name="Normal 10 2 10 15 5 9" xfId="2487" xr:uid="{00000000-0005-0000-0000-0000A4090000}"/>
    <cellStyle name="Normal 10 2 10 15 6" xfId="2488" xr:uid="{00000000-0005-0000-0000-0000A5090000}"/>
    <cellStyle name="Normal 10 2 10 15 7" xfId="2489" xr:uid="{00000000-0005-0000-0000-0000A6090000}"/>
    <cellStyle name="Normal 10 2 10 15 8" xfId="2490" xr:uid="{00000000-0005-0000-0000-0000A7090000}"/>
    <cellStyle name="Normal 10 2 10 15 9" xfId="2491" xr:uid="{00000000-0005-0000-0000-0000A8090000}"/>
    <cellStyle name="Normal 10 2 10 16" xfId="2492" xr:uid="{00000000-0005-0000-0000-0000A9090000}"/>
    <cellStyle name="Normal 10 2 10 16 10" xfId="2493" xr:uid="{00000000-0005-0000-0000-0000AA090000}"/>
    <cellStyle name="Normal 10 2 10 16 11" xfId="2494" xr:uid="{00000000-0005-0000-0000-0000AB090000}"/>
    <cellStyle name="Normal 10 2 10 16 12" xfId="2495" xr:uid="{00000000-0005-0000-0000-0000AC090000}"/>
    <cellStyle name="Normal 10 2 10 16 13" xfId="2496" xr:uid="{00000000-0005-0000-0000-0000AD090000}"/>
    <cellStyle name="Normal 10 2 10 16 14" xfId="2497" xr:uid="{00000000-0005-0000-0000-0000AE090000}"/>
    <cellStyle name="Normal 10 2 10 16 2" xfId="2498" xr:uid="{00000000-0005-0000-0000-0000AF090000}"/>
    <cellStyle name="Normal 10 2 10 16 2 10" xfId="2499" xr:uid="{00000000-0005-0000-0000-0000B0090000}"/>
    <cellStyle name="Normal 10 2 10 16 2 2" xfId="2500" xr:uid="{00000000-0005-0000-0000-0000B1090000}"/>
    <cellStyle name="Normal 10 2 10 16 2 3" xfId="2501" xr:uid="{00000000-0005-0000-0000-0000B2090000}"/>
    <cellStyle name="Normal 10 2 10 16 2 4" xfId="2502" xr:uid="{00000000-0005-0000-0000-0000B3090000}"/>
    <cellStyle name="Normal 10 2 10 16 2 5" xfId="2503" xr:uid="{00000000-0005-0000-0000-0000B4090000}"/>
    <cellStyle name="Normal 10 2 10 16 2 6" xfId="2504" xr:uid="{00000000-0005-0000-0000-0000B5090000}"/>
    <cellStyle name="Normal 10 2 10 16 2 7" xfId="2505" xr:uid="{00000000-0005-0000-0000-0000B6090000}"/>
    <cellStyle name="Normal 10 2 10 16 2 8" xfId="2506" xr:uid="{00000000-0005-0000-0000-0000B7090000}"/>
    <cellStyle name="Normal 10 2 10 16 2 9" xfId="2507" xr:uid="{00000000-0005-0000-0000-0000B8090000}"/>
    <cellStyle name="Normal 10 2 10 16 3" xfId="2508" xr:uid="{00000000-0005-0000-0000-0000B9090000}"/>
    <cellStyle name="Normal 10 2 10 16 3 10" xfId="2509" xr:uid="{00000000-0005-0000-0000-0000BA090000}"/>
    <cellStyle name="Normal 10 2 10 16 3 2" xfId="2510" xr:uid="{00000000-0005-0000-0000-0000BB090000}"/>
    <cellStyle name="Normal 10 2 10 16 3 3" xfId="2511" xr:uid="{00000000-0005-0000-0000-0000BC090000}"/>
    <cellStyle name="Normal 10 2 10 16 3 4" xfId="2512" xr:uid="{00000000-0005-0000-0000-0000BD090000}"/>
    <cellStyle name="Normal 10 2 10 16 3 5" xfId="2513" xr:uid="{00000000-0005-0000-0000-0000BE090000}"/>
    <cellStyle name="Normal 10 2 10 16 3 6" xfId="2514" xr:uid="{00000000-0005-0000-0000-0000BF090000}"/>
    <cellStyle name="Normal 10 2 10 16 3 7" xfId="2515" xr:uid="{00000000-0005-0000-0000-0000C0090000}"/>
    <cellStyle name="Normal 10 2 10 16 3 8" xfId="2516" xr:uid="{00000000-0005-0000-0000-0000C1090000}"/>
    <cellStyle name="Normal 10 2 10 16 3 9" xfId="2517" xr:uid="{00000000-0005-0000-0000-0000C2090000}"/>
    <cellStyle name="Normal 10 2 10 16 4" xfId="2518" xr:uid="{00000000-0005-0000-0000-0000C3090000}"/>
    <cellStyle name="Normal 10 2 10 16 4 10" xfId="2519" xr:uid="{00000000-0005-0000-0000-0000C4090000}"/>
    <cellStyle name="Normal 10 2 10 16 4 2" xfId="2520" xr:uid="{00000000-0005-0000-0000-0000C5090000}"/>
    <cellStyle name="Normal 10 2 10 16 4 3" xfId="2521" xr:uid="{00000000-0005-0000-0000-0000C6090000}"/>
    <cellStyle name="Normal 10 2 10 16 4 4" xfId="2522" xr:uid="{00000000-0005-0000-0000-0000C7090000}"/>
    <cellStyle name="Normal 10 2 10 16 4 5" xfId="2523" xr:uid="{00000000-0005-0000-0000-0000C8090000}"/>
    <cellStyle name="Normal 10 2 10 16 4 6" xfId="2524" xr:uid="{00000000-0005-0000-0000-0000C9090000}"/>
    <cellStyle name="Normal 10 2 10 16 4 7" xfId="2525" xr:uid="{00000000-0005-0000-0000-0000CA090000}"/>
    <cellStyle name="Normal 10 2 10 16 4 8" xfId="2526" xr:uid="{00000000-0005-0000-0000-0000CB090000}"/>
    <cellStyle name="Normal 10 2 10 16 4 9" xfId="2527" xr:uid="{00000000-0005-0000-0000-0000CC090000}"/>
    <cellStyle name="Normal 10 2 10 16 5" xfId="2528" xr:uid="{00000000-0005-0000-0000-0000CD090000}"/>
    <cellStyle name="Normal 10 2 10 16 5 10" xfId="2529" xr:uid="{00000000-0005-0000-0000-0000CE090000}"/>
    <cellStyle name="Normal 10 2 10 16 5 2" xfId="2530" xr:uid="{00000000-0005-0000-0000-0000CF090000}"/>
    <cellStyle name="Normal 10 2 10 16 5 3" xfId="2531" xr:uid="{00000000-0005-0000-0000-0000D0090000}"/>
    <cellStyle name="Normal 10 2 10 16 5 4" xfId="2532" xr:uid="{00000000-0005-0000-0000-0000D1090000}"/>
    <cellStyle name="Normal 10 2 10 16 5 5" xfId="2533" xr:uid="{00000000-0005-0000-0000-0000D2090000}"/>
    <cellStyle name="Normal 10 2 10 16 5 6" xfId="2534" xr:uid="{00000000-0005-0000-0000-0000D3090000}"/>
    <cellStyle name="Normal 10 2 10 16 5 7" xfId="2535" xr:uid="{00000000-0005-0000-0000-0000D4090000}"/>
    <cellStyle name="Normal 10 2 10 16 5 8" xfId="2536" xr:uid="{00000000-0005-0000-0000-0000D5090000}"/>
    <cellStyle name="Normal 10 2 10 16 5 9" xfId="2537" xr:uid="{00000000-0005-0000-0000-0000D6090000}"/>
    <cellStyle name="Normal 10 2 10 16 6" xfId="2538" xr:uid="{00000000-0005-0000-0000-0000D7090000}"/>
    <cellStyle name="Normal 10 2 10 16 7" xfId="2539" xr:uid="{00000000-0005-0000-0000-0000D8090000}"/>
    <cellStyle name="Normal 10 2 10 16 8" xfId="2540" xr:uid="{00000000-0005-0000-0000-0000D9090000}"/>
    <cellStyle name="Normal 10 2 10 16 9" xfId="2541" xr:uid="{00000000-0005-0000-0000-0000DA090000}"/>
    <cellStyle name="Normal 10 2 10 17" xfId="2542" xr:uid="{00000000-0005-0000-0000-0000DB090000}"/>
    <cellStyle name="Normal 10 2 10 17 10" xfId="2543" xr:uid="{00000000-0005-0000-0000-0000DC090000}"/>
    <cellStyle name="Normal 10 2 10 17 11" xfId="2544" xr:uid="{00000000-0005-0000-0000-0000DD090000}"/>
    <cellStyle name="Normal 10 2 10 17 12" xfId="2545" xr:uid="{00000000-0005-0000-0000-0000DE090000}"/>
    <cellStyle name="Normal 10 2 10 17 13" xfId="2546" xr:uid="{00000000-0005-0000-0000-0000DF090000}"/>
    <cellStyle name="Normal 10 2 10 17 14" xfId="2547" xr:uid="{00000000-0005-0000-0000-0000E0090000}"/>
    <cellStyle name="Normal 10 2 10 17 2" xfId="2548" xr:uid="{00000000-0005-0000-0000-0000E1090000}"/>
    <cellStyle name="Normal 10 2 10 17 2 10" xfId="2549" xr:uid="{00000000-0005-0000-0000-0000E2090000}"/>
    <cellStyle name="Normal 10 2 10 17 2 2" xfId="2550" xr:uid="{00000000-0005-0000-0000-0000E3090000}"/>
    <cellStyle name="Normal 10 2 10 17 2 3" xfId="2551" xr:uid="{00000000-0005-0000-0000-0000E4090000}"/>
    <cellStyle name="Normal 10 2 10 17 2 4" xfId="2552" xr:uid="{00000000-0005-0000-0000-0000E5090000}"/>
    <cellStyle name="Normal 10 2 10 17 2 5" xfId="2553" xr:uid="{00000000-0005-0000-0000-0000E6090000}"/>
    <cellStyle name="Normal 10 2 10 17 2 6" xfId="2554" xr:uid="{00000000-0005-0000-0000-0000E7090000}"/>
    <cellStyle name="Normal 10 2 10 17 2 7" xfId="2555" xr:uid="{00000000-0005-0000-0000-0000E8090000}"/>
    <cellStyle name="Normal 10 2 10 17 2 8" xfId="2556" xr:uid="{00000000-0005-0000-0000-0000E9090000}"/>
    <cellStyle name="Normal 10 2 10 17 2 9" xfId="2557" xr:uid="{00000000-0005-0000-0000-0000EA090000}"/>
    <cellStyle name="Normal 10 2 10 17 3" xfId="2558" xr:uid="{00000000-0005-0000-0000-0000EB090000}"/>
    <cellStyle name="Normal 10 2 10 17 3 10" xfId="2559" xr:uid="{00000000-0005-0000-0000-0000EC090000}"/>
    <cellStyle name="Normal 10 2 10 17 3 2" xfId="2560" xr:uid="{00000000-0005-0000-0000-0000ED090000}"/>
    <cellStyle name="Normal 10 2 10 17 3 3" xfId="2561" xr:uid="{00000000-0005-0000-0000-0000EE090000}"/>
    <cellStyle name="Normal 10 2 10 17 3 4" xfId="2562" xr:uid="{00000000-0005-0000-0000-0000EF090000}"/>
    <cellStyle name="Normal 10 2 10 17 3 5" xfId="2563" xr:uid="{00000000-0005-0000-0000-0000F0090000}"/>
    <cellStyle name="Normal 10 2 10 17 3 6" xfId="2564" xr:uid="{00000000-0005-0000-0000-0000F1090000}"/>
    <cellStyle name="Normal 10 2 10 17 3 7" xfId="2565" xr:uid="{00000000-0005-0000-0000-0000F2090000}"/>
    <cellStyle name="Normal 10 2 10 17 3 8" xfId="2566" xr:uid="{00000000-0005-0000-0000-0000F3090000}"/>
    <cellStyle name="Normal 10 2 10 17 3 9" xfId="2567" xr:uid="{00000000-0005-0000-0000-0000F4090000}"/>
    <cellStyle name="Normal 10 2 10 17 4" xfId="2568" xr:uid="{00000000-0005-0000-0000-0000F5090000}"/>
    <cellStyle name="Normal 10 2 10 17 4 10" xfId="2569" xr:uid="{00000000-0005-0000-0000-0000F6090000}"/>
    <cellStyle name="Normal 10 2 10 17 4 2" xfId="2570" xr:uid="{00000000-0005-0000-0000-0000F7090000}"/>
    <cellStyle name="Normal 10 2 10 17 4 3" xfId="2571" xr:uid="{00000000-0005-0000-0000-0000F8090000}"/>
    <cellStyle name="Normal 10 2 10 17 4 4" xfId="2572" xr:uid="{00000000-0005-0000-0000-0000F9090000}"/>
    <cellStyle name="Normal 10 2 10 17 4 5" xfId="2573" xr:uid="{00000000-0005-0000-0000-0000FA090000}"/>
    <cellStyle name="Normal 10 2 10 17 4 6" xfId="2574" xr:uid="{00000000-0005-0000-0000-0000FB090000}"/>
    <cellStyle name="Normal 10 2 10 17 4 7" xfId="2575" xr:uid="{00000000-0005-0000-0000-0000FC090000}"/>
    <cellStyle name="Normal 10 2 10 17 4 8" xfId="2576" xr:uid="{00000000-0005-0000-0000-0000FD090000}"/>
    <cellStyle name="Normal 10 2 10 17 4 9" xfId="2577" xr:uid="{00000000-0005-0000-0000-0000FE090000}"/>
    <cellStyle name="Normal 10 2 10 17 5" xfId="2578" xr:uid="{00000000-0005-0000-0000-0000FF090000}"/>
    <cellStyle name="Normal 10 2 10 17 5 10" xfId="2579" xr:uid="{00000000-0005-0000-0000-0000000A0000}"/>
    <cellStyle name="Normal 10 2 10 17 5 2" xfId="2580" xr:uid="{00000000-0005-0000-0000-0000010A0000}"/>
    <cellStyle name="Normal 10 2 10 17 5 3" xfId="2581" xr:uid="{00000000-0005-0000-0000-0000020A0000}"/>
    <cellStyle name="Normal 10 2 10 17 5 4" xfId="2582" xr:uid="{00000000-0005-0000-0000-0000030A0000}"/>
    <cellStyle name="Normal 10 2 10 17 5 5" xfId="2583" xr:uid="{00000000-0005-0000-0000-0000040A0000}"/>
    <cellStyle name="Normal 10 2 10 17 5 6" xfId="2584" xr:uid="{00000000-0005-0000-0000-0000050A0000}"/>
    <cellStyle name="Normal 10 2 10 17 5 7" xfId="2585" xr:uid="{00000000-0005-0000-0000-0000060A0000}"/>
    <cellStyle name="Normal 10 2 10 17 5 8" xfId="2586" xr:uid="{00000000-0005-0000-0000-0000070A0000}"/>
    <cellStyle name="Normal 10 2 10 17 5 9" xfId="2587" xr:uid="{00000000-0005-0000-0000-0000080A0000}"/>
    <cellStyle name="Normal 10 2 10 17 6" xfId="2588" xr:uid="{00000000-0005-0000-0000-0000090A0000}"/>
    <cellStyle name="Normal 10 2 10 17 7" xfId="2589" xr:uid="{00000000-0005-0000-0000-00000A0A0000}"/>
    <cellStyle name="Normal 10 2 10 17 8" xfId="2590" xr:uid="{00000000-0005-0000-0000-00000B0A0000}"/>
    <cellStyle name="Normal 10 2 10 17 9" xfId="2591" xr:uid="{00000000-0005-0000-0000-00000C0A0000}"/>
    <cellStyle name="Normal 10 2 10 18" xfId="2592" xr:uid="{00000000-0005-0000-0000-00000D0A0000}"/>
    <cellStyle name="Normal 10 2 10 18 10" xfId="2593" xr:uid="{00000000-0005-0000-0000-00000E0A0000}"/>
    <cellStyle name="Normal 10 2 10 18 11" xfId="2594" xr:uid="{00000000-0005-0000-0000-00000F0A0000}"/>
    <cellStyle name="Normal 10 2 10 18 12" xfId="2595" xr:uid="{00000000-0005-0000-0000-0000100A0000}"/>
    <cellStyle name="Normal 10 2 10 18 13" xfId="2596" xr:uid="{00000000-0005-0000-0000-0000110A0000}"/>
    <cellStyle name="Normal 10 2 10 18 14" xfId="2597" xr:uid="{00000000-0005-0000-0000-0000120A0000}"/>
    <cellStyle name="Normal 10 2 10 18 2" xfId="2598" xr:uid="{00000000-0005-0000-0000-0000130A0000}"/>
    <cellStyle name="Normal 10 2 10 18 2 10" xfId="2599" xr:uid="{00000000-0005-0000-0000-0000140A0000}"/>
    <cellStyle name="Normal 10 2 10 18 2 2" xfId="2600" xr:uid="{00000000-0005-0000-0000-0000150A0000}"/>
    <cellStyle name="Normal 10 2 10 18 2 3" xfId="2601" xr:uid="{00000000-0005-0000-0000-0000160A0000}"/>
    <cellStyle name="Normal 10 2 10 18 2 4" xfId="2602" xr:uid="{00000000-0005-0000-0000-0000170A0000}"/>
    <cellStyle name="Normal 10 2 10 18 2 5" xfId="2603" xr:uid="{00000000-0005-0000-0000-0000180A0000}"/>
    <cellStyle name="Normal 10 2 10 18 2 6" xfId="2604" xr:uid="{00000000-0005-0000-0000-0000190A0000}"/>
    <cellStyle name="Normal 10 2 10 18 2 7" xfId="2605" xr:uid="{00000000-0005-0000-0000-00001A0A0000}"/>
    <cellStyle name="Normal 10 2 10 18 2 8" xfId="2606" xr:uid="{00000000-0005-0000-0000-00001B0A0000}"/>
    <cellStyle name="Normal 10 2 10 18 2 9" xfId="2607" xr:uid="{00000000-0005-0000-0000-00001C0A0000}"/>
    <cellStyle name="Normal 10 2 10 18 3" xfId="2608" xr:uid="{00000000-0005-0000-0000-00001D0A0000}"/>
    <cellStyle name="Normal 10 2 10 18 3 10" xfId="2609" xr:uid="{00000000-0005-0000-0000-00001E0A0000}"/>
    <cellStyle name="Normal 10 2 10 18 3 2" xfId="2610" xr:uid="{00000000-0005-0000-0000-00001F0A0000}"/>
    <cellStyle name="Normal 10 2 10 18 3 3" xfId="2611" xr:uid="{00000000-0005-0000-0000-0000200A0000}"/>
    <cellStyle name="Normal 10 2 10 18 3 4" xfId="2612" xr:uid="{00000000-0005-0000-0000-0000210A0000}"/>
    <cellStyle name="Normal 10 2 10 18 3 5" xfId="2613" xr:uid="{00000000-0005-0000-0000-0000220A0000}"/>
    <cellStyle name="Normal 10 2 10 18 3 6" xfId="2614" xr:uid="{00000000-0005-0000-0000-0000230A0000}"/>
    <cellStyle name="Normal 10 2 10 18 3 7" xfId="2615" xr:uid="{00000000-0005-0000-0000-0000240A0000}"/>
    <cellStyle name="Normal 10 2 10 18 3 8" xfId="2616" xr:uid="{00000000-0005-0000-0000-0000250A0000}"/>
    <cellStyle name="Normal 10 2 10 18 3 9" xfId="2617" xr:uid="{00000000-0005-0000-0000-0000260A0000}"/>
    <cellStyle name="Normal 10 2 10 18 4" xfId="2618" xr:uid="{00000000-0005-0000-0000-0000270A0000}"/>
    <cellStyle name="Normal 10 2 10 18 4 10" xfId="2619" xr:uid="{00000000-0005-0000-0000-0000280A0000}"/>
    <cellStyle name="Normal 10 2 10 18 4 2" xfId="2620" xr:uid="{00000000-0005-0000-0000-0000290A0000}"/>
    <cellStyle name="Normal 10 2 10 18 4 3" xfId="2621" xr:uid="{00000000-0005-0000-0000-00002A0A0000}"/>
    <cellStyle name="Normal 10 2 10 18 4 4" xfId="2622" xr:uid="{00000000-0005-0000-0000-00002B0A0000}"/>
    <cellStyle name="Normal 10 2 10 18 4 5" xfId="2623" xr:uid="{00000000-0005-0000-0000-00002C0A0000}"/>
    <cellStyle name="Normal 10 2 10 18 4 6" xfId="2624" xr:uid="{00000000-0005-0000-0000-00002D0A0000}"/>
    <cellStyle name="Normal 10 2 10 18 4 7" xfId="2625" xr:uid="{00000000-0005-0000-0000-00002E0A0000}"/>
    <cellStyle name="Normal 10 2 10 18 4 8" xfId="2626" xr:uid="{00000000-0005-0000-0000-00002F0A0000}"/>
    <cellStyle name="Normal 10 2 10 18 4 9" xfId="2627" xr:uid="{00000000-0005-0000-0000-0000300A0000}"/>
    <cellStyle name="Normal 10 2 10 18 5" xfId="2628" xr:uid="{00000000-0005-0000-0000-0000310A0000}"/>
    <cellStyle name="Normal 10 2 10 18 5 10" xfId="2629" xr:uid="{00000000-0005-0000-0000-0000320A0000}"/>
    <cellStyle name="Normal 10 2 10 18 5 2" xfId="2630" xr:uid="{00000000-0005-0000-0000-0000330A0000}"/>
    <cellStyle name="Normal 10 2 10 18 5 3" xfId="2631" xr:uid="{00000000-0005-0000-0000-0000340A0000}"/>
    <cellStyle name="Normal 10 2 10 18 5 4" xfId="2632" xr:uid="{00000000-0005-0000-0000-0000350A0000}"/>
    <cellStyle name="Normal 10 2 10 18 5 5" xfId="2633" xr:uid="{00000000-0005-0000-0000-0000360A0000}"/>
    <cellStyle name="Normal 10 2 10 18 5 6" xfId="2634" xr:uid="{00000000-0005-0000-0000-0000370A0000}"/>
    <cellStyle name="Normal 10 2 10 18 5 7" xfId="2635" xr:uid="{00000000-0005-0000-0000-0000380A0000}"/>
    <cellStyle name="Normal 10 2 10 18 5 8" xfId="2636" xr:uid="{00000000-0005-0000-0000-0000390A0000}"/>
    <cellStyle name="Normal 10 2 10 18 5 9" xfId="2637" xr:uid="{00000000-0005-0000-0000-00003A0A0000}"/>
    <cellStyle name="Normal 10 2 10 18 6" xfId="2638" xr:uid="{00000000-0005-0000-0000-00003B0A0000}"/>
    <cellStyle name="Normal 10 2 10 18 7" xfId="2639" xr:uid="{00000000-0005-0000-0000-00003C0A0000}"/>
    <cellStyle name="Normal 10 2 10 18 8" xfId="2640" xr:uid="{00000000-0005-0000-0000-00003D0A0000}"/>
    <cellStyle name="Normal 10 2 10 18 9" xfId="2641" xr:uid="{00000000-0005-0000-0000-00003E0A0000}"/>
    <cellStyle name="Normal 10 2 10 19" xfId="2642" xr:uid="{00000000-0005-0000-0000-00003F0A0000}"/>
    <cellStyle name="Normal 10 2 10 19 10" xfId="2643" xr:uid="{00000000-0005-0000-0000-0000400A0000}"/>
    <cellStyle name="Normal 10 2 10 19 11" xfId="2644" xr:uid="{00000000-0005-0000-0000-0000410A0000}"/>
    <cellStyle name="Normal 10 2 10 19 12" xfId="2645" xr:uid="{00000000-0005-0000-0000-0000420A0000}"/>
    <cellStyle name="Normal 10 2 10 19 13" xfId="2646" xr:uid="{00000000-0005-0000-0000-0000430A0000}"/>
    <cellStyle name="Normal 10 2 10 19 14" xfId="2647" xr:uid="{00000000-0005-0000-0000-0000440A0000}"/>
    <cellStyle name="Normal 10 2 10 19 2" xfId="2648" xr:uid="{00000000-0005-0000-0000-0000450A0000}"/>
    <cellStyle name="Normal 10 2 10 19 2 10" xfId="2649" xr:uid="{00000000-0005-0000-0000-0000460A0000}"/>
    <cellStyle name="Normal 10 2 10 19 2 2" xfId="2650" xr:uid="{00000000-0005-0000-0000-0000470A0000}"/>
    <cellStyle name="Normal 10 2 10 19 2 3" xfId="2651" xr:uid="{00000000-0005-0000-0000-0000480A0000}"/>
    <cellStyle name="Normal 10 2 10 19 2 4" xfId="2652" xr:uid="{00000000-0005-0000-0000-0000490A0000}"/>
    <cellStyle name="Normal 10 2 10 19 2 5" xfId="2653" xr:uid="{00000000-0005-0000-0000-00004A0A0000}"/>
    <cellStyle name="Normal 10 2 10 19 2 6" xfId="2654" xr:uid="{00000000-0005-0000-0000-00004B0A0000}"/>
    <cellStyle name="Normal 10 2 10 19 2 7" xfId="2655" xr:uid="{00000000-0005-0000-0000-00004C0A0000}"/>
    <cellStyle name="Normal 10 2 10 19 2 8" xfId="2656" xr:uid="{00000000-0005-0000-0000-00004D0A0000}"/>
    <cellStyle name="Normal 10 2 10 19 2 9" xfId="2657" xr:uid="{00000000-0005-0000-0000-00004E0A0000}"/>
    <cellStyle name="Normal 10 2 10 19 3" xfId="2658" xr:uid="{00000000-0005-0000-0000-00004F0A0000}"/>
    <cellStyle name="Normal 10 2 10 19 3 10" xfId="2659" xr:uid="{00000000-0005-0000-0000-0000500A0000}"/>
    <cellStyle name="Normal 10 2 10 19 3 2" xfId="2660" xr:uid="{00000000-0005-0000-0000-0000510A0000}"/>
    <cellStyle name="Normal 10 2 10 19 3 3" xfId="2661" xr:uid="{00000000-0005-0000-0000-0000520A0000}"/>
    <cellStyle name="Normal 10 2 10 19 3 4" xfId="2662" xr:uid="{00000000-0005-0000-0000-0000530A0000}"/>
    <cellStyle name="Normal 10 2 10 19 3 5" xfId="2663" xr:uid="{00000000-0005-0000-0000-0000540A0000}"/>
    <cellStyle name="Normal 10 2 10 19 3 6" xfId="2664" xr:uid="{00000000-0005-0000-0000-0000550A0000}"/>
    <cellStyle name="Normal 10 2 10 19 3 7" xfId="2665" xr:uid="{00000000-0005-0000-0000-0000560A0000}"/>
    <cellStyle name="Normal 10 2 10 19 3 8" xfId="2666" xr:uid="{00000000-0005-0000-0000-0000570A0000}"/>
    <cellStyle name="Normal 10 2 10 19 3 9" xfId="2667" xr:uid="{00000000-0005-0000-0000-0000580A0000}"/>
    <cellStyle name="Normal 10 2 10 19 4" xfId="2668" xr:uid="{00000000-0005-0000-0000-0000590A0000}"/>
    <cellStyle name="Normal 10 2 10 19 4 10" xfId="2669" xr:uid="{00000000-0005-0000-0000-00005A0A0000}"/>
    <cellStyle name="Normal 10 2 10 19 4 2" xfId="2670" xr:uid="{00000000-0005-0000-0000-00005B0A0000}"/>
    <cellStyle name="Normal 10 2 10 19 4 3" xfId="2671" xr:uid="{00000000-0005-0000-0000-00005C0A0000}"/>
    <cellStyle name="Normal 10 2 10 19 4 4" xfId="2672" xr:uid="{00000000-0005-0000-0000-00005D0A0000}"/>
    <cellStyle name="Normal 10 2 10 19 4 5" xfId="2673" xr:uid="{00000000-0005-0000-0000-00005E0A0000}"/>
    <cellStyle name="Normal 10 2 10 19 4 6" xfId="2674" xr:uid="{00000000-0005-0000-0000-00005F0A0000}"/>
    <cellStyle name="Normal 10 2 10 19 4 7" xfId="2675" xr:uid="{00000000-0005-0000-0000-0000600A0000}"/>
    <cellStyle name="Normal 10 2 10 19 4 8" xfId="2676" xr:uid="{00000000-0005-0000-0000-0000610A0000}"/>
    <cellStyle name="Normal 10 2 10 19 4 9" xfId="2677" xr:uid="{00000000-0005-0000-0000-0000620A0000}"/>
    <cellStyle name="Normal 10 2 10 19 5" xfId="2678" xr:uid="{00000000-0005-0000-0000-0000630A0000}"/>
    <cellStyle name="Normal 10 2 10 19 5 10" xfId="2679" xr:uid="{00000000-0005-0000-0000-0000640A0000}"/>
    <cellStyle name="Normal 10 2 10 19 5 2" xfId="2680" xr:uid="{00000000-0005-0000-0000-0000650A0000}"/>
    <cellStyle name="Normal 10 2 10 19 5 3" xfId="2681" xr:uid="{00000000-0005-0000-0000-0000660A0000}"/>
    <cellStyle name="Normal 10 2 10 19 5 4" xfId="2682" xr:uid="{00000000-0005-0000-0000-0000670A0000}"/>
    <cellStyle name="Normal 10 2 10 19 5 5" xfId="2683" xr:uid="{00000000-0005-0000-0000-0000680A0000}"/>
    <cellStyle name="Normal 10 2 10 19 5 6" xfId="2684" xr:uid="{00000000-0005-0000-0000-0000690A0000}"/>
    <cellStyle name="Normal 10 2 10 19 5 7" xfId="2685" xr:uid="{00000000-0005-0000-0000-00006A0A0000}"/>
    <cellStyle name="Normal 10 2 10 19 5 8" xfId="2686" xr:uid="{00000000-0005-0000-0000-00006B0A0000}"/>
    <cellStyle name="Normal 10 2 10 19 5 9" xfId="2687" xr:uid="{00000000-0005-0000-0000-00006C0A0000}"/>
    <cellStyle name="Normal 10 2 10 19 6" xfId="2688" xr:uid="{00000000-0005-0000-0000-00006D0A0000}"/>
    <cellStyle name="Normal 10 2 10 19 7" xfId="2689" xr:uid="{00000000-0005-0000-0000-00006E0A0000}"/>
    <cellStyle name="Normal 10 2 10 19 8" xfId="2690" xr:uid="{00000000-0005-0000-0000-00006F0A0000}"/>
    <cellStyle name="Normal 10 2 10 19 9" xfId="2691" xr:uid="{00000000-0005-0000-0000-0000700A0000}"/>
    <cellStyle name="Normal 10 2 10 2" xfId="2692" xr:uid="{00000000-0005-0000-0000-0000710A0000}"/>
    <cellStyle name="Normal 10 2 10 2 10" xfId="2693" xr:uid="{00000000-0005-0000-0000-0000720A0000}"/>
    <cellStyle name="Normal 10 2 10 2 10 10" xfId="2694" xr:uid="{00000000-0005-0000-0000-0000730A0000}"/>
    <cellStyle name="Normal 10 2 10 2 10 11" xfId="2695" xr:uid="{00000000-0005-0000-0000-0000740A0000}"/>
    <cellStyle name="Normal 10 2 10 2 10 12" xfId="2696" xr:uid="{00000000-0005-0000-0000-0000750A0000}"/>
    <cellStyle name="Normal 10 2 10 2 10 13" xfId="2697" xr:uid="{00000000-0005-0000-0000-0000760A0000}"/>
    <cellStyle name="Normal 10 2 10 2 10 14" xfId="2698" xr:uid="{00000000-0005-0000-0000-0000770A0000}"/>
    <cellStyle name="Normal 10 2 10 2 10 2" xfId="2699" xr:uid="{00000000-0005-0000-0000-0000780A0000}"/>
    <cellStyle name="Normal 10 2 10 2 10 2 10" xfId="2700" xr:uid="{00000000-0005-0000-0000-0000790A0000}"/>
    <cellStyle name="Normal 10 2 10 2 10 2 2" xfId="2701" xr:uid="{00000000-0005-0000-0000-00007A0A0000}"/>
    <cellStyle name="Normal 10 2 10 2 10 2 3" xfId="2702" xr:uid="{00000000-0005-0000-0000-00007B0A0000}"/>
    <cellStyle name="Normal 10 2 10 2 10 2 4" xfId="2703" xr:uid="{00000000-0005-0000-0000-00007C0A0000}"/>
    <cellStyle name="Normal 10 2 10 2 10 2 5" xfId="2704" xr:uid="{00000000-0005-0000-0000-00007D0A0000}"/>
    <cellStyle name="Normal 10 2 10 2 10 2 6" xfId="2705" xr:uid="{00000000-0005-0000-0000-00007E0A0000}"/>
    <cellStyle name="Normal 10 2 10 2 10 2 7" xfId="2706" xr:uid="{00000000-0005-0000-0000-00007F0A0000}"/>
    <cellStyle name="Normal 10 2 10 2 10 2 8" xfId="2707" xr:uid="{00000000-0005-0000-0000-0000800A0000}"/>
    <cellStyle name="Normal 10 2 10 2 10 2 9" xfId="2708" xr:uid="{00000000-0005-0000-0000-0000810A0000}"/>
    <cellStyle name="Normal 10 2 10 2 10 3" xfId="2709" xr:uid="{00000000-0005-0000-0000-0000820A0000}"/>
    <cellStyle name="Normal 10 2 10 2 10 3 10" xfId="2710" xr:uid="{00000000-0005-0000-0000-0000830A0000}"/>
    <cellStyle name="Normal 10 2 10 2 10 3 2" xfId="2711" xr:uid="{00000000-0005-0000-0000-0000840A0000}"/>
    <cellStyle name="Normal 10 2 10 2 10 3 3" xfId="2712" xr:uid="{00000000-0005-0000-0000-0000850A0000}"/>
    <cellStyle name="Normal 10 2 10 2 10 3 4" xfId="2713" xr:uid="{00000000-0005-0000-0000-0000860A0000}"/>
    <cellStyle name="Normal 10 2 10 2 10 3 5" xfId="2714" xr:uid="{00000000-0005-0000-0000-0000870A0000}"/>
    <cellStyle name="Normal 10 2 10 2 10 3 6" xfId="2715" xr:uid="{00000000-0005-0000-0000-0000880A0000}"/>
    <cellStyle name="Normal 10 2 10 2 10 3 7" xfId="2716" xr:uid="{00000000-0005-0000-0000-0000890A0000}"/>
    <cellStyle name="Normal 10 2 10 2 10 3 8" xfId="2717" xr:uid="{00000000-0005-0000-0000-00008A0A0000}"/>
    <cellStyle name="Normal 10 2 10 2 10 3 9" xfId="2718" xr:uid="{00000000-0005-0000-0000-00008B0A0000}"/>
    <cellStyle name="Normal 10 2 10 2 10 4" xfId="2719" xr:uid="{00000000-0005-0000-0000-00008C0A0000}"/>
    <cellStyle name="Normal 10 2 10 2 10 4 10" xfId="2720" xr:uid="{00000000-0005-0000-0000-00008D0A0000}"/>
    <cellStyle name="Normal 10 2 10 2 10 4 2" xfId="2721" xr:uid="{00000000-0005-0000-0000-00008E0A0000}"/>
    <cellStyle name="Normal 10 2 10 2 10 4 3" xfId="2722" xr:uid="{00000000-0005-0000-0000-00008F0A0000}"/>
    <cellStyle name="Normal 10 2 10 2 10 4 4" xfId="2723" xr:uid="{00000000-0005-0000-0000-0000900A0000}"/>
    <cellStyle name="Normal 10 2 10 2 10 4 5" xfId="2724" xr:uid="{00000000-0005-0000-0000-0000910A0000}"/>
    <cellStyle name="Normal 10 2 10 2 10 4 6" xfId="2725" xr:uid="{00000000-0005-0000-0000-0000920A0000}"/>
    <cellStyle name="Normal 10 2 10 2 10 4 7" xfId="2726" xr:uid="{00000000-0005-0000-0000-0000930A0000}"/>
    <cellStyle name="Normal 10 2 10 2 10 4 8" xfId="2727" xr:uid="{00000000-0005-0000-0000-0000940A0000}"/>
    <cellStyle name="Normal 10 2 10 2 10 4 9" xfId="2728" xr:uid="{00000000-0005-0000-0000-0000950A0000}"/>
    <cellStyle name="Normal 10 2 10 2 10 5" xfId="2729" xr:uid="{00000000-0005-0000-0000-0000960A0000}"/>
    <cellStyle name="Normal 10 2 10 2 10 5 10" xfId="2730" xr:uid="{00000000-0005-0000-0000-0000970A0000}"/>
    <cellStyle name="Normal 10 2 10 2 10 5 2" xfId="2731" xr:uid="{00000000-0005-0000-0000-0000980A0000}"/>
    <cellStyle name="Normal 10 2 10 2 10 5 3" xfId="2732" xr:uid="{00000000-0005-0000-0000-0000990A0000}"/>
    <cellStyle name="Normal 10 2 10 2 10 5 4" xfId="2733" xr:uid="{00000000-0005-0000-0000-00009A0A0000}"/>
    <cellStyle name="Normal 10 2 10 2 10 5 5" xfId="2734" xr:uid="{00000000-0005-0000-0000-00009B0A0000}"/>
    <cellStyle name="Normal 10 2 10 2 10 5 6" xfId="2735" xr:uid="{00000000-0005-0000-0000-00009C0A0000}"/>
    <cellStyle name="Normal 10 2 10 2 10 5 7" xfId="2736" xr:uid="{00000000-0005-0000-0000-00009D0A0000}"/>
    <cellStyle name="Normal 10 2 10 2 10 5 8" xfId="2737" xr:uid="{00000000-0005-0000-0000-00009E0A0000}"/>
    <cellStyle name="Normal 10 2 10 2 10 5 9" xfId="2738" xr:uid="{00000000-0005-0000-0000-00009F0A0000}"/>
    <cellStyle name="Normal 10 2 10 2 10 6" xfId="2739" xr:uid="{00000000-0005-0000-0000-0000A00A0000}"/>
    <cellStyle name="Normal 10 2 10 2 10 7" xfId="2740" xr:uid="{00000000-0005-0000-0000-0000A10A0000}"/>
    <cellStyle name="Normal 10 2 10 2 10 8" xfId="2741" xr:uid="{00000000-0005-0000-0000-0000A20A0000}"/>
    <cellStyle name="Normal 10 2 10 2 10 9" xfId="2742" xr:uid="{00000000-0005-0000-0000-0000A30A0000}"/>
    <cellStyle name="Normal 10 2 10 2 11" xfId="2743" xr:uid="{00000000-0005-0000-0000-0000A40A0000}"/>
    <cellStyle name="Normal 10 2 10 2 11 10" xfId="2744" xr:uid="{00000000-0005-0000-0000-0000A50A0000}"/>
    <cellStyle name="Normal 10 2 10 2 11 11" xfId="2745" xr:uid="{00000000-0005-0000-0000-0000A60A0000}"/>
    <cellStyle name="Normal 10 2 10 2 11 12" xfId="2746" xr:uid="{00000000-0005-0000-0000-0000A70A0000}"/>
    <cellStyle name="Normal 10 2 10 2 11 13" xfId="2747" xr:uid="{00000000-0005-0000-0000-0000A80A0000}"/>
    <cellStyle name="Normal 10 2 10 2 11 14" xfId="2748" xr:uid="{00000000-0005-0000-0000-0000A90A0000}"/>
    <cellStyle name="Normal 10 2 10 2 11 2" xfId="2749" xr:uid="{00000000-0005-0000-0000-0000AA0A0000}"/>
    <cellStyle name="Normal 10 2 10 2 11 2 10" xfId="2750" xr:uid="{00000000-0005-0000-0000-0000AB0A0000}"/>
    <cellStyle name="Normal 10 2 10 2 11 2 2" xfId="2751" xr:uid="{00000000-0005-0000-0000-0000AC0A0000}"/>
    <cellStyle name="Normal 10 2 10 2 11 2 3" xfId="2752" xr:uid="{00000000-0005-0000-0000-0000AD0A0000}"/>
    <cellStyle name="Normal 10 2 10 2 11 2 4" xfId="2753" xr:uid="{00000000-0005-0000-0000-0000AE0A0000}"/>
    <cellStyle name="Normal 10 2 10 2 11 2 5" xfId="2754" xr:uid="{00000000-0005-0000-0000-0000AF0A0000}"/>
    <cellStyle name="Normal 10 2 10 2 11 2 6" xfId="2755" xr:uid="{00000000-0005-0000-0000-0000B00A0000}"/>
    <cellStyle name="Normal 10 2 10 2 11 2 7" xfId="2756" xr:uid="{00000000-0005-0000-0000-0000B10A0000}"/>
    <cellStyle name="Normal 10 2 10 2 11 2 8" xfId="2757" xr:uid="{00000000-0005-0000-0000-0000B20A0000}"/>
    <cellStyle name="Normal 10 2 10 2 11 2 9" xfId="2758" xr:uid="{00000000-0005-0000-0000-0000B30A0000}"/>
    <cellStyle name="Normal 10 2 10 2 11 3" xfId="2759" xr:uid="{00000000-0005-0000-0000-0000B40A0000}"/>
    <cellStyle name="Normal 10 2 10 2 11 3 10" xfId="2760" xr:uid="{00000000-0005-0000-0000-0000B50A0000}"/>
    <cellStyle name="Normal 10 2 10 2 11 3 2" xfId="2761" xr:uid="{00000000-0005-0000-0000-0000B60A0000}"/>
    <cellStyle name="Normal 10 2 10 2 11 3 3" xfId="2762" xr:uid="{00000000-0005-0000-0000-0000B70A0000}"/>
    <cellStyle name="Normal 10 2 10 2 11 3 4" xfId="2763" xr:uid="{00000000-0005-0000-0000-0000B80A0000}"/>
    <cellStyle name="Normal 10 2 10 2 11 3 5" xfId="2764" xr:uid="{00000000-0005-0000-0000-0000B90A0000}"/>
    <cellStyle name="Normal 10 2 10 2 11 3 6" xfId="2765" xr:uid="{00000000-0005-0000-0000-0000BA0A0000}"/>
    <cellStyle name="Normal 10 2 10 2 11 3 7" xfId="2766" xr:uid="{00000000-0005-0000-0000-0000BB0A0000}"/>
    <cellStyle name="Normal 10 2 10 2 11 3 8" xfId="2767" xr:uid="{00000000-0005-0000-0000-0000BC0A0000}"/>
    <cellStyle name="Normal 10 2 10 2 11 3 9" xfId="2768" xr:uid="{00000000-0005-0000-0000-0000BD0A0000}"/>
    <cellStyle name="Normal 10 2 10 2 11 4" xfId="2769" xr:uid="{00000000-0005-0000-0000-0000BE0A0000}"/>
    <cellStyle name="Normal 10 2 10 2 11 4 10" xfId="2770" xr:uid="{00000000-0005-0000-0000-0000BF0A0000}"/>
    <cellStyle name="Normal 10 2 10 2 11 4 2" xfId="2771" xr:uid="{00000000-0005-0000-0000-0000C00A0000}"/>
    <cellStyle name="Normal 10 2 10 2 11 4 3" xfId="2772" xr:uid="{00000000-0005-0000-0000-0000C10A0000}"/>
    <cellStyle name="Normal 10 2 10 2 11 4 4" xfId="2773" xr:uid="{00000000-0005-0000-0000-0000C20A0000}"/>
    <cellStyle name="Normal 10 2 10 2 11 4 5" xfId="2774" xr:uid="{00000000-0005-0000-0000-0000C30A0000}"/>
    <cellStyle name="Normal 10 2 10 2 11 4 6" xfId="2775" xr:uid="{00000000-0005-0000-0000-0000C40A0000}"/>
    <cellStyle name="Normal 10 2 10 2 11 4 7" xfId="2776" xr:uid="{00000000-0005-0000-0000-0000C50A0000}"/>
    <cellStyle name="Normal 10 2 10 2 11 4 8" xfId="2777" xr:uid="{00000000-0005-0000-0000-0000C60A0000}"/>
    <cellStyle name="Normal 10 2 10 2 11 4 9" xfId="2778" xr:uid="{00000000-0005-0000-0000-0000C70A0000}"/>
    <cellStyle name="Normal 10 2 10 2 11 5" xfId="2779" xr:uid="{00000000-0005-0000-0000-0000C80A0000}"/>
    <cellStyle name="Normal 10 2 10 2 11 5 10" xfId="2780" xr:uid="{00000000-0005-0000-0000-0000C90A0000}"/>
    <cellStyle name="Normal 10 2 10 2 11 5 2" xfId="2781" xr:uid="{00000000-0005-0000-0000-0000CA0A0000}"/>
    <cellStyle name="Normal 10 2 10 2 11 5 3" xfId="2782" xr:uid="{00000000-0005-0000-0000-0000CB0A0000}"/>
    <cellStyle name="Normal 10 2 10 2 11 5 4" xfId="2783" xr:uid="{00000000-0005-0000-0000-0000CC0A0000}"/>
    <cellStyle name="Normal 10 2 10 2 11 5 5" xfId="2784" xr:uid="{00000000-0005-0000-0000-0000CD0A0000}"/>
    <cellStyle name="Normal 10 2 10 2 11 5 6" xfId="2785" xr:uid="{00000000-0005-0000-0000-0000CE0A0000}"/>
    <cellStyle name="Normal 10 2 10 2 11 5 7" xfId="2786" xr:uid="{00000000-0005-0000-0000-0000CF0A0000}"/>
    <cellStyle name="Normal 10 2 10 2 11 5 8" xfId="2787" xr:uid="{00000000-0005-0000-0000-0000D00A0000}"/>
    <cellStyle name="Normal 10 2 10 2 11 5 9" xfId="2788" xr:uid="{00000000-0005-0000-0000-0000D10A0000}"/>
    <cellStyle name="Normal 10 2 10 2 11 6" xfId="2789" xr:uid="{00000000-0005-0000-0000-0000D20A0000}"/>
    <cellStyle name="Normal 10 2 10 2 11 7" xfId="2790" xr:uid="{00000000-0005-0000-0000-0000D30A0000}"/>
    <cellStyle name="Normal 10 2 10 2 11 8" xfId="2791" xr:uid="{00000000-0005-0000-0000-0000D40A0000}"/>
    <cellStyle name="Normal 10 2 10 2 11 9" xfId="2792" xr:uid="{00000000-0005-0000-0000-0000D50A0000}"/>
    <cellStyle name="Normal 10 2 10 2 12" xfId="2793" xr:uid="{00000000-0005-0000-0000-0000D60A0000}"/>
    <cellStyle name="Normal 10 2 10 2 12 10" xfId="2794" xr:uid="{00000000-0005-0000-0000-0000D70A0000}"/>
    <cellStyle name="Normal 10 2 10 2 12 11" xfId="2795" xr:uid="{00000000-0005-0000-0000-0000D80A0000}"/>
    <cellStyle name="Normal 10 2 10 2 12 12" xfId="2796" xr:uid="{00000000-0005-0000-0000-0000D90A0000}"/>
    <cellStyle name="Normal 10 2 10 2 12 13" xfId="2797" xr:uid="{00000000-0005-0000-0000-0000DA0A0000}"/>
    <cellStyle name="Normal 10 2 10 2 12 14" xfId="2798" xr:uid="{00000000-0005-0000-0000-0000DB0A0000}"/>
    <cellStyle name="Normal 10 2 10 2 12 2" xfId="2799" xr:uid="{00000000-0005-0000-0000-0000DC0A0000}"/>
    <cellStyle name="Normal 10 2 10 2 12 2 10" xfId="2800" xr:uid="{00000000-0005-0000-0000-0000DD0A0000}"/>
    <cellStyle name="Normal 10 2 10 2 12 2 2" xfId="2801" xr:uid="{00000000-0005-0000-0000-0000DE0A0000}"/>
    <cellStyle name="Normal 10 2 10 2 12 2 3" xfId="2802" xr:uid="{00000000-0005-0000-0000-0000DF0A0000}"/>
    <cellStyle name="Normal 10 2 10 2 12 2 4" xfId="2803" xr:uid="{00000000-0005-0000-0000-0000E00A0000}"/>
    <cellStyle name="Normal 10 2 10 2 12 2 5" xfId="2804" xr:uid="{00000000-0005-0000-0000-0000E10A0000}"/>
    <cellStyle name="Normal 10 2 10 2 12 2 6" xfId="2805" xr:uid="{00000000-0005-0000-0000-0000E20A0000}"/>
    <cellStyle name="Normal 10 2 10 2 12 2 7" xfId="2806" xr:uid="{00000000-0005-0000-0000-0000E30A0000}"/>
    <cellStyle name="Normal 10 2 10 2 12 2 8" xfId="2807" xr:uid="{00000000-0005-0000-0000-0000E40A0000}"/>
    <cellStyle name="Normal 10 2 10 2 12 2 9" xfId="2808" xr:uid="{00000000-0005-0000-0000-0000E50A0000}"/>
    <cellStyle name="Normal 10 2 10 2 12 3" xfId="2809" xr:uid="{00000000-0005-0000-0000-0000E60A0000}"/>
    <cellStyle name="Normal 10 2 10 2 12 3 10" xfId="2810" xr:uid="{00000000-0005-0000-0000-0000E70A0000}"/>
    <cellStyle name="Normal 10 2 10 2 12 3 2" xfId="2811" xr:uid="{00000000-0005-0000-0000-0000E80A0000}"/>
    <cellStyle name="Normal 10 2 10 2 12 3 3" xfId="2812" xr:uid="{00000000-0005-0000-0000-0000E90A0000}"/>
    <cellStyle name="Normal 10 2 10 2 12 3 4" xfId="2813" xr:uid="{00000000-0005-0000-0000-0000EA0A0000}"/>
    <cellStyle name="Normal 10 2 10 2 12 3 5" xfId="2814" xr:uid="{00000000-0005-0000-0000-0000EB0A0000}"/>
    <cellStyle name="Normal 10 2 10 2 12 3 6" xfId="2815" xr:uid="{00000000-0005-0000-0000-0000EC0A0000}"/>
    <cellStyle name="Normal 10 2 10 2 12 3 7" xfId="2816" xr:uid="{00000000-0005-0000-0000-0000ED0A0000}"/>
    <cellStyle name="Normal 10 2 10 2 12 3 8" xfId="2817" xr:uid="{00000000-0005-0000-0000-0000EE0A0000}"/>
    <cellStyle name="Normal 10 2 10 2 12 3 9" xfId="2818" xr:uid="{00000000-0005-0000-0000-0000EF0A0000}"/>
    <cellStyle name="Normal 10 2 10 2 12 4" xfId="2819" xr:uid="{00000000-0005-0000-0000-0000F00A0000}"/>
    <cellStyle name="Normal 10 2 10 2 12 4 10" xfId="2820" xr:uid="{00000000-0005-0000-0000-0000F10A0000}"/>
    <cellStyle name="Normal 10 2 10 2 12 4 2" xfId="2821" xr:uid="{00000000-0005-0000-0000-0000F20A0000}"/>
    <cellStyle name="Normal 10 2 10 2 12 4 3" xfId="2822" xr:uid="{00000000-0005-0000-0000-0000F30A0000}"/>
    <cellStyle name="Normal 10 2 10 2 12 4 4" xfId="2823" xr:uid="{00000000-0005-0000-0000-0000F40A0000}"/>
    <cellStyle name="Normal 10 2 10 2 12 4 5" xfId="2824" xr:uid="{00000000-0005-0000-0000-0000F50A0000}"/>
    <cellStyle name="Normal 10 2 10 2 12 4 6" xfId="2825" xr:uid="{00000000-0005-0000-0000-0000F60A0000}"/>
    <cellStyle name="Normal 10 2 10 2 12 4 7" xfId="2826" xr:uid="{00000000-0005-0000-0000-0000F70A0000}"/>
    <cellStyle name="Normal 10 2 10 2 12 4 8" xfId="2827" xr:uid="{00000000-0005-0000-0000-0000F80A0000}"/>
    <cellStyle name="Normal 10 2 10 2 12 4 9" xfId="2828" xr:uid="{00000000-0005-0000-0000-0000F90A0000}"/>
    <cellStyle name="Normal 10 2 10 2 12 5" xfId="2829" xr:uid="{00000000-0005-0000-0000-0000FA0A0000}"/>
    <cellStyle name="Normal 10 2 10 2 12 5 10" xfId="2830" xr:uid="{00000000-0005-0000-0000-0000FB0A0000}"/>
    <cellStyle name="Normal 10 2 10 2 12 5 2" xfId="2831" xr:uid="{00000000-0005-0000-0000-0000FC0A0000}"/>
    <cellStyle name="Normal 10 2 10 2 12 5 3" xfId="2832" xr:uid="{00000000-0005-0000-0000-0000FD0A0000}"/>
    <cellStyle name="Normal 10 2 10 2 12 5 4" xfId="2833" xr:uid="{00000000-0005-0000-0000-0000FE0A0000}"/>
    <cellStyle name="Normal 10 2 10 2 12 5 5" xfId="2834" xr:uid="{00000000-0005-0000-0000-0000FF0A0000}"/>
    <cellStyle name="Normal 10 2 10 2 12 5 6" xfId="2835" xr:uid="{00000000-0005-0000-0000-0000000B0000}"/>
    <cellStyle name="Normal 10 2 10 2 12 5 7" xfId="2836" xr:uid="{00000000-0005-0000-0000-0000010B0000}"/>
    <cellStyle name="Normal 10 2 10 2 12 5 8" xfId="2837" xr:uid="{00000000-0005-0000-0000-0000020B0000}"/>
    <cellStyle name="Normal 10 2 10 2 12 5 9" xfId="2838" xr:uid="{00000000-0005-0000-0000-0000030B0000}"/>
    <cellStyle name="Normal 10 2 10 2 12 6" xfId="2839" xr:uid="{00000000-0005-0000-0000-0000040B0000}"/>
    <cellStyle name="Normal 10 2 10 2 12 7" xfId="2840" xr:uid="{00000000-0005-0000-0000-0000050B0000}"/>
    <cellStyle name="Normal 10 2 10 2 12 8" xfId="2841" xr:uid="{00000000-0005-0000-0000-0000060B0000}"/>
    <cellStyle name="Normal 10 2 10 2 12 9" xfId="2842" xr:uid="{00000000-0005-0000-0000-0000070B0000}"/>
    <cellStyle name="Normal 10 2 10 2 13" xfId="2843" xr:uid="{00000000-0005-0000-0000-0000080B0000}"/>
    <cellStyle name="Normal 10 2 10 2 13 10" xfId="2844" xr:uid="{00000000-0005-0000-0000-0000090B0000}"/>
    <cellStyle name="Normal 10 2 10 2 13 11" xfId="2845" xr:uid="{00000000-0005-0000-0000-00000A0B0000}"/>
    <cellStyle name="Normal 10 2 10 2 13 12" xfId="2846" xr:uid="{00000000-0005-0000-0000-00000B0B0000}"/>
    <cellStyle name="Normal 10 2 10 2 13 13" xfId="2847" xr:uid="{00000000-0005-0000-0000-00000C0B0000}"/>
    <cellStyle name="Normal 10 2 10 2 13 14" xfId="2848" xr:uid="{00000000-0005-0000-0000-00000D0B0000}"/>
    <cellStyle name="Normal 10 2 10 2 13 2" xfId="2849" xr:uid="{00000000-0005-0000-0000-00000E0B0000}"/>
    <cellStyle name="Normal 10 2 10 2 13 2 10" xfId="2850" xr:uid="{00000000-0005-0000-0000-00000F0B0000}"/>
    <cellStyle name="Normal 10 2 10 2 13 2 2" xfId="2851" xr:uid="{00000000-0005-0000-0000-0000100B0000}"/>
    <cellStyle name="Normal 10 2 10 2 13 2 3" xfId="2852" xr:uid="{00000000-0005-0000-0000-0000110B0000}"/>
    <cellStyle name="Normal 10 2 10 2 13 2 4" xfId="2853" xr:uid="{00000000-0005-0000-0000-0000120B0000}"/>
    <cellStyle name="Normal 10 2 10 2 13 2 5" xfId="2854" xr:uid="{00000000-0005-0000-0000-0000130B0000}"/>
    <cellStyle name="Normal 10 2 10 2 13 2 6" xfId="2855" xr:uid="{00000000-0005-0000-0000-0000140B0000}"/>
    <cellStyle name="Normal 10 2 10 2 13 2 7" xfId="2856" xr:uid="{00000000-0005-0000-0000-0000150B0000}"/>
    <cellStyle name="Normal 10 2 10 2 13 2 8" xfId="2857" xr:uid="{00000000-0005-0000-0000-0000160B0000}"/>
    <cellStyle name="Normal 10 2 10 2 13 2 9" xfId="2858" xr:uid="{00000000-0005-0000-0000-0000170B0000}"/>
    <cellStyle name="Normal 10 2 10 2 13 3" xfId="2859" xr:uid="{00000000-0005-0000-0000-0000180B0000}"/>
    <cellStyle name="Normal 10 2 10 2 13 3 10" xfId="2860" xr:uid="{00000000-0005-0000-0000-0000190B0000}"/>
    <cellStyle name="Normal 10 2 10 2 13 3 2" xfId="2861" xr:uid="{00000000-0005-0000-0000-00001A0B0000}"/>
    <cellStyle name="Normal 10 2 10 2 13 3 3" xfId="2862" xr:uid="{00000000-0005-0000-0000-00001B0B0000}"/>
    <cellStyle name="Normal 10 2 10 2 13 3 4" xfId="2863" xr:uid="{00000000-0005-0000-0000-00001C0B0000}"/>
    <cellStyle name="Normal 10 2 10 2 13 3 5" xfId="2864" xr:uid="{00000000-0005-0000-0000-00001D0B0000}"/>
    <cellStyle name="Normal 10 2 10 2 13 3 6" xfId="2865" xr:uid="{00000000-0005-0000-0000-00001E0B0000}"/>
    <cellStyle name="Normal 10 2 10 2 13 3 7" xfId="2866" xr:uid="{00000000-0005-0000-0000-00001F0B0000}"/>
    <cellStyle name="Normal 10 2 10 2 13 3 8" xfId="2867" xr:uid="{00000000-0005-0000-0000-0000200B0000}"/>
    <cellStyle name="Normal 10 2 10 2 13 3 9" xfId="2868" xr:uid="{00000000-0005-0000-0000-0000210B0000}"/>
    <cellStyle name="Normal 10 2 10 2 13 4" xfId="2869" xr:uid="{00000000-0005-0000-0000-0000220B0000}"/>
    <cellStyle name="Normal 10 2 10 2 13 4 10" xfId="2870" xr:uid="{00000000-0005-0000-0000-0000230B0000}"/>
    <cellStyle name="Normal 10 2 10 2 13 4 2" xfId="2871" xr:uid="{00000000-0005-0000-0000-0000240B0000}"/>
    <cellStyle name="Normal 10 2 10 2 13 4 3" xfId="2872" xr:uid="{00000000-0005-0000-0000-0000250B0000}"/>
    <cellStyle name="Normal 10 2 10 2 13 4 4" xfId="2873" xr:uid="{00000000-0005-0000-0000-0000260B0000}"/>
    <cellStyle name="Normal 10 2 10 2 13 4 5" xfId="2874" xr:uid="{00000000-0005-0000-0000-0000270B0000}"/>
    <cellStyle name="Normal 10 2 10 2 13 4 6" xfId="2875" xr:uid="{00000000-0005-0000-0000-0000280B0000}"/>
    <cellStyle name="Normal 10 2 10 2 13 4 7" xfId="2876" xr:uid="{00000000-0005-0000-0000-0000290B0000}"/>
    <cellStyle name="Normal 10 2 10 2 13 4 8" xfId="2877" xr:uid="{00000000-0005-0000-0000-00002A0B0000}"/>
    <cellStyle name="Normal 10 2 10 2 13 4 9" xfId="2878" xr:uid="{00000000-0005-0000-0000-00002B0B0000}"/>
    <cellStyle name="Normal 10 2 10 2 13 5" xfId="2879" xr:uid="{00000000-0005-0000-0000-00002C0B0000}"/>
    <cellStyle name="Normal 10 2 10 2 13 5 10" xfId="2880" xr:uid="{00000000-0005-0000-0000-00002D0B0000}"/>
    <cellStyle name="Normal 10 2 10 2 13 5 2" xfId="2881" xr:uid="{00000000-0005-0000-0000-00002E0B0000}"/>
    <cellStyle name="Normal 10 2 10 2 13 5 3" xfId="2882" xr:uid="{00000000-0005-0000-0000-00002F0B0000}"/>
    <cellStyle name="Normal 10 2 10 2 13 5 4" xfId="2883" xr:uid="{00000000-0005-0000-0000-0000300B0000}"/>
    <cellStyle name="Normal 10 2 10 2 13 5 5" xfId="2884" xr:uid="{00000000-0005-0000-0000-0000310B0000}"/>
    <cellStyle name="Normal 10 2 10 2 13 5 6" xfId="2885" xr:uid="{00000000-0005-0000-0000-0000320B0000}"/>
    <cellStyle name="Normal 10 2 10 2 13 5 7" xfId="2886" xr:uid="{00000000-0005-0000-0000-0000330B0000}"/>
    <cellStyle name="Normal 10 2 10 2 13 5 8" xfId="2887" xr:uid="{00000000-0005-0000-0000-0000340B0000}"/>
    <cellStyle name="Normal 10 2 10 2 13 5 9" xfId="2888" xr:uid="{00000000-0005-0000-0000-0000350B0000}"/>
    <cellStyle name="Normal 10 2 10 2 13 6" xfId="2889" xr:uid="{00000000-0005-0000-0000-0000360B0000}"/>
    <cellStyle name="Normal 10 2 10 2 13 7" xfId="2890" xr:uid="{00000000-0005-0000-0000-0000370B0000}"/>
    <cellStyle name="Normal 10 2 10 2 13 8" xfId="2891" xr:uid="{00000000-0005-0000-0000-0000380B0000}"/>
    <cellStyle name="Normal 10 2 10 2 13 9" xfId="2892" xr:uid="{00000000-0005-0000-0000-0000390B0000}"/>
    <cellStyle name="Normal 10 2 10 2 14" xfId="2893" xr:uid="{00000000-0005-0000-0000-00003A0B0000}"/>
    <cellStyle name="Normal 10 2 10 2 14 10" xfId="2894" xr:uid="{00000000-0005-0000-0000-00003B0B0000}"/>
    <cellStyle name="Normal 10 2 10 2 14 11" xfId="2895" xr:uid="{00000000-0005-0000-0000-00003C0B0000}"/>
    <cellStyle name="Normal 10 2 10 2 14 12" xfId="2896" xr:uid="{00000000-0005-0000-0000-00003D0B0000}"/>
    <cellStyle name="Normal 10 2 10 2 14 13" xfId="2897" xr:uid="{00000000-0005-0000-0000-00003E0B0000}"/>
    <cellStyle name="Normal 10 2 10 2 14 14" xfId="2898" xr:uid="{00000000-0005-0000-0000-00003F0B0000}"/>
    <cellStyle name="Normal 10 2 10 2 14 2" xfId="2899" xr:uid="{00000000-0005-0000-0000-0000400B0000}"/>
    <cellStyle name="Normal 10 2 10 2 14 2 10" xfId="2900" xr:uid="{00000000-0005-0000-0000-0000410B0000}"/>
    <cellStyle name="Normal 10 2 10 2 14 2 2" xfId="2901" xr:uid="{00000000-0005-0000-0000-0000420B0000}"/>
    <cellStyle name="Normal 10 2 10 2 14 2 3" xfId="2902" xr:uid="{00000000-0005-0000-0000-0000430B0000}"/>
    <cellStyle name="Normal 10 2 10 2 14 2 4" xfId="2903" xr:uid="{00000000-0005-0000-0000-0000440B0000}"/>
    <cellStyle name="Normal 10 2 10 2 14 2 5" xfId="2904" xr:uid="{00000000-0005-0000-0000-0000450B0000}"/>
    <cellStyle name="Normal 10 2 10 2 14 2 6" xfId="2905" xr:uid="{00000000-0005-0000-0000-0000460B0000}"/>
    <cellStyle name="Normal 10 2 10 2 14 2 7" xfId="2906" xr:uid="{00000000-0005-0000-0000-0000470B0000}"/>
    <cellStyle name="Normal 10 2 10 2 14 2 8" xfId="2907" xr:uid="{00000000-0005-0000-0000-0000480B0000}"/>
    <cellStyle name="Normal 10 2 10 2 14 2 9" xfId="2908" xr:uid="{00000000-0005-0000-0000-0000490B0000}"/>
    <cellStyle name="Normal 10 2 10 2 14 3" xfId="2909" xr:uid="{00000000-0005-0000-0000-00004A0B0000}"/>
    <cellStyle name="Normal 10 2 10 2 14 3 10" xfId="2910" xr:uid="{00000000-0005-0000-0000-00004B0B0000}"/>
    <cellStyle name="Normal 10 2 10 2 14 3 2" xfId="2911" xr:uid="{00000000-0005-0000-0000-00004C0B0000}"/>
    <cellStyle name="Normal 10 2 10 2 14 3 3" xfId="2912" xr:uid="{00000000-0005-0000-0000-00004D0B0000}"/>
    <cellStyle name="Normal 10 2 10 2 14 3 4" xfId="2913" xr:uid="{00000000-0005-0000-0000-00004E0B0000}"/>
    <cellStyle name="Normal 10 2 10 2 14 3 5" xfId="2914" xr:uid="{00000000-0005-0000-0000-00004F0B0000}"/>
    <cellStyle name="Normal 10 2 10 2 14 3 6" xfId="2915" xr:uid="{00000000-0005-0000-0000-0000500B0000}"/>
    <cellStyle name="Normal 10 2 10 2 14 3 7" xfId="2916" xr:uid="{00000000-0005-0000-0000-0000510B0000}"/>
    <cellStyle name="Normal 10 2 10 2 14 3 8" xfId="2917" xr:uid="{00000000-0005-0000-0000-0000520B0000}"/>
    <cellStyle name="Normal 10 2 10 2 14 3 9" xfId="2918" xr:uid="{00000000-0005-0000-0000-0000530B0000}"/>
    <cellStyle name="Normal 10 2 10 2 14 4" xfId="2919" xr:uid="{00000000-0005-0000-0000-0000540B0000}"/>
    <cellStyle name="Normal 10 2 10 2 14 4 10" xfId="2920" xr:uid="{00000000-0005-0000-0000-0000550B0000}"/>
    <cellStyle name="Normal 10 2 10 2 14 4 2" xfId="2921" xr:uid="{00000000-0005-0000-0000-0000560B0000}"/>
    <cellStyle name="Normal 10 2 10 2 14 4 3" xfId="2922" xr:uid="{00000000-0005-0000-0000-0000570B0000}"/>
    <cellStyle name="Normal 10 2 10 2 14 4 4" xfId="2923" xr:uid="{00000000-0005-0000-0000-0000580B0000}"/>
    <cellStyle name="Normal 10 2 10 2 14 4 5" xfId="2924" xr:uid="{00000000-0005-0000-0000-0000590B0000}"/>
    <cellStyle name="Normal 10 2 10 2 14 4 6" xfId="2925" xr:uid="{00000000-0005-0000-0000-00005A0B0000}"/>
    <cellStyle name="Normal 10 2 10 2 14 4 7" xfId="2926" xr:uid="{00000000-0005-0000-0000-00005B0B0000}"/>
    <cellStyle name="Normal 10 2 10 2 14 4 8" xfId="2927" xr:uid="{00000000-0005-0000-0000-00005C0B0000}"/>
    <cellStyle name="Normal 10 2 10 2 14 4 9" xfId="2928" xr:uid="{00000000-0005-0000-0000-00005D0B0000}"/>
    <cellStyle name="Normal 10 2 10 2 14 5" xfId="2929" xr:uid="{00000000-0005-0000-0000-00005E0B0000}"/>
    <cellStyle name="Normal 10 2 10 2 14 5 10" xfId="2930" xr:uid="{00000000-0005-0000-0000-00005F0B0000}"/>
    <cellStyle name="Normal 10 2 10 2 14 5 2" xfId="2931" xr:uid="{00000000-0005-0000-0000-0000600B0000}"/>
    <cellStyle name="Normal 10 2 10 2 14 5 3" xfId="2932" xr:uid="{00000000-0005-0000-0000-0000610B0000}"/>
    <cellStyle name="Normal 10 2 10 2 14 5 4" xfId="2933" xr:uid="{00000000-0005-0000-0000-0000620B0000}"/>
    <cellStyle name="Normal 10 2 10 2 14 5 5" xfId="2934" xr:uid="{00000000-0005-0000-0000-0000630B0000}"/>
    <cellStyle name="Normal 10 2 10 2 14 5 6" xfId="2935" xr:uid="{00000000-0005-0000-0000-0000640B0000}"/>
    <cellStyle name="Normal 10 2 10 2 14 5 7" xfId="2936" xr:uid="{00000000-0005-0000-0000-0000650B0000}"/>
    <cellStyle name="Normal 10 2 10 2 14 5 8" xfId="2937" xr:uid="{00000000-0005-0000-0000-0000660B0000}"/>
    <cellStyle name="Normal 10 2 10 2 14 5 9" xfId="2938" xr:uid="{00000000-0005-0000-0000-0000670B0000}"/>
    <cellStyle name="Normal 10 2 10 2 14 6" xfId="2939" xr:uid="{00000000-0005-0000-0000-0000680B0000}"/>
    <cellStyle name="Normal 10 2 10 2 14 7" xfId="2940" xr:uid="{00000000-0005-0000-0000-0000690B0000}"/>
    <cellStyle name="Normal 10 2 10 2 14 8" xfId="2941" xr:uid="{00000000-0005-0000-0000-00006A0B0000}"/>
    <cellStyle name="Normal 10 2 10 2 14 9" xfId="2942" xr:uid="{00000000-0005-0000-0000-00006B0B0000}"/>
    <cellStyle name="Normal 10 2 10 2 15" xfId="2943" xr:uid="{00000000-0005-0000-0000-00006C0B0000}"/>
    <cellStyle name="Normal 10 2 10 2 15 10" xfId="2944" xr:uid="{00000000-0005-0000-0000-00006D0B0000}"/>
    <cellStyle name="Normal 10 2 10 2 15 11" xfId="2945" xr:uid="{00000000-0005-0000-0000-00006E0B0000}"/>
    <cellStyle name="Normal 10 2 10 2 15 12" xfId="2946" xr:uid="{00000000-0005-0000-0000-00006F0B0000}"/>
    <cellStyle name="Normal 10 2 10 2 15 13" xfId="2947" xr:uid="{00000000-0005-0000-0000-0000700B0000}"/>
    <cellStyle name="Normal 10 2 10 2 15 14" xfId="2948" xr:uid="{00000000-0005-0000-0000-0000710B0000}"/>
    <cellStyle name="Normal 10 2 10 2 15 2" xfId="2949" xr:uid="{00000000-0005-0000-0000-0000720B0000}"/>
    <cellStyle name="Normal 10 2 10 2 15 2 10" xfId="2950" xr:uid="{00000000-0005-0000-0000-0000730B0000}"/>
    <cellStyle name="Normal 10 2 10 2 15 2 2" xfId="2951" xr:uid="{00000000-0005-0000-0000-0000740B0000}"/>
    <cellStyle name="Normal 10 2 10 2 15 2 3" xfId="2952" xr:uid="{00000000-0005-0000-0000-0000750B0000}"/>
    <cellStyle name="Normal 10 2 10 2 15 2 4" xfId="2953" xr:uid="{00000000-0005-0000-0000-0000760B0000}"/>
    <cellStyle name="Normal 10 2 10 2 15 2 5" xfId="2954" xr:uid="{00000000-0005-0000-0000-0000770B0000}"/>
    <cellStyle name="Normal 10 2 10 2 15 2 6" xfId="2955" xr:uid="{00000000-0005-0000-0000-0000780B0000}"/>
    <cellStyle name="Normal 10 2 10 2 15 2 7" xfId="2956" xr:uid="{00000000-0005-0000-0000-0000790B0000}"/>
    <cellStyle name="Normal 10 2 10 2 15 2 8" xfId="2957" xr:uid="{00000000-0005-0000-0000-00007A0B0000}"/>
    <cellStyle name="Normal 10 2 10 2 15 2 9" xfId="2958" xr:uid="{00000000-0005-0000-0000-00007B0B0000}"/>
    <cellStyle name="Normal 10 2 10 2 15 3" xfId="2959" xr:uid="{00000000-0005-0000-0000-00007C0B0000}"/>
    <cellStyle name="Normal 10 2 10 2 15 3 10" xfId="2960" xr:uid="{00000000-0005-0000-0000-00007D0B0000}"/>
    <cellStyle name="Normal 10 2 10 2 15 3 2" xfId="2961" xr:uid="{00000000-0005-0000-0000-00007E0B0000}"/>
    <cellStyle name="Normal 10 2 10 2 15 3 3" xfId="2962" xr:uid="{00000000-0005-0000-0000-00007F0B0000}"/>
    <cellStyle name="Normal 10 2 10 2 15 3 4" xfId="2963" xr:uid="{00000000-0005-0000-0000-0000800B0000}"/>
    <cellStyle name="Normal 10 2 10 2 15 3 5" xfId="2964" xr:uid="{00000000-0005-0000-0000-0000810B0000}"/>
    <cellStyle name="Normal 10 2 10 2 15 3 6" xfId="2965" xr:uid="{00000000-0005-0000-0000-0000820B0000}"/>
    <cellStyle name="Normal 10 2 10 2 15 3 7" xfId="2966" xr:uid="{00000000-0005-0000-0000-0000830B0000}"/>
    <cellStyle name="Normal 10 2 10 2 15 3 8" xfId="2967" xr:uid="{00000000-0005-0000-0000-0000840B0000}"/>
    <cellStyle name="Normal 10 2 10 2 15 3 9" xfId="2968" xr:uid="{00000000-0005-0000-0000-0000850B0000}"/>
    <cellStyle name="Normal 10 2 10 2 15 4" xfId="2969" xr:uid="{00000000-0005-0000-0000-0000860B0000}"/>
    <cellStyle name="Normal 10 2 10 2 15 4 10" xfId="2970" xr:uid="{00000000-0005-0000-0000-0000870B0000}"/>
    <cellStyle name="Normal 10 2 10 2 15 4 2" xfId="2971" xr:uid="{00000000-0005-0000-0000-0000880B0000}"/>
    <cellStyle name="Normal 10 2 10 2 15 4 3" xfId="2972" xr:uid="{00000000-0005-0000-0000-0000890B0000}"/>
    <cellStyle name="Normal 10 2 10 2 15 4 4" xfId="2973" xr:uid="{00000000-0005-0000-0000-00008A0B0000}"/>
    <cellStyle name="Normal 10 2 10 2 15 4 5" xfId="2974" xr:uid="{00000000-0005-0000-0000-00008B0B0000}"/>
    <cellStyle name="Normal 10 2 10 2 15 4 6" xfId="2975" xr:uid="{00000000-0005-0000-0000-00008C0B0000}"/>
    <cellStyle name="Normal 10 2 10 2 15 4 7" xfId="2976" xr:uid="{00000000-0005-0000-0000-00008D0B0000}"/>
    <cellStyle name="Normal 10 2 10 2 15 4 8" xfId="2977" xr:uid="{00000000-0005-0000-0000-00008E0B0000}"/>
    <cellStyle name="Normal 10 2 10 2 15 4 9" xfId="2978" xr:uid="{00000000-0005-0000-0000-00008F0B0000}"/>
    <cellStyle name="Normal 10 2 10 2 15 5" xfId="2979" xr:uid="{00000000-0005-0000-0000-0000900B0000}"/>
    <cellStyle name="Normal 10 2 10 2 15 5 10" xfId="2980" xr:uid="{00000000-0005-0000-0000-0000910B0000}"/>
    <cellStyle name="Normal 10 2 10 2 15 5 2" xfId="2981" xr:uid="{00000000-0005-0000-0000-0000920B0000}"/>
    <cellStyle name="Normal 10 2 10 2 15 5 3" xfId="2982" xr:uid="{00000000-0005-0000-0000-0000930B0000}"/>
    <cellStyle name="Normal 10 2 10 2 15 5 4" xfId="2983" xr:uid="{00000000-0005-0000-0000-0000940B0000}"/>
    <cellStyle name="Normal 10 2 10 2 15 5 5" xfId="2984" xr:uid="{00000000-0005-0000-0000-0000950B0000}"/>
    <cellStyle name="Normal 10 2 10 2 15 5 6" xfId="2985" xr:uid="{00000000-0005-0000-0000-0000960B0000}"/>
    <cellStyle name="Normal 10 2 10 2 15 5 7" xfId="2986" xr:uid="{00000000-0005-0000-0000-0000970B0000}"/>
    <cellStyle name="Normal 10 2 10 2 15 5 8" xfId="2987" xr:uid="{00000000-0005-0000-0000-0000980B0000}"/>
    <cellStyle name="Normal 10 2 10 2 15 5 9" xfId="2988" xr:uid="{00000000-0005-0000-0000-0000990B0000}"/>
    <cellStyle name="Normal 10 2 10 2 15 6" xfId="2989" xr:uid="{00000000-0005-0000-0000-00009A0B0000}"/>
    <cellStyle name="Normal 10 2 10 2 15 7" xfId="2990" xr:uid="{00000000-0005-0000-0000-00009B0B0000}"/>
    <cellStyle name="Normal 10 2 10 2 15 8" xfId="2991" xr:uid="{00000000-0005-0000-0000-00009C0B0000}"/>
    <cellStyle name="Normal 10 2 10 2 15 9" xfId="2992" xr:uid="{00000000-0005-0000-0000-00009D0B0000}"/>
    <cellStyle name="Normal 10 2 10 2 16" xfId="2993" xr:uid="{00000000-0005-0000-0000-00009E0B0000}"/>
    <cellStyle name="Normal 10 2 10 2 16 10" xfId="2994" xr:uid="{00000000-0005-0000-0000-00009F0B0000}"/>
    <cellStyle name="Normal 10 2 10 2 16 11" xfId="2995" xr:uid="{00000000-0005-0000-0000-0000A00B0000}"/>
    <cellStyle name="Normal 10 2 10 2 16 12" xfId="2996" xr:uid="{00000000-0005-0000-0000-0000A10B0000}"/>
    <cellStyle name="Normal 10 2 10 2 16 13" xfId="2997" xr:uid="{00000000-0005-0000-0000-0000A20B0000}"/>
    <cellStyle name="Normal 10 2 10 2 16 14" xfId="2998" xr:uid="{00000000-0005-0000-0000-0000A30B0000}"/>
    <cellStyle name="Normal 10 2 10 2 16 2" xfId="2999" xr:uid="{00000000-0005-0000-0000-0000A40B0000}"/>
    <cellStyle name="Normal 10 2 10 2 16 2 10" xfId="3000" xr:uid="{00000000-0005-0000-0000-0000A50B0000}"/>
    <cellStyle name="Normal 10 2 10 2 16 2 2" xfId="3001" xr:uid="{00000000-0005-0000-0000-0000A60B0000}"/>
    <cellStyle name="Normal 10 2 10 2 16 2 3" xfId="3002" xr:uid="{00000000-0005-0000-0000-0000A70B0000}"/>
    <cellStyle name="Normal 10 2 10 2 16 2 4" xfId="3003" xr:uid="{00000000-0005-0000-0000-0000A80B0000}"/>
    <cellStyle name="Normal 10 2 10 2 16 2 5" xfId="3004" xr:uid="{00000000-0005-0000-0000-0000A90B0000}"/>
    <cellStyle name="Normal 10 2 10 2 16 2 6" xfId="3005" xr:uid="{00000000-0005-0000-0000-0000AA0B0000}"/>
    <cellStyle name="Normal 10 2 10 2 16 2 7" xfId="3006" xr:uid="{00000000-0005-0000-0000-0000AB0B0000}"/>
    <cellStyle name="Normal 10 2 10 2 16 2 8" xfId="3007" xr:uid="{00000000-0005-0000-0000-0000AC0B0000}"/>
    <cellStyle name="Normal 10 2 10 2 16 2 9" xfId="3008" xr:uid="{00000000-0005-0000-0000-0000AD0B0000}"/>
    <cellStyle name="Normal 10 2 10 2 16 3" xfId="3009" xr:uid="{00000000-0005-0000-0000-0000AE0B0000}"/>
    <cellStyle name="Normal 10 2 10 2 16 3 10" xfId="3010" xr:uid="{00000000-0005-0000-0000-0000AF0B0000}"/>
    <cellStyle name="Normal 10 2 10 2 16 3 2" xfId="3011" xr:uid="{00000000-0005-0000-0000-0000B00B0000}"/>
    <cellStyle name="Normal 10 2 10 2 16 3 3" xfId="3012" xr:uid="{00000000-0005-0000-0000-0000B10B0000}"/>
    <cellStyle name="Normal 10 2 10 2 16 3 4" xfId="3013" xr:uid="{00000000-0005-0000-0000-0000B20B0000}"/>
    <cellStyle name="Normal 10 2 10 2 16 3 5" xfId="3014" xr:uid="{00000000-0005-0000-0000-0000B30B0000}"/>
    <cellStyle name="Normal 10 2 10 2 16 3 6" xfId="3015" xr:uid="{00000000-0005-0000-0000-0000B40B0000}"/>
    <cellStyle name="Normal 10 2 10 2 16 3 7" xfId="3016" xr:uid="{00000000-0005-0000-0000-0000B50B0000}"/>
    <cellStyle name="Normal 10 2 10 2 16 3 8" xfId="3017" xr:uid="{00000000-0005-0000-0000-0000B60B0000}"/>
    <cellStyle name="Normal 10 2 10 2 16 3 9" xfId="3018" xr:uid="{00000000-0005-0000-0000-0000B70B0000}"/>
    <cellStyle name="Normal 10 2 10 2 16 4" xfId="3019" xr:uid="{00000000-0005-0000-0000-0000B80B0000}"/>
    <cellStyle name="Normal 10 2 10 2 16 4 10" xfId="3020" xr:uid="{00000000-0005-0000-0000-0000B90B0000}"/>
    <cellStyle name="Normal 10 2 10 2 16 4 2" xfId="3021" xr:uid="{00000000-0005-0000-0000-0000BA0B0000}"/>
    <cellStyle name="Normal 10 2 10 2 16 4 3" xfId="3022" xr:uid="{00000000-0005-0000-0000-0000BB0B0000}"/>
    <cellStyle name="Normal 10 2 10 2 16 4 4" xfId="3023" xr:uid="{00000000-0005-0000-0000-0000BC0B0000}"/>
    <cellStyle name="Normal 10 2 10 2 16 4 5" xfId="3024" xr:uid="{00000000-0005-0000-0000-0000BD0B0000}"/>
    <cellStyle name="Normal 10 2 10 2 16 4 6" xfId="3025" xr:uid="{00000000-0005-0000-0000-0000BE0B0000}"/>
    <cellStyle name="Normal 10 2 10 2 16 4 7" xfId="3026" xr:uid="{00000000-0005-0000-0000-0000BF0B0000}"/>
    <cellStyle name="Normal 10 2 10 2 16 4 8" xfId="3027" xr:uid="{00000000-0005-0000-0000-0000C00B0000}"/>
    <cellStyle name="Normal 10 2 10 2 16 4 9" xfId="3028" xr:uid="{00000000-0005-0000-0000-0000C10B0000}"/>
    <cellStyle name="Normal 10 2 10 2 16 5" xfId="3029" xr:uid="{00000000-0005-0000-0000-0000C20B0000}"/>
    <cellStyle name="Normal 10 2 10 2 16 5 10" xfId="3030" xr:uid="{00000000-0005-0000-0000-0000C30B0000}"/>
    <cellStyle name="Normal 10 2 10 2 16 5 2" xfId="3031" xr:uid="{00000000-0005-0000-0000-0000C40B0000}"/>
    <cellStyle name="Normal 10 2 10 2 16 5 3" xfId="3032" xr:uid="{00000000-0005-0000-0000-0000C50B0000}"/>
    <cellStyle name="Normal 10 2 10 2 16 5 4" xfId="3033" xr:uid="{00000000-0005-0000-0000-0000C60B0000}"/>
    <cellStyle name="Normal 10 2 10 2 16 5 5" xfId="3034" xr:uid="{00000000-0005-0000-0000-0000C70B0000}"/>
    <cellStyle name="Normal 10 2 10 2 16 5 6" xfId="3035" xr:uid="{00000000-0005-0000-0000-0000C80B0000}"/>
    <cellStyle name="Normal 10 2 10 2 16 5 7" xfId="3036" xr:uid="{00000000-0005-0000-0000-0000C90B0000}"/>
    <cellStyle name="Normal 10 2 10 2 16 5 8" xfId="3037" xr:uid="{00000000-0005-0000-0000-0000CA0B0000}"/>
    <cellStyle name="Normal 10 2 10 2 16 5 9" xfId="3038" xr:uid="{00000000-0005-0000-0000-0000CB0B0000}"/>
    <cellStyle name="Normal 10 2 10 2 16 6" xfId="3039" xr:uid="{00000000-0005-0000-0000-0000CC0B0000}"/>
    <cellStyle name="Normal 10 2 10 2 16 7" xfId="3040" xr:uid="{00000000-0005-0000-0000-0000CD0B0000}"/>
    <cellStyle name="Normal 10 2 10 2 16 8" xfId="3041" xr:uid="{00000000-0005-0000-0000-0000CE0B0000}"/>
    <cellStyle name="Normal 10 2 10 2 16 9" xfId="3042" xr:uid="{00000000-0005-0000-0000-0000CF0B0000}"/>
    <cellStyle name="Normal 10 2 10 2 17" xfId="3043" xr:uid="{00000000-0005-0000-0000-0000D00B0000}"/>
    <cellStyle name="Normal 10 2 10 2 17 10" xfId="3044" xr:uid="{00000000-0005-0000-0000-0000D10B0000}"/>
    <cellStyle name="Normal 10 2 10 2 17 11" xfId="3045" xr:uid="{00000000-0005-0000-0000-0000D20B0000}"/>
    <cellStyle name="Normal 10 2 10 2 17 12" xfId="3046" xr:uid="{00000000-0005-0000-0000-0000D30B0000}"/>
    <cellStyle name="Normal 10 2 10 2 17 13" xfId="3047" xr:uid="{00000000-0005-0000-0000-0000D40B0000}"/>
    <cellStyle name="Normal 10 2 10 2 17 14" xfId="3048" xr:uid="{00000000-0005-0000-0000-0000D50B0000}"/>
    <cellStyle name="Normal 10 2 10 2 17 2" xfId="3049" xr:uid="{00000000-0005-0000-0000-0000D60B0000}"/>
    <cellStyle name="Normal 10 2 10 2 17 2 10" xfId="3050" xr:uid="{00000000-0005-0000-0000-0000D70B0000}"/>
    <cellStyle name="Normal 10 2 10 2 17 2 2" xfId="3051" xr:uid="{00000000-0005-0000-0000-0000D80B0000}"/>
    <cellStyle name="Normal 10 2 10 2 17 2 3" xfId="3052" xr:uid="{00000000-0005-0000-0000-0000D90B0000}"/>
    <cellStyle name="Normal 10 2 10 2 17 2 4" xfId="3053" xr:uid="{00000000-0005-0000-0000-0000DA0B0000}"/>
    <cellStyle name="Normal 10 2 10 2 17 2 5" xfId="3054" xr:uid="{00000000-0005-0000-0000-0000DB0B0000}"/>
    <cellStyle name="Normal 10 2 10 2 17 2 6" xfId="3055" xr:uid="{00000000-0005-0000-0000-0000DC0B0000}"/>
    <cellStyle name="Normal 10 2 10 2 17 2 7" xfId="3056" xr:uid="{00000000-0005-0000-0000-0000DD0B0000}"/>
    <cellStyle name="Normal 10 2 10 2 17 2 8" xfId="3057" xr:uid="{00000000-0005-0000-0000-0000DE0B0000}"/>
    <cellStyle name="Normal 10 2 10 2 17 2 9" xfId="3058" xr:uid="{00000000-0005-0000-0000-0000DF0B0000}"/>
    <cellStyle name="Normal 10 2 10 2 17 3" xfId="3059" xr:uid="{00000000-0005-0000-0000-0000E00B0000}"/>
    <cellStyle name="Normal 10 2 10 2 17 3 10" xfId="3060" xr:uid="{00000000-0005-0000-0000-0000E10B0000}"/>
    <cellStyle name="Normal 10 2 10 2 17 3 2" xfId="3061" xr:uid="{00000000-0005-0000-0000-0000E20B0000}"/>
    <cellStyle name="Normal 10 2 10 2 17 3 3" xfId="3062" xr:uid="{00000000-0005-0000-0000-0000E30B0000}"/>
    <cellStyle name="Normal 10 2 10 2 17 3 4" xfId="3063" xr:uid="{00000000-0005-0000-0000-0000E40B0000}"/>
    <cellStyle name="Normal 10 2 10 2 17 3 5" xfId="3064" xr:uid="{00000000-0005-0000-0000-0000E50B0000}"/>
    <cellStyle name="Normal 10 2 10 2 17 3 6" xfId="3065" xr:uid="{00000000-0005-0000-0000-0000E60B0000}"/>
    <cellStyle name="Normal 10 2 10 2 17 3 7" xfId="3066" xr:uid="{00000000-0005-0000-0000-0000E70B0000}"/>
    <cellStyle name="Normal 10 2 10 2 17 3 8" xfId="3067" xr:uid="{00000000-0005-0000-0000-0000E80B0000}"/>
    <cellStyle name="Normal 10 2 10 2 17 3 9" xfId="3068" xr:uid="{00000000-0005-0000-0000-0000E90B0000}"/>
    <cellStyle name="Normal 10 2 10 2 17 4" xfId="3069" xr:uid="{00000000-0005-0000-0000-0000EA0B0000}"/>
    <cellStyle name="Normal 10 2 10 2 17 4 10" xfId="3070" xr:uid="{00000000-0005-0000-0000-0000EB0B0000}"/>
    <cellStyle name="Normal 10 2 10 2 17 4 2" xfId="3071" xr:uid="{00000000-0005-0000-0000-0000EC0B0000}"/>
    <cellStyle name="Normal 10 2 10 2 17 4 3" xfId="3072" xr:uid="{00000000-0005-0000-0000-0000ED0B0000}"/>
    <cellStyle name="Normal 10 2 10 2 17 4 4" xfId="3073" xr:uid="{00000000-0005-0000-0000-0000EE0B0000}"/>
    <cellStyle name="Normal 10 2 10 2 17 4 5" xfId="3074" xr:uid="{00000000-0005-0000-0000-0000EF0B0000}"/>
    <cellStyle name="Normal 10 2 10 2 17 4 6" xfId="3075" xr:uid="{00000000-0005-0000-0000-0000F00B0000}"/>
    <cellStyle name="Normal 10 2 10 2 17 4 7" xfId="3076" xr:uid="{00000000-0005-0000-0000-0000F10B0000}"/>
    <cellStyle name="Normal 10 2 10 2 17 4 8" xfId="3077" xr:uid="{00000000-0005-0000-0000-0000F20B0000}"/>
    <cellStyle name="Normal 10 2 10 2 17 4 9" xfId="3078" xr:uid="{00000000-0005-0000-0000-0000F30B0000}"/>
    <cellStyle name="Normal 10 2 10 2 17 5" xfId="3079" xr:uid="{00000000-0005-0000-0000-0000F40B0000}"/>
    <cellStyle name="Normal 10 2 10 2 17 5 10" xfId="3080" xr:uid="{00000000-0005-0000-0000-0000F50B0000}"/>
    <cellStyle name="Normal 10 2 10 2 17 5 2" xfId="3081" xr:uid="{00000000-0005-0000-0000-0000F60B0000}"/>
    <cellStyle name="Normal 10 2 10 2 17 5 3" xfId="3082" xr:uid="{00000000-0005-0000-0000-0000F70B0000}"/>
    <cellStyle name="Normal 10 2 10 2 17 5 4" xfId="3083" xr:uid="{00000000-0005-0000-0000-0000F80B0000}"/>
    <cellStyle name="Normal 10 2 10 2 17 5 5" xfId="3084" xr:uid="{00000000-0005-0000-0000-0000F90B0000}"/>
    <cellStyle name="Normal 10 2 10 2 17 5 6" xfId="3085" xr:uid="{00000000-0005-0000-0000-0000FA0B0000}"/>
    <cellStyle name="Normal 10 2 10 2 17 5 7" xfId="3086" xr:uid="{00000000-0005-0000-0000-0000FB0B0000}"/>
    <cellStyle name="Normal 10 2 10 2 17 5 8" xfId="3087" xr:uid="{00000000-0005-0000-0000-0000FC0B0000}"/>
    <cellStyle name="Normal 10 2 10 2 17 5 9" xfId="3088" xr:uid="{00000000-0005-0000-0000-0000FD0B0000}"/>
    <cellStyle name="Normal 10 2 10 2 17 6" xfId="3089" xr:uid="{00000000-0005-0000-0000-0000FE0B0000}"/>
    <cellStyle name="Normal 10 2 10 2 17 7" xfId="3090" xr:uid="{00000000-0005-0000-0000-0000FF0B0000}"/>
    <cellStyle name="Normal 10 2 10 2 17 8" xfId="3091" xr:uid="{00000000-0005-0000-0000-0000000C0000}"/>
    <cellStyle name="Normal 10 2 10 2 17 9" xfId="3092" xr:uid="{00000000-0005-0000-0000-0000010C0000}"/>
    <cellStyle name="Normal 10 2 10 2 18" xfId="3093" xr:uid="{00000000-0005-0000-0000-0000020C0000}"/>
    <cellStyle name="Normal 10 2 10 2 18 10" xfId="3094" xr:uid="{00000000-0005-0000-0000-0000030C0000}"/>
    <cellStyle name="Normal 10 2 10 2 18 11" xfId="3095" xr:uid="{00000000-0005-0000-0000-0000040C0000}"/>
    <cellStyle name="Normal 10 2 10 2 18 12" xfId="3096" xr:uid="{00000000-0005-0000-0000-0000050C0000}"/>
    <cellStyle name="Normal 10 2 10 2 18 13" xfId="3097" xr:uid="{00000000-0005-0000-0000-0000060C0000}"/>
    <cellStyle name="Normal 10 2 10 2 18 14" xfId="3098" xr:uid="{00000000-0005-0000-0000-0000070C0000}"/>
    <cellStyle name="Normal 10 2 10 2 18 2" xfId="3099" xr:uid="{00000000-0005-0000-0000-0000080C0000}"/>
    <cellStyle name="Normal 10 2 10 2 18 2 10" xfId="3100" xr:uid="{00000000-0005-0000-0000-0000090C0000}"/>
    <cellStyle name="Normal 10 2 10 2 18 2 2" xfId="3101" xr:uid="{00000000-0005-0000-0000-00000A0C0000}"/>
    <cellStyle name="Normal 10 2 10 2 18 2 3" xfId="3102" xr:uid="{00000000-0005-0000-0000-00000B0C0000}"/>
    <cellStyle name="Normal 10 2 10 2 18 2 4" xfId="3103" xr:uid="{00000000-0005-0000-0000-00000C0C0000}"/>
    <cellStyle name="Normal 10 2 10 2 18 2 5" xfId="3104" xr:uid="{00000000-0005-0000-0000-00000D0C0000}"/>
    <cellStyle name="Normal 10 2 10 2 18 2 6" xfId="3105" xr:uid="{00000000-0005-0000-0000-00000E0C0000}"/>
    <cellStyle name="Normal 10 2 10 2 18 2 7" xfId="3106" xr:uid="{00000000-0005-0000-0000-00000F0C0000}"/>
    <cellStyle name="Normal 10 2 10 2 18 2 8" xfId="3107" xr:uid="{00000000-0005-0000-0000-0000100C0000}"/>
    <cellStyle name="Normal 10 2 10 2 18 2 9" xfId="3108" xr:uid="{00000000-0005-0000-0000-0000110C0000}"/>
    <cellStyle name="Normal 10 2 10 2 18 3" xfId="3109" xr:uid="{00000000-0005-0000-0000-0000120C0000}"/>
    <cellStyle name="Normal 10 2 10 2 18 3 10" xfId="3110" xr:uid="{00000000-0005-0000-0000-0000130C0000}"/>
    <cellStyle name="Normal 10 2 10 2 18 3 2" xfId="3111" xr:uid="{00000000-0005-0000-0000-0000140C0000}"/>
    <cellStyle name="Normal 10 2 10 2 18 3 3" xfId="3112" xr:uid="{00000000-0005-0000-0000-0000150C0000}"/>
    <cellStyle name="Normal 10 2 10 2 18 3 4" xfId="3113" xr:uid="{00000000-0005-0000-0000-0000160C0000}"/>
    <cellStyle name="Normal 10 2 10 2 18 3 5" xfId="3114" xr:uid="{00000000-0005-0000-0000-0000170C0000}"/>
    <cellStyle name="Normal 10 2 10 2 18 3 6" xfId="3115" xr:uid="{00000000-0005-0000-0000-0000180C0000}"/>
    <cellStyle name="Normal 10 2 10 2 18 3 7" xfId="3116" xr:uid="{00000000-0005-0000-0000-0000190C0000}"/>
    <cellStyle name="Normal 10 2 10 2 18 3 8" xfId="3117" xr:uid="{00000000-0005-0000-0000-00001A0C0000}"/>
    <cellStyle name="Normal 10 2 10 2 18 3 9" xfId="3118" xr:uid="{00000000-0005-0000-0000-00001B0C0000}"/>
    <cellStyle name="Normal 10 2 10 2 18 4" xfId="3119" xr:uid="{00000000-0005-0000-0000-00001C0C0000}"/>
    <cellStyle name="Normal 10 2 10 2 18 4 10" xfId="3120" xr:uid="{00000000-0005-0000-0000-00001D0C0000}"/>
    <cellStyle name="Normal 10 2 10 2 18 4 2" xfId="3121" xr:uid="{00000000-0005-0000-0000-00001E0C0000}"/>
    <cellStyle name="Normal 10 2 10 2 18 4 3" xfId="3122" xr:uid="{00000000-0005-0000-0000-00001F0C0000}"/>
    <cellStyle name="Normal 10 2 10 2 18 4 4" xfId="3123" xr:uid="{00000000-0005-0000-0000-0000200C0000}"/>
    <cellStyle name="Normal 10 2 10 2 18 4 5" xfId="3124" xr:uid="{00000000-0005-0000-0000-0000210C0000}"/>
    <cellStyle name="Normal 10 2 10 2 18 4 6" xfId="3125" xr:uid="{00000000-0005-0000-0000-0000220C0000}"/>
    <cellStyle name="Normal 10 2 10 2 18 4 7" xfId="3126" xr:uid="{00000000-0005-0000-0000-0000230C0000}"/>
    <cellStyle name="Normal 10 2 10 2 18 4 8" xfId="3127" xr:uid="{00000000-0005-0000-0000-0000240C0000}"/>
    <cellStyle name="Normal 10 2 10 2 18 4 9" xfId="3128" xr:uid="{00000000-0005-0000-0000-0000250C0000}"/>
    <cellStyle name="Normal 10 2 10 2 18 5" xfId="3129" xr:uid="{00000000-0005-0000-0000-0000260C0000}"/>
    <cellStyle name="Normal 10 2 10 2 18 5 10" xfId="3130" xr:uid="{00000000-0005-0000-0000-0000270C0000}"/>
    <cellStyle name="Normal 10 2 10 2 18 5 2" xfId="3131" xr:uid="{00000000-0005-0000-0000-0000280C0000}"/>
    <cellStyle name="Normal 10 2 10 2 18 5 3" xfId="3132" xr:uid="{00000000-0005-0000-0000-0000290C0000}"/>
    <cellStyle name="Normal 10 2 10 2 18 5 4" xfId="3133" xr:uid="{00000000-0005-0000-0000-00002A0C0000}"/>
    <cellStyle name="Normal 10 2 10 2 18 5 5" xfId="3134" xr:uid="{00000000-0005-0000-0000-00002B0C0000}"/>
    <cellStyle name="Normal 10 2 10 2 18 5 6" xfId="3135" xr:uid="{00000000-0005-0000-0000-00002C0C0000}"/>
    <cellStyle name="Normal 10 2 10 2 18 5 7" xfId="3136" xr:uid="{00000000-0005-0000-0000-00002D0C0000}"/>
    <cellStyle name="Normal 10 2 10 2 18 5 8" xfId="3137" xr:uid="{00000000-0005-0000-0000-00002E0C0000}"/>
    <cellStyle name="Normal 10 2 10 2 18 5 9" xfId="3138" xr:uid="{00000000-0005-0000-0000-00002F0C0000}"/>
    <cellStyle name="Normal 10 2 10 2 18 6" xfId="3139" xr:uid="{00000000-0005-0000-0000-0000300C0000}"/>
    <cellStyle name="Normal 10 2 10 2 18 7" xfId="3140" xr:uid="{00000000-0005-0000-0000-0000310C0000}"/>
    <cellStyle name="Normal 10 2 10 2 18 8" xfId="3141" xr:uid="{00000000-0005-0000-0000-0000320C0000}"/>
    <cellStyle name="Normal 10 2 10 2 18 9" xfId="3142" xr:uid="{00000000-0005-0000-0000-0000330C0000}"/>
    <cellStyle name="Normal 10 2 10 2 19" xfId="3143" xr:uid="{00000000-0005-0000-0000-0000340C0000}"/>
    <cellStyle name="Normal 10 2 10 2 19 10" xfId="3144" xr:uid="{00000000-0005-0000-0000-0000350C0000}"/>
    <cellStyle name="Normal 10 2 10 2 19 11" xfId="3145" xr:uid="{00000000-0005-0000-0000-0000360C0000}"/>
    <cellStyle name="Normal 10 2 10 2 19 12" xfId="3146" xr:uid="{00000000-0005-0000-0000-0000370C0000}"/>
    <cellStyle name="Normal 10 2 10 2 19 13" xfId="3147" xr:uid="{00000000-0005-0000-0000-0000380C0000}"/>
    <cellStyle name="Normal 10 2 10 2 19 14" xfId="3148" xr:uid="{00000000-0005-0000-0000-0000390C0000}"/>
    <cellStyle name="Normal 10 2 10 2 19 2" xfId="3149" xr:uid="{00000000-0005-0000-0000-00003A0C0000}"/>
    <cellStyle name="Normal 10 2 10 2 19 2 10" xfId="3150" xr:uid="{00000000-0005-0000-0000-00003B0C0000}"/>
    <cellStyle name="Normal 10 2 10 2 19 2 2" xfId="3151" xr:uid="{00000000-0005-0000-0000-00003C0C0000}"/>
    <cellStyle name="Normal 10 2 10 2 19 2 3" xfId="3152" xr:uid="{00000000-0005-0000-0000-00003D0C0000}"/>
    <cellStyle name="Normal 10 2 10 2 19 2 4" xfId="3153" xr:uid="{00000000-0005-0000-0000-00003E0C0000}"/>
    <cellStyle name="Normal 10 2 10 2 19 2 5" xfId="3154" xr:uid="{00000000-0005-0000-0000-00003F0C0000}"/>
    <cellStyle name="Normal 10 2 10 2 19 2 6" xfId="3155" xr:uid="{00000000-0005-0000-0000-0000400C0000}"/>
    <cellStyle name="Normal 10 2 10 2 19 2 7" xfId="3156" xr:uid="{00000000-0005-0000-0000-0000410C0000}"/>
    <cellStyle name="Normal 10 2 10 2 19 2 8" xfId="3157" xr:uid="{00000000-0005-0000-0000-0000420C0000}"/>
    <cellStyle name="Normal 10 2 10 2 19 2 9" xfId="3158" xr:uid="{00000000-0005-0000-0000-0000430C0000}"/>
    <cellStyle name="Normal 10 2 10 2 19 3" xfId="3159" xr:uid="{00000000-0005-0000-0000-0000440C0000}"/>
    <cellStyle name="Normal 10 2 10 2 19 3 10" xfId="3160" xr:uid="{00000000-0005-0000-0000-0000450C0000}"/>
    <cellStyle name="Normal 10 2 10 2 19 3 2" xfId="3161" xr:uid="{00000000-0005-0000-0000-0000460C0000}"/>
    <cellStyle name="Normal 10 2 10 2 19 3 3" xfId="3162" xr:uid="{00000000-0005-0000-0000-0000470C0000}"/>
    <cellStyle name="Normal 10 2 10 2 19 3 4" xfId="3163" xr:uid="{00000000-0005-0000-0000-0000480C0000}"/>
    <cellStyle name="Normal 10 2 10 2 19 3 5" xfId="3164" xr:uid="{00000000-0005-0000-0000-0000490C0000}"/>
    <cellStyle name="Normal 10 2 10 2 19 3 6" xfId="3165" xr:uid="{00000000-0005-0000-0000-00004A0C0000}"/>
    <cellStyle name="Normal 10 2 10 2 19 3 7" xfId="3166" xr:uid="{00000000-0005-0000-0000-00004B0C0000}"/>
    <cellStyle name="Normal 10 2 10 2 19 3 8" xfId="3167" xr:uid="{00000000-0005-0000-0000-00004C0C0000}"/>
    <cellStyle name="Normal 10 2 10 2 19 3 9" xfId="3168" xr:uid="{00000000-0005-0000-0000-00004D0C0000}"/>
    <cellStyle name="Normal 10 2 10 2 19 4" xfId="3169" xr:uid="{00000000-0005-0000-0000-00004E0C0000}"/>
    <cellStyle name="Normal 10 2 10 2 19 4 10" xfId="3170" xr:uid="{00000000-0005-0000-0000-00004F0C0000}"/>
    <cellStyle name="Normal 10 2 10 2 19 4 2" xfId="3171" xr:uid="{00000000-0005-0000-0000-0000500C0000}"/>
    <cellStyle name="Normal 10 2 10 2 19 4 3" xfId="3172" xr:uid="{00000000-0005-0000-0000-0000510C0000}"/>
    <cellStyle name="Normal 10 2 10 2 19 4 4" xfId="3173" xr:uid="{00000000-0005-0000-0000-0000520C0000}"/>
    <cellStyle name="Normal 10 2 10 2 19 4 5" xfId="3174" xr:uid="{00000000-0005-0000-0000-0000530C0000}"/>
    <cellStyle name="Normal 10 2 10 2 19 4 6" xfId="3175" xr:uid="{00000000-0005-0000-0000-0000540C0000}"/>
    <cellStyle name="Normal 10 2 10 2 19 4 7" xfId="3176" xr:uid="{00000000-0005-0000-0000-0000550C0000}"/>
    <cellStyle name="Normal 10 2 10 2 19 4 8" xfId="3177" xr:uid="{00000000-0005-0000-0000-0000560C0000}"/>
    <cellStyle name="Normal 10 2 10 2 19 4 9" xfId="3178" xr:uid="{00000000-0005-0000-0000-0000570C0000}"/>
    <cellStyle name="Normal 10 2 10 2 19 5" xfId="3179" xr:uid="{00000000-0005-0000-0000-0000580C0000}"/>
    <cellStyle name="Normal 10 2 10 2 19 5 10" xfId="3180" xr:uid="{00000000-0005-0000-0000-0000590C0000}"/>
    <cellStyle name="Normal 10 2 10 2 19 5 2" xfId="3181" xr:uid="{00000000-0005-0000-0000-00005A0C0000}"/>
    <cellStyle name="Normal 10 2 10 2 19 5 3" xfId="3182" xr:uid="{00000000-0005-0000-0000-00005B0C0000}"/>
    <cellStyle name="Normal 10 2 10 2 19 5 4" xfId="3183" xr:uid="{00000000-0005-0000-0000-00005C0C0000}"/>
    <cellStyle name="Normal 10 2 10 2 19 5 5" xfId="3184" xr:uid="{00000000-0005-0000-0000-00005D0C0000}"/>
    <cellStyle name="Normal 10 2 10 2 19 5 6" xfId="3185" xr:uid="{00000000-0005-0000-0000-00005E0C0000}"/>
    <cellStyle name="Normal 10 2 10 2 19 5 7" xfId="3186" xr:uid="{00000000-0005-0000-0000-00005F0C0000}"/>
    <cellStyle name="Normal 10 2 10 2 19 5 8" xfId="3187" xr:uid="{00000000-0005-0000-0000-0000600C0000}"/>
    <cellStyle name="Normal 10 2 10 2 19 5 9" xfId="3188" xr:uid="{00000000-0005-0000-0000-0000610C0000}"/>
    <cellStyle name="Normal 10 2 10 2 19 6" xfId="3189" xr:uid="{00000000-0005-0000-0000-0000620C0000}"/>
    <cellStyle name="Normal 10 2 10 2 19 7" xfId="3190" xr:uid="{00000000-0005-0000-0000-0000630C0000}"/>
    <cellStyle name="Normal 10 2 10 2 19 8" xfId="3191" xr:uid="{00000000-0005-0000-0000-0000640C0000}"/>
    <cellStyle name="Normal 10 2 10 2 19 9" xfId="3192" xr:uid="{00000000-0005-0000-0000-0000650C0000}"/>
    <cellStyle name="Normal 10 2 10 2 2" xfId="3193" xr:uid="{00000000-0005-0000-0000-0000660C0000}"/>
    <cellStyle name="Normal 10 2 10 2 2 10" xfId="3194" xr:uid="{00000000-0005-0000-0000-0000670C0000}"/>
    <cellStyle name="Normal 10 2 10 2 2 11" xfId="3195" xr:uid="{00000000-0005-0000-0000-0000680C0000}"/>
    <cellStyle name="Normal 10 2 10 2 2 12" xfId="3196" xr:uid="{00000000-0005-0000-0000-0000690C0000}"/>
    <cellStyle name="Normal 10 2 10 2 2 13" xfId="3197" xr:uid="{00000000-0005-0000-0000-00006A0C0000}"/>
    <cellStyle name="Normal 10 2 10 2 2 14" xfId="3198" xr:uid="{00000000-0005-0000-0000-00006B0C0000}"/>
    <cellStyle name="Normal 10 2 10 2 2 2" xfId="3199" xr:uid="{00000000-0005-0000-0000-00006C0C0000}"/>
    <cellStyle name="Normal 10 2 10 2 2 2 10" xfId="3200" xr:uid="{00000000-0005-0000-0000-00006D0C0000}"/>
    <cellStyle name="Normal 10 2 10 2 2 2 2" xfId="3201" xr:uid="{00000000-0005-0000-0000-00006E0C0000}"/>
    <cellStyle name="Normal 10 2 10 2 2 2 3" xfId="3202" xr:uid="{00000000-0005-0000-0000-00006F0C0000}"/>
    <cellStyle name="Normal 10 2 10 2 2 2 4" xfId="3203" xr:uid="{00000000-0005-0000-0000-0000700C0000}"/>
    <cellStyle name="Normal 10 2 10 2 2 2 5" xfId="3204" xr:uid="{00000000-0005-0000-0000-0000710C0000}"/>
    <cellStyle name="Normal 10 2 10 2 2 2 6" xfId="3205" xr:uid="{00000000-0005-0000-0000-0000720C0000}"/>
    <cellStyle name="Normal 10 2 10 2 2 2 7" xfId="3206" xr:uid="{00000000-0005-0000-0000-0000730C0000}"/>
    <cellStyle name="Normal 10 2 10 2 2 2 8" xfId="3207" xr:uid="{00000000-0005-0000-0000-0000740C0000}"/>
    <cellStyle name="Normal 10 2 10 2 2 2 9" xfId="3208" xr:uid="{00000000-0005-0000-0000-0000750C0000}"/>
    <cellStyle name="Normal 10 2 10 2 2 3" xfId="3209" xr:uid="{00000000-0005-0000-0000-0000760C0000}"/>
    <cellStyle name="Normal 10 2 10 2 2 3 10" xfId="3210" xr:uid="{00000000-0005-0000-0000-0000770C0000}"/>
    <cellStyle name="Normal 10 2 10 2 2 3 2" xfId="3211" xr:uid="{00000000-0005-0000-0000-0000780C0000}"/>
    <cellStyle name="Normal 10 2 10 2 2 3 3" xfId="3212" xr:uid="{00000000-0005-0000-0000-0000790C0000}"/>
    <cellStyle name="Normal 10 2 10 2 2 3 4" xfId="3213" xr:uid="{00000000-0005-0000-0000-00007A0C0000}"/>
    <cellStyle name="Normal 10 2 10 2 2 3 5" xfId="3214" xr:uid="{00000000-0005-0000-0000-00007B0C0000}"/>
    <cellStyle name="Normal 10 2 10 2 2 3 6" xfId="3215" xr:uid="{00000000-0005-0000-0000-00007C0C0000}"/>
    <cellStyle name="Normal 10 2 10 2 2 3 7" xfId="3216" xr:uid="{00000000-0005-0000-0000-00007D0C0000}"/>
    <cellStyle name="Normal 10 2 10 2 2 3 8" xfId="3217" xr:uid="{00000000-0005-0000-0000-00007E0C0000}"/>
    <cellStyle name="Normal 10 2 10 2 2 3 9" xfId="3218" xr:uid="{00000000-0005-0000-0000-00007F0C0000}"/>
    <cellStyle name="Normal 10 2 10 2 2 4" xfId="3219" xr:uid="{00000000-0005-0000-0000-0000800C0000}"/>
    <cellStyle name="Normal 10 2 10 2 2 4 10" xfId="3220" xr:uid="{00000000-0005-0000-0000-0000810C0000}"/>
    <cellStyle name="Normal 10 2 10 2 2 4 2" xfId="3221" xr:uid="{00000000-0005-0000-0000-0000820C0000}"/>
    <cellStyle name="Normal 10 2 10 2 2 4 3" xfId="3222" xr:uid="{00000000-0005-0000-0000-0000830C0000}"/>
    <cellStyle name="Normal 10 2 10 2 2 4 4" xfId="3223" xr:uid="{00000000-0005-0000-0000-0000840C0000}"/>
    <cellStyle name="Normal 10 2 10 2 2 4 5" xfId="3224" xr:uid="{00000000-0005-0000-0000-0000850C0000}"/>
    <cellStyle name="Normal 10 2 10 2 2 4 6" xfId="3225" xr:uid="{00000000-0005-0000-0000-0000860C0000}"/>
    <cellStyle name="Normal 10 2 10 2 2 4 7" xfId="3226" xr:uid="{00000000-0005-0000-0000-0000870C0000}"/>
    <cellStyle name="Normal 10 2 10 2 2 4 8" xfId="3227" xr:uid="{00000000-0005-0000-0000-0000880C0000}"/>
    <cellStyle name="Normal 10 2 10 2 2 4 9" xfId="3228" xr:uid="{00000000-0005-0000-0000-0000890C0000}"/>
    <cellStyle name="Normal 10 2 10 2 2 5" xfId="3229" xr:uid="{00000000-0005-0000-0000-00008A0C0000}"/>
    <cellStyle name="Normal 10 2 10 2 2 5 10" xfId="3230" xr:uid="{00000000-0005-0000-0000-00008B0C0000}"/>
    <cellStyle name="Normal 10 2 10 2 2 5 2" xfId="3231" xr:uid="{00000000-0005-0000-0000-00008C0C0000}"/>
    <cellStyle name="Normal 10 2 10 2 2 5 3" xfId="3232" xr:uid="{00000000-0005-0000-0000-00008D0C0000}"/>
    <cellStyle name="Normal 10 2 10 2 2 5 4" xfId="3233" xr:uid="{00000000-0005-0000-0000-00008E0C0000}"/>
    <cellStyle name="Normal 10 2 10 2 2 5 5" xfId="3234" xr:uid="{00000000-0005-0000-0000-00008F0C0000}"/>
    <cellStyle name="Normal 10 2 10 2 2 5 6" xfId="3235" xr:uid="{00000000-0005-0000-0000-0000900C0000}"/>
    <cellStyle name="Normal 10 2 10 2 2 5 7" xfId="3236" xr:uid="{00000000-0005-0000-0000-0000910C0000}"/>
    <cellStyle name="Normal 10 2 10 2 2 5 8" xfId="3237" xr:uid="{00000000-0005-0000-0000-0000920C0000}"/>
    <cellStyle name="Normal 10 2 10 2 2 5 9" xfId="3238" xr:uid="{00000000-0005-0000-0000-0000930C0000}"/>
    <cellStyle name="Normal 10 2 10 2 2 6" xfId="3239" xr:uid="{00000000-0005-0000-0000-0000940C0000}"/>
    <cellStyle name="Normal 10 2 10 2 2 7" xfId="3240" xr:uid="{00000000-0005-0000-0000-0000950C0000}"/>
    <cellStyle name="Normal 10 2 10 2 2 8" xfId="3241" xr:uid="{00000000-0005-0000-0000-0000960C0000}"/>
    <cellStyle name="Normal 10 2 10 2 2 9" xfId="3242" xr:uid="{00000000-0005-0000-0000-0000970C0000}"/>
    <cellStyle name="Normal 10 2 10 2 20" xfId="3243" xr:uid="{00000000-0005-0000-0000-0000980C0000}"/>
    <cellStyle name="Normal 10 2 10 2 20 10" xfId="3244" xr:uid="{00000000-0005-0000-0000-0000990C0000}"/>
    <cellStyle name="Normal 10 2 10 2 20 11" xfId="3245" xr:uid="{00000000-0005-0000-0000-00009A0C0000}"/>
    <cellStyle name="Normal 10 2 10 2 20 12" xfId="3246" xr:uid="{00000000-0005-0000-0000-00009B0C0000}"/>
    <cellStyle name="Normal 10 2 10 2 20 13" xfId="3247" xr:uid="{00000000-0005-0000-0000-00009C0C0000}"/>
    <cellStyle name="Normal 10 2 10 2 20 14" xfId="3248" xr:uid="{00000000-0005-0000-0000-00009D0C0000}"/>
    <cellStyle name="Normal 10 2 10 2 20 2" xfId="3249" xr:uid="{00000000-0005-0000-0000-00009E0C0000}"/>
    <cellStyle name="Normal 10 2 10 2 20 2 10" xfId="3250" xr:uid="{00000000-0005-0000-0000-00009F0C0000}"/>
    <cellStyle name="Normal 10 2 10 2 20 2 2" xfId="3251" xr:uid="{00000000-0005-0000-0000-0000A00C0000}"/>
    <cellStyle name="Normal 10 2 10 2 20 2 3" xfId="3252" xr:uid="{00000000-0005-0000-0000-0000A10C0000}"/>
    <cellStyle name="Normal 10 2 10 2 20 2 4" xfId="3253" xr:uid="{00000000-0005-0000-0000-0000A20C0000}"/>
    <cellStyle name="Normal 10 2 10 2 20 2 5" xfId="3254" xr:uid="{00000000-0005-0000-0000-0000A30C0000}"/>
    <cellStyle name="Normal 10 2 10 2 20 2 6" xfId="3255" xr:uid="{00000000-0005-0000-0000-0000A40C0000}"/>
    <cellStyle name="Normal 10 2 10 2 20 2 7" xfId="3256" xr:uid="{00000000-0005-0000-0000-0000A50C0000}"/>
    <cellStyle name="Normal 10 2 10 2 20 2 8" xfId="3257" xr:uid="{00000000-0005-0000-0000-0000A60C0000}"/>
    <cellStyle name="Normal 10 2 10 2 20 2 9" xfId="3258" xr:uid="{00000000-0005-0000-0000-0000A70C0000}"/>
    <cellStyle name="Normal 10 2 10 2 20 3" xfId="3259" xr:uid="{00000000-0005-0000-0000-0000A80C0000}"/>
    <cellStyle name="Normal 10 2 10 2 20 3 10" xfId="3260" xr:uid="{00000000-0005-0000-0000-0000A90C0000}"/>
    <cellStyle name="Normal 10 2 10 2 20 3 2" xfId="3261" xr:uid="{00000000-0005-0000-0000-0000AA0C0000}"/>
    <cellStyle name="Normal 10 2 10 2 20 3 3" xfId="3262" xr:uid="{00000000-0005-0000-0000-0000AB0C0000}"/>
    <cellStyle name="Normal 10 2 10 2 20 3 4" xfId="3263" xr:uid="{00000000-0005-0000-0000-0000AC0C0000}"/>
    <cellStyle name="Normal 10 2 10 2 20 3 5" xfId="3264" xr:uid="{00000000-0005-0000-0000-0000AD0C0000}"/>
    <cellStyle name="Normal 10 2 10 2 20 3 6" xfId="3265" xr:uid="{00000000-0005-0000-0000-0000AE0C0000}"/>
    <cellStyle name="Normal 10 2 10 2 20 3 7" xfId="3266" xr:uid="{00000000-0005-0000-0000-0000AF0C0000}"/>
    <cellStyle name="Normal 10 2 10 2 20 3 8" xfId="3267" xr:uid="{00000000-0005-0000-0000-0000B00C0000}"/>
    <cellStyle name="Normal 10 2 10 2 20 3 9" xfId="3268" xr:uid="{00000000-0005-0000-0000-0000B10C0000}"/>
    <cellStyle name="Normal 10 2 10 2 20 4" xfId="3269" xr:uid="{00000000-0005-0000-0000-0000B20C0000}"/>
    <cellStyle name="Normal 10 2 10 2 20 4 10" xfId="3270" xr:uid="{00000000-0005-0000-0000-0000B30C0000}"/>
    <cellStyle name="Normal 10 2 10 2 20 4 2" xfId="3271" xr:uid="{00000000-0005-0000-0000-0000B40C0000}"/>
    <cellStyle name="Normal 10 2 10 2 20 4 3" xfId="3272" xr:uid="{00000000-0005-0000-0000-0000B50C0000}"/>
    <cellStyle name="Normal 10 2 10 2 20 4 4" xfId="3273" xr:uid="{00000000-0005-0000-0000-0000B60C0000}"/>
    <cellStyle name="Normal 10 2 10 2 20 4 5" xfId="3274" xr:uid="{00000000-0005-0000-0000-0000B70C0000}"/>
    <cellStyle name="Normal 10 2 10 2 20 4 6" xfId="3275" xr:uid="{00000000-0005-0000-0000-0000B80C0000}"/>
    <cellStyle name="Normal 10 2 10 2 20 4 7" xfId="3276" xr:uid="{00000000-0005-0000-0000-0000B90C0000}"/>
    <cellStyle name="Normal 10 2 10 2 20 4 8" xfId="3277" xr:uid="{00000000-0005-0000-0000-0000BA0C0000}"/>
    <cellStyle name="Normal 10 2 10 2 20 4 9" xfId="3278" xr:uid="{00000000-0005-0000-0000-0000BB0C0000}"/>
    <cellStyle name="Normal 10 2 10 2 20 5" xfId="3279" xr:uid="{00000000-0005-0000-0000-0000BC0C0000}"/>
    <cellStyle name="Normal 10 2 10 2 20 5 10" xfId="3280" xr:uid="{00000000-0005-0000-0000-0000BD0C0000}"/>
    <cellStyle name="Normal 10 2 10 2 20 5 2" xfId="3281" xr:uid="{00000000-0005-0000-0000-0000BE0C0000}"/>
    <cellStyle name="Normal 10 2 10 2 20 5 3" xfId="3282" xr:uid="{00000000-0005-0000-0000-0000BF0C0000}"/>
    <cellStyle name="Normal 10 2 10 2 20 5 4" xfId="3283" xr:uid="{00000000-0005-0000-0000-0000C00C0000}"/>
    <cellStyle name="Normal 10 2 10 2 20 5 5" xfId="3284" xr:uid="{00000000-0005-0000-0000-0000C10C0000}"/>
    <cellStyle name="Normal 10 2 10 2 20 5 6" xfId="3285" xr:uid="{00000000-0005-0000-0000-0000C20C0000}"/>
    <cellStyle name="Normal 10 2 10 2 20 5 7" xfId="3286" xr:uid="{00000000-0005-0000-0000-0000C30C0000}"/>
    <cellStyle name="Normal 10 2 10 2 20 5 8" xfId="3287" xr:uid="{00000000-0005-0000-0000-0000C40C0000}"/>
    <cellStyle name="Normal 10 2 10 2 20 5 9" xfId="3288" xr:uid="{00000000-0005-0000-0000-0000C50C0000}"/>
    <cellStyle name="Normal 10 2 10 2 20 6" xfId="3289" xr:uid="{00000000-0005-0000-0000-0000C60C0000}"/>
    <cellStyle name="Normal 10 2 10 2 20 7" xfId="3290" xr:uid="{00000000-0005-0000-0000-0000C70C0000}"/>
    <cellStyle name="Normal 10 2 10 2 20 8" xfId="3291" xr:uid="{00000000-0005-0000-0000-0000C80C0000}"/>
    <cellStyle name="Normal 10 2 10 2 20 9" xfId="3292" xr:uid="{00000000-0005-0000-0000-0000C90C0000}"/>
    <cellStyle name="Normal 10 2 10 2 21" xfId="3293" xr:uid="{00000000-0005-0000-0000-0000CA0C0000}"/>
    <cellStyle name="Normal 10 2 10 2 21 10" xfId="3294" xr:uid="{00000000-0005-0000-0000-0000CB0C0000}"/>
    <cellStyle name="Normal 10 2 10 2 21 11" xfId="3295" xr:uid="{00000000-0005-0000-0000-0000CC0C0000}"/>
    <cellStyle name="Normal 10 2 10 2 21 12" xfId="3296" xr:uid="{00000000-0005-0000-0000-0000CD0C0000}"/>
    <cellStyle name="Normal 10 2 10 2 21 13" xfId="3297" xr:uid="{00000000-0005-0000-0000-0000CE0C0000}"/>
    <cellStyle name="Normal 10 2 10 2 21 14" xfId="3298" xr:uid="{00000000-0005-0000-0000-0000CF0C0000}"/>
    <cellStyle name="Normal 10 2 10 2 21 2" xfId="3299" xr:uid="{00000000-0005-0000-0000-0000D00C0000}"/>
    <cellStyle name="Normal 10 2 10 2 21 2 10" xfId="3300" xr:uid="{00000000-0005-0000-0000-0000D10C0000}"/>
    <cellStyle name="Normal 10 2 10 2 21 2 2" xfId="3301" xr:uid="{00000000-0005-0000-0000-0000D20C0000}"/>
    <cellStyle name="Normal 10 2 10 2 21 2 3" xfId="3302" xr:uid="{00000000-0005-0000-0000-0000D30C0000}"/>
    <cellStyle name="Normal 10 2 10 2 21 2 4" xfId="3303" xr:uid="{00000000-0005-0000-0000-0000D40C0000}"/>
    <cellStyle name="Normal 10 2 10 2 21 2 5" xfId="3304" xr:uid="{00000000-0005-0000-0000-0000D50C0000}"/>
    <cellStyle name="Normal 10 2 10 2 21 2 6" xfId="3305" xr:uid="{00000000-0005-0000-0000-0000D60C0000}"/>
    <cellStyle name="Normal 10 2 10 2 21 2 7" xfId="3306" xr:uid="{00000000-0005-0000-0000-0000D70C0000}"/>
    <cellStyle name="Normal 10 2 10 2 21 2 8" xfId="3307" xr:uid="{00000000-0005-0000-0000-0000D80C0000}"/>
    <cellStyle name="Normal 10 2 10 2 21 2 9" xfId="3308" xr:uid="{00000000-0005-0000-0000-0000D90C0000}"/>
    <cellStyle name="Normal 10 2 10 2 21 3" xfId="3309" xr:uid="{00000000-0005-0000-0000-0000DA0C0000}"/>
    <cellStyle name="Normal 10 2 10 2 21 3 10" xfId="3310" xr:uid="{00000000-0005-0000-0000-0000DB0C0000}"/>
    <cellStyle name="Normal 10 2 10 2 21 3 2" xfId="3311" xr:uid="{00000000-0005-0000-0000-0000DC0C0000}"/>
    <cellStyle name="Normal 10 2 10 2 21 3 3" xfId="3312" xr:uid="{00000000-0005-0000-0000-0000DD0C0000}"/>
    <cellStyle name="Normal 10 2 10 2 21 3 4" xfId="3313" xr:uid="{00000000-0005-0000-0000-0000DE0C0000}"/>
    <cellStyle name="Normal 10 2 10 2 21 3 5" xfId="3314" xr:uid="{00000000-0005-0000-0000-0000DF0C0000}"/>
    <cellStyle name="Normal 10 2 10 2 21 3 6" xfId="3315" xr:uid="{00000000-0005-0000-0000-0000E00C0000}"/>
    <cellStyle name="Normal 10 2 10 2 21 3 7" xfId="3316" xr:uid="{00000000-0005-0000-0000-0000E10C0000}"/>
    <cellStyle name="Normal 10 2 10 2 21 3 8" xfId="3317" xr:uid="{00000000-0005-0000-0000-0000E20C0000}"/>
    <cellStyle name="Normal 10 2 10 2 21 3 9" xfId="3318" xr:uid="{00000000-0005-0000-0000-0000E30C0000}"/>
    <cellStyle name="Normal 10 2 10 2 21 4" xfId="3319" xr:uid="{00000000-0005-0000-0000-0000E40C0000}"/>
    <cellStyle name="Normal 10 2 10 2 21 4 10" xfId="3320" xr:uid="{00000000-0005-0000-0000-0000E50C0000}"/>
    <cellStyle name="Normal 10 2 10 2 21 4 2" xfId="3321" xr:uid="{00000000-0005-0000-0000-0000E60C0000}"/>
    <cellStyle name="Normal 10 2 10 2 21 4 3" xfId="3322" xr:uid="{00000000-0005-0000-0000-0000E70C0000}"/>
    <cellStyle name="Normal 10 2 10 2 21 4 4" xfId="3323" xr:uid="{00000000-0005-0000-0000-0000E80C0000}"/>
    <cellStyle name="Normal 10 2 10 2 21 4 5" xfId="3324" xr:uid="{00000000-0005-0000-0000-0000E90C0000}"/>
    <cellStyle name="Normal 10 2 10 2 21 4 6" xfId="3325" xr:uid="{00000000-0005-0000-0000-0000EA0C0000}"/>
    <cellStyle name="Normal 10 2 10 2 21 4 7" xfId="3326" xr:uid="{00000000-0005-0000-0000-0000EB0C0000}"/>
    <cellStyle name="Normal 10 2 10 2 21 4 8" xfId="3327" xr:uid="{00000000-0005-0000-0000-0000EC0C0000}"/>
    <cellStyle name="Normal 10 2 10 2 21 4 9" xfId="3328" xr:uid="{00000000-0005-0000-0000-0000ED0C0000}"/>
    <cellStyle name="Normal 10 2 10 2 21 5" xfId="3329" xr:uid="{00000000-0005-0000-0000-0000EE0C0000}"/>
    <cellStyle name="Normal 10 2 10 2 21 5 10" xfId="3330" xr:uid="{00000000-0005-0000-0000-0000EF0C0000}"/>
    <cellStyle name="Normal 10 2 10 2 21 5 2" xfId="3331" xr:uid="{00000000-0005-0000-0000-0000F00C0000}"/>
    <cellStyle name="Normal 10 2 10 2 21 5 3" xfId="3332" xr:uid="{00000000-0005-0000-0000-0000F10C0000}"/>
    <cellStyle name="Normal 10 2 10 2 21 5 4" xfId="3333" xr:uid="{00000000-0005-0000-0000-0000F20C0000}"/>
    <cellStyle name="Normal 10 2 10 2 21 5 5" xfId="3334" xr:uid="{00000000-0005-0000-0000-0000F30C0000}"/>
    <cellStyle name="Normal 10 2 10 2 21 5 6" xfId="3335" xr:uid="{00000000-0005-0000-0000-0000F40C0000}"/>
    <cellStyle name="Normal 10 2 10 2 21 5 7" xfId="3336" xr:uid="{00000000-0005-0000-0000-0000F50C0000}"/>
    <cellStyle name="Normal 10 2 10 2 21 5 8" xfId="3337" xr:uid="{00000000-0005-0000-0000-0000F60C0000}"/>
    <cellStyle name="Normal 10 2 10 2 21 5 9" xfId="3338" xr:uid="{00000000-0005-0000-0000-0000F70C0000}"/>
    <cellStyle name="Normal 10 2 10 2 21 6" xfId="3339" xr:uid="{00000000-0005-0000-0000-0000F80C0000}"/>
    <cellStyle name="Normal 10 2 10 2 21 7" xfId="3340" xr:uid="{00000000-0005-0000-0000-0000F90C0000}"/>
    <cellStyle name="Normal 10 2 10 2 21 8" xfId="3341" xr:uid="{00000000-0005-0000-0000-0000FA0C0000}"/>
    <cellStyle name="Normal 10 2 10 2 21 9" xfId="3342" xr:uid="{00000000-0005-0000-0000-0000FB0C0000}"/>
    <cellStyle name="Normal 10 2 10 2 22" xfId="3343" xr:uid="{00000000-0005-0000-0000-0000FC0C0000}"/>
    <cellStyle name="Normal 10 2 10 2 22 10" xfId="3344" xr:uid="{00000000-0005-0000-0000-0000FD0C0000}"/>
    <cellStyle name="Normal 10 2 10 2 22 11" xfId="3345" xr:uid="{00000000-0005-0000-0000-0000FE0C0000}"/>
    <cellStyle name="Normal 10 2 10 2 22 12" xfId="3346" xr:uid="{00000000-0005-0000-0000-0000FF0C0000}"/>
    <cellStyle name="Normal 10 2 10 2 22 13" xfId="3347" xr:uid="{00000000-0005-0000-0000-0000000D0000}"/>
    <cellStyle name="Normal 10 2 10 2 22 14" xfId="3348" xr:uid="{00000000-0005-0000-0000-0000010D0000}"/>
    <cellStyle name="Normal 10 2 10 2 22 2" xfId="3349" xr:uid="{00000000-0005-0000-0000-0000020D0000}"/>
    <cellStyle name="Normal 10 2 10 2 22 2 10" xfId="3350" xr:uid="{00000000-0005-0000-0000-0000030D0000}"/>
    <cellStyle name="Normal 10 2 10 2 22 2 2" xfId="3351" xr:uid="{00000000-0005-0000-0000-0000040D0000}"/>
    <cellStyle name="Normal 10 2 10 2 22 2 3" xfId="3352" xr:uid="{00000000-0005-0000-0000-0000050D0000}"/>
    <cellStyle name="Normal 10 2 10 2 22 2 4" xfId="3353" xr:uid="{00000000-0005-0000-0000-0000060D0000}"/>
    <cellStyle name="Normal 10 2 10 2 22 2 5" xfId="3354" xr:uid="{00000000-0005-0000-0000-0000070D0000}"/>
    <cellStyle name="Normal 10 2 10 2 22 2 6" xfId="3355" xr:uid="{00000000-0005-0000-0000-0000080D0000}"/>
    <cellStyle name="Normal 10 2 10 2 22 2 7" xfId="3356" xr:uid="{00000000-0005-0000-0000-0000090D0000}"/>
    <cellStyle name="Normal 10 2 10 2 22 2 8" xfId="3357" xr:uid="{00000000-0005-0000-0000-00000A0D0000}"/>
    <cellStyle name="Normal 10 2 10 2 22 2 9" xfId="3358" xr:uid="{00000000-0005-0000-0000-00000B0D0000}"/>
    <cellStyle name="Normal 10 2 10 2 22 3" xfId="3359" xr:uid="{00000000-0005-0000-0000-00000C0D0000}"/>
    <cellStyle name="Normal 10 2 10 2 22 3 10" xfId="3360" xr:uid="{00000000-0005-0000-0000-00000D0D0000}"/>
    <cellStyle name="Normal 10 2 10 2 22 3 2" xfId="3361" xr:uid="{00000000-0005-0000-0000-00000E0D0000}"/>
    <cellStyle name="Normal 10 2 10 2 22 3 3" xfId="3362" xr:uid="{00000000-0005-0000-0000-00000F0D0000}"/>
    <cellStyle name="Normal 10 2 10 2 22 3 4" xfId="3363" xr:uid="{00000000-0005-0000-0000-0000100D0000}"/>
    <cellStyle name="Normal 10 2 10 2 22 3 5" xfId="3364" xr:uid="{00000000-0005-0000-0000-0000110D0000}"/>
    <cellStyle name="Normal 10 2 10 2 22 3 6" xfId="3365" xr:uid="{00000000-0005-0000-0000-0000120D0000}"/>
    <cellStyle name="Normal 10 2 10 2 22 3 7" xfId="3366" xr:uid="{00000000-0005-0000-0000-0000130D0000}"/>
    <cellStyle name="Normal 10 2 10 2 22 3 8" xfId="3367" xr:uid="{00000000-0005-0000-0000-0000140D0000}"/>
    <cellStyle name="Normal 10 2 10 2 22 3 9" xfId="3368" xr:uid="{00000000-0005-0000-0000-0000150D0000}"/>
    <cellStyle name="Normal 10 2 10 2 22 4" xfId="3369" xr:uid="{00000000-0005-0000-0000-0000160D0000}"/>
    <cellStyle name="Normal 10 2 10 2 22 4 10" xfId="3370" xr:uid="{00000000-0005-0000-0000-0000170D0000}"/>
    <cellStyle name="Normal 10 2 10 2 22 4 2" xfId="3371" xr:uid="{00000000-0005-0000-0000-0000180D0000}"/>
    <cellStyle name="Normal 10 2 10 2 22 4 3" xfId="3372" xr:uid="{00000000-0005-0000-0000-0000190D0000}"/>
    <cellStyle name="Normal 10 2 10 2 22 4 4" xfId="3373" xr:uid="{00000000-0005-0000-0000-00001A0D0000}"/>
    <cellStyle name="Normal 10 2 10 2 22 4 5" xfId="3374" xr:uid="{00000000-0005-0000-0000-00001B0D0000}"/>
    <cellStyle name="Normal 10 2 10 2 22 4 6" xfId="3375" xr:uid="{00000000-0005-0000-0000-00001C0D0000}"/>
    <cellStyle name="Normal 10 2 10 2 22 4 7" xfId="3376" xr:uid="{00000000-0005-0000-0000-00001D0D0000}"/>
    <cellStyle name="Normal 10 2 10 2 22 4 8" xfId="3377" xr:uid="{00000000-0005-0000-0000-00001E0D0000}"/>
    <cellStyle name="Normal 10 2 10 2 22 4 9" xfId="3378" xr:uid="{00000000-0005-0000-0000-00001F0D0000}"/>
    <cellStyle name="Normal 10 2 10 2 22 5" xfId="3379" xr:uid="{00000000-0005-0000-0000-0000200D0000}"/>
    <cellStyle name="Normal 10 2 10 2 22 5 10" xfId="3380" xr:uid="{00000000-0005-0000-0000-0000210D0000}"/>
    <cellStyle name="Normal 10 2 10 2 22 5 2" xfId="3381" xr:uid="{00000000-0005-0000-0000-0000220D0000}"/>
    <cellStyle name="Normal 10 2 10 2 22 5 3" xfId="3382" xr:uid="{00000000-0005-0000-0000-0000230D0000}"/>
    <cellStyle name="Normal 10 2 10 2 22 5 4" xfId="3383" xr:uid="{00000000-0005-0000-0000-0000240D0000}"/>
    <cellStyle name="Normal 10 2 10 2 22 5 5" xfId="3384" xr:uid="{00000000-0005-0000-0000-0000250D0000}"/>
    <cellStyle name="Normal 10 2 10 2 22 5 6" xfId="3385" xr:uid="{00000000-0005-0000-0000-0000260D0000}"/>
    <cellStyle name="Normal 10 2 10 2 22 5 7" xfId="3386" xr:uid="{00000000-0005-0000-0000-0000270D0000}"/>
    <cellStyle name="Normal 10 2 10 2 22 5 8" xfId="3387" xr:uid="{00000000-0005-0000-0000-0000280D0000}"/>
    <cellStyle name="Normal 10 2 10 2 22 5 9" xfId="3388" xr:uid="{00000000-0005-0000-0000-0000290D0000}"/>
    <cellStyle name="Normal 10 2 10 2 22 6" xfId="3389" xr:uid="{00000000-0005-0000-0000-00002A0D0000}"/>
    <cellStyle name="Normal 10 2 10 2 22 7" xfId="3390" xr:uid="{00000000-0005-0000-0000-00002B0D0000}"/>
    <cellStyle name="Normal 10 2 10 2 22 8" xfId="3391" xr:uid="{00000000-0005-0000-0000-00002C0D0000}"/>
    <cellStyle name="Normal 10 2 10 2 22 9" xfId="3392" xr:uid="{00000000-0005-0000-0000-00002D0D0000}"/>
    <cellStyle name="Normal 10 2 10 2 23" xfId="3393" xr:uid="{00000000-0005-0000-0000-00002E0D0000}"/>
    <cellStyle name="Normal 10 2 10 2 23 10" xfId="3394" xr:uid="{00000000-0005-0000-0000-00002F0D0000}"/>
    <cellStyle name="Normal 10 2 10 2 23 11" xfId="3395" xr:uid="{00000000-0005-0000-0000-0000300D0000}"/>
    <cellStyle name="Normal 10 2 10 2 23 12" xfId="3396" xr:uid="{00000000-0005-0000-0000-0000310D0000}"/>
    <cellStyle name="Normal 10 2 10 2 23 13" xfId="3397" xr:uid="{00000000-0005-0000-0000-0000320D0000}"/>
    <cellStyle name="Normal 10 2 10 2 23 14" xfId="3398" xr:uid="{00000000-0005-0000-0000-0000330D0000}"/>
    <cellStyle name="Normal 10 2 10 2 23 2" xfId="3399" xr:uid="{00000000-0005-0000-0000-0000340D0000}"/>
    <cellStyle name="Normal 10 2 10 2 23 2 10" xfId="3400" xr:uid="{00000000-0005-0000-0000-0000350D0000}"/>
    <cellStyle name="Normal 10 2 10 2 23 2 2" xfId="3401" xr:uid="{00000000-0005-0000-0000-0000360D0000}"/>
    <cellStyle name="Normal 10 2 10 2 23 2 3" xfId="3402" xr:uid="{00000000-0005-0000-0000-0000370D0000}"/>
    <cellStyle name="Normal 10 2 10 2 23 2 4" xfId="3403" xr:uid="{00000000-0005-0000-0000-0000380D0000}"/>
    <cellStyle name="Normal 10 2 10 2 23 2 5" xfId="3404" xr:uid="{00000000-0005-0000-0000-0000390D0000}"/>
    <cellStyle name="Normal 10 2 10 2 23 2 6" xfId="3405" xr:uid="{00000000-0005-0000-0000-00003A0D0000}"/>
    <cellStyle name="Normal 10 2 10 2 23 2 7" xfId="3406" xr:uid="{00000000-0005-0000-0000-00003B0D0000}"/>
    <cellStyle name="Normal 10 2 10 2 23 2 8" xfId="3407" xr:uid="{00000000-0005-0000-0000-00003C0D0000}"/>
    <cellStyle name="Normal 10 2 10 2 23 2 9" xfId="3408" xr:uid="{00000000-0005-0000-0000-00003D0D0000}"/>
    <cellStyle name="Normal 10 2 10 2 23 3" xfId="3409" xr:uid="{00000000-0005-0000-0000-00003E0D0000}"/>
    <cellStyle name="Normal 10 2 10 2 23 3 10" xfId="3410" xr:uid="{00000000-0005-0000-0000-00003F0D0000}"/>
    <cellStyle name="Normal 10 2 10 2 23 3 2" xfId="3411" xr:uid="{00000000-0005-0000-0000-0000400D0000}"/>
    <cellStyle name="Normal 10 2 10 2 23 3 3" xfId="3412" xr:uid="{00000000-0005-0000-0000-0000410D0000}"/>
    <cellStyle name="Normal 10 2 10 2 23 3 4" xfId="3413" xr:uid="{00000000-0005-0000-0000-0000420D0000}"/>
    <cellStyle name="Normal 10 2 10 2 23 3 5" xfId="3414" xr:uid="{00000000-0005-0000-0000-0000430D0000}"/>
    <cellStyle name="Normal 10 2 10 2 23 3 6" xfId="3415" xr:uid="{00000000-0005-0000-0000-0000440D0000}"/>
    <cellStyle name="Normal 10 2 10 2 23 3 7" xfId="3416" xr:uid="{00000000-0005-0000-0000-0000450D0000}"/>
    <cellStyle name="Normal 10 2 10 2 23 3 8" xfId="3417" xr:uid="{00000000-0005-0000-0000-0000460D0000}"/>
    <cellStyle name="Normal 10 2 10 2 23 3 9" xfId="3418" xr:uid="{00000000-0005-0000-0000-0000470D0000}"/>
    <cellStyle name="Normal 10 2 10 2 23 4" xfId="3419" xr:uid="{00000000-0005-0000-0000-0000480D0000}"/>
    <cellStyle name="Normal 10 2 10 2 23 4 10" xfId="3420" xr:uid="{00000000-0005-0000-0000-0000490D0000}"/>
    <cellStyle name="Normal 10 2 10 2 23 4 2" xfId="3421" xr:uid="{00000000-0005-0000-0000-00004A0D0000}"/>
    <cellStyle name="Normal 10 2 10 2 23 4 3" xfId="3422" xr:uid="{00000000-0005-0000-0000-00004B0D0000}"/>
    <cellStyle name="Normal 10 2 10 2 23 4 4" xfId="3423" xr:uid="{00000000-0005-0000-0000-00004C0D0000}"/>
    <cellStyle name="Normal 10 2 10 2 23 4 5" xfId="3424" xr:uid="{00000000-0005-0000-0000-00004D0D0000}"/>
    <cellStyle name="Normal 10 2 10 2 23 4 6" xfId="3425" xr:uid="{00000000-0005-0000-0000-00004E0D0000}"/>
    <cellStyle name="Normal 10 2 10 2 23 4 7" xfId="3426" xr:uid="{00000000-0005-0000-0000-00004F0D0000}"/>
    <cellStyle name="Normal 10 2 10 2 23 4 8" xfId="3427" xr:uid="{00000000-0005-0000-0000-0000500D0000}"/>
    <cellStyle name="Normal 10 2 10 2 23 4 9" xfId="3428" xr:uid="{00000000-0005-0000-0000-0000510D0000}"/>
    <cellStyle name="Normal 10 2 10 2 23 5" xfId="3429" xr:uid="{00000000-0005-0000-0000-0000520D0000}"/>
    <cellStyle name="Normal 10 2 10 2 23 5 10" xfId="3430" xr:uid="{00000000-0005-0000-0000-0000530D0000}"/>
    <cellStyle name="Normal 10 2 10 2 23 5 2" xfId="3431" xr:uid="{00000000-0005-0000-0000-0000540D0000}"/>
    <cellStyle name="Normal 10 2 10 2 23 5 3" xfId="3432" xr:uid="{00000000-0005-0000-0000-0000550D0000}"/>
    <cellStyle name="Normal 10 2 10 2 23 5 4" xfId="3433" xr:uid="{00000000-0005-0000-0000-0000560D0000}"/>
    <cellStyle name="Normal 10 2 10 2 23 5 5" xfId="3434" xr:uid="{00000000-0005-0000-0000-0000570D0000}"/>
    <cellStyle name="Normal 10 2 10 2 23 5 6" xfId="3435" xr:uid="{00000000-0005-0000-0000-0000580D0000}"/>
    <cellStyle name="Normal 10 2 10 2 23 5 7" xfId="3436" xr:uid="{00000000-0005-0000-0000-0000590D0000}"/>
    <cellStyle name="Normal 10 2 10 2 23 5 8" xfId="3437" xr:uid="{00000000-0005-0000-0000-00005A0D0000}"/>
    <cellStyle name="Normal 10 2 10 2 23 5 9" xfId="3438" xr:uid="{00000000-0005-0000-0000-00005B0D0000}"/>
    <cellStyle name="Normal 10 2 10 2 23 6" xfId="3439" xr:uid="{00000000-0005-0000-0000-00005C0D0000}"/>
    <cellStyle name="Normal 10 2 10 2 23 7" xfId="3440" xr:uid="{00000000-0005-0000-0000-00005D0D0000}"/>
    <cellStyle name="Normal 10 2 10 2 23 8" xfId="3441" xr:uid="{00000000-0005-0000-0000-00005E0D0000}"/>
    <cellStyle name="Normal 10 2 10 2 23 9" xfId="3442" xr:uid="{00000000-0005-0000-0000-00005F0D0000}"/>
    <cellStyle name="Normal 10 2 10 2 24" xfId="3443" xr:uid="{00000000-0005-0000-0000-0000600D0000}"/>
    <cellStyle name="Normal 10 2 10 2 24 10" xfId="3444" xr:uid="{00000000-0005-0000-0000-0000610D0000}"/>
    <cellStyle name="Normal 10 2 10 2 24 11" xfId="3445" xr:uid="{00000000-0005-0000-0000-0000620D0000}"/>
    <cellStyle name="Normal 10 2 10 2 24 12" xfId="3446" xr:uid="{00000000-0005-0000-0000-0000630D0000}"/>
    <cellStyle name="Normal 10 2 10 2 24 13" xfId="3447" xr:uid="{00000000-0005-0000-0000-0000640D0000}"/>
    <cellStyle name="Normal 10 2 10 2 24 14" xfId="3448" xr:uid="{00000000-0005-0000-0000-0000650D0000}"/>
    <cellStyle name="Normal 10 2 10 2 24 2" xfId="3449" xr:uid="{00000000-0005-0000-0000-0000660D0000}"/>
    <cellStyle name="Normal 10 2 10 2 24 2 10" xfId="3450" xr:uid="{00000000-0005-0000-0000-0000670D0000}"/>
    <cellStyle name="Normal 10 2 10 2 24 2 2" xfId="3451" xr:uid="{00000000-0005-0000-0000-0000680D0000}"/>
    <cellStyle name="Normal 10 2 10 2 24 2 3" xfId="3452" xr:uid="{00000000-0005-0000-0000-0000690D0000}"/>
    <cellStyle name="Normal 10 2 10 2 24 2 4" xfId="3453" xr:uid="{00000000-0005-0000-0000-00006A0D0000}"/>
    <cellStyle name="Normal 10 2 10 2 24 2 5" xfId="3454" xr:uid="{00000000-0005-0000-0000-00006B0D0000}"/>
    <cellStyle name="Normal 10 2 10 2 24 2 6" xfId="3455" xr:uid="{00000000-0005-0000-0000-00006C0D0000}"/>
    <cellStyle name="Normal 10 2 10 2 24 2 7" xfId="3456" xr:uid="{00000000-0005-0000-0000-00006D0D0000}"/>
    <cellStyle name="Normal 10 2 10 2 24 2 8" xfId="3457" xr:uid="{00000000-0005-0000-0000-00006E0D0000}"/>
    <cellStyle name="Normal 10 2 10 2 24 2 9" xfId="3458" xr:uid="{00000000-0005-0000-0000-00006F0D0000}"/>
    <cellStyle name="Normal 10 2 10 2 24 3" xfId="3459" xr:uid="{00000000-0005-0000-0000-0000700D0000}"/>
    <cellStyle name="Normal 10 2 10 2 24 3 10" xfId="3460" xr:uid="{00000000-0005-0000-0000-0000710D0000}"/>
    <cellStyle name="Normal 10 2 10 2 24 3 2" xfId="3461" xr:uid="{00000000-0005-0000-0000-0000720D0000}"/>
    <cellStyle name="Normal 10 2 10 2 24 3 3" xfId="3462" xr:uid="{00000000-0005-0000-0000-0000730D0000}"/>
    <cellStyle name="Normal 10 2 10 2 24 3 4" xfId="3463" xr:uid="{00000000-0005-0000-0000-0000740D0000}"/>
    <cellStyle name="Normal 10 2 10 2 24 3 5" xfId="3464" xr:uid="{00000000-0005-0000-0000-0000750D0000}"/>
    <cellStyle name="Normal 10 2 10 2 24 3 6" xfId="3465" xr:uid="{00000000-0005-0000-0000-0000760D0000}"/>
    <cellStyle name="Normal 10 2 10 2 24 3 7" xfId="3466" xr:uid="{00000000-0005-0000-0000-0000770D0000}"/>
    <cellStyle name="Normal 10 2 10 2 24 3 8" xfId="3467" xr:uid="{00000000-0005-0000-0000-0000780D0000}"/>
    <cellStyle name="Normal 10 2 10 2 24 3 9" xfId="3468" xr:uid="{00000000-0005-0000-0000-0000790D0000}"/>
    <cellStyle name="Normal 10 2 10 2 24 4" xfId="3469" xr:uid="{00000000-0005-0000-0000-00007A0D0000}"/>
    <cellStyle name="Normal 10 2 10 2 24 4 10" xfId="3470" xr:uid="{00000000-0005-0000-0000-00007B0D0000}"/>
    <cellStyle name="Normal 10 2 10 2 24 4 2" xfId="3471" xr:uid="{00000000-0005-0000-0000-00007C0D0000}"/>
    <cellStyle name="Normal 10 2 10 2 24 4 3" xfId="3472" xr:uid="{00000000-0005-0000-0000-00007D0D0000}"/>
    <cellStyle name="Normal 10 2 10 2 24 4 4" xfId="3473" xr:uid="{00000000-0005-0000-0000-00007E0D0000}"/>
    <cellStyle name="Normal 10 2 10 2 24 4 5" xfId="3474" xr:uid="{00000000-0005-0000-0000-00007F0D0000}"/>
    <cellStyle name="Normal 10 2 10 2 24 4 6" xfId="3475" xr:uid="{00000000-0005-0000-0000-0000800D0000}"/>
    <cellStyle name="Normal 10 2 10 2 24 4 7" xfId="3476" xr:uid="{00000000-0005-0000-0000-0000810D0000}"/>
    <cellStyle name="Normal 10 2 10 2 24 4 8" xfId="3477" xr:uid="{00000000-0005-0000-0000-0000820D0000}"/>
    <cellStyle name="Normal 10 2 10 2 24 4 9" xfId="3478" xr:uid="{00000000-0005-0000-0000-0000830D0000}"/>
    <cellStyle name="Normal 10 2 10 2 24 5" xfId="3479" xr:uid="{00000000-0005-0000-0000-0000840D0000}"/>
    <cellStyle name="Normal 10 2 10 2 24 5 10" xfId="3480" xr:uid="{00000000-0005-0000-0000-0000850D0000}"/>
    <cellStyle name="Normal 10 2 10 2 24 5 2" xfId="3481" xr:uid="{00000000-0005-0000-0000-0000860D0000}"/>
    <cellStyle name="Normal 10 2 10 2 24 5 3" xfId="3482" xr:uid="{00000000-0005-0000-0000-0000870D0000}"/>
    <cellStyle name="Normal 10 2 10 2 24 5 4" xfId="3483" xr:uid="{00000000-0005-0000-0000-0000880D0000}"/>
    <cellStyle name="Normal 10 2 10 2 24 5 5" xfId="3484" xr:uid="{00000000-0005-0000-0000-0000890D0000}"/>
    <cellStyle name="Normal 10 2 10 2 24 5 6" xfId="3485" xr:uid="{00000000-0005-0000-0000-00008A0D0000}"/>
    <cellStyle name="Normal 10 2 10 2 24 5 7" xfId="3486" xr:uid="{00000000-0005-0000-0000-00008B0D0000}"/>
    <cellStyle name="Normal 10 2 10 2 24 5 8" xfId="3487" xr:uid="{00000000-0005-0000-0000-00008C0D0000}"/>
    <cellStyle name="Normal 10 2 10 2 24 5 9" xfId="3488" xr:uid="{00000000-0005-0000-0000-00008D0D0000}"/>
    <cellStyle name="Normal 10 2 10 2 24 6" xfId="3489" xr:uid="{00000000-0005-0000-0000-00008E0D0000}"/>
    <cellStyle name="Normal 10 2 10 2 24 7" xfId="3490" xr:uid="{00000000-0005-0000-0000-00008F0D0000}"/>
    <cellStyle name="Normal 10 2 10 2 24 8" xfId="3491" xr:uid="{00000000-0005-0000-0000-0000900D0000}"/>
    <cellStyle name="Normal 10 2 10 2 24 9" xfId="3492" xr:uid="{00000000-0005-0000-0000-0000910D0000}"/>
    <cellStyle name="Normal 10 2 10 2 25" xfId="3493" xr:uid="{00000000-0005-0000-0000-0000920D0000}"/>
    <cellStyle name="Normal 10 2 10 2 25 10" xfId="3494" xr:uid="{00000000-0005-0000-0000-0000930D0000}"/>
    <cellStyle name="Normal 10 2 10 2 25 11" xfId="3495" xr:uid="{00000000-0005-0000-0000-0000940D0000}"/>
    <cellStyle name="Normal 10 2 10 2 25 12" xfId="3496" xr:uid="{00000000-0005-0000-0000-0000950D0000}"/>
    <cellStyle name="Normal 10 2 10 2 25 13" xfId="3497" xr:uid="{00000000-0005-0000-0000-0000960D0000}"/>
    <cellStyle name="Normal 10 2 10 2 25 14" xfId="3498" xr:uid="{00000000-0005-0000-0000-0000970D0000}"/>
    <cellStyle name="Normal 10 2 10 2 25 2" xfId="3499" xr:uid="{00000000-0005-0000-0000-0000980D0000}"/>
    <cellStyle name="Normal 10 2 10 2 25 2 10" xfId="3500" xr:uid="{00000000-0005-0000-0000-0000990D0000}"/>
    <cellStyle name="Normal 10 2 10 2 25 2 2" xfId="3501" xr:uid="{00000000-0005-0000-0000-00009A0D0000}"/>
    <cellStyle name="Normal 10 2 10 2 25 2 3" xfId="3502" xr:uid="{00000000-0005-0000-0000-00009B0D0000}"/>
    <cellStyle name="Normal 10 2 10 2 25 2 4" xfId="3503" xr:uid="{00000000-0005-0000-0000-00009C0D0000}"/>
    <cellStyle name="Normal 10 2 10 2 25 2 5" xfId="3504" xr:uid="{00000000-0005-0000-0000-00009D0D0000}"/>
    <cellStyle name="Normal 10 2 10 2 25 2 6" xfId="3505" xr:uid="{00000000-0005-0000-0000-00009E0D0000}"/>
    <cellStyle name="Normal 10 2 10 2 25 2 7" xfId="3506" xr:uid="{00000000-0005-0000-0000-00009F0D0000}"/>
    <cellStyle name="Normal 10 2 10 2 25 2 8" xfId="3507" xr:uid="{00000000-0005-0000-0000-0000A00D0000}"/>
    <cellStyle name="Normal 10 2 10 2 25 2 9" xfId="3508" xr:uid="{00000000-0005-0000-0000-0000A10D0000}"/>
    <cellStyle name="Normal 10 2 10 2 25 3" xfId="3509" xr:uid="{00000000-0005-0000-0000-0000A20D0000}"/>
    <cellStyle name="Normal 10 2 10 2 25 3 10" xfId="3510" xr:uid="{00000000-0005-0000-0000-0000A30D0000}"/>
    <cellStyle name="Normal 10 2 10 2 25 3 2" xfId="3511" xr:uid="{00000000-0005-0000-0000-0000A40D0000}"/>
    <cellStyle name="Normal 10 2 10 2 25 3 3" xfId="3512" xr:uid="{00000000-0005-0000-0000-0000A50D0000}"/>
    <cellStyle name="Normal 10 2 10 2 25 3 4" xfId="3513" xr:uid="{00000000-0005-0000-0000-0000A60D0000}"/>
    <cellStyle name="Normal 10 2 10 2 25 3 5" xfId="3514" xr:uid="{00000000-0005-0000-0000-0000A70D0000}"/>
    <cellStyle name="Normal 10 2 10 2 25 3 6" xfId="3515" xr:uid="{00000000-0005-0000-0000-0000A80D0000}"/>
    <cellStyle name="Normal 10 2 10 2 25 3 7" xfId="3516" xr:uid="{00000000-0005-0000-0000-0000A90D0000}"/>
    <cellStyle name="Normal 10 2 10 2 25 3 8" xfId="3517" xr:uid="{00000000-0005-0000-0000-0000AA0D0000}"/>
    <cellStyle name="Normal 10 2 10 2 25 3 9" xfId="3518" xr:uid="{00000000-0005-0000-0000-0000AB0D0000}"/>
    <cellStyle name="Normal 10 2 10 2 25 4" xfId="3519" xr:uid="{00000000-0005-0000-0000-0000AC0D0000}"/>
    <cellStyle name="Normal 10 2 10 2 25 4 10" xfId="3520" xr:uid="{00000000-0005-0000-0000-0000AD0D0000}"/>
    <cellStyle name="Normal 10 2 10 2 25 4 2" xfId="3521" xr:uid="{00000000-0005-0000-0000-0000AE0D0000}"/>
    <cellStyle name="Normal 10 2 10 2 25 4 3" xfId="3522" xr:uid="{00000000-0005-0000-0000-0000AF0D0000}"/>
    <cellStyle name="Normal 10 2 10 2 25 4 4" xfId="3523" xr:uid="{00000000-0005-0000-0000-0000B00D0000}"/>
    <cellStyle name="Normal 10 2 10 2 25 4 5" xfId="3524" xr:uid="{00000000-0005-0000-0000-0000B10D0000}"/>
    <cellStyle name="Normal 10 2 10 2 25 4 6" xfId="3525" xr:uid="{00000000-0005-0000-0000-0000B20D0000}"/>
    <cellStyle name="Normal 10 2 10 2 25 4 7" xfId="3526" xr:uid="{00000000-0005-0000-0000-0000B30D0000}"/>
    <cellStyle name="Normal 10 2 10 2 25 4 8" xfId="3527" xr:uid="{00000000-0005-0000-0000-0000B40D0000}"/>
    <cellStyle name="Normal 10 2 10 2 25 4 9" xfId="3528" xr:uid="{00000000-0005-0000-0000-0000B50D0000}"/>
    <cellStyle name="Normal 10 2 10 2 25 5" xfId="3529" xr:uid="{00000000-0005-0000-0000-0000B60D0000}"/>
    <cellStyle name="Normal 10 2 10 2 25 5 10" xfId="3530" xr:uid="{00000000-0005-0000-0000-0000B70D0000}"/>
    <cellStyle name="Normal 10 2 10 2 25 5 2" xfId="3531" xr:uid="{00000000-0005-0000-0000-0000B80D0000}"/>
    <cellStyle name="Normal 10 2 10 2 25 5 3" xfId="3532" xr:uid="{00000000-0005-0000-0000-0000B90D0000}"/>
    <cellStyle name="Normal 10 2 10 2 25 5 4" xfId="3533" xr:uid="{00000000-0005-0000-0000-0000BA0D0000}"/>
    <cellStyle name="Normal 10 2 10 2 25 5 5" xfId="3534" xr:uid="{00000000-0005-0000-0000-0000BB0D0000}"/>
    <cellStyle name="Normal 10 2 10 2 25 5 6" xfId="3535" xr:uid="{00000000-0005-0000-0000-0000BC0D0000}"/>
    <cellStyle name="Normal 10 2 10 2 25 5 7" xfId="3536" xr:uid="{00000000-0005-0000-0000-0000BD0D0000}"/>
    <cellStyle name="Normal 10 2 10 2 25 5 8" xfId="3537" xr:uid="{00000000-0005-0000-0000-0000BE0D0000}"/>
    <cellStyle name="Normal 10 2 10 2 25 5 9" xfId="3538" xr:uid="{00000000-0005-0000-0000-0000BF0D0000}"/>
    <cellStyle name="Normal 10 2 10 2 25 6" xfId="3539" xr:uid="{00000000-0005-0000-0000-0000C00D0000}"/>
    <cellStyle name="Normal 10 2 10 2 25 7" xfId="3540" xr:uid="{00000000-0005-0000-0000-0000C10D0000}"/>
    <cellStyle name="Normal 10 2 10 2 25 8" xfId="3541" xr:uid="{00000000-0005-0000-0000-0000C20D0000}"/>
    <cellStyle name="Normal 10 2 10 2 25 9" xfId="3542" xr:uid="{00000000-0005-0000-0000-0000C30D0000}"/>
    <cellStyle name="Normal 10 2 10 2 26" xfId="3543" xr:uid="{00000000-0005-0000-0000-0000C40D0000}"/>
    <cellStyle name="Normal 10 2 10 2 26 10" xfId="3544" xr:uid="{00000000-0005-0000-0000-0000C50D0000}"/>
    <cellStyle name="Normal 10 2 10 2 26 11" xfId="3545" xr:uid="{00000000-0005-0000-0000-0000C60D0000}"/>
    <cellStyle name="Normal 10 2 10 2 26 12" xfId="3546" xr:uid="{00000000-0005-0000-0000-0000C70D0000}"/>
    <cellStyle name="Normal 10 2 10 2 26 13" xfId="3547" xr:uid="{00000000-0005-0000-0000-0000C80D0000}"/>
    <cellStyle name="Normal 10 2 10 2 26 14" xfId="3548" xr:uid="{00000000-0005-0000-0000-0000C90D0000}"/>
    <cellStyle name="Normal 10 2 10 2 26 2" xfId="3549" xr:uid="{00000000-0005-0000-0000-0000CA0D0000}"/>
    <cellStyle name="Normal 10 2 10 2 26 2 10" xfId="3550" xr:uid="{00000000-0005-0000-0000-0000CB0D0000}"/>
    <cellStyle name="Normal 10 2 10 2 26 2 2" xfId="3551" xr:uid="{00000000-0005-0000-0000-0000CC0D0000}"/>
    <cellStyle name="Normal 10 2 10 2 26 2 3" xfId="3552" xr:uid="{00000000-0005-0000-0000-0000CD0D0000}"/>
    <cellStyle name="Normal 10 2 10 2 26 2 4" xfId="3553" xr:uid="{00000000-0005-0000-0000-0000CE0D0000}"/>
    <cellStyle name="Normal 10 2 10 2 26 2 5" xfId="3554" xr:uid="{00000000-0005-0000-0000-0000CF0D0000}"/>
    <cellStyle name="Normal 10 2 10 2 26 2 6" xfId="3555" xr:uid="{00000000-0005-0000-0000-0000D00D0000}"/>
    <cellStyle name="Normal 10 2 10 2 26 2 7" xfId="3556" xr:uid="{00000000-0005-0000-0000-0000D10D0000}"/>
    <cellStyle name="Normal 10 2 10 2 26 2 8" xfId="3557" xr:uid="{00000000-0005-0000-0000-0000D20D0000}"/>
    <cellStyle name="Normal 10 2 10 2 26 2 9" xfId="3558" xr:uid="{00000000-0005-0000-0000-0000D30D0000}"/>
    <cellStyle name="Normal 10 2 10 2 26 3" xfId="3559" xr:uid="{00000000-0005-0000-0000-0000D40D0000}"/>
    <cellStyle name="Normal 10 2 10 2 26 3 10" xfId="3560" xr:uid="{00000000-0005-0000-0000-0000D50D0000}"/>
    <cellStyle name="Normal 10 2 10 2 26 3 2" xfId="3561" xr:uid="{00000000-0005-0000-0000-0000D60D0000}"/>
    <cellStyle name="Normal 10 2 10 2 26 3 3" xfId="3562" xr:uid="{00000000-0005-0000-0000-0000D70D0000}"/>
    <cellStyle name="Normal 10 2 10 2 26 3 4" xfId="3563" xr:uid="{00000000-0005-0000-0000-0000D80D0000}"/>
    <cellStyle name="Normal 10 2 10 2 26 3 5" xfId="3564" xr:uid="{00000000-0005-0000-0000-0000D90D0000}"/>
    <cellStyle name="Normal 10 2 10 2 26 3 6" xfId="3565" xr:uid="{00000000-0005-0000-0000-0000DA0D0000}"/>
    <cellStyle name="Normal 10 2 10 2 26 3 7" xfId="3566" xr:uid="{00000000-0005-0000-0000-0000DB0D0000}"/>
    <cellStyle name="Normal 10 2 10 2 26 3 8" xfId="3567" xr:uid="{00000000-0005-0000-0000-0000DC0D0000}"/>
    <cellStyle name="Normal 10 2 10 2 26 3 9" xfId="3568" xr:uid="{00000000-0005-0000-0000-0000DD0D0000}"/>
    <cellStyle name="Normal 10 2 10 2 26 4" xfId="3569" xr:uid="{00000000-0005-0000-0000-0000DE0D0000}"/>
    <cellStyle name="Normal 10 2 10 2 26 4 10" xfId="3570" xr:uid="{00000000-0005-0000-0000-0000DF0D0000}"/>
    <cellStyle name="Normal 10 2 10 2 26 4 2" xfId="3571" xr:uid="{00000000-0005-0000-0000-0000E00D0000}"/>
    <cellStyle name="Normal 10 2 10 2 26 4 3" xfId="3572" xr:uid="{00000000-0005-0000-0000-0000E10D0000}"/>
    <cellStyle name="Normal 10 2 10 2 26 4 4" xfId="3573" xr:uid="{00000000-0005-0000-0000-0000E20D0000}"/>
    <cellStyle name="Normal 10 2 10 2 26 4 5" xfId="3574" xr:uid="{00000000-0005-0000-0000-0000E30D0000}"/>
    <cellStyle name="Normal 10 2 10 2 26 4 6" xfId="3575" xr:uid="{00000000-0005-0000-0000-0000E40D0000}"/>
    <cellStyle name="Normal 10 2 10 2 26 4 7" xfId="3576" xr:uid="{00000000-0005-0000-0000-0000E50D0000}"/>
    <cellStyle name="Normal 10 2 10 2 26 4 8" xfId="3577" xr:uid="{00000000-0005-0000-0000-0000E60D0000}"/>
    <cellStyle name="Normal 10 2 10 2 26 4 9" xfId="3578" xr:uid="{00000000-0005-0000-0000-0000E70D0000}"/>
    <cellStyle name="Normal 10 2 10 2 26 5" xfId="3579" xr:uid="{00000000-0005-0000-0000-0000E80D0000}"/>
    <cellStyle name="Normal 10 2 10 2 26 5 10" xfId="3580" xr:uid="{00000000-0005-0000-0000-0000E90D0000}"/>
    <cellStyle name="Normal 10 2 10 2 26 5 2" xfId="3581" xr:uid="{00000000-0005-0000-0000-0000EA0D0000}"/>
    <cellStyle name="Normal 10 2 10 2 26 5 3" xfId="3582" xr:uid="{00000000-0005-0000-0000-0000EB0D0000}"/>
    <cellStyle name="Normal 10 2 10 2 26 5 4" xfId="3583" xr:uid="{00000000-0005-0000-0000-0000EC0D0000}"/>
    <cellStyle name="Normal 10 2 10 2 26 5 5" xfId="3584" xr:uid="{00000000-0005-0000-0000-0000ED0D0000}"/>
    <cellStyle name="Normal 10 2 10 2 26 5 6" xfId="3585" xr:uid="{00000000-0005-0000-0000-0000EE0D0000}"/>
    <cellStyle name="Normal 10 2 10 2 26 5 7" xfId="3586" xr:uid="{00000000-0005-0000-0000-0000EF0D0000}"/>
    <cellStyle name="Normal 10 2 10 2 26 5 8" xfId="3587" xr:uid="{00000000-0005-0000-0000-0000F00D0000}"/>
    <cellStyle name="Normal 10 2 10 2 26 5 9" xfId="3588" xr:uid="{00000000-0005-0000-0000-0000F10D0000}"/>
    <cellStyle name="Normal 10 2 10 2 26 6" xfId="3589" xr:uid="{00000000-0005-0000-0000-0000F20D0000}"/>
    <cellStyle name="Normal 10 2 10 2 26 7" xfId="3590" xr:uid="{00000000-0005-0000-0000-0000F30D0000}"/>
    <cellStyle name="Normal 10 2 10 2 26 8" xfId="3591" xr:uid="{00000000-0005-0000-0000-0000F40D0000}"/>
    <cellStyle name="Normal 10 2 10 2 26 9" xfId="3592" xr:uid="{00000000-0005-0000-0000-0000F50D0000}"/>
    <cellStyle name="Normal 10 2 10 2 27" xfId="3593" xr:uid="{00000000-0005-0000-0000-0000F60D0000}"/>
    <cellStyle name="Normal 10 2 10 2 27 10" xfId="3594" xr:uid="{00000000-0005-0000-0000-0000F70D0000}"/>
    <cellStyle name="Normal 10 2 10 2 27 11" xfId="3595" xr:uid="{00000000-0005-0000-0000-0000F80D0000}"/>
    <cellStyle name="Normal 10 2 10 2 27 12" xfId="3596" xr:uid="{00000000-0005-0000-0000-0000F90D0000}"/>
    <cellStyle name="Normal 10 2 10 2 27 13" xfId="3597" xr:uid="{00000000-0005-0000-0000-0000FA0D0000}"/>
    <cellStyle name="Normal 10 2 10 2 27 14" xfId="3598" xr:uid="{00000000-0005-0000-0000-0000FB0D0000}"/>
    <cellStyle name="Normal 10 2 10 2 27 2" xfId="3599" xr:uid="{00000000-0005-0000-0000-0000FC0D0000}"/>
    <cellStyle name="Normal 10 2 10 2 27 2 10" xfId="3600" xr:uid="{00000000-0005-0000-0000-0000FD0D0000}"/>
    <cellStyle name="Normal 10 2 10 2 27 2 2" xfId="3601" xr:uid="{00000000-0005-0000-0000-0000FE0D0000}"/>
    <cellStyle name="Normal 10 2 10 2 27 2 3" xfId="3602" xr:uid="{00000000-0005-0000-0000-0000FF0D0000}"/>
    <cellStyle name="Normal 10 2 10 2 27 2 4" xfId="3603" xr:uid="{00000000-0005-0000-0000-0000000E0000}"/>
    <cellStyle name="Normal 10 2 10 2 27 2 5" xfId="3604" xr:uid="{00000000-0005-0000-0000-0000010E0000}"/>
    <cellStyle name="Normal 10 2 10 2 27 2 6" xfId="3605" xr:uid="{00000000-0005-0000-0000-0000020E0000}"/>
    <cellStyle name="Normal 10 2 10 2 27 2 7" xfId="3606" xr:uid="{00000000-0005-0000-0000-0000030E0000}"/>
    <cellStyle name="Normal 10 2 10 2 27 2 8" xfId="3607" xr:uid="{00000000-0005-0000-0000-0000040E0000}"/>
    <cellStyle name="Normal 10 2 10 2 27 2 9" xfId="3608" xr:uid="{00000000-0005-0000-0000-0000050E0000}"/>
    <cellStyle name="Normal 10 2 10 2 27 3" xfId="3609" xr:uid="{00000000-0005-0000-0000-0000060E0000}"/>
    <cellStyle name="Normal 10 2 10 2 27 3 10" xfId="3610" xr:uid="{00000000-0005-0000-0000-0000070E0000}"/>
    <cellStyle name="Normal 10 2 10 2 27 3 2" xfId="3611" xr:uid="{00000000-0005-0000-0000-0000080E0000}"/>
    <cellStyle name="Normal 10 2 10 2 27 3 3" xfId="3612" xr:uid="{00000000-0005-0000-0000-0000090E0000}"/>
    <cellStyle name="Normal 10 2 10 2 27 3 4" xfId="3613" xr:uid="{00000000-0005-0000-0000-00000A0E0000}"/>
    <cellStyle name="Normal 10 2 10 2 27 3 5" xfId="3614" xr:uid="{00000000-0005-0000-0000-00000B0E0000}"/>
    <cellStyle name="Normal 10 2 10 2 27 3 6" xfId="3615" xr:uid="{00000000-0005-0000-0000-00000C0E0000}"/>
    <cellStyle name="Normal 10 2 10 2 27 3 7" xfId="3616" xr:uid="{00000000-0005-0000-0000-00000D0E0000}"/>
    <cellStyle name="Normal 10 2 10 2 27 3 8" xfId="3617" xr:uid="{00000000-0005-0000-0000-00000E0E0000}"/>
    <cellStyle name="Normal 10 2 10 2 27 3 9" xfId="3618" xr:uid="{00000000-0005-0000-0000-00000F0E0000}"/>
    <cellStyle name="Normal 10 2 10 2 27 4" xfId="3619" xr:uid="{00000000-0005-0000-0000-0000100E0000}"/>
    <cellStyle name="Normal 10 2 10 2 27 4 10" xfId="3620" xr:uid="{00000000-0005-0000-0000-0000110E0000}"/>
    <cellStyle name="Normal 10 2 10 2 27 4 2" xfId="3621" xr:uid="{00000000-0005-0000-0000-0000120E0000}"/>
    <cellStyle name="Normal 10 2 10 2 27 4 3" xfId="3622" xr:uid="{00000000-0005-0000-0000-0000130E0000}"/>
    <cellStyle name="Normal 10 2 10 2 27 4 4" xfId="3623" xr:uid="{00000000-0005-0000-0000-0000140E0000}"/>
    <cellStyle name="Normal 10 2 10 2 27 4 5" xfId="3624" xr:uid="{00000000-0005-0000-0000-0000150E0000}"/>
    <cellStyle name="Normal 10 2 10 2 27 4 6" xfId="3625" xr:uid="{00000000-0005-0000-0000-0000160E0000}"/>
    <cellStyle name="Normal 10 2 10 2 27 4 7" xfId="3626" xr:uid="{00000000-0005-0000-0000-0000170E0000}"/>
    <cellStyle name="Normal 10 2 10 2 27 4 8" xfId="3627" xr:uid="{00000000-0005-0000-0000-0000180E0000}"/>
    <cellStyle name="Normal 10 2 10 2 27 4 9" xfId="3628" xr:uid="{00000000-0005-0000-0000-0000190E0000}"/>
    <cellStyle name="Normal 10 2 10 2 27 5" xfId="3629" xr:uid="{00000000-0005-0000-0000-00001A0E0000}"/>
    <cellStyle name="Normal 10 2 10 2 27 5 10" xfId="3630" xr:uid="{00000000-0005-0000-0000-00001B0E0000}"/>
    <cellStyle name="Normal 10 2 10 2 27 5 2" xfId="3631" xr:uid="{00000000-0005-0000-0000-00001C0E0000}"/>
    <cellStyle name="Normal 10 2 10 2 27 5 3" xfId="3632" xr:uid="{00000000-0005-0000-0000-00001D0E0000}"/>
    <cellStyle name="Normal 10 2 10 2 27 5 4" xfId="3633" xr:uid="{00000000-0005-0000-0000-00001E0E0000}"/>
    <cellStyle name="Normal 10 2 10 2 27 5 5" xfId="3634" xr:uid="{00000000-0005-0000-0000-00001F0E0000}"/>
    <cellStyle name="Normal 10 2 10 2 27 5 6" xfId="3635" xr:uid="{00000000-0005-0000-0000-0000200E0000}"/>
    <cellStyle name="Normal 10 2 10 2 27 5 7" xfId="3636" xr:uid="{00000000-0005-0000-0000-0000210E0000}"/>
    <cellStyle name="Normal 10 2 10 2 27 5 8" xfId="3637" xr:uid="{00000000-0005-0000-0000-0000220E0000}"/>
    <cellStyle name="Normal 10 2 10 2 27 5 9" xfId="3638" xr:uid="{00000000-0005-0000-0000-0000230E0000}"/>
    <cellStyle name="Normal 10 2 10 2 27 6" xfId="3639" xr:uid="{00000000-0005-0000-0000-0000240E0000}"/>
    <cellStyle name="Normal 10 2 10 2 27 7" xfId="3640" xr:uid="{00000000-0005-0000-0000-0000250E0000}"/>
    <cellStyle name="Normal 10 2 10 2 27 8" xfId="3641" xr:uid="{00000000-0005-0000-0000-0000260E0000}"/>
    <cellStyle name="Normal 10 2 10 2 27 9" xfId="3642" xr:uid="{00000000-0005-0000-0000-0000270E0000}"/>
    <cellStyle name="Normal 10 2 10 2 28" xfId="3643" xr:uid="{00000000-0005-0000-0000-0000280E0000}"/>
    <cellStyle name="Normal 10 2 10 2 28 10" xfId="3644" xr:uid="{00000000-0005-0000-0000-0000290E0000}"/>
    <cellStyle name="Normal 10 2 10 2 28 11" xfId="3645" xr:uid="{00000000-0005-0000-0000-00002A0E0000}"/>
    <cellStyle name="Normal 10 2 10 2 28 12" xfId="3646" xr:uid="{00000000-0005-0000-0000-00002B0E0000}"/>
    <cellStyle name="Normal 10 2 10 2 28 13" xfId="3647" xr:uid="{00000000-0005-0000-0000-00002C0E0000}"/>
    <cellStyle name="Normal 10 2 10 2 28 14" xfId="3648" xr:uid="{00000000-0005-0000-0000-00002D0E0000}"/>
    <cellStyle name="Normal 10 2 10 2 28 2" xfId="3649" xr:uid="{00000000-0005-0000-0000-00002E0E0000}"/>
    <cellStyle name="Normal 10 2 10 2 28 2 10" xfId="3650" xr:uid="{00000000-0005-0000-0000-00002F0E0000}"/>
    <cellStyle name="Normal 10 2 10 2 28 2 2" xfId="3651" xr:uid="{00000000-0005-0000-0000-0000300E0000}"/>
    <cellStyle name="Normal 10 2 10 2 28 2 3" xfId="3652" xr:uid="{00000000-0005-0000-0000-0000310E0000}"/>
    <cellStyle name="Normal 10 2 10 2 28 2 4" xfId="3653" xr:uid="{00000000-0005-0000-0000-0000320E0000}"/>
    <cellStyle name="Normal 10 2 10 2 28 2 5" xfId="3654" xr:uid="{00000000-0005-0000-0000-0000330E0000}"/>
    <cellStyle name="Normal 10 2 10 2 28 2 6" xfId="3655" xr:uid="{00000000-0005-0000-0000-0000340E0000}"/>
    <cellStyle name="Normal 10 2 10 2 28 2 7" xfId="3656" xr:uid="{00000000-0005-0000-0000-0000350E0000}"/>
    <cellStyle name="Normal 10 2 10 2 28 2 8" xfId="3657" xr:uid="{00000000-0005-0000-0000-0000360E0000}"/>
    <cellStyle name="Normal 10 2 10 2 28 2 9" xfId="3658" xr:uid="{00000000-0005-0000-0000-0000370E0000}"/>
    <cellStyle name="Normal 10 2 10 2 28 3" xfId="3659" xr:uid="{00000000-0005-0000-0000-0000380E0000}"/>
    <cellStyle name="Normal 10 2 10 2 28 3 10" xfId="3660" xr:uid="{00000000-0005-0000-0000-0000390E0000}"/>
    <cellStyle name="Normal 10 2 10 2 28 3 2" xfId="3661" xr:uid="{00000000-0005-0000-0000-00003A0E0000}"/>
    <cellStyle name="Normal 10 2 10 2 28 3 3" xfId="3662" xr:uid="{00000000-0005-0000-0000-00003B0E0000}"/>
    <cellStyle name="Normal 10 2 10 2 28 3 4" xfId="3663" xr:uid="{00000000-0005-0000-0000-00003C0E0000}"/>
    <cellStyle name="Normal 10 2 10 2 28 3 5" xfId="3664" xr:uid="{00000000-0005-0000-0000-00003D0E0000}"/>
    <cellStyle name="Normal 10 2 10 2 28 3 6" xfId="3665" xr:uid="{00000000-0005-0000-0000-00003E0E0000}"/>
    <cellStyle name="Normal 10 2 10 2 28 3 7" xfId="3666" xr:uid="{00000000-0005-0000-0000-00003F0E0000}"/>
    <cellStyle name="Normal 10 2 10 2 28 3 8" xfId="3667" xr:uid="{00000000-0005-0000-0000-0000400E0000}"/>
    <cellStyle name="Normal 10 2 10 2 28 3 9" xfId="3668" xr:uid="{00000000-0005-0000-0000-0000410E0000}"/>
    <cellStyle name="Normal 10 2 10 2 28 4" xfId="3669" xr:uid="{00000000-0005-0000-0000-0000420E0000}"/>
    <cellStyle name="Normal 10 2 10 2 28 4 10" xfId="3670" xr:uid="{00000000-0005-0000-0000-0000430E0000}"/>
    <cellStyle name="Normal 10 2 10 2 28 4 2" xfId="3671" xr:uid="{00000000-0005-0000-0000-0000440E0000}"/>
    <cellStyle name="Normal 10 2 10 2 28 4 3" xfId="3672" xr:uid="{00000000-0005-0000-0000-0000450E0000}"/>
    <cellStyle name="Normal 10 2 10 2 28 4 4" xfId="3673" xr:uid="{00000000-0005-0000-0000-0000460E0000}"/>
    <cellStyle name="Normal 10 2 10 2 28 4 5" xfId="3674" xr:uid="{00000000-0005-0000-0000-0000470E0000}"/>
    <cellStyle name="Normal 10 2 10 2 28 4 6" xfId="3675" xr:uid="{00000000-0005-0000-0000-0000480E0000}"/>
    <cellStyle name="Normal 10 2 10 2 28 4 7" xfId="3676" xr:uid="{00000000-0005-0000-0000-0000490E0000}"/>
    <cellStyle name="Normal 10 2 10 2 28 4 8" xfId="3677" xr:uid="{00000000-0005-0000-0000-00004A0E0000}"/>
    <cellStyle name="Normal 10 2 10 2 28 4 9" xfId="3678" xr:uid="{00000000-0005-0000-0000-00004B0E0000}"/>
    <cellStyle name="Normal 10 2 10 2 28 5" xfId="3679" xr:uid="{00000000-0005-0000-0000-00004C0E0000}"/>
    <cellStyle name="Normal 10 2 10 2 28 5 10" xfId="3680" xr:uid="{00000000-0005-0000-0000-00004D0E0000}"/>
    <cellStyle name="Normal 10 2 10 2 28 5 2" xfId="3681" xr:uid="{00000000-0005-0000-0000-00004E0E0000}"/>
    <cellStyle name="Normal 10 2 10 2 28 5 3" xfId="3682" xr:uid="{00000000-0005-0000-0000-00004F0E0000}"/>
    <cellStyle name="Normal 10 2 10 2 28 5 4" xfId="3683" xr:uid="{00000000-0005-0000-0000-0000500E0000}"/>
    <cellStyle name="Normal 10 2 10 2 28 5 5" xfId="3684" xr:uid="{00000000-0005-0000-0000-0000510E0000}"/>
    <cellStyle name="Normal 10 2 10 2 28 5 6" xfId="3685" xr:uid="{00000000-0005-0000-0000-0000520E0000}"/>
    <cellStyle name="Normal 10 2 10 2 28 5 7" xfId="3686" xr:uid="{00000000-0005-0000-0000-0000530E0000}"/>
    <cellStyle name="Normal 10 2 10 2 28 5 8" xfId="3687" xr:uid="{00000000-0005-0000-0000-0000540E0000}"/>
    <cellStyle name="Normal 10 2 10 2 28 5 9" xfId="3688" xr:uid="{00000000-0005-0000-0000-0000550E0000}"/>
    <cellStyle name="Normal 10 2 10 2 28 6" xfId="3689" xr:uid="{00000000-0005-0000-0000-0000560E0000}"/>
    <cellStyle name="Normal 10 2 10 2 28 7" xfId="3690" xr:uid="{00000000-0005-0000-0000-0000570E0000}"/>
    <cellStyle name="Normal 10 2 10 2 28 8" xfId="3691" xr:uid="{00000000-0005-0000-0000-0000580E0000}"/>
    <cellStyle name="Normal 10 2 10 2 28 9" xfId="3692" xr:uid="{00000000-0005-0000-0000-0000590E0000}"/>
    <cellStyle name="Normal 10 2 10 2 29" xfId="3693" xr:uid="{00000000-0005-0000-0000-00005A0E0000}"/>
    <cellStyle name="Normal 10 2 10 2 29 10" xfId="3694" xr:uid="{00000000-0005-0000-0000-00005B0E0000}"/>
    <cellStyle name="Normal 10 2 10 2 29 11" xfId="3695" xr:uid="{00000000-0005-0000-0000-00005C0E0000}"/>
    <cellStyle name="Normal 10 2 10 2 29 12" xfId="3696" xr:uid="{00000000-0005-0000-0000-00005D0E0000}"/>
    <cellStyle name="Normal 10 2 10 2 29 13" xfId="3697" xr:uid="{00000000-0005-0000-0000-00005E0E0000}"/>
    <cellStyle name="Normal 10 2 10 2 29 14" xfId="3698" xr:uid="{00000000-0005-0000-0000-00005F0E0000}"/>
    <cellStyle name="Normal 10 2 10 2 29 2" xfId="3699" xr:uid="{00000000-0005-0000-0000-0000600E0000}"/>
    <cellStyle name="Normal 10 2 10 2 29 2 10" xfId="3700" xr:uid="{00000000-0005-0000-0000-0000610E0000}"/>
    <cellStyle name="Normal 10 2 10 2 29 2 2" xfId="3701" xr:uid="{00000000-0005-0000-0000-0000620E0000}"/>
    <cellStyle name="Normal 10 2 10 2 29 2 3" xfId="3702" xr:uid="{00000000-0005-0000-0000-0000630E0000}"/>
    <cellStyle name="Normal 10 2 10 2 29 2 4" xfId="3703" xr:uid="{00000000-0005-0000-0000-0000640E0000}"/>
    <cellStyle name="Normal 10 2 10 2 29 2 5" xfId="3704" xr:uid="{00000000-0005-0000-0000-0000650E0000}"/>
    <cellStyle name="Normal 10 2 10 2 29 2 6" xfId="3705" xr:uid="{00000000-0005-0000-0000-0000660E0000}"/>
    <cellStyle name="Normal 10 2 10 2 29 2 7" xfId="3706" xr:uid="{00000000-0005-0000-0000-0000670E0000}"/>
    <cellStyle name="Normal 10 2 10 2 29 2 8" xfId="3707" xr:uid="{00000000-0005-0000-0000-0000680E0000}"/>
    <cellStyle name="Normal 10 2 10 2 29 2 9" xfId="3708" xr:uid="{00000000-0005-0000-0000-0000690E0000}"/>
    <cellStyle name="Normal 10 2 10 2 29 3" xfId="3709" xr:uid="{00000000-0005-0000-0000-00006A0E0000}"/>
    <cellStyle name="Normal 10 2 10 2 29 3 10" xfId="3710" xr:uid="{00000000-0005-0000-0000-00006B0E0000}"/>
    <cellStyle name="Normal 10 2 10 2 29 3 2" xfId="3711" xr:uid="{00000000-0005-0000-0000-00006C0E0000}"/>
    <cellStyle name="Normal 10 2 10 2 29 3 3" xfId="3712" xr:uid="{00000000-0005-0000-0000-00006D0E0000}"/>
    <cellStyle name="Normal 10 2 10 2 29 3 4" xfId="3713" xr:uid="{00000000-0005-0000-0000-00006E0E0000}"/>
    <cellStyle name="Normal 10 2 10 2 29 3 5" xfId="3714" xr:uid="{00000000-0005-0000-0000-00006F0E0000}"/>
    <cellStyle name="Normal 10 2 10 2 29 3 6" xfId="3715" xr:uid="{00000000-0005-0000-0000-0000700E0000}"/>
    <cellStyle name="Normal 10 2 10 2 29 3 7" xfId="3716" xr:uid="{00000000-0005-0000-0000-0000710E0000}"/>
    <cellStyle name="Normal 10 2 10 2 29 3 8" xfId="3717" xr:uid="{00000000-0005-0000-0000-0000720E0000}"/>
    <cellStyle name="Normal 10 2 10 2 29 3 9" xfId="3718" xr:uid="{00000000-0005-0000-0000-0000730E0000}"/>
    <cellStyle name="Normal 10 2 10 2 29 4" xfId="3719" xr:uid="{00000000-0005-0000-0000-0000740E0000}"/>
    <cellStyle name="Normal 10 2 10 2 29 4 10" xfId="3720" xr:uid="{00000000-0005-0000-0000-0000750E0000}"/>
    <cellStyle name="Normal 10 2 10 2 29 4 2" xfId="3721" xr:uid="{00000000-0005-0000-0000-0000760E0000}"/>
    <cellStyle name="Normal 10 2 10 2 29 4 3" xfId="3722" xr:uid="{00000000-0005-0000-0000-0000770E0000}"/>
    <cellStyle name="Normal 10 2 10 2 29 4 4" xfId="3723" xr:uid="{00000000-0005-0000-0000-0000780E0000}"/>
    <cellStyle name="Normal 10 2 10 2 29 4 5" xfId="3724" xr:uid="{00000000-0005-0000-0000-0000790E0000}"/>
    <cellStyle name="Normal 10 2 10 2 29 4 6" xfId="3725" xr:uid="{00000000-0005-0000-0000-00007A0E0000}"/>
    <cellStyle name="Normal 10 2 10 2 29 4 7" xfId="3726" xr:uid="{00000000-0005-0000-0000-00007B0E0000}"/>
    <cellStyle name="Normal 10 2 10 2 29 4 8" xfId="3727" xr:uid="{00000000-0005-0000-0000-00007C0E0000}"/>
    <cellStyle name="Normal 10 2 10 2 29 4 9" xfId="3728" xr:uid="{00000000-0005-0000-0000-00007D0E0000}"/>
    <cellStyle name="Normal 10 2 10 2 29 5" xfId="3729" xr:uid="{00000000-0005-0000-0000-00007E0E0000}"/>
    <cellStyle name="Normal 10 2 10 2 29 5 10" xfId="3730" xr:uid="{00000000-0005-0000-0000-00007F0E0000}"/>
    <cellStyle name="Normal 10 2 10 2 29 5 2" xfId="3731" xr:uid="{00000000-0005-0000-0000-0000800E0000}"/>
    <cellStyle name="Normal 10 2 10 2 29 5 3" xfId="3732" xr:uid="{00000000-0005-0000-0000-0000810E0000}"/>
    <cellStyle name="Normal 10 2 10 2 29 5 4" xfId="3733" xr:uid="{00000000-0005-0000-0000-0000820E0000}"/>
    <cellStyle name="Normal 10 2 10 2 29 5 5" xfId="3734" xr:uid="{00000000-0005-0000-0000-0000830E0000}"/>
    <cellStyle name="Normal 10 2 10 2 29 5 6" xfId="3735" xr:uid="{00000000-0005-0000-0000-0000840E0000}"/>
    <cellStyle name="Normal 10 2 10 2 29 5 7" xfId="3736" xr:uid="{00000000-0005-0000-0000-0000850E0000}"/>
    <cellStyle name="Normal 10 2 10 2 29 5 8" xfId="3737" xr:uid="{00000000-0005-0000-0000-0000860E0000}"/>
    <cellStyle name="Normal 10 2 10 2 29 5 9" xfId="3738" xr:uid="{00000000-0005-0000-0000-0000870E0000}"/>
    <cellStyle name="Normal 10 2 10 2 29 6" xfId="3739" xr:uid="{00000000-0005-0000-0000-0000880E0000}"/>
    <cellStyle name="Normal 10 2 10 2 29 7" xfId="3740" xr:uid="{00000000-0005-0000-0000-0000890E0000}"/>
    <cellStyle name="Normal 10 2 10 2 29 8" xfId="3741" xr:uid="{00000000-0005-0000-0000-00008A0E0000}"/>
    <cellStyle name="Normal 10 2 10 2 29 9" xfId="3742" xr:uid="{00000000-0005-0000-0000-00008B0E0000}"/>
    <cellStyle name="Normal 10 2 10 2 3" xfId="3743" xr:uid="{00000000-0005-0000-0000-00008C0E0000}"/>
    <cellStyle name="Normal 10 2 10 2 3 10" xfId="3744" xr:uid="{00000000-0005-0000-0000-00008D0E0000}"/>
    <cellStyle name="Normal 10 2 10 2 3 11" xfId="3745" xr:uid="{00000000-0005-0000-0000-00008E0E0000}"/>
    <cellStyle name="Normal 10 2 10 2 3 12" xfId="3746" xr:uid="{00000000-0005-0000-0000-00008F0E0000}"/>
    <cellStyle name="Normal 10 2 10 2 3 13" xfId="3747" xr:uid="{00000000-0005-0000-0000-0000900E0000}"/>
    <cellStyle name="Normal 10 2 10 2 3 14" xfId="3748" xr:uid="{00000000-0005-0000-0000-0000910E0000}"/>
    <cellStyle name="Normal 10 2 10 2 3 2" xfId="3749" xr:uid="{00000000-0005-0000-0000-0000920E0000}"/>
    <cellStyle name="Normal 10 2 10 2 3 2 10" xfId="3750" xr:uid="{00000000-0005-0000-0000-0000930E0000}"/>
    <cellStyle name="Normal 10 2 10 2 3 2 2" xfId="3751" xr:uid="{00000000-0005-0000-0000-0000940E0000}"/>
    <cellStyle name="Normal 10 2 10 2 3 2 3" xfId="3752" xr:uid="{00000000-0005-0000-0000-0000950E0000}"/>
    <cellStyle name="Normal 10 2 10 2 3 2 4" xfId="3753" xr:uid="{00000000-0005-0000-0000-0000960E0000}"/>
    <cellStyle name="Normal 10 2 10 2 3 2 5" xfId="3754" xr:uid="{00000000-0005-0000-0000-0000970E0000}"/>
    <cellStyle name="Normal 10 2 10 2 3 2 6" xfId="3755" xr:uid="{00000000-0005-0000-0000-0000980E0000}"/>
    <cellStyle name="Normal 10 2 10 2 3 2 7" xfId="3756" xr:uid="{00000000-0005-0000-0000-0000990E0000}"/>
    <cellStyle name="Normal 10 2 10 2 3 2 8" xfId="3757" xr:uid="{00000000-0005-0000-0000-00009A0E0000}"/>
    <cellStyle name="Normal 10 2 10 2 3 2 9" xfId="3758" xr:uid="{00000000-0005-0000-0000-00009B0E0000}"/>
    <cellStyle name="Normal 10 2 10 2 3 3" xfId="3759" xr:uid="{00000000-0005-0000-0000-00009C0E0000}"/>
    <cellStyle name="Normal 10 2 10 2 3 3 10" xfId="3760" xr:uid="{00000000-0005-0000-0000-00009D0E0000}"/>
    <cellStyle name="Normal 10 2 10 2 3 3 2" xfId="3761" xr:uid="{00000000-0005-0000-0000-00009E0E0000}"/>
    <cellStyle name="Normal 10 2 10 2 3 3 3" xfId="3762" xr:uid="{00000000-0005-0000-0000-00009F0E0000}"/>
    <cellStyle name="Normal 10 2 10 2 3 3 4" xfId="3763" xr:uid="{00000000-0005-0000-0000-0000A00E0000}"/>
    <cellStyle name="Normal 10 2 10 2 3 3 5" xfId="3764" xr:uid="{00000000-0005-0000-0000-0000A10E0000}"/>
    <cellStyle name="Normal 10 2 10 2 3 3 6" xfId="3765" xr:uid="{00000000-0005-0000-0000-0000A20E0000}"/>
    <cellStyle name="Normal 10 2 10 2 3 3 7" xfId="3766" xr:uid="{00000000-0005-0000-0000-0000A30E0000}"/>
    <cellStyle name="Normal 10 2 10 2 3 3 8" xfId="3767" xr:uid="{00000000-0005-0000-0000-0000A40E0000}"/>
    <cellStyle name="Normal 10 2 10 2 3 3 9" xfId="3768" xr:uid="{00000000-0005-0000-0000-0000A50E0000}"/>
    <cellStyle name="Normal 10 2 10 2 3 4" xfId="3769" xr:uid="{00000000-0005-0000-0000-0000A60E0000}"/>
    <cellStyle name="Normal 10 2 10 2 3 4 10" xfId="3770" xr:uid="{00000000-0005-0000-0000-0000A70E0000}"/>
    <cellStyle name="Normal 10 2 10 2 3 4 2" xfId="3771" xr:uid="{00000000-0005-0000-0000-0000A80E0000}"/>
    <cellStyle name="Normal 10 2 10 2 3 4 3" xfId="3772" xr:uid="{00000000-0005-0000-0000-0000A90E0000}"/>
    <cellStyle name="Normal 10 2 10 2 3 4 4" xfId="3773" xr:uid="{00000000-0005-0000-0000-0000AA0E0000}"/>
    <cellStyle name="Normal 10 2 10 2 3 4 5" xfId="3774" xr:uid="{00000000-0005-0000-0000-0000AB0E0000}"/>
    <cellStyle name="Normal 10 2 10 2 3 4 6" xfId="3775" xr:uid="{00000000-0005-0000-0000-0000AC0E0000}"/>
    <cellStyle name="Normal 10 2 10 2 3 4 7" xfId="3776" xr:uid="{00000000-0005-0000-0000-0000AD0E0000}"/>
    <cellStyle name="Normal 10 2 10 2 3 4 8" xfId="3777" xr:uid="{00000000-0005-0000-0000-0000AE0E0000}"/>
    <cellStyle name="Normal 10 2 10 2 3 4 9" xfId="3778" xr:uid="{00000000-0005-0000-0000-0000AF0E0000}"/>
    <cellStyle name="Normal 10 2 10 2 3 5" xfId="3779" xr:uid="{00000000-0005-0000-0000-0000B00E0000}"/>
    <cellStyle name="Normal 10 2 10 2 3 5 10" xfId="3780" xr:uid="{00000000-0005-0000-0000-0000B10E0000}"/>
    <cellStyle name="Normal 10 2 10 2 3 5 2" xfId="3781" xr:uid="{00000000-0005-0000-0000-0000B20E0000}"/>
    <cellStyle name="Normal 10 2 10 2 3 5 3" xfId="3782" xr:uid="{00000000-0005-0000-0000-0000B30E0000}"/>
    <cellStyle name="Normal 10 2 10 2 3 5 4" xfId="3783" xr:uid="{00000000-0005-0000-0000-0000B40E0000}"/>
    <cellStyle name="Normal 10 2 10 2 3 5 5" xfId="3784" xr:uid="{00000000-0005-0000-0000-0000B50E0000}"/>
    <cellStyle name="Normal 10 2 10 2 3 5 6" xfId="3785" xr:uid="{00000000-0005-0000-0000-0000B60E0000}"/>
    <cellStyle name="Normal 10 2 10 2 3 5 7" xfId="3786" xr:uid="{00000000-0005-0000-0000-0000B70E0000}"/>
    <cellStyle name="Normal 10 2 10 2 3 5 8" xfId="3787" xr:uid="{00000000-0005-0000-0000-0000B80E0000}"/>
    <cellStyle name="Normal 10 2 10 2 3 5 9" xfId="3788" xr:uid="{00000000-0005-0000-0000-0000B90E0000}"/>
    <cellStyle name="Normal 10 2 10 2 3 6" xfId="3789" xr:uid="{00000000-0005-0000-0000-0000BA0E0000}"/>
    <cellStyle name="Normal 10 2 10 2 3 7" xfId="3790" xr:uid="{00000000-0005-0000-0000-0000BB0E0000}"/>
    <cellStyle name="Normal 10 2 10 2 3 8" xfId="3791" xr:uid="{00000000-0005-0000-0000-0000BC0E0000}"/>
    <cellStyle name="Normal 10 2 10 2 3 9" xfId="3792" xr:uid="{00000000-0005-0000-0000-0000BD0E0000}"/>
    <cellStyle name="Normal 10 2 10 2 30" xfId="3793" xr:uid="{00000000-0005-0000-0000-0000BE0E0000}"/>
    <cellStyle name="Normal 10 2 10 2 30 10" xfId="3794" xr:uid="{00000000-0005-0000-0000-0000BF0E0000}"/>
    <cellStyle name="Normal 10 2 10 2 30 11" xfId="3795" xr:uid="{00000000-0005-0000-0000-0000C00E0000}"/>
    <cellStyle name="Normal 10 2 10 2 30 12" xfId="3796" xr:uid="{00000000-0005-0000-0000-0000C10E0000}"/>
    <cellStyle name="Normal 10 2 10 2 30 13" xfId="3797" xr:uid="{00000000-0005-0000-0000-0000C20E0000}"/>
    <cellStyle name="Normal 10 2 10 2 30 14" xfId="3798" xr:uid="{00000000-0005-0000-0000-0000C30E0000}"/>
    <cellStyle name="Normal 10 2 10 2 30 2" xfId="3799" xr:uid="{00000000-0005-0000-0000-0000C40E0000}"/>
    <cellStyle name="Normal 10 2 10 2 30 2 10" xfId="3800" xr:uid="{00000000-0005-0000-0000-0000C50E0000}"/>
    <cellStyle name="Normal 10 2 10 2 30 2 2" xfId="3801" xr:uid="{00000000-0005-0000-0000-0000C60E0000}"/>
    <cellStyle name="Normal 10 2 10 2 30 2 3" xfId="3802" xr:uid="{00000000-0005-0000-0000-0000C70E0000}"/>
    <cellStyle name="Normal 10 2 10 2 30 2 4" xfId="3803" xr:uid="{00000000-0005-0000-0000-0000C80E0000}"/>
    <cellStyle name="Normal 10 2 10 2 30 2 5" xfId="3804" xr:uid="{00000000-0005-0000-0000-0000C90E0000}"/>
    <cellStyle name="Normal 10 2 10 2 30 2 6" xfId="3805" xr:uid="{00000000-0005-0000-0000-0000CA0E0000}"/>
    <cellStyle name="Normal 10 2 10 2 30 2 7" xfId="3806" xr:uid="{00000000-0005-0000-0000-0000CB0E0000}"/>
    <cellStyle name="Normal 10 2 10 2 30 2 8" xfId="3807" xr:uid="{00000000-0005-0000-0000-0000CC0E0000}"/>
    <cellStyle name="Normal 10 2 10 2 30 2 9" xfId="3808" xr:uid="{00000000-0005-0000-0000-0000CD0E0000}"/>
    <cellStyle name="Normal 10 2 10 2 30 3" xfId="3809" xr:uid="{00000000-0005-0000-0000-0000CE0E0000}"/>
    <cellStyle name="Normal 10 2 10 2 30 3 10" xfId="3810" xr:uid="{00000000-0005-0000-0000-0000CF0E0000}"/>
    <cellStyle name="Normal 10 2 10 2 30 3 2" xfId="3811" xr:uid="{00000000-0005-0000-0000-0000D00E0000}"/>
    <cellStyle name="Normal 10 2 10 2 30 3 3" xfId="3812" xr:uid="{00000000-0005-0000-0000-0000D10E0000}"/>
    <cellStyle name="Normal 10 2 10 2 30 3 4" xfId="3813" xr:uid="{00000000-0005-0000-0000-0000D20E0000}"/>
    <cellStyle name="Normal 10 2 10 2 30 3 5" xfId="3814" xr:uid="{00000000-0005-0000-0000-0000D30E0000}"/>
    <cellStyle name="Normal 10 2 10 2 30 3 6" xfId="3815" xr:uid="{00000000-0005-0000-0000-0000D40E0000}"/>
    <cellStyle name="Normal 10 2 10 2 30 3 7" xfId="3816" xr:uid="{00000000-0005-0000-0000-0000D50E0000}"/>
    <cellStyle name="Normal 10 2 10 2 30 3 8" xfId="3817" xr:uid="{00000000-0005-0000-0000-0000D60E0000}"/>
    <cellStyle name="Normal 10 2 10 2 30 3 9" xfId="3818" xr:uid="{00000000-0005-0000-0000-0000D70E0000}"/>
    <cellStyle name="Normal 10 2 10 2 30 4" xfId="3819" xr:uid="{00000000-0005-0000-0000-0000D80E0000}"/>
    <cellStyle name="Normal 10 2 10 2 30 4 10" xfId="3820" xr:uid="{00000000-0005-0000-0000-0000D90E0000}"/>
    <cellStyle name="Normal 10 2 10 2 30 4 2" xfId="3821" xr:uid="{00000000-0005-0000-0000-0000DA0E0000}"/>
    <cellStyle name="Normal 10 2 10 2 30 4 3" xfId="3822" xr:uid="{00000000-0005-0000-0000-0000DB0E0000}"/>
    <cellStyle name="Normal 10 2 10 2 30 4 4" xfId="3823" xr:uid="{00000000-0005-0000-0000-0000DC0E0000}"/>
    <cellStyle name="Normal 10 2 10 2 30 4 5" xfId="3824" xr:uid="{00000000-0005-0000-0000-0000DD0E0000}"/>
    <cellStyle name="Normal 10 2 10 2 30 4 6" xfId="3825" xr:uid="{00000000-0005-0000-0000-0000DE0E0000}"/>
    <cellStyle name="Normal 10 2 10 2 30 4 7" xfId="3826" xr:uid="{00000000-0005-0000-0000-0000DF0E0000}"/>
    <cellStyle name="Normal 10 2 10 2 30 4 8" xfId="3827" xr:uid="{00000000-0005-0000-0000-0000E00E0000}"/>
    <cellStyle name="Normal 10 2 10 2 30 4 9" xfId="3828" xr:uid="{00000000-0005-0000-0000-0000E10E0000}"/>
    <cellStyle name="Normal 10 2 10 2 30 5" xfId="3829" xr:uid="{00000000-0005-0000-0000-0000E20E0000}"/>
    <cellStyle name="Normal 10 2 10 2 30 5 10" xfId="3830" xr:uid="{00000000-0005-0000-0000-0000E30E0000}"/>
    <cellStyle name="Normal 10 2 10 2 30 5 2" xfId="3831" xr:uid="{00000000-0005-0000-0000-0000E40E0000}"/>
    <cellStyle name="Normal 10 2 10 2 30 5 3" xfId="3832" xr:uid="{00000000-0005-0000-0000-0000E50E0000}"/>
    <cellStyle name="Normal 10 2 10 2 30 5 4" xfId="3833" xr:uid="{00000000-0005-0000-0000-0000E60E0000}"/>
    <cellStyle name="Normal 10 2 10 2 30 5 5" xfId="3834" xr:uid="{00000000-0005-0000-0000-0000E70E0000}"/>
    <cellStyle name="Normal 10 2 10 2 30 5 6" xfId="3835" xr:uid="{00000000-0005-0000-0000-0000E80E0000}"/>
    <cellStyle name="Normal 10 2 10 2 30 5 7" xfId="3836" xr:uid="{00000000-0005-0000-0000-0000E90E0000}"/>
    <cellStyle name="Normal 10 2 10 2 30 5 8" xfId="3837" xr:uid="{00000000-0005-0000-0000-0000EA0E0000}"/>
    <cellStyle name="Normal 10 2 10 2 30 5 9" xfId="3838" xr:uid="{00000000-0005-0000-0000-0000EB0E0000}"/>
    <cellStyle name="Normal 10 2 10 2 30 6" xfId="3839" xr:uid="{00000000-0005-0000-0000-0000EC0E0000}"/>
    <cellStyle name="Normal 10 2 10 2 30 7" xfId="3840" xr:uid="{00000000-0005-0000-0000-0000ED0E0000}"/>
    <cellStyle name="Normal 10 2 10 2 30 8" xfId="3841" xr:uid="{00000000-0005-0000-0000-0000EE0E0000}"/>
    <cellStyle name="Normal 10 2 10 2 30 9" xfId="3842" xr:uid="{00000000-0005-0000-0000-0000EF0E0000}"/>
    <cellStyle name="Normal 10 2 10 2 31" xfId="3843" xr:uid="{00000000-0005-0000-0000-0000F00E0000}"/>
    <cellStyle name="Normal 10 2 10 2 31 10" xfId="3844" xr:uid="{00000000-0005-0000-0000-0000F10E0000}"/>
    <cellStyle name="Normal 10 2 10 2 31 11" xfId="3845" xr:uid="{00000000-0005-0000-0000-0000F20E0000}"/>
    <cellStyle name="Normal 10 2 10 2 31 12" xfId="3846" xr:uid="{00000000-0005-0000-0000-0000F30E0000}"/>
    <cellStyle name="Normal 10 2 10 2 31 13" xfId="3847" xr:uid="{00000000-0005-0000-0000-0000F40E0000}"/>
    <cellStyle name="Normal 10 2 10 2 31 14" xfId="3848" xr:uid="{00000000-0005-0000-0000-0000F50E0000}"/>
    <cellStyle name="Normal 10 2 10 2 31 2" xfId="3849" xr:uid="{00000000-0005-0000-0000-0000F60E0000}"/>
    <cellStyle name="Normal 10 2 10 2 31 2 10" xfId="3850" xr:uid="{00000000-0005-0000-0000-0000F70E0000}"/>
    <cellStyle name="Normal 10 2 10 2 31 2 2" xfId="3851" xr:uid="{00000000-0005-0000-0000-0000F80E0000}"/>
    <cellStyle name="Normal 10 2 10 2 31 2 3" xfId="3852" xr:uid="{00000000-0005-0000-0000-0000F90E0000}"/>
    <cellStyle name="Normal 10 2 10 2 31 2 4" xfId="3853" xr:uid="{00000000-0005-0000-0000-0000FA0E0000}"/>
    <cellStyle name="Normal 10 2 10 2 31 2 5" xfId="3854" xr:uid="{00000000-0005-0000-0000-0000FB0E0000}"/>
    <cellStyle name="Normal 10 2 10 2 31 2 6" xfId="3855" xr:uid="{00000000-0005-0000-0000-0000FC0E0000}"/>
    <cellStyle name="Normal 10 2 10 2 31 2 7" xfId="3856" xr:uid="{00000000-0005-0000-0000-0000FD0E0000}"/>
    <cellStyle name="Normal 10 2 10 2 31 2 8" xfId="3857" xr:uid="{00000000-0005-0000-0000-0000FE0E0000}"/>
    <cellStyle name="Normal 10 2 10 2 31 2 9" xfId="3858" xr:uid="{00000000-0005-0000-0000-0000FF0E0000}"/>
    <cellStyle name="Normal 10 2 10 2 31 3" xfId="3859" xr:uid="{00000000-0005-0000-0000-0000000F0000}"/>
    <cellStyle name="Normal 10 2 10 2 31 3 10" xfId="3860" xr:uid="{00000000-0005-0000-0000-0000010F0000}"/>
    <cellStyle name="Normal 10 2 10 2 31 3 2" xfId="3861" xr:uid="{00000000-0005-0000-0000-0000020F0000}"/>
    <cellStyle name="Normal 10 2 10 2 31 3 3" xfId="3862" xr:uid="{00000000-0005-0000-0000-0000030F0000}"/>
    <cellStyle name="Normal 10 2 10 2 31 3 4" xfId="3863" xr:uid="{00000000-0005-0000-0000-0000040F0000}"/>
    <cellStyle name="Normal 10 2 10 2 31 3 5" xfId="3864" xr:uid="{00000000-0005-0000-0000-0000050F0000}"/>
    <cellStyle name="Normal 10 2 10 2 31 3 6" xfId="3865" xr:uid="{00000000-0005-0000-0000-0000060F0000}"/>
    <cellStyle name="Normal 10 2 10 2 31 3 7" xfId="3866" xr:uid="{00000000-0005-0000-0000-0000070F0000}"/>
    <cellStyle name="Normal 10 2 10 2 31 3 8" xfId="3867" xr:uid="{00000000-0005-0000-0000-0000080F0000}"/>
    <cellStyle name="Normal 10 2 10 2 31 3 9" xfId="3868" xr:uid="{00000000-0005-0000-0000-0000090F0000}"/>
    <cellStyle name="Normal 10 2 10 2 31 4" xfId="3869" xr:uid="{00000000-0005-0000-0000-00000A0F0000}"/>
    <cellStyle name="Normal 10 2 10 2 31 4 10" xfId="3870" xr:uid="{00000000-0005-0000-0000-00000B0F0000}"/>
    <cellStyle name="Normal 10 2 10 2 31 4 2" xfId="3871" xr:uid="{00000000-0005-0000-0000-00000C0F0000}"/>
    <cellStyle name="Normal 10 2 10 2 31 4 3" xfId="3872" xr:uid="{00000000-0005-0000-0000-00000D0F0000}"/>
    <cellStyle name="Normal 10 2 10 2 31 4 4" xfId="3873" xr:uid="{00000000-0005-0000-0000-00000E0F0000}"/>
    <cellStyle name="Normal 10 2 10 2 31 4 5" xfId="3874" xr:uid="{00000000-0005-0000-0000-00000F0F0000}"/>
    <cellStyle name="Normal 10 2 10 2 31 4 6" xfId="3875" xr:uid="{00000000-0005-0000-0000-0000100F0000}"/>
    <cellStyle name="Normal 10 2 10 2 31 4 7" xfId="3876" xr:uid="{00000000-0005-0000-0000-0000110F0000}"/>
    <cellStyle name="Normal 10 2 10 2 31 4 8" xfId="3877" xr:uid="{00000000-0005-0000-0000-0000120F0000}"/>
    <cellStyle name="Normal 10 2 10 2 31 4 9" xfId="3878" xr:uid="{00000000-0005-0000-0000-0000130F0000}"/>
    <cellStyle name="Normal 10 2 10 2 31 5" xfId="3879" xr:uid="{00000000-0005-0000-0000-0000140F0000}"/>
    <cellStyle name="Normal 10 2 10 2 31 5 10" xfId="3880" xr:uid="{00000000-0005-0000-0000-0000150F0000}"/>
    <cellStyle name="Normal 10 2 10 2 31 5 2" xfId="3881" xr:uid="{00000000-0005-0000-0000-0000160F0000}"/>
    <cellStyle name="Normal 10 2 10 2 31 5 3" xfId="3882" xr:uid="{00000000-0005-0000-0000-0000170F0000}"/>
    <cellStyle name="Normal 10 2 10 2 31 5 4" xfId="3883" xr:uid="{00000000-0005-0000-0000-0000180F0000}"/>
    <cellStyle name="Normal 10 2 10 2 31 5 5" xfId="3884" xr:uid="{00000000-0005-0000-0000-0000190F0000}"/>
    <cellStyle name="Normal 10 2 10 2 31 5 6" xfId="3885" xr:uid="{00000000-0005-0000-0000-00001A0F0000}"/>
    <cellStyle name="Normal 10 2 10 2 31 5 7" xfId="3886" xr:uid="{00000000-0005-0000-0000-00001B0F0000}"/>
    <cellStyle name="Normal 10 2 10 2 31 5 8" xfId="3887" xr:uid="{00000000-0005-0000-0000-00001C0F0000}"/>
    <cellStyle name="Normal 10 2 10 2 31 5 9" xfId="3888" xr:uid="{00000000-0005-0000-0000-00001D0F0000}"/>
    <cellStyle name="Normal 10 2 10 2 31 6" xfId="3889" xr:uid="{00000000-0005-0000-0000-00001E0F0000}"/>
    <cellStyle name="Normal 10 2 10 2 31 7" xfId="3890" xr:uid="{00000000-0005-0000-0000-00001F0F0000}"/>
    <cellStyle name="Normal 10 2 10 2 31 8" xfId="3891" xr:uid="{00000000-0005-0000-0000-0000200F0000}"/>
    <cellStyle name="Normal 10 2 10 2 31 9" xfId="3892" xr:uid="{00000000-0005-0000-0000-0000210F0000}"/>
    <cellStyle name="Normal 10 2 10 2 32" xfId="3893" xr:uid="{00000000-0005-0000-0000-0000220F0000}"/>
    <cellStyle name="Normal 10 2 10 2 32 10" xfId="3894" xr:uid="{00000000-0005-0000-0000-0000230F0000}"/>
    <cellStyle name="Normal 10 2 10 2 32 11" xfId="3895" xr:uid="{00000000-0005-0000-0000-0000240F0000}"/>
    <cellStyle name="Normal 10 2 10 2 32 12" xfId="3896" xr:uid="{00000000-0005-0000-0000-0000250F0000}"/>
    <cellStyle name="Normal 10 2 10 2 32 13" xfId="3897" xr:uid="{00000000-0005-0000-0000-0000260F0000}"/>
    <cellStyle name="Normal 10 2 10 2 32 14" xfId="3898" xr:uid="{00000000-0005-0000-0000-0000270F0000}"/>
    <cellStyle name="Normal 10 2 10 2 32 2" xfId="3899" xr:uid="{00000000-0005-0000-0000-0000280F0000}"/>
    <cellStyle name="Normal 10 2 10 2 32 2 10" xfId="3900" xr:uid="{00000000-0005-0000-0000-0000290F0000}"/>
    <cellStyle name="Normal 10 2 10 2 32 2 2" xfId="3901" xr:uid="{00000000-0005-0000-0000-00002A0F0000}"/>
    <cellStyle name="Normal 10 2 10 2 32 2 3" xfId="3902" xr:uid="{00000000-0005-0000-0000-00002B0F0000}"/>
    <cellStyle name="Normal 10 2 10 2 32 2 4" xfId="3903" xr:uid="{00000000-0005-0000-0000-00002C0F0000}"/>
    <cellStyle name="Normal 10 2 10 2 32 2 5" xfId="3904" xr:uid="{00000000-0005-0000-0000-00002D0F0000}"/>
    <cellStyle name="Normal 10 2 10 2 32 2 6" xfId="3905" xr:uid="{00000000-0005-0000-0000-00002E0F0000}"/>
    <cellStyle name="Normal 10 2 10 2 32 2 7" xfId="3906" xr:uid="{00000000-0005-0000-0000-00002F0F0000}"/>
    <cellStyle name="Normal 10 2 10 2 32 2 8" xfId="3907" xr:uid="{00000000-0005-0000-0000-0000300F0000}"/>
    <cellStyle name="Normal 10 2 10 2 32 2 9" xfId="3908" xr:uid="{00000000-0005-0000-0000-0000310F0000}"/>
    <cellStyle name="Normal 10 2 10 2 32 3" xfId="3909" xr:uid="{00000000-0005-0000-0000-0000320F0000}"/>
    <cellStyle name="Normal 10 2 10 2 32 3 10" xfId="3910" xr:uid="{00000000-0005-0000-0000-0000330F0000}"/>
    <cellStyle name="Normal 10 2 10 2 32 3 2" xfId="3911" xr:uid="{00000000-0005-0000-0000-0000340F0000}"/>
    <cellStyle name="Normal 10 2 10 2 32 3 3" xfId="3912" xr:uid="{00000000-0005-0000-0000-0000350F0000}"/>
    <cellStyle name="Normal 10 2 10 2 32 3 4" xfId="3913" xr:uid="{00000000-0005-0000-0000-0000360F0000}"/>
    <cellStyle name="Normal 10 2 10 2 32 3 5" xfId="3914" xr:uid="{00000000-0005-0000-0000-0000370F0000}"/>
    <cellStyle name="Normal 10 2 10 2 32 3 6" xfId="3915" xr:uid="{00000000-0005-0000-0000-0000380F0000}"/>
    <cellStyle name="Normal 10 2 10 2 32 3 7" xfId="3916" xr:uid="{00000000-0005-0000-0000-0000390F0000}"/>
    <cellStyle name="Normal 10 2 10 2 32 3 8" xfId="3917" xr:uid="{00000000-0005-0000-0000-00003A0F0000}"/>
    <cellStyle name="Normal 10 2 10 2 32 3 9" xfId="3918" xr:uid="{00000000-0005-0000-0000-00003B0F0000}"/>
    <cellStyle name="Normal 10 2 10 2 32 4" xfId="3919" xr:uid="{00000000-0005-0000-0000-00003C0F0000}"/>
    <cellStyle name="Normal 10 2 10 2 32 4 10" xfId="3920" xr:uid="{00000000-0005-0000-0000-00003D0F0000}"/>
    <cellStyle name="Normal 10 2 10 2 32 4 2" xfId="3921" xr:uid="{00000000-0005-0000-0000-00003E0F0000}"/>
    <cellStyle name="Normal 10 2 10 2 32 4 3" xfId="3922" xr:uid="{00000000-0005-0000-0000-00003F0F0000}"/>
    <cellStyle name="Normal 10 2 10 2 32 4 4" xfId="3923" xr:uid="{00000000-0005-0000-0000-0000400F0000}"/>
    <cellStyle name="Normal 10 2 10 2 32 4 5" xfId="3924" xr:uid="{00000000-0005-0000-0000-0000410F0000}"/>
    <cellStyle name="Normal 10 2 10 2 32 4 6" xfId="3925" xr:uid="{00000000-0005-0000-0000-0000420F0000}"/>
    <cellStyle name="Normal 10 2 10 2 32 4 7" xfId="3926" xr:uid="{00000000-0005-0000-0000-0000430F0000}"/>
    <cellStyle name="Normal 10 2 10 2 32 4 8" xfId="3927" xr:uid="{00000000-0005-0000-0000-0000440F0000}"/>
    <cellStyle name="Normal 10 2 10 2 32 4 9" xfId="3928" xr:uid="{00000000-0005-0000-0000-0000450F0000}"/>
    <cellStyle name="Normal 10 2 10 2 32 5" xfId="3929" xr:uid="{00000000-0005-0000-0000-0000460F0000}"/>
    <cellStyle name="Normal 10 2 10 2 32 5 10" xfId="3930" xr:uid="{00000000-0005-0000-0000-0000470F0000}"/>
    <cellStyle name="Normal 10 2 10 2 32 5 2" xfId="3931" xr:uid="{00000000-0005-0000-0000-0000480F0000}"/>
    <cellStyle name="Normal 10 2 10 2 32 5 3" xfId="3932" xr:uid="{00000000-0005-0000-0000-0000490F0000}"/>
    <cellStyle name="Normal 10 2 10 2 32 5 4" xfId="3933" xr:uid="{00000000-0005-0000-0000-00004A0F0000}"/>
    <cellStyle name="Normal 10 2 10 2 32 5 5" xfId="3934" xr:uid="{00000000-0005-0000-0000-00004B0F0000}"/>
    <cellStyle name="Normal 10 2 10 2 32 5 6" xfId="3935" xr:uid="{00000000-0005-0000-0000-00004C0F0000}"/>
    <cellStyle name="Normal 10 2 10 2 32 5 7" xfId="3936" xr:uid="{00000000-0005-0000-0000-00004D0F0000}"/>
    <cellStyle name="Normal 10 2 10 2 32 5 8" xfId="3937" xr:uid="{00000000-0005-0000-0000-00004E0F0000}"/>
    <cellStyle name="Normal 10 2 10 2 32 5 9" xfId="3938" xr:uid="{00000000-0005-0000-0000-00004F0F0000}"/>
    <cellStyle name="Normal 10 2 10 2 32 6" xfId="3939" xr:uid="{00000000-0005-0000-0000-0000500F0000}"/>
    <cellStyle name="Normal 10 2 10 2 32 7" xfId="3940" xr:uid="{00000000-0005-0000-0000-0000510F0000}"/>
    <cellStyle name="Normal 10 2 10 2 32 8" xfId="3941" xr:uid="{00000000-0005-0000-0000-0000520F0000}"/>
    <cellStyle name="Normal 10 2 10 2 32 9" xfId="3942" xr:uid="{00000000-0005-0000-0000-0000530F0000}"/>
    <cellStyle name="Normal 10 2 10 2 33" xfId="3943" xr:uid="{00000000-0005-0000-0000-0000540F0000}"/>
    <cellStyle name="Normal 10 2 10 2 33 10" xfId="3944" xr:uid="{00000000-0005-0000-0000-0000550F0000}"/>
    <cellStyle name="Normal 10 2 10 2 33 11" xfId="3945" xr:uid="{00000000-0005-0000-0000-0000560F0000}"/>
    <cellStyle name="Normal 10 2 10 2 33 12" xfId="3946" xr:uid="{00000000-0005-0000-0000-0000570F0000}"/>
    <cellStyle name="Normal 10 2 10 2 33 13" xfId="3947" xr:uid="{00000000-0005-0000-0000-0000580F0000}"/>
    <cellStyle name="Normal 10 2 10 2 33 14" xfId="3948" xr:uid="{00000000-0005-0000-0000-0000590F0000}"/>
    <cellStyle name="Normal 10 2 10 2 33 2" xfId="3949" xr:uid="{00000000-0005-0000-0000-00005A0F0000}"/>
    <cellStyle name="Normal 10 2 10 2 33 2 10" xfId="3950" xr:uid="{00000000-0005-0000-0000-00005B0F0000}"/>
    <cellStyle name="Normal 10 2 10 2 33 2 2" xfId="3951" xr:uid="{00000000-0005-0000-0000-00005C0F0000}"/>
    <cellStyle name="Normal 10 2 10 2 33 2 3" xfId="3952" xr:uid="{00000000-0005-0000-0000-00005D0F0000}"/>
    <cellStyle name="Normal 10 2 10 2 33 2 4" xfId="3953" xr:uid="{00000000-0005-0000-0000-00005E0F0000}"/>
    <cellStyle name="Normal 10 2 10 2 33 2 5" xfId="3954" xr:uid="{00000000-0005-0000-0000-00005F0F0000}"/>
    <cellStyle name="Normal 10 2 10 2 33 2 6" xfId="3955" xr:uid="{00000000-0005-0000-0000-0000600F0000}"/>
    <cellStyle name="Normal 10 2 10 2 33 2 7" xfId="3956" xr:uid="{00000000-0005-0000-0000-0000610F0000}"/>
    <cellStyle name="Normal 10 2 10 2 33 2 8" xfId="3957" xr:uid="{00000000-0005-0000-0000-0000620F0000}"/>
    <cellStyle name="Normal 10 2 10 2 33 2 9" xfId="3958" xr:uid="{00000000-0005-0000-0000-0000630F0000}"/>
    <cellStyle name="Normal 10 2 10 2 33 3" xfId="3959" xr:uid="{00000000-0005-0000-0000-0000640F0000}"/>
    <cellStyle name="Normal 10 2 10 2 33 3 10" xfId="3960" xr:uid="{00000000-0005-0000-0000-0000650F0000}"/>
    <cellStyle name="Normal 10 2 10 2 33 3 2" xfId="3961" xr:uid="{00000000-0005-0000-0000-0000660F0000}"/>
    <cellStyle name="Normal 10 2 10 2 33 3 3" xfId="3962" xr:uid="{00000000-0005-0000-0000-0000670F0000}"/>
    <cellStyle name="Normal 10 2 10 2 33 3 4" xfId="3963" xr:uid="{00000000-0005-0000-0000-0000680F0000}"/>
    <cellStyle name="Normal 10 2 10 2 33 3 5" xfId="3964" xr:uid="{00000000-0005-0000-0000-0000690F0000}"/>
    <cellStyle name="Normal 10 2 10 2 33 3 6" xfId="3965" xr:uid="{00000000-0005-0000-0000-00006A0F0000}"/>
    <cellStyle name="Normal 10 2 10 2 33 3 7" xfId="3966" xr:uid="{00000000-0005-0000-0000-00006B0F0000}"/>
    <cellStyle name="Normal 10 2 10 2 33 3 8" xfId="3967" xr:uid="{00000000-0005-0000-0000-00006C0F0000}"/>
    <cellStyle name="Normal 10 2 10 2 33 3 9" xfId="3968" xr:uid="{00000000-0005-0000-0000-00006D0F0000}"/>
    <cellStyle name="Normal 10 2 10 2 33 4" xfId="3969" xr:uid="{00000000-0005-0000-0000-00006E0F0000}"/>
    <cellStyle name="Normal 10 2 10 2 33 4 10" xfId="3970" xr:uid="{00000000-0005-0000-0000-00006F0F0000}"/>
    <cellStyle name="Normal 10 2 10 2 33 4 2" xfId="3971" xr:uid="{00000000-0005-0000-0000-0000700F0000}"/>
    <cellStyle name="Normal 10 2 10 2 33 4 3" xfId="3972" xr:uid="{00000000-0005-0000-0000-0000710F0000}"/>
    <cellStyle name="Normal 10 2 10 2 33 4 4" xfId="3973" xr:uid="{00000000-0005-0000-0000-0000720F0000}"/>
    <cellStyle name="Normal 10 2 10 2 33 4 5" xfId="3974" xr:uid="{00000000-0005-0000-0000-0000730F0000}"/>
    <cellStyle name="Normal 10 2 10 2 33 4 6" xfId="3975" xr:uid="{00000000-0005-0000-0000-0000740F0000}"/>
    <cellStyle name="Normal 10 2 10 2 33 4 7" xfId="3976" xr:uid="{00000000-0005-0000-0000-0000750F0000}"/>
    <cellStyle name="Normal 10 2 10 2 33 4 8" xfId="3977" xr:uid="{00000000-0005-0000-0000-0000760F0000}"/>
    <cellStyle name="Normal 10 2 10 2 33 4 9" xfId="3978" xr:uid="{00000000-0005-0000-0000-0000770F0000}"/>
    <cellStyle name="Normal 10 2 10 2 33 5" xfId="3979" xr:uid="{00000000-0005-0000-0000-0000780F0000}"/>
    <cellStyle name="Normal 10 2 10 2 33 5 10" xfId="3980" xr:uid="{00000000-0005-0000-0000-0000790F0000}"/>
    <cellStyle name="Normal 10 2 10 2 33 5 2" xfId="3981" xr:uid="{00000000-0005-0000-0000-00007A0F0000}"/>
    <cellStyle name="Normal 10 2 10 2 33 5 3" xfId="3982" xr:uid="{00000000-0005-0000-0000-00007B0F0000}"/>
    <cellStyle name="Normal 10 2 10 2 33 5 4" xfId="3983" xr:uid="{00000000-0005-0000-0000-00007C0F0000}"/>
    <cellStyle name="Normal 10 2 10 2 33 5 5" xfId="3984" xr:uid="{00000000-0005-0000-0000-00007D0F0000}"/>
    <cellStyle name="Normal 10 2 10 2 33 5 6" xfId="3985" xr:uid="{00000000-0005-0000-0000-00007E0F0000}"/>
    <cellStyle name="Normal 10 2 10 2 33 5 7" xfId="3986" xr:uid="{00000000-0005-0000-0000-00007F0F0000}"/>
    <cellStyle name="Normal 10 2 10 2 33 5 8" xfId="3987" xr:uid="{00000000-0005-0000-0000-0000800F0000}"/>
    <cellStyle name="Normal 10 2 10 2 33 5 9" xfId="3988" xr:uid="{00000000-0005-0000-0000-0000810F0000}"/>
    <cellStyle name="Normal 10 2 10 2 33 6" xfId="3989" xr:uid="{00000000-0005-0000-0000-0000820F0000}"/>
    <cellStyle name="Normal 10 2 10 2 33 7" xfId="3990" xr:uid="{00000000-0005-0000-0000-0000830F0000}"/>
    <cellStyle name="Normal 10 2 10 2 33 8" xfId="3991" xr:uid="{00000000-0005-0000-0000-0000840F0000}"/>
    <cellStyle name="Normal 10 2 10 2 33 9" xfId="3992" xr:uid="{00000000-0005-0000-0000-0000850F0000}"/>
    <cellStyle name="Normal 10 2 10 2 34" xfId="3993" xr:uid="{00000000-0005-0000-0000-0000860F0000}"/>
    <cellStyle name="Normal 10 2 10 2 34 10" xfId="3994" xr:uid="{00000000-0005-0000-0000-0000870F0000}"/>
    <cellStyle name="Normal 10 2 10 2 34 2" xfId="3995" xr:uid="{00000000-0005-0000-0000-0000880F0000}"/>
    <cellStyle name="Normal 10 2 10 2 34 3" xfId="3996" xr:uid="{00000000-0005-0000-0000-0000890F0000}"/>
    <cellStyle name="Normal 10 2 10 2 34 4" xfId="3997" xr:uid="{00000000-0005-0000-0000-00008A0F0000}"/>
    <cellStyle name="Normal 10 2 10 2 34 5" xfId="3998" xr:uid="{00000000-0005-0000-0000-00008B0F0000}"/>
    <cellStyle name="Normal 10 2 10 2 34 6" xfId="3999" xr:uid="{00000000-0005-0000-0000-00008C0F0000}"/>
    <cellStyle name="Normal 10 2 10 2 34 7" xfId="4000" xr:uid="{00000000-0005-0000-0000-00008D0F0000}"/>
    <cellStyle name="Normal 10 2 10 2 34 8" xfId="4001" xr:uid="{00000000-0005-0000-0000-00008E0F0000}"/>
    <cellStyle name="Normal 10 2 10 2 34 9" xfId="4002" xr:uid="{00000000-0005-0000-0000-00008F0F0000}"/>
    <cellStyle name="Normal 10 2 10 2 35" xfId="4003" xr:uid="{00000000-0005-0000-0000-0000900F0000}"/>
    <cellStyle name="Normal 10 2 10 2 35 10" xfId="4004" xr:uid="{00000000-0005-0000-0000-0000910F0000}"/>
    <cellStyle name="Normal 10 2 10 2 35 2" xfId="4005" xr:uid="{00000000-0005-0000-0000-0000920F0000}"/>
    <cellStyle name="Normal 10 2 10 2 35 3" xfId="4006" xr:uid="{00000000-0005-0000-0000-0000930F0000}"/>
    <cellStyle name="Normal 10 2 10 2 35 4" xfId="4007" xr:uid="{00000000-0005-0000-0000-0000940F0000}"/>
    <cellStyle name="Normal 10 2 10 2 35 5" xfId="4008" xr:uid="{00000000-0005-0000-0000-0000950F0000}"/>
    <cellStyle name="Normal 10 2 10 2 35 6" xfId="4009" xr:uid="{00000000-0005-0000-0000-0000960F0000}"/>
    <cellStyle name="Normal 10 2 10 2 35 7" xfId="4010" xr:uid="{00000000-0005-0000-0000-0000970F0000}"/>
    <cellStyle name="Normal 10 2 10 2 35 8" xfId="4011" xr:uid="{00000000-0005-0000-0000-0000980F0000}"/>
    <cellStyle name="Normal 10 2 10 2 35 9" xfId="4012" xr:uid="{00000000-0005-0000-0000-0000990F0000}"/>
    <cellStyle name="Normal 10 2 10 2 36" xfId="4013" xr:uid="{00000000-0005-0000-0000-00009A0F0000}"/>
    <cellStyle name="Normal 10 2 10 2 36 10" xfId="4014" xr:uid="{00000000-0005-0000-0000-00009B0F0000}"/>
    <cellStyle name="Normal 10 2 10 2 36 2" xfId="4015" xr:uid="{00000000-0005-0000-0000-00009C0F0000}"/>
    <cellStyle name="Normal 10 2 10 2 36 3" xfId="4016" xr:uid="{00000000-0005-0000-0000-00009D0F0000}"/>
    <cellStyle name="Normal 10 2 10 2 36 4" xfId="4017" xr:uid="{00000000-0005-0000-0000-00009E0F0000}"/>
    <cellStyle name="Normal 10 2 10 2 36 5" xfId="4018" xr:uid="{00000000-0005-0000-0000-00009F0F0000}"/>
    <cellStyle name="Normal 10 2 10 2 36 6" xfId="4019" xr:uid="{00000000-0005-0000-0000-0000A00F0000}"/>
    <cellStyle name="Normal 10 2 10 2 36 7" xfId="4020" xr:uid="{00000000-0005-0000-0000-0000A10F0000}"/>
    <cellStyle name="Normal 10 2 10 2 36 8" xfId="4021" xr:uid="{00000000-0005-0000-0000-0000A20F0000}"/>
    <cellStyle name="Normal 10 2 10 2 36 9" xfId="4022" xr:uid="{00000000-0005-0000-0000-0000A30F0000}"/>
    <cellStyle name="Normal 10 2 10 2 37" xfId="4023" xr:uid="{00000000-0005-0000-0000-0000A40F0000}"/>
    <cellStyle name="Normal 10 2 10 2 37 10" xfId="4024" xr:uid="{00000000-0005-0000-0000-0000A50F0000}"/>
    <cellStyle name="Normal 10 2 10 2 37 2" xfId="4025" xr:uid="{00000000-0005-0000-0000-0000A60F0000}"/>
    <cellStyle name="Normal 10 2 10 2 37 3" xfId="4026" xr:uid="{00000000-0005-0000-0000-0000A70F0000}"/>
    <cellStyle name="Normal 10 2 10 2 37 4" xfId="4027" xr:uid="{00000000-0005-0000-0000-0000A80F0000}"/>
    <cellStyle name="Normal 10 2 10 2 37 5" xfId="4028" xr:uid="{00000000-0005-0000-0000-0000A90F0000}"/>
    <cellStyle name="Normal 10 2 10 2 37 6" xfId="4029" xr:uid="{00000000-0005-0000-0000-0000AA0F0000}"/>
    <cellStyle name="Normal 10 2 10 2 37 7" xfId="4030" xr:uid="{00000000-0005-0000-0000-0000AB0F0000}"/>
    <cellStyle name="Normal 10 2 10 2 37 8" xfId="4031" xr:uid="{00000000-0005-0000-0000-0000AC0F0000}"/>
    <cellStyle name="Normal 10 2 10 2 37 9" xfId="4032" xr:uid="{00000000-0005-0000-0000-0000AD0F0000}"/>
    <cellStyle name="Normal 10 2 10 2 38" xfId="4033" xr:uid="{00000000-0005-0000-0000-0000AE0F0000}"/>
    <cellStyle name="Normal 10 2 10 2 39" xfId="4034" xr:uid="{00000000-0005-0000-0000-0000AF0F0000}"/>
    <cellStyle name="Normal 10 2 10 2 4" xfId="4035" xr:uid="{00000000-0005-0000-0000-0000B00F0000}"/>
    <cellStyle name="Normal 10 2 10 2 4 10" xfId="4036" xr:uid="{00000000-0005-0000-0000-0000B10F0000}"/>
    <cellStyle name="Normal 10 2 10 2 4 11" xfId="4037" xr:uid="{00000000-0005-0000-0000-0000B20F0000}"/>
    <cellStyle name="Normal 10 2 10 2 4 12" xfId="4038" xr:uid="{00000000-0005-0000-0000-0000B30F0000}"/>
    <cellStyle name="Normal 10 2 10 2 4 13" xfId="4039" xr:uid="{00000000-0005-0000-0000-0000B40F0000}"/>
    <cellStyle name="Normal 10 2 10 2 4 14" xfId="4040" xr:uid="{00000000-0005-0000-0000-0000B50F0000}"/>
    <cellStyle name="Normal 10 2 10 2 4 2" xfId="4041" xr:uid="{00000000-0005-0000-0000-0000B60F0000}"/>
    <cellStyle name="Normal 10 2 10 2 4 2 10" xfId="4042" xr:uid="{00000000-0005-0000-0000-0000B70F0000}"/>
    <cellStyle name="Normal 10 2 10 2 4 2 2" xfId="4043" xr:uid="{00000000-0005-0000-0000-0000B80F0000}"/>
    <cellStyle name="Normal 10 2 10 2 4 2 3" xfId="4044" xr:uid="{00000000-0005-0000-0000-0000B90F0000}"/>
    <cellStyle name="Normal 10 2 10 2 4 2 4" xfId="4045" xr:uid="{00000000-0005-0000-0000-0000BA0F0000}"/>
    <cellStyle name="Normal 10 2 10 2 4 2 5" xfId="4046" xr:uid="{00000000-0005-0000-0000-0000BB0F0000}"/>
    <cellStyle name="Normal 10 2 10 2 4 2 6" xfId="4047" xr:uid="{00000000-0005-0000-0000-0000BC0F0000}"/>
    <cellStyle name="Normal 10 2 10 2 4 2 7" xfId="4048" xr:uid="{00000000-0005-0000-0000-0000BD0F0000}"/>
    <cellStyle name="Normal 10 2 10 2 4 2 8" xfId="4049" xr:uid="{00000000-0005-0000-0000-0000BE0F0000}"/>
    <cellStyle name="Normal 10 2 10 2 4 2 9" xfId="4050" xr:uid="{00000000-0005-0000-0000-0000BF0F0000}"/>
    <cellStyle name="Normal 10 2 10 2 4 3" xfId="4051" xr:uid="{00000000-0005-0000-0000-0000C00F0000}"/>
    <cellStyle name="Normal 10 2 10 2 4 3 10" xfId="4052" xr:uid="{00000000-0005-0000-0000-0000C10F0000}"/>
    <cellStyle name="Normal 10 2 10 2 4 3 2" xfId="4053" xr:uid="{00000000-0005-0000-0000-0000C20F0000}"/>
    <cellStyle name="Normal 10 2 10 2 4 3 3" xfId="4054" xr:uid="{00000000-0005-0000-0000-0000C30F0000}"/>
    <cellStyle name="Normal 10 2 10 2 4 3 4" xfId="4055" xr:uid="{00000000-0005-0000-0000-0000C40F0000}"/>
    <cellStyle name="Normal 10 2 10 2 4 3 5" xfId="4056" xr:uid="{00000000-0005-0000-0000-0000C50F0000}"/>
    <cellStyle name="Normal 10 2 10 2 4 3 6" xfId="4057" xr:uid="{00000000-0005-0000-0000-0000C60F0000}"/>
    <cellStyle name="Normal 10 2 10 2 4 3 7" xfId="4058" xr:uid="{00000000-0005-0000-0000-0000C70F0000}"/>
    <cellStyle name="Normal 10 2 10 2 4 3 8" xfId="4059" xr:uid="{00000000-0005-0000-0000-0000C80F0000}"/>
    <cellStyle name="Normal 10 2 10 2 4 3 9" xfId="4060" xr:uid="{00000000-0005-0000-0000-0000C90F0000}"/>
    <cellStyle name="Normal 10 2 10 2 4 4" xfId="4061" xr:uid="{00000000-0005-0000-0000-0000CA0F0000}"/>
    <cellStyle name="Normal 10 2 10 2 4 4 10" xfId="4062" xr:uid="{00000000-0005-0000-0000-0000CB0F0000}"/>
    <cellStyle name="Normal 10 2 10 2 4 4 2" xfId="4063" xr:uid="{00000000-0005-0000-0000-0000CC0F0000}"/>
    <cellStyle name="Normal 10 2 10 2 4 4 3" xfId="4064" xr:uid="{00000000-0005-0000-0000-0000CD0F0000}"/>
    <cellStyle name="Normal 10 2 10 2 4 4 4" xfId="4065" xr:uid="{00000000-0005-0000-0000-0000CE0F0000}"/>
    <cellStyle name="Normal 10 2 10 2 4 4 5" xfId="4066" xr:uid="{00000000-0005-0000-0000-0000CF0F0000}"/>
    <cellStyle name="Normal 10 2 10 2 4 4 6" xfId="4067" xr:uid="{00000000-0005-0000-0000-0000D00F0000}"/>
    <cellStyle name="Normal 10 2 10 2 4 4 7" xfId="4068" xr:uid="{00000000-0005-0000-0000-0000D10F0000}"/>
    <cellStyle name="Normal 10 2 10 2 4 4 8" xfId="4069" xr:uid="{00000000-0005-0000-0000-0000D20F0000}"/>
    <cellStyle name="Normal 10 2 10 2 4 4 9" xfId="4070" xr:uid="{00000000-0005-0000-0000-0000D30F0000}"/>
    <cellStyle name="Normal 10 2 10 2 4 5" xfId="4071" xr:uid="{00000000-0005-0000-0000-0000D40F0000}"/>
    <cellStyle name="Normal 10 2 10 2 4 5 10" xfId="4072" xr:uid="{00000000-0005-0000-0000-0000D50F0000}"/>
    <cellStyle name="Normal 10 2 10 2 4 5 2" xfId="4073" xr:uid="{00000000-0005-0000-0000-0000D60F0000}"/>
    <cellStyle name="Normal 10 2 10 2 4 5 3" xfId="4074" xr:uid="{00000000-0005-0000-0000-0000D70F0000}"/>
    <cellStyle name="Normal 10 2 10 2 4 5 4" xfId="4075" xr:uid="{00000000-0005-0000-0000-0000D80F0000}"/>
    <cellStyle name="Normal 10 2 10 2 4 5 5" xfId="4076" xr:uid="{00000000-0005-0000-0000-0000D90F0000}"/>
    <cellStyle name="Normal 10 2 10 2 4 5 6" xfId="4077" xr:uid="{00000000-0005-0000-0000-0000DA0F0000}"/>
    <cellStyle name="Normal 10 2 10 2 4 5 7" xfId="4078" xr:uid="{00000000-0005-0000-0000-0000DB0F0000}"/>
    <cellStyle name="Normal 10 2 10 2 4 5 8" xfId="4079" xr:uid="{00000000-0005-0000-0000-0000DC0F0000}"/>
    <cellStyle name="Normal 10 2 10 2 4 5 9" xfId="4080" xr:uid="{00000000-0005-0000-0000-0000DD0F0000}"/>
    <cellStyle name="Normal 10 2 10 2 4 6" xfId="4081" xr:uid="{00000000-0005-0000-0000-0000DE0F0000}"/>
    <cellStyle name="Normal 10 2 10 2 4 7" xfId="4082" xr:uid="{00000000-0005-0000-0000-0000DF0F0000}"/>
    <cellStyle name="Normal 10 2 10 2 4 8" xfId="4083" xr:uid="{00000000-0005-0000-0000-0000E00F0000}"/>
    <cellStyle name="Normal 10 2 10 2 4 9" xfId="4084" xr:uid="{00000000-0005-0000-0000-0000E10F0000}"/>
    <cellStyle name="Normal 10 2 10 2 40" xfId="4085" xr:uid="{00000000-0005-0000-0000-0000E20F0000}"/>
    <cellStyle name="Normal 10 2 10 2 41" xfId="4086" xr:uid="{00000000-0005-0000-0000-0000E30F0000}"/>
    <cellStyle name="Normal 10 2 10 2 42" xfId="4087" xr:uid="{00000000-0005-0000-0000-0000E40F0000}"/>
    <cellStyle name="Normal 10 2 10 2 43" xfId="4088" xr:uid="{00000000-0005-0000-0000-0000E50F0000}"/>
    <cellStyle name="Normal 10 2 10 2 44" xfId="4089" xr:uid="{00000000-0005-0000-0000-0000E60F0000}"/>
    <cellStyle name="Normal 10 2 10 2 45" xfId="4090" xr:uid="{00000000-0005-0000-0000-0000E70F0000}"/>
    <cellStyle name="Normal 10 2 10 2 46" xfId="4091" xr:uid="{00000000-0005-0000-0000-0000E80F0000}"/>
    <cellStyle name="Normal 10 2 10 2 47" xfId="4092" xr:uid="{00000000-0005-0000-0000-0000E90F0000}"/>
    <cellStyle name="Normal 10 2 10 2 48" xfId="4093" xr:uid="{00000000-0005-0000-0000-0000EA0F0000}"/>
    <cellStyle name="Normal 10 2 10 2 5" xfId="4094" xr:uid="{00000000-0005-0000-0000-0000EB0F0000}"/>
    <cellStyle name="Normal 10 2 10 2 5 10" xfId="4095" xr:uid="{00000000-0005-0000-0000-0000EC0F0000}"/>
    <cellStyle name="Normal 10 2 10 2 5 11" xfId="4096" xr:uid="{00000000-0005-0000-0000-0000ED0F0000}"/>
    <cellStyle name="Normal 10 2 10 2 5 12" xfId="4097" xr:uid="{00000000-0005-0000-0000-0000EE0F0000}"/>
    <cellStyle name="Normal 10 2 10 2 5 13" xfId="4098" xr:uid="{00000000-0005-0000-0000-0000EF0F0000}"/>
    <cellStyle name="Normal 10 2 10 2 5 14" xfId="4099" xr:uid="{00000000-0005-0000-0000-0000F00F0000}"/>
    <cellStyle name="Normal 10 2 10 2 5 2" xfId="4100" xr:uid="{00000000-0005-0000-0000-0000F10F0000}"/>
    <cellStyle name="Normal 10 2 10 2 5 2 10" xfId="4101" xr:uid="{00000000-0005-0000-0000-0000F20F0000}"/>
    <cellStyle name="Normal 10 2 10 2 5 2 2" xfId="4102" xr:uid="{00000000-0005-0000-0000-0000F30F0000}"/>
    <cellStyle name="Normal 10 2 10 2 5 2 3" xfId="4103" xr:uid="{00000000-0005-0000-0000-0000F40F0000}"/>
    <cellStyle name="Normal 10 2 10 2 5 2 4" xfId="4104" xr:uid="{00000000-0005-0000-0000-0000F50F0000}"/>
    <cellStyle name="Normal 10 2 10 2 5 2 5" xfId="4105" xr:uid="{00000000-0005-0000-0000-0000F60F0000}"/>
    <cellStyle name="Normal 10 2 10 2 5 2 6" xfId="4106" xr:uid="{00000000-0005-0000-0000-0000F70F0000}"/>
    <cellStyle name="Normal 10 2 10 2 5 2 7" xfId="4107" xr:uid="{00000000-0005-0000-0000-0000F80F0000}"/>
    <cellStyle name="Normal 10 2 10 2 5 2 8" xfId="4108" xr:uid="{00000000-0005-0000-0000-0000F90F0000}"/>
    <cellStyle name="Normal 10 2 10 2 5 2 9" xfId="4109" xr:uid="{00000000-0005-0000-0000-0000FA0F0000}"/>
    <cellStyle name="Normal 10 2 10 2 5 3" xfId="4110" xr:uid="{00000000-0005-0000-0000-0000FB0F0000}"/>
    <cellStyle name="Normal 10 2 10 2 5 3 10" xfId="4111" xr:uid="{00000000-0005-0000-0000-0000FC0F0000}"/>
    <cellStyle name="Normal 10 2 10 2 5 3 2" xfId="4112" xr:uid="{00000000-0005-0000-0000-0000FD0F0000}"/>
    <cellStyle name="Normal 10 2 10 2 5 3 3" xfId="4113" xr:uid="{00000000-0005-0000-0000-0000FE0F0000}"/>
    <cellStyle name="Normal 10 2 10 2 5 3 4" xfId="4114" xr:uid="{00000000-0005-0000-0000-0000FF0F0000}"/>
    <cellStyle name="Normal 10 2 10 2 5 3 5" xfId="4115" xr:uid="{00000000-0005-0000-0000-000000100000}"/>
    <cellStyle name="Normal 10 2 10 2 5 3 6" xfId="4116" xr:uid="{00000000-0005-0000-0000-000001100000}"/>
    <cellStyle name="Normal 10 2 10 2 5 3 7" xfId="4117" xr:uid="{00000000-0005-0000-0000-000002100000}"/>
    <cellStyle name="Normal 10 2 10 2 5 3 8" xfId="4118" xr:uid="{00000000-0005-0000-0000-000003100000}"/>
    <cellStyle name="Normal 10 2 10 2 5 3 9" xfId="4119" xr:uid="{00000000-0005-0000-0000-000004100000}"/>
    <cellStyle name="Normal 10 2 10 2 5 4" xfId="4120" xr:uid="{00000000-0005-0000-0000-000005100000}"/>
    <cellStyle name="Normal 10 2 10 2 5 4 10" xfId="4121" xr:uid="{00000000-0005-0000-0000-000006100000}"/>
    <cellStyle name="Normal 10 2 10 2 5 4 2" xfId="4122" xr:uid="{00000000-0005-0000-0000-000007100000}"/>
    <cellStyle name="Normal 10 2 10 2 5 4 3" xfId="4123" xr:uid="{00000000-0005-0000-0000-000008100000}"/>
    <cellStyle name="Normal 10 2 10 2 5 4 4" xfId="4124" xr:uid="{00000000-0005-0000-0000-000009100000}"/>
    <cellStyle name="Normal 10 2 10 2 5 4 5" xfId="4125" xr:uid="{00000000-0005-0000-0000-00000A100000}"/>
    <cellStyle name="Normal 10 2 10 2 5 4 6" xfId="4126" xr:uid="{00000000-0005-0000-0000-00000B100000}"/>
    <cellStyle name="Normal 10 2 10 2 5 4 7" xfId="4127" xr:uid="{00000000-0005-0000-0000-00000C100000}"/>
    <cellStyle name="Normal 10 2 10 2 5 4 8" xfId="4128" xr:uid="{00000000-0005-0000-0000-00000D100000}"/>
    <cellStyle name="Normal 10 2 10 2 5 4 9" xfId="4129" xr:uid="{00000000-0005-0000-0000-00000E100000}"/>
    <cellStyle name="Normal 10 2 10 2 5 5" xfId="4130" xr:uid="{00000000-0005-0000-0000-00000F100000}"/>
    <cellStyle name="Normal 10 2 10 2 5 5 10" xfId="4131" xr:uid="{00000000-0005-0000-0000-000010100000}"/>
    <cellStyle name="Normal 10 2 10 2 5 5 2" xfId="4132" xr:uid="{00000000-0005-0000-0000-000011100000}"/>
    <cellStyle name="Normal 10 2 10 2 5 5 3" xfId="4133" xr:uid="{00000000-0005-0000-0000-000012100000}"/>
    <cellStyle name="Normal 10 2 10 2 5 5 4" xfId="4134" xr:uid="{00000000-0005-0000-0000-000013100000}"/>
    <cellStyle name="Normal 10 2 10 2 5 5 5" xfId="4135" xr:uid="{00000000-0005-0000-0000-000014100000}"/>
    <cellStyle name="Normal 10 2 10 2 5 5 6" xfId="4136" xr:uid="{00000000-0005-0000-0000-000015100000}"/>
    <cellStyle name="Normal 10 2 10 2 5 5 7" xfId="4137" xr:uid="{00000000-0005-0000-0000-000016100000}"/>
    <cellStyle name="Normal 10 2 10 2 5 5 8" xfId="4138" xr:uid="{00000000-0005-0000-0000-000017100000}"/>
    <cellStyle name="Normal 10 2 10 2 5 5 9" xfId="4139" xr:uid="{00000000-0005-0000-0000-000018100000}"/>
    <cellStyle name="Normal 10 2 10 2 5 6" xfId="4140" xr:uid="{00000000-0005-0000-0000-000019100000}"/>
    <cellStyle name="Normal 10 2 10 2 5 7" xfId="4141" xr:uid="{00000000-0005-0000-0000-00001A100000}"/>
    <cellStyle name="Normal 10 2 10 2 5 8" xfId="4142" xr:uid="{00000000-0005-0000-0000-00001B100000}"/>
    <cellStyle name="Normal 10 2 10 2 5 9" xfId="4143" xr:uid="{00000000-0005-0000-0000-00001C100000}"/>
    <cellStyle name="Normal 10 2 10 2 6" xfId="4144" xr:uid="{00000000-0005-0000-0000-00001D100000}"/>
    <cellStyle name="Normal 10 2 10 2 6 10" xfId="4145" xr:uid="{00000000-0005-0000-0000-00001E100000}"/>
    <cellStyle name="Normal 10 2 10 2 6 11" xfId="4146" xr:uid="{00000000-0005-0000-0000-00001F100000}"/>
    <cellStyle name="Normal 10 2 10 2 6 12" xfId="4147" xr:uid="{00000000-0005-0000-0000-000020100000}"/>
    <cellStyle name="Normal 10 2 10 2 6 13" xfId="4148" xr:uid="{00000000-0005-0000-0000-000021100000}"/>
    <cellStyle name="Normal 10 2 10 2 6 14" xfId="4149" xr:uid="{00000000-0005-0000-0000-000022100000}"/>
    <cellStyle name="Normal 10 2 10 2 6 2" xfId="4150" xr:uid="{00000000-0005-0000-0000-000023100000}"/>
    <cellStyle name="Normal 10 2 10 2 6 2 10" xfId="4151" xr:uid="{00000000-0005-0000-0000-000024100000}"/>
    <cellStyle name="Normal 10 2 10 2 6 2 2" xfId="4152" xr:uid="{00000000-0005-0000-0000-000025100000}"/>
    <cellStyle name="Normal 10 2 10 2 6 2 3" xfId="4153" xr:uid="{00000000-0005-0000-0000-000026100000}"/>
    <cellStyle name="Normal 10 2 10 2 6 2 4" xfId="4154" xr:uid="{00000000-0005-0000-0000-000027100000}"/>
    <cellStyle name="Normal 10 2 10 2 6 2 5" xfId="4155" xr:uid="{00000000-0005-0000-0000-000028100000}"/>
    <cellStyle name="Normal 10 2 10 2 6 2 6" xfId="4156" xr:uid="{00000000-0005-0000-0000-000029100000}"/>
    <cellStyle name="Normal 10 2 10 2 6 2 7" xfId="4157" xr:uid="{00000000-0005-0000-0000-00002A100000}"/>
    <cellStyle name="Normal 10 2 10 2 6 2 8" xfId="4158" xr:uid="{00000000-0005-0000-0000-00002B100000}"/>
    <cellStyle name="Normal 10 2 10 2 6 2 9" xfId="4159" xr:uid="{00000000-0005-0000-0000-00002C100000}"/>
    <cellStyle name="Normal 10 2 10 2 6 3" xfId="4160" xr:uid="{00000000-0005-0000-0000-00002D100000}"/>
    <cellStyle name="Normal 10 2 10 2 6 3 10" xfId="4161" xr:uid="{00000000-0005-0000-0000-00002E100000}"/>
    <cellStyle name="Normal 10 2 10 2 6 3 2" xfId="4162" xr:uid="{00000000-0005-0000-0000-00002F100000}"/>
    <cellStyle name="Normal 10 2 10 2 6 3 3" xfId="4163" xr:uid="{00000000-0005-0000-0000-000030100000}"/>
    <cellStyle name="Normal 10 2 10 2 6 3 4" xfId="4164" xr:uid="{00000000-0005-0000-0000-000031100000}"/>
    <cellStyle name="Normal 10 2 10 2 6 3 5" xfId="4165" xr:uid="{00000000-0005-0000-0000-000032100000}"/>
    <cellStyle name="Normal 10 2 10 2 6 3 6" xfId="4166" xr:uid="{00000000-0005-0000-0000-000033100000}"/>
    <cellStyle name="Normal 10 2 10 2 6 3 7" xfId="4167" xr:uid="{00000000-0005-0000-0000-000034100000}"/>
    <cellStyle name="Normal 10 2 10 2 6 3 8" xfId="4168" xr:uid="{00000000-0005-0000-0000-000035100000}"/>
    <cellStyle name="Normal 10 2 10 2 6 3 9" xfId="4169" xr:uid="{00000000-0005-0000-0000-000036100000}"/>
    <cellStyle name="Normal 10 2 10 2 6 4" xfId="4170" xr:uid="{00000000-0005-0000-0000-000037100000}"/>
    <cellStyle name="Normal 10 2 10 2 6 4 10" xfId="4171" xr:uid="{00000000-0005-0000-0000-000038100000}"/>
    <cellStyle name="Normal 10 2 10 2 6 4 2" xfId="4172" xr:uid="{00000000-0005-0000-0000-000039100000}"/>
    <cellStyle name="Normal 10 2 10 2 6 4 3" xfId="4173" xr:uid="{00000000-0005-0000-0000-00003A100000}"/>
    <cellStyle name="Normal 10 2 10 2 6 4 4" xfId="4174" xr:uid="{00000000-0005-0000-0000-00003B100000}"/>
    <cellStyle name="Normal 10 2 10 2 6 4 5" xfId="4175" xr:uid="{00000000-0005-0000-0000-00003C100000}"/>
    <cellStyle name="Normal 10 2 10 2 6 4 6" xfId="4176" xr:uid="{00000000-0005-0000-0000-00003D100000}"/>
    <cellStyle name="Normal 10 2 10 2 6 4 7" xfId="4177" xr:uid="{00000000-0005-0000-0000-00003E100000}"/>
    <cellStyle name="Normal 10 2 10 2 6 4 8" xfId="4178" xr:uid="{00000000-0005-0000-0000-00003F100000}"/>
    <cellStyle name="Normal 10 2 10 2 6 4 9" xfId="4179" xr:uid="{00000000-0005-0000-0000-000040100000}"/>
    <cellStyle name="Normal 10 2 10 2 6 5" xfId="4180" xr:uid="{00000000-0005-0000-0000-000041100000}"/>
    <cellStyle name="Normal 10 2 10 2 6 5 10" xfId="4181" xr:uid="{00000000-0005-0000-0000-000042100000}"/>
    <cellStyle name="Normal 10 2 10 2 6 5 2" xfId="4182" xr:uid="{00000000-0005-0000-0000-000043100000}"/>
    <cellStyle name="Normal 10 2 10 2 6 5 3" xfId="4183" xr:uid="{00000000-0005-0000-0000-000044100000}"/>
    <cellStyle name="Normal 10 2 10 2 6 5 4" xfId="4184" xr:uid="{00000000-0005-0000-0000-000045100000}"/>
    <cellStyle name="Normal 10 2 10 2 6 5 5" xfId="4185" xr:uid="{00000000-0005-0000-0000-000046100000}"/>
    <cellStyle name="Normal 10 2 10 2 6 5 6" xfId="4186" xr:uid="{00000000-0005-0000-0000-000047100000}"/>
    <cellStyle name="Normal 10 2 10 2 6 5 7" xfId="4187" xr:uid="{00000000-0005-0000-0000-000048100000}"/>
    <cellStyle name="Normal 10 2 10 2 6 5 8" xfId="4188" xr:uid="{00000000-0005-0000-0000-000049100000}"/>
    <cellStyle name="Normal 10 2 10 2 6 5 9" xfId="4189" xr:uid="{00000000-0005-0000-0000-00004A100000}"/>
    <cellStyle name="Normal 10 2 10 2 6 6" xfId="4190" xr:uid="{00000000-0005-0000-0000-00004B100000}"/>
    <cellStyle name="Normal 10 2 10 2 6 7" xfId="4191" xr:uid="{00000000-0005-0000-0000-00004C100000}"/>
    <cellStyle name="Normal 10 2 10 2 6 8" xfId="4192" xr:uid="{00000000-0005-0000-0000-00004D100000}"/>
    <cellStyle name="Normal 10 2 10 2 6 9" xfId="4193" xr:uid="{00000000-0005-0000-0000-00004E100000}"/>
    <cellStyle name="Normal 10 2 10 2 7" xfId="4194" xr:uid="{00000000-0005-0000-0000-00004F100000}"/>
    <cellStyle name="Normal 10 2 10 2 7 10" xfId="4195" xr:uid="{00000000-0005-0000-0000-000050100000}"/>
    <cellStyle name="Normal 10 2 10 2 7 11" xfId="4196" xr:uid="{00000000-0005-0000-0000-000051100000}"/>
    <cellStyle name="Normal 10 2 10 2 7 12" xfId="4197" xr:uid="{00000000-0005-0000-0000-000052100000}"/>
    <cellStyle name="Normal 10 2 10 2 7 13" xfId="4198" xr:uid="{00000000-0005-0000-0000-000053100000}"/>
    <cellStyle name="Normal 10 2 10 2 7 14" xfId="4199" xr:uid="{00000000-0005-0000-0000-000054100000}"/>
    <cellStyle name="Normal 10 2 10 2 7 2" xfId="4200" xr:uid="{00000000-0005-0000-0000-000055100000}"/>
    <cellStyle name="Normal 10 2 10 2 7 2 10" xfId="4201" xr:uid="{00000000-0005-0000-0000-000056100000}"/>
    <cellStyle name="Normal 10 2 10 2 7 2 2" xfId="4202" xr:uid="{00000000-0005-0000-0000-000057100000}"/>
    <cellStyle name="Normal 10 2 10 2 7 2 3" xfId="4203" xr:uid="{00000000-0005-0000-0000-000058100000}"/>
    <cellStyle name="Normal 10 2 10 2 7 2 4" xfId="4204" xr:uid="{00000000-0005-0000-0000-000059100000}"/>
    <cellStyle name="Normal 10 2 10 2 7 2 5" xfId="4205" xr:uid="{00000000-0005-0000-0000-00005A100000}"/>
    <cellStyle name="Normal 10 2 10 2 7 2 6" xfId="4206" xr:uid="{00000000-0005-0000-0000-00005B100000}"/>
    <cellStyle name="Normal 10 2 10 2 7 2 7" xfId="4207" xr:uid="{00000000-0005-0000-0000-00005C100000}"/>
    <cellStyle name="Normal 10 2 10 2 7 2 8" xfId="4208" xr:uid="{00000000-0005-0000-0000-00005D100000}"/>
    <cellStyle name="Normal 10 2 10 2 7 2 9" xfId="4209" xr:uid="{00000000-0005-0000-0000-00005E100000}"/>
    <cellStyle name="Normal 10 2 10 2 7 3" xfId="4210" xr:uid="{00000000-0005-0000-0000-00005F100000}"/>
    <cellStyle name="Normal 10 2 10 2 7 3 10" xfId="4211" xr:uid="{00000000-0005-0000-0000-000060100000}"/>
    <cellStyle name="Normal 10 2 10 2 7 3 2" xfId="4212" xr:uid="{00000000-0005-0000-0000-000061100000}"/>
    <cellStyle name="Normal 10 2 10 2 7 3 3" xfId="4213" xr:uid="{00000000-0005-0000-0000-000062100000}"/>
    <cellStyle name="Normal 10 2 10 2 7 3 4" xfId="4214" xr:uid="{00000000-0005-0000-0000-000063100000}"/>
    <cellStyle name="Normal 10 2 10 2 7 3 5" xfId="4215" xr:uid="{00000000-0005-0000-0000-000064100000}"/>
    <cellStyle name="Normal 10 2 10 2 7 3 6" xfId="4216" xr:uid="{00000000-0005-0000-0000-000065100000}"/>
    <cellStyle name="Normal 10 2 10 2 7 3 7" xfId="4217" xr:uid="{00000000-0005-0000-0000-000066100000}"/>
    <cellStyle name="Normal 10 2 10 2 7 3 8" xfId="4218" xr:uid="{00000000-0005-0000-0000-000067100000}"/>
    <cellStyle name="Normal 10 2 10 2 7 3 9" xfId="4219" xr:uid="{00000000-0005-0000-0000-000068100000}"/>
    <cellStyle name="Normal 10 2 10 2 7 4" xfId="4220" xr:uid="{00000000-0005-0000-0000-000069100000}"/>
    <cellStyle name="Normal 10 2 10 2 7 4 10" xfId="4221" xr:uid="{00000000-0005-0000-0000-00006A100000}"/>
    <cellStyle name="Normal 10 2 10 2 7 4 2" xfId="4222" xr:uid="{00000000-0005-0000-0000-00006B100000}"/>
    <cellStyle name="Normal 10 2 10 2 7 4 3" xfId="4223" xr:uid="{00000000-0005-0000-0000-00006C100000}"/>
    <cellStyle name="Normal 10 2 10 2 7 4 4" xfId="4224" xr:uid="{00000000-0005-0000-0000-00006D100000}"/>
    <cellStyle name="Normal 10 2 10 2 7 4 5" xfId="4225" xr:uid="{00000000-0005-0000-0000-00006E100000}"/>
    <cellStyle name="Normal 10 2 10 2 7 4 6" xfId="4226" xr:uid="{00000000-0005-0000-0000-00006F100000}"/>
    <cellStyle name="Normal 10 2 10 2 7 4 7" xfId="4227" xr:uid="{00000000-0005-0000-0000-000070100000}"/>
    <cellStyle name="Normal 10 2 10 2 7 4 8" xfId="4228" xr:uid="{00000000-0005-0000-0000-000071100000}"/>
    <cellStyle name="Normal 10 2 10 2 7 4 9" xfId="4229" xr:uid="{00000000-0005-0000-0000-000072100000}"/>
    <cellStyle name="Normal 10 2 10 2 7 5" xfId="4230" xr:uid="{00000000-0005-0000-0000-000073100000}"/>
    <cellStyle name="Normal 10 2 10 2 7 5 10" xfId="4231" xr:uid="{00000000-0005-0000-0000-000074100000}"/>
    <cellStyle name="Normal 10 2 10 2 7 5 2" xfId="4232" xr:uid="{00000000-0005-0000-0000-000075100000}"/>
    <cellStyle name="Normal 10 2 10 2 7 5 3" xfId="4233" xr:uid="{00000000-0005-0000-0000-000076100000}"/>
    <cellStyle name="Normal 10 2 10 2 7 5 4" xfId="4234" xr:uid="{00000000-0005-0000-0000-000077100000}"/>
    <cellStyle name="Normal 10 2 10 2 7 5 5" xfId="4235" xr:uid="{00000000-0005-0000-0000-000078100000}"/>
    <cellStyle name="Normal 10 2 10 2 7 5 6" xfId="4236" xr:uid="{00000000-0005-0000-0000-000079100000}"/>
    <cellStyle name="Normal 10 2 10 2 7 5 7" xfId="4237" xr:uid="{00000000-0005-0000-0000-00007A100000}"/>
    <cellStyle name="Normal 10 2 10 2 7 5 8" xfId="4238" xr:uid="{00000000-0005-0000-0000-00007B100000}"/>
    <cellStyle name="Normal 10 2 10 2 7 5 9" xfId="4239" xr:uid="{00000000-0005-0000-0000-00007C100000}"/>
    <cellStyle name="Normal 10 2 10 2 7 6" xfId="4240" xr:uid="{00000000-0005-0000-0000-00007D100000}"/>
    <cellStyle name="Normal 10 2 10 2 7 7" xfId="4241" xr:uid="{00000000-0005-0000-0000-00007E100000}"/>
    <cellStyle name="Normal 10 2 10 2 7 8" xfId="4242" xr:uid="{00000000-0005-0000-0000-00007F100000}"/>
    <cellStyle name="Normal 10 2 10 2 7 9" xfId="4243" xr:uid="{00000000-0005-0000-0000-000080100000}"/>
    <cellStyle name="Normal 10 2 10 2 8" xfId="4244" xr:uid="{00000000-0005-0000-0000-000081100000}"/>
    <cellStyle name="Normal 10 2 10 2 8 10" xfId="4245" xr:uid="{00000000-0005-0000-0000-000082100000}"/>
    <cellStyle name="Normal 10 2 10 2 8 11" xfId="4246" xr:uid="{00000000-0005-0000-0000-000083100000}"/>
    <cellStyle name="Normal 10 2 10 2 8 12" xfId="4247" xr:uid="{00000000-0005-0000-0000-000084100000}"/>
    <cellStyle name="Normal 10 2 10 2 8 13" xfId="4248" xr:uid="{00000000-0005-0000-0000-000085100000}"/>
    <cellStyle name="Normal 10 2 10 2 8 14" xfId="4249" xr:uid="{00000000-0005-0000-0000-000086100000}"/>
    <cellStyle name="Normal 10 2 10 2 8 2" xfId="4250" xr:uid="{00000000-0005-0000-0000-000087100000}"/>
    <cellStyle name="Normal 10 2 10 2 8 2 10" xfId="4251" xr:uid="{00000000-0005-0000-0000-000088100000}"/>
    <cellStyle name="Normal 10 2 10 2 8 2 2" xfId="4252" xr:uid="{00000000-0005-0000-0000-000089100000}"/>
    <cellStyle name="Normal 10 2 10 2 8 2 3" xfId="4253" xr:uid="{00000000-0005-0000-0000-00008A100000}"/>
    <cellStyle name="Normal 10 2 10 2 8 2 4" xfId="4254" xr:uid="{00000000-0005-0000-0000-00008B100000}"/>
    <cellStyle name="Normal 10 2 10 2 8 2 5" xfId="4255" xr:uid="{00000000-0005-0000-0000-00008C100000}"/>
    <cellStyle name="Normal 10 2 10 2 8 2 6" xfId="4256" xr:uid="{00000000-0005-0000-0000-00008D100000}"/>
    <cellStyle name="Normal 10 2 10 2 8 2 7" xfId="4257" xr:uid="{00000000-0005-0000-0000-00008E100000}"/>
    <cellStyle name="Normal 10 2 10 2 8 2 8" xfId="4258" xr:uid="{00000000-0005-0000-0000-00008F100000}"/>
    <cellStyle name="Normal 10 2 10 2 8 2 9" xfId="4259" xr:uid="{00000000-0005-0000-0000-000090100000}"/>
    <cellStyle name="Normal 10 2 10 2 8 3" xfId="4260" xr:uid="{00000000-0005-0000-0000-000091100000}"/>
    <cellStyle name="Normal 10 2 10 2 8 3 10" xfId="4261" xr:uid="{00000000-0005-0000-0000-000092100000}"/>
    <cellStyle name="Normal 10 2 10 2 8 3 2" xfId="4262" xr:uid="{00000000-0005-0000-0000-000093100000}"/>
    <cellStyle name="Normal 10 2 10 2 8 3 3" xfId="4263" xr:uid="{00000000-0005-0000-0000-000094100000}"/>
    <cellStyle name="Normal 10 2 10 2 8 3 4" xfId="4264" xr:uid="{00000000-0005-0000-0000-000095100000}"/>
    <cellStyle name="Normal 10 2 10 2 8 3 5" xfId="4265" xr:uid="{00000000-0005-0000-0000-000096100000}"/>
    <cellStyle name="Normal 10 2 10 2 8 3 6" xfId="4266" xr:uid="{00000000-0005-0000-0000-000097100000}"/>
    <cellStyle name="Normal 10 2 10 2 8 3 7" xfId="4267" xr:uid="{00000000-0005-0000-0000-000098100000}"/>
    <cellStyle name="Normal 10 2 10 2 8 3 8" xfId="4268" xr:uid="{00000000-0005-0000-0000-000099100000}"/>
    <cellStyle name="Normal 10 2 10 2 8 3 9" xfId="4269" xr:uid="{00000000-0005-0000-0000-00009A100000}"/>
    <cellStyle name="Normal 10 2 10 2 8 4" xfId="4270" xr:uid="{00000000-0005-0000-0000-00009B100000}"/>
    <cellStyle name="Normal 10 2 10 2 8 4 10" xfId="4271" xr:uid="{00000000-0005-0000-0000-00009C100000}"/>
    <cellStyle name="Normal 10 2 10 2 8 4 2" xfId="4272" xr:uid="{00000000-0005-0000-0000-00009D100000}"/>
    <cellStyle name="Normal 10 2 10 2 8 4 3" xfId="4273" xr:uid="{00000000-0005-0000-0000-00009E100000}"/>
    <cellStyle name="Normal 10 2 10 2 8 4 4" xfId="4274" xr:uid="{00000000-0005-0000-0000-00009F100000}"/>
    <cellStyle name="Normal 10 2 10 2 8 4 5" xfId="4275" xr:uid="{00000000-0005-0000-0000-0000A0100000}"/>
    <cellStyle name="Normal 10 2 10 2 8 4 6" xfId="4276" xr:uid="{00000000-0005-0000-0000-0000A1100000}"/>
    <cellStyle name="Normal 10 2 10 2 8 4 7" xfId="4277" xr:uid="{00000000-0005-0000-0000-0000A2100000}"/>
    <cellStyle name="Normal 10 2 10 2 8 4 8" xfId="4278" xr:uid="{00000000-0005-0000-0000-0000A3100000}"/>
    <cellStyle name="Normal 10 2 10 2 8 4 9" xfId="4279" xr:uid="{00000000-0005-0000-0000-0000A4100000}"/>
    <cellStyle name="Normal 10 2 10 2 8 5" xfId="4280" xr:uid="{00000000-0005-0000-0000-0000A5100000}"/>
    <cellStyle name="Normal 10 2 10 2 8 5 10" xfId="4281" xr:uid="{00000000-0005-0000-0000-0000A6100000}"/>
    <cellStyle name="Normal 10 2 10 2 8 5 2" xfId="4282" xr:uid="{00000000-0005-0000-0000-0000A7100000}"/>
    <cellStyle name="Normal 10 2 10 2 8 5 3" xfId="4283" xr:uid="{00000000-0005-0000-0000-0000A8100000}"/>
    <cellStyle name="Normal 10 2 10 2 8 5 4" xfId="4284" xr:uid="{00000000-0005-0000-0000-0000A9100000}"/>
    <cellStyle name="Normal 10 2 10 2 8 5 5" xfId="4285" xr:uid="{00000000-0005-0000-0000-0000AA100000}"/>
    <cellStyle name="Normal 10 2 10 2 8 5 6" xfId="4286" xr:uid="{00000000-0005-0000-0000-0000AB100000}"/>
    <cellStyle name="Normal 10 2 10 2 8 5 7" xfId="4287" xr:uid="{00000000-0005-0000-0000-0000AC100000}"/>
    <cellStyle name="Normal 10 2 10 2 8 5 8" xfId="4288" xr:uid="{00000000-0005-0000-0000-0000AD100000}"/>
    <cellStyle name="Normal 10 2 10 2 8 5 9" xfId="4289" xr:uid="{00000000-0005-0000-0000-0000AE100000}"/>
    <cellStyle name="Normal 10 2 10 2 8 6" xfId="4290" xr:uid="{00000000-0005-0000-0000-0000AF100000}"/>
    <cellStyle name="Normal 10 2 10 2 8 7" xfId="4291" xr:uid="{00000000-0005-0000-0000-0000B0100000}"/>
    <cellStyle name="Normal 10 2 10 2 8 8" xfId="4292" xr:uid="{00000000-0005-0000-0000-0000B1100000}"/>
    <cellStyle name="Normal 10 2 10 2 8 9" xfId="4293" xr:uid="{00000000-0005-0000-0000-0000B2100000}"/>
    <cellStyle name="Normal 10 2 10 2 9" xfId="4294" xr:uid="{00000000-0005-0000-0000-0000B3100000}"/>
    <cellStyle name="Normal 10 2 10 2 9 10" xfId="4295" xr:uid="{00000000-0005-0000-0000-0000B4100000}"/>
    <cellStyle name="Normal 10 2 10 2 9 11" xfId="4296" xr:uid="{00000000-0005-0000-0000-0000B5100000}"/>
    <cellStyle name="Normal 10 2 10 2 9 12" xfId="4297" xr:uid="{00000000-0005-0000-0000-0000B6100000}"/>
    <cellStyle name="Normal 10 2 10 2 9 13" xfId="4298" xr:uid="{00000000-0005-0000-0000-0000B7100000}"/>
    <cellStyle name="Normal 10 2 10 2 9 14" xfId="4299" xr:uid="{00000000-0005-0000-0000-0000B8100000}"/>
    <cellStyle name="Normal 10 2 10 2 9 2" xfId="4300" xr:uid="{00000000-0005-0000-0000-0000B9100000}"/>
    <cellStyle name="Normal 10 2 10 2 9 2 10" xfId="4301" xr:uid="{00000000-0005-0000-0000-0000BA100000}"/>
    <cellStyle name="Normal 10 2 10 2 9 2 2" xfId="4302" xr:uid="{00000000-0005-0000-0000-0000BB100000}"/>
    <cellStyle name="Normal 10 2 10 2 9 2 3" xfId="4303" xr:uid="{00000000-0005-0000-0000-0000BC100000}"/>
    <cellStyle name="Normal 10 2 10 2 9 2 4" xfId="4304" xr:uid="{00000000-0005-0000-0000-0000BD100000}"/>
    <cellStyle name="Normal 10 2 10 2 9 2 5" xfId="4305" xr:uid="{00000000-0005-0000-0000-0000BE100000}"/>
    <cellStyle name="Normal 10 2 10 2 9 2 6" xfId="4306" xr:uid="{00000000-0005-0000-0000-0000BF100000}"/>
    <cellStyle name="Normal 10 2 10 2 9 2 7" xfId="4307" xr:uid="{00000000-0005-0000-0000-0000C0100000}"/>
    <cellStyle name="Normal 10 2 10 2 9 2 8" xfId="4308" xr:uid="{00000000-0005-0000-0000-0000C1100000}"/>
    <cellStyle name="Normal 10 2 10 2 9 2 9" xfId="4309" xr:uid="{00000000-0005-0000-0000-0000C2100000}"/>
    <cellStyle name="Normal 10 2 10 2 9 3" xfId="4310" xr:uid="{00000000-0005-0000-0000-0000C3100000}"/>
    <cellStyle name="Normal 10 2 10 2 9 3 10" xfId="4311" xr:uid="{00000000-0005-0000-0000-0000C4100000}"/>
    <cellStyle name="Normal 10 2 10 2 9 3 2" xfId="4312" xr:uid="{00000000-0005-0000-0000-0000C5100000}"/>
    <cellStyle name="Normal 10 2 10 2 9 3 3" xfId="4313" xr:uid="{00000000-0005-0000-0000-0000C6100000}"/>
    <cellStyle name="Normal 10 2 10 2 9 3 4" xfId="4314" xr:uid="{00000000-0005-0000-0000-0000C7100000}"/>
    <cellStyle name="Normal 10 2 10 2 9 3 5" xfId="4315" xr:uid="{00000000-0005-0000-0000-0000C8100000}"/>
    <cellStyle name="Normal 10 2 10 2 9 3 6" xfId="4316" xr:uid="{00000000-0005-0000-0000-0000C9100000}"/>
    <cellStyle name="Normal 10 2 10 2 9 3 7" xfId="4317" xr:uid="{00000000-0005-0000-0000-0000CA100000}"/>
    <cellStyle name="Normal 10 2 10 2 9 3 8" xfId="4318" xr:uid="{00000000-0005-0000-0000-0000CB100000}"/>
    <cellStyle name="Normal 10 2 10 2 9 3 9" xfId="4319" xr:uid="{00000000-0005-0000-0000-0000CC100000}"/>
    <cellStyle name="Normal 10 2 10 2 9 4" xfId="4320" xr:uid="{00000000-0005-0000-0000-0000CD100000}"/>
    <cellStyle name="Normal 10 2 10 2 9 4 10" xfId="4321" xr:uid="{00000000-0005-0000-0000-0000CE100000}"/>
    <cellStyle name="Normal 10 2 10 2 9 4 2" xfId="4322" xr:uid="{00000000-0005-0000-0000-0000CF100000}"/>
    <cellStyle name="Normal 10 2 10 2 9 4 3" xfId="4323" xr:uid="{00000000-0005-0000-0000-0000D0100000}"/>
    <cellStyle name="Normal 10 2 10 2 9 4 4" xfId="4324" xr:uid="{00000000-0005-0000-0000-0000D1100000}"/>
    <cellStyle name="Normal 10 2 10 2 9 4 5" xfId="4325" xr:uid="{00000000-0005-0000-0000-0000D2100000}"/>
    <cellStyle name="Normal 10 2 10 2 9 4 6" xfId="4326" xr:uid="{00000000-0005-0000-0000-0000D3100000}"/>
    <cellStyle name="Normal 10 2 10 2 9 4 7" xfId="4327" xr:uid="{00000000-0005-0000-0000-0000D4100000}"/>
    <cellStyle name="Normal 10 2 10 2 9 4 8" xfId="4328" xr:uid="{00000000-0005-0000-0000-0000D5100000}"/>
    <cellStyle name="Normal 10 2 10 2 9 4 9" xfId="4329" xr:uid="{00000000-0005-0000-0000-0000D6100000}"/>
    <cellStyle name="Normal 10 2 10 2 9 5" xfId="4330" xr:uid="{00000000-0005-0000-0000-0000D7100000}"/>
    <cellStyle name="Normal 10 2 10 2 9 5 10" xfId="4331" xr:uid="{00000000-0005-0000-0000-0000D8100000}"/>
    <cellStyle name="Normal 10 2 10 2 9 5 2" xfId="4332" xr:uid="{00000000-0005-0000-0000-0000D9100000}"/>
    <cellStyle name="Normal 10 2 10 2 9 5 3" xfId="4333" xr:uid="{00000000-0005-0000-0000-0000DA100000}"/>
    <cellStyle name="Normal 10 2 10 2 9 5 4" xfId="4334" xr:uid="{00000000-0005-0000-0000-0000DB100000}"/>
    <cellStyle name="Normal 10 2 10 2 9 5 5" xfId="4335" xr:uid="{00000000-0005-0000-0000-0000DC100000}"/>
    <cellStyle name="Normal 10 2 10 2 9 5 6" xfId="4336" xr:uid="{00000000-0005-0000-0000-0000DD100000}"/>
    <cellStyle name="Normal 10 2 10 2 9 5 7" xfId="4337" xr:uid="{00000000-0005-0000-0000-0000DE100000}"/>
    <cellStyle name="Normal 10 2 10 2 9 5 8" xfId="4338" xr:uid="{00000000-0005-0000-0000-0000DF100000}"/>
    <cellStyle name="Normal 10 2 10 2 9 5 9" xfId="4339" xr:uid="{00000000-0005-0000-0000-0000E0100000}"/>
    <cellStyle name="Normal 10 2 10 2 9 6" xfId="4340" xr:uid="{00000000-0005-0000-0000-0000E1100000}"/>
    <cellStyle name="Normal 10 2 10 2 9 7" xfId="4341" xr:uid="{00000000-0005-0000-0000-0000E2100000}"/>
    <cellStyle name="Normal 10 2 10 2 9 8" xfId="4342" xr:uid="{00000000-0005-0000-0000-0000E3100000}"/>
    <cellStyle name="Normal 10 2 10 2 9 9" xfId="4343" xr:uid="{00000000-0005-0000-0000-0000E4100000}"/>
    <cellStyle name="Normal 10 2 10 20" xfId="4344" xr:uid="{00000000-0005-0000-0000-0000E5100000}"/>
    <cellStyle name="Normal 10 2 10 20 10" xfId="4345" xr:uid="{00000000-0005-0000-0000-0000E6100000}"/>
    <cellStyle name="Normal 10 2 10 20 11" xfId="4346" xr:uid="{00000000-0005-0000-0000-0000E7100000}"/>
    <cellStyle name="Normal 10 2 10 20 12" xfId="4347" xr:uid="{00000000-0005-0000-0000-0000E8100000}"/>
    <cellStyle name="Normal 10 2 10 20 13" xfId="4348" xr:uid="{00000000-0005-0000-0000-0000E9100000}"/>
    <cellStyle name="Normal 10 2 10 20 14" xfId="4349" xr:uid="{00000000-0005-0000-0000-0000EA100000}"/>
    <cellStyle name="Normal 10 2 10 20 2" xfId="4350" xr:uid="{00000000-0005-0000-0000-0000EB100000}"/>
    <cellStyle name="Normal 10 2 10 20 2 10" xfId="4351" xr:uid="{00000000-0005-0000-0000-0000EC100000}"/>
    <cellStyle name="Normal 10 2 10 20 2 2" xfId="4352" xr:uid="{00000000-0005-0000-0000-0000ED100000}"/>
    <cellStyle name="Normal 10 2 10 20 2 3" xfId="4353" xr:uid="{00000000-0005-0000-0000-0000EE100000}"/>
    <cellStyle name="Normal 10 2 10 20 2 4" xfId="4354" xr:uid="{00000000-0005-0000-0000-0000EF100000}"/>
    <cellStyle name="Normal 10 2 10 20 2 5" xfId="4355" xr:uid="{00000000-0005-0000-0000-0000F0100000}"/>
    <cellStyle name="Normal 10 2 10 20 2 6" xfId="4356" xr:uid="{00000000-0005-0000-0000-0000F1100000}"/>
    <cellStyle name="Normal 10 2 10 20 2 7" xfId="4357" xr:uid="{00000000-0005-0000-0000-0000F2100000}"/>
    <cellStyle name="Normal 10 2 10 20 2 8" xfId="4358" xr:uid="{00000000-0005-0000-0000-0000F3100000}"/>
    <cellStyle name="Normal 10 2 10 20 2 9" xfId="4359" xr:uid="{00000000-0005-0000-0000-0000F4100000}"/>
    <cellStyle name="Normal 10 2 10 20 3" xfId="4360" xr:uid="{00000000-0005-0000-0000-0000F5100000}"/>
    <cellStyle name="Normal 10 2 10 20 3 10" xfId="4361" xr:uid="{00000000-0005-0000-0000-0000F6100000}"/>
    <cellStyle name="Normal 10 2 10 20 3 2" xfId="4362" xr:uid="{00000000-0005-0000-0000-0000F7100000}"/>
    <cellStyle name="Normal 10 2 10 20 3 3" xfId="4363" xr:uid="{00000000-0005-0000-0000-0000F8100000}"/>
    <cellStyle name="Normal 10 2 10 20 3 4" xfId="4364" xr:uid="{00000000-0005-0000-0000-0000F9100000}"/>
    <cellStyle name="Normal 10 2 10 20 3 5" xfId="4365" xr:uid="{00000000-0005-0000-0000-0000FA100000}"/>
    <cellStyle name="Normal 10 2 10 20 3 6" xfId="4366" xr:uid="{00000000-0005-0000-0000-0000FB100000}"/>
    <cellStyle name="Normal 10 2 10 20 3 7" xfId="4367" xr:uid="{00000000-0005-0000-0000-0000FC100000}"/>
    <cellStyle name="Normal 10 2 10 20 3 8" xfId="4368" xr:uid="{00000000-0005-0000-0000-0000FD100000}"/>
    <cellStyle name="Normal 10 2 10 20 3 9" xfId="4369" xr:uid="{00000000-0005-0000-0000-0000FE100000}"/>
    <cellStyle name="Normal 10 2 10 20 4" xfId="4370" xr:uid="{00000000-0005-0000-0000-0000FF100000}"/>
    <cellStyle name="Normal 10 2 10 20 4 10" xfId="4371" xr:uid="{00000000-0005-0000-0000-000000110000}"/>
    <cellStyle name="Normal 10 2 10 20 4 2" xfId="4372" xr:uid="{00000000-0005-0000-0000-000001110000}"/>
    <cellStyle name="Normal 10 2 10 20 4 3" xfId="4373" xr:uid="{00000000-0005-0000-0000-000002110000}"/>
    <cellStyle name="Normal 10 2 10 20 4 4" xfId="4374" xr:uid="{00000000-0005-0000-0000-000003110000}"/>
    <cellStyle name="Normal 10 2 10 20 4 5" xfId="4375" xr:uid="{00000000-0005-0000-0000-000004110000}"/>
    <cellStyle name="Normal 10 2 10 20 4 6" xfId="4376" xr:uid="{00000000-0005-0000-0000-000005110000}"/>
    <cellStyle name="Normal 10 2 10 20 4 7" xfId="4377" xr:uid="{00000000-0005-0000-0000-000006110000}"/>
    <cellStyle name="Normal 10 2 10 20 4 8" xfId="4378" xr:uid="{00000000-0005-0000-0000-000007110000}"/>
    <cellStyle name="Normal 10 2 10 20 4 9" xfId="4379" xr:uid="{00000000-0005-0000-0000-000008110000}"/>
    <cellStyle name="Normal 10 2 10 20 5" xfId="4380" xr:uid="{00000000-0005-0000-0000-000009110000}"/>
    <cellStyle name="Normal 10 2 10 20 5 10" xfId="4381" xr:uid="{00000000-0005-0000-0000-00000A110000}"/>
    <cellStyle name="Normal 10 2 10 20 5 2" xfId="4382" xr:uid="{00000000-0005-0000-0000-00000B110000}"/>
    <cellStyle name="Normal 10 2 10 20 5 3" xfId="4383" xr:uid="{00000000-0005-0000-0000-00000C110000}"/>
    <cellStyle name="Normal 10 2 10 20 5 4" xfId="4384" xr:uid="{00000000-0005-0000-0000-00000D110000}"/>
    <cellStyle name="Normal 10 2 10 20 5 5" xfId="4385" xr:uid="{00000000-0005-0000-0000-00000E110000}"/>
    <cellStyle name="Normal 10 2 10 20 5 6" xfId="4386" xr:uid="{00000000-0005-0000-0000-00000F110000}"/>
    <cellStyle name="Normal 10 2 10 20 5 7" xfId="4387" xr:uid="{00000000-0005-0000-0000-000010110000}"/>
    <cellStyle name="Normal 10 2 10 20 5 8" xfId="4388" xr:uid="{00000000-0005-0000-0000-000011110000}"/>
    <cellStyle name="Normal 10 2 10 20 5 9" xfId="4389" xr:uid="{00000000-0005-0000-0000-000012110000}"/>
    <cellStyle name="Normal 10 2 10 20 6" xfId="4390" xr:uid="{00000000-0005-0000-0000-000013110000}"/>
    <cellStyle name="Normal 10 2 10 20 7" xfId="4391" xr:uid="{00000000-0005-0000-0000-000014110000}"/>
    <cellStyle name="Normal 10 2 10 20 8" xfId="4392" xr:uid="{00000000-0005-0000-0000-000015110000}"/>
    <cellStyle name="Normal 10 2 10 20 9" xfId="4393" xr:uid="{00000000-0005-0000-0000-000016110000}"/>
    <cellStyle name="Normal 10 2 10 21" xfId="4394" xr:uid="{00000000-0005-0000-0000-000017110000}"/>
    <cellStyle name="Normal 10 2 10 21 10" xfId="4395" xr:uid="{00000000-0005-0000-0000-000018110000}"/>
    <cellStyle name="Normal 10 2 10 21 11" xfId="4396" xr:uid="{00000000-0005-0000-0000-000019110000}"/>
    <cellStyle name="Normal 10 2 10 21 12" xfId="4397" xr:uid="{00000000-0005-0000-0000-00001A110000}"/>
    <cellStyle name="Normal 10 2 10 21 13" xfId="4398" xr:uid="{00000000-0005-0000-0000-00001B110000}"/>
    <cellStyle name="Normal 10 2 10 21 14" xfId="4399" xr:uid="{00000000-0005-0000-0000-00001C110000}"/>
    <cellStyle name="Normal 10 2 10 21 2" xfId="4400" xr:uid="{00000000-0005-0000-0000-00001D110000}"/>
    <cellStyle name="Normal 10 2 10 21 2 10" xfId="4401" xr:uid="{00000000-0005-0000-0000-00001E110000}"/>
    <cellStyle name="Normal 10 2 10 21 2 2" xfId="4402" xr:uid="{00000000-0005-0000-0000-00001F110000}"/>
    <cellStyle name="Normal 10 2 10 21 2 3" xfId="4403" xr:uid="{00000000-0005-0000-0000-000020110000}"/>
    <cellStyle name="Normal 10 2 10 21 2 4" xfId="4404" xr:uid="{00000000-0005-0000-0000-000021110000}"/>
    <cellStyle name="Normal 10 2 10 21 2 5" xfId="4405" xr:uid="{00000000-0005-0000-0000-000022110000}"/>
    <cellStyle name="Normal 10 2 10 21 2 6" xfId="4406" xr:uid="{00000000-0005-0000-0000-000023110000}"/>
    <cellStyle name="Normal 10 2 10 21 2 7" xfId="4407" xr:uid="{00000000-0005-0000-0000-000024110000}"/>
    <cellStyle name="Normal 10 2 10 21 2 8" xfId="4408" xr:uid="{00000000-0005-0000-0000-000025110000}"/>
    <cellStyle name="Normal 10 2 10 21 2 9" xfId="4409" xr:uid="{00000000-0005-0000-0000-000026110000}"/>
    <cellStyle name="Normal 10 2 10 21 3" xfId="4410" xr:uid="{00000000-0005-0000-0000-000027110000}"/>
    <cellStyle name="Normal 10 2 10 21 3 10" xfId="4411" xr:uid="{00000000-0005-0000-0000-000028110000}"/>
    <cellStyle name="Normal 10 2 10 21 3 2" xfId="4412" xr:uid="{00000000-0005-0000-0000-000029110000}"/>
    <cellStyle name="Normal 10 2 10 21 3 3" xfId="4413" xr:uid="{00000000-0005-0000-0000-00002A110000}"/>
    <cellStyle name="Normal 10 2 10 21 3 4" xfId="4414" xr:uid="{00000000-0005-0000-0000-00002B110000}"/>
    <cellStyle name="Normal 10 2 10 21 3 5" xfId="4415" xr:uid="{00000000-0005-0000-0000-00002C110000}"/>
    <cellStyle name="Normal 10 2 10 21 3 6" xfId="4416" xr:uid="{00000000-0005-0000-0000-00002D110000}"/>
    <cellStyle name="Normal 10 2 10 21 3 7" xfId="4417" xr:uid="{00000000-0005-0000-0000-00002E110000}"/>
    <cellStyle name="Normal 10 2 10 21 3 8" xfId="4418" xr:uid="{00000000-0005-0000-0000-00002F110000}"/>
    <cellStyle name="Normal 10 2 10 21 3 9" xfId="4419" xr:uid="{00000000-0005-0000-0000-000030110000}"/>
    <cellStyle name="Normal 10 2 10 21 4" xfId="4420" xr:uid="{00000000-0005-0000-0000-000031110000}"/>
    <cellStyle name="Normal 10 2 10 21 4 10" xfId="4421" xr:uid="{00000000-0005-0000-0000-000032110000}"/>
    <cellStyle name="Normal 10 2 10 21 4 2" xfId="4422" xr:uid="{00000000-0005-0000-0000-000033110000}"/>
    <cellStyle name="Normal 10 2 10 21 4 3" xfId="4423" xr:uid="{00000000-0005-0000-0000-000034110000}"/>
    <cellStyle name="Normal 10 2 10 21 4 4" xfId="4424" xr:uid="{00000000-0005-0000-0000-000035110000}"/>
    <cellStyle name="Normal 10 2 10 21 4 5" xfId="4425" xr:uid="{00000000-0005-0000-0000-000036110000}"/>
    <cellStyle name="Normal 10 2 10 21 4 6" xfId="4426" xr:uid="{00000000-0005-0000-0000-000037110000}"/>
    <cellStyle name="Normal 10 2 10 21 4 7" xfId="4427" xr:uid="{00000000-0005-0000-0000-000038110000}"/>
    <cellStyle name="Normal 10 2 10 21 4 8" xfId="4428" xr:uid="{00000000-0005-0000-0000-000039110000}"/>
    <cellStyle name="Normal 10 2 10 21 4 9" xfId="4429" xr:uid="{00000000-0005-0000-0000-00003A110000}"/>
    <cellStyle name="Normal 10 2 10 21 5" xfId="4430" xr:uid="{00000000-0005-0000-0000-00003B110000}"/>
    <cellStyle name="Normal 10 2 10 21 5 10" xfId="4431" xr:uid="{00000000-0005-0000-0000-00003C110000}"/>
    <cellStyle name="Normal 10 2 10 21 5 2" xfId="4432" xr:uid="{00000000-0005-0000-0000-00003D110000}"/>
    <cellStyle name="Normal 10 2 10 21 5 3" xfId="4433" xr:uid="{00000000-0005-0000-0000-00003E110000}"/>
    <cellStyle name="Normal 10 2 10 21 5 4" xfId="4434" xr:uid="{00000000-0005-0000-0000-00003F110000}"/>
    <cellStyle name="Normal 10 2 10 21 5 5" xfId="4435" xr:uid="{00000000-0005-0000-0000-000040110000}"/>
    <cellStyle name="Normal 10 2 10 21 5 6" xfId="4436" xr:uid="{00000000-0005-0000-0000-000041110000}"/>
    <cellStyle name="Normal 10 2 10 21 5 7" xfId="4437" xr:uid="{00000000-0005-0000-0000-000042110000}"/>
    <cellStyle name="Normal 10 2 10 21 5 8" xfId="4438" xr:uid="{00000000-0005-0000-0000-000043110000}"/>
    <cellStyle name="Normal 10 2 10 21 5 9" xfId="4439" xr:uid="{00000000-0005-0000-0000-000044110000}"/>
    <cellStyle name="Normal 10 2 10 21 6" xfId="4440" xr:uid="{00000000-0005-0000-0000-000045110000}"/>
    <cellStyle name="Normal 10 2 10 21 7" xfId="4441" xr:uid="{00000000-0005-0000-0000-000046110000}"/>
    <cellStyle name="Normal 10 2 10 21 8" xfId="4442" xr:uid="{00000000-0005-0000-0000-000047110000}"/>
    <cellStyle name="Normal 10 2 10 21 9" xfId="4443" xr:uid="{00000000-0005-0000-0000-000048110000}"/>
    <cellStyle name="Normal 10 2 10 22" xfId="4444" xr:uid="{00000000-0005-0000-0000-000049110000}"/>
    <cellStyle name="Normal 10 2 10 22 10" xfId="4445" xr:uid="{00000000-0005-0000-0000-00004A110000}"/>
    <cellStyle name="Normal 10 2 10 22 11" xfId="4446" xr:uid="{00000000-0005-0000-0000-00004B110000}"/>
    <cellStyle name="Normal 10 2 10 22 12" xfId="4447" xr:uid="{00000000-0005-0000-0000-00004C110000}"/>
    <cellStyle name="Normal 10 2 10 22 13" xfId="4448" xr:uid="{00000000-0005-0000-0000-00004D110000}"/>
    <cellStyle name="Normal 10 2 10 22 14" xfId="4449" xr:uid="{00000000-0005-0000-0000-00004E110000}"/>
    <cellStyle name="Normal 10 2 10 22 2" xfId="4450" xr:uid="{00000000-0005-0000-0000-00004F110000}"/>
    <cellStyle name="Normal 10 2 10 22 2 10" xfId="4451" xr:uid="{00000000-0005-0000-0000-000050110000}"/>
    <cellStyle name="Normal 10 2 10 22 2 2" xfId="4452" xr:uid="{00000000-0005-0000-0000-000051110000}"/>
    <cellStyle name="Normal 10 2 10 22 2 3" xfId="4453" xr:uid="{00000000-0005-0000-0000-000052110000}"/>
    <cellStyle name="Normal 10 2 10 22 2 4" xfId="4454" xr:uid="{00000000-0005-0000-0000-000053110000}"/>
    <cellStyle name="Normal 10 2 10 22 2 5" xfId="4455" xr:uid="{00000000-0005-0000-0000-000054110000}"/>
    <cellStyle name="Normal 10 2 10 22 2 6" xfId="4456" xr:uid="{00000000-0005-0000-0000-000055110000}"/>
    <cellStyle name="Normal 10 2 10 22 2 7" xfId="4457" xr:uid="{00000000-0005-0000-0000-000056110000}"/>
    <cellStyle name="Normal 10 2 10 22 2 8" xfId="4458" xr:uid="{00000000-0005-0000-0000-000057110000}"/>
    <cellStyle name="Normal 10 2 10 22 2 9" xfId="4459" xr:uid="{00000000-0005-0000-0000-000058110000}"/>
    <cellStyle name="Normal 10 2 10 22 3" xfId="4460" xr:uid="{00000000-0005-0000-0000-000059110000}"/>
    <cellStyle name="Normal 10 2 10 22 3 10" xfId="4461" xr:uid="{00000000-0005-0000-0000-00005A110000}"/>
    <cellStyle name="Normal 10 2 10 22 3 2" xfId="4462" xr:uid="{00000000-0005-0000-0000-00005B110000}"/>
    <cellStyle name="Normal 10 2 10 22 3 3" xfId="4463" xr:uid="{00000000-0005-0000-0000-00005C110000}"/>
    <cellStyle name="Normal 10 2 10 22 3 4" xfId="4464" xr:uid="{00000000-0005-0000-0000-00005D110000}"/>
    <cellStyle name="Normal 10 2 10 22 3 5" xfId="4465" xr:uid="{00000000-0005-0000-0000-00005E110000}"/>
    <cellStyle name="Normal 10 2 10 22 3 6" xfId="4466" xr:uid="{00000000-0005-0000-0000-00005F110000}"/>
    <cellStyle name="Normal 10 2 10 22 3 7" xfId="4467" xr:uid="{00000000-0005-0000-0000-000060110000}"/>
    <cellStyle name="Normal 10 2 10 22 3 8" xfId="4468" xr:uid="{00000000-0005-0000-0000-000061110000}"/>
    <cellStyle name="Normal 10 2 10 22 3 9" xfId="4469" xr:uid="{00000000-0005-0000-0000-000062110000}"/>
    <cellStyle name="Normal 10 2 10 22 4" xfId="4470" xr:uid="{00000000-0005-0000-0000-000063110000}"/>
    <cellStyle name="Normal 10 2 10 22 4 10" xfId="4471" xr:uid="{00000000-0005-0000-0000-000064110000}"/>
    <cellStyle name="Normal 10 2 10 22 4 2" xfId="4472" xr:uid="{00000000-0005-0000-0000-000065110000}"/>
    <cellStyle name="Normal 10 2 10 22 4 3" xfId="4473" xr:uid="{00000000-0005-0000-0000-000066110000}"/>
    <cellStyle name="Normal 10 2 10 22 4 4" xfId="4474" xr:uid="{00000000-0005-0000-0000-000067110000}"/>
    <cellStyle name="Normal 10 2 10 22 4 5" xfId="4475" xr:uid="{00000000-0005-0000-0000-000068110000}"/>
    <cellStyle name="Normal 10 2 10 22 4 6" xfId="4476" xr:uid="{00000000-0005-0000-0000-000069110000}"/>
    <cellStyle name="Normal 10 2 10 22 4 7" xfId="4477" xr:uid="{00000000-0005-0000-0000-00006A110000}"/>
    <cellStyle name="Normal 10 2 10 22 4 8" xfId="4478" xr:uid="{00000000-0005-0000-0000-00006B110000}"/>
    <cellStyle name="Normal 10 2 10 22 4 9" xfId="4479" xr:uid="{00000000-0005-0000-0000-00006C110000}"/>
    <cellStyle name="Normal 10 2 10 22 5" xfId="4480" xr:uid="{00000000-0005-0000-0000-00006D110000}"/>
    <cellStyle name="Normal 10 2 10 22 5 10" xfId="4481" xr:uid="{00000000-0005-0000-0000-00006E110000}"/>
    <cellStyle name="Normal 10 2 10 22 5 2" xfId="4482" xr:uid="{00000000-0005-0000-0000-00006F110000}"/>
    <cellStyle name="Normal 10 2 10 22 5 3" xfId="4483" xr:uid="{00000000-0005-0000-0000-000070110000}"/>
    <cellStyle name="Normal 10 2 10 22 5 4" xfId="4484" xr:uid="{00000000-0005-0000-0000-000071110000}"/>
    <cellStyle name="Normal 10 2 10 22 5 5" xfId="4485" xr:uid="{00000000-0005-0000-0000-000072110000}"/>
    <cellStyle name="Normal 10 2 10 22 5 6" xfId="4486" xr:uid="{00000000-0005-0000-0000-000073110000}"/>
    <cellStyle name="Normal 10 2 10 22 5 7" xfId="4487" xr:uid="{00000000-0005-0000-0000-000074110000}"/>
    <cellStyle name="Normal 10 2 10 22 5 8" xfId="4488" xr:uid="{00000000-0005-0000-0000-000075110000}"/>
    <cellStyle name="Normal 10 2 10 22 5 9" xfId="4489" xr:uid="{00000000-0005-0000-0000-000076110000}"/>
    <cellStyle name="Normal 10 2 10 22 6" xfId="4490" xr:uid="{00000000-0005-0000-0000-000077110000}"/>
    <cellStyle name="Normal 10 2 10 22 7" xfId="4491" xr:uid="{00000000-0005-0000-0000-000078110000}"/>
    <cellStyle name="Normal 10 2 10 22 8" xfId="4492" xr:uid="{00000000-0005-0000-0000-000079110000}"/>
    <cellStyle name="Normal 10 2 10 22 9" xfId="4493" xr:uid="{00000000-0005-0000-0000-00007A110000}"/>
    <cellStyle name="Normal 10 2 10 23" xfId="4494" xr:uid="{00000000-0005-0000-0000-00007B110000}"/>
    <cellStyle name="Normal 10 2 10 23 10" xfId="4495" xr:uid="{00000000-0005-0000-0000-00007C110000}"/>
    <cellStyle name="Normal 10 2 10 23 11" xfId="4496" xr:uid="{00000000-0005-0000-0000-00007D110000}"/>
    <cellStyle name="Normal 10 2 10 23 12" xfId="4497" xr:uid="{00000000-0005-0000-0000-00007E110000}"/>
    <cellStyle name="Normal 10 2 10 23 13" xfId="4498" xr:uid="{00000000-0005-0000-0000-00007F110000}"/>
    <cellStyle name="Normal 10 2 10 23 14" xfId="4499" xr:uid="{00000000-0005-0000-0000-000080110000}"/>
    <cellStyle name="Normal 10 2 10 23 2" xfId="4500" xr:uid="{00000000-0005-0000-0000-000081110000}"/>
    <cellStyle name="Normal 10 2 10 23 2 10" xfId="4501" xr:uid="{00000000-0005-0000-0000-000082110000}"/>
    <cellStyle name="Normal 10 2 10 23 2 2" xfId="4502" xr:uid="{00000000-0005-0000-0000-000083110000}"/>
    <cellStyle name="Normal 10 2 10 23 2 3" xfId="4503" xr:uid="{00000000-0005-0000-0000-000084110000}"/>
    <cellStyle name="Normal 10 2 10 23 2 4" xfId="4504" xr:uid="{00000000-0005-0000-0000-000085110000}"/>
    <cellStyle name="Normal 10 2 10 23 2 5" xfId="4505" xr:uid="{00000000-0005-0000-0000-000086110000}"/>
    <cellStyle name="Normal 10 2 10 23 2 6" xfId="4506" xr:uid="{00000000-0005-0000-0000-000087110000}"/>
    <cellStyle name="Normal 10 2 10 23 2 7" xfId="4507" xr:uid="{00000000-0005-0000-0000-000088110000}"/>
    <cellStyle name="Normal 10 2 10 23 2 8" xfId="4508" xr:uid="{00000000-0005-0000-0000-000089110000}"/>
    <cellStyle name="Normal 10 2 10 23 2 9" xfId="4509" xr:uid="{00000000-0005-0000-0000-00008A110000}"/>
    <cellStyle name="Normal 10 2 10 23 3" xfId="4510" xr:uid="{00000000-0005-0000-0000-00008B110000}"/>
    <cellStyle name="Normal 10 2 10 23 3 10" xfId="4511" xr:uid="{00000000-0005-0000-0000-00008C110000}"/>
    <cellStyle name="Normal 10 2 10 23 3 2" xfId="4512" xr:uid="{00000000-0005-0000-0000-00008D110000}"/>
    <cellStyle name="Normal 10 2 10 23 3 3" xfId="4513" xr:uid="{00000000-0005-0000-0000-00008E110000}"/>
    <cellStyle name="Normal 10 2 10 23 3 4" xfId="4514" xr:uid="{00000000-0005-0000-0000-00008F110000}"/>
    <cellStyle name="Normal 10 2 10 23 3 5" xfId="4515" xr:uid="{00000000-0005-0000-0000-000090110000}"/>
    <cellStyle name="Normal 10 2 10 23 3 6" xfId="4516" xr:uid="{00000000-0005-0000-0000-000091110000}"/>
    <cellStyle name="Normal 10 2 10 23 3 7" xfId="4517" xr:uid="{00000000-0005-0000-0000-000092110000}"/>
    <cellStyle name="Normal 10 2 10 23 3 8" xfId="4518" xr:uid="{00000000-0005-0000-0000-000093110000}"/>
    <cellStyle name="Normal 10 2 10 23 3 9" xfId="4519" xr:uid="{00000000-0005-0000-0000-000094110000}"/>
    <cellStyle name="Normal 10 2 10 23 4" xfId="4520" xr:uid="{00000000-0005-0000-0000-000095110000}"/>
    <cellStyle name="Normal 10 2 10 23 4 10" xfId="4521" xr:uid="{00000000-0005-0000-0000-000096110000}"/>
    <cellStyle name="Normal 10 2 10 23 4 2" xfId="4522" xr:uid="{00000000-0005-0000-0000-000097110000}"/>
    <cellStyle name="Normal 10 2 10 23 4 3" xfId="4523" xr:uid="{00000000-0005-0000-0000-000098110000}"/>
    <cellStyle name="Normal 10 2 10 23 4 4" xfId="4524" xr:uid="{00000000-0005-0000-0000-000099110000}"/>
    <cellStyle name="Normal 10 2 10 23 4 5" xfId="4525" xr:uid="{00000000-0005-0000-0000-00009A110000}"/>
    <cellStyle name="Normal 10 2 10 23 4 6" xfId="4526" xr:uid="{00000000-0005-0000-0000-00009B110000}"/>
    <cellStyle name="Normal 10 2 10 23 4 7" xfId="4527" xr:uid="{00000000-0005-0000-0000-00009C110000}"/>
    <cellStyle name="Normal 10 2 10 23 4 8" xfId="4528" xr:uid="{00000000-0005-0000-0000-00009D110000}"/>
    <cellStyle name="Normal 10 2 10 23 4 9" xfId="4529" xr:uid="{00000000-0005-0000-0000-00009E110000}"/>
    <cellStyle name="Normal 10 2 10 23 5" xfId="4530" xr:uid="{00000000-0005-0000-0000-00009F110000}"/>
    <cellStyle name="Normal 10 2 10 23 5 10" xfId="4531" xr:uid="{00000000-0005-0000-0000-0000A0110000}"/>
    <cellStyle name="Normal 10 2 10 23 5 2" xfId="4532" xr:uid="{00000000-0005-0000-0000-0000A1110000}"/>
    <cellStyle name="Normal 10 2 10 23 5 3" xfId="4533" xr:uid="{00000000-0005-0000-0000-0000A2110000}"/>
    <cellStyle name="Normal 10 2 10 23 5 4" xfId="4534" xr:uid="{00000000-0005-0000-0000-0000A3110000}"/>
    <cellStyle name="Normal 10 2 10 23 5 5" xfId="4535" xr:uid="{00000000-0005-0000-0000-0000A4110000}"/>
    <cellStyle name="Normal 10 2 10 23 5 6" xfId="4536" xr:uid="{00000000-0005-0000-0000-0000A5110000}"/>
    <cellStyle name="Normal 10 2 10 23 5 7" xfId="4537" xr:uid="{00000000-0005-0000-0000-0000A6110000}"/>
    <cellStyle name="Normal 10 2 10 23 5 8" xfId="4538" xr:uid="{00000000-0005-0000-0000-0000A7110000}"/>
    <cellStyle name="Normal 10 2 10 23 5 9" xfId="4539" xr:uid="{00000000-0005-0000-0000-0000A8110000}"/>
    <cellStyle name="Normal 10 2 10 23 6" xfId="4540" xr:uid="{00000000-0005-0000-0000-0000A9110000}"/>
    <cellStyle name="Normal 10 2 10 23 7" xfId="4541" xr:uid="{00000000-0005-0000-0000-0000AA110000}"/>
    <cellStyle name="Normal 10 2 10 23 8" xfId="4542" xr:uid="{00000000-0005-0000-0000-0000AB110000}"/>
    <cellStyle name="Normal 10 2 10 23 9" xfId="4543" xr:uid="{00000000-0005-0000-0000-0000AC110000}"/>
    <cellStyle name="Normal 10 2 10 24" xfId="4544" xr:uid="{00000000-0005-0000-0000-0000AD110000}"/>
    <cellStyle name="Normal 10 2 10 24 10" xfId="4545" xr:uid="{00000000-0005-0000-0000-0000AE110000}"/>
    <cellStyle name="Normal 10 2 10 24 11" xfId="4546" xr:uid="{00000000-0005-0000-0000-0000AF110000}"/>
    <cellStyle name="Normal 10 2 10 24 12" xfId="4547" xr:uid="{00000000-0005-0000-0000-0000B0110000}"/>
    <cellStyle name="Normal 10 2 10 24 13" xfId="4548" xr:uid="{00000000-0005-0000-0000-0000B1110000}"/>
    <cellStyle name="Normal 10 2 10 24 14" xfId="4549" xr:uid="{00000000-0005-0000-0000-0000B2110000}"/>
    <cellStyle name="Normal 10 2 10 24 2" xfId="4550" xr:uid="{00000000-0005-0000-0000-0000B3110000}"/>
    <cellStyle name="Normal 10 2 10 24 2 10" xfId="4551" xr:uid="{00000000-0005-0000-0000-0000B4110000}"/>
    <cellStyle name="Normal 10 2 10 24 2 2" xfId="4552" xr:uid="{00000000-0005-0000-0000-0000B5110000}"/>
    <cellStyle name="Normal 10 2 10 24 2 3" xfId="4553" xr:uid="{00000000-0005-0000-0000-0000B6110000}"/>
    <cellStyle name="Normal 10 2 10 24 2 4" xfId="4554" xr:uid="{00000000-0005-0000-0000-0000B7110000}"/>
    <cellStyle name="Normal 10 2 10 24 2 5" xfId="4555" xr:uid="{00000000-0005-0000-0000-0000B8110000}"/>
    <cellStyle name="Normal 10 2 10 24 2 6" xfId="4556" xr:uid="{00000000-0005-0000-0000-0000B9110000}"/>
    <cellStyle name="Normal 10 2 10 24 2 7" xfId="4557" xr:uid="{00000000-0005-0000-0000-0000BA110000}"/>
    <cellStyle name="Normal 10 2 10 24 2 8" xfId="4558" xr:uid="{00000000-0005-0000-0000-0000BB110000}"/>
    <cellStyle name="Normal 10 2 10 24 2 9" xfId="4559" xr:uid="{00000000-0005-0000-0000-0000BC110000}"/>
    <cellStyle name="Normal 10 2 10 24 3" xfId="4560" xr:uid="{00000000-0005-0000-0000-0000BD110000}"/>
    <cellStyle name="Normal 10 2 10 24 3 10" xfId="4561" xr:uid="{00000000-0005-0000-0000-0000BE110000}"/>
    <cellStyle name="Normal 10 2 10 24 3 2" xfId="4562" xr:uid="{00000000-0005-0000-0000-0000BF110000}"/>
    <cellStyle name="Normal 10 2 10 24 3 3" xfId="4563" xr:uid="{00000000-0005-0000-0000-0000C0110000}"/>
    <cellStyle name="Normal 10 2 10 24 3 4" xfId="4564" xr:uid="{00000000-0005-0000-0000-0000C1110000}"/>
    <cellStyle name="Normal 10 2 10 24 3 5" xfId="4565" xr:uid="{00000000-0005-0000-0000-0000C2110000}"/>
    <cellStyle name="Normal 10 2 10 24 3 6" xfId="4566" xr:uid="{00000000-0005-0000-0000-0000C3110000}"/>
    <cellStyle name="Normal 10 2 10 24 3 7" xfId="4567" xr:uid="{00000000-0005-0000-0000-0000C4110000}"/>
    <cellStyle name="Normal 10 2 10 24 3 8" xfId="4568" xr:uid="{00000000-0005-0000-0000-0000C5110000}"/>
    <cellStyle name="Normal 10 2 10 24 3 9" xfId="4569" xr:uid="{00000000-0005-0000-0000-0000C6110000}"/>
    <cellStyle name="Normal 10 2 10 24 4" xfId="4570" xr:uid="{00000000-0005-0000-0000-0000C7110000}"/>
    <cellStyle name="Normal 10 2 10 24 4 10" xfId="4571" xr:uid="{00000000-0005-0000-0000-0000C8110000}"/>
    <cellStyle name="Normal 10 2 10 24 4 2" xfId="4572" xr:uid="{00000000-0005-0000-0000-0000C9110000}"/>
    <cellStyle name="Normal 10 2 10 24 4 3" xfId="4573" xr:uid="{00000000-0005-0000-0000-0000CA110000}"/>
    <cellStyle name="Normal 10 2 10 24 4 4" xfId="4574" xr:uid="{00000000-0005-0000-0000-0000CB110000}"/>
    <cellStyle name="Normal 10 2 10 24 4 5" xfId="4575" xr:uid="{00000000-0005-0000-0000-0000CC110000}"/>
    <cellStyle name="Normal 10 2 10 24 4 6" xfId="4576" xr:uid="{00000000-0005-0000-0000-0000CD110000}"/>
    <cellStyle name="Normal 10 2 10 24 4 7" xfId="4577" xr:uid="{00000000-0005-0000-0000-0000CE110000}"/>
    <cellStyle name="Normal 10 2 10 24 4 8" xfId="4578" xr:uid="{00000000-0005-0000-0000-0000CF110000}"/>
    <cellStyle name="Normal 10 2 10 24 4 9" xfId="4579" xr:uid="{00000000-0005-0000-0000-0000D0110000}"/>
    <cellStyle name="Normal 10 2 10 24 5" xfId="4580" xr:uid="{00000000-0005-0000-0000-0000D1110000}"/>
    <cellStyle name="Normal 10 2 10 24 5 10" xfId="4581" xr:uid="{00000000-0005-0000-0000-0000D2110000}"/>
    <cellStyle name="Normal 10 2 10 24 5 2" xfId="4582" xr:uid="{00000000-0005-0000-0000-0000D3110000}"/>
    <cellStyle name="Normal 10 2 10 24 5 3" xfId="4583" xr:uid="{00000000-0005-0000-0000-0000D4110000}"/>
    <cellStyle name="Normal 10 2 10 24 5 4" xfId="4584" xr:uid="{00000000-0005-0000-0000-0000D5110000}"/>
    <cellStyle name="Normal 10 2 10 24 5 5" xfId="4585" xr:uid="{00000000-0005-0000-0000-0000D6110000}"/>
    <cellStyle name="Normal 10 2 10 24 5 6" xfId="4586" xr:uid="{00000000-0005-0000-0000-0000D7110000}"/>
    <cellStyle name="Normal 10 2 10 24 5 7" xfId="4587" xr:uid="{00000000-0005-0000-0000-0000D8110000}"/>
    <cellStyle name="Normal 10 2 10 24 5 8" xfId="4588" xr:uid="{00000000-0005-0000-0000-0000D9110000}"/>
    <cellStyle name="Normal 10 2 10 24 5 9" xfId="4589" xr:uid="{00000000-0005-0000-0000-0000DA110000}"/>
    <cellStyle name="Normal 10 2 10 24 6" xfId="4590" xr:uid="{00000000-0005-0000-0000-0000DB110000}"/>
    <cellStyle name="Normal 10 2 10 24 7" xfId="4591" xr:uid="{00000000-0005-0000-0000-0000DC110000}"/>
    <cellStyle name="Normal 10 2 10 24 8" xfId="4592" xr:uid="{00000000-0005-0000-0000-0000DD110000}"/>
    <cellStyle name="Normal 10 2 10 24 9" xfId="4593" xr:uid="{00000000-0005-0000-0000-0000DE110000}"/>
    <cellStyle name="Normal 10 2 10 25" xfId="4594" xr:uid="{00000000-0005-0000-0000-0000DF110000}"/>
    <cellStyle name="Normal 10 2 10 25 10" xfId="4595" xr:uid="{00000000-0005-0000-0000-0000E0110000}"/>
    <cellStyle name="Normal 10 2 10 25 11" xfId="4596" xr:uid="{00000000-0005-0000-0000-0000E1110000}"/>
    <cellStyle name="Normal 10 2 10 25 12" xfId="4597" xr:uid="{00000000-0005-0000-0000-0000E2110000}"/>
    <cellStyle name="Normal 10 2 10 25 13" xfId="4598" xr:uid="{00000000-0005-0000-0000-0000E3110000}"/>
    <cellStyle name="Normal 10 2 10 25 14" xfId="4599" xr:uid="{00000000-0005-0000-0000-0000E4110000}"/>
    <cellStyle name="Normal 10 2 10 25 2" xfId="4600" xr:uid="{00000000-0005-0000-0000-0000E5110000}"/>
    <cellStyle name="Normal 10 2 10 25 2 10" xfId="4601" xr:uid="{00000000-0005-0000-0000-0000E6110000}"/>
    <cellStyle name="Normal 10 2 10 25 2 2" xfId="4602" xr:uid="{00000000-0005-0000-0000-0000E7110000}"/>
    <cellStyle name="Normal 10 2 10 25 2 3" xfId="4603" xr:uid="{00000000-0005-0000-0000-0000E8110000}"/>
    <cellStyle name="Normal 10 2 10 25 2 4" xfId="4604" xr:uid="{00000000-0005-0000-0000-0000E9110000}"/>
    <cellStyle name="Normal 10 2 10 25 2 5" xfId="4605" xr:uid="{00000000-0005-0000-0000-0000EA110000}"/>
    <cellStyle name="Normal 10 2 10 25 2 6" xfId="4606" xr:uid="{00000000-0005-0000-0000-0000EB110000}"/>
    <cellStyle name="Normal 10 2 10 25 2 7" xfId="4607" xr:uid="{00000000-0005-0000-0000-0000EC110000}"/>
    <cellStyle name="Normal 10 2 10 25 2 8" xfId="4608" xr:uid="{00000000-0005-0000-0000-0000ED110000}"/>
    <cellStyle name="Normal 10 2 10 25 2 9" xfId="4609" xr:uid="{00000000-0005-0000-0000-0000EE110000}"/>
    <cellStyle name="Normal 10 2 10 25 3" xfId="4610" xr:uid="{00000000-0005-0000-0000-0000EF110000}"/>
    <cellStyle name="Normal 10 2 10 25 3 10" xfId="4611" xr:uid="{00000000-0005-0000-0000-0000F0110000}"/>
    <cellStyle name="Normal 10 2 10 25 3 2" xfId="4612" xr:uid="{00000000-0005-0000-0000-0000F1110000}"/>
    <cellStyle name="Normal 10 2 10 25 3 3" xfId="4613" xr:uid="{00000000-0005-0000-0000-0000F2110000}"/>
    <cellStyle name="Normal 10 2 10 25 3 4" xfId="4614" xr:uid="{00000000-0005-0000-0000-0000F3110000}"/>
    <cellStyle name="Normal 10 2 10 25 3 5" xfId="4615" xr:uid="{00000000-0005-0000-0000-0000F4110000}"/>
    <cellStyle name="Normal 10 2 10 25 3 6" xfId="4616" xr:uid="{00000000-0005-0000-0000-0000F5110000}"/>
    <cellStyle name="Normal 10 2 10 25 3 7" xfId="4617" xr:uid="{00000000-0005-0000-0000-0000F6110000}"/>
    <cellStyle name="Normal 10 2 10 25 3 8" xfId="4618" xr:uid="{00000000-0005-0000-0000-0000F7110000}"/>
    <cellStyle name="Normal 10 2 10 25 3 9" xfId="4619" xr:uid="{00000000-0005-0000-0000-0000F8110000}"/>
    <cellStyle name="Normal 10 2 10 25 4" xfId="4620" xr:uid="{00000000-0005-0000-0000-0000F9110000}"/>
    <cellStyle name="Normal 10 2 10 25 4 10" xfId="4621" xr:uid="{00000000-0005-0000-0000-0000FA110000}"/>
    <cellStyle name="Normal 10 2 10 25 4 2" xfId="4622" xr:uid="{00000000-0005-0000-0000-0000FB110000}"/>
    <cellStyle name="Normal 10 2 10 25 4 3" xfId="4623" xr:uid="{00000000-0005-0000-0000-0000FC110000}"/>
    <cellStyle name="Normal 10 2 10 25 4 4" xfId="4624" xr:uid="{00000000-0005-0000-0000-0000FD110000}"/>
    <cellStyle name="Normal 10 2 10 25 4 5" xfId="4625" xr:uid="{00000000-0005-0000-0000-0000FE110000}"/>
    <cellStyle name="Normal 10 2 10 25 4 6" xfId="4626" xr:uid="{00000000-0005-0000-0000-0000FF110000}"/>
    <cellStyle name="Normal 10 2 10 25 4 7" xfId="4627" xr:uid="{00000000-0005-0000-0000-000000120000}"/>
    <cellStyle name="Normal 10 2 10 25 4 8" xfId="4628" xr:uid="{00000000-0005-0000-0000-000001120000}"/>
    <cellStyle name="Normal 10 2 10 25 4 9" xfId="4629" xr:uid="{00000000-0005-0000-0000-000002120000}"/>
    <cellStyle name="Normal 10 2 10 25 5" xfId="4630" xr:uid="{00000000-0005-0000-0000-000003120000}"/>
    <cellStyle name="Normal 10 2 10 25 5 10" xfId="4631" xr:uid="{00000000-0005-0000-0000-000004120000}"/>
    <cellStyle name="Normal 10 2 10 25 5 2" xfId="4632" xr:uid="{00000000-0005-0000-0000-000005120000}"/>
    <cellStyle name="Normal 10 2 10 25 5 3" xfId="4633" xr:uid="{00000000-0005-0000-0000-000006120000}"/>
    <cellStyle name="Normal 10 2 10 25 5 4" xfId="4634" xr:uid="{00000000-0005-0000-0000-000007120000}"/>
    <cellStyle name="Normal 10 2 10 25 5 5" xfId="4635" xr:uid="{00000000-0005-0000-0000-000008120000}"/>
    <cellStyle name="Normal 10 2 10 25 5 6" xfId="4636" xr:uid="{00000000-0005-0000-0000-000009120000}"/>
    <cellStyle name="Normal 10 2 10 25 5 7" xfId="4637" xr:uid="{00000000-0005-0000-0000-00000A120000}"/>
    <cellStyle name="Normal 10 2 10 25 5 8" xfId="4638" xr:uid="{00000000-0005-0000-0000-00000B120000}"/>
    <cellStyle name="Normal 10 2 10 25 5 9" xfId="4639" xr:uid="{00000000-0005-0000-0000-00000C120000}"/>
    <cellStyle name="Normal 10 2 10 25 6" xfId="4640" xr:uid="{00000000-0005-0000-0000-00000D120000}"/>
    <cellStyle name="Normal 10 2 10 25 7" xfId="4641" xr:uid="{00000000-0005-0000-0000-00000E120000}"/>
    <cellStyle name="Normal 10 2 10 25 8" xfId="4642" xr:uid="{00000000-0005-0000-0000-00000F120000}"/>
    <cellStyle name="Normal 10 2 10 25 9" xfId="4643" xr:uid="{00000000-0005-0000-0000-000010120000}"/>
    <cellStyle name="Normal 10 2 10 26" xfId="4644" xr:uid="{00000000-0005-0000-0000-000011120000}"/>
    <cellStyle name="Normal 10 2 10 26 10" xfId="4645" xr:uid="{00000000-0005-0000-0000-000012120000}"/>
    <cellStyle name="Normal 10 2 10 26 11" xfId="4646" xr:uid="{00000000-0005-0000-0000-000013120000}"/>
    <cellStyle name="Normal 10 2 10 26 12" xfId="4647" xr:uid="{00000000-0005-0000-0000-000014120000}"/>
    <cellStyle name="Normal 10 2 10 26 13" xfId="4648" xr:uid="{00000000-0005-0000-0000-000015120000}"/>
    <cellStyle name="Normal 10 2 10 26 14" xfId="4649" xr:uid="{00000000-0005-0000-0000-000016120000}"/>
    <cellStyle name="Normal 10 2 10 26 2" xfId="4650" xr:uid="{00000000-0005-0000-0000-000017120000}"/>
    <cellStyle name="Normal 10 2 10 26 2 10" xfId="4651" xr:uid="{00000000-0005-0000-0000-000018120000}"/>
    <cellStyle name="Normal 10 2 10 26 2 2" xfId="4652" xr:uid="{00000000-0005-0000-0000-000019120000}"/>
    <cellStyle name="Normal 10 2 10 26 2 3" xfId="4653" xr:uid="{00000000-0005-0000-0000-00001A120000}"/>
    <cellStyle name="Normal 10 2 10 26 2 4" xfId="4654" xr:uid="{00000000-0005-0000-0000-00001B120000}"/>
    <cellStyle name="Normal 10 2 10 26 2 5" xfId="4655" xr:uid="{00000000-0005-0000-0000-00001C120000}"/>
    <cellStyle name="Normal 10 2 10 26 2 6" xfId="4656" xr:uid="{00000000-0005-0000-0000-00001D120000}"/>
    <cellStyle name="Normal 10 2 10 26 2 7" xfId="4657" xr:uid="{00000000-0005-0000-0000-00001E120000}"/>
    <cellStyle name="Normal 10 2 10 26 2 8" xfId="4658" xr:uid="{00000000-0005-0000-0000-00001F120000}"/>
    <cellStyle name="Normal 10 2 10 26 2 9" xfId="4659" xr:uid="{00000000-0005-0000-0000-000020120000}"/>
    <cellStyle name="Normal 10 2 10 26 3" xfId="4660" xr:uid="{00000000-0005-0000-0000-000021120000}"/>
    <cellStyle name="Normal 10 2 10 26 3 10" xfId="4661" xr:uid="{00000000-0005-0000-0000-000022120000}"/>
    <cellStyle name="Normal 10 2 10 26 3 2" xfId="4662" xr:uid="{00000000-0005-0000-0000-000023120000}"/>
    <cellStyle name="Normal 10 2 10 26 3 3" xfId="4663" xr:uid="{00000000-0005-0000-0000-000024120000}"/>
    <cellStyle name="Normal 10 2 10 26 3 4" xfId="4664" xr:uid="{00000000-0005-0000-0000-000025120000}"/>
    <cellStyle name="Normal 10 2 10 26 3 5" xfId="4665" xr:uid="{00000000-0005-0000-0000-000026120000}"/>
    <cellStyle name="Normal 10 2 10 26 3 6" xfId="4666" xr:uid="{00000000-0005-0000-0000-000027120000}"/>
    <cellStyle name="Normal 10 2 10 26 3 7" xfId="4667" xr:uid="{00000000-0005-0000-0000-000028120000}"/>
    <cellStyle name="Normal 10 2 10 26 3 8" xfId="4668" xr:uid="{00000000-0005-0000-0000-000029120000}"/>
    <cellStyle name="Normal 10 2 10 26 3 9" xfId="4669" xr:uid="{00000000-0005-0000-0000-00002A120000}"/>
    <cellStyle name="Normal 10 2 10 26 4" xfId="4670" xr:uid="{00000000-0005-0000-0000-00002B120000}"/>
    <cellStyle name="Normal 10 2 10 26 4 10" xfId="4671" xr:uid="{00000000-0005-0000-0000-00002C120000}"/>
    <cellStyle name="Normal 10 2 10 26 4 2" xfId="4672" xr:uid="{00000000-0005-0000-0000-00002D120000}"/>
    <cellStyle name="Normal 10 2 10 26 4 3" xfId="4673" xr:uid="{00000000-0005-0000-0000-00002E120000}"/>
    <cellStyle name="Normal 10 2 10 26 4 4" xfId="4674" xr:uid="{00000000-0005-0000-0000-00002F120000}"/>
    <cellStyle name="Normal 10 2 10 26 4 5" xfId="4675" xr:uid="{00000000-0005-0000-0000-000030120000}"/>
    <cellStyle name="Normal 10 2 10 26 4 6" xfId="4676" xr:uid="{00000000-0005-0000-0000-000031120000}"/>
    <cellStyle name="Normal 10 2 10 26 4 7" xfId="4677" xr:uid="{00000000-0005-0000-0000-000032120000}"/>
    <cellStyle name="Normal 10 2 10 26 4 8" xfId="4678" xr:uid="{00000000-0005-0000-0000-000033120000}"/>
    <cellStyle name="Normal 10 2 10 26 4 9" xfId="4679" xr:uid="{00000000-0005-0000-0000-000034120000}"/>
    <cellStyle name="Normal 10 2 10 26 5" xfId="4680" xr:uid="{00000000-0005-0000-0000-000035120000}"/>
    <cellStyle name="Normal 10 2 10 26 5 10" xfId="4681" xr:uid="{00000000-0005-0000-0000-000036120000}"/>
    <cellStyle name="Normal 10 2 10 26 5 2" xfId="4682" xr:uid="{00000000-0005-0000-0000-000037120000}"/>
    <cellStyle name="Normal 10 2 10 26 5 3" xfId="4683" xr:uid="{00000000-0005-0000-0000-000038120000}"/>
    <cellStyle name="Normal 10 2 10 26 5 4" xfId="4684" xr:uid="{00000000-0005-0000-0000-000039120000}"/>
    <cellStyle name="Normal 10 2 10 26 5 5" xfId="4685" xr:uid="{00000000-0005-0000-0000-00003A120000}"/>
    <cellStyle name="Normal 10 2 10 26 5 6" xfId="4686" xr:uid="{00000000-0005-0000-0000-00003B120000}"/>
    <cellStyle name="Normal 10 2 10 26 5 7" xfId="4687" xr:uid="{00000000-0005-0000-0000-00003C120000}"/>
    <cellStyle name="Normal 10 2 10 26 5 8" xfId="4688" xr:uid="{00000000-0005-0000-0000-00003D120000}"/>
    <cellStyle name="Normal 10 2 10 26 5 9" xfId="4689" xr:uid="{00000000-0005-0000-0000-00003E120000}"/>
    <cellStyle name="Normal 10 2 10 26 6" xfId="4690" xr:uid="{00000000-0005-0000-0000-00003F120000}"/>
    <cellStyle name="Normal 10 2 10 26 7" xfId="4691" xr:uid="{00000000-0005-0000-0000-000040120000}"/>
    <cellStyle name="Normal 10 2 10 26 8" xfId="4692" xr:uid="{00000000-0005-0000-0000-000041120000}"/>
    <cellStyle name="Normal 10 2 10 26 9" xfId="4693" xr:uid="{00000000-0005-0000-0000-000042120000}"/>
    <cellStyle name="Normal 10 2 10 27" xfId="4694" xr:uid="{00000000-0005-0000-0000-000043120000}"/>
    <cellStyle name="Normal 10 2 10 27 10" xfId="4695" xr:uid="{00000000-0005-0000-0000-000044120000}"/>
    <cellStyle name="Normal 10 2 10 27 11" xfId="4696" xr:uid="{00000000-0005-0000-0000-000045120000}"/>
    <cellStyle name="Normal 10 2 10 27 12" xfId="4697" xr:uid="{00000000-0005-0000-0000-000046120000}"/>
    <cellStyle name="Normal 10 2 10 27 13" xfId="4698" xr:uid="{00000000-0005-0000-0000-000047120000}"/>
    <cellStyle name="Normal 10 2 10 27 14" xfId="4699" xr:uid="{00000000-0005-0000-0000-000048120000}"/>
    <cellStyle name="Normal 10 2 10 27 2" xfId="4700" xr:uid="{00000000-0005-0000-0000-000049120000}"/>
    <cellStyle name="Normal 10 2 10 27 2 10" xfId="4701" xr:uid="{00000000-0005-0000-0000-00004A120000}"/>
    <cellStyle name="Normal 10 2 10 27 2 2" xfId="4702" xr:uid="{00000000-0005-0000-0000-00004B120000}"/>
    <cellStyle name="Normal 10 2 10 27 2 3" xfId="4703" xr:uid="{00000000-0005-0000-0000-00004C120000}"/>
    <cellStyle name="Normal 10 2 10 27 2 4" xfId="4704" xr:uid="{00000000-0005-0000-0000-00004D120000}"/>
    <cellStyle name="Normal 10 2 10 27 2 5" xfId="4705" xr:uid="{00000000-0005-0000-0000-00004E120000}"/>
    <cellStyle name="Normal 10 2 10 27 2 6" xfId="4706" xr:uid="{00000000-0005-0000-0000-00004F120000}"/>
    <cellStyle name="Normal 10 2 10 27 2 7" xfId="4707" xr:uid="{00000000-0005-0000-0000-000050120000}"/>
    <cellStyle name="Normal 10 2 10 27 2 8" xfId="4708" xr:uid="{00000000-0005-0000-0000-000051120000}"/>
    <cellStyle name="Normal 10 2 10 27 2 9" xfId="4709" xr:uid="{00000000-0005-0000-0000-000052120000}"/>
    <cellStyle name="Normal 10 2 10 27 3" xfId="4710" xr:uid="{00000000-0005-0000-0000-000053120000}"/>
    <cellStyle name="Normal 10 2 10 27 3 10" xfId="4711" xr:uid="{00000000-0005-0000-0000-000054120000}"/>
    <cellStyle name="Normal 10 2 10 27 3 2" xfId="4712" xr:uid="{00000000-0005-0000-0000-000055120000}"/>
    <cellStyle name="Normal 10 2 10 27 3 3" xfId="4713" xr:uid="{00000000-0005-0000-0000-000056120000}"/>
    <cellStyle name="Normal 10 2 10 27 3 4" xfId="4714" xr:uid="{00000000-0005-0000-0000-000057120000}"/>
    <cellStyle name="Normal 10 2 10 27 3 5" xfId="4715" xr:uid="{00000000-0005-0000-0000-000058120000}"/>
    <cellStyle name="Normal 10 2 10 27 3 6" xfId="4716" xr:uid="{00000000-0005-0000-0000-000059120000}"/>
    <cellStyle name="Normal 10 2 10 27 3 7" xfId="4717" xr:uid="{00000000-0005-0000-0000-00005A120000}"/>
    <cellStyle name="Normal 10 2 10 27 3 8" xfId="4718" xr:uid="{00000000-0005-0000-0000-00005B120000}"/>
    <cellStyle name="Normal 10 2 10 27 3 9" xfId="4719" xr:uid="{00000000-0005-0000-0000-00005C120000}"/>
    <cellStyle name="Normal 10 2 10 27 4" xfId="4720" xr:uid="{00000000-0005-0000-0000-00005D120000}"/>
    <cellStyle name="Normal 10 2 10 27 4 10" xfId="4721" xr:uid="{00000000-0005-0000-0000-00005E120000}"/>
    <cellStyle name="Normal 10 2 10 27 4 2" xfId="4722" xr:uid="{00000000-0005-0000-0000-00005F120000}"/>
    <cellStyle name="Normal 10 2 10 27 4 3" xfId="4723" xr:uid="{00000000-0005-0000-0000-000060120000}"/>
    <cellStyle name="Normal 10 2 10 27 4 4" xfId="4724" xr:uid="{00000000-0005-0000-0000-000061120000}"/>
    <cellStyle name="Normal 10 2 10 27 4 5" xfId="4725" xr:uid="{00000000-0005-0000-0000-000062120000}"/>
    <cellStyle name="Normal 10 2 10 27 4 6" xfId="4726" xr:uid="{00000000-0005-0000-0000-000063120000}"/>
    <cellStyle name="Normal 10 2 10 27 4 7" xfId="4727" xr:uid="{00000000-0005-0000-0000-000064120000}"/>
    <cellStyle name="Normal 10 2 10 27 4 8" xfId="4728" xr:uid="{00000000-0005-0000-0000-000065120000}"/>
    <cellStyle name="Normal 10 2 10 27 4 9" xfId="4729" xr:uid="{00000000-0005-0000-0000-000066120000}"/>
    <cellStyle name="Normal 10 2 10 27 5" xfId="4730" xr:uid="{00000000-0005-0000-0000-000067120000}"/>
    <cellStyle name="Normal 10 2 10 27 5 10" xfId="4731" xr:uid="{00000000-0005-0000-0000-000068120000}"/>
    <cellStyle name="Normal 10 2 10 27 5 2" xfId="4732" xr:uid="{00000000-0005-0000-0000-000069120000}"/>
    <cellStyle name="Normal 10 2 10 27 5 3" xfId="4733" xr:uid="{00000000-0005-0000-0000-00006A120000}"/>
    <cellStyle name="Normal 10 2 10 27 5 4" xfId="4734" xr:uid="{00000000-0005-0000-0000-00006B120000}"/>
    <cellStyle name="Normal 10 2 10 27 5 5" xfId="4735" xr:uid="{00000000-0005-0000-0000-00006C120000}"/>
    <cellStyle name="Normal 10 2 10 27 5 6" xfId="4736" xr:uid="{00000000-0005-0000-0000-00006D120000}"/>
    <cellStyle name="Normal 10 2 10 27 5 7" xfId="4737" xr:uid="{00000000-0005-0000-0000-00006E120000}"/>
    <cellStyle name="Normal 10 2 10 27 5 8" xfId="4738" xr:uid="{00000000-0005-0000-0000-00006F120000}"/>
    <cellStyle name="Normal 10 2 10 27 5 9" xfId="4739" xr:uid="{00000000-0005-0000-0000-000070120000}"/>
    <cellStyle name="Normal 10 2 10 27 6" xfId="4740" xr:uid="{00000000-0005-0000-0000-000071120000}"/>
    <cellStyle name="Normal 10 2 10 27 7" xfId="4741" xr:uid="{00000000-0005-0000-0000-000072120000}"/>
    <cellStyle name="Normal 10 2 10 27 8" xfId="4742" xr:uid="{00000000-0005-0000-0000-000073120000}"/>
    <cellStyle name="Normal 10 2 10 27 9" xfId="4743" xr:uid="{00000000-0005-0000-0000-000074120000}"/>
    <cellStyle name="Normal 10 2 10 28" xfId="4744" xr:uid="{00000000-0005-0000-0000-000075120000}"/>
    <cellStyle name="Normal 10 2 10 28 10" xfId="4745" xr:uid="{00000000-0005-0000-0000-000076120000}"/>
    <cellStyle name="Normal 10 2 10 28 11" xfId="4746" xr:uid="{00000000-0005-0000-0000-000077120000}"/>
    <cellStyle name="Normal 10 2 10 28 12" xfId="4747" xr:uid="{00000000-0005-0000-0000-000078120000}"/>
    <cellStyle name="Normal 10 2 10 28 13" xfId="4748" xr:uid="{00000000-0005-0000-0000-000079120000}"/>
    <cellStyle name="Normal 10 2 10 28 14" xfId="4749" xr:uid="{00000000-0005-0000-0000-00007A120000}"/>
    <cellStyle name="Normal 10 2 10 28 2" xfId="4750" xr:uid="{00000000-0005-0000-0000-00007B120000}"/>
    <cellStyle name="Normal 10 2 10 28 2 10" xfId="4751" xr:uid="{00000000-0005-0000-0000-00007C120000}"/>
    <cellStyle name="Normal 10 2 10 28 2 2" xfId="4752" xr:uid="{00000000-0005-0000-0000-00007D120000}"/>
    <cellStyle name="Normal 10 2 10 28 2 3" xfId="4753" xr:uid="{00000000-0005-0000-0000-00007E120000}"/>
    <cellStyle name="Normal 10 2 10 28 2 4" xfId="4754" xr:uid="{00000000-0005-0000-0000-00007F120000}"/>
    <cellStyle name="Normal 10 2 10 28 2 5" xfId="4755" xr:uid="{00000000-0005-0000-0000-000080120000}"/>
    <cellStyle name="Normal 10 2 10 28 2 6" xfId="4756" xr:uid="{00000000-0005-0000-0000-000081120000}"/>
    <cellStyle name="Normal 10 2 10 28 2 7" xfId="4757" xr:uid="{00000000-0005-0000-0000-000082120000}"/>
    <cellStyle name="Normal 10 2 10 28 2 8" xfId="4758" xr:uid="{00000000-0005-0000-0000-000083120000}"/>
    <cellStyle name="Normal 10 2 10 28 2 9" xfId="4759" xr:uid="{00000000-0005-0000-0000-000084120000}"/>
    <cellStyle name="Normal 10 2 10 28 3" xfId="4760" xr:uid="{00000000-0005-0000-0000-000085120000}"/>
    <cellStyle name="Normal 10 2 10 28 3 10" xfId="4761" xr:uid="{00000000-0005-0000-0000-000086120000}"/>
    <cellStyle name="Normal 10 2 10 28 3 2" xfId="4762" xr:uid="{00000000-0005-0000-0000-000087120000}"/>
    <cellStyle name="Normal 10 2 10 28 3 3" xfId="4763" xr:uid="{00000000-0005-0000-0000-000088120000}"/>
    <cellStyle name="Normal 10 2 10 28 3 4" xfId="4764" xr:uid="{00000000-0005-0000-0000-000089120000}"/>
    <cellStyle name="Normal 10 2 10 28 3 5" xfId="4765" xr:uid="{00000000-0005-0000-0000-00008A120000}"/>
    <cellStyle name="Normal 10 2 10 28 3 6" xfId="4766" xr:uid="{00000000-0005-0000-0000-00008B120000}"/>
    <cellStyle name="Normal 10 2 10 28 3 7" xfId="4767" xr:uid="{00000000-0005-0000-0000-00008C120000}"/>
    <cellStyle name="Normal 10 2 10 28 3 8" xfId="4768" xr:uid="{00000000-0005-0000-0000-00008D120000}"/>
    <cellStyle name="Normal 10 2 10 28 3 9" xfId="4769" xr:uid="{00000000-0005-0000-0000-00008E120000}"/>
    <cellStyle name="Normal 10 2 10 28 4" xfId="4770" xr:uid="{00000000-0005-0000-0000-00008F120000}"/>
    <cellStyle name="Normal 10 2 10 28 4 10" xfId="4771" xr:uid="{00000000-0005-0000-0000-000090120000}"/>
    <cellStyle name="Normal 10 2 10 28 4 2" xfId="4772" xr:uid="{00000000-0005-0000-0000-000091120000}"/>
    <cellStyle name="Normal 10 2 10 28 4 3" xfId="4773" xr:uid="{00000000-0005-0000-0000-000092120000}"/>
    <cellStyle name="Normal 10 2 10 28 4 4" xfId="4774" xr:uid="{00000000-0005-0000-0000-000093120000}"/>
    <cellStyle name="Normal 10 2 10 28 4 5" xfId="4775" xr:uid="{00000000-0005-0000-0000-000094120000}"/>
    <cellStyle name="Normal 10 2 10 28 4 6" xfId="4776" xr:uid="{00000000-0005-0000-0000-000095120000}"/>
    <cellStyle name="Normal 10 2 10 28 4 7" xfId="4777" xr:uid="{00000000-0005-0000-0000-000096120000}"/>
    <cellStyle name="Normal 10 2 10 28 4 8" xfId="4778" xr:uid="{00000000-0005-0000-0000-000097120000}"/>
    <cellStyle name="Normal 10 2 10 28 4 9" xfId="4779" xr:uid="{00000000-0005-0000-0000-000098120000}"/>
    <cellStyle name="Normal 10 2 10 28 5" xfId="4780" xr:uid="{00000000-0005-0000-0000-000099120000}"/>
    <cellStyle name="Normal 10 2 10 28 5 10" xfId="4781" xr:uid="{00000000-0005-0000-0000-00009A120000}"/>
    <cellStyle name="Normal 10 2 10 28 5 2" xfId="4782" xr:uid="{00000000-0005-0000-0000-00009B120000}"/>
    <cellStyle name="Normal 10 2 10 28 5 3" xfId="4783" xr:uid="{00000000-0005-0000-0000-00009C120000}"/>
    <cellStyle name="Normal 10 2 10 28 5 4" xfId="4784" xr:uid="{00000000-0005-0000-0000-00009D120000}"/>
    <cellStyle name="Normal 10 2 10 28 5 5" xfId="4785" xr:uid="{00000000-0005-0000-0000-00009E120000}"/>
    <cellStyle name="Normal 10 2 10 28 5 6" xfId="4786" xr:uid="{00000000-0005-0000-0000-00009F120000}"/>
    <cellStyle name="Normal 10 2 10 28 5 7" xfId="4787" xr:uid="{00000000-0005-0000-0000-0000A0120000}"/>
    <cellStyle name="Normal 10 2 10 28 5 8" xfId="4788" xr:uid="{00000000-0005-0000-0000-0000A1120000}"/>
    <cellStyle name="Normal 10 2 10 28 5 9" xfId="4789" xr:uid="{00000000-0005-0000-0000-0000A2120000}"/>
    <cellStyle name="Normal 10 2 10 28 6" xfId="4790" xr:uid="{00000000-0005-0000-0000-0000A3120000}"/>
    <cellStyle name="Normal 10 2 10 28 7" xfId="4791" xr:uid="{00000000-0005-0000-0000-0000A4120000}"/>
    <cellStyle name="Normal 10 2 10 28 8" xfId="4792" xr:uid="{00000000-0005-0000-0000-0000A5120000}"/>
    <cellStyle name="Normal 10 2 10 28 9" xfId="4793" xr:uid="{00000000-0005-0000-0000-0000A6120000}"/>
    <cellStyle name="Normal 10 2 10 29" xfId="4794" xr:uid="{00000000-0005-0000-0000-0000A7120000}"/>
    <cellStyle name="Normal 10 2 10 29 10" xfId="4795" xr:uid="{00000000-0005-0000-0000-0000A8120000}"/>
    <cellStyle name="Normal 10 2 10 29 11" xfId="4796" xr:uid="{00000000-0005-0000-0000-0000A9120000}"/>
    <cellStyle name="Normal 10 2 10 29 12" xfId="4797" xr:uid="{00000000-0005-0000-0000-0000AA120000}"/>
    <cellStyle name="Normal 10 2 10 29 13" xfId="4798" xr:uid="{00000000-0005-0000-0000-0000AB120000}"/>
    <cellStyle name="Normal 10 2 10 29 14" xfId="4799" xr:uid="{00000000-0005-0000-0000-0000AC120000}"/>
    <cellStyle name="Normal 10 2 10 29 2" xfId="4800" xr:uid="{00000000-0005-0000-0000-0000AD120000}"/>
    <cellStyle name="Normal 10 2 10 29 2 10" xfId="4801" xr:uid="{00000000-0005-0000-0000-0000AE120000}"/>
    <cellStyle name="Normal 10 2 10 29 2 2" xfId="4802" xr:uid="{00000000-0005-0000-0000-0000AF120000}"/>
    <cellStyle name="Normal 10 2 10 29 2 3" xfId="4803" xr:uid="{00000000-0005-0000-0000-0000B0120000}"/>
    <cellStyle name="Normal 10 2 10 29 2 4" xfId="4804" xr:uid="{00000000-0005-0000-0000-0000B1120000}"/>
    <cellStyle name="Normal 10 2 10 29 2 5" xfId="4805" xr:uid="{00000000-0005-0000-0000-0000B2120000}"/>
    <cellStyle name="Normal 10 2 10 29 2 6" xfId="4806" xr:uid="{00000000-0005-0000-0000-0000B3120000}"/>
    <cellStyle name="Normal 10 2 10 29 2 7" xfId="4807" xr:uid="{00000000-0005-0000-0000-0000B4120000}"/>
    <cellStyle name="Normal 10 2 10 29 2 8" xfId="4808" xr:uid="{00000000-0005-0000-0000-0000B5120000}"/>
    <cellStyle name="Normal 10 2 10 29 2 9" xfId="4809" xr:uid="{00000000-0005-0000-0000-0000B6120000}"/>
    <cellStyle name="Normal 10 2 10 29 3" xfId="4810" xr:uid="{00000000-0005-0000-0000-0000B7120000}"/>
    <cellStyle name="Normal 10 2 10 29 3 10" xfId="4811" xr:uid="{00000000-0005-0000-0000-0000B8120000}"/>
    <cellStyle name="Normal 10 2 10 29 3 2" xfId="4812" xr:uid="{00000000-0005-0000-0000-0000B9120000}"/>
    <cellStyle name="Normal 10 2 10 29 3 3" xfId="4813" xr:uid="{00000000-0005-0000-0000-0000BA120000}"/>
    <cellStyle name="Normal 10 2 10 29 3 4" xfId="4814" xr:uid="{00000000-0005-0000-0000-0000BB120000}"/>
    <cellStyle name="Normal 10 2 10 29 3 5" xfId="4815" xr:uid="{00000000-0005-0000-0000-0000BC120000}"/>
    <cellStyle name="Normal 10 2 10 29 3 6" xfId="4816" xr:uid="{00000000-0005-0000-0000-0000BD120000}"/>
    <cellStyle name="Normal 10 2 10 29 3 7" xfId="4817" xr:uid="{00000000-0005-0000-0000-0000BE120000}"/>
    <cellStyle name="Normal 10 2 10 29 3 8" xfId="4818" xr:uid="{00000000-0005-0000-0000-0000BF120000}"/>
    <cellStyle name="Normal 10 2 10 29 3 9" xfId="4819" xr:uid="{00000000-0005-0000-0000-0000C0120000}"/>
    <cellStyle name="Normal 10 2 10 29 4" xfId="4820" xr:uid="{00000000-0005-0000-0000-0000C1120000}"/>
    <cellStyle name="Normal 10 2 10 29 4 10" xfId="4821" xr:uid="{00000000-0005-0000-0000-0000C2120000}"/>
    <cellStyle name="Normal 10 2 10 29 4 2" xfId="4822" xr:uid="{00000000-0005-0000-0000-0000C3120000}"/>
    <cellStyle name="Normal 10 2 10 29 4 3" xfId="4823" xr:uid="{00000000-0005-0000-0000-0000C4120000}"/>
    <cellStyle name="Normal 10 2 10 29 4 4" xfId="4824" xr:uid="{00000000-0005-0000-0000-0000C5120000}"/>
    <cellStyle name="Normal 10 2 10 29 4 5" xfId="4825" xr:uid="{00000000-0005-0000-0000-0000C6120000}"/>
    <cellStyle name="Normal 10 2 10 29 4 6" xfId="4826" xr:uid="{00000000-0005-0000-0000-0000C7120000}"/>
    <cellStyle name="Normal 10 2 10 29 4 7" xfId="4827" xr:uid="{00000000-0005-0000-0000-0000C8120000}"/>
    <cellStyle name="Normal 10 2 10 29 4 8" xfId="4828" xr:uid="{00000000-0005-0000-0000-0000C9120000}"/>
    <cellStyle name="Normal 10 2 10 29 4 9" xfId="4829" xr:uid="{00000000-0005-0000-0000-0000CA120000}"/>
    <cellStyle name="Normal 10 2 10 29 5" xfId="4830" xr:uid="{00000000-0005-0000-0000-0000CB120000}"/>
    <cellStyle name="Normal 10 2 10 29 5 10" xfId="4831" xr:uid="{00000000-0005-0000-0000-0000CC120000}"/>
    <cellStyle name="Normal 10 2 10 29 5 2" xfId="4832" xr:uid="{00000000-0005-0000-0000-0000CD120000}"/>
    <cellStyle name="Normal 10 2 10 29 5 3" xfId="4833" xr:uid="{00000000-0005-0000-0000-0000CE120000}"/>
    <cellStyle name="Normal 10 2 10 29 5 4" xfId="4834" xr:uid="{00000000-0005-0000-0000-0000CF120000}"/>
    <cellStyle name="Normal 10 2 10 29 5 5" xfId="4835" xr:uid="{00000000-0005-0000-0000-0000D0120000}"/>
    <cellStyle name="Normal 10 2 10 29 5 6" xfId="4836" xr:uid="{00000000-0005-0000-0000-0000D1120000}"/>
    <cellStyle name="Normal 10 2 10 29 5 7" xfId="4837" xr:uid="{00000000-0005-0000-0000-0000D2120000}"/>
    <cellStyle name="Normal 10 2 10 29 5 8" xfId="4838" xr:uid="{00000000-0005-0000-0000-0000D3120000}"/>
    <cellStyle name="Normal 10 2 10 29 5 9" xfId="4839" xr:uid="{00000000-0005-0000-0000-0000D4120000}"/>
    <cellStyle name="Normal 10 2 10 29 6" xfId="4840" xr:uid="{00000000-0005-0000-0000-0000D5120000}"/>
    <cellStyle name="Normal 10 2 10 29 7" xfId="4841" xr:uid="{00000000-0005-0000-0000-0000D6120000}"/>
    <cellStyle name="Normal 10 2 10 29 8" xfId="4842" xr:uid="{00000000-0005-0000-0000-0000D7120000}"/>
    <cellStyle name="Normal 10 2 10 29 9" xfId="4843" xr:uid="{00000000-0005-0000-0000-0000D8120000}"/>
    <cellStyle name="Normal 10 2 10 3" xfId="4844" xr:uid="{00000000-0005-0000-0000-0000D9120000}"/>
    <cellStyle name="Normal 10 2 10 3 10" xfId="4845" xr:uid="{00000000-0005-0000-0000-0000DA120000}"/>
    <cellStyle name="Normal 10 2 10 3 11" xfId="4846" xr:uid="{00000000-0005-0000-0000-0000DB120000}"/>
    <cellStyle name="Normal 10 2 10 3 12" xfId="4847" xr:uid="{00000000-0005-0000-0000-0000DC120000}"/>
    <cellStyle name="Normal 10 2 10 3 13" xfId="4848" xr:uid="{00000000-0005-0000-0000-0000DD120000}"/>
    <cellStyle name="Normal 10 2 10 3 14" xfId="4849" xr:uid="{00000000-0005-0000-0000-0000DE120000}"/>
    <cellStyle name="Normal 10 2 10 3 15" xfId="4850" xr:uid="{00000000-0005-0000-0000-0000DF120000}"/>
    <cellStyle name="Normal 10 2 10 3 2" xfId="4851" xr:uid="{00000000-0005-0000-0000-0000E0120000}"/>
    <cellStyle name="Normal 10 2 10 3 2 10" xfId="4852" xr:uid="{00000000-0005-0000-0000-0000E1120000}"/>
    <cellStyle name="Normal 10 2 10 3 2 2" xfId="4853" xr:uid="{00000000-0005-0000-0000-0000E2120000}"/>
    <cellStyle name="Normal 10 2 10 3 2 3" xfId="4854" xr:uid="{00000000-0005-0000-0000-0000E3120000}"/>
    <cellStyle name="Normal 10 2 10 3 2 4" xfId="4855" xr:uid="{00000000-0005-0000-0000-0000E4120000}"/>
    <cellStyle name="Normal 10 2 10 3 2 5" xfId="4856" xr:uid="{00000000-0005-0000-0000-0000E5120000}"/>
    <cellStyle name="Normal 10 2 10 3 2 6" xfId="4857" xr:uid="{00000000-0005-0000-0000-0000E6120000}"/>
    <cellStyle name="Normal 10 2 10 3 2 7" xfId="4858" xr:uid="{00000000-0005-0000-0000-0000E7120000}"/>
    <cellStyle name="Normal 10 2 10 3 2 8" xfId="4859" xr:uid="{00000000-0005-0000-0000-0000E8120000}"/>
    <cellStyle name="Normal 10 2 10 3 2 9" xfId="4860" xr:uid="{00000000-0005-0000-0000-0000E9120000}"/>
    <cellStyle name="Normal 10 2 10 3 3" xfId="4861" xr:uid="{00000000-0005-0000-0000-0000EA120000}"/>
    <cellStyle name="Normal 10 2 10 3 3 10" xfId="4862" xr:uid="{00000000-0005-0000-0000-0000EB120000}"/>
    <cellStyle name="Normal 10 2 10 3 3 2" xfId="4863" xr:uid="{00000000-0005-0000-0000-0000EC120000}"/>
    <cellStyle name="Normal 10 2 10 3 3 3" xfId="4864" xr:uid="{00000000-0005-0000-0000-0000ED120000}"/>
    <cellStyle name="Normal 10 2 10 3 3 4" xfId="4865" xr:uid="{00000000-0005-0000-0000-0000EE120000}"/>
    <cellStyle name="Normal 10 2 10 3 3 5" xfId="4866" xr:uid="{00000000-0005-0000-0000-0000EF120000}"/>
    <cellStyle name="Normal 10 2 10 3 3 6" xfId="4867" xr:uid="{00000000-0005-0000-0000-0000F0120000}"/>
    <cellStyle name="Normal 10 2 10 3 3 7" xfId="4868" xr:uid="{00000000-0005-0000-0000-0000F1120000}"/>
    <cellStyle name="Normal 10 2 10 3 3 8" xfId="4869" xr:uid="{00000000-0005-0000-0000-0000F2120000}"/>
    <cellStyle name="Normal 10 2 10 3 3 9" xfId="4870" xr:uid="{00000000-0005-0000-0000-0000F3120000}"/>
    <cellStyle name="Normal 10 2 10 3 4" xfId="4871" xr:uid="{00000000-0005-0000-0000-0000F4120000}"/>
    <cellStyle name="Normal 10 2 10 3 4 10" xfId="4872" xr:uid="{00000000-0005-0000-0000-0000F5120000}"/>
    <cellStyle name="Normal 10 2 10 3 4 2" xfId="4873" xr:uid="{00000000-0005-0000-0000-0000F6120000}"/>
    <cellStyle name="Normal 10 2 10 3 4 3" xfId="4874" xr:uid="{00000000-0005-0000-0000-0000F7120000}"/>
    <cellStyle name="Normal 10 2 10 3 4 4" xfId="4875" xr:uid="{00000000-0005-0000-0000-0000F8120000}"/>
    <cellStyle name="Normal 10 2 10 3 4 5" xfId="4876" xr:uid="{00000000-0005-0000-0000-0000F9120000}"/>
    <cellStyle name="Normal 10 2 10 3 4 6" xfId="4877" xr:uid="{00000000-0005-0000-0000-0000FA120000}"/>
    <cellStyle name="Normal 10 2 10 3 4 7" xfId="4878" xr:uid="{00000000-0005-0000-0000-0000FB120000}"/>
    <cellStyle name="Normal 10 2 10 3 4 8" xfId="4879" xr:uid="{00000000-0005-0000-0000-0000FC120000}"/>
    <cellStyle name="Normal 10 2 10 3 4 9" xfId="4880" xr:uid="{00000000-0005-0000-0000-0000FD120000}"/>
    <cellStyle name="Normal 10 2 10 3 5" xfId="4881" xr:uid="{00000000-0005-0000-0000-0000FE120000}"/>
    <cellStyle name="Normal 10 2 10 3 5 10" xfId="4882" xr:uid="{00000000-0005-0000-0000-0000FF120000}"/>
    <cellStyle name="Normal 10 2 10 3 5 2" xfId="4883" xr:uid="{00000000-0005-0000-0000-000000130000}"/>
    <cellStyle name="Normal 10 2 10 3 5 3" xfId="4884" xr:uid="{00000000-0005-0000-0000-000001130000}"/>
    <cellStyle name="Normal 10 2 10 3 5 4" xfId="4885" xr:uid="{00000000-0005-0000-0000-000002130000}"/>
    <cellStyle name="Normal 10 2 10 3 5 5" xfId="4886" xr:uid="{00000000-0005-0000-0000-000003130000}"/>
    <cellStyle name="Normal 10 2 10 3 5 6" xfId="4887" xr:uid="{00000000-0005-0000-0000-000004130000}"/>
    <cellStyle name="Normal 10 2 10 3 5 7" xfId="4888" xr:uid="{00000000-0005-0000-0000-000005130000}"/>
    <cellStyle name="Normal 10 2 10 3 5 8" xfId="4889" xr:uid="{00000000-0005-0000-0000-000006130000}"/>
    <cellStyle name="Normal 10 2 10 3 5 9" xfId="4890" xr:uid="{00000000-0005-0000-0000-000007130000}"/>
    <cellStyle name="Normal 10 2 10 3 6" xfId="4891" xr:uid="{00000000-0005-0000-0000-000008130000}"/>
    <cellStyle name="Normal 10 2 10 3 7" xfId="4892" xr:uid="{00000000-0005-0000-0000-000009130000}"/>
    <cellStyle name="Normal 10 2 10 3 8" xfId="4893" xr:uid="{00000000-0005-0000-0000-00000A130000}"/>
    <cellStyle name="Normal 10 2 10 3 9" xfId="4894" xr:uid="{00000000-0005-0000-0000-00000B130000}"/>
    <cellStyle name="Normal 10 2 10 30" xfId="4895" xr:uid="{00000000-0005-0000-0000-00000C130000}"/>
    <cellStyle name="Normal 10 2 10 30 10" xfId="4896" xr:uid="{00000000-0005-0000-0000-00000D130000}"/>
    <cellStyle name="Normal 10 2 10 30 11" xfId="4897" xr:uid="{00000000-0005-0000-0000-00000E130000}"/>
    <cellStyle name="Normal 10 2 10 30 12" xfId="4898" xr:uid="{00000000-0005-0000-0000-00000F130000}"/>
    <cellStyle name="Normal 10 2 10 30 13" xfId="4899" xr:uid="{00000000-0005-0000-0000-000010130000}"/>
    <cellStyle name="Normal 10 2 10 30 14" xfId="4900" xr:uid="{00000000-0005-0000-0000-000011130000}"/>
    <cellStyle name="Normal 10 2 10 30 2" xfId="4901" xr:uid="{00000000-0005-0000-0000-000012130000}"/>
    <cellStyle name="Normal 10 2 10 30 2 10" xfId="4902" xr:uid="{00000000-0005-0000-0000-000013130000}"/>
    <cellStyle name="Normal 10 2 10 30 2 2" xfId="4903" xr:uid="{00000000-0005-0000-0000-000014130000}"/>
    <cellStyle name="Normal 10 2 10 30 2 3" xfId="4904" xr:uid="{00000000-0005-0000-0000-000015130000}"/>
    <cellStyle name="Normal 10 2 10 30 2 4" xfId="4905" xr:uid="{00000000-0005-0000-0000-000016130000}"/>
    <cellStyle name="Normal 10 2 10 30 2 5" xfId="4906" xr:uid="{00000000-0005-0000-0000-000017130000}"/>
    <cellStyle name="Normal 10 2 10 30 2 6" xfId="4907" xr:uid="{00000000-0005-0000-0000-000018130000}"/>
    <cellStyle name="Normal 10 2 10 30 2 7" xfId="4908" xr:uid="{00000000-0005-0000-0000-000019130000}"/>
    <cellStyle name="Normal 10 2 10 30 2 8" xfId="4909" xr:uid="{00000000-0005-0000-0000-00001A130000}"/>
    <cellStyle name="Normal 10 2 10 30 2 9" xfId="4910" xr:uid="{00000000-0005-0000-0000-00001B130000}"/>
    <cellStyle name="Normal 10 2 10 30 3" xfId="4911" xr:uid="{00000000-0005-0000-0000-00001C130000}"/>
    <cellStyle name="Normal 10 2 10 30 3 10" xfId="4912" xr:uid="{00000000-0005-0000-0000-00001D130000}"/>
    <cellStyle name="Normal 10 2 10 30 3 2" xfId="4913" xr:uid="{00000000-0005-0000-0000-00001E130000}"/>
    <cellStyle name="Normal 10 2 10 30 3 3" xfId="4914" xr:uid="{00000000-0005-0000-0000-00001F130000}"/>
    <cellStyle name="Normal 10 2 10 30 3 4" xfId="4915" xr:uid="{00000000-0005-0000-0000-000020130000}"/>
    <cellStyle name="Normal 10 2 10 30 3 5" xfId="4916" xr:uid="{00000000-0005-0000-0000-000021130000}"/>
    <cellStyle name="Normal 10 2 10 30 3 6" xfId="4917" xr:uid="{00000000-0005-0000-0000-000022130000}"/>
    <cellStyle name="Normal 10 2 10 30 3 7" xfId="4918" xr:uid="{00000000-0005-0000-0000-000023130000}"/>
    <cellStyle name="Normal 10 2 10 30 3 8" xfId="4919" xr:uid="{00000000-0005-0000-0000-000024130000}"/>
    <cellStyle name="Normal 10 2 10 30 3 9" xfId="4920" xr:uid="{00000000-0005-0000-0000-000025130000}"/>
    <cellStyle name="Normal 10 2 10 30 4" xfId="4921" xr:uid="{00000000-0005-0000-0000-000026130000}"/>
    <cellStyle name="Normal 10 2 10 30 4 10" xfId="4922" xr:uid="{00000000-0005-0000-0000-000027130000}"/>
    <cellStyle name="Normal 10 2 10 30 4 2" xfId="4923" xr:uid="{00000000-0005-0000-0000-000028130000}"/>
    <cellStyle name="Normal 10 2 10 30 4 3" xfId="4924" xr:uid="{00000000-0005-0000-0000-000029130000}"/>
    <cellStyle name="Normal 10 2 10 30 4 4" xfId="4925" xr:uid="{00000000-0005-0000-0000-00002A130000}"/>
    <cellStyle name="Normal 10 2 10 30 4 5" xfId="4926" xr:uid="{00000000-0005-0000-0000-00002B130000}"/>
    <cellStyle name="Normal 10 2 10 30 4 6" xfId="4927" xr:uid="{00000000-0005-0000-0000-00002C130000}"/>
    <cellStyle name="Normal 10 2 10 30 4 7" xfId="4928" xr:uid="{00000000-0005-0000-0000-00002D130000}"/>
    <cellStyle name="Normal 10 2 10 30 4 8" xfId="4929" xr:uid="{00000000-0005-0000-0000-00002E130000}"/>
    <cellStyle name="Normal 10 2 10 30 4 9" xfId="4930" xr:uid="{00000000-0005-0000-0000-00002F130000}"/>
    <cellStyle name="Normal 10 2 10 30 5" xfId="4931" xr:uid="{00000000-0005-0000-0000-000030130000}"/>
    <cellStyle name="Normal 10 2 10 30 5 10" xfId="4932" xr:uid="{00000000-0005-0000-0000-000031130000}"/>
    <cellStyle name="Normal 10 2 10 30 5 2" xfId="4933" xr:uid="{00000000-0005-0000-0000-000032130000}"/>
    <cellStyle name="Normal 10 2 10 30 5 3" xfId="4934" xr:uid="{00000000-0005-0000-0000-000033130000}"/>
    <cellStyle name="Normal 10 2 10 30 5 4" xfId="4935" xr:uid="{00000000-0005-0000-0000-000034130000}"/>
    <cellStyle name="Normal 10 2 10 30 5 5" xfId="4936" xr:uid="{00000000-0005-0000-0000-000035130000}"/>
    <cellStyle name="Normal 10 2 10 30 5 6" xfId="4937" xr:uid="{00000000-0005-0000-0000-000036130000}"/>
    <cellStyle name="Normal 10 2 10 30 5 7" xfId="4938" xr:uid="{00000000-0005-0000-0000-000037130000}"/>
    <cellStyle name="Normal 10 2 10 30 5 8" xfId="4939" xr:uid="{00000000-0005-0000-0000-000038130000}"/>
    <cellStyle name="Normal 10 2 10 30 5 9" xfId="4940" xr:uid="{00000000-0005-0000-0000-000039130000}"/>
    <cellStyle name="Normal 10 2 10 30 6" xfId="4941" xr:uid="{00000000-0005-0000-0000-00003A130000}"/>
    <cellStyle name="Normal 10 2 10 30 7" xfId="4942" xr:uid="{00000000-0005-0000-0000-00003B130000}"/>
    <cellStyle name="Normal 10 2 10 30 8" xfId="4943" xr:uid="{00000000-0005-0000-0000-00003C130000}"/>
    <cellStyle name="Normal 10 2 10 30 9" xfId="4944" xr:uid="{00000000-0005-0000-0000-00003D130000}"/>
    <cellStyle name="Normal 10 2 10 31" xfId="4945" xr:uid="{00000000-0005-0000-0000-00003E130000}"/>
    <cellStyle name="Normal 10 2 10 31 10" xfId="4946" xr:uid="{00000000-0005-0000-0000-00003F130000}"/>
    <cellStyle name="Normal 10 2 10 31 11" xfId="4947" xr:uid="{00000000-0005-0000-0000-000040130000}"/>
    <cellStyle name="Normal 10 2 10 31 12" xfId="4948" xr:uid="{00000000-0005-0000-0000-000041130000}"/>
    <cellStyle name="Normal 10 2 10 31 13" xfId="4949" xr:uid="{00000000-0005-0000-0000-000042130000}"/>
    <cellStyle name="Normal 10 2 10 31 14" xfId="4950" xr:uid="{00000000-0005-0000-0000-000043130000}"/>
    <cellStyle name="Normal 10 2 10 31 2" xfId="4951" xr:uid="{00000000-0005-0000-0000-000044130000}"/>
    <cellStyle name="Normal 10 2 10 31 2 10" xfId="4952" xr:uid="{00000000-0005-0000-0000-000045130000}"/>
    <cellStyle name="Normal 10 2 10 31 2 2" xfId="4953" xr:uid="{00000000-0005-0000-0000-000046130000}"/>
    <cellStyle name="Normal 10 2 10 31 2 3" xfId="4954" xr:uid="{00000000-0005-0000-0000-000047130000}"/>
    <cellStyle name="Normal 10 2 10 31 2 4" xfId="4955" xr:uid="{00000000-0005-0000-0000-000048130000}"/>
    <cellStyle name="Normal 10 2 10 31 2 5" xfId="4956" xr:uid="{00000000-0005-0000-0000-000049130000}"/>
    <cellStyle name="Normal 10 2 10 31 2 6" xfId="4957" xr:uid="{00000000-0005-0000-0000-00004A130000}"/>
    <cellStyle name="Normal 10 2 10 31 2 7" xfId="4958" xr:uid="{00000000-0005-0000-0000-00004B130000}"/>
    <cellStyle name="Normal 10 2 10 31 2 8" xfId="4959" xr:uid="{00000000-0005-0000-0000-00004C130000}"/>
    <cellStyle name="Normal 10 2 10 31 2 9" xfId="4960" xr:uid="{00000000-0005-0000-0000-00004D130000}"/>
    <cellStyle name="Normal 10 2 10 31 3" xfId="4961" xr:uid="{00000000-0005-0000-0000-00004E130000}"/>
    <cellStyle name="Normal 10 2 10 31 3 10" xfId="4962" xr:uid="{00000000-0005-0000-0000-00004F130000}"/>
    <cellStyle name="Normal 10 2 10 31 3 2" xfId="4963" xr:uid="{00000000-0005-0000-0000-000050130000}"/>
    <cellStyle name="Normal 10 2 10 31 3 3" xfId="4964" xr:uid="{00000000-0005-0000-0000-000051130000}"/>
    <cellStyle name="Normal 10 2 10 31 3 4" xfId="4965" xr:uid="{00000000-0005-0000-0000-000052130000}"/>
    <cellStyle name="Normal 10 2 10 31 3 5" xfId="4966" xr:uid="{00000000-0005-0000-0000-000053130000}"/>
    <cellStyle name="Normal 10 2 10 31 3 6" xfId="4967" xr:uid="{00000000-0005-0000-0000-000054130000}"/>
    <cellStyle name="Normal 10 2 10 31 3 7" xfId="4968" xr:uid="{00000000-0005-0000-0000-000055130000}"/>
    <cellStyle name="Normal 10 2 10 31 3 8" xfId="4969" xr:uid="{00000000-0005-0000-0000-000056130000}"/>
    <cellStyle name="Normal 10 2 10 31 3 9" xfId="4970" xr:uid="{00000000-0005-0000-0000-000057130000}"/>
    <cellStyle name="Normal 10 2 10 31 4" xfId="4971" xr:uid="{00000000-0005-0000-0000-000058130000}"/>
    <cellStyle name="Normal 10 2 10 31 4 10" xfId="4972" xr:uid="{00000000-0005-0000-0000-000059130000}"/>
    <cellStyle name="Normal 10 2 10 31 4 2" xfId="4973" xr:uid="{00000000-0005-0000-0000-00005A130000}"/>
    <cellStyle name="Normal 10 2 10 31 4 3" xfId="4974" xr:uid="{00000000-0005-0000-0000-00005B130000}"/>
    <cellStyle name="Normal 10 2 10 31 4 4" xfId="4975" xr:uid="{00000000-0005-0000-0000-00005C130000}"/>
    <cellStyle name="Normal 10 2 10 31 4 5" xfId="4976" xr:uid="{00000000-0005-0000-0000-00005D130000}"/>
    <cellStyle name="Normal 10 2 10 31 4 6" xfId="4977" xr:uid="{00000000-0005-0000-0000-00005E130000}"/>
    <cellStyle name="Normal 10 2 10 31 4 7" xfId="4978" xr:uid="{00000000-0005-0000-0000-00005F130000}"/>
    <cellStyle name="Normal 10 2 10 31 4 8" xfId="4979" xr:uid="{00000000-0005-0000-0000-000060130000}"/>
    <cellStyle name="Normal 10 2 10 31 4 9" xfId="4980" xr:uid="{00000000-0005-0000-0000-000061130000}"/>
    <cellStyle name="Normal 10 2 10 31 5" xfId="4981" xr:uid="{00000000-0005-0000-0000-000062130000}"/>
    <cellStyle name="Normal 10 2 10 31 5 10" xfId="4982" xr:uid="{00000000-0005-0000-0000-000063130000}"/>
    <cellStyle name="Normal 10 2 10 31 5 2" xfId="4983" xr:uid="{00000000-0005-0000-0000-000064130000}"/>
    <cellStyle name="Normal 10 2 10 31 5 3" xfId="4984" xr:uid="{00000000-0005-0000-0000-000065130000}"/>
    <cellStyle name="Normal 10 2 10 31 5 4" xfId="4985" xr:uid="{00000000-0005-0000-0000-000066130000}"/>
    <cellStyle name="Normal 10 2 10 31 5 5" xfId="4986" xr:uid="{00000000-0005-0000-0000-000067130000}"/>
    <cellStyle name="Normal 10 2 10 31 5 6" xfId="4987" xr:uid="{00000000-0005-0000-0000-000068130000}"/>
    <cellStyle name="Normal 10 2 10 31 5 7" xfId="4988" xr:uid="{00000000-0005-0000-0000-000069130000}"/>
    <cellStyle name="Normal 10 2 10 31 5 8" xfId="4989" xr:uid="{00000000-0005-0000-0000-00006A130000}"/>
    <cellStyle name="Normal 10 2 10 31 5 9" xfId="4990" xr:uid="{00000000-0005-0000-0000-00006B130000}"/>
    <cellStyle name="Normal 10 2 10 31 6" xfId="4991" xr:uid="{00000000-0005-0000-0000-00006C130000}"/>
    <cellStyle name="Normal 10 2 10 31 7" xfId="4992" xr:uid="{00000000-0005-0000-0000-00006D130000}"/>
    <cellStyle name="Normal 10 2 10 31 8" xfId="4993" xr:uid="{00000000-0005-0000-0000-00006E130000}"/>
    <cellStyle name="Normal 10 2 10 31 9" xfId="4994" xr:uid="{00000000-0005-0000-0000-00006F130000}"/>
    <cellStyle name="Normal 10 2 10 32" xfId="4995" xr:uid="{00000000-0005-0000-0000-000070130000}"/>
    <cellStyle name="Normal 10 2 10 32 10" xfId="4996" xr:uid="{00000000-0005-0000-0000-000071130000}"/>
    <cellStyle name="Normal 10 2 10 32 11" xfId="4997" xr:uid="{00000000-0005-0000-0000-000072130000}"/>
    <cellStyle name="Normal 10 2 10 32 12" xfId="4998" xr:uid="{00000000-0005-0000-0000-000073130000}"/>
    <cellStyle name="Normal 10 2 10 32 13" xfId="4999" xr:uid="{00000000-0005-0000-0000-000074130000}"/>
    <cellStyle name="Normal 10 2 10 32 14" xfId="5000" xr:uid="{00000000-0005-0000-0000-000075130000}"/>
    <cellStyle name="Normal 10 2 10 32 2" xfId="5001" xr:uid="{00000000-0005-0000-0000-000076130000}"/>
    <cellStyle name="Normal 10 2 10 32 2 10" xfId="5002" xr:uid="{00000000-0005-0000-0000-000077130000}"/>
    <cellStyle name="Normal 10 2 10 32 2 2" xfId="5003" xr:uid="{00000000-0005-0000-0000-000078130000}"/>
    <cellStyle name="Normal 10 2 10 32 2 3" xfId="5004" xr:uid="{00000000-0005-0000-0000-000079130000}"/>
    <cellStyle name="Normal 10 2 10 32 2 4" xfId="5005" xr:uid="{00000000-0005-0000-0000-00007A130000}"/>
    <cellStyle name="Normal 10 2 10 32 2 5" xfId="5006" xr:uid="{00000000-0005-0000-0000-00007B130000}"/>
    <cellStyle name="Normal 10 2 10 32 2 6" xfId="5007" xr:uid="{00000000-0005-0000-0000-00007C130000}"/>
    <cellStyle name="Normal 10 2 10 32 2 7" xfId="5008" xr:uid="{00000000-0005-0000-0000-00007D130000}"/>
    <cellStyle name="Normal 10 2 10 32 2 8" xfId="5009" xr:uid="{00000000-0005-0000-0000-00007E130000}"/>
    <cellStyle name="Normal 10 2 10 32 2 9" xfId="5010" xr:uid="{00000000-0005-0000-0000-00007F130000}"/>
    <cellStyle name="Normal 10 2 10 32 3" xfId="5011" xr:uid="{00000000-0005-0000-0000-000080130000}"/>
    <cellStyle name="Normal 10 2 10 32 3 10" xfId="5012" xr:uid="{00000000-0005-0000-0000-000081130000}"/>
    <cellStyle name="Normal 10 2 10 32 3 2" xfId="5013" xr:uid="{00000000-0005-0000-0000-000082130000}"/>
    <cellStyle name="Normal 10 2 10 32 3 3" xfId="5014" xr:uid="{00000000-0005-0000-0000-000083130000}"/>
    <cellStyle name="Normal 10 2 10 32 3 4" xfId="5015" xr:uid="{00000000-0005-0000-0000-000084130000}"/>
    <cellStyle name="Normal 10 2 10 32 3 5" xfId="5016" xr:uid="{00000000-0005-0000-0000-000085130000}"/>
    <cellStyle name="Normal 10 2 10 32 3 6" xfId="5017" xr:uid="{00000000-0005-0000-0000-000086130000}"/>
    <cellStyle name="Normal 10 2 10 32 3 7" xfId="5018" xr:uid="{00000000-0005-0000-0000-000087130000}"/>
    <cellStyle name="Normal 10 2 10 32 3 8" xfId="5019" xr:uid="{00000000-0005-0000-0000-000088130000}"/>
    <cellStyle name="Normal 10 2 10 32 3 9" xfId="5020" xr:uid="{00000000-0005-0000-0000-000089130000}"/>
    <cellStyle name="Normal 10 2 10 32 4" xfId="5021" xr:uid="{00000000-0005-0000-0000-00008A130000}"/>
    <cellStyle name="Normal 10 2 10 32 4 10" xfId="5022" xr:uid="{00000000-0005-0000-0000-00008B130000}"/>
    <cellStyle name="Normal 10 2 10 32 4 2" xfId="5023" xr:uid="{00000000-0005-0000-0000-00008C130000}"/>
    <cellStyle name="Normal 10 2 10 32 4 3" xfId="5024" xr:uid="{00000000-0005-0000-0000-00008D130000}"/>
    <cellStyle name="Normal 10 2 10 32 4 4" xfId="5025" xr:uid="{00000000-0005-0000-0000-00008E130000}"/>
    <cellStyle name="Normal 10 2 10 32 4 5" xfId="5026" xr:uid="{00000000-0005-0000-0000-00008F130000}"/>
    <cellStyle name="Normal 10 2 10 32 4 6" xfId="5027" xr:uid="{00000000-0005-0000-0000-000090130000}"/>
    <cellStyle name="Normal 10 2 10 32 4 7" xfId="5028" xr:uid="{00000000-0005-0000-0000-000091130000}"/>
    <cellStyle name="Normal 10 2 10 32 4 8" xfId="5029" xr:uid="{00000000-0005-0000-0000-000092130000}"/>
    <cellStyle name="Normal 10 2 10 32 4 9" xfId="5030" xr:uid="{00000000-0005-0000-0000-000093130000}"/>
    <cellStyle name="Normal 10 2 10 32 5" xfId="5031" xr:uid="{00000000-0005-0000-0000-000094130000}"/>
    <cellStyle name="Normal 10 2 10 32 5 10" xfId="5032" xr:uid="{00000000-0005-0000-0000-000095130000}"/>
    <cellStyle name="Normal 10 2 10 32 5 2" xfId="5033" xr:uid="{00000000-0005-0000-0000-000096130000}"/>
    <cellStyle name="Normal 10 2 10 32 5 3" xfId="5034" xr:uid="{00000000-0005-0000-0000-000097130000}"/>
    <cellStyle name="Normal 10 2 10 32 5 4" xfId="5035" xr:uid="{00000000-0005-0000-0000-000098130000}"/>
    <cellStyle name="Normal 10 2 10 32 5 5" xfId="5036" xr:uid="{00000000-0005-0000-0000-000099130000}"/>
    <cellStyle name="Normal 10 2 10 32 5 6" xfId="5037" xr:uid="{00000000-0005-0000-0000-00009A130000}"/>
    <cellStyle name="Normal 10 2 10 32 5 7" xfId="5038" xr:uid="{00000000-0005-0000-0000-00009B130000}"/>
    <cellStyle name="Normal 10 2 10 32 5 8" xfId="5039" xr:uid="{00000000-0005-0000-0000-00009C130000}"/>
    <cellStyle name="Normal 10 2 10 32 5 9" xfId="5040" xr:uid="{00000000-0005-0000-0000-00009D130000}"/>
    <cellStyle name="Normal 10 2 10 32 6" xfId="5041" xr:uid="{00000000-0005-0000-0000-00009E130000}"/>
    <cellStyle name="Normal 10 2 10 32 7" xfId="5042" xr:uid="{00000000-0005-0000-0000-00009F130000}"/>
    <cellStyle name="Normal 10 2 10 32 8" xfId="5043" xr:uid="{00000000-0005-0000-0000-0000A0130000}"/>
    <cellStyle name="Normal 10 2 10 32 9" xfId="5044" xr:uid="{00000000-0005-0000-0000-0000A1130000}"/>
    <cellStyle name="Normal 10 2 10 33" xfId="5045" xr:uid="{00000000-0005-0000-0000-0000A2130000}"/>
    <cellStyle name="Normal 10 2 10 33 10" xfId="5046" xr:uid="{00000000-0005-0000-0000-0000A3130000}"/>
    <cellStyle name="Normal 10 2 10 33 11" xfId="5047" xr:uid="{00000000-0005-0000-0000-0000A4130000}"/>
    <cellStyle name="Normal 10 2 10 33 12" xfId="5048" xr:uid="{00000000-0005-0000-0000-0000A5130000}"/>
    <cellStyle name="Normal 10 2 10 33 13" xfId="5049" xr:uid="{00000000-0005-0000-0000-0000A6130000}"/>
    <cellStyle name="Normal 10 2 10 33 14" xfId="5050" xr:uid="{00000000-0005-0000-0000-0000A7130000}"/>
    <cellStyle name="Normal 10 2 10 33 2" xfId="5051" xr:uid="{00000000-0005-0000-0000-0000A8130000}"/>
    <cellStyle name="Normal 10 2 10 33 2 10" xfId="5052" xr:uid="{00000000-0005-0000-0000-0000A9130000}"/>
    <cellStyle name="Normal 10 2 10 33 2 2" xfId="5053" xr:uid="{00000000-0005-0000-0000-0000AA130000}"/>
    <cellStyle name="Normal 10 2 10 33 2 3" xfId="5054" xr:uid="{00000000-0005-0000-0000-0000AB130000}"/>
    <cellStyle name="Normal 10 2 10 33 2 4" xfId="5055" xr:uid="{00000000-0005-0000-0000-0000AC130000}"/>
    <cellStyle name="Normal 10 2 10 33 2 5" xfId="5056" xr:uid="{00000000-0005-0000-0000-0000AD130000}"/>
    <cellStyle name="Normal 10 2 10 33 2 6" xfId="5057" xr:uid="{00000000-0005-0000-0000-0000AE130000}"/>
    <cellStyle name="Normal 10 2 10 33 2 7" xfId="5058" xr:uid="{00000000-0005-0000-0000-0000AF130000}"/>
    <cellStyle name="Normal 10 2 10 33 2 8" xfId="5059" xr:uid="{00000000-0005-0000-0000-0000B0130000}"/>
    <cellStyle name="Normal 10 2 10 33 2 9" xfId="5060" xr:uid="{00000000-0005-0000-0000-0000B1130000}"/>
    <cellStyle name="Normal 10 2 10 33 3" xfId="5061" xr:uid="{00000000-0005-0000-0000-0000B2130000}"/>
    <cellStyle name="Normal 10 2 10 33 3 10" xfId="5062" xr:uid="{00000000-0005-0000-0000-0000B3130000}"/>
    <cellStyle name="Normal 10 2 10 33 3 2" xfId="5063" xr:uid="{00000000-0005-0000-0000-0000B4130000}"/>
    <cellStyle name="Normal 10 2 10 33 3 3" xfId="5064" xr:uid="{00000000-0005-0000-0000-0000B5130000}"/>
    <cellStyle name="Normal 10 2 10 33 3 4" xfId="5065" xr:uid="{00000000-0005-0000-0000-0000B6130000}"/>
    <cellStyle name="Normal 10 2 10 33 3 5" xfId="5066" xr:uid="{00000000-0005-0000-0000-0000B7130000}"/>
    <cellStyle name="Normal 10 2 10 33 3 6" xfId="5067" xr:uid="{00000000-0005-0000-0000-0000B8130000}"/>
    <cellStyle name="Normal 10 2 10 33 3 7" xfId="5068" xr:uid="{00000000-0005-0000-0000-0000B9130000}"/>
    <cellStyle name="Normal 10 2 10 33 3 8" xfId="5069" xr:uid="{00000000-0005-0000-0000-0000BA130000}"/>
    <cellStyle name="Normal 10 2 10 33 3 9" xfId="5070" xr:uid="{00000000-0005-0000-0000-0000BB130000}"/>
    <cellStyle name="Normal 10 2 10 33 4" xfId="5071" xr:uid="{00000000-0005-0000-0000-0000BC130000}"/>
    <cellStyle name="Normal 10 2 10 33 4 10" xfId="5072" xr:uid="{00000000-0005-0000-0000-0000BD130000}"/>
    <cellStyle name="Normal 10 2 10 33 4 2" xfId="5073" xr:uid="{00000000-0005-0000-0000-0000BE130000}"/>
    <cellStyle name="Normal 10 2 10 33 4 3" xfId="5074" xr:uid="{00000000-0005-0000-0000-0000BF130000}"/>
    <cellStyle name="Normal 10 2 10 33 4 4" xfId="5075" xr:uid="{00000000-0005-0000-0000-0000C0130000}"/>
    <cellStyle name="Normal 10 2 10 33 4 5" xfId="5076" xr:uid="{00000000-0005-0000-0000-0000C1130000}"/>
    <cellStyle name="Normal 10 2 10 33 4 6" xfId="5077" xr:uid="{00000000-0005-0000-0000-0000C2130000}"/>
    <cellStyle name="Normal 10 2 10 33 4 7" xfId="5078" xr:uid="{00000000-0005-0000-0000-0000C3130000}"/>
    <cellStyle name="Normal 10 2 10 33 4 8" xfId="5079" xr:uid="{00000000-0005-0000-0000-0000C4130000}"/>
    <cellStyle name="Normal 10 2 10 33 4 9" xfId="5080" xr:uid="{00000000-0005-0000-0000-0000C5130000}"/>
    <cellStyle name="Normal 10 2 10 33 5" xfId="5081" xr:uid="{00000000-0005-0000-0000-0000C6130000}"/>
    <cellStyle name="Normal 10 2 10 33 5 10" xfId="5082" xr:uid="{00000000-0005-0000-0000-0000C7130000}"/>
    <cellStyle name="Normal 10 2 10 33 5 2" xfId="5083" xr:uid="{00000000-0005-0000-0000-0000C8130000}"/>
    <cellStyle name="Normal 10 2 10 33 5 3" xfId="5084" xr:uid="{00000000-0005-0000-0000-0000C9130000}"/>
    <cellStyle name="Normal 10 2 10 33 5 4" xfId="5085" xr:uid="{00000000-0005-0000-0000-0000CA130000}"/>
    <cellStyle name="Normal 10 2 10 33 5 5" xfId="5086" xr:uid="{00000000-0005-0000-0000-0000CB130000}"/>
    <cellStyle name="Normal 10 2 10 33 5 6" xfId="5087" xr:uid="{00000000-0005-0000-0000-0000CC130000}"/>
    <cellStyle name="Normal 10 2 10 33 5 7" xfId="5088" xr:uid="{00000000-0005-0000-0000-0000CD130000}"/>
    <cellStyle name="Normal 10 2 10 33 5 8" xfId="5089" xr:uid="{00000000-0005-0000-0000-0000CE130000}"/>
    <cellStyle name="Normal 10 2 10 33 5 9" xfId="5090" xr:uid="{00000000-0005-0000-0000-0000CF130000}"/>
    <cellStyle name="Normal 10 2 10 33 6" xfId="5091" xr:uid="{00000000-0005-0000-0000-0000D0130000}"/>
    <cellStyle name="Normal 10 2 10 33 7" xfId="5092" xr:uid="{00000000-0005-0000-0000-0000D1130000}"/>
    <cellStyle name="Normal 10 2 10 33 8" xfId="5093" xr:uid="{00000000-0005-0000-0000-0000D2130000}"/>
    <cellStyle name="Normal 10 2 10 33 9" xfId="5094" xr:uid="{00000000-0005-0000-0000-0000D3130000}"/>
    <cellStyle name="Normal 10 2 10 34" xfId="5095" xr:uid="{00000000-0005-0000-0000-0000D4130000}"/>
    <cellStyle name="Normal 10 2 10 34 10" xfId="5096" xr:uid="{00000000-0005-0000-0000-0000D5130000}"/>
    <cellStyle name="Normal 10 2 10 34 11" xfId="5097" xr:uid="{00000000-0005-0000-0000-0000D6130000}"/>
    <cellStyle name="Normal 10 2 10 34 12" xfId="5098" xr:uid="{00000000-0005-0000-0000-0000D7130000}"/>
    <cellStyle name="Normal 10 2 10 34 13" xfId="5099" xr:uid="{00000000-0005-0000-0000-0000D8130000}"/>
    <cellStyle name="Normal 10 2 10 34 14" xfId="5100" xr:uid="{00000000-0005-0000-0000-0000D9130000}"/>
    <cellStyle name="Normal 10 2 10 34 2" xfId="5101" xr:uid="{00000000-0005-0000-0000-0000DA130000}"/>
    <cellStyle name="Normal 10 2 10 34 2 10" xfId="5102" xr:uid="{00000000-0005-0000-0000-0000DB130000}"/>
    <cellStyle name="Normal 10 2 10 34 2 2" xfId="5103" xr:uid="{00000000-0005-0000-0000-0000DC130000}"/>
    <cellStyle name="Normal 10 2 10 34 2 3" xfId="5104" xr:uid="{00000000-0005-0000-0000-0000DD130000}"/>
    <cellStyle name="Normal 10 2 10 34 2 4" xfId="5105" xr:uid="{00000000-0005-0000-0000-0000DE130000}"/>
    <cellStyle name="Normal 10 2 10 34 2 5" xfId="5106" xr:uid="{00000000-0005-0000-0000-0000DF130000}"/>
    <cellStyle name="Normal 10 2 10 34 2 6" xfId="5107" xr:uid="{00000000-0005-0000-0000-0000E0130000}"/>
    <cellStyle name="Normal 10 2 10 34 2 7" xfId="5108" xr:uid="{00000000-0005-0000-0000-0000E1130000}"/>
    <cellStyle name="Normal 10 2 10 34 2 8" xfId="5109" xr:uid="{00000000-0005-0000-0000-0000E2130000}"/>
    <cellStyle name="Normal 10 2 10 34 2 9" xfId="5110" xr:uid="{00000000-0005-0000-0000-0000E3130000}"/>
    <cellStyle name="Normal 10 2 10 34 3" xfId="5111" xr:uid="{00000000-0005-0000-0000-0000E4130000}"/>
    <cellStyle name="Normal 10 2 10 34 3 10" xfId="5112" xr:uid="{00000000-0005-0000-0000-0000E5130000}"/>
    <cellStyle name="Normal 10 2 10 34 3 2" xfId="5113" xr:uid="{00000000-0005-0000-0000-0000E6130000}"/>
    <cellStyle name="Normal 10 2 10 34 3 3" xfId="5114" xr:uid="{00000000-0005-0000-0000-0000E7130000}"/>
    <cellStyle name="Normal 10 2 10 34 3 4" xfId="5115" xr:uid="{00000000-0005-0000-0000-0000E8130000}"/>
    <cellStyle name="Normal 10 2 10 34 3 5" xfId="5116" xr:uid="{00000000-0005-0000-0000-0000E9130000}"/>
    <cellStyle name="Normal 10 2 10 34 3 6" xfId="5117" xr:uid="{00000000-0005-0000-0000-0000EA130000}"/>
    <cellStyle name="Normal 10 2 10 34 3 7" xfId="5118" xr:uid="{00000000-0005-0000-0000-0000EB130000}"/>
    <cellStyle name="Normal 10 2 10 34 3 8" xfId="5119" xr:uid="{00000000-0005-0000-0000-0000EC130000}"/>
    <cellStyle name="Normal 10 2 10 34 3 9" xfId="5120" xr:uid="{00000000-0005-0000-0000-0000ED130000}"/>
    <cellStyle name="Normal 10 2 10 34 4" xfId="5121" xr:uid="{00000000-0005-0000-0000-0000EE130000}"/>
    <cellStyle name="Normal 10 2 10 34 4 10" xfId="5122" xr:uid="{00000000-0005-0000-0000-0000EF130000}"/>
    <cellStyle name="Normal 10 2 10 34 4 2" xfId="5123" xr:uid="{00000000-0005-0000-0000-0000F0130000}"/>
    <cellStyle name="Normal 10 2 10 34 4 3" xfId="5124" xr:uid="{00000000-0005-0000-0000-0000F1130000}"/>
    <cellStyle name="Normal 10 2 10 34 4 4" xfId="5125" xr:uid="{00000000-0005-0000-0000-0000F2130000}"/>
    <cellStyle name="Normal 10 2 10 34 4 5" xfId="5126" xr:uid="{00000000-0005-0000-0000-0000F3130000}"/>
    <cellStyle name="Normal 10 2 10 34 4 6" xfId="5127" xr:uid="{00000000-0005-0000-0000-0000F4130000}"/>
    <cellStyle name="Normal 10 2 10 34 4 7" xfId="5128" xr:uid="{00000000-0005-0000-0000-0000F5130000}"/>
    <cellStyle name="Normal 10 2 10 34 4 8" xfId="5129" xr:uid="{00000000-0005-0000-0000-0000F6130000}"/>
    <cellStyle name="Normal 10 2 10 34 4 9" xfId="5130" xr:uid="{00000000-0005-0000-0000-0000F7130000}"/>
    <cellStyle name="Normal 10 2 10 34 5" xfId="5131" xr:uid="{00000000-0005-0000-0000-0000F8130000}"/>
    <cellStyle name="Normal 10 2 10 34 5 10" xfId="5132" xr:uid="{00000000-0005-0000-0000-0000F9130000}"/>
    <cellStyle name="Normal 10 2 10 34 5 2" xfId="5133" xr:uid="{00000000-0005-0000-0000-0000FA130000}"/>
    <cellStyle name="Normal 10 2 10 34 5 3" xfId="5134" xr:uid="{00000000-0005-0000-0000-0000FB130000}"/>
    <cellStyle name="Normal 10 2 10 34 5 4" xfId="5135" xr:uid="{00000000-0005-0000-0000-0000FC130000}"/>
    <cellStyle name="Normal 10 2 10 34 5 5" xfId="5136" xr:uid="{00000000-0005-0000-0000-0000FD130000}"/>
    <cellStyle name="Normal 10 2 10 34 5 6" xfId="5137" xr:uid="{00000000-0005-0000-0000-0000FE130000}"/>
    <cellStyle name="Normal 10 2 10 34 5 7" xfId="5138" xr:uid="{00000000-0005-0000-0000-0000FF130000}"/>
    <cellStyle name="Normal 10 2 10 34 5 8" xfId="5139" xr:uid="{00000000-0005-0000-0000-000000140000}"/>
    <cellStyle name="Normal 10 2 10 34 5 9" xfId="5140" xr:uid="{00000000-0005-0000-0000-000001140000}"/>
    <cellStyle name="Normal 10 2 10 34 6" xfId="5141" xr:uid="{00000000-0005-0000-0000-000002140000}"/>
    <cellStyle name="Normal 10 2 10 34 7" xfId="5142" xr:uid="{00000000-0005-0000-0000-000003140000}"/>
    <cellStyle name="Normal 10 2 10 34 8" xfId="5143" xr:uid="{00000000-0005-0000-0000-000004140000}"/>
    <cellStyle name="Normal 10 2 10 34 9" xfId="5144" xr:uid="{00000000-0005-0000-0000-000005140000}"/>
    <cellStyle name="Normal 10 2 10 35" xfId="5145" xr:uid="{00000000-0005-0000-0000-000006140000}"/>
    <cellStyle name="Normal 10 2 10 35 10" xfId="5146" xr:uid="{00000000-0005-0000-0000-000007140000}"/>
    <cellStyle name="Normal 10 2 10 35 2" xfId="5147" xr:uid="{00000000-0005-0000-0000-000008140000}"/>
    <cellStyle name="Normal 10 2 10 35 3" xfId="5148" xr:uid="{00000000-0005-0000-0000-000009140000}"/>
    <cellStyle name="Normal 10 2 10 35 4" xfId="5149" xr:uid="{00000000-0005-0000-0000-00000A140000}"/>
    <cellStyle name="Normal 10 2 10 35 5" xfId="5150" xr:uid="{00000000-0005-0000-0000-00000B140000}"/>
    <cellStyle name="Normal 10 2 10 35 6" xfId="5151" xr:uid="{00000000-0005-0000-0000-00000C140000}"/>
    <cellStyle name="Normal 10 2 10 35 7" xfId="5152" xr:uid="{00000000-0005-0000-0000-00000D140000}"/>
    <cellStyle name="Normal 10 2 10 35 8" xfId="5153" xr:uid="{00000000-0005-0000-0000-00000E140000}"/>
    <cellStyle name="Normal 10 2 10 35 9" xfId="5154" xr:uid="{00000000-0005-0000-0000-00000F140000}"/>
    <cellStyle name="Normal 10 2 10 36" xfId="5155" xr:uid="{00000000-0005-0000-0000-000010140000}"/>
    <cellStyle name="Normal 10 2 10 36 10" xfId="5156" xr:uid="{00000000-0005-0000-0000-000011140000}"/>
    <cellStyle name="Normal 10 2 10 36 2" xfId="5157" xr:uid="{00000000-0005-0000-0000-000012140000}"/>
    <cellStyle name="Normal 10 2 10 36 3" xfId="5158" xr:uid="{00000000-0005-0000-0000-000013140000}"/>
    <cellStyle name="Normal 10 2 10 36 4" xfId="5159" xr:uid="{00000000-0005-0000-0000-000014140000}"/>
    <cellStyle name="Normal 10 2 10 36 5" xfId="5160" xr:uid="{00000000-0005-0000-0000-000015140000}"/>
    <cellStyle name="Normal 10 2 10 36 6" xfId="5161" xr:uid="{00000000-0005-0000-0000-000016140000}"/>
    <cellStyle name="Normal 10 2 10 36 7" xfId="5162" xr:uid="{00000000-0005-0000-0000-000017140000}"/>
    <cellStyle name="Normal 10 2 10 36 8" xfId="5163" xr:uid="{00000000-0005-0000-0000-000018140000}"/>
    <cellStyle name="Normal 10 2 10 36 9" xfId="5164" xr:uid="{00000000-0005-0000-0000-000019140000}"/>
    <cellStyle name="Normal 10 2 10 37" xfId="5165" xr:uid="{00000000-0005-0000-0000-00001A140000}"/>
    <cellStyle name="Normal 10 2 10 37 10" xfId="5166" xr:uid="{00000000-0005-0000-0000-00001B140000}"/>
    <cellStyle name="Normal 10 2 10 37 2" xfId="5167" xr:uid="{00000000-0005-0000-0000-00001C140000}"/>
    <cellStyle name="Normal 10 2 10 37 3" xfId="5168" xr:uid="{00000000-0005-0000-0000-00001D140000}"/>
    <cellStyle name="Normal 10 2 10 37 4" xfId="5169" xr:uid="{00000000-0005-0000-0000-00001E140000}"/>
    <cellStyle name="Normal 10 2 10 37 5" xfId="5170" xr:uid="{00000000-0005-0000-0000-00001F140000}"/>
    <cellStyle name="Normal 10 2 10 37 6" xfId="5171" xr:uid="{00000000-0005-0000-0000-000020140000}"/>
    <cellStyle name="Normal 10 2 10 37 7" xfId="5172" xr:uid="{00000000-0005-0000-0000-000021140000}"/>
    <cellStyle name="Normal 10 2 10 37 8" xfId="5173" xr:uid="{00000000-0005-0000-0000-000022140000}"/>
    <cellStyle name="Normal 10 2 10 37 9" xfId="5174" xr:uid="{00000000-0005-0000-0000-000023140000}"/>
    <cellStyle name="Normal 10 2 10 38" xfId="5175" xr:uid="{00000000-0005-0000-0000-000024140000}"/>
    <cellStyle name="Normal 10 2 10 38 10" xfId="5176" xr:uid="{00000000-0005-0000-0000-000025140000}"/>
    <cellStyle name="Normal 10 2 10 38 2" xfId="5177" xr:uid="{00000000-0005-0000-0000-000026140000}"/>
    <cellStyle name="Normal 10 2 10 38 3" xfId="5178" xr:uid="{00000000-0005-0000-0000-000027140000}"/>
    <cellStyle name="Normal 10 2 10 38 4" xfId="5179" xr:uid="{00000000-0005-0000-0000-000028140000}"/>
    <cellStyle name="Normal 10 2 10 38 5" xfId="5180" xr:uid="{00000000-0005-0000-0000-000029140000}"/>
    <cellStyle name="Normal 10 2 10 38 6" xfId="5181" xr:uid="{00000000-0005-0000-0000-00002A140000}"/>
    <cellStyle name="Normal 10 2 10 38 7" xfId="5182" xr:uid="{00000000-0005-0000-0000-00002B140000}"/>
    <cellStyle name="Normal 10 2 10 38 8" xfId="5183" xr:uid="{00000000-0005-0000-0000-00002C140000}"/>
    <cellStyle name="Normal 10 2 10 38 9" xfId="5184" xr:uid="{00000000-0005-0000-0000-00002D140000}"/>
    <cellStyle name="Normal 10 2 10 39" xfId="5185" xr:uid="{00000000-0005-0000-0000-00002E140000}"/>
    <cellStyle name="Normal 10 2 10 4" xfId="5186" xr:uid="{00000000-0005-0000-0000-00002F140000}"/>
    <cellStyle name="Normal 10 2 10 4 10" xfId="5187" xr:uid="{00000000-0005-0000-0000-000030140000}"/>
    <cellStyle name="Normal 10 2 10 4 11" xfId="5188" xr:uid="{00000000-0005-0000-0000-000031140000}"/>
    <cellStyle name="Normal 10 2 10 4 12" xfId="5189" xr:uid="{00000000-0005-0000-0000-000032140000}"/>
    <cellStyle name="Normal 10 2 10 4 13" xfId="5190" xr:uid="{00000000-0005-0000-0000-000033140000}"/>
    <cellStyle name="Normal 10 2 10 4 14" xfId="5191" xr:uid="{00000000-0005-0000-0000-000034140000}"/>
    <cellStyle name="Normal 10 2 10 4 2" xfId="5192" xr:uid="{00000000-0005-0000-0000-000035140000}"/>
    <cellStyle name="Normal 10 2 10 4 2 10" xfId="5193" xr:uid="{00000000-0005-0000-0000-000036140000}"/>
    <cellStyle name="Normal 10 2 10 4 2 2" xfId="5194" xr:uid="{00000000-0005-0000-0000-000037140000}"/>
    <cellStyle name="Normal 10 2 10 4 2 3" xfId="5195" xr:uid="{00000000-0005-0000-0000-000038140000}"/>
    <cellStyle name="Normal 10 2 10 4 2 4" xfId="5196" xr:uid="{00000000-0005-0000-0000-000039140000}"/>
    <cellStyle name="Normal 10 2 10 4 2 5" xfId="5197" xr:uid="{00000000-0005-0000-0000-00003A140000}"/>
    <cellStyle name="Normal 10 2 10 4 2 6" xfId="5198" xr:uid="{00000000-0005-0000-0000-00003B140000}"/>
    <cellStyle name="Normal 10 2 10 4 2 7" xfId="5199" xr:uid="{00000000-0005-0000-0000-00003C140000}"/>
    <cellStyle name="Normal 10 2 10 4 2 8" xfId="5200" xr:uid="{00000000-0005-0000-0000-00003D140000}"/>
    <cellStyle name="Normal 10 2 10 4 2 9" xfId="5201" xr:uid="{00000000-0005-0000-0000-00003E140000}"/>
    <cellStyle name="Normal 10 2 10 4 3" xfId="5202" xr:uid="{00000000-0005-0000-0000-00003F140000}"/>
    <cellStyle name="Normal 10 2 10 4 3 10" xfId="5203" xr:uid="{00000000-0005-0000-0000-000040140000}"/>
    <cellStyle name="Normal 10 2 10 4 3 2" xfId="5204" xr:uid="{00000000-0005-0000-0000-000041140000}"/>
    <cellStyle name="Normal 10 2 10 4 3 3" xfId="5205" xr:uid="{00000000-0005-0000-0000-000042140000}"/>
    <cellStyle name="Normal 10 2 10 4 3 4" xfId="5206" xr:uid="{00000000-0005-0000-0000-000043140000}"/>
    <cellStyle name="Normal 10 2 10 4 3 5" xfId="5207" xr:uid="{00000000-0005-0000-0000-000044140000}"/>
    <cellStyle name="Normal 10 2 10 4 3 6" xfId="5208" xr:uid="{00000000-0005-0000-0000-000045140000}"/>
    <cellStyle name="Normal 10 2 10 4 3 7" xfId="5209" xr:uid="{00000000-0005-0000-0000-000046140000}"/>
    <cellStyle name="Normal 10 2 10 4 3 8" xfId="5210" xr:uid="{00000000-0005-0000-0000-000047140000}"/>
    <cellStyle name="Normal 10 2 10 4 3 9" xfId="5211" xr:uid="{00000000-0005-0000-0000-000048140000}"/>
    <cellStyle name="Normal 10 2 10 4 4" xfId="5212" xr:uid="{00000000-0005-0000-0000-000049140000}"/>
    <cellStyle name="Normal 10 2 10 4 4 10" xfId="5213" xr:uid="{00000000-0005-0000-0000-00004A140000}"/>
    <cellStyle name="Normal 10 2 10 4 4 2" xfId="5214" xr:uid="{00000000-0005-0000-0000-00004B140000}"/>
    <cellStyle name="Normal 10 2 10 4 4 3" xfId="5215" xr:uid="{00000000-0005-0000-0000-00004C140000}"/>
    <cellStyle name="Normal 10 2 10 4 4 4" xfId="5216" xr:uid="{00000000-0005-0000-0000-00004D140000}"/>
    <cellStyle name="Normal 10 2 10 4 4 5" xfId="5217" xr:uid="{00000000-0005-0000-0000-00004E140000}"/>
    <cellStyle name="Normal 10 2 10 4 4 6" xfId="5218" xr:uid="{00000000-0005-0000-0000-00004F140000}"/>
    <cellStyle name="Normal 10 2 10 4 4 7" xfId="5219" xr:uid="{00000000-0005-0000-0000-000050140000}"/>
    <cellStyle name="Normal 10 2 10 4 4 8" xfId="5220" xr:uid="{00000000-0005-0000-0000-000051140000}"/>
    <cellStyle name="Normal 10 2 10 4 4 9" xfId="5221" xr:uid="{00000000-0005-0000-0000-000052140000}"/>
    <cellStyle name="Normal 10 2 10 4 5" xfId="5222" xr:uid="{00000000-0005-0000-0000-000053140000}"/>
    <cellStyle name="Normal 10 2 10 4 5 10" xfId="5223" xr:uid="{00000000-0005-0000-0000-000054140000}"/>
    <cellStyle name="Normal 10 2 10 4 5 2" xfId="5224" xr:uid="{00000000-0005-0000-0000-000055140000}"/>
    <cellStyle name="Normal 10 2 10 4 5 3" xfId="5225" xr:uid="{00000000-0005-0000-0000-000056140000}"/>
    <cellStyle name="Normal 10 2 10 4 5 4" xfId="5226" xr:uid="{00000000-0005-0000-0000-000057140000}"/>
    <cellStyle name="Normal 10 2 10 4 5 5" xfId="5227" xr:uid="{00000000-0005-0000-0000-000058140000}"/>
    <cellStyle name="Normal 10 2 10 4 5 6" xfId="5228" xr:uid="{00000000-0005-0000-0000-000059140000}"/>
    <cellStyle name="Normal 10 2 10 4 5 7" xfId="5229" xr:uid="{00000000-0005-0000-0000-00005A140000}"/>
    <cellStyle name="Normal 10 2 10 4 5 8" xfId="5230" xr:uid="{00000000-0005-0000-0000-00005B140000}"/>
    <cellStyle name="Normal 10 2 10 4 5 9" xfId="5231" xr:uid="{00000000-0005-0000-0000-00005C140000}"/>
    <cellStyle name="Normal 10 2 10 4 6" xfId="5232" xr:uid="{00000000-0005-0000-0000-00005D140000}"/>
    <cellStyle name="Normal 10 2 10 4 7" xfId="5233" xr:uid="{00000000-0005-0000-0000-00005E140000}"/>
    <cellStyle name="Normal 10 2 10 4 8" xfId="5234" xr:uid="{00000000-0005-0000-0000-00005F140000}"/>
    <cellStyle name="Normal 10 2 10 4 9" xfId="5235" xr:uid="{00000000-0005-0000-0000-000060140000}"/>
    <cellStyle name="Normal 10 2 10 40" xfId="5236" xr:uid="{00000000-0005-0000-0000-000061140000}"/>
    <cellStyle name="Normal 10 2 10 41" xfId="5237" xr:uid="{00000000-0005-0000-0000-000062140000}"/>
    <cellStyle name="Normal 10 2 10 42" xfId="5238" xr:uid="{00000000-0005-0000-0000-000063140000}"/>
    <cellStyle name="Normal 10 2 10 43" xfId="5239" xr:uid="{00000000-0005-0000-0000-000064140000}"/>
    <cellStyle name="Normal 10 2 10 44" xfId="5240" xr:uid="{00000000-0005-0000-0000-000065140000}"/>
    <cellStyle name="Normal 10 2 10 45" xfId="5241" xr:uid="{00000000-0005-0000-0000-000066140000}"/>
    <cellStyle name="Normal 10 2 10 46" xfId="5242" xr:uid="{00000000-0005-0000-0000-000067140000}"/>
    <cellStyle name="Normal 10 2 10 47" xfId="5243" xr:uid="{00000000-0005-0000-0000-000068140000}"/>
    <cellStyle name="Normal 10 2 10 48" xfId="5244" xr:uid="{00000000-0005-0000-0000-000069140000}"/>
    <cellStyle name="Normal 10 2 10 49" xfId="5245" xr:uid="{00000000-0005-0000-0000-00006A140000}"/>
    <cellStyle name="Normal 10 2 10 5" xfId="5246" xr:uid="{00000000-0005-0000-0000-00006B140000}"/>
    <cellStyle name="Normal 10 2 10 5 10" xfId="5247" xr:uid="{00000000-0005-0000-0000-00006C140000}"/>
    <cellStyle name="Normal 10 2 10 5 11" xfId="5248" xr:uid="{00000000-0005-0000-0000-00006D140000}"/>
    <cellStyle name="Normal 10 2 10 5 12" xfId="5249" xr:uid="{00000000-0005-0000-0000-00006E140000}"/>
    <cellStyle name="Normal 10 2 10 5 13" xfId="5250" xr:uid="{00000000-0005-0000-0000-00006F140000}"/>
    <cellStyle name="Normal 10 2 10 5 14" xfId="5251" xr:uid="{00000000-0005-0000-0000-000070140000}"/>
    <cellStyle name="Normal 10 2 10 5 2" xfId="5252" xr:uid="{00000000-0005-0000-0000-000071140000}"/>
    <cellStyle name="Normal 10 2 10 5 2 10" xfId="5253" xr:uid="{00000000-0005-0000-0000-000072140000}"/>
    <cellStyle name="Normal 10 2 10 5 2 2" xfId="5254" xr:uid="{00000000-0005-0000-0000-000073140000}"/>
    <cellStyle name="Normal 10 2 10 5 2 3" xfId="5255" xr:uid="{00000000-0005-0000-0000-000074140000}"/>
    <cellStyle name="Normal 10 2 10 5 2 4" xfId="5256" xr:uid="{00000000-0005-0000-0000-000075140000}"/>
    <cellStyle name="Normal 10 2 10 5 2 5" xfId="5257" xr:uid="{00000000-0005-0000-0000-000076140000}"/>
    <cellStyle name="Normal 10 2 10 5 2 6" xfId="5258" xr:uid="{00000000-0005-0000-0000-000077140000}"/>
    <cellStyle name="Normal 10 2 10 5 2 7" xfId="5259" xr:uid="{00000000-0005-0000-0000-000078140000}"/>
    <cellStyle name="Normal 10 2 10 5 2 8" xfId="5260" xr:uid="{00000000-0005-0000-0000-000079140000}"/>
    <cellStyle name="Normal 10 2 10 5 2 9" xfId="5261" xr:uid="{00000000-0005-0000-0000-00007A140000}"/>
    <cellStyle name="Normal 10 2 10 5 3" xfId="5262" xr:uid="{00000000-0005-0000-0000-00007B140000}"/>
    <cellStyle name="Normal 10 2 10 5 3 10" xfId="5263" xr:uid="{00000000-0005-0000-0000-00007C140000}"/>
    <cellStyle name="Normal 10 2 10 5 3 2" xfId="5264" xr:uid="{00000000-0005-0000-0000-00007D140000}"/>
    <cellStyle name="Normal 10 2 10 5 3 3" xfId="5265" xr:uid="{00000000-0005-0000-0000-00007E140000}"/>
    <cellStyle name="Normal 10 2 10 5 3 4" xfId="5266" xr:uid="{00000000-0005-0000-0000-00007F140000}"/>
    <cellStyle name="Normal 10 2 10 5 3 5" xfId="5267" xr:uid="{00000000-0005-0000-0000-000080140000}"/>
    <cellStyle name="Normal 10 2 10 5 3 6" xfId="5268" xr:uid="{00000000-0005-0000-0000-000081140000}"/>
    <cellStyle name="Normal 10 2 10 5 3 7" xfId="5269" xr:uid="{00000000-0005-0000-0000-000082140000}"/>
    <cellStyle name="Normal 10 2 10 5 3 8" xfId="5270" xr:uid="{00000000-0005-0000-0000-000083140000}"/>
    <cellStyle name="Normal 10 2 10 5 3 9" xfId="5271" xr:uid="{00000000-0005-0000-0000-000084140000}"/>
    <cellStyle name="Normal 10 2 10 5 4" xfId="5272" xr:uid="{00000000-0005-0000-0000-000085140000}"/>
    <cellStyle name="Normal 10 2 10 5 4 10" xfId="5273" xr:uid="{00000000-0005-0000-0000-000086140000}"/>
    <cellStyle name="Normal 10 2 10 5 4 2" xfId="5274" xr:uid="{00000000-0005-0000-0000-000087140000}"/>
    <cellStyle name="Normal 10 2 10 5 4 3" xfId="5275" xr:uid="{00000000-0005-0000-0000-000088140000}"/>
    <cellStyle name="Normal 10 2 10 5 4 4" xfId="5276" xr:uid="{00000000-0005-0000-0000-000089140000}"/>
    <cellStyle name="Normal 10 2 10 5 4 5" xfId="5277" xr:uid="{00000000-0005-0000-0000-00008A140000}"/>
    <cellStyle name="Normal 10 2 10 5 4 6" xfId="5278" xr:uid="{00000000-0005-0000-0000-00008B140000}"/>
    <cellStyle name="Normal 10 2 10 5 4 7" xfId="5279" xr:uid="{00000000-0005-0000-0000-00008C140000}"/>
    <cellStyle name="Normal 10 2 10 5 4 8" xfId="5280" xr:uid="{00000000-0005-0000-0000-00008D140000}"/>
    <cellStyle name="Normal 10 2 10 5 4 9" xfId="5281" xr:uid="{00000000-0005-0000-0000-00008E140000}"/>
    <cellStyle name="Normal 10 2 10 5 5" xfId="5282" xr:uid="{00000000-0005-0000-0000-00008F140000}"/>
    <cellStyle name="Normal 10 2 10 5 5 10" xfId="5283" xr:uid="{00000000-0005-0000-0000-000090140000}"/>
    <cellStyle name="Normal 10 2 10 5 5 2" xfId="5284" xr:uid="{00000000-0005-0000-0000-000091140000}"/>
    <cellStyle name="Normal 10 2 10 5 5 3" xfId="5285" xr:uid="{00000000-0005-0000-0000-000092140000}"/>
    <cellStyle name="Normal 10 2 10 5 5 4" xfId="5286" xr:uid="{00000000-0005-0000-0000-000093140000}"/>
    <cellStyle name="Normal 10 2 10 5 5 5" xfId="5287" xr:uid="{00000000-0005-0000-0000-000094140000}"/>
    <cellStyle name="Normal 10 2 10 5 5 6" xfId="5288" xr:uid="{00000000-0005-0000-0000-000095140000}"/>
    <cellStyle name="Normal 10 2 10 5 5 7" xfId="5289" xr:uid="{00000000-0005-0000-0000-000096140000}"/>
    <cellStyle name="Normal 10 2 10 5 5 8" xfId="5290" xr:uid="{00000000-0005-0000-0000-000097140000}"/>
    <cellStyle name="Normal 10 2 10 5 5 9" xfId="5291" xr:uid="{00000000-0005-0000-0000-000098140000}"/>
    <cellStyle name="Normal 10 2 10 5 6" xfId="5292" xr:uid="{00000000-0005-0000-0000-000099140000}"/>
    <cellStyle name="Normal 10 2 10 5 7" xfId="5293" xr:uid="{00000000-0005-0000-0000-00009A140000}"/>
    <cellStyle name="Normal 10 2 10 5 8" xfId="5294" xr:uid="{00000000-0005-0000-0000-00009B140000}"/>
    <cellStyle name="Normal 10 2 10 5 9" xfId="5295" xr:uid="{00000000-0005-0000-0000-00009C140000}"/>
    <cellStyle name="Normal 10 2 10 50" xfId="7" xr:uid="{00000000-0005-0000-0000-00009D140000}"/>
    <cellStyle name="Normal 10 2 10 6" xfId="5296" xr:uid="{00000000-0005-0000-0000-00009E140000}"/>
    <cellStyle name="Normal 10 2 10 6 10" xfId="5297" xr:uid="{00000000-0005-0000-0000-00009F140000}"/>
    <cellStyle name="Normal 10 2 10 6 11" xfId="5298" xr:uid="{00000000-0005-0000-0000-0000A0140000}"/>
    <cellStyle name="Normal 10 2 10 6 12" xfId="5299" xr:uid="{00000000-0005-0000-0000-0000A1140000}"/>
    <cellStyle name="Normal 10 2 10 6 13" xfId="5300" xr:uid="{00000000-0005-0000-0000-0000A2140000}"/>
    <cellStyle name="Normal 10 2 10 6 14" xfId="5301" xr:uid="{00000000-0005-0000-0000-0000A3140000}"/>
    <cellStyle name="Normal 10 2 10 6 2" xfId="5302" xr:uid="{00000000-0005-0000-0000-0000A4140000}"/>
    <cellStyle name="Normal 10 2 10 6 2 10" xfId="5303" xr:uid="{00000000-0005-0000-0000-0000A5140000}"/>
    <cellStyle name="Normal 10 2 10 6 2 2" xfId="5304" xr:uid="{00000000-0005-0000-0000-0000A6140000}"/>
    <cellStyle name="Normal 10 2 10 6 2 3" xfId="5305" xr:uid="{00000000-0005-0000-0000-0000A7140000}"/>
    <cellStyle name="Normal 10 2 10 6 2 4" xfId="5306" xr:uid="{00000000-0005-0000-0000-0000A8140000}"/>
    <cellStyle name="Normal 10 2 10 6 2 5" xfId="5307" xr:uid="{00000000-0005-0000-0000-0000A9140000}"/>
    <cellStyle name="Normal 10 2 10 6 2 6" xfId="5308" xr:uid="{00000000-0005-0000-0000-0000AA140000}"/>
    <cellStyle name="Normal 10 2 10 6 2 7" xfId="5309" xr:uid="{00000000-0005-0000-0000-0000AB140000}"/>
    <cellStyle name="Normal 10 2 10 6 2 8" xfId="5310" xr:uid="{00000000-0005-0000-0000-0000AC140000}"/>
    <cellStyle name="Normal 10 2 10 6 2 9" xfId="5311" xr:uid="{00000000-0005-0000-0000-0000AD140000}"/>
    <cellStyle name="Normal 10 2 10 6 3" xfId="5312" xr:uid="{00000000-0005-0000-0000-0000AE140000}"/>
    <cellStyle name="Normal 10 2 10 6 3 10" xfId="5313" xr:uid="{00000000-0005-0000-0000-0000AF140000}"/>
    <cellStyle name="Normal 10 2 10 6 3 2" xfId="5314" xr:uid="{00000000-0005-0000-0000-0000B0140000}"/>
    <cellStyle name="Normal 10 2 10 6 3 3" xfId="5315" xr:uid="{00000000-0005-0000-0000-0000B1140000}"/>
    <cellStyle name="Normal 10 2 10 6 3 4" xfId="5316" xr:uid="{00000000-0005-0000-0000-0000B2140000}"/>
    <cellStyle name="Normal 10 2 10 6 3 5" xfId="5317" xr:uid="{00000000-0005-0000-0000-0000B3140000}"/>
    <cellStyle name="Normal 10 2 10 6 3 6" xfId="5318" xr:uid="{00000000-0005-0000-0000-0000B4140000}"/>
    <cellStyle name="Normal 10 2 10 6 3 7" xfId="5319" xr:uid="{00000000-0005-0000-0000-0000B5140000}"/>
    <cellStyle name="Normal 10 2 10 6 3 8" xfId="5320" xr:uid="{00000000-0005-0000-0000-0000B6140000}"/>
    <cellStyle name="Normal 10 2 10 6 3 9" xfId="5321" xr:uid="{00000000-0005-0000-0000-0000B7140000}"/>
    <cellStyle name="Normal 10 2 10 6 4" xfId="5322" xr:uid="{00000000-0005-0000-0000-0000B8140000}"/>
    <cellStyle name="Normal 10 2 10 6 4 10" xfId="5323" xr:uid="{00000000-0005-0000-0000-0000B9140000}"/>
    <cellStyle name="Normal 10 2 10 6 4 2" xfId="5324" xr:uid="{00000000-0005-0000-0000-0000BA140000}"/>
    <cellStyle name="Normal 10 2 10 6 4 3" xfId="5325" xr:uid="{00000000-0005-0000-0000-0000BB140000}"/>
    <cellStyle name="Normal 10 2 10 6 4 4" xfId="5326" xr:uid="{00000000-0005-0000-0000-0000BC140000}"/>
    <cellStyle name="Normal 10 2 10 6 4 5" xfId="5327" xr:uid="{00000000-0005-0000-0000-0000BD140000}"/>
    <cellStyle name="Normal 10 2 10 6 4 6" xfId="5328" xr:uid="{00000000-0005-0000-0000-0000BE140000}"/>
    <cellStyle name="Normal 10 2 10 6 4 7" xfId="5329" xr:uid="{00000000-0005-0000-0000-0000BF140000}"/>
    <cellStyle name="Normal 10 2 10 6 4 8" xfId="5330" xr:uid="{00000000-0005-0000-0000-0000C0140000}"/>
    <cellStyle name="Normal 10 2 10 6 4 9" xfId="5331" xr:uid="{00000000-0005-0000-0000-0000C1140000}"/>
    <cellStyle name="Normal 10 2 10 6 5" xfId="5332" xr:uid="{00000000-0005-0000-0000-0000C2140000}"/>
    <cellStyle name="Normal 10 2 10 6 5 10" xfId="5333" xr:uid="{00000000-0005-0000-0000-0000C3140000}"/>
    <cellStyle name="Normal 10 2 10 6 5 2" xfId="5334" xr:uid="{00000000-0005-0000-0000-0000C4140000}"/>
    <cellStyle name="Normal 10 2 10 6 5 3" xfId="5335" xr:uid="{00000000-0005-0000-0000-0000C5140000}"/>
    <cellStyle name="Normal 10 2 10 6 5 4" xfId="5336" xr:uid="{00000000-0005-0000-0000-0000C6140000}"/>
    <cellStyle name="Normal 10 2 10 6 5 5" xfId="5337" xr:uid="{00000000-0005-0000-0000-0000C7140000}"/>
    <cellStyle name="Normal 10 2 10 6 5 6" xfId="5338" xr:uid="{00000000-0005-0000-0000-0000C8140000}"/>
    <cellStyle name="Normal 10 2 10 6 5 7" xfId="5339" xr:uid="{00000000-0005-0000-0000-0000C9140000}"/>
    <cellStyle name="Normal 10 2 10 6 5 8" xfId="5340" xr:uid="{00000000-0005-0000-0000-0000CA140000}"/>
    <cellStyle name="Normal 10 2 10 6 5 9" xfId="5341" xr:uid="{00000000-0005-0000-0000-0000CB140000}"/>
    <cellStyle name="Normal 10 2 10 6 6" xfId="5342" xr:uid="{00000000-0005-0000-0000-0000CC140000}"/>
    <cellStyle name="Normal 10 2 10 6 7" xfId="5343" xr:uid="{00000000-0005-0000-0000-0000CD140000}"/>
    <cellStyle name="Normal 10 2 10 6 8" xfId="5344" xr:uid="{00000000-0005-0000-0000-0000CE140000}"/>
    <cellStyle name="Normal 10 2 10 6 9" xfId="5345" xr:uid="{00000000-0005-0000-0000-0000CF140000}"/>
    <cellStyle name="Normal 10 2 10 7" xfId="5346" xr:uid="{00000000-0005-0000-0000-0000D0140000}"/>
    <cellStyle name="Normal 10 2 10 7 10" xfId="5347" xr:uid="{00000000-0005-0000-0000-0000D1140000}"/>
    <cellStyle name="Normal 10 2 10 7 11" xfId="5348" xr:uid="{00000000-0005-0000-0000-0000D2140000}"/>
    <cellStyle name="Normal 10 2 10 7 12" xfId="5349" xr:uid="{00000000-0005-0000-0000-0000D3140000}"/>
    <cellStyle name="Normal 10 2 10 7 13" xfId="5350" xr:uid="{00000000-0005-0000-0000-0000D4140000}"/>
    <cellStyle name="Normal 10 2 10 7 14" xfId="5351" xr:uid="{00000000-0005-0000-0000-0000D5140000}"/>
    <cellStyle name="Normal 10 2 10 7 2" xfId="5352" xr:uid="{00000000-0005-0000-0000-0000D6140000}"/>
    <cellStyle name="Normal 10 2 10 7 2 10" xfId="5353" xr:uid="{00000000-0005-0000-0000-0000D7140000}"/>
    <cellStyle name="Normal 10 2 10 7 2 2" xfId="5354" xr:uid="{00000000-0005-0000-0000-0000D8140000}"/>
    <cellStyle name="Normal 10 2 10 7 2 3" xfId="5355" xr:uid="{00000000-0005-0000-0000-0000D9140000}"/>
    <cellStyle name="Normal 10 2 10 7 2 4" xfId="5356" xr:uid="{00000000-0005-0000-0000-0000DA140000}"/>
    <cellStyle name="Normal 10 2 10 7 2 5" xfId="5357" xr:uid="{00000000-0005-0000-0000-0000DB140000}"/>
    <cellStyle name="Normal 10 2 10 7 2 6" xfId="5358" xr:uid="{00000000-0005-0000-0000-0000DC140000}"/>
    <cellStyle name="Normal 10 2 10 7 2 7" xfId="5359" xr:uid="{00000000-0005-0000-0000-0000DD140000}"/>
    <cellStyle name="Normal 10 2 10 7 2 8" xfId="5360" xr:uid="{00000000-0005-0000-0000-0000DE140000}"/>
    <cellStyle name="Normal 10 2 10 7 2 9" xfId="5361" xr:uid="{00000000-0005-0000-0000-0000DF140000}"/>
    <cellStyle name="Normal 10 2 10 7 3" xfId="5362" xr:uid="{00000000-0005-0000-0000-0000E0140000}"/>
    <cellStyle name="Normal 10 2 10 7 3 10" xfId="5363" xr:uid="{00000000-0005-0000-0000-0000E1140000}"/>
    <cellStyle name="Normal 10 2 10 7 3 2" xfId="5364" xr:uid="{00000000-0005-0000-0000-0000E2140000}"/>
    <cellStyle name="Normal 10 2 10 7 3 3" xfId="5365" xr:uid="{00000000-0005-0000-0000-0000E3140000}"/>
    <cellStyle name="Normal 10 2 10 7 3 4" xfId="5366" xr:uid="{00000000-0005-0000-0000-0000E4140000}"/>
    <cellStyle name="Normal 10 2 10 7 3 5" xfId="5367" xr:uid="{00000000-0005-0000-0000-0000E5140000}"/>
    <cellStyle name="Normal 10 2 10 7 3 6" xfId="5368" xr:uid="{00000000-0005-0000-0000-0000E6140000}"/>
    <cellStyle name="Normal 10 2 10 7 3 7" xfId="5369" xr:uid="{00000000-0005-0000-0000-0000E7140000}"/>
    <cellStyle name="Normal 10 2 10 7 3 8" xfId="5370" xr:uid="{00000000-0005-0000-0000-0000E8140000}"/>
    <cellStyle name="Normal 10 2 10 7 3 9" xfId="5371" xr:uid="{00000000-0005-0000-0000-0000E9140000}"/>
    <cellStyle name="Normal 10 2 10 7 4" xfId="5372" xr:uid="{00000000-0005-0000-0000-0000EA140000}"/>
    <cellStyle name="Normal 10 2 10 7 4 10" xfId="5373" xr:uid="{00000000-0005-0000-0000-0000EB140000}"/>
    <cellStyle name="Normal 10 2 10 7 4 2" xfId="5374" xr:uid="{00000000-0005-0000-0000-0000EC140000}"/>
    <cellStyle name="Normal 10 2 10 7 4 3" xfId="5375" xr:uid="{00000000-0005-0000-0000-0000ED140000}"/>
    <cellStyle name="Normal 10 2 10 7 4 4" xfId="5376" xr:uid="{00000000-0005-0000-0000-0000EE140000}"/>
    <cellStyle name="Normal 10 2 10 7 4 5" xfId="5377" xr:uid="{00000000-0005-0000-0000-0000EF140000}"/>
    <cellStyle name="Normal 10 2 10 7 4 6" xfId="5378" xr:uid="{00000000-0005-0000-0000-0000F0140000}"/>
    <cellStyle name="Normal 10 2 10 7 4 7" xfId="5379" xr:uid="{00000000-0005-0000-0000-0000F1140000}"/>
    <cellStyle name="Normal 10 2 10 7 4 8" xfId="5380" xr:uid="{00000000-0005-0000-0000-0000F2140000}"/>
    <cellStyle name="Normal 10 2 10 7 4 9" xfId="5381" xr:uid="{00000000-0005-0000-0000-0000F3140000}"/>
    <cellStyle name="Normal 10 2 10 7 5" xfId="5382" xr:uid="{00000000-0005-0000-0000-0000F4140000}"/>
    <cellStyle name="Normal 10 2 10 7 5 10" xfId="5383" xr:uid="{00000000-0005-0000-0000-0000F5140000}"/>
    <cellStyle name="Normal 10 2 10 7 5 2" xfId="5384" xr:uid="{00000000-0005-0000-0000-0000F6140000}"/>
    <cellStyle name="Normal 10 2 10 7 5 3" xfId="5385" xr:uid="{00000000-0005-0000-0000-0000F7140000}"/>
    <cellStyle name="Normal 10 2 10 7 5 4" xfId="5386" xr:uid="{00000000-0005-0000-0000-0000F8140000}"/>
    <cellStyle name="Normal 10 2 10 7 5 5" xfId="5387" xr:uid="{00000000-0005-0000-0000-0000F9140000}"/>
    <cellStyle name="Normal 10 2 10 7 5 6" xfId="5388" xr:uid="{00000000-0005-0000-0000-0000FA140000}"/>
    <cellStyle name="Normal 10 2 10 7 5 7" xfId="5389" xr:uid="{00000000-0005-0000-0000-0000FB140000}"/>
    <cellStyle name="Normal 10 2 10 7 5 8" xfId="5390" xr:uid="{00000000-0005-0000-0000-0000FC140000}"/>
    <cellStyle name="Normal 10 2 10 7 5 9" xfId="5391" xr:uid="{00000000-0005-0000-0000-0000FD140000}"/>
    <cellStyle name="Normal 10 2 10 7 6" xfId="5392" xr:uid="{00000000-0005-0000-0000-0000FE140000}"/>
    <cellStyle name="Normal 10 2 10 7 7" xfId="5393" xr:uid="{00000000-0005-0000-0000-0000FF140000}"/>
    <cellStyle name="Normal 10 2 10 7 8" xfId="5394" xr:uid="{00000000-0005-0000-0000-000000150000}"/>
    <cellStyle name="Normal 10 2 10 7 9" xfId="5395" xr:uid="{00000000-0005-0000-0000-000001150000}"/>
    <cellStyle name="Normal 10 2 10 8" xfId="5396" xr:uid="{00000000-0005-0000-0000-000002150000}"/>
    <cellStyle name="Normal 10 2 10 8 10" xfId="5397" xr:uid="{00000000-0005-0000-0000-000003150000}"/>
    <cellStyle name="Normal 10 2 10 8 11" xfId="5398" xr:uid="{00000000-0005-0000-0000-000004150000}"/>
    <cellStyle name="Normal 10 2 10 8 12" xfId="5399" xr:uid="{00000000-0005-0000-0000-000005150000}"/>
    <cellStyle name="Normal 10 2 10 8 13" xfId="5400" xr:uid="{00000000-0005-0000-0000-000006150000}"/>
    <cellStyle name="Normal 10 2 10 8 14" xfId="5401" xr:uid="{00000000-0005-0000-0000-000007150000}"/>
    <cellStyle name="Normal 10 2 10 8 2" xfId="5402" xr:uid="{00000000-0005-0000-0000-000008150000}"/>
    <cellStyle name="Normal 10 2 10 8 2 10" xfId="5403" xr:uid="{00000000-0005-0000-0000-000009150000}"/>
    <cellStyle name="Normal 10 2 10 8 2 2" xfId="5404" xr:uid="{00000000-0005-0000-0000-00000A150000}"/>
    <cellStyle name="Normal 10 2 10 8 2 3" xfId="5405" xr:uid="{00000000-0005-0000-0000-00000B150000}"/>
    <cellStyle name="Normal 10 2 10 8 2 4" xfId="5406" xr:uid="{00000000-0005-0000-0000-00000C150000}"/>
    <cellStyle name="Normal 10 2 10 8 2 5" xfId="5407" xr:uid="{00000000-0005-0000-0000-00000D150000}"/>
    <cellStyle name="Normal 10 2 10 8 2 6" xfId="5408" xr:uid="{00000000-0005-0000-0000-00000E150000}"/>
    <cellStyle name="Normal 10 2 10 8 2 7" xfId="5409" xr:uid="{00000000-0005-0000-0000-00000F150000}"/>
    <cellStyle name="Normal 10 2 10 8 2 8" xfId="5410" xr:uid="{00000000-0005-0000-0000-000010150000}"/>
    <cellStyle name="Normal 10 2 10 8 2 9" xfId="5411" xr:uid="{00000000-0005-0000-0000-000011150000}"/>
    <cellStyle name="Normal 10 2 10 8 3" xfId="5412" xr:uid="{00000000-0005-0000-0000-000012150000}"/>
    <cellStyle name="Normal 10 2 10 8 3 10" xfId="5413" xr:uid="{00000000-0005-0000-0000-000013150000}"/>
    <cellStyle name="Normal 10 2 10 8 3 2" xfId="5414" xr:uid="{00000000-0005-0000-0000-000014150000}"/>
    <cellStyle name="Normal 10 2 10 8 3 3" xfId="5415" xr:uid="{00000000-0005-0000-0000-000015150000}"/>
    <cellStyle name="Normal 10 2 10 8 3 4" xfId="5416" xr:uid="{00000000-0005-0000-0000-000016150000}"/>
    <cellStyle name="Normal 10 2 10 8 3 5" xfId="5417" xr:uid="{00000000-0005-0000-0000-000017150000}"/>
    <cellStyle name="Normal 10 2 10 8 3 6" xfId="5418" xr:uid="{00000000-0005-0000-0000-000018150000}"/>
    <cellStyle name="Normal 10 2 10 8 3 7" xfId="5419" xr:uid="{00000000-0005-0000-0000-000019150000}"/>
    <cellStyle name="Normal 10 2 10 8 3 8" xfId="5420" xr:uid="{00000000-0005-0000-0000-00001A150000}"/>
    <cellStyle name="Normal 10 2 10 8 3 9" xfId="5421" xr:uid="{00000000-0005-0000-0000-00001B150000}"/>
    <cellStyle name="Normal 10 2 10 8 4" xfId="5422" xr:uid="{00000000-0005-0000-0000-00001C150000}"/>
    <cellStyle name="Normal 10 2 10 8 4 10" xfId="5423" xr:uid="{00000000-0005-0000-0000-00001D150000}"/>
    <cellStyle name="Normal 10 2 10 8 4 2" xfId="5424" xr:uid="{00000000-0005-0000-0000-00001E150000}"/>
    <cellStyle name="Normal 10 2 10 8 4 3" xfId="5425" xr:uid="{00000000-0005-0000-0000-00001F150000}"/>
    <cellStyle name="Normal 10 2 10 8 4 4" xfId="5426" xr:uid="{00000000-0005-0000-0000-000020150000}"/>
    <cellStyle name="Normal 10 2 10 8 4 5" xfId="5427" xr:uid="{00000000-0005-0000-0000-000021150000}"/>
    <cellStyle name="Normal 10 2 10 8 4 6" xfId="5428" xr:uid="{00000000-0005-0000-0000-000022150000}"/>
    <cellStyle name="Normal 10 2 10 8 4 7" xfId="5429" xr:uid="{00000000-0005-0000-0000-000023150000}"/>
    <cellStyle name="Normal 10 2 10 8 4 8" xfId="5430" xr:uid="{00000000-0005-0000-0000-000024150000}"/>
    <cellStyle name="Normal 10 2 10 8 4 9" xfId="5431" xr:uid="{00000000-0005-0000-0000-000025150000}"/>
    <cellStyle name="Normal 10 2 10 8 5" xfId="5432" xr:uid="{00000000-0005-0000-0000-000026150000}"/>
    <cellStyle name="Normal 10 2 10 8 5 10" xfId="5433" xr:uid="{00000000-0005-0000-0000-000027150000}"/>
    <cellStyle name="Normal 10 2 10 8 5 2" xfId="5434" xr:uid="{00000000-0005-0000-0000-000028150000}"/>
    <cellStyle name="Normal 10 2 10 8 5 3" xfId="5435" xr:uid="{00000000-0005-0000-0000-000029150000}"/>
    <cellStyle name="Normal 10 2 10 8 5 4" xfId="5436" xr:uid="{00000000-0005-0000-0000-00002A150000}"/>
    <cellStyle name="Normal 10 2 10 8 5 5" xfId="5437" xr:uid="{00000000-0005-0000-0000-00002B150000}"/>
    <cellStyle name="Normal 10 2 10 8 5 6" xfId="5438" xr:uid="{00000000-0005-0000-0000-00002C150000}"/>
    <cellStyle name="Normal 10 2 10 8 5 7" xfId="5439" xr:uid="{00000000-0005-0000-0000-00002D150000}"/>
    <cellStyle name="Normal 10 2 10 8 5 8" xfId="5440" xr:uid="{00000000-0005-0000-0000-00002E150000}"/>
    <cellStyle name="Normal 10 2 10 8 5 9" xfId="5441" xr:uid="{00000000-0005-0000-0000-00002F150000}"/>
    <cellStyle name="Normal 10 2 10 8 6" xfId="5442" xr:uid="{00000000-0005-0000-0000-000030150000}"/>
    <cellStyle name="Normal 10 2 10 8 7" xfId="5443" xr:uid="{00000000-0005-0000-0000-000031150000}"/>
    <cellStyle name="Normal 10 2 10 8 8" xfId="5444" xr:uid="{00000000-0005-0000-0000-000032150000}"/>
    <cellStyle name="Normal 10 2 10 8 9" xfId="5445" xr:uid="{00000000-0005-0000-0000-000033150000}"/>
    <cellStyle name="Normal 10 2 10 9" xfId="5446" xr:uid="{00000000-0005-0000-0000-000034150000}"/>
    <cellStyle name="Normal 10 2 10 9 10" xfId="5447" xr:uid="{00000000-0005-0000-0000-000035150000}"/>
    <cellStyle name="Normal 10 2 10 9 11" xfId="5448" xr:uid="{00000000-0005-0000-0000-000036150000}"/>
    <cellStyle name="Normal 10 2 10 9 12" xfId="5449" xr:uid="{00000000-0005-0000-0000-000037150000}"/>
    <cellStyle name="Normal 10 2 10 9 13" xfId="5450" xr:uid="{00000000-0005-0000-0000-000038150000}"/>
    <cellStyle name="Normal 10 2 10 9 14" xfId="5451" xr:uid="{00000000-0005-0000-0000-000039150000}"/>
    <cellStyle name="Normal 10 2 10 9 2" xfId="5452" xr:uid="{00000000-0005-0000-0000-00003A150000}"/>
    <cellStyle name="Normal 10 2 10 9 2 10" xfId="5453" xr:uid="{00000000-0005-0000-0000-00003B150000}"/>
    <cellStyle name="Normal 10 2 10 9 2 2" xfId="5454" xr:uid="{00000000-0005-0000-0000-00003C150000}"/>
    <cellStyle name="Normal 10 2 10 9 2 3" xfId="5455" xr:uid="{00000000-0005-0000-0000-00003D150000}"/>
    <cellStyle name="Normal 10 2 10 9 2 4" xfId="5456" xr:uid="{00000000-0005-0000-0000-00003E150000}"/>
    <cellStyle name="Normal 10 2 10 9 2 5" xfId="5457" xr:uid="{00000000-0005-0000-0000-00003F150000}"/>
    <cellStyle name="Normal 10 2 10 9 2 6" xfId="5458" xr:uid="{00000000-0005-0000-0000-000040150000}"/>
    <cellStyle name="Normal 10 2 10 9 2 7" xfId="5459" xr:uid="{00000000-0005-0000-0000-000041150000}"/>
    <cellStyle name="Normal 10 2 10 9 2 8" xfId="5460" xr:uid="{00000000-0005-0000-0000-000042150000}"/>
    <cellStyle name="Normal 10 2 10 9 2 9" xfId="5461" xr:uid="{00000000-0005-0000-0000-000043150000}"/>
    <cellStyle name="Normal 10 2 10 9 3" xfId="5462" xr:uid="{00000000-0005-0000-0000-000044150000}"/>
    <cellStyle name="Normal 10 2 10 9 3 10" xfId="5463" xr:uid="{00000000-0005-0000-0000-000045150000}"/>
    <cellStyle name="Normal 10 2 10 9 3 2" xfId="5464" xr:uid="{00000000-0005-0000-0000-000046150000}"/>
    <cellStyle name="Normal 10 2 10 9 3 3" xfId="5465" xr:uid="{00000000-0005-0000-0000-000047150000}"/>
    <cellStyle name="Normal 10 2 10 9 3 4" xfId="5466" xr:uid="{00000000-0005-0000-0000-000048150000}"/>
    <cellStyle name="Normal 10 2 10 9 3 5" xfId="5467" xr:uid="{00000000-0005-0000-0000-000049150000}"/>
    <cellStyle name="Normal 10 2 10 9 3 6" xfId="5468" xr:uid="{00000000-0005-0000-0000-00004A150000}"/>
    <cellStyle name="Normal 10 2 10 9 3 7" xfId="5469" xr:uid="{00000000-0005-0000-0000-00004B150000}"/>
    <cellStyle name="Normal 10 2 10 9 3 8" xfId="5470" xr:uid="{00000000-0005-0000-0000-00004C150000}"/>
    <cellStyle name="Normal 10 2 10 9 3 9" xfId="5471" xr:uid="{00000000-0005-0000-0000-00004D150000}"/>
    <cellStyle name="Normal 10 2 10 9 4" xfId="5472" xr:uid="{00000000-0005-0000-0000-00004E150000}"/>
    <cellStyle name="Normal 10 2 10 9 4 10" xfId="5473" xr:uid="{00000000-0005-0000-0000-00004F150000}"/>
    <cellStyle name="Normal 10 2 10 9 4 2" xfId="5474" xr:uid="{00000000-0005-0000-0000-000050150000}"/>
    <cellStyle name="Normal 10 2 10 9 4 3" xfId="5475" xr:uid="{00000000-0005-0000-0000-000051150000}"/>
    <cellStyle name="Normal 10 2 10 9 4 4" xfId="5476" xr:uid="{00000000-0005-0000-0000-000052150000}"/>
    <cellStyle name="Normal 10 2 10 9 4 5" xfId="5477" xr:uid="{00000000-0005-0000-0000-000053150000}"/>
    <cellStyle name="Normal 10 2 10 9 4 6" xfId="5478" xr:uid="{00000000-0005-0000-0000-000054150000}"/>
    <cellStyle name="Normal 10 2 10 9 4 7" xfId="5479" xr:uid="{00000000-0005-0000-0000-000055150000}"/>
    <cellStyle name="Normal 10 2 10 9 4 8" xfId="5480" xr:uid="{00000000-0005-0000-0000-000056150000}"/>
    <cellStyle name="Normal 10 2 10 9 4 9" xfId="5481" xr:uid="{00000000-0005-0000-0000-000057150000}"/>
    <cellStyle name="Normal 10 2 10 9 5" xfId="5482" xr:uid="{00000000-0005-0000-0000-000058150000}"/>
    <cellStyle name="Normal 10 2 10 9 5 10" xfId="5483" xr:uid="{00000000-0005-0000-0000-000059150000}"/>
    <cellStyle name="Normal 10 2 10 9 5 2" xfId="5484" xr:uid="{00000000-0005-0000-0000-00005A150000}"/>
    <cellStyle name="Normal 10 2 10 9 5 3" xfId="5485" xr:uid="{00000000-0005-0000-0000-00005B150000}"/>
    <cellStyle name="Normal 10 2 10 9 5 4" xfId="5486" xr:uid="{00000000-0005-0000-0000-00005C150000}"/>
    <cellStyle name="Normal 10 2 10 9 5 5" xfId="5487" xr:uid="{00000000-0005-0000-0000-00005D150000}"/>
    <cellStyle name="Normal 10 2 10 9 5 6" xfId="5488" xr:uid="{00000000-0005-0000-0000-00005E150000}"/>
    <cellStyle name="Normal 10 2 10 9 5 7" xfId="5489" xr:uid="{00000000-0005-0000-0000-00005F150000}"/>
    <cellStyle name="Normal 10 2 10 9 5 8" xfId="5490" xr:uid="{00000000-0005-0000-0000-000060150000}"/>
    <cellStyle name="Normal 10 2 10 9 5 9" xfId="5491" xr:uid="{00000000-0005-0000-0000-000061150000}"/>
    <cellStyle name="Normal 10 2 10 9 6" xfId="5492" xr:uid="{00000000-0005-0000-0000-000062150000}"/>
    <cellStyle name="Normal 10 2 10 9 7" xfId="5493" xr:uid="{00000000-0005-0000-0000-000063150000}"/>
    <cellStyle name="Normal 10 2 10 9 8" xfId="5494" xr:uid="{00000000-0005-0000-0000-000064150000}"/>
    <cellStyle name="Normal 10 2 10 9 9" xfId="5495" xr:uid="{00000000-0005-0000-0000-000065150000}"/>
    <cellStyle name="Normal 10 2 11" xfId="5496" xr:uid="{00000000-0005-0000-0000-000066150000}"/>
    <cellStyle name="Normal 10 2 12" xfId="5497" xr:uid="{00000000-0005-0000-0000-000067150000}"/>
    <cellStyle name="Normal 10 2 13" xfId="5498" xr:uid="{00000000-0005-0000-0000-000068150000}"/>
    <cellStyle name="Normal 10 2 14" xfId="5499" xr:uid="{00000000-0005-0000-0000-000069150000}"/>
    <cellStyle name="Normal 10 2 15" xfId="5500" xr:uid="{00000000-0005-0000-0000-00006A150000}"/>
    <cellStyle name="Normal 10 2 16" xfId="5501" xr:uid="{00000000-0005-0000-0000-00006B150000}"/>
    <cellStyle name="Normal 10 2 17" xfId="5502" xr:uid="{00000000-0005-0000-0000-00006C150000}"/>
    <cellStyle name="Normal 10 2 18" xfId="5503" xr:uid="{00000000-0005-0000-0000-00006D150000}"/>
    <cellStyle name="Normal 10 2 19" xfId="5504" xr:uid="{00000000-0005-0000-0000-00006E150000}"/>
    <cellStyle name="Normal 10 2 2" xfId="5505" xr:uid="{00000000-0005-0000-0000-00006F150000}"/>
    <cellStyle name="Normal 10 2 2 2" xfId="5506" xr:uid="{00000000-0005-0000-0000-000070150000}"/>
    <cellStyle name="Normal 10 2 2 2 2" xfId="5507" xr:uid="{00000000-0005-0000-0000-000071150000}"/>
    <cellStyle name="Normal 10 2 20" xfId="5508" xr:uid="{00000000-0005-0000-0000-000072150000}"/>
    <cellStyle name="Normal 10 2 21" xfId="5509" xr:uid="{00000000-0005-0000-0000-000073150000}"/>
    <cellStyle name="Normal 10 2 22" xfId="5510" xr:uid="{00000000-0005-0000-0000-000074150000}"/>
    <cellStyle name="Normal 10 2 23" xfId="5511" xr:uid="{00000000-0005-0000-0000-000075150000}"/>
    <cellStyle name="Normal 10 2 24" xfId="5512" xr:uid="{00000000-0005-0000-0000-000076150000}"/>
    <cellStyle name="Normal 10 2 25" xfId="5513" xr:uid="{00000000-0005-0000-0000-000077150000}"/>
    <cellStyle name="Normal 10 2 26" xfId="5514" xr:uid="{00000000-0005-0000-0000-000078150000}"/>
    <cellStyle name="Normal 10 2 27" xfId="5515" xr:uid="{00000000-0005-0000-0000-000079150000}"/>
    <cellStyle name="Normal 10 2 28" xfId="5516" xr:uid="{00000000-0005-0000-0000-00007A150000}"/>
    <cellStyle name="Normal 10 2 29" xfId="5517" xr:uid="{00000000-0005-0000-0000-00007B150000}"/>
    <cellStyle name="Normal 10 2 3" xfId="5518" xr:uid="{00000000-0005-0000-0000-00007C150000}"/>
    <cellStyle name="Normal 10 2 30" xfId="5519" xr:uid="{00000000-0005-0000-0000-00007D150000}"/>
    <cellStyle name="Normal 10 2 31" xfId="5520" xr:uid="{00000000-0005-0000-0000-00007E150000}"/>
    <cellStyle name="Normal 10 2 32" xfId="5521" xr:uid="{00000000-0005-0000-0000-00007F150000}"/>
    <cellStyle name="Normal 10 2 33" xfId="5522" xr:uid="{00000000-0005-0000-0000-000080150000}"/>
    <cellStyle name="Normal 10 2 34" xfId="5523" xr:uid="{00000000-0005-0000-0000-000081150000}"/>
    <cellStyle name="Normal 10 2 35" xfId="5524" xr:uid="{00000000-0005-0000-0000-000082150000}"/>
    <cellStyle name="Normal 10 2 36" xfId="5525" xr:uid="{00000000-0005-0000-0000-000083150000}"/>
    <cellStyle name="Normal 10 2 37" xfId="5526" xr:uid="{00000000-0005-0000-0000-000084150000}"/>
    <cellStyle name="Normal 10 2 38" xfId="5527" xr:uid="{00000000-0005-0000-0000-000085150000}"/>
    <cellStyle name="Normal 10 2 39" xfId="5528" xr:uid="{00000000-0005-0000-0000-000086150000}"/>
    <cellStyle name="Normal 10 2 4" xfId="5529" xr:uid="{00000000-0005-0000-0000-000087150000}"/>
    <cellStyle name="Normal 10 2 40" xfId="5530" xr:uid="{00000000-0005-0000-0000-000088150000}"/>
    <cellStyle name="Normal 10 2 41" xfId="5531" xr:uid="{00000000-0005-0000-0000-000089150000}"/>
    <cellStyle name="Normal 10 2 42" xfId="5532" xr:uid="{00000000-0005-0000-0000-00008A150000}"/>
    <cellStyle name="Normal 10 2 43" xfId="5533" xr:uid="{00000000-0005-0000-0000-00008B150000}"/>
    <cellStyle name="Normal 10 2 44" xfId="5534" xr:uid="{00000000-0005-0000-0000-00008C150000}"/>
    <cellStyle name="Normal 10 2 45" xfId="5535" xr:uid="{00000000-0005-0000-0000-00008D150000}"/>
    <cellStyle name="Normal 10 2 46" xfId="5536" xr:uid="{00000000-0005-0000-0000-00008E150000}"/>
    <cellStyle name="Normal 10 2 47" xfId="5537" xr:uid="{00000000-0005-0000-0000-00008F150000}"/>
    <cellStyle name="Normal 10 2 48" xfId="5538" xr:uid="{00000000-0005-0000-0000-000090150000}"/>
    <cellStyle name="Normal 10 2 49" xfId="5539" xr:uid="{00000000-0005-0000-0000-000091150000}"/>
    <cellStyle name="Normal 10 2 5" xfId="5540" xr:uid="{00000000-0005-0000-0000-000092150000}"/>
    <cellStyle name="Normal 10 2 50" xfId="5541" xr:uid="{00000000-0005-0000-0000-000093150000}"/>
    <cellStyle name="Normal 10 2 51" xfId="5542" xr:uid="{00000000-0005-0000-0000-000094150000}"/>
    <cellStyle name="Normal 10 2 52" xfId="5543" xr:uid="{00000000-0005-0000-0000-000095150000}"/>
    <cellStyle name="Normal 10 2 53" xfId="5544" xr:uid="{00000000-0005-0000-0000-000096150000}"/>
    <cellStyle name="Normal 10 2 54" xfId="5545" xr:uid="{00000000-0005-0000-0000-000097150000}"/>
    <cellStyle name="Normal 10 2 55" xfId="5546" xr:uid="{00000000-0005-0000-0000-000098150000}"/>
    <cellStyle name="Normal 10 2 56" xfId="5547" xr:uid="{00000000-0005-0000-0000-000099150000}"/>
    <cellStyle name="Normal 10 2 57" xfId="5548" xr:uid="{00000000-0005-0000-0000-00009A150000}"/>
    <cellStyle name="Normal 10 2 58" xfId="5549" xr:uid="{00000000-0005-0000-0000-00009B150000}"/>
    <cellStyle name="Normal 10 2 59" xfId="5550" xr:uid="{00000000-0005-0000-0000-00009C150000}"/>
    <cellStyle name="Normal 10 2 6" xfId="5551" xr:uid="{00000000-0005-0000-0000-00009D150000}"/>
    <cellStyle name="Normal 10 2 60" xfId="5552" xr:uid="{00000000-0005-0000-0000-00009E150000}"/>
    <cellStyle name="Normal 10 2 61" xfId="5553" xr:uid="{00000000-0005-0000-0000-00009F150000}"/>
    <cellStyle name="Normal 10 2 62" xfId="5554" xr:uid="{00000000-0005-0000-0000-0000A0150000}"/>
    <cellStyle name="Normal 10 2 63" xfId="5555" xr:uid="{00000000-0005-0000-0000-0000A1150000}"/>
    <cellStyle name="Normal 10 2 64" xfId="5556" xr:uid="{00000000-0005-0000-0000-0000A2150000}"/>
    <cellStyle name="Normal 10 2 65" xfId="5557" xr:uid="{00000000-0005-0000-0000-0000A3150000}"/>
    <cellStyle name="Normal 10 2 66" xfId="5558" xr:uid="{00000000-0005-0000-0000-0000A4150000}"/>
    <cellStyle name="Normal 10 2 67" xfId="5559" xr:uid="{00000000-0005-0000-0000-0000A5150000}"/>
    <cellStyle name="Normal 10 2 68" xfId="5560" xr:uid="{00000000-0005-0000-0000-0000A6150000}"/>
    <cellStyle name="Normal 10 2 69" xfId="5561" xr:uid="{00000000-0005-0000-0000-0000A7150000}"/>
    <cellStyle name="Normal 10 2 7" xfId="5562" xr:uid="{00000000-0005-0000-0000-0000A8150000}"/>
    <cellStyle name="Normal 10 2 70" xfId="5563" xr:uid="{00000000-0005-0000-0000-0000A9150000}"/>
    <cellStyle name="Normal 10 2 71" xfId="5564" xr:uid="{00000000-0005-0000-0000-0000AA150000}"/>
    <cellStyle name="Normal 10 2 72" xfId="5565" xr:uid="{00000000-0005-0000-0000-0000AB150000}"/>
    <cellStyle name="Normal 10 2 73" xfId="5566" xr:uid="{00000000-0005-0000-0000-0000AC150000}"/>
    <cellStyle name="Normal 10 2 74" xfId="5567" xr:uid="{00000000-0005-0000-0000-0000AD150000}"/>
    <cellStyle name="Normal 10 2 75" xfId="5568" xr:uid="{00000000-0005-0000-0000-0000AE150000}"/>
    <cellStyle name="Normal 10 2 76" xfId="5569" xr:uid="{00000000-0005-0000-0000-0000AF150000}"/>
    <cellStyle name="Normal 10 2 77" xfId="5570" xr:uid="{00000000-0005-0000-0000-0000B0150000}"/>
    <cellStyle name="Normal 10 2 78" xfId="5571" xr:uid="{00000000-0005-0000-0000-0000B1150000}"/>
    <cellStyle name="Normal 10 2 79" xfId="5572" xr:uid="{00000000-0005-0000-0000-0000B2150000}"/>
    <cellStyle name="Normal 10 2 8" xfId="5573" xr:uid="{00000000-0005-0000-0000-0000B3150000}"/>
    <cellStyle name="Normal 10 2 9" xfId="5574" xr:uid="{00000000-0005-0000-0000-0000B4150000}"/>
    <cellStyle name="Normal 10 2_Enlaces" xfId="5575" xr:uid="{00000000-0005-0000-0000-0000B5150000}"/>
    <cellStyle name="Normal 10 20" xfId="5576" xr:uid="{00000000-0005-0000-0000-0000B6150000}"/>
    <cellStyle name="Normal 10 21" xfId="5577" xr:uid="{00000000-0005-0000-0000-0000B7150000}"/>
    <cellStyle name="Normal 10 22" xfId="5578" xr:uid="{00000000-0005-0000-0000-0000B8150000}"/>
    <cellStyle name="Normal 10 23" xfId="5579" xr:uid="{00000000-0005-0000-0000-0000B9150000}"/>
    <cellStyle name="Normal 10 24" xfId="5580" xr:uid="{00000000-0005-0000-0000-0000BA150000}"/>
    <cellStyle name="Normal 10 25" xfId="5581" xr:uid="{00000000-0005-0000-0000-0000BB150000}"/>
    <cellStyle name="Normal 10 26" xfId="5582" xr:uid="{00000000-0005-0000-0000-0000BC150000}"/>
    <cellStyle name="Normal 10 27" xfId="5583" xr:uid="{00000000-0005-0000-0000-0000BD150000}"/>
    <cellStyle name="Normal 10 28" xfId="5584" xr:uid="{00000000-0005-0000-0000-0000BE150000}"/>
    <cellStyle name="Normal 10 29" xfId="5585" xr:uid="{00000000-0005-0000-0000-0000BF150000}"/>
    <cellStyle name="Normal 10 3" xfId="5586" xr:uid="{00000000-0005-0000-0000-0000C0150000}"/>
    <cellStyle name="Normal 10 3 2" xfId="5587" xr:uid="{00000000-0005-0000-0000-0000C1150000}"/>
    <cellStyle name="Normal 10 3 3" xfId="5588" xr:uid="{00000000-0005-0000-0000-0000C2150000}"/>
    <cellStyle name="Normal 10 3 4" xfId="5589" xr:uid="{00000000-0005-0000-0000-0000C3150000}"/>
    <cellStyle name="Normal 10 3 4 2" xfId="5590" xr:uid="{00000000-0005-0000-0000-0000C4150000}"/>
    <cellStyle name="Normal 10 3 4 2 2" xfId="5591" xr:uid="{00000000-0005-0000-0000-0000C5150000}"/>
    <cellStyle name="Normal 10 3 4 3" xfId="5592" xr:uid="{00000000-0005-0000-0000-0000C6150000}"/>
    <cellStyle name="Normal 10 3 5" xfId="5593" xr:uid="{00000000-0005-0000-0000-0000C7150000}"/>
    <cellStyle name="Normal 10 3 6" xfId="5594" xr:uid="{00000000-0005-0000-0000-0000C8150000}"/>
    <cellStyle name="Normal 10 3 7" xfId="5595" xr:uid="{00000000-0005-0000-0000-0000C9150000}"/>
    <cellStyle name="Normal 10 3 7 2" xfId="5596" xr:uid="{00000000-0005-0000-0000-0000CA150000}"/>
    <cellStyle name="Normal 10 3 8" xfId="5597" xr:uid="{00000000-0005-0000-0000-0000CB150000}"/>
    <cellStyle name="Normal 10 3 9" xfId="5598" xr:uid="{00000000-0005-0000-0000-0000CC150000}"/>
    <cellStyle name="Normal 10 3_Implem" xfId="5599" xr:uid="{00000000-0005-0000-0000-0000CD150000}"/>
    <cellStyle name="Normal 10 30" xfId="5600" xr:uid="{00000000-0005-0000-0000-0000CE150000}"/>
    <cellStyle name="Normal 10 31" xfId="5601" xr:uid="{00000000-0005-0000-0000-0000CF150000}"/>
    <cellStyle name="Normal 10 4" xfId="5602" xr:uid="{00000000-0005-0000-0000-0000D0150000}"/>
    <cellStyle name="Normal 10 5" xfId="5603" xr:uid="{00000000-0005-0000-0000-0000D1150000}"/>
    <cellStyle name="Normal 10 6" xfId="5604" xr:uid="{00000000-0005-0000-0000-0000D2150000}"/>
    <cellStyle name="Normal 10 7" xfId="5605" xr:uid="{00000000-0005-0000-0000-0000D3150000}"/>
    <cellStyle name="Normal 10 8" xfId="5606" xr:uid="{00000000-0005-0000-0000-0000D4150000}"/>
    <cellStyle name="Normal 10 9" xfId="5607" xr:uid="{00000000-0005-0000-0000-0000D5150000}"/>
    <cellStyle name="Normal 100" xfId="5608" xr:uid="{00000000-0005-0000-0000-0000D6150000}"/>
    <cellStyle name="Normal 100 2" xfId="5609" xr:uid="{00000000-0005-0000-0000-0000D7150000}"/>
    <cellStyle name="Normal 100 3" xfId="5610" xr:uid="{00000000-0005-0000-0000-0000D8150000}"/>
    <cellStyle name="Normal 101" xfId="5611" xr:uid="{00000000-0005-0000-0000-0000D9150000}"/>
    <cellStyle name="Normal 101 2" xfId="5612" xr:uid="{00000000-0005-0000-0000-0000DA150000}"/>
    <cellStyle name="Normal 101 3" xfId="5613" xr:uid="{00000000-0005-0000-0000-0000DB150000}"/>
    <cellStyle name="Normal 102" xfId="5614" xr:uid="{00000000-0005-0000-0000-0000DC150000}"/>
    <cellStyle name="Normal 102 2" xfId="5615" xr:uid="{00000000-0005-0000-0000-0000DD150000}"/>
    <cellStyle name="Normal 102 3" xfId="5616" xr:uid="{00000000-0005-0000-0000-0000DE150000}"/>
    <cellStyle name="Normal 103" xfId="5617" xr:uid="{00000000-0005-0000-0000-0000DF150000}"/>
    <cellStyle name="Normal 103 2" xfId="5618" xr:uid="{00000000-0005-0000-0000-0000E0150000}"/>
    <cellStyle name="Normal 104" xfId="5619" xr:uid="{00000000-0005-0000-0000-0000E1150000}"/>
    <cellStyle name="Normal 104 2" xfId="5620" xr:uid="{00000000-0005-0000-0000-0000E2150000}"/>
    <cellStyle name="Normal 105" xfId="5621" xr:uid="{00000000-0005-0000-0000-0000E3150000}"/>
    <cellStyle name="Normal 105 2" xfId="5622" xr:uid="{00000000-0005-0000-0000-0000E4150000}"/>
    <cellStyle name="Normal 106" xfId="5623" xr:uid="{00000000-0005-0000-0000-0000E5150000}"/>
    <cellStyle name="Normal 106 2" xfId="5624" xr:uid="{00000000-0005-0000-0000-0000E6150000}"/>
    <cellStyle name="Normal 107" xfId="5625" xr:uid="{00000000-0005-0000-0000-0000E7150000}"/>
    <cellStyle name="Normal 107 2" xfId="5626" xr:uid="{00000000-0005-0000-0000-0000E8150000}"/>
    <cellStyle name="Normal 108" xfId="5627" xr:uid="{00000000-0005-0000-0000-0000E9150000}"/>
    <cellStyle name="Normal 108 2" xfId="5628" xr:uid="{00000000-0005-0000-0000-0000EA150000}"/>
    <cellStyle name="Normal 109" xfId="5629" xr:uid="{00000000-0005-0000-0000-0000EB150000}"/>
    <cellStyle name="Normal 109 2" xfId="5630" xr:uid="{00000000-0005-0000-0000-0000EC150000}"/>
    <cellStyle name="Normal 11" xfId="5631" xr:uid="{00000000-0005-0000-0000-0000ED150000}"/>
    <cellStyle name="Normal 11 10" xfId="5632" xr:uid="{00000000-0005-0000-0000-0000EE150000}"/>
    <cellStyle name="Normal 11 11" xfId="5633" xr:uid="{00000000-0005-0000-0000-0000EF150000}"/>
    <cellStyle name="Normal 11 12" xfId="5634" xr:uid="{00000000-0005-0000-0000-0000F0150000}"/>
    <cellStyle name="Normal 11 13" xfId="5635" xr:uid="{00000000-0005-0000-0000-0000F1150000}"/>
    <cellStyle name="Normal 11 14" xfId="5636" xr:uid="{00000000-0005-0000-0000-0000F2150000}"/>
    <cellStyle name="Normal 11 15" xfId="5637" xr:uid="{00000000-0005-0000-0000-0000F3150000}"/>
    <cellStyle name="Normal 11 16" xfId="5638" xr:uid="{00000000-0005-0000-0000-0000F4150000}"/>
    <cellStyle name="Normal 11 17" xfId="5639" xr:uid="{00000000-0005-0000-0000-0000F5150000}"/>
    <cellStyle name="Normal 11 18" xfId="5640" xr:uid="{00000000-0005-0000-0000-0000F6150000}"/>
    <cellStyle name="Normal 11 19" xfId="5641" xr:uid="{00000000-0005-0000-0000-0000F7150000}"/>
    <cellStyle name="Normal 11 2" xfId="5642" xr:uid="{00000000-0005-0000-0000-0000F8150000}"/>
    <cellStyle name="Normal 11 2 2" xfId="5643" xr:uid="{00000000-0005-0000-0000-0000F9150000}"/>
    <cellStyle name="Normal 11 2 3" xfId="5644" xr:uid="{00000000-0005-0000-0000-0000FA150000}"/>
    <cellStyle name="Normal 11 20" xfId="5645" xr:uid="{00000000-0005-0000-0000-0000FB150000}"/>
    <cellStyle name="Normal 11 21" xfId="5646" xr:uid="{00000000-0005-0000-0000-0000FC150000}"/>
    <cellStyle name="Normal 11 22" xfId="5647" xr:uid="{00000000-0005-0000-0000-0000FD150000}"/>
    <cellStyle name="Normal 11 23" xfId="5648" xr:uid="{00000000-0005-0000-0000-0000FE150000}"/>
    <cellStyle name="Normal 11 24" xfId="5649" xr:uid="{00000000-0005-0000-0000-0000FF150000}"/>
    <cellStyle name="Normal 11 25" xfId="5650" xr:uid="{00000000-0005-0000-0000-000000160000}"/>
    <cellStyle name="Normal 11 3" xfId="5651" xr:uid="{00000000-0005-0000-0000-000001160000}"/>
    <cellStyle name="Normal 11 3 2" xfId="5652" xr:uid="{00000000-0005-0000-0000-000002160000}"/>
    <cellStyle name="Normal 11 3 3" xfId="5653" xr:uid="{00000000-0005-0000-0000-000003160000}"/>
    <cellStyle name="Normal 11 4" xfId="5654" xr:uid="{00000000-0005-0000-0000-000004160000}"/>
    <cellStyle name="Normal 11 5" xfId="5655" xr:uid="{00000000-0005-0000-0000-000005160000}"/>
    <cellStyle name="Normal 11 6" xfId="5656" xr:uid="{00000000-0005-0000-0000-000006160000}"/>
    <cellStyle name="Normal 11 7" xfId="5657" xr:uid="{00000000-0005-0000-0000-000007160000}"/>
    <cellStyle name="Normal 11 8" xfId="5658" xr:uid="{00000000-0005-0000-0000-000008160000}"/>
    <cellStyle name="Normal 11 9" xfId="5659" xr:uid="{00000000-0005-0000-0000-000009160000}"/>
    <cellStyle name="Normal 110" xfId="5660" xr:uid="{00000000-0005-0000-0000-00000A160000}"/>
    <cellStyle name="Normal 110 2" xfId="5661" xr:uid="{00000000-0005-0000-0000-00000B160000}"/>
    <cellStyle name="Normal 111" xfId="5662" xr:uid="{00000000-0005-0000-0000-00000C160000}"/>
    <cellStyle name="Normal 111 2" xfId="5663" xr:uid="{00000000-0005-0000-0000-00000D160000}"/>
    <cellStyle name="Normal 112" xfId="5664" xr:uid="{00000000-0005-0000-0000-00000E160000}"/>
    <cellStyle name="Normal 112 2" xfId="5665" xr:uid="{00000000-0005-0000-0000-00000F160000}"/>
    <cellStyle name="Normal 113" xfId="5666" xr:uid="{00000000-0005-0000-0000-000010160000}"/>
    <cellStyle name="Normal 113 2" xfId="5667" xr:uid="{00000000-0005-0000-0000-000011160000}"/>
    <cellStyle name="Normal 114" xfId="5668" xr:uid="{00000000-0005-0000-0000-000012160000}"/>
    <cellStyle name="Normal 114 2" xfId="5669" xr:uid="{00000000-0005-0000-0000-000013160000}"/>
    <cellStyle name="Normal 115" xfId="5670" xr:uid="{00000000-0005-0000-0000-000014160000}"/>
    <cellStyle name="Normal 115 2" xfId="5671" xr:uid="{00000000-0005-0000-0000-000015160000}"/>
    <cellStyle name="Normal 116" xfId="5672" xr:uid="{00000000-0005-0000-0000-000016160000}"/>
    <cellStyle name="Normal 116 2" xfId="5673" xr:uid="{00000000-0005-0000-0000-000017160000}"/>
    <cellStyle name="Normal 117" xfId="5674" xr:uid="{00000000-0005-0000-0000-000018160000}"/>
    <cellStyle name="Normal 117 2" xfId="5675" xr:uid="{00000000-0005-0000-0000-000019160000}"/>
    <cellStyle name="Normal 118" xfId="5676" xr:uid="{00000000-0005-0000-0000-00001A160000}"/>
    <cellStyle name="Normal 118 2" xfId="5677" xr:uid="{00000000-0005-0000-0000-00001B160000}"/>
    <cellStyle name="Normal 119" xfId="5678" xr:uid="{00000000-0005-0000-0000-00001C160000}"/>
    <cellStyle name="Normal 119 2" xfId="5679" xr:uid="{00000000-0005-0000-0000-00001D160000}"/>
    <cellStyle name="Normal 12" xfId="5680" xr:uid="{00000000-0005-0000-0000-00001E160000}"/>
    <cellStyle name="Normal 12 10" xfId="5681" xr:uid="{00000000-0005-0000-0000-00001F160000}"/>
    <cellStyle name="Normal 12 11" xfId="5682" xr:uid="{00000000-0005-0000-0000-000020160000}"/>
    <cellStyle name="Normal 12 12" xfId="5683" xr:uid="{00000000-0005-0000-0000-000021160000}"/>
    <cellStyle name="Normal 12 13" xfId="5684" xr:uid="{00000000-0005-0000-0000-000022160000}"/>
    <cellStyle name="Normal 12 14" xfId="5685" xr:uid="{00000000-0005-0000-0000-000023160000}"/>
    <cellStyle name="Normal 12 15" xfId="5686" xr:uid="{00000000-0005-0000-0000-000024160000}"/>
    <cellStyle name="Normal 12 16" xfId="5687" xr:uid="{00000000-0005-0000-0000-000025160000}"/>
    <cellStyle name="Normal 12 17" xfId="5688" xr:uid="{00000000-0005-0000-0000-000026160000}"/>
    <cellStyle name="Normal 12 18" xfId="5689" xr:uid="{00000000-0005-0000-0000-000027160000}"/>
    <cellStyle name="Normal 12 19" xfId="5690" xr:uid="{00000000-0005-0000-0000-000028160000}"/>
    <cellStyle name="Normal 12 2" xfId="5691" xr:uid="{00000000-0005-0000-0000-000029160000}"/>
    <cellStyle name="Normal 12 2 2" xfId="5692" xr:uid="{00000000-0005-0000-0000-00002A160000}"/>
    <cellStyle name="Normal 12 2 3" xfId="5693" xr:uid="{00000000-0005-0000-0000-00002B160000}"/>
    <cellStyle name="Normal 12 20" xfId="5694" xr:uid="{00000000-0005-0000-0000-00002C160000}"/>
    <cellStyle name="Normal 12 21" xfId="5695" xr:uid="{00000000-0005-0000-0000-00002D160000}"/>
    <cellStyle name="Normal 12 22" xfId="5696" xr:uid="{00000000-0005-0000-0000-00002E160000}"/>
    <cellStyle name="Normal 12 23" xfId="5697" xr:uid="{00000000-0005-0000-0000-00002F160000}"/>
    <cellStyle name="Normal 12 24" xfId="5698" xr:uid="{00000000-0005-0000-0000-000030160000}"/>
    <cellStyle name="Normal 12 25" xfId="5699" xr:uid="{00000000-0005-0000-0000-000031160000}"/>
    <cellStyle name="Normal 12 3" xfId="5700" xr:uid="{00000000-0005-0000-0000-000032160000}"/>
    <cellStyle name="Normal 12 3 2" xfId="5701" xr:uid="{00000000-0005-0000-0000-000033160000}"/>
    <cellStyle name="Normal 12 3 3" xfId="5702" xr:uid="{00000000-0005-0000-0000-000034160000}"/>
    <cellStyle name="Normal 12 4" xfId="5703" xr:uid="{00000000-0005-0000-0000-000035160000}"/>
    <cellStyle name="Normal 12 5" xfId="5704" xr:uid="{00000000-0005-0000-0000-000036160000}"/>
    <cellStyle name="Normal 12 6" xfId="5705" xr:uid="{00000000-0005-0000-0000-000037160000}"/>
    <cellStyle name="Normal 12 7" xfId="5706" xr:uid="{00000000-0005-0000-0000-000038160000}"/>
    <cellStyle name="Normal 12 8" xfId="5707" xr:uid="{00000000-0005-0000-0000-000039160000}"/>
    <cellStyle name="Normal 12 9" xfId="5708" xr:uid="{00000000-0005-0000-0000-00003A160000}"/>
    <cellStyle name="Normal 120" xfId="5709" xr:uid="{00000000-0005-0000-0000-00003B160000}"/>
    <cellStyle name="Normal 120 2" xfId="5710" xr:uid="{00000000-0005-0000-0000-00003C160000}"/>
    <cellStyle name="Normal 121" xfId="5711" xr:uid="{00000000-0005-0000-0000-00003D160000}"/>
    <cellStyle name="Normal 121 2" xfId="5712" xr:uid="{00000000-0005-0000-0000-00003E160000}"/>
    <cellStyle name="Normal 122" xfId="5713" xr:uid="{00000000-0005-0000-0000-00003F160000}"/>
    <cellStyle name="Normal 122 2" xfId="5714" xr:uid="{00000000-0005-0000-0000-000040160000}"/>
    <cellStyle name="Normal 123" xfId="5715" xr:uid="{00000000-0005-0000-0000-000041160000}"/>
    <cellStyle name="Normal 123 2" xfId="5716" xr:uid="{00000000-0005-0000-0000-000042160000}"/>
    <cellStyle name="Normal 124" xfId="5717" xr:uid="{00000000-0005-0000-0000-000043160000}"/>
    <cellStyle name="Normal 124 2" xfId="5718" xr:uid="{00000000-0005-0000-0000-000044160000}"/>
    <cellStyle name="Normal 125" xfId="5719" xr:uid="{00000000-0005-0000-0000-000045160000}"/>
    <cellStyle name="Normal 125 2" xfId="5720" xr:uid="{00000000-0005-0000-0000-000046160000}"/>
    <cellStyle name="Normal 126" xfId="5721" xr:uid="{00000000-0005-0000-0000-000047160000}"/>
    <cellStyle name="Normal 126 2" xfId="5722" xr:uid="{00000000-0005-0000-0000-000048160000}"/>
    <cellStyle name="Normal 127" xfId="5723" xr:uid="{00000000-0005-0000-0000-000049160000}"/>
    <cellStyle name="Normal 127 2" xfId="5724" xr:uid="{00000000-0005-0000-0000-00004A160000}"/>
    <cellStyle name="Normal 128" xfId="5725" xr:uid="{00000000-0005-0000-0000-00004B160000}"/>
    <cellStyle name="Normal 128 2" xfId="5726" xr:uid="{00000000-0005-0000-0000-00004C160000}"/>
    <cellStyle name="Normal 129" xfId="5727" xr:uid="{00000000-0005-0000-0000-00004D160000}"/>
    <cellStyle name="Normal 129 2" xfId="5728" xr:uid="{00000000-0005-0000-0000-00004E160000}"/>
    <cellStyle name="Normal 13" xfId="5729" xr:uid="{00000000-0005-0000-0000-00004F160000}"/>
    <cellStyle name="Normal 13 10" xfId="5730" xr:uid="{00000000-0005-0000-0000-000050160000}"/>
    <cellStyle name="Normal 13 11" xfId="5731" xr:uid="{00000000-0005-0000-0000-000051160000}"/>
    <cellStyle name="Normal 13 12" xfId="5732" xr:uid="{00000000-0005-0000-0000-000052160000}"/>
    <cellStyle name="Normal 13 13" xfId="5733" xr:uid="{00000000-0005-0000-0000-000053160000}"/>
    <cellStyle name="Normal 13 14" xfId="5734" xr:uid="{00000000-0005-0000-0000-000054160000}"/>
    <cellStyle name="Normal 13 15" xfId="5735" xr:uid="{00000000-0005-0000-0000-000055160000}"/>
    <cellStyle name="Normal 13 16" xfId="5736" xr:uid="{00000000-0005-0000-0000-000056160000}"/>
    <cellStyle name="Normal 13 17" xfId="5737" xr:uid="{00000000-0005-0000-0000-000057160000}"/>
    <cellStyle name="Normal 13 18" xfId="5738" xr:uid="{00000000-0005-0000-0000-000058160000}"/>
    <cellStyle name="Normal 13 19" xfId="5739" xr:uid="{00000000-0005-0000-0000-000059160000}"/>
    <cellStyle name="Normal 13 2" xfId="5740" xr:uid="{00000000-0005-0000-0000-00005A160000}"/>
    <cellStyle name="Normal 13 2 2" xfId="5741" xr:uid="{00000000-0005-0000-0000-00005B160000}"/>
    <cellStyle name="Normal 13 2 3" xfId="5742" xr:uid="{00000000-0005-0000-0000-00005C160000}"/>
    <cellStyle name="Normal 13 20" xfId="5743" xr:uid="{00000000-0005-0000-0000-00005D160000}"/>
    <cellStyle name="Normal 13 21" xfId="5744" xr:uid="{00000000-0005-0000-0000-00005E160000}"/>
    <cellStyle name="Normal 13 22" xfId="5745" xr:uid="{00000000-0005-0000-0000-00005F160000}"/>
    <cellStyle name="Normal 13 23" xfId="5746" xr:uid="{00000000-0005-0000-0000-000060160000}"/>
    <cellStyle name="Normal 13 24" xfId="5747" xr:uid="{00000000-0005-0000-0000-000061160000}"/>
    <cellStyle name="Normal 13 25" xfId="5748" xr:uid="{00000000-0005-0000-0000-000062160000}"/>
    <cellStyle name="Normal 13 26" xfId="5749" xr:uid="{00000000-0005-0000-0000-000063160000}"/>
    <cellStyle name="Normal 13 3" xfId="5750" xr:uid="{00000000-0005-0000-0000-000064160000}"/>
    <cellStyle name="Normal 13 3 2" xfId="5751" xr:uid="{00000000-0005-0000-0000-000065160000}"/>
    <cellStyle name="Normal 13 3 3" xfId="5752" xr:uid="{00000000-0005-0000-0000-000066160000}"/>
    <cellStyle name="Normal 13 4" xfId="5753" xr:uid="{00000000-0005-0000-0000-000067160000}"/>
    <cellStyle name="Normal 13 5" xfId="5754" xr:uid="{00000000-0005-0000-0000-000068160000}"/>
    <cellStyle name="Normal 13 6" xfId="5755" xr:uid="{00000000-0005-0000-0000-000069160000}"/>
    <cellStyle name="Normal 13 7" xfId="5756" xr:uid="{00000000-0005-0000-0000-00006A160000}"/>
    <cellStyle name="Normal 13 8" xfId="5757" xr:uid="{00000000-0005-0000-0000-00006B160000}"/>
    <cellStyle name="Normal 13 9" xfId="5758" xr:uid="{00000000-0005-0000-0000-00006C160000}"/>
    <cellStyle name="Normal 130" xfId="5759" xr:uid="{00000000-0005-0000-0000-00006D160000}"/>
    <cellStyle name="Normal 130 2" xfId="5760" xr:uid="{00000000-0005-0000-0000-00006E160000}"/>
    <cellStyle name="Normal 131" xfId="5761" xr:uid="{00000000-0005-0000-0000-00006F160000}"/>
    <cellStyle name="Normal 131 2" xfId="5762" xr:uid="{00000000-0005-0000-0000-000070160000}"/>
    <cellStyle name="Normal 132" xfId="5763" xr:uid="{00000000-0005-0000-0000-000071160000}"/>
    <cellStyle name="Normal 132 2" xfId="5764" xr:uid="{00000000-0005-0000-0000-000072160000}"/>
    <cellStyle name="Normal 133" xfId="5765" xr:uid="{00000000-0005-0000-0000-000073160000}"/>
    <cellStyle name="Normal 133 2" xfId="5766" xr:uid="{00000000-0005-0000-0000-000074160000}"/>
    <cellStyle name="Normal 134" xfId="5767" xr:uid="{00000000-0005-0000-0000-000075160000}"/>
    <cellStyle name="Normal 134 2" xfId="5768" xr:uid="{00000000-0005-0000-0000-000076160000}"/>
    <cellStyle name="Normal 135" xfId="5769" xr:uid="{00000000-0005-0000-0000-000077160000}"/>
    <cellStyle name="Normal 135 2" xfId="5770" xr:uid="{00000000-0005-0000-0000-000078160000}"/>
    <cellStyle name="Normal 136" xfId="5771" xr:uid="{00000000-0005-0000-0000-000079160000}"/>
    <cellStyle name="Normal 136 2" xfId="5772" xr:uid="{00000000-0005-0000-0000-00007A160000}"/>
    <cellStyle name="Normal 137" xfId="5773" xr:uid="{00000000-0005-0000-0000-00007B160000}"/>
    <cellStyle name="Normal 137 2" xfId="5774" xr:uid="{00000000-0005-0000-0000-00007C160000}"/>
    <cellStyle name="Normal 138" xfId="5775" xr:uid="{00000000-0005-0000-0000-00007D160000}"/>
    <cellStyle name="Normal 138 2" xfId="5776" xr:uid="{00000000-0005-0000-0000-00007E160000}"/>
    <cellStyle name="Normal 139" xfId="5777" xr:uid="{00000000-0005-0000-0000-00007F160000}"/>
    <cellStyle name="Normal 139 2" xfId="5778" xr:uid="{00000000-0005-0000-0000-000080160000}"/>
    <cellStyle name="Normal 14" xfId="5779" xr:uid="{00000000-0005-0000-0000-000081160000}"/>
    <cellStyle name="Normal 14 2" xfId="5780" xr:uid="{00000000-0005-0000-0000-000082160000}"/>
    <cellStyle name="Normal 14 3" xfId="5781" xr:uid="{00000000-0005-0000-0000-000083160000}"/>
    <cellStyle name="Normal 14 3 2" xfId="5782" xr:uid="{00000000-0005-0000-0000-000084160000}"/>
    <cellStyle name="Normal 14 4" xfId="5783" xr:uid="{00000000-0005-0000-0000-000085160000}"/>
    <cellStyle name="Normal 14 5" xfId="5784" xr:uid="{00000000-0005-0000-0000-000086160000}"/>
    <cellStyle name="Normal 140" xfId="5785" xr:uid="{00000000-0005-0000-0000-000087160000}"/>
    <cellStyle name="Normal 140 2" xfId="5786" xr:uid="{00000000-0005-0000-0000-000088160000}"/>
    <cellStyle name="Normal 141" xfId="5787" xr:uid="{00000000-0005-0000-0000-000089160000}"/>
    <cellStyle name="Normal 141 2" xfId="5788" xr:uid="{00000000-0005-0000-0000-00008A160000}"/>
    <cellStyle name="Normal 142" xfId="5789" xr:uid="{00000000-0005-0000-0000-00008B160000}"/>
    <cellStyle name="Normal 142 2" xfId="5790" xr:uid="{00000000-0005-0000-0000-00008C160000}"/>
    <cellStyle name="Normal 143" xfId="5791" xr:uid="{00000000-0005-0000-0000-00008D160000}"/>
    <cellStyle name="Normal 143 2" xfId="5792" xr:uid="{00000000-0005-0000-0000-00008E160000}"/>
    <cellStyle name="Normal 144" xfId="5793" xr:uid="{00000000-0005-0000-0000-00008F160000}"/>
    <cellStyle name="Normal 144 2" xfId="5794" xr:uid="{00000000-0005-0000-0000-000090160000}"/>
    <cellStyle name="Normal 145" xfId="5795" xr:uid="{00000000-0005-0000-0000-000091160000}"/>
    <cellStyle name="Normal 145 2" xfId="5796" xr:uid="{00000000-0005-0000-0000-000092160000}"/>
    <cellStyle name="Normal 146" xfId="5797" xr:uid="{00000000-0005-0000-0000-000093160000}"/>
    <cellStyle name="Normal 146 2" xfId="5798" xr:uid="{00000000-0005-0000-0000-000094160000}"/>
    <cellStyle name="Normal 147" xfId="5799" xr:uid="{00000000-0005-0000-0000-000095160000}"/>
    <cellStyle name="Normal 147 2" xfId="5800" xr:uid="{00000000-0005-0000-0000-000096160000}"/>
    <cellStyle name="Normal 148" xfId="5801" xr:uid="{00000000-0005-0000-0000-000097160000}"/>
    <cellStyle name="Normal 148 2" xfId="5802" xr:uid="{00000000-0005-0000-0000-000098160000}"/>
    <cellStyle name="Normal 149" xfId="5803" xr:uid="{00000000-0005-0000-0000-000099160000}"/>
    <cellStyle name="Normal 149 2" xfId="5804" xr:uid="{00000000-0005-0000-0000-00009A160000}"/>
    <cellStyle name="Normal 15" xfId="8" xr:uid="{00000000-0005-0000-0000-00009B160000}"/>
    <cellStyle name="Normal 15 10" xfId="5805" xr:uid="{00000000-0005-0000-0000-00009C160000}"/>
    <cellStyle name="Normal 15 11" xfId="5806" xr:uid="{00000000-0005-0000-0000-00009D160000}"/>
    <cellStyle name="Normal 15 12" xfId="5807" xr:uid="{00000000-0005-0000-0000-00009E160000}"/>
    <cellStyle name="Normal 15 13" xfId="5808" xr:uid="{00000000-0005-0000-0000-00009F160000}"/>
    <cellStyle name="Normal 15 14" xfId="5809" xr:uid="{00000000-0005-0000-0000-0000A0160000}"/>
    <cellStyle name="Normal 15 15" xfId="5810" xr:uid="{00000000-0005-0000-0000-0000A1160000}"/>
    <cellStyle name="Normal 15 16" xfId="5811" xr:uid="{00000000-0005-0000-0000-0000A2160000}"/>
    <cellStyle name="Normal 15 17" xfId="5812" xr:uid="{00000000-0005-0000-0000-0000A3160000}"/>
    <cellStyle name="Normal 15 18" xfId="5813" xr:uid="{00000000-0005-0000-0000-0000A4160000}"/>
    <cellStyle name="Normal 15 19" xfId="5814" xr:uid="{00000000-0005-0000-0000-0000A5160000}"/>
    <cellStyle name="Normal 15 2" xfId="5815" xr:uid="{00000000-0005-0000-0000-0000A6160000}"/>
    <cellStyle name="Normal 15 2 2" xfId="5816" xr:uid="{00000000-0005-0000-0000-0000A7160000}"/>
    <cellStyle name="Normal 15 2 3" xfId="5817" xr:uid="{00000000-0005-0000-0000-0000A8160000}"/>
    <cellStyle name="Normal 15 20" xfId="5818" xr:uid="{00000000-0005-0000-0000-0000A9160000}"/>
    <cellStyle name="Normal 15 21" xfId="5819" xr:uid="{00000000-0005-0000-0000-0000AA160000}"/>
    <cellStyle name="Normal 15 22" xfId="5820" xr:uid="{00000000-0005-0000-0000-0000AB160000}"/>
    <cellStyle name="Normal 15 23" xfId="5821" xr:uid="{00000000-0005-0000-0000-0000AC160000}"/>
    <cellStyle name="Normal 15 24" xfId="5822" xr:uid="{00000000-0005-0000-0000-0000AD160000}"/>
    <cellStyle name="Normal 15 25" xfId="5823" xr:uid="{00000000-0005-0000-0000-0000AE160000}"/>
    <cellStyle name="Normal 15 3" xfId="5824" xr:uid="{00000000-0005-0000-0000-0000AF160000}"/>
    <cellStyle name="Normal 15 3 2" xfId="5825" xr:uid="{00000000-0005-0000-0000-0000B0160000}"/>
    <cellStyle name="Normal 15 3 3" xfId="5826" xr:uid="{00000000-0005-0000-0000-0000B1160000}"/>
    <cellStyle name="Normal 15 4" xfId="5827" xr:uid="{00000000-0005-0000-0000-0000B2160000}"/>
    <cellStyle name="Normal 15 5" xfId="5828" xr:uid="{00000000-0005-0000-0000-0000B3160000}"/>
    <cellStyle name="Normal 15 6" xfId="5829" xr:uid="{00000000-0005-0000-0000-0000B4160000}"/>
    <cellStyle name="Normal 15 7" xfId="5830" xr:uid="{00000000-0005-0000-0000-0000B5160000}"/>
    <cellStyle name="Normal 15 8" xfId="5831" xr:uid="{00000000-0005-0000-0000-0000B6160000}"/>
    <cellStyle name="Normal 15 9" xfId="5832" xr:uid="{00000000-0005-0000-0000-0000B7160000}"/>
    <cellStyle name="Normal 150" xfId="5833" xr:uid="{00000000-0005-0000-0000-0000B8160000}"/>
    <cellStyle name="Normal 150 2" xfId="5834" xr:uid="{00000000-0005-0000-0000-0000B9160000}"/>
    <cellStyle name="Normal 151" xfId="5835" xr:uid="{00000000-0005-0000-0000-0000BA160000}"/>
    <cellStyle name="Normal 151 2" xfId="5836" xr:uid="{00000000-0005-0000-0000-0000BB160000}"/>
    <cellStyle name="Normal 152" xfId="5837" xr:uid="{00000000-0005-0000-0000-0000BC160000}"/>
    <cellStyle name="Normal 152 2" xfId="5838" xr:uid="{00000000-0005-0000-0000-0000BD160000}"/>
    <cellStyle name="Normal 153" xfId="5839" xr:uid="{00000000-0005-0000-0000-0000BE160000}"/>
    <cellStyle name="Normal 153 2" xfId="5840" xr:uid="{00000000-0005-0000-0000-0000BF160000}"/>
    <cellStyle name="Normal 154" xfId="5841" xr:uid="{00000000-0005-0000-0000-0000C0160000}"/>
    <cellStyle name="Normal 154 2" xfId="5842" xr:uid="{00000000-0005-0000-0000-0000C1160000}"/>
    <cellStyle name="Normal 155" xfId="5843" xr:uid="{00000000-0005-0000-0000-0000C2160000}"/>
    <cellStyle name="Normal 155 2" xfId="5844" xr:uid="{00000000-0005-0000-0000-0000C3160000}"/>
    <cellStyle name="Normal 156" xfId="5845" xr:uid="{00000000-0005-0000-0000-0000C4160000}"/>
    <cellStyle name="Normal 156 2" xfId="5846" xr:uid="{00000000-0005-0000-0000-0000C5160000}"/>
    <cellStyle name="Normal 157" xfId="5847" xr:uid="{00000000-0005-0000-0000-0000C6160000}"/>
    <cellStyle name="Normal 157 2" xfId="5848" xr:uid="{00000000-0005-0000-0000-0000C7160000}"/>
    <cellStyle name="Normal 158" xfId="5849" xr:uid="{00000000-0005-0000-0000-0000C8160000}"/>
    <cellStyle name="Normal 158 2" xfId="5850" xr:uid="{00000000-0005-0000-0000-0000C9160000}"/>
    <cellStyle name="Normal 159" xfId="5851" xr:uid="{00000000-0005-0000-0000-0000CA160000}"/>
    <cellStyle name="Normal 159 2" xfId="5852" xr:uid="{00000000-0005-0000-0000-0000CB160000}"/>
    <cellStyle name="Normal 16" xfId="5853" xr:uid="{00000000-0005-0000-0000-0000CC160000}"/>
    <cellStyle name="Normal 16 10" xfId="5854" xr:uid="{00000000-0005-0000-0000-0000CD160000}"/>
    <cellStyle name="Normal 16 11" xfId="5855" xr:uid="{00000000-0005-0000-0000-0000CE160000}"/>
    <cellStyle name="Normal 16 12" xfId="5856" xr:uid="{00000000-0005-0000-0000-0000CF160000}"/>
    <cellStyle name="Normal 16 13" xfId="5857" xr:uid="{00000000-0005-0000-0000-0000D0160000}"/>
    <cellStyle name="Normal 16 14" xfId="5858" xr:uid="{00000000-0005-0000-0000-0000D1160000}"/>
    <cellStyle name="Normal 16 15" xfId="5859" xr:uid="{00000000-0005-0000-0000-0000D2160000}"/>
    <cellStyle name="Normal 16 16" xfId="5860" xr:uid="{00000000-0005-0000-0000-0000D3160000}"/>
    <cellStyle name="Normal 16 17" xfId="5861" xr:uid="{00000000-0005-0000-0000-0000D4160000}"/>
    <cellStyle name="Normal 16 18" xfId="5862" xr:uid="{00000000-0005-0000-0000-0000D5160000}"/>
    <cellStyle name="Normal 16 19" xfId="5863" xr:uid="{00000000-0005-0000-0000-0000D6160000}"/>
    <cellStyle name="Normal 16 2" xfId="5864" xr:uid="{00000000-0005-0000-0000-0000D7160000}"/>
    <cellStyle name="Normal 16 2 2" xfId="5865" xr:uid="{00000000-0005-0000-0000-0000D8160000}"/>
    <cellStyle name="Normal 16 2 3" xfId="5866" xr:uid="{00000000-0005-0000-0000-0000D9160000}"/>
    <cellStyle name="Normal 16 20" xfId="5867" xr:uid="{00000000-0005-0000-0000-0000DA160000}"/>
    <cellStyle name="Normal 16 21" xfId="5868" xr:uid="{00000000-0005-0000-0000-0000DB160000}"/>
    <cellStyle name="Normal 16 22" xfId="5869" xr:uid="{00000000-0005-0000-0000-0000DC160000}"/>
    <cellStyle name="Normal 16 23" xfId="5870" xr:uid="{00000000-0005-0000-0000-0000DD160000}"/>
    <cellStyle name="Normal 16 24" xfId="5871" xr:uid="{00000000-0005-0000-0000-0000DE160000}"/>
    <cellStyle name="Normal 16 25" xfId="5872" xr:uid="{00000000-0005-0000-0000-0000DF160000}"/>
    <cellStyle name="Normal 16 26" xfId="5873" xr:uid="{00000000-0005-0000-0000-0000E0160000}"/>
    <cellStyle name="Normal 16 3" xfId="5874" xr:uid="{00000000-0005-0000-0000-0000E1160000}"/>
    <cellStyle name="Normal 16 3 2" xfId="5875" xr:uid="{00000000-0005-0000-0000-0000E2160000}"/>
    <cellStyle name="Normal 16 3 3" xfId="5876" xr:uid="{00000000-0005-0000-0000-0000E3160000}"/>
    <cellStyle name="Normal 16 4" xfId="5877" xr:uid="{00000000-0005-0000-0000-0000E4160000}"/>
    <cellStyle name="Normal 16 5" xfId="5878" xr:uid="{00000000-0005-0000-0000-0000E5160000}"/>
    <cellStyle name="Normal 16 6" xfId="5879" xr:uid="{00000000-0005-0000-0000-0000E6160000}"/>
    <cellStyle name="Normal 16 7" xfId="5880" xr:uid="{00000000-0005-0000-0000-0000E7160000}"/>
    <cellStyle name="Normal 16 8" xfId="5881" xr:uid="{00000000-0005-0000-0000-0000E8160000}"/>
    <cellStyle name="Normal 16 9" xfId="5882" xr:uid="{00000000-0005-0000-0000-0000E9160000}"/>
    <cellStyle name="Normal 160" xfId="5883" xr:uid="{00000000-0005-0000-0000-0000EA160000}"/>
    <cellStyle name="Normal 160 2" xfId="5884" xr:uid="{00000000-0005-0000-0000-0000EB160000}"/>
    <cellStyle name="Normal 161" xfId="5885" xr:uid="{00000000-0005-0000-0000-0000EC160000}"/>
    <cellStyle name="Normal 161 2" xfId="5886" xr:uid="{00000000-0005-0000-0000-0000ED160000}"/>
    <cellStyle name="Normal 162" xfId="5887" xr:uid="{00000000-0005-0000-0000-0000EE160000}"/>
    <cellStyle name="Normal 162 2" xfId="5888" xr:uid="{00000000-0005-0000-0000-0000EF160000}"/>
    <cellStyle name="Normal 163" xfId="5889" xr:uid="{00000000-0005-0000-0000-0000F0160000}"/>
    <cellStyle name="Normal 163 2" xfId="5890" xr:uid="{00000000-0005-0000-0000-0000F1160000}"/>
    <cellStyle name="Normal 164" xfId="5891" xr:uid="{00000000-0005-0000-0000-0000F2160000}"/>
    <cellStyle name="Normal 164 2" xfId="5892" xr:uid="{00000000-0005-0000-0000-0000F3160000}"/>
    <cellStyle name="Normal 165" xfId="5893" xr:uid="{00000000-0005-0000-0000-0000F4160000}"/>
    <cellStyle name="Normal 165 2" xfId="5894" xr:uid="{00000000-0005-0000-0000-0000F5160000}"/>
    <cellStyle name="Normal 166" xfId="5895" xr:uid="{00000000-0005-0000-0000-0000F6160000}"/>
    <cellStyle name="Normal 166 2" xfId="5896" xr:uid="{00000000-0005-0000-0000-0000F7160000}"/>
    <cellStyle name="Normal 167" xfId="5897" xr:uid="{00000000-0005-0000-0000-0000F8160000}"/>
    <cellStyle name="Normal 167 2" xfId="5898" xr:uid="{00000000-0005-0000-0000-0000F9160000}"/>
    <cellStyle name="Normal 168" xfId="5899" xr:uid="{00000000-0005-0000-0000-0000FA160000}"/>
    <cellStyle name="Normal 168 2" xfId="5900" xr:uid="{00000000-0005-0000-0000-0000FB160000}"/>
    <cellStyle name="Normal 169" xfId="5901" xr:uid="{00000000-0005-0000-0000-0000FC160000}"/>
    <cellStyle name="Normal 169 2" xfId="5902" xr:uid="{00000000-0005-0000-0000-0000FD160000}"/>
    <cellStyle name="Normal 17" xfId="9" xr:uid="{00000000-0005-0000-0000-0000FE160000}"/>
    <cellStyle name="Normal 17 10" xfId="5903" xr:uid="{00000000-0005-0000-0000-0000FF160000}"/>
    <cellStyle name="Normal 17 11" xfId="5904" xr:uid="{00000000-0005-0000-0000-000000170000}"/>
    <cellStyle name="Normal 17 12" xfId="5905" xr:uid="{00000000-0005-0000-0000-000001170000}"/>
    <cellStyle name="Normal 17 13" xfId="5906" xr:uid="{00000000-0005-0000-0000-000002170000}"/>
    <cellStyle name="Normal 17 14" xfId="5907" xr:uid="{00000000-0005-0000-0000-000003170000}"/>
    <cellStyle name="Normal 17 15" xfId="5908" xr:uid="{00000000-0005-0000-0000-000004170000}"/>
    <cellStyle name="Normal 17 16" xfId="5909" xr:uid="{00000000-0005-0000-0000-000005170000}"/>
    <cellStyle name="Normal 17 17" xfId="5910" xr:uid="{00000000-0005-0000-0000-000006170000}"/>
    <cellStyle name="Normal 17 18" xfId="5911" xr:uid="{00000000-0005-0000-0000-000007170000}"/>
    <cellStyle name="Normal 17 19" xfId="5912" xr:uid="{00000000-0005-0000-0000-000008170000}"/>
    <cellStyle name="Normal 17 2" xfId="5913" xr:uid="{00000000-0005-0000-0000-000009170000}"/>
    <cellStyle name="Normal 17 2 2" xfId="5914" xr:uid="{00000000-0005-0000-0000-00000A170000}"/>
    <cellStyle name="Normal 17 2 3" xfId="5915" xr:uid="{00000000-0005-0000-0000-00000B170000}"/>
    <cellStyle name="Normal 17 20" xfId="5916" xr:uid="{00000000-0005-0000-0000-00000C170000}"/>
    <cellStyle name="Normal 17 21" xfId="5917" xr:uid="{00000000-0005-0000-0000-00000D170000}"/>
    <cellStyle name="Normal 17 22" xfId="5918" xr:uid="{00000000-0005-0000-0000-00000E170000}"/>
    <cellStyle name="Normal 17 23" xfId="5919" xr:uid="{00000000-0005-0000-0000-00000F170000}"/>
    <cellStyle name="Normal 17 24" xfId="5920" xr:uid="{00000000-0005-0000-0000-000010170000}"/>
    <cellStyle name="Normal 17 25" xfId="5921" xr:uid="{00000000-0005-0000-0000-000011170000}"/>
    <cellStyle name="Normal 17 26" xfId="5922" xr:uid="{00000000-0005-0000-0000-000012170000}"/>
    <cellStyle name="Normal 17 27" xfId="5923" xr:uid="{00000000-0005-0000-0000-000013170000}"/>
    <cellStyle name="Normal 17 28" xfId="5924" xr:uid="{00000000-0005-0000-0000-000014170000}"/>
    <cellStyle name="Normal 17 29" xfId="5925" xr:uid="{00000000-0005-0000-0000-000015170000}"/>
    <cellStyle name="Normal 17 3" xfId="5926" xr:uid="{00000000-0005-0000-0000-000016170000}"/>
    <cellStyle name="Normal 17 3 2" xfId="5927" xr:uid="{00000000-0005-0000-0000-000017170000}"/>
    <cellStyle name="Normal 17 3 3" xfId="5928" xr:uid="{00000000-0005-0000-0000-000018170000}"/>
    <cellStyle name="Normal 17 3 4" xfId="5929" xr:uid="{00000000-0005-0000-0000-000019170000}"/>
    <cellStyle name="Normal 17 3 5" xfId="5930" xr:uid="{00000000-0005-0000-0000-00001A170000}"/>
    <cellStyle name="Normal 17 4" xfId="5931" xr:uid="{00000000-0005-0000-0000-00001B170000}"/>
    <cellStyle name="Normal 17 5" xfId="5932" xr:uid="{00000000-0005-0000-0000-00001C170000}"/>
    <cellStyle name="Normal 17 6" xfId="5933" xr:uid="{00000000-0005-0000-0000-00001D170000}"/>
    <cellStyle name="Normal 17 7" xfId="5934" xr:uid="{00000000-0005-0000-0000-00001E170000}"/>
    <cellStyle name="Normal 17 8" xfId="5935" xr:uid="{00000000-0005-0000-0000-00001F170000}"/>
    <cellStyle name="Normal 17 9" xfId="5936" xr:uid="{00000000-0005-0000-0000-000020170000}"/>
    <cellStyle name="Normal 170" xfId="5937" xr:uid="{00000000-0005-0000-0000-000021170000}"/>
    <cellStyle name="Normal 171" xfId="5938" xr:uid="{00000000-0005-0000-0000-000022170000}"/>
    <cellStyle name="Normal 172" xfId="39122" xr:uid="{00000000-0005-0000-0000-000023170000}"/>
    <cellStyle name="Normal 177" xfId="39124" xr:uid="{548F9E7F-B752-4F38-9869-2F1E0A89E6AD}"/>
    <cellStyle name="Normal 18" xfId="5939" xr:uid="{00000000-0005-0000-0000-000024170000}"/>
    <cellStyle name="Normal 18 10" xfId="5940" xr:uid="{00000000-0005-0000-0000-000025170000}"/>
    <cellStyle name="Normal 18 11" xfId="5941" xr:uid="{00000000-0005-0000-0000-000026170000}"/>
    <cellStyle name="Normal 18 12" xfId="5942" xr:uid="{00000000-0005-0000-0000-000027170000}"/>
    <cellStyle name="Normal 18 13" xfId="5943" xr:uid="{00000000-0005-0000-0000-000028170000}"/>
    <cellStyle name="Normal 18 14" xfId="5944" xr:uid="{00000000-0005-0000-0000-000029170000}"/>
    <cellStyle name="Normal 18 15" xfId="5945" xr:uid="{00000000-0005-0000-0000-00002A170000}"/>
    <cellStyle name="Normal 18 16" xfId="5946" xr:uid="{00000000-0005-0000-0000-00002B170000}"/>
    <cellStyle name="Normal 18 17" xfId="5947" xr:uid="{00000000-0005-0000-0000-00002C170000}"/>
    <cellStyle name="Normal 18 18" xfId="5948" xr:uid="{00000000-0005-0000-0000-00002D170000}"/>
    <cellStyle name="Normal 18 19" xfId="5949" xr:uid="{00000000-0005-0000-0000-00002E170000}"/>
    <cellStyle name="Normal 18 2" xfId="5950" xr:uid="{00000000-0005-0000-0000-00002F170000}"/>
    <cellStyle name="Normal 18 2 2" xfId="5951" xr:uid="{00000000-0005-0000-0000-000030170000}"/>
    <cellStyle name="Normal 18 2 3" xfId="5952" xr:uid="{00000000-0005-0000-0000-000031170000}"/>
    <cellStyle name="Normal 18 20" xfId="5953" xr:uid="{00000000-0005-0000-0000-000032170000}"/>
    <cellStyle name="Normal 18 21" xfId="5954" xr:uid="{00000000-0005-0000-0000-000033170000}"/>
    <cellStyle name="Normal 18 22" xfId="5955" xr:uid="{00000000-0005-0000-0000-000034170000}"/>
    <cellStyle name="Normal 18 23" xfId="5956" xr:uid="{00000000-0005-0000-0000-000035170000}"/>
    <cellStyle name="Normal 18 24" xfId="5957" xr:uid="{00000000-0005-0000-0000-000036170000}"/>
    <cellStyle name="Normal 18 25" xfId="5958" xr:uid="{00000000-0005-0000-0000-000037170000}"/>
    <cellStyle name="Normal 18 3" xfId="5959" xr:uid="{00000000-0005-0000-0000-000038170000}"/>
    <cellStyle name="Normal 18 3 2" xfId="5960" xr:uid="{00000000-0005-0000-0000-000039170000}"/>
    <cellStyle name="Normal 18 3 3" xfId="5961" xr:uid="{00000000-0005-0000-0000-00003A170000}"/>
    <cellStyle name="Normal 18 3 4" xfId="5962" xr:uid="{00000000-0005-0000-0000-00003B170000}"/>
    <cellStyle name="Normal 18 3 5" xfId="5963" xr:uid="{00000000-0005-0000-0000-00003C170000}"/>
    <cellStyle name="Normal 18 4" xfId="5964" xr:uid="{00000000-0005-0000-0000-00003D170000}"/>
    <cellStyle name="Normal 18 5" xfId="5965" xr:uid="{00000000-0005-0000-0000-00003E170000}"/>
    <cellStyle name="Normal 18 6" xfId="5966" xr:uid="{00000000-0005-0000-0000-00003F170000}"/>
    <cellStyle name="Normal 18 7" xfId="5967" xr:uid="{00000000-0005-0000-0000-000040170000}"/>
    <cellStyle name="Normal 18 8" xfId="5968" xr:uid="{00000000-0005-0000-0000-000041170000}"/>
    <cellStyle name="Normal 18 9" xfId="5969" xr:uid="{00000000-0005-0000-0000-000042170000}"/>
    <cellStyle name="Normal 19" xfId="5970" xr:uid="{00000000-0005-0000-0000-000043170000}"/>
    <cellStyle name="Normal 19 10" xfId="5971" xr:uid="{00000000-0005-0000-0000-000044170000}"/>
    <cellStyle name="Normal 19 11" xfId="5972" xr:uid="{00000000-0005-0000-0000-000045170000}"/>
    <cellStyle name="Normal 19 12" xfId="5973" xr:uid="{00000000-0005-0000-0000-000046170000}"/>
    <cellStyle name="Normal 19 13" xfId="5974" xr:uid="{00000000-0005-0000-0000-000047170000}"/>
    <cellStyle name="Normal 19 14" xfId="5975" xr:uid="{00000000-0005-0000-0000-000048170000}"/>
    <cellStyle name="Normal 19 15" xfId="5976" xr:uid="{00000000-0005-0000-0000-000049170000}"/>
    <cellStyle name="Normal 19 16" xfId="5977" xr:uid="{00000000-0005-0000-0000-00004A170000}"/>
    <cellStyle name="Normal 19 17" xfId="5978" xr:uid="{00000000-0005-0000-0000-00004B170000}"/>
    <cellStyle name="Normal 19 18" xfId="5979" xr:uid="{00000000-0005-0000-0000-00004C170000}"/>
    <cellStyle name="Normal 19 19" xfId="5980" xr:uid="{00000000-0005-0000-0000-00004D170000}"/>
    <cellStyle name="Normal 19 2" xfId="5981" xr:uid="{00000000-0005-0000-0000-00004E170000}"/>
    <cellStyle name="Normal 19 2 2" xfId="5982" xr:uid="{00000000-0005-0000-0000-00004F170000}"/>
    <cellStyle name="Normal 19 2 3" xfId="5983" xr:uid="{00000000-0005-0000-0000-000050170000}"/>
    <cellStyle name="Normal 19 20" xfId="5984" xr:uid="{00000000-0005-0000-0000-000051170000}"/>
    <cellStyle name="Normal 19 21" xfId="5985" xr:uid="{00000000-0005-0000-0000-000052170000}"/>
    <cellStyle name="Normal 19 22" xfId="5986" xr:uid="{00000000-0005-0000-0000-000053170000}"/>
    <cellStyle name="Normal 19 23" xfId="5987" xr:uid="{00000000-0005-0000-0000-000054170000}"/>
    <cellStyle name="Normal 19 24" xfId="5988" xr:uid="{00000000-0005-0000-0000-000055170000}"/>
    <cellStyle name="Normal 19 25" xfId="5989" xr:uid="{00000000-0005-0000-0000-000056170000}"/>
    <cellStyle name="Normal 19 3" xfId="5990" xr:uid="{00000000-0005-0000-0000-000057170000}"/>
    <cellStyle name="Normal 19 3 2" xfId="5991" xr:uid="{00000000-0005-0000-0000-000058170000}"/>
    <cellStyle name="Normal 19 3 3" xfId="5992" xr:uid="{00000000-0005-0000-0000-000059170000}"/>
    <cellStyle name="Normal 19 3 4" xfId="5993" xr:uid="{00000000-0005-0000-0000-00005A170000}"/>
    <cellStyle name="Normal 19 3 5" xfId="5994" xr:uid="{00000000-0005-0000-0000-00005B170000}"/>
    <cellStyle name="Normal 19 4" xfId="5995" xr:uid="{00000000-0005-0000-0000-00005C170000}"/>
    <cellStyle name="Normal 19 5" xfId="5996" xr:uid="{00000000-0005-0000-0000-00005D170000}"/>
    <cellStyle name="Normal 19 6" xfId="5997" xr:uid="{00000000-0005-0000-0000-00005E170000}"/>
    <cellStyle name="Normal 19 7" xfId="5998" xr:uid="{00000000-0005-0000-0000-00005F170000}"/>
    <cellStyle name="Normal 19 8" xfId="5999" xr:uid="{00000000-0005-0000-0000-000060170000}"/>
    <cellStyle name="Normal 19 9" xfId="6000" xr:uid="{00000000-0005-0000-0000-000061170000}"/>
    <cellStyle name="Normal 2" xfId="10" xr:uid="{00000000-0005-0000-0000-000062170000}"/>
    <cellStyle name="Normal 2 10" xfId="11" xr:uid="{00000000-0005-0000-0000-000063170000}"/>
    <cellStyle name="Normal 2 10 10" xfId="6001" xr:uid="{00000000-0005-0000-0000-000064170000}"/>
    <cellStyle name="Normal 2 10 2" xfId="6002" xr:uid="{00000000-0005-0000-0000-000065170000}"/>
    <cellStyle name="Normal 2 10 3" xfId="6003" xr:uid="{00000000-0005-0000-0000-000066170000}"/>
    <cellStyle name="Normal 2 10 4" xfId="6004" xr:uid="{00000000-0005-0000-0000-000067170000}"/>
    <cellStyle name="Normal 2 10_Enlaces" xfId="6005" xr:uid="{00000000-0005-0000-0000-000068170000}"/>
    <cellStyle name="Normal 2 100" xfId="6006" xr:uid="{00000000-0005-0000-0000-000069170000}"/>
    <cellStyle name="Normal 2 100 2" xfId="6007" xr:uid="{00000000-0005-0000-0000-00006A170000}"/>
    <cellStyle name="Normal 2 101" xfId="6008" xr:uid="{00000000-0005-0000-0000-00006B170000}"/>
    <cellStyle name="Normal 2 101 2" xfId="6009" xr:uid="{00000000-0005-0000-0000-00006C170000}"/>
    <cellStyle name="Normal 2 102" xfId="6010" xr:uid="{00000000-0005-0000-0000-00006D170000}"/>
    <cellStyle name="Normal 2 102 2" xfId="6011" xr:uid="{00000000-0005-0000-0000-00006E170000}"/>
    <cellStyle name="Normal 2 103" xfId="6012" xr:uid="{00000000-0005-0000-0000-00006F170000}"/>
    <cellStyle name="Normal 2 103 2" xfId="6013" xr:uid="{00000000-0005-0000-0000-000070170000}"/>
    <cellStyle name="Normal 2 104" xfId="6014" xr:uid="{00000000-0005-0000-0000-000071170000}"/>
    <cellStyle name="Normal 2 104 2" xfId="6015" xr:uid="{00000000-0005-0000-0000-000072170000}"/>
    <cellStyle name="Normal 2 105" xfId="6016" xr:uid="{00000000-0005-0000-0000-000073170000}"/>
    <cellStyle name="Normal 2 106" xfId="6017" xr:uid="{00000000-0005-0000-0000-000074170000}"/>
    <cellStyle name="Normal 2 107" xfId="6018" xr:uid="{00000000-0005-0000-0000-000075170000}"/>
    <cellStyle name="Normal 2 108" xfId="6019" xr:uid="{00000000-0005-0000-0000-000076170000}"/>
    <cellStyle name="Normal 2 109" xfId="6020" xr:uid="{00000000-0005-0000-0000-000077170000}"/>
    <cellStyle name="Normal 2 11" xfId="6021" xr:uid="{00000000-0005-0000-0000-000078170000}"/>
    <cellStyle name="Normal 2 11 2" xfId="6022" xr:uid="{00000000-0005-0000-0000-000079170000}"/>
    <cellStyle name="Normal 2 11 3" xfId="6023" xr:uid="{00000000-0005-0000-0000-00007A170000}"/>
    <cellStyle name="Normal 2 11 4" xfId="6024" xr:uid="{00000000-0005-0000-0000-00007B170000}"/>
    <cellStyle name="Normal 2 11 5" xfId="6025" xr:uid="{00000000-0005-0000-0000-00007C170000}"/>
    <cellStyle name="Normal 2 110" xfId="6026" xr:uid="{00000000-0005-0000-0000-00007D170000}"/>
    <cellStyle name="Normal 2 111" xfId="6027" xr:uid="{00000000-0005-0000-0000-00007E170000}"/>
    <cellStyle name="Normal 2 112" xfId="6028" xr:uid="{00000000-0005-0000-0000-00007F170000}"/>
    <cellStyle name="Normal 2 113" xfId="6029" xr:uid="{00000000-0005-0000-0000-000080170000}"/>
    <cellStyle name="Normal 2 114" xfId="6030" xr:uid="{00000000-0005-0000-0000-000081170000}"/>
    <cellStyle name="Normal 2 115" xfId="6031" xr:uid="{00000000-0005-0000-0000-000082170000}"/>
    <cellStyle name="Normal 2 116" xfId="6032" xr:uid="{00000000-0005-0000-0000-000083170000}"/>
    <cellStyle name="Normal 2 117" xfId="6033" xr:uid="{00000000-0005-0000-0000-000084170000}"/>
    <cellStyle name="Normal 2 118" xfId="6034" xr:uid="{00000000-0005-0000-0000-000085170000}"/>
    <cellStyle name="Normal 2 119" xfId="6035" xr:uid="{00000000-0005-0000-0000-000086170000}"/>
    <cellStyle name="Normal 2 12" xfId="6036" xr:uid="{00000000-0005-0000-0000-000087170000}"/>
    <cellStyle name="Normal 2 12 2" xfId="6037" xr:uid="{00000000-0005-0000-0000-000088170000}"/>
    <cellStyle name="Normal 2 12 3" xfId="6038" xr:uid="{00000000-0005-0000-0000-000089170000}"/>
    <cellStyle name="Normal 2 12 4" xfId="6039" xr:uid="{00000000-0005-0000-0000-00008A170000}"/>
    <cellStyle name="Normal 2 12 5" xfId="6040" xr:uid="{00000000-0005-0000-0000-00008B170000}"/>
    <cellStyle name="Normal 2 12 6" xfId="6041" xr:uid="{00000000-0005-0000-0000-00008C170000}"/>
    <cellStyle name="Normal 2 120" xfId="6042" xr:uid="{00000000-0005-0000-0000-00008D170000}"/>
    <cellStyle name="Normal 2 121" xfId="6043" xr:uid="{00000000-0005-0000-0000-00008E170000}"/>
    <cellStyle name="Normal 2 122" xfId="6044" xr:uid="{00000000-0005-0000-0000-00008F170000}"/>
    <cellStyle name="Normal 2 123" xfId="6045" xr:uid="{00000000-0005-0000-0000-000090170000}"/>
    <cellStyle name="Normal 2 124" xfId="6046" xr:uid="{00000000-0005-0000-0000-000091170000}"/>
    <cellStyle name="Normal 2 125" xfId="6047" xr:uid="{00000000-0005-0000-0000-000092170000}"/>
    <cellStyle name="Normal 2 126" xfId="6048" xr:uid="{00000000-0005-0000-0000-000093170000}"/>
    <cellStyle name="Normal 2 127" xfId="6049" xr:uid="{00000000-0005-0000-0000-000094170000}"/>
    <cellStyle name="Normal 2 128" xfId="6050" xr:uid="{00000000-0005-0000-0000-000095170000}"/>
    <cellStyle name="Normal 2 129" xfId="6051" xr:uid="{00000000-0005-0000-0000-000096170000}"/>
    <cellStyle name="Normal 2 13" xfId="6052" xr:uid="{00000000-0005-0000-0000-000097170000}"/>
    <cellStyle name="Normal 2 13 2" xfId="6053" xr:uid="{00000000-0005-0000-0000-000098170000}"/>
    <cellStyle name="Normal 2 13 3" xfId="6054" xr:uid="{00000000-0005-0000-0000-000099170000}"/>
    <cellStyle name="Normal 2 13 4" xfId="6055" xr:uid="{00000000-0005-0000-0000-00009A170000}"/>
    <cellStyle name="Normal 2 13 5" xfId="6056" xr:uid="{00000000-0005-0000-0000-00009B170000}"/>
    <cellStyle name="Normal 2 13 6" xfId="6057" xr:uid="{00000000-0005-0000-0000-00009C170000}"/>
    <cellStyle name="Normal 2 130" xfId="6058" xr:uid="{00000000-0005-0000-0000-00009D170000}"/>
    <cellStyle name="Normal 2 131" xfId="6059" xr:uid="{00000000-0005-0000-0000-00009E170000}"/>
    <cellStyle name="Normal 2 132" xfId="6060" xr:uid="{00000000-0005-0000-0000-00009F170000}"/>
    <cellStyle name="Normal 2 133" xfId="6061" xr:uid="{00000000-0005-0000-0000-0000A0170000}"/>
    <cellStyle name="Normal 2 134" xfId="6062" xr:uid="{00000000-0005-0000-0000-0000A1170000}"/>
    <cellStyle name="Normal 2 135" xfId="6063" xr:uid="{00000000-0005-0000-0000-0000A2170000}"/>
    <cellStyle name="Normal 2 136" xfId="6064" xr:uid="{00000000-0005-0000-0000-0000A3170000}"/>
    <cellStyle name="Normal 2 137" xfId="6065" xr:uid="{00000000-0005-0000-0000-0000A4170000}"/>
    <cellStyle name="Normal 2 138" xfId="6066" xr:uid="{00000000-0005-0000-0000-0000A5170000}"/>
    <cellStyle name="Normal 2 139" xfId="6067" xr:uid="{00000000-0005-0000-0000-0000A6170000}"/>
    <cellStyle name="Normal 2 14" xfId="6068" xr:uid="{00000000-0005-0000-0000-0000A7170000}"/>
    <cellStyle name="Normal 2 14 2" xfId="6069" xr:uid="{00000000-0005-0000-0000-0000A8170000}"/>
    <cellStyle name="Normal 2 14 3" xfId="6070" xr:uid="{00000000-0005-0000-0000-0000A9170000}"/>
    <cellStyle name="Normal 2 14 4" xfId="6071" xr:uid="{00000000-0005-0000-0000-0000AA170000}"/>
    <cellStyle name="Normal 2 14 5" xfId="6072" xr:uid="{00000000-0005-0000-0000-0000AB170000}"/>
    <cellStyle name="Normal 2 140" xfId="6073" xr:uid="{00000000-0005-0000-0000-0000AC170000}"/>
    <cellStyle name="Normal 2 141" xfId="6074" xr:uid="{00000000-0005-0000-0000-0000AD170000}"/>
    <cellStyle name="Normal 2 142" xfId="6075" xr:uid="{00000000-0005-0000-0000-0000AE170000}"/>
    <cellStyle name="Normal 2 143" xfId="6076" xr:uid="{00000000-0005-0000-0000-0000AF170000}"/>
    <cellStyle name="Normal 2 144" xfId="6077" xr:uid="{00000000-0005-0000-0000-0000B0170000}"/>
    <cellStyle name="Normal 2 145" xfId="6078" xr:uid="{00000000-0005-0000-0000-0000B1170000}"/>
    <cellStyle name="Normal 2 146" xfId="6079" xr:uid="{00000000-0005-0000-0000-0000B2170000}"/>
    <cellStyle name="Normal 2 147" xfId="6080" xr:uid="{00000000-0005-0000-0000-0000B3170000}"/>
    <cellStyle name="Normal 2 148" xfId="6081" xr:uid="{00000000-0005-0000-0000-0000B4170000}"/>
    <cellStyle name="Normal 2 149" xfId="6082" xr:uid="{00000000-0005-0000-0000-0000B5170000}"/>
    <cellStyle name="Normal 2 15" xfId="6083" xr:uid="{00000000-0005-0000-0000-0000B6170000}"/>
    <cellStyle name="Normal 2 15 2" xfId="6084" xr:uid="{00000000-0005-0000-0000-0000B7170000}"/>
    <cellStyle name="Normal 2 15 3" xfId="6085" xr:uid="{00000000-0005-0000-0000-0000B8170000}"/>
    <cellStyle name="Normal 2 15 4" xfId="6086" xr:uid="{00000000-0005-0000-0000-0000B9170000}"/>
    <cellStyle name="Normal 2 15 5" xfId="6087" xr:uid="{00000000-0005-0000-0000-0000BA170000}"/>
    <cellStyle name="Normal 2 15 6" xfId="6088" xr:uid="{00000000-0005-0000-0000-0000BB170000}"/>
    <cellStyle name="Normal 2 150" xfId="6089" xr:uid="{00000000-0005-0000-0000-0000BC170000}"/>
    <cellStyle name="Normal 2 151" xfId="6090" xr:uid="{00000000-0005-0000-0000-0000BD170000}"/>
    <cellStyle name="Normal 2 152" xfId="6091" xr:uid="{00000000-0005-0000-0000-0000BE170000}"/>
    <cellStyle name="Normal 2 153" xfId="6092" xr:uid="{00000000-0005-0000-0000-0000BF170000}"/>
    <cellStyle name="Normal 2 154" xfId="6093" xr:uid="{00000000-0005-0000-0000-0000C0170000}"/>
    <cellStyle name="Normal 2 155" xfId="6094" xr:uid="{00000000-0005-0000-0000-0000C1170000}"/>
    <cellStyle name="Normal 2 156" xfId="6095" xr:uid="{00000000-0005-0000-0000-0000C2170000}"/>
    <cellStyle name="Normal 2 157" xfId="6096" xr:uid="{00000000-0005-0000-0000-0000C3170000}"/>
    <cellStyle name="Normal 2 158" xfId="6097" xr:uid="{00000000-0005-0000-0000-0000C4170000}"/>
    <cellStyle name="Normal 2 159" xfId="6098" xr:uid="{00000000-0005-0000-0000-0000C5170000}"/>
    <cellStyle name="Normal 2 16" xfId="6099" xr:uid="{00000000-0005-0000-0000-0000C6170000}"/>
    <cellStyle name="Normal 2 16 2" xfId="6100" xr:uid="{00000000-0005-0000-0000-0000C7170000}"/>
    <cellStyle name="Normal 2 16 3" xfId="6101" xr:uid="{00000000-0005-0000-0000-0000C8170000}"/>
    <cellStyle name="Normal 2 16 4" xfId="6102" xr:uid="{00000000-0005-0000-0000-0000C9170000}"/>
    <cellStyle name="Normal 2 16 5" xfId="6103" xr:uid="{00000000-0005-0000-0000-0000CA170000}"/>
    <cellStyle name="Normal 2 160" xfId="6104" xr:uid="{00000000-0005-0000-0000-0000CB170000}"/>
    <cellStyle name="Normal 2 161" xfId="6105" xr:uid="{00000000-0005-0000-0000-0000CC170000}"/>
    <cellStyle name="Normal 2 162" xfId="6106" xr:uid="{00000000-0005-0000-0000-0000CD170000}"/>
    <cellStyle name="Normal 2 163" xfId="6107" xr:uid="{00000000-0005-0000-0000-0000CE170000}"/>
    <cellStyle name="Normal 2 164" xfId="6108" xr:uid="{00000000-0005-0000-0000-0000CF170000}"/>
    <cellStyle name="Normal 2 165" xfId="6109" xr:uid="{00000000-0005-0000-0000-0000D0170000}"/>
    <cellStyle name="Normal 2 166" xfId="6110" xr:uid="{00000000-0005-0000-0000-0000D1170000}"/>
    <cellStyle name="Normal 2 167" xfId="6111" xr:uid="{00000000-0005-0000-0000-0000D2170000}"/>
    <cellStyle name="Normal 2 168" xfId="6112" xr:uid="{00000000-0005-0000-0000-0000D3170000}"/>
    <cellStyle name="Normal 2 169" xfId="6113" xr:uid="{00000000-0005-0000-0000-0000D4170000}"/>
    <cellStyle name="Normal 2 17" xfId="6114" xr:uid="{00000000-0005-0000-0000-0000D5170000}"/>
    <cellStyle name="Normal 2 17 2" xfId="6115" xr:uid="{00000000-0005-0000-0000-0000D6170000}"/>
    <cellStyle name="Normal 2 17 3" xfId="6116" xr:uid="{00000000-0005-0000-0000-0000D7170000}"/>
    <cellStyle name="Normal 2 17 4" xfId="6117" xr:uid="{00000000-0005-0000-0000-0000D8170000}"/>
    <cellStyle name="Normal 2 17 5" xfId="6118" xr:uid="{00000000-0005-0000-0000-0000D9170000}"/>
    <cellStyle name="Normal 2 170" xfId="6119" xr:uid="{00000000-0005-0000-0000-0000DA170000}"/>
    <cellStyle name="Normal 2 171" xfId="6120" xr:uid="{00000000-0005-0000-0000-0000DB170000}"/>
    <cellStyle name="Normal 2 172" xfId="6121" xr:uid="{00000000-0005-0000-0000-0000DC170000}"/>
    <cellStyle name="Normal 2 173" xfId="6122" xr:uid="{00000000-0005-0000-0000-0000DD170000}"/>
    <cellStyle name="Normal 2 174" xfId="6123" xr:uid="{00000000-0005-0000-0000-0000DE170000}"/>
    <cellStyle name="Normal 2 175" xfId="6124" xr:uid="{00000000-0005-0000-0000-0000DF170000}"/>
    <cellStyle name="Normal 2 176" xfId="6125" xr:uid="{00000000-0005-0000-0000-0000E0170000}"/>
    <cellStyle name="Normal 2 177" xfId="6126" xr:uid="{00000000-0005-0000-0000-0000E1170000}"/>
    <cellStyle name="Normal 2 178" xfId="6127" xr:uid="{00000000-0005-0000-0000-0000E2170000}"/>
    <cellStyle name="Normal 2 179" xfId="6128" xr:uid="{00000000-0005-0000-0000-0000E3170000}"/>
    <cellStyle name="Normal 2 18" xfId="6129" xr:uid="{00000000-0005-0000-0000-0000E4170000}"/>
    <cellStyle name="Normal 2 18 2" xfId="6130" xr:uid="{00000000-0005-0000-0000-0000E5170000}"/>
    <cellStyle name="Normal 2 18 3" xfId="6131" xr:uid="{00000000-0005-0000-0000-0000E6170000}"/>
    <cellStyle name="Normal 2 18 4" xfId="6132" xr:uid="{00000000-0005-0000-0000-0000E7170000}"/>
    <cellStyle name="Normal 2 18 5" xfId="6133" xr:uid="{00000000-0005-0000-0000-0000E8170000}"/>
    <cellStyle name="Normal 2 19" xfId="6134" xr:uid="{00000000-0005-0000-0000-0000E9170000}"/>
    <cellStyle name="Normal 2 19 2" xfId="6135" xr:uid="{00000000-0005-0000-0000-0000EA170000}"/>
    <cellStyle name="Normal 2 19 3" xfId="6136" xr:uid="{00000000-0005-0000-0000-0000EB170000}"/>
    <cellStyle name="Normal 2 19 4" xfId="6137" xr:uid="{00000000-0005-0000-0000-0000EC170000}"/>
    <cellStyle name="Normal 2 19 5" xfId="6138" xr:uid="{00000000-0005-0000-0000-0000ED170000}"/>
    <cellStyle name="Normal 2 2" xfId="12" xr:uid="{00000000-0005-0000-0000-0000EE170000}"/>
    <cellStyle name="Normal 2 2 10" xfId="6139" xr:uid="{00000000-0005-0000-0000-0000EF170000}"/>
    <cellStyle name="Normal 2 2 10 10" xfId="6140" xr:uid="{00000000-0005-0000-0000-0000F0170000}"/>
    <cellStyle name="Normal 2 2 10 10 10" xfId="6141" xr:uid="{00000000-0005-0000-0000-0000F1170000}"/>
    <cellStyle name="Normal 2 2 10 10 11" xfId="6142" xr:uid="{00000000-0005-0000-0000-0000F2170000}"/>
    <cellStyle name="Normal 2 2 10 10 12" xfId="6143" xr:uid="{00000000-0005-0000-0000-0000F3170000}"/>
    <cellStyle name="Normal 2 2 10 10 13" xfId="6144" xr:uid="{00000000-0005-0000-0000-0000F4170000}"/>
    <cellStyle name="Normal 2 2 10 10 14" xfId="6145" xr:uid="{00000000-0005-0000-0000-0000F5170000}"/>
    <cellStyle name="Normal 2 2 10 10 2" xfId="6146" xr:uid="{00000000-0005-0000-0000-0000F6170000}"/>
    <cellStyle name="Normal 2 2 10 10 2 10" xfId="6147" xr:uid="{00000000-0005-0000-0000-0000F7170000}"/>
    <cellStyle name="Normal 2 2 10 10 2 2" xfId="6148" xr:uid="{00000000-0005-0000-0000-0000F8170000}"/>
    <cellStyle name="Normal 2 2 10 10 2 3" xfId="6149" xr:uid="{00000000-0005-0000-0000-0000F9170000}"/>
    <cellStyle name="Normal 2 2 10 10 2 4" xfId="6150" xr:uid="{00000000-0005-0000-0000-0000FA170000}"/>
    <cellStyle name="Normal 2 2 10 10 2 5" xfId="6151" xr:uid="{00000000-0005-0000-0000-0000FB170000}"/>
    <cellStyle name="Normal 2 2 10 10 2 6" xfId="6152" xr:uid="{00000000-0005-0000-0000-0000FC170000}"/>
    <cellStyle name="Normal 2 2 10 10 2 7" xfId="6153" xr:uid="{00000000-0005-0000-0000-0000FD170000}"/>
    <cellStyle name="Normal 2 2 10 10 2 8" xfId="6154" xr:uid="{00000000-0005-0000-0000-0000FE170000}"/>
    <cellStyle name="Normal 2 2 10 10 2 9" xfId="6155" xr:uid="{00000000-0005-0000-0000-0000FF170000}"/>
    <cellStyle name="Normal 2 2 10 10 3" xfId="6156" xr:uid="{00000000-0005-0000-0000-000000180000}"/>
    <cellStyle name="Normal 2 2 10 10 3 10" xfId="6157" xr:uid="{00000000-0005-0000-0000-000001180000}"/>
    <cellStyle name="Normal 2 2 10 10 3 2" xfId="6158" xr:uid="{00000000-0005-0000-0000-000002180000}"/>
    <cellStyle name="Normal 2 2 10 10 3 3" xfId="6159" xr:uid="{00000000-0005-0000-0000-000003180000}"/>
    <cellStyle name="Normal 2 2 10 10 3 4" xfId="6160" xr:uid="{00000000-0005-0000-0000-000004180000}"/>
    <cellStyle name="Normal 2 2 10 10 3 5" xfId="6161" xr:uid="{00000000-0005-0000-0000-000005180000}"/>
    <cellStyle name="Normal 2 2 10 10 3 6" xfId="6162" xr:uid="{00000000-0005-0000-0000-000006180000}"/>
    <cellStyle name="Normal 2 2 10 10 3 7" xfId="6163" xr:uid="{00000000-0005-0000-0000-000007180000}"/>
    <cellStyle name="Normal 2 2 10 10 3 8" xfId="6164" xr:uid="{00000000-0005-0000-0000-000008180000}"/>
    <cellStyle name="Normal 2 2 10 10 3 9" xfId="6165" xr:uid="{00000000-0005-0000-0000-000009180000}"/>
    <cellStyle name="Normal 2 2 10 10 4" xfId="6166" xr:uid="{00000000-0005-0000-0000-00000A180000}"/>
    <cellStyle name="Normal 2 2 10 10 4 10" xfId="6167" xr:uid="{00000000-0005-0000-0000-00000B180000}"/>
    <cellStyle name="Normal 2 2 10 10 4 2" xfId="6168" xr:uid="{00000000-0005-0000-0000-00000C180000}"/>
    <cellStyle name="Normal 2 2 10 10 4 3" xfId="6169" xr:uid="{00000000-0005-0000-0000-00000D180000}"/>
    <cellStyle name="Normal 2 2 10 10 4 4" xfId="6170" xr:uid="{00000000-0005-0000-0000-00000E180000}"/>
    <cellStyle name="Normal 2 2 10 10 4 5" xfId="6171" xr:uid="{00000000-0005-0000-0000-00000F180000}"/>
    <cellStyle name="Normal 2 2 10 10 4 6" xfId="6172" xr:uid="{00000000-0005-0000-0000-000010180000}"/>
    <cellStyle name="Normal 2 2 10 10 4 7" xfId="6173" xr:uid="{00000000-0005-0000-0000-000011180000}"/>
    <cellStyle name="Normal 2 2 10 10 4 8" xfId="6174" xr:uid="{00000000-0005-0000-0000-000012180000}"/>
    <cellStyle name="Normal 2 2 10 10 4 9" xfId="6175" xr:uid="{00000000-0005-0000-0000-000013180000}"/>
    <cellStyle name="Normal 2 2 10 10 5" xfId="6176" xr:uid="{00000000-0005-0000-0000-000014180000}"/>
    <cellStyle name="Normal 2 2 10 10 5 10" xfId="6177" xr:uid="{00000000-0005-0000-0000-000015180000}"/>
    <cellStyle name="Normal 2 2 10 10 5 2" xfId="6178" xr:uid="{00000000-0005-0000-0000-000016180000}"/>
    <cellStyle name="Normal 2 2 10 10 5 3" xfId="6179" xr:uid="{00000000-0005-0000-0000-000017180000}"/>
    <cellStyle name="Normal 2 2 10 10 5 4" xfId="6180" xr:uid="{00000000-0005-0000-0000-000018180000}"/>
    <cellStyle name="Normal 2 2 10 10 5 5" xfId="6181" xr:uid="{00000000-0005-0000-0000-000019180000}"/>
    <cellStyle name="Normal 2 2 10 10 5 6" xfId="6182" xr:uid="{00000000-0005-0000-0000-00001A180000}"/>
    <cellStyle name="Normal 2 2 10 10 5 7" xfId="6183" xr:uid="{00000000-0005-0000-0000-00001B180000}"/>
    <cellStyle name="Normal 2 2 10 10 5 8" xfId="6184" xr:uid="{00000000-0005-0000-0000-00001C180000}"/>
    <cellStyle name="Normal 2 2 10 10 5 9" xfId="6185" xr:uid="{00000000-0005-0000-0000-00001D180000}"/>
    <cellStyle name="Normal 2 2 10 10 6" xfId="6186" xr:uid="{00000000-0005-0000-0000-00001E180000}"/>
    <cellStyle name="Normal 2 2 10 10 7" xfId="6187" xr:uid="{00000000-0005-0000-0000-00001F180000}"/>
    <cellStyle name="Normal 2 2 10 10 8" xfId="6188" xr:uid="{00000000-0005-0000-0000-000020180000}"/>
    <cellStyle name="Normal 2 2 10 10 9" xfId="6189" xr:uid="{00000000-0005-0000-0000-000021180000}"/>
    <cellStyle name="Normal 2 2 10 11" xfId="6190" xr:uid="{00000000-0005-0000-0000-000022180000}"/>
    <cellStyle name="Normal 2 2 10 11 10" xfId="6191" xr:uid="{00000000-0005-0000-0000-000023180000}"/>
    <cellStyle name="Normal 2 2 10 11 11" xfId="6192" xr:uid="{00000000-0005-0000-0000-000024180000}"/>
    <cellStyle name="Normal 2 2 10 11 12" xfId="6193" xr:uid="{00000000-0005-0000-0000-000025180000}"/>
    <cellStyle name="Normal 2 2 10 11 13" xfId="6194" xr:uid="{00000000-0005-0000-0000-000026180000}"/>
    <cellStyle name="Normal 2 2 10 11 14" xfId="6195" xr:uid="{00000000-0005-0000-0000-000027180000}"/>
    <cellStyle name="Normal 2 2 10 11 2" xfId="6196" xr:uid="{00000000-0005-0000-0000-000028180000}"/>
    <cellStyle name="Normal 2 2 10 11 2 10" xfId="6197" xr:uid="{00000000-0005-0000-0000-000029180000}"/>
    <cellStyle name="Normal 2 2 10 11 2 2" xfId="6198" xr:uid="{00000000-0005-0000-0000-00002A180000}"/>
    <cellStyle name="Normal 2 2 10 11 2 3" xfId="6199" xr:uid="{00000000-0005-0000-0000-00002B180000}"/>
    <cellStyle name="Normal 2 2 10 11 2 4" xfId="6200" xr:uid="{00000000-0005-0000-0000-00002C180000}"/>
    <cellStyle name="Normal 2 2 10 11 2 5" xfId="6201" xr:uid="{00000000-0005-0000-0000-00002D180000}"/>
    <cellStyle name="Normal 2 2 10 11 2 6" xfId="6202" xr:uid="{00000000-0005-0000-0000-00002E180000}"/>
    <cellStyle name="Normal 2 2 10 11 2 7" xfId="6203" xr:uid="{00000000-0005-0000-0000-00002F180000}"/>
    <cellStyle name="Normal 2 2 10 11 2 8" xfId="6204" xr:uid="{00000000-0005-0000-0000-000030180000}"/>
    <cellStyle name="Normal 2 2 10 11 2 9" xfId="6205" xr:uid="{00000000-0005-0000-0000-000031180000}"/>
    <cellStyle name="Normal 2 2 10 11 3" xfId="6206" xr:uid="{00000000-0005-0000-0000-000032180000}"/>
    <cellStyle name="Normal 2 2 10 11 3 10" xfId="6207" xr:uid="{00000000-0005-0000-0000-000033180000}"/>
    <cellStyle name="Normal 2 2 10 11 3 2" xfId="6208" xr:uid="{00000000-0005-0000-0000-000034180000}"/>
    <cellStyle name="Normal 2 2 10 11 3 3" xfId="6209" xr:uid="{00000000-0005-0000-0000-000035180000}"/>
    <cellStyle name="Normal 2 2 10 11 3 4" xfId="6210" xr:uid="{00000000-0005-0000-0000-000036180000}"/>
    <cellStyle name="Normal 2 2 10 11 3 5" xfId="6211" xr:uid="{00000000-0005-0000-0000-000037180000}"/>
    <cellStyle name="Normal 2 2 10 11 3 6" xfId="6212" xr:uid="{00000000-0005-0000-0000-000038180000}"/>
    <cellStyle name="Normal 2 2 10 11 3 7" xfId="6213" xr:uid="{00000000-0005-0000-0000-000039180000}"/>
    <cellStyle name="Normal 2 2 10 11 3 8" xfId="6214" xr:uid="{00000000-0005-0000-0000-00003A180000}"/>
    <cellStyle name="Normal 2 2 10 11 3 9" xfId="6215" xr:uid="{00000000-0005-0000-0000-00003B180000}"/>
    <cellStyle name="Normal 2 2 10 11 4" xfId="6216" xr:uid="{00000000-0005-0000-0000-00003C180000}"/>
    <cellStyle name="Normal 2 2 10 11 4 10" xfId="6217" xr:uid="{00000000-0005-0000-0000-00003D180000}"/>
    <cellStyle name="Normal 2 2 10 11 4 2" xfId="6218" xr:uid="{00000000-0005-0000-0000-00003E180000}"/>
    <cellStyle name="Normal 2 2 10 11 4 3" xfId="6219" xr:uid="{00000000-0005-0000-0000-00003F180000}"/>
    <cellStyle name="Normal 2 2 10 11 4 4" xfId="6220" xr:uid="{00000000-0005-0000-0000-000040180000}"/>
    <cellStyle name="Normal 2 2 10 11 4 5" xfId="6221" xr:uid="{00000000-0005-0000-0000-000041180000}"/>
    <cellStyle name="Normal 2 2 10 11 4 6" xfId="6222" xr:uid="{00000000-0005-0000-0000-000042180000}"/>
    <cellStyle name="Normal 2 2 10 11 4 7" xfId="6223" xr:uid="{00000000-0005-0000-0000-000043180000}"/>
    <cellStyle name="Normal 2 2 10 11 4 8" xfId="6224" xr:uid="{00000000-0005-0000-0000-000044180000}"/>
    <cellStyle name="Normal 2 2 10 11 4 9" xfId="6225" xr:uid="{00000000-0005-0000-0000-000045180000}"/>
    <cellStyle name="Normal 2 2 10 11 5" xfId="6226" xr:uid="{00000000-0005-0000-0000-000046180000}"/>
    <cellStyle name="Normal 2 2 10 11 5 10" xfId="6227" xr:uid="{00000000-0005-0000-0000-000047180000}"/>
    <cellStyle name="Normal 2 2 10 11 5 2" xfId="6228" xr:uid="{00000000-0005-0000-0000-000048180000}"/>
    <cellStyle name="Normal 2 2 10 11 5 3" xfId="6229" xr:uid="{00000000-0005-0000-0000-000049180000}"/>
    <cellStyle name="Normal 2 2 10 11 5 4" xfId="6230" xr:uid="{00000000-0005-0000-0000-00004A180000}"/>
    <cellStyle name="Normal 2 2 10 11 5 5" xfId="6231" xr:uid="{00000000-0005-0000-0000-00004B180000}"/>
    <cellStyle name="Normal 2 2 10 11 5 6" xfId="6232" xr:uid="{00000000-0005-0000-0000-00004C180000}"/>
    <cellStyle name="Normal 2 2 10 11 5 7" xfId="6233" xr:uid="{00000000-0005-0000-0000-00004D180000}"/>
    <cellStyle name="Normal 2 2 10 11 5 8" xfId="6234" xr:uid="{00000000-0005-0000-0000-00004E180000}"/>
    <cellStyle name="Normal 2 2 10 11 5 9" xfId="6235" xr:uid="{00000000-0005-0000-0000-00004F180000}"/>
    <cellStyle name="Normal 2 2 10 11 6" xfId="6236" xr:uid="{00000000-0005-0000-0000-000050180000}"/>
    <cellStyle name="Normal 2 2 10 11 7" xfId="6237" xr:uid="{00000000-0005-0000-0000-000051180000}"/>
    <cellStyle name="Normal 2 2 10 11 8" xfId="6238" xr:uid="{00000000-0005-0000-0000-000052180000}"/>
    <cellStyle name="Normal 2 2 10 11 9" xfId="6239" xr:uid="{00000000-0005-0000-0000-000053180000}"/>
    <cellStyle name="Normal 2 2 10 12" xfId="6240" xr:uid="{00000000-0005-0000-0000-000054180000}"/>
    <cellStyle name="Normal 2 2 10 12 10" xfId="6241" xr:uid="{00000000-0005-0000-0000-000055180000}"/>
    <cellStyle name="Normal 2 2 10 12 11" xfId="6242" xr:uid="{00000000-0005-0000-0000-000056180000}"/>
    <cellStyle name="Normal 2 2 10 12 12" xfId="6243" xr:uid="{00000000-0005-0000-0000-000057180000}"/>
    <cellStyle name="Normal 2 2 10 12 13" xfId="6244" xr:uid="{00000000-0005-0000-0000-000058180000}"/>
    <cellStyle name="Normal 2 2 10 12 14" xfId="6245" xr:uid="{00000000-0005-0000-0000-000059180000}"/>
    <cellStyle name="Normal 2 2 10 12 2" xfId="6246" xr:uid="{00000000-0005-0000-0000-00005A180000}"/>
    <cellStyle name="Normal 2 2 10 12 2 10" xfId="6247" xr:uid="{00000000-0005-0000-0000-00005B180000}"/>
    <cellStyle name="Normal 2 2 10 12 2 2" xfId="6248" xr:uid="{00000000-0005-0000-0000-00005C180000}"/>
    <cellStyle name="Normal 2 2 10 12 2 3" xfId="6249" xr:uid="{00000000-0005-0000-0000-00005D180000}"/>
    <cellStyle name="Normal 2 2 10 12 2 4" xfId="6250" xr:uid="{00000000-0005-0000-0000-00005E180000}"/>
    <cellStyle name="Normal 2 2 10 12 2 5" xfId="6251" xr:uid="{00000000-0005-0000-0000-00005F180000}"/>
    <cellStyle name="Normal 2 2 10 12 2 6" xfId="6252" xr:uid="{00000000-0005-0000-0000-000060180000}"/>
    <cellStyle name="Normal 2 2 10 12 2 7" xfId="6253" xr:uid="{00000000-0005-0000-0000-000061180000}"/>
    <cellStyle name="Normal 2 2 10 12 2 8" xfId="6254" xr:uid="{00000000-0005-0000-0000-000062180000}"/>
    <cellStyle name="Normal 2 2 10 12 2 9" xfId="6255" xr:uid="{00000000-0005-0000-0000-000063180000}"/>
    <cellStyle name="Normal 2 2 10 12 3" xfId="6256" xr:uid="{00000000-0005-0000-0000-000064180000}"/>
    <cellStyle name="Normal 2 2 10 12 3 10" xfId="6257" xr:uid="{00000000-0005-0000-0000-000065180000}"/>
    <cellStyle name="Normal 2 2 10 12 3 2" xfId="6258" xr:uid="{00000000-0005-0000-0000-000066180000}"/>
    <cellStyle name="Normal 2 2 10 12 3 3" xfId="6259" xr:uid="{00000000-0005-0000-0000-000067180000}"/>
    <cellStyle name="Normal 2 2 10 12 3 4" xfId="6260" xr:uid="{00000000-0005-0000-0000-000068180000}"/>
    <cellStyle name="Normal 2 2 10 12 3 5" xfId="6261" xr:uid="{00000000-0005-0000-0000-000069180000}"/>
    <cellStyle name="Normal 2 2 10 12 3 6" xfId="6262" xr:uid="{00000000-0005-0000-0000-00006A180000}"/>
    <cellStyle name="Normal 2 2 10 12 3 7" xfId="6263" xr:uid="{00000000-0005-0000-0000-00006B180000}"/>
    <cellStyle name="Normal 2 2 10 12 3 8" xfId="6264" xr:uid="{00000000-0005-0000-0000-00006C180000}"/>
    <cellStyle name="Normal 2 2 10 12 3 9" xfId="6265" xr:uid="{00000000-0005-0000-0000-00006D180000}"/>
    <cellStyle name="Normal 2 2 10 12 4" xfId="6266" xr:uid="{00000000-0005-0000-0000-00006E180000}"/>
    <cellStyle name="Normal 2 2 10 12 4 10" xfId="6267" xr:uid="{00000000-0005-0000-0000-00006F180000}"/>
    <cellStyle name="Normal 2 2 10 12 4 2" xfId="6268" xr:uid="{00000000-0005-0000-0000-000070180000}"/>
    <cellStyle name="Normal 2 2 10 12 4 3" xfId="6269" xr:uid="{00000000-0005-0000-0000-000071180000}"/>
    <cellStyle name="Normal 2 2 10 12 4 4" xfId="6270" xr:uid="{00000000-0005-0000-0000-000072180000}"/>
    <cellStyle name="Normal 2 2 10 12 4 5" xfId="6271" xr:uid="{00000000-0005-0000-0000-000073180000}"/>
    <cellStyle name="Normal 2 2 10 12 4 6" xfId="6272" xr:uid="{00000000-0005-0000-0000-000074180000}"/>
    <cellStyle name="Normal 2 2 10 12 4 7" xfId="6273" xr:uid="{00000000-0005-0000-0000-000075180000}"/>
    <cellStyle name="Normal 2 2 10 12 4 8" xfId="6274" xr:uid="{00000000-0005-0000-0000-000076180000}"/>
    <cellStyle name="Normal 2 2 10 12 4 9" xfId="6275" xr:uid="{00000000-0005-0000-0000-000077180000}"/>
    <cellStyle name="Normal 2 2 10 12 5" xfId="6276" xr:uid="{00000000-0005-0000-0000-000078180000}"/>
    <cellStyle name="Normal 2 2 10 12 5 10" xfId="6277" xr:uid="{00000000-0005-0000-0000-000079180000}"/>
    <cellStyle name="Normal 2 2 10 12 5 2" xfId="6278" xr:uid="{00000000-0005-0000-0000-00007A180000}"/>
    <cellStyle name="Normal 2 2 10 12 5 3" xfId="6279" xr:uid="{00000000-0005-0000-0000-00007B180000}"/>
    <cellStyle name="Normal 2 2 10 12 5 4" xfId="6280" xr:uid="{00000000-0005-0000-0000-00007C180000}"/>
    <cellStyle name="Normal 2 2 10 12 5 5" xfId="6281" xr:uid="{00000000-0005-0000-0000-00007D180000}"/>
    <cellStyle name="Normal 2 2 10 12 5 6" xfId="6282" xr:uid="{00000000-0005-0000-0000-00007E180000}"/>
    <cellStyle name="Normal 2 2 10 12 5 7" xfId="6283" xr:uid="{00000000-0005-0000-0000-00007F180000}"/>
    <cellStyle name="Normal 2 2 10 12 5 8" xfId="6284" xr:uid="{00000000-0005-0000-0000-000080180000}"/>
    <cellStyle name="Normal 2 2 10 12 5 9" xfId="6285" xr:uid="{00000000-0005-0000-0000-000081180000}"/>
    <cellStyle name="Normal 2 2 10 12 6" xfId="6286" xr:uid="{00000000-0005-0000-0000-000082180000}"/>
    <cellStyle name="Normal 2 2 10 12 7" xfId="6287" xr:uid="{00000000-0005-0000-0000-000083180000}"/>
    <cellStyle name="Normal 2 2 10 12 8" xfId="6288" xr:uid="{00000000-0005-0000-0000-000084180000}"/>
    <cellStyle name="Normal 2 2 10 12 9" xfId="6289" xr:uid="{00000000-0005-0000-0000-000085180000}"/>
    <cellStyle name="Normal 2 2 10 13" xfId="6290" xr:uid="{00000000-0005-0000-0000-000086180000}"/>
    <cellStyle name="Normal 2 2 10 13 10" xfId="6291" xr:uid="{00000000-0005-0000-0000-000087180000}"/>
    <cellStyle name="Normal 2 2 10 13 11" xfId="6292" xr:uid="{00000000-0005-0000-0000-000088180000}"/>
    <cellStyle name="Normal 2 2 10 13 12" xfId="6293" xr:uid="{00000000-0005-0000-0000-000089180000}"/>
    <cellStyle name="Normal 2 2 10 13 13" xfId="6294" xr:uid="{00000000-0005-0000-0000-00008A180000}"/>
    <cellStyle name="Normal 2 2 10 13 14" xfId="6295" xr:uid="{00000000-0005-0000-0000-00008B180000}"/>
    <cellStyle name="Normal 2 2 10 13 2" xfId="6296" xr:uid="{00000000-0005-0000-0000-00008C180000}"/>
    <cellStyle name="Normal 2 2 10 13 2 10" xfId="6297" xr:uid="{00000000-0005-0000-0000-00008D180000}"/>
    <cellStyle name="Normal 2 2 10 13 2 2" xfId="6298" xr:uid="{00000000-0005-0000-0000-00008E180000}"/>
    <cellStyle name="Normal 2 2 10 13 2 3" xfId="6299" xr:uid="{00000000-0005-0000-0000-00008F180000}"/>
    <cellStyle name="Normal 2 2 10 13 2 4" xfId="6300" xr:uid="{00000000-0005-0000-0000-000090180000}"/>
    <cellStyle name="Normal 2 2 10 13 2 5" xfId="6301" xr:uid="{00000000-0005-0000-0000-000091180000}"/>
    <cellStyle name="Normal 2 2 10 13 2 6" xfId="6302" xr:uid="{00000000-0005-0000-0000-000092180000}"/>
    <cellStyle name="Normal 2 2 10 13 2 7" xfId="6303" xr:uid="{00000000-0005-0000-0000-000093180000}"/>
    <cellStyle name="Normal 2 2 10 13 2 8" xfId="6304" xr:uid="{00000000-0005-0000-0000-000094180000}"/>
    <cellStyle name="Normal 2 2 10 13 2 9" xfId="6305" xr:uid="{00000000-0005-0000-0000-000095180000}"/>
    <cellStyle name="Normal 2 2 10 13 3" xfId="6306" xr:uid="{00000000-0005-0000-0000-000096180000}"/>
    <cellStyle name="Normal 2 2 10 13 3 10" xfId="6307" xr:uid="{00000000-0005-0000-0000-000097180000}"/>
    <cellStyle name="Normal 2 2 10 13 3 2" xfId="6308" xr:uid="{00000000-0005-0000-0000-000098180000}"/>
    <cellStyle name="Normal 2 2 10 13 3 3" xfId="6309" xr:uid="{00000000-0005-0000-0000-000099180000}"/>
    <cellStyle name="Normal 2 2 10 13 3 4" xfId="6310" xr:uid="{00000000-0005-0000-0000-00009A180000}"/>
    <cellStyle name="Normal 2 2 10 13 3 5" xfId="6311" xr:uid="{00000000-0005-0000-0000-00009B180000}"/>
    <cellStyle name="Normal 2 2 10 13 3 6" xfId="6312" xr:uid="{00000000-0005-0000-0000-00009C180000}"/>
    <cellStyle name="Normal 2 2 10 13 3 7" xfId="6313" xr:uid="{00000000-0005-0000-0000-00009D180000}"/>
    <cellStyle name="Normal 2 2 10 13 3 8" xfId="6314" xr:uid="{00000000-0005-0000-0000-00009E180000}"/>
    <cellStyle name="Normal 2 2 10 13 3 9" xfId="6315" xr:uid="{00000000-0005-0000-0000-00009F180000}"/>
    <cellStyle name="Normal 2 2 10 13 4" xfId="6316" xr:uid="{00000000-0005-0000-0000-0000A0180000}"/>
    <cellStyle name="Normal 2 2 10 13 4 10" xfId="6317" xr:uid="{00000000-0005-0000-0000-0000A1180000}"/>
    <cellStyle name="Normal 2 2 10 13 4 2" xfId="6318" xr:uid="{00000000-0005-0000-0000-0000A2180000}"/>
    <cellStyle name="Normal 2 2 10 13 4 3" xfId="6319" xr:uid="{00000000-0005-0000-0000-0000A3180000}"/>
    <cellStyle name="Normal 2 2 10 13 4 4" xfId="6320" xr:uid="{00000000-0005-0000-0000-0000A4180000}"/>
    <cellStyle name="Normal 2 2 10 13 4 5" xfId="6321" xr:uid="{00000000-0005-0000-0000-0000A5180000}"/>
    <cellStyle name="Normal 2 2 10 13 4 6" xfId="6322" xr:uid="{00000000-0005-0000-0000-0000A6180000}"/>
    <cellStyle name="Normal 2 2 10 13 4 7" xfId="6323" xr:uid="{00000000-0005-0000-0000-0000A7180000}"/>
    <cellStyle name="Normal 2 2 10 13 4 8" xfId="6324" xr:uid="{00000000-0005-0000-0000-0000A8180000}"/>
    <cellStyle name="Normal 2 2 10 13 4 9" xfId="6325" xr:uid="{00000000-0005-0000-0000-0000A9180000}"/>
    <cellStyle name="Normal 2 2 10 13 5" xfId="6326" xr:uid="{00000000-0005-0000-0000-0000AA180000}"/>
    <cellStyle name="Normal 2 2 10 13 5 10" xfId="6327" xr:uid="{00000000-0005-0000-0000-0000AB180000}"/>
    <cellStyle name="Normal 2 2 10 13 5 2" xfId="6328" xr:uid="{00000000-0005-0000-0000-0000AC180000}"/>
    <cellStyle name="Normal 2 2 10 13 5 3" xfId="6329" xr:uid="{00000000-0005-0000-0000-0000AD180000}"/>
    <cellStyle name="Normal 2 2 10 13 5 4" xfId="6330" xr:uid="{00000000-0005-0000-0000-0000AE180000}"/>
    <cellStyle name="Normal 2 2 10 13 5 5" xfId="6331" xr:uid="{00000000-0005-0000-0000-0000AF180000}"/>
    <cellStyle name="Normal 2 2 10 13 5 6" xfId="6332" xr:uid="{00000000-0005-0000-0000-0000B0180000}"/>
    <cellStyle name="Normal 2 2 10 13 5 7" xfId="6333" xr:uid="{00000000-0005-0000-0000-0000B1180000}"/>
    <cellStyle name="Normal 2 2 10 13 5 8" xfId="6334" xr:uid="{00000000-0005-0000-0000-0000B2180000}"/>
    <cellStyle name="Normal 2 2 10 13 5 9" xfId="6335" xr:uid="{00000000-0005-0000-0000-0000B3180000}"/>
    <cellStyle name="Normal 2 2 10 13 6" xfId="6336" xr:uid="{00000000-0005-0000-0000-0000B4180000}"/>
    <cellStyle name="Normal 2 2 10 13 7" xfId="6337" xr:uid="{00000000-0005-0000-0000-0000B5180000}"/>
    <cellStyle name="Normal 2 2 10 13 8" xfId="6338" xr:uid="{00000000-0005-0000-0000-0000B6180000}"/>
    <cellStyle name="Normal 2 2 10 13 9" xfId="6339" xr:uid="{00000000-0005-0000-0000-0000B7180000}"/>
    <cellStyle name="Normal 2 2 10 14" xfId="6340" xr:uid="{00000000-0005-0000-0000-0000B8180000}"/>
    <cellStyle name="Normal 2 2 10 14 10" xfId="6341" xr:uid="{00000000-0005-0000-0000-0000B9180000}"/>
    <cellStyle name="Normal 2 2 10 14 11" xfId="6342" xr:uid="{00000000-0005-0000-0000-0000BA180000}"/>
    <cellStyle name="Normal 2 2 10 14 12" xfId="6343" xr:uid="{00000000-0005-0000-0000-0000BB180000}"/>
    <cellStyle name="Normal 2 2 10 14 13" xfId="6344" xr:uid="{00000000-0005-0000-0000-0000BC180000}"/>
    <cellStyle name="Normal 2 2 10 14 14" xfId="6345" xr:uid="{00000000-0005-0000-0000-0000BD180000}"/>
    <cellStyle name="Normal 2 2 10 14 2" xfId="6346" xr:uid="{00000000-0005-0000-0000-0000BE180000}"/>
    <cellStyle name="Normal 2 2 10 14 2 10" xfId="6347" xr:uid="{00000000-0005-0000-0000-0000BF180000}"/>
    <cellStyle name="Normal 2 2 10 14 2 2" xfId="6348" xr:uid="{00000000-0005-0000-0000-0000C0180000}"/>
    <cellStyle name="Normal 2 2 10 14 2 3" xfId="6349" xr:uid="{00000000-0005-0000-0000-0000C1180000}"/>
    <cellStyle name="Normal 2 2 10 14 2 4" xfId="6350" xr:uid="{00000000-0005-0000-0000-0000C2180000}"/>
    <cellStyle name="Normal 2 2 10 14 2 5" xfId="6351" xr:uid="{00000000-0005-0000-0000-0000C3180000}"/>
    <cellStyle name="Normal 2 2 10 14 2 6" xfId="6352" xr:uid="{00000000-0005-0000-0000-0000C4180000}"/>
    <cellStyle name="Normal 2 2 10 14 2 7" xfId="6353" xr:uid="{00000000-0005-0000-0000-0000C5180000}"/>
    <cellStyle name="Normal 2 2 10 14 2 8" xfId="6354" xr:uid="{00000000-0005-0000-0000-0000C6180000}"/>
    <cellStyle name="Normal 2 2 10 14 2 9" xfId="6355" xr:uid="{00000000-0005-0000-0000-0000C7180000}"/>
    <cellStyle name="Normal 2 2 10 14 3" xfId="6356" xr:uid="{00000000-0005-0000-0000-0000C8180000}"/>
    <cellStyle name="Normal 2 2 10 14 3 10" xfId="6357" xr:uid="{00000000-0005-0000-0000-0000C9180000}"/>
    <cellStyle name="Normal 2 2 10 14 3 2" xfId="6358" xr:uid="{00000000-0005-0000-0000-0000CA180000}"/>
    <cellStyle name="Normal 2 2 10 14 3 3" xfId="6359" xr:uid="{00000000-0005-0000-0000-0000CB180000}"/>
    <cellStyle name="Normal 2 2 10 14 3 4" xfId="6360" xr:uid="{00000000-0005-0000-0000-0000CC180000}"/>
    <cellStyle name="Normal 2 2 10 14 3 5" xfId="6361" xr:uid="{00000000-0005-0000-0000-0000CD180000}"/>
    <cellStyle name="Normal 2 2 10 14 3 6" xfId="6362" xr:uid="{00000000-0005-0000-0000-0000CE180000}"/>
    <cellStyle name="Normal 2 2 10 14 3 7" xfId="6363" xr:uid="{00000000-0005-0000-0000-0000CF180000}"/>
    <cellStyle name="Normal 2 2 10 14 3 8" xfId="6364" xr:uid="{00000000-0005-0000-0000-0000D0180000}"/>
    <cellStyle name="Normal 2 2 10 14 3 9" xfId="6365" xr:uid="{00000000-0005-0000-0000-0000D1180000}"/>
    <cellStyle name="Normal 2 2 10 14 4" xfId="6366" xr:uid="{00000000-0005-0000-0000-0000D2180000}"/>
    <cellStyle name="Normal 2 2 10 14 4 10" xfId="6367" xr:uid="{00000000-0005-0000-0000-0000D3180000}"/>
    <cellStyle name="Normal 2 2 10 14 4 2" xfId="6368" xr:uid="{00000000-0005-0000-0000-0000D4180000}"/>
    <cellStyle name="Normal 2 2 10 14 4 3" xfId="6369" xr:uid="{00000000-0005-0000-0000-0000D5180000}"/>
    <cellStyle name="Normal 2 2 10 14 4 4" xfId="6370" xr:uid="{00000000-0005-0000-0000-0000D6180000}"/>
    <cellStyle name="Normal 2 2 10 14 4 5" xfId="6371" xr:uid="{00000000-0005-0000-0000-0000D7180000}"/>
    <cellStyle name="Normal 2 2 10 14 4 6" xfId="6372" xr:uid="{00000000-0005-0000-0000-0000D8180000}"/>
    <cellStyle name="Normal 2 2 10 14 4 7" xfId="6373" xr:uid="{00000000-0005-0000-0000-0000D9180000}"/>
    <cellStyle name="Normal 2 2 10 14 4 8" xfId="6374" xr:uid="{00000000-0005-0000-0000-0000DA180000}"/>
    <cellStyle name="Normal 2 2 10 14 4 9" xfId="6375" xr:uid="{00000000-0005-0000-0000-0000DB180000}"/>
    <cellStyle name="Normal 2 2 10 14 5" xfId="6376" xr:uid="{00000000-0005-0000-0000-0000DC180000}"/>
    <cellStyle name="Normal 2 2 10 14 5 10" xfId="6377" xr:uid="{00000000-0005-0000-0000-0000DD180000}"/>
    <cellStyle name="Normal 2 2 10 14 5 2" xfId="6378" xr:uid="{00000000-0005-0000-0000-0000DE180000}"/>
    <cellStyle name="Normal 2 2 10 14 5 3" xfId="6379" xr:uid="{00000000-0005-0000-0000-0000DF180000}"/>
    <cellStyle name="Normal 2 2 10 14 5 4" xfId="6380" xr:uid="{00000000-0005-0000-0000-0000E0180000}"/>
    <cellStyle name="Normal 2 2 10 14 5 5" xfId="6381" xr:uid="{00000000-0005-0000-0000-0000E1180000}"/>
    <cellStyle name="Normal 2 2 10 14 5 6" xfId="6382" xr:uid="{00000000-0005-0000-0000-0000E2180000}"/>
    <cellStyle name="Normal 2 2 10 14 5 7" xfId="6383" xr:uid="{00000000-0005-0000-0000-0000E3180000}"/>
    <cellStyle name="Normal 2 2 10 14 5 8" xfId="6384" xr:uid="{00000000-0005-0000-0000-0000E4180000}"/>
    <cellStyle name="Normal 2 2 10 14 5 9" xfId="6385" xr:uid="{00000000-0005-0000-0000-0000E5180000}"/>
    <cellStyle name="Normal 2 2 10 14 6" xfId="6386" xr:uid="{00000000-0005-0000-0000-0000E6180000}"/>
    <cellStyle name="Normal 2 2 10 14 7" xfId="6387" xr:uid="{00000000-0005-0000-0000-0000E7180000}"/>
    <cellStyle name="Normal 2 2 10 14 8" xfId="6388" xr:uid="{00000000-0005-0000-0000-0000E8180000}"/>
    <cellStyle name="Normal 2 2 10 14 9" xfId="6389" xr:uid="{00000000-0005-0000-0000-0000E9180000}"/>
    <cellStyle name="Normal 2 2 10 15" xfId="6390" xr:uid="{00000000-0005-0000-0000-0000EA180000}"/>
    <cellStyle name="Normal 2 2 10 15 10" xfId="6391" xr:uid="{00000000-0005-0000-0000-0000EB180000}"/>
    <cellStyle name="Normal 2 2 10 15 11" xfId="6392" xr:uid="{00000000-0005-0000-0000-0000EC180000}"/>
    <cellStyle name="Normal 2 2 10 15 12" xfId="6393" xr:uid="{00000000-0005-0000-0000-0000ED180000}"/>
    <cellStyle name="Normal 2 2 10 15 13" xfId="6394" xr:uid="{00000000-0005-0000-0000-0000EE180000}"/>
    <cellStyle name="Normal 2 2 10 15 14" xfId="6395" xr:uid="{00000000-0005-0000-0000-0000EF180000}"/>
    <cellStyle name="Normal 2 2 10 15 2" xfId="6396" xr:uid="{00000000-0005-0000-0000-0000F0180000}"/>
    <cellStyle name="Normal 2 2 10 15 2 10" xfId="6397" xr:uid="{00000000-0005-0000-0000-0000F1180000}"/>
    <cellStyle name="Normal 2 2 10 15 2 2" xfId="6398" xr:uid="{00000000-0005-0000-0000-0000F2180000}"/>
    <cellStyle name="Normal 2 2 10 15 2 3" xfId="6399" xr:uid="{00000000-0005-0000-0000-0000F3180000}"/>
    <cellStyle name="Normal 2 2 10 15 2 4" xfId="6400" xr:uid="{00000000-0005-0000-0000-0000F4180000}"/>
    <cellStyle name="Normal 2 2 10 15 2 5" xfId="6401" xr:uid="{00000000-0005-0000-0000-0000F5180000}"/>
    <cellStyle name="Normal 2 2 10 15 2 6" xfId="6402" xr:uid="{00000000-0005-0000-0000-0000F6180000}"/>
    <cellStyle name="Normal 2 2 10 15 2 7" xfId="6403" xr:uid="{00000000-0005-0000-0000-0000F7180000}"/>
    <cellStyle name="Normal 2 2 10 15 2 8" xfId="6404" xr:uid="{00000000-0005-0000-0000-0000F8180000}"/>
    <cellStyle name="Normal 2 2 10 15 2 9" xfId="6405" xr:uid="{00000000-0005-0000-0000-0000F9180000}"/>
    <cellStyle name="Normal 2 2 10 15 3" xfId="6406" xr:uid="{00000000-0005-0000-0000-0000FA180000}"/>
    <cellStyle name="Normal 2 2 10 15 3 10" xfId="6407" xr:uid="{00000000-0005-0000-0000-0000FB180000}"/>
    <cellStyle name="Normal 2 2 10 15 3 2" xfId="6408" xr:uid="{00000000-0005-0000-0000-0000FC180000}"/>
    <cellStyle name="Normal 2 2 10 15 3 3" xfId="6409" xr:uid="{00000000-0005-0000-0000-0000FD180000}"/>
    <cellStyle name="Normal 2 2 10 15 3 4" xfId="6410" xr:uid="{00000000-0005-0000-0000-0000FE180000}"/>
    <cellStyle name="Normal 2 2 10 15 3 5" xfId="6411" xr:uid="{00000000-0005-0000-0000-0000FF180000}"/>
    <cellStyle name="Normal 2 2 10 15 3 6" xfId="6412" xr:uid="{00000000-0005-0000-0000-000000190000}"/>
    <cellStyle name="Normal 2 2 10 15 3 7" xfId="6413" xr:uid="{00000000-0005-0000-0000-000001190000}"/>
    <cellStyle name="Normal 2 2 10 15 3 8" xfId="6414" xr:uid="{00000000-0005-0000-0000-000002190000}"/>
    <cellStyle name="Normal 2 2 10 15 3 9" xfId="6415" xr:uid="{00000000-0005-0000-0000-000003190000}"/>
    <cellStyle name="Normal 2 2 10 15 4" xfId="6416" xr:uid="{00000000-0005-0000-0000-000004190000}"/>
    <cellStyle name="Normal 2 2 10 15 4 10" xfId="6417" xr:uid="{00000000-0005-0000-0000-000005190000}"/>
    <cellStyle name="Normal 2 2 10 15 4 2" xfId="6418" xr:uid="{00000000-0005-0000-0000-000006190000}"/>
    <cellStyle name="Normal 2 2 10 15 4 3" xfId="6419" xr:uid="{00000000-0005-0000-0000-000007190000}"/>
    <cellStyle name="Normal 2 2 10 15 4 4" xfId="6420" xr:uid="{00000000-0005-0000-0000-000008190000}"/>
    <cellStyle name="Normal 2 2 10 15 4 5" xfId="6421" xr:uid="{00000000-0005-0000-0000-000009190000}"/>
    <cellStyle name="Normal 2 2 10 15 4 6" xfId="6422" xr:uid="{00000000-0005-0000-0000-00000A190000}"/>
    <cellStyle name="Normal 2 2 10 15 4 7" xfId="6423" xr:uid="{00000000-0005-0000-0000-00000B190000}"/>
    <cellStyle name="Normal 2 2 10 15 4 8" xfId="6424" xr:uid="{00000000-0005-0000-0000-00000C190000}"/>
    <cellStyle name="Normal 2 2 10 15 4 9" xfId="6425" xr:uid="{00000000-0005-0000-0000-00000D190000}"/>
    <cellStyle name="Normal 2 2 10 15 5" xfId="6426" xr:uid="{00000000-0005-0000-0000-00000E190000}"/>
    <cellStyle name="Normal 2 2 10 15 5 10" xfId="6427" xr:uid="{00000000-0005-0000-0000-00000F190000}"/>
    <cellStyle name="Normal 2 2 10 15 5 2" xfId="6428" xr:uid="{00000000-0005-0000-0000-000010190000}"/>
    <cellStyle name="Normal 2 2 10 15 5 3" xfId="6429" xr:uid="{00000000-0005-0000-0000-000011190000}"/>
    <cellStyle name="Normal 2 2 10 15 5 4" xfId="6430" xr:uid="{00000000-0005-0000-0000-000012190000}"/>
    <cellStyle name="Normal 2 2 10 15 5 5" xfId="6431" xr:uid="{00000000-0005-0000-0000-000013190000}"/>
    <cellStyle name="Normal 2 2 10 15 5 6" xfId="6432" xr:uid="{00000000-0005-0000-0000-000014190000}"/>
    <cellStyle name="Normal 2 2 10 15 5 7" xfId="6433" xr:uid="{00000000-0005-0000-0000-000015190000}"/>
    <cellStyle name="Normal 2 2 10 15 5 8" xfId="6434" xr:uid="{00000000-0005-0000-0000-000016190000}"/>
    <cellStyle name="Normal 2 2 10 15 5 9" xfId="6435" xr:uid="{00000000-0005-0000-0000-000017190000}"/>
    <cellStyle name="Normal 2 2 10 15 6" xfId="6436" xr:uid="{00000000-0005-0000-0000-000018190000}"/>
    <cellStyle name="Normal 2 2 10 15 7" xfId="6437" xr:uid="{00000000-0005-0000-0000-000019190000}"/>
    <cellStyle name="Normal 2 2 10 15 8" xfId="6438" xr:uid="{00000000-0005-0000-0000-00001A190000}"/>
    <cellStyle name="Normal 2 2 10 15 9" xfId="6439" xr:uid="{00000000-0005-0000-0000-00001B190000}"/>
    <cellStyle name="Normal 2 2 10 16" xfId="6440" xr:uid="{00000000-0005-0000-0000-00001C190000}"/>
    <cellStyle name="Normal 2 2 10 16 10" xfId="6441" xr:uid="{00000000-0005-0000-0000-00001D190000}"/>
    <cellStyle name="Normal 2 2 10 16 11" xfId="6442" xr:uid="{00000000-0005-0000-0000-00001E190000}"/>
    <cellStyle name="Normal 2 2 10 16 12" xfId="6443" xr:uid="{00000000-0005-0000-0000-00001F190000}"/>
    <cellStyle name="Normal 2 2 10 16 13" xfId="6444" xr:uid="{00000000-0005-0000-0000-000020190000}"/>
    <cellStyle name="Normal 2 2 10 16 14" xfId="6445" xr:uid="{00000000-0005-0000-0000-000021190000}"/>
    <cellStyle name="Normal 2 2 10 16 2" xfId="6446" xr:uid="{00000000-0005-0000-0000-000022190000}"/>
    <cellStyle name="Normal 2 2 10 16 2 10" xfId="6447" xr:uid="{00000000-0005-0000-0000-000023190000}"/>
    <cellStyle name="Normal 2 2 10 16 2 2" xfId="6448" xr:uid="{00000000-0005-0000-0000-000024190000}"/>
    <cellStyle name="Normal 2 2 10 16 2 3" xfId="6449" xr:uid="{00000000-0005-0000-0000-000025190000}"/>
    <cellStyle name="Normal 2 2 10 16 2 4" xfId="6450" xr:uid="{00000000-0005-0000-0000-000026190000}"/>
    <cellStyle name="Normal 2 2 10 16 2 5" xfId="6451" xr:uid="{00000000-0005-0000-0000-000027190000}"/>
    <cellStyle name="Normal 2 2 10 16 2 6" xfId="6452" xr:uid="{00000000-0005-0000-0000-000028190000}"/>
    <cellStyle name="Normal 2 2 10 16 2 7" xfId="6453" xr:uid="{00000000-0005-0000-0000-000029190000}"/>
    <cellStyle name="Normal 2 2 10 16 2 8" xfId="6454" xr:uid="{00000000-0005-0000-0000-00002A190000}"/>
    <cellStyle name="Normal 2 2 10 16 2 9" xfId="6455" xr:uid="{00000000-0005-0000-0000-00002B190000}"/>
    <cellStyle name="Normal 2 2 10 16 3" xfId="6456" xr:uid="{00000000-0005-0000-0000-00002C190000}"/>
    <cellStyle name="Normal 2 2 10 16 3 10" xfId="6457" xr:uid="{00000000-0005-0000-0000-00002D190000}"/>
    <cellStyle name="Normal 2 2 10 16 3 2" xfId="6458" xr:uid="{00000000-0005-0000-0000-00002E190000}"/>
    <cellStyle name="Normal 2 2 10 16 3 3" xfId="6459" xr:uid="{00000000-0005-0000-0000-00002F190000}"/>
    <cellStyle name="Normal 2 2 10 16 3 4" xfId="6460" xr:uid="{00000000-0005-0000-0000-000030190000}"/>
    <cellStyle name="Normal 2 2 10 16 3 5" xfId="6461" xr:uid="{00000000-0005-0000-0000-000031190000}"/>
    <cellStyle name="Normal 2 2 10 16 3 6" xfId="6462" xr:uid="{00000000-0005-0000-0000-000032190000}"/>
    <cellStyle name="Normal 2 2 10 16 3 7" xfId="6463" xr:uid="{00000000-0005-0000-0000-000033190000}"/>
    <cellStyle name="Normal 2 2 10 16 3 8" xfId="6464" xr:uid="{00000000-0005-0000-0000-000034190000}"/>
    <cellStyle name="Normal 2 2 10 16 3 9" xfId="6465" xr:uid="{00000000-0005-0000-0000-000035190000}"/>
    <cellStyle name="Normal 2 2 10 16 4" xfId="6466" xr:uid="{00000000-0005-0000-0000-000036190000}"/>
    <cellStyle name="Normal 2 2 10 16 4 10" xfId="6467" xr:uid="{00000000-0005-0000-0000-000037190000}"/>
    <cellStyle name="Normal 2 2 10 16 4 2" xfId="6468" xr:uid="{00000000-0005-0000-0000-000038190000}"/>
    <cellStyle name="Normal 2 2 10 16 4 3" xfId="6469" xr:uid="{00000000-0005-0000-0000-000039190000}"/>
    <cellStyle name="Normal 2 2 10 16 4 4" xfId="6470" xr:uid="{00000000-0005-0000-0000-00003A190000}"/>
    <cellStyle name="Normal 2 2 10 16 4 5" xfId="6471" xr:uid="{00000000-0005-0000-0000-00003B190000}"/>
    <cellStyle name="Normal 2 2 10 16 4 6" xfId="6472" xr:uid="{00000000-0005-0000-0000-00003C190000}"/>
    <cellStyle name="Normal 2 2 10 16 4 7" xfId="6473" xr:uid="{00000000-0005-0000-0000-00003D190000}"/>
    <cellStyle name="Normal 2 2 10 16 4 8" xfId="6474" xr:uid="{00000000-0005-0000-0000-00003E190000}"/>
    <cellStyle name="Normal 2 2 10 16 4 9" xfId="6475" xr:uid="{00000000-0005-0000-0000-00003F190000}"/>
    <cellStyle name="Normal 2 2 10 16 5" xfId="6476" xr:uid="{00000000-0005-0000-0000-000040190000}"/>
    <cellStyle name="Normal 2 2 10 16 5 10" xfId="6477" xr:uid="{00000000-0005-0000-0000-000041190000}"/>
    <cellStyle name="Normal 2 2 10 16 5 2" xfId="6478" xr:uid="{00000000-0005-0000-0000-000042190000}"/>
    <cellStyle name="Normal 2 2 10 16 5 3" xfId="6479" xr:uid="{00000000-0005-0000-0000-000043190000}"/>
    <cellStyle name="Normal 2 2 10 16 5 4" xfId="6480" xr:uid="{00000000-0005-0000-0000-000044190000}"/>
    <cellStyle name="Normal 2 2 10 16 5 5" xfId="6481" xr:uid="{00000000-0005-0000-0000-000045190000}"/>
    <cellStyle name="Normal 2 2 10 16 5 6" xfId="6482" xr:uid="{00000000-0005-0000-0000-000046190000}"/>
    <cellStyle name="Normal 2 2 10 16 5 7" xfId="6483" xr:uid="{00000000-0005-0000-0000-000047190000}"/>
    <cellStyle name="Normal 2 2 10 16 5 8" xfId="6484" xr:uid="{00000000-0005-0000-0000-000048190000}"/>
    <cellStyle name="Normal 2 2 10 16 5 9" xfId="6485" xr:uid="{00000000-0005-0000-0000-000049190000}"/>
    <cellStyle name="Normal 2 2 10 16 6" xfId="6486" xr:uid="{00000000-0005-0000-0000-00004A190000}"/>
    <cellStyle name="Normal 2 2 10 16 7" xfId="6487" xr:uid="{00000000-0005-0000-0000-00004B190000}"/>
    <cellStyle name="Normal 2 2 10 16 8" xfId="6488" xr:uid="{00000000-0005-0000-0000-00004C190000}"/>
    <cellStyle name="Normal 2 2 10 16 9" xfId="6489" xr:uid="{00000000-0005-0000-0000-00004D190000}"/>
    <cellStyle name="Normal 2 2 10 17" xfId="6490" xr:uid="{00000000-0005-0000-0000-00004E190000}"/>
    <cellStyle name="Normal 2 2 10 17 10" xfId="6491" xr:uid="{00000000-0005-0000-0000-00004F190000}"/>
    <cellStyle name="Normal 2 2 10 17 11" xfId="6492" xr:uid="{00000000-0005-0000-0000-000050190000}"/>
    <cellStyle name="Normal 2 2 10 17 12" xfId="6493" xr:uid="{00000000-0005-0000-0000-000051190000}"/>
    <cellStyle name="Normal 2 2 10 17 13" xfId="6494" xr:uid="{00000000-0005-0000-0000-000052190000}"/>
    <cellStyle name="Normal 2 2 10 17 14" xfId="6495" xr:uid="{00000000-0005-0000-0000-000053190000}"/>
    <cellStyle name="Normal 2 2 10 17 2" xfId="6496" xr:uid="{00000000-0005-0000-0000-000054190000}"/>
    <cellStyle name="Normal 2 2 10 17 2 10" xfId="6497" xr:uid="{00000000-0005-0000-0000-000055190000}"/>
    <cellStyle name="Normal 2 2 10 17 2 2" xfId="6498" xr:uid="{00000000-0005-0000-0000-000056190000}"/>
    <cellStyle name="Normal 2 2 10 17 2 3" xfId="6499" xr:uid="{00000000-0005-0000-0000-000057190000}"/>
    <cellStyle name="Normal 2 2 10 17 2 4" xfId="6500" xr:uid="{00000000-0005-0000-0000-000058190000}"/>
    <cellStyle name="Normal 2 2 10 17 2 5" xfId="6501" xr:uid="{00000000-0005-0000-0000-000059190000}"/>
    <cellStyle name="Normal 2 2 10 17 2 6" xfId="6502" xr:uid="{00000000-0005-0000-0000-00005A190000}"/>
    <cellStyle name="Normal 2 2 10 17 2 7" xfId="6503" xr:uid="{00000000-0005-0000-0000-00005B190000}"/>
    <cellStyle name="Normal 2 2 10 17 2 8" xfId="6504" xr:uid="{00000000-0005-0000-0000-00005C190000}"/>
    <cellStyle name="Normal 2 2 10 17 2 9" xfId="6505" xr:uid="{00000000-0005-0000-0000-00005D190000}"/>
    <cellStyle name="Normal 2 2 10 17 3" xfId="6506" xr:uid="{00000000-0005-0000-0000-00005E190000}"/>
    <cellStyle name="Normal 2 2 10 17 3 10" xfId="6507" xr:uid="{00000000-0005-0000-0000-00005F190000}"/>
    <cellStyle name="Normal 2 2 10 17 3 2" xfId="6508" xr:uid="{00000000-0005-0000-0000-000060190000}"/>
    <cellStyle name="Normal 2 2 10 17 3 3" xfId="6509" xr:uid="{00000000-0005-0000-0000-000061190000}"/>
    <cellStyle name="Normal 2 2 10 17 3 4" xfId="6510" xr:uid="{00000000-0005-0000-0000-000062190000}"/>
    <cellStyle name="Normal 2 2 10 17 3 5" xfId="6511" xr:uid="{00000000-0005-0000-0000-000063190000}"/>
    <cellStyle name="Normal 2 2 10 17 3 6" xfId="6512" xr:uid="{00000000-0005-0000-0000-000064190000}"/>
    <cellStyle name="Normal 2 2 10 17 3 7" xfId="6513" xr:uid="{00000000-0005-0000-0000-000065190000}"/>
    <cellStyle name="Normal 2 2 10 17 3 8" xfId="6514" xr:uid="{00000000-0005-0000-0000-000066190000}"/>
    <cellStyle name="Normal 2 2 10 17 3 9" xfId="6515" xr:uid="{00000000-0005-0000-0000-000067190000}"/>
    <cellStyle name="Normal 2 2 10 17 4" xfId="6516" xr:uid="{00000000-0005-0000-0000-000068190000}"/>
    <cellStyle name="Normal 2 2 10 17 4 10" xfId="6517" xr:uid="{00000000-0005-0000-0000-000069190000}"/>
    <cellStyle name="Normal 2 2 10 17 4 2" xfId="6518" xr:uid="{00000000-0005-0000-0000-00006A190000}"/>
    <cellStyle name="Normal 2 2 10 17 4 3" xfId="6519" xr:uid="{00000000-0005-0000-0000-00006B190000}"/>
    <cellStyle name="Normal 2 2 10 17 4 4" xfId="6520" xr:uid="{00000000-0005-0000-0000-00006C190000}"/>
    <cellStyle name="Normal 2 2 10 17 4 5" xfId="6521" xr:uid="{00000000-0005-0000-0000-00006D190000}"/>
    <cellStyle name="Normal 2 2 10 17 4 6" xfId="6522" xr:uid="{00000000-0005-0000-0000-00006E190000}"/>
    <cellStyle name="Normal 2 2 10 17 4 7" xfId="6523" xr:uid="{00000000-0005-0000-0000-00006F190000}"/>
    <cellStyle name="Normal 2 2 10 17 4 8" xfId="6524" xr:uid="{00000000-0005-0000-0000-000070190000}"/>
    <cellStyle name="Normal 2 2 10 17 4 9" xfId="6525" xr:uid="{00000000-0005-0000-0000-000071190000}"/>
    <cellStyle name="Normal 2 2 10 17 5" xfId="6526" xr:uid="{00000000-0005-0000-0000-000072190000}"/>
    <cellStyle name="Normal 2 2 10 17 5 10" xfId="6527" xr:uid="{00000000-0005-0000-0000-000073190000}"/>
    <cellStyle name="Normal 2 2 10 17 5 2" xfId="6528" xr:uid="{00000000-0005-0000-0000-000074190000}"/>
    <cellStyle name="Normal 2 2 10 17 5 3" xfId="6529" xr:uid="{00000000-0005-0000-0000-000075190000}"/>
    <cellStyle name="Normal 2 2 10 17 5 4" xfId="6530" xr:uid="{00000000-0005-0000-0000-000076190000}"/>
    <cellStyle name="Normal 2 2 10 17 5 5" xfId="6531" xr:uid="{00000000-0005-0000-0000-000077190000}"/>
    <cellStyle name="Normal 2 2 10 17 5 6" xfId="6532" xr:uid="{00000000-0005-0000-0000-000078190000}"/>
    <cellStyle name="Normal 2 2 10 17 5 7" xfId="6533" xr:uid="{00000000-0005-0000-0000-000079190000}"/>
    <cellStyle name="Normal 2 2 10 17 5 8" xfId="6534" xr:uid="{00000000-0005-0000-0000-00007A190000}"/>
    <cellStyle name="Normal 2 2 10 17 5 9" xfId="6535" xr:uid="{00000000-0005-0000-0000-00007B190000}"/>
    <cellStyle name="Normal 2 2 10 17 6" xfId="6536" xr:uid="{00000000-0005-0000-0000-00007C190000}"/>
    <cellStyle name="Normal 2 2 10 17 7" xfId="6537" xr:uid="{00000000-0005-0000-0000-00007D190000}"/>
    <cellStyle name="Normal 2 2 10 17 8" xfId="6538" xr:uid="{00000000-0005-0000-0000-00007E190000}"/>
    <cellStyle name="Normal 2 2 10 17 9" xfId="6539" xr:uid="{00000000-0005-0000-0000-00007F190000}"/>
    <cellStyle name="Normal 2 2 10 18" xfId="6540" xr:uid="{00000000-0005-0000-0000-000080190000}"/>
    <cellStyle name="Normal 2 2 10 18 10" xfId="6541" xr:uid="{00000000-0005-0000-0000-000081190000}"/>
    <cellStyle name="Normal 2 2 10 18 11" xfId="6542" xr:uid="{00000000-0005-0000-0000-000082190000}"/>
    <cellStyle name="Normal 2 2 10 18 12" xfId="6543" xr:uid="{00000000-0005-0000-0000-000083190000}"/>
    <cellStyle name="Normal 2 2 10 18 13" xfId="6544" xr:uid="{00000000-0005-0000-0000-000084190000}"/>
    <cellStyle name="Normal 2 2 10 18 14" xfId="6545" xr:uid="{00000000-0005-0000-0000-000085190000}"/>
    <cellStyle name="Normal 2 2 10 18 2" xfId="6546" xr:uid="{00000000-0005-0000-0000-000086190000}"/>
    <cellStyle name="Normal 2 2 10 18 2 10" xfId="6547" xr:uid="{00000000-0005-0000-0000-000087190000}"/>
    <cellStyle name="Normal 2 2 10 18 2 2" xfId="6548" xr:uid="{00000000-0005-0000-0000-000088190000}"/>
    <cellStyle name="Normal 2 2 10 18 2 3" xfId="6549" xr:uid="{00000000-0005-0000-0000-000089190000}"/>
    <cellStyle name="Normal 2 2 10 18 2 4" xfId="6550" xr:uid="{00000000-0005-0000-0000-00008A190000}"/>
    <cellStyle name="Normal 2 2 10 18 2 5" xfId="6551" xr:uid="{00000000-0005-0000-0000-00008B190000}"/>
    <cellStyle name="Normal 2 2 10 18 2 6" xfId="6552" xr:uid="{00000000-0005-0000-0000-00008C190000}"/>
    <cellStyle name="Normal 2 2 10 18 2 7" xfId="6553" xr:uid="{00000000-0005-0000-0000-00008D190000}"/>
    <cellStyle name="Normal 2 2 10 18 2 8" xfId="6554" xr:uid="{00000000-0005-0000-0000-00008E190000}"/>
    <cellStyle name="Normal 2 2 10 18 2 9" xfId="6555" xr:uid="{00000000-0005-0000-0000-00008F190000}"/>
    <cellStyle name="Normal 2 2 10 18 3" xfId="6556" xr:uid="{00000000-0005-0000-0000-000090190000}"/>
    <cellStyle name="Normal 2 2 10 18 3 10" xfId="6557" xr:uid="{00000000-0005-0000-0000-000091190000}"/>
    <cellStyle name="Normal 2 2 10 18 3 2" xfId="6558" xr:uid="{00000000-0005-0000-0000-000092190000}"/>
    <cellStyle name="Normal 2 2 10 18 3 3" xfId="6559" xr:uid="{00000000-0005-0000-0000-000093190000}"/>
    <cellStyle name="Normal 2 2 10 18 3 4" xfId="6560" xr:uid="{00000000-0005-0000-0000-000094190000}"/>
    <cellStyle name="Normal 2 2 10 18 3 5" xfId="6561" xr:uid="{00000000-0005-0000-0000-000095190000}"/>
    <cellStyle name="Normal 2 2 10 18 3 6" xfId="6562" xr:uid="{00000000-0005-0000-0000-000096190000}"/>
    <cellStyle name="Normal 2 2 10 18 3 7" xfId="6563" xr:uid="{00000000-0005-0000-0000-000097190000}"/>
    <cellStyle name="Normal 2 2 10 18 3 8" xfId="6564" xr:uid="{00000000-0005-0000-0000-000098190000}"/>
    <cellStyle name="Normal 2 2 10 18 3 9" xfId="6565" xr:uid="{00000000-0005-0000-0000-000099190000}"/>
    <cellStyle name="Normal 2 2 10 18 4" xfId="6566" xr:uid="{00000000-0005-0000-0000-00009A190000}"/>
    <cellStyle name="Normal 2 2 10 18 4 10" xfId="6567" xr:uid="{00000000-0005-0000-0000-00009B190000}"/>
    <cellStyle name="Normal 2 2 10 18 4 2" xfId="6568" xr:uid="{00000000-0005-0000-0000-00009C190000}"/>
    <cellStyle name="Normal 2 2 10 18 4 3" xfId="6569" xr:uid="{00000000-0005-0000-0000-00009D190000}"/>
    <cellStyle name="Normal 2 2 10 18 4 4" xfId="6570" xr:uid="{00000000-0005-0000-0000-00009E190000}"/>
    <cellStyle name="Normal 2 2 10 18 4 5" xfId="6571" xr:uid="{00000000-0005-0000-0000-00009F190000}"/>
    <cellStyle name="Normal 2 2 10 18 4 6" xfId="6572" xr:uid="{00000000-0005-0000-0000-0000A0190000}"/>
    <cellStyle name="Normal 2 2 10 18 4 7" xfId="6573" xr:uid="{00000000-0005-0000-0000-0000A1190000}"/>
    <cellStyle name="Normal 2 2 10 18 4 8" xfId="6574" xr:uid="{00000000-0005-0000-0000-0000A2190000}"/>
    <cellStyle name="Normal 2 2 10 18 4 9" xfId="6575" xr:uid="{00000000-0005-0000-0000-0000A3190000}"/>
    <cellStyle name="Normal 2 2 10 18 5" xfId="6576" xr:uid="{00000000-0005-0000-0000-0000A4190000}"/>
    <cellStyle name="Normal 2 2 10 18 5 10" xfId="6577" xr:uid="{00000000-0005-0000-0000-0000A5190000}"/>
    <cellStyle name="Normal 2 2 10 18 5 2" xfId="6578" xr:uid="{00000000-0005-0000-0000-0000A6190000}"/>
    <cellStyle name="Normal 2 2 10 18 5 3" xfId="6579" xr:uid="{00000000-0005-0000-0000-0000A7190000}"/>
    <cellStyle name="Normal 2 2 10 18 5 4" xfId="6580" xr:uid="{00000000-0005-0000-0000-0000A8190000}"/>
    <cellStyle name="Normal 2 2 10 18 5 5" xfId="6581" xr:uid="{00000000-0005-0000-0000-0000A9190000}"/>
    <cellStyle name="Normal 2 2 10 18 5 6" xfId="6582" xr:uid="{00000000-0005-0000-0000-0000AA190000}"/>
    <cellStyle name="Normal 2 2 10 18 5 7" xfId="6583" xr:uid="{00000000-0005-0000-0000-0000AB190000}"/>
    <cellStyle name="Normal 2 2 10 18 5 8" xfId="6584" xr:uid="{00000000-0005-0000-0000-0000AC190000}"/>
    <cellStyle name="Normal 2 2 10 18 5 9" xfId="6585" xr:uid="{00000000-0005-0000-0000-0000AD190000}"/>
    <cellStyle name="Normal 2 2 10 18 6" xfId="6586" xr:uid="{00000000-0005-0000-0000-0000AE190000}"/>
    <cellStyle name="Normal 2 2 10 18 7" xfId="6587" xr:uid="{00000000-0005-0000-0000-0000AF190000}"/>
    <cellStyle name="Normal 2 2 10 18 8" xfId="6588" xr:uid="{00000000-0005-0000-0000-0000B0190000}"/>
    <cellStyle name="Normal 2 2 10 18 9" xfId="6589" xr:uid="{00000000-0005-0000-0000-0000B1190000}"/>
    <cellStyle name="Normal 2 2 10 19" xfId="6590" xr:uid="{00000000-0005-0000-0000-0000B2190000}"/>
    <cellStyle name="Normal 2 2 10 19 10" xfId="6591" xr:uid="{00000000-0005-0000-0000-0000B3190000}"/>
    <cellStyle name="Normal 2 2 10 19 11" xfId="6592" xr:uid="{00000000-0005-0000-0000-0000B4190000}"/>
    <cellStyle name="Normal 2 2 10 19 12" xfId="6593" xr:uid="{00000000-0005-0000-0000-0000B5190000}"/>
    <cellStyle name="Normal 2 2 10 19 13" xfId="6594" xr:uid="{00000000-0005-0000-0000-0000B6190000}"/>
    <cellStyle name="Normal 2 2 10 19 14" xfId="6595" xr:uid="{00000000-0005-0000-0000-0000B7190000}"/>
    <cellStyle name="Normal 2 2 10 19 2" xfId="6596" xr:uid="{00000000-0005-0000-0000-0000B8190000}"/>
    <cellStyle name="Normal 2 2 10 19 2 10" xfId="6597" xr:uid="{00000000-0005-0000-0000-0000B9190000}"/>
    <cellStyle name="Normal 2 2 10 19 2 2" xfId="6598" xr:uid="{00000000-0005-0000-0000-0000BA190000}"/>
    <cellStyle name="Normal 2 2 10 19 2 3" xfId="6599" xr:uid="{00000000-0005-0000-0000-0000BB190000}"/>
    <cellStyle name="Normal 2 2 10 19 2 4" xfId="6600" xr:uid="{00000000-0005-0000-0000-0000BC190000}"/>
    <cellStyle name="Normal 2 2 10 19 2 5" xfId="6601" xr:uid="{00000000-0005-0000-0000-0000BD190000}"/>
    <cellStyle name="Normal 2 2 10 19 2 6" xfId="6602" xr:uid="{00000000-0005-0000-0000-0000BE190000}"/>
    <cellStyle name="Normal 2 2 10 19 2 7" xfId="6603" xr:uid="{00000000-0005-0000-0000-0000BF190000}"/>
    <cellStyle name="Normal 2 2 10 19 2 8" xfId="6604" xr:uid="{00000000-0005-0000-0000-0000C0190000}"/>
    <cellStyle name="Normal 2 2 10 19 2 9" xfId="6605" xr:uid="{00000000-0005-0000-0000-0000C1190000}"/>
    <cellStyle name="Normal 2 2 10 19 3" xfId="6606" xr:uid="{00000000-0005-0000-0000-0000C2190000}"/>
    <cellStyle name="Normal 2 2 10 19 3 10" xfId="6607" xr:uid="{00000000-0005-0000-0000-0000C3190000}"/>
    <cellStyle name="Normal 2 2 10 19 3 2" xfId="6608" xr:uid="{00000000-0005-0000-0000-0000C4190000}"/>
    <cellStyle name="Normal 2 2 10 19 3 3" xfId="6609" xr:uid="{00000000-0005-0000-0000-0000C5190000}"/>
    <cellStyle name="Normal 2 2 10 19 3 4" xfId="6610" xr:uid="{00000000-0005-0000-0000-0000C6190000}"/>
    <cellStyle name="Normal 2 2 10 19 3 5" xfId="6611" xr:uid="{00000000-0005-0000-0000-0000C7190000}"/>
    <cellStyle name="Normal 2 2 10 19 3 6" xfId="6612" xr:uid="{00000000-0005-0000-0000-0000C8190000}"/>
    <cellStyle name="Normal 2 2 10 19 3 7" xfId="6613" xr:uid="{00000000-0005-0000-0000-0000C9190000}"/>
    <cellStyle name="Normal 2 2 10 19 3 8" xfId="6614" xr:uid="{00000000-0005-0000-0000-0000CA190000}"/>
    <cellStyle name="Normal 2 2 10 19 3 9" xfId="6615" xr:uid="{00000000-0005-0000-0000-0000CB190000}"/>
    <cellStyle name="Normal 2 2 10 19 4" xfId="6616" xr:uid="{00000000-0005-0000-0000-0000CC190000}"/>
    <cellStyle name="Normal 2 2 10 19 4 10" xfId="6617" xr:uid="{00000000-0005-0000-0000-0000CD190000}"/>
    <cellStyle name="Normal 2 2 10 19 4 2" xfId="6618" xr:uid="{00000000-0005-0000-0000-0000CE190000}"/>
    <cellStyle name="Normal 2 2 10 19 4 3" xfId="6619" xr:uid="{00000000-0005-0000-0000-0000CF190000}"/>
    <cellStyle name="Normal 2 2 10 19 4 4" xfId="6620" xr:uid="{00000000-0005-0000-0000-0000D0190000}"/>
    <cellStyle name="Normal 2 2 10 19 4 5" xfId="6621" xr:uid="{00000000-0005-0000-0000-0000D1190000}"/>
    <cellStyle name="Normal 2 2 10 19 4 6" xfId="6622" xr:uid="{00000000-0005-0000-0000-0000D2190000}"/>
    <cellStyle name="Normal 2 2 10 19 4 7" xfId="6623" xr:uid="{00000000-0005-0000-0000-0000D3190000}"/>
    <cellStyle name="Normal 2 2 10 19 4 8" xfId="6624" xr:uid="{00000000-0005-0000-0000-0000D4190000}"/>
    <cellStyle name="Normal 2 2 10 19 4 9" xfId="6625" xr:uid="{00000000-0005-0000-0000-0000D5190000}"/>
    <cellStyle name="Normal 2 2 10 19 5" xfId="6626" xr:uid="{00000000-0005-0000-0000-0000D6190000}"/>
    <cellStyle name="Normal 2 2 10 19 5 10" xfId="6627" xr:uid="{00000000-0005-0000-0000-0000D7190000}"/>
    <cellStyle name="Normal 2 2 10 19 5 2" xfId="6628" xr:uid="{00000000-0005-0000-0000-0000D8190000}"/>
    <cellStyle name="Normal 2 2 10 19 5 3" xfId="6629" xr:uid="{00000000-0005-0000-0000-0000D9190000}"/>
    <cellStyle name="Normal 2 2 10 19 5 4" xfId="6630" xr:uid="{00000000-0005-0000-0000-0000DA190000}"/>
    <cellStyle name="Normal 2 2 10 19 5 5" xfId="6631" xr:uid="{00000000-0005-0000-0000-0000DB190000}"/>
    <cellStyle name="Normal 2 2 10 19 5 6" xfId="6632" xr:uid="{00000000-0005-0000-0000-0000DC190000}"/>
    <cellStyle name="Normal 2 2 10 19 5 7" xfId="6633" xr:uid="{00000000-0005-0000-0000-0000DD190000}"/>
    <cellStyle name="Normal 2 2 10 19 5 8" xfId="6634" xr:uid="{00000000-0005-0000-0000-0000DE190000}"/>
    <cellStyle name="Normal 2 2 10 19 5 9" xfId="6635" xr:uid="{00000000-0005-0000-0000-0000DF190000}"/>
    <cellStyle name="Normal 2 2 10 19 6" xfId="6636" xr:uid="{00000000-0005-0000-0000-0000E0190000}"/>
    <cellStyle name="Normal 2 2 10 19 7" xfId="6637" xr:uid="{00000000-0005-0000-0000-0000E1190000}"/>
    <cellStyle name="Normal 2 2 10 19 8" xfId="6638" xr:uid="{00000000-0005-0000-0000-0000E2190000}"/>
    <cellStyle name="Normal 2 2 10 19 9" xfId="6639" xr:uid="{00000000-0005-0000-0000-0000E3190000}"/>
    <cellStyle name="Normal 2 2 10 2" xfId="6640" xr:uid="{00000000-0005-0000-0000-0000E4190000}"/>
    <cellStyle name="Normal 2 2 10 2 10" xfId="6641" xr:uid="{00000000-0005-0000-0000-0000E5190000}"/>
    <cellStyle name="Normal 2 2 10 2 10 10" xfId="6642" xr:uid="{00000000-0005-0000-0000-0000E6190000}"/>
    <cellStyle name="Normal 2 2 10 2 10 11" xfId="6643" xr:uid="{00000000-0005-0000-0000-0000E7190000}"/>
    <cellStyle name="Normal 2 2 10 2 10 12" xfId="6644" xr:uid="{00000000-0005-0000-0000-0000E8190000}"/>
    <cellStyle name="Normal 2 2 10 2 10 13" xfId="6645" xr:uid="{00000000-0005-0000-0000-0000E9190000}"/>
    <cellStyle name="Normal 2 2 10 2 10 14" xfId="6646" xr:uid="{00000000-0005-0000-0000-0000EA190000}"/>
    <cellStyle name="Normal 2 2 10 2 10 2" xfId="6647" xr:uid="{00000000-0005-0000-0000-0000EB190000}"/>
    <cellStyle name="Normal 2 2 10 2 10 2 10" xfId="6648" xr:uid="{00000000-0005-0000-0000-0000EC190000}"/>
    <cellStyle name="Normal 2 2 10 2 10 2 2" xfId="6649" xr:uid="{00000000-0005-0000-0000-0000ED190000}"/>
    <cellStyle name="Normal 2 2 10 2 10 2 3" xfId="6650" xr:uid="{00000000-0005-0000-0000-0000EE190000}"/>
    <cellStyle name="Normal 2 2 10 2 10 2 4" xfId="6651" xr:uid="{00000000-0005-0000-0000-0000EF190000}"/>
    <cellStyle name="Normal 2 2 10 2 10 2 5" xfId="6652" xr:uid="{00000000-0005-0000-0000-0000F0190000}"/>
    <cellStyle name="Normal 2 2 10 2 10 2 6" xfId="6653" xr:uid="{00000000-0005-0000-0000-0000F1190000}"/>
    <cellStyle name="Normal 2 2 10 2 10 2 7" xfId="6654" xr:uid="{00000000-0005-0000-0000-0000F2190000}"/>
    <cellStyle name="Normal 2 2 10 2 10 2 8" xfId="6655" xr:uid="{00000000-0005-0000-0000-0000F3190000}"/>
    <cellStyle name="Normal 2 2 10 2 10 2 9" xfId="6656" xr:uid="{00000000-0005-0000-0000-0000F4190000}"/>
    <cellStyle name="Normal 2 2 10 2 10 3" xfId="6657" xr:uid="{00000000-0005-0000-0000-0000F5190000}"/>
    <cellStyle name="Normal 2 2 10 2 10 3 10" xfId="6658" xr:uid="{00000000-0005-0000-0000-0000F6190000}"/>
    <cellStyle name="Normal 2 2 10 2 10 3 2" xfId="6659" xr:uid="{00000000-0005-0000-0000-0000F7190000}"/>
    <cellStyle name="Normal 2 2 10 2 10 3 3" xfId="6660" xr:uid="{00000000-0005-0000-0000-0000F8190000}"/>
    <cellStyle name="Normal 2 2 10 2 10 3 4" xfId="6661" xr:uid="{00000000-0005-0000-0000-0000F9190000}"/>
    <cellStyle name="Normal 2 2 10 2 10 3 5" xfId="6662" xr:uid="{00000000-0005-0000-0000-0000FA190000}"/>
    <cellStyle name="Normal 2 2 10 2 10 3 6" xfId="6663" xr:uid="{00000000-0005-0000-0000-0000FB190000}"/>
    <cellStyle name="Normal 2 2 10 2 10 3 7" xfId="6664" xr:uid="{00000000-0005-0000-0000-0000FC190000}"/>
    <cellStyle name="Normal 2 2 10 2 10 3 8" xfId="6665" xr:uid="{00000000-0005-0000-0000-0000FD190000}"/>
    <cellStyle name="Normal 2 2 10 2 10 3 9" xfId="6666" xr:uid="{00000000-0005-0000-0000-0000FE190000}"/>
    <cellStyle name="Normal 2 2 10 2 10 4" xfId="6667" xr:uid="{00000000-0005-0000-0000-0000FF190000}"/>
    <cellStyle name="Normal 2 2 10 2 10 4 10" xfId="6668" xr:uid="{00000000-0005-0000-0000-0000001A0000}"/>
    <cellStyle name="Normal 2 2 10 2 10 4 2" xfId="6669" xr:uid="{00000000-0005-0000-0000-0000011A0000}"/>
    <cellStyle name="Normal 2 2 10 2 10 4 3" xfId="6670" xr:uid="{00000000-0005-0000-0000-0000021A0000}"/>
    <cellStyle name="Normal 2 2 10 2 10 4 4" xfId="6671" xr:uid="{00000000-0005-0000-0000-0000031A0000}"/>
    <cellStyle name="Normal 2 2 10 2 10 4 5" xfId="6672" xr:uid="{00000000-0005-0000-0000-0000041A0000}"/>
    <cellStyle name="Normal 2 2 10 2 10 4 6" xfId="6673" xr:uid="{00000000-0005-0000-0000-0000051A0000}"/>
    <cellStyle name="Normal 2 2 10 2 10 4 7" xfId="6674" xr:uid="{00000000-0005-0000-0000-0000061A0000}"/>
    <cellStyle name="Normal 2 2 10 2 10 4 8" xfId="6675" xr:uid="{00000000-0005-0000-0000-0000071A0000}"/>
    <cellStyle name="Normal 2 2 10 2 10 4 9" xfId="6676" xr:uid="{00000000-0005-0000-0000-0000081A0000}"/>
    <cellStyle name="Normal 2 2 10 2 10 5" xfId="6677" xr:uid="{00000000-0005-0000-0000-0000091A0000}"/>
    <cellStyle name="Normal 2 2 10 2 10 5 10" xfId="6678" xr:uid="{00000000-0005-0000-0000-00000A1A0000}"/>
    <cellStyle name="Normal 2 2 10 2 10 5 2" xfId="6679" xr:uid="{00000000-0005-0000-0000-00000B1A0000}"/>
    <cellStyle name="Normal 2 2 10 2 10 5 3" xfId="6680" xr:uid="{00000000-0005-0000-0000-00000C1A0000}"/>
    <cellStyle name="Normal 2 2 10 2 10 5 4" xfId="6681" xr:uid="{00000000-0005-0000-0000-00000D1A0000}"/>
    <cellStyle name="Normal 2 2 10 2 10 5 5" xfId="6682" xr:uid="{00000000-0005-0000-0000-00000E1A0000}"/>
    <cellStyle name="Normal 2 2 10 2 10 5 6" xfId="6683" xr:uid="{00000000-0005-0000-0000-00000F1A0000}"/>
    <cellStyle name="Normal 2 2 10 2 10 5 7" xfId="6684" xr:uid="{00000000-0005-0000-0000-0000101A0000}"/>
    <cellStyle name="Normal 2 2 10 2 10 5 8" xfId="6685" xr:uid="{00000000-0005-0000-0000-0000111A0000}"/>
    <cellStyle name="Normal 2 2 10 2 10 5 9" xfId="6686" xr:uid="{00000000-0005-0000-0000-0000121A0000}"/>
    <cellStyle name="Normal 2 2 10 2 10 6" xfId="6687" xr:uid="{00000000-0005-0000-0000-0000131A0000}"/>
    <cellStyle name="Normal 2 2 10 2 10 7" xfId="6688" xr:uid="{00000000-0005-0000-0000-0000141A0000}"/>
    <cellStyle name="Normal 2 2 10 2 10 8" xfId="6689" xr:uid="{00000000-0005-0000-0000-0000151A0000}"/>
    <cellStyle name="Normal 2 2 10 2 10 9" xfId="6690" xr:uid="{00000000-0005-0000-0000-0000161A0000}"/>
    <cellStyle name="Normal 2 2 10 2 11" xfId="6691" xr:uid="{00000000-0005-0000-0000-0000171A0000}"/>
    <cellStyle name="Normal 2 2 10 2 11 10" xfId="6692" xr:uid="{00000000-0005-0000-0000-0000181A0000}"/>
    <cellStyle name="Normal 2 2 10 2 11 11" xfId="6693" xr:uid="{00000000-0005-0000-0000-0000191A0000}"/>
    <cellStyle name="Normal 2 2 10 2 11 12" xfId="6694" xr:uid="{00000000-0005-0000-0000-00001A1A0000}"/>
    <cellStyle name="Normal 2 2 10 2 11 13" xfId="6695" xr:uid="{00000000-0005-0000-0000-00001B1A0000}"/>
    <cellStyle name="Normal 2 2 10 2 11 14" xfId="6696" xr:uid="{00000000-0005-0000-0000-00001C1A0000}"/>
    <cellStyle name="Normal 2 2 10 2 11 2" xfId="6697" xr:uid="{00000000-0005-0000-0000-00001D1A0000}"/>
    <cellStyle name="Normal 2 2 10 2 11 2 10" xfId="6698" xr:uid="{00000000-0005-0000-0000-00001E1A0000}"/>
    <cellStyle name="Normal 2 2 10 2 11 2 2" xfId="6699" xr:uid="{00000000-0005-0000-0000-00001F1A0000}"/>
    <cellStyle name="Normal 2 2 10 2 11 2 3" xfId="6700" xr:uid="{00000000-0005-0000-0000-0000201A0000}"/>
    <cellStyle name="Normal 2 2 10 2 11 2 4" xfId="6701" xr:uid="{00000000-0005-0000-0000-0000211A0000}"/>
    <cellStyle name="Normal 2 2 10 2 11 2 5" xfId="6702" xr:uid="{00000000-0005-0000-0000-0000221A0000}"/>
    <cellStyle name="Normal 2 2 10 2 11 2 6" xfId="6703" xr:uid="{00000000-0005-0000-0000-0000231A0000}"/>
    <cellStyle name="Normal 2 2 10 2 11 2 7" xfId="6704" xr:uid="{00000000-0005-0000-0000-0000241A0000}"/>
    <cellStyle name="Normal 2 2 10 2 11 2 8" xfId="6705" xr:uid="{00000000-0005-0000-0000-0000251A0000}"/>
    <cellStyle name="Normal 2 2 10 2 11 2 9" xfId="6706" xr:uid="{00000000-0005-0000-0000-0000261A0000}"/>
    <cellStyle name="Normal 2 2 10 2 11 3" xfId="6707" xr:uid="{00000000-0005-0000-0000-0000271A0000}"/>
    <cellStyle name="Normal 2 2 10 2 11 3 10" xfId="6708" xr:uid="{00000000-0005-0000-0000-0000281A0000}"/>
    <cellStyle name="Normal 2 2 10 2 11 3 2" xfId="6709" xr:uid="{00000000-0005-0000-0000-0000291A0000}"/>
    <cellStyle name="Normal 2 2 10 2 11 3 3" xfId="6710" xr:uid="{00000000-0005-0000-0000-00002A1A0000}"/>
    <cellStyle name="Normal 2 2 10 2 11 3 4" xfId="6711" xr:uid="{00000000-0005-0000-0000-00002B1A0000}"/>
    <cellStyle name="Normal 2 2 10 2 11 3 5" xfId="6712" xr:uid="{00000000-0005-0000-0000-00002C1A0000}"/>
    <cellStyle name="Normal 2 2 10 2 11 3 6" xfId="6713" xr:uid="{00000000-0005-0000-0000-00002D1A0000}"/>
    <cellStyle name="Normal 2 2 10 2 11 3 7" xfId="6714" xr:uid="{00000000-0005-0000-0000-00002E1A0000}"/>
    <cellStyle name="Normal 2 2 10 2 11 3 8" xfId="6715" xr:uid="{00000000-0005-0000-0000-00002F1A0000}"/>
    <cellStyle name="Normal 2 2 10 2 11 3 9" xfId="6716" xr:uid="{00000000-0005-0000-0000-0000301A0000}"/>
    <cellStyle name="Normal 2 2 10 2 11 4" xfId="6717" xr:uid="{00000000-0005-0000-0000-0000311A0000}"/>
    <cellStyle name="Normal 2 2 10 2 11 4 10" xfId="6718" xr:uid="{00000000-0005-0000-0000-0000321A0000}"/>
    <cellStyle name="Normal 2 2 10 2 11 4 2" xfId="6719" xr:uid="{00000000-0005-0000-0000-0000331A0000}"/>
    <cellStyle name="Normal 2 2 10 2 11 4 3" xfId="6720" xr:uid="{00000000-0005-0000-0000-0000341A0000}"/>
    <cellStyle name="Normal 2 2 10 2 11 4 4" xfId="6721" xr:uid="{00000000-0005-0000-0000-0000351A0000}"/>
    <cellStyle name="Normal 2 2 10 2 11 4 5" xfId="6722" xr:uid="{00000000-0005-0000-0000-0000361A0000}"/>
    <cellStyle name="Normal 2 2 10 2 11 4 6" xfId="6723" xr:uid="{00000000-0005-0000-0000-0000371A0000}"/>
    <cellStyle name="Normal 2 2 10 2 11 4 7" xfId="6724" xr:uid="{00000000-0005-0000-0000-0000381A0000}"/>
    <cellStyle name="Normal 2 2 10 2 11 4 8" xfId="6725" xr:uid="{00000000-0005-0000-0000-0000391A0000}"/>
    <cellStyle name="Normal 2 2 10 2 11 4 9" xfId="6726" xr:uid="{00000000-0005-0000-0000-00003A1A0000}"/>
    <cellStyle name="Normal 2 2 10 2 11 5" xfId="6727" xr:uid="{00000000-0005-0000-0000-00003B1A0000}"/>
    <cellStyle name="Normal 2 2 10 2 11 5 10" xfId="6728" xr:uid="{00000000-0005-0000-0000-00003C1A0000}"/>
    <cellStyle name="Normal 2 2 10 2 11 5 2" xfId="6729" xr:uid="{00000000-0005-0000-0000-00003D1A0000}"/>
    <cellStyle name="Normal 2 2 10 2 11 5 3" xfId="6730" xr:uid="{00000000-0005-0000-0000-00003E1A0000}"/>
    <cellStyle name="Normal 2 2 10 2 11 5 4" xfId="6731" xr:uid="{00000000-0005-0000-0000-00003F1A0000}"/>
    <cellStyle name="Normal 2 2 10 2 11 5 5" xfId="6732" xr:uid="{00000000-0005-0000-0000-0000401A0000}"/>
    <cellStyle name="Normal 2 2 10 2 11 5 6" xfId="6733" xr:uid="{00000000-0005-0000-0000-0000411A0000}"/>
    <cellStyle name="Normal 2 2 10 2 11 5 7" xfId="6734" xr:uid="{00000000-0005-0000-0000-0000421A0000}"/>
    <cellStyle name="Normal 2 2 10 2 11 5 8" xfId="6735" xr:uid="{00000000-0005-0000-0000-0000431A0000}"/>
    <cellStyle name="Normal 2 2 10 2 11 5 9" xfId="6736" xr:uid="{00000000-0005-0000-0000-0000441A0000}"/>
    <cellStyle name="Normal 2 2 10 2 11 6" xfId="6737" xr:uid="{00000000-0005-0000-0000-0000451A0000}"/>
    <cellStyle name="Normal 2 2 10 2 11 7" xfId="6738" xr:uid="{00000000-0005-0000-0000-0000461A0000}"/>
    <cellStyle name="Normal 2 2 10 2 11 8" xfId="6739" xr:uid="{00000000-0005-0000-0000-0000471A0000}"/>
    <cellStyle name="Normal 2 2 10 2 11 9" xfId="6740" xr:uid="{00000000-0005-0000-0000-0000481A0000}"/>
    <cellStyle name="Normal 2 2 10 2 12" xfId="6741" xr:uid="{00000000-0005-0000-0000-0000491A0000}"/>
    <cellStyle name="Normal 2 2 10 2 12 10" xfId="6742" xr:uid="{00000000-0005-0000-0000-00004A1A0000}"/>
    <cellStyle name="Normal 2 2 10 2 12 11" xfId="6743" xr:uid="{00000000-0005-0000-0000-00004B1A0000}"/>
    <cellStyle name="Normal 2 2 10 2 12 12" xfId="6744" xr:uid="{00000000-0005-0000-0000-00004C1A0000}"/>
    <cellStyle name="Normal 2 2 10 2 12 13" xfId="6745" xr:uid="{00000000-0005-0000-0000-00004D1A0000}"/>
    <cellStyle name="Normal 2 2 10 2 12 14" xfId="6746" xr:uid="{00000000-0005-0000-0000-00004E1A0000}"/>
    <cellStyle name="Normal 2 2 10 2 12 2" xfId="6747" xr:uid="{00000000-0005-0000-0000-00004F1A0000}"/>
    <cellStyle name="Normal 2 2 10 2 12 2 10" xfId="6748" xr:uid="{00000000-0005-0000-0000-0000501A0000}"/>
    <cellStyle name="Normal 2 2 10 2 12 2 2" xfId="6749" xr:uid="{00000000-0005-0000-0000-0000511A0000}"/>
    <cellStyle name="Normal 2 2 10 2 12 2 3" xfId="6750" xr:uid="{00000000-0005-0000-0000-0000521A0000}"/>
    <cellStyle name="Normal 2 2 10 2 12 2 4" xfId="6751" xr:uid="{00000000-0005-0000-0000-0000531A0000}"/>
    <cellStyle name="Normal 2 2 10 2 12 2 5" xfId="6752" xr:uid="{00000000-0005-0000-0000-0000541A0000}"/>
    <cellStyle name="Normal 2 2 10 2 12 2 6" xfId="6753" xr:uid="{00000000-0005-0000-0000-0000551A0000}"/>
    <cellStyle name="Normal 2 2 10 2 12 2 7" xfId="6754" xr:uid="{00000000-0005-0000-0000-0000561A0000}"/>
    <cellStyle name="Normal 2 2 10 2 12 2 8" xfId="6755" xr:uid="{00000000-0005-0000-0000-0000571A0000}"/>
    <cellStyle name="Normal 2 2 10 2 12 2 9" xfId="6756" xr:uid="{00000000-0005-0000-0000-0000581A0000}"/>
    <cellStyle name="Normal 2 2 10 2 12 3" xfId="6757" xr:uid="{00000000-0005-0000-0000-0000591A0000}"/>
    <cellStyle name="Normal 2 2 10 2 12 3 10" xfId="6758" xr:uid="{00000000-0005-0000-0000-00005A1A0000}"/>
    <cellStyle name="Normal 2 2 10 2 12 3 2" xfId="6759" xr:uid="{00000000-0005-0000-0000-00005B1A0000}"/>
    <cellStyle name="Normal 2 2 10 2 12 3 3" xfId="6760" xr:uid="{00000000-0005-0000-0000-00005C1A0000}"/>
    <cellStyle name="Normal 2 2 10 2 12 3 4" xfId="6761" xr:uid="{00000000-0005-0000-0000-00005D1A0000}"/>
    <cellStyle name="Normal 2 2 10 2 12 3 5" xfId="6762" xr:uid="{00000000-0005-0000-0000-00005E1A0000}"/>
    <cellStyle name="Normal 2 2 10 2 12 3 6" xfId="6763" xr:uid="{00000000-0005-0000-0000-00005F1A0000}"/>
    <cellStyle name="Normal 2 2 10 2 12 3 7" xfId="6764" xr:uid="{00000000-0005-0000-0000-0000601A0000}"/>
    <cellStyle name="Normal 2 2 10 2 12 3 8" xfId="6765" xr:uid="{00000000-0005-0000-0000-0000611A0000}"/>
    <cellStyle name="Normal 2 2 10 2 12 3 9" xfId="6766" xr:uid="{00000000-0005-0000-0000-0000621A0000}"/>
    <cellStyle name="Normal 2 2 10 2 12 4" xfId="6767" xr:uid="{00000000-0005-0000-0000-0000631A0000}"/>
    <cellStyle name="Normal 2 2 10 2 12 4 10" xfId="6768" xr:uid="{00000000-0005-0000-0000-0000641A0000}"/>
    <cellStyle name="Normal 2 2 10 2 12 4 2" xfId="6769" xr:uid="{00000000-0005-0000-0000-0000651A0000}"/>
    <cellStyle name="Normal 2 2 10 2 12 4 3" xfId="6770" xr:uid="{00000000-0005-0000-0000-0000661A0000}"/>
    <cellStyle name="Normal 2 2 10 2 12 4 4" xfId="6771" xr:uid="{00000000-0005-0000-0000-0000671A0000}"/>
    <cellStyle name="Normal 2 2 10 2 12 4 5" xfId="6772" xr:uid="{00000000-0005-0000-0000-0000681A0000}"/>
    <cellStyle name="Normal 2 2 10 2 12 4 6" xfId="6773" xr:uid="{00000000-0005-0000-0000-0000691A0000}"/>
    <cellStyle name="Normal 2 2 10 2 12 4 7" xfId="6774" xr:uid="{00000000-0005-0000-0000-00006A1A0000}"/>
    <cellStyle name="Normal 2 2 10 2 12 4 8" xfId="6775" xr:uid="{00000000-0005-0000-0000-00006B1A0000}"/>
    <cellStyle name="Normal 2 2 10 2 12 4 9" xfId="6776" xr:uid="{00000000-0005-0000-0000-00006C1A0000}"/>
    <cellStyle name="Normal 2 2 10 2 12 5" xfId="6777" xr:uid="{00000000-0005-0000-0000-00006D1A0000}"/>
    <cellStyle name="Normal 2 2 10 2 12 5 10" xfId="6778" xr:uid="{00000000-0005-0000-0000-00006E1A0000}"/>
    <cellStyle name="Normal 2 2 10 2 12 5 2" xfId="6779" xr:uid="{00000000-0005-0000-0000-00006F1A0000}"/>
    <cellStyle name="Normal 2 2 10 2 12 5 3" xfId="6780" xr:uid="{00000000-0005-0000-0000-0000701A0000}"/>
    <cellStyle name="Normal 2 2 10 2 12 5 4" xfId="6781" xr:uid="{00000000-0005-0000-0000-0000711A0000}"/>
    <cellStyle name="Normal 2 2 10 2 12 5 5" xfId="6782" xr:uid="{00000000-0005-0000-0000-0000721A0000}"/>
    <cellStyle name="Normal 2 2 10 2 12 5 6" xfId="6783" xr:uid="{00000000-0005-0000-0000-0000731A0000}"/>
    <cellStyle name="Normal 2 2 10 2 12 5 7" xfId="6784" xr:uid="{00000000-0005-0000-0000-0000741A0000}"/>
    <cellStyle name="Normal 2 2 10 2 12 5 8" xfId="6785" xr:uid="{00000000-0005-0000-0000-0000751A0000}"/>
    <cellStyle name="Normal 2 2 10 2 12 5 9" xfId="6786" xr:uid="{00000000-0005-0000-0000-0000761A0000}"/>
    <cellStyle name="Normal 2 2 10 2 12 6" xfId="6787" xr:uid="{00000000-0005-0000-0000-0000771A0000}"/>
    <cellStyle name="Normal 2 2 10 2 12 7" xfId="6788" xr:uid="{00000000-0005-0000-0000-0000781A0000}"/>
    <cellStyle name="Normal 2 2 10 2 12 8" xfId="6789" xr:uid="{00000000-0005-0000-0000-0000791A0000}"/>
    <cellStyle name="Normal 2 2 10 2 12 9" xfId="6790" xr:uid="{00000000-0005-0000-0000-00007A1A0000}"/>
    <cellStyle name="Normal 2 2 10 2 13" xfId="6791" xr:uid="{00000000-0005-0000-0000-00007B1A0000}"/>
    <cellStyle name="Normal 2 2 10 2 13 10" xfId="6792" xr:uid="{00000000-0005-0000-0000-00007C1A0000}"/>
    <cellStyle name="Normal 2 2 10 2 13 11" xfId="6793" xr:uid="{00000000-0005-0000-0000-00007D1A0000}"/>
    <cellStyle name="Normal 2 2 10 2 13 12" xfId="6794" xr:uid="{00000000-0005-0000-0000-00007E1A0000}"/>
    <cellStyle name="Normal 2 2 10 2 13 13" xfId="6795" xr:uid="{00000000-0005-0000-0000-00007F1A0000}"/>
    <cellStyle name="Normal 2 2 10 2 13 14" xfId="6796" xr:uid="{00000000-0005-0000-0000-0000801A0000}"/>
    <cellStyle name="Normal 2 2 10 2 13 2" xfId="6797" xr:uid="{00000000-0005-0000-0000-0000811A0000}"/>
    <cellStyle name="Normal 2 2 10 2 13 2 10" xfId="6798" xr:uid="{00000000-0005-0000-0000-0000821A0000}"/>
    <cellStyle name="Normal 2 2 10 2 13 2 2" xfId="6799" xr:uid="{00000000-0005-0000-0000-0000831A0000}"/>
    <cellStyle name="Normal 2 2 10 2 13 2 3" xfId="6800" xr:uid="{00000000-0005-0000-0000-0000841A0000}"/>
    <cellStyle name="Normal 2 2 10 2 13 2 4" xfId="6801" xr:uid="{00000000-0005-0000-0000-0000851A0000}"/>
    <cellStyle name="Normal 2 2 10 2 13 2 5" xfId="6802" xr:uid="{00000000-0005-0000-0000-0000861A0000}"/>
    <cellStyle name="Normal 2 2 10 2 13 2 6" xfId="6803" xr:uid="{00000000-0005-0000-0000-0000871A0000}"/>
    <cellStyle name="Normal 2 2 10 2 13 2 7" xfId="6804" xr:uid="{00000000-0005-0000-0000-0000881A0000}"/>
    <cellStyle name="Normal 2 2 10 2 13 2 8" xfId="6805" xr:uid="{00000000-0005-0000-0000-0000891A0000}"/>
    <cellStyle name="Normal 2 2 10 2 13 2 9" xfId="6806" xr:uid="{00000000-0005-0000-0000-00008A1A0000}"/>
    <cellStyle name="Normal 2 2 10 2 13 3" xfId="6807" xr:uid="{00000000-0005-0000-0000-00008B1A0000}"/>
    <cellStyle name="Normal 2 2 10 2 13 3 10" xfId="6808" xr:uid="{00000000-0005-0000-0000-00008C1A0000}"/>
    <cellStyle name="Normal 2 2 10 2 13 3 2" xfId="6809" xr:uid="{00000000-0005-0000-0000-00008D1A0000}"/>
    <cellStyle name="Normal 2 2 10 2 13 3 3" xfId="6810" xr:uid="{00000000-0005-0000-0000-00008E1A0000}"/>
    <cellStyle name="Normal 2 2 10 2 13 3 4" xfId="6811" xr:uid="{00000000-0005-0000-0000-00008F1A0000}"/>
    <cellStyle name="Normal 2 2 10 2 13 3 5" xfId="6812" xr:uid="{00000000-0005-0000-0000-0000901A0000}"/>
    <cellStyle name="Normal 2 2 10 2 13 3 6" xfId="6813" xr:uid="{00000000-0005-0000-0000-0000911A0000}"/>
    <cellStyle name="Normal 2 2 10 2 13 3 7" xfId="6814" xr:uid="{00000000-0005-0000-0000-0000921A0000}"/>
    <cellStyle name="Normal 2 2 10 2 13 3 8" xfId="6815" xr:uid="{00000000-0005-0000-0000-0000931A0000}"/>
    <cellStyle name="Normal 2 2 10 2 13 3 9" xfId="6816" xr:uid="{00000000-0005-0000-0000-0000941A0000}"/>
    <cellStyle name="Normal 2 2 10 2 13 4" xfId="6817" xr:uid="{00000000-0005-0000-0000-0000951A0000}"/>
    <cellStyle name="Normal 2 2 10 2 13 4 10" xfId="6818" xr:uid="{00000000-0005-0000-0000-0000961A0000}"/>
    <cellStyle name="Normal 2 2 10 2 13 4 2" xfId="6819" xr:uid="{00000000-0005-0000-0000-0000971A0000}"/>
    <cellStyle name="Normal 2 2 10 2 13 4 3" xfId="6820" xr:uid="{00000000-0005-0000-0000-0000981A0000}"/>
    <cellStyle name="Normal 2 2 10 2 13 4 4" xfId="6821" xr:uid="{00000000-0005-0000-0000-0000991A0000}"/>
    <cellStyle name="Normal 2 2 10 2 13 4 5" xfId="6822" xr:uid="{00000000-0005-0000-0000-00009A1A0000}"/>
    <cellStyle name="Normal 2 2 10 2 13 4 6" xfId="6823" xr:uid="{00000000-0005-0000-0000-00009B1A0000}"/>
    <cellStyle name="Normal 2 2 10 2 13 4 7" xfId="6824" xr:uid="{00000000-0005-0000-0000-00009C1A0000}"/>
    <cellStyle name="Normal 2 2 10 2 13 4 8" xfId="6825" xr:uid="{00000000-0005-0000-0000-00009D1A0000}"/>
    <cellStyle name="Normal 2 2 10 2 13 4 9" xfId="6826" xr:uid="{00000000-0005-0000-0000-00009E1A0000}"/>
    <cellStyle name="Normal 2 2 10 2 13 5" xfId="6827" xr:uid="{00000000-0005-0000-0000-00009F1A0000}"/>
    <cellStyle name="Normal 2 2 10 2 13 5 10" xfId="6828" xr:uid="{00000000-0005-0000-0000-0000A01A0000}"/>
    <cellStyle name="Normal 2 2 10 2 13 5 2" xfId="6829" xr:uid="{00000000-0005-0000-0000-0000A11A0000}"/>
    <cellStyle name="Normal 2 2 10 2 13 5 3" xfId="6830" xr:uid="{00000000-0005-0000-0000-0000A21A0000}"/>
    <cellStyle name="Normal 2 2 10 2 13 5 4" xfId="6831" xr:uid="{00000000-0005-0000-0000-0000A31A0000}"/>
    <cellStyle name="Normal 2 2 10 2 13 5 5" xfId="6832" xr:uid="{00000000-0005-0000-0000-0000A41A0000}"/>
    <cellStyle name="Normal 2 2 10 2 13 5 6" xfId="6833" xr:uid="{00000000-0005-0000-0000-0000A51A0000}"/>
    <cellStyle name="Normal 2 2 10 2 13 5 7" xfId="6834" xr:uid="{00000000-0005-0000-0000-0000A61A0000}"/>
    <cellStyle name="Normal 2 2 10 2 13 5 8" xfId="6835" xr:uid="{00000000-0005-0000-0000-0000A71A0000}"/>
    <cellStyle name="Normal 2 2 10 2 13 5 9" xfId="6836" xr:uid="{00000000-0005-0000-0000-0000A81A0000}"/>
    <cellStyle name="Normal 2 2 10 2 13 6" xfId="6837" xr:uid="{00000000-0005-0000-0000-0000A91A0000}"/>
    <cellStyle name="Normal 2 2 10 2 13 7" xfId="6838" xr:uid="{00000000-0005-0000-0000-0000AA1A0000}"/>
    <cellStyle name="Normal 2 2 10 2 13 8" xfId="6839" xr:uid="{00000000-0005-0000-0000-0000AB1A0000}"/>
    <cellStyle name="Normal 2 2 10 2 13 9" xfId="6840" xr:uid="{00000000-0005-0000-0000-0000AC1A0000}"/>
    <cellStyle name="Normal 2 2 10 2 14" xfId="6841" xr:uid="{00000000-0005-0000-0000-0000AD1A0000}"/>
    <cellStyle name="Normal 2 2 10 2 14 10" xfId="6842" xr:uid="{00000000-0005-0000-0000-0000AE1A0000}"/>
    <cellStyle name="Normal 2 2 10 2 14 11" xfId="6843" xr:uid="{00000000-0005-0000-0000-0000AF1A0000}"/>
    <cellStyle name="Normal 2 2 10 2 14 12" xfId="6844" xr:uid="{00000000-0005-0000-0000-0000B01A0000}"/>
    <cellStyle name="Normal 2 2 10 2 14 13" xfId="6845" xr:uid="{00000000-0005-0000-0000-0000B11A0000}"/>
    <cellStyle name="Normal 2 2 10 2 14 14" xfId="6846" xr:uid="{00000000-0005-0000-0000-0000B21A0000}"/>
    <cellStyle name="Normal 2 2 10 2 14 2" xfId="6847" xr:uid="{00000000-0005-0000-0000-0000B31A0000}"/>
    <cellStyle name="Normal 2 2 10 2 14 2 10" xfId="6848" xr:uid="{00000000-0005-0000-0000-0000B41A0000}"/>
    <cellStyle name="Normal 2 2 10 2 14 2 2" xfId="6849" xr:uid="{00000000-0005-0000-0000-0000B51A0000}"/>
    <cellStyle name="Normal 2 2 10 2 14 2 3" xfId="6850" xr:uid="{00000000-0005-0000-0000-0000B61A0000}"/>
    <cellStyle name="Normal 2 2 10 2 14 2 4" xfId="6851" xr:uid="{00000000-0005-0000-0000-0000B71A0000}"/>
    <cellStyle name="Normal 2 2 10 2 14 2 5" xfId="6852" xr:uid="{00000000-0005-0000-0000-0000B81A0000}"/>
    <cellStyle name="Normal 2 2 10 2 14 2 6" xfId="6853" xr:uid="{00000000-0005-0000-0000-0000B91A0000}"/>
    <cellStyle name="Normal 2 2 10 2 14 2 7" xfId="6854" xr:uid="{00000000-0005-0000-0000-0000BA1A0000}"/>
    <cellStyle name="Normal 2 2 10 2 14 2 8" xfId="6855" xr:uid="{00000000-0005-0000-0000-0000BB1A0000}"/>
    <cellStyle name="Normal 2 2 10 2 14 2 9" xfId="6856" xr:uid="{00000000-0005-0000-0000-0000BC1A0000}"/>
    <cellStyle name="Normal 2 2 10 2 14 3" xfId="6857" xr:uid="{00000000-0005-0000-0000-0000BD1A0000}"/>
    <cellStyle name="Normal 2 2 10 2 14 3 10" xfId="6858" xr:uid="{00000000-0005-0000-0000-0000BE1A0000}"/>
    <cellStyle name="Normal 2 2 10 2 14 3 2" xfId="6859" xr:uid="{00000000-0005-0000-0000-0000BF1A0000}"/>
    <cellStyle name="Normal 2 2 10 2 14 3 3" xfId="6860" xr:uid="{00000000-0005-0000-0000-0000C01A0000}"/>
    <cellStyle name="Normal 2 2 10 2 14 3 4" xfId="6861" xr:uid="{00000000-0005-0000-0000-0000C11A0000}"/>
    <cellStyle name="Normal 2 2 10 2 14 3 5" xfId="6862" xr:uid="{00000000-0005-0000-0000-0000C21A0000}"/>
    <cellStyle name="Normal 2 2 10 2 14 3 6" xfId="6863" xr:uid="{00000000-0005-0000-0000-0000C31A0000}"/>
    <cellStyle name="Normal 2 2 10 2 14 3 7" xfId="6864" xr:uid="{00000000-0005-0000-0000-0000C41A0000}"/>
    <cellStyle name="Normal 2 2 10 2 14 3 8" xfId="6865" xr:uid="{00000000-0005-0000-0000-0000C51A0000}"/>
    <cellStyle name="Normal 2 2 10 2 14 3 9" xfId="6866" xr:uid="{00000000-0005-0000-0000-0000C61A0000}"/>
    <cellStyle name="Normal 2 2 10 2 14 4" xfId="6867" xr:uid="{00000000-0005-0000-0000-0000C71A0000}"/>
    <cellStyle name="Normal 2 2 10 2 14 4 10" xfId="6868" xr:uid="{00000000-0005-0000-0000-0000C81A0000}"/>
    <cellStyle name="Normal 2 2 10 2 14 4 2" xfId="6869" xr:uid="{00000000-0005-0000-0000-0000C91A0000}"/>
    <cellStyle name="Normal 2 2 10 2 14 4 3" xfId="6870" xr:uid="{00000000-0005-0000-0000-0000CA1A0000}"/>
    <cellStyle name="Normal 2 2 10 2 14 4 4" xfId="6871" xr:uid="{00000000-0005-0000-0000-0000CB1A0000}"/>
    <cellStyle name="Normal 2 2 10 2 14 4 5" xfId="6872" xr:uid="{00000000-0005-0000-0000-0000CC1A0000}"/>
    <cellStyle name="Normal 2 2 10 2 14 4 6" xfId="6873" xr:uid="{00000000-0005-0000-0000-0000CD1A0000}"/>
    <cellStyle name="Normal 2 2 10 2 14 4 7" xfId="6874" xr:uid="{00000000-0005-0000-0000-0000CE1A0000}"/>
    <cellStyle name="Normal 2 2 10 2 14 4 8" xfId="6875" xr:uid="{00000000-0005-0000-0000-0000CF1A0000}"/>
    <cellStyle name="Normal 2 2 10 2 14 4 9" xfId="6876" xr:uid="{00000000-0005-0000-0000-0000D01A0000}"/>
    <cellStyle name="Normal 2 2 10 2 14 5" xfId="6877" xr:uid="{00000000-0005-0000-0000-0000D11A0000}"/>
    <cellStyle name="Normal 2 2 10 2 14 5 10" xfId="6878" xr:uid="{00000000-0005-0000-0000-0000D21A0000}"/>
    <cellStyle name="Normal 2 2 10 2 14 5 2" xfId="6879" xr:uid="{00000000-0005-0000-0000-0000D31A0000}"/>
    <cellStyle name="Normal 2 2 10 2 14 5 3" xfId="6880" xr:uid="{00000000-0005-0000-0000-0000D41A0000}"/>
    <cellStyle name="Normal 2 2 10 2 14 5 4" xfId="6881" xr:uid="{00000000-0005-0000-0000-0000D51A0000}"/>
    <cellStyle name="Normal 2 2 10 2 14 5 5" xfId="6882" xr:uid="{00000000-0005-0000-0000-0000D61A0000}"/>
    <cellStyle name="Normal 2 2 10 2 14 5 6" xfId="6883" xr:uid="{00000000-0005-0000-0000-0000D71A0000}"/>
    <cellStyle name="Normal 2 2 10 2 14 5 7" xfId="6884" xr:uid="{00000000-0005-0000-0000-0000D81A0000}"/>
    <cellStyle name="Normal 2 2 10 2 14 5 8" xfId="6885" xr:uid="{00000000-0005-0000-0000-0000D91A0000}"/>
    <cellStyle name="Normal 2 2 10 2 14 5 9" xfId="6886" xr:uid="{00000000-0005-0000-0000-0000DA1A0000}"/>
    <cellStyle name="Normal 2 2 10 2 14 6" xfId="6887" xr:uid="{00000000-0005-0000-0000-0000DB1A0000}"/>
    <cellStyle name="Normal 2 2 10 2 14 7" xfId="6888" xr:uid="{00000000-0005-0000-0000-0000DC1A0000}"/>
    <cellStyle name="Normal 2 2 10 2 14 8" xfId="6889" xr:uid="{00000000-0005-0000-0000-0000DD1A0000}"/>
    <cellStyle name="Normal 2 2 10 2 14 9" xfId="6890" xr:uid="{00000000-0005-0000-0000-0000DE1A0000}"/>
    <cellStyle name="Normal 2 2 10 2 15" xfId="6891" xr:uid="{00000000-0005-0000-0000-0000DF1A0000}"/>
    <cellStyle name="Normal 2 2 10 2 15 10" xfId="6892" xr:uid="{00000000-0005-0000-0000-0000E01A0000}"/>
    <cellStyle name="Normal 2 2 10 2 15 11" xfId="6893" xr:uid="{00000000-0005-0000-0000-0000E11A0000}"/>
    <cellStyle name="Normal 2 2 10 2 15 12" xfId="6894" xr:uid="{00000000-0005-0000-0000-0000E21A0000}"/>
    <cellStyle name="Normal 2 2 10 2 15 13" xfId="6895" xr:uid="{00000000-0005-0000-0000-0000E31A0000}"/>
    <cellStyle name="Normal 2 2 10 2 15 14" xfId="6896" xr:uid="{00000000-0005-0000-0000-0000E41A0000}"/>
    <cellStyle name="Normal 2 2 10 2 15 2" xfId="6897" xr:uid="{00000000-0005-0000-0000-0000E51A0000}"/>
    <cellStyle name="Normal 2 2 10 2 15 2 10" xfId="6898" xr:uid="{00000000-0005-0000-0000-0000E61A0000}"/>
    <cellStyle name="Normal 2 2 10 2 15 2 2" xfId="6899" xr:uid="{00000000-0005-0000-0000-0000E71A0000}"/>
    <cellStyle name="Normal 2 2 10 2 15 2 3" xfId="6900" xr:uid="{00000000-0005-0000-0000-0000E81A0000}"/>
    <cellStyle name="Normal 2 2 10 2 15 2 4" xfId="6901" xr:uid="{00000000-0005-0000-0000-0000E91A0000}"/>
    <cellStyle name="Normal 2 2 10 2 15 2 5" xfId="6902" xr:uid="{00000000-0005-0000-0000-0000EA1A0000}"/>
    <cellStyle name="Normal 2 2 10 2 15 2 6" xfId="6903" xr:uid="{00000000-0005-0000-0000-0000EB1A0000}"/>
    <cellStyle name="Normal 2 2 10 2 15 2 7" xfId="6904" xr:uid="{00000000-0005-0000-0000-0000EC1A0000}"/>
    <cellStyle name="Normal 2 2 10 2 15 2 8" xfId="6905" xr:uid="{00000000-0005-0000-0000-0000ED1A0000}"/>
    <cellStyle name="Normal 2 2 10 2 15 2 9" xfId="6906" xr:uid="{00000000-0005-0000-0000-0000EE1A0000}"/>
    <cellStyle name="Normal 2 2 10 2 15 3" xfId="6907" xr:uid="{00000000-0005-0000-0000-0000EF1A0000}"/>
    <cellStyle name="Normal 2 2 10 2 15 3 10" xfId="6908" xr:uid="{00000000-0005-0000-0000-0000F01A0000}"/>
    <cellStyle name="Normal 2 2 10 2 15 3 2" xfId="6909" xr:uid="{00000000-0005-0000-0000-0000F11A0000}"/>
    <cellStyle name="Normal 2 2 10 2 15 3 3" xfId="6910" xr:uid="{00000000-0005-0000-0000-0000F21A0000}"/>
    <cellStyle name="Normal 2 2 10 2 15 3 4" xfId="6911" xr:uid="{00000000-0005-0000-0000-0000F31A0000}"/>
    <cellStyle name="Normal 2 2 10 2 15 3 5" xfId="6912" xr:uid="{00000000-0005-0000-0000-0000F41A0000}"/>
    <cellStyle name="Normal 2 2 10 2 15 3 6" xfId="6913" xr:uid="{00000000-0005-0000-0000-0000F51A0000}"/>
    <cellStyle name="Normal 2 2 10 2 15 3 7" xfId="6914" xr:uid="{00000000-0005-0000-0000-0000F61A0000}"/>
    <cellStyle name="Normal 2 2 10 2 15 3 8" xfId="6915" xr:uid="{00000000-0005-0000-0000-0000F71A0000}"/>
    <cellStyle name="Normal 2 2 10 2 15 3 9" xfId="6916" xr:uid="{00000000-0005-0000-0000-0000F81A0000}"/>
    <cellStyle name="Normal 2 2 10 2 15 4" xfId="6917" xr:uid="{00000000-0005-0000-0000-0000F91A0000}"/>
    <cellStyle name="Normal 2 2 10 2 15 4 10" xfId="6918" xr:uid="{00000000-0005-0000-0000-0000FA1A0000}"/>
    <cellStyle name="Normal 2 2 10 2 15 4 2" xfId="6919" xr:uid="{00000000-0005-0000-0000-0000FB1A0000}"/>
    <cellStyle name="Normal 2 2 10 2 15 4 3" xfId="6920" xr:uid="{00000000-0005-0000-0000-0000FC1A0000}"/>
    <cellStyle name="Normal 2 2 10 2 15 4 4" xfId="6921" xr:uid="{00000000-0005-0000-0000-0000FD1A0000}"/>
    <cellStyle name="Normal 2 2 10 2 15 4 5" xfId="6922" xr:uid="{00000000-0005-0000-0000-0000FE1A0000}"/>
    <cellStyle name="Normal 2 2 10 2 15 4 6" xfId="6923" xr:uid="{00000000-0005-0000-0000-0000FF1A0000}"/>
    <cellStyle name="Normal 2 2 10 2 15 4 7" xfId="6924" xr:uid="{00000000-0005-0000-0000-0000001B0000}"/>
    <cellStyle name="Normal 2 2 10 2 15 4 8" xfId="6925" xr:uid="{00000000-0005-0000-0000-0000011B0000}"/>
    <cellStyle name="Normal 2 2 10 2 15 4 9" xfId="6926" xr:uid="{00000000-0005-0000-0000-0000021B0000}"/>
    <cellStyle name="Normal 2 2 10 2 15 5" xfId="6927" xr:uid="{00000000-0005-0000-0000-0000031B0000}"/>
    <cellStyle name="Normal 2 2 10 2 15 5 10" xfId="6928" xr:uid="{00000000-0005-0000-0000-0000041B0000}"/>
    <cellStyle name="Normal 2 2 10 2 15 5 2" xfId="6929" xr:uid="{00000000-0005-0000-0000-0000051B0000}"/>
    <cellStyle name="Normal 2 2 10 2 15 5 3" xfId="6930" xr:uid="{00000000-0005-0000-0000-0000061B0000}"/>
    <cellStyle name="Normal 2 2 10 2 15 5 4" xfId="6931" xr:uid="{00000000-0005-0000-0000-0000071B0000}"/>
    <cellStyle name="Normal 2 2 10 2 15 5 5" xfId="6932" xr:uid="{00000000-0005-0000-0000-0000081B0000}"/>
    <cellStyle name="Normal 2 2 10 2 15 5 6" xfId="6933" xr:uid="{00000000-0005-0000-0000-0000091B0000}"/>
    <cellStyle name="Normal 2 2 10 2 15 5 7" xfId="6934" xr:uid="{00000000-0005-0000-0000-00000A1B0000}"/>
    <cellStyle name="Normal 2 2 10 2 15 5 8" xfId="6935" xr:uid="{00000000-0005-0000-0000-00000B1B0000}"/>
    <cellStyle name="Normal 2 2 10 2 15 5 9" xfId="6936" xr:uid="{00000000-0005-0000-0000-00000C1B0000}"/>
    <cellStyle name="Normal 2 2 10 2 15 6" xfId="6937" xr:uid="{00000000-0005-0000-0000-00000D1B0000}"/>
    <cellStyle name="Normal 2 2 10 2 15 7" xfId="6938" xr:uid="{00000000-0005-0000-0000-00000E1B0000}"/>
    <cellStyle name="Normal 2 2 10 2 15 8" xfId="6939" xr:uid="{00000000-0005-0000-0000-00000F1B0000}"/>
    <cellStyle name="Normal 2 2 10 2 15 9" xfId="6940" xr:uid="{00000000-0005-0000-0000-0000101B0000}"/>
    <cellStyle name="Normal 2 2 10 2 16" xfId="6941" xr:uid="{00000000-0005-0000-0000-0000111B0000}"/>
    <cellStyle name="Normal 2 2 10 2 16 10" xfId="6942" xr:uid="{00000000-0005-0000-0000-0000121B0000}"/>
    <cellStyle name="Normal 2 2 10 2 16 11" xfId="6943" xr:uid="{00000000-0005-0000-0000-0000131B0000}"/>
    <cellStyle name="Normal 2 2 10 2 16 12" xfId="6944" xr:uid="{00000000-0005-0000-0000-0000141B0000}"/>
    <cellStyle name="Normal 2 2 10 2 16 13" xfId="6945" xr:uid="{00000000-0005-0000-0000-0000151B0000}"/>
    <cellStyle name="Normal 2 2 10 2 16 14" xfId="6946" xr:uid="{00000000-0005-0000-0000-0000161B0000}"/>
    <cellStyle name="Normal 2 2 10 2 16 2" xfId="6947" xr:uid="{00000000-0005-0000-0000-0000171B0000}"/>
    <cellStyle name="Normal 2 2 10 2 16 2 10" xfId="6948" xr:uid="{00000000-0005-0000-0000-0000181B0000}"/>
    <cellStyle name="Normal 2 2 10 2 16 2 2" xfId="6949" xr:uid="{00000000-0005-0000-0000-0000191B0000}"/>
    <cellStyle name="Normal 2 2 10 2 16 2 3" xfId="6950" xr:uid="{00000000-0005-0000-0000-00001A1B0000}"/>
    <cellStyle name="Normal 2 2 10 2 16 2 4" xfId="6951" xr:uid="{00000000-0005-0000-0000-00001B1B0000}"/>
    <cellStyle name="Normal 2 2 10 2 16 2 5" xfId="6952" xr:uid="{00000000-0005-0000-0000-00001C1B0000}"/>
    <cellStyle name="Normal 2 2 10 2 16 2 6" xfId="6953" xr:uid="{00000000-0005-0000-0000-00001D1B0000}"/>
    <cellStyle name="Normal 2 2 10 2 16 2 7" xfId="6954" xr:uid="{00000000-0005-0000-0000-00001E1B0000}"/>
    <cellStyle name="Normal 2 2 10 2 16 2 8" xfId="6955" xr:uid="{00000000-0005-0000-0000-00001F1B0000}"/>
    <cellStyle name="Normal 2 2 10 2 16 2 9" xfId="6956" xr:uid="{00000000-0005-0000-0000-0000201B0000}"/>
    <cellStyle name="Normal 2 2 10 2 16 3" xfId="6957" xr:uid="{00000000-0005-0000-0000-0000211B0000}"/>
    <cellStyle name="Normal 2 2 10 2 16 3 10" xfId="6958" xr:uid="{00000000-0005-0000-0000-0000221B0000}"/>
    <cellStyle name="Normal 2 2 10 2 16 3 2" xfId="6959" xr:uid="{00000000-0005-0000-0000-0000231B0000}"/>
    <cellStyle name="Normal 2 2 10 2 16 3 3" xfId="6960" xr:uid="{00000000-0005-0000-0000-0000241B0000}"/>
    <cellStyle name="Normal 2 2 10 2 16 3 4" xfId="6961" xr:uid="{00000000-0005-0000-0000-0000251B0000}"/>
    <cellStyle name="Normal 2 2 10 2 16 3 5" xfId="6962" xr:uid="{00000000-0005-0000-0000-0000261B0000}"/>
    <cellStyle name="Normal 2 2 10 2 16 3 6" xfId="6963" xr:uid="{00000000-0005-0000-0000-0000271B0000}"/>
    <cellStyle name="Normal 2 2 10 2 16 3 7" xfId="6964" xr:uid="{00000000-0005-0000-0000-0000281B0000}"/>
    <cellStyle name="Normal 2 2 10 2 16 3 8" xfId="6965" xr:uid="{00000000-0005-0000-0000-0000291B0000}"/>
    <cellStyle name="Normal 2 2 10 2 16 3 9" xfId="6966" xr:uid="{00000000-0005-0000-0000-00002A1B0000}"/>
    <cellStyle name="Normal 2 2 10 2 16 4" xfId="6967" xr:uid="{00000000-0005-0000-0000-00002B1B0000}"/>
    <cellStyle name="Normal 2 2 10 2 16 4 10" xfId="6968" xr:uid="{00000000-0005-0000-0000-00002C1B0000}"/>
    <cellStyle name="Normal 2 2 10 2 16 4 2" xfId="6969" xr:uid="{00000000-0005-0000-0000-00002D1B0000}"/>
    <cellStyle name="Normal 2 2 10 2 16 4 3" xfId="6970" xr:uid="{00000000-0005-0000-0000-00002E1B0000}"/>
    <cellStyle name="Normal 2 2 10 2 16 4 4" xfId="6971" xr:uid="{00000000-0005-0000-0000-00002F1B0000}"/>
    <cellStyle name="Normal 2 2 10 2 16 4 5" xfId="6972" xr:uid="{00000000-0005-0000-0000-0000301B0000}"/>
    <cellStyle name="Normal 2 2 10 2 16 4 6" xfId="6973" xr:uid="{00000000-0005-0000-0000-0000311B0000}"/>
    <cellStyle name="Normal 2 2 10 2 16 4 7" xfId="6974" xr:uid="{00000000-0005-0000-0000-0000321B0000}"/>
    <cellStyle name="Normal 2 2 10 2 16 4 8" xfId="6975" xr:uid="{00000000-0005-0000-0000-0000331B0000}"/>
    <cellStyle name="Normal 2 2 10 2 16 4 9" xfId="6976" xr:uid="{00000000-0005-0000-0000-0000341B0000}"/>
    <cellStyle name="Normal 2 2 10 2 16 5" xfId="6977" xr:uid="{00000000-0005-0000-0000-0000351B0000}"/>
    <cellStyle name="Normal 2 2 10 2 16 5 10" xfId="6978" xr:uid="{00000000-0005-0000-0000-0000361B0000}"/>
    <cellStyle name="Normal 2 2 10 2 16 5 2" xfId="6979" xr:uid="{00000000-0005-0000-0000-0000371B0000}"/>
    <cellStyle name="Normal 2 2 10 2 16 5 3" xfId="6980" xr:uid="{00000000-0005-0000-0000-0000381B0000}"/>
    <cellStyle name="Normal 2 2 10 2 16 5 4" xfId="6981" xr:uid="{00000000-0005-0000-0000-0000391B0000}"/>
    <cellStyle name="Normal 2 2 10 2 16 5 5" xfId="6982" xr:uid="{00000000-0005-0000-0000-00003A1B0000}"/>
    <cellStyle name="Normal 2 2 10 2 16 5 6" xfId="6983" xr:uid="{00000000-0005-0000-0000-00003B1B0000}"/>
    <cellStyle name="Normal 2 2 10 2 16 5 7" xfId="6984" xr:uid="{00000000-0005-0000-0000-00003C1B0000}"/>
    <cellStyle name="Normal 2 2 10 2 16 5 8" xfId="6985" xr:uid="{00000000-0005-0000-0000-00003D1B0000}"/>
    <cellStyle name="Normal 2 2 10 2 16 5 9" xfId="6986" xr:uid="{00000000-0005-0000-0000-00003E1B0000}"/>
    <cellStyle name="Normal 2 2 10 2 16 6" xfId="6987" xr:uid="{00000000-0005-0000-0000-00003F1B0000}"/>
    <cellStyle name="Normal 2 2 10 2 16 7" xfId="6988" xr:uid="{00000000-0005-0000-0000-0000401B0000}"/>
    <cellStyle name="Normal 2 2 10 2 16 8" xfId="6989" xr:uid="{00000000-0005-0000-0000-0000411B0000}"/>
    <cellStyle name="Normal 2 2 10 2 16 9" xfId="6990" xr:uid="{00000000-0005-0000-0000-0000421B0000}"/>
    <cellStyle name="Normal 2 2 10 2 17" xfId="6991" xr:uid="{00000000-0005-0000-0000-0000431B0000}"/>
    <cellStyle name="Normal 2 2 10 2 17 10" xfId="6992" xr:uid="{00000000-0005-0000-0000-0000441B0000}"/>
    <cellStyle name="Normal 2 2 10 2 17 11" xfId="6993" xr:uid="{00000000-0005-0000-0000-0000451B0000}"/>
    <cellStyle name="Normal 2 2 10 2 17 12" xfId="6994" xr:uid="{00000000-0005-0000-0000-0000461B0000}"/>
    <cellStyle name="Normal 2 2 10 2 17 13" xfId="6995" xr:uid="{00000000-0005-0000-0000-0000471B0000}"/>
    <cellStyle name="Normal 2 2 10 2 17 14" xfId="6996" xr:uid="{00000000-0005-0000-0000-0000481B0000}"/>
    <cellStyle name="Normal 2 2 10 2 17 2" xfId="6997" xr:uid="{00000000-0005-0000-0000-0000491B0000}"/>
    <cellStyle name="Normal 2 2 10 2 17 2 10" xfId="6998" xr:uid="{00000000-0005-0000-0000-00004A1B0000}"/>
    <cellStyle name="Normal 2 2 10 2 17 2 2" xfId="6999" xr:uid="{00000000-0005-0000-0000-00004B1B0000}"/>
    <cellStyle name="Normal 2 2 10 2 17 2 3" xfId="7000" xr:uid="{00000000-0005-0000-0000-00004C1B0000}"/>
    <cellStyle name="Normal 2 2 10 2 17 2 4" xfId="7001" xr:uid="{00000000-0005-0000-0000-00004D1B0000}"/>
    <cellStyle name="Normal 2 2 10 2 17 2 5" xfId="7002" xr:uid="{00000000-0005-0000-0000-00004E1B0000}"/>
    <cellStyle name="Normal 2 2 10 2 17 2 6" xfId="7003" xr:uid="{00000000-0005-0000-0000-00004F1B0000}"/>
    <cellStyle name="Normal 2 2 10 2 17 2 7" xfId="7004" xr:uid="{00000000-0005-0000-0000-0000501B0000}"/>
    <cellStyle name="Normal 2 2 10 2 17 2 8" xfId="7005" xr:uid="{00000000-0005-0000-0000-0000511B0000}"/>
    <cellStyle name="Normal 2 2 10 2 17 2 9" xfId="7006" xr:uid="{00000000-0005-0000-0000-0000521B0000}"/>
    <cellStyle name="Normal 2 2 10 2 17 3" xfId="7007" xr:uid="{00000000-0005-0000-0000-0000531B0000}"/>
    <cellStyle name="Normal 2 2 10 2 17 3 10" xfId="7008" xr:uid="{00000000-0005-0000-0000-0000541B0000}"/>
    <cellStyle name="Normal 2 2 10 2 17 3 2" xfId="7009" xr:uid="{00000000-0005-0000-0000-0000551B0000}"/>
    <cellStyle name="Normal 2 2 10 2 17 3 3" xfId="7010" xr:uid="{00000000-0005-0000-0000-0000561B0000}"/>
    <cellStyle name="Normal 2 2 10 2 17 3 4" xfId="7011" xr:uid="{00000000-0005-0000-0000-0000571B0000}"/>
    <cellStyle name="Normal 2 2 10 2 17 3 5" xfId="7012" xr:uid="{00000000-0005-0000-0000-0000581B0000}"/>
    <cellStyle name="Normal 2 2 10 2 17 3 6" xfId="7013" xr:uid="{00000000-0005-0000-0000-0000591B0000}"/>
    <cellStyle name="Normal 2 2 10 2 17 3 7" xfId="7014" xr:uid="{00000000-0005-0000-0000-00005A1B0000}"/>
    <cellStyle name="Normal 2 2 10 2 17 3 8" xfId="7015" xr:uid="{00000000-0005-0000-0000-00005B1B0000}"/>
    <cellStyle name="Normal 2 2 10 2 17 3 9" xfId="7016" xr:uid="{00000000-0005-0000-0000-00005C1B0000}"/>
    <cellStyle name="Normal 2 2 10 2 17 4" xfId="7017" xr:uid="{00000000-0005-0000-0000-00005D1B0000}"/>
    <cellStyle name="Normal 2 2 10 2 17 4 10" xfId="7018" xr:uid="{00000000-0005-0000-0000-00005E1B0000}"/>
    <cellStyle name="Normal 2 2 10 2 17 4 2" xfId="7019" xr:uid="{00000000-0005-0000-0000-00005F1B0000}"/>
    <cellStyle name="Normal 2 2 10 2 17 4 3" xfId="7020" xr:uid="{00000000-0005-0000-0000-0000601B0000}"/>
    <cellStyle name="Normal 2 2 10 2 17 4 4" xfId="7021" xr:uid="{00000000-0005-0000-0000-0000611B0000}"/>
    <cellStyle name="Normal 2 2 10 2 17 4 5" xfId="7022" xr:uid="{00000000-0005-0000-0000-0000621B0000}"/>
    <cellStyle name="Normal 2 2 10 2 17 4 6" xfId="7023" xr:uid="{00000000-0005-0000-0000-0000631B0000}"/>
    <cellStyle name="Normal 2 2 10 2 17 4 7" xfId="7024" xr:uid="{00000000-0005-0000-0000-0000641B0000}"/>
    <cellStyle name="Normal 2 2 10 2 17 4 8" xfId="7025" xr:uid="{00000000-0005-0000-0000-0000651B0000}"/>
    <cellStyle name="Normal 2 2 10 2 17 4 9" xfId="7026" xr:uid="{00000000-0005-0000-0000-0000661B0000}"/>
    <cellStyle name="Normal 2 2 10 2 17 5" xfId="7027" xr:uid="{00000000-0005-0000-0000-0000671B0000}"/>
    <cellStyle name="Normal 2 2 10 2 17 5 10" xfId="7028" xr:uid="{00000000-0005-0000-0000-0000681B0000}"/>
    <cellStyle name="Normal 2 2 10 2 17 5 2" xfId="7029" xr:uid="{00000000-0005-0000-0000-0000691B0000}"/>
    <cellStyle name="Normal 2 2 10 2 17 5 3" xfId="7030" xr:uid="{00000000-0005-0000-0000-00006A1B0000}"/>
    <cellStyle name="Normal 2 2 10 2 17 5 4" xfId="7031" xr:uid="{00000000-0005-0000-0000-00006B1B0000}"/>
    <cellStyle name="Normal 2 2 10 2 17 5 5" xfId="7032" xr:uid="{00000000-0005-0000-0000-00006C1B0000}"/>
    <cellStyle name="Normal 2 2 10 2 17 5 6" xfId="7033" xr:uid="{00000000-0005-0000-0000-00006D1B0000}"/>
    <cellStyle name="Normal 2 2 10 2 17 5 7" xfId="7034" xr:uid="{00000000-0005-0000-0000-00006E1B0000}"/>
    <cellStyle name="Normal 2 2 10 2 17 5 8" xfId="7035" xr:uid="{00000000-0005-0000-0000-00006F1B0000}"/>
    <cellStyle name="Normal 2 2 10 2 17 5 9" xfId="7036" xr:uid="{00000000-0005-0000-0000-0000701B0000}"/>
    <cellStyle name="Normal 2 2 10 2 17 6" xfId="7037" xr:uid="{00000000-0005-0000-0000-0000711B0000}"/>
    <cellStyle name="Normal 2 2 10 2 17 7" xfId="7038" xr:uid="{00000000-0005-0000-0000-0000721B0000}"/>
    <cellStyle name="Normal 2 2 10 2 17 8" xfId="7039" xr:uid="{00000000-0005-0000-0000-0000731B0000}"/>
    <cellStyle name="Normal 2 2 10 2 17 9" xfId="7040" xr:uid="{00000000-0005-0000-0000-0000741B0000}"/>
    <cellStyle name="Normal 2 2 10 2 18" xfId="7041" xr:uid="{00000000-0005-0000-0000-0000751B0000}"/>
    <cellStyle name="Normal 2 2 10 2 18 10" xfId="7042" xr:uid="{00000000-0005-0000-0000-0000761B0000}"/>
    <cellStyle name="Normal 2 2 10 2 18 11" xfId="7043" xr:uid="{00000000-0005-0000-0000-0000771B0000}"/>
    <cellStyle name="Normal 2 2 10 2 18 12" xfId="7044" xr:uid="{00000000-0005-0000-0000-0000781B0000}"/>
    <cellStyle name="Normal 2 2 10 2 18 13" xfId="7045" xr:uid="{00000000-0005-0000-0000-0000791B0000}"/>
    <cellStyle name="Normal 2 2 10 2 18 14" xfId="7046" xr:uid="{00000000-0005-0000-0000-00007A1B0000}"/>
    <cellStyle name="Normal 2 2 10 2 18 2" xfId="7047" xr:uid="{00000000-0005-0000-0000-00007B1B0000}"/>
    <cellStyle name="Normal 2 2 10 2 18 2 10" xfId="7048" xr:uid="{00000000-0005-0000-0000-00007C1B0000}"/>
    <cellStyle name="Normal 2 2 10 2 18 2 2" xfId="7049" xr:uid="{00000000-0005-0000-0000-00007D1B0000}"/>
    <cellStyle name="Normal 2 2 10 2 18 2 3" xfId="7050" xr:uid="{00000000-0005-0000-0000-00007E1B0000}"/>
    <cellStyle name="Normal 2 2 10 2 18 2 4" xfId="7051" xr:uid="{00000000-0005-0000-0000-00007F1B0000}"/>
    <cellStyle name="Normal 2 2 10 2 18 2 5" xfId="7052" xr:uid="{00000000-0005-0000-0000-0000801B0000}"/>
    <cellStyle name="Normal 2 2 10 2 18 2 6" xfId="7053" xr:uid="{00000000-0005-0000-0000-0000811B0000}"/>
    <cellStyle name="Normal 2 2 10 2 18 2 7" xfId="7054" xr:uid="{00000000-0005-0000-0000-0000821B0000}"/>
    <cellStyle name="Normal 2 2 10 2 18 2 8" xfId="7055" xr:uid="{00000000-0005-0000-0000-0000831B0000}"/>
    <cellStyle name="Normal 2 2 10 2 18 2 9" xfId="7056" xr:uid="{00000000-0005-0000-0000-0000841B0000}"/>
    <cellStyle name="Normal 2 2 10 2 18 3" xfId="7057" xr:uid="{00000000-0005-0000-0000-0000851B0000}"/>
    <cellStyle name="Normal 2 2 10 2 18 3 10" xfId="7058" xr:uid="{00000000-0005-0000-0000-0000861B0000}"/>
    <cellStyle name="Normal 2 2 10 2 18 3 2" xfId="7059" xr:uid="{00000000-0005-0000-0000-0000871B0000}"/>
    <cellStyle name="Normal 2 2 10 2 18 3 3" xfId="7060" xr:uid="{00000000-0005-0000-0000-0000881B0000}"/>
    <cellStyle name="Normal 2 2 10 2 18 3 4" xfId="7061" xr:uid="{00000000-0005-0000-0000-0000891B0000}"/>
    <cellStyle name="Normal 2 2 10 2 18 3 5" xfId="7062" xr:uid="{00000000-0005-0000-0000-00008A1B0000}"/>
    <cellStyle name="Normal 2 2 10 2 18 3 6" xfId="7063" xr:uid="{00000000-0005-0000-0000-00008B1B0000}"/>
    <cellStyle name="Normal 2 2 10 2 18 3 7" xfId="7064" xr:uid="{00000000-0005-0000-0000-00008C1B0000}"/>
    <cellStyle name="Normal 2 2 10 2 18 3 8" xfId="7065" xr:uid="{00000000-0005-0000-0000-00008D1B0000}"/>
    <cellStyle name="Normal 2 2 10 2 18 3 9" xfId="7066" xr:uid="{00000000-0005-0000-0000-00008E1B0000}"/>
    <cellStyle name="Normal 2 2 10 2 18 4" xfId="7067" xr:uid="{00000000-0005-0000-0000-00008F1B0000}"/>
    <cellStyle name="Normal 2 2 10 2 18 4 10" xfId="7068" xr:uid="{00000000-0005-0000-0000-0000901B0000}"/>
    <cellStyle name="Normal 2 2 10 2 18 4 2" xfId="7069" xr:uid="{00000000-0005-0000-0000-0000911B0000}"/>
    <cellStyle name="Normal 2 2 10 2 18 4 3" xfId="7070" xr:uid="{00000000-0005-0000-0000-0000921B0000}"/>
    <cellStyle name="Normal 2 2 10 2 18 4 4" xfId="7071" xr:uid="{00000000-0005-0000-0000-0000931B0000}"/>
    <cellStyle name="Normal 2 2 10 2 18 4 5" xfId="7072" xr:uid="{00000000-0005-0000-0000-0000941B0000}"/>
    <cellStyle name="Normal 2 2 10 2 18 4 6" xfId="7073" xr:uid="{00000000-0005-0000-0000-0000951B0000}"/>
    <cellStyle name="Normal 2 2 10 2 18 4 7" xfId="7074" xr:uid="{00000000-0005-0000-0000-0000961B0000}"/>
    <cellStyle name="Normal 2 2 10 2 18 4 8" xfId="7075" xr:uid="{00000000-0005-0000-0000-0000971B0000}"/>
    <cellStyle name="Normal 2 2 10 2 18 4 9" xfId="7076" xr:uid="{00000000-0005-0000-0000-0000981B0000}"/>
    <cellStyle name="Normal 2 2 10 2 18 5" xfId="7077" xr:uid="{00000000-0005-0000-0000-0000991B0000}"/>
    <cellStyle name="Normal 2 2 10 2 18 5 10" xfId="7078" xr:uid="{00000000-0005-0000-0000-00009A1B0000}"/>
    <cellStyle name="Normal 2 2 10 2 18 5 2" xfId="7079" xr:uid="{00000000-0005-0000-0000-00009B1B0000}"/>
    <cellStyle name="Normal 2 2 10 2 18 5 3" xfId="7080" xr:uid="{00000000-0005-0000-0000-00009C1B0000}"/>
    <cellStyle name="Normal 2 2 10 2 18 5 4" xfId="7081" xr:uid="{00000000-0005-0000-0000-00009D1B0000}"/>
    <cellStyle name="Normal 2 2 10 2 18 5 5" xfId="7082" xr:uid="{00000000-0005-0000-0000-00009E1B0000}"/>
    <cellStyle name="Normal 2 2 10 2 18 5 6" xfId="7083" xr:uid="{00000000-0005-0000-0000-00009F1B0000}"/>
    <cellStyle name="Normal 2 2 10 2 18 5 7" xfId="7084" xr:uid="{00000000-0005-0000-0000-0000A01B0000}"/>
    <cellStyle name="Normal 2 2 10 2 18 5 8" xfId="7085" xr:uid="{00000000-0005-0000-0000-0000A11B0000}"/>
    <cellStyle name="Normal 2 2 10 2 18 5 9" xfId="7086" xr:uid="{00000000-0005-0000-0000-0000A21B0000}"/>
    <cellStyle name="Normal 2 2 10 2 18 6" xfId="7087" xr:uid="{00000000-0005-0000-0000-0000A31B0000}"/>
    <cellStyle name="Normal 2 2 10 2 18 7" xfId="7088" xr:uid="{00000000-0005-0000-0000-0000A41B0000}"/>
    <cellStyle name="Normal 2 2 10 2 18 8" xfId="7089" xr:uid="{00000000-0005-0000-0000-0000A51B0000}"/>
    <cellStyle name="Normal 2 2 10 2 18 9" xfId="7090" xr:uid="{00000000-0005-0000-0000-0000A61B0000}"/>
    <cellStyle name="Normal 2 2 10 2 19" xfId="7091" xr:uid="{00000000-0005-0000-0000-0000A71B0000}"/>
    <cellStyle name="Normal 2 2 10 2 19 10" xfId="7092" xr:uid="{00000000-0005-0000-0000-0000A81B0000}"/>
    <cellStyle name="Normal 2 2 10 2 19 11" xfId="7093" xr:uid="{00000000-0005-0000-0000-0000A91B0000}"/>
    <cellStyle name="Normal 2 2 10 2 19 12" xfId="7094" xr:uid="{00000000-0005-0000-0000-0000AA1B0000}"/>
    <cellStyle name="Normal 2 2 10 2 19 13" xfId="7095" xr:uid="{00000000-0005-0000-0000-0000AB1B0000}"/>
    <cellStyle name="Normal 2 2 10 2 19 14" xfId="7096" xr:uid="{00000000-0005-0000-0000-0000AC1B0000}"/>
    <cellStyle name="Normal 2 2 10 2 19 2" xfId="7097" xr:uid="{00000000-0005-0000-0000-0000AD1B0000}"/>
    <cellStyle name="Normal 2 2 10 2 19 2 10" xfId="7098" xr:uid="{00000000-0005-0000-0000-0000AE1B0000}"/>
    <cellStyle name="Normal 2 2 10 2 19 2 2" xfId="7099" xr:uid="{00000000-0005-0000-0000-0000AF1B0000}"/>
    <cellStyle name="Normal 2 2 10 2 19 2 3" xfId="7100" xr:uid="{00000000-0005-0000-0000-0000B01B0000}"/>
    <cellStyle name="Normal 2 2 10 2 19 2 4" xfId="7101" xr:uid="{00000000-0005-0000-0000-0000B11B0000}"/>
    <cellStyle name="Normal 2 2 10 2 19 2 5" xfId="7102" xr:uid="{00000000-0005-0000-0000-0000B21B0000}"/>
    <cellStyle name="Normal 2 2 10 2 19 2 6" xfId="7103" xr:uid="{00000000-0005-0000-0000-0000B31B0000}"/>
    <cellStyle name="Normal 2 2 10 2 19 2 7" xfId="7104" xr:uid="{00000000-0005-0000-0000-0000B41B0000}"/>
    <cellStyle name="Normal 2 2 10 2 19 2 8" xfId="7105" xr:uid="{00000000-0005-0000-0000-0000B51B0000}"/>
    <cellStyle name="Normal 2 2 10 2 19 2 9" xfId="7106" xr:uid="{00000000-0005-0000-0000-0000B61B0000}"/>
    <cellStyle name="Normal 2 2 10 2 19 3" xfId="7107" xr:uid="{00000000-0005-0000-0000-0000B71B0000}"/>
    <cellStyle name="Normal 2 2 10 2 19 3 10" xfId="7108" xr:uid="{00000000-0005-0000-0000-0000B81B0000}"/>
    <cellStyle name="Normal 2 2 10 2 19 3 2" xfId="7109" xr:uid="{00000000-0005-0000-0000-0000B91B0000}"/>
    <cellStyle name="Normal 2 2 10 2 19 3 3" xfId="7110" xr:uid="{00000000-0005-0000-0000-0000BA1B0000}"/>
    <cellStyle name="Normal 2 2 10 2 19 3 4" xfId="7111" xr:uid="{00000000-0005-0000-0000-0000BB1B0000}"/>
    <cellStyle name="Normal 2 2 10 2 19 3 5" xfId="7112" xr:uid="{00000000-0005-0000-0000-0000BC1B0000}"/>
    <cellStyle name="Normal 2 2 10 2 19 3 6" xfId="7113" xr:uid="{00000000-0005-0000-0000-0000BD1B0000}"/>
    <cellStyle name="Normal 2 2 10 2 19 3 7" xfId="7114" xr:uid="{00000000-0005-0000-0000-0000BE1B0000}"/>
    <cellStyle name="Normal 2 2 10 2 19 3 8" xfId="7115" xr:uid="{00000000-0005-0000-0000-0000BF1B0000}"/>
    <cellStyle name="Normal 2 2 10 2 19 3 9" xfId="7116" xr:uid="{00000000-0005-0000-0000-0000C01B0000}"/>
    <cellStyle name="Normal 2 2 10 2 19 4" xfId="7117" xr:uid="{00000000-0005-0000-0000-0000C11B0000}"/>
    <cellStyle name="Normal 2 2 10 2 19 4 10" xfId="7118" xr:uid="{00000000-0005-0000-0000-0000C21B0000}"/>
    <cellStyle name="Normal 2 2 10 2 19 4 2" xfId="7119" xr:uid="{00000000-0005-0000-0000-0000C31B0000}"/>
    <cellStyle name="Normal 2 2 10 2 19 4 3" xfId="7120" xr:uid="{00000000-0005-0000-0000-0000C41B0000}"/>
    <cellStyle name="Normal 2 2 10 2 19 4 4" xfId="7121" xr:uid="{00000000-0005-0000-0000-0000C51B0000}"/>
    <cellStyle name="Normal 2 2 10 2 19 4 5" xfId="7122" xr:uid="{00000000-0005-0000-0000-0000C61B0000}"/>
    <cellStyle name="Normal 2 2 10 2 19 4 6" xfId="7123" xr:uid="{00000000-0005-0000-0000-0000C71B0000}"/>
    <cellStyle name="Normal 2 2 10 2 19 4 7" xfId="7124" xr:uid="{00000000-0005-0000-0000-0000C81B0000}"/>
    <cellStyle name="Normal 2 2 10 2 19 4 8" xfId="7125" xr:uid="{00000000-0005-0000-0000-0000C91B0000}"/>
    <cellStyle name="Normal 2 2 10 2 19 4 9" xfId="7126" xr:uid="{00000000-0005-0000-0000-0000CA1B0000}"/>
    <cellStyle name="Normal 2 2 10 2 19 5" xfId="7127" xr:uid="{00000000-0005-0000-0000-0000CB1B0000}"/>
    <cellStyle name="Normal 2 2 10 2 19 5 10" xfId="7128" xr:uid="{00000000-0005-0000-0000-0000CC1B0000}"/>
    <cellStyle name="Normal 2 2 10 2 19 5 2" xfId="7129" xr:uid="{00000000-0005-0000-0000-0000CD1B0000}"/>
    <cellStyle name="Normal 2 2 10 2 19 5 3" xfId="7130" xr:uid="{00000000-0005-0000-0000-0000CE1B0000}"/>
    <cellStyle name="Normal 2 2 10 2 19 5 4" xfId="7131" xr:uid="{00000000-0005-0000-0000-0000CF1B0000}"/>
    <cellStyle name="Normal 2 2 10 2 19 5 5" xfId="7132" xr:uid="{00000000-0005-0000-0000-0000D01B0000}"/>
    <cellStyle name="Normal 2 2 10 2 19 5 6" xfId="7133" xr:uid="{00000000-0005-0000-0000-0000D11B0000}"/>
    <cellStyle name="Normal 2 2 10 2 19 5 7" xfId="7134" xr:uid="{00000000-0005-0000-0000-0000D21B0000}"/>
    <cellStyle name="Normal 2 2 10 2 19 5 8" xfId="7135" xr:uid="{00000000-0005-0000-0000-0000D31B0000}"/>
    <cellStyle name="Normal 2 2 10 2 19 5 9" xfId="7136" xr:uid="{00000000-0005-0000-0000-0000D41B0000}"/>
    <cellStyle name="Normal 2 2 10 2 19 6" xfId="7137" xr:uid="{00000000-0005-0000-0000-0000D51B0000}"/>
    <cellStyle name="Normal 2 2 10 2 19 7" xfId="7138" xr:uid="{00000000-0005-0000-0000-0000D61B0000}"/>
    <cellStyle name="Normal 2 2 10 2 19 8" xfId="7139" xr:uid="{00000000-0005-0000-0000-0000D71B0000}"/>
    <cellStyle name="Normal 2 2 10 2 19 9" xfId="7140" xr:uid="{00000000-0005-0000-0000-0000D81B0000}"/>
    <cellStyle name="Normal 2 2 10 2 2" xfId="7141" xr:uid="{00000000-0005-0000-0000-0000D91B0000}"/>
    <cellStyle name="Normal 2 2 10 2 2 10" xfId="7142" xr:uid="{00000000-0005-0000-0000-0000DA1B0000}"/>
    <cellStyle name="Normal 2 2 10 2 2 11" xfId="7143" xr:uid="{00000000-0005-0000-0000-0000DB1B0000}"/>
    <cellStyle name="Normal 2 2 10 2 2 12" xfId="7144" xr:uid="{00000000-0005-0000-0000-0000DC1B0000}"/>
    <cellStyle name="Normal 2 2 10 2 2 13" xfId="7145" xr:uid="{00000000-0005-0000-0000-0000DD1B0000}"/>
    <cellStyle name="Normal 2 2 10 2 2 14" xfId="7146" xr:uid="{00000000-0005-0000-0000-0000DE1B0000}"/>
    <cellStyle name="Normal 2 2 10 2 2 2" xfId="7147" xr:uid="{00000000-0005-0000-0000-0000DF1B0000}"/>
    <cellStyle name="Normal 2 2 10 2 2 2 10" xfId="7148" xr:uid="{00000000-0005-0000-0000-0000E01B0000}"/>
    <cellStyle name="Normal 2 2 10 2 2 2 2" xfId="7149" xr:uid="{00000000-0005-0000-0000-0000E11B0000}"/>
    <cellStyle name="Normal 2 2 10 2 2 2 3" xfId="7150" xr:uid="{00000000-0005-0000-0000-0000E21B0000}"/>
    <cellStyle name="Normal 2 2 10 2 2 2 4" xfId="7151" xr:uid="{00000000-0005-0000-0000-0000E31B0000}"/>
    <cellStyle name="Normal 2 2 10 2 2 2 5" xfId="7152" xr:uid="{00000000-0005-0000-0000-0000E41B0000}"/>
    <cellStyle name="Normal 2 2 10 2 2 2 6" xfId="7153" xr:uid="{00000000-0005-0000-0000-0000E51B0000}"/>
    <cellStyle name="Normal 2 2 10 2 2 2 7" xfId="7154" xr:uid="{00000000-0005-0000-0000-0000E61B0000}"/>
    <cellStyle name="Normal 2 2 10 2 2 2 8" xfId="7155" xr:uid="{00000000-0005-0000-0000-0000E71B0000}"/>
    <cellStyle name="Normal 2 2 10 2 2 2 9" xfId="7156" xr:uid="{00000000-0005-0000-0000-0000E81B0000}"/>
    <cellStyle name="Normal 2 2 10 2 2 3" xfId="7157" xr:uid="{00000000-0005-0000-0000-0000E91B0000}"/>
    <cellStyle name="Normal 2 2 10 2 2 3 10" xfId="7158" xr:uid="{00000000-0005-0000-0000-0000EA1B0000}"/>
    <cellStyle name="Normal 2 2 10 2 2 3 2" xfId="7159" xr:uid="{00000000-0005-0000-0000-0000EB1B0000}"/>
    <cellStyle name="Normal 2 2 10 2 2 3 3" xfId="7160" xr:uid="{00000000-0005-0000-0000-0000EC1B0000}"/>
    <cellStyle name="Normal 2 2 10 2 2 3 4" xfId="7161" xr:uid="{00000000-0005-0000-0000-0000ED1B0000}"/>
    <cellStyle name="Normal 2 2 10 2 2 3 5" xfId="7162" xr:uid="{00000000-0005-0000-0000-0000EE1B0000}"/>
    <cellStyle name="Normal 2 2 10 2 2 3 6" xfId="7163" xr:uid="{00000000-0005-0000-0000-0000EF1B0000}"/>
    <cellStyle name="Normal 2 2 10 2 2 3 7" xfId="7164" xr:uid="{00000000-0005-0000-0000-0000F01B0000}"/>
    <cellStyle name="Normal 2 2 10 2 2 3 8" xfId="7165" xr:uid="{00000000-0005-0000-0000-0000F11B0000}"/>
    <cellStyle name="Normal 2 2 10 2 2 3 9" xfId="7166" xr:uid="{00000000-0005-0000-0000-0000F21B0000}"/>
    <cellStyle name="Normal 2 2 10 2 2 4" xfId="7167" xr:uid="{00000000-0005-0000-0000-0000F31B0000}"/>
    <cellStyle name="Normal 2 2 10 2 2 4 10" xfId="7168" xr:uid="{00000000-0005-0000-0000-0000F41B0000}"/>
    <cellStyle name="Normal 2 2 10 2 2 4 2" xfId="7169" xr:uid="{00000000-0005-0000-0000-0000F51B0000}"/>
    <cellStyle name="Normal 2 2 10 2 2 4 3" xfId="7170" xr:uid="{00000000-0005-0000-0000-0000F61B0000}"/>
    <cellStyle name="Normal 2 2 10 2 2 4 4" xfId="7171" xr:uid="{00000000-0005-0000-0000-0000F71B0000}"/>
    <cellStyle name="Normal 2 2 10 2 2 4 5" xfId="7172" xr:uid="{00000000-0005-0000-0000-0000F81B0000}"/>
    <cellStyle name="Normal 2 2 10 2 2 4 6" xfId="7173" xr:uid="{00000000-0005-0000-0000-0000F91B0000}"/>
    <cellStyle name="Normal 2 2 10 2 2 4 7" xfId="7174" xr:uid="{00000000-0005-0000-0000-0000FA1B0000}"/>
    <cellStyle name="Normal 2 2 10 2 2 4 8" xfId="7175" xr:uid="{00000000-0005-0000-0000-0000FB1B0000}"/>
    <cellStyle name="Normal 2 2 10 2 2 4 9" xfId="7176" xr:uid="{00000000-0005-0000-0000-0000FC1B0000}"/>
    <cellStyle name="Normal 2 2 10 2 2 5" xfId="7177" xr:uid="{00000000-0005-0000-0000-0000FD1B0000}"/>
    <cellStyle name="Normal 2 2 10 2 2 5 10" xfId="7178" xr:uid="{00000000-0005-0000-0000-0000FE1B0000}"/>
    <cellStyle name="Normal 2 2 10 2 2 5 2" xfId="7179" xr:uid="{00000000-0005-0000-0000-0000FF1B0000}"/>
    <cellStyle name="Normal 2 2 10 2 2 5 3" xfId="7180" xr:uid="{00000000-0005-0000-0000-0000001C0000}"/>
    <cellStyle name="Normal 2 2 10 2 2 5 4" xfId="7181" xr:uid="{00000000-0005-0000-0000-0000011C0000}"/>
    <cellStyle name="Normal 2 2 10 2 2 5 5" xfId="7182" xr:uid="{00000000-0005-0000-0000-0000021C0000}"/>
    <cellStyle name="Normal 2 2 10 2 2 5 6" xfId="7183" xr:uid="{00000000-0005-0000-0000-0000031C0000}"/>
    <cellStyle name="Normal 2 2 10 2 2 5 7" xfId="7184" xr:uid="{00000000-0005-0000-0000-0000041C0000}"/>
    <cellStyle name="Normal 2 2 10 2 2 5 8" xfId="7185" xr:uid="{00000000-0005-0000-0000-0000051C0000}"/>
    <cellStyle name="Normal 2 2 10 2 2 5 9" xfId="7186" xr:uid="{00000000-0005-0000-0000-0000061C0000}"/>
    <cellStyle name="Normal 2 2 10 2 2 6" xfId="7187" xr:uid="{00000000-0005-0000-0000-0000071C0000}"/>
    <cellStyle name="Normal 2 2 10 2 2 7" xfId="7188" xr:uid="{00000000-0005-0000-0000-0000081C0000}"/>
    <cellStyle name="Normal 2 2 10 2 2 8" xfId="7189" xr:uid="{00000000-0005-0000-0000-0000091C0000}"/>
    <cellStyle name="Normal 2 2 10 2 2 9" xfId="7190" xr:uid="{00000000-0005-0000-0000-00000A1C0000}"/>
    <cellStyle name="Normal 2 2 10 2 20" xfId="7191" xr:uid="{00000000-0005-0000-0000-00000B1C0000}"/>
    <cellStyle name="Normal 2 2 10 2 20 10" xfId="7192" xr:uid="{00000000-0005-0000-0000-00000C1C0000}"/>
    <cellStyle name="Normal 2 2 10 2 20 11" xfId="7193" xr:uid="{00000000-0005-0000-0000-00000D1C0000}"/>
    <cellStyle name="Normal 2 2 10 2 20 12" xfId="7194" xr:uid="{00000000-0005-0000-0000-00000E1C0000}"/>
    <cellStyle name="Normal 2 2 10 2 20 13" xfId="7195" xr:uid="{00000000-0005-0000-0000-00000F1C0000}"/>
    <cellStyle name="Normal 2 2 10 2 20 14" xfId="7196" xr:uid="{00000000-0005-0000-0000-0000101C0000}"/>
    <cellStyle name="Normal 2 2 10 2 20 2" xfId="7197" xr:uid="{00000000-0005-0000-0000-0000111C0000}"/>
    <cellStyle name="Normal 2 2 10 2 20 2 10" xfId="7198" xr:uid="{00000000-0005-0000-0000-0000121C0000}"/>
    <cellStyle name="Normal 2 2 10 2 20 2 2" xfId="7199" xr:uid="{00000000-0005-0000-0000-0000131C0000}"/>
    <cellStyle name="Normal 2 2 10 2 20 2 3" xfId="7200" xr:uid="{00000000-0005-0000-0000-0000141C0000}"/>
    <cellStyle name="Normal 2 2 10 2 20 2 4" xfId="7201" xr:uid="{00000000-0005-0000-0000-0000151C0000}"/>
    <cellStyle name="Normal 2 2 10 2 20 2 5" xfId="7202" xr:uid="{00000000-0005-0000-0000-0000161C0000}"/>
    <cellStyle name="Normal 2 2 10 2 20 2 6" xfId="7203" xr:uid="{00000000-0005-0000-0000-0000171C0000}"/>
    <cellStyle name="Normal 2 2 10 2 20 2 7" xfId="7204" xr:uid="{00000000-0005-0000-0000-0000181C0000}"/>
    <cellStyle name="Normal 2 2 10 2 20 2 8" xfId="7205" xr:uid="{00000000-0005-0000-0000-0000191C0000}"/>
    <cellStyle name="Normal 2 2 10 2 20 2 9" xfId="7206" xr:uid="{00000000-0005-0000-0000-00001A1C0000}"/>
    <cellStyle name="Normal 2 2 10 2 20 3" xfId="7207" xr:uid="{00000000-0005-0000-0000-00001B1C0000}"/>
    <cellStyle name="Normal 2 2 10 2 20 3 10" xfId="7208" xr:uid="{00000000-0005-0000-0000-00001C1C0000}"/>
    <cellStyle name="Normal 2 2 10 2 20 3 2" xfId="7209" xr:uid="{00000000-0005-0000-0000-00001D1C0000}"/>
    <cellStyle name="Normal 2 2 10 2 20 3 3" xfId="7210" xr:uid="{00000000-0005-0000-0000-00001E1C0000}"/>
    <cellStyle name="Normal 2 2 10 2 20 3 4" xfId="7211" xr:uid="{00000000-0005-0000-0000-00001F1C0000}"/>
    <cellStyle name="Normal 2 2 10 2 20 3 5" xfId="7212" xr:uid="{00000000-0005-0000-0000-0000201C0000}"/>
    <cellStyle name="Normal 2 2 10 2 20 3 6" xfId="7213" xr:uid="{00000000-0005-0000-0000-0000211C0000}"/>
    <cellStyle name="Normal 2 2 10 2 20 3 7" xfId="7214" xr:uid="{00000000-0005-0000-0000-0000221C0000}"/>
    <cellStyle name="Normal 2 2 10 2 20 3 8" xfId="7215" xr:uid="{00000000-0005-0000-0000-0000231C0000}"/>
    <cellStyle name="Normal 2 2 10 2 20 3 9" xfId="7216" xr:uid="{00000000-0005-0000-0000-0000241C0000}"/>
    <cellStyle name="Normal 2 2 10 2 20 4" xfId="7217" xr:uid="{00000000-0005-0000-0000-0000251C0000}"/>
    <cellStyle name="Normal 2 2 10 2 20 4 10" xfId="7218" xr:uid="{00000000-0005-0000-0000-0000261C0000}"/>
    <cellStyle name="Normal 2 2 10 2 20 4 2" xfId="7219" xr:uid="{00000000-0005-0000-0000-0000271C0000}"/>
    <cellStyle name="Normal 2 2 10 2 20 4 3" xfId="7220" xr:uid="{00000000-0005-0000-0000-0000281C0000}"/>
    <cellStyle name="Normal 2 2 10 2 20 4 4" xfId="7221" xr:uid="{00000000-0005-0000-0000-0000291C0000}"/>
    <cellStyle name="Normal 2 2 10 2 20 4 5" xfId="7222" xr:uid="{00000000-0005-0000-0000-00002A1C0000}"/>
    <cellStyle name="Normal 2 2 10 2 20 4 6" xfId="7223" xr:uid="{00000000-0005-0000-0000-00002B1C0000}"/>
    <cellStyle name="Normal 2 2 10 2 20 4 7" xfId="7224" xr:uid="{00000000-0005-0000-0000-00002C1C0000}"/>
    <cellStyle name="Normal 2 2 10 2 20 4 8" xfId="7225" xr:uid="{00000000-0005-0000-0000-00002D1C0000}"/>
    <cellStyle name="Normal 2 2 10 2 20 4 9" xfId="7226" xr:uid="{00000000-0005-0000-0000-00002E1C0000}"/>
    <cellStyle name="Normal 2 2 10 2 20 5" xfId="7227" xr:uid="{00000000-0005-0000-0000-00002F1C0000}"/>
    <cellStyle name="Normal 2 2 10 2 20 5 10" xfId="7228" xr:uid="{00000000-0005-0000-0000-0000301C0000}"/>
    <cellStyle name="Normal 2 2 10 2 20 5 2" xfId="7229" xr:uid="{00000000-0005-0000-0000-0000311C0000}"/>
    <cellStyle name="Normal 2 2 10 2 20 5 3" xfId="7230" xr:uid="{00000000-0005-0000-0000-0000321C0000}"/>
    <cellStyle name="Normal 2 2 10 2 20 5 4" xfId="7231" xr:uid="{00000000-0005-0000-0000-0000331C0000}"/>
    <cellStyle name="Normal 2 2 10 2 20 5 5" xfId="7232" xr:uid="{00000000-0005-0000-0000-0000341C0000}"/>
    <cellStyle name="Normal 2 2 10 2 20 5 6" xfId="7233" xr:uid="{00000000-0005-0000-0000-0000351C0000}"/>
    <cellStyle name="Normal 2 2 10 2 20 5 7" xfId="7234" xr:uid="{00000000-0005-0000-0000-0000361C0000}"/>
    <cellStyle name="Normal 2 2 10 2 20 5 8" xfId="7235" xr:uid="{00000000-0005-0000-0000-0000371C0000}"/>
    <cellStyle name="Normal 2 2 10 2 20 5 9" xfId="7236" xr:uid="{00000000-0005-0000-0000-0000381C0000}"/>
    <cellStyle name="Normal 2 2 10 2 20 6" xfId="7237" xr:uid="{00000000-0005-0000-0000-0000391C0000}"/>
    <cellStyle name="Normal 2 2 10 2 20 7" xfId="7238" xr:uid="{00000000-0005-0000-0000-00003A1C0000}"/>
    <cellStyle name="Normal 2 2 10 2 20 8" xfId="7239" xr:uid="{00000000-0005-0000-0000-00003B1C0000}"/>
    <cellStyle name="Normal 2 2 10 2 20 9" xfId="7240" xr:uid="{00000000-0005-0000-0000-00003C1C0000}"/>
    <cellStyle name="Normal 2 2 10 2 21" xfId="7241" xr:uid="{00000000-0005-0000-0000-00003D1C0000}"/>
    <cellStyle name="Normal 2 2 10 2 21 10" xfId="7242" xr:uid="{00000000-0005-0000-0000-00003E1C0000}"/>
    <cellStyle name="Normal 2 2 10 2 21 11" xfId="7243" xr:uid="{00000000-0005-0000-0000-00003F1C0000}"/>
    <cellStyle name="Normal 2 2 10 2 21 12" xfId="7244" xr:uid="{00000000-0005-0000-0000-0000401C0000}"/>
    <cellStyle name="Normal 2 2 10 2 21 13" xfId="7245" xr:uid="{00000000-0005-0000-0000-0000411C0000}"/>
    <cellStyle name="Normal 2 2 10 2 21 14" xfId="7246" xr:uid="{00000000-0005-0000-0000-0000421C0000}"/>
    <cellStyle name="Normal 2 2 10 2 21 2" xfId="7247" xr:uid="{00000000-0005-0000-0000-0000431C0000}"/>
    <cellStyle name="Normal 2 2 10 2 21 2 10" xfId="7248" xr:uid="{00000000-0005-0000-0000-0000441C0000}"/>
    <cellStyle name="Normal 2 2 10 2 21 2 2" xfId="7249" xr:uid="{00000000-0005-0000-0000-0000451C0000}"/>
    <cellStyle name="Normal 2 2 10 2 21 2 3" xfId="7250" xr:uid="{00000000-0005-0000-0000-0000461C0000}"/>
    <cellStyle name="Normal 2 2 10 2 21 2 4" xfId="7251" xr:uid="{00000000-0005-0000-0000-0000471C0000}"/>
    <cellStyle name="Normal 2 2 10 2 21 2 5" xfId="7252" xr:uid="{00000000-0005-0000-0000-0000481C0000}"/>
    <cellStyle name="Normal 2 2 10 2 21 2 6" xfId="7253" xr:uid="{00000000-0005-0000-0000-0000491C0000}"/>
    <cellStyle name="Normal 2 2 10 2 21 2 7" xfId="7254" xr:uid="{00000000-0005-0000-0000-00004A1C0000}"/>
    <cellStyle name="Normal 2 2 10 2 21 2 8" xfId="7255" xr:uid="{00000000-0005-0000-0000-00004B1C0000}"/>
    <cellStyle name="Normal 2 2 10 2 21 2 9" xfId="7256" xr:uid="{00000000-0005-0000-0000-00004C1C0000}"/>
    <cellStyle name="Normal 2 2 10 2 21 3" xfId="7257" xr:uid="{00000000-0005-0000-0000-00004D1C0000}"/>
    <cellStyle name="Normal 2 2 10 2 21 3 10" xfId="7258" xr:uid="{00000000-0005-0000-0000-00004E1C0000}"/>
    <cellStyle name="Normal 2 2 10 2 21 3 2" xfId="7259" xr:uid="{00000000-0005-0000-0000-00004F1C0000}"/>
    <cellStyle name="Normal 2 2 10 2 21 3 3" xfId="7260" xr:uid="{00000000-0005-0000-0000-0000501C0000}"/>
    <cellStyle name="Normal 2 2 10 2 21 3 4" xfId="7261" xr:uid="{00000000-0005-0000-0000-0000511C0000}"/>
    <cellStyle name="Normal 2 2 10 2 21 3 5" xfId="7262" xr:uid="{00000000-0005-0000-0000-0000521C0000}"/>
    <cellStyle name="Normal 2 2 10 2 21 3 6" xfId="7263" xr:uid="{00000000-0005-0000-0000-0000531C0000}"/>
    <cellStyle name="Normal 2 2 10 2 21 3 7" xfId="7264" xr:uid="{00000000-0005-0000-0000-0000541C0000}"/>
    <cellStyle name="Normal 2 2 10 2 21 3 8" xfId="7265" xr:uid="{00000000-0005-0000-0000-0000551C0000}"/>
    <cellStyle name="Normal 2 2 10 2 21 3 9" xfId="7266" xr:uid="{00000000-0005-0000-0000-0000561C0000}"/>
    <cellStyle name="Normal 2 2 10 2 21 4" xfId="7267" xr:uid="{00000000-0005-0000-0000-0000571C0000}"/>
    <cellStyle name="Normal 2 2 10 2 21 4 10" xfId="7268" xr:uid="{00000000-0005-0000-0000-0000581C0000}"/>
    <cellStyle name="Normal 2 2 10 2 21 4 2" xfId="7269" xr:uid="{00000000-0005-0000-0000-0000591C0000}"/>
    <cellStyle name="Normal 2 2 10 2 21 4 3" xfId="7270" xr:uid="{00000000-0005-0000-0000-00005A1C0000}"/>
    <cellStyle name="Normal 2 2 10 2 21 4 4" xfId="7271" xr:uid="{00000000-0005-0000-0000-00005B1C0000}"/>
    <cellStyle name="Normal 2 2 10 2 21 4 5" xfId="7272" xr:uid="{00000000-0005-0000-0000-00005C1C0000}"/>
    <cellStyle name="Normal 2 2 10 2 21 4 6" xfId="7273" xr:uid="{00000000-0005-0000-0000-00005D1C0000}"/>
    <cellStyle name="Normal 2 2 10 2 21 4 7" xfId="7274" xr:uid="{00000000-0005-0000-0000-00005E1C0000}"/>
    <cellStyle name="Normal 2 2 10 2 21 4 8" xfId="7275" xr:uid="{00000000-0005-0000-0000-00005F1C0000}"/>
    <cellStyle name="Normal 2 2 10 2 21 4 9" xfId="7276" xr:uid="{00000000-0005-0000-0000-0000601C0000}"/>
    <cellStyle name="Normal 2 2 10 2 21 5" xfId="7277" xr:uid="{00000000-0005-0000-0000-0000611C0000}"/>
    <cellStyle name="Normal 2 2 10 2 21 5 10" xfId="7278" xr:uid="{00000000-0005-0000-0000-0000621C0000}"/>
    <cellStyle name="Normal 2 2 10 2 21 5 2" xfId="7279" xr:uid="{00000000-0005-0000-0000-0000631C0000}"/>
    <cellStyle name="Normal 2 2 10 2 21 5 3" xfId="7280" xr:uid="{00000000-0005-0000-0000-0000641C0000}"/>
    <cellStyle name="Normal 2 2 10 2 21 5 4" xfId="7281" xr:uid="{00000000-0005-0000-0000-0000651C0000}"/>
    <cellStyle name="Normal 2 2 10 2 21 5 5" xfId="7282" xr:uid="{00000000-0005-0000-0000-0000661C0000}"/>
    <cellStyle name="Normal 2 2 10 2 21 5 6" xfId="7283" xr:uid="{00000000-0005-0000-0000-0000671C0000}"/>
    <cellStyle name="Normal 2 2 10 2 21 5 7" xfId="7284" xr:uid="{00000000-0005-0000-0000-0000681C0000}"/>
    <cellStyle name="Normal 2 2 10 2 21 5 8" xfId="7285" xr:uid="{00000000-0005-0000-0000-0000691C0000}"/>
    <cellStyle name="Normal 2 2 10 2 21 5 9" xfId="7286" xr:uid="{00000000-0005-0000-0000-00006A1C0000}"/>
    <cellStyle name="Normal 2 2 10 2 21 6" xfId="7287" xr:uid="{00000000-0005-0000-0000-00006B1C0000}"/>
    <cellStyle name="Normal 2 2 10 2 21 7" xfId="7288" xr:uid="{00000000-0005-0000-0000-00006C1C0000}"/>
    <cellStyle name="Normal 2 2 10 2 21 8" xfId="7289" xr:uid="{00000000-0005-0000-0000-00006D1C0000}"/>
    <cellStyle name="Normal 2 2 10 2 21 9" xfId="7290" xr:uid="{00000000-0005-0000-0000-00006E1C0000}"/>
    <cellStyle name="Normal 2 2 10 2 22" xfId="7291" xr:uid="{00000000-0005-0000-0000-00006F1C0000}"/>
    <cellStyle name="Normal 2 2 10 2 22 10" xfId="7292" xr:uid="{00000000-0005-0000-0000-0000701C0000}"/>
    <cellStyle name="Normal 2 2 10 2 22 11" xfId="7293" xr:uid="{00000000-0005-0000-0000-0000711C0000}"/>
    <cellStyle name="Normal 2 2 10 2 22 12" xfId="7294" xr:uid="{00000000-0005-0000-0000-0000721C0000}"/>
    <cellStyle name="Normal 2 2 10 2 22 13" xfId="7295" xr:uid="{00000000-0005-0000-0000-0000731C0000}"/>
    <cellStyle name="Normal 2 2 10 2 22 14" xfId="7296" xr:uid="{00000000-0005-0000-0000-0000741C0000}"/>
    <cellStyle name="Normal 2 2 10 2 22 2" xfId="7297" xr:uid="{00000000-0005-0000-0000-0000751C0000}"/>
    <cellStyle name="Normal 2 2 10 2 22 2 10" xfId="7298" xr:uid="{00000000-0005-0000-0000-0000761C0000}"/>
    <cellStyle name="Normal 2 2 10 2 22 2 2" xfId="7299" xr:uid="{00000000-0005-0000-0000-0000771C0000}"/>
    <cellStyle name="Normal 2 2 10 2 22 2 3" xfId="7300" xr:uid="{00000000-0005-0000-0000-0000781C0000}"/>
    <cellStyle name="Normal 2 2 10 2 22 2 4" xfId="7301" xr:uid="{00000000-0005-0000-0000-0000791C0000}"/>
    <cellStyle name="Normal 2 2 10 2 22 2 5" xfId="7302" xr:uid="{00000000-0005-0000-0000-00007A1C0000}"/>
    <cellStyle name="Normal 2 2 10 2 22 2 6" xfId="7303" xr:uid="{00000000-0005-0000-0000-00007B1C0000}"/>
    <cellStyle name="Normal 2 2 10 2 22 2 7" xfId="7304" xr:uid="{00000000-0005-0000-0000-00007C1C0000}"/>
    <cellStyle name="Normal 2 2 10 2 22 2 8" xfId="7305" xr:uid="{00000000-0005-0000-0000-00007D1C0000}"/>
    <cellStyle name="Normal 2 2 10 2 22 2 9" xfId="7306" xr:uid="{00000000-0005-0000-0000-00007E1C0000}"/>
    <cellStyle name="Normal 2 2 10 2 22 3" xfId="7307" xr:uid="{00000000-0005-0000-0000-00007F1C0000}"/>
    <cellStyle name="Normal 2 2 10 2 22 3 10" xfId="7308" xr:uid="{00000000-0005-0000-0000-0000801C0000}"/>
    <cellStyle name="Normal 2 2 10 2 22 3 2" xfId="7309" xr:uid="{00000000-0005-0000-0000-0000811C0000}"/>
    <cellStyle name="Normal 2 2 10 2 22 3 3" xfId="7310" xr:uid="{00000000-0005-0000-0000-0000821C0000}"/>
    <cellStyle name="Normal 2 2 10 2 22 3 4" xfId="7311" xr:uid="{00000000-0005-0000-0000-0000831C0000}"/>
    <cellStyle name="Normal 2 2 10 2 22 3 5" xfId="7312" xr:uid="{00000000-0005-0000-0000-0000841C0000}"/>
    <cellStyle name="Normal 2 2 10 2 22 3 6" xfId="7313" xr:uid="{00000000-0005-0000-0000-0000851C0000}"/>
    <cellStyle name="Normal 2 2 10 2 22 3 7" xfId="7314" xr:uid="{00000000-0005-0000-0000-0000861C0000}"/>
    <cellStyle name="Normal 2 2 10 2 22 3 8" xfId="7315" xr:uid="{00000000-0005-0000-0000-0000871C0000}"/>
    <cellStyle name="Normal 2 2 10 2 22 3 9" xfId="7316" xr:uid="{00000000-0005-0000-0000-0000881C0000}"/>
    <cellStyle name="Normal 2 2 10 2 22 4" xfId="7317" xr:uid="{00000000-0005-0000-0000-0000891C0000}"/>
    <cellStyle name="Normal 2 2 10 2 22 4 10" xfId="7318" xr:uid="{00000000-0005-0000-0000-00008A1C0000}"/>
    <cellStyle name="Normal 2 2 10 2 22 4 2" xfId="7319" xr:uid="{00000000-0005-0000-0000-00008B1C0000}"/>
    <cellStyle name="Normal 2 2 10 2 22 4 3" xfId="7320" xr:uid="{00000000-0005-0000-0000-00008C1C0000}"/>
    <cellStyle name="Normal 2 2 10 2 22 4 4" xfId="7321" xr:uid="{00000000-0005-0000-0000-00008D1C0000}"/>
    <cellStyle name="Normal 2 2 10 2 22 4 5" xfId="7322" xr:uid="{00000000-0005-0000-0000-00008E1C0000}"/>
    <cellStyle name="Normal 2 2 10 2 22 4 6" xfId="7323" xr:uid="{00000000-0005-0000-0000-00008F1C0000}"/>
    <cellStyle name="Normal 2 2 10 2 22 4 7" xfId="7324" xr:uid="{00000000-0005-0000-0000-0000901C0000}"/>
    <cellStyle name="Normal 2 2 10 2 22 4 8" xfId="7325" xr:uid="{00000000-0005-0000-0000-0000911C0000}"/>
    <cellStyle name="Normal 2 2 10 2 22 4 9" xfId="7326" xr:uid="{00000000-0005-0000-0000-0000921C0000}"/>
    <cellStyle name="Normal 2 2 10 2 22 5" xfId="7327" xr:uid="{00000000-0005-0000-0000-0000931C0000}"/>
    <cellStyle name="Normal 2 2 10 2 22 5 10" xfId="7328" xr:uid="{00000000-0005-0000-0000-0000941C0000}"/>
    <cellStyle name="Normal 2 2 10 2 22 5 2" xfId="7329" xr:uid="{00000000-0005-0000-0000-0000951C0000}"/>
    <cellStyle name="Normal 2 2 10 2 22 5 3" xfId="7330" xr:uid="{00000000-0005-0000-0000-0000961C0000}"/>
    <cellStyle name="Normal 2 2 10 2 22 5 4" xfId="7331" xr:uid="{00000000-0005-0000-0000-0000971C0000}"/>
    <cellStyle name="Normal 2 2 10 2 22 5 5" xfId="7332" xr:uid="{00000000-0005-0000-0000-0000981C0000}"/>
    <cellStyle name="Normal 2 2 10 2 22 5 6" xfId="7333" xr:uid="{00000000-0005-0000-0000-0000991C0000}"/>
    <cellStyle name="Normal 2 2 10 2 22 5 7" xfId="7334" xr:uid="{00000000-0005-0000-0000-00009A1C0000}"/>
    <cellStyle name="Normal 2 2 10 2 22 5 8" xfId="7335" xr:uid="{00000000-0005-0000-0000-00009B1C0000}"/>
    <cellStyle name="Normal 2 2 10 2 22 5 9" xfId="7336" xr:uid="{00000000-0005-0000-0000-00009C1C0000}"/>
    <cellStyle name="Normal 2 2 10 2 22 6" xfId="7337" xr:uid="{00000000-0005-0000-0000-00009D1C0000}"/>
    <cellStyle name="Normal 2 2 10 2 22 7" xfId="7338" xr:uid="{00000000-0005-0000-0000-00009E1C0000}"/>
    <cellStyle name="Normal 2 2 10 2 22 8" xfId="7339" xr:uid="{00000000-0005-0000-0000-00009F1C0000}"/>
    <cellStyle name="Normal 2 2 10 2 22 9" xfId="7340" xr:uid="{00000000-0005-0000-0000-0000A01C0000}"/>
    <cellStyle name="Normal 2 2 10 2 23" xfId="7341" xr:uid="{00000000-0005-0000-0000-0000A11C0000}"/>
    <cellStyle name="Normal 2 2 10 2 23 10" xfId="7342" xr:uid="{00000000-0005-0000-0000-0000A21C0000}"/>
    <cellStyle name="Normal 2 2 10 2 23 11" xfId="7343" xr:uid="{00000000-0005-0000-0000-0000A31C0000}"/>
    <cellStyle name="Normal 2 2 10 2 23 12" xfId="7344" xr:uid="{00000000-0005-0000-0000-0000A41C0000}"/>
    <cellStyle name="Normal 2 2 10 2 23 13" xfId="7345" xr:uid="{00000000-0005-0000-0000-0000A51C0000}"/>
    <cellStyle name="Normal 2 2 10 2 23 14" xfId="7346" xr:uid="{00000000-0005-0000-0000-0000A61C0000}"/>
    <cellStyle name="Normal 2 2 10 2 23 2" xfId="7347" xr:uid="{00000000-0005-0000-0000-0000A71C0000}"/>
    <cellStyle name="Normal 2 2 10 2 23 2 10" xfId="7348" xr:uid="{00000000-0005-0000-0000-0000A81C0000}"/>
    <cellStyle name="Normal 2 2 10 2 23 2 2" xfId="7349" xr:uid="{00000000-0005-0000-0000-0000A91C0000}"/>
    <cellStyle name="Normal 2 2 10 2 23 2 3" xfId="7350" xr:uid="{00000000-0005-0000-0000-0000AA1C0000}"/>
    <cellStyle name="Normal 2 2 10 2 23 2 4" xfId="7351" xr:uid="{00000000-0005-0000-0000-0000AB1C0000}"/>
    <cellStyle name="Normal 2 2 10 2 23 2 5" xfId="7352" xr:uid="{00000000-0005-0000-0000-0000AC1C0000}"/>
    <cellStyle name="Normal 2 2 10 2 23 2 6" xfId="7353" xr:uid="{00000000-0005-0000-0000-0000AD1C0000}"/>
    <cellStyle name="Normal 2 2 10 2 23 2 7" xfId="7354" xr:uid="{00000000-0005-0000-0000-0000AE1C0000}"/>
    <cellStyle name="Normal 2 2 10 2 23 2 8" xfId="7355" xr:uid="{00000000-0005-0000-0000-0000AF1C0000}"/>
    <cellStyle name="Normal 2 2 10 2 23 2 9" xfId="7356" xr:uid="{00000000-0005-0000-0000-0000B01C0000}"/>
    <cellStyle name="Normal 2 2 10 2 23 3" xfId="7357" xr:uid="{00000000-0005-0000-0000-0000B11C0000}"/>
    <cellStyle name="Normal 2 2 10 2 23 3 10" xfId="7358" xr:uid="{00000000-0005-0000-0000-0000B21C0000}"/>
    <cellStyle name="Normal 2 2 10 2 23 3 2" xfId="7359" xr:uid="{00000000-0005-0000-0000-0000B31C0000}"/>
    <cellStyle name="Normal 2 2 10 2 23 3 3" xfId="7360" xr:uid="{00000000-0005-0000-0000-0000B41C0000}"/>
    <cellStyle name="Normal 2 2 10 2 23 3 4" xfId="7361" xr:uid="{00000000-0005-0000-0000-0000B51C0000}"/>
    <cellStyle name="Normal 2 2 10 2 23 3 5" xfId="7362" xr:uid="{00000000-0005-0000-0000-0000B61C0000}"/>
    <cellStyle name="Normal 2 2 10 2 23 3 6" xfId="7363" xr:uid="{00000000-0005-0000-0000-0000B71C0000}"/>
    <cellStyle name="Normal 2 2 10 2 23 3 7" xfId="7364" xr:uid="{00000000-0005-0000-0000-0000B81C0000}"/>
    <cellStyle name="Normal 2 2 10 2 23 3 8" xfId="7365" xr:uid="{00000000-0005-0000-0000-0000B91C0000}"/>
    <cellStyle name="Normal 2 2 10 2 23 3 9" xfId="7366" xr:uid="{00000000-0005-0000-0000-0000BA1C0000}"/>
    <cellStyle name="Normal 2 2 10 2 23 4" xfId="7367" xr:uid="{00000000-0005-0000-0000-0000BB1C0000}"/>
    <cellStyle name="Normal 2 2 10 2 23 4 10" xfId="7368" xr:uid="{00000000-0005-0000-0000-0000BC1C0000}"/>
    <cellStyle name="Normal 2 2 10 2 23 4 2" xfId="7369" xr:uid="{00000000-0005-0000-0000-0000BD1C0000}"/>
    <cellStyle name="Normal 2 2 10 2 23 4 3" xfId="7370" xr:uid="{00000000-0005-0000-0000-0000BE1C0000}"/>
    <cellStyle name="Normal 2 2 10 2 23 4 4" xfId="7371" xr:uid="{00000000-0005-0000-0000-0000BF1C0000}"/>
    <cellStyle name="Normal 2 2 10 2 23 4 5" xfId="7372" xr:uid="{00000000-0005-0000-0000-0000C01C0000}"/>
    <cellStyle name="Normal 2 2 10 2 23 4 6" xfId="7373" xr:uid="{00000000-0005-0000-0000-0000C11C0000}"/>
    <cellStyle name="Normal 2 2 10 2 23 4 7" xfId="7374" xr:uid="{00000000-0005-0000-0000-0000C21C0000}"/>
    <cellStyle name="Normal 2 2 10 2 23 4 8" xfId="7375" xr:uid="{00000000-0005-0000-0000-0000C31C0000}"/>
    <cellStyle name="Normal 2 2 10 2 23 4 9" xfId="7376" xr:uid="{00000000-0005-0000-0000-0000C41C0000}"/>
    <cellStyle name="Normal 2 2 10 2 23 5" xfId="7377" xr:uid="{00000000-0005-0000-0000-0000C51C0000}"/>
    <cellStyle name="Normal 2 2 10 2 23 5 10" xfId="7378" xr:uid="{00000000-0005-0000-0000-0000C61C0000}"/>
    <cellStyle name="Normal 2 2 10 2 23 5 2" xfId="7379" xr:uid="{00000000-0005-0000-0000-0000C71C0000}"/>
    <cellStyle name="Normal 2 2 10 2 23 5 3" xfId="7380" xr:uid="{00000000-0005-0000-0000-0000C81C0000}"/>
    <cellStyle name="Normal 2 2 10 2 23 5 4" xfId="7381" xr:uid="{00000000-0005-0000-0000-0000C91C0000}"/>
    <cellStyle name="Normal 2 2 10 2 23 5 5" xfId="7382" xr:uid="{00000000-0005-0000-0000-0000CA1C0000}"/>
    <cellStyle name="Normal 2 2 10 2 23 5 6" xfId="7383" xr:uid="{00000000-0005-0000-0000-0000CB1C0000}"/>
    <cellStyle name="Normal 2 2 10 2 23 5 7" xfId="7384" xr:uid="{00000000-0005-0000-0000-0000CC1C0000}"/>
    <cellStyle name="Normal 2 2 10 2 23 5 8" xfId="7385" xr:uid="{00000000-0005-0000-0000-0000CD1C0000}"/>
    <cellStyle name="Normal 2 2 10 2 23 5 9" xfId="7386" xr:uid="{00000000-0005-0000-0000-0000CE1C0000}"/>
    <cellStyle name="Normal 2 2 10 2 23 6" xfId="7387" xr:uid="{00000000-0005-0000-0000-0000CF1C0000}"/>
    <cellStyle name="Normal 2 2 10 2 23 7" xfId="7388" xr:uid="{00000000-0005-0000-0000-0000D01C0000}"/>
    <cellStyle name="Normal 2 2 10 2 23 8" xfId="7389" xr:uid="{00000000-0005-0000-0000-0000D11C0000}"/>
    <cellStyle name="Normal 2 2 10 2 23 9" xfId="7390" xr:uid="{00000000-0005-0000-0000-0000D21C0000}"/>
    <cellStyle name="Normal 2 2 10 2 24" xfId="7391" xr:uid="{00000000-0005-0000-0000-0000D31C0000}"/>
    <cellStyle name="Normal 2 2 10 2 24 10" xfId="7392" xr:uid="{00000000-0005-0000-0000-0000D41C0000}"/>
    <cellStyle name="Normal 2 2 10 2 24 11" xfId="7393" xr:uid="{00000000-0005-0000-0000-0000D51C0000}"/>
    <cellStyle name="Normal 2 2 10 2 24 12" xfId="7394" xr:uid="{00000000-0005-0000-0000-0000D61C0000}"/>
    <cellStyle name="Normal 2 2 10 2 24 13" xfId="7395" xr:uid="{00000000-0005-0000-0000-0000D71C0000}"/>
    <cellStyle name="Normal 2 2 10 2 24 14" xfId="7396" xr:uid="{00000000-0005-0000-0000-0000D81C0000}"/>
    <cellStyle name="Normal 2 2 10 2 24 2" xfId="7397" xr:uid="{00000000-0005-0000-0000-0000D91C0000}"/>
    <cellStyle name="Normal 2 2 10 2 24 2 10" xfId="7398" xr:uid="{00000000-0005-0000-0000-0000DA1C0000}"/>
    <cellStyle name="Normal 2 2 10 2 24 2 2" xfId="7399" xr:uid="{00000000-0005-0000-0000-0000DB1C0000}"/>
    <cellStyle name="Normal 2 2 10 2 24 2 3" xfId="7400" xr:uid="{00000000-0005-0000-0000-0000DC1C0000}"/>
    <cellStyle name="Normal 2 2 10 2 24 2 4" xfId="7401" xr:uid="{00000000-0005-0000-0000-0000DD1C0000}"/>
    <cellStyle name="Normal 2 2 10 2 24 2 5" xfId="7402" xr:uid="{00000000-0005-0000-0000-0000DE1C0000}"/>
    <cellStyle name="Normal 2 2 10 2 24 2 6" xfId="7403" xr:uid="{00000000-0005-0000-0000-0000DF1C0000}"/>
    <cellStyle name="Normal 2 2 10 2 24 2 7" xfId="7404" xr:uid="{00000000-0005-0000-0000-0000E01C0000}"/>
    <cellStyle name="Normal 2 2 10 2 24 2 8" xfId="7405" xr:uid="{00000000-0005-0000-0000-0000E11C0000}"/>
    <cellStyle name="Normal 2 2 10 2 24 2 9" xfId="7406" xr:uid="{00000000-0005-0000-0000-0000E21C0000}"/>
    <cellStyle name="Normal 2 2 10 2 24 3" xfId="7407" xr:uid="{00000000-0005-0000-0000-0000E31C0000}"/>
    <cellStyle name="Normal 2 2 10 2 24 3 10" xfId="7408" xr:uid="{00000000-0005-0000-0000-0000E41C0000}"/>
    <cellStyle name="Normal 2 2 10 2 24 3 2" xfId="7409" xr:uid="{00000000-0005-0000-0000-0000E51C0000}"/>
    <cellStyle name="Normal 2 2 10 2 24 3 3" xfId="7410" xr:uid="{00000000-0005-0000-0000-0000E61C0000}"/>
    <cellStyle name="Normal 2 2 10 2 24 3 4" xfId="7411" xr:uid="{00000000-0005-0000-0000-0000E71C0000}"/>
    <cellStyle name="Normal 2 2 10 2 24 3 5" xfId="7412" xr:uid="{00000000-0005-0000-0000-0000E81C0000}"/>
    <cellStyle name="Normal 2 2 10 2 24 3 6" xfId="7413" xr:uid="{00000000-0005-0000-0000-0000E91C0000}"/>
    <cellStyle name="Normal 2 2 10 2 24 3 7" xfId="7414" xr:uid="{00000000-0005-0000-0000-0000EA1C0000}"/>
    <cellStyle name="Normal 2 2 10 2 24 3 8" xfId="7415" xr:uid="{00000000-0005-0000-0000-0000EB1C0000}"/>
    <cellStyle name="Normal 2 2 10 2 24 3 9" xfId="7416" xr:uid="{00000000-0005-0000-0000-0000EC1C0000}"/>
    <cellStyle name="Normal 2 2 10 2 24 4" xfId="7417" xr:uid="{00000000-0005-0000-0000-0000ED1C0000}"/>
    <cellStyle name="Normal 2 2 10 2 24 4 10" xfId="7418" xr:uid="{00000000-0005-0000-0000-0000EE1C0000}"/>
    <cellStyle name="Normal 2 2 10 2 24 4 2" xfId="7419" xr:uid="{00000000-0005-0000-0000-0000EF1C0000}"/>
    <cellStyle name="Normal 2 2 10 2 24 4 3" xfId="7420" xr:uid="{00000000-0005-0000-0000-0000F01C0000}"/>
    <cellStyle name="Normal 2 2 10 2 24 4 4" xfId="7421" xr:uid="{00000000-0005-0000-0000-0000F11C0000}"/>
    <cellStyle name="Normal 2 2 10 2 24 4 5" xfId="7422" xr:uid="{00000000-0005-0000-0000-0000F21C0000}"/>
    <cellStyle name="Normal 2 2 10 2 24 4 6" xfId="7423" xr:uid="{00000000-0005-0000-0000-0000F31C0000}"/>
    <cellStyle name="Normal 2 2 10 2 24 4 7" xfId="7424" xr:uid="{00000000-0005-0000-0000-0000F41C0000}"/>
    <cellStyle name="Normal 2 2 10 2 24 4 8" xfId="7425" xr:uid="{00000000-0005-0000-0000-0000F51C0000}"/>
    <cellStyle name="Normal 2 2 10 2 24 4 9" xfId="7426" xr:uid="{00000000-0005-0000-0000-0000F61C0000}"/>
    <cellStyle name="Normal 2 2 10 2 24 5" xfId="7427" xr:uid="{00000000-0005-0000-0000-0000F71C0000}"/>
    <cellStyle name="Normal 2 2 10 2 24 5 10" xfId="7428" xr:uid="{00000000-0005-0000-0000-0000F81C0000}"/>
    <cellStyle name="Normal 2 2 10 2 24 5 2" xfId="7429" xr:uid="{00000000-0005-0000-0000-0000F91C0000}"/>
    <cellStyle name="Normal 2 2 10 2 24 5 3" xfId="7430" xr:uid="{00000000-0005-0000-0000-0000FA1C0000}"/>
    <cellStyle name="Normal 2 2 10 2 24 5 4" xfId="7431" xr:uid="{00000000-0005-0000-0000-0000FB1C0000}"/>
    <cellStyle name="Normal 2 2 10 2 24 5 5" xfId="7432" xr:uid="{00000000-0005-0000-0000-0000FC1C0000}"/>
    <cellStyle name="Normal 2 2 10 2 24 5 6" xfId="7433" xr:uid="{00000000-0005-0000-0000-0000FD1C0000}"/>
    <cellStyle name="Normal 2 2 10 2 24 5 7" xfId="7434" xr:uid="{00000000-0005-0000-0000-0000FE1C0000}"/>
    <cellStyle name="Normal 2 2 10 2 24 5 8" xfId="7435" xr:uid="{00000000-0005-0000-0000-0000FF1C0000}"/>
    <cellStyle name="Normal 2 2 10 2 24 5 9" xfId="7436" xr:uid="{00000000-0005-0000-0000-0000001D0000}"/>
    <cellStyle name="Normal 2 2 10 2 24 6" xfId="7437" xr:uid="{00000000-0005-0000-0000-0000011D0000}"/>
    <cellStyle name="Normal 2 2 10 2 24 7" xfId="7438" xr:uid="{00000000-0005-0000-0000-0000021D0000}"/>
    <cellStyle name="Normal 2 2 10 2 24 8" xfId="7439" xr:uid="{00000000-0005-0000-0000-0000031D0000}"/>
    <cellStyle name="Normal 2 2 10 2 24 9" xfId="7440" xr:uid="{00000000-0005-0000-0000-0000041D0000}"/>
    <cellStyle name="Normal 2 2 10 2 25" xfId="7441" xr:uid="{00000000-0005-0000-0000-0000051D0000}"/>
    <cellStyle name="Normal 2 2 10 2 25 10" xfId="7442" xr:uid="{00000000-0005-0000-0000-0000061D0000}"/>
    <cellStyle name="Normal 2 2 10 2 25 11" xfId="7443" xr:uid="{00000000-0005-0000-0000-0000071D0000}"/>
    <cellStyle name="Normal 2 2 10 2 25 12" xfId="7444" xr:uid="{00000000-0005-0000-0000-0000081D0000}"/>
    <cellStyle name="Normal 2 2 10 2 25 13" xfId="7445" xr:uid="{00000000-0005-0000-0000-0000091D0000}"/>
    <cellStyle name="Normal 2 2 10 2 25 14" xfId="7446" xr:uid="{00000000-0005-0000-0000-00000A1D0000}"/>
    <cellStyle name="Normal 2 2 10 2 25 2" xfId="7447" xr:uid="{00000000-0005-0000-0000-00000B1D0000}"/>
    <cellStyle name="Normal 2 2 10 2 25 2 10" xfId="7448" xr:uid="{00000000-0005-0000-0000-00000C1D0000}"/>
    <cellStyle name="Normal 2 2 10 2 25 2 2" xfId="7449" xr:uid="{00000000-0005-0000-0000-00000D1D0000}"/>
    <cellStyle name="Normal 2 2 10 2 25 2 3" xfId="7450" xr:uid="{00000000-0005-0000-0000-00000E1D0000}"/>
    <cellStyle name="Normal 2 2 10 2 25 2 4" xfId="7451" xr:uid="{00000000-0005-0000-0000-00000F1D0000}"/>
    <cellStyle name="Normal 2 2 10 2 25 2 5" xfId="7452" xr:uid="{00000000-0005-0000-0000-0000101D0000}"/>
    <cellStyle name="Normal 2 2 10 2 25 2 6" xfId="7453" xr:uid="{00000000-0005-0000-0000-0000111D0000}"/>
    <cellStyle name="Normal 2 2 10 2 25 2 7" xfId="7454" xr:uid="{00000000-0005-0000-0000-0000121D0000}"/>
    <cellStyle name="Normal 2 2 10 2 25 2 8" xfId="7455" xr:uid="{00000000-0005-0000-0000-0000131D0000}"/>
    <cellStyle name="Normal 2 2 10 2 25 2 9" xfId="7456" xr:uid="{00000000-0005-0000-0000-0000141D0000}"/>
    <cellStyle name="Normal 2 2 10 2 25 3" xfId="7457" xr:uid="{00000000-0005-0000-0000-0000151D0000}"/>
    <cellStyle name="Normal 2 2 10 2 25 3 10" xfId="7458" xr:uid="{00000000-0005-0000-0000-0000161D0000}"/>
    <cellStyle name="Normal 2 2 10 2 25 3 2" xfId="7459" xr:uid="{00000000-0005-0000-0000-0000171D0000}"/>
    <cellStyle name="Normal 2 2 10 2 25 3 3" xfId="7460" xr:uid="{00000000-0005-0000-0000-0000181D0000}"/>
    <cellStyle name="Normal 2 2 10 2 25 3 4" xfId="7461" xr:uid="{00000000-0005-0000-0000-0000191D0000}"/>
    <cellStyle name="Normal 2 2 10 2 25 3 5" xfId="7462" xr:uid="{00000000-0005-0000-0000-00001A1D0000}"/>
    <cellStyle name="Normal 2 2 10 2 25 3 6" xfId="7463" xr:uid="{00000000-0005-0000-0000-00001B1D0000}"/>
    <cellStyle name="Normal 2 2 10 2 25 3 7" xfId="7464" xr:uid="{00000000-0005-0000-0000-00001C1D0000}"/>
    <cellStyle name="Normal 2 2 10 2 25 3 8" xfId="7465" xr:uid="{00000000-0005-0000-0000-00001D1D0000}"/>
    <cellStyle name="Normal 2 2 10 2 25 3 9" xfId="7466" xr:uid="{00000000-0005-0000-0000-00001E1D0000}"/>
    <cellStyle name="Normal 2 2 10 2 25 4" xfId="7467" xr:uid="{00000000-0005-0000-0000-00001F1D0000}"/>
    <cellStyle name="Normal 2 2 10 2 25 4 10" xfId="7468" xr:uid="{00000000-0005-0000-0000-0000201D0000}"/>
    <cellStyle name="Normal 2 2 10 2 25 4 2" xfId="7469" xr:uid="{00000000-0005-0000-0000-0000211D0000}"/>
    <cellStyle name="Normal 2 2 10 2 25 4 3" xfId="7470" xr:uid="{00000000-0005-0000-0000-0000221D0000}"/>
    <cellStyle name="Normal 2 2 10 2 25 4 4" xfId="7471" xr:uid="{00000000-0005-0000-0000-0000231D0000}"/>
    <cellStyle name="Normal 2 2 10 2 25 4 5" xfId="7472" xr:uid="{00000000-0005-0000-0000-0000241D0000}"/>
    <cellStyle name="Normal 2 2 10 2 25 4 6" xfId="7473" xr:uid="{00000000-0005-0000-0000-0000251D0000}"/>
    <cellStyle name="Normal 2 2 10 2 25 4 7" xfId="7474" xr:uid="{00000000-0005-0000-0000-0000261D0000}"/>
    <cellStyle name="Normal 2 2 10 2 25 4 8" xfId="7475" xr:uid="{00000000-0005-0000-0000-0000271D0000}"/>
    <cellStyle name="Normal 2 2 10 2 25 4 9" xfId="7476" xr:uid="{00000000-0005-0000-0000-0000281D0000}"/>
    <cellStyle name="Normal 2 2 10 2 25 5" xfId="7477" xr:uid="{00000000-0005-0000-0000-0000291D0000}"/>
    <cellStyle name="Normal 2 2 10 2 25 5 10" xfId="7478" xr:uid="{00000000-0005-0000-0000-00002A1D0000}"/>
    <cellStyle name="Normal 2 2 10 2 25 5 2" xfId="7479" xr:uid="{00000000-0005-0000-0000-00002B1D0000}"/>
    <cellStyle name="Normal 2 2 10 2 25 5 3" xfId="7480" xr:uid="{00000000-0005-0000-0000-00002C1D0000}"/>
    <cellStyle name="Normal 2 2 10 2 25 5 4" xfId="7481" xr:uid="{00000000-0005-0000-0000-00002D1D0000}"/>
    <cellStyle name="Normal 2 2 10 2 25 5 5" xfId="7482" xr:uid="{00000000-0005-0000-0000-00002E1D0000}"/>
    <cellStyle name="Normal 2 2 10 2 25 5 6" xfId="7483" xr:uid="{00000000-0005-0000-0000-00002F1D0000}"/>
    <cellStyle name="Normal 2 2 10 2 25 5 7" xfId="7484" xr:uid="{00000000-0005-0000-0000-0000301D0000}"/>
    <cellStyle name="Normal 2 2 10 2 25 5 8" xfId="7485" xr:uid="{00000000-0005-0000-0000-0000311D0000}"/>
    <cellStyle name="Normal 2 2 10 2 25 5 9" xfId="7486" xr:uid="{00000000-0005-0000-0000-0000321D0000}"/>
    <cellStyle name="Normal 2 2 10 2 25 6" xfId="7487" xr:uid="{00000000-0005-0000-0000-0000331D0000}"/>
    <cellStyle name="Normal 2 2 10 2 25 7" xfId="7488" xr:uid="{00000000-0005-0000-0000-0000341D0000}"/>
    <cellStyle name="Normal 2 2 10 2 25 8" xfId="7489" xr:uid="{00000000-0005-0000-0000-0000351D0000}"/>
    <cellStyle name="Normal 2 2 10 2 25 9" xfId="7490" xr:uid="{00000000-0005-0000-0000-0000361D0000}"/>
    <cellStyle name="Normal 2 2 10 2 26" xfId="7491" xr:uid="{00000000-0005-0000-0000-0000371D0000}"/>
    <cellStyle name="Normal 2 2 10 2 26 10" xfId="7492" xr:uid="{00000000-0005-0000-0000-0000381D0000}"/>
    <cellStyle name="Normal 2 2 10 2 26 11" xfId="7493" xr:uid="{00000000-0005-0000-0000-0000391D0000}"/>
    <cellStyle name="Normal 2 2 10 2 26 12" xfId="7494" xr:uid="{00000000-0005-0000-0000-00003A1D0000}"/>
    <cellStyle name="Normal 2 2 10 2 26 13" xfId="7495" xr:uid="{00000000-0005-0000-0000-00003B1D0000}"/>
    <cellStyle name="Normal 2 2 10 2 26 14" xfId="7496" xr:uid="{00000000-0005-0000-0000-00003C1D0000}"/>
    <cellStyle name="Normal 2 2 10 2 26 2" xfId="7497" xr:uid="{00000000-0005-0000-0000-00003D1D0000}"/>
    <cellStyle name="Normal 2 2 10 2 26 2 10" xfId="7498" xr:uid="{00000000-0005-0000-0000-00003E1D0000}"/>
    <cellStyle name="Normal 2 2 10 2 26 2 2" xfId="7499" xr:uid="{00000000-0005-0000-0000-00003F1D0000}"/>
    <cellStyle name="Normal 2 2 10 2 26 2 3" xfId="7500" xr:uid="{00000000-0005-0000-0000-0000401D0000}"/>
    <cellStyle name="Normal 2 2 10 2 26 2 4" xfId="7501" xr:uid="{00000000-0005-0000-0000-0000411D0000}"/>
    <cellStyle name="Normal 2 2 10 2 26 2 5" xfId="7502" xr:uid="{00000000-0005-0000-0000-0000421D0000}"/>
    <cellStyle name="Normal 2 2 10 2 26 2 6" xfId="7503" xr:uid="{00000000-0005-0000-0000-0000431D0000}"/>
    <cellStyle name="Normal 2 2 10 2 26 2 7" xfId="7504" xr:uid="{00000000-0005-0000-0000-0000441D0000}"/>
    <cellStyle name="Normal 2 2 10 2 26 2 8" xfId="7505" xr:uid="{00000000-0005-0000-0000-0000451D0000}"/>
    <cellStyle name="Normal 2 2 10 2 26 2 9" xfId="7506" xr:uid="{00000000-0005-0000-0000-0000461D0000}"/>
    <cellStyle name="Normal 2 2 10 2 26 3" xfId="7507" xr:uid="{00000000-0005-0000-0000-0000471D0000}"/>
    <cellStyle name="Normal 2 2 10 2 26 3 10" xfId="7508" xr:uid="{00000000-0005-0000-0000-0000481D0000}"/>
    <cellStyle name="Normal 2 2 10 2 26 3 2" xfId="7509" xr:uid="{00000000-0005-0000-0000-0000491D0000}"/>
    <cellStyle name="Normal 2 2 10 2 26 3 3" xfId="7510" xr:uid="{00000000-0005-0000-0000-00004A1D0000}"/>
    <cellStyle name="Normal 2 2 10 2 26 3 4" xfId="7511" xr:uid="{00000000-0005-0000-0000-00004B1D0000}"/>
    <cellStyle name="Normal 2 2 10 2 26 3 5" xfId="7512" xr:uid="{00000000-0005-0000-0000-00004C1D0000}"/>
    <cellStyle name="Normal 2 2 10 2 26 3 6" xfId="7513" xr:uid="{00000000-0005-0000-0000-00004D1D0000}"/>
    <cellStyle name="Normal 2 2 10 2 26 3 7" xfId="7514" xr:uid="{00000000-0005-0000-0000-00004E1D0000}"/>
    <cellStyle name="Normal 2 2 10 2 26 3 8" xfId="7515" xr:uid="{00000000-0005-0000-0000-00004F1D0000}"/>
    <cellStyle name="Normal 2 2 10 2 26 3 9" xfId="7516" xr:uid="{00000000-0005-0000-0000-0000501D0000}"/>
    <cellStyle name="Normal 2 2 10 2 26 4" xfId="7517" xr:uid="{00000000-0005-0000-0000-0000511D0000}"/>
    <cellStyle name="Normal 2 2 10 2 26 4 10" xfId="7518" xr:uid="{00000000-0005-0000-0000-0000521D0000}"/>
    <cellStyle name="Normal 2 2 10 2 26 4 2" xfId="7519" xr:uid="{00000000-0005-0000-0000-0000531D0000}"/>
    <cellStyle name="Normal 2 2 10 2 26 4 3" xfId="7520" xr:uid="{00000000-0005-0000-0000-0000541D0000}"/>
    <cellStyle name="Normal 2 2 10 2 26 4 4" xfId="7521" xr:uid="{00000000-0005-0000-0000-0000551D0000}"/>
    <cellStyle name="Normal 2 2 10 2 26 4 5" xfId="7522" xr:uid="{00000000-0005-0000-0000-0000561D0000}"/>
    <cellStyle name="Normal 2 2 10 2 26 4 6" xfId="7523" xr:uid="{00000000-0005-0000-0000-0000571D0000}"/>
    <cellStyle name="Normal 2 2 10 2 26 4 7" xfId="7524" xr:uid="{00000000-0005-0000-0000-0000581D0000}"/>
    <cellStyle name="Normal 2 2 10 2 26 4 8" xfId="7525" xr:uid="{00000000-0005-0000-0000-0000591D0000}"/>
    <cellStyle name="Normal 2 2 10 2 26 4 9" xfId="7526" xr:uid="{00000000-0005-0000-0000-00005A1D0000}"/>
    <cellStyle name="Normal 2 2 10 2 26 5" xfId="7527" xr:uid="{00000000-0005-0000-0000-00005B1D0000}"/>
    <cellStyle name="Normal 2 2 10 2 26 5 10" xfId="7528" xr:uid="{00000000-0005-0000-0000-00005C1D0000}"/>
    <cellStyle name="Normal 2 2 10 2 26 5 2" xfId="7529" xr:uid="{00000000-0005-0000-0000-00005D1D0000}"/>
    <cellStyle name="Normal 2 2 10 2 26 5 3" xfId="7530" xr:uid="{00000000-0005-0000-0000-00005E1D0000}"/>
    <cellStyle name="Normal 2 2 10 2 26 5 4" xfId="7531" xr:uid="{00000000-0005-0000-0000-00005F1D0000}"/>
    <cellStyle name="Normal 2 2 10 2 26 5 5" xfId="7532" xr:uid="{00000000-0005-0000-0000-0000601D0000}"/>
    <cellStyle name="Normal 2 2 10 2 26 5 6" xfId="7533" xr:uid="{00000000-0005-0000-0000-0000611D0000}"/>
    <cellStyle name="Normal 2 2 10 2 26 5 7" xfId="7534" xr:uid="{00000000-0005-0000-0000-0000621D0000}"/>
    <cellStyle name="Normal 2 2 10 2 26 5 8" xfId="7535" xr:uid="{00000000-0005-0000-0000-0000631D0000}"/>
    <cellStyle name="Normal 2 2 10 2 26 5 9" xfId="7536" xr:uid="{00000000-0005-0000-0000-0000641D0000}"/>
    <cellStyle name="Normal 2 2 10 2 26 6" xfId="7537" xr:uid="{00000000-0005-0000-0000-0000651D0000}"/>
    <cellStyle name="Normal 2 2 10 2 26 7" xfId="7538" xr:uid="{00000000-0005-0000-0000-0000661D0000}"/>
    <cellStyle name="Normal 2 2 10 2 26 8" xfId="7539" xr:uid="{00000000-0005-0000-0000-0000671D0000}"/>
    <cellStyle name="Normal 2 2 10 2 26 9" xfId="7540" xr:uid="{00000000-0005-0000-0000-0000681D0000}"/>
    <cellStyle name="Normal 2 2 10 2 27" xfId="7541" xr:uid="{00000000-0005-0000-0000-0000691D0000}"/>
    <cellStyle name="Normal 2 2 10 2 27 10" xfId="7542" xr:uid="{00000000-0005-0000-0000-00006A1D0000}"/>
    <cellStyle name="Normal 2 2 10 2 27 11" xfId="7543" xr:uid="{00000000-0005-0000-0000-00006B1D0000}"/>
    <cellStyle name="Normal 2 2 10 2 27 12" xfId="7544" xr:uid="{00000000-0005-0000-0000-00006C1D0000}"/>
    <cellStyle name="Normal 2 2 10 2 27 13" xfId="7545" xr:uid="{00000000-0005-0000-0000-00006D1D0000}"/>
    <cellStyle name="Normal 2 2 10 2 27 14" xfId="7546" xr:uid="{00000000-0005-0000-0000-00006E1D0000}"/>
    <cellStyle name="Normal 2 2 10 2 27 2" xfId="7547" xr:uid="{00000000-0005-0000-0000-00006F1D0000}"/>
    <cellStyle name="Normal 2 2 10 2 27 2 10" xfId="7548" xr:uid="{00000000-0005-0000-0000-0000701D0000}"/>
    <cellStyle name="Normal 2 2 10 2 27 2 2" xfId="7549" xr:uid="{00000000-0005-0000-0000-0000711D0000}"/>
    <cellStyle name="Normal 2 2 10 2 27 2 3" xfId="7550" xr:uid="{00000000-0005-0000-0000-0000721D0000}"/>
    <cellStyle name="Normal 2 2 10 2 27 2 4" xfId="7551" xr:uid="{00000000-0005-0000-0000-0000731D0000}"/>
    <cellStyle name="Normal 2 2 10 2 27 2 5" xfId="7552" xr:uid="{00000000-0005-0000-0000-0000741D0000}"/>
    <cellStyle name="Normal 2 2 10 2 27 2 6" xfId="7553" xr:uid="{00000000-0005-0000-0000-0000751D0000}"/>
    <cellStyle name="Normal 2 2 10 2 27 2 7" xfId="7554" xr:uid="{00000000-0005-0000-0000-0000761D0000}"/>
    <cellStyle name="Normal 2 2 10 2 27 2 8" xfId="7555" xr:uid="{00000000-0005-0000-0000-0000771D0000}"/>
    <cellStyle name="Normal 2 2 10 2 27 2 9" xfId="7556" xr:uid="{00000000-0005-0000-0000-0000781D0000}"/>
    <cellStyle name="Normal 2 2 10 2 27 3" xfId="7557" xr:uid="{00000000-0005-0000-0000-0000791D0000}"/>
    <cellStyle name="Normal 2 2 10 2 27 3 10" xfId="7558" xr:uid="{00000000-0005-0000-0000-00007A1D0000}"/>
    <cellStyle name="Normal 2 2 10 2 27 3 2" xfId="7559" xr:uid="{00000000-0005-0000-0000-00007B1D0000}"/>
    <cellStyle name="Normal 2 2 10 2 27 3 3" xfId="7560" xr:uid="{00000000-0005-0000-0000-00007C1D0000}"/>
    <cellStyle name="Normal 2 2 10 2 27 3 4" xfId="7561" xr:uid="{00000000-0005-0000-0000-00007D1D0000}"/>
    <cellStyle name="Normal 2 2 10 2 27 3 5" xfId="7562" xr:uid="{00000000-0005-0000-0000-00007E1D0000}"/>
    <cellStyle name="Normal 2 2 10 2 27 3 6" xfId="7563" xr:uid="{00000000-0005-0000-0000-00007F1D0000}"/>
    <cellStyle name="Normal 2 2 10 2 27 3 7" xfId="7564" xr:uid="{00000000-0005-0000-0000-0000801D0000}"/>
    <cellStyle name="Normal 2 2 10 2 27 3 8" xfId="7565" xr:uid="{00000000-0005-0000-0000-0000811D0000}"/>
    <cellStyle name="Normal 2 2 10 2 27 3 9" xfId="7566" xr:uid="{00000000-0005-0000-0000-0000821D0000}"/>
    <cellStyle name="Normal 2 2 10 2 27 4" xfId="7567" xr:uid="{00000000-0005-0000-0000-0000831D0000}"/>
    <cellStyle name="Normal 2 2 10 2 27 4 10" xfId="7568" xr:uid="{00000000-0005-0000-0000-0000841D0000}"/>
    <cellStyle name="Normal 2 2 10 2 27 4 2" xfId="7569" xr:uid="{00000000-0005-0000-0000-0000851D0000}"/>
    <cellStyle name="Normal 2 2 10 2 27 4 3" xfId="7570" xr:uid="{00000000-0005-0000-0000-0000861D0000}"/>
    <cellStyle name="Normal 2 2 10 2 27 4 4" xfId="7571" xr:uid="{00000000-0005-0000-0000-0000871D0000}"/>
    <cellStyle name="Normal 2 2 10 2 27 4 5" xfId="7572" xr:uid="{00000000-0005-0000-0000-0000881D0000}"/>
    <cellStyle name="Normal 2 2 10 2 27 4 6" xfId="7573" xr:uid="{00000000-0005-0000-0000-0000891D0000}"/>
    <cellStyle name="Normal 2 2 10 2 27 4 7" xfId="7574" xr:uid="{00000000-0005-0000-0000-00008A1D0000}"/>
    <cellStyle name="Normal 2 2 10 2 27 4 8" xfId="7575" xr:uid="{00000000-0005-0000-0000-00008B1D0000}"/>
    <cellStyle name="Normal 2 2 10 2 27 4 9" xfId="7576" xr:uid="{00000000-0005-0000-0000-00008C1D0000}"/>
    <cellStyle name="Normal 2 2 10 2 27 5" xfId="7577" xr:uid="{00000000-0005-0000-0000-00008D1D0000}"/>
    <cellStyle name="Normal 2 2 10 2 27 5 10" xfId="7578" xr:uid="{00000000-0005-0000-0000-00008E1D0000}"/>
    <cellStyle name="Normal 2 2 10 2 27 5 2" xfId="7579" xr:uid="{00000000-0005-0000-0000-00008F1D0000}"/>
    <cellStyle name="Normal 2 2 10 2 27 5 3" xfId="7580" xr:uid="{00000000-0005-0000-0000-0000901D0000}"/>
    <cellStyle name="Normal 2 2 10 2 27 5 4" xfId="7581" xr:uid="{00000000-0005-0000-0000-0000911D0000}"/>
    <cellStyle name="Normal 2 2 10 2 27 5 5" xfId="7582" xr:uid="{00000000-0005-0000-0000-0000921D0000}"/>
    <cellStyle name="Normal 2 2 10 2 27 5 6" xfId="7583" xr:uid="{00000000-0005-0000-0000-0000931D0000}"/>
    <cellStyle name="Normal 2 2 10 2 27 5 7" xfId="7584" xr:uid="{00000000-0005-0000-0000-0000941D0000}"/>
    <cellStyle name="Normal 2 2 10 2 27 5 8" xfId="7585" xr:uid="{00000000-0005-0000-0000-0000951D0000}"/>
    <cellStyle name="Normal 2 2 10 2 27 5 9" xfId="7586" xr:uid="{00000000-0005-0000-0000-0000961D0000}"/>
    <cellStyle name="Normal 2 2 10 2 27 6" xfId="7587" xr:uid="{00000000-0005-0000-0000-0000971D0000}"/>
    <cellStyle name="Normal 2 2 10 2 27 7" xfId="7588" xr:uid="{00000000-0005-0000-0000-0000981D0000}"/>
    <cellStyle name="Normal 2 2 10 2 27 8" xfId="7589" xr:uid="{00000000-0005-0000-0000-0000991D0000}"/>
    <cellStyle name="Normal 2 2 10 2 27 9" xfId="7590" xr:uid="{00000000-0005-0000-0000-00009A1D0000}"/>
    <cellStyle name="Normal 2 2 10 2 28" xfId="7591" xr:uid="{00000000-0005-0000-0000-00009B1D0000}"/>
    <cellStyle name="Normal 2 2 10 2 28 10" xfId="7592" xr:uid="{00000000-0005-0000-0000-00009C1D0000}"/>
    <cellStyle name="Normal 2 2 10 2 28 11" xfId="7593" xr:uid="{00000000-0005-0000-0000-00009D1D0000}"/>
    <cellStyle name="Normal 2 2 10 2 28 12" xfId="7594" xr:uid="{00000000-0005-0000-0000-00009E1D0000}"/>
    <cellStyle name="Normal 2 2 10 2 28 13" xfId="7595" xr:uid="{00000000-0005-0000-0000-00009F1D0000}"/>
    <cellStyle name="Normal 2 2 10 2 28 14" xfId="7596" xr:uid="{00000000-0005-0000-0000-0000A01D0000}"/>
    <cellStyle name="Normal 2 2 10 2 28 2" xfId="7597" xr:uid="{00000000-0005-0000-0000-0000A11D0000}"/>
    <cellStyle name="Normal 2 2 10 2 28 2 10" xfId="7598" xr:uid="{00000000-0005-0000-0000-0000A21D0000}"/>
    <cellStyle name="Normal 2 2 10 2 28 2 2" xfId="7599" xr:uid="{00000000-0005-0000-0000-0000A31D0000}"/>
    <cellStyle name="Normal 2 2 10 2 28 2 3" xfId="7600" xr:uid="{00000000-0005-0000-0000-0000A41D0000}"/>
    <cellStyle name="Normal 2 2 10 2 28 2 4" xfId="7601" xr:uid="{00000000-0005-0000-0000-0000A51D0000}"/>
    <cellStyle name="Normal 2 2 10 2 28 2 5" xfId="7602" xr:uid="{00000000-0005-0000-0000-0000A61D0000}"/>
    <cellStyle name="Normal 2 2 10 2 28 2 6" xfId="7603" xr:uid="{00000000-0005-0000-0000-0000A71D0000}"/>
    <cellStyle name="Normal 2 2 10 2 28 2 7" xfId="7604" xr:uid="{00000000-0005-0000-0000-0000A81D0000}"/>
    <cellStyle name="Normal 2 2 10 2 28 2 8" xfId="7605" xr:uid="{00000000-0005-0000-0000-0000A91D0000}"/>
    <cellStyle name="Normal 2 2 10 2 28 2 9" xfId="7606" xr:uid="{00000000-0005-0000-0000-0000AA1D0000}"/>
    <cellStyle name="Normal 2 2 10 2 28 3" xfId="7607" xr:uid="{00000000-0005-0000-0000-0000AB1D0000}"/>
    <cellStyle name="Normal 2 2 10 2 28 3 10" xfId="7608" xr:uid="{00000000-0005-0000-0000-0000AC1D0000}"/>
    <cellStyle name="Normal 2 2 10 2 28 3 2" xfId="7609" xr:uid="{00000000-0005-0000-0000-0000AD1D0000}"/>
    <cellStyle name="Normal 2 2 10 2 28 3 3" xfId="7610" xr:uid="{00000000-0005-0000-0000-0000AE1D0000}"/>
    <cellStyle name="Normal 2 2 10 2 28 3 4" xfId="7611" xr:uid="{00000000-0005-0000-0000-0000AF1D0000}"/>
    <cellStyle name="Normal 2 2 10 2 28 3 5" xfId="7612" xr:uid="{00000000-0005-0000-0000-0000B01D0000}"/>
    <cellStyle name="Normal 2 2 10 2 28 3 6" xfId="7613" xr:uid="{00000000-0005-0000-0000-0000B11D0000}"/>
    <cellStyle name="Normal 2 2 10 2 28 3 7" xfId="7614" xr:uid="{00000000-0005-0000-0000-0000B21D0000}"/>
    <cellStyle name="Normal 2 2 10 2 28 3 8" xfId="7615" xr:uid="{00000000-0005-0000-0000-0000B31D0000}"/>
    <cellStyle name="Normal 2 2 10 2 28 3 9" xfId="7616" xr:uid="{00000000-0005-0000-0000-0000B41D0000}"/>
    <cellStyle name="Normal 2 2 10 2 28 4" xfId="7617" xr:uid="{00000000-0005-0000-0000-0000B51D0000}"/>
    <cellStyle name="Normal 2 2 10 2 28 4 10" xfId="7618" xr:uid="{00000000-0005-0000-0000-0000B61D0000}"/>
    <cellStyle name="Normal 2 2 10 2 28 4 2" xfId="7619" xr:uid="{00000000-0005-0000-0000-0000B71D0000}"/>
    <cellStyle name="Normal 2 2 10 2 28 4 3" xfId="7620" xr:uid="{00000000-0005-0000-0000-0000B81D0000}"/>
    <cellStyle name="Normal 2 2 10 2 28 4 4" xfId="7621" xr:uid="{00000000-0005-0000-0000-0000B91D0000}"/>
    <cellStyle name="Normal 2 2 10 2 28 4 5" xfId="7622" xr:uid="{00000000-0005-0000-0000-0000BA1D0000}"/>
    <cellStyle name="Normal 2 2 10 2 28 4 6" xfId="7623" xr:uid="{00000000-0005-0000-0000-0000BB1D0000}"/>
    <cellStyle name="Normal 2 2 10 2 28 4 7" xfId="7624" xr:uid="{00000000-0005-0000-0000-0000BC1D0000}"/>
    <cellStyle name="Normal 2 2 10 2 28 4 8" xfId="7625" xr:uid="{00000000-0005-0000-0000-0000BD1D0000}"/>
    <cellStyle name="Normal 2 2 10 2 28 4 9" xfId="7626" xr:uid="{00000000-0005-0000-0000-0000BE1D0000}"/>
    <cellStyle name="Normal 2 2 10 2 28 5" xfId="7627" xr:uid="{00000000-0005-0000-0000-0000BF1D0000}"/>
    <cellStyle name="Normal 2 2 10 2 28 5 10" xfId="7628" xr:uid="{00000000-0005-0000-0000-0000C01D0000}"/>
    <cellStyle name="Normal 2 2 10 2 28 5 2" xfId="7629" xr:uid="{00000000-0005-0000-0000-0000C11D0000}"/>
    <cellStyle name="Normal 2 2 10 2 28 5 3" xfId="7630" xr:uid="{00000000-0005-0000-0000-0000C21D0000}"/>
    <cellStyle name="Normal 2 2 10 2 28 5 4" xfId="7631" xr:uid="{00000000-0005-0000-0000-0000C31D0000}"/>
    <cellStyle name="Normal 2 2 10 2 28 5 5" xfId="7632" xr:uid="{00000000-0005-0000-0000-0000C41D0000}"/>
    <cellStyle name="Normal 2 2 10 2 28 5 6" xfId="7633" xr:uid="{00000000-0005-0000-0000-0000C51D0000}"/>
    <cellStyle name="Normal 2 2 10 2 28 5 7" xfId="7634" xr:uid="{00000000-0005-0000-0000-0000C61D0000}"/>
    <cellStyle name="Normal 2 2 10 2 28 5 8" xfId="7635" xr:uid="{00000000-0005-0000-0000-0000C71D0000}"/>
    <cellStyle name="Normal 2 2 10 2 28 5 9" xfId="7636" xr:uid="{00000000-0005-0000-0000-0000C81D0000}"/>
    <cellStyle name="Normal 2 2 10 2 28 6" xfId="7637" xr:uid="{00000000-0005-0000-0000-0000C91D0000}"/>
    <cellStyle name="Normal 2 2 10 2 28 7" xfId="7638" xr:uid="{00000000-0005-0000-0000-0000CA1D0000}"/>
    <cellStyle name="Normal 2 2 10 2 28 8" xfId="7639" xr:uid="{00000000-0005-0000-0000-0000CB1D0000}"/>
    <cellStyle name="Normal 2 2 10 2 28 9" xfId="7640" xr:uid="{00000000-0005-0000-0000-0000CC1D0000}"/>
    <cellStyle name="Normal 2 2 10 2 29" xfId="7641" xr:uid="{00000000-0005-0000-0000-0000CD1D0000}"/>
    <cellStyle name="Normal 2 2 10 2 29 10" xfId="7642" xr:uid="{00000000-0005-0000-0000-0000CE1D0000}"/>
    <cellStyle name="Normal 2 2 10 2 29 11" xfId="7643" xr:uid="{00000000-0005-0000-0000-0000CF1D0000}"/>
    <cellStyle name="Normal 2 2 10 2 29 12" xfId="7644" xr:uid="{00000000-0005-0000-0000-0000D01D0000}"/>
    <cellStyle name="Normal 2 2 10 2 29 13" xfId="7645" xr:uid="{00000000-0005-0000-0000-0000D11D0000}"/>
    <cellStyle name="Normal 2 2 10 2 29 14" xfId="7646" xr:uid="{00000000-0005-0000-0000-0000D21D0000}"/>
    <cellStyle name="Normal 2 2 10 2 29 2" xfId="7647" xr:uid="{00000000-0005-0000-0000-0000D31D0000}"/>
    <cellStyle name="Normal 2 2 10 2 29 2 10" xfId="7648" xr:uid="{00000000-0005-0000-0000-0000D41D0000}"/>
    <cellStyle name="Normal 2 2 10 2 29 2 2" xfId="7649" xr:uid="{00000000-0005-0000-0000-0000D51D0000}"/>
    <cellStyle name="Normal 2 2 10 2 29 2 3" xfId="7650" xr:uid="{00000000-0005-0000-0000-0000D61D0000}"/>
    <cellStyle name="Normal 2 2 10 2 29 2 4" xfId="7651" xr:uid="{00000000-0005-0000-0000-0000D71D0000}"/>
    <cellStyle name="Normal 2 2 10 2 29 2 5" xfId="7652" xr:uid="{00000000-0005-0000-0000-0000D81D0000}"/>
    <cellStyle name="Normal 2 2 10 2 29 2 6" xfId="7653" xr:uid="{00000000-0005-0000-0000-0000D91D0000}"/>
    <cellStyle name="Normal 2 2 10 2 29 2 7" xfId="7654" xr:uid="{00000000-0005-0000-0000-0000DA1D0000}"/>
    <cellStyle name="Normal 2 2 10 2 29 2 8" xfId="7655" xr:uid="{00000000-0005-0000-0000-0000DB1D0000}"/>
    <cellStyle name="Normal 2 2 10 2 29 2 9" xfId="7656" xr:uid="{00000000-0005-0000-0000-0000DC1D0000}"/>
    <cellStyle name="Normal 2 2 10 2 29 3" xfId="7657" xr:uid="{00000000-0005-0000-0000-0000DD1D0000}"/>
    <cellStyle name="Normal 2 2 10 2 29 3 10" xfId="7658" xr:uid="{00000000-0005-0000-0000-0000DE1D0000}"/>
    <cellStyle name="Normal 2 2 10 2 29 3 2" xfId="7659" xr:uid="{00000000-0005-0000-0000-0000DF1D0000}"/>
    <cellStyle name="Normal 2 2 10 2 29 3 3" xfId="7660" xr:uid="{00000000-0005-0000-0000-0000E01D0000}"/>
    <cellStyle name="Normal 2 2 10 2 29 3 4" xfId="7661" xr:uid="{00000000-0005-0000-0000-0000E11D0000}"/>
    <cellStyle name="Normal 2 2 10 2 29 3 5" xfId="7662" xr:uid="{00000000-0005-0000-0000-0000E21D0000}"/>
    <cellStyle name="Normal 2 2 10 2 29 3 6" xfId="7663" xr:uid="{00000000-0005-0000-0000-0000E31D0000}"/>
    <cellStyle name="Normal 2 2 10 2 29 3 7" xfId="7664" xr:uid="{00000000-0005-0000-0000-0000E41D0000}"/>
    <cellStyle name="Normal 2 2 10 2 29 3 8" xfId="7665" xr:uid="{00000000-0005-0000-0000-0000E51D0000}"/>
    <cellStyle name="Normal 2 2 10 2 29 3 9" xfId="7666" xr:uid="{00000000-0005-0000-0000-0000E61D0000}"/>
    <cellStyle name="Normal 2 2 10 2 29 4" xfId="7667" xr:uid="{00000000-0005-0000-0000-0000E71D0000}"/>
    <cellStyle name="Normal 2 2 10 2 29 4 10" xfId="7668" xr:uid="{00000000-0005-0000-0000-0000E81D0000}"/>
    <cellStyle name="Normal 2 2 10 2 29 4 2" xfId="7669" xr:uid="{00000000-0005-0000-0000-0000E91D0000}"/>
    <cellStyle name="Normal 2 2 10 2 29 4 3" xfId="7670" xr:uid="{00000000-0005-0000-0000-0000EA1D0000}"/>
    <cellStyle name="Normal 2 2 10 2 29 4 4" xfId="7671" xr:uid="{00000000-0005-0000-0000-0000EB1D0000}"/>
    <cellStyle name="Normal 2 2 10 2 29 4 5" xfId="7672" xr:uid="{00000000-0005-0000-0000-0000EC1D0000}"/>
    <cellStyle name="Normal 2 2 10 2 29 4 6" xfId="7673" xr:uid="{00000000-0005-0000-0000-0000ED1D0000}"/>
    <cellStyle name="Normal 2 2 10 2 29 4 7" xfId="7674" xr:uid="{00000000-0005-0000-0000-0000EE1D0000}"/>
    <cellStyle name="Normal 2 2 10 2 29 4 8" xfId="7675" xr:uid="{00000000-0005-0000-0000-0000EF1D0000}"/>
    <cellStyle name="Normal 2 2 10 2 29 4 9" xfId="7676" xr:uid="{00000000-0005-0000-0000-0000F01D0000}"/>
    <cellStyle name="Normal 2 2 10 2 29 5" xfId="7677" xr:uid="{00000000-0005-0000-0000-0000F11D0000}"/>
    <cellStyle name="Normal 2 2 10 2 29 5 10" xfId="7678" xr:uid="{00000000-0005-0000-0000-0000F21D0000}"/>
    <cellStyle name="Normal 2 2 10 2 29 5 2" xfId="7679" xr:uid="{00000000-0005-0000-0000-0000F31D0000}"/>
    <cellStyle name="Normal 2 2 10 2 29 5 3" xfId="7680" xr:uid="{00000000-0005-0000-0000-0000F41D0000}"/>
    <cellStyle name="Normal 2 2 10 2 29 5 4" xfId="7681" xr:uid="{00000000-0005-0000-0000-0000F51D0000}"/>
    <cellStyle name="Normal 2 2 10 2 29 5 5" xfId="7682" xr:uid="{00000000-0005-0000-0000-0000F61D0000}"/>
    <cellStyle name="Normal 2 2 10 2 29 5 6" xfId="7683" xr:uid="{00000000-0005-0000-0000-0000F71D0000}"/>
    <cellStyle name="Normal 2 2 10 2 29 5 7" xfId="7684" xr:uid="{00000000-0005-0000-0000-0000F81D0000}"/>
    <cellStyle name="Normal 2 2 10 2 29 5 8" xfId="7685" xr:uid="{00000000-0005-0000-0000-0000F91D0000}"/>
    <cellStyle name="Normal 2 2 10 2 29 5 9" xfId="7686" xr:uid="{00000000-0005-0000-0000-0000FA1D0000}"/>
    <cellStyle name="Normal 2 2 10 2 29 6" xfId="7687" xr:uid="{00000000-0005-0000-0000-0000FB1D0000}"/>
    <cellStyle name="Normal 2 2 10 2 29 7" xfId="7688" xr:uid="{00000000-0005-0000-0000-0000FC1D0000}"/>
    <cellStyle name="Normal 2 2 10 2 29 8" xfId="7689" xr:uid="{00000000-0005-0000-0000-0000FD1D0000}"/>
    <cellStyle name="Normal 2 2 10 2 29 9" xfId="7690" xr:uid="{00000000-0005-0000-0000-0000FE1D0000}"/>
    <cellStyle name="Normal 2 2 10 2 3" xfId="7691" xr:uid="{00000000-0005-0000-0000-0000FF1D0000}"/>
    <cellStyle name="Normal 2 2 10 2 3 10" xfId="7692" xr:uid="{00000000-0005-0000-0000-0000001E0000}"/>
    <cellStyle name="Normal 2 2 10 2 3 11" xfId="7693" xr:uid="{00000000-0005-0000-0000-0000011E0000}"/>
    <cellStyle name="Normal 2 2 10 2 3 12" xfId="7694" xr:uid="{00000000-0005-0000-0000-0000021E0000}"/>
    <cellStyle name="Normal 2 2 10 2 3 13" xfId="7695" xr:uid="{00000000-0005-0000-0000-0000031E0000}"/>
    <cellStyle name="Normal 2 2 10 2 3 14" xfId="7696" xr:uid="{00000000-0005-0000-0000-0000041E0000}"/>
    <cellStyle name="Normal 2 2 10 2 3 2" xfId="7697" xr:uid="{00000000-0005-0000-0000-0000051E0000}"/>
    <cellStyle name="Normal 2 2 10 2 3 2 10" xfId="7698" xr:uid="{00000000-0005-0000-0000-0000061E0000}"/>
    <cellStyle name="Normal 2 2 10 2 3 2 2" xfId="7699" xr:uid="{00000000-0005-0000-0000-0000071E0000}"/>
    <cellStyle name="Normal 2 2 10 2 3 2 3" xfId="7700" xr:uid="{00000000-0005-0000-0000-0000081E0000}"/>
    <cellStyle name="Normal 2 2 10 2 3 2 4" xfId="7701" xr:uid="{00000000-0005-0000-0000-0000091E0000}"/>
    <cellStyle name="Normal 2 2 10 2 3 2 5" xfId="7702" xr:uid="{00000000-0005-0000-0000-00000A1E0000}"/>
    <cellStyle name="Normal 2 2 10 2 3 2 6" xfId="7703" xr:uid="{00000000-0005-0000-0000-00000B1E0000}"/>
    <cellStyle name="Normal 2 2 10 2 3 2 7" xfId="7704" xr:uid="{00000000-0005-0000-0000-00000C1E0000}"/>
    <cellStyle name="Normal 2 2 10 2 3 2 8" xfId="7705" xr:uid="{00000000-0005-0000-0000-00000D1E0000}"/>
    <cellStyle name="Normal 2 2 10 2 3 2 9" xfId="7706" xr:uid="{00000000-0005-0000-0000-00000E1E0000}"/>
    <cellStyle name="Normal 2 2 10 2 3 3" xfId="7707" xr:uid="{00000000-0005-0000-0000-00000F1E0000}"/>
    <cellStyle na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11" xr:uid="{00000000-0005-0000-0000-0000131E0000}"/>
    <cellStyle name="Normal 2 2 10 2 3 3 5" xfId="7712" xr:uid="{00000000-0005-0000-0000-0000141E0000}"/>
    <cellStyle name="Normal 2 2 10 2 3 3 6" xfId="7713" xr:uid="{00000000-0005-0000-0000-0000151E0000}"/>
    <cellStyle name="Normal 2 2 10 2 3 3 7" xfId="7714" xr:uid="{00000000-0005-0000-0000-0000161E0000}"/>
    <cellStyle name="Normal 2 2 10 2 3 3 8" xfId="7715" xr:uid="{00000000-0005-0000-0000-0000171E0000}"/>
    <cellStyle name="Normal 2 2 10 2 3 3 9" xfId="7716" xr:uid="{00000000-0005-0000-0000-0000181E0000}"/>
    <cellStyle name="Normal 2 2 10 2 3 4" xfId="7717" xr:uid="{00000000-0005-0000-0000-0000191E0000}"/>
    <cellStyle name="Normal 2 2 10 2 3 4 10" xfId="7718" xr:uid="{00000000-0005-0000-0000-00001A1E0000}"/>
    <cellStyle name="Normal 2 2 10 2 3 4 2" xfId="7719" xr:uid="{00000000-0005-0000-0000-00001B1E0000}"/>
    <cellStyle name="Normal 2 2 10 2 3 4 3" xfId="7720" xr:uid="{00000000-0005-0000-0000-00001C1E0000}"/>
    <cellStyle name="Normal 2 2 10 2 3 4 4" xfId="7721" xr:uid="{00000000-0005-0000-0000-00001D1E0000}"/>
    <cellStyle name="Normal 2 2 10 2 3 4 5" xfId="7722" xr:uid="{00000000-0005-0000-0000-00001E1E0000}"/>
    <cellStyle name="Normal 2 2 10 2 3 4 6" xfId="7723" xr:uid="{00000000-0005-0000-0000-00001F1E0000}"/>
    <cellStyle name="Normal 2 2 10 2 3 4 7" xfId="7724" xr:uid="{00000000-0005-0000-0000-0000201E0000}"/>
    <cellStyle name="Normal 2 2 10 2 3 4 8" xfId="7725" xr:uid="{00000000-0005-0000-0000-0000211E0000}"/>
    <cellStyle name="Normal 2 2 10 2 3 4 9" xfId="7726" xr:uid="{00000000-0005-0000-0000-0000221E0000}"/>
    <cellStyle name="Normal 2 2 10 2 3 5" xfId="7727" xr:uid="{00000000-0005-0000-0000-0000231E0000}"/>
    <cellStyle name="Normal 2 2 10 2 3 5 10" xfId="7728" xr:uid="{00000000-0005-0000-0000-0000241E0000}"/>
    <cellStyle name="Normal 2 2 10 2 3 5 2" xfId="7729" xr:uid="{00000000-0005-0000-0000-0000251E0000}"/>
    <cellStyle name="Normal 2 2 10 2 3 5 3" xfId="7730" xr:uid="{00000000-0005-0000-0000-0000261E0000}"/>
    <cellStyle name="Normal 2 2 10 2 3 5 4" xfId="7731" xr:uid="{00000000-0005-0000-0000-0000271E0000}"/>
    <cellStyle name="Normal 2 2 10 2 3 5 5" xfId="7732" xr:uid="{00000000-0005-0000-0000-0000281E0000}"/>
    <cellStyle name="Normal 2 2 10 2 3 5 6" xfId="7733" xr:uid="{00000000-0005-0000-0000-0000291E0000}"/>
    <cellStyle name="Normal 2 2 10 2 3 5 7" xfId="7734" xr:uid="{00000000-0005-0000-0000-00002A1E0000}"/>
    <cellStyle name="Normal 2 2 10 2 3 5 8" xfId="7735" xr:uid="{00000000-0005-0000-0000-00002B1E0000}"/>
    <cellStyle name="Normal 2 2 10 2 3 5 9" xfId="7736" xr:uid="{00000000-0005-0000-0000-00002C1E0000}"/>
    <cellStyle name="Normal 2 2 10 2 3 6" xfId="7737" xr:uid="{00000000-0005-0000-0000-00002D1E0000}"/>
    <cellStyle name="Normal 2 2 10 2 3 7" xfId="7738" xr:uid="{00000000-0005-0000-0000-00002E1E0000}"/>
    <cellStyle name="Normal 2 2 10 2 3 8" xfId="7739" xr:uid="{00000000-0005-0000-0000-00002F1E0000}"/>
    <cellStyle name="Normal 2 2 10 2 3 9" xfId="7740" xr:uid="{00000000-0005-0000-0000-0000301E0000}"/>
    <cellStyle name="Normal 2 2 10 2 30" xfId="7741" xr:uid="{00000000-0005-0000-0000-0000311E0000}"/>
    <cellStyle name="Normal 2 2 10 2 30 10" xfId="7742" xr:uid="{00000000-0005-0000-0000-0000321E0000}"/>
    <cellStyle name="Normal 2 2 10 2 30 11" xfId="7743" xr:uid="{00000000-0005-0000-0000-0000331E0000}"/>
    <cellStyle name="Normal 2 2 10 2 30 12" xfId="7744" xr:uid="{00000000-0005-0000-0000-0000341E0000}"/>
    <cellStyle name="Normal 2 2 10 2 30 13" xfId="7745" xr:uid="{00000000-0005-0000-0000-0000351E0000}"/>
    <cellStyle name="Normal 2 2 10 2 30 14" xfId="7746" xr:uid="{00000000-0005-0000-0000-0000361E0000}"/>
    <cellStyle name="Normal 2 2 10 2 30 2" xfId="7747" xr:uid="{00000000-0005-0000-0000-0000371E0000}"/>
    <cellStyle name="Normal 2 2 10 2 30 2 10" xfId="7748" xr:uid="{00000000-0005-0000-0000-0000381E0000}"/>
    <cellStyle name="Normal 2 2 10 2 30 2 2" xfId="7749" xr:uid="{00000000-0005-0000-0000-0000391E0000}"/>
    <cellStyle name="Normal 2 2 10 2 30 2 3" xfId="7750" xr:uid="{00000000-0005-0000-0000-00003A1E0000}"/>
    <cellStyle name="Normal 2 2 10 2 30 2 4" xfId="7751" xr:uid="{00000000-0005-0000-0000-00003B1E0000}"/>
    <cellStyle name="Normal 2 2 10 2 30 2 5" xfId="7752" xr:uid="{00000000-0005-0000-0000-00003C1E0000}"/>
    <cellStyle name="Normal 2 2 10 2 30 2 6" xfId="7753" xr:uid="{00000000-0005-0000-0000-00003D1E0000}"/>
    <cellStyle name="Normal 2 2 10 2 30 2 7" xfId="7754" xr:uid="{00000000-0005-0000-0000-00003E1E0000}"/>
    <cellStyle name="Normal 2 2 10 2 30 2 8" xfId="7755" xr:uid="{00000000-0005-0000-0000-00003F1E0000}"/>
    <cellStyle name="Normal 2 2 10 2 30 2 9" xfId="7756" xr:uid="{00000000-0005-0000-0000-0000401E0000}"/>
    <cellStyle name="Normal 2 2 10 2 30 3" xfId="7757" xr:uid="{00000000-0005-0000-0000-0000411E0000}"/>
    <cellStyle name="Normal 2 2 10 2 30 3 10" xfId="7758" xr:uid="{00000000-0005-0000-0000-0000421E0000}"/>
    <cellStyle name="Normal 2 2 10 2 30 3 2" xfId="7759" xr:uid="{00000000-0005-0000-0000-0000431E0000}"/>
    <cellStyle name="Normal 2 2 10 2 30 3 3" xfId="7760" xr:uid="{00000000-0005-0000-0000-0000441E0000}"/>
    <cellStyle name="Normal 2 2 10 2 30 3 4" xfId="7761" xr:uid="{00000000-0005-0000-0000-0000451E0000}"/>
    <cellStyle name="Normal 2 2 10 2 30 3 5" xfId="7762" xr:uid="{00000000-0005-0000-0000-0000461E0000}"/>
    <cellStyle name="Normal 2 2 10 2 30 3 6" xfId="7763" xr:uid="{00000000-0005-0000-0000-0000471E0000}"/>
    <cellStyle name="Normal 2 2 10 2 30 3 7" xfId="7764" xr:uid="{00000000-0005-0000-0000-0000481E0000}"/>
    <cellStyle name="Normal 2 2 10 2 30 3 8" xfId="7765" xr:uid="{00000000-0005-0000-0000-0000491E0000}"/>
    <cellStyle name="Normal 2 2 10 2 30 3 9" xfId="7766" xr:uid="{00000000-0005-0000-0000-00004A1E0000}"/>
    <cellStyle name="Normal 2 2 10 2 30 4" xfId="7767" xr:uid="{00000000-0005-0000-0000-00004B1E0000}"/>
    <cellStyle name="Normal 2 2 10 2 30 4 10" xfId="7768" xr:uid="{00000000-0005-0000-0000-00004C1E0000}"/>
    <cellStyle name="Normal 2 2 10 2 30 4 2" xfId="7769" xr:uid="{00000000-0005-0000-0000-00004D1E0000}"/>
    <cellStyle name="Normal 2 2 10 2 30 4 3" xfId="7770" xr:uid="{00000000-0005-0000-0000-00004E1E0000}"/>
    <cellStyle name="Normal 2 2 10 2 30 4 4" xfId="7771" xr:uid="{00000000-0005-0000-0000-00004F1E0000}"/>
    <cellStyle name="Normal 2 2 10 2 30 4 5" xfId="7772" xr:uid="{00000000-0005-0000-0000-0000501E0000}"/>
    <cellStyle name="Normal 2 2 10 2 30 4 6" xfId="7773" xr:uid="{00000000-0005-0000-0000-0000511E0000}"/>
    <cellStyle name="Normal 2 2 10 2 30 4 7" xfId="7774" xr:uid="{00000000-0005-0000-0000-0000521E0000}"/>
    <cellStyle name="Normal 2 2 10 2 30 4 8" xfId="7775" xr:uid="{00000000-0005-0000-0000-0000531E0000}"/>
    <cellStyle name="Normal 2 2 10 2 30 4 9" xfId="7776" xr:uid="{00000000-0005-0000-0000-0000541E0000}"/>
    <cellStyle name="Normal 2 2 10 2 30 5" xfId="7777" xr:uid="{00000000-0005-0000-0000-0000551E0000}"/>
    <cellStyle name="Normal 2 2 10 2 30 5 10" xfId="7778" xr:uid="{00000000-0005-0000-0000-0000561E0000}"/>
    <cellStyle name="Normal 2 2 10 2 30 5 2" xfId="7779" xr:uid="{00000000-0005-0000-0000-0000571E0000}"/>
    <cellStyle name="Normal 2 2 10 2 30 5 3" xfId="7780" xr:uid="{00000000-0005-0000-0000-0000581E0000}"/>
    <cellStyle name="Normal 2 2 10 2 30 5 4" xfId="7781" xr:uid="{00000000-0005-0000-0000-0000591E0000}"/>
    <cellStyle name="Normal 2 2 10 2 30 5 5" xfId="7782" xr:uid="{00000000-0005-0000-0000-00005A1E0000}"/>
    <cellStyle name="Normal 2 2 10 2 30 5 6" xfId="7783" xr:uid="{00000000-0005-0000-0000-00005B1E0000}"/>
    <cellStyle name="Normal 2 2 10 2 30 5 7" xfId="7784" xr:uid="{00000000-0005-0000-0000-00005C1E0000}"/>
    <cellStyle name="Normal 2 2 10 2 30 5 8" xfId="7785" xr:uid="{00000000-0005-0000-0000-00005D1E0000}"/>
    <cellStyle name="Normal 2 2 10 2 30 5 9" xfId="7786" xr:uid="{00000000-0005-0000-0000-00005E1E0000}"/>
    <cellStyle name="Normal 2 2 10 2 30 6" xfId="7787" xr:uid="{00000000-0005-0000-0000-00005F1E0000}"/>
    <cellStyle name="Normal 2 2 10 2 30 7" xfId="7788" xr:uid="{00000000-0005-0000-0000-0000601E0000}"/>
    <cellStyle name="Normal 2 2 10 2 30 8" xfId="7789" xr:uid="{00000000-0005-0000-0000-0000611E0000}"/>
    <cellStyle name="Normal 2 2 10 2 30 9" xfId="7790" xr:uid="{00000000-0005-0000-0000-0000621E0000}"/>
    <cellStyle name="Normal 2 2 10 2 31" xfId="7791" xr:uid="{00000000-0005-0000-0000-0000631E0000}"/>
    <cellStyle name="Normal 2 2 10 2 31 10" xfId="7792" xr:uid="{00000000-0005-0000-0000-0000641E0000}"/>
    <cellStyle name="Normal 2 2 10 2 31 11" xfId="7793" xr:uid="{00000000-0005-0000-0000-0000651E0000}"/>
    <cellStyle name="Normal 2 2 10 2 31 12" xfId="7794" xr:uid="{00000000-0005-0000-0000-0000661E0000}"/>
    <cellStyle name="Normal 2 2 10 2 31 13" xfId="7795" xr:uid="{00000000-0005-0000-0000-0000671E0000}"/>
    <cellStyle name="Normal 2 2 10 2 31 14" xfId="7796" xr:uid="{00000000-0005-0000-0000-0000681E0000}"/>
    <cellStyle name="Normal 2 2 10 2 31 2" xfId="7797" xr:uid="{00000000-0005-0000-0000-0000691E0000}"/>
    <cellStyle name="Normal 2 2 10 2 31 2 10" xfId="7798" xr:uid="{00000000-0005-0000-0000-00006A1E0000}"/>
    <cellStyle name="Normal 2 2 10 2 31 2 2" xfId="7799" xr:uid="{00000000-0005-0000-0000-00006B1E0000}"/>
    <cellStyle name="Normal 2 2 10 2 31 2 3" xfId="7800" xr:uid="{00000000-0005-0000-0000-00006C1E0000}"/>
    <cellStyle name="Normal 2 2 10 2 31 2 4" xfId="7801" xr:uid="{00000000-0005-0000-0000-00006D1E0000}"/>
    <cellStyle name="Normal 2 2 10 2 31 2 5" xfId="7802" xr:uid="{00000000-0005-0000-0000-00006E1E0000}"/>
    <cellStyle name="Normal 2 2 10 2 31 2 6" xfId="7803" xr:uid="{00000000-0005-0000-0000-00006F1E0000}"/>
    <cellStyle name="Normal 2 2 10 2 31 2 7" xfId="7804" xr:uid="{00000000-0005-0000-0000-0000701E0000}"/>
    <cellStyle name="Normal 2 2 10 2 31 2 8" xfId="7805" xr:uid="{00000000-0005-0000-0000-0000711E0000}"/>
    <cellStyle name="Normal 2 2 10 2 31 2 9" xfId="7806" xr:uid="{00000000-0005-0000-0000-0000721E0000}"/>
    <cellStyle name="Normal 2 2 10 2 31 3" xfId="7807" xr:uid="{00000000-0005-0000-0000-0000731E0000}"/>
    <cellStyle name="Normal 2 2 10 2 31 3 10" xfId="7808" xr:uid="{00000000-0005-0000-0000-0000741E0000}"/>
    <cellStyle name="Normal 2 2 10 2 31 3 2" xfId="7809" xr:uid="{00000000-0005-0000-0000-0000751E0000}"/>
    <cellStyle name="Normal 2 2 10 2 31 3 3" xfId="7810" xr:uid="{00000000-0005-0000-0000-0000761E0000}"/>
    <cellStyle name="Normal 2 2 10 2 31 3 4" xfId="7811" xr:uid="{00000000-0005-0000-0000-0000771E0000}"/>
    <cellStyle name="Normal 2 2 10 2 31 3 5" xfId="7812" xr:uid="{00000000-0005-0000-0000-0000781E0000}"/>
    <cellStyle name="Normal 2 2 10 2 31 3 6" xfId="7813" xr:uid="{00000000-0005-0000-0000-0000791E0000}"/>
    <cellStyle name="Normal 2 2 10 2 31 3 7" xfId="7814" xr:uid="{00000000-0005-0000-0000-00007A1E0000}"/>
    <cellStyle name="Normal 2 2 10 2 31 3 8" xfId="7815" xr:uid="{00000000-0005-0000-0000-00007B1E0000}"/>
    <cellStyle name="Normal 2 2 10 2 31 3 9" xfId="7816" xr:uid="{00000000-0005-0000-0000-00007C1E0000}"/>
    <cellStyle name="Normal 2 2 10 2 31 4" xfId="7817" xr:uid="{00000000-0005-0000-0000-00007D1E0000}"/>
    <cellStyle name="Normal 2 2 10 2 31 4 10" xfId="7818" xr:uid="{00000000-0005-0000-0000-00007E1E0000}"/>
    <cellStyle name="Normal 2 2 10 2 31 4 2" xfId="7819" xr:uid="{00000000-0005-0000-0000-00007F1E0000}"/>
    <cellStyle name="Normal 2 2 10 2 31 4 3" xfId="7820" xr:uid="{00000000-0005-0000-0000-0000801E0000}"/>
    <cellStyle name="Normal 2 2 10 2 31 4 4" xfId="7821" xr:uid="{00000000-0005-0000-0000-0000811E0000}"/>
    <cellStyle name="Normal 2 2 10 2 31 4 5" xfId="7822" xr:uid="{00000000-0005-0000-0000-0000821E0000}"/>
    <cellStyle name="Normal 2 2 10 2 31 4 6" xfId="7823" xr:uid="{00000000-0005-0000-0000-0000831E0000}"/>
    <cellStyle name="Normal 2 2 10 2 31 4 7" xfId="7824" xr:uid="{00000000-0005-0000-0000-0000841E0000}"/>
    <cellStyle name="Normal 2 2 10 2 31 4 8" xfId="7825" xr:uid="{00000000-0005-0000-0000-0000851E0000}"/>
    <cellStyle name="Normal 2 2 10 2 31 4 9" xfId="7826" xr:uid="{00000000-0005-0000-0000-0000861E0000}"/>
    <cellStyle name="Normal 2 2 10 2 31 5" xfId="7827" xr:uid="{00000000-0005-0000-0000-0000871E0000}"/>
    <cellStyle name="Normal 2 2 10 2 31 5 10" xfId="7828" xr:uid="{00000000-0005-0000-0000-0000881E0000}"/>
    <cellStyle name="Normal 2 2 10 2 31 5 2" xfId="7829" xr:uid="{00000000-0005-0000-0000-0000891E0000}"/>
    <cellStyle name="Normal 2 2 10 2 31 5 3" xfId="7830" xr:uid="{00000000-0005-0000-0000-00008A1E0000}"/>
    <cellStyle name="Normal 2 2 10 2 31 5 4" xfId="7831" xr:uid="{00000000-0005-0000-0000-00008B1E0000}"/>
    <cellStyle name="Normal 2 2 10 2 31 5 5" xfId="7832" xr:uid="{00000000-0005-0000-0000-00008C1E0000}"/>
    <cellStyle name="Normal 2 2 10 2 31 5 6" xfId="7833" xr:uid="{00000000-0005-0000-0000-00008D1E0000}"/>
    <cellStyle name="Normal 2 2 10 2 31 5 7" xfId="7834" xr:uid="{00000000-0005-0000-0000-00008E1E0000}"/>
    <cellStyle name="Normal 2 2 10 2 31 5 8" xfId="7835" xr:uid="{00000000-0005-0000-0000-00008F1E0000}"/>
    <cellStyle name="Normal 2 2 10 2 31 5 9" xfId="7836" xr:uid="{00000000-0005-0000-0000-0000901E0000}"/>
    <cellStyle name="Normal 2 2 10 2 31 6" xfId="7837" xr:uid="{00000000-0005-0000-0000-0000911E0000}"/>
    <cellStyle name="Normal 2 2 10 2 31 7" xfId="7838" xr:uid="{00000000-0005-0000-0000-0000921E0000}"/>
    <cellStyle name="Normal 2 2 10 2 31 8" xfId="7839" xr:uid="{00000000-0005-0000-0000-0000931E0000}"/>
    <cellStyle name="Normal 2 2 10 2 31 9" xfId="7840" xr:uid="{00000000-0005-0000-0000-0000941E0000}"/>
    <cellStyle name="Normal 2 2 10 2 32" xfId="7841" xr:uid="{00000000-0005-0000-0000-0000951E0000}"/>
    <cellStyle name="Normal 2 2 10 2 32 10" xfId="7842" xr:uid="{00000000-0005-0000-0000-0000961E0000}"/>
    <cellStyle name="Normal 2 2 10 2 32 11" xfId="7843" xr:uid="{00000000-0005-0000-0000-0000971E0000}"/>
    <cellStyle name="Normal 2 2 10 2 32 12" xfId="7844" xr:uid="{00000000-0005-0000-0000-0000981E0000}"/>
    <cellStyle name="Normal 2 2 10 2 32 13" xfId="7845" xr:uid="{00000000-0005-0000-0000-0000991E0000}"/>
    <cellStyle name="Normal 2 2 10 2 32 14" xfId="7846" xr:uid="{00000000-0005-0000-0000-00009A1E0000}"/>
    <cellStyle name="Normal 2 2 10 2 32 2" xfId="7847" xr:uid="{00000000-0005-0000-0000-00009B1E0000}"/>
    <cellStyle name="Normal 2 2 10 2 32 2 10" xfId="7848" xr:uid="{00000000-0005-0000-0000-00009C1E0000}"/>
    <cellStyle name="Normal 2 2 10 2 32 2 2" xfId="7849" xr:uid="{00000000-0005-0000-0000-00009D1E0000}"/>
    <cellStyle name="Normal 2 2 10 2 32 2 3" xfId="7850" xr:uid="{00000000-0005-0000-0000-00009E1E0000}"/>
    <cellStyle name="Normal 2 2 10 2 32 2 4" xfId="7851" xr:uid="{00000000-0005-0000-0000-00009F1E0000}"/>
    <cellStyle name="Normal 2 2 10 2 32 2 5" xfId="7852" xr:uid="{00000000-0005-0000-0000-0000A01E0000}"/>
    <cellStyle name="Normal 2 2 10 2 32 2 6" xfId="7853" xr:uid="{00000000-0005-0000-0000-0000A11E0000}"/>
    <cellStyle name="Normal 2 2 10 2 32 2 7" xfId="7854" xr:uid="{00000000-0005-0000-0000-0000A21E0000}"/>
    <cellStyle name="Normal 2 2 10 2 32 2 8" xfId="7855" xr:uid="{00000000-0005-0000-0000-0000A31E0000}"/>
    <cellStyle name="Normal 2 2 10 2 32 2 9" xfId="7856" xr:uid="{00000000-0005-0000-0000-0000A41E0000}"/>
    <cellStyle name="Normal 2 2 10 2 32 3" xfId="7857" xr:uid="{00000000-0005-0000-0000-0000A51E0000}"/>
    <cellStyle name="Normal 2 2 10 2 32 3 10" xfId="7858" xr:uid="{00000000-0005-0000-0000-0000A61E0000}"/>
    <cellStyle name="Normal 2 2 10 2 32 3 2" xfId="7859" xr:uid="{00000000-0005-0000-0000-0000A71E0000}"/>
    <cellStyle name="Normal 2 2 10 2 32 3 3" xfId="7860" xr:uid="{00000000-0005-0000-0000-0000A81E0000}"/>
    <cellStyle name="Normal 2 2 10 2 32 3 4" xfId="7861" xr:uid="{00000000-0005-0000-0000-0000A91E0000}"/>
    <cellStyle name="Normal 2 2 10 2 32 3 5" xfId="7862" xr:uid="{00000000-0005-0000-0000-0000AA1E0000}"/>
    <cellStyle name="Normal 2 2 10 2 32 3 6" xfId="7863" xr:uid="{00000000-0005-0000-0000-0000AB1E0000}"/>
    <cellStyle name="Normal 2 2 10 2 32 3 7" xfId="7864" xr:uid="{00000000-0005-0000-0000-0000AC1E0000}"/>
    <cellStyle name="Normal 2 2 10 2 32 3 8" xfId="7865" xr:uid="{00000000-0005-0000-0000-0000AD1E0000}"/>
    <cellStyle name="Normal 2 2 10 2 32 3 9" xfId="7866" xr:uid="{00000000-0005-0000-0000-0000AE1E0000}"/>
    <cellStyle name="Normal 2 2 10 2 32 4" xfId="7867" xr:uid="{00000000-0005-0000-0000-0000AF1E0000}"/>
    <cellStyle name="Normal 2 2 10 2 32 4 10" xfId="7868" xr:uid="{00000000-0005-0000-0000-0000B01E0000}"/>
    <cellStyle name="Normal 2 2 10 2 32 4 2" xfId="7869" xr:uid="{00000000-0005-0000-0000-0000B11E0000}"/>
    <cellStyle name="Normal 2 2 10 2 32 4 3" xfId="7870" xr:uid="{00000000-0005-0000-0000-0000B21E0000}"/>
    <cellStyle name="Normal 2 2 10 2 32 4 4" xfId="7871" xr:uid="{00000000-0005-0000-0000-0000B31E0000}"/>
    <cellStyle name="Normal 2 2 10 2 32 4 5" xfId="7872" xr:uid="{00000000-0005-0000-0000-0000B41E0000}"/>
    <cellStyle name="Normal 2 2 10 2 32 4 6" xfId="7873" xr:uid="{00000000-0005-0000-0000-0000B51E0000}"/>
    <cellStyle name="Normal 2 2 10 2 32 4 7" xfId="7874" xr:uid="{00000000-0005-0000-0000-0000B61E0000}"/>
    <cellStyle name="Normal 2 2 10 2 32 4 8" xfId="7875" xr:uid="{00000000-0005-0000-0000-0000B71E0000}"/>
    <cellStyle name="Normal 2 2 10 2 32 4 9" xfId="7876" xr:uid="{00000000-0005-0000-0000-0000B81E0000}"/>
    <cellStyle name="Normal 2 2 10 2 32 5" xfId="7877" xr:uid="{00000000-0005-0000-0000-0000B91E0000}"/>
    <cellStyle name="Normal 2 2 10 2 32 5 10" xfId="7878" xr:uid="{00000000-0005-0000-0000-0000BA1E0000}"/>
    <cellStyle name="Normal 2 2 10 2 32 5 2" xfId="7879" xr:uid="{00000000-0005-0000-0000-0000BB1E0000}"/>
    <cellStyle name="Normal 2 2 10 2 32 5 3" xfId="7880" xr:uid="{00000000-0005-0000-0000-0000BC1E0000}"/>
    <cellStyle name="Normal 2 2 10 2 32 5 4" xfId="7881" xr:uid="{00000000-0005-0000-0000-0000BD1E0000}"/>
    <cellStyle name="Normal 2 2 10 2 32 5 5" xfId="7882" xr:uid="{00000000-0005-0000-0000-0000BE1E0000}"/>
    <cellStyle name="Normal 2 2 10 2 32 5 6" xfId="7883" xr:uid="{00000000-0005-0000-0000-0000BF1E0000}"/>
    <cellStyle name="Normal 2 2 10 2 32 5 7" xfId="7884" xr:uid="{00000000-0005-0000-0000-0000C01E0000}"/>
    <cellStyle name="Normal 2 2 10 2 32 5 8" xfId="7885" xr:uid="{00000000-0005-0000-0000-0000C11E0000}"/>
    <cellStyle name="Normal 2 2 10 2 32 5 9" xfId="7886" xr:uid="{00000000-0005-0000-0000-0000C21E0000}"/>
    <cellStyle name="Normal 2 2 10 2 32 6" xfId="7887" xr:uid="{00000000-0005-0000-0000-0000C31E0000}"/>
    <cellStyle name="Normal 2 2 10 2 32 7" xfId="7888" xr:uid="{00000000-0005-0000-0000-0000C41E0000}"/>
    <cellStyle name="Normal 2 2 10 2 32 8" xfId="7889" xr:uid="{00000000-0005-0000-0000-0000C51E0000}"/>
    <cellStyle name="Normal 2 2 10 2 32 9" xfId="7890" xr:uid="{00000000-0005-0000-0000-0000C61E0000}"/>
    <cellStyle name="Normal 2 2 10 2 33" xfId="7891" xr:uid="{00000000-0005-0000-0000-0000C71E0000}"/>
    <cellStyle name="Normal 2 2 10 2 33 10" xfId="7892" xr:uid="{00000000-0005-0000-0000-0000C81E0000}"/>
    <cellStyle name="Normal 2 2 10 2 33 11" xfId="7893" xr:uid="{00000000-0005-0000-0000-0000C91E0000}"/>
    <cellStyle name="Normal 2 2 10 2 33 12" xfId="7894" xr:uid="{00000000-0005-0000-0000-0000CA1E0000}"/>
    <cellStyle name="Normal 2 2 10 2 33 13" xfId="7895" xr:uid="{00000000-0005-0000-0000-0000CB1E0000}"/>
    <cellStyle name="Normal 2 2 10 2 33 14" xfId="7896" xr:uid="{00000000-0005-0000-0000-0000CC1E0000}"/>
    <cellStyle name="Normal 2 2 10 2 33 2" xfId="7897" xr:uid="{00000000-0005-0000-0000-0000CD1E0000}"/>
    <cellStyle name="Normal 2 2 10 2 33 2 10" xfId="7898" xr:uid="{00000000-0005-0000-0000-0000CE1E0000}"/>
    <cellStyle name="Normal 2 2 10 2 33 2 2" xfId="7899" xr:uid="{00000000-0005-0000-0000-0000CF1E0000}"/>
    <cellStyle name="Normal 2 2 10 2 33 2 3" xfId="7900" xr:uid="{00000000-0005-0000-0000-0000D01E0000}"/>
    <cellStyle name="Normal 2 2 10 2 33 2 4" xfId="7901" xr:uid="{00000000-0005-0000-0000-0000D11E0000}"/>
    <cellStyle name="Normal 2 2 10 2 33 2 5" xfId="7902" xr:uid="{00000000-0005-0000-0000-0000D21E0000}"/>
    <cellStyle name="Normal 2 2 10 2 33 2 6" xfId="7903" xr:uid="{00000000-0005-0000-0000-0000D31E0000}"/>
    <cellStyle name="Normal 2 2 10 2 33 2 7" xfId="7904" xr:uid="{00000000-0005-0000-0000-0000D41E0000}"/>
    <cellStyle name="Normal 2 2 10 2 33 2 8" xfId="7905" xr:uid="{00000000-0005-0000-0000-0000D51E0000}"/>
    <cellStyle name="Normal 2 2 10 2 33 2 9" xfId="7906" xr:uid="{00000000-0005-0000-0000-0000D61E0000}"/>
    <cellStyle name="Normal 2 2 10 2 33 3" xfId="7907" xr:uid="{00000000-0005-0000-0000-0000D71E0000}"/>
    <cellStyle name="Normal 2 2 10 2 33 3 10" xfId="7908" xr:uid="{00000000-0005-0000-0000-0000D81E0000}"/>
    <cellStyle name="Normal 2 2 10 2 33 3 2" xfId="7909" xr:uid="{00000000-0005-0000-0000-0000D91E0000}"/>
    <cellStyle name="Normal 2 2 10 2 33 3 3" xfId="7910" xr:uid="{00000000-0005-0000-0000-0000DA1E0000}"/>
    <cellStyle name="Normal 2 2 10 2 33 3 4" xfId="7911" xr:uid="{00000000-0005-0000-0000-0000DB1E0000}"/>
    <cellStyle name="Normal 2 2 10 2 33 3 5" xfId="7912" xr:uid="{00000000-0005-0000-0000-0000DC1E0000}"/>
    <cellStyle name="Normal 2 2 10 2 33 3 6" xfId="7913" xr:uid="{00000000-0005-0000-0000-0000DD1E0000}"/>
    <cellStyle name="Normal 2 2 10 2 33 3 7" xfId="7914" xr:uid="{00000000-0005-0000-0000-0000DE1E0000}"/>
    <cellStyle name="Normal 2 2 10 2 33 3 8" xfId="7915" xr:uid="{00000000-0005-0000-0000-0000DF1E0000}"/>
    <cellStyle name="Normal 2 2 10 2 33 3 9" xfId="7916" xr:uid="{00000000-0005-0000-0000-0000E01E0000}"/>
    <cellStyle name="Normal 2 2 10 2 33 4" xfId="7917" xr:uid="{00000000-0005-0000-0000-0000E11E0000}"/>
    <cellStyle name="Normal 2 2 10 2 33 4 10" xfId="7918" xr:uid="{00000000-0005-0000-0000-0000E21E0000}"/>
    <cellStyle name="Normal 2 2 10 2 33 4 2" xfId="7919" xr:uid="{00000000-0005-0000-0000-0000E31E0000}"/>
    <cellStyle name="Normal 2 2 10 2 33 4 3" xfId="7920" xr:uid="{00000000-0005-0000-0000-0000E41E0000}"/>
    <cellStyle name="Normal 2 2 10 2 33 4 4" xfId="7921" xr:uid="{00000000-0005-0000-0000-0000E51E0000}"/>
    <cellStyle name="Normal 2 2 10 2 33 4 5" xfId="7922" xr:uid="{00000000-0005-0000-0000-0000E61E0000}"/>
    <cellStyle name="Normal 2 2 10 2 33 4 6" xfId="7923" xr:uid="{00000000-0005-0000-0000-0000E71E0000}"/>
    <cellStyle name="Normal 2 2 10 2 33 4 7" xfId="7924" xr:uid="{00000000-0005-0000-0000-0000E81E0000}"/>
    <cellStyle name="Normal 2 2 10 2 33 4 8" xfId="7925" xr:uid="{00000000-0005-0000-0000-0000E91E0000}"/>
    <cellStyle name="Normal 2 2 10 2 33 4 9" xfId="7926" xr:uid="{00000000-0005-0000-0000-0000EA1E0000}"/>
    <cellStyle name="Normal 2 2 10 2 33 5" xfId="7927" xr:uid="{00000000-0005-0000-0000-0000EB1E0000}"/>
    <cellStyle name="Normal 2 2 10 2 33 5 10" xfId="7928" xr:uid="{00000000-0005-0000-0000-0000EC1E0000}"/>
    <cellStyle name="Normal 2 2 10 2 33 5 2" xfId="7929" xr:uid="{00000000-0005-0000-0000-0000ED1E0000}"/>
    <cellStyle name="Normal 2 2 10 2 33 5 3" xfId="7930" xr:uid="{00000000-0005-0000-0000-0000EE1E0000}"/>
    <cellStyle name="Normal 2 2 10 2 33 5 4" xfId="7931" xr:uid="{00000000-0005-0000-0000-0000EF1E0000}"/>
    <cellStyle name="Normal 2 2 10 2 33 5 5" xfId="7932" xr:uid="{00000000-0005-0000-0000-0000F01E0000}"/>
    <cellStyle name="Normal 2 2 10 2 33 5 6" xfId="7933" xr:uid="{00000000-0005-0000-0000-0000F11E0000}"/>
    <cellStyle name="Normal 2 2 10 2 33 5 7" xfId="7934" xr:uid="{00000000-0005-0000-0000-0000F21E0000}"/>
    <cellStyle name="Normal 2 2 10 2 33 5 8" xfId="7935" xr:uid="{00000000-0005-0000-0000-0000F31E0000}"/>
    <cellStyle name="Normal 2 2 10 2 33 5 9" xfId="7936" xr:uid="{00000000-0005-0000-0000-0000F41E0000}"/>
    <cellStyle name="Normal 2 2 10 2 33 6" xfId="7937" xr:uid="{00000000-0005-0000-0000-0000F51E0000}"/>
    <cellStyle name="Normal 2 2 10 2 33 7" xfId="7938" xr:uid="{00000000-0005-0000-0000-0000F61E0000}"/>
    <cellStyle name="Normal 2 2 10 2 33 8" xfId="7939" xr:uid="{00000000-0005-0000-0000-0000F71E0000}"/>
    <cellStyle name="Normal 2 2 10 2 33 9" xfId="7940" xr:uid="{00000000-0005-0000-0000-0000F81E0000}"/>
    <cellStyle name="Normal 2 2 10 2 34" xfId="7941" xr:uid="{00000000-0005-0000-0000-0000F91E0000}"/>
    <cellStyle name="Normal 2 2 10 2 34 10" xfId="7942" xr:uid="{00000000-0005-0000-0000-0000FA1E0000}"/>
    <cellStyle name="Normal 2 2 10 2 34 2" xfId="7943" xr:uid="{00000000-0005-0000-0000-0000FB1E0000}"/>
    <cellStyle name="Normal 2 2 10 2 34 3" xfId="7944" xr:uid="{00000000-0005-0000-0000-0000FC1E0000}"/>
    <cellStyle name="Normal 2 2 10 2 34 4" xfId="7945" xr:uid="{00000000-0005-0000-0000-0000FD1E0000}"/>
    <cellStyle name="Normal 2 2 10 2 34 5" xfId="7946" xr:uid="{00000000-0005-0000-0000-0000FE1E0000}"/>
    <cellStyle name="Normal 2 2 10 2 34 6" xfId="7947" xr:uid="{00000000-0005-0000-0000-0000FF1E0000}"/>
    <cellStyle name="Normal 2 2 10 2 34 7" xfId="7948" xr:uid="{00000000-0005-0000-0000-0000001F0000}"/>
    <cellStyle name="Normal 2 2 10 2 34 8" xfId="7949" xr:uid="{00000000-0005-0000-0000-0000011F0000}"/>
    <cellStyle name="Normal 2 2 10 2 34 9" xfId="7950" xr:uid="{00000000-0005-0000-0000-0000021F0000}"/>
    <cellStyle name="Normal 2 2 10 2 35" xfId="7951" xr:uid="{00000000-0005-0000-0000-0000031F0000}"/>
    <cellStyle name="Normal 2 2 10 2 35 10" xfId="7952" xr:uid="{00000000-0005-0000-0000-0000041F0000}"/>
    <cellStyle name="Normal 2 2 10 2 35 2" xfId="7953" xr:uid="{00000000-0005-0000-0000-0000051F0000}"/>
    <cellStyle name="Normal 2 2 10 2 35 3" xfId="7954" xr:uid="{00000000-0005-0000-0000-0000061F0000}"/>
    <cellStyle name="Normal 2 2 10 2 35 4" xfId="7955" xr:uid="{00000000-0005-0000-0000-0000071F0000}"/>
    <cellStyle name="Normal 2 2 10 2 35 5" xfId="7956" xr:uid="{00000000-0005-0000-0000-0000081F0000}"/>
    <cellStyle name="Normal 2 2 10 2 35 6" xfId="7957" xr:uid="{00000000-0005-0000-0000-0000091F0000}"/>
    <cellStyle name="Normal 2 2 10 2 35 7" xfId="7958" xr:uid="{00000000-0005-0000-0000-00000A1F0000}"/>
    <cellStyle name="Normal 2 2 10 2 35 8" xfId="7959" xr:uid="{00000000-0005-0000-0000-00000B1F0000}"/>
    <cellStyle name="Normal 2 2 10 2 35 9" xfId="7960" xr:uid="{00000000-0005-0000-0000-00000C1F0000}"/>
    <cellStyle name="Normal 2 2 10 2 36" xfId="7961" xr:uid="{00000000-0005-0000-0000-00000D1F0000}"/>
    <cellStyle name="Normal 2 2 10 2 36 10" xfId="7962" xr:uid="{00000000-0005-0000-0000-00000E1F0000}"/>
    <cellStyle name="Normal 2 2 10 2 36 2" xfId="7963" xr:uid="{00000000-0005-0000-0000-00000F1F0000}"/>
    <cellStyle name="Normal 2 2 10 2 36 3" xfId="7964" xr:uid="{00000000-0005-0000-0000-0000101F0000}"/>
    <cellStyle name="Normal 2 2 10 2 36 4" xfId="7965" xr:uid="{00000000-0005-0000-0000-0000111F0000}"/>
    <cellStyle name="Normal 2 2 10 2 36 5" xfId="7966" xr:uid="{00000000-0005-0000-0000-0000121F0000}"/>
    <cellStyle name="Normal 2 2 10 2 36 6" xfId="7967" xr:uid="{00000000-0005-0000-0000-0000131F0000}"/>
    <cellStyle name="Normal 2 2 10 2 36 7" xfId="7968" xr:uid="{00000000-0005-0000-0000-0000141F0000}"/>
    <cellStyle name="Normal 2 2 10 2 36 8" xfId="7969" xr:uid="{00000000-0005-0000-0000-0000151F0000}"/>
    <cellStyle name="Normal 2 2 10 2 36 9" xfId="7970" xr:uid="{00000000-0005-0000-0000-0000161F0000}"/>
    <cellStyle name="Normal 2 2 10 2 37" xfId="7971" xr:uid="{00000000-0005-0000-0000-0000171F0000}"/>
    <cellStyle name="Normal 2 2 10 2 37 10" xfId="7972" xr:uid="{00000000-0005-0000-0000-0000181F0000}"/>
    <cellStyle name="Normal 2 2 10 2 37 2" xfId="7973" xr:uid="{00000000-0005-0000-0000-0000191F0000}"/>
    <cellStyle name="Normal 2 2 10 2 37 3" xfId="7974" xr:uid="{00000000-0005-0000-0000-00001A1F0000}"/>
    <cellStyle name="Normal 2 2 10 2 37 4" xfId="7975" xr:uid="{00000000-0005-0000-0000-00001B1F0000}"/>
    <cellStyle name="Normal 2 2 10 2 37 5" xfId="7976" xr:uid="{00000000-0005-0000-0000-00001C1F0000}"/>
    <cellStyle name="Normal 2 2 10 2 37 6" xfId="7977" xr:uid="{00000000-0005-0000-0000-00001D1F0000}"/>
    <cellStyle name="Normal 2 2 10 2 37 7" xfId="7978" xr:uid="{00000000-0005-0000-0000-00001E1F0000}"/>
    <cellStyle name="Normal 2 2 10 2 37 8" xfId="7979" xr:uid="{00000000-0005-0000-0000-00001F1F0000}"/>
    <cellStyle name="Normal 2 2 10 2 37 9" xfId="7980" xr:uid="{00000000-0005-0000-0000-0000201F0000}"/>
    <cellStyle name="Normal 2 2 10 2 38" xfId="7981" xr:uid="{00000000-0005-0000-0000-0000211F0000}"/>
    <cellStyle name="Normal 2 2 10 2 39" xfId="7982" xr:uid="{00000000-0005-0000-0000-0000221F0000}"/>
    <cellStyle name="Normal 2 2 10 2 4" xfId="7983" xr:uid="{00000000-0005-0000-0000-0000231F0000}"/>
    <cellStyle name="Normal 2 2 10 2 4 10" xfId="7984" xr:uid="{00000000-0005-0000-0000-0000241F0000}"/>
    <cellStyle name="Normal 2 2 10 2 4 11" xfId="7985" xr:uid="{00000000-0005-0000-0000-0000251F0000}"/>
    <cellStyle name="Normal 2 2 10 2 4 12" xfId="7986" xr:uid="{00000000-0005-0000-0000-0000261F0000}"/>
    <cellStyle name="Normal 2 2 10 2 4 13" xfId="7987" xr:uid="{00000000-0005-0000-0000-0000271F0000}"/>
    <cellStyle name="Normal 2 2 10 2 4 14" xfId="7988" xr:uid="{00000000-0005-0000-0000-0000281F0000}"/>
    <cellStyle name="Normal 2 2 10 2 4 2" xfId="7989" xr:uid="{00000000-0005-0000-0000-0000291F0000}"/>
    <cellStyle name="Normal 2 2 10 2 4 2 10" xfId="7990" xr:uid="{00000000-0005-0000-0000-00002A1F0000}"/>
    <cellStyle name="Normal 2 2 10 2 4 2 2" xfId="7991" xr:uid="{00000000-0005-0000-0000-00002B1F0000}"/>
    <cellStyle name="Normal 2 2 10 2 4 2 3" xfId="7992" xr:uid="{00000000-0005-0000-0000-00002C1F0000}"/>
    <cellStyle name="Normal 2 2 10 2 4 2 4" xfId="7993" xr:uid="{00000000-0005-0000-0000-00002D1F0000}"/>
    <cellStyle name="Normal 2 2 10 2 4 2 5" xfId="7994" xr:uid="{00000000-0005-0000-0000-00002E1F0000}"/>
    <cellStyle name="Normal 2 2 10 2 4 2 6" xfId="7995" xr:uid="{00000000-0005-0000-0000-00002F1F0000}"/>
    <cellStyle name="Normal 2 2 10 2 4 2 7" xfId="7996" xr:uid="{00000000-0005-0000-0000-0000301F0000}"/>
    <cellStyle name="Normal 2 2 10 2 4 2 8" xfId="7997" xr:uid="{00000000-0005-0000-0000-0000311F0000}"/>
    <cellStyle name="Normal 2 2 10 2 4 2 9" xfId="7998" xr:uid="{00000000-0005-0000-0000-0000321F0000}"/>
    <cellStyle name="Normal 2 2 10 2 4 3" xfId="7999" xr:uid="{00000000-0005-0000-0000-0000331F0000}"/>
    <cellStyle name="Normal 2 2 10 2 4 3 10" xfId="8000" xr:uid="{00000000-0005-0000-0000-0000341F0000}"/>
    <cellStyle name="Normal 2 2 10 2 4 3 2" xfId="8001" xr:uid="{00000000-0005-0000-0000-0000351F0000}"/>
    <cellStyle name="Normal 2 2 10 2 4 3 3" xfId="8002" xr:uid="{00000000-0005-0000-0000-0000361F0000}"/>
    <cellStyle name="Normal 2 2 10 2 4 3 4" xfId="8003" xr:uid="{00000000-0005-0000-0000-0000371F0000}"/>
    <cellStyle name="Normal 2 2 10 2 4 3 5" xfId="8004" xr:uid="{00000000-0005-0000-0000-0000381F0000}"/>
    <cellStyle name="Normal 2 2 10 2 4 3 6" xfId="8005" xr:uid="{00000000-0005-0000-0000-0000391F0000}"/>
    <cellStyle name="Normal 2 2 10 2 4 3 7" xfId="8006" xr:uid="{00000000-0005-0000-0000-00003A1F0000}"/>
    <cellStyle name="Normal 2 2 10 2 4 3 8" xfId="8007" xr:uid="{00000000-0005-0000-0000-00003B1F0000}"/>
    <cellStyle name="Normal 2 2 10 2 4 3 9" xfId="8008" xr:uid="{00000000-0005-0000-0000-00003C1F0000}"/>
    <cellStyle name="Normal 2 2 10 2 4 4" xfId="8009" xr:uid="{00000000-0005-0000-0000-00003D1F0000}"/>
    <cellStyle name="Normal 2 2 10 2 4 4 10" xfId="8010" xr:uid="{00000000-0005-0000-0000-00003E1F0000}"/>
    <cellStyle name="Normal 2 2 10 2 4 4 2" xfId="8011" xr:uid="{00000000-0005-0000-0000-00003F1F0000}"/>
    <cellStyle name="Normal 2 2 10 2 4 4 3" xfId="8012" xr:uid="{00000000-0005-0000-0000-0000401F0000}"/>
    <cellStyle name="Normal 2 2 10 2 4 4 4" xfId="8013" xr:uid="{00000000-0005-0000-0000-0000411F0000}"/>
    <cellStyle name="Normal 2 2 10 2 4 4 5" xfId="8014" xr:uid="{00000000-0005-0000-0000-0000421F0000}"/>
    <cellStyle name="Normal 2 2 10 2 4 4 6" xfId="8015" xr:uid="{00000000-0005-0000-0000-0000431F0000}"/>
    <cellStyle name="Normal 2 2 10 2 4 4 7" xfId="8016" xr:uid="{00000000-0005-0000-0000-0000441F0000}"/>
    <cellStyle name="Normal 2 2 10 2 4 4 8" xfId="8017" xr:uid="{00000000-0005-0000-0000-0000451F0000}"/>
    <cellStyle name="Normal 2 2 10 2 4 4 9" xfId="8018" xr:uid="{00000000-0005-0000-0000-0000461F0000}"/>
    <cellStyle name="Normal 2 2 10 2 4 5" xfId="8019" xr:uid="{00000000-0005-0000-0000-0000471F0000}"/>
    <cellStyle name="Normal 2 2 10 2 4 5 10" xfId="8020" xr:uid="{00000000-0005-0000-0000-0000481F0000}"/>
    <cellStyle name="Normal 2 2 10 2 4 5 2" xfId="8021" xr:uid="{00000000-0005-0000-0000-0000491F0000}"/>
    <cellStyle name="Normal 2 2 10 2 4 5 3" xfId="8022" xr:uid="{00000000-0005-0000-0000-00004A1F0000}"/>
    <cellStyle name="Normal 2 2 10 2 4 5 4" xfId="8023" xr:uid="{00000000-0005-0000-0000-00004B1F0000}"/>
    <cellStyle name="Normal 2 2 10 2 4 5 5" xfId="8024" xr:uid="{00000000-0005-0000-0000-00004C1F0000}"/>
    <cellStyle name="Normal 2 2 10 2 4 5 6" xfId="8025" xr:uid="{00000000-0005-0000-0000-00004D1F0000}"/>
    <cellStyle name="Normal 2 2 10 2 4 5 7" xfId="8026" xr:uid="{00000000-0005-0000-0000-00004E1F0000}"/>
    <cellStyle name="Normal 2 2 10 2 4 5 8" xfId="8027" xr:uid="{00000000-0005-0000-0000-00004F1F0000}"/>
    <cellStyle name="Normal 2 2 10 2 4 5 9" xfId="8028" xr:uid="{00000000-0005-0000-0000-0000501F0000}"/>
    <cellStyle name="Normal 2 2 10 2 4 6" xfId="8029" xr:uid="{00000000-0005-0000-0000-0000511F0000}"/>
    <cellStyle name="Normal 2 2 10 2 4 7" xfId="8030" xr:uid="{00000000-0005-0000-0000-0000521F0000}"/>
    <cellStyle name="Normal 2 2 10 2 4 8" xfId="8031" xr:uid="{00000000-0005-0000-0000-0000531F0000}"/>
    <cellStyle name="Normal 2 2 10 2 4 9" xfId="8032" xr:uid="{00000000-0005-0000-0000-0000541F0000}"/>
    <cellStyle name="Normal 2 2 10 2 40" xfId="8033" xr:uid="{00000000-0005-0000-0000-0000551F0000}"/>
    <cellStyle name="Normal 2 2 10 2 41" xfId="8034" xr:uid="{00000000-0005-0000-0000-0000561F0000}"/>
    <cellStyle name="Normal 2 2 10 2 42" xfId="8035" xr:uid="{00000000-0005-0000-0000-0000571F0000}"/>
    <cellStyle name="Normal 2 2 10 2 43" xfId="8036" xr:uid="{00000000-0005-0000-0000-0000581F0000}"/>
    <cellStyle name="Normal 2 2 10 2 44" xfId="8037" xr:uid="{00000000-0005-0000-0000-0000591F0000}"/>
    <cellStyle name="Normal 2 2 10 2 45" xfId="8038" xr:uid="{00000000-0005-0000-0000-00005A1F0000}"/>
    <cellStyle name="Normal 2 2 10 2 46" xfId="8039" xr:uid="{00000000-0005-0000-0000-00005B1F0000}"/>
    <cellStyle name="Normal 2 2 10 2 5" xfId="8040" xr:uid="{00000000-0005-0000-0000-00005C1F0000}"/>
    <cellStyle name="Normal 2 2 10 2 5 10" xfId="8041" xr:uid="{00000000-0005-0000-0000-00005D1F0000}"/>
    <cellStyle name="Normal 2 2 10 2 5 11" xfId="8042" xr:uid="{00000000-0005-0000-0000-00005E1F0000}"/>
    <cellStyle name="Normal 2 2 10 2 5 12" xfId="8043" xr:uid="{00000000-0005-0000-0000-00005F1F0000}"/>
    <cellStyle name="Normal 2 2 10 2 5 13" xfId="8044" xr:uid="{00000000-0005-0000-0000-0000601F0000}"/>
    <cellStyle name="Normal 2 2 10 2 5 14" xfId="8045" xr:uid="{00000000-0005-0000-0000-0000611F0000}"/>
    <cellStyle name="Normal 2 2 10 2 5 2" xfId="8046" xr:uid="{00000000-0005-0000-0000-0000621F0000}"/>
    <cellStyle name="Normal 2 2 10 2 5 2 10" xfId="8047" xr:uid="{00000000-0005-0000-0000-0000631F0000}"/>
    <cellStyle name="Normal 2 2 10 2 5 2 2" xfId="8048" xr:uid="{00000000-0005-0000-0000-0000641F0000}"/>
    <cellStyle name="Normal 2 2 10 2 5 2 3" xfId="8049" xr:uid="{00000000-0005-0000-0000-0000651F0000}"/>
    <cellStyle name="Normal 2 2 10 2 5 2 4" xfId="8050" xr:uid="{00000000-0005-0000-0000-0000661F0000}"/>
    <cellStyle name="Normal 2 2 10 2 5 2 5" xfId="8051" xr:uid="{00000000-0005-0000-0000-0000671F0000}"/>
    <cellStyle name="Normal 2 2 10 2 5 2 6" xfId="8052" xr:uid="{00000000-0005-0000-0000-0000681F0000}"/>
    <cellStyle name="Normal 2 2 10 2 5 2 7" xfId="8053" xr:uid="{00000000-0005-0000-0000-0000691F0000}"/>
    <cellStyle name="Normal 2 2 10 2 5 2 8" xfId="8054" xr:uid="{00000000-0005-0000-0000-00006A1F0000}"/>
    <cellStyle name="Normal 2 2 10 2 5 2 9" xfId="8055" xr:uid="{00000000-0005-0000-0000-00006B1F0000}"/>
    <cellStyle name="Normal 2 2 10 2 5 3" xfId="8056" xr:uid="{00000000-0005-0000-0000-00006C1F0000}"/>
    <cellStyle name="Normal 2 2 10 2 5 3 10" xfId="8057" xr:uid="{00000000-0005-0000-0000-00006D1F0000}"/>
    <cellStyle name="Normal 2 2 10 2 5 3 2" xfId="8058" xr:uid="{00000000-0005-0000-0000-00006E1F0000}"/>
    <cellStyle name="Normal 2 2 10 2 5 3 3" xfId="8059" xr:uid="{00000000-0005-0000-0000-00006F1F0000}"/>
    <cellStyle name="Normal 2 2 10 2 5 3 4" xfId="8060" xr:uid="{00000000-0005-0000-0000-0000701F0000}"/>
    <cellStyle name="Normal 2 2 10 2 5 3 5" xfId="8061" xr:uid="{00000000-0005-0000-0000-0000711F0000}"/>
    <cellStyle name="Normal 2 2 10 2 5 3 6" xfId="8062" xr:uid="{00000000-0005-0000-0000-0000721F0000}"/>
    <cellStyle name="Normal 2 2 10 2 5 3 7" xfId="8063" xr:uid="{00000000-0005-0000-0000-0000731F0000}"/>
    <cellStyle name="Normal 2 2 10 2 5 3 8" xfId="8064" xr:uid="{00000000-0005-0000-0000-0000741F0000}"/>
    <cellStyle name="Normal 2 2 10 2 5 3 9" xfId="8065" xr:uid="{00000000-0005-0000-0000-0000751F0000}"/>
    <cellStyle name="Normal 2 2 10 2 5 4" xfId="8066" xr:uid="{00000000-0005-0000-0000-0000761F0000}"/>
    <cellStyle name="Normal 2 2 10 2 5 4 10" xfId="8067" xr:uid="{00000000-0005-0000-0000-0000771F0000}"/>
    <cellStyle name="Normal 2 2 10 2 5 4 2" xfId="8068" xr:uid="{00000000-0005-0000-0000-0000781F0000}"/>
    <cellStyle name="Normal 2 2 10 2 5 4 3" xfId="8069" xr:uid="{00000000-0005-0000-0000-0000791F0000}"/>
    <cellStyle name="Normal 2 2 10 2 5 4 4" xfId="8070" xr:uid="{00000000-0005-0000-0000-00007A1F0000}"/>
    <cellStyle name="Normal 2 2 10 2 5 4 5" xfId="8071" xr:uid="{00000000-0005-0000-0000-00007B1F0000}"/>
    <cellStyle name="Normal 2 2 10 2 5 4 6" xfId="8072" xr:uid="{00000000-0005-0000-0000-00007C1F0000}"/>
    <cellStyle name="Normal 2 2 10 2 5 4 7" xfId="8073" xr:uid="{00000000-0005-0000-0000-00007D1F0000}"/>
    <cellStyle name="Normal 2 2 10 2 5 4 8" xfId="8074" xr:uid="{00000000-0005-0000-0000-00007E1F0000}"/>
    <cellStyle name="Normal 2 2 10 2 5 4 9" xfId="8075" xr:uid="{00000000-0005-0000-0000-00007F1F0000}"/>
    <cellStyle name="Normal 2 2 10 2 5 5" xfId="8076" xr:uid="{00000000-0005-0000-0000-0000801F0000}"/>
    <cellStyle name="Normal 2 2 10 2 5 5 10" xfId="8077" xr:uid="{00000000-0005-0000-0000-0000811F0000}"/>
    <cellStyle name="Normal 2 2 10 2 5 5 2" xfId="8078" xr:uid="{00000000-0005-0000-0000-0000821F0000}"/>
    <cellStyle name="Normal 2 2 10 2 5 5 3" xfId="8079" xr:uid="{00000000-0005-0000-0000-0000831F0000}"/>
    <cellStyle name="Normal 2 2 10 2 5 5 4" xfId="8080" xr:uid="{00000000-0005-0000-0000-0000841F0000}"/>
    <cellStyle name="Normal 2 2 10 2 5 5 5" xfId="8081" xr:uid="{00000000-0005-0000-0000-0000851F0000}"/>
    <cellStyle name="Normal 2 2 10 2 5 5 6" xfId="8082" xr:uid="{00000000-0005-0000-0000-0000861F0000}"/>
    <cellStyle name="Normal 2 2 10 2 5 5 7" xfId="8083" xr:uid="{00000000-0005-0000-0000-0000871F0000}"/>
    <cellStyle name="Normal 2 2 10 2 5 5 8" xfId="8084" xr:uid="{00000000-0005-0000-0000-0000881F0000}"/>
    <cellStyle name="Normal 2 2 10 2 5 5 9" xfId="8085" xr:uid="{00000000-0005-0000-0000-0000891F0000}"/>
    <cellStyle name="Normal 2 2 10 2 5 6" xfId="8086" xr:uid="{00000000-0005-0000-0000-00008A1F0000}"/>
    <cellStyle name="Normal 2 2 10 2 5 7" xfId="8087" xr:uid="{00000000-0005-0000-0000-00008B1F0000}"/>
    <cellStyle name="Normal 2 2 10 2 5 8" xfId="8088" xr:uid="{00000000-0005-0000-0000-00008C1F0000}"/>
    <cellStyle name="Normal 2 2 10 2 5 9" xfId="8089" xr:uid="{00000000-0005-0000-0000-00008D1F0000}"/>
    <cellStyle name="Normal 2 2 10 2 6" xfId="8090" xr:uid="{00000000-0005-0000-0000-00008E1F0000}"/>
    <cellStyle name="Normal 2 2 10 2 6 10" xfId="8091" xr:uid="{00000000-0005-0000-0000-00008F1F0000}"/>
    <cellStyle name="Normal 2 2 10 2 6 11" xfId="8092" xr:uid="{00000000-0005-0000-0000-0000901F0000}"/>
    <cellStyle name="Normal 2 2 10 2 6 12" xfId="8093" xr:uid="{00000000-0005-0000-0000-0000911F0000}"/>
    <cellStyle name="Normal 2 2 10 2 6 13" xfId="8094" xr:uid="{00000000-0005-0000-0000-0000921F0000}"/>
    <cellStyle name="Normal 2 2 10 2 6 14" xfId="8095" xr:uid="{00000000-0005-0000-0000-0000931F0000}"/>
    <cellStyle name="Normal 2 2 10 2 6 2" xfId="8096" xr:uid="{00000000-0005-0000-0000-0000941F0000}"/>
    <cellStyle name="Normal 2 2 10 2 6 2 10" xfId="8097" xr:uid="{00000000-0005-0000-0000-0000951F0000}"/>
    <cellStyle name="Normal 2 2 10 2 6 2 2" xfId="8098" xr:uid="{00000000-0005-0000-0000-0000961F0000}"/>
    <cellStyle name="Normal 2 2 10 2 6 2 3" xfId="8099" xr:uid="{00000000-0005-0000-0000-0000971F0000}"/>
    <cellStyle name="Normal 2 2 10 2 6 2 4" xfId="8100" xr:uid="{00000000-0005-0000-0000-0000981F0000}"/>
    <cellStyle name="Normal 2 2 10 2 6 2 5" xfId="8101" xr:uid="{00000000-0005-0000-0000-0000991F0000}"/>
    <cellStyle name="Normal 2 2 10 2 6 2 6" xfId="8102" xr:uid="{00000000-0005-0000-0000-00009A1F0000}"/>
    <cellStyle name="Normal 2 2 10 2 6 2 7" xfId="8103" xr:uid="{00000000-0005-0000-0000-00009B1F0000}"/>
    <cellStyle name="Normal 2 2 10 2 6 2 8" xfId="8104" xr:uid="{00000000-0005-0000-0000-00009C1F0000}"/>
    <cellStyle name="Normal 2 2 10 2 6 2 9" xfId="8105" xr:uid="{00000000-0005-0000-0000-00009D1F0000}"/>
    <cellStyle name="Normal 2 2 10 2 6 3" xfId="8106" xr:uid="{00000000-0005-0000-0000-00009E1F0000}"/>
    <cellStyle name="Normal 2 2 10 2 6 3 10" xfId="8107" xr:uid="{00000000-0005-0000-0000-00009F1F0000}"/>
    <cellStyle name="Normal 2 2 10 2 6 3 2" xfId="8108" xr:uid="{00000000-0005-0000-0000-0000A01F0000}"/>
    <cellStyle name="Normal 2 2 10 2 6 3 3" xfId="8109" xr:uid="{00000000-0005-0000-0000-0000A11F0000}"/>
    <cellStyle name="Normal 2 2 10 2 6 3 4" xfId="8110" xr:uid="{00000000-0005-0000-0000-0000A21F0000}"/>
    <cellStyle name="Normal 2 2 10 2 6 3 5" xfId="8111" xr:uid="{00000000-0005-0000-0000-0000A31F0000}"/>
    <cellStyle name="Normal 2 2 10 2 6 3 6" xfId="8112" xr:uid="{00000000-0005-0000-0000-0000A41F0000}"/>
    <cellStyle name="Normal 2 2 10 2 6 3 7" xfId="8113" xr:uid="{00000000-0005-0000-0000-0000A51F0000}"/>
    <cellStyle name="Normal 2 2 10 2 6 3 8" xfId="8114" xr:uid="{00000000-0005-0000-0000-0000A61F0000}"/>
    <cellStyle name="Normal 2 2 10 2 6 3 9" xfId="8115" xr:uid="{00000000-0005-0000-0000-0000A71F0000}"/>
    <cellStyle name="Normal 2 2 10 2 6 4" xfId="8116" xr:uid="{00000000-0005-0000-0000-0000A81F0000}"/>
    <cellStyle name="Normal 2 2 10 2 6 4 10" xfId="8117" xr:uid="{00000000-0005-0000-0000-0000A91F0000}"/>
    <cellStyle name="Normal 2 2 10 2 6 4 2" xfId="8118" xr:uid="{00000000-0005-0000-0000-0000AA1F0000}"/>
    <cellStyle name="Normal 2 2 10 2 6 4 3" xfId="8119" xr:uid="{00000000-0005-0000-0000-0000AB1F0000}"/>
    <cellStyle name="Normal 2 2 10 2 6 4 4" xfId="8120" xr:uid="{00000000-0005-0000-0000-0000AC1F0000}"/>
    <cellStyle name="Normal 2 2 10 2 6 4 5" xfId="8121" xr:uid="{00000000-0005-0000-0000-0000AD1F0000}"/>
    <cellStyle name="Normal 2 2 10 2 6 4 6" xfId="8122" xr:uid="{00000000-0005-0000-0000-0000AE1F0000}"/>
    <cellStyle name="Normal 2 2 10 2 6 4 7" xfId="8123" xr:uid="{00000000-0005-0000-0000-0000AF1F0000}"/>
    <cellStyle name="Normal 2 2 10 2 6 4 8" xfId="8124" xr:uid="{00000000-0005-0000-0000-0000B01F0000}"/>
    <cellStyle name="Normal 2 2 10 2 6 4 9" xfId="8125" xr:uid="{00000000-0005-0000-0000-0000B11F0000}"/>
    <cellStyle name="Normal 2 2 10 2 6 5" xfId="8126" xr:uid="{00000000-0005-0000-0000-0000B21F0000}"/>
    <cellStyle name="Normal 2 2 10 2 6 5 10" xfId="8127" xr:uid="{00000000-0005-0000-0000-0000B31F0000}"/>
    <cellStyle name="Normal 2 2 10 2 6 5 2" xfId="8128" xr:uid="{00000000-0005-0000-0000-0000B41F0000}"/>
    <cellStyle name="Normal 2 2 10 2 6 5 3" xfId="8129" xr:uid="{00000000-0005-0000-0000-0000B51F0000}"/>
    <cellStyle name="Normal 2 2 10 2 6 5 4" xfId="8130" xr:uid="{00000000-0005-0000-0000-0000B61F0000}"/>
    <cellStyle name="Normal 2 2 10 2 6 5 5" xfId="8131" xr:uid="{00000000-0005-0000-0000-0000B71F0000}"/>
    <cellStyle name="Normal 2 2 10 2 6 5 6" xfId="8132" xr:uid="{00000000-0005-0000-0000-0000B81F0000}"/>
    <cellStyle name="Normal 2 2 10 2 6 5 7" xfId="8133" xr:uid="{00000000-0005-0000-0000-0000B91F0000}"/>
    <cellStyle name="Normal 2 2 10 2 6 5 8" xfId="8134" xr:uid="{00000000-0005-0000-0000-0000BA1F0000}"/>
    <cellStyle name="Normal 2 2 10 2 6 5 9" xfId="8135" xr:uid="{00000000-0005-0000-0000-0000BB1F0000}"/>
    <cellStyle name="Normal 2 2 10 2 6 6" xfId="8136" xr:uid="{00000000-0005-0000-0000-0000BC1F0000}"/>
    <cellStyle name="Normal 2 2 10 2 6 7" xfId="8137" xr:uid="{00000000-0005-0000-0000-0000BD1F0000}"/>
    <cellStyle name="Normal 2 2 10 2 6 8" xfId="8138" xr:uid="{00000000-0005-0000-0000-0000BE1F0000}"/>
    <cellStyle name="Normal 2 2 10 2 6 9" xfId="8139" xr:uid="{00000000-0005-0000-0000-0000BF1F0000}"/>
    <cellStyle name="Normal 2 2 10 2 7" xfId="8140" xr:uid="{00000000-0005-0000-0000-0000C01F0000}"/>
    <cellStyle name="Normal 2 2 10 2 7 10" xfId="8141" xr:uid="{00000000-0005-0000-0000-0000C11F0000}"/>
    <cellStyle name="Normal 2 2 10 2 7 11" xfId="8142" xr:uid="{00000000-0005-0000-0000-0000C21F0000}"/>
    <cellStyle name="Normal 2 2 10 2 7 12" xfId="8143" xr:uid="{00000000-0005-0000-0000-0000C31F0000}"/>
    <cellStyle name="Normal 2 2 10 2 7 13" xfId="8144" xr:uid="{00000000-0005-0000-0000-0000C41F0000}"/>
    <cellStyle name="Normal 2 2 10 2 7 14" xfId="8145" xr:uid="{00000000-0005-0000-0000-0000C51F0000}"/>
    <cellStyle name="Normal 2 2 10 2 7 2" xfId="8146" xr:uid="{00000000-0005-0000-0000-0000C61F0000}"/>
    <cellStyle name="Normal 2 2 10 2 7 2 10" xfId="8147" xr:uid="{00000000-0005-0000-0000-0000C71F0000}"/>
    <cellStyle name="Normal 2 2 10 2 7 2 2" xfId="8148" xr:uid="{00000000-0005-0000-0000-0000C81F0000}"/>
    <cellStyle name="Normal 2 2 10 2 7 2 3" xfId="8149" xr:uid="{00000000-0005-0000-0000-0000C91F0000}"/>
    <cellStyle name="Normal 2 2 10 2 7 2 4" xfId="8150" xr:uid="{00000000-0005-0000-0000-0000CA1F0000}"/>
    <cellStyle name="Normal 2 2 10 2 7 2 5" xfId="8151" xr:uid="{00000000-0005-0000-0000-0000CB1F0000}"/>
    <cellStyle name="Normal 2 2 10 2 7 2 6" xfId="8152" xr:uid="{00000000-0005-0000-0000-0000CC1F0000}"/>
    <cellStyle name="Normal 2 2 10 2 7 2 7" xfId="8153" xr:uid="{00000000-0005-0000-0000-0000CD1F0000}"/>
    <cellStyle name="Normal 2 2 10 2 7 2 8" xfId="8154" xr:uid="{00000000-0005-0000-0000-0000CE1F0000}"/>
    <cellStyle name="Normal 2 2 10 2 7 2 9" xfId="8155" xr:uid="{00000000-0005-0000-0000-0000CF1F0000}"/>
    <cellStyle name="Normal 2 2 10 2 7 3" xfId="8156" xr:uid="{00000000-0005-0000-0000-0000D01F0000}"/>
    <cellStyle name="Normal 2 2 10 2 7 3 10" xfId="8157" xr:uid="{00000000-0005-0000-0000-0000D11F0000}"/>
    <cellStyle name="Normal 2 2 10 2 7 3 2" xfId="8158" xr:uid="{00000000-0005-0000-0000-0000D21F0000}"/>
    <cellStyle name="Normal 2 2 10 2 7 3 3" xfId="8159" xr:uid="{00000000-0005-0000-0000-0000D31F0000}"/>
    <cellStyle name="Normal 2 2 10 2 7 3 4" xfId="8160" xr:uid="{00000000-0005-0000-0000-0000D41F0000}"/>
    <cellStyle name="Normal 2 2 10 2 7 3 5" xfId="8161" xr:uid="{00000000-0005-0000-0000-0000D51F0000}"/>
    <cellStyle name="Normal 2 2 10 2 7 3 6" xfId="8162" xr:uid="{00000000-0005-0000-0000-0000D61F0000}"/>
    <cellStyle name="Normal 2 2 10 2 7 3 7" xfId="8163" xr:uid="{00000000-0005-0000-0000-0000D71F0000}"/>
    <cellStyle name="Normal 2 2 10 2 7 3 8" xfId="8164" xr:uid="{00000000-0005-0000-0000-0000D81F0000}"/>
    <cellStyle name="Normal 2 2 10 2 7 3 9" xfId="8165" xr:uid="{00000000-0005-0000-0000-0000D91F0000}"/>
    <cellStyle name="Normal 2 2 10 2 7 4" xfId="8166" xr:uid="{00000000-0005-0000-0000-0000DA1F0000}"/>
    <cellStyle name="Normal 2 2 10 2 7 4 10" xfId="8167" xr:uid="{00000000-0005-0000-0000-0000DB1F0000}"/>
    <cellStyle name="Normal 2 2 10 2 7 4 2" xfId="8168" xr:uid="{00000000-0005-0000-0000-0000DC1F0000}"/>
    <cellStyle name="Normal 2 2 10 2 7 4 3" xfId="8169" xr:uid="{00000000-0005-0000-0000-0000DD1F0000}"/>
    <cellStyle name="Normal 2 2 10 2 7 4 4" xfId="8170" xr:uid="{00000000-0005-0000-0000-0000DE1F0000}"/>
    <cellStyle name="Normal 2 2 10 2 7 4 5" xfId="8171" xr:uid="{00000000-0005-0000-0000-0000DF1F0000}"/>
    <cellStyle name="Normal 2 2 10 2 7 4 6" xfId="8172" xr:uid="{00000000-0005-0000-0000-0000E01F0000}"/>
    <cellStyle name="Normal 2 2 10 2 7 4 7" xfId="8173" xr:uid="{00000000-0005-0000-0000-0000E11F0000}"/>
    <cellStyle name="Normal 2 2 10 2 7 4 8" xfId="8174" xr:uid="{00000000-0005-0000-0000-0000E21F0000}"/>
    <cellStyle name="Normal 2 2 10 2 7 4 9" xfId="8175" xr:uid="{00000000-0005-0000-0000-0000E31F0000}"/>
    <cellStyle name="Normal 2 2 10 2 7 5" xfId="8176" xr:uid="{00000000-0005-0000-0000-0000E41F0000}"/>
    <cellStyle name="Normal 2 2 10 2 7 5 10" xfId="8177" xr:uid="{00000000-0005-0000-0000-0000E51F0000}"/>
    <cellStyle name="Normal 2 2 10 2 7 5 2" xfId="8178" xr:uid="{00000000-0005-0000-0000-0000E61F0000}"/>
    <cellStyle name="Normal 2 2 10 2 7 5 3" xfId="8179" xr:uid="{00000000-0005-0000-0000-0000E71F0000}"/>
    <cellStyle name="Normal 2 2 10 2 7 5 4" xfId="8180" xr:uid="{00000000-0005-0000-0000-0000E81F0000}"/>
    <cellStyle name="Normal 2 2 10 2 7 5 5" xfId="8181" xr:uid="{00000000-0005-0000-0000-0000E91F0000}"/>
    <cellStyle name="Normal 2 2 10 2 7 5 6" xfId="8182" xr:uid="{00000000-0005-0000-0000-0000EA1F0000}"/>
    <cellStyle name="Normal 2 2 10 2 7 5 7" xfId="8183" xr:uid="{00000000-0005-0000-0000-0000EB1F0000}"/>
    <cellStyle name="Normal 2 2 10 2 7 5 8" xfId="8184" xr:uid="{00000000-0005-0000-0000-0000EC1F0000}"/>
    <cellStyle name="Normal 2 2 10 2 7 5 9" xfId="8185" xr:uid="{00000000-0005-0000-0000-0000ED1F0000}"/>
    <cellStyle name="Normal 2 2 10 2 7 6" xfId="8186" xr:uid="{00000000-0005-0000-0000-0000EE1F0000}"/>
    <cellStyle name="Normal 2 2 10 2 7 7" xfId="8187" xr:uid="{00000000-0005-0000-0000-0000EF1F0000}"/>
    <cellStyle name="Normal 2 2 10 2 7 8" xfId="8188" xr:uid="{00000000-0005-0000-0000-0000F01F0000}"/>
    <cellStyle name="Normal 2 2 10 2 7 9" xfId="8189" xr:uid="{00000000-0005-0000-0000-0000F11F0000}"/>
    <cellStyle name="Normal 2 2 10 2 8" xfId="8190" xr:uid="{00000000-0005-0000-0000-0000F21F0000}"/>
    <cellStyle name="Normal 2 2 10 2 8 10" xfId="8191" xr:uid="{00000000-0005-0000-0000-0000F31F0000}"/>
    <cellStyle name="Normal 2 2 10 2 8 11" xfId="8192" xr:uid="{00000000-0005-0000-0000-0000F41F0000}"/>
    <cellStyle name="Normal 2 2 10 2 8 12" xfId="8193" xr:uid="{00000000-0005-0000-0000-0000F51F0000}"/>
    <cellStyle name="Normal 2 2 10 2 8 13" xfId="8194" xr:uid="{00000000-0005-0000-0000-0000F61F0000}"/>
    <cellStyle name="Normal 2 2 10 2 8 14" xfId="8195" xr:uid="{00000000-0005-0000-0000-0000F71F0000}"/>
    <cellStyle name="Normal 2 2 10 2 8 2" xfId="8196" xr:uid="{00000000-0005-0000-0000-0000F81F0000}"/>
    <cellStyle name="Normal 2 2 10 2 8 2 10" xfId="8197" xr:uid="{00000000-0005-0000-0000-0000F91F0000}"/>
    <cellStyle name="Normal 2 2 10 2 8 2 2" xfId="8198" xr:uid="{00000000-0005-0000-0000-0000FA1F0000}"/>
    <cellStyle name="Normal 2 2 10 2 8 2 3" xfId="8199" xr:uid="{00000000-0005-0000-0000-0000FB1F0000}"/>
    <cellStyle name="Normal 2 2 10 2 8 2 4" xfId="8200" xr:uid="{00000000-0005-0000-0000-0000FC1F0000}"/>
    <cellStyle name="Normal 2 2 10 2 8 2 5" xfId="8201" xr:uid="{00000000-0005-0000-0000-0000FD1F0000}"/>
    <cellStyle name="Normal 2 2 10 2 8 2 6" xfId="8202" xr:uid="{00000000-0005-0000-0000-0000FE1F0000}"/>
    <cellStyle name="Normal 2 2 10 2 8 2 7" xfId="8203" xr:uid="{00000000-0005-0000-0000-0000FF1F0000}"/>
    <cellStyle name="Normal 2 2 10 2 8 2 8" xfId="8204" xr:uid="{00000000-0005-0000-0000-000000200000}"/>
    <cellStyle name="Normal 2 2 10 2 8 2 9" xfId="8205" xr:uid="{00000000-0005-0000-0000-000001200000}"/>
    <cellStyle name="Normal 2 2 10 2 8 3" xfId="8206" xr:uid="{00000000-0005-0000-0000-000002200000}"/>
    <cellStyle name="Normal 2 2 10 2 8 3 10" xfId="8207" xr:uid="{00000000-0005-0000-0000-000003200000}"/>
    <cellStyle name="Normal 2 2 10 2 8 3 2" xfId="8208" xr:uid="{00000000-0005-0000-0000-000004200000}"/>
    <cellStyle name="Normal 2 2 10 2 8 3 3" xfId="8209" xr:uid="{00000000-0005-0000-0000-000005200000}"/>
    <cellStyle name="Normal 2 2 10 2 8 3 4" xfId="8210" xr:uid="{00000000-0005-0000-0000-000006200000}"/>
    <cellStyle name="Normal 2 2 10 2 8 3 5" xfId="8211" xr:uid="{00000000-0005-0000-0000-000007200000}"/>
    <cellStyle name="Normal 2 2 10 2 8 3 6" xfId="8212" xr:uid="{00000000-0005-0000-0000-000008200000}"/>
    <cellStyle name="Normal 2 2 10 2 8 3 7" xfId="8213" xr:uid="{00000000-0005-0000-0000-000009200000}"/>
    <cellStyle name="Normal 2 2 10 2 8 3 8" xfId="8214" xr:uid="{00000000-0005-0000-0000-00000A200000}"/>
    <cellStyle name="Normal 2 2 10 2 8 3 9" xfId="8215" xr:uid="{00000000-0005-0000-0000-00000B200000}"/>
    <cellStyle name="Normal 2 2 10 2 8 4" xfId="8216" xr:uid="{00000000-0005-0000-0000-00000C200000}"/>
    <cellStyle name="Normal 2 2 10 2 8 4 10" xfId="8217" xr:uid="{00000000-0005-0000-0000-00000D200000}"/>
    <cellStyle name="Normal 2 2 10 2 8 4 2" xfId="8218" xr:uid="{00000000-0005-0000-0000-00000E200000}"/>
    <cellStyle name="Normal 2 2 10 2 8 4 3" xfId="8219" xr:uid="{00000000-0005-0000-0000-00000F200000}"/>
    <cellStyle name="Normal 2 2 10 2 8 4 4" xfId="8220" xr:uid="{00000000-0005-0000-0000-000010200000}"/>
    <cellStyle name="Normal 2 2 10 2 8 4 5" xfId="8221" xr:uid="{00000000-0005-0000-0000-000011200000}"/>
    <cellStyle name="Normal 2 2 10 2 8 4 6" xfId="8222" xr:uid="{00000000-0005-0000-0000-000012200000}"/>
    <cellStyle name="Normal 2 2 10 2 8 4 7" xfId="8223" xr:uid="{00000000-0005-0000-0000-000013200000}"/>
    <cellStyle name="Normal 2 2 10 2 8 4 8" xfId="8224" xr:uid="{00000000-0005-0000-0000-000014200000}"/>
    <cellStyle name="Normal 2 2 10 2 8 4 9" xfId="8225" xr:uid="{00000000-0005-0000-0000-000015200000}"/>
    <cellStyle name="Normal 2 2 10 2 8 5" xfId="8226" xr:uid="{00000000-0005-0000-0000-000016200000}"/>
    <cellStyle name="Normal 2 2 10 2 8 5 10" xfId="8227" xr:uid="{00000000-0005-0000-0000-000017200000}"/>
    <cellStyle name="Normal 2 2 10 2 8 5 2" xfId="8228" xr:uid="{00000000-0005-0000-0000-000018200000}"/>
    <cellStyle name="Normal 2 2 10 2 8 5 3" xfId="8229" xr:uid="{00000000-0005-0000-0000-000019200000}"/>
    <cellStyle name="Normal 2 2 10 2 8 5 4" xfId="8230" xr:uid="{00000000-0005-0000-0000-00001A200000}"/>
    <cellStyle name="Normal 2 2 10 2 8 5 5" xfId="8231" xr:uid="{00000000-0005-0000-0000-00001B200000}"/>
    <cellStyle name="Normal 2 2 10 2 8 5 6" xfId="8232" xr:uid="{00000000-0005-0000-0000-00001C200000}"/>
    <cellStyle name="Normal 2 2 10 2 8 5 7" xfId="8233" xr:uid="{00000000-0005-0000-0000-00001D200000}"/>
    <cellStyle name="Normal 2 2 10 2 8 5 8" xfId="8234" xr:uid="{00000000-0005-0000-0000-00001E200000}"/>
    <cellStyle name="Normal 2 2 10 2 8 5 9" xfId="8235" xr:uid="{00000000-0005-0000-0000-00001F200000}"/>
    <cellStyle name="Normal 2 2 10 2 8 6" xfId="8236" xr:uid="{00000000-0005-0000-0000-000020200000}"/>
    <cellStyle name="Normal 2 2 10 2 8 7" xfId="8237" xr:uid="{00000000-0005-0000-0000-000021200000}"/>
    <cellStyle name="Normal 2 2 10 2 8 8" xfId="8238" xr:uid="{00000000-0005-0000-0000-000022200000}"/>
    <cellStyle name="Normal 2 2 10 2 8 9" xfId="8239" xr:uid="{00000000-0005-0000-0000-000023200000}"/>
    <cellStyle name="Normal 2 2 10 2 9" xfId="8240" xr:uid="{00000000-0005-0000-0000-000024200000}"/>
    <cellStyle name="Normal 2 2 10 2 9 10" xfId="8241" xr:uid="{00000000-0005-0000-0000-000025200000}"/>
    <cellStyle name="Normal 2 2 10 2 9 11" xfId="8242" xr:uid="{00000000-0005-0000-0000-000026200000}"/>
    <cellStyle name="Normal 2 2 10 2 9 12" xfId="8243" xr:uid="{00000000-0005-0000-0000-000027200000}"/>
    <cellStyle name="Normal 2 2 10 2 9 13" xfId="8244" xr:uid="{00000000-0005-0000-0000-000028200000}"/>
    <cellStyle name="Normal 2 2 10 2 9 14" xfId="8245" xr:uid="{00000000-0005-0000-0000-000029200000}"/>
    <cellStyle name="Normal 2 2 10 2 9 2" xfId="8246" xr:uid="{00000000-0005-0000-0000-00002A200000}"/>
    <cellStyle name="Normal 2 2 10 2 9 2 10" xfId="8247" xr:uid="{00000000-0005-0000-0000-00002B200000}"/>
    <cellStyle name="Normal 2 2 10 2 9 2 2" xfId="8248" xr:uid="{00000000-0005-0000-0000-00002C200000}"/>
    <cellStyle name="Normal 2 2 10 2 9 2 3" xfId="8249" xr:uid="{00000000-0005-0000-0000-00002D200000}"/>
    <cellStyle name="Normal 2 2 10 2 9 2 4" xfId="8250" xr:uid="{00000000-0005-0000-0000-00002E200000}"/>
    <cellStyle name="Normal 2 2 10 2 9 2 5" xfId="8251" xr:uid="{00000000-0005-0000-0000-00002F200000}"/>
    <cellStyle name="Normal 2 2 10 2 9 2 6" xfId="8252" xr:uid="{00000000-0005-0000-0000-000030200000}"/>
    <cellStyle name="Normal 2 2 10 2 9 2 7" xfId="8253" xr:uid="{00000000-0005-0000-0000-000031200000}"/>
    <cellStyle name="Normal 2 2 10 2 9 2 8" xfId="8254" xr:uid="{00000000-0005-0000-0000-000032200000}"/>
    <cellStyle name="Normal 2 2 10 2 9 2 9" xfId="8255" xr:uid="{00000000-0005-0000-0000-000033200000}"/>
    <cellStyle name="Normal 2 2 10 2 9 3" xfId="8256" xr:uid="{00000000-0005-0000-0000-000034200000}"/>
    <cellStyle name="Normal 2 2 10 2 9 3 10" xfId="8257" xr:uid="{00000000-0005-0000-0000-000035200000}"/>
    <cellStyle name="Normal 2 2 10 2 9 3 2" xfId="8258" xr:uid="{00000000-0005-0000-0000-000036200000}"/>
    <cellStyle name="Normal 2 2 10 2 9 3 3" xfId="8259" xr:uid="{00000000-0005-0000-0000-000037200000}"/>
    <cellStyle name="Normal 2 2 10 2 9 3 4" xfId="8260" xr:uid="{00000000-0005-0000-0000-000038200000}"/>
    <cellStyle name="Normal 2 2 10 2 9 3 5" xfId="8261" xr:uid="{00000000-0005-0000-0000-000039200000}"/>
    <cellStyle name="Normal 2 2 10 2 9 3 6" xfId="8262" xr:uid="{00000000-0005-0000-0000-00003A200000}"/>
    <cellStyle name="Normal 2 2 10 2 9 3 7" xfId="8263" xr:uid="{00000000-0005-0000-0000-00003B200000}"/>
    <cellStyle name="Normal 2 2 10 2 9 3 8" xfId="8264" xr:uid="{00000000-0005-0000-0000-00003C200000}"/>
    <cellStyle name="Normal 2 2 10 2 9 3 9" xfId="8265" xr:uid="{00000000-0005-0000-0000-00003D200000}"/>
    <cellStyle name="Normal 2 2 10 2 9 4" xfId="8266" xr:uid="{00000000-0005-0000-0000-00003E200000}"/>
    <cellStyle name="Normal 2 2 10 2 9 4 10" xfId="8267" xr:uid="{00000000-0005-0000-0000-00003F200000}"/>
    <cellStyle name="Normal 2 2 10 2 9 4 2" xfId="8268" xr:uid="{00000000-0005-0000-0000-000040200000}"/>
    <cellStyle name="Normal 2 2 10 2 9 4 3" xfId="8269" xr:uid="{00000000-0005-0000-0000-000041200000}"/>
    <cellStyle name="Normal 2 2 10 2 9 4 4" xfId="8270" xr:uid="{00000000-0005-0000-0000-000042200000}"/>
    <cellStyle name="Normal 2 2 10 2 9 4 5" xfId="8271" xr:uid="{00000000-0005-0000-0000-000043200000}"/>
    <cellStyle name="Normal 2 2 10 2 9 4 6" xfId="8272" xr:uid="{00000000-0005-0000-0000-000044200000}"/>
    <cellStyle name="Normal 2 2 10 2 9 4 7" xfId="8273" xr:uid="{00000000-0005-0000-0000-000045200000}"/>
    <cellStyle name="Normal 2 2 10 2 9 4 8" xfId="8274" xr:uid="{00000000-0005-0000-0000-000046200000}"/>
    <cellStyle name="Normal 2 2 10 2 9 4 9" xfId="8275" xr:uid="{00000000-0005-0000-0000-000047200000}"/>
    <cellStyle name="Normal 2 2 10 2 9 5" xfId="8276" xr:uid="{00000000-0005-0000-0000-000048200000}"/>
    <cellStyle name="Normal 2 2 10 2 9 5 10" xfId="8277" xr:uid="{00000000-0005-0000-0000-000049200000}"/>
    <cellStyle name="Normal 2 2 10 2 9 5 2" xfId="8278" xr:uid="{00000000-0005-0000-0000-00004A200000}"/>
    <cellStyle name="Normal 2 2 10 2 9 5 3" xfId="8279" xr:uid="{00000000-0005-0000-0000-00004B200000}"/>
    <cellStyle name="Normal 2 2 10 2 9 5 4" xfId="8280" xr:uid="{00000000-0005-0000-0000-00004C200000}"/>
    <cellStyle name="Normal 2 2 10 2 9 5 5" xfId="8281" xr:uid="{00000000-0005-0000-0000-00004D200000}"/>
    <cellStyle name="Normal 2 2 10 2 9 5 6" xfId="8282" xr:uid="{00000000-0005-0000-0000-00004E200000}"/>
    <cellStyle name="Normal 2 2 10 2 9 5 7" xfId="8283" xr:uid="{00000000-0005-0000-0000-00004F200000}"/>
    <cellStyle name="Normal 2 2 10 2 9 5 8" xfId="8284" xr:uid="{00000000-0005-0000-0000-000050200000}"/>
    <cellStyle name="Normal 2 2 10 2 9 5 9" xfId="8285" xr:uid="{00000000-0005-0000-0000-000051200000}"/>
    <cellStyle name="Normal 2 2 10 2 9 6" xfId="8286" xr:uid="{00000000-0005-0000-0000-000052200000}"/>
    <cellStyle name="Normal 2 2 10 2 9 7" xfId="8287" xr:uid="{00000000-0005-0000-0000-000053200000}"/>
    <cellStyle name="Normal 2 2 10 2 9 8" xfId="8288" xr:uid="{00000000-0005-0000-0000-000054200000}"/>
    <cellStyle name="Normal 2 2 10 2 9 9" xfId="8289" xr:uid="{00000000-0005-0000-0000-000055200000}"/>
    <cellStyle name="Normal 2 2 10 20" xfId="8290" xr:uid="{00000000-0005-0000-0000-000056200000}"/>
    <cellStyle name="Normal 2 2 10 20 10" xfId="8291" xr:uid="{00000000-0005-0000-0000-000057200000}"/>
    <cellStyle name="Normal 2 2 10 20 11" xfId="8292" xr:uid="{00000000-0005-0000-0000-000058200000}"/>
    <cellStyle name="Normal 2 2 10 20 12" xfId="8293" xr:uid="{00000000-0005-0000-0000-000059200000}"/>
    <cellStyle name="Normal 2 2 10 20 13" xfId="8294" xr:uid="{00000000-0005-0000-0000-00005A200000}"/>
    <cellStyle name="Normal 2 2 10 20 14" xfId="8295" xr:uid="{00000000-0005-0000-0000-00005B200000}"/>
    <cellStyle name="Normal 2 2 10 20 2" xfId="8296" xr:uid="{00000000-0005-0000-0000-00005C200000}"/>
    <cellStyle name="Normal 2 2 10 20 2 10" xfId="8297" xr:uid="{00000000-0005-0000-0000-00005D200000}"/>
    <cellStyle name="Normal 2 2 10 20 2 2" xfId="8298" xr:uid="{00000000-0005-0000-0000-00005E200000}"/>
    <cellStyle name="Normal 2 2 10 20 2 3" xfId="8299" xr:uid="{00000000-0005-0000-0000-00005F200000}"/>
    <cellStyle name="Normal 2 2 10 20 2 4" xfId="8300" xr:uid="{00000000-0005-0000-0000-000060200000}"/>
    <cellStyle name="Normal 2 2 10 20 2 5" xfId="8301" xr:uid="{00000000-0005-0000-0000-000061200000}"/>
    <cellStyle name="Normal 2 2 10 20 2 6" xfId="8302" xr:uid="{00000000-0005-0000-0000-000062200000}"/>
    <cellStyle name="Normal 2 2 10 20 2 7" xfId="8303" xr:uid="{00000000-0005-0000-0000-000063200000}"/>
    <cellStyle name="Normal 2 2 10 20 2 8" xfId="8304" xr:uid="{00000000-0005-0000-0000-000064200000}"/>
    <cellStyle name="Normal 2 2 10 20 2 9" xfId="8305" xr:uid="{00000000-0005-0000-0000-000065200000}"/>
    <cellStyle name="Normal 2 2 10 20 3" xfId="8306" xr:uid="{00000000-0005-0000-0000-000066200000}"/>
    <cellStyle name="Normal 2 2 10 20 3 10" xfId="8307" xr:uid="{00000000-0005-0000-0000-000067200000}"/>
    <cellStyle name="Normal 2 2 10 20 3 2" xfId="8308" xr:uid="{00000000-0005-0000-0000-000068200000}"/>
    <cellStyle name="Normal 2 2 10 20 3 3" xfId="8309" xr:uid="{00000000-0005-0000-0000-000069200000}"/>
    <cellStyle name="Normal 2 2 10 20 3 4" xfId="8310" xr:uid="{00000000-0005-0000-0000-00006A200000}"/>
    <cellStyle name="Normal 2 2 10 20 3 5" xfId="8311" xr:uid="{00000000-0005-0000-0000-00006B200000}"/>
    <cellStyle name="Normal 2 2 10 20 3 6" xfId="8312" xr:uid="{00000000-0005-0000-0000-00006C200000}"/>
    <cellStyle name="Normal 2 2 10 20 3 7" xfId="8313" xr:uid="{00000000-0005-0000-0000-00006D200000}"/>
    <cellStyle name="Normal 2 2 10 20 3 8" xfId="8314" xr:uid="{00000000-0005-0000-0000-00006E200000}"/>
    <cellStyle name="Normal 2 2 10 20 3 9" xfId="8315" xr:uid="{00000000-0005-0000-0000-00006F200000}"/>
    <cellStyle name="Normal 2 2 10 20 4" xfId="8316" xr:uid="{00000000-0005-0000-0000-000070200000}"/>
    <cellStyle name="Normal 2 2 10 20 4 10" xfId="8317" xr:uid="{00000000-0005-0000-0000-000071200000}"/>
    <cellStyle name="Normal 2 2 10 20 4 2" xfId="8318" xr:uid="{00000000-0005-0000-0000-000072200000}"/>
    <cellStyle name="Normal 2 2 10 20 4 3" xfId="8319" xr:uid="{00000000-0005-0000-0000-000073200000}"/>
    <cellStyle name="Normal 2 2 10 20 4 4" xfId="8320" xr:uid="{00000000-0005-0000-0000-000074200000}"/>
    <cellStyle name="Normal 2 2 10 20 4 5" xfId="8321" xr:uid="{00000000-0005-0000-0000-000075200000}"/>
    <cellStyle name="Normal 2 2 10 20 4 6" xfId="8322" xr:uid="{00000000-0005-0000-0000-000076200000}"/>
    <cellStyle name="Normal 2 2 10 20 4 7" xfId="8323" xr:uid="{00000000-0005-0000-0000-000077200000}"/>
    <cellStyle name="Normal 2 2 10 20 4 8" xfId="8324" xr:uid="{00000000-0005-0000-0000-000078200000}"/>
    <cellStyle name="Normal 2 2 10 20 4 9" xfId="8325" xr:uid="{00000000-0005-0000-0000-000079200000}"/>
    <cellStyle name="Normal 2 2 10 20 5" xfId="8326" xr:uid="{00000000-0005-0000-0000-00007A200000}"/>
    <cellStyle name="Normal 2 2 10 20 5 10" xfId="8327" xr:uid="{00000000-0005-0000-0000-00007B200000}"/>
    <cellStyle name="Normal 2 2 10 20 5 2" xfId="8328" xr:uid="{00000000-0005-0000-0000-00007C200000}"/>
    <cellStyle name="Normal 2 2 10 20 5 3" xfId="8329" xr:uid="{00000000-0005-0000-0000-00007D200000}"/>
    <cellStyle name="Normal 2 2 10 20 5 4" xfId="8330" xr:uid="{00000000-0005-0000-0000-00007E200000}"/>
    <cellStyle name="Normal 2 2 10 20 5 5" xfId="8331" xr:uid="{00000000-0005-0000-0000-00007F200000}"/>
    <cellStyle name="Normal 2 2 10 20 5 6" xfId="8332" xr:uid="{00000000-0005-0000-0000-000080200000}"/>
    <cellStyle name="Normal 2 2 10 20 5 7" xfId="8333" xr:uid="{00000000-0005-0000-0000-000081200000}"/>
    <cellStyle name="Normal 2 2 10 20 5 8" xfId="8334" xr:uid="{00000000-0005-0000-0000-000082200000}"/>
    <cellStyle name="Normal 2 2 10 20 5 9" xfId="8335" xr:uid="{00000000-0005-0000-0000-000083200000}"/>
    <cellStyle name="Normal 2 2 10 20 6" xfId="8336" xr:uid="{00000000-0005-0000-0000-000084200000}"/>
    <cellStyle name="Normal 2 2 10 20 7" xfId="8337" xr:uid="{00000000-0005-0000-0000-000085200000}"/>
    <cellStyle name="Normal 2 2 10 20 8" xfId="8338" xr:uid="{00000000-0005-0000-0000-000086200000}"/>
    <cellStyle name="Normal 2 2 10 20 9" xfId="8339" xr:uid="{00000000-0005-0000-0000-000087200000}"/>
    <cellStyle name="Normal 2 2 10 21" xfId="8340" xr:uid="{00000000-0005-0000-0000-000088200000}"/>
    <cellStyle name="Normal 2 2 10 21 10" xfId="8341" xr:uid="{00000000-0005-0000-0000-000089200000}"/>
    <cellStyle name="Normal 2 2 10 21 11" xfId="8342" xr:uid="{00000000-0005-0000-0000-00008A200000}"/>
    <cellStyle name="Normal 2 2 10 21 12" xfId="8343" xr:uid="{00000000-0005-0000-0000-00008B200000}"/>
    <cellStyle name="Normal 2 2 10 21 13" xfId="8344" xr:uid="{00000000-0005-0000-0000-00008C200000}"/>
    <cellStyle name="Normal 2 2 10 21 14" xfId="8345" xr:uid="{00000000-0005-0000-0000-00008D200000}"/>
    <cellStyle name="Normal 2 2 10 21 2" xfId="8346" xr:uid="{00000000-0005-0000-0000-00008E200000}"/>
    <cellStyle name="Normal 2 2 10 21 2 10" xfId="8347" xr:uid="{00000000-0005-0000-0000-00008F200000}"/>
    <cellStyle name="Normal 2 2 10 21 2 2" xfId="8348" xr:uid="{00000000-0005-0000-0000-000090200000}"/>
    <cellStyle name="Normal 2 2 10 21 2 3" xfId="8349" xr:uid="{00000000-0005-0000-0000-000091200000}"/>
    <cellStyle name="Normal 2 2 10 21 2 4" xfId="8350" xr:uid="{00000000-0005-0000-0000-000092200000}"/>
    <cellStyle name="Normal 2 2 10 21 2 5" xfId="8351" xr:uid="{00000000-0005-0000-0000-000093200000}"/>
    <cellStyle name="Normal 2 2 10 21 2 6" xfId="8352" xr:uid="{00000000-0005-0000-0000-000094200000}"/>
    <cellStyle name="Normal 2 2 10 21 2 7" xfId="8353" xr:uid="{00000000-0005-0000-0000-000095200000}"/>
    <cellStyle name="Normal 2 2 10 21 2 8" xfId="8354" xr:uid="{00000000-0005-0000-0000-000096200000}"/>
    <cellStyle name="Normal 2 2 10 21 2 9" xfId="8355" xr:uid="{00000000-0005-0000-0000-000097200000}"/>
    <cellStyle name="Normal 2 2 10 21 3" xfId="8356" xr:uid="{00000000-0005-0000-0000-000098200000}"/>
    <cellStyle name="Normal 2 2 10 21 3 10" xfId="8357" xr:uid="{00000000-0005-0000-0000-000099200000}"/>
    <cellStyle name="Normal 2 2 10 21 3 2" xfId="8358" xr:uid="{00000000-0005-0000-0000-00009A200000}"/>
    <cellStyle name="Normal 2 2 10 21 3 3" xfId="8359" xr:uid="{00000000-0005-0000-0000-00009B200000}"/>
    <cellStyle name="Normal 2 2 10 21 3 4" xfId="8360" xr:uid="{00000000-0005-0000-0000-00009C200000}"/>
    <cellStyle name="Normal 2 2 10 21 3 5" xfId="8361" xr:uid="{00000000-0005-0000-0000-00009D200000}"/>
    <cellStyle name="Normal 2 2 10 21 3 6" xfId="8362" xr:uid="{00000000-0005-0000-0000-00009E200000}"/>
    <cellStyle name="Normal 2 2 10 21 3 7" xfId="8363" xr:uid="{00000000-0005-0000-0000-00009F200000}"/>
    <cellStyle name="Normal 2 2 10 21 3 8" xfId="8364" xr:uid="{00000000-0005-0000-0000-0000A0200000}"/>
    <cellStyle name="Normal 2 2 10 21 3 9" xfId="8365" xr:uid="{00000000-0005-0000-0000-0000A1200000}"/>
    <cellStyle name="Normal 2 2 10 21 4" xfId="8366" xr:uid="{00000000-0005-0000-0000-0000A2200000}"/>
    <cellStyle name="Normal 2 2 10 21 4 10" xfId="8367" xr:uid="{00000000-0005-0000-0000-0000A3200000}"/>
    <cellStyle name="Normal 2 2 10 21 4 2" xfId="8368" xr:uid="{00000000-0005-0000-0000-0000A4200000}"/>
    <cellStyle name="Normal 2 2 10 21 4 3" xfId="8369" xr:uid="{00000000-0005-0000-0000-0000A5200000}"/>
    <cellStyle name="Normal 2 2 10 21 4 4" xfId="8370" xr:uid="{00000000-0005-0000-0000-0000A6200000}"/>
    <cellStyle name="Normal 2 2 10 21 4 5" xfId="8371" xr:uid="{00000000-0005-0000-0000-0000A7200000}"/>
    <cellStyle name="Normal 2 2 10 21 4 6" xfId="8372" xr:uid="{00000000-0005-0000-0000-0000A8200000}"/>
    <cellStyle name="Normal 2 2 10 21 4 7" xfId="8373" xr:uid="{00000000-0005-0000-0000-0000A9200000}"/>
    <cellStyle name="Normal 2 2 10 21 4 8" xfId="8374" xr:uid="{00000000-0005-0000-0000-0000AA200000}"/>
    <cellStyle name="Normal 2 2 10 21 4 9" xfId="8375" xr:uid="{00000000-0005-0000-0000-0000AB200000}"/>
    <cellStyle name="Normal 2 2 10 21 5" xfId="8376" xr:uid="{00000000-0005-0000-0000-0000AC200000}"/>
    <cellStyle name="Normal 2 2 10 21 5 10" xfId="8377" xr:uid="{00000000-0005-0000-0000-0000AD200000}"/>
    <cellStyle name="Normal 2 2 10 21 5 2" xfId="8378" xr:uid="{00000000-0005-0000-0000-0000AE200000}"/>
    <cellStyle name="Normal 2 2 10 21 5 3" xfId="8379" xr:uid="{00000000-0005-0000-0000-0000AF200000}"/>
    <cellStyle name="Normal 2 2 10 21 5 4" xfId="8380" xr:uid="{00000000-0005-0000-0000-0000B0200000}"/>
    <cellStyle name="Normal 2 2 10 21 5 5" xfId="8381" xr:uid="{00000000-0005-0000-0000-0000B1200000}"/>
    <cellStyle name="Normal 2 2 10 21 5 6" xfId="8382" xr:uid="{00000000-0005-0000-0000-0000B2200000}"/>
    <cellStyle name="Normal 2 2 10 21 5 7" xfId="8383" xr:uid="{00000000-0005-0000-0000-0000B3200000}"/>
    <cellStyle name="Normal 2 2 10 21 5 8" xfId="8384" xr:uid="{00000000-0005-0000-0000-0000B4200000}"/>
    <cellStyle name="Normal 2 2 10 21 5 9" xfId="8385" xr:uid="{00000000-0005-0000-0000-0000B5200000}"/>
    <cellStyle name="Normal 2 2 10 21 6" xfId="8386" xr:uid="{00000000-0005-0000-0000-0000B6200000}"/>
    <cellStyle name="Normal 2 2 10 21 7" xfId="8387" xr:uid="{00000000-0005-0000-0000-0000B7200000}"/>
    <cellStyle name="Normal 2 2 10 21 8" xfId="8388" xr:uid="{00000000-0005-0000-0000-0000B8200000}"/>
    <cellStyle name="Normal 2 2 10 21 9" xfId="8389" xr:uid="{00000000-0005-0000-0000-0000B9200000}"/>
    <cellStyle name="Normal 2 2 10 22" xfId="8390" xr:uid="{00000000-0005-0000-0000-0000BA200000}"/>
    <cellStyle name="Normal 2 2 10 22 10" xfId="8391" xr:uid="{00000000-0005-0000-0000-0000BB200000}"/>
    <cellStyle name="Normal 2 2 10 22 11" xfId="8392" xr:uid="{00000000-0005-0000-0000-0000BC200000}"/>
    <cellStyle name="Normal 2 2 10 22 12" xfId="8393" xr:uid="{00000000-0005-0000-0000-0000BD200000}"/>
    <cellStyle name="Normal 2 2 10 22 13" xfId="8394" xr:uid="{00000000-0005-0000-0000-0000BE200000}"/>
    <cellStyle name="Normal 2 2 10 22 14" xfId="8395" xr:uid="{00000000-0005-0000-0000-0000BF200000}"/>
    <cellStyle name="Normal 2 2 10 22 2" xfId="8396" xr:uid="{00000000-0005-0000-0000-0000C0200000}"/>
    <cellStyle name="Normal 2 2 10 22 2 10" xfId="8397" xr:uid="{00000000-0005-0000-0000-0000C1200000}"/>
    <cellStyle name="Normal 2 2 10 22 2 2" xfId="8398" xr:uid="{00000000-0005-0000-0000-0000C2200000}"/>
    <cellStyle name="Normal 2 2 10 22 2 3" xfId="8399" xr:uid="{00000000-0005-0000-0000-0000C3200000}"/>
    <cellStyle name="Normal 2 2 10 22 2 4" xfId="8400" xr:uid="{00000000-0005-0000-0000-0000C4200000}"/>
    <cellStyle name="Normal 2 2 10 22 2 5" xfId="8401" xr:uid="{00000000-0005-0000-0000-0000C5200000}"/>
    <cellStyle name="Normal 2 2 10 22 2 6" xfId="8402" xr:uid="{00000000-0005-0000-0000-0000C6200000}"/>
    <cellStyle name="Normal 2 2 10 22 2 7" xfId="8403" xr:uid="{00000000-0005-0000-0000-0000C7200000}"/>
    <cellStyle name="Normal 2 2 10 22 2 8" xfId="8404" xr:uid="{00000000-0005-0000-0000-0000C8200000}"/>
    <cellStyle name="Normal 2 2 10 22 2 9" xfId="8405" xr:uid="{00000000-0005-0000-0000-0000C9200000}"/>
    <cellStyle name="Normal 2 2 10 22 3" xfId="8406" xr:uid="{00000000-0005-0000-0000-0000CA200000}"/>
    <cellStyle name="Normal 2 2 10 22 3 10" xfId="8407" xr:uid="{00000000-0005-0000-0000-0000CB200000}"/>
    <cellStyle name="Normal 2 2 10 22 3 2" xfId="8408" xr:uid="{00000000-0005-0000-0000-0000CC200000}"/>
    <cellStyle name="Normal 2 2 10 22 3 3" xfId="8409" xr:uid="{00000000-0005-0000-0000-0000CD200000}"/>
    <cellStyle name="Normal 2 2 10 22 3 4" xfId="8410" xr:uid="{00000000-0005-0000-0000-0000CE200000}"/>
    <cellStyle name="Normal 2 2 10 22 3 5" xfId="8411" xr:uid="{00000000-0005-0000-0000-0000CF200000}"/>
    <cellStyle name="Normal 2 2 10 22 3 6" xfId="8412" xr:uid="{00000000-0005-0000-0000-0000D0200000}"/>
    <cellStyle name="Normal 2 2 10 22 3 7" xfId="8413" xr:uid="{00000000-0005-0000-0000-0000D1200000}"/>
    <cellStyle name="Normal 2 2 10 22 3 8" xfId="8414" xr:uid="{00000000-0005-0000-0000-0000D2200000}"/>
    <cellStyle name="Normal 2 2 10 22 3 9" xfId="8415" xr:uid="{00000000-0005-0000-0000-0000D3200000}"/>
    <cellStyle name="Normal 2 2 10 22 4" xfId="8416" xr:uid="{00000000-0005-0000-0000-0000D4200000}"/>
    <cellStyle name="Normal 2 2 10 22 4 10" xfId="8417" xr:uid="{00000000-0005-0000-0000-0000D5200000}"/>
    <cellStyle name="Normal 2 2 10 22 4 2" xfId="8418" xr:uid="{00000000-0005-0000-0000-0000D6200000}"/>
    <cellStyle name="Normal 2 2 10 22 4 3" xfId="8419" xr:uid="{00000000-0005-0000-0000-0000D7200000}"/>
    <cellStyle name="Normal 2 2 10 22 4 4" xfId="8420" xr:uid="{00000000-0005-0000-0000-0000D8200000}"/>
    <cellStyle name="Normal 2 2 10 22 4 5" xfId="8421" xr:uid="{00000000-0005-0000-0000-0000D9200000}"/>
    <cellStyle name="Normal 2 2 10 22 4 6" xfId="8422" xr:uid="{00000000-0005-0000-0000-0000DA200000}"/>
    <cellStyle name="Normal 2 2 10 22 4 7" xfId="8423" xr:uid="{00000000-0005-0000-0000-0000DB200000}"/>
    <cellStyle name="Normal 2 2 10 22 4 8" xfId="8424" xr:uid="{00000000-0005-0000-0000-0000DC200000}"/>
    <cellStyle name="Normal 2 2 10 22 4 9" xfId="8425" xr:uid="{00000000-0005-0000-0000-0000DD200000}"/>
    <cellStyle name="Normal 2 2 10 22 5" xfId="8426" xr:uid="{00000000-0005-0000-0000-0000DE200000}"/>
    <cellStyle name="Normal 2 2 10 22 5 10" xfId="8427" xr:uid="{00000000-0005-0000-0000-0000DF200000}"/>
    <cellStyle name="Normal 2 2 10 22 5 2" xfId="8428" xr:uid="{00000000-0005-0000-0000-0000E0200000}"/>
    <cellStyle name="Normal 2 2 10 22 5 3" xfId="8429" xr:uid="{00000000-0005-0000-0000-0000E1200000}"/>
    <cellStyle name="Normal 2 2 10 22 5 4" xfId="8430" xr:uid="{00000000-0005-0000-0000-0000E2200000}"/>
    <cellStyle name="Normal 2 2 10 22 5 5" xfId="8431" xr:uid="{00000000-0005-0000-0000-0000E3200000}"/>
    <cellStyle name="Normal 2 2 10 22 5 6" xfId="8432" xr:uid="{00000000-0005-0000-0000-0000E4200000}"/>
    <cellStyle name="Normal 2 2 10 22 5 7" xfId="8433" xr:uid="{00000000-0005-0000-0000-0000E5200000}"/>
    <cellStyle name="Normal 2 2 10 22 5 8" xfId="8434" xr:uid="{00000000-0005-0000-0000-0000E6200000}"/>
    <cellStyle name="Normal 2 2 10 22 5 9" xfId="8435" xr:uid="{00000000-0005-0000-0000-0000E7200000}"/>
    <cellStyle name="Normal 2 2 10 22 6" xfId="8436" xr:uid="{00000000-0005-0000-0000-0000E8200000}"/>
    <cellStyle name="Normal 2 2 10 22 7" xfId="8437" xr:uid="{00000000-0005-0000-0000-0000E9200000}"/>
    <cellStyle name="Normal 2 2 10 22 8" xfId="8438" xr:uid="{00000000-0005-0000-0000-0000EA200000}"/>
    <cellStyle name="Normal 2 2 10 22 9" xfId="8439" xr:uid="{00000000-0005-0000-0000-0000EB200000}"/>
    <cellStyle name="Normal 2 2 10 23" xfId="8440" xr:uid="{00000000-0005-0000-0000-0000EC200000}"/>
    <cellStyle name="Normal 2 2 10 23 10" xfId="8441" xr:uid="{00000000-0005-0000-0000-0000ED200000}"/>
    <cellStyle name="Normal 2 2 10 23 11" xfId="8442" xr:uid="{00000000-0005-0000-0000-0000EE200000}"/>
    <cellStyle name="Normal 2 2 10 23 12" xfId="8443" xr:uid="{00000000-0005-0000-0000-0000EF200000}"/>
    <cellStyle name="Normal 2 2 10 23 13" xfId="8444" xr:uid="{00000000-0005-0000-0000-0000F0200000}"/>
    <cellStyle name="Normal 2 2 10 23 14" xfId="8445" xr:uid="{00000000-0005-0000-0000-0000F1200000}"/>
    <cellStyle name="Normal 2 2 10 23 2" xfId="8446" xr:uid="{00000000-0005-0000-0000-0000F2200000}"/>
    <cellStyle name="Normal 2 2 10 23 2 10" xfId="8447" xr:uid="{00000000-0005-0000-0000-0000F3200000}"/>
    <cellStyle name="Normal 2 2 10 23 2 2" xfId="8448" xr:uid="{00000000-0005-0000-0000-0000F4200000}"/>
    <cellStyle name="Normal 2 2 10 23 2 3" xfId="8449" xr:uid="{00000000-0005-0000-0000-0000F5200000}"/>
    <cellStyle name="Normal 2 2 10 23 2 4" xfId="8450" xr:uid="{00000000-0005-0000-0000-0000F6200000}"/>
    <cellStyle name="Normal 2 2 10 23 2 5" xfId="8451" xr:uid="{00000000-0005-0000-0000-0000F7200000}"/>
    <cellStyle name="Normal 2 2 10 23 2 6" xfId="8452" xr:uid="{00000000-0005-0000-0000-0000F8200000}"/>
    <cellStyle name="Normal 2 2 10 23 2 7" xfId="8453" xr:uid="{00000000-0005-0000-0000-0000F9200000}"/>
    <cellStyle name="Normal 2 2 10 23 2 8" xfId="8454" xr:uid="{00000000-0005-0000-0000-0000FA200000}"/>
    <cellStyle name="Normal 2 2 10 23 2 9" xfId="8455" xr:uid="{00000000-0005-0000-0000-0000FB200000}"/>
    <cellStyle name="Normal 2 2 10 23 3" xfId="8456" xr:uid="{00000000-0005-0000-0000-0000FC200000}"/>
    <cellStyle name="Normal 2 2 10 23 3 10" xfId="8457" xr:uid="{00000000-0005-0000-0000-0000FD200000}"/>
    <cellStyle name="Normal 2 2 10 23 3 2" xfId="8458" xr:uid="{00000000-0005-0000-0000-0000FE200000}"/>
    <cellStyle name="Normal 2 2 10 23 3 3" xfId="8459" xr:uid="{00000000-0005-0000-0000-0000FF200000}"/>
    <cellStyle name="Normal 2 2 10 23 3 4" xfId="8460" xr:uid="{00000000-0005-0000-0000-000000210000}"/>
    <cellStyle name="Normal 2 2 10 23 3 5" xfId="8461" xr:uid="{00000000-0005-0000-0000-000001210000}"/>
    <cellStyle name="Normal 2 2 10 23 3 6" xfId="8462" xr:uid="{00000000-0005-0000-0000-000002210000}"/>
    <cellStyle name="Normal 2 2 10 23 3 7" xfId="8463" xr:uid="{00000000-0005-0000-0000-000003210000}"/>
    <cellStyle name="Normal 2 2 10 23 3 8" xfId="8464" xr:uid="{00000000-0005-0000-0000-000004210000}"/>
    <cellStyle name="Normal 2 2 10 23 3 9" xfId="8465" xr:uid="{00000000-0005-0000-0000-000005210000}"/>
    <cellStyle name="Normal 2 2 10 23 4" xfId="8466" xr:uid="{00000000-0005-0000-0000-000006210000}"/>
    <cellStyle name="Normal 2 2 10 23 4 10" xfId="8467" xr:uid="{00000000-0005-0000-0000-000007210000}"/>
    <cellStyle name="Normal 2 2 10 23 4 2" xfId="8468" xr:uid="{00000000-0005-0000-0000-000008210000}"/>
    <cellStyle name="Normal 2 2 10 23 4 3" xfId="8469" xr:uid="{00000000-0005-0000-0000-000009210000}"/>
    <cellStyle name="Normal 2 2 10 23 4 4" xfId="8470" xr:uid="{00000000-0005-0000-0000-00000A210000}"/>
    <cellStyle name="Normal 2 2 10 23 4 5" xfId="8471" xr:uid="{00000000-0005-0000-0000-00000B210000}"/>
    <cellStyle name="Normal 2 2 10 23 4 6" xfId="8472" xr:uid="{00000000-0005-0000-0000-00000C210000}"/>
    <cellStyle name="Normal 2 2 10 23 4 7" xfId="8473" xr:uid="{00000000-0005-0000-0000-00000D210000}"/>
    <cellStyle name="Normal 2 2 10 23 4 8" xfId="8474" xr:uid="{00000000-0005-0000-0000-00000E210000}"/>
    <cellStyle name="Normal 2 2 10 23 4 9" xfId="8475" xr:uid="{00000000-0005-0000-0000-00000F210000}"/>
    <cellStyle name="Normal 2 2 10 23 5" xfId="8476" xr:uid="{00000000-0005-0000-0000-000010210000}"/>
    <cellStyle name="Normal 2 2 10 23 5 10" xfId="8477" xr:uid="{00000000-0005-0000-0000-000011210000}"/>
    <cellStyle name="Normal 2 2 10 23 5 2" xfId="8478" xr:uid="{00000000-0005-0000-0000-000012210000}"/>
    <cellStyle name="Normal 2 2 10 23 5 3" xfId="8479" xr:uid="{00000000-0005-0000-0000-000013210000}"/>
    <cellStyle name="Normal 2 2 10 23 5 4" xfId="8480" xr:uid="{00000000-0005-0000-0000-000014210000}"/>
    <cellStyle name="Normal 2 2 10 23 5 5" xfId="8481" xr:uid="{00000000-0005-0000-0000-000015210000}"/>
    <cellStyle name="Normal 2 2 10 23 5 6" xfId="8482" xr:uid="{00000000-0005-0000-0000-000016210000}"/>
    <cellStyle name="Normal 2 2 10 23 5 7" xfId="8483" xr:uid="{00000000-0005-0000-0000-000017210000}"/>
    <cellStyle name="Normal 2 2 10 23 5 8" xfId="8484" xr:uid="{00000000-0005-0000-0000-000018210000}"/>
    <cellStyle name="Normal 2 2 10 23 5 9" xfId="8485" xr:uid="{00000000-0005-0000-0000-000019210000}"/>
    <cellStyle name="Normal 2 2 10 23 6" xfId="8486" xr:uid="{00000000-0005-0000-0000-00001A210000}"/>
    <cellStyle name="Normal 2 2 10 23 7" xfId="8487" xr:uid="{00000000-0005-0000-0000-00001B210000}"/>
    <cellStyle name="Normal 2 2 10 23 8" xfId="8488" xr:uid="{00000000-0005-0000-0000-00001C210000}"/>
    <cellStyle name="Normal 2 2 10 23 9" xfId="8489" xr:uid="{00000000-0005-0000-0000-00001D210000}"/>
    <cellStyle name="Normal 2 2 10 24" xfId="8490" xr:uid="{00000000-0005-0000-0000-00001E210000}"/>
    <cellStyle name="Normal 2 2 10 24 10" xfId="8491" xr:uid="{00000000-0005-0000-0000-00001F210000}"/>
    <cellStyle name="Normal 2 2 10 24 11" xfId="8492" xr:uid="{00000000-0005-0000-0000-000020210000}"/>
    <cellStyle name="Normal 2 2 10 24 12" xfId="8493" xr:uid="{00000000-0005-0000-0000-000021210000}"/>
    <cellStyle name="Normal 2 2 10 24 13" xfId="8494" xr:uid="{00000000-0005-0000-0000-000022210000}"/>
    <cellStyle name="Normal 2 2 10 24 14" xfId="8495" xr:uid="{00000000-0005-0000-0000-000023210000}"/>
    <cellStyle name="Normal 2 2 10 24 2" xfId="8496" xr:uid="{00000000-0005-0000-0000-000024210000}"/>
    <cellStyle name="Normal 2 2 10 24 2 10" xfId="8497" xr:uid="{00000000-0005-0000-0000-000025210000}"/>
    <cellStyle name="Normal 2 2 10 24 2 2" xfId="8498" xr:uid="{00000000-0005-0000-0000-000026210000}"/>
    <cellStyle name="Normal 2 2 10 24 2 3" xfId="8499" xr:uid="{00000000-0005-0000-0000-000027210000}"/>
    <cellStyle name="Normal 2 2 10 24 2 4" xfId="8500" xr:uid="{00000000-0005-0000-0000-000028210000}"/>
    <cellStyle name="Normal 2 2 10 24 2 5" xfId="8501" xr:uid="{00000000-0005-0000-0000-000029210000}"/>
    <cellStyle name="Normal 2 2 10 24 2 6" xfId="8502" xr:uid="{00000000-0005-0000-0000-00002A210000}"/>
    <cellStyle name="Normal 2 2 10 24 2 7" xfId="8503" xr:uid="{00000000-0005-0000-0000-00002B210000}"/>
    <cellStyle name="Normal 2 2 10 24 2 8" xfId="8504" xr:uid="{00000000-0005-0000-0000-00002C210000}"/>
    <cellStyle name="Normal 2 2 10 24 2 9" xfId="8505" xr:uid="{00000000-0005-0000-0000-00002D210000}"/>
    <cellStyle name="Normal 2 2 10 24 3" xfId="8506" xr:uid="{00000000-0005-0000-0000-00002E210000}"/>
    <cellStyle name="Normal 2 2 10 24 3 10" xfId="8507" xr:uid="{00000000-0005-0000-0000-00002F210000}"/>
    <cellStyle name="Normal 2 2 10 24 3 2" xfId="8508" xr:uid="{00000000-0005-0000-0000-000030210000}"/>
    <cellStyle name="Normal 2 2 10 24 3 3" xfId="8509" xr:uid="{00000000-0005-0000-0000-000031210000}"/>
    <cellStyle name="Normal 2 2 10 24 3 4" xfId="8510" xr:uid="{00000000-0005-0000-0000-000032210000}"/>
    <cellStyle name="Normal 2 2 10 24 3 5" xfId="8511" xr:uid="{00000000-0005-0000-0000-000033210000}"/>
    <cellStyle name="Normal 2 2 10 24 3 6" xfId="8512" xr:uid="{00000000-0005-0000-0000-000034210000}"/>
    <cellStyle name="Normal 2 2 10 24 3 7" xfId="8513" xr:uid="{00000000-0005-0000-0000-000035210000}"/>
    <cellStyle name="Normal 2 2 10 24 3 8" xfId="8514" xr:uid="{00000000-0005-0000-0000-000036210000}"/>
    <cellStyle name="Normal 2 2 10 24 3 9" xfId="8515" xr:uid="{00000000-0005-0000-0000-000037210000}"/>
    <cellStyle name="Normal 2 2 10 24 4" xfId="8516" xr:uid="{00000000-0005-0000-0000-000038210000}"/>
    <cellStyle name="Normal 2 2 10 24 4 10" xfId="8517" xr:uid="{00000000-0005-0000-0000-000039210000}"/>
    <cellStyle name="Normal 2 2 10 24 4 2" xfId="8518" xr:uid="{00000000-0005-0000-0000-00003A210000}"/>
    <cellStyle name="Normal 2 2 10 24 4 3" xfId="8519" xr:uid="{00000000-0005-0000-0000-00003B210000}"/>
    <cellStyle name="Normal 2 2 10 24 4 4" xfId="8520" xr:uid="{00000000-0005-0000-0000-00003C210000}"/>
    <cellStyle name="Normal 2 2 10 24 4 5" xfId="8521" xr:uid="{00000000-0005-0000-0000-00003D210000}"/>
    <cellStyle name="Normal 2 2 10 24 4 6" xfId="8522" xr:uid="{00000000-0005-0000-0000-00003E210000}"/>
    <cellStyle name="Normal 2 2 10 24 4 7" xfId="8523" xr:uid="{00000000-0005-0000-0000-00003F210000}"/>
    <cellStyle name="Normal 2 2 10 24 4 8" xfId="8524" xr:uid="{00000000-0005-0000-0000-000040210000}"/>
    <cellStyle name="Normal 2 2 10 24 4 9" xfId="8525" xr:uid="{00000000-0005-0000-0000-000041210000}"/>
    <cellStyle name="Normal 2 2 10 24 5" xfId="8526" xr:uid="{00000000-0005-0000-0000-000042210000}"/>
    <cellStyle name="Normal 2 2 10 24 5 10" xfId="8527" xr:uid="{00000000-0005-0000-0000-000043210000}"/>
    <cellStyle name="Normal 2 2 10 24 5 2" xfId="8528" xr:uid="{00000000-0005-0000-0000-000044210000}"/>
    <cellStyle name="Normal 2 2 10 24 5 3" xfId="8529" xr:uid="{00000000-0005-0000-0000-000045210000}"/>
    <cellStyle name="Normal 2 2 10 24 5 4" xfId="8530" xr:uid="{00000000-0005-0000-0000-000046210000}"/>
    <cellStyle name="Normal 2 2 10 24 5 5" xfId="8531" xr:uid="{00000000-0005-0000-0000-000047210000}"/>
    <cellStyle name="Normal 2 2 10 24 5 6" xfId="8532" xr:uid="{00000000-0005-0000-0000-000048210000}"/>
    <cellStyle name="Normal 2 2 10 24 5 7" xfId="8533" xr:uid="{00000000-0005-0000-0000-000049210000}"/>
    <cellStyle name="Normal 2 2 10 24 5 8" xfId="8534" xr:uid="{00000000-0005-0000-0000-00004A210000}"/>
    <cellStyle name="Normal 2 2 10 24 5 9" xfId="8535" xr:uid="{00000000-0005-0000-0000-00004B210000}"/>
    <cellStyle name="Normal 2 2 10 24 6" xfId="8536" xr:uid="{00000000-0005-0000-0000-00004C210000}"/>
    <cellStyle name="Normal 2 2 10 24 7" xfId="8537" xr:uid="{00000000-0005-0000-0000-00004D210000}"/>
    <cellStyle name="Normal 2 2 10 24 8" xfId="8538" xr:uid="{00000000-0005-0000-0000-00004E210000}"/>
    <cellStyle name="Normal 2 2 10 24 9" xfId="8539" xr:uid="{00000000-0005-0000-0000-00004F210000}"/>
    <cellStyle name="Normal 2 2 10 25" xfId="8540" xr:uid="{00000000-0005-0000-0000-000050210000}"/>
    <cellStyle name="Normal 2 2 10 25 10" xfId="8541" xr:uid="{00000000-0005-0000-0000-000051210000}"/>
    <cellStyle name="Normal 2 2 10 25 11" xfId="8542" xr:uid="{00000000-0005-0000-0000-000052210000}"/>
    <cellStyle name="Normal 2 2 10 25 12" xfId="8543" xr:uid="{00000000-0005-0000-0000-000053210000}"/>
    <cellStyle name="Normal 2 2 10 25 13" xfId="8544" xr:uid="{00000000-0005-0000-0000-000054210000}"/>
    <cellStyle name="Normal 2 2 10 25 14" xfId="8545" xr:uid="{00000000-0005-0000-0000-000055210000}"/>
    <cellStyle name="Normal 2 2 10 25 2" xfId="8546" xr:uid="{00000000-0005-0000-0000-000056210000}"/>
    <cellStyle name="Normal 2 2 10 25 2 10" xfId="8547" xr:uid="{00000000-0005-0000-0000-000057210000}"/>
    <cellStyle name="Normal 2 2 10 25 2 2" xfId="8548" xr:uid="{00000000-0005-0000-0000-000058210000}"/>
    <cellStyle name="Normal 2 2 10 25 2 3" xfId="8549" xr:uid="{00000000-0005-0000-0000-000059210000}"/>
    <cellStyle name="Normal 2 2 10 25 2 4" xfId="8550" xr:uid="{00000000-0005-0000-0000-00005A210000}"/>
    <cellStyle name="Normal 2 2 10 25 2 5" xfId="8551" xr:uid="{00000000-0005-0000-0000-00005B210000}"/>
    <cellStyle name="Normal 2 2 10 25 2 6" xfId="8552" xr:uid="{00000000-0005-0000-0000-00005C210000}"/>
    <cellStyle name="Normal 2 2 10 25 2 7" xfId="8553" xr:uid="{00000000-0005-0000-0000-00005D210000}"/>
    <cellStyle name="Normal 2 2 10 25 2 8" xfId="8554" xr:uid="{00000000-0005-0000-0000-00005E210000}"/>
    <cellStyle name="Normal 2 2 10 25 2 9" xfId="8555" xr:uid="{00000000-0005-0000-0000-00005F210000}"/>
    <cellStyle name="Normal 2 2 10 25 3" xfId="8556" xr:uid="{00000000-0005-0000-0000-000060210000}"/>
    <cellStyle name="Normal 2 2 10 25 3 10" xfId="8557" xr:uid="{00000000-0005-0000-0000-000061210000}"/>
    <cellStyle name="Normal 2 2 10 25 3 2" xfId="8558" xr:uid="{00000000-0005-0000-0000-000062210000}"/>
    <cellStyle name="Normal 2 2 10 25 3 3" xfId="8559" xr:uid="{00000000-0005-0000-0000-000063210000}"/>
    <cellStyle name="Normal 2 2 10 25 3 4" xfId="8560" xr:uid="{00000000-0005-0000-0000-000064210000}"/>
    <cellStyle name="Normal 2 2 10 25 3 5" xfId="8561" xr:uid="{00000000-0005-0000-0000-000065210000}"/>
    <cellStyle name="Normal 2 2 10 25 3 6" xfId="8562" xr:uid="{00000000-0005-0000-0000-000066210000}"/>
    <cellStyle name="Normal 2 2 10 25 3 7" xfId="8563" xr:uid="{00000000-0005-0000-0000-000067210000}"/>
    <cellStyle name="Normal 2 2 10 25 3 8" xfId="8564" xr:uid="{00000000-0005-0000-0000-000068210000}"/>
    <cellStyle name="Normal 2 2 10 25 3 9" xfId="8565" xr:uid="{00000000-0005-0000-0000-000069210000}"/>
    <cellStyle name="Normal 2 2 10 25 4" xfId="8566" xr:uid="{00000000-0005-0000-0000-00006A210000}"/>
    <cellStyle name="Normal 2 2 10 25 4 10" xfId="8567" xr:uid="{00000000-0005-0000-0000-00006B210000}"/>
    <cellStyle name="Normal 2 2 10 25 4 2" xfId="8568" xr:uid="{00000000-0005-0000-0000-00006C210000}"/>
    <cellStyle name="Normal 2 2 10 25 4 3" xfId="8569" xr:uid="{00000000-0005-0000-0000-00006D210000}"/>
    <cellStyle name="Normal 2 2 10 25 4 4" xfId="8570" xr:uid="{00000000-0005-0000-0000-00006E210000}"/>
    <cellStyle name="Normal 2 2 10 25 4 5" xfId="8571" xr:uid="{00000000-0005-0000-0000-00006F210000}"/>
    <cellStyle name="Normal 2 2 10 25 4 6" xfId="8572" xr:uid="{00000000-0005-0000-0000-000070210000}"/>
    <cellStyle name="Normal 2 2 10 25 4 7" xfId="8573" xr:uid="{00000000-0005-0000-0000-000071210000}"/>
    <cellStyle name="Normal 2 2 10 25 4 8" xfId="8574" xr:uid="{00000000-0005-0000-0000-000072210000}"/>
    <cellStyle name="Normal 2 2 10 25 4 9" xfId="8575" xr:uid="{00000000-0005-0000-0000-000073210000}"/>
    <cellStyle name="Normal 2 2 10 25 5" xfId="8576" xr:uid="{00000000-0005-0000-0000-000074210000}"/>
    <cellStyle name="Normal 2 2 10 25 5 10" xfId="8577" xr:uid="{00000000-0005-0000-0000-000075210000}"/>
    <cellStyle name="Normal 2 2 10 25 5 2" xfId="8578" xr:uid="{00000000-0005-0000-0000-000076210000}"/>
    <cellStyle name="Normal 2 2 10 25 5 3" xfId="8579" xr:uid="{00000000-0005-0000-0000-000077210000}"/>
    <cellStyle name="Normal 2 2 10 25 5 4" xfId="8580" xr:uid="{00000000-0005-0000-0000-000078210000}"/>
    <cellStyle name="Normal 2 2 10 25 5 5" xfId="8581" xr:uid="{00000000-0005-0000-0000-000079210000}"/>
    <cellStyle name="Normal 2 2 10 25 5 6" xfId="8582" xr:uid="{00000000-0005-0000-0000-00007A210000}"/>
    <cellStyle name="Normal 2 2 10 25 5 7" xfId="8583" xr:uid="{00000000-0005-0000-0000-00007B210000}"/>
    <cellStyle name="Normal 2 2 10 25 5 8" xfId="8584" xr:uid="{00000000-0005-0000-0000-00007C210000}"/>
    <cellStyle name="Normal 2 2 10 25 5 9" xfId="8585" xr:uid="{00000000-0005-0000-0000-00007D210000}"/>
    <cellStyle name="Normal 2 2 10 25 6" xfId="8586" xr:uid="{00000000-0005-0000-0000-00007E210000}"/>
    <cellStyle name="Normal 2 2 10 25 7" xfId="8587" xr:uid="{00000000-0005-0000-0000-00007F210000}"/>
    <cellStyle name="Normal 2 2 10 25 8" xfId="8588" xr:uid="{00000000-0005-0000-0000-000080210000}"/>
    <cellStyle name="Normal 2 2 10 25 9" xfId="8589" xr:uid="{00000000-0005-0000-0000-000081210000}"/>
    <cellStyle name="Normal 2 2 10 26" xfId="8590" xr:uid="{00000000-0005-0000-0000-000082210000}"/>
    <cellStyle name="Normal 2 2 10 26 10" xfId="8591" xr:uid="{00000000-0005-0000-0000-000083210000}"/>
    <cellStyle name="Normal 2 2 10 26 11" xfId="8592" xr:uid="{00000000-0005-0000-0000-000084210000}"/>
    <cellStyle name="Normal 2 2 10 26 12" xfId="8593" xr:uid="{00000000-0005-0000-0000-000085210000}"/>
    <cellStyle name="Normal 2 2 10 26 13" xfId="8594" xr:uid="{00000000-0005-0000-0000-000086210000}"/>
    <cellStyle name="Normal 2 2 10 26 14" xfId="8595" xr:uid="{00000000-0005-0000-0000-000087210000}"/>
    <cellStyle name="Normal 2 2 10 26 2" xfId="8596" xr:uid="{00000000-0005-0000-0000-000088210000}"/>
    <cellStyle name="Normal 2 2 10 26 2 10" xfId="8597" xr:uid="{00000000-0005-0000-0000-000089210000}"/>
    <cellStyle name="Normal 2 2 10 26 2 2" xfId="8598" xr:uid="{00000000-0005-0000-0000-00008A210000}"/>
    <cellStyle name="Normal 2 2 10 26 2 3" xfId="8599" xr:uid="{00000000-0005-0000-0000-00008B210000}"/>
    <cellStyle name="Normal 2 2 10 26 2 4" xfId="8600" xr:uid="{00000000-0005-0000-0000-00008C210000}"/>
    <cellStyle name="Normal 2 2 10 26 2 5" xfId="8601" xr:uid="{00000000-0005-0000-0000-00008D210000}"/>
    <cellStyle name="Normal 2 2 10 26 2 6" xfId="8602" xr:uid="{00000000-0005-0000-0000-00008E210000}"/>
    <cellStyle name="Normal 2 2 10 26 2 7" xfId="8603" xr:uid="{00000000-0005-0000-0000-00008F210000}"/>
    <cellStyle name="Normal 2 2 10 26 2 8" xfId="8604" xr:uid="{00000000-0005-0000-0000-000090210000}"/>
    <cellStyle name="Normal 2 2 10 26 2 9" xfId="8605" xr:uid="{00000000-0005-0000-0000-000091210000}"/>
    <cellStyle name="Normal 2 2 10 26 3" xfId="8606" xr:uid="{00000000-0005-0000-0000-000092210000}"/>
    <cellStyle name="Normal 2 2 10 26 3 10" xfId="8607" xr:uid="{00000000-0005-0000-0000-000093210000}"/>
    <cellStyle name="Normal 2 2 10 26 3 2" xfId="8608" xr:uid="{00000000-0005-0000-0000-000094210000}"/>
    <cellStyle name="Normal 2 2 10 26 3 3" xfId="8609" xr:uid="{00000000-0005-0000-0000-000095210000}"/>
    <cellStyle name="Normal 2 2 10 26 3 4" xfId="8610" xr:uid="{00000000-0005-0000-0000-000096210000}"/>
    <cellStyle name="Normal 2 2 10 26 3 5" xfId="8611" xr:uid="{00000000-0005-0000-0000-000097210000}"/>
    <cellStyle name="Normal 2 2 10 26 3 6" xfId="8612" xr:uid="{00000000-0005-0000-0000-000098210000}"/>
    <cellStyle name="Normal 2 2 10 26 3 7" xfId="8613" xr:uid="{00000000-0005-0000-0000-000099210000}"/>
    <cellStyle name="Normal 2 2 10 26 3 8" xfId="8614" xr:uid="{00000000-0005-0000-0000-00009A210000}"/>
    <cellStyle name="Normal 2 2 10 26 3 9" xfId="8615" xr:uid="{00000000-0005-0000-0000-00009B210000}"/>
    <cellStyle name="Normal 2 2 10 26 4" xfId="8616" xr:uid="{00000000-0005-0000-0000-00009C210000}"/>
    <cellStyle name="Normal 2 2 10 26 4 10" xfId="8617" xr:uid="{00000000-0005-0000-0000-00009D210000}"/>
    <cellStyle name="Normal 2 2 10 26 4 2" xfId="8618" xr:uid="{00000000-0005-0000-0000-00009E210000}"/>
    <cellStyle name="Normal 2 2 10 26 4 3" xfId="8619" xr:uid="{00000000-0005-0000-0000-00009F210000}"/>
    <cellStyle name="Normal 2 2 10 26 4 4" xfId="8620" xr:uid="{00000000-0005-0000-0000-0000A0210000}"/>
    <cellStyle name="Normal 2 2 10 26 4 5" xfId="8621" xr:uid="{00000000-0005-0000-0000-0000A1210000}"/>
    <cellStyle name="Normal 2 2 10 26 4 6" xfId="8622" xr:uid="{00000000-0005-0000-0000-0000A2210000}"/>
    <cellStyle name="Normal 2 2 10 26 4 7" xfId="8623" xr:uid="{00000000-0005-0000-0000-0000A3210000}"/>
    <cellStyle name="Normal 2 2 10 26 4 8" xfId="8624" xr:uid="{00000000-0005-0000-0000-0000A4210000}"/>
    <cellStyle name="Normal 2 2 10 26 4 9" xfId="8625" xr:uid="{00000000-0005-0000-0000-0000A5210000}"/>
    <cellStyle name="Normal 2 2 10 26 5" xfId="8626" xr:uid="{00000000-0005-0000-0000-0000A6210000}"/>
    <cellStyle name="Normal 2 2 10 26 5 10" xfId="8627" xr:uid="{00000000-0005-0000-0000-0000A7210000}"/>
    <cellStyle name="Normal 2 2 10 26 5 2" xfId="8628" xr:uid="{00000000-0005-0000-0000-0000A8210000}"/>
    <cellStyle name="Normal 2 2 10 26 5 3" xfId="8629" xr:uid="{00000000-0005-0000-0000-0000A9210000}"/>
    <cellStyle name="Normal 2 2 10 26 5 4" xfId="8630" xr:uid="{00000000-0005-0000-0000-0000AA210000}"/>
    <cellStyle name="Normal 2 2 10 26 5 5" xfId="8631" xr:uid="{00000000-0005-0000-0000-0000AB210000}"/>
    <cellStyle name="Normal 2 2 10 26 5 6" xfId="8632" xr:uid="{00000000-0005-0000-0000-0000AC210000}"/>
    <cellStyle name="Normal 2 2 10 26 5 7" xfId="8633" xr:uid="{00000000-0005-0000-0000-0000AD210000}"/>
    <cellStyle name="Normal 2 2 10 26 5 8" xfId="8634" xr:uid="{00000000-0005-0000-0000-0000AE210000}"/>
    <cellStyle name="Normal 2 2 10 26 5 9" xfId="8635" xr:uid="{00000000-0005-0000-0000-0000AF210000}"/>
    <cellStyle name="Normal 2 2 10 26 6" xfId="8636" xr:uid="{00000000-0005-0000-0000-0000B0210000}"/>
    <cellStyle name="Normal 2 2 10 26 7" xfId="8637" xr:uid="{00000000-0005-0000-0000-0000B1210000}"/>
    <cellStyle name="Normal 2 2 10 26 8" xfId="8638" xr:uid="{00000000-0005-0000-0000-0000B2210000}"/>
    <cellStyle name="Normal 2 2 10 26 9" xfId="8639" xr:uid="{00000000-0005-0000-0000-0000B3210000}"/>
    <cellStyle name="Normal 2 2 10 27" xfId="8640" xr:uid="{00000000-0005-0000-0000-0000B4210000}"/>
    <cellStyle name="Normal 2 2 10 27 10" xfId="8641" xr:uid="{00000000-0005-0000-0000-0000B5210000}"/>
    <cellStyle name="Normal 2 2 10 27 11" xfId="8642" xr:uid="{00000000-0005-0000-0000-0000B6210000}"/>
    <cellStyle name="Normal 2 2 10 27 12" xfId="8643" xr:uid="{00000000-0005-0000-0000-0000B7210000}"/>
    <cellStyle name="Normal 2 2 10 27 13" xfId="8644" xr:uid="{00000000-0005-0000-0000-0000B8210000}"/>
    <cellStyle name="Normal 2 2 10 27 14" xfId="8645" xr:uid="{00000000-0005-0000-0000-0000B9210000}"/>
    <cellStyle name="Normal 2 2 10 27 2" xfId="8646" xr:uid="{00000000-0005-0000-0000-0000BA210000}"/>
    <cellStyle name="Normal 2 2 10 27 2 10" xfId="8647" xr:uid="{00000000-0005-0000-0000-0000BB210000}"/>
    <cellStyle name="Normal 2 2 10 27 2 2" xfId="8648" xr:uid="{00000000-0005-0000-0000-0000BC210000}"/>
    <cellStyle name="Normal 2 2 10 27 2 3" xfId="8649" xr:uid="{00000000-0005-0000-0000-0000BD210000}"/>
    <cellStyle name="Normal 2 2 10 27 2 4" xfId="8650" xr:uid="{00000000-0005-0000-0000-0000BE210000}"/>
    <cellStyle name="Normal 2 2 10 27 2 5" xfId="8651" xr:uid="{00000000-0005-0000-0000-0000BF210000}"/>
    <cellStyle name="Normal 2 2 10 27 2 6" xfId="8652" xr:uid="{00000000-0005-0000-0000-0000C0210000}"/>
    <cellStyle name="Normal 2 2 10 27 2 7" xfId="8653" xr:uid="{00000000-0005-0000-0000-0000C1210000}"/>
    <cellStyle name="Normal 2 2 10 27 2 8" xfId="8654" xr:uid="{00000000-0005-0000-0000-0000C2210000}"/>
    <cellStyle name="Normal 2 2 10 27 2 9" xfId="8655" xr:uid="{00000000-0005-0000-0000-0000C3210000}"/>
    <cellStyle name="Normal 2 2 10 27 3" xfId="8656" xr:uid="{00000000-0005-0000-0000-0000C4210000}"/>
    <cellStyle name="Normal 2 2 10 27 3 10" xfId="8657" xr:uid="{00000000-0005-0000-0000-0000C5210000}"/>
    <cellStyle name="Normal 2 2 10 27 3 2" xfId="8658" xr:uid="{00000000-0005-0000-0000-0000C6210000}"/>
    <cellStyle name="Normal 2 2 10 27 3 3" xfId="8659" xr:uid="{00000000-0005-0000-0000-0000C7210000}"/>
    <cellStyle name="Normal 2 2 10 27 3 4" xfId="8660" xr:uid="{00000000-0005-0000-0000-0000C8210000}"/>
    <cellStyle name="Normal 2 2 10 27 3 5" xfId="8661" xr:uid="{00000000-0005-0000-0000-0000C9210000}"/>
    <cellStyle name="Normal 2 2 10 27 3 6" xfId="8662" xr:uid="{00000000-0005-0000-0000-0000CA210000}"/>
    <cellStyle name="Normal 2 2 10 27 3 7" xfId="8663" xr:uid="{00000000-0005-0000-0000-0000CB210000}"/>
    <cellStyle name="Normal 2 2 10 27 3 8" xfId="8664" xr:uid="{00000000-0005-0000-0000-0000CC210000}"/>
    <cellStyle name="Normal 2 2 10 27 3 9" xfId="8665" xr:uid="{00000000-0005-0000-0000-0000CD210000}"/>
    <cellStyle name="Normal 2 2 10 27 4" xfId="8666" xr:uid="{00000000-0005-0000-0000-0000CE210000}"/>
    <cellStyle name="Normal 2 2 10 27 4 10" xfId="8667" xr:uid="{00000000-0005-0000-0000-0000CF210000}"/>
    <cellStyle name="Normal 2 2 10 27 4 2" xfId="8668" xr:uid="{00000000-0005-0000-0000-0000D0210000}"/>
    <cellStyle name="Normal 2 2 10 27 4 3" xfId="8669" xr:uid="{00000000-0005-0000-0000-0000D1210000}"/>
    <cellStyle name="Normal 2 2 10 27 4 4" xfId="8670" xr:uid="{00000000-0005-0000-0000-0000D2210000}"/>
    <cellStyle name="Normal 2 2 10 27 4 5" xfId="8671" xr:uid="{00000000-0005-0000-0000-0000D3210000}"/>
    <cellStyle name="Normal 2 2 10 27 4 6" xfId="8672" xr:uid="{00000000-0005-0000-0000-0000D4210000}"/>
    <cellStyle name="Normal 2 2 10 27 4 7" xfId="8673" xr:uid="{00000000-0005-0000-0000-0000D5210000}"/>
    <cellStyle name="Normal 2 2 10 27 4 8" xfId="8674" xr:uid="{00000000-0005-0000-0000-0000D6210000}"/>
    <cellStyle name="Normal 2 2 10 27 4 9" xfId="8675" xr:uid="{00000000-0005-0000-0000-0000D7210000}"/>
    <cellStyle name="Normal 2 2 10 27 5" xfId="8676" xr:uid="{00000000-0005-0000-0000-0000D8210000}"/>
    <cellStyle name="Normal 2 2 10 27 5 10" xfId="8677" xr:uid="{00000000-0005-0000-0000-0000D9210000}"/>
    <cellStyle name="Normal 2 2 10 27 5 2" xfId="8678" xr:uid="{00000000-0005-0000-0000-0000DA210000}"/>
    <cellStyle name="Normal 2 2 10 27 5 3" xfId="8679" xr:uid="{00000000-0005-0000-0000-0000DB210000}"/>
    <cellStyle name="Normal 2 2 10 27 5 4" xfId="8680" xr:uid="{00000000-0005-0000-0000-0000DC210000}"/>
    <cellStyle name="Normal 2 2 10 27 5 5" xfId="8681" xr:uid="{00000000-0005-0000-0000-0000DD210000}"/>
    <cellStyle name="Normal 2 2 10 27 5 6" xfId="8682" xr:uid="{00000000-0005-0000-0000-0000DE210000}"/>
    <cellStyle name="Normal 2 2 10 27 5 7" xfId="8683" xr:uid="{00000000-0005-0000-0000-0000DF210000}"/>
    <cellStyle name="Normal 2 2 10 27 5 8" xfId="8684" xr:uid="{00000000-0005-0000-0000-0000E0210000}"/>
    <cellStyle name="Normal 2 2 10 27 5 9" xfId="8685" xr:uid="{00000000-0005-0000-0000-0000E1210000}"/>
    <cellStyle name="Normal 2 2 10 27 6" xfId="8686" xr:uid="{00000000-0005-0000-0000-0000E2210000}"/>
    <cellStyle name="Normal 2 2 10 27 7" xfId="8687" xr:uid="{00000000-0005-0000-0000-0000E3210000}"/>
    <cellStyle name="Normal 2 2 10 27 8" xfId="8688" xr:uid="{00000000-0005-0000-0000-0000E4210000}"/>
    <cellStyle name="Normal 2 2 10 27 9" xfId="8689" xr:uid="{00000000-0005-0000-0000-0000E5210000}"/>
    <cellStyle name="Normal 2 2 10 28" xfId="8690" xr:uid="{00000000-0005-0000-0000-0000E6210000}"/>
    <cellStyle name="Normal 2 2 10 28 10" xfId="8691" xr:uid="{00000000-0005-0000-0000-0000E7210000}"/>
    <cellStyle name="Normal 2 2 10 28 11" xfId="8692" xr:uid="{00000000-0005-0000-0000-0000E8210000}"/>
    <cellStyle name="Normal 2 2 10 28 12" xfId="8693" xr:uid="{00000000-0005-0000-0000-0000E9210000}"/>
    <cellStyle name="Normal 2 2 10 28 13" xfId="8694" xr:uid="{00000000-0005-0000-0000-0000EA210000}"/>
    <cellStyle name="Normal 2 2 10 28 14" xfId="8695" xr:uid="{00000000-0005-0000-0000-0000EB210000}"/>
    <cellStyle name="Normal 2 2 10 28 2" xfId="8696" xr:uid="{00000000-0005-0000-0000-0000EC210000}"/>
    <cellStyle name="Normal 2 2 10 28 2 10" xfId="8697" xr:uid="{00000000-0005-0000-0000-0000ED210000}"/>
    <cellStyle name="Normal 2 2 10 28 2 2" xfId="8698" xr:uid="{00000000-0005-0000-0000-0000EE210000}"/>
    <cellStyle name="Normal 2 2 10 28 2 3" xfId="8699" xr:uid="{00000000-0005-0000-0000-0000EF210000}"/>
    <cellStyle name="Normal 2 2 10 28 2 4" xfId="8700" xr:uid="{00000000-0005-0000-0000-0000F0210000}"/>
    <cellStyle name="Normal 2 2 10 28 2 5" xfId="8701" xr:uid="{00000000-0005-0000-0000-0000F1210000}"/>
    <cellStyle name="Normal 2 2 10 28 2 6" xfId="8702" xr:uid="{00000000-0005-0000-0000-0000F2210000}"/>
    <cellStyle name="Normal 2 2 10 28 2 7" xfId="8703" xr:uid="{00000000-0005-0000-0000-0000F3210000}"/>
    <cellStyle name="Normal 2 2 10 28 2 8" xfId="8704" xr:uid="{00000000-0005-0000-0000-0000F4210000}"/>
    <cellStyle name="Normal 2 2 10 28 2 9" xfId="8705" xr:uid="{00000000-0005-0000-0000-0000F5210000}"/>
    <cellStyle name="Normal 2 2 10 28 3" xfId="8706" xr:uid="{00000000-0005-0000-0000-0000F6210000}"/>
    <cellStyle name="Normal 2 2 10 28 3 10" xfId="8707" xr:uid="{00000000-0005-0000-0000-0000F7210000}"/>
    <cellStyle name="Normal 2 2 10 28 3 2" xfId="8708" xr:uid="{00000000-0005-0000-0000-0000F8210000}"/>
    <cellStyle name="Normal 2 2 10 28 3 3" xfId="8709" xr:uid="{00000000-0005-0000-0000-0000F9210000}"/>
    <cellStyle name="Normal 2 2 10 28 3 4" xfId="8710" xr:uid="{00000000-0005-0000-0000-0000FA210000}"/>
    <cellStyle name="Normal 2 2 10 28 3 5" xfId="8711" xr:uid="{00000000-0005-0000-0000-0000FB210000}"/>
    <cellStyle name="Normal 2 2 10 28 3 6" xfId="8712" xr:uid="{00000000-0005-0000-0000-0000FC210000}"/>
    <cellStyle name="Normal 2 2 10 28 3 7" xfId="8713" xr:uid="{00000000-0005-0000-0000-0000FD210000}"/>
    <cellStyle name="Normal 2 2 10 28 3 8" xfId="8714" xr:uid="{00000000-0005-0000-0000-0000FE210000}"/>
    <cellStyle name="Normal 2 2 10 28 3 9" xfId="8715" xr:uid="{00000000-0005-0000-0000-0000FF210000}"/>
    <cellStyle name="Normal 2 2 10 28 4" xfId="8716" xr:uid="{00000000-0005-0000-0000-000000220000}"/>
    <cellStyle name="Normal 2 2 10 28 4 10" xfId="8717" xr:uid="{00000000-0005-0000-0000-000001220000}"/>
    <cellStyle name="Normal 2 2 10 28 4 2" xfId="8718" xr:uid="{00000000-0005-0000-0000-000002220000}"/>
    <cellStyle name="Normal 2 2 10 28 4 3" xfId="8719" xr:uid="{00000000-0005-0000-0000-000003220000}"/>
    <cellStyle name="Normal 2 2 10 28 4 4" xfId="8720" xr:uid="{00000000-0005-0000-0000-000004220000}"/>
    <cellStyle name="Normal 2 2 10 28 4 5" xfId="8721" xr:uid="{00000000-0005-0000-0000-000005220000}"/>
    <cellStyle name="Normal 2 2 10 28 4 6" xfId="8722" xr:uid="{00000000-0005-0000-0000-000006220000}"/>
    <cellStyle name="Normal 2 2 10 28 4 7" xfId="8723" xr:uid="{00000000-0005-0000-0000-000007220000}"/>
    <cellStyle name="Normal 2 2 10 28 4 8" xfId="8724" xr:uid="{00000000-0005-0000-0000-000008220000}"/>
    <cellStyle name="Normal 2 2 10 28 4 9" xfId="8725" xr:uid="{00000000-0005-0000-0000-000009220000}"/>
    <cellStyle name="Normal 2 2 10 28 5" xfId="8726" xr:uid="{00000000-0005-0000-0000-00000A220000}"/>
    <cellStyle name="Normal 2 2 10 28 5 10" xfId="8727" xr:uid="{00000000-0005-0000-0000-00000B220000}"/>
    <cellStyle name="Normal 2 2 10 28 5 2" xfId="8728" xr:uid="{00000000-0005-0000-0000-00000C220000}"/>
    <cellStyle name="Normal 2 2 10 28 5 3" xfId="8729" xr:uid="{00000000-0005-0000-0000-00000D220000}"/>
    <cellStyle name="Normal 2 2 10 28 5 4" xfId="8730" xr:uid="{00000000-0005-0000-0000-00000E220000}"/>
    <cellStyle name="Normal 2 2 10 28 5 5" xfId="8731" xr:uid="{00000000-0005-0000-0000-00000F220000}"/>
    <cellStyle name="Normal 2 2 10 28 5 6" xfId="8732" xr:uid="{00000000-0005-0000-0000-000010220000}"/>
    <cellStyle name="Normal 2 2 10 28 5 7" xfId="8733" xr:uid="{00000000-0005-0000-0000-000011220000}"/>
    <cellStyle name="Normal 2 2 10 28 5 8" xfId="8734" xr:uid="{00000000-0005-0000-0000-000012220000}"/>
    <cellStyle name="Normal 2 2 10 28 5 9" xfId="8735" xr:uid="{00000000-0005-0000-0000-000013220000}"/>
    <cellStyle name="Normal 2 2 10 28 6" xfId="8736" xr:uid="{00000000-0005-0000-0000-000014220000}"/>
    <cellStyle name="Normal 2 2 10 28 7" xfId="8737" xr:uid="{00000000-0005-0000-0000-000015220000}"/>
    <cellStyle name="Normal 2 2 10 28 8" xfId="8738" xr:uid="{00000000-0005-0000-0000-000016220000}"/>
    <cellStyle name="Normal 2 2 10 28 9" xfId="8739" xr:uid="{00000000-0005-0000-0000-000017220000}"/>
    <cellStyle name="Normal 2 2 10 29" xfId="8740" xr:uid="{00000000-0005-0000-0000-000018220000}"/>
    <cellStyle name="Normal 2 2 10 29 10" xfId="8741" xr:uid="{00000000-0005-0000-0000-000019220000}"/>
    <cellStyle name="Normal 2 2 10 29 11" xfId="8742" xr:uid="{00000000-0005-0000-0000-00001A220000}"/>
    <cellStyle name="Normal 2 2 10 29 12" xfId="8743" xr:uid="{00000000-0005-0000-0000-00001B220000}"/>
    <cellStyle name="Normal 2 2 10 29 13" xfId="8744" xr:uid="{00000000-0005-0000-0000-00001C220000}"/>
    <cellStyle name="Normal 2 2 10 29 14" xfId="8745" xr:uid="{00000000-0005-0000-0000-00001D220000}"/>
    <cellStyle name="Normal 2 2 10 29 2" xfId="8746" xr:uid="{00000000-0005-0000-0000-00001E220000}"/>
    <cellStyle name="Normal 2 2 10 29 2 10" xfId="8747" xr:uid="{00000000-0005-0000-0000-00001F220000}"/>
    <cellStyle name="Normal 2 2 10 29 2 2" xfId="8748" xr:uid="{00000000-0005-0000-0000-000020220000}"/>
    <cellStyle name="Normal 2 2 10 29 2 3" xfId="8749" xr:uid="{00000000-0005-0000-0000-000021220000}"/>
    <cellStyle name="Normal 2 2 10 29 2 4" xfId="8750" xr:uid="{00000000-0005-0000-0000-000022220000}"/>
    <cellStyle name="Normal 2 2 10 29 2 5" xfId="8751" xr:uid="{00000000-0005-0000-0000-000023220000}"/>
    <cellStyle name="Normal 2 2 10 29 2 6" xfId="8752" xr:uid="{00000000-0005-0000-0000-000024220000}"/>
    <cellStyle name="Normal 2 2 10 29 2 7" xfId="8753" xr:uid="{00000000-0005-0000-0000-000025220000}"/>
    <cellStyle name="Normal 2 2 10 29 2 8" xfId="8754" xr:uid="{00000000-0005-0000-0000-000026220000}"/>
    <cellStyle name="Normal 2 2 10 29 2 9" xfId="8755" xr:uid="{00000000-0005-0000-0000-000027220000}"/>
    <cellStyle name="Normal 2 2 10 29 3" xfId="8756" xr:uid="{00000000-0005-0000-0000-000028220000}"/>
    <cellStyle name="Normal 2 2 10 29 3 10" xfId="8757" xr:uid="{00000000-0005-0000-0000-000029220000}"/>
    <cellStyle name="Normal 2 2 10 29 3 2" xfId="8758" xr:uid="{00000000-0005-0000-0000-00002A220000}"/>
    <cellStyle name="Normal 2 2 10 29 3 3" xfId="8759" xr:uid="{00000000-0005-0000-0000-00002B220000}"/>
    <cellStyle name="Normal 2 2 10 29 3 4" xfId="8760" xr:uid="{00000000-0005-0000-0000-00002C220000}"/>
    <cellStyle name="Normal 2 2 10 29 3 5" xfId="8761" xr:uid="{00000000-0005-0000-0000-00002D220000}"/>
    <cellStyle name="Normal 2 2 10 29 3 6" xfId="8762" xr:uid="{00000000-0005-0000-0000-00002E220000}"/>
    <cellStyle name="Normal 2 2 10 29 3 7" xfId="8763" xr:uid="{00000000-0005-0000-0000-00002F220000}"/>
    <cellStyle name="Normal 2 2 10 29 3 8" xfId="8764" xr:uid="{00000000-0005-0000-0000-000030220000}"/>
    <cellStyle name="Normal 2 2 10 29 3 9" xfId="8765" xr:uid="{00000000-0005-0000-0000-000031220000}"/>
    <cellStyle name="Normal 2 2 10 29 4" xfId="8766" xr:uid="{00000000-0005-0000-0000-000032220000}"/>
    <cellStyle name="Normal 2 2 10 29 4 10" xfId="8767" xr:uid="{00000000-0005-0000-0000-000033220000}"/>
    <cellStyle name="Normal 2 2 10 29 4 2" xfId="8768" xr:uid="{00000000-0005-0000-0000-000034220000}"/>
    <cellStyle name="Normal 2 2 10 29 4 3" xfId="8769" xr:uid="{00000000-0005-0000-0000-000035220000}"/>
    <cellStyle name="Normal 2 2 10 29 4 4" xfId="8770" xr:uid="{00000000-0005-0000-0000-000036220000}"/>
    <cellStyle name="Normal 2 2 10 29 4 5" xfId="8771" xr:uid="{00000000-0005-0000-0000-000037220000}"/>
    <cellStyle name="Normal 2 2 10 29 4 6" xfId="8772" xr:uid="{00000000-0005-0000-0000-000038220000}"/>
    <cellStyle name="Normal 2 2 10 29 4 7" xfId="8773" xr:uid="{00000000-0005-0000-0000-000039220000}"/>
    <cellStyle name="Normal 2 2 10 29 4 8" xfId="8774" xr:uid="{00000000-0005-0000-0000-00003A220000}"/>
    <cellStyle name="Normal 2 2 10 29 4 9" xfId="8775" xr:uid="{00000000-0005-0000-0000-00003B220000}"/>
    <cellStyle name="Normal 2 2 10 29 5" xfId="8776" xr:uid="{00000000-0005-0000-0000-00003C220000}"/>
    <cellStyle name="Normal 2 2 10 29 5 10" xfId="8777" xr:uid="{00000000-0005-0000-0000-00003D220000}"/>
    <cellStyle name="Normal 2 2 10 29 5 2" xfId="8778" xr:uid="{00000000-0005-0000-0000-00003E220000}"/>
    <cellStyle name="Normal 2 2 10 29 5 3" xfId="8779" xr:uid="{00000000-0005-0000-0000-00003F220000}"/>
    <cellStyle name="Normal 2 2 10 29 5 4" xfId="8780" xr:uid="{00000000-0005-0000-0000-000040220000}"/>
    <cellStyle name="Normal 2 2 10 29 5 5" xfId="8781" xr:uid="{00000000-0005-0000-0000-000041220000}"/>
    <cellStyle name="Normal 2 2 10 29 5 6" xfId="8782" xr:uid="{00000000-0005-0000-0000-000042220000}"/>
    <cellStyle name="Normal 2 2 10 29 5 7" xfId="8783" xr:uid="{00000000-0005-0000-0000-000043220000}"/>
    <cellStyle name="Normal 2 2 10 29 5 8" xfId="8784" xr:uid="{00000000-0005-0000-0000-000044220000}"/>
    <cellStyle name="Normal 2 2 10 29 5 9" xfId="8785" xr:uid="{00000000-0005-0000-0000-000045220000}"/>
    <cellStyle name="Normal 2 2 10 29 6" xfId="8786" xr:uid="{00000000-0005-0000-0000-000046220000}"/>
    <cellStyle name="Normal 2 2 10 29 7" xfId="8787" xr:uid="{00000000-0005-0000-0000-000047220000}"/>
    <cellStyle name="Normal 2 2 10 29 8" xfId="8788" xr:uid="{00000000-0005-0000-0000-000048220000}"/>
    <cellStyle name="Normal 2 2 10 29 9" xfId="8789" xr:uid="{00000000-0005-0000-0000-000049220000}"/>
    <cellStyle name="Normal 2 2 10 3" xfId="8790" xr:uid="{00000000-0005-0000-0000-00004A220000}"/>
    <cellStyle name="Normal 2 2 10 3 10" xfId="8791" xr:uid="{00000000-0005-0000-0000-00004B220000}"/>
    <cellStyle name="Normal 2 2 10 3 11" xfId="8792" xr:uid="{00000000-0005-0000-0000-00004C220000}"/>
    <cellStyle name="Normal 2 2 10 3 12" xfId="8793" xr:uid="{00000000-0005-0000-0000-00004D220000}"/>
    <cellStyle name="Normal 2 2 10 3 13" xfId="8794" xr:uid="{00000000-0005-0000-0000-00004E220000}"/>
    <cellStyle name="Normal 2 2 10 3 14" xfId="8795" xr:uid="{00000000-0005-0000-0000-00004F220000}"/>
    <cellStyle name="Normal 2 2 10 3 2" xfId="8796" xr:uid="{00000000-0005-0000-0000-000050220000}"/>
    <cellStyle name="Normal 2 2 10 3 2 10" xfId="8797" xr:uid="{00000000-0005-0000-0000-000051220000}"/>
    <cellStyle name="Normal 2 2 10 3 2 2" xfId="8798" xr:uid="{00000000-0005-0000-0000-000052220000}"/>
    <cellStyle name="Normal 2 2 10 3 2 3" xfId="8799" xr:uid="{00000000-0005-0000-0000-000053220000}"/>
    <cellStyle name="Normal 2 2 10 3 2 4" xfId="8800" xr:uid="{00000000-0005-0000-0000-000054220000}"/>
    <cellStyle name="Normal 2 2 10 3 2 5" xfId="8801" xr:uid="{00000000-0005-0000-0000-000055220000}"/>
    <cellStyle name="Normal 2 2 10 3 2 6" xfId="8802" xr:uid="{00000000-0005-0000-0000-000056220000}"/>
    <cellStyle name="Normal 2 2 10 3 2 7" xfId="8803" xr:uid="{00000000-0005-0000-0000-000057220000}"/>
    <cellStyle name="Normal 2 2 10 3 2 8" xfId="8804" xr:uid="{00000000-0005-0000-0000-000058220000}"/>
    <cellStyle name="Normal 2 2 10 3 2 9" xfId="8805" xr:uid="{00000000-0005-0000-0000-000059220000}"/>
    <cellStyle name="Normal 2 2 10 3 3" xfId="8806" xr:uid="{00000000-0005-0000-0000-00005A220000}"/>
    <cellStyle name="Normal 2 2 10 3 3 10" xfId="8807" xr:uid="{00000000-0005-0000-0000-00005B220000}"/>
    <cellStyle name="Normal 2 2 10 3 3 2" xfId="8808" xr:uid="{00000000-0005-0000-0000-00005C220000}"/>
    <cellStyle name="Normal 2 2 10 3 3 3" xfId="8809" xr:uid="{00000000-0005-0000-0000-00005D220000}"/>
    <cellStyle name="Normal 2 2 10 3 3 4" xfId="8810" xr:uid="{00000000-0005-0000-0000-00005E220000}"/>
    <cellStyle name="Normal 2 2 10 3 3 5" xfId="8811" xr:uid="{00000000-0005-0000-0000-00005F220000}"/>
    <cellStyle name="Normal 2 2 10 3 3 6" xfId="8812" xr:uid="{00000000-0005-0000-0000-000060220000}"/>
    <cellStyle name="Normal 2 2 10 3 3 7" xfId="8813" xr:uid="{00000000-0005-0000-0000-000061220000}"/>
    <cellStyle name="Normal 2 2 10 3 3 8" xfId="8814" xr:uid="{00000000-0005-0000-0000-000062220000}"/>
    <cellStyle name="Normal 2 2 10 3 3 9" xfId="8815" xr:uid="{00000000-0005-0000-0000-000063220000}"/>
    <cellStyle name="Normal 2 2 10 3 4" xfId="8816" xr:uid="{00000000-0005-0000-0000-000064220000}"/>
    <cellStyle name="Normal 2 2 10 3 4 10" xfId="8817" xr:uid="{00000000-0005-0000-0000-000065220000}"/>
    <cellStyle name="Normal 2 2 10 3 4 2" xfId="8818" xr:uid="{00000000-0005-0000-0000-000066220000}"/>
    <cellStyle name="Normal 2 2 10 3 4 3" xfId="8819" xr:uid="{00000000-0005-0000-0000-000067220000}"/>
    <cellStyle name="Normal 2 2 10 3 4 4" xfId="8820" xr:uid="{00000000-0005-0000-0000-000068220000}"/>
    <cellStyle name="Normal 2 2 10 3 4 5" xfId="8821" xr:uid="{00000000-0005-0000-0000-000069220000}"/>
    <cellStyle name="Normal 2 2 10 3 4 6" xfId="8822" xr:uid="{00000000-0005-0000-0000-00006A220000}"/>
    <cellStyle name="Normal 2 2 10 3 4 7" xfId="8823" xr:uid="{00000000-0005-0000-0000-00006B220000}"/>
    <cellStyle name="Normal 2 2 10 3 4 8" xfId="8824" xr:uid="{00000000-0005-0000-0000-00006C220000}"/>
    <cellStyle name="Normal 2 2 10 3 4 9" xfId="8825" xr:uid="{00000000-0005-0000-0000-00006D220000}"/>
    <cellStyle name="Normal 2 2 10 3 5" xfId="8826" xr:uid="{00000000-0005-0000-0000-00006E220000}"/>
    <cellStyle name="Normal 2 2 10 3 5 10" xfId="8827" xr:uid="{00000000-0005-0000-0000-00006F220000}"/>
    <cellStyle name="Normal 2 2 10 3 5 2" xfId="8828" xr:uid="{00000000-0005-0000-0000-000070220000}"/>
    <cellStyle name="Normal 2 2 10 3 5 3" xfId="8829" xr:uid="{00000000-0005-0000-0000-000071220000}"/>
    <cellStyle name="Normal 2 2 10 3 5 4" xfId="8830" xr:uid="{00000000-0005-0000-0000-000072220000}"/>
    <cellStyle name="Normal 2 2 10 3 5 5" xfId="8831" xr:uid="{00000000-0005-0000-0000-000073220000}"/>
    <cellStyle name="Normal 2 2 10 3 5 6" xfId="8832" xr:uid="{00000000-0005-0000-0000-000074220000}"/>
    <cellStyle name="Normal 2 2 10 3 5 7" xfId="8833" xr:uid="{00000000-0005-0000-0000-000075220000}"/>
    <cellStyle name="Normal 2 2 10 3 5 8" xfId="8834" xr:uid="{00000000-0005-0000-0000-000076220000}"/>
    <cellStyle name="Normal 2 2 10 3 5 9" xfId="8835" xr:uid="{00000000-0005-0000-0000-000077220000}"/>
    <cellStyle name="Normal 2 2 10 3 6" xfId="8836" xr:uid="{00000000-0005-0000-0000-000078220000}"/>
    <cellStyle name="Normal 2 2 10 3 7" xfId="8837" xr:uid="{00000000-0005-0000-0000-000079220000}"/>
    <cellStyle name="Normal 2 2 10 3 8" xfId="8838" xr:uid="{00000000-0005-0000-0000-00007A220000}"/>
    <cellStyle name="Normal 2 2 10 3 9" xfId="8839" xr:uid="{00000000-0005-0000-0000-00007B220000}"/>
    <cellStyle name="Normal 2 2 10 30" xfId="8840" xr:uid="{00000000-0005-0000-0000-00007C220000}"/>
    <cellStyle name="Normal 2 2 10 30 10" xfId="8841" xr:uid="{00000000-0005-0000-0000-00007D220000}"/>
    <cellStyle name="Normal 2 2 10 30 11" xfId="8842" xr:uid="{00000000-0005-0000-0000-00007E220000}"/>
    <cellStyle name="Normal 2 2 10 30 12" xfId="8843" xr:uid="{00000000-0005-0000-0000-00007F220000}"/>
    <cellStyle name="Normal 2 2 10 30 13" xfId="8844" xr:uid="{00000000-0005-0000-0000-000080220000}"/>
    <cellStyle name="Normal 2 2 10 30 14" xfId="8845" xr:uid="{00000000-0005-0000-0000-000081220000}"/>
    <cellStyle name="Normal 2 2 10 30 2" xfId="8846" xr:uid="{00000000-0005-0000-0000-000082220000}"/>
    <cellStyle name="Normal 2 2 10 30 2 10" xfId="8847" xr:uid="{00000000-0005-0000-0000-000083220000}"/>
    <cellStyle name="Normal 2 2 10 30 2 2" xfId="8848" xr:uid="{00000000-0005-0000-0000-000084220000}"/>
    <cellStyle name="Normal 2 2 10 30 2 3" xfId="8849" xr:uid="{00000000-0005-0000-0000-000085220000}"/>
    <cellStyle name="Normal 2 2 10 30 2 4" xfId="8850" xr:uid="{00000000-0005-0000-0000-000086220000}"/>
    <cellStyle name="Normal 2 2 10 30 2 5" xfId="8851" xr:uid="{00000000-0005-0000-0000-000087220000}"/>
    <cellStyle name="Normal 2 2 10 30 2 6" xfId="8852" xr:uid="{00000000-0005-0000-0000-000088220000}"/>
    <cellStyle name="Normal 2 2 10 30 2 7" xfId="8853" xr:uid="{00000000-0005-0000-0000-000089220000}"/>
    <cellStyle name="Normal 2 2 10 30 2 8" xfId="8854" xr:uid="{00000000-0005-0000-0000-00008A220000}"/>
    <cellStyle name="Normal 2 2 10 30 2 9" xfId="8855" xr:uid="{00000000-0005-0000-0000-00008B220000}"/>
    <cellStyle name="Normal 2 2 10 30 3" xfId="8856" xr:uid="{00000000-0005-0000-0000-00008C220000}"/>
    <cellStyle name="Normal 2 2 10 30 3 10" xfId="8857" xr:uid="{00000000-0005-0000-0000-00008D220000}"/>
    <cellStyle name="Normal 2 2 10 30 3 2" xfId="8858" xr:uid="{00000000-0005-0000-0000-00008E220000}"/>
    <cellStyle name="Normal 2 2 10 30 3 3" xfId="8859" xr:uid="{00000000-0005-0000-0000-00008F220000}"/>
    <cellStyle name="Normal 2 2 10 30 3 4" xfId="8860" xr:uid="{00000000-0005-0000-0000-000090220000}"/>
    <cellStyle name="Normal 2 2 10 30 3 5" xfId="8861" xr:uid="{00000000-0005-0000-0000-000091220000}"/>
    <cellStyle name="Normal 2 2 10 30 3 6" xfId="8862" xr:uid="{00000000-0005-0000-0000-000092220000}"/>
    <cellStyle name="Normal 2 2 10 30 3 7" xfId="8863" xr:uid="{00000000-0005-0000-0000-000093220000}"/>
    <cellStyle name="Normal 2 2 10 30 3 8" xfId="8864" xr:uid="{00000000-0005-0000-0000-000094220000}"/>
    <cellStyle name="Normal 2 2 10 30 3 9" xfId="8865" xr:uid="{00000000-0005-0000-0000-000095220000}"/>
    <cellStyle name="Normal 2 2 10 30 4" xfId="8866" xr:uid="{00000000-0005-0000-0000-000096220000}"/>
    <cellStyle name="Normal 2 2 10 30 4 10" xfId="8867" xr:uid="{00000000-0005-0000-0000-000097220000}"/>
    <cellStyle name="Normal 2 2 10 30 4 2" xfId="8868" xr:uid="{00000000-0005-0000-0000-000098220000}"/>
    <cellStyle name="Normal 2 2 10 30 4 3" xfId="8869" xr:uid="{00000000-0005-0000-0000-000099220000}"/>
    <cellStyle name="Normal 2 2 10 30 4 4" xfId="8870" xr:uid="{00000000-0005-0000-0000-00009A220000}"/>
    <cellStyle name="Normal 2 2 10 30 4 5" xfId="8871" xr:uid="{00000000-0005-0000-0000-00009B220000}"/>
    <cellStyle name="Normal 2 2 10 30 4 6" xfId="8872" xr:uid="{00000000-0005-0000-0000-00009C220000}"/>
    <cellStyle name="Normal 2 2 10 30 4 7" xfId="8873" xr:uid="{00000000-0005-0000-0000-00009D220000}"/>
    <cellStyle name="Normal 2 2 10 30 4 8" xfId="8874" xr:uid="{00000000-0005-0000-0000-00009E220000}"/>
    <cellStyle name="Normal 2 2 10 30 4 9" xfId="8875" xr:uid="{00000000-0005-0000-0000-00009F220000}"/>
    <cellStyle name="Normal 2 2 10 30 5" xfId="8876" xr:uid="{00000000-0005-0000-0000-0000A0220000}"/>
    <cellStyle name="Normal 2 2 10 30 5 10" xfId="8877" xr:uid="{00000000-0005-0000-0000-0000A1220000}"/>
    <cellStyle name="Normal 2 2 10 30 5 2" xfId="8878" xr:uid="{00000000-0005-0000-0000-0000A2220000}"/>
    <cellStyle name="Normal 2 2 10 30 5 3" xfId="8879" xr:uid="{00000000-0005-0000-0000-0000A3220000}"/>
    <cellStyle name="Normal 2 2 10 30 5 4" xfId="8880" xr:uid="{00000000-0005-0000-0000-0000A4220000}"/>
    <cellStyle name="Normal 2 2 10 30 5 5" xfId="8881" xr:uid="{00000000-0005-0000-0000-0000A5220000}"/>
    <cellStyle name="Normal 2 2 10 30 5 6" xfId="8882" xr:uid="{00000000-0005-0000-0000-0000A6220000}"/>
    <cellStyle name="Normal 2 2 10 30 5 7" xfId="8883" xr:uid="{00000000-0005-0000-0000-0000A7220000}"/>
    <cellStyle name="Normal 2 2 10 30 5 8" xfId="8884" xr:uid="{00000000-0005-0000-0000-0000A8220000}"/>
    <cellStyle name="Normal 2 2 10 30 5 9" xfId="8885" xr:uid="{00000000-0005-0000-0000-0000A9220000}"/>
    <cellStyle name="Normal 2 2 10 30 6" xfId="8886" xr:uid="{00000000-0005-0000-0000-0000AA220000}"/>
    <cellStyle name="Normal 2 2 10 30 7" xfId="8887" xr:uid="{00000000-0005-0000-0000-0000AB220000}"/>
    <cellStyle name="Normal 2 2 10 30 8" xfId="8888" xr:uid="{00000000-0005-0000-0000-0000AC220000}"/>
    <cellStyle name="Normal 2 2 10 30 9" xfId="8889" xr:uid="{00000000-0005-0000-0000-0000AD220000}"/>
    <cellStyle name="Normal 2 2 10 31" xfId="8890" xr:uid="{00000000-0005-0000-0000-0000AE220000}"/>
    <cellStyle name="Normal 2 2 10 31 10" xfId="8891" xr:uid="{00000000-0005-0000-0000-0000AF220000}"/>
    <cellStyle name="Normal 2 2 10 31 11" xfId="8892" xr:uid="{00000000-0005-0000-0000-0000B0220000}"/>
    <cellStyle name="Normal 2 2 10 31 12" xfId="8893" xr:uid="{00000000-0005-0000-0000-0000B1220000}"/>
    <cellStyle name="Normal 2 2 10 31 13" xfId="8894" xr:uid="{00000000-0005-0000-0000-0000B2220000}"/>
    <cellStyle name="Normal 2 2 10 31 14" xfId="8895" xr:uid="{00000000-0005-0000-0000-0000B3220000}"/>
    <cellStyle name="Normal 2 2 10 31 2" xfId="8896" xr:uid="{00000000-0005-0000-0000-0000B4220000}"/>
    <cellStyle name="Normal 2 2 10 31 2 10" xfId="8897" xr:uid="{00000000-0005-0000-0000-0000B5220000}"/>
    <cellStyle name="Normal 2 2 10 31 2 2" xfId="8898" xr:uid="{00000000-0005-0000-0000-0000B6220000}"/>
    <cellStyle name="Normal 2 2 10 31 2 3" xfId="8899" xr:uid="{00000000-0005-0000-0000-0000B7220000}"/>
    <cellStyle name="Normal 2 2 10 31 2 4" xfId="8900" xr:uid="{00000000-0005-0000-0000-0000B8220000}"/>
    <cellStyle name="Normal 2 2 10 31 2 5" xfId="8901" xr:uid="{00000000-0005-0000-0000-0000B9220000}"/>
    <cellStyle name="Normal 2 2 10 31 2 6" xfId="8902" xr:uid="{00000000-0005-0000-0000-0000BA220000}"/>
    <cellStyle name="Normal 2 2 10 31 2 7" xfId="8903" xr:uid="{00000000-0005-0000-0000-0000BB220000}"/>
    <cellStyle name="Normal 2 2 10 31 2 8" xfId="8904" xr:uid="{00000000-0005-0000-0000-0000BC220000}"/>
    <cellStyle name="Normal 2 2 10 31 2 9" xfId="8905" xr:uid="{00000000-0005-0000-0000-0000BD220000}"/>
    <cellStyle name="Normal 2 2 10 31 3" xfId="8906" xr:uid="{00000000-0005-0000-0000-0000BE220000}"/>
    <cellStyle name="Normal 2 2 10 31 3 10" xfId="8907" xr:uid="{00000000-0005-0000-0000-0000BF220000}"/>
    <cellStyle name="Normal 2 2 10 31 3 2" xfId="8908" xr:uid="{00000000-0005-0000-0000-0000C0220000}"/>
    <cellStyle name="Normal 2 2 10 31 3 3" xfId="8909" xr:uid="{00000000-0005-0000-0000-0000C1220000}"/>
    <cellStyle name="Normal 2 2 10 31 3 4" xfId="8910" xr:uid="{00000000-0005-0000-0000-0000C2220000}"/>
    <cellStyle name="Normal 2 2 10 31 3 5" xfId="8911" xr:uid="{00000000-0005-0000-0000-0000C3220000}"/>
    <cellStyle name="Normal 2 2 10 31 3 6" xfId="8912" xr:uid="{00000000-0005-0000-0000-0000C4220000}"/>
    <cellStyle name="Normal 2 2 10 31 3 7" xfId="8913" xr:uid="{00000000-0005-0000-0000-0000C5220000}"/>
    <cellStyle name="Normal 2 2 10 31 3 8" xfId="8914" xr:uid="{00000000-0005-0000-0000-0000C6220000}"/>
    <cellStyle name="Normal 2 2 10 31 3 9" xfId="8915" xr:uid="{00000000-0005-0000-0000-0000C7220000}"/>
    <cellStyle name="Normal 2 2 10 31 4" xfId="8916" xr:uid="{00000000-0005-0000-0000-0000C8220000}"/>
    <cellStyle name="Normal 2 2 10 31 4 10" xfId="8917" xr:uid="{00000000-0005-0000-0000-0000C9220000}"/>
    <cellStyle name="Normal 2 2 10 31 4 2" xfId="8918" xr:uid="{00000000-0005-0000-0000-0000CA220000}"/>
    <cellStyle name="Normal 2 2 10 31 4 3" xfId="8919" xr:uid="{00000000-0005-0000-0000-0000CB220000}"/>
    <cellStyle name="Normal 2 2 10 31 4 4" xfId="8920" xr:uid="{00000000-0005-0000-0000-0000CC220000}"/>
    <cellStyle name="Normal 2 2 10 31 4 5" xfId="8921" xr:uid="{00000000-0005-0000-0000-0000CD220000}"/>
    <cellStyle name="Normal 2 2 10 31 4 6" xfId="8922" xr:uid="{00000000-0005-0000-0000-0000CE220000}"/>
    <cellStyle name="Normal 2 2 10 31 4 7" xfId="8923" xr:uid="{00000000-0005-0000-0000-0000CF220000}"/>
    <cellStyle name="Normal 2 2 10 31 4 8" xfId="8924" xr:uid="{00000000-0005-0000-0000-0000D0220000}"/>
    <cellStyle name="Normal 2 2 10 31 4 9" xfId="8925" xr:uid="{00000000-0005-0000-0000-0000D1220000}"/>
    <cellStyle name="Normal 2 2 10 31 5" xfId="8926" xr:uid="{00000000-0005-0000-0000-0000D2220000}"/>
    <cellStyle name="Normal 2 2 10 31 5 10" xfId="8927" xr:uid="{00000000-0005-0000-0000-0000D3220000}"/>
    <cellStyle name="Normal 2 2 10 31 5 2" xfId="8928" xr:uid="{00000000-0005-0000-0000-0000D4220000}"/>
    <cellStyle name="Normal 2 2 10 31 5 3" xfId="8929" xr:uid="{00000000-0005-0000-0000-0000D5220000}"/>
    <cellStyle name="Normal 2 2 10 31 5 4" xfId="8930" xr:uid="{00000000-0005-0000-0000-0000D6220000}"/>
    <cellStyle name="Normal 2 2 10 31 5 5" xfId="8931" xr:uid="{00000000-0005-0000-0000-0000D7220000}"/>
    <cellStyle name="Normal 2 2 10 31 5 6" xfId="8932" xr:uid="{00000000-0005-0000-0000-0000D8220000}"/>
    <cellStyle name="Normal 2 2 10 31 5 7" xfId="8933" xr:uid="{00000000-0005-0000-0000-0000D9220000}"/>
    <cellStyle name="Normal 2 2 10 31 5 8" xfId="8934" xr:uid="{00000000-0005-0000-0000-0000DA220000}"/>
    <cellStyle name="Normal 2 2 10 31 5 9" xfId="8935" xr:uid="{00000000-0005-0000-0000-0000DB220000}"/>
    <cellStyle name="Normal 2 2 10 31 6" xfId="8936" xr:uid="{00000000-0005-0000-0000-0000DC220000}"/>
    <cellStyle name="Normal 2 2 10 31 7" xfId="8937" xr:uid="{00000000-0005-0000-0000-0000DD220000}"/>
    <cellStyle name="Normal 2 2 10 31 8" xfId="8938" xr:uid="{00000000-0005-0000-0000-0000DE220000}"/>
    <cellStyle name="Normal 2 2 10 31 9" xfId="8939" xr:uid="{00000000-0005-0000-0000-0000DF220000}"/>
    <cellStyle name="Normal 2 2 10 32" xfId="8940" xr:uid="{00000000-0005-0000-0000-0000E0220000}"/>
    <cellStyle name="Normal 2 2 10 32 10" xfId="8941" xr:uid="{00000000-0005-0000-0000-0000E1220000}"/>
    <cellStyle name="Normal 2 2 10 32 11" xfId="8942" xr:uid="{00000000-0005-0000-0000-0000E2220000}"/>
    <cellStyle name="Normal 2 2 10 32 12" xfId="8943" xr:uid="{00000000-0005-0000-0000-0000E3220000}"/>
    <cellStyle name="Normal 2 2 10 32 13" xfId="8944" xr:uid="{00000000-0005-0000-0000-0000E4220000}"/>
    <cellStyle name="Normal 2 2 10 32 14" xfId="8945" xr:uid="{00000000-0005-0000-0000-0000E5220000}"/>
    <cellStyle name="Normal 2 2 10 32 2" xfId="8946" xr:uid="{00000000-0005-0000-0000-0000E6220000}"/>
    <cellStyle name="Normal 2 2 10 32 2 10" xfId="8947" xr:uid="{00000000-0005-0000-0000-0000E7220000}"/>
    <cellStyle name="Normal 2 2 10 32 2 2" xfId="8948" xr:uid="{00000000-0005-0000-0000-0000E8220000}"/>
    <cellStyle name="Normal 2 2 10 32 2 3" xfId="8949" xr:uid="{00000000-0005-0000-0000-0000E9220000}"/>
    <cellStyle name="Normal 2 2 10 32 2 4" xfId="8950" xr:uid="{00000000-0005-0000-0000-0000EA220000}"/>
    <cellStyle name="Normal 2 2 10 32 2 5" xfId="8951" xr:uid="{00000000-0005-0000-0000-0000EB220000}"/>
    <cellStyle name="Normal 2 2 10 32 2 6" xfId="8952" xr:uid="{00000000-0005-0000-0000-0000EC220000}"/>
    <cellStyle name="Normal 2 2 10 32 2 7" xfId="8953" xr:uid="{00000000-0005-0000-0000-0000ED220000}"/>
    <cellStyle name="Normal 2 2 10 32 2 8" xfId="8954" xr:uid="{00000000-0005-0000-0000-0000EE220000}"/>
    <cellStyle name="Normal 2 2 10 32 2 9" xfId="8955" xr:uid="{00000000-0005-0000-0000-0000EF220000}"/>
    <cellStyle name="Normal 2 2 10 32 3" xfId="8956" xr:uid="{00000000-0005-0000-0000-0000F0220000}"/>
    <cellStyle name="Normal 2 2 10 32 3 10" xfId="8957" xr:uid="{00000000-0005-0000-0000-0000F1220000}"/>
    <cellStyle name="Normal 2 2 10 32 3 2" xfId="8958" xr:uid="{00000000-0005-0000-0000-0000F2220000}"/>
    <cellStyle name="Normal 2 2 10 32 3 3" xfId="8959" xr:uid="{00000000-0005-0000-0000-0000F3220000}"/>
    <cellStyle name="Normal 2 2 10 32 3 4" xfId="8960" xr:uid="{00000000-0005-0000-0000-0000F4220000}"/>
    <cellStyle name="Normal 2 2 10 32 3 5" xfId="8961" xr:uid="{00000000-0005-0000-0000-0000F5220000}"/>
    <cellStyle name="Normal 2 2 10 32 3 6" xfId="8962" xr:uid="{00000000-0005-0000-0000-0000F6220000}"/>
    <cellStyle name="Normal 2 2 10 32 3 7" xfId="8963" xr:uid="{00000000-0005-0000-0000-0000F7220000}"/>
    <cellStyle name="Normal 2 2 10 32 3 8" xfId="8964" xr:uid="{00000000-0005-0000-0000-0000F8220000}"/>
    <cellStyle name="Normal 2 2 10 32 3 9" xfId="8965" xr:uid="{00000000-0005-0000-0000-0000F9220000}"/>
    <cellStyle name="Normal 2 2 10 32 4" xfId="8966" xr:uid="{00000000-0005-0000-0000-0000FA220000}"/>
    <cellStyle name="Normal 2 2 10 32 4 10" xfId="8967" xr:uid="{00000000-0005-0000-0000-0000FB220000}"/>
    <cellStyle name="Normal 2 2 10 32 4 2" xfId="8968" xr:uid="{00000000-0005-0000-0000-0000FC220000}"/>
    <cellStyle name="Normal 2 2 10 32 4 3" xfId="8969" xr:uid="{00000000-0005-0000-0000-0000FD220000}"/>
    <cellStyle name="Normal 2 2 10 32 4 4" xfId="8970" xr:uid="{00000000-0005-0000-0000-0000FE220000}"/>
    <cellStyle name="Normal 2 2 10 32 4 5" xfId="8971" xr:uid="{00000000-0005-0000-0000-0000FF220000}"/>
    <cellStyle name="Normal 2 2 10 32 4 6" xfId="8972" xr:uid="{00000000-0005-0000-0000-000000230000}"/>
    <cellStyle name="Normal 2 2 10 32 4 7" xfId="8973" xr:uid="{00000000-0005-0000-0000-000001230000}"/>
    <cellStyle name="Normal 2 2 10 32 4 8" xfId="8974" xr:uid="{00000000-0005-0000-0000-000002230000}"/>
    <cellStyle name="Normal 2 2 10 32 4 9" xfId="8975" xr:uid="{00000000-0005-0000-0000-000003230000}"/>
    <cellStyle name="Normal 2 2 10 32 5" xfId="8976" xr:uid="{00000000-0005-0000-0000-000004230000}"/>
    <cellStyle name="Normal 2 2 10 32 5 10" xfId="8977" xr:uid="{00000000-0005-0000-0000-000005230000}"/>
    <cellStyle name="Normal 2 2 10 32 5 2" xfId="8978" xr:uid="{00000000-0005-0000-0000-000006230000}"/>
    <cellStyle name="Normal 2 2 10 32 5 3" xfId="8979" xr:uid="{00000000-0005-0000-0000-000007230000}"/>
    <cellStyle name="Normal 2 2 10 32 5 4" xfId="8980" xr:uid="{00000000-0005-0000-0000-000008230000}"/>
    <cellStyle name="Normal 2 2 10 32 5 5" xfId="8981" xr:uid="{00000000-0005-0000-0000-000009230000}"/>
    <cellStyle name="Normal 2 2 10 32 5 6" xfId="8982" xr:uid="{00000000-0005-0000-0000-00000A230000}"/>
    <cellStyle name="Normal 2 2 10 32 5 7" xfId="8983" xr:uid="{00000000-0005-0000-0000-00000B230000}"/>
    <cellStyle name="Normal 2 2 10 32 5 8" xfId="8984" xr:uid="{00000000-0005-0000-0000-00000C230000}"/>
    <cellStyle name="Normal 2 2 10 32 5 9" xfId="8985" xr:uid="{00000000-0005-0000-0000-00000D230000}"/>
    <cellStyle name="Normal 2 2 10 32 6" xfId="8986" xr:uid="{00000000-0005-0000-0000-00000E230000}"/>
    <cellStyle name="Normal 2 2 10 32 7" xfId="8987" xr:uid="{00000000-0005-0000-0000-00000F230000}"/>
    <cellStyle name="Normal 2 2 10 32 8" xfId="8988" xr:uid="{00000000-0005-0000-0000-000010230000}"/>
    <cellStyle name="Normal 2 2 10 32 9" xfId="8989" xr:uid="{00000000-0005-0000-0000-000011230000}"/>
    <cellStyle name="Normal 2 2 10 33" xfId="8990" xr:uid="{00000000-0005-0000-0000-000012230000}"/>
    <cellStyle name="Normal 2 2 10 33 10" xfId="8991" xr:uid="{00000000-0005-0000-0000-000013230000}"/>
    <cellStyle name="Normal 2 2 10 33 11" xfId="8992" xr:uid="{00000000-0005-0000-0000-000014230000}"/>
    <cellStyle name="Normal 2 2 10 33 12" xfId="8993" xr:uid="{00000000-0005-0000-0000-000015230000}"/>
    <cellStyle name="Normal 2 2 10 33 13" xfId="8994" xr:uid="{00000000-0005-0000-0000-000016230000}"/>
    <cellStyle name="Normal 2 2 10 33 14" xfId="8995" xr:uid="{00000000-0005-0000-0000-000017230000}"/>
    <cellStyle name="Normal 2 2 10 33 2" xfId="8996" xr:uid="{00000000-0005-0000-0000-000018230000}"/>
    <cellStyle name="Normal 2 2 10 33 2 10" xfId="8997" xr:uid="{00000000-0005-0000-0000-000019230000}"/>
    <cellStyle name="Normal 2 2 10 33 2 2" xfId="8998" xr:uid="{00000000-0005-0000-0000-00001A230000}"/>
    <cellStyle name="Normal 2 2 10 33 2 3" xfId="8999" xr:uid="{00000000-0005-0000-0000-00001B230000}"/>
    <cellStyle name="Normal 2 2 10 33 2 4" xfId="9000" xr:uid="{00000000-0005-0000-0000-00001C230000}"/>
    <cellStyle name="Normal 2 2 10 33 2 5" xfId="9001" xr:uid="{00000000-0005-0000-0000-00001D230000}"/>
    <cellStyle name="Normal 2 2 10 33 2 6" xfId="9002" xr:uid="{00000000-0005-0000-0000-00001E230000}"/>
    <cellStyle name="Normal 2 2 10 33 2 7" xfId="9003" xr:uid="{00000000-0005-0000-0000-00001F230000}"/>
    <cellStyle name="Normal 2 2 10 33 2 8" xfId="9004" xr:uid="{00000000-0005-0000-0000-000020230000}"/>
    <cellStyle name="Normal 2 2 10 33 2 9" xfId="9005" xr:uid="{00000000-0005-0000-0000-000021230000}"/>
    <cellStyle name="Normal 2 2 10 33 3" xfId="9006" xr:uid="{00000000-0005-0000-0000-000022230000}"/>
    <cellStyle name="Normal 2 2 10 33 3 10" xfId="9007" xr:uid="{00000000-0005-0000-0000-000023230000}"/>
    <cellStyle name="Normal 2 2 10 33 3 2" xfId="9008" xr:uid="{00000000-0005-0000-0000-000024230000}"/>
    <cellStyle name="Normal 2 2 10 33 3 3" xfId="9009" xr:uid="{00000000-0005-0000-0000-000025230000}"/>
    <cellStyle name="Normal 2 2 10 33 3 4" xfId="9010" xr:uid="{00000000-0005-0000-0000-000026230000}"/>
    <cellStyle name="Normal 2 2 10 33 3 5" xfId="9011" xr:uid="{00000000-0005-0000-0000-000027230000}"/>
    <cellStyle name="Normal 2 2 10 33 3 6" xfId="9012" xr:uid="{00000000-0005-0000-0000-000028230000}"/>
    <cellStyle name="Normal 2 2 10 33 3 7" xfId="9013" xr:uid="{00000000-0005-0000-0000-000029230000}"/>
    <cellStyle name="Normal 2 2 10 33 3 8" xfId="9014" xr:uid="{00000000-0005-0000-0000-00002A230000}"/>
    <cellStyle name="Normal 2 2 10 33 3 9" xfId="9015" xr:uid="{00000000-0005-0000-0000-00002B230000}"/>
    <cellStyle name="Normal 2 2 10 33 4" xfId="9016" xr:uid="{00000000-0005-0000-0000-00002C230000}"/>
    <cellStyle name="Normal 2 2 10 33 4 10" xfId="9017" xr:uid="{00000000-0005-0000-0000-00002D230000}"/>
    <cellStyle name="Normal 2 2 10 33 4 2" xfId="9018" xr:uid="{00000000-0005-0000-0000-00002E230000}"/>
    <cellStyle name="Normal 2 2 10 33 4 3" xfId="9019" xr:uid="{00000000-0005-0000-0000-00002F230000}"/>
    <cellStyle name="Normal 2 2 10 33 4 4" xfId="9020" xr:uid="{00000000-0005-0000-0000-000030230000}"/>
    <cellStyle name="Normal 2 2 10 33 4 5" xfId="9021" xr:uid="{00000000-0005-0000-0000-000031230000}"/>
    <cellStyle name="Normal 2 2 10 33 4 6" xfId="9022" xr:uid="{00000000-0005-0000-0000-000032230000}"/>
    <cellStyle name="Normal 2 2 10 33 4 7" xfId="9023" xr:uid="{00000000-0005-0000-0000-000033230000}"/>
    <cellStyle name="Normal 2 2 10 33 4 8" xfId="9024" xr:uid="{00000000-0005-0000-0000-000034230000}"/>
    <cellStyle name="Normal 2 2 10 33 4 9" xfId="9025" xr:uid="{00000000-0005-0000-0000-000035230000}"/>
    <cellStyle name="Normal 2 2 10 33 5" xfId="9026" xr:uid="{00000000-0005-0000-0000-000036230000}"/>
    <cellStyle name="Normal 2 2 10 33 5 10" xfId="9027" xr:uid="{00000000-0005-0000-0000-000037230000}"/>
    <cellStyle name="Normal 2 2 10 33 5 2" xfId="9028" xr:uid="{00000000-0005-0000-0000-000038230000}"/>
    <cellStyle name="Normal 2 2 10 33 5 3" xfId="9029" xr:uid="{00000000-0005-0000-0000-000039230000}"/>
    <cellStyle name="Normal 2 2 10 33 5 4" xfId="9030" xr:uid="{00000000-0005-0000-0000-00003A230000}"/>
    <cellStyle name="Normal 2 2 10 33 5 5" xfId="9031" xr:uid="{00000000-0005-0000-0000-00003B230000}"/>
    <cellStyle name="Normal 2 2 10 33 5 6" xfId="9032" xr:uid="{00000000-0005-0000-0000-00003C230000}"/>
    <cellStyle name="Normal 2 2 10 33 5 7" xfId="9033" xr:uid="{00000000-0005-0000-0000-00003D230000}"/>
    <cellStyle name="Normal 2 2 10 33 5 8" xfId="9034" xr:uid="{00000000-0005-0000-0000-00003E230000}"/>
    <cellStyle name="Normal 2 2 10 33 5 9" xfId="9035" xr:uid="{00000000-0005-0000-0000-00003F230000}"/>
    <cellStyle name="Normal 2 2 10 33 6" xfId="9036" xr:uid="{00000000-0005-0000-0000-000040230000}"/>
    <cellStyle name="Normal 2 2 10 33 7" xfId="9037" xr:uid="{00000000-0005-0000-0000-000041230000}"/>
    <cellStyle name="Normal 2 2 10 33 8" xfId="9038" xr:uid="{00000000-0005-0000-0000-000042230000}"/>
    <cellStyle name="Normal 2 2 10 33 9" xfId="9039" xr:uid="{00000000-0005-0000-0000-000043230000}"/>
    <cellStyle name="Normal 2 2 10 34" xfId="9040" xr:uid="{00000000-0005-0000-0000-000044230000}"/>
    <cellStyle name="Normal 2 2 10 34 10" xfId="9041" xr:uid="{00000000-0005-0000-0000-000045230000}"/>
    <cellStyle name="Normal 2 2 10 34 11" xfId="9042" xr:uid="{00000000-0005-0000-0000-000046230000}"/>
    <cellStyle name="Normal 2 2 10 34 12" xfId="9043" xr:uid="{00000000-0005-0000-0000-000047230000}"/>
    <cellStyle name="Normal 2 2 10 34 13" xfId="9044" xr:uid="{00000000-0005-0000-0000-000048230000}"/>
    <cellStyle name="Normal 2 2 10 34 14" xfId="9045" xr:uid="{00000000-0005-0000-0000-000049230000}"/>
    <cellStyle name="Normal 2 2 10 34 2" xfId="9046" xr:uid="{00000000-0005-0000-0000-00004A230000}"/>
    <cellStyle name="Normal 2 2 10 34 2 10" xfId="9047" xr:uid="{00000000-0005-0000-0000-00004B230000}"/>
    <cellStyle name="Normal 2 2 10 34 2 2" xfId="9048" xr:uid="{00000000-0005-0000-0000-00004C230000}"/>
    <cellStyle name="Normal 2 2 10 34 2 3" xfId="9049" xr:uid="{00000000-0005-0000-0000-00004D230000}"/>
    <cellStyle name="Normal 2 2 10 34 2 4" xfId="9050" xr:uid="{00000000-0005-0000-0000-00004E230000}"/>
    <cellStyle name="Normal 2 2 10 34 2 5" xfId="9051" xr:uid="{00000000-0005-0000-0000-00004F230000}"/>
    <cellStyle name="Normal 2 2 10 34 2 6" xfId="9052" xr:uid="{00000000-0005-0000-0000-000050230000}"/>
    <cellStyle name="Normal 2 2 10 34 2 7" xfId="9053" xr:uid="{00000000-0005-0000-0000-000051230000}"/>
    <cellStyle name="Normal 2 2 10 34 2 8" xfId="9054" xr:uid="{00000000-0005-0000-0000-000052230000}"/>
    <cellStyle name="Normal 2 2 10 34 2 9" xfId="9055" xr:uid="{00000000-0005-0000-0000-000053230000}"/>
    <cellStyle name="Normal 2 2 10 34 3" xfId="9056" xr:uid="{00000000-0005-0000-0000-000054230000}"/>
    <cellStyle name="Normal 2 2 10 34 3 10" xfId="9057" xr:uid="{00000000-0005-0000-0000-000055230000}"/>
    <cellStyle name="Normal 2 2 10 34 3 2" xfId="9058" xr:uid="{00000000-0005-0000-0000-000056230000}"/>
    <cellStyle name="Normal 2 2 10 34 3 3" xfId="9059" xr:uid="{00000000-0005-0000-0000-000057230000}"/>
    <cellStyle name="Normal 2 2 10 34 3 4" xfId="9060" xr:uid="{00000000-0005-0000-0000-000058230000}"/>
    <cellStyle name="Normal 2 2 10 34 3 5" xfId="9061" xr:uid="{00000000-0005-0000-0000-000059230000}"/>
    <cellStyle name="Normal 2 2 10 34 3 6" xfId="9062" xr:uid="{00000000-0005-0000-0000-00005A230000}"/>
    <cellStyle name="Normal 2 2 10 34 3 7" xfId="9063" xr:uid="{00000000-0005-0000-0000-00005B230000}"/>
    <cellStyle name="Normal 2 2 10 34 3 8" xfId="9064" xr:uid="{00000000-0005-0000-0000-00005C230000}"/>
    <cellStyle name="Normal 2 2 10 34 3 9" xfId="9065" xr:uid="{00000000-0005-0000-0000-00005D230000}"/>
    <cellStyle name="Normal 2 2 10 34 4" xfId="9066" xr:uid="{00000000-0005-0000-0000-00005E230000}"/>
    <cellStyle name="Normal 2 2 10 34 4 10" xfId="9067" xr:uid="{00000000-0005-0000-0000-00005F230000}"/>
    <cellStyle name="Normal 2 2 10 34 4 2" xfId="9068" xr:uid="{00000000-0005-0000-0000-000060230000}"/>
    <cellStyle name="Normal 2 2 10 34 4 3" xfId="9069" xr:uid="{00000000-0005-0000-0000-000061230000}"/>
    <cellStyle name="Normal 2 2 10 34 4 4" xfId="9070" xr:uid="{00000000-0005-0000-0000-000062230000}"/>
    <cellStyle name="Normal 2 2 10 34 4 5" xfId="9071" xr:uid="{00000000-0005-0000-0000-000063230000}"/>
    <cellStyle name="Normal 2 2 10 34 4 6" xfId="9072" xr:uid="{00000000-0005-0000-0000-000064230000}"/>
    <cellStyle name="Normal 2 2 10 34 4 7" xfId="9073" xr:uid="{00000000-0005-0000-0000-000065230000}"/>
    <cellStyle name="Normal 2 2 10 34 4 8" xfId="9074" xr:uid="{00000000-0005-0000-0000-000066230000}"/>
    <cellStyle name="Normal 2 2 10 34 4 9" xfId="9075" xr:uid="{00000000-0005-0000-0000-000067230000}"/>
    <cellStyle name="Normal 2 2 10 34 5" xfId="9076" xr:uid="{00000000-0005-0000-0000-000068230000}"/>
    <cellStyle name="Normal 2 2 10 34 5 10" xfId="9077" xr:uid="{00000000-0005-0000-0000-000069230000}"/>
    <cellStyle name="Normal 2 2 10 34 5 2" xfId="9078" xr:uid="{00000000-0005-0000-0000-00006A230000}"/>
    <cellStyle name="Normal 2 2 10 34 5 3" xfId="9079" xr:uid="{00000000-0005-0000-0000-00006B230000}"/>
    <cellStyle name="Normal 2 2 10 34 5 4" xfId="9080" xr:uid="{00000000-0005-0000-0000-00006C230000}"/>
    <cellStyle name="Normal 2 2 10 34 5 5" xfId="9081" xr:uid="{00000000-0005-0000-0000-00006D230000}"/>
    <cellStyle name="Normal 2 2 10 34 5 6" xfId="9082" xr:uid="{00000000-0005-0000-0000-00006E230000}"/>
    <cellStyle name="Normal 2 2 10 34 5 7" xfId="9083" xr:uid="{00000000-0005-0000-0000-00006F230000}"/>
    <cellStyle name="Normal 2 2 10 34 5 8" xfId="9084" xr:uid="{00000000-0005-0000-0000-000070230000}"/>
    <cellStyle name="Normal 2 2 10 34 5 9" xfId="9085" xr:uid="{00000000-0005-0000-0000-000071230000}"/>
    <cellStyle name="Normal 2 2 10 34 6" xfId="9086" xr:uid="{00000000-0005-0000-0000-000072230000}"/>
    <cellStyle name="Normal 2 2 10 34 7" xfId="9087" xr:uid="{00000000-0005-0000-0000-000073230000}"/>
    <cellStyle name="Normal 2 2 10 34 8" xfId="9088" xr:uid="{00000000-0005-0000-0000-000074230000}"/>
    <cellStyle name="Normal 2 2 10 34 9" xfId="9089" xr:uid="{00000000-0005-0000-0000-000075230000}"/>
    <cellStyle name="Normal 2 2 10 35" xfId="9090" xr:uid="{00000000-0005-0000-0000-000076230000}"/>
    <cellStyle name="Normal 2 2 10 35 10" xfId="9091" xr:uid="{00000000-0005-0000-0000-000077230000}"/>
    <cellStyle name="Normal 2 2 10 35 2" xfId="9092" xr:uid="{00000000-0005-0000-0000-000078230000}"/>
    <cellStyle name="Normal 2 2 10 35 3" xfId="9093" xr:uid="{00000000-0005-0000-0000-000079230000}"/>
    <cellStyle name="Normal 2 2 10 35 4" xfId="9094" xr:uid="{00000000-0005-0000-0000-00007A230000}"/>
    <cellStyle name="Normal 2 2 10 35 5" xfId="9095" xr:uid="{00000000-0005-0000-0000-00007B230000}"/>
    <cellStyle name="Normal 2 2 10 35 6" xfId="9096" xr:uid="{00000000-0005-0000-0000-00007C230000}"/>
    <cellStyle name="Normal 2 2 10 35 7" xfId="9097" xr:uid="{00000000-0005-0000-0000-00007D230000}"/>
    <cellStyle name="Normal 2 2 10 35 8" xfId="9098" xr:uid="{00000000-0005-0000-0000-00007E230000}"/>
    <cellStyle name="Normal 2 2 10 35 9" xfId="9099" xr:uid="{00000000-0005-0000-0000-00007F230000}"/>
    <cellStyle name="Normal 2 2 10 36" xfId="9100" xr:uid="{00000000-0005-0000-0000-000080230000}"/>
    <cellStyle name="Normal 2 2 10 36 10" xfId="9101" xr:uid="{00000000-0005-0000-0000-000081230000}"/>
    <cellStyle name="Normal 2 2 10 36 2" xfId="9102" xr:uid="{00000000-0005-0000-0000-000082230000}"/>
    <cellStyle name="Normal 2 2 10 36 3" xfId="9103" xr:uid="{00000000-0005-0000-0000-000083230000}"/>
    <cellStyle name="Normal 2 2 10 36 4" xfId="9104" xr:uid="{00000000-0005-0000-0000-000084230000}"/>
    <cellStyle name="Normal 2 2 10 36 5" xfId="9105" xr:uid="{00000000-0005-0000-0000-000085230000}"/>
    <cellStyle name="Normal 2 2 10 36 6" xfId="9106" xr:uid="{00000000-0005-0000-0000-000086230000}"/>
    <cellStyle name="Normal 2 2 10 36 7" xfId="9107" xr:uid="{00000000-0005-0000-0000-000087230000}"/>
    <cellStyle name="Normal 2 2 10 36 8" xfId="9108" xr:uid="{00000000-0005-0000-0000-000088230000}"/>
    <cellStyle name="Normal 2 2 10 36 9" xfId="9109" xr:uid="{00000000-0005-0000-0000-000089230000}"/>
    <cellStyle name="Normal 2 2 10 37" xfId="9110" xr:uid="{00000000-0005-0000-0000-00008A230000}"/>
    <cellStyle name="Normal 2 2 10 37 10" xfId="9111" xr:uid="{00000000-0005-0000-0000-00008B230000}"/>
    <cellStyle name="Normal 2 2 10 37 2" xfId="9112" xr:uid="{00000000-0005-0000-0000-00008C230000}"/>
    <cellStyle name="Normal 2 2 10 37 3" xfId="9113" xr:uid="{00000000-0005-0000-0000-00008D230000}"/>
    <cellStyle name="Normal 2 2 10 37 4" xfId="9114" xr:uid="{00000000-0005-0000-0000-00008E230000}"/>
    <cellStyle name="Normal 2 2 10 37 5" xfId="9115" xr:uid="{00000000-0005-0000-0000-00008F230000}"/>
    <cellStyle name="Normal 2 2 10 37 6" xfId="9116" xr:uid="{00000000-0005-0000-0000-000090230000}"/>
    <cellStyle name="Normal 2 2 10 37 7" xfId="9117" xr:uid="{00000000-0005-0000-0000-000091230000}"/>
    <cellStyle name="Normal 2 2 10 37 8" xfId="9118" xr:uid="{00000000-0005-0000-0000-000092230000}"/>
    <cellStyle name="Normal 2 2 10 37 9" xfId="9119" xr:uid="{00000000-0005-0000-0000-000093230000}"/>
    <cellStyle name="Normal 2 2 10 38" xfId="9120" xr:uid="{00000000-0005-0000-0000-000094230000}"/>
    <cellStyle name="Normal 2 2 10 38 10" xfId="9121" xr:uid="{00000000-0005-0000-0000-000095230000}"/>
    <cellStyle name="Normal 2 2 10 38 2" xfId="9122" xr:uid="{00000000-0005-0000-0000-000096230000}"/>
    <cellStyle name="Normal 2 2 10 38 3" xfId="9123" xr:uid="{00000000-0005-0000-0000-000097230000}"/>
    <cellStyle name="Normal 2 2 10 38 4" xfId="9124" xr:uid="{00000000-0005-0000-0000-000098230000}"/>
    <cellStyle name="Normal 2 2 10 38 5" xfId="9125" xr:uid="{00000000-0005-0000-0000-000099230000}"/>
    <cellStyle name="Normal 2 2 10 38 6" xfId="9126" xr:uid="{00000000-0005-0000-0000-00009A230000}"/>
    <cellStyle name="Normal 2 2 10 38 7" xfId="9127" xr:uid="{00000000-0005-0000-0000-00009B230000}"/>
    <cellStyle name="Normal 2 2 10 38 8" xfId="9128" xr:uid="{00000000-0005-0000-0000-00009C230000}"/>
    <cellStyle name="Normal 2 2 10 38 9" xfId="9129" xr:uid="{00000000-0005-0000-0000-00009D230000}"/>
    <cellStyle name="Normal 2 2 10 39" xfId="9130" xr:uid="{00000000-0005-0000-0000-00009E230000}"/>
    <cellStyle name="Normal 2 2 10 4" xfId="9131" xr:uid="{00000000-0005-0000-0000-00009F230000}"/>
    <cellStyle name="Normal 2 2 10 4 10" xfId="9132" xr:uid="{00000000-0005-0000-0000-0000A0230000}"/>
    <cellStyle name="Normal 2 2 10 4 11" xfId="9133" xr:uid="{00000000-0005-0000-0000-0000A1230000}"/>
    <cellStyle name="Normal 2 2 10 4 12" xfId="9134" xr:uid="{00000000-0005-0000-0000-0000A2230000}"/>
    <cellStyle name="Normal 2 2 10 4 13" xfId="9135" xr:uid="{00000000-0005-0000-0000-0000A3230000}"/>
    <cellStyle name="Normal 2 2 10 4 14" xfId="9136" xr:uid="{00000000-0005-0000-0000-0000A4230000}"/>
    <cellStyle name="Normal 2 2 10 4 2" xfId="9137" xr:uid="{00000000-0005-0000-0000-0000A5230000}"/>
    <cellStyle name="Normal 2 2 10 4 2 10" xfId="9138" xr:uid="{00000000-0005-0000-0000-0000A6230000}"/>
    <cellStyle name="Normal 2 2 10 4 2 2" xfId="9139" xr:uid="{00000000-0005-0000-0000-0000A7230000}"/>
    <cellStyle name="Normal 2 2 10 4 2 3" xfId="9140" xr:uid="{00000000-0005-0000-0000-0000A8230000}"/>
    <cellStyle name="Normal 2 2 10 4 2 4" xfId="9141" xr:uid="{00000000-0005-0000-0000-0000A9230000}"/>
    <cellStyle name="Normal 2 2 10 4 2 5" xfId="9142" xr:uid="{00000000-0005-0000-0000-0000AA230000}"/>
    <cellStyle name="Normal 2 2 10 4 2 6" xfId="9143" xr:uid="{00000000-0005-0000-0000-0000AB230000}"/>
    <cellStyle name="Normal 2 2 10 4 2 7" xfId="9144" xr:uid="{00000000-0005-0000-0000-0000AC230000}"/>
    <cellStyle name="Normal 2 2 10 4 2 8" xfId="9145" xr:uid="{00000000-0005-0000-0000-0000AD230000}"/>
    <cellStyle name="Normal 2 2 10 4 2 9" xfId="9146" xr:uid="{00000000-0005-0000-0000-0000AE230000}"/>
    <cellStyle name="Normal 2 2 10 4 3" xfId="9147" xr:uid="{00000000-0005-0000-0000-0000AF230000}"/>
    <cellStyle name="Normal 2 2 10 4 3 10" xfId="9148" xr:uid="{00000000-0005-0000-0000-0000B0230000}"/>
    <cellStyle name="Normal 2 2 10 4 3 2" xfId="9149" xr:uid="{00000000-0005-0000-0000-0000B1230000}"/>
    <cellStyle name="Normal 2 2 10 4 3 3" xfId="9150" xr:uid="{00000000-0005-0000-0000-0000B2230000}"/>
    <cellStyle name="Normal 2 2 10 4 3 4" xfId="9151" xr:uid="{00000000-0005-0000-0000-0000B3230000}"/>
    <cellStyle name="Normal 2 2 10 4 3 5" xfId="9152" xr:uid="{00000000-0005-0000-0000-0000B4230000}"/>
    <cellStyle name="Normal 2 2 10 4 3 6" xfId="9153" xr:uid="{00000000-0005-0000-0000-0000B5230000}"/>
    <cellStyle name="Normal 2 2 10 4 3 7" xfId="9154" xr:uid="{00000000-0005-0000-0000-0000B6230000}"/>
    <cellStyle name="Normal 2 2 10 4 3 8" xfId="9155" xr:uid="{00000000-0005-0000-0000-0000B7230000}"/>
    <cellStyle name="Normal 2 2 10 4 3 9" xfId="9156" xr:uid="{00000000-0005-0000-0000-0000B8230000}"/>
    <cellStyle name="Normal 2 2 10 4 4" xfId="9157" xr:uid="{00000000-0005-0000-0000-0000B9230000}"/>
    <cellStyle name="Normal 2 2 10 4 4 10" xfId="9158" xr:uid="{00000000-0005-0000-0000-0000BA230000}"/>
    <cellStyle name="Normal 2 2 10 4 4 2" xfId="9159" xr:uid="{00000000-0005-0000-0000-0000BB230000}"/>
    <cellStyle name="Normal 2 2 10 4 4 3" xfId="9160" xr:uid="{00000000-0005-0000-0000-0000BC230000}"/>
    <cellStyle name="Normal 2 2 10 4 4 4" xfId="9161" xr:uid="{00000000-0005-0000-0000-0000BD230000}"/>
    <cellStyle name="Normal 2 2 10 4 4 5" xfId="9162" xr:uid="{00000000-0005-0000-0000-0000BE230000}"/>
    <cellStyle name="Normal 2 2 10 4 4 6" xfId="9163" xr:uid="{00000000-0005-0000-0000-0000BF230000}"/>
    <cellStyle name="Normal 2 2 10 4 4 7" xfId="9164" xr:uid="{00000000-0005-0000-0000-0000C0230000}"/>
    <cellStyle name="Normal 2 2 10 4 4 8" xfId="9165" xr:uid="{00000000-0005-0000-0000-0000C1230000}"/>
    <cellStyle name="Normal 2 2 10 4 4 9" xfId="9166" xr:uid="{00000000-0005-0000-0000-0000C2230000}"/>
    <cellStyle name="Normal 2 2 10 4 5" xfId="9167" xr:uid="{00000000-0005-0000-0000-0000C3230000}"/>
    <cellStyle name="Normal 2 2 10 4 5 10" xfId="9168" xr:uid="{00000000-0005-0000-0000-0000C4230000}"/>
    <cellStyle name="Normal 2 2 10 4 5 2" xfId="9169" xr:uid="{00000000-0005-0000-0000-0000C5230000}"/>
    <cellStyle name="Normal 2 2 10 4 5 3" xfId="9170" xr:uid="{00000000-0005-0000-0000-0000C6230000}"/>
    <cellStyle name="Normal 2 2 10 4 5 4" xfId="9171" xr:uid="{00000000-0005-0000-0000-0000C7230000}"/>
    <cellStyle name="Normal 2 2 10 4 5 5" xfId="9172" xr:uid="{00000000-0005-0000-0000-0000C8230000}"/>
    <cellStyle name="Normal 2 2 10 4 5 6" xfId="9173" xr:uid="{00000000-0005-0000-0000-0000C9230000}"/>
    <cellStyle name="Normal 2 2 10 4 5 7" xfId="9174" xr:uid="{00000000-0005-0000-0000-0000CA230000}"/>
    <cellStyle name="Normal 2 2 10 4 5 8" xfId="9175" xr:uid="{00000000-0005-0000-0000-0000CB230000}"/>
    <cellStyle name="Normal 2 2 10 4 5 9" xfId="9176" xr:uid="{00000000-0005-0000-0000-0000CC230000}"/>
    <cellStyle name="Normal 2 2 10 4 6" xfId="9177" xr:uid="{00000000-0005-0000-0000-0000CD230000}"/>
    <cellStyle name="Normal 2 2 10 4 7" xfId="9178" xr:uid="{00000000-0005-0000-0000-0000CE230000}"/>
    <cellStyle name="Normal 2 2 10 4 8" xfId="9179" xr:uid="{00000000-0005-0000-0000-0000CF230000}"/>
    <cellStyle name="Normal 2 2 10 4 9" xfId="9180" xr:uid="{00000000-0005-0000-0000-0000D0230000}"/>
    <cellStyle name="Normal 2 2 10 40" xfId="9181" xr:uid="{00000000-0005-0000-0000-0000D1230000}"/>
    <cellStyle name="Normal 2 2 10 41" xfId="9182" xr:uid="{00000000-0005-0000-0000-0000D2230000}"/>
    <cellStyle name="Normal 2 2 10 42" xfId="9183" xr:uid="{00000000-0005-0000-0000-0000D3230000}"/>
    <cellStyle name="Normal 2 2 10 43" xfId="9184" xr:uid="{00000000-0005-0000-0000-0000D4230000}"/>
    <cellStyle name="Normal 2 2 10 44" xfId="9185" xr:uid="{00000000-0005-0000-0000-0000D5230000}"/>
    <cellStyle name="Normal 2 2 10 45" xfId="9186" xr:uid="{00000000-0005-0000-0000-0000D6230000}"/>
    <cellStyle name="Normal 2 2 10 46" xfId="9187" xr:uid="{00000000-0005-0000-0000-0000D7230000}"/>
    <cellStyle name="Normal 2 2 10 47" xfId="9188" xr:uid="{00000000-0005-0000-0000-0000D8230000}"/>
    <cellStyle name="Normal 2 2 10 5" xfId="9189" xr:uid="{00000000-0005-0000-0000-0000D9230000}"/>
    <cellStyle name="Normal 2 2 10 5 10" xfId="9190" xr:uid="{00000000-0005-0000-0000-0000DA230000}"/>
    <cellStyle name="Normal 2 2 10 5 11" xfId="9191" xr:uid="{00000000-0005-0000-0000-0000DB230000}"/>
    <cellStyle name="Normal 2 2 10 5 12" xfId="9192" xr:uid="{00000000-0005-0000-0000-0000DC230000}"/>
    <cellStyle name="Normal 2 2 10 5 13" xfId="9193" xr:uid="{00000000-0005-0000-0000-0000DD230000}"/>
    <cellStyle name="Normal 2 2 10 5 14" xfId="9194" xr:uid="{00000000-0005-0000-0000-0000DE230000}"/>
    <cellStyle name="Normal 2 2 10 5 2" xfId="9195" xr:uid="{00000000-0005-0000-0000-0000DF230000}"/>
    <cellStyle name="Normal 2 2 10 5 2 10" xfId="9196" xr:uid="{00000000-0005-0000-0000-0000E0230000}"/>
    <cellStyle name="Normal 2 2 10 5 2 2" xfId="9197" xr:uid="{00000000-0005-0000-0000-0000E1230000}"/>
    <cellStyle name="Normal 2 2 10 5 2 3" xfId="9198" xr:uid="{00000000-0005-0000-0000-0000E2230000}"/>
    <cellStyle name="Normal 2 2 10 5 2 4" xfId="9199" xr:uid="{00000000-0005-0000-0000-0000E3230000}"/>
    <cellStyle name="Normal 2 2 10 5 2 5" xfId="9200" xr:uid="{00000000-0005-0000-0000-0000E4230000}"/>
    <cellStyle name="Normal 2 2 10 5 2 6" xfId="9201" xr:uid="{00000000-0005-0000-0000-0000E5230000}"/>
    <cellStyle name="Normal 2 2 10 5 2 7" xfId="9202" xr:uid="{00000000-0005-0000-0000-0000E6230000}"/>
    <cellStyle name="Normal 2 2 10 5 2 8" xfId="9203" xr:uid="{00000000-0005-0000-0000-0000E7230000}"/>
    <cellStyle name="Normal 2 2 10 5 2 9" xfId="9204" xr:uid="{00000000-0005-0000-0000-0000E8230000}"/>
    <cellStyle name="Normal 2 2 10 5 3" xfId="9205" xr:uid="{00000000-0005-0000-0000-0000E9230000}"/>
    <cellStyle name="Normal 2 2 10 5 3 10" xfId="9206" xr:uid="{00000000-0005-0000-0000-0000EA230000}"/>
    <cellStyle name="Normal 2 2 10 5 3 2" xfId="9207" xr:uid="{00000000-0005-0000-0000-0000EB230000}"/>
    <cellStyle name="Normal 2 2 10 5 3 3" xfId="9208" xr:uid="{00000000-0005-0000-0000-0000EC230000}"/>
    <cellStyle name="Normal 2 2 10 5 3 4" xfId="9209" xr:uid="{00000000-0005-0000-0000-0000ED230000}"/>
    <cellStyle name="Normal 2 2 10 5 3 5" xfId="9210" xr:uid="{00000000-0005-0000-0000-0000EE230000}"/>
    <cellStyle name="Normal 2 2 10 5 3 6" xfId="9211" xr:uid="{00000000-0005-0000-0000-0000EF230000}"/>
    <cellStyle name="Normal 2 2 10 5 3 7" xfId="9212" xr:uid="{00000000-0005-0000-0000-0000F0230000}"/>
    <cellStyle name="Normal 2 2 10 5 3 8" xfId="9213" xr:uid="{00000000-0005-0000-0000-0000F1230000}"/>
    <cellStyle name="Normal 2 2 10 5 3 9" xfId="9214" xr:uid="{00000000-0005-0000-0000-0000F2230000}"/>
    <cellStyle name="Normal 2 2 10 5 4" xfId="9215" xr:uid="{00000000-0005-0000-0000-0000F3230000}"/>
    <cellStyle name="Normal 2 2 10 5 4 10" xfId="9216" xr:uid="{00000000-0005-0000-0000-0000F4230000}"/>
    <cellStyle name="Normal 2 2 10 5 4 2" xfId="9217" xr:uid="{00000000-0005-0000-0000-0000F5230000}"/>
    <cellStyle name="Normal 2 2 10 5 4 3" xfId="9218" xr:uid="{00000000-0005-0000-0000-0000F6230000}"/>
    <cellStyle name="Normal 2 2 10 5 4 4" xfId="9219" xr:uid="{00000000-0005-0000-0000-0000F7230000}"/>
    <cellStyle name="Normal 2 2 10 5 4 5" xfId="9220" xr:uid="{00000000-0005-0000-0000-0000F8230000}"/>
    <cellStyle name="Normal 2 2 10 5 4 6" xfId="9221" xr:uid="{00000000-0005-0000-0000-0000F9230000}"/>
    <cellStyle name="Normal 2 2 10 5 4 7" xfId="9222" xr:uid="{00000000-0005-0000-0000-0000FA230000}"/>
    <cellStyle name="Normal 2 2 10 5 4 8" xfId="9223" xr:uid="{00000000-0005-0000-0000-0000FB230000}"/>
    <cellStyle name="Normal 2 2 10 5 4 9" xfId="9224" xr:uid="{00000000-0005-0000-0000-0000FC230000}"/>
    <cellStyle name="Normal 2 2 10 5 5" xfId="9225" xr:uid="{00000000-0005-0000-0000-0000FD230000}"/>
    <cellStyle name="Normal 2 2 10 5 5 10" xfId="9226" xr:uid="{00000000-0005-0000-0000-0000FE230000}"/>
    <cellStyle name="Normal 2 2 10 5 5 2" xfId="9227" xr:uid="{00000000-0005-0000-0000-0000FF230000}"/>
    <cellStyle name="Normal 2 2 10 5 5 3" xfId="9228" xr:uid="{00000000-0005-0000-0000-000000240000}"/>
    <cellStyle name="Normal 2 2 10 5 5 4" xfId="9229" xr:uid="{00000000-0005-0000-0000-000001240000}"/>
    <cellStyle name="Normal 2 2 10 5 5 5" xfId="9230" xr:uid="{00000000-0005-0000-0000-000002240000}"/>
    <cellStyle name="Normal 2 2 10 5 5 6" xfId="9231" xr:uid="{00000000-0005-0000-0000-000003240000}"/>
    <cellStyle name="Normal 2 2 10 5 5 7" xfId="9232" xr:uid="{00000000-0005-0000-0000-000004240000}"/>
    <cellStyle name="Normal 2 2 10 5 5 8" xfId="9233" xr:uid="{00000000-0005-0000-0000-000005240000}"/>
    <cellStyle name="Normal 2 2 10 5 5 9" xfId="9234" xr:uid="{00000000-0005-0000-0000-000006240000}"/>
    <cellStyle name="Normal 2 2 10 5 6" xfId="9235" xr:uid="{00000000-0005-0000-0000-000007240000}"/>
    <cellStyle name="Normal 2 2 10 5 7" xfId="9236" xr:uid="{00000000-0005-0000-0000-000008240000}"/>
    <cellStyle name="Normal 2 2 10 5 8" xfId="9237" xr:uid="{00000000-0005-0000-0000-000009240000}"/>
    <cellStyle name="Normal 2 2 10 5 9" xfId="9238" xr:uid="{00000000-0005-0000-0000-00000A240000}"/>
    <cellStyle name="Normal 2 2 10 6" xfId="9239" xr:uid="{00000000-0005-0000-0000-00000B240000}"/>
    <cellStyle name="Normal 2 2 10 6 10" xfId="9240" xr:uid="{00000000-0005-0000-0000-00000C240000}"/>
    <cellStyle name="Normal 2 2 10 6 11" xfId="9241" xr:uid="{00000000-0005-0000-0000-00000D240000}"/>
    <cellStyle name="Normal 2 2 10 6 12" xfId="9242" xr:uid="{00000000-0005-0000-0000-00000E240000}"/>
    <cellStyle name="Normal 2 2 10 6 13" xfId="9243" xr:uid="{00000000-0005-0000-0000-00000F240000}"/>
    <cellStyle name="Normal 2 2 10 6 14" xfId="9244" xr:uid="{00000000-0005-0000-0000-000010240000}"/>
    <cellStyle name="Normal 2 2 10 6 2" xfId="9245" xr:uid="{00000000-0005-0000-0000-000011240000}"/>
    <cellStyle name="Normal 2 2 10 6 2 10" xfId="9246" xr:uid="{00000000-0005-0000-0000-000012240000}"/>
    <cellStyle name="Normal 2 2 10 6 2 2" xfId="9247" xr:uid="{00000000-0005-0000-0000-000013240000}"/>
    <cellStyle name="Normal 2 2 10 6 2 3" xfId="9248" xr:uid="{00000000-0005-0000-0000-000014240000}"/>
    <cellStyle name="Normal 2 2 10 6 2 4" xfId="9249" xr:uid="{00000000-0005-0000-0000-000015240000}"/>
    <cellStyle name="Normal 2 2 10 6 2 5" xfId="9250" xr:uid="{00000000-0005-0000-0000-000016240000}"/>
    <cellStyle name="Normal 2 2 10 6 2 6" xfId="9251" xr:uid="{00000000-0005-0000-0000-000017240000}"/>
    <cellStyle name="Normal 2 2 10 6 2 7" xfId="9252" xr:uid="{00000000-0005-0000-0000-000018240000}"/>
    <cellStyle name="Normal 2 2 10 6 2 8" xfId="9253" xr:uid="{00000000-0005-0000-0000-000019240000}"/>
    <cellStyle name="Normal 2 2 10 6 2 9" xfId="9254" xr:uid="{00000000-0005-0000-0000-00001A240000}"/>
    <cellStyle name="Normal 2 2 10 6 3" xfId="9255" xr:uid="{00000000-0005-0000-0000-00001B240000}"/>
    <cellStyle name="Normal 2 2 10 6 3 10" xfId="9256" xr:uid="{00000000-0005-0000-0000-00001C240000}"/>
    <cellStyle name="Normal 2 2 10 6 3 2" xfId="9257" xr:uid="{00000000-0005-0000-0000-00001D240000}"/>
    <cellStyle name="Normal 2 2 10 6 3 3" xfId="9258" xr:uid="{00000000-0005-0000-0000-00001E240000}"/>
    <cellStyle name="Normal 2 2 10 6 3 4" xfId="9259" xr:uid="{00000000-0005-0000-0000-00001F240000}"/>
    <cellStyle name="Normal 2 2 10 6 3 5" xfId="9260" xr:uid="{00000000-0005-0000-0000-000020240000}"/>
    <cellStyle name="Normal 2 2 10 6 3 6" xfId="9261" xr:uid="{00000000-0005-0000-0000-000021240000}"/>
    <cellStyle name="Normal 2 2 10 6 3 7" xfId="9262" xr:uid="{00000000-0005-0000-0000-000022240000}"/>
    <cellStyle name="Normal 2 2 10 6 3 8" xfId="9263" xr:uid="{00000000-0005-0000-0000-000023240000}"/>
    <cellStyle name="Normal 2 2 10 6 3 9" xfId="9264" xr:uid="{00000000-0005-0000-0000-000024240000}"/>
    <cellStyle name="Normal 2 2 10 6 4" xfId="9265" xr:uid="{00000000-0005-0000-0000-000025240000}"/>
    <cellStyle name="Normal 2 2 10 6 4 10" xfId="9266" xr:uid="{00000000-0005-0000-0000-000026240000}"/>
    <cellStyle name="Normal 2 2 10 6 4 2" xfId="9267" xr:uid="{00000000-0005-0000-0000-000027240000}"/>
    <cellStyle name="Normal 2 2 10 6 4 3" xfId="9268" xr:uid="{00000000-0005-0000-0000-000028240000}"/>
    <cellStyle name="Normal 2 2 10 6 4 4" xfId="9269" xr:uid="{00000000-0005-0000-0000-000029240000}"/>
    <cellStyle name="Normal 2 2 10 6 4 5" xfId="9270" xr:uid="{00000000-0005-0000-0000-00002A240000}"/>
    <cellStyle name="Normal 2 2 10 6 4 6" xfId="9271" xr:uid="{00000000-0005-0000-0000-00002B240000}"/>
    <cellStyle name="Normal 2 2 10 6 4 7" xfId="9272" xr:uid="{00000000-0005-0000-0000-00002C240000}"/>
    <cellStyle name="Normal 2 2 10 6 4 8" xfId="9273" xr:uid="{00000000-0005-0000-0000-00002D240000}"/>
    <cellStyle name="Normal 2 2 10 6 4 9" xfId="9274" xr:uid="{00000000-0005-0000-0000-00002E240000}"/>
    <cellStyle name="Normal 2 2 10 6 5" xfId="9275" xr:uid="{00000000-0005-0000-0000-00002F240000}"/>
    <cellStyle name="Normal 2 2 10 6 5 10" xfId="9276" xr:uid="{00000000-0005-0000-0000-000030240000}"/>
    <cellStyle name="Normal 2 2 10 6 5 2" xfId="9277" xr:uid="{00000000-0005-0000-0000-000031240000}"/>
    <cellStyle name="Normal 2 2 10 6 5 3" xfId="9278" xr:uid="{00000000-0005-0000-0000-000032240000}"/>
    <cellStyle name="Normal 2 2 10 6 5 4" xfId="9279" xr:uid="{00000000-0005-0000-0000-000033240000}"/>
    <cellStyle name="Normal 2 2 10 6 5 5" xfId="9280" xr:uid="{00000000-0005-0000-0000-000034240000}"/>
    <cellStyle name="Normal 2 2 10 6 5 6" xfId="9281" xr:uid="{00000000-0005-0000-0000-000035240000}"/>
    <cellStyle name="Normal 2 2 10 6 5 7" xfId="9282" xr:uid="{00000000-0005-0000-0000-000036240000}"/>
    <cellStyle name="Normal 2 2 10 6 5 8" xfId="9283" xr:uid="{00000000-0005-0000-0000-000037240000}"/>
    <cellStyle name="Normal 2 2 10 6 5 9" xfId="9284" xr:uid="{00000000-0005-0000-0000-000038240000}"/>
    <cellStyle name="Normal 2 2 10 6 6" xfId="9285" xr:uid="{00000000-0005-0000-0000-000039240000}"/>
    <cellStyle name="Normal 2 2 10 6 7" xfId="9286" xr:uid="{00000000-0005-0000-0000-00003A240000}"/>
    <cellStyle name="Normal 2 2 10 6 8" xfId="9287" xr:uid="{00000000-0005-0000-0000-00003B240000}"/>
    <cellStyle name="Normal 2 2 10 6 9" xfId="9288" xr:uid="{00000000-0005-0000-0000-00003C240000}"/>
    <cellStyle name="Normal 2 2 10 7" xfId="9289" xr:uid="{00000000-0005-0000-0000-00003D240000}"/>
    <cellStyle name="Normal 2 2 10 7 10" xfId="9290" xr:uid="{00000000-0005-0000-0000-00003E240000}"/>
    <cellStyle name="Normal 2 2 10 7 11" xfId="9291" xr:uid="{00000000-0005-0000-0000-00003F240000}"/>
    <cellStyle name="Normal 2 2 10 7 12" xfId="9292" xr:uid="{00000000-0005-0000-0000-000040240000}"/>
    <cellStyle name="Normal 2 2 10 7 13" xfId="9293" xr:uid="{00000000-0005-0000-0000-000041240000}"/>
    <cellStyle name="Normal 2 2 10 7 14" xfId="9294" xr:uid="{00000000-0005-0000-0000-000042240000}"/>
    <cellStyle name="Normal 2 2 10 7 2" xfId="9295" xr:uid="{00000000-0005-0000-0000-000043240000}"/>
    <cellStyle name="Normal 2 2 10 7 2 10" xfId="9296" xr:uid="{00000000-0005-0000-0000-000044240000}"/>
    <cellStyle name="Normal 2 2 10 7 2 2" xfId="9297" xr:uid="{00000000-0005-0000-0000-000045240000}"/>
    <cellStyle name="Normal 2 2 10 7 2 3" xfId="9298" xr:uid="{00000000-0005-0000-0000-000046240000}"/>
    <cellStyle name="Normal 2 2 10 7 2 4" xfId="9299" xr:uid="{00000000-0005-0000-0000-000047240000}"/>
    <cellStyle name="Normal 2 2 10 7 2 5" xfId="9300" xr:uid="{00000000-0005-0000-0000-000048240000}"/>
    <cellStyle name="Normal 2 2 10 7 2 6" xfId="9301" xr:uid="{00000000-0005-0000-0000-000049240000}"/>
    <cellStyle name="Normal 2 2 10 7 2 7" xfId="9302" xr:uid="{00000000-0005-0000-0000-00004A240000}"/>
    <cellStyle name="Normal 2 2 10 7 2 8" xfId="9303" xr:uid="{00000000-0005-0000-0000-00004B240000}"/>
    <cellStyle name="Normal 2 2 10 7 2 9" xfId="9304" xr:uid="{00000000-0005-0000-0000-00004C240000}"/>
    <cellStyle name="Normal 2 2 10 7 3" xfId="9305" xr:uid="{00000000-0005-0000-0000-00004D240000}"/>
    <cellStyle name="Normal 2 2 10 7 3 10" xfId="9306" xr:uid="{00000000-0005-0000-0000-00004E240000}"/>
    <cellStyle name="Normal 2 2 10 7 3 2" xfId="9307" xr:uid="{00000000-0005-0000-0000-00004F240000}"/>
    <cellStyle name="Normal 2 2 10 7 3 3" xfId="9308" xr:uid="{00000000-0005-0000-0000-000050240000}"/>
    <cellStyle name="Normal 2 2 10 7 3 4" xfId="9309" xr:uid="{00000000-0005-0000-0000-000051240000}"/>
    <cellStyle name="Normal 2 2 10 7 3 5" xfId="9310" xr:uid="{00000000-0005-0000-0000-000052240000}"/>
    <cellStyle name="Normal 2 2 10 7 3 6" xfId="9311" xr:uid="{00000000-0005-0000-0000-000053240000}"/>
    <cellStyle name="Normal 2 2 10 7 3 7" xfId="9312" xr:uid="{00000000-0005-0000-0000-000054240000}"/>
    <cellStyle name="Normal 2 2 10 7 3 8" xfId="9313" xr:uid="{00000000-0005-0000-0000-000055240000}"/>
    <cellStyle name="Normal 2 2 10 7 3 9" xfId="9314" xr:uid="{00000000-0005-0000-0000-000056240000}"/>
    <cellStyle name="Normal 2 2 10 7 4" xfId="9315" xr:uid="{00000000-0005-0000-0000-000057240000}"/>
    <cellStyle name="Normal 2 2 10 7 4 10" xfId="9316" xr:uid="{00000000-0005-0000-0000-000058240000}"/>
    <cellStyle name="Normal 2 2 10 7 4 2" xfId="9317" xr:uid="{00000000-0005-0000-0000-000059240000}"/>
    <cellStyle name="Normal 2 2 10 7 4 3" xfId="9318" xr:uid="{00000000-0005-0000-0000-00005A240000}"/>
    <cellStyle name="Normal 2 2 10 7 4 4" xfId="9319" xr:uid="{00000000-0005-0000-0000-00005B240000}"/>
    <cellStyle name="Normal 2 2 10 7 4 5" xfId="9320" xr:uid="{00000000-0005-0000-0000-00005C240000}"/>
    <cellStyle name="Normal 2 2 10 7 4 6" xfId="9321" xr:uid="{00000000-0005-0000-0000-00005D240000}"/>
    <cellStyle name="Normal 2 2 10 7 4 7" xfId="9322" xr:uid="{00000000-0005-0000-0000-00005E240000}"/>
    <cellStyle name="Normal 2 2 10 7 4 8" xfId="9323" xr:uid="{00000000-0005-0000-0000-00005F240000}"/>
    <cellStyle name="Normal 2 2 10 7 4 9" xfId="9324" xr:uid="{00000000-0005-0000-0000-000060240000}"/>
    <cellStyle name="Normal 2 2 10 7 5" xfId="9325" xr:uid="{00000000-0005-0000-0000-000061240000}"/>
    <cellStyle name="Normal 2 2 10 7 5 10" xfId="9326" xr:uid="{00000000-0005-0000-0000-000062240000}"/>
    <cellStyle name="Normal 2 2 10 7 5 2" xfId="9327" xr:uid="{00000000-0005-0000-0000-000063240000}"/>
    <cellStyle name="Normal 2 2 10 7 5 3" xfId="9328" xr:uid="{00000000-0005-0000-0000-000064240000}"/>
    <cellStyle name="Normal 2 2 10 7 5 4" xfId="9329" xr:uid="{00000000-0005-0000-0000-000065240000}"/>
    <cellStyle name="Normal 2 2 10 7 5 5" xfId="9330" xr:uid="{00000000-0005-0000-0000-000066240000}"/>
    <cellStyle name="Normal 2 2 10 7 5 6" xfId="9331" xr:uid="{00000000-0005-0000-0000-000067240000}"/>
    <cellStyle name="Normal 2 2 10 7 5 7" xfId="9332" xr:uid="{00000000-0005-0000-0000-000068240000}"/>
    <cellStyle name="Normal 2 2 10 7 5 8" xfId="9333" xr:uid="{00000000-0005-0000-0000-000069240000}"/>
    <cellStyle name="Normal 2 2 10 7 5 9" xfId="9334" xr:uid="{00000000-0005-0000-0000-00006A240000}"/>
    <cellStyle name="Normal 2 2 10 7 6" xfId="9335" xr:uid="{00000000-0005-0000-0000-00006B240000}"/>
    <cellStyle name="Normal 2 2 10 7 7" xfId="9336" xr:uid="{00000000-0005-0000-0000-00006C240000}"/>
    <cellStyle name="Normal 2 2 10 7 8" xfId="9337" xr:uid="{00000000-0005-0000-0000-00006D240000}"/>
    <cellStyle name="Normal 2 2 10 7 9" xfId="9338" xr:uid="{00000000-0005-0000-0000-00006E240000}"/>
    <cellStyle name="Normal 2 2 10 8" xfId="9339" xr:uid="{00000000-0005-0000-0000-00006F240000}"/>
    <cellStyle name="Normal 2 2 10 8 10" xfId="9340" xr:uid="{00000000-0005-0000-0000-000070240000}"/>
    <cellStyle name="Normal 2 2 10 8 11" xfId="9341" xr:uid="{00000000-0005-0000-0000-000071240000}"/>
    <cellStyle name="Normal 2 2 10 8 12" xfId="9342" xr:uid="{00000000-0005-0000-0000-000072240000}"/>
    <cellStyle name="Normal 2 2 10 8 13" xfId="9343" xr:uid="{00000000-0005-0000-0000-000073240000}"/>
    <cellStyle name="Normal 2 2 10 8 14" xfId="9344" xr:uid="{00000000-0005-0000-0000-000074240000}"/>
    <cellStyle name="Normal 2 2 10 8 2" xfId="9345" xr:uid="{00000000-0005-0000-0000-000075240000}"/>
    <cellStyle name="Normal 2 2 10 8 2 10" xfId="9346" xr:uid="{00000000-0005-0000-0000-000076240000}"/>
    <cellStyle name="Normal 2 2 10 8 2 2" xfId="9347" xr:uid="{00000000-0005-0000-0000-000077240000}"/>
    <cellStyle name="Normal 2 2 10 8 2 3" xfId="9348" xr:uid="{00000000-0005-0000-0000-000078240000}"/>
    <cellStyle name="Normal 2 2 10 8 2 4" xfId="9349" xr:uid="{00000000-0005-0000-0000-000079240000}"/>
    <cellStyle name="Normal 2 2 10 8 2 5" xfId="9350" xr:uid="{00000000-0005-0000-0000-00007A240000}"/>
    <cellStyle name="Normal 2 2 10 8 2 6" xfId="9351" xr:uid="{00000000-0005-0000-0000-00007B240000}"/>
    <cellStyle name="Normal 2 2 10 8 2 7" xfId="9352" xr:uid="{00000000-0005-0000-0000-00007C240000}"/>
    <cellStyle name="Normal 2 2 10 8 2 8" xfId="9353" xr:uid="{00000000-0005-0000-0000-00007D240000}"/>
    <cellStyle name="Normal 2 2 10 8 2 9" xfId="9354" xr:uid="{00000000-0005-0000-0000-00007E240000}"/>
    <cellStyle name="Normal 2 2 10 8 3" xfId="9355" xr:uid="{00000000-0005-0000-0000-00007F240000}"/>
    <cellStyle name="Normal 2 2 10 8 3 10" xfId="9356" xr:uid="{00000000-0005-0000-0000-000080240000}"/>
    <cellStyle name="Normal 2 2 10 8 3 2" xfId="9357" xr:uid="{00000000-0005-0000-0000-000081240000}"/>
    <cellStyle name="Normal 2 2 10 8 3 3" xfId="9358" xr:uid="{00000000-0005-0000-0000-000082240000}"/>
    <cellStyle name="Normal 2 2 10 8 3 4" xfId="9359" xr:uid="{00000000-0005-0000-0000-000083240000}"/>
    <cellStyle name="Normal 2 2 10 8 3 5" xfId="9360" xr:uid="{00000000-0005-0000-0000-000084240000}"/>
    <cellStyle name="Normal 2 2 10 8 3 6" xfId="9361" xr:uid="{00000000-0005-0000-0000-000085240000}"/>
    <cellStyle name="Normal 2 2 10 8 3 7" xfId="9362" xr:uid="{00000000-0005-0000-0000-000086240000}"/>
    <cellStyle name="Normal 2 2 10 8 3 8" xfId="9363" xr:uid="{00000000-0005-0000-0000-000087240000}"/>
    <cellStyle name="Normal 2 2 10 8 3 9" xfId="9364" xr:uid="{00000000-0005-0000-0000-000088240000}"/>
    <cellStyle name="Normal 2 2 10 8 4" xfId="9365" xr:uid="{00000000-0005-0000-0000-000089240000}"/>
    <cellStyle name="Normal 2 2 10 8 4 10" xfId="9366" xr:uid="{00000000-0005-0000-0000-00008A240000}"/>
    <cellStyle name="Normal 2 2 10 8 4 2" xfId="9367" xr:uid="{00000000-0005-0000-0000-00008B240000}"/>
    <cellStyle name="Normal 2 2 10 8 4 3" xfId="9368" xr:uid="{00000000-0005-0000-0000-00008C240000}"/>
    <cellStyle name="Normal 2 2 10 8 4 4" xfId="9369" xr:uid="{00000000-0005-0000-0000-00008D240000}"/>
    <cellStyle name="Normal 2 2 10 8 4 5" xfId="9370" xr:uid="{00000000-0005-0000-0000-00008E240000}"/>
    <cellStyle name="Normal 2 2 10 8 4 6" xfId="9371" xr:uid="{00000000-0005-0000-0000-00008F240000}"/>
    <cellStyle name="Normal 2 2 10 8 4 7" xfId="9372" xr:uid="{00000000-0005-0000-0000-000090240000}"/>
    <cellStyle name="Normal 2 2 10 8 4 8" xfId="9373" xr:uid="{00000000-0005-0000-0000-000091240000}"/>
    <cellStyle name="Normal 2 2 10 8 4 9" xfId="9374" xr:uid="{00000000-0005-0000-0000-000092240000}"/>
    <cellStyle name="Normal 2 2 10 8 5" xfId="9375" xr:uid="{00000000-0005-0000-0000-000093240000}"/>
    <cellStyle name="Normal 2 2 10 8 5 10" xfId="9376" xr:uid="{00000000-0005-0000-0000-000094240000}"/>
    <cellStyle name="Normal 2 2 10 8 5 2" xfId="9377" xr:uid="{00000000-0005-0000-0000-000095240000}"/>
    <cellStyle name="Normal 2 2 10 8 5 3" xfId="9378" xr:uid="{00000000-0005-0000-0000-000096240000}"/>
    <cellStyle name="Normal 2 2 10 8 5 4" xfId="9379" xr:uid="{00000000-0005-0000-0000-000097240000}"/>
    <cellStyle name="Normal 2 2 10 8 5 5" xfId="9380" xr:uid="{00000000-0005-0000-0000-000098240000}"/>
    <cellStyle name="Normal 2 2 10 8 5 6" xfId="9381" xr:uid="{00000000-0005-0000-0000-000099240000}"/>
    <cellStyle name="Normal 2 2 10 8 5 7" xfId="9382" xr:uid="{00000000-0005-0000-0000-00009A240000}"/>
    <cellStyle name="Normal 2 2 10 8 5 8" xfId="9383" xr:uid="{00000000-0005-0000-0000-00009B240000}"/>
    <cellStyle name="Normal 2 2 10 8 5 9" xfId="9384" xr:uid="{00000000-0005-0000-0000-00009C240000}"/>
    <cellStyle name="Normal 2 2 10 8 6" xfId="9385" xr:uid="{00000000-0005-0000-0000-00009D240000}"/>
    <cellStyle name="Normal 2 2 10 8 7" xfId="9386" xr:uid="{00000000-0005-0000-0000-00009E240000}"/>
    <cellStyle name="Normal 2 2 10 8 8" xfId="9387" xr:uid="{00000000-0005-0000-0000-00009F240000}"/>
    <cellStyle name="Normal 2 2 10 8 9" xfId="9388" xr:uid="{00000000-0005-0000-0000-0000A0240000}"/>
    <cellStyle name="Normal 2 2 10 9" xfId="9389" xr:uid="{00000000-0005-0000-0000-0000A1240000}"/>
    <cellStyle name="Normal 2 2 10 9 10" xfId="9390" xr:uid="{00000000-0005-0000-0000-0000A2240000}"/>
    <cellStyle name="Normal 2 2 10 9 11" xfId="9391" xr:uid="{00000000-0005-0000-0000-0000A3240000}"/>
    <cellStyle name="Normal 2 2 10 9 12" xfId="9392" xr:uid="{00000000-0005-0000-0000-0000A4240000}"/>
    <cellStyle name="Normal 2 2 10 9 13" xfId="9393" xr:uid="{00000000-0005-0000-0000-0000A5240000}"/>
    <cellStyle name="Normal 2 2 10 9 14" xfId="9394" xr:uid="{00000000-0005-0000-0000-0000A6240000}"/>
    <cellStyle name="Normal 2 2 10 9 2" xfId="9395" xr:uid="{00000000-0005-0000-0000-0000A7240000}"/>
    <cellStyle name="Normal 2 2 10 9 2 10" xfId="9396" xr:uid="{00000000-0005-0000-0000-0000A8240000}"/>
    <cellStyle name="Normal 2 2 10 9 2 2" xfId="9397" xr:uid="{00000000-0005-0000-0000-0000A9240000}"/>
    <cellStyle name="Normal 2 2 10 9 2 3" xfId="9398" xr:uid="{00000000-0005-0000-0000-0000AA240000}"/>
    <cellStyle name="Normal 2 2 10 9 2 4" xfId="9399" xr:uid="{00000000-0005-0000-0000-0000AB240000}"/>
    <cellStyle name="Normal 2 2 10 9 2 5" xfId="9400" xr:uid="{00000000-0005-0000-0000-0000AC240000}"/>
    <cellStyle name="Normal 2 2 10 9 2 6" xfId="9401" xr:uid="{00000000-0005-0000-0000-0000AD240000}"/>
    <cellStyle name="Normal 2 2 10 9 2 7" xfId="9402" xr:uid="{00000000-0005-0000-0000-0000AE240000}"/>
    <cellStyle name="Normal 2 2 10 9 2 8" xfId="9403" xr:uid="{00000000-0005-0000-0000-0000AF240000}"/>
    <cellStyle name="Normal 2 2 10 9 2 9" xfId="9404" xr:uid="{00000000-0005-0000-0000-0000B0240000}"/>
    <cellStyle name="Normal 2 2 10 9 3" xfId="9405" xr:uid="{00000000-0005-0000-0000-0000B1240000}"/>
    <cellStyle name="Normal 2 2 10 9 3 10" xfId="9406" xr:uid="{00000000-0005-0000-0000-0000B2240000}"/>
    <cellStyle name="Normal 2 2 10 9 3 2" xfId="9407" xr:uid="{00000000-0005-0000-0000-0000B3240000}"/>
    <cellStyle name="Normal 2 2 10 9 3 3" xfId="9408" xr:uid="{00000000-0005-0000-0000-0000B4240000}"/>
    <cellStyle name="Normal 2 2 10 9 3 4" xfId="9409" xr:uid="{00000000-0005-0000-0000-0000B5240000}"/>
    <cellStyle name="Normal 2 2 10 9 3 5" xfId="9410" xr:uid="{00000000-0005-0000-0000-0000B6240000}"/>
    <cellStyle name="Normal 2 2 10 9 3 6" xfId="9411" xr:uid="{00000000-0005-0000-0000-0000B7240000}"/>
    <cellStyle name="Normal 2 2 10 9 3 7" xfId="9412" xr:uid="{00000000-0005-0000-0000-0000B8240000}"/>
    <cellStyle name="Normal 2 2 10 9 3 8" xfId="9413" xr:uid="{00000000-0005-0000-0000-0000B9240000}"/>
    <cellStyle name="Normal 2 2 10 9 3 9" xfId="9414" xr:uid="{00000000-0005-0000-0000-0000BA240000}"/>
    <cellStyle name="Normal 2 2 10 9 4" xfId="9415" xr:uid="{00000000-0005-0000-0000-0000BB240000}"/>
    <cellStyle name="Normal 2 2 10 9 4 10" xfId="9416" xr:uid="{00000000-0005-0000-0000-0000BC240000}"/>
    <cellStyle name="Normal 2 2 10 9 4 2" xfId="9417" xr:uid="{00000000-0005-0000-0000-0000BD240000}"/>
    <cellStyle name="Normal 2 2 10 9 4 3" xfId="9418" xr:uid="{00000000-0005-0000-0000-0000BE240000}"/>
    <cellStyle name="Normal 2 2 10 9 4 4" xfId="9419" xr:uid="{00000000-0005-0000-0000-0000BF240000}"/>
    <cellStyle name="Normal 2 2 10 9 4 5" xfId="9420" xr:uid="{00000000-0005-0000-0000-0000C0240000}"/>
    <cellStyle name="Normal 2 2 10 9 4 6" xfId="9421" xr:uid="{00000000-0005-0000-0000-0000C1240000}"/>
    <cellStyle name="Normal 2 2 10 9 4 7" xfId="9422" xr:uid="{00000000-0005-0000-0000-0000C2240000}"/>
    <cellStyle name="Normal 2 2 10 9 4 8" xfId="9423" xr:uid="{00000000-0005-0000-0000-0000C3240000}"/>
    <cellStyle name="Normal 2 2 10 9 4 9" xfId="9424" xr:uid="{00000000-0005-0000-0000-0000C4240000}"/>
    <cellStyle name="Normal 2 2 10 9 5" xfId="9425" xr:uid="{00000000-0005-0000-0000-0000C5240000}"/>
    <cellStyle name="Normal 2 2 10 9 5 10" xfId="9426" xr:uid="{00000000-0005-0000-0000-0000C6240000}"/>
    <cellStyle name="Normal 2 2 10 9 5 2" xfId="9427" xr:uid="{00000000-0005-0000-0000-0000C7240000}"/>
    <cellStyle name="Normal 2 2 10 9 5 3" xfId="9428" xr:uid="{00000000-0005-0000-0000-0000C8240000}"/>
    <cellStyle name="Normal 2 2 10 9 5 4" xfId="9429" xr:uid="{00000000-0005-0000-0000-0000C9240000}"/>
    <cellStyle name="Normal 2 2 10 9 5 5" xfId="9430" xr:uid="{00000000-0005-0000-0000-0000CA240000}"/>
    <cellStyle name="Normal 2 2 10 9 5 6" xfId="9431" xr:uid="{00000000-0005-0000-0000-0000CB240000}"/>
    <cellStyle name="Normal 2 2 10 9 5 7" xfId="9432" xr:uid="{00000000-0005-0000-0000-0000CC240000}"/>
    <cellStyle name="Normal 2 2 10 9 5 8" xfId="9433" xr:uid="{00000000-0005-0000-0000-0000CD240000}"/>
    <cellStyle name="Normal 2 2 10 9 5 9" xfId="9434" xr:uid="{00000000-0005-0000-0000-0000CE240000}"/>
    <cellStyle name="Normal 2 2 10 9 6" xfId="9435" xr:uid="{00000000-0005-0000-0000-0000CF240000}"/>
    <cellStyle name="Normal 2 2 10 9 7" xfId="9436" xr:uid="{00000000-0005-0000-0000-0000D0240000}"/>
    <cellStyle name="Normal 2 2 10 9 8" xfId="9437" xr:uid="{00000000-0005-0000-0000-0000D1240000}"/>
    <cellStyle name="Normal 2 2 10 9 9" xfId="9438" xr:uid="{00000000-0005-0000-0000-0000D2240000}"/>
    <cellStyle name="Normal 2 2 11" xfId="9439" xr:uid="{00000000-0005-0000-0000-0000D3240000}"/>
    <cellStyle name="Normal 2 2 12" xfId="9440" xr:uid="{00000000-0005-0000-0000-0000D4240000}"/>
    <cellStyle name="Normal 2 2 13" xfId="9441" xr:uid="{00000000-0005-0000-0000-0000D5240000}"/>
    <cellStyle name="Normal 2 2 14" xfId="9442" xr:uid="{00000000-0005-0000-0000-0000D6240000}"/>
    <cellStyle name="Normal 2 2 15" xfId="9443" xr:uid="{00000000-0005-0000-0000-0000D7240000}"/>
    <cellStyle name="Normal 2 2 16" xfId="9444" xr:uid="{00000000-0005-0000-0000-0000D8240000}"/>
    <cellStyle name="Normal 2 2 17" xfId="9445" xr:uid="{00000000-0005-0000-0000-0000D9240000}"/>
    <cellStyle name="Normal 2 2 18" xfId="9446" xr:uid="{00000000-0005-0000-0000-0000DA240000}"/>
    <cellStyle name="Normal 2 2 19" xfId="9447" xr:uid="{00000000-0005-0000-0000-0000DB240000}"/>
    <cellStyle name="Normal 2 2 2" xfId="13" xr:uid="{00000000-0005-0000-0000-0000DC240000}"/>
    <cellStyle name="Normal 2 2 2 10" xfId="9448" xr:uid="{00000000-0005-0000-0000-0000DD240000}"/>
    <cellStyle name="Normal 2 2 2 10 10" xfId="9449" xr:uid="{00000000-0005-0000-0000-0000DE240000}"/>
    <cellStyle name="Normal 2 2 2 10 11" xfId="9450" xr:uid="{00000000-0005-0000-0000-0000DF240000}"/>
    <cellStyle name="Normal 2 2 2 10 12" xfId="9451" xr:uid="{00000000-0005-0000-0000-0000E0240000}"/>
    <cellStyle name="Normal 2 2 2 10 13" xfId="9452" xr:uid="{00000000-0005-0000-0000-0000E1240000}"/>
    <cellStyle name="Normal 2 2 2 10 14" xfId="9453" xr:uid="{00000000-0005-0000-0000-0000E2240000}"/>
    <cellStyle name="Normal 2 2 2 10 2" xfId="9454" xr:uid="{00000000-0005-0000-0000-0000E3240000}"/>
    <cellStyle name="Normal 2 2 2 10 2 10" xfId="9455" xr:uid="{00000000-0005-0000-0000-0000E4240000}"/>
    <cellStyle name="Normal 2 2 2 10 2 2" xfId="9456" xr:uid="{00000000-0005-0000-0000-0000E5240000}"/>
    <cellStyle name="Normal 2 2 2 10 2 3" xfId="9457" xr:uid="{00000000-0005-0000-0000-0000E6240000}"/>
    <cellStyle name="Normal 2 2 2 10 2 4" xfId="9458" xr:uid="{00000000-0005-0000-0000-0000E7240000}"/>
    <cellStyle name="Normal 2 2 2 10 2 5" xfId="9459" xr:uid="{00000000-0005-0000-0000-0000E8240000}"/>
    <cellStyle name="Normal 2 2 2 10 2 6" xfId="9460" xr:uid="{00000000-0005-0000-0000-0000E9240000}"/>
    <cellStyle name="Normal 2 2 2 10 2 7" xfId="9461" xr:uid="{00000000-0005-0000-0000-0000EA240000}"/>
    <cellStyle name="Normal 2 2 2 10 2 8" xfId="9462" xr:uid="{00000000-0005-0000-0000-0000EB240000}"/>
    <cellStyle name="Normal 2 2 2 10 2 9" xfId="9463" xr:uid="{00000000-0005-0000-0000-0000EC240000}"/>
    <cellStyle name="Normal 2 2 2 10 3" xfId="9464" xr:uid="{00000000-0005-0000-0000-0000ED240000}"/>
    <cellStyle name="Normal 2 2 2 10 3 10" xfId="9465" xr:uid="{00000000-0005-0000-0000-0000EE240000}"/>
    <cellStyle name="Normal 2 2 2 10 3 2" xfId="9466" xr:uid="{00000000-0005-0000-0000-0000EF240000}"/>
    <cellStyle name="Normal 2 2 2 10 3 3" xfId="9467" xr:uid="{00000000-0005-0000-0000-0000F0240000}"/>
    <cellStyle name="Normal 2 2 2 10 3 4" xfId="9468" xr:uid="{00000000-0005-0000-0000-0000F1240000}"/>
    <cellStyle name="Normal 2 2 2 10 3 5" xfId="9469" xr:uid="{00000000-0005-0000-0000-0000F2240000}"/>
    <cellStyle name="Normal 2 2 2 10 3 6" xfId="9470" xr:uid="{00000000-0005-0000-0000-0000F3240000}"/>
    <cellStyle name="Normal 2 2 2 10 3 7" xfId="9471" xr:uid="{00000000-0005-0000-0000-0000F4240000}"/>
    <cellStyle name="Normal 2 2 2 10 3 8" xfId="9472" xr:uid="{00000000-0005-0000-0000-0000F5240000}"/>
    <cellStyle name="Normal 2 2 2 10 3 9" xfId="9473" xr:uid="{00000000-0005-0000-0000-0000F6240000}"/>
    <cellStyle name="Normal 2 2 2 10 4" xfId="9474" xr:uid="{00000000-0005-0000-0000-0000F7240000}"/>
    <cellStyle name="Normal 2 2 2 10 4 10" xfId="9475" xr:uid="{00000000-0005-0000-0000-0000F8240000}"/>
    <cellStyle name="Normal 2 2 2 10 4 2" xfId="9476" xr:uid="{00000000-0005-0000-0000-0000F9240000}"/>
    <cellStyle name="Normal 2 2 2 10 4 3" xfId="9477" xr:uid="{00000000-0005-0000-0000-0000FA240000}"/>
    <cellStyle name="Normal 2 2 2 10 4 4" xfId="9478" xr:uid="{00000000-0005-0000-0000-0000FB240000}"/>
    <cellStyle name="Normal 2 2 2 10 4 5" xfId="9479" xr:uid="{00000000-0005-0000-0000-0000FC240000}"/>
    <cellStyle name="Normal 2 2 2 10 4 6" xfId="9480" xr:uid="{00000000-0005-0000-0000-0000FD240000}"/>
    <cellStyle name="Normal 2 2 2 10 4 7" xfId="9481" xr:uid="{00000000-0005-0000-0000-0000FE240000}"/>
    <cellStyle name="Normal 2 2 2 10 4 8" xfId="9482" xr:uid="{00000000-0005-0000-0000-0000FF240000}"/>
    <cellStyle name="Normal 2 2 2 10 4 9" xfId="9483" xr:uid="{00000000-0005-0000-0000-000000250000}"/>
    <cellStyle name="Normal 2 2 2 10 5" xfId="9484" xr:uid="{00000000-0005-0000-0000-000001250000}"/>
    <cellStyle name="Normal 2 2 2 10 5 10" xfId="9485" xr:uid="{00000000-0005-0000-0000-000002250000}"/>
    <cellStyle name="Normal 2 2 2 10 5 2" xfId="9486" xr:uid="{00000000-0005-0000-0000-000003250000}"/>
    <cellStyle name="Normal 2 2 2 10 5 3" xfId="9487" xr:uid="{00000000-0005-0000-0000-000004250000}"/>
    <cellStyle name="Normal 2 2 2 10 5 4" xfId="9488" xr:uid="{00000000-0005-0000-0000-000005250000}"/>
    <cellStyle name="Normal 2 2 2 10 5 5" xfId="9489" xr:uid="{00000000-0005-0000-0000-000006250000}"/>
    <cellStyle name="Normal 2 2 2 10 5 6" xfId="9490" xr:uid="{00000000-0005-0000-0000-000007250000}"/>
    <cellStyle name="Normal 2 2 2 10 5 7" xfId="9491" xr:uid="{00000000-0005-0000-0000-000008250000}"/>
    <cellStyle name="Normal 2 2 2 10 5 8" xfId="9492" xr:uid="{00000000-0005-0000-0000-000009250000}"/>
    <cellStyle name="Normal 2 2 2 10 5 9" xfId="9493" xr:uid="{00000000-0005-0000-0000-00000A250000}"/>
    <cellStyle name="Normal 2 2 2 10 6" xfId="9494" xr:uid="{00000000-0005-0000-0000-00000B250000}"/>
    <cellStyle name="Normal 2 2 2 10 7" xfId="9495" xr:uid="{00000000-0005-0000-0000-00000C250000}"/>
    <cellStyle name="Normal 2 2 2 10 8" xfId="9496" xr:uid="{00000000-0005-0000-0000-00000D250000}"/>
    <cellStyle name="Normal 2 2 2 10 9" xfId="9497" xr:uid="{00000000-0005-0000-0000-00000E250000}"/>
    <cellStyle name="Normal 2 2 2 11" xfId="9498" xr:uid="{00000000-0005-0000-0000-00000F250000}"/>
    <cellStyle name="Normal 2 2 2 11 10" xfId="9499" xr:uid="{00000000-0005-0000-0000-000010250000}"/>
    <cellStyle name="Normal 2 2 2 11 11" xfId="9500" xr:uid="{00000000-0005-0000-0000-000011250000}"/>
    <cellStyle name="Normal 2 2 2 11 12" xfId="9501" xr:uid="{00000000-0005-0000-0000-000012250000}"/>
    <cellStyle name="Normal 2 2 2 11 13" xfId="9502" xr:uid="{00000000-0005-0000-0000-000013250000}"/>
    <cellStyle name="Normal 2 2 2 11 14" xfId="9503" xr:uid="{00000000-0005-0000-0000-000014250000}"/>
    <cellStyle name="Normal 2 2 2 11 2" xfId="9504" xr:uid="{00000000-0005-0000-0000-000015250000}"/>
    <cellStyle name="Normal 2 2 2 11 2 10" xfId="9505" xr:uid="{00000000-0005-0000-0000-000016250000}"/>
    <cellStyle name="Normal 2 2 2 11 2 2" xfId="9506" xr:uid="{00000000-0005-0000-0000-000017250000}"/>
    <cellStyle name="Normal 2 2 2 11 2 3" xfId="9507" xr:uid="{00000000-0005-0000-0000-000018250000}"/>
    <cellStyle name="Normal 2 2 2 11 2 4" xfId="9508" xr:uid="{00000000-0005-0000-0000-000019250000}"/>
    <cellStyle name="Normal 2 2 2 11 2 5" xfId="9509" xr:uid="{00000000-0005-0000-0000-00001A250000}"/>
    <cellStyle name="Normal 2 2 2 11 2 6" xfId="9510" xr:uid="{00000000-0005-0000-0000-00001B250000}"/>
    <cellStyle name="Normal 2 2 2 11 2 7" xfId="9511" xr:uid="{00000000-0005-0000-0000-00001C250000}"/>
    <cellStyle name="Normal 2 2 2 11 2 8" xfId="9512" xr:uid="{00000000-0005-0000-0000-00001D250000}"/>
    <cellStyle name="Normal 2 2 2 11 2 9" xfId="9513" xr:uid="{00000000-0005-0000-0000-00001E250000}"/>
    <cellStyle name="Normal 2 2 2 11 3" xfId="9514" xr:uid="{00000000-0005-0000-0000-00001F250000}"/>
    <cellStyle name="Normal 2 2 2 11 3 10" xfId="9515" xr:uid="{00000000-0005-0000-0000-000020250000}"/>
    <cellStyle name="Normal 2 2 2 11 3 2" xfId="9516" xr:uid="{00000000-0005-0000-0000-000021250000}"/>
    <cellStyle name="Normal 2 2 2 11 3 3" xfId="9517" xr:uid="{00000000-0005-0000-0000-000022250000}"/>
    <cellStyle name="Normal 2 2 2 11 3 4" xfId="9518" xr:uid="{00000000-0005-0000-0000-000023250000}"/>
    <cellStyle name="Normal 2 2 2 11 3 5" xfId="9519" xr:uid="{00000000-0005-0000-0000-000024250000}"/>
    <cellStyle name="Normal 2 2 2 11 3 6" xfId="9520" xr:uid="{00000000-0005-0000-0000-000025250000}"/>
    <cellStyle name="Normal 2 2 2 11 3 7" xfId="9521" xr:uid="{00000000-0005-0000-0000-000026250000}"/>
    <cellStyle name="Normal 2 2 2 11 3 8" xfId="9522" xr:uid="{00000000-0005-0000-0000-000027250000}"/>
    <cellStyle name="Normal 2 2 2 11 3 9" xfId="9523" xr:uid="{00000000-0005-0000-0000-000028250000}"/>
    <cellStyle name="Normal 2 2 2 11 4" xfId="9524" xr:uid="{00000000-0005-0000-0000-000029250000}"/>
    <cellStyle name="Normal 2 2 2 11 4 10" xfId="9525" xr:uid="{00000000-0005-0000-0000-00002A250000}"/>
    <cellStyle name="Normal 2 2 2 11 4 2" xfId="9526" xr:uid="{00000000-0005-0000-0000-00002B250000}"/>
    <cellStyle name="Normal 2 2 2 11 4 3" xfId="9527" xr:uid="{00000000-0005-0000-0000-00002C250000}"/>
    <cellStyle name="Normal 2 2 2 11 4 4" xfId="9528" xr:uid="{00000000-0005-0000-0000-00002D250000}"/>
    <cellStyle name="Normal 2 2 2 11 4 5" xfId="9529" xr:uid="{00000000-0005-0000-0000-00002E250000}"/>
    <cellStyle name="Normal 2 2 2 11 4 6" xfId="9530" xr:uid="{00000000-0005-0000-0000-00002F250000}"/>
    <cellStyle name="Normal 2 2 2 11 4 7" xfId="9531" xr:uid="{00000000-0005-0000-0000-000030250000}"/>
    <cellStyle name="Normal 2 2 2 11 4 8" xfId="9532" xr:uid="{00000000-0005-0000-0000-000031250000}"/>
    <cellStyle name="Normal 2 2 2 11 4 9" xfId="9533" xr:uid="{00000000-0005-0000-0000-000032250000}"/>
    <cellStyle name="Normal 2 2 2 11 5" xfId="9534" xr:uid="{00000000-0005-0000-0000-000033250000}"/>
    <cellStyle name="Normal 2 2 2 11 5 10" xfId="9535" xr:uid="{00000000-0005-0000-0000-000034250000}"/>
    <cellStyle name="Normal 2 2 2 11 5 2" xfId="9536" xr:uid="{00000000-0005-0000-0000-000035250000}"/>
    <cellStyle name="Normal 2 2 2 11 5 3" xfId="9537" xr:uid="{00000000-0005-0000-0000-000036250000}"/>
    <cellStyle name="Normal 2 2 2 11 5 4" xfId="9538" xr:uid="{00000000-0005-0000-0000-000037250000}"/>
    <cellStyle name="Normal 2 2 2 11 5 5" xfId="9539" xr:uid="{00000000-0005-0000-0000-000038250000}"/>
    <cellStyle name="Normal 2 2 2 11 5 6" xfId="9540" xr:uid="{00000000-0005-0000-0000-000039250000}"/>
    <cellStyle name="Normal 2 2 2 11 5 7" xfId="9541" xr:uid="{00000000-0005-0000-0000-00003A250000}"/>
    <cellStyle name="Normal 2 2 2 11 5 8" xfId="9542" xr:uid="{00000000-0005-0000-0000-00003B250000}"/>
    <cellStyle name="Normal 2 2 2 11 5 9" xfId="9543" xr:uid="{00000000-0005-0000-0000-00003C250000}"/>
    <cellStyle name="Normal 2 2 2 11 6" xfId="9544" xr:uid="{00000000-0005-0000-0000-00003D250000}"/>
    <cellStyle name="Normal 2 2 2 11 7" xfId="9545" xr:uid="{00000000-0005-0000-0000-00003E250000}"/>
    <cellStyle name="Normal 2 2 2 11 8" xfId="9546" xr:uid="{00000000-0005-0000-0000-00003F250000}"/>
    <cellStyle name="Normal 2 2 2 11 9" xfId="9547" xr:uid="{00000000-0005-0000-0000-000040250000}"/>
    <cellStyle name="Normal 2 2 2 12" xfId="9548" xr:uid="{00000000-0005-0000-0000-000041250000}"/>
    <cellStyle name="Normal 2 2 2 12 10" xfId="9549" xr:uid="{00000000-0005-0000-0000-000042250000}"/>
    <cellStyle name="Normal 2 2 2 12 11" xfId="9550" xr:uid="{00000000-0005-0000-0000-000043250000}"/>
    <cellStyle name="Normal 2 2 2 12 12" xfId="9551" xr:uid="{00000000-0005-0000-0000-000044250000}"/>
    <cellStyle name="Normal 2 2 2 12 13" xfId="9552" xr:uid="{00000000-0005-0000-0000-000045250000}"/>
    <cellStyle name="Normal 2 2 2 12 14" xfId="9553" xr:uid="{00000000-0005-0000-0000-000046250000}"/>
    <cellStyle name="Normal 2 2 2 12 2" xfId="9554" xr:uid="{00000000-0005-0000-0000-000047250000}"/>
    <cellStyle name="Normal 2 2 2 12 2 10" xfId="9555" xr:uid="{00000000-0005-0000-0000-000048250000}"/>
    <cellStyle name="Normal 2 2 2 12 2 2" xfId="9556" xr:uid="{00000000-0005-0000-0000-000049250000}"/>
    <cellStyle name="Normal 2 2 2 12 2 3" xfId="9557" xr:uid="{00000000-0005-0000-0000-00004A250000}"/>
    <cellStyle name="Normal 2 2 2 12 2 4" xfId="9558" xr:uid="{00000000-0005-0000-0000-00004B250000}"/>
    <cellStyle name="Normal 2 2 2 12 2 5" xfId="9559" xr:uid="{00000000-0005-0000-0000-00004C250000}"/>
    <cellStyle name="Normal 2 2 2 12 2 6" xfId="9560" xr:uid="{00000000-0005-0000-0000-00004D250000}"/>
    <cellStyle name="Normal 2 2 2 12 2 7" xfId="9561" xr:uid="{00000000-0005-0000-0000-00004E250000}"/>
    <cellStyle name="Normal 2 2 2 12 2 8" xfId="9562" xr:uid="{00000000-0005-0000-0000-00004F250000}"/>
    <cellStyle name="Normal 2 2 2 12 2 9" xfId="9563" xr:uid="{00000000-0005-0000-0000-000050250000}"/>
    <cellStyle name="Normal 2 2 2 12 3" xfId="9564" xr:uid="{00000000-0005-0000-0000-000051250000}"/>
    <cellStyle name="Normal 2 2 2 12 3 10" xfId="9565" xr:uid="{00000000-0005-0000-0000-000052250000}"/>
    <cellStyle name="Normal 2 2 2 12 3 2" xfId="9566" xr:uid="{00000000-0005-0000-0000-000053250000}"/>
    <cellStyle name="Normal 2 2 2 12 3 3" xfId="9567" xr:uid="{00000000-0005-0000-0000-000054250000}"/>
    <cellStyle name="Normal 2 2 2 12 3 4" xfId="9568" xr:uid="{00000000-0005-0000-0000-000055250000}"/>
    <cellStyle name="Normal 2 2 2 12 3 5" xfId="9569" xr:uid="{00000000-0005-0000-0000-000056250000}"/>
    <cellStyle name="Normal 2 2 2 12 3 6" xfId="9570" xr:uid="{00000000-0005-0000-0000-000057250000}"/>
    <cellStyle name="Normal 2 2 2 12 3 7" xfId="9571" xr:uid="{00000000-0005-0000-0000-000058250000}"/>
    <cellStyle name="Normal 2 2 2 12 3 8" xfId="9572" xr:uid="{00000000-0005-0000-0000-000059250000}"/>
    <cellStyle name="Normal 2 2 2 12 3 9" xfId="9573" xr:uid="{00000000-0005-0000-0000-00005A250000}"/>
    <cellStyle name="Normal 2 2 2 12 4" xfId="9574" xr:uid="{00000000-0005-0000-0000-00005B250000}"/>
    <cellStyle name="Normal 2 2 2 12 4 10" xfId="9575" xr:uid="{00000000-0005-0000-0000-00005C250000}"/>
    <cellStyle name="Normal 2 2 2 12 4 2" xfId="9576" xr:uid="{00000000-0005-0000-0000-00005D250000}"/>
    <cellStyle name="Normal 2 2 2 12 4 3" xfId="9577" xr:uid="{00000000-0005-0000-0000-00005E250000}"/>
    <cellStyle name="Normal 2 2 2 12 4 4" xfId="9578" xr:uid="{00000000-0005-0000-0000-00005F250000}"/>
    <cellStyle name="Normal 2 2 2 12 4 5" xfId="9579" xr:uid="{00000000-0005-0000-0000-000060250000}"/>
    <cellStyle name="Normal 2 2 2 12 4 6" xfId="9580" xr:uid="{00000000-0005-0000-0000-000061250000}"/>
    <cellStyle name="Normal 2 2 2 12 4 7" xfId="9581" xr:uid="{00000000-0005-0000-0000-000062250000}"/>
    <cellStyle name="Normal 2 2 2 12 4 8" xfId="9582" xr:uid="{00000000-0005-0000-0000-000063250000}"/>
    <cellStyle name="Normal 2 2 2 12 4 9" xfId="9583" xr:uid="{00000000-0005-0000-0000-000064250000}"/>
    <cellStyle name="Normal 2 2 2 12 5" xfId="9584" xr:uid="{00000000-0005-0000-0000-000065250000}"/>
    <cellStyle name="Normal 2 2 2 12 5 10" xfId="9585" xr:uid="{00000000-0005-0000-0000-000066250000}"/>
    <cellStyle name="Normal 2 2 2 12 5 2" xfId="9586" xr:uid="{00000000-0005-0000-0000-000067250000}"/>
    <cellStyle name="Normal 2 2 2 12 5 3" xfId="9587" xr:uid="{00000000-0005-0000-0000-000068250000}"/>
    <cellStyle name="Normal 2 2 2 12 5 4" xfId="9588" xr:uid="{00000000-0005-0000-0000-000069250000}"/>
    <cellStyle name="Normal 2 2 2 12 5 5" xfId="9589" xr:uid="{00000000-0005-0000-0000-00006A250000}"/>
    <cellStyle name="Normal 2 2 2 12 5 6" xfId="9590" xr:uid="{00000000-0005-0000-0000-00006B250000}"/>
    <cellStyle name="Normal 2 2 2 12 5 7" xfId="9591" xr:uid="{00000000-0005-0000-0000-00006C250000}"/>
    <cellStyle name="Normal 2 2 2 12 5 8" xfId="9592" xr:uid="{00000000-0005-0000-0000-00006D250000}"/>
    <cellStyle name="Normal 2 2 2 12 5 9" xfId="9593" xr:uid="{00000000-0005-0000-0000-00006E250000}"/>
    <cellStyle name="Normal 2 2 2 12 6" xfId="9594" xr:uid="{00000000-0005-0000-0000-00006F250000}"/>
    <cellStyle name="Normal 2 2 2 12 7" xfId="9595" xr:uid="{00000000-0005-0000-0000-000070250000}"/>
    <cellStyle name="Normal 2 2 2 12 8" xfId="9596" xr:uid="{00000000-0005-0000-0000-000071250000}"/>
    <cellStyle name="Normal 2 2 2 12 9" xfId="9597" xr:uid="{00000000-0005-0000-0000-000072250000}"/>
    <cellStyle name="Normal 2 2 2 13" xfId="9598" xr:uid="{00000000-0005-0000-0000-000073250000}"/>
    <cellStyle name="Normal 2 2 2 13 10" xfId="9599" xr:uid="{00000000-0005-0000-0000-000074250000}"/>
    <cellStyle name="Normal 2 2 2 13 11" xfId="9600" xr:uid="{00000000-0005-0000-0000-000075250000}"/>
    <cellStyle name="Normal 2 2 2 13 12" xfId="9601" xr:uid="{00000000-0005-0000-0000-000076250000}"/>
    <cellStyle name="Normal 2 2 2 13 13" xfId="9602" xr:uid="{00000000-0005-0000-0000-000077250000}"/>
    <cellStyle name="Normal 2 2 2 13 14" xfId="9603" xr:uid="{00000000-0005-0000-0000-000078250000}"/>
    <cellStyle name="Normal 2 2 2 13 2" xfId="9604" xr:uid="{00000000-0005-0000-0000-000079250000}"/>
    <cellStyle name="Normal 2 2 2 13 2 10" xfId="9605" xr:uid="{00000000-0005-0000-0000-00007A250000}"/>
    <cellStyle name="Normal 2 2 2 13 2 2" xfId="9606" xr:uid="{00000000-0005-0000-0000-00007B250000}"/>
    <cellStyle name="Normal 2 2 2 13 2 3" xfId="9607" xr:uid="{00000000-0005-0000-0000-00007C250000}"/>
    <cellStyle name="Normal 2 2 2 13 2 4" xfId="9608" xr:uid="{00000000-0005-0000-0000-00007D250000}"/>
    <cellStyle name="Normal 2 2 2 13 2 5" xfId="9609" xr:uid="{00000000-0005-0000-0000-00007E250000}"/>
    <cellStyle name="Normal 2 2 2 13 2 6" xfId="9610" xr:uid="{00000000-0005-0000-0000-00007F250000}"/>
    <cellStyle name="Normal 2 2 2 13 2 7" xfId="9611" xr:uid="{00000000-0005-0000-0000-000080250000}"/>
    <cellStyle name="Normal 2 2 2 13 2 8" xfId="9612" xr:uid="{00000000-0005-0000-0000-000081250000}"/>
    <cellStyle name="Normal 2 2 2 13 2 9" xfId="9613" xr:uid="{00000000-0005-0000-0000-000082250000}"/>
    <cellStyle name="Normal 2 2 2 13 3" xfId="9614" xr:uid="{00000000-0005-0000-0000-000083250000}"/>
    <cellStyle name="Normal 2 2 2 13 3 10" xfId="9615" xr:uid="{00000000-0005-0000-0000-000084250000}"/>
    <cellStyle name="Normal 2 2 2 13 3 2" xfId="9616" xr:uid="{00000000-0005-0000-0000-000085250000}"/>
    <cellStyle name="Normal 2 2 2 13 3 3" xfId="9617" xr:uid="{00000000-0005-0000-0000-000086250000}"/>
    <cellStyle name="Normal 2 2 2 13 3 4" xfId="9618" xr:uid="{00000000-0005-0000-0000-000087250000}"/>
    <cellStyle name="Normal 2 2 2 13 3 5" xfId="9619" xr:uid="{00000000-0005-0000-0000-000088250000}"/>
    <cellStyle name="Normal 2 2 2 13 3 6" xfId="9620" xr:uid="{00000000-0005-0000-0000-000089250000}"/>
    <cellStyle name="Normal 2 2 2 13 3 7" xfId="9621" xr:uid="{00000000-0005-0000-0000-00008A250000}"/>
    <cellStyle name="Normal 2 2 2 13 3 8" xfId="9622" xr:uid="{00000000-0005-0000-0000-00008B250000}"/>
    <cellStyle name="Normal 2 2 2 13 3 9" xfId="9623" xr:uid="{00000000-0005-0000-0000-00008C250000}"/>
    <cellStyle name="Normal 2 2 2 13 4" xfId="9624" xr:uid="{00000000-0005-0000-0000-00008D250000}"/>
    <cellStyle name="Normal 2 2 2 13 4 10" xfId="9625" xr:uid="{00000000-0005-0000-0000-00008E250000}"/>
    <cellStyle name="Normal 2 2 2 13 4 2" xfId="9626" xr:uid="{00000000-0005-0000-0000-00008F250000}"/>
    <cellStyle name="Normal 2 2 2 13 4 3" xfId="9627" xr:uid="{00000000-0005-0000-0000-000090250000}"/>
    <cellStyle name="Normal 2 2 2 13 4 4" xfId="9628" xr:uid="{00000000-0005-0000-0000-000091250000}"/>
    <cellStyle name="Normal 2 2 2 13 4 5" xfId="9629" xr:uid="{00000000-0005-0000-0000-000092250000}"/>
    <cellStyle name="Normal 2 2 2 13 4 6" xfId="9630" xr:uid="{00000000-0005-0000-0000-000093250000}"/>
    <cellStyle name="Normal 2 2 2 13 4 7" xfId="9631" xr:uid="{00000000-0005-0000-0000-000094250000}"/>
    <cellStyle name="Normal 2 2 2 13 4 8" xfId="9632" xr:uid="{00000000-0005-0000-0000-000095250000}"/>
    <cellStyle name="Normal 2 2 2 13 4 9" xfId="9633" xr:uid="{00000000-0005-0000-0000-000096250000}"/>
    <cellStyle name="Normal 2 2 2 13 5" xfId="9634" xr:uid="{00000000-0005-0000-0000-000097250000}"/>
    <cellStyle name="Normal 2 2 2 13 5 10" xfId="9635" xr:uid="{00000000-0005-0000-0000-000098250000}"/>
    <cellStyle name="Normal 2 2 2 13 5 2" xfId="9636" xr:uid="{00000000-0005-0000-0000-000099250000}"/>
    <cellStyle name="Normal 2 2 2 13 5 3" xfId="9637" xr:uid="{00000000-0005-0000-0000-00009A250000}"/>
    <cellStyle name="Normal 2 2 2 13 5 4" xfId="9638" xr:uid="{00000000-0005-0000-0000-00009B250000}"/>
    <cellStyle name="Normal 2 2 2 13 5 5" xfId="9639" xr:uid="{00000000-0005-0000-0000-00009C250000}"/>
    <cellStyle name="Normal 2 2 2 13 5 6" xfId="9640" xr:uid="{00000000-0005-0000-0000-00009D250000}"/>
    <cellStyle name="Normal 2 2 2 13 5 7" xfId="9641" xr:uid="{00000000-0005-0000-0000-00009E250000}"/>
    <cellStyle name="Normal 2 2 2 13 5 8" xfId="9642" xr:uid="{00000000-0005-0000-0000-00009F250000}"/>
    <cellStyle name="Normal 2 2 2 13 5 9" xfId="9643" xr:uid="{00000000-0005-0000-0000-0000A0250000}"/>
    <cellStyle name="Normal 2 2 2 13 6" xfId="9644" xr:uid="{00000000-0005-0000-0000-0000A1250000}"/>
    <cellStyle name="Normal 2 2 2 13 7" xfId="9645" xr:uid="{00000000-0005-0000-0000-0000A2250000}"/>
    <cellStyle name="Normal 2 2 2 13 8" xfId="9646" xr:uid="{00000000-0005-0000-0000-0000A3250000}"/>
    <cellStyle name="Normal 2 2 2 13 9" xfId="9647" xr:uid="{00000000-0005-0000-0000-0000A4250000}"/>
    <cellStyle name="Normal 2 2 2 14" xfId="9648" xr:uid="{00000000-0005-0000-0000-0000A5250000}"/>
    <cellStyle name="Normal 2 2 2 14 10" xfId="9649" xr:uid="{00000000-0005-0000-0000-0000A6250000}"/>
    <cellStyle name="Normal 2 2 2 14 11" xfId="9650" xr:uid="{00000000-0005-0000-0000-0000A7250000}"/>
    <cellStyle name="Normal 2 2 2 14 12" xfId="9651" xr:uid="{00000000-0005-0000-0000-0000A8250000}"/>
    <cellStyle name="Normal 2 2 2 14 13" xfId="9652" xr:uid="{00000000-0005-0000-0000-0000A9250000}"/>
    <cellStyle name="Normal 2 2 2 14 14" xfId="9653" xr:uid="{00000000-0005-0000-0000-0000AA250000}"/>
    <cellStyle name="Normal 2 2 2 14 2" xfId="9654" xr:uid="{00000000-0005-0000-0000-0000AB250000}"/>
    <cellStyle name="Normal 2 2 2 14 2 10" xfId="9655" xr:uid="{00000000-0005-0000-0000-0000AC250000}"/>
    <cellStyle name="Normal 2 2 2 14 2 2" xfId="9656" xr:uid="{00000000-0005-0000-0000-0000AD250000}"/>
    <cellStyle name="Normal 2 2 2 14 2 3" xfId="9657" xr:uid="{00000000-0005-0000-0000-0000AE250000}"/>
    <cellStyle name="Normal 2 2 2 14 2 4" xfId="9658" xr:uid="{00000000-0005-0000-0000-0000AF250000}"/>
    <cellStyle name="Normal 2 2 2 14 2 5" xfId="9659" xr:uid="{00000000-0005-0000-0000-0000B0250000}"/>
    <cellStyle name="Normal 2 2 2 14 2 6" xfId="9660" xr:uid="{00000000-0005-0000-0000-0000B1250000}"/>
    <cellStyle name="Normal 2 2 2 14 2 7" xfId="9661" xr:uid="{00000000-0005-0000-0000-0000B2250000}"/>
    <cellStyle name="Normal 2 2 2 14 2 8" xfId="9662" xr:uid="{00000000-0005-0000-0000-0000B3250000}"/>
    <cellStyle name="Normal 2 2 2 14 2 9" xfId="9663" xr:uid="{00000000-0005-0000-0000-0000B4250000}"/>
    <cellStyle name="Normal 2 2 2 14 3" xfId="9664" xr:uid="{00000000-0005-0000-0000-0000B5250000}"/>
    <cellStyle name="Normal 2 2 2 14 3 10" xfId="9665" xr:uid="{00000000-0005-0000-0000-0000B6250000}"/>
    <cellStyle name="Normal 2 2 2 14 3 2" xfId="9666" xr:uid="{00000000-0005-0000-0000-0000B7250000}"/>
    <cellStyle name="Normal 2 2 2 14 3 3" xfId="9667" xr:uid="{00000000-0005-0000-0000-0000B8250000}"/>
    <cellStyle name="Normal 2 2 2 14 3 4" xfId="9668" xr:uid="{00000000-0005-0000-0000-0000B9250000}"/>
    <cellStyle name="Normal 2 2 2 14 3 5" xfId="9669" xr:uid="{00000000-0005-0000-0000-0000BA250000}"/>
    <cellStyle name="Normal 2 2 2 14 3 6" xfId="9670" xr:uid="{00000000-0005-0000-0000-0000BB250000}"/>
    <cellStyle name="Normal 2 2 2 14 3 7" xfId="9671" xr:uid="{00000000-0005-0000-0000-0000BC250000}"/>
    <cellStyle name="Normal 2 2 2 14 3 8" xfId="9672" xr:uid="{00000000-0005-0000-0000-0000BD250000}"/>
    <cellStyle name="Normal 2 2 2 14 3 9" xfId="9673" xr:uid="{00000000-0005-0000-0000-0000BE250000}"/>
    <cellStyle name="Normal 2 2 2 14 4" xfId="9674" xr:uid="{00000000-0005-0000-0000-0000BF250000}"/>
    <cellStyle name="Normal 2 2 2 14 4 10" xfId="9675" xr:uid="{00000000-0005-0000-0000-0000C0250000}"/>
    <cellStyle name="Normal 2 2 2 14 4 2" xfId="9676" xr:uid="{00000000-0005-0000-0000-0000C1250000}"/>
    <cellStyle name="Normal 2 2 2 14 4 3" xfId="9677" xr:uid="{00000000-0005-0000-0000-0000C2250000}"/>
    <cellStyle name="Normal 2 2 2 14 4 4" xfId="9678" xr:uid="{00000000-0005-0000-0000-0000C3250000}"/>
    <cellStyle name="Normal 2 2 2 14 4 5" xfId="9679" xr:uid="{00000000-0005-0000-0000-0000C4250000}"/>
    <cellStyle name="Normal 2 2 2 14 4 6" xfId="9680" xr:uid="{00000000-0005-0000-0000-0000C5250000}"/>
    <cellStyle name="Normal 2 2 2 14 4 7" xfId="9681" xr:uid="{00000000-0005-0000-0000-0000C6250000}"/>
    <cellStyle name="Normal 2 2 2 14 4 8" xfId="9682" xr:uid="{00000000-0005-0000-0000-0000C7250000}"/>
    <cellStyle name="Normal 2 2 2 14 4 9" xfId="9683" xr:uid="{00000000-0005-0000-0000-0000C8250000}"/>
    <cellStyle name="Normal 2 2 2 14 5" xfId="9684" xr:uid="{00000000-0005-0000-0000-0000C9250000}"/>
    <cellStyle name="Normal 2 2 2 14 5 10" xfId="9685" xr:uid="{00000000-0005-0000-0000-0000CA250000}"/>
    <cellStyle name="Normal 2 2 2 14 5 2" xfId="9686" xr:uid="{00000000-0005-0000-0000-0000CB250000}"/>
    <cellStyle name="Normal 2 2 2 14 5 3" xfId="9687" xr:uid="{00000000-0005-0000-0000-0000CC250000}"/>
    <cellStyle name="Normal 2 2 2 14 5 4" xfId="9688" xr:uid="{00000000-0005-0000-0000-0000CD250000}"/>
    <cellStyle name="Normal 2 2 2 14 5 5" xfId="9689" xr:uid="{00000000-0005-0000-0000-0000CE250000}"/>
    <cellStyle name="Normal 2 2 2 14 5 6" xfId="9690" xr:uid="{00000000-0005-0000-0000-0000CF250000}"/>
    <cellStyle name="Normal 2 2 2 14 5 7" xfId="9691" xr:uid="{00000000-0005-0000-0000-0000D0250000}"/>
    <cellStyle name="Normal 2 2 2 14 5 8" xfId="9692" xr:uid="{00000000-0005-0000-0000-0000D1250000}"/>
    <cellStyle name="Normal 2 2 2 14 5 9" xfId="9693" xr:uid="{00000000-0005-0000-0000-0000D2250000}"/>
    <cellStyle name="Normal 2 2 2 14 6" xfId="9694" xr:uid="{00000000-0005-0000-0000-0000D3250000}"/>
    <cellStyle name="Normal 2 2 2 14 7" xfId="9695" xr:uid="{00000000-0005-0000-0000-0000D4250000}"/>
    <cellStyle name="Normal 2 2 2 14 8" xfId="9696" xr:uid="{00000000-0005-0000-0000-0000D5250000}"/>
    <cellStyle name="Normal 2 2 2 14 9" xfId="9697" xr:uid="{00000000-0005-0000-0000-0000D6250000}"/>
    <cellStyle name="Normal 2 2 2 15" xfId="9698" xr:uid="{00000000-0005-0000-0000-0000D7250000}"/>
    <cellStyle name="Normal 2 2 2 15 10" xfId="9699" xr:uid="{00000000-0005-0000-0000-0000D8250000}"/>
    <cellStyle name="Normal 2 2 2 15 11" xfId="9700" xr:uid="{00000000-0005-0000-0000-0000D9250000}"/>
    <cellStyle name="Normal 2 2 2 15 12" xfId="9701" xr:uid="{00000000-0005-0000-0000-0000DA250000}"/>
    <cellStyle name="Normal 2 2 2 15 13" xfId="9702" xr:uid="{00000000-0005-0000-0000-0000DB250000}"/>
    <cellStyle name="Normal 2 2 2 15 14" xfId="9703" xr:uid="{00000000-0005-0000-0000-0000DC250000}"/>
    <cellStyle name="Normal 2 2 2 15 2" xfId="9704" xr:uid="{00000000-0005-0000-0000-0000DD250000}"/>
    <cellStyle name="Normal 2 2 2 15 2 10" xfId="9705" xr:uid="{00000000-0005-0000-0000-0000DE250000}"/>
    <cellStyle name="Normal 2 2 2 15 2 2" xfId="9706" xr:uid="{00000000-0005-0000-0000-0000DF250000}"/>
    <cellStyle name="Normal 2 2 2 15 2 3" xfId="9707" xr:uid="{00000000-0005-0000-0000-0000E0250000}"/>
    <cellStyle name="Normal 2 2 2 15 2 4" xfId="9708" xr:uid="{00000000-0005-0000-0000-0000E1250000}"/>
    <cellStyle name="Normal 2 2 2 15 2 5" xfId="9709" xr:uid="{00000000-0005-0000-0000-0000E2250000}"/>
    <cellStyle name="Normal 2 2 2 15 2 6" xfId="9710" xr:uid="{00000000-0005-0000-0000-0000E3250000}"/>
    <cellStyle name="Normal 2 2 2 15 2 7" xfId="9711" xr:uid="{00000000-0005-0000-0000-0000E4250000}"/>
    <cellStyle name="Normal 2 2 2 15 2 8" xfId="9712" xr:uid="{00000000-0005-0000-0000-0000E5250000}"/>
    <cellStyle name="Normal 2 2 2 15 2 9" xfId="9713" xr:uid="{00000000-0005-0000-0000-0000E6250000}"/>
    <cellStyle name="Normal 2 2 2 15 3" xfId="9714" xr:uid="{00000000-0005-0000-0000-0000E7250000}"/>
    <cellStyle name="Normal 2 2 2 15 3 10" xfId="9715" xr:uid="{00000000-0005-0000-0000-0000E8250000}"/>
    <cellStyle name="Normal 2 2 2 15 3 2" xfId="9716" xr:uid="{00000000-0005-0000-0000-0000E9250000}"/>
    <cellStyle name="Normal 2 2 2 15 3 3" xfId="9717" xr:uid="{00000000-0005-0000-0000-0000EA250000}"/>
    <cellStyle name="Normal 2 2 2 15 3 4" xfId="9718" xr:uid="{00000000-0005-0000-0000-0000EB250000}"/>
    <cellStyle name="Normal 2 2 2 15 3 5" xfId="9719" xr:uid="{00000000-0005-0000-0000-0000EC250000}"/>
    <cellStyle name="Normal 2 2 2 15 3 6" xfId="9720" xr:uid="{00000000-0005-0000-0000-0000ED250000}"/>
    <cellStyle name="Normal 2 2 2 15 3 7" xfId="9721" xr:uid="{00000000-0005-0000-0000-0000EE250000}"/>
    <cellStyle name="Normal 2 2 2 15 3 8" xfId="9722" xr:uid="{00000000-0005-0000-0000-0000EF250000}"/>
    <cellStyle name="Normal 2 2 2 15 3 9" xfId="9723" xr:uid="{00000000-0005-0000-0000-0000F0250000}"/>
    <cellStyle name="Normal 2 2 2 15 4" xfId="9724" xr:uid="{00000000-0005-0000-0000-0000F1250000}"/>
    <cellStyle name="Normal 2 2 2 15 4 10" xfId="9725" xr:uid="{00000000-0005-0000-0000-0000F2250000}"/>
    <cellStyle name="Normal 2 2 2 15 4 2" xfId="9726" xr:uid="{00000000-0005-0000-0000-0000F3250000}"/>
    <cellStyle name="Normal 2 2 2 15 4 3" xfId="9727" xr:uid="{00000000-0005-0000-0000-0000F4250000}"/>
    <cellStyle name="Normal 2 2 2 15 4 4" xfId="9728" xr:uid="{00000000-0005-0000-0000-0000F5250000}"/>
    <cellStyle name="Normal 2 2 2 15 4 5" xfId="9729" xr:uid="{00000000-0005-0000-0000-0000F6250000}"/>
    <cellStyle name="Normal 2 2 2 15 4 6" xfId="9730" xr:uid="{00000000-0005-0000-0000-0000F7250000}"/>
    <cellStyle name="Normal 2 2 2 15 4 7" xfId="9731" xr:uid="{00000000-0005-0000-0000-0000F8250000}"/>
    <cellStyle name="Normal 2 2 2 15 4 8" xfId="9732" xr:uid="{00000000-0005-0000-0000-0000F9250000}"/>
    <cellStyle name="Normal 2 2 2 15 4 9" xfId="9733" xr:uid="{00000000-0005-0000-0000-0000FA250000}"/>
    <cellStyle name="Normal 2 2 2 15 5" xfId="9734" xr:uid="{00000000-0005-0000-0000-0000FB250000}"/>
    <cellStyle name="Normal 2 2 2 15 5 10" xfId="9735" xr:uid="{00000000-0005-0000-0000-0000FC250000}"/>
    <cellStyle name="Normal 2 2 2 15 5 2" xfId="9736" xr:uid="{00000000-0005-0000-0000-0000FD250000}"/>
    <cellStyle name="Normal 2 2 2 15 5 3" xfId="9737" xr:uid="{00000000-0005-0000-0000-0000FE250000}"/>
    <cellStyle name="Normal 2 2 2 15 5 4" xfId="9738" xr:uid="{00000000-0005-0000-0000-0000FF250000}"/>
    <cellStyle name="Normal 2 2 2 15 5 5" xfId="9739" xr:uid="{00000000-0005-0000-0000-000000260000}"/>
    <cellStyle name="Normal 2 2 2 15 5 6" xfId="9740" xr:uid="{00000000-0005-0000-0000-000001260000}"/>
    <cellStyle name="Normal 2 2 2 15 5 7" xfId="9741" xr:uid="{00000000-0005-0000-0000-000002260000}"/>
    <cellStyle name="Normal 2 2 2 15 5 8" xfId="9742" xr:uid="{00000000-0005-0000-0000-000003260000}"/>
    <cellStyle name="Normal 2 2 2 15 5 9" xfId="9743" xr:uid="{00000000-0005-0000-0000-000004260000}"/>
    <cellStyle name="Normal 2 2 2 15 6" xfId="9744" xr:uid="{00000000-0005-0000-0000-000005260000}"/>
    <cellStyle name="Normal 2 2 2 15 7" xfId="9745" xr:uid="{00000000-0005-0000-0000-000006260000}"/>
    <cellStyle name="Normal 2 2 2 15 8" xfId="9746" xr:uid="{00000000-0005-0000-0000-000007260000}"/>
    <cellStyle name="Normal 2 2 2 15 9" xfId="9747" xr:uid="{00000000-0005-0000-0000-000008260000}"/>
    <cellStyle name="Normal 2 2 2 16" xfId="9748" xr:uid="{00000000-0005-0000-0000-000009260000}"/>
    <cellStyle name="Normal 2 2 2 16 10" xfId="9749" xr:uid="{00000000-0005-0000-0000-00000A260000}"/>
    <cellStyle name="Normal 2 2 2 16 11" xfId="9750" xr:uid="{00000000-0005-0000-0000-00000B260000}"/>
    <cellStyle name="Normal 2 2 2 16 12" xfId="9751" xr:uid="{00000000-0005-0000-0000-00000C260000}"/>
    <cellStyle name="Normal 2 2 2 16 13" xfId="9752" xr:uid="{00000000-0005-0000-0000-00000D260000}"/>
    <cellStyle name="Normal 2 2 2 16 14" xfId="9753" xr:uid="{00000000-0005-0000-0000-00000E260000}"/>
    <cellStyle name="Normal 2 2 2 16 2" xfId="9754" xr:uid="{00000000-0005-0000-0000-00000F260000}"/>
    <cellStyle name="Normal 2 2 2 16 2 10" xfId="9755" xr:uid="{00000000-0005-0000-0000-000010260000}"/>
    <cellStyle name="Normal 2 2 2 16 2 2" xfId="9756" xr:uid="{00000000-0005-0000-0000-000011260000}"/>
    <cellStyle name="Normal 2 2 2 16 2 3" xfId="9757" xr:uid="{00000000-0005-0000-0000-000012260000}"/>
    <cellStyle name="Normal 2 2 2 16 2 4" xfId="9758" xr:uid="{00000000-0005-0000-0000-000013260000}"/>
    <cellStyle name="Normal 2 2 2 16 2 5" xfId="9759" xr:uid="{00000000-0005-0000-0000-000014260000}"/>
    <cellStyle name="Normal 2 2 2 16 2 6" xfId="9760" xr:uid="{00000000-0005-0000-0000-000015260000}"/>
    <cellStyle name="Normal 2 2 2 16 2 7" xfId="9761" xr:uid="{00000000-0005-0000-0000-000016260000}"/>
    <cellStyle name="Normal 2 2 2 16 2 8" xfId="9762" xr:uid="{00000000-0005-0000-0000-000017260000}"/>
    <cellStyle name="Normal 2 2 2 16 2 9" xfId="9763" xr:uid="{00000000-0005-0000-0000-000018260000}"/>
    <cellStyle name="Normal 2 2 2 16 3" xfId="9764" xr:uid="{00000000-0005-0000-0000-000019260000}"/>
    <cellStyle name="Normal 2 2 2 16 3 10" xfId="9765" xr:uid="{00000000-0005-0000-0000-00001A260000}"/>
    <cellStyle name="Normal 2 2 2 16 3 2" xfId="9766" xr:uid="{00000000-0005-0000-0000-00001B260000}"/>
    <cellStyle name="Normal 2 2 2 16 3 3" xfId="9767" xr:uid="{00000000-0005-0000-0000-00001C260000}"/>
    <cellStyle name="Normal 2 2 2 16 3 4" xfId="9768" xr:uid="{00000000-0005-0000-0000-00001D260000}"/>
    <cellStyle name="Normal 2 2 2 16 3 5" xfId="9769" xr:uid="{00000000-0005-0000-0000-00001E260000}"/>
    <cellStyle name="Normal 2 2 2 16 3 6" xfId="9770" xr:uid="{00000000-0005-0000-0000-00001F260000}"/>
    <cellStyle name="Normal 2 2 2 16 3 7" xfId="9771" xr:uid="{00000000-0005-0000-0000-000020260000}"/>
    <cellStyle name="Normal 2 2 2 16 3 8" xfId="9772" xr:uid="{00000000-0005-0000-0000-000021260000}"/>
    <cellStyle name="Normal 2 2 2 16 3 9" xfId="9773" xr:uid="{00000000-0005-0000-0000-000022260000}"/>
    <cellStyle name="Normal 2 2 2 16 4" xfId="9774" xr:uid="{00000000-0005-0000-0000-000023260000}"/>
    <cellStyle name="Normal 2 2 2 16 4 10" xfId="9775" xr:uid="{00000000-0005-0000-0000-000024260000}"/>
    <cellStyle name="Normal 2 2 2 16 4 2" xfId="9776" xr:uid="{00000000-0005-0000-0000-000025260000}"/>
    <cellStyle name="Normal 2 2 2 16 4 3" xfId="9777" xr:uid="{00000000-0005-0000-0000-000026260000}"/>
    <cellStyle name="Normal 2 2 2 16 4 4" xfId="9778" xr:uid="{00000000-0005-0000-0000-000027260000}"/>
    <cellStyle name="Normal 2 2 2 16 4 5" xfId="9779" xr:uid="{00000000-0005-0000-0000-000028260000}"/>
    <cellStyle name="Normal 2 2 2 16 4 6" xfId="9780" xr:uid="{00000000-0005-0000-0000-000029260000}"/>
    <cellStyle name="Normal 2 2 2 16 4 7" xfId="9781" xr:uid="{00000000-0005-0000-0000-00002A260000}"/>
    <cellStyle name="Normal 2 2 2 16 4 8" xfId="9782" xr:uid="{00000000-0005-0000-0000-00002B260000}"/>
    <cellStyle name="Normal 2 2 2 16 4 9" xfId="9783" xr:uid="{00000000-0005-0000-0000-00002C260000}"/>
    <cellStyle name="Normal 2 2 2 16 5" xfId="9784" xr:uid="{00000000-0005-0000-0000-00002D260000}"/>
    <cellStyle name="Normal 2 2 2 16 5 10" xfId="9785" xr:uid="{00000000-0005-0000-0000-00002E260000}"/>
    <cellStyle name="Normal 2 2 2 16 5 2" xfId="9786" xr:uid="{00000000-0005-0000-0000-00002F260000}"/>
    <cellStyle name="Normal 2 2 2 16 5 3" xfId="9787" xr:uid="{00000000-0005-0000-0000-000030260000}"/>
    <cellStyle name="Normal 2 2 2 16 5 4" xfId="9788" xr:uid="{00000000-0005-0000-0000-000031260000}"/>
    <cellStyle name="Normal 2 2 2 16 5 5" xfId="9789" xr:uid="{00000000-0005-0000-0000-000032260000}"/>
    <cellStyle name="Normal 2 2 2 16 5 6" xfId="9790" xr:uid="{00000000-0005-0000-0000-000033260000}"/>
    <cellStyle name="Normal 2 2 2 16 5 7" xfId="9791" xr:uid="{00000000-0005-0000-0000-000034260000}"/>
    <cellStyle name="Normal 2 2 2 16 5 8" xfId="9792" xr:uid="{00000000-0005-0000-0000-000035260000}"/>
    <cellStyle name="Normal 2 2 2 16 5 9" xfId="9793" xr:uid="{00000000-0005-0000-0000-000036260000}"/>
    <cellStyle name="Normal 2 2 2 16 6" xfId="9794" xr:uid="{00000000-0005-0000-0000-000037260000}"/>
    <cellStyle name="Normal 2 2 2 16 7" xfId="9795" xr:uid="{00000000-0005-0000-0000-000038260000}"/>
    <cellStyle name="Normal 2 2 2 16 8" xfId="9796" xr:uid="{00000000-0005-0000-0000-000039260000}"/>
    <cellStyle name="Normal 2 2 2 16 9" xfId="9797" xr:uid="{00000000-0005-0000-0000-00003A260000}"/>
    <cellStyle name="Normal 2 2 2 17" xfId="9798" xr:uid="{00000000-0005-0000-0000-00003B260000}"/>
    <cellStyle name="Normal 2 2 2 17 10" xfId="9799" xr:uid="{00000000-0005-0000-0000-00003C260000}"/>
    <cellStyle name="Normal 2 2 2 17 11" xfId="9800" xr:uid="{00000000-0005-0000-0000-00003D260000}"/>
    <cellStyle name="Normal 2 2 2 17 12" xfId="9801" xr:uid="{00000000-0005-0000-0000-00003E260000}"/>
    <cellStyle name="Normal 2 2 2 17 13" xfId="9802" xr:uid="{00000000-0005-0000-0000-00003F260000}"/>
    <cellStyle name="Normal 2 2 2 17 14" xfId="9803" xr:uid="{00000000-0005-0000-0000-000040260000}"/>
    <cellStyle name="Normal 2 2 2 17 2" xfId="9804" xr:uid="{00000000-0005-0000-0000-000041260000}"/>
    <cellStyle name="Normal 2 2 2 17 2 10" xfId="9805" xr:uid="{00000000-0005-0000-0000-000042260000}"/>
    <cellStyle name="Normal 2 2 2 17 2 2" xfId="9806" xr:uid="{00000000-0005-0000-0000-000043260000}"/>
    <cellStyle name="Normal 2 2 2 17 2 3" xfId="9807" xr:uid="{00000000-0005-0000-0000-000044260000}"/>
    <cellStyle name="Normal 2 2 2 17 2 4" xfId="9808" xr:uid="{00000000-0005-0000-0000-000045260000}"/>
    <cellStyle name="Normal 2 2 2 17 2 5" xfId="9809" xr:uid="{00000000-0005-0000-0000-000046260000}"/>
    <cellStyle name="Normal 2 2 2 17 2 6" xfId="9810" xr:uid="{00000000-0005-0000-0000-000047260000}"/>
    <cellStyle name="Normal 2 2 2 17 2 7" xfId="9811" xr:uid="{00000000-0005-0000-0000-000048260000}"/>
    <cellStyle name="Normal 2 2 2 17 2 8" xfId="9812" xr:uid="{00000000-0005-0000-0000-000049260000}"/>
    <cellStyle name="Normal 2 2 2 17 2 9" xfId="9813" xr:uid="{00000000-0005-0000-0000-00004A260000}"/>
    <cellStyle name="Normal 2 2 2 17 3" xfId="9814" xr:uid="{00000000-0005-0000-0000-00004B260000}"/>
    <cellStyle name="Normal 2 2 2 17 3 10" xfId="9815" xr:uid="{00000000-0005-0000-0000-00004C260000}"/>
    <cellStyle name="Normal 2 2 2 17 3 2" xfId="9816" xr:uid="{00000000-0005-0000-0000-00004D260000}"/>
    <cellStyle name="Normal 2 2 2 17 3 3" xfId="9817" xr:uid="{00000000-0005-0000-0000-00004E260000}"/>
    <cellStyle name="Normal 2 2 2 17 3 4" xfId="9818" xr:uid="{00000000-0005-0000-0000-00004F260000}"/>
    <cellStyle name="Normal 2 2 2 17 3 5" xfId="9819" xr:uid="{00000000-0005-0000-0000-000050260000}"/>
    <cellStyle name="Normal 2 2 2 17 3 6" xfId="9820" xr:uid="{00000000-0005-0000-0000-000051260000}"/>
    <cellStyle name="Normal 2 2 2 17 3 7" xfId="9821" xr:uid="{00000000-0005-0000-0000-000052260000}"/>
    <cellStyle name="Normal 2 2 2 17 3 8" xfId="9822" xr:uid="{00000000-0005-0000-0000-000053260000}"/>
    <cellStyle name="Normal 2 2 2 17 3 9" xfId="9823" xr:uid="{00000000-0005-0000-0000-000054260000}"/>
    <cellStyle name="Normal 2 2 2 17 4" xfId="9824" xr:uid="{00000000-0005-0000-0000-000055260000}"/>
    <cellStyle name="Normal 2 2 2 17 4 10" xfId="9825" xr:uid="{00000000-0005-0000-0000-000056260000}"/>
    <cellStyle name="Normal 2 2 2 17 4 2" xfId="9826" xr:uid="{00000000-0005-0000-0000-000057260000}"/>
    <cellStyle name="Normal 2 2 2 17 4 3" xfId="9827" xr:uid="{00000000-0005-0000-0000-000058260000}"/>
    <cellStyle name="Normal 2 2 2 17 4 4" xfId="9828" xr:uid="{00000000-0005-0000-0000-000059260000}"/>
    <cellStyle name="Normal 2 2 2 17 4 5" xfId="9829" xr:uid="{00000000-0005-0000-0000-00005A260000}"/>
    <cellStyle name="Normal 2 2 2 17 4 6" xfId="9830" xr:uid="{00000000-0005-0000-0000-00005B260000}"/>
    <cellStyle name="Normal 2 2 2 17 4 7" xfId="9831" xr:uid="{00000000-0005-0000-0000-00005C260000}"/>
    <cellStyle name="Normal 2 2 2 17 4 8" xfId="9832" xr:uid="{00000000-0005-0000-0000-00005D260000}"/>
    <cellStyle name="Normal 2 2 2 17 4 9" xfId="9833" xr:uid="{00000000-0005-0000-0000-00005E260000}"/>
    <cellStyle name="Normal 2 2 2 17 5" xfId="9834" xr:uid="{00000000-0005-0000-0000-00005F260000}"/>
    <cellStyle name="Normal 2 2 2 17 5 10" xfId="9835" xr:uid="{00000000-0005-0000-0000-000060260000}"/>
    <cellStyle name="Normal 2 2 2 17 5 2" xfId="9836" xr:uid="{00000000-0005-0000-0000-000061260000}"/>
    <cellStyle name="Normal 2 2 2 17 5 3" xfId="9837" xr:uid="{00000000-0005-0000-0000-000062260000}"/>
    <cellStyle name="Normal 2 2 2 17 5 4" xfId="9838" xr:uid="{00000000-0005-0000-0000-000063260000}"/>
    <cellStyle name="Normal 2 2 2 17 5 5" xfId="9839" xr:uid="{00000000-0005-0000-0000-000064260000}"/>
    <cellStyle name="Normal 2 2 2 17 5 6" xfId="9840" xr:uid="{00000000-0005-0000-0000-000065260000}"/>
    <cellStyle name="Normal 2 2 2 17 5 7" xfId="9841" xr:uid="{00000000-0005-0000-0000-000066260000}"/>
    <cellStyle name="Normal 2 2 2 17 5 8" xfId="9842" xr:uid="{00000000-0005-0000-0000-000067260000}"/>
    <cellStyle name="Normal 2 2 2 17 5 9" xfId="9843" xr:uid="{00000000-0005-0000-0000-000068260000}"/>
    <cellStyle name="Normal 2 2 2 17 6" xfId="9844" xr:uid="{00000000-0005-0000-0000-000069260000}"/>
    <cellStyle name="Normal 2 2 2 17 7" xfId="9845" xr:uid="{00000000-0005-0000-0000-00006A260000}"/>
    <cellStyle name="Normal 2 2 2 17 8" xfId="9846" xr:uid="{00000000-0005-0000-0000-00006B260000}"/>
    <cellStyle name="Normal 2 2 2 17 9" xfId="9847" xr:uid="{00000000-0005-0000-0000-00006C260000}"/>
    <cellStyle name="Normal 2 2 2 18" xfId="9848" xr:uid="{00000000-0005-0000-0000-00006D260000}"/>
    <cellStyle name="Normal 2 2 2 18 10" xfId="9849" xr:uid="{00000000-0005-0000-0000-00006E260000}"/>
    <cellStyle name="Normal 2 2 2 18 11" xfId="9850" xr:uid="{00000000-0005-0000-0000-00006F260000}"/>
    <cellStyle name="Normal 2 2 2 18 12" xfId="9851" xr:uid="{00000000-0005-0000-0000-000070260000}"/>
    <cellStyle name="Normal 2 2 2 18 13" xfId="9852" xr:uid="{00000000-0005-0000-0000-000071260000}"/>
    <cellStyle name="Normal 2 2 2 18 14" xfId="9853" xr:uid="{00000000-0005-0000-0000-000072260000}"/>
    <cellStyle name="Normal 2 2 2 18 2" xfId="9854" xr:uid="{00000000-0005-0000-0000-000073260000}"/>
    <cellStyle name="Normal 2 2 2 18 2 10" xfId="9855" xr:uid="{00000000-0005-0000-0000-000074260000}"/>
    <cellStyle name="Normal 2 2 2 18 2 2" xfId="9856" xr:uid="{00000000-0005-0000-0000-000075260000}"/>
    <cellStyle name="Normal 2 2 2 18 2 3" xfId="9857" xr:uid="{00000000-0005-0000-0000-000076260000}"/>
    <cellStyle name="Normal 2 2 2 18 2 4" xfId="9858" xr:uid="{00000000-0005-0000-0000-000077260000}"/>
    <cellStyle name="Normal 2 2 2 18 2 5" xfId="9859" xr:uid="{00000000-0005-0000-0000-000078260000}"/>
    <cellStyle name="Normal 2 2 2 18 2 6" xfId="9860" xr:uid="{00000000-0005-0000-0000-000079260000}"/>
    <cellStyle name="Normal 2 2 2 18 2 7" xfId="9861" xr:uid="{00000000-0005-0000-0000-00007A260000}"/>
    <cellStyle name="Normal 2 2 2 18 2 8" xfId="9862" xr:uid="{00000000-0005-0000-0000-00007B260000}"/>
    <cellStyle name="Normal 2 2 2 18 2 9" xfId="9863" xr:uid="{00000000-0005-0000-0000-00007C260000}"/>
    <cellStyle name="Normal 2 2 2 18 3" xfId="9864" xr:uid="{00000000-0005-0000-0000-00007D260000}"/>
    <cellStyle name="Normal 2 2 2 18 3 10" xfId="9865" xr:uid="{00000000-0005-0000-0000-00007E260000}"/>
    <cellStyle name="Normal 2 2 2 18 3 2" xfId="9866" xr:uid="{00000000-0005-0000-0000-00007F260000}"/>
    <cellStyle name="Normal 2 2 2 18 3 3" xfId="9867" xr:uid="{00000000-0005-0000-0000-000080260000}"/>
    <cellStyle name="Normal 2 2 2 18 3 4" xfId="9868" xr:uid="{00000000-0005-0000-0000-000081260000}"/>
    <cellStyle name="Normal 2 2 2 18 3 5" xfId="9869" xr:uid="{00000000-0005-0000-0000-000082260000}"/>
    <cellStyle name="Normal 2 2 2 18 3 6" xfId="9870" xr:uid="{00000000-0005-0000-0000-000083260000}"/>
    <cellStyle name="Normal 2 2 2 18 3 7" xfId="9871" xr:uid="{00000000-0005-0000-0000-000084260000}"/>
    <cellStyle name="Normal 2 2 2 18 3 8" xfId="9872" xr:uid="{00000000-0005-0000-0000-000085260000}"/>
    <cellStyle name="Normal 2 2 2 18 3 9" xfId="9873" xr:uid="{00000000-0005-0000-0000-000086260000}"/>
    <cellStyle name="Normal 2 2 2 18 4" xfId="9874" xr:uid="{00000000-0005-0000-0000-000087260000}"/>
    <cellStyle name="Normal 2 2 2 18 4 10" xfId="9875" xr:uid="{00000000-0005-0000-0000-000088260000}"/>
    <cellStyle name="Normal 2 2 2 18 4 2" xfId="9876" xr:uid="{00000000-0005-0000-0000-000089260000}"/>
    <cellStyle name="Normal 2 2 2 18 4 3" xfId="9877" xr:uid="{00000000-0005-0000-0000-00008A260000}"/>
    <cellStyle name="Normal 2 2 2 18 4 4" xfId="9878" xr:uid="{00000000-0005-0000-0000-00008B260000}"/>
    <cellStyle name="Normal 2 2 2 18 4 5" xfId="9879" xr:uid="{00000000-0005-0000-0000-00008C260000}"/>
    <cellStyle name="Normal 2 2 2 18 4 6" xfId="9880" xr:uid="{00000000-0005-0000-0000-00008D260000}"/>
    <cellStyle name="Normal 2 2 2 18 4 7" xfId="9881" xr:uid="{00000000-0005-0000-0000-00008E260000}"/>
    <cellStyle name="Normal 2 2 2 18 4 8" xfId="9882" xr:uid="{00000000-0005-0000-0000-00008F260000}"/>
    <cellStyle name="Normal 2 2 2 18 4 9" xfId="9883" xr:uid="{00000000-0005-0000-0000-000090260000}"/>
    <cellStyle name="Normal 2 2 2 18 5" xfId="9884" xr:uid="{00000000-0005-0000-0000-000091260000}"/>
    <cellStyle name="Normal 2 2 2 18 5 10" xfId="9885" xr:uid="{00000000-0005-0000-0000-000092260000}"/>
    <cellStyle name="Normal 2 2 2 18 5 2" xfId="9886" xr:uid="{00000000-0005-0000-0000-000093260000}"/>
    <cellStyle name="Normal 2 2 2 18 5 3" xfId="9887" xr:uid="{00000000-0005-0000-0000-000094260000}"/>
    <cellStyle name="Normal 2 2 2 18 5 4" xfId="9888" xr:uid="{00000000-0005-0000-0000-000095260000}"/>
    <cellStyle name="Normal 2 2 2 18 5 5" xfId="9889" xr:uid="{00000000-0005-0000-0000-000096260000}"/>
    <cellStyle name="Normal 2 2 2 18 5 6" xfId="9890" xr:uid="{00000000-0005-0000-0000-000097260000}"/>
    <cellStyle name="Normal 2 2 2 18 5 7" xfId="9891" xr:uid="{00000000-0005-0000-0000-000098260000}"/>
    <cellStyle name="Normal 2 2 2 18 5 8" xfId="9892" xr:uid="{00000000-0005-0000-0000-000099260000}"/>
    <cellStyle name="Normal 2 2 2 18 5 9" xfId="9893" xr:uid="{00000000-0005-0000-0000-00009A260000}"/>
    <cellStyle name="Normal 2 2 2 18 6" xfId="9894" xr:uid="{00000000-0005-0000-0000-00009B260000}"/>
    <cellStyle name="Normal 2 2 2 18 7" xfId="9895" xr:uid="{00000000-0005-0000-0000-00009C260000}"/>
    <cellStyle name="Normal 2 2 2 18 8" xfId="9896" xr:uid="{00000000-0005-0000-0000-00009D260000}"/>
    <cellStyle name="Normal 2 2 2 18 9" xfId="9897" xr:uid="{00000000-0005-0000-0000-00009E260000}"/>
    <cellStyle name="Normal 2 2 2 19" xfId="9898" xr:uid="{00000000-0005-0000-0000-00009F260000}"/>
    <cellStyle name="Normal 2 2 2 19 10" xfId="9899" xr:uid="{00000000-0005-0000-0000-0000A0260000}"/>
    <cellStyle name="Normal 2 2 2 19 11" xfId="9900" xr:uid="{00000000-0005-0000-0000-0000A1260000}"/>
    <cellStyle name="Normal 2 2 2 19 12" xfId="9901" xr:uid="{00000000-0005-0000-0000-0000A2260000}"/>
    <cellStyle name="Normal 2 2 2 19 13" xfId="9902" xr:uid="{00000000-0005-0000-0000-0000A3260000}"/>
    <cellStyle name="Normal 2 2 2 19 14" xfId="9903" xr:uid="{00000000-0005-0000-0000-0000A4260000}"/>
    <cellStyle name="Normal 2 2 2 19 2" xfId="9904" xr:uid="{00000000-0005-0000-0000-0000A5260000}"/>
    <cellStyle name="Normal 2 2 2 19 2 10" xfId="9905" xr:uid="{00000000-0005-0000-0000-0000A6260000}"/>
    <cellStyle name="Normal 2 2 2 19 2 2" xfId="9906" xr:uid="{00000000-0005-0000-0000-0000A7260000}"/>
    <cellStyle name="Normal 2 2 2 19 2 3" xfId="9907" xr:uid="{00000000-0005-0000-0000-0000A8260000}"/>
    <cellStyle name="Normal 2 2 2 19 2 4" xfId="9908" xr:uid="{00000000-0005-0000-0000-0000A9260000}"/>
    <cellStyle name="Normal 2 2 2 19 2 5" xfId="9909" xr:uid="{00000000-0005-0000-0000-0000AA260000}"/>
    <cellStyle name="Normal 2 2 2 19 2 6" xfId="9910" xr:uid="{00000000-0005-0000-0000-0000AB260000}"/>
    <cellStyle name="Normal 2 2 2 19 2 7" xfId="9911" xr:uid="{00000000-0005-0000-0000-0000AC260000}"/>
    <cellStyle name="Normal 2 2 2 19 2 8" xfId="9912" xr:uid="{00000000-0005-0000-0000-0000AD260000}"/>
    <cellStyle name="Normal 2 2 2 19 2 9" xfId="9913" xr:uid="{00000000-0005-0000-0000-0000AE260000}"/>
    <cellStyle name="Normal 2 2 2 19 3" xfId="9914" xr:uid="{00000000-0005-0000-0000-0000AF260000}"/>
    <cellStyle name="Normal 2 2 2 19 3 10" xfId="9915" xr:uid="{00000000-0005-0000-0000-0000B0260000}"/>
    <cellStyle name="Normal 2 2 2 19 3 2" xfId="9916" xr:uid="{00000000-0005-0000-0000-0000B1260000}"/>
    <cellStyle name="Normal 2 2 2 19 3 3" xfId="9917" xr:uid="{00000000-0005-0000-0000-0000B2260000}"/>
    <cellStyle name="Normal 2 2 2 19 3 4" xfId="9918" xr:uid="{00000000-0005-0000-0000-0000B3260000}"/>
    <cellStyle name="Normal 2 2 2 19 3 5" xfId="9919" xr:uid="{00000000-0005-0000-0000-0000B4260000}"/>
    <cellStyle name="Normal 2 2 2 19 3 6" xfId="9920" xr:uid="{00000000-0005-0000-0000-0000B5260000}"/>
    <cellStyle name="Normal 2 2 2 19 3 7" xfId="9921" xr:uid="{00000000-0005-0000-0000-0000B6260000}"/>
    <cellStyle name="Normal 2 2 2 19 3 8" xfId="9922" xr:uid="{00000000-0005-0000-0000-0000B7260000}"/>
    <cellStyle name="Normal 2 2 2 19 3 9" xfId="9923" xr:uid="{00000000-0005-0000-0000-0000B8260000}"/>
    <cellStyle name="Normal 2 2 2 19 4" xfId="9924" xr:uid="{00000000-0005-0000-0000-0000B9260000}"/>
    <cellStyle name="Normal 2 2 2 19 4 10" xfId="9925" xr:uid="{00000000-0005-0000-0000-0000BA260000}"/>
    <cellStyle name="Normal 2 2 2 19 4 2" xfId="9926" xr:uid="{00000000-0005-0000-0000-0000BB260000}"/>
    <cellStyle name="Normal 2 2 2 19 4 3" xfId="9927" xr:uid="{00000000-0005-0000-0000-0000BC260000}"/>
    <cellStyle name="Normal 2 2 2 19 4 4" xfId="9928" xr:uid="{00000000-0005-0000-0000-0000BD260000}"/>
    <cellStyle name="Normal 2 2 2 19 4 5" xfId="9929" xr:uid="{00000000-0005-0000-0000-0000BE260000}"/>
    <cellStyle name="Normal 2 2 2 19 4 6" xfId="9930" xr:uid="{00000000-0005-0000-0000-0000BF260000}"/>
    <cellStyle name="Normal 2 2 2 19 4 7" xfId="9931" xr:uid="{00000000-0005-0000-0000-0000C0260000}"/>
    <cellStyle name="Normal 2 2 2 19 4 8" xfId="9932" xr:uid="{00000000-0005-0000-0000-0000C1260000}"/>
    <cellStyle name="Normal 2 2 2 19 4 9" xfId="9933" xr:uid="{00000000-0005-0000-0000-0000C2260000}"/>
    <cellStyle name="Normal 2 2 2 19 5" xfId="9934" xr:uid="{00000000-0005-0000-0000-0000C3260000}"/>
    <cellStyle name="Normal 2 2 2 19 5 10" xfId="9935" xr:uid="{00000000-0005-0000-0000-0000C4260000}"/>
    <cellStyle name="Normal 2 2 2 19 5 2" xfId="9936" xr:uid="{00000000-0005-0000-0000-0000C5260000}"/>
    <cellStyle name="Normal 2 2 2 19 5 3" xfId="9937" xr:uid="{00000000-0005-0000-0000-0000C6260000}"/>
    <cellStyle name="Normal 2 2 2 19 5 4" xfId="9938" xr:uid="{00000000-0005-0000-0000-0000C7260000}"/>
    <cellStyle name="Normal 2 2 2 19 5 5" xfId="9939" xr:uid="{00000000-0005-0000-0000-0000C8260000}"/>
    <cellStyle name="Normal 2 2 2 19 5 6" xfId="9940" xr:uid="{00000000-0005-0000-0000-0000C9260000}"/>
    <cellStyle name="Normal 2 2 2 19 5 7" xfId="9941" xr:uid="{00000000-0005-0000-0000-0000CA260000}"/>
    <cellStyle name="Normal 2 2 2 19 5 8" xfId="9942" xr:uid="{00000000-0005-0000-0000-0000CB260000}"/>
    <cellStyle name="Normal 2 2 2 19 5 9" xfId="9943" xr:uid="{00000000-0005-0000-0000-0000CC260000}"/>
    <cellStyle name="Normal 2 2 2 19 6" xfId="9944" xr:uid="{00000000-0005-0000-0000-0000CD260000}"/>
    <cellStyle name="Normal 2 2 2 19 7" xfId="9945" xr:uid="{00000000-0005-0000-0000-0000CE260000}"/>
    <cellStyle name="Normal 2 2 2 19 8" xfId="9946" xr:uid="{00000000-0005-0000-0000-0000CF260000}"/>
    <cellStyle name="Normal 2 2 2 19 9" xfId="9947" xr:uid="{00000000-0005-0000-0000-0000D0260000}"/>
    <cellStyle name="Normal 2 2 2 2" xfId="14" xr:uid="{00000000-0005-0000-0000-0000D1260000}"/>
    <cellStyle name="Normal 2 2 2 2 10" xfId="9948" xr:uid="{00000000-0005-0000-0000-0000D2260000}"/>
    <cellStyle name="Normal 2 2 2 2 11" xfId="9949" xr:uid="{00000000-0005-0000-0000-0000D3260000}"/>
    <cellStyle name="Normal 2 2 2 2 12" xfId="9950" xr:uid="{00000000-0005-0000-0000-0000D4260000}"/>
    <cellStyle name="Normal 2 2 2 2 13" xfId="9951" xr:uid="{00000000-0005-0000-0000-0000D5260000}"/>
    <cellStyle name="Normal 2 2 2 2 14" xfId="9952" xr:uid="{00000000-0005-0000-0000-0000D6260000}"/>
    <cellStyle name="Normal 2 2 2 2 15" xfId="9953" xr:uid="{00000000-0005-0000-0000-0000D7260000}"/>
    <cellStyle name="Normal 2 2 2 2 16" xfId="9954" xr:uid="{00000000-0005-0000-0000-0000D8260000}"/>
    <cellStyle name="Normal 2 2 2 2 17" xfId="9955" xr:uid="{00000000-0005-0000-0000-0000D9260000}"/>
    <cellStyle name="Normal 2 2 2 2 18" xfId="9956" xr:uid="{00000000-0005-0000-0000-0000DA260000}"/>
    <cellStyle name="Normal 2 2 2 2 19" xfId="9957" xr:uid="{00000000-0005-0000-0000-0000DB260000}"/>
    <cellStyle name="Normal 2 2 2 2 2" xfId="15" xr:uid="{00000000-0005-0000-0000-0000DC260000}"/>
    <cellStyle name="Normal 2 2 2 2 2 10" xfId="9958" xr:uid="{00000000-0005-0000-0000-0000DD260000}"/>
    <cellStyle name="Normal 2 2 2 2 2 10 10" xfId="9959" xr:uid="{00000000-0005-0000-0000-0000DE260000}"/>
    <cellStyle name="Normal 2 2 2 2 2 10 11" xfId="9960" xr:uid="{00000000-0005-0000-0000-0000DF260000}"/>
    <cellStyle name="Normal 2 2 2 2 2 10 12" xfId="9961" xr:uid="{00000000-0005-0000-0000-0000E0260000}"/>
    <cellStyle name="Normal 2 2 2 2 2 10 13" xfId="9962" xr:uid="{00000000-0005-0000-0000-0000E1260000}"/>
    <cellStyle name="Normal 2 2 2 2 2 10 14" xfId="9963" xr:uid="{00000000-0005-0000-0000-0000E2260000}"/>
    <cellStyle name="Normal 2 2 2 2 2 10 2" xfId="9964" xr:uid="{00000000-0005-0000-0000-0000E3260000}"/>
    <cellStyle name="Normal 2 2 2 2 2 10 2 10" xfId="9965" xr:uid="{00000000-0005-0000-0000-0000E4260000}"/>
    <cellStyle name="Normal 2 2 2 2 2 10 2 2" xfId="9966" xr:uid="{00000000-0005-0000-0000-0000E5260000}"/>
    <cellStyle name="Normal 2 2 2 2 2 10 2 3" xfId="9967" xr:uid="{00000000-0005-0000-0000-0000E6260000}"/>
    <cellStyle name="Normal 2 2 2 2 2 10 2 4" xfId="9968" xr:uid="{00000000-0005-0000-0000-0000E7260000}"/>
    <cellStyle name="Normal 2 2 2 2 2 10 2 5" xfId="9969" xr:uid="{00000000-0005-0000-0000-0000E8260000}"/>
    <cellStyle name="Normal 2 2 2 2 2 10 2 6" xfId="9970" xr:uid="{00000000-0005-0000-0000-0000E9260000}"/>
    <cellStyle name="Normal 2 2 2 2 2 10 2 7" xfId="9971" xr:uid="{00000000-0005-0000-0000-0000EA260000}"/>
    <cellStyle name="Normal 2 2 2 2 2 10 2 8" xfId="9972" xr:uid="{00000000-0005-0000-0000-0000EB260000}"/>
    <cellStyle name="Normal 2 2 2 2 2 10 2 9" xfId="9973" xr:uid="{00000000-0005-0000-0000-0000EC260000}"/>
    <cellStyle name="Normal 2 2 2 2 2 10 3" xfId="9974" xr:uid="{00000000-0005-0000-0000-0000ED260000}"/>
    <cellStyle name="Normal 2 2 2 2 2 10 3 10" xfId="9975" xr:uid="{00000000-0005-0000-0000-0000EE260000}"/>
    <cellStyle name="Normal 2 2 2 2 2 10 3 2" xfId="9976" xr:uid="{00000000-0005-0000-0000-0000EF260000}"/>
    <cellStyle name="Normal 2 2 2 2 2 10 3 3" xfId="9977" xr:uid="{00000000-0005-0000-0000-0000F0260000}"/>
    <cellStyle name="Normal 2 2 2 2 2 10 3 4" xfId="9978" xr:uid="{00000000-0005-0000-0000-0000F1260000}"/>
    <cellStyle name="Normal 2 2 2 2 2 10 3 5" xfId="9979" xr:uid="{00000000-0005-0000-0000-0000F2260000}"/>
    <cellStyle name="Normal 2 2 2 2 2 10 3 6" xfId="9980" xr:uid="{00000000-0005-0000-0000-0000F3260000}"/>
    <cellStyle name="Normal 2 2 2 2 2 10 3 7" xfId="9981" xr:uid="{00000000-0005-0000-0000-0000F4260000}"/>
    <cellStyle name="Normal 2 2 2 2 2 10 3 8" xfId="9982" xr:uid="{00000000-0005-0000-0000-0000F5260000}"/>
    <cellStyle name="Normal 2 2 2 2 2 10 3 9" xfId="9983" xr:uid="{00000000-0005-0000-0000-0000F6260000}"/>
    <cellStyle name="Normal 2 2 2 2 2 10 4" xfId="9984" xr:uid="{00000000-0005-0000-0000-0000F7260000}"/>
    <cellStyle name="Normal 2 2 2 2 2 10 4 10" xfId="9985" xr:uid="{00000000-0005-0000-0000-0000F8260000}"/>
    <cellStyle name="Normal 2 2 2 2 2 10 4 2" xfId="9986" xr:uid="{00000000-0005-0000-0000-0000F9260000}"/>
    <cellStyle name="Normal 2 2 2 2 2 10 4 3" xfId="9987" xr:uid="{00000000-0005-0000-0000-0000FA260000}"/>
    <cellStyle name="Normal 2 2 2 2 2 10 4 4" xfId="9988" xr:uid="{00000000-0005-0000-0000-0000FB260000}"/>
    <cellStyle name="Normal 2 2 2 2 2 10 4 5" xfId="9989" xr:uid="{00000000-0005-0000-0000-0000FC260000}"/>
    <cellStyle name="Normal 2 2 2 2 2 10 4 6" xfId="9990" xr:uid="{00000000-0005-0000-0000-0000FD260000}"/>
    <cellStyle name="Normal 2 2 2 2 2 10 4 7" xfId="9991" xr:uid="{00000000-0005-0000-0000-0000FE260000}"/>
    <cellStyle name="Normal 2 2 2 2 2 10 4 8" xfId="9992" xr:uid="{00000000-0005-0000-0000-0000FF260000}"/>
    <cellStyle name="Normal 2 2 2 2 2 10 4 9" xfId="9993" xr:uid="{00000000-0005-0000-0000-000000270000}"/>
    <cellStyle name="Normal 2 2 2 2 2 10 5" xfId="9994" xr:uid="{00000000-0005-0000-0000-000001270000}"/>
    <cellStyle name="Normal 2 2 2 2 2 10 5 10" xfId="9995" xr:uid="{00000000-0005-0000-0000-000002270000}"/>
    <cellStyle name="Normal 2 2 2 2 2 10 5 2" xfId="9996" xr:uid="{00000000-0005-0000-0000-000003270000}"/>
    <cellStyle name="Normal 2 2 2 2 2 10 5 3" xfId="9997" xr:uid="{00000000-0005-0000-0000-000004270000}"/>
    <cellStyle name="Normal 2 2 2 2 2 10 5 4" xfId="9998" xr:uid="{00000000-0005-0000-0000-000005270000}"/>
    <cellStyle name="Normal 2 2 2 2 2 10 5 5" xfId="9999" xr:uid="{00000000-0005-0000-0000-000006270000}"/>
    <cellStyle name="Normal 2 2 2 2 2 10 5 6" xfId="10000" xr:uid="{00000000-0005-0000-0000-000007270000}"/>
    <cellStyle name="Normal 2 2 2 2 2 10 5 7" xfId="10001" xr:uid="{00000000-0005-0000-0000-000008270000}"/>
    <cellStyle name="Normal 2 2 2 2 2 10 5 8" xfId="10002" xr:uid="{00000000-0005-0000-0000-000009270000}"/>
    <cellStyle name="Normal 2 2 2 2 2 10 5 9" xfId="10003" xr:uid="{00000000-0005-0000-0000-00000A270000}"/>
    <cellStyle name="Normal 2 2 2 2 2 10 6" xfId="10004" xr:uid="{00000000-0005-0000-0000-00000B270000}"/>
    <cellStyle name="Normal 2 2 2 2 2 10 7" xfId="10005" xr:uid="{00000000-0005-0000-0000-00000C270000}"/>
    <cellStyle name="Normal 2 2 2 2 2 10 8" xfId="10006" xr:uid="{00000000-0005-0000-0000-00000D270000}"/>
    <cellStyle name="Normal 2 2 2 2 2 10 9" xfId="10007" xr:uid="{00000000-0005-0000-0000-00000E270000}"/>
    <cellStyle name="Normal 2 2 2 2 2 11" xfId="10008" xr:uid="{00000000-0005-0000-0000-00000F270000}"/>
    <cellStyle name="Normal 2 2 2 2 2 11 10" xfId="10009" xr:uid="{00000000-0005-0000-0000-000010270000}"/>
    <cellStyle name="Normal 2 2 2 2 2 11 11" xfId="10010" xr:uid="{00000000-0005-0000-0000-000011270000}"/>
    <cellStyle name="Normal 2 2 2 2 2 11 12" xfId="10011" xr:uid="{00000000-0005-0000-0000-000012270000}"/>
    <cellStyle name="Normal 2 2 2 2 2 11 13" xfId="10012" xr:uid="{00000000-0005-0000-0000-000013270000}"/>
    <cellStyle name="Normal 2 2 2 2 2 11 14" xfId="10013" xr:uid="{00000000-0005-0000-0000-000014270000}"/>
    <cellStyle name="Normal 2 2 2 2 2 11 2" xfId="10014" xr:uid="{00000000-0005-0000-0000-000015270000}"/>
    <cellStyle name="Normal 2 2 2 2 2 11 2 10" xfId="10015" xr:uid="{00000000-0005-0000-0000-000016270000}"/>
    <cellStyle name="Normal 2 2 2 2 2 11 2 2" xfId="10016" xr:uid="{00000000-0005-0000-0000-000017270000}"/>
    <cellStyle name="Normal 2 2 2 2 2 11 2 3" xfId="10017" xr:uid="{00000000-0005-0000-0000-000018270000}"/>
    <cellStyle name="Normal 2 2 2 2 2 11 2 4" xfId="10018" xr:uid="{00000000-0005-0000-0000-000019270000}"/>
    <cellStyle name="Normal 2 2 2 2 2 11 2 5" xfId="10019" xr:uid="{00000000-0005-0000-0000-00001A270000}"/>
    <cellStyle name="Normal 2 2 2 2 2 11 2 6" xfId="10020" xr:uid="{00000000-0005-0000-0000-00001B270000}"/>
    <cellStyle name="Normal 2 2 2 2 2 11 2 7" xfId="10021" xr:uid="{00000000-0005-0000-0000-00001C270000}"/>
    <cellStyle name="Normal 2 2 2 2 2 11 2 8" xfId="10022" xr:uid="{00000000-0005-0000-0000-00001D270000}"/>
    <cellStyle name="Normal 2 2 2 2 2 11 2 9" xfId="10023" xr:uid="{00000000-0005-0000-0000-00001E270000}"/>
    <cellStyle name="Normal 2 2 2 2 2 11 3" xfId="10024" xr:uid="{00000000-0005-0000-0000-00001F270000}"/>
    <cellStyle name="Normal 2 2 2 2 2 11 3 10" xfId="10025" xr:uid="{00000000-0005-0000-0000-000020270000}"/>
    <cellStyle name="Normal 2 2 2 2 2 11 3 2" xfId="10026" xr:uid="{00000000-0005-0000-0000-000021270000}"/>
    <cellStyle name="Normal 2 2 2 2 2 11 3 3" xfId="10027" xr:uid="{00000000-0005-0000-0000-000022270000}"/>
    <cellStyle name="Normal 2 2 2 2 2 11 3 4" xfId="10028" xr:uid="{00000000-0005-0000-0000-000023270000}"/>
    <cellStyle name="Normal 2 2 2 2 2 11 3 5" xfId="10029" xr:uid="{00000000-0005-0000-0000-000024270000}"/>
    <cellStyle name="Normal 2 2 2 2 2 11 3 6" xfId="10030" xr:uid="{00000000-0005-0000-0000-000025270000}"/>
    <cellStyle name="Normal 2 2 2 2 2 11 3 7" xfId="10031" xr:uid="{00000000-0005-0000-0000-000026270000}"/>
    <cellStyle name="Normal 2 2 2 2 2 11 3 8" xfId="10032" xr:uid="{00000000-0005-0000-0000-000027270000}"/>
    <cellStyle name="Normal 2 2 2 2 2 11 3 9" xfId="10033" xr:uid="{00000000-0005-0000-0000-000028270000}"/>
    <cellStyle name="Normal 2 2 2 2 2 11 4" xfId="10034" xr:uid="{00000000-0005-0000-0000-000029270000}"/>
    <cellStyle name="Normal 2 2 2 2 2 11 4 10" xfId="10035" xr:uid="{00000000-0005-0000-0000-00002A270000}"/>
    <cellStyle name="Normal 2 2 2 2 2 11 4 2" xfId="10036" xr:uid="{00000000-0005-0000-0000-00002B270000}"/>
    <cellStyle name="Normal 2 2 2 2 2 11 4 3" xfId="10037" xr:uid="{00000000-0005-0000-0000-00002C270000}"/>
    <cellStyle name="Normal 2 2 2 2 2 11 4 4" xfId="10038" xr:uid="{00000000-0005-0000-0000-00002D270000}"/>
    <cellStyle name="Normal 2 2 2 2 2 11 4 5" xfId="10039" xr:uid="{00000000-0005-0000-0000-00002E270000}"/>
    <cellStyle name="Normal 2 2 2 2 2 11 4 6" xfId="10040" xr:uid="{00000000-0005-0000-0000-00002F270000}"/>
    <cellStyle name="Normal 2 2 2 2 2 11 4 7" xfId="10041" xr:uid="{00000000-0005-0000-0000-000030270000}"/>
    <cellStyle name="Normal 2 2 2 2 2 11 4 8" xfId="10042" xr:uid="{00000000-0005-0000-0000-000031270000}"/>
    <cellStyle name="Normal 2 2 2 2 2 11 4 9" xfId="10043" xr:uid="{00000000-0005-0000-0000-000032270000}"/>
    <cellStyle name="Normal 2 2 2 2 2 11 5" xfId="10044" xr:uid="{00000000-0005-0000-0000-000033270000}"/>
    <cellStyle name="Normal 2 2 2 2 2 11 5 10" xfId="10045" xr:uid="{00000000-0005-0000-0000-000034270000}"/>
    <cellStyle name="Normal 2 2 2 2 2 11 5 2" xfId="10046" xr:uid="{00000000-0005-0000-0000-000035270000}"/>
    <cellStyle name="Normal 2 2 2 2 2 11 5 3" xfId="10047" xr:uid="{00000000-0005-0000-0000-000036270000}"/>
    <cellStyle name="Normal 2 2 2 2 2 11 5 4" xfId="10048" xr:uid="{00000000-0005-0000-0000-000037270000}"/>
    <cellStyle name="Normal 2 2 2 2 2 11 5 5" xfId="10049" xr:uid="{00000000-0005-0000-0000-000038270000}"/>
    <cellStyle name="Normal 2 2 2 2 2 11 5 6" xfId="10050" xr:uid="{00000000-0005-0000-0000-000039270000}"/>
    <cellStyle name="Normal 2 2 2 2 2 11 5 7" xfId="10051" xr:uid="{00000000-0005-0000-0000-00003A270000}"/>
    <cellStyle name="Normal 2 2 2 2 2 11 5 8" xfId="10052" xr:uid="{00000000-0005-0000-0000-00003B270000}"/>
    <cellStyle name="Normal 2 2 2 2 2 11 5 9" xfId="10053" xr:uid="{00000000-0005-0000-0000-00003C270000}"/>
    <cellStyle name="Normal 2 2 2 2 2 11 6" xfId="10054" xr:uid="{00000000-0005-0000-0000-00003D270000}"/>
    <cellStyle name="Normal 2 2 2 2 2 11 7" xfId="10055" xr:uid="{00000000-0005-0000-0000-00003E270000}"/>
    <cellStyle name="Normal 2 2 2 2 2 11 8" xfId="10056" xr:uid="{00000000-0005-0000-0000-00003F270000}"/>
    <cellStyle name="Normal 2 2 2 2 2 11 9" xfId="10057" xr:uid="{00000000-0005-0000-0000-000040270000}"/>
    <cellStyle name="Normal 2 2 2 2 2 12" xfId="10058" xr:uid="{00000000-0005-0000-0000-000041270000}"/>
    <cellStyle name="Normal 2 2 2 2 2 12 10" xfId="10059" xr:uid="{00000000-0005-0000-0000-000042270000}"/>
    <cellStyle name="Normal 2 2 2 2 2 12 11" xfId="10060" xr:uid="{00000000-0005-0000-0000-000043270000}"/>
    <cellStyle name="Normal 2 2 2 2 2 12 12" xfId="10061" xr:uid="{00000000-0005-0000-0000-000044270000}"/>
    <cellStyle name="Normal 2 2 2 2 2 12 13" xfId="10062" xr:uid="{00000000-0005-0000-0000-000045270000}"/>
    <cellStyle name="Normal 2 2 2 2 2 12 14" xfId="10063" xr:uid="{00000000-0005-0000-0000-000046270000}"/>
    <cellStyle name="Normal 2 2 2 2 2 12 2" xfId="10064" xr:uid="{00000000-0005-0000-0000-000047270000}"/>
    <cellStyle name="Normal 2 2 2 2 2 12 2 10" xfId="10065" xr:uid="{00000000-0005-0000-0000-000048270000}"/>
    <cellStyle name="Normal 2 2 2 2 2 12 2 2" xfId="10066" xr:uid="{00000000-0005-0000-0000-000049270000}"/>
    <cellStyle name="Normal 2 2 2 2 2 12 2 3" xfId="10067" xr:uid="{00000000-0005-0000-0000-00004A270000}"/>
    <cellStyle name="Normal 2 2 2 2 2 12 2 4" xfId="10068" xr:uid="{00000000-0005-0000-0000-00004B270000}"/>
    <cellStyle name="Normal 2 2 2 2 2 12 2 5" xfId="10069" xr:uid="{00000000-0005-0000-0000-00004C270000}"/>
    <cellStyle name="Normal 2 2 2 2 2 12 2 6" xfId="10070" xr:uid="{00000000-0005-0000-0000-00004D270000}"/>
    <cellStyle name="Normal 2 2 2 2 2 12 2 7" xfId="10071" xr:uid="{00000000-0005-0000-0000-00004E270000}"/>
    <cellStyle name="Normal 2 2 2 2 2 12 2 8" xfId="10072" xr:uid="{00000000-0005-0000-0000-00004F270000}"/>
    <cellStyle name="Normal 2 2 2 2 2 12 2 9" xfId="10073" xr:uid="{00000000-0005-0000-0000-000050270000}"/>
    <cellStyle name="Normal 2 2 2 2 2 12 3" xfId="10074" xr:uid="{00000000-0005-0000-0000-000051270000}"/>
    <cellStyle name="Normal 2 2 2 2 2 12 3 10" xfId="10075" xr:uid="{00000000-0005-0000-0000-000052270000}"/>
    <cellStyle name="Normal 2 2 2 2 2 12 3 2" xfId="10076" xr:uid="{00000000-0005-0000-0000-000053270000}"/>
    <cellStyle name="Normal 2 2 2 2 2 12 3 3" xfId="10077" xr:uid="{00000000-0005-0000-0000-000054270000}"/>
    <cellStyle name="Normal 2 2 2 2 2 12 3 4" xfId="10078" xr:uid="{00000000-0005-0000-0000-000055270000}"/>
    <cellStyle name="Normal 2 2 2 2 2 12 3 5" xfId="10079" xr:uid="{00000000-0005-0000-0000-000056270000}"/>
    <cellStyle name="Normal 2 2 2 2 2 12 3 6" xfId="10080" xr:uid="{00000000-0005-0000-0000-000057270000}"/>
    <cellStyle name="Normal 2 2 2 2 2 12 3 7" xfId="10081" xr:uid="{00000000-0005-0000-0000-000058270000}"/>
    <cellStyle name="Normal 2 2 2 2 2 12 3 8" xfId="10082" xr:uid="{00000000-0005-0000-0000-000059270000}"/>
    <cellStyle name="Normal 2 2 2 2 2 12 3 9" xfId="10083" xr:uid="{00000000-0005-0000-0000-00005A270000}"/>
    <cellStyle name="Normal 2 2 2 2 2 12 4" xfId="10084" xr:uid="{00000000-0005-0000-0000-00005B270000}"/>
    <cellStyle name="Normal 2 2 2 2 2 12 4 10" xfId="10085" xr:uid="{00000000-0005-0000-0000-00005C270000}"/>
    <cellStyle name="Normal 2 2 2 2 2 12 4 2" xfId="10086" xr:uid="{00000000-0005-0000-0000-00005D270000}"/>
    <cellStyle name="Normal 2 2 2 2 2 12 4 3" xfId="10087" xr:uid="{00000000-0005-0000-0000-00005E270000}"/>
    <cellStyle name="Normal 2 2 2 2 2 12 4 4" xfId="10088" xr:uid="{00000000-0005-0000-0000-00005F270000}"/>
    <cellStyle name="Normal 2 2 2 2 2 12 4 5" xfId="10089" xr:uid="{00000000-0005-0000-0000-000060270000}"/>
    <cellStyle name="Normal 2 2 2 2 2 12 4 6" xfId="10090" xr:uid="{00000000-0005-0000-0000-000061270000}"/>
    <cellStyle name="Normal 2 2 2 2 2 12 4 7" xfId="10091" xr:uid="{00000000-0005-0000-0000-000062270000}"/>
    <cellStyle name="Normal 2 2 2 2 2 12 4 8" xfId="10092" xr:uid="{00000000-0005-0000-0000-000063270000}"/>
    <cellStyle name="Normal 2 2 2 2 2 12 4 9" xfId="10093" xr:uid="{00000000-0005-0000-0000-000064270000}"/>
    <cellStyle name="Normal 2 2 2 2 2 12 5" xfId="10094" xr:uid="{00000000-0005-0000-0000-000065270000}"/>
    <cellStyle name="Normal 2 2 2 2 2 12 5 10" xfId="10095" xr:uid="{00000000-0005-0000-0000-000066270000}"/>
    <cellStyle name="Normal 2 2 2 2 2 12 5 2" xfId="10096" xr:uid="{00000000-0005-0000-0000-000067270000}"/>
    <cellStyle name="Normal 2 2 2 2 2 12 5 3" xfId="10097" xr:uid="{00000000-0005-0000-0000-000068270000}"/>
    <cellStyle name="Normal 2 2 2 2 2 12 5 4" xfId="10098" xr:uid="{00000000-0005-0000-0000-000069270000}"/>
    <cellStyle name="Normal 2 2 2 2 2 12 5 5" xfId="10099" xr:uid="{00000000-0005-0000-0000-00006A270000}"/>
    <cellStyle name="Normal 2 2 2 2 2 12 5 6" xfId="10100" xr:uid="{00000000-0005-0000-0000-00006B270000}"/>
    <cellStyle name="Normal 2 2 2 2 2 12 5 7" xfId="10101" xr:uid="{00000000-0005-0000-0000-00006C270000}"/>
    <cellStyle name="Normal 2 2 2 2 2 12 5 8" xfId="10102" xr:uid="{00000000-0005-0000-0000-00006D270000}"/>
    <cellStyle name="Normal 2 2 2 2 2 12 5 9" xfId="10103" xr:uid="{00000000-0005-0000-0000-00006E270000}"/>
    <cellStyle name="Normal 2 2 2 2 2 12 6" xfId="10104" xr:uid="{00000000-0005-0000-0000-00006F270000}"/>
    <cellStyle name="Normal 2 2 2 2 2 12 7" xfId="10105" xr:uid="{00000000-0005-0000-0000-000070270000}"/>
    <cellStyle name="Normal 2 2 2 2 2 12 8" xfId="10106" xr:uid="{00000000-0005-0000-0000-000071270000}"/>
    <cellStyle name="Normal 2 2 2 2 2 12 9" xfId="10107" xr:uid="{00000000-0005-0000-0000-000072270000}"/>
    <cellStyle name="Normal 2 2 2 2 2 13" xfId="10108" xr:uid="{00000000-0005-0000-0000-000073270000}"/>
    <cellStyle name="Normal 2 2 2 2 2 13 10" xfId="10109" xr:uid="{00000000-0005-0000-0000-000074270000}"/>
    <cellStyle name="Normal 2 2 2 2 2 13 11" xfId="10110" xr:uid="{00000000-0005-0000-0000-000075270000}"/>
    <cellStyle name="Normal 2 2 2 2 2 13 12" xfId="10111" xr:uid="{00000000-0005-0000-0000-000076270000}"/>
    <cellStyle name="Normal 2 2 2 2 2 13 13" xfId="10112" xr:uid="{00000000-0005-0000-0000-000077270000}"/>
    <cellStyle name="Normal 2 2 2 2 2 13 14" xfId="10113" xr:uid="{00000000-0005-0000-0000-000078270000}"/>
    <cellStyle name="Normal 2 2 2 2 2 13 2" xfId="10114" xr:uid="{00000000-0005-0000-0000-000079270000}"/>
    <cellStyle name="Normal 2 2 2 2 2 13 2 10" xfId="10115" xr:uid="{00000000-0005-0000-0000-00007A270000}"/>
    <cellStyle name="Normal 2 2 2 2 2 13 2 2" xfId="10116" xr:uid="{00000000-0005-0000-0000-00007B270000}"/>
    <cellStyle name="Normal 2 2 2 2 2 13 2 3" xfId="10117" xr:uid="{00000000-0005-0000-0000-00007C270000}"/>
    <cellStyle name="Normal 2 2 2 2 2 13 2 4" xfId="10118" xr:uid="{00000000-0005-0000-0000-00007D270000}"/>
    <cellStyle name="Normal 2 2 2 2 2 13 2 5" xfId="10119" xr:uid="{00000000-0005-0000-0000-00007E270000}"/>
    <cellStyle name="Normal 2 2 2 2 2 13 2 6" xfId="10120" xr:uid="{00000000-0005-0000-0000-00007F270000}"/>
    <cellStyle name="Normal 2 2 2 2 2 13 2 7" xfId="10121" xr:uid="{00000000-0005-0000-0000-000080270000}"/>
    <cellStyle name="Normal 2 2 2 2 2 13 2 8" xfId="10122" xr:uid="{00000000-0005-0000-0000-000081270000}"/>
    <cellStyle name="Normal 2 2 2 2 2 13 2 9" xfId="10123" xr:uid="{00000000-0005-0000-0000-000082270000}"/>
    <cellStyle name="Normal 2 2 2 2 2 13 3" xfId="10124" xr:uid="{00000000-0005-0000-0000-000083270000}"/>
    <cellStyle name="Normal 2 2 2 2 2 13 3 10" xfId="10125" xr:uid="{00000000-0005-0000-0000-000084270000}"/>
    <cellStyle name="Normal 2 2 2 2 2 13 3 2" xfId="10126" xr:uid="{00000000-0005-0000-0000-000085270000}"/>
    <cellStyle name="Normal 2 2 2 2 2 13 3 3" xfId="10127" xr:uid="{00000000-0005-0000-0000-000086270000}"/>
    <cellStyle name="Normal 2 2 2 2 2 13 3 4" xfId="10128" xr:uid="{00000000-0005-0000-0000-000087270000}"/>
    <cellStyle name="Normal 2 2 2 2 2 13 3 5" xfId="10129" xr:uid="{00000000-0005-0000-0000-000088270000}"/>
    <cellStyle name="Normal 2 2 2 2 2 13 3 6" xfId="10130" xr:uid="{00000000-0005-0000-0000-000089270000}"/>
    <cellStyle name="Normal 2 2 2 2 2 13 3 7" xfId="10131" xr:uid="{00000000-0005-0000-0000-00008A270000}"/>
    <cellStyle name="Normal 2 2 2 2 2 13 3 8" xfId="10132" xr:uid="{00000000-0005-0000-0000-00008B270000}"/>
    <cellStyle name="Normal 2 2 2 2 2 13 3 9" xfId="10133" xr:uid="{00000000-0005-0000-0000-00008C270000}"/>
    <cellStyle name="Normal 2 2 2 2 2 13 4" xfId="10134" xr:uid="{00000000-0005-0000-0000-00008D270000}"/>
    <cellStyle name="Normal 2 2 2 2 2 13 4 10" xfId="10135" xr:uid="{00000000-0005-0000-0000-00008E270000}"/>
    <cellStyle name="Normal 2 2 2 2 2 13 4 2" xfId="10136" xr:uid="{00000000-0005-0000-0000-00008F270000}"/>
    <cellStyle name="Normal 2 2 2 2 2 13 4 3" xfId="10137" xr:uid="{00000000-0005-0000-0000-000090270000}"/>
    <cellStyle name="Normal 2 2 2 2 2 13 4 4" xfId="10138" xr:uid="{00000000-0005-0000-0000-000091270000}"/>
    <cellStyle name="Normal 2 2 2 2 2 13 4 5" xfId="10139" xr:uid="{00000000-0005-0000-0000-000092270000}"/>
    <cellStyle name="Normal 2 2 2 2 2 13 4 6" xfId="10140" xr:uid="{00000000-0005-0000-0000-000093270000}"/>
    <cellStyle name="Normal 2 2 2 2 2 13 4 7" xfId="10141" xr:uid="{00000000-0005-0000-0000-000094270000}"/>
    <cellStyle name="Normal 2 2 2 2 2 13 4 8" xfId="10142" xr:uid="{00000000-0005-0000-0000-000095270000}"/>
    <cellStyle name="Normal 2 2 2 2 2 13 4 9" xfId="10143" xr:uid="{00000000-0005-0000-0000-000096270000}"/>
    <cellStyle name="Normal 2 2 2 2 2 13 5" xfId="10144" xr:uid="{00000000-0005-0000-0000-000097270000}"/>
    <cellStyle name="Normal 2 2 2 2 2 13 5 10" xfId="10145" xr:uid="{00000000-0005-0000-0000-000098270000}"/>
    <cellStyle name="Normal 2 2 2 2 2 13 5 2" xfId="10146" xr:uid="{00000000-0005-0000-0000-000099270000}"/>
    <cellStyle name="Normal 2 2 2 2 2 13 5 3" xfId="10147" xr:uid="{00000000-0005-0000-0000-00009A270000}"/>
    <cellStyle name="Normal 2 2 2 2 2 13 5 4" xfId="10148" xr:uid="{00000000-0005-0000-0000-00009B270000}"/>
    <cellStyle name="Normal 2 2 2 2 2 13 5 5" xfId="10149" xr:uid="{00000000-0005-0000-0000-00009C270000}"/>
    <cellStyle name="Normal 2 2 2 2 2 13 5 6" xfId="10150" xr:uid="{00000000-0005-0000-0000-00009D270000}"/>
    <cellStyle name="Normal 2 2 2 2 2 13 5 7" xfId="10151" xr:uid="{00000000-0005-0000-0000-00009E270000}"/>
    <cellStyle name="Normal 2 2 2 2 2 13 5 8" xfId="10152" xr:uid="{00000000-0005-0000-0000-00009F270000}"/>
    <cellStyle name="Normal 2 2 2 2 2 13 5 9" xfId="10153" xr:uid="{00000000-0005-0000-0000-0000A0270000}"/>
    <cellStyle name="Normal 2 2 2 2 2 13 6" xfId="10154" xr:uid="{00000000-0005-0000-0000-0000A1270000}"/>
    <cellStyle name="Normal 2 2 2 2 2 13 7" xfId="10155" xr:uid="{00000000-0005-0000-0000-0000A2270000}"/>
    <cellStyle name="Normal 2 2 2 2 2 13 8" xfId="10156" xr:uid="{00000000-0005-0000-0000-0000A3270000}"/>
    <cellStyle name="Normal 2 2 2 2 2 13 9" xfId="10157" xr:uid="{00000000-0005-0000-0000-0000A4270000}"/>
    <cellStyle name="Normal 2 2 2 2 2 14" xfId="10158" xr:uid="{00000000-0005-0000-0000-0000A5270000}"/>
    <cellStyle name="Normal 2 2 2 2 2 14 10" xfId="10159" xr:uid="{00000000-0005-0000-0000-0000A6270000}"/>
    <cellStyle name="Normal 2 2 2 2 2 14 11" xfId="10160" xr:uid="{00000000-0005-0000-0000-0000A7270000}"/>
    <cellStyle name="Normal 2 2 2 2 2 14 12" xfId="10161" xr:uid="{00000000-0005-0000-0000-0000A8270000}"/>
    <cellStyle name="Normal 2 2 2 2 2 14 13" xfId="10162" xr:uid="{00000000-0005-0000-0000-0000A9270000}"/>
    <cellStyle name="Normal 2 2 2 2 2 14 14" xfId="10163" xr:uid="{00000000-0005-0000-0000-0000AA270000}"/>
    <cellStyle name="Normal 2 2 2 2 2 14 2" xfId="10164" xr:uid="{00000000-0005-0000-0000-0000AB270000}"/>
    <cellStyle name="Normal 2 2 2 2 2 14 2 10" xfId="10165" xr:uid="{00000000-0005-0000-0000-0000AC270000}"/>
    <cellStyle name="Normal 2 2 2 2 2 14 2 2" xfId="10166" xr:uid="{00000000-0005-0000-0000-0000AD270000}"/>
    <cellStyle name="Normal 2 2 2 2 2 14 2 3" xfId="10167" xr:uid="{00000000-0005-0000-0000-0000AE270000}"/>
    <cellStyle name="Normal 2 2 2 2 2 14 2 4" xfId="10168" xr:uid="{00000000-0005-0000-0000-0000AF270000}"/>
    <cellStyle name="Normal 2 2 2 2 2 14 2 5" xfId="10169" xr:uid="{00000000-0005-0000-0000-0000B0270000}"/>
    <cellStyle name="Normal 2 2 2 2 2 14 2 6" xfId="10170" xr:uid="{00000000-0005-0000-0000-0000B1270000}"/>
    <cellStyle name="Normal 2 2 2 2 2 14 2 7" xfId="10171" xr:uid="{00000000-0005-0000-0000-0000B2270000}"/>
    <cellStyle name="Normal 2 2 2 2 2 14 2 8" xfId="10172" xr:uid="{00000000-0005-0000-0000-0000B3270000}"/>
    <cellStyle name="Normal 2 2 2 2 2 14 2 9" xfId="10173" xr:uid="{00000000-0005-0000-0000-0000B4270000}"/>
    <cellStyle name="Normal 2 2 2 2 2 14 3" xfId="10174" xr:uid="{00000000-0005-0000-0000-0000B5270000}"/>
    <cellStyle name="Normal 2 2 2 2 2 14 3 10" xfId="10175" xr:uid="{00000000-0005-0000-0000-0000B6270000}"/>
    <cellStyle name="Normal 2 2 2 2 2 14 3 2" xfId="10176" xr:uid="{00000000-0005-0000-0000-0000B7270000}"/>
    <cellStyle name="Normal 2 2 2 2 2 14 3 3" xfId="10177" xr:uid="{00000000-0005-0000-0000-0000B8270000}"/>
    <cellStyle name="Normal 2 2 2 2 2 14 3 4" xfId="10178" xr:uid="{00000000-0005-0000-0000-0000B9270000}"/>
    <cellStyle name="Normal 2 2 2 2 2 14 3 5" xfId="10179" xr:uid="{00000000-0005-0000-0000-0000BA270000}"/>
    <cellStyle name="Normal 2 2 2 2 2 14 3 6" xfId="10180" xr:uid="{00000000-0005-0000-0000-0000BB270000}"/>
    <cellStyle name="Normal 2 2 2 2 2 14 3 7" xfId="10181" xr:uid="{00000000-0005-0000-0000-0000BC270000}"/>
    <cellStyle name="Normal 2 2 2 2 2 14 3 8" xfId="10182" xr:uid="{00000000-0005-0000-0000-0000BD270000}"/>
    <cellStyle name="Normal 2 2 2 2 2 14 3 9" xfId="10183" xr:uid="{00000000-0005-0000-0000-0000BE270000}"/>
    <cellStyle name="Normal 2 2 2 2 2 14 4" xfId="10184" xr:uid="{00000000-0005-0000-0000-0000BF270000}"/>
    <cellStyle name="Normal 2 2 2 2 2 14 4 10" xfId="10185" xr:uid="{00000000-0005-0000-0000-0000C0270000}"/>
    <cellStyle name="Normal 2 2 2 2 2 14 4 2" xfId="10186" xr:uid="{00000000-0005-0000-0000-0000C1270000}"/>
    <cellStyle name="Normal 2 2 2 2 2 14 4 3" xfId="10187" xr:uid="{00000000-0005-0000-0000-0000C2270000}"/>
    <cellStyle name="Normal 2 2 2 2 2 14 4 4" xfId="10188" xr:uid="{00000000-0005-0000-0000-0000C3270000}"/>
    <cellStyle name="Normal 2 2 2 2 2 14 4 5" xfId="10189" xr:uid="{00000000-0005-0000-0000-0000C4270000}"/>
    <cellStyle name="Normal 2 2 2 2 2 14 4 6" xfId="10190" xr:uid="{00000000-0005-0000-0000-0000C5270000}"/>
    <cellStyle name="Normal 2 2 2 2 2 14 4 7" xfId="10191" xr:uid="{00000000-0005-0000-0000-0000C6270000}"/>
    <cellStyle name="Normal 2 2 2 2 2 14 4 8" xfId="10192" xr:uid="{00000000-0005-0000-0000-0000C7270000}"/>
    <cellStyle name="Normal 2 2 2 2 2 14 4 9" xfId="10193" xr:uid="{00000000-0005-0000-0000-0000C8270000}"/>
    <cellStyle name="Normal 2 2 2 2 2 14 5" xfId="10194" xr:uid="{00000000-0005-0000-0000-0000C9270000}"/>
    <cellStyle name="Normal 2 2 2 2 2 14 5 10" xfId="10195" xr:uid="{00000000-0005-0000-0000-0000CA270000}"/>
    <cellStyle name="Normal 2 2 2 2 2 14 5 2" xfId="10196" xr:uid="{00000000-0005-0000-0000-0000CB270000}"/>
    <cellStyle name="Normal 2 2 2 2 2 14 5 3" xfId="10197" xr:uid="{00000000-0005-0000-0000-0000CC270000}"/>
    <cellStyle name="Normal 2 2 2 2 2 14 5 4" xfId="10198" xr:uid="{00000000-0005-0000-0000-0000CD270000}"/>
    <cellStyle name="Normal 2 2 2 2 2 14 5 5" xfId="10199" xr:uid="{00000000-0005-0000-0000-0000CE270000}"/>
    <cellStyle name="Normal 2 2 2 2 2 14 5 6" xfId="10200" xr:uid="{00000000-0005-0000-0000-0000CF270000}"/>
    <cellStyle name="Normal 2 2 2 2 2 14 5 7" xfId="10201" xr:uid="{00000000-0005-0000-0000-0000D0270000}"/>
    <cellStyle name="Normal 2 2 2 2 2 14 5 8" xfId="10202" xr:uid="{00000000-0005-0000-0000-0000D1270000}"/>
    <cellStyle name="Normal 2 2 2 2 2 14 5 9" xfId="10203" xr:uid="{00000000-0005-0000-0000-0000D2270000}"/>
    <cellStyle name="Normal 2 2 2 2 2 14 6" xfId="10204" xr:uid="{00000000-0005-0000-0000-0000D3270000}"/>
    <cellStyle name="Normal 2 2 2 2 2 14 7" xfId="10205" xr:uid="{00000000-0005-0000-0000-0000D4270000}"/>
    <cellStyle name="Normal 2 2 2 2 2 14 8" xfId="10206" xr:uid="{00000000-0005-0000-0000-0000D5270000}"/>
    <cellStyle name="Normal 2 2 2 2 2 14 9" xfId="10207" xr:uid="{00000000-0005-0000-0000-0000D6270000}"/>
    <cellStyle name="Normal 2 2 2 2 2 15" xfId="10208" xr:uid="{00000000-0005-0000-0000-0000D7270000}"/>
    <cellStyle name="Normal 2 2 2 2 2 15 10" xfId="10209" xr:uid="{00000000-0005-0000-0000-0000D8270000}"/>
    <cellStyle name="Normal 2 2 2 2 2 15 11" xfId="10210" xr:uid="{00000000-0005-0000-0000-0000D9270000}"/>
    <cellStyle name="Normal 2 2 2 2 2 15 12" xfId="10211" xr:uid="{00000000-0005-0000-0000-0000DA270000}"/>
    <cellStyle name="Normal 2 2 2 2 2 15 13" xfId="10212" xr:uid="{00000000-0005-0000-0000-0000DB270000}"/>
    <cellStyle name="Normal 2 2 2 2 2 15 14" xfId="10213" xr:uid="{00000000-0005-0000-0000-0000DC270000}"/>
    <cellStyle name="Normal 2 2 2 2 2 15 2" xfId="10214" xr:uid="{00000000-0005-0000-0000-0000DD270000}"/>
    <cellStyle name="Normal 2 2 2 2 2 15 2 10" xfId="10215" xr:uid="{00000000-0005-0000-0000-0000DE270000}"/>
    <cellStyle name="Normal 2 2 2 2 2 15 2 2" xfId="10216" xr:uid="{00000000-0005-0000-0000-0000DF270000}"/>
    <cellStyle name="Normal 2 2 2 2 2 15 2 3" xfId="10217" xr:uid="{00000000-0005-0000-0000-0000E0270000}"/>
    <cellStyle name="Normal 2 2 2 2 2 15 2 4" xfId="10218" xr:uid="{00000000-0005-0000-0000-0000E1270000}"/>
    <cellStyle name="Normal 2 2 2 2 2 15 2 5" xfId="10219" xr:uid="{00000000-0005-0000-0000-0000E2270000}"/>
    <cellStyle name="Normal 2 2 2 2 2 15 2 6" xfId="10220" xr:uid="{00000000-0005-0000-0000-0000E3270000}"/>
    <cellStyle name="Normal 2 2 2 2 2 15 2 7" xfId="10221" xr:uid="{00000000-0005-0000-0000-0000E4270000}"/>
    <cellStyle name="Normal 2 2 2 2 2 15 2 8" xfId="10222" xr:uid="{00000000-0005-0000-0000-0000E5270000}"/>
    <cellStyle name="Normal 2 2 2 2 2 15 2 9" xfId="10223" xr:uid="{00000000-0005-0000-0000-0000E6270000}"/>
    <cellStyle name="Normal 2 2 2 2 2 15 3" xfId="10224" xr:uid="{00000000-0005-0000-0000-0000E7270000}"/>
    <cellStyle name="Normal 2 2 2 2 2 15 3 10" xfId="10225" xr:uid="{00000000-0005-0000-0000-0000E8270000}"/>
    <cellStyle name="Normal 2 2 2 2 2 15 3 2" xfId="10226" xr:uid="{00000000-0005-0000-0000-0000E9270000}"/>
    <cellStyle name="Normal 2 2 2 2 2 15 3 3" xfId="10227" xr:uid="{00000000-0005-0000-0000-0000EA270000}"/>
    <cellStyle name="Normal 2 2 2 2 2 15 3 4" xfId="10228" xr:uid="{00000000-0005-0000-0000-0000EB270000}"/>
    <cellStyle name="Normal 2 2 2 2 2 15 3 5" xfId="10229" xr:uid="{00000000-0005-0000-0000-0000EC270000}"/>
    <cellStyle name="Normal 2 2 2 2 2 15 3 6" xfId="10230" xr:uid="{00000000-0005-0000-0000-0000ED270000}"/>
    <cellStyle name="Normal 2 2 2 2 2 15 3 7" xfId="10231" xr:uid="{00000000-0005-0000-0000-0000EE270000}"/>
    <cellStyle name="Normal 2 2 2 2 2 15 3 8" xfId="10232" xr:uid="{00000000-0005-0000-0000-0000EF270000}"/>
    <cellStyle name="Normal 2 2 2 2 2 15 3 9" xfId="10233" xr:uid="{00000000-0005-0000-0000-0000F0270000}"/>
    <cellStyle name="Normal 2 2 2 2 2 15 4" xfId="10234" xr:uid="{00000000-0005-0000-0000-0000F1270000}"/>
    <cellStyle name="Normal 2 2 2 2 2 15 4 10" xfId="10235" xr:uid="{00000000-0005-0000-0000-0000F2270000}"/>
    <cellStyle name="Normal 2 2 2 2 2 15 4 2" xfId="10236" xr:uid="{00000000-0005-0000-0000-0000F3270000}"/>
    <cellStyle name="Normal 2 2 2 2 2 15 4 3" xfId="10237" xr:uid="{00000000-0005-0000-0000-0000F4270000}"/>
    <cellStyle name="Normal 2 2 2 2 2 15 4 4" xfId="10238" xr:uid="{00000000-0005-0000-0000-0000F5270000}"/>
    <cellStyle name="Normal 2 2 2 2 2 15 4 5" xfId="10239" xr:uid="{00000000-0005-0000-0000-0000F6270000}"/>
    <cellStyle name="Normal 2 2 2 2 2 15 4 6" xfId="10240" xr:uid="{00000000-0005-0000-0000-0000F7270000}"/>
    <cellStyle name="Normal 2 2 2 2 2 15 4 7" xfId="10241" xr:uid="{00000000-0005-0000-0000-0000F8270000}"/>
    <cellStyle name="Normal 2 2 2 2 2 15 4 8" xfId="10242" xr:uid="{00000000-0005-0000-0000-0000F9270000}"/>
    <cellStyle name="Normal 2 2 2 2 2 15 4 9" xfId="10243" xr:uid="{00000000-0005-0000-0000-0000FA270000}"/>
    <cellStyle name="Normal 2 2 2 2 2 15 5" xfId="10244" xr:uid="{00000000-0005-0000-0000-0000FB270000}"/>
    <cellStyle name="Normal 2 2 2 2 2 15 5 10" xfId="10245" xr:uid="{00000000-0005-0000-0000-0000FC270000}"/>
    <cellStyle name="Normal 2 2 2 2 2 15 5 2" xfId="10246" xr:uid="{00000000-0005-0000-0000-0000FD270000}"/>
    <cellStyle name="Normal 2 2 2 2 2 15 5 3" xfId="10247" xr:uid="{00000000-0005-0000-0000-0000FE270000}"/>
    <cellStyle name="Normal 2 2 2 2 2 15 5 4" xfId="10248" xr:uid="{00000000-0005-0000-0000-0000FF270000}"/>
    <cellStyle name="Normal 2 2 2 2 2 15 5 5" xfId="10249" xr:uid="{00000000-0005-0000-0000-000000280000}"/>
    <cellStyle name="Normal 2 2 2 2 2 15 5 6" xfId="10250" xr:uid="{00000000-0005-0000-0000-000001280000}"/>
    <cellStyle name="Normal 2 2 2 2 2 15 5 7" xfId="10251" xr:uid="{00000000-0005-0000-0000-000002280000}"/>
    <cellStyle name="Normal 2 2 2 2 2 15 5 8" xfId="10252" xr:uid="{00000000-0005-0000-0000-000003280000}"/>
    <cellStyle name="Normal 2 2 2 2 2 15 5 9" xfId="10253" xr:uid="{00000000-0005-0000-0000-000004280000}"/>
    <cellStyle name="Normal 2 2 2 2 2 15 6" xfId="10254" xr:uid="{00000000-0005-0000-0000-000005280000}"/>
    <cellStyle name="Normal 2 2 2 2 2 15 7" xfId="10255" xr:uid="{00000000-0005-0000-0000-000006280000}"/>
    <cellStyle name="Normal 2 2 2 2 2 15 8" xfId="10256" xr:uid="{00000000-0005-0000-0000-000007280000}"/>
    <cellStyle name="Normal 2 2 2 2 2 15 9" xfId="10257" xr:uid="{00000000-0005-0000-0000-000008280000}"/>
    <cellStyle name="Normal 2 2 2 2 2 16" xfId="10258" xr:uid="{00000000-0005-0000-0000-000009280000}"/>
    <cellStyle name="Normal 2 2 2 2 2 16 10" xfId="10259" xr:uid="{00000000-0005-0000-0000-00000A280000}"/>
    <cellStyle name="Normal 2 2 2 2 2 16 11" xfId="10260" xr:uid="{00000000-0005-0000-0000-00000B280000}"/>
    <cellStyle name="Normal 2 2 2 2 2 16 12" xfId="10261" xr:uid="{00000000-0005-0000-0000-00000C280000}"/>
    <cellStyle name="Normal 2 2 2 2 2 16 13" xfId="10262" xr:uid="{00000000-0005-0000-0000-00000D280000}"/>
    <cellStyle name="Normal 2 2 2 2 2 16 14" xfId="10263" xr:uid="{00000000-0005-0000-0000-00000E280000}"/>
    <cellStyle name="Normal 2 2 2 2 2 16 2" xfId="10264" xr:uid="{00000000-0005-0000-0000-00000F280000}"/>
    <cellStyle name="Normal 2 2 2 2 2 16 2 10" xfId="10265" xr:uid="{00000000-0005-0000-0000-000010280000}"/>
    <cellStyle name="Normal 2 2 2 2 2 16 2 2" xfId="10266" xr:uid="{00000000-0005-0000-0000-000011280000}"/>
    <cellStyle name="Normal 2 2 2 2 2 16 2 3" xfId="10267" xr:uid="{00000000-0005-0000-0000-000012280000}"/>
    <cellStyle name="Normal 2 2 2 2 2 16 2 4" xfId="10268" xr:uid="{00000000-0005-0000-0000-000013280000}"/>
    <cellStyle name="Normal 2 2 2 2 2 16 2 5" xfId="10269" xr:uid="{00000000-0005-0000-0000-000014280000}"/>
    <cellStyle name="Normal 2 2 2 2 2 16 2 6" xfId="10270" xr:uid="{00000000-0005-0000-0000-000015280000}"/>
    <cellStyle name="Normal 2 2 2 2 2 16 2 7" xfId="10271" xr:uid="{00000000-0005-0000-0000-000016280000}"/>
    <cellStyle name="Normal 2 2 2 2 2 16 2 8" xfId="10272" xr:uid="{00000000-0005-0000-0000-000017280000}"/>
    <cellStyle name="Normal 2 2 2 2 2 16 2 9" xfId="10273" xr:uid="{00000000-0005-0000-0000-000018280000}"/>
    <cellStyle name="Normal 2 2 2 2 2 16 3" xfId="10274" xr:uid="{00000000-0005-0000-0000-000019280000}"/>
    <cellStyle name="Normal 2 2 2 2 2 16 3 10" xfId="10275" xr:uid="{00000000-0005-0000-0000-00001A280000}"/>
    <cellStyle name="Normal 2 2 2 2 2 16 3 2" xfId="10276" xr:uid="{00000000-0005-0000-0000-00001B280000}"/>
    <cellStyle name="Normal 2 2 2 2 2 16 3 3" xfId="10277" xr:uid="{00000000-0005-0000-0000-00001C280000}"/>
    <cellStyle name="Normal 2 2 2 2 2 16 3 4" xfId="10278" xr:uid="{00000000-0005-0000-0000-00001D280000}"/>
    <cellStyle name="Normal 2 2 2 2 2 16 3 5" xfId="10279" xr:uid="{00000000-0005-0000-0000-00001E280000}"/>
    <cellStyle name="Normal 2 2 2 2 2 16 3 6" xfId="10280" xr:uid="{00000000-0005-0000-0000-00001F280000}"/>
    <cellStyle name="Normal 2 2 2 2 2 16 3 7" xfId="10281" xr:uid="{00000000-0005-0000-0000-000020280000}"/>
    <cellStyle name="Normal 2 2 2 2 2 16 3 8" xfId="10282" xr:uid="{00000000-0005-0000-0000-000021280000}"/>
    <cellStyle name="Normal 2 2 2 2 2 16 3 9" xfId="10283" xr:uid="{00000000-0005-0000-0000-000022280000}"/>
    <cellStyle name="Normal 2 2 2 2 2 16 4" xfId="10284" xr:uid="{00000000-0005-0000-0000-000023280000}"/>
    <cellStyle name="Normal 2 2 2 2 2 16 4 10" xfId="10285" xr:uid="{00000000-0005-0000-0000-000024280000}"/>
    <cellStyle name="Normal 2 2 2 2 2 16 4 2" xfId="10286" xr:uid="{00000000-0005-0000-0000-000025280000}"/>
    <cellStyle name="Normal 2 2 2 2 2 16 4 3" xfId="10287" xr:uid="{00000000-0005-0000-0000-000026280000}"/>
    <cellStyle name="Normal 2 2 2 2 2 16 4 4" xfId="10288" xr:uid="{00000000-0005-0000-0000-000027280000}"/>
    <cellStyle name="Normal 2 2 2 2 2 16 4 5" xfId="10289" xr:uid="{00000000-0005-0000-0000-000028280000}"/>
    <cellStyle name="Normal 2 2 2 2 2 16 4 6" xfId="10290" xr:uid="{00000000-0005-0000-0000-000029280000}"/>
    <cellStyle name="Normal 2 2 2 2 2 16 4 7" xfId="10291" xr:uid="{00000000-0005-0000-0000-00002A280000}"/>
    <cellStyle name="Normal 2 2 2 2 2 16 4 8" xfId="10292" xr:uid="{00000000-0005-0000-0000-00002B280000}"/>
    <cellStyle name="Normal 2 2 2 2 2 16 4 9" xfId="10293" xr:uid="{00000000-0005-0000-0000-00002C280000}"/>
    <cellStyle name="Normal 2 2 2 2 2 16 5" xfId="10294" xr:uid="{00000000-0005-0000-0000-00002D280000}"/>
    <cellStyle name="Normal 2 2 2 2 2 16 5 10" xfId="10295" xr:uid="{00000000-0005-0000-0000-00002E280000}"/>
    <cellStyle name="Normal 2 2 2 2 2 16 5 2" xfId="10296" xr:uid="{00000000-0005-0000-0000-00002F280000}"/>
    <cellStyle name="Normal 2 2 2 2 2 16 5 3" xfId="10297" xr:uid="{00000000-0005-0000-0000-000030280000}"/>
    <cellStyle name="Normal 2 2 2 2 2 16 5 4" xfId="10298" xr:uid="{00000000-0005-0000-0000-000031280000}"/>
    <cellStyle name="Normal 2 2 2 2 2 16 5 5" xfId="10299" xr:uid="{00000000-0005-0000-0000-000032280000}"/>
    <cellStyle name="Normal 2 2 2 2 2 16 5 6" xfId="10300" xr:uid="{00000000-0005-0000-0000-000033280000}"/>
    <cellStyle name="Normal 2 2 2 2 2 16 5 7" xfId="10301" xr:uid="{00000000-0005-0000-0000-000034280000}"/>
    <cellStyle name="Normal 2 2 2 2 2 16 5 8" xfId="10302" xr:uid="{00000000-0005-0000-0000-000035280000}"/>
    <cellStyle name="Normal 2 2 2 2 2 16 5 9" xfId="10303" xr:uid="{00000000-0005-0000-0000-000036280000}"/>
    <cellStyle name="Normal 2 2 2 2 2 16 6" xfId="10304" xr:uid="{00000000-0005-0000-0000-000037280000}"/>
    <cellStyle name="Normal 2 2 2 2 2 16 7" xfId="10305" xr:uid="{00000000-0005-0000-0000-000038280000}"/>
    <cellStyle name="Normal 2 2 2 2 2 16 8" xfId="10306" xr:uid="{00000000-0005-0000-0000-000039280000}"/>
    <cellStyle name="Normal 2 2 2 2 2 16 9" xfId="10307" xr:uid="{00000000-0005-0000-0000-00003A280000}"/>
    <cellStyle name="Normal 2 2 2 2 2 17" xfId="10308" xr:uid="{00000000-0005-0000-0000-00003B280000}"/>
    <cellStyle name="Normal 2 2 2 2 2 17 10" xfId="10309" xr:uid="{00000000-0005-0000-0000-00003C280000}"/>
    <cellStyle name="Normal 2 2 2 2 2 17 11" xfId="10310" xr:uid="{00000000-0005-0000-0000-00003D280000}"/>
    <cellStyle name="Normal 2 2 2 2 2 17 12" xfId="10311" xr:uid="{00000000-0005-0000-0000-00003E280000}"/>
    <cellStyle name="Normal 2 2 2 2 2 17 13" xfId="10312" xr:uid="{00000000-0005-0000-0000-00003F280000}"/>
    <cellStyle name="Normal 2 2 2 2 2 17 14" xfId="10313" xr:uid="{00000000-0005-0000-0000-000040280000}"/>
    <cellStyle name="Normal 2 2 2 2 2 17 2" xfId="10314" xr:uid="{00000000-0005-0000-0000-000041280000}"/>
    <cellStyle name="Normal 2 2 2 2 2 17 2 10" xfId="10315" xr:uid="{00000000-0005-0000-0000-000042280000}"/>
    <cellStyle name="Normal 2 2 2 2 2 17 2 2" xfId="10316" xr:uid="{00000000-0005-0000-0000-000043280000}"/>
    <cellStyle name="Normal 2 2 2 2 2 17 2 3" xfId="10317" xr:uid="{00000000-0005-0000-0000-000044280000}"/>
    <cellStyle name="Normal 2 2 2 2 2 17 2 4" xfId="10318" xr:uid="{00000000-0005-0000-0000-000045280000}"/>
    <cellStyle name="Normal 2 2 2 2 2 17 2 5" xfId="10319" xr:uid="{00000000-0005-0000-0000-000046280000}"/>
    <cellStyle name="Normal 2 2 2 2 2 17 2 6" xfId="10320" xr:uid="{00000000-0005-0000-0000-000047280000}"/>
    <cellStyle name="Normal 2 2 2 2 2 17 2 7" xfId="10321" xr:uid="{00000000-0005-0000-0000-000048280000}"/>
    <cellStyle name="Normal 2 2 2 2 2 17 2 8" xfId="10322" xr:uid="{00000000-0005-0000-0000-000049280000}"/>
    <cellStyle name="Normal 2 2 2 2 2 17 2 9" xfId="10323" xr:uid="{00000000-0005-0000-0000-00004A280000}"/>
    <cellStyle name="Normal 2 2 2 2 2 17 3" xfId="10324" xr:uid="{00000000-0005-0000-0000-00004B280000}"/>
    <cellStyle name="Normal 2 2 2 2 2 17 3 10" xfId="10325" xr:uid="{00000000-0005-0000-0000-00004C280000}"/>
    <cellStyle name="Normal 2 2 2 2 2 17 3 2" xfId="10326" xr:uid="{00000000-0005-0000-0000-00004D280000}"/>
    <cellStyle name="Normal 2 2 2 2 2 17 3 3" xfId="10327" xr:uid="{00000000-0005-0000-0000-00004E280000}"/>
    <cellStyle name="Normal 2 2 2 2 2 17 3 4" xfId="10328" xr:uid="{00000000-0005-0000-0000-00004F280000}"/>
    <cellStyle name="Normal 2 2 2 2 2 17 3 5" xfId="10329" xr:uid="{00000000-0005-0000-0000-000050280000}"/>
    <cellStyle name="Normal 2 2 2 2 2 17 3 6" xfId="10330" xr:uid="{00000000-0005-0000-0000-000051280000}"/>
    <cellStyle name="Normal 2 2 2 2 2 17 3 7" xfId="10331" xr:uid="{00000000-0005-0000-0000-000052280000}"/>
    <cellStyle name="Normal 2 2 2 2 2 17 3 8" xfId="10332" xr:uid="{00000000-0005-0000-0000-000053280000}"/>
    <cellStyle name="Normal 2 2 2 2 2 17 3 9" xfId="10333" xr:uid="{00000000-0005-0000-0000-000054280000}"/>
    <cellStyle name="Normal 2 2 2 2 2 17 4" xfId="10334" xr:uid="{00000000-0005-0000-0000-000055280000}"/>
    <cellStyle name="Normal 2 2 2 2 2 17 4 10" xfId="10335" xr:uid="{00000000-0005-0000-0000-000056280000}"/>
    <cellStyle name="Normal 2 2 2 2 2 17 4 2" xfId="10336" xr:uid="{00000000-0005-0000-0000-000057280000}"/>
    <cellStyle name="Normal 2 2 2 2 2 17 4 3" xfId="10337" xr:uid="{00000000-0005-0000-0000-000058280000}"/>
    <cellStyle name="Normal 2 2 2 2 2 17 4 4" xfId="10338" xr:uid="{00000000-0005-0000-0000-000059280000}"/>
    <cellStyle name="Normal 2 2 2 2 2 17 4 5" xfId="10339" xr:uid="{00000000-0005-0000-0000-00005A280000}"/>
    <cellStyle name="Normal 2 2 2 2 2 17 4 6" xfId="10340" xr:uid="{00000000-0005-0000-0000-00005B280000}"/>
    <cellStyle name="Normal 2 2 2 2 2 17 4 7" xfId="10341" xr:uid="{00000000-0005-0000-0000-00005C280000}"/>
    <cellStyle name="Normal 2 2 2 2 2 17 4 8" xfId="10342" xr:uid="{00000000-0005-0000-0000-00005D280000}"/>
    <cellStyle name="Normal 2 2 2 2 2 17 4 9" xfId="10343" xr:uid="{00000000-0005-0000-0000-00005E280000}"/>
    <cellStyle name="Normal 2 2 2 2 2 17 5" xfId="10344" xr:uid="{00000000-0005-0000-0000-00005F280000}"/>
    <cellStyle name="Normal 2 2 2 2 2 17 5 10" xfId="10345" xr:uid="{00000000-0005-0000-0000-000060280000}"/>
    <cellStyle name="Normal 2 2 2 2 2 17 5 2" xfId="10346" xr:uid="{00000000-0005-0000-0000-000061280000}"/>
    <cellStyle name="Normal 2 2 2 2 2 17 5 3" xfId="10347" xr:uid="{00000000-0005-0000-0000-000062280000}"/>
    <cellStyle name="Normal 2 2 2 2 2 17 5 4" xfId="10348" xr:uid="{00000000-0005-0000-0000-000063280000}"/>
    <cellStyle name="Normal 2 2 2 2 2 17 5 5" xfId="10349" xr:uid="{00000000-0005-0000-0000-000064280000}"/>
    <cellStyle name="Normal 2 2 2 2 2 17 5 6" xfId="10350" xr:uid="{00000000-0005-0000-0000-000065280000}"/>
    <cellStyle name="Normal 2 2 2 2 2 17 5 7" xfId="10351" xr:uid="{00000000-0005-0000-0000-000066280000}"/>
    <cellStyle name="Normal 2 2 2 2 2 17 5 8" xfId="10352" xr:uid="{00000000-0005-0000-0000-000067280000}"/>
    <cellStyle name="Normal 2 2 2 2 2 17 5 9" xfId="10353" xr:uid="{00000000-0005-0000-0000-000068280000}"/>
    <cellStyle name="Normal 2 2 2 2 2 17 6" xfId="10354" xr:uid="{00000000-0005-0000-0000-000069280000}"/>
    <cellStyle name="Normal 2 2 2 2 2 17 7" xfId="10355" xr:uid="{00000000-0005-0000-0000-00006A280000}"/>
    <cellStyle name="Normal 2 2 2 2 2 17 8" xfId="10356" xr:uid="{00000000-0005-0000-0000-00006B280000}"/>
    <cellStyle name="Normal 2 2 2 2 2 17 9" xfId="10357" xr:uid="{00000000-0005-0000-0000-00006C280000}"/>
    <cellStyle name="Normal 2 2 2 2 2 18" xfId="10358" xr:uid="{00000000-0005-0000-0000-00006D280000}"/>
    <cellStyle name="Normal 2 2 2 2 2 18 10" xfId="10359" xr:uid="{00000000-0005-0000-0000-00006E280000}"/>
    <cellStyle name="Normal 2 2 2 2 2 18 11" xfId="10360" xr:uid="{00000000-0005-0000-0000-00006F280000}"/>
    <cellStyle name="Normal 2 2 2 2 2 18 12" xfId="10361" xr:uid="{00000000-0005-0000-0000-000070280000}"/>
    <cellStyle name="Normal 2 2 2 2 2 18 13" xfId="10362" xr:uid="{00000000-0005-0000-0000-000071280000}"/>
    <cellStyle name="Normal 2 2 2 2 2 18 14" xfId="10363" xr:uid="{00000000-0005-0000-0000-000072280000}"/>
    <cellStyle name="Normal 2 2 2 2 2 18 2" xfId="10364" xr:uid="{00000000-0005-0000-0000-000073280000}"/>
    <cellStyle name="Normal 2 2 2 2 2 18 2 10" xfId="10365" xr:uid="{00000000-0005-0000-0000-000074280000}"/>
    <cellStyle name="Normal 2 2 2 2 2 18 2 2" xfId="10366" xr:uid="{00000000-0005-0000-0000-000075280000}"/>
    <cellStyle name="Normal 2 2 2 2 2 18 2 3" xfId="10367" xr:uid="{00000000-0005-0000-0000-000076280000}"/>
    <cellStyle name="Normal 2 2 2 2 2 18 2 4" xfId="10368" xr:uid="{00000000-0005-0000-0000-000077280000}"/>
    <cellStyle name="Normal 2 2 2 2 2 18 2 5" xfId="10369" xr:uid="{00000000-0005-0000-0000-000078280000}"/>
    <cellStyle name="Normal 2 2 2 2 2 18 2 6" xfId="10370" xr:uid="{00000000-0005-0000-0000-000079280000}"/>
    <cellStyle name="Normal 2 2 2 2 2 18 2 7" xfId="10371" xr:uid="{00000000-0005-0000-0000-00007A280000}"/>
    <cellStyle name="Normal 2 2 2 2 2 18 2 8" xfId="10372" xr:uid="{00000000-0005-0000-0000-00007B280000}"/>
    <cellStyle name="Normal 2 2 2 2 2 18 2 9" xfId="10373" xr:uid="{00000000-0005-0000-0000-00007C280000}"/>
    <cellStyle name="Normal 2 2 2 2 2 18 3" xfId="10374" xr:uid="{00000000-0005-0000-0000-00007D280000}"/>
    <cellStyle name="Normal 2 2 2 2 2 18 3 10" xfId="10375" xr:uid="{00000000-0005-0000-0000-00007E280000}"/>
    <cellStyle name="Normal 2 2 2 2 2 18 3 2" xfId="10376" xr:uid="{00000000-0005-0000-0000-00007F280000}"/>
    <cellStyle name="Normal 2 2 2 2 2 18 3 3" xfId="10377" xr:uid="{00000000-0005-0000-0000-000080280000}"/>
    <cellStyle name="Normal 2 2 2 2 2 18 3 4" xfId="10378" xr:uid="{00000000-0005-0000-0000-000081280000}"/>
    <cellStyle name="Normal 2 2 2 2 2 18 3 5" xfId="10379" xr:uid="{00000000-0005-0000-0000-000082280000}"/>
    <cellStyle name="Normal 2 2 2 2 2 18 3 6" xfId="10380" xr:uid="{00000000-0005-0000-0000-000083280000}"/>
    <cellStyle name="Normal 2 2 2 2 2 18 3 7" xfId="10381" xr:uid="{00000000-0005-0000-0000-000084280000}"/>
    <cellStyle name="Normal 2 2 2 2 2 18 3 8" xfId="10382" xr:uid="{00000000-0005-0000-0000-000085280000}"/>
    <cellStyle name="Normal 2 2 2 2 2 18 3 9" xfId="10383" xr:uid="{00000000-0005-0000-0000-000086280000}"/>
    <cellStyle name="Normal 2 2 2 2 2 18 4" xfId="10384" xr:uid="{00000000-0005-0000-0000-000087280000}"/>
    <cellStyle name="Normal 2 2 2 2 2 18 4 10" xfId="10385" xr:uid="{00000000-0005-0000-0000-000088280000}"/>
    <cellStyle name="Normal 2 2 2 2 2 18 4 2" xfId="10386" xr:uid="{00000000-0005-0000-0000-000089280000}"/>
    <cellStyle name="Normal 2 2 2 2 2 18 4 3" xfId="10387" xr:uid="{00000000-0005-0000-0000-00008A280000}"/>
    <cellStyle name="Normal 2 2 2 2 2 18 4 4" xfId="10388" xr:uid="{00000000-0005-0000-0000-00008B280000}"/>
    <cellStyle name="Normal 2 2 2 2 2 18 4 5" xfId="10389" xr:uid="{00000000-0005-0000-0000-00008C280000}"/>
    <cellStyle name="Normal 2 2 2 2 2 18 4 6" xfId="10390" xr:uid="{00000000-0005-0000-0000-00008D280000}"/>
    <cellStyle name="Normal 2 2 2 2 2 18 4 7" xfId="10391" xr:uid="{00000000-0005-0000-0000-00008E280000}"/>
    <cellStyle name="Normal 2 2 2 2 2 18 4 8" xfId="10392" xr:uid="{00000000-0005-0000-0000-00008F280000}"/>
    <cellStyle name="Normal 2 2 2 2 2 18 4 9" xfId="10393" xr:uid="{00000000-0005-0000-0000-000090280000}"/>
    <cellStyle name="Normal 2 2 2 2 2 18 5" xfId="10394" xr:uid="{00000000-0005-0000-0000-000091280000}"/>
    <cellStyle name="Normal 2 2 2 2 2 18 5 10" xfId="10395" xr:uid="{00000000-0005-0000-0000-000092280000}"/>
    <cellStyle name="Normal 2 2 2 2 2 18 5 2" xfId="10396" xr:uid="{00000000-0005-0000-0000-000093280000}"/>
    <cellStyle name="Normal 2 2 2 2 2 18 5 3" xfId="10397" xr:uid="{00000000-0005-0000-0000-000094280000}"/>
    <cellStyle name="Normal 2 2 2 2 2 18 5 4" xfId="10398" xr:uid="{00000000-0005-0000-0000-000095280000}"/>
    <cellStyle name="Normal 2 2 2 2 2 18 5 5" xfId="10399" xr:uid="{00000000-0005-0000-0000-000096280000}"/>
    <cellStyle name="Normal 2 2 2 2 2 18 5 6" xfId="10400" xr:uid="{00000000-0005-0000-0000-000097280000}"/>
    <cellStyle name="Normal 2 2 2 2 2 18 5 7" xfId="10401" xr:uid="{00000000-0005-0000-0000-000098280000}"/>
    <cellStyle name="Normal 2 2 2 2 2 18 5 8" xfId="10402" xr:uid="{00000000-0005-0000-0000-000099280000}"/>
    <cellStyle name="Normal 2 2 2 2 2 18 5 9" xfId="10403" xr:uid="{00000000-0005-0000-0000-00009A280000}"/>
    <cellStyle name="Normal 2 2 2 2 2 18 6" xfId="10404" xr:uid="{00000000-0005-0000-0000-00009B280000}"/>
    <cellStyle name="Normal 2 2 2 2 2 18 7" xfId="10405" xr:uid="{00000000-0005-0000-0000-00009C280000}"/>
    <cellStyle name="Normal 2 2 2 2 2 18 8" xfId="10406" xr:uid="{00000000-0005-0000-0000-00009D280000}"/>
    <cellStyle name="Normal 2 2 2 2 2 18 9" xfId="10407" xr:uid="{00000000-0005-0000-0000-00009E280000}"/>
    <cellStyle name="Normal 2 2 2 2 2 19" xfId="10408" xr:uid="{00000000-0005-0000-0000-00009F280000}"/>
    <cellStyle name="Normal 2 2 2 2 2 19 10" xfId="10409" xr:uid="{00000000-0005-0000-0000-0000A0280000}"/>
    <cellStyle name="Normal 2 2 2 2 2 19 11" xfId="10410" xr:uid="{00000000-0005-0000-0000-0000A1280000}"/>
    <cellStyle name="Normal 2 2 2 2 2 19 12" xfId="10411" xr:uid="{00000000-0005-0000-0000-0000A2280000}"/>
    <cellStyle name="Normal 2 2 2 2 2 19 13" xfId="10412" xr:uid="{00000000-0005-0000-0000-0000A3280000}"/>
    <cellStyle name="Normal 2 2 2 2 2 19 14" xfId="10413" xr:uid="{00000000-0005-0000-0000-0000A4280000}"/>
    <cellStyle name="Normal 2 2 2 2 2 19 2" xfId="10414" xr:uid="{00000000-0005-0000-0000-0000A5280000}"/>
    <cellStyle name="Normal 2 2 2 2 2 19 2 10" xfId="10415" xr:uid="{00000000-0005-0000-0000-0000A6280000}"/>
    <cellStyle name="Normal 2 2 2 2 2 19 2 2" xfId="10416" xr:uid="{00000000-0005-0000-0000-0000A7280000}"/>
    <cellStyle name="Normal 2 2 2 2 2 19 2 3" xfId="10417" xr:uid="{00000000-0005-0000-0000-0000A8280000}"/>
    <cellStyle name="Normal 2 2 2 2 2 19 2 4" xfId="10418" xr:uid="{00000000-0005-0000-0000-0000A9280000}"/>
    <cellStyle name="Normal 2 2 2 2 2 19 2 5" xfId="10419" xr:uid="{00000000-0005-0000-0000-0000AA280000}"/>
    <cellStyle name="Normal 2 2 2 2 2 19 2 6" xfId="10420" xr:uid="{00000000-0005-0000-0000-0000AB280000}"/>
    <cellStyle name="Normal 2 2 2 2 2 19 2 7" xfId="10421" xr:uid="{00000000-0005-0000-0000-0000AC280000}"/>
    <cellStyle name="Normal 2 2 2 2 2 19 2 8" xfId="10422" xr:uid="{00000000-0005-0000-0000-0000AD280000}"/>
    <cellStyle name="Normal 2 2 2 2 2 19 2 9" xfId="10423" xr:uid="{00000000-0005-0000-0000-0000AE280000}"/>
    <cellStyle name="Normal 2 2 2 2 2 19 3" xfId="10424" xr:uid="{00000000-0005-0000-0000-0000AF280000}"/>
    <cellStyle name="Normal 2 2 2 2 2 19 3 10" xfId="10425" xr:uid="{00000000-0005-0000-0000-0000B0280000}"/>
    <cellStyle name="Normal 2 2 2 2 2 19 3 2" xfId="10426" xr:uid="{00000000-0005-0000-0000-0000B1280000}"/>
    <cellStyle name="Normal 2 2 2 2 2 19 3 3" xfId="10427" xr:uid="{00000000-0005-0000-0000-0000B2280000}"/>
    <cellStyle name="Normal 2 2 2 2 2 19 3 4" xfId="10428" xr:uid="{00000000-0005-0000-0000-0000B3280000}"/>
    <cellStyle name="Normal 2 2 2 2 2 19 3 5" xfId="10429" xr:uid="{00000000-0005-0000-0000-0000B4280000}"/>
    <cellStyle name="Normal 2 2 2 2 2 19 3 6" xfId="10430" xr:uid="{00000000-0005-0000-0000-0000B5280000}"/>
    <cellStyle name="Normal 2 2 2 2 2 19 3 7" xfId="10431" xr:uid="{00000000-0005-0000-0000-0000B6280000}"/>
    <cellStyle name="Normal 2 2 2 2 2 19 3 8" xfId="10432" xr:uid="{00000000-0005-0000-0000-0000B7280000}"/>
    <cellStyle name="Normal 2 2 2 2 2 19 3 9" xfId="10433" xr:uid="{00000000-0005-0000-0000-0000B8280000}"/>
    <cellStyle name="Normal 2 2 2 2 2 19 4" xfId="10434" xr:uid="{00000000-0005-0000-0000-0000B9280000}"/>
    <cellStyle name="Normal 2 2 2 2 2 19 4 10" xfId="10435" xr:uid="{00000000-0005-0000-0000-0000BA280000}"/>
    <cellStyle name="Normal 2 2 2 2 2 19 4 2" xfId="10436" xr:uid="{00000000-0005-0000-0000-0000BB280000}"/>
    <cellStyle name="Normal 2 2 2 2 2 19 4 3" xfId="10437" xr:uid="{00000000-0005-0000-0000-0000BC280000}"/>
    <cellStyle name="Normal 2 2 2 2 2 19 4 4" xfId="10438" xr:uid="{00000000-0005-0000-0000-0000BD280000}"/>
    <cellStyle name="Normal 2 2 2 2 2 19 4 5" xfId="10439" xr:uid="{00000000-0005-0000-0000-0000BE280000}"/>
    <cellStyle name="Normal 2 2 2 2 2 19 4 6" xfId="10440" xr:uid="{00000000-0005-0000-0000-0000BF280000}"/>
    <cellStyle name="Normal 2 2 2 2 2 19 4 7" xfId="10441" xr:uid="{00000000-0005-0000-0000-0000C0280000}"/>
    <cellStyle name="Normal 2 2 2 2 2 19 4 8" xfId="10442" xr:uid="{00000000-0005-0000-0000-0000C1280000}"/>
    <cellStyle name="Normal 2 2 2 2 2 19 4 9" xfId="10443" xr:uid="{00000000-0005-0000-0000-0000C2280000}"/>
    <cellStyle name="Normal 2 2 2 2 2 19 5" xfId="10444" xr:uid="{00000000-0005-0000-0000-0000C3280000}"/>
    <cellStyle name="Normal 2 2 2 2 2 19 5 10" xfId="10445" xr:uid="{00000000-0005-0000-0000-0000C4280000}"/>
    <cellStyle name="Normal 2 2 2 2 2 19 5 2" xfId="10446" xr:uid="{00000000-0005-0000-0000-0000C5280000}"/>
    <cellStyle name="Normal 2 2 2 2 2 19 5 3" xfId="10447" xr:uid="{00000000-0005-0000-0000-0000C6280000}"/>
    <cellStyle name="Normal 2 2 2 2 2 19 5 4" xfId="10448" xr:uid="{00000000-0005-0000-0000-0000C7280000}"/>
    <cellStyle name="Normal 2 2 2 2 2 19 5 5" xfId="10449" xr:uid="{00000000-0005-0000-0000-0000C8280000}"/>
    <cellStyle name="Normal 2 2 2 2 2 19 5 6" xfId="10450" xr:uid="{00000000-0005-0000-0000-0000C9280000}"/>
    <cellStyle name="Normal 2 2 2 2 2 19 5 7" xfId="10451" xr:uid="{00000000-0005-0000-0000-0000CA280000}"/>
    <cellStyle name="Normal 2 2 2 2 2 19 5 8" xfId="10452" xr:uid="{00000000-0005-0000-0000-0000CB280000}"/>
    <cellStyle name="Normal 2 2 2 2 2 19 5 9" xfId="10453" xr:uid="{00000000-0005-0000-0000-0000CC280000}"/>
    <cellStyle name="Normal 2 2 2 2 2 19 6" xfId="10454" xr:uid="{00000000-0005-0000-0000-0000CD280000}"/>
    <cellStyle name="Normal 2 2 2 2 2 19 7" xfId="10455" xr:uid="{00000000-0005-0000-0000-0000CE280000}"/>
    <cellStyle name="Normal 2 2 2 2 2 19 8" xfId="10456" xr:uid="{00000000-0005-0000-0000-0000CF280000}"/>
    <cellStyle name="Normal 2 2 2 2 2 19 9" xfId="10457" xr:uid="{00000000-0005-0000-0000-0000D0280000}"/>
    <cellStyle name="Normal 2 2 2 2 2 2" xfId="10458" xr:uid="{00000000-0005-0000-0000-0000D1280000}"/>
    <cellStyle name="Normal 2 2 2 2 2 2 10" xfId="10459" xr:uid="{00000000-0005-0000-0000-0000D2280000}"/>
    <cellStyle name="Normal 2 2 2 2 2 2 10 10" xfId="10460" xr:uid="{00000000-0005-0000-0000-0000D3280000}"/>
    <cellStyle name="Normal 2 2 2 2 2 2 10 11" xfId="10461" xr:uid="{00000000-0005-0000-0000-0000D4280000}"/>
    <cellStyle name="Normal 2 2 2 2 2 2 10 12" xfId="10462" xr:uid="{00000000-0005-0000-0000-0000D5280000}"/>
    <cellStyle name="Normal 2 2 2 2 2 2 10 13" xfId="10463" xr:uid="{00000000-0005-0000-0000-0000D6280000}"/>
    <cellStyle name="Normal 2 2 2 2 2 2 10 14" xfId="10464" xr:uid="{00000000-0005-0000-0000-0000D7280000}"/>
    <cellStyle name="Normal 2 2 2 2 2 2 10 2" xfId="10465" xr:uid="{00000000-0005-0000-0000-0000D8280000}"/>
    <cellStyle name="Normal 2 2 2 2 2 2 10 2 10" xfId="10466" xr:uid="{00000000-0005-0000-0000-0000D9280000}"/>
    <cellStyle name="Normal 2 2 2 2 2 2 10 2 2" xfId="10467" xr:uid="{00000000-0005-0000-0000-0000DA280000}"/>
    <cellStyle name="Normal 2 2 2 2 2 2 10 2 3" xfId="10468" xr:uid="{00000000-0005-0000-0000-0000DB280000}"/>
    <cellStyle name="Normal 2 2 2 2 2 2 10 2 4" xfId="10469" xr:uid="{00000000-0005-0000-0000-0000DC280000}"/>
    <cellStyle name="Normal 2 2 2 2 2 2 10 2 5" xfId="10470" xr:uid="{00000000-0005-0000-0000-0000DD280000}"/>
    <cellStyle name="Normal 2 2 2 2 2 2 10 2 6" xfId="10471" xr:uid="{00000000-0005-0000-0000-0000DE280000}"/>
    <cellStyle name="Normal 2 2 2 2 2 2 10 2 7" xfId="10472" xr:uid="{00000000-0005-0000-0000-0000DF280000}"/>
    <cellStyle name="Normal 2 2 2 2 2 2 10 2 8" xfId="10473" xr:uid="{00000000-0005-0000-0000-0000E0280000}"/>
    <cellStyle name="Normal 2 2 2 2 2 2 10 2 9" xfId="10474" xr:uid="{00000000-0005-0000-0000-0000E1280000}"/>
    <cellStyle name="Normal 2 2 2 2 2 2 10 3" xfId="10475" xr:uid="{00000000-0005-0000-0000-0000E2280000}"/>
    <cellStyle name="Normal 2 2 2 2 2 2 10 3 10" xfId="10476" xr:uid="{00000000-0005-0000-0000-0000E3280000}"/>
    <cellStyle name="Normal 2 2 2 2 2 2 10 3 2" xfId="10477" xr:uid="{00000000-0005-0000-0000-0000E4280000}"/>
    <cellStyle name="Normal 2 2 2 2 2 2 10 3 3" xfId="10478" xr:uid="{00000000-0005-0000-0000-0000E5280000}"/>
    <cellStyle name="Normal 2 2 2 2 2 2 10 3 4" xfId="10479" xr:uid="{00000000-0005-0000-0000-0000E6280000}"/>
    <cellStyle name="Normal 2 2 2 2 2 2 10 3 5" xfId="10480" xr:uid="{00000000-0005-0000-0000-0000E7280000}"/>
    <cellStyle name="Normal 2 2 2 2 2 2 10 3 6" xfId="10481" xr:uid="{00000000-0005-0000-0000-0000E8280000}"/>
    <cellStyle name="Normal 2 2 2 2 2 2 10 3 7" xfId="10482" xr:uid="{00000000-0005-0000-0000-0000E9280000}"/>
    <cellStyle name="Normal 2 2 2 2 2 2 10 3 8" xfId="10483" xr:uid="{00000000-0005-0000-0000-0000EA280000}"/>
    <cellStyle name="Normal 2 2 2 2 2 2 10 3 9" xfId="10484" xr:uid="{00000000-0005-0000-0000-0000EB280000}"/>
    <cellStyle name="Normal 2 2 2 2 2 2 10 4" xfId="10485" xr:uid="{00000000-0005-0000-0000-0000EC280000}"/>
    <cellStyle name="Normal 2 2 2 2 2 2 10 4 10" xfId="10486" xr:uid="{00000000-0005-0000-0000-0000ED280000}"/>
    <cellStyle name="Normal 2 2 2 2 2 2 10 4 2" xfId="10487" xr:uid="{00000000-0005-0000-0000-0000EE280000}"/>
    <cellStyle name="Normal 2 2 2 2 2 2 10 4 3" xfId="10488" xr:uid="{00000000-0005-0000-0000-0000EF280000}"/>
    <cellStyle name="Normal 2 2 2 2 2 2 10 4 4" xfId="10489" xr:uid="{00000000-0005-0000-0000-0000F0280000}"/>
    <cellStyle name="Normal 2 2 2 2 2 2 10 4 5" xfId="10490" xr:uid="{00000000-0005-0000-0000-0000F1280000}"/>
    <cellStyle name="Normal 2 2 2 2 2 2 10 4 6" xfId="10491" xr:uid="{00000000-0005-0000-0000-0000F2280000}"/>
    <cellStyle name="Normal 2 2 2 2 2 2 10 4 7" xfId="10492" xr:uid="{00000000-0005-0000-0000-0000F3280000}"/>
    <cellStyle name="Normal 2 2 2 2 2 2 10 4 8" xfId="10493" xr:uid="{00000000-0005-0000-0000-0000F4280000}"/>
    <cellStyle name="Normal 2 2 2 2 2 2 10 4 9" xfId="10494" xr:uid="{00000000-0005-0000-0000-0000F5280000}"/>
    <cellStyle name="Normal 2 2 2 2 2 2 10 5" xfId="10495" xr:uid="{00000000-0005-0000-0000-0000F6280000}"/>
    <cellStyle name="Normal 2 2 2 2 2 2 10 5 10" xfId="10496" xr:uid="{00000000-0005-0000-0000-0000F7280000}"/>
    <cellStyle name="Normal 2 2 2 2 2 2 10 5 2" xfId="10497" xr:uid="{00000000-0005-0000-0000-0000F8280000}"/>
    <cellStyle name="Normal 2 2 2 2 2 2 10 5 3" xfId="10498" xr:uid="{00000000-0005-0000-0000-0000F9280000}"/>
    <cellStyle name="Normal 2 2 2 2 2 2 10 5 4" xfId="10499" xr:uid="{00000000-0005-0000-0000-0000FA280000}"/>
    <cellStyle name="Normal 2 2 2 2 2 2 10 5 5" xfId="10500" xr:uid="{00000000-0005-0000-0000-0000FB280000}"/>
    <cellStyle name="Normal 2 2 2 2 2 2 10 5 6" xfId="10501" xr:uid="{00000000-0005-0000-0000-0000FC280000}"/>
    <cellStyle name="Normal 2 2 2 2 2 2 10 5 7" xfId="10502" xr:uid="{00000000-0005-0000-0000-0000FD280000}"/>
    <cellStyle name="Normal 2 2 2 2 2 2 10 5 8" xfId="10503" xr:uid="{00000000-0005-0000-0000-0000FE280000}"/>
    <cellStyle name="Normal 2 2 2 2 2 2 10 5 9" xfId="10504" xr:uid="{00000000-0005-0000-0000-0000FF280000}"/>
    <cellStyle name="Normal 2 2 2 2 2 2 10 6" xfId="10505" xr:uid="{00000000-0005-0000-0000-000000290000}"/>
    <cellStyle name="Normal 2 2 2 2 2 2 10 7" xfId="10506" xr:uid="{00000000-0005-0000-0000-000001290000}"/>
    <cellStyle name="Normal 2 2 2 2 2 2 10 8" xfId="10507" xr:uid="{00000000-0005-0000-0000-000002290000}"/>
    <cellStyle name="Normal 2 2 2 2 2 2 10 9" xfId="10508" xr:uid="{00000000-0005-0000-0000-000003290000}"/>
    <cellStyle name="Normal 2 2 2 2 2 2 11" xfId="10509" xr:uid="{00000000-0005-0000-0000-000004290000}"/>
    <cellStyle name="Normal 2 2 2 2 2 2 11 10" xfId="10510" xr:uid="{00000000-0005-0000-0000-000005290000}"/>
    <cellStyle name="Normal 2 2 2 2 2 2 11 11" xfId="10511" xr:uid="{00000000-0005-0000-0000-000006290000}"/>
    <cellStyle name="Normal 2 2 2 2 2 2 11 12" xfId="10512" xr:uid="{00000000-0005-0000-0000-000007290000}"/>
    <cellStyle name="Normal 2 2 2 2 2 2 11 13" xfId="10513" xr:uid="{00000000-0005-0000-0000-000008290000}"/>
    <cellStyle name="Normal 2 2 2 2 2 2 11 14" xfId="10514" xr:uid="{00000000-0005-0000-0000-000009290000}"/>
    <cellStyle name="Normal 2 2 2 2 2 2 11 2" xfId="10515" xr:uid="{00000000-0005-0000-0000-00000A290000}"/>
    <cellStyle name="Normal 2 2 2 2 2 2 11 2 10" xfId="10516" xr:uid="{00000000-0005-0000-0000-00000B290000}"/>
    <cellStyle name="Normal 2 2 2 2 2 2 11 2 2" xfId="10517" xr:uid="{00000000-0005-0000-0000-00000C290000}"/>
    <cellStyle name="Normal 2 2 2 2 2 2 11 2 3" xfId="10518" xr:uid="{00000000-0005-0000-0000-00000D290000}"/>
    <cellStyle name="Normal 2 2 2 2 2 2 11 2 4" xfId="10519" xr:uid="{00000000-0005-0000-0000-00000E290000}"/>
    <cellStyle name="Normal 2 2 2 2 2 2 11 2 5" xfId="10520" xr:uid="{00000000-0005-0000-0000-00000F290000}"/>
    <cellStyle name="Normal 2 2 2 2 2 2 11 2 6" xfId="10521" xr:uid="{00000000-0005-0000-0000-000010290000}"/>
    <cellStyle name="Normal 2 2 2 2 2 2 11 2 7" xfId="10522" xr:uid="{00000000-0005-0000-0000-000011290000}"/>
    <cellStyle name="Normal 2 2 2 2 2 2 11 2 8" xfId="10523" xr:uid="{00000000-0005-0000-0000-000012290000}"/>
    <cellStyle name="Normal 2 2 2 2 2 2 11 2 9" xfId="10524" xr:uid="{00000000-0005-0000-0000-000013290000}"/>
    <cellStyle name="Normal 2 2 2 2 2 2 11 3" xfId="10525" xr:uid="{00000000-0005-0000-0000-000014290000}"/>
    <cellStyle name="Normal 2 2 2 2 2 2 11 3 10" xfId="10526" xr:uid="{00000000-0005-0000-0000-000015290000}"/>
    <cellStyle name="Normal 2 2 2 2 2 2 11 3 2" xfId="10527" xr:uid="{00000000-0005-0000-0000-000016290000}"/>
    <cellStyle name="Normal 2 2 2 2 2 2 11 3 3" xfId="10528" xr:uid="{00000000-0005-0000-0000-000017290000}"/>
    <cellStyle name="Normal 2 2 2 2 2 2 11 3 4" xfId="10529" xr:uid="{00000000-0005-0000-0000-000018290000}"/>
    <cellStyle name="Normal 2 2 2 2 2 2 11 3 5" xfId="10530" xr:uid="{00000000-0005-0000-0000-000019290000}"/>
    <cellStyle name="Normal 2 2 2 2 2 2 11 3 6" xfId="10531" xr:uid="{00000000-0005-0000-0000-00001A290000}"/>
    <cellStyle name="Normal 2 2 2 2 2 2 11 3 7" xfId="10532" xr:uid="{00000000-0005-0000-0000-00001B290000}"/>
    <cellStyle name="Normal 2 2 2 2 2 2 11 3 8" xfId="10533" xr:uid="{00000000-0005-0000-0000-00001C290000}"/>
    <cellStyle name="Normal 2 2 2 2 2 2 11 3 9" xfId="10534" xr:uid="{00000000-0005-0000-0000-00001D290000}"/>
    <cellStyle name="Normal 2 2 2 2 2 2 11 4" xfId="10535" xr:uid="{00000000-0005-0000-0000-00001E290000}"/>
    <cellStyle name="Normal 2 2 2 2 2 2 11 4 10" xfId="10536" xr:uid="{00000000-0005-0000-0000-00001F290000}"/>
    <cellStyle name="Normal 2 2 2 2 2 2 11 4 2" xfId="10537" xr:uid="{00000000-0005-0000-0000-000020290000}"/>
    <cellStyle name="Normal 2 2 2 2 2 2 11 4 3" xfId="10538" xr:uid="{00000000-0005-0000-0000-000021290000}"/>
    <cellStyle name="Normal 2 2 2 2 2 2 11 4 4" xfId="10539" xr:uid="{00000000-0005-0000-0000-000022290000}"/>
    <cellStyle name="Normal 2 2 2 2 2 2 11 4 5" xfId="10540" xr:uid="{00000000-0005-0000-0000-000023290000}"/>
    <cellStyle name="Normal 2 2 2 2 2 2 11 4 6" xfId="10541" xr:uid="{00000000-0005-0000-0000-000024290000}"/>
    <cellStyle name="Normal 2 2 2 2 2 2 11 4 7" xfId="10542" xr:uid="{00000000-0005-0000-0000-000025290000}"/>
    <cellStyle name="Normal 2 2 2 2 2 2 11 4 8" xfId="10543" xr:uid="{00000000-0005-0000-0000-000026290000}"/>
    <cellStyle name="Normal 2 2 2 2 2 2 11 4 9" xfId="10544" xr:uid="{00000000-0005-0000-0000-000027290000}"/>
    <cellStyle name="Normal 2 2 2 2 2 2 11 5" xfId="10545" xr:uid="{00000000-0005-0000-0000-000028290000}"/>
    <cellStyle name="Normal 2 2 2 2 2 2 11 5 10" xfId="10546" xr:uid="{00000000-0005-0000-0000-000029290000}"/>
    <cellStyle name="Normal 2 2 2 2 2 2 11 5 2" xfId="10547" xr:uid="{00000000-0005-0000-0000-00002A290000}"/>
    <cellStyle name="Normal 2 2 2 2 2 2 11 5 3" xfId="10548" xr:uid="{00000000-0005-0000-0000-00002B290000}"/>
    <cellStyle name="Normal 2 2 2 2 2 2 11 5 4" xfId="10549" xr:uid="{00000000-0005-0000-0000-00002C290000}"/>
    <cellStyle name="Normal 2 2 2 2 2 2 11 5 5" xfId="10550" xr:uid="{00000000-0005-0000-0000-00002D290000}"/>
    <cellStyle name="Normal 2 2 2 2 2 2 11 5 6" xfId="10551" xr:uid="{00000000-0005-0000-0000-00002E290000}"/>
    <cellStyle name="Normal 2 2 2 2 2 2 11 5 7" xfId="10552" xr:uid="{00000000-0005-0000-0000-00002F290000}"/>
    <cellStyle name="Normal 2 2 2 2 2 2 11 5 8" xfId="10553" xr:uid="{00000000-0005-0000-0000-000030290000}"/>
    <cellStyle name="Normal 2 2 2 2 2 2 11 5 9" xfId="10554" xr:uid="{00000000-0005-0000-0000-000031290000}"/>
    <cellStyle name="Normal 2 2 2 2 2 2 11 6" xfId="10555" xr:uid="{00000000-0005-0000-0000-000032290000}"/>
    <cellStyle name="Normal 2 2 2 2 2 2 11 7" xfId="10556" xr:uid="{00000000-0005-0000-0000-000033290000}"/>
    <cellStyle name="Normal 2 2 2 2 2 2 11 8" xfId="10557" xr:uid="{00000000-0005-0000-0000-000034290000}"/>
    <cellStyle name="Normal 2 2 2 2 2 2 11 9" xfId="10558" xr:uid="{00000000-0005-0000-0000-000035290000}"/>
    <cellStyle name="Normal 2 2 2 2 2 2 12" xfId="10559" xr:uid="{00000000-0005-0000-0000-000036290000}"/>
    <cellStyle name="Normal 2 2 2 2 2 2 12 10" xfId="10560" xr:uid="{00000000-0005-0000-0000-000037290000}"/>
    <cellStyle name="Normal 2 2 2 2 2 2 12 11" xfId="10561" xr:uid="{00000000-0005-0000-0000-000038290000}"/>
    <cellStyle name="Normal 2 2 2 2 2 2 12 12" xfId="10562" xr:uid="{00000000-0005-0000-0000-000039290000}"/>
    <cellStyle name="Normal 2 2 2 2 2 2 12 13" xfId="10563" xr:uid="{00000000-0005-0000-0000-00003A290000}"/>
    <cellStyle name="Normal 2 2 2 2 2 2 12 14" xfId="10564" xr:uid="{00000000-0005-0000-0000-00003B290000}"/>
    <cellStyle name="Normal 2 2 2 2 2 2 12 2" xfId="10565" xr:uid="{00000000-0005-0000-0000-00003C290000}"/>
    <cellStyle name="Normal 2 2 2 2 2 2 12 2 10" xfId="10566" xr:uid="{00000000-0005-0000-0000-00003D290000}"/>
    <cellStyle name="Normal 2 2 2 2 2 2 12 2 2" xfId="10567" xr:uid="{00000000-0005-0000-0000-00003E290000}"/>
    <cellStyle name="Normal 2 2 2 2 2 2 12 2 3" xfId="10568" xr:uid="{00000000-0005-0000-0000-00003F290000}"/>
    <cellStyle name="Normal 2 2 2 2 2 2 12 2 4" xfId="10569" xr:uid="{00000000-0005-0000-0000-000040290000}"/>
    <cellStyle name="Normal 2 2 2 2 2 2 12 2 5" xfId="10570" xr:uid="{00000000-0005-0000-0000-000041290000}"/>
    <cellStyle name="Normal 2 2 2 2 2 2 12 2 6" xfId="10571" xr:uid="{00000000-0005-0000-0000-000042290000}"/>
    <cellStyle name="Normal 2 2 2 2 2 2 12 2 7" xfId="10572" xr:uid="{00000000-0005-0000-0000-000043290000}"/>
    <cellStyle name="Normal 2 2 2 2 2 2 12 2 8" xfId="10573" xr:uid="{00000000-0005-0000-0000-000044290000}"/>
    <cellStyle name="Normal 2 2 2 2 2 2 12 2 9" xfId="10574" xr:uid="{00000000-0005-0000-0000-000045290000}"/>
    <cellStyle name="Normal 2 2 2 2 2 2 12 3" xfId="10575" xr:uid="{00000000-0005-0000-0000-000046290000}"/>
    <cellStyle name="Normal 2 2 2 2 2 2 12 3 10" xfId="10576" xr:uid="{00000000-0005-0000-0000-000047290000}"/>
    <cellStyle name="Normal 2 2 2 2 2 2 12 3 2" xfId="10577" xr:uid="{00000000-0005-0000-0000-000048290000}"/>
    <cellStyle name="Normal 2 2 2 2 2 2 12 3 3" xfId="10578" xr:uid="{00000000-0005-0000-0000-000049290000}"/>
    <cellStyle name="Normal 2 2 2 2 2 2 12 3 4" xfId="10579" xr:uid="{00000000-0005-0000-0000-00004A290000}"/>
    <cellStyle name="Normal 2 2 2 2 2 2 12 3 5" xfId="10580" xr:uid="{00000000-0005-0000-0000-00004B290000}"/>
    <cellStyle name="Normal 2 2 2 2 2 2 12 3 6" xfId="10581" xr:uid="{00000000-0005-0000-0000-00004C290000}"/>
    <cellStyle name="Normal 2 2 2 2 2 2 12 3 7" xfId="10582" xr:uid="{00000000-0005-0000-0000-00004D290000}"/>
    <cellStyle name="Normal 2 2 2 2 2 2 12 3 8" xfId="10583" xr:uid="{00000000-0005-0000-0000-00004E290000}"/>
    <cellStyle name="Normal 2 2 2 2 2 2 12 3 9" xfId="10584" xr:uid="{00000000-0005-0000-0000-00004F290000}"/>
    <cellStyle name="Normal 2 2 2 2 2 2 12 4" xfId="10585" xr:uid="{00000000-0005-0000-0000-000050290000}"/>
    <cellStyle name="Normal 2 2 2 2 2 2 12 4 10" xfId="10586" xr:uid="{00000000-0005-0000-0000-000051290000}"/>
    <cellStyle name="Normal 2 2 2 2 2 2 12 4 2" xfId="10587" xr:uid="{00000000-0005-0000-0000-000052290000}"/>
    <cellStyle name="Normal 2 2 2 2 2 2 12 4 3" xfId="10588" xr:uid="{00000000-0005-0000-0000-000053290000}"/>
    <cellStyle name="Normal 2 2 2 2 2 2 12 4 4" xfId="10589" xr:uid="{00000000-0005-0000-0000-000054290000}"/>
    <cellStyle name="Normal 2 2 2 2 2 2 12 4 5" xfId="10590" xr:uid="{00000000-0005-0000-0000-000055290000}"/>
    <cellStyle name="Normal 2 2 2 2 2 2 12 4 6" xfId="10591" xr:uid="{00000000-0005-0000-0000-000056290000}"/>
    <cellStyle name="Normal 2 2 2 2 2 2 12 4 7" xfId="10592" xr:uid="{00000000-0005-0000-0000-000057290000}"/>
    <cellStyle name="Normal 2 2 2 2 2 2 12 4 8" xfId="10593" xr:uid="{00000000-0005-0000-0000-000058290000}"/>
    <cellStyle name="Normal 2 2 2 2 2 2 12 4 9" xfId="10594" xr:uid="{00000000-0005-0000-0000-000059290000}"/>
    <cellStyle name="Normal 2 2 2 2 2 2 12 5" xfId="10595" xr:uid="{00000000-0005-0000-0000-00005A290000}"/>
    <cellStyle name="Normal 2 2 2 2 2 2 12 5 10" xfId="10596" xr:uid="{00000000-0005-0000-0000-00005B290000}"/>
    <cellStyle name="Normal 2 2 2 2 2 2 12 5 2" xfId="10597" xr:uid="{00000000-0005-0000-0000-00005C290000}"/>
    <cellStyle name="Normal 2 2 2 2 2 2 12 5 3" xfId="10598" xr:uid="{00000000-0005-0000-0000-00005D290000}"/>
    <cellStyle name="Normal 2 2 2 2 2 2 12 5 4" xfId="10599" xr:uid="{00000000-0005-0000-0000-00005E290000}"/>
    <cellStyle name="Normal 2 2 2 2 2 2 12 5 5" xfId="10600" xr:uid="{00000000-0005-0000-0000-00005F290000}"/>
    <cellStyle name="Normal 2 2 2 2 2 2 12 5 6" xfId="10601" xr:uid="{00000000-0005-0000-0000-000060290000}"/>
    <cellStyle name="Normal 2 2 2 2 2 2 12 5 7" xfId="10602" xr:uid="{00000000-0005-0000-0000-000061290000}"/>
    <cellStyle name="Normal 2 2 2 2 2 2 12 5 8" xfId="10603" xr:uid="{00000000-0005-0000-0000-000062290000}"/>
    <cellStyle name="Normal 2 2 2 2 2 2 12 5 9" xfId="10604" xr:uid="{00000000-0005-0000-0000-000063290000}"/>
    <cellStyle name="Normal 2 2 2 2 2 2 12 6" xfId="10605" xr:uid="{00000000-0005-0000-0000-000064290000}"/>
    <cellStyle name="Normal 2 2 2 2 2 2 12 7" xfId="10606" xr:uid="{00000000-0005-0000-0000-000065290000}"/>
    <cellStyle name="Normal 2 2 2 2 2 2 12 8" xfId="10607" xr:uid="{00000000-0005-0000-0000-000066290000}"/>
    <cellStyle name="Normal 2 2 2 2 2 2 12 9" xfId="10608" xr:uid="{00000000-0005-0000-0000-000067290000}"/>
    <cellStyle name="Normal 2 2 2 2 2 2 13" xfId="10609" xr:uid="{00000000-0005-0000-0000-000068290000}"/>
    <cellStyle name="Normal 2 2 2 2 2 2 13 10" xfId="10610" xr:uid="{00000000-0005-0000-0000-000069290000}"/>
    <cellStyle name="Normal 2 2 2 2 2 2 13 11" xfId="10611" xr:uid="{00000000-0005-0000-0000-00006A290000}"/>
    <cellStyle name="Normal 2 2 2 2 2 2 13 12" xfId="10612" xr:uid="{00000000-0005-0000-0000-00006B290000}"/>
    <cellStyle name="Normal 2 2 2 2 2 2 13 13" xfId="10613" xr:uid="{00000000-0005-0000-0000-00006C290000}"/>
    <cellStyle name="Normal 2 2 2 2 2 2 13 14" xfId="10614" xr:uid="{00000000-0005-0000-0000-00006D290000}"/>
    <cellStyle name="Normal 2 2 2 2 2 2 13 2" xfId="10615" xr:uid="{00000000-0005-0000-0000-00006E290000}"/>
    <cellStyle name="Normal 2 2 2 2 2 2 13 2 10" xfId="10616" xr:uid="{00000000-0005-0000-0000-00006F290000}"/>
    <cellStyle name="Normal 2 2 2 2 2 2 13 2 2" xfId="10617" xr:uid="{00000000-0005-0000-0000-000070290000}"/>
    <cellStyle name="Normal 2 2 2 2 2 2 13 2 3" xfId="10618" xr:uid="{00000000-0005-0000-0000-000071290000}"/>
    <cellStyle name="Normal 2 2 2 2 2 2 13 2 4" xfId="10619" xr:uid="{00000000-0005-0000-0000-000072290000}"/>
    <cellStyle name="Normal 2 2 2 2 2 2 13 2 5" xfId="10620" xr:uid="{00000000-0005-0000-0000-000073290000}"/>
    <cellStyle name="Normal 2 2 2 2 2 2 13 2 6" xfId="10621" xr:uid="{00000000-0005-0000-0000-000074290000}"/>
    <cellStyle name="Normal 2 2 2 2 2 2 13 2 7" xfId="10622" xr:uid="{00000000-0005-0000-0000-000075290000}"/>
    <cellStyle name="Normal 2 2 2 2 2 2 13 2 8" xfId="10623" xr:uid="{00000000-0005-0000-0000-000076290000}"/>
    <cellStyle name="Normal 2 2 2 2 2 2 13 2 9" xfId="10624" xr:uid="{00000000-0005-0000-0000-000077290000}"/>
    <cellStyle name="Normal 2 2 2 2 2 2 13 3" xfId="10625" xr:uid="{00000000-0005-0000-0000-000078290000}"/>
    <cellStyle name="Normal 2 2 2 2 2 2 13 3 10" xfId="10626" xr:uid="{00000000-0005-0000-0000-000079290000}"/>
    <cellStyle name="Normal 2 2 2 2 2 2 13 3 2" xfId="10627" xr:uid="{00000000-0005-0000-0000-00007A290000}"/>
    <cellStyle name="Normal 2 2 2 2 2 2 13 3 3" xfId="10628" xr:uid="{00000000-0005-0000-0000-00007B290000}"/>
    <cellStyle name="Normal 2 2 2 2 2 2 13 3 4" xfId="10629" xr:uid="{00000000-0005-0000-0000-00007C290000}"/>
    <cellStyle name="Normal 2 2 2 2 2 2 13 3 5" xfId="10630" xr:uid="{00000000-0005-0000-0000-00007D290000}"/>
    <cellStyle name="Normal 2 2 2 2 2 2 13 3 6" xfId="10631" xr:uid="{00000000-0005-0000-0000-00007E290000}"/>
    <cellStyle name="Normal 2 2 2 2 2 2 13 3 7" xfId="10632" xr:uid="{00000000-0005-0000-0000-00007F290000}"/>
    <cellStyle name="Normal 2 2 2 2 2 2 13 3 8" xfId="10633" xr:uid="{00000000-0005-0000-0000-000080290000}"/>
    <cellStyle name="Normal 2 2 2 2 2 2 13 3 9" xfId="10634" xr:uid="{00000000-0005-0000-0000-000081290000}"/>
    <cellStyle name="Normal 2 2 2 2 2 2 13 4" xfId="10635" xr:uid="{00000000-0005-0000-0000-000082290000}"/>
    <cellStyle name="Normal 2 2 2 2 2 2 13 4 10" xfId="10636" xr:uid="{00000000-0005-0000-0000-000083290000}"/>
    <cellStyle name="Normal 2 2 2 2 2 2 13 4 2" xfId="10637" xr:uid="{00000000-0005-0000-0000-000084290000}"/>
    <cellStyle name="Normal 2 2 2 2 2 2 13 4 3" xfId="10638" xr:uid="{00000000-0005-0000-0000-000085290000}"/>
    <cellStyle name="Normal 2 2 2 2 2 2 13 4 4" xfId="10639" xr:uid="{00000000-0005-0000-0000-000086290000}"/>
    <cellStyle name="Normal 2 2 2 2 2 2 13 4 5" xfId="10640" xr:uid="{00000000-0005-0000-0000-000087290000}"/>
    <cellStyle name="Normal 2 2 2 2 2 2 13 4 6" xfId="10641" xr:uid="{00000000-0005-0000-0000-000088290000}"/>
    <cellStyle name="Normal 2 2 2 2 2 2 13 4 7" xfId="10642" xr:uid="{00000000-0005-0000-0000-000089290000}"/>
    <cellStyle name="Normal 2 2 2 2 2 2 13 4 8" xfId="10643" xr:uid="{00000000-0005-0000-0000-00008A290000}"/>
    <cellStyle name="Normal 2 2 2 2 2 2 13 4 9" xfId="10644" xr:uid="{00000000-0005-0000-0000-00008B290000}"/>
    <cellStyle name="Normal 2 2 2 2 2 2 13 5" xfId="10645" xr:uid="{00000000-0005-0000-0000-00008C290000}"/>
    <cellStyle name="Normal 2 2 2 2 2 2 13 5 10" xfId="10646" xr:uid="{00000000-0005-0000-0000-00008D290000}"/>
    <cellStyle name="Normal 2 2 2 2 2 2 13 5 2" xfId="10647" xr:uid="{00000000-0005-0000-0000-00008E290000}"/>
    <cellStyle name="Normal 2 2 2 2 2 2 13 5 3" xfId="10648" xr:uid="{00000000-0005-0000-0000-00008F290000}"/>
    <cellStyle name="Normal 2 2 2 2 2 2 13 5 4" xfId="10649" xr:uid="{00000000-0005-0000-0000-000090290000}"/>
    <cellStyle name="Normal 2 2 2 2 2 2 13 5 5" xfId="10650" xr:uid="{00000000-0005-0000-0000-000091290000}"/>
    <cellStyle name="Normal 2 2 2 2 2 2 13 5 6" xfId="10651" xr:uid="{00000000-0005-0000-0000-000092290000}"/>
    <cellStyle name="Normal 2 2 2 2 2 2 13 5 7" xfId="10652" xr:uid="{00000000-0005-0000-0000-000093290000}"/>
    <cellStyle name="Normal 2 2 2 2 2 2 13 5 8" xfId="10653" xr:uid="{00000000-0005-0000-0000-000094290000}"/>
    <cellStyle name="Normal 2 2 2 2 2 2 13 5 9" xfId="10654" xr:uid="{00000000-0005-0000-0000-000095290000}"/>
    <cellStyle name="Normal 2 2 2 2 2 2 13 6" xfId="10655" xr:uid="{00000000-0005-0000-0000-000096290000}"/>
    <cellStyle name="Normal 2 2 2 2 2 2 13 7" xfId="10656" xr:uid="{00000000-0005-0000-0000-000097290000}"/>
    <cellStyle name="Normal 2 2 2 2 2 2 13 8" xfId="10657" xr:uid="{00000000-0005-0000-0000-000098290000}"/>
    <cellStyle name="Normal 2 2 2 2 2 2 13 9" xfId="10658" xr:uid="{00000000-0005-0000-0000-000099290000}"/>
    <cellStyle name="Normal 2 2 2 2 2 2 14" xfId="10659" xr:uid="{00000000-0005-0000-0000-00009A290000}"/>
    <cellStyle name="Normal 2 2 2 2 2 2 14 10" xfId="10660" xr:uid="{00000000-0005-0000-0000-00009B290000}"/>
    <cellStyle name="Normal 2 2 2 2 2 2 14 11" xfId="10661" xr:uid="{00000000-0005-0000-0000-00009C290000}"/>
    <cellStyle name="Normal 2 2 2 2 2 2 14 12" xfId="10662" xr:uid="{00000000-0005-0000-0000-00009D290000}"/>
    <cellStyle name="Normal 2 2 2 2 2 2 14 13" xfId="10663" xr:uid="{00000000-0005-0000-0000-00009E290000}"/>
    <cellStyle name="Normal 2 2 2 2 2 2 14 14" xfId="10664" xr:uid="{00000000-0005-0000-0000-00009F290000}"/>
    <cellStyle name="Normal 2 2 2 2 2 2 14 2" xfId="10665" xr:uid="{00000000-0005-0000-0000-0000A0290000}"/>
    <cellStyle name="Normal 2 2 2 2 2 2 14 2 10" xfId="10666" xr:uid="{00000000-0005-0000-0000-0000A1290000}"/>
    <cellStyle name="Normal 2 2 2 2 2 2 14 2 2" xfId="10667" xr:uid="{00000000-0005-0000-0000-0000A2290000}"/>
    <cellStyle name="Normal 2 2 2 2 2 2 14 2 3" xfId="10668" xr:uid="{00000000-0005-0000-0000-0000A3290000}"/>
    <cellStyle name="Normal 2 2 2 2 2 2 14 2 4" xfId="10669" xr:uid="{00000000-0005-0000-0000-0000A4290000}"/>
    <cellStyle name="Normal 2 2 2 2 2 2 14 2 5" xfId="10670" xr:uid="{00000000-0005-0000-0000-0000A5290000}"/>
    <cellStyle name="Normal 2 2 2 2 2 2 14 2 6" xfId="10671" xr:uid="{00000000-0005-0000-0000-0000A6290000}"/>
    <cellStyle name="Normal 2 2 2 2 2 2 14 2 7" xfId="10672" xr:uid="{00000000-0005-0000-0000-0000A7290000}"/>
    <cellStyle name="Normal 2 2 2 2 2 2 14 2 8" xfId="10673" xr:uid="{00000000-0005-0000-0000-0000A8290000}"/>
    <cellStyle name="Normal 2 2 2 2 2 2 14 2 9" xfId="10674" xr:uid="{00000000-0005-0000-0000-0000A9290000}"/>
    <cellStyle name="Normal 2 2 2 2 2 2 14 3" xfId="10675" xr:uid="{00000000-0005-0000-0000-0000AA290000}"/>
    <cellStyle name="Normal 2 2 2 2 2 2 14 3 10" xfId="10676" xr:uid="{00000000-0005-0000-0000-0000AB290000}"/>
    <cellStyle name="Normal 2 2 2 2 2 2 14 3 2" xfId="10677" xr:uid="{00000000-0005-0000-0000-0000AC290000}"/>
    <cellStyle name="Normal 2 2 2 2 2 2 14 3 3" xfId="10678" xr:uid="{00000000-0005-0000-0000-0000AD290000}"/>
    <cellStyle name="Normal 2 2 2 2 2 2 14 3 4" xfId="10679" xr:uid="{00000000-0005-0000-0000-0000AE290000}"/>
    <cellStyle name="Normal 2 2 2 2 2 2 14 3 5" xfId="10680" xr:uid="{00000000-0005-0000-0000-0000AF290000}"/>
    <cellStyle name="Normal 2 2 2 2 2 2 14 3 6" xfId="10681" xr:uid="{00000000-0005-0000-0000-0000B0290000}"/>
    <cellStyle name="Normal 2 2 2 2 2 2 14 3 7" xfId="10682" xr:uid="{00000000-0005-0000-0000-0000B1290000}"/>
    <cellStyle name="Normal 2 2 2 2 2 2 14 3 8" xfId="10683" xr:uid="{00000000-0005-0000-0000-0000B2290000}"/>
    <cellStyle name="Normal 2 2 2 2 2 2 14 3 9" xfId="10684" xr:uid="{00000000-0005-0000-0000-0000B3290000}"/>
    <cellStyle name="Normal 2 2 2 2 2 2 14 4" xfId="10685" xr:uid="{00000000-0005-0000-0000-0000B4290000}"/>
    <cellStyle name="Normal 2 2 2 2 2 2 14 4 10" xfId="10686" xr:uid="{00000000-0005-0000-0000-0000B5290000}"/>
    <cellStyle name="Normal 2 2 2 2 2 2 14 4 2" xfId="10687" xr:uid="{00000000-0005-0000-0000-0000B6290000}"/>
    <cellStyle name="Normal 2 2 2 2 2 2 14 4 3" xfId="10688" xr:uid="{00000000-0005-0000-0000-0000B7290000}"/>
    <cellStyle name="Normal 2 2 2 2 2 2 14 4 4" xfId="10689" xr:uid="{00000000-0005-0000-0000-0000B8290000}"/>
    <cellStyle name="Normal 2 2 2 2 2 2 14 4 5" xfId="10690" xr:uid="{00000000-0005-0000-0000-0000B9290000}"/>
    <cellStyle name="Normal 2 2 2 2 2 2 14 4 6" xfId="10691" xr:uid="{00000000-0005-0000-0000-0000BA290000}"/>
    <cellStyle name="Normal 2 2 2 2 2 2 14 4 7" xfId="10692" xr:uid="{00000000-0005-0000-0000-0000BB290000}"/>
    <cellStyle name="Normal 2 2 2 2 2 2 14 4 8" xfId="10693" xr:uid="{00000000-0005-0000-0000-0000BC290000}"/>
    <cellStyle name="Normal 2 2 2 2 2 2 14 4 9" xfId="10694" xr:uid="{00000000-0005-0000-0000-0000BD290000}"/>
    <cellStyle name="Normal 2 2 2 2 2 2 14 5" xfId="10695" xr:uid="{00000000-0005-0000-0000-0000BE290000}"/>
    <cellStyle name="Normal 2 2 2 2 2 2 14 5 10" xfId="10696" xr:uid="{00000000-0005-0000-0000-0000BF290000}"/>
    <cellStyle name="Normal 2 2 2 2 2 2 14 5 2" xfId="10697" xr:uid="{00000000-0005-0000-0000-0000C0290000}"/>
    <cellStyle name="Normal 2 2 2 2 2 2 14 5 3" xfId="10698" xr:uid="{00000000-0005-0000-0000-0000C1290000}"/>
    <cellStyle name="Normal 2 2 2 2 2 2 14 5 4" xfId="10699" xr:uid="{00000000-0005-0000-0000-0000C2290000}"/>
    <cellStyle name="Normal 2 2 2 2 2 2 14 5 5" xfId="10700" xr:uid="{00000000-0005-0000-0000-0000C3290000}"/>
    <cellStyle name="Normal 2 2 2 2 2 2 14 5 6" xfId="10701" xr:uid="{00000000-0005-0000-0000-0000C4290000}"/>
    <cellStyle name="Normal 2 2 2 2 2 2 14 5 7" xfId="10702" xr:uid="{00000000-0005-0000-0000-0000C5290000}"/>
    <cellStyle name="Normal 2 2 2 2 2 2 14 5 8" xfId="10703" xr:uid="{00000000-0005-0000-0000-0000C6290000}"/>
    <cellStyle name="Normal 2 2 2 2 2 2 14 5 9" xfId="10704" xr:uid="{00000000-0005-0000-0000-0000C7290000}"/>
    <cellStyle name="Normal 2 2 2 2 2 2 14 6" xfId="10705" xr:uid="{00000000-0005-0000-0000-0000C8290000}"/>
    <cellStyle name="Normal 2 2 2 2 2 2 14 7" xfId="10706" xr:uid="{00000000-0005-0000-0000-0000C9290000}"/>
    <cellStyle name="Normal 2 2 2 2 2 2 14 8" xfId="10707" xr:uid="{00000000-0005-0000-0000-0000CA290000}"/>
    <cellStyle name="Normal 2 2 2 2 2 2 14 9" xfId="10708" xr:uid="{00000000-0005-0000-0000-0000CB290000}"/>
    <cellStyle name="Normal 2 2 2 2 2 2 15" xfId="10709" xr:uid="{00000000-0005-0000-0000-0000CC290000}"/>
    <cellStyle name="Normal 2 2 2 2 2 2 15 10" xfId="10710" xr:uid="{00000000-0005-0000-0000-0000CD290000}"/>
    <cellStyle name="Normal 2 2 2 2 2 2 15 11" xfId="10711" xr:uid="{00000000-0005-0000-0000-0000CE290000}"/>
    <cellStyle name="Normal 2 2 2 2 2 2 15 12" xfId="10712" xr:uid="{00000000-0005-0000-0000-0000CF290000}"/>
    <cellStyle name="Normal 2 2 2 2 2 2 15 13" xfId="10713" xr:uid="{00000000-0005-0000-0000-0000D0290000}"/>
    <cellStyle name="Normal 2 2 2 2 2 2 15 14" xfId="10714" xr:uid="{00000000-0005-0000-0000-0000D1290000}"/>
    <cellStyle name="Normal 2 2 2 2 2 2 15 2" xfId="10715" xr:uid="{00000000-0005-0000-0000-0000D2290000}"/>
    <cellStyle name="Normal 2 2 2 2 2 2 15 2 10" xfId="10716" xr:uid="{00000000-0005-0000-0000-0000D3290000}"/>
    <cellStyle name="Normal 2 2 2 2 2 2 15 2 2" xfId="10717" xr:uid="{00000000-0005-0000-0000-0000D4290000}"/>
    <cellStyle name="Normal 2 2 2 2 2 2 15 2 3" xfId="10718" xr:uid="{00000000-0005-0000-0000-0000D5290000}"/>
    <cellStyle name="Normal 2 2 2 2 2 2 15 2 4" xfId="10719" xr:uid="{00000000-0005-0000-0000-0000D6290000}"/>
    <cellStyle name="Normal 2 2 2 2 2 2 15 2 5" xfId="10720" xr:uid="{00000000-0005-0000-0000-0000D7290000}"/>
    <cellStyle name="Normal 2 2 2 2 2 2 15 2 6" xfId="10721" xr:uid="{00000000-0005-0000-0000-0000D8290000}"/>
    <cellStyle name="Normal 2 2 2 2 2 2 15 2 7" xfId="10722" xr:uid="{00000000-0005-0000-0000-0000D9290000}"/>
    <cellStyle name="Normal 2 2 2 2 2 2 15 2 8" xfId="10723" xr:uid="{00000000-0005-0000-0000-0000DA290000}"/>
    <cellStyle name="Normal 2 2 2 2 2 2 15 2 9" xfId="10724" xr:uid="{00000000-0005-0000-0000-0000DB290000}"/>
    <cellStyle name="Normal 2 2 2 2 2 2 15 3" xfId="10725" xr:uid="{00000000-0005-0000-0000-0000DC290000}"/>
    <cellStyle name="Normal 2 2 2 2 2 2 15 3 10" xfId="10726" xr:uid="{00000000-0005-0000-0000-0000DD290000}"/>
    <cellStyle name="Normal 2 2 2 2 2 2 15 3 2" xfId="10727" xr:uid="{00000000-0005-0000-0000-0000DE290000}"/>
    <cellStyle name="Normal 2 2 2 2 2 2 15 3 3" xfId="10728" xr:uid="{00000000-0005-0000-0000-0000DF290000}"/>
    <cellStyle name="Normal 2 2 2 2 2 2 15 3 4" xfId="10729" xr:uid="{00000000-0005-0000-0000-0000E0290000}"/>
    <cellStyle name="Normal 2 2 2 2 2 2 15 3 5" xfId="10730" xr:uid="{00000000-0005-0000-0000-0000E1290000}"/>
    <cellStyle name="Normal 2 2 2 2 2 2 15 3 6" xfId="10731" xr:uid="{00000000-0005-0000-0000-0000E2290000}"/>
    <cellStyle name="Normal 2 2 2 2 2 2 15 3 7" xfId="10732" xr:uid="{00000000-0005-0000-0000-0000E3290000}"/>
    <cellStyle name="Normal 2 2 2 2 2 2 15 3 8" xfId="10733" xr:uid="{00000000-0005-0000-0000-0000E4290000}"/>
    <cellStyle name="Normal 2 2 2 2 2 2 15 3 9" xfId="10734" xr:uid="{00000000-0005-0000-0000-0000E5290000}"/>
    <cellStyle name="Normal 2 2 2 2 2 2 15 4" xfId="10735" xr:uid="{00000000-0005-0000-0000-0000E6290000}"/>
    <cellStyle name="Normal 2 2 2 2 2 2 15 4 10" xfId="10736" xr:uid="{00000000-0005-0000-0000-0000E7290000}"/>
    <cellStyle name="Normal 2 2 2 2 2 2 15 4 2" xfId="10737" xr:uid="{00000000-0005-0000-0000-0000E8290000}"/>
    <cellStyle name="Normal 2 2 2 2 2 2 15 4 3" xfId="10738" xr:uid="{00000000-0005-0000-0000-0000E9290000}"/>
    <cellStyle name="Normal 2 2 2 2 2 2 15 4 4" xfId="10739" xr:uid="{00000000-0005-0000-0000-0000EA290000}"/>
    <cellStyle name="Normal 2 2 2 2 2 2 15 4 5" xfId="10740" xr:uid="{00000000-0005-0000-0000-0000EB290000}"/>
    <cellStyle name="Normal 2 2 2 2 2 2 15 4 6" xfId="10741" xr:uid="{00000000-0005-0000-0000-0000EC290000}"/>
    <cellStyle name="Normal 2 2 2 2 2 2 15 4 7" xfId="10742" xr:uid="{00000000-0005-0000-0000-0000ED290000}"/>
    <cellStyle name="Normal 2 2 2 2 2 2 15 4 8" xfId="10743" xr:uid="{00000000-0005-0000-0000-0000EE290000}"/>
    <cellStyle name="Normal 2 2 2 2 2 2 15 4 9" xfId="10744" xr:uid="{00000000-0005-0000-0000-0000EF290000}"/>
    <cellStyle name="Normal 2 2 2 2 2 2 15 5" xfId="10745" xr:uid="{00000000-0005-0000-0000-0000F0290000}"/>
    <cellStyle name="Normal 2 2 2 2 2 2 15 5 10" xfId="10746" xr:uid="{00000000-0005-0000-0000-0000F1290000}"/>
    <cellStyle name="Normal 2 2 2 2 2 2 15 5 2" xfId="10747" xr:uid="{00000000-0005-0000-0000-0000F2290000}"/>
    <cellStyle name="Normal 2 2 2 2 2 2 15 5 3" xfId="10748" xr:uid="{00000000-0005-0000-0000-0000F3290000}"/>
    <cellStyle name="Normal 2 2 2 2 2 2 15 5 4" xfId="10749" xr:uid="{00000000-0005-0000-0000-0000F4290000}"/>
    <cellStyle name="Normal 2 2 2 2 2 2 15 5 5" xfId="10750" xr:uid="{00000000-0005-0000-0000-0000F5290000}"/>
    <cellStyle name="Normal 2 2 2 2 2 2 15 5 6" xfId="10751" xr:uid="{00000000-0005-0000-0000-0000F6290000}"/>
    <cellStyle name="Normal 2 2 2 2 2 2 15 5 7" xfId="10752" xr:uid="{00000000-0005-0000-0000-0000F7290000}"/>
    <cellStyle name="Normal 2 2 2 2 2 2 15 5 8" xfId="10753" xr:uid="{00000000-0005-0000-0000-0000F8290000}"/>
    <cellStyle name="Normal 2 2 2 2 2 2 15 5 9" xfId="10754" xr:uid="{00000000-0005-0000-0000-0000F9290000}"/>
    <cellStyle name="Normal 2 2 2 2 2 2 15 6" xfId="10755" xr:uid="{00000000-0005-0000-0000-0000FA290000}"/>
    <cellStyle name="Normal 2 2 2 2 2 2 15 7" xfId="10756" xr:uid="{00000000-0005-0000-0000-0000FB290000}"/>
    <cellStyle name="Normal 2 2 2 2 2 2 15 8" xfId="10757" xr:uid="{00000000-0005-0000-0000-0000FC290000}"/>
    <cellStyle name="Normal 2 2 2 2 2 2 15 9" xfId="10758" xr:uid="{00000000-0005-0000-0000-0000FD290000}"/>
    <cellStyle name="Normal 2 2 2 2 2 2 16" xfId="10759" xr:uid="{00000000-0005-0000-0000-0000FE290000}"/>
    <cellStyle name="Normal 2 2 2 2 2 2 16 10" xfId="10760" xr:uid="{00000000-0005-0000-0000-0000FF290000}"/>
    <cellStyle name="Normal 2 2 2 2 2 2 16 11" xfId="10761" xr:uid="{00000000-0005-0000-0000-0000002A0000}"/>
    <cellStyle name="Normal 2 2 2 2 2 2 16 12" xfId="10762" xr:uid="{00000000-0005-0000-0000-0000012A0000}"/>
    <cellStyle name="Normal 2 2 2 2 2 2 16 13" xfId="10763" xr:uid="{00000000-0005-0000-0000-0000022A0000}"/>
    <cellStyle name="Normal 2 2 2 2 2 2 16 14" xfId="10764" xr:uid="{00000000-0005-0000-0000-0000032A0000}"/>
    <cellStyle name="Normal 2 2 2 2 2 2 16 2" xfId="10765" xr:uid="{00000000-0005-0000-0000-0000042A0000}"/>
    <cellStyle name="Normal 2 2 2 2 2 2 16 2 10" xfId="10766" xr:uid="{00000000-0005-0000-0000-0000052A0000}"/>
    <cellStyle name="Normal 2 2 2 2 2 2 16 2 2" xfId="10767" xr:uid="{00000000-0005-0000-0000-0000062A0000}"/>
    <cellStyle name="Normal 2 2 2 2 2 2 16 2 3" xfId="10768" xr:uid="{00000000-0005-0000-0000-0000072A0000}"/>
    <cellStyle name="Normal 2 2 2 2 2 2 16 2 4" xfId="10769" xr:uid="{00000000-0005-0000-0000-0000082A0000}"/>
    <cellStyle name="Normal 2 2 2 2 2 2 16 2 5" xfId="10770" xr:uid="{00000000-0005-0000-0000-0000092A0000}"/>
    <cellStyle name="Normal 2 2 2 2 2 2 16 2 6" xfId="10771" xr:uid="{00000000-0005-0000-0000-00000A2A0000}"/>
    <cellStyle name="Normal 2 2 2 2 2 2 16 2 7" xfId="10772" xr:uid="{00000000-0005-0000-0000-00000B2A0000}"/>
    <cellStyle name="Normal 2 2 2 2 2 2 16 2 8" xfId="10773" xr:uid="{00000000-0005-0000-0000-00000C2A0000}"/>
    <cellStyle name="Normal 2 2 2 2 2 2 16 2 9" xfId="10774" xr:uid="{00000000-0005-0000-0000-00000D2A0000}"/>
    <cellStyle name="Normal 2 2 2 2 2 2 16 3" xfId="10775" xr:uid="{00000000-0005-0000-0000-00000E2A0000}"/>
    <cellStyle name="Normal 2 2 2 2 2 2 16 3 10" xfId="10776" xr:uid="{00000000-0005-0000-0000-00000F2A0000}"/>
    <cellStyle name="Normal 2 2 2 2 2 2 16 3 2" xfId="10777" xr:uid="{00000000-0005-0000-0000-0000102A0000}"/>
    <cellStyle name="Normal 2 2 2 2 2 2 16 3 3" xfId="10778" xr:uid="{00000000-0005-0000-0000-0000112A0000}"/>
    <cellStyle name="Normal 2 2 2 2 2 2 16 3 4" xfId="10779" xr:uid="{00000000-0005-0000-0000-0000122A0000}"/>
    <cellStyle name="Normal 2 2 2 2 2 2 16 3 5" xfId="10780" xr:uid="{00000000-0005-0000-0000-0000132A0000}"/>
    <cellStyle name="Normal 2 2 2 2 2 2 16 3 6" xfId="10781" xr:uid="{00000000-0005-0000-0000-0000142A0000}"/>
    <cellStyle name="Normal 2 2 2 2 2 2 16 3 7" xfId="10782" xr:uid="{00000000-0005-0000-0000-0000152A0000}"/>
    <cellStyle name="Normal 2 2 2 2 2 2 16 3 8" xfId="10783" xr:uid="{00000000-0005-0000-0000-0000162A0000}"/>
    <cellStyle name="Normal 2 2 2 2 2 2 16 3 9" xfId="10784" xr:uid="{00000000-0005-0000-0000-0000172A0000}"/>
    <cellStyle name="Normal 2 2 2 2 2 2 16 4" xfId="10785" xr:uid="{00000000-0005-0000-0000-0000182A0000}"/>
    <cellStyle name="Normal 2 2 2 2 2 2 16 4 10" xfId="10786" xr:uid="{00000000-0005-0000-0000-0000192A0000}"/>
    <cellStyle name="Normal 2 2 2 2 2 2 16 4 2" xfId="10787" xr:uid="{00000000-0005-0000-0000-00001A2A0000}"/>
    <cellStyle name="Normal 2 2 2 2 2 2 16 4 3" xfId="10788" xr:uid="{00000000-0005-0000-0000-00001B2A0000}"/>
    <cellStyle name="Normal 2 2 2 2 2 2 16 4 4" xfId="10789" xr:uid="{00000000-0005-0000-0000-00001C2A0000}"/>
    <cellStyle name="Normal 2 2 2 2 2 2 16 4 5" xfId="10790" xr:uid="{00000000-0005-0000-0000-00001D2A0000}"/>
    <cellStyle name="Normal 2 2 2 2 2 2 16 4 6" xfId="10791" xr:uid="{00000000-0005-0000-0000-00001E2A0000}"/>
    <cellStyle name="Normal 2 2 2 2 2 2 16 4 7" xfId="10792" xr:uid="{00000000-0005-0000-0000-00001F2A0000}"/>
    <cellStyle name="Normal 2 2 2 2 2 2 16 4 8" xfId="10793" xr:uid="{00000000-0005-0000-0000-0000202A0000}"/>
    <cellStyle name="Normal 2 2 2 2 2 2 16 4 9" xfId="10794" xr:uid="{00000000-0005-0000-0000-0000212A0000}"/>
    <cellStyle name="Normal 2 2 2 2 2 2 16 5" xfId="10795" xr:uid="{00000000-0005-0000-0000-0000222A0000}"/>
    <cellStyle name="Normal 2 2 2 2 2 2 16 5 10" xfId="10796" xr:uid="{00000000-0005-0000-0000-0000232A0000}"/>
    <cellStyle name="Normal 2 2 2 2 2 2 16 5 2" xfId="10797" xr:uid="{00000000-0005-0000-0000-0000242A0000}"/>
    <cellStyle name="Normal 2 2 2 2 2 2 16 5 3" xfId="10798" xr:uid="{00000000-0005-0000-0000-0000252A0000}"/>
    <cellStyle name="Normal 2 2 2 2 2 2 16 5 4" xfId="10799" xr:uid="{00000000-0005-0000-0000-0000262A0000}"/>
    <cellStyle name="Normal 2 2 2 2 2 2 16 5 5" xfId="10800" xr:uid="{00000000-0005-0000-0000-0000272A0000}"/>
    <cellStyle name="Normal 2 2 2 2 2 2 16 5 6" xfId="10801" xr:uid="{00000000-0005-0000-0000-0000282A0000}"/>
    <cellStyle name="Normal 2 2 2 2 2 2 16 5 7" xfId="10802" xr:uid="{00000000-0005-0000-0000-0000292A0000}"/>
    <cellStyle name="Normal 2 2 2 2 2 2 16 5 8" xfId="10803" xr:uid="{00000000-0005-0000-0000-00002A2A0000}"/>
    <cellStyle name="Normal 2 2 2 2 2 2 16 5 9" xfId="10804" xr:uid="{00000000-0005-0000-0000-00002B2A0000}"/>
    <cellStyle name="Normal 2 2 2 2 2 2 16 6" xfId="10805" xr:uid="{00000000-0005-0000-0000-00002C2A0000}"/>
    <cellStyle name="Normal 2 2 2 2 2 2 16 7" xfId="10806" xr:uid="{00000000-0005-0000-0000-00002D2A0000}"/>
    <cellStyle name="Normal 2 2 2 2 2 2 16 8" xfId="10807" xr:uid="{00000000-0005-0000-0000-00002E2A0000}"/>
    <cellStyle name="Normal 2 2 2 2 2 2 16 9" xfId="10808" xr:uid="{00000000-0005-0000-0000-00002F2A0000}"/>
    <cellStyle name="Normal 2 2 2 2 2 2 17" xfId="10809" xr:uid="{00000000-0005-0000-0000-0000302A0000}"/>
    <cellStyle name="Normal 2 2 2 2 2 2 17 10" xfId="10810" xr:uid="{00000000-0005-0000-0000-0000312A0000}"/>
    <cellStyle name="Normal 2 2 2 2 2 2 17 11" xfId="10811" xr:uid="{00000000-0005-0000-0000-0000322A0000}"/>
    <cellStyle name="Normal 2 2 2 2 2 2 17 12" xfId="10812" xr:uid="{00000000-0005-0000-0000-0000332A0000}"/>
    <cellStyle name="Normal 2 2 2 2 2 2 17 13" xfId="10813" xr:uid="{00000000-0005-0000-0000-0000342A0000}"/>
    <cellStyle name="Normal 2 2 2 2 2 2 17 14" xfId="10814" xr:uid="{00000000-0005-0000-0000-0000352A0000}"/>
    <cellStyle name="Normal 2 2 2 2 2 2 17 2" xfId="10815" xr:uid="{00000000-0005-0000-0000-0000362A0000}"/>
    <cellStyle name="Normal 2 2 2 2 2 2 17 2 10" xfId="10816" xr:uid="{00000000-0005-0000-0000-0000372A0000}"/>
    <cellStyle name="Normal 2 2 2 2 2 2 17 2 2" xfId="10817" xr:uid="{00000000-0005-0000-0000-0000382A0000}"/>
    <cellStyle name="Normal 2 2 2 2 2 2 17 2 3" xfId="10818" xr:uid="{00000000-0005-0000-0000-0000392A0000}"/>
    <cellStyle name="Normal 2 2 2 2 2 2 17 2 4" xfId="10819" xr:uid="{00000000-0005-0000-0000-00003A2A0000}"/>
    <cellStyle name="Normal 2 2 2 2 2 2 17 2 5" xfId="10820" xr:uid="{00000000-0005-0000-0000-00003B2A0000}"/>
    <cellStyle name="Normal 2 2 2 2 2 2 17 2 6" xfId="10821" xr:uid="{00000000-0005-0000-0000-00003C2A0000}"/>
    <cellStyle name="Normal 2 2 2 2 2 2 17 2 7" xfId="10822" xr:uid="{00000000-0005-0000-0000-00003D2A0000}"/>
    <cellStyle name="Normal 2 2 2 2 2 2 17 2 8" xfId="10823" xr:uid="{00000000-0005-0000-0000-00003E2A0000}"/>
    <cellStyle name="Normal 2 2 2 2 2 2 17 2 9" xfId="10824" xr:uid="{00000000-0005-0000-0000-00003F2A0000}"/>
    <cellStyle name="Normal 2 2 2 2 2 2 17 3" xfId="10825" xr:uid="{00000000-0005-0000-0000-0000402A0000}"/>
    <cellStyle name="Normal 2 2 2 2 2 2 17 3 10" xfId="10826" xr:uid="{00000000-0005-0000-0000-0000412A0000}"/>
    <cellStyle name="Normal 2 2 2 2 2 2 17 3 2" xfId="10827" xr:uid="{00000000-0005-0000-0000-0000422A0000}"/>
    <cellStyle name="Normal 2 2 2 2 2 2 17 3 3" xfId="10828" xr:uid="{00000000-0005-0000-0000-0000432A0000}"/>
    <cellStyle name="Normal 2 2 2 2 2 2 17 3 4" xfId="10829" xr:uid="{00000000-0005-0000-0000-0000442A0000}"/>
    <cellStyle name="Normal 2 2 2 2 2 2 17 3 5" xfId="10830" xr:uid="{00000000-0005-0000-0000-0000452A0000}"/>
    <cellStyle name="Normal 2 2 2 2 2 2 17 3 6" xfId="10831" xr:uid="{00000000-0005-0000-0000-0000462A0000}"/>
    <cellStyle name="Normal 2 2 2 2 2 2 17 3 7" xfId="10832" xr:uid="{00000000-0005-0000-0000-0000472A0000}"/>
    <cellStyle name="Normal 2 2 2 2 2 2 17 3 8" xfId="10833" xr:uid="{00000000-0005-0000-0000-0000482A0000}"/>
    <cellStyle name="Normal 2 2 2 2 2 2 17 3 9" xfId="10834" xr:uid="{00000000-0005-0000-0000-0000492A0000}"/>
    <cellStyle name="Normal 2 2 2 2 2 2 17 4" xfId="10835" xr:uid="{00000000-0005-0000-0000-00004A2A0000}"/>
    <cellStyle name="Normal 2 2 2 2 2 2 17 4 10" xfId="10836" xr:uid="{00000000-0005-0000-0000-00004B2A0000}"/>
    <cellStyle name="Normal 2 2 2 2 2 2 17 4 2" xfId="10837" xr:uid="{00000000-0005-0000-0000-00004C2A0000}"/>
    <cellStyle name="Normal 2 2 2 2 2 2 17 4 3" xfId="10838" xr:uid="{00000000-0005-0000-0000-00004D2A0000}"/>
    <cellStyle name="Normal 2 2 2 2 2 2 17 4 4" xfId="10839" xr:uid="{00000000-0005-0000-0000-00004E2A0000}"/>
    <cellStyle name="Normal 2 2 2 2 2 2 17 4 5" xfId="10840" xr:uid="{00000000-0005-0000-0000-00004F2A0000}"/>
    <cellStyle name="Normal 2 2 2 2 2 2 17 4 6" xfId="10841" xr:uid="{00000000-0005-0000-0000-0000502A0000}"/>
    <cellStyle name="Normal 2 2 2 2 2 2 17 4 7" xfId="10842" xr:uid="{00000000-0005-0000-0000-0000512A0000}"/>
    <cellStyle name="Normal 2 2 2 2 2 2 17 4 8" xfId="10843" xr:uid="{00000000-0005-0000-0000-0000522A0000}"/>
    <cellStyle name="Normal 2 2 2 2 2 2 17 4 9" xfId="10844" xr:uid="{00000000-0005-0000-0000-0000532A0000}"/>
    <cellStyle name="Normal 2 2 2 2 2 2 17 5" xfId="10845" xr:uid="{00000000-0005-0000-0000-0000542A0000}"/>
    <cellStyle name="Normal 2 2 2 2 2 2 17 5 10" xfId="10846" xr:uid="{00000000-0005-0000-0000-0000552A0000}"/>
    <cellStyle name="Normal 2 2 2 2 2 2 17 5 2" xfId="10847" xr:uid="{00000000-0005-0000-0000-0000562A0000}"/>
    <cellStyle name="Normal 2 2 2 2 2 2 17 5 3" xfId="10848" xr:uid="{00000000-0005-0000-0000-0000572A0000}"/>
    <cellStyle name="Normal 2 2 2 2 2 2 17 5 4" xfId="10849" xr:uid="{00000000-0005-0000-0000-0000582A0000}"/>
    <cellStyle name="Normal 2 2 2 2 2 2 17 5 5" xfId="10850" xr:uid="{00000000-0005-0000-0000-0000592A0000}"/>
    <cellStyle name="Normal 2 2 2 2 2 2 17 5 6" xfId="10851" xr:uid="{00000000-0005-0000-0000-00005A2A0000}"/>
    <cellStyle name="Normal 2 2 2 2 2 2 17 5 7" xfId="10852" xr:uid="{00000000-0005-0000-0000-00005B2A0000}"/>
    <cellStyle name="Normal 2 2 2 2 2 2 17 5 8" xfId="10853" xr:uid="{00000000-0005-0000-0000-00005C2A0000}"/>
    <cellStyle name="Normal 2 2 2 2 2 2 17 5 9" xfId="10854" xr:uid="{00000000-0005-0000-0000-00005D2A0000}"/>
    <cellStyle name="Normal 2 2 2 2 2 2 17 6" xfId="10855" xr:uid="{00000000-0005-0000-0000-00005E2A0000}"/>
    <cellStyle name="Normal 2 2 2 2 2 2 17 7" xfId="10856" xr:uid="{00000000-0005-0000-0000-00005F2A0000}"/>
    <cellStyle name="Normal 2 2 2 2 2 2 17 8" xfId="10857" xr:uid="{00000000-0005-0000-0000-0000602A0000}"/>
    <cellStyle name="Normal 2 2 2 2 2 2 17 9" xfId="10858" xr:uid="{00000000-0005-0000-0000-0000612A0000}"/>
    <cellStyle name="Normal 2 2 2 2 2 2 18" xfId="10859" xr:uid="{00000000-0005-0000-0000-0000622A0000}"/>
    <cellStyle name="Normal 2 2 2 2 2 2 18 10" xfId="10860" xr:uid="{00000000-0005-0000-0000-0000632A0000}"/>
    <cellStyle name="Normal 2 2 2 2 2 2 18 11" xfId="10861" xr:uid="{00000000-0005-0000-0000-0000642A0000}"/>
    <cellStyle name="Normal 2 2 2 2 2 2 18 12" xfId="10862" xr:uid="{00000000-0005-0000-0000-0000652A0000}"/>
    <cellStyle name="Normal 2 2 2 2 2 2 18 13" xfId="10863" xr:uid="{00000000-0005-0000-0000-0000662A0000}"/>
    <cellStyle name="Normal 2 2 2 2 2 2 18 14" xfId="10864" xr:uid="{00000000-0005-0000-0000-0000672A0000}"/>
    <cellStyle name="Normal 2 2 2 2 2 2 18 2" xfId="10865" xr:uid="{00000000-0005-0000-0000-0000682A0000}"/>
    <cellStyle name="Normal 2 2 2 2 2 2 18 2 10" xfId="10866" xr:uid="{00000000-0005-0000-0000-0000692A0000}"/>
    <cellStyle name="Normal 2 2 2 2 2 2 18 2 2" xfId="10867" xr:uid="{00000000-0005-0000-0000-00006A2A0000}"/>
    <cellStyle name="Normal 2 2 2 2 2 2 18 2 3" xfId="10868" xr:uid="{00000000-0005-0000-0000-00006B2A0000}"/>
    <cellStyle name="Normal 2 2 2 2 2 2 18 2 4" xfId="10869" xr:uid="{00000000-0005-0000-0000-00006C2A0000}"/>
    <cellStyle name="Normal 2 2 2 2 2 2 18 2 5" xfId="10870" xr:uid="{00000000-0005-0000-0000-00006D2A0000}"/>
    <cellStyle name="Normal 2 2 2 2 2 2 18 2 6" xfId="10871" xr:uid="{00000000-0005-0000-0000-00006E2A0000}"/>
    <cellStyle name="Normal 2 2 2 2 2 2 18 2 7" xfId="10872" xr:uid="{00000000-0005-0000-0000-00006F2A0000}"/>
    <cellStyle name="Normal 2 2 2 2 2 2 18 2 8" xfId="10873" xr:uid="{00000000-0005-0000-0000-0000702A0000}"/>
    <cellStyle name="Normal 2 2 2 2 2 2 18 2 9" xfId="10874" xr:uid="{00000000-0005-0000-0000-0000712A0000}"/>
    <cellStyle name="Normal 2 2 2 2 2 2 18 3" xfId="10875" xr:uid="{00000000-0005-0000-0000-0000722A0000}"/>
    <cellStyle name="Normal 2 2 2 2 2 2 18 3 10" xfId="10876" xr:uid="{00000000-0005-0000-0000-0000732A0000}"/>
    <cellStyle name="Normal 2 2 2 2 2 2 18 3 2" xfId="10877" xr:uid="{00000000-0005-0000-0000-0000742A0000}"/>
    <cellStyle name="Normal 2 2 2 2 2 2 18 3 3" xfId="10878" xr:uid="{00000000-0005-0000-0000-0000752A0000}"/>
    <cellStyle name="Normal 2 2 2 2 2 2 18 3 4" xfId="10879" xr:uid="{00000000-0005-0000-0000-0000762A0000}"/>
    <cellStyle name="Normal 2 2 2 2 2 2 18 3 5" xfId="10880" xr:uid="{00000000-0005-0000-0000-0000772A0000}"/>
    <cellStyle name="Normal 2 2 2 2 2 2 18 3 6" xfId="10881" xr:uid="{00000000-0005-0000-0000-0000782A0000}"/>
    <cellStyle name="Normal 2 2 2 2 2 2 18 3 7" xfId="10882" xr:uid="{00000000-0005-0000-0000-0000792A0000}"/>
    <cellStyle name="Normal 2 2 2 2 2 2 18 3 8" xfId="10883" xr:uid="{00000000-0005-0000-0000-00007A2A0000}"/>
    <cellStyle name="Normal 2 2 2 2 2 2 18 3 9" xfId="10884" xr:uid="{00000000-0005-0000-0000-00007B2A0000}"/>
    <cellStyle name="Normal 2 2 2 2 2 2 18 4" xfId="10885" xr:uid="{00000000-0005-0000-0000-00007C2A0000}"/>
    <cellStyle name="Normal 2 2 2 2 2 2 18 4 10" xfId="10886" xr:uid="{00000000-0005-0000-0000-00007D2A0000}"/>
    <cellStyle name="Normal 2 2 2 2 2 2 18 4 2" xfId="10887" xr:uid="{00000000-0005-0000-0000-00007E2A0000}"/>
    <cellStyle name="Normal 2 2 2 2 2 2 18 4 3" xfId="10888" xr:uid="{00000000-0005-0000-0000-00007F2A0000}"/>
    <cellStyle name="Normal 2 2 2 2 2 2 18 4 4" xfId="10889" xr:uid="{00000000-0005-0000-0000-0000802A0000}"/>
    <cellStyle name="Normal 2 2 2 2 2 2 18 4 5" xfId="10890" xr:uid="{00000000-0005-0000-0000-0000812A0000}"/>
    <cellStyle name="Normal 2 2 2 2 2 2 18 4 6" xfId="10891" xr:uid="{00000000-0005-0000-0000-0000822A0000}"/>
    <cellStyle name="Normal 2 2 2 2 2 2 18 4 7" xfId="10892" xr:uid="{00000000-0005-0000-0000-0000832A0000}"/>
    <cellStyle name="Normal 2 2 2 2 2 2 18 4 8" xfId="10893" xr:uid="{00000000-0005-0000-0000-0000842A0000}"/>
    <cellStyle name="Normal 2 2 2 2 2 2 18 4 9" xfId="10894" xr:uid="{00000000-0005-0000-0000-0000852A0000}"/>
    <cellStyle name="Normal 2 2 2 2 2 2 18 5" xfId="10895" xr:uid="{00000000-0005-0000-0000-0000862A0000}"/>
    <cellStyle name="Normal 2 2 2 2 2 2 18 5 10" xfId="10896" xr:uid="{00000000-0005-0000-0000-0000872A0000}"/>
    <cellStyle name="Normal 2 2 2 2 2 2 18 5 2" xfId="10897" xr:uid="{00000000-0005-0000-0000-0000882A0000}"/>
    <cellStyle name="Normal 2 2 2 2 2 2 18 5 3" xfId="10898" xr:uid="{00000000-0005-0000-0000-0000892A0000}"/>
    <cellStyle name="Normal 2 2 2 2 2 2 18 5 4" xfId="10899" xr:uid="{00000000-0005-0000-0000-00008A2A0000}"/>
    <cellStyle name="Normal 2 2 2 2 2 2 18 5 5" xfId="10900" xr:uid="{00000000-0005-0000-0000-00008B2A0000}"/>
    <cellStyle name="Normal 2 2 2 2 2 2 18 5 6" xfId="10901" xr:uid="{00000000-0005-0000-0000-00008C2A0000}"/>
    <cellStyle name="Normal 2 2 2 2 2 2 18 5 7" xfId="10902" xr:uid="{00000000-0005-0000-0000-00008D2A0000}"/>
    <cellStyle name="Normal 2 2 2 2 2 2 18 5 8" xfId="10903" xr:uid="{00000000-0005-0000-0000-00008E2A0000}"/>
    <cellStyle name="Normal 2 2 2 2 2 2 18 5 9" xfId="10904" xr:uid="{00000000-0005-0000-0000-00008F2A0000}"/>
    <cellStyle name="Normal 2 2 2 2 2 2 18 6" xfId="10905" xr:uid="{00000000-0005-0000-0000-0000902A0000}"/>
    <cellStyle name="Normal 2 2 2 2 2 2 18 7" xfId="10906" xr:uid="{00000000-0005-0000-0000-0000912A0000}"/>
    <cellStyle name="Normal 2 2 2 2 2 2 18 8" xfId="10907" xr:uid="{00000000-0005-0000-0000-0000922A0000}"/>
    <cellStyle name="Normal 2 2 2 2 2 2 18 9" xfId="10908" xr:uid="{00000000-0005-0000-0000-0000932A0000}"/>
    <cellStyle name="Normal 2 2 2 2 2 2 19" xfId="10909" xr:uid="{00000000-0005-0000-0000-0000942A0000}"/>
    <cellStyle name="Normal 2 2 2 2 2 2 19 10" xfId="10910" xr:uid="{00000000-0005-0000-0000-0000952A0000}"/>
    <cellStyle name="Normal 2 2 2 2 2 2 19 11" xfId="10911" xr:uid="{00000000-0005-0000-0000-0000962A0000}"/>
    <cellStyle name="Normal 2 2 2 2 2 2 19 12" xfId="10912" xr:uid="{00000000-0005-0000-0000-0000972A0000}"/>
    <cellStyle name="Normal 2 2 2 2 2 2 19 13" xfId="10913" xr:uid="{00000000-0005-0000-0000-0000982A0000}"/>
    <cellStyle name="Normal 2 2 2 2 2 2 19 14" xfId="10914" xr:uid="{00000000-0005-0000-0000-0000992A0000}"/>
    <cellStyle name="Normal 2 2 2 2 2 2 19 2" xfId="10915" xr:uid="{00000000-0005-0000-0000-00009A2A0000}"/>
    <cellStyle name="Normal 2 2 2 2 2 2 19 2 10" xfId="10916" xr:uid="{00000000-0005-0000-0000-00009B2A0000}"/>
    <cellStyle name="Normal 2 2 2 2 2 2 19 2 2" xfId="10917" xr:uid="{00000000-0005-0000-0000-00009C2A0000}"/>
    <cellStyle name="Normal 2 2 2 2 2 2 19 2 3" xfId="10918" xr:uid="{00000000-0005-0000-0000-00009D2A0000}"/>
    <cellStyle name="Normal 2 2 2 2 2 2 19 2 4" xfId="10919" xr:uid="{00000000-0005-0000-0000-00009E2A0000}"/>
    <cellStyle name="Normal 2 2 2 2 2 2 19 2 5" xfId="10920" xr:uid="{00000000-0005-0000-0000-00009F2A0000}"/>
    <cellStyle name="Normal 2 2 2 2 2 2 19 2 6" xfId="10921" xr:uid="{00000000-0005-0000-0000-0000A02A0000}"/>
    <cellStyle name="Normal 2 2 2 2 2 2 19 2 7" xfId="10922" xr:uid="{00000000-0005-0000-0000-0000A12A0000}"/>
    <cellStyle name="Normal 2 2 2 2 2 2 19 2 8" xfId="10923" xr:uid="{00000000-0005-0000-0000-0000A22A0000}"/>
    <cellStyle name="Normal 2 2 2 2 2 2 19 2 9" xfId="10924" xr:uid="{00000000-0005-0000-0000-0000A32A0000}"/>
    <cellStyle name="Normal 2 2 2 2 2 2 19 3" xfId="10925" xr:uid="{00000000-0005-0000-0000-0000A42A0000}"/>
    <cellStyle name="Normal 2 2 2 2 2 2 19 3 10" xfId="10926" xr:uid="{00000000-0005-0000-0000-0000A52A0000}"/>
    <cellStyle name="Normal 2 2 2 2 2 2 19 3 2" xfId="10927" xr:uid="{00000000-0005-0000-0000-0000A62A0000}"/>
    <cellStyle name="Normal 2 2 2 2 2 2 19 3 3" xfId="10928" xr:uid="{00000000-0005-0000-0000-0000A72A0000}"/>
    <cellStyle name="Normal 2 2 2 2 2 2 19 3 4" xfId="10929" xr:uid="{00000000-0005-0000-0000-0000A82A0000}"/>
    <cellStyle name="Normal 2 2 2 2 2 2 19 3 5" xfId="10930" xr:uid="{00000000-0005-0000-0000-0000A92A0000}"/>
    <cellStyle name="Normal 2 2 2 2 2 2 19 3 6" xfId="10931" xr:uid="{00000000-0005-0000-0000-0000AA2A0000}"/>
    <cellStyle name="Normal 2 2 2 2 2 2 19 3 7" xfId="10932" xr:uid="{00000000-0005-0000-0000-0000AB2A0000}"/>
    <cellStyle name="Normal 2 2 2 2 2 2 19 3 8" xfId="10933" xr:uid="{00000000-0005-0000-0000-0000AC2A0000}"/>
    <cellStyle name="Normal 2 2 2 2 2 2 19 3 9" xfId="10934" xr:uid="{00000000-0005-0000-0000-0000AD2A0000}"/>
    <cellStyle name="Normal 2 2 2 2 2 2 19 4" xfId="10935" xr:uid="{00000000-0005-0000-0000-0000AE2A0000}"/>
    <cellStyle name="Normal 2 2 2 2 2 2 19 4 10" xfId="10936" xr:uid="{00000000-0005-0000-0000-0000AF2A0000}"/>
    <cellStyle name="Normal 2 2 2 2 2 2 19 4 2" xfId="10937" xr:uid="{00000000-0005-0000-0000-0000B02A0000}"/>
    <cellStyle name="Normal 2 2 2 2 2 2 19 4 3" xfId="10938" xr:uid="{00000000-0005-0000-0000-0000B12A0000}"/>
    <cellStyle name="Normal 2 2 2 2 2 2 19 4 4" xfId="10939" xr:uid="{00000000-0005-0000-0000-0000B22A0000}"/>
    <cellStyle name="Normal 2 2 2 2 2 2 19 4 5" xfId="10940" xr:uid="{00000000-0005-0000-0000-0000B32A0000}"/>
    <cellStyle name="Normal 2 2 2 2 2 2 19 4 6" xfId="10941" xr:uid="{00000000-0005-0000-0000-0000B42A0000}"/>
    <cellStyle name="Normal 2 2 2 2 2 2 19 4 7" xfId="10942" xr:uid="{00000000-0005-0000-0000-0000B52A0000}"/>
    <cellStyle name="Normal 2 2 2 2 2 2 19 4 8" xfId="10943" xr:uid="{00000000-0005-0000-0000-0000B62A0000}"/>
    <cellStyle name="Normal 2 2 2 2 2 2 19 4 9" xfId="10944" xr:uid="{00000000-0005-0000-0000-0000B72A0000}"/>
    <cellStyle name="Normal 2 2 2 2 2 2 19 5" xfId="10945" xr:uid="{00000000-0005-0000-0000-0000B82A0000}"/>
    <cellStyle name="Normal 2 2 2 2 2 2 19 5 10" xfId="10946" xr:uid="{00000000-0005-0000-0000-0000B92A0000}"/>
    <cellStyle name="Normal 2 2 2 2 2 2 19 5 2" xfId="10947" xr:uid="{00000000-0005-0000-0000-0000BA2A0000}"/>
    <cellStyle name="Normal 2 2 2 2 2 2 19 5 3" xfId="10948" xr:uid="{00000000-0005-0000-0000-0000BB2A0000}"/>
    <cellStyle name="Normal 2 2 2 2 2 2 19 5 4" xfId="10949" xr:uid="{00000000-0005-0000-0000-0000BC2A0000}"/>
    <cellStyle name="Normal 2 2 2 2 2 2 19 5 5" xfId="10950" xr:uid="{00000000-0005-0000-0000-0000BD2A0000}"/>
    <cellStyle name="Normal 2 2 2 2 2 2 19 5 6" xfId="10951" xr:uid="{00000000-0005-0000-0000-0000BE2A0000}"/>
    <cellStyle name="Normal 2 2 2 2 2 2 19 5 7" xfId="10952" xr:uid="{00000000-0005-0000-0000-0000BF2A0000}"/>
    <cellStyle name="Normal 2 2 2 2 2 2 19 5 8" xfId="10953" xr:uid="{00000000-0005-0000-0000-0000C02A0000}"/>
    <cellStyle name="Normal 2 2 2 2 2 2 19 5 9" xfId="10954" xr:uid="{00000000-0005-0000-0000-0000C12A0000}"/>
    <cellStyle name="Normal 2 2 2 2 2 2 19 6" xfId="10955" xr:uid="{00000000-0005-0000-0000-0000C22A0000}"/>
    <cellStyle name="Normal 2 2 2 2 2 2 19 7" xfId="10956" xr:uid="{00000000-0005-0000-0000-0000C32A0000}"/>
    <cellStyle name="Normal 2 2 2 2 2 2 19 8" xfId="10957" xr:uid="{00000000-0005-0000-0000-0000C42A0000}"/>
    <cellStyle name="Normal 2 2 2 2 2 2 19 9" xfId="10958" xr:uid="{00000000-0005-0000-0000-0000C52A0000}"/>
    <cellStyle name="Normal 2 2 2 2 2 2 2" xfId="10959" xr:uid="{00000000-0005-0000-0000-0000C62A0000}"/>
    <cellStyle name="Normal 2 2 2 2 2 2 2 10" xfId="10960" xr:uid="{00000000-0005-0000-0000-0000C72A0000}"/>
    <cellStyle name="Normal 2 2 2 2 2 2 2 11" xfId="10961" xr:uid="{00000000-0005-0000-0000-0000C82A0000}"/>
    <cellStyle name="Normal 2 2 2 2 2 2 2 12" xfId="10962" xr:uid="{00000000-0005-0000-0000-0000C92A0000}"/>
    <cellStyle name="Normal 2 2 2 2 2 2 2 13" xfId="10963" xr:uid="{00000000-0005-0000-0000-0000CA2A0000}"/>
    <cellStyle name="Normal 2 2 2 2 2 2 2 14" xfId="10964" xr:uid="{00000000-0005-0000-0000-0000CB2A0000}"/>
    <cellStyle name="Normal 2 2 2 2 2 2 2 15" xfId="10965" xr:uid="{00000000-0005-0000-0000-0000CC2A0000}"/>
    <cellStyle name="Normal 2 2 2 2 2 2 2 16" xfId="10966" xr:uid="{00000000-0005-0000-0000-0000CD2A0000}"/>
    <cellStyle name="Normal 2 2 2 2 2 2 2 2" xfId="10967" xr:uid="{00000000-0005-0000-0000-0000CE2A0000}"/>
    <cellStyle name="Normal 2 2 2 2 2 2 2 2 10" xfId="10968" xr:uid="{00000000-0005-0000-0000-0000CF2A0000}"/>
    <cellStyle name="Normal 2 2 2 2 2 2 2 2 11" xfId="10969" xr:uid="{00000000-0005-0000-0000-0000D02A0000}"/>
    <cellStyle name="Normal 2 2 2 2 2 2 2 2 12" xfId="10970" xr:uid="{00000000-0005-0000-0000-0000D12A0000}"/>
    <cellStyle name="Normal 2 2 2 2 2 2 2 2 2" xfId="10971" xr:uid="{00000000-0005-0000-0000-0000D22A0000}"/>
    <cellStyle name="Normal 2 2 2 2 2 2 2 2 3" xfId="10972" xr:uid="{00000000-0005-0000-0000-0000D32A0000}"/>
    <cellStyle name="Normal 2 2 2 2 2 2 2 2 4" xfId="10973" xr:uid="{00000000-0005-0000-0000-0000D42A0000}"/>
    <cellStyle name="Normal 2 2 2 2 2 2 2 2 5" xfId="10974" xr:uid="{00000000-0005-0000-0000-0000D52A0000}"/>
    <cellStyle name="Normal 2 2 2 2 2 2 2 2 6" xfId="10975" xr:uid="{00000000-0005-0000-0000-0000D62A0000}"/>
    <cellStyle name="Normal 2 2 2 2 2 2 2 2 7" xfId="10976" xr:uid="{00000000-0005-0000-0000-0000D72A0000}"/>
    <cellStyle name="Normal 2 2 2 2 2 2 2 2 8" xfId="10977" xr:uid="{00000000-0005-0000-0000-0000D82A0000}"/>
    <cellStyle name="Normal 2 2 2 2 2 2 2 2 9" xfId="10978" xr:uid="{00000000-0005-0000-0000-0000D92A0000}"/>
    <cellStyle name="Normal 2 2 2 2 2 2 2 3" xfId="10979" xr:uid="{00000000-0005-0000-0000-0000DA2A0000}"/>
    <cellStyle name="Normal 2 2 2 2 2 2 2 3 10" xfId="10980" xr:uid="{00000000-0005-0000-0000-0000DB2A0000}"/>
    <cellStyle name="Normal 2 2 2 2 2 2 2 3 2" xfId="10981" xr:uid="{00000000-0005-0000-0000-0000DC2A0000}"/>
    <cellStyle name="Normal 2 2 2 2 2 2 2 3 3" xfId="10982" xr:uid="{00000000-0005-0000-0000-0000DD2A0000}"/>
    <cellStyle name="Normal 2 2 2 2 2 2 2 3 4" xfId="10983" xr:uid="{00000000-0005-0000-0000-0000DE2A0000}"/>
    <cellStyle name="Normal 2 2 2 2 2 2 2 3 5" xfId="10984" xr:uid="{00000000-0005-0000-0000-0000DF2A0000}"/>
    <cellStyle name="Normal 2 2 2 2 2 2 2 3 6" xfId="10985" xr:uid="{00000000-0005-0000-0000-0000E02A0000}"/>
    <cellStyle name="Normal 2 2 2 2 2 2 2 3 7" xfId="10986" xr:uid="{00000000-0005-0000-0000-0000E12A0000}"/>
    <cellStyle name="Normal 2 2 2 2 2 2 2 3 8" xfId="10987" xr:uid="{00000000-0005-0000-0000-0000E22A0000}"/>
    <cellStyle name="Normal 2 2 2 2 2 2 2 3 9" xfId="10988" xr:uid="{00000000-0005-0000-0000-0000E32A0000}"/>
    <cellStyle name="Normal 2 2 2 2 2 2 2 4" xfId="10989" xr:uid="{00000000-0005-0000-0000-0000E42A0000}"/>
    <cellStyle name="Normal 2 2 2 2 2 2 2 4 10" xfId="10990" xr:uid="{00000000-0005-0000-0000-0000E52A0000}"/>
    <cellStyle name="Normal 2 2 2 2 2 2 2 4 2" xfId="10991" xr:uid="{00000000-0005-0000-0000-0000E62A0000}"/>
    <cellStyle name="Normal 2 2 2 2 2 2 2 4 3" xfId="10992" xr:uid="{00000000-0005-0000-0000-0000E72A0000}"/>
    <cellStyle name="Normal 2 2 2 2 2 2 2 4 4" xfId="10993" xr:uid="{00000000-0005-0000-0000-0000E82A0000}"/>
    <cellStyle name="Normal 2 2 2 2 2 2 2 4 5" xfId="10994" xr:uid="{00000000-0005-0000-0000-0000E92A0000}"/>
    <cellStyle name="Normal 2 2 2 2 2 2 2 4 6" xfId="10995" xr:uid="{00000000-0005-0000-0000-0000EA2A0000}"/>
    <cellStyle name="Normal 2 2 2 2 2 2 2 4 7" xfId="10996" xr:uid="{00000000-0005-0000-0000-0000EB2A0000}"/>
    <cellStyle name="Normal 2 2 2 2 2 2 2 4 8" xfId="10997" xr:uid="{00000000-0005-0000-0000-0000EC2A0000}"/>
    <cellStyle name="Normal 2 2 2 2 2 2 2 4 9" xfId="10998" xr:uid="{00000000-0005-0000-0000-0000ED2A0000}"/>
    <cellStyle name="Normal 2 2 2 2 2 2 2 5" xfId="10999" xr:uid="{00000000-0005-0000-0000-0000EE2A0000}"/>
    <cellStyle name="Normal 2 2 2 2 2 2 2 5 10" xfId="11000" xr:uid="{00000000-0005-0000-0000-0000EF2A0000}"/>
    <cellStyle name="Normal 2 2 2 2 2 2 2 5 2" xfId="11001" xr:uid="{00000000-0005-0000-0000-0000F02A0000}"/>
    <cellStyle name="Normal 2 2 2 2 2 2 2 5 3" xfId="11002" xr:uid="{00000000-0005-0000-0000-0000F12A0000}"/>
    <cellStyle name="Normal 2 2 2 2 2 2 2 5 4" xfId="11003" xr:uid="{00000000-0005-0000-0000-0000F22A0000}"/>
    <cellStyle name="Normal 2 2 2 2 2 2 2 5 5" xfId="11004" xr:uid="{00000000-0005-0000-0000-0000F32A0000}"/>
    <cellStyle name="Normal 2 2 2 2 2 2 2 5 6" xfId="11005" xr:uid="{00000000-0005-0000-0000-0000F42A0000}"/>
    <cellStyle name="Normal 2 2 2 2 2 2 2 5 7" xfId="11006" xr:uid="{00000000-0005-0000-0000-0000F52A0000}"/>
    <cellStyle name="Normal 2 2 2 2 2 2 2 5 8" xfId="11007" xr:uid="{00000000-0005-0000-0000-0000F62A0000}"/>
    <cellStyle name="Normal 2 2 2 2 2 2 2 5 9" xfId="11008" xr:uid="{00000000-0005-0000-0000-0000F72A0000}"/>
    <cellStyle name="Normal 2 2 2 2 2 2 2 6" xfId="11009" xr:uid="{00000000-0005-0000-0000-0000F82A0000}"/>
    <cellStyle name="Normal 2 2 2 2 2 2 2 7" xfId="11010" xr:uid="{00000000-0005-0000-0000-0000F92A0000}"/>
    <cellStyle name="Normal 2 2 2 2 2 2 2 8" xfId="11011" xr:uid="{00000000-0005-0000-0000-0000FA2A0000}"/>
    <cellStyle name="Normal 2 2 2 2 2 2 2 9" xfId="11012" xr:uid="{00000000-0005-0000-0000-0000FB2A0000}"/>
    <cellStyle name="Normal 2 2 2 2 2 2 20" xfId="11013" xr:uid="{00000000-0005-0000-0000-0000FC2A0000}"/>
    <cellStyle name="Normal 2 2 2 2 2 2 20 10" xfId="11014" xr:uid="{00000000-0005-0000-0000-0000FD2A0000}"/>
    <cellStyle name="Normal 2 2 2 2 2 2 20 11" xfId="11015" xr:uid="{00000000-0005-0000-0000-0000FE2A0000}"/>
    <cellStyle name="Normal 2 2 2 2 2 2 20 12" xfId="11016" xr:uid="{00000000-0005-0000-0000-0000FF2A0000}"/>
    <cellStyle name="Normal 2 2 2 2 2 2 20 13" xfId="11017" xr:uid="{00000000-0005-0000-0000-0000002B0000}"/>
    <cellStyle name="Normal 2 2 2 2 2 2 20 14" xfId="11018" xr:uid="{00000000-0005-0000-0000-0000012B0000}"/>
    <cellStyle name="Normal 2 2 2 2 2 2 20 2" xfId="11019" xr:uid="{00000000-0005-0000-0000-0000022B0000}"/>
    <cellStyle name="Normal 2 2 2 2 2 2 20 2 10" xfId="11020" xr:uid="{00000000-0005-0000-0000-0000032B0000}"/>
    <cellStyle name="Normal 2 2 2 2 2 2 20 2 2" xfId="11021" xr:uid="{00000000-0005-0000-0000-0000042B0000}"/>
    <cellStyle name="Normal 2 2 2 2 2 2 20 2 3" xfId="11022" xr:uid="{00000000-0005-0000-0000-0000052B0000}"/>
    <cellStyle name="Normal 2 2 2 2 2 2 20 2 4" xfId="11023" xr:uid="{00000000-0005-0000-0000-0000062B0000}"/>
    <cellStyle name="Normal 2 2 2 2 2 2 20 2 5" xfId="11024" xr:uid="{00000000-0005-0000-0000-0000072B0000}"/>
    <cellStyle name="Normal 2 2 2 2 2 2 20 2 6" xfId="11025" xr:uid="{00000000-0005-0000-0000-0000082B0000}"/>
    <cellStyle name="Normal 2 2 2 2 2 2 20 2 7" xfId="11026" xr:uid="{00000000-0005-0000-0000-0000092B0000}"/>
    <cellStyle name="Normal 2 2 2 2 2 2 20 2 8" xfId="11027" xr:uid="{00000000-0005-0000-0000-00000A2B0000}"/>
    <cellStyle name="Normal 2 2 2 2 2 2 20 2 9" xfId="11028" xr:uid="{00000000-0005-0000-0000-00000B2B0000}"/>
    <cellStyle name="Normal 2 2 2 2 2 2 20 3" xfId="11029" xr:uid="{00000000-0005-0000-0000-00000C2B0000}"/>
    <cellStyle name="Normal 2 2 2 2 2 2 20 3 10" xfId="11030" xr:uid="{00000000-0005-0000-0000-00000D2B0000}"/>
    <cellStyle name="Normal 2 2 2 2 2 2 20 3 2" xfId="11031" xr:uid="{00000000-0005-0000-0000-00000E2B0000}"/>
    <cellStyle name="Normal 2 2 2 2 2 2 20 3 3" xfId="11032" xr:uid="{00000000-0005-0000-0000-00000F2B0000}"/>
    <cellStyle name="Normal 2 2 2 2 2 2 20 3 4" xfId="11033" xr:uid="{00000000-0005-0000-0000-0000102B0000}"/>
    <cellStyle name="Normal 2 2 2 2 2 2 20 3 5" xfId="11034" xr:uid="{00000000-0005-0000-0000-0000112B0000}"/>
    <cellStyle name="Normal 2 2 2 2 2 2 20 3 6" xfId="11035" xr:uid="{00000000-0005-0000-0000-0000122B0000}"/>
    <cellStyle name="Normal 2 2 2 2 2 2 20 3 7" xfId="11036" xr:uid="{00000000-0005-0000-0000-0000132B0000}"/>
    <cellStyle name="Normal 2 2 2 2 2 2 20 3 8" xfId="11037" xr:uid="{00000000-0005-0000-0000-0000142B0000}"/>
    <cellStyle name="Normal 2 2 2 2 2 2 20 3 9" xfId="11038" xr:uid="{00000000-0005-0000-0000-0000152B0000}"/>
    <cellStyle name="Normal 2 2 2 2 2 2 20 4" xfId="11039" xr:uid="{00000000-0005-0000-0000-0000162B0000}"/>
    <cellStyle name="Normal 2 2 2 2 2 2 20 4 10" xfId="11040" xr:uid="{00000000-0005-0000-0000-0000172B0000}"/>
    <cellStyle name="Normal 2 2 2 2 2 2 20 4 2" xfId="11041" xr:uid="{00000000-0005-0000-0000-0000182B0000}"/>
    <cellStyle name="Normal 2 2 2 2 2 2 20 4 3" xfId="11042" xr:uid="{00000000-0005-0000-0000-0000192B0000}"/>
    <cellStyle name="Normal 2 2 2 2 2 2 20 4 4" xfId="11043" xr:uid="{00000000-0005-0000-0000-00001A2B0000}"/>
    <cellStyle name="Normal 2 2 2 2 2 2 20 4 5" xfId="11044" xr:uid="{00000000-0005-0000-0000-00001B2B0000}"/>
    <cellStyle name="Normal 2 2 2 2 2 2 20 4 6" xfId="11045" xr:uid="{00000000-0005-0000-0000-00001C2B0000}"/>
    <cellStyle name="Normal 2 2 2 2 2 2 20 4 7" xfId="11046" xr:uid="{00000000-0005-0000-0000-00001D2B0000}"/>
    <cellStyle name="Normal 2 2 2 2 2 2 20 4 8" xfId="11047" xr:uid="{00000000-0005-0000-0000-00001E2B0000}"/>
    <cellStyle name="Normal 2 2 2 2 2 2 20 4 9" xfId="11048" xr:uid="{00000000-0005-0000-0000-00001F2B0000}"/>
    <cellStyle name="Normal 2 2 2 2 2 2 20 5" xfId="11049" xr:uid="{00000000-0005-0000-0000-0000202B0000}"/>
    <cellStyle name="Normal 2 2 2 2 2 2 20 5 10" xfId="11050" xr:uid="{00000000-0005-0000-0000-0000212B0000}"/>
    <cellStyle name="Normal 2 2 2 2 2 2 20 5 2" xfId="11051" xr:uid="{00000000-0005-0000-0000-0000222B0000}"/>
    <cellStyle name="Normal 2 2 2 2 2 2 20 5 3" xfId="11052" xr:uid="{00000000-0005-0000-0000-0000232B0000}"/>
    <cellStyle name="Normal 2 2 2 2 2 2 20 5 4" xfId="11053" xr:uid="{00000000-0005-0000-0000-0000242B0000}"/>
    <cellStyle name="Normal 2 2 2 2 2 2 20 5 5" xfId="11054" xr:uid="{00000000-0005-0000-0000-0000252B0000}"/>
    <cellStyle name="Normal 2 2 2 2 2 2 20 5 6" xfId="11055" xr:uid="{00000000-0005-0000-0000-0000262B0000}"/>
    <cellStyle name="Normal 2 2 2 2 2 2 20 5 7" xfId="11056" xr:uid="{00000000-0005-0000-0000-0000272B0000}"/>
    <cellStyle name="Normal 2 2 2 2 2 2 20 5 8" xfId="11057" xr:uid="{00000000-0005-0000-0000-0000282B0000}"/>
    <cellStyle name="Normal 2 2 2 2 2 2 20 5 9" xfId="11058" xr:uid="{00000000-0005-0000-0000-0000292B0000}"/>
    <cellStyle name="Normal 2 2 2 2 2 2 20 6" xfId="11059" xr:uid="{00000000-0005-0000-0000-00002A2B0000}"/>
    <cellStyle name="Normal 2 2 2 2 2 2 20 7" xfId="11060" xr:uid="{00000000-0005-0000-0000-00002B2B0000}"/>
    <cellStyle name="Normal 2 2 2 2 2 2 20 8" xfId="11061" xr:uid="{00000000-0005-0000-0000-00002C2B0000}"/>
    <cellStyle name="Normal 2 2 2 2 2 2 20 9" xfId="11062" xr:uid="{00000000-0005-0000-0000-00002D2B0000}"/>
    <cellStyle name="Normal 2 2 2 2 2 2 21" xfId="11063" xr:uid="{00000000-0005-0000-0000-00002E2B0000}"/>
    <cellStyle name="Normal 2 2 2 2 2 2 21 10" xfId="11064" xr:uid="{00000000-0005-0000-0000-00002F2B0000}"/>
    <cellStyle name="Normal 2 2 2 2 2 2 21 11" xfId="11065" xr:uid="{00000000-0005-0000-0000-0000302B0000}"/>
    <cellStyle name="Normal 2 2 2 2 2 2 21 12" xfId="11066" xr:uid="{00000000-0005-0000-0000-0000312B0000}"/>
    <cellStyle name="Normal 2 2 2 2 2 2 21 13" xfId="11067" xr:uid="{00000000-0005-0000-0000-0000322B0000}"/>
    <cellStyle name="Normal 2 2 2 2 2 2 21 14" xfId="11068" xr:uid="{00000000-0005-0000-0000-0000332B0000}"/>
    <cellStyle name="Normal 2 2 2 2 2 2 21 2" xfId="11069" xr:uid="{00000000-0005-0000-0000-0000342B0000}"/>
    <cellStyle name="Normal 2 2 2 2 2 2 21 2 10" xfId="11070" xr:uid="{00000000-0005-0000-0000-0000352B0000}"/>
    <cellStyle name="Normal 2 2 2 2 2 2 21 2 2" xfId="11071" xr:uid="{00000000-0005-0000-0000-0000362B0000}"/>
    <cellStyle name="Normal 2 2 2 2 2 2 21 2 3" xfId="11072" xr:uid="{00000000-0005-0000-0000-0000372B0000}"/>
    <cellStyle name="Normal 2 2 2 2 2 2 21 2 4" xfId="11073" xr:uid="{00000000-0005-0000-0000-0000382B0000}"/>
    <cellStyle name="Normal 2 2 2 2 2 2 21 2 5" xfId="11074" xr:uid="{00000000-0005-0000-0000-0000392B0000}"/>
    <cellStyle name="Normal 2 2 2 2 2 2 21 2 6" xfId="11075" xr:uid="{00000000-0005-0000-0000-00003A2B0000}"/>
    <cellStyle name="Normal 2 2 2 2 2 2 21 2 7" xfId="11076" xr:uid="{00000000-0005-0000-0000-00003B2B0000}"/>
    <cellStyle name="Normal 2 2 2 2 2 2 21 2 8" xfId="11077" xr:uid="{00000000-0005-0000-0000-00003C2B0000}"/>
    <cellStyle name="Normal 2 2 2 2 2 2 21 2 9" xfId="11078" xr:uid="{00000000-0005-0000-0000-00003D2B0000}"/>
    <cellStyle name="Normal 2 2 2 2 2 2 21 3" xfId="11079" xr:uid="{00000000-0005-0000-0000-00003E2B0000}"/>
    <cellStyle name="Normal 2 2 2 2 2 2 21 3 10" xfId="11080" xr:uid="{00000000-0005-0000-0000-00003F2B0000}"/>
    <cellStyle name="Normal 2 2 2 2 2 2 21 3 2" xfId="11081" xr:uid="{00000000-0005-0000-0000-0000402B0000}"/>
    <cellStyle name="Normal 2 2 2 2 2 2 21 3 3" xfId="11082" xr:uid="{00000000-0005-0000-0000-0000412B0000}"/>
    <cellStyle name="Normal 2 2 2 2 2 2 21 3 4" xfId="11083" xr:uid="{00000000-0005-0000-0000-0000422B0000}"/>
    <cellStyle name="Normal 2 2 2 2 2 2 21 3 5" xfId="11084" xr:uid="{00000000-0005-0000-0000-0000432B0000}"/>
    <cellStyle name="Normal 2 2 2 2 2 2 21 3 6" xfId="11085" xr:uid="{00000000-0005-0000-0000-0000442B0000}"/>
    <cellStyle name="Normal 2 2 2 2 2 2 21 3 7" xfId="11086" xr:uid="{00000000-0005-0000-0000-0000452B0000}"/>
    <cellStyle name="Normal 2 2 2 2 2 2 21 3 8" xfId="11087" xr:uid="{00000000-0005-0000-0000-0000462B0000}"/>
    <cellStyle name="Normal 2 2 2 2 2 2 21 3 9" xfId="11088" xr:uid="{00000000-0005-0000-0000-0000472B0000}"/>
    <cellStyle name="Normal 2 2 2 2 2 2 21 4" xfId="11089" xr:uid="{00000000-0005-0000-0000-0000482B0000}"/>
    <cellStyle name="Normal 2 2 2 2 2 2 21 4 10" xfId="11090" xr:uid="{00000000-0005-0000-0000-0000492B0000}"/>
    <cellStyle name="Normal 2 2 2 2 2 2 21 4 2" xfId="11091" xr:uid="{00000000-0005-0000-0000-00004A2B0000}"/>
    <cellStyle name="Normal 2 2 2 2 2 2 21 4 3" xfId="11092" xr:uid="{00000000-0005-0000-0000-00004B2B0000}"/>
    <cellStyle name="Normal 2 2 2 2 2 2 21 4 4" xfId="11093" xr:uid="{00000000-0005-0000-0000-00004C2B0000}"/>
    <cellStyle name="Normal 2 2 2 2 2 2 21 4 5" xfId="11094" xr:uid="{00000000-0005-0000-0000-00004D2B0000}"/>
    <cellStyle name="Normal 2 2 2 2 2 2 21 4 6" xfId="11095" xr:uid="{00000000-0005-0000-0000-00004E2B0000}"/>
    <cellStyle name="Normal 2 2 2 2 2 2 21 4 7" xfId="11096" xr:uid="{00000000-0005-0000-0000-00004F2B0000}"/>
    <cellStyle name="Normal 2 2 2 2 2 2 21 4 8" xfId="11097" xr:uid="{00000000-0005-0000-0000-0000502B0000}"/>
    <cellStyle name="Normal 2 2 2 2 2 2 21 4 9" xfId="11098" xr:uid="{00000000-0005-0000-0000-0000512B0000}"/>
    <cellStyle name="Normal 2 2 2 2 2 2 21 5" xfId="11099" xr:uid="{00000000-0005-0000-0000-0000522B0000}"/>
    <cellStyle name="Normal 2 2 2 2 2 2 21 5 10" xfId="11100" xr:uid="{00000000-0005-0000-0000-0000532B0000}"/>
    <cellStyle name="Normal 2 2 2 2 2 2 21 5 2" xfId="11101" xr:uid="{00000000-0005-0000-0000-0000542B0000}"/>
    <cellStyle name="Normal 2 2 2 2 2 2 21 5 3" xfId="11102" xr:uid="{00000000-0005-0000-0000-0000552B0000}"/>
    <cellStyle name="Normal 2 2 2 2 2 2 21 5 4" xfId="11103" xr:uid="{00000000-0005-0000-0000-0000562B0000}"/>
    <cellStyle name="Normal 2 2 2 2 2 2 21 5 5" xfId="11104" xr:uid="{00000000-0005-0000-0000-0000572B0000}"/>
    <cellStyle name="Normal 2 2 2 2 2 2 21 5 6" xfId="11105" xr:uid="{00000000-0005-0000-0000-0000582B0000}"/>
    <cellStyle name="Normal 2 2 2 2 2 2 21 5 7" xfId="11106" xr:uid="{00000000-0005-0000-0000-0000592B0000}"/>
    <cellStyle name="Normal 2 2 2 2 2 2 21 5 8" xfId="11107" xr:uid="{00000000-0005-0000-0000-00005A2B0000}"/>
    <cellStyle name="Normal 2 2 2 2 2 2 21 5 9" xfId="11108" xr:uid="{00000000-0005-0000-0000-00005B2B0000}"/>
    <cellStyle name="Normal 2 2 2 2 2 2 21 6" xfId="11109" xr:uid="{00000000-0005-0000-0000-00005C2B0000}"/>
    <cellStyle name="Normal 2 2 2 2 2 2 21 7" xfId="11110" xr:uid="{00000000-0005-0000-0000-00005D2B0000}"/>
    <cellStyle name="Normal 2 2 2 2 2 2 21 8" xfId="11111" xr:uid="{00000000-0005-0000-0000-00005E2B0000}"/>
    <cellStyle name="Normal 2 2 2 2 2 2 21 9" xfId="11112" xr:uid="{00000000-0005-0000-0000-00005F2B0000}"/>
    <cellStyle name="Normal 2 2 2 2 2 2 22" xfId="11113" xr:uid="{00000000-0005-0000-0000-0000602B0000}"/>
    <cellStyle name="Normal 2 2 2 2 2 2 22 10" xfId="11114" xr:uid="{00000000-0005-0000-0000-0000612B0000}"/>
    <cellStyle name="Normal 2 2 2 2 2 2 22 11" xfId="11115" xr:uid="{00000000-0005-0000-0000-0000622B0000}"/>
    <cellStyle name="Normal 2 2 2 2 2 2 22 12" xfId="11116" xr:uid="{00000000-0005-0000-0000-0000632B0000}"/>
    <cellStyle name="Normal 2 2 2 2 2 2 22 13" xfId="11117" xr:uid="{00000000-0005-0000-0000-0000642B0000}"/>
    <cellStyle name="Normal 2 2 2 2 2 2 22 14" xfId="11118" xr:uid="{00000000-0005-0000-0000-0000652B0000}"/>
    <cellStyle name="Normal 2 2 2 2 2 2 22 2" xfId="11119" xr:uid="{00000000-0005-0000-0000-0000662B0000}"/>
    <cellStyle name="Normal 2 2 2 2 2 2 22 2 10" xfId="11120" xr:uid="{00000000-0005-0000-0000-0000672B0000}"/>
    <cellStyle name="Normal 2 2 2 2 2 2 22 2 2" xfId="11121" xr:uid="{00000000-0005-0000-0000-0000682B0000}"/>
    <cellStyle name="Normal 2 2 2 2 2 2 22 2 3" xfId="11122" xr:uid="{00000000-0005-0000-0000-0000692B0000}"/>
    <cellStyle name="Normal 2 2 2 2 2 2 22 2 4" xfId="11123" xr:uid="{00000000-0005-0000-0000-00006A2B0000}"/>
    <cellStyle name="Normal 2 2 2 2 2 2 22 2 5" xfId="11124" xr:uid="{00000000-0005-0000-0000-00006B2B0000}"/>
    <cellStyle name="Normal 2 2 2 2 2 2 22 2 6" xfId="11125" xr:uid="{00000000-0005-0000-0000-00006C2B0000}"/>
    <cellStyle name="Normal 2 2 2 2 2 2 22 2 7" xfId="11126" xr:uid="{00000000-0005-0000-0000-00006D2B0000}"/>
    <cellStyle name="Normal 2 2 2 2 2 2 22 2 8" xfId="11127" xr:uid="{00000000-0005-0000-0000-00006E2B0000}"/>
    <cellStyle name="Normal 2 2 2 2 2 2 22 2 9" xfId="11128" xr:uid="{00000000-0005-0000-0000-00006F2B0000}"/>
    <cellStyle name="Normal 2 2 2 2 2 2 22 3" xfId="11129" xr:uid="{00000000-0005-0000-0000-0000702B0000}"/>
    <cellStyle name="Normal 2 2 2 2 2 2 22 3 10" xfId="11130" xr:uid="{00000000-0005-0000-0000-0000712B0000}"/>
    <cellStyle name="Normal 2 2 2 2 2 2 22 3 2" xfId="11131" xr:uid="{00000000-0005-0000-0000-0000722B0000}"/>
    <cellStyle name="Normal 2 2 2 2 2 2 22 3 3" xfId="11132" xr:uid="{00000000-0005-0000-0000-0000732B0000}"/>
    <cellStyle name="Normal 2 2 2 2 2 2 22 3 4" xfId="11133" xr:uid="{00000000-0005-0000-0000-0000742B0000}"/>
    <cellStyle name="Normal 2 2 2 2 2 2 22 3 5" xfId="11134" xr:uid="{00000000-0005-0000-0000-0000752B0000}"/>
    <cellStyle name="Normal 2 2 2 2 2 2 22 3 6" xfId="11135" xr:uid="{00000000-0005-0000-0000-0000762B0000}"/>
    <cellStyle name="Normal 2 2 2 2 2 2 22 3 7" xfId="11136" xr:uid="{00000000-0005-0000-0000-0000772B0000}"/>
    <cellStyle name="Normal 2 2 2 2 2 2 22 3 8" xfId="11137" xr:uid="{00000000-0005-0000-0000-0000782B0000}"/>
    <cellStyle name="Normal 2 2 2 2 2 2 22 3 9" xfId="11138" xr:uid="{00000000-0005-0000-0000-0000792B0000}"/>
    <cellStyle name="Normal 2 2 2 2 2 2 22 4" xfId="11139" xr:uid="{00000000-0005-0000-0000-00007A2B0000}"/>
    <cellStyle name="Normal 2 2 2 2 2 2 22 4 10" xfId="11140" xr:uid="{00000000-0005-0000-0000-00007B2B0000}"/>
    <cellStyle name="Normal 2 2 2 2 2 2 22 4 2" xfId="11141" xr:uid="{00000000-0005-0000-0000-00007C2B0000}"/>
    <cellStyle name="Normal 2 2 2 2 2 2 22 4 3" xfId="11142" xr:uid="{00000000-0005-0000-0000-00007D2B0000}"/>
    <cellStyle name="Normal 2 2 2 2 2 2 22 4 4" xfId="11143" xr:uid="{00000000-0005-0000-0000-00007E2B0000}"/>
    <cellStyle name="Normal 2 2 2 2 2 2 22 4 5" xfId="11144" xr:uid="{00000000-0005-0000-0000-00007F2B0000}"/>
    <cellStyle name="Normal 2 2 2 2 2 2 22 4 6" xfId="11145" xr:uid="{00000000-0005-0000-0000-0000802B0000}"/>
    <cellStyle name="Normal 2 2 2 2 2 2 22 4 7" xfId="11146" xr:uid="{00000000-0005-0000-0000-0000812B0000}"/>
    <cellStyle name="Normal 2 2 2 2 2 2 22 4 8" xfId="11147" xr:uid="{00000000-0005-0000-0000-0000822B0000}"/>
    <cellStyle name="Normal 2 2 2 2 2 2 22 4 9" xfId="11148" xr:uid="{00000000-0005-0000-0000-0000832B0000}"/>
    <cellStyle name="Normal 2 2 2 2 2 2 22 5" xfId="11149" xr:uid="{00000000-0005-0000-0000-0000842B0000}"/>
    <cellStyle name="Normal 2 2 2 2 2 2 22 5 10" xfId="11150" xr:uid="{00000000-0005-0000-0000-0000852B0000}"/>
    <cellStyle name="Normal 2 2 2 2 2 2 22 5 2" xfId="11151" xr:uid="{00000000-0005-0000-0000-0000862B0000}"/>
    <cellStyle name="Normal 2 2 2 2 2 2 22 5 3" xfId="11152" xr:uid="{00000000-0005-0000-0000-0000872B0000}"/>
    <cellStyle name="Normal 2 2 2 2 2 2 22 5 4" xfId="11153" xr:uid="{00000000-0005-0000-0000-0000882B0000}"/>
    <cellStyle name="Normal 2 2 2 2 2 2 22 5 5" xfId="11154" xr:uid="{00000000-0005-0000-0000-0000892B0000}"/>
    <cellStyle name="Normal 2 2 2 2 2 2 22 5 6" xfId="11155" xr:uid="{00000000-0005-0000-0000-00008A2B0000}"/>
    <cellStyle name="Normal 2 2 2 2 2 2 22 5 7" xfId="11156" xr:uid="{00000000-0005-0000-0000-00008B2B0000}"/>
    <cellStyle name="Normal 2 2 2 2 2 2 22 5 8" xfId="11157" xr:uid="{00000000-0005-0000-0000-00008C2B0000}"/>
    <cellStyle name="Normal 2 2 2 2 2 2 22 5 9" xfId="11158" xr:uid="{00000000-0005-0000-0000-00008D2B0000}"/>
    <cellStyle name="Normal 2 2 2 2 2 2 22 6" xfId="11159" xr:uid="{00000000-0005-0000-0000-00008E2B0000}"/>
    <cellStyle name="Normal 2 2 2 2 2 2 22 7" xfId="11160" xr:uid="{00000000-0005-0000-0000-00008F2B0000}"/>
    <cellStyle name="Normal 2 2 2 2 2 2 22 8" xfId="11161" xr:uid="{00000000-0005-0000-0000-0000902B0000}"/>
    <cellStyle name="Normal 2 2 2 2 2 2 22 9" xfId="11162" xr:uid="{00000000-0005-0000-0000-0000912B0000}"/>
    <cellStyle name="Normal 2 2 2 2 2 2 23" xfId="11163" xr:uid="{00000000-0005-0000-0000-0000922B0000}"/>
    <cellStyle name="Normal 2 2 2 2 2 2 23 10" xfId="11164" xr:uid="{00000000-0005-0000-0000-0000932B0000}"/>
    <cellStyle name="Normal 2 2 2 2 2 2 23 11" xfId="11165" xr:uid="{00000000-0005-0000-0000-0000942B0000}"/>
    <cellStyle name="Normal 2 2 2 2 2 2 23 12" xfId="11166" xr:uid="{00000000-0005-0000-0000-0000952B0000}"/>
    <cellStyle name="Normal 2 2 2 2 2 2 23 13" xfId="11167" xr:uid="{00000000-0005-0000-0000-0000962B0000}"/>
    <cellStyle name="Normal 2 2 2 2 2 2 23 14" xfId="11168" xr:uid="{00000000-0005-0000-0000-0000972B0000}"/>
    <cellStyle name="Normal 2 2 2 2 2 2 23 2" xfId="11169" xr:uid="{00000000-0005-0000-0000-0000982B0000}"/>
    <cellStyle name="Normal 2 2 2 2 2 2 23 2 10" xfId="11170" xr:uid="{00000000-0005-0000-0000-0000992B0000}"/>
    <cellStyle name="Normal 2 2 2 2 2 2 23 2 2" xfId="11171" xr:uid="{00000000-0005-0000-0000-00009A2B0000}"/>
    <cellStyle name="Normal 2 2 2 2 2 2 23 2 3" xfId="11172" xr:uid="{00000000-0005-0000-0000-00009B2B0000}"/>
    <cellStyle name="Normal 2 2 2 2 2 2 23 2 4" xfId="11173" xr:uid="{00000000-0005-0000-0000-00009C2B0000}"/>
    <cellStyle name="Normal 2 2 2 2 2 2 23 2 5" xfId="11174" xr:uid="{00000000-0005-0000-0000-00009D2B0000}"/>
    <cellStyle name="Normal 2 2 2 2 2 2 23 2 6" xfId="11175" xr:uid="{00000000-0005-0000-0000-00009E2B0000}"/>
    <cellStyle name="Normal 2 2 2 2 2 2 23 2 7" xfId="11176" xr:uid="{00000000-0005-0000-0000-00009F2B0000}"/>
    <cellStyle name="Normal 2 2 2 2 2 2 23 2 8" xfId="11177" xr:uid="{00000000-0005-0000-0000-0000A02B0000}"/>
    <cellStyle name="Normal 2 2 2 2 2 2 23 2 9" xfId="11178" xr:uid="{00000000-0005-0000-0000-0000A12B0000}"/>
    <cellStyle name="Normal 2 2 2 2 2 2 23 3" xfId="11179" xr:uid="{00000000-0005-0000-0000-0000A22B0000}"/>
    <cellStyle name="Normal 2 2 2 2 2 2 23 3 10" xfId="11180" xr:uid="{00000000-0005-0000-0000-0000A32B0000}"/>
    <cellStyle name="Normal 2 2 2 2 2 2 23 3 2" xfId="11181" xr:uid="{00000000-0005-0000-0000-0000A42B0000}"/>
    <cellStyle name="Normal 2 2 2 2 2 2 23 3 3" xfId="11182" xr:uid="{00000000-0005-0000-0000-0000A52B0000}"/>
    <cellStyle name="Normal 2 2 2 2 2 2 23 3 4" xfId="11183" xr:uid="{00000000-0005-0000-0000-0000A62B0000}"/>
    <cellStyle name="Normal 2 2 2 2 2 2 23 3 5" xfId="11184" xr:uid="{00000000-0005-0000-0000-0000A72B0000}"/>
    <cellStyle name="Normal 2 2 2 2 2 2 23 3 6" xfId="11185" xr:uid="{00000000-0005-0000-0000-0000A82B0000}"/>
    <cellStyle name="Normal 2 2 2 2 2 2 23 3 7" xfId="11186" xr:uid="{00000000-0005-0000-0000-0000A92B0000}"/>
    <cellStyle name="Normal 2 2 2 2 2 2 23 3 8" xfId="11187" xr:uid="{00000000-0005-0000-0000-0000AA2B0000}"/>
    <cellStyle name="Normal 2 2 2 2 2 2 23 3 9" xfId="11188" xr:uid="{00000000-0005-0000-0000-0000AB2B0000}"/>
    <cellStyle name="Normal 2 2 2 2 2 2 23 4" xfId="11189" xr:uid="{00000000-0005-0000-0000-0000AC2B0000}"/>
    <cellStyle name="Normal 2 2 2 2 2 2 23 4 10" xfId="11190" xr:uid="{00000000-0005-0000-0000-0000AD2B0000}"/>
    <cellStyle name="Normal 2 2 2 2 2 2 23 4 2" xfId="11191" xr:uid="{00000000-0005-0000-0000-0000AE2B0000}"/>
    <cellStyle name="Normal 2 2 2 2 2 2 23 4 3" xfId="11192" xr:uid="{00000000-0005-0000-0000-0000AF2B0000}"/>
    <cellStyle name="Normal 2 2 2 2 2 2 23 4 4" xfId="11193" xr:uid="{00000000-0005-0000-0000-0000B02B0000}"/>
    <cellStyle name="Normal 2 2 2 2 2 2 23 4 5" xfId="11194" xr:uid="{00000000-0005-0000-0000-0000B12B0000}"/>
    <cellStyle name="Normal 2 2 2 2 2 2 23 4 6" xfId="11195" xr:uid="{00000000-0005-0000-0000-0000B22B0000}"/>
    <cellStyle name="Normal 2 2 2 2 2 2 23 4 7" xfId="11196" xr:uid="{00000000-0005-0000-0000-0000B32B0000}"/>
    <cellStyle name="Normal 2 2 2 2 2 2 23 4 8" xfId="11197" xr:uid="{00000000-0005-0000-0000-0000B42B0000}"/>
    <cellStyle name="Normal 2 2 2 2 2 2 23 4 9" xfId="11198" xr:uid="{00000000-0005-0000-0000-0000B52B0000}"/>
    <cellStyle name="Normal 2 2 2 2 2 2 23 5" xfId="11199" xr:uid="{00000000-0005-0000-0000-0000B62B0000}"/>
    <cellStyle name="Normal 2 2 2 2 2 2 23 5 10" xfId="11200" xr:uid="{00000000-0005-0000-0000-0000B72B0000}"/>
    <cellStyle name="Normal 2 2 2 2 2 2 23 5 2" xfId="11201" xr:uid="{00000000-0005-0000-0000-0000B82B0000}"/>
    <cellStyle name="Normal 2 2 2 2 2 2 23 5 3" xfId="11202" xr:uid="{00000000-0005-0000-0000-0000B92B0000}"/>
    <cellStyle name="Normal 2 2 2 2 2 2 23 5 4" xfId="11203" xr:uid="{00000000-0005-0000-0000-0000BA2B0000}"/>
    <cellStyle name="Normal 2 2 2 2 2 2 23 5 5" xfId="11204" xr:uid="{00000000-0005-0000-0000-0000BB2B0000}"/>
    <cellStyle name="Normal 2 2 2 2 2 2 23 5 6" xfId="11205" xr:uid="{00000000-0005-0000-0000-0000BC2B0000}"/>
    <cellStyle name="Normal 2 2 2 2 2 2 23 5 7" xfId="11206" xr:uid="{00000000-0005-0000-0000-0000BD2B0000}"/>
    <cellStyle name="Normal 2 2 2 2 2 2 23 5 8" xfId="11207" xr:uid="{00000000-0005-0000-0000-0000BE2B0000}"/>
    <cellStyle name="Normal 2 2 2 2 2 2 23 5 9" xfId="11208" xr:uid="{00000000-0005-0000-0000-0000BF2B0000}"/>
    <cellStyle name="Normal 2 2 2 2 2 2 23 6" xfId="11209" xr:uid="{00000000-0005-0000-0000-0000C02B0000}"/>
    <cellStyle name="Normal 2 2 2 2 2 2 23 7" xfId="11210" xr:uid="{00000000-0005-0000-0000-0000C12B0000}"/>
    <cellStyle name="Normal 2 2 2 2 2 2 23 8" xfId="11211" xr:uid="{00000000-0005-0000-0000-0000C22B0000}"/>
    <cellStyle name="Normal 2 2 2 2 2 2 23 9" xfId="11212" xr:uid="{00000000-0005-0000-0000-0000C32B0000}"/>
    <cellStyle name="Normal 2 2 2 2 2 2 24" xfId="11213" xr:uid="{00000000-0005-0000-0000-0000C42B0000}"/>
    <cellStyle name="Normal 2 2 2 2 2 2 24 10" xfId="11214" xr:uid="{00000000-0005-0000-0000-0000C52B0000}"/>
    <cellStyle name="Normal 2 2 2 2 2 2 24 11" xfId="11215" xr:uid="{00000000-0005-0000-0000-0000C62B0000}"/>
    <cellStyle name="Normal 2 2 2 2 2 2 24 12" xfId="11216" xr:uid="{00000000-0005-0000-0000-0000C72B0000}"/>
    <cellStyle name="Normal 2 2 2 2 2 2 24 13" xfId="11217" xr:uid="{00000000-0005-0000-0000-0000C82B0000}"/>
    <cellStyle name="Normal 2 2 2 2 2 2 24 14" xfId="11218" xr:uid="{00000000-0005-0000-0000-0000C92B0000}"/>
    <cellStyle name="Normal 2 2 2 2 2 2 24 2" xfId="11219" xr:uid="{00000000-0005-0000-0000-0000CA2B0000}"/>
    <cellStyle name="Normal 2 2 2 2 2 2 24 2 10" xfId="11220" xr:uid="{00000000-0005-0000-0000-0000CB2B0000}"/>
    <cellStyle name="Normal 2 2 2 2 2 2 24 2 2" xfId="11221" xr:uid="{00000000-0005-0000-0000-0000CC2B0000}"/>
    <cellStyle name="Normal 2 2 2 2 2 2 24 2 3" xfId="11222" xr:uid="{00000000-0005-0000-0000-0000CD2B0000}"/>
    <cellStyle name="Normal 2 2 2 2 2 2 24 2 4" xfId="11223" xr:uid="{00000000-0005-0000-0000-0000CE2B0000}"/>
    <cellStyle name="Normal 2 2 2 2 2 2 24 2 5" xfId="11224" xr:uid="{00000000-0005-0000-0000-0000CF2B0000}"/>
    <cellStyle name="Normal 2 2 2 2 2 2 24 2 6" xfId="11225" xr:uid="{00000000-0005-0000-0000-0000D02B0000}"/>
    <cellStyle name="Normal 2 2 2 2 2 2 24 2 7" xfId="11226" xr:uid="{00000000-0005-0000-0000-0000D12B0000}"/>
    <cellStyle name="Normal 2 2 2 2 2 2 24 2 8" xfId="11227" xr:uid="{00000000-0005-0000-0000-0000D22B0000}"/>
    <cellStyle name="Normal 2 2 2 2 2 2 24 2 9" xfId="11228" xr:uid="{00000000-0005-0000-0000-0000D32B0000}"/>
    <cellStyle name="Normal 2 2 2 2 2 2 24 3" xfId="11229" xr:uid="{00000000-0005-0000-0000-0000D42B0000}"/>
    <cellStyle name="Normal 2 2 2 2 2 2 24 3 10" xfId="11230" xr:uid="{00000000-0005-0000-0000-0000D52B0000}"/>
    <cellStyle name="Normal 2 2 2 2 2 2 24 3 2" xfId="11231" xr:uid="{00000000-0005-0000-0000-0000D62B0000}"/>
    <cellStyle name="Normal 2 2 2 2 2 2 24 3 3" xfId="11232" xr:uid="{00000000-0005-0000-0000-0000D72B0000}"/>
    <cellStyle name="Normal 2 2 2 2 2 2 24 3 4" xfId="11233" xr:uid="{00000000-0005-0000-0000-0000D82B0000}"/>
    <cellStyle name="Normal 2 2 2 2 2 2 24 3 5" xfId="11234" xr:uid="{00000000-0005-0000-0000-0000D92B0000}"/>
    <cellStyle name="Normal 2 2 2 2 2 2 24 3 6" xfId="11235" xr:uid="{00000000-0005-0000-0000-0000DA2B0000}"/>
    <cellStyle name="Normal 2 2 2 2 2 2 24 3 7" xfId="11236" xr:uid="{00000000-0005-0000-0000-0000DB2B0000}"/>
    <cellStyle name="Normal 2 2 2 2 2 2 24 3 8" xfId="11237" xr:uid="{00000000-0005-0000-0000-0000DC2B0000}"/>
    <cellStyle name="Normal 2 2 2 2 2 2 24 3 9" xfId="11238" xr:uid="{00000000-0005-0000-0000-0000DD2B0000}"/>
    <cellStyle name="Normal 2 2 2 2 2 2 24 4" xfId="11239" xr:uid="{00000000-0005-0000-0000-0000DE2B0000}"/>
    <cellStyle name="Normal 2 2 2 2 2 2 24 4 10" xfId="11240" xr:uid="{00000000-0005-0000-0000-0000DF2B0000}"/>
    <cellStyle name="Normal 2 2 2 2 2 2 24 4 2" xfId="11241" xr:uid="{00000000-0005-0000-0000-0000E02B0000}"/>
    <cellStyle name="Normal 2 2 2 2 2 2 24 4 3" xfId="11242" xr:uid="{00000000-0005-0000-0000-0000E12B0000}"/>
    <cellStyle name="Normal 2 2 2 2 2 2 24 4 4" xfId="11243" xr:uid="{00000000-0005-0000-0000-0000E22B0000}"/>
    <cellStyle name="Normal 2 2 2 2 2 2 24 4 5" xfId="11244" xr:uid="{00000000-0005-0000-0000-0000E32B0000}"/>
    <cellStyle name="Normal 2 2 2 2 2 2 24 4 6" xfId="11245" xr:uid="{00000000-0005-0000-0000-0000E42B0000}"/>
    <cellStyle name="Normal 2 2 2 2 2 2 24 4 7" xfId="11246" xr:uid="{00000000-0005-0000-0000-0000E52B0000}"/>
    <cellStyle name="Normal 2 2 2 2 2 2 24 4 8" xfId="11247" xr:uid="{00000000-0005-0000-0000-0000E62B0000}"/>
    <cellStyle name="Normal 2 2 2 2 2 2 24 4 9" xfId="11248" xr:uid="{00000000-0005-0000-0000-0000E72B0000}"/>
    <cellStyle name="Normal 2 2 2 2 2 2 24 5" xfId="11249" xr:uid="{00000000-0005-0000-0000-0000E82B0000}"/>
    <cellStyle name="Normal 2 2 2 2 2 2 24 5 10" xfId="11250" xr:uid="{00000000-0005-0000-0000-0000E92B0000}"/>
    <cellStyle name="Normal 2 2 2 2 2 2 24 5 2" xfId="11251" xr:uid="{00000000-0005-0000-0000-0000EA2B0000}"/>
    <cellStyle name="Normal 2 2 2 2 2 2 24 5 3" xfId="11252" xr:uid="{00000000-0005-0000-0000-0000EB2B0000}"/>
    <cellStyle name="Normal 2 2 2 2 2 2 24 5 4" xfId="11253" xr:uid="{00000000-0005-0000-0000-0000EC2B0000}"/>
    <cellStyle name="Normal 2 2 2 2 2 2 24 5 5" xfId="11254" xr:uid="{00000000-0005-0000-0000-0000ED2B0000}"/>
    <cellStyle name="Normal 2 2 2 2 2 2 24 5 6" xfId="11255" xr:uid="{00000000-0005-0000-0000-0000EE2B0000}"/>
    <cellStyle name="Normal 2 2 2 2 2 2 24 5 7" xfId="11256" xr:uid="{00000000-0005-0000-0000-0000EF2B0000}"/>
    <cellStyle name="Normal 2 2 2 2 2 2 24 5 8" xfId="11257" xr:uid="{00000000-0005-0000-0000-0000F02B0000}"/>
    <cellStyle name="Normal 2 2 2 2 2 2 24 5 9" xfId="11258" xr:uid="{00000000-0005-0000-0000-0000F12B0000}"/>
    <cellStyle name="Normal 2 2 2 2 2 2 24 6" xfId="11259" xr:uid="{00000000-0005-0000-0000-0000F22B0000}"/>
    <cellStyle name="Normal 2 2 2 2 2 2 24 7" xfId="11260" xr:uid="{00000000-0005-0000-0000-0000F32B0000}"/>
    <cellStyle name="Normal 2 2 2 2 2 2 24 8" xfId="11261" xr:uid="{00000000-0005-0000-0000-0000F42B0000}"/>
    <cellStyle name="Normal 2 2 2 2 2 2 24 9" xfId="11262" xr:uid="{00000000-0005-0000-0000-0000F52B0000}"/>
    <cellStyle name="Normal 2 2 2 2 2 2 25" xfId="11263" xr:uid="{00000000-0005-0000-0000-0000F62B0000}"/>
    <cellStyle name="Normal 2 2 2 2 2 2 25 10" xfId="11264" xr:uid="{00000000-0005-0000-0000-0000F72B0000}"/>
    <cellStyle name="Normal 2 2 2 2 2 2 25 11" xfId="11265" xr:uid="{00000000-0005-0000-0000-0000F82B0000}"/>
    <cellStyle name="Normal 2 2 2 2 2 2 25 12" xfId="11266" xr:uid="{00000000-0005-0000-0000-0000F92B0000}"/>
    <cellStyle name="Normal 2 2 2 2 2 2 25 13" xfId="11267" xr:uid="{00000000-0005-0000-0000-0000FA2B0000}"/>
    <cellStyle name="Normal 2 2 2 2 2 2 25 14" xfId="11268" xr:uid="{00000000-0005-0000-0000-0000FB2B0000}"/>
    <cellStyle name="Normal 2 2 2 2 2 2 25 2" xfId="11269" xr:uid="{00000000-0005-0000-0000-0000FC2B0000}"/>
    <cellStyle name="Normal 2 2 2 2 2 2 25 2 10" xfId="11270" xr:uid="{00000000-0005-0000-0000-0000FD2B0000}"/>
    <cellStyle name="Normal 2 2 2 2 2 2 25 2 2" xfId="11271" xr:uid="{00000000-0005-0000-0000-0000FE2B0000}"/>
    <cellStyle name="Normal 2 2 2 2 2 2 25 2 3" xfId="11272" xr:uid="{00000000-0005-0000-0000-0000FF2B0000}"/>
    <cellStyle name="Normal 2 2 2 2 2 2 25 2 4" xfId="11273" xr:uid="{00000000-0005-0000-0000-0000002C0000}"/>
    <cellStyle name="Normal 2 2 2 2 2 2 25 2 5" xfId="11274" xr:uid="{00000000-0005-0000-0000-0000012C0000}"/>
    <cellStyle name="Normal 2 2 2 2 2 2 25 2 6" xfId="11275" xr:uid="{00000000-0005-0000-0000-0000022C0000}"/>
    <cellStyle name="Normal 2 2 2 2 2 2 25 2 7" xfId="11276" xr:uid="{00000000-0005-0000-0000-0000032C0000}"/>
    <cellStyle name="Normal 2 2 2 2 2 2 25 2 8" xfId="11277" xr:uid="{00000000-0005-0000-0000-0000042C0000}"/>
    <cellStyle name="Normal 2 2 2 2 2 2 25 2 9" xfId="11278" xr:uid="{00000000-0005-0000-0000-0000052C0000}"/>
    <cellStyle name="Normal 2 2 2 2 2 2 25 3" xfId="11279" xr:uid="{00000000-0005-0000-0000-0000062C0000}"/>
    <cellStyle name="Normal 2 2 2 2 2 2 25 3 10" xfId="11280" xr:uid="{00000000-0005-0000-0000-0000072C0000}"/>
    <cellStyle name="Normal 2 2 2 2 2 2 25 3 2" xfId="11281" xr:uid="{00000000-0005-0000-0000-0000082C0000}"/>
    <cellStyle name="Normal 2 2 2 2 2 2 25 3 3" xfId="11282" xr:uid="{00000000-0005-0000-0000-0000092C0000}"/>
    <cellStyle name="Normal 2 2 2 2 2 2 25 3 4" xfId="11283" xr:uid="{00000000-0005-0000-0000-00000A2C0000}"/>
    <cellStyle name="Normal 2 2 2 2 2 2 25 3 5" xfId="11284" xr:uid="{00000000-0005-0000-0000-00000B2C0000}"/>
    <cellStyle name="Normal 2 2 2 2 2 2 25 3 6" xfId="11285" xr:uid="{00000000-0005-0000-0000-00000C2C0000}"/>
    <cellStyle name="Normal 2 2 2 2 2 2 25 3 7" xfId="11286" xr:uid="{00000000-0005-0000-0000-00000D2C0000}"/>
    <cellStyle name="Normal 2 2 2 2 2 2 25 3 8" xfId="11287" xr:uid="{00000000-0005-0000-0000-00000E2C0000}"/>
    <cellStyle name="Normal 2 2 2 2 2 2 25 3 9" xfId="11288" xr:uid="{00000000-0005-0000-0000-00000F2C0000}"/>
    <cellStyle name="Normal 2 2 2 2 2 2 25 4" xfId="11289" xr:uid="{00000000-0005-0000-0000-0000102C0000}"/>
    <cellStyle name="Normal 2 2 2 2 2 2 25 4 10" xfId="11290" xr:uid="{00000000-0005-0000-0000-0000112C0000}"/>
    <cellStyle name="Normal 2 2 2 2 2 2 25 4 2" xfId="11291" xr:uid="{00000000-0005-0000-0000-0000122C0000}"/>
    <cellStyle name="Normal 2 2 2 2 2 2 25 4 3" xfId="11292" xr:uid="{00000000-0005-0000-0000-0000132C0000}"/>
    <cellStyle name="Normal 2 2 2 2 2 2 25 4 4" xfId="11293" xr:uid="{00000000-0005-0000-0000-0000142C0000}"/>
    <cellStyle name="Normal 2 2 2 2 2 2 25 4 5" xfId="11294" xr:uid="{00000000-0005-0000-0000-0000152C0000}"/>
    <cellStyle name="Normal 2 2 2 2 2 2 25 4 6" xfId="11295" xr:uid="{00000000-0005-0000-0000-0000162C0000}"/>
    <cellStyle name="Normal 2 2 2 2 2 2 25 4 7" xfId="11296" xr:uid="{00000000-0005-0000-0000-0000172C0000}"/>
    <cellStyle name="Normal 2 2 2 2 2 2 25 4 8" xfId="11297" xr:uid="{00000000-0005-0000-0000-0000182C0000}"/>
    <cellStyle name="Normal 2 2 2 2 2 2 25 4 9" xfId="11298" xr:uid="{00000000-0005-0000-0000-0000192C0000}"/>
    <cellStyle name="Normal 2 2 2 2 2 2 25 5" xfId="11299" xr:uid="{00000000-0005-0000-0000-00001A2C0000}"/>
    <cellStyle name="Normal 2 2 2 2 2 2 25 5 10" xfId="11300" xr:uid="{00000000-0005-0000-0000-00001B2C0000}"/>
    <cellStyle name="Normal 2 2 2 2 2 2 25 5 2" xfId="11301" xr:uid="{00000000-0005-0000-0000-00001C2C0000}"/>
    <cellStyle name="Normal 2 2 2 2 2 2 25 5 3" xfId="11302" xr:uid="{00000000-0005-0000-0000-00001D2C0000}"/>
    <cellStyle name="Normal 2 2 2 2 2 2 25 5 4" xfId="11303" xr:uid="{00000000-0005-0000-0000-00001E2C0000}"/>
    <cellStyle name="Normal 2 2 2 2 2 2 25 5 5" xfId="11304" xr:uid="{00000000-0005-0000-0000-00001F2C0000}"/>
    <cellStyle name="Normal 2 2 2 2 2 2 25 5 6" xfId="11305" xr:uid="{00000000-0005-0000-0000-0000202C0000}"/>
    <cellStyle name="Normal 2 2 2 2 2 2 25 5 7" xfId="11306" xr:uid="{00000000-0005-0000-0000-0000212C0000}"/>
    <cellStyle name="Normal 2 2 2 2 2 2 25 5 8" xfId="11307" xr:uid="{00000000-0005-0000-0000-0000222C0000}"/>
    <cellStyle name="Normal 2 2 2 2 2 2 25 5 9" xfId="11308" xr:uid="{00000000-0005-0000-0000-0000232C0000}"/>
    <cellStyle name="Normal 2 2 2 2 2 2 25 6" xfId="11309" xr:uid="{00000000-0005-0000-0000-0000242C0000}"/>
    <cellStyle name="Normal 2 2 2 2 2 2 25 7" xfId="11310" xr:uid="{00000000-0005-0000-0000-0000252C0000}"/>
    <cellStyle name="Normal 2 2 2 2 2 2 25 8" xfId="11311" xr:uid="{00000000-0005-0000-0000-0000262C0000}"/>
    <cellStyle name="Normal 2 2 2 2 2 2 25 9" xfId="11312" xr:uid="{00000000-0005-0000-0000-0000272C0000}"/>
    <cellStyle name="Normal 2 2 2 2 2 2 26" xfId="11313" xr:uid="{00000000-0005-0000-0000-0000282C0000}"/>
    <cellStyle name="Normal 2 2 2 2 2 2 26 10" xfId="11314" xr:uid="{00000000-0005-0000-0000-0000292C0000}"/>
    <cellStyle name="Normal 2 2 2 2 2 2 26 11" xfId="11315" xr:uid="{00000000-0005-0000-0000-00002A2C0000}"/>
    <cellStyle name="Normal 2 2 2 2 2 2 26 12" xfId="11316" xr:uid="{00000000-0005-0000-0000-00002B2C0000}"/>
    <cellStyle name="Normal 2 2 2 2 2 2 26 13" xfId="11317" xr:uid="{00000000-0005-0000-0000-00002C2C0000}"/>
    <cellStyle name="Normal 2 2 2 2 2 2 26 14" xfId="11318" xr:uid="{00000000-0005-0000-0000-00002D2C0000}"/>
    <cellStyle name="Normal 2 2 2 2 2 2 26 2" xfId="11319" xr:uid="{00000000-0005-0000-0000-00002E2C0000}"/>
    <cellStyle name="Normal 2 2 2 2 2 2 26 2 10" xfId="11320" xr:uid="{00000000-0005-0000-0000-00002F2C0000}"/>
    <cellStyle name="Normal 2 2 2 2 2 2 26 2 2" xfId="11321" xr:uid="{00000000-0005-0000-0000-0000302C0000}"/>
    <cellStyle name="Normal 2 2 2 2 2 2 26 2 3" xfId="11322" xr:uid="{00000000-0005-0000-0000-0000312C0000}"/>
    <cellStyle name="Normal 2 2 2 2 2 2 26 2 4" xfId="11323" xr:uid="{00000000-0005-0000-0000-0000322C0000}"/>
    <cellStyle name="Normal 2 2 2 2 2 2 26 2 5" xfId="11324" xr:uid="{00000000-0005-0000-0000-0000332C0000}"/>
    <cellStyle name="Normal 2 2 2 2 2 2 26 2 6" xfId="11325" xr:uid="{00000000-0005-0000-0000-0000342C0000}"/>
    <cellStyle name="Normal 2 2 2 2 2 2 26 2 7" xfId="11326" xr:uid="{00000000-0005-0000-0000-0000352C0000}"/>
    <cellStyle name="Normal 2 2 2 2 2 2 26 2 8" xfId="11327" xr:uid="{00000000-0005-0000-0000-0000362C0000}"/>
    <cellStyle name="Normal 2 2 2 2 2 2 26 2 9" xfId="11328" xr:uid="{00000000-0005-0000-0000-0000372C0000}"/>
    <cellStyle name="Normal 2 2 2 2 2 2 26 3" xfId="11329" xr:uid="{00000000-0005-0000-0000-0000382C0000}"/>
    <cellStyle name="Normal 2 2 2 2 2 2 26 3 10" xfId="11330" xr:uid="{00000000-0005-0000-0000-0000392C0000}"/>
    <cellStyle name="Normal 2 2 2 2 2 2 26 3 2" xfId="11331" xr:uid="{00000000-0005-0000-0000-00003A2C0000}"/>
    <cellStyle name="Normal 2 2 2 2 2 2 26 3 3" xfId="11332" xr:uid="{00000000-0005-0000-0000-00003B2C0000}"/>
    <cellStyle name="Normal 2 2 2 2 2 2 26 3 4" xfId="11333" xr:uid="{00000000-0005-0000-0000-00003C2C0000}"/>
    <cellStyle name="Normal 2 2 2 2 2 2 26 3 5" xfId="11334" xr:uid="{00000000-0005-0000-0000-00003D2C0000}"/>
    <cellStyle name="Normal 2 2 2 2 2 2 26 3 6" xfId="11335" xr:uid="{00000000-0005-0000-0000-00003E2C0000}"/>
    <cellStyle name="Normal 2 2 2 2 2 2 26 3 7" xfId="11336" xr:uid="{00000000-0005-0000-0000-00003F2C0000}"/>
    <cellStyle name="Normal 2 2 2 2 2 2 26 3 8" xfId="11337" xr:uid="{00000000-0005-0000-0000-0000402C0000}"/>
    <cellStyle name="Normal 2 2 2 2 2 2 26 3 9" xfId="11338" xr:uid="{00000000-0005-0000-0000-0000412C0000}"/>
    <cellStyle name="Normal 2 2 2 2 2 2 26 4" xfId="11339" xr:uid="{00000000-0005-0000-0000-0000422C0000}"/>
    <cellStyle name="Normal 2 2 2 2 2 2 26 4 10" xfId="11340" xr:uid="{00000000-0005-0000-0000-0000432C0000}"/>
    <cellStyle name="Normal 2 2 2 2 2 2 26 4 2" xfId="11341" xr:uid="{00000000-0005-0000-0000-0000442C0000}"/>
    <cellStyle name="Normal 2 2 2 2 2 2 26 4 3" xfId="11342" xr:uid="{00000000-0005-0000-0000-0000452C0000}"/>
    <cellStyle name="Normal 2 2 2 2 2 2 26 4 4" xfId="11343" xr:uid="{00000000-0005-0000-0000-0000462C0000}"/>
    <cellStyle name="Normal 2 2 2 2 2 2 26 4 5" xfId="11344" xr:uid="{00000000-0005-0000-0000-0000472C0000}"/>
    <cellStyle name="Normal 2 2 2 2 2 2 26 4 6" xfId="11345" xr:uid="{00000000-0005-0000-0000-0000482C0000}"/>
    <cellStyle name="Normal 2 2 2 2 2 2 26 4 7" xfId="11346" xr:uid="{00000000-0005-0000-0000-0000492C0000}"/>
    <cellStyle name="Normal 2 2 2 2 2 2 26 4 8" xfId="11347" xr:uid="{00000000-0005-0000-0000-00004A2C0000}"/>
    <cellStyle name="Normal 2 2 2 2 2 2 26 4 9" xfId="11348" xr:uid="{00000000-0005-0000-0000-00004B2C0000}"/>
    <cellStyle name="Normal 2 2 2 2 2 2 26 5" xfId="11349" xr:uid="{00000000-0005-0000-0000-00004C2C0000}"/>
    <cellStyle name="Normal 2 2 2 2 2 2 26 5 10" xfId="11350" xr:uid="{00000000-0005-0000-0000-00004D2C0000}"/>
    <cellStyle name="Normal 2 2 2 2 2 2 26 5 2" xfId="11351" xr:uid="{00000000-0005-0000-0000-00004E2C0000}"/>
    <cellStyle name="Normal 2 2 2 2 2 2 26 5 3" xfId="11352" xr:uid="{00000000-0005-0000-0000-00004F2C0000}"/>
    <cellStyle name="Normal 2 2 2 2 2 2 26 5 4" xfId="11353" xr:uid="{00000000-0005-0000-0000-0000502C0000}"/>
    <cellStyle name="Normal 2 2 2 2 2 2 26 5 5" xfId="11354" xr:uid="{00000000-0005-0000-0000-0000512C0000}"/>
    <cellStyle name="Normal 2 2 2 2 2 2 26 5 6" xfId="11355" xr:uid="{00000000-0005-0000-0000-0000522C0000}"/>
    <cellStyle name="Normal 2 2 2 2 2 2 26 5 7" xfId="11356" xr:uid="{00000000-0005-0000-0000-0000532C0000}"/>
    <cellStyle name="Normal 2 2 2 2 2 2 26 5 8" xfId="11357" xr:uid="{00000000-0005-0000-0000-0000542C0000}"/>
    <cellStyle name="Normal 2 2 2 2 2 2 26 5 9" xfId="11358" xr:uid="{00000000-0005-0000-0000-0000552C0000}"/>
    <cellStyle name="Normal 2 2 2 2 2 2 26 6" xfId="11359" xr:uid="{00000000-0005-0000-0000-0000562C0000}"/>
    <cellStyle name="Normal 2 2 2 2 2 2 26 7" xfId="11360" xr:uid="{00000000-0005-0000-0000-0000572C0000}"/>
    <cellStyle name="Normal 2 2 2 2 2 2 26 8" xfId="11361" xr:uid="{00000000-0005-0000-0000-0000582C0000}"/>
    <cellStyle name="Normal 2 2 2 2 2 2 26 9" xfId="11362" xr:uid="{00000000-0005-0000-0000-0000592C0000}"/>
    <cellStyle name="Normal 2 2 2 2 2 2 27" xfId="11363" xr:uid="{00000000-0005-0000-0000-00005A2C0000}"/>
    <cellStyle name="Normal 2 2 2 2 2 2 27 10" xfId="11364" xr:uid="{00000000-0005-0000-0000-00005B2C0000}"/>
    <cellStyle name="Normal 2 2 2 2 2 2 27 11" xfId="11365" xr:uid="{00000000-0005-0000-0000-00005C2C0000}"/>
    <cellStyle name="Normal 2 2 2 2 2 2 27 12" xfId="11366" xr:uid="{00000000-0005-0000-0000-00005D2C0000}"/>
    <cellStyle name="Normal 2 2 2 2 2 2 27 13" xfId="11367" xr:uid="{00000000-0005-0000-0000-00005E2C0000}"/>
    <cellStyle name="Normal 2 2 2 2 2 2 27 14" xfId="11368" xr:uid="{00000000-0005-0000-0000-00005F2C0000}"/>
    <cellStyle name="Normal 2 2 2 2 2 2 27 2" xfId="11369" xr:uid="{00000000-0005-0000-0000-0000602C0000}"/>
    <cellStyle name="Normal 2 2 2 2 2 2 27 2 10" xfId="11370" xr:uid="{00000000-0005-0000-0000-0000612C0000}"/>
    <cellStyle name="Normal 2 2 2 2 2 2 27 2 2" xfId="11371" xr:uid="{00000000-0005-0000-0000-0000622C0000}"/>
    <cellStyle name="Normal 2 2 2 2 2 2 27 2 3" xfId="11372" xr:uid="{00000000-0005-0000-0000-0000632C0000}"/>
    <cellStyle name="Normal 2 2 2 2 2 2 27 2 4" xfId="11373" xr:uid="{00000000-0005-0000-0000-0000642C0000}"/>
    <cellStyle name="Normal 2 2 2 2 2 2 27 2 5" xfId="11374" xr:uid="{00000000-0005-0000-0000-0000652C0000}"/>
    <cellStyle name="Normal 2 2 2 2 2 2 27 2 6" xfId="11375" xr:uid="{00000000-0005-0000-0000-0000662C0000}"/>
    <cellStyle name="Normal 2 2 2 2 2 2 27 2 7" xfId="11376" xr:uid="{00000000-0005-0000-0000-0000672C0000}"/>
    <cellStyle name="Normal 2 2 2 2 2 2 27 2 8" xfId="11377" xr:uid="{00000000-0005-0000-0000-0000682C0000}"/>
    <cellStyle name="Normal 2 2 2 2 2 2 27 2 9" xfId="11378" xr:uid="{00000000-0005-0000-0000-0000692C0000}"/>
    <cellStyle name="Normal 2 2 2 2 2 2 27 3" xfId="11379" xr:uid="{00000000-0005-0000-0000-00006A2C0000}"/>
    <cellStyle name="Normal 2 2 2 2 2 2 27 3 10" xfId="11380" xr:uid="{00000000-0005-0000-0000-00006B2C0000}"/>
    <cellStyle name="Normal 2 2 2 2 2 2 27 3 2" xfId="11381" xr:uid="{00000000-0005-0000-0000-00006C2C0000}"/>
    <cellStyle name="Normal 2 2 2 2 2 2 27 3 3" xfId="11382" xr:uid="{00000000-0005-0000-0000-00006D2C0000}"/>
    <cellStyle name="Normal 2 2 2 2 2 2 27 3 4" xfId="11383" xr:uid="{00000000-0005-0000-0000-00006E2C0000}"/>
    <cellStyle name="Normal 2 2 2 2 2 2 27 3 5" xfId="11384" xr:uid="{00000000-0005-0000-0000-00006F2C0000}"/>
    <cellStyle name="Normal 2 2 2 2 2 2 27 3 6" xfId="11385" xr:uid="{00000000-0005-0000-0000-0000702C0000}"/>
    <cellStyle name="Normal 2 2 2 2 2 2 27 3 7" xfId="11386" xr:uid="{00000000-0005-0000-0000-0000712C0000}"/>
    <cellStyle name="Normal 2 2 2 2 2 2 27 3 8" xfId="11387" xr:uid="{00000000-0005-0000-0000-0000722C0000}"/>
    <cellStyle name="Normal 2 2 2 2 2 2 27 3 9" xfId="11388" xr:uid="{00000000-0005-0000-0000-0000732C0000}"/>
    <cellStyle name="Normal 2 2 2 2 2 2 27 4" xfId="11389" xr:uid="{00000000-0005-0000-0000-0000742C0000}"/>
    <cellStyle name="Normal 2 2 2 2 2 2 27 4 10" xfId="11390" xr:uid="{00000000-0005-0000-0000-0000752C0000}"/>
    <cellStyle name="Normal 2 2 2 2 2 2 27 4 2" xfId="11391" xr:uid="{00000000-0005-0000-0000-0000762C0000}"/>
    <cellStyle name="Normal 2 2 2 2 2 2 27 4 3" xfId="11392" xr:uid="{00000000-0005-0000-0000-0000772C0000}"/>
    <cellStyle name="Normal 2 2 2 2 2 2 27 4 4" xfId="11393" xr:uid="{00000000-0005-0000-0000-0000782C0000}"/>
    <cellStyle name="Normal 2 2 2 2 2 2 27 4 5" xfId="11394" xr:uid="{00000000-0005-0000-0000-0000792C0000}"/>
    <cellStyle name="Normal 2 2 2 2 2 2 27 4 6" xfId="11395" xr:uid="{00000000-0005-0000-0000-00007A2C0000}"/>
    <cellStyle name="Normal 2 2 2 2 2 2 27 4 7" xfId="11396" xr:uid="{00000000-0005-0000-0000-00007B2C0000}"/>
    <cellStyle name="Normal 2 2 2 2 2 2 27 4 8" xfId="11397" xr:uid="{00000000-0005-0000-0000-00007C2C0000}"/>
    <cellStyle name="Normal 2 2 2 2 2 2 27 4 9" xfId="11398" xr:uid="{00000000-0005-0000-0000-00007D2C0000}"/>
    <cellStyle name="Normal 2 2 2 2 2 2 27 5" xfId="11399" xr:uid="{00000000-0005-0000-0000-00007E2C0000}"/>
    <cellStyle name="Normal 2 2 2 2 2 2 27 5 10" xfId="11400" xr:uid="{00000000-0005-0000-0000-00007F2C0000}"/>
    <cellStyle name="Normal 2 2 2 2 2 2 27 5 2" xfId="11401" xr:uid="{00000000-0005-0000-0000-0000802C0000}"/>
    <cellStyle name="Normal 2 2 2 2 2 2 27 5 3" xfId="11402" xr:uid="{00000000-0005-0000-0000-0000812C0000}"/>
    <cellStyle name="Normal 2 2 2 2 2 2 27 5 4" xfId="11403" xr:uid="{00000000-0005-0000-0000-0000822C0000}"/>
    <cellStyle name="Normal 2 2 2 2 2 2 27 5 5" xfId="11404" xr:uid="{00000000-0005-0000-0000-0000832C0000}"/>
    <cellStyle name="Normal 2 2 2 2 2 2 27 5 6" xfId="11405" xr:uid="{00000000-0005-0000-0000-0000842C0000}"/>
    <cellStyle name="Normal 2 2 2 2 2 2 27 5 7" xfId="11406" xr:uid="{00000000-0005-0000-0000-0000852C0000}"/>
    <cellStyle name="Normal 2 2 2 2 2 2 27 5 8" xfId="11407" xr:uid="{00000000-0005-0000-0000-0000862C0000}"/>
    <cellStyle name="Normal 2 2 2 2 2 2 27 5 9" xfId="11408" xr:uid="{00000000-0005-0000-0000-0000872C0000}"/>
    <cellStyle name="Normal 2 2 2 2 2 2 27 6" xfId="11409" xr:uid="{00000000-0005-0000-0000-0000882C0000}"/>
    <cellStyle name="Normal 2 2 2 2 2 2 27 7" xfId="11410" xr:uid="{00000000-0005-0000-0000-0000892C0000}"/>
    <cellStyle name="Normal 2 2 2 2 2 2 27 8" xfId="11411" xr:uid="{00000000-0005-0000-0000-00008A2C0000}"/>
    <cellStyle name="Normal 2 2 2 2 2 2 27 9" xfId="11412" xr:uid="{00000000-0005-0000-0000-00008B2C0000}"/>
    <cellStyle name="Normal 2 2 2 2 2 2 28" xfId="11413" xr:uid="{00000000-0005-0000-0000-00008C2C0000}"/>
    <cellStyle name="Normal 2 2 2 2 2 2 28 10" xfId="11414" xr:uid="{00000000-0005-0000-0000-00008D2C0000}"/>
    <cellStyle name="Normal 2 2 2 2 2 2 28 11" xfId="11415" xr:uid="{00000000-0005-0000-0000-00008E2C0000}"/>
    <cellStyle name="Normal 2 2 2 2 2 2 28 12" xfId="11416" xr:uid="{00000000-0005-0000-0000-00008F2C0000}"/>
    <cellStyle name="Normal 2 2 2 2 2 2 28 13" xfId="11417" xr:uid="{00000000-0005-0000-0000-0000902C0000}"/>
    <cellStyle name="Normal 2 2 2 2 2 2 28 14" xfId="11418" xr:uid="{00000000-0005-0000-0000-0000912C0000}"/>
    <cellStyle name="Normal 2 2 2 2 2 2 28 2" xfId="11419" xr:uid="{00000000-0005-0000-0000-0000922C0000}"/>
    <cellStyle name="Normal 2 2 2 2 2 2 28 2 10" xfId="11420" xr:uid="{00000000-0005-0000-0000-0000932C0000}"/>
    <cellStyle name="Normal 2 2 2 2 2 2 28 2 2" xfId="11421" xr:uid="{00000000-0005-0000-0000-0000942C0000}"/>
    <cellStyle name="Normal 2 2 2 2 2 2 28 2 3" xfId="11422" xr:uid="{00000000-0005-0000-0000-0000952C0000}"/>
    <cellStyle name="Normal 2 2 2 2 2 2 28 2 4" xfId="11423" xr:uid="{00000000-0005-0000-0000-0000962C0000}"/>
    <cellStyle name="Normal 2 2 2 2 2 2 28 2 5" xfId="11424" xr:uid="{00000000-0005-0000-0000-0000972C0000}"/>
    <cellStyle name="Normal 2 2 2 2 2 2 28 2 6" xfId="11425" xr:uid="{00000000-0005-0000-0000-0000982C0000}"/>
    <cellStyle name="Normal 2 2 2 2 2 2 28 2 7" xfId="11426" xr:uid="{00000000-0005-0000-0000-0000992C0000}"/>
    <cellStyle name="Normal 2 2 2 2 2 2 28 2 8" xfId="11427" xr:uid="{00000000-0005-0000-0000-00009A2C0000}"/>
    <cellStyle name="Normal 2 2 2 2 2 2 28 2 9" xfId="11428" xr:uid="{00000000-0005-0000-0000-00009B2C0000}"/>
    <cellStyle name="Normal 2 2 2 2 2 2 28 3" xfId="11429" xr:uid="{00000000-0005-0000-0000-00009C2C0000}"/>
    <cellStyle name="Normal 2 2 2 2 2 2 28 3 10" xfId="11430" xr:uid="{00000000-0005-0000-0000-00009D2C0000}"/>
    <cellStyle name="Normal 2 2 2 2 2 2 28 3 2" xfId="11431" xr:uid="{00000000-0005-0000-0000-00009E2C0000}"/>
    <cellStyle name="Normal 2 2 2 2 2 2 28 3 3" xfId="11432" xr:uid="{00000000-0005-0000-0000-00009F2C0000}"/>
    <cellStyle name="Normal 2 2 2 2 2 2 28 3 4" xfId="11433" xr:uid="{00000000-0005-0000-0000-0000A02C0000}"/>
    <cellStyle name="Normal 2 2 2 2 2 2 28 3 5" xfId="11434" xr:uid="{00000000-0005-0000-0000-0000A12C0000}"/>
    <cellStyle name="Normal 2 2 2 2 2 2 28 3 6" xfId="11435" xr:uid="{00000000-0005-0000-0000-0000A22C0000}"/>
    <cellStyle name="Normal 2 2 2 2 2 2 28 3 7" xfId="11436" xr:uid="{00000000-0005-0000-0000-0000A32C0000}"/>
    <cellStyle name="Normal 2 2 2 2 2 2 28 3 8" xfId="11437" xr:uid="{00000000-0005-0000-0000-0000A42C0000}"/>
    <cellStyle name="Normal 2 2 2 2 2 2 28 3 9" xfId="11438" xr:uid="{00000000-0005-0000-0000-0000A52C0000}"/>
    <cellStyle name="Normal 2 2 2 2 2 2 28 4" xfId="11439" xr:uid="{00000000-0005-0000-0000-0000A62C0000}"/>
    <cellStyle name="Normal 2 2 2 2 2 2 28 4 10" xfId="11440" xr:uid="{00000000-0005-0000-0000-0000A72C0000}"/>
    <cellStyle name="Normal 2 2 2 2 2 2 28 4 2" xfId="11441" xr:uid="{00000000-0005-0000-0000-0000A82C0000}"/>
    <cellStyle name="Normal 2 2 2 2 2 2 28 4 3" xfId="11442" xr:uid="{00000000-0005-0000-0000-0000A92C0000}"/>
    <cellStyle name="Normal 2 2 2 2 2 2 28 4 4" xfId="11443" xr:uid="{00000000-0005-0000-0000-0000AA2C0000}"/>
    <cellStyle name="Normal 2 2 2 2 2 2 28 4 5" xfId="11444" xr:uid="{00000000-0005-0000-0000-0000AB2C0000}"/>
    <cellStyle name="Normal 2 2 2 2 2 2 28 4 6" xfId="11445" xr:uid="{00000000-0005-0000-0000-0000AC2C0000}"/>
    <cellStyle name="Normal 2 2 2 2 2 2 28 4 7" xfId="11446" xr:uid="{00000000-0005-0000-0000-0000AD2C0000}"/>
    <cellStyle name="Normal 2 2 2 2 2 2 28 4 8" xfId="11447" xr:uid="{00000000-0005-0000-0000-0000AE2C0000}"/>
    <cellStyle name="Normal 2 2 2 2 2 2 28 4 9" xfId="11448" xr:uid="{00000000-0005-0000-0000-0000AF2C0000}"/>
    <cellStyle name="Normal 2 2 2 2 2 2 28 5" xfId="11449" xr:uid="{00000000-0005-0000-0000-0000B02C0000}"/>
    <cellStyle name="Normal 2 2 2 2 2 2 28 5 10" xfId="11450" xr:uid="{00000000-0005-0000-0000-0000B12C0000}"/>
    <cellStyle name="Normal 2 2 2 2 2 2 28 5 2" xfId="11451" xr:uid="{00000000-0005-0000-0000-0000B22C0000}"/>
    <cellStyle name="Normal 2 2 2 2 2 2 28 5 3" xfId="11452" xr:uid="{00000000-0005-0000-0000-0000B32C0000}"/>
    <cellStyle name="Normal 2 2 2 2 2 2 28 5 4" xfId="11453" xr:uid="{00000000-0005-0000-0000-0000B42C0000}"/>
    <cellStyle name="Normal 2 2 2 2 2 2 28 5 5" xfId="11454" xr:uid="{00000000-0005-0000-0000-0000B52C0000}"/>
    <cellStyle name="Normal 2 2 2 2 2 2 28 5 6" xfId="11455" xr:uid="{00000000-0005-0000-0000-0000B62C0000}"/>
    <cellStyle name="Normal 2 2 2 2 2 2 28 5 7" xfId="11456" xr:uid="{00000000-0005-0000-0000-0000B72C0000}"/>
    <cellStyle name="Normal 2 2 2 2 2 2 28 5 8" xfId="11457" xr:uid="{00000000-0005-0000-0000-0000B82C0000}"/>
    <cellStyle name="Normal 2 2 2 2 2 2 28 5 9" xfId="11458" xr:uid="{00000000-0005-0000-0000-0000B92C0000}"/>
    <cellStyle name="Normal 2 2 2 2 2 2 28 6" xfId="11459" xr:uid="{00000000-0005-0000-0000-0000BA2C0000}"/>
    <cellStyle name="Normal 2 2 2 2 2 2 28 7" xfId="11460" xr:uid="{00000000-0005-0000-0000-0000BB2C0000}"/>
    <cellStyle name="Normal 2 2 2 2 2 2 28 8" xfId="11461" xr:uid="{00000000-0005-0000-0000-0000BC2C0000}"/>
    <cellStyle name="Normal 2 2 2 2 2 2 28 9" xfId="11462" xr:uid="{00000000-0005-0000-0000-0000BD2C0000}"/>
    <cellStyle name="Normal 2 2 2 2 2 2 29" xfId="11463" xr:uid="{00000000-0005-0000-0000-0000BE2C0000}"/>
    <cellStyle name="Normal 2 2 2 2 2 2 29 10" xfId="11464" xr:uid="{00000000-0005-0000-0000-0000BF2C0000}"/>
    <cellStyle name="Normal 2 2 2 2 2 2 29 11" xfId="11465" xr:uid="{00000000-0005-0000-0000-0000C02C0000}"/>
    <cellStyle name="Normal 2 2 2 2 2 2 29 12" xfId="11466" xr:uid="{00000000-0005-0000-0000-0000C12C0000}"/>
    <cellStyle name="Normal 2 2 2 2 2 2 29 13" xfId="11467" xr:uid="{00000000-0005-0000-0000-0000C22C0000}"/>
    <cellStyle name="Normal 2 2 2 2 2 2 29 14" xfId="11468" xr:uid="{00000000-0005-0000-0000-0000C32C0000}"/>
    <cellStyle name="Normal 2 2 2 2 2 2 29 2" xfId="11469" xr:uid="{00000000-0005-0000-0000-0000C42C0000}"/>
    <cellStyle name="Normal 2 2 2 2 2 2 29 2 10" xfId="11470" xr:uid="{00000000-0005-0000-0000-0000C52C0000}"/>
    <cellStyle name="Normal 2 2 2 2 2 2 29 2 2" xfId="11471" xr:uid="{00000000-0005-0000-0000-0000C62C0000}"/>
    <cellStyle name="Normal 2 2 2 2 2 2 29 2 3" xfId="11472" xr:uid="{00000000-0005-0000-0000-0000C72C0000}"/>
    <cellStyle name="Normal 2 2 2 2 2 2 29 2 4" xfId="11473" xr:uid="{00000000-0005-0000-0000-0000C82C0000}"/>
    <cellStyle name="Normal 2 2 2 2 2 2 29 2 5" xfId="11474" xr:uid="{00000000-0005-0000-0000-0000C92C0000}"/>
    <cellStyle name="Normal 2 2 2 2 2 2 29 2 6" xfId="11475" xr:uid="{00000000-0005-0000-0000-0000CA2C0000}"/>
    <cellStyle name="Normal 2 2 2 2 2 2 29 2 7" xfId="11476" xr:uid="{00000000-0005-0000-0000-0000CB2C0000}"/>
    <cellStyle name="Normal 2 2 2 2 2 2 29 2 8" xfId="11477" xr:uid="{00000000-0005-0000-0000-0000CC2C0000}"/>
    <cellStyle name="Normal 2 2 2 2 2 2 29 2 9" xfId="11478" xr:uid="{00000000-0005-0000-0000-0000CD2C0000}"/>
    <cellStyle name="Normal 2 2 2 2 2 2 29 3" xfId="11479" xr:uid="{00000000-0005-0000-0000-0000CE2C0000}"/>
    <cellStyle name="Normal 2 2 2 2 2 2 29 3 10" xfId="11480" xr:uid="{00000000-0005-0000-0000-0000CF2C0000}"/>
    <cellStyle name="Normal 2 2 2 2 2 2 29 3 2" xfId="11481" xr:uid="{00000000-0005-0000-0000-0000D02C0000}"/>
    <cellStyle name="Normal 2 2 2 2 2 2 29 3 3" xfId="11482" xr:uid="{00000000-0005-0000-0000-0000D12C0000}"/>
    <cellStyle name="Normal 2 2 2 2 2 2 29 3 4" xfId="11483" xr:uid="{00000000-0005-0000-0000-0000D22C0000}"/>
    <cellStyle name="Normal 2 2 2 2 2 2 29 3 5" xfId="11484" xr:uid="{00000000-0005-0000-0000-0000D32C0000}"/>
    <cellStyle name="Normal 2 2 2 2 2 2 29 3 6" xfId="11485" xr:uid="{00000000-0005-0000-0000-0000D42C0000}"/>
    <cellStyle name="Normal 2 2 2 2 2 2 29 3 7" xfId="11486" xr:uid="{00000000-0005-0000-0000-0000D52C0000}"/>
    <cellStyle name="Normal 2 2 2 2 2 2 29 3 8" xfId="11487" xr:uid="{00000000-0005-0000-0000-0000D62C0000}"/>
    <cellStyle name="Normal 2 2 2 2 2 2 29 3 9" xfId="11488" xr:uid="{00000000-0005-0000-0000-0000D72C0000}"/>
    <cellStyle name="Normal 2 2 2 2 2 2 29 4" xfId="11489" xr:uid="{00000000-0005-0000-0000-0000D82C0000}"/>
    <cellStyle name="Normal 2 2 2 2 2 2 29 4 10" xfId="11490" xr:uid="{00000000-0005-0000-0000-0000D92C0000}"/>
    <cellStyle name="Normal 2 2 2 2 2 2 29 4 2" xfId="11491" xr:uid="{00000000-0005-0000-0000-0000DA2C0000}"/>
    <cellStyle name="Normal 2 2 2 2 2 2 29 4 3" xfId="11492" xr:uid="{00000000-0005-0000-0000-0000DB2C0000}"/>
    <cellStyle name="Normal 2 2 2 2 2 2 29 4 4" xfId="11493" xr:uid="{00000000-0005-0000-0000-0000DC2C0000}"/>
    <cellStyle name="Normal 2 2 2 2 2 2 29 4 5" xfId="11494" xr:uid="{00000000-0005-0000-0000-0000DD2C0000}"/>
    <cellStyle name="Normal 2 2 2 2 2 2 29 4 6" xfId="11495" xr:uid="{00000000-0005-0000-0000-0000DE2C0000}"/>
    <cellStyle name="Normal 2 2 2 2 2 2 29 4 7" xfId="11496" xr:uid="{00000000-0005-0000-0000-0000DF2C0000}"/>
    <cellStyle name="Normal 2 2 2 2 2 2 29 4 8" xfId="11497" xr:uid="{00000000-0005-0000-0000-0000E02C0000}"/>
    <cellStyle name="Normal 2 2 2 2 2 2 29 4 9" xfId="11498" xr:uid="{00000000-0005-0000-0000-0000E12C0000}"/>
    <cellStyle name="Normal 2 2 2 2 2 2 29 5" xfId="11499" xr:uid="{00000000-0005-0000-0000-0000E22C0000}"/>
    <cellStyle name="Normal 2 2 2 2 2 2 29 5 10" xfId="11500" xr:uid="{00000000-0005-0000-0000-0000E32C0000}"/>
    <cellStyle name="Normal 2 2 2 2 2 2 29 5 2" xfId="11501" xr:uid="{00000000-0005-0000-0000-0000E42C0000}"/>
    <cellStyle name="Normal 2 2 2 2 2 2 29 5 3" xfId="11502" xr:uid="{00000000-0005-0000-0000-0000E52C0000}"/>
    <cellStyle name="Normal 2 2 2 2 2 2 29 5 4" xfId="11503" xr:uid="{00000000-0005-0000-0000-0000E62C0000}"/>
    <cellStyle name="Normal 2 2 2 2 2 2 29 5 5" xfId="11504" xr:uid="{00000000-0005-0000-0000-0000E72C0000}"/>
    <cellStyle name="Normal 2 2 2 2 2 2 29 5 6" xfId="11505" xr:uid="{00000000-0005-0000-0000-0000E82C0000}"/>
    <cellStyle name="Normal 2 2 2 2 2 2 29 5 7" xfId="11506" xr:uid="{00000000-0005-0000-0000-0000E92C0000}"/>
    <cellStyle name="Normal 2 2 2 2 2 2 29 5 8" xfId="11507" xr:uid="{00000000-0005-0000-0000-0000EA2C0000}"/>
    <cellStyle name="Normal 2 2 2 2 2 2 29 5 9" xfId="11508" xr:uid="{00000000-0005-0000-0000-0000EB2C0000}"/>
    <cellStyle name="Normal 2 2 2 2 2 2 29 6" xfId="11509" xr:uid="{00000000-0005-0000-0000-0000EC2C0000}"/>
    <cellStyle name="Normal 2 2 2 2 2 2 29 7" xfId="11510" xr:uid="{00000000-0005-0000-0000-0000ED2C0000}"/>
    <cellStyle name="Normal 2 2 2 2 2 2 29 8" xfId="11511" xr:uid="{00000000-0005-0000-0000-0000EE2C0000}"/>
    <cellStyle name="Normal 2 2 2 2 2 2 29 9" xfId="11512" xr:uid="{00000000-0005-0000-0000-0000EF2C0000}"/>
    <cellStyle name="Normal 2 2 2 2 2 2 3" xfId="11513" xr:uid="{00000000-0005-0000-0000-0000F02C0000}"/>
    <cellStyle name="Normal 2 2 2 2 2 2 3 10" xfId="11514" xr:uid="{00000000-0005-0000-0000-0000F12C0000}"/>
    <cellStyle name="Normal 2 2 2 2 2 2 3 11" xfId="11515" xr:uid="{00000000-0005-0000-0000-0000F22C0000}"/>
    <cellStyle name="Normal 2 2 2 2 2 2 3 12" xfId="11516" xr:uid="{00000000-0005-0000-0000-0000F32C0000}"/>
    <cellStyle name="Normal 2 2 2 2 2 2 3 13" xfId="11517" xr:uid="{00000000-0005-0000-0000-0000F42C0000}"/>
    <cellStyle name="Normal 2 2 2 2 2 2 3 14" xfId="11518" xr:uid="{00000000-0005-0000-0000-0000F52C0000}"/>
    <cellStyle name="Normal 2 2 2 2 2 2 3 15" xfId="11519" xr:uid="{00000000-0005-0000-0000-0000F62C0000}"/>
    <cellStyle name="Normal 2 2 2 2 2 2 3 16" xfId="11520" xr:uid="{00000000-0005-0000-0000-0000F72C0000}"/>
    <cellStyle name="Normal 2 2 2 2 2 2 3 2" xfId="11521" xr:uid="{00000000-0005-0000-0000-0000F82C0000}"/>
    <cellStyle name="Normal 2 2 2 2 2 2 3 2 10" xfId="11522" xr:uid="{00000000-0005-0000-0000-0000F92C0000}"/>
    <cellStyle name="Normal 2 2 2 2 2 2 3 2 2" xfId="11523" xr:uid="{00000000-0005-0000-0000-0000FA2C0000}"/>
    <cellStyle name="Normal 2 2 2 2 2 2 3 2 3" xfId="11524" xr:uid="{00000000-0005-0000-0000-0000FB2C0000}"/>
    <cellStyle name="Normal 2 2 2 2 2 2 3 2 4" xfId="11525" xr:uid="{00000000-0005-0000-0000-0000FC2C0000}"/>
    <cellStyle name="Normal 2 2 2 2 2 2 3 2 5" xfId="11526" xr:uid="{00000000-0005-0000-0000-0000FD2C0000}"/>
    <cellStyle name="Normal 2 2 2 2 2 2 3 2 6" xfId="11527" xr:uid="{00000000-0005-0000-0000-0000FE2C0000}"/>
    <cellStyle name="Normal 2 2 2 2 2 2 3 2 7" xfId="11528" xr:uid="{00000000-0005-0000-0000-0000FF2C0000}"/>
    <cellStyle name="Normal 2 2 2 2 2 2 3 2 8" xfId="11529" xr:uid="{00000000-0005-0000-0000-0000002D0000}"/>
    <cellStyle name="Normal 2 2 2 2 2 2 3 2 9" xfId="11530" xr:uid="{00000000-0005-0000-0000-0000012D0000}"/>
    <cellStyle name="Normal 2 2 2 2 2 2 3 3" xfId="11531" xr:uid="{00000000-0005-0000-0000-0000022D0000}"/>
    <cellStyle name="Normal 2 2 2 2 2 2 3 3 10" xfId="11532" xr:uid="{00000000-0005-0000-0000-0000032D0000}"/>
    <cellStyle name="Normal 2 2 2 2 2 2 3 3 2" xfId="11533" xr:uid="{00000000-0005-0000-0000-0000042D0000}"/>
    <cellStyle name="Normal 2 2 2 2 2 2 3 3 3" xfId="11534" xr:uid="{00000000-0005-0000-0000-0000052D0000}"/>
    <cellStyle name="Normal 2 2 2 2 2 2 3 3 4" xfId="11535" xr:uid="{00000000-0005-0000-0000-0000062D0000}"/>
    <cellStyle name="Normal 2 2 2 2 2 2 3 3 5" xfId="11536" xr:uid="{00000000-0005-0000-0000-0000072D0000}"/>
    <cellStyle name="Normal 2 2 2 2 2 2 3 3 6" xfId="11537" xr:uid="{00000000-0005-0000-0000-0000082D0000}"/>
    <cellStyle name="Normal 2 2 2 2 2 2 3 3 7" xfId="11538" xr:uid="{00000000-0005-0000-0000-0000092D0000}"/>
    <cellStyle name="Normal 2 2 2 2 2 2 3 3 8" xfId="11539" xr:uid="{00000000-0005-0000-0000-00000A2D0000}"/>
    <cellStyle name="Normal 2 2 2 2 2 2 3 3 9" xfId="11540" xr:uid="{00000000-0005-0000-0000-00000B2D0000}"/>
    <cellStyle name="Normal 2 2 2 2 2 2 3 4" xfId="11541" xr:uid="{00000000-0005-0000-0000-00000C2D0000}"/>
    <cellStyle name="Normal 2 2 2 2 2 2 3 4 10" xfId="11542" xr:uid="{00000000-0005-0000-0000-00000D2D0000}"/>
    <cellStyle name="Normal 2 2 2 2 2 2 3 4 2" xfId="11543" xr:uid="{00000000-0005-0000-0000-00000E2D0000}"/>
    <cellStyle name="Normal 2 2 2 2 2 2 3 4 3" xfId="11544" xr:uid="{00000000-0005-0000-0000-00000F2D0000}"/>
    <cellStyle name="Normal 2 2 2 2 2 2 3 4 4" xfId="11545" xr:uid="{00000000-0005-0000-0000-0000102D0000}"/>
    <cellStyle name="Normal 2 2 2 2 2 2 3 4 5" xfId="11546" xr:uid="{00000000-0005-0000-0000-0000112D0000}"/>
    <cellStyle name="Normal 2 2 2 2 2 2 3 4 6" xfId="11547" xr:uid="{00000000-0005-0000-0000-0000122D0000}"/>
    <cellStyle name="Normal 2 2 2 2 2 2 3 4 7" xfId="11548" xr:uid="{00000000-0005-0000-0000-0000132D0000}"/>
    <cellStyle name="Normal 2 2 2 2 2 2 3 4 8" xfId="11549" xr:uid="{00000000-0005-0000-0000-0000142D0000}"/>
    <cellStyle name="Normal 2 2 2 2 2 2 3 4 9" xfId="11550" xr:uid="{00000000-0005-0000-0000-0000152D0000}"/>
    <cellStyle name="Normal 2 2 2 2 2 2 3 5" xfId="11551" xr:uid="{00000000-0005-0000-0000-0000162D0000}"/>
    <cellStyle name="Normal 2 2 2 2 2 2 3 5 10" xfId="11552" xr:uid="{00000000-0005-0000-0000-0000172D0000}"/>
    <cellStyle name="Normal 2 2 2 2 2 2 3 5 2" xfId="11553" xr:uid="{00000000-0005-0000-0000-0000182D0000}"/>
    <cellStyle name="Normal 2 2 2 2 2 2 3 5 3" xfId="11554" xr:uid="{00000000-0005-0000-0000-0000192D0000}"/>
    <cellStyle name="Normal 2 2 2 2 2 2 3 5 4" xfId="11555" xr:uid="{00000000-0005-0000-0000-00001A2D0000}"/>
    <cellStyle name="Normal 2 2 2 2 2 2 3 5 5" xfId="11556" xr:uid="{00000000-0005-0000-0000-00001B2D0000}"/>
    <cellStyle name="Normal 2 2 2 2 2 2 3 5 6" xfId="11557" xr:uid="{00000000-0005-0000-0000-00001C2D0000}"/>
    <cellStyle name="Normal 2 2 2 2 2 2 3 5 7" xfId="11558" xr:uid="{00000000-0005-0000-0000-00001D2D0000}"/>
    <cellStyle name="Normal 2 2 2 2 2 2 3 5 8" xfId="11559" xr:uid="{00000000-0005-0000-0000-00001E2D0000}"/>
    <cellStyle name="Normal 2 2 2 2 2 2 3 5 9" xfId="11560" xr:uid="{00000000-0005-0000-0000-00001F2D0000}"/>
    <cellStyle name="Normal 2 2 2 2 2 2 3 6" xfId="11561" xr:uid="{00000000-0005-0000-0000-0000202D0000}"/>
    <cellStyle name="Normal 2 2 2 2 2 2 3 7" xfId="11562" xr:uid="{00000000-0005-0000-0000-0000212D0000}"/>
    <cellStyle name="Normal 2 2 2 2 2 2 3 8" xfId="11563" xr:uid="{00000000-0005-0000-0000-0000222D0000}"/>
    <cellStyle name="Normal 2 2 2 2 2 2 3 9" xfId="11564" xr:uid="{00000000-0005-0000-0000-0000232D0000}"/>
    <cellStyle name="Normal 2 2 2 2 2 2 30" xfId="11565" xr:uid="{00000000-0005-0000-0000-0000242D0000}"/>
    <cellStyle name="Normal 2 2 2 2 2 2 30 10" xfId="11566" xr:uid="{00000000-0005-0000-0000-0000252D0000}"/>
    <cellStyle name="Normal 2 2 2 2 2 2 30 11" xfId="11567" xr:uid="{00000000-0005-0000-0000-0000262D0000}"/>
    <cellStyle name="Normal 2 2 2 2 2 2 30 12" xfId="11568" xr:uid="{00000000-0005-0000-0000-0000272D0000}"/>
    <cellStyle name="Normal 2 2 2 2 2 2 30 13" xfId="11569" xr:uid="{00000000-0005-0000-0000-0000282D0000}"/>
    <cellStyle name="Normal 2 2 2 2 2 2 30 14" xfId="11570" xr:uid="{00000000-0005-0000-0000-0000292D0000}"/>
    <cellStyle name="Normal 2 2 2 2 2 2 30 2" xfId="11571" xr:uid="{00000000-0005-0000-0000-00002A2D0000}"/>
    <cellStyle name="Normal 2 2 2 2 2 2 30 2 10" xfId="11572" xr:uid="{00000000-0005-0000-0000-00002B2D0000}"/>
    <cellStyle name="Normal 2 2 2 2 2 2 30 2 2" xfId="11573" xr:uid="{00000000-0005-0000-0000-00002C2D0000}"/>
    <cellStyle name="Normal 2 2 2 2 2 2 30 2 3" xfId="11574" xr:uid="{00000000-0005-0000-0000-00002D2D0000}"/>
    <cellStyle name="Normal 2 2 2 2 2 2 30 2 4" xfId="11575" xr:uid="{00000000-0005-0000-0000-00002E2D0000}"/>
    <cellStyle name="Normal 2 2 2 2 2 2 30 2 5" xfId="11576" xr:uid="{00000000-0005-0000-0000-00002F2D0000}"/>
    <cellStyle name="Normal 2 2 2 2 2 2 30 2 6" xfId="11577" xr:uid="{00000000-0005-0000-0000-0000302D0000}"/>
    <cellStyle name="Normal 2 2 2 2 2 2 30 2 7" xfId="11578" xr:uid="{00000000-0005-0000-0000-0000312D0000}"/>
    <cellStyle name="Normal 2 2 2 2 2 2 30 2 8" xfId="11579" xr:uid="{00000000-0005-0000-0000-0000322D0000}"/>
    <cellStyle name="Normal 2 2 2 2 2 2 30 2 9" xfId="11580" xr:uid="{00000000-0005-0000-0000-0000332D0000}"/>
    <cellStyle name="Normal 2 2 2 2 2 2 30 3" xfId="11581" xr:uid="{00000000-0005-0000-0000-0000342D0000}"/>
    <cellStyle name="Normal 2 2 2 2 2 2 30 3 10" xfId="11582" xr:uid="{00000000-0005-0000-0000-0000352D0000}"/>
    <cellStyle name="Normal 2 2 2 2 2 2 30 3 2" xfId="11583" xr:uid="{00000000-0005-0000-0000-0000362D0000}"/>
    <cellStyle name="Normal 2 2 2 2 2 2 30 3 3" xfId="11584" xr:uid="{00000000-0005-0000-0000-0000372D0000}"/>
    <cellStyle name="Normal 2 2 2 2 2 2 30 3 4" xfId="11585" xr:uid="{00000000-0005-0000-0000-0000382D0000}"/>
    <cellStyle name="Normal 2 2 2 2 2 2 30 3 5" xfId="11586" xr:uid="{00000000-0005-0000-0000-0000392D0000}"/>
    <cellStyle name="Normal 2 2 2 2 2 2 30 3 6" xfId="11587" xr:uid="{00000000-0005-0000-0000-00003A2D0000}"/>
    <cellStyle name="Normal 2 2 2 2 2 2 30 3 7" xfId="11588" xr:uid="{00000000-0005-0000-0000-00003B2D0000}"/>
    <cellStyle name="Normal 2 2 2 2 2 2 30 3 8" xfId="11589" xr:uid="{00000000-0005-0000-0000-00003C2D0000}"/>
    <cellStyle name="Normal 2 2 2 2 2 2 30 3 9" xfId="11590" xr:uid="{00000000-0005-0000-0000-00003D2D0000}"/>
    <cellStyle name="Normal 2 2 2 2 2 2 30 4" xfId="11591" xr:uid="{00000000-0005-0000-0000-00003E2D0000}"/>
    <cellStyle name="Normal 2 2 2 2 2 2 30 4 10" xfId="11592" xr:uid="{00000000-0005-0000-0000-00003F2D0000}"/>
    <cellStyle name="Normal 2 2 2 2 2 2 30 4 2" xfId="11593" xr:uid="{00000000-0005-0000-0000-0000402D0000}"/>
    <cellStyle name="Normal 2 2 2 2 2 2 30 4 3" xfId="11594" xr:uid="{00000000-0005-0000-0000-0000412D0000}"/>
    <cellStyle name="Normal 2 2 2 2 2 2 30 4 4" xfId="11595" xr:uid="{00000000-0005-0000-0000-0000422D0000}"/>
    <cellStyle name="Normal 2 2 2 2 2 2 30 4 5" xfId="11596" xr:uid="{00000000-0005-0000-0000-0000432D0000}"/>
    <cellStyle name="Normal 2 2 2 2 2 2 30 4 6" xfId="11597" xr:uid="{00000000-0005-0000-0000-0000442D0000}"/>
    <cellStyle name="Normal 2 2 2 2 2 2 30 4 7" xfId="11598" xr:uid="{00000000-0005-0000-0000-0000452D0000}"/>
    <cellStyle name="Normal 2 2 2 2 2 2 30 4 8" xfId="11599" xr:uid="{00000000-0005-0000-0000-0000462D0000}"/>
    <cellStyle name="Normal 2 2 2 2 2 2 30 4 9" xfId="11600" xr:uid="{00000000-0005-0000-0000-0000472D0000}"/>
    <cellStyle name="Normal 2 2 2 2 2 2 30 5" xfId="11601" xr:uid="{00000000-0005-0000-0000-0000482D0000}"/>
    <cellStyle name="Normal 2 2 2 2 2 2 30 5 10" xfId="11602" xr:uid="{00000000-0005-0000-0000-0000492D0000}"/>
    <cellStyle name="Normal 2 2 2 2 2 2 30 5 2" xfId="11603" xr:uid="{00000000-0005-0000-0000-00004A2D0000}"/>
    <cellStyle name="Normal 2 2 2 2 2 2 30 5 3" xfId="11604" xr:uid="{00000000-0005-0000-0000-00004B2D0000}"/>
    <cellStyle name="Normal 2 2 2 2 2 2 30 5 4" xfId="11605" xr:uid="{00000000-0005-0000-0000-00004C2D0000}"/>
    <cellStyle name="Normal 2 2 2 2 2 2 30 5 5" xfId="11606" xr:uid="{00000000-0005-0000-0000-00004D2D0000}"/>
    <cellStyle name="Normal 2 2 2 2 2 2 30 5 6" xfId="11607" xr:uid="{00000000-0005-0000-0000-00004E2D0000}"/>
    <cellStyle name="Normal 2 2 2 2 2 2 30 5 7" xfId="11608" xr:uid="{00000000-0005-0000-0000-00004F2D0000}"/>
    <cellStyle name="Normal 2 2 2 2 2 2 30 5 8" xfId="11609" xr:uid="{00000000-0005-0000-0000-0000502D0000}"/>
    <cellStyle name="Normal 2 2 2 2 2 2 30 5 9" xfId="11610" xr:uid="{00000000-0005-0000-0000-0000512D0000}"/>
    <cellStyle name="Normal 2 2 2 2 2 2 30 6" xfId="11611" xr:uid="{00000000-0005-0000-0000-0000522D0000}"/>
    <cellStyle name="Normal 2 2 2 2 2 2 30 7" xfId="11612" xr:uid="{00000000-0005-0000-0000-0000532D0000}"/>
    <cellStyle name="Normal 2 2 2 2 2 2 30 8" xfId="11613" xr:uid="{00000000-0005-0000-0000-0000542D0000}"/>
    <cellStyle name="Normal 2 2 2 2 2 2 30 9" xfId="11614" xr:uid="{00000000-0005-0000-0000-0000552D0000}"/>
    <cellStyle name="Normal 2 2 2 2 2 2 31" xfId="11615" xr:uid="{00000000-0005-0000-0000-0000562D0000}"/>
    <cellStyle name="Normal 2 2 2 2 2 2 31 10" xfId="11616" xr:uid="{00000000-0005-0000-0000-0000572D0000}"/>
    <cellStyle name="Normal 2 2 2 2 2 2 31 11" xfId="11617" xr:uid="{00000000-0005-0000-0000-0000582D0000}"/>
    <cellStyle name="Normal 2 2 2 2 2 2 31 12" xfId="11618" xr:uid="{00000000-0005-0000-0000-0000592D0000}"/>
    <cellStyle name="Normal 2 2 2 2 2 2 31 13" xfId="11619" xr:uid="{00000000-0005-0000-0000-00005A2D0000}"/>
    <cellStyle name="Normal 2 2 2 2 2 2 31 14" xfId="11620" xr:uid="{00000000-0005-0000-0000-00005B2D0000}"/>
    <cellStyle name="Normal 2 2 2 2 2 2 31 2" xfId="11621" xr:uid="{00000000-0005-0000-0000-00005C2D0000}"/>
    <cellStyle name="Normal 2 2 2 2 2 2 31 2 10" xfId="11622" xr:uid="{00000000-0005-0000-0000-00005D2D0000}"/>
    <cellStyle name="Normal 2 2 2 2 2 2 31 2 2" xfId="11623" xr:uid="{00000000-0005-0000-0000-00005E2D0000}"/>
    <cellStyle name="Normal 2 2 2 2 2 2 31 2 3" xfId="11624" xr:uid="{00000000-0005-0000-0000-00005F2D0000}"/>
    <cellStyle name="Normal 2 2 2 2 2 2 31 2 4" xfId="11625" xr:uid="{00000000-0005-0000-0000-0000602D0000}"/>
    <cellStyle name="Normal 2 2 2 2 2 2 31 2 5" xfId="11626" xr:uid="{00000000-0005-0000-0000-0000612D0000}"/>
    <cellStyle name="Normal 2 2 2 2 2 2 31 2 6" xfId="11627" xr:uid="{00000000-0005-0000-0000-0000622D0000}"/>
    <cellStyle name="Normal 2 2 2 2 2 2 31 2 7" xfId="11628" xr:uid="{00000000-0005-0000-0000-0000632D0000}"/>
    <cellStyle name="Normal 2 2 2 2 2 2 31 2 8" xfId="11629" xr:uid="{00000000-0005-0000-0000-0000642D0000}"/>
    <cellStyle name="Normal 2 2 2 2 2 2 31 2 9" xfId="11630" xr:uid="{00000000-0005-0000-0000-0000652D0000}"/>
    <cellStyle name="Normal 2 2 2 2 2 2 31 3" xfId="11631" xr:uid="{00000000-0005-0000-0000-0000662D0000}"/>
    <cellStyle name="Normal 2 2 2 2 2 2 31 3 10" xfId="11632" xr:uid="{00000000-0005-0000-0000-0000672D0000}"/>
    <cellStyle name="Normal 2 2 2 2 2 2 31 3 2" xfId="11633" xr:uid="{00000000-0005-0000-0000-0000682D0000}"/>
    <cellStyle name="Normal 2 2 2 2 2 2 31 3 3" xfId="11634" xr:uid="{00000000-0005-0000-0000-0000692D0000}"/>
    <cellStyle name="Normal 2 2 2 2 2 2 31 3 4" xfId="11635" xr:uid="{00000000-0005-0000-0000-00006A2D0000}"/>
    <cellStyle name="Normal 2 2 2 2 2 2 31 3 5" xfId="11636" xr:uid="{00000000-0005-0000-0000-00006B2D0000}"/>
    <cellStyle name="Normal 2 2 2 2 2 2 31 3 6" xfId="11637" xr:uid="{00000000-0005-0000-0000-00006C2D0000}"/>
    <cellStyle name="Normal 2 2 2 2 2 2 31 3 7" xfId="11638" xr:uid="{00000000-0005-0000-0000-00006D2D0000}"/>
    <cellStyle name="Normal 2 2 2 2 2 2 31 3 8" xfId="11639" xr:uid="{00000000-0005-0000-0000-00006E2D0000}"/>
    <cellStyle name="Normal 2 2 2 2 2 2 31 3 9" xfId="11640" xr:uid="{00000000-0005-0000-0000-00006F2D0000}"/>
    <cellStyle name="Normal 2 2 2 2 2 2 31 4" xfId="11641" xr:uid="{00000000-0005-0000-0000-0000702D0000}"/>
    <cellStyle name="Normal 2 2 2 2 2 2 31 4 10" xfId="11642" xr:uid="{00000000-0005-0000-0000-0000712D0000}"/>
    <cellStyle name="Normal 2 2 2 2 2 2 31 4 2" xfId="11643" xr:uid="{00000000-0005-0000-0000-0000722D0000}"/>
    <cellStyle name="Normal 2 2 2 2 2 2 31 4 3" xfId="11644" xr:uid="{00000000-0005-0000-0000-0000732D0000}"/>
    <cellStyle name="Normal 2 2 2 2 2 2 31 4 4" xfId="11645" xr:uid="{00000000-0005-0000-0000-0000742D0000}"/>
    <cellStyle name="Normal 2 2 2 2 2 2 31 4 5" xfId="11646" xr:uid="{00000000-0005-0000-0000-0000752D0000}"/>
    <cellStyle name="Normal 2 2 2 2 2 2 31 4 6" xfId="11647" xr:uid="{00000000-0005-0000-0000-0000762D0000}"/>
    <cellStyle name="Normal 2 2 2 2 2 2 31 4 7" xfId="11648" xr:uid="{00000000-0005-0000-0000-0000772D0000}"/>
    <cellStyle name="Normal 2 2 2 2 2 2 31 4 8" xfId="11649" xr:uid="{00000000-0005-0000-0000-0000782D0000}"/>
    <cellStyle name="Normal 2 2 2 2 2 2 31 4 9" xfId="11650" xr:uid="{00000000-0005-0000-0000-0000792D0000}"/>
    <cellStyle name="Normal 2 2 2 2 2 2 31 5" xfId="11651" xr:uid="{00000000-0005-0000-0000-00007A2D0000}"/>
    <cellStyle name="Normal 2 2 2 2 2 2 31 5 10" xfId="11652" xr:uid="{00000000-0005-0000-0000-00007B2D0000}"/>
    <cellStyle name="Normal 2 2 2 2 2 2 31 5 2" xfId="11653" xr:uid="{00000000-0005-0000-0000-00007C2D0000}"/>
    <cellStyle name="Normal 2 2 2 2 2 2 31 5 3" xfId="11654" xr:uid="{00000000-0005-0000-0000-00007D2D0000}"/>
    <cellStyle name="Normal 2 2 2 2 2 2 31 5 4" xfId="11655" xr:uid="{00000000-0005-0000-0000-00007E2D0000}"/>
    <cellStyle name="Normal 2 2 2 2 2 2 31 5 5" xfId="11656" xr:uid="{00000000-0005-0000-0000-00007F2D0000}"/>
    <cellStyle name="Normal 2 2 2 2 2 2 31 5 6" xfId="11657" xr:uid="{00000000-0005-0000-0000-0000802D0000}"/>
    <cellStyle name="Normal 2 2 2 2 2 2 31 5 7" xfId="11658" xr:uid="{00000000-0005-0000-0000-0000812D0000}"/>
    <cellStyle name="Normal 2 2 2 2 2 2 31 5 8" xfId="11659" xr:uid="{00000000-0005-0000-0000-0000822D0000}"/>
    <cellStyle name="Normal 2 2 2 2 2 2 31 5 9" xfId="11660" xr:uid="{00000000-0005-0000-0000-0000832D0000}"/>
    <cellStyle name="Normal 2 2 2 2 2 2 31 6" xfId="11661" xr:uid="{00000000-0005-0000-0000-0000842D0000}"/>
    <cellStyle name="Normal 2 2 2 2 2 2 31 7" xfId="11662" xr:uid="{00000000-0005-0000-0000-0000852D0000}"/>
    <cellStyle name="Normal 2 2 2 2 2 2 31 8" xfId="11663" xr:uid="{00000000-0005-0000-0000-0000862D0000}"/>
    <cellStyle name="Normal 2 2 2 2 2 2 31 9" xfId="11664" xr:uid="{00000000-0005-0000-0000-0000872D0000}"/>
    <cellStyle name="Normal 2 2 2 2 2 2 32" xfId="11665" xr:uid="{00000000-0005-0000-0000-0000882D0000}"/>
    <cellStyle name="Normal 2 2 2 2 2 2 32 10" xfId="11666" xr:uid="{00000000-0005-0000-0000-0000892D0000}"/>
    <cellStyle name="Normal 2 2 2 2 2 2 32 11" xfId="11667" xr:uid="{00000000-0005-0000-0000-00008A2D0000}"/>
    <cellStyle name="Normal 2 2 2 2 2 2 32 12" xfId="11668" xr:uid="{00000000-0005-0000-0000-00008B2D0000}"/>
    <cellStyle name="Normal 2 2 2 2 2 2 32 13" xfId="11669" xr:uid="{00000000-0005-0000-0000-00008C2D0000}"/>
    <cellStyle name="Normal 2 2 2 2 2 2 32 14" xfId="11670" xr:uid="{00000000-0005-0000-0000-00008D2D0000}"/>
    <cellStyle name="Normal 2 2 2 2 2 2 32 2" xfId="11671" xr:uid="{00000000-0005-0000-0000-00008E2D0000}"/>
    <cellStyle name="Normal 2 2 2 2 2 2 32 2 10" xfId="11672" xr:uid="{00000000-0005-0000-0000-00008F2D0000}"/>
    <cellStyle name="Normal 2 2 2 2 2 2 32 2 2" xfId="11673" xr:uid="{00000000-0005-0000-0000-0000902D0000}"/>
    <cellStyle name="Normal 2 2 2 2 2 2 32 2 3" xfId="11674" xr:uid="{00000000-0005-0000-0000-0000912D0000}"/>
    <cellStyle name="Normal 2 2 2 2 2 2 32 2 4" xfId="11675" xr:uid="{00000000-0005-0000-0000-0000922D0000}"/>
    <cellStyle name="Normal 2 2 2 2 2 2 32 2 5" xfId="11676" xr:uid="{00000000-0005-0000-0000-0000932D0000}"/>
    <cellStyle name="Normal 2 2 2 2 2 2 32 2 6" xfId="11677" xr:uid="{00000000-0005-0000-0000-0000942D0000}"/>
    <cellStyle name="Normal 2 2 2 2 2 2 32 2 7" xfId="11678" xr:uid="{00000000-0005-0000-0000-0000952D0000}"/>
    <cellStyle name="Normal 2 2 2 2 2 2 32 2 8" xfId="11679" xr:uid="{00000000-0005-0000-0000-0000962D0000}"/>
    <cellStyle name="Normal 2 2 2 2 2 2 32 2 9" xfId="11680" xr:uid="{00000000-0005-0000-0000-0000972D0000}"/>
    <cellStyle name="Normal 2 2 2 2 2 2 32 3" xfId="11681" xr:uid="{00000000-0005-0000-0000-0000982D0000}"/>
    <cellStyle name="Normal 2 2 2 2 2 2 32 3 10" xfId="11682" xr:uid="{00000000-0005-0000-0000-0000992D0000}"/>
    <cellStyle name="Normal 2 2 2 2 2 2 32 3 2" xfId="11683" xr:uid="{00000000-0005-0000-0000-00009A2D0000}"/>
    <cellStyle name="Normal 2 2 2 2 2 2 32 3 3" xfId="11684" xr:uid="{00000000-0005-0000-0000-00009B2D0000}"/>
    <cellStyle name="Normal 2 2 2 2 2 2 32 3 4" xfId="11685" xr:uid="{00000000-0005-0000-0000-00009C2D0000}"/>
    <cellStyle name="Normal 2 2 2 2 2 2 32 3 5" xfId="11686" xr:uid="{00000000-0005-0000-0000-00009D2D0000}"/>
    <cellStyle name="Normal 2 2 2 2 2 2 32 3 6" xfId="11687" xr:uid="{00000000-0005-0000-0000-00009E2D0000}"/>
    <cellStyle name="Normal 2 2 2 2 2 2 32 3 7" xfId="11688" xr:uid="{00000000-0005-0000-0000-00009F2D0000}"/>
    <cellStyle name="Normal 2 2 2 2 2 2 32 3 8" xfId="11689" xr:uid="{00000000-0005-0000-0000-0000A02D0000}"/>
    <cellStyle name="Normal 2 2 2 2 2 2 32 3 9" xfId="11690" xr:uid="{00000000-0005-0000-0000-0000A12D0000}"/>
    <cellStyle name="Normal 2 2 2 2 2 2 32 4" xfId="11691" xr:uid="{00000000-0005-0000-0000-0000A22D0000}"/>
    <cellStyle name="Normal 2 2 2 2 2 2 32 4 10" xfId="11692" xr:uid="{00000000-0005-0000-0000-0000A32D0000}"/>
    <cellStyle name="Normal 2 2 2 2 2 2 32 4 2" xfId="11693" xr:uid="{00000000-0005-0000-0000-0000A42D0000}"/>
    <cellStyle name="Normal 2 2 2 2 2 2 32 4 3" xfId="11694" xr:uid="{00000000-0005-0000-0000-0000A52D0000}"/>
    <cellStyle name="Normal 2 2 2 2 2 2 32 4 4" xfId="11695" xr:uid="{00000000-0005-0000-0000-0000A62D0000}"/>
    <cellStyle name="Normal 2 2 2 2 2 2 32 4 5" xfId="11696" xr:uid="{00000000-0005-0000-0000-0000A72D0000}"/>
    <cellStyle name="Normal 2 2 2 2 2 2 32 4 6" xfId="11697" xr:uid="{00000000-0005-0000-0000-0000A82D0000}"/>
    <cellStyle name="Normal 2 2 2 2 2 2 32 4 7" xfId="11698" xr:uid="{00000000-0005-0000-0000-0000A92D0000}"/>
    <cellStyle name="Normal 2 2 2 2 2 2 32 4 8" xfId="11699" xr:uid="{00000000-0005-0000-0000-0000AA2D0000}"/>
    <cellStyle name="Normal 2 2 2 2 2 2 32 4 9" xfId="11700" xr:uid="{00000000-0005-0000-0000-0000AB2D0000}"/>
    <cellStyle name="Normal 2 2 2 2 2 2 32 5" xfId="11701" xr:uid="{00000000-0005-0000-0000-0000AC2D0000}"/>
    <cellStyle name="Normal 2 2 2 2 2 2 32 5 10" xfId="11702" xr:uid="{00000000-0005-0000-0000-0000AD2D0000}"/>
    <cellStyle name="Normal 2 2 2 2 2 2 32 5 2" xfId="11703" xr:uid="{00000000-0005-0000-0000-0000AE2D0000}"/>
    <cellStyle name="Normal 2 2 2 2 2 2 32 5 3" xfId="11704" xr:uid="{00000000-0005-0000-0000-0000AF2D0000}"/>
    <cellStyle name="Normal 2 2 2 2 2 2 32 5 4" xfId="11705" xr:uid="{00000000-0005-0000-0000-0000B02D0000}"/>
    <cellStyle name="Normal 2 2 2 2 2 2 32 5 5" xfId="11706" xr:uid="{00000000-0005-0000-0000-0000B12D0000}"/>
    <cellStyle name="Normal 2 2 2 2 2 2 32 5 6" xfId="11707" xr:uid="{00000000-0005-0000-0000-0000B22D0000}"/>
    <cellStyle name="Normal 2 2 2 2 2 2 32 5 7" xfId="11708" xr:uid="{00000000-0005-0000-0000-0000B32D0000}"/>
    <cellStyle name="Normal 2 2 2 2 2 2 32 5 8" xfId="11709" xr:uid="{00000000-0005-0000-0000-0000B42D0000}"/>
    <cellStyle name="Normal 2 2 2 2 2 2 32 5 9" xfId="11710" xr:uid="{00000000-0005-0000-0000-0000B52D0000}"/>
    <cellStyle name="Normal 2 2 2 2 2 2 32 6" xfId="11711" xr:uid="{00000000-0005-0000-0000-0000B62D0000}"/>
    <cellStyle name="Normal 2 2 2 2 2 2 32 7" xfId="11712" xr:uid="{00000000-0005-0000-0000-0000B72D0000}"/>
    <cellStyle name="Normal 2 2 2 2 2 2 32 8" xfId="11713" xr:uid="{00000000-0005-0000-0000-0000B82D0000}"/>
    <cellStyle name="Normal 2 2 2 2 2 2 32 9" xfId="11714" xr:uid="{00000000-0005-0000-0000-0000B92D0000}"/>
    <cellStyle name="Normal 2 2 2 2 2 2 33" xfId="11715" xr:uid="{00000000-0005-0000-0000-0000BA2D0000}"/>
    <cellStyle name="Normal 2 2 2 2 2 2 33 10" xfId="11716" xr:uid="{00000000-0005-0000-0000-0000BB2D0000}"/>
    <cellStyle name="Normal 2 2 2 2 2 2 33 11" xfId="11717" xr:uid="{00000000-0005-0000-0000-0000BC2D0000}"/>
    <cellStyle name="Normal 2 2 2 2 2 2 33 12" xfId="11718" xr:uid="{00000000-0005-0000-0000-0000BD2D0000}"/>
    <cellStyle name="Normal 2 2 2 2 2 2 33 13" xfId="11719" xr:uid="{00000000-0005-0000-0000-0000BE2D0000}"/>
    <cellStyle name="Normal 2 2 2 2 2 2 33 14" xfId="11720" xr:uid="{00000000-0005-0000-0000-0000BF2D0000}"/>
    <cellStyle name="Normal 2 2 2 2 2 2 33 2" xfId="11721" xr:uid="{00000000-0005-0000-0000-0000C02D0000}"/>
    <cellStyle name="Normal 2 2 2 2 2 2 33 2 10" xfId="11722" xr:uid="{00000000-0005-0000-0000-0000C12D0000}"/>
    <cellStyle name="Normal 2 2 2 2 2 2 33 2 2" xfId="11723" xr:uid="{00000000-0005-0000-0000-0000C22D0000}"/>
    <cellStyle name="Normal 2 2 2 2 2 2 33 2 3" xfId="11724" xr:uid="{00000000-0005-0000-0000-0000C32D0000}"/>
    <cellStyle name="Normal 2 2 2 2 2 2 33 2 4" xfId="11725" xr:uid="{00000000-0005-0000-0000-0000C42D0000}"/>
    <cellStyle name="Normal 2 2 2 2 2 2 33 2 5" xfId="11726" xr:uid="{00000000-0005-0000-0000-0000C52D0000}"/>
    <cellStyle name="Normal 2 2 2 2 2 2 33 2 6" xfId="11727" xr:uid="{00000000-0005-0000-0000-0000C62D0000}"/>
    <cellStyle name="Normal 2 2 2 2 2 2 33 2 7" xfId="11728" xr:uid="{00000000-0005-0000-0000-0000C72D0000}"/>
    <cellStyle name="Normal 2 2 2 2 2 2 33 2 8" xfId="11729" xr:uid="{00000000-0005-0000-0000-0000C82D0000}"/>
    <cellStyle name="Normal 2 2 2 2 2 2 33 2 9" xfId="11730" xr:uid="{00000000-0005-0000-0000-0000C92D0000}"/>
    <cellStyle name="Normal 2 2 2 2 2 2 33 3" xfId="11731" xr:uid="{00000000-0005-0000-0000-0000CA2D0000}"/>
    <cellStyle name="Normal 2 2 2 2 2 2 33 3 10" xfId="11732" xr:uid="{00000000-0005-0000-0000-0000CB2D0000}"/>
    <cellStyle name="Normal 2 2 2 2 2 2 33 3 2" xfId="11733" xr:uid="{00000000-0005-0000-0000-0000CC2D0000}"/>
    <cellStyle name="Normal 2 2 2 2 2 2 33 3 3" xfId="11734" xr:uid="{00000000-0005-0000-0000-0000CD2D0000}"/>
    <cellStyle name="Normal 2 2 2 2 2 2 33 3 4" xfId="11735" xr:uid="{00000000-0005-0000-0000-0000CE2D0000}"/>
    <cellStyle name="Normal 2 2 2 2 2 2 33 3 5" xfId="11736" xr:uid="{00000000-0005-0000-0000-0000CF2D0000}"/>
    <cellStyle name="Normal 2 2 2 2 2 2 33 3 6" xfId="11737" xr:uid="{00000000-0005-0000-0000-0000D02D0000}"/>
    <cellStyle name="Normal 2 2 2 2 2 2 33 3 7" xfId="11738" xr:uid="{00000000-0005-0000-0000-0000D12D0000}"/>
    <cellStyle name="Normal 2 2 2 2 2 2 33 3 8" xfId="11739" xr:uid="{00000000-0005-0000-0000-0000D22D0000}"/>
    <cellStyle name="Normal 2 2 2 2 2 2 33 3 9" xfId="11740" xr:uid="{00000000-0005-0000-0000-0000D32D0000}"/>
    <cellStyle name="Normal 2 2 2 2 2 2 33 4" xfId="11741" xr:uid="{00000000-0005-0000-0000-0000D42D0000}"/>
    <cellStyle name="Normal 2 2 2 2 2 2 33 4 10" xfId="11742" xr:uid="{00000000-0005-0000-0000-0000D52D0000}"/>
    <cellStyle name="Normal 2 2 2 2 2 2 33 4 2" xfId="11743" xr:uid="{00000000-0005-0000-0000-0000D62D0000}"/>
    <cellStyle name="Normal 2 2 2 2 2 2 33 4 3" xfId="11744" xr:uid="{00000000-0005-0000-0000-0000D72D0000}"/>
    <cellStyle name="Normal 2 2 2 2 2 2 33 4 4" xfId="11745" xr:uid="{00000000-0005-0000-0000-0000D82D0000}"/>
    <cellStyle name="Normal 2 2 2 2 2 2 33 4 5" xfId="11746" xr:uid="{00000000-0005-0000-0000-0000D92D0000}"/>
    <cellStyle name="Normal 2 2 2 2 2 2 33 4 6" xfId="11747" xr:uid="{00000000-0005-0000-0000-0000DA2D0000}"/>
    <cellStyle name="Normal 2 2 2 2 2 2 33 4 7" xfId="11748" xr:uid="{00000000-0005-0000-0000-0000DB2D0000}"/>
    <cellStyle name="Normal 2 2 2 2 2 2 33 4 8" xfId="11749" xr:uid="{00000000-0005-0000-0000-0000DC2D0000}"/>
    <cellStyle name="Normal 2 2 2 2 2 2 33 4 9" xfId="11750" xr:uid="{00000000-0005-0000-0000-0000DD2D0000}"/>
    <cellStyle name="Normal 2 2 2 2 2 2 33 5" xfId="11751" xr:uid="{00000000-0005-0000-0000-0000DE2D0000}"/>
    <cellStyle name="Normal 2 2 2 2 2 2 33 5 10" xfId="11752" xr:uid="{00000000-0005-0000-0000-0000DF2D0000}"/>
    <cellStyle name="Normal 2 2 2 2 2 2 33 5 2" xfId="11753" xr:uid="{00000000-0005-0000-0000-0000E02D0000}"/>
    <cellStyle name="Normal 2 2 2 2 2 2 33 5 3" xfId="11754" xr:uid="{00000000-0005-0000-0000-0000E12D0000}"/>
    <cellStyle name="Normal 2 2 2 2 2 2 33 5 4" xfId="11755" xr:uid="{00000000-0005-0000-0000-0000E22D0000}"/>
    <cellStyle name="Normal 2 2 2 2 2 2 33 5 5" xfId="11756" xr:uid="{00000000-0005-0000-0000-0000E32D0000}"/>
    <cellStyle name="Normal 2 2 2 2 2 2 33 5 6" xfId="11757" xr:uid="{00000000-0005-0000-0000-0000E42D0000}"/>
    <cellStyle name="Normal 2 2 2 2 2 2 33 5 7" xfId="11758" xr:uid="{00000000-0005-0000-0000-0000E52D0000}"/>
    <cellStyle name="Normal 2 2 2 2 2 2 33 5 8" xfId="11759" xr:uid="{00000000-0005-0000-0000-0000E62D0000}"/>
    <cellStyle name="Normal 2 2 2 2 2 2 33 5 9" xfId="11760" xr:uid="{00000000-0005-0000-0000-0000E72D0000}"/>
    <cellStyle name="Normal 2 2 2 2 2 2 33 6" xfId="11761" xr:uid="{00000000-0005-0000-0000-0000E82D0000}"/>
    <cellStyle name="Normal 2 2 2 2 2 2 33 7" xfId="11762" xr:uid="{00000000-0005-0000-0000-0000E92D0000}"/>
    <cellStyle name="Normal 2 2 2 2 2 2 33 8" xfId="11763" xr:uid="{00000000-0005-0000-0000-0000EA2D0000}"/>
    <cellStyle name="Normal 2 2 2 2 2 2 33 9" xfId="11764" xr:uid="{00000000-0005-0000-0000-0000EB2D0000}"/>
    <cellStyle name="Normal 2 2 2 2 2 2 34" xfId="11765" xr:uid="{00000000-0005-0000-0000-0000EC2D0000}"/>
    <cellStyle name="Normal 2 2 2 2 2 2 34 10" xfId="11766" xr:uid="{00000000-0005-0000-0000-0000ED2D0000}"/>
    <cellStyle name="Normal 2 2 2 2 2 2 34 2" xfId="11767" xr:uid="{00000000-0005-0000-0000-0000EE2D0000}"/>
    <cellStyle name="Normal 2 2 2 2 2 2 34 3" xfId="11768" xr:uid="{00000000-0005-0000-0000-0000EF2D0000}"/>
    <cellStyle name="Normal 2 2 2 2 2 2 34 4" xfId="11769" xr:uid="{00000000-0005-0000-0000-0000F02D0000}"/>
    <cellStyle name="Normal 2 2 2 2 2 2 34 5" xfId="11770" xr:uid="{00000000-0005-0000-0000-0000F12D0000}"/>
    <cellStyle name="Normal 2 2 2 2 2 2 34 6" xfId="11771" xr:uid="{00000000-0005-0000-0000-0000F22D0000}"/>
    <cellStyle name="Normal 2 2 2 2 2 2 34 7" xfId="11772" xr:uid="{00000000-0005-0000-0000-0000F32D0000}"/>
    <cellStyle name="Normal 2 2 2 2 2 2 34 8" xfId="11773" xr:uid="{00000000-0005-0000-0000-0000F42D0000}"/>
    <cellStyle name="Normal 2 2 2 2 2 2 34 9" xfId="11774" xr:uid="{00000000-0005-0000-0000-0000F52D0000}"/>
    <cellStyle name="Normal 2 2 2 2 2 2 35" xfId="11775" xr:uid="{00000000-0005-0000-0000-0000F62D0000}"/>
    <cellStyle name="Normal 2 2 2 2 2 2 35 10" xfId="11776" xr:uid="{00000000-0005-0000-0000-0000F72D0000}"/>
    <cellStyle name="Normal 2 2 2 2 2 2 35 2" xfId="11777" xr:uid="{00000000-0005-0000-0000-0000F82D0000}"/>
    <cellStyle name="Normal 2 2 2 2 2 2 35 3" xfId="11778" xr:uid="{00000000-0005-0000-0000-0000F92D0000}"/>
    <cellStyle name="Normal 2 2 2 2 2 2 35 4" xfId="11779" xr:uid="{00000000-0005-0000-0000-0000FA2D0000}"/>
    <cellStyle name="Normal 2 2 2 2 2 2 35 5" xfId="11780" xr:uid="{00000000-0005-0000-0000-0000FB2D0000}"/>
    <cellStyle name="Normal 2 2 2 2 2 2 35 6" xfId="11781" xr:uid="{00000000-0005-0000-0000-0000FC2D0000}"/>
    <cellStyle name="Normal 2 2 2 2 2 2 35 7" xfId="11782" xr:uid="{00000000-0005-0000-0000-0000FD2D0000}"/>
    <cellStyle name="Normal 2 2 2 2 2 2 35 8" xfId="11783" xr:uid="{00000000-0005-0000-0000-0000FE2D0000}"/>
    <cellStyle name="Normal 2 2 2 2 2 2 35 9" xfId="11784" xr:uid="{00000000-0005-0000-0000-0000FF2D0000}"/>
    <cellStyle name="Normal 2 2 2 2 2 2 36" xfId="11785" xr:uid="{00000000-0005-0000-0000-0000002E0000}"/>
    <cellStyle name="Normal 2 2 2 2 2 2 36 10" xfId="11786" xr:uid="{00000000-0005-0000-0000-0000012E0000}"/>
    <cellStyle name="Normal 2 2 2 2 2 2 36 2" xfId="11787" xr:uid="{00000000-0005-0000-0000-0000022E0000}"/>
    <cellStyle name="Normal 2 2 2 2 2 2 36 3" xfId="11788" xr:uid="{00000000-0005-0000-0000-0000032E0000}"/>
    <cellStyle name="Normal 2 2 2 2 2 2 36 4" xfId="11789" xr:uid="{00000000-0005-0000-0000-0000042E0000}"/>
    <cellStyle name="Normal 2 2 2 2 2 2 36 5" xfId="11790" xr:uid="{00000000-0005-0000-0000-0000052E0000}"/>
    <cellStyle name="Normal 2 2 2 2 2 2 36 6" xfId="11791" xr:uid="{00000000-0005-0000-0000-0000062E0000}"/>
    <cellStyle name="Normal 2 2 2 2 2 2 36 7" xfId="11792" xr:uid="{00000000-0005-0000-0000-0000072E0000}"/>
    <cellStyle name="Normal 2 2 2 2 2 2 36 8" xfId="11793" xr:uid="{00000000-0005-0000-0000-0000082E0000}"/>
    <cellStyle name="Normal 2 2 2 2 2 2 36 9" xfId="11794" xr:uid="{00000000-0005-0000-0000-0000092E0000}"/>
    <cellStyle name="Normal 2 2 2 2 2 2 37" xfId="11795" xr:uid="{00000000-0005-0000-0000-00000A2E0000}"/>
    <cellStyle name="Normal 2 2 2 2 2 2 37 10" xfId="11796" xr:uid="{00000000-0005-0000-0000-00000B2E0000}"/>
    <cellStyle name="Normal 2 2 2 2 2 2 37 2" xfId="11797" xr:uid="{00000000-0005-0000-0000-00000C2E0000}"/>
    <cellStyle name="Normal 2 2 2 2 2 2 37 3" xfId="11798" xr:uid="{00000000-0005-0000-0000-00000D2E0000}"/>
    <cellStyle name="Normal 2 2 2 2 2 2 37 4" xfId="11799" xr:uid="{00000000-0005-0000-0000-00000E2E0000}"/>
    <cellStyle name="Normal 2 2 2 2 2 2 37 5" xfId="11800" xr:uid="{00000000-0005-0000-0000-00000F2E0000}"/>
    <cellStyle name="Normal 2 2 2 2 2 2 37 6" xfId="11801" xr:uid="{00000000-0005-0000-0000-0000102E0000}"/>
    <cellStyle name="Normal 2 2 2 2 2 2 37 7" xfId="11802" xr:uid="{00000000-0005-0000-0000-0000112E0000}"/>
    <cellStyle name="Normal 2 2 2 2 2 2 37 8" xfId="11803" xr:uid="{00000000-0005-0000-0000-0000122E0000}"/>
    <cellStyle name="Normal 2 2 2 2 2 2 37 9" xfId="11804" xr:uid="{00000000-0005-0000-0000-0000132E0000}"/>
    <cellStyle name="Normal 2 2 2 2 2 2 38" xfId="11805" xr:uid="{00000000-0005-0000-0000-0000142E0000}"/>
    <cellStyle name="Normal 2 2 2 2 2 2 39" xfId="11806" xr:uid="{00000000-0005-0000-0000-0000152E0000}"/>
    <cellStyle name="Normal 2 2 2 2 2 2 4" xfId="11807" xr:uid="{00000000-0005-0000-0000-0000162E0000}"/>
    <cellStyle name="Normal 2 2 2 2 2 2 4 10" xfId="11808" xr:uid="{00000000-0005-0000-0000-0000172E0000}"/>
    <cellStyle name="Normal 2 2 2 2 2 2 4 11" xfId="11809" xr:uid="{00000000-0005-0000-0000-0000182E0000}"/>
    <cellStyle name="Normal 2 2 2 2 2 2 4 12" xfId="11810" xr:uid="{00000000-0005-0000-0000-0000192E0000}"/>
    <cellStyle name="Normal 2 2 2 2 2 2 4 13" xfId="11811" xr:uid="{00000000-0005-0000-0000-00001A2E0000}"/>
    <cellStyle name="Normal 2 2 2 2 2 2 4 14" xfId="11812" xr:uid="{00000000-0005-0000-0000-00001B2E0000}"/>
    <cellStyle name="Normal 2 2 2 2 2 2 4 2" xfId="11813" xr:uid="{00000000-0005-0000-0000-00001C2E0000}"/>
    <cellStyle name="Normal 2 2 2 2 2 2 4 2 10" xfId="11814" xr:uid="{00000000-0005-0000-0000-00001D2E0000}"/>
    <cellStyle name="Normal 2 2 2 2 2 2 4 2 2" xfId="11815" xr:uid="{00000000-0005-0000-0000-00001E2E0000}"/>
    <cellStyle name="Normal 2 2 2 2 2 2 4 2 3" xfId="11816" xr:uid="{00000000-0005-0000-0000-00001F2E0000}"/>
    <cellStyle name="Normal 2 2 2 2 2 2 4 2 4" xfId="11817" xr:uid="{00000000-0005-0000-0000-0000202E0000}"/>
    <cellStyle name="Normal 2 2 2 2 2 2 4 2 5" xfId="11818" xr:uid="{00000000-0005-0000-0000-0000212E0000}"/>
    <cellStyle name="Normal 2 2 2 2 2 2 4 2 6" xfId="11819" xr:uid="{00000000-0005-0000-0000-0000222E0000}"/>
    <cellStyle name="Normal 2 2 2 2 2 2 4 2 7" xfId="11820" xr:uid="{00000000-0005-0000-0000-0000232E0000}"/>
    <cellStyle name="Normal 2 2 2 2 2 2 4 2 8" xfId="11821" xr:uid="{00000000-0005-0000-0000-0000242E0000}"/>
    <cellStyle name="Normal 2 2 2 2 2 2 4 2 9" xfId="11822" xr:uid="{00000000-0005-0000-0000-0000252E0000}"/>
    <cellStyle name="Normal 2 2 2 2 2 2 4 3" xfId="11823" xr:uid="{00000000-0005-0000-0000-0000262E0000}"/>
    <cellStyle name="Normal 2 2 2 2 2 2 4 3 10" xfId="11824" xr:uid="{00000000-0005-0000-0000-0000272E0000}"/>
    <cellStyle name="Normal 2 2 2 2 2 2 4 3 2" xfId="11825" xr:uid="{00000000-0005-0000-0000-0000282E0000}"/>
    <cellStyle name="Normal 2 2 2 2 2 2 4 3 3" xfId="11826" xr:uid="{00000000-0005-0000-0000-0000292E0000}"/>
    <cellStyle name="Normal 2 2 2 2 2 2 4 3 4" xfId="11827" xr:uid="{00000000-0005-0000-0000-00002A2E0000}"/>
    <cellStyle name="Normal 2 2 2 2 2 2 4 3 5" xfId="11828" xr:uid="{00000000-0005-0000-0000-00002B2E0000}"/>
    <cellStyle name="Normal 2 2 2 2 2 2 4 3 6" xfId="11829" xr:uid="{00000000-0005-0000-0000-00002C2E0000}"/>
    <cellStyle name="Normal 2 2 2 2 2 2 4 3 7" xfId="11830" xr:uid="{00000000-0005-0000-0000-00002D2E0000}"/>
    <cellStyle name="Normal 2 2 2 2 2 2 4 3 8" xfId="11831" xr:uid="{00000000-0005-0000-0000-00002E2E0000}"/>
    <cellStyle name="Normal 2 2 2 2 2 2 4 3 9" xfId="11832" xr:uid="{00000000-0005-0000-0000-00002F2E0000}"/>
    <cellStyle name="Normal 2 2 2 2 2 2 4 4" xfId="11833" xr:uid="{00000000-0005-0000-0000-0000302E0000}"/>
    <cellStyle name="Normal 2 2 2 2 2 2 4 4 10" xfId="11834" xr:uid="{00000000-0005-0000-0000-0000312E0000}"/>
    <cellStyle name="Normal 2 2 2 2 2 2 4 4 2" xfId="11835" xr:uid="{00000000-0005-0000-0000-0000322E0000}"/>
    <cellStyle name="Normal 2 2 2 2 2 2 4 4 3" xfId="11836" xr:uid="{00000000-0005-0000-0000-0000332E0000}"/>
    <cellStyle name="Normal 2 2 2 2 2 2 4 4 4" xfId="11837" xr:uid="{00000000-0005-0000-0000-0000342E0000}"/>
    <cellStyle name="Normal 2 2 2 2 2 2 4 4 5" xfId="11838" xr:uid="{00000000-0005-0000-0000-0000352E0000}"/>
    <cellStyle name="Normal 2 2 2 2 2 2 4 4 6" xfId="11839" xr:uid="{00000000-0005-0000-0000-0000362E0000}"/>
    <cellStyle name="Normal 2 2 2 2 2 2 4 4 7" xfId="11840" xr:uid="{00000000-0005-0000-0000-0000372E0000}"/>
    <cellStyle name="Normal 2 2 2 2 2 2 4 4 8" xfId="11841" xr:uid="{00000000-0005-0000-0000-0000382E0000}"/>
    <cellStyle name="Normal 2 2 2 2 2 2 4 4 9" xfId="11842" xr:uid="{00000000-0005-0000-0000-0000392E0000}"/>
    <cellStyle name="Normal 2 2 2 2 2 2 4 5" xfId="11843" xr:uid="{00000000-0005-0000-0000-00003A2E0000}"/>
    <cellStyle name="Normal 2 2 2 2 2 2 4 5 10" xfId="11844" xr:uid="{00000000-0005-0000-0000-00003B2E0000}"/>
    <cellStyle name="Normal 2 2 2 2 2 2 4 5 2" xfId="11845" xr:uid="{00000000-0005-0000-0000-00003C2E0000}"/>
    <cellStyle name="Normal 2 2 2 2 2 2 4 5 3" xfId="11846" xr:uid="{00000000-0005-0000-0000-00003D2E0000}"/>
    <cellStyle name="Normal 2 2 2 2 2 2 4 5 4" xfId="11847" xr:uid="{00000000-0005-0000-0000-00003E2E0000}"/>
    <cellStyle name="Normal 2 2 2 2 2 2 4 5 5" xfId="11848" xr:uid="{00000000-0005-0000-0000-00003F2E0000}"/>
    <cellStyle name="Normal 2 2 2 2 2 2 4 5 6" xfId="11849" xr:uid="{00000000-0005-0000-0000-0000402E0000}"/>
    <cellStyle name="Normal 2 2 2 2 2 2 4 5 7" xfId="11850" xr:uid="{00000000-0005-0000-0000-0000412E0000}"/>
    <cellStyle name="Normal 2 2 2 2 2 2 4 5 8" xfId="11851" xr:uid="{00000000-0005-0000-0000-0000422E0000}"/>
    <cellStyle name="Normal 2 2 2 2 2 2 4 5 9" xfId="11852" xr:uid="{00000000-0005-0000-0000-0000432E0000}"/>
    <cellStyle name="Normal 2 2 2 2 2 2 4 6" xfId="11853" xr:uid="{00000000-0005-0000-0000-0000442E0000}"/>
    <cellStyle name="Normal 2 2 2 2 2 2 4 7" xfId="11854" xr:uid="{00000000-0005-0000-0000-0000452E0000}"/>
    <cellStyle name="Normal 2 2 2 2 2 2 4 8" xfId="11855" xr:uid="{00000000-0005-0000-0000-0000462E0000}"/>
    <cellStyle name="Normal 2 2 2 2 2 2 4 9" xfId="11856" xr:uid="{00000000-0005-0000-0000-0000472E0000}"/>
    <cellStyle name="Normal 2 2 2 2 2 2 40" xfId="11857" xr:uid="{00000000-0005-0000-0000-0000482E0000}"/>
    <cellStyle name="Normal 2 2 2 2 2 2 41" xfId="11858" xr:uid="{00000000-0005-0000-0000-0000492E0000}"/>
    <cellStyle name="Normal 2 2 2 2 2 2 42" xfId="11859" xr:uid="{00000000-0005-0000-0000-00004A2E0000}"/>
    <cellStyle name="Normal 2 2 2 2 2 2 43" xfId="11860" xr:uid="{00000000-0005-0000-0000-00004B2E0000}"/>
    <cellStyle name="Normal 2 2 2 2 2 2 44" xfId="11861" xr:uid="{00000000-0005-0000-0000-00004C2E0000}"/>
    <cellStyle name="Normal 2 2 2 2 2 2 45" xfId="11862" xr:uid="{00000000-0005-0000-0000-00004D2E0000}"/>
    <cellStyle name="Normal 2 2 2 2 2 2 46" xfId="11863" xr:uid="{00000000-0005-0000-0000-00004E2E0000}"/>
    <cellStyle name="Normal 2 2 2 2 2 2 47" xfId="11864" xr:uid="{00000000-0005-0000-0000-00004F2E0000}"/>
    <cellStyle name="Normal 2 2 2 2 2 2 48" xfId="11865" xr:uid="{00000000-0005-0000-0000-0000502E0000}"/>
    <cellStyle name="Normal 2 2 2 2 2 2 5" xfId="11866" xr:uid="{00000000-0005-0000-0000-0000512E0000}"/>
    <cellStyle name="Normal 2 2 2 2 2 2 5 10" xfId="11867" xr:uid="{00000000-0005-0000-0000-0000522E0000}"/>
    <cellStyle name="Normal 2 2 2 2 2 2 5 11" xfId="11868" xr:uid="{00000000-0005-0000-0000-0000532E0000}"/>
    <cellStyle name="Normal 2 2 2 2 2 2 5 12" xfId="11869" xr:uid="{00000000-0005-0000-0000-0000542E0000}"/>
    <cellStyle name="Normal 2 2 2 2 2 2 5 13" xfId="11870" xr:uid="{00000000-0005-0000-0000-0000552E0000}"/>
    <cellStyle name="Normal 2 2 2 2 2 2 5 14" xfId="11871" xr:uid="{00000000-0005-0000-0000-0000562E0000}"/>
    <cellStyle name="Normal 2 2 2 2 2 2 5 2" xfId="11872" xr:uid="{00000000-0005-0000-0000-0000572E0000}"/>
    <cellStyle name="Normal 2 2 2 2 2 2 5 2 10" xfId="11873" xr:uid="{00000000-0005-0000-0000-0000582E0000}"/>
    <cellStyle name="Normal 2 2 2 2 2 2 5 2 2" xfId="11874" xr:uid="{00000000-0005-0000-0000-0000592E0000}"/>
    <cellStyle name="Normal 2 2 2 2 2 2 5 2 3" xfId="11875" xr:uid="{00000000-0005-0000-0000-00005A2E0000}"/>
    <cellStyle name="Normal 2 2 2 2 2 2 5 2 4" xfId="11876" xr:uid="{00000000-0005-0000-0000-00005B2E0000}"/>
    <cellStyle name="Normal 2 2 2 2 2 2 5 2 5" xfId="11877" xr:uid="{00000000-0005-0000-0000-00005C2E0000}"/>
    <cellStyle name="Normal 2 2 2 2 2 2 5 2 6" xfId="11878" xr:uid="{00000000-0005-0000-0000-00005D2E0000}"/>
    <cellStyle name="Normal 2 2 2 2 2 2 5 2 7" xfId="11879" xr:uid="{00000000-0005-0000-0000-00005E2E0000}"/>
    <cellStyle name="Normal 2 2 2 2 2 2 5 2 8" xfId="11880" xr:uid="{00000000-0005-0000-0000-00005F2E0000}"/>
    <cellStyle name="Normal 2 2 2 2 2 2 5 2 9" xfId="11881" xr:uid="{00000000-0005-0000-0000-0000602E0000}"/>
    <cellStyle name="Normal 2 2 2 2 2 2 5 3" xfId="11882" xr:uid="{00000000-0005-0000-0000-0000612E0000}"/>
    <cellStyle name="Normal 2 2 2 2 2 2 5 3 10" xfId="11883" xr:uid="{00000000-0005-0000-0000-0000622E0000}"/>
    <cellStyle name="Normal 2 2 2 2 2 2 5 3 2" xfId="11884" xr:uid="{00000000-0005-0000-0000-0000632E0000}"/>
    <cellStyle name="Normal 2 2 2 2 2 2 5 3 3" xfId="11885" xr:uid="{00000000-0005-0000-0000-0000642E0000}"/>
    <cellStyle name="Normal 2 2 2 2 2 2 5 3 4" xfId="11886" xr:uid="{00000000-0005-0000-0000-0000652E0000}"/>
    <cellStyle name="Normal 2 2 2 2 2 2 5 3 5" xfId="11887" xr:uid="{00000000-0005-0000-0000-0000662E0000}"/>
    <cellStyle name="Normal 2 2 2 2 2 2 5 3 6" xfId="11888" xr:uid="{00000000-0005-0000-0000-0000672E0000}"/>
    <cellStyle name="Normal 2 2 2 2 2 2 5 3 7" xfId="11889" xr:uid="{00000000-0005-0000-0000-0000682E0000}"/>
    <cellStyle name="Normal 2 2 2 2 2 2 5 3 8" xfId="11890" xr:uid="{00000000-0005-0000-0000-0000692E0000}"/>
    <cellStyle name="Normal 2 2 2 2 2 2 5 3 9" xfId="11891" xr:uid="{00000000-0005-0000-0000-00006A2E0000}"/>
    <cellStyle name="Normal 2 2 2 2 2 2 5 4" xfId="11892" xr:uid="{00000000-0005-0000-0000-00006B2E0000}"/>
    <cellStyle name="Normal 2 2 2 2 2 2 5 4 10" xfId="11893" xr:uid="{00000000-0005-0000-0000-00006C2E0000}"/>
    <cellStyle name="Normal 2 2 2 2 2 2 5 4 2" xfId="11894" xr:uid="{00000000-0005-0000-0000-00006D2E0000}"/>
    <cellStyle name="Normal 2 2 2 2 2 2 5 4 3" xfId="11895" xr:uid="{00000000-0005-0000-0000-00006E2E0000}"/>
    <cellStyle name="Normal 2 2 2 2 2 2 5 4 4" xfId="11896" xr:uid="{00000000-0005-0000-0000-00006F2E0000}"/>
    <cellStyle name="Normal 2 2 2 2 2 2 5 4 5" xfId="11897" xr:uid="{00000000-0005-0000-0000-0000702E0000}"/>
    <cellStyle name="Normal 2 2 2 2 2 2 5 4 6" xfId="11898" xr:uid="{00000000-0005-0000-0000-0000712E0000}"/>
    <cellStyle name="Normal 2 2 2 2 2 2 5 4 7" xfId="11899" xr:uid="{00000000-0005-0000-0000-0000722E0000}"/>
    <cellStyle name="Normal 2 2 2 2 2 2 5 4 8" xfId="11900" xr:uid="{00000000-0005-0000-0000-0000732E0000}"/>
    <cellStyle name="Normal 2 2 2 2 2 2 5 4 9" xfId="11901" xr:uid="{00000000-0005-0000-0000-0000742E0000}"/>
    <cellStyle name="Normal 2 2 2 2 2 2 5 5" xfId="11902" xr:uid="{00000000-0005-0000-0000-0000752E0000}"/>
    <cellStyle name="Normal 2 2 2 2 2 2 5 5 10" xfId="11903" xr:uid="{00000000-0005-0000-0000-0000762E0000}"/>
    <cellStyle name="Normal 2 2 2 2 2 2 5 5 2" xfId="11904" xr:uid="{00000000-0005-0000-0000-0000772E0000}"/>
    <cellStyle name="Normal 2 2 2 2 2 2 5 5 3" xfId="11905" xr:uid="{00000000-0005-0000-0000-0000782E0000}"/>
    <cellStyle name="Normal 2 2 2 2 2 2 5 5 4" xfId="11906" xr:uid="{00000000-0005-0000-0000-0000792E0000}"/>
    <cellStyle name="Normal 2 2 2 2 2 2 5 5 5" xfId="11907" xr:uid="{00000000-0005-0000-0000-00007A2E0000}"/>
    <cellStyle name="Normal 2 2 2 2 2 2 5 5 6" xfId="11908" xr:uid="{00000000-0005-0000-0000-00007B2E0000}"/>
    <cellStyle name="Normal 2 2 2 2 2 2 5 5 7" xfId="11909" xr:uid="{00000000-0005-0000-0000-00007C2E0000}"/>
    <cellStyle name="Normal 2 2 2 2 2 2 5 5 8" xfId="11910" xr:uid="{00000000-0005-0000-0000-00007D2E0000}"/>
    <cellStyle name="Normal 2 2 2 2 2 2 5 5 9" xfId="11911" xr:uid="{00000000-0005-0000-0000-00007E2E0000}"/>
    <cellStyle name="Normal 2 2 2 2 2 2 5 6" xfId="11912" xr:uid="{00000000-0005-0000-0000-00007F2E0000}"/>
    <cellStyle name="Normal 2 2 2 2 2 2 5 7" xfId="11913" xr:uid="{00000000-0005-0000-0000-0000802E0000}"/>
    <cellStyle name="Normal 2 2 2 2 2 2 5 8" xfId="11914" xr:uid="{00000000-0005-0000-0000-0000812E0000}"/>
    <cellStyle name="Normal 2 2 2 2 2 2 5 9" xfId="11915" xr:uid="{00000000-0005-0000-0000-0000822E0000}"/>
    <cellStyle name="Normal 2 2 2 2 2 2 6" xfId="11916" xr:uid="{00000000-0005-0000-0000-0000832E0000}"/>
    <cellStyle name="Normal 2 2 2 2 2 2 6 10" xfId="11917" xr:uid="{00000000-0005-0000-0000-0000842E0000}"/>
    <cellStyle name="Normal 2 2 2 2 2 2 6 11" xfId="11918" xr:uid="{00000000-0005-0000-0000-0000852E0000}"/>
    <cellStyle name="Normal 2 2 2 2 2 2 6 12" xfId="11919" xr:uid="{00000000-0005-0000-0000-0000862E0000}"/>
    <cellStyle name="Normal 2 2 2 2 2 2 6 13" xfId="11920" xr:uid="{00000000-0005-0000-0000-0000872E0000}"/>
    <cellStyle name="Normal 2 2 2 2 2 2 6 14" xfId="11921" xr:uid="{00000000-0005-0000-0000-0000882E0000}"/>
    <cellStyle name="Normal 2 2 2 2 2 2 6 2" xfId="11922" xr:uid="{00000000-0005-0000-0000-0000892E0000}"/>
    <cellStyle name="Normal 2 2 2 2 2 2 6 2 10" xfId="11923" xr:uid="{00000000-0005-0000-0000-00008A2E0000}"/>
    <cellStyle name="Normal 2 2 2 2 2 2 6 2 2" xfId="11924" xr:uid="{00000000-0005-0000-0000-00008B2E0000}"/>
    <cellStyle name="Normal 2 2 2 2 2 2 6 2 3" xfId="11925" xr:uid="{00000000-0005-0000-0000-00008C2E0000}"/>
    <cellStyle name="Normal 2 2 2 2 2 2 6 2 4" xfId="11926" xr:uid="{00000000-0005-0000-0000-00008D2E0000}"/>
    <cellStyle name="Normal 2 2 2 2 2 2 6 2 5" xfId="11927" xr:uid="{00000000-0005-0000-0000-00008E2E0000}"/>
    <cellStyle name="Normal 2 2 2 2 2 2 6 2 6" xfId="11928" xr:uid="{00000000-0005-0000-0000-00008F2E0000}"/>
    <cellStyle name="Normal 2 2 2 2 2 2 6 2 7" xfId="11929" xr:uid="{00000000-0005-0000-0000-0000902E0000}"/>
    <cellStyle name="Normal 2 2 2 2 2 2 6 2 8" xfId="11930" xr:uid="{00000000-0005-0000-0000-0000912E0000}"/>
    <cellStyle name="Normal 2 2 2 2 2 2 6 2 9" xfId="11931" xr:uid="{00000000-0005-0000-0000-0000922E0000}"/>
    <cellStyle name="Normal 2 2 2 2 2 2 6 3" xfId="11932" xr:uid="{00000000-0005-0000-0000-0000932E0000}"/>
    <cellStyle name="Normal 2 2 2 2 2 2 6 3 10" xfId="11933" xr:uid="{00000000-0005-0000-0000-0000942E0000}"/>
    <cellStyle name="Normal 2 2 2 2 2 2 6 3 2" xfId="11934" xr:uid="{00000000-0005-0000-0000-0000952E0000}"/>
    <cellStyle name="Normal 2 2 2 2 2 2 6 3 3" xfId="11935" xr:uid="{00000000-0005-0000-0000-0000962E0000}"/>
    <cellStyle name="Normal 2 2 2 2 2 2 6 3 4" xfId="11936" xr:uid="{00000000-0005-0000-0000-0000972E0000}"/>
    <cellStyle name="Normal 2 2 2 2 2 2 6 3 5" xfId="11937" xr:uid="{00000000-0005-0000-0000-0000982E0000}"/>
    <cellStyle name="Normal 2 2 2 2 2 2 6 3 6" xfId="11938" xr:uid="{00000000-0005-0000-0000-0000992E0000}"/>
    <cellStyle name="Normal 2 2 2 2 2 2 6 3 7" xfId="11939" xr:uid="{00000000-0005-0000-0000-00009A2E0000}"/>
    <cellStyle name="Normal 2 2 2 2 2 2 6 3 8" xfId="11940" xr:uid="{00000000-0005-0000-0000-00009B2E0000}"/>
    <cellStyle name="Normal 2 2 2 2 2 2 6 3 9" xfId="11941" xr:uid="{00000000-0005-0000-0000-00009C2E0000}"/>
    <cellStyle name="Normal 2 2 2 2 2 2 6 4" xfId="11942" xr:uid="{00000000-0005-0000-0000-00009D2E0000}"/>
    <cellStyle name="Normal 2 2 2 2 2 2 6 4 10" xfId="11943" xr:uid="{00000000-0005-0000-0000-00009E2E0000}"/>
    <cellStyle name="Normal 2 2 2 2 2 2 6 4 2" xfId="11944" xr:uid="{00000000-0005-0000-0000-00009F2E0000}"/>
    <cellStyle name="Normal 2 2 2 2 2 2 6 4 3" xfId="11945" xr:uid="{00000000-0005-0000-0000-0000A02E0000}"/>
    <cellStyle name="Normal 2 2 2 2 2 2 6 4 4" xfId="11946" xr:uid="{00000000-0005-0000-0000-0000A12E0000}"/>
    <cellStyle name="Normal 2 2 2 2 2 2 6 4 5" xfId="11947" xr:uid="{00000000-0005-0000-0000-0000A22E0000}"/>
    <cellStyle name="Normal 2 2 2 2 2 2 6 4 6" xfId="11948" xr:uid="{00000000-0005-0000-0000-0000A32E0000}"/>
    <cellStyle name="Normal 2 2 2 2 2 2 6 4 7" xfId="11949" xr:uid="{00000000-0005-0000-0000-0000A42E0000}"/>
    <cellStyle name="Normal 2 2 2 2 2 2 6 4 8" xfId="11950" xr:uid="{00000000-0005-0000-0000-0000A52E0000}"/>
    <cellStyle name="Normal 2 2 2 2 2 2 6 4 9" xfId="11951" xr:uid="{00000000-0005-0000-0000-0000A62E0000}"/>
    <cellStyle name="Normal 2 2 2 2 2 2 6 5" xfId="11952" xr:uid="{00000000-0005-0000-0000-0000A72E0000}"/>
    <cellStyle name="Normal 2 2 2 2 2 2 6 5 10" xfId="11953" xr:uid="{00000000-0005-0000-0000-0000A82E0000}"/>
    <cellStyle name="Normal 2 2 2 2 2 2 6 5 2" xfId="11954" xr:uid="{00000000-0005-0000-0000-0000A92E0000}"/>
    <cellStyle name="Normal 2 2 2 2 2 2 6 5 3" xfId="11955" xr:uid="{00000000-0005-0000-0000-0000AA2E0000}"/>
    <cellStyle name="Normal 2 2 2 2 2 2 6 5 4" xfId="11956" xr:uid="{00000000-0005-0000-0000-0000AB2E0000}"/>
    <cellStyle name="Normal 2 2 2 2 2 2 6 5 5" xfId="11957" xr:uid="{00000000-0005-0000-0000-0000AC2E0000}"/>
    <cellStyle name="Normal 2 2 2 2 2 2 6 5 6" xfId="11958" xr:uid="{00000000-0005-0000-0000-0000AD2E0000}"/>
    <cellStyle name="Normal 2 2 2 2 2 2 6 5 7" xfId="11959" xr:uid="{00000000-0005-0000-0000-0000AE2E0000}"/>
    <cellStyle name="Normal 2 2 2 2 2 2 6 5 8" xfId="11960" xr:uid="{00000000-0005-0000-0000-0000AF2E0000}"/>
    <cellStyle name="Normal 2 2 2 2 2 2 6 5 9" xfId="11961" xr:uid="{00000000-0005-0000-0000-0000B02E0000}"/>
    <cellStyle name="Normal 2 2 2 2 2 2 6 6" xfId="11962" xr:uid="{00000000-0005-0000-0000-0000B12E0000}"/>
    <cellStyle name="Normal 2 2 2 2 2 2 6 7" xfId="11963" xr:uid="{00000000-0005-0000-0000-0000B22E0000}"/>
    <cellStyle name="Normal 2 2 2 2 2 2 6 8" xfId="11964" xr:uid="{00000000-0005-0000-0000-0000B32E0000}"/>
    <cellStyle name="Normal 2 2 2 2 2 2 6 9" xfId="11965" xr:uid="{00000000-0005-0000-0000-0000B42E0000}"/>
    <cellStyle name="Normal 2 2 2 2 2 2 7" xfId="11966" xr:uid="{00000000-0005-0000-0000-0000B52E0000}"/>
    <cellStyle name="Normal 2 2 2 2 2 2 7 10" xfId="11967" xr:uid="{00000000-0005-0000-0000-0000B62E0000}"/>
    <cellStyle name="Normal 2 2 2 2 2 2 7 11" xfId="11968" xr:uid="{00000000-0005-0000-0000-0000B72E0000}"/>
    <cellStyle name="Normal 2 2 2 2 2 2 7 12" xfId="11969" xr:uid="{00000000-0005-0000-0000-0000B82E0000}"/>
    <cellStyle name="Normal 2 2 2 2 2 2 7 13" xfId="11970" xr:uid="{00000000-0005-0000-0000-0000B92E0000}"/>
    <cellStyle name="Normal 2 2 2 2 2 2 7 14" xfId="11971" xr:uid="{00000000-0005-0000-0000-0000BA2E0000}"/>
    <cellStyle name="Normal 2 2 2 2 2 2 7 2" xfId="11972" xr:uid="{00000000-0005-0000-0000-0000BB2E0000}"/>
    <cellStyle name="Normal 2 2 2 2 2 2 7 2 10" xfId="11973" xr:uid="{00000000-0005-0000-0000-0000BC2E0000}"/>
    <cellStyle name="Normal 2 2 2 2 2 2 7 2 2" xfId="11974" xr:uid="{00000000-0005-0000-0000-0000BD2E0000}"/>
    <cellStyle name="Normal 2 2 2 2 2 2 7 2 3" xfId="11975" xr:uid="{00000000-0005-0000-0000-0000BE2E0000}"/>
    <cellStyle name="Normal 2 2 2 2 2 2 7 2 4" xfId="11976" xr:uid="{00000000-0005-0000-0000-0000BF2E0000}"/>
    <cellStyle name="Normal 2 2 2 2 2 2 7 2 5" xfId="11977" xr:uid="{00000000-0005-0000-0000-0000C02E0000}"/>
    <cellStyle name="Normal 2 2 2 2 2 2 7 2 6" xfId="11978" xr:uid="{00000000-0005-0000-0000-0000C12E0000}"/>
    <cellStyle name="Normal 2 2 2 2 2 2 7 2 7" xfId="11979" xr:uid="{00000000-0005-0000-0000-0000C22E0000}"/>
    <cellStyle name="Normal 2 2 2 2 2 2 7 2 8" xfId="11980" xr:uid="{00000000-0005-0000-0000-0000C32E0000}"/>
    <cellStyle name="Normal 2 2 2 2 2 2 7 2 9" xfId="11981" xr:uid="{00000000-0005-0000-0000-0000C42E0000}"/>
    <cellStyle name="Normal 2 2 2 2 2 2 7 3" xfId="11982" xr:uid="{00000000-0005-0000-0000-0000C52E0000}"/>
    <cellStyle name="Normal 2 2 2 2 2 2 7 3 10" xfId="11983" xr:uid="{00000000-0005-0000-0000-0000C62E0000}"/>
    <cellStyle name="Normal 2 2 2 2 2 2 7 3 2" xfId="11984" xr:uid="{00000000-0005-0000-0000-0000C72E0000}"/>
    <cellStyle name="Normal 2 2 2 2 2 2 7 3 3" xfId="11985" xr:uid="{00000000-0005-0000-0000-0000C82E0000}"/>
    <cellStyle name="Normal 2 2 2 2 2 2 7 3 4" xfId="11986" xr:uid="{00000000-0005-0000-0000-0000C92E0000}"/>
    <cellStyle name="Normal 2 2 2 2 2 2 7 3 5" xfId="11987" xr:uid="{00000000-0005-0000-0000-0000CA2E0000}"/>
    <cellStyle name="Normal 2 2 2 2 2 2 7 3 6" xfId="11988" xr:uid="{00000000-0005-0000-0000-0000CB2E0000}"/>
    <cellStyle name="Normal 2 2 2 2 2 2 7 3 7" xfId="11989" xr:uid="{00000000-0005-0000-0000-0000CC2E0000}"/>
    <cellStyle name="Normal 2 2 2 2 2 2 7 3 8" xfId="11990" xr:uid="{00000000-0005-0000-0000-0000CD2E0000}"/>
    <cellStyle name="Normal 2 2 2 2 2 2 7 3 9" xfId="11991" xr:uid="{00000000-0005-0000-0000-0000CE2E0000}"/>
    <cellStyle name="Normal 2 2 2 2 2 2 7 4" xfId="11992" xr:uid="{00000000-0005-0000-0000-0000CF2E0000}"/>
    <cellStyle name="Normal 2 2 2 2 2 2 7 4 10" xfId="11993" xr:uid="{00000000-0005-0000-0000-0000D02E0000}"/>
    <cellStyle name="Normal 2 2 2 2 2 2 7 4 2" xfId="11994" xr:uid="{00000000-0005-0000-0000-0000D12E0000}"/>
    <cellStyle name="Normal 2 2 2 2 2 2 7 4 3" xfId="11995" xr:uid="{00000000-0005-0000-0000-0000D22E0000}"/>
    <cellStyle name="Normal 2 2 2 2 2 2 7 4 4" xfId="11996" xr:uid="{00000000-0005-0000-0000-0000D32E0000}"/>
    <cellStyle name="Normal 2 2 2 2 2 2 7 4 5" xfId="11997" xr:uid="{00000000-0005-0000-0000-0000D42E0000}"/>
    <cellStyle name="Normal 2 2 2 2 2 2 7 4 6" xfId="11998" xr:uid="{00000000-0005-0000-0000-0000D52E0000}"/>
    <cellStyle name="Normal 2 2 2 2 2 2 7 4 7" xfId="11999" xr:uid="{00000000-0005-0000-0000-0000D62E0000}"/>
    <cellStyle name="Normal 2 2 2 2 2 2 7 4 8" xfId="12000" xr:uid="{00000000-0005-0000-0000-0000D72E0000}"/>
    <cellStyle name="Normal 2 2 2 2 2 2 7 4 9" xfId="12001" xr:uid="{00000000-0005-0000-0000-0000D82E0000}"/>
    <cellStyle name="Normal 2 2 2 2 2 2 7 5" xfId="12002" xr:uid="{00000000-0005-0000-0000-0000D92E0000}"/>
    <cellStyle name="Normal 2 2 2 2 2 2 7 5 10" xfId="12003" xr:uid="{00000000-0005-0000-0000-0000DA2E0000}"/>
    <cellStyle name="Normal 2 2 2 2 2 2 7 5 2" xfId="12004" xr:uid="{00000000-0005-0000-0000-0000DB2E0000}"/>
    <cellStyle name="Normal 2 2 2 2 2 2 7 5 3" xfId="12005" xr:uid="{00000000-0005-0000-0000-0000DC2E0000}"/>
    <cellStyle name="Normal 2 2 2 2 2 2 7 5 4" xfId="12006" xr:uid="{00000000-0005-0000-0000-0000DD2E0000}"/>
    <cellStyle name="Normal 2 2 2 2 2 2 7 5 5" xfId="12007" xr:uid="{00000000-0005-0000-0000-0000DE2E0000}"/>
    <cellStyle name="Normal 2 2 2 2 2 2 7 5 6" xfId="12008" xr:uid="{00000000-0005-0000-0000-0000DF2E0000}"/>
    <cellStyle name="Normal 2 2 2 2 2 2 7 5 7" xfId="12009" xr:uid="{00000000-0005-0000-0000-0000E02E0000}"/>
    <cellStyle name="Normal 2 2 2 2 2 2 7 5 8" xfId="12010" xr:uid="{00000000-0005-0000-0000-0000E12E0000}"/>
    <cellStyle name="Normal 2 2 2 2 2 2 7 5 9" xfId="12011" xr:uid="{00000000-0005-0000-0000-0000E22E0000}"/>
    <cellStyle name="Normal 2 2 2 2 2 2 7 6" xfId="12012" xr:uid="{00000000-0005-0000-0000-0000E32E0000}"/>
    <cellStyle name="Normal 2 2 2 2 2 2 7 7" xfId="12013" xr:uid="{00000000-0005-0000-0000-0000E42E0000}"/>
    <cellStyle name="Normal 2 2 2 2 2 2 7 8" xfId="12014" xr:uid="{00000000-0005-0000-0000-0000E52E0000}"/>
    <cellStyle name="Normal 2 2 2 2 2 2 7 9" xfId="12015" xr:uid="{00000000-0005-0000-0000-0000E62E0000}"/>
    <cellStyle name="Normal 2 2 2 2 2 2 8" xfId="12016" xr:uid="{00000000-0005-0000-0000-0000E72E0000}"/>
    <cellStyle name="Normal 2 2 2 2 2 2 8 10" xfId="12017" xr:uid="{00000000-0005-0000-0000-0000E82E0000}"/>
    <cellStyle name="Normal 2 2 2 2 2 2 8 11" xfId="12018" xr:uid="{00000000-0005-0000-0000-0000E92E0000}"/>
    <cellStyle name="Normal 2 2 2 2 2 2 8 12" xfId="12019" xr:uid="{00000000-0005-0000-0000-0000EA2E0000}"/>
    <cellStyle name="Normal 2 2 2 2 2 2 8 13" xfId="12020" xr:uid="{00000000-0005-0000-0000-0000EB2E0000}"/>
    <cellStyle name="Normal 2 2 2 2 2 2 8 14" xfId="12021" xr:uid="{00000000-0005-0000-0000-0000EC2E0000}"/>
    <cellStyle name="Normal 2 2 2 2 2 2 8 2" xfId="12022" xr:uid="{00000000-0005-0000-0000-0000ED2E0000}"/>
    <cellStyle name="Normal 2 2 2 2 2 2 8 2 10" xfId="12023" xr:uid="{00000000-0005-0000-0000-0000EE2E0000}"/>
    <cellStyle name="Normal 2 2 2 2 2 2 8 2 2" xfId="12024" xr:uid="{00000000-0005-0000-0000-0000EF2E0000}"/>
    <cellStyle name="Normal 2 2 2 2 2 2 8 2 3" xfId="12025" xr:uid="{00000000-0005-0000-0000-0000F02E0000}"/>
    <cellStyle name="Normal 2 2 2 2 2 2 8 2 4" xfId="12026" xr:uid="{00000000-0005-0000-0000-0000F12E0000}"/>
    <cellStyle name="Normal 2 2 2 2 2 2 8 2 5" xfId="12027" xr:uid="{00000000-0005-0000-0000-0000F22E0000}"/>
    <cellStyle name="Normal 2 2 2 2 2 2 8 2 6" xfId="12028" xr:uid="{00000000-0005-0000-0000-0000F32E0000}"/>
    <cellStyle name="Normal 2 2 2 2 2 2 8 2 7" xfId="12029" xr:uid="{00000000-0005-0000-0000-0000F42E0000}"/>
    <cellStyle name="Normal 2 2 2 2 2 2 8 2 8" xfId="12030" xr:uid="{00000000-0005-0000-0000-0000F52E0000}"/>
    <cellStyle name="Normal 2 2 2 2 2 2 8 2 9" xfId="12031" xr:uid="{00000000-0005-0000-0000-0000F62E0000}"/>
    <cellStyle name="Normal 2 2 2 2 2 2 8 3" xfId="12032" xr:uid="{00000000-0005-0000-0000-0000F72E0000}"/>
    <cellStyle name="Normal 2 2 2 2 2 2 8 3 10" xfId="12033" xr:uid="{00000000-0005-0000-0000-0000F82E0000}"/>
    <cellStyle name="Normal 2 2 2 2 2 2 8 3 2" xfId="12034" xr:uid="{00000000-0005-0000-0000-0000F92E0000}"/>
    <cellStyle name="Normal 2 2 2 2 2 2 8 3 3" xfId="12035" xr:uid="{00000000-0005-0000-0000-0000FA2E0000}"/>
    <cellStyle name="Normal 2 2 2 2 2 2 8 3 4" xfId="12036" xr:uid="{00000000-0005-0000-0000-0000FB2E0000}"/>
    <cellStyle name="Normal 2 2 2 2 2 2 8 3 5" xfId="12037" xr:uid="{00000000-0005-0000-0000-0000FC2E0000}"/>
    <cellStyle name="Normal 2 2 2 2 2 2 8 3 6" xfId="12038" xr:uid="{00000000-0005-0000-0000-0000FD2E0000}"/>
    <cellStyle name="Normal 2 2 2 2 2 2 8 3 7" xfId="12039" xr:uid="{00000000-0005-0000-0000-0000FE2E0000}"/>
    <cellStyle name="Normal 2 2 2 2 2 2 8 3 8" xfId="12040" xr:uid="{00000000-0005-0000-0000-0000FF2E0000}"/>
    <cellStyle name="Normal 2 2 2 2 2 2 8 3 9" xfId="12041" xr:uid="{00000000-0005-0000-0000-0000002F0000}"/>
    <cellStyle name="Normal 2 2 2 2 2 2 8 4" xfId="12042" xr:uid="{00000000-0005-0000-0000-0000012F0000}"/>
    <cellStyle name="Normal 2 2 2 2 2 2 8 4 10" xfId="12043" xr:uid="{00000000-0005-0000-0000-0000022F0000}"/>
    <cellStyle name="Normal 2 2 2 2 2 2 8 4 2" xfId="12044" xr:uid="{00000000-0005-0000-0000-0000032F0000}"/>
    <cellStyle name="Normal 2 2 2 2 2 2 8 4 3" xfId="12045" xr:uid="{00000000-0005-0000-0000-0000042F0000}"/>
    <cellStyle name="Normal 2 2 2 2 2 2 8 4 4" xfId="12046" xr:uid="{00000000-0005-0000-0000-0000052F0000}"/>
    <cellStyle name="Normal 2 2 2 2 2 2 8 4 5" xfId="12047" xr:uid="{00000000-0005-0000-0000-0000062F0000}"/>
    <cellStyle name="Normal 2 2 2 2 2 2 8 4 6" xfId="12048" xr:uid="{00000000-0005-0000-0000-0000072F0000}"/>
    <cellStyle name="Normal 2 2 2 2 2 2 8 4 7" xfId="12049" xr:uid="{00000000-0005-0000-0000-0000082F0000}"/>
    <cellStyle name="Normal 2 2 2 2 2 2 8 4 8" xfId="12050" xr:uid="{00000000-0005-0000-0000-0000092F0000}"/>
    <cellStyle name="Normal 2 2 2 2 2 2 8 4 9" xfId="12051" xr:uid="{00000000-0005-0000-0000-00000A2F0000}"/>
    <cellStyle name="Normal 2 2 2 2 2 2 8 5" xfId="12052" xr:uid="{00000000-0005-0000-0000-00000B2F0000}"/>
    <cellStyle name="Normal 2 2 2 2 2 2 8 5 10" xfId="12053" xr:uid="{00000000-0005-0000-0000-00000C2F0000}"/>
    <cellStyle name="Normal 2 2 2 2 2 2 8 5 2" xfId="12054" xr:uid="{00000000-0005-0000-0000-00000D2F0000}"/>
    <cellStyle name="Normal 2 2 2 2 2 2 8 5 3" xfId="12055" xr:uid="{00000000-0005-0000-0000-00000E2F0000}"/>
    <cellStyle name="Normal 2 2 2 2 2 2 8 5 4" xfId="12056" xr:uid="{00000000-0005-0000-0000-00000F2F0000}"/>
    <cellStyle name="Normal 2 2 2 2 2 2 8 5 5" xfId="12057" xr:uid="{00000000-0005-0000-0000-0000102F0000}"/>
    <cellStyle name="Normal 2 2 2 2 2 2 8 5 6" xfId="12058" xr:uid="{00000000-0005-0000-0000-0000112F0000}"/>
    <cellStyle name="Normal 2 2 2 2 2 2 8 5 7" xfId="12059" xr:uid="{00000000-0005-0000-0000-0000122F0000}"/>
    <cellStyle name="Normal 2 2 2 2 2 2 8 5 8" xfId="12060" xr:uid="{00000000-0005-0000-0000-0000132F0000}"/>
    <cellStyle name="Normal 2 2 2 2 2 2 8 5 9" xfId="12061" xr:uid="{00000000-0005-0000-0000-0000142F0000}"/>
    <cellStyle name="Normal 2 2 2 2 2 2 8 6" xfId="12062" xr:uid="{00000000-0005-0000-0000-0000152F0000}"/>
    <cellStyle name="Normal 2 2 2 2 2 2 8 7" xfId="12063" xr:uid="{00000000-0005-0000-0000-0000162F0000}"/>
    <cellStyle name="Normal 2 2 2 2 2 2 8 8" xfId="12064" xr:uid="{00000000-0005-0000-0000-0000172F0000}"/>
    <cellStyle name="Normal 2 2 2 2 2 2 8 9" xfId="12065" xr:uid="{00000000-0005-0000-0000-0000182F0000}"/>
    <cellStyle name="Normal 2 2 2 2 2 2 9" xfId="12066" xr:uid="{00000000-0005-0000-0000-0000192F0000}"/>
    <cellStyle name="Normal 2 2 2 2 2 2 9 10" xfId="12067" xr:uid="{00000000-0005-0000-0000-00001A2F0000}"/>
    <cellStyle name="Normal 2 2 2 2 2 2 9 11" xfId="12068" xr:uid="{00000000-0005-0000-0000-00001B2F0000}"/>
    <cellStyle name="Normal 2 2 2 2 2 2 9 12" xfId="12069" xr:uid="{00000000-0005-0000-0000-00001C2F0000}"/>
    <cellStyle name="Normal 2 2 2 2 2 2 9 13" xfId="12070" xr:uid="{00000000-0005-0000-0000-00001D2F0000}"/>
    <cellStyle name="Normal 2 2 2 2 2 2 9 14" xfId="12071" xr:uid="{00000000-0005-0000-0000-00001E2F0000}"/>
    <cellStyle name="Normal 2 2 2 2 2 2 9 2" xfId="12072" xr:uid="{00000000-0005-0000-0000-00001F2F0000}"/>
    <cellStyle name="Normal 2 2 2 2 2 2 9 2 10" xfId="12073" xr:uid="{00000000-0005-0000-0000-0000202F0000}"/>
    <cellStyle name="Normal 2 2 2 2 2 2 9 2 2" xfId="12074" xr:uid="{00000000-0005-0000-0000-0000212F0000}"/>
    <cellStyle name="Normal 2 2 2 2 2 2 9 2 3" xfId="12075" xr:uid="{00000000-0005-0000-0000-0000222F0000}"/>
    <cellStyle name="Normal 2 2 2 2 2 2 9 2 4" xfId="12076" xr:uid="{00000000-0005-0000-0000-0000232F0000}"/>
    <cellStyle name="Normal 2 2 2 2 2 2 9 2 5" xfId="12077" xr:uid="{00000000-0005-0000-0000-0000242F0000}"/>
    <cellStyle name="Normal 2 2 2 2 2 2 9 2 6" xfId="12078" xr:uid="{00000000-0005-0000-0000-0000252F0000}"/>
    <cellStyle name="Normal 2 2 2 2 2 2 9 2 7" xfId="12079" xr:uid="{00000000-0005-0000-0000-0000262F0000}"/>
    <cellStyle name="Normal 2 2 2 2 2 2 9 2 8" xfId="12080" xr:uid="{00000000-0005-0000-0000-0000272F0000}"/>
    <cellStyle name="Normal 2 2 2 2 2 2 9 2 9" xfId="12081" xr:uid="{00000000-0005-0000-0000-0000282F0000}"/>
    <cellStyle name="Normal 2 2 2 2 2 2 9 3" xfId="12082" xr:uid="{00000000-0005-0000-0000-0000292F0000}"/>
    <cellStyle name="Normal 2 2 2 2 2 2 9 3 10" xfId="12083" xr:uid="{00000000-0005-0000-0000-00002A2F0000}"/>
    <cellStyle name="Normal 2 2 2 2 2 2 9 3 2" xfId="12084" xr:uid="{00000000-0005-0000-0000-00002B2F0000}"/>
    <cellStyle name="Normal 2 2 2 2 2 2 9 3 3" xfId="12085" xr:uid="{00000000-0005-0000-0000-00002C2F0000}"/>
    <cellStyle name="Normal 2 2 2 2 2 2 9 3 4" xfId="12086" xr:uid="{00000000-0005-0000-0000-00002D2F0000}"/>
    <cellStyle name="Normal 2 2 2 2 2 2 9 3 5" xfId="12087" xr:uid="{00000000-0005-0000-0000-00002E2F0000}"/>
    <cellStyle name="Normal 2 2 2 2 2 2 9 3 6" xfId="12088" xr:uid="{00000000-0005-0000-0000-00002F2F0000}"/>
    <cellStyle name="Normal 2 2 2 2 2 2 9 3 7" xfId="12089" xr:uid="{00000000-0005-0000-0000-0000302F0000}"/>
    <cellStyle name="Normal 2 2 2 2 2 2 9 3 8" xfId="12090" xr:uid="{00000000-0005-0000-0000-0000312F0000}"/>
    <cellStyle name="Normal 2 2 2 2 2 2 9 3 9" xfId="12091" xr:uid="{00000000-0005-0000-0000-0000322F0000}"/>
    <cellStyle name="Normal 2 2 2 2 2 2 9 4" xfId="12092" xr:uid="{00000000-0005-0000-0000-0000332F0000}"/>
    <cellStyle name="Normal 2 2 2 2 2 2 9 4 10" xfId="12093" xr:uid="{00000000-0005-0000-0000-0000342F0000}"/>
    <cellStyle name="Normal 2 2 2 2 2 2 9 4 2" xfId="12094" xr:uid="{00000000-0005-0000-0000-0000352F0000}"/>
    <cellStyle name="Normal 2 2 2 2 2 2 9 4 3" xfId="12095" xr:uid="{00000000-0005-0000-0000-0000362F0000}"/>
    <cellStyle name="Normal 2 2 2 2 2 2 9 4 4" xfId="12096" xr:uid="{00000000-0005-0000-0000-0000372F0000}"/>
    <cellStyle name="Normal 2 2 2 2 2 2 9 4 5" xfId="12097" xr:uid="{00000000-0005-0000-0000-0000382F0000}"/>
    <cellStyle name="Normal 2 2 2 2 2 2 9 4 6" xfId="12098" xr:uid="{00000000-0005-0000-0000-0000392F0000}"/>
    <cellStyle name="Normal 2 2 2 2 2 2 9 4 7" xfId="12099" xr:uid="{00000000-0005-0000-0000-00003A2F0000}"/>
    <cellStyle name="Normal 2 2 2 2 2 2 9 4 8" xfId="12100" xr:uid="{00000000-0005-0000-0000-00003B2F0000}"/>
    <cellStyle name="Normal 2 2 2 2 2 2 9 4 9" xfId="12101" xr:uid="{00000000-0005-0000-0000-00003C2F0000}"/>
    <cellStyle name="Normal 2 2 2 2 2 2 9 5" xfId="12102" xr:uid="{00000000-0005-0000-0000-00003D2F0000}"/>
    <cellStyle name="Normal 2 2 2 2 2 2 9 5 10" xfId="12103" xr:uid="{00000000-0005-0000-0000-00003E2F0000}"/>
    <cellStyle name="Normal 2 2 2 2 2 2 9 5 2" xfId="12104" xr:uid="{00000000-0005-0000-0000-00003F2F0000}"/>
    <cellStyle name="Normal 2 2 2 2 2 2 9 5 3" xfId="12105" xr:uid="{00000000-0005-0000-0000-0000402F0000}"/>
    <cellStyle name="Normal 2 2 2 2 2 2 9 5 4" xfId="12106" xr:uid="{00000000-0005-0000-0000-0000412F0000}"/>
    <cellStyle name="Normal 2 2 2 2 2 2 9 5 5" xfId="12107" xr:uid="{00000000-0005-0000-0000-0000422F0000}"/>
    <cellStyle name="Normal 2 2 2 2 2 2 9 5 6" xfId="12108" xr:uid="{00000000-0005-0000-0000-0000432F0000}"/>
    <cellStyle name="Normal 2 2 2 2 2 2 9 5 7" xfId="12109" xr:uid="{00000000-0005-0000-0000-0000442F0000}"/>
    <cellStyle name="Normal 2 2 2 2 2 2 9 5 8" xfId="12110" xr:uid="{00000000-0005-0000-0000-0000452F0000}"/>
    <cellStyle name="Normal 2 2 2 2 2 2 9 5 9" xfId="12111" xr:uid="{00000000-0005-0000-0000-0000462F0000}"/>
    <cellStyle name="Normal 2 2 2 2 2 2 9 6" xfId="12112" xr:uid="{00000000-0005-0000-0000-0000472F0000}"/>
    <cellStyle name="Normal 2 2 2 2 2 2 9 7" xfId="12113" xr:uid="{00000000-0005-0000-0000-0000482F0000}"/>
    <cellStyle name="Normal 2 2 2 2 2 2 9 8" xfId="12114" xr:uid="{00000000-0005-0000-0000-0000492F0000}"/>
    <cellStyle name="Normal 2 2 2 2 2 2 9 9" xfId="12115" xr:uid="{00000000-0005-0000-0000-00004A2F0000}"/>
    <cellStyle name="Normal 2 2 2 2 2 20" xfId="12116" xr:uid="{00000000-0005-0000-0000-00004B2F0000}"/>
    <cellStyle name="Normal 2 2 2 2 2 20 10" xfId="12117" xr:uid="{00000000-0005-0000-0000-00004C2F0000}"/>
    <cellStyle name="Normal 2 2 2 2 2 20 11" xfId="12118" xr:uid="{00000000-0005-0000-0000-00004D2F0000}"/>
    <cellStyle name="Normal 2 2 2 2 2 20 12" xfId="12119" xr:uid="{00000000-0005-0000-0000-00004E2F0000}"/>
    <cellStyle name="Normal 2 2 2 2 2 20 13" xfId="12120" xr:uid="{00000000-0005-0000-0000-00004F2F0000}"/>
    <cellStyle name="Normal 2 2 2 2 2 20 14" xfId="12121" xr:uid="{00000000-0005-0000-0000-0000502F0000}"/>
    <cellStyle name="Normal 2 2 2 2 2 20 2" xfId="12122" xr:uid="{00000000-0005-0000-0000-0000512F0000}"/>
    <cellStyle name="Normal 2 2 2 2 2 20 2 10" xfId="12123" xr:uid="{00000000-0005-0000-0000-0000522F0000}"/>
    <cellStyle name="Normal 2 2 2 2 2 20 2 2" xfId="12124" xr:uid="{00000000-0005-0000-0000-0000532F0000}"/>
    <cellStyle name="Normal 2 2 2 2 2 20 2 3" xfId="12125" xr:uid="{00000000-0005-0000-0000-0000542F0000}"/>
    <cellStyle name="Normal 2 2 2 2 2 20 2 4" xfId="12126" xr:uid="{00000000-0005-0000-0000-0000552F0000}"/>
    <cellStyle name="Normal 2 2 2 2 2 20 2 5" xfId="12127" xr:uid="{00000000-0005-0000-0000-0000562F0000}"/>
    <cellStyle name="Normal 2 2 2 2 2 20 2 6" xfId="12128" xr:uid="{00000000-0005-0000-0000-0000572F0000}"/>
    <cellStyle name="Normal 2 2 2 2 2 20 2 7" xfId="12129" xr:uid="{00000000-0005-0000-0000-0000582F0000}"/>
    <cellStyle name="Normal 2 2 2 2 2 20 2 8" xfId="12130" xr:uid="{00000000-0005-0000-0000-0000592F0000}"/>
    <cellStyle name="Normal 2 2 2 2 2 20 2 9" xfId="12131" xr:uid="{00000000-0005-0000-0000-00005A2F0000}"/>
    <cellStyle name="Normal 2 2 2 2 2 20 3" xfId="12132" xr:uid="{00000000-0005-0000-0000-00005B2F0000}"/>
    <cellStyle name="Normal 2 2 2 2 2 20 3 10" xfId="12133" xr:uid="{00000000-0005-0000-0000-00005C2F0000}"/>
    <cellStyle name="Normal 2 2 2 2 2 20 3 2" xfId="12134" xr:uid="{00000000-0005-0000-0000-00005D2F0000}"/>
    <cellStyle name="Normal 2 2 2 2 2 20 3 3" xfId="12135" xr:uid="{00000000-0005-0000-0000-00005E2F0000}"/>
    <cellStyle name="Normal 2 2 2 2 2 20 3 4" xfId="12136" xr:uid="{00000000-0005-0000-0000-00005F2F0000}"/>
    <cellStyle name="Normal 2 2 2 2 2 20 3 5" xfId="12137" xr:uid="{00000000-0005-0000-0000-0000602F0000}"/>
    <cellStyle name="Normal 2 2 2 2 2 20 3 6" xfId="12138" xr:uid="{00000000-0005-0000-0000-0000612F0000}"/>
    <cellStyle name="Normal 2 2 2 2 2 20 3 7" xfId="12139" xr:uid="{00000000-0005-0000-0000-0000622F0000}"/>
    <cellStyle name="Normal 2 2 2 2 2 20 3 8" xfId="12140" xr:uid="{00000000-0005-0000-0000-0000632F0000}"/>
    <cellStyle name="Normal 2 2 2 2 2 20 3 9" xfId="12141" xr:uid="{00000000-0005-0000-0000-0000642F0000}"/>
    <cellStyle name="Normal 2 2 2 2 2 20 4" xfId="12142" xr:uid="{00000000-0005-0000-0000-0000652F0000}"/>
    <cellStyle name="Normal 2 2 2 2 2 20 4 10" xfId="12143" xr:uid="{00000000-0005-0000-0000-0000662F0000}"/>
    <cellStyle name="Normal 2 2 2 2 2 20 4 2" xfId="12144" xr:uid="{00000000-0005-0000-0000-0000672F0000}"/>
    <cellStyle name="Normal 2 2 2 2 2 20 4 3" xfId="12145" xr:uid="{00000000-0005-0000-0000-0000682F0000}"/>
    <cellStyle name="Normal 2 2 2 2 2 20 4 4" xfId="12146" xr:uid="{00000000-0005-0000-0000-0000692F0000}"/>
    <cellStyle name="Normal 2 2 2 2 2 20 4 5" xfId="12147" xr:uid="{00000000-0005-0000-0000-00006A2F0000}"/>
    <cellStyle name="Normal 2 2 2 2 2 20 4 6" xfId="12148" xr:uid="{00000000-0005-0000-0000-00006B2F0000}"/>
    <cellStyle name="Normal 2 2 2 2 2 20 4 7" xfId="12149" xr:uid="{00000000-0005-0000-0000-00006C2F0000}"/>
    <cellStyle name="Normal 2 2 2 2 2 20 4 8" xfId="12150" xr:uid="{00000000-0005-0000-0000-00006D2F0000}"/>
    <cellStyle name="Normal 2 2 2 2 2 20 4 9" xfId="12151" xr:uid="{00000000-0005-0000-0000-00006E2F0000}"/>
    <cellStyle name="Normal 2 2 2 2 2 20 5" xfId="12152" xr:uid="{00000000-0005-0000-0000-00006F2F0000}"/>
    <cellStyle name="Normal 2 2 2 2 2 20 5 10" xfId="12153" xr:uid="{00000000-0005-0000-0000-0000702F0000}"/>
    <cellStyle name="Normal 2 2 2 2 2 20 5 2" xfId="12154" xr:uid="{00000000-0005-0000-0000-0000712F0000}"/>
    <cellStyle name="Normal 2 2 2 2 2 20 5 3" xfId="12155" xr:uid="{00000000-0005-0000-0000-0000722F0000}"/>
    <cellStyle name="Normal 2 2 2 2 2 20 5 4" xfId="12156" xr:uid="{00000000-0005-0000-0000-0000732F0000}"/>
    <cellStyle name="Normal 2 2 2 2 2 20 5 5" xfId="12157" xr:uid="{00000000-0005-0000-0000-0000742F0000}"/>
    <cellStyle name="Normal 2 2 2 2 2 20 5 6" xfId="12158" xr:uid="{00000000-0005-0000-0000-0000752F0000}"/>
    <cellStyle name="Normal 2 2 2 2 2 20 5 7" xfId="12159" xr:uid="{00000000-0005-0000-0000-0000762F0000}"/>
    <cellStyle name="Normal 2 2 2 2 2 20 5 8" xfId="12160" xr:uid="{00000000-0005-0000-0000-0000772F0000}"/>
    <cellStyle name="Normal 2 2 2 2 2 20 5 9" xfId="12161" xr:uid="{00000000-0005-0000-0000-0000782F0000}"/>
    <cellStyle name="Normal 2 2 2 2 2 20 6" xfId="12162" xr:uid="{00000000-0005-0000-0000-0000792F0000}"/>
    <cellStyle name="Normal 2 2 2 2 2 20 7" xfId="12163" xr:uid="{00000000-0005-0000-0000-00007A2F0000}"/>
    <cellStyle name="Normal 2 2 2 2 2 20 8" xfId="12164" xr:uid="{00000000-0005-0000-0000-00007B2F0000}"/>
    <cellStyle name="Normal 2 2 2 2 2 20 9" xfId="12165" xr:uid="{00000000-0005-0000-0000-00007C2F0000}"/>
    <cellStyle name="Normal 2 2 2 2 2 21" xfId="12166" xr:uid="{00000000-0005-0000-0000-00007D2F0000}"/>
    <cellStyle name="Normal 2 2 2 2 2 21 10" xfId="12167" xr:uid="{00000000-0005-0000-0000-00007E2F0000}"/>
    <cellStyle name="Normal 2 2 2 2 2 21 11" xfId="12168" xr:uid="{00000000-0005-0000-0000-00007F2F0000}"/>
    <cellStyle name="Normal 2 2 2 2 2 21 12" xfId="12169" xr:uid="{00000000-0005-0000-0000-0000802F0000}"/>
    <cellStyle name="Normal 2 2 2 2 2 21 13" xfId="12170" xr:uid="{00000000-0005-0000-0000-0000812F0000}"/>
    <cellStyle name="Normal 2 2 2 2 2 21 14" xfId="12171" xr:uid="{00000000-0005-0000-0000-0000822F0000}"/>
    <cellStyle name="Normal 2 2 2 2 2 21 2" xfId="12172" xr:uid="{00000000-0005-0000-0000-0000832F0000}"/>
    <cellStyle name="Normal 2 2 2 2 2 21 2 10" xfId="12173" xr:uid="{00000000-0005-0000-0000-0000842F0000}"/>
    <cellStyle name="Normal 2 2 2 2 2 21 2 2" xfId="12174" xr:uid="{00000000-0005-0000-0000-0000852F0000}"/>
    <cellStyle name="Normal 2 2 2 2 2 21 2 3" xfId="12175" xr:uid="{00000000-0005-0000-0000-0000862F0000}"/>
    <cellStyle name="Normal 2 2 2 2 2 21 2 4" xfId="12176" xr:uid="{00000000-0005-0000-0000-0000872F0000}"/>
    <cellStyle name="Normal 2 2 2 2 2 21 2 5" xfId="12177" xr:uid="{00000000-0005-0000-0000-0000882F0000}"/>
    <cellStyle name="Normal 2 2 2 2 2 21 2 6" xfId="12178" xr:uid="{00000000-0005-0000-0000-0000892F0000}"/>
    <cellStyle name="Normal 2 2 2 2 2 21 2 7" xfId="12179" xr:uid="{00000000-0005-0000-0000-00008A2F0000}"/>
    <cellStyle name="Normal 2 2 2 2 2 21 2 8" xfId="12180" xr:uid="{00000000-0005-0000-0000-00008B2F0000}"/>
    <cellStyle name="Normal 2 2 2 2 2 21 2 9" xfId="12181" xr:uid="{00000000-0005-0000-0000-00008C2F0000}"/>
    <cellStyle name="Normal 2 2 2 2 2 21 3" xfId="12182" xr:uid="{00000000-0005-0000-0000-00008D2F0000}"/>
    <cellStyle name="Normal 2 2 2 2 2 21 3 10" xfId="12183" xr:uid="{00000000-0005-0000-0000-00008E2F0000}"/>
    <cellStyle name="Normal 2 2 2 2 2 21 3 2" xfId="12184" xr:uid="{00000000-0005-0000-0000-00008F2F0000}"/>
    <cellStyle name="Normal 2 2 2 2 2 21 3 3" xfId="12185" xr:uid="{00000000-0005-0000-0000-0000902F0000}"/>
    <cellStyle name="Normal 2 2 2 2 2 21 3 4" xfId="12186" xr:uid="{00000000-0005-0000-0000-0000912F0000}"/>
    <cellStyle name="Normal 2 2 2 2 2 21 3 5" xfId="12187" xr:uid="{00000000-0005-0000-0000-0000922F0000}"/>
    <cellStyle name="Normal 2 2 2 2 2 21 3 6" xfId="12188" xr:uid="{00000000-0005-0000-0000-0000932F0000}"/>
    <cellStyle name="Normal 2 2 2 2 2 21 3 7" xfId="12189" xr:uid="{00000000-0005-0000-0000-0000942F0000}"/>
    <cellStyle name="Normal 2 2 2 2 2 21 3 8" xfId="12190" xr:uid="{00000000-0005-0000-0000-0000952F0000}"/>
    <cellStyle name="Normal 2 2 2 2 2 21 3 9" xfId="12191" xr:uid="{00000000-0005-0000-0000-0000962F0000}"/>
    <cellStyle name="Normal 2 2 2 2 2 21 4" xfId="12192" xr:uid="{00000000-0005-0000-0000-0000972F0000}"/>
    <cellStyle name="Normal 2 2 2 2 2 21 4 10" xfId="12193" xr:uid="{00000000-0005-0000-0000-0000982F0000}"/>
    <cellStyle name="Normal 2 2 2 2 2 21 4 2" xfId="12194" xr:uid="{00000000-0005-0000-0000-0000992F0000}"/>
    <cellStyle name="Normal 2 2 2 2 2 21 4 3" xfId="12195" xr:uid="{00000000-0005-0000-0000-00009A2F0000}"/>
    <cellStyle name="Normal 2 2 2 2 2 21 4 4" xfId="12196" xr:uid="{00000000-0005-0000-0000-00009B2F0000}"/>
    <cellStyle name="Normal 2 2 2 2 2 21 4 5" xfId="12197" xr:uid="{00000000-0005-0000-0000-00009C2F0000}"/>
    <cellStyle name="Normal 2 2 2 2 2 21 4 6" xfId="12198" xr:uid="{00000000-0005-0000-0000-00009D2F0000}"/>
    <cellStyle name="Normal 2 2 2 2 2 21 4 7" xfId="12199" xr:uid="{00000000-0005-0000-0000-00009E2F0000}"/>
    <cellStyle name="Normal 2 2 2 2 2 21 4 8" xfId="12200" xr:uid="{00000000-0005-0000-0000-00009F2F0000}"/>
    <cellStyle name="Normal 2 2 2 2 2 21 4 9" xfId="12201" xr:uid="{00000000-0005-0000-0000-0000A02F0000}"/>
    <cellStyle name="Normal 2 2 2 2 2 21 5" xfId="12202" xr:uid="{00000000-0005-0000-0000-0000A12F0000}"/>
    <cellStyle name="Normal 2 2 2 2 2 21 5 10" xfId="12203" xr:uid="{00000000-0005-0000-0000-0000A22F0000}"/>
    <cellStyle name="Normal 2 2 2 2 2 21 5 2" xfId="12204" xr:uid="{00000000-0005-0000-0000-0000A32F0000}"/>
    <cellStyle name="Normal 2 2 2 2 2 21 5 3" xfId="12205" xr:uid="{00000000-0005-0000-0000-0000A42F0000}"/>
    <cellStyle name="Normal 2 2 2 2 2 21 5 4" xfId="12206" xr:uid="{00000000-0005-0000-0000-0000A52F0000}"/>
    <cellStyle name="Normal 2 2 2 2 2 21 5 5" xfId="12207" xr:uid="{00000000-0005-0000-0000-0000A62F0000}"/>
    <cellStyle name="Normal 2 2 2 2 2 21 5 6" xfId="12208" xr:uid="{00000000-0005-0000-0000-0000A72F0000}"/>
    <cellStyle name="Normal 2 2 2 2 2 21 5 7" xfId="12209" xr:uid="{00000000-0005-0000-0000-0000A82F0000}"/>
    <cellStyle name="Normal 2 2 2 2 2 21 5 8" xfId="12210" xr:uid="{00000000-0005-0000-0000-0000A92F0000}"/>
    <cellStyle name="Normal 2 2 2 2 2 21 5 9" xfId="12211" xr:uid="{00000000-0005-0000-0000-0000AA2F0000}"/>
    <cellStyle name="Normal 2 2 2 2 2 21 6" xfId="12212" xr:uid="{00000000-0005-0000-0000-0000AB2F0000}"/>
    <cellStyle name="Normal 2 2 2 2 2 21 7" xfId="12213" xr:uid="{00000000-0005-0000-0000-0000AC2F0000}"/>
    <cellStyle name="Normal 2 2 2 2 2 21 8" xfId="12214" xr:uid="{00000000-0005-0000-0000-0000AD2F0000}"/>
    <cellStyle name="Normal 2 2 2 2 2 21 9" xfId="12215" xr:uid="{00000000-0005-0000-0000-0000AE2F0000}"/>
    <cellStyle name="Normal 2 2 2 2 2 22" xfId="12216" xr:uid="{00000000-0005-0000-0000-0000AF2F0000}"/>
    <cellStyle name="Normal 2 2 2 2 2 22 10" xfId="12217" xr:uid="{00000000-0005-0000-0000-0000B02F0000}"/>
    <cellStyle name="Normal 2 2 2 2 2 22 11" xfId="12218" xr:uid="{00000000-0005-0000-0000-0000B12F0000}"/>
    <cellStyle name="Normal 2 2 2 2 2 22 12" xfId="12219" xr:uid="{00000000-0005-0000-0000-0000B22F0000}"/>
    <cellStyle name="Normal 2 2 2 2 2 22 13" xfId="12220" xr:uid="{00000000-0005-0000-0000-0000B32F0000}"/>
    <cellStyle name="Normal 2 2 2 2 2 22 14" xfId="12221" xr:uid="{00000000-0005-0000-0000-0000B42F0000}"/>
    <cellStyle name="Normal 2 2 2 2 2 22 2" xfId="12222" xr:uid="{00000000-0005-0000-0000-0000B52F0000}"/>
    <cellStyle name="Normal 2 2 2 2 2 22 2 10" xfId="12223" xr:uid="{00000000-0005-0000-0000-0000B62F0000}"/>
    <cellStyle name="Normal 2 2 2 2 2 22 2 2" xfId="12224" xr:uid="{00000000-0005-0000-0000-0000B72F0000}"/>
    <cellStyle name="Normal 2 2 2 2 2 22 2 3" xfId="12225" xr:uid="{00000000-0005-0000-0000-0000B82F0000}"/>
    <cellStyle name="Normal 2 2 2 2 2 22 2 4" xfId="12226" xr:uid="{00000000-0005-0000-0000-0000B92F0000}"/>
    <cellStyle name="Normal 2 2 2 2 2 22 2 5" xfId="12227" xr:uid="{00000000-0005-0000-0000-0000BA2F0000}"/>
    <cellStyle name="Normal 2 2 2 2 2 22 2 6" xfId="12228" xr:uid="{00000000-0005-0000-0000-0000BB2F0000}"/>
    <cellStyle name="Normal 2 2 2 2 2 22 2 7" xfId="12229" xr:uid="{00000000-0005-0000-0000-0000BC2F0000}"/>
    <cellStyle name="Normal 2 2 2 2 2 22 2 8" xfId="12230" xr:uid="{00000000-0005-0000-0000-0000BD2F0000}"/>
    <cellStyle name="Normal 2 2 2 2 2 22 2 9" xfId="12231" xr:uid="{00000000-0005-0000-0000-0000BE2F0000}"/>
    <cellStyle name="Normal 2 2 2 2 2 22 3" xfId="12232" xr:uid="{00000000-0005-0000-0000-0000BF2F0000}"/>
    <cellStyle name="Normal 2 2 2 2 2 22 3 10" xfId="12233" xr:uid="{00000000-0005-0000-0000-0000C02F0000}"/>
    <cellStyle name="Normal 2 2 2 2 2 22 3 2" xfId="12234" xr:uid="{00000000-0005-0000-0000-0000C12F0000}"/>
    <cellStyle name="Normal 2 2 2 2 2 22 3 3" xfId="12235" xr:uid="{00000000-0005-0000-0000-0000C22F0000}"/>
    <cellStyle name="Normal 2 2 2 2 2 22 3 4" xfId="12236" xr:uid="{00000000-0005-0000-0000-0000C32F0000}"/>
    <cellStyle name="Normal 2 2 2 2 2 22 3 5" xfId="12237" xr:uid="{00000000-0005-0000-0000-0000C42F0000}"/>
    <cellStyle name="Normal 2 2 2 2 2 22 3 6" xfId="12238" xr:uid="{00000000-0005-0000-0000-0000C52F0000}"/>
    <cellStyle name="Normal 2 2 2 2 2 22 3 7" xfId="12239" xr:uid="{00000000-0005-0000-0000-0000C62F0000}"/>
    <cellStyle name="Normal 2 2 2 2 2 22 3 8" xfId="12240" xr:uid="{00000000-0005-0000-0000-0000C72F0000}"/>
    <cellStyle name="Normal 2 2 2 2 2 22 3 9" xfId="12241" xr:uid="{00000000-0005-0000-0000-0000C82F0000}"/>
    <cellStyle name="Normal 2 2 2 2 2 22 4" xfId="12242" xr:uid="{00000000-0005-0000-0000-0000C92F0000}"/>
    <cellStyle name="Normal 2 2 2 2 2 22 4 10" xfId="12243" xr:uid="{00000000-0005-0000-0000-0000CA2F0000}"/>
    <cellStyle name="Normal 2 2 2 2 2 22 4 2" xfId="12244" xr:uid="{00000000-0005-0000-0000-0000CB2F0000}"/>
    <cellStyle name="Normal 2 2 2 2 2 22 4 3" xfId="12245" xr:uid="{00000000-0005-0000-0000-0000CC2F0000}"/>
    <cellStyle name="Normal 2 2 2 2 2 22 4 4" xfId="12246" xr:uid="{00000000-0005-0000-0000-0000CD2F0000}"/>
    <cellStyle name="Normal 2 2 2 2 2 22 4 5" xfId="12247" xr:uid="{00000000-0005-0000-0000-0000CE2F0000}"/>
    <cellStyle name="Normal 2 2 2 2 2 22 4 6" xfId="12248" xr:uid="{00000000-0005-0000-0000-0000CF2F0000}"/>
    <cellStyle name="Normal 2 2 2 2 2 22 4 7" xfId="12249" xr:uid="{00000000-0005-0000-0000-0000D02F0000}"/>
    <cellStyle name="Normal 2 2 2 2 2 22 4 8" xfId="12250" xr:uid="{00000000-0005-0000-0000-0000D12F0000}"/>
    <cellStyle name="Normal 2 2 2 2 2 22 4 9" xfId="12251" xr:uid="{00000000-0005-0000-0000-0000D22F0000}"/>
    <cellStyle name="Normal 2 2 2 2 2 22 5" xfId="12252" xr:uid="{00000000-0005-0000-0000-0000D32F0000}"/>
    <cellStyle name="Normal 2 2 2 2 2 22 5 10" xfId="12253" xr:uid="{00000000-0005-0000-0000-0000D42F0000}"/>
    <cellStyle name="Normal 2 2 2 2 2 22 5 2" xfId="12254" xr:uid="{00000000-0005-0000-0000-0000D52F0000}"/>
    <cellStyle name="Normal 2 2 2 2 2 22 5 3" xfId="12255" xr:uid="{00000000-0005-0000-0000-0000D62F0000}"/>
    <cellStyle name="Normal 2 2 2 2 2 22 5 4" xfId="12256" xr:uid="{00000000-0005-0000-0000-0000D72F0000}"/>
    <cellStyle name="Normal 2 2 2 2 2 22 5 5" xfId="12257" xr:uid="{00000000-0005-0000-0000-0000D82F0000}"/>
    <cellStyle name="Normal 2 2 2 2 2 22 5 6" xfId="12258" xr:uid="{00000000-0005-0000-0000-0000D92F0000}"/>
    <cellStyle name="Normal 2 2 2 2 2 22 5 7" xfId="12259" xr:uid="{00000000-0005-0000-0000-0000DA2F0000}"/>
    <cellStyle name="Normal 2 2 2 2 2 22 5 8" xfId="12260" xr:uid="{00000000-0005-0000-0000-0000DB2F0000}"/>
    <cellStyle name="Normal 2 2 2 2 2 22 5 9" xfId="12261" xr:uid="{00000000-0005-0000-0000-0000DC2F0000}"/>
    <cellStyle name="Normal 2 2 2 2 2 22 6" xfId="12262" xr:uid="{00000000-0005-0000-0000-0000DD2F0000}"/>
    <cellStyle name="Normal 2 2 2 2 2 22 7" xfId="12263" xr:uid="{00000000-0005-0000-0000-0000DE2F0000}"/>
    <cellStyle name="Normal 2 2 2 2 2 22 8" xfId="12264" xr:uid="{00000000-0005-0000-0000-0000DF2F0000}"/>
    <cellStyle name="Normal 2 2 2 2 2 22 9" xfId="12265" xr:uid="{00000000-0005-0000-0000-0000E02F0000}"/>
    <cellStyle name="Normal 2 2 2 2 2 23" xfId="12266" xr:uid="{00000000-0005-0000-0000-0000E12F0000}"/>
    <cellStyle name="Normal 2 2 2 2 2 23 10" xfId="12267" xr:uid="{00000000-0005-0000-0000-0000E22F0000}"/>
    <cellStyle name="Normal 2 2 2 2 2 23 11" xfId="12268" xr:uid="{00000000-0005-0000-0000-0000E32F0000}"/>
    <cellStyle name="Normal 2 2 2 2 2 23 12" xfId="12269" xr:uid="{00000000-0005-0000-0000-0000E42F0000}"/>
    <cellStyle name="Normal 2 2 2 2 2 23 13" xfId="12270" xr:uid="{00000000-0005-0000-0000-0000E52F0000}"/>
    <cellStyle name="Normal 2 2 2 2 2 23 14" xfId="12271" xr:uid="{00000000-0005-0000-0000-0000E62F0000}"/>
    <cellStyle name="Normal 2 2 2 2 2 23 2" xfId="12272" xr:uid="{00000000-0005-0000-0000-0000E72F0000}"/>
    <cellStyle name="Normal 2 2 2 2 2 23 2 10" xfId="12273" xr:uid="{00000000-0005-0000-0000-0000E82F0000}"/>
    <cellStyle name="Normal 2 2 2 2 2 23 2 2" xfId="12274" xr:uid="{00000000-0005-0000-0000-0000E92F0000}"/>
    <cellStyle name="Normal 2 2 2 2 2 23 2 3" xfId="12275" xr:uid="{00000000-0005-0000-0000-0000EA2F0000}"/>
    <cellStyle name="Normal 2 2 2 2 2 23 2 4" xfId="12276" xr:uid="{00000000-0005-0000-0000-0000EB2F0000}"/>
    <cellStyle name="Normal 2 2 2 2 2 23 2 5" xfId="12277" xr:uid="{00000000-0005-0000-0000-0000EC2F0000}"/>
    <cellStyle name="Normal 2 2 2 2 2 23 2 6" xfId="12278" xr:uid="{00000000-0005-0000-0000-0000ED2F0000}"/>
    <cellStyle name="Normal 2 2 2 2 2 23 2 7" xfId="12279" xr:uid="{00000000-0005-0000-0000-0000EE2F0000}"/>
    <cellStyle name="Normal 2 2 2 2 2 23 2 8" xfId="12280" xr:uid="{00000000-0005-0000-0000-0000EF2F0000}"/>
    <cellStyle name="Normal 2 2 2 2 2 23 2 9" xfId="12281" xr:uid="{00000000-0005-0000-0000-0000F02F0000}"/>
    <cellStyle name="Normal 2 2 2 2 2 23 3" xfId="12282" xr:uid="{00000000-0005-0000-0000-0000F12F0000}"/>
    <cellStyle name="Normal 2 2 2 2 2 23 3 10" xfId="12283" xr:uid="{00000000-0005-0000-0000-0000F22F0000}"/>
    <cellStyle name="Normal 2 2 2 2 2 23 3 2" xfId="12284" xr:uid="{00000000-0005-0000-0000-0000F32F0000}"/>
    <cellStyle name="Normal 2 2 2 2 2 23 3 3" xfId="12285" xr:uid="{00000000-0005-0000-0000-0000F42F0000}"/>
    <cellStyle name="Normal 2 2 2 2 2 23 3 4" xfId="12286" xr:uid="{00000000-0005-0000-0000-0000F52F0000}"/>
    <cellStyle name="Normal 2 2 2 2 2 23 3 5" xfId="12287" xr:uid="{00000000-0005-0000-0000-0000F62F0000}"/>
    <cellStyle name="Normal 2 2 2 2 2 23 3 6" xfId="12288" xr:uid="{00000000-0005-0000-0000-0000F72F0000}"/>
    <cellStyle name="Normal 2 2 2 2 2 23 3 7" xfId="12289" xr:uid="{00000000-0005-0000-0000-0000F82F0000}"/>
    <cellStyle name="Normal 2 2 2 2 2 23 3 8" xfId="12290" xr:uid="{00000000-0005-0000-0000-0000F92F0000}"/>
    <cellStyle name="Normal 2 2 2 2 2 23 3 9" xfId="12291" xr:uid="{00000000-0005-0000-0000-0000FA2F0000}"/>
    <cellStyle name="Normal 2 2 2 2 2 23 4" xfId="12292" xr:uid="{00000000-0005-0000-0000-0000FB2F0000}"/>
    <cellStyle name="Normal 2 2 2 2 2 23 4 10" xfId="12293" xr:uid="{00000000-0005-0000-0000-0000FC2F0000}"/>
    <cellStyle name="Normal 2 2 2 2 2 23 4 2" xfId="12294" xr:uid="{00000000-0005-0000-0000-0000FD2F0000}"/>
    <cellStyle name="Normal 2 2 2 2 2 23 4 3" xfId="12295" xr:uid="{00000000-0005-0000-0000-0000FE2F0000}"/>
    <cellStyle name="Normal 2 2 2 2 2 23 4 4" xfId="12296" xr:uid="{00000000-0005-0000-0000-0000FF2F0000}"/>
    <cellStyle name="Normal 2 2 2 2 2 23 4 5" xfId="12297" xr:uid="{00000000-0005-0000-0000-000000300000}"/>
    <cellStyle name="Normal 2 2 2 2 2 23 4 6" xfId="12298" xr:uid="{00000000-0005-0000-0000-000001300000}"/>
    <cellStyle name="Normal 2 2 2 2 2 23 4 7" xfId="12299" xr:uid="{00000000-0005-0000-0000-000002300000}"/>
    <cellStyle name="Normal 2 2 2 2 2 23 4 8" xfId="12300" xr:uid="{00000000-0005-0000-0000-000003300000}"/>
    <cellStyle name="Normal 2 2 2 2 2 23 4 9" xfId="12301" xr:uid="{00000000-0005-0000-0000-000004300000}"/>
    <cellStyle name="Normal 2 2 2 2 2 23 5" xfId="12302" xr:uid="{00000000-0005-0000-0000-000005300000}"/>
    <cellStyle name="Normal 2 2 2 2 2 23 5 10" xfId="12303" xr:uid="{00000000-0005-0000-0000-000006300000}"/>
    <cellStyle name="Normal 2 2 2 2 2 23 5 2" xfId="12304" xr:uid="{00000000-0005-0000-0000-000007300000}"/>
    <cellStyle name="Normal 2 2 2 2 2 23 5 3" xfId="12305" xr:uid="{00000000-0005-0000-0000-000008300000}"/>
    <cellStyle name="Normal 2 2 2 2 2 23 5 4" xfId="12306" xr:uid="{00000000-0005-0000-0000-000009300000}"/>
    <cellStyle name="Normal 2 2 2 2 2 23 5 5" xfId="12307" xr:uid="{00000000-0005-0000-0000-00000A300000}"/>
    <cellStyle name="Normal 2 2 2 2 2 23 5 6" xfId="12308" xr:uid="{00000000-0005-0000-0000-00000B300000}"/>
    <cellStyle name="Normal 2 2 2 2 2 23 5 7" xfId="12309" xr:uid="{00000000-0005-0000-0000-00000C300000}"/>
    <cellStyle name="Normal 2 2 2 2 2 23 5 8" xfId="12310" xr:uid="{00000000-0005-0000-0000-00000D300000}"/>
    <cellStyle name="Normal 2 2 2 2 2 23 5 9" xfId="12311" xr:uid="{00000000-0005-0000-0000-00000E300000}"/>
    <cellStyle name="Normal 2 2 2 2 2 23 6" xfId="12312" xr:uid="{00000000-0005-0000-0000-00000F300000}"/>
    <cellStyle name="Normal 2 2 2 2 2 23 7" xfId="12313" xr:uid="{00000000-0005-0000-0000-000010300000}"/>
    <cellStyle name="Normal 2 2 2 2 2 23 8" xfId="12314" xr:uid="{00000000-0005-0000-0000-000011300000}"/>
    <cellStyle name="Normal 2 2 2 2 2 23 9" xfId="12315" xr:uid="{00000000-0005-0000-0000-000012300000}"/>
    <cellStyle name="Normal 2 2 2 2 2 24" xfId="12316" xr:uid="{00000000-0005-0000-0000-000013300000}"/>
    <cellStyle name="Normal 2 2 2 2 2 24 10" xfId="12317" xr:uid="{00000000-0005-0000-0000-000014300000}"/>
    <cellStyle name="Normal 2 2 2 2 2 24 11" xfId="12318" xr:uid="{00000000-0005-0000-0000-000015300000}"/>
    <cellStyle name="Normal 2 2 2 2 2 24 12" xfId="12319" xr:uid="{00000000-0005-0000-0000-000016300000}"/>
    <cellStyle name="Normal 2 2 2 2 2 24 13" xfId="12320" xr:uid="{00000000-0005-0000-0000-000017300000}"/>
    <cellStyle name="Normal 2 2 2 2 2 24 14" xfId="12321" xr:uid="{00000000-0005-0000-0000-000018300000}"/>
    <cellStyle name="Normal 2 2 2 2 2 24 2" xfId="12322" xr:uid="{00000000-0005-0000-0000-000019300000}"/>
    <cellStyle name="Normal 2 2 2 2 2 24 2 10" xfId="12323" xr:uid="{00000000-0005-0000-0000-00001A300000}"/>
    <cellStyle name="Normal 2 2 2 2 2 24 2 2" xfId="12324" xr:uid="{00000000-0005-0000-0000-00001B300000}"/>
    <cellStyle name="Normal 2 2 2 2 2 24 2 3" xfId="12325" xr:uid="{00000000-0005-0000-0000-00001C300000}"/>
    <cellStyle name="Normal 2 2 2 2 2 24 2 4" xfId="12326" xr:uid="{00000000-0005-0000-0000-00001D300000}"/>
    <cellStyle name="Normal 2 2 2 2 2 24 2 5" xfId="12327" xr:uid="{00000000-0005-0000-0000-00001E300000}"/>
    <cellStyle name="Normal 2 2 2 2 2 24 2 6" xfId="12328" xr:uid="{00000000-0005-0000-0000-00001F300000}"/>
    <cellStyle name="Normal 2 2 2 2 2 24 2 7" xfId="12329" xr:uid="{00000000-0005-0000-0000-000020300000}"/>
    <cellStyle name="Normal 2 2 2 2 2 24 2 8" xfId="12330" xr:uid="{00000000-0005-0000-0000-000021300000}"/>
    <cellStyle name="Normal 2 2 2 2 2 24 2 9" xfId="12331" xr:uid="{00000000-0005-0000-0000-000022300000}"/>
    <cellStyle name="Normal 2 2 2 2 2 24 3" xfId="12332" xr:uid="{00000000-0005-0000-0000-000023300000}"/>
    <cellStyle name="Normal 2 2 2 2 2 24 3 10" xfId="12333" xr:uid="{00000000-0005-0000-0000-000024300000}"/>
    <cellStyle name="Normal 2 2 2 2 2 24 3 2" xfId="12334" xr:uid="{00000000-0005-0000-0000-000025300000}"/>
    <cellStyle name="Normal 2 2 2 2 2 24 3 3" xfId="12335" xr:uid="{00000000-0005-0000-0000-000026300000}"/>
    <cellStyle name="Normal 2 2 2 2 2 24 3 4" xfId="12336" xr:uid="{00000000-0005-0000-0000-000027300000}"/>
    <cellStyle name="Normal 2 2 2 2 2 24 3 5" xfId="12337" xr:uid="{00000000-0005-0000-0000-000028300000}"/>
    <cellStyle name="Normal 2 2 2 2 2 24 3 6" xfId="12338" xr:uid="{00000000-0005-0000-0000-000029300000}"/>
    <cellStyle name="Normal 2 2 2 2 2 24 3 7" xfId="12339" xr:uid="{00000000-0005-0000-0000-00002A300000}"/>
    <cellStyle name="Normal 2 2 2 2 2 24 3 8" xfId="12340" xr:uid="{00000000-0005-0000-0000-00002B300000}"/>
    <cellStyle name="Normal 2 2 2 2 2 24 3 9" xfId="12341" xr:uid="{00000000-0005-0000-0000-00002C300000}"/>
    <cellStyle name="Normal 2 2 2 2 2 24 4" xfId="12342" xr:uid="{00000000-0005-0000-0000-00002D300000}"/>
    <cellStyle name="Normal 2 2 2 2 2 24 4 10" xfId="12343" xr:uid="{00000000-0005-0000-0000-00002E300000}"/>
    <cellStyle name="Normal 2 2 2 2 2 24 4 2" xfId="12344" xr:uid="{00000000-0005-0000-0000-00002F300000}"/>
    <cellStyle name="Normal 2 2 2 2 2 24 4 3" xfId="12345" xr:uid="{00000000-0005-0000-0000-000030300000}"/>
    <cellStyle name="Normal 2 2 2 2 2 24 4 4" xfId="12346" xr:uid="{00000000-0005-0000-0000-000031300000}"/>
    <cellStyle name="Normal 2 2 2 2 2 24 4 5" xfId="12347" xr:uid="{00000000-0005-0000-0000-000032300000}"/>
    <cellStyle name="Normal 2 2 2 2 2 24 4 6" xfId="12348" xr:uid="{00000000-0005-0000-0000-000033300000}"/>
    <cellStyle name="Normal 2 2 2 2 2 24 4 7" xfId="12349" xr:uid="{00000000-0005-0000-0000-000034300000}"/>
    <cellStyle name="Normal 2 2 2 2 2 24 4 8" xfId="12350" xr:uid="{00000000-0005-0000-0000-000035300000}"/>
    <cellStyle name="Normal 2 2 2 2 2 24 4 9" xfId="12351" xr:uid="{00000000-0005-0000-0000-000036300000}"/>
    <cellStyle name="Normal 2 2 2 2 2 24 5" xfId="12352" xr:uid="{00000000-0005-0000-0000-000037300000}"/>
    <cellStyle name="Normal 2 2 2 2 2 24 5 10" xfId="12353" xr:uid="{00000000-0005-0000-0000-000038300000}"/>
    <cellStyle name="Normal 2 2 2 2 2 24 5 2" xfId="12354" xr:uid="{00000000-0005-0000-0000-000039300000}"/>
    <cellStyle name="Normal 2 2 2 2 2 24 5 3" xfId="12355" xr:uid="{00000000-0005-0000-0000-00003A300000}"/>
    <cellStyle name="Normal 2 2 2 2 2 24 5 4" xfId="12356" xr:uid="{00000000-0005-0000-0000-00003B300000}"/>
    <cellStyle name="Normal 2 2 2 2 2 24 5 5" xfId="12357" xr:uid="{00000000-0005-0000-0000-00003C300000}"/>
    <cellStyle name="Normal 2 2 2 2 2 24 5 6" xfId="12358" xr:uid="{00000000-0005-0000-0000-00003D300000}"/>
    <cellStyle name="Normal 2 2 2 2 2 24 5 7" xfId="12359" xr:uid="{00000000-0005-0000-0000-00003E300000}"/>
    <cellStyle name="Normal 2 2 2 2 2 24 5 8" xfId="12360" xr:uid="{00000000-0005-0000-0000-00003F300000}"/>
    <cellStyle name="Normal 2 2 2 2 2 24 5 9" xfId="12361" xr:uid="{00000000-0005-0000-0000-000040300000}"/>
    <cellStyle name="Normal 2 2 2 2 2 24 6" xfId="12362" xr:uid="{00000000-0005-0000-0000-000041300000}"/>
    <cellStyle name="Normal 2 2 2 2 2 24 7" xfId="12363" xr:uid="{00000000-0005-0000-0000-000042300000}"/>
    <cellStyle name="Normal 2 2 2 2 2 24 8" xfId="12364" xr:uid="{00000000-0005-0000-0000-000043300000}"/>
    <cellStyle name="Normal 2 2 2 2 2 24 9" xfId="12365" xr:uid="{00000000-0005-0000-0000-000044300000}"/>
    <cellStyle name="Normal 2 2 2 2 2 25" xfId="12366" xr:uid="{00000000-0005-0000-0000-000045300000}"/>
    <cellStyle name="Normal 2 2 2 2 2 25 10" xfId="12367" xr:uid="{00000000-0005-0000-0000-000046300000}"/>
    <cellStyle name="Normal 2 2 2 2 2 25 11" xfId="12368" xr:uid="{00000000-0005-0000-0000-000047300000}"/>
    <cellStyle name="Normal 2 2 2 2 2 25 12" xfId="12369" xr:uid="{00000000-0005-0000-0000-000048300000}"/>
    <cellStyle name="Normal 2 2 2 2 2 25 13" xfId="12370" xr:uid="{00000000-0005-0000-0000-000049300000}"/>
    <cellStyle name="Normal 2 2 2 2 2 25 14" xfId="12371" xr:uid="{00000000-0005-0000-0000-00004A300000}"/>
    <cellStyle name="Normal 2 2 2 2 2 25 2" xfId="12372" xr:uid="{00000000-0005-0000-0000-00004B300000}"/>
    <cellStyle name="Normal 2 2 2 2 2 25 2 10" xfId="12373" xr:uid="{00000000-0005-0000-0000-00004C300000}"/>
    <cellStyle name="Normal 2 2 2 2 2 25 2 2" xfId="12374" xr:uid="{00000000-0005-0000-0000-00004D300000}"/>
    <cellStyle name="Normal 2 2 2 2 2 25 2 3" xfId="12375" xr:uid="{00000000-0005-0000-0000-00004E300000}"/>
    <cellStyle name="Normal 2 2 2 2 2 25 2 4" xfId="12376" xr:uid="{00000000-0005-0000-0000-00004F300000}"/>
    <cellStyle name="Normal 2 2 2 2 2 25 2 5" xfId="12377" xr:uid="{00000000-0005-0000-0000-000050300000}"/>
    <cellStyle name="Normal 2 2 2 2 2 25 2 6" xfId="12378" xr:uid="{00000000-0005-0000-0000-000051300000}"/>
    <cellStyle name="Normal 2 2 2 2 2 25 2 7" xfId="12379" xr:uid="{00000000-0005-0000-0000-000052300000}"/>
    <cellStyle name="Normal 2 2 2 2 2 25 2 8" xfId="12380" xr:uid="{00000000-0005-0000-0000-000053300000}"/>
    <cellStyle name="Normal 2 2 2 2 2 25 2 9" xfId="12381" xr:uid="{00000000-0005-0000-0000-000054300000}"/>
    <cellStyle name="Normal 2 2 2 2 2 25 3" xfId="12382" xr:uid="{00000000-0005-0000-0000-000055300000}"/>
    <cellStyle name="Normal 2 2 2 2 2 25 3 10" xfId="12383" xr:uid="{00000000-0005-0000-0000-000056300000}"/>
    <cellStyle name="Normal 2 2 2 2 2 25 3 2" xfId="12384" xr:uid="{00000000-0005-0000-0000-000057300000}"/>
    <cellStyle name="Normal 2 2 2 2 2 25 3 3" xfId="12385" xr:uid="{00000000-0005-0000-0000-000058300000}"/>
    <cellStyle name="Normal 2 2 2 2 2 25 3 4" xfId="12386" xr:uid="{00000000-0005-0000-0000-000059300000}"/>
    <cellStyle name="Normal 2 2 2 2 2 25 3 5" xfId="12387" xr:uid="{00000000-0005-0000-0000-00005A300000}"/>
    <cellStyle name="Normal 2 2 2 2 2 25 3 6" xfId="12388" xr:uid="{00000000-0005-0000-0000-00005B300000}"/>
    <cellStyle name="Normal 2 2 2 2 2 25 3 7" xfId="12389" xr:uid="{00000000-0005-0000-0000-00005C300000}"/>
    <cellStyle name="Normal 2 2 2 2 2 25 3 8" xfId="12390" xr:uid="{00000000-0005-0000-0000-00005D300000}"/>
    <cellStyle name="Normal 2 2 2 2 2 25 3 9" xfId="12391" xr:uid="{00000000-0005-0000-0000-00005E300000}"/>
    <cellStyle name="Normal 2 2 2 2 2 25 4" xfId="12392" xr:uid="{00000000-0005-0000-0000-00005F300000}"/>
    <cellStyle name="Normal 2 2 2 2 2 25 4 10" xfId="12393" xr:uid="{00000000-0005-0000-0000-000060300000}"/>
    <cellStyle name="Normal 2 2 2 2 2 25 4 2" xfId="12394" xr:uid="{00000000-0005-0000-0000-000061300000}"/>
    <cellStyle name="Normal 2 2 2 2 2 25 4 3" xfId="12395" xr:uid="{00000000-0005-0000-0000-000062300000}"/>
    <cellStyle name="Normal 2 2 2 2 2 25 4 4" xfId="12396" xr:uid="{00000000-0005-0000-0000-000063300000}"/>
    <cellStyle name="Normal 2 2 2 2 2 25 4 5" xfId="12397" xr:uid="{00000000-0005-0000-0000-000064300000}"/>
    <cellStyle name="Normal 2 2 2 2 2 25 4 6" xfId="12398" xr:uid="{00000000-0005-0000-0000-000065300000}"/>
    <cellStyle name="Normal 2 2 2 2 2 25 4 7" xfId="12399" xr:uid="{00000000-0005-0000-0000-000066300000}"/>
    <cellStyle name="Normal 2 2 2 2 2 25 4 8" xfId="12400" xr:uid="{00000000-0005-0000-0000-000067300000}"/>
    <cellStyle name="Normal 2 2 2 2 2 25 4 9" xfId="12401" xr:uid="{00000000-0005-0000-0000-000068300000}"/>
    <cellStyle name="Normal 2 2 2 2 2 25 5" xfId="12402" xr:uid="{00000000-0005-0000-0000-000069300000}"/>
    <cellStyle name="Normal 2 2 2 2 2 25 5 10" xfId="12403" xr:uid="{00000000-0005-0000-0000-00006A300000}"/>
    <cellStyle name="Normal 2 2 2 2 2 25 5 2" xfId="12404" xr:uid="{00000000-0005-0000-0000-00006B300000}"/>
    <cellStyle name="Normal 2 2 2 2 2 25 5 3" xfId="12405" xr:uid="{00000000-0005-0000-0000-00006C300000}"/>
    <cellStyle name="Normal 2 2 2 2 2 25 5 4" xfId="12406" xr:uid="{00000000-0005-0000-0000-00006D300000}"/>
    <cellStyle name="Normal 2 2 2 2 2 25 5 5" xfId="12407" xr:uid="{00000000-0005-0000-0000-00006E300000}"/>
    <cellStyle name="Normal 2 2 2 2 2 25 5 6" xfId="12408" xr:uid="{00000000-0005-0000-0000-00006F300000}"/>
    <cellStyle name="Normal 2 2 2 2 2 25 5 7" xfId="12409" xr:uid="{00000000-0005-0000-0000-000070300000}"/>
    <cellStyle name="Normal 2 2 2 2 2 25 5 8" xfId="12410" xr:uid="{00000000-0005-0000-0000-000071300000}"/>
    <cellStyle name="Normal 2 2 2 2 2 25 5 9" xfId="12411" xr:uid="{00000000-0005-0000-0000-000072300000}"/>
    <cellStyle name="Normal 2 2 2 2 2 25 6" xfId="12412" xr:uid="{00000000-0005-0000-0000-000073300000}"/>
    <cellStyle name="Normal 2 2 2 2 2 25 7" xfId="12413" xr:uid="{00000000-0005-0000-0000-000074300000}"/>
    <cellStyle name="Normal 2 2 2 2 2 25 8" xfId="12414" xr:uid="{00000000-0005-0000-0000-000075300000}"/>
    <cellStyle name="Normal 2 2 2 2 2 25 9" xfId="12415" xr:uid="{00000000-0005-0000-0000-000076300000}"/>
    <cellStyle name="Normal 2 2 2 2 2 26" xfId="12416" xr:uid="{00000000-0005-0000-0000-000077300000}"/>
    <cellStyle name="Normal 2 2 2 2 2 26 10" xfId="12417" xr:uid="{00000000-0005-0000-0000-000078300000}"/>
    <cellStyle name="Normal 2 2 2 2 2 26 11" xfId="12418" xr:uid="{00000000-0005-0000-0000-000079300000}"/>
    <cellStyle name="Normal 2 2 2 2 2 26 12" xfId="12419" xr:uid="{00000000-0005-0000-0000-00007A300000}"/>
    <cellStyle name="Normal 2 2 2 2 2 26 13" xfId="12420" xr:uid="{00000000-0005-0000-0000-00007B300000}"/>
    <cellStyle name="Normal 2 2 2 2 2 26 14" xfId="12421" xr:uid="{00000000-0005-0000-0000-00007C300000}"/>
    <cellStyle name="Normal 2 2 2 2 2 26 2" xfId="12422" xr:uid="{00000000-0005-0000-0000-00007D300000}"/>
    <cellStyle name="Normal 2 2 2 2 2 26 2 10" xfId="12423" xr:uid="{00000000-0005-0000-0000-00007E300000}"/>
    <cellStyle name="Normal 2 2 2 2 2 26 2 2" xfId="12424" xr:uid="{00000000-0005-0000-0000-00007F300000}"/>
    <cellStyle name="Normal 2 2 2 2 2 26 2 3" xfId="12425" xr:uid="{00000000-0005-0000-0000-000080300000}"/>
    <cellStyle name="Normal 2 2 2 2 2 26 2 4" xfId="12426" xr:uid="{00000000-0005-0000-0000-000081300000}"/>
    <cellStyle name="Normal 2 2 2 2 2 26 2 5" xfId="12427" xr:uid="{00000000-0005-0000-0000-000082300000}"/>
    <cellStyle name="Normal 2 2 2 2 2 26 2 6" xfId="12428" xr:uid="{00000000-0005-0000-0000-000083300000}"/>
    <cellStyle name="Normal 2 2 2 2 2 26 2 7" xfId="12429" xr:uid="{00000000-0005-0000-0000-000084300000}"/>
    <cellStyle name="Normal 2 2 2 2 2 26 2 8" xfId="12430" xr:uid="{00000000-0005-0000-0000-000085300000}"/>
    <cellStyle name="Normal 2 2 2 2 2 26 2 9" xfId="12431" xr:uid="{00000000-0005-0000-0000-000086300000}"/>
    <cellStyle name="Normal 2 2 2 2 2 26 3" xfId="12432" xr:uid="{00000000-0005-0000-0000-000087300000}"/>
    <cellStyle name="Normal 2 2 2 2 2 26 3 10" xfId="12433" xr:uid="{00000000-0005-0000-0000-000088300000}"/>
    <cellStyle name="Normal 2 2 2 2 2 26 3 2" xfId="12434" xr:uid="{00000000-0005-0000-0000-000089300000}"/>
    <cellStyle name="Normal 2 2 2 2 2 26 3 3" xfId="12435" xr:uid="{00000000-0005-0000-0000-00008A300000}"/>
    <cellStyle name="Normal 2 2 2 2 2 26 3 4" xfId="12436" xr:uid="{00000000-0005-0000-0000-00008B300000}"/>
    <cellStyle name="Normal 2 2 2 2 2 26 3 5" xfId="12437" xr:uid="{00000000-0005-0000-0000-00008C300000}"/>
    <cellStyle name="Normal 2 2 2 2 2 26 3 6" xfId="12438" xr:uid="{00000000-0005-0000-0000-00008D300000}"/>
    <cellStyle name="Normal 2 2 2 2 2 26 3 7" xfId="12439" xr:uid="{00000000-0005-0000-0000-00008E300000}"/>
    <cellStyle name="Normal 2 2 2 2 2 26 3 8" xfId="12440" xr:uid="{00000000-0005-0000-0000-00008F300000}"/>
    <cellStyle name="Normal 2 2 2 2 2 26 3 9" xfId="12441" xr:uid="{00000000-0005-0000-0000-000090300000}"/>
    <cellStyle name="Normal 2 2 2 2 2 26 4" xfId="12442" xr:uid="{00000000-0005-0000-0000-000091300000}"/>
    <cellStyle name="Normal 2 2 2 2 2 26 4 10" xfId="12443" xr:uid="{00000000-0005-0000-0000-000092300000}"/>
    <cellStyle name="Normal 2 2 2 2 2 26 4 2" xfId="12444" xr:uid="{00000000-0005-0000-0000-000093300000}"/>
    <cellStyle name="Normal 2 2 2 2 2 26 4 3" xfId="12445" xr:uid="{00000000-0005-0000-0000-000094300000}"/>
    <cellStyle name="Normal 2 2 2 2 2 26 4 4" xfId="12446" xr:uid="{00000000-0005-0000-0000-000095300000}"/>
    <cellStyle name="Normal 2 2 2 2 2 26 4 5" xfId="12447" xr:uid="{00000000-0005-0000-0000-000096300000}"/>
    <cellStyle name="Normal 2 2 2 2 2 26 4 6" xfId="12448" xr:uid="{00000000-0005-0000-0000-000097300000}"/>
    <cellStyle name="Normal 2 2 2 2 2 26 4 7" xfId="12449" xr:uid="{00000000-0005-0000-0000-000098300000}"/>
    <cellStyle name="Normal 2 2 2 2 2 26 4 8" xfId="12450" xr:uid="{00000000-0005-0000-0000-000099300000}"/>
    <cellStyle name="Normal 2 2 2 2 2 26 4 9" xfId="12451" xr:uid="{00000000-0005-0000-0000-00009A300000}"/>
    <cellStyle name="Normal 2 2 2 2 2 26 5" xfId="12452" xr:uid="{00000000-0005-0000-0000-00009B300000}"/>
    <cellStyle name="Normal 2 2 2 2 2 26 5 10" xfId="12453" xr:uid="{00000000-0005-0000-0000-00009C300000}"/>
    <cellStyle name="Normal 2 2 2 2 2 26 5 2" xfId="12454" xr:uid="{00000000-0005-0000-0000-00009D300000}"/>
    <cellStyle name="Normal 2 2 2 2 2 26 5 3" xfId="12455" xr:uid="{00000000-0005-0000-0000-00009E300000}"/>
    <cellStyle name="Normal 2 2 2 2 2 26 5 4" xfId="12456" xr:uid="{00000000-0005-0000-0000-00009F300000}"/>
    <cellStyle name="Normal 2 2 2 2 2 26 5 5" xfId="12457" xr:uid="{00000000-0005-0000-0000-0000A0300000}"/>
    <cellStyle name="Normal 2 2 2 2 2 26 5 6" xfId="12458" xr:uid="{00000000-0005-0000-0000-0000A1300000}"/>
    <cellStyle name="Normal 2 2 2 2 2 26 5 7" xfId="12459" xr:uid="{00000000-0005-0000-0000-0000A2300000}"/>
    <cellStyle name="Normal 2 2 2 2 2 26 5 8" xfId="12460" xr:uid="{00000000-0005-0000-0000-0000A3300000}"/>
    <cellStyle name="Normal 2 2 2 2 2 26 5 9" xfId="12461" xr:uid="{00000000-0005-0000-0000-0000A4300000}"/>
    <cellStyle name="Normal 2 2 2 2 2 26 6" xfId="12462" xr:uid="{00000000-0005-0000-0000-0000A5300000}"/>
    <cellStyle name="Normal 2 2 2 2 2 26 7" xfId="12463" xr:uid="{00000000-0005-0000-0000-0000A6300000}"/>
    <cellStyle name="Normal 2 2 2 2 2 26 8" xfId="12464" xr:uid="{00000000-0005-0000-0000-0000A7300000}"/>
    <cellStyle name="Normal 2 2 2 2 2 26 9" xfId="12465" xr:uid="{00000000-0005-0000-0000-0000A8300000}"/>
    <cellStyle name="Normal 2 2 2 2 2 27" xfId="12466" xr:uid="{00000000-0005-0000-0000-0000A9300000}"/>
    <cellStyle name="Normal 2 2 2 2 2 27 10" xfId="12467" xr:uid="{00000000-0005-0000-0000-0000AA300000}"/>
    <cellStyle name="Normal 2 2 2 2 2 27 11" xfId="12468" xr:uid="{00000000-0005-0000-0000-0000AB300000}"/>
    <cellStyle name="Normal 2 2 2 2 2 27 12" xfId="12469" xr:uid="{00000000-0005-0000-0000-0000AC300000}"/>
    <cellStyle name="Normal 2 2 2 2 2 27 13" xfId="12470" xr:uid="{00000000-0005-0000-0000-0000AD300000}"/>
    <cellStyle name="Normal 2 2 2 2 2 27 14" xfId="12471" xr:uid="{00000000-0005-0000-0000-0000AE300000}"/>
    <cellStyle name="Normal 2 2 2 2 2 27 2" xfId="12472" xr:uid="{00000000-0005-0000-0000-0000AF300000}"/>
    <cellStyle name="Normal 2 2 2 2 2 27 2 10" xfId="12473" xr:uid="{00000000-0005-0000-0000-0000B0300000}"/>
    <cellStyle name="Normal 2 2 2 2 2 27 2 2" xfId="12474" xr:uid="{00000000-0005-0000-0000-0000B1300000}"/>
    <cellStyle name="Normal 2 2 2 2 2 27 2 3" xfId="12475" xr:uid="{00000000-0005-0000-0000-0000B2300000}"/>
    <cellStyle name="Normal 2 2 2 2 2 27 2 4" xfId="12476" xr:uid="{00000000-0005-0000-0000-0000B3300000}"/>
    <cellStyle name="Normal 2 2 2 2 2 27 2 5" xfId="12477" xr:uid="{00000000-0005-0000-0000-0000B4300000}"/>
    <cellStyle name="Normal 2 2 2 2 2 27 2 6" xfId="12478" xr:uid="{00000000-0005-0000-0000-0000B5300000}"/>
    <cellStyle name="Normal 2 2 2 2 2 27 2 7" xfId="12479" xr:uid="{00000000-0005-0000-0000-0000B6300000}"/>
    <cellStyle name="Normal 2 2 2 2 2 27 2 8" xfId="12480" xr:uid="{00000000-0005-0000-0000-0000B7300000}"/>
    <cellStyle name="Normal 2 2 2 2 2 27 2 9" xfId="12481" xr:uid="{00000000-0005-0000-0000-0000B8300000}"/>
    <cellStyle name="Normal 2 2 2 2 2 27 3" xfId="12482" xr:uid="{00000000-0005-0000-0000-0000B9300000}"/>
    <cellStyle name="Normal 2 2 2 2 2 27 3 10" xfId="12483" xr:uid="{00000000-0005-0000-0000-0000BA300000}"/>
    <cellStyle name="Normal 2 2 2 2 2 27 3 2" xfId="12484" xr:uid="{00000000-0005-0000-0000-0000BB300000}"/>
    <cellStyle name="Normal 2 2 2 2 2 27 3 3" xfId="12485" xr:uid="{00000000-0005-0000-0000-0000BC300000}"/>
    <cellStyle name="Normal 2 2 2 2 2 27 3 4" xfId="12486" xr:uid="{00000000-0005-0000-0000-0000BD300000}"/>
    <cellStyle name="Normal 2 2 2 2 2 27 3 5" xfId="12487" xr:uid="{00000000-0005-0000-0000-0000BE300000}"/>
    <cellStyle name="Normal 2 2 2 2 2 27 3 6" xfId="12488" xr:uid="{00000000-0005-0000-0000-0000BF300000}"/>
    <cellStyle name="Normal 2 2 2 2 2 27 3 7" xfId="12489" xr:uid="{00000000-0005-0000-0000-0000C0300000}"/>
    <cellStyle name="Normal 2 2 2 2 2 27 3 8" xfId="12490" xr:uid="{00000000-0005-0000-0000-0000C1300000}"/>
    <cellStyle name="Normal 2 2 2 2 2 27 3 9" xfId="12491" xr:uid="{00000000-0005-0000-0000-0000C2300000}"/>
    <cellStyle name="Normal 2 2 2 2 2 27 4" xfId="12492" xr:uid="{00000000-0005-0000-0000-0000C3300000}"/>
    <cellStyle name="Normal 2 2 2 2 2 27 4 10" xfId="12493" xr:uid="{00000000-0005-0000-0000-0000C4300000}"/>
    <cellStyle name="Normal 2 2 2 2 2 27 4 2" xfId="12494" xr:uid="{00000000-0005-0000-0000-0000C5300000}"/>
    <cellStyle name="Normal 2 2 2 2 2 27 4 3" xfId="12495" xr:uid="{00000000-0005-0000-0000-0000C6300000}"/>
    <cellStyle name="Normal 2 2 2 2 2 27 4 4" xfId="12496" xr:uid="{00000000-0005-0000-0000-0000C7300000}"/>
    <cellStyle name="Normal 2 2 2 2 2 27 4 5" xfId="12497" xr:uid="{00000000-0005-0000-0000-0000C8300000}"/>
    <cellStyle name="Normal 2 2 2 2 2 27 4 6" xfId="12498" xr:uid="{00000000-0005-0000-0000-0000C9300000}"/>
    <cellStyle name="Normal 2 2 2 2 2 27 4 7" xfId="12499" xr:uid="{00000000-0005-0000-0000-0000CA300000}"/>
    <cellStyle name="Normal 2 2 2 2 2 27 4 8" xfId="12500" xr:uid="{00000000-0005-0000-0000-0000CB300000}"/>
    <cellStyle name="Normal 2 2 2 2 2 27 4 9" xfId="12501" xr:uid="{00000000-0005-0000-0000-0000CC300000}"/>
    <cellStyle name="Normal 2 2 2 2 2 27 5" xfId="12502" xr:uid="{00000000-0005-0000-0000-0000CD300000}"/>
    <cellStyle name="Normal 2 2 2 2 2 27 5 10" xfId="12503" xr:uid="{00000000-0005-0000-0000-0000CE300000}"/>
    <cellStyle name="Normal 2 2 2 2 2 27 5 2" xfId="12504" xr:uid="{00000000-0005-0000-0000-0000CF300000}"/>
    <cellStyle name="Normal 2 2 2 2 2 27 5 3" xfId="12505" xr:uid="{00000000-0005-0000-0000-0000D0300000}"/>
    <cellStyle name="Normal 2 2 2 2 2 27 5 4" xfId="12506" xr:uid="{00000000-0005-0000-0000-0000D1300000}"/>
    <cellStyle name="Normal 2 2 2 2 2 27 5 5" xfId="12507" xr:uid="{00000000-0005-0000-0000-0000D2300000}"/>
    <cellStyle name="Normal 2 2 2 2 2 27 5 6" xfId="12508" xr:uid="{00000000-0005-0000-0000-0000D3300000}"/>
    <cellStyle name="Normal 2 2 2 2 2 27 5 7" xfId="12509" xr:uid="{00000000-0005-0000-0000-0000D4300000}"/>
    <cellStyle name="Normal 2 2 2 2 2 27 5 8" xfId="12510" xr:uid="{00000000-0005-0000-0000-0000D5300000}"/>
    <cellStyle name="Normal 2 2 2 2 2 27 5 9" xfId="12511" xr:uid="{00000000-0005-0000-0000-0000D6300000}"/>
    <cellStyle name="Normal 2 2 2 2 2 27 6" xfId="12512" xr:uid="{00000000-0005-0000-0000-0000D7300000}"/>
    <cellStyle name="Normal 2 2 2 2 2 27 7" xfId="12513" xr:uid="{00000000-0005-0000-0000-0000D8300000}"/>
    <cellStyle name="Normal 2 2 2 2 2 27 8" xfId="12514" xr:uid="{00000000-0005-0000-0000-0000D9300000}"/>
    <cellStyle name="Normal 2 2 2 2 2 27 9" xfId="12515" xr:uid="{00000000-0005-0000-0000-0000DA300000}"/>
    <cellStyle name="Normal 2 2 2 2 2 28" xfId="12516" xr:uid="{00000000-0005-0000-0000-0000DB300000}"/>
    <cellStyle name="Normal 2 2 2 2 2 28 10" xfId="12517" xr:uid="{00000000-0005-0000-0000-0000DC300000}"/>
    <cellStyle name="Normal 2 2 2 2 2 28 11" xfId="12518" xr:uid="{00000000-0005-0000-0000-0000DD300000}"/>
    <cellStyle name="Normal 2 2 2 2 2 28 12" xfId="12519" xr:uid="{00000000-0005-0000-0000-0000DE300000}"/>
    <cellStyle name="Normal 2 2 2 2 2 28 13" xfId="12520" xr:uid="{00000000-0005-0000-0000-0000DF300000}"/>
    <cellStyle name="Normal 2 2 2 2 2 28 14" xfId="12521" xr:uid="{00000000-0005-0000-0000-0000E0300000}"/>
    <cellStyle name="Normal 2 2 2 2 2 28 2" xfId="12522" xr:uid="{00000000-0005-0000-0000-0000E1300000}"/>
    <cellStyle name="Normal 2 2 2 2 2 28 2 10" xfId="12523" xr:uid="{00000000-0005-0000-0000-0000E2300000}"/>
    <cellStyle name="Normal 2 2 2 2 2 28 2 2" xfId="12524" xr:uid="{00000000-0005-0000-0000-0000E3300000}"/>
    <cellStyle name="Normal 2 2 2 2 2 28 2 3" xfId="12525" xr:uid="{00000000-0005-0000-0000-0000E4300000}"/>
    <cellStyle name="Normal 2 2 2 2 2 28 2 4" xfId="12526" xr:uid="{00000000-0005-0000-0000-0000E5300000}"/>
    <cellStyle name="Normal 2 2 2 2 2 28 2 5" xfId="12527" xr:uid="{00000000-0005-0000-0000-0000E6300000}"/>
    <cellStyle name="Normal 2 2 2 2 2 28 2 6" xfId="12528" xr:uid="{00000000-0005-0000-0000-0000E7300000}"/>
    <cellStyle name="Normal 2 2 2 2 2 28 2 7" xfId="12529" xr:uid="{00000000-0005-0000-0000-0000E8300000}"/>
    <cellStyle name="Normal 2 2 2 2 2 28 2 8" xfId="12530" xr:uid="{00000000-0005-0000-0000-0000E9300000}"/>
    <cellStyle name="Normal 2 2 2 2 2 28 2 9" xfId="12531" xr:uid="{00000000-0005-0000-0000-0000EA300000}"/>
    <cellStyle name="Normal 2 2 2 2 2 28 3" xfId="12532" xr:uid="{00000000-0005-0000-0000-0000EB300000}"/>
    <cellStyle name="Normal 2 2 2 2 2 28 3 10" xfId="12533" xr:uid="{00000000-0005-0000-0000-0000EC300000}"/>
    <cellStyle name="Normal 2 2 2 2 2 28 3 2" xfId="12534" xr:uid="{00000000-0005-0000-0000-0000ED300000}"/>
    <cellStyle name="Normal 2 2 2 2 2 28 3 3" xfId="12535" xr:uid="{00000000-0005-0000-0000-0000EE300000}"/>
    <cellStyle name="Normal 2 2 2 2 2 28 3 4" xfId="12536" xr:uid="{00000000-0005-0000-0000-0000EF300000}"/>
    <cellStyle name="Normal 2 2 2 2 2 28 3 5" xfId="12537" xr:uid="{00000000-0005-0000-0000-0000F0300000}"/>
    <cellStyle name="Normal 2 2 2 2 2 28 3 6" xfId="12538" xr:uid="{00000000-0005-0000-0000-0000F1300000}"/>
    <cellStyle name="Normal 2 2 2 2 2 28 3 7" xfId="12539" xr:uid="{00000000-0005-0000-0000-0000F2300000}"/>
    <cellStyle name="Normal 2 2 2 2 2 28 3 8" xfId="12540" xr:uid="{00000000-0005-0000-0000-0000F3300000}"/>
    <cellStyle name="Normal 2 2 2 2 2 28 3 9" xfId="12541" xr:uid="{00000000-0005-0000-0000-0000F4300000}"/>
    <cellStyle name="Normal 2 2 2 2 2 28 4" xfId="12542" xr:uid="{00000000-0005-0000-0000-0000F5300000}"/>
    <cellStyle name="Normal 2 2 2 2 2 28 4 10" xfId="12543" xr:uid="{00000000-0005-0000-0000-0000F6300000}"/>
    <cellStyle name="Normal 2 2 2 2 2 28 4 2" xfId="12544" xr:uid="{00000000-0005-0000-0000-0000F7300000}"/>
    <cellStyle name="Normal 2 2 2 2 2 28 4 3" xfId="12545" xr:uid="{00000000-0005-0000-0000-0000F8300000}"/>
    <cellStyle name="Normal 2 2 2 2 2 28 4 4" xfId="12546" xr:uid="{00000000-0005-0000-0000-0000F9300000}"/>
    <cellStyle name="Normal 2 2 2 2 2 28 4 5" xfId="12547" xr:uid="{00000000-0005-0000-0000-0000FA300000}"/>
    <cellStyle name="Normal 2 2 2 2 2 28 4 6" xfId="12548" xr:uid="{00000000-0005-0000-0000-0000FB300000}"/>
    <cellStyle name="Normal 2 2 2 2 2 28 4 7" xfId="12549" xr:uid="{00000000-0005-0000-0000-0000FC300000}"/>
    <cellStyle name="Normal 2 2 2 2 2 28 4 8" xfId="12550" xr:uid="{00000000-0005-0000-0000-0000FD300000}"/>
    <cellStyle name="Normal 2 2 2 2 2 28 4 9" xfId="12551" xr:uid="{00000000-0005-0000-0000-0000FE300000}"/>
    <cellStyle name="Normal 2 2 2 2 2 28 5" xfId="12552" xr:uid="{00000000-0005-0000-0000-0000FF300000}"/>
    <cellStyle name="Normal 2 2 2 2 2 28 5 10" xfId="12553" xr:uid="{00000000-0005-0000-0000-000000310000}"/>
    <cellStyle name="Normal 2 2 2 2 2 28 5 2" xfId="12554" xr:uid="{00000000-0005-0000-0000-000001310000}"/>
    <cellStyle name="Normal 2 2 2 2 2 28 5 3" xfId="12555" xr:uid="{00000000-0005-0000-0000-000002310000}"/>
    <cellStyle name="Normal 2 2 2 2 2 28 5 4" xfId="12556" xr:uid="{00000000-0005-0000-0000-000003310000}"/>
    <cellStyle name="Normal 2 2 2 2 2 28 5 5" xfId="12557" xr:uid="{00000000-0005-0000-0000-000004310000}"/>
    <cellStyle name="Normal 2 2 2 2 2 28 5 6" xfId="12558" xr:uid="{00000000-0005-0000-0000-000005310000}"/>
    <cellStyle name="Normal 2 2 2 2 2 28 5 7" xfId="12559" xr:uid="{00000000-0005-0000-0000-000006310000}"/>
    <cellStyle name="Normal 2 2 2 2 2 28 5 8" xfId="12560" xr:uid="{00000000-0005-0000-0000-000007310000}"/>
    <cellStyle name="Normal 2 2 2 2 2 28 5 9" xfId="12561" xr:uid="{00000000-0005-0000-0000-000008310000}"/>
    <cellStyle name="Normal 2 2 2 2 2 28 6" xfId="12562" xr:uid="{00000000-0005-0000-0000-000009310000}"/>
    <cellStyle name="Normal 2 2 2 2 2 28 7" xfId="12563" xr:uid="{00000000-0005-0000-0000-00000A310000}"/>
    <cellStyle name="Normal 2 2 2 2 2 28 8" xfId="12564" xr:uid="{00000000-0005-0000-0000-00000B310000}"/>
    <cellStyle name="Normal 2 2 2 2 2 28 9" xfId="12565" xr:uid="{00000000-0005-0000-0000-00000C310000}"/>
    <cellStyle name="Normal 2 2 2 2 2 29" xfId="12566" xr:uid="{00000000-0005-0000-0000-00000D310000}"/>
    <cellStyle name="Normal 2 2 2 2 2 29 10" xfId="12567" xr:uid="{00000000-0005-0000-0000-00000E310000}"/>
    <cellStyle name="Normal 2 2 2 2 2 29 11" xfId="12568" xr:uid="{00000000-0005-0000-0000-00000F310000}"/>
    <cellStyle name="Normal 2 2 2 2 2 29 12" xfId="12569" xr:uid="{00000000-0005-0000-0000-000010310000}"/>
    <cellStyle name="Normal 2 2 2 2 2 29 13" xfId="12570" xr:uid="{00000000-0005-0000-0000-000011310000}"/>
    <cellStyle name="Normal 2 2 2 2 2 29 14" xfId="12571" xr:uid="{00000000-0005-0000-0000-000012310000}"/>
    <cellStyle name="Normal 2 2 2 2 2 29 2" xfId="12572" xr:uid="{00000000-0005-0000-0000-000013310000}"/>
    <cellStyle name="Normal 2 2 2 2 2 29 2 10" xfId="12573" xr:uid="{00000000-0005-0000-0000-000014310000}"/>
    <cellStyle name="Normal 2 2 2 2 2 29 2 2" xfId="12574" xr:uid="{00000000-0005-0000-0000-000015310000}"/>
    <cellStyle name="Normal 2 2 2 2 2 29 2 3" xfId="12575" xr:uid="{00000000-0005-0000-0000-000016310000}"/>
    <cellStyle name="Normal 2 2 2 2 2 29 2 4" xfId="12576" xr:uid="{00000000-0005-0000-0000-000017310000}"/>
    <cellStyle name="Normal 2 2 2 2 2 29 2 5" xfId="12577" xr:uid="{00000000-0005-0000-0000-000018310000}"/>
    <cellStyle name="Normal 2 2 2 2 2 29 2 6" xfId="12578" xr:uid="{00000000-0005-0000-0000-000019310000}"/>
    <cellStyle name="Normal 2 2 2 2 2 29 2 7" xfId="12579" xr:uid="{00000000-0005-0000-0000-00001A310000}"/>
    <cellStyle name="Normal 2 2 2 2 2 29 2 8" xfId="12580" xr:uid="{00000000-0005-0000-0000-00001B310000}"/>
    <cellStyle name="Normal 2 2 2 2 2 29 2 9" xfId="12581" xr:uid="{00000000-0005-0000-0000-00001C310000}"/>
    <cellStyle name="Normal 2 2 2 2 2 29 3" xfId="12582" xr:uid="{00000000-0005-0000-0000-00001D310000}"/>
    <cellStyle name="Normal 2 2 2 2 2 29 3 10" xfId="12583" xr:uid="{00000000-0005-0000-0000-00001E310000}"/>
    <cellStyle name="Normal 2 2 2 2 2 29 3 2" xfId="12584" xr:uid="{00000000-0005-0000-0000-00001F310000}"/>
    <cellStyle name="Normal 2 2 2 2 2 29 3 3" xfId="12585" xr:uid="{00000000-0005-0000-0000-000020310000}"/>
    <cellStyle name="Normal 2 2 2 2 2 29 3 4" xfId="12586" xr:uid="{00000000-0005-0000-0000-000021310000}"/>
    <cellStyle name="Normal 2 2 2 2 2 29 3 5" xfId="12587" xr:uid="{00000000-0005-0000-0000-000022310000}"/>
    <cellStyle name="Normal 2 2 2 2 2 29 3 6" xfId="12588" xr:uid="{00000000-0005-0000-0000-000023310000}"/>
    <cellStyle name="Normal 2 2 2 2 2 29 3 7" xfId="12589" xr:uid="{00000000-0005-0000-0000-000024310000}"/>
    <cellStyle name="Normal 2 2 2 2 2 29 3 8" xfId="12590" xr:uid="{00000000-0005-0000-0000-000025310000}"/>
    <cellStyle name="Normal 2 2 2 2 2 29 3 9" xfId="12591" xr:uid="{00000000-0005-0000-0000-000026310000}"/>
    <cellStyle name="Normal 2 2 2 2 2 29 4" xfId="12592" xr:uid="{00000000-0005-0000-0000-000027310000}"/>
    <cellStyle name="Normal 2 2 2 2 2 29 4 10" xfId="12593" xr:uid="{00000000-0005-0000-0000-000028310000}"/>
    <cellStyle name="Normal 2 2 2 2 2 29 4 2" xfId="12594" xr:uid="{00000000-0005-0000-0000-000029310000}"/>
    <cellStyle name="Normal 2 2 2 2 2 29 4 3" xfId="12595" xr:uid="{00000000-0005-0000-0000-00002A310000}"/>
    <cellStyle name="Normal 2 2 2 2 2 29 4 4" xfId="12596" xr:uid="{00000000-0005-0000-0000-00002B310000}"/>
    <cellStyle name="Normal 2 2 2 2 2 29 4 5" xfId="12597" xr:uid="{00000000-0005-0000-0000-00002C310000}"/>
    <cellStyle name="Normal 2 2 2 2 2 29 4 6" xfId="12598" xr:uid="{00000000-0005-0000-0000-00002D310000}"/>
    <cellStyle name="Normal 2 2 2 2 2 29 4 7" xfId="12599" xr:uid="{00000000-0005-0000-0000-00002E310000}"/>
    <cellStyle name="Normal 2 2 2 2 2 29 4 8" xfId="12600" xr:uid="{00000000-0005-0000-0000-00002F310000}"/>
    <cellStyle name="Normal 2 2 2 2 2 29 4 9" xfId="12601" xr:uid="{00000000-0005-0000-0000-000030310000}"/>
    <cellStyle name="Normal 2 2 2 2 2 29 5" xfId="12602" xr:uid="{00000000-0005-0000-0000-000031310000}"/>
    <cellStyle name="Normal 2 2 2 2 2 29 5 10" xfId="12603" xr:uid="{00000000-0005-0000-0000-000032310000}"/>
    <cellStyle name="Normal 2 2 2 2 2 29 5 2" xfId="12604" xr:uid="{00000000-0005-0000-0000-000033310000}"/>
    <cellStyle name="Normal 2 2 2 2 2 29 5 3" xfId="12605" xr:uid="{00000000-0005-0000-0000-000034310000}"/>
    <cellStyle name="Normal 2 2 2 2 2 29 5 4" xfId="12606" xr:uid="{00000000-0005-0000-0000-000035310000}"/>
    <cellStyle name="Normal 2 2 2 2 2 29 5 5" xfId="12607" xr:uid="{00000000-0005-0000-0000-000036310000}"/>
    <cellStyle name="Normal 2 2 2 2 2 29 5 6" xfId="12608" xr:uid="{00000000-0005-0000-0000-000037310000}"/>
    <cellStyle name="Normal 2 2 2 2 2 29 5 7" xfId="12609" xr:uid="{00000000-0005-0000-0000-000038310000}"/>
    <cellStyle name="Normal 2 2 2 2 2 29 5 8" xfId="12610" xr:uid="{00000000-0005-0000-0000-000039310000}"/>
    <cellStyle name="Normal 2 2 2 2 2 29 5 9" xfId="12611" xr:uid="{00000000-0005-0000-0000-00003A310000}"/>
    <cellStyle name="Normal 2 2 2 2 2 29 6" xfId="12612" xr:uid="{00000000-0005-0000-0000-00003B310000}"/>
    <cellStyle name="Normal 2 2 2 2 2 29 7" xfId="12613" xr:uid="{00000000-0005-0000-0000-00003C310000}"/>
    <cellStyle name="Normal 2 2 2 2 2 29 8" xfId="12614" xr:uid="{00000000-0005-0000-0000-00003D310000}"/>
    <cellStyle name="Normal 2 2 2 2 2 29 9" xfId="12615" xr:uid="{00000000-0005-0000-0000-00003E310000}"/>
    <cellStyle name="Normal 2 2 2 2 2 3" xfId="12616" xr:uid="{00000000-0005-0000-0000-00003F310000}"/>
    <cellStyle name="Normal 2 2 2 2 2 3 10" xfId="12617" xr:uid="{00000000-0005-0000-0000-000040310000}"/>
    <cellStyle name="Normal 2 2 2 2 2 3 11" xfId="12618" xr:uid="{00000000-0005-0000-0000-000041310000}"/>
    <cellStyle name="Normal 2 2 2 2 2 3 12" xfId="12619" xr:uid="{00000000-0005-0000-0000-000042310000}"/>
    <cellStyle name="Normal 2 2 2 2 2 3 13" xfId="12620" xr:uid="{00000000-0005-0000-0000-000043310000}"/>
    <cellStyle name="Normal 2 2 2 2 2 3 14" xfId="12621" xr:uid="{00000000-0005-0000-0000-000044310000}"/>
    <cellStyle name="Normal 2 2 2 2 2 3 15" xfId="12622" xr:uid="{00000000-0005-0000-0000-000045310000}"/>
    <cellStyle name="Normal 2 2 2 2 2 3 16" xfId="12623" xr:uid="{00000000-0005-0000-0000-000046310000}"/>
    <cellStyle name="Normal 2 2 2 2 2 3 2" xfId="12624" xr:uid="{00000000-0005-0000-0000-000047310000}"/>
    <cellStyle name="Normal 2 2 2 2 2 3 2 10" xfId="12625" xr:uid="{00000000-0005-0000-0000-000048310000}"/>
    <cellStyle name="Normal 2 2 2 2 2 3 2 11" xfId="12626" xr:uid="{00000000-0005-0000-0000-000049310000}"/>
    <cellStyle name="Normal 2 2 2 2 2 3 2 12" xfId="12627" xr:uid="{00000000-0005-0000-0000-00004A310000}"/>
    <cellStyle name="Normal 2 2 2 2 2 3 2 2" xfId="12628" xr:uid="{00000000-0005-0000-0000-00004B310000}"/>
    <cellStyle name="Normal 2 2 2 2 2 3 2 3" xfId="12629" xr:uid="{00000000-0005-0000-0000-00004C310000}"/>
    <cellStyle name="Normal 2 2 2 2 2 3 2 4" xfId="12630" xr:uid="{00000000-0005-0000-0000-00004D310000}"/>
    <cellStyle name="Normal 2 2 2 2 2 3 2 5" xfId="12631" xr:uid="{00000000-0005-0000-0000-00004E310000}"/>
    <cellStyle name="Normal 2 2 2 2 2 3 2 6" xfId="12632" xr:uid="{00000000-0005-0000-0000-00004F310000}"/>
    <cellStyle name="Normal 2 2 2 2 2 3 2 7" xfId="12633" xr:uid="{00000000-0005-0000-0000-000050310000}"/>
    <cellStyle name="Normal 2 2 2 2 2 3 2 8" xfId="12634" xr:uid="{00000000-0005-0000-0000-000051310000}"/>
    <cellStyle name="Normal 2 2 2 2 2 3 2 9" xfId="12635" xr:uid="{00000000-0005-0000-0000-000052310000}"/>
    <cellStyle name="Normal 2 2 2 2 2 3 3" xfId="12636" xr:uid="{00000000-0005-0000-0000-000053310000}"/>
    <cellStyle name="Normal 2 2 2 2 2 3 3 10" xfId="12637" xr:uid="{00000000-0005-0000-0000-000054310000}"/>
    <cellStyle name="Normal 2 2 2 2 2 3 3 2" xfId="12638" xr:uid="{00000000-0005-0000-0000-000055310000}"/>
    <cellStyle name="Normal 2 2 2 2 2 3 3 3" xfId="12639" xr:uid="{00000000-0005-0000-0000-000056310000}"/>
    <cellStyle name="Normal 2 2 2 2 2 3 3 4" xfId="12640" xr:uid="{00000000-0005-0000-0000-000057310000}"/>
    <cellStyle name="Normal 2 2 2 2 2 3 3 5" xfId="12641" xr:uid="{00000000-0005-0000-0000-000058310000}"/>
    <cellStyle name="Normal 2 2 2 2 2 3 3 6" xfId="12642" xr:uid="{00000000-0005-0000-0000-000059310000}"/>
    <cellStyle name="Normal 2 2 2 2 2 3 3 7" xfId="12643" xr:uid="{00000000-0005-0000-0000-00005A310000}"/>
    <cellStyle name="Normal 2 2 2 2 2 3 3 8" xfId="12644" xr:uid="{00000000-0005-0000-0000-00005B310000}"/>
    <cellStyle name="Normal 2 2 2 2 2 3 3 9" xfId="12645" xr:uid="{00000000-0005-0000-0000-00005C310000}"/>
    <cellStyle name="Normal 2 2 2 2 2 3 4" xfId="12646" xr:uid="{00000000-0005-0000-0000-00005D310000}"/>
    <cellStyle name="Normal 2 2 2 2 2 3 4 10" xfId="12647" xr:uid="{00000000-0005-0000-0000-00005E310000}"/>
    <cellStyle name="Normal 2 2 2 2 2 3 4 2" xfId="12648" xr:uid="{00000000-0005-0000-0000-00005F310000}"/>
    <cellStyle name="Normal 2 2 2 2 2 3 4 3" xfId="12649" xr:uid="{00000000-0005-0000-0000-000060310000}"/>
    <cellStyle name="Normal 2 2 2 2 2 3 4 4" xfId="12650" xr:uid="{00000000-0005-0000-0000-000061310000}"/>
    <cellStyle name="Normal 2 2 2 2 2 3 4 5" xfId="12651" xr:uid="{00000000-0005-0000-0000-000062310000}"/>
    <cellStyle name="Normal 2 2 2 2 2 3 4 6" xfId="12652" xr:uid="{00000000-0005-0000-0000-000063310000}"/>
    <cellStyle name="Normal 2 2 2 2 2 3 4 7" xfId="12653" xr:uid="{00000000-0005-0000-0000-000064310000}"/>
    <cellStyle name="Normal 2 2 2 2 2 3 4 8" xfId="12654" xr:uid="{00000000-0005-0000-0000-000065310000}"/>
    <cellStyle name="Normal 2 2 2 2 2 3 4 9" xfId="12655" xr:uid="{00000000-0005-0000-0000-000066310000}"/>
    <cellStyle name="Normal 2 2 2 2 2 3 5" xfId="12656" xr:uid="{00000000-0005-0000-0000-000067310000}"/>
    <cellStyle name="Normal 2 2 2 2 2 3 5 10" xfId="12657" xr:uid="{00000000-0005-0000-0000-000068310000}"/>
    <cellStyle name="Normal 2 2 2 2 2 3 5 2" xfId="12658" xr:uid="{00000000-0005-0000-0000-000069310000}"/>
    <cellStyle name="Normal 2 2 2 2 2 3 5 3" xfId="12659" xr:uid="{00000000-0005-0000-0000-00006A310000}"/>
    <cellStyle name="Normal 2 2 2 2 2 3 5 4" xfId="12660" xr:uid="{00000000-0005-0000-0000-00006B310000}"/>
    <cellStyle name="Normal 2 2 2 2 2 3 5 5" xfId="12661" xr:uid="{00000000-0005-0000-0000-00006C310000}"/>
    <cellStyle name="Normal 2 2 2 2 2 3 5 6" xfId="12662" xr:uid="{00000000-0005-0000-0000-00006D310000}"/>
    <cellStyle name="Normal 2 2 2 2 2 3 5 7" xfId="12663" xr:uid="{00000000-0005-0000-0000-00006E310000}"/>
    <cellStyle name="Normal 2 2 2 2 2 3 5 8" xfId="12664" xr:uid="{00000000-0005-0000-0000-00006F310000}"/>
    <cellStyle name="Normal 2 2 2 2 2 3 5 9" xfId="12665" xr:uid="{00000000-0005-0000-0000-000070310000}"/>
    <cellStyle name="Normal 2 2 2 2 2 3 6" xfId="12666" xr:uid="{00000000-0005-0000-0000-000071310000}"/>
    <cellStyle name="Normal 2 2 2 2 2 3 7" xfId="12667" xr:uid="{00000000-0005-0000-0000-000072310000}"/>
    <cellStyle name="Normal 2 2 2 2 2 3 8" xfId="12668" xr:uid="{00000000-0005-0000-0000-000073310000}"/>
    <cellStyle name="Normal 2 2 2 2 2 3 9" xfId="12669" xr:uid="{00000000-0005-0000-0000-000074310000}"/>
    <cellStyle name="Normal 2 2 2 2 2 30" xfId="12670" xr:uid="{00000000-0005-0000-0000-000075310000}"/>
    <cellStyle name="Normal 2 2 2 2 2 30 10" xfId="12671" xr:uid="{00000000-0005-0000-0000-000076310000}"/>
    <cellStyle name="Normal 2 2 2 2 2 30 11" xfId="12672" xr:uid="{00000000-0005-0000-0000-000077310000}"/>
    <cellStyle name="Normal 2 2 2 2 2 30 12" xfId="12673" xr:uid="{00000000-0005-0000-0000-000078310000}"/>
    <cellStyle name="Normal 2 2 2 2 2 30 13" xfId="12674" xr:uid="{00000000-0005-0000-0000-000079310000}"/>
    <cellStyle name="Normal 2 2 2 2 2 30 14" xfId="12675" xr:uid="{00000000-0005-0000-0000-00007A310000}"/>
    <cellStyle name="Normal 2 2 2 2 2 30 2" xfId="12676" xr:uid="{00000000-0005-0000-0000-00007B310000}"/>
    <cellStyle name="Normal 2 2 2 2 2 30 2 10" xfId="12677" xr:uid="{00000000-0005-0000-0000-00007C310000}"/>
    <cellStyle name="Normal 2 2 2 2 2 30 2 2" xfId="12678" xr:uid="{00000000-0005-0000-0000-00007D310000}"/>
    <cellStyle name="Normal 2 2 2 2 2 30 2 3" xfId="12679" xr:uid="{00000000-0005-0000-0000-00007E310000}"/>
    <cellStyle name="Normal 2 2 2 2 2 30 2 4" xfId="12680" xr:uid="{00000000-0005-0000-0000-00007F310000}"/>
    <cellStyle name="Normal 2 2 2 2 2 30 2 5" xfId="12681" xr:uid="{00000000-0005-0000-0000-000080310000}"/>
    <cellStyle name="Normal 2 2 2 2 2 30 2 6" xfId="12682" xr:uid="{00000000-0005-0000-0000-000081310000}"/>
    <cellStyle name="Normal 2 2 2 2 2 30 2 7" xfId="12683" xr:uid="{00000000-0005-0000-0000-000082310000}"/>
    <cellStyle name="Normal 2 2 2 2 2 30 2 8" xfId="12684" xr:uid="{00000000-0005-0000-0000-000083310000}"/>
    <cellStyle name="Normal 2 2 2 2 2 30 2 9" xfId="12685" xr:uid="{00000000-0005-0000-0000-000084310000}"/>
    <cellStyle name="Normal 2 2 2 2 2 30 3" xfId="12686" xr:uid="{00000000-0005-0000-0000-000085310000}"/>
    <cellStyle name="Normal 2 2 2 2 2 30 3 10" xfId="12687" xr:uid="{00000000-0005-0000-0000-000086310000}"/>
    <cellStyle name="Normal 2 2 2 2 2 30 3 2" xfId="12688" xr:uid="{00000000-0005-0000-0000-000087310000}"/>
    <cellStyle name="Normal 2 2 2 2 2 30 3 3" xfId="12689" xr:uid="{00000000-0005-0000-0000-000088310000}"/>
    <cellStyle name="Normal 2 2 2 2 2 30 3 4" xfId="12690" xr:uid="{00000000-0005-0000-0000-000089310000}"/>
    <cellStyle name="Normal 2 2 2 2 2 30 3 5" xfId="12691" xr:uid="{00000000-0005-0000-0000-00008A310000}"/>
    <cellStyle name="Normal 2 2 2 2 2 30 3 6" xfId="12692" xr:uid="{00000000-0005-0000-0000-00008B310000}"/>
    <cellStyle name="Normal 2 2 2 2 2 30 3 7" xfId="12693" xr:uid="{00000000-0005-0000-0000-00008C310000}"/>
    <cellStyle name="Normal 2 2 2 2 2 30 3 8" xfId="12694" xr:uid="{00000000-0005-0000-0000-00008D310000}"/>
    <cellStyle name="Normal 2 2 2 2 2 30 3 9" xfId="12695" xr:uid="{00000000-0005-0000-0000-00008E310000}"/>
    <cellStyle name="Normal 2 2 2 2 2 30 4" xfId="12696" xr:uid="{00000000-0005-0000-0000-00008F310000}"/>
    <cellStyle name="Normal 2 2 2 2 2 30 4 10" xfId="12697" xr:uid="{00000000-0005-0000-0000-000090310000}"/>
    <cellStyle name="Normal 2 2 2 2 2 30 4 2" xfId="12698" xr:uid="{00000000-0005-0000-0000-000091310000}"/>
    <cellStyle name="Normal 2 2 2 2 2 30 4 3" xfId="12699" xr:uid="{00000000-0005-0000-0000-000092310000}"/>
    <cellStyle name="Normal 2 2 2 2 2 30 4 4" xfId="12700" xr:uid="{00000000-0005-0000-0000-000093310000}"/>
    <cellStyle name="Normal 2 2 2 2 2 30 4 5" xfId="12701" xr:uid="{00000000-0005-0000-0000-000094310000}"/>
    <cellStyle name="Normal 2 2 2 2 2 30 4 6" xfId="12702" xr:uid="{00000000-0005-0000-0000-000095310000}"/>
    <cellStyle name="Normal 2 2 2 2 2 30 4 7" xfId="12703" xr:uid="{00000000-0005-0000-0000-000096310000}"/>
    <cellStyle name="Normal 2 2 2 2 2 30 4 8" xfId="12704" xr:uid="{00000000-0005-0000-0000-000097310000}"/>
    <cellStyle name="Normal 2 2 2 2 2 30 4 9" xfId="12705" xr:uid="{00000000-0005-0000-0000-000098310000}"/>
    <cellStyle name="Normal 2 2 2 2 2 30 5" xfId="12706" xr:uid="{00000000-0005-0000-0000-000099310000}"/>
    <cellStyle name="Normal 2 2 2 2 2 30 5 10" xfId="12707" xr:uid="{00000000-0005-0000-0000-00009A310000}"/>
    <cellStyle name="Normal 2 2 2 2 2 30 5 2" xfId="12708" xr:uid="{00000000-0005-0000-0000-00009B310000}"/>
    <cellStyle name="Normal 2 2 2 2 2 30 5 3" xfId="12709" xr:uid="{00000000-0005-0000-0000-00009C310000}"/>
    <cellStyle name="Normal 2 2 2 2 2 30 5 4" xfId="12710" xr:uid="{00000000-0005-0000-0000-00009D310000}"/>
    <cellStyle name="Normal 2 2 2 2 2 30 5 5" xfId="12711" xr:uid="{00000000-0005-0000-0000-00009E310000}"/>
    <cellStyle name="Normal 2 2 2 2 2 30 5 6" xfId="12712" xr:uid="{00000000-0005-0000-0000-00009F310000}"/>
    <cellStyle name="Normal 2 2 2 2 2 30 5 7" xfId="12713" xr:uid="{00000000-0005-0000-0000-0000A0310000}"/>
    <cellStyle name="Normal 2 2 2 2 2 30 5 8" xfId="12714" xr:uid="{00000000-0005-0000-0000-0000A1310000}"/>
    <cellStyle name="Normal 2 2 2 2 2 30 5 9" xfId="12715" xr:uid="{00000000-0005-0000-0000-0000A2310000}"/>
    <cellStyle name="Normal 2 2 2 2 2 30 6" xfId="12716" xr:uid="{00000000-0005-0000-0000-0000A3310000}"/>
    <cellStyle name="Normal 2 2 2 2 2 30 7" xfId="12717" xr:uid="{00000000-0005-0000-0000-0000A4310000}"/>
    <cellStyle name="Normal 2 2 2 2 2 30 8" xfId="12718" xr:uid="{00000000-0005-0000-0000-0000A5310000}"/>
    <cellStyle name="Normal 2 2 2 2 2 30 9" xfId="12719" xr:uid="{00000000-0005-0000-0000-0000A6310000}"/>
    <cellStyle name="Normal 2 2 2 2 2 31" xfId="12720" xr:uid="{00000000-0005-0000-0000-0000A7310000}"/>
    <cellStyle name="Normal 2 2 2 2 2 31 10" xfId="12721" xr:uid="{00000000-0005-0000-0000-0000A8310000}"/>
    <cellStyle name="Normal 2 2 2 2 2 31 11" xfId="12722" xr:uid="{00000000-0005-0000-0000-0000A9310000}"/>
    <cellStyle name="Normal 2 2 2 2 2 31 12" xfId="12723" xr:uid="{00000000-0005-0000-0000-0000AA310000}"/>
    <cellStyle name="Normal 2 2 2 2 2 31 13" xfId="12724" xr:uid="{00000000-0005-0000-0000-0000AB310000}"/>
    <cellStyle name="Normal 2 2 2 2 2 31 14" xfId="12725" xr:uid="{00000000-0005-0000-0000-0000AC310000}"/>
    <cellStyle name="Normal 2 2 2 2 2 31 2" xfId="12726" xr:uid="{00000000-0005-0000-0000-0000AD310000}"/>
    <cellStyle name="Normal 2 2 2 2 2 31 2 10" xfId="12727" xr:uid="{00000000-0005-0000-0000-0000AE310000}"/>
    <cellStyle name="Normal 2 2 2 2 2 31 2 2" xfId="12728" xr:uid="{00000000-0005-0000-0000-0000AF310000}"/>
    <cellStyle name="Normal 2 2 2 2 2 31 2 3" xfId="12729" xr:uid="{00000000-0005-0000-0000-0000B0310000}"/>
    <cellStyle name="Normal 2 2 2 2 2 31 2 4" xfId="12730" xr:uid="{00000000-0005-0000-0000-0000B1310000}"/>
    <cellStyle name="Normal 2 2 2 2 2 31 2 5" xfId="12731" xr:uid="{00000000-0005-0000-0000-0000B2310000}"/>
    <cellStyle name="Normal 2 2 2 2 2 31 2 6" xfId="12732" xr:uid="{00000000-0005-0000-0000-0000B3310000}"/>
    <cellStyle name="Normal 2 2 2 2 2 31 2 7" xfId="12733" xr:uid="{00000000-0005-0000-0000-0000B4310000}"/>
    <cellStyle name="Normal 2 2 2 2 2 31 2 8" xfId="12734" xr:uid="{00000000-0005-0000-0000-0000B5310000}"/>
    <cellStyle name="Normal 2 2 2 2 2 31 2 9" xfId="12735" xr:uid="{00000000-0005-0000-0000-0000B6310000}"/>
    <cellStyle name="Normal 2 2 2 2 2 31 3" xfId="12736" xr:uid="{00000000-0005-0000-0000-0000B7310000}"/>
    <cellStyle name="Normal 2 2 2 2 2 31 3 10" xfId="12737" xr:uid="{00000000-0005-0000-0000-0000B8310000}"/>
    <cellStyle name="Normal 2 2 2 2 2 31 3 2" xfId="12738" xr:uid="{00000000-0005-0000-0000-0000B9310000}"/>
    <cellStyle name="Normal 2 2 2 2 2 31 3 3" xfId="12739" xr:uid="{00000000-0005-0000-0000-0000BA310000}"/>
    <cellStyle name="Normal 2 2 2 2 2 31 3 4" xfId="12740" xr:uid="{00000000-0005-0000-0000-0000BB310000}"/>
    <cellStyle name="Normal 2 2 2 2 2 31 3 5" xfId="12741" xr:uid="{00000000-0005-0000-0000-0000BC310000}"/>
    <cellStyle name="Normal 2 2 2 2 2 31 3 6" xfId="12742" xr:uid="{00000000-0005-0000-0000-0000BD310000}"/>
    <cellStyle name="Normal 2 2 2 2 2 31 3 7" xfId="12743" xr:uid="{00000000-0005-0000-0000-0000BE310000}"/>
    <cellStyle name="Normal 2 2 2 2 2 31 3 8" xfId="12744" xr:uid="{00000000-0005-0000-0000-0000BF310000}"/>
    <cellStyle name="Normal 2 2 2 2 2 31 3 9" xfId="12745" xr:uid="{00000000-0005-0000-0000-0000C0310000}"/>
    <cellStyle name="Normal 2 2 2 2 2 31 4" xfId="12746" xr:uid="{00000000-0005-0000-0000-0000C1310000}"/>
    <cellStyle name="Normal 2 2 2 2 2 31 4 10" xfId="12747" xr:uid="{00000000-0005-0000-0000-0000C2310000}"/>
    <cellStyle name="Normal 2 2 2 2 2 31 4 2" xfId="12748" xr:uid="{00000000-0005-0000-0000-0000C3310000}"/>
    <cellStyle name="Normal 2 2 2 2 2 31 4 3" xfId="12749" xr:uid="{00000000-0005-0000-0000-0000C4310000}"/>
    <cellStyle name="Normal 2 2 2 2 2 31 4 4" xfId="12750" xr:uid="{00000000-0005-0000-0000-0000C5310000}"/>
    <cellStyle name="Normal 2 2 2 2 2 31 4 5" xfId="12751" xr:uid="{00000000-0005-0000-0000-0000C6310000}"/>
    <cellStyle name="Normal 2 2 2 2 2 31 4 6" xfId="12752" xr:uid="{00000000-0005-0000-0000-0000C7310000}"/>
    <cellStyle name="Normal 2 2 2 2 2 31 4 7" xfId="12753" xr:uid="{00000000-0005-0000-0000-0000C8310000}"/>
    <cellStyle name="Normal 2 2 2 2 2 31 4 8" xfId="12754" xr:uid="{00000000-0005-0000-0000-0000C9310000}"/>
    <cellStyle name="Normal 2 2 2 2 2 31 4 9" xfId="12755" xr:uid="{00000000-0005-0000-0000-0000CA310000}"/>
    <cellStyle name="Normal 2 2 2 2 2 31 5" xfId="12756" xr:uid="{00000000-0005-0000-0000-0000CB310000}"/>
    <cellStyle name="Normal 2 2 2 2 2 31 5 10" xfId="12757" xr:uid="{00000000-0005-0000-0000-0000CC310000}"/>
    <cellStyle name="Normal 2 2 2 2 2 31 5 2" xfId="12758" xr:uid="{00000000-0005-0000-0000-0000CD310000}"/>
    <cellStyle name="Normal 2 2 2 2 2 31 5 3" xfId="12759" xr:uid="{00000000-0005-0000-0000-0000CE310000}"/>
    <cellStyle name="Normal 2 2 2 2 2 31 5 4" xfId="12760" xr:uid="{00000000-0005-0000-0000-0000CF310000}"/>
    <cellStyle name="Normal 2 2 2 2 2 31 5 5" xfId="12761" xr:uid="{00000000-0005-0000-0000-0000D0310000}"/>
    <cellStyle name="Normal 2 2 2 2 2 31 5 6" xfId="12762" xr:uid="{00000000-0005-0000-0000-0000D1310000}"/>
    <cellStyle name="Normal 2 2 2 2 2 31 5 7" xfId="12763" xr:uid="{00000000-0005-0000-0000-0000D2310000}"/>
    <cellStyle name="Normal 2 2 2 2 2 31 5 8" xfId="12764" xr:uid="{00000000-0005-0000-0000-0000D3310000}"/>
    <cellStyle name="Normal 2 2 2 2 2 31 5 9" xfId="12765" xr:uid="{00000000-0005-0000-0000-0000D4310000}"/>
    <cellStyle name="Normal 2 2 2 2 2 31 6" xfId="12766" xr:uid="{00000000-0005-0000-0000-0000D5310000}"/>
    <cellStyle name="Normal 2 2 2 2 2 31 7" xfId="12767" xr:uid="{00000000-0005-0000-0000-0000D6310000}"/>
    <cellStyle name="Normal 2 2 2 2 2 31 8" xfId="12768" xr:uid="{00000000-0005-0000-0000-0000D7310000}"/>
    <cellStyle name="Normal 2 2 2 2 2 31 9" xfId="12769" xr:uid="{00000000-0005-0000-0000-0000D8310000}"/>
    <cellStyle name="Normal 2 2 2 2 2 32" xfId="12770" xr:uid="{00000000-0005-0000-0000-0000D9310000}"/>
    <cellStyle name="Normal 2 2 2 2 2 32 10" xfId="12771" xr:uid="{00000000-0005-0000-0000-0000DA310000}"/>
    <cellStyle name="Normal 2 2 2 2 2 32 11" xfId="12772" xr:uid="{00000000-0005-0000-0000-0000DB310000}"/>
    <cellStyle name="Normal 2 2 2 2 2 32 12" xfId="12773" xr:uid="{00000000-0005-0000-0000-0000DC310000}"/>
    <cellStyle name="Normal 2 2 2 2 2 32 13" xfId="12774" xr:uid="{00000000-0005-0000-0000-0000DD310000}"/>
    <cellStyle name="Normal 2 2 2 2 2 32 14" xfId="12775" xr:uid="{00000000-0005-0000-0000-0000DE310000}"/>
    <cellStyle name="Normal 2 2 2 2 2 32 2" xfId="12776" xr:uid="{00000000-0005-0000-0000-0000DF310000}"/>
    <cellStyle name="Normal 2 2 2 2 2 32 2 10" xfId="12777" xr:uid="{00000000-0005-0000-0000-0000E0310000}"/>
    <cellStyle name="Normal 2 2 2 2 2 32 2 2" xfId="12778" xr:uid="{00000000-0005-0000-0000-0000E1310000}"/>
    <cellStyle name="Normal 2 2 2 2 2 32 2 3" xfId="12779" xr:uid="{00000000-0005-0000-0000-0000E2310000}"/>
    <cellStyle name="Normal 2 2 2 2 2 32 2 4" xfId="12780" xr:uid="{00000000-0005-0000-0000-0000E3310000}"/>
    <cellStyle name="Normal 2 2 2 2 2 32 2 5" xfId="12781" xr:uid="{00000000-0005-0000-0000-0000E4310000}"/>
    <cellStyle name="Normal 2 2 2 2 2 32 2 6" xfId="12782" xr:uid="{00000000-0005-0000-0000-0000E5310000}"/>
    <cellStyle name="Normal 2 2 2 2 2 32 2 7" xfId="12783" xr:uid="{00000000-0005-0000-0000-0000E6310000}"/>
    <cellStyle name="Normal 2 2 2 2 2 32 2 8" xfId="12784" xr:uid="{00000000-0005-0000-0000-0000E7310000}"/>
    <cellStyle name="Normal 2 2 2 2 2 32 2 9" xfId="12785" xr:uid="{00000000-0005-0000-0000-0000E8310000}"/>
    <cellStyle name="Normal 2 2 2 2 2 32 3" xfId="12786" xr:uid="{00000000-0005-0000-0000-0000E9310000}"/>
    <cellStyle name="Normal 2 2 2 2 2 32 3 10" xfId="12787" xr:uid="{00000000-0005-0000-0000-0000EA310000}"/>
    <cellStyle name="Normal 2 2 2 2 2 32 3 2" xfId="12788" xr:uid="{00000000-0005-0000-0000-0000EB310000}"/>
    <cellStyle name="Normal 2 2 2 2 2 32 3 3" xfId="12789" xr:uid="{00000000-0005-0000-0000-0000EC310000}"/>
    <cellStyle name="Normal 2 2 2 2 2 32 3 4" xfId="12790" xr:uid="{00000000-0005-0000-0000-0000ED310000}"/>
    <cellStyle name="Normal 2 2 2 2 2 32 3 5" xfId="12791" xr:uid="{00000000-0005-0000-0000-0000EE310000}"/>
    <cellStyle name="Normal 2 2 2 2 2 32 3 6" xfId="12792" xr:uid="{00000000-0005-0000-0000-0000EF310000}"/>
    <cellStyle name="Normal 2 2 2 2 2 32 3 7" xfId="12793" xr:uid="{00000000-0005-0000-0000-0000F0310000}"/>
    <cellStyle name="Normal 2 2 2 2 2 32 3 8" xfId="12794" xr:uid="{00000000-0005-0000-0000-0000F1310000}"/>
    <cellStyle name="Normal 2 2 2 2 2 32 3 9" xfId="12795" xr:uid="{00000000-0005-0000-0000-0000F2310000}"/>
    <cellStyle name="Normal 2 2 2 2 2 32 4" xfId="12796" xr:uid="{00000000-0005-0000-0000-0000F3310000}"/>
    <cellStyle name="Normal 2 2 2 2 2 32 4 10" xfId="12797" xr:uid="{00000000-0005-0000-0000-0000F4310000}"/>
    <cellStyle name="Normal 2 2 2 2 2 32 4 2" xfId="12798" xr:uid="{00000000-0005-0000-0000-0000F5310000}"/>
    <cellStyle name="Normal 2 2 2 2 2 32 4 3" xfId="12799" xr:uid="{00000000-0005-0000-0000-0000F6310000}"/>
    <cellStyle name="Normal 2 2 2 2 2 32 4 4" xfId="12800" xr:uid="{00000000-0005-0000-0000-0000F7310000}"/>
    <cellStyle name="Normal 2 2 2 2 2 32 4 5" xfId="12801" xr:uid="{00000000-0005-0000-0000-0000F8310000}"/>
    <cellStyle name="Normal 2 2 2 2 2 32 4 6" xfId="12802" xr:uid="{00000000-0005-0000-0000-0000F9310000}"/>
    <cellStyle name="Normal 2 2 2 2 2 32 4 7" xfId="12803" xr:uid="{00000000-0005-0000-0000-0000FA310000}"/>
    <cellStyle name="Normal 2 2 2 2 2 32 4 8" xfId="12804" xr:uid="{00000000-0005-0000-0000-0000FB310000}"/>
    <cellStyle name="Normal 2 2 2 2 2 32 4 9" xfId="12805" xr:uid="{00000000-0005-0000-0000-0000FC310000}"/>
    <cellStyle name="Normal 2 2 2 2 2 32 5" xfId="12806" xr:uid="{00000000-0005-0000-0000-0000FD310000}"/>
    <cellStyle name="Normal 2 2 2 2 2 32 5 10" xfId="12807" xr:uid="{00000000-0005-0000-0000-0000FE310000}"/>
    <cellStyle name="Normal 2 2 2 2 2 32 5 2" xfId="12808" xr:uid="{00000000-0005-0000-0000-0000FF310000}"/>
    <cellStyle name="Normal 2 2 2 2 2 32 5 3" xfId="12809" xr:uid="{00000000-0005-0000-0000-000000320000}"/>
    <cellStyle name="Normal 2 2 2 2 2 32 5 4" xfId="12810" xr:uid="{00000000-0005-0000-0000-000001320000}"/>
    <cellStyle name="Normal 2 2 2 2 2 32 5 5" xfId="12811" xr:uid="{00000000-0005-0000-0000-000002320000}"/>
    <cellStyle name="Normal 2 2 2 2 2 32 5 6" xfId="12812" xr:uid="{00000000-0005-0000-0000-000003320000}"/>
    <cellStyle name="Normal 2 2 2 2 2 32 5 7" xfId="12813" xr:uid="{00000000-0005-0000-0000-000004320000}"/>
    <cellStyle name="Normal 2 2 2 2 2 32 5 8" xfId="12814" xr:uid="{00000000-0005-0000-0000-000005320000}"/>
    <cellStyle name="Normal 2 2 2 2 2 32 5 9" xfId="12815" xr:uid="{00000000-0005-0000-0000-000006320000}"/>
    <cellStyle name="Normal 2 2 2 2 2 32 6" xfId="12816" xr:uid="{00000000-0005-0000-0000-000007320000}"/>
    <cellStyle name="Normal 2 2 2 2 2 32 7" xfId="12817" xr:uid="{00000000-0005-0000-0000-000008320000}"/>
    <cellStyle name="Normal 2 2 2 2 2 32 8" xfId="12818" xr:uid="{00000000-0005-0000-0000-000009320000}"/>
    <cellStyle name="Normal 2 2 2 2 2 32 9" xfId="12819" xr:uid="{00000000-0005-0000-0000-00000A320000}"/>
    <cellStyle name="Normal 2 2 2 2 2 33" xfId="12820" xr:uid="{00000000-0005-0000-0000-00000B320000}"/>
    <cellStyle name="Normal 2 2 2 2 2 33 10" xfId="12821" xr:uid="{00000000-0005-0000-0000-00000C320000}"/>
    <cellStyle name="Normal 2 2 2 2 2 33 11" xfId="12822" xr:uid="{00000000-0005-0000-0000-00000D320000}"/>
    <cellStyle name="Normal 2 2 2 2 2 33 12" xfId="12823" xr:uid="{00000000-0005-0000-0000-00000E320000}"/>
    <cellStyle name="Normal 2 2 2 2 2 33 13" xfId="12824" xr:uid="{00000000-0005-0000-0000-00000F320000}"/>
    <cellStyle name="Normal 2 2 2 2 2 33 14" xfId="12825" xr:uid="{00000000-0005-0000-0000-000010320000}"/>
    <cellStyle name="Normal 2 2 2 2 2 33 2" xfId="12826" xr:uid="{00000000-0005-0000-0000-000011320000}"/>
    <cellStyle name="Normal 2 2 2 2 2 33 2 10" xfId="12827" xr:uid="{00000000-0005-0000-0000-000012320000}"/>
    <cellStyle name="Normal 2 2 2 2 2 33 2 2" xfId="12828" xr:uid="{00000000-0005-0000-0000-000013320000}"/>
    <cellStyle name="Normal 2 2 2 2 2 33 2 3" xfId="12829" xr:uid="{00000000-0005-0000-0000-000014320000}"/>
    <cellStyle name="Normal 2 2 2 2 2 33 2 4" xfId="12830" xr:uid="{00000000-0005-0000-0000-000015320000}"/>
    <cellStyle name="Normal 2 2 2 2 2 33 2 5" xfId="12831" xr:uid="{00000000-0005-0000-0000-000016320000}"/>
    <cellStyle name="Normal 2 2 2 2 2 33 2 6" xfId="12832" xr:uid="{00000000-0005-0000-0000-000017320000}"/>
    <cellStyle name="Normal 2 2 2 2 2 33 2 7" xfId="12833" xr:uid="{00000000-0005-0000-0000-000018320000}"/>
    <cellStyle name="Normal 2 2 2 2 2 33 2 8" xfId="12834" xr:uid="{00000000-0005-0000-0000-000019320000}"/>
    <cellStyle name="Normal 2 2 2 2 2 33 2 9" xfId="12835" xr:uid="{00000000-0005-0000-0000-00001A320000}"/>
    <cellStyle name="Normal 2 2 2 2 2 33 3" xfId="12836" xr:uid="{00000000-0005-0000-0000-00001B320000}"/>
    <cellStyle name="Normal 2 2 2 2 2 33 3 10" xfId="12837" xr:uid="{00000000-0005-0000-0000-00001C320000}"/>
    <cellStyle name="Normal 2 2 2 2 2 33 3 2" xfId="12838" xr:uid="{00000000-0005-0000-0000-00001D320000}"/>
    <cellStyle name="Normal 2 2 2 2 2 33 3 3" xfId="12839" xr:uid="{00000000-0005-0000-0000-00001E320000}"/>
    <cellStyle name="Normal 2 2 2 2 2 33 3 4" xfId="12840" xr:uid="{00000000-0005-0000-0000-00001F320000}"/>
    <cellStyle name="Normal 2 2 2 2 2 33 3 5" xfId="12841" xr:uid="{00000000-0005-0000-0000-000020320000}"/>
    <cellStyle name="Normal 2 2 2 2 2 33 3 6" xfId="12842" xr:uid="{00000000-0005-0000-0000-000021320000}"/>
    <cellStyle name="Normal 2 2 2 2 2 33 3 7" xfId="12843" xr:uid="{00000000-0005-0000-0000-000022320000}"/>
    <cellStyle name="Normal 2 2 2 2 2 33 3 8" xfId="12844" xr:uid="{00000000-0005-0000-0000-000023320000}"/>
    <cellStyle name="Normal 2 2 2 2 2 33 3 9" xfId="12845" xr:uid="{00000000-0005-0000-0000-000024320000}"/>
    <cellStyle name="Normal 2 2 2 2 2 33 4" xfId="12846" xr:uid="{00000000-0005-0000-0000-000025320000}"/>
    <cellStyle name="Normal 2 2 2 2 2 33 4 10" xfId="12847" xr:uid="{00000000-0005-0000-0000-000026320000}"/>
    <cellStyle name="Normal 2 2 2 2 2 33 4 2" xfId="12848" xr:uid="{00000000-0005-0000-0000-000027320000}"/>
    <cellStyle name="Normal 2 2 2 2 2 33 4 3" xfId="12849" xr:uid="{00000000-0005-0000-0000-000028320000}"/>
    <cellStyle name="Normal 2 2 2 2 2 33 4 4" xfId="12850" xr:uid="{00000000-0005-0000-0000-000029320000}"/>
    <cellStyle name="Normal 2 2 2 2 2 33 4 5" xfId="12851" xr:uid="{00000000-0005-0000-0000-00002A320000}"/>
    <cellStyle name="Normal 2 2 2 2 2 33 4 6" xfId="12852" xr:uid="{00000000-0005-0000-0000-00002B320000}"/>
    <cellStyle name="Normal 2 2 2 2 2 33 4 7" xfId="12853" xr:uid="{00000000-0005-0000-0000-00002C320000}"/>
    <cellStyle name="Normal 2 2 2 2 2 33 4 8" xfId="12854" xr:uid="{00000000-0005-0000-0000-00002D320000}"/>
    <cellStyle name="Normal 2 2 2 2 2 33 4 9" xfId="12855" xr:uid="{00000000-0005-0000-0000-00002E320000}"/>
    <cellStyle name="Normal 2 2 2 2 2 33 5" xfId="12856" xr:uid="{00000000-0005-0000-0000-00002F320000}"/>
    <cellStyle name="Normal 2 2 2 2 2 33 5 10" xfId="12857" xr:uid="{00000000-0005-0000-0000-000030320000}"/>
    <cellStyle name="Normal 2 2 2 2 2 33 5 2" xfId="12858" xr:uid="{00000000-0005-0000-0000-000031320000}"/>
    <cellStyle name="Normal 2 2 2 2 2 33 5 3" xfId="12859" xr:uid="{00000000-0005-0000-0000-000032320000}"/>
    <cellStyle name="Normal 2 2 2 2 2 33 5 4" xfId="12860" xr:uid="{00000000-0005-0000-0000-000033320000}"/>
    <cellStyle name="Normal 2 2 2 2 2 33 5 5" xfId="12861" xr:uid="{00000000-0005-0000-0000-000034320000}"/>
    <cellStyle name="Normal 2 2 2 2 2 33 5 6" xfId="12862" xr:uid="{00000000-0005-0000-0000-000035320000}"/>
    <cellStyle name="Normal 2 2 2 2 2 33 5 7" xfId="12863" xr:uid="{00000000-0005-0000-0000-000036320000}"/>
    <cellStyle name="Normal 2 2 2 2 2 33 5 8" xfId="12864" xr:uid="{00000000-0005-0000-0000-000037320000}"/>
    <cellStyle name="Normal 2 2 2 2 2 33 5 9" xfId="12865" xr:uid="{00000000-0005-0000-0000-000038320000}"/>
    <cellStyle name="Normal 2 2 2 2 2 33 6" xfId="12866" xr:uid="{00000000-0005-0000-0000-000039320000}"/>
    <cellStyle name="Normal 2 2 2 2 2 33 7" xfId="12867" xr:uid="{00000000-0005-0000-0000-00003A320000}"/>
    <cellStyle name="Normal 2 2 2 2 2 33 8" xfId="12868" xr:uid="{00000000-0005-0000-0000-00003B320000}"/>
    <cellStyle name="Normal 2 2 2 2 2 33 9" xfId="12869" xr:uid="{00000000-0005-0000-0000-00003C320000}"/>
    <cellStyle name="Normal 2 2 2 2 2 34" xfId="12870" xr:uid="{00000000-0005-0000-0000-00003D320000}"/>
    <cellStyle name="Normal 2 2 2 2 2 34 10" xfId="12871" xr:uid="{00000000-0005-0000-0000-00003E320000}"/>
    <cellStyle name="Normal 2 2 2 2 2 34 11" xfId="12872" xr:uid="{00000000-0005-0000-0000-00003F320000}"/>
    <cellStyle name="Normal 2 2 2 2 2 34 12" xfId="12873" xr:uid="{00000000-0005-0000-0000-000040320000}"/>
    <cellStyle name="Normal 2 2 2 2 2 34 13" xfId="12874" xr:uid="{00000000-0005-0000-0000-000041320000}"/>
    <cellStyle name="Normal 2 2 2 2 2 34 14" xfId="12875" xr:uid="{00000000-0005-0000-0000-000042320000}"/>
    <cellStyle name="Normal 2 2 2 2 2 34 2" xfId="12876" xr:uid="{00000000-0005-0000-0000-000043320000}"/>
    <cellStyle name="Normal 2 2 2 2 2 34 2 10" xfId="12877" xr:uid="{00000000-0005-0000-0000-000044320000}"/>
    <cellStyle name="Normal 2 2 2 2 2 34 2 2" xfId="12878" xr:uid="{00000000-0005-0000-0000-000045320000}"/>
    <cellStyle name="Normal 2 2 2 2 2 34 2 3" xfId="12879" xr:uid="{00000000-0005-0000-0000-000046320000}"/>
    <cellStyle name="Normal 2 2 2 2 2 34 2 4" xfId="12880" xr:uid="{00000000-0005-0000-0000-000047320000}"/>
    <cellStyle name="Normal 2 2 2 2 2 34 2 5" xfId="12881" xr:uid="{00000000-0005-0000-0000-000048320000}"/>
    <cellStyle name="Normal 2 2 2 2 2 34 2 6" xfId="12882" xr:uid="{00000000-0005-0000-0000-000049320000}"/>
    <cellStyle name="Normal 2 2 2 2 2 34 2 7" xfId="12883" xr:uid="{00000000-0005-0000-0000-00004A320000}"/>
    <cellStyle name="Normal 2 2 2 2 2 34 2 8" xfId="12884" xr:uid="{00000000-0005-0000-0000-00004B320000}"/>
    <cellStyle name="Normal 2 2 2 2 2 34 2 9" xfId="12885" xr:uid="{00000000-0005-0000-0000-00004C320000}"/>
    <cellStyle name="Normal 2 2 2 2 2 34 3" xfId="12886" xr:uid="{00000000-0005-0000-0000-00004D320000}"/>
    <cellStyle name="Normal 2 2 2 2 2 34 3 10" xfId="12887" xr:uid="{00000000-0005-0000-0000-00004E320000}"/>
    <cellStyle name="Normal 2 2 2 2 2 34 3 2" xfId="12888" xr:uid="{00000000-0005-0000-0000-00004F320000}"/>
    <cellStyle name="Normal 2 2 2 2 2 34 3 3" xfId="12889" xr:uid="{00000000-0005-0000-0000-000050320000}"/>
    <cellStyle name="Normal 2 2 2 2 2 34 3 4" xfId="12890" xr:uid="{00000000-0005-0000-0000-000051320000}"/>
    <cellStyle name="Normal 2 2 2 2 2 34 3 5" xfId="12891" xr:uid="{00000000-0005-0000-0000-000052320000}"/>
    <cellStyle name="Normal 2 2 2 2 2 34 3 6" xfId="12892" xr:uid="{00000000-0005-0000-0000-000053320000}"/>
    <cellStyle name="Normal 2 2 2 2 2 34 3 7" xfId="12893" xr:uid="{00000000-0005-0000-0000-000054320000}"/>
    <cellStyle name="Normal 2 2 2 2 2 34 3 8" xfId="12894" xr:uid="{00000000-0005-0000-0000-000055320000}"/>
    <cellStyle name="Normal 2 2 2 2 2 34 3 9" xfId="12895" xr:uid="{00000000-0005-0000-0000-000056320000}"/>
    <cellStyle name="Normal 2 2 2 2 2 34 4" xfId="12896" xr:uid="{00000000-0005-0000-0000-000057320000}"/>
    <cellStyle name="Normal 2 2 2 2 2 34 4 10" xfId="12897" xr:uid="{00000000-0005-0000-0000-000058320000}"/>
    <cellStyle name="Normal 2 2 2 2 2 34 4 2" xfId="12898" xr:uid="{00000000-0005-0000-0000-000059320000}"/>
    <cellStyle name="Normal 2 2 2 2 2 34 4 3" xfId="12899" xr:uid="{00000000-0005-0000-0000-00005A320000}"/>
    <cellStyle name="Normal 2 2 2 2 2 34 4 4" xfId="12900" xr:uid="{00000000-0005-0000-0000-00005B320000}"/>
    <cellStyle name="Normal 2 2 2 2 2 34 4 5" xfId="12901" xr:uid="{00000000-0005-0000-0000-00005C320000}"/>
    <cellStyle name="Normal 2 2 2 2 2 34 4 6" xfId="12902" xr:uid="{00000000-0005-0000-0000-00005D320000}"/>
    <cellStyle name="Normal 2 2 2 2 2 34 4 7" xfId="12903" xr:uid="{00000000-0005-0000-0000-00005E320000}"/>
    <cellStyle name="Normal 2 2 2 2 2 34 4 8" xfId="12904" xr:uid="{00000000-0005-0000-0000-00005F320000}"/>
    <cellStyle name="Normal 2 2 2 2 2 34 4 9" xfId="12905" xr:uid="{00000000-0005-0000-0000-000060320000}"/>
    <cellStyle name="Normal 2 2 2 2 2 34 5" xfId="12906" xr:uid="{00000000-0005-0000-0000-000061320000}"/>
    <cellStyle name="Normal 2 2 2 2 2 34 5 10" xfId="12907" xr:uid="{00000000-0005-0000-0000-000062320000}"/>
    <cellStyle name="Normal 2 2 2 2 2 34 5 2" xfId="12908" xr:uid="{00000000-0005-0000-0000-000063320000}"/>
    <cellStyle name="Normal 2 2 2 2 2 34 5 3" xfId="12909" xr:uid="{00000000-0005-0000-0000-000064320000}"/>
    <cellStyle name="Normal 2 2 2 2 2 34 5 4" xfId="12910" xr:uid="{00000000-0005-0000-0000-000065320000}"/>
    <cellStyle name="Normal 2 2 2 2 2 34 5 5" xfId="12911" xr:uid="{00000000-0005-0000-0000-000066320000}"/>
    <cellStyle name="Normal 2 2 2 2 2 34 5 6" xfId="12912" xr:uid="{00000000-0005-0000-0000-000067320000}"/>
    <cellStyle name="Normal 2 2 2 2 2 34 5 7" xfId="12913" xr:uid="{00000000-0005-0000-0000-000068320000}"/>
    <cellStyle name="Normal 2 2 2 2 2 34 5 8" xfId="12914" xr:uid="{00000000-0005-0000-0000-000069320000}"/>
    <cellStyle name="Normal 2 2 2 2 2 34 5 9" xfId="12915" xr:uid="{00000000-0005-0000-0000-00006A320000}"/>
    <cellStyle name="Normal 2 2 2 2 2 34 6" xfId="12916" xr:uid="{00000000-0005-0000-0000-00006B320000}"/>
    <cellStyle name="Normal 2 2 2 2 2 34 7" xfId="12917" xr:uid="{00000000-0005-0000-0000-00006C320000}"/>
    <cellStyle name="Normal 2 2 2 2 2 34 8" xfId="12918" xr:uid="{00000000-0005-0000-0000-00006D320000}"/>
    <cellStyle name="Normal 2 2 2 2 2 34 9" xfId="12919" xr:uid="{00000000-0005-0000-0000-00006E320000}"/>
    <cellStyle name="Normal 2 2 2 2 2 35" xfId="12920" xr:uid="{00000000-0005-0000-0000-00006F320000}"/>
    <cellStyle name="Normal 2 2 2 2 2 35 10" xfId="12921" xr:uid="{00000000-0005-0000-0000-000070320000}"/>
    <cellStyle name="Normal 2 2 2 2 2 35 2" xfId="12922" xr:uid="{00000000-0005-0000-0000-000071320000}"/>
    <cellStyle name="Normal 2 2 2 2 2 35 3" xfId="12923" xr:uid="{00000000-0005-0000-0000-000072320000}"/>
    <cellStyle name="Normal 2 2 2 2 2 35 4" xfId="12924" xr:uid="{00000000-0005-0000-0000-000073320000}"/>
    <cellStyle name="Normal 2 2 2 2 2 35 5" xfId="12925" xr:uid="{00000000-0005-0000-0000-000074320000}"/>
    <cellStyle name="Normal 2 2 2 2 2 35 6" xfId="12926" xr:uid="{00000000-0005-0000-0000-000075320000}"/>
    <cellStyle name="Normal 2 2 2 2 2 35 7" xfId="12927" xr:uid="{00000000-0005-0000-0000-000076320000}"/>
    <cellStyle name="Normal 2 2 2 2 2 35 8" xfId="12928" xr:uid="{00000000-0005-0000-0000-000077320000}"/>
    <cellStyle name="Normal 2 2 2 2 2 35 9" xfId="12929" xr:uid="{00000000-0005-0000-0000-000078320000}"/>
    <cellStyle name="Normal 2 2 2 2 2 36" xfId="12930" xr:uid="{00000000-0005-0000-0000-000079320000}"/>
    <cellStyle name="Normal 2 2 2 2 2 36 10" xfId="12931" xr:uid="{00000000-0005-0000-0000-00007A320000}"/>
    <cellStyle name="Normal 2 2 2 2 2 36 2" xfId="12932" xr:uid="{00000000-0005-0000-0000-00007B320000}"/>
    <cellStyle name="Normal 2 2 2 2 2 36 3" xfId="12933" xr:uid="{00000000-0005-0000-0000-00007C320000}"/>
    <cellStyle name="Normal 2 2 2 2 2 36 4" xfId="12934" xr:uid="{00000000-0005-0000-0000-00007D320000}"/>
    <cellStyle name="Normal 2 2 2 2 2 36 5" xfId="12935" xr:uid="{00000000-0005-0000-0000-00007E320000}"/>
    <cellStyle name="Normal 2 2 2 2 2 36 6" xfId="12936" xr:uid="{00000000-0005-0000-0000-00007F320000}"/>
    <cellStyle name="Normal 2 2 2 2 2 36 7" xfId="12937" xr:uid="{00000000-0005-0000-0000-000080320000}"/>
    <cellStyle name="Normal 2 2 2 2 2 36 8" xfId="12938" xr:uid="{00000000-0005-0000-0000-000081320000}"/>
    <cellStyle name="Normal 2 2 2 2 2 36 9" xfId="12939" xr:uid="{00000000-0005-0000-0000-000082320000}"/>
    <cellStyle name="Normal 2 2 2 2 2 37" xfId="12940" xr:uid="{00000000-0005-0000-0000-000083320000}"/>
    <cellStyle name="Normal 2 2 2 2 2 37 10" xfId="12941" xr:uid="{00000000-0005-0000-0000-000084320000}"/>
    <cellStyle name="Normal 2 2 2 2 2 37 2" xfId="12942" xr:uid="{00000000-0005-0000-0000-000085320000}"/>
    <cellStyle name="Normal 2 2 2 2 2 37 3" xfId="12943" xr:uid="{00000000-0005-0000-0000-000086320000}"/>
    <cellStyle name="Normal 2 2 2 2 2 37 4" xfId="12944" xr:uid="{00000000-0005-0000-0000-000087320000}"/>
    <cellStyle name="Normal 2 2 2 2 2 37 5" xfId="12945" xr:uid="{00000000-0005-0000-0000-000088320000}"/>
    <cellStyle name="Normal 2 2 2 2 2 37 6" xfId="12946" xr:uid="{00000000-0005-0000-0000-000089320000}"/>
    <cellStyle name="Normal 2 2 2 2 2 37 7" xfId="12947" xr:uid="{00000000-0005-0000-0000-00008A320000}"/>
    <cellStyle name="Normal 2 2 2 2 2 37 8" xfId="12948" xr:uid="{00000000-0005-0000-0000-00008B320000}"/>
    <cellStyle name="Normal 2 2 2 2 2 37 9" xfId="12949" xr:uid="{00000000-0005-0000-0000-00008C320000}"/>
    <cellStyle name="Normal 2 2 2 2 2 38" xfId="12950" xr:uid="{00000000-0005-0000-0000-00008D320000}"/>
    <cellStyle name="Normal 2 2 2 2 2 38 10" xfId="12951" xr:uid="{00000000-0005-0000-0000-00008E320000}"/>
    <cellStyle name="Normal 2 2 2 2 2 38 2" xfId="12952" xr:uid="{00000000-0005-0000-0000-00008F320000}"/>
    <cellStyle name="Normal 2 2 2 2 2 38 3" xfId="12953" xr:uid="{00000000-0005-0000-0000-000090320000}"/>
    <cellStyle name="Normal 2 2 2 2 2 38 4" xfId="12954" xr:uid="{00000000-0005-0000-0000-000091320000}"/>
    <cellStyle name="Normal 2 2 2 2 2 38 5" xfId="12955" xr:uid="{00000000-0005-0000-0000-000092320000}"/>
    <cellStyle name="Normal 2 2 2 2 2 38 6" xfId="12956" xr:uid="{00000000-0005-0000-0000-000093320000}"/>
    <cellStyle name="Normal 2 2 2 2 2 38 7" xfId="12957" xr:uid="{00000000-0005-0000-0000-000094320000}"/>
    <cellStyle name="Normal 2 2 2 2 2 38 8" xfId="12958" xr:uid="{00000000-0005-0000-0000-000095320000}"/>
    <cellStyle name="Normal 2 2 2 2 2 38 9" xfId="12959" xr:uid="{00000000-0005-0000-0000-000096320000}"/>
    <cellStyle name="Normal 2 2 2 2 2 39" xfId="12960" xr:uid="{00000000-0005-0000-0000-000097320000}"/>
    <cellStyle name="Normal 2 2 2 2 2 4" xfId="12961" xr:uid="{00000000-0005-0000-0000-000098320000}"/>
    <cellStyle name="Normal 2 2 2 2 2 4 10" xfId="12962" xr:uid="{00000000-0005-0000-0000-000099320000}"/>
    <cellStyle name="Normal 2 2 2 2 2 4 11" xfId="12963" xr:uid="{00000000-0005-0000-0000-00009A320000}"/>
    <cellStyle name="Normal 2 2 2 2 2 4 12" xfId="12964" xr:uid="{00000000-0005-0000-0000-00009B320000}"/>
    <cellStyle name="Normal 2 2 2 2 2 4 13" xfId="12965" xr:uid="{00000000-0005-0000-0000-00009C320000}"/>
    <cellStyle name="Normal 2 2 2 2 2 4 14" xfId="12966" xr:uid="{00000000-0005-0000-0000-00009D320000}"/>
    <cellStyle name="Normal 2 2 2 2 2 4 15" xfId="12967" xr:uid="{00000000-0005-0000-0000-00009E320000}"/>
    <cellStyle name="Normal 2 2 2 2 2 4 16" xfId="12968" xr:uid="{00000000-0005-0000-0000-00009F320000}"/>
    <cellStyle name="Normal 2 2 2 2 2 4 2" xfId="12969" xr:uid="{00000000-0005-0000-0000-0000A0320000}"/>
    <cellStyle name="Normal 2 2 2 2 2 4 2 10" xfId="12970" xr:uid="{00000000-0005-0000-0000-0000A1320000}"/>
    <cellStyle name="Normal 2 2 2 2 2 4 2 2" xfId="12971" xr:uid="{00000000-0005-0000-0000-0000A2320000}"/>
    <cellStyle name="Normal 2 2 2 2 2 4 2 3" xfId="12972" xr:uid="{00000000-0005-0000-0000-0000A3320000}"/>
    <cellStyle name="Normal 2 2 2 2 2 4 2 4" xfId="12973" xr:uid="{00000000-0005-0000-0000-0000A4320000}"/>
    <cellStyle name="Normal 2 2 2 2 2 4 2 5" xfId="12974" xr:uid="{00000000-0005-0000-0000-0000A5320000}"/>
    <cellStyle name="Normal 2 2 2 2 2 4 2 6" xfId="12975" xr:uid="{00000000-0005-0000-0000-0000A6320000}"/>
    <cellStyle name="Normal 2 2 2 2 2 4 2 7" xfId="12976" xr:uid="{00000000-0005-0000-0000-0000A7320000}"/>
    <cellStyle name="Normal 2 2 2 2 2 4 2 8" xfId="12977" xr:uid="{00000000-0005-0000-0000-0000A8320000}"/>
    <cellStyle name="Normal 2 2 2 2 2 4 2 9" xfId="12978" xr:uid="{00000000-0005-0000-0000-0000A9320000}"/>
    <cellStyle name="Normal 2 2 2 2 2 4 3" xfId="12979" xr:uid="{00000000-0005-0000-0000-0000AA320000}"/>
    <cellStyle name="Normal 2 2 2 2 2 4 3 10" xfId="12980" xr:uid="{00000000-0005-0000-0000-0000AB320000}"/>
    <cellStyle name="Normal 2 2 2 2 2 4 3 2" xfId="12981" xr:uid="{00000000-0005-0000-0000-0000AC320000}"/>
    <cellStyle name="Normal 2 2 2 2 2 4 3 3" xfId="12982" xr:uid="{00000000-0005-0000-0000-0000AD320000}"/>
    <cellStyle name="Normal 2 2 2 2 2 4 3 4" xfId="12983" xr:uid="{00000000-0005-0000-0000-0000AE320000}"/>
    <cellStyle name="Normal 2 2 2 2 2 4 3 5" xfId="12984" xr:uid="{00000000-0005-0000-0000-0000AF320000}"/>
    <cellStyle name="Normal 2 2 2 2 2 4 3 6" xfId="12985" xr:uid="{00000000-0005-0000-0000-0000B0320000}"/>
    <cellStyle name="Normal 2 2 2 2 2 4 3 7" xfId="12986" xr:uid="{00000000-0005-0000-0000-0000B1320000}"/>
    <cellStyle name="Normal 2 2 2 2 2 4 3 8" xfId="12987" xr:uid="{00000000-0005-0000-0000-0000B2320000}"/>
    <cellStyle name="Normal 2 2 2 2 2 4 3 9" xfId="12988" xr:uid="{00000000-0005-0000-0000-0000B3320000}"/>
    <cellStyle name="Normal 2 2 2 2 2 4 4" xfId="12989" xr:uid="{00000000-0005-0000-0000-0000B4320000}"/>
    <cellStyle name="Normal 2 2 2 2 2 4 4 10" xfId="12990" xr:uid="{00000000-0005-0000-0000-0000B5320000}"/>
    <cellStyle name="Normal 2 2 2 2 2 4 4 2" xfId="12991" xr:uid="{00000000-0005-0000-0000-0000B6320000}"/>
    <cellStyle name="Normal 2 2 2 2 2 4 4 3" xfId="12992" xr:uid="{00000000-0005-0000-0000-0000B7320000}"/>
    <cellStyle name="Normal 2 2 2 2 2 4 4 4" xfId="12993" xr:uid="{00000000-0005-0000-0000-0000B8320000}"/>
    <cellStyle name="Normal 2 2 2 2 2 4 4 5" xfId="12994" xr:uid="{00000000-0005-0000-0000-0000B9320000}"/>
    <cellStyle name="Normal 2 2 2 2 2 4 4 6" xfId="12995" xr:uid="{00000000-0005-0000-0000-0000BA320000}"/>
    <cellStyle name="Normal 2 2 2 2 2 4 4 7" xfId="12996" xr:uid="{00000000-0005-0000-0000-0000BB320000}"/>
    <cellStyle name="Normal 2 2 2 2 2 4 4 8" xfId="12997" xr:uid="{00000000-0005-0000-0000-0000BC320000}"/>
    <cellStyle name="Normal 2 2 2 2 2 4 4 9" xfId="12998" xr:uid="{00000000-0005-0000-0000-0000BD320000}"/>
    <cellStyle name="Normal 2 2 2 2 2 4 5" xfId="12999" xr:uid="{00000000-0005-0000-0000-0000BE320000}"/>
    <cellStyle name="Normal 2 2 2 2 2 4 5 10" xfId="13000" xr:uid="{00000000-0005-0000-0000-0000BF320000}"/>
    <cellStyle name="Normal 2 2 2 2 2 4 5 2" xfId="13001" xr:uid="{00000000-0005-0000-0000-0000C0320000}"/>
    <cellStyle name="Normal 2 2 2 2 2 4 5 3" xfId="13002" xr:uid="{00000000-0005-0000-0000-0000C1320000}"/>
    <cellStyle name="Normal 2 2 2 2 2 4 5 4" xfId="13003" xr:uid="{00000000-0005-0000-0000-0000C2320000}"/>
    <cellStyle name="Normal 2 2 2 2 2 4 5 5" xfId="13004" xr:uid="{00000000-0005-0000-0000-0000C3320000}"/>
    <cellStyle name="Normal 2 2 2 2 2 4 5 6" xfId="13005" xr:uid="{00000000-0005-0000-0000-0000C4320000}"/>
    <cellStyle name="Normal 2 2 2 2 2 4 5 7" xfId="13006" xr:uid="{00000000-0005-0000-0000-0000C5320000}"/>
    <cellStyle name="Normal 2 2 2 2 2 4 5 8" xfId="13007" xr:uid="{00000000-0005-0000-0000-0000C6320000}"/>
    <cellStyle name="Normal 2 2 2 2 2 4 5 9" xfId="13008" xr:uid="{00000000-0005-0000-0000-0000C7320000}"/>
    <cellStyle name="Normal 2 2 2 2 2 4 6" xfId="13009" xr:uid="{00000000-0005-0000-0000-0000C8320000}"/>
    <cellStyle name="Normal 2 2 2 2 2 4 7" xfId="13010" xr:uid="{00000000-0005-0000-0000-0000C9320000}"/>
    <cellStyle name="Normal 2 2 2 2 2 4 8" xfId="13011" xr:uid="{00000000-0005-0000-0000-0000CA320000}"/>
    <cellStyle name="Normal 2 2 2 2 2 4 9" xfId="13012" xr:uid="{00000000-0005-0000-0000-0000CB320000}"/>
    <cellStyle name="Normal 2 2 2 2 2 40" xfId="13013" xr:uid="{00000000-0005-0000-0000-0000CC320000}"/>
    <cellStyle name="Normal 2 2 2 2 2 41" xfId="13014" xr:uid="{00000000-0005-0000-0000-0000CD320000}"/>
    <cellStyle name="Normal 2 2 2 2 2 42" xfId="13015" xr:uid="{00000000-0005-0000-0000-0000CE320000}"/>
    <cellStyle name="Normal 2 2 2 2 2 43" xfId="13016" xr:uid="{00000000-0005-0000-0000-0000CF320000}"/>
    <cellStyle name="Normal 2 2 2 2 2 44" xfId="13017" xr:uid="{00000000-0005-0000-0000-0000D0320000}"/>
    <cellStyle name="Normal 2 2 2 2 2 45" xfId="13018" xr:uid="{00000000-0005-0000-0000-0000D1320000}"/>
    <cellStyle name="Normal 2 2 2 2 2 46" xfId="13019" xr:uid="{00000000-0005-0000-0000-0000D2320000}"/>
    <cellStyle name="Normal 2 2 2 2 2 47" xfId="13020" xr:uid="{00000000-0005-0000-0000-0000D3320000}"/>
    <cellStyle name="Normal 2 2 2 2 2 48" xfId="13021" xr:uid="{00000000-0005-0000-0000-0000D4320000}"/>
    <cellStyle name="Normal 2 2 2 2 2 49" xfId="13022" xr:uid="{00000000-0005-0000-0000-0000D5320000}"/>
    <cellStyle name="Normal 2 2 2 2 2 5" xfId="13023" xr:uid="{00000000-0005-0000-0000-0000D6320000}"/>
    <cellStyle name="Normal 2 2 2 2 2 5 10" xfId="13024" xr:uid="{00000000-0005-0000-0000-0000D7320000}"/>
    <cellStyle name="Normal 2 2 2 2 2 5 11" xfId="13025" xr:uid="{00000000-0005-0000-0000-0000D8320000}"/>
    <cellStyle name="Normal 2 2 2 2 2 5 12" xfId="13026" xr:uid="{00000000-0005-0000-0000-0000D9320000}"/>
    <cellStyle name="Normal 2 2 2 2 2 5 13" xfId="13027" xr:uid="{00000000-0005-0000-0000-0000DA320000}"/>
    <cellStyle name="Normal 2 2 2 2 2 5 14" xfId="13028" xr:uid="{00000000-0005-0000-0000-0000DB320000}"/>
    <cellStyle name="Normal 2 2 2 2 2 5 2" xfId="13029" xr:uid="{00000000-0005-0000-0000-0000DC320000}"/>
    <cellStyle name="Normal 2 2 2 2 2 5 2 10" xfId="13030" xr:uid="{00000000-0005-0000-0000-0000DD320000}"/>
    <cellStyle name="Normal 2 2 2 2 2 5 2 2" xfId="13031" xr:uid="{00000000-0005-0000-0000-0000DE320000}"/>
    <cellStyle name="Normal 2 2 2 2 2 5 2 3" xfId="13032" xr:uid="{00000000-0005-0000-0000-0000DF320000}"/>
    <cellStyle name="Normal 2 2 2 2 2 5 2 4" xfId="13033" xr:uid="{00000000-0005-0000-0000-0000E0320000}"/>
    <cellStyle name="Normal 2 2 2 2 2 5 2 5" xfId="13034" xr:uid="{00000000-0005-0000-0000-0000E1320000}"/>
    <cellStyle name="Normal 2 2 2 2 2 5 2 6" xfId="13035" xr:uid="{00000000-0005-0000-0000-0000E2320000}"/>
    <cellStyle name="Normal 2 2 2 2 2 5 2 7" xfId="13036" xr:uid="{00000000-0005-0000-0000-0000E3320000}"/>
    <cellStyle name="Normal 2 2 2 2 2 5 2 8" xfId="13037" xr:uid="{00000000-0005-0000-0000-0000E4320000}"/>
    <cellStyle name="Normal 2 2 2 2 2 5 2 9" xfId="13038" xr:uid="{00000000-0005-0000-0000-0000E5320000}"/>
    <cellStyle name="Normal 2 2 2 2 2 5 3" xfId="13039" xr:uid="{00000000-0005-0000-0000-0000E6320000}"/>
    <cellStyle name="Normal 2 2 2 2 2 5 3 10" xfId="13040" xr:uid="{00000000-0005-0000-0000-0000E7320000}"/>
    <cellStyle name="Normal 2 2 2 2 2 5 3 2" xfId="13041" xr:uid="{00000000-0005-0000-0000-0000E8320000}"/>
    <cellStyle name="Normal 2 2 2 2 2 5 3 3" xfId="13042" xr:uid="{00000000-0005-0000-0000-0000E9320000}"/>
    <cellStyle name="Normal 2 2 2 2 2 5 3 4" xfId="13043" xr:uid="{00000000-0005-0000-0000-0000EA320000}"/>
    <cellStyle name="Normal 2 2 2 2 2 5 3 5" xfId="13044" xr:uid="{00000000-0005-0000-0000-0000EB320000}"/>
    <cellStyle name="Normal 2 2 2 2 2 5 3 6" xfId="13045" xr:uid="{00000000-0005-0000-0000-0000EC320000}"/>
    <cellStyle name="Normal 2 2 2 2 2 5 3 7" xfId="13046" xr:uid="{00000000-0005-0000-0000-0000ED320000}"/>
    <cellStyle name="Normal 2 2 2 2 2 5 3 8" xfId="13047" xr:uid="{00000000-0005-0000-0000-0000EE320000}"/>
    <cellStyle name="Normal 2 2 2 2 2 5 3 9" xfId="13048" xr:uid="{00000000-0005-0000-0000-0000EF320000}"/>
    <cellStyle name="Normal 2 2 2 2 2 5 4" xfId="13049" xr:uid="{00000000-0005-0000-0000-0000F0320000}"/>
    <cellStyle name="Normal 2 2 2 2 2 5 4 10" xfId="13050" xr:uid="{00000000-0005-0000-0000-0000F1320000}"/>
    <cellStyle name="Normal 2 2 2 2 2 5 4 2" xfId="13051" xr:uid="{00000000-0005-0000-0000-0000F2320000}"/>
    <cellStyle name="Normal 2 2 2 2 2 5 4 3" xfId="13052" xr:uid="{00000000-0005-0000-0000-0000F3320000}"/>
    <cellStyle name="Normal 2 2 2 2 2 5 4 4" xfId="13053" xr:uid="{00000000-0005-0000-0000-0000F4320000}"/>
    <cellStyle name="Normal 2 2 2 2 2 5 4 5" xfId="13054" xr:uid="{00000000-0005-0000-0000-0000F5320000}"/>
    <cellStyle name="Normal 2 2 2 2 2 5 4 6" xfId="13055" xr:uid="{00000000-0005-0000-0000-0000F6320000}"/>
    <cellStyle name="Normal 2 2 2 2 2 5 4 7" xfId="13056" xr:uid="{00000000-0005-0000-0000-0000F7320000}"/>
    <cellStyle name="Normal 2 2 2 2 2 5 4 8" xfId="13057" xr:uid="{00000000-0005-0000-0000-0000F8320000}"/>
    <cellStyle name="Normal 2 2 2 2 2 5 4 9" xfId="13058" xr:uid="{00000000-0005-0000-0000-0000F9320000}"/>
    <cellStyle name="Normal 2 2 2 2 2 5 5" xfId="13059" xr:uid="{00000000-0005-0000-0000-0000FA320000}"/>
    <cellStyle name="Normal 2 2 2 2 2 5 5 10" xfId="13060" xr:uid="{00000000-0005-0000-0000-0000FB320000}"/>
    <cellStyle name="Normal 2 2 2 2 2 5 5 2" xfId="13061" xr:uid="{00000000-0005-0000-0000-0000FC320000}"/>
    <cellStyle name="Normal 2 2 2 2 2 5 5 3" xfId="13062" xr:uid="{00000000-0005-0000-0000-0000FD320000}"/>
    <cellStyle name="Normal 2 2 2 2 2 5 5 4" xfId="13063" xr:uid="{00000000-0005-0000-0000-0000FE320000}"/>
    <cellStyle name="Normal 2 2 2 2 2 5 5 5" xfId="13064" xr:uid="{00000000-0005-0000-0000-0000FF320000}"/>
    <cellStyle name="Normal 2 2 2 2 2 5 5 6" xfId="13065" xr:uid="{00000000-0005-0000-0000-000000330000}"/>
    <cellStyle name="Normal 2 2 2 2 2 5 5 7" xfId="13066" xr:uid="{00000000-0005-0000-0000-000001330000}"/>
    <cellStyle name="Normal 2 2 2 2 2 5 5 8" xfId="13067" xr:uid="{00000000-0005-0000-0000-000002330000}"/>
    <cellStyle name="Normal 2 2 2 2 2 5 5 9" xfId="13068" xr:uid="{00000000-0005-0000-0000-000003330000}"/>
    <cellStyle name="Normal 2 2 2 2 2 5 6" xfId="13069" xr:uid="{00000000-0005-0000-0000-000004330000}"/>
    <cellStyle name="Normal 2 2 2 2 2 5 7" xfId="13070" xr:uid="{00000000-0005-0000-0000-000005330000}"/>
    <cellStyle name="Normal 2 2 2 2 2 5 8" xfId="13071" xr:uid="{00000000-0005-0000-0000-000006330000}"/>
    <cellStyle name="Normal 2 2 2 2 2 5 9" xfId="13072" xr:uid="{00000000-0005-0000-0000-000007330000}"/>
    <cellStyle name="Normal 2 2 2 2 2 6" xfId="13073" xr:uid="{00000000-0005-0000-0000-000008330000}"/>
    <cellStyle name="Normal 2 2 2 2 2 6 10" xfId="13074" xr:uid="{00000000-0005-0000-0000-000009330000}"/>
    <cellStyle name="Normal 2 2 2 2 2 6 11" xfId="13075" xr:uid="{00000000-0005-0000-0000-00000A330000}"/>
    <cellStyle name="Normal 2 2 2 2 2 6 12" xfId="13076" xr:uid="{00000000-0005-0000-0000-00000B330000}"/>
    <cellStyle name="Normal 2 2 2 2 2 6 13" xfId="13077" xr:uid="{00000000-0005-0000-0000-00000C330000}"/>
    <cellStyle name="Normal 2 2 2 2 2 6 14" xfId="13078" xr:uid="{00000000-0005-0000-0000-00000D330000}"/>
    <cellStyle name="Normal 2 2 2 2 2 6 2" xfId="13079" xr:uid="{00000000-0005-0000-0000-00000E330000}"/>
    <cellStyle name="Normal 2 2 2 2 2 6 2 10" xfId="13080" xr:uid="{00000000-0005-0000-0000-00000F330000}"/>
    <cellStyle name="Normal 2 2 2 2 2 6 2 2" xfId="13081" xr:uid="{00000000-0005-0000-0000-000010330000}"/>
    <cellStyle name="Normal 2 2 2 2 2 6 2 3" xfId="13082" xr:uid="{00000000-0005-0000-0000-000011330000}"/>
    <cellStyle name="Normal 2 2 2 2 2 6 2 4" xfId="13083" xr:uid="{00000000-0005-0000-0000-000012330000}"/>
    <cellStyle name="Normal 2 2 2 2 2 6 2 5" xfId="13084" xr:uid="{00000000-0005-0000-0000-000013330000}"/>
    <cellStyle name="Normal 2 2 2 2 2 6 2 6" xfId="13085" xr:uid="{00000000-0005-0000-0000-000014330000}"/>
    <cellStyle name="Normal 2 2 2 2 2 6 2 7" xfId="13086" xr:uid="{00000000-0005-0000-0000-000015330000}"/>
    <cellStyle name="Normal 2 2 2 2 2 6 2 8" xfId="13087" xr:uid="{00000000-0005-0000-0000-000016330000}"/>
    <cellStyle name="Normal 2 2 2 2 2 6 2 9" xfId="13088" xr:uid="{00000000-0005-0000-0000-000017330000}"/>
    <cellStyle name="Normal 2 2 2 2 2 6 3" xfId="13089" xr:uid="{00000000-0005-0000-0000-000018330000}"/>
    <cellStyle name="Normal 2 2 2 2 2 6 3 10" xfId="13090" xr:uid="{00000000-0005-0000-0000-000019330000}"/>
    <cellStyle name="Normal 2 2 2 2 2 6 3 2" xfId="13091" xr:uid="{00000000-0005-0000-0000-00001A330000}"/>
    <cellStyle name="Normal 2 2 2 2 2 6 3 3" xfId="13092" xr:uid="{00000000-0005-0000-0000-00001B330000}"/>
    <cellStyle name="Normal 2 2 2 2 2 6 3 4" xfId="13093" xr:uid="{00000000-0005-0000-0000-00001C330000}"/>
    <cellStyle name="Normal 2 2 2 2 2 6 3 5" xfId="13094" xr:uid="{00000000-0005-0000-0000-00001D330000}"/>
    <cellStyle name="Normal 2 2 2 2 2 6 3 6" xfId="13095" xr:uid="{00000000-0005-0000-0000-00001E330000}"/>
    <cellStyle name="Normal 2 2 2 2 2 6 3 7" xfId="13096" xr:uid="{00000000-0005-0000-0000-00001F330000}"/>
    <cellStyle name="Normal 2 2 2 2 2 6 3 8" xfId="13097" xr:uid="{00000000-0005-0000-0000-000020330000}"/>
    <cellStyle name="Normal 2 2 2 2 2 6 3 9" xfId="13098" xr:uid="{00000000-0005-0000-0000-000021330000}"/>
    <cellStyle name="Normal 2 2 2 2 2 6 4" xfId="13099" xr:uid="{00000000-0005-0000-0000-000022330000}"/>
    <cellStyle name="Normal 2 2 2 2 2 6 4 10" xfId="13100" xr:uid="{00000000-0005-0000-0000-000023330000}"/>
    <cellStyle name="Normal 2 2 2 2 2 6 4 2" xfId="13101" xr:uid="{00000000-0005-0000-0000-000024330000}"/>
    <cellStyle name="Normal 2 2 2 2 2 6 4 3" xfId="13102" xr:uid="{00000000-0005-0000-0000-000025330000}"/>
    <cellStyle name="Normal 2 2 2 2 2 6 4 4" xfId="13103" xr:uid="{00000000-0005-0000-0000-000026330000}"/>
    <cellStyle name="Normal 2 2 2 2 2 6 4 5" xfId="13104" xr:uid="{00000000-0005-0000-0000-000027330000}"/>
    <cellStyle name="Normal 2 2 2 2 2 6 4 6" xfId="13105" xr:uid="{00000000-0005-0000-0000-000028330000}"/>
    <cellStyle name="Normal 2 2 2 2 2 6 4 7" xfId="13106" xr:uid="{00000000-0005-0000-0000-000029330000}"/>
    <cellStyle name="Normal 2 2 2 2 2 6 4 8" xfId="13107" xr:uid="{00000000-0005-0000-0000-00002A330000}"/>
    <cellStyle name="Normal 2 2 2 2 2 6 4 9" xfId="13108" xr:uid="{00000000-0005-0000-0000-00002B330000}"/>
    <cellStyle name="Normal 2 2 2 2 2 6 5" xfId="13109" xr:uid="{00000000-0005-0000-0000-00002C330000}"/>
    <cellStyle name="Normal 2 2 2 2 2 6 5 10" xfId="13110" xr:uid="{00000000-0005-0000-0000-00002D330000}"/>
    <cellStyle name="Normal 2 2 2 2 2 6 5 2" xfId="13111" xr:uid="{00000000-0005-0000-0000-00002E330000}"/>
    <cellStyle name="Normal 2 2 2 2 2 6 5 3" xfId="13112" xr:uid="{00000000-0005-0000-0000-00002F330000}"/>
    <cellStyle name="Normal 2 2 2 2 2 6 5 4" xfId="13113" xr:uid="{00000000-0005-0000-0000-000030330000}"/>
    <cellStyle name="Normal 2 2 2 2 2 6 5 5" xfId="13114" xr:uid="{00000000-0005-0000-0000-000031330000}"/>
    <cellStyle name="Normal 2 2 2 2 2 6 5 6" xfId="13115" xr:uid="{00000000-0005-0000-0000-000032330000}"/>
    <cellStyle name="Normal 2 2 2 2 2 6 5 7" xfId="13116" xr:uid="{00000000-0005-0000-0000-000033330000}"/>
    <cellStyle name="Normal 2 2 2 2 2 6 5 8" xfId="13117" xr:uid="{00000000-0005-0000-0000-000034330000}"/>
    <cellStyle name="Normal 2 2 2 2 2 6 5 9" xfId="13118" xr:uid="{00000000-0005-0000-0000-000035330000}"/>
    <cellStyle name="Normal 2 2 2 2 2 6 6" xfId="13119" xr:uid="{00000000-0005-0000-0000-000036330000}"/>
    <cellStyle name="Normal 2 2 2 2 2 6 7" xfId="13120" xr:uid="{00000000-0005-0000-0000-000037330000}"/>
    <cellStyle name="Normal 2 2 2 2 2 6 8" xfId="13121" xr:uid="{00000000-0005-0000-0000-000038330000}"/>
    <cellStyle name="Normal 2 2 2 2 2 6 9" xfId="13122" xr:uid="{00000000-0005-0000-0000-000039330000}"/>
    <cellStyle name="Normal 2 2 2 2 2 7" xfId="13123" xr:uid="{00000000-0005-0000-0000-00003A330000}"/>
    <cellStyle name="Normal 2 2 2 2 2 7 10" xfId="13124" xr:uid="{00000000-0005-0000-0000-00003B330000}"/>
    <cellStyle name="Normal 2 2 2 2 2 7 11" xfId="13125" xr:uid="{00000000-0005-0000-0000-00003C330000}"/>
    <cellStyle name="Normal 2 2 2 2 2 7 12" xfId="13126" xr:uid="{00000000-0005-0000-0000-00003D330000}"/>
    <cellStyle name="Normal 2 2 2 2 2 7 13" xfId="13127" xr:uid="{00000000-0005-0000-0000-00003E330000}"/>
    <cellStyle name="Normal 2 2 2 2 2 7 14" xfId="13128" xr:uid="{00000000-0005-0000-0000-00003F330000}"/>
    <cellStyle name="Normal 2 2 2 2 2 7 2" xfId="13129" xr:uid="{00000000-0005-0000-0000-000040330000}"/>
    <cellStyle name="Normal 2 2 2 2 2 7 2 10" xfId="13130" xr:uid="{00000000-0005-0000-0000-000041330000}"/>
    <cellStyle name="Normal 2 2 2 2 2 7 2 2" xfId="13131" xr:uid="{00000000-0005-0000-0000-000042330000}"/>
    <cellStyle name="Normal 2 2 2 2 2 7 2 3" xfId="13132" xr:uid="{00000000-0005-0000-0000-000043330000}"/>
    <cellStyle name="Normal 2 2 2 2 2 7 2 4" xfId="13133" xr:uid="{00000000-0005-0000-0000-000044330000}"/>
    <cellStyle name="Normal 2 2 2 2 2 7 2 5" xfId="13134" xr:uid="{00000000-0005-0000-0000-000045330000}"/>
    <cellStyle name="Normal 2 2 2 2 2 7 2 6" xfId="13135" xr:uid="{00000000-0005-0000-0000-000046330000}"/>
    <cellStyle name="Normal 2 2 2 2 2 7 2 7" xfId="13136" xr:uid="{00000000-0005-0000-0000-000047330000}"/>
    <cellStyle name="Normal 2 2 2 2 2 7 2 8" xfId="13137" xr:uid="{00000000-0005-0000-0000-000048330000}"/>
    <cellStyle name="Normal 2 2 2 2 2 7 2 9" xfId="13138" xr:uid="{00000000-0005-0000-0000-000049330000}"/>
    <cellStyle name="Normal 2 2 2 2 2 7 3" xfId="13139" xr:uid="{00000000-0005-0000-0000-00004A330000}"/>
    <cellStyle name="Normal 2 2 2 2 2 7 3 10" xfId="13140" xr:uid="{00000000-0005-0000-0000-00004B330000}"/>
    <cellStyle name="Normal 2 2 2 2 2 7 3 2" xfId="13141" xr:uid="{00000000-0005-0000-0000-00004C330000}"/>
    <cellStyle name="Normal 2 2 2 2 2 7 3 3" xfId="13142" xr:uid="{00000000-0005-0000-0000-00004D330000}"/>
    <cellStyle name="Normal 2 2 2 2 2 7 3 4" xfId="13143" xr:uid="{00000000-0005-0000-0000-00004E330000}"/>
    <cellStyle name="Normal 2 2 2 2 2 7 3 5" xfId="13144" xr:uid="{00000000-0005-0000-0000-00004F330000}"/>
    <cellStyle name="Normal 2 2 2 2 2 7 3 6" xfId="13145" xr:uid="{00000000-0005-0000-0000-000050330000}"/>
    <cellStyle name="Normal 2 2 2 2 2 7 3 7" xfId="13146" xr:uid="{00000000-0005-0000-0000-000051330000}"/>
    <cellStyle name="Normal 2 2 2 2 2 7 3 8" xfId="13147" xr:uid="{00000000-0005-0000-0000-000052330000}"/>
    <cellStyle name="Normal 2 2 2 2 2 7 3 9" xfId="13148" xr:uid="{00000000-0005-0000-0000-000053330000}"/>
    <cellStyle name="Normal 2 2 2 2 2 7 4" xfId="13149" xr:uid="{00000000-0005-0000-0000-000054330000}"/>
    <cellStyle name="Normal 2 2 2 2 2 7 4 10" xfId="13150" xr:uid="{00000000-0005-0000-0000-000055330000}"/>
    <cellStyle name="Normal 2 2 2 2 2 7 4 2" xfId="13151" xr:uid="{00000000-0005-0000-0000-000056330000}"/>
    <cellStyle name="Normal 2 2 2 2 2 7 4 3" xfId="13152" xr:uid="{00000000-0005-0000-0000-000057330000}"/>
    <cellStyle name="Normal 2 2 2 2 2 7 4 4" xfId="13153" xr:uid="{00000000-0005-0000-0000-000058330000}"/>
    <cellStyle name="Normal 2 2 2 2 2 7 4 5" xfId="13154" xr:uid="{00000000-0005-0000-0000-000059330000}"/>
    <cellStyle name="Normal 2 2 2 2 2 7 4 6" xfId="13155" xr:uid="{00000000-0005-0000-0000-00005A330000}"/>
    <cellStyle name="Normal 2 2 2 2 2 7 4 7" xfId="13156" xr:uid="{00000000-0005-0000-0000-00005B330000}"/>
    <cellStyle name="Normal 2 2 2 2 2 7 4 8" xfId="13157" xr:uid="{00000000-0005-0000-0000-00005C330000}"/>
    <cellStyle name="Normal 2 2 2 2 2 7 4 9" xfId="13158" xr:uid="{00000000-0005-0000-0000-00005D330000}"/>
    <cellStyle name="Normal 2 2 2 2 2 7 5" xfId="13159" xr:uid="{00000000-0005-0000-0000-00005E330000}"/>
    <cellStyle name="Normal 2 2 2 2 2 7 5 10" xfId="13160" xr:uid="{00000000-0005-0000-0000-00005F330000}"/>
    <cellStyle name="Normal 2 2 2 2 2 7 5 2" xfId="13161" xr:uid="{00000000-0005-0000-0000-000060330000}"/>
    <cellStyle name="Normal 2 2 2 2 2 7 5 3" xfId="13162" xr:uid="{00000000-0005-0000-0000-000061330000}"/>
    <cellStyle name="Normal 2 2 2 2 2 7 5 4" xfId="13163" xr:uid="{00000000-0005-0000-0000-000062330000}"/>
    <cellStyle name="Normal 2 2 2 2 2 7 5 5" xfId="13164" xr:uid="{00000000-0005-0000-0000-000063330000}"/>
    <cellStyle name="Normal 2 2 2 2 2 7 5 6" xfId="13165" xr:uid="{00000000-0005-0000-0000-000064330000}"/>
    <cellStyle name="Normal 2 2 2 2 2 7 5 7" xfId="13166" xr:uid="{00000000-0005-0000-0000-000065330000}"/>
    <cellStyle name="Normal 2 2 2 2 2 7 5 8" xfId="13167" xr:uid="{00000000-0005-0000-0000-000066330000}"/>
    <cellStyle name="Normal 2 2 2 2 2 7 5 9" xfId="13168" xr:uid="{00000000-0005-0000-0000-000067330000}"/>
    <cellStyle name="Normal 2 2 2 2 2 7 6" xfId="13169" xr:uid="{00000000-0005-0000-0000-000068330000}"/>
    <cellStyle name="Normal 2 2 2 2 2 7 7" xfId="13170" xr:uid="{00000000-0005-0000-0000-000069330000}"/>
    <cellStyle name="Normal 2 2 2 2 2 7 8" xfId="13171" xr:uid="{00000000-0005-0000-0000-00006A330000}"/>
    <cellStyle name="Normal 2 2 2 2 2 7 9" xfId="13172" xr:uid="{00000000-0005-0000-0000-00006B330000}"/>
    <cellStyle name="Normal 2 2 2 2 2 8" xfId="13173" xr:uid="{00000000-0005-0000-0000-00006C330000}"/>
    <cellStyle name="Normal 2 2 2 2 2 8 10" xfId="13174" xr:uid="{00000000-0005-0000-0000-00006D330000}"/>
    <cellStyle name="Normal 2 2 2 2 2 8 11" xfId="13175" xr:uid="{00000000-0005-0000-0000-00006E330000}"/>
    <cellStyle name="Normal 2 2 2 2 2 8 12" xfId="13176" xr:uid="{00000000-0005-0000-0000-00006F330000}"/>
    <cellStyle name="Normal 2 2 2 2 2 8 13" xfId="13177" xr:uid="{00000000-0005-0000-0000-000070330000}"/>
    <cellStyle name="Normal 2 2 2 2 2 8 14" xfId="13178" xr:uid="{00000000-0005-0000-0000-000071330000}"/>
    <cellStyle name="Normal 2 2 2 2 2 8 2" xfId="13179" xr:uid="{00000000-0005-0000-0000-000072330000}"/>
    <cellStyle name="Normal 2 2 2 2 2 8 2 10" xfId="13180" xr:uid="{00000000-0005-0000-0000-000073330000}"/>
    <cellStyle name="Normal 2 2 2 2 2 8 2 2" xfId="13181" xr:uid="{00000000-0005-0000-0000-000074330000}"/>
    <cellStyle name="Normal 2 2 2 2 2 8 2 3" xfId="13182" xr:uid="{00000000-0005-0000-0000-000075330000}"/>
    <cellStyle name="Normal 2 2 2 2 2 8 2 4" xfId="13183" xr:uid="{00000000-0005-0000-0000-000076330000}"/>
    <cellStyle name="Normal 2 2 2 2 2 8 2 5" xfId="13184" xr:uid="{00000000-0005-0000-0000-000077330000}"/>
    <cellStyle name="Normal 2 2 2 2 2 8 2 6" xfId="13185" xr:uid="{00000000-0005-0000-0000-000078330000}"/>
    <cellStyle name="Normal 2 2 2 2 2 8 2 7" xfId="13186" xr:uid="{00000000-0005-0000-0000-000079330000}"/>
    <cellStyle name="Normal 2 2 2 2 2 8 2 8" xfId="13187" xr:uid="{00000000-0005-0000-0000-00007A330000}"/>
    <cellStyle name="Normal 2 2 2 2 2 8 2 9" xfId="13188" xr:uid="{00000000-0005-0000-0000-00007B330000}"/>
    <cellStyle name="Normal 2 2 2 2 2 8 3" xfId="13189" xr:uid="{00000000-0005-0000-0000-00007C330000}"/>
    <cellStyle name="Normal 2 2 2 2 2 8 3 10" xfId="13190" xr:uid="{00000000-0005-0000-0000-00007D330000}"/>
    <cellStyle name="Normal 2 2 2 2 2 8 3 2" xfId="13191" xr:uid="{00000000-0005-0000-0000-00007E330000}"/>
    <cellStyle name="Normal 2 2 2 2 2 8 3 3" xfId="13192" xr:uid="{00000000-0005-0000-0000-00007F330000}"/>
    <cellStyle name="Normal 2 2 2 2 2 8 3 4" xfId="13193" xr:uid="{00000000-0005-0000-0000-000080330000}"/>
    <cellStyle name="Normal 2 2 2 2 2 8 3 5" xfId="13194" xr:uid="{00000000-0005-0000-0000-000081330000}"/>
    <cellStyle name="Normal 2 2 2 2 2 8 3 6" xfId="13195" xr:uid="{00000000-0005-0000-0000-000082330000}"/>
    <cellStyle name="Normal 2 2 2 2 2 8 3 7" xfId="13196" xr:uid="{00000000-0005-0000-0000-000083330000}"/>
    <cellStyle name="Normal 2 2 2 2 2 8 3 8" xfId="13197" xr:uid="{00000000-0005-0000-0000-000084330000}"/>
    <cellStyle name="Normal 2 2 2 2 2 8 3 9" xfId="13198" xr:uid="{00000000-0005-0000-0000-000085330000}"/>
    <cellStyle name="Normal 2 2 2 2 2 8 4" xfId="13199" xr:uid="{00000000-0005-0000-0000-000086330000}"/>
    <cellStyle name="Normal 2 2 2 2 2 8 4 10" xfId="13200" xr:uid="{00000000-0005-0000-0000-000087330000}"/>
    <cellStyle name="Normal 2 2 2 2 2 8 4 2" xfId="13201" xr:uid="{00000000-0005-0000-0000-000088330000}"/>
    <cellStyle name="Normal 2 2 2 2 2 8 4 3" xfId="13202" xr:uid="{00000000-0005-0000-0000-000089330000}"/>
    <cellStyle name="Normal 2 2 2 2 2 8 4 4" xfId="13203" xr:uid="{00000000-0005-0000-0000-00008A330000}"/>
    <cellStyle name="Normal 2 2 2 2 2 8 4 5" xfId="13204" xr:uid="{00000000-0005-0000-0000-00008B330000}"/>
    <cellStyle name="Normal 2 2 2 2 2 8 4 6" xfId="13205" xr:uid="{00000000-0005-0000-0000-00008C330000}"/>
    <cellStyle name="Normal 2 2 2 2 2 8 4 7" xfId="13206" xr:uid="{00000000-0005-0000-0000-00008D330000}"/>
    <cellStyle name="Normal 2 2 2 2 2 8 4 8" xfId="13207" xr:uid="{00000000-0005-0000-0000-00008E330000}"/>
    <cellStyle name="Normal 2 2 2 2 2 8 4 9" xfId="13208" xr:uid="{00000000-0005-0000-0000-00008F330000}"/>
    <cellStyle name="Normal 2 2 2 2 2 8 5" xfId="13209" xr:uid="{00000000-0005-0000-0000-000090330000}"/>
    <cellStyle name="Normal 2 2 2 2 2 8 5 10" xfId="13210" xr:uid="{00000000-0005-0000-0000-000091330000}"/>
    <cellStyle name="Normal 2 2 2 2 2 8 5 2" xfId="13211" xr:uid="{00000000-0005-0000-0000-000092330000}"/>
    <cellStyle name="Normal 2 2 2 2 2 8 5 3" xfId="13212" xr:uid="{00000000-0005-0000-0000-000093330000}"/>
    <cellStyle name="Normal 2 2 2 2 2 8 5 4" xfId="13213" xr:uid="{00000000-0005-0000-0000-000094330000}"/>
    <cellStyle name="Normal 2 2 2 2 2 8 5 5" xfId="13214" xr:uid="{00000000-0005-0000-0000-000095330000}"/>
    <cellStyle name="Normal 2 2 2 2 2 8 5 6" xfId="13215" xr:uid="{00000000-0005-0000-0000-000096330000}"/>
    <cellStyle name="Normal 2 2 2 2 2 8 5 7" xfId="13216" xr:uid="{00000000-0005-0000-0000-000097330000}"/>
    <cellStyle name="Normal 2 2 2 2 2 8 5 8" xfId="13217" xr:uid="{00000000-0005-0000-0000-000098330000}"/>
    <cellStyle name="Normal 2 2 2 2 2 8 5 9" xfId="13218" xr:uid="{00000000-0005-0000-0000-000099330000}"/>
    <cellStyle name="Normal 2 2 2 2 2 8 6" xfId="13219" xr:uid="{00000000-0005-0000-0000-00009A330000}"/>
    <cellStyle name="Normal 2 2 2 2 2 8 7" xfId="13220" xr:uid="{00000000-0005-0000-0000-00009B330000}"/>
    <cellStyle name="Normal 2 2 2 2 2 8 8" xfId="13221" xr:uid="{00000000-0005-0000-0000-00009C330000}"/>
    <cellStyle name="Normal 2 2 2 2 2 8 9" xfId="13222" xr:uid="{00000000-0005-0000-0000-00009D330000}"/>
    <cellStyle name="Normal 2 2 2 2 2 9" xfId="13223" xr:uid="{00000000-0005-0000-0000-00009E330000}"/>
    <cellStyle name="Normal 2 2 2 2 2 9 10" xfId="13224" xr:uid="{00000000-0005-0000-0000-00009F330000}"/>
    <cellStyle name="Normal 2 2 2 2 2 9 11" xfId="13225" xr:uid="{00000000-0005-0000-0000-0000A0330000}"/>
    <cellStyle name="Normal 2 2 2 2 2 9 12" xfId="13226" xr:uid="{00000000-0005-0000-0000-0000A1330000}"/>
    <cellStyle name="Normal 2 2 2 2 2 9 13" xfId="13227" xr:uid="{00000000-0005-0000-0000-0000A2330000}"/>
    <cellStyle name="Normal 2 2 2 2 2 9 14" xfId="13228" xr:uid="{00000000-0005-0000-0000-0000A3330000}"/>
    <cellStyle name="Normal 2 2 2 2 2 9 2" xfId="13229" xr:uid="{00000000-0005-0000-0000-0000A4330000}"/>
    <cellStyle name="Normal 2 2 2 2 2 9 2 10" xfId="13230" xr:uid="{00000000-0005-0000-0000-0000A5330000}"/>
    <cellStyle name="Normal 2 2 2 2 2 9 2 2" xfId="13231" xr:uid="{00000000-0005-0000-0000-0000A6330000}"/>
    <cellStyle name="Normal 2 2 2 2 2 9 2 3" xfId="13232" xr:uid="{00000000-0005-0000-0000-0000A7330000}"/>
    <cellStyle name="Normal 2 2 2 2 2 9 2 4" xfId="13233" xr:uid="{00000000-0005-0000-0000-0000A8330000}"/>
    <cellStyle name="Normal 2 2 2 2 2 9 2 5" xfId="13234" xr:uid="{00000000-0005-0000-0000-0000A9330000}"/>
    <cellStyle name="Normal 2 2 2 2 2 9 2 6" xfId="13235" xr:uid="{00000000-0005-0000-0000-0000AA330000}"/>
    <cellStyle name="Normal 2 2 2 2 2 9 2 7" xfId="13236" xr:uid="{00000000-0005-0000-0000-0000AB330000}"/>
    <cellStyle name="Normal 2 2 2 2 2 9 2 8" xfId="13237" xr:uid="{00000000-0005-0000-0000-0000AC330000}"/>
    <cellStyle name="Normal 2 2 2 2 2 9 2 9" xfId="13238" xr:uid="{00000000-0005-0000-0000-0000AD330000}"/>
    <cellStyle name="Normal 2 2 2 2 2 9 3" xfId="13239" xr:uid="{00000000-0005-0000-0000-0000AE330000}"/>
    <cellStyle name="Normal 2 2 2 2 2 9 3 10" xfId="13240" xr:uid="{00000000-0005-0000-0000-0000AF330000}"/>
    <cellStyle name="Normal 2 2 2 2 2 9 3 2" xfId="13241" xr:uid="{00000000-0005-0000-0000-0000B0330000}"/>
    <cellStyle name="Normal 2 2 2 2 2 9 3 3" xfId="13242" xr:uid="{00000000-0005-0000-0000-0000B1330000}"/>
    <cellStyle name="Normal 2 2 2 2 2 9 3 4" xfId="13243" xr:uid="{00000000-0005-0000-0000-0000B2330000}"/>
    <cellStyle name="Normal 2 2 2 2 2 9 3 5" xfId="13244" xr:uid="{00000000-0005-0000-0000-0000B3330000}"/>
    <cellStyle name="Normal 2 2 2 2 2 9 3 6" xfId="13245" xr:uid="{00000000-0005-0000-0000-0000B4330000}"/>
    <cellStyle name="Normal 2 2 2 2 2 9 3 7" xfId="13246" xr:uid="{00000000-0005-0000-0000-0000B5330000}"/>
    <cellStyle name="Normal 2 2 2 2 2 9 3 8" xfId="13247" xr:uid="{00000000-0005-0000-0000-0000B6330000}"/>
    <cellStyle name="Normal 2 2 2 2 2 9 3 9" xfId="13248" xr:uid="{00000000-0005-0000-0000-0000B7330000}"/>
    <cellStyle name="Normal 2 2 2 2 2 9 4" xfId="13249" xr:uid="{00000000-0005-0000-0000-0000B8330000}"/>
    <cellStyle name="Normal 2 2 2 2 2 9 4 10" xfId="13250" xr:uid="{00000000-0005-0000-0000-0000B9330000}"/>
    <cellStyle name="Normal 2 2 2 2 2 9 4 2" xfId="13251" xr:uid="{00000000-0005-0000-0000-0000BA330000}"/>
    <cellStyle name="Normal 2 2 2 2 2 9 4 3" xfId="13252" xr:uid="{00000000-0005-0000-0000-0000BB330000}"/>
    <cellStyle name="Normal 2 2 2 2 2 9 4 4" xfId="13253" xr:uid="{00000000-0005-0000-0000-0000BC330000}"/>
    <cellStyle name="Normal 2 2 2 2 2 9 4 5" xfId="13254" xr:uid="{00000000-0005-0000-0000-0000BD330000}"/>
    <cellStyle name="Normal 2 2 2 2 2 9 4 6" xfId="13255" xr:uid="{00000000-0005-0000-0000-0000BE330000}"/>
    <cellStyle name="Normal 2 2 2 2 2 9 4 7" xfId="13256" xr:uid="{00000000-0005-0000-0000-0000BF330000}"/>
    <cellStyle name="Normal 2 2 2 2 2 9 4 8" xfId="13257" xr:uid="{00000000-0005-0000-0000-0000C0330000}"/>
    <cellStyle name="Normal 2 2 2 2 2 9 4 9" xfId="13258" xr:uid="{00000000-0005-0000-0000-0000C1330000}"/>
    <cellStyle name="Normal 2 2 2 2 2 9 5" xfId="13259" xr:uid="{00000000-0005-0000-0000-0000C2330000}"/>
    <cellStyle name="Normal 2 2 2 2 2 9 5 10" xfId="13260" xr:uid="{00000000-0005-0000-0000-0000C3330000}"/>
    <cellStyle name="Normal 2 2 2 2 2 9 5 2" xfId="13261" xr:uid="{00000000-0005-0000-0000-0000C4330000}"/>
    <cellStyle name="Normal 2 2 2 2 2 9 5 3" xfId="13262" xr:uid="{00000000-0005-0000-0000-0000C5330000}"/>
    <cellStyle name="Normal 2 2 2 2 2 9 5 4" xfId="13263" xr:uid="{00000000-0005-0000-0000-0000C6330000}"/>
    <cellStyle name="Normal 2 2 2 2 2 9 5 5" xfId="13264" xr:uid="{00000000-0005-0000-0000-0000C7330000}"/>
    <cellStyle name="Normal 2 2 2 2 2 9 5 6" xfId="13265" xr:uid="{00000000-0005-0000-0000-0000C8330000}"/>
    <cellStyle name="Normal 2 2 2 2 2 9 5 7" xfId="13266" xr:uid="{00000000-0005-0000-0000-0000C9330000}"/>
    <cellStyle name="Normal 2 2 2 2 2 9 5 8" xfId="13267" xr:uid="{00000000-0005-0000-0000-0000CA330000}"/>
    <cellStyle name="Normal 2 2 2 2 2 9 5 9" xfId="13268" xr:uid="{00000000-0005-0000-0000-0000CB330000}"/>
    <cellStyle name="Normal 2 2 2 2 2 9 6" xfId="13269" xr:uid="{00000000-0005-0000-0000-0000CC330000}"/>
    <cellStyle name="Normal 2 2 2 2 2 9 7" xfId="13270" xr:uid="{00000000-0005-0000-0000-0000CD330000}"/>
    <cellStyle name="Normal 2 2 2 2 2 9 8" xfId="13271" xr:uid="{00000000-0005-0000-0000-0000CE330000}"/>
    <cellStyle name="Normal 2 2 2 2 2 9 9" xfId="13272" xr:uid="{00000000-0005-0000-0000-0000CF330000}"/>
    <cellStyle name="Normal 2 2 2 2 20" xfId="13273" xr:uid="{00000000-0005-0000-0000-0000D0330000}"/>
    <cellStyle name="Normal 2 2 2 2 21" xfId="13274" xr:uid="{00000000-0005-0000-0000-0000D1330000}"/>
    <cellStyle name="Normal 2 2 2 2 22" xfId="13275" xr:uid="{00000000-0005-0000-0000-0000D2330000}"/>
    <cellStyle name="Normal 2 2 2 2 23" xfId="13276" xr:uid="{00000000-0005-0000-0000-0000D3330000}"/>
    <cellStyle name="Normal 2 2 2 2 24" xfId="13277" xr:uid="{00000000-0005-0000-0000-0000D4330000}"/>
    <cellStyle name="Normal 2 2 2 2 25" xfId="13278" xr:uid="{00000000-0005-0000-0000-0000D5330000}"/>
    <cellStyle name="Normal 2 2 2 2 26" xfId="13279" xr:uid="{00000000-0005-0000-0000-0000D6330000}"/>
    <cellStyle name="Normal 2 2 2 2 27" xfId="13280" xr:uid="{00000000-0005-0000-0000-0000D7330000}"/>
    <cellStyle name="Normal 2 2 2 2 28" xfId="13281" xr:uid="{00000000-0005-0000-0000-0000D8330000}"/>
    <cellStyle name="Normal 2 2 2 2 29" xfId="13282" xr:uid="{00000000-0005-0000-0000-0000D9330000}"/>
    <cellStyle name="Normal 2 2 2 2 3" xfId="13283" xr:uid="{00000000-0005-0000-0000-0000DA330000}"/>
    <cellStyle name="Normal 2 2 2 2 3 2" xfId="13284" xr:uid="{00000000-0005-0000-0000-0000DB330000}"/>
    <cellStyle name="Normal 2 2 2 2 3 2 2" xfId="13285" xr:uid="{00000000-0005-0000-0000-0000DC330000}"/>
    <cellStyle name="Normal 2 2 2 2 3 3" xfId="13286" xr:uid="{00000000-0005-0000-0000-0000DD330000}"/>
    <cellStyle name="Normal 2 2 2 2 3 4" xfId="13287" xr:uid="{00000000-0005-0000-0000-0000DE330000}"/>
    <cellStyle name="Normal 2 2 2 2 3 5" xfId="13288" xr:uid="{00000000-0005-0000-0000-0000DF330000}"/>
    <cellStyle name="Normal 2 2 2 2 30" xfId="13289" xr:uid="{00000000-0005-0000-0000-0000E0330000}"/>
    <cellStyle name="Normal 2 2 2 2 31" xfId="13290" xr:uid="{00000000-0005-0000-0000-0000E1330000}"/>
    <cellStyle name="Normal 2 2 2 2 32" xfId="13291" xr:uid="{00000000-0005-0000-0000-0000E2330000}"/>
    <cellStyle name="Normal 2 2 2 2 33" xfId="13292" xr:uid="{00000000-0005-0000-0000-0000E3330000}"/>
    <cellStyle name="Normal 2 2 2 2 34" xfId="13293" xr:uid="{00000000-0005-0000-0000-0000E4330000}"/>
    <cellStyle name="Normal 2 2 2 2 35" xfId="13294" xr:uid="{00000000-0005-0000-0000-0000E5330000}"/>
    <cellStyle name="Normal 2 2 2 2 36" xfId="13295" xr:uid="{00000000-0005-0000-0000-0000E6330000}"/>
    <cellStyle name="Normal 2 2 2 2 37" xfId="13296" xr:uid="{00000000-0005-0000-0000-0000E7330000}"/>
    <cellStyle name="Normal 2 2 2 2 38" xfId="13297" xr:uid="{00000000-0005-0000-0000-0000E8330000}"/>
    <cellStyle name="Normal 2 2 2 2 39" xfId="13298" xr:uid="{00000000-0005-0000-0000-0000E9330000}"/>
    <cellStyle name="Normal 2 2 2 2 4" xfId="13299" xr:uid="{00000000-0005-0000-0000-0000EA330000}"/>
    <cellStyle name="Normal 2 2 2 2 4 10" xfId="13300" xr:uid="{00000000-0005-0000-0000-0000EB330000}"/>
    <cellStyle name="Normal 2 2 2 2 4 10 10" xfId="13301" xr:uid="{00000000-0005-0000-0000-0000EC330000}"/>
    <cellStyle name="Normal 2 2 2 2 4 10 11" xfId="13302" xr:uid="{00000000-0005-0000-0000-0000ED330000}"/>
    <cellStyle name="Normal 2 2 2 2 4 10 12" xfId="13303" xr:uid="{00000000-0005-0000-0000-0000EE330000}"/>
    <cellStyle name="Normal 2 2 2 2 4 10 13" xfId="13304" xr:uid="{00000000-0005-0000-0000-0000EF330000}"/>
    <cellStyle name="Normal 2 2 2 2 4 10 14" xfId="13305" xr:uid="{00000000-0005-0000-0000-0000F0330000}"/>
    <cellStyle name="Normal 2 2 2 2 4 10 2" xfId="13306" xr:uid="{00000000-0005-0000-0000-0000F1330000}"/>
    <cellStyle name="Normal 2 2 2 2 4 10 2 10" xfId="13307" xr:uid="{00000000-0005-0000-0000-0000F2330000}"/>
    <cellStyle name="Normal 2 2 2 2 4 10 2 2" xfId="13308" xr:uid="{00000000-0005-0000-0000-0000F3330000}"/>
    <cellStyle name="Normal 2 2 2 2 4 10 2 3" xfId="13309" xr:uid="{00000000-0005-0000-0000-0000F4330000}"/>
    <cellStyle name="Normal 2 2 2 2 4 10 2 4" xfId="13310" xr:uid="{00000000-0005-0000-0000-0000F5330000}"/>
    <cellStyle name="Normal 2 2 2 2 4 10 2 5" xfId="13311" xr:uid="{00000000-0005-0000-0000-0000F6330000}"/>
    <cellStyle name="Normal 2 2 2 2 4 10 2 6" xfId="13312" xr:uid="{00000000-0005-0000-0000-0000F7330000}"/>
    <cellStyle name="Normal 2 2 2 2 4 10 2 7" xfId="13313" xr:uid="{00000000-0005-0000-0000-0000F8330000}"/>
    <cellStyle name="Normal 2 2 2 2 4 10 2 8" xfId="13314" xr:uid="{00000000-0005-0000-0000-0000F9330000}"/>
    <cellStyle name="Normal 2 2 2 2 4 10 2 9" xfId="13315" xr:uid="{00000000-0005-0000-0000-0000FA330000}"/>
    <cellStyle name="Normal 2 2 2 2 4 10 3" xfId="13316" xr:uid="{00000000-0005-0000-0000-0000FB330000}"/>
    <cellStyle name="Normal 2 2 2 2 4 10 3 10" xfId="13317" xr:uid="{00000000-0005-0000-0000-0000FC330000}"/>
    <cellStyle name="Normal 2 2 2 2 4 10 3 2" xfId="13318" xr:uid="{00000000-0005-0000-0000-0000FD330000}"/>
    <cellStyle name="Normal 2 2 2 2 4 10 3 3" xfId="13319" xr:uid="{00000000-0005-0000-0000-0000FE330000}"/>
    <cellStyle name="Normal 2 2 2 2 4 10 3 4" xfId="13320" xr:uid="{00000000-0005-0000-0000-0000FF330000}"/>
    <cellStyle name="Normal 2 2 2 2 4 10 3 5" xfId="13321" xr:uid="{00000000-0005-0000-0000-000000340000}"/>
    <cellStyle name="Normal 2 2 2 2 4 10 3 6" xfId="13322" xr:uid="{00000000-0005-0000-0000-000001340000}"/>
    <cellStyle name="Normal 2 2 2 2 4 10 3 7" xfId="13323" xr:uid="{00000000-0005-0000-0000-000002340000}"/>
    <cellStyle name="Normal 2 2 2 2 4 10 3 8" xfId="13324" xr:uid="{00000000-0005-0000-0000-000003340000}"/>
    <cellStyle name="Normal 2 2 2 2 4 10 3 9" xfId="13325" xr:uid="{00000000-0005-0000-0000-000004340000}"/>
    <cellStyle name="Normal 2 2 2 2 4 10 4" xfId="13326" xr:uid="{00000000-0005-0000-0000-000005340000}"/>
    <cellStyle name="Normal 2 2 2 2 4 10 4 10" xfId="13327" xr:uid="{00000000-0005-0000-0000-000006340000}"/>
    <cellStyle name="Normal 2 2 2 2 4 10 4 2" xfId="13328" xr:uid="{00000000-0005-0000-0000-000007340000}"/>
    <cellStyle name="Normal 2 2 2 2 4 10 4 3" xfId="13329" xr:uid="{00000000-0005-0000-0000-000008340000}"/>
    <cellStyle name="Normal 2 2 2 2 4 10 4 4" xfId="13330" xr:uid="{00000000-0005-0000-0000-000009340000}"/>
    <cellStyle name="Normal 2 2 2 2 4 10 4 5" xfId="13331" xr:uid="{00000000-0005-0000-0000-00000A340000}"/>
    <cellStyle name="Normal 2 2 2 2 4 10 4 6" xfId="13332" xr:uid="{00000000-0005-0000-0000-00000B340000}"/>
    <cellStyle name="Normal 2 2 2 2 4 10 4 7" xfId="13333" xr:uid="{00000000-0005-0000-0000-00000C340000}"/>
    <cellStyle name="Normal 2 2 2 2 4 10 4 8" xfId="13334" xr:uid="{00000000-0005-0000-0000-00000D340000}"/>
    <cellStyle name="Normal 2 2 2 2 4 10 4 9" xfId="13335" xr:uid="{00000000-0005-0000-0000-00000E340000}"/>
    <cellStyle name="Normal 2 2 2 2 4 10 5" xfId="13336" xr:uid="{00000000-0005-0000-0000-00000F340000}"/>
    <cellStyle name="Normal 2 2 2 2 4 10 5 10" xfId="13337" xr:uid="{00000000-0005-0000-0000-000010340000}"/>
    <cellStyle name="Normal 2 2 2 2 4 10 5 2" xfId="13338" xr:uid="{00000000-0005-0000-0000-000011340000}"/>
    <cellStyle name="Normal 2 2 2 2 4 10 5 3" xfId="13339" xr:uid="{00000000-0005-0000-0000-000012340000}"/>
    <cellStyle name="Normal 2 2 2 2 4 10 5 4" xfId="13340" xr:uid="{00000000-0005-0000-0000-000013340000}"/>
    <cellStyle name="Normal 2 2 2 2 4 10 5 5" xfId="13341" xr:uid="{00000000-0005-0000-0000-000014340000}"/>
    <cellStyle name="Normal 2 2 2 2 4 10 5 6" xfId="13342" xr:uid="{00000000-0005-0000-0000-000015340000}"/>
    <cellStyle name="Normal 2 2 2 2 4 10 5 7" xfId="13343" xr:uid="{00000000-0005-0000-0000-000016340000}"/>
    <cellStyle name="Normal 2 2 2 2 4 10 5 8" xfId="13344" xr:uid="{00000000-0005-0000-0000-000017340000}"/>
    <cellStyle name="Normal 2 2 2 2 4 10 5 9" xfId="13345" xr:uid="{00000000-0005-0000-0000-000018340000}"/>
    <cellStyle name="Normal 2 2 2 2 4 10 6" xfId="13346" xr:uid="{00000000-0005-0000-0000-000019340000}"/>
    <cellStyle name="Normal 2 2 2 2 4 10 7" xfId="13347" xr:uid="{00000000-0005-0000-0000-00001A340000}"/>
    <cellStyle name="Normal 2 2 2 2 4 10 8" xfId="13348" xr:uid="{00000000-0005-0000-0000-00001B340000}"/>
    <cellStyle name="Normal 2 2 2 2 4 10 9" xfId="13349" xr:uid="{00000000-0005-0000-0000-00001C340000}"/>
    <cellStyle name="Normal 2 2 2 2 4 11" xfId="13350" xr:uid="{00000000-0005-0000-0000-00001D340000}"/>
    <cellStyle name="Normal 2 2 2 2 4 11 10" xfId="13351" xr:uid="{00000000-0005-0000-0000-00001E340000}"/>
    <cellStyle name="Normal 2 2 2 2 4 11 11" xfId="13352" xr:uid="{00000000-0005-0000-0000-00001F340000}"/>
    <cellStyle name="Normal 2 2 2 2 4 11 12" xfId="13353" xr:uid="{00000000-0005-0000-0000-000020340000}"/>
    <cellStyle name="Normal 2 2 2 2 4 11 13" xfId="13354" xr:uid="{00000000-0005-0000-0000-000021340000}"/>
    <cellStyle name="Normal 2 2 2 2 4 11 14" xfId="13355" xr:uid="{00000000-0005-0000-0000-000022340000}"/>
    <cellStyle name="Normal 2 2 2 2 4 11 2" xfId="13356" xr:uid="{00000000-0005-0000-0000-000023340000}"/>
    <cellStyle name="Normal 2 2 2 2 4 11 2 10" xfId="13357" xr:uid="{00000000-0005-0000-0000-000024340000}"/>
    <cellStyle name="Normal 2 2 2 2 4 11 2 2" xfId="13358" xr:uid="{00000000-0005-0000-0000-000025340000}"/>
    <cellStyle name="Normal 2 2 2 2 4 11 2 3" xfId="13359" xr:uid="{00000000-0005-0000-0000-000026340000}"/>
    <cellStyle name="Normal 2 2 2 2 4 11 2 4" xfId="13360" xr:uid="{00000000-0005-0000-0000-000027340000}"/>
    <cellStyle name="Normal 2 2 2 2 4 11 2 5" xfId="13361" xr:uid="{00000000-0005-0000-0000-000028340000}"/>
    <cellStyle name="Normal 2 2 2 2 4 11 2 6" xfId="13362" xr:uid="{00000000-0005-0000-0000-000029340000}"/>
    <cellStyle name="Normal 2 2 2 2 4 11 2 7" xfId="13363" xr:uid="{00000000-0005-0000-0000-00002A340000}"/>
    <cellStyle name="Normal 2 2 2 2 4 11 2 8" xfId="13364" xr:uid="{00000000-0005-0000-0000-00002B340000}"/>
    <cellStyle name="Normal 2 2 2 2 4 11 2 9" xfId="13365" xr:uid="{00000000-0005-0000-0000-00002C340000}"/>
    <cellStyle name="Normal 2 2 2 2 4 11 3" xfId="13366" xr:uid="{00000000-0005-0000-0000-00002D340000}"/>
    <cellStyle name="Normal 2 2 2 2 4 11 3 10" xfId="13367" xr:uid="{00000000-0005-0000-0000-00002E340000}"/>
    <cellStyle name="Normal 2 2 2 2 4 11 3 2" xfId="13368" xr:uid="{00000000-0005-0000-0000-00002F340000}"/>
    <cellStyle name="Normal 2 2 2 2 4 11 3 3" xfId="13369" xr:uid="{00000000-0005-0000-0000-000030340000}"/>
    <cellStyle name="Normal 2 2 2 2 4 11 3 4" xfId="13370" xr:uid="{00000000-0005-0000-0000-000031340000}"/>
    <cellStyle name="Normal 2 2 2 2 4 11 3 5" xfId="13371" xr:uid="{00000000-0005-0000-0000-000032340000}"/>
    <cellStyle name="Normal 2 2 2 2 4 11 3 6" xfId="13372" xr:uid="{00000000-0005-0000-0000-000033340000}"/>
    <cellStyle name="Normal 2 2 2 2 4 11 3 7" xfId="13373" xr:uid="{00000000-0005-0000-0000-000034340000}"/>
    <cellStyle name="Normal 2 2 2 2 4 11 3 8" xfId="13374" xr:uid="{00000000-0005-0000-0000-000035340000}"/>
    <cellStyle name="Normal 2 2 2 2 4 11 3 9" xfId="13375" xr:uid="{00000000-0005-0000-0000-000036340000}"/>
    <cellStyle name="Normal 2 2 2 2 4 11 4" xfId="13376" xr:uid="{00000000-0005-0000-0000-000037340000}"/>
    <cellStyle name="Normal 2 2 2 2 4 11 4 10" xfId="13377" xr:uid="{00000000-0005-0000-0000-000038340000}"/>
    <cellStyle name="Normal 2 2 2 2 4 11 4 2" xfId="13378" xr:uid="{00000000-0005-0000-0000-000039340000}"/>
    <cellStyle name="Normal 2 2 2 2 4 11 4 3" xfId="13379" xr:uid="{00000000-0005-0000-0000-00003A340000}"/>
    <cellStyle name="Normal 2 2 2 2 4 11 4 4" xfId="13380" xr:uid="{00000000-0005-0000-0000-00003B340000}"/>
    <cellStyle name="Normal 2 2 2 2 4 11 4 5" xfId="13381" xr:uid="{00000000-0005-0000-0000-00003C340000}"/>
    <cellStyle name="Normal 2 2 2 2 4 11 4 6" xfId="13382" xr:uid="{00000000-0005-0000-0000-00003D340000}"/>
    <cellStyle name="Normal 2 2 2 2 4 11 4 7" xfId="13383" xr:uid="{00000000-0005-0000-0000-00003E340000}"/>
    <cellStyle name="Normal 2 2 2 2 4 11 4 8" xfId="13384" xr:uid="{00000000-0005-0000-0000-00003F340000}"/>
    <cellStyle name="Normal 2 2 2 2 4 11 4 9" xfId="13385" xr:uid="{00000000-0005-0000-0000-000040340000}"/>
    <cellStyle name="Normal 2 2 2 2 4 11 5" xfId="13386" xr:uid="{00000000-0005-0000-0000-000041340000}"/>
    <cellStyle name="Normal 2 2 2 2 4 11 5 10" xfId="13387" xr:uid="{00000000-0005-0000-0000-000042340000}"/>
    <cellStyle name="Normal 2 2 2 2 4 11 5 2" xfId="13388" xr:uid="{00000000-0005-0000-0000-000043340000}"/>
    <cellStyle name="Normal 2 2 2 2 4 11 5 3" xfId="13389" xr:uid="{00000000-0005-0000-0000-000044340000}"/>
    <cellStyle name="Normal 2 2 2 2 4 11 5 4" xfId="13390" xr:uid="{00000000-0005-0000-0000-000045340000}"/>
    <cellStyle name="Normal 2 2 2 2 4 11 5 5" xfId="13391" xr:uid="{00000000-0005-0000-0000-000046340000}"/>
    <cellStyle name="Normal 2 2 2 2 4 11 5 6" xfId="13392" xr:uid="{00000000-0005-0000-0000-000047340000}"/>
    <cellStyle name="Normal 2 2 2 2 4 11 5 7" xfId="13393" xr:uid="{00000000-0005-0000-0000-000048340000}"/>
    <cellStyle name="Normal 2 2 2 2 4 11 5 8" xfId="13394" xr:uid="{00000000-0005-0000-0000-000049340000}"/>
    <cellStyle name="Normal 2 2 2 2 4 11 5 9" xfId="13395" xr:uid="{00000000-0005-0000-0000-00004A340000}"/>
    <cellStyle name="Normal 2 2 2 2 4 11 6" xfId="13396" xr:uid="{00000000-0005-0000-0000-00004B340000}"/>
    <cellStyle name="Normal 2 2 2 2 4 11 7" xfId="13397" xr:uid="{00000000-0005-0000-0000-00004C340000}"/>
    <cellStyle name="Normal 2 2 2 2 4 11 8" xfId="13398" xr:uid="{00000000-0005-0000-0000-00004D340000}"/>
    <cellStyle name="Normal 2 2 2 2 4 11 9" xfId="13399" xr:uid="{00000000-0005-0000-0000-00004E340000}"/>
    <cellStyle name="Normal 2 2 2 2 4 12" xfId="13400" xr:uid="{00000000-0005-0000-0000-00004F340000}"/>
    <cellStyle name="Normal 2 2 2 2 4 12 10" xfId="13401" xr:uid="{00000000-0005-0000-0000-000050340000}"/>
    <cellStyle name="Normal 2 2 2 2 4 12 11" xfId="13402" xr:uid="{00000000-0005-0000-0000-000051340000}"/>
    <cellStyle name="Normal 2 2 2 2 4 12 12" xfId="13403" xr:uid="{00000000-0005-0000-0000-000052340000}"/>
    <cellStyle name="Normal 2 2 2 2 4 12 13" xfId="13404" xr:uid="{00000000-0005-0000-0000-000053340000}"/>
    <cellStyle name="Normal 2 2 2 2 4 12 14" xfId="13405" xr:uid="{00000000-0005-0000-0000-000054340000}"/>
    <cellStyle name="Normal 2 2 2 2 4 12 2" xfId="13406" xr:uid="{00000000-0005-0000-0000-000055340000}"/>
    <cellStyle name="Normal 2 2 2 2 4 12 2 10" xfId="13407" xr:uid="{00000000-0005-0000-0000-000056340000}"/>
    <cellStyle name="Normal 2 2 2 2 4 12 2 2" xfId="13408" xr:uid="{00000000-0005-0000-0000-000057340000}"/>
    <cellStyle name="Normal 2 2 2 2 4 12 2 3" xfId="13409" xr:uid="{00000000-0005-0000-0000-000058340000}"/>
    <cellStyle name="Normal 2 2 2 2 4 12 2 4" xfId="13410" xr:uid="{00000000-0005-0000-0000-000059340000}"/>
    <cellStyle name="Normal 2 2 2 2 4 12 2 5" xfId="13411" xr:uid="{00000000-0005-0000-0000-00005A340000}"/>
    <cellStyle name="Normal 2 2 2 2 4 12 2 6" xfId="13412" xr:uid="{00000000-0005-0000-0000-00005B340000}"/>
    <cellStyle name="Normal 2 2 2 2 4 12 2 7" xfId="13413" xr:uid="{00000000-0005-0000-0000-00005C340000}"/>
    <cellStyle name="Normal 2 2 2 2 4 12 2 8" xfId="13414" xr:uid="{00000000-0005-0000-0000-00005D340000}"/>
    <cellStyle name="Normal 2 2 2 2 4 12 2 9" xfId="13415" xr:uid="{00000000-0005-0000-0000-00005E340000}"/>
    <cellStyle name="Normal 2 2 2 2 4 12 3" xfId="13416" xr:uid="{00000000-0005-0000-0000-00005F340000}"/>
    <cellStyle name="Normal 2 2 2 2 4 12 3 10" xfId="13417" xr:uid="{00000000-0005-0000-0000-000060340000}"/>
    <cellStyle name="Normal 2 2 2 2 4 12 3 2" xfId="13418" xr:uid="{00000000-0005-0000-0000-000061340000}"/>
    <cellStyle name="Normal 2 2 2 2 4 12 3 3" xfId="13419" xr:uid="{00000000-0005-0000-0000-000062340000}"/>
    <cellStyle name="Normal 2 2 2 2 4 12 3 4" xfId="13420" xr:uid="{00000000-0005-0000-0000-000063340000}"/>
    <cellStyle name="Normal 2 2 2 2 4 12 3 5" xfId="13421" xr:uid="{00000000-0005-0000-0000-000064340000}"/>
    <cellStyle name="Normal 2 2 2 2 4 12 3 6" xfId="13422" xr:uid="{00000000-0005-0000-0000-000065340000}"/>
    <cellStyle name="Normal 2 2 2 2 4 12 3 7" xfId="13423" xr:uid="{00000000-0005-0000-0000-000066340000}"/>
    <cellStyle name="Normal 2 2 2 2 4 12 3 8" xfId="13424" xr:uid="{00000000-0005-0000-0000-000067340000}"/>
    <cellStyle name="Normal 2 2 2 2 4 12 3 9" xfId="13425" xr:uid="{00000000-0005-0000-0000-000068340000}"/>
    <cellStyle name="Normal 2 2 2 2 4 12 4" xfId="13426" xr:uid="{00000000-0005-0000-0000-000069340000}"/>
    <cellStyle name="Normal 2 2 2 2 4 12 4 10" xfId="13427" xr:uid="{00000000-0005-0000-0000-00006A340000}"/>
    <cellStyle name="Normal 2 2 2 2 4 12 4 2" xfId="13428" xr:uid="{00000000-0005-0000-0000-00006B340000}"/>
    <cellStyle name="Normal 2 2 2 2 4 12 4 3" xfId="13429" xr:uid="{00000000-0005-0000-0000-00006C340000}"/>
    <cellStyle name="Normal 2 2 2 2 4 12 4 4" xfId="13430" xr:uid="{00000000-0005-0000-0000-00006D340000}"/>
    <cellStyle name="Normal 2 2 2 2 4 12 4 5" xfId="13431" xr:uid="{00000000-0005-0000-0000-00006E340000}"/>
    <cellStyle name="Normal 2 2 2 2 4 12 4 6" xfId="13432" xr:uid="{00000000-0005-0000-0000-00006F340000}"/>
    <cellStyle name="Normal 2 2 2 2 4 12 4 7" xfId="13433" xr:uid="{00000000-0005-0000-0000-000070340000}"/>
    <cellStyle name="Normal 2 2 2 2 4 12 4 8" xfId="13434" xr:uid="{00000000-0005-0000-0000-000071340000}"/>
    <cellStyle name="Normal 2 2 2 2 4 12 4 9" xfId="13435" xr:uid="{00000000-0005-0000-0000-000072340000}"/>
    <cellStyle name="Normal 2 2 2 2 4 12 5" xfId="13436" xr:uid="{00000000-0005-0000-0000-000073340000}"/>
    <cellStyle name="Normal 2 2 2 2 4 12 5 10" xfId="13437" xr:uid="{00000000-0005-0000-0000-000074340000}"/>
    <cellStyle name="Normal 2 2 2 2 4 12 5 2" xfId="13438" xr:uid="{00000000-0005-0000-0000-000075340000}"/>
    <cellStyle name="Normal 2 2 2 2 4 12 5 3" xfId="13439" xr:uid="{00000000-0005-0000-0000-000076340000}"/>
    <cellStyle name="Normal 2 2 2 2 4 12 5 4" xfId="13440" xr:uid="{00000000-0005-0000-0000-000077340000}"/>
    <cellStyle name="Normal 2 2 2 2 4 12 5 5" xfId="13441" xr:uid="{00000000-0005-0000-0000-000078340000}"/>
    <cellStyle name="Normal 2 2 2 2 4 12 5 6" xfId="13442" xr:uid="{00000000-0005-0000-0000-000079340000}"/>
    <cellStyle name="Normal 2 2 2 2 4 12 5 7" xfId="13443" xr:uid="{00000000-0005-0000-0000-00007A340000}"/>
    <cellStyle name="Normal 2 2 2 2 4 12 5 8" xfId="13444" xr:uid="{00000000-0005-0000-0000-00007B340000}"/>
    <cellStyle name="Normal 2 2 2 2 4 12 5 9" xfId="13445" xr:uid="{00000000-0005-0000-0000-00007C340000}"/>
    <cellStyle name="Normal 2 2 2 2 4 12 6" xfId="13446" xr:uid="{00000000-0005-0000-0000-00007D340000}"/>
    <cellStyle name="Normal 2 2 2 2 4 12 7" xfId="13447" xr:uid="{00000000-0005-0000-0000-00007E340000}"/>
    <cellStyle name="Normal 2 2 2 2 4 12 8" xfId="13448" xr:uid="{00000000-0005-0000-0000-00007F340000}"/>
    <cellStyle name="Normal 2 2 2 2 4 12 9" xfId="13449" xr:uid="{00000000-0005-0000-0000-000080340000}"/>
    <cellStyle name="Normal 2 2 2 2 4 13" xfId="13450" xr:uid="{00000000-0005-0000-0000-000081340000}"/>
    <cellStyle name="Normal 2 2 2 2 4 13 10" xfId="13451" xr:uid="{00000000-0005-0000-0000-000082340000}"/>
    <cellStyle name="Normal 2 2 2 2 4 13 11" xfId="13452" xr:uid="{00000000-0005-0000-0000-000083340000}"/>
    <cellStyle name="Normal 2 2 2 2 4 13 12" xfId="13453" xr:uid="{00000000-0005-0000-0000-000084340000}"/>
    <cellStyle name="Normal 2 2 2 2 4 13 13" xfId="13454" xr:uid="{00000000-0005-0000-0000-000085340000}"/>
    <cellStyle name="Normal 2 2 2 2 4 13 14" xfId="13455" xr:uid="{00000000-0005-0000-0000-000086340000}"/>
    <cellStyle name="Normal 2 2 2 2 4 13 2" xfId="13456" xr:uid="{00000000-0005-0000-0000-000087340000}"/>
    <cellStyle name="Normal 2 2 2 2 4 13 2 10" xfId="13457" xr:uid="{00000000-0005-0000-0000-000088340000}"/>
    <cellStyle name="Normal 2 2 2 2 4 13 2 2" xfId="13458" xr:uid="{00000000-0005-0000-0000-000089340000}"/>
    <cellStyle name="Normal 2 2 2 2 4 13 2 3" xfId="13459" xr:uid="{00000000-0005-0000-0000-00008A340000}"/>
    <cellStyle name="Normal 2 2 2 2 4 13 2 4" xfId="13460" xr:uid="{00000000-0005-0000-0000-00008B340000}"/>
    <cellStyle name="Normal 2 2 2 2 4 13 2 5" xfId="13461" xr:uid="{00000000-0005-0000-0000-00008C340000}"/>
    <cellStyle name="Normal 2 2 2 2 4 13 2 6" xfId="13462" xr:uid="{00000000-0005-0000-0000-00008D340000}"/>
    <cellStyle name="Normal 2 2 2 2 4 13 2 7" xfId="13463" xr:uid="{00000000-0005-0000-0000-00008E340000}"/>
    <cellStyle name="Normal 2 2 2 2 4 13 2 8" xfId="13464" xr:uid="{00000000-0005-0000-0000-00008F340000}"/>
    <cellStyle name="Normal 2 2 2 2 4 13 2 9" xfId="13465" xr:uid="{00000000-0005-0000-0000-000090340000}"/>
    <cellStyle name="Normal 2 2 2 2 4 13 3" xfId="13466" xr:uid="{00000000-0005-0000-0000-000091340000}"/>
    <cellStyle name="Normal 2 2 2 2 4 13 3 10" xfId="13467" xr:uid="{00000000-0005-0000-0000-000092340000}"/>
    <cellStyle name="Normal 2 2 2 2 4 13 3 2" xfId="13468" xr:uid="{00000000-0005-0000-0000-000093340000}"/>
    <cellStyle name="Normal 2 2 2 2 4 13 3 3" xfId="13469" xr:uid="{00000000-0005-0000-0000-000094340000}"/>
    <cellStyle name="Normal 2 2 2 2 4 13 3 4" xfId="13470" xr:uid="{00000000-0005-0000-0000-000095340000}"/>
    <cellStyle name="Normal 2 2 2 2 4 13 3 5" xfId="13471" xr:uid="{00000000-0005-0000-0000-000096340000}"/>
    <cellStyle name="Normal 2 2 2 2 4 13 3 6" xfId="13472" xr:uid="{00000000-0005-0000-0000-000097340000}"/>
    <cellStyle name="Normal 2 2 2 2 4 13 3 7" xfId="13473" xr:uid="{00000000-0005-0000-0000-000098340000}"/>
    <cellStyle name="Normal 2 2 2 2 4 13 3 8" xfId="13474" xr:uid="{00000000-0005-0000-0000-000099340000}"/>
    <cellStyle name="Normal 2 2 2 2 4 13 3 9" xfId="13475" xr:uid="{00000000-0005-0000-0000-00009A340000}"/>
    <cellStyle name="Normal 2 2 2 2 4 13 4" xfId="13476" xr:uid="{00000000-0005-0000-0000-00009B340000}"/>
    <cellStyle name="Normal 2 2 2 2 4 13 4 10" xfId="13477" xr:uid="{00000000-0005-0000-0000-00009C340000}"/>
    <cellStyle name="Normal 2 2 2 2 4 13 4 2" xfId="13478" xr:uid="{00000000-0005-0000-0000-00009D340000}"/>
    <cellStyle name="Normal 2 2 2 2 4 13 4 3" xfId="13479" xr:uid="{00000000-0005-0000-0000-00009E340000}"/>
    <cellStyle name="Normal 2 2 2 2 4 13 4 4" xfId="13480" xr:uid="{00000000-0005-0000-0000-00009F340000}"/>
    <cellStyle name="Normal 2 2 2 2 4 13 4 5" xfId="13481" xr:uid="{00000000-0005-0000-0000-0000A0340000}"/>
    <cellStyle name="Normal 2 2 2 2 4 13 4 6" xfId="13482" xr:uid="{00000000-0005-0000-0000-0000A1340000}"/>
    <cellStyle name="Normal 2 2 2 2 4 13 4 7" xfId="13483" xr:uid="{00000000-0005-0000-0000-0000A2340000}"/>
    <cellStyle name="Normal 2 2 2 2 4 13 4 8" xfId="13484" xr:uid="{00000000-0005-0000-0000-0000A3340000}"/>
    <cellStyle name="Normal 2 2 2 2 4 13 4 9" xfId="13485" xr:uid="{00000000-0005-0000-0000-0000A4340000}"/>
    <cellStyle name="Normal 2 2 2 2 4 13 5" xfId="13486" xr:uid="{00000000-0005-0000-0000-0000A5340000}"/>
    <cellStyle name="Normal 2 2 2 2 4 13 5 10" xfId="13487" xr:uid="{00000000-0005-0000-0000-0000A6340000}"/>
    <cellStyle name="Normal 2 2 2 2 4 13 5 2" xfId="13488" xr:uid="{00000000-0005-0000-0000-0000A7340000}"/>
    <cellStyle name="Normal 2 2 2 2 4 13 5 3" xfId="13489" xr:uid="{00000000-0005-0000-0000-0000A8340000}"/>
    <cellStyle name="Normal 2 2 2 2 4 13 5 4" xfId="13490" xr:uid="{00000000-0005-0000-0000-0000A9340000}"/>
    <cellStyle name="Normal 2 2 2 2 4 13 5 5" xfId="13491" xr:uid="{00000000-0005-0000-0000-0000AA340000}"/>
    <cellStyle name="Normal 2 2 2 2 4 13 5 6" xfId="13492" xr:uid="{00000000-0005-0000-0000-0000AB340000}"/>
    <cellStyle name="Normal 2 2 2 2 4 13 5 7" xfId="13493" xr:uid="{00000000-0005-0000-0000-0000AC340000}"/>
    <cellStyle name="Normal 2 2 2 2 4 13 5 8" xfId="13494" xr:uid="{00000000-0005-0000-0000-0000AD340000}"/>
    <cellStyle name="Normal 2 2 2 2 4 13 5 9" xfId="13495" xr:uid="{00000000-0005-0000-0000-0000AE340000}"/>
    <cellStyle name="Normal 2 2 2 2 4 13 6" xfId="13496" xr:uid="{00000000-0005-0000-0000-0000AF340000}"/>
    <cellStyle name="Normal 2 2 2 2 4 13 7" xfId="13497" xr:uid="{00000000-0005-0000-0000-0000B0340000}"/>
    <cellStyle name="Normal 2 2 2 2 4 13 8" xfId="13498" xr:uid="{00000000-0005-0000-0000-0000B1340000}"/>
    <cellStyle name="Normal 2 2 2 2 4 13 9" xfId="13499" xr:uid="{00000000-0005-0000-0000-0000B2340000}"/>
    <cellStyle name="Normal 2 2 2 2 4 14" xfId="13500" xr:uid="{00000000-0005-0000-0000-0000B3340000}"/>
    <cellStyle name="Normal 2 2 2 2 4 14 10" xfId="13501" xr:uid="{00000000-0005-0000-0000-0000B4340000}"/>
    <cellStyle name="Normal 2 2 2 2 4 14 11" xfId="13502" xr:uid="{00000000-0005-0000-0000-0000B5340000}"/>
    <cellStyle name="Normal 2 2 2 2 4 14 12" xfId="13503" xr:uid="{00000000-0005-0000-0000-0000B6340000}"/>
    <cellStyle name="Normal 2 2 2 2 4 14 13" xfId="13504" xr:uid="{00000000-0005-0000-0000-0000B7340000}"/>
    <cellStyle name="Normal 2 2 2 2 4 14 14" xfId="13505" xr:uid="{00000000-0005-0000-0000-0000B8340000}"/>
    <cellStyle name="Normal 2 2 2 2 4 14 2" xfId="13506" xr:uid="{00000000-0005-0000-0000-0000B9340000}"/>
    <cellStyle name="Normal 2 2 2 2 4 14 2 10" xfId="13507" xr:uid="{00000000-0005-0000-0000-0000BA340000}"/>
    <cellStyle name="Normal 2 2 2 2 4 14 2 2" xfId="13508" xr:uid="{00000000-0005-0000-0000-0000BB340000}"/>
    <cellStyle name="Normal 2 2 2 2 4 14 2 3" xfId="13509" xr:uid="{00000000-0005-0000-0000-0000BC340000}"/>
    <cellStyle name="Normal 2 2 2 2 4 14 2 4" xfId="13510" xr:uid="{00000000-0005-0000-0000-0000BD340000}"/>
    <cellStyle name="Normal 2 2 2 2 4 14 2 5" xfId="13511" xr:uid="{00000000-0005-0000-0000-0000BE340000}"/>
    <cellStyle name="Normal 2 2 2 2 4 14 2 6" xfId="13512" xr:uid="{00000000-0005-0000-0000-0000BF340000}"/>
    <cellStyle name="Normal 2 2 2 2 4 14 2 7" xfId="13513" xr:uid="{00000000-0005-0000-0000-0000C0340000}"/>
    <cellStyle name="Normal 2 2 2 2 4 14 2 8" xfId="13514" xr:uid="{00000000-0005-0000-0000-0000C1340000}"/>
    <cellStyle name="Normal 2 2 2 2 4 14 2 9" xfId="13515" xr:uid="{00000000-0005-0000-0000-0000C2340000}"/>
    <cellStyle name="Normal 2 2 2 2 4 14 3" xfId="13516" xr:uid="{00000000-0005-0000-0000-0000C3340000}"/>
    <cellStyle name="Normal 2 2 2 2 4 14 3 10" xfId="13517" xr:uid="{00000000-0005-0000-0000-0000C4340000}"/>
    <cellStyle name="Normal 2 2 2 2 4 14 3 2" xfId="13518" xr:uid="{00000000-0005-0000-0000-0000C5340000}"/>
    <cellStyle name="Normal 2 2 2 2 4 14 3 3" xfId="13519" xr:uid="{00000000-0005-0000-0000-0000C6340000}"/>
    <cellStyle name="Normal 2 2 2 2 4 14 3 4" xfId="13520" xr:uid="{00000000-0005-0000-0000-0000C7340000}"/>
    <cellStyle name="Normal 2 2 2 2 4 14 3 5" xfId="13521" xr:uid="{00000000-0005-0000-0000-0000C8340000}"/>
    <cellStyle name="Normal 2 2 2 2 4 14 3 6" xfId="13522" xr:uid="{00000000-0005-0000-0000-0000C9340000}"/>
    <cellStyle name="Normal 2 2 2 2 4 14 3 7" xfId="13523" xr:uid="{00000000-0005-0000-0000-0000CA340000}"/>
    <cellStyle name="Normal 2 2 2 2 4 14 3 8" xfId="13524" xr:uid="{00000000-0005-0000-0000-0000CB340000}"/>
    <cellStyle name="Normal 2 2 2 2 4 14 3 9" xfId="13525" xr:uid="{00000000-0005-0000-0000-0000CC340000}"/>
    <cellStyle name="Normal 2 2 2 2 4 14 4" xfId="13526" xr:uid="{00000000-0005-0000-0000-0000CD340000}"/>
    <cellStyle name="Normal 2 2 2 2 4 14 4 10" xfId="13527" xr:uid="{00000000-0005-0000-0000-0000CE340000}"/>
    <cellStyle name="Normal 2 2 2 2 4 14 4 2" xfId="13528" xr:uid="{00000000-0005-0000-0000-0000CF340000}"/>
    <cellStyle name="Normal 2 2 2 2 4 14 4 3" xfId="13529" xr:uid="{00000000-0005-0000-0000-0000D0340000}"/>
    <cellStyle name="Normal 2 2 2 2 4 14 4 4" xfId="13530" xr:uid="{00000000-0005-0000-0000-0000D1340000}"/>
    <cellStyle name="Normal 2 2 2 2 4 14 4 5" xfId="13531" xr:uid="{00000000-0005-0000-0000-0000D2340000}"/>
    <cellStyle name="Normal 2 2 2 2 4 14 4 6" xfId="13532" xr:uid="{00000000-0005-0000-0000-0000D3340000}"/>
    <cellStyle name="Normal 2 2 2 2 4 14 4 7" xfId="13533" xr:uid="{00000000-0005-0000-0000-0000D4340000}"/>
    <cellStyle name="Normal 2 2 2 2 4 14 4 8" xfId="13534" xr:uid="{00000000-0005-0000-0000-0000D5340000}"/>
    <cellStyle name="Normal 2 2 2 2 4 14 4 9" xfId="13535" xr:uid="{00000000-0005-0000-0000-0000D6340000}"/>
    <cellStyle name="Normal 2 2 2 2 4 14 5" xfId="13536" xr:uid="{00000000-0005-0000-0000-0000D7340000}"/>
    <cellStyle name="Normal 2 2 2 2 4 14 5 10" xfId="13537" xr:uid="{00000000-0005-0000-0000-0000D8340000}"/>
    <cellStyle name="Normal 2 2 2 2 4 14 5 2" xfId="13538" xr:uid="{00000000-0005-0000-0000-0000D9340000}"/>
    <cellStyle name="Normal 2 2 2 2 4 14 5 3" xfId="13539" xr:uid="{00000000-0005-0000-0000-0000DA340000}"/>
    <cellStyle name="Normal 2 2 2 2 4 14 5 4" xfId="13540" xr:uid="{00000000-0005-0000-0000-0000DB340000}"/>
    <cellStyle name="Normal 2 2 2 2 4 14 5 5" xfId="13541" xr:uid="{00000000-0005-0000-0000-0000DC340000}"/>
    <cellStyle name="Normal 2 2 2 2 4 14 5 6" xfId="13542" xr:uid="{00000000-0005-0000-0000-0000DD340000}"/>
    <cellStyle name="Normal 2 2 2 2 4 14 5 7" xfId="13543" xr:uid="{00000000-0005-0000-0000-0000DE340000}"/>
    <cellStyle name="Normal 2 2 2 2 4 14 5 8" xfId="13544" xr:uid="{00000000-0005-0000-0000-0000DF340000}"/>
    <cellStyle name="Normal 2 2 2 2 4 14 5 9" xfId="13545" xr:uid="{00000000-0005-0000-0000-0000E0340000}"/>
    <cellStyle name="Normal 2 2 2 2 4 14 6" xfId="13546" xr:uid="{00000000-0005-0000-0000-0000E1340000}"/>
    <cellStyle name="Normal 2 2 2 2 4 14 7" xfId="13547" xr:uid="{00000000-0005-0000-0000-0000E2340000}"/>
    <cellStyle name="Normal 2 2 2 2 4 14 8" xfId="13548" xr:uid="{00000000-0005-0000-0000-0000E3340000}"/>
    <cellStyle name="Normal 2 2 2 2 4 14 9" xfId="13549" xr:uid="{00000000-0005-0000-0000-0000E4340000}"/>
    <cellStyle name="Normal 2 2 2 2 4 15" xfId="13550" xr:uid="{00000000-0005-0000-0000-0000E5340000}"/>
    <cellStyle name="Normal 2 2 2 2 4 15 10" xfId="13551" xr:uid="{00000000-0005-0000-0000-0000E6340000}"/>
    <cellStyle name="Normal 2 2 2 2 4 15 11" xfId="13552" xr:uid="{00000000-0005-0000-0000-0000E7340000}"/>
    <cellStyle name="Normal 2 2 2 2 4 15 12" xfId="13553" xr:uid="{00000000-0005-0000-0000-0000E8340000}"/>
    <cellStyle name="Normal 2 2 2 2 4 15 13" xfId="13554" xr:uid="{00000000-0005-0000-0000-0000E9340000}"/>
    <cellStyle name="Normal 2 2 2 2 4 15 14" xfId="13555" xr:uid="{00000000-0005-0000-0000-0000EA340000}"/>
    <cellStyle name="Normal 2 2 2 2 4 15 2" xfId="13556" xr:uid="{00000000-0005-0000-0000-0000EB340000}"/>
    <cellStyle name="Normal 2 2 2 2 4 15 2 10" xfId="13557" xr:uid="{00000000-0005-0000-0000-0000EC340000}"/>
    <cellStyle name="Normal 2 2 2 2 4 15 2 2" xfId="13558" xr:uid="{00000000-0005-0000-0000-0000ED340000}"/>
    <cellStyle name="Normal 2 2 2 2 4 15 2 3" xfId="13559" xr:uid="{00000000-0005-0000-0000-0000EE340000}"/>
    <cellStyle name="Normal 2 2 2 2 4 15 2 4" xfId="13560" xr:uid="{00000000-0005-0000-0000-0000EF340000}"/>
    <cellStyle name="Normal 2 2 2 2 4 15 2 5" xfId="13561" xr:uid="{00000000-0005-0000-0000-0000F0340000}"/>
    <cellStyle name="Normal 2 2 2 2 4 15 2 6" xfId="13562" xr:uid="{00000000-0005-0000-0000-0000F1340000}"/>
    <cellStyle name="Normal 2 2 2 2 4 15 2 7" xfId="13563" xr:uid="{00000000-0005-0000-0000-0000F2340000}"/>
    <cellStyle name="Normal 2 2 2 2 4 15 2 8" xfId="13564" xr:uid="{00000000-0005-0000-0000-0000F3340000}"/>
    <cellStyle name="Normal 2 2 2 2 4 15 2 9" xfId="13565" xr:uid="{00000000-0005-0000-0000-0000F4340000}"/>
    <cellStyle name="Normal 2 2 2 2 4 15 3" xfId="13566" xr:uid="{00000000-0005-0000-0000-0000F5340000}"/>
    <cellStyle name="Normal 2 2 2 2 4 15 3 10" xfId="13567" xr:uid="{00000000-0005-0000-0000-0000F6340000}"/>
    <cellStyle name="Normal 2 2 2 2 4 15 3 2" xfId="13568" xr:uid="{00000000-0005-0000-0000-0000F7340000}"/>
    <cellStyle name="Normal 2 2 2 2 4 15 3 3" xfId="13569" xr:uid="{00000000-0005-0000-0000-0000F8340000}"/>
    <cellStyle name="Normal 2 2 2 2 4 15 3 4" xfId="13570" xr:uid="{00000000-0005-0000-0000-0000F9340000}"/>
    <cellStyle name="Normal 2 2 2 2 4 15 3 5" xfId="13571" xr:uid="{00000000-0005-0000-0000-0000FA340000}"/>
    <cellStyle name="Normal 2 2 2 2 4 15 3 6" xfId="13572" xr:uid="{00000000-0005-0000-0000-0000FB340000}"/>
    <cellStyle name="Normal 2 2 2 2 4 15 3 7" xfId="13573" xr:uid="{00000000-0005-0000-0000-0000FC340000}"/>
    <cellStyle name="Normal 2 2 2 2 4 15 3 8" xfId="13574" xr:uid="{00000000-0005-0000-0000-0000FD340000}"/>
    <cellStyle name="Normal 2 2 2 2 4 15 3 9" xfId="13575" xr:uid="{00000000-0005-0000-0000-0000FE340000}"/>
    <cellStyle name="Normal 2 2 2 2 4 15 4" xfId="13576" xr:uid="{00000000-0005-0000-0000-0000FF340000}"/>
    <cellStyle name="Normal 2 2 2 2 4 15 4 10" xfId="13577" xr:uid="{00000000-0005-0000-0000-000000350000}"/>
    <cellStyle name="Normal 2 2 2 2 4 15 4 2" xfId="13578" xr:uid="{00000000-0005-0000-0000-000001350000}"/>
    <cellStyle name="Normal 2 2 2 2 4 15 4 3" xfId="13579" xr:uid="{00000000-0005-0000-0000-000002350000}"/>
    <cellStyle name="Normal 2 2 2 2 4 15 4 4" xfId="13580" xr:uid="{00000000-0005-0000-0000-000003350000}"/>
    <cellStyle name="Normal 2 2 2 2 4 15 4 5" xfId="13581" xr:uid="{00000000-0005-0000-0000-000004350000}"/>
    <cellStyle name="Normal 2 2 2 2 4 15 4 6" xfId="13582" xr:uid="{00000000-0005-0000-0000-000005350000}"/>
    <cellStyle name="Normal 2 2 2 2 4 15 4 7" xfId="13583" xr:uid="{00000000-0005-0000-0000-000006350000}"/>
    <cellStyle name="Normal 2 2 2 2 4 15 4 8" xfId="13584" xr:uid="{00000000-0005-0000-0000-000007350000}"/>
    <cellStyle name="Normal 2 2 2 2 4 15 4 9" xfId="13585" xr:uid="{00000000-0005-0000-0000-000008350000}"/>
    <cellStyle name="Normal 2 2 2 2 4 15 5" xfId="13586" xr:uid="{00000000-0005-0000-0000-000009350000}"/>
    <cellStyle name="Normal 2 2 2 2 4 15 5 10" xfId="13587" xr:uid="{00000000-0005-0000-0000-00000A350000}"/>
    <cellStyle name="Normal 2 2 2 2 4 15 5 2" xfId="13588" xr:uid="{00000000-0005-0000-0000-00000B350000}"/>
    <cellStyle name="Normal 2 2 2 2 4 15 5 3" xfId="13589" xr:uid="{00000000-0005-0000-0000-00000C350000}"/>
    <cellStyle name="Normal 2 2 2 2 4 15 5 4" xfId="13590" xr:uid="{00000000-0005-0000-0000-00000D350000}"/>
    <cellStyle name="Normal 2 2 2 2 4 15 5 5" xfId="13591" xr:uid="{00000000-0005-0000-0000-00000E350000}"/>
    <cellStyle name="Normal 2 2 2 2 4 15 5 6" xfId="13592" xr:uid="{00000000-0005-0000-0000-00000F350000}"/>
    <cellStyle name="Normal 2 2 2 2 4 15 5 7" xfId="13593" xr:uid="{00000000-0005-0000-0000-000010350000}"/>
    <cellStyle name="Normal 2 2 2 2 4 15 5 8" xfId="13594" xr:uid="{00000000-0005-0000-0000-000011350000}"/>
    <cellStyle name="Normal 2 2 2 2 4 15 5 9" xfId="13595" xr:uid="{00000000-0005-0000-0000-000012350000}"/>
    <cellStyle name="Normal 2 2 2 2 4 15 6" xfId="13596" xr:uid="{00000000-0005-0000-0000-000013350000}"/>
    <cellStyle name="Normal 2 2 2 2 4 15 7" xfId="13597" xr:uid="{00000000-0005-0000-0000-000014350000}"/>
    <cellStyle name="Normal 2 2 2 2 4 15 8" xfId="13598" xr:uid="{00000000-0005-0000-0000-000015350000}"/>
    <cellStyle name="Normal 2 2 2 2 4 15 9" xfId="13599" xr:uid="{00000000-0005-0000-0000-000016350000}"/>
    <cellStyle name="Normal 2 2 2 2 4 16" xfId="13600" xr:uid="{00000000-0005-0000-0000-000017350000}"/>
    <cellStyle name="Normal 2 2 2 2 4 16 10" xfId="13601" xr:uid="{00000000-0005-0000-0000-000018350000}"/>
    <cellStyle name="Normal 2 2 2 2 4 16 11" xfId="13602" xr:uid="{00000000-0005-0000-0000-000019350000}"/>
    <cellStyle name="Normal 2 2 2 2 4 16 12" xfId="13603" xr:uid="{00000000-0005-0000-0000-00001A350000}"/>
    <cellStyle name="Normal 2 2 2 2 4 16 13" xfId="13604" xr:uid="{00000000-0005-0000-0000-00001B350000}"/>
    <cellStyle name="Normal 2 2 2 2 4 16 14" xfId="13605" xr:uid="{00000000-0005-0000-0000-00001C350000}"/>
    <cellStyle name="Normal 2 2 2 2 4 16 2" xfId="13606" xr:uid="{00000000-0005-0000-0000-00001D350000}"/>
    <cellStyle name="Normal 2 2 2 2 4 16 2 10" xfId="13607" xr:uid="{00000000-0005-0000-0000-00001E350000}"/>
    <cellStyle name="Normal 2 2 2 2 4 16 2 2" xfId="13608" xr:uid="{00000000-0005-0000-0000-00001F350000}"/>
    <cellStyle name="Normal 2 2 2 2 4 16 2 3" xfId="13609" xr:uid="{00000000-0005-0000-0000-000020350000}"/>
    <cellStyle name="Normal 2 2 2 2 4 16 2 4" xfId="13610" xr:uid="{00000000-0005-0000-0000-000021350000}"/>
    <cellStyle name="Normal 2 2 2 2 4 16 2 5" xfId="13611" xr:uid="{00000000-0005-0000-0000-000022350000}"/>
    <cellStyle name="Normal 2 2 2 2 4 16 2 6" xfId="13612" xr:uid="{00000000-0005-0000-0000-000023350000}"/>
    <cellStyle name="Normal 2 2 2 2 4 16 2 7" xfId="13613" xr:uid="{00000000-0005-0000-0000-000024350000}"/>
    <cellStyle name="Normal 2 2 2 2 4 16 2 8" xfId="13614" xr:uid="{00000000-0005-0000-0000-000025350000}"/>
    <cellStyle name="Normal 2 2 2 2 4 16 2 9" xfId="13615" xr:uid="{00000000-0005-0000-0000-000026350000}"/>
    <cellStyle name="Normal 2 2 2 2 4 16 3" xfId="13616" xr:uid="{00000000-0005-0000-0000-000027350000}"/>
    <cellStyle name="Normal 2 2 2 2 4 16 3 10" xfId="13617" xr:uid="{00000000-0005-0000-0000-000028350000}"/>
    <cellStyle name="Normal 2 2 2 2 4 16 3 2" xfId="13618" xr:uid="{00000000-0005-0000-0000-000029350000}"/>
    <cellStyle name="Normal 2 2 2 2 4 16 3 3" xfId="13619" xr:uid="{00000000-0005-0000-0000-00002A350000}"/>
    <cellStyle name="Normal 2 2 2 2 4 16 3 4" xfId="13620" xr:uid="{00000000-0005-0000-0000-00002B350000}"/>
    <cellStyle name="Normal 2 2 2 2 4 16 3 5" xfId="13621" xr:uid="{00000000-0005-0000-0000-00002C350000}"/>
    <cellStyle name="Normal 2 2 2 2 4 16 3 6" xfId="13622" xr:uid="{00000000-0005-0000-0000-00002D350000}"/>
    <cellStyle name="Normal 2 2 2 2 4 16 3 7" xfId="13623" xr:uid="{00000000-0005-0000-0000-00002E350000}"/>
    <cellStyle name="Normal 2 2 2 2 4 16 3 8" xfId="13624" xr:uid="{00000000-0005-0000-0000-00002F350000}"/>
    <cellStyle name="Normal 2 2 2 2 4 16 3 9" xfId="13625" xr:uid="{00000000-0005-0000-0000-000030350000}"/>
    <cellStyle name="Normal 2 2 2 2 4 16 4" xfId="13626" xr:uid="{00000000-0005-0000-0000-000031350000}"/>
    <cellStyle name="Normal 2 2 2 2 4 16 4 10" xfId="13627" xr:uid="{00000000-0005-0000-0000-000032350000}"/>
    <cellStyle name="Normal 2 2 2 2 4 16 4 2" xfId="13628" xr:uid="{00000000-0005-0000-0000-000033350000}"/>
    <cellStyle name="Normal 2 2 2 2 4 16 4 3" xfId="13629" xr:uid="{00000000-0005-0000-0000-000034350000}"/>
    <cellStyle name="Normal 2 2 2 2 4 16 4 4" xfId="13630" xr:uid="{00000000-0005-0000-0000-000035350000}"/>
    <cellStyle name="Normal 2 2 2 2 4 16 4 5" xfId="13631" xr:uid="{00000000-0005-0000-0000-000036350000}"/>
    <cellStyle name="Normal 2 2 2 2 4 16 4 6" xfId="13632" xr:uid="{00000000-0005-0000-0000-000037350000}"/>
    <cellStyle name="Normal 2 2 2 2 4 16 4 7" xfId="13633" xr:uid="{00000000-0005-0000-0000-000038350000}"/>
    <cellStyle name="Normal 2 2 2 2 4 16 4 8" xfId="13634" xr:uid="{00000000-0005-0000-0000-000039350000}"/>
    <cellStyle name="Normal 2 2 2 2 4 16 4 9" xfId="13635" xr:uid="{00000000-0005-0000-0000-00003A350000}"/>
    <cellStyle name="Normal 2 2 2 2 4 16 5" xfId="13636" xr:uid="{00000000-0005-0000-0000-00003B350000}"/>
    <cellStyle name="Normal 2 2 2 2 4 16 5 10" xfId="13637" xr:uid="{00000000-0005-0000-0000-00003C350000}"/>
    <cellStyle name="Normal 2 2 2 2 4 16 5 2" xfId="13638" xr:uid="{00000000-0005-0000-0000-00003D350000}"/>
    <cellStyle name="Normal 2 2 2 2 4 16 5 3" xfId="13639" xr:uid="{00000000-0005-0000-0000-00003E350000}"/>
    <cellStyle name="Normal 2 2 2 2 4 16 5 4" xfId="13640" xr:uid="{00000000-0005-0000-0000-00003F350000}"/>
    <cellStyle name="Normal 2 2 2 2 4 16 5 5" xfId="13641" xr:uid="{00000000-0005-0000-0000-000040350000}"/>
    <cellStyle name="Normal 2 2 2 2 4 16 5 6" xfId="13642" xr:uid="{00000000-0005-0000-0000-000041350000}"/>
    <cellStyle name="Normal 2 2 2 2 4 16 5 7" xfId="13643" xr:uid="{00000000-0005-0000-0000-000042350000}"/>
    <cellStyle name="Normal 2 2 2 2 4 16 5 8" xfId="13644" xr:uid="{00000000-0005-0000-0000-000043350000}"/>
    <cellStyle name="Normal 2 2 2 2 4 16 5 9" xfId="13645" xr:uid="{00000000-0005-0000-0000-000044350000}"/>
    <cellStyle name="Normal 2 2 2 2 4 16 6" xfId="13646" xr:uid="{00000000-0005-0000-0000-000045350000}"/>
    <cellStyle name="Normal 2 2 2 2 4 16 7" xfId="13647" xr:uid="{00000000-0005-0000-0000-000046350000}"/>
    <cellStyle name="Normal 2 2 2 2 4 16 8" xfId="13648" xr:uid="{00000000-0005-0000-0000-000047350000}"/>
    <cellStyle name="Normal 2 2 2 2 4 16 9" xfId="13649" xr:uid="{00000000-0005-0000-0000-000048350000}"/>
    <cellStyle name="Normal 2 2 2 2 4 17" xfId="13650" xr:uid="{00000000-0005-0000-0000-000049350000}"/>
    <cellStyle name="Normal 2 2 2 2 4 17 10" xfId="13651" xr:uid="{00000000-0005-0000-0000-00004A350000}"/>
    <cellStyle name="Normal 2 2 2 2 4 17 11" xfId="13652" xr:uid="{00000000-0005-0000-0000-00004B350000}"/>
    <cellStyle name="Normal 2 2 2 2 4 17 12" xfId="13653" xr:uid="{00000000-0005-0000-0000-00004C350000}"/>
    <cellStyle name="Normal 2 2 2 2 4 17 13" xfId="13654" xr:uid="{00000000-0005-0000-0000-00004D350000}"/>
    <cellStyle name="Normal 2 2 2 2 4 17 14" xfId="13655" xr:uid="{00000000-0005-0000-0000-00004E350000}"/>
    <cellStyle name="Normal 2 2 2 2 4 17 2" xfId="13656" xr:uid="{00000000-0005-0000-0000-00004F350000}"/>
    <cellStyle name="Normal 2 2 2 2 4 17 2 10" xfId="13657" xr:uid="{00000000-0005-0000-0000-000050350000}"/>
    <cellStyle name="Normal 2 2 2 2 4 17 2 2" xfId="13658" xr:uid="{00000000-0005-0000-0000-000051350000}"/>
    <cellStyle name="Normal 2 2 2 2 4 17 2 3" xfId="13659" xr:uid="{00000000-0005-0000-0000-000052350000}"/>
    <cellStyle name="Normal 2 2 2 2 4 17 2 4" xfId="13660" xr:uid="{00000000-0005-0000-0000-000053350000}"/>
    <cellStyle name="Normal 2 2 2 2 4 17 2 5" xfId="13661" xr:uid="{00000000-0005-0000-0000-000054350000}"/>
    <cellStyle name="Normal 2 2 2 2 4 17 2 6" xfId="13662" xr:uid="{00000000-0005-0000-0000-000055350000}"/>
    <cellStyle name="Normal 2 2 2 2 4 17 2 7" xfId="13663" xr:uid="{00000000-0005-0000-0000-000056350000}"/>
    <cellStyle name="Normal 2 2 2 2 4 17 2 8" xfId="13664" xr:uid="{00000000-0005-0000-0000-000057350000}"/>
    <cellStyle name="Normal 2 2 2 2 4 17 2 9" xfId="13665" xr:uid="{00000000-0005-0000-0000-000058350000}"/>
    <cellStyle name="Normal 2 2 2 2 4 17 3" xfId="13666" xr:uid="{00000000-0005-0000-0000-000059350000}"/>
    <cellStyle name="Normal 2 2 2 2 4 17 3 10" xfId="13667" xr:uid="{00000000-0005-0000-0000-00005A350000}"/>
    <cellStyle name="Normal 2 2 2 2 4 17 3 2" xfId="13668" xr:uid="{00000000-0005-0000-0000-00005B350000}"/>
    <cellStyle name="Normal 2 2 2 2 4 17 3 3" xfId="13669" xr:uid="{00000000-0005-0000-0000-00005C350000}"/>
    <cellStyle name="Normal 2 2 2 2 4 17 3 4" xfId="13670" xr:uid="{00000000-0005-0000-0000-00005D350000}"/>
    <cellStyle name="Normal 2 2 2 2 4 17 3 5" xfId="13671" xr:uid="{00000000-0005-0000-0000-00005E350000}"/>
    <cellStyle name="Normal 2 2 2 2 4 17 3 6" xfId="13672" xr:uid="{00000000-0005-0000-0000-00005F350000}"/>
    <cellStyle name="Normal 2 2 2 2 4 17 3 7" xfId="13673" xr:uid="{00000000-0005-0000-0000-000060350000}"/>
    <cellStyle name="Normal 2 2 2 2 4 17 3 8" xfId="13674" xr:uid="{00000000-0005-0000-0000-000061350000}"/>
    <cellStyle name="Normal 2 2 2 2 4 17 3 9" xfId="13675" xr:uid="{00000000-0005-0000-0000-000062350000}"/>
    <cellStyle name="Normal 2 2 2 2 4 17 4" xfId="13676" xr:uid="{00000000-0005-0000-0000-000063350000}"/>
    <cellStyle name="Normal 2 2 2 2 4 17 4 10" xfId="13677" xr:uid="{00000000-0005-0000-0000-000064350000}"/>
    <cellStyle name="Normal 2 2 2 2 4 17 4 2" xfId="13678" xr:uid="{00000000-0005-0000-0000-000065350000}"/>
    <cellStyle name="Normal 2 2 2 2 4 17 4 3" xfId="13679" xr:uid="{00000000-0005-0000-0000-000066350000}"/>
    <cellStyle name="Normal 2 2 2 2 4 17 4 4" xfId="13680" xr:uid="{00000000-0005-0000-0000-000067350000}"/>
    <cellStyle name="Normal 2 2 2 2 4 17 4 5" xfId="13681" xr:uid="{00000000-0005-0000-0000-000068350000}"/>
    <cellStyle name="Normal 2 2 2 2 4 17 4 6" xfId="13682" xr:uid="{00000000-0005-0000-0000-000069350000}"/>
    <cellStyle name="Normal 2 2 2 2 4 17 4 7" xfId="13683" xr:uid="{00000000-0005-0000-0000-00006A350000}"/>
    <cellStyle name="Normal 2 2 2 2 4 17 4 8" xfId="13684" xr:uid="{00000000-0005-0000-0000-00006B350000}"/>
    <cellStyle name="Normal 2 2 2 2 4 17 4 9" xfId="13685" xr:uid="{00000000-0005-0000-0000-00006C350000}"/>
    <cellStyle name="Normal 2 2 2 2 4 17 5" xfId="13686" xr:uid="{00000000-0005-0000-0000-00006D350000}"/>
    <cellStyle name="Normal 2 2 2 2 4 17 5 10" xfId="13687" xr:uid="{00000000-0005-0000-0000-00006E350000}"/>
    <cellStyle name="Normal 2 2 2 2 4 17 5 2" xfId="13688" xr:uid="{00000000-0005-0000-0000-00006F350000}"/>
    <cellStyle name="Normal 2 2 2 2 4 17 5 3" xfId="13689" xr:uid="{00000000-0005-0000-0000-000070350000}"/>
    <cellStyle name="Normal 2 2 2 2 4 17 5 4" xfId="13690" xr:uid="{00000000-0005-0000-0000-000071350000}"/>
    <cellStyle name="Normal 2 2 2 2 4 17 5 5" xfId="13691" xr:uid="{00000000-0005-0000-0000-000072350000}"/>
    <cellStyle name="Normal 2 2 2 2 4 17 5 6" xfId="13692" xr:uid="{00000000-0005-0000-0000-000073350000}"/>
    <cellStyle name="Normal 2 2 2 2 4 17 5 7" xfId="13693" xr:uid="{00000000-0005-0000-0000-000074350000}"/>
    <cellStyle name="Normal 2 2 2 2 4 17 5 8" xfId="13694" xr:uid="{00000000-0005-0000-0000-000075350000}"/>
    <cellStyle name="Normal 2 2 2 2 4 17 5 9" xfId="13695" xr:uid="{00000000-0005-0000-0000-000076350000}"/>
    <cellStyle name="Normal 2 2 2 2 4 17 6" xfId="13696" xr:uid="{00000000-0005-0000-0000-000077350000}"/>
    <cellStyle name="Normal 2 2 2 2 4 17 7" xfId="13697" xr:uid="{00000000-0005-0000-0000-000078350000}"/>
    <cellStyle name="Normal 2 2 2 2 4 17 8" xfId="13698" xr:uid="{00000000-0005-0000-0000-000079350000}"/>
    <cellStyle name="Normal 2 2 2 2 4 17 9" xfId="13699" xr:uid="{00000000-0005-0000-0000-00007A350000}"/>
    <cellStyle name="Normal 2 2 2 2 4 18" xfId="13700" xr:uid="{00000000-0005-0000-0000-00007B350000}"/>
    <cellStyle name="Normal 2 2 2 2 4 18 10" xfId="13701" xr:uid="{00000000-0005-0000-0000-00007C350000}"/>
    <cellStyle name="Normal 2 2 2 2 4 18 11" xfId="13702" xr:uid="{00000000-0005-0000-0000-00007D350000}"/>
    <cellStyle name="Normal 2 2 2 2 4 18 12" xfId="13703" xr:uid="{00000000-0005-0000-0000-00007E350000}"/>
    <cellStyle name="Normal 2 2 2 2 4 18 13" xfId="13704" xr:uid="{00000000-0005-0000-0000-00007F350000}"/>
    <cellStyle name="Normal 2 2 2 2 4 18 14" xfId="13705" xr:uid="{00000000-0005-0000-0000-000080350000}"/>
    <cellStyle name="Normal 2 2 2 2 4 18 2" xfId="13706" xr:uid="{00000000-0005-0000-0000-000081350000}"/>
    <cellStyle name="Normal 2 2 2 2 4 18 2 10" xfId="13707" xr:uid="{00000000-0005-0000-0000-000082350000}"/>
    <cellStyle name="Normal 2 2 2 2 4 18 2 2" xfId="13708" xr:uid="{00000000-0005-0000-0000-000083350000}"/>
    <cellStyle name="Normal 2 2 2 2 4 18 2 3" xfId="13709" xr:uid="{00000000-0005-0000-0000-000084350000}"/>
    <cellStyle name="Normal 2 2 2 2 4 18 2 4" xfId="13710" xr:uid="{00000000-0005-0000-0000-000085350000}"/>
    <cellStyle name="Normal 2 2 2 2 4 18 2 5" xfId="13711" xr:uid="{00000000-0005-0000-0000-000086350000}"/>
    <cellStyle name="Normal 2 2 2 2 4 18 2 6" xfId="13712" xr:uid="{00000000-0005-0000-0000-000087350000}"/>
    <cellStyle name="Normal 2 2 2 2 4 18 2 7" xfId="13713" xr:uid="{00000000-0005-0000-0000-000088350000}"/>
    <cellStyle name="Normal 2 2 2 2 4 18 2 8" xfId="13714" xr:uid="{00000000-0005-0000-0000-000089350000}"/>
    <cellStyle name="Normal 2 2 2 2 4 18 2 9" xfId="13715" xr:uid="{00000000-0005-0000-0000-00008A350000}"/>
    <cellStyle name="Normal 2 2 2 2 4 18 3" xfId="13716" xr:uid="{00000000-0005-0000-0000-00008B350000}"/>
    <cellStyle name="Normal 2 2 2 2 4 18 3 10" xfId="13717" xr:uid="{00000000-0005-0000-0000-00008C350000}"/>
    <cellStyle name="Normal 2 2 2 2 4 18 3 2" xfId="13718" xr:uid="{00000000-0005-0000-0000-00008D350000}"/>
    <cellStyle name="Normal 2 2 2 2 4 18 3 3" xfId="13719" xr:uid="{00000000-0005-0000-0000-00008E350000}"/>
    <cellStyle name="Normal 2 2 2 2 4 18 3 4" xfId="13720" xr:uid="{00000000-0005-0000-0000-00008F350000}"/>
    <cellStyle name="Normal 2 2 2 2 4 18 3 5" xfId="13721" xr:uid="{00000000-0005-0000-0000-000090350000}"/>
    <cellStyle name="Normal 2 2 2 2 4 18 3 6" xfId="13722" xr:uid="{00000000-0005-0000-0000-000091350000}"/>
    <cellStyle name="Normal 2 2 2 2 4 18 3 7" xfId="13723" xr:uid="{00000000-0005-0000-0000-000092350000}"/>
    <cellStyle name="Normal 2 2 2 2 4 18 3 8" xfId="13724" xr:uid="{00000000-0005-0000-0000-000093350000}"/>
    <cellStyle name="Normal 2 2 2 2 4 18 3 9" xfId="13725" xr:uid="{00000000-0005-0000-0000-000094350000}"/>
    <cellStyle name="Normal 2 2 2 2 4 18 4" xfId="13726" xr:uid="{00000000-0005-0000-0000-000095350000}"/>
    <cellStyle name="Normal 2 2 2 2 4 18 4 10" xfId="13727" xr:uid="{00000000-0005-0000-0000-000096350000}"/>
    <cellStyle name="Normal 2 2 2 2 4 18 4 2" xfId="13728" xr:uid="{00000000-0005-0000-0000-000097350000}"/>
    <cellStyle name="Normal 2 2 2 2 4 18 4 3" xfId="13729" xr:uid="{00000000-0005-0000-0000-000098350000}"/>
    <cellStyle name="Normal 2 2 2 2 4 18 4 4" xfId="13730" xr:uid="{00000000-0005-0000-0000-000099350000}"/>
    <cellStyle name="Normal 2 2 2 2 4 18 4 5" xfId="13731" xr:uid="{00000000-0005-0000-0000-00009A350000}"/>
    <cellStyle name="Normal 2 2 2 2 4 18 4 6" xfId="13732" xr:uid="{00000000-0005-0000-0000-00009B350000}"/>
    <cellStyle name="Normal 2 2 2 2 4 18 4 7" xfId="13733" xr:uid="{00000000-0005-0000-0000-00009C350000}"/>
    <cellStyle name="Normal 2 2 2 2 4 18 4 8" xfId="13734" xr:uid="{00000000-0005-0000-0000-00009D350000}"/>
    <cellStyle name="Normal 2 2 2 2 4 18 4 9" xfId="13735" xr:uid="{00000000-0005-0000-0000-00009E350000}"/>
    <cellStyle name="Normal 2 2 2 2 4 18 5" xfId="13736" xr:uid="{00000000-0005-0000-0000-00009F350000}"/>
    <cellStyle name="Normal 2 2 2 2 4 18 5 10" xfId="13737" xr:uid="{00000000-0005-0000-0000-0000A0350000}"/>
    <cellStyle name="Normal 2 2 2 2 4 18 5 2" xfId="13738" xr:uid="{00000000-0005-0000-0000-0000A1350000}"/>
    <cellStyle name="Normal 2 2 2 2 4 18 5 3" xfId="13739" xr:uid="{00000000-0005-0000-0000-0000A2350000}"/>
    <cellStyle name="Normal 2 2 2 2 4 18 5 4" xfId="13740" xr:uid="{00000000-0005-0000-0000-0000A3350000}"/>
    <cellStyle name="Normal 2 2 2 2 4 18 5 5" xfId="13741" xr:uid="{00000000-0005-0000-0000-0000A4350000}"/>
    <cellStyle name="Normal 2 2 2 2 4 18 5 6" xfId="13742" xr:uid="{00000000-0005-0000-0000-0000A5350000}"/>
    <cellStyle name="Normal 2 2 2 2 4 18 5 7" xfId="13743" xr:uid="{00000000-0005-0000-0000-0000A6350000}"/>
    <cellStyle name="Normal 2 2 2 2 4 18 5 8" xfId="13744" xr:uid="{00000000-0005-0000-0000-0000A7350000}"/>
    <cellStyle name="Normal 2 2 2 2 4 18 5 9" xfId="13745" xr:uid="{00000000-0005-0000-0000-0000A8350000}"/>
    <cellStyle name="Normal 2 2 2 2 4 18 6" xfId="13746" xr:uid="{00000000-0005-0000-0000-0000A9350000}"/>
    <cellStyle name="Normal 2 2 2 2 4 18 7" xfId="13747" xr:uid="{00000000-0005-0000-0000-0000AA350000}"/>
    <cellStyle name="Normal 2 2 2 2 4 18 8" xfId="13748" xr:uid="{00000000-0005-0000-0000-0000AB350000}"/>
    <cellStyle name="Normal 2 2 2 2 4 18 9" xfId="13749" xr:uid="{00000000-0005-0000-0000-0000AC350000}"/>
    <cellStyle name="Normal 2 2 2 2 4 19" xfId="13750" xr:uid="{00000000-0005-0000-0000-0000AD350000}"/>
    <cellStyle name="Normal 2 2 2 2 4 19 10" xfId="13751" xr:uid="{00000000-0005-0000-0000-0000AE350000}"/>
    <cellStyle name="Normal 2 2 2 2 4 19 11" xfId="13752" xr:uid="{00000000-0005-0000-0000-0000AF350000}"/>
    <cellStyle name="Normal 2 2 2 2 4 19 12" xfId="13753" xr:uid="{00000000-0005-0000-0000-0000B0350000}"/>
    <cellStyle name="Normal 2 2 2 2 4 19 13" xfId="13754" xr:uid="{00000000-0005-0000-0000-0000B1350000}"/>
    <cellStyle name="Normal 2 2 2 2 4 19 14" xfId="13755" xr:uid="{00000000-0005-0000-0000-0000B2350000}"/>
    <cellStyle name="Normal 2 2 2 2 4 19 2" xfId="13756" xr:uid="{00000000-0005-0000-0000-0000B3350000}"/>
    <cellStyle name="Normal 2 2 2 2 4 19 2 10" xfId="13757" xr:uid="{00000000-0005-0000-0000-0000B4350000}"/>
    <cellStyle name="Normal 2 2 2 2 4 19 2 2" xfId="13758" xr:uid="{00000000-0005-0000-0000-0000B5350000}"/>
    <cellStyle name="Normal 2 2 2 2 4 19 2 3" xfId="13759" xr:uid="{00000000-0005-0000-0000-0000B6350000}"/>
    <cellStyle name="Normal 2 2 2 2 4 19 2 4" xfId="13760" xr:uid="{00000000-0005-0000-0000-0000B7350000}"/>
    <cellStyle name="Normal 2 2 2 2 4 19 2 5" xfId="13761" xr:uid="{00000000-0005-0000-0000-0000B8350000}"/>
    <cellStyle name="Normal 2 2 2 2 4 19 2 6" xfId="13762" xr:uid="{00000000-0005-0000-0000-0000B9350000}"/>
    <cellStyle name="Normal 2 2 2 2 4 19 2 7" xfId="13763" xr:uid="{00000000-0005-0000-0000-0000BA350000}"/>
    <cellStyle name="Normal 2 2 2 2 4 19 2 8" xfId="13764" xr:uid="{00000000-0005-0000-0000-0000BB350000}"/>
    <cellStyle name="Normal 2 2 2 2 4 19 2 9" xfId="13765" xr:uid="{00000000-0005-0000-0000-0000BC350000}"/>
    <cellStyle name="Normal 2 2 2 2 4 19 3" xfId="13766" xr:uid="{00000000-0005-0000-0000-0000BD350000}"/>
    <cellStyle name="Normal 2 2 2 2 4 19 3 10" xfId="13767" xr:uid="{00000000-0005-0000-0000-0000BE350000}"/>
    <cellStyle name="Normal 2 2 2 2 4 19 3 2" xfId="13768" xr:uid="{00000000-0005-0000-0000-0000BF350000}"/>
    <cellStyle name="Normal 2 2 2 2 4 19 3 3" xfId="13769" xr:uid="{00000000-0005-0000-0000-0000C0350000}"/>
    <cellStyle name="Normal 2 2 2 2 4 19 3 4" xfId="13770" xr:uid="{00000000-0005-0000-0000-0000C1350000}"/>
    <cellStyle name="Normal 2 2 2 2 4 19 3 5" xfId="13771" xr:uid="{00000000-0005-0000-0000-0000C2350000}"/>
    <cellStyle name="Normal 2 2 2 2 4 19 3 6" xfId="13772" xr:uid="{00000000-0005-0000-0000-0000C3350000}"/>
    <cellStyle name="Normal 2 2 2 2 4 19 3 7" xfId="13773" xr:uid="{00000000-0005-0000-0000-0000C4350000}"/>
    <cellStyle name="Normal 2 2 2 2 4 19 3 8" xfId="13774" xr:uid="{00000000-0005-0000-0000-0000C5350000}"/>
    <cellStyle name="Normal 2 2 2 2 4 19 3 9" xfId="13775" xr:uid="{00000000-0005-0000-0000-0000C6350000}"/>
    <cellStyle name="Normal 2 2 2 2 4 19 4" xfId="13776" xr:uid="{00000000-0005-0000-0000-0000C7350000}"/>
    <cellStyle name="Normal 2 2 2 2 4 19 4 10" xfId="13777" xr:uid="{00000000-0005-0000-0000-0000C8350000}"/>
    <cellStyle name="Normal 2 2 2 2 4 19 4 2" xfId="13778" xr:uid="{00000000-0005-0000-0000-0000C9350000}"/>
    <cellStyle name="Normal 2 2 2 2 4 19 4 3" xfId="13779" xr:uid="{00000000-0005-0000-0000-0000CA350000}"/>
    <cellStyle name="Normal 2 2 2 2 4 19 4 4" xfId="13780" xr:uid="{00000000-0005-0000-0000-0000CB350000}"/>
    <cellStyle name="Normal 2 2 2 2 4 19 4 5" xfId="13781" xr:uid="{00000000-0005-0000-0000-0000CC350000}"/>
    <cellStyle name="Normal 2 2 2 2 4 19 4 6" xfId="13782" xr:uid="{00000000-0005-0000-0000-0000CD350000}"/>
    <cellStyle name="Normal 2 2 2 2 4 19 4 7" xfId="13783" xr:uid="{00000000-0005-0000-0000-0000CE350000}"/>
    <cellStyle name="Normal 2 2 2 2 4 19 4 8" xfId="13784" xr:uid="{00000000-0005-0000-0000-0000CF350000}"/>
    <cellStyle name="Normal 2 2 2 2 4 19 4 9" xfId="13785" xr:uid="{00000000-0005-0000-0000-0000D0350000}"/>
    <cellStyle name="Normal 2 2 2 2 4 19 5" xfId="13786" xr:uid="{00000000-0005-0000-0000-0000D1350000}"/>
    <cellStyle name="Normal 2 2 2 2 4 19 5 10" xfId="13787" xr:uid="{00000000-0005-0000-0000-0000D2350000}"/>
    <cellStyle name="Normal 2 2 2 2 4 19 5 2" xfId="13788" xr:uid="{00000000-0005-0000-0000-0000D3350000}"/>
    <cellStyle name="Normal 2 2 2 2 4 19 5 3" xfId="13789" xr:uid="{00000000-0005-0000-0000-0000D4350000}"/>
    <cellStyle name="Normal 2 2 2 2 4 19 5 4" xfId="13790" xr:uid="{00000000-0005-0000-0000-0000D5350000}"/>
    <cellStyle name="Normal 2 2 2 2 4 19 5 5" xfId="13791" xr:uid="{00000000-0005-0000-0000-0000D6350000}"/>
    <cellStyle name="Normal 2 2 2 2 4 19 5 6" xfId="13792" xr:uid="{00000000-0005-0000-0000-0000D7350000}"/>
    <cellStyle name="Normal 2 2 2 2 4 19 5 7" xfId="13793" xr:uid="{00000000-0005-0000-0000-0000D8350000}"/>
    <cellStyle name="Normal 2 2 2 2 4 19 5 8" xfId="13794" xr:uid="{00000000-0005-0000-0000-0000D9350000}"/>
    <cellStyle name="Normal 2 2 2 2 4 19 5 9" xfId="13795" xr:uid="{00000000-0005-0000-0000-0000DA350000}"/>
    <cellStyle name="Normal 2 2 2 2 4 19 6" xfId="13796" xr:uid="{00000000-0005-0000-0000-0000DB350000}"/>
    <cellStyle name="Normal 2 2 2 2 4 19 7" xfId="13797" xr:uid="{00000000-0005-0000-0000-0000DC350000}"/>
    <cellStyle name="Normal 2 2 2 2 4 19 8" xfId="13798" xr:uid="{00000000-0005-0000-0000-0000DD350000}"/>
    <cellStyle name="Normal 2 2 2 2 4 19 9" xfId="13799" xr:uid="{00000000-0005-0000-0000-0000DE350000}"/>
    <cellStyle name="Normal 2 2 2 2 4 2" xfId="13800" xr:uid="{00000000-0005-0000-0000-0000DF350000}"/>
    <cellStyle name="Normal 2 2 2 2 4 2 10" xfId="13801" xr:uid="{00000000-0005-0000-0000-0000E0350000}"/>
    <cellStyle name="Normal 2 2 2 2 4 2 11" xfId="13802" xr:uid="{00000000-0005-0000-0000-0000E1350000}"/>
    <cellStyle name="Normal 2 2 2 2 4 2 12" xfId="13803" xr:uid="{00000000-0005-0000-0000-0000E2350000}"/>
    <cellStyle name="Normal 2 2 2 2 4 2 13" xfId="13804" xr:uid="{00000000-0005-0000-0000-0000E3350000}"/>
    <cellStyle name="Normal 2 2 2 2 4 2 14" xfId="13805" xr:uid="{00000000-0005-0000-0000-0000E4350000}"/>
    <cellStyle name="Normal 2 2 2 2 4 2 15" xfId="13806" xr:uid="{00000000-0005-0000-0000-0000E5350000}"/>
    <cellStyle name="Normal 2 2 2 2 4 2 16" xfId="13807" xr:uid="{00000000-0005-0000-0000-0000E6350000}"/>
    <cellStyle name="Normal 2 2 2 2 4 2 17" xfId="13808" xr:uid="{00000000-0005-0000-0000-0000E7350000}"/>
    <cellStyle name="Normal 2 2 2 2 4 2 18" xfId="13809" xr:uid="{00000000-0005-0000-0000-0000E8350000}"/>
    <cellStyle name="Normal 2 2 2 2 4 2 19" xfId="13810" xr:uid="{00000000-0005-0000-0000-0000E9350000}"/>
    <cellStyle name="Normal 2 2 2 2 4 2 2" xfId="13811" xr:uid="{00000000-0005-0000-0000-0000EA350000}"/>
    <cellStyle name="Normal 2 2 2 2 4 2 2 10" xfId="13812" xr:uid="{00000000-0005-0000-0000-0000EB350000}"/>
    <cellStyle name="Normal 2 2 2 2 4 2 2 10 10" xfId="13813" xr:uid="{00000000-0005-0000-0000-0000EC350000}"/>
    <cellStyle name="Normal 2 2 2 2 4 2 2 10 11" xfId="13814" xr:uid="{00000000-0005-0000-0000-0000ED350000}"/>
    <cellStyle name="Normal 2 2 2 2 4 2 2 10 12" xfId="13815" xr:uid="{00000000-0005-0000-0000-0000EE350000}"/>
    <cellStyle name="Normal 2 2 2 2 4 2 2 10 13" xfId="13816" xr:uid="{00000000-0005-0000-0000-0000EF350000}"/>
    <cellStyle name="Normal 2 2 2 2 4 2 2 10 14" xfId="13817" xr:uid="{00000000-0005-0000-0000-0000F0350000}"/>
    <cellStyle name="Normal 2 2 2 2 4 2 2 10 2" xfId="13818" xr:uid="{00000000-0005-0000-0000-0000F1350000}"/>
    <cellStyle name="Normal 2 2 2 2 4 2 2 10 2 10" xfId="13819" xr:uid="{00000000-0005-0000-0000-0000F2350000}"/>
    <cellStyle name="Normal 2 2 2 2 4 2 2 10 2 2" xfId="13820" xr:uid="{00000000-0005-0000-0000-0000F3350000}"/>
    <cellStyle name="Normal 2 2 2 2 4 2 2 10 2 3" xfId="13821" xr:uid="{00000000-0005-0000-0000-0000F4350000}"/>
    <cellStyle name="Normal 2 2 2 2 4 2 2 10 2 4" xfId="13822" xr:uid="{00000000-0005-0000-0000-0000F5350000}"/>
    <cellStyle name="Normal 2 2 2 2 4 2 2 10 2 5" xfId="13823" xr:uid="{00000000-0005-0000-0000-0000F6350000}"/>
    <cellStyle name="Normal 2 2 2 2 4 2 2 10 2 6" xfId="13824" xr:uid="{00000000-0005-0000-0000-0000F7350000}"/>
    <cellStyle name="Normal 2 2 2 2 4 2 2 10 2 7" xfId="13825" xr:uid="{00000000-0005-0000-0000-0000F8350000}"/>
    <cellStyle name="Normal 2 2 2 2 4 2 2 10 2 8" xfId="13826" xr:uid="{00000000-0005-0000-0000-0000F9350000}"/>
    <cellStyle name="Normal 2 2 2 2 4 2 2 10 2 9" xfId="13827" xr:uid="{00000000-0005-0000-0000-0000FA350000}"/>
    <cellStyle name="Normal 2 2 2 2 4 2 2 10 3" xfId="13828" xr:uid="{00000000-0005-0000-0000-0000FB350000}"/>
    <cellStyle name="Normal 2 2 2 2 4 2 2 10 3 10" xfId="13829" xr:uid="{00000000-0005-0000-0000-0000FC350000}"/>
    <cellStyle name="Normal 2 2 2 2 4 2 2 10 3 2" xfId="13830" xr:uid="{00000000-0005-0000-0000-0000FD350000}"/>
    <cellStyle name="Normal 2 2 2 2 4 2 2 10 3 3" xfId="13831" xr:uid="{00000000-0005-0000-0000-0000FE350000}"/>
    <cellStyle name="Normal 2 2 2 2 4 2 2 10 3 4" xfId="13832" xr:uid="{00000000-0005-0000-0000-0000FF350000}"/>
    <cellStyle name="Normal 2 2 2 2 4 2 2 10 3 5" xfId="13833" xr:uid="{00000000-0005-0000-0000-000000360000}"/>
    <cellStyle name="Normal 2 2 2 2 4 2 2 10 3 6" xfId="13834" xr:uid="{00000000-0005-0000-0000-000001360000}"/>
    <cellStyle name="Normal 2 2 2 2 4 2 2 10 3 7" xfId="13835" xr:uid="{00000000-0005-0000-0000-000002360000}"/>
    <cellStyle name="Normal 2 2 2 2 4 2 2 10 3 8" xfId="13836" xr:uid="{00000000-0005-0000-0000-000003360000}"/>
    <cellStyle name="Normal 2 2 2 2 4 2 2 10 3 9" xfId="13837" xr:uid="{00000000-0005-0000-0000-000004360000}"/>
    <cellStyle name="Normal 2 2 2 2 4 2 2 10 4" xfId="13838" xr:uid="{00000000-0005-0000-0000-000005360000}"/>
    <cellStyle name="Normal 2 2 2 2 4 2 2 10 4 10" xfId="13839" xr:uid="{00000000-0005-0000-0000-000006360000}"/>
    <cellStyle name="Normal 2 2 2 2 4 2 2 10 4 2" xfId="13840" xr:uid="{00000000-0005-0000-0000-000007360000}"/>
    <cellStyle name="Normal 2 2 2 2 4 2 2 10 4 3" xfId="13841" xr:uid="{00000000-0005-0000-0000-000008360000}"/>
    <cellStyle name="Normal 2 2 2 2 4 2 2 10 4 4" xfId="13842" xr:uid="{00000000-0005-0000-0000-000009360000}"/>
    <cellStyle name="Normal 2 2 2 2 4 2 2 10 4 5" xfId="13843" xr:uid="{00000000-0005-0000-0000-00000A360000}"/>
    <cellStyle name="Normal 2 2 2 2 4 2 2 10 4 6" xfId="13844" xr:uid="{00000000-0005-0000-0000-00000B360000}"/>
    <cellStyle name="Normal 2 2 2 2 4 2 2 10 4 7" xfId="13845" xr:uid="{00000000-0005-0000-0000-00000C360000}"/>
    <cellStyle name="Normal 2 2 2 2 4 2 2 10 4 8" xfId="13846" xr:uid="{00000000-0005-0000-0000-00000D360000}"/>
    <cellStyle name="Normal 2 2 2 2 4 2 2 10 4 9" xfId="13847" xr:uid="{00000000-0005-0000-0000-00000E360000}"/>
    <cellStyle name="Normal 2 2 2 2 4 2 2 10 5" xfId="13848" xr:uid="{00000000-0005-0000-0000-00000F360000}"/>
    <cellStyle name="Normal 2 2 2 2 4 2 2 10 5 10" xfId="13849" xr:uid="{00000000-0005-0000-0000-000010360000}"/>
    <cellStyle name="Normal 2 2 2 2 4 2 2 10 5 2" xfId="13850" xr:uid="{00000000-0005-0000-0000-000011360000}"/>
    <cellStyle name="Normal 2 2 2 2 4 2 2 10 5 3" xfId="13851" xr:uid="{00000000-0005-0000-0000-000012360000}"/>
    <cellStyle name="Normal 2 2 2 2 4 2 2 10 5 4" xfId="13852" xr:uid="{00000000-0005-0000-0000-000013360000}"/>
    <cellStyle name="Normal 2 2 2 2 4 2 2 10 5 5" xfId="13853" xr:uid="{00000000-0005-0000-0000-000014360000}"/>
    <cellStyle name="Normal 2 2 2 2 4 2 2 10 5 6" xfId="13854" xr:uid="{00000000-0005-0000-0000-000015360000}"/>
    <cellStyle name="Normal 2 2 2 2 4 2 2 10 5 7" xfId="13855" xr:uid="{00000000-0005-0000-0000-000016360000}"/>
    <cellStyle name="Normal 2 2 2 2 4 2 2 10 5 8" xfId="13856" xr:uid="{00000000-0005-0000-0000-000017360000}"/>
    <cellStyle name="Normal 2 2 2 2 4 2 2 10 5 9" xfId="13857" xr:uid="{00000000-0005-0000-0000-000018360000}"/>
    <cellStyle name="Normal 2 2 2 2 4 2 2 10 6" xfId="13858" xr:uid="{00000000-0005-0000-0000-000019360000}"/>
    <cellStyle name="Normal 2 2 2 2 4 2 2 10 7" xfId="13859" xr:uid="{00000000-0005-0000-0000-00001A360000}"/>
    <cellStyle name="Normal 2 2 2 2 4 2 2 10 8" xfId="13860" xr:uid="{00000000-0005-0000-0000-00001B360000}"/>
    <cellStyle name="Normal 2 2 2 2 4 2 2 10 9" xfId="13861" xr:uid="{00000000-0005-0000-0000-00001C360000}"/>
    <cellStyle name="Normal 2 2 2 2 4 2 2 11" xfId="13862" xr:uid="{00000000-0005-0000-0000-00001D360000}"/>
    <cellStyle name="Normal 2 2 2 2 4 2 2 11 10" xfId="13863" xr:uid="{00000000-0005-0000-0000-00001E360000}"/>
    <cellStyle name="Normal 2 2 2 2 4 2 2 11 11" xfId="13864" xr:uid="{00000000-0005-0000-0000-00001F360000}"/>
    <cellStyle name="Normal 2 2 2 2 4 2 2 11 12" xfId="13865" xr:uid="{00000000-0005-0000-0000-000020360000}"/>
    <cellStyle name="Normal 2 2 2 2 4 2 2 11 13" xfId="13866" xr:uid="{00000000-0005-0000-0000-000021360000}"/>
    <cellStyle name="Normal 2 2 2 2 4 2 2 11 14" xfId="13867" xr:uid="{00000000-0005-0000-0000-000022360000}"/>
    <cellStyle name="Normal 2 2 2 2 4 2 2 11 2" xfId="13868" xr:uid="{00000000-0005-0000-0000-000023360000}"/>
    <cellStyle name="Normal 2 2 2 2 4 2 2 11 2 10" xfId="13869" xr:uid="{00000000-0005-0000-0000-000024360000}"/>
    <cellStyle name="Normal 2 2 2 2 4 2 2 11 2 2" xfId="13870" xr:uid="{00000000-0005-0000-0000-000025360000}"/>
    <cellStyle name="Normal 2 2 2 2 4 2 2 11 2 3" xfId="13871" xr:uid="{00000000-0005-0000-0000-000026360000}"/>
    <cellStyle name="Normal 2 2 2 2 4 2 2 11 2 4" xfId="13872" xr:uid="{00000000-0005-0000-0000-000027360000}"/>
    <cellStyle name="Normal 2 2 2 2 4 2 2 11 2 5" xfId="13873" xr:uid="{00000000-0005-0000-0000-000028360000}"/>
    <cellStyle name="Normal 2 2 2 2 4 2 2 11 2 6" xfId="13874" xr:uid="{00000000-0005-0000-0000-000029360000}"/>
    <cellStyle name="Normal 2 2 2 2 4 2 2 11 2 7" xfId="13875" xr:uid="{00000000-0005-0000-0000-00002A360000}"/>
    <cellStyle name="Normal 2 2 2 2 4 2 2 11 2 8" xfId="13876" xr:uid="{00000000-0005-0000-0000-00002B360000}"/>
    <cellStyle name="Normal 2 2 2 2 4 2 2 11 2 9" xfId="13877" xr:uid="{00000000-0005-0000-0000-00002C360000}"/>
    <cellStyle name="Normal 2 2 2 2 4 2 2 11 3" xfId="13878" xr:uid="{00000000-0005-0000-0000-00002D360000}"/>
    <cellStyle name="Normal 2 2 2 2 4 2 2 11 3 10" xfId="13879" xr:uid="{00000000-0005-0000-0000-00002E360000}"/>
    <cellStyle name="Normal 2 2 2 2 4 2 2 11 3 2" xfId="13880" xr:uid="{00000000-0005-0000-0000-00002F360000}"/>
    <cellStyle name="Normal 2 2 2 2 4 2 2 11 3 3" xfId="13881" xr:uid="{00000000-0005-0000-0000-000030360000}"/>
    <cellStyle name="Normal 2 2 2 2 4 2 2 11 3 4" xfId="13882" xr:uid="{00000000-0005-0000-0000-000031360000}"/>
    <cellStyle name="Normal 2 2 2 2 4 2 2 11 3 5" xfId="13883" xr:uid="{00000000-0005-0000-0000-000032360000}"/>
    <cellStyle name="Normal 2 2 2 2 4 2 2 11 3 6" xfId="13884" xr:uid="{00000000-0005-0000-0000-000033360000}"/>
    <cellStyle name="Normal 2 2 2 2 4 2 2 11 3 7" xfId="13885" xr:uid="{00000000-0005-0000-0000-000034360000}"/>
    <cellStyle name="Normal 2 2 2 2 4 2 2 11 3 8" xfId="13886" xr:uid="{00000000-0005-0000-0000-000035360000}"/>
    <cellStyle name="Normal 2 2 2 2 4 2 2 11 3 9" xfId="13887" xr:uid="{00000000-0005-0000-0000-000036360000}"/>
    <cellStyle name="Normal 2 2 2 2 4 2 2 11 4" xfId="13888" xr:uid="{00000000-0005-0000-0000-000037360000}"/>
    <cellStyle name="Normal 2 2 2 2 4 2 2 11 4 10" xfId="13889" xr:uid="{00000000-0005-0000-0000-000038360000}"/>
    <cellStyle name="Normal 2 2 2 2 4 2 2 11 4 2" xfId="13890" xr:uid="{00000000-0005-0000-0000-000039360000}"/>
    <cellStyle name="Normal 2 2 2 2 4 2 2 11 4 3" xfId="13891" xr:uid="{00000000-0005-0000-0000-00003A360000}"/>
    <cellStyle name="Normal 2 2 2 2 4 2 2 11 4 4" xfId="13892" xr:uid="{00000000-0005-0000-0000-00003B360000}"/>
    <cellStyle name="Normal 2 2 2 2 4 2 2 11 4 5" xfId="13893" xr:uid="{00000000-0005-0000-0000-00003C360000}"/>
    <cellStyle name="Normal 2 2 2 2 4 2 2 11 4 6" xfId="13894" xr:uid="{00000000-0005-0000-0000-00003D360000}"/>
    <cellStyle name="Normal 2 2 2 2 4 2 2 11 4 7" xfId="13895" xr:uid="{00000000-0005-0000-0000-00003E360000}"/>
    <cellStyle name="Normal 2 2 2 2 4 2 2 11 4 8" xfId="13896" xr:uid="{00000000-0005-0000-0000-00003F360000}"/>
    <cellStyle name="Normal 2 2 2 2 4 2 2 11 4 9" xfId="13897" xr:uid="{00000000-0005-0000-0000-000040360000}"/>
    <cellStyle name="Normal 2 2 2 2 4 2 2 11 5" xfId="13898" xr:uid="{00000000-0005-0000-0000-000041360000}"/>
    <cellStyle name="Normal 2 2 2 2 4 2 2 11 5 10" xfId="13899" xr:uid="{00000000-0005-0000-0000-000042360000}"/>
    <cellStyle name="Normal 2 2 2 2 4 2 2 11 5 2" xfId="13900" xr:uid="{00000000-0005-0000-0000-000043360000}"/>
    <cellStyle name="Normal 2 2 2 2 4 2 2 11 5 3" xfId="13901" xr:uid="{00000000-0005-0000-0000-000044360000}"/>
    <cellStyle name="Normal 2 2 2 2 4 2 2 11 5 4" xfId="13902" xr:uid="{00000000-0005-0000-0000-000045360000}"/>
    <cellStyle name="Normal 2 2 2 2 4 2 2 11 5 5" xfId="13903" xr:uid="{00000000-0005-0000-0000-000046360000}"/>
    <cellStyle name="Normal 2 2 2 2 4 2 2 11 5 6" xfId="13904" xr:uid="{00000000-0005-0000-0000-000047360000}"/>
    <cellStyle name="Normal 2 2 2 2 4 2 2 11 5 7" xfId="13905" xr:uid="{00000000-0005-0000-0000-000048360000}"/>
    <cellStyle name="Normal 2 2 2 2 4 2 2 11 5 8" xfId="13906" xr:uid="{00000000-0005-0000-0000-000049360000}"/>
    <cellStyle name="Normal 2 2 2 2 4 2 2 11 5 9" xfId="13907" xr:uid="{00000000-0005-0000-0000-00004A360000}"/>
    <cellStyle name="Normal 2 2 2 2 4 2 2 11 6" xfId="13908" xr:uid="{00000000-0005-0000-0000-00004B360000}"/>
    <cellStyle name="Normal 2 2 2 2 4 2 2 11 7" xfId="13909" xr:uid="{00000000-0005-0000-0000-00004C360000}"/>
    <cellStyle name="Normal 2 2 2 2 4 2 2 11 8" xfId="13910" xr:uid="{00000000-0005-0000-0000-00004D360000}"/>
    <cellStyle name="Normal 2 2 2 2 4 2 2 11 9" xfId="13911" xr:uid="{00000000-0005-0000-0000-00004E360000}"/>
    <cellStyle name="Normal 2 2 2 2 4 2 2 12" xfId="13912" xr:uid="{00000000-0005-0000-0000-00004F360000}"/>
    <cellStyle name="Normal 2 2 2 2 4 2 2 12 10" xfId="13913" xr:uid="{00000000-0005-0000-0000-000050360000}"/>
    <cellStyle name="Normal 2 2 2 2 4 2 2 12 11" xfId="13914" xr:uid="{00000000-0005-0000-0000-000051360000}"/>
    <cellStyle name="Normal 2 2 2 2 4 2 2 12 12" xfId="13915" xr:uid="{00000000-0005-0000-0000-000052360000}"/>
    <cellStyle name="Normal 2 2 2 2 4 2 2 12 13" xfId="13916" xr:uid="{00000000-0005-0000-0000-000053360000}"/>
    <cellStyle name="Normal 2 2 2 2 4 2 2 12 14" xfId="13917" xr:uid="{00000000-0005-0000-0000-000054360000}"/>
    <cellStyle name="Normal 2 2 2 2 4 2 2 12 2" xfId="13918" xr:uid="{00000000-0005-0000-0000-000055360000}"/>
    <cellStyle name="Normal 2 2 2 2 4 2 2 12 2 10" xfId="13919" xr:uid="{00000000-0005-0000-0000-000056360000}"/>
    <cellStyle name="Normal 2 2 2 2 4 2 2 12 2 2" xfId="13920" xr:uid="{00000000-0005-0000-0000-000057360000}"/>
    <cellStyle name="Normal 2 2 2 2 4 2 2 12 2 3" xfId="13921" xr:uid="{00000000-0005-0000-0000-000058360000}"/>
    <cellStyle name="Normal 2 2 2 2 4 2 2 12 2 4" xfId="13922" xr:uid="{00000000-0005-0000-0000-000059360000}"/>
    <cellStyle name="Normal 2 2 2 2 4 2 2 12 2 5" xfId="13923" xr:uid="{00000000-0005-0000-0000-00005A360000}"/>
    <cellStyle name="Normal 2 2 2 2 4 2 2 12 2 6" xfId="13924" xr:uid="{00000000-0005-0000-0000-00005B360000}"/>
    <cellStyle name="Normal 2 2 2 2 4 2 2 12 2 7" xfId="13925" xr:uid="{00000000-0005-0000-0000-00005C360000}"/>
    <cellStyle name="Normal 2 2 2 2 4 2 2 12 2 8" xfId="13926" xr:uid="{00000000-0005-0000-0000-00005D360000}"/>
    <cellStyle name="Normal 2 2 2 2 4 2 2 12 2 9" xfId="13927" xr:uid="{00000000-0005-0000-0000-00005E360000}"/>
    <cellStyle name="Normal 2 2 2 2 4 2 2 12 3" xfId="13928" xr:uid="{00000000-0005-0000-0000-00005F360000}"/>
    <cellStyle name="Normal 2 2 2 2 4 2 2 12 3 10" xfId="13929" xr:uid="{00000000-0005-0000-0000-000060360000}"/>
    <cellStyle name="Normal 2 2 2 2 4 2 2 12 3 2" xfId="13930" xr:uid="{00000000-0005-0000-0000-000061360000}"/>
    <cellStyle name="Normal 2 2 2 2 4 2 2 12 3 3" xfId="13931" xr:uid="{00000000-0005-0000-0000-000062360000}"/>
    <cellStyle name="Normal 2 2 2 2 4 2 2 12 3 4" xfId="13932" xr:uid="{00000000-0005-0000-0000-000063360000}"/>
    <cellStyle name="Normal 2 2 2 2 4 2 2 12 3 5" xfId="13933" xr:uid="{00000000-0005-0000-0000-000064360000}"/>
    <cellStyle name="Normal 2 2 2 2 4 2 2 12 3 6" xfId="13934" xr:uid="{00000000-0005-0000-0000-000065360000}"/>
    <cellStyle name="Normal 2 2 2 2 4 2 2 12 3 7" xfId="13935" xr:uid="{00000000-0005-0000-0000-000066360000}"/>
    <cellStyle name="Normal 2 2 2 2 4 2 2 12 3 8" xfId="13936" xr:uid="{00000000-0005-0000-0000-000067360000}"/>
    <cellStyle name="Normal 2 2 2 2 4 2 2 12 3 9" xfId="13937" xr:uid="{00000000-0005-0000-0000-000068360000}"/>
    <cellStyle name="Normal 2 2 2 2 4 2 2 12 4" xfId="13938" xr:uid="{00000000-0005-0000-0000-000069360000}"/>
    <cellStyle name="Normal 2 2 2 2 4 2 2 12 4 10" xfId="13939" xr:uid="{00000000-0005-0000-0000-00006A360000}"/>
    <cellStyle name="Normal 2 2 2 2 4 2 2 12 4 2" xfId="13940" xr:uid="{00000000-0005-0000-0000-00006B360000}"/>
    <cellStyle name="Normal 2 2 2 2 4 2 2 12 4 3" xfId="13941" xr:uid="{00000000-0005-0000-0000-00006C360000}"/>
    <cellStyle name="Normal 2 2 2 2 4 2 2 12 4 4" xfId="13942" xr:uid="{00000000-0005-0000-0000-00006D360000}"/>
    <cellStyle name="Normal 2 2 2 2 4 2 2 12 4 5" xfId="13943" xr:uid="{00000000-0005-0000-0000-00006E360000}"/>
    <cellStyle name="Normal 2 2 2 2 4 2 2 12 4 6" xfId="13944" xr:uid="{00000000-0005-0000-0000-00006F360000}"/>
    <cellStyle name="Normal 2 2 2 2 4 2 2 12 4 7" xfId="13945" xr:uid="{00000000-0005-0000-0000-000070360000}"/>
    <cellStyle name="Normal 2 2 2 2 4 2 2 12 4 8" xfId="13946" xr:uid="{00000000-0005-0000-0000-000071360000}"/>
    <cellStyle name="Normal 2 2 2 2 4 2 2 12 4 9" xfId="13947" xr:uid="{00000000-0005-0000-0000-000072360000}"/>
    <cellStyle name="Normal 2 2 2 2 4 2 2 12 5" xfId="13948" xr:uid="{00000000-0005-0000-0000-000073360000}"/>
    <cellStyle name="Normal 2 2 2 2 4 2 2 12 5 10" xfId="13949" xr:uid="{00000000-0005-0000-0000-000074360000}"/>
    <cellStyle name="Normal 2 2 2 2 4 2 2 12 5 2" xfId="13950" xr:uid="{00000000-0005-0000-0000-000075360000}"/>
    <cellStyle name="Normal 2 2 2 2 4 2 2 12 5 3" xfId="13951" xr:uid="{00000000-0005-0000-0000-000076360000}"/>
    <cellStyle name="Normal 2 2 2 2 4 2 2 12 5 4" xfId="13952" xr:uid="{00000000-0005-0000-0000-000077360000}"/>
    <cellStyle name="Normal 2 2 2 2 4 2 2 12 5 5" xfId="13953" xr:uid="{00000000-0005-0000-0000-000078360000}"/>
    <cellStyle name="Normal 2 2 2 2 4 2 2 12 5 6" xfId="13954" xr:uid="{00000000-0005-0000-0000-000079360000}"/>
    <cellStyle name="Normal 2 2 2 2 4 2 2 12 5 7" xfId="13955" xr:uid="{00000000-0005-0000-0000-00007A360000}"/>
    <cellStyle name="Normal 2 2 2 2 4 2 2 12 5 8" xfId="13956" xr:uid="{00000000-0005-0000-0000-00007B360000}"/>
    <cellStyle name="Normal 2 2 2 2 4 2 2 12 5 9" xfId="13957" xr:uid="{00000000-0005-0000-0000-00007C360000}"/>
    <cellStyle name="Normal 2 2 2 2 4 2 2 12 6" xfId="13958" xr:uid="{00000000-0005-0000-0000-00007D360000}"/>
    <cellStyle name="Normal 2 2 2 2 4 2 2 12 7" xfId="13959" xr:uid="{00000000-0005-0000-0000-00007E360000}"/>
    <cellStyle name="Normal 2 2 2 2 4 2 2 12 8" xfId="13960" xr:uid="{00000000-0005-0000-0000-00007F360000}"/>
    <cellStyle name="Normal 2 2 2 2 4 2 2 12 9" xfId="13961" xr:uid="{00000000-0005-0000-0000-000080360000}"/>
    <cellStyle name="Normal 2 2 2 2 4 2 2 13" xfId="13962" xr:uid="{00000000-0005-0000-0000-000081360000}"/>
    <cellStyle name="Normal 2 2 2 2 4 2 2 13 10" xfId="13963" xr:uid="{00000000-0005-0000-0000-000082360000}"/>
    <cellStyle name="Normal 2 2 2 2 4 2 2 13 11" xfId="13964" xr:uid="{00000000-0005-0000-0000-000083360000}"/>
    <cellStyle name="Normal 2 2 2 2 4 2 2 13 12" xfId="13965" xr:uid="{00000000-0005-0000-0000-000084360000}"/>
    <cellStyle name="Normal 2 2 2 2 4 2 2 13 13" xfId="13966" xr:uid="{00000000-0005-0000-0000-000085360000}"/>
    <cellStyle name="Normal 2 2 2 2 4 2 2 13 14" xfId="13967" xr:uid="{00000000-0005-0000-0000-000086360000}"/>
    <cellStyle name="Normal 2 2 2 2 4 2 2 13 2" xfId="13968" xr:uid="{00000000-0005-0000-0000-000087360000}"/>
    <cellStyle name="Normal 2 2 2 2 4 2 2 13 2 10" xfId="13969" xr:uid="{00000000-0005-0000-0000-000088360000}"/>
    <cellStyle name="Normal 2 2 2 2 4 2 2 13 2 2" xfId="13970" xr:uid="{00000000-0005-0000-0000-000089360000}"/>
    <cellStyle name="Normal 2 2 2 2 4 2 2 13 2 3" xfId="13971" xr:uid="{00000000-0005-0000-0000-00008A360000}"/>
    <cellStyle name="Normal 2 2 2 2 4 2 2 13 2 4" xfId="13972" xr:uid="{00000000-0005-0000-0000-00008B360000}"/>
    <cellStyle name="Normal 2 2 2 2 4 2 2 13 2 5" xfId="13973" xr:uid="{00000000-0005-0000-0000-00008C360000}"/>
    <cellStyle name="Normal 2 2 2 2 4 2 2 13 2 6" xfId="13974" xr:uid="{00000000-0005-0000-0000-00008D360000}"/>
    <cellStyle name="Normal 2 2 2 2 4 2 2 13 2 7" xfId="13975" xr:uid="{00000000-0005-0000-0000-00008E360000}"/>
    <cellStyle name="Normal 2 2 2 2 4 2 2 13 2 8" xfId="13976" xr:uid="{00000000-0005-0000-0000-00008F360000}"/>
    <cellStyle name="Normal 2 2 2 2 4 2 2 13 2 9" xfId="13977" xr:uid="{00000000-0005-0000-0000-000090360000}"/>
    <cellStyle name="Normal 2 2 2 2 4 2 2 13 3" xfId="13978" xr:uid="{00000000-0005-0000-0000-000091360000}"/>
    <cellStyle name="Normal 2 2 2 2 4 2 2 13 3 10" xfId="13979" xr:uid="{00000000-0005-0000-0000-000092360000}"/>
    <cellStyle name="Normal 2 2 2 2 4 2 2 13 3 2" xfId="13980" xr:uid="{00000000-0005-0000-0000-000093360000}"/>
    <cellStyle name="Normal 2 2 2 2 4 2 2 13 3 3" xfId="13981" xr:uid="{00000000-0005-0000-0000-000094360000}"/>
    <cellStyle name="Normal 2 2 2 2 4 2 2 13 3 4" xfId="13982" xr:uid="{00000000-0005-0000-0000-000095360000}"/>
    <cellStyle name="Normal 2 2 2 2 4 2 2 13 3 5" xfId="13983" xr:uid="{00000000-0005-0000-0000-000096360000}"/>
    <cellStyle name="Normal 2 2 2 2 4 2 2 13 3 6" xfId="13984" xr:uid="{00000000-0005-0000-0000-000097360000}"/>
    <cellStyle name="Normal 2 2 2 2 4 2 2 13 3 7" xfId="13985" xr:uid="{00000000-0005-0000-0000-000098360000}"/>
    <cellStyle name="Normal 2 2 2 2 4 2 2 13 3 8" xfId="13986" xr:uid="{00000000-0005-0000-0000-000099360000}"/>
    <cellStyle name="Normal 2 2 2 2 4 2 2 13 3 9" xfId="13987" xr:uid="{00000000-0005-0000-0000-00009A360000}"/>
    <cellStyle name="Normal 2 2 2 2 4 2 2 13 4" xfId="13988" xr:uid="{00000000-0005-0000-0000-00009B360000}"/>
    <cellStyle name="Normal 2 2 2 2 4 2 2 13 4 10" xfId="13989" xr:uid="{00000000-0005-0000-0000-00009C360000}"/>
    <cellStyle name="Normal 2 2 2 2 4 2 2 13 4 2" xfId="13990" xr:uid="{00000000-0005-0000-0000-00009D360000}"/>
    <cellStyle name="Normal 2 2 2 2 4 2 2 13 4 3" xfId="13991" xr:uid="{00000000-0005-0000-0000-00009E360000}"/>
    <cellStyle name="Normal 2 2 2 2 4 2 2 13 4 4" xfId="13992" xr:uid="{00000000-0005-0000-0000-00009F360000}"/>
    <cellStyle name="Normal 2 2 2 2 4 2 2 13 4 5" xfId="13993" xr:uid="{00000000-0005-0000-0000-0000A0360000}"/>
    <cellStyle name="Normal 2 2 2 2 4 2 2 13 4 6" xfId="13994" xr:uid="{00000000-0005-0000-0000-0000A1360000}"/>
    <cellStyle name="Normal 2 2 2 2 4 2 2 13 4 7" xfId="13995" xr:uid="{00000000-0005-0000-0000-0000A2360000}"/>
    <cellStyle name="Normal 2 2 2 2 4 2 2 13 4 8" xfId="13996" xr:uid="{00000000-0005-0000-0000-0000A3360000}"/>
    <cellStyle name="Normal 2 2 2 2 4 2 2 13 4 9" xfId="13997" xr:uid="{00000000-0005-0000-0000-0000A4360000}"/>
    <cellStyle name="Normal 2 2 2 2 4 2 2 13 5" xfId="13998" xr:uid="{00000000-0005-0000-0000-0000A5360000}"/>
    <cellStyle name="Normal 2 2 2 2 4 2 2 13 5 10" xfId="13999" xr:uid="{00000000-0005-0000-0000-0000A6360000}"/>
    <cellStyle name="Normal 2 2 2 2 4 2 2 13 5 2" xfId="14000" xr:uid="{00000000-0005-0000-0000-0000A7360000}"/>
    <cellStyle name="Normal 2 2 2 2 4 2 2 13 5 3" xfId="14001" xr:uid="{00000000-0005-0000-0000-0000A8360000}"/>
    <cellStyle name="Normal 2 2 2 2 4 2 2 13 5 4" xfId="14002" xr:uid="{00000000-0005-0000-0000-0000A9360000}"/>
    <cellStyle name="Normal 2 2 2 2 4 2 2 13 5 5" xfId="14003" xr:uid="{00000000-0005-0000-0000-0000AA360000}"/>
    <cellStyle name="Normal 2 2 2 2 4 2 2 13 5 6" xfId="14004" xr:uid="{00000000-0005-0000-0000-0000AB360000}"/>
    <cellStyle name="Normal 2 2 2 2 4 2 2 13 5 7" xfId="14005" xr:uid="{00000000-0005-0000-0000-0000AC360000}"/>
    <cellStyle name="Normal 2 2 2 2 4 2 2 13 5 8" xfId="14006" xr:uid="{00000000-0005-0000-0000-0000AD360000}"/>
    <cellStyle name="Normal 2 2 2 2 4 2 2 13 5 9" xfId="14007" xr:uid="{00000000-0005-0000-0000-0000AE360000}"/>
    <cellStyle name="Normal 2 2 2 2 4 2 2 13 6" xfId="14008" xr:uid="{00000000-0005-0000-0000-0000AF360000}"/>
    <cellStyle name="Normal 2 2 2 2 4 2 2 13 7" xfId="14009" xr:uid="{00000000-0005-0000-0000-0000B0360000}"/>
    <cellStyle name="Normal 2 2 2 2 4 2 2 13 8" xfId="14010" xr:uid="{00000000-0005-0000-0000-0000B1360000}"/>
    <cellStyle name="Normal 2 2 2 2 4 2 2 13 9" xfId="14011" xr:uid="{00000000-0005-0000-0000-0000B2360000}"/>
    <cellStyle name="Normal 2 2 2 2 4 2 2 14" xfId="14012" xr:uid="{00000000-0005-0000-0000-0000B3360000}"/>
    <cellStyle name="Normal 2 2 2 2 4 2 2 14 10" xfId="14013" xr:uid="{00000000-0005-0000-0000-0000B4360000}"/>
    <cellStyle name="Normal 2 2 2 2 4 2 2 14 11" xfId="14014" xr:uid="{00000000-0005-0000-0000-0000B5360000}"/>
    <cellStyle name="Normal 2 2 2 2 4 2 2 14 12" xfId="14015" xr:uid="{00000000-0005-0000-0000-0000B6360000}"/>
    <cellStyle name="Normal 2 2 2 2 4 2 2 14 13" xfId="14016" xr:uid="{00000000-0005-0000-0000-0000B7360000}"/>
    <cellStyle name="Normal 2 2 2 2 4 2 2 14 14" xfId="14017" xr:uid="{00000000-0005-0000-0000-0000B8360000}"/>
    <cellStyle name="Normal 2 2 2 2 4 2 2 14 2" xfId="14018" xr:uid="{00000000-0005-0000-0000-0000B9360000}"/>
    <cellStyle name="Normal 2 2 2 2 4 2 2 14 2 10" xfId="14019" xr:uid="{00000000-0005-0000-0000-0000BA360000}"/>
    <cellStyle name="Normal 2 2 2 2 4 2 2 14 2 2" xfId="14020" xr:uid="{00000000-0005-0000-0000-0000BB360000}"/>
    <cellStyle name="Normal 2 2 2 2 4 2 2 14 2 3" xfId="14021" xr:uid="{00000000-0005-0000-0000-0000BC360000}"/>
    <cellStyle name="Normal 2 2 2 2 4 2 2 14 2 4" xfId="14022" xr:uid="{00000000-0005-0000-0000-0000BD360000}"/>
    <cellStyle name="Normal 2 2 2 2 4 2 2 14 2 5" xfId="14023" xr:uid="{00000000-0005-0000-0000-0000BE360000}"/>
    <cellStyle name="Normal 2 2 2 2 4 2 2 14 2 6" xfId="14024" xr:uid="{00000000-0005-0000-0000-0000BF360000}"/>
    <cellStyle name="Normal 2 2 2 2 4 2 2 14 2 7" xfId="14025" xr:uid="{00000000-0005-0000-0000-0000C0360000}"/>
    <cellStyle name="Normal 2 2 2 2 4 2 2 14 2 8" xfId="14026" xr:uid="{00000000-0005-0000-0000-0000C1360000}"/>
    <cellStyle name="Normal 2 2 2 2 4 2 2 14 2 9" xfId="14027" xr:uid="{00000000-0005-0000-0000-0000C2360000}"/>
    <cellStyle name="Normal 2 2 2 2 4 2 2 14 3" xfId="14028" xr:uid="{00000000-0005-0000-0000-0000C3360000}"/>
    <cellStyle name="Normal 2 2 2 2 4 2 2 14 3 10" xfId="14029" xr:uid="{00000000-0005-0000-0000-0000C4360000}"/>
    <cellStyle name="Normal 2 2 2 2 4 2 2 14 3 2" xfId="14030" xr:uid="{00000000-0005-0000-0000-0000C5360000}"/>
    <cellStyle name="Normal 2 2 2 2 4 2 2 14 3 3" xfId="14031" xr:uid="{00000000-0005-0000-0000-0000C6360000}"/>
    <cellStyle name="Normal 2 2 2 2 4 2 2 14 3 4" xfId="14032" xr:uid="{00000000-0005-0000-0000-0000C7360000}"/>
    <cellStyle name="Normal 2 2 2 2 4 2 2 14 3 5" xfId="14033" xr:uid="{00000000-0005-0000-0000-0000C8360000}"/>
    <cellStyle name="Normal 2 2 2 2 4 2 2 14 3 6" xfId="14034" xr:uid="{00000000-0005-0000-0000-0000C9360000}"/>
    <cellStyle name="Normal 2 2 2 2 4 2 2 14 3 7" xfId="14035" xr:uid="{00000000-0005-0000-0000-0000CA360000}"/>
    <cellStyle name="Normal 2 2 2 2 4 2 2 14 3 8" xfId="14036" xr:uid="{00000000-0005-0000-0000-0000CB360000}"/>
    <cellStyle name="Normal 2 2 2 2 4 2 2 14 3 9" xfId="14037" xr:uid="{00000000-0005-0000-0000-0000CC360000}"/>
    <cellStyle name="Normal 2 2 2 2 4 2 2 14 4" xfId="14038" xr:uid="{00000000-0005-0000-0000-0000CD360000}"/>
    <cellStyle name="Normal 2 2 2 2 4 2 2 14 4 10" xfId="14039" xr:uid="{00000000-0005-0000-0000-0000CE360000}"/>
    <cellStyle name="Normal 2 2 2 2 4 2 2 14 4 2" xfId="14040" xr:uid="{00000000-0005-0000-0000-0000CF360000}"/>
    <cellStyle name="Normal 2 2 2 2 4 2 2 14 4 3" xfId="14041" xr:uid="{00000000-0005-0000-0000-0000D0360000}"/>
    <cellStyle name="Normal 2 2 2 2 4 2 2 14 4 4" xfId="14042" xr:uid="{00000000-0005-0000-0000-0000D1360000}"/>
    <cellStyle name="Normal 2 2 2 2 4 2 2 14 4 5" xfId="14043" xr:uid="{00000000-0005-0000-0000-0000D2360000}"/>
    <cellStyle name="Normal 2 2 2 2 4 2 2 14 4 6" xfId="14044" xr:uid="{00000000-0005-0000-0000-0000D3360000}"/>
    <cellStyle name="Normal 2 2 2 2 4 2 2 14 4 7" xfId="14045" xr:uid="{00000000-0005-0000-0000-0000D4360000}"/>
    <cellStyle name="Normal 2 2 2 2 4 2 2 14 4 8" xfId="14046" xr:uid="{00000000-0005-0000-0000-0000D5360000}"/>
    <cellStyle name="Normal 2 2 2 2 4 2 2 14 4 9" xfId="14047" xr:uid="{00000000-0005-0000-0000-0000D6360000}"/>
    <cellStyle name="Normal 2 2 2 2 4 2 2 14 5" xfId="14048" xr:uid="{00000000-0005-0000-0000-0000D7360000}"/>
    <cellStyle name="Normal 2 2 2 2 4 2 2 14 5 10" xfId="14049" xr:uid="{00000000-0005-0000-0000-0000D8360000}"/>
    <cellStyle name="Normal 2 2 2 2 4 2 2 14 5 2" xfId="14050" xr:uid="{00000000-0005-0000-0000-0000D9360000}"/>
    <cellStyle name="Normal 2 2 2 2 4 2 2 14 5 3" xfId="14051" xr:uid="{00000000-0005-0000-0000-0000DA360000}"/>
    <cellStyle name="Normal 2 2 2 2 4 2 2 14 5 4" xfId="14052" xr:uid="{00000000-0005-0000-0000-0000DB360000}"/>
    <cellStyle name="Normal 2 2 2 2 4 2 2 14 5 5" xfId="14053" xr:uid="{00000000-0005-0000-0000-0000DC360000}"/>
    <cellStyle name="Normal 2 2 2 2 4 2 2 14 5 6" xfId="14054" xr:uid="{00000000-0005-0000-0000-0000DD360000}"/>
    <cellStyle name="Normal 2 2 2 2 4 2 2 14 5 7" xfId="14055" xr:uid="{00000000-0005-0000-0000-0000DE360000}"/>
    <cellStyle name="Normal 2 2 2 2 4 2 2 14 5 8" xfId="14056" xr:uid="{00000000-0005-0000-0000-0000DF360000}"/>
    <cellStyle name="Normal 2 2 2 2 4 2 2 14 5 9" xfId="14057" xr:uid="{00000000-0005-0000-0000-0000E0360000}"/>
    <cellStyle name="Normal 2 2 2 2 4 2 2 14 6" xfId="14058" xr:uid="{00000000-0005-0000-0000-0000E1360000}"/>
    <cellStyle name="Normal 2 2 2 2 4 2 2 14 7" xfId="14059" xr:uid="{00000000-0005-0000-0000-0000E2360000}"/>
    <cellStyle name="Normal 2 2 2 2 4 2 2 14 8" xfId="14060" xr:uid="{00000000-0005-0000-0000-0000E3360000}"/>
    <cellStyle name="Normal 2 2 2 2 4 2 2 14 9" xfId="14061" xr:uid="{00000000-0005-0000-0000-0000E4360000}"/>
    <cellStyle name="Normal 2 2 2 2 4 2 2 15" xfId="14062" xr:uid="{00000000-0005-0000-0000-0000E5360000}"/>
    <cellStyle name="Normal 2 2 2 2 4 2 2 15 10" xfId="14063" xr:uid="{00000000-0005-0000-0000-0000E6360000}"/>
    <cellStyle name="Normal 2 2 2 2 4 2 2 15 11" xfId="14064" xr:uid="{00000000-0005-0000-0000-0000E7360000}"/>
    <cellStyle name="Normal 2 2 2 2 4 2 2 15 12" xfId="14065" xr:uid="{00000000-0005-0000-0000-0000E8360000}"/>
    <cellStyle name="Normal 2 2 2 2 4 2 2 15 13" xfId="14066" xr:uid="{00000000-0005-0000-0000-0000E9360000}"/>
    <cellStyle name="Normal 2 2 2 2 4 2 2 15 14" xfId="14067" xr:uid="{00000000-0005-0000-0000-0000EA360000}"/>
    <cellStyle name="Normal 2 2 2 2 4 2 2 15 2" xfId="14068" xr:uid="{00000000-0005-0000-0000-0000EB360000}"/>
    <cellStyle name="Normal 2 2 2 2 4 2 2 15 2 10" xfId="14069" xr:uid="{00000000-0005-0000-0000-0000EC360000}"/>
    <cellStyle name="Normal 2 2 2 2 4 2 2 15 2 2" xfId="14070" xr:uid="{00000000-0005-0000-0000-0000ED360000}"/>
    <cellStyle name="Normal 2 2 2 2 4 2 2 15 2 3" xfId="14071" xr:uid="{00000000-0005-0000-0000-0000EE360000}"/>
    <cellStyle name="Normal 2 2 2 2 4 2 2 15 2 4" xfId="14072" xr:uid="{00000000-0005-0000-0000-0000EF360000}"/>
    <cellStyle name="Normal 2 2 2 2 4 2 2 15 2 5" xfId="14073" xr:uid="{00000000-0005-0000-0000-0000F0360000}"/>
    <cellStyle name="Normal 2 2 2 2 4 2 2 15 2 6" xfId="14074" xr:uid="{00000000-0005-0000-0000-0000F1360000}"/>
    <cellStyle name="Normal 2 2 2 2 4 2 2 15 2 7" xfId="14075" xr:uid="{00000000-0005-0000-0000-0000F2360000}"/>
    <cellStyle name="Normal 2 2 2 2 4 2 2 15 2 8" xfId="14076" xr:uid="{00000000-0005-0000-0000-0000F3360000}"/>
    <cellStyle name="Normal 2 2 2 2 4 2 2 15 2 9" xfId="14077" xr:uid="{00000000-0005-0000-0000-0000F4360000}"/>
    <cellStyle name="Normal 2 2 2 2 4 2 2 15 3" xfId="14078" xr:uid="{00000000-0005-0000-0000-0000F5360000}"/>
    <cellStyle name="Normal 2 2 2 2 4 2 2 15 3 10" xfId="14079" xr:uid="{00000000-0005-0000-0000-0000F6360000}"/>
    <cellStyle name="Normal 2 2 2 2 4 2 2 15 3 2" xfId="14080" xr:uid="{00000000-0005-0000-0000-0000F7360000}"/>
    <cellStyle name="Normal 2 2 2 2 4 2 2 15 3 3" xfId="14081" xr:uid="{00000000-0005-0000-0000-0000F8360000}"/>
    <cellStyle name="Normal 2 2 2 2 4 2 2 15 3 4" xfId="14082" xr:uid="{00000000-0005-0000-0000-0000F9360000}"/>
    <cellStyle name="Normal 2 2 2 2 4 2 2 15 3 5" xfId="14083" xr:uid="{00000000-0005-0000-0000-0000FA360000}"/>
    <cellStyle name="Normal 2 2 2 2 4 2 2 15 3 6" xfId="14084" xr:uid="{00000000-0005-0000-0000-0000FB360000}"/>
    <cellStyle name="Normal 2 2 2 2 4 2 2 15 3 7" xfId="14085" xr:uid="{00000000-0005-0000-0000-0000FC360000}"/>
    <cellStyle name="Normal 2 2 2 2 4 2 2 15 3 8" xfId="14086" xr:uid="{00000000-0005-0000-0000-0000FD360000}"/>
    <cellStyle name="Normal 2 2 2 2 4 2 2 15 3 9" xfId="14087" xr:uid="{00000000-0005-0000-0000-0000FE360000}"/>
    <cellStyle name="Normal 2 2 2 2 4 2 2 15 4" xfId="14088" xr:uid="{00000000-0005-0000-0000-0000FF360000}"/>
    <cellStyle name="Normal 2 2 2 2 4 2 2 15 4 10" xfId="14089" xr:uid="{00000000-0005-0000-0000-000000370000}"/>
    <cellStyle name="Normal 2 2 2 2 4 2 2 15 4 2" xfId="14090" xr:uid="{00000000-0005-0000-0000-000001370000}"/>
    <cellStyle name="Normal 2 2 2 2 4 2 2 15 4 3" xfId="14091" xr:uid="{00000000-0005-0000-0000-000002370000}"/>
    <cellStyle name="Normal 2 2 2 2 4 2 2 15 4 4" xfId="14092" xr:uid="{00000000-0005-0000-0000-000003370000}"/>
    <cellStyle name="Normal 2 2 2 2 4 2 2 15 4 5" xfId="14093" xr:uid="{00000000-0005-0000-0000-000004370000}"/>
    <cellStyle name="Normal 2 2 2 2 4 2 2 15 4 6" xfId="14094" xr:uid="{00000000-0005-0000-0000-000005370000}"/>
    <cellStyle name="Normal 2 2 2 2 4 2 2 15 4 7" xfId="14095" xr:uid="{00000000-0005-0000-0000-000006370000}"/>
    <cellStyle name="Normal 2 2 2 2 4 2 2 15 4 8" xfId="14096" xr:uid="{00000000-0005-0000-0000-000007370000}"/>
    <cellStyle name="Normal 2 2 2 2 4 2 2 15 4 9" xfId="14097" xr:uid="{00000000-0005-0000-0000-000008370000}"/>
    <cellStyle name="Normal 2 2 2 2 4 2 2 15 5" xfId="14098" xr:uid="{00000000-0005-0000-0000-000009370000}"/>
    <cellStyle name="Normal 2 2 2 2 4 2 2 15 5 10" xfId="14099" xr:uid="{00000000-0005-0000-0000-00000A370000}"/>
    <cellStyle name="Normal 2 2 2 2 4 2 2 15 5 2" xfId="14100" xr:uid="{00000000-0005-0000-0000-00000B370000}"/>
    <cellStyle name="Normal 2 2 2 2 4 2 2 15 5 3" xfId="14101" xr:uid="{00000000-0005-0000-0000-00000C370000}"/>
    <cellStyle name="Normal 2 2 2 2 4 2 2 15 5 4" xfId="14102" xr:uid="{00000000-0005-0000-0000-00000D370000}"/>
    <cellStyle name="Normal 2 2 2 2 4 2 2 15 5 5" xfId="14103" xr:uid="{00000000-0005-0000-0000-00000E370000}"/>
    <cellStyle name="Normal 2 2 2 2 4 2 2 15 5 6" xfId="14104" xr:uid="{00000000-0005-0000-0000-00000F370000}"/>
    <cellStyle name="Normal 2 2 2 2 4 2 2 15 5 7" xfId="14105" xr:uid="{00000000-0005-0000-0000-000010370000}"/>
    <cellStyle name="Normal 2 2 2 2 4 2 2 15 5 8" xfId="14106" xr:uid="{00000000-0005-0000-0000-000011370000}"/>
    <cellStyle name="Normal 2 2 2 2 4 2 2 15 5 9" xfId="14107" xr:uid="{00000000-0005-0000-0000-000012370000}"/>
    <cellStyle name="Normal 2 2 2 2 4 2 2 15 6" xfId="14108" xr:uid="{00000000-0005-0000-0000-000013370000}"/>
    <cellStyle name="Normal 2 2 2 2 4 2 2 15 7" xfId="14109" xr:uid="{00000000-0005-0000-0000-000014370000}"/>
    <cellStyle name="Normal 2 2 2 2 4 2 2 15 8" xfId="14110" xr:uid="{00000000-0005-0000-0000-000015370000}"/>
    <cellStyle name="Normal 2 2 2 2 4 2 2 15 9" xfId="14111" xr:uid="{00000000-0005-0000-0000-000016370000}"/>
    <cellStyle name="Normal 2 2 2 2 4 2 2 16" xfId="14112" xr:uid="{00000000-0005-0000-0000-000017370000}"/>
    <cellStyle name="Normal 2 2 2 2 4 2 2 16 10" xfId="14113" xr:uid="{00000000-0005-0000-0000-000018370000}"/>
    <cellStyle name="Normal 2 2 2 2 4 2 2 16 11" xfId="14114" xr:uid="{00000000-0005-0000-0000-000019370000}"/>
    <cellStyle name="Normal 2 2 2 2 4 2 2 16 12" xfId="14115" xr:uid="{00000000-0005-0000-0000-00001A370000}"/>
    <cellStyle name="Normal 2 2 2 2 4 2 2 16 13" xfId="14116" xr:uid="{00000000-0005-0000-0000-00001B370000}"/>
    <cellStyle name="Normal 2 2 2 2 4 2 2 16 14" xfId="14117" xr:uid="{00000000-0005-0000-0000-00001C370000}"/>
    <cellStyle name="Normal 2 2 2 2 4 2 2 16 2" xfId="14118" xr:uid="{00000000-0005-0000-0000-00001D370000}"/>
    <cellStyle name="Normal 2 2 2 2 4 2 2 16 2 10" xfId="14119" xr:uid="{00000000-0005-0000-0000-00001E370000}"/>
    <cellStyle name="Normal 2 2 2 2 4 2 2 16 2 2" xfId="14120" xr:uid="{00000000-0005-0000-0000-00001F370000}"/>
    <cellStyle name="Normal 2 2 2 2 4 2 2 16 2 3" xfId="14121" xr:uid="{00000000-0005-0000-0000-000020370000}"/>
    <cellStyle name="Normal 2 2 2 2 4 2 2 16 2 4" xfId="14122" xr:uid="{00000000-0005-0000-0000-000021370000}"/>
    <cellStyle name="Normal 2 2 2 2 4 2 2 16 2 5" xfId="14123" xr:uid="{00000000-0005-0000-0000-000022370000}"/>
    <cellStyle name="Normal 2 2 2 2 4 2 2 16 2 6" xfId="14124" xr:uid="{00000000-0005-0000-0000-000023370000}"/>
    <cellStyle name="Normal 2 2 2 2 4 2 2 16 2 7" xfId="14125" xr:uid="{00000000-0005-0000-0000-000024370000}"/>
    <cellStyle name="Normal 2 2 2 2 4 2 2 16 2 8" xfId="14126" xr:uid="{00000000-0005-0000-0000-000025370000}"/>
    <cellStyle name="Normal 2 2 2 2 4 2 2 16 2 9" xfId="14127" xr:uid="{00000000-0005-0000-0000-000026370000}"/>
    <cellStyle name="Normal 2 2 2 2 4 2 2 16 3" xfId="14128" xr:uid="{00000000-0005-0000-0000-000027370000}"/>
    <cellStyle name="Normal 2 2 2 2 4 2 2 16 3 10" xfId="14129" xr:uid="{00000000-0005-0000-0000-000028370000}"/>
    <cellStyle name="Normal 2 2 2 2 4 2 2 16 3 2" xfId="14130" xr:uid="{00000000-0005-0000-0000-000029370000}"/>
    <cellStyle name="Normal 2 2 2 2 4 2 2 16 3 3" xfId="14131" xr:uid="{00000000-0005-0000-0000-00002A370000}"/>
    <cellStyle name="Normal 2 2 2 2 4 2 2 16 3 4" xfId="14132" xr:uid="{00000000-0005-0000-0000-00002B370000}"/>
    <cellStyle name="Normal 2 2 2 2 4 2 2 16 3 5" xfId="14133" xr:uid="{00000000-0005-0000-0000-00002C370000}"/>
    <cellStyle name="Normal 2 2 2 2 4 2 2 16 3 6" xfId="14134" xr:uid="{00000000-0005-0000-0000-00002D370000}"/>
    <cellStyle name="Normal 2 2 2 2 4 2 2 16 3 7" xfId="14135" xr:uid="{00000000-0005-0000-0000-00002E370000}"/>
    <cellStyle name="Normal 2 2 2 2 4 2 2 16 3 8" xfId="14136" xr:uid="{00000000-0005-0000-0000-00002F370000}"/>
    <cellStyle name="Normal 2 2 2 2 4 2 2 16 3 9" xfId="14137" xr:uid="{00000000-0005-0000-0000-000030370000}"/>
    <cellStyle name="Normal 2 2 2 2 4 2 2 16 4" xfId="14138" xr:uid="{00000000-0005-0000-0000-000031370000}"/>
    <cellStyle name="Normal 2 2 2 2 4 2 2 16 4 10" xfId="14139" xr:uid="{00000000-0005-0000-0000-000032370000}"/>
    <cellStyle name="Normal 2 2 2 2 4 2 2 16 4 2" xfId="14140" xr:uid="{00000000-0005-0000-0000-000033370000}"/>
    <cellStyle name="Normal 2 2 2 2 4 2 2 16 4 3" xfId="14141" xr:uid="{00000000-0005-0000-0000-000034370000}"/>
    <cellStyle name="Normal 2 2 2 2 4 2 2 16 4 4" xfId="14142" xr:uid="{00000000-0005-0000-0000-000035370000}"/>
    <cellStyle name="Normal 2 2 2 2 4 2 2 16 4 5" xfId="14143" xr:uid="{00000000-0005-0000-0000-000036370000}"/>
    <cellStyle name="Normal 2 2 2 2 4 2 2 16 4 6" xfId="14144" xr:uid="{00000000-0005-0000-0000-000037370000}"/>
    <cellStyle name="Normal 2 2 2 2 4 2 2 16 4 7" xfId="14145" xr:uid="{00000000-0005-0000-0000-000038370000}"/>
    <cellStyle name="Normal 2 2 2 2 4 2 2 16 4 8" xfId="14146" xr:uid="{00000000-0005-0000-0000-000039370000}"/>
    <cellStyle name="Normal 2 2 2 2 4 2 2 16 4 9" xfId="14147" xr:uid="{00000000-0005-0000-0000-00003A370000}"/>
    <cellStyle name="Normal 2 2 2 2 4 2 2 16 5" xfId="14148" xr:uid="{00000000-0005-0000-0000-00003B370000}"/>
    <cellStyle name="Normal 2 2 2 2 4 2 2 16 5 10" xfId="14149" xr:uid="{00000000-0005-0000-0000-00003C370000}"/>
    <cellStyle name="Normal 2 2 2 2 4 2 2 16 5 2" xfId="14150" xr:uid="{00000000-0005-0000-0000-00003D370000}"/>
    <cellStyle name="Normal 2 2 2 2 4 2 2 16 5 3" xfId="14151" xr:uid="{00000000-0005-0000-0000-00003E370000}"/>
    <cellStyle name="Normal 2 2 2 2 4 2 2 16 5 4" xfId="14152" xr:uid="{00000000-0005-0000-0000-00003F370000}"/>
    <cellStyle name="Normal 2 2 2 2 4 2 2 16 5 5" xfId="14153" xr:uid="{00000000-0005-0000-0000-000040370000}"/>
    <cellStyle name="Normal 2 2 2 2 4 2 2 16 5 6" xfId="14154" xr:uid="{00000000-0005-0000-0000-000041370000}"/>
    <cellStyle name="Normal 2 2 2 2 4 2 2 16 5 7" xfId="14155" xr:uid="{00000000-0005-0000-0000-000042370000}"/>
    <cellStyle name="Normal 2 2 2 2 4 2 2 16 5 8" xfId="14156" xr:uid="{00000000-0005-0000-0000-000043370000}"/>
    <cellStyle name="Normal 2 2 2 2 4 2 2 16 5 9" xfId="14157" xr:uid="{00000000-0005-0000-0000-000044370000}"/>
    <cellStyle name="Normal 2 2 2 2 4 2 2 16 6" xfId="14158" xr:uid="{00000000-0005-0000-0000-000045370000}"/>
    <cellStyle name="Normal 2 2 2 2 4 2 2 16 7" xfId="14159" xr:uid="{00000000-0005-0000-0000-000046370000}"/>
    <cellStyle name="Normal 2 2 2 2 4 2 2 16 8" xfId="14160" xr:uid="{00000000-0005-0000-0000-000047370000}"/>
    <cellStyle name="Normal 2 2 2 2 4 2 2 16 9" xfId="14161" xr:uid="{00000000-0005-0000-0000-000048370000}"/>
    <cellStyle name="Normal 2 2 2 2 4 2 2 17" xfId="14162" xr:uid="{00000000-0005-0000-0000-000049370000}"/>
    <cellStyle name="Normal 2 2 2 2 4 2 2 17 10" xfId="14163" xr:uid="{00000000-0005-0000-0000-00004A370000}"/>
    <cellStyle name="Normal 2 2 2 2 4 2 2 17 11" xfId="14164" xr:uid="{00000000-0005-0000-0000-00004B370000}"/>
    <cellStyle name="Normal 2 2 2 2 4 2 2 17 12" xfId="14165" xr:uid="{00000000-0005-0000-0000-00004C370000}"/>
    <cellStyle name="Normal 2 2 2 2 4 2 2 17 13" xfId="14166" xr:uid="{00000000-0005-0000-0000-00004D370000}"/>
    <cellStyle name="Normal 2 2 2 2 4 2 2 17 14" xfId="14167" xr:uid="{00000000-0005-0000-0000-00004E370000}"/>
    <cellStyle name="Normal 2 2 2 2 4 2 2 17 2" xfId="14168" xr:uid="{00000000-0005-0000-0000-00004F370000}"/>
    <cellStyle name="Normal 2 2 2 2 4 2 2 17 2 10" xfId="14169" xr:uid="{00000000-0005-0000-0000-000050370000}"/>
    <cellStyle name="Normal 2 2 2 2 4 2 2 17 2 2" xfId="14170" xr:uid="{00000000-0005-0000-0000-000051370000}"/>
    <cellStyle name="Normal 2 2 2 2 4 2 2 17 2 3" xfId="14171" xr:uid="{00000000-0005-0000-0000-000052370000}"/>
    <cellStyle name="Normal 2 2 2 2 4 2 2 17 2 4" xfId="14172" xr:uid="{00000000-0005-0000-0000-000053370000}"/>
    <cellStyle name="Normal 2 2 2 2 4 2 2 17 2 5" xfId="14173" xr:uid="{00000000-0005-0000-0000-000054370000}"/>
    <cellStyle name="Normal 2 2 2 2 4 2 2 17 2 6" xfId="14174" xr:uid="{00000000-0005-0000-0000-000055370000}"/>
    <cellStyle name="Normal 2 2 2 2 4 2 2 17 2 7" xfId="14175" xr:uid="{00000000-0005-0000-0000-000056370000}"/>
    <cellStyle name="Normal 2 2 2 2 4 2 2 17 2 8" xfId="14176" xr:uid="{00000000-0005-0000-0000-000057370000}"/>
    <cellStyle name="Normal 2 2 2 2 4 2 2 17 2 9" xfId="14177" xr:uid="{00000000-0005-0000-0000-000058370000}"/>
    <cellStyle name="Normal 2 2 2 2 4 2 2 17 3" xfId="14178" xr:uid="{00000000-0005-0000-0000-000059370000}"/>
    <cellStyle name="Normal 2 2 2 2 4 2 2 17 3 10" xfId="14179" xr:uid="{00000000-0005-0000-0000-00005A370000}"/>
    <cellStyle name="Normal 2 2 2 2 4 2 2 17 3 2" xfId="14180" xr:uid="{00000000-0005-0000-0000-00005B370000}"/>
    <cellStyle name="Normal 2 2 2 2 4 2 2 17 3 3" xfId="14181" xr:uid="{00000000-0005-0000-0000-00005C370000}"/>
    <cellStyle name="Normal 2 2 2 2 4 2 2 17 3 4" xfId="14182" xr:uid="{00000000-0005-0000-0000-00005D370000}"/>
    <cellStyle name="Normal 2 2 2 2 4 2 2 17 3 5" xfId="14183" xr:uid="{00000000-0005-0000-0000-00005E370000}"/>
    <cellStyle name="Normal 2 2 2 2 4 2 2 17 3 6" xfId="14184" xr:uid="{00000000-0005-0000-0000-00005F370000}"/>
    <cellStyle name="Normal 2 2 2 2 4 2 2 17 3 7" xfId="14185" xr:uid="{00000000-0005-0000-0000-000060370000}"/>
    <cellStyle name="Normal 2 2 2 2 4 2 2 17 3 8" xfId="14186" xr:uid="{00000000-0005-0000-0000-000061370000}"/>
    <cellStyle name="Normal 2 2 2 2 4 2 2 17 3 9" xfId="14187" xr:uid="{00000000-0005-0000-0000-000062370000}"/>
    <cellStyle name="Normal 2 2 2 2 4 2 2 17 4" xfId="14188" xr:uid="{00000000-0005-0000-0000-000063370000}"/>
    <cellStyle name="Normal 2 2 2 2 4 2 2 17 4 10" xfId="14189" xr:uid="{00000000-0005-0000-0000-000064370000}"/>
    <cellStyle name="Normal 2 2 2 2 4 2 2 17 4 2" xfId="14190" xr:uid="{00000000-0005-0000-0000-000065370000}"/>
    <cellStyle name="Normal 2 2 2 2 4 2 2 17 4 3" xfId="14191" xr:uid="{00000000-0005-0000-0000-000066370000}"/>
    <cellStyle name="Normal 2 2 2 2 4 2 2 17 4 4" xfId="14192" xr:uid="{00000000-0005-0000-0000-000067370000}"/>
    <cellStyle name="Normal 2 2 2 2 4 2 2 17 4 5" xfId="14193" xr:uid="{00000000-0005-0000-0000-000068370000}"/>
    <cellStyle name="Normal 2 2 2 2 4 2 2 17 4 6" xfId="14194" xr:uid="{00000000-0005-0000-0000-000069370000}"/>
    <cellStyle name="Normal 2 2 2 2 4 2 2 17 4 7" xfId="14195" xr:uid="{00000000-0005-0000-0000-00006A370000}"/>
    <cellStyle name="Normal 2 2 2 2 4 2 2 17 4 8" xfId="14196" xr:uid="{00000000-0005-0000-0000-00006B370000}"/>
    <cellStyle name="Normal 2 2 2 2 4 2 2 17 4 9" xfId="14197" xr:uid="{00000000-0005-0000-0000-00006C370000}"/>
    <cellStyle name="Normal 2 2 2 2 4 2 2 17 5" xfId="14198" xr:uid="{00000000-0005-0000-0000-00006D370000}"/>
    <cellStyle name="Normal 2 2 2 2 4 2 2 17 5 10" xfId="14199" xr:uid="{00000000-0005-0000-0000-00006E370000}"/>
    <cellStyle name="Normal 2 2 2 2 4 2 2 17 5 2" xfId="14200" xr:uid="{00000000-0005-0000-0000-00006F370000}"/>
    <cellStyle name="Normal 2 2 2 2 4 2 2 17 5 3" xfId="14201" xr:uid="{00000000-0005-0000-0000-000070370000}"/>
    <cellStyle name="Normal 2 2 2 2 4 2 2 17 5 4" xfId="14202" xr:uid="{00000000-0005-0000-0000-000071370000}"/>
    <cellStyle name="Normal 2 2 2 2 4 2 2 17 5 5" xfId="14203" xr:uid="{00000000-0005-0000-0000-000072370000}"/>
    <cellStyle name="Normal 2 2 2 2 4 2 2 17 5 6" xfId="14204" xr:uid="{00000000-0005-0000-0000-000073370000}"/>
    <cellStyle name="Normal 2 2 2 2 4 2 2 17 5 7" xfId="14205" xr:uid="{00000000-0005-0000-0000-000074370000}"/>
    <cellStyle name="Normal 2 2 2 2 4 2 2 17 5 8" xfId="14206" xr:uid="{00000000-0005-0000-0000-000075370000}"/>
    <cellStyle name="Normal 2 2 2 2 4 2 2 17 5 9" xfId="14207" xr:uid="{00000000-0005-0000-0000-000076370000}"/>
    <cellStyle name="Normal 2 2 2 2 4 2 2 17 6" xfId="14208" xr:uid="{00000000-0005-0000-0000-000077370000}"/>
    <cellStyle name="Normal 2 2 2 2 4 2 2 17 7" xfId="14209" xr:uid="{00000000-0005-0000-0000-000078370000}"/>
    <cellStyle name="Normal 2 2 2 2 4 2 2 17 8" xfId="14210" xr:uid="{00000000-0005-0000-0000-000079370000}"/>
    <cellStyle name="Normal 2 2 2 2 4 2 2 17 9" xfId="14211" xr:uid="{00000000-0005-0000-0000-00007A370000}"/>
    <cellStyle name="Normal 2 2 2 2 4 2 2 18" xfId="14212" xr:uid="{00000000-0005-0000-0000-00007B370000}"/>
    <cellStyle name="Normal 2 2 2 2 4 2 2 18 10" xfId="14213" xr:uid="{00000000-0005-0000-0000-00007C370000}"/>
    <cellStyle name="Normal 2 2 2 2 4 2 2 18 11" xfId="14214" xr:uid="{00000000-0005-0000-0000-00007D370000}"/>
    <cellStyle name="Normal 2 2 2 2 4 2 2 18 12" xfId="14215" xr:uid="{00000000-0005-0000-0000-00007E370000}"/>
    <cellStyle name="Normal 2 2 2 2 4 2 2 18 13" xfId="14216" xr:uid="{00000000-0005-0000-0000-00007F370000}"/>
    <cellStyle name="Normal 2 2 2 2 4 2 2 18 14" xfId="14217" xr:uid="{00000000-0005-0000-0000-000080370000}"/>
    <cellStyle name="Normal 2 2 2 2 4 2 2 18 2" xfId="14218" xr:uid="{00000000-0005-0000-0000-000081370000}"/>
    <cellStyle name="Normal 2 2 2 2 4 2 2 18 2 10" xfId="14219" xr:uid="{00000000-0005-0000-0000-000082370000}"/>
    <cellStyle name="Normal 2 2 2 2 4 2 2 18 2 2" xfId="14220" xr:uid="{00000000-0005-0000-0000-000083370000}"/>
    <cellStyle name="Normal 2 2 2 2 4 2 2 18 2 3" xfId="14221" xr:uid="{00000000-0005-0000-0000-000084370000}"/>
    <cellStyle name="Normal 2 2 2 2 4 2 2 18 2 4" xfId="14222" xr:uid="{00000000-0005-0000-0000-000085370000}"/>
    <cellStyle name="Normal 2 2 2 2 4 2 2 18 2 5" xfId="14223" xr:uid="{00000000-0005-0000-0000-000086370000}"/>
    <cellStyle name="Normal 2 2 2 2 4 2 2 18 2 6" xfId="14224" xr:uid="{00000000-0005-0000-0000-000087370000}"/>
    <cellStyle name="Normal 2 2 2 2 4 2 2 18 2 7" xfId="14225" xr:uid="{00000000-0005-0000-0000-000088370000}"/>
    <cellStyle name="Normal 2 2 2 2 4 2 2 18 2 8" xfId="14226" xr:uid="{00000000-0005-0000-0000-000089370000}"/>
    <cellStyle name="Normal 2 2 2 2 4 2 2 18 2 9" xfId="14227" xr:uid="{00000000-0005-0000-0000-00008A370000}"/>
    <cellStyle name="Normal 2 2 2 2 4 2 2 18 3" xfId="14228" xr:uid="{00000000-0005-0000-0000-00008B370000}"/>
    <cellStyle name="Normal 2 2 2 2 4 2 2 18 3 10" xfId="14229" xr:uid="{00000000-0005-0000-0000-00008C370000}"/>
    <cellStyle name="Normal 2 2 2 2 4 2 2 18 3 2" xfId="14230" xr:uid="{00000000-0005-0000-0000-00008D370000}"/>
    <cellStyle name="Normal 2 2 2 2 4 2 2 18 3 3" xfId="14231" xr:uid="{00000000-0005-0000-0000-00008E370000}"/>
    <cellStyle name="Normal 2 2 2 2 4 2 2 18 3 4" xfId="14232" xr:uid="{00000000-0005-0000-0000-00008F370000}"/>
    <cellStyle name="Normal 2 2 2 2 4 2 2 18 3 5" xfId="14233" xr:uid="{00000000-0005-0000-0000-000090370000}"/>
    <cellStyle name="Normal 2 2 2 2 4 2 2 18 3 6" xfId="14234" xr:uid="{00000000-0005-0000-0000-000091370000}"/>
    <cellStyle name="Normal 2 2 2 2 4 2 2 18 3 7" xfId="14235" xr:uid="{00000000-0005-0000-0000-000092370000}"/>
    <cellStyle name="Normal 2 2 2 2 4 2 2 18 3 8" xfId="14236" xr:uid="{00000000-0005-0000-0000-000093370000}"/>
    <cellStyle name="Normal 2 2 2 2 4 2 2 18 3 9" xfId="14237" xr:uid="{00000000-0005-0000-0000-000094370000}"/>
    <cellStyle name="Normal 2 2 2 2 4 2 2 18 4" xfId="14238" xr:uid="{00000000-0005-0000-0000-000095370000}"/>
    <cellStyle name="Normal 2 2 2 2 4 2 2 18 4 10" xfId="14239" xr:uid="{00000000-0005-0000-0000-000096370000}"/>
    <cellStyle name="Normal 2 2 2 2 4 2 2 18 4 2" xfId="14240" xr:uid="{00000000-0005-0000-0000-000097370000}"/>
    <cellStyle name="Normal 2 2 2 2 4 2 2 18 4 3" xfId="14241" xr:uid="{00000000-0005-0000-0000-000098370000}"/>
    <cellStyle name="Normal 2 2 2 2 4 2 2 18 4 4" xfId="14242" xr:uid="{00000000-0005-0000-0000-000099370000}"/>
    <cellStyle name="Normal 2 2 2 2 4 2 2 18 4 5" xfId="14243" xr:uid="{00000000-0005-0000-0000-00009A370000}"/>
    <cellStyle name="Normal 2 2 2 2 4 2 2 18 4 6" xfId="14244" xr:uid="{00000000-0005-0000-0000-00009B370000}"/>
    <cellStyle name="Normal 2 2 2 2 4 2 2 18 4 7" xfId="14245" xr:uid="{00000000-0005-0000-0000-00009C370000}"/>
    <cellStyle name="Normal 2 2 2 2 4 2 2 18 4 8" xfId="14246" xr:uid="{00000000-0005-0000-0000-00009D370000}"/>
    <cellStyle name="Normal 2 2 2 2 4 2 2 18 4 9" xfId="14247" xr:uid="{00000000-0005-0000-0000-00009E370000}"/>
    <cellStyle name="Normal 2 2 2 2 4 2 2 18 5" xfId="14248" xr:uid="{00000000-0005-0000-0000-00009F370000}"/>
    <cellStyle name="Normal 2 2 2 2 4 2 2 18 5 10" xfId="14249" xr:uid="{00000000-0005-0000-0000-0000A0370000}"/>
    <cellStyle name="Normal 2 2 2 2 4 2 2 18 5 2" xfId="14250" xr:uid="{00000000-0005-0000-0000-0000A1370000}"/>
    <cellStyle name="Normal 2 2 2 2 4 2 2 18 5 3" xfId="14251" xr:uid="{00000000-0005-0000-0000-0000A2370000}"/>
    <cellStyle name="Normal 2 2 2 2 4 2 2 18 5 4" xfId="14252" xr:uid="{00000000-0005-0000-0000-0000A3370000}"/>
    <cellStyle name="Normal 2 2 2 2 4 2 2 18 5 5" xfId="14253" xr:uid="{00000000-0005-0000-0000-0000A4370000}"/>
    <cellStyle name="Normal 2 2 2 2 4 2 2 18 5 6" xfId="14254" xr:uid="{00000000-0005-0000-0000-0000A5370000}"/>
    <cellStyle name="Normal 2 2 2 2 4 2 2 18 5 7" xfId="14255" xr:uid="{00000000-0005-0000-0000-0000A6370000}"/>
    <cellStyle name="Normal 2 2 2 2 4 2 2 18 5 8" xfId="14256" xr:uid="{00000000-0005-0000-0000-0000A7370000}"/>
    <cellStyle name="Normal 2 2 2 2 4 2 2 18 5 9" xfId="14257" xr:uid="{00000000-0005-0000-0000-0000A8370000}"/>
    <cellStyle name="Normal 2 2 2 2 4 2 2 18 6" xfId="14258" xr:uid="{00000000-0005-0000-0000-0000A9370000}"/>
    <cellStyle name="Normal 2 2 2 2 4 2 2 18 7" xfId="14259" xr:uid="{00000000-0005-0000-0000-0000AA370000}"/>
    <cellStyle name="Normal 2 2 2 2 4 2 2 18 8" xfId="14260" xr:uid="{00000000-0005-0000-0000-0000AB370000}"/>
    <cellStyle name="Normal 2 2 2 2 4 2 2 18 9" xfId="14261" xr:uid="{00000000-0005-0000-0000-0000AC370000}"/>
    <cellStyle name="Normal 2 2 2 2 4 2 2 19" xfId="14262" xr:uid="{00000000-0005-0000-0000-0000AD370000}"/>
    <cellStyle name="Normal 2 2 2 2 4 2 2 19 10" xfId="14263" xr:uid="{00000000-0005-0000-0000-0000AE370000}"/>
    <cellStyle name="Normal 2 2 2 2 4 2 2 19 11" xfId="14264" xr:uid="{00000000-0005-0000-0000-0000AF370000}"/>
    <cellStyle name="Normal 2 2 2 2 4 2 2 19 12" xfId="14265" xr:uid="{00000000-0005-0000-0000-0000B0370000}"/>
    <cellStyle name="Normal 2 2 2 2 4 2 2 19 13" xfId="14266" xr:uid="{00000000-0005-0000-0000-0000B1370000}"/>
    <cellStyle name="Normal 2 2 2 2 4 2 2 19 14" xfId="14267" xr:uid="{00000000-0005-0000-0000-0000B2370000}"/>
    <cellStyle name="Normal 2 2 2 2 4 2 2 19 2" xfId="14268" xr:uid="{00000000-0005-0000-0000-0000B3370000}"/>
    <cellStyle name="Normal 2 2 2 2 4 2 2 19 2 10" xfId="14269" xr:uid="{00000000-0005-0000-0000-0000B4370000}"/>
    <cellStyle name="Normal 2 2 2 2 4 2 2 19 2 2" xfId="14270" xr:uid="{00000000-0005-0000-0000-0000B5370000}"/>
    <cellStyle name="Normal 2 2 2 2 4 2 2 19 2 3" xfId="14271" xr:uid="{00000000-0005-0000-0000-0000B6370000}"/>
    <cellStyle name="Normal 2 2 2 2 4 2 2 19 2 4" xfId="14272" xr:uid="{00000000-0005-0000-0000-0000B7370000}"/>
    <cellStyle name="Normal 2 2 2 2 4 2 2 19 2 5" xfId="14273" xr:uid="{00000000-0005-0000-0000-0000B8370000}"/>
    <cellStyle name="Normal 2 2 2 2 4 2 2 19 2 6" xfId="14274" xr:uid="{00000000-0005-0000-0000-0000B9370000}"/>
    <cellStyle name="Normal 2 2 2 2 4 2 2 19 2 7" xfId="14275" xr:uid="{00000000-0005-0000-0000-0000BA370000}"/>
    <cellStyle name="Normal 2 2 2 2 4 2 2 19 2 8" xfId="14276" xr:uid="{00000000-0005-0000-0000-0000BB370000}"/>
    <cellStyle name="Normal 2 2 2 2 4 2 2 19 2 9" xfId="14277" xr:uid="{00000000-0005-0000-0000-0000BC370000}"/>
    <cellStyle name="Normal 2 2 2 2 4 2 2 19 3" xfId="14278" xr:uid="{00000000-0005-0000-0000-0000BD370000}"/>
    <cellStyle name="Normal 2 2 2 2 4 2 2 19 3 10" xfId="14279" xr:uid="{00000000-0005-0000-0000-0000BE370000}"/>
    <cellStyle name="Normal 2 2 2 2 4 2 2 19 3 2" xfId="14280" xr:uid="{00000000-0005-0000-0000-0000BF370000}"/>
    <cellStyle name="Normal 2 2 2 2 4 2 2 19 3 3" xfId="14281" xr:uid="{00000000-0005-0000-0000-0000C0370000}"/>
    <cellStyle name="Normal 2 2 2 2 4 2 2 19 3 4" xfId="14282" xr:uid="{00000000-0005-0000-0000-0000C1370000}"/>
    <cellStyle name="Normal 2 2 2 2 4 2 2 19 3 5" xfId="14283" xr:uid="{00000000-0005-0000-0000-0000C2370000}"/>
    <cellStyle name="Normal 2 2 2 2 4 2 2 19 3 6" xfId="14284" xr:uid="{00000000-0005-0000-0000-0000C3370000}"/>
    <cellStyle name="Normal 2 2 2 2 4 2 2 19 3 7" xfId="14285" xr:uid="{00000000-0005-0000-0000-0000C4370000}"/>
    <cellStyle name="Normal 2 2 2 2 4 2 2 19 3 8" xfId="14286" xr:uid="{00000000-0005-0000-0000-0000C5370000}"/>
    <cellStyle name="Normal 2 2 2 2 4 2 2 19 3 9" xfId="14287" xr:uid="{00000000-0005-0000-0000-0000C6370000}"/>
    <cellStyle name="Normal 2 2 2 2 4 2 2 19 4" xfId="14288" xr:uid="{00000000-0005-0000-0000-0000C7370000}"/>
    <cellStyle name="Normal 2 2 2 2 4 2 2 19 4 10" xfId="14289" xr:uid="{00000000-0005-0000-0000-0000C8370000}"/>
    <cellStyle name="Normal 2 2 2 2 4 2 2 19 4 2" xfId="14290" xr:uid="{00000000-0005-0000-0000-0000C9370000}"/>
    <cellStyle name="Normal 2 2 2 2 4 2 2 19 4 3" xfId="14291" xr:uid="{00000000-0005-0000-0000-0000CA370000}"/>
    <cellStyle name="Normal 2 2 2 2 4 2 2 19 4 4" xfId="14292" xr:uid="{00000000-0005-0000-0000-0000CB370000}"/>
    <cellStyle name="Normal 2 2 2 2 4 2 2 19 4 5" xfId="14293" xr:uid="{00000000-0005-0000-0000-0000CC370000}"/>
    <cellStyle name="Normal 2 2 2 2 4 2 2 19 4 6" xfId="14294" xr:uid="{00000000-0005-0000-0000-0000CD370000}"/>
    <cellStyle name="Normal 2 2 2 2 4 2 2 19 4 7" xfId="14295" xr:uid="{00000000-0005-0000-0000-0000CE370000}"/>
    <cellStyle name="Normal 2 2 2 2 4 2 2 19 4 8" xfId="14296" xr:uid="{00000000-0005-0000-0000-0000CF370000}"/>
    <cellStyle name="Normal 2 2 2 2 4 2 2 19 4 9" xfId="14297" xr:uid="{00000000-0005-0000-0000-0000D0370000}"/>
    <cellStyle name="Normal 2 2 2 2 4 2 2 19 5" xfId="14298" xr:uid="{00000000-0005-0000-0000-0000D1370000}"/>
    <cellStyle name="Normal 2 2 2 2 4 2 2 19 5 10" xfId="14299" xr:uid="{00000000-0005-0000-0000-0000D2370000}"/>
    <cellStyle name="Normal 2 2 2 2 4 2 2 19 5 2" xfId="14300" xr:uid="{00000000-0005-0000-0000-0000D3370000}"/>
    <cellStyle name="Normal 2 2 2 2 4 2 2 19 5 3" xfId="14301" xr:uid="{00000000-0005-0000-0000-0000D4370000}"/>
    <cellStyle name="Normal 2 2 2 2 4 2 2 19 5 4" xfId="14302" xr:uid="{00000000-0005-0000-0000-0000D5370000}"/>
    <cellStyle name="Normal 2 2 2 2 4 2 2 19 5 5" xfId="14303" xr:uid="{00000000-0005-0000-0000-0000D6370000}"/>
    <cellStyle name="Normal 2 2 2 2 4 2 2 19 5 6" xfId="14304" xr:uid="{00000000-0005-0000-0000-0000D7370000}"/>
    <cellStyle name="Normal 2 2 2 2 4 2 2 19 5 7" xfId="14305" xr:uid="{00000000-0005-0000-0000-0000D8370000}"/>
    <cellStyle name="Normal 2 2 2 2 4 2 2 19 5 8" xfId="14306" xr:uid="{00000000-0005-0000-0000-0000D9370000}"/>
    <cellStyle name="Normal 2 2 2 2 4 2 2 19 5 9" xfId="14307" xr:uid="{00000000-0005-0000-0000-0000DA370000}"/>
    <cellStyle name="Normal 2 2 2 2 4 2 2 19 6" xfId="14308" xr:uid="{00000000-0005-0000-0000-0000DB370000}"/>
    <cellStyle name="Normal 2 2 2 2 4 2 2 19 7" xfId="14309" xr:uid="{00000000-0005-0000-0000-0000DC370000}"/>
    <cellStyle name="Normal 2 2 2 2 4 2 2 19 8" xfId="14310" xr:uid="{00000000-0005-0000-0000-0000DD370000}"/>
    <cellStyle name="Normal 2 2 2 2 4 2 2 19 9" xfId="14311" xr:uid="{00000000-0005-0000-0000-0000DE370000}"/>
    <cellStyle name="Normal 2 2 2 2 4 2 2 2" xfId="14312" xr:uid="{00000000-0005-0000-0000-0000DF370000}"/>
    <cellStyle name="Normal 2 2 2 2 4 2 2 2 10" xfId="14313" xr:uid="{00000000-0005-0000-0000-0000E0370000}"/>
    <cellStyle name="Normal 2 2 2 2 4 2 2 2 11" xfId="14314" xr:uid="{00000000-0005-0000-0000-0000E1370000}"/>
    <cellStyle name="Normal 2 2 2 2 4 2 2 2 12" xfId="14315" xr:uid="{00000000-0005-0000-0000-0000E2370000}"/>
    <cellStyle name="Normal 2 2 2 2 4 2 2 2 13" xfId="14316" xr:uid="{00000000-0005-0000-0000-0000E3370000}"/>
    <cellStyle name="Normal 2 2 2 2 4 2 2 2 14" xfId="14317" xr:uid="{00000000-0005-0000-0000-0000E4370000}"/>
    <cellStyle name="Normal 2 2 2 2 4 2 2 2 2" xfId="14318" xr:uid="{00000000-0005-0000-0000-0000E5370000}"/>
    <cellStyle name="Normal 2 2 2 2 4 2 2 2 2 10" xfId="14319" xr:uid="{00000000-0005-0000-0000-0000E6370000}"/>
    <cellStyle name="Normal 2 2 2 2 4 2 2 2 2 2" xfId="14320" xr:uid="{00000000-0005-0000-0000-0000E7370000}"/>
    <cellStyle name="Normal 2 2 2 2 4 2 2 2 2 3" xfId="14321" xr:uid="{00000000-0005-0000-0000-0000E8370000}"/>
    <cellStyle name="Normal 2 2 2 2 4 2 2 2 2 4" xfId="14322" xr:uid="{00000000-0005-0000-0000-0000E9370000}"/>
    <cellStyle name="Normal 2 2 2 2 4 2 2 2 2 5" xfId="14323" xr:uid="{00000000-0005-0000-0000-0000EA370000}"/>
    <cellStyle name="Normal 2 2 2 2 4 2 2 2 2 6" xfId="14324" xr:uid="{00000000-0005-0000-0000-0000EB370000}"/>
    <cellStyle name="Normal 2 2 2 2 4 2 2 2 2 7" xfId="14325" xr:uid="{00000000-0005-0000-0000-0000EC370000}"/>
    <cellStyle name="Normal 2 2 2 2 4 2 2 2 2 8" xfId="14326" xr:uid="{00000000-0005-0000-0000-0000ED370000}"/>
    <cellStyle name="Normal 2 2 2 2 4 2 2 2 2 9" xfId="14327" xr:uid="{00000000-0005-0000-0000-0000EE370000}"/>
    <cellStyle name="Normal 2 2 2 2 4 2 2 2 3" xfId="14328" xr:uid="{00000000-0005-0000-0000-0000EF370000}"/>
    <cellStyle name="Normal 2 2 2 2 4 2 2 2 3 10" xfId="14329" xr:uid="{00000000-0005-0000-0000-0000F0370000}"/>
    <cellStyle name="Normal 2 2 2 2 4 2 2 2 3 2" xfId="14330" xr:uid="{00000000-0005-0000-0000-0000F1370000}"/>
    <cellStyle name="Normal 2 2 2 2 4 2 2 2 3 3" xfId="14331" xr:uid="{00000000-0005-0000-0000-0000F2370000}"/>
    <cellStyle name="Normal 2 2 2 2 4 2 2 2 3 4" xfId="14332" xr:uid="{00000000-0005-0000-0000-0000F3370000}"/>
    <cellStyle name="Normal 2 2 2 2 4 2 2 2 3 5" xfId="14333" xr:uid="{00000000-0005-0000-0000-0000F4370000}"/>
    <cellStyle name="Normal 2 2 2 2 4 2 2 2 3 6" xfId="14334" xr:uid="{00000000-0005-0000-0000-0000F5370000}"/>
    <cellStyle name="Normal 2 2 2 2 4 2 2 2 3 7" xfId="14335" xr:uid="{00000000-0005-0000-0000-0000F6370000}"/>
    <cellStyle name="Normal 2 2 2 2 4 2 2 2 3 8" xfId="14336" xr:uid="{00000000-0005-0000-0000-0000F7370000}"/>
    <cellStyle name="Normal 2 2 2 2 4 2 2 2 3 9" xfId="14337" xr:uid="{00000000-0005-0000-0000-0000F8370000}"/>
    <cellStyle name="Normal 2 2 2 2 4 2 2 2 4" xfId="14338" xr:uid="{00000000-0005-0000-0000-0000F9370000}"/>
    <cellStyle name="Normal 2 2 2 2 4 2 2 2 4 10" xfId="14339" xr:uid="{00000000-0005-0000-0000-0000FA370000}"/>
    <cellStyle name="Normal 2 2 2 2 4 2 2 2 4 2" xfId="14340" xr:uid="{00000000-0005-0000-0000-0000FB370000}"/>
    <cellStyle name="Normal 2 2 2 2 4 2 2 2 4 3" xfId="14341" xr:uid="{00000000-0005-0000-0000-0000FC370000}"/>
    <cellStyle name="Normal 2 2 2 2 4 2 2 2 4 4" xfId="14342" xr:uid="{00000000-0005-0000-0000-0000FD370000}"/>
    <cellStyle name="Normal 2 2 2 2 4 2 2 2 4 5" xfId="14343" xr:uid="{00000000-0005-0000-0000-0000FE370000}"/>
    <cellStyle name="Normal 2 2 2 2 4 2 2 2 4 6" xfId="14344" xr:uid="{00000000-0005-0000-0000-0000FF370000}"/>
    <cellStyle name="Normal 2 2 2 2 4 2 2 2 4 7" xfId="14345" xr:uid="{00000000-0005-0000-0000-000000380000}"/>
    <cellStyle name="Normal 2 2 2 2 4 2 2 2 4 8" xfId="14346" xr:uid="{00000000-0005-0000-0000-000001380000}"/>
    <cellStyle name="Normal 2 2 2 2 4 2 2 2 4 9" xfId="14347" xr:uid="{00000000-0005-0000-0000-000002380000}"/>
    <cellStyle name="Normal 2 2 2 2 4 2 2 2 5" xfId="14348" xr:uid="{00000000-0005-0000-0000-000003380000}"/>
    <cellStyle name="Normal 2 2 2 2 4 2 2 2 5 10" xfId="14349" xr:uid="{00000000-0005-0000-0000-000004380000}"/>
    <cellStyle name="Normal 2 2 2 2 4 2 2 2 5 2" xfId="14350" xr:uid="{00000000-0005-0000-0000-000005380000}"/>
    <cellStyle name="Normal 2 2 2 2 4 2 2 2 5 3" xfId="14351" xr:uid="{00000000-0005-0000-0000-000006380000}"/>
    <cellStyle name="Normal 2 2 2 2 4 2 2 2 5 4" xfId="14352" xr:uid="{00000000-0005-0000-0000-000007380000}"/>
    <cellStyle name="Normal 2 2 2 2 4 2 2 2 5 5" xfId="14353" xr:uid="{00000000-0005-0000-0000-000008380000}"/>
    <cellStyle name="Normal 2 2 2 2 4 2 2 2 5 6" xfId="14354" xr:uid="{00000000-0005-0000-0000-000009380000}"/>
    <cellStyle name="Normal 2 2 2 2 4 2 2 2 5 7" xfId="14355" xr:uid="{00000000-0005-0000-0000-00000A380000}"/>
    <cellStyle name="Normal 2 2 2 2 4 2 2 2 5 8" xfId="14356" xr:uid="{00000000-0005-0000-0000-00000B380000}"/>
    <cellStyle name="Normal 2 2 2 2 4 2 2 2 5 9" xfId="14357" xr:uid="{00000000-0005-0000-0000-00000C380000}"/>
    <cellStyle name="Normal 2 2 2 2 4 2 2 2 6" xfId="14358" xr:uid="{00000000-0005-0000-0000-00000D380000}"/>
    <cellStyle name="Normal 2 2 2 2 4 2 2 2 7" xfId="14359" xr:uid="{00000000-0005-0000-0000-00000E380000}"/>
    <cellStyle name="Normal 2 2 2 2 4 2 2 2 8" xfId="14360" xr:uid="{00000000-0005-0000-0000-00000F380000}"/>
    <cellStyle name="Normal 2 2 2 2 4 2 2 2 9" xfId="14361" xr:uid="{00000000-0005-0000-0000-000010380000}"/>
    <cellStyle name="Normal 2 2 2 2 4 2 2 20" xfId="14362" xr:uid="{00000000-0005-0000-0000-000011380000}"/>
    <cellStyle name="Normal 2 2 2 2 4 2 2 20 10" xfId="14363" xr:uid="{00000000-0005-0000-0000-000012380000}"/>
    <cellStyle name="Normal 2 2 2 2 4 2 2 20 11" xfId="14364" xr:uid="{00000000-0005-0000-0000-000013380000}"/>
    <cellStyle name="Normal 2 2 2 2 4 2 2 20 12" xfId="14365" xr:uid="{00000000-0005-0000-0000-000014380000}"/>
    <cellStyle name="Normal 2 2 2 2 4 2 2 20 13" xfId="14366" xr:uid="{00000000-0005-0000-0000-000015380000}"/>
    <cellStyle name="Normal 2 2 2 2 4 2 2 20 14" xfId="14367" xr:uid="{00000000-0005-0000-0000-000016380000}"/>
    <cellStyle name="Normal 2 2 2 2 4 2 2 20 2" xfId="14368" xr:uid="{00000000-0005-0000-0000-000017380000}"/>
    <cellStyle name="Normal 2 2 2 2 4 2 2 20 2 10" xfId="14369" xr:uid="{00000000-0005-0000-0000-000018380000}"/>
    <cellStyle name="Normal 2 2 2 2 4 2 2 20 2 2" xfId="14370" xr:uid="{00000000-0005-0000-0000-000019380000}"/>
    <cellStyle name="Normal 2 2 2 2 4 2 2 20 2 3" xfId="14371" xr:uid="{00000000-0005-0000-0000-00001A380000}"/>
    <cellStyle name="Normal 2 2 2 2 4 2 2 20 2 4" xfId="14372" xr:uid="{00000000-0005-0000-0000-00001B380000}"/>
    <cellStyle name="Normal 2 2 2 2 4 2 2 20 2 5" xfId="14373" xr:uid="{00000000-0005-0000-0000-00001C380000}"/>
    <cellStyle name="Normal 2 2 2 2 4 2 2 20 2 6" xfId="14374" xr:uid="{00000000-0005-0000-0000-00001D380000}"/>
    <cellStyle name="Normal 2 2 2 2 4 2 2 20 2 7" xfId="14375" xr:uid="{00000000-0005-0000-0000-00001E380000}"/>
    <cellStyle name="Normal 2 2 2 2 4 2 2 20 2 8" xfId="14376" xr:uid="{00000000-0005-0000-0000-00001F380000}"/>
    <cellStyle name="Normal 2 2 2 2 4 2 2 20 2 9" xfId="14377" xr:uid="{00000000-0005-0000-0000-000020380000}"/>
    <cellStyle name="Normal 2 2 2 2 4 2 2 20 3" xfId="14378" xr:uid="{00000000-0005-0000-0000-000021380000}"/>
    <cellStyle name="Normal 2 2 2 2 4 2 2 20 3 10" xfId="14379" xr:uid="{00000000-0005-0000-0000-000022380000}"/>
    <cellStyle name="Normal 2 2 2 2 4 2 2 20 3 2" xfId="14380" xr:uid="{00000000-0005-0000-0000-000023380000}"/>
    <cellStyle name="Normal 2 2 2 2 4 2 2 20 3 3" xfId="14381" xr:uid="{00000000-0005-0000-0000-000024380000}"/>
    <cellStyle name="Normal 2 2 2 2 4 2 2 20 3 4" xfId="14382" xr:uid="{00000000-0005-0000-0000-000025380000}"/>
    <cellStyle name="Normal 2 2 2 2 4 2 2 20 3 5" xfId="14383" xr:uid="{00000000-0005-0000-0000-000026380000}"/>
    <cellStyle name="Normal 2 2 2 2 4 2 2 20 3 6" xfId="14384" xr:uid="{00000000-0005-0000-0000-000027380000}"/>
    <cellStyle name="Normal 2 2 2 2 4 2 2 20 3 7" xfId="14385" xr:uid="{00000000-0005-0000-0000-000028380000}"/>
    <cellStyle name="Normal 2 2 2 2 4 2 2 20 3 8" xfId="14386" xr:uid="{00000000-0005-0000-0000-000029380000}"/>
    <cellStyle name="Normal 2 2 2 2 4 2 2 20 3 9" xfId="14387" xr:uid="{00000000-0005-0000-0000-00002A380000}"/>
    <cellStyle name="Normal 2 2 2 2 4 2 2 20 4" xfId="14388" xr:uid="{00000000-0005-0000-0000-00002B380000}"/>
    <cellStyle name="Normal 2 2 2 2 4 2 2 20 4 10" xfId="14389" xr:uid="{00000000-0005-0000-0000-00002C380000}"/>
    <cellStyle name="Normal 2 2 2 2 4 2 2 20 4 2" xfId="14390" xr:uid="{00000000-0005-0000-0000-00002D380000}"/>
    <cellStyle name="Normal 2 2 2 2 4 2 2 20 4 3" xfId="14391" xr:uid="{00000000-0005-0000-0000-00002E380000}"/>
    <cellStyle name="Normal 2 2 2 2 4 2 2 20 4 4" xfId="14392" xr:uid="{00000000-0005-0000-0000-00002F380000}"/>
    <cellStyle name="Normal 2 2 2 2 4 2 2 20 4 5" xfId="14393" xr:uid="{00000000-0005-0000-0000-000030380000}"/>
    <cellStyle name="Normal 2 2 2 2 4 2 2 20 4 6" xfId="14394" xr:uid="{00000000-0005-0000-0000-000031380000}"/>
    <cellStyle name="Normal 2 2 2 2 4 2 2 20 4 7" xfId="14395" xr:uid="{00000000-0005-0000-0000-000032380000}"/>
    <cellStyle name="Normal 2 2 2 2 4 2 2 20 4 8" xfId="14396" xr:uid="{00000000-0005-0000-0000-000033380000}"/>
    <cellStyle name="Normal 2 2 2 2 4 2 2 20 4 9" xfId="14397" xr:uid="{00000000-0005-0000-0000-000034380000}"/>
    <cellStyle name="Normal 2 2 2 2 4 2 2 20 5" xfId="14398" xr:uid="{00000000-0005-0000-0000-000035380000}"/>
    <cellStyle name="Normal 2 2 2 2 4 2 2 20 5 10" xfId="14399" xr:uid="{00000000-0005-0000-0000-000036380000}"/>
    <cellStyle name="Normal 2 2 2 2 4 2 2 20 5 2" xfId="14400" xr:uid="{00000000-0005-0000-0000-000037380000}"/>
    <cellStyle name="Normal 2 2 2 2 4 2 2 20 5 3" xfId="14401" xr:uid="{00000000-0005-0000-0000-000038380000}"/>
    <cellStyle name="Normal 2 2 2 2 4 2 2 20 5 4" xfId="14402" xr:uid="{00000000-0005-0000-0000-000039380000}"/>
    <cellStyle name="Normal 2 2 2 2 4 2 2 20 5 5" xfId="14403" xr:uid="{00000000-0005-0000-0000-00003A380000}"/>
    <cellStyle name="Normal 2 2 2 2 4 2 2 20 5 6" xfId="14404" xr:uid="{00000000-0005-0000-0000-00003B380000}"/>
    <cellStyle name="Normal 2 2 2 2 4 2 2 20 5 7" xfId="14405" xr:uid="{00000000-0005-0000-0000-00003C380000}"/>
    <cellStyle name="Normal 2 2 2 2 4 2 2 20 5 8" xfId="14406" xr:uid="{00000000-0005-0000-0000-00003D380000}"/>
    <cellStyle name="Normal 2 2 2 2 4 2 2 20 5 9" xfId="14407" xr:uid="{00000000-0005-0000-0000-00003E380000}"/>
    <cellStyle name="Normal 2 2 2 2 4 2 2 20 6" xfId="14408" xr:uid="{00000000-0005-0000-0000-00003F380000}"/>
    <cellStyle name="Normal 2 2 2 2 4 2 2 20 7" xfId="14409" xr:uid="{00000000-0005-0000-0000-000040380000}"/>
    <cellStyle name="Normal 2 2 2 2 4 2 2 20 8" xfId="14410" xr:uid="{00000000-0005-0000-0000-000041380000}"/>
    <cellStyle name="Normal 2 2 2 2 4 2 2 20 9" xfId="14411" xr:uid="{00000000-0005-0000-0000-000042380000}"/>
    <cellStyle name="Normal 2 2 2 2 4 2 2 3" xfId="14412" xr:uid="{00000000-0005-0000-0000-000043380000}"/>
    <cellStyle name="Normal 2 2 2 2 4 2 2 3 10" xfId="14413" xr:uid="{00000000-0005-0000-0000-000044380000}"/>
    <cellStyle name="Normal 2 2 2 2 4 2 2 3 11" xfId="14414" xr:uid="{00000000-0005-0000-0000-000045380000}"/>
    <cellStyle name="Normal 2 2 2 2 4 2 2 3 12" xfId="14415" xr:uid="{00000000-0005-0000-0000-000046380000}"/>
    <cellStyle name="Normal 2 2 2 2 4 2 2 3 13" xfId="14416" xr:uid="{00000000-0005-0000-0000-000047380000}"/>
    <cellStyle name="Normal 2 2 2 2 4 2 2 3 14" xfId="14417" xr:uid="{00000000-0005-0000-0000-000048380000}"/>
    <cellStyle name="Normal 2 2 2 2 4 2 2 3 2" xfId="14418" xr:uid="{00000000-0005-0000-0000-000049380000}"/>
    <cellStyle name="Normal 2 2 2 2 4 2 2 3 2 10" xfId="14419" xr:uid="{00000000-0005-0000-0000-00004A380000}"/>
    <cellStyle name="Normal 2 2 2 2 4 2 2 3 2 2" xfId="14420" xr:uid="{00000000-0005-0000-0000-00004B380000}"/>
    <cellStyle name="Normal 2 2 2 2 4 2 2 3 2 3" xfId="14421" xr:uid="{00000000-0005-0000-0000-00004C380000}"/>
    <cellStyle name="Normal 2 2 2 2 4 2 2 3 2 4" xfId="14422" xr:uid="{00000000-0005-0000-0000-00004D380000}"/>
    <cellStyle name="Normal 2 2 2 2 4 2 2 3 2 5" xfId="14423" xr:uid="{00000000-0005-0000-0000-00004E380000}"/>
    <cellStyle name="Normal 2 2 2 2 4 2 2 3 2 6" xfId="14424" xr:uid="{00000000-0005-0000-0000-00004F380000}"/>
    <cellStyle name="Normal 2 2 2 2 4 2 2 3 2 7" xfId="14425" xr:uid="{00000000-0005-0000-0000-000050380000}"/>
    <cellStyle name="Normal 2 2 2 2 4 2 2 3 2 8" xfId="14426" xr:uid="{00000000-0005-0000-0000-000051380000}"/>
    <cellStyle name="Normal 2 2 2 2 4 2 2 3 2 9" xfId="14427" xr:uid="{00000000-0005-0000-0000-000052380000}"/>
    <cellStyle name="Normal 2 2 2 2 4 2 2 3 3" xfId="14428" xr:uid="{00000000-0005-0000-0000-000053380000}"/>
    <cellStyle name="Normal 2 2 2 2 4 2 2 3 3 10" xfId="14429" xr:uid="{00000000-0005-0000-0000-000054380000}"/>
    <cellStyle name="Normal 2 2 2 2 4 2 2 3 3 2" xfId="14430" xr:uid="{00000000-0005-0000-0000-000055380000}"/>
    <cellStyle name="Normal 2 2 2 2 4 2 2 3 3 3" xfId="14431" xr:uid="{00000000-0005-0000-0000-000056380000}"/>
    <cellStyle name="Normal 2 2 2 2 4 2 2 3 3 4" xfId="14432" xr:uid="{00000000-0005-0000-0000-000057380000}"/>
    <cellStyle name="Normal 2 2 2 2 4 2 2 3 3 5" xfId="14433" xr:uid="{00000000-0005-0000-0000-000058380000}"/>
    <cellStyle name="Normal 2 2 2 2 4 2 2 3 3 6" xfId="14434" xr:uid="{00000000-0005-0000-0000-000059380000}"/>
    <cellStyle name="Normal 2 2 2 2 4 2 2 3 3 7" xfId="14435" xr:uid="{00000000-0005-0000-0000-00005A380000}"/>
    <cellStyle name="Normal 2 2 2 2 4 2 2 3 3 8" xfId="14436" xr:uid="{00000000-0005-0000-0000-00005B380000}"/>
    <cellStyle name="Normal 2 2 2 2 4 2 2 3 3 9" xfId="14437" xr:uid="{00000000-0005-0000-0000-00005C380000}"/>
    <cellStyle name="Normal 2 2 2 2 4 2 2 3 4" xfId="14438" xr:uid="{00000000-0005-0000-0000-00005D380000}"/>
    <cellStyle name="Normal 2 2 2 2 4 2 2 3 4 10" xfId="14439" xr:uid="{00000000-0005-0000-0000-00005E380000}"/>
    <cellStyle name="Normal 2 2 2 2 4 2 2 3 4 2" xfId="14440" xr:uid="{00000000-0005-0000-0000-00005F380000}"/>
    <cellStyle name="Normal 2 2 2 2 4 2 2 3 4 3" xfId="14441" xr:uid="{00000000-0005-0000-0000-000060380000}"/>
    <cellStyle name="Normal 2 2 2 2 4 2 2 3 4 4" xfId="14442" xr:uid="{00000000-0005-0000-0000-000061380000}"/>
    <cellStyle name="Normal 2 2 2 2 4 2 2 3 4 5" xfId="14443" xr:uid="{00000000-0005-0000-0000-000062380000}"/>
    <cellStyle name="Normal 2 2 2 2 4 2 2 3 4 6" xfId="14444" xr:uid="{00000000-0005-0000-0000-000063380000}"/>
    <cellStyle name="Normal 2 2 2 2 4 2 2 3 4 7" xfId="14445" xr:uid="{00000000-0005-0000-0000-000064380000}"/>
    <cellStyle name="Normal 2 2 2 2 4 2 2 3 4 8" xfId="14446" xr:uid="{00000000-0005-0000-0000-000065380000}"/>
    <cellStyle name="Normal 2 2 2 2 4 2 2 3 4 9" xfId="14447" xr:uid="{00000000-0005-0000-0000-000066380000}"/>
    <cellStyle name="Normal 2 2 2 2 4 2 2 3 5" xfId="14448" xr:uid="{00000000-0005-0000-0000-000067380000}"/>
    <cellStyle name="Normal 2 2 2 2 4 2 2 3 5 10" xfId="14449" xr:uid="{00000000-0005-0000-0000-000068380000}"/>
    <cellStyle name="Normal 2 2 2 2 4 2 2 3 5 2" xfId="14450" xr:uid="{00000000-0005-0000-0000-000069380000}"/>
    <cellStyle name="Normal 2 2 2 2 4 2 2 3 5 3" xfId="14451" xr:uid="{00000000-0005-0000-0000-00006A380000}"/>
    <cellStyle name="Normal 2 2 2 2 4 2 2 3 5 4" xfId="14452" xr:uid="{00000000-0005-0000-0000-00006B380000}"/>
    <cellStyle name="Normal 2 2 2 2 4 2 2 3 5 5" xfId="14453" xr:uid="{00000000-0005-0000-0000-00006C380000}"/>
    <cellStyle name="Normal 2 2 2 2 4 2 2 3 5 6" xfId="14454" xr:uid="{00000000-0005-0000-0000-00006D380000}"/>
    <cellStyle name="Normal 2 2 2 2 4 2 2 3 5 7" xfId="14455" xr:uid="{00000000-0005-0000-0000-00006E380000}"/>
    <cellStyle name="Normal 2 2 2 2 4 2 2 3 5 8" xfId="14456" xr:uid="{00000000-0005-0000-0000-00006F380000}"/>
    <cellStyle name="Normal 2 2 2 2 4 2 2 3 5 9" xfId="14457" xr:uid="{00000000-0005-0000-0000-000070380000}"/>
    <cellStyle name="Normal 2 2 2 2 4 2 2 3 6" xfId="14458" xr:uid="{00000000-0005-0000-0000-000071380000}"/>
    <cellStyle name="Normal 2 2 2 2 4 2 2 3 7" xfId="14459" xr:uid="{00000000-0005-0000-0000-000072380000}"/>
    <cellStyle name="Normal 2 2 2 2 4 2 2 3 8" xfId="14460" xr:uid="{00000000-0005-0000-0000-000073380000}"/>
    <cellStyle name="Normal 2 2 2 2 4 2 2 3 9" xfId="14461" xr:uid="{00000000-0005-0000-0000-000074380000}"/>
    <cellStyle name="Normal 2 2 2 2 4 2 2 4" xfId="14462" xr:uid="{00000000-0005-0000-0000-000075380000}"/>
    <cellStyle name="Normal 2 2 2 2 4 2 2 4 10" xfId="14463" xr:uid="{00000000-0005-0000-0000-000076380000}"/>
    <cellStyle name="Normal 2 2 2 2 4 2 2 4 11" xfId="14464" xr:uid="{00000000-0005-0000-0000-000077380000}"/>
    <cellStyle name="Normal 2 2 2 2 4 2 2 4 12" xfId="14465" xr:uid="{00000000-0005-0000-0000-000078380000}"/>
    <cellStyle name="Normal 2 2 2 2 4 2 2 4 13" xfId="14466" xr:uid="{00000000-0005-0000-0000-000079380000}"/>
    <cellStyle name="Normal 2 2 2 2 4 2 2 4 14" xfId="14467" xr:uid="{00000000-0005-0000-0000-00007A380000}"/>
    <cellStyle name="Normal 2 2 2 2 4 2 2 4 2" xfId="14468" xr:uid="{00000000-0005-0000-0000-00007B380000}"/>
    <cellStyle name="Normal 2 2 2 2 4 2 2 4 2 10" xfId="14469" xr:uid="{00000000-0005-0000-0000-00007C380000}"/>
    <cellStyle name="Normal 2 2 2 2 4 2 2 4 2 2" xfId="14470" xr:uid="{00000000-0005-0000-0000-00007D380000}"/>
    <cellStyle name="Normal 2 2 2 2 4 2 2 4 2 3" xfId="14471" xr:uid="{00000000-0005-0000-0000-00007E380000}"/>
    <cellStyle name="Normal 2 2 2 2 4 2 2 4 2 4" xfId="14472" xr:uid="{00000000-0005-0000-0000-00007F380000}"/>
    <cellStyle name="Normal 2 2 2 2 4 2 2 4 2 5" xfId="14473" xr:uid="{00000000-0005-0000-0000-000080380000}"/>
    <cellStyle name="Normal 2 2 2 2 4 2 2 4 2 6" xfId="14474" xr:uid="{00000000-0005-0000-0000-000081380000}"/>
    <cellStyle name="Normal 2 2 2 2 4 2 2 4 2 7" xfId="14475" xr:uid="{00000000-0005-0000-0000-000082380000}"/>
    <cellStyle name="Normal 2 2 2 2 4 2 2 4 2 8" xfId="14476" xr:uid="{00000000-0005-0000-0000-000083380000}"/>
    <cellStyle name="Normal 2 2 2 2 4 2 2 4 2 9" xfId="14477" xr:uid="{00000000-0005-0000-0000-000084380000}"/>
    <cellStyle name="Normal 2 2 2 2 4 2 2 4 3" xfId="14478" xr:uid="{00000000-0005-0000-0000-000085380000}"/>
    <cellStyle name="Normal 2 2 2 2 4 2 2 4 3 10" xfId="14479" xr:uid="{00000000-0005-0000-0000-000086380000}"/>
    <cellStyle name="Normal 2 2 2 2 4 2 2 4 3 2" xfId="14480" xr:uid="{00000000-0005-0000-0000-000087380000}"/>
    <cellStyle name="Normal 2 2 2 2 4 2 2 4 3 3" xfId="14481" xr:uid="{00000000-0005-0000-0000-000088380000}"/>
    <cellStyle name="Normal 2 2 2 2 4 2 2 4 3 4" xfId="14482" xr:uid="{00000000-0005-0000-0000-000089380000}"/>
    <cellStyle name="Normal 2 2 2 2 4 2 2 4 3 5" xfId="14483" xr:uid="{00000000-0005-0000-0000-00008A380000}"/>
    <cellStyle name="Normal 2 2 2 2 4 2 2 4 3 6" xfId="14484" xr:uid="{00000000-0005-0000-0000-00008B380000}"/>
    <cellStyle name="Normal 2 2 2 2 4 2 2 4 3 7" xfId="14485" xr:uid="{00000000-0005-0000-0000-00008C380000}"/>
    <cellStyle name="Normal 2 2 2 2 4 2 2 4 3 8" xfId="14486" xr:uid="{00000000-0005-0000-0000-00008D380000}"/>
    <cellStyle name="Normal 2 2 2 2 4 2 2 4 3 9" xfId="14487" xr:uid="{00000000-0005-0000-0000-00008E380000}"/>
    <cellStyle name="Normal 2 2 2 2 4 2 2 4 4" xfId="14488" xr:uid="{00000000-0005-0000-0000-00008F380000}"/>
    <cellStyle name="Normal 2 2 2 2 4 2 2 4 4 10" xfId="14489" xr:uid="{00000000-0005-0000-0000-000090380000}"/>
    <cellStyle name="Normal 2 2 2 2 4 2 2 4 4 2" xfId="14490" xr:uid="{00000000-0005-0000-0000-000091380000}"/>
    <cellStyle name="Normal 2 2 2 2 4 2 2 4 4 3" xfId="14491" xr:uid="{00000000-0005-0000-0000-000092380000}"/>
    <cellStyle name="Normal 2 2 2 2 4 2 2 4 4 4" xfId="14492" xr:uid="{00000000-0005-0000-0000-000093380000}"/>
    <cellStyle name="Normal 2 2 2 2 4 2 2 4 4 5" xfId="14493" xr:uid="{00000000-0005-0000-0000-000094380000}"/>
    <cellStyle name="Normal 2 2 2 2 4 2 2 4 4 6" xfId="14494" xr:uid="{00000000-0005-0000-0000-000095380000}"/>
    <cellStyle name="Normal 2 2 2 2 4 2 2 4 4 7" xfId="14495" xr:uid="{00000000-0005-0000-0000-000096380000}"/>
    <cellStyle name="Normal 2 2 2 2 4 2 2 4 4 8" xfId="14496" xr:uid="{00000000-0005-0000-0000-000097380000}"/>
    <cellStyle name="Normal 2 2 2 2 4 2 2 4 4 9" xfId="14497" xr:uid="{00000000-0005-0000-0000-000098380000}"/>
    <cellStyle name="Normal 2 2 2 2 4 2 2 4 5" xfId="14498" xr:uid="{00000000-0005-0000-0000-000099380000}"/>
    <cellStyle name="Normal 2 2 2 2 4 2 2 4 5 10" xfId="14499" xr:uid="{00000000-0005-0000-0000-00009A380000}"/>
    <cellStyle name="Normal 2 2 2 2 4 2 2 4 5 2" xfId="14500" xr:uid="{00000000-0005-0000-0000-00009B380000}"/>
    <cellStyle name="Normal 2 2 2 2 4 2 2 4 5 3" xfId="14501" xr:uid="{00000000-0005-0000-0000-00009C380000}"/>
    <cellStyle name="Normal 2 2 2 2 4 2 2 4 5 4" xfId="14502" xr:uid="{00000000-0005-0000-0000-00009D380000}"/>
    <cellStyle name="Normal 2 2 2 2 4 2 2 4 5 5" xfId="14503" xr:uid="{00000000-0005-0000-0000-00009E380000}"/>
    <cellStyle name="Normal 2 2 2 2 4 2 2 4 5 6" xfId="14504" xr:uid="{00000000-0005-0000-0000-00009F380000}"/>
    <cellStyle name="Normal 2 2 2 2 4 2 2 4 5 7" xfId="14505" xr:uid="{00000000-0005-0000-0000-0000A0380000}"/>
    <cellStyle name="Normal 2 2 2 2 4 2 2 4 5 8" xfId="14506" xr:uid="{00000000-0005-0000-0000-0000A1380000}"/>
    <cellStyle name="Normal 2 2 2 2 4 2 2 4 5 9" xfId="14507" xr:uid="{00000000-0005-0000-0000-0000A2380000}"/>
    <cellStyle name="Normal 2 2 2 2 4 2 2 4 6" xfId="14508" xr:uid="{00000000-0005-0000-0000-0000A3380000}"/>
    <cellStyle name="Normal 2 2 2 2 4 2 2 4 7" xfId="14509" xr:uid="{00000000-0005-0000-0000-0000A4380000}"/>
    <cellStyle name="Normal 2 2 2 2 4 2 2 4 8" xfId="14510" xr:uid="{00000000-0005-0000-0000-0000A5380000}"/>
    <cellStyle name="Normal 2 2 2 2 4 2 2 4 9" xfId="14511" xr:uid="{00000000-0005-0000-0000-0000A6380000}"/>
    <cellStyle name="Normal 2 2 2 2 4 2 2 5" xfId="14512" xr:uid="{00000000-0005-0000-0000-0000A7380000}"/>
    <cellStyle name="Normal 2 2 2 2 4 2 2 5 10" xfId="14513" xr:uid="{00000000-0005-0000-0000-0000A8380000}"/>
    <cellStyle name="Normal 2 2 2 2 4 2 2 5 11" xfId="14514" xr:uid="{00000000-0005-0000-0000-0000A9380000}"/>
    <cellStyle name="Normal 2 2 2 2 4 2 2 5 12" xfId="14515" xr:uid="{00000000-0005-0000-0000-0000AA380000}"/>
    <cellStyle name="Normal 2 2 2 2 4 2 2 5 13" xfId="14516" xr:uid="{00000000-0005-0000-0000-0000AB380000}"/>
    <cellStyle name="Normal 2 2 2 2 4 2 2 5 14" xfId="14517" xr:uid="{00000000-0005-0000-0000-0000AC380000}"/>
    <cellStyle name="Normal 2 2 2 2 4 2 2 5 2" xfId="14518" xr:uid="{00000000-0005-0000-0000-0000AD380000}"/>
    <cellStyle name="Normal 2 2 2 2 4 2 2 5 2 10" xfId="14519" xr:uid="{00000000-0005-0000-0000-0000AE380000}"/>
    <cellStyle name="Normal 2 2 2 2 4 2 2 5 2 2" xfId="14520" xr:uid="{00000000-0005-0000-0000-0000AF380000}"/>
    <cellStyle name="Normal 2 2 2 2 4 2 2 5 2 3" xfId="14521" xr:uid="{00000000-0005-0000-0000-0000B0380000}"/>
    <cellStyle name="Normal 2 2 2 2 4 2 2 5 2 4" xfId="14522" xr:uid="{00000000-0005-0000-0000-0000B1380000}"/>
    <cellStyle name="Normal 2 2 2 2 4 2 2 5 2 5" xfId="14523" xr:uid="{00000000-0005-0000-0000-0000B2380000}"/>
    <cellStyle name="Normal 2 2 2 2 4 2 2 5 2 6" xfId="14524" xr:uid="{00000000-0005-0000-0000-0000B3380000}"/>
    <cellStyle name="Normal 2 2 2 2 4 2 2 5 2 7" xfId="14525" xr:uid="{00000000-0005-0000-0000-0000B4380000}"/>
    <cellStyle name="Normal 2 2 2 2 4 2 2 5 2 8" xfId="14526" xr:uid="{00000000-0005-0000-0000-0000B5380000}"/>
    <cellStyle name="Normal 2 2 2 2 4 2 2 5 2 9" xfId="14527" xr:uid="{00000000-0005-0000-0000-0000B6380000}"/>
    <cellStyle name="Normal 2 2 2 2 4 2 2 5 3" xfId="14528" xr:uid="{00000000-0005-0000-0000-0000B7380000}"/>
    <cellStyle name="Normal 2 2 2 2 4 2 2 5 3 10" xfId="14529" xr:uid="{00000000-0005-0000-0000-0000B8380000}"/>
    <cellStyle name="Normal 2 2 2 2 4 2 2 5 3 2" xfId="14530" xr:uid="{00000000-0005-0000-0000-0000B9380000}"/>
    <cellStyle name="Normal 2 2 2 2 4 2 2 5 3 3" xfId="14531" xr:uid="{00000000-0005-0000-0000-0000BA380000}"/>
    <cellStyle name="Normal 2 2 2 2 4 2 2 5 3 4" xfId="14532" xr:uid="{00000000-0005-0000-0000-0000BB380000}"/>
    <cellStyle name="Normal 2 2 2 2 4 2 2 5 3 5" xfId="14533" xr:uid="{00000000-0005-0000-0000-0000BC380000}"/>
    <cellStyle name="Normal 2 2 2 2 4 2 2 5 3 6" xfId="14534" xr:uid="{00000000-0005-0000-0000-0000BD380000}"/>
    <cellStyle name="Normal 2 2 2 2 4 2 2 5 3 7" xfId="14535" xr:uid="{00000000-0005-0000-0000-0000BE380000}"/>
    <cellStyle name="Normal 2 2 2 2 4 2 2 5 3 8" xfId="14536" xr:uid="{00000000-0005-0000-0000-0000BF380000}"/>
    <cellStyle name="Normal 2 2 2 2 4 2 2 5 3 9" xfId="14537" xr:uid="{00000000-0005-0000-0000-0000C0380000}"/>
    <cellStyle name="Normal 2 2 2 2 4 2 2 5 4" xfId="14538" xr:uid="{00000000-0005-0000-0000-0000C1380000}"/>
    <cellStyle name="Normal 2 2 2 2 4 2 2 5 4 10" xfId="14539" xr:uid="{00000000-0005-0000-0000-0000C2380000}"/>
    <cellStyle name="Normal 2 2 2 2 4 2 2 5 4 2" xfId="14540" xr:uid="{00000000-0005-0000-0000-0000C3380000}"/>
    <cellStyle name="Normal 2 2 2 2 4 2 2 5 4 3" xfId="14541" xr:uid="{00000000-0005-0000-0000-0000C4380000}"/>
    <cellStyle name="Normal 2 2 2 2 4 2 2 5 4 4" xfId="14542" xr:uid="{00000000-0005-0000-0000-0000C5380000}"/>
    <cellStyle name="Normal 2 2 2 2 4 2 2 5 4 5" xfId="14543" xr:uid="{00000000-0005-0000-0000-0000C6380000}"/>
    <cellStyle name="Normal 2 2 2 2 4 2 2 5 4 6" xfId="14544" xr:uid="{00000000-0005-0000-0000-0000C7380000}"/>
    <cellStyle name="Normal 2 2 2 2 4 2 2 5 4 7" xfId="14545" xr:uid="{00000000-0005-0000-0000-0000C8380000}"/>
    <cellStyle name="Normal 2 2 2 2 4 2 2 5 4 8" xfId="14546" xr:uid="{00000000-0005-0000-0000-0000C9380000}"/>
    <cellStyle name="Normal 2 2 2 2 4 2 2 5 4 9" xfId="14547" xr:uid="{00000000-0005-0000-0000-0000CA380000}"/>
    <cellStyle name="Normal 2 2 2 2 4 2 2 5 5" xfId="14548" xr:uid="{00000000-0005-0000-0000-0000CB380000}"/>
    <cellStyle name="Normal 2 2 2 2 4 2 2 5 5 10" xfId="14549" xr:uid="{00000000-0005-0000-0000-0000CC380000}"/>
    <cellStyle name="Normal 2 2 2 2 4 2 2 5 5 2" xfId="14550" xr:uid="{00000000-0005-0000-0000-0000CD380000}"/>
    <cellStyle name="Normal 2 2 2 2 4 2 2 5 5 3" xfId="14551" xr:uid="{00000000-0005-0000-0000-0000CE380000}"/>
    <cellStyle name="Normal 2 2 2 2 4 2 2 5 5 4" xfId="14552" xr:uid="{00000000-0005-0000-0000-0000CF380000}"/>
    <cellStyle name="Normal 2 2 2 2 4 2 2 5 5 5" xfId="14553" xr:uid="{00000000-0005-0000-0000-0000D0380000}"/>
    <cellStyle name="Normal 2 2 2 2 4 2 2 5 5 6" xfId="14554" xr:uid="{00000000-0005-0000-0000-0000D1380000}"/>
    <cellStyle name="Normal 2 2 2 2 4 2 2 5 5 7" xfId="14555" xr:uid="{00000000-0005-0000-0000-0000D2380000}"/>
    <cellStyle name="Normal 2 2 2 2 4 2 2 5 5 8" xfId="14556" xr:uid="{00000000-0005-0000-0000-0000D3380000}"/>
    <cellStyle name="Normal 2 2 2 2 4 2 2 5 5 9" xfId="14557" xr:uid="{00000000-0005-0000-0000-0000D4380000}"/>
    <cellStyle name="Normal 2 2 2 2 4 2 2 5 6" xfId="14558" xr:uid="{00000000-0005-0000-0000-0000D5380000}"/>
    <cellStyle name="Normal 2 2 2 2 4 2 2 5 7" xfId="14559" xr:uid="{00000000-0005-0000-0000-0000D6380000}"/>
    <cellStyle name="Normal 2 2 2 2 4 2 2 5 8" xfId="14560" xr:uid="{00000000-0005-0000-0000-0000D7380000}"/>
    <cellStyle name="Normal 2 2 2 2 4 2 2 5 9" xfId="14561" xr:uid="{00000000-0005-0000-0000-0000D8380000}"/>
    <cellStyle name="Normal 2 2 2 2 4 2 2 6" xfId="14562" xr:uid="{00000000-0005-0000-0000-0000D9380000}"/>
    <cellStyle name="Normal 2 2 2 2 4 2 2 6 10" xfId="14563" xr:uid="{00000000-0005-0000-0000-0000DA380000}"/>
    <cellStyle name="Normal 2 2 2 2 4 2 2 6 11" xfId="14564" xr:uid="{00000000-0005-0000-0000-0000DB380000}"/>
    <cellStyle name="Normal 2 2 2 2 4 2 2 6 12" xfId="14565" xr:uid="{00000000-0005-0000-0000-0000DC380000}"/>
    <cellStyle name="Normal 2 2 2 2 4 2 2 6 13" xfId="14566" xr:uid="{00000000-0005-0000-0000-0000DD380000}"/>
    <cellStyle name="Normal 2 2 2 2 4 2 2 6 14" xfId="14567" xr:uid="{00000000-0005-0000-0000-0000DE380000}"/>
    <cellStyle name="Normal 2 2 2 2 4 2 2 6 2" xfId="14568" xr:uid="{00000000-0005-0000-0000-0000DF380000}"/>
    <cellStyle name="Normal 2 2 2 2 4 2 2 6 2 10" xfId="14569" xr:uid="{00000000-0005-0000-0000-0000E0380000}"/>
    <cellStyle name="Normal 2 2 2 2 4 2 2 6 2 2" xfId="14570" xr:uid="{00000000-0005-0000-0000-0000E1380000}"/>
    <cellStyle name="Normal 2 2 2 2 4 2 2 6 2 3" xfId="14571" xr:uid="{00000000-0005-0000-0000-0000E2380000}"/>
    <cellStyle name="Normal 2 2 2 2 4 2 2 6 2 4" xfId="14572" xr:uid="{00000000-0005-0000-0000-0000E3380000}"/>
    <cellStyle name="Normal 2 2 2 2 4 2 2 6 2 5" xfId="14573" xr:uid="{00000000-0005-0000-0000-0000E4380000}"/>
    <cellStyle name="Normal 2 2 2 2 4 2 2 6 2 6" xfId="14574" xr:uid="{00000000-0005-0000-0000-0000E5380000}"/>
    <cellStyle name="Normal 2 2 2 2 4 2 2 6 2 7" xfId="14575" xr:uid="{00000000-0005-0000-0000-0000E6380000}"/>
    <cellStyle name="Normal 2 2 2 2 4 2 2 6 2 8" xfId="14576" xr:uid="{00000000-0005-0000-0000-0000E7380000}"/>
    <cellStyle name="Normal 2 2 2 2 4 2 2 6 2 9" xfId="14577" xr:uid="{00000000-0005-0000-0000-0000E8380000}"/>
    <cellStyle name="Normal 2 2 2 2 4 2 2 6 3" xfId="14578" xr:uid="{00000000-0005-0000-0000-0000E9380000}"/>
    <cellStyle name="Normal 2 2 2 2 4 2 2 6 3 10" xfId="14579" xr:uid="{00000000-0005-0000-0000-0000EA380000}"/>
    <cellStyle name="Normal 2 2 2 2 4 2 2 6 3 2" xfId="14580" xr:uid="{00000000-0005-0000-0000-0000EB380000}"/>
    <cellStyle name="Normal 2 2 2 2 4 2 2 6 3 3" xfId="14581" xr:uid="{00000000-0005-0000-0000-0000EC380000}"/>
    <cellStyle name="Normal 2 2 2 2 4 2 2 6 3 4" xfId="14582" xr:uid="{00000000-0005-0000-0000-0000ED380000}"/>
    <cellStyle name="Normal 2 2 2 2 4 2 2 6 3 5" xfId="14583" xr:uid="{00000000-0005-0000-0000-0000EE380000}"/>
    <cellStyle name="Normal 2 2 2 2 4 2 2 6 3 6" xfId="14584" xr:uid="{00000000-0005-0000-0000-0000EF380000}"/>
    <cellStyle name="Normal 2 2 2 2 4 2 2 6 3 7" xfId="14585" xr:uid="{00000000-0005-0000-0000-0000F0380000}"/>
    <cellStyle name="Normal 2 2 2 2 4 2 2 6 3 8" xfId="14586" xr:uid="{00000000-0005-0000-0000-0000F1380000}"/>
    <cellStyle name="Normal 2 2 2 2 4 2 2 6 3 9" xfId="14587" xr:uid="{00000000-0005-0000-0000-0000F2380000}"/>
    <cellStyle name="Normal 2 2 2 2 4 2 2 6 4" xfId="14588" xr:uid="{00000000-0005-0000-0000-0000F3380000}"/>
    <cellStyle name="Normal 2 2 2 2 4 2 2 6 4 10" xfId="14589" xr:uid="{00000000-0005-0000-0000-0000F4380000}"/>
    <cellStyle name="Normal 2 2 2 2 4 2 2 6 4 2" xfId="14590" xr:uid="{00000000-0005-0000-0000-0000F5380000}"/>
    <cellStyle name="Normal 2 2 2 2 4 2 2 6 4 3" xfId="14591" xr:uid="{00000000-0005-0000-0000-0000F6380000}"/>
    <cellStyle name="Normal 2 2 2 2 4 2 2 6 4 4" xfId="14592" xr:uid="{00000000-0005-0000-0000-0000F7380000}"/>
    <cellStyle name="Normal 2 2 2 2 4 2 2 6 4 5" xfId="14593" xr:uid="{00000000-0005-0000-0000-0000F8380000}"/>
    <cellStyle name="Normal 2 2 2 2 4 2 2 6 4 6" xfId="14594" xr:uid="{00000000-0005-0000-0000-0000F9380000}"/>
    <cellStyle name="Normal 2 2 2 2 4 2 2 6 4 7" xfId="14595" xr:uid="{00000000-0005-0000-0000-0000FA380000}"/>
    <cellStyle name="Normal 2 2 2 2 4 2 2 6 4 8" xfId="14596" xr:uid="{00000000-0005-0000-0000-0000FB380000}"/>
    <cellStyle name="Normal 2 2 2 2 4 2 2 6 4 9" xfId="14597" xr:uid="{00000000-0005-0000-0000-0000FC380000}"/>
    <cellStyle name="Normal 2 2 2 2 4 2 2 6 5" xfId="14598" xr:uid="{00000000-0005-0000-0000-0000FD380000}"/>
    <cellStyle name="Normal 2 2 2 2 4 2 2 6 5 10" xfId="14599" xr:uid="{00000000-0005-0000-0000-0000FE380000}"/>
    <cellStyle name="Normal 2 2 2 2 4 2 2 6 5 2" xfId="14600" xr:uid="{00000000-0005-0000-0000-0000FF380000}"/>
    <cellStyle name="Normal 2 2 2 2 4 2 2 6 5 3" xfId="14601" xr:uid="{00000000-0005-0000-0000-000000390000}"/>
    <cellStyle name="Normal 2 2 2 2 4 2 2 6 5 4" xfId="14602" xr:uid="{00000000-0005-0000-0000-000001390000}"/>
    <cellStyle name="Normal 2 2 2 2 4 2 2 6 5 5" xfId="14603" xr:uid="{00000000-0005-0000-0000-000002390000}"/>
    <cellStyle name="Normal 2 2 2 2 4 2 2 6 5 6" xfId="14604" xr:uid="{00000000-0005-0000-0000-000003390000}"/>
    <cellStyle name="Normal 2 2 2 2 4 2 2 6 5 7" xfId="14605" xr:uid="{00000000-0005-0000-0000-000004390000}"/>
    <cellStyle name="Normal 2 2 2 2 4 2 2 6 5 8" xfId="14606" xr:uid="{00000000-0005-0000-0000-000005390000}"/>
    <cellStyle name="Normal 2 2 2 2 4 2 2 6 5 9" xfId="14607" xr:uid="{00000000-0005-0000-0000-000006390000}"/>
    <cellStyle name="Normal 2 2 2 2 4 2 2 6 6" xfId="14608" xr:uid="{00000000-0005-0000-0000-000007390000}"/>
    <cellStyle name="Normal 2 2 2 2 4 2 2 6 7" xfId="14609" xr:uid="{00000000-0005-0000-0000-000008390000}"/>
    <cellStyle name="Normal 2 2 2 2 4 2 2 6 8" xfId="14610" xr:uid="{00000000-0005-0000-0000-000009390000}"/>
    <cellStyle name="Normal 2 2 2 2 4 2 2 6 9" xfId="14611" xr:uid="{00000000-0005-0000-0000-00000A390000}"/>
    <cellStyle name="Normal 2 2 2 2 4 2 2 7" xfId="14612" xr:uid="{00000000-0005-0000-0000-00000B390000}"/>
    <cellStyle name="Normal 2 2 2 2 4 2 2 7 10" xfId="14613" xr:uid="{00000000-0005-0000-0000-00000C390000}"/>
    <cellStyle name="Normal 2 2 2 2 4 2 2 7 11" xfId="14614" xr:uid="{00000000-0005-0000-0000-00000D390000}"/>
    <cellStyle name="Normal 2 2 2 2 4 2 2 7 12" xfId="14615" xr:uid="{00000000-0005-0000-0000-00000E390000}"/>
    <cellStyle name="Normal 2 2 2 2 4 2 2 7 13" xfId="14616" xr:uid="{00000000-0005-0000-0000-00000F390000}"/>
    <cellStyle name="Normal 2 2 2 2 4 2 2 7 14" xfId="14617" xr:uid="{00000000-0005-0000-0000-000010390000}"/>
    <cellStyle name="Normal 2 2 2 2 4 2 2 7 2" xfId="14618" xr:uid="{00000000-0005-0000-0000-000011390000}"/>
    <cellStyle name="Normal 2 2 2 2 4 2 2 7 2 10" xfId="14619" xr:uid="{00000000-0005-0000-0000-000012390000}"/>
    <cellStyle name="Normal 2 2 2 2 4 2 2 7 2 2" xfId="14620" xr:uid="{00000000-0005-0000-0000-000013390000}"/>
    <cellStyle name="Normal 2 2 2 2 4 2 2 7 2 3" xfId="14621" xr:uid="{00000000-0005-0000-0000-000014390000}"/>
    <cellStyle name="Normal 2 2 2 2 4 2 2 7 2 4" xfId="14622" xr:uid="{00000000-0005-0000-0000-000015390000}"/>
    <cellStyle name="Normal 2 2 2 2 4 2 2 7 2 5" xfId="14623" xr:uid="{00000000-0005-0000-0000-000016390000}"/>
    <cellStyle name="Normal 2 2 2 2 4 2 2 7 2 6" xfId="14624" xr:uid="{00000000-0005-0000-0000-000017390000}"/>
    <cellStyle name="Normal 2 2 2 2 4 2 2 7 2 7" xfId="14625" xr:uid="{00000000-0005-0000-0000-000018390000}"/>
    <cellStyle name="Normal 2 2 2 2 4 2 2 7 2 8" xfId="14626" xr:uid="{00000000-0005-0000-0000-000019390000}"/>
    <cellStyle name="Normal 2 2 2 2 4 2 2 7 2 9" xfId="14627" xr:uid="{00000000-0005-0000-0000-00001A390000}"/>
    <cellStyle name="Normal 2 2 2 2 4 2 2 7 3" xfId="14628" xr:uid="{00000000-0005-0000-0000-00001B390000}"/>
    <cellStyle name="Normal 2 2 2 2 4 2 2 7 3 10" xfId="14629" xr:uid="{00000000-0005-0000-0000-00001C390000}"/>
    <cellStyle name="Normal 2 2 2 2 4 2 2 7 3 2" xfId="14630" xr:uid="{00000000-0005-0000-0000-00001D390000}"/>
    <cellStyle name="Normal 2 2 2 2 4 2 2 7 3 3" xfId="14631" xr:uid="{00000000-0005-0000-0000-00001E390000}"/>
    <cellStyle name="Normal 2 2 2 2 4 2 2 7 3 4" xfId="14632" xr:uid="{00000000-0005-0000-0000-00001F390000}"/>
    <cellStyle name="Normal 2 2 2 2 4 2 2 7 3 5" xfId="14633" xr:uid="{00000000-0005-0000-0000-000020390000}"/>
    <cellStyle name="Normal 2 2 2 2 4 2 2 7 3 6" xfId="14634" xr:uid="{00000000-0005-0000-0000-000021390000}"/>
    <cellStyle name="Normal 2 2 2 2 4 2 2 7 3 7" xfId="14635" xr:uid="{00000000-0005-0000-0000-000022390000}"/>
    <cellStyle name="Normal 2 2 2 2 4 2 2 7 3 8" xfId="14636" xr:uid="{00000000-0005-0000-0000-000023390000}"/>
    <cellStyle name="Normal 2 2 2 2 4 2 2 7 3 9" xfId="14637" xr:uid="{00000000-0005-0000-0000-000024390000}"/>
    <cellStyle name="Normal 2 2 2 2 4 2 2 7 4" xfId="14638" xr:uid="{00000000-0005-0000-0000-000025390000}"/>
    <cellStyle name="Normal 2 2 2 2 4 2 2 7 4 10" xfId="14639" xr:uid="{00000000-0005-0000-0000-000026390000}"/>
    <cellStyle name="Normal 2 2 2 2 4 2 2 7 4 2" xfId="14640" xr:uid="{00000000-0005-0000-0000-000027390000}"/>
    <cellStyle name="Normal 2 2 2 2 4 2 2 7 4 3" xfId="14641" xr:uid="{00000000-0005-0000-0000-000028390000}"/>
    <cellStyle name="Normal 2 2 2 2 4 2 2 7 4 4" xfId="14642" xr:uid="{00000000-0005-0000-0000-000029390000}"/>
    <cellStyle name="Normal 2 2 2 2 4 2 2 7 4 5" xfId="14643" xr:uid="{00000000-0005-0000-0000-00002A390000}"/>
    <cellStyle name="Normal 2 2 2 2 4 2 2 7 4 6" xfId="14644" xr:uid="{00000000-0005-0000-0000-00002B390000}"/>
    <cellStyle name="Normal 2 2 2 2 4 2 2 7 4 7" xfId="14645" xr:uid="{00000000-0005-0000-0000-00002C390000}"/>
    <cellStyle name="Normal 2 2 2 2 4 2 2 7 4 8" xfId="14646" xr:uid="{00000000-0005-0000-0000-00002D390000}"/>
    <cellStyle name="Normal 2 2 2 2 4 2 2 7 4 9" xfId="14647" xr:uid="{00000000-0005-0000-0000-00002E390000}"/>
    <cellStyle name="Normal 2 2 2 2 4 2 2 7 5" xfId="14648" xr:uid="{00000000-0005-0000-0000-00002F390000}"/>
    <cellStyle name="Normal 2 2 2 2 4 2 2 7 5 10" xfId="14649" xr:uid="{00000000-0005-0000-0000-000030390000}"/>
    <cellStyle name="Normal 2 2 2 2 4 2 2 7 5 2" xfId="14650" xr:uid="{00000000-0005-0000-0000-000031390000}"/>
    <cellStyle name="Normal 2 2 2 2 4 2 2 7 5 3" xfId="14651" xr:uid="{00000000-0005-0000-0000-000032390000}"/>
    <cellStyle name="Normal 2 2 2 2 4 2 2 7 5 4" xfId="14652" xr:uid="{00000000-0005-0000-0000-000033390000}"/>
    <cellStyle name="Normal 2 2 2 2 4 2 2 7 5 5" xfId="14653" xr:uid="{00000000-0005-0000-0000-000034390000}"/>
    <cellStyle name="Normal 2 2 2 2 4 2 2 7 5 6" xfId="14654" xr:uid="{00000000-0005-0000-0000-000035390000}"/>
    <cellStyle name="Normal 2 2 2 2 4 2 2 7 5 7" xfId="14655" xr:uid="{00000000-0005-0000-0000-000036390000}"/>
    <cellStyle name="Normal 2 2 2 2 4 2 2 7 5 8" xfId="14656" xr:uid="{00000000-0005-0000-0000-000037390000}"/>
    <cellStyle name="Normal 2 2 2 2 4 2 2 7 5 9" xfId="14657" xr:uid="{00000000-0005-0000-0000-000038390000}"/>
    <cellStyle name="Normal 2 2 2 2 4 2 2 7 6" xfId="14658" xr:uid="{00000000-0005-0000-0000-000039390000}"/>
    <cellStyle name="Normal 2 2 2 2 4 2 2 7 7" xfId="14659" xr:uid="{00000000-0005-0000-0000-00003A390000}"/>
    <cellStyle name="Normal 2 2 2 2 4 2 2 7 8" xfId="14660" xr:uid="{00000000-0005-0000-0000-00003B390000}"/>
    <cellStyle name="Normal 2 2 2 2 4 2 2 7 9" xfId="14661" xr:uid="{00000000-0005-0000-0000-00003C390000}"/>
    <cellStyle name="Normal 2 2 2 2 4 2 2 8" xfId="14662" xr:uid="{00000000-0005-0000-0000-00003D390000}"/>
    <cellStyle name="Normal 2 2 2 2 4 2 2 8 10" xfId="14663" xr:uid="{00000000-0005-0000-0000-00003E390000}"/>
    <cellStyle name="Normal 2 2 2 2 4 2 2 8 11" xfId="14664" xr:uid="{00000000-0005-0000-0000-00003F390000}"/>
    <cellStyle name="Normal 2 2 2 2 4 2 2 8 12" xfId="14665" xr:uid="{00000000-0005-0000-0000-000040390000}"/>
    <cellStyle name="Normal 2 2 2 2 4 2 2 8 13" xfId="14666" xr:uid="{00000000-0005-0000-0000-000041390000}"/>
    <cellStyle name="Normal 2 2 2 2 4 2 2 8 14" xfId="14667" xr:uid="{00000000-0005-0000-0000-000042390000}"/>
    <cellStyle name="Normal 2 2 2 2 4 2 2 8 2" xfId="14668" xr:uid="{00000000-0005-0000-0000-000043390000}"/>
    <cellStyle name="Normal 2 2 2 2 4 2 2 8 2 10" xfId="14669" xr:uid="{00000000-0005-0000-0000-000044390000}"/>
    <cellStyle name="Normal 2 2 2 2 4 2 2 8 2 2" xfId="14670" xr:uid="{00000000-0005-0000-0000-000045390000}"/>
    <cellStyle name="Normal 2 2 2 2 4 2 2 8 2 3" xfId="14671" xr:uid="{00000000-0005-0000-0000-000046390000}"/>
    <cellStyle name="Normal 2 2 2 2 4 2 2 8 2 4" xfId="14672" xr:uid="{00000000-0005-0000-0000-000047390000}"/>
    <cellStyle name="Normal 2 2 2 2 4 2 2 8 2 5" xfId="14673" xr:uid="{00000000-0005-0000-0000-000048390000}"/>
    <cellStyle name="Normal 2 2 2 2 4 2 2 8 2 6" xfId="14674" xr:uid="{00000000-0005-0000-0000-000049390000}"/>
    <cellStyle name="Normal 2 2 2 2 4 2 2 8 2 7" xfId="14675" xr:uid="{00000000-0005-0000-0000-00004A390000}"/>
    <cellStyle name="Normal 2 2 2 2 4 2 2 8 2 8" xfId="14676" xr:uid="{00000000-0005-0000-0000-00004B390000}"/>
    <cellStyle name="Normal 2 2 2 2 4 2 2 8 2 9" xfId="14677" xr:uid="{00000000-0005-0000-0000-00004C390000}"/>
    <cellStyle name="Normal 2 2 2 2 4 2 2 8 3" xfId="14678" xr:uid="{00000000-0005-0000-0000-00004D390000}"/>
    <cellStyle name="Normal 2 2 2 2 4 2 2 8 3 10" xfId="14679" xr:uid="{00000000-0005-0000-0000-00004E390000}"/>
    <cellStyle name="Normal 2 2 2 2 4 2 2 8 3 2" xfId="14680" xr:uid="{00000000-0005-0000-0000-00004F390000}"/>
    <cellStyle name="Normal 2 2 2 2 4 2 2 8 3 3" xfId="14681" xr:uid="{00000000-0005-0000-0000-000050390000}"/>
    <cellStyle name="Normal 2 2 2 2 4 2 2 8 3 4" xfId="14682" xr:uid="{00000000-0005-0000-0000-000051390000}"/>
    <cellStyle name="Normal 2 2 2 2 4 2 2 8 3 5" xfId="14683" xr:uid="{00000000-0005-0000-0000-000052390000}"/>
    <cellStyle name="Normal 2 2 2 2 4 2 2 8 3 6" xfId="14684" xr:uid="{00000000-0005-0000-0000-000053390000}"/>
    <cellStyle name="Normal 2 2 2 2 4 2 2 8 3 7" xfId="14685" xr:uid="{00000000-0005-0000-0000-000054390000}"/>
    <cellStyle name="Normal 2 2 2 2 4 2 2 8 3 8" xfId="14686" xr:uid="{00000000-0005-0000-0000-000055390000}"/>
    <cellStyle name="Normal 2 2 2 2 4 2 2 8 3 9" xfId="14687" xr:uid="{00000000-0005-0000-0000-000056390000}"/>
    <cellStyle name="Normal 2 2 2 2 4 2 2 8 4" xfId="14688" xr:uid="{00000000-0005-0000-0000-000057390000}"/>
    <cellStyle name="Normal 2 2 2 2 4 2 2 8 4 10" xfId="14689" xr:uid="{00000000-0005-0000-0000-000058390000}"/>
    <cellStyle name="Normal 2 2 2 2 4 2 2 8 4 2" xfId="14690" xr:uid="{00000000-0005-0000-0000-000059390000}"/>
    <cellStyle name="Normal 2 2 2 2 4 2 2 8 4 3" xfId="14691" xr:uid="{00000000-0005-0000-0000-00005A390000}"/>
    <cellStyle name="Normal 2 2 2 2 4 2 2 8 4 4" xfId="14692" xr:uid="{00000000-0005-0000-0000-00005B390000}"/>
    <cellStyle name="Normal 2 2 2 2 4 2 2 8 4 5" xfId="14693" xr:uid="{00000000-0005-0000-0000-00005C390000}"/>
    <cellStyle name="Normal 2 2 2 2 4 2 2 8 4 6" xfId="14694" xr:uid="{00000000-0005-0000-0000-00005D390000}"/>
    <cellStyle name="Normal 2 2 2 2 4 2 2 8 4 7" xfId="14695" xr:uid="{00000000-0005-0000-0000-00005E390000}"/>
    <cellStyle name="Normal 2 2 2 2 4 2 2 8 4 8" xfId="14696" xr:uid="{00000000-0005-0000-0000-00005F390000}"/>
    <cellStyle name="Normal 2 2 2 2 4 2 2 8 4 9" xfId="14697" xr:uid="{00000000-0005-0000-0000-000060390000}"/>
    <cellStyle name="Normal 2 2 2 2 4 2 2 8 5" xfId="14698" xr:uid="{00000000-0005-0000-0000-000061390000}"/>
    <cellStyle name="Normal 2 2 2 2 4 2 2 8 5 10" xfId="14699" xr:uid="{00000000-0005-0000-0000-000062390000}"/>
    <cellStyle name="Normal 2 2 2 2 4 2 2 8 5 2" xfId="14700" xr:uid="{00000000-0005-0000-0000-000063390000}"/>
    <cellStyle name="Normal 2 2 2 2 4 2 2 8 5 3" xfId="14701" xr:uid="{00000000-0005-0000-0000-000064390000}"/>
    <cellStyle name="Normal 2 2 2 2 4 2 2 8 5 4" xfId="14702" xr:uid="{00000000-0005-0000-0000-000065390000}"/>
    <cellStyle name="Normal 2 2 2 2 4 2 2 8 5 5" xfId="14703" xr:uid="{00000000-0005-0000-0000-000066390000}"/>
    <cellStyle name="Normal 2 2 2 2 4 2 2 8 5 6" xfId="14704" xr:uid="{00000000-0005-0000-0000-000067390000}"/>
    <cellStyle name="Normal 2 2 2 2 4 2 2 8 5 7" xfId="14705" xr:uid="{00000000-0005-0000-0000-000068390000}"/>
    <cellStyle name="Normal 2 2 2 2 4 2 2 8 5 8" xfId="14706" xr:uid="{00000000-0005-0000-0000-000069390000}"/>
    <cellStyle name="Normal 2 2 2 2 4 2 2 8 5 9" xfId="14707" xr:uid="{00000000-0005-0000-0000-00006A390000}"/>
    <cellStyle name="Normal 2 2 2 2 4 2 2 8 6" xfId="14708" xr:uid="{00000000-0005-0000-0000-00006B390000}"/>
    <cellStyle name="Normal 2 2 2 2 4 2 2 8 7" xfId="14709" xr:uid="{00000000-0005-0000-0000-00006C390000}"/>
    <cellStyle name="Normal 2 2 2 2 4 2 2 8 8" xfId="14710" xr:uid="{00000000-0005-0000-0000-00006D390000}"/>
    <cellStyle name="Normal 2 2 2 2 4 2 2 8 9" xfId="14711" xr:uid="{00000000-0005-0000-0000-00006E390000}"/>
    <cellStyle name="Normal 2 2 2 2 4 2 2 9" xfId="14712" xr:uid="{00000000-0005-0000-0000-00006F390000}"/>
    <cellStyle name="Normal 2 2 2 2 4 2 2 9 10" xfId="14713" xr:uid="{00000000-0005-0000-0000-000070390000}"/>
    <cellStyle name="Normal 2 2 2 2 4 2 2 9 11" xfId="14714" xr:uid="{00000000-0005-0000-0000-000071390000}"/>
    <cellStyle name="Normal 2 2 2 2 4 2 2 9 12" xfId="14715" xr:uid="{00000000-0005-0000-0000-000072390000}"/>
    <cellStyle name="Normal 2 2 2 2 4 2 2 9 13" xfId="14716" xr:uid="{00000000-0005-0000-0000-000073390000}"/>
    <cellStyle name="Normal 2 2 2 2 4 2 2 9 14" xfId="14717" xr:uid="{00000000-0005-0000-0000-000074390000}"/>
    <cellStyle name="Normal 2 2 2 2 4 2 2 9 2" xfId="14718" xr:uid="{00000000-0005-0000-0000-000075390000}"/>
    <cellStyle name="Normal 2 2 2 2 4 2 2 9 2 10" xfId="14719" xr:uid="{00000000-0005-0000-0000-000076390000}"/>
    <cellStyle name="Normal 2 2 2 2 4 2 2 9 2 2" xfId="14720" xr:uid="{00000000-0005-0000-0000-000077390000}"/>
    <cellStyle name="Normal 2 2 2 2 4 2 2 9 2 3" xfId="14721" xr:uid="{00000000-0005-0000-0000-000078390000}"/>
    <cellStyle name="Normal 2 2 2 2 4 2 2 9 2 4" xfId="14722" xr:uid="{00000000-0005-0000-0000-000079390000}"/>
    <cellStyle name="Normal 2 2 2 2 4 2 2 9 2 5" xfId="14723" xr:uid="{00000000-0005-0000-0000-00007A390000}"/>
    <cellStyle name="Normal 2 2 2 2 4 2 2 9 2 6" xfId="14724" xr:uid="{00000000-0005-0000-0000-00007B390000}"/>
    <cellStyle name="Normal 2 2 2 2 4 2 2 9 2 7" xfId="14725" xr:uid="{00000000-0005-0000-0000-00007C390000}"/>
    <cellStyle name="Normal 2 2 2 2 4 2 2 9 2 8" xfId="14726" xr:uid="{00000000-0005-0000-0000-00007D390000}"/>
    <cellStyle name="Normal 2 2 2 2 4 2 2 9 2 9" xfId="14727" xr:uid="{00000000-0005-0000-0000-00007E390000}"/>
    <cellStyle name="Normal 2 2 2 2 4 2 2 9 3" xfId="14728" xr:uid="{00000000-0005-0000-0000-00007F390000}"/>
    <cellStyle name="Normal 2 2 2 2 4 2 2 9 3 10" xfId="14729" xr:uid="{00000000-0005-0000-0000-000080390000}"/>
    <cellStyle name="Normal 2 2 2 2 4 2 2 9 3 2" xfId="14730" xr:uid="{00000000-0005-0000-0000-000081390000}"/>
    <cellStyle name="Normal 2 2 2 2 4 2 2 9 3 3" xfId="14731" xr:uid="{00000000-0005-0000-0000-000082390000}"/>
    <cellStyle name="Normal 2 2 2 2 4 2 2 9 3 4" xfId="14732" xr:uid="{00000000-0005-0000-0000-000083390000}"/>
    <cellStyle name="Normal 2 2 2 2 4 2 2 9 3 5" xfId="14733" xr:uid="{00000000-0005-0000-0000-000084390000}"/>
    <cellStyle name="Normal 2 2 2 2 4 2 2 9 3 6" xfId="14734" xr:uid="{00000000-0005-0000-0000-000085390000}"/>
    <cellStyle name="Normal 2 2 2 2 4 2 2 9 3 7" xfId="14735" xr:uid="{00000000-0005-0000-0000-000086390000}"/>
    <cellStyle name="Normal 2 2 2 2 4 2 2 9 3 8" xfId="14736" xr:uid="{00000000-0005-0000-0000-000087390000}"/>
    <cellStyle name="Normal 2 2 2 2 4 2 2 9 3 9" xfId="14737" xr:uid="{00000000-0005-0000-0000-000088390000}"/>
    <cellStyle name="Normal 2 2 2 2 4 2 2 9 4" xfId="14738" xr:uid="{00000000-0005-0000-0000-000089390000}"/>
    <cellStyle name="Normal 2 2 2 2 4 2 2 9 4 10" xfId="14739" xr:uid="{00000000-0005-0000-0000-00008A390000}"/>
    <cellStyle name="Normal 2 2 2 2 4 2 2 9 4 2" xfId="14740" xr:uid="{00000000-0005-0000-0000-00008B390000}"/>
    <cellStyle name="Normal 2 2 2 2 4 2 2 9 4 3" xfId="14741" xr:uid="{00000000-0005-0000-0000-00008C390000}"/>
    <cellStyle name="Normal 2 2 2 2 4 2 2 9 4 4" xfId="14742" xr:uid="{00000000-0005-0000-0000-00008D390000}"/>
    <cellStyle name="Normal 2 2 2 2 4 2 2 9 4 5" xfId="14743" xr:uid="{00000000-0005-0000-0000-00008E390000}"/>
    <cellStyle name="Normal 2 2 2 2 4 2 2 9 4 6" xfId="14744" xr:uid="{00000000-0005-0000-0000-00008F390000}"/>
    <cellStyle name="Normal 2 2 2 2 4 2 2 9 4 7" xfId="14745" xr:uid="{00000000-0005-0000-0000-000090390000}"/>
    <cellStyle name="Normal 2 2 2 2 4 2 2 9 4 8" xfId="14746" xr:uid="{00000000-0005-0000-0000-000091390000}"/>
    <cellStyle name="Normal 2 2 2 2 4 2 2 9 4 9" xfId="14747" xr:uid="{00000000-0005-0000-0000-000092390000}"/>
    <cellStyle name="Normal 2 2 2 2 4 2 2 9 5" xfId="14748" xr:uid="{00000000-0005-0000-0000-000093390000}"/>
    <cellStyle name="Normal 2 2 2 2 4 2 2 9 5 10" xfId="14749" xr:uid="{00000000-0005-0000-0000-000094390000}"/>
    <cellStyle name="Normal 2 2 2 2 4 2 2 9 5 2" xfId="14750" xr:uid="{00000000-0005-0000-0000-000095390000}"/>
    <cellStyle name="Normal 2 2 2 2 4 2 2 9 5 3" xfId="14751" xr:uid="{00000000-0005-0000-0000-000096390000}"/>
    <cellStyle name="Normal 2 2 2 2 4 2 2 9 5 4" xfId="14752" xr:uid="{00000000-0005-0000-0000-000097390000}"/>
    <cellStyle name="Normal 2 2 2 2 4 2 2 9 5 5" xfId="14753" xr:uid="{00000000-0005-0000-0000-000098390000}"/>
    <cellStyle name="Normal 2 2 2 2 4 2 2 9 5 6" xfId="14754" xr:uid="{00000000-0005-0000-0000-000099390000}"/>
    <cellStyle name="Normal 2 2 2 2 4 2 2 9 5 7" xfId="14755" xr:uid="{00000000-0005-0000-0000-00009A390000}"/>
    <cellStyle name="Normal 2 2 2 2 4 2 2 9 5 8" xfId="14756" xr:uid="{00000000-0005-0000-0000-00009B390000}"/>
    <cellStyle name="Normal 2 2 2 2 4 2 2 9 5 9" xfId="14757" xr:uid="{00000000-0005-0000-0000-00009C390000}"/>
    <cellStyle name="Normal 2 2 2 2 4 2 2 9 6" xfId="14758" xr:uid="{00000000-0005-0000-0000-00009D390000}"/>
    <cellStyle name="Normal 2 2 2 2 4 2 2 9 7" xfId="14759" xr:uid="{00000000-0005-0000-0000-00009E390000}"/>
    <cellStyle name="Normal 2 2 2 2 4 2 2 9 8" xfId="14760" xr:uid="{00000000-0005-0000-0000-00009F390000}"/>
    <cellStyle name="Normal 2 2 2 2 4 2 2 9 9" xfId="14761" xr:uid="{00000000-0005-0000-0000-0000A0390000}"/>
    <cellStyle name="Normal 2 2 2 2 4 2 20" xfId="14762" xr:uid="{00000000-0005-0000-0000-0000A1390000}"/>
    <cellStyle name="Normal 2 2 2 2 4 2 21" xfId="14763" xr:uid="{00000000-0005-0000-0000-0000A2390000}"/>
    <cellStyle name="Normal 2 2 2 2 4 2 21 10" xfId="14764" xr:uid="{00000000-0005-0000-0000-0000A3390000}"/>
    <cellStyle name="Normal 2 2 2 2 4 2 21 2" xfId="14765" xr:uid="{00000000-0005-0000-0000-0000A4390000}"/>
    <cellStyle name="Normal 2 2 2 2 4 2 21 3" xfId="14766" xr:uid="{00000000-0005-0000-0000-0000A5390000}"/>
    <cellStyle name="Normal 2 2 2 2 4 2 21 4" xfId="14767" xr:uid="{00000000-0005-0000-0000-0000A6390000}"/>
    <cellStyle name="Normal 2 2 2 2 4 2 21 5" xfId="14768" xr:uid="{00000000-0005-0000-0000-0000A7390000}"/>
    <cellStyle name="Normal 2 2 2 2 4 2 21 6" xfId="14769" xr:uid="{00000000-0005-0000-0000-0000A8390000}"/>
    <cellStyle name="Normal 2 2 2 2 4 2 21 7" xfId="14770" xr:uid="{00000000-0005-0000-0000-0000A9390000}"/>
    <cellStyle name="Normal 2 2 2 2 4 2 21 8" xfId="14771" xr:uid="{00000000-0005-0000-0000-0000AA390000}"/>
    <cellStyle name="Normal 2 2 2 2 4 2 21 9" xfId="14772" xr:uid="{00000000-0005-0000-0000-0000AB390000}"/>
    <cellStyle name="Normal 2 2 2 2 4 2 22" xfId="14773" xr:uid="{00000000-0005-0000-0000-0000AC390000}"/>
    <cellStyle name="Normal 2 2 2 2 4 2 22 10" xfId="14774" xr:uid="{00000000-0005-0000-0000-0000AD390000}"/>
    <cellStyle name="Normal 2 2 2 2 4 2 22 2" xfId="14775" xr:uid="{00000000-0005-0000-0000-0000AE390000}"/>
    <cellStyle name="Normal 2 2 2 2 4 2 22 3" xfId="14776" xr:uid="{00000000-0005-0000-0000-0000AF390000}"/>
    <cellStyle name="Normal 2 2 2 2 4 2 22 4" xfId="14777" xr:uid="{00000000-0005-0000-0000-0000B0390000}"/>
    <cellStyle name="Normal 2 2 2 2 4 2 22 5" xfId="14778" xr:uid="{00000000-0005-0000-0000-0000B1390000}"/>
    <cellStyle name="Normal 2 2 2 2 4 2 22 6" xfId="14779" xr:uid="{00000000-0005-0000-0000-0000B2390000}"/>
    <cellStyle name="Normal 2 2 2 2 4 2 22 7" xfId="14780" xr:uid="{00000000-0005-0000-0000-0000B3390000}"/>
    <cellStyle name="Normal 2 2 2 2 4 2 22 8" xfId="14781" xr:uid="{00000000-0005-0000-0000-0000B4390000}"/>
    <cellStyle name="Normal 2 2 2 2 4 2 22 9" xfId="14782" xr:uid="{00000000-0005-0000-0000-0000B5390000}"/>
    <cellStyle name="Normal 2 2 2 2 4 2 23" xfId="14783" xr:uid="{00000000-0005-0000-0000-0000B6390000}"/>
    <cellStyle name="Normal 2 2 2 2 4 2 23 10" xfId="14784" xr:uid="{00000000-0005-0000-0000-0000B7390000}"/>
    <cellStyle name="Normal 2 2 2 2 4 2 23 2" xfId="14785" xr:uid="{00000000-0005-0000-0000-0000B8390000}"/>
    <cellStyle name="Normal 2 2 2 2 4 2 23 3" xfId="14786" xr:uid="{00000000-0005-0000-0000-0000B9390000}"/>
    <cellStyle name="Normal 2 2 2 2 4 2 23 4" xfId="14787" xr:uid="{00000000-0005-0000-0000-0000BA390000}"/>
    <cellStyle name="Normal 2 2 2 2 4 2 23 5" xfId="14788" xr:uid="{00000000-0005-0000-0000-0000BB390000}"/>
    <cellStyle name="Normal 2 2 2 2 4 2 23 6" xfId="14789" xr:uid="{00000000-0005-0000-0000-0000BC390000}"/>
    <cellStyle name="Normal 2 2 2 2 4 2 23 7" xfId="14790" xr:uid="{00000000-0005-0000-0000-0000BD390000}"/>
    <cellStyle name="Normal 2 2 2 2 4 2 23 8" xfId="14791" xr:uid="{00000000-0005-0000-0000-0000BE390000}"/>
    <cellStyle name="Normal 2 2 2 2 4 2 23 9" xfId="14792" xr:uid="{00000000-0005-0000-0000-0000BF390000}"/>
    <cellStyle name="Normal 2 2 2 2 4 2 24" xfId="14793" xr:uid="{00000000-0005-0000-0000-0000C0390000}"/>
    <cellStyle name="Normal 2 2 2 2 4 2 24 10" xfId="14794" xr:uid="{00000000-0005-0000-0000-0000C1390000}"/>
    <cellStyle name="Normal 2 2 2 2 4 2 24 2" xfId="14795" xr:uid="{00000000-0005-0000-0000-0000C2390000}"/>
    <cellStyle name="Normal 2 2 2 2 4 2 24 3" xfId="14796" xr:uid="{00000000-0005-0000-0000-0000C3390000}"/>
    <cellStyle name="Normal 2 2 2 2 4 2 24 4" xfId="14797" xr:uid="{00000000-0005-0000-0000-0000C4390000}"/>
    <cellStyle name="Normal 2 2 2 2 4 2 24 5" xfId="14798" xr:uid="{00000000-0005-0000-0000-0000C5390000}"/>
    <cellStyle name="Normal 2 2 2 2 4 2 24 6" xfId="14799" xr:uid="{00000000-0005-0000-0000-0000C6390000}"/>
    <cellStyle name="Normal 2 2 2 2 4 2 24 7" xfId="14800" xr:uid="{00000000-0005-0000-0000-0000C7390000}"/>
    <cellStyle name="Normal 2 2 2 2 4 2 24 8" xfId="14801" xr:uid="{00000000-0005-0000-0000-0000C8390000}"/>
    <cellStyle name="Normal 2 2 2 2 4 2 24 9" xfId="14802" xr:uid="{00000000-0005-0000-0000-0000C9390000}"/>
    <cellStyle name="Normal 2 2 2 2 4 2 25" xfId="14803" xr:uid="{00000000-0005-0000-0000-0000CA390000}"/>
    <cellStyle name="Normal 2 2 2 2 4 2 26" xfId="14804" xr:uid="{00000000-0005-0000-0000-0000CB390000}"/>
    <cellStyle name="Normal 2 2 2 2 4 2 27" xfId="14805" xr:uid="{00000000-0005-0000-0000-0000CC390000}"/>
    <cellStyle name="Normal 2 2 2 2 4 2 28" xfId="14806" xr:uid="{00000000-0005-0000-0000-0000CD390000}"/>
    <cellStyle name="Normal 2 2 2 2 4 2 29" xfId="14807" xr:uid="{00000000-0005-0000-0000-0000CE390000}"/>
    <cellStyle name="Normal 2 2 2 2 4 2 3" xfId="14808" xr:uid="{00000000-0005-0000-0000-0000CF390000}"/>
    <cellStyle name="Normal 2 2 2 2 4 2 30" xfId="14809" xr:uid="{00000000-0005-0000-0000-0000D0390000}"/>
    <cellStyle name="Normal 2 2 2 2 4 2 31" xfId="14810" xr:uid="{00000000-0005-0000-0000-0000D1390000}"/>
    <cellStyle name="Normal 2 2 2 2 4 2 32" xfId="14811" xr:uid="{00000000-0005-0000-0000-0000D2390000}"/>
    <cellStyle name="Normal 2 2 2 2 4 2 33" xfId="14812" xr:uid="{00000000-0005-0000-0000-0000D3390000}"/>
    <cellStyle name="Normal 2 2 2 2 4 2 34" xfId="14813" xr:uid="{00000000-0005-0000-0000-0000D4390000}"/>
    <cellStyle name="Normal 2 2 2 2 4 2 35" xfId="14814" xr:uid="{00000000-0005-0000-0000-0000D5390000}"/>
    <cellStyle name="Normal 2 2 2 2 4 2 4" xfId="14815" xr:uid="{00000000-0005-0000-0000-0000D6390000}"/>
    <cellStyle name="Normal 2 2 2 2 4 2 5" xfId="14816" xr:uid="{00000000-0005-0000-0000-0000D7390000}"/>
    <cellStyle name="Normal 2 2 2 2 4 2 6" xfId="14817" xr:uid="{00000000-0005-0000-0000-0000D8390000}"/>
    <cellStyle name="Normal 2 2 2 2 4 2 7" xfId="14818" xr:uid="{00000000-0005-0000-0000-0000D9390000}"/>
    <cellStyle name="Normal 2 2 2 2 4 2 8" xfId="14819" xr:uid="{00000000-0005-0000-0000-0000DA390000}"/>
    <cellStyle name="Normal 2 2 2 2 4 2 9" xfId="14820" xr:uid="{00000000-0005-0000-0000-0000DB390000}"/>
    <cellStyle name="Normal 2 2 2 2 4 20" xfId="14821" xr:uid="{00000000-0005-0000-0000-0000DC390000}"/>
    <cellStyle name="Normal 2 2 2 2 4 20 10" xfId="14822" xr:uid="{00000000-0005-0000-0000-0000DD390000}"/>
    <cellStyle name="Normal 2 2 2 2 4 20 11" xfId="14823" xr:uid="{00000000-0005-0000-0000-0000DE390000}"/>
    <cellStyle name="Normal 2 2 2 2 4 20 12" xfId="14824" xr:uid="{00000000-0005-0000-0000-0000DF390000}"/>
    <cellStyle name="Normal 2 2 2 2 4 20 13" xfId="14825" xr:uid="{00000000-0005-0000-0000-0000E0390000}"/>
    <cellStyle name="Normal 2 2 2 2 4 20 14" xfId="14826" xr:uid="{00000000-0005-0000-0000-0000E1390000}"/>
    <cellStyle name="Normal 2 2 2 2 4 20 2" xfId="14827" xr:uid="{00000000-0005-0000-0000-0000E2390000}"/>
    <cellStyle name="Normal 2 2 2 2 4 20 2 10" xfId="14828" xr:uid="{00000000-0005-0000-0000-0000E3390000}"/>
    <cellStyle name="Normal 2 2 2 2 4 20 2 2" xfId="14829" xr:uid="{00000000-0005-0000-0000-0000E4390000}"/>
    <cellStyle name="Normal 2 2 2 2 4 20 2 3" xfId="14830" xr:uid="{00000000-0005-0000-0000-0000E5390000}"/>
    <cellStyle name="Normal 2 2 2 2 4 20 2 4" xfId="14831" xr:uid="{00000000-0005-0000-0000-0000E6390000}"/>
    <cellStyle name="Normal 2 2 2 2 4 20 2 5" xfId="14832" xr:uid="{00000000-0005-0000-0000-0000E7390000}"/>
    <cellStyle name="Normal 2 2 2 2 4 20 2 6" xfId="14833" xr:uid="{00000000-0005-0000-0000-0000E8390000}"/>
    <cellStyle name="Normal 2 2 2 2 4 20 2 7" xfId="14834" xr:uid="{00000000-0005-0000-0000-0000E9390000}"/>
    <cellStyle name="Normal 2 2 2 2 4 20 2 8" xfId="14835" xr:uid="{00000000-0005-0000-0000-0000EA390000}"/>
    <cellStyle name="Normal 2 2 2 2 4 20 2 9" xfId="14836" xr:uid="{00000000-0005-0000-0000-0000EB390000}"/>
    <cellStyle name="Normal 2 2 2 2 4 20 3" xfId="14837" xr:uid="{00000000-0005-0000-0000-0000EC390000}"/>
    <cellStyle name="Normal 2 2 2 2 4 20 3 10" xfId="14838" xr:uid="{00000000-0005-0000-0000-0000ED390000}"/>
    <cellStyle name="Normal 2 2 2 2 4 20 3 2" xfId="14839" xr:uid="{00000000-0005-0000-0000-0000EE390000}"/>
    <cellStyle name="Normal 2 2 2 2 4 20 3 3" xfId="14840" xr:uid="{00000000-0005-0000-0000-0000EF390000}"/>
    <cellStyle name="Normal 2 2 2 2 4 20 3 4" xfId="14841" xr:uid="{00000000-0005-0000-0000-0000F0390000}"/>
    <cellStyle name="Normal 2 2 2 2 4 20 3 5" xfId="14842" xr:uid="{00000000-0005-0000-0000-0000F1390000}"/>
    <cellStyle name="Normal 2 2 2 2 4 20 3 6" xfId="14843" xr:uid="{00000000-0005-0000-0000-0000F2390000}"/>
    <cellStyle name="Normal 2 2 2 2 4 20 3 7" xfId="14844" xr:uid="{00000000-0005-0000-0000-0000F3390000}"/>
    <cellStyle name="Normal 2 2 2 2 4 20 3 8" xfId="14845" xr:uid="{00000000-0005-0000-0000-0000F4390000}"/>
    <cellStyle name="Normal 2 2 2 2 4 20 3 9" xfId="14846" xr:uid="{00000000-0005-0000-0000-0000F5390000}"/>
    <cellStyle name="Normal 2 2 2 2 4 20 4" xfId="14847" xr:uid="{00000000-0005-0000-0000-0000F6390000}"/>
    <cellStyle name="Normal 2 2 2 2 4 20 4 10" xfId="14848" xr:uid="{00000000-0005-0000-0000-0000F7390000}"/>
    <cellStyle name="Normal 2 2 2 2 4 20 4 2" xfId="14849" xr:uid="{00000000-0005-0000-0000-0000F8390000}"/>
    <cellStyle name="Normal 2 2 2 2 4 20 4 3" xfId="14850" xr:uid="{00000000-0005-0000-0000-0000F9390000}"/>
    <cellStyle name="Normal 2 2 2 2 4 20 4 4" xfId="14851" xr:uid="{00000000-0005-0000-0000-0000FA390000}"/>
    <cellStyle name="Normal 2 2 2 2 4 20 4 5" xfId="14852" xr:uid="{00000000-0005-0000-0000-0000FB390000}"/>
    <cellStyle name="Normal 2 2 2 2 4 20 4 6" xfId="14853" xr:uid="{00000000-0005-0000-0000-0000FC390000}"/>
    <cellStyle name="Normal 2 2 2 2 4 20 4 7" xfId="14854" xr:uid="{00000000-0005-0000-0000-0000FD390000}"/>
    <cellStyle name="Normal 2 2 2 2 4 20 4 8" xfId="14855" xr:uid="{00000000-0005-0000-0000-0000FE390000}"/>
    <cellStyle name="Normal 2 2 2 2 4 20 4 9" xfId="14856" xr:uid="{00000000-0005-0000-0000-0000FF390000}"/>
    <cellStyle name="Normal 2 2 2 2 4 20 5" xfId="14857" xr:uid="{00000000-0005-0000-0000-0000003A0000}"/>
    <cellStyle name="Normal 2 2 2 2 4 20 5 10" xfId="14858" xr:uid="{00000000-0005-0000-0000-0000013A0000}"/>
    <cellStyle name="Normal 2 2 2 2 4 20 5 2" xfId="14859" xr:uid="{00000000-0005-0000-0000-0000023A0000}"/>
    <cellStyle name="Normal 2 2 2 2 4 20 5 3" xfId="14860" xr:uid="{00000000-0005-0000-0000-0000033A0000}"/>
    <cellStyle name="Normal 2 2 2 2 4 20 5 4" xfId="14861" xr:uid="{00000000-0005-0000-0000-0000043A0000}"/>
    <cellStyle name="Normal 2 2 2 2 4 20 5 5" xfId="14862" xr:uid="{00000000-0005-0000-0000-0000053A0000}"/>
    <cellStyle name="Normal 2 2 2 2 4 20 5 6" xfId="14863" xr:uid="{00000000-0005-0000-0000-0000063A0000}"/>
    <cellStyle name="Normal 2 2 2 2 4 20 5 7" xfId="14864" xr:uid="{00000000-0005-0000-0000-0000073A0000}"/>
    <cellStyle name="Normal 2 2 2 2 4 20 5 8" xfId="14865" xr:uid="{00000000-0005-0000-0000-0000083A0000}"/>
    <cellStyle name="Normal 2 2 2 2 4 20 5 9" xfId="14866" xr:uid="{00000000-0005-0000-0000-0000093A0000}"/>
    <cellStyle name="Normal 2 2 2 2 4 20 6" xfId="14867" xr:uid="{00000000-0005-0000-0000-00000A3A0000}"/>
    <cellStyle name="Normal 2 2 2 2 4 20 7" xfId="14868" xr:uid="{00000000-0005-0000-0000-00000B3A0000}"/>
    <cellStyle name="Normal 2 2 2 2 4 20 8" xfId="14869" xr:uid="{00000000-0005-0000-0000-00000C3A0000}"/>
    <cellStyle name="Normal 2 2 2 2 4 20 9" xfId="14870" xr:uid="{00000000-0005-0000-0000-00000D3A0000}"/>
    <cellStyle name="Normal 2 2 2 2 4 21" xfId="14871" xr:uid="{00000000-0005-0000-0000-00000E3A0000}"/>
    <cellStyle name="Normal 2 2 2 2 4 21 10" xfId="14872" xr:uid="{00000000-0005-0000-0000-00000F3A0000}"/>
    <cellStyle name="Normal 2 2 2 2 4 21 11" xfId="14873" xr:uid="{00000000-0005-0000-0000-0000103A0000}"/>
    <cellStyle name="Normal 2 2 2 2 4 21 12" xfId="14874" xr:uid="{00000000-0005-0000-0000-0000113A0000}"/>
    <cellStyle name="Normal 2 2 2 2 4 21 13" xfId="14875" xr:uid="{00000000-0005-0000-0000-0000123A0000}"/>
    <cellStyle name="Normal 2 2 2 2 4 21 14" xfId="14876" xr:uid="{00000000-0005-0000-0000-0000133A0000}"/>
    <cellStyle name="Normal 2 2 2 2 4 21 2" xfId="14877" xr:uid="{00000000-0005-0000-0000-0000143A0000}"/>
    <cellStyle name="Normal 2 2 2 2 4 21 2 10" xfId="14878" xr:uid="{00000000-0005-0000-0000-0000153A0000}"/>
    <cellStyle name="Normal 2 2 2 2 4 21 2 2" xfId="14879" xr:uid="{00000000-0005-0000-0000-0000163A0000}"/>
    <cellStyle name="Normal 2 2 2 2 4 21 2 3" xfId="14880" xr:uid="{00000000-0005-0000-0000-0000173A0000}"/>
    <cellStyle name="Normal 2 2 2 2 4 21 2 4" xfId="14881" xr:uid="{00000000-0005-0000-0000-0000183A0000}"/>
    <cellStyle name="Normal 2 2 2 2 4 21 2 5" xfId="14882" xr:uid="{00000000-0005-0000-0000-0000193A0000}"/>
    <cellStyle name="Normal 2 2 2 2 4 21 2 6" xfId="14883" xr:uid="{00000000-0005-0000-0000-00001A3A0000}"/>
    <cellStyle name="Normal 2 2 2 2 4 21 2 7" xfId="14884" xr:uid="{00000000-0005-0000-0000-00001B3A0000}"/>
    <cellStyle name="Normal 2 2 2 2 4 21 2 8" xfId="14885" xr:uid="{00000000-0005-0000-0000-00001C3A0000}"/>
    <cellStyle name="Normal 2 2 2 2 4 21 2 9" xfId="14886" xr:uid="{00000000-0005-0000-0000-00001D3A0000}"/>
    <cellStyle name="Normal 2 2 2 2 4 21 3" xfId="14887" xr:uid="{00000000-0005-0000-0000-00001E3A0000}"/>
    <cellStyle name="Normal 2 2 2 2 4 21 3 10" xfId="14888" xr:uid="{00000000-0005-0000-0000-00001F3A0000}"/>
    <cellStyle name="Normal 2 2 2 2 4 21 3 2" xfId="14889" xr:uid="{00000000-0005-0000-0000-0000203A0000}"/>
    <cellStyle name="Normal 2 2 2 2 4 21 3 3" xfId="14890" xr:uid="{00000000-0005-0000-0000-0000213A0000}"/>
    <cellStyle name="Normal 2 2 2 2 4 21 3 4" xfId="14891" xr:uid="{00000000-0005-0000-0000-0000223A0000}"/>
    <cellStyle name="Normal 2 2 2 2 4 21 3 5" xfId="14892" xr:uid="{00000000-0005-0000-0000-0000233A0000}"/>
    <cellStyle name="Normal 2 2 2 2 4 21 3 6" xfId="14893" xr:uid="{00000000-0005-0000-0000-0000243A0000}"/>
    <cellStyle name="Normal 2 2 2 2 4 21 3 7" xfId="14894" xr:uid="{00000000-0005-0000-0000-0000253A0000}"/>
    <cellStyle name="Normal 2 2 2 2 4 21 3 8" xfId="14895" xr:uid="{00000000-0005-0000-0000-0000263A0000}"/>
    <cellStyle name="Normal 2 2 2 2 4 21 3 9" xfId="14896" xr:uid="{00000000-0005-0000-0000-0000273A0000}"/>
    <cellStyle name="Normal 2 2 2 2 4 21 4" xfId="14897" xr:uid="{00000000-0005-0000-0000-0000283A0000}"/>
    <cellStyle name="Normal 2 2 2 2 4 21 4 10" xfId="14898" xr:uid="{00000000-0005-0000-0000-0000293A0000}"/>
    <cellStyle name="Normal 2 2 2 2 4 21 4 2" xfId="14899" xr:uid="{00000000-0005-0000-0000-00002A3A0000}"/>
    <cellStyle name="Normal 2 2 2 2 4 21 4 3" xfId="14900" xr:uid="{00000000-0005-0000-0000-00002B3A0000}"/>
    <cellStyle name="Normal 2 2 2 2 4 21 4 4" xfId="14901" xr:uid="{00000000-0005-0000-0000-00002C3A0000}"/>
    <cellStyle name="Normal 2 2 2 2 4 21 4 5" xfId="14902" xr:uid="{00000000-0005-0000-0000-00002D3A0000}"/>
    <cellStyle name="Normal 2 2 2 2 4 21 4 6" xfId="14903" xr:uid="{00000000-0005-0000-0000-00002E3A0000}"/>
    <cellStyle name="Normal 2 2 2 2 4 21 4 7" xfId="14904" xr:uid="{00000000-0005-0000-0000-00002F3A0000}"/>
    <cellStyle name="Normal 2 2 2 2 4 21 4 8" xfId="14905" xr:uid="{00000000-0005-0000-0000-0000303A0000}"/>
    <cellStyle name="Normal 2 2 2 2 4 21 4 9" xfId="14906" xr:uid="{00000000-0005-0000-0000-0000313A0000}"/>
    <cellStyle name="Normal 2 2 2 2 4 21 5" xfId="14907" xr:uid="{00000000-0005-0000-0000-0000323A0000}"/>
    <cellStyle name="Normal 2 2 2 2 4 21 5 10" xfId="14908" xr:uid="{00000000-0005-0000-0000-0000333A0000}"/>
    <cellStyle name="Normal 2 2 2 2 4 21 5 2" xfId="14909" xr:uid="{00000000-0005-0000-0000-0000343A0000}"/>
    <cellStyle name="Normal 2 2 2 2 4 21 5 3" xfId="14910" xr:uid="{00000000-0005-0000-0000-0000353A0000}"/>
    <cellStyle name="Normal 2 2 2 2 4 21 5 4" xfId="14911" xr:uid="{00000000-0005-0000-0000-0000363A0000}"/>
    <cellStyle name="Normal 2 2 2 2 4 21 5 5" xfId="14912" xr:uid="{00000000-0005-0000-0000-0000373A0000}"/>
    <cellStyle name="Normal 2 2 2 2 4 21 5 6" xfId="14913" xr:uid="{00000000-0005-0000-0000-0000383A0000}"/>
    <cellStyle name="Normal 2 2 2 2 4 21 5 7" xfId="14914" xr:uid="{00000000-0005-0000-0000-0000393A0000}"/>
    <cellStyle name="Normal 2 2 2 2 4 21 5 8" xfId="14915" xr:uid="{00000000-0005-0000-0000-00003A3A0000}"/>
    <cellStyle name="Normal 2 2 2 2 4 21 5 9" xfId="14916" xr:uid="{00000000-0005-0000-0000-00003B3A0000}"/>
    <cellStyle name="Normal 2 2 2 2 4 21 6" xfId="14917" xr:uid="{00000000-0005-0000-0000-00003C3A0000}"/>
    <cellStyle name="Normal 2 2 2 2 4 21 7" xfId="14918" xr:uid="{00000000-0005-0000-0000-00003D3A0000}"/>
    <cellStyle name="Normal 2 2 2 2 4 21 8" xfId="14919" xr:uid="{00000000-0005-0000-0000-00003E3A0000}"/>
    <cellStyle name="Normal 2 2 2 2 4 21 9" xfId="14920" xr:uid="{00000000-0005-0000-0000-00003F3A0000}"/>
    <cellStyle name="Normal 2 2 2 2 4 22" xfId="14921" xr:uid="{00000000-0005-0000-0000-0000403A0000}"/>
    <cellStyle name="Normal 2 2 2 2 4 22 10" xfId="14922" xr:uid="{00000000-0005-0000-0000-0000413A0000}"/>
    <cellStyle name="Normal 2 2 2 2 4 22 11" xfId="14923" xr:uid="{00000000-0005-0000-0000-0000423A0000}"/>
    <cellStyle name="Normal 2 2 2 2 4 22 12" xfId="14924" xr:uid="{00000000-0005-0000-0000-0000433A0000}"/>
    <cellStyle name="Normal 2 2 2 2 4 22 13" xfId="14925" xr:uid="{00000000-0005-0000-0000-0000443A0000}"/>
    <cellStyle name="Normal 2 2 2 2 4 22 14" xfId="14926" xr:uid="{00000000-0005-0000-0000-0000453A0000}"/>
    <cellStyle name="Normal 2 2 2 2 4 22 2" xfId="14927" xr:uid="{00000000-0005-0000-0000-0000463A0000}"/>
    <cellStyle name="Normal 2 2 2 2 4 22 2 10" xfId="14928" xr:uid="{00000000-0005-0000-0000-0000473A0000}"/>
    <cellStyle name="Normal 2 2 2 2 4 22 2 2" xfId="14929" xr:uid="{00000000-0005-0000-0000-0000483A0000}"/>
    <cellStyle name="Normal 2 2 2 2 4 22 2 3" xfId="14930" xr:uid="{00000000-0005-0000-0000-0000493A0000}"/>
    <cellStyle name="Normal 2 2 2 2 4 22 2 4" xfId="14931" xr:uid="{00000000-0005-0000-0000-00004A3A0000}"/>
    <cellStyle name="Normal 2 2 2 2 4 22 2 5" xfId="14932" xr:uid="{00000000-0005-0000-0000-00004B3A0000}"/>
    <cellStyle name="Normal 2 2 2 2 4 22 2 6" xfId="14933" xr:uid="{00000000-0005-0000-0000-00004C3A0000}"/>
    <cellStyle name="Normal 2 2 2 2 4 22 2 7" xfId="14934" xr:uid="{00000000-0005-0000-0000-00004D3A0000}"/>
    <cellStyle name="Normal 2 2 2 2 4 22 2 8" xfId="14935" xr:uid="{00000000-0005-0000-0000-00004E3A0000}"/>
    <cellStyle name="Normal 2 2 2 2 4 22 2 9" xfId="14936" xr:uid="{00000000-0005-0000-0000-00004F3A0000}"/>
    <cellStyle name="Normal 2 2 2 2 4 22 3" xfId="14937" xr:uid="{00000000-0005-0000-0000-0000503A0000}"/>
    <cellStyle name="Normal 2 2 2 2 4 22 3 10" xfId="14938" xr:uid="{00000000-0005-0000-0000-0000513A0000}"/>
    <cellStyle name="Normal 2 2 2 2 4 22 3 2" xfId="14939" xr:uid="{00000000-0005-0000-0000-0000523A0000}"/>
    <cellStyle name="Normal 2 2 2 2 4 22 3 3" xfId="14940" xr:uid="{00000000-0005-0000-0000-0000533A0000}"/>
    <cellStyle name="Normal 2 2 2 2 4 22 3 4" xfId="14941" xr:uid="{00000000-0005-0000-0000-0000543A0000}"/>
    <cellStyle name="Normal 2 2 2 2 4 22 3 5" xfId="14942" xr:uid="{00000000-0005-0000-0000-0000553A0000}"/>
    <cellStyle name="Normal 2 2 2 2 4 22 3 6" xfId="14943" xr:uid="{00000000-0005-0000-0000-0000563A0000}"/>
    <cellStyle name="Normal 2 2 2 2 4 22 3 7" xfId="14944" xr:uid="{00000000-0005-0000-0000-0000573A0000}"/>
    <cellStyle name="Normal 2 2 2 2 4 22 3 8" xfId="14945" xr:uid="{00000000-0005-0000-0000-0000583A0000}"/>
    <cellStyle name="Normal 2 2 2 2 4 22 3 9" xfId="14946" xr:uid="{00000000-0005-0000-0000-0000593A0000}"/>
    <cellStyle name="Normal 2 2 2 2 4 22 4" xfId="14947" xr:uid="{00000000-0005-0000-0000-00005A3A0000}"/>
    <cellStyle name="Normal 2 2 2 2 4 22 4 10" xfId="14948" xr:uid="{00000000-0005-0000-0000-00005B3A0000}"/>
    <cellStyle name="Normal 2 2 2 2 4 22 4 2" xfId="14949" xr:uid="{00000000-0005-0000-0000-00005C3A0000}"/>
    <cellStyle name="Normal 2 2 2 2 4 22 4 3" xfId="14950" xr:uid="{00000000-0005-0000-0000-00005D3A0000}"/>
    <cellStyle name="Normal 2 2 2 2 4 22 4 4" xfId="14951" xr:uid="{00000000-0005-0000-0000-00005E3A0000}"/>
    <cellStyle name="Normal 2 2 2 2 4 22 4 5" xfId="14952" xr:uid="{00000000-0005-0000-0000-00005F3A0000}"/>
    <cellStyle name="Normal 2 2 2 2 4 22 4 6" xfId="14953" xr:uid="{00000000-0005-0000-0000-0000603A0000}"/>
    <cellStyle name="Normal 2 2 2 2 4 22 4 7" xfId="14954" xr:uid="{00000000-0005-0000-0000-0000613A0000}"/>
    <cellStyle name="Normal 2 2 2 2 4 22 4 8" xfId="14955" xr:uid="{00000000-0005-0000-0000-0000623A0000}"/>
    <cellStyle name="Normal 2 2 2 2 4 22 4 9" xfId="14956" xr:uid="{00000000-0005-0000-0000-0000633A0000}"/>
    <cellStyle name="Normal 2 2 2 2 4 22 5" xfId="14957" xr:uid="{00000000-0005-0000-0000-0000643A0000}"/>
    <cellStyle name="Normal 2 2 2 2 4 22 5 10" xfId="14958" xr:uid="{00000000-0005-0000-0000-0000653A0000}"/>
    <cellStyle name="Normal 2 2 2 2 4 22 5 2" xfId="14959" xr:uid="{00000000-0005-0000-0000-0000663A0000}"/>
    <cellStyle name="Normal 2 2 2 2 4 22 5 3" xfId="14960" xr:uid="{00000000-0005-0000-0000-0000673A0000}"/>
    <cellStyle name="Normal 2 2 2 2 4 22 5 4" xfId="14961" xr:uid="{00000000-0005-0000-0000-0000683A0000}"/>
    <cellStyle name="Normal 2 2 2 2 4 22 5 5" xfId="14962" xr:uid="{00000000-0005-0000-0000-0000693A0000}"/>
    <cellStyle name="Normal 2 2 2 2 4 22 5 6" xfId="14963" xr:uid="{00000000-0005-0000-0000-00006A3A0000}"/>
    <cellStyle name="Normal 2 2 2 2 4 22 5 7" xfId="14964" xr:uid="{00000000-0005-0000-0000-00006B3A0000}"/>
    <cellStyle name="Normal 2 2 2 2 4 22 5 8" xfId="14965" xr:uid="{00000000-0005-0000-0000-00006C3A0000}"/>
    <cellStyle name="Normal 2 2 2 2 4 22 5 9" xfId="14966" xr:uid="{00000000-0005-0000-0000-00006D3A0000}"/>
    <cellStyle name="Normal 2 2 2 2 4 22 6" xfId="14967" xr:uid="{00000000-0005-0000-0000-00006E3A0000}"/>
    <cellStyle name="Normal 2 2 2 2 4 22 7" xfId="14968" xr:uid="{00000000-0005-0000-0000-00006F3A0000}"/>
    <cellStyle name="Normal 2 2 2 2 4 22 8" xfId="14969" xr:uid="{00000000-0005-0000-0000-0000703A0000}"/>
    <cellStyle name="Normal 2 2 2 2 4 22 9" xfId="14970" xr:uid="{00000000-0005-0000-0000-0000713A0000}"/>
    <cellStyle name="Normal 2 2 2 2 4 23" xfId="14971" xr:uid="{00000000-0005-0000-0000-0000723A0000}"/>
    <cellStyle name="Normal 2 2 2 2 4 23 10" xfId="14972" xr:uid="{00000000-0005-0000-0000-0000733A0000}"/>
    <cellStyle name="Normal 2 2 2 2 4 23 11" xfId="14973" xr:uid="{00000000-0005-0000-0000-0000743A0000}"/>
    <cellStyle name="Normal 2 2 2 2 4 23 12" xfId="14974" xr:uid="{00000000-0005-0000-0000-0000753A0000}"/>
    <cellStyle name="Normal 2 2 2 2 4 23 13" xfId="14975" xr:uid="{00000000-0005-0000-0000-0000763A0000}"/>
    <cellStyle name="Normal 2 2 2 2 4 23 14" xfId="14976" xr:uid="{00000000-0005-0000-0000-0000773A0000}"/>
    <cellStyle name="Normal 2 2 2 2 4 23 2" xfId="14977" xr:uid="{00000000-0005-0000-0000-0000783A0000}"/>
    <cellStyle name="Normal 2 2 2 2 4 23 2 10" xfId="14978" xr:uid="{00000000-0005-0000-0000-0000793A0000}"/>
    <cellStyle name="Normal 2 2 2 2 4 23 2 2" xfId="14979" xr:uid="{00000000-0005-0000-0000-00007A3A0000}"/>
    <cellStyle name="Normal 2 2 2 2 4 23 2 3" xfId="14980" xr:uid="{00000000-0005-0000-0000-00007B3A0000}"/>
    <cellStyle name="Normal 2 2 2 2 4 23 2 4" xfId="14981" xr:uid="{00000000-0005-0000-0000-00007C3A0000}"/>
    <cellStyle name="Normal 2 2 2 2 4 23 2 5" xfId="14982" xr:uid="{00000000-0005-0000-0000-00007D3A0000}"/>
    <cellStyle name="Normal 2 2 2 2 4 23 2 6" xfId="14983" xr:uid="{00000000-0005-0000-0000-00007E3A0000}"/>
    <cellStyle name="Normal 2 2 2 2 4 23 2 7" xfId="14984" xr:uid="{00000000-0005-0000-0000-00007F3A0000}"/>
    <cellStyle name="Normal 2 2 2 2 4 23 2 8" xfId="14985" xr:uid="{00000000-0005-0000-0000-0000803A0000}"/>
    <cellStyle name="Normal 2 2 2 2 4 23 2 9" xfId="14986" xr:uid="{00000000-0005-0000-0000-0000813A0000}"/>
    <cellStyle name="Normal 2 2 2 2 4 23 3" xfId="14987" xr:uid="{00000000-0005-0000-0000-0000823A0000}"/>
    <cellStyle name="Normal 2 2 2 2 4 23 3 10" xfId="14988" xr:uid="{00000000-0005-0000-0000-0000833A0000}"/>
    <cellStyle name="Normal 2 2 2 2 4 23 3 2" xfId="14989" xr:uid="{00000000-0005-0000-0000-0000843A0000}"/>
    <cellStyle name="Normal 2 2 2 2 4 23 3 3" xfId="14990" xr:uid="{00000000-0005-0000-0000-0000853A0000}"/>
    <cellStyle name="Normal 2 2 2 2 4 23 3 4" xfId="14991" xr:uid="{00000000-0005-0000-0000-0000863A0000}"/>
    <cellStyle name="Normal 2 2 2 2 4 23 3 5" xfId="14992" xr:uid="{00000000-0005-0000-0000-0000873A0000}"/>
    <cellStyle name="Normal 2 2 2 2 4 23 3 6" xfId="14993" xr:uid="{00000000-0005-0000-0000-0000883A0000}"/>
    <cellStyle name="Normal 2 2 2 2 4 23 3 7" xfId="14994" xr:uid="{00000000-0005-0000-0000-0000893A0000}"/>
    <cellStyle name="Normal 2 2 2 2 4 23 3 8" xfId="14995" xr:uid="{00000000-0005-0000-0000-00008A3A0000}"/>
    <cellStyle name="Normal 2 2 2 2 4 23 3 9" xfId="14996" xr:uid="{00000000-0005-0000-0000-00008B3A0000}"/>
    <cellStyle name="Normal 2 2 2 2 4 23 4" xfId="14997" xr:uid="{00000000-0005-0000-0000-00008C3A0000}"/>
    <cellStyle name="Normal 2 2 2 2 4 23 4 10" xfId="14998" xr:uid="{00000000-0005-0000-0000-00008D3A0000}"/>
    <cellStyle name="Normal 2 2 2 2 4 23 4 2" xfId="14999" xr:uid="{00000000-0005-0000-0000-00008E3A0000}"/>
    <cellStyle name="Normal 2 2 2 2 4 23 4 3" xfId="15000" xr:uid="{00000000-0005-0000-0000-00008F3A0000}"/>
    <cellStyle name="Normal 2 2 2 2 4 23 4 4" xfId="15001" xr:uid="{00000000-0005-0000-0000-0000903A0000}"/>
    <cellStyle name="Normal 2 2 2 2 4 23 4 5" xfId="15002" xr:uid="{00000000-0005-0000-0000-0000913A0000}"/>
    <cellStyle name="Normal 2 2 2 2 4 23 4 6" xfId="15003" xr:uid="{00000000-0005-0000-0000-0000923A0000}"/>
    <cellStyle name="Normal 2 2 2 2 4 23 4 7" xfId="15004" xr:uid="{00000000-0005-0000-0000-0000933A0000}"/>
    <cellStyle name="Normal 2 2 2 2 4 23 4 8" xfId="15005" xr:uid="{00000000-0005-0000-0000-0000943A0000}"/>
    <cellStyle name="Normal 2 2 2 2 4 23 4 9" xfId="15006" xr:uid="{00000000-0005-0000-0000-0000953A0000}"/>
    <cellStyle name="Normal 2 2 2 2 4 23 5" xfId="15007" xr:uid="{00000000-0005-0000-0000-0000963A0000}"/>
    <cellStyle name="Normal 2 2 2 2 4 23 5 10" xfId="15008" xr:uid="{00000000-0005-0000-0000-0000973A0000}"/>
    <cellStyle name="Normal 2 2 2 2 4 23 5 2" xfId="15009" xr:uid="{00000000-0005-0000-0000-0000983A0000}"/>
    <cellStyle name="Normal 2 2 2 2 4 23 5 3" xfId="15010" xr:uid="{00000000-0005-0000-0000-0000993A0000}"/>
    <cellStyle name="Normal 2 2 2 2 4 23 5 4" xfId="15011" xr:uid="{00000000-0005-0000-0000-00009A3A0000}"/>
    <cellStyle name="Normal 2 2 2 2 4 23 5 5" xfId="15012" xr:uid="{00000000-0005-0000-0000-00009B3A0000}"/>
    <cellStyle name="Normal 2 2 2 2 4 23 5 6" xfId="15013" xr:uid="{00000000-0005-0000-0000-00009C3A0000}"/>
    <cellStyle name="Normal 2 2 2 2 4 23 5 7" xfId="15014" xr:uid="{00000000-0005-0000-0000-00009D3A0000}"/>
    <cellStyle name="Normal 2 2 2 2 4 23 5 8" xfId="15015" xr:uid="{00000000-0005-0000-0000-00009E3A0000}"/>
    <cellStyle name="Normal 2 2 2 2 4 23 5 9" xfId="15016" xr:uid="{00000000-0005-0000-0000-00009F3A0000}"/>
    <cellStyle name="Normal 2 2 2 2 4 23 6" xfId="15017" xr:uid="{00000000-0005-0000-0000-0000A03A0000}"/>
    <cellStyle name="Normal 2 2 2 2 4 23 7" xfId="15018" xr:uid="{00000000-0005-0000-0000-0000A13A0000}"/>
    <cellStyle name="Normal 2 2 2 2 4 23 8" xfId="15019" xr:uid="{00000000-0005-0000-0000-0000A23A0000}"/>
    <cellStyle name="Normal 2 2 2 2 4 23 9" xfId="15020" xr:uid="{00000000-0005-0000-0000-0000A33A0000}"/>
    <cellStyle name="Normal 2 2 2 2 4 24" xfId="15021" xr:uid="{00000000-0005-0000-0000-0000A43A0000}"/>
    <cellStyle name="Normal 2 2 2 2 4 24 10" xfId="15022" xr:uid="{00000000-0005-0000-0000-0000A53A0000}"/>
    <cellStyle name="Normal 2 2 2 2 4 24 11" xfId="15023" xr:uid="{00000000-0005-0000-0000-0000A63A0000}"/>
    <cellStyle name="Normal 2 2 2 2 4 24 12" xfId="15024" xr:uid="{00000000-0005-0000-0000-0000A73A0000}"/>
    <cellStyle name="Normal 2 2 2 2 4 24 13" xfId="15025" xr:uid="{00000000-0005-0000-0000-0000A83A0000}"/>
    <cellStyle name="Normal 2 2 2 2 4 24 14" xfId="15026" xr:uid="{00000000-0005-0000-0000-0000A93A0000}"/>
    <cellStyle name="Normal 2 2 2 2 4 24 2" xfId="15027" xr:uid="{00000000-0005-0000-0000-0000AA3A0000}"/>
    <cellStyle name="Normal 2 2 2 2 4 24 2 10" xfId="15028" xr:uid="{00000000-0005-0000-0000-0000AB3A0000}"/>
    <cellStyle name="Normal 2 2 2 2 4 24 2 2" xfId="15029" xr:uid="{00000000-0005-0000-0000-0000AC3A0000}"/>
    <cellStyle name="Normal 2 2 2 2 4 24 2 3" xfId="15030" xr:uid="{00000000-0005-0000-0000-0000AD3A0000}"/>
    <cellStyle name="Normal 2 2 2 2 4 24 2 4" xfId="15031" xr:uid="{00000000-0005-0000-0000-0000AE3A0000}"/>
    <cellStyle name="Normal 2 2 2 2 4 24 2 5" xfId="15032" xr:uid="{00000000-0005-0000-0000-0000AF3A0000}"/>
    <cellStyle name="Normal 2 2 2 2 4 24 2 6" xfId="15033" xr:uid="{00000000-0005-0000-0000-0000B03A0000}"/>
    <cellStyle name="Normal 2 2 2 2 4 24 2 7" xfId="15034" xr:uid="{00000000-0005-0000-0000-0000B13A0000}"/>
    <cellStyle name="Normal 2 2 2 2 4 24 2 8" xfId="15035" xr:uid="{00000000-0005-0000-0000-0000B23A0000}"/>
    <cellStyle name="Normal 2 2 2 2 4 24 2 9" xfId="15036" xr:uid="{00000000-0005-0000-0000-0000B33A0000}"/>
    <cellStyle name="Normal 2 2 2 2 4 24 3" xfId="15037" xr:uid="{00000000-0005-0000-0000-0000B43A0000}"/>
    <cellStyle name="Normal 2 2 2 2 4 24 3 10" xfId="15038" xr:uid="{00000000-0005-0000-0000-0000B53A0000}"/>
    <cellStyle name="Normal 2 2 2 2 4 24 3 2" xfId="15039" xr:uid="{00000000-0005-0000-0000-0000B63A0000}"/>
    <cellStyle name="Normal 2 2 2 2 4 24 3 3" xfId="15040" xr:uid="{00000000-0005-0000-0000-0000B73A0000}"/>
    <cellStyle name="Normal 2 2 2 2 4 24 3 4" xfId="15041" xr:uid="{00000000-0005-0000-0000-0000B83A0000}"/>
    <cellStyle name="Normal 2 2 2 2 4 24 3 5" xfId="15042" xr:uid="{00000000-0005-0000-0000-0000B93A0000}"/>
    <cellStyle name="Normal 2 2 2 2 4 24 3 6" xfId="15043" xr:uid="{00000000-0005-0000-0000-0000BA3A0000}"/>
    <cellStyle name="Normal 2 2 2 2 4 24 3 7" xfId="15044" xr:uid="{00000000-0005-0000-0000-0000BB3A0000}"/>
    <cellStyle name="Normal 2 2 2 2 4 24 3 8" xfId="15045" xr:uid="{00000000-0005-0000-0000-0000BC3A0000}"/>
    <cellStyle name="Normal 2 2 2 2 4 24 3 9" xfId="15046" xr:uid="{00000000-0005-0000-0000-0000BD3A0000}"/>
    <cellStyle name="Normal 2 2 2 2 4 24 4" xfId="15047" xr:uid="{00000000-0005-0000-0000-0000BE3A0000}"/>
    <cellStyle name="Normal 2 2 2 2 4 24 4 10" xfId="15048" xr:uid="{00000000-0005-0000-0000-0000BF3A0000}"/>
    <cellStyle name="Normal 2 2 2 2 4 24 4 2" xfId="15049" xr:uid="{00000000-0005-0000-0000-0000C03A0000}"/>
    <cellStyle name="Normal 2 2 2 2 4 24 4 3" xfId="15050" xr:uid="{00000000-0005-0000-0000-0000C13A0000}"/>
    <cellStyle name="Normal 2 2 2 2 4 24 4 4" xfId="15051" xr:uid="{00000000-0005-0000-0000-0000C23A0000}"/>
    <cellStyle name="Normal 2 2 2 2 4 24 4 5" xfId="15052" xr:uid="{00000000-0005-0000-0000-0000C33A0000}"/>
    <cellStyle name="Normal 2 2 2 2 4 24 4 6" xfId="15053" xr:uid="{00000000-0005-0000-0000-0000C43A0000}"/>
    <cellStyle name="Normal 2 2 2 2 4 24 4 7" xfId="15054" xr:uid="{00000000-0005-0000-0000-0000C53A0000}"/>
    <cellStyle name="Normal 2 2 2 2 4 24 4 8" xfId="15055" xr:uid="{00000000-0005-0000-0000-0000C63A0000}"/>
    <cellStyle name="Normal 2 2 2 2 4 24 4 9" xfId="15056" xr:uid="{00000000-0005-0000-0000-0000C73A0000}"/>
    <cellStyle name="Normal 2 2 2 2 4 24 5" xfId="15057" xr:uid="{00000000-0005-0000-0000-0000C83A0000}"/>
    <cellStyle name="Normal 2 2 2 2 4 24 5 10" xfId="15058" xr:uid="{00000000-0005-0000-0000-0000C93A0000}"/>
    <cellStyle name="Normal 2 2 2 2 4 24 5 2" xfId="15059" xr:uid="{00000000-0005-0000-0000-0000CA3A0000}"/>
    <cellStyle name="Normal 2 2 2 2 4 24 5 3" xfId="15060" xr:uid="{00000000-0005-0000-0000-0000CB3A0000}"/>
    <cellStyle name="Normal 2 2 2 2 4 24 5 4" xfId="15061" xr:uid="{00000000-0005-0000-0000-0000CC3A0000}"/>
    <cellStyle name="Normal 2 2 2 2 4 24 5 5" xfId="15062" xr:uid="{00000000-0005-0000-0000-0000CD3A0000}"/>
    <cellStyle name="Normal 2 2 2 2 4 24 5 6" xfId="15063" xr:uid="{00000000-0005-0000-0000-0000CE3A0000}"/>
    <cellStyle name="Normal 2 2 2 2 4 24 5 7" xfId="15064" xr:uid="{00000000-0005-0000-0000-0000CF3A0000}"/>
    <cellStyle name="Normal 2 2 2 2 4 24 5 8" xfId="15065" xr:uid="{00000000-0005-0000-0000-0000D03A0000}"/>
    <cellStyle name="Normal 2 2 2 2 4 24 5 9" xfId="15066" xr:uid="{00000000-0005-0000-0000-0000D13A0000}"/>
    <cellStyle name="Normal 2 2 2 2 4 24 6" xfId="15067" xr:uid="{00000000-0005-0000-0000-0000D23A0000}"/>
    <cellStyle name="Normal 2 2 2 2 4 24 7" xfId="15068" xr:uid="{00000000-0005-0000-0000-0000D33A0000}"/>
    <cellStyle name="Normal 2 2 2 2 4 24 8" xfId="15069" xr:uid="{00000000-0005-0000-0000-0000D43A0000}"/>
    <cellStyle name="Normal 2 2 2 2 4 24 9" xfId="15070" xr:uid="{00000000-0005-0000-0000-0000D53A0000}"/>
    <cellStyle name="Normal 2 2 2 2 4 25" xfId="15071" xr:uid="{00000000-0005-0000-0000-0000D63A0000}"/>
    <cellStyle name="Normal 2 2 2 2 4 25 10" xfId="15072" xr:uid="{00000000-0005-0000-0000-0000D73A0000}"/>
    <cellStyle name="Normal 2 2 2 2 4 25 11" xfId="15073" xr:uid="{00000000-0005-0000-0000-0000D83A0000}"/>
    <cellStyle name="Normal 2 2 2 2 4 25 12" xfId="15074" xr:uid="{00000000-0005-0000-0000-0000D93A0000}"/>
    <cellStyle name="Normal 2 2 2 2 4 25 13" xfId="15075" xr:uid="{00000000-0005-0000-0000-0000DA3A0000}"/>
    <cellStyle name="Normal 2 2 2 2 4 25 14" xfId="15076" xr:uid="{00000000-0005-0000-0000-0000DB3A0000}"/>
    <cellStyle name="Normal 2 2 2 2 4 25 2" xfId="15077" xr:uid="{00000000-0005-0000-0000-0000DC3A0000}"/>
    <cellStyle name="Normal 2 2 2 2 4 25 2 10" xfId="15078" xr:uid="{00000000-0005-0000-0000-0000DD3A0000}"/>
    <cellStyle name="Normal 2 2 2 2 4 25 2 2" xfId="15079" xr:uid="{00000000-0005-0000-0000-0000DE3A0000}"/>
    <cellStyle name="Normal 2 2 2 2 4 25 2 3" xfId="15080" xr:uid="{00000000-0005-0000-0000-0000DF3A0000}"/>
    <cellStyle name="Normal 2 2 2 2 4 25 2 4" xfId="15081" xr:uid="{00000000-0005-0000-0000-0000E03A0000}"/>
    <cellStyle name="Normal 2 2 2 2 4 25 2 5" xfId="15082" xr:uid="{00000000-0005-0000-0000-0000E13A0000}"/>
    <cellStyle name="Normal 2 2 2 2 4 25 2 6" xfId="15083" xr:uid="{00000000-0005-0000-0000-0000E23A0000}"/>
    <cellStyle name="Normal 2 2 2 2 4 25 2 7" xfId="15084" xr:uid="{00000000-0005-0000-0000-0000E33A0000}"/>
    <cellStyle name="Normal 2 2 2 2 4 25 2 8" xfId="15085" xr:uid="{00000000-0005-0000-0000-0000E43A0000}"/>
    <cellStyle name="Normal 2 2 2 2 4 25 2 9" xfId="15086" xr:uid="{00000000-0005-0000-0000-0000E53A0000}"/>
    <cellStyle name="Normal 2 2 2 2 4 25 3" xfId="15087" xr:uid="{00000000-0005-0000-0000-0000E63A0000}"/>
    <cellStyle name="Normal 2 2 2 2 4 25 3 10" xfId="15088" xr:uid="{00000000-0005-0000-0000-0000E73A0000}"/>
    <cellStyle name="Normal 2 2 2 2 4 25 3 2" xfId="15089" xr:uid="{00000000-0005-0000-0000-0000E83A0000}"/>
    <cellStyle name="Normal 2 2 2 2 4 25 3 3" xfId="15090" xr:uid="{00000000-0005-0000-0000-0000E93A0000}"/>
    <cellStyle name="Normal 2 2 2 2 4 25 3 4" xfId="15091" xr:uid="{00000000-0005-0000-0000-0000EA3A0000}"/>
    <cellStyle name="Normal 2 2 2 2 4 25 3 5" xfId="15092" xr:uid="{00000000-0005-0000-0000-0000EB3A0000}"/>
    <cellStyle name="Normal 2 2 2 2 4 25 3 6" xfId="15093" xr:uid="{00000000-0005-0000-0000-0000EC3A0000}"/>
    <cellStyle name="Normal 2 2 2 2 4 25 3 7" xfId="15094" xr:uid="{00000000-0005-0000-0000-0000ED3A0000}"/>
    <cellStyle name="Normal 2 2 2 2 4 25 3 8" xfId="15095" xr:uid="{00000000-0005-0000-0000-0000EE3A0000}"/>
    <cellStyle name="Normal 2 2 2 2 4 25 3 9" xfId="15096" xr:uid="{00000000-0005-0000-0000-0000EF3A0000}"/>
    <cellStyle name="Normal 2 2 2 2 4 25 4" xfId="15097" xr:uid="{00000000-0005-0000-0000-0000F03A0000}"/>
    <cellStyle name="Normal 2 2 2 2 4 25 4 10" xfId="15098" xr:uid="{00000000-0005-0000-0000-0000F13A0000}"/>
    <cellStyle name="Normal 2 2 2 2 4 25 4 2" xfId="15099" xr:uid="{00000000-0005-0000-0000-0000F23A0000}"/>
    <cellStyle name="Normal 2 2 2 2 4 25 4 3" xfId="15100" xr:uid="{00000000-0005-0000-0000-0000F33A0000}"/>
    <cellStyle name="Normal 2 2 2 2 4 25 4 4" xfId="15101" xr:uid="{00000000-0005-0000-0000-0000F43A0000}"/>
    <cellStyle name="Normal 2 2 2 2 4 25 4 5" xfId="15102" xr:uid="{00000000-0005-0000-0000-0000F53A0000}"/>
    <cellStyle name="Normal 2 2 2 2 4 25 4 6" xfId="15103" xr:uid="{00000000-0005-0000-0000-0000F63A0000}"/>
    <cellStyle name="Normal 2 2 2 2 4 25 4 7" xfId="15104" xr:uid="{00000000-0005-0000-0000-0000F73A0000}"/>
    <cellStyle name="Normal 2 2 2 2 4 25 4 8" xfId="15105" xr:uid="{00000000-0005-0000-0000-0000F83A0000}"/>
    <cellStyle name="Normal 2 2 2 2 4 25 4 9" xfId="15106" xr:uid="{00000000-0005-0000-0000-0000F93A0000}"/>
    <cellStyle name="Normal 2 2 2 2 4 25 5" xfId="15107" xr:uid="{00000000-0005-0000-0000-0000FA3A0000}"/>
    <cellStyle name="Normal 2 2 2 2 4 25 5 10" xfId="15108" xr:uid="{00000000-0005-0000-0000-0000FB3A0000}"/>
    <cellStyle name="Normal 2 2 2 2 4 25 5 2" xfId="15109" xr:uid="{00000000-0005-0000-0000-0000FC3A0000}"/>
    <cellStyle name="Normal 2 2 2 2 4 25 5 3" xfId="15110" xr:uid="{00000000-0005-0000-0000-0000FD3A0000}"/>
    <cellStyle name="Normal 2 2 2 2 4 25 5 4" xfId="15111" xr:uid="{00000000-0005-0000-0000-0000FE3A0000}"/>
    <cellStyle name="Normal 2 2 2 2 4 25 5 5" xfId="15112" xr:uid="{00000000-0005-0000-0000-0000FF3A0000}"/>
    <cellStyle name="Normal 2 2 2 2 4 25 5 6" xfId="15113" xr:uid="{00000000-0005-0000-0000-0000003B0000}"/>
    <cellStyle name="Normal 2 2 2 2 4 25 5 7" xfId="15114" xr:uid="{00000000-0005-0000-0000-0000013B0000}"/>
    <cellStyle name="Normal 2 2 2 2 4 25 5 8" xfId="15115" xr:uid="{00000000-0005-0000-0000-0000023B0000}"/>
    <cellStyle name="Normal 2 2 2 2 4 25 5 9" xfId="15116" xr:uid="{00000000-0005-0000-0000-0000033B0000}"/>
    <cellStyle name="Normal 2 2 2 2 4 25 6" xfId="15117" xr:uid="{00000000-0005-0000-0000-0000043B0000}"/>
    <cellStyle name="Normal 2 2 2 2 4 25 7" xfId="15118" xr:uid="{00000000-0005-0000-0000-0000053B0000}"/>
    <cellStyle name="Normal 2 2 2 2 4 25 8" xfId="15119" xr:uid="{00000000-0005-0000-0000-0000063B0000}"/>
    <cellStyle name="Normal 2 2 2 2 4 25 9" xfId="15120" xr:uid="{00000000-0005-0000-0000-0000073B0000}"/>
    <cellStyle name="Normal 2 2 2 2 4 26" xfId="15121" xr:uid="{00000000-0005-0000-0000-0000083B0000}"/>
    <cellStyle name="Normal 2 2 2 2 4 26 10" xfId="15122" xr:uid="{00000000-0005-0000-0000-0000093B0000}"/>
    <cellStyle name="Normal 2 2 2 2 4 26 11" xfId="15123" xr:uid="{00000000-0005-0000-0000-00000A3B0000}"/>
    <cellStyle name="Normal 2 2 2 2 4 26 12" xfId="15124" xr:uid="{00000000-0005-0000-0000-00000B3B0000}"/>
    <cellStyle name="Normal 2 2 2 2 4 26 13" xfId="15125" xr:uid="{00000000-0005-0000-0000-00000C3B0000}"/>
    <cellStyle name="Normal 2 2 2 2 4 26 14" xfId="15126" xr:uid="{00000000-0005-0000-0000-00000D3B0000}"/>
    <cellStyle name="Normal 2 2 2 2 4 26 2" xfId="15127" xr:uid="{00000000-0005-0000-0000-00000E3B0000}"/>
    <cellStyle name="Normal 2 2 2 2 4 26 2 10" xfId="15128" xr:uid="{00000000-0005-0000-0000-00000F3B0000}"/>
    <cellStyle name="Normal 2 2 2 2 4 26 2 2" xfId="15129" xr:uid="{00000000-0005-0000-0000-0000103B0000}"/>
    <cellStyle name="Normal 2 2 2 2 4 26 2 3" xfId="15130" xr:uid="{00000000-0005-0000-0000-0000113B0000}"/>
    <cellStyle name="Normal 2 2 2 2 4 26 2 4" xfId="15131" xr:uid="{00000000-0005-0000-0000-0000123B0000}"/>
    <cellStyle name="Normal 2 2 2 2 4 26 2 5" xfId="15132" xr:uid="{00000000-0005-0000-0000-0000133B0000}"/>
    <cellStyle name="Normal 2 2 2 2 4 26 2 6" xfId="15133" xr:uid="{00000000-0005-0000-0000-0000143B0000}"/>
    <cellStyle name="Normal 2 2 2 2 4 26 2 7" xfId="15134" xr:uid="{00000000-0005-0000-0000-0000153B0000}"/>
    <cellStyle name="Normal 2 2 2 2 4 26 2 8" xfId="15135" xr:uid="{00000000-0005-0000-0000-0000163B0000}"/>
    <cellStyle name="Normal 2 2 2 2 4 26 2 9" xfId="15136" xr:uid="{00000000-0005-0000-0000-0000173B0000}"/>
    <cellStyle name="Normal 2 2 2 2 4 26 3" xfId="15137" xr:uid="{00000000-0005-0000-0000-0000183B0000}"/>
    <cellStyle name="Normal 2 2 2 2 4 26 3 10" xfId="15138" xr:uid="{00000000-0005-0000-0000-0000193B0000}"/>
    <cellStyle name="Normal 2 2 2 2 4 26 3 2" xfId="15139" xr:uid="{00000000-0005-0000-0000-00001A3B0000}"/>
    <cellStyle name="Normal 2 2 2 2 4 26 3 3" xfId="15140" xr:uid="{00000000-0005-0000-0000-00001B3B0000}"/>
    <cellStyle name="Normal 2 2 2 2 4 26 3 4" xfId="15141" xr:uid="{00000000-0005-0000-0000-00001C3B0000}"/>
    <cellStyle name="Normal 2 2 2 2 4 26 3 5" xfId="15142" xr:uid="{00000000-0005-0000-0000-00001D3B0000}"/>
    <cellStyle name="Normal 2 2 2 2 4 26 3 6" xfId="15143" xr:uid="{00000000-0005-0000-0000-00001E3B0000}"/>
    <cellStyle name="Normal 2 2 2 2 4 26 3 7" xfId="15144" xr:uid="{00000000-0005-0000-0000-00001F3B0000}"/>
    <cellStyle name="Normal 2 2 2 2 4 26 3 8" xfId="15145" xr:uid="{00000000-0005-0000-0000-0000203B0000}"/>
    <cellStyle name="Normal 2 2 2 2 4 26 3 9" xfId="15146" xr:uid="{00000000-0005-0000-0000-0000213B0000}"/>
    <cellStyle name="Normal 2 2 2 2 4 26 4" xfId="15147" xr:uid="{00000000-0005-0000-0000-0000223B0000}"/>
    <cellStyle name="Normal 2 2 2 2 4 26 4 10" xfId="15148" xr:uid="{00000000-0005-0000-0000-0000233B0000}"/>
    <cellStyle name="Normal 2 2 2 2 4 26 4 2" xfId="15149" xr:uid="{00000000-0005-0000-0000-0000243B0000}"/>
    <cellStyle name="Normal 2 2 2 2 4 26 4 3" xfId="15150" xr:uid="{00000000-0005-0000-0000-0000253B0000}"/>
    <cellStyle name="Normal 2 2 2 2 4 26 4 4" xfId="15151" xr:uid="{00000000-0005-0000-0000-0000263B0000}"/>
    <cellStyle name="Normal 2 2 2 2 4 26 4 5" xfId="15152" xr:uid="{00000000-0005-0000-0000-0000273B0000}"/>
    <cellStyle name="Normal 2 2 2 2 4 26 4 6" xfId="15153" xr:uid="{00000000-0005-0000-0000-0000283B0000}"/>
    <cellStyle name="Normal 2 2 2 2 4 26 4 7" xfId="15154" xr:uid="{00000000-0005-0000-0000-0000293B0000}"/>
    <cellStyle name="Normal 2 2 2 2 4 26 4 8" xfId="15155" xr:uid="{00000000-0005-0000-0000-00002A3B0000}"/>
    <cellStyle name="Normal 2 2 2 2 4 26 4 9" xfId="15156" xr:uid="{00000000-0005-0000-0000-00002B3B0000}"/>
    <cellStyle name="Normal 2 2 2 2 4 26 5" xfId="15157" xr:uid="{00000000-0005-0000-0000-00002C3B0000}"/>
    <cellStyle name="Normal 2 2 2 2 4 26 5 10" xfId="15158" xr:uid="{00000000-0005-0000-0000-00002D3B0000}"/>
    <cellStyle name="Normal 2 2 2 2 4 26 5 2" xfId="15159" xr:uid="{00000000-0005-0000-0000-00002E3B0000}"/>
    <cellStyle name="Normal 2 2 2 2 4 26 5 3" xfId="15160" xr:uid="{00000000-0005-0000-0000-00002F3B0000}"/>
    <cellStyle name="Normal 2 2 2 2 4 26 5 4" xfId="15161" xr:uid="{00000000-0005-0000-0000-0000303B0000}"/>
    <cellStyle name="Normal 2 2 2 2 4 26 5 5" xfId="15162" xr:uid="{00000000-0005-0000-0000-0000313B0000}"/>
    <cellStyle name="Normal 2 2 2 2 4 26 5 6" xfId="15163" xr:uid="{00000000-0005-0000-0000-0000323B0000}"/>
    <cellStyle name="Normal 2 2 2 2 4 26 5 7" xfId="15164" xr:uid="{00000000-0005-0000-0000-0000333B0000}"/>
    <cellStyle name="Normal 2 2 2 2 4 26 5 8" xfId="15165" xr:uid="{00000000-0005-0000-0000-0000343B0000}"/>
    <cellStyle name="Normal 2 2 2 2 4 26 5 9" xfId="15166" xr:uid="{00000000-0005-0000-0000-0000353B0000}"/>
    <cellStyle name="Normal 2 2 2 2 4 26 6" xfId="15167" xr:uid="{00000000-0005-0000-0000-0000363B0000}"/>
    <cellStyle name="Normal 2 2 2 2 4 26 7" xfId="15168" xr:uid="{00000000-0005-0000-0000-0000373B0000}"/>
    <cellStyle name="Normal 2 2 2 2 4 26 8" xfId="15169" xr:uid="{00000000-0005-0000-0000-0000383B0000}"/>
    <cellStyle name="Normal 2 2 2 2 4 26 9" xfId="15170" xr:uid="{00000000-0005-0000-0000-0000393B0000}"/>
    <cellStyle name="Normal 2 2 2 2 4 27" xfId="15171" xr:uid="{00000000-0005-0000-0000-00003A3B0000}"/>
    <cellStyle name="Normal 2 2 2 2 4 27 10" xfId="15172" xr:uid="{00000000-0005-0000-0000-00003B3B0000}"/>
    <cellStyle name="Normal 2 2 2 2 4 27 11" xfId="15173" xr:uid="{00000000-0005-0000-0000-00003C3B0000}"/>
    <cellStyle name="Normal 2 2 2 2 4 27 12" xfId="15174" xr:uid="{00000000-0005-0000-0000-00003D3B0000}"/>
    <cellStyle name="Normal 2 2 2 2 4 27 13" xfId="15175" xr:uid="{00000000-0005-0000-0000-00003E3B0000}"/>
    <cellStyle name="Normal 2 2 2 2 4 27 14" xfId="15176" xr:uid="{00000000-0005-0000-0000-00003F3B0000}"/>
    <cellStyle name="Normal 2 2 2 2 4 27 2" xfId="15177" xr:uid="{00000000-0005-0000-0000-0000403B0000}"/>
    <cellStyle name="Normal 2 2 2 2 4 27 2 10" xfId="15178" xr:uid="{00000000-0005-0000-0000-0000413B0000}"/>
    <cellStyle name="Normal 2 2 2 2 4 27 2 2" xfId="15179" xr:uid="{00000000-0005-0000-0000-0000423B0000}"/>
    <cellStyle name="Normal 2 2 2 2 4 27 2 3" xfId="15180" xr:uid="{00000000-0005-0000-0000-0000433B0000}"/>
    <cellStyle name="Normal 2 2 2 2 4 27 2 4" xfId="15181" xr:uid="{00000000-0005-0000-0000-0000443B0000}"/>
    <cellStyle name="Normal 2 2 2 2 4 27 2 5" xfId="15182" xr:uid="{00000000-0005-0000-0000-0000453B0000}"/>
    <cellStyle name="Normal 2 2 2 2 4 27 2 6" xfId="15183" xr:uid="{00000000-0005-0000-0000-0000463B0000}"/>
    <cellStyle name="Normal 2 2 2 2 4 27 2 7" xfId="15184" xr:uid="{00000000-0005-0000-0000-0000473B0000}"/>
    <cellStyle name="Normal 2 2 2 2 4 27 2 8" xfId="15185" xr:uid="{00000000-0005-0000-0000-0000483B0000}"/>
    <cellStyle name="Normal 2 2 2 2 4 27 2 9" xfId="15186" xr:uid="{00000000-0005-0000-0000-0000493B0000}"/>
    <cellStyle name="Normal 2 2 2 2 4 27 3" xfId="15187" xr:uid="{00000000-0005-0000-0000-00004A3B0000}"/>
    <cellStyle name="Normal 2 2 2 2 4 27 3 10" xfId="15188" xr:uid="{00000000-0005-0000-0000-00004B3B0000}"/>
    <cellStyle name="Normal 2 2 2 2 4 27 3 2" xfId="15189" xr:uid="{00000000-0005-0000-0000-00004C3B0000}"/>
    <cellStyle name="Normal 2 2 2 2 4 27 3 3" xfId="15190" xr:uid="{00000000-0005-0000-0000-00004D3B0000}"/>
    <cellStyle name="Normal 2 2 2 2 4 27 3 4" xfId="15191" xr:uid="{00000000-0005-0000-0000-00004E3B0000}"/>
    <cellStyle name="Normal 2 2 2 2 4 27 3 5" xfId="15192" xr:uid="{00000000-0005-0000-0000-00004F3B0000}"/>
    <cellStyle name="Normal 2 2 2 2 4 27 3 6" xfId="15193" xr:uid="{00000000-0005-0000-0000-0000503B0000}"/>
    <cellStyle name="Normal 2 2 2 2 4 27 3 7" xfId="15194" xr:uid="{00000000-0005-0000-0000-0000513B0000}"/>
    <cellStyle name="Normal 2 2 2 2 4 27 3 8" xfId="15195" xr:uid="{00000000-0005-0000-0000-0000523B0000}"/>
    <cellStyle name="Normal 2 2 2 2 4 27 3 9" xfId="15196" xr:uid="{00000000-0005-0000-0000-0000533B0000}"/>
    <cellStyle name="Normal 2 2 2 2 4 27 4" xfId="15197" xr:uid="{00000000-0005-0000-0000-0000543B0000}"/>
    <cellStyle name="Normal 2 2 2 2 4 27 4 10" xfId="15198" xr:uid="{00000000-0005-0000-0000-0000553B0000}"/>
    <cellStyle name="Normal 2 2 2 2 4 27 4 2" xfId="15199" xr:uid="{00000000-0005-0000-0000-0000563B0000}"/>
    <cellStyle name="Normal 2 2 2 2 4 27 4 3" xfId="15200" xr:uid="{00000000-0005-0000-0000-0000573B0000}"/>
    <cellStyle name="Normal 2 2 2 2 4 27 4 4" xfId="15201" xr:uid="{00000000-0005-0000-0000-0000583B0000}"/>
    <cellStyle name="Normal 2 2 2 2 4 27 4 5" xfId="15202" xr:uid="{00000000-0005-0000-0000-0000593B0000}"/>
    <cellStyle name="Normal 2 2 2 2 4 27 4 6" xfId="15203" xr:uid="{00000000-0005-0000-0000-00005A3B0000}"/>
    <cellStyle name="Normal 2 2 2 2 4 27 4 7" xfId="15204" xr:uid="{00000000-0005-0000-0000-00005B3B0000}"/>
    <cellStyle name="Normal 2 2 2 2 4 27 4 8" xfId="15205" xr:uid="{00000000-0005-0000-0000-00005C3B0000}"/>
    <cellStyle name="Normal 2 2 2 2 4 27 4 9" xfId="15206" xr:uid="{00000000-0005-0000-0000-00005D3B0000}"/>
    <cellStyle name="Normal 2 2 2 2 4 27 5" xfId="15207" xr:uid="{00000000-0005-0000-0000-00005E3B0000}"/>
    <cellStyle name="Normal 2 2 2 2 4 27 5 10" xfId="15208" xr:uid="{00000000-0005-0000-0000-00005F3B0000}"/>
    <cellStyle name="Normal 2 2 2 2 4 27 5 2" xfId="15209" xr:uid="{00000000-0005-0000-0000-0000603B0000}"/>
    <cellStyle name="Normal 2 2 2 2 4 27 5 3" xfId="15210" xr:uid="{00000000-0005-0000-0000-0000613B0000}"/>
    <cellStyle name="Normal 2 2 2 2 4 27 5 4" xfId="15211" xr:uid="{00000000-0005-0000-0000-0000623B0000}"/>
    <cellStyle name="Normal 2 2 2 2 4 27 5 5" xfId="15212" xr:uid="{00000000-0005-0000-0000-0000633B0000}"/>
    <cellStyle name="Normal 2 2 2 2 4 27 5 6" xfId="15213" xr:uid="{00000000-0005-0000-0000-0000643B0000}"/>
    <cellStyle name="Normal 2 2 2 2 4 27 5 7" xfId="15214" xr:uid="{00000000-0005-0000-0000-0000653B0000}"/>
    <cellStyle name="Normal 2 2 2 2 4 27 5 8" xfId="15215" xr:uid="{00000000-0005-0000-0000-0000663B0000}"/>
    <cellStyle name="Normal 2 2 2 2 4 27 5 9" xfId="15216" xr:uid="{00000000-0005-0000-0000-0000673B0000}"/>
    <cellStyle name="Normal 2 2 2 2 4 27 6" xfId="15217" xr:uid="{00000000-0005-0000-0000-0000683B0000}"/>
    <cellStyle name="Normal 2 2 2 2 4 27 7" xfId="15218" xr:uid="{00000000-0005-0000-0000-0000693B0000}"/>
    <cellStyle name="Normal 2 2 2 2 4 27 8" xfId="15219" xr:uid="{00000000-0005-0000-0000-00006A3B0000}"/>
    <cellStyle name="Normal 2 2 2 2 4 27 9" xfId="15220" xr:uid="{00000000-0005-0000-0000-00006B3B0000}"/>
    <cellStyle name="Normal 2 2 2 2 4 28" xfId="15221" xr:uid="{00000000-0005-0000-0000-00006C3B0000}"/>
    <cellStyle name="Normal 2 2 2 2 4 28 10" xfId="15222" xr:uid="{00000000-0005-0000-0000-00006D3B0000}"/>
    <cellStyle name="Normal 2 2 2 2 4 28 11" xfId="15223" xr:uid="{00000000-0005-0000-0000-00006E3B0000}"/>
    <cellStyle name="Normal 2 2 2 2 4 28 12" xfId="15224" xr:uid="{00000000-0005-0000-0000-00006F3B0000}"/>
    <cellStyle name="Normal 2 2 2 2 4 28 13" xfId="15225" xr:uid="{00000000-0005-0000-0000-0000703B0000}"/>
    <cellStyle name="Normal 2 2 2 2 4 28 14" xfId="15226" xr:uid="{00000000-0005-0000-0000-0000713B0000}"/>
    <cellStyle name="Normal 2 2 2 2 4 28 2" xfId="15227" xr:uid="{00000000-0005-0000-0000-0000723B0000}"/>
    <cellStyle name="Normal 2 2 2 2 4 28 2 10" xfId="15228" xr:uid="{00000000-0005-0000-0000-0000733B0000}"/>
    <cellStyle name="Normal 2 2 2 2 4 28 2 2" xfId="15229" xr:uid="{00000000-0005-0000-0000-0000743B0000}"/>
    <cellStyle name="Normal 2 2 2 2 4 28 2 3" xfId="15230" xr:uid="{00000000-0005-0000-0000-0000753B0000}"/>
    <cellStyle name="Normal 2 2 2 2 4 28 2 4" xfId="15231" xr:uid="{00000000-0005-0000-0000-0000763B0000}"/>
    <cellStyle name="Normal 2 2 2 2 4 28 2 5" xfId="15232" xr:uid="{00000000-0005-0000-0000-0000773B0000}"/>
    <cellStyle name="Normal 2 2 2 2 4 28 2 6" xfId="15233" xr:uid="{00000000-0005-0000-0000-0000783B0000}"/>
    <cellStyle name="Normal 2 2 2 2 4 28 2 7" xfId="15234" xr:uid="{00000000-0005-0000-0000-0000793B0000}"/>
    <cellStyle name="Normal 2 2 2 2 4 28 2 8" xfId="15235" xr:uid="{00000000-0005-0000-0000-00007A3B0000}"/>
    <cellStyle name="Normal 2 2 2 2 4 28 2 9" xfId="15236" xr:uid="{00000000-0005-0000-0000-00007B3B0000}"/>
    <cellStyle name="Normal 2 2 2 2 4 28 3" xfId="15237" xr:uid="{00000000-0005-0000-0000-00007C3B0000}"/>
    <cellStyle name="Normal 2 2 2 2 4 28 3 10" xfId="15238" xr:uid="{00000000-0005-0000-0000-00007D3B0000}"/>
    <cellStyle name="Normal 2 2 2 2 4 28 3 2" xfId="15239" xr:uid="{00000000-0005-0000-0000-00007E3B0000}"/>
    <cellStyle name="Normal 2 2 2 2 4 28 3 3" xfId="15240" xr:uid="{00000000-0005-0000-0000-00007F3B0000}"/>
    <cellStyle name="Normal 2 2 2 2 4 28 3 4" xfId="15241" xr:uid="{00000000-0005-0000-0000-0000803B0000}"/>
    <cellStyle name="Normal 2 2 2 2 4 28 3 5" xfId="15242" xr:uid="{00000000-0005-0000-0000-0000813B0000}"/>
    <cellStyle name="Normal 2 2 2 2 4 28 3 6" xfId="15243" xr:uid="{00000000-0005-0000-0000-0000823B0000}"/>
    <cellStyle name="Normal 2 2 2 2 4 28 3 7" xfId="15244" xr:uid="{00000000-0005-0000-0000-0000833B0000}"/>
    <cellStyle name="Normal 2 2 2 2 4 28 3 8" xfId="15245" xr:uid="{00000000-0005-0000-0000-0000843B0000}"/>
    <cellStyle name="Normal 2 2 2 2 4 28 3 9" xfId="15246" xr:uid="{00000000-0005-0000-0000-0000853B0000}"/>
    <cellStyle name="Normal 2 2 2 2 4 28 4" xfId="15247" xr:uid="{00000000-0005-0000-0000-0000863B0000}"/>
    <cellStyle name="Normal 2 2 2 2 4 28 4 10" xfId="15248" xr:uid="{00000000-0005-0000-0000-0000873B0000}"/>
    <cellStyle name="Normal 2 2 2 2 4 28 4 2" xfId="15249" xr:uid="{00000000-0005-0000-0000-0000883B0000}"/>
    <cellStyle name="Normal 2 2 2 2 4 28 4 3" xfId="15250" xr:uid="{00000000-0005-0000-0000-0000893B0000}"/>
    <cellStyle name="Normal 2 2 2 2 4 28 4 4" xfId="15251" xr:uid="{00000000-0005-0000-0000-00008A3B0000}"/>
    <cellStyle name="Normal 2 2 2 2 4 28 4 5" xfId="15252" xr:uid="{00000000-0005-0000-0000-00008B3B0000}"/>
    <cellStyle name="Normal 2 2 2 2 4 28 4 6" xfId="15253" xr:uid="{00000000-0005-0000-0000-00008C3B0000}"/>
    <cellStyle name="Normal 2 2 2 2 4 28 4 7" xfId="15254" xr:uid="{00000000-0005-0000-0000-00008D3B0000}"/>
    <cellStyle name="Normal 2 2 2 2 4 28 4 8" xfId="15255" xr:uid="{00000000-0005-0000-0000-00008E3B0000}"/>
    <cellStyle name="Normal 2 2 2 2 4 28 4 9" xfId="15256" xr:uid="{00000000-0005-0000-0000-00008F3B0000}"/>
    <cellStyle name="Normal 2 2 2 2 4 28 5" xfId="15257" xr:uid="{00000000-0005-0000-0000-0000903B0000}"/>
    <cellStyle name="Normal 2 2 2 2 4 28 5 10" xfId="15258" xr:uid="{00000000-0005-0000-0000-0000913B0000}"/>
    <cellStyle name="Normal 2 2 2 2 4 28 5 2" xfId="15259" xr:uid="{00000000-0005-0000-0000-0000923B0000}"/>
    <cellStyle name="Normal 2 2 2 2 4 28 5 3" xfId="15260" xr:uid="{00000000-0005-0000-0000-0000933B0000}"/>
    <cellStyle name="Normal 2 2 2 2 4 28 5 4" xfId="15261" xr:uid="{00000000-0005-0000-0000-0000943B0000}"/>
    <cellStyle name="Normal 2 2 2 2 4 28 5 5" xfId="15262" xr:uid="{00000000-0005-0000-0000-0000953B0000}"/>
    <cellStyle name="Normal 2 2 2 2 4 28 5 6" xfId="15263" xr:uid="{00000000-0005-0000-0000-0000963B0000}"/>
    <cellStyle name="Normal 2 2 2 2 4 28 5 7" xfId="15264" xr:uid="{00000000-0005-0000-0000-0000973B0000}"/>
    <cellStyle name="Normal 2 2 2 2 4 28 5 8" xfId="15265" xr:uid="{00000000-0005-0000-0000-0000983B0000}"/>
    <cellStyle name="Normal 2 2 2 2 4 28 5 9" xfId="15266" xr:uid="{00000000-0005-0000-0000-0000993B0000}"/>
    <cellStyle name="Normal 2 2 2 2 4 28 6" xfId="15267" xr:uid="{00000000-0005-0000-0000-00009A3B0000}"/>
    <cellStyle name="Normal 2 2 2 2 4 28 7" xfId="15268" xr:uid="{00000000-0005-0000-0000-00009B3B0000}"/>
    <cellStyle name="Normal 2 2 2 2 4 28 8" xfId="15269" xr:uid="{00000000-0005-0000-0000-00009C3B0000}"/>
    <cellStyle name="Normal 2 2 2 2 4 28 9" xfId="15270" xr:uid="{00000000-0005-0000-0000-00009D3B0000}"/>
    <cellStyle name="Normal 2 2 2 2 4 29" xfId="15271" xr:uid="{00000000-0005-0000-0000-00009E3B0000}"/>
    <cellStyle name="Normal 2 2 2 2 4 29 10" xfId="15272" xr:uid="{00000000-0005-0000-0000-00009F3B0000}"/>
    <cellStyle name="Normal 2 2 2 2 4 29 11" xfId="15273" xr:uid="{00000000-0005-0000-0000-0000A03B0000}"/>
    <cellStyle name="Normal 2 2 2 2 4 29 12" xfId="15274" xr:uid="{00000000-0005-0000-0000-0000A13B0000}"/>
    <cellStyle name="Normal 2 2 2 2 4 29 13" xfId="15275" xr:uid="{00000000-0005-0000-0000-0000A23B0000}"/>
    <cellStyle name="Normal 2 2 2 2 4 29 14" xfId="15276" xr:uid="{00000000-0005-0000-0000-0000A33B0000}"/>
    <cellStyle name="Normal 2 2 2 2 4 29 2" xfId="15277" xr:uid="{00000000-0005-0000-0000-0000A43B0000}"/>
    <cellStyle name="Normal 2 2 2 2 4 29 2 10" xfId="15278" xr:uid="{00000000-0005-0000-0000-0000A53B0000}"/>
    <cellStyle name="Normal 2 2 2 2 4 29 2 2" xfId="15279" xr:uid="{00000000-0005-0000-0000-0000A63B0000}"/>
    <cellStyle name="Normal 2 2 2 2 4 29 2 3" xfId="15280" xr:uid="{00000000-0005-0000-0000-0000A73B0000}"/>
    <cellStyle name="Normal 2 2 2 2 4 29 2 4" xfId="15281" xr:uid="{00000000-0005-0000-0000-0000A83B0000}"/>
    <cellStyle name="Normal 2 2 2 2 4 29 2 5" xfId="15282" xr:uid="{00000000-0005-0000-0000-0000A93B0000}"/>
    <cellStyle name="Normal 2 2 2 2 4 29 2 6" xfId="15283" xr:uid="{00000000-0005-0000-0000-0000AA3B0000}"/>
    <cellStyle name="Normal 2 2 2 2 4 29 2 7" xfId="15284" xr:uid="{00000000-0005-0000-0000-0000AB3B0000}"/>
    <cellStyle name="Normal 2 2 2 2 4 29 2 8" xfId="15285" xr:uid="{00000000-0005-0000-0000-0000AC3B0000}"/>
    <cellStyle name="Normal 2 2 2 2 4 29 2 9" xfId="15286" xr:uid="{00000000-0005-0000-0000-0000AD3B0000}"/>
    <cellStyle name="Normal 2 2 2 2 4 29 3" xfId="15287" xr:uid="{00000000-0005-0000-0000-0000AE3B0000}"/>
    <cellStyle name="Normal 2 2 2 2 4 29 3 10" xfId="15288" xr:uid="{00000000-0005-0000-0000-0000AF3B0000}"/>
    <cellStyle name="Normal 2 2 2 2 4 29 3 2" xfId="15289" xr:uid="{00000000-0005-0000-0000-0000B03B0000}"/>
    <cellStyle name="Normal 2 2 2 2 4 29 3 3" xfId="15290" xr:uid="{00000000-0005-0000-0000-0000B13B0000}"/>
    <cellStyle name="Normal 2 2 2 2 4 29 3 4" xfId="15291" xr:uid="{00000000-0005-0000-0000-0000B23B0000}"/>
    <cellStyle name="Normal 2 2 2 2 4 29 3 5" xfId="15292" xr:uid="{00000000-0005-0000-0000-0000B33B0000}"/>
    <cellStyle name="Normal 2 2 2 2 4 29 3 6" xfId="15293" xr:uid="{00000000-0005-0000-0000-0000B43B0000}"/>
    <cellStyle name="Normal 2 2 2 2 4 29 3 7" xfId="15294" xr:uid="{00000000-0005-0000-0000-0000B53B0000}"/>
    <cellStyle name="Normal 2 2 2 2 4 29 3 8" xfId="15295" xr:uid="{00000000-0005-0000-0000-0000B63B0000}"/>
    <cellStyle name="Normal 2 2 2 2 4 29 3 9" xfId="15296" xr:uid="{00000000-0005-0000-0000-0000B73B0000}"/>
    <cellStyle name="Normal 2 2 2 2 4 29 4" xfId="15297" xr:uid="{00000000-0005-0000-0000-0000B83B0000}"/>
    <cellStyle name="Normal 2 2 2 2 4 29 4 10" xfId="15298" xr:uid="{00000000-0005-0000-0000-0000B93B0000}"/>
    <cellStyle name="Normal 2 2 2 2 4 29 4 2" xfId="15299" xr:uid="{00000000-0005-0000-0000-0000BA3B0000}"/>
    <cellStyle name="Normal 2 2 2 2 4 29 4 3" xfId="15300" xr:uid="{00000000-0005-0000-0000-0000BB3B0000}"/>
    <cellStyle name="Normal 2 2 2 2 4 29 4 4" xfId="15301" xr:uid="{00000000-0005-0000-0000-0000BC3B0000}"/>
    <cellStyle name="Normal 2 2 2 2 4 29 4 5" xfId="15302" xr:uid="{00000000-0005-0000-0000-0000BD3B0000}"/>
    <cellStyle name="Normal 2 2 2 2 4 29 4 6" xfId="15303" xr:uid="{00000000-0005-0000-0000-0000BE3B0000}"/>
    <cellStyle name="Normal 2 2 2 2 4 29 4 7" xfId="15304" xr:uid="{00000000-0005-0000-0000-0000BF3B0000}"/>
    <cellStyle name="Normal 2 2 2 2 4 29 4 8" xfId="15305" xr:uid="{00000000-0005-0000-0000-0000C03B0000}"/>
    <cellStyle name="Normal 2 2 2 2 4 29 4 9" xfId="15306" xr:uid="{00000000-0005-0000-0000-0000C13B0000}"/>
    <cellStyle name="Normal 2 2 2 2 4 29 5" xfId="15307" xr:uid="{00000000-0005-0000-0000-0000C23B0000}"/>
    <cellStyle name="Normal 2 2 2 2 4 29 5 10" xfId="15308" xr:uid="{00000000-0005-0000-0000-0000C33B0000}"/>
    <cellStyle name="Normal 2 2 2 2 4 29 5 2" xfId="15309" xr:uid="{00000000-0005-0000-0000-0000C43B0000}"/>
    <cellStyle name="Normal 2 2 2 2 4 29 5 3" xfId="15310" xr:uid="{00000000-0005-0000-0000-0000C53B0000}"/>
    <cellStyle name="Normal 2 2 2 2 4 29 5 4" xfId="15311" xr:uid="{00000000-0005-0000-0000-0000C63B0000}"/>
    <cellStyle name="Normal 2 2 2 2 4 29 5 5" xfId="15312" xr:uid="{00000000-0005-0000-0000-0000C73B0000}"/>
    <cellStyle name="Normal 2 2 2 2 4 29 5 6" xfId="15313" xr:uid="{00000000-0005-0000-0000-0000C83B0000}"/>
    <cellStyle name="Normal 2 2 2 2 4 29 5 7" xfId="15314" xr:uid="{00000000-0005-0000-0000-0000C93B0000}"/>
    <cellStyle name="Normal 2 2 2 2 4 29 5 8" xfId="15315" xr:uid="{00000000-0005-0000-0000-0000CA3B0000}"/>
    <cellStyle name="Normal 2 2 2 2 4 29 5 9" xfId="15316" xr:uid="{00000000-0005-0000-0000-0000CB3B0000}"/>
    <cellStyle name="Normal 2 2 2 2 4 29 6" xfId="15317" xr:uid="{00000000-0005-0000-0000-0000CC3B0000}"/>
    <cellStyle name="Normal 2 2 2 2 4 29 7" xfId="15318" xr:uid="{00000000-0005-0000-0000-0000CD3B0000}"/>
    <cellStyle name="Normal 2 2 2 2 4 29 8" xfId="15319" xr:uid="{00000000-0005-0000-0000-0000CE3B0000}"/>
    <cellStyle name="Normal 2 2 2 2 4 29 9" xfId="15320" xr:uid="{00000000-0005-0000-0000-0000CF3B0000}"/>
    <cellStyle name="Normal 2 2 2 2 4 3" xfId="15321" xr:uid="{00000000-0005-0000-0000-0000D03B0000}"/>
    <cellStyle name="Normal 2 2 2 2 4 3 10" xfId="15322" xr:uid="{00000000-0005-0000-0000-0000D13B0000}"/>
    <cellStyle name="Normal 2 2 2 2 4 3 11" xfId="15323" xr:uid="{00000000-0005-0000-0000-0000D23B0000}"/>
    <cellStyle name="Normal 2 2 2 2 4 3 12" xfId="15324" xr:uid="{00000000-0005-0000-0000-0000D33B0000}"/>
    <cellStyle name="Normal 2 2 2 2 4 3 13" xfId="15325" xr:uid="{00000000-0005-0000-0000-0000D43B0000}"/>
    <cellStyle name="Normal 2 2 2 2 4 3 14" xfId="15326" xr:uid="{00000000-0005-0000-0000-0000D53B0000}"/>
    <cellStyle name="Normal 2 2 2 2 4 3 2" xfId="15327" xr:uid="{00000000-0005-0000-0000-0000D63B0000}"/>
    <cellStyle name="Normal 2 2 2 2 4 3 2 10" xfId="15328" xr:uid="{00000000-0005-0000-0000-0000D73B0000}"/>
    <cellStyle name="Normal 2 2 2 2 4 3 2 2" xfId="15329" xr:uid="{00000000-0005-0000-0000-0000D83B0000}"/>
    <cellStyle name="Normal 2 2 2 2 4 3 2 3" xfId="15330" xr:uid="{00000000-0005-0000-0000-0000D93B0000}"/>
    <cellStyle name="Normal 2 2 2 2 4 3 2 4" xfId="15331" xr:uid="{00000000-0005-0000-0000-0000DA3B0000}"/>
    <cellStyle name="Normal 2 2 2 2 4 3 2 5" xfId="15332" xr:uid="{00000000-0005-0000-0000-0000DB3B0000}"/>
    <cellStyle name="Normal 2 2 2 2 4 3 2 6" xfId="15333" xr:uid="{00000000-0005-0000-0000-0000DC3B0000}"/>
    <cellStyle name="Normal 2 2 2 2 4 3 2 7" xfId="15334" xr:uid="{00000000-0005-0000-0000-0000DD3B0000}"/>
    <cellStyle name="Normal 2 2 2 2 4 3 2 8" xfId="15335" xr:uid="{00000000-0005-0000-0000-0000DE3B0000}"/>
    <cellStyle name="Normal 2 2 2 2 4 3 2 9" xfId="15336" xr:uid="{00000000-0005-0000-0000-0000DF3B0000}"/>
    <cellStyle name="Normal 2 2 2 2 4 3 3" xfId="15337" xr:uid="{00000000-0005-0000-0000-0000E03B0000}"/>
    <cellStyle name="Normal 2 2 2 2 4 3 3 10" xfId="15338" xr:uid="{00000000-0005-0000-0000-0000E13B0000}"/>
    <cellStyle name="Normal 2 2 2 2 4 3 3 2" xfId="15339" xr:uid="{00000000-0005-0000-0000-0000E23B0000}"/>
    <cellStyle name="Normal 2 2 2 2 4 3 3 3" xfId="15340" xr:uid="{00000000-0005-0000-0000-0000E33B0000}"/>
    <cellStyle name="Normal 2 2 2 2 4 3 3 4" xfId="15341" xr:uid="{00000000-0005-0000-0000-0000E43B0000}"/>
    <cellStyle name="Normal 2 2 2 2 4 3 3 5" xfId="15342" xr:uid="{00000000-0005-0000-0000-0000E53B0000}"/>
    <cellStyle name="Normal 2 2 2 2 4 3 3 6" xfId="15343" xr:uid="{00000000-0005-0000-0000-0000E63B0000}"/>
    <cellStyle name="Normal 2 2 2 2 4 3 3 7" xfId="15344" xr:uid="{00000000-0005-0000-0000-0000E73B0000}"/>
    <cellStyle name="Normal 2 2 2 2 4 3 3 8" xfId="15345" xr:uid="{00000000-0005-0000-0000-0000E83B0000}"/>
    <cellStyle name="Normal 2 2 2 2 4 3 3 9" xfId="15346" xr:uid="{00000000-0005-0000-0000-0000E93B0000}"/>
    <cellStyle name="Normal 2 2 2 2 4 3 4" xfId="15347" xr:uid="{00000000-0005-0000-0000-0000EA3B0000}"/>
    <cellStyle name="Normal 2 2 2 2 4 3 4 10" xfId="15348" xr:uid="{00000000-0005-0000-0000-0000EB3B0000}"/>
    <cellStyle name="Normal 2 2 2 2 4 3 4 2" xfId="15349" xr:uid="{00000000-0005-0000-0000-0000EC3B0000}"/>
    <cellStyle name="Normal 2 2 2 2 4 3 4 3" xfId="15350" xr:uid="{00000000-0005-0000-0000-0000ED3B0000}"/>
    <cellStyle name="Normal 2 2 2 2 4 3 4 4" xfId="15351" xr:uid="{00000000-0005-0000-0000-0000EE3B0000}"/>
    <cellStyle name="Normal 2 2 2 2 4 3 4 5" xfId="15352" xr:uid="{00000000-0005-0000-0000-0000EF3B0000}"/>
    <cellStyle name="Normal 2 2 2 2 4 3 4 6" xfId="15353" xr:uid="{00000000-0005-0000-0000-0000F03B0000}"/>
    <cellStyle name="Normal 2 2 2 2 4 3 4 7" xfId="15354" xr:uid="{00000000-0005-0000-0000-0000F13B0000}"/>
    <cellStyle name="Normal 2 2 2 2 4 3 4 8" xfId="15355" xr:uid="{00000000-0005-0000-0000-0000F23B0000}"/>
    <cellStyle name="Normal 2 2 2 2 4 3 4 9" xfId="15356" xr:uid="{00000000-0005-0000-0000-0000F33B0000}"/>
    <cellStyle name="Normal 2 2 2 2 4 3 5" xfId="15357" xr:uid="{00000000-0005-0000-0000-0000F43B0000}"/>
    <cellStyle name="Normal 2 2 2 2 4 3 5 10" xfId="15358" xr:uid="{00000000-0005-0000-0000-0000F53B0000}"/>
    <cellStyle name="Normal 2 2 2 2 4 3 5 2" xfId="15359" xr:uid="{00000000-0005-0000-0000-0000F63B0000}"/>
    <cellStyle name="Normal 2 2 2 2 4 3 5 3" xfId="15360" xr:uid="{00000000-0005-0000-0000-0000F73B0000}"/>
    <cellStyle name="Normal 2 2 2 2 4 3 5 4" xfId="15361" xr:uid="{00000000-0005-0000-0000-0000F83B0000}"/>
    <cellStyle name="Normal 2 2 2 2 4 3 5 5" xfId="15362" xr:uid="{00000000-0005-0000-0000-0000F93B0000}"/>
    <cellStyle name="Normal 2 2 2 2 4 3 5 6" xfId="15363" xr:uid="{00000000-0005-0000-0000-0000FA3B0000}"/>
    <cellStyle name="Normal 2 2 2 2 4 3 5 7" xfId="15364" xr:uid="{00000000-0005-0000-0000-0000FB3B0000}"/>
    <cellStyle name="Normal 2 2 2 2 4 3 5 8" xfId="15365" xr:uid="{00000000-0005-0000-0000-0000FC3B0000}"/>
    <cellStyle name="Normal 2 2 2 2 4 3 5 9" xfId="15366" xr:uid="{00000000-0005-0000-0000-0000FD3B0000}"/>
    <cellStyle name="Normal 2 2 2 2 4 3 6" xfId="15367" xr:uid="{00000000-0005-0000-0000-0000FE3B0000}"/>
    <cellStyle name="Normal 2 2 2 2 4 3 7" xfId="15368" xr:uid="{00000000-0005-0000-0000-0000FF3B0000}"/>
    <cellStyle name="Normal 2 2 2 2 4 3 8" xfId="15369" xr:uid="{00000000-0005-0000-0000-0000003C0000}"/>
    <cellStyle name="Normal 2 2 2 2 4 3 9" xfId="15370" xr:uid="{00000000-0005-0000-0000-0000013C0000}"/>
    <cellStyle name="Normal 2 2 2 2 4 30" xfId="15371" xr:uid="{00000000-0005-0000-0000-0000023C0000}"/>
    <cellStyle name="Normal 2 2 2 2 4 30 10" xfId="15372" xr:uid="{00000000-0005-0000-0000-0000033C0000}"/>
    <cellStyle name="Normal 2 2 2 2 4 30 11" xfId="15373" xr:uid="{00000000-0005-0000-0000-0000043C0000}"/>
    <cellStyle name="Normal 2 2 2 2 4 30 12" xfId="15374" xr:uid="{00000000-0005-0000-0000-0000053C0000}"/>
    <cellStyle name="Normal 2 2 2 2 4 30 13" xfId="15375" xr:uid="{00000000-0005-0000-0000-0000063C0000}"/>
    <cellStyle name="Normal 2 2 2 2 4 30 14" xfId="15376" xr:uid="{00000000-0005-0000-0000-0000073C0000}"/>
    <cellStyle name="Normal 2 2 2 2 4 30 2" xfId="15377" xr:uid="{00000000-0005-0000-0000-0000083C0000}"/>
    <cellStyle name="Normal 2 2 2 2 4 30 2 10" xfId="15378" xr:uid="{00000000-0005-0000-0000-0000093C0000}"/>
    <cellStyle name="Normal 2 2 2 2 4 30 2 2" xfId="15379" xr:uid="{00000000-0005-0000-0000-00000A3C0000}"/>
    <cellStyle name="Normal 2 2 2 2 4 30 2 3" xfId="15380" xr:uid="{00000000-0005-0000-0000-00000B3C0000}"/>
    <cellStyle name="Normal 2 2 2 2 4 30 2 4" xfId="15381" xr:uid="{00000000-0005-0000-0000-00000C3C0000}"/>
    <cellStyle name="Normal 2 2 2 2 4 30 2 5" xfId="15382" xr:uid="{00000000-0005-0000-0000-00000D3C0000}"/>
    <cellStyle name="Normal 2 2 2 2 4 30 2 6" xfId="15383" xr:uid="{00000000-0005-0000-0000-00000E3C0000}"/>
    <cellStyle name="Normal 2 2 2 2 4 30 2 7" xfId="15384" xr:uid="{00000000-0005-0000-0000-00000F3C0000}"/>
    <cellStyle name="Normal 2 2 2 2 4 30 2 8" xfId="15385" xr:uid="{00000000-0005-0000-0000-0000103C0000}"/>
    <cellStyle name="Normal 2 2 2 2 4 30 2 9" xfId="15386" xr:uid="{00000000-0005-0000-0000-0000113C0000}"/>
    <cellStyle name="Normal 2 2 2 2 4 30 3" xfId="15387" xr:uid="{00000000-0005-0000-0000-0000123C0000}"/>
    <cellStyle name="Normal 2 2 2 2 4 30 3 10" xfId="15388" xr:uid="{00000000-0005-0000-0000-0000133C0000}"/>
    <cellStyle name="Normal 2 2 2 2 4 30 3 2" xfId="15389" xr:uid="{00000000-0005-0000-0000-0000143C0000}"/>
    <cellStyle name="Normal 2 2 2 2 4 30 3 3" xfId="15390" xr:uid="{00000000-0005-0000-0000-0000153C0000}"/>
    <cellStyle name="Normal 2 2 2 2 4 30 3 4" xfId="15391" xr:uid="{00000000-0005-0000-0000-0000163C0000}"/>
    <cellStyle name="Normal 2 2 2 2 4 30 3 5" xfId="15392" xr:uid="{00000000-0005-0000-0000-0000173C0000}"/>
    <cellStyle name="Normal 2 2 2 2 4 30 3 6" xfId="15393" xr:uid="{00000000-0005-0000-0000-0000183C0000}"/>
    <cellStyle name="Normal 2 2 2 2 4 30 3 7" xfId="15394" xr:uid="{00000000-0005-0000-0000-0000193C0000}"/>
    <cellStyle name="Normal 2 2 2 2 4 30 3 8" xfId="15395" xr:uid="{00000000-0005-0000-0000-00001A3C0000}"/>
    <cellStyle name="Normal 2 2 2 2 4 30 3 9" xfId="15396" xr:uid="{00000000-0005-0000-0000-00001B3C0000}"/>
    <cellStyle name="Normal 2 2 2 2 4 30 4" xfId="15397" xr:uid="{00000000-0005-0000-0000-00001C3C0000}"/>
    <cellStyle name="Normal 2 2 2 2 4 30 4 10" xfId="15398" xr:uid="{00000000-0005-0000-0000-00001D3C0000}"/>
    <cellStyle name="Normal 2 2 2 2 4 30 4 2" xfId="15399" xr:uid="{00000000-0005-0000-0000-00001E3C0000}"/>
    <cellStyle name="Normal 2 2 2 2 4 30 4 3" xfId="15400" xr:uid="{00000000-0005-0000-0000-00001F3C0000}"/>
    <cellStyle name="Normal 2 2 2 2 4 30 4 4" xfId="15401" xr:uid="{00000000-0005-0000-0000-0000203C0000}"/>
    <cellStyle name="Normal 2 2 2 2 4 30 4 5" xfId="15402" xr:uid="{00000000-0005-0000-0000-0000213C0000}"/>
    <cellStyle name="Normal 2 2 2 2 4 30 4 6" xfId="15403" xr:uid="{00000000-0005-0000-0000-0000223C0000}"/>
    <cellStyle name="Normal 2 2 2 2 4 30 4 7" xfId="15404" xr:uid="{00000000-0005-0000-0000-0000233C0000}"/>
    <cellStyle name="Normal 2 2 2 2 4 30 4 8" xfId="15405" xr:uid="{00000000-0005-0000-0000-0000243C0000}"/>
    <cellStyle name="Normal 2 2 2 2 4 30 4 9" xfId="15406" xr:uid="{00000000-0005-0000-0000-0000253C0000}"/>
    <cellStyle name="Normal 2 2 2 2 4 30 5" xfId="15407" xr:uid="{00000000-0005-0000-0000-0000263C0000}"/>
    <cellStyle name="Normal 2 2 2 2 4 30 5 10" xfId="15408" xr:uid="{00000000-0005-0000-0000-0000273C0000}"/>
    <cellStyle name="Normal 2 2 2 2 4 30 5 2" xfId="15409" xr:uid="{00000000-0005-0000-0000-0000283C0000}"/>
    <cellStyle name="Normal 2 2 2 2 4 30 5 3" xfId="15410" xr:uid="{00000000-0005-0000-0000-0000293C0000}"/>
    <cellStyle name="Normal 2 2 2 2 4 30 5 4" xfId="15411" xr:uid="{00000000-0005-0000-0000-00002A3C0000}"/>
    <cellStyle name="Normal 2 2 2 2 4 30 5 5" xfId="15412" xr:uid="{00000000-0005-0000-0000-00002B3C0000}"/>
    <cellStyle name="Normal 2 2 2 2 4 30 5 6" xfId="15413" xr:uid="{00000000-0005-0000-0000-00002C3C0000}"/>
    <cellStyle name="Normal 2 2 2 2 4 30 5 7" xfId="15414" xr:uid="{00000000-0005-0000-0000-00002D3C0000}"/>
    <cellStyle name="Normal 2 2 2 2 4 30 5 8" xfId="15415" xr:uid="{00000000-0005-0000-0000-00002E3C0000}"/>
    <cellStyle name="Normal 2 2 2 2 4 30 5 9" xfId="15416" xr:uid="{00000000-0005-0000-0000-00002F3C0000}"/>
    <cellStyle name="Normal 2 2 2 2 4 30 6" xfId="15417" xr:uid="{00000000-0005-0000-0000-0000303C0000}"/>
    <cellStyle name="Normal 2 2 2 2 4 30 7" xfId="15418" xr:uid="{00000000-0005-0000-0000-0000313C0000}"/>
    <cellStyle name="Normal 2 2 2 2 4 30 8" xfId="15419" xr:uid="{00000000-0005-0000-0000-0000323C0000}"/>
    <cellStyle name="Normal 2 2 2 2 4 30 9" xfId="15420" xr:uid="{00000000-0005-0000-0000-0000333C0000}"/>
    <cellStyle name="Normal 2 2 2 2 4 31" xfId="15421" xr:uid="{00000000-0005-0000-0000-0000343C0000}"/>
    <cellStyle name="Normal 2 2 2 2 4 31 10" xfId="15422" xr:uid="{00000000-0005-0000-0000-0000353C0000}"/>
    <cellStyle name="Normal 2 2 2 2 4 31 11" xfId="15423" xr:uid="{00000000-0005-0000-0000-0000363C0000}"/>
    <cellStyle name="Normal 2 2 2 2 4 31 12" xfId="15424" xr:uid="{00000000-0005-0000-0000-0000373C0000}"/>
    <cellStyle name="Normal 2 2 2 2 4 31 13" xfId="15425" xr:uid="{00000000-0005-0000-0000-0000383C0000}"/>
    <cellStyle name="Normal 2 2 2 2 4 31 14" xfId="15426" xr:uid="{00000000-0005-0000-0000-0000393C0000}"/>
    <cellStyle name="Normal 2 2 2 2 4 31 2" xfId="15427" xr:uid="{00000000-0005-0000-0000-00003A3C0000}"/>
    <cellStyle name="Normal 2 2 2 2 4 31 2 10" xfId="15428" xr:uid="{00000000-0005-0000-0000-00003B3C0000}"/>
    <cellStyle name="Normal 2 2 2 2 4 31 2 2" xfId="15429" xr:uid="{00000000-0005-0000-0000-00003C3C0000}"/>
    <cellStyle name="Normal 2 2 2 2 4 31 2 3" xfId="15430" xr:uid="{00000000-0005-0000-0000-00003D3C0000}"/>
    <cellStyle name="Normal 2 2 2 2 4 31 2 4" xfId="15431" xr:uid="{00000000-0005-0000-0000-00003E3C0000}"/>
    <cellStyle name="Normal 2 2 2 2 4 31 2 5" xfId="15432" xr:uid="{00000000-0005-0000-0000-00003F3C0000}"/>
    <cellStyle name="Normal 2 2 2 2 4 31 2 6" xfId="15433" xr:uid="{00000000-0005-0000-0000-0000403C0000}"/>
    <cellStyle name="Normal 2 2 2 2 4 31 2 7" xfId="15434" xr:uid="{00000000-0005-0000-0000-0000413C0000}"/>
    <cellStyle name="Normal 2 2 2 2 4 31 2 8" xfId="15435" xr:uid="{00000000-0005-0000-0000-0000423C0000}"/>
    <cellStyle name="Normal 2 2 2 2 4 31 2 9" xfId="15436" xr:uid="{00000000-0005-0000-0000-0000433C0000}"/>
    <cellStyle name="Normal 2 2 2 2 4 31 3" xfId="15437" xr:uid="{00000000-0005-0000-0000-0000443C0000}"/>
    <cellStyle name="Normal 2 2 2 2 4 31 3 10" xfId="15438" xr:uid="{00000000-0005-0000-0000-0000453C0000}"/>
    <cellStyle name="Normal 2 2 2 2 4 31 3 2" xfId="15439" xr:uid="{00000000-0005-0000-0000-0000463C0000}"/>
    <cellStyle name="Normal 2 2 2 2 4 31 3 3" xfId="15440" xr:uid="{00000000-0005-0000-0000-0000473C0000}"/>
    <cellStyle name="Normal 2 2 2 2 4 31 3 4" xfId="15441" xr:uid="{00000000-0005-0000-0000-0000483C0000}"/>
    <cellStyle name="Normal 2 2 2 2 4 31 3 5" xfId="15442" xr:uid="{00000000-0005-0000-0000-0000493C0000}"/>
    <cellStyle name="Normal 2 2 2 2 4 31 3 6" xfId="15443" xr:uid="{00000000-0005-0000-0000-00004A3C0000}"/>
    <cellStyle name="Normal 2 2 2 2 4 31 3 7" xfId="15444" xr:uid="{00000000-0005-0000-0000-00004B3C0000}"/>
    <cellStyle name="Normal 2 2 2 2 4 31 3 8" xfId="15445" xr:uid="{00000000-0005-0000-0000-00004C3C0000}"/>
    <cellStyle name="Normal 2 2 2 2 4 31 3 9" xfId="15446" xr:uid="{00000000-0005-0000-0000-00004D3C0000}"/>
    <cellStyle name="Normal 2 2 2 2 4 31 4" xfId="15447" xr:uid="{00000000-0005-0000-0000-00004E3C0000}"/>
    <cellStyle name="Normal 2 2 2 2 4 31 4 10" xfId="15448" xr:uid="{00000000-0005-0000-0000-00004F3C0000}"/>
    <cellStyle name="Normal 2 2 2 2 4 31 4 2" xfId="15449" xr:uid="{00000000-0005-0000-0000-0000503C0000}"/>
    <cellStyle name="Normal 2 2 2 2 4 31 4 3" xfId="15450" xr:uid="{00000000-0005-0000-0000-0000513C0000}"/>
    <cellStyle name="Normal 2 2 2 2 4 31 4 4" xfId="15451" xr:uid="{00000000-0005-0000-0000-0000523C0000}"/>
    <cellStyle name="Normal 2 2 2 2 4 31 4 5" xfId="15452" xr:uid="{00000000-0005-0000-0000-0000533C0000}"/>
    <cellStyle name="Normal 2 2 2 2 4 31 4 6" xfId="15453" xr:uid="{00000000-0005-0000-0000-0000543C0000}"/>
    <cellStyle name="Normal 2 2 2 2 4 31 4 7" xfId="15454" xr:uid="{00000000-0005-0000-0000-0000553C0000}"/>
    <cellStyle name="Normal 2 2 2 2 4 31 4 8" xfId="15455" xr:uid="{00000000-0005-0000-0000-0000563C0000}"/>
    <cellStyle name="Normal 2 2 2 2 4 31 4 9" xfId="15456" xr:uid="{00000000-0005-0000-0000-0000573C0000}"/>
    <cellStyle name="Normal 2 2 2 2 4 31 5" xfId="15457" xr:uid="{00000000-0005-0000-0000-0000583C0000}"/>
    <cellStyle name="Normal 2 2 2 2 4 31 5 10" xfId="15458" xr:uid="{00000000-0005-0000-0000-0000593C0000}"/>
    <cellStyle name="Normal 2 2 2 2 4 31 5 2" xfId="15459" xr:uid="{00000000-0005-0000-0000-00005A3C0000}"/>
    <cellStyle name="Normal 2 2 2 2 4 31 5 3" xfId="15460" xr:uid="{00000000-0005-0000-0000-00005B3C0000}"/>
    <cellStyle name="Normal 2 2 2 2 4 31 5 4" xfId="15461" xr:uid="{00000000-0005-0000-0000-00005C3C0000}"/>
    <cellStyle name="Normal 2 2 2 2 4 31 5 5" xfId="15462" xr:uid="{00000000-0005-0000-0000-00005D3C0000}"/>
    <cellStyle name="Normal 2 2 2 2 4 31 5 6" xfId="15463" xr:uid="{00000000-0005-0000-0000-00005E3C0000}"/>
    <cellStyle name="Normal 2 2 2 2 4 31 5 7" xfId="15464" xr:uid="{00000000-0005-0000-0000-00005F3C0000}"/>
    <cellStyle name="Normal 2 2 2 2 4 31 5 8" xfId="15465" xr:uid="{00000000-0005-0000-0000-0000603C0000}"/>
    <cellStyle name="Normal 2 2 2 2 4 31 5 9" xfId="15466" xr:uid="{00000000-0005-0000-0000-0000613C0000}"/>
    <cellStyle name="Normal 2 2 2 2 4 31 6" xfId="15467" xr:uid="{00000000-0005-0000-0000-0000623C0000}"/>
    <cellStyle name="Normal 2 2 2 2 4 31 7" xfId="15468" xr:uid="{00000000-0005-0000-0000-0000633C0000}"/>
    <cellStyle name="Normal 2 2 2 2 4 31 8" xfId="15469" xr:uid="{00000000-0005-0000-0000-0000643C0000}"/>
    <cellStyle name="Normal 2 2 2 2 4 31 9" xfId="15470" xr:uid="{00000000-0005-0000-0000-0000653C0000}"/>
    <cellStyle name="Normal 2 2 2 2 4 32" xfId="15471" xr:uid="{00000000-0005-0000-0000-0000663C0000}"/>
    <cellStyle name="Normal 2 2 2 2 4 32 10" xfId="15472" xr:uid="{00000000-0005-0000-0000-0000673C0000}"/>
    <cellStyle name="Normal 2 2 2 2 4 32 11" xfId="15473" xr:uid="{00000000-0005-0000-0000-0000683C0000}"/>
    <cellStyle name="Normal 2 2 2 2 4 32 12" xfId="15474" xr:uid="{00000000-0005-0000-0000-0000693C0000}"/>
    <cellStyle name="Normal 2 2 2 2 4 32 13" xfId="15475" xr:uid="{00000000-0005-0000-0000-00006A3C0000}"/>
    <cellStyle name="Normal 2 2 2 2 4 32 14" xfId="15476" xr:uid="{00000000-0005-0000-0000-00006B3C0000}"/>
    <cellStyle name="Normal 2 2 2 2 4 32 2" xfId="15477" xr:uid="{00000000-0005-0000-0000-00006C3C0000}"/>
    <cellStyle name="Normal 2 2 2 2 4 32 2 10" xfId="15478" xr:uid="{00000000-0005-0000-0000-00006D3C0000}"/>
    <cellStyle name="Normal 2 2 2 2 4 32 2 2" xfId="15479" xr:uid="{00000000-0005-0000-0000-00006E3C0000}"/>
    <cellStyle name="Normal 2 2 2 2 4 32 2 3" xfId="15480" xr:uid="{00000000-0005-0000-0000-00006F3C0000}"/>
    <cellStyle name="Normal 2 2 2 2 4 32 2 4" xfId="15481" xr:uid="{00000000-0005-0000-0000-0000703C0000}"/>
    <cellStyle name="Normal 2 2 2 2 4 32 2 5" xfId="15482" xr:uid="{00000000-0005-0000-0000-0000713C0000}"/>
    <cellStyle name="Normal 2 2 2 2 4 32 2 6" xfId="15483" xr:uid="{00000000-0005-0000-0000-0000723C0000}"/>
    <cellStyle name="Normal 2 2 2 2 4 32 2 7" xfId="15484" xr:uid="{00000000-0005-0000-0000-0000733C0000}"/>
    <cellStyle name="Normal 2 2 2 2 4 32 2 8" xfId="15485" xr:uid="{00000000-0005-0000-0000-0000743C0000}"/>
    <cellStyle name="Normal 2 2 2 2 4 32 2 9" xfId="15486" xr:uid="{00000000-0005-0000-0000-0000753C0000}"/>
    <cellStyle name="Normal 2 2 2 2 4 32 3" xfId="15487" xr:uid="{00000000-0005-0000-0000-0000763C0000}"/>
    <cellStyle name="Normal 2 2 2 2 4 32 3 10" xfId="15488" xr:uid="{00000000-0005-0000-0000-0000773C0000}"/>
    <cellStyle name="Normal 2 2 2 2 4 32 3 2" xfId="15489" xr:uid="{00000000-0005-0000-0000-0000783C0000}"/>
    <cellStyle name="Normal 2 2 2 2 4 32 3 3" xfId="15490" xr:uid="{00000000-0005-0000-0000-0000793C0000}"/>
    <cellStyle name="Normal 2 2 2 2 4 32 3 4" xfId="15491" xr:uid="{00000000-0005-0000-0000-00007A3C0000}"/>
    <cellStyle name="Normal 2 2 2 2 4 32 3 5" xfId="15492" xr:uid="{00000000-0005-0000-0000-00007B3C0000}"/>
    <cellStyle name="Normal 2 2 2 2 4 32 3 6" xfId="15493" xr:uid="{00000000-0005-0000-0000-00007C3C0000}"/>
    <cellStyle name="Normal 2 2 2 2 4 32 3 7" xfId="15494" xr:uid="{00000000-0005-0000-0000-00007D3C0000}"/>
    <cellStyle name="Normal 2 2 2 2 4 32 3 8" xfId="15495" xr:uid="{00000000-0005-0000-0000-00007E3C0000}"/>
    <cellStyle name="Normal 2 2 2 2 4 32 3 9" xfId="15496" xr:uid="{00000000-0005-0000-0000-00007F3C0000}"/>
    <cellStyle name="Normal 2 2 2 2 4 32 4" xfId="15497" xr:uid="{00000000-0005-0000-0000-0000803C0000}"/>
    <cellStyle name="Normal 2 2 2 2 4 32 4 10" xfId="15498" xr:uid="{00000000-0005-0000-0000-0000813C0000}"/>
    <cellStyle name="Normal 2 2 2 2 4 32 4 2" xfId="15499" xr:uid="{00000000-0005-0000-0000-0000823C0000}"/>
    <cellStyle name="Normal 2 2 2 2 4 32 4 3" xfId="15500" xr:uid="{00000000-0005-0000-0000-0000833C0000}"/>
    <cellStyle name="Normal 2 2 2 2 4 32 4 4" xfId="15501" xr:uid="{00000000-0005-0000-0000-0000843C0000}"/>
    <cellStyle name="Normal 2 2 2 2 4 32 4 5" xfId="15502" xr:uid="{00000000-0005-0000-0000-0000853C0000}"/>
    <cellStyle name="Normal 2 2 2 2 4 32 4 6" xfId="15503" xr:uid="{00000000-0005-0000-0000-0000863C0000}"/>
    <cellStyle name="Normal 2 2 2 2 4 32 4 7" xfId="15504" xr:uid="{00000000-0005-0000-0000-0000873C0000}"/>
    <cellStyle name="Normal 2 2 2 2 4 32 4 8" xfId="15505" xr:uid="{00000000-0005-0000-0000-0000883C0000}"/>
    <cellStyle name="Normal 2 2 2 2 4 32 4 9" xfId="15506" xr:uid="{00000000-0005-0000-0000-0000893C0000}"/>
    <cellStyle name="Normal 2 2 2 2 4 32 5" xfId="15507" xr:uid="{00000000-0005-0000-0000-00008A3C0000}"/>
    <cellStyle name="Normal 2 2 2 2 4 32 5 10" xfId="15508" xr:uid="{00000000-0005-0000-0000-00008B3C0000}"/>
    <cellStyle name="Normal 2 2 2 2 4 32 5 2" xfId="15509" xr:uid="{00000000-0005-0000-0000-00008C3C0000}"/>
    <cellStyle name="Normal 2 2 2 2 4 32 5 3" xfId="15510" xr:uid="{00000000-0005-0000-0000-00008D3C0000}"/>
    <cellStyle name="Normal 2 2 2 2 4 32 5 4" xfId="15511" xr:uid="{00000000-0005-0000-0000-00008E3C0000}"/>
    <cellStyle name="Normal 2 2 2 2 4 32 5 5" xfId="15512" xr:uid="{00000000-0005-0000-0000-00008F3C0000}"/>
    <cellStyle name="Normal 2 2 2 2 4 32 5 6" xfId="15513" xr:uid="{00000000-0005-0000-0000-0000903C0000}"/>
    <cellStyle name="Normal 2 2 2 2 4 32 5 7" xfId="15514" xr:uid="{00000000-0005-0000-0000-0000913C0000}"/>
    <cellStyle name="Normal 2 2 2 2 4 32 5 8" xfId="15515" xr:uid="{00000000-0005-0000-0000-0000923C0000}"/>
    <cellStyle name="Normal 2 2 2 2 4 32 5 9" xfId="15516" xr:uid="{00000000-0005-0000-0000-0000933C0000}"/>
    <cellStyle name="Normal 2 2 2 2 4 32 6" xfId="15517" xr:uid="{00000000-0005-0000-0000-0000943C0000}"/>
    <cellStyle name="Normal 2 2 2 2 4 32 7" xfId="15518" xr:uid="{00000000-0005-0000-0000-0000953C0000}"/>
    <cellStyle name="Normal 2 2 2 2 4 32 8" xfId="15519" xr:uid="{00000000-0005-0000-0000-0000963C0000}"/>
    <cellStyle name="Normal 2 2 2 2 4 32 9" xfId="15520" xr:uid="{00000000-0005-0000-0000-0000973C0000}"/>
    <cellStyle name="Normal 2 2 2 2 4 33" xfId="15521" xr:uid="{00000000-0005-0000-0000-0000983C0000}"/>
    <cellStyle name="Normal 2 2 2 2 4 33 10" xfId="15522" xr:uid="{00000000-0005-0000-0000-0000993C0000}"/>
    <cellStyle name="Normal 2 2 2 2 4 33 11" xfId="15523" xr:uid="{00000000-0005-0000-0000-00009A3C0000}"/>
    <cellStyle name="Normal 2 2 2 2 4 33 12" xfId="15524" xr:uid="{00000000-0005-0000-0000-00009B3C0000}"/>
    <cellStyle name="Normal 2 2 2 2 4 33 13" xfId="15525" xr:uid="{00000000-0005-0000-0000-00009C3C0000}"/>
    <cellStyle name="Normal 2 2 2 2 4 33 14" xfId="15526" xr:uid="{00000000-0005-0000-0000-00009D3C0000}"/>
    <cellStyle name="Normal 2 2 2 2 4 33 2" xfId="15527" xr:uid="{00000000-0005-0000-0000-00009E3C0000}"/>
    <cellStyle name="Normal 2 2 2 2 4 33 2 10" xfId="15528" xr:uid="{00000000-0005-0000-0000-00009F3C0000}"/>
    <cellStyle name="Normal 2 2 2 2 4 33 2 2" xfId="15529" xr:uid="{00000000-0005-0000-0000-0000A03C0000}"/>
    <cellStyle name="Normal 2 2 2 2 4 33 2 3" xfId="15530" xr:uid="{00000000-0005-0000-0000-0000A13C0000}"/>
    <cellStyle name="Normal 2 2 2 2 4 33 2 4" xfId="15531" xr:uid="{00000000-0005-0000-0000-0000A23C0000}"/>
    <cellStyle name="Normal 2 2 2 2 4 33 2 5" xfId="15532" xr:uid="{00000000-0005-0000-0000-0000A33C0000}"/>
    <cellStyle name="Normal 2 2 2 2 4 33 2 6" xfId="15533" xr:uid="{00000000-0005-0000-0000-0000A43C0000}"/>
    <cellStyle name="Normal 2 2 2 2 4 33 2 7" xfId="15534" xr:uid="{00000000-0005-0000-0000-0000A53C0000}"/>
    <cellStyle name="Normal 2 2 2 2 4 33 2 8" xfId="15535" xr:uid="{00000000-0005-0000-0000-0000A63C0000}"/>
    <cellStyle name="Normal 2 2 2 2 4 33 2 9" xfId="15536" xr:uid="{00000000-0005-0000-0000-0000A73C0000}"/>
    <cellStyle name="Normal 2 2 2 2 4 33 3" xfId="15537" xr:uid="{00000000-0005-0000-0000-0000A83C0000}"/>
    <cellStyle name="Normal 2 2 2 2 4 33 3 10" xfId="15538" xr:uid="{00000000-0005-0000-0000-0000A93C0000}"/>
    <cellStyle name="Normal 2 2 2 2 4 33 3 2" xfId="15539" xr:uid="{00000000-0005-0000-0000-0000AA3C0000}"/>
    <cellStyle name="Normal 2 2 2 2 4 33 3 3" xfId="15540" xr:uid="{00000000-0005-0000-0000-0000AB3C0000}"/>
    <cellStyle name="Normal 2 2 2 2 4 33 3 4" xfId="15541" xr:uid="{00000000-0005-0000-0000-0000AC3C0000}"/>
    <cellStyle name="Normal 2 2 2 2 4 33 3 5" xfId="15542" xr:uid="{00000000-0005-0000-0000-0000AD3C0000}"/>
    <cellStyle name="Normal 2 2 2 2 4 33 3 6" xfId="15543" xr:uid="{00000000-0005-0000-0000-0000AE3C0000}"/>
    <cellStyle name="Normal 2 2 2 2 4 33 3 7" xfId="15544" xr:uid="{00000000-0005-0000-0000-0000AF3C0000}"/>
    <cellStyle name="Normal 2 2 2 2 4 33 3 8" xfId="15545" xr:uid="{00000000-0005-0000-0000-0000B03C0000}"/>
    <cellStyle name="Normal 2 2 2 2 4 33 3 9" xfId="15546" xr:uid="{00000000-0005-0000-0000-0000B13C0000}"/>
    <cellStyle name="Normal 2 2 2 2 4 33 4" xfId="15547" xr:uid="{00000000-0005-0000-0000-0000B23C0000}"/>
    <cellStyle name="Normal 2 2 2 2 4 33 4 10" xfId="15548" xr:uid="{00000000-0005-0000-0000-0000B33C0000}"/>
    <cellStyle name="Normal 2 2 2 2 4 33 4 2" xfId="15549" xr:uid="{00000000-0005-0000-0000-0000B43C0000}"/>
    <cellStyle name="Normal 2 2 2 2 4 33 4 3" xfId="15550" xr:uid="{00000000-0005-0000-0000-0000B53C0000}"/>
    <cellStyle name="Normal 2 2 2 2 4 33 4 4" xfId="15551" xr:uid="{00000000-0005-0000-0000-0000B63C0000}"/>
    <cellStyle name="Normal 2 2 2 2 4 33 4 5" xfId="15552" xr:uid="{00000000-0005-0000-0000-0000B73C0000}"/>
    <cellStyle name="Normal 2 2 2 2 4 33 4 6" xfId="15553" xr:uid="{00000000-0005-0000-0000-0000B83C0000}"/>
    <cellStyle name="Normal 2 2 2 2 4 33 4 7" xfId="15554" xr:uid="{00000000-0005-0000-0000-0000B93C0000}"/>
    <cellStyle name="Normal 2 2 2 2 4 33 4 8" xfId="15555" xr:uid="{00000000-0005-0000-0000-0000BA3C0000}"/>
    <cellStyle name="Normal 2 2 2 2 4 33 4 9" xfId="15556" xr:uid="{00000000-0005-0000-0000-0000BB3C0000}"/>
    <cellStyle name="Normal 2 2 2 2 4 33 5" xfId="15557" xr:uid="{00000000-0005-0000-0000-0000BC3C0000}"/>
    <cellStyle name="Normal 2 2 2 2 4 33 5 10" xfId="15558" xr:uid="{00000000-0005-0000-0000-0000BD3C0000}"/>
    <cellStyle name="Normal 2 2 2 2 4 33 5 2" xfId="15559" xr:uid="{00000000-0005-0000-0000-0000BE3C0000}"/>
    <cellStyle name="Normal 2 2 2 2 4 33 5 3" xfId="15560" xr:uid="{00000000-0005-0000-0000-0000BF3C0000}"/>
    <cellStyle name="Normal 2 2 2 2 4 33 5 4" xfId="15561" xr:uid="{00000000-0005-0000-0000-0000C03C0000}"/>
    <cellStyle name="Normal 2 2 2 2 4 33 5 5" xfId="15562" xr:uid="{00000000-0005-0000-0000-0000C13C0000}"/>
    <cellStyle name="Normal 2 2 2 2 4 33 5 6" xfId="15563" xr:uid="{00000000-0005-0000-0000-0000C23C0000}"/>
    <cellStyle name="Normal 2 2 2 2 4 33 5 7" xfId="15564" xr:uid="{00000000-0005-0000-0000-0000C33C0000}"/>
    <cellStyle name="Normal 2 2 2 2 4 33 5 8" xfId="15565" xr:uid="{00000000-0005-0000-0000-0000C43C0000}"/>
    <cellStyle name="Normal 2 2 2 2 4 33 5 9" xfId="15566" xr:uid="{00000000-0005-0000-0000-0000C53C0000}"/>
    <cellStyle name="Normal 2 2 2 2 4 33 6" xfId="15567" xr:uid="{00000000-0005-0000-0000-0000C63C0000}"/>
    <cellStyle name="Normal 2 2 2 2 4 33 7" xfId="15568" xr:uid="{00000000-0005-0000-0000-0000C73C0000}"/>
    <cellStyle name="Normal 2 2 2 2 4 33 8" xfId="15569" xr:uid="{00000000-0005-0000-0000-0000C83C0000}"/>
    <cellStyle name="Normal 2 2 2 2 4 33 9" xfId="15570" xr:uid="{00000000-0005-0000-0000-0000C93C0000}"/>
    <cellStyle name="Normal 2 2 2 2 4 34" xfId="15571" xr:uid="{00000000-0005-0000-0000-0000CA3C0000}"/>
    <cellStyle name="Normal 2 2 2 2 4 35" xfId="15572" xr:uid="{00000000-0005-0000-0000-0000CB3C0000}"/>
    <cellStyle name="Normal 2 2 2 2 4 4" xfId="15573" xr:uid="{00000000-0005-0000-0000-0000CC3C0000}"/>
    <cellStyle name="Normal 2 2 2 2 4 4 10" xfId="15574" xr:uid="{00000000-0005-0000-0000-0000CD3C0000}"/>
    <cellStyle name="Normal 2 2 2 2 4 4 11" xfId="15575" xr:uid="{00000000-0005-0000-0000-0000CE3C0000}"/>
    <cellStyle name="Normal 2 2 2 2 4 4 12" xfId="15576" xr:uid="{00000000-0005-0000-0000-0000CF3C0000}"/>
    <cellStyle name="Normal 2 2 2 2 4 4 13" xfId="15577" xr:uid="{00000000-0005-0000-0000-0000D03C0000}"/>
    <cellStyle name="Normal 2 2 2 2 4 4 14" xfId="15578" xr:uid="{00000000-0005-0000-0000-0000D13C0000}"/>
    <cellStyle name="Normal 2 2 2 2 4 4 2" xfId="15579" xr:uid="{00000000-0005-0000-0000-0000D23C0000}"/>
    <cellStyle name="Normal 2 2 2 2 4 4 2 10" xfId="15580" xr:uid="{00000000-0005-0000-0000-0000D33C0000}"/>
    <cellStyle name="Normal 2 2 2 2 4 4 2 2" xfId="15581" xr:uid="{00000000-0005-0000-0000-0000D43C0000}"/>
    <cellStyle name="Normal 2 2 2 2 4 4 2 3" xfId="15582" xr:uid="{00000000-0005-0000-0000-0000D53C0000}"/>
    <cellStyle name="Normal 2 2 2 2 4 4 2 4" xfId="15583" xr:uid="{00000000-0005-0000-0000-0000D63C0000}"/>
    <cellStyle name="Normal 2 2 2 2 4 4 2 5" xfId="15584" xr:uid="{00000000-0005-0000-0000-0000D73C0000}"/>
    <cellStyle name="Normal 2 2 2 2 4 4 2 6" xfId="15585" xr:uid="{00000000-0005-0000-0000-0000D83C0000}"/>
    <cellStyle name="Normal 2 2 2 2 4 4 2 7" xfId="15586" xr:uid="{00000000-0005-0000-0000-0000D93C0000}"/>
    <cellStyle name="Normal 2 2 2 2 4 4 2 8" xfId="15587" xr:uid="{00000000-0005-0000-0000-0000DA3C0000}"/>
    <cellStyle name="Normal 2 2 2 2 4 4 2 9" xfId="15588" xr:uid="{00000000-0005-0000-0000-0000DB3C0000}"/>
    <cellStyle name="Normal 2 2 2 2 4 4 3" xfId="15589" xr:uid="{00000000-0005-0000-0000-0000DC3C0000}"/>
    <cellStyle name="Normal 2 2 2 2 4 4 3 10" xfId="15590" xr:uid="{00000000-0005-0000-0000-0000DD3C0000}"/>
    <cellStyle name="Normal 2 2 2 2 4 4 3 2" xfId="15591" xr:uid="{00000000-0005-0000-0000-0000DE3C0000}"/>
    <cellStyle name="Normal 2 2 2 2 4 4 3 3" xfId="15592" xr:uid="{00000000-0005-0000-0000-0000DF3C0000}"/>
    <cellStyle name="Normal 2 2 2 2 4 4 3 4" xfId="15593" xr:uid="{00000000-0005-0000-0000-0000E03C0000}"/>
    <cellStyle name="Normal 2 2 2 2 4 4 3 5" xfId="15594" xr:uid="{00000000-0005-0000-0000-0000E13C0000}"/>
    <cellStyle name="Normal 2 2 2 2 4 4 3 6" xfId="15595" xr:uid="{00000000-0005-0000-0000-0000E23C0000}"/>
    <cellStyle name="Normal 2 2 2 2 4 4 3 7" xfId="15596" xr:uid="{00000000-0005-0000-0000-0000E33C0000}"/>
    <cellStyle name="Normal 2 2 2 2 4 4 3 8" xfId="15597" xr:uid="{00000000-0005-0000-0000-0000E43C0000}"/>
    <cellStyle name="Normal 2 2 2 2 4 4 3 9" xfId="15598" xr:uid="{00000000-0005-0000-0000-0000E53C0000}"/>
    <cellStyle name="Normal 2 2 2 2 4 4 4" xfId="15599" xr:uid="{00000000-0005-0000-0000-0000E63C0000}"/>
    <cellStyle name="Normal 2 2 2 2 4 4 4 10" xfId="15600" xr:uid="{00000000-0005-0000-0000-0000E73C0000}"/>
    <cellStyle name="Normal 2 2 2 2 4 4 4 2" xfId="15601" xr:uid="{00000000-0005-0000-0000-0000E83C0000}"/>
    <cellStyle name="Normal 2 2 2 2 4 4 4 3" xfId="15602" xr:uid="{00000000-0005-0000-0000-0000E93C0000}"/>
    <cellStyle name="Normal 2 2 2 2 4 4 4 4" xfId="15603" xr:uid="{00000000-0005-0000-0000-0000EA3C0000}"/>
    <cellStyle name="Normal 2 2 2 2 4 4 4 5" xfId="15604" xr:uid="{00000000-0005-0000-0000-0000EB3C0000}"/>
    <cellStyle name="Normal 2 2 2 2 4 4 4 6" xfId="15605" xr:uid="{00000000-0005-0000-0000-0000EC3C0000}"/>
    <cellStyle name="Normal 2 2 2 2 4 4 4 7" xfId="15606" xr:uid="{00000000-0005-0000-0000-0000ED3C0000}"/>
    <cellStyle name="Normal 2 2 2 2 4 4 4 8" xfId="15607" xr:uid="{00000000-0005-0000-0000-0000EE3C0000}"/>
    <cellStyle name="Normal 2 2 2 2 4 4 4 9" xfId="15608" xr:uid="{00000000-0005-0000-0000-0000EF3C0000}"/>
    <cellStyle name="Normal 2 2 2 2 4 4 5" xfId="15609" xr:uid="{00000000-0005-0000-0000-0000F03C0000}"/>
    <cellStyle name="Normal 2 2 2 2 4 4 5 10" xfId="15610" xr:uid="{00000000-0005-0000-0000-0000F13C0000}"/>
    <cellStyle name="Normal 2 2 2 2 4 4 5 2" xfId="15611" xr:uid="{00000000-0005-0000-0000-0000F23C0000}"/>
    <cellStyle name="Normal 2 2 2 2 4 4 5 3" xfId="15612" xr:uid="{00000000-0005-0000-0000-0000F33C0000}"/>
    <cellStyle name="Normal 2 2 2 2 4 4 5 4" xfId="15613" xr:uid="{00000000-0005-0000-0000-0000F43C0000}"/>
    <cellStyle name="Normal 2 2 2 2 4 4 5 5" xfId="15614" xr:uid="{00000000-0005-0000-0000-0000F53C0000}"/>
    <cellStyle name="Normal 2 2 2 2 4 4 5 6" xfId="15615" xr:uid="{00000000-0005-0000-0000-0000F63C0000}"/>
    <cellStyle name="Normal 2 2 2 2 4 4 5 7" xfId="15616" xr:uid="{00000000-0005-0000-0000-0000F73C0000}"/>
    <cellStyle name="Normal 2 2 2 2 4 4 5 8" xfId="15617" xr:uid="{00000000-0005-0000-0000-0000F83C0000}"/>
    <cellStyle name="Normal 2 2 2 2 4 4 5 9" xfId="15618" xr:uid="{00000000-0005-0000-0000-0000F93C0000}"/>
    <cellStyle name="Normal 2 2 2 2 4 4 6" xfId="15619" xr:uid="{00000000-0005-0000-0000-0000FA3C0000}"/>
    <cellStyle name="Normal 2 2 2 2 4 4 7" xfId="15620" xr:uid="{00000000-0005-0000-0000-0000FB3C0000}"/>
    <cellStyle name="Normal 2 2 2 2 4 4 8" xfId="15621" xr:uid="{00000000-0005-0000-0000-0000FC3C0000}"/>
    <cellStyle name="Normal 2 2 2 2 4 4 9" xfId="15622" xr:uid="{00000000-0005-0000-0000-0000FD3C0000}"/>
    <cellStyle name="Normal 2 2 2 2 4 5" xfId="15623" xr:uid="{00000000-0005-0000-0000-0000FE3C0000}"/>
    <cellStyle name="Normal 2 2 2 2 4 5 10" xfId="15624" xr:uid="{00000000-0005-0000-0000-0000FF3C0000}"/>
    <cellStyle name="Normal 2 2 2 2 4 5 11" xfId="15625" xr:uid="{00000000-0005-0000-0000-0000003D0000}"/>
    <cellStyle name="Normal 2 2 2 2 4 5 12" xfId="15626" xr:uid="{00000000-0005-0000-0000-0000013D0000}"/>
    <cellStyle name="Normal 2 2 2 2 4 5 13" xfId="15627" xr:uid="{00000000-0005-0000-0000-0000023D0000}"/>
    <cellStyle name="Normal 2 2 2 2 4 5 14" xfId="15628" xr:uid="{00000000-0005-0000-0000-0000033D0000}"/>
    <cellStyle name="Normal 2 2 2 2 4 5 2" xfId="15629" xr:uid="{00000000-0005-0000-0000-0000043D0000}"/>
    <cellStyle name="Normal 2 2 2 2 4 5 2 10" xfId="15630" xr:uid="{00000000-0005-0000-0000-0000053D0000}"/>
    <cellStyle name="Normal 2 2 2 2 4 5 2 2" xfId="15631" xr:uid="{00000000-0005-0000-0000-0000063D0000}"/>
    <cellStyle name="Normal 2 2 2 2 4 5 2 3" xfId="15632" xr:uid="{00000000-0005-0000-0000-0000073D0000}"/>
    <cellStyle name="Normal 2 2 2 2 4 5 2 4" xfId="15633" xr:uid="{00000000-0005-0000-0000-0000083D0000}"/>
    <cellStyle name="Normal 2 2 2 2 4 5 2 5" xfId="15634" xr:uid="{00000000-0005-0000-0000-0000093D0000}"/>
    <cellStyle name="Normal 2 2 2 2 4 5 2 6" xfId="15635" xr:uid="{00000000-0005-0000-0000-00000A3D0000}"/>
    <cellStyle name="Normal 2 2 2 2 4 5 2 7" xfId="15636" xr:uid="{00000000-0005-0000-0000-00000B3D0000}"/>
    <cellStyle name="Normal 2 2 2 2 4 5 2 8" xfId="15637" xr:uid="{00000000-0005-0000-0000-00000C3D0000}"/>
    <cellStyle name="Normal 2 2 2 2 4 5 2 9" xfId="15638" xr:uid="{00000000-0005-0000-0000-00000D3D0000}"/>
    <cellStyle name="Normal 2 2 2 2 4 5 3" xfId="15639" xr:uid="{00000000-0005-0000-0000-00000E3D0000}"/>
    <cellStyle name="Normal 2 2 2 2 4 5 3 10" xfId="15640" xr:uid="{00000000-0005-0000-0000-00000F3D0000}"/>
    <cellStyle name="Normal 2 2 2 2 4 5 3 2" xfId="15641" xr:uid="{00000000-0005-0000-0000-0000103D0000}"/>
    <cellStyle name="Normal 2 2 2 2 4 5 3 3" xfId="15642" xr:uid="{00000000-0005-0000-0000-0000113D0000}"/>
    <cellStyle name="Normal 2 2 2 2 4 5 3 4" xfId="15643" xr:uid="{00000000-0005-0000-0000-0000123D0000}"/>
    <cellStyle name="Normal 2 2 2 2 4 5 3 5" xfId="15644" xr:uid="{00000000-0005-0000-0000-0000133D0000}"/>
    <cellStyle name="Normal 2 2 2 2 4 5 3 6" xfId="15645" xr:uid="{00000000-0005-0000-0000-0000143D0000}"/>
    <cellStyle name="Normal 2 2 2 2 4 5 3 7" xfId="15646" xr:uid="{00000000-0005-0000-0000-0000153D0000}"/>
    <cellStyle name="Normal 2 2 2 2 4 5 3 8" xfId="15647" xr:uid="{00000000-0005-0000-0000-0000163D0000}"/>
    <cellStyle name="Normal 2 2 2 2 4 5 3 9" xfId="15648" xr:uid="{00000000-0005-0000-0000-0000173D0000}"/>
    <cellStyle name="Normal 2 2 2 2 4 5 4" xfId="15649" xr:uid="{00000000-0005-0000-0000-0000183D0000}"/>
    <cellStyle name="Normal 2 2 2 2 4 5 4 10" xfId="15650" xr:uid="{00000000-0005-0000-0000-0000193D0000}"/>
    <cellStyle name="Normal 2 2 2 2 4 5 4 2" xfId="15651" xr:uid="{00000000-0005-0000-0000-00001A3D0000}"/>
    <cellStyle name="Normal 2 2 2 2 4 5 4 3" xfId="15652" xr:uid="{00000000-0005-0000-0000-00001B3D0000}"/>
    <cellStyle name="Normal 2 2 2 2 4 5 4 4" xfId="15653" xr:uid="{00000000-0005-0000-0000-00001C3D0000}"/>
    <cellStyle name="Normal 2 2 2 2 4 5 4 5" xfId="15654" xr:uid="{00000000-0005-0000-0000-00001D3D0000}"/>
    <cellStyle name="Normal 2 2 2 2 4 5 4 6" xfId="15655" xr:uid="{00000000-0005-0000-0000-00001E3D0000}"/>
    <cellStyle name="Normal 2 2 2 2 4 5 4 7" xfId="15656" xr:uid="{00000000-0005-0000-0000-00001F3D0000}"/>
    <cellStyle name="Normal 2 2 2 2 4 5 4 8" xfId="15657" xr:uid="{00000000-0005-0000-0000-0000203D0000}"/>
    <cellStyle name="Normal 2 2 2 2 4 5 4 9" xfId="15658" xr:uid="{00000000-0005-0000-0000-0000213D0000}"/>
    <cellStyle name="Normal 2 2 2 2 4 5 5" xfId="15659" xr:uid="{00000000-0005-0000-0000-0000223D0000}"/>
    <cellStyle name="Normal 2 2 2 2 4 5 5 10" xfId="15660" xr:uid="{00000000-0005-0000-0000-0000233D0000}"/>
    <cellStyle name="Normal 2 2 2 2 4 5 5 2" xfId="15661" xr:uid="{00000000-0005-0000-0000-0000243D0000}"/>
    <cellStyle name="Normal 2 2 2 2 4 5 5 3" xfId="15662" xr:uid="{00000000-0005-0000-0000-0000253D0000}"/>
    <cellStyle name="Normal 2 2 2 2 4 5 5 4" xfId="15663" xr:uid="{00000000-0005-0000-0000-0000263D0000}"/>
    <cellStyle name="Normal 2 2 2 2 4 5 5 5" xfId="15664" xr:uid="{00000000-0005-0000-0000-0000273D0000}"/>
    <cellStyle name="Normal 2 2 2 2 4 5 5 6" xfId="15665" xr:uid="{00000000-0005-0000-0000-0000283D0000}"/>
    <cellStyle name="Normal 2 2 2 2 4 5 5 7" xfId="15666" xr:uid="{00000000-0005-0000-0000-0000293D0000}"/>
    <cellStyle name="Normal 2 2 2 2 4 5 5 8" xfId="15667" xr:uid="{00000000-0005-0000-0000-00002A3D0000}"/>
    <cellStyle name="Normal 2 2 2 2 4 5 5 9" xfId="15668" xr:uid="{00000000-0005-0000-0000-00002B3D0000}"/>
    <cellStyle name="Normal 2 2 2 2 4 5 6" xfId="15669" xr:uid="{00000000-0005-0000-0000-00002C3D0000}"/>
    <cellStyle name="Normal 2 2 2 2 4 5 7" xfId="15670" xr:uid="{00000000-0005-0000-0000-00002D3D0000}"/>
    <cellStyle name="Normal 2 2 2 2 4 5 8" xfId="15671" xr:uid="{00000000-0005-0000-0000-00002E3D0000}"/>
    <cellStyle name="Normal 2 2 2 2 4 5 9" xfId="15672" xr:uid="{00000000-0005-0000-0000-00002F3D0000}"/>
    <cellStyle name="Normal 2 2 2 2 4 6" xfId="15673" xr:uid="{00000000-0005-0000-0000-0000303D0000}"/>
    <cellStyle name="Normal 2 2 2 2 4 6 10" xfId="15674" xr:uid="{00000000-0005-0000-0000-0000313D0000}"/>
    <cellStyle name="Normal 2 2 2 2 4 6 11" xfId="15675" xr:uid="{00000000-0005-0000-0000-0000323D0000}"/>
    <cellStyle name="Normal 2 2 2 2 4 6 12" xfId="15676" xr:uid="{00000000-0005-0000-0000-0000333D0000}"/>
    <cellStyle name="Normal 2 2 2 2 4 6 13" xfId="15677" xr:uid="{00000000-0005-0000-0000-0000343D0000}"/>
    <cellStyle name="Normal 2 2 2 2 4 6 14" xfId="15678" xr:uid="{00000000-0005-0000-0000-0000353D0000}"/>
    <cellStyle name="Normal 2 2 2 2 4 6 2" xfId="15679" xr:uid="{00000000-0005-0000-0000-0000363D0000}"/>
    <cellStyle name="Normal 2 2 2 2 4 6 2 10" xfId="15680" xr:uid="{00000000-0005-0000-0000-0000373D0000}"/>
    <cellStyle name="Normal 2 2 2 2 4 6 2 2" xfId="15681" xr:uid="{00000000-0005-0000-0000-0000383D0000}"/>
    <cellStyle name="Normal 2 2 2 2 4 6 2 3" xfId="15682" xr:uid="{00000000-0005-0000-0000-0000393D0000}"/>
    <cellStyle name="Normal 2 2 2 2 4 6 2 4" xfId="15683" xr:uid="{00000000-0005-0000-0000-00003A3D0000}"/>
    <cellStyle name="Normal 2 2 2 2 4 6 2 5" xfId="15684" xr:uid="{00000000-0005-0000-0000-00003B3D0000}"/>
    <cellStyle name="Normal 2 2 2 2 4 6 2 6" xfId="15685" xr:uid="{00000000-0005-0000-0000-00003C3D0000}"/>
    <cellStyle name="Normal 2 2 2 2 4 6 2 7" xfId="15686" xr:uid="{00000000-0005-0000-0000-00003D3D0000}"/>
    <cellStyle name="Normal 2 2 2 2 4 6 2 8" xfId="15687" xr:uid="{00000000-0005-0000-0000-00003E3D0000}"/>
    <cellStyle name="Normal 2 2 2 2 4 6 2 9" xfId="15688" xr:uid="{00000000-0005-0000-0000-00003F3D0000}"/>
    <cellStyle name="Normal 2 2 2 2 4 6 3" xfId="15689" xr:uid="{00000000-0005-0000-0000-0000403D0000}"/>
    <cellStyle name="Normal 2 2 2 2 4 6 3 10" xfId="15690" xr:uid="{00000000-0005-0000-0000-0000413D0000}"/>
    <cellStyle name="Normal 2 2 2 2 4 6 3 2" xfId="15691" xr:uid="{00000000-0005-0000-0000-0000423D0000}"/>
    <cellStyle name="Normal 2 2 2 2 4 6 3 3" xfId="15692" xr:uid="{00000000-0005-0000-0000-0000433D0000}"/>
    <cellStyle name="Normal 2 2 2 2 4 6 3 4" xfId="15693" xr:uid="{00000000-0005-0000-0000-0000443D0000}"/>
    <cellStyle name="Normal 2 2 2 2 4 6 3 5" xfId="15694" xr:uid="{00000000-0005-0000-0000-0000453D0000}"/>
    <cellStyle name="Normal 2 2 2 2 4 6 3 6" xfId="15695" xr:uid="{00000000-0005-0000-0000-0000463D0000}"/>
    <cellStyle name="Normal 2 2 2 2 4 6 3 7" xfId="15696" xr:uid="{00000000-0005-0000-0000-0000473D0000}"/>
    <cellStyle name="Normal 2 2 2 2 4 6 3 8" xfId="15697" xr:uid="{00000000-0005-0000-0000-0000483D0000}"/>
    <cellStyle name="Normal 2 2 2 2 4 6 3 9" xfId="15698" xr:uid="{00000000-0005-0000-0000-0000493D0000}"/>
    <cellStyle name="Normal 2 2 2 2 4 6 4" xfId="15699" xr:uid="{00000000-0005-0000-0000-00004A3D0000}"/>
    <cellStyle name="Normal 2 2 2 2 4 6 4 10" xfId="15700" xr:uid="{00000000-0005-0000-0000-00004B3D0000}"/>
    <cellStyle name="Normal 2 2 2 2 4 6 4 2" xfId="15701" xr:uid="{00000000-0005-0000-0000-00004C3D0000}"/>
    <cellStyle name="Normal 2 2 2 2 4 6 4 3" xfId="15702" xr:uid="{00000000-0005-0000-0000-00004D3D0000}"/>
    <cellStyle name="Normal 2 2 2 2 4 6 4 4" xfId="15703" xr:uid="{00000000-0005-0000-0000-00004E3D0000}"/>
    <cellStyle name="Normal 2 2 2 2 4 6 4 5" xfId="15704" xr:uid="{00000000-0005-0000-0000-00004F3D0000}"/>
    <cellStyle name="Normal 2 2 2 2 4 6 4 6" xfId="15705" xr:uid="{00000000-0005-0000-0000-0000503D0000}"/>
    <cellStyle name="Normal 2 2 2 2 4 6 4 7" xfId="15706" xr:uid="{00000000-0005-0000-0000-0000513D0000}"/>
    <cellStyle name="Normal 2 2 2 2 4 6 4 8" xfId="15707" xr:uid="{00000000-0005-0000-0000-0000523D0000}"/>
    <cellStyle name="Normal 2 2 2 2 4 6 4 9" xfId="15708" xr:uid="{00000000-0005-0000-0000-0000533D0000}"/>
    <cellStyle name="Normal 2 2 2 2 4 6 5" xfId="15709" xr:uid="{00000000-0005-0000-0000-0000543D0000}"/>
    <cellStyle name="Normal 2 2 2 2 4 6 5 10" xfId="15710" xr:uid="{00000000-0005-0000-0000-0000553D0000}"/>
    <cellStyle name="Normal 2 2 2 2 4 6 5 2" xfId="15711" xr:uid="{00000000-0005-0000-0000-0000563D0000}"/>
    <cellStyle name="Normal 2 2 2 2 4 6 5 3" xfId="15712" xr:uid="{00000000-0005-0000-0000-0000573D0000}"/>
    <cellStyle name="Normal 2 2 2 2 4 6 5 4" xfId="15713" xr:uid="{00000000-0005-0000-0000-0000583D0000}"/>
    <cellStyle name="Normal 2 2 2 2 4 6 5 5" xfId="15714" xr:uid="{00000000-0005-0000-0000-0000593D0000}"/>
    <cellStyle name="Normal 2 2 2 2 4 6 5 6" xfId="15715" xr:uid="{00000000-0005-0000-0000-00005A3D0000}"/>
    <cellStyle name="Normal 2 2 2 2 4 6 5 7" xfId="15716" xr:uid="{00000000-0005-0000-0000-00005B3D0000}"/>
    <cellStyle name="Normal 2 2 2 2 4 6 5 8" xfId="15717" xr:uid="{00000000-0005-0000-0000-00005C3D0000}"/>
    <cellStyle name="Normal 2 2 2 2 4 6 5 9" xfId="15718" xr:uid="{00000000-0005-0000-0000-00005D3D0000}"/>
    <cellStyle name="Normal 2 2 2 2 4 6 6" xfId="15719" xr:uid="{00000000-0005-0000-0000-00005E3D0000}"/>
    <cellStyle name="Normal 2 2 2 2 4 6 7" xfId="15720" xr:uid="{00000000-0005-0000-0000-00005F3D0000}"/>
    <cellStyle name="Normal 2 2 2 2 4 6 8" xfId="15721" xr:uid="{00000000-0005-0000-0000-0000603D0000}"/>
    <cellStyle name="Normal 2 2 2 2 4 6 9" xfId="15722" xr:uid="{00000000-0005-0000-0000-0000613D0000}"/>
    <cellStyle name="Normal 2 2 2 2 4 7" xfId="15723" xr:uid="{00000000-0005-0000-0000-0000623D0000}"/>
    <cellStyle name="Normal 2 2 2 2 4 7 10" xfId="15724" xr:uid="{00000000-0005-0000-0000-0000633D0000}"/>
    <cellStyle name="Normal 2 2 2 2 4 7 11" xfId="15725" xr:uid="{00000000-0005-0000-0000-0000643D0000}"/>
    <cellStyle name="Normal 2 2 2 2 4 7 12" xfId="15726" xr:uid="{00000000-0005-0000-0000-0000653D0000}"/>
    <cellStyle name="Normal 2 2 2 2 4 7 13" xfId="15727" xr:uid="{00000000-0005-0000-0000-0000663D0000}"/>
    <cellStyle name="Normal 2 2 2 2 4 7 14" xfId="15728" xr:uid="{00000000-0005-0000-0000-0000673D0000}"/>
    <cellStyle name="Normal 2 2 2 2 4 7 2" xfId="15729" xr:uid="{00000000-0005-0000-0000-0000683D0000}"/>
    <cellStyle name="Normal 2 2 2 2 4 7 2 10" xfId="15730" xr:uid="{00000000-0005-0000-0000-0000693D0000}"/>
    <cellStyle name="Normal 2 2 2 2 4 7 2 2" xfId="15731" xr:uid="{00000000-0005-0000-0000-00006A3D0000}"/>
    <cellStyle name="Normal 2 2 2 2 4 7 2 3" xfId="15732" xr:uid="{00000000-0005-0000-0000-00006B3D0000}"/>
    <cellStyle name="Normal 2 2 2 2 4 7 2 4" xfId="15733" xr:uid="{00000000-0005-0000-0000-00006C3D0000}"/>
    <cellStyle name="Normal 2 2 2 2 4 7 2 5" xfId="15734" xr:uid="{00000000-0005-0000-0000-00006D3D0000}"/>
    <cellStyle name="Normal 2 2 2 2 4 7 2 6" xfId="15735" xr:uid="{00000000-0005-0000-0000-00006E3D0000}"/>
    <cellStyle name="Normal 2 2 2 2 4 7 2 7" xfId="15736" xr:uid="{00000000-0005-0000-0000-00006F3D0000}"/>
    <cellStyle name="Normal 2 2 2 2 4 7 2 8" xfId="15737" xr:uid="{00000000-0005-0000-0000-0000703D0000}"/>
    <cellStyle name="Normal 2 2 2 2 4 7 2 9" xfId="15738" xr:uid="{00000000-0005-0000-0000-0000713D0000}"/>
    <cellStyle name="Normal 2 2 2 2 4 7 3" xfId="15739" xr:uid="{00000000-0005-0000-0000-0000723D0000}"/>
    <cellStyle name="Normal 2 2 2 2 4 7 3 10" xfId="15740" xr:uid="{00000000-0005-0000-0000-0000733D0000}"/>
    <cellStyle name="Normal 2 2 2 2 4 7 3 2" xfId="15741" xr:uid="{00000000-0005-0000-0000-0000743D0000}"/>
    <cellStyle name="Normal 2 2 2 2 4 7 3 3" xfId="15742" xr:uid="{00000000-0005-0000-0000-0000753D0000}"/>
    <cellStyle name="Normal 2 2 2 2 4 7 3 4" xfId="15743" xr:uid="{00000000-0005-0000-0000-0000763D0000}"/>
    <cellStyle name="Normal 2 2 2 2 4 7 3 5" xfId="15744" xr:uid="{00000000-0005-0000-0000-0000773D0000}"/>
    <cellStyle name="Normal 2 2 2 2 4 7 3 6" xfId="15745" xr:uid="{00000000-0005-0000-0000-0000783D0000}"/>
    <cellStyle name="Normal 2 2 2 2 4 7 3 7" xfId="15746" xr:uid="{00000000-0005-0000-0000-0000793D0000}"/>
    <cellStyle name="Normal 2 2 2 2 4 7 3 8" xfId="15747" xr:uid="{00000000-0005-0000-0000-00007A3D0000}"/>
    <cellStyle name="Normal 2 2 2 2 4 7 3 9" xfId="15748" xr:uid="{00000000-0005-0000-0000-00007B3D0000}"/>
    <cellStyle name="Normal 2 2 2 2 4 7 4" xfId="15749" xr:uid="{00000000-0005-0000-0000-00007C3D0000}"/>
    <cellStyle name="Normal 2 2 2 2 4 7 4 10" xfId="15750" xr:uid="{00000000-0005-0000-0000-00007D3D0000}"/>
    <cellStyle name="Normal 2 2 2 2 4 7 4 2" xfId="15751" xr:uid="{00000000-0005-0000-0000-00007E3D0000}"/>
    <cellStyle name="Normal 2 2 2 2 4 7 4 3" xfId="15752" xr:uid="{00000000-0005-0000-0000-00007F3D0000}"/>
    <cellStyle name="Normal 2 2 2 2 4 7 4 4" xfId="15753" xr:uid="{00000000-0005-0000-0000-0000803D0000}"/>
    <cellStyle name="Normal 2 2 2 2 4 7 4 5" xfId="15754" xr:uid="{00000000-0005-0000-0000-0000813D0000}"/>
    <cellStyle name="Normal 2 2 2 2 4 7 4 6" xfId="15755" xr:uid="{00000000-0005-0000-0000-0000823D0000}"/>
    <cellStyle name="Normal 2 2 2 2 4 7 4 7" xfId="15756" xr:uid="{00000000-0005-0000-0000-0000833D0000}"/>
    <cellStyle name="Normal 2 2 2 2 4 7 4 8" xfId="15757" xr:uid="{00000000-0005-0000-0000-0000843D0000}"/>
    <cellStyle name="Normal 2 2 2 2 4 7 4 9" xfId="15758" xr:uid="{00000000-0005-0000-0000-0000853D0000}"/>
    <cellStyle name="Normal 2 2 2 2 4 7 5" xfId="15759" xr:uid="{00000000-0005-0000-0000-0000863D0000}"/>
    <cellStyle name="Normal 2 2 2 2 4 7 5 10" xfId="15760" xr:uid="{00000000-0005-0000-0000-0000873D0000}"/>
    <cellStyle name="Normal 2 2 2 2 4 7 5 2" xfId="15761" xr:uid="{00000000-0005-0000-0000-0000883D0000}"/>
    <cellStyle name="Normal 2 2 2 2 4 7 5 3" xfId="15762" xr:uid="{00000000-0005-0000-0000-0000893D0000}"/>
    <cellStyle name="Normal 2 2 2 2 4 7 5 4" xfId="15763" xr:uid="{00000000-0005-0000-0000-00008A3D0000}"/>
    <cellStyle name="Normal 2 2 2 2 4 7 5 5" xfId="15764" xr:uid="{00000000-0005-0000-0000-00008B3D0000}"/>
    <cellStyle name="Normal 2 2 2 2 4 7 5 6" xfId="15765" xr:uid="{00000000-0005-0000-0000-00008C3D0000}"/>
    <cellStyle name="Normal 2 2 2 2 4 7 5 7" xfId="15766" xr:uid="{00000000-0005-0000-0000-00008D3D0000}"/>
    <cellStyle name="Normal 2 2 2 2 4 7 5 8" xfId="15767" xr:uid="{00000000-0005-0000-0000-00008E3D0000}"/>
    <cellStyle name="Normal 2 2 2 2 4 7 5 9" xfId="15768" xr:uid="{00000000-0005-0000-0000-00008F3D0000}"/>
    <cellStyle name="Normal 2 2 2 2 4 7 6" xfId="15769" xr:uid="{00000000-0005-0000-0000-0000903D0000}"/>
    <cellStyle name="Normal 2 2 2 2 4 7 7" xfId="15770" xr:uid="{00000000-0005-0000-0000-0000913D0000}"/>
    <cellStyle name="Normal 2 2 2 2 4 7 8" xfId="15771" xr:uid="{00000000-0005-0000-0000-0000923D0000}"/>
    <cellStyle name="Normal 2 2 2 2 4 7 9" xfId="15772" xr:uid="{00000000-0005-0000-0000-0000933D0000}"/>
    <cellStyle name="Normal 2 2 2 2 4 8" xfId="15773" xr:uid="{00000000-0005-0000-0000-0000943D0000}"/>
    <cellStyle name="Normal 2 2 2 2 4 8 10" xfId="15774" xr:uid="{00000000-0005-0000-0000-0000953D0000}"/>
    <cellStyle name="Normal 2 2 2 2 4 8 11" xfId="15775" xr:uid="{00000000-0005-0000-0000-0000963D0000}"/>
    <cellStyle name="Normal 2 2 2 2 4 8 12" xfId="15776" xr:uid="{00000000-0005-0000-0000-0000973D0000}"/>
    <cellStyle name="Normal 2 2 2 2 4 8 13" xfId="15777" xr:uid="{00000000-0005-0000-0000-0000983D0000}"/>
    <cellStyle name="Normal 2 2 2 2 4 8 14" xfId="15778" xr:uid="{00000000-0005-0000-0000-0000993D0000}"/>
    <cellStyle name="Normal 2 2 2 2 4 8 2" xfId="15779" xr:uid="{00000000-0005-0000-0000-00009A3D0000}"/>
    <cellStyle name="Normal 2 2 2 2 4 8 2 10" xfId="15780" xr:uid="{00000000-0005-0000-0000-00009B3D0000}"/>
    <cellStyle name="Normal 2 2 2 2 4 8 2 2" xfId="15781" xr:uid="{00000000-0005-0000-0000-00009C3D0000}"/>
    <cellStyle name="Normal 2 2 2 2 4 8 2 3" xfId="15782" xr:uid="{00000000-0005-0000-0000-00009D3D0000}"/>
    <cellStyle name="Normal 2 2 2 2 4 8 2 4" xfId="15783" xr:uid="{00000000-0005-0000-0000-00009E3D0000}"/>
    <cellStyle name="Normal 2 2 2 2 4 8 2 5" xfId="15784" xr:uid="{00000000-0005-0000-0000-00009F3D0000}"/>
    <cellStyle name="Normal 2 2 2 2 4 8 2 6" xfId="15785" xr:uid="{00000000-0005-0000-0000-0000A03D0000}"/>
    <cellStyle name="Normal 2 2 2 2 4 8 2 7" xfId="15786" xr:uid="{00000000-0005-0000-0000-0000A13D0000}"/>
    <cellStyle name="Normal 2 2 2 2 4 8 2 8" xfId="15787" xr:uid="{00000000-0005-0000-0000-0000A23D0000}"/>
    <cellStyle name="Normal 2 2 2 2 4 8 2 9" xfId="15788" xr:uid="{00000000-0005-0000-0000-0000A33D0000}"/>
    <cellStyle name="Normal 2 2 2 2 4 8 3" xfId="15789" xr:uid="{00000000-0005-0000-0000-0000A43D0000}"/>
    <cellStyle name="Normal 2 2 2 2 4 8 3 10" xfId="15790" xr:uid="{00000000-0005-0000-0000-0000A53D0000}"/>
    <cellStyle name="Normal 2 2 2 2 4 8 3 2" xfId="15791" xr:uid="{00000000-0005-0000-0000-0000A63D0000}"/>
    <cellStyle name="Normal 2 2 2 2 4 8 3 3" xfId="15792" xr:uid="{00000000-0005-0000-0000-0000A73D0000}"/>
    <cellStyle name="Normal 2 2 2 2 4 8 3 4" xfId="15793" xr:uid="{00000000-0005-0000-0000-0000A83D0000}"/>
    <cellStyle name="Normal 2 2 2 2 4 8 3 5" xfId="15794" xr:uid="{00000000-0005-0000-0000-0000A93D0000}"/>
    <cellStyle name="Normal 2 2 2 2 4 8 3 6" xfId="15795" xr:uid="{00000000-0005-0000-0000-0000AA3D0000}"/>
    <cellStyle name="Normal 2 2 2 2 4 8 3 7" xfId="15796" xr:uid="{00000000-0005-0000-0000-0000AB3D0000}"/>
    <cellStyle name="Normal 2 2 2 2 4 8 3 8" xfId="15797" xr:uid="{00000000-0005-0000-0000-0000AC3D0000}"/>
    <cellStyle name="Normal 2 2 2 2 4 8 3 9" xfId="15798" xr:uid="{00000000-0005-0000-0000-0000AD3D0000}"/>
    <cellStyle name="Normal 2 2 2 2 4 8 4" xfId="15799" xr:uid="{00000000-0005-0000-0000-0000AE3D0000}"/>
    <cellStyle name="Normal 2 2 2 2 4 8 4 10" xfId="15800" xr:uid="{00000000-0005-0000-0000-0000AF3D0000}"/>
    <cellStyle name="Normal 2 2 2 2 4 8 4 2" xfId="15801" xr:uid="{00000000-0005-0000-0000-0000B03D0000}"/>
    <cellStyle name="Normal 2 2 2 2 4 8 4 3" xfId="15802" xr:uid="{00000000-0005-0000-0000-0000B13D0000}"/>
    <cellStyle name="Normal 2 2 2 2 4 8 4 4" xfId="15803" xr:uid="{00000000-0005-0000-0000-0000B23D0000}"/>
    <cellStyle name="Normal 2 2 2 2 4 8 4 5" xfId="15804" xr:uid="{00000000-0005-0000-0000-0000B33D0000}"/>
    <cellStyle name="Normal 2 2 2 2 4 8 4 6" xfId="15805" xr:uid="{00000000-0005-0000-0000-0000B43D0000}"/>
    <cellStyle name="Normal 2 2 2 2 4 8 4 7" xfId="15806" xr:uid="{00000000-0005-0000-0000-0000B53D0000}"/>
    <cellStyle name="Normal 2 2 2 2 4 8 4 8" xfId="15807" xr:uid="{00000000-0005-0000-0000-0000B63D0000}"/>
    <cellStyle name="Normal 2 2 2 2 4 8 4 9" xfId="15808" xr:uid="{00000000-0005-0000-0000-0000B73D0000}"/>
    <cellStyle name="Normal 2 2 2 2 4 8 5" xfId="15809" xr:uid="{00000000-0005-0000-0000-0000B83D0000}"/>
    <cellStyle name="Normal 2 2 2 2 4 8 5 10" xfId="15810" xr:uid="{00000000-0005-0000-0000-0000B93D0000}"/>
    <cellStyle name="Normal 2 2 2 2 4 8 5 2" xfId="15811" xr:uid="{00000000-0005-0000-0000-0000BA3D0000}"/>
    <cellStyle name="Normal 2 2 2 2 4 8 5 3" xfId="15812" xr:uid="{00000000-0005-0000-0000-0000BB3D0000}"/>
    <cellStyle name="Normal 2 2 2 2 4 8 5 4" xfId="15813" xr:uid="{00000000-0005-0000-0000-0000BC3D0000}"/>
    <cellStyle name="Normal 2 2 2 2 4 8 5 5" xfId="15814" xr:uid="{00000000-0005-0000-0000-0000BD3D0000}"/>
    <cellStyle name="Normal 2 2 2 2 4 8 5 6" xfId="15815" xr:uid="{00000000-0005-0000-0000-0000BE3D0000}"/>
    <cellStyle name="Normal 2 2 2 2 4 8 5 7" xfId="15816" xr:uid="{00000000-0005-0000-0000-0000BF3D0000}"/>
    <cellStyle name="Normal 2 2 2 2 4 8 5 8" xfId="15817" xr:uid="{00000000-0005-0000-0000-0000C03D0000}"/>
    <cellStyle name="Normal 2 2 2 2 4 8 5 9" xfId="15818" xr:uid="{00000000-0005-0000-0000-0000C13D0000}"/>
    <cellStyle name="Normal 2 2 2 2 4 8 6" xfId="15819" xr:uid="{00000000-0005-0000-0000-0000C23D0000}"/>
    <cellStyle name="Normal 2 2 2 2 4 8 7" xfId="15820" xr:uid="{00000000-0005-0000-0000-0000C33D0000}"/>
    <cellStyle name="Normal 2 2 2 2 4 8 8" xfId="15821" xr:uid="{00000000-0005-0000-0000-0000C43D0000}"/>
    <cellStyle name="Normal 2 2 2 2 4 8 9" xfId="15822" xr:uid="{00000000-0005-0000-0000-0000C53D0000}"/>
    <cellStyle name="Normal 2 2 2 2 4 9" xfId="15823" xr:uid="{00000000-0005-0000-0000-0000C63D0000}"/>
    <cellStyle name="Normal 2 2 2 2 4 9 10" xfId="15824" xr:uid="{00000000-0005-0000-0000-0000C73D0000}"/>
    <cellStyle name="Normal 2 2 2 2 4 9 11" xfId="15825" xr:uid="{00000000-0005-0000-0000-0000C83D0000}"/>
    <cellStyle name="Normal 2 2 2 2 4 9 12" xfId="15826" xr:uid="{00000000-0005-0000-0000-0000C93D0000}"/>
    <cellStyle name="Normal 2 2 2 2 4 9 13" xfId="15827" xr:uid="{00000000-0005-0000-0000-0000CA3D0000}"/>
    <cellStyle name="Normal 2 2 2 2 4 9 14" xfId="15828" xr:uid="{00000000-0005-0000-0000-0000CB3D0000}"/>
    <cellStyle name="Normal 2 2 2 2 4 9 2" xfId="15829" xr:uid="{00000000-0005-0000-0000-0000CC3D0000}"/>
    <cellStyle name="Normal 2 2 2 2 4 9 2 10" xfId="15830" xr:uid="{00000000-0005-0000-0000-0000CD3D0000}"/>
    <cellStyle name="Normal 2 2 2 2 4 9 2 2" xfId="15831" xr:uid="{00000000-0005-0000-0000-0000CE3D0000}"/>
    <cellStyle name="Normal 2 2 2 2 4 9 2 3" xfId="15832" xr:uid="{00000000-0005-0000-0000-0000CF3D0000}"/>
    <cellStyle name="Normal 2 2 2 2 4 9 2 4" xfId="15833" xr:uid="{00000000-0005-0000-0000-0000D03D0000}"/>
    <cellStyle name="Normal 2 2 2 2 4 9 2 5" xfId="15834" xr:uid="{00000000-0005-0000-0000-0000D13D0000}"/>
    <cellStyle name="Normal 2 2 2 2 4 9 2 6" xfId="15835" xr:uid="{00000000-0005-0000-0000-0000D23D0000}"/>
    <cellStyle name="Normal 2 2 2 2 4 9 2 7" xfId="15836" xr:uid="{00000000-0005-0000-0000-0000D33D0000}"/>
    <cellStyle name="Normal 2 2 2 2 4 9 2 8" xfId="15837" xr:uid="{00000000-0005-0000-0000-0000D43D0000}"/>
    <cellStyle name="Normal 2 2 2 2 4 9 2 9" xfId="15838" xr:uid="{00000000-0005-0000-0000-0000D53D0000}"/>
    <cellStyle name="Normal 2 2 2 2 4 9 3" xfId="15839" xr:uid="{00000000-0005-0000-0000-0000D63D0000}"/>
    <cellStyle name="Normal 2 2 2 2 4 9 3 10" xfId="15840" xr:uid="{00000000-0005-0000-0000-0000D73D0000}"/>
    <cellStyle name="Normal 2 2 2 2 4 9 3 2" xfId="15841" xr:uid="{00000000-0005-0000-0000-0000D83D0000}"/>
    <cellStyle name="Normal 2 2 2 2 4 9 3 3" xfId="15842" xr:uid="{00000000-0005-0000-0000-0000D93D0000}"/>
    <cellStyle name="Normal 2 2 2 2 4 9 3 4" xfId="15843" xr:uid="{00000000-0005-0000-0000-0000DA3D0000}"/>
    <cellStyle name="Normal 2 2 2 2 4 9 3 5" xfId="15844" xr:uid="{00000000-0005-0000-0000-0000DB3D0000}"/>
    <cellStyle name="Normal 2 2 2 2 4 9 3 6" xfId="15845" xr:uid="{00000000-0005-0000-0000-0000DC3D0000}"/>
    <cellStyle name="Normal 2 2 2 2 4 9 3 7" xfId="15846" xr:uid="{00000000-0005-0000-0000-0000DD3D0000}"/>
    <cellStyle name="Normal 2 2 2 2 4 9 3 8" xfId="15847" xr:uid="{00000000-0005-0000-0000-0000DE3D0000}"/>
    <cellStyle name="Normal 2 2 2 2 4 9 3 9" xfId="15848" xr:uid="{00000000-0005-0000-0000-0000DF3D0000}"/>
    <cellStyle name="Normal 2 2 2 2 4 9 4" xfId="15849" xr:uid="{00000000-0005-0000-0000-0000E03D0000}"/>
    <cellStyle name="Normal 2 2 2 2 4 9 4 10" xfId="15850" xr:uid="{00000000-0005-0000-0000-0000E13D0000}"/>
    <cellStyle name="Normal 2 2 2 2 4 9 4 2" xfId="15851" xr:uid="{00000000-0005-0000-0000-0000E23D0000}"/>
    <cellStyle name="Normal 2 2 2 2 4 9 4 3" xfId="15852" xr:uid="{00000000-0005-0000-0000-0000E33D0000}"/>
    <cellStyle name="Normal 2 2 2 2 4 9 4 4" xfId="15853" xr:uid="{00000000-0005-0000-0000-0000E43D0000}"/>
    <cellStyle name="Normal 2 2 2 2 4 9 4 5" xfId="15854" xr:uid="{00000000-0005-0000-0000-0000E53D0000}"/>
    <cellStyle name="Normal 2 2 2 2 4 9 4 6" xfId="15855" xr:uid="{00000000-0005-0000-0000-0000E63D0000}"/>
    <cellStyle name="Normal 2 2 2 2 4 9 4 7" xfId="15856" xr:uid="{00000000-0005-0000-0000-0000E73D0000}"/>
    <cellStyle name="Normal 2 2 2 2 4 9 4 8" xfId="15857" xr:uid="{00000000-0005-0000-0000-0000E83D0000}"/>
    <cellStyle name="Normal 2 2 2 2 4 9 4 9" xfId="15858" xr:uid="{00000000-0005-0000-0000-0000E93D0000}"/>
    <cellStyle name="Normal 2 2 2 2 4 9 5" xfId="15859" xr:uid="{00000000-0005-0000-0000-0000EA3D0000}"/>
    <cellStyle name="Normal 2 2 2 2 4 9 5 10" xfId="15860" xr:uid="{00000000-0005-0000-0000-0000EB3D0000}"/>
    <cellStyle name="Normal 2 2 2 2 4 9 5 2" xfId="15861" xr:uid="{00000000-0005-0000-0000-0000EC3D0000}"/>
    <cellStyle name="Normal 2 2 2 2 4 9 5 3" xfId="15862" xr:uid="{00000000-0005-0000-0000-0000ED3D0000}"/>
    <cellStyle name="Normal 2 2 2 2 4 9 5 4" xfId="15863" xr:uid="{00000000-0005-0000-0000-0000EE3D0000}"/>
    <cellStyle name="Normal 2 2 2 2 4 9 5 5" xfId="15864" xr:uid="{00000000-0005-0000-0000-0000EF3D0000}"/>
    <cellStyle name="Normal 2 2 2 2 4 9 5 6" xfId="15865" xr:uid="{00000000-0005-0000-0000-0000F03D0000}"/>
    <cellStyle name="Normal 2 2 2 2 4 9 5 7" xfId="15866" xr:uid="{00000000-0005-0000-0000-0000F13D0000}"/>
    <cellStyle name="Normal 2 2 2 2 4 9 5 8" xfId="15867" xr:uid="{00000000-0005-0000-0000-0000F23D0000}"/>
    <cellStyle name="Normal 2 2 2 2 4 9 5 9" xfId="15868" xr:uid="{00000000-0005-0000-0000-0000F33D0000}"/>
    <cellStyle name="Normal 2 2 2 2 4 9 6" xfId="15869" xr:uid="{00000000-0005-0000-0000-0000F43D0000}"/>
    <cellStyle name="Normal 2 2 2 2 4 9 7" xfId="15870" xr:uid="{00000000-0005-0000-0000-0000F53D0000}"/>
    <cellStyle name="Normal 2 2 2 2 4 9 8" xfId="15871" xr:uid="{00000000-0005-0000-0000-0000F63D0000}"/>
    <cellStyle name="Normal 2 2 2 2 4 9 9" xfId="15872" xr:uid="{00000000-0005-0000-0000-0000F73D0000}"/>
    <cellStyle name="Normal 2 2 2 2 40" xfId="15873" xr:uid="{00000000-0005-0000-0000-0000F83D0000}"/>
    <cellStyle name="Normal 2 2 2 2 40 10" xfId="15874" xr:uid="{00000000-0005-0000-0000-0000F93D0000}"/>
    <cellStyle name="Normal 2 2 2 2 40 2" xfId="15875" xr:uid="{00000000-0005-0000-0000-0000FA3D0000}"/>
    <cellStyle name="Normal 2 2 2 2 40 3" xfId="15876" xr:uid="{00000000-0005-0000-0000-0000FB3D0000}"/>
    <cellStyle name="Normal 2 2 2 2 40 4" xfId="15877" xr:uid="{00000000-0005-0000-0000-0000FC3D0000}"/>
    <cellStyle name="Normal 2 2 2 2 40 5" xfId="15878" xr:uid="{00000000-0005-0000-0000-0000FD3D0000}"/>
    <cellStyle name="Normal 2 2 2 2 40 6" xfId="15879" xr:uid="{00000000-0005-0000-0000-0000FE3D0000}"/>
    <cellStyle name="Normal 2 2 2 2 40 7" xfId="15880" xr:uid="{00000000-0005-0000-0000-0000FF3D0000}"/>
    <cellStyle name="Normal 2 2 2 2 40 8" xfId="15881" xr:uid="{00000000-0005-0000-0000-0000003E0000}"/>
    <cellStyle name="Normal 2 2 2 2 40 9" xfId="15882" xr:uid="{00000000-0005-0000-0000-0000013E0000}"/>
    <cellStyle name="Normal 2 2 2 2 41" xfId="15883" xr:uid="{00000000-0005-0000-0000-0000023E0000}"/>
    <cellStyle name="Normal 2 2 2 2 42" xfId="15884" xr:uid="{00000000-0005-0000-0000-0000033E0000}"/>
    <cellStyle name="Normal 2 2 2 2 43" xfId="15885" xr:uid="{00000000-0005-0000-0000-0000043E0000}"/>
    <cellStyle name="Normal 2 2 2 2 44" xfId="15886" xr:uid="{00000000-0005-0000-0000-0000053E0000}"/>
    <cellStyle name="Normal 2 2 2 2 45" xfId="15887" xr:uid="{00000000-0005-0000-0000-0000063E0000}"/>
    <cellStyle name="Normal 2 2 2 2 46" xfId="15888" xr:uid="{00000000-0005-0000-0000-0000073E0000}"/>
    <cellStyle name="Normal 2 2 2 2 47" xfId="15889" xr:uid="{00000000-0005-0000-0000-0000083E0000}"/>
    <cellStyle name="Normal 2 2 2 2 48" xfId="15890" xr:uid="{00000000-0005-0000-0000-0000093E0000}"/>
    <cellStyle name="Normal 2 2 2 2 49" xfId="15891" xr:uid="{00000000-0005-0000-0000-00000A3E0000}"/>
    <cellStyle name="Normal 2 2 2 2 5" xfId="15892" xr:uid="{00000000-0005-0000-0000-00000B3E0000}"/>
    <cellStyle name="Normal 2 2 2 2 5 10" xfId="15893" xr:uid="{00000000-0005-0000-0000-00000C3E0000}"/>
    <cellStyle name="Normal 2 2 2 2 5 10 10" xfId="15894" xr:uid="{00000000-0005-0000-0000-00000D3E0000}"/>
    <cellStyle name="Normal 2 2 2 2 5 10 11" xfId="15895" xr:uid="{00000000-0005-0000-0000-00000E3E0000}"/>
    <cellStyle name="Normal 2 2 2 2 5 10 12" xfId="15896" xr:uid="{00000000-0005-0000-0000-00000F3E0000}"/>
    <cellStyle name="Normal 2 2 2 2 5 10 13" xfId="15897" xr:uid="{00000000-0005-0000-0000-0000103E0000}"/>
    <cellStyle name="Normal 2 2 2 2 5 10 14" xfId="15898" xr:uid="{00000000-0005-0000-0000-0000113E0000}"/>
    <cellStyle name="Normal 2 2 2 2 5 10 2" xfId="15899" xr:uid="{00000000-0005-0000-0000-0000123E0000}"/>
    <cellStyle name="Normal 2 2 2 2 5 10 2 10" xfId="15900" xr:uid="{00000000-0005-0000-0000-0000133E0000}"/>
    <cellStyle name="Normal 2 2 2 2 5 10 2 2" xfId="15901" xr:uid="{00000000-0005-0000-0000-0000143E0000}"/>
    <cellStyle name="Normal 2 2 2 2 5 10 2 3" xfId="15902" xr:uid="{00000000-0005-0000-0000-0000153E0000}"/>
    <cellStyle name="Normal 2 2 2 2 5 10 2 4" xfId="15903" xr:uid="{00000000-0005-0000-0000-0000163E0000}"/>
    <cellStyle name="Normal 2 2 2 2 5 10 2 5" xfId="15904" xr:uid="{00000000-0005-0000-0000-0000173E0000}"/>
    <cellStyle name="Normal 2 2 2 2 5 10 2 6" xfId="15905" xr:uid="{00000000-0005-0000-0000-0000183E0000}"/>
    <cellStyle name="Normal 2 2 2 2 5 10 2 7" xfId="15906" xr:uid="{00000000-0005-0000-0000-0000193E0000}"/>
    <cellStyle name="Normal 2 2 2 2 5 10 2 8" xfId="15907" xr:uid="{00000000-0005-0000-0000-00001A3E0000}"/>
    <cellStyle name="Normal 2 2 2 2 5 10 2 9" xfId="15908" xr:uid="{00000000-0005-0000-0000-00001B3E0000}"/>
    <cellStyle name="Normal 2 2 2 2 5 10 3" xfId="15909" xr:uid="{00000000-0005-0000-0000-00001C3E0000}"/>
    <cellStyle name="Normal 2 2 2 2 5 10 3 10" xfId="15910" xr:uid="{00000000-0005-0000-0000-00001D3E0000}"/>
    <cellStyle name="Normal 2 2 2 2 5 10 3 2" xfId="15911" xr:uid="{00000000-0005-0000-0000-00001E3E0000}"/>
    <cellStyle name="Normal 2 2 2 2 5 10 3 3" xfId="15912" xr:uid="{00000000-0005-0000-0000-00001F3E0000}"/>
    <cellStyle name="Normal 2 2 2 2 5 10 3 4" xfId="15913" xr:uid="{00000000-0005-0000-0000-0000203E0000}"/>
    <cellStyle name="Normal 2 2 2 2 5 10 3 5" xfId="15914" xr:uid="{00000000-0005-0000-0000-0000213E0000}"/>
    <cellStyle name="Normal 2 2 2 2 5 10 3 6" xfId="15915" xr:uid="{00000000-0005-0000-0000-0000223E0000}"/>
    <cellStyle name="Normal 2 2 2 2 5 10 3 7" xfId="15916" xr:uid="{00000000-0005-0000-0000-0000233E0000}"/>
    <cellStyle name="Normal 2 2 2 2 5 10 3 8" xfId="15917" xr:uid="{00000000-0005-0000-0000-0000243E0000}"/>
    <cellStyle name="Normal 2 2 2 2 5 10 3 9" xfId="15918" xr:uid="{00000000-0005-0000-0000-0000253E0000}"/>
    <cellStyle name="Normal 2 2 2 2 5 10 4" xfId="15919" xr:uid="{00000000-0005-0000-0000-0000263E0000}"/>
    <cellStyle name="Normal 2 2 2 2 5 10 4 10" xfId="15920" xr:uid="{00000000-0005-0000-0000-0000273E0000}"/>
    <cellStyle name="Normal 2 2 2 2 5 10 4 2" xfId="15921" xr:uid="{00000000-0005-0000-0000-0000283E0000}"/>
    <cellStyle name="Normal 2 2 2 2 5 10 4 3" xfId="15922" xr:uid="{00000000-0005-0000-0000-0000293E0000}"/>
    <cellStyle name="Normal 2 2 2 2 5 10 4 4" xfId="15923" xr:uid="{00000000-0005-0000-0000-00002A3E0000}"/>
    <cellStyle name="Normal 2 2 2 2 5 10 4 5" xfId="15924" xr:uid="{00000000-0005-0000-0000-00002B3E0000}"/>
    <cellStyle name="Normal 2 2 2 2 5 10 4 6" xfId="15925" xr:uid="{00000000-0005-0000-0000-00002C3E0000}"/>
    <cellStyle name="Normal 2 2 2 2 5 10 4 7" xfId="15926" xr:uid="{00000000-0005-0000-0000-00002D3E0000}"/>
    <cellStyle name="Normal 2 2 2 2 5 10 4 8" xfId="15927" xr:uid="{00000000-0005-0000-0000-00002E3E0000}"/>
    <cellStyle name="Normal 2 2 2 2 5 10 4 9" xfId="15928" xr:uid="{00000000-0005-0000-0000-00002F3E0000}"/>
    <cellStyle name="Normal 2 2 2 2 5 10 5" xfId="15929" xr:uid="{00000000-0005-0000-0000-0000303E0000}"/>
    <cellStyle name="Normal 2 2 2 2 5 10 5 10" xfId="15930" xr:uid="{00000000-0005-0000-0000-0000313E0000}"/>
    <cellStyle name="Normal 2 2 2 2 5 10 5 2" xfId="15931" xr:uid="{00000000-0005-0000-0000-0000323E0000}"/>
    <cellStyle name="Normal 2 2 2 2 5 10 5 3" xfId="15932" xr:uid="{00000000-0005-0000-0000-0000333E0000}"/>
    <cellStyle name="Normal 2 2 2 2 5 10 5 4" xfId="15933" xr:uid="{00000000-0005-0000-0000-0000343E0000}"/>
    <cellStyle name="Normal 2 2 2 2 5 10 5 5" xfId="15934" xr:uid="{00000000-0005-0000-0000-0000353E0000}"/>
    <cellStyle name="Normal 2 2 2 2 5 10 5 6" xfId="15935" xr:uid="{00000000-0005-0000-0000-0000363E0000}"/>
    <cellStyle name="Normal 2 2 2 2 5 10 5 7" xfId="15936" xr:uid="{00000000-0005-0000-0000-0000373E0000}"/>
    <cellStyle name="Normal 2 2 2 2 5 10 5 8" xfId="15937" xr:uid="{00000000-0005-0000-0000-0000383E0000}"/>
    <cellStyle name="Normal 2 2 2 2 5 10 5 9" xfId="15938" xr:uid="{00000000-0005-0000-0000-0000393E0000}"/>
    <cellStyle name="Normal 2 2 2 2 5 10 6" xfId="15939" xr:uid="{00000000-0005-0000-0000-00003A3E0000}"/>
    <cellStyle name="Normal 2 2 2 2 5 10 7" xfId="15940" xr:uid="{00000000-0005-0000-0000-00003B3E0000}"/>
    <cellStyle name="Normal 2 2 2 2 5 10 8" xfId="15941" xr:uid="{00000000-0005-0000-0000-00003C3E0000}"/>
    <cellStyle name="Normal 2 2 2 2 5 10 9" xfId="15942" xr:uid="{00000000-0005-0000-0000-00003D3E0000}"/>
    <cellStyle name="Normal 2 2 2 2 5 11" xfId="15943" xr:uid="{00000000-0005-0000-0000-00003E3E0000}"/>
    <cellStyle name="Normal 2 2 2 2 5 11 10" xfId="15944" xr:uid="{00000000-0005-0000-0000-00003F3E0000}"/>
    <cellStyle name="Normal 2 2 2 2 5 11 11" xfId="15945" xr:uid="{00000000-0005-0000-0000-0000403E0000}"/>
    <cellStyle name="Normal 2 2 2 2 5 11 12" xfId="15946" xr:uid="{00000000-0005-0000-0000-0000413E0000}"/>
    <cellStyle name="Normal 2 2 2 2 5 11 13" xfId="15947" xr:uid="{00000000-0005-0000-0000-0000423E0000}"/>
    <cellStyle name="Normal 2 2 2 2 5 11 14" xfId="15948" xr:uid="{00000000-0005-0000-0000-0000433E0000}"/>
    <cellStyle name="Normal 2 2 2 2 5 11 2" xfId="15949" xr:uid="{00000000-0005-0000-0000-0000443E0000}"/>
    <cellStyle name="Normal 2 2 2 2 5 11 2 10" xfId="15950" xr:uid="{00000000-0005-0000-0000-0000453E0000}"/>
    <cellStyle name="Normal 2 2 2 2 5 11 2 2" xfId="15951" xr:uid="{00000000-0005-0000-0000-0000463E0000}"/>
    <cellStyle name="Normal 2 2 2 2 5 11 2 3" xfId="15952" xr:uid="{00000000-0005-0000-0000-0000473E0000}"/>
    <cellStyle name="Normal 2 2 2 2 5 11 2 4" xfId="15953" xr:uid="{00000000-0005-0000-0000-0000483E0000}"/>
    <cellStyle name="Normal 2 2 2 2 5 11 2 5" xfId="15954" xr:uid="{00000000-0005-0000-0000-0000493E0000}"/>
    <cellStyle name="Normal 2 2 2 2 5 11 2 6" xfId="15955" xr:uid="{00000000-0005-0000-0000-00004A3E0000}"/>
    <cellStyle name="Normal 2 2 2 2 5 11 2 7" xfId="15956" xr:uid="{00000000-0005-0000-0000-00004B3E0000}"/>
    <cellStyle name="Normal 2 2 2 2 5 11 2 8" xfId="15957" xr:uid="{00000000-0005-0000-0000-00004C3E0000}"/>
    <cellStyle name="Normal 2 2 2 2 5 11 2 9" xfId="15958" xr:uid="{00000000-0005-0000-0000-00004D3E0000}"/>
    <cellStyle name="Normal 2 2 2 2 5 11 3" xfId="15959" xr:uid="{00000000-0005-0000-0000-00004E3E0000}"/>
    <cellStyle name="Normal 2 2 2 2 5 11 3 10" xfId="15960" xr:uid="{00000000-0005-0000-0000-00004F3E0000}"/>
    <cellStyle name="Normal 2 2 2 2 5 11 3 2" xfId="15961" xr:uid="{00000000-0005-0000-0000-0000503E0000}"/>
    <cellStyle name="Normal 2 2 2 2 5 11 3 3" xfId="15962" xr:uid="{00000000-0005-0000-0000-0000513E0000}"/>
    <cellStyle name="Normal 2 2 2 2 5 11 3 4" xfId="15963" xr:uid="{00000000-0005-0000-0000-0000523E0000}"/>
    <cellStyle name="Normal 2 2 2 2 5 11 3 5" xfId="15964" xr:uid="{00000000-0005-0000-0000-0000533E0000}"/>
    <cellStyle name="Normal 2 2 2 2 5 11 3 6" xfId="15965" xr:uid="{00000000-0005-0000-0000-0000543E0000}"/>
    <cellStyle name="Normal 2 2 2 2 5 11 3 7" xfId="15966" xr:uid="{00000000-0005-0000-0000-0000553E0000}"/>
    <cellStyle name="Normal 2 2 2 2 5 11 3 8" xfId="15967" xr:uid="{00000000-0005-0000-0000-0000563E0000}"/>
    <cellStyle name="Normal 2 2 2 2 5 11 3 9" xfId="15968" xr:uid="{00000000-0005-0000-0000-0000573E0000}"/>
    <cellStyle name="Normal 2 2 2 2 5 11 4" xfId="15969" xr:uid="{00000000-0005-0000-0000-0000583E0000}"/>
    <cellStyle name="Normal 2 2 2 2 5 11 4 10" xfId="15970" xr:uid="{00000000-0005-0000-0000-0000593E0000}"/>
    <cellStyle name="Normal 2 2 2 2 5 11 4 2" xfId="15971" xr:uid="{00000000-0005-0000-0000-00005A3E0000}"/>
    <cellStyle name="Normal 2 2 2 2 5 11 4 3" xfId="15972" xr:uid="{00000000-0005-0000-0000-00005B3E0000}"/>
    <cellStyle name="Normal 2 2 2 2 5 11 4 4" xfId="15973" xr:uid="{00000000-0005-0000-0000-00005C3E0000}"/>
    <cellStyle name="Normal 2 2 2 2 5 11 4 5" xfId="15974" xr:uid="{00000000-0005-0000-0000-00005D3E0000}"/>
    <cellStyle name="Normal 2 2 2 2 5 11 4 6" xfId="15975" xr:uid="{00000000-0005-0000-0000-00005E3E0000}"/>
    <cellStyle name="Normal 2 2 2 2 5 11 4 7" xfId="15976" xr:uid="{00000000-0005-0000-0000-00005F3E0000}"/>
    <cellStyle name="Normal 2 2 2 2 5 11 4 8" xfId="15977" xr:uid="{00000000-0005-0000-0000-0000603E0000}"/>
    <cellStyle name="Normal 2 2 2 2 5 11 4 9" xfId="15978" xr:uid="{00000000-0005-0000-0000-0000613E0000}"/>
    <cellStyle name="Normal 2 2 2 2 5 11 5" xfId="15979" xr:uid="{00000000-0005-0000-0000-0000623E0000}"/>
    <cellStyle name="Normal 2 2 2 2 5 11 5 10" xfId="15980" xr:uid="{00000000-0005-0000-0000-0000633E0000}"/>
    <cellStyle name="Normal 2 2 2 2 5 11 5 2" xfId="15981" xr:uid="{00000000-0005-0000-0000-0000643E0000}"/>
    <cellStyle name="Normal 2 2 2 2 5 11 5 3" xfId="15982" xr:uid="{00000000-0005-0000-0000-0000653E0000}"/>
    <cellStyle name="Normal 2 2 2 2 5 11 5 4" xfId="15983" xr:uid="{00000000-0005-0000-0000-0000663E0000}"/>
    <cellStyle name="Normal 2 2 2 2 5 11 5 5" xfId="15984" xr:uid="{00000000-0005-0000-0000-0000673E0000}"/>
    <cellStyle name="Normal 2 2 2 2 5 11 5 6" xfId="15985" xr:uid="{00000000-0005-0000-0000-0000683E0000}"/>
    <cellStyle name="Normal 2 2 2 2 5 11 5 7" xfId="15986" xr:uid="{00000000-0005-0000-0000-0000693E0000}"/>
    <cellStyle name="Normal 2 2 2 2 5 11 5 8" xfId="15987" xr:uid="{00000000-0005-0000-0000-00006A3E0000}"/>
    <cellStyle name="Normal 2 2 2 2 5 11 5 9" xfId="15988" xr:uid="{00000000-0005-0000-0000-00006B3E0000}"/>
    <cellStyle name="Normal 2 2 2 2 5 11 6" xfId="15989" xr:uid="{00000000-0005-0000-0000-00006C3E0000}"/>
    <cellStyle name="Normal 2 2 2 2 5 11 7" xfId="15990" xr:uid="{00000000-0005-0000-0000-00006D3E0000}"/>
    <cellStyle name="Normal 2 2 2 2 5 11 8" xfId="15991" xr:uid="{00000000-0005-0000-0000-00006E3E0000}"/>
    <cellStyle name="Normal 2 2 2 2 5 11 9" xfId="15992" xr:uid="{00000000-0005-0000-0000-00006F3E0000}"/>
    <cellStyle name="Normal 2 2 2 2 5 12" xfId="15993" xr:uid="{00000000-0005-0000-0000-0000703E0000}"/>
    <cellStyle name="Normal 2 2 2 2 5 12 10" xfId="15994" xr:uid="{00000000-0005-0000-0000-0000713E0000}"/>
    <cellStyle name="Normal 2 2 2 2 5 12 11" xfId="15995" xr:uid="{00000000-0005-0000-0000-0000723E0000}"/>
    <cellStyle name="Normal 2 2 2 2 5 12 12" xfId="15996" xr:uid="{00000000-0005-0000-0000-0000733E0000}"/>
    <cellStyle name="Normal 2 2 2 2 5 12 13" xfId="15997" xr:uid="{00000000-0005-0000-0000-0000743E0000}"/>
    <cellStyle name="Normal 2 2 2 2 5 12 14" xfId="15998" xr:uid="{00000000-0005-0000-0000-0000753E0000}"/>
    <cellStyle name="Normal 2 2 2 2 5 12 2" xfId="15999" xr:uid="{00000000-0005-0000-0000-0000763E0000}"/>
    <cellStyle name="Normal 2 2 2 2 5 12 2 10" xfId="16000" xr:uid="{00000000-0005-0000-0000-0000773E0000}"/>
    <cellStyle name="Normal 2 2 2 2 5 12 2 2" xfId="16001" xr:uid="{00000000-0005-0000-0000-0000783E0000}"/>
    <cellStyle name="Normal 2 2 2 2 5 12 2 3" xfId="16002" xr:uid="{00000000-0005-0000-0000-0000793E0000}"/>
    <cellStyle name="Normal 2 2 2 2 5 12 2 4" xfId="16003" xr:uid="{00000000-0005-0000-0000-00007A3E0000}"/>
    <cellStyle name="Normal 2 2 2 2 5 12 2 5" xfId="16004" xr:uid="{00000000-0005-0000-0000-00007B3E0000}"/>
    <cellStyle name="Normal 2 2 2 2 5 12 2 6" xfId="16005" xr:uid="{00000000-0005-0000-0000-00007C3E0000}"/>
    <cellStyle name="Normal 2 2 2 2 5 12 2 7" xfId="16006" xr:uid="{00000000-0005-0000-0000-00007D3E0000}"/>
    <cellStyle name="Normal 2 2 2 2 5 12 2 8" xfId="16007" xr:uid="{00000000-0005-0000-0000-00007E3E0000}"/>
    <cellStyle name="Normal 2 2 2 2 5 12 2 9" xfId="16008" xr:uid="{00000000-0005-0000-0000-00007F3E0000}"/>
    <cellStyle name="Normal 2 2 2 2 5 12 3" xfId="16009" xr:uid="{00000000-0005-0000-0000-0000803E0000}"/>
    <cellStyle name="Normal 2 2 2 2 5 12 3 10" xfId="16010" xr:uid="{00000000-0005-0000-0000-0000813E0000}"/>
    <cellStyle name="Normal 2 2 2 2 5 12 3 2" xfId="16011" xr:uid="{00000000-0005-0000-0000-0000823E0000}"/>
    <cellStyle name="Normal 2 2 2 2 5 12 3 3" xfId="16012" xr:uid="{00000000-0005-0000-0000-0000833E0000}"/>
    <cellStyle name="Normal 2 2 2 2 5 12 3 4" xfId="16013" xr:uid="{00000000-0005-0000-0000-0000843E0000}"/>
    <cellStyle name="Normal 2 2 2 2 5 12 3 5" xfId="16014" xr:uid="{00000000-0005-0000-0000-0000853E0000}"/>
    <cellStyle name="Normal 2 2 2 2 5 12 3 6" xfId="16015" xr:uid="{00000000-0005-0000-0000-0000863E0000}"/>
    <cellStyle name="Normal 2 2 2 2 5 12 3 7" xfId="16016" xr:uid="{00000000-0005-0000-0000-0000873E0000}"/>
    <cellStyle name="Normal 2 2 2 2 5 12 3 8" xfId="16017" xr:uid="{00000000-0005-0000-0000-0000883E0000}"/>
    <cellStyle name="Normal 2 2 2 2 5 12 3 9" xfId="16018" xr:uid="{00000000-0005-0000-0000-0000893E0000}"/>
    <cellStyle name="Normal 2 2 2 2 5 12 4" xfId="16019" xr:uid="{00000000-0005-0000-0000-00008A3E0000}"/>
    <cellStyle name="Normal 2 2 2 2 5 12 4 10" xfId="16020" xr:uid="{00000000-0005-0000-0000-00008B3E0000}"/>
    <cellStyle name="Normal 2 2 2 2 5 12 4 2" xfId="16021" xr:uid="{00000000-0005-0000-0000-00008C3E0000}"/>
    <cellStyle name="Normal 2 2 2 2 5 12 4 3" xfId="16022" xr:uid="{00000000-0005-0000-0000-00008D3E0000}"/>
    <cellStyle name="Normal 2 2 2 2 5 12 4 4" xfId="16023" xr:uid="{00000000-0005-0000-0000-00008E3E0000}"/>
    <cellStyle name="Normal 2 2 2 2 5 12 4 5" xfId="16024" xr:uid="{00000000-0005-0000-0000-00008F3E0000}"/>
    <cellStyle name="Normal 2 2 2 2 5 12 4 6" xfId="16025" xr:uid="{00000000-0005-0000-0000-0000903E0000}"/>
    <cellStyle name="Normal 2 2 2 2 5 12 4 7" xfId="16026" xr:uid="{00000000-0005-0000-0000-0000913E0000}"/>
    <cellStyle name="Normal 2 2 2 2 5 12 4 8" xfId="16027" xr:uid="{00000000-0005-0000-0000-0000923E0000}"/>
    <cellStyle name="Normal 2 2 2 2 5 12 4 9" xfId="16028" xr:uid="{00000000-0005-0000-0000-0000933E0000}"/>
    <cellStyle name="Normal 2 2 2 2 5 12 5" xfId="16029" xr:uid="{00000000-0005-0000-0000-0000943E0000}"/>
    <cellStyle name="Normal 2 2 2 2 5 12 5 10" xfId="16030" xr:uid="{00000000-0005-0000-0000-0000953E0000}"/>
    <cellStyle name="Normal 2 2 2 2 5 12 5 2" xfId="16031" xr:uid="{00000000-0005-0000-0000-0000963E0000}"/>
    <cellStyle name="Normal 2 2 2 2 5 12 5 3" xfId="16032" xr:uid="{00000000-0005-0000-0000-0000973E0000}"/>
    <cellStyle name="Normal 2 2 2 2 5 12 5 4" xfId="16033" xr:uid="{00000000-0005-0000-0000-0000983E0000}"/>
    <cellStyle name="Normal 2 2 2 2 5 12 5 5" xfId="16034" xr:uid="{00000000-0005-0000-0000-0000993E0000}"/>
    <cellStyle name="Normal 2 2 2 2 5 12 5 6" xfId="16035" xr:uid="{00000000-0005-0000-0000-00009A3E0000}"/>
    <cellStyle name="Normal 2 2 2 2 5 12 5 7" xfId="16036" xr:uid="{00000000-0005-0000-0000-00009B3E0000}"/>
    <cellStyle name="Normal 2 2 2 2 5 12 5 8" xfId="16037" xr:uid="{00000000-0005-0000-0000-00009C3E0000}"/>
    <cellStyle name="Normal 2 2 2 2 5 12 5 9" xfId="16038" xr:uid="{00000000-0005-0000-0000-00009D3E0000}"/>
    <cellStyle name="Normal 2 2 2 2 5 12 6" xfId="16039" xr:uid="{00000000-0005-0000-0000-00009E3E0000}"/>
    <cellStyle name="Normal 2 2 2 2 5 12 7" xfId="16040" xr:uid="{00000000-0005-0000-0000-00009F3E0000}"/>
    <cellStyle name="Normal 2 2 2 2 5 12 8" xfId="16041" xr:uid="{00000000-0005-0000-0000-0000A03E0000}"/>
    <cellStyle name="Normal 2 2 2 2 5 12 9" xfId="16042" xr:uid="{00000000-0005-0000-0000-0000A13E0000}"/>
    <cellStyle name="Normal 2 2 2 2 5 13" xfId="16043" xr:uid="{00000000-0005-0000-0000-0000A23E0000}"/>
    <cellStyle name="Normal 2 2 2 2 5 13 10" xfId="16044" xr:uid="{00000000-0005-0000-0000-0000A33E0000}"/>
    <cellStyle name="Normal 2 2 2 2 5 13 11" xfId="16045" xr:uid="{00000000-0005-0000-0000-0000A43E0000}"/>
    <cellStyle name="Normal 2 2 2 2 5 13 12" xfId="16046" xr:uid="{00000000-0005-0000-0000-0000A53E0000}"/>
    <cellStyle name="Normal 2 2 2 2 5 13 13" xfId="16047" xr:uid="{00000000-0005-0000-0000-0000A63E0000}"/>
    <cellStyle name="Normal 2 2 2 2 5 13 14" xfId="16048" xr:uid="{00000000-0005-0000-0000-0000A73E0000}"/>
    <cellStyle name="Normal 2 2 2 2 5 13 2" xfId="16049" xr:uid="{00000000-0005-0000-0000-0000A83E0000}"/>
    <cellStyle name="Normal 2 2 2 2 5 13 2 10" xfId="16050" xr:uid="{00000000-0005-0000-0000-0000A93E0000}"/>
    <cellStyle name="Normal 2 2 2 2 5 13 2 2" xfId="16051" xr:uid="{00000000-0005-0000-0000-0000AA3E0000}"/>
    <cellStyle name="Normal 2 2 2 2 5 13 2 3" xfId="16052" xr:uid="{00000000-0005-0000-0000-0000AB3E0000}"/>
    <cellStyle name="Normal 2 2 2 2 5 13 2 4" xfId="16053" xr:uid="{00000000-0005-0000-0000-0000AC3E0000}"/>
    <cellStyle name="Normal 2 2 2 2 5 13 2 5" xfId="16054" xr:uid="{00000000-0005-0000-0000-0000AD3E0000}"/>
    <cellStyle name="Normal 2 2 2 2 5 13 2 6" xfId="16055" xr:uid="{00000000-0005-0000-0000-0000AE3E0000}"/>
    <cellStyle name="Normal 2 2 2 2 5 13 2 7" xfId="16056" xr:uid="{00000000-0005-0000-0000-0000AF3E0000}"/>
    <cellStyle name="Normal 2 2 2 2 5 13 2 8" xfId="16057" xr:uid="{00000000-0005-0000-0000-0000B03E0000}"/>
    <cellStyle name="Normal 2 2 2 2 5 13 2 9" xfId="16058" xr:uid="{00000000-0005-0000-0000-0000B13E0000}"/>
    <cellStyle name="Normal 2 2 2 2 5 13 3" xfId="16059" xr:uid="{00000000-0005-0000-0000-0000B23E0000}"/>
    <cellStyle name="Normal 2 2 2 2 5 13 3 10" xfId="16060" xr:uid="{00000000-0005-0000-0000-0000B33E0000}"/>
    <cellStyle name="Normal 2 2 2 2 5 13 3 2" xfId="16061" xr:uid="{00000000-0005-0000-0000-0000B43E0000}"/>
    <cellStyle name="Normal 2 2 2 2 5 13 3 3" xfId="16062" xr:uid="{00000000-0005-0000-0000-0000B53E0000}"/>
    <cellStyle name="Normal 2 2 2 2 5 13 3 4" xfId="16063" xr:uid="{00000000-0005-0000-0000-0000B63E0000}"/>
    <cellStyle name="Normal 2 2 2 2 5 13 3 5" xfId="16064" xr:uid="{00000000-0005-0000-0000-0000B73E0000}"/>
    <cellStyle name="Normal 2 2 2 2 5 13 3 6" xfId="16065" xr:uid="{00000000-0005-0000-0000-0000B83E0000}"/>
    <cellStyle name="Normal 2 2 2 2 5 13 3 7" xfId="16066" xr:uid="{00000000-0005-0000-0000-0000B93E0000}"/>
    <cellStyle name="Normal 2 2 2 2 5 13 3 8" xfId="16067" xr:uid="{00000000-0005-0000-0000-0000BA3E0000}"/>
    <cellStyle name="Normal 2 2 2 2 5 13 3 9" xfId="16068" xr:uid="{00000000-0005-0000-0000-0000BB3E0000}"/>
    <cellStyle name="Normal 2 2 2 2 5 13 4" xfId="16069" xr:uid="{00000000-0005-0000-0000-0000BC3E0000}"/>
    <cellStyle name="Normal 2 2 2 2 5 13 4 10" xfId="16070" xr:uid="{00000000-0005-0000-0000-0000BD3E0000}"/>
    <cellStyle name="Normal 2 2 2 2 5 13 4 2" xfId="16071" xr:uid="{00000000-0005-0000-0000-0000BE3E0000}"/>
    <cellStyle name="Normal 2 2 2 2 5 13 4 3" xfId="16072" xr:uid="{00000000-0005-0000-0000-0000BF3E0000}"/>
    <cellStyle name="Normal 2 2 2 2 5 13 4 4" xfId="16073" xr:uid="{00000000-0005-0000-0000-0000C03E0000}"/>
    <cellStyle name="Normal 2 2 2 2 5 13 4 5" xfId="16074" xr:uid="{00000000-0005-0000-0000-0000C13E0000}"/>
    <cellStyle name="Normal 2 2 2 2 5 13 4 6" xfId="16075" xr:uid="{00000000-0005-0000-0000-0000C23E0000}"/>
    <cellStyle name="Normal 2 2 2 2 5 13 4 7" xfId="16076" xr:uid="{00000000-0005-0000-0000-0000C33E0000}"/>
    <cellStyle name="Normal 2 2 2 2 5 13 4 8" xfId="16077" xr:uid="{00000000-0005-0000-0000-0000C43E0000}"/>
    <cellStyle name="Normal 2 2 2 2 5 13 4 9" xfId="16078" xr:uid="{00000000-0005-0000-0000-0000C53E0000}"/>
    <cellStyle name="Normal 2 2 2 2 5 13 5" xfId="16079" xr:uid="{00000000-0005-0000-0000-0000C63E0000}"/>
    <cellStyle name="Normal 2 2 2 2 5 13 5 10" xfId="16080" xr:uid="{00000000-0005-0000-0000-0000C73E0000}"/>
    <cellStyle name="Normal 2 2 2 2 5 13 5 2" xfId="16081" xr:uid="{00000000-0005-0000-0000-0000C83E0000}"/>
    <cellStyle name="Normal 2 2 2 2 5 13 5 3" xfId="16082" xr:uid="{00000000-0005-0000-0000-0000C93E0000}"/>
    <cellStyle name="Normal 2 2 2 2 5 13 5 4" xfId="16083" xr:uid="{00000000-0005-0000-0000-0000CA3E0000}"/>
    <cellStyle name="Normal 2 2 2 2 5 13 5 5" xfId="16084" xr:uid="{00000000-0005-0000-0000-0000CB3E0000}"/>
    <cellStyle name="Normal 2 2 2 2 5 13 5 6" xfId="16085" xr:uid="{00000000-0005-0000-0000-0000CC3E0000}"/>
    <cellStyle name="Normal 2 2 2 2 5 13 5 7" xfId="16086" xr:uid="{00000000-0005-0000-0000-0000CD3E0000}"/>
    <cellStyle name="Normal 2 2 2 2 5 13 5 8" xfId="16087" xr:uid="{00000000-0005-0000-0000-0000CE3E0000}"/>
    <cellStyle name="Normal 2 2 2 2 5 13 5 9" xfId="16088" xr:uid="{00000000-0005-0000-0000-0000CF3E0000}"/>
    <cellStyle name="Normal 2 2 2 2 5 13 6" xfId="16089" xr:uid="{00000000-0005-0000-0000-0000D03E0000}"/>
    <cellStyle name="Normal 2 2 2 2 5 13 7" xfId="16090" xr:uid="{00000000-0005-0000-0000-0000D13E0000}"/>
    <cellStyle name="Normal 2 2 2 2 5 13 8" xfId="16091" xr:uid="{00000000-0005-0000-0000-0000D23E0000}"/>
    <cellStyle name="Normal 2 2 2 2 5 13 9" xfId="16092" xr:uid="{00000000-0005-0000-0000-0000D33E0000}"/>
    <cellStyle name="Normal 2 2 2 2 5 14" xfId="16093" xr:uid="{00000000-0005-0000-0000-0000D43E0000}"/>
    <cellStyle name="Normal 2 2 2 2 5 14 10" xfId="16094" xr:uid="{00000000-0005-0000-0000-0000D53E0000}"/>
    <cellStyle name="Normal 2 2 2 2 5 14 11" xfId="16095" xr:uid="{00000000-0005-0000-0000-0000D63E0000}"/>
    <cellStyle name="Normal 2 2 2 2 5 14 12" xfId="16096" xr:uid="{00000000-0005-0000-0000-0000D73E0000}"/>
    <cellStyle name="Normal 2 2 2 2 5 14 13" xfId="16097" xr:uid="{00000000-0005-0000-0000-0000D83E0000}"/>
    <cellStyle name="Normal 2 2 2 2 5 14 14" xfId="16098" xr:uid="{00000000-0005-0000-0000-0000D93E0000}"/>
    <cellStyle name="Normal 2 2 2 2 5 14 2" xfId="16099" xr:uid="{00000000-0005-0000-0000-0000DA3E0000}"/>
    <cellStyle name="Normal 2 2 2 2 5 14 2 10" xfId="16100" xr:uid="{00000000-0005-0000-0000-0000DB3E0000}"/>
    <cellStyle name="Normal 2 2 2 2 5 14 2 2" xfId="16101" xr:uid="{00000000-0005-0000-0000-0000DC3E0000}"/>
    <cellStyle name="Normal 2 2 2 2 5 14 2 3" xfId="16102" xr:uid="{00000000-0005-0000-0000-0000DD3E0000}"/>
    <cellStyle name="Normal 2 2 2 2 5 14 2 4" xfId="16103" xr:uid="{00000000-0005-0000-0000-0000DE3E0000}"/>
    <cellStyle name="Normal 2 2 2 2 5 14 2 5" xfId="16104" xr:uid="{00000000-0005-0000-0000-0000DF3E0000}"/>
    <cellStyle name="Normal 2 2 2 2 5 14 2 6" xfId="16105" xr:uid="{00000000-0005-0000-0000-0000E03E0000}"/>
    <cellStyle name="Normal 2 2 2 2 5 14 2 7" xfId="16106" xr:uid="{00000000-0005-0000-0000-0000E13E0000}"/>
    <cellStyle name="Normal 2 2 2 2 5 14 2 8" xfId="16107" xr:uid="{00000000-0005-0000-0000-0000E23E0000}"/>
    <cellStyle name="Normal 2 2 2 2 5 14 2 9" xfId="16108" xr:uid="{00000000-0005-0000-0000-0000E33E0000}"/>
    <cellStyle name="Normal 2 2 2 2 5 14 3" xfId="16109" xr:uid="{00000000-0005-0000-0000-0000E43E0000}"/>
    <cellStyle name="Normal 2 2 2 2 5 14 3 10" xfId="16110" xr:uid="{00000000-0005-0000-0000-0000E53E0000}"/>
    <cellStyle name="Normal 2 2 2 2 5 14 3 2" xfId="16111" xr:uid="{00000000-0005-0000-0000-0000E63E0000}"/>
    <cellStyle name="Normal 2 2 2 2 5 14 3 3" xfId="16112" xr:uid="{00000000-0005-0000-0000-0000E73E0000}"/>
    <cellStyle name="Normal 2 2 2 2 5 14 3 4" xfId="16113" xr:uid="{00000000-0005-0000-0000-0000E83E0000}"/>
    <cellStyle name="Normal 2 2 2 2 5 14 3 5" xfId="16114" xr:uid="{00000000-0005-0000-0000-0000E93E0000}"/>
    <cellStyle name="Normal 2 2 2 2 5 14 3 6" xfId="16115" xr:uid="{00000000-0005-0000-0000-0000EA3E0000}"/>
    <cellStyle name="Normal 2 2 2 2 5 14 3 7" xfId="16116" xr:uid="{00000000-0005-0000-0000-0000EB3E0000}"/>
    <cellStyle name="Normal 2 2 2 2 5 14 3 8" xfId="16117" xr:uid="{00000000-0005-0000-0000-0000EC3E0000}"/>
    <cellStyle name="Normal 2 2 2 2 5 14 3 9" xfId="16118" xr:uid="{00000000-0005-0000-0000-0000ED3E0000}"/>
    <cellStyle name="Normal 2 2 2 2 5 14 4" xfId="16119" xr:uid="{00000000-0005-0000-0000-0000EE3E0000}"/>
    <cellStyle name="Normal 2 2 2 2 5 14 4 10" xfId="16120" xr:uid="{00000000-0005-0000-0000-0000EF3E0000}"/>
    <cellStyle name="Normal 2 2 2 2 5 14 4 2" xfId="16121" xr:uid="{00000000-0005-0000-0000-0000F03E0000}"/>
    <cellStyle name="Normal 2 2 2 2 5 14 4 3" xfId="16122" xr:uid="{00000000-0005-0000-0000-0000F13E0000}"/>
    <cellStyle name="Normal 2 2 2 2 5 14 4 4" xfId="16123" xr:uid="{00000000-0005-0000-0000-0000F23E0000}"/>
    <cellStyle name="Normal 2 2 2 2 5 14 4 5" xfId="16124" xr:uid="{00000000-0005-0000-0000-0000F33E0000}"/>
    <cellStyle name="Normal 2 2 2 2 5 14 4 6" xfId="16125" xr:uid="{00000000-0005-0000-0000-0000F43E0000}"/>
    <cellStyle name="Normal 2 2 2 2 5 14 4 7" xfId="16126" xr:uid="{00000000-0005-0000-0000-0000F53E0000}"/>
    <cellStyle name="Normal 2 2 2 2 5 14 4 8" xfId="16127" xr:uid="{00000000-0005-0000-0000-0000F63E0000}"/>
    <cellStyle name="Normal 2 2 2 2 5 14 4 9" xfId="16128" xr:uid="{00000000-0005-0000-0000-0000F73E0000}"/>
    <cellStyle name="Normal 2 2 2 2 5 14 5" xfId="16129" xr:uid="{00000000-0005-0000-0000-0000F83E0000}"/>
    <cellStyle name="Normal 2 2 2 2 5 14 5 10" xfId="16130" xr:uid="{00000000-0005-0000-0000-0000F93E0000}"/>
    <cellStyle name="Normal 2 2 2 2 5 14 5 2" xfId="16131" xr:uid="{00000000-0005-0000-0000-0000FA3E0000}"/>
    <cellStyle name="Normal 2 2 2 2 5 14 5 3" xfId="16132" xr:uid="{00000000-0005-0000-0000-0000FB3E0000}"/>
    <cellStyle name="Normal 2 2 2 2 5 14 5 4" xfId="16133" xr:uid="{00000000-0005-0000-0000-0000FC3E0000}"/>
    <cellStyle name="Normal 2 2 2 2 5 14 5 5" xfId="16134" xr:uid="{00000000-0005-0000-0000-0000FD3E0000}"/>
    <cellStyle name="Normal 2 2 2 2 5 14 5 6" xfId="16135" xr:uid="{00000000-0005-0000-0000-0000FE3E0000}"/>
    <cellStyle name="Normal 2 2 2 2 5 14 5 7" xfId="16136" xr:uid="{00000000-0005-0000-0000-0000FF3E0000}"/>
    <cellStyle name="Normal 2 2 2 2 5 14 5 8" xfId="16137" xr:uid="{00000000-0005-0000-0000-0000003F0000}"/>
    <cellStyle name="Normal 2 2 2 2 5 14 5 9" xfId="16138" xr:uid="{00000000-0005-0000-0000-0000013F0000}"/>
    <cellStyle name="Normal 2 2 2 2 5 14 6" xfId="16139" xr:uid="{00000000-0005-0000-0000-0000023F0000}"/>
    <cellStyle name="Normal 2 2 2 2 5 14 7" xfId="16140" xr:uid="{00000000-0005-0000-0000-0000033F0000}"/>
    <cellStyle name="Normal 2 2 2 2 5 14 8" xfId="16141" xr:uid="{00000000-0005-0000-0000-0000043F0000}"/>
    <cellStyle name="Normal 2 2 2 2 5 14 9" xfId="16142" xr:uid="{00000000-0005-0000-0000-0000053F0000}"/>
    <cellStyle name="Normal 2 2 2 2 5 15" xfId="16143" xr:uid="{00000000-0005-0000-0000-0000063F0000}"/>
    <cellStyle name="Normal 2 2 2 2 5 15 10" xfId="16144" xr:uid="{00000000-0005-0000-0000-0000073F0000}"/>
    <cellStyle name="Normal 2 2 2 2 5 15 11" xfId="16145" xr:uid="{00000000-0005-0000-0000-0000083F0000}"/>
    <cellStyle name="Normal 2 2 2 2 5 15 12" xfId="16146" xr:uid="{00000000-0005-0000-0000-0000093F0000}"/>
    <cellStyle name="Normal 2 2 2 2 5 15 13" xfId="16147" xr:uid="{00000000-0005-0000-0000-00000A3F0000}"/>
    <cellStyle name="Normal 2 2 2 2 5 15 14" xfId="16148" xr:uid="{00000000-0005-0000-0000-00000B3F0000}"/>
    <cellStyle name="Normal 2 2 2 2 5 15 2" xfId="16149" xr:uid="{00000000-0005-0000-0000-00000C3F0000}"/>
    <cellStyle name="Normal 2 2 2 2 5 15 2 10" xfId="16150" xr:uid="{00000000-0005-0000-0000-00000D3F0000}"/>
    <cellStyle name="Normal 2 2 2 2 5 15 2 2" xfId="16151" xr:uid="{00000000-0005-0000-0000-00000E3F0000}"/>
    <cellStyle name="Normal 2 2 2 2 5 15 2 3" xfId="16152" xr:uid="{00000000-0005-0000-0000-00000F3F0000}"/>
    <cellStyle name="Normal 2 2 2 2 5 15 2 4" xfId="16153" xr:uid="{00000000-0005-0000-0000-0000103F0000}"/>
    <cellStyle name="Normal 2 2 2 2 5 15 2 5" xfId="16154" xr:uid="{00000000-0005-0000-0000-0000113F0000}"/>
    <cellStyle name="Normal 2 2 2 2 5 15 2 6" xfId="16155" xr:uid="{00000000-0005-0000-0000-0000123F0000}"/>
    <cellStyle name="Normal 2 2 2 2 5 15 2 7" xfId="16156" xr:uid="{00000000-0005-0000-0000-0000133F0000}"/>
    <cellStyle name="Normal 2 2 2 2 5 15 2 8" xfId="16157" xr:uid="{00000000-0005-0000-0000-0000143F0000}"/>
    <cellStyle name="Normal 2 2 2 2 5 15 2 9" xfId="16158" xr:uid="{00000000-0005-0000-0000-0000153F0000}"/>
    <cellStyle name="Normal 2 2 2 2 5 15 3" xfId="16159" xr:uid="{00000000-0005-0000-0000-0000163F0000}"/>
    <cellStyle name="Normal 2 2 2 2 5 15 3 10" xfId="16160" xr:uid="{00000000-0005-0000-0000-0000173F0000}"/>
    <cellStyle name="Normal 2 2 2 2 5 15 3 2" xfId="16161" xr:uid="{00000000-0005-0000-0000-0000183F0000}"/>
    <cellStyle name="Normal 2 2 2 2 5 15 3 3" xfId="16162" xr:uid="{00000000-0005-0000-0000-0000193F0000}"/>
    <cellStyle name="Normal 2 2 2 2 5 15 3 4" xfId="16163" xr:uid="{00000000-0005-0000-0000-00001A3F0000}"/>
    <cellStyle name="Normal 2 2 2 2 5 15 3 5" xfId="16164" xr:uid="{00000000-0005-0000-0000-00001B3F0000}"/>
    <cellStyle name="Normal 2 2 2 2 5 15 3 6" xfId="16165" xr:uid="{00000000-0005-0000-0000-00001C3F0000}"/>
    <cellStyle name="Normal 2 2 2 2 5 15 3 7" xfId="16166" xr:uid="{00000000-0005-0000-0000-00001D3F0000}"/>
    <cellStyle name="Normal 2 2 2 2 5 15 3 8" xfId="16167" xr:uid="{00000000-0005-0000-0000-00001E3F0000}"/>
    <cellStyle name="Normal 2 2 2 2 5 15 3 9" xfId="16168" xr:uid="{00000000-0005-0000-0000-00001F3F0000}"/>
    <cellStyle name="Normal 2 2 2 2 5 15 4" xfId="16169" xr:uid="{00000000-0005-0000-0000-0000203F0000}"/>
    <cellStyle name="Normal 2 2 2 2 5 15 4 10" xfId="16170" xr:uid="{00000000-0005-0000-0000-0000213F0000}"/>
    <cellStyle name="Normal 2 2 2 2 5 15 4 2" xfId="16171" xr:uid="{00000000-0005-0000-0000-0000223F0000}"/>
    <cellStyle name="Normal 2 2 2 2 5 15 4 3" xfId="16172" xr:uid="{00000000-0005-0000-0000-0000233F0000}"/>
    <cellStyle name="Normal 2 2 2 2 5 15 4 4" xfId="16173" xr:uid="{00000000-0005-0000-0000-0000243F0000}"/>
    <cellStyle name="Normal 2 2 2 2 5 15 4 5" xfId="16174" xr:uid="{00000000-0005-0000-0000-0000253F0000}"/>
    <cellStyle name="Normal 2 2 2 2 5 15 4 6" xfId="16175" xr:uid="{00000000-0005-0000-0000-0000263F0000}"/>
    <cellStyle name="Normal 2 2 2 2 5 15 4 7" xfId="16176" xr:uid="{00000000-0005-0000-0000-0000273F0000}"/>
    <cellStyle name="Normal 2 2 2 2 5 15 4 8" xfId="16177" xr:uid="{00000000-0005-0000-0000-0000283F0000}"/>
    <cellStyle name="Normal 2 2 2 2 5 15 4 9" xfId="16178" xr:uid="{00000000-0005-0000-0000-0000293F0000}"/>
    <cellStyle name="Normal 2 2 2 2 5 15 5" xfId="16179" xr:uid="{00000000-0005-0000-0000-00002A3F0000}"/>
    <cellStyle name="Normal 2 2 2 2 5 15 5 10" xfId="16180" xr:uid="{00000000-0005-0000-0000-00002B3F0000}"/>
    <cellStyle name="Normal 2 2 2 2 5 15 5 2" xfId="16181" xr:uid="{00000000-0005-0000-0000-00002C3F0000}"/>
    <cellStyle name="Normal 2 2 2 2 5 15 5 3" xfId="16182" xr:uid="{00000000-0005-0000-0000-00002D3F0000}"/>
    <cellStyle name="Normal 2 2 2 2 5 15 5 4" xfId="16183" xr:uid="{00000000-0005-0000-0000-00002E3F0000}"/>
    <cellStyle name="Normal 2 2 2 2 5 15 5 5" xfId="16184" xr:uid="{00000000-0005-0000-0000-00002F3F0000}"/>
    <cellStyle name="Normal 2 2 2 2 5 15 5 6" xfId="16185" xr:uid="{00000000-0005-0000-0000-0000303F0000}"/>
    <cellStyle name="Normal 2 2 2 2 5 15 5 7" xfId="16186" xr:uid="{00000000-0005-0000-0000-0000313F0000}"/>
    <cellStyle name="Normal 2 2 2 2 5 15 5 8" xfId="16187" xr:uid="{00000000-0005-0000-0000-0000323F0000}"/>
    <cellStyle name="Normal 2 2 2 2 5 15 5 9" xfId="16188" xr:uid="{00000000-0005-0000-0000-0000333F0000}"/>
    <cellStyle name="Normal 2 2 2 2 5 15 6" xfId="16189" xr:uid="{00000000-0005-0000-0000-0000343F0000}"/>
    <cellStyle name="Normal 2 2 2 2 5 15 7" xfId="16190" xr:uid="{00000000-0005-0000-0000-0000353F0000}"/>
    <cellStyle name="Normal 2 2 2 2 5 15 8" xfId="16191" xr:uid="{00000000-0005-0000-0000-0000363F0000}"/>
    <cellStyle name="Normal 2 2 2 2 5 15 9" xfId="16192" xr:uid="{00000000-0005-0000-0000-0000373F0000}"/>
    <cellStyle name="Normal 2 2 2 2 5 16" xfId="16193" xr:uid="{00000000-0005-0000-0000-0000383F0000}"/>
    <cellStyle name="Normal 2 2 2 2 5 16 10" xfId="16194" xr:uid="{00000000-0005-0000-0000-0000393F0000}"/>
    <cellStyle name="Normal 2 2 2 2 5 16 11" xfId="16195" xr:uid="{00000000-0005-0000-0000-00003A3F0000}"/>
    <cellStyle name="Normal 2 2 2 2 5 16 12" xfId="16196" xr:uid="{00000000-0005-0000-0000-00003B3F0000}"/>
    <cellStyle name="Normal 2 2 2 2 5 16 13" xfId="16197" xr:uid="{00000000-0005-0000-0000-00003C3F0000}"/>
    <cellStyle name="Normal 2 2 2 2 5 16 14" xfId="16198" xr:uid="{00000000-0005-0000-0000-00003D3F0000}"/>
    <cellStyle name="Normal 2 2 2 2 5 16 2" xfId="16199" xr:uid="{00000000-0005-0000-0000-00003E3F0000}"/>
    <cellStyle name="Normal 2 2 2 2 5 16 2 10" xfId="16200" xr:uid="{00000000-0005-0000-0000-00003F3F0000}"/>
    <cellStyle name="Normal 2 2 2 2 5 16 2 2" xfId="16201" xr:uid="{00000000-0005-0000-0000-0000403F0000}"/>
    <cellStyle name="Normal 2 2 2 2 5 16 2 3" xfId="16202" xr:uid="{00000000-0005-0000-0000-0000413F0000}"/>
    <cellStyle name="Normal 2 2 2 2 5 16 2 4" xfId="16203" xr:uid="{00000000-0005-0000-0000-0000423F0000}"/>
    <cellStyle name="Normal 2 2 2 2 5 16 2 5" xfId="16204" xr:uid="{00000000-0005-0000-0000-0000433F0000}"/>
    <cellStyle name="Normal 2 2 2 2 5 16 2 6" xfId="16205" xr:uid="{00000000-0005-0000-0000-0000443F0000}"/>
    <cellStyle name="Normal 2 2 2 2 5 16 2 7" xfId="16206" xr:uid="{00000000-0005-0000-0000-0000453F0000}"/>
    <cellStyle name="Normal 2 2 2 2 5 16 2 8" xfId="16207" xr:uid="{00000000-0005-0000-0000-0000463F0000}"/>
    <cellStyle name="Normal 2 2 2 2 5 16 2 9" xfId="16208" xr:uid="{00000000-0005-0000-0000-0000473F0000}"/>
    <cellStyle name="Normal 2 2 2 2 5 16 3" xfId="16209" xr:uid="{00000000-0005-0000-0000-0000483F0000}"/>
    <cellStyle name="Normal 2 2 2 2 5 16 3 10" xfId="16210" xr:uid="{00000000-0005-0000-0000-0000493F0000}"/>
    <cellStyle name="Normal 2 2 2 2 5 16 3 2" xfId="16211" xr:uid="{00000000-0005-0000-0000-00004A3F0000}"/>
    <cellStyle name="Normal 2 2 2 2 5 16 3 3" xfId="16212" xr:uid="{00000000-0005-0000-0000-00004B3F0000}"/>
    <cellStyle name="Normal 2 2 2 2 5 16 3 4" xfId="16213" xr:uid="{00000000-0005-0000-0000-00004C3F0000}"/>
    <cellStyle name="Normal 2 2 2 2 5 16 3 5" xfId="16214" xr:uid="{00000000-0005-0000-0000-00004D3F0000}"/>
    <cellStyle name="Normal 2 2 2 2 5 16 3 6" xfId="16215" xr:uid="{00000000-0005-0000-0000-00004E3F0000}"/>
    <cellStyle name="Normal 2 2 2 2 5 16 3 7" xfId="16216" xr:uid="{00000000-0005-0000-0000-00004F3F0000}"/>
    <cellStyle name="Normal 2 2 2 2 5 16 3 8" xfId="16217" xr:uid="{00000000-0005-0000-0000-0000503F0000}"/>
    <cellStyle name="Normal 2 2 2 2 5 16 3 9" xfId="16218" xr:uid="{00000000-0005-0000-0000-0000513F0000}"/>
    <cellStyle name="Normal 2 2 2 2 5 16 4" xfId="16219" xr:uid="{00000000-0005-0000-0000-0000523F0000}"/>
    <cellStyle name="Normal 2 2 2 2 5 16 4 10" xfId="16220" xr:uid="{00000000-0005-0000-0000-0000533F0000}"/>
    <cellStyle name="Normal 2 2 2 2 5 16 4 2" xfId="16221" xr:uid="{00000000-0005-0000-0000-0000543F0000}"/>
    <cellStyle name="Normal 2 2 2 2 5 16 4 3" xfId="16222" xr:uid="{00000000-0005-0000-0000-0000553F0000}"/>
    <cellStyle name="Normal 2 2 2 2 5 16 4 4" xfId="16223" xr:uid="{00000000-0005-0000-0000-0000563F0000}"/>
    <cellStyle name="Normal 2 2 2 2 5 16 4 5" xfId="16224" xr:uid="{00000000-0005-0000-0000-0000573F0000}"/>
    <cellStyle name="Normal 2 2 2 2 5 16 4 6" xfId="16225" xr:uid="{00000000-0005-0000-0000-0000583F0000}"/>
    <cellStyle name="Normal 2 2 2 2 5 16 4 7" xfId="16226" xr:uid="{00000000-0005-0000-0000-0000593F0000}"/>
    <cellStyle name="Normal 2 2 2 2 5 16 4 8" xfId="16227" xr:uid="{00000000-0005-0000-0000-00005A3F0000}"/>
    <cellStyle name="Normal 2 2 2 2 5 16 4 9" xfId="16228" xr:uid="{00000000-0005-0000-0000-00005B3F0000}"/>
    <cellStyle name="Normal 2 2 2 2 5 16 5" xfId="16229" xr:uid="{00000000-0005-0000-0000-00005C3F0000}"/>
    <cellStyle name="Normal 2 2 2 2 5 16 5 10" xfId="16230" xr:uid="{00000000-0005-0000-0000-00005D3F0000}"/>
    <cellStyle name="Normal 2 2 2 2 5 16 5 2" xfId="16231" xr:uid="{00000000-0005-0000-0000-00005E3F0000}"/>
    <cellStyle name="Normal 2 2 2 2 5 16 5 3" xfId="16232" xr:uid="{00000000-0005-0000-0000-00005F3F0000}"/>
    <cellStyle name="Normal 2 2 2 2 5 16 5 4" xfId="16233" xr:uid="{00000000-0005-0000-0000-0000603F0000}"/>
    <cellStyle name="Normal 2 2 2 2 5 16 5 5" xfId="16234" xr:uid="{00000000-0005-0000-0000-0000613F0000}"/>
    <cellStyle name="Normal 2 2 2 2 5 16 5 6" xfId="16235" xr:uid="{00000000-0005-0000-0000-0000623F0000}"/>
    <cellStyle name="Normal 2 2 2 2 5 16 5 7" xfId="16236" xr:uid="{00000000-0005-0000-0000-0000633F0000}"/>
    <cellStyle name="Normal 2 2 2 2 5 16 5 8" xfId="16237" xr:uid="{00000000-0005-0000-0000-0000643F0000}"/>
    <cellStyle name="Normal 2 2 2 2 5 16 5 9" xfId="16238" xr:uid="{00000000-0005-0000-0000-0000653F0000}"/>
    <cellStyle name="Normal 2 2 2 2 5 16 6" xfId="16239" xr:uid="{00000000-0005-0000-0000-0000663F0000}"/>
    <cellStyle name="Normal 2 2 2 2 5 16 7" xfId="16240" xr:uid="{00000000-0005-0000-0000-0000673F0000}"/>
    <cellStyle name="Normal 2 2 2 2 5 16 8" xfId="16241" xr:uid="{00000000-0005-0000-0000-0000683F0000}"/>
    <cellStyle name="Normal 2 2 2 2 5 16 9" xfId="16242" xr:uid="{00000000-0005-0000-0000-0000693F0000}"/>
    <cellStyle name="Normal 2 2 2 2 5 17" xfId="16243" xr:uid="{00000000-0005-0000-0000-00006A3F0000}"/>
    <cellStyle name="Normal 2 2 2 2 5 17 10" xfId="16244" xr:uid="{00000000-0005-0000-0000-00006B3F0000}"/>
    <cellStyle name="Normal 2 2 2 2 5 17 11" xfId="16245" xr:uid="{00000000-0005-0000-0000-00006C3F0000}"/>
    <cellStyle name="Normal 2 2 2 2 5 17 12" xfId="16246" xr:uid="{00000000-0005-0000-0000-00006D3F0000}"/>
    <cellStyle name="Normal 2 2 2 2 5 17 13" xfId="16247" xr:uid="{00000000-0005-0000-0000-00006E3F0000}"/>
    <cellStyle name="Normal 2 2 2 2 5 17 14" xfId="16248" xr:uid="{00000000-0005-0000-0000-00006F3F0000}"/>
    <cellStyle name="Normal 2 2 2 2 5 17 2" xfId="16249" xr:uid="{00000000-0005-0000-0000-0000703F0000}"/>
    <cellStyle name="Normal 2 2 2 2 5 17 2 10" xfId="16250" xr:uid="{00000000-0005-0000-0000-0000713F0000}"/>
    <cellStyle name="Normal 2 2 2 2 5 17 2 2" xfId="16251" xr:uid="{00000000-0005-0000-0000-0000723F0000}"/>
    <cellStyle name="Normal 2 2 2 2 5 17 2 3" xfId="16252" xr:uid="{00000000-0005-0000-0000-0000733F0000}"/>
    <cellStyle name="Normal 2 2 2 2 5 17 2 4" xfId="16253" xr:uid="{00000000-0005-0000-0000-0000743F0000}"/>
    <cellStyle name="Normal 2 2 2 2 5 17 2 5" xfId="16254" xr:uid="{00000000-0005-0000-0000-0000753F0000}"/>
    <cellStyle name="Normal 2 2 2 2 5 17 2 6" xfId="16255" xr:uid="{00000000-0005-0000-0000-0000763F0000}"/>
    <cellStyle name="Normal 2 2 2 2 5 17 2 7" xfId="16256" xr:uid="{00000000-0005-0000-0000-0000773F0000}"/>
    <cellStyle name="Normal 2 2 2 2 5 17 2 8" xfId="16257" xr:uid="{00000000-0005-0000-0000-0000783F0000}"/>
    <cellStyle name="Normal 2 2 2 2 5 17 2 9" xfId="16258" xr:uid="{00000000-0005-0000-0000-0000793F0000}"/>
    <cellStyle name="Normal 2 2 2 2 5 17 3" xfId="16259" xr:uid="{00000000-0005-0000-0000-00007A3F0000}"/>
    <cellStyle name="Normal 2 2 2 2 5 17 3 10" xfId="16260" xr:uid="{00000000-0005-0000-0000-00007B3F0000}"/>
    <cellStyle name="Normal 2 2 2 2 5 17 3 2" xfId="16261" xr:uid="{00000000-0005-0000-0000-00007C3F0000}"/>
    <cellStyle name="Normal 2 2 2 2 5 17 3 3" xfId="16262" xr:uid="{00000000-0005-0000-0000-00007D3F0000}"/>
    <cellStyle name="Normal 2 2 2 2 5 17 3 4" xfId="16263" xr:uid="{00000000-0005-0000-0000-00007E3F0000}"/>
    <cellStyle name="Normal 2 2 2 2 5 17 3 5" xfId="16264" xr:uid="{00000000-0005-0000-0000-00007F3F0000}"/>
    <cellStyle name="Normal 2 2 2 2 5 17 3 6" xfId="16265" xr:uid="{00000000-0005-0000-0000-0000803F0000}"/>
    <cellStyle name="Normal 2 2 2 2 5 17 3 7" xfId="16266" xr:uid="{00000000-0005-0000-0000-0000813F0000}"/>
    <cellStyle name="Normal 2 2 2 2 5 17 3 8" xfId="16267" xr:uid="{00000000-0005-0000-0000-0000823F0000}"/>
    <cellStyle name="Normal 2 2 2 2 5 17 3 9" xfId="16268" xr:uid="{00000000-0005-0000-0000-0000833F0000}"/>
    <cellStyle name="Normal 2 2 2 2 5 17 4" xfId="16269" xr:uid="{00000000-0005-0000-0000-0000843F0000}"/>
    <cellStyle name="Normal 2 2 2 2 5 17 4 10" xfId="16270" xr:uid="{00000000-0005-0000-0000-0000853F0000}"/>
    <cellStyle name="Normal 2 2 2 2 5 17 4 2" xfId="16271" xr:uid="{00000000-0005-0000-0000-0000863F0000}"/>
    <cellStyle name="Normal 2 2 2 2 5 17 4 3" xfId="16272" xr:uid="{00000000-0005-0000-0000-0000873F0000}"/>
    <cellStyle name="Normal 2 2 2 2 5 17 4 4" xfId="16273" xr:uid="{00000000-0005-0000-0000-0000883F0000}"/>
    <cellStyle name="Normal 2 2 2 2 5 17 4 5" xfId="16274" xr:uid="{00000000-0005-0000-0000-0000893F0000}"/>
    <cellStyle name="Normal 2 2 2 2 5 17 4 6" xfId="16275" xr:uid="{00000000-0005-0000-0000-00008A3F0000}"/>
    <cellStyle name="Normal 2 2 2 2 5 17 4 7" xfId="16276" xr:uid="{00000000-0005-0000-0000-00008B3F0000}"/>
    <cellStyle name="Normal 2 2 2 2 5 17 4 8" xfId="16277" xr:uid="{00000000-0005-0000-0000-00008C3F0000}"/>
    <cellStyle name="Normal 2 2 2 2 5 17 4 9" xfId="16278" xr:uid="{00000000-0005-0000-0000-00008D3F0000}"/>
    <cellStyle name="Normal 2 2 2 2 5 17 5" xfId="16279" xr:uid="{00000000-0005-0000-0000-00008E3F0000}"/>
    <cellStyle name="Normal 2 2 2 2 5 17 5 10" xfId="16280" xr:uid="{00000000-0005-0000-0000-00008F3F0000}"/>
    <cellStyle name="Normal 2 2 2 2 5 17 5 2" xfId="16281" xr:uid="{00000000-0005-0000-0000-0000903F0000}"/>
    <cellStyle name="Normal 2 2 2 2 5 17 5 3" xfId="16282" xr:uid="{00000000-0005-0000-0000-0000913F0000}"/>
    <cellStyle name="Normal 2 2 2 2 5 17 5 4" xfId="16283" xr:uid="{00000000-0005-0000-0000-0000923F0000}"/>
    <cellStyle name="Normal 2 2 2 2 5 17 5 5" xfId="16284" xr:uid="{00000000-0005-0000-0000-0000933F0000}"/>
    <cellStyle name="Normal 2 2 2 2 5 17 5 6" xfId="16285" xr:uid="{00000000-0005-0000-0000-0000943F0000}"/>
    <cellStyle name="Normal 2 2 2 2 5 17 5 7" xfId="16286" xr:uid="{00000000-0005-0000-0000-0000953F0000}"/>
    <cellStyle name="Normal 2 2 2 2 5 17 5 8" xfId="16287" xr:uid="{00000000-0005-0000-0000-0000963F0000}"/>
    <cellStyle name="Normal 2 2 2 2 5 17 5 9" xfId="16288" xr:uid="{00000000-0005-0000-0000-0000973F0000}"/>
    <cellStyle name="Normal 2 2 2 2 5 17 6" xfId="16289" xr:uid="{00000000-0005-0000-0000-0000983F0000}"/>
    <cellStyle name="Normal 2 2 2 2 5 17 7" xfId="16290" xr:uid="{00000000-0005-0000-0000-0000993F0000}"/>
    <cellStyle name="Normal 2 2 2 2 5 17 8" xfId="16291" xr:uid="{00000000-0005-0000-0000-00009A3F0000}"/>
    <cellStyle name="Normal 2 2 2 2 5 17 9" xfId="16292" xr:uid="{00000000-0005-0000-0000-00009B3F0000}"/>
    <cellStyle name="Normal 2 2 2 2 5 18" xfId="16293" xr:uid="{00000000-0005-0000-0000-00009C3F0000}"/>
    <cellStyle name="Normal 2 2 2 2 5 18 10" xfId="16294" xr:uid="{00000000-0005-0000-0000-00009D3F0000}"/>
    <cellStyle name="Normal 2 2 2 2 5 18 11" xfId="16295" xr:uid="{00000000-0005-0000-0000-00009E3F0000}"/>
    <cellStyle name="Normal 2 2 2 2 5 18 12" xfId="16296" xr:uid="{00000000-0005-0000-0000-00009F3F0000}"/>
    <cellStyle name="Normal 2 2 2 2 5 18 13" xfId="16297" xr:uid="{00000000-0005-0000-0000-0000A03F0000}"/>
    <cellStyle name="Normal 2 2 2 2 5 18 14" xfId="16298" xr:uid="{00000000-0005-0000-0000-0000A13F0000}"/>
    <cellStyle name="Normal 2 2 2 2 5 18 2" xfId="16299" xr:uid="{00000000-0005-0000-0000-0000A23F0000}"/>
    <cellStyle name="Normal 2 2 2 2 5 18 2 10" xfId="16300" xr:uid="{00000000-0005-0000-0000-0000A33F0000}"/>
    <cellStyle name="Normal 2 2 2 2 5 18 2 2" xfId="16301" xr:uid="{00000000-0005-0000-0000-0000A43F0000}"/>
    <cellStyle name="Normal 2 2 2 2 5 18 2 3" xfId="16302" xr:uid="{00000000-0005-0000-0000-0000A53F0000}"/>
    <cellStyle name="Normal 2 2 2 2 5 18 2 4" xfId="16303" xr:uid="{00000000-0005-0000-0000-0000A63F0000}"/>
    <cellStyle name="Normal 2 2 2 2 5 18 2 5" xfId="16304" xr:uid="{00000000-0005-0000-0000-0000A73F0000}"/>
    <cellStyle name="Normal 2 2 2 2 5 18 2 6" xfId="16305" xr:uid="{00000000-0005-0000-0000-0000A83F0000}"/>
    <cellStyle name="Normal 2 2 2 2 5 18 2 7" xfId="16306" xr:uid="{00000000-0005-0000-0000-0000A93F0000}"/>
    <cellStyle name="Normal 2 2 2 2 5 18 2 8" xfId="16307" xr:uid="{00000000-0005-0000-0000-0000AA3F0000}"/>
    <cellStyle name="Normal 2 2 2 2 5 18 2 9" xfId="16308" xr:uid="{00000000-0005-0000-0000-0000AB3F0000}"/>
    <cellStyle name="Normal 2 2 2 2 5 18 3" xfId="16309" xr:uid="{00000000-0005-0000-0000-0000AC3F0000}"/>
    <cellStyle name="Normal 2 2 2 2 5 18 3 10" xfId="16310" xr:uid="{00000000-0005-0000-0000-0000AD3F0000}"/>
    <cellStyle name="Normal 2 2 2 2 5 18 3 2" xfId="16311" xr:uid="{00000000-0005-0000-0000-0000AE3F0000}"/>
    <cellStyle name="Normal 2 2 2 2 5 18 3 3" xfId="16312" xr:uid="{00000000-0005-0000-0000-0000AF3F0000}"/>
    <cellStyle name="Normal 2 2 2 2 5 18 3 4" xfId="16313" xr:uid="{00000000-0005-0000-0000-0000B03F0000}"/>
    <cellStyle name="Normal 2 2 2 2 5 18 3 5" xfId="16314" xr:uid="{00000000-0005-0000-0000-0000B13F0000}"/>
    <cellStyle name="Normal 2 2 2 2 5 18 3 6" xfId="16315" xr:uid="{00000000-0005-0000-0000-0000B23F0000}"/>
    <cellStyle name="Normal 2 2 2 2 5 18 3 7" xfId="16316" xr:uid="{00000000-0005-0000-0000-0000B33F0000}"/>
    <cellStyle name="Normal 2 2 2 2 5 18 3 8" xfId="16317" xr:uid="{00000000-0005-0000-0000-0000B43F0000}"/>
    <cellStyle name="Normal 2 2 2 2 5 18 3 9" xfId="16318" xr:uid="{00000000-0005-0000-0000-0000B53F0000}"/>
    <cellStyle name="Normal 2 2 2 2 5 18 4" xfId="16319" xr:uid="{00000000-0005-0000-0000-0000B63F0000}"/>
    <cellStyle name="Normal 2 2 2 2 5 18 4 10" xfId="16320" xr:uid="{00000000-0005-0000-0000-0000B73F0000}"/>
    <cellStyle name="Normal 2 2 2 2 5 18 4 2" xfId="16321" xr:uid="{00000000-0005-0000-0000-0000B83F0000}"/>
    <cellStyle name="Normal 2 2 2 2 5 18 4 3" xfId="16322" xr:uid="{00000000-0005-0000-0000-0000B93F0000}"/>
    <cellStyle name="Normal 2 2 2 2 5 18 4 4" xfId="16323" xr:uid="{00000000-0005-0000-0000-0000BA3F0000}"/>
    <cellStyle name="Normal 2 2 2 2 5 18 4 5" xfId="16324" xr:uid="{00000000-0005-0000-0000-0000BB3F0000}"/>
    <cellStyle name="Normal 2 2 2 2 5 18 4 6" xfId="16325" xr:uid="{00000000-0005-0000-0000-0000BC3F0000}"/>
    <cellStyle name="Normal 2 2 2 2 5 18 4 7" xfId="16326" xr:uid="{00000000-0005-0000-0000-0000BD3F0000}"/>
    <cellStyle name="Normal 2 2 2 2 5 18 4 8" xfId="16327" xr:uid="{00000000-0005-0000-0000-0000BE3F0000}"/>
    <cellStyle name="Normal 2 2 2 2 5 18 4 9" xfId="16328" xr:uid="{00000000-0005-0000-0000-0000BF3F0000}"/>
    <cellStyle name="Normal 2 2 2 2 5 18 5" xfId="16329" xr:uid="{00000000-0005-0000-0000-0000C03F0000}"/>
    <cellStyle name="Normal 2 2 2 2 5 18 5 10" xfId="16330" xr:uid="{00000000-0005-0000-0000-0000C13F0000}"/>
    <cellStyle name="Normal 2 2 2 2 5 18 5 2" xfId="16331" xr:uid="{00000000-0005-0000-0000-0000C23F0000}"/>
    <cellStyle name="Normal 2 2 2 2 5 18 5 3" xfId="16332" xr:uid="{00000000-0005-0000-0000-0000C33F0000}"/>
    <cellStyle name="Normal 2 2 2 2 5 18 5 4" xfId="16333" xr:uid="{00000000-0005-0000-0000-0000C43F0000}"/>
    <cellStyle name="Normal 2 2 2 2 5 18 5 5" xfId="16334" xr:uid="{00000000-0005-0000-0000-0000C53F0000}"/>
    <cellStyle name="Normal 2 2 2 2 5 18 5 6" xfId="16335" xr:uid="{00000000-0005-0000-0000-0000C63F0000}"/>
    <cellStyle name="Normal 2 2 2 2 5 18 5 7" xfId="16336" xr:uid="{00000000-0005-0000-0000-0000C73F0000}"/>
    <cellStyle name="Normal 2 2 2 2 5 18 5 8" xfId="16337" xr:uid="{00000000-0005-0000-0000-0000C83F0000}"/>
    <cellStyle name="Normal 2 2 2 2 5 18 5 9" xfId="16338" xr:uid="{00000000-0005-0000-0000-0000C93F0000}"/>
    <cellStyle name="Normal 2 2 2 2 5 18 6" xfId="16339" xr:uid="{00000000-0005-0000-0000-0000CA3F0000}"/>
    <cellStyle name="Normal 2 2 2 2 5 18 7" xfId="16340" xr:uid="{00000000-0005-0000-0000-0000CB3F0000}"/>
    <cellStyle name="Normal 2 2 2 2 5 18 8" xfId="16341" xr:uid="{00000000-0005-0000-0000-0000CC3F0000}"/>
    <cellStyle name="Normal 2 2 2 2 5 18 9" xfId="16342" xr:uid="{00000000-0005-0000-0000-0000CD3F0000}"/>
    <cellStyle name="Normal 2 2 2 2 5 19" xfId="16343" xr:uid="{00000000-0005-0000-0000-0000CE3F0000}"/>
    <cellStyle name="Normal 2 2 2 2 5 19 10" xfId="16344" xr:uid="{00000000-0005-0000-0000-0000CF3F0000}"/>
    <cellStyle name="Normal 2 2 2 2 5 19 11" xfId="16345" xr:uid="{00000000-0005-0000-0000-0000D03F0000}"/>
    <cellStyle name="Normal 2 2 2 2 5 19 12" xfId="16346" xr:uid="{00000000-0005-0000-0000-0000D13F0000}"/>
    <cellStyle name="Normal 2 2 2 2 5 19 13" xfId="16347" xr:uid="{00000000-0005-0000-0000-0000D23F0000}"/>
    <cellStyle name="Normal 2 2 2 2 5 19 14" xfId="16348" xr:uid="{00000000-0005-0000-0000-0000D33F0000}"/>
    <cellStyle name="Normal 2 2 2 2 5 19 2" xfId="16349" xr:uid="{00000000-0005-0000-0000-0000D43F0000}"/>
    <cellStyle name="Normal 2 2 2 2 5 19 2 10" xfId="16350" xr:uid="{00000000-0005-0000-0000-0000D53F0000}"/>
    <cellStyle name="Normal 2 2 2 2 5 19 2 2" xfId="16351" xr:uid="{00000000-0005-0000-0000-0000D63F0000}"/>
    <cellStyle name="Normal 2 2 2 2 5 19 2 3" xfId="16352" xr:uid="{00000000-0005-0000-0000-0000D73F0000}"/>
    <cellStyle name="Normal 2 2 2 2 5 19 2 4" xfId="16353" xr:uid="{00000000-0005-0000-0000-0000D83F0000}"/>
    <cellStyle name="Normal 2 2 2 2 5 19 2 5" xfId="16354" xr:uid="{00000000-0005-0000-0000-0000D93F0000}"/>
    <cellStyle name="Normal 2 2 2 2 5 19 2 6" xfId="16355" xr:uid="{00000000-0005-0000-0000-0000DA3F0000}"/>
    <cellStyle name="Normal 2 2 2 2 5 19 2 7" xfId="16356" xr:uid="{00000000-0005-0000-0000-0000DB3F0000}"/>
    <cellStyle name="Normal 2 2 2 2 5 19 2 8" xfId="16357" xr:uid="{00000000-0005-0000-0000-0000DC3F0000}"/>
    <cellStyle name="Normal 2 2 2 2 5 19 2 9" xfId="16358" xr:uid="{00000000-0005-0000-0000-0000DD3F0000}"/>
    <cellStyle name="Normal 2 2 2 2 5 19 3" xfId="16359" xr:uid="{00000000-0005-0000-0000-0000DE3F0000}"/>
    <cellStyle name="Normal 2 2 2 2 5 19 3 10" xfId="16360" xr:uid="{00000000-0005-0000-0000-0000DF3F0000}"/>
    <cellStyle name="Normal 2 2 2 2 5 19 3 2" xfId="16361" xr:uid="{00000000-0005-0000-0000-0000E03F0000}"/>
    <cellStyle name="Normal 2 2 2 2 5 19 3 3" xfId="16362" xr:uid="{00000000-0005-0000-0000-0000E13F0000}"/>
    <cellStyle name="Normal 2 2 2 2 5 19 3 4" xfId="16363" xr:uid="{00000000-0005-0000-0000-0000E23F0000}"/>
    <cellStyle name="Normal 2 2 2 2 5 19 3 5" xfId="16364" xr:uid="{00000000-0005-0000-0000-0000E33F0000}"/>
    <cellStyle name="Normal 2 2 2 2 5 19 3 6" xfId="16365" xr:uid="{00000000-0005-0000-0000-0000E43F0000}"/>
    <cellStyle name="Normal 2 2 2 2 5 19 3 7" xfId="16366" xr:uid="{00000000-0005-0000-0000-0000E53F0000}"/>
    <cellStyle name="Normal 2 2 2 2 5 19 3 8" xfId="16367" xr:uid="{00000000-0005-0000-0000-0000E63F0000}"/>
    <cellStyle name="Normal 2 2 2 2 5 19 3 9" xfId="16368" xr:uid="{00000000-0005-0000-0000-0000E73F0000}"/>
    <cellStyle name="Normal 2 2 2 2 5 19 4" xfId="16369" xr:uid="{00000000-0005-0000-0000-0000E83F0000}"/>
    <cellStyle name="Normal 2 2 2 2 5 19 4 10" xfId="16370" xr:uid="{00000000-0005-0000-0000-0000E93F0000}"/>
    <cellStyle name="Normal 2 2 2 2 5 19 4 2" xfId="16371" xr:uid="{00000000-0005-0000-0000-0000EA3F0000}"/>
    <cellStyle name="Normal 2 2 2 2 5 19 4 3" xfId="16372" xr:uid="{00000000-0005-0000-0000-0000EB3F0000}"/>
    <cellStyle name="Normal 2 2 2 2 5 19 4 4" xfId="16373" xr:uid="{00000000-0005-0000-0000-0000EC3F0000}"/>
    <cellStyle name="Normal 2 2 2 2 5 19 4 5" xfId="16374" xr:uid="{00000000-0005-0000-0000-0000ED3F0000}"/>
    <cellStyle name="Normal 2 2 2 2 5 19 4 6" xfId="16375" xr:uid="{00000000-0005-0000-0000-0000EE3F0000}"/>
    <cellStyle name="Normal 2 2 2 2 5 19 4 7" xfId="16376" xr:uid="{00000000-0005-0000-0000-0000EF3F0000}"/>
    <cellStyle name="Normal 2 2 2 2 5 19 4 8" xfId="16377" xr:uid="{00000000-0005-0000-0000-0000F03F0000}"/>
    <cellStyle name="Normal 2 2 2 2 5 19 4 9" xfId="16378" xr:uid="{00000000-0005-0000-0000-0000F13F0000}"/>
    <cellStyle name="Normal 2 2 2 2 5 19 5" xfId="16379" xr:uid="{00000000-0005-0000-0000-0000F23F0000}"/>
    <cellStyle name="Normal 2 2 2 2 5 19 5 10" xfId="16380" xr:uid="{00000000-0005-0000-0000-0000F33F0000}"/>
    <cellStyle name="Normal 2 2 2 2 5 19 5 2" xfId="16381" xr:uid="{00000000-0005-0000-0000-0000F43F0000}"/>
    <cellStyle name="Normal 2 2 2 2 5 19 5 3" xfId="16382" xr:uid="{00000000-0005-0000-0000-0000F53F0000}"/>
    <cellStyle name="Normal 2 2 2 2 5 19 5 4" xfId="16383" xr:uid="{00000000-0005-0000-0000-0000F63F0000}"/>
    <cellStyle name="Normal 2 2 2 2 5 19 5 5" xfId="16384" xr:uid="{00000000-0005-0000-0000-0000F73F0000}"/>
    <cellStyle name="Normal 2 2 2 2 5 19 5 6" xfId="16385" xr:uid="{00000000-0005-0000-0000-0000F83F0000}"/>
    <cellStyle name="Normal 2 2 2 2 5 19 5 7" xfId="16386" xr:uid="{00000000-0005-0000-0000-0000F93F0000}"/>
    <cellStyle name="Normal 2 2 2 2 5 19 5 8" xfId="16387" xr:uid="{00000000-0005-0000-0000-0000FA3F0000}"/>
    <cellStyle name="Normal 2 2 2 2 5 19 5 9" xfId="16388" xr:uid="{00000000-0005-0000-0000-0000FB3F0000}"/>
    <cellStyle name="Normal 2 2 2 2 5 19 6" xfId="16389" xr:uid="{00000000-0005-0000-0000-0000FC3F0000}"/>
    <cellStyle name="Normal 2 2 2 2 5 19 7" xfId="16390" xr:uid="{00000000-0005-0000-0000-0000FD3F0000}"/>
    <cellStyle name="Normal 2 2 2 2 5 19 8" xfId="16391" xr:uid="{00000000-0005-0000-0000-0000FE3F0000}"/>
    <cellStyle name="Normal 2 2 2 2 5 19 9" xfId="16392" xr:uid="{00000000-0005-0000-0000-0000FF3F0000}"/>
    <cellStyle name="Normal 2 2 2 2 5 2" xfId="16393" xr:uid="{00000000-0005-0000-0000-000000400000}"/>
    <cellStyle name="Normal 2 2 2 2 5 2 10" xfId="16394" xr:uid="{00000000-0005-0000-0000-000001400000}"/>
    <cellStyle name="Normal 2 2 2 2 5 2 11" xfId="16395" xr:uid="{00000000-0005-0000-0000-000002400000}"/>
    <cellStyle name="Normal 2 2 2 2 5 2 12" xfId="16396" xr:uid="{00000000-0005-0000-0000-000003400000}"/>
    <cellStyle name="Normal 2 2 2 2 5 2 13" xfId="16397" xr:uid="{00000000-0005-0000-0000-000004400000}"/>
    <cellStyle name="Normal 2 2 2 2 5 2 14" xfId="16398" xr:uid="{00000000-0005-0000-0000-000005400000}"/>
    <cellStyle name="Normal 2 2 2 2 5 2 15" xfId="16399" xr:uid="{00000000-0005-0000-0000-000006400000}"/>
    <cellStyle name="Normal 2 2 2 2 5 2 16" xfId="16400" xr:uid="{00000000-0005-0000-0000-000007400000}"/>
    <cellStyle name="Normal 2 2 2 2 5 2 17" xfId="16401" xr:uid="{00000000-0005-0000-0000-000008400000}"/>
    <cellStyle name="Normal 2 2 2 2 5 2 18" xfId="16402" xr:uid="{00000000-0005-0000-0000-000009400000}"/>
    <cellStyle name="Normal 2 2 2 2 5 2 19" xfId="16403" xr:uid="{00000000-0005-0000-0000-00000A400000}"/>
    <cellStyle name="Normal 2 2 2 2 5 2 2" xfId="16404" xr:uid="{00000000-0005-0000-0000-00000B400000}"/>
    <cellStyle name="Normal 2 2 2 2 5 2 20" xfId="16405" xr:uid="{00000000-0005-0000-0000-00000C400000}"/>
    <cellStyle name="Normal 2 2 2 2 5 2 21" xfId="16406" xr:uid="{00000000-0005-0000-0000-00000D400000}"/>
    <cellStyle name="Normal 2 2 2 2 5 2 21 10" xfId="16407" xr:uid="{00000000-0005-0000-0000-00000E400000}"/>
    <cellStyle name="Normal 2 2 2 2 5 2 21 2" xfId="16408" xr:uid="{00000000-0005-0000-0000-00000F400000}"/>
    <cellStyle name="Normal 2 2 2 2 5 2 21 3" xfId="16409" xr:uid="{00000000-0005-0000-0000-000010400000}"/>
    <cellStyle name="Normal 2 2 2 2 5 2 21 4" xfId="16410" xr:uid="{00000000-0005-0000-0000-000011400000}"/>
    <cellStyle name="Normal 2 2 2 2 5 2 21 5" xfId="16411" xr:uid="{00000000-0005-0000-0000-000012400000}"/>
    <cellStyle name="Normal 2 2 2 2 5 2 21 6" xfId="16412" xr:uid="{00000000-0005-0000-0000-000013400000}"/>
    <cellStyle name="Normal 2 2 2 2 5 2 21 7" xfId="16413" xr:uid="{00000000-0005-0000-0000-000014400000}"/>
    <cellStyle name="Normal 2 2 2 2 5 2 21 8" xfId="16414" xr:uid="{00000000-0005-0000-0000-000015400000}"/>
    <cellStyle name="Normal 2 2 2 2 5 2 21 9" xfId="16415" xr:uid="{00000000-0005-0000-0000-000016400000}"/>
    <cellStyle name="Normal 2 2 2 2 5 2 22" xfId="16416" xr:uid="{00000000-0005-0000-0000-000017400000}"/>
    <cellStyle name="Normal 2 2 2 2 5 2 22 10" xfId="16417" xr:uid="{00000000-0005-0000-0000-000018400000}"/>
    <cellStyle name="Normal 2 2 2 2 5 2 22 2" xfId="16418" xr:uid="{00000000-0005-0000-0000-000019400000}"/>
    <cellStyle name="Normal 2 2 2 2 5 2 22 3" xfId="16419" xr:uid="{00000000-0005-0000-0000-00001A400000}"/>
    <cellStyle name="Normal 2 2 2 2 5 2 22 4" xfId="16420" xr:uid="{00000000-0005-0000-0000-00001B400000}"/>
    <cellStyle name="Normal 2 2 2 2 5 2 22 5" xfId="16421" xr:uid="{00000000-0005-0000-0000-00001C400000}"/>
    <cellStyle name="Normal 2 2 2 2 5 2 22 6" xfId="16422" xr:uid="{00000000-0005-0000-0000-00001D400000}"/>
    <cellStyle name="Normal 2 2 2 2 5 2 22 7" xfId="16423" xr:uid="{00000000-0005-0000-0000-00001E400000}"/>
    <cellStyle name="Normal 2 2 2 2 5 2 22 8" xfId="16424" xr:uid="{00000000-0005-0000-0000-00001F400000}"/>
    <cellStyle name="Normal 2 2 2 2 5 2 22 9" xfId="16425" xr:uid="{00000000-0005-0000-0000-000020400000}"/>
    <cellStyle name="Normal 2 2 2 2 5 2 23" xfId="16426" xr:uid="{00000000-0005-0000-0000-000021400000}"/>
    <cellStyle name="Normal 2 2 2 2 5 2 23 10" xfId="16427" xr:uid="{00000000-0005-0000-0000-000022400000}"/>
    <cellStyle name="Normal 2 2 2 2 5 2 23 2" xfId="16428" xr:uid="{00000000-0005-0000-0000-000023400000}"/>
    <cellStyle name="Normal 2 2 2 2 5 2 23 3" xfId="16429" xr:uid="{00000000-0005-0000-0000-000024400000}"/>
    <cellStyle name="Normal 2 2 2 2 5 2 23 4" xfId="16430" xr:uid="{00000000-0005-0000-0000-000025400000}"/>
    <cellStyle name="Normal 2 2 2 2 5 2 23 5" xfId="16431" xr:uid="{00000000-0005-0000-0000-000026400000}"/>
    <cellStyle name="Normal 2 2 2 2 5 2 23 6" xfId="16432" xr:uid="{00000000-0005-0000-0000-000027400000}"/>
    <cellStyle name="Normal 2 2 2 2 5 2 23 7" xfId="16433" xr:uid="{00000000-0005-0000-0000-000028400000}"/>
    <cellStyle name="Normal 2 2 2 2 5 2 23 8" xfId="16434" xr:uid="{00000000-0005-0000-0000-000029400000}"/>
    <cellStyle name="Normal 2 2 2 2 5 2 23 9" xfId="16435" xr:uid="{00000000-0005-0000-0000-00002A400000}"/>
    <cellStyle name="Normal 2 2 2 2 5 2 24" xfId="16436" xr:uid="{00000000-0005-0000-0000-00002B400000}"/>
    <cellStyle name="Normal 2 2 2 2 5 2 24 10" xfId="16437" xr:uid="{00000000-0005-0000-0000-00002C400000}"/>
    <cellStyle name="Normal 2 2 2 2 5 2 24 2" xfId="16438" xr:uid="{00000000-0005-0000-0000-00002D400000}"/>
    <cellStyle name="Normal 2 2 2 2 5 2 24 3" xfId="16439" xr:uid="{00000000-0005-0000-0000-00002E400000}"/>
    <cellStyle name="Normal 2 2 2 2 5 2 24 4" xfId="16440" xr:uid="{00000000-0005-0000-0000-00002F400000}"/>
    <cellStyle name="Normal 2 2 2 2 5 2 24 5" xfId="16441" xr:uid="{00000000-0005-0000-0000-000030400000}"/>
    <cellStyle name="Normal 2 2 2 2 5 2 24 6" xfId="16442" xr:uid="{00000000-0005-0000-0000-000031400000}"/>
    <cellStyle name="Normal 2 2 2 2 5 2 24 7" xfId="16443" xr:uid="{00000000-0005-0000-0000-000032400000}"/>
    <cellStyle name="Normal 2 2 2 2 5 2 24 8" xfId="16444" xr:uid="{00000000-0005-0000-0000-000033400000}"/>
    <cellStyle name="Normal 2 2 2 2 5 2 24 9" xfId="16445" xr:uid="{00000000-0005-0000-0000-000034400000}"/>
    <cellStyle name="Normal 2 2 2 2 5 2 25" xfId="16446" xr:uid="{00000000-0005-0000-0000-000035400000}"/>
    <cellStyle name="Normal 2 2 2 2 5 2 26" xfId="16447" xr:uid="{00000000-0005-0000-0000-000036400000}"/>
    <cellStyle name="Normal 2 2 2 2 5 2 27" xfId="16448" xr:uid="{00000000-0005-0000-0000-000037400000}"/>
    <cellStyle name="Normal 2 2 2 2 5 2 28" xfId="16449" xr:uid="{00000000-0005-0000-0000-000038400000}"/>
    <cellStyle name="Normal 2 2 2 2 5 2 29" xfId="16450" xr:uid="{00000000-0005-0000-0000-000039400000}"/>
    <cellStyle name="Normal 2 2 2 2 5 2 3" xfId="16451" xr:uid="{00000000-0005-0000-0000-00003A400000}"/>
    <cellStyle name="Normal 2 2 2 2 5 2 30" xfId="16452" xr:uid="{00000000-0005-0000-0000-00003B400000}"/>
    <cellStyle name="Normal 2 2 2 2 5 2 31" xfId="16453" xr:uid="{00000000-0005-0000-0000-00003C400000}"/>
    <cellStyle name="Normal 2 2 2 2 5 2 32" xfId="16454" xr:uid="{00000000-0005-0000-0000-00003D400000}"/>
    <cellStyle name="Normal 2 2 2 2 5 2 33" xfId="16455" xr:uid="{00000000-0005-0000-0000-00003E400000}"/>
    <cellStyle name="Normal 2 2 2 2 5 2 4" xfId="16456" xr:uid="{00000000-0005-0000-0000-00003F400000}"/>
    <cellStyle name="Normal 2 2 2 2 5 2 5" xfId="16457" xr:uid="{00000000-0005-0000-0000-000040400000}"/>
    <cellStyle name="Normal 2 2 2 2 5 2 6" xfId="16458" xr:uid="{00000000-0005-0000-0000-000041400000}"/>
    <cellStyle name="Normal 2 2 2 2 5 2 7" xfId="16459" xr:uid="{00000000-0005-0000-0000-000042400000}"/>
    <cellStyle name="Normal 2 2 2 2 5 2 8" xfId="16460" xr:uid="{00000000-0005-0000-0000-000043400000}"/>
    <cellStyle name="Normal 2 2 2 2 5 2 9" xfId="16461" xr:uid="{00000000-0005-0000-0000-000044400000}"/>
    <cellStyle name="Normal 2 2 2 2 5 20" xfId="16462" xr:uid="{00000000-0005-0000-0000-000045400000}"/>
    <cellStyle name="Normal 2 2 2 2 5 20 10" xfId="16463" xr:uid="{00000000-0005-0000-0000-000046400000}"/>
    <cellStyle name="Normal 2 2 2 2 5 20 11" xfId="16464" xr:uid="{00000000-0005-0000-0000-000047400000}"/>
    <cellStyle name="Normal 2 2 2 2 5 20 12" xfId="16465" xr:uid="{00000000-0005-0000-0000-000048400000}"/>
    <cellStyle name="Normal 2 2 2 2 5 20 13" xfId="16466" xr:uid="{00000000-0005-0000-0000-000049400000}"/>
    <cellStyle name="Normal 2 2 2 2 5 20 14" xfId="16467" xr:uid="{00000000-0005-0000-0000-00004A400000}"/>
    <cellStyle name="Normal 2 2 2 2 5 20 2" xfId="16468" xr:uid="{00000000-0005-0000-0000-00004B400000}"/>
    <cellStyle name="Normal 2 2 2 2 5 20 2 10" xfId="16469" xr:uid="{00000000-0005-0000-0000-00004C400000}"/>
    <cellStyle name="Normal 2 2 2 2 5 20 2 2" xfId="16470" xr:uid="{00000000-0005-0000-0000-00004D400000}"/>
    <cellStyle name="Normal 2 2 2 2 5 20 2 3" xfId="16471" xr:uid="{00000000-0005-0000-0000-00004E400000}"/>
    <cellStyle name="Normal 2 2 2 2 5 20 2 4" xfId="16472" xr:uid="{00000000-0005-0000-0000-00004F400000}"/>
    <cellStyle name="Normal 2 2 2 2 5 20 2 5" xfId="16473" xr:uid="{00000000-0005-0000-0000-000050400000}"/>
    <cellStyle name="Normal 2 2 2 2 5 20 2 6" xfId="16474" xr:uid="{00000000-0005-0000-0000-000051400000}"/>
    <cellStyle name="Normal 2 2 2 2 5 20 2 7" xfId="16475" xr:uid="{00000000-0005-0000-0000-000052400000}"/>
    <cellStyle name="Normal 2 2 2 2 5 20 2 8" xfId="16476" xr:uid="{00000000-0005-0000-0000-000053400000}"/>
    <cellStyle name="Normal 2 2 2 2 5 20 2 9" xfId="16477" xr:uid="{00000000-0005-0000-0000-000054400000}"/>
    <cellStyle name="Normal 2 2 2 2 5 20 3" xfId="16478" xr:uid="{00000000-0005-0000-0000-000055400000}"/>
    <cellStyle name="Normal 2 2 2 2 5 20 3 10" xfId="16479" xr:uid="{00000000-0005-0000-0000-000056400000}"/>
    <cellStyle name="Normal 2 2 2 2 5 20 3 2" xfId="16480" xr:uid="{00000000-0005-0000-0000-000057400000}"/>
    <cellStyle name="Normal 2 2 2 2 5 20 3 3" xfId="16481" xr:uid="{00000000-0005-0000-0000-000058400000}"/>
    <cellStyle name="Normal 2 2 2 2 5 20 3 4" xfId="16482" xr:uid="{00000000-0005-0000-0000-000059400000}"/>
    <cellStyle name="Normal 2 2 2 2 5 20 3 5" xfId="16483" xr:uid="{00000000-0005-0000-0000-00005A400000}"/>
    <cellStyle name="Normal 2 2 2 2 5 20 3 6" xfId="16484" xr:uid="{00000000-0005-0000-0000-00005B400000}"/>
    <cellStyle name="Normal 2 2 2 2 5 20 3 7" xfId="16485" xr:uid="{00000000-0005-0000-0000-00005C400000}"/>
    <cellStyle name="Normal 2 2 2 2 5 20 3 8" xfId="16486" xr:uid="{00000000-0005-0000-0000-00005D400000}"/>
    <cellStyle name="Normal 2 2 2 2 5 20 3 9" xfId="16487" xr:uid="{00000000-0005-0000-0000-00005E400000}"/>
    <cellStyle name="Normal 2 2 2 2 5 20 4" xfId="16488" xr:uid="{00000000-0005-0000-0000-00005F400000}"/>
    <cellStyle name="Normal 2 2 2 2 5 20 4 10" xfId="16489" xr:uid="{00000000-0005-0000-0000-000060400000}"/>
    <cellStyle name="Normal 2 2 2 2 5 20 4 2" xfId="16490" xr:uid="{00000000-0005-0000-0000-000061400000}"/>
    <cellStyle name="Normal 2 2 2 2 5 20 4 3" xfId="16491" xr:uid="{00000000-0005-0000-0000-000062400000}"/>
    <cellStyle name="Normal 2 2 2 2 5 20 4 4" xfId="16492" xr:uid="{00000000-0005-0000-0000-000063400000}"/>
    <cellStyle name="Normal 2 2 2 2 5 20 4 5" xfId="16493" xr:uid="{00000000-0005-0000-0000-000064400000}"/>
    <cellStyle name="Normal 2 2 2 2 5 20 4 6" xfId="16494" xr:uid="{00000000-0005-0000-0000-000065400000}"/>
    <cellStyle name="Normal 2 2 2 2 5 20 4 7" xfId="16495" xr:uid="{00000000-0005-0000-0000-000066400000}"/>
    <cellStyle name="Normal 2 2 2 2 5 20 4 8" xfId="16496" xr:uid="{00000000-0005-0000-0000-000067400000}"/>
    <cellStyle name="Normal 2 2 2 2 5 20 4 9" xfId="16497" xr:uid="{00000000-0005-0000-0000-000068400000}"/>
    <cellStyle name="Normal 2 2 2 2 5 20 5" xfId="16498" xr:uid="{00000000-0005-0000-0000-000069400000}"/>
    <cellStyle name="Normal 2 2 2 2 5 20 5 10" xfId="16499" xr:uid="{00000000-0005-0000-0000-00006A400000}"/>
    <cellStyle name="Normal 2 2 2 2 5 20 5 2" xfId="16500" xr:uid="{00000000-0005-0000-0000-00006B400000}"/>
    <cellStyle name="Normal 2 2 2 2 5 20 5 3" xfId="16501" xr:uid="{00000000-0005-0000-0000-00006C400000}"/>
    <cellStyle name="Normal 2 2 2 2 5 20 5 4" xfId="16502" xr:uid="{00000000-0005-0000-0000-00006D400000}"/>
    <cellStyle name="Normal 2 2 2 2 5 20 5 5" xfId="16503" xr:uid="{00000000-0005-0000-0000-00006E400000}"/>
    <cellStyle name="Normal 2 2 2 2 5 20 5 6" xfId="16504" xr:uid="{00000000-0005-0000-0000-00006F400000}"/>
    <cellStyle name="Normal 2 2 2 2 5 20 5 7" xfId="16505" xr:uid="{00000000-0005-0000-0000-000070400000}"/>
    <cellStyle name="Normal 2 2 2 2 5 20 5 8" xfId="16506" xr:uid="{00000000-0005-0000-0000-000071400000}"/>
    <cellStyle name="Normal 2 2 2 2 5 20 5 9" xfId="16507" xr:uid="{00000000-0005-0000-0000-000072400000}"/>
    <cellStyle name="Normal 2 2 2 2 5 20 6" xfId="16508" xr:uid="{00000000-0005-0000-0000-000073400000}"/>
    <cellStyle name="Normal 2 2 2 2 5 20 7" xfId="16509" xr:uid="{00000000-0005-0000-0000-000074400000}"/>
    <cellStyle name="Normal 2 2 2 2 5 20 8" xfId="16510" xr:uid="{00000000-0005-0000-0000-000075400000}"/>
    <cellStyle name="Normal 2 2 2 2 5 20 9" xfId="16511" xr:uid="{00000000-0005-0000-0000-000076400000}"/>
    <cellStyle name="Normal 2 2 2 2 5 21" xfId="16512" xr:uid="{00000000-0005-0000-0000-000077400000}"/>
    <cellStyle name="Normal 2 2 2 2 5 22" xfId="16513" xr:uid="{00000000-0005-0000-0000-000078400000}"/>
    <cellStyle name="Normal 2 2 2 2 5 3" xfId="16514" xr:uid="{00000000-0005-0000-0000-000079400000}"/>
    <cellStyle name="Normal 2 2 2 2 5 3 10" xfId="16515" xr:uid="{00000000-0005-0000-0000-00007A400000}"/>
    <cellStyle name="Normal 2 2 2 2 5 3 11" xfId="16516" xr:uid="{00000000-0005-0000-0000-00007B400000}"/>
    <cellStyle name="Normal 2 2 2 2 5 3 12" xfId="16517" xr:uid="{00000000-0005-0000-0000-00007C400000}"/>
    <cellStyle name="Normal 2 2 2 2 5 3 13" xfId="16518" xr:uid="{00000000-0005-0000-0000-00007D400000}"/>
    <cellStyle name="Normal 2 2 2 2 5 3 14" xfId="16519" xr:uid="{00000000-0005-0000-0000-00007E400000}"/>
    <cellStyle name="Normal 2 2 2 2 5 3 2" xfId="16520" xr:uid="{00000000-0005-0000-0000-00007F400000}"/>
    <cellStyle name="Normal 2 2 2 2 5 3 2 10" xfId="16521" xr:uid="{00000000-0005-0000-0000-000080400000}"/>
    <cellStyle name="Normal 2 2 2 2 5 3 2 2" xfId="16522" xr:uid="{00000000-0005-0000-0000-000081400000}"/>
    <cellStyle name="Normal 2 2 2 2 5 3 2 3" xfId="16523" xr:uid="{00000000-0005-0000-0000-000082400000}"/>
    <cellStyle name="Normal 2 2 2 2 5 3 2 4" xfId="16524" xr:uid="{00000000-0005-0000-0000-000083400000}"/>
    <cellStyle name="Normal 2 2 2 2 5 3 2 5" xfId="16525" xr:uid="{00000000-0005-0000-0000-000084400000}"/>
    <cellStyle name="Normal 2 2 2 2 5 3 2 6" xfId="16526" xr:uid="{00000000-0005-0000-0000-000085400000}"/>
    <cellStyle name="Normal 2 2 2 2 5 3 2 7" xfId="16527" xr:uid="{00000000-0005-0000-0000-000086400000}"/>
    <cellStyle name="Normal 2 2 2 2 5 3 2 8" xfId="16528" xr:uid="{00000000-0005-0000-0000-000087400000}"/>
    <cellStyle name="Normal 2 2 2 2 5 3 2 9" xfId="16529" xr:uid="{00000000-0005-0000-0000-000088400000}"/>
    <cellStyle name="Normal 2 2 2 2 5 3 3" xfId="16530" xr:uid="{00000000-0005-0000-0000-000089400000}"/>
    <cellStyle name="Normal 2 2 2 2 5 3 3 10" xfId="16531" xr:uid="{00000000-0005-0000-0000-00008A400000}"/>
    <cellStyle name="Normal 2 2 2 2 5 3 3 2" xfId="16532" xr:uid="{00000000-0005-0000-0000-00008B400000}"/>
    <cellStyle name="Normal 2 2 2 2 5 3 3 3" xfId="16533" xr:uid="{00000000-0005-0000-0000-00008C400000}"/>
    <cellStyle name="Normal 2 2 2 2 5 3 3 4" xfId="16534" xr:uid="{00000000-0005-0000-0000-00008D400000}"/>
    <cellStyle name="Normal 2 2 2 2 5 3 3 5" xfId="16535" xr:uid="{00000000-0005-0000-0000-00008E400000}"/>
    <cellStyle name="Normal 2 2 2 2 5 3 3 6" xfId="16536" xr:uid="{00000000-0005-0000-0000-00008F400000}"/>
    <cellStyle name="Normal 2 2 2 2 5 3 3 7" xfId="16537" xr:uid="{00000000-0005-0000-0000-000090400000}"/>
    <cellStyle name="Normal 2 2 2 2 5 3 3 8" xfId="16538" xr:uid="{00000000-0005-0000-0000-000091400000}"/>
    <cellStyle name="Normal 2 2 2 2 5 3 3 9" xfId="16539" xr:uid="{00000000-0005-0000-0000-000092400000}"/>
    <cellStyle name="Normal 2 2 2 2 5 3 4" xfId="16540" xr:uid="{00000000-0005-0000-0000-000093400000}"/>
    <cellStyle name="Normal 2 2 2 2 5 3 4 10" xfId="16541" xr:uid="{00000000-0005-0000-0000-000094400000}"/>
    <cellStyle name="Normal 2 2 2 2 5 3 4 2" xfId="16542" xr:uid="{00000000-0005-0000-0000-000095400000}"/>
    <cellStyle name="Normal 2 2 2 2 5 3 4 3" xfId="16543" xr:uid="{00000000-0005-0000-0000-000096400000}"/>
    <cellStyle name="Normal 2 2 2 2 5 3 4 4" xfId="16544" xr:uid="{00000000-0005-0000-0000-000097400000}"/>
    <cellStyle name="Normal 2 2 2 2 5 3 4 5" xfId="16545" xr:uid="{00000000-0005-0000-0000-000098400000}"/>
    <cellStyle name="Normal 2 2 2 2 5 3 4 6" xfId="16546" xr:uid="{00000000-0005-0000-0000-000099400000}"/>
    <cellStyle name="Normal 2 2 2 2 5 3 4 7" xfId="16547" xr:uid="{00000000-0005-0000-0000-00009A400000}"/>
    <cellStyle name="Normal 2 2 2 2 5 3 4 8" xfId="16548" xr:uid="{00000000-0005-0000-0000-00009B400000}"/>
    <cellStyle name="Normal 2 2 2 2 5 3 4 9" xfId="16549" xr:uid="{00000000-0005-0000-0000-00009C400000}"/>
    <cellStyle name="Normal 2 2 2 2 5 3 5" xfId="16550" xr:uid="{00000000-0005-0000-0000-00009D400000}"/>
    <cellStyle name="Normal 2 2 2 2 5 3 5 10" xfId="16551" xr:uid="{00000000-0005-0000-0000-00009E400000}"/>
    <cellStyle name="Normal 2 2 2 2 5 3 5 2" xfId="16552" xr:uid="{00000000-0005-0000-0000-00009F400000}"/>
    <cellStyle name="Normal 2 2 2 2 5 3 5 3" xfId="16553" xr:uid="{00000000-0005-0000-0000-0000A0400000}"/>
    <cellStyle name="Normal 2 2 2 2 5 3 5 4" xfId="16554" xr:uid="{00000000-0005-0000-0000-0000A1400000}"/>
    <cellStyle name="Normal 2 2 2 2 5 3 5 5" xfId="16555" xr:uid="{00000000-0005-0000-0000-0000A2400000}"/>
    <cellStyle name="Normal 2 2 2 2 5 3 5 6" xfId="16556" xr:uid="{00000000-0005-0000-0000-0000A3400000}"/>
    <cellStyle name="Normal 2 2 2 2 5 3 5 7" xfId="16557" xr:uid="{00000000-0005-0000-0000-0000A4400000}"/>
    <cellStyle name="Normal 2 2 2 2 5 3 5 8" xfId="16558" xr:uid="{00000000-0005-0000-0000-0000A5400000}"/>
    <cellStyle name="Normal 2 2 2 2 5 3 5 9" xfId="16559" xr:uid="{00000000-0005-0000-0000-0000A6400000}"/>
    <cellStyle name="Normal 2 2 2 2 5 3 6" xfId="16560" xr:uid="{00000000-0005-0000-0000-0000A7400000}"/>
    <cellStyle name="Normal 2 2 2 2 5 3 7" xfId="16561" xr:uid="{00000000-0005-0000-0000-0000A8400000}"/>
    <cellStyle name="Normal 2 2 2 2 5 3 8" xfId="16562" xr:uid="{00000000-0005-0000-0000-0000A9400000}"/>
    <cellStyle name="Normal 2 2 2 2 5 3 9" xfId="16563" xr:uid="{00000000-0005-0000-0000-0000AA400000}"/>
    <cellStyle name="Normal 2 2 2 2 5 4" xfId="16564" xr:uid="{00000000-0005-0000-0000-0000AB400000}"/>
    <cellStyle name="Normal 2 2 2 2 5 4 10" xfId="16565" xr:uid="{00000000-0005-0000-0000-0000AC400000}"/>
    <cellStyle name="Normal 2 2 2 2 5 4 11" xfId="16566" xr:uid="{00000000-0005-0000-0000-0000AD400000}"/>
    <cellStyle name="Normal 2 2 2 2 5 4 12" xfId="16567" xr:uid="{00000000-0005-0000-0000-0000AE400000}"/>
    <cellStyle name="Normal 2 2 2 2 5 4 13" xfId="16568" xr:uid="{00000000-0005-0000-0000-0000AF400000}"/>
    <cellStyle name="Normal 2 2 2 2 5 4 14" xfId="16569" xr:uid="{00000000-0005-0000-0000-0000B0400000}"/>
    <cellStyle name="Normal 2 2 2 2 5 4 2" xfId="16570" xr:uid="{00000000-0005-0000-0000-0000B1400000}"/>
    <cellStyle name="Normal 2 2 2 2 5 4 2 10" xfId="16571" xr:uid="{00000000-0005-0000-0000-0000B2400000}"/>
    <cellStyle name="Normal 2 2 2 2 5 4 2 2" xfId="16572" xr:uid="{00000000-0005-0000-0000-0000B3400000}"/>
    <cellStyle name="Normal 2 2 2 2 5 4 2 3" xfId="16573" xr:uid="{00000000-0005-0000-0000-0000B4400000}"/>
    <cellStyle name="Normal 2 2 2 2 5 4 2 4" xfId="16574" xr:uid="{00000000-0005-0000-0000-0000B5400000}"/>
    <cellStyle name="Normal 2 2 2 2 5 4 2 5" xfId="16575" xr:uid="{00000000-0005-0000-0000-0000B6400000}"/>
    <cellStyle name="Normal 2 2 2 2 5 4 2 6" xfId="16576" xr:uid="{00000000-0005-0000-0000-0000B7400000}"/>
    <cellStyle name="Normal 2 2 2 2 5 4 2 7" xfId="16577" xr:uid="{00000000-0005-0000-0000-0000B8400000}"/>
    <cellStyle name="Normal 2 2 2 2 5 4 2 8" xfId="16578" xr:uid="{00000000-0005-0000-0000-0000B9400000}"/>
    <cellStyle name="Normal 2 2 2 2 5 4 2 9" xfId="16579" xr:uid="{00000000-0005-0000-0000-0000BA400000}"/>
    <cellStyle name="Normal 2 2 2 2 5 4 3" xfId="16580" xr:uid="{00000000-0005-0000-0000-0000BB400000}"/>
    <cellStyle name="Normal 2 2 2 2 5 4 3 10" xfId="16581" xr:uid="{00000000-0005-0000-0000-0000BC400000}"/>
    <cellStyle name="Normal 2 2 2 2 5 4 3 2" xfId="16582" xr:uid="{00000000-0005-0000-0000-0000BD400000}"/>
    <cellStyle name="Normal 2 2 2 2 5 4 3 3" xfId="16583" xr:uid="{00000000-0005-0000-0000-0000BE400000}"/>
    <cellStyle name="Normal 2 2 2 2 5 4 3 4" xfId="16584" xr:uid="{00000000-0005-0000-0000-0000BF400000}"/>
    <cellStyle name="Normal 2 2 2 2 5 4 3 5" xfId="16585" xr:uid="{00000000-0005-0000-0000-0000C0400000}"/>
    <cellStyle name="Normal 2 2 2 2 5 4 3 6" xfId="16586" xr:uid="{00000000-0005-0000-0000-0000C1400000}"/>
    <cellStyle name="Normal 2 2 2 2 5 4 3 7" xfId="16587" xr:uid="{00000000-0005-0000-0000-0000C2400000}"/>
    <cellStyle name="Normal 2 2 2 2 5 4 3 8" xfId="16588" xr:uid="{00000000-0005-0000-0000-0000C3400000}"/>
    <cellStyle name="Normal 2 2 2 2 5 4 3 9" xfId="16589" xr:uid="{00000000-0005-0000-0000-0000C4400000}"/>
    <cellStyle name="Normal 2 2 2 2 5 4 4" xfId="16590" xr:uid="{00000000-0005-0000-0000-0000C5400000}"/>
    <cellStyle name="Normal 2 2 2 2 5 4 4 10" xfId="16591" xr:uid="{00000000-0005-0000-0000-0000C6400000}"/>
    <cellStyle name="Normal 2 2 2 2 5 4 4 2" xfId="16592" xr:uid="{00000000-0005-0000-0000-0000C7400000}"/>
    <cellStyle name="Normal 2 2 2 2 5 4 4 3" xfId="16593" xr:uid="{00000000-0005-0000-0000-0000C8400000}"/>
    <cellStyle name="Normal 2 2 2 2 5 4 4 4" xfId="16594" xr:uid="{00000000-0005-0000-0000-0000C9400000}"/>
    <cellStyle name="Normal 2 2 2 2 5 4 4 5" xfId="16595" xr:uid="{00000000-0005-0000-0000-0000CA400000}"/>
    <cellStyle name="Normal 2 2 2 2 5 4 4 6" xfId="16596" xr:uid="{00000000-0005-0000-0000-0000CB400000}"/>
    <cellStyle name="Normal 2 2 2 2 5 4 4 7" xfId="16597" xr:uid="{00000000-0005-0000-0000-0000CC400000}"/>
    <cellStyle name="Normal 2 2 2 2 5 4 4 8" xfId="16598" xr:uid="{00000000-0005-0000-0000-0000CD400000}"/>
    <cellStyle name="Normal 2 2 2 2 5 4 4 9" xfId="16599" xr:uid="{00000000-0005-0000-0000-0000CE400000}"/>
    <cellStyle name="Normal 2 2 2 2 5 4 5" xfId="16600" xr:uid="{00000000-0005-0000-0000-0000CF400000}"/>
    <cellStyle name="Normal 2 2 2 2 5 4 5 10" xfId="16601" xr:uid="{00000000-0005-0000-0000-0000D0400000}"/>
    <cellStyle name="Normal 2 2 2 2 5 4 5 2" xfId="16602" xr:uid="{00000000-0005-0000-0000-0000D1400000}"/>
    <cellStyle name="Normal 2 2 2 2 5 4 5 3" xfId="16603" xr:uid="{00000000-0005-0000-0000-0000D2400000}"/>
    <cellStyle name="Normal 2 2 2 2 5 4 5 4" xfId="16604" xr:uid="{00000000-0005-0000-0000-0000D3400000}"/>
    <cellStyle name="Normal 2 2 2 2 5 4 5 5" xfId="16605" xr:uid="{00000000-0005-0000-0000-0000D4400000}"/>
    <cellStyle name="Normal 2 2 2 2 5 4 5 6" xfId="16606" xr:uid="{00000000-0005-0000-0000-0000D5400000}"/>
    <cellStyle name="Normal 2 2 2 2 5 4 5 7" xfId="16607" xr:uid="{00000000-0005-0000-0000-0000D6400000}"/>
    <cellStyle name="Normal 2 2 2 2 5 4 5 8" xfId="16608" xr:uid="{00000000-0005-0000-0000-0000D7400000}"/>
    <cellStyle name="Normal 2 2 2 2 5 4 5 9" xfId="16609" xr:uid="{00000000-0005-0000-0000-0000D8400000}"/>
    <cellStyle name="Normal 2 2 2 2 5 4 6" xfId="16610" xr:uid="{00000000-0005-0000-0000-0000D9400000}"/>
    <cellStyle name="Normal 2 2 2 2 5 4 7" xfId="16611" xr:uid="{00000000-0005-0000-0000-0000DA400000}"/>
    <cellStyle name="Normal 2 2 2 2 5 4 8" xfId="16612" xr:uid="{00000000-0005-0000-0000-0000DB400000}"/>
    <cellStyle name="Normal 2 2 2 2 5 4 9" xfId="16613" xr:uid="{00000000-0005-0000-0000-0000DC400000}"/>
    <cellStyle name="Normal 2 2 2 2 5 5" xfId="16614" xr:uid="{00000000-0005-0000-0000-0000DD400000}"/>
    <cellStyle name="Normal 2 2 2 2 5 5 10" xfId="16615" xr:uid="{00000000-0005-0000-0000-0000DE400000}"/>
    <cellStyle name="Normal 2 2 2 2 5 5 11" xfId="16616" xr:uid="{00000000-0005-0000-0000-0000DF400000}"/>
    <cellStyle name="Normal 2 2 2 2 5 5 12" xfId="16617" xr:uid="{00000000-0005-0000-0000-0000E0400000}"/>
    <cellStyle name="Normal 2 2 2 2 5 5 13" xfId="16618" xr:uid="{00000000-0005-0000-0000-0000E1400000}"/>
    <cellStyle name="Normal 2 2 2 2 5 5 14" xfId="16619" xr:uid="{00000000-0005-0000-0000-0000E2400000}"/>
    <cellStyle name="Normal 2 2 2 2 5 5 2" xfId="16620" xr:uid="{00000000-0005-0000-0000-0000E3400000}"/>
    <cellStyle name="Normal 2 2 2 2 5 5 2 10" xfId="16621" xr:uid="{00000000-0005-0000-0000-0000E4400000}"/>
    <cellStyle name="Normal 2 2 2 2 5 5 2 2" xfId="16622" xr:uid="{00000000-0005-0000-0000-0000E5400000}"/>
    <cellStyle name="Normal 2 2 2 2 5 5 2 3" xfId="16623" xr:uid="{00000000-0005-0000-0000-0000E6400000}"/>
    <cellStyle name="Normal 2 2 2 2 5 5 2 4" xfId="16624" xr:uid="{00000000-0005-0000-0000-0000E7400000}"/>
    <cellStyle name="Normal 2 2 2 2 5 5 2 5" xfId="16625" xr:uid="{00000000-0005-0000-0000-0000E8400000}"/>
    <cellStyle name="Normal 2 2 2 2 5 5 2 6" xfId="16626" xr:uid="{00000000-0005-0000-0000-0000E9400000}"/>
    <cellStyle name="Normal 2 2 2 2 5 5 2 7" xfId="16627" xr:uid="{00000000-0005-0000-0000-0000EA400000}"/>
    <cellStyle name="Normal 2 2 2 2 5 5 2 8" xfId="16628" xr:uid="{00000000-0005-0000-0000-0000EB400000}"/>
    <cellStyle name="Normal 2 2 2 2 5 5 2 9" xfId="16629" xr:uid="{00000000-0005-0000-0000-0000EC400000}"/>
    <cellStyle name="Normal 2 2 2 2 5 5 3" xfId="16630" xr:uid="{00000000-0005-0000-0000-0000ED400000}"/>
    <cellStyle name="Normal 2 2 2 2 5 5 3 10" xfId="16631" xr:uid="{00000000-0005-0000-0000-0000EE400000}"/>
    <cellStyle name="Normal 2 2 2 2 5 5 3 2" xfId="16632" xr:uid="{00000000-0005-0000-0000-0000EF400000}"/>
    <cellStyle name="Normal 2 2 2 2 5 5 3 3" xfId="16633" xr:uid="{00000000-0005-0000-0000-0000F0400000}"/>
    <cellStyle name="Normal 2 2 2 2 5 5 3 4" xfId="16634" xr:uid="{00000000-0005-0000-0000-0000F1400000}"/>
    <cellStyle name="Normal 2 2 2 2 5 5 3 5" xfId="16635" xr:uid="{00000000-0005-0000-0000-0000F2400000}"/>
    <cellStyle name="Normal 2 2 2 2 5 5 3 6" xfId="16636" xr:uid="{00000000-0005-0000-0000-0000F3400000}"/>
    <cellStyle name="Normal 2 2 2 2 5 5 3 7" xfId="16637" xr:uid="{00000000-0005-0000-0000-0000F4400000}"/>
    <cellStyle name="Normal 2 2 2 2 5 5 3 8" xfId="16638" xr:uid="{00000000-0005-0000-0000-0000F5400000}"/>
    <cellStyle name="Normal 2 2 2 2 5 5 3 9" xfId="16639" xr:uid="{00000000-0005-0000-0000-0000F6400000}"/>
    <cellStyle name="Normal 2 2 2 2 5 5 4" xfId="16640" xr:uid="{00000000-0005-0000-0000-0000F7400000}"/>
    <cellStyle name="Normal 2 2 2 2 5 5 4 10" xfId="16641" xr:uid="{00000000-0005-0000-0000-0000F8400000}"/>
    <cellStyle name="Normal 2 2 2 2 5 5 4 2" xfId="16642" xr:uid="{00000000-0005-0000-0000-0000F9400000}"/>
    <cellStyle name="Normal 2 2 2 2 5 5 4 3" xfId="16643" xr:uid="{00000000-0005-0000-0000-0000FA400000}"/>
    <cellStyle name="Normal 2 2 2 2 5 5 4 4" xfId="16644" xr:uid="{00000000-0005-0000-0000-0000FB400000}"/>
    <cellStyle name="Normal 2 2 2 2 5 5 4 5" xfId="16645" xr:uid="{00000000-0005-0000-0000-0000FC400000}"/>
    <cellStyle name="Normal 2 2 2 2 5 5 4 6" xfId="16646" xr:uid="{00000000-0005-0000-0000-0000FD400000}"/>
    <cellStyle name="Normal 2 2 2 2 5 5 4 7" xfId="16647" xr:uid="{00000000-0005-0000-0000-0000FE400000}"/>
    <cellStyle name="Normal 2 2 2 2 5 5 4 8" xfId="16648" xr:uid="{00000000-0005-0000-0000-0000FF400000}"/>
    <cellStyle name="Normal 2 2 2 2 5 5 4 9" xfId="16649" xr:uid="{00000000-0005-0000-0000-000000410000}"/>
    <cellStyle name="Normal 2 2 2 2 5 5 5" xfId="16650" xr:uid="{00000000-0005-0000-0000-000001410000}"/>
    <cellStyle name="Normal 2 2 2 2 5 5 5 10" xfId="16651" xr:uid="{00000000-0005-0000-0000-000002410000}"/>
    <cellStyle name="Normal 2 2 2 2 5 5 5 2" xfId="16652" xr:uid="{00000000-0005-0000-0000-000003410000}"/>
    <cellStyle name="Normal 2 2 2 2 5 5 5 3" xfId="16653" xr:uid="{00000000-0005-0000-0000-000004410000}"/>
    <cellStyle name="Normal 2 2 2 2 5 5 5 4" xfId="16654" xr:uid="{00000000-0005-0000-0000-000005410000}"/>
    <cellStyle name="Normal 2 2 2 2 5 5 5 5" xfId="16655" xr:uid="{00000000-0005-0000-0000-000006410000}"/>
    <cellStyle name="Normal 2 2 2 2 5 5 5 6" xfId="16656" xr:uid="{00000000-0005-0000-0000-000007410000}"/>
    <cellStyle name="Normal 2 2 2 2 5 5 5 7" xfId="16657" xr:uid="{00000000-0005-0000-0000-000008410000}"/>
    <cellStyle name="Normal 2 2 2 2 5 5 5 8" xfId="16658" xr:uid="{00000000-0005-0000-0000-000009410000}"/>
    <cellStyle name="Normal 2 2 2 2 5 5 5 9" xfId="16659" xr:uid="{00000000-0005-0000-0000-00000A410000}"/>
    <cellStyle name="Normal 2 2 2 2 5 5 6" xfId="16660" xr:uid="{00000000-0005-0000-0000-00000B410000}"/>
    <cellStyle name="Normal 2 2 2 2 5 5 7" xfId="16661" xr:uid="{00000000-0005-0000-0000-00000C410000}"/>
    <cellStyle name="Normal 2 2 2 2 5 5 8" xfId="16662" xr:uid="{00000000-0005-0000-0000-00000D410000}"/>
    <cellStyle name="Normal 2 2 2 2 5 5 9" xfId="16663" xr:uid="{00000000-0005-0000-0000-00000E410000}"/>
    <cellStyle name="Normal 2 2 2 2 5 6" xfId="16664" xr:uid="{00000000-0005-0000-0000-00000F410000}"/>
    <cellStyle name="Normal 2 2 2 2 5 6 10" xfId="16665" xr:uid="{00000000-0005-0000-0000-000010410000}"/>
    <cellStyle name="Normal 2 2 2 2 5 6 11" xfId="16666" xr:uid="{00000000-0005-0000-0000-000011410000}"/>
    <cellStyle name="Normal 2 2 2 2 5 6 12" xfId="16667" xr:uid="{00000000-0005-0000-0000-000012410000}"/>
    <cellStyle name="Normal 2 2 2 2 5 6 13" xfId="16668" xr:uid="{00000000-0005-0000-0000-000013410000}"/>
    <cellStyle name="Normal 2 2 2 2 5 6 14" xfId="16669" xr:uid="{00000000-0005-0000-0000-000014410000}"/>
    <cellStyle name="Normal 2 2 2 2 5 6 2" xfId="16670" xr:uid="{00000000-0005-0000-0000-000015410000}"/>
    <cellStyle name="Normal 2 2 2 2 5 6 2 10" xfId="16671" xr:uid="{00000000-0005-0000-0000-000016410000}"/>
    <cellStyle name="Normal 2 2 2 2 5 6 2 2" xfId="16672" xr:uid="{00000000-0005-0000-0000-000017410000}"/>
    <cellStyle name="Normal 2 2 2 2 5 6 2 3" xfId="16673" xr:uid="{00000000-0005-0000-0000-000018410000}"/>
    <cellStyle name="Normal 2 2 2 2 5 6 2 4" xfId="16674" xr:uid="{00000000-0005-0000-0000-000019410000}"/>
    <cellStyle name="Normal 2 2 2 2 5 6 2 5" xfId="16675" xr:uid="{00000000-0005-0000-0000-00001A410000}"/>
    <cellStyle name="Normal 2 2 2 2 5 6 2 6" xfId="16676" xr:uid="{00000000-0005-0000-0000-00001B410000}"/>
    <cellStyle name="Normal 2 2 2 2 5 6 2 7" xfId="16677" xr:uid="{00000000-0005-0000-0000-00001C410000}"/>
    <cellStyle name="Normal 2 2 2 2 5 6 2 8" xfId="16678" xr:uid="{00000000-0005-0000-0000-00001D410000}"/>
    <cellStyle name="Normal 2 2 2 2 5 6 2 9" xfId="16679" xr:uid="{00000000-0005-0000-0000-00001E410000}"/>
    <cellStyle name="Normal 2 2 2 2 5 6 3" xfId="16680" xr:uid="{00000000-0005-0000-0000-00001F410000}"/>
    <cellStyle name="Normal 2 2 2 2 5 6 3 10" xfId="16681" xr:uid="{00000000-0005-0000-0000-000020410000}"/>
    <cellStyle name="Normal 2 2 2 2 5 6 3 2" xfId="16682" xr:uid="{00000000-0005-0000-0000-000021410000}"/>
    <cellStyle name="Normal 2 2 2 2 5 6 3 3" xfId="16683" xr:uid="{00000000-0005-0000-0000-000022410000}"/>
    <cellStyle name="Normal 2 2 2 2 5 6 3 4" xfId="16684" xr:uid="{00000000-0005-0000-0000-000023410000}"/>
    <cellStyle name="Normal 2 2 2 2 5 6 3 5" xfId="16685" xr:uid="{00000000-0005-0000-0000-000024410000}"/>
    <cellStyle name="Normal 2 2 2 2 5 6 3 6" xfId="16686" xr:uid="{00000000-0005-0000-0000-000025410000}"/>
    <cellStyle name="Normal 2 2 2 2 5 6 3 7" xfId="16687" xr:uid="{00000000-0005-0000-0000-000026410000}"/>
    <cellStyle name="Normal 2 2 2 2 5 6 3 8" xfId="16688" xr:uid="{00000000-0005-0000-0000-000027410000}"/>
    <cellStyle name="Normal 2 2 2 2 5 6 3 9" xfId="16689" xr:uid="{00000000-0005-0000-0000-000028410000}"/>
    <cellStyle name="Normal 2 2 2 2 5 6 4" xfId="16690" xr:uid="{00000000-0005-0000-0000-000029410000}"/>
    <cellStyle name="Normal 2 2 2 2 5 6 4 10" xfId="16691" xr:uid="{00000000-0005-0000-0000-00002A410000}"/>
    <cellStyle name="Normal 2 2 2 2 5 6 4 2" xfId="16692" xr:uid="{00000000-0005-0000-0000-00002B410000}"/>
    <cellStyle name="Normal 2 2 2 2 5 6 4 3" xfId="16693" xr:uid="{00000000-0005-0000-0000-00002C410000}"/>
    <cellStyle name="Normal 2 2 2 2 5 6 4 4" xfId="16694" xr:uid="{00000000-0005-0000-0000-00002D410000}"/>
    <cellStyle name="Normal 2 2 2 2 5 6 4 5" xfId="16695" xr:uid="{00000000-0005-0000-0000-00002E410000}"/>
    <cellStyle name="Normal 2 2 2 2 5 6 4 6" xfId="16696" xr:uid="{00000000-0005-0000-0000-00002F410000}"/>
    <cellStyle name="Normal 2 2 2 2 5 6 4 7" xfId="16697" xr:uid="{00000000-0005-0000-0000-000030410000}"/>
    <cellStyle name="Normal 2 2 2 2 5 6 4 8" xfId="16698" xr:uid="{00000000-0005-0000-0000-000031410000}"/>
    <cellStyle name="Normal 2 2 2 2 5 6 4 9" xfId="16699" xr:uid="{00000000-0005-0000-0000-000032410000}"/>
    <cellStyle name="Normal 2 2 2 2 5 6 5" xfId="16700" xr:uid="{00000000-0005-0000-0000-000033410000}"/>
    <cellStyle name="Normal 2 2 2 2 5 6 5 10" xfId="16701" xr:uid="{00000000-0005-0000-0000-000034410000}"/>
    <cellStyle name="Normal 2 2 2 2 5 6 5 2" xfId="16702" xr:uid="{00000000-0005-0000-0000-000035410000}"/>
    <cellStyle name="Normal 2 2 2 2 5 6 5 3" xfId="16703" xr:uid="{00000000-0005-0000-0000-000036410000}"/>
    <cellStyle name="Normal 2 2 2 2 5 6 5 4" xfId="16704" xr:uid="{00000000-0005-0000-0000-000037410000}"/>
    <cellStyle name="Normal 2 2 2 2 5 6 5 5" xfId="16705" xr:uid="{00000000-0005-0000-0000-000038410000}"/>
    <cellStyle name="Normal 2 2 2 2 5 6 5 6" xfId="16706" xr:uid="{00000000-0005-0000-0000-000039410000}"/>
    <cellStyle name="Normal 2 2 2 2 5 6 5 7" xfId="16707" xr:uid="{00000000-0005-0000-0000-00003A410000}"/>
    <cellStyle name="Normal 2 2 2 2 5 6 5 8" xfId="16708" xr:uid="{00000000-0005-0000-0000-00003B410000}"/>
    <cellStyle name="Normal 2 2 2 2 5 6 5 9" xfId="16709" xr:uid="{00000000-0005-0000-0000-00003C410000}"/>
    <cellStyle name="Normal 2 2 2 2 5 6 6" xfId="16710" xr:uid="{00000000-0005-0000-0000-00003D410000}"/>
    <cellStyle name="Normal 2 2 2 2 5 6 7" xfId="16711" xr:uid="{00000000-0005-0000-0000-00003E410000}"/>
    <cellStyle name="Normal 2 2 2 2 5 6 8" xfId="16712" xr:uid="{00000000-0005-0000-0000-00003F410000}"/>
    <cellStyle name="Normal 2 2 2 2 5 6 9" xfId="16713" xr:uid="{00000000-0005-0000-0000-000040410000}"/>
    <cellStyle name="Normal 2 2 2 2 5 7" xfId="16714" xr:uid="{00000000-0005-0000-0000-000041410000}"/>
    <cellStyle name="Normal 2 2 2 2 5 7 10" xfId="16715" xr:uid="{00000000-0005-0000-0000-000042410000}"/>
    <cellStyle name="Normal 2 2 2 2 5 7 11" xfId="16716" xr:uid="{00000000-0005-0000-0000-000043410000}"/>
    <cellStyle name="Normal 2 2 2 2 5 7 12" xfId="16717" xr:uid="{00000000-0005-0000-0000-000044410000}"/>
    <cellStyle name="Normal 2 2 2 2 5 7 13" xfId="16718" xr:uid="{00000000-0005-0000-0000-000045410000}"/>
    <cellStyle name="Normal 2 2 2 2 5 7 14" xfId="16719" xr:uid="{00000000-0005-0000-0000-000046410000}"/>
    <cellStyle name="Normal 2 2 2 2 5 7 2" xfId="16720" xr:uid="{00000000-0005-0000-0000-000047410000}"/>
    <cellStyle name="Normal 2 2 2 2 5 7 2 10" xfId="16721" xr:uid="{00000000-0005-0000-0000-000048410000}"/>
    <cellStyle name="Normal 2 2 2 2 5 7 2 2" xfId="16722" xr:uid="{00000000-0005-0000-0000-000049410000}"/>
    <cellStyle name="Normal 2 2 2 2 5 7 2 3" xfId="16723" xr:uid="{00000000-0005-0000-0000-00004A410000}"/>
    <cellStyle name="Normal 2 2 2 2 5 7 2 4" xfId="16724" xr:uid="{00000000-0005-0000-0000-00004B410000}"/>
    <cellStyle name="Normal 2 2 2 2 5 7 2 5" xfId="16725" xr:uid="{00000000-0005-0000-0000-00004C410000}"/>
    <cellStyle name="Normal 2 2 2 2 5 7 2 6" xfId="16726" xr:uid="{00000000-0005-0000-0000-00004D410000}"/>
    <cellStyle name="Normal 2 2 2 2 5 7 2 7" xfId="16727" xr:uid="{00000000-0005-0000-0000-00004E410000}"/>
    <cellStyle name="Normal 2 2 2 2 5 7 2 8" xfId="16728" xr:uid="{00000000-0005-0000-0000-00004F410000}"/>
    <cellStyle name="Normal 2 2 2 2 5 7 2 9" xfId="16729" xr:uid="{00000000-0005-0000-0000-000050410000}"/>
    <cellStyle name="Normal 2 2 2 2 5 7 3" xfId="16730" xr:uid="{00000000-0005-0000-0000-000051410000}"/>
    <cellStyle name="Normal 2 2 2 2 5 7 3 10" xfId="16731" xr:uid="{00000000-0005-0000-0000-000052410000}"/>
    <cellStyle name="Normal 2 2 2 2 5 7 3 2" xfId="16732" xr:uid="{00000000-0005-0000-0000-000053410000}"/>
    <cellStyle name="Normal 2 2 2 2 5 7 3 3" xfId="16733" xr:uid="{00000000-0005-0000-0000-000054410000}"/>
    <cellStyle name="Normal 2 2 2 2 5 7 3 4" xfId="16734" xr:uid="{00000000-0005-0000-0000-000055410000}"/>
    <cellStyle name="Normal 2 2 2 2 5 7 3 5" xfId="16735" xr:uid="{00000000-0005-0000-0000-000056410000}"/>
    <cellStyle name="Normal 2 2 2 2 5 7 3 6" xfId="16736" xr:uid="{00000000-0005-0000-0000-000057410000}"/>
    <cellStyle name="Normal 2 2 2 2 5 7 3 7" xfId="16737" xr:uid="{00000000-0005-0000-0000-000058410000}"/>
    <cellStyle name="Normal 2 2 2 2 5 7 3 8" xfId="16738" xr:uid="{00000000-0005-0000-0000-000059410000}"/>
    <cellStyle name="Normal 2 2 2 2 5 7 3 9" xfId="16739" xr:uid="{00000000-0005-0000-0000-00005A410000}"/>
    <cellStyle name="Normal 2 2 2 2 5 7 4" xfId="16740" xr:uid="{00000000-0005-0000-0000-00005B410000}"/>
    <cellStyle name="Normal 2 2 2 2 5 7 4 10" xfId="16741" xr:uid="{00000000-0005-0000-0000-00005C410000}"/>
    <cellStyle name="Normal 2 2 2 2 5 7 4 2" xfId="16742" xr:uid="{00000000-0005-0000-0000-00005D410000}"/>
    <cellStyle name="Normal 2 2 2 2 5 7 4 3" xfId="16743" xr:uid="{00000000-0005-0000-0000-00005E410000}"/>
    <cellStyle name="Normal 2 2 2 2 5 7 4 4" xfId="16744" xr:uid="{00000000-0005-0000-0000-00005F410000}"/>
    <cellStyle name="Normal 2 2 2 2 5 7 4 5" xfId="16745" xr:uid="{00000000-0005-0000-0000-000060410000}"/>
    <cellStyle name="Normal 2 2 2 2 5 7 4 6" xfId="16746" xr:uid="{00000000-0005-0000-0000-000061410000}"/>
    <cellStyle name="Normal 2 2 2 2 5 7 4 7" xfId="16747" xr:uid="{00000000-0005-0000-0000-000062410000}"/>
    <cellStyle name="Normal 2 2 2 2 5 7 4 8" xfId="16748" xr:uid="{00000000-0005-0000-0000-000063410000}"/>
    <cellStyle name="Normal 2 2 2 2 5 7 4 9" xfId="16749" xr:uid="{00000000-0005-0000-0000-000064410000}"/>
    <cellStyle name="Normal 2 2 2 2 5 7 5" xfId="16750" xr:uid="{00000000-0005-0000-0000-000065410000}"/>
    <cellStyle name="Normal 2 2 2 2 5 7 5 10" xfId="16751" xr:uid="{00000000-0005-0000-0000-000066410000}"/>
    <cellStyle name="Normal 2 2 2 2 5 7 5 2" xfId="16752" xr:uid="{00000000-0005-0000-0000-000067410000}"/>
    <cellStyle name="Normal 2 2 2 2 5 7 5 3" xfId="16753" xr:uid="{00000000-0005-0000-0000-000068410000}"/>
    <cellStyle name="Normal 2 2 2 2 5 7 5 4" xfId="16754" xr:uid="{00000000-0005-0000-0000-000069410000}"/>
    <cellStyle name="Normal 2 2 2 2 5 7 5 5" xfId="16755" xr:uid="{00000000-0005-0000-0000-00006A410000}"/>
    <cellStyle name="Normal 2 2 2 2 5 7 5 6" xfId="16756" xr:uid="{00000000-0005-0000-0000-00006B410000}"/>
    <cellStyle name="Normal 2 2 2 2 5 7 5 7" xfId="16757" xr:uid="{00000000-0005-0000-0000-00006C410000}"/>
    <cellStyle name="Normal 2 2 2 2 5 7 5 8" xfId="16758" xr:uid="{00000000-0005-0000-0000-00006D410000}"/>
    <cellStyle name="Normal 2 2 2 2 5 7 5 9" xfId="16759" xr:uid="{00000000-0005-0000-0000-00006E410000}"/>
    <cellStyle name="Normal 2 2 2 2 5 7 6" xfId="16760" xr:uid="{00000000-0005-0000-0000-00006F410000}"/>
    <cellStyle name="Normal 2 2 2 2 5 7 7" xfId="16761" xr:uid="{00000000-0005-0000-0000-000070410000}"/>
    <cellStyle name="Normal 2 2 2 2 5 7 8" xfId="16762" xr:uid="{00000000-0005-0000-0000-000071410000}"/>
    <cellStyle name="Normal 2 2 2 2 5 7 9" xfId="16763" xr:uid="{00000000-0005-0000-0000-000072410000}"/>
    <cellStyle name="Normal 2 2 2 2 5 8" xfId="16764" xr:uid="{00000000-0005-0000-0000-000073410000}"/>
    <cellStyle name="Normal 2 2 2 2 5 8 10" xfId="16765" xr:uid="{00000000-0005-0000-0000-000074410000}"/>
    <cellStyle name="Normal 2 2 2 2 5 8 11" xfId="16766" xr:uid="{00000000-0005-0000-0000-000075410000}"/>
    <cellStyle name="Normal 2 2 2 2 5 8 12" xfId="16767" xr:uid="{00000000-0005-0000-0000-000076410000}"/>
    <cellStyle name="Normal 2 2 2 2 5 8 13" xfId="16768" xr:uid="{00000000-0005-0000-0000-000077410000}"/>
    <cellStyle name="Normal 2 2 2 2 5 8 14" xfId="16769" xr:uid="{00000000-0005-0000-0000-000078410000}"/>
    <cellStyle name="Normal 2 2 2 2 5 8 2" xfId="16770" xr:uid="{00000000-0005-0000-0000-000079410000}"/>
    <cellStyle name="Normal 2 2 2 2 5 8 2 10" xfId="16771" xr:uid="{00000000-0005-0000-0000-00007A410000}"/>
    <cellStyle name="Normal 2 2 2 2 5 8 2 2" xfId="16772" xr:uid="{00000000-0005-0000-0000-00007B410000}"/>
    <cellStyle name="Normal 2 2 2 2 5 8 2 3" xfId="16773" xr:uid="{00000000-0005-0000-0000-00007C410000}"/>
    <cellStyle name="Normal 2 2 2 2 5 8 2 4" xfId="16774" xr:uid="{00000000-0005-0000-0000-00007D410000}"/>
    <cellStyle name="Normal 2 2 2 2 5 8 2 5" xfId="16775" xr:uid="{00000000-0005-0000-0000-00007E410000}"/>
    <cellStyle name="Normal 2 2 2 2 5 8 2 6" xfId="16776" xr:uid="{00000000-0005-0000-0000-00007F410000}"/>
    <cellStyle name="Normal 2 2 2 2 5 8 2 7" xfId="16777" xr:uid="{00000000-0005-0000-0000-000080410000}"/>
    <cellStyle name="Normal 2 2 2 2 5 8 2 8" xfId="16778" xr:uid="{00000000-0005-0000-0000-000081410000}"/>
    <cellStyle name="Normal 2 2 2 2 5 8 2 9" xfId="16779" xr:uid="{00000000-0005-0000-0000-000082410000}"/>
    <cellStyle name="Normal 2 2 2 2 5 8 3" xfId="16780" xr:uid="{00000000-0005-0000-0000-000083410000}"/>
    <cellStyle name="Normal 2 2 2 2 5 8 3 10" xfId="16781" xr:uid="{00000000-0005-0000-0000-000084410000}"/>
    <cellStyle name="Normal 2 2 2 2 5 8 3 2" xfId="16782" xr:uid="{00000000-0005-0000-0000-000085410000}"/>
    <cellStyle name="Normal 2 2 2 2 5 8 3 3" xfId="16783" xr:uid="{00000000-0005-0000-0000-000086410000}"/>
    <cellStyle name="Normal 2 2 2 2 5 8 3 4" xfId="16784" xr:uid="{00000000-0005-0000-0000-000087410000}"/>
    <cellStyle name="Normal 2 2 2 2 5 8 3 5" xfId="16785" xr:uid="{00000000-0005-0000-0000-000088410000}"/>
    <cellStyle name="Normal 2 2 2 2 5 8 3 6" xfId="16786" xr:uid="{00000000-0005-0000-0000-000089410000}"/>
    <cellStyle name="Normal 2 2 2 2 5 8 3 7" xfId="16787" xr:uid="{00000000-0005-0000-0000-00008A410000}"/>
    <cellStyle name="Normal 2 2 2 2 5 8 3 8" xfId="16788" xr:uid="{00000000-0005-0000-0000-00008B410000}"/>
    <cellStyle name="Normal 2 2 2 2 5 8 3 9" xfId="16789" xr:uid="{00000000-0005-0000-0000-00008C410000}"/>
    <cellStyle name="Normal 2 2 2 2 5 8 4" xfId="16790" xr:uid="{00000000-0005-0000-0000-00008D410000}"/>
    <cellStyle name="Normal 2 2 2 2 5 8 4 10" xfId="16791" xr:uid="{00000000-0005-0000-0000-00008E410000}"/>
    <cellStyle name="Normal 2 2 2 2 5 8 4 2" xfId="16792" xr:uid="{00000000-0005-0000-0000-00008F410000}"/>
    <cellStyle name="Normal 2 2 2 2 5 8 4 3" xfId="16793" xr:uid="{00000000-0005-0000-0000-000090410000}"/>
    <cellStyle name="Normal 2 2 2 2 5 8 4 4" xfId="16794" xr:uid="{00000000-0005-0000-0000-000091410000}"/>
    <cellStyle name="Normal 2 2 2 2 5 8 4 5" xfId="16795" xr:uid="{00000000-0005-0000-0000-000092410000}"/>
    <cellStyle name="Normal 2 2 2 2 5 8 4 6" xfId="16796" xr:uid="{00000000-0005-0000-0000-000093410000}"/>
    <cellStyle name="Normal 2 2 2 2 5 8 4 7" xfId="16797" xr:uid="{00000000-0005-0000-0000-000094410000}"/>
    <cellStyle name="Normal 2 2 2 2 5 8 4 8" xfId="16798" xr:uid="{00000000-0005-0000-0000-000095410000}"/>
    <cellStyle name="Normal 2 2 2 2 5 8 4 9" xfId="16799" xr:uid="{00000000-0005-0000-0000-000096410000}"/>
    <cellStyle name="Normal 2 2 2 2 5 8 5" xfId="16800" xr:uid="{00000000-0005-0000-0000-000097410000}"/>
    <cellStyle name="Normal 2 2 2 2 5 8 5 10" xfId="16801" xr:uid="{00000000-0005-0000-0000-000098410000}"/>
    <cellStyle name="Normal 2 2 2 2 5 8 5 2" xfId="16802" xr:uid="{00000000-0005-0000-0000-000099410000}"/>
    <cellStyle name="Normal 2 2 2 2 5 8 5 3" xfId="16803" xr:uid="{00000000-0005-0000-0000-00009A410000}"/>
    <cellStyle name="Normal 2 2 2 2 5 8 5 4" xfId="16804" xr:uid="{00000000-0005-0000-0000-00009B410000}"/>
    <cellStyle name="Normal 2 2 2 2 5 8 5 5" xfId="16805" xr:uid="{00000000-0005-0000-0000-00009C410000}"/>
    <cellStyle name="Normal 2 2 2 2 5 8 5 6" xfId="16806" xr:uid="{00000000-0005-0000-0000-00009D410000}"/>
    <cellStyle name="Normal 2 2 2 2 5 8 5 7" xfId="16807" xr:uid="{00000000-0005-0000-0000-00009E410000}"/>
    <cellStyle name="Normal 2 2 2 2 5 8 5 8" xfId="16808" xr:uid="{00000000-0005-0000-0000-00009F410000}"/>
    <cellStyle name="Normal 2 2 2 2 5 8 5 9" xfId="16809" xr:uid="{00000000-0005-0000-0000-0000A0410000}"/>
    <cellStyle name="Normal 2 2 2 2 5 8 6" xfId="16810" xr:uid="{00000000-0005-0000-0000-0000A1410000}"/>
    <cellStyle name="Normal 2 2 2 2 5 8 7" xfId="16811" xr:uid="{00000000-0005-0000-0000-0000A2410000}"/>
    <cellStyle name="Normal 2 2 2 2 5 8 8" xfId="16812" xr:uid="{00000000-0005-0000-0000-0000A3410000}"/>
    <cellStyle name="Normal 2 2 2 2 5 8 9" xfId="16813" xr:uid="{00000000-0005-0000-0000-0000A4410000}"/>
    <cellStyle name="Normal 2 2 2 2 5 9" xfId="16814" xr:uid="{00000000-0005-0000-0000-0000A5410000}"/>
    <cellStyle name="Normal 2 2 2 2 5 9 10" xfId="16815" xr:uid="{00000000-0005-0000-0000-0000A6410000}"/>
    <cellStyle name="Normal 2 2 2 2 5 9 11" xfId="16816" xr:uid="{00000000-0005-0000-0000-0000A7410000}"/>
    <cellStyle name="Normal 2 2 2 2 5 9 12" xfId="16817" xr:uid="{00000000-0005-0000-0000-0000A8410000}"/>
    <cellStyle name="Normal 2 2 2 2 5 9 13" xfId="16818" xr:uid="{00000000-0005-0000-0000-0000A9410000}"/>
    <cellStyle name="Normal 2 2 2 2 5 9 14" xfId="16819" xr:uid="{00000000-0005-0000-0000-0000AA410000}"/>
    <cellStyle name="Normal 2 2 2 2 5 9 2" xfId="16820" xr:uid="{00000000-0005-0000-0000-0000AB410000}"/>
    <cellStyle name="Normal 2 2 2 2 5 9 2 10" xfId="16821" xr:uid="{00000000-0005-0000-0000-0000AC410000}"/>
    <cellStyle name="Normal 2 2 2 2 5 9 2 2" xfId="16822" xr:uid="{00000000-0005-0000-0000-0000AD410000}"/>
    <cellStyle name="Normal 2 2 2 2 5 9 2 3" xfId="16823" xr:uid="{00000000-0005-0000-0000-0000AE410000}"/>
    <cellStyle name="Normal 2 2 2 2 5 9 2 4" xfId="16824" xr:uid="{00000000-0005-0000-0000-0000AF410000}"/>
    <cellStyle name="Normal 2 2 2 2 5 9 2 5" xfId="16825" xr:uid="{00000000-0005-0000-0000-0000B0410000}"/>
    <cellStyle name="Normal 2 2 2 2 5 9 2 6" xfId="16826" xr:uid="{00000000-0005-0000-0000-0000B1410000}"/>
    <cellStyle name="Normal 2 2 2 2 5 9 2 7" xfId="16827" xr:uid="{00000000-0005-0000-0000-0000B2410000}"/>
    <cellStyle name="Normal 2 2 2 2 5 9 2 8" xfId="16828" xr:uid="{00000000-0005-0000-0000-0000B3410000}"/>
    <cellStyle name="Normal 2 2 2 2 5 9 2 9" xfId="16829" xr:uid="{00000000-0005-0000-0000-0000B4410000}"/>
    <cellStyle name="Normal 2 2 2 2 5 9 3" xfId="16830" xr:uid="{00000000-0005-0000-0000-0000B5410000}"/>
    <cellStyle name="Normal 2 2 2 2 5 9 3 10" xfId="16831" xr:uid="{00000000-0005-0000-0000-0000B6410000}"/>
    <cellStyle name="Normal 2 2 2 2 5 9 3 2" xfId="16832" xr:uid="{00000000-0005-0000-0000-0000B7410000}"/>
    <cellStyle name="Normal 2 2 2 2 5 9 3 3" xfId="16833" xr:uid="{00000000-0005-0000-0000-0000B8410000}"/>
    <cellStyle name="Normal 2 2 2 2 5 9 3 4" xfId="16834" xr:uid="{00000000-0005-0000-0000-0000B9410000}"/>
    <cellStyle name="Normal 2 2 2 2 5 9 3 5" xfId="16835" xr:uid="{00000000-0005-0000-0000-0000BA410000}"/>
    <cellStyle name="Normal 2 2 2 2 5 9 3 6" xfId="16836" xr:uid="{00000000-0005-0000-0000-0000BB410000}"/>
    <cellStyle name="Normal 2 2 2 2 5 9 3 7" xfId="16837" xr:uid="{00000000-0005-0000-0000-0000BC410000}"/>
    <cellStyle name="Normal 2 2 2 2 5 9 3 8" xfId="16838" xr:uid="{00000000-0005-0000-0000-0000BD410000}"/>
    <cellStyle name="Normal 2 2 2 2 5 9 3 9" xfId="16839" xr:uid="{00000000-0005-0000-0000-0000BE410000}"/>
    <cellStyle name="Normal 2 2 2 2 5 9 4" xfId="16840" xr:uid="{00000000-0005-0000-0000-0000BF410000}"/>
    <cellStyle name="Normal 2 2 2 2 5 9 4 10" xfId="16841" xr:uid="{00000000-0005-0000-0000-0000C0410000}"/>
    <cellStyle name="Normal 2 2 2 2 5 9 4 2" xfId="16842" xr:uid="{00000000-0005-0000-0000-0000C1410000}"/>
    <cellStyle name="Normal 2 2 2 2 5 9 4 3" xfId="16843" xr:uid="{00000000-0005-0000-0000-0000C2410000}"/>
    <cellStyle name="Normal 2 2 2 2 5 9 4 4" xfId="16844" xr:uid="{00000000-0005-0000-0000-0000C3410000}"/>
    <cellStyle name="Normal 2 2 2 2 5 9 4 5" xfId="16845" xr:uid="{00000000-0005-0000-0000-0000C4410000}"/>
    <cellStyle name="Normal 2 2 2 2 5 9 4 6" xfId="16846" xr:uid="{00000000-0005-0000-0000-0000C5410000}"/>
    <cellStyle name="Normal 2 2 2 2 5 9 4 7" xfId="16847" xr:uid="{00000000-0005-0000-0000-0000C6410000}"/>
    <cellStyle name="Normal 2 2 2 2 5 9 4 8" xfId="16848" xr:uid="{00000000-0005-0000-0000-0000C7410000}"/>
    <cellStyle name="Normal 2 2 2 2 5 9 4 9" xfId="16849" xr:uid="{00000000-0005-0000-0000-0000C8410000}"/>
    <cellStyle name="Normal 2 2 2 2 5 9 5" xfId="16850" xr:uid="{00000000-0005-0000-0000-0000C9410000}"/>
    <cellStyle name="Normal 2 2 2 2 5 9 5 10" xfId="16851" xr:uid="{00000000-0005-0000-0000-0000CA410000}"/>
    <cellStyle name="Normal 2 2 2 2 5 9 5 2" xfId="16852" xr:uid="{00000000-0005-0000-0000-0000CB410000}"/>
    <cellStyle name="Normal 2 2 2 2 5 9 5 3" xfId="16853" xr:uid="{00000000-0005-0000-0000-0000CC410000}"/>
    <cellStyle name="Normal 2 2 2 2 5 9 5 4" xfId="16854" xr:uid="{00000000-0005-0000-0000-0000CD410000}"/>
    <cellStyle name="Normal 2 2 2 2 5 9 5 5" xfId="16855" xr:uid="{00000000-0005-0000-0000-0000CE410000}"/>
    <cellStyle name="Normal 2 2 2 2 5 9 5 6" xfId="16856" xr:uid="{00000000-0005-0000-0000-0000CF410000}"/>
    <cellStyle name="Normal 2 2 2 2 5 9 5 7" xfId="16857" xr:uid="{00000000-0005-0000-0000-0000D0410000}"/>
    <cellStyle name="Normal 2 2 2 2 5 9 5 8" xfId="16858" xr:uid="{00000000-0005-0000-0000-0000D1410000}"/>
    <cellStyle name="Normal 2 2 2 2 5 9 5 9" xfId="16859" xr:uid="{00000000-0005-0000-0000-0000D2410000}"/>
    <cellStyle name="Normal 2 2 2 2 5 9 6" xfId="16860" xr:uid="{00000000-0005-0000-0000-0000D3410000}"/>
    <cellStyle name="Normal 2 2 2 2 5 9 7" xfId="16861" xr:uid="{00000000-0005-0000-0000-0000D4410000}"/>
    <cellStyle name="Normal 2 2 2 2 5 9 8" xfId="16862" xr:uid="{00000000-0005-0000-0000-0000D5410000}"/>
    <cellStyle name="Normal 2 2 2 2 5 9 9" xfId="16863" xr:uid="{00000000-0005-0000-0000-0000D6410000}"/>
    <cellStyle name="Normal 2 2 2 2 50" xfId="16864" xr:uid="{00000000-0005-0000-0000-0000D7410000}"/>
    <cellStyle name="Normal 2 2 2 2 51" xfId="16865" xr:uid="{00000000-0005-0000-0000-0000D8410000}"/>
    <cellStyle name="Normal 2 2 2 2 6" xfId="16866" xr:uid="{00000000-0005-0000-0000-0000D9410000}"/>
    <cellStyle name="Normal 2 2 2 2 6 2" xfId="16867" xr:uid="{00000000-0005-0000-0000-0000DA410000}"/>
    <cellStyle name="Normal 2 2 2 2 7" xfId="16868" xr:uid="{00000000-0005-0000-0000-0000DB410000}"/>
    <cellStyle name="Normal 2 2 2 2 8" xfId="16869" xr:uid="{00000000-0005-0000-0000-0000DC410000}"/>
    <cellStyle name="Normal 2 2 2 2 9" xfId="16870" xr:uid="{00000000-0005-0000-0000-0000DD410000}"/>
    <cellStyle name="Normal 2 2 2 20" xfId="16871" xr:uid="{00000000-0005-0000-0000-0000DE410000}"/>
    <cellStyle name="Normal 2 2 2 20 10" xfId="16872" xr:uid="{00000000-0005-0000-0000-0000DF410000}"/>
    <cellStyle name="Normal 2 2 2 20 11" xfId="16873" xr:uid="{00000000-0005-0000-0000-0000E0410000}"/>
    <cellStyle name="Normal 2 2 2 20 12" xfId="16874" xr:uid="{00000000-0005-0000-0000-0000E1410000}"/>
    <cellStyle name="Normal 2 2 2 20 13" xfId="16875" xr:uid="{00000000-0005-0000-0000-0000E2410000}"/>
    <cellStyle name="Normal 2 2 2 20 14" xfId="16876" xr:uid="{00000000-0005-0000-0000-0000E3410000}"/>
    <cellStyle name="Normal 2 2 2 20 2" xfId="16877" xr:uid="{00000000-0005-0000-0000-0000E4410000}"/>
    <cellStyle name="Normal 2 2 2 20 2 10" xfId="16878" xr:uid="{00000000-0005-0000-0000-0000E5410000}"/>
    <cellStyle name="Normal 2 2 2 20 2 2" xfId="16879" xr:uid="{00000000-0005-0000-0000-0000E6410000}"/>
    <cellStyle name="Normal 2 2 2 20 2 3" xfId="16880" xr:uid="{00000000-0005-0000-0000-0000E7410000}"/>
    <cellStyle name="Normal 2 2 2 20 2 4" xfId="16881" xr:uid="{00000000-0005-0000-0000-0000E8410000}"/>
    <cellStyle name="Normal 2 2 2 20 2 5" xfId="16882" xr:uid="{00000000-0005-0000-0000-0000E9410000}"/>
    <cellStyle name="Normal 2 2 2 20 2 6" xfId="16883" xr:uid="{00000000-0005-0000-0000-0000EA410000}"/>
    <cellStyle name="Normal 2 2 2 20 2 7" xfId="16884" xr:uid="{00000000-0005-0000-0000-0000EB410000}"/>
    <cellStyle name="Normal 2 2 2 20 2 8" xfId="16885" xr:uid="{00000000-0005-0000-0000-0000EC410000}"/>
    <cellStyle name="Normal 2 2 2 20 2 9" xfId="16886" xr:uid="{00000000-0005-0000-0000-0000ED410000}"/>
    <cellStyle name="Normal 2 2 2 20 3" xfId="16887" xr:uid="{00000000-0005-0000-0000-0000EE410000}"/>
    <cellStyle name="Normal 2 2 2 20 3 10" xfId="16888" xr:uid="{00000000-0005-0000-0000-0000EF410000}"/>
    <cellStyle name="Normal 2 2 2 20 3 2" xfId="16889" xr:uid="{00000000-0005-0000-0000-0000F0410000}"/>
    <cellStyle name="Normal 2 2 2 20 3 3" xfId="16890" xr:uid="{00000000-0005-0000-0000-0000F1410000}"/>
    <cellStyle name="Normal 2 2 2 20 3 4" xfId="16891" xr:uid="{00000000-0005-0000-0000-0000F2410000}"/>
    <cellStyle name="Normal 2 2 2 20 3 5" xfId="16892" xr:uid="{00000000-0005-0000-0000-0000F3410000}"/>
    <cellStyle name="Normal 2 2 2 20 3 6" xfId="16893" xr:uid="{00000000-0005-0000-0000-0000F4410000}"/>
    <cellStyle name="Normal 2 2 2 20 3 7" xfId="16894" xr:uid="{00000000-0005-0000-0000-0000F5410000}"/>
    <cellStyle name="Normal 2 2 2 20 3 8" xfId="16895" xr:uid="{00000000-0005-0000-0000-0000F6410000}"/>
    <cellStyle name="Normal 2 2 2 20 3 9" xfId="16896" xr:uid="{00000000-0005-0000-0000-0000F7410000}"/>
    <cellStyle name="Normal 2 2 2 20 4" xfId="16897" xr:uid="{00000000-0005-0000-0000-0000F8410000}"/>
    <cellStyle name="Normal 2 2 2 20 4 10" xfId="16898" xr:uid="{00000000-0005-0000-0000-0000F9410000}"/>
    <cellStyle name="Normal 2 2 2 20 4 2" xfId="16899" xr:uid="{00000000-0005-0000-0000-0000FA410000}"/>
    <cellStyle name="Normal 2 2 2 20 4 3" xfId="16900" xr:uid="{00000000-0005-0000-0000-0000FB410000}"/>
    <cellStyle name="Normal 2 2 2 20 4 4" xfId="16901" xr:uid="{00000000-0005-0000-0000-0000FC410000}"/>
    <cellStyle name="Normal 2 2 2 20 4 5" xfId="16902" xr:uid="{00000000-0005-0000-0000-0000FD410000}"/>
    <cellStyle name="Normal 2 2 2 20 4 6" xfId="16903" xr:uid="{00000000-0005-0000-0000-0000FE410000}"/>
    <cellStyle name="Normal 2 2 2 20 4 7" xfId="16904" xr:uid="{00000000-0005-0000-0000-0000FF410000}"/>
    <cellStyle name="Normal 2 2 2 20 4 8" xfId="16905" xr:uid="{00000000-0005-0000-0000-000000420000}"/>
    <cellStyle name="Normal 2 2 2 20 4 9" xfId="16906" xr:uid="{00000000-0005-0000-0000-000001420000}"/>
    <cellStyle name="Normal 2 2 2 20 5" xfId="16907" xr:uid="{00000000-0005-0000-0000-000002420000}"/>
    <cellStyle name="Normal 2 2 2 20 5 10" xfId="16908" xr:uid="{00000000-0005-0000-0000-000003420000}"/>
    <cellStyle name="Normal 2 2 2 20 5 2" xfId="16909" xr:uid="{00000000-0005-0000-0000-000004420000}"/>
    <cellStyle name="Normal 2 2 2 20 5 3" xfId="16910" xr:uid="{00000000-0005-0000-0000-000005420000}"/>
    <cellStyle name="Normal 2 2 2 20 5 4" xfId="16911" xr:uid="{00000000-0005-0000-0000-000006420000}"/>
    <cellStyle name="Normal 2 2 2 20 5 5" xfId="16912" xr:uid="{00000000-0005-0000-0000-000007420000}"/>
    <cellStyle name="Normal 2 2 2 20 5 6" xfId="16913" xr:uid="{00000000-0005-0000-0000-000008420000}"/>
    <cellStyle name="Normal 2 2 2 20 5 7" xfId="16914" xr:uid="{00000000-0005-0000-0000-000009420000}"/>
    <cellStyle name="Normal 2 2 2 20 5 8" xfId="16915" xr:uid="{00000000-0005-0000-0000-00000A420000}"/>
    <cellStyle name="Normal 2 2 2 20 5 9" xfId="16916" xr:uid="{00000000-0005-0000-0000-00000B420000}"/>
    <cellStyle name="Normal 2 2 2 20 6" xfId="16917" xr:uid="{00000000-0005-0000-0000-00000C420000}"/>
    <cellStyle name="Normal 2 2 2 20 7" xfId="16918" xr:uid="{00000000-0005-0000-0000-00000D420000}"/>
    <cellStyle name="Normal 2 2 2 20 8" xfId="16919" xr:uid="{00000000-0005-0000-0000-00000E420000}"/>
    <cellStyle name="Normal 2 2 2 20 9" xfId="16920" xr:uid="{00000000-0005-0000-0000-00000F420000}"/>
    <cellStyle name="Normal 2 2 2 21" xfId="16921" xr:uid="{00000000-0005-0000-0000-000010420000}"/>
    <cellStyle name="Normal 2 2 2 21 10" xfId="16922" xr:uid="{00000000-0005-0000-0000-000011420000}"/>
    <cellStyle name="Normal 2 2 2 21 11" xfId="16923" xr:uid="{00000000-0005-0000-0000-000012420000}"/>
    <cellStyle name="Normal 2 2 2 21 12" xfId="16924" xr:uid="{00000000-0005-0000-0000-000013420000}"/>
    <cellStyle name="Normal 2 2 2 21 13" xfId="16925" xr:uid="{00000000-0005-0000-0000-000014420000}"/>
    <cellStyle name="Normal 2 2 2 21 14" xfId="16926" xr:uid="{00000000-0005-0000-0000-000015420000}"/>
    <cellStyle name="Normal 2 2 2 21 2" xfId="16927" xr:uid="{00000000-0005-0000-0000-000016420000}"/>
    <cellStyle name="Normal 2 2 2 21 2 10" xfId="16928" xr:uid="{00000000-0005-0000-0000-000017420000}"/>
    <cellStyle name="Normal 2 2 2 21 2 2" xfId="16929" xr:uid="{00000000-0005-0000-0000-000018420000}"/>
    <cellStyle name="Normal 2 2 2 21 2 3" xfId="16930" xr:uid="{00000000-0005-0000-0000-000019420000}"/>
    <cellStyle name="Normal 2 2 2 21 2 4" xfId="16931" xr:uid="{00000000-0005-0000-0000-00001A420000}"/>
    <cellStyle name="Normal 2 2 2 21 2 5" xfId="16932" xr:uid="{00000000-0005-0000-0000-00001B420000}"/>
    <cellStyle name="Normal 2 2 2 21 2 6" xfId="16933" xr:uid="{00000000-0005-0000-0000-00001C420000}"/>
    <cellStyle name="Normal 2 2 2 21 2 7" xfId="16934" xr:uid="{00000000-0005-0000-0000-00001D420000}"/>
    <cellStyle name="Normal 2 2 2 21 2 8" xfId="16935" xr:uid="{00000000-0005-0000-0000-00001E420000}"/>
    <cellStyle name="Normal 2 2 2 21 2 9" xfId="16936" xr:uid="{00000000-0005-0000-0000-00001F420000}"/>
    <cellStyle name="Normal 2 2 2 21 3" xfId="16937" xr:uid="{00000000-0005-0000-0000-000020420000}"/>
    <cellStyle name="Normal 2 2 2 21 3 10" xfId="16938" xr:uid="{00000000-0005-0000-0000-000021420000}"/>
    <cellStyle name="Normal 2 2 2 21 3 2" xfId="16939" xr:uid="{00000000-0005-0000-0000-000022420000}"/>
    <cellStyle name="Normal 2 2 2 21 3 3" xfId="16940" xr:uid="{00000000-0005-0000-0000-000023420000}"/>
    <cellStyle name="Normal 2 2 2 21 3 4" xfId="16941" xr:uid="{00000000-0005-0000-0000-000024420000}"/>
    <cellStyle name="Normal 2 2 2 21 3 5" xfId="16942" xr:uid="{00000000-0005-0000-0000-000025420000}"/>
    <cellStyle name="Normal 2 2 2 21 3 6" xfId="16943" xr:uid="{00000000-0005-0000-0000-000026420000}"/>
    <cellStyle name="Normal 2 2 2 21 3 7" xfId="16944" xr:uid="{00000000-0005-0000-0000-000027420000}"/>
    <cellStyle name="Normal 2 2 2 21 3 8" xfId="16945" xr:uid="{00000000-0005-0000-0000-000028420000}"/>
    <cellStyle name="Normal 2 2 2 21 3 9" xfId="16946" xr:uid="{00000000-0005-0000-0000-000029420000}"/>
    <cellStyle name="Normal 2 2 2 21 4" xfId="16947" xr:uid="{00000000-0005-0000-0000-00002A420000}"/>
    <cellStyle name="Normal 2 2 2 21 4 10" xfId="16948" xr:uid="{00000000-0005-0000-0000-00002B420000}"/>
    <cellStyle name="Normal 2 2 2 21 4 2" xfId="16949" xr:uid="{00000000-0005-0000-0000-00002C420000}"/>
    <cellStyle name="Normal 2 2 2 21 4 3" xfId="16950" xr:uid="{00000000-0005-0000-0000-00002D420000}"/>
    <cellStyle name="Normal 2 2 2 21 4 4" xfId="16951" xr:uid="{00000000-0005-0000-0000-00002E420000}"/>
    <cellStyle name="Normal 2 2 2 21 4 5" xfId="16952" xr:uid="{00000000-0005-0000-0000-00002F420000}"/>
    <cellStyle name="Normal 2 2 2 21 4 6" xfId="16953" xr:uid="{00000000-0005-0000-0000-000030420000}"/>
    <cellStyle name="Normal 2 2 2 21 4 7" xfId="16954" xr:uid="{00000000-0005-0000-0000-000031420000}"/>
    <cellStyle name="Normal 2 2 2 21 4 8" xfId="16955" xr:uid="{00000000-0005-0000-0000-000032420000}"/>
    <cellStyle name="Normal 2 2 2 21 4 9" xfId="16956" xr:uid="{00000000-0005-0000-0000-000033420000}"/>
    <cellStyle name="Normal 2 2 2 21 5" xfId="16957" xr:uid="{00000000-0005-0000-0000-000034420000}"/>
    <cellStyle name="Normal 2 2 2 21 5 10" xfId="16958" xr:uid="{00000000-0005-0000-0000-000035420000}"/>
    <cellStyle name="Normal 2 2 2 21 5 2" xfId="16959" xr:uid="{00000000-0005-0000-0000-000036420000}"/>
    <cellStyle name="Normal 2 2 2 21 5 3" xfId="16960" xr:uid="{00000000-0005-0000-0000-000037420000}"/>
    <cellStyle name="Normal 2 2 2 21 5 4" xfId="16961" xr:uid="{00000000-0005-0000-0000-000038420000}"/>
    <cellStyle name="Normal 2 2 2 21 5 5" xfId="16962" xr:uid="{00000000-0005-0000-0000-000039420000}"/>
    <cellStyle name="Normal 2 2 2 21 5 6" xfId="16963" xr:uid="{00000000-0005-0000-0000-00003A420000}"/>
    <cellStyle name="Normal 2 2 2 21 5 7" xfId="16964" xr:uid="{00000000-0005-0000-0000-00003B420000}"/>
    <cellStyle name="Normal 2 2 2 21 5 8" xfId="16965" xr:uid="{00000000-0005-0000-0000-00003C420000}"/>
    <cellStyle name="Normal 2 2 2 21 5 9" xfId="16966" xr:uid="{00000000-0005-0000-0000-00003D420000}"/>
    <cellStyle name="Normal 2 2 2 21 6" xfId="16967" xr:uid="{00000000-0005-0000-0000-00003E420000}"/>
    <cellStyle name="Normal 2 2 2 21 7" xfId="16968" xr:uid="{00000000-0005-0000-0000-00003F420000}"/>
    <cellStyle name="Normal 2 2 2 21 8" xfId="16969" xr:uid="{00000000-0005-0000-0000-000040420000}"/>
    <cellStyle name="Normal 2 2 2 21 9" xfId="16970" xr:uid="{00000000-0005-0000-0000-000041420000}"/>
    <cellStyle name="Normal 2 2 2 22" xfId="16971" xr:uid="{00000000-0005-0000-0000-000042420000}"/>
    <cellStyle name="Normal 2 2 2 22 10" xfId="16972" xr:uid="{00000000-0005-0000-0000-000043420000}"/>
    <cellStyle name="Normal 2 2 2 22 11" xfId="16973" xr:uid="{00000000-0005-0000-0000-000044420000}"/>
    <cellStyle name="Normal 2 2 2 22 12" xfId="16974" xr:uid="{00000000-0005-0000-0000-000045420000}"/>
    <cellStyle name="Normal 2 2 2 22 13" xfId="16975" xr:uid="{00000000-0005-0000-0000-000046420000}"/>
    <cellStyle name="Normal 2 2 2 22 14" xfId="16976" xr:uid="{00000000-0005-0000-0000-000047420000}"/>
    <cellStyle name="Normal 2 2 2 22 2" xfId="16977" xr:uid="{00000000-0005-0000-0000-000048420000}"/>
    <cellStyle name="Normal 2 2 2 22 2 10" xfId="16978" xr:uid="{00000000-0005-0000-0000-000049420000}"/>
    <cellStyle name="Normal 2 2 2 22 2 2" xfId="16979" xr:uid="{00000000-0005-0000-0000-00004A420000}"/>
    <cellStyle name="Normal 2 2 2 22 2 3" xfId="16980" xr:uid="{00000000-0005-0000-0000-00004B420000}"/>
    <cellStyle name="Normal 2 2 2 22 2 4" xfId="16981" xr:uid="{00000000-0005-0000-0000-00004C420000}"/>
    <cellStyle name="Normal 2 2 2 22 2 5" xfId="16982" xr:uid="{00000000-0005-0000-0000-00004D420000}"/>
    <cellStyle name="Normal 2 2 2 22 2 6" xfId="16983" xr:uid="{00000000-0005-0000-0000-00004E420000}"/>
    <cellStyle name="Normal 2 2 2 22 2 7" xfId="16984" xr:uid="{00000000-0005-0000-0000-00004F420000}"/>
    <cellStyle name="Normal 2 2 2 22 2 8" xfId="16985" xr:uid="{00000000-0005-0000-0000-000050420000}"/>
    <cellStyle name="Normal 2 2 2 22 2 9" xfId="16986" xr:uid="{00000000-0005-0000-0000-000051420000}"/>
    <cellStyle name="Normal 2 2 2 22 3" xfId="16987" xr:uid="{00000000-0005-0000-0000-000052420000}"/>
    <cellStyle name="Normal 2 2 2 22 3 10" xfId="16988" xr:uid="{00000000-0005-0000-0000-000053420000}"/>
    <cellStyle name="Normal 2 2 2 22 3 2" xfId="16989" xr:uid="{00000000-0005-0000-0000-000054420000}"/>
    <cellStyle name="Normal 2 2 2 22 3 3" xfId="16990" xr:uid="{00000000-0005-0000-0000-000055420000}"/>
    <cellStyle name="Normal 2 2 2 22 3 4" xfId="16991" xr:uid="{00000000-0005-0000-0000-000056420000}"/>
    <cellStyle name="Normal 2 2 2 22 3 5" xfId="16992" xr:uid="{00000000-0005-0000-0000-000057420000}"/>
    <cellStyle name="Normal 2 2 2 22 3 6" xfId="16993" xr:uid="{00000000-0005-0000-0000-000058420000}"/>
    <cellStyle name="Normal 2 2 2 22 3 7" xfId="16994" xr:uid="{00000000-0005-0000-0000-000059420000}"/>
    <cellStyle name="Normal 2 2 2 22 3 8" xfId="16995" xr:uid="{00000000-0005-0000-0000-00005A420000}"/>
    <cellStyle name="Normal 2 2 2 22 3 9" xfId="16996" xr:uid="{00000000-0005-0000-0000-00005B420000}"/>
    <cellStyle name="Normal 2 2 2 22 4" xfId="16997" xr:uid="{00000000-0005-0000-0000-00005C420000}"/>
    <cellStyle name="Normal 2 2 2 22 4 10" xfId="16998" xr:uid="{00000000-0005-0000-0000-00005D420000}"/>
    <cellStyle name="Normal 2 2 2 22 4 2" xfId="16999" xr:uid="{00000000-0005-0000-0000-00005E420000}"/>
    <cellStyle name="Normal 2 2 2 22 4 3" xfId="17000" xr:uid="{00000000-0005-0000-0000-00005F420000}"/>
    <cellStyle name="Normal 2 2 2 22 4 4" xfId="17001" xr:uid="{00000000-0005-0000-0000-000060420000}"/>
    <cellStyle name="Normal 2 2 2 22 4 5" xfId="17002" xr:uid="{00000000-0005-0000-0000-000061420000}"/>
    <cellStyle name="Normal 2 2 2 22 4 6" xfId="17003" xr:uid="{00000000-0005-0000-0000-000062420000}"/>
    <cellStyle name="Normal 2 2 2 22 4 7" xfId="17004" xr:uid="{00000000-0005-0000-0000-000063420000}"/>
    <cellStyle name="Normal 2 2 2 22 4 8" xfId="17005" xr:uid="{00000000-0005-0000-0000-000064420000}"/>
    <cellStyle name="Normal 2 2 2 22 4 9" xfId="17006" xr:uid="{00000000-0005-0000-0000-000065420000}"/>
    <cellStyle name="Normal 2 2 2 22 5" xfId="17007" xr:uid="{00000000-0005-0000-0000-000066420000}"/>
    <cellStyle name="Normal 2 2 2 22 5 10" xfId="17008" xr:uid="{00000000-0005-0000-0000-000067420000}"/>
    <cellStyle name="Normal 2 2 2 22 5 2" xfId="17009" xr:uid="{00000000-0005-0000-0000-000068420000}"/>
    <cellStyle name="Normal 2 2 2 22 5 3" xfId="17010" xr:uid="{00000000-0005-0000-0000-000069420000}"/>
    <cellStyle name="Normal 2 2 2 22 5 4" xfId="17011" xr:uid="{00000000-0005-0000-0000-00006A420000}"/>
    <cellStyle name="Normal 2 2 2 22 5 5" xfId="17012" xr:uid="{00000000-0005-0000-0000-00006B420000}"/>
    <cellStyle name="Normal 2 2 2 22 5 6" xfId="17013" xr:uid="{00000000-0005-0000-0000-00006C420000}"/>
    <cellStyle name="Normal 2 2 2 22 5 7" xfId="17014" xr:uid="{00000000-0005-0000-0000-00006D420000}"/>
    <cellStyle name="Normal 2 2 2 22 5 8" xfId="17015" xr:uid="{00000000-0005-0000-0000-00006E420000}"/>
    <cellStyle name="Normal 2 2 2 22 5 9" xfId="17016" xr:uid="{00000000-0005-0000-0000-00006F420000}"/>
    <cellStyle name="Normal 2 2 2 22 6" xfId="17017" xr:uid="{00000000-0005-0000-0000-000070420000}"/>
    <cellStyle name="Normal 2 2 2 22 7" xfId="17018" xr:uid="{00000000-0005-0000-0000-000071420000}"/>
    <cellStyle name="Normal 2 2 2 22 8" xfId="17019" xr:uid="{00000000-0005-0000-0000-000072420000}"/>
    <cellStyle name="Normal 2 2 2 22 9" xfId="17020" xr:uid="{00000000-0005-0000-0000-000073420000}"/>
    <cellStyle name="Normal 2 2 2 23" xfId="17021" xr:uid="{00000000-0005-0000-0000-000074420000}"/>
    <cellStyle name="Normal 2 2 2 23 10" xfId="17022" xr:uid="{00000000-0005-0000-0000-000075420000}"/>
    <cellStyle name="Normal 2 2 2 23 11" xfId="17023" xr:uid="{00000000-0005-0000-0000-000076420000}"/>
    <cellStyle name="Normal 2 2 2 23 12" xfId="17024" xr:uid="{00000000-0005-0000-0000-000077420000}"/>
    <cellStyle name="Normal 2 2 2 23 13" xfId="17025" xr:uid="{00000000-0005-0000-0000-000078420000}"/>
    <cellStyle name="Normal 2 2 2 23 14" xfId="17026" xr:uid="{00000000-0005-0000-0000-000079420000}"/>
    <cellStyle name="Normal 2 2 2 23 2" xfId="17027" xr:uid="{00000000-0005-0000-0000-00007A420000}"/>
    <cellStyle name="Normal 2 2 2 23 2 10" xfId="17028" xr:uid="{00000000-0005-0000-0000-00007B420000}"/>
    <cellStyle name="Normal 2 2 2 23 2 2" xfId="17029" xr:uid="{00000000-0005-0000-0000-00007C420000}"/>
    <cellStyle name="Normal 2 2 2 23 2 3" xfId="17030" xr:uid="{00000000-0005-0000-0000-00007D420000}"/>
    <cellStyle name="Normal 2 2 2 23 2 4" xfId="17031" xr:uid="{00000000-0005-0000-0000-00007E420000}"/>
    <cellStyle name="Normal 2 2 2 23 2 5" xfId="17032" xr:uid="{00000000-0005-0000-0000-00007F420000}"/>
    <cellStyle name="Normal 2 2 2 23 2 6" xfId="17033" xr:uid="{00000000-0005-0000-0000-000080420000}"/>
    <cellStyle name="Normal 2 2 2 23 2 7" xfId="17034" xr:uid="{00000000-0005-0000-0000-000081420000}"/>
    <cellStyle name="Normal 2 2 2 23 2 8" xfId="17035" xr:uid="{00000000-0005-0000-0000-000082420000}"/>
    <cellStyle name="Normal 2 2 2 23 2 9" xfId="17036" xr:uid="{00000000-0005-0000-0000-000083420000}"/>
    <cellStyle name="Normal 2 2 2 23 3" xfId="17037" xr:uid="{00000000-0005-0000-0000-000084420000}"/>
    <cellStyle name="Normal 2 2 2 23 3 10" xfId="17038" xr:uid="{00000000-0005-0000-0000-000085420000}"/>
    <cellStyle name="Normal 2 2 2 23 3 2" xfId="17039" xr:uid="{00000000-0005-0000-0000-000086420000}"/>
    <cellStyle name="Normal 2 2 2 23 3 3" xfId="17040" xr:uid="{00000000-0005-0000-0000-000087420000}"/>
    <cellStyle name="Normal 2 2 2 23 3 4" xfId="17041" xr:uid="{00000000-0005-0000-0000-000088420000}"/>
    <cellStyle name="Normal 2 2 2 23 3 5" xfId="17042" xr:uid="{00000000-0005-0000-0000-000089420000}"/>
    <cellStyle name="Normal 2 2 2 23 3 6" xfId="17043" xr:uid="{00000000-0005-0000-0000-00008A420000}"/>
    <cellStyle name="Normal 2 2 2 23 3 7" xfId="17044" xr:uid="{00000000-0005-0000-0000-00008B420000}"/>
    <cellStyle name="Normal 2 2 2 23 3 8" xfId="17045" xr:uid="{00000000-0005-0000-0000-00008C420000}"/>
    <cellStyle name="Normal 2 2 2 23 3 9" xfId="17046" xr:uid="{00000000-0005-0000-0000-00008D420000}"/>
    <cellStyle name="Normal 2 2 2 23 4" xfId="17047" xr:uid="{00000000-0005-0000-0000-00008E420000}"/>
    <cellStyle name="Normal 2 2 2 23 4 10" xfId="17048" xr:uid="{00000000-0005-0000-0000-00008F420000}"/>
    <cellStyle name="Normal 2 2 2 23 4 2" xfId="17049" xr:uid="{00000000-0005-0000-0000-000090420000}"/>
    <cellStyle name="Normal 2 2 2 23 4 3" xfId="17050" xr:uid="{00000000-0005-0000-0000-000091420000}"/>
    <cellStyle name="Normal 2 2 2 23 4 4" xfId="17051" xr:uid="{00000000-0005-0000-0000-000092420000}"/>
    <cellStyle name="Normal 2 2 2 23 4 5" xfId="17052" xr:uid="{00000000-0005-0000-0000-000093420000}"/>
    <cellStyle name="Normal 2 2 2 23 4 6" xfId="17053" xr:uid="{00000000-0005-0000-0000-000094420000}"/>
    <cellStyle name="Normal 2 2 2 23 4 7" xfId="17054" xr:uid="{00000000-0005-0000-0000-000095420000}"/>
    <cellStyle name="Normal 2 2 2 23 4 8" xfId="17055" xr:uid="{00000000-0005-0000-0000-000096420000}"/>
    <cellStyle name="Normal 2 2 2 23 4 9" xfId="17056" xr:uid="{00000000-0005-0000-0000-000097420000}"/>
    <cellStyle name="Normal 2 2 2 23 5" xfId="17057" xr:uid="{00000000-0005-0000-0000-000098420000}"/>
    <cellStyle name="Normal 2 2 2 23 5 10" xfId="17058" xr:uid="{00000000-0005-0000-0000-000099420000}"/>
    <cellStyle name="Normal 2 2 2 23 5 2" xfId="17059" xr:uid="{00000000-0005-0000-0000-00009A420000}"/>
    <cellStyle name="Normal 2 2 2 23 5 3" xfId="17060" xr:uid="{00000000-0005-0000-0000-00009B420000}"/>
    <cellStyle name="Normal 2 2 2 23 5 4" xfId="17061" xr:uid="{00000000-0005-0000-0000-00009C420000}"/>
    <cellStyle name="Normal 2 2 2 23 5 5" xfId="17062" xr:uid="{00000000-0005-0000-0000-00009D420000}"/>
    <cellStyle name="Normal 2 2 2 23 5 6" xfId="17063" xr:uid="{00000000-0005-0000-0000-00009E420000}"/>
    <cellStyle name="Normal 2 2 2 23 5 7" xfId="17064" xr:uid="{00000000-0005-0000-0000-00009F420000}"/>
    <cellStyle name="Normal 2 2 2 23 5 8" xfId="17065" xr:uid="{00000000-0005-0000-0000-0000A0420000}"/>
    <cellStyle name="Normal 2 2 2 23 5 9" xfId="17066" xr:uid="{00000000-0005-0000-0000-0000A1420000}"/>
    <cellStyle name="Normal 2 2 2 23 6" xfId="17067" xr:uid="{00000000-0005-0000-0000-0000A2420000}"/>
    <cellStyle name="Normal 2 2 2 23 7" xfId="17068" xr:uid="{00000000-0005-0000-0000-0000A3420000}"/>
    <cellStyle name="Normal 2 2 2 23 8" xfId="17069" xr:uid="{00000000-0005-0000-0000-0000A4420000}"/>
    <cellStyle name="Normal 2 2 2 23 9" xfId="17070" xr:uid="{00000000-0005-0000-0000-0000A5420000}"/>
    <cellStyle name="Normal 2 2 2 24" xfId="17071" xr:uid="{00000000-0005-0000-0000-0000A6420000}"/>
    <cellStyle name="Normal 2 2 2 24 10" xfId="17072" xr:uid="{00000000-0005-0000-0000-0000A7420000}"/>
    <cellStyle name="Normal 2 2 2 24 11" xfId="17073" xr:uid="{00000000-0005-0000-0000-0000A8420000}"/>
    <cellStyle name="Normal 2 2 2 24 12" xfId="17074" xr:uid="{00000000-0005-0000-0000-0000A9420000}"/>
    <cellStyle name="Normal 2 2 2 24 13" xfId="17075" xr:uid="{00000000-0005-0000-0000-0000AA420000}"/>
    <cellStyle name="Normal 2 2 2 24 14" xfId="17076" xr:uid="{00000000-0005-0000-0000-0000AB420000}"/>
    <cellStyle name="Normal 2 2 2 24 2" xfId="17077" xr:uid="{00000000-0005-0000-0000-0000AC420000}"/>
    <cellStyle name="Normal 2 2 2 24 2 10" xfId="17078" xr:uid="{00000000-0005-0000-0000-0000AD420000}"/>
    <cellStyle name="Normal 2 2 2 24 2 2" xfId="17079" xr:uid="{00000000-0005-0000-0000-0000AE420000}"/>
    <cellStyle name="Normal 2 2 2 24 2 3" xfId="17080" xr:uid="{00000000-0005-0000-0000-0000AF420000}"/>
    <cellStyle name="Normal 2 2 2 24 2 4" xfId="17081" xr:uid="{00000000-0005-0000-0000-0000B0420000}"/>
    <cellStyle name="Normal 2 2 2 24 2 5" xfId="17082" xr:uid="{00000000-0005-0000-0000-0000B1420000}"/>
    <cellStyle name="Normal 2 2 2 24 2 6" xfId="17083" xr:uid="{00000000-0005-0000-0000-0000B2420000}"/>
    <cellStyle name="Normal 2 2 2 24 2 7" xfId="17084" xr:uid="{00000000-0005-0000-0000-0000B3420000}"/>
    <cellStyle name="Normal 2 2 2 24 2 8" xfId="17085" xr:uid="{00000000-0005-0000-0000-0000B4420000}"/>
    <cellStyle name="Normal 2 2 2 24 2 9" xfId="17086" xr:uid="{00000000-0005-0000-0000-0000B5420000}"/>
    <cellStyle name="Normal 2 2 2 24 3" xfId="17087" xr:uid="{00000000-0005-0000-0000-0000B6420000}"/>
    <cellStyle name="Normal 2 2 2 24 3 10" xfId="17088" xr:uid="{00000000-0005-0000-0000-0000B7420000}"/>
    <cellStyle name="Normal 2 2 2 24 3 2" xfId="17089" xr:uid="{00000000-0005-0000-0000-0000B8420000}"/>
    <cellStyle name="Normal 2 2 2 24 3 3" xfId="17090" xr:uid="{00000000-0005-0000-0000-0000B9420000}"/>
    <cellStyle name="Normal 2 2 2 24 3 4" xfId="17091" xr:uid="{00000000-0005-0000-0000-0000BA420000}"/>
    <cellStyle name="Normal 2 2 2 24 3 5" xfId="17092" xr:uid="{00000000-0005-0000-0000-0000BB420000}"/>
    <cellStyle name="Normal 2 2 2 24 3 6" xfId="17093" xr:uid="{00000000-0005-0000-0000-0000BC420000}"/>
    <cellStyle name="Normal 2 2 2 24 3 7" xfId="17094" xr:uid="{00000000-0005-0000-0000-0000BD420000}"/>
    <cellStyle name="Normal 2 2 2 24 3 8" xfId="17095" xr:uid="{00000000-0005-0000-0000-0000BE420000}"/>
    <cellStyle name="Normal 2 2 2 24 3 9" xfId="17096" xr:uid="{00000000-0005-0000-0000-0000BF420000}"/>
    <cellStyle name="Normal 2 2 2 24 4" xfId="17097" xr:uid="{00000000-0005-0000-0000-0000C0420000}"/>
    <cellStyle name="Normal 2 2 2 24 4 10" xfId="17098" xr:uid="{00000000-0005-0000-0000-0000C1420000}"/>
    <cellStyle name="Normal 2 2 2 24 4 2" xfId="17099" xr:uid="{00000000-0005-0000-0000-0000C2420000}"/>
    <cellStyle name="Normal 2 2 2 24 4 3" xfId="17100" xr:uid="{00000000-0005-0000-0000-0000C3420000}"/>
    <cellStyle name="Normal 2 2 2 24 4 4" xfId="17101" xr:uid="{00000000-0005-0000-0000-0000C4420000}"/>
    <cellStyle name="Normal 2 2 2 24 4 5" xfId="17102" xr:uid="{00000000-0005-0000-0000-0000C5420000}"/>
    <cellStyle name="Normal 2 2 2 24 4 6" xfId="17103" xr:uid="{00000000-0005-0000-0000-0000C6420000}"/>
    <cellStyle name="Normal 2 2 2 24 4 7" xfId="17104" xr:uid="{00000000-0005-0000-0000-0000C7420000}"/>
    <cellStyle name="Normal 2 2 2 24 4 8" xfId="17105" xr:uid="{00000000-0005-0000-0000-0000C8420000}"/>
    <cellStyle name="Normal 2 2 2 24 4 9" xfId="17106" xr:uid="{00000000-0005-0000-0000-0000C9420000}"/>
    <cellStyle name="Normal 2 2 2 24 5" xfId="17107" xr:uid="{00000000-0005-0000-0000-0000CA420000}"/>
    <cellStyle name="Normal 2 2 2 24 5 10" xfId="17108" xr:uid="{00000000-0005-0000-0000-0000CB420000}"/>
    <cellStyle name="Normal 2 2 2 24 5 2" xfId="17109" xr:uid="{00000000-0005-0000-0000-0000CC420000}"/>
    <cellStyle name="Normal 2 2 2 24 5 3" xfId="17110" xr:uid="{00000000-0005-0000-0000-0000CD420000}"/>
    <cellStyle name="Normal 2 2 2 24 5 4" xfId="17111" xr:uid="{00000000-0005-0000-0000-0000CE420000}"/>
    <cellStyle name="Normal 2 2 2 24 5 5" xfId="17112" xr:uid="{00000000-0005-0000-0000-0000CF420000}"/>
    <cellStyle name="Normal 2 2 2 24 5 6" xfId="17113" xr:uid="{00000000-0005-0000-0000-0000D0420000}"/>
    <cellStyle name="Normal 2 2 2 24 5 7" xfId="17114" xr:uid="{00000000-0005-0000-0000-0000D1420000}"/>
    <cellStyle name="Normal 2 2 2 24 5 8" xfId="17115" xr:uid="{00000000-0005-0000-0000-0000D2420000}"/>
    <cellStyle name="Normal 2 2 2 24 5 9" xfId="17116" xr:uid="{00000000-0005-0000-0000-0000D3420000}"/>
    <cellStyle name="Normal 2 2 2 24 6" xfId="17117" xr:uid="{00000000-0005-0000-0000-0000D4420000}"/>
    <cellStyle name="Normal 2 2 2 24 7" xfId="17118" xr:uid="{00000000-0005-0000-0000-0000D5420000}"/>
    <cellStyle name="Normal 2 2 2 24 8" xfId="17119" xr:uid="{00000000-0005-0000-0000-0000D6420000}"/>
    <cellStyle name="Normal 2 2 2 24 9" xfId="17120" xr:uid="{00000000-0005-0000-0000-0000D7420000}"/>
    <cellStyle name="Normal 2 2 2 25" xfId="17121" xr:uid="{00000000-0005-0000-0000-0000D8420000}"/>
    <cellStyle name="Normal 2 2 2 25 10" xfId="17122" xr:uid="{00000000-0005-0000-0000-0000D9420000}"/>
    <cellStyle name="Normal 2 2 2 25 11" xfId="17123" xr:uid="{00000000-0005-0000-0000-0000DA420000}"/>
    <cellStyle name="Normal 2 2 2 25 12" xfId="17124" xr:uid="{00000000-0005-0000-0000-0000DB420000}"/>
    <cellStyle name="Normal 2 2 2 25 13" xfId="17125" xr:uid="{00000000-0005-0000-0000-0000DC420000}"/>
    <cellStyle name="Normal 2 2 2 25 14" xfId="17126" xr:uid="{00000000-0005-0000-0000-0000DD420000}"/>
    <cellStyle name="Normal 2 2 2 25 2" xfId="17127" xr:uid="{00000000-0005-0000-0000-0000DE420000}"/>
    <cellStyle name="Normal 2 2 2 25 2 10" xfId="17128" xr:uid="{00000000-0005-0000-0000-0000DF420000}"/>
    <cellStyle name="Normal 2 2 2 25 2 2" xfId="17129" xr:uid="{00000000-0005-0000-0000-0000E0420000}"/>
    <cellStyle name="Normal 2 2 2 25 2 3" xfId="17130" xr:uid="{00000000-0005-0000-0000-0000E1420000}"/>
    <cellStyle name="Normal 2 2 2 25 2 4" xfId="17131" xr:uid="{00000000-0005-0000-0000-0000E2420000}"/>
    <cellStyle name="Normal 2 2 2 25 2 5" xfId="17132" xr:uid="{00000000-0005-0000-0000-0000E3420000}"/>
    <cellStyle name="Normal 2 2 2 25 2 6" xfId="17133" xr:uid="{00000000-0005-0000-0000-0000E4420000}"/>
    <cellStyle name="Normal 2 2 2 25 2 7" xfId="17134" xr:uid="{00000000-0005-0000-0000-0000E5420000}"/>
    <cellStyle name="Normal 2 2 2 25 2 8" xfId="17135" xr:uid="{00000000-0005-0000-0000-0000E6420000}"/>
    <cellStyle name="Normal 2 2 2 25 2 9" xfId="17136" xr:uid="{00000000-0005-0000-0000-0000E7420000}"/>
    <cellStyle name="Normal 2 2 2 25 3" xfId="17137" xr:uid="{00000000-0005-0000-0000-0000E8420000}"/>
    <cellStyle name="Normal 2 2 2 25 3 10" xfId="17138" xr:uid="{00000000-0005-0000-0000-0000E9420000}"/>
    <cellStyle name="Normal 2 2 2 25 3 2" xfId="17139" xr:uid="{00000000-0005-0000-0000-0000EA420000}"/>
    <cellStyle name="Normal 2 2 2 25 3 3" xfId="17140" xr:uid="{00000000-0005-0000-0000-0000EB420000}"/>
    <cellStyle name="Normal 2 2 2 25 3 4" xfId="17141" xr:uid="{00000000-0005-0000-0000-0000EC420000}"/>
    <cellStyle name="Normal 2 2 2 25 3 5" xfId="17142" xr:uid="{00000000-0005-0000-0000-0000ED420000}"/>
    <cellStyle name="Normal 2 2 2 25 3 6" xfId="17143" xr:uid="{00000000-0005-0000-0000-0000EE420000}"/>
    <cellStyle name="Normal 2 2 2 25 3 7" xfId="17144" xr:uid="{00000000-0005-0000-0000-0000EF420000}"/>
    <cellStyle name="Normal 2 2 2 25 3 8" xfId="17145" xr:uid="{00000000-0005-0000-0000-0000F0420000}"/>
    <cellStyle name="Normal 2 2 2 25 3 9" xfId="17146" xr:uid="{00000000-0005-0000-0000-0000F1420000}"/>
    <cellStyle name="Normal 2 2 2 25 4" xfId="17147" xr:uid="{00000000-0005-0000-0000-0000F2420000}"/>
    <cellStyle name="Normal 2 2 2 25 4 10" xfId="17148" xr:uid="{00000000-0005-0000-0000-0000F3420000}"/>
    <cellStyle name="Normal 2 2 2 25 4 2" xfId="17149" xr:uid="{00000000-0005-0000-0000-0000F4420000}"/>
    <cellStyle name="Normal 2 2 2 25 4 3" xfId="17150" xr:uid="{00000000-0005-0000-0000-0000F5420000}"/>
    <cellStyle name="Normal 2 2 2 25 4 4" xfId="17151" xr:uid="{00000000-0005-0000-0000-0000F6420000}"/>
    <cellStyle name="Normal 2 2 2 25 4 5" xfId="17152" xr:uid="{00000000-0005-0000-0000-0000F7420000}"/>
    <cellStyle name="Normal 2 2 2 25 4 6" xfId="17153" xr:uid="{00000000-0005-0000-0000-0000F8420000}"/>
    <cellStyle name="Normal 2 2 2 25 4 7" xfId="17154" xr:uid="{00000000-0005-0000-0000-0000F9420000}"/>
    <cellStyle name="Normal 2 2 2 25 4 8" xfId="17155" xr:uid="{00000000-0005-0000-0000-0000FA420000}"/>
    <cellStyle name="Normal 2 2 2 25 4 9" xfId="17156" xr:uid="{00000000-0005-0000-0000-0000FB420000}"/>
    <cellStyle name="Normal 2 2 2 25 5" xfId="17157" xr:uid="{00000000-0005-0000-0000-0000FC420000}"/>
    <cellStyle name="Normal 2 2 2 25 5 10" xfId="17158" xr:uid="{00000000-0005-0000-0000-0000FD420000}"/>
    <cellStyle name="Normal 2 2 2 25 5 2" xfId="17159" xr:uid="{00000000-0005-0000-0000-0000FE420000}"/>
    <cellStyle name="Normal 2 2 2 25 5 3" xfId="17160" xr:uid="{00000000-0005-0000-0000-0000FF420000}"/>
    <cellStyle name="Normal 2 2 2 25 5 4" xfId="17161" xr:uid="{00000000-0005-0000-0000-000000430000}"/>
    <cellStyle name="Normal 2 2 2 25 5 5" xfId="17162" xr:uid="{00000000-0005-0000-0000-000001430000}"/>
    <cellStyle name="Normal 2 2 2 25 5 6" xfId="17163" xr:uid="{00000000-0005-0000-0000-000002430000}"/>
    <cellStyle name="Normal 2 2 2 25 5 7" xfId="17164" xr:uid="{00000000-0005-0000-0000-000003430000}"/>
    <cellStyle name="Normal 2 2 2 25 5 8" xfId="17165" xr:uid="{00000000-0005-0000-0000-000004430000}"/>
    <cellStyle name="Normal 2 2 2 25 5 9" xfId="17166" xr:uid="{00000000-0005-0000-0000-000005430000}"/>
    <cellStyle name="Normal 2 2 2 25 6" xfId="17167" xr:uid="{00000000-0005-0000-0000-000006430000}"/>
    <cellStyle name="Normal 2 2 2 25 7" xfId="17168" xr:uid="{00000000-0005-0000-0000-000007430000}"/>
    <cellStyle name="Normal 2 2 2 25 8" xfId="17169" xr:uid="{00000000-0005-0000-0000-000008430000}"/>
    <cellStyle name="Normal 2 2 2 25 9" xfId="17170" xr:uid="{00000000-0005-0000-0000-000009430000}"/>
    <cellStyle name="Normal 2 2 2 26" xfId="17171" xr:uid="{00000000-0005-0000-0000-00000A430000}"/>
    <cellStyle name="Normal 2 2 2 26 10" xfId="17172" xr:uid="{00000000-0005-0000-0000-00000B430000}"/>
    <cellStyle name="Normal 2 2 2 26 11" xfId="17173" xr:uid="{00000000-0005-0000-0000-00000C430000}"/>
    <cellStyle name="Normal 2 2 2 26 12" xfId="17174" xr:uid="{00000000-0005-0000-0000-00000D430000}"/>
    <cellStyle name="Normal 2 2 2 26 13" xfId="17175" xr:uid="{00000000-0005-0000-0000-00000E430000}"/>
    <cellStyle name="Normal 2 2 2 26 14" xfId="17176" xr:uid="{00000000-0005-0000-0000-00000F430000}"/>
    <cellStyle name="Normal 2 2 2 26 2" xfId="17177" xr:uid="{00000000-0005-0000-0000-000010430000}"/>
    <cellStyle name="Normal 2 2 2 26 2 10" xfId="17178" xr:uid="{00000000-0005-0000-0000-000011430000}"/>
    <cellStyle name="Normal 2 2 2 26 2 2" xfId="17179" xr:uid="{00000000-0005-0000-0000-000012430000}"/>
    <cellStyle name="Normal 2 2 2 26 2 3" xfId="17180" xr:uid="{00000000-0005-0000-0000-000013430000}"/>
    <cellStyle name="Normal 2 2 2 26 2 4" xfId="17181" xr:uid="{00000000-0005-0000-0000-000014430000}"/>
    <cellStyle name="Normal 2 2 2 26 2 5" xfId="17182" xr:uid="{00000000-0005-0000-0000-000015430000}"/>
    <cellStyle name="Normal 2 2 2 26 2 6" xfId="17183" xr:uid="{00000000-0005-0000-0000-000016430000}"/>
    <cellStyle name="Normal 2 2 2 26 2 7" xfId="17184" xr:uid="{00000000-0005-0000-0000-000017430000}"/>
    <cellStyle name="Normal 2 2 2 26 2 8" xfId="17185" xr:uid="{00000000-0005-0000-0000-000018430000}"/>
    <cellStyle name="Normal 2 2 2 26 2 9" xfId="17186" xr:uid="{00000000-0005-0000-0000-000019430000}"/>
    <cellStyle name="Normal 2 2 2 26 3" xfId="17187" xr:uid="{00000000-0005-0000-0000-00001A430000}"/>
    <cellStyle name="Normal 2 2 2 26 3 10" xfId="17188" xr:uid="{00000000-0005-0000-0000-00001B430000}"/>
    <cellStyle name="Normal 2 2 2 26 3 2" xfId="17189" xr:uid="{00000000-0005-0000-0000-00001C430000}"/>
    <cellStyle name="Normal 2 2 2 26 3 3" xfId="17190" xr:uid="{00000000-0005-0000-0000-00001D430000}"/>
    <cellStyle name="Normal 2 2 2 26 3 4" xfId="17191" xr:uid="{00000000-0005-0000-0000-00001E430000}"/>
    <cellStyle name="Normal 2 2 2 26 3 5" xfId="17192" xr:uid="{00000000-0005-0000-0000-00001F430000}"/>
    <cellStyle name="Normal 2 2 2 26 3 6" xfId="17193" xr:uid="{00000000-0005-0000-0000-000020430000}"/>
    <cellStyle name="Normal 2 2 2 26 3 7" xfId="17194" xr:uid="{00000000-0005-0000-0000-000021430000}"/>
    <cellStyle name="Normal 2 2 2 26 3 8" xfId="17195" xr:uid="{00000000-0005-0000-0000-000022430000}"/>
    <cellStyle name="Normal 2 2 2 26 3 9" xfId="17196" xr:uid="{00000000-0005-0000-0000-000023430000}"/>
    <cellStyle name="Normal 2 2 2 26 4" xfId="17197" xr:uid="{00000000-0005-0000-0000-000024430000}"/>
    <cellStyle name="Normal 2 2 2 26 4 10" xfId="17198" xr:uid="{00000000-0005-0000-0000-000025430000}"/>
    <cellStyle name="Normal 2 2 2 26 4 2" xfId="17199" xr:uid="{00000000-0005-0000-0000-000026430000}"/>
    <cellStyle name="Normal 2 2 2 26 4 3" xfId="17200" xr:uid="{00000000-0005-0000-0000-000027430000}"/>
    <cellStyle name="Normal 2 2 2 26 4 4" xfId="17201" xr:uid="{00000000-0005-0000-0000-000028430000}"/>
    <cellStyle name="Normal 2 2 2 26 4 5" xfId="17202" xr:uid="{00000000-0005-0000-0000-000029430000}"/>
    <cellStyle name="Normal 2 2 2 26 4 6" xfId="17203" xr:uid="{00000000-0005-0000-0000-00002A430000}"/>
    <cellStyle name="Normal 2 2 2 26 4 7" xfId="17204" xr:uid="{00000000-0005-0000-0000-00002B430000}"/>
    <cellStyle name="Normal 2 2 2 26 4 8" xfId="17205" xr:uid="{00000000-0005-0000-0000-00002C430000}"/>
    <cellStyle name="Normal 2 2 2 26 4 9" xfId="17206" xr:uid="{00000000-0005-0000-0000-00002D430000}"/>
    <cellStyle name="Normal 2 2 2 26 5" xfId="17207" xr:uid="{00000000-0005-0000-0000-00002E430000}"/>
    <cellStyle name="Normal 2 2 2 26 5 10" xfId="17208" xr:uid="{00000000-0005-0000-0000-00002F430000}"/>
    <cellStyle name="Normal 2 2 2 26 5 2" xfId="17209" xr:uid="{00000000-0005-0000-0000-000030430000}"/>
    <cellStyle name="Normal 2 2 2 26 5 3" xfId="17210" xr:uid="{00000000-0005-0000-0000-000031430000}"/>
    <cellStyle name="Normal 2 2 2 26 5 4" xfId="17211" xr:uid="{00000000-0005-0000-0000-000032430000}"/>
    <cellStyle name="Normal 2 2 2 26 5 5" xfId="17212" xr:uid="{00000000-0005-0000-0000-000033430000}"/>
    <cellStyle name="Normal 2 2 2 26 5 6" xfId="17213" xr:uid="{00000000-0005-0000-0000-000034430000}"/>
    <cellStyle name="Normal 2 2 2 26 5 7" xfId="17214" xr:uid="{00000000-0005-0000-0000-000035430000}"/>
    <cellStyle name="Normal 2 2 2 26 5 8" xfId="17215" xr:uid="{00000000-0005-0000-0000-000036430000}"/>
    <cellStyle name="Normal 2 2 2 26 5 9" xfId="17216" xr:uid="{00000000-0005-0000-0000-000037430000}"/>
    <cellStyle name="Normal 2 2 2 26 6" xfId="17217" xr:uid="{00000000-0005-0000-0000-000038430000}"/>
    <cellStyle name="Normal 2 2 2 26 7" xfId="17218" xr:uid="{00000000-0005-0000-0000-000039430000}"/>
    <cellStyle name="Normal 2 2 2 26 8" xfId="17219" xr:uid="{00000000-0005-0000-0000-00003A430000}"/>
    <cellStyle name="Normal 2 2 2 26 9" xfId="17220" xr:uid="{00000000-0005-0000-0000-00003B430000}"/>
    <cellStyle name="Normal 2 2 2 27" xfId="17221" xr:uid="{00000000-0005-0000-0000-00003C430000}"/>
    <cellStyle name="Normal 2 2 2 27 10" xfId="17222" xr:uid="{00000000-0005-0000-0000-00003D430000}"/>
    <cellStyle name="Normal 2 2 2 27 11" xfId="17223" xr:uid="{00000000-0005-0000-0000-00003E430000}"/>
    <cellStyle name="Normal 2 2 2 27 12" xfId="17224" xr:uid="{00000000-0005-0000-0000-00003F430000}"/>
    <cellStyle name="Normal 2 2 2 27 13" xfId="17225" xr:uid="{00000000-0005-0000-0000-000040430000}"/>
    <cellStyle name="Normal 2 2 2 27 14" xfId="17226" xr:uid="{00000000-0005-0000-0000-000041430000}"/>
    <cellStyle name="Normal 2 2 2 27 2" xfId="17227" xr:uid="{00000000-0005-0000-0000-000042430000}"/>
    <cellStyle name="Normal 2 2 2 27 2 10" xfId="17228" xr:uid="{00000000-0005-0000-0000-000043430000}"/>
    <cellStyle name="Normal 2 2 2 27 2 2" xfId="17229" xr:uid="{00000000-0005-0000-0000-000044430000}"/>
    <cellStyle name="Normal 2 2 2 27 2 3" xfId="17230" xr:uid="{00000000-0005-0000-0000-000045430000}"/>
    <cellStyle name="Normal 2 2 2 27 2 4" xfId="17231" xr:uid="{00000000-0005-0000-0000-000046430000}"/>
    <cellStyle name="Normal 2 2 2 27 2 5" xfId="17232" xr:uid="{00000000-0005-0000-0000-000047430000}"/>
    <cellStyle name="Normal 2 2 2 27 2 6" xfId="17233" xr:uid="{00000000-0005-0000-0000-000048430000}"/>
    <cellStyle name="Normal 2 2 2 27 2 7" xfId="17234" xr:uid="{00000000-0005-0000-0000-000049430000}"/>
    <cellStyle name="Normal 2 2 2 27 2 8" xfId="17235" xr:uid="{00000000-0005-0000-0000-00004A430000}"/>
    <cellStyle name="Normal 2 2 2 27 2 9" xfId="17236" xr:uid="{00000000-0005-0000-0000-00004B430000}"/>
    <cellStyle name="Normal 2 2 2 27 3" xfId="17237" xr:uid="{00000000-0005-0000-0000-00004C430000}"/>
    <cellStyle name="Normal 2 2 2 27 3 10" xfId="17238" xr:uid="{00000000-0005-0000-0000-00004D430000}"/>
    <cellStyle name="Normal 2 2 2 27 3 2" xfId="17239" xr:uid="{00000000-0005-0000-0000-00004E430000}"/>
    <cellStyle name="Normal 2 2 2 27 3 3" xfId="17240" xr:uid="{00000000-0005-0000-0000-00004F430000}"/>
    <cellStyle name="Normal 2 2 2 27 3 4" xfId="17241" xr:uid="{00000000-0005-0000-0000-000050430000}"/>
    <cellStyle name="Normal 2 2 2 27 3 5" xfId="17242" xr:uid="{00000000-0005-0000-0000-000051430000}"/>
    <cellStyle name="Normal 2 2 2 27 3 6" xfId="17243" xr:uid="{00000000-0005-0000-0000-000052430000}"/>
    <cellStyle name="Normal 2 2 2 27 3 7" xfId="17244" xr:uid="{00000000-0005-0000-0000-000053430000}"/>
    <cellStyle name="Normal 2 2 2 27 3 8" xfId="17245" xr:uid="{00000000-0005-0000-0000-000054430000}"/>
    <cellStyle name="Normal 2 2 2 27 3 9" xfId="17246" xr:uid="{00000000-0005-0000-0000-000055430000}"/>
    <cellStyle name="Normal 2 2 2 27 4" xfId="17247" xr:uid="{00000000-0005-0000-0000-000056430000}"/>
    <cellStyle name="Normal 2 2 2 27 4 10" xfId="17248" xr:uid="{00000000-0005-0000-0000-000057430000}"/>
    <cellStyle name="Normal 2 2 2 27 4 2" xfId="17249" xr:uid="{00000000-0005-0000-0000-000058430000}"/>
    <cellStyle name="Normal 2 2 2 27 4 3" xfId="17250" xr:uid="{00000000-0005-0000-0000-000059430000}"/>
    <cellStyle name="Normal 2 2 2 27 4 4" xfId="17251" xr:uid="{00000000-0005-0000-0000-00005A430000}"/>
    <cellStyle name="Normal 2 2 2 27 4 5" xfId="17252" xr:uid="{00000000-0005-0000-0000-00005B430000}"/>
    <cellStyle name="Normal 2 2 2 27 4 6" xfId="17253" xr:uid="{00000000-0005-0000-0000-00005C430000}"/>
    <cellStyle name="Normal 2 2 2 27 4 7" xfId="17254" xr:uid="{00000000-0005-0000-0000-00005D430000}"/>
    <cellStyle name="Normal 2 2 2 27 4 8" xfId="17255" xr:uid="{00000000-0005-0000-0000-00005E430000}"/>
    <cellStyle name="Normal 2 2 2 27 4 9" xfId="17256" xr:uid="{00000000-0005-0000-0000-00005F430000}"/>
    <cellStyle name="Normal 2 2 2 27 5" xfId="17257" xr:uid="{00000000-0005-0000-0000-000060430000}"/>
    <cellStyle name="Normal 2 2 2 27 5 10" xfId="17258" xr:uid="{00000000-0005-0000-0000-000061430000}"/>
    <cellStyle name="Normal 2 2 2 27 5 2" xfId="17259" xr:uid="{00000000-0005-0000-0000-000062430000}"/>
    <cellStyle name="Normal 2 2 2 27 5 3" xfId="17260" xr:uid="{00000000-0005-0000-0000-000063430000}"/>
    <cellStyle name="Normal 2 2 2 27 5 4" xfId="17261" xr:uid="{00000000-0005-0000-0000-000064430000}"/>
    <cellStyle name="Normal 2 2 2 27 5 5" xfId="17262" xr:uid="{00000000-0005-0000-0000-000065430000}"/>
    <cellStyle name="Normal 2 2 2 27 5 6" xfId="17263" xr:uid="{00000000-0005-0000-0000-000066430000}"/>
    <cellStyle name="Normal 2 2 2 27 5 7" xfId="17264" xr:uid="{00000000-0005-0000-0000-000067430000}"/>
    <cellStyle name="Normal 2 2 2 27 5 8" xfId="17265" xr:uid="{00000000-0005-0000-0000-000068430000}"/>
    <cellStyle name="Normal 2 2 2 27 5 9" xfId="17266" xr:uid="{00000000-0005-0000-0000-000069430000}"/>
    <cellStyle name="Normal 2 2 2 27 6" xfId="17267" xr:uid="{00000000-0005-0000-0000-00006A430000}"/>
    <cellStyle name="Normal 2 2 2 27 7" xfId="17268" xr:uid="{00000000-0005-0000-0000-00006B430000}"/>
    <cellStyle name="Normal 2 2 2 27 8" xfId="17269" xr:uid="{00000000-0005-0000-0000-00006C430000}"/>
    <cellStyle name="Normal 2 2 2 27 9" xfId="17270" xr:uid="{00000000-0005-0000-0000-00006D430000}"/>
    <cellStyle name="Normal 2 2 2 28" xfId="17271" xr:uid="{00000000-0005-0000-0000-00006E430000}"/>
    <cellStyle name="Normal 2 2 2 28 10" xfId="17272" xr:uid="{00000000-0005-0000-0000-00006F430000}"/>
    <cellStyle name="Normal 2 2 2 28 11" xfId="17273" xr:uid="{00000000-0005-0000-0000-000070430000}"/>
    <cellStyle name="Normal 2 2 2 28 12" xfId="17274" xr:uid="{00000000-0005-0000-0000-000071430000}"/>
    <cellStyle name="Normal 2 2 2 28 13" xfId="17275" xr:uid="{00000000-0005-0000-0000-000072430000}"/>
    <cellStyle name="Normal 2 2 2 28 14" xfId="17276" xr:uid="{00000000-0005-0000-0000-000073430000}"/>
    <cellStyle name="Normal 2 2 2 28 2" xfId="17277" xr:uid="{00000000-0005-0000-0000-000074430000}"/>
    <cellStyle name="Normal 2 2 2 28 2 10" xfId="17278" xr:uid="{00000000-0005-0000-0000-000075430000}"/>
    <cellStyle name="Normal 2 2 2 28 2 2" xfId="17279" xr:uid="{00000000-0005-0000-0000-000076430000}"/>
    <cellStyle name="Normal 2 2 2 28 2 3" xfId="17280" xr:uid="{00000000-0005-0000-0000-000077430000}"/>
    <cellStyle name="Normal 2 2 2 28 2 4" xfId="17281" xr:uid="{00000000-0005-0000-0000-000078430000}"/>
    <cellStyle name="Normal 2 2 2 28 2 5" xfId="17282" xr:uid="{00000000-0005-0000-0000-000079430000}"/>
    <cellStyle name="Normal 2 2 2 28 2 6" xfId="17283" xr:uid="{00000000-0005-0000-0000-00007A430000}"/>
    <cellStyle name="Normal 2 2 2 28 2 7" xfId="17284" xr:uid="{00000000-0005-0000-0000-00007B430000}"/>
    <cellStyle name="Normal 2 2 2 28 2 8" xfId="17285" xr:uid="{00000000-0005-0000-0000-00007C430000}"/>
    <cellStyle name="Normal 2 2 2 28 2 9" xfId="17286" xr:uid="{00000000-0005-0000-0000-00007D430000}"/>
    <cellStyle name="Normal 2 2 2 28 3" xfId="17287" xr:uid="{00000000-0005-0000-0000-00007E430000}"/>
    <cellStyle name="Normal 2 2 2 28 3 10" xfId="17288" xr:uid="{00000000-0005-0000-0000-00007F430000}"/>
    <cellStyle name="Normal 2 2 2 28 3 2" xfId="17289" xr:uid="{00000000-0005-0000-0000-000080430000}"/>
    <cellStyle name="Normal 2 2 2 28 3 3" xfId="17290" xr:uid="{00000000-0005-0000-0000-000081430000}"/>
    <cellStyle name="Normal 2 2 2 28 3 4" xfId="17291" xr:uid="{00000000-0005-0000-0000-000082430000}"/>
    <cellStyle name="Normal 2 2 2 28 3 5" xfId="17292" xr:uid="{00000000-0005-0000-0000-000083430000}"/>
    <cellStyle name="Normal 2 2 2 28 3 6" xfId="17293" xr:uid="{00000000-0005-0000-0000-000084430000}"/>
    <cellStyle name="Normal 2 2 2 28 3 7" xfId="17294" xr:uid="{00000000-0005-0000-0000-000085430000}"/>
    <cellStyle name="Normal 2 2 2 28 3 8" xfId="17295" xr:uid="{00000000-0005-0000-0000-000086430000}"/>
    <cellStyle name="Normal 2 2 2 28 3 9" xfId="17296" xr:uid="{00000000-0005-0000-0000-000087430000}"/>
    <cellStyle name="Normal 2 2 2 28 4" xfId="17297" xr:uid="{00000000-0005-0000-0000-000088430000}"/>
    <cellStyle name="Normal 2 2 2 28 4 10" xfId="17298" xr:uid="{00000000-0005-0000-0000-000089430000}"/>
    <cellStyle name="Normal 2 2 2 28 4 2" xfId="17299" xr:uid="{00000000-0005-0000-0000-00008A430000}"/>
    <cellStyle name="Normal 2 2 2 28 4 3" xfId="17300" xr:uid="{00000000-0005-0000-0000-00008B430000}"/>
    <cellStyle name="Normal 2 2 2 28 4 4" xfId="17301" xr:uid="{00000000-0005-0000-0000-00008C430000}"/>
    <cellStyle name="Normal 2 2 2 28 4 5" xfId="17302" xr:uid="{00000000-0005-0000-0000-00008D430000}"/>
    <cellStyle name="Normal 2 2 2 28 4 6" xfId="17303" xr:uid="{00000000-0005-0000-0000-00008E430000}"/>
    <cellStyle name="Normal 2 2 2 28 4 7" xfId="17304" xr:uid="{00000000-0005-0000-0000-00008F430000}"/>
    <cellStyle name="Normal 2 2 2 28 4 8" xfId="17305" xr:uid="{00000000-0005-0000-0000-000090430000}"/>
    <cellStyle name="Normal 2 2 2 28 4 9" xfId="17306" xr:uid="{00000000-0005-0000-0000-000091430000}"/>
    <cellStyle name="Normal 2 2 2 28 5" xfId="17307" xr:uid="{00000000-0005-0000-0000-000092430000}"/>
    <cellStyle name="Normal 2 2 2 28 5 10" xfId="17308" xr:uid="{00000000-0005-0000-0000-000093430000}"/>
    <cellStyle name="Normal 2 2 2 28 5 2" xfId="17309" xr:uid="{00000000-0005-0000-0000-000094430000}"/>
    <cellStyle name="Normal 2 2 2 28 5 3" xfId="17310" xr:uid="{00000000-0005-0000-0000-000095430000}"/>
    <cellStyle name="Normal 2 2 2 28 5 4" xfId="17311" xr:uid="{00000000-0005-0000-0000-000096430000}"/>
    <cellStyle name="Normal 2 2 2 28 5 5" xfId="17312" xr:uid="{00000000-0005-0000-0000-000097430000}"/>
    <cellStyle name="Normal 2 2 2 28 5 6" xfId="17313" xr:uid="{00000000-0005-0000-0000-000098430000}"/>
    <cellStyle name="Normal 2 2 2 28 5 7" xfId="17314" xr:uid="{00000000-0005-0000-0000-000099430000}"/>
    <cellStyle name="Normal 2 2 2 28 5 8" xfId="17315" xr:uid="{00000000-0005-0000-0000-00009A430000}"/>
    <cellStyle name="Normal 2 2 2 28 5 9" xfId="17316" xr:uid="{00000000-0005-0000-0000-00009B430000}"/>
    <cellStyle name="Normal 2 2 2 28 6" xfId="17317" xr:uid="{00000000-0005-0000-0000-00009C430000}"/>
    <cellStyle name="Normal 2 2 2 28 7" xfId="17318" xr:uid="{00000000-0005-0000-0000-00009D430000}"/>
    <cellStyle name="Normal 2 2 2 28 8" xfId="17319" xr:uid="{00000000-0005-0000-0000-00009E430000}"/>
    <cellStyle name="Normal 2 2 2 28 9" xfId="17320" xr:uid="{00000000-0005-0000-0000-00009F430000}"/>
    <cellStyle name="Normal 2 2 2 29" xfId="17321" xr:uid="{00000000-0005-0000-0000-0000A0430000}"/>
    <cellStyle name="Normal 2 2 2 29 10" xfId="17322" xr:uid="{00000000-0005-0000-0000-0000A1430000}"/>
    <cellStyle name="Normal 2 2 2 29 11" xfId="17323" xr:uid="{00000000-0005-0000-0000-0000A2430000}"/>
    <cellStyle name="Normal 2 2 2 29 12" xfId="17324" xr:uid="{00000000-0005-0000-0000-0000A3430000}"/>
    <cellStyle name="Normal 2 2 2 29 13" xfId="17325" xr:uid="{00000000-0005-0000-0000-0000A4430000}"/>
    <cellStyle name="Normal 2 2 2 29 14" xfId="17326" xr:uid="{00000000-0005-0000-0000-0000A5430000}"/>
    <cellStyle name="Normal 2 2 2 29 2" xfId="17327" xr:uid="{00000000-0005-0000-0000-0000A6430000}"/>
    <cellStyle name="Normal 2 2 2 29 2 10" xfId="17328" xr:uid="{00000000-0005-0000-0000-0000A7430000}"/>
    <cellStyle name="Normal 2 2 2 29 2 2" xfId="17329" xr:uid="{00000000-0005-0000-0000-0000A8430000}"/>
    <cellStyle name="Normal 2 2 2 29 2 3" xfId="17330" xr:uid="{00000000-0005-0000-0000-0000A9430000}"/>
    <cellStyle name="Normal 2 2 2 29 2 4" xfId="17331" xr:uid="{00000000-0005-0000-0000-0000AA430000}"/>
    <cellStyle name="Normal 2 2 2 29 2 5" xfId="17332" xr:uid="{00000000-0005-0000-0000-0000AB430000}"/>
    <cellStyle name="Normal 2 2 2 29 2 6" xfId="17333" xr:uid="{00000000-0005-0000-0000-0000AC430000}"/>
    <cellStyle name="Normal 2 2 2 29 2 7" xfId="17334" xr:uid="{00000000-0005-0000-0000-0000AD430000}"/>
    <cellStyle name="Normal 2 2 2 29 2 8" xfId="17335" xr:uid="{00000000-0005-0000-0000-0000AE430000}"/>
    <cellStyle name="Normal 2 2 2 29 2 9" xfId="17336" xr:uid="{00000000-0005-0000-0000-0000AF430000}"/>
    <cellStyle name="Normal 2 2 2 29 3" xfId="17337" xr:uid="{00000000-0005-0000-0000-0000B0430000}"/>
    <cellStyle name="Normal 2 2 2 29 3 10" xfId="17338" xr:uid="{00000000-0005-0000-0000-0000B1430000}"/>
    <cellStyle name="Normal 2 2 2 29 3 2" xfId="17339" xr:uid="{00000000-0005-0000-0000-0000B2430000}"/>
    <cellStyle name="Normal 2 2 2 29 3 3" xfId="17340" xr:uid="{00000000-0005-0000-0000-0000B3430000}"/>
    <cellStyle name="Normal 2 2 2 29 3 4" xfId="17341" xr:uid="{00000000-0005-0000-0000-0000B4430000}"/>
    <cellStyle name="Normal 2 2 2 29 3 5" xfId="17342" xr:uid="{00000000-0005-0000-0000-0000B5430000}"/>
    <cellStyle name="Normal 2 2 2 29 3 6" xfId="17343" xr:uid="{00000000-0005-0000-0000-0000B6430000}"/>
    <cellStyle name="Normal 2 2 2 29 3 7" xfId="17344" xr:uid="{00000000-0005-0000-0000-0000B7430000}"/>
    <cellStyle name="Normal 2 2 2 29 3 8" xfId="17345" xr:uid="{00000000-0005-0000-0000-0000B8430000}"/>
    <cellStyle name="Normal 2 2 2 29 3 9" xfId="17346" xr:uid="{00000000-0005-0000-0000-0000B9430000}"/>
    <cellStyle name="Normal 2 2 2 29 4" xfId="17347" xr:uid="{00000000-0005-0000-0000-0000BA430000}"/>
    <cellStyle name="Normal 2 2 2 29 4 10" xfId="17348" xr:uid="{00000000-0005-0000-0000-0000BB430000}"/>
    <cellStyle name="Normal 2 2 2 29 4 2" xfId="17349" xr:uid="{00000000-0005-0000-0000-0000BC430000}"/>
    <cellStyle name="Normal 2 2 2 29 4 3" xfId="17350" xr:uid="{00000000-0005-0000-0000-0000BD430000}"/>
    <cellStyle name="Normal 2 2 2 29 4 4" xfId="17351" xr:uid="{00000000-0005-0000-0000-0000BE430000}"/>
    <cellStyle name="Normal 2 2 2 29 4 5" xfId="17352" xr:uid="{00000000-0005-0000-0000-0000BF430000}"/>
    <cellStyle name="Normal 2 2 2 29 4 6" xfId="17353" xr:uid="{00000000-0005-0000-0000-0000C0430000}"/>
    <cellStyle name="Normal 2 2 2 29 4 7" xfId="17354" xr:uid="{00000000-0005-0000-0000-0000C1430000}"/>
    <cellStyle name="Normal 2 2 2 29 4 8" xfId="17355" xr:uid="{00000000-0005-0000-0000-0000C2430000}"/>
    <cellStyle name="Normal 2 2 2 29 4 9" xfId="17356" xr:uid="{00000000-0005-0000-0000-0000C3430000}"/>
    <cellStyle name="Normal 2 2 2 29 5" xfId="17357" xr:uid="{00000000-0005-0000-0000-0000C4430000}"/>
    <cellStyle name="Normal 2 2 2 29 5 10" xfId="17358" xr:uid="{00000000-0005-0000-0000-0000C5430000}"/>
    <cellStyle name="Normal 2 2 2 29 5 2" xfId="17359" xr:uid="{00000000-0005-0000-0000-0000C6430000}"/>
    <cellStyle name="Normal 2 2 2 29 5 3" xfId="17360" xr:uid="{00000000-0005-0000-0000-0000C7430000}"/>
    <cellStyle name="Normal 2 2 2 29 5 4" xfId="17361" xr:uid="{00000000-0005-0000-0000-0000C8430000}"/>
    <cellStyle name="Normal 2 2 2 29 5 5" xfId="17362" xr:uid="{00000000-0005-0000-0000-0000C9430000}"/>
    <cellStyle name="Normal 2 2 2 29 5 6" xfId="17363" xr:uid="{00000000-0005-0000-0000-0000CA430000}"/>
    <cellStyle name="Normal 2 2 2 29 5 7" xfId="17364" xr:uid="{00000000-0005-0000-0000-0000CB430000}"/>
    <cellStyle name="Normal 2 2 2 29 5 8" xfId="17365" xr:uid="{00000000-0005-0000-0000-0000CC430000}"/>
    <cellStyle name="Normal 2 2 2 29 5 9" xfId="17366" xr:uid="{00000000-0005-0000-0000-0000CD430000}"/>
    <cellStyle name="Normal 2 2 2 29 6" xfId="17367" xr:uid="{00000000-0005-0000-0000-0000CE430000}"/>
    <cellStyle name="Normal 2 2 2 29 7" xfId="17368" xr:uid="{00000000-0005-0000-0000-0000CF430000}"/>
    <cellStyle name="Normal 2 2 2 29 8" xfId="17369" xr:uid="{00000000-0005-0000-0000-0000D0430000}"/>
    <cellStyle name="Normal 2 2 2 29 9" xfId="17370" xr:uid="{00000000-0005-0000-0000-0000D1430000}"/>
    <cellStyle name="Normal 2 2 2 3" xfId="16" xr:uid="{00000000-0005-0000-0000-0000D2430000}"/>
    <cellStyle name="Normal 2 2 2 3 10" xfId="17371" xr:uid="{00000000-0005-0000-0000-0000D3430000}"/>
    <cellStyle name="Normal 2 2 2 3 10 10" xfId="17372" xr:uid="{00000000-0005-0000-0000-0000D4430000}"/>
    <cellStyle name="Normal 2 2 2 3 10 11" xfId="17373" xr:uid="{00000000-0005-0000-0000-0000D5430000}"/>
    <cellStyle name="Normal 2 2 2 3 10 12" xfId="17374" xr:uid="{00000000-0005-0000-0000-0000D6430000}"/>
    <cellStyle name="Normal 2 2 2 3 10 13" xfId="17375" xr:uid="{00000000-0005-0000-0000-0000D7430000}"/>
    <cellStyle name="Normal 2 2 2 3 10 14" xfId="17376" xr:uid="{00000000-0005-0000-0000-0000D8430000}"/>
    <cellStyle name="Normal 2 2 2 3 10 2" xfId="17377" xr:uid="{00000000-0005-0000-0000-0000D9430000}"/>
    <cellStyle name="Normal 2 2 2 3 10 2 10" xfId="17378" xr:uid="{00000000-0005-0000-0000-0000DA430000}"/>
    <cellStyle name="Normal 2 2 2 3 10 2 2" xfId="17379" xr:uid="{00000000-0005-0000-0000-0000DB430000}"/>
    <cellStyle name="Normal 2 2 2 3 10 2 3" xfId="17380" xr:uid="{00000000-0005-0000-0000-0000DC430000}"/>
    <cellStyle name="Normal 2 2 2 3 10 2 4" xfId="17381" xr:uid="{00000000-0005-0000-0000-0000DD430000}"/>
    <cellStyle name="Normal 2 2 2 3 10 2 5" xfId="17382" xr:uid="{00000000-0005-0000-0000-0000DE430000}"/>
    <cellStyle name="Normal 2 2 2 3 10 2 6" xfId="17383" xr:uid="{00000000-0005-0000-0000-0000DF430000}"/>
    <cellStyle name="Normal 2 2 2 3 10 2 7" xfId="17384" xr:uid="{00000000-0005-0000-0000-0000E0430000}"/>
    <cellStyle name="Normal 2 2 2 3 10 2 8" xfId="17385" xr:uid="{00000000-0005-0000-0000-0000E1430000}"/>
    <cellStyle name="Normal 2 2 2 3 10 2 9" xfId="17386" xr:uid="{00000000-0005-0000-0000-0000E2430000}"/>
    <cellStyle name="Normal 2 2 2 3 10 3" xfId="17387" xr:uid="{00000000-0005-0000-0000-0000E3430000}"/>
    <cellStyle name="Normal 2 2 2 3 10 3 10" xfId="17388" xr:uid="{00000000-0005-0000-0000-0000E4430000}"/>
    <cellStyle name="Normal 2 2 2 3 10 3 2" xfId="17389" xr:uid="{00000000-0005-0000-0000-0000E5430000}"/>
    <cellStyle name="Normal 2 2 2 3 10 3 3" xfId="17390" xr:uid="{00000000-0005-0000-0000-0000E6430000}"/>
    <cellStyle name="Normal 2 2 2 3 10 3 4" xfId="17391" xr:uid="{00000000-0005-0000-0000-0000E7430000}"/>
    <cellStyle name="Normal 2 2 2 3 10 3 5" xfId="17392" xr:uid="{00000000-0005-0000-0000-0000E8430000}"/>
    <cellStyle name="Normal 2 2 2 3 10 3 6" xfId="17393" xr:uid="{00000000-0005-0000-0000-0000E9430000}"/>
    <cellStyle name="Normal 2 2 2 3 10 3 7" xfId="17394" xr:uid="{00000000-0005-0000-0000-0000EA430000}"/>
    <cellStyle name="Normal 2 2 2 3 10 3 8" xfId="17395" xr:uid="{00000000-0005-0000-0000-0000EB430000}"/>
    <cellStyle name="Normal 2 2 2 3 10 3 9" xfId="17396" xr:uid="{00000000-0005-0000-0000-0000EC430000}"/>
    <cellStyle name="Normal 2 2 2 3 10 4" xfId="17397" xr:uid="{00000000-0005-0000-0000-0000ED430000}"/>
    <cellStyle name="Normal 2 2 2 3 10 4 10" xfId="17398" xr:uid="{00000000-0005-0000-0000-0000EE430000}"/>
    <cellStyle name="Normal 2 2 2 3 10 4 2" xfId="17399" xr:uid="{00000000-0005-0000-0000-0000EF430000}"/>
    <cellStyle name="Normal 2 2 2 3 10 4 3" xfId="17400" xr:uid="{00000000-0005-0000-0000-0000F0430000}"/>
    <cellStyle name="Normal 2 2 2 3 10 4 4" xfId="17401" xr:uid="{00000000-0005-0000-0000-0000F1430000}"/>
    <cellStyle name="Normal 2 2 2 3 10 4 5" xfId="17402" xr:uid="{00000000-0005-0000-0000-0000F2430000}"/>
    <cellStyle name="Normal 2 2 2 3 10 4 6" xfId="17403" xr:uid="{00000000-0005-0000-0000-0000F3430000}"/>
    <cellStyle name="Normal 2 2 2 3 10 4 7" xfId="17404" xr:uid="{00000000-0005-0000-0000-0000F4430000}"/>
    <cellStyle name="Normal 2 2 2 3 10 4 8" xfId="17405" xr:uid="{00000000-0005-0000-0000-0000F5430000}"/>
    <cellStyle name="Normal 2 2 2 3 10 4 9" xfId="17406" xr:uid="{00000000-0005-0000-0000-0000F6430000}"/>
    <cellStyle name="Normal 2 2 2 3 10 5" xfId="17407" xr:uid="{00000000-0005-0000-0000-0000F7430000}"/>
    <cellStyle name="Normal 2 2 2 3 10 5 10" xfId="17408" xr:uid="{00000000-0005-0000-0000-0000F8430000}"/>
    <cellStyle name="Normal 2 2 2 3 10 5 2" xfId="17409" xr:uid="{00000000-0005-0000-0000-0000F9430000}"/>
    <cellStyle name="Normal 2 2 2 3 10 5 3" xfId="17410" xr:uid="{00000000-0005-0000-0000-0000FA430000}"/>
    <cellStyle name="Normal 2 2 2 3 10 5 4" xfId="17411" xr:uid="{00000000-0005-0000-0000-0000FB430000}"/>
    <cellStyle name="Normal 2 2 2 3 10 5 5" xfId="17412" xr:uid="{00000000-0005-0000-0000-0000FC430000}"/>
    <cellStyle name="Normal 2 2 2 3 10 5 6" xfId="17413" xr:uid="{00000000-0005-0000-0000-0000FD430000}"/>
    <cellStyle name="Normal 2 2 2 3 10 5 7" xfId="17414" xr:uid="{00000000-0005-0000-0000-0000FE430000}"/>
    <cellStyle name="Normal 2 2 2 3 10 5 8" xfId="17415" xr:uid="{00000000-0005-0000-0000-0000FF430000}"/>
    <cellStyle name="Normal 2 2 2 3 10 5 9" xfId="17416" xr:uid="{00000000-0005-0000-0000-000000440000}"/>
    <cellStyle name="Normal 2 2 2 3 10 6" xfId="17417" xr:uid="{00000000-0005-0000-0000-000001440000}"/>
    <cellStyle name="Normal 2 2 2 3 10 7" xfId="17418" xr:uid="{00000000-0005-0000-0000-000002440000}"/>
    <cellStyle name="Normal 2 2 2 3 10 8" xfId="17419" xr:uid="{00000000-0005-0000-0000-000003440000}"/>
    <cellStyle name="Normal 2 2 2 3 10 9" xfId="17420" xr:uid="{00000000-0005-0000-0000-000004440000}"/>
    <cellStyle name="Normal 2 2 2 3 11" xfId="17421" xr:uid="{00000000-0005-0000-0000-000005440000}"/>
    <cellStyle name="Normal 2 2 2 3 11 10" xfId="17422" xr:uid="{00000000-0005-0000-0000-000006440000}"/>
    <cellStyle name="Normal 2 2 2 3 11 11" xfId="17423" xr:uid="{00000000-0005-0000-0000-000007440000}"/>
    <cellStyle name="Normal 2 2 2 3 11 12" xfId="17424" xr:uid="{00000000-0005-0000-0000-000008440000}"/>
    <cellStyle name="Normal 2 2 2 3 11 13" xfId="17425" xr:uid="{00000000-0005-0000-0000-000009440000}"/>
    <cellStyle name="Normal 2 2 2 3 11 14" xfId="17426" xr:uid="{00000000-0005-0000-0000-00000A440000}"/>
    <cellStyle name="Normal 2 2 2 3 11 2" xfId="17427" xr:uid="{00000000-0005-0000-0000-00000B440000}"/>
    <cellStyle name="Normal 2 2 2 3 11 2 10" xfId="17428" xr:uid="{00000000-0005-0000-0000-00000C440000}"/>
    <cellStyle name="Normal 2 2 2 3 11 2 2" xfId="17429" xr:uid="{00000000-0005-0000-0000-00000D440000}"/>
    <cellStyle name="Normal 2 2 2 3 11 2 3" xfId="17430" xr:uid="{00000000-0005-0000-0000-00000E440000}"/>
    <cellStyle name="Normal 2 2 2 3 11 2 4" xfId="17431" xr:uid="{00000000-0005-0000-0000-00000F440000}"/>
    <cellStyle name="Normal 2 2 2 3 11 2 5" xfId="17432" xr:uid="{00000000-0005-0000-0000-000010440000}"/>
    <cellStyle name="Normal 2 2 2 3 11 2 6" xfId="17433" xr:uid="{00000000-0005-0000-0000-000011440000}"/>
    <cellStyle name="Normal 2 2 2 3 11 2 7" xfId="17434" xr:uid="{00000000-0005-0000-0000-000012440000}"/>
    <cellStyle name="Normal 2 2 2 3 11 2 8" xfId="17435" xr:uid="{00000000-0005-0000-0000-000013440000}"/>
    <cellStyle name="Normal 2 2 2 3 11 2 9" xfId="17436" xr:uid="{00000000-0005-0000-0000-000014440000}"/>
    <cellStyle name="Normal 2 2 2 3 11 3" xfId="17437" xr:uid="{00000000-0005-0000-0000-000015440000}"/>
    <cellStyle name="Normal 2 2 2 3 11 3 10" xfId="17438" xr:uid="{00000000-0005-0000-0000-000016440000}"/>
    <cellStyle name="Normal 2 2 2 3 11 3 2" xfId="17439" xr:uid="{00000000-0005-0000-0000-000017440000}"/>
    <cellStyle name="Normal 2 2 2 3 11 3 3" xfId="17440" xr:uid="{00000000-0005-0000-0000-000018440000}"/>
    <cellStyle name="Normal 2 2 2 3 11 3 4" xfId="17441" xr:uid="{00000000-0005-0000-0000-000019440000}"/>
    <cellStyle name="Normal 2 2 2 3 11 3 5" xfId="17442" xr:uid="{00000000-0005-0000-0000-00001A440000}"/>
    <cellStyle name="Normal 2 2 2 3 11 3 6" xfId="17443" xr:uid="{00000000-0005-0000-0000-00001B440000}"/>
    <cellStyle name="Normal 2 2 2 3 11 3 7" xfId="17444" xr:uid="{00000000-0005-0000-0000-00001C440000}"/>
    <cellStyle name="Normal 2 2 2 3 11 3 8" xfId="17445" xr:uid="{00000000-0005-0000-0000-00001D440000}"/>
    <cellStyle name="Normal 2 2 2 3 11 3 9" xfId="17446" xr:uid="{00000000-0005-0000-0000-00001E440000}"/>
    <cellStyle name="Normal 2 2 2 3 11 4" xfId="17447" xr:uid="{00000000-0005-0000-0000-00001F440000}"/>
    <cellStyle name="Normal 2 2 2 3 11 4 10" xfId="17448" xr:uid="{00000000-0005-0000-0000-000020440000}"/>
    <cellStyle name="Normal 2 2 2 3 11 4 2" xfId="17449" xr:uid="{00000000-0005-0000-0000-000021440000}"/>
    <cellStyle name="Normal 2 2 2 3 11 4 3" xfId="17450" xr:uid="{00000000-0005-0000-0000-000022440000}"/>
    <cellStyle name="Normal 2 2 2 3 11 4 4" xfId="17451" xr:uid="{00000000-0005-0000-0000-000023440000}"/>
    <cellStyle name="Normal 2 2 2 3 11 4 5" xfId="17452" xr:uid="{00000000-0005-0000-0000-000024440000}"/>
    <cellStyle name="Normal 2 2 2 3 11 4 6" xfId="17453" xr:uid="{00000000-0005-0000-0000-000025440000}"/>
    <cellStyle name="Normal 2 2 2 3 11 4 7" xfId="17454" xr:uid="{00000000-0005-0000-0000-000026440000}"/>
    <cellStyle name="Normal 2 2 2 3 11 4 8" xfId="17455" xr:uid="{00000000-0005-0000-0000-000027440000}"/>
    <cellStyle name="Normal 2 2 2 3 11 4 9" xfId="17456" xr:uid="{00000000-0005-0000-0000-000028440000}"/>
    <cellStyle name="Normal 2 2 2 3 11 5" xfId="17457" xr:uid="{00000000-0005-0000-0000-000029440000}"/>
    <cellStyle name="Normal 2 2 2 3 11 5 10" xfId="17458" xr:uid="{00000000-0005-0000-0000-00002A440000}"/>
    <cellStyle name="Normal 2 2 2 3 11 5 2" xfId="17459" xr:uid="{00000000-0005-0000-0000-00002B440000}"/>
    <cellStyle name="Normal 2 2 2 3 11 5 3" xfId="17460" xr:uid="{00000000-0005-0000-0000-00002C440000}"/>
    <cellStyle name="Normal 2 2 2 3 11 5 4" xfId="17461" xr:uid="{00000000-0005-0000-0000-00002D440000}"/>
    <cellStyle name="Normal 2 2 2 3 11 5 5" xfId="17462" xr:uid="{00000000-0005-0000-0000-00002E440000}"/>
    <cellStyle name="Normal 2 2 2 3 11 5 6" xfId="17463" xr:uid="{00000000-0005-0000-0000-00002F440000}"/>
    <cellStyle name="Normal 2 2 2 3 11 5 7" xfId="17464" xr:uid="{00000000-0005-0000-0000-000030440000}"/>
    <cellStyle name="Normal 2 2 2 3 11 5 8" xfId="17465" xr:uid="{00000000-0005-0000-0000-000031440000}"/>
    <cellStyle name="Normal 2 2 2 3 11 5 9" xfId="17466" xr:uid="{00000000-0005-0000-0000-000032440000}"/>
    <cellStyle name="Normal 2 2 2 3 11 6" xfId="17467" xr:uid="{00000000-0005-0000-0000-000033440000}"/>
    <cellStyle name="Normal 2 2 2 3 11 7" xfId="17468" xr:uid="{00000000-0005-0000-0000-000034440000}"/>
    <cellStyle name="Normal 2 2 2 3 11 8" xfId="17469" xr:uid="{00000000-0005-0000-0000-000035440000}"/>
    <cellStyle name="Normal 2 2 2 3 11 9" xfId="17470" xr:uid="{00000000-0005-0000-0000-000036440000}"/>
    <cellStyle name="Normal 2 2 2 3 12" xfId="17471" xr:uid="{00000000-0005-0000-0000-000037440000}"/>
    <cellStyle name="Normal 2 2 2 3 12 10" xfId="17472" xr:uid="{00000000-0005-0000-0000-000038440000}"/>
    <cellStyle name="Normal 2 2 2 3 12 11" xfId="17473" xr:uid="{00000000-0005-0000-0000-000039440000}"/>
    <cellStyle name="Normal 2 2 2 3 12 12" xfId="17474" xr:uid="{00000000-0005-0000-0000-00003A440000}"/>
    <cellStyle name="Normal 2 2 2 3 12 13" xfId="17475" xr:uid="{00000000-0005-0000-0000-00003B440000}"/>
    <cellStyle name="Normal 2 2 2 3 12 14" xfId="17476" xr:uid="{00000000-0005-0000-0000-00003C440000}"/>
    <cellStyle name="Normal 2 2 2 3 12 2" xfId="17477" xr:uid="{00000000-0005-0000-0000-00003D440000}"/>
    <cellStyle name="Normal 2 2 2 3 12 2 10" xfId="17478" xr:uid="{00000000-0005-0000-0000-00003E440000}"/>
    <cellStyle name="Normal 2 2 2 3 12 2 2" xfId="17479" xr:uid="{00000000-0005-0000-0000-00003F440000}"/>
    <cellStyle name="Normal 2 2 2 3 12 2 3" xfId="17480" xr:uid="{00000000-0005-0000-0000-000040440000}"/>
    <cellStyle name="Normal 2 2 2 3 12 2 4" xfId="17481" xr:uid="{00000000-0005-0000-0000-000041440000}"/>
    <cellStyle name="Normal 2 2 2 3 12 2 5" xfId="17482" xr:uid="{00000000-0005-0000-0000-000042440000}"/>
    <cellStyle name="Normal 2 2 2 3 12 2 6" xfId="17483" xr:uid="{00000000-0005-0000-0000-000043440000}"/>
    <cellStyle name="Normal 2 2 2 3 12 2 7" xfId="17484" xr:uid="{00000000-0005-0000-0000-000044440000}"/>
    <cellStyle name="Normal 2 2 2 3 12 2 8" xfId="17485" xr:uid="{00000000-0005-0000-0000-000045440000}"/>
    <cellStyle name="Normal 2 2 2 3 12 2 9" xfId="17486" xr:uid="{00000000-0005-0000-0000-000046440000}"/>
    <cellStyle name="Normal 2 2 2 3 12 3" xfId="17487" xr:uid="{00000000-0005-0000-0000-000047440000}"/>
    <cellStyle name="Normal 2 2 2 3 12 3 10" xfId="17488" xr:uid="{00000000-0005-0000-0000-000048440000}"/>
    <cellStyle name="Normal 2 2 2 3 12 3 2" xfId="17489" xr:uid="{00000000-0005-0000-0000-000049440000}"/>
    <cellStyle name="Normal 2 2 2 3 12 3 3" xfId="17490" xr:uid="{00000000-0005-0000-0000-00004A440000}"/>
    <cellStyle name="Normal 2 2 2 3 12 3 4" xfId="17491" xr:uid="{00000000-0005-0000-0000-00004B440000}"/>
    <cellStyle name="Normal 2 2 2 3 12 3 5" xfId="17492" xr:uid="{00000000-0005-0000-0000-00004C440000}"/>
    <cellStyle name="Normal 2 2 2 3 12 3 6" xfId="17493" xr:uid="{00000000-0005-0000-0000-00004D440000}"/>
    <cellStyle name="Normal 2 2 2 3 12 3 7" xfId="17494" xr:uid="{00000000-0005-0000-0000-00004E440000}"/>
    <cellStyle name="Normal 2 2 2 3 12 3 8" xfId="17495" xr:uid="{00000000-0005-0000-0000-00004F440000}"/>
    <cellStyle name="Normal 2 2 2 3 12 3 9" xfId="17496" xr:uid="{00000000-0005-0000-0000-000050440000}"/>
    <cellStyle name="Normal 2 2 2 3 12 4" xfId="17497" xr:uid="{00000000-0005-0000-0000-000051440000}"/>
    <cellStyle name="Normal 2 2 2 3 12 4 10" xfId="17498" xr:uid="{00000000-0005-0000-0000-000052440000}"/>
    <cellStyle name="Normal 2 2 2 3 12 4 2" xfId="17499" xr:uid="{00000000-0005-0000-0000-000053440000}"/>
    <cellStyle name="Normal 2 2 2 3 12 4 3" xfId="17500" xr:uid="{00000000-0005-0000-0000-000054440000}"/>
    <cellStyle name="Normal 2 2 2 3 12 4 4" xfId="17501" xr:uid="{00000000-0005-0000-0000-000055440000}"/>
    <cellStyle name="Normal 2 2 2 3 12 4 5" xfId="17502" xr:uid="{00000000-0005-0000-0000-000056440000}"/>
    <cellStyle name="Normal 2 2 2 3 12 4 6" xfId="17503" xr:uid="{00000000-0005-0000-0000-000057440000}"/>
    <cellStyle name="Normal 2 2 2 3 12 4 7" xfId="17504" xr:uid="{00000000-0005-0000-0000-000058440000}"/>
    <cellStyle name="Normal 2 2 2 3 12 4 8" xfId="17505" xr:uid="{00000000-0005-0000-0000-000059440000}"/>
    <cellStyle name="Normal 2 2 2 3 12 4 9" xfId="17506" xr:uid="{00000000-0005-0000-0000-00005A440000}"/>
    <cellStyle name="Normal 2 2 2 3 12 5" xfId="17507" xr:uid="{00000000-0005-0000-0000-00005B440000}"/>
    <cellStyle name="Normal 2 2 2 3 12 5 10" xfId="17508" xr:uid="{00000000-0005-0000-0000-00005C440000}"/>
    <cellStyle name="Normal 2 2 2 3 12 5 2" xfId="17509" xr:uid="{00000000-0005-0000-0000-00005D440000}"/>
    <cellStyle name="Normal 2 2 2 3 12 5 3" xfId="17510" xr:uid="{00000000-0005-0000-0000-00005E440000}"/>
    <cellStyle name="Normal 2 2 2 3 12 5 4" xfId="17511" xr:uid="{00000000-0005-0000-0000-00005F440000}"/>
    <cellStyle name="Normal 2 2 2 3 12 5 5" xfId="17512" xr:uid="{00000000-0005-0000-0000-000060440000}"/>
    <cellStyle name="Normal 2 2 2 3 12 5 6" xfId="17513" xr:uid="{00000000-0005-0000-0000-000061440000}"/>
    <cellStyle name="Normal 2 2 2 3 12 5 7" xfId="17514" xr:uid="{00000000-0005-0000-0000-000062440000}"/>
    <cellStyle name="Normal 2 2 2 3 12 5 8" xfId="17515" xr:uid="{00000000-0005-0000-0000-000063440000}"/>
    <cellStyle name="Normal 2 2 2 3 12 5 9" xfId="17516" xr:uid="{00000000-0005-0000-0000-000064440000}"/>
    <cellStyle name="Normal 2 2 2 3 12 6" xfId="17517" xr:uid="{00000000-0005-0000-0000-000065440000}"/>
    <cellStyle name="Normal 2 2 2 3 12 7" xfId="17518" xr:uid="{00000000-0005-0000-0000-000066440000}"/>
    <cellStyle name="Normal 2 2 2 3 12 8" xfId="17519" xr:uid="{00000000-0005-0000-0000-000067440000}"/>
    <cellStyle name="Normal 2 2 2 3 12 9" xfId="17520" xr:uid="{00000000-0005-0000-0000-000068440000}"/>
    <cellStyle name="Normal 2 2 2 3 13" xfId="17521" xr:uid="{00000000-0005-0000-0000-000069440000}"/>
    <cellStyle name="Normal 2 2 2 3 13 10" xfId="17522" xr:uid="{00000000-0005-0000-0000-00006A440000}"/>
    <cellStyle name="Normal 2 2 2 3 13 11" xfId="17523" xr:uid="{00000000-0005-0000-0000-00006B440000}"/>
    <cellStyle name="Normal 2 2 2 3 13 12" xfId="17524" xr:uid="{00000000-0005-0000-0000-00006C440000}"/>
    <cellStyle name="Normal 2 2 2 3 13 13" xfId="17525" xr:uid="{00000000-0005-0000-0000-00006D440000}"/>
    <cellStyle name="Normal 2 2 2 3 13 14" xfId="17526" xr:uid="{00000000-0005-0000-0000-00006E440000}"/>
    <cellStyle name="Normal 2 2 2 3 13 2" xfId="17527" xr:uid="{00000000-0005-0000-0000-00006F440000}"/>
    <cellStyle name="Normal 2 2 2 3 13 2 10" xfId="17528" xr:uid="{00000000-0005-0000-0000-000070440000}"/>
    <cellStyle name="Normal 2 2 2 3 13 2 2" xfId="17529" xr:uid="{00000000-0005-0000-0000-000071440000}"/>
    <cellStyle name="Normal 2 2 2 3 13 2 3" xfId="17530" xr:uid="{00000000-0005-0000-0000-000072440000}"/>
    <cellStyle name="Normal 2 2 2 3 13 2 4" xfId="17531" xr:uid="{00000000-0005-0000-0000-000073440000}"/>
    <cellStyle name="Normal 2 2 2 3 13 2 5" xfId="17532" xr:uid="{00000000-0005-0000-0000-000074440000}"/>
    <cellStyle name="Normal 2 2 2 3 13 2 6" xfId="17533" xr:uid="{00000000-0005-0000-0000-000075440000}"/>
    <cellStyle name="Normal 2 2 2 3 13 2 7" xfId="17534" xr:uid="{00000000-0005-0000-0000-000076440000}"/>
    <cellStyle name="Normal 2 2 2 3 13 2 8" xfId="17535" xr:uid="{00000000-0005-0000-0000-000077440000}"/>
    <cellStyle name="Normal 2 2 2 3 13 2 9" xfId="17536" xr:uid="{00000000-0005-0000-0000-000078440000}"/>
    <cellStyle name="Normal 2 2 2 3 13 3" xfId="17537" xr:uid="{00000000-0005-0000-0000-000079440000}"/>
    <cellStyle name="Normal 2 2 2 3 13 3 10" xfId="17538" xr:uid="{00000000-0005-0000-0000-00007A440000}"/>
    <cellStyle name="Normal 2 2 2 3 13 3 2" xfId="17539" xr:uid="{00000000-0005-0000-0000-00007B440000}"/>
    <cellStyle name="Normal 2 2 2 3 13 3 3" xfId="17540" xr:uid="{00000000-0005-0000-0000-00007C440000}"/>
    <cellStyle name="Normal 2 2 2 3 13 3 4" xfId="17541" xr:uid="{00000000-0005-0000-0000-00007D440000}"/>
    <cellStyle name="Normal 2 2 2 3 13 3 5" xfId="17542" xr:uid="{00000000-0005-0000-0000-00007E440000}"/>
    <cellStyle name="Normal 2 2 2 3 13 3 6" xfId="17543" xr:uid="{00000000-0005-0000-0000-00007F440000}"/>
    <cellStyle name="Normal 2 2 2 3 13 3 7" xfId="17544" xr:uid="{00000000-0005-0000-0000-000080440000}"/>
    <cellStyle name="Normal 2 2 2 3 13 3 8" xfId="17545" xr:uid="{00000000-0005-0000-0000-000081440000}"/>
    <cellStyle name="Normal 2 2 2 3 13 3 9" xfId="17546" xr:uid="{00000000-0005-0000-0000-000082440000}"/>
    <cellStyle name="Normal 2 2 2 3 13 4" xfId="17547" xr:uid="{00000000-0005-0000-0000-000083440000}"/>
    <cellStyle name="Normal 2 2 2 3 13 4 10" xfId="17548" xr:uid="{00000000-0005-0000-0000-000084440000}"/>
    <cellStyle name="Normal 2 2 2 3 13 4 2" xfId="17549" xr:uid="{00000000-0005-0000-0000-000085440000}"/>
    <cellStyle name="Normal 2 2 2 3 13 4 3" xfId="17550" xr:uid="{00000000-0005-0000-0000-000086440000}"/>
    <cellStyle name="Normal 2 2 2 3 13 4 4" xfId="17551" xr:uid="{00000000-0005-0000-0000-000087440000}"/>
    <cellStyle name="Normal 2 2 2 3 13 4 5" xfId="17552" xr:uid="{00000000-0005-0000-0000-000088440000}"/>
    <cellStyle name="Normal 2 2 2 3 13 4 6" xfId="17553" xr:uid="{00000000-0005-0000-0000-000089440000}"/>
    <cellStyle name="Normal 2 2 2 3 13 4 7" xfId="17554" xr:uid="{00000000-0005-0000-0000-00008A440000}"/>
    <cellStyle name="Normal 2 2 2 3 13 4 8" xfId="17555" xr:uid="{00000000-0005-0000-0000-00008B440000}"/>
    <cellStyle name="Normal 2 2 2 3 13 4 9" xfId="17556" xr:uid="{00000000-0005-0000-0000-00008C440000}"/>
    <cellStyle name="Normal 2 2 2 3 13 5" xfId="17557" xr:uid="{00000000-0005-0000-0000-00008D440000}"/>
    <cellStyle name="Normal 2 2 2 3 13 5 10" xfId="17558" xr:uid="{00000000-0005-0000-0000-00008E440000}"/>
    <cellStyle name="Normal 2 2 2 3 13 5 2" xfId="17559" xr:uid="{00000000-0005-0000-0000-00008F440000}"/>
    <cellStyle name="Normal 2 2 2 3 13 5 3" xfId="17560" xr:uid="{00000000-0005-0000-0000-000090440000}"/>
    <cellStyle name="Normal 2 2 2 3 13 5 4" xfId="17561" xr:uid="{00000000-0005-0000-0000-000091440000}"/>
    <cellStyle name="Normal 2 2 2 3 13 5 5" xfId="17562" xr:uid="{00000000-0005-0000-0000-000092440000}"/>
    <cellStyle name="Normal 2 2 2 3 13 5 6" xfId="17563" xr:uid="{00000000-0005-0000-0000-000093440000}"/>
    <cellStyle name="Normal 2 2 2 3 13 5 7" xfId="17564" xr:uid="{00000000-0005-0000-0000-000094440000}"/>
    <cellStyle name="Normal 2 2 2 3 13 5 8" xfId="17565" xr:uid="{00000000-0005-0000-0000-000095440000}"/>
    <cellStyle name="Normal 2 2 2 3 13 5 9" xfId="17566" xr:uid="{00000000-0005-0000-0000-000096440000}"/>
    <cellStyle name="Normal 2 2 2 3 13 6" xfId="17567" xr:uid="{00000000-0005-0000-0000-000097440000}"/>
    <cellStyle name="Normal 2 2 2 3 13 7" xfId="17568" xr:uid="{00000000-0005-0000-0000-000098440000}"/>
    <cellStyle name="Normal 2 2 2 3 13 8" xfId="17569" xr:uid="{00000000-0005-0000-0000-000099440000}"/>
    <cellStyle name="Normal 2 2 2 3 13 9" xfId="17570" xr:uid="{00000000-0005-0000-0000-00009A440000}"/>
    <cellStyle name="Normal 2 2 2 3 14" xfId="17571" xr:uid="{00000000-0005-0000-0000-00009B440000}"/>
    <cellStyle name="Normal 2 2 2 3 14 10" xfId="17572" xr:uid="{00000000-0005-0000-0000-00009C440000}"/>
    <cellStyle name="Normal 2 2 2 3 14 11" xfId="17573" xr:uid="{00000000-0005-0000-0000-00009D440000}"/>
    <cellStyle name="Normal 2 2 2 3 14 12" xfId="17574" xr:uid="{00000000-0005-0000-0000-00009E440000}"/>
    <cellStyle name="Normal 2 2 2 3 14 13" xfId="17575" xr:uid="{00000000-0005-0000-0000-00009F440000}"/>
    <cellStyle name="Normal 2 2 2 3 14 14" xfId="17576" xr:uid="{00000000-0005-0000-0000-0000A0440000}"/>
    <cellStyle name="Normal 2 2 2 3 14 2" xfId="17577" xr:uid="{00000000-0005-0000-0000-0000A1440000}"/>
    <cellStyle name="Normal 2 2 2 3 14 2 10" xfId="17578" xr:uid="{00000000-0005-0000-0000-0000A2440000}"/>
    <cellStyle name="Normal 2 2 2 3 14 2 2" xfId="17579" xr:uid="{00000000-0005-0000-0000-0000A3440000}"/>
    <cellStyle name="Normal 2 2 2 3 14 2 3" xfId="17580" xr:uid="{00000000-0005-0000-0000-0000A4440000}"/>
    <cellStyle name="Normal 2 2 2 3 14 2 4" xfId="17581" xr:uid="{00000000-0005-0000-0000-0000A5440000}"/>
    <cellStyle name="Normal 2 2 2 3 14 2 5" xfId="17582" xr:uid="{00000000-0005-0000-0000-0000A6440000}"/>
    <cellStyle name="Normal 2 2 2 3 14 2 6" xfId="17583" xr:uid="{00000000-0005-0000-0000-0000A7440000}"/>
    <cellStyle name="Normal 2 2 2 3 14 2 7" xfId="17584" xr:uid="{00000000-0005-0000-0000-0000A8440000}"/>
    <cellStyle name="Normal 2 2 2 3 14 2 8" xfId="17585" xr:uid="{00000000-0005-0000-0000-0000A9440000}"/>
    <cellStyle name="Normal 2 2 2 3 14 2 9" xfId="17586" xr:uid="{00000000-0005-0000-0000-0000AA440000}"/>
    <cellStyle name="Normal 2 2 2 3 14 3" xfId="17587" xr:uid="{00000000-0005-0000-0000-0000AB440000}"/>
    <cellStyle name="Normal 2 2 2 3 14 3 10" xfId="17588" xr:uid="{00000000-0005-0000-0000-0000AC440000}"/>
    <cellStyle name="Normal 2 2 2 3 14 3 2" xfId="17589" xr:uid="{00000000-0005-0000-0000-0000AD440000}"/>
    <cellStyle name="Normal 2 2 2 3 14 3 3" xfId="17590" xr:uid="{00000000-0005-0000-0000-0000AE440000}"/>
    <cellStyle name="Normal 2 2 2 3 14 3 4" xfId="17591" xr:uid="{00000000-0005-0000-0000-0000AF440000}"/>
    <cellStyle name="Normal 2 2 2 3 14 3 5" xfId="17592" xr:uid="{00000000-0005-0000-0000-0000B0440000}"/>
    <cellStyle name="Normal 2 2 2 3 14 3 6" xfId="17593" xr:uid="{00000000-0005-0000-0000-0000B1440000}"/>
    <cellStyle name="Normal 2 2 2 3 14 3 7" xfId="17594" xr:uid="{00000000-0005-0000-0000-0000B2440000}"/>
    <cellStyle name="Normal 2 2 2 3 14 3 8" xfId="17595" xr:uid="{00000000-0005-0000-0000-0000B3440000}"/>
    <cellStyle name="Normal 2 2 2 3 14 3 9" xfId="17596" xr:uid="{00000000-0005-0000-0000-0000B4440000}"/>
    <cellStyle name="Normal 2 2 2 3 14 4" xfId="17597" xr:uid="{00000000-0005-0000-0000-0000B5440000}"/>
    <cellStyle name="Normal 2 2 2 3 14 4 10" xfId="17598" xr:uid="{00000000-0005-0000-0000-0000B6440000}"/>
    <cellStyle name="Normal 2 2 2 3 14 4 2" xfId="17599" xr:uid="{00000000-0005-0000-0000-0000B7440000}"/>
    <cellStyle name="Normal 2 2 2 3 14 4 3" xfId="17600" xr:uid="{00000000-0005-0000-0000-0000B8440000}"/>
    <cellStyle name="Normal 2 2 2 3 14 4 4" xfId="17601" xr:uid="{00000000-0005-0000-0000-0000B9440000}"/>
    <cellStyle name="Normal 2 2 2 3 14 4 5" xfId="17602" xr:uid="{00000000-0005-0000-0000-0000BA440000}"/>
    <cellStyle name="Normal 2 2 2 3 14 4 6" xfId="17603" xr:uid="{00000000-0005-0000-0000-0000BB440000}"/>
    <cellStyle name="Normal 2 2 2 3 14 4 7" xfId="17604" xr:uid="{00000000-0005-0000-0000-0000BC440000}"/>
    <cellStyle name="Normal 2 2 2 3 14 4 8" xfId="17605" xr:uid="{00000000-0005-0000-0000-0000BD440000}"/>
    <cellStyle name="Normal 2 2 2 3 14 4 9" xfId="17606" xr:uid="{00000000-0005-0000-0000-0000BE440000}"/>
    <cellStyle name="Normal 2 2 2 3 14 5" xfId="17607" xr:uid="{00000000-0005-0000-0000-0000BF440000}"/>
    <cellStyle name="Normal 2 2 2 3 14 5 10" xfId="17608" xr:uid="{00000000-0005-0000-0000-0000C0440000}"/>
    <cellStyle name="Normal 2 2 2 3 14 5 2" xfId="17609" xr:uid="{00000000-0005-0000-0000-0000C1440000}"/>
    <cellStyle name="Normal 2 2 2 3 14 5 3" xfId="17610" xr:uid="{00000000-0005-0000-0000-0000C2440000}"/>
    <cellStyle name="Normal 2 2 2 3 14 5 4" xfId="17611" xr:uid="{00000000-0005-0000-0000-0000C3440000}"/>
    <cellStyle name="Normal 2 2 2 3 14 5 5" xfId="17612" xr:uid="{00000000-0005-0000-0000-0000C4440000}"/>
    <cellStyle name="Normal 2 2 2 3 14 5 6" xfId="17613" xr:uid="{00000000-0005-0000-0000-0000C5440000}"/>
    <cellStyle name="Normal 2 2 2 3 14 5 7" xfId="17614" xr:uid="{00000000-0005-0000-0000-0000C6440000}"/>
    <cellStyle name="Normal 2 2 2 3 14 5 8" xfId="17615" xr:uid="{00000000-0005-0000-0000-0000C7440000}"/>
    <cellStyle name="Normal 2 2 2 3 14 5 9" xfId="17616" xr:uid="{00000000-0005-0000-0000-0000C8440000}"/>
    <cellStyle name="Normal 2 2 2 3 14 6" xfId="17617" xr:uid="{00000000-0005-0000-0000-0000C9440000}"/>
    <cellStyle name="Normal 2 2 2 3 14 7" xfId="17618" xr:uid="{00000000-0005-0000-0000-0000CA440000}"/>
    <cellStyle name="Normal 2 2 2 3 14 8" xfId="17619" xr:uid="{00000000-0005-0000-0000-0000CB440000}"/>
    <cellStyle name="Normal 2 2 2 3 14 9" xfId="17620" xr:uid="{00000000-0005-0000-0000-0000CC440000}"/>
    <cellStyle name="Normal 2 2 2 3 15" xfId="17621" xr:uid="{00000000-0005-0000-0000-0000CD440000}"/>
    <cellStyle name="Normal 2 2 2 3 15 10" xfId="17622" xr:uid="{00000000-0005-0000-0000-0000CE440000}"/>
    <cellStyle name="Normal 2 2 2 3 15 11" xfId="17623" xr:uid="{00000000-0005-0000-0000-0000CF440000}"/>
    <cellStyle name="Normal 2 2 2 3 15 12" xfId="17624" xr:uid="{00000000-0005-0000-0000-0000D0440000}"/>
    <cellStyle name="Normal 2 2 2 3 15 13" xfId="17625" xr:uid="{00000000-0005-0000-0000-0000D1440000}"/>
    <cellStyle name="Normal 2 2 2 3 15 14" xfId="17626" xr:uid="{00000000-0005-0000-0000-0000D2440000}"/>
    <cellStyle name="Normal 2 2 2 3 15 2" xfId="17627" xr:uid="{00000000-0005-0000-0000-0000D3440000}"/>
    <cellStyle name="Normal 2 2 2 3 15 2 10" xfId="17628" xr:uid="{00000000-0005-0000-0000-0000D4440000}"/>
    <cellStyle name="Normal 2 2 2 3 15 2 2" xfId="17629" xr:uid="{00000000-0005-0000-0000-0000D5440000}"/>
    <cellStyle name="Normal 2 2 2 3 15 2 3" xfId="17630" xr:uid="{00000000-0005-0000-0000-0000D6440000}"/>
    <cellStyle name="Normal 2 2 2 3 15 2 4" xfId="17631" xr:uid="{00000000-0005-0000-0000-0000D7440000}"/>
    <cellStyle name="Normal 2 2 2 3 15 2 5" xfId="17632" xr:uid="{00000000-0005-0000-0000-0000D8440000}"/>
    <cellStyle name="Normal 2 2 2 3 15 2 6" xfId="17633" xr:uid="{00000000-0005-0000-0000-0000D9440000}"/>
    <cellStyle name="Normal 2 2 2 3 15 2 7" xfId="17634" xr:uid="{00000000-0005-0000-0000-0000DA440000}"/>
    <cellStyle name="Normal 2 2 2 3 15 2 8" xfId="17635" xr:uid="{00000000-0005-0000-0000-0000DB440000}"/>
    <cellStyle name="Normal 2 2 2 3 15 2 9" xfId="17636" xr:uid="{00000000-0005-0000-0000-0000DC440000}"/>
    <cellStyle name="Normal 2 2 2 3 15 3" xfId="17637" xr:uid="{00000000-0005-0000-0000-0000DD440000}"/>
    <cellStyle name="Normal 2 2 2 3 15 3 10" xfId="17638" xr:uid="{00000000-0005-0000-0000-0000DE440000}"/>
    <cellStyle name="Normal 2 2 2 3 15 3 2" xfId="17639" xr:uid="{00000000-0005-0000-0000-0000DF440000}"/>
    <cellStyle name="Normal 2 2 2 3 15 3 3" xfId="17640" xr:uid="{00000000-0005-0000-0000-0000E0440000}"/>
    <cellStyle name="Normal 2 2 2 3 15 3 4" xfId="17641" xr:uid="{00000000-0005-0000-0000-0000E1440000}"/>
    <cellStyle name="Normal 2 2 2 3 15 3 5" xfId="17642" xr:uid="{00000000-0005-0000-0000-0000E2440000}"/>
    <cellStyle name="Normal 2 2 2 3 15 3 6" xfId="17643" xr:uid="{00000000-0005-0000-0000-0000E3440000}"/>
    <cellStyle name="Normal 2 2 2 3 15 3 7" xfId="17644" xr:uid="{00000000-0005-0000-0000-0000E4440000}"/>
    <cellStyle name="Normal 2 2 2 3 15 3 8" xfId="17645" xr:uid="{00000000-0005-0000-0000-0000E5440000}"/>
    <cellStyle name="Normal 2 2 2 3 15 3 9" xfId="17646" xr:uid="{00000000-0005-0000-0000-0000E6440000}"/>
    <cellStyle name="Normal 2 2 2 3 15 4" xfId="17647" xr:uid="{00000000-0005-0000-0000-0000E7440000}"/>
    <cellStyle name="Normal 2 2 2 3 15 4 10" xfId="17648" xr:uid="{00000000-0005-0000-0000-0000E8440000}"/>
    <cellStyle name="Normal 2 2 2 3 15 4 2" xfId="17649" xr:uid="{00000000-0005-0000-0000-0000E9440000}"/>
    <cellStyle name="Normal 2 2 2 3 15 4 3" xfId="17650" xr:uid="{00000000-0005-0000-0000-0000EA440000}"/>
    <cellStyle name="Normal 2 2 2 3 15 4 4" xfId="17651" xr:uid="{00000000-0005-0000-0000-0000EB440000}"/>
    <cellStyle name="Normal 2 2 2 3 15 4 5" xfId="17652" xr:uid="{00000000-0005-0000-0000-0000EC440000}"/>
    <cellStyle name="Normal 2 2 2 3 15 4 6" xfId="17653" xr:uid="{00000000-0005-0000-0000-0000ED440000}"/>
    <cellStyle name="Normal 2 2 2 3 15 4 7" xfId="17654" xr:uid="{00000000-0005-0000-0000-0000EE440000}"/>
    <cellStyle name="Normal 2 2 2 3 15 4 8" xfId="17655" xr:uid="{00000000-0005-0000-0000-0000EF440000}"/>
    <cellStyle name="Normal 2 2 2 3 15 4 9" xfId="17656" xr:uid="{00000000-0005-0000-0000-0000F0440000}"/>
    <cellStyle name="Normal 2 2 2 3 15 5" xfId="17657" xr:uid="{00000000-0005-0000-0000-0000F1440000}"/>
    <cellStyle name="Normal 2 2 2 3 15 5 10" xfId="17658" xr:uid="{00000000-0005-0000-0000-0000F2440000}"/>
    <cellStyle name="Normal 2 2 2 3 15 5 2" xfId="17659" xr:uid="{00000000-0005-0000-0000-0000F3440000}"/>
    <cellStyle name="Normal 2 2 2 3 15 5 3" xfId="17660" xr:uid="{00000000-0005-0000-0000-0000F4440000}"/>
    <cellStyle name="Normal 2 2 2 3 15 5 4" xfId="17661" xr:uid="{00000000-0005-0000-0000-0000F5440000}"/>
    <cellStyle name="Normal 2 2 2 3 15 5 5" xfId="17662" xr:uid="{00000000-0005-0000-0000-0000F6440000}"/>
    <cellStyle name="Normal 2 2 2 3 15 5 6" xfId="17663" xr:uid="{00000000-0005-0000-0000-0000F7440000}"/>
    <cellStyle name="Normal 2 2 2 3 15 5 7" xfId="17664" xr:uid="{00000000-0005-0000-0000-0000F8440000}"/>
    <cellStyle name="Normal 2 2 2 3 15 5 8" xfId="17665" xr:uid="{00000000-0005-0000-0000-0000F9440000}"/>
    <cellStyle name="Normal 2 2 2 3 15 5 9" xfId="17666" xr:uid="{00000000-0005-0000-0000-0000FA440000}"/>
    <cellStyle name="Normal 2 2 2 3 15 6" xfId="17667" xr:uid="{00000000-0005-0000-0000-0000FB440000}"/>
    <cellStyle name="Normal 2 2 2 3 15 7" xfId="17668" xr:uid="{00000000-0005-0000-0000-0000FC440000}"/>
    <cellStyle name="Normal 2 2 2 3 15 8" xfId="17669" xr:uid="{00000000-0005-0000-0000-0000FD440000}"/>
    <cellStyle name="Normal 2 2 2 3 15 9" xfId="17670" xr:uid="{00000000-0005-0000-0000-0000FE440000}"/>
    <cellStyle name="Normal 2 2 2 3 16" xfId="17671" xr:uid="{00000000-0005-0000-0000-0000FF440000}"/>
    <cellStyle name="Normal 2 2 2 3 16 10" xfId="17672" xr:uid="{00000000-0005-0000-0000-000000450000}"/>
    <cellStyle name="Normal 2 2 2 3 16 11" xfId="17673" xr:uid="{00000000-0005-0000-0000-000001450000}"/>
    <cellStyle name="Normal 2 2 2 3 16 12" xfId="17674" xr:uid="{00000000-0005-0000-0000-000002450000}"/>
    <cellStyle name="Normal 2 2 2 3 16 13" xfId="17675" xr:uid="{00000000-0005-0000-0000-000003450000}"/>
    <cellStyle name="Normal 2 2 2 3 16 14" xfId="17676" xr:uid="{00000000-0005-0000-0000-000004450000}"/>
    <cellStyle name="Normal 2 2 2 3 16 2" xfId="17677" xr:uid="{00000000-0005-0000-0000-000005450000}"/>
    <cellStyle name="Normal 2 2 2 3 16 2 10" xfId="17678" xr:uid="{00000000-0005-0000-0000-000006450000}"/>
    <cellStyle name="Normal 2 2 2 3 16 2 2" xfId="17679" xr:uid="{00000000-0005-0000-0000-000007450000}"/>
    <cellStyle name="Normal 2 2 2 3 16 2 3" xfId="17680" xr:uid="{00000000-0005-0000-0000-000008450000}"/>
    <cellStyle name="Normal 2 2 2 3 16 2 4" xfId="17681" xr:uid="{00000000-0005-0000-0000-000009450000}"/>
    <cellStyle name="Normal 2 2 2 3 16 2 5" xfId="17682" xr:uid="{00000000-0005-0000-0000-00000A450000}"/>
    <cellStyle name="Normal 2 2 2 3 16 2 6" xfId="17683" xr:uid="{00000000-0005-0000-0000-00000B450000}"/>
    <cellStyle name="Normal 2 2 2 3 16 2 7" xfId="17684" xr:uid="{00000000-0005-0000-0000-00000C450000}"/>
    <cellStyle name="Normal 2 2 2 3 16 2 8" xfId="17685" xr:uid="{00000000-0005-0000-0000-00000D450000}"/>
    <cellStyle name="Normal 2 2 2 3 16 2 9" xfId="17686" xr:uid="{00000000-0005-0000-0000-00000E450000}"/>
    <cellStyle name="Normal 2 2 2 3 16 3" xfId="17687" xr:uid="{00000000-0005-0000-0000-00000F450000}"/>
    <cellStyle name="Normal 2 2 2 3 16 3 10" xfId="17688" xr:uid="{00000000-0005-0000-0000-000010450000}"/>
    <cellStyle name="Normal 2 2 2 3 16 3 2" xfId="17689" xr:uid="{00000000-0005-0000-0000-000011450000}"/>
    <cellStyle name="Normal 2 2 2 3 16 3 3" xfId="17690" xr:uid="{00000000-0005-0000-0000-000012450000}"/>
    <cellStyle name="Normal 2 2 2 3 16 3 4" xfId="17691" xr:uid="{00000000-0005-0000-0000-000013450000}"/>
    <cellStyle name="Normal 2 2 2 3 16 3 5" xfId="17692" xr:uid="{00000000-0005-0000-0000-000014450000}"/>
    <cellStyle name="Normal 2 2 2 3 16 3 6" xfId="17693" xr:uid="{00000000-0005-0000-0000-000015450000}"/>
    <cellStyle name="Normal 2 2 2 3 16 3 7" xfId="17694" xr:uid="{00000000-0005-0000-0000-000016450000}"/>
    <cellStyle name="Normal 2 2 2 3 16 3 8" xfId="17695" xr:uid="{00000000-0005-0000-0000-000017450000}"/>
    <cellStyle name="Normal 2 2 2 3 16 3 9" xfId="17696" xr:uid="{00000000-0005-0000-0000-000018450000}"/>
    <cellStyle name="Normal 2 2 2 3 16 4" xfId="17697" xr:uid="{00000000-0005-0000-0000-000019450000}"/>
    <cellStyle name="Normal 2 2 2 3 16 4 10" xfId="17698" xr:uid="{00000000-0005-0000-0000-00001A450000}"/>
    <cellStyle name="Normal 2 2 2 3 16 4 2" xfId="17699" xr:uid="{00000000-0005-0000-0000-00001B450000}"/>
    <cellStyle name="Normal 2 2 2 3 16 4 3" xfId="17700" xr:uid="{00000000-0005-0000-0000-00001C450000}"/>
    <cellStyle name="Normal 2 2 2 3 16 4 4" xfId="17701" xr:uid="{00000000-0005-0000-0000-00001D450000}"/>
    <cellStyle name="Normal 2 2 2 3 16 4 5" xfId="17702" xr:uid="{00000000-0005-0000-0000-00001E450000}"/>
    <cellStyle name="Normal 2 2 2 3 16 4 6" xfId="17703" xr:uid="{00000000-0005-0000-0000-00001F450000}"/>
    <cellStyle name="Normal 2 2 2 3 16 4 7" xfId="17704" xr:uid="{00000000-0005-0000-0000-000020450000}"/>
    <cellStyle name="Normal 2 2 2 3 16 4 8" xfId="17705" xr:uid="{00000000-0005-0000-0000-000021450000}"/>
    <cellStyle name="Normal 2 2 2 3 16 4 9" xfId="17706" xr:uid="{00000000-0005-0000-0000-000022450000}"/>
    <cellStyle name="Normal 2 2 2 3 16 5" xfId="17707" xr:uid="{00000000-0005-0000-0000-000023450000}"/>
    <cellStyle name="Normal 2 2 2 3 16 5 10" xfId="17708" xr:uid="{00000000-0005-0000-0000-000024450000}"/>
    <cellStyle name="Normal 2 2 2 3 16 5 2" xfId="17709" xr:uid="{00000000-0005-0000-0000-000025450000}"/>
    <cellStyle name="Normal 2 2 2 3 16 5 3" xfId="17710" xr:uid="{00000000-0005-0000-0000-000026450000}"/>
    <cellStyle name="Normal 2 2 2 3 16 5 4" xfId="17711" xr:uid="{00000000-0005-0000-0000-000027450000}"/>
    <cellStyle name="Normal 2 2 2 3 16 5 5" xfId="17712" xr:uid="{00000000-0005-0000-0000-000028450000}"/>
    <cellStyle name="Normal 2 2 2 3 16 5 6" xfId="17713" xr:uid="{00000000-0005-0000-0000-000029450000}"/>
    <cellStyle name="Normal 2 2 2 3 16 5 7" xfId="17714" xr:uid="{00000000-0005-0000-0000-00002A450000}"/>
    <cellStyle name="Normal 2 2 2 3 16 5 8" xfId="17715" xr:uid="{00000000-0005-0000-0000-00002B450000}"/>
    <cellStyle name="Normal 2 2 2 3 16 5 9" xfId="17716" xr:uid="{00000000-0005-0000-0000-00002C450000}"/>
    <cellStyle name="Normal 2 2 2 3 16 6" xfId="17717" xr:uid="{00000000-0005-0000-0000-00002D450000}"/>
    <cellStyle name="Normal 2 2 2 3 16 7" xfId="17718" xr:uid="{00000000-0005-0000-0000-00002E450000}"/>
    <cellStyle name="Normal 2 2 2 3 16 8" xfId="17719" xr:uid="{00000000-0005-0000-0000-00002F450000}"/>
    <cellStyle name="Normal 2 2 2 3 16 9" xfId="17720" xr:uid="{00000000-0005-0000-0000-000030450000}"/>
    <cellStyle name="Normal 2 2 2 3 17" xfId="17721" xr:uid="{00000000-0005-0000-0000-000031450000}"/>
    <cellStyle name="Normal 2 2 2 3 17 10" xfId="17722" xr:uid="{00000000-0005-0000-0000-000032450000}"/>
    <cellStyle name="Normal 2 2 2 3 17 11" xfId="17723" xr:uid="{00000000-0005-0000-0000-000033450000}"/>
    <cellStyle name="Normal 2 2 2 3 17 12" xfId="17724" xr:uid="{00000000-0005-0000-0000-000034450000}"/>
    <cellStyle name="Normal 2 2 2 3 17 13" xfId="17725" xr:uid="{00000000-0005-0000-0000-000035450000}"/>
    <cellStyle name="Normal 2 2 2 3 17 14" xfId="17726" xr:uid="{00000000-0005-0000-0000-000036450000}"/>
    <cellStyle name="Normal 2 2 2 3 17 2" xfId="17727" xr:uid="{00000000-0005-0000-0000-000037450000}"/>
    <cellStyle name="Normal 2 2 2 3 17 2 10" xfId="17728" xr:uid="{00000000-0005-0000-0000-000038450000}"/>
    <cellStyle name="Normal 2 2 2 3 17 2 2" xfId="17729" xr:uid="{00000000-0005-0000-0000-000039450000}"/>
    <cellStyle name="Normal 2 2 2 3 17 2 3" xfId="17730" xr:uid="{00000000-0005-0000-0000-00003A450000}"/>
    <cellStyle name="Normal 2 2 2 3 17 2 4" xfId="17731" xr:uid="{00000000-0005-0000-0000-00003B450000}"/>
    <cellStyle name="Normal 2 2 2 3 17 2 5" xfId="17732" xr:uid="{00000000-0005-0000-0000-00003C450000}"/>
    <cellStyle name="Normal 2 2 2 3 17 2 6" xfId="17733" xr:uid="{00000000-0005-0000-0000-00003D450000}"/>
    <cellStyle name="Normal 2 2 2 3 17 2 7" xfId="17734" xr:uid="{00000000-0005-0000-0000-00003E450000}"/>
    <cellStyle name="Normal 2 2 2 3 17 2 8" xfId="17735" xr:uid="{00000000-0005-0000-0000-00003F450000}"/>
    <cellStyle name="Normal 2 2 2 3 17 2 9" xfId="17736" xr:uid="{00000000-0005-0000-0000-000040450000}"/>
    <cellStyle name="Normal 2 2 2 3 17 3" xfId="17737" xr:uid="{00000000-0005-0000-0000-000041450000}"/>
    <cellStyle name="Normal 2 2 2 3 17 3 10" xfId="17738" xr:uid="{00000000-0005-0000-0000-000042450000}"/>
    <cellStyle name="Normal 2 2 2 3 17 3 2" xfId="17739" xr:uid="{00000000-0005-0000-0000-000043450000}"/>
    <cellStyle name="Normal 2 2 2 3 17 3 3" xfId="17740" xr:uid="{00000000-0005-0000-0000-000044450000}"/>
    <cellStyle name="Normal 2 2 2 3 17 3 4" xfId="17741" xr:uid="{00000000-0005-0000-0000-000045450000}"/>
    <cellStyle name="Normal 2 2 2 3 17 3 5" xfId="17742" xr:uid="{00000000-0005-0000-0000-000046450000}"/>
    <cellStyle name="Normal 2 2 2 3 17 3 6" xfId="17743" xr:uid="{00000000-0005-0000-0000-000047450000}"/>
    <cellStyle name="Normal 2 2 2 3 17 3 7" xfId="17744" xr:uid="{00000000-0005-0000-0000-000048450000}"/>
    <cellStyle name="Normal 2 2 2 3 17 3 8" xfId="17745" xr:uid="{00000000-0005-0000-0000-000049450000}"/>
    <cellStyle name="Normal 2 2 2 3 17 3 9" xfId="17746" xr:uid="{00000000-0005-0000-0000-00004A450000}"/>
    <cellStyle name="Normal 2 2 2 3 17 4" xfId="17747" xr:uid="{00000000-0005-0000-0000-00004B450000}"/>
    <cellStyle name="Normal 2 2 2 3 17 4 10" xfId="17748" xr:uid="{00000000-0005-0000-0000-00004C450000}"/>
    <cellStyle name="Normal 2 2 2 3 17 4 2" xfId="17749" xr:uid="{00000000-0005-0000-0000-00004D450000}"/>
    <cellStyle name="Normal 2 2 2 3 17 4 3" xfId="17750" xr:uid="{00000000-0005-0000-0000-00004E450000}"/>
    <cellStyle name="Normal 2 2 2 3 17 4 4" xfId="17751" xr:uid="{00000000-0005-0000-0000-00004F450000}"/>
    <cellStyle name="Normal 2 2 2 3 17 4 5" xfId="17752" xr:uid="{00000000-0005-0000-0000-000050450000}"/>
    <cellStyle name="Normal 2 2 2 3 17 4 6" xfId="17753" xr:uid="{00000000-0005-0000-0000-000051450000}"/>
    <cellStyle name="Normal 2 2 2 3 17 4 7" xfId="17754" xr:uid="{00000000-0005-0000-0000-000052450000}"/>
    <cellStyle name="Normal 2 2 2 3 17 4 8" xfId="17755" xr:uid="{00000000-0005-0000-0000-000053450000}"/>
    <cellStyle name="Normal 2 2 2 3 17 4 9" xfId="17756" xr:uid="{00000000-0005-0000-0000-000054450000}"/>
    <cellStyle name="Normal 2 2 2 3 17 5" xfId="17757" xr:uid="{00000000-0005-0000-0000-000055450000}"/>
    <cellStyle name="Normal 2 2 2 3 17 5 10" xfId="17758" xr:uid="{00000000-0005-0000-0000-000056450000}"/>
    <cellStyle name="Normal 2 2 2 3 17 5 2" xfId="17759" xr:uid="{00000000-0005-0000-0000-000057450000}"/>
    <cellStyle name="Normal 2 2 2 3 17 5 3" xfId="17760" xr:uid="{00000000-0005-0000-0000-000058450000}"/>
    <cellStyle name="Normal 2 2 2 3 17 5 4" xfId="17761" xr:uid="{00000000-0005-0000-0000-000059450000}"/>
    <cellStyle name="Normal 2 2 2 3 17 5 5" xfId="17762" xr:uid="{00000000-0005-0000-0000-00005A450000}"/>
    <cellStyle name="Normal 2 2 2 3 17 5 6" xfId="17763" xr:uid="{00000000-0005-0000-0000-00005B450000}"/>
    <cellStyle name="Normal 2 2 2 3 17 5 7" xfId="17764" xr:uid="{00000000-0005-0000-0000-00005C450000}"/>
    <cellStyle name="Normal 2 2 2 3 17 5 8" xfId="17765" xr:uid="{00000000-0005-0000-0000-00005D450000}"/>
    <cellStyle name="Normal 2 2 2 3 17 5 9" xfId="17766" xr:uid="{00000000-0005-0000-0000-00005E450000}"/>
    <cellStyle name="Normal 2 2 2 3 17 6" xfId="17767" xr:uid="{00000000-0005-0000-0000-00005F450000}"/>
    <cellStyle name="Normal 2 2 2 3 17 7" xfId="17768" xr:uid="{00000000-0005-0000-0000-000060450000}"/>
    <cellStyle name="Normal 2 2 2 3 17 8" xfId="17769" xr:uid="{00000000-0005-0000-0000-000061450000}"/>
    <cellStyle name="Normal 2 2 2 3 17 9" xfId="17770" xr:uid="{00000000-0005-0000-0000-000062450000}"/>
    <cellStyle name="Normal 2 2 2 3 18" xfId="17771" xr:uid="{00000000-0005-0000-0000-000063450000}"/>
    <cellStyle name="Normal 2 2 2 3 18 10" xfId="17772" xr:uid="{00000000-0005-0000-0000-000064450000}"/>
    <cellStyle name="Normal 2 2 2 3 18 11" xfId="17773" xr:uid="{00000000-0005-0000-0000-000065450000}"/>
    <cellStyle name="Normal 2 2 2 3 18 12" xfId="17774" xr:uid="{00000000-0005-0000-0000-000066450000}"/>
    <cellStyle name="Normal 2 2 2 3 18 13" xfId="17775" xr:uid="{00000000-0005-0000-0000-000067450000}"/>
    <cellStyle name="Normal 2 2 2 3 18 14" xfId="17776" xr:uid="{00000000-0005-0000-0000-000068450000}"/>
    <cellStyle name="Normal 2 2 2 3 18 2" xfId="17777" xr:uid="{00000000-0005-0000-0000-000069450000}"/>
    <cellStyle name="Normal 2 2 2 3 18 2 10" xfId="17778" xr:uid="{00000000-0005-0000-0000-00006A450000}"/>
    <cellStyle name="Normal 2 2 2 3 18 2 2" xfId="17779" xr:uid="{00000000-0005-0000-0000-00006B450000}"/>
    <cellStyle name="Normal 2 2 2 3 18 2 3" xfId="17780" xr:uid="{00000000-0005-0000-0000-00006C450000}"/>
    <cellStyle name="Normal 2 2 2 3 18 2 4" xfId="17781" xr:uid="{00000000-0005-0000-0000-00006D450000}"/>
    <cellStyle name="Normal 2 2 2 3 18 2 5" xfId="17782" xr:uid="{00000000-0005-0000-0000-00006E450000}"/>
    <cellStyle name="Normal 2 2 2 3 18 2 6" xfId="17783" xr:uid="{00000000-0005-0000-0000-00006F450000}"/>
    <cellStyle name="Normal 2 2 2 3 18 2 7" xfId="17784" xr:uid="{00000000-0005-0000-0000-000070450000}"/>
    <cellStyle name="Normal 2 2 2 3 18 2 8" xfId="17785" xr:uid="{00000000-0005-0000-0000-000071450000}"/>
    <cellStyle name="Normal 2 2 2 3 18 2 9" xfId="17786" xr:uid="{00000000-0005-0000-0000-000072450000}"/>
    <cellStyle name="Normal 2 2 2 3 18 3" xfId="17787" xr:uid="{00000000-0005-0000-0000-000073450000}"/>
    <cellStyle name="Normal 2 2 2 3 18 3 10" xfId="17788" xr:uid="{00000000-0005-0000-0000-000074450000}"/>
    <cellStyle name="Normal 2 2 2 3 18 3 2" xfId="17789" xr:uid="{00000000-0005-0000-0000-000075450000}"/>
    <cellStyle name="Normal 2 2 2 3 18 3 3" xfId="17790" xr:uid="{00000000-0005-0000-0000-000076450000}"/>
    <cellStyle name="Normal 2 2 2 3 18 3 4" xfId="17791" xr:uid="{00000000-0005-0000-0000-000077450000}"/>
    <cellStyle name="Normal 2 2 2 3 18 3 5" xfId="17792" xr:uid="{00000000-0005-0000-0000-000078450000}"/>
    <cellStyle name="Normal 2 2 2 3 18 3 6" xfId="17793" xr:uid="{00000000-0005-0000-0000-000079450000}"/>
    <cellStyle name="Normal 2 2 2 3 18 3 7" xfId="17794" xr:uid="{00000000-0005-0000-0000-00007A450000}"/>
    <cellStyle name="Normal 2 2 2 3 18 3 8" xfId="17795" xr:uid="{00000000-0005-0000-0000-00007B450000}"/>
    <cellStyle name="Normal 2 2 2 3 18 3 9" xfId="17796" xr:uid="{00000000-0005-0000-0000-00007C450000}"/>
    <cellStyle name="Normal 2 2 2 3 18 4" xfId="17797" xr:uid="{00000000-0005-0000-0000-00007D450000}"/>
    <cellStyle name="Normal 2 2 2 3 18 4 10" xfId="17798" xr:uid="{00000000-0005-0000-0000-00007E450000}"/>
    <cellStyle name="Normal 2 2 2 3 18 4 2" xfId="17799" xr:uid="{00000000-0005-0000-0000-00007F450000}"/>
    <cellStyle name="Normal 2 2 2 3 18 4 3" xfId="17800" xr:uid="{00000000-0005-0000-0000-000080450000}"/>
    <cellStyle name="Normal 2 2 2 3 18 4 4" xfId="17801" xr:uid="{00000000-0005-0000-0000-000081450000}"/>
    <cellStyle name="Normal 2 2 2 3 18 4 5" xfId="17802" xr:uid="{00000000-0005-0000-0000-000082450000}"/>
    <cellStyle name="Normal 2 2 2 3 18 4 6" xfId="17803" xr:uid="{00000000-0005-0000-0000-000083450000}"/>
    <cellStyle name="Normal 2 2 2 3 18 4 7" xfId="17804" xr:uid="{00000000-0005-0000-0000-000084450000}"/>
    <cellStyle name="Normal 2 2 2 3 18 4 8" xfId="17805" xr:uid="{00000000-0005-0000-0000-000085450000}"/>
    <cellStyle name="Normal 2 2 2 3 18 4 9" xfId="17806" xr:uid="{00000000-0005-0000-0000-000086450000}"/>
    <cellStyle name="Normal 2 2 2 3 18 5" xfId="17807" xr:uid="{00000000-0005-0000-0000-000087450000}"/>
    <cellStyle name="Normal 2 2 2 3 18 5 10" xfId="17808" xr:uid="{00000000-0005-0000-0000-000088450000}"/>
    <cellStyle name="Normal 2 2 2 3 18 5 2" xfId="17809" xr:uid="{00000000-0005-0000-0000-000089450000}"/>
    <cellStyle name="Normal 2 2 2 3 18 5 3" xfId="17810" xr:uid="{00000000-0005-0000-0000-00008A450000}"/>
    <cellStyle name="Normal 2 2 2 3 18 5 4" xfId="17811" xr:uid="{00000000-0005-0000-0000-00008B450000}"/>
    <cellStyle name="Normal 2 2 2 3 18 5 5" xfId="17812" xr:uid="{00000000-0005-0000-0000-00008C450000}"/>
    <cellStyle name="Normal 2 2 2 3 18 5 6" xfId="17813" xr:uid="{00000000-0005-0000-0000-00008D450000}"/>
    <cellStyle name="Normal 2 2 2 3 18 5 7" xfId="17814" xr:uid="{00000000-0005-0000-0000-00008E450000}"/>
    <cellStyle name="Normal 2 2 2 3 18 5 8" xfId="17815" xr:uid="{00000000-0005-0000-0000-00008F450000}"/>
    <cellStyle name="Normal 2 2 2 3 18 5 9" xfId="17816" xr:uid="{00000000-0005-0000-0000-000090450000}"/>
    <cellStyle name="Normal 2 2 2 3 18 6" xfId="17817" xr:uid="{00000000-0005-0000-0000-000091450000}"/>
    <cellStyle name="Normal 2 2 2 3 18 7" xfId="17818" xr:uid="{00000000-0005-0000-0000-000092450000}"/>
    <cellStyle name="Normal 2 2 2 3 18 8" xfId="17819" xr:uid="{00000000-0005-0000-0000-000093450000}"/>
    <cellStyle name="Normal 2 2 2 3 18 9" xfId="17820" xr:uid="{00000000-0005-0000-0000-000094450000}"/>
    <cellStyle name="Normal 2 2 2 3 19" xfId="17821" xr:uid="{00000000-0005-0000-0000-000095450000}"/>
    <cellStyle name="Normal 2 2 2 3 19 10" xfId="17822" xr:uid="{00000000-0005-0000-0000-000096450000}"/>
    <cellStyle name="Normal 2 2 2 3 19 11" xfId="17823" xr:uid="{00000000-0005-0000-0000-000097450000}"/>
    <cellStyle name="Normal 2 2 2 3 19 12" xfId="17824" xr:uid="{00000000-0005-0000-0000-000098450000}"/>
    <cellStyle name="Normal 2 2 2 3 19 13" xfId="17825" xr:uid="{00000000-0005-0000-0000-000099450000}"/>
    <cellStyle name="Normal 2 2 2 3 19 14" xfId="17826" xr:uid="{00000000-0005-0000-0000-00009A450000}"/>
    <cellStyle name="Normal 2 2 2 3 19 2" xfId="17827" xr:uid="{00000000-0005-0000-0000-00009B450000}"/>
    <cellStyle name="Normal 2 2 2 3 19 2 10" xfId="17828" xr:uid="{00000000-0005-0000-0000-00009C450000}"/>
    <cellStyle name="Normal 2 2 2 3 19 2 2" xfId="17829" xr:uid="{00000000-0005-0000-0000-00009D450000}"/>
    <cellStyle name="Normal 2 2 2 3 19 2 3" xfId="17830" xr:uid="{00000000-0005-0000-0000-00009E450000}"/>
    <cellStyle name="Normal 2 2 2 3 19 2 4" xfId="17831" xr:uid="{00000000-0005-0000-0000-00009F450000}"/>
    <cellStyle name="Normal 2 2 2 3 19 2 5" xfId="17832" xr:uid="{00000000-0005-0000-0000-0000A0450000}"/>
    <cellStyle name="Normal 2 2 2 3 19 2 6" xfId="17833" xr:uid="{00000000-0005-0000-0000-0000A1450000}"/>
    <cellStyle name="Normal 2 2 2 3 19 2 7" xfId="17834" xr:uid="{00000000-0005-0000-0000-0000A2450000}"/>
    <cellStyle name="Normal 2 2 2 3 19 2 8" xfId="17835" xr:uid="{00000000-0005-0000-0000-0000A3450000}"/>
    <cellStyle name="Normal 2 2 2 3 19 2 9" xfId="17836" xr:uid="{00000000-0005-0000-0000-0000A4450000}"/>
    <cellStyle name="Normal 2 2 2 3 19 3" xfId="17837" xr:uid="{00000000-0005-0000-0000-0000A5450000}"/>
    <cellStyle name="Normal 2 2 2 3 19 3 10" xfId="17838" xr:uid="{00000000-0005-0000-0000-0000A6450000}"/>
    <cellStyle name="Normal 2 2 2 3 19 3 2" xfId="17839" xr:uid="{00000000-0005-0000-0000-0000A7450000}"/>
    <cellStyle name="Normal 2 2 2 3 19 3 3" xfId="17840" xr:uid="{00000000-0005-0000-0000-0000A8450000}"/>
    <cellStyle name="Normal 2 2 2 3 19 3 4" xfId="17841" xr:uid="{00000000-0005-0000-0000-0000A9450000}"/>
    <cellStyle name="Normal 2 2 2 3 19 3 5" xfId="17842" xr:uid="{00000000-0005-0000-0000-0000AA450000}"/>
    <cellStyle name="Normal 2 2 2 3 19 3 6" xfId="17843" xr:uid="{00000000-0005-0000-0000-0000AB450000}"/>
    <cellStyle name="Normal 2 2 2 3 19 3 7" xfId="17844" xr:uid="{00000000-0005-0000-0000-0000AC450000}"/>
    <cellStyle name="Normal 2 2 2 3 19 3 8" xfId="17845" xr:uid="{00000000-0005-0000-0000-0000AD450000}"/>
    <cellStyle name="Normal 2 2 2 3 19 3 9" xfId="17846" xr:uid="{00000000-0005-0000-0000-0000AE450000}"/>
    <cellStyle name="Normal 2 2 2 3 19 4" xfId="17847" xr:uid="{00000000-0005-0000-0000-0000AF450000}"/>
    <cellStyle name="Normal 2 2 2 3 19 4 10" xfId="17848" xr:uid="{00000000-0005-0000-0000-0000B0450000}"/>
    <cellStyle name="Normal 2 2 2 3 19 4 2" xfId="17849" xr:uid="{00000000-0005-0000-0000-0000B1450000}"/>
    <cellStyle name="Normal 2 2 2 3 19 4 3" xfId="17850" xr:uid="{00000000-0005-0000-0000-0000B2450000}"/>
    <cellStyle name="Normal 2 2 2 3 19 4 4" xfId="17851" xr:uid="{00000000-0005-0000-0000-0000B3450000}"/>
    <cellStyle name="Normal 2 2 2 3 19 4 5" xfId="17852" xr:uid="{00000000-0005-0000-0000-0000B4450000}"/>
    <cellStyle name="Normal 2 2 2 3 19 4 6" xfId="17853" xr:uid="{00000000-0005-0000-0000-0000B5450000}"/>
    <cellStyle name="Normal 2 2 2 3 19 4 7" xfId="17854" xr:uid="{00000000-0005-0000-0000-0000B6450000}"/>
    <cellStyle name="Normal 2 2 2 3 19 4 8" xfId="17855" xr:uid="{00000000-0005-0000-0000-0000B7450000}"/>
    <cellStyle name="Normal 2 2 2 3 19 4 9" xfId="17856" xr:uid="{00000000-0005-0000-0000-0000B8450000}"/>
    <cellStyle name="Normal 2 2 2 3 19 5" xfId="17857" xr:uid="{00000000-0005-0000-0000-0000B9450000}"/>
    <cellStyle name="Normal 2 2 2 3 19 5 10" xfId="17858" xr:uid="{00000000-0005-0000-0000-0000BA450000}"/>
    <cellStyle name="Normal 2 2 2 3 19 5 2" xfId="17859" xr:uid="{00000000-0005-0000-0000-0000BB450000}"/>
    <cellStyle name="Normal 2 2 2 3 19 5 3" xfId="17860" xr:uid="{00000000-0005-0000-0000-0000BC450000}"/>
    <cellStyle name="Normal 2 2 2 3 19 5 4" xfId="17861" xr:uid="{00000000-0005-0000-0000-0000BD450000}"/>
    <cellStyle name="Normal 2 2 2 3 19 5 5" xfId="17862" xr:uid="{00000000-0005-0000-0000-0000BE450000}"/>
    <cellStyle name="Normal 2 2 2 3 19 5 6" xfId="17863" xr:uid="{00000000-0005-0000-0000-0000BF450000}"/>
    <cellStyle name="Normal 2 2 2 3 19 5 7" xfId="17864" xr:uid="{00000000-0005-0000-0000-0000C0450000}"/>
    <cellStyle name="Normal 2 2 2 3 19 5 8" xfId="17865" xr:uid="{00000000-0005-0000-0000-0000C1450000}"/>
    <cellStyle name="Normal 2 2 2 3 19 5 9" xfId="17866" xr:uid="{00000000-0005-0000-0000-0000C2450000}"/>
    <cellStyle name="Normal 2 2 2 3 19 6" xfId="17867" xr:uid="{00000000-0005-0000-0000-0000C3450000}"/>
    <cellStyle name="Normal 2 2 2 3 19 7" xfId="17868" xr:uid="{00000000-0005-0000-0000-0000C4450000}"/>
    <cellStyle name="Normal 2 2 2 3 19 8" xfId="17869" xr:uid="{00000000-0005-0000-0000-0000C5450000}"/>
    <cellStyle name="Normal 2 2 2 3 19 9" xfId="17870" xr:uid="{00000000-0005-0000-0000-0000C6450000}"/>
    <cellStyle name="Normal 2 2 2 3 2" xfId="17871" xr:uid="{00000000-0005-0000-0000-0000C7450000}"/>
    <cellStyle name="Normal 2 2 2 3 2 10" xfId="17872" xr:uid="{00000000-0005-0000-0000-0000C8450000}"/>
    <cellStyle name="Normal 2 2 2 3 2 11" xfId="17873" xr:uid="{00000000-0005-0000-0000-0000C9450000}"/>
    <cellStyle name="Normal 2 2 2 3 2 12" xfId="17874" xr:uid="{00000000-0005-0000-0000-0000CA450000}"/>
    <cellStyle name="Normal 2 2 2 3 2 13" xfId="17875" xr:uid="{00000000-0005-0000-0000-0000CB450000}"/>
    <cellStyle name="Normal 2 2 2 3 2 14" xfId="17876" xr:uid="{00000000-0005-0000-0000-0000CC450000}"/>
    <cellStyle name="Normal 2 2 2 3 2 15" xfId="17877" xr:uid="{00000000-0005-0000-0000-0000CD450000}"/>
    <cellStyle name="Normal 2 2 2 3 2 16" xfId="17878" xr:uid="{00000000-0005-0000-0000-0000CE450000}"/>
    <cellStyle name="Normal 2 2 2 3 2 17" xfId="17879" xr:uid="{00000000-0005-0000-0000-0000CF450000}"/>
    <cellStyle name="Normal 2 2 2 3 2 2" xfId="17880" xr:uid="{00000000-0005-0000-0000-0000D0450000}"/>
    <cellStyle name="Normal 2 2 2 3 2 2 10" xfId="17881" xr:uid="{00000000-0005-0000-0000-0000D1450000}"/>
    <cellStyle name="Normal 2 2 2 3 2 2 11" xfId="17882" xr:uid="{00000000-0005-0000-0000-0000D2450000}"/>
    <cellStyle name="Normal 2 2 2 3 2 2 12" xfId="17883" xr:uid="{00000000-0005-0000-0000-0000D3450000}"/>
    <cellStyle name="Normal 2 2 2 3 2 2 2" xfId="17884" xr:uid="{00000000-0005-0000-0000-0000D4450000}"/>
    <cellStyle name="Normal 2 2 2 3 2 2 2 2" xfId="17885" xr:uid="{00000000-0005-0000-0000-0000D5450000}"/>
    <cellStyle name="Normal 2 2 2 3 2 2 2 3" xfId="17886" xr:uid="{00000000-0005-0000-0000-0000D6450000}"/>
    <cellStyle name="Normal 2 2 2 3 2 2 3" xfId="17887" xr:uid="{00000000-0005-0000-0000-0000D7450000}"/>
    <cellStyle name="Normal 2 2 2 3 2 2 4" xfId="17888" xr:uid="{00000000-0005-0000-0000-0000D8450000}"/>
    <cellStyle name="Normal 2 2 2 3 2 2 5" xfId="17889" xr:uid="{00000000-0005-0000-0000-0000D9450000}"/>
    <cellStyle name="Normal 2 2 2 3 2 2 6" xfId="17890" xr:uid="{00000000-0005-0000-0000-0000DA450000}"/>
    <cellStyle name="Normal 2 2 2 3 2 2 7" xfId="17891" xr:uid="{00000000-0005-0000-0000-0000DB450000}"/>
    <cellStyle name="Normal 2 2 2 3 2 2 8" xfId="17892" xr:uid="{00000000-0005-0000-0000-0000DC450000}"/>
    <cellStyle name="Normal 2 2 2 3 2 2 9" xfId="17893" xr:uid="{00000000-0005-0000-0000-0000DD450000}"/>
    <cellStyle name="Normal 2 2 2 3 2 3" xfId="17894" xr:uid="{00000000-0005-0000-0000-0000DE450000}"/>
    <cellStyle name="Normal 2 2 2 3 2 3 10" xfId="17895" xr:uid="{00000000-0005-0000-0000-0000DF450000}"/>
    <cellStyle name="Normal 2 2 2 3 2 3 11" xfId="17896" xr:uid="{00000000-0005-0000-0000-0000E0450000}"/>
    <cellStyle name="Normal 2 2 2 3 2 3 12" xfId="17897" xr:uid="{00000000-0005-0000-0000-0000E1450000}"/>
    <cellStyle name="Normal 2 2 2 3 2 3 2" xfId="17898" xr:uid="{00000000-0005-0000-0000-0000E2450000}"/>
    <cellStyle name="Normal 2 2 2 3 2 3 3" xfId="17899" xr:uid="{00000000-0005-0000-0000-0000E3450000}"/>
    <cellStyle name="Normal 2 2 2 3 2 3 4" xfId="17900" xr:uid="{00000000-0005-0000-0000-0000E4450000}"/>
    <cellStyle name="Normal 2 2 2 3 2 3 5" xfId="17901" xr:uid="{00000000-0005-0000-0000-0000E5450000}"/>
    <cellStyle name="Normal 2 2 2 3 2 3 6" xfId="17902" xr:uid="{00000000-0005-0000-0000-0000E6450000}"/>
    <cellStyle name="Normal 2 2 2 3 2 3 7" xfId="17903" xr:uid="{00000000-0005-0000-0000-0000E7450000}"/>
    <cellStyle name="Normal 2 2 2 3 2 3 8" xfId="17904" xr:uid="{00000000-0005-0000-0000-0000E8450000}"/>
    <cellStyle name="Normal 2 2 2 3 2 3 9" xfId="17905" xr:uid="{00000000-0005-0000-0000-0000E9450000}"/>
    <cellStyle name="Normal 2 2 2 3 2 4" xfId="17906" xr:uid="{00000000-0005-0000-0000-0000EA450000}"/>
    <cellStyle name="Normal 2 2 2 3 2 4 10" xfId="17907" xr:uid="{00000000-0005-0000-0000-0000EB450000}"/>
    <cellStyle name="Normal 2 2 2 3 2 4 2" xfId="17908" xr:uid="{00000000-0005-0000-0000-0000EC450000}"/>
    <cellStyle name="Normal 2 2 2 3 2 4 3" xfId="17909" xr:uid="{00000000-0005-0000-0000-0000ED450000}"/>
    <cellStyle name="Normal 2 2 2 3 2 4 4" xfId="17910" xr:uid="{00000000-0005-0000-0000-0000EE450000}"/>
    <cellStyle name="Normal 2 2 2 3 2 4 5" xfId="17911" xr:uid="{00000000-0005-0000-0000-0000EF450000}"/>
    <cellStyle name="Normal 2 2 2 3 2 4 6" xfId="17912" xr:uid="{00000000-0005-0000-0000-0000F0450000}"/>
    <cellStyle name="Normal 2 2 2 3 2 4 7" xfId="17913" xr:uid="{00000000-0005-0000-0000-0000F1450000}"/>
    <cellStyle name="Normal 2 2 2 3 2 4 8" xfId="17914" xr:uid="{00000000-0005-0000-0000-0000F2450000}"/>
    <cellStyle name="Normal 2 2 2 3 2 4 9" xfId="17915" xr:uid="{00000000-0005-0000-0000-0000F3450000}"/>
    <cellStyle name="Normal 2 2 2 3 2 5" xfId="17916" xr:uid="{00000000-0005-0000-0000-0000F4450000}"/>
    <cellStyle name="Normal 2 2 2 3 2 5 10" xfId="17917" xr:uid="{00000000-0005-0000-0000-0000F5450000}"/>
    <cellStyle name="Normal 2 2 2 3 2 5 2" xfId="17918" xr:uid="{00000000-0005-0000-0000-0000F6450000}"/>
    <cellStyle name="Normal 2 2 2 3 2 5 3" xfId="17919" xr:uid="{00000000-0005-0000-0000-0000F7450000}"/>
    <cellStyle name="Normal 2 2 2 3 2 5 4" xfId="17920" xr:uid="{00000000-0005-0000-0000-0000F8450000}"/>
    <cellStyle name="Normal 2 2 2 3 2 5 5" xfId="17921" xr:uid="{00000000-0005-0000-0000-0000F9450000}"/>
    <cellStyle name="Normal 2 2 2 3 2 5 6" xfId="17922" xr:uid="{00000000-0005-0000-0000-0000FA450000}"/>
    <cellStyle name="Normal 2 2 2 3 2 5 7" xfId="17923" xr:uid="{00000000-0005-0000-0000-0000FB450000}"/>
    <cellStyle name="Normal 2 2 2 3 2 5 8" xfId="17924" xr:uid="{00000000-0005-0000-0000-0000FC450000}"/>
    <cellStyle name="Normal 2 2 2 3 2 5 9" xfId="17925" xr:uid="{00000000-0005-0000-0000-0000FD450000}"/>
    <cellStyle name="Normal 2 2 2 3 2 6" xfId="17926" xr:uid="{00000000-0005-0000-0000-0000FE450000}"/>
    <cellStyle name="Normal 2 2 2 3 2 7" xfId="17927" xr:uid="{00000000-0005-0000-0000-0000FF450000}"/>
    <cellStyle name="Normal 2 2 2 3 2 8" xfId="17928" xr:uid="{00000000-0005-0000-0000-000000460000}"/>
    <cellStyle name="Normal 2 2 2 3 2 9" xfId="17929" xr:uid="{00000000-0005-0000-0000-000001460000}"/>
    <cellStyle name="Normal 2 2 2 3 20" xfId="17930" xr:uid="{00000000-0005-0000-0000-000002460000}"/>
    <cellStyle name="Normal 2 2 2 3 20 10" xfId="17931" xr:uid="{00000000-0005-0000-0000-000003460000}"/>
    <cellStyle name="Normal 2 2 2 3 20 11" xfId="17932" xr:uid="{00000000-0005-0000-0000-000004460000}"/>
    <cellStyle name="Normal 2 2 2 3 20 12" xfId="17933" xr:uid="{00000000-0005-0000-0000-000005460000}"/>
    <cellStyle name="Normal 2 2 2 3 20 13" xfId="17934" xr:uid="{00000000-0005-0000-0000-000006460000}"/>
    <cellStyle name="Normal 2 2 2 3 20 14" xfId="17935" xr:uid="{00000000-0005-0000-0000-000007460000}"/>
    <cellStyle name="Normal 2 2 2 3 20 2" xfId="17936" xr:uid="{00000000-0005-0000-0000-000008460000}"/>
    <cellStyle name="Normal 2 2 2 3 20 2 10" xfId="17937" xr:uid="{00000000-0005-0000-0000-000009460000}"/>
    <cellStyle name="Normal 2 2 2 3 20 2 2" xfId="17938" xr:uid="{00000000-0005-0000-0000-00000A460000}"/>
    <cellStyle name="Normal 2 2 2 3 20 2 3" xfId="17939" xr:uid="{00000000-0005-0000-0000-00000B460000}"/>
    <cellStyle name="Normal 2 2 2 3 20 2 4" xfId="17940" xr:uid="{00000000-0005-0000-0000-00000C460000}"/>
    <cellStyle name="Normal 2 2 2 3 20 2 5" xfId="17941" xr:uid="{00000000-0005-0000-0000-00000D460000}"/>
    <cellStyle name="Normal 2 2 2 3 20 2 6" xfId="17942" xr:uid="{00000000-0005-0000-0000-00000E460000}"/>
    <cellStyle name="Normal 2 2 2 3 20 2 7" xfId="17943" xr:uid="{00000000-0005-0000-0000-00000F460000}"/>
    <cellStyle name="Normal 2 2 2 3 20 2 8" xfId="17944" xr:uid="{00000000-0005-0000-0000-000010460000}"/>
    <cellStyle name="Normal 2 2 2 3 20 2 9" xfId="17945" xr:uid="{00000000-0005-0000-0000-000011460000}"/>
    <cellStyle name="Normal 2 2 2 3 20 3" xfId="17946" xr:uid="{00000000-0005-0000-0000-000012460000}"/>
    <cellStyle name="Normal 2 2 2 3 20 3 10" xfId="17947" xr:uid="{00000000-0005-0000-0000-000013460000}"/>
    <cellStyle name="Normal 2 2 2 3 20 3 2" xfId="17948" xr:uid="{00000000-0005-0000-0000-000014460000}"/>
    <cellStyle name="Normal 2 2 2 3 20 3 3" xfId="17949" xr:uid="{00000000-0005-0000-0000-000015460000}"/>
    <cellStyle name="Normal 2 2 2 3 20 3 4" xfId="17950" xr:uid="{00000000-0005-0000-0000-000016460000}"/>
    <cellStyle name="Normal 2 2 2 3 20 3 5" xfId="17951" xr:uid="{00000000-0005-0000-0000-000017460000}"/>
    <cellStyle name="Normal 2 2 2 3 20 3 6" xfId="17952" xr:uid="{00000000-0005-0000-0000-000018460000}"/>
    <cellStyle name="Normal 2 2 2 3 20 3 7" xfId="17953" xr:uid="{00000000-0005-0000-0000-000019460000}"/>
    <cellStyle name="Normal 2 2 2 3 20 3 8" xfId="17954" xr:uid="{00000000-0005-0000-0000-00001A460000}"/>
    <cellStyle name="Normal 2 2 2 3 20 3 9" xfId="17955" xr:uid="{00000000-0005-0000-0000-00001B460000}"/>
    <cellStyle name="Normal 2 2 2 3 20 4" xfId="17956" xr:uid="{00000000-0005-0000-0000-00001C460000}"/>
    <cellStyle name="Normal 2 2 2 3 20 4 10" xfId="17957" xr:uid="{00000000-0005-0000-0000-00001D460000}"/>
    <cellStyle name="Normal 2 2 2 3 20 4 2" xfId="17958" xr:uid="{00000000-0005-0000-0000-00001E460000}"/>
    <cellStyle name="Normal 2 2 2 3 20 4 3" xfId="17959" xr:uid="{00000000-0005-0000-0000-00001F460000}"/>
    <cellStyle name="Normal 2 2 2 3 20 4 4" xfId="17960" xr:uid="{00000000-0005-0000-0000-000020460000}"/>
    <cellStyle name="Normal 2 2 2 3 20 4 5" xfId="17961" xr:uid="{00000000-0005-0000-0000-000021460000}"/>
    <cellStyle name="Normal 2 2 2 3 20 4 6" xfId="17962" xr:uid="{00000000-0005-0000-0000-000022460000}"/>
    <cellStyle name="Normal 2 2 2 3 20 4 7" xfId="17963" xr:uid="{00000000-0005-0000-0000-000023460000}"/>
    <cellStyle name="Normal 2 2 2 3 20 4 8" xfId="17964" xr:uid="{00000000-0005-0000-0000-000024460000}"/>
    <cellStyle name="Normal 2 2 2 3 20 4 9" xfId="17965" xr:uid="{00000000-0005-0000-0000-000025460000}"/>
    <cellStyle name="Normal 2 2 2 3 20 5" xfId="17966" xr:uid="{00000000-0005-0000-0000-000026460000}"/>
    <cellStyle name="Normal 2 2 2 3 20 5 10" xfId="17967" xr:uid="{00000000-0005-0000-0000-000027460000}"/>
    <cellStyle name="Normal 2 2 2 3 20 5 2" xfId="17968" xr:uid="{00000000-0005-0000-0000-000028460000}"/>
    <cellStyle name="Normal 2 2 2 3 20 5 3" xfId="17969" xr:uid="{00000000-0005-0000-0000-000029460000}"/>
    <cellStyle name="Normal 2 2 2 3 20 5 4" xfId="17970" xr:uid="{00000000-0005-0000-0000-00002A460000}"/>
    <cellStyle name="Normal 2 2 2 3 20 5 5" xfId="17971" xr:uid="{00000000-0005-0000-0000-00002B460000}"/>
    <cellStyle name="Normal 2 2 2 3 20 5 6" xfId="17972" xr:uid="{00000000-0005-0000-0000-00002C460000}"/>
    <cellStyle name="Normal 2 2 2 3 20 5 7" xfId="17973" xr:uid="{00000000-0005-0000-0000-00002D460000}"/>
    <cellStyle name="Normal 2 2 2 3 20 5 8" xfId="17974" xr:uid="{00000000-0005-0000-0000-00002E460000}"/>
    <cellStyle name="Normal 2 2 2 3 20 5 9" xfId="17975" xr:uid="{00000000-0005-0000-0000-00002F460000}"/>
    <cellStyle name="Normal 2 2 2 3 20 6" xfId="17976" xr:uid="{00000000-0005-0000-0000-000030460000}"/>
    <cellStyle name="Normal 2 2 2 3 20 7" xfId="17977" xr:uid="{00000000-0005-0000-0000-000031460000}"/>
    <cellStyle name="Normal 2 2 2 3 20 8" xfId="17978" xr:uid="{00000000-0005-0000-0000-000032460000}"/>
    <cellStyle name="Normal 2 2 2 3 20 9" xfId="17979" xr:uid="{00000000-0005-0000-0000-000033460000}"/>
    <cellStyle name="Normal 2 2 2 3 21" xfId="17980" xr:uid="{00000000-0005-0000-0000-000034460000}"/>
    <cellStyle name="Normal 2 2 2 3 21 10" xfId="17981" xr:uid="{00000000-0005-0000-0000-000035460000}"/>
    <cellStyle name="Normal 2 2 2 3 21 11" xfId="17982" xr:uid="{00000000-0005-0000-0000-000036460000}"/>
    <cellStyle name="Normal 2 2 2 3 21 12" xfId="17983" xr:uid="{00000000-0005-0000-0000-000037460000}"/>
    <cellStyle name="Normal 2 2 2 3 21 13" xfId="17984" xr:uid="{00000000-0005-0000-0000-000038460000}"/>
    <cellStyle name="Normal 2 2 2 3 21 14" xfId="17985" xr:uid="{00000000-0005-0000-0000-000039460000}"/>
    <cellStyle name="Normal 2 2 2 3 21 2" xfId="17986" xr:uid="{00000000-0005-0000-0000-00003A460000}"/>
    <cellStyle name="Normal 2 2 2 3 21 2 10" xfId="17987" xr:uid="{00000000-0005-0000-0000-00003B460000}"/>
    <cellStyle name="Normal 2 2 2 3 21 2 2" xfId="17988" xr:uid="{00000000-0005-0000-0000-00003C460000}"/>
    <cellStyle name="Normal 2 2 2 3 21 2 3" xfId="17989" xr:uid="{00000000-0005-0000-0000-00003D460000}"/>
    <cellStyle name="Normal 2 2 2 3 21 2 4" xfId="17990" xr:uid="{00000000-0005-0000-0000-00003E460000}"/>
    <cellStyle name="Normal 2 2 2 3 21 2 5" xfId="17991" xr:uid="{00000000-0005-0000-0000-00003F460000}"/>
    <cellStyle name="Normal 2 2 2 3 21 2 6" xfId="17992" xr:uid="{00000000-0005-0000-0000-000040460000}"/>
    <cellStyle name="Normal 2 2 2 3 21 2 7" xfId="17993" xr:uid="{00000000-0005-0000-0000-000041460000}"/>
    <cellStyle name="Normal 2 2 2 3 21 2 8" xfId="17994" xr:uid="{00000000-0005-0000-0000-000042460000}"/>
    <cellStyle name="Normal 2 2 2 3 21 2 9" xfId="17995" xr:uid="{00000000-0005-0000-0000-000043460000}"/>
    <cellStyle name="Normal 2 2 2 3 21 3" xfId="17996" xr:uid="{00000000-0005-0000-0000-000044460000}"/>
    <cellStyle name="Normal 2 2 2 3 21 3 10" xfId="17997" xr:uid="{00000000-0005-0000-0000-000045460000}"/>
    <cellStyle name="Normal 2 2 2 3 21 3 2" xfId="17998" xr:uid="{00000000-0005-0000-0000-000046460000}"/>
    <cellStyle name="Normal 2 2 2 3 21 3 3" xfId="17999" xr:uid="{00000000-0005-0000-0000-000047460000}"/>
    <cellStyle name="Normal 2 2 2 3 21 3 4" xfId="18000" xr:uid="{00000000-0005-0000-0000-000048460000}"/>
    <cellStyle name="Normal 2 2 2 3 21 3 5" xfId="18001" xr:uid="{00000000-0005-0000-0000-000049460000}"/>
    <cellStyle name="Normal 2 2 2 3 21 3 6" xfId="18002" xr:uid="{00000000-0005-0000-0000-00004A460000}"/>
    <cellStyle name="Normal 2 2 2 3 21 3 7" xfId="18003" xr:uid="{00000000-0005-0000-0000-00004B460000}"/>
    <cellStyle name="Normal 2 2 2 3 21 3 8" xfId="18004" xr:uid="{00000000-0005-0000-0000-00004C460000}"/>
    <cellStyle name="Normal 2 2 2 3 21 3 9" xfId="18005" xr:uid="{00000000-0005-0000-0000-00004D460000}"/>
    <cellStyle name="Normal 2 2 2 3 21 4" xfId="18006" xr:uid="{00000000-0005-0000-0000-00004E460000}"/>
    <cellStyle name="Normal 2 2 2 3 21 4 10" xfId="18007" xr:uid="{00000000-0005-0000-0000-00004F460000}"/>
    <cellStyle name="Normal 2 2 2 3 21 4 2" xfId="18008" xr:uid="{00000000-0005-0000-0000-000050460000}"/>
    <cellStyle name="Normal 2 2 2 3 21 4 3" xfId="18009" xr:uid="{00000000-0005-0000-0000-000051460000}"/>
    <cellStyle name="Normal 2 2 2 3 21 4 4" xfId="18010" xr:uid="{00000000-0005-0000-0000-000052460000}"/>
    <cellStyle name="Normal 2 2 2 3 21 4 5" xfId="18011" xr:uid="{00000000-0005-0000-0000-000053460000}"/>
    <cellStyle name="Normal 2 2 2 3 21 4 6" xfId="18012" xr:uid="{00000000-0005-0000-0000-000054460000}"/>
    <cellStyle name="Normal 2 2 2 3 21 4 7" xfId="18013" xr:uid="{00000000-0005-0000-0000-000055460000}"/>
    <cellStyle name="Normal 2 2 2 3 21 4 8" xfId="18014" xr:uid="{00000000-0005-0000-0000-000056460000}"/>
    <cellStyle name="Normal 2 2 2 3 21 4 9" xfId="18015" xr:uid="{00000000-0005-0000-0000-000057460000}"/>
    <cellStyle name="Normal 2 2 2 3 21 5" xfId="18016" xr:uid="{00000000-0005-0000-0000-000058460000}"/>
    <cellStyle name="Normal 2 2 2 3 21 5 10" xfId="18017" xr:uid="{00000000-0005-0000-0000-000059460000}"/>
    <cellStyle name="Normal 2 2 2 3 21 5 2" xfId="18018" xr:uid="{00000000-0005-0000-0000-00005A460000}"/>
    <cellStyle name="Normal 2 2 2 3 21 5 3" xfId="18019" xr:uid="{00000000-0005-0000-0000-00005B460000}"/>
    <cellStyle name="Normal 2 2 2 3 21 5 4" xfId="18020" xr:uid="{00000000-0005-0000-0000-00005C460000}"/>
    <cellStyle name="Normal 2 2 2 3 21 5 5" xfId="18021" xr:uid="{00000000-0005-0000-0000-00005D460000}"/>
    <cellStyle name="Normal 2 2 2 3 21 5 6" xfId="18022" xr:uid="{00000000-0005-0000-0000-00005E460000}"/>
    <cellStyle name="Normal 2 2 2 3 21 5 7" xfId="18023" xr:uid="{00000000-0005-0000-0000-00005F460000}"/>
    <cellStyle name="Normal 2 2 2 3 21 5 8" xfId="18024" xr:uid="{00000000-0005-0000-0000-000060460000}"/>
    <cellStyle name="Normal 2 2 2 3 21 5 9" xfId="18025" xr:uid="{00000000-0005-0000-0000-000061460000}"/>
    <cellStyle name="Normal 2 2 2 3 21 6" xfId="18026" xr:uid="{00000000-0005-0000-0000-000062460000}"/>
    <cellStyle name="Normal 2 2 2 3 21 7" xfId="18027" xr:uid="{00000000-0005-0000-0000-000063460000}"/>
    <cellStyle name="Normal 2 2 2 3 21 8" xfId="18028" xr:uid="{00000000-0005-0000-0000-000064460000}"/>
    <cellStyle name="Normal 2 2 2 3 21 9" xfId="18029" xr:uid="{00000000-0005-0000-0000-000065460000}"/>
    <cellStyle name="Normal 2 2 2 3 22" xfId="18030" xr:uid="{00000000-0005-0000-0000-000066460000}"/>
    <cellStyle name="Normal 2 2 2 3 22 10" xfId="18031" xr:uid="{00000000-0005-0000-0000-000067460000}"/>
    <cellStyle name="Normal 2 2 2 3 22 11" xfId="18032" xr:uid="{00000000-0005-0000-0000-000068460000}"/>
    <cellStyle name="Normal 2 2 2 3 22 12" xfId="18033" xr:uid="{00000000-0005-0000-0000-000069460000}"/>
    <cellStyle name="Normal 2 2 2 3 22 13" xfId="18034" xr:uid="{00000000-0005-0000-0000-00006A460000}"/>
    <cellStyle name="Normal 2 2 2 3 22 14" xfId="18035" xr:uid="{00000000-0005-0000-0000-00006B460000}"/>
    <cellStyle name="Normal 2 2 2 3 22 2" xfId="18036" xr:uid="{00000000-0005-0000-0000-00006C460000}"/>
    <cellStyle name="Normal 2 2 2 3 22 2 10" xfId="18037" xr:uid="{00000000-0005-0000-0000-00006D460000}"/>
    <cellStyle name="Normal 2 2 2 3 22 2 2" xfId="18038" xr:uid="{00000000-0005-0000-0000-00006E460000}"/>
    <cellStyle name="Normal 2 2 2 3 22 2 3" xfId="18039" xr:uid="{00000000-0005-0000-0000-00006F460000}"/>
    <cellStyle name="Normal 2 2 2 3 22 2 4" xfId="18040" xr:uid="{00000000-0005-0000-0000-000070460000}"/>
    <cellStyle name="Normal 2 2 2 3 22 2 5" xfId="18041" xr:uid="{00000000-0005-0000-0000-000071460000}"/>
    <cellStyle name="Normal 2 2 2 3 22 2 6" xfId="18042" xr:uid="{00000000-0005-0000-0000-000072460000}"/>
    <cellStyle name="Normal 2 2 2 3 22 2 7" xfId="18043" xr:uid="{00000000-0005-0000-0000-000073460000}"/>
    <cellStyle name="Normal 2 2 2 3 22 2 8" xfId="18044" xr:uid="{00000000-0005-0000-0000-000074460000}"/>
    <cellStyle name="Normal 2 2 2 3 22 2 9" xfId="18045" xr:uid="{00000000-0005-0000-0000-000075460000}"/>
    <cellStyle name="Normal 2 2 2 3 22 3" xfId="18046" xr:uid="{00000000-0005-0000-0000-000076460000}"/>
    <cellStyle name="Normal 2 2 2 3 22 3 10" xfId="18047" xr:uid="{00000000-0005-0000-0000-000077460000}"/>
    <cellStyle name="Normal 2 2 2 3 22 3 2" xfId="18048" xr:uid="{00000000-0005-0000-0000-000078460000}"/>
    <cellStyle name="Normal 2 2 2 3 22 3 3" xfId="18049" xr:uid="{00000000-0005-0000-0000-000079460000}"/>
    <cellStyle name="Normal 2 2 2 3 22 3 4" xfId="18050" xr:uid="{00000000-0005-0000-0000-00007A460000}"/>
    <cellStyle name="Normal 2 2 2 3 22 3 5" xfId="18051" xr:uid="{00000000-0005-0000-0000-00007B460000}"/>
    <cellStyle name="Normal 2 2 2 3 22 3 6" xfId="18052" xr:uid="{00000000-0005-0000-0000-00007C460000}"/>
    <cellStyle name="Normal 2 2 2 3 22 3 7" xfId="18053" xr:uid="{00000000-0005-0000-0000-00007D460000}"/>
    <cellStyle name="Normal 2 2 2 3 22 3 8" xfId="18054" xr:uid="{00000000-0005-0000-0000-00007E460000}"/>
    <cellStyle name="Normal 2 2 2 3 22 3 9" xfId="18055" xr:uid="{00000000-0005-0000-0000-00007F460000}"/>
    <cellStyle name="Normal 2 2 2 3 22 4" xfId="18056" xr:uid="{00000000-0005-0000-0000-000080460000}"/>
    <cellStyle name="Normal 2 2 2 3 22 4 10" xfId="18057" xr:uid="{00000000-0005-0000-0000-000081460000}"/>
    <cellStyle name="Normal 2 2 2 3 22 4 2" xfId="18058" xr:uid="{00000000-0005-0000-0000-000082460000}"/>
    <cellStyle name="Normal 2 2 2 3 22 4 3" xfId="18059" xr:uid="{00000000-0005-0000-0000-000083460000}"/>
    <cellStyle name="Normal 2 2 2 3 22 4 4" xfId="18060" xr:uid="{00000000-0005-0000-0000-000084460000}"/>
    <cellStyle name="Normal 2 2 2 3 22 4 5" xfId="18061" xr:uid="{00000000-0005-0000-0000-000085460000}"/>
    <cellStyle name="Normal 2 2 2 3 22 4 6" xfId="18062" xr:uid="{00000000-0005-0000-0000-000086460000}"/>
    <cellStyle name="Normal 2 2 2 3 22 4 7" xfId="18063" xr:uid="{00000000-0005-0000-0000-000087460000}"/>
    <cellStyle name="Normal 2 2 2 3 22 4 8" xfId="18064" xr:uid="{00000000-0005-0000-0000-000088460000}"/>
    <cellStyle name="Normal 2 2 2 3 22 4 9" xfId="18065" xr:uid="{00000000-0005-0000-0000-000089460000}"/>
    <cellStyle name="Normal 2 2 2 3 22 5" xfId="18066" xr:uid="{00000000-0005-0000-0000-00008A460000}"/>
    <cellStyle name="Normal 2 2 2 3 22 5 10" xfId="18067" xr:uid="{00000000-0005-0000-0000-00008B460000}"/>
    <cellStyle name="Normal 2 2 2 3 22 5 2" xfId="18068" xr:uid="{00000000-0005-0000-0000-00008C460000}"/>
    <cellStyle name="Normal 2 2 2 3 22 5 3" xfId="18069" xr:uid="{00000000-0005-0000-0000-00008D460000}"/>
    <cellStyle name="Normal 2 2 2 3 22 5 4" xfId="18070" xr:uid="{00000000-0005-0000-0000-00008E460000}"/>
    <cellStyle name="Normal 2 2 2 3 22 5 5" xfId="18071" xr:uid="{00000000-0005-0000-0000-00008F460000}"/>
    <cellStyle name="Normal 2 2 2 3 22 5 6" xfId="18072" xr:uid="{00000000-0005-0000-0000-000090460000}"/>
    <cellStyle name="Normal 2 2 2 3 22 5 7" xfId="18073" xr:uid="{00000000-0005-0000-0000-000091460000}"/>
    <cellStyle name="Normal 2 2 2 3 22 5 8" xfId="18074" xr:uid="{00000000-0005-0000-0000-000092460000}"/>
    <cellStyle name="Normal 2 2 2 3 22 5 9" xfId="18075" xr:uid="{00000000-0005-0000-0000-000093460000}"/>
    <cellStyle name="Normal 2 2 2 3 22 6" xfId="18076" xr:uid="{00000000-0005-0000-0000-000094460000}"/>
    <cellStyle name="Normal 2 2 2 3 22 7" xfId="18077" xr:uid="{00000000-0005-0000-0000-000095460000}"/>
    <cellStyle name="Normal 2 2 2 3 22 8" xfId="18078" xr:uid="{00000000-0005-0000-0000-000096460000}"/>
    <cellStyle name="Normal 2 2 2 3 22 9" xfId="18079" xr:uid="{00000000-0005-0000-0000-000097460000}"/>
    <cellStyle name="Normal 2 2 2 3 23" xfId="18080" xr:uid="{00000000-0005-0000-0000-000098460000}"/>
    <cellStyle name="Normal 2 2 2 3 23 10" xfId="18081" xr:uid="{00000000-0005-0000-0000-000099460000}"/>
    <cellStyle name="Normal 2 2 2 3 23 11" xfId="18082" xr:uid="{00000000-0005-0000-0000-00009A460000}"/>
    <cellStyle name="Normal 2 2 2 3 23 12" xfId="18083" xr:uid="{00000000-0005-0000-0000-00009B460000}"/>
    <cellStyle name="Normal 2 2 2 3 23 13" xfId="18084" xr:uid="{00000000-0005-0000-0000-00009C460000}"/>
    <cellStyle name="Normal 2 2 2 3 23 14" xfId="18085" xr:uid="{00000000-0005-0000-0000-00009D460000}"/>
    <cellStyle name="Normal 2 2 2 3 23 2" xfId="18086" xr:uid="{00000000-0005-0000-0000-00009E460000}"/>
    <cellStyle name="Normal 2 2 2 3 23 2 10" xfId="18087" xr:uid="{00000000-0005-0000-0000-00009F460000}"/>
    <cellStyle name="Normal 2 2 2 3 23 2 2" xfId="18088" xr:uid="{00000000-0005-0000-0000-0000A0460000}"/>
    <cellStyle name="Normal 2 2 2 3 23 2 3" xfId="18089" xr:uid="{00000000-0005-0000-0000-0000A1460000}"/>
    <cellStyle name="Normal 2 2 2 3 23 2 4" xfId="18090" xr:uid="{00000000-0005-0000-0000-0000A2460000}"/>
    <cellStyle name="Normal 2 2 2 3 23 2 5" xfId="18091" xr:uid="{00000000-0005-0000-0000-0000A3460000}"/>
    <cellStyle name="Normal 2 2 2 3 23 2 6" xfId="18092" xr:uid="{00000000-0005-0000-0000-0000A4460000}"/>
    <cellStyle name="Normal 2 2 2 3 23 2 7" xfId="18093" xr:uid="{00000000-0005-0000-0000-0000A5460000}"/>
    <cellStyle name="Normal 2 2 2 3 23 2 8" xfId="18094" xr:uid="{00000000-0005-0000-0000-0000A6460000}"/>
    <cellStyle name="Normal 2 2 2 3 23 2 9" xfId="18095" xr:uid="{00000000-0005-0000-0000-0000A7460000}"/>
    <cellStyle name="Normal 2 2 2 3 23 3" xfId="18096" xr:uid="{00000000-0005-0000-0000-0000A8460000}"/>
    <cellStyle name="Normal 2 2 2 3 23 3 10" xfId="18097" xr:uid="{00000000-0005-0000-0000-0000A9460000}"/>
    <cellStyle name="Normal 2 2 2 3 23 3 2" xfId="18098" xr:uid="{00000000-0005-0000-0000-0000AA460000}"/>
    <cellStyle name="Normal 2 2 2 3 23 3 3" xfId="18099" xr:uid="{00000000-0005-0000-0000-0000AB460000}"/>
    <cellStyle name="Normal 2 2 2 3 23 3 4" xfId="18100" xr:uid="{00000000-0005-0000-0000-0000AC460000}"/>
    <cellStyle name="Normal 2 2 2 3 23 3 5" xfId="18101" xr:uid="{00000000-0005-0000-0000-0000AD460000}"/>
    <cellStyle name="Normal 2 2 2 3 23 3 6" xfId="18102" xr:uid="{00000000-0005-0000-0000-0000AE460000}"/>
    <cellStyle name="Normal 2 2 2 3 23 3 7" xfId="18103" xr:uid="{00000000-0005-0000-0000-0000AF460000}"/>
    <cellStyle name="Normal 2 2 2 3 23 3 8" xfId="18104" xr:uid="{00000000-0005-0000-0000-0000B0460000}"/>
    <cellStyle name="Normal 2 2 2 3 23 3 9" xfId="18105" xr:uid="{00000000-0005-0000-0000-0000B1460000}"/>
    <cellStyle name="Normal 2 2 2 3 23 4" xfId="18106" xr:uid="{00000000-0005-0000-0000-0000B2460000}"/>
    <cellStyle name="Normal 2 2 2 3 23 4 10" xfId="18107" xr:uid="{00000000-0005-0000-0000-0000B3460000}"/>
    <cellStyle name="Normal 2 2 2 3 23 4 2" xfId="18108" xr:uid="{00000000-0005-0000-0000-0000B4460000}"/>
    <cellStyle name="Normal 2 2 2 3 23 4 3" xfId="18109" xr:uid="{00000000-0005-0000-0000-0000B5460000}"/>
    <cellStyle name="Normal 2 2 2 3 23 4 4" xfId="18110" xr:uid="{00000000-0005-0000-0000-0000B6460000}"/>
    <cellStyle name="Normal 2 2 2 3 23 4 5" xfId="18111" xr:uid="{00000000-0005-0000-0000-0000B7460000}"/>
    <cellStyle name="Normal 2 2 2 3 23 4 6" xfId="18112" xr:uid="{00000000-0005-0000-0000-0000B8460000}"/>
    <cellStyle name="Normal 2 2 2 3 23 4 7" xfId="18113" xr:uid="{00000000-0005-0000-0000-0000B9460000}"/>
    <cellStyle name="Normal 2 2 2 3 23 4 8" xfId="18114" xr:uid="{00000000-0005-0000-0000-0000BA460000}"/>
    <cellStyle name="Normal 2 2 2 3 23 4 9" xfId="18115" xr:uid="{00000000-0005-0000-0000-0000BB460000}"/>
    <cellStyle name="Normal 2 2 2 3 23 5" xfId="18116" xr:uid="{00000000-0005-0000-0000-0000BC460000}"/>
    <cellStyle name="Normal 2 2 2 3 23 5 10" xfId="18117" xr:uid="{00000000-0005-0000-0000-0000BD460000}"/>
    <cellStyle name="Normal 2 2 2 3 23 5 2" xfId="18118" xr:uid="{00000000-0005-0000-0000-0000BE460000}"/>
    <cellStyle name="Normal 2 2 2 3 23 5 3" xfId="18119" xr:uid="{00000000-0005-0000-0000-0000BF460000}"/>
    <cellStyle name="Normal 2 2 2 3 23 5 4" xfId="18120" xr:uid="{00000000-0005-0000-0000-0000C0460000}"/>
    <cellStyle name="Normal 2 2 2 3 23 5 5" xfId="18121" xr:uid="{00000000-0005-0000-0000-0000C1460000}"/>
    <cellStyle name="Normal 2 2 2 3 23 5 6" xfId="18122" xr:uid="{00000000-0005-0000-0000-0000C2460000}"/>
    <cellStyle name="Normal 2 2 2 3 23 5 7" xfId="18123" xr:uid="{00000000-0005-0000-0000-0000C3460000}"/>
    <cellStyle name="Normal 2 2 2 3 23 5 8" xfId="18124" xr:uid="{00000000-0005-0000-0000-0000C4460000}"/>
    <cellStyle name="Normal 2 2 2 3 23 5 9" xfId="18125" xr:uid="{00000000-0005-0000-0000-0000C5460000}"/>
    <cellStyle name="Normal 2 2 2 3 23 6" xfId="18126" xr:uid="{00000000-0005-0000-0000-0000C6460000}"/>
    <cellStyle name="Normal 2 2 2 3 23 7" xfId="18127" xr:uid="{00000000-0005-0000-0000-0000C7460000}"/>
    <cellStyle name="Normal 2 2 2 3 23 8" xfId="18128" xr:uid="{00000000-0005-0000-0000-0000C8460000}"/>
    <cellStyle name="Normal 2 2 2 3 23 9" xfId="18129" xr:uid="{00000000-0005-0000-0000-0000C9460000}"/>
    <cellStyle name="Normal 2 2 2 3 24" xfId="18130" xr:uid="{00000000-0005-0000-0000-0000CA460000}"/>
    <cellStyle name="Normal 2 2 2 3 24 10" xfId="18131" xr:uid="{00000000-0005-0000-0000-0000CB460000}"/>
    <cellStyle name="Normal 2 2 2 3 24 11" xfId="18132" xr:uid="{00000000-0005-0000-0000-0000CC460000}"/>
    <cellStyle name="Normal 2 2 2 3 24 12" xfId="18133" xr:uid="{00000000-0005-0000-0000-0000CD460000}"/>
    <cellStyle name="Normal 2 2 2 3 24 13" xfId="18134" xr:uid="{00000000-0005-0000-0000-0000CE460000}"/>
    <cellStyle name="Normal 2 2 2 3 24 14" xfId="18135" xr:uid="{00000000-0005-0000-0000-0000CF460000}"/>
    <cellStyle name="Normal 2 2 2 3 24 2" xfId="18136" xr:uid="{00000000-0005-0000-0000-0000D0460000}"/>
    <cellStyle name="Normal 2 2 2 3 24 2 10" xfId="18137" xr:uid="{00000000-0005-0000-0000-0000D1460000}"/>
    <cellStyle name="Normal 2 2 2 3 24 2 2" xfId="18138" xr:uid="{00000000-0005-0000-0000-0000D2460000}"/>
    <cellStyle name="Normal 2 2 2 3 24 2 3" xfId="18139" xr:uid="{00000000-0005-0000-0000-0000D3460000}"/>
    <cellStyle name="Normal 2 2 2 3 24 2 4" xfId="18140" xr:uid="{00000000-0005-0000-0000-0000D4460000}"/>
    <cellStyle name="Normal 2 2 2 3 24 2 5" xfId="18141" xr:uid="{00000000-0005-0000-0000-0000D5460000}"/>
    <cellStyle name="Normal 2 2 2 3 24 2 6" xfId="18142" xr:uid="{00000000-0005-0000-0000-0000D6460000}"/>
    <cellStyle name="Normal 2 2 2 3 24 2 7" xfId="18143" xr:uid="{00000000-0005-0000-0000-0000D7460000}"/>
    <cellStyle name="Normal 2 2 2 3 24 2 8" xfId="18144" xr:uid="{00000000-0005-0000-0000-0000D8460000}"/>
    <cellStyle name="Normal 2 2 2 3 24 2 9" xfId="18145" xr:uid="{00000000-0005-0000-0000-0000D9460000}"/>
    <cellStyle name="Normal 2 2 2 3 24 3" xfId="18146" xr:uid="{00000000-0005-0000-0000-0000DA460000}"/>
    <cellStyle name="Normal 2 2 2 3 24 3 10" xfId="18147" xr:uid="{00000000-0005-0000-0000-0000DB460000}"/>
    <cellStyle name="Normal 2 2 2 3 24 3 2" xfId="18148" xr:uid="{00000000-0005-0000-0000-0000DC460000}"/>
    <cellStyle name="Normal 2 2 2 3 24 3 3" xfId="18149" xr:uid="{00000000-0005-0000-0000-0000DD460000}"/>
    <cellStyle name="Normal 2 2 2 3 24 3 4" xfId="18150" xr:uid="{00000000-0005-0000-0000-0000DE460000}"/>
    <cellStyle name="Normal 2 2 2 3 24 3 5" xfId="18151" xr:uid="{00000000-0005-0000-0000-0000DF460000}"/>
    <cellStyle name="Normal 2 2 2 3 24 3 6" xfId="18152" xr:uid="{00000000-0005-0000-0000-0000E0460000}"/>
    <cellStyle name="Normal 2 2 2 3 24 3 7" xfId="18153" xr:uid="{00000000-0005-0000-0000-0000E1460000}"/>
    <cellStyle name="Normal 2 2 2 3 24 3 8" xfId="18154" xr:uid="{00000000-0005-0000-0000-0000E2460000}"/>
    <cellStyle name="Normal 2 2 2 3 24 3 9" xfId="18155" xr:uid="{00000000-0005-0000-0000-0000E3460000}"/>
    <cellStyle name="Normal 2 2 2 3 24 4" xfId="18156" xr:uid="{00000000-0005-0000-0000-0000E4460000}"/>
    <cellStyle name="Normal 2 2 2 3 24 4 10" xfId="18157" xr:uid="{00000000-0005-0000-0000-0000E5460000}"/>
    <cellStyle name="Normal 2 2 2 3 24 4 2" xfId="18158" xr:uid="{00000000-0005-0000-0000-0000E6460000}"/>
    <cellStyle name="Normal 2 2 2 3 24 4 3" xfId="18159" xr:uid="{00000000-0005-0000-0000-0000E7460000}"/>
    <cellStyle name="Normal 2 2 2 3 24 4 4" xfId="18160" xr:uid="{00000000-0005-0000-0000-0000E8460000}"/>
    <cellStyle name="Normal 2 2 2 3 24 4 5" xfId="18161" xr:uid="{00000000-0005-0000-0000-0000E9460000}"/>
    <cellStyle name="Normal 2 2 2 3 24 4 6" xfId="18162" xr:uid="{00000000-0005-0000-0000-0000EA460000}"/>
    <cellStyle name="Normal 2 2 2 3 24 4 7" xfId="18163" xr:uid="{00000000-0005-0000-0000-0000EB460000}"/>
    <cellStyle name="Normal 2 2 2 3 24 4 8" xfId="18164" xr:uid="{00000000-0005-0000-0000-0000EC460000}"/>
    <cellStyle name="Normal 2 2 2 3 24 4 9" xfId="18165" xr:uid="{00000000-0005-0000-0000-0000ED460000}"/>
    <cellStyle name="Normal 2 2 2 3 24 5" xfId="18166" xr:uid="{00000000-0005-0000-0000-0000EE460000}"/>
    <cellStyle name="Normal 2 2 2 3 24 5 10" xfId="18167" xr:uid="{00000000-0005-0000-0000-0000EF460000}"/>
    <cellStyle name="Normal 2 2 2 3 24 5 2" xfId="18168" xr:uid="{00000000-0005-0000-0000-0000F0460000}"/>
    <cellStyle name="Normal 2 2 2 3 24 5 3" xfId="18169" xr:uid="{00000000-0005-0000-0000-0000F1460000}"/>
    <cellStyle name="Normal 2 2 2 3 24 5 4" xfId="18170" xr:uid="{00000000-0005-0000-0000-0000F2460000}"/>
    <cellStyle name="Normal 2 2 2 3 24 5 5" xfId="18171" xr:uid="{00000000-0005-0000-0000-0000F3460000}"/>
    <cellStyle name="Normal 2 2 2 3 24 5 6" xfId="18172" xr:uid="{00000000-0005-0000-0000-0000F4460000}"/>
    <cellStyle name="Normal 2 2 2 3 24 5 7" xfId="18173" xr:uid="{00000000-0005-0000-0000-0000F5460000}"/>
    <cellStyle name="Normal 2 2 2 3 24 5 8" xfId="18174" xr:uid="{00000000-0005-0000-0000-0000F6460000}"/>
    <cellStyle name="Normal 2 2 2 3 24 5 9" xfId="18175" xr:uid="{00000000-0005-0000-0000-0000F7460000}"/>
    <cellStyle name="Normal 2 2 2 3 24 6" xfId="18176" xr:uid="{00000000-0005-0000-0000-0000F8460000}"/>
    <cellStyle name="Normal 2 2 2 3 24 7" xfId="18177" xr:uid="{00000000-0005-0000-0000-0000F9460000}"/>
    <cellStyle name="Normal 2 2 2 3 24 8" xfId="18178" xr:uid="{00000000-0005-0000-0000-0000FA460000}"/>
    <cellStyle name="Normal 2 2 2 3 24 9" xfId="18179" xr:uid="{00000000-0005-0000-0000-0000FB460000}"/>
    <cellStyle name="Normal 2 2 2 3 25" xfId="18180" xr:uid="{00000000-0005-0000-0000-0000FC460000}"/>
    <cellStyle name="Normal 2 2 2 3 25 10" xfId="18181" xr:uid="{00000000-0005-0000-0000-0000FD460000}"/>
    <cellStyle name="Normal 2 2 2 3 25 11" xfId="18182" xr:uid="{00000000-0005-0000-0000-0000FE460000}"/>
    <cellStyle name="Normal 2 2 2 3 25 12" xfId="18183" xr:uid="{00000000-0005-0000-0000-0000FF460000}"/>
    <cellStyle name="Normal 2 2 2 3 25 13" xfId="18184" xr:uid="{00000000-0005-0000-0000-000000470000}"/>
    <cellStyle name="Normal 2 2 2 3 25 14" xfId="18185" xr:uid="{00000000-0005-0000-0000-000001470000}"/>
    <cellStyle name="Normal 2 2 2 3 25 2" xfId="18186" xr:uid="{00000000-0005-0000-0000-000002470000}"/>
    <cellStyle name="Normal 2 2 2 3 25 2 10" xfId="18187" xr:uid="{00000000-0005-0000-0000-000003470000}"/>
    <cellStyle name="Normal 2 2 2 3 25 2 2" xfId="18188" xr:uid="{00000000-0005-0000-0000-000004470000}"/>
    <cellStyle name="Normal 2 2 2 3 25 2 3" xfId="18189" xr:uid="{00000000-0005-0000-0000-000005470000}"/>
    <cellStyle name="Normal 2 2 2 3 25 2 4" xfId="18190" xr:uid="{00000000-0005-0000-0000-000006470000}"/>
    <cellStyle name="Normal 2 2 2 3 25 2 5" xfId="18191" xr:uid="{00000000-0005-0000-0000-000007470000}"/>
    <cellStyle name="Normal 2 2 2 3 25 2 6" xfId="18192" xr:uid="{00000000-0005-0000-0000-000008470000}"/>
    <cellStyle name="Normal 2 2 2 3 25 2 7" xfId="18193" xr:uid="{00000000-0005-0000-0000-000009470000}"/>
    <cellStyle name="Normal 2 2 2 3 25 2 8" xfId="18194" xr:uid="{00000000-0005-0000-0000-00000A470000}"/>
    <cellStyle name="Normal 2 2 2 3 25 2 9" xfId="18195" xr:uid="{00000000-0005-0000-0000-00000B470000}"/>
    <cellStyle name="Normal 2 2 2 3 25 3" xfId="18196" xr:uid="{00000000-0005-0000-0000-00000C470000}"/>
    <cellStyle name="Normal 2 2 2 3 25 3 10" xfId="18197" xr:uid="{00000000-0005-0000-0000-00000D470000}"/>
    <cellStyle name="Normal 2 2 2 3 25 3 2" xfId="18198" xr:uid="{00000000-0005-0000-0000-00000E470000}"/>
    <cellStyle name="Normal 2 2 2 3 25 3 3" xfId="18199" xr:uid="{00000000-0005-0000-0000-00000F470000}"/>
    <cellStyle name="Normal 2 2 2 3 25 3 4" xfId="18200" xr:uid="{00000000-0005-0000-0000-000010470000}"/>
    <cellStyle name="Normal 2 2 2 3 25 3 5" xfId="18201" xr:uid="{00000000-0005-0000-0000-000011470000}"/>
    <cellStyle name="Normal 2 2 2 3 25 3 6" xfId="18202" xr:uid="{00000000-0005-0000-0000-000012470000}"/>
    <cellStyle name="Normal 2 2 2 3 25 3 7" xfId="18203" xr:uid="{00000000-0005-0000-0000-000013470000}"/>
    <cellStyle name="Normal 2 2 2 3 25 3 8" xfId="18204" xr:uid="{00000000-0005-0000-0000-000014470000}"/>
    <cellStyle name="Normal 2 2 2 3 25 3 9" xfId="18205" xr:uid="{00000000-0005-0000-0000-000015470000}"/>
    <cellStyle name="Normal 2 2 2 3 25 4" xfId="18206" xr:uid="{00000000-0005-0000-0000-000016470000}"/>
    <cellStyle name="Normal 2 2 2 3 25 4 10" xfId="18207" xr:uid="{00000000-0005-0000-0000-000017470000}"/>
    <cellStyle name="Normal 2 2 2 3 25 4 2" xfId="18208" xr:uid="{00000000-0005-0000-0000-000018470000}"/>
    <cellStyle name="Normal 2 2 2 3 25 4 3" xfId="18209" xr:uid="{00000000-0005-0000-0000-000019470000}"/>
    <cellStyle name="Normal 2 2 2 3 25 4 4" xfId="18210" xr:uid="{00000000-0005-0000-0000-00001A470000}"/>
    <cellStyle name="Normal 2 2 2 3 25 4 5" xfId="18211" xr:uid="{00000000-0005-0000-0000-00001B470000}"/>
    <cellStyle name="Normal 2 2 2 3 25 4 6" xfId="18212" xr:uid="{00000000-0005-0000-0000-00001C470000}"/>
    <cellStyle name="Normal 2 2 2 3 25 4 7" xfId="18213" xr:uid="{00000000-0005-0000-0000-00001D470000}"/>
    <cellStyle name="Normal 2 2 2 3 25 4 8" xfId="18214" xr:uid="{00000000-0005-0000-0000-00001E470000}"/>
    <cellStyle name="Normal 2 2 2 3 25 4 9" xfId="18215" xr:uid="{00000000-0005-0000-0000-00001F470000}"/>
    <cellStyle name="Normal 2 2 2 3 25 5" xfId="18216" xr:uid="{00000000-0005-0000-0000-000020470000}"/>
    <cellStyle name="Normal 2 2 2 3 25 5 10" xfId="18217" xr:uid="{00000000-0005-0000-0000-000021470000}"/>
    <cellStyle name="Normal 2 2 2 3 25 5 2" xfId="18218" xr:uid="{00000000-0005-0000-0000-000022470000}"/>
    <cellStyle name="Normal 2 2 2 3 25 5 3" xfId="18219" xr:uid="{00000000-0005-0000-0000-000023470000}"/>
    <cellStyle name="Normal 2 2 2 3 25 5 4" xfId="18220" xr:uid="{00000000-0005-0000-0000-000024470000}"/>
    <cellStyle name="Normal 2 2 2 3 25 5 5" xfId="18221" xr:uid="{00000000-0005-0000-0000-000025470000}"/>
    <cellStyle name="Normal 2 2 2 3 25 5 6" xfId="18222" xr:uid="{00000000-0005-0000-0000-000026470000}"/>
    <cellStyle name="Normal 2 2 2 3 25 5 7" xfId="18223" xr:uid="{00000000-0005-0000-0000-000027470000}"/>
    <cellStyle name="Normal 2 2 2 3 25 5 8" xfId="18224" xr:uid="{00000000-0005-0000-0000-000028470000}"/>
    <cellStyle name="Normal 2 2 2 3 25 5 9" xfId="18225" xr:uid="{00000000-0005-0000-0000-000029470000}"/>
    <cellStyle name="Normal 2 2 2 3 25 6" xfId="18226" xr:uid="{00000000-0005-0000-0000-00002A470000}"/>
    <cellStyle name="Normal 2 2 2 3 25 7" xfId="18227" xr:uid="{00000000-0005-0000-0000-00002B470000}"/>
    <cellStyle name="Normal 2 2 2 3 25 8" xfId="18228" xr:uid="{00000000-0005-0000-0000-00002C470000}"/>
    <cellStyle name="Normal 2 2 2 3 25 9" xfId="18229" xr:uid="{00000000-0005-0000-0000-00002D470000}"/>
    <cellStyle name="Normal 2 2 2 3 26" xfId="18230" xr:uid="{00000000-0005-0000-0000-00002E470000}"/>
    <cellStyle name="Normal 2 2 2 3 26 10" xfId="18231" xr:uid="{00000000-0005-0000-0000-00002F470000}"/>
    <cellStyle name="Normal 2 2 2 3 26 11" xfId="18232" xr:uid="{00000000-0005-0000-0000-000030470000}"/>
    <cellStyle name="Normal 2 2 2 3 26 12" xfId="18233" xr:uid="{00000000-0005-0000-0000-000031470000}"/>
    <cellStyle name="Normal 2 2 2 3 26 13" xfId="18234" xr:uid="{00000000-0005-0000-0000-000032470000}"/>
    <cellStyle name="Normal 2 2 2 3 26 14" xfId="18235" xr:uid="{00000000-0005-0000-0000-000033470000}"/>
    <cellStyle name="Normal 2 2 2 3 26 2" xfId="18236" xr:uid="{00000000-0005-0000-0000-000034470000}"/>
    <cellStyle name="Normal 2 2 2 3 26 2 10" xfId="18237" xr:uid="{00000000-0005-0000-0000-000035470000}"/>
    <cellStyle name="Normal 2 2 2 3 26 2 2" xfId="18238" xr:uid="{00000000-0005-0000-0000-000036470000}"/>
    <cellStyle name="Normal 2 2 2 3 26 2 3" xfId="18239" xr:uid="{00000000-0005-0000-0000-000037470000}"/>
    <cellStyle name="Normal 2 2 2 3 26 2 4" xfId="18240" xr:uid="{00000000-0005-0000-0000-000038470000}"/>
    <cellStyle name="Normal 2 2 2 3 26 2 5" xfId="18241" xr:uid="{00000000-0005-0000-0000-000039470000}"/>
    <cellStyle name="Normal 2 2 2 3 26 2 6" xfId="18242" xr:uid="{00000000-0005-0000-0000-00003A470000}"/>
    <cellStyle name="Normal 2 2 2 3 26 2 7" xfId="18243" xr:uid="{00000000-0005-0000-0000-00003B470000}"/>
    <cellStyle name="Normal 2 2 2 3 26 2 8" xfId="18244" xr:uid="{00000000-0005-0000-0000-00003C470000}"/>
    <cellStyle name="Normal 2 2 2 3 26 2 9" xfId="18245" xr:uid="{00000000-0005-0000-0000-00003D470000}"/>
    <cellStyle name="Normal 2 2 2 3 26 3" xfId="18246" xr:uid="{00000000-0005-0000-0000-00003E470000}"/>
    <cellStyle name="Normal 2 2 2 3 26 3 10" xfId="18247" xr:uid="{00000000-0005-0000-0000-00003F470000}"/>
    <cellStyle name="Normal 2 2 2 3 26 3 2" xfId="18248" xr:uid="{00000000-0005-0000-0000-000040470000}"/>
    <cellStyle name="Normal 2 2 2 3 26 3 3" xfId="18249" xr:uid="{00000000-0005-0000-0000-000041470000}"/>
    <cellStyle name="Normal 2 2 2 3 26 3 4" xfId="18250" xr:uid="{00000000-0005-0000-0000-000042470000}"/>
    <cellStyle name="Normal 2 2 2 3 26 3 5" xfId="18251" xr:uid="{00000000-0005-0000-0000-000043470000}"/>
    <cellStyle name="Normal 2 2 2 3 26 3 6" xfId="18252" xr:uid="{00000000-0005-0000-0000-000044470000}"/>
    <cellStyle name="Normal 2 2 2 3 26 3 7" xfId="18253" xr:uid="{00000000-0005-0000-0000-000045470000}"/>
    <cellStyle name="Normal 2 2 2 3 26 3 8" xfId="18254" xr:uid="{00000000-0005-0000-0000-000046470000}"/>
    <cellStyle name="Normal 2 2 2 3 26 3 9" xfId="18255" xr:uid="{00000000-0005-0000-0000-000047470000}"/>
    <cellStyle name="Normal 2 2 2 3 26 4" xfId="18256" xr:uid="{00000000-0005-0000-0000-000048470000}"/>
    <cellStyle name="Normal 2 2 2 3 26 4 10" xfId="18257" xr:uid="{00000000-0005-0000-0000-000049470000}"/>
    <cellStyle name="Normal 2 2 2 3 26 4 2" xfId="18258" xr:uid="{00000000-0005-0000-0000-00004A470000}"/>
    <cellStyle name="Normal 2 2 2 3 26 4 3" xfId="18259" xr:uid="{00000000-0005-0000-0000-00004B470000}"/>
    <cellStyle name="Normal 2 2 2 3 26 4 4" xfId="18260" xr:uid="{00000000-0005-0000-0000-00004C470000}"/>
    <cellStyle name="Normal 2 2 2 3 26 4 5" xfId="18261" xr:uid="{00000000-0005-0000-0000-00004D470000}"/>
    <cellStyle name="Normal 2 2 2 3 26 4 6" xfId="18262" xr:uid="{00000000-0005-0000-0000-00004E470000}"/>
    <cellStyle name="Normal 2 2 2 3 26 4 7" xfId="18263" xr:uid="{00000000-0005-0000-0000-00004F470000}"/>
    <cellStyle name="Normal 2 2 2 3 26 4 8" xfId="18264" xr:uid="{00000000-0005-0000-0000-000050470000}"/>
    <cellStyle name="Normal 2 2 2 3 26 4 9" xfId="18265" xr:uid="{00000000-0005-0000-0000-000051470000}"/>
    <cellStyle name="Normal 2 2 2 3 26 5" xfId="18266" xr:uid="{00000000-0005-0000-0000-000052470000}"/>
    <cellStyle name="Normal 2 2 2 3 26 5 10" xfId="18267" xr:uid="{00000000-0005-0000-0000-000053470000}"/>
    <cellStyle name="Normal 2 2 2 3 26 5 2" xfId="18268" xr:uid="{00000000-0005-0000-0000-000054470000}"/>
    <cellStyle name="Normal 2 2 2 3 26 5 3" xfId="18269" xr:uid="{00000000-0005-0000-0000-000055470000}"/>
    <cellStyle name="Normal 2 2 2 3 26 5 4" xfId="18270" xr:uid="{00000000-0005-0000-0000-000056470000}"/>
    <cellStyle name="Normal 2 2 2 3 26 5 5" xfId="18271" xr:uid="{00000000-0005-0000-0000-000057470000}"/>
    <cellStyle name="Normal 2 2 2 3 26 5 6" xfId="18272" xr:uid="{00000000-0005-0000-0000-000058470000}"/>
    <cellStyle name="Normal 2 2 2 3 26 5 7" xfId="18273" xr:uid="{00000000-0005-0000-0000-000059470000}"/>
    <cellStyle name="Normal 2 2 2 3 26 5 8" xfId="18274" xr:uid="{00000000-0005-0000-0000-00005A470000}"/>
    <cellStyle name="Normal 2 2 2 3 26 5 9" xfId="18275" xr:uid="{00000000-0005-0000-0000-00005B470000}"/>
    <cellStyle name="Normal 2 2 2 3 26 6" xfId="18276" xr:uid="{00000000-0005-0000-0000-00005C470000}"/>
    <cellStyle name="Normal 2 2 2 3 26 7" xfId="18277" xr:uid="{00000000-0005-0000-0000-00005D470000}"/>
    <cellStyle name="Normal 2 2 2 3 26 8" xfId="18278" xr:uid="{00000000-0005-0000-0000-00005E470000}"/>
    <cellStyle name="Normal 2 2 2 3 26 9" xfId="18279" xr:uid="{00000000-0005-0000-0000-00005F470000}"/>
    <cellStyle name="Normal 2 2 2 3 27" xfId="18280" xr:uid="{00000000-0005-0000-0000-000060470000}"/>
    <cellStyle name="Normal 2 2 2 3 27 10" xfId="18281" xr:uid="{00000000-0005-0000-0000-000061470000}"/>
    <cellStyle name="Normal 2 2 2 3 27 11" xfId="18282" xr:uid="{00000000-0005-0000-0000-000062470000}"/>
    <cellStyle name="Normal 2 2 2 3 27 12" xfId="18283" xr:uid="{00000000-0005-0000-0000-000063470000}"/>
    <cellStyle name="Normal 2 2 2 3 27 13" xfId="18284" xr:uid="{00000000-0005-0000-0000-000064470000}"/>
    <cellStyle name="Normal 2 2 2 3 27 14" xfId="18285" xr:uid="{00000000-0005-0000-0000-000065470000}"/>
    <cellStyle name="Normal 2 2 2 3 27 2" xfId="18286" xr:uid="{00000000-0005-0000-0000-000066470000}"/>
    <cellStyle name="Normal 2 2 2 3 27 2 10" xfId="18287" xr:uid="{00000000-0005-0000-0000-000067470000}"/>
    <cellStyle name="Normal 2 2 2 3 27 2 2" xfId="18288" xr:uid="{00000000-0005-0000-0000-000068470000}"/>
    <cellStyle name="Normal 2 2 2 3 27 2 3" xfId="18289" xr:uid="{00000000-0005-0000-0000-000069470000}"/>
    <cellStyle name="Normal 2 2 2 3 27 2 4" xfId="18290" xr:uid="{00000000-0005-0000-0000-00006A470000}"/>
    <cellStyle name="Normal 2 2 2 3 27 2 5" xfId="18291" xr:uid="{00000000-0005-0000-0000-00006B470000}"/>
    <cellStyle name="Normal 2 2 2 3 27 2 6" xfId="18292" xr:uid="{00000000-0005-0000-0000-00006C470000}"/>
    <cellStyle name="Normal 2 2 2 3 27 2 7" xfId="18293" xr:uid="{00000000-0005-0000-0000-00006D470000}"/>
    <cellStyle name="Normal 2 2 2 3 27 2 8" xfId="18294" xr:uid="{00000000-0005-0000-0000-00006E470000}"/>
    <cellStyle name="Normal 2 2 2 3 27 2 9" xfId="18295" xr:uid="{00000000-0005-0000-0000-00006F470000}"/>
    <cellStyle name="Normal 2 2 2 3 27 3" xfId="18296" xr:uid="{00000000-0005-0000-0000-000070470000}"/>
    <cellStyle name="Normal 2 2 2 3 27 3 10" xfId="18297" xr:uid="{00000000-0005-0000-0000-000071470000}"/>
    <cellStyle name="Normal 2 2 2 3 27 3 2" xfId="18298" xr:uid="{00000000-0005-0000-0000-000072470000}"/>
    <cellStyle name="Normal 2 2 2 3 27 3 3" xfId="18299" xr:uid="{00000000-0005-0000-0000-000073470000}"/>
    <cellStyle name="Normal 2 2 2 3 27 3 4" xfId="18300" xr:uid="{00000000-0005-0000-0000-000074470000}"/>
    <cellStyle name="Normal 2 2 2 3 27 3 5" xfId="18301" xr:uid="{00000000-0005-0000-0000-000075470000}"/>
    <cellStyle name="Normal 2 2 2 3 27 3 6" xfId="18302" xr:uid="{00000000-0005-0000-0000-000076470000}"/>
    <cellStyle name="Normal 2 2 2 3 27 3 7" xfId="18303" xr:uid="{00000000-0005-0000-0000-000077470000}"/>
    <cellStyle name="Normal 2 2 2 3 27 3 8" xfId="18304" xr:uid="{00000000-0005-0000-0000-000078470000}"/>
    <cellStyle name="Normal 2 2 2 3 27 3 9" xfId="18305" xr:uid="{00000000-0005-0000-0000-000079470000}"/>
    <cellStyle name="Normal 2 2 2 3 27 4" xfId="18306" xr:uid="{00000000-0005-0000-0000-00007A470000}"/>
    <cellStyle name="Normal 2 2 2 3 27 4 10" xfId="18307" xr:uid="{00000000-0005-0000-0000-00007B470000}"/>
    <cellStyle name="Normal 2 2 2 3 27 4 2" xfId="18308" xr:uid="{00000000-0005-0000-0000-00007C470000}"/>
    <cellStyle name="Normal 2 2 2 3 27 4 3" xfId="18309" xr:uid="{00000000-0005-0000-0000-00007D470000}"/>
    <cellStyle name="Normal 2 2 2 3 27 4 4" xfId="18310" xr:uid="{00000000-0005-0000-0000-00007E470000}"/>
    <cellStyle name="Normal 2 2 2 3 27 4 5" xfId="18311" xr:uid="{00000000-0005-0000-0000-00007F470000}"/>
    <cellStyle name="Normal 2 2 2 3 27 4 6" xfId="18312" xr:uid="{00000000-0005-0000-0000-000080470000}"/>
    <cellStyle name="Normal 2 2 2 3 27 4 7" xfId="18313" xr:uid="{00000000-0005-0000-0000-000081470000}"/>
    <cellStyle name="Normal 2 2 2 3 27 4 8" xfId="18314" xr:uid="{00000000-0005-0000-0000-000082470000}"/>
    <cellStyle name="Normal 2 2 2 3 27 4 9" xfId="18315" xr:uid="{00000000-0005-0000-0000-000083470000}"/>
    <cellStyle name="Normal 2 2 2 3 27 5" xfId="18316" xr:uid="{00000000-0005-0000-0000-000084470000}"/>
    <cellStyle name="Normal 2 2 2 3 27 5 10" xfId="18317" xr:uid="{00000000-0005-0000-0000-000085470000}"/>
    <cellStyle name="Normal 2 2 2 3 27 5 2" xfId="18318" xr:uid="{00000000-0005-0000-0000-000086470000}"/>
    <cellStyle name="Normal 2 2 2 3 27 5 3" xfId="18319" xr:uid="{00000000-0005-0000-0000-000087470000}"/>
    <cellStyle name="Normal 2 2 2 3 27 5 4" xfId="18320" xr:uid="{00000000-0005-0000-0000-000088470000}"/>
    <cellStyle name="Normal 2 2 2 3 27 5 5" xfId="18321" xr:uid="{00000000-0005-0000-0000-000089470000}"/>
    <cellStyle name="Normal 2 2 2 3 27 5 6" xfId="18322" xr:uid="{00000000-0005-0000-0000-00008A470000}"/>
    <cellStyle name="Normal 2 2 2 3 27 5 7" xfId="18323" xr:uid="{00000000-0005-0000-0000-00008B470000}"/>
    <cellStyle name="Normal 2 2 2 3 27 5 8" xfId="18324" xr:uid="{00000000-0005-0000-0000-00008C470000}"/>
    <cellStyle name="Normal 2 2 2 3 27 5 9" xfId="18325" xr:uid="{00000000-0005-0000-0000-00008D470000}"/>
    <cellStyle name="Normal 2 2 2 3 27 6" xfId="18326" xr:uid="{00000000-0005-0000-0000-00008E470000}"/>
    <cellStyle name="Normal 2 2 2 3 27 7" xfId="18327" xr:uid="{00000000-0005-0000-0000-00008F470000}"/>
    <cellStyle name="Normal 2 2 2 3 27 8" xfId="18328" xr:uid="{00000000-0005-0000-0000-000090470000}"/>
    <cellStyle name="Normal 2 2 2 3 27 9" xfId="18329" xr:uid="{00000000-0005-0000-0000-000091470000}"/>
    <cellStyle name="Normal 2 2 2 3 28" xfId="18330" xr:uid="{00000000-0005-0000-0000-000092470000}"/>
    <cellStyle name="Normal 2 2 2 3 28 10" xfId="18331" xr:uid="{00000000-0005-0000-0000-000093470000}"/>
    <cellStyle name="Normal 2 2 2 3 28 11" xfId="18332" xr:uid="{00000000-0005-0000-0000-000094470000}"/>
    <cellStyle name="Normal 2 2 2 3 28 12" xfId="18333" xr:uid="{00000000-0005-0000-0000-000095470000}"/>
    <cellStyle name="Normal 2 2 2 3 28 13" xfId="18334" xr:uid="{00000000-0005-0000-0000-000096470000}"/>
    <cellStyle name="Normal 2 2 2 3 28 14" xfId="18335" xr:uid="{00000000-0005-0000-0000-000097470000}"/>
    <cellStyle name="Normal 2 2 2 3 28 2" xfId="18336" xr:uid="{00000000-0005-0000-0000-000098470000}"/>
    <cellStyle name="Normal 2 2 2 3 28 2 10" xfId="18337" xr:uid="{00000000-0005-0000-0000-000099470000}"/>
    <cellStyle name="Normal 2 2 2 3 28 2 2" xfId="18338" xr:uid="{00000000-0005-0000-0000-00009A470000}"/>
    <cellStyle name="Normal 2 2 2 3 28 2 3" xfId="18339" xr:uid="{00000000-0005-0000-0000-00009B470000}"/>
    <cellStyle name="Normal 2 2 2 3 28 2 4" xfId="18340" xr:uid="{00000000-0005-0000-0000-00009C470000}"/>
    <cellStyle name="Normal 2 2 2 3 28 2 5" xfId="18341" xr:uid="{00000000-0005-0000-0000-00009D470000}"/>
    <cellStyle name="Normal 2 2 2 3 28 2 6" xfId="18342" xr:uid="{00000000-0005-0000-0000-00009E470000}"/>
    <cellStyle name="Normal 2 2 2 3 28 2 7" xfId="18343" xr:uid="{00000000-0005-0000-0000-00009F470000}"/>
    <cellStyle name="Normal 2 2 2 3 28 2 8" xfId="18344" xr:uid="{00000000-0005-0000-0000-0000A0470000}"/>
    <cellStyle name="Normal 2 2 2 3 28 2 9" xfId="18345" xr:uid="{00000000-0005-0000-0000-0000A1470000}"/>
    <cellStyle name="Normal 2 2 2 3 28 3" xfId="18346" xr:uid="{00000000-0005-0000-0000-0000A2470000}"/>
    <cellStyle name="Normal 2 2 2 3 28 3 10" xfId="18347" xr:uid="{00000000-0005-0000-0000-0000A3470000}"/>
    <cellStyle name="Normal 2 2 2 3 28 3 2" xfId="18348" xr:uid="{00000000-0005-0000-0000-0000A4470000}"/>
    <cellStyle name="Normal 2 2 2 3 28 3 3" xfId="18349" xr:uid="{00000000-0005-0000-0000-0000A5470000}"/>
    <cellStyle name="Normal 2 2 2 3 28 3 4" xfId="18350" xr:uid="{00000000-0005-0000-0000-0000A6470000}"/>
    <cellStyle name="Normal 2 2 2 3 28 3 5" xfId="18351" xr:uid="{00000000-0005-0000-0000-0000A7470000}"/>
    <cellStyle name="Normal 2 2 2 3 28 3 6" xfId="18352" xr:uid="{00000000-0005-0000-0000-0000A8470000}"/>
    <cellStyle name="Normal 2 2 2 3 28 3 7" xfId="18353" xr:uid="{00000000-0005-0000-0000-0000A9470000}"/>
    <cellStyle name="Normal 2 2 2 3 28 3 8" xfId="18354" xr:uid="{00000000-0005-0000-0000-0000AA470000}"/>
    <cellStyle name="Normal 2 2 2 3 28 3 9" xfId="18355" xr:uid="{00000000-0005-0000-0000-0000AB470000}"/>
    <cellStyle name="Normal 2 2 2 3 28 4" xfId="18356" xr:uid="{00000000-0005-0000-0000-0000AC470000}"/>
    <cellStyle name="Normal 2 2 2 3 28 4 10" xfId="18357" xr:uid="{00000000-0005-0000-0000-0000AD470000}"/>
    <cellStyle name="Normal 2 2 2 3 28 4 2" xfId="18358" xr:uid="{00000000-0005-0000-0000-0000AE470000}"/>
    <cellStyle name="Normal 2 2 2 3 28 4 3" xfId="18359" xr:uid="{00000000-0005-0000-0000-0000AF470000}"/>
    <cellStyle name="Normal 2 2 2 3 28 4 4" xfId="18360" xr:uid="{00000000-0005-0000-0000-0000B0470000}"/>
    <cellStyle name="Normal 2 2 2 3 28 4 5" xfId="18361" xr:uid="{00000000-0005-0000-0000-0000B1470000}"/>
    <cellStyle name="Normal 2 2 2 3 28 4 6" xfId="18362" xr:uid="{00000000-0005-0000-0000-0000B2470000}"/>
    <cellStyle name="Normal 2 2 2 3 28 4 7" xfId="18363" xr:uid="{00000000-0005-0000-0000-0000B3470000}"/>
    <cellStyle name="Normal 2 2 2 3 28 4 8" xfId="18364" xr:uid="{00000000-0005-0000-0000-0000B4470000}"/>
    <cellStyle name="Normal 2 2 2 3 28 4 9" xfId="18365" xr:uid="{00000000-0005-0000-0000-0000B5470000}"/>
    <cellStyle name="Normal 2 2 2 3 28 5" xfId="18366" xr:uid="{00000000-0005-0000-0000-0000B6470000}"/>
    <cellStyle name="Normal 2 2 2 3 28 5 10" xfId="18367" xr:uid="{00000000-0005-0000-0000-0000B7470000}"/>
    <cellStyle name="Normal 2 2 2 3 28 5 2" xfId="18368" xr:uid="{00000000-0005-0000-0000-0000B8470000}"/>
    <cellStyle name="Normal 2 2 2 3 28 5 3" xfId="18369" xr:uid="{00000000-0005-0000-0000-0000B9470000}"/>
    <cellStyle name="Normal 2 2 2 3 28 5 4" xfId="18370" xr:uid="{00000000-0005-0000-0000-0000BA470000}"/>
    <cellStyle name="Normal 2 2 2 3 28 5 5" xfId="18371" xr:uid="{00000000-0005-0000-0000-0000BB470000}"/>
    <cellStyle name="Normal 2 2 2 3 28 5 6" xfId="18372" xr:uid="{00000000-0005-0000-0000-0000BC470000}"/>
    <cellStyle name="Normal 2 2 2 3 28 5 7" xfId="18373" xr:uid="{00000000-0005-0000-0000-0000BD470000}"/>
    <cellStyle name="Normal 2 2 2 3 28 5 8" xfId="18374" xr:uid="{00000000-0005-0000-0000-0000BE470000}"/>
    <cellStyle name="Normal 2 2 2 3 28 5 9" xfId="18375" xr:uid="{00000000-0005-0000-0000-0000BF470000}"/>
    <cellStyle name="Normal 2 2 2 3 28 6" xfId="18376" xr:uid="{00000000-0005-0000-0000-0000C0470000}"/>
    <cellStyle name="Normal 2 2 2 3 28 7" xfId="18377" xr:uid="{00000000-0005-0000-0000-0000C1470000}"/>
    <cellStyle name="Normal 2 2 2 3 28 8" xfId="18378" xr:uid="{00000000-0005-0000-0000-0000C2470000}"/>
    <cellStyle name="Normal 2 2 2 3 28 9" xfId="18379" xr:uid="{00000000-0005-0000-0000-0000C3470000}"/>
    <cellStyle name="Normal 2 2 2 3 29" xfId="18380" xr:uid="{00000000-0005-0000-0000-0000C4470000}"/>
    <cellStyle name="Normal 2 2 2 3 29 10" xfId="18381" xr:uid="{00000000-0005-0000-0000-0000C5470000}"/>
    <cellStyle name="Normal 2 2 2 3 29 11" xfId="18382" xr:uid="{00000000-0005-0000-0000-0000C6470000}"/>
    <cellStyle name="Normal 2 2 2 3 29 12" xfId="18383" xr:uid="{00000000-0005-0000-0000-0000C7470000}"/>
    <cellStyle name="Normal 2 2 2 3 29 13" xfId="18384" xr:uid="{00000000-0005-0000-0000-0000C8470000}"/>
    <cellStyle name="Normal 2 2 2 3 29 14" xfId="18385" xr:uid="{00000000-0005-0000-0000-0000C9470000}"/>
    <cellStyle name="Normal 2 2 2 3 29 2" xfId="18386" xr:uid="{00000000-0005-0000-0000-0000CA470000}"/>
    <cellStyle name="Normal 2 2 2 3 29 2 10" xfId="18387" xr:uid="{00000000-0005-0000-0000-0000CB470000}"/>
    <cellStyle name="Normal 2 2 2 3 29 2 2" xfId="18388" xr:uid="{00000000-0005-0000-0000-0000CC470000}"/>
    <cellStyle name="Normal 2 2 2 3 29 2 3" xfId="18389" xr:uid="{00000000-0005-0000-0000-0000CD470000}"/>
    <cellStyle name="Normal 2 2 2 3 29 2 4" xfId="18390" xr:uid="{00000000-0005-0000-0000-0000CE470000}"/>
    <cellStyle name="Normal 2 2 2 3 29 2 5" xfId="18391" xr:uid="{00000000-0005-0000-0000-0000CF470000}"/>
    <cellStyle name="Normal 2 2 2 3 29 2 6" xfId="18392" xr:uid="{00000000-0005-0000-0000-0000D0470000}"/>
    <cellStyle name="Normal 2 2 2 3 29 2 7" xfId="18393" xr:uid="{00000000-0005-0000-0000-0000D1470000}"/>
    <cellStyle name="Normal 2 2 2 3 29 2 8" xfId="18394" xr:uid="{00000000-0005-0000-0000-0000D2470000}"/>
    <cellStyle name="Normal 2 2 2 3 29 2 9" xfId="18395" xr:uid="{00000000-0005-0000-0000-0000D3470000}"/>
    <cellStyle name="Normal 2 2 2 3 29 3" xfId="18396" xr:uid="{00000000-0005-0000-0000-0000D4470000}"/>
    <cellStyle name="Normal 2 2 2 3 29 3 10" xfId="18397" xr:uid="{00000000-0005-0000-0000-0000D5470000}"/>
    <cellStyle name="Normal 2 2 2 3 29 3 2" xfId="18398" xr:uid="{00000000-0005-0000-0000-0000D6470000}"/>
    <cellStyle name="Normal 2 2 2 3 29 3 3" xfId="18399" xr:uid="{00000000-0005-0000-0000-0000D7470000}"/>
    <cellStyle name="Normal 2 2 2 3 29 3 4" xfId="18400" xr:uid="{00000000-0005-0000-0000-0000D8470000}"/>
    <cellStyle name="Normal 2 2 2 3 29 3 5" xfId="18401" xr:uid="{00000000-0005-0000-0000-0000D9470000}"/>
    <cellStyle name="Normal 2 2 2 3 29 3 6" xfId="18402" xr:uid="{00000000-0005-0000-0000-0000DA470000}"/>
    <cellStyle name="Normal 2 2 2 3 29 3 7" xfId="18403" xr:uid="{00000000-0005-0000-0000-0000DB470000}"/>
    <cellStyle name="Normal 2 2 2 3 29 3 8" xfId="18404" xr:uid="{00000000-0005-0000-0000-0000DC470000}"/>
    <cellStyle name="Normal 2 2 2 3 29 3 9" xfId="18405" xr:uid="{00000000-0005-0000-0000-0000DD470000}"/>
    <cellStyle name="Normal 2 2 2 3 29 4" xfId="18406" xr:uid="{00000000-0005-0000-0000-0000DE470000}"/>
    <cellStyle name="Normal 2 2 2 3 29 4 10" xfId="18407" xr:uid="{00000000-0005-0000-0000-0000DF470000}"/>
    <cellStyle name="Normal 2 2 2 3 29 4 2" xfId="18408" xr:uid="{00000000-0005-0000-0000-0000E0470000}"/>
    <cellStyle name="Normal 2 2 2 3 29 4 3" xfId="18409" xr:uid="{00000000-0005-0000-0000-0000E1470000}"/>
    <cellStyle name="Normal 2 2 2 3 29 4 4" xfId="18410" xr:uid="{00000000-0005-0000-0000-0000E2470000}"/>
    <cellStyle name="Normal 2 2 2 3 29 4 5" xfId="18411" xr:uid="{00000000-0005-0000-0000-0000E3470000}"/>
    <cellStyle name="Normal 2 2 2 3 29 4 6" xfId="18412" xr:uid="{00000000-0005-0000-0000-0000E4470000}"/>
    <cellStyle name="Normal 2 2 2 3 29 4 7" xfId="18413" xr:uid="{00000000-0005-0000-0000-0000E5470000}"/>
    <cellStyle name="Normal 2 2 2 3 29 4 8" xfId="18414" xr:uid="{00000000-0005-0000-0000-0000E6470000}"/>
    <cellStyle name="Normal 2 2 2 3 29 4 9" xfId="18415" xr:uid="{00000000-0005-0000-0000-0000E7470000}"/>
    <cellStyle name="Normal 2 2 2 3 29 5" xfId="18416" xr:uid="{00000000-0005-0000-0000-0000E8470000}"/>
    <cellStyle name="Normal 2 2 2 3 29 5 10" xfId="18417" xr:uid="{00000000-0005-0000-0000-0000E9470000}"/>
    <cellStyle name="Normal 2 2 2 3 29 5 2" xfId="18418" xr:uid="{00000000-0005-0000-0000-0000EA470000}"/>
    <cellStyle name="Normal 2 2 2 3 29 5 3" xfId="18419" xr:uid="{00000000-0005-0000-0000-0000EB470000}"/>
    <cellStyle name="Normal 2 2 2 3 29 5 4" xfId="18420" xr:uid="{00000000-0005-0000-0000-0000EC470000}"/>
    <cellStyle name="Normal 2 2 2 3 29 5 5" xfId="18421" xr:uid="{00000000-0005-0000-0000-0000ED470000}"/>
    <cellStyle name="Normal 2 2 2 3 29 5 6" xfId="18422" xr:uid="{00000000-0005-0000-0000-0000EE470000}"/>
    <cellStyle name="Normal 2 2 2 3 29 5 7" xfId="18423" xr:uid="{00000000-0005-0000-0000-0000EF470000}"/>
    <cellStyle name="Normal 2 2 2 3 29 5 8" xfId="18424" xr:uid="{00000000-0005-0000-0000-0000F0470000}"/>
    <cellStyle name="Normal 2 2 2 3 29 5 9" xfId="18425" xr:uid="{00000000-0005-0000-0000-0000F1470000}"/>
    <cellStyle name="Normal 2 2 2 3 29 6" xfId="18426" xr:uid="{00000000-0005-0000-0000-0000F2470000}"/>
    <cellStyle name="Normal 2 2 2 3 29 7" xfId="18427" xr:uid="{00000000-0005-0000-0000-0000F3470000}"/>
    <cellStyle name="Normal 2 2 2 3 29 8" xfId="18428" xr:uid="{00000000-0005-0000-0000-0000F4470000}"/>
    <cellStyle name="Normal 2 2 2 3 29 9" xfId="18429" xr:uid="{00000000-0005-0000-0000-0000F5470000}"/>
    <cellStyle name="Normal 2 2 2 3 3" xfId="18430" xr:uid="{00000000-0005-0000-0000-0000F6470000}"/>
    <cellStyle name="Normal 2 2 2 3 3 10" xfId="18431" xr:uid="{00000000-0005-0000-0000-0000F7470000}"/>
    <cellStyle name="Normal 2 2 2 3 3 11" xfId="18432" xr:uid="{00000000-0005-0000-0000-0000F8470000}"/>
    <cellStyle name="Normal 2 2 2 3 3 12" xfId="18433" xr:uid="{00000000-0005-0000-0000-0000F9470000}"/>
    <cellStyle name="Normal 2 2 2 3 3 13" xfId="18434" xr:uid="{00000000-0005-0000-0000-0000FA470000}"/>
    <cellStyle name="Normal 2 2 2 3 3 14" xfId="18435" xr:uid="{00000000-0005-0000-0000-0000FB470000}"/>
    <cellStyle name="Normal 2 2 2 3 3 15" xfId="18436" xr:uid="{00000000-0005-0000-0000-0000FC470000}"/>
    <cellStyle name="Normal 2 2 2 3 3 16" xfId="18437" xr:uid="{00000000-0005-0000-0000-0000FD470000}"/>
    <cellStyle name="Normal 2 2 2 3 3 2" xfId="18438" xr:uid="{00000000-0005-0000-0000-0000FE470000}"/>
    <cellStyle name="Normal 2 2 2 3 3 2 10" xfId="18439" xr:uid="{00000000-0005-0000-0000-0000FF470000}"/>
    <cellStyle name="Normal 2 2 2 3 3 2 11" xfId="18440" xr:uid="{00000000-0005-0000-0000-000000480000}"/>
    <cellStyle name="Normal 2 2 2 3 3 2 12" xfId="18441" xr:uid="{00000000-0005-0000-0000-000001480000}"/>
    <cellStyle name="Normal 2 2 2 3 3 2 2" xfId="18442" xr:uid="{00000000-0005-0000-0000-000002480000}"/>
    <cellStyle name="Normal 2 2 2 3 3 2 3" xfId="18443" xr:uid="{00000000-0005-0000-0000-000003480000}"/>
    <cellStyle name="Normal 2 2 2 3 3 2 4" xfId="18444" xr:uid="{00000000-0005-0000-0000-000004480000}"/>
    <cellStyle name="Normal 2 2 2 3 3 2 5" xfId="18445" xr:uid="{00000000-0005-0000-0000-000005480000}"/>
    <cellStyle name="Normal 2 2 2 3 3 2 6" xfId="18446" xr:uid="{00000000-0005-0000-0000-000006480000}"/>
    <cellStyle name="Normal 2 2 2 3 3 2 7" xfId="18447" xr:uid="{00000000-0005-0000-0000-000007480000}"/>
    <cellStyle name="Normal 2 2 2 3 3 2 8" xfId="18448" xr:uid="{00000000-0005-0000-0000-000008480000}"/>
    <cellStyle name="Normal 2 2 2 3 3 2 9" xfId="18449" xr:uid="{00000000-0005-0000-0000-000009480000}"/>
    <cellStyle name="Normal 2 2 2 3 3 3" xfId="18450" xr:uid="{00000000-0005-0000-0000-00000A480000}"/>
    <cellStyle name="Normal 2 2 2 3 3 3 10" xfId="18451" xr:uid="{00000000-0005-0000-0000-00000B480000}"/>
    <cellStyle name="Normal 2 2 2 3 3 3 2" xfId="18452" xr:uid="{00000000-0005-0000-0000-00000C480000}"/>
    <cellStyle name="Normal 2 2 2 3 3 3 3" xfId="18453" xr:uid="{00000000-0005-0000-0000-00000D480000}"/>
    <cellStyle name="Normal 2 2 2 3 3 3 4" xfId="18454" xr:uid="{00000000-0005-0000-0000-00000E480000}"/>
    <cellStyle name="Normal 2 2 2 3 3 3 5" xfId="18455" xr:uid="{00000000-0005-0000-0000-00000F480000}"/>
    <cellStyle name="Normal 2 2 2 3 3 3 6" xfId="18456" xr:uid="{00000000-0005-0000-0000-000010480000}"/>
    <cellStyle name="Normal 2 2 2 3 3 3 7" xfId="18457" xr:uid="{00000000-0005-0000-0000-000011480000}"/>
    <cellStyle name="Normal 2 2 2 3 3 3 8" xfId="18458" xr:uid="{00000000-0005-0000-0000-000012480000}"/>
    <cellStyle name="Normal 2 2 2 3 3 3 9" xfId="18459" xr:uid="{00000000-0005-0000-0000-000013480000}"/>
    <cellStyle name="Normal 2 2 2 3 3 4" xfId="18460" xr:uid="{00000000-0005-0000-0000-000014480000}"/>
    <cellStyle name="Normal 2 2 2 3 3 4 10" xfId="18461" xr:uid="{00000000-0005-0000-0000-000015480000}"/>
    <cellStyle name="Normal 2 2 2 3 3 4 2" xfId="18462" xr:uid="{00000000-0005-0000-0000-000016480000}"/>
    <cellStyle name="Normal 2 2 2 3 3 4 3" xfId="18463" xr:uid="{00000000-0005-0000-0000-000017480000}"/>
    <cellStyle name="Normal 2 2 2 3 3 4 4" xfId="18464" xr:uid="{00000000-0005-0000-0000-000018480000}"/>
    <cellStyle name="Normal 2 2 2 3 3 4 5" xfId="18465" xr:uid="{00000000-0005-0000-0000-000019480000}"/>
    <cellStyle name="Normal 2 2 2 3 3 4 6" xfId="18466" xr:uid="{00000000-0005-0000-0000-00001A480000}"/>
    <cellStyle name="Normal 2 2 2 3 3 4 7" xfId="18467" xr:uid="{00000000-0005-0000-0000-00001B480000}"/>
    <cellStyle name="Normal 2 2 2 3 3 4 8" xfId="18468" xr:uid="{00000000-0005-0000-0000-00001C480000}"/>
    <cellStyle name="Normal 2 2 2 3 3 4 9" xfId="18469" xr:uid="{00000000-0005-0000-0000-00001D480000}"/>
    <cellStyle name="Normal 2 2 2 3 3 5" xfId="18470" xr:uid="{00000000-0005-0000-0000-00001E480000}"/>
    <cellStyle name="Normal 2 2 2 3 3 5 10" xfId="18471" xr:uid="{00000000-0005-0000-0000-00001F480000}"/>
    <cellStyle name="Normal 2 2 2 3 3 5 2" xfId="18472" xr:uid="{00000000-0005-0000-0000-000020480000}"/>
    <cellStyle name="Normal 2 2 2 3 3 5 3" xfId="18473" xr:uid="{00000000-0005-0000-0000-000021480000}"/>
    <cellStyle name="Normal 2 2 2 3 3 5 4" xfId="18474" xr:uid="{00000000-0005-0000-0000-000022480000}"/>
    <cellStyle name="Normal 2 2 2 3 3 5 5" xfId="18475" xr:uid="{00000000-0005-0000-0000-000023480000}"/>
    <cellStyle name="Normal 2 2 2 3 3 5 6" xfId="18476" xr:uid="{00000000-0005-0000-0000-000024480000}"/>
    <cellStyle name="Normal 2 2 2 3 3 5 7" xfId="18477" xr:uid="{00000000-0005-0000-0000-000025480000}"/>
    <cellStyle name="Normal 2 2 2 3 3 5 8" xfId="18478" xr:uid="{00000000-0005-0000-0000-000026480000}"/>
    <cellStyle name="Normal 2 2 2 3 3 5 9" xfId="18479" xr:uid="{00000000-0005-0000-0000-000027480000}"/>
    <cellStyle name="Normal 2 2 2 3 3 6" xfId="18480" xr:uid="{00000000-0005-0000-0000-000028480000}"/>
    <cellStyle name="Normal 2 2 2 3 3 7" xfId="18481" xr:uid="{00000000-0005-0000-0000-000029480000}"/>
    <cellStyle name="Normal 2 2 2 3 3 8" xfId="18482" xr:uid="{00000000-0005-0000-0000-00002A480000}"/>
    <cellStyle name="Normal 2 2 2 3 3 9" xfId="18483" xr:uid="{00000000-0005-0000-0000-00002B480000}"/>
    <cellStyle name="Normal 2 2 2 3 30" xfId="18484" xr:uid="{00000000-0005-0000-0000-00002C480000}"/>
    <cellStyle name="Normal 2 2 2 3 30 10" xfId="18485" xr:uid="{00000000-0005-0000-0000-00002D480000}"/>
    <cellStyle name="Normal 2 2 2 3 30 11" xfId="18486" xr:uid="{00000000-0005-0000-0000-00002E480000}"/>
    <cellStyle name="Normal 2 2 2 3 30 12" xfId="18487" xr:uid="{00000000-0005-0000-0000-00002F480000}"/>
    <cellStyle name="Normal 2 2 2 3 30 13" xfId="18488" xr:uid="{00000000-0005-0000-0000-000030480000}"/>
    <cellStyle name="Normal 2 2 2 3 30 14" xfId="18489" xr:uid="{00000000-0005-0000-0000-000031480000}"/>
    <cellStyle name="Normal 2 2 2 3 30 2" xfId="18490" xr:uid="{00000000-0005-0000-0000-000032480000}"/>
    <cellStyle name="Normal 2 2 2 3 30 2 10" xfId="18491" xr:uid="{00000000-0005-0000-0000-000033480000}"/>
    <cellStyle name="Normal 2 2 2 3 30 2 2" xfId="18492" xr:uid="{00000000-0005-0000-0000-000034480000}"/>
    <cellStyle name="Normal 2 2 2 3 30 2 3" xfId="18493" xr:uid="{00000000-0005-0000-0000-000035480000}"/>
    <cellStyle name="Normal 2 2 2 3 30 2 4" xfId="18494" xr:uid="{00000000-0005-0000-0000-000036480000}"/>
    <cellStyle name="Normal 2 2 2 3 30 2 5" xfId="18495" xr:uid="{00000000-0005-0000-0000-000037480000}"/>
    <cellStyle name="Normal 2 2 2 3 30 2 6" xfId="18496" xr:uid="{00000000-0005-0000-0000-000038480000}"/>
    <cellStyle name="Normal 2 2 2 3 30 2 7" xfId="18497" xr:uid="{00000000-0005-0000-0000-000039480000}"/>
    <cellStyle name="Normal 2 2 2 3 30 2 8" xfId="18498" xr:uid="{00000000-0005-0000-0000-00003A480000}"/>
    <cellStyle name="Normal 2 2 2 3 30 2 9" xfId="18499" xr:uid="{00000000-0005-0000-0000-00003B480000}"/>
    <cellStyle name="Normal 2 2 2 3 30 3" xfId="18500" xr:uid="{00000000-0005-0000-0000-00003C480000}"/>
    <cellStyle name="Normal 2 2 2 3 30 3 10" xfId="18501" xr:uid="{00000000-0005-0000-0000-00003D480000}"/>
    <cellStyle name="Normal 2 2 2 3 30 3 2" xfId="18502" xr:uid="{00000000-0005-0000-0000-00003E480000}"/>
    <cellStyle name="Normal 2 2 2 3 30 3 3" xfId="18503" xr:uid="{00000000-0005-0000-0000-00003F480000}"/>
    <cellStyle name="Normal 2 2 2 3 30 3 4" xfId="18504" xr:uid="{00000000-0005-0000-0000-000040480000}"/>
    <cellStyle name="Normal 2 2 2 3 30 3 5" xfId="18505" xr:uid="{00000000-0005-0000-0000-000041480000}"/>
    <cellStyle name="Normal 2 2 2 3 30 3 6" xfId="18506" xr:uid="{00000000-0005-0000-0000-000042480000}"/>
    <cellStyle name="Normal 2 2 2 3 30 3 7" xfId="18507" xr:uid="{00000000-0005-0000-0000-000043480000}"/>
    <cellStyle name="Normal 2 2 2 3 30 3 8" xfId="18508" xr:uid="{00000000-0005-0000-0000-000044480000}"/>
    <cellStyle name="Normal 2 2 2 3 30 3 9" xfId="18509" xr:uid="{00000000-0005-0000-0000-000045480000}"/>
    <cellStyle name="Normal 2 2 2 3 30 4" xfId="18510" xr:uid="{00000000-0005-0000-0000-000046480000}"/>
    <cellStyle name="Normal 2 2 2 3 30 4 10" xfId="18511" xr:uid="{00000000-0005-0000-0000-000047480000}"/>
    <cellStyle name="Normal 2 2 2 3 30 4 2" xfId="18512" xr:uid="{00000000-0005-0000-0000-000048480000}"/>
    <cellStyle name="Normal 2 2 2 3 30 4 3" xfId="18513" xr:uid="{00000000-0005-0000-0000-000049480000}"/>
    <cellStyle name="Normal 2 2 2 3 30 4 4" xfId="18514" xr:uid="{00000000-0005-0000-0000-00004A480000}"/>
    <cellStyle name="Normal 2 2 2 3 30 4 5" xfId="18515" xr:uid="{00000000-0005-0000-0000-00004B480000}"/>
    <cellStyle name="Normal 2 2 2 3 30 4 6" xfId="18516" xr:uid="{00000000-0005-0000-0000-00004C480000}"/>
    <cellStyle name="Normal 2 2 2 3 30 4 7" xfId="18517" xr:uid="{00000000-0005-0000-0000-00004D480000}"/>
    <cellStyle name="Normal 2 2 2 3 30 4 8" xfId="18518" xr:uid="{00000000-0005-0000-0000-00004E480000}"/>
    <cellStyle name="Normal 2 2 2 3 30 4 9" xfId="18519" xr:uid="{00000000-0005-0000-0000-00004F480000}"/>
    <cellStyle name="Normal 2 2 2 3 30 5" xfId="18520" xr:uid="{00000000-0005-0000-0000-000050480000}"/>
    <cellStyle name="Normal 2 2 2 3 30 5 10" xfId="18521" xr:uid="{00000000-0005-0000-0000-000051480000}"/>
    <cellStyle name="Normal 2 2 2 3 30 5 2" xfId="18522" xr:uid="{00000000-0005-0000-0000-000052480000}"/>
    <cellStyle name="Normal 2 2 2 3 30 5 3" xfId="18523" xr:uid="{00000000-0005-0000-0000-000053480000}"/>
    <cellStyle name="Normal 2 2 2 3 30 5 4" xfId="18524" xr:uid="{00000000-0005-0000-0000-000054480000}"/>
    <cellStyle name="Normal 2 2 2 3 30 5 5" xfId="18525" xr:uid="{00000000-0005-0000-0000-000055480000}"/>
    <cellStyle name="Normal 2 2 2 3 30 5 6" xfId="18526" xr:uid="{00000000-0005-0000-0000-000056480000}"/>
    <cellStyle name="Normal 2 2 2 3 30 5 7" xfId="18527" xr:uid="{00000000-0005-0000-0000-000057480000}"/>
    <cellStyle name="Normal 2 2 2 3 30 5 8" xfId="18528" xr:uid="{00000000-0005-0000-0000-000058480000}"/>
    <cellStyle name="Normal 2 2 2 3 30 5 9" xfId="18529" xr:uid="{00000000-0005-0000-0000-000059480000}"/>
    <cellStyle name="Normal 2 2 2 3 30 6" xfId="18530" xr:uid="{00000000-0005-0000-0000-00005A480000}"/>
    <cellStyle name="Normal 2 2 2 3 30 7" xfId="18531" xr:uid="{00000000-0005-0000-0000-00005B480000}"/>
    <cellStyle name="Normal 2 2 2 3 30 8" xfId="18532" xr:uid="{00000000-0005-0000-0000-00005C480000}"/>
    <cellStyle name="Normal 2 2 2 3 30 9" xfId="18533" xr:uid="{00000000-0005-0000-0000-00005D480000}"/>
    <cellStyle name="Normal 2 2 2 3 31" xfId="18534" xr:uid="{00000000-0005-0000-0000-00005E480000}"/>
    <cellStyle name="Normal 2 2 2 3 31 10" xfId="18535" xr:uid="{00000000-0005-0000-0000-00005F480000}"/>
    <cellStyle name="Normal 2 2 2 3 31 11" xfId="18536" xr:uid="{00000000-0005-0000-0000-000060480000}"/>
    <cellStyle name="Normal 2 2 2 3 31 12" xfId="18537" xr:uid="{00000000-0005-0000-0000-000061480000}"/>
    <cellStyle name="Normal 2 2 2 3 31 13" xfId="18538" xr:uid="{00000000-0005-0000-0000-000062480000}"/>
    <cellStyle name="Normal 2 2 2 3 31 14" xfId="18539" xr:uid="{00000000-0005-0000-0000-000063480000}"/>
    <cellStyle name="Normal 2 2 2 3 31 2" xfId="18540" xr:uid="{00000000-0005-0000-0000-000064480000}"/>
    <cellStyle name="Normal 2 2 2 3 31 2 10" xfId="18541" xr:uid="{00000000-0005-0000-0000-000065480000}"/>
    <cellStyle name="Normal 2 2 2 3 31 2 2" xfId="18542" xr:uid="{00000000-0005-0000-0000-000066480000}"/>
    <cellStyle name="Normal 2 2 2 3 31 2 3" xfId="18543" xr:uid="{00000000-0005-0000-0000-000067480000}"/>
    <cellStyle name="Normal 2 2 2 3 31 2 4" xfId="18544" xr:uid="{00000000-0005-0000-0000-000068480000}"/>
    <cellStyle name="Normal 2 2 2 3 31 2 5" xfId="18545" xr:uid="{00000000-0005-0000-0000-000069480000}"/>
    <cellStyle name="Normal 2 2 2 3 31 2 6" xfId="18546" xr:uid="{00000000-0005-0000-0000-00006A480000}"/>
    <cellStyle name="Normal 2 2 2 3 31 2 7" xfId="18547" xr:uid="{00000000-0005-0000-0000-00006B480000}"/>
    <cellStyle name="Normal 2 2 2 3 31 2 8" xfId="18548" xr:uid="{00000000-0005-0000-0000-00006C480000}"/>
    <cellStyle name="Normal 2 2 2 3 31 2 9" xfId="18549" xr:uid="{00000000-0005-0000-0000-00006D480000}"/>
    <cellStyle name="Normal 2 2 2 3 31 3" xfId="18550" xr:uid="{00000000-0005-0000-0000-00006E480000}"/>
    <cellStyle name="Normal 2 2 2 3 31 3 10" xfId="18551" xr:uid="{00000000-0005-0000-0000-00006F480000}"/>
    <cellStyle name="Normal 2 2 2 3 31 3 2" xfId="18552" xr:uid="{00000000-0005-0000-0000-000070480000}"/>
    <cellStyle name="Normal 2 2 2 3 31 3 3" xfId="18553" xr:uid="{00000000-0005-0000-0000-000071480000}"/>
    <cellStyle name="Normal 2 2 2 3 31 3 4" xfId="18554" xr:uid="{00000000-0005-0000-0000-000072480000}"/>
    <cellStyle name="Normal 2 2 2 3 31 3 5" xfId="18555" xr:uid="{00000000-0005-0000-0000-000073480000}"/>
    <cellStyle name="Normal 2 2 2 3 31 3 6" xfId="18556" xr:uid="{00000000-0005-0000-0000-000074480000}"/>
    <cellStyle name="Normal 2 2 2 3 31 3 7" xfId="18557" xr:uid="{00000000-0005-0000-0000-000075480000}"/>
    <cellStyle name="Normal 2 2 2 3 31 3 8" xfId="18558" xr:uid="{00000000-0005-0000-0000-000076480000}"/>
    <cellStyle name="Normal 2 2 2 3 31 3 9" xfId="18559" xr:uid="{00000000-0005-0000-0000-000077480000}"/>
    <cellStyle name="Normal 2 2 2 3 31 4" xfId="18560" xr:uid="{00000000-0005-0000-0000-000078480000}"/>
    <cellStyle name="Normal 2 2 2 3 31 4 10" xfId="18561" xr:uid="{00000000-0005-0000-0000-000079480000}"/>
    <cellStyle name="Normal 2 2 2 3 31 4 2" xfId="18562" xr:uid="{00000000-0005-0000-0000-00007A480000}"/>
    <cellStyle name="Normal 2 2 2 3 31 4 3" xfId="18563" xr:uid="{00000000-0005-0000-0000-00007B480000}"/>
    <cellStyle name="Normal 2 2 2 3 31 4 4" xfId="18564" xr:uid="{00000000-0005-0000-0000-00007C480000}"/>
    <cellStyle name="Normal 2 2 2 3 31 4 5" xfId="18565" xr:uid="{00000000-0005-0000-0000-00007D480000}"/>
    <cellStyle name="Normal 2 2 2 3 31 4 6" xfId="18566" xr:uid="{00000000-0005-0000-0000-00007E480000}"/>
    <cellStyle name="Normal 2 2 2 3 31 4 7" xfId="18567" xr:uid="{00000000-0005-0000-0000-00007F480000}"/>
    <cellStyle name="Normal 2 2 2 3 31 4 8" xfId="18568" xr:uid="{00000000-0005-0000-0000-000080480000}"/>
    <cellStyle name="Normal 2 2 2 3 31 4 9" xfId="18569" xr:uid="{00000000-0005-0000-0000-000081480000}"/>
    <cellStyle name="Normal 2 2 2 3 31 5" xfId="18570" xr:uid="{00000000-0005-0000-0000-000082480000}"/>
    <cellStyle name="Normal 2 2 2 3 31 5 10" xfId="18571" xr:uid="{00000000-0005-0000-0000-000083480000}"/>
    <cellStyle name="Normal 2 2 2 3 31 5 2" xfId="18572" xr:uid="{00000000-0005-0000-0000-000084480000}"/>
    <cellStyle name="Normal 2 2 2 3 31 5 3" xfId="18573" xr:uid="{00000000-0005-0000-0000-000085480000}"/>
    <cellStyle name="Normal 2 2 2 3 31 5 4" xfId="18574" xr:uid="{00000000-0005-0000-0000-000086480000}"/>
    <cellStyle name="Normal 2 2 2 3 31 5 5" xfId="18575" xr:uid="{00000000-0005-0000-0000-000087480000}"/>
    <cellStyle name="Normal 2 2 2 3 31 5 6" xfId="18576" xr:uid="{00000000-0005-0000-0000-000088480000}"/>
    <cellStyle name="Normal 2 2 2 3 31 5 7" xfId="18577" xr:uid="{00000000-0005-0000-0000-000089480000}"/>
    <cellStyle name="Normal 2 2 2 3 31 5 8" xfId="18578" xr:uid="{00000000-0005-0000-0000-00008A480000}"/>
    <cellStyle name="Normal 2 2 2 3 31 5 9" xfId="18579" xr:uid="{00000000-0005-0000-0000-00008B480000}"/>
    <cellStyle name="Normal 2 2 2 3 31 6" xfId="18580" xr:uid="{00000000-0005-0000-0000-00008C480000}"/>
    <cellStyle name="Normal 2 2 2 3 31 7" xfId="18581" xr:uid="{00000000-0005-0000-0000-00008D480000}"/>
    <cellStyle name="Normal 2 2 2 3 31 8" xfId="18582" xr:uid="{00000000-0005-0000-0000-00008E480000}"/>
    <cellStyle name="Normal 2 2 2 3 31 9" xfId="18583" xr:uid="{00000000-0005-0000-0000-00008F480000}"/>
    <cellStyle name="Normal 2 2 2 3 32" xfId="18584" xr:uid="{00000000-0005-0000-0000-000090480000}"/>
    <cellStyle name="Normal 2 2 2 3 32 10" xfId="18585" xr:uid="{00000000-0005-0000-0000-000091480000}"/>
    <cellStyle name="Normal 2 2 2 3 32 11" xfId="18586" xr:uid="{00000000-0005-0000-0000-000092480000}"/>
    <cellStyle name="Normal 2 2 2 3 32 12" xfId="18587" xr:uid="{00000000-0005-0000-0000-000093480000}"/>
    <cellStyle name="Normal 2 2 2 3 32 13" xfId="18588" xr:uid="{00000000-0005-0000-0000-000094480000}"/>
    <cellStyle name="Normal 2 2 2 3 32 14" xfId="18589" xr:uid="{00000000-0005-0000-0000-000095480000}"/>
    <cellStyle name="Normal 2 2 2 3 32 2" xfId="18590" xr:uid="{00000000-0005-0000-0000-000096480000}"/>
    <cellStyle name="Normal 2 2 2 3 32 2 10" xfId="18591" xr:uid="{00000000-0005-0000-0000-000097480000}"/>
    <cellStyle name="Normal 2 2 2 3 32 2 2" xfId="18592" xr:uid="{00000000-0005-0000-0000-000098480000}"/>
    <cellStyle name="Normal 2 2 2 3 32 2 3" xfId="18593" xr:uid="{00000000-0005-0000-0000-000099480000}"/>
    <cellStyle name="Normal 2 2 2 3 32 2 4" xfId="18594" xr:uid="{00000000-0005-0000-0000-00009A480000}"/>
    <cellStyle name="Normal 2 2 2 3 32 2 5" xfId="18595" xr:uid="{00000000-0005-0000-0000-00009B480000}"/>
    <cellStyle name="Normal 2 2 2 3 32 2 6" xfId="18596" xr:uid="{00000000-0005-0000-0000-00009C480000}"/>
    <cellStyle name="Normal 2 2 2 3 32 2 7" xfId="18597" xr:uid="{00000000-0005-0000-0000-00009D480000}"/>
    <cellStyle name="Normal 2 2 2 3 32 2 8" xfId="18598" xr:uid="{00000000-0005-0000-0000-00009E480000}"/>
    <cellStyle name="Normal 2 2 2 3 32 2 9" xfId="18599" xr:uid="{00000000-0005-0000-0000-00009F480000}"/>
    <cellStyle name="Normal 2 2 2 3 32 3" xfId="18600" xr:uid="{00000000-0005-0000-0000-0000A0480000}"/>
    <cellStyle name="Normal 2 2 2 3 32 3 10" xfId="18601" xr:uid="{00000000-0005-0000-0000-0000A1480000}"/>
    <cellStyle name="Normal 2 2 2 3 32 3 2" xfId="18602" xr:uid="{00000000-0005-0000-0000-0000A2480000}"/>
    <cellStyle name="Normal 2 2 2 3 32 3 3" xfId="18603" xr:uid="{00000000-0005-0000-0000-0000A3480000}"/>
    <cellStyle name="Normal 2 2 2 3 32 3 4" xfId="18604" xr:uid="{00000000-0005-0000-0000-0000A4480000}"/>
    <cellStyle name="Normal 2 2 2 3 32 3 5" xfId="18605" xr:uid="{00000000-0005-0000-0000-0000A5480000}"/>
    <cellStyle name="Normal 2 2 2 3 32 3 6" xfId="18606" xr:uid="{00000000-0005-0000-0000-0000A6480000}"/>
    <cellStyle name="Normal 2 2 2 3 32 3 7" xfId="18607" xr:uid="{00000000-0005-0000-0000-0000A7480000}"/>
    <cellStyle name="Normal 2 2 2 3 32 3 8" xfId="18608" xr:uid="{00000000-0005-0000-0000-0000A8480000}"/>
    <cellStyle name="Normal 2 2 2 3 32 3 9" xfId="18609" xr:uid="{00000000-0005-0000-0000-0000A9480000}"/>
    <cellStyle name="Normal 2 2 2 3 32 4" xfId="18610" xr:uid="{00000000-0005-0000-0000-0000AA480000}"/>
    <cellStyle name="Normal 2 2 2 3 32 4 10" xfId="18611" xr:uid="{00000000-0005-0000-0000-0000AB480000}"/>
    <cellStyle name="Normal 2 2 2 3 32 4 2" xfId="18612" xr:uid="{00000000-0005-0000-0000-0000AC480000}"/>
    <cellStyle name="Normal 2 2 2 3 32 4 3" xfId="18613" xr:uid="{00000000-0005-0000-0000-0000AD480000}"/>
    <cellStyle name="Normal 2 2 2 3 32 4 4" xfId="18614" xr:uid="{00000000-0005-0000-0000-0000AE480000}"/>
    <cellStyle name="Normal 2 2 2 3 32 4 5" xfId="18615" xr:uid="{00000000-0005-0000-0000-0000AF480000}"/>
    <cellStyle name="Normal 2 2 2 3 32 4 6" xfId="18616" xr:uid="{00000000-0005-0000-0000-0000B0480000}"/>
    <cellStyle name="Normal 2 2 2 3 32 4 7" xfId="18617" xr:uid="{00000000-0005-0000-0000-0000B1480000}"/>
    <cellStyle name="Normal 2 2 2 3 32 4 8" xfId="18618" xr:uid="{00000000-0005-0000-0000-0000B2480000}"/>
    <cellStyle name="Normal 2 2 2 3 32 4 9" xfId="18619" xr:uid="{00000000-0005-0000-0000-0000B3480000}"/>
    <cellStyle name="Normal 2 2 2 3 32 5" xfId="18620" xr:uid="{00000000-0005-0000-0000-0000B4480000}"/>
    <cellStyle name="Normal 2 2 2 3 32 5 10" xfId="18621" xr:uid="{00000000-0005-0000-0000-0000B5480000}"/>
    <cellStyle name="Normal 2 2 2 3 32 5 2" xfId="18622" xr:uid="{00000000-0005-0000-0000-0000B6480000}"/>
    <cellStyle name="Normal 2 2 2 3 32 5 3" xfId="18623" xr:uid="{00000000-0005-0000-0000-0000B7480000}"/>
    <cellStyle name="Normal 2 2 2 3 32 5 4" xfId="18624" xr:uid="{00000000-0005-0000-0000-0000B8480000}"/>
    <cellStyle name="Normal 2 2 2 3 32 5 5" xfId="18625" xr:uid="{00000000-0005-0000-0000-0000B9480000}"/>
    <cellStyle name="Normal 2 2 2 3 32 5 6" xfId="18626" xr:uid="{00000000-0005-0000-0000-0000BA480000}"/>
    <cellStyle name="Normal 2 2 2 3 32 5 7" xfId="18627" xr:uid="{00000000-0005-0000-0000-0000BB480000}"/>
    <cellStyle name="Normal 2 2 2 3 32 5 8" xfId="18628" xr:uid="{00000000-0005-0000-0000-0000BC480000}"/>
    <cellStyle name="Normal 2 2 2 3 32 5 9" xfId="18629" xr:uid="{00000000-0005-0000-0000-0000BD480000}"/>
    <cellStyle name="Normal 2 2 2 3 32 6" xfId="18630" xr:uid="{00000000-0005-0000-0000-0000BE480000}"/>
    <cellStyle name="Normal 2 2 2 3 32 7" xfId="18631" xr:uid="{00000000-0005-0000-0000-0000BF480000}"/>
    <cellStyle name="Normal 2 2 2 3 32 8" xfId="18632" xr:uid="{00000000-0005-0000-0000-0000C0480000}"/>
    <cellStyle name="Normal 2 2 2 3 32 9" xfId="18633" xr:uid="{00000000-0005-0000-0000-0000C1480000}"/>
    <cellStyle name="Normal 2 2 2 3 33" xfId="18634" xr:uid="{00000000-0005-0000-0000-0000C2480000}"/>
    <cellStyle name="Normal 2 2 2 3 33 10" xfId="18635" xr:uid="{00000000-0005-0000-0000-0000C3480000}"/>
    <cellStyle name="Normal 2 2 2 3 33 11" xfId="18636" xr:uid="{00000000-0005-0000-0000-0000C4480000}"/>
    <cellStyle name="Normal 2 2 2 3 33 12" xfId="18637" xr:uid="{00000000-0005-0000-0000-0000C5480000}"/>
    <cellStyle name="Normal 2 2 2 3 33 13" xfId="18638" xr:uid="{00000000-0005-0000-0000-0000C6480000}"/>
    <cellStyle name="Normal 2 2 2 3 33 14" xfId="18639" xr:uid="{00000000-0005-0000-0000-0000C7480000}"/>
    <cellStyle name="Normal 2 2 2 3 33 2" xfId="18640" xr:uid="{00000000-0005-0000-0000-0000C8480000}"/>
    <cellStyle name="Normal 2 2 2 3 33 2 10" xfId="18641" xr:uid="{00000000-0005-0000-0000-0000C9480000}"/>
    <cellStyle name="Normal 2 2 2 3 33 2 2" xfId="18642" xr:uid="{00000000-0005-0000-0000-0000CA480000}"/>
    <cellStyle name="Normal 2 2 2 3 33 2 3" xfId="18643" xr:uid="{00000000-0005-0000-0000-0000CB480000}"/>
    <cellStyle name="Normal 2 2 2 3 33 2 4" xfId="18644" xr:uid="{00000000-0005-0000-0000-0000CC480000}"/>
    <cellStyle name="Normal 2 2 2 3 33 2 5" xfId="18645" xr:uid="{00000000-0005-0000-0000-0000CD480000}"/>
    <cellStyle name="Normal 2 2 2 3 33 2 6" xfId="18646" xr:uid="{00000000-0005-0000-0000-0000CE480000}"/>
    <cellStyle name="Normal 2 2 2 3 33 2 7" xfId="18647" xr:uid="{00000000-0005-0000-0000-0000CF480000}"/>
    <cellStyle name="Normal 2 2 2 3 33 2 8" xfId="18648" xr:uid="{00000000-0005-0000-0000-0000D0480000}"/>
    <cellStyle name="Normal 2 2 2 3 33 2 9" xfId="18649" xr:uid="{00000000-0005-0000-0000-0000D1480000}"/>
    <cellStyle name="Normal 2 2 2 3 33 3" xfId="18650" xr:uid="{00000000-0005-0000-0000-0000D2480000}"/>
    <cellStyle name="Normal 2 2 2 3 33 3 10" xfId="18651" xr:uid="{00000000-0005-0000-0000-0000D3480000}"/>
    <cellStyle name="Normal 2 2 2 3 33 3 2" xfId="18652" xr:uid="{00000000-0005-0000-0000-0000D4480000}"/>
    <cellStyle name="Normal 2 2 2 3 33 3 3" xfId="18653" xr:uid="{00000000-0005-0000-0000-0000D5480000}"/>
    <cellStyle name="Normal 2 2 2 3 33 3 4" xfId="18654" xr:uid="{00000000-0005-0000-0000-0000D6480000}"/>
    <cellStyle name="Normal 2 2 2 3 33 3 5" xfId="18655" xr:uid="{00000000-0005-0000-0000-0000D7480000}"/>
    <cellStyle name="Normal 2 2 2 3 33 3 6" xfId="18656" xr:uid="{00000000-0005-0000-0000-0000D8480000}"/>
    <cellStyle name="Normal 2 2 2 3 33 3 7" xfId="18657" xr:uid="{00000000-0005-0000-0000-0000D9480000}"/>
    <cellStyle name="Normal 2 2 2 3 33 3 8" xfId="18658" xr:uid="{00000000-0005-0000-0000-0000DA480000}"/>
    <cellStyle name="Normal 2 2 2 3 33 3 9" xfId="18659" xr:uid="{00000000-0005-0000-0000-0000DB480000}"/>
    <cellStyle name="Normal 2 2 2 3 33 4" xfId="18660" xr:uid="{00000000-0005-0000-0000-0000DC480000}"/>
    <cellStyle name="Normal 2 2 2 3 33 4 10" xfId="18661" xr:uid="{00000000-0005-0000-0000-0000DD480000}"/>
    <cellStyle name="Normal 2 2 2 3 33 4 2" xfId="18662" xr:uid="{00000000-0005-0000-0000-0000DE480000}"/>
    <cellStyle name="Normal 2 2 2 3 33 4 3" xfId="18663" xr:uid="{00000000-0005-0000-0000-0000DF480000}"/>
    <cellStyle name="Normal 2 2 2 3 33 4 4" xfId="18664" xr:uid="{00000000-0005-0000-0000-0000E0480000}"/>
    <cellStyle name="Normal 2 2 2 3 33 4 5" xfId="18665" xr:uid="{00000000-0005-0000-0000-0000E1480000}"/>
    <cellStyle name="Normal 2 2 2 3 33 4 6" xfId="18666" xr:uid="{00000000-0005-0000-0000-0000E2480000}"/>
    <cellStyle name="Normal 2 2 2 3 33 4 7" xfId="18667" xr:uid="{00000000-0005-0000-0000-0000E3480000}"/>
    <cellStyle name="Normal 2 2 2 3 33 4 8" xfId="18668" xr:uid="{00000000-0005-0000-0000-0000E4480000}"/>
    <cellStyle name="Normal 2 2 2 3 33 4 9" xfId="18669" xr:uid="{00000000-0005-0000-0000-0000E5480000}"/>
    <cellStyle name="Normal 2 2 2 3 33 5" xfId="18670" xr:uid="{00000000-0005-0000-0000-0000E6480000}"/>
    <cellStyle name="Normal 2 2 2 3 33 5 10" xfId="18671" xr:uid="{00000000-0005-0000-0000-0000E7480000}"/>
    <cellStyle name="Normal 2 2 2 3 33 5 2" xfId="18672" xr:uid="{00000000-0005-0000-0000-0000E8480000}"/>
    <cellStyle name="Normal 2 2 2 3 33 5 3" xfId="18673" xr:uid="{00000000-0005-0000-0000-0000E9480000}"/>
    <cellStyle name="Normal 2 2 2 3 33 5 4" xfId="18674" xr:uid="{00000000-0005-0000-0000-0000EA480000}"/>
    <cellStyle name="Normal 2 2 2 3 33 5 5" xfId="18675" xr:uid="{00000000-0005-0000-0000-0000EB480000}"/>
    <cellStyle name="Normal 2 2 2 3 33 5 6" xfId="18676" xr:uid="{00000000-0005-0000-0000-0000EC480000}"/>
    <cellStyle name="Normal 2 2 2 3 33 5 7" xfId="18677" xr:uid="{00000000-0005-0000-0000-0000ED480000}"/>
    <cellStyle name="Normal 2 2 2 3 33 5 8" xfId="18678" xr:uid="{00000000-0005-0000-0000-0000EE480000}"/>
    <cellStyle name="Normal 2 2 2 3 33 5 9" xfId="18679" xr:uid="{00000000-0005-0000-0000-0000EF480000}"/>
    <cellStyle name="Normal 2 2 2 3 33 6" xfId="18680" xr:uid="{00000000-0005-0000-0000-0000F0480000}"/>
    <cellStyle name="Normal 2 2 2 3 33 7" xfId="18681" xr:uid="{00000000-0005-0000-0000-0000F1480000}"/>
    <cellStyle name="Normal 2 2 2 3 33 8" xfId="18682" xr:uid="{00000000-0005-0000-0000-0000F2480000}"/>
    <cellStyle name="Normal 2 2 2 3 33 9" xfId="18683" xr:uid="{00000000-0005-0000-0000-0000F3480000}"/>
    <cellStyle name="Normal 2 2 2 3 34" xfId="18684" xr:uid="{00000000-0005-0000-0000-0000F4480000}"/>
    <cellStyle name="Normal 2 2 2 3 34 10" xfId="18685" xr:uid="{00000000-0005-0000-0000-0000F5480000}"/>
    <cellStyle name="Normal 2 2 2 3 34 2" xfId="18686" xr:uid="{00000000-0005-0000-0000-0000F6480000}"/>
    <cellStyle name="Normal 2 2 2 3 34 3" xfId="18687" xr:uid="{00000000-0005-0000-0000-0000F7480000}"/>
    <cellStyle name="Normal 2 2 2 3 34 4" xfId="18688" xr:uid="{00000000-0005-0000-0000-0000F8480000}"/>
    <cellStyle name="Normal 2 2 2 3 34 5" xfId="18689" xr:uid="{00000000-0005-0000-0000-0000F9480000}"/>
    <cellStyle name="Normal 2 2 2 3 34 6" xfId="18690" xr:uid="{00000000-0005-0000-0000-0000FA480000}"/>
    <cellStyle name="Normal 2 2 2 3 34 7" xfId="18691" xr:uid="{00000000-0005-0000-0000-0000FB480000}"/>
    <cellStyle name="Normal 2 2 2 3 34 8" xfId="18692" xr:uid="{00000000-0005-0000-0000-0000FC480000}"/>
    <cellStyle name="Normal 2 2 2 3 34 9" xfId="18693" xr:uid="{00000000-0005-0000-0000-0000FD480000}"/>
    <cellStyle name="Normal 2 2 2 3 35" xfId="18694" xr:uid="{00000000-0005-0000-0000-0000FE480000}"/>
    <cellStyle name="Normal 2 2 2 3 35 10" xfId="18695" xr:uid="{00000000-0005-0000-0000-0000FF480000}"/>
    <cellStyle name="Normal 2 2 2 3 35 2" xfId="18696" xr:uid="{00000000-0005-0000-0000-000000490000}"/>
    <cellStyle name="Normal 2 2 2 3 35 3" xfId="18697" xr:uid="{00000000-0005-0000-0000-000001490000}"/>
    <cellStyle name="Normal 2 2 2 3 35 4" xfId="18698" xr:uid="{00000000-0005-0000-0000-000002490000}"/>
    <cellStyle name="Normal 2 2 2 3 35 5" xfId="18699" xr:uid="{00000000-0005-0000-0000-000003490000}"/>
    <cellStyle name="Normal 2 2 2 3 35 6" xfId="18700" xr:uid="{00000000-0005-0000-0000-000004490000}"/>
    <cellStyle name="Normal 2 2 2 3 35 7" xfId="18701" xr:uid="{00000000-0005-0000-0000-000005490000}"/>
    <cellStyle name="Normal 2 2 2 3 35 8" xfId="18702" xr:uid="{00000000-0005-0000-0000-000006490000}"/>
    <cellStyle name="Normal 2 2 2 3 35 9" xfId="18703" xr:uid="{00000000-0005-0000-0000-000007490000}"/>
    <cellStyle name="Normal 2 2 2 3 36" xfId="18704" xr:uid="{00000000-0005-0000-0000-000008490000}"/>
    <cellStyle name="Normal 2 2 2 3 36 10" xfId="18705" xr:uid="{00000000-0005-0000-0000-000009490000}"/>
    <cellStyle name="Normal 2 2 2 3 36 2" xfId="18706" xr:uid="{00000000-0005-0000-0000-00000A490000}"/>
    <cellStyle name="Normal 2 2 2 3 36 3" xfId="18707" xr:uid="{00000000-0005-0000-0000-00000B490000}"/>
    <cellStyle name="Normal 2 2 2 3 36 4" xfId="18708" xr:uid="{00000000-0005-0000-0000-00000C490000}"/>
    <cellStyle name="Normal 2 2 2 3 36 5" xfId="18709" xr:uid="{00000000-0005-0000-0000-00000D490000}"/>
    <cellStyle name="Normal 2 2 2 3 36 6" xfId="18710" xr:uid="{00000000-0005-0000-0000-00000E490000}"/>
    <cellStyle name="Normal 2 2 2 3 36 7" xfId="18711" xr:uid="{00000000-0005-0000-0000-00000F490000}"/>
    <cellStyle name="Normal 2 2 2 3 36 8" xfId="18712" xr:uid="{00000000-0005-0000-0000-000010490000}"/>
    <cellStyle name="Normal 2 2 2 3 36 9" xfId="18713" xr:uid="{00000000-0005-0000-0000-000011490000}"/>
    <cellStyle name="Normal 2 2 2 3 37" xfId="18714" xr:uid="{00000000-0005-0000-0000-000012490000}"/>
    <cellStyle name="Normal 2 2 2 3 37 10" xfId="18715" xr:uid="{00000000-0005-0000-0000-000013490000}"/>
    <cellStyle name="Normal 2 2 2 3 37 2" xfId="18716" xr:uid="{00000000-0005-0000-0000-000014490000}"/>
    <cellStyle name="Normal 2 2 2 3 37 3" xfId="18717" xr:uid="{00000000-0005-0000-0000-000015490000}"/>
    <cellStyle name="Normal 2 2 2 3 37 4" xfId="18718" xr:uid="{00000000-0005-0000-0000-000016490000}"/>
    <cellStyle name="Normal 2 2 2 3 37 5" xfId="18719" xr:uid="{00000000-0005-0000-0000-000017490000}"/>
    <cellStyle name="Normal 2 2 2 3 37 6" xfId="18720" xr:uid="{00000000-0005-0000-0000-000018490000}"/>
    <cellStyle name="Normal 2 2 2 3 37 7" xfId="18721" xr:uid="{00000000-0005-0000-0000-000019490000}"/>
    <cellStyle name="Normal 2 2 2 3 37 8" xfId="18722" xr:uid="{00000000-0005-0000-0000-00001A490000}"/>
    <cellStyle name="Normal 2 2 2 3 37 9" xfId="18723" xr:uid="{00000000-0005-0000-0000-00001B490000}"/>
    <cellStyle name="Normal 2 2 2 3 38" xfId="18724" xr:uid="{00000000-0005-0000-0000-00001C490000}"/>
    <cellStyle name="Normal 2 2 2 3 39" xfId="18725" xr:uid="{00000000-0005-0000-0000-00001D490000}"/>
    <cellStyle name="Normal 2 2 2 3 4" xfId="18726" xr:uid="{00000000-0005-0000-0000-00001E490000}"/>
    <cellStyle name="Normal 2 2 2 3 4 10" xfId="18727" xr:uid="{00000000-0005-0000-0000-00001F490000}"/>
    <cellStyle name="Normal 2 2 2 3 4 11" xfId="18728" xr:uid="{00000000-0005-0000-0000-000020490000}"/>
    <cellStyle name="Normal 2 2 2 3 4 12" xfId="18729" xr:uid="{00000000-0005-0000-0000-000021490000}"/>
    <cellStyle name="Normal 2 2 2 3 4 13" xfId="18730" xr:uid="{00000000-0005-0000-0000-000022490000}"/>
    <cellStyle name="Normal 2 2 2 3 4 14" xfId="18731" xr:uid="{00000000-0005-0000-0000-000023490000}"/>
    <cellStyle name="Normal 2 2 2 3 4 15" xfId="18732" xr:uid="{00000000-0005-0000-0000-000024490000}"/>
    <cellStyle name="Normal 2 2 2 3 4 16" xfId="18733" xr:uid="{00000000-0005-0000-0000-000025490000}"/>
    <cellStyle name="Normal 2 2 2 3 4 2" xfId="18734" xr:uid="{00000000-0005-0000-0000-000026490000}"/>
    <cellStyle name="Normal 2 2 2 3 4 2 10" xfId="18735" xr:uid="{00000000-0005-0000-0000-000027490000}"/>
    <cellStyle name="Normal 2 2 2 3 4 2 2" xfId="18736" xr:uid="{00000000-0005-0000-0000-000028490000}"/>
    <cellStyle name="Normal 2 2 2 3 4 2 3" xfId="18737" xr:uid="{00000000-0005-0000-0000-000029490000}"/>
    <cellStyle name="Normal 2 2 2 3 4 2 4" xfId="18738" xr:uid="{00000000-0005-0000-0000-00002A490000}"/>
    <cellStyle name="Normal 2 2 2 3 4 2 5" xfId="18739" xr:uid="{00000000-0005-0000-0000-00002B490000}"/>
    <cellStyle name="Normal 2 2 2 3 4 2 6" xfId="18740" xr:uid="{00000000-0005-0000-0000-00002C490000}"/>
    <cellStyle name="Normal 2 2 2 3 4 2 7" xfId="18741" xr:uid="{00000000-0005-0000-0000-00002D490000}"/>
    <cellStyle name="Normal 2 2 2 3 4 2 8" xfId="18742" xr:uid="{00000000-0005-0000-0000-00002E490000}"/>
    <cellStyle name="Normal 2 2 2 3 4 2 9" xfId="18743" xr:uid="{00000000-0005-0000-0000-00002F490000}"/>
    <cellStyle name="Normal 2 2 2 3 4 3" xfId="18744" xr:uid="{00000000-0005-0000-0000-000030490000}"/>
    <cellStyle name="Normal 2 2 2 3 4 3 10" xfId="18745" xr:uid="{00000000-0005-0000-0000-000031490000}"/>
    <cellStyle name="Normal 2 2 2 3 4 3 2" xfId="18746" xr:uid="{00000000-0005-0000-0000-000032490000}"/>
    <cellStyle name="Normal 2 2 2 3 4 3 3" xfId="18747" xr:uid="{00000000-0005-0000-0000-000033490000}"/>
    <cellStyle name="Normal 2 2 2 3 4 3 4" xfId="18748" xr:uid="{00000000-0005-0000-0000-000034490000}"/>
    <cellStyle name="Normal 2 2 2 3 4 3 5" xfId="18749" xr:uid="{00000000-0005-0000-0000-000035490000}"/>
    <cellStyle name="Normal 2 2 2 3 4 3 6" xfId="18750" xr:uid="{00000000-0005-0000-0000-000036490000}"/>
    <cellStyle name="Normal 2 2 2 3 4 3 7" xfId="18751" xr:uid="{00000000-0005-0000-0000-000037490000}"/>
    <cellStyle name="Normal 2 2 2 3 4 3 8" xfId="18752" xr:uid="{00000000-0005-0000-0000-000038490000}"/>
    <cellStyle name="Normal 2 2 2 3 4 3 9" xfId="18753" xr:uid="{00000000-0005-0000-0000-000039490000}"/>
    <cellStyle name="Normal 2 2 2 3 4 4" xfId="18754" xr:uid="{00000000-0005-0000-0000-00003A490000}"/>
    <cellStyle name="Normal 2 2 2 3 4 4 10" xfId="18755" xr:uid="{00000000-0005-0000-0000-00003B490000}"/>
    <cellStyle name="Normal 2 2 2 3 4 4 2" xfId="18756" xr:uid="{00000000-0005-0000-0000-00003C490000}"/>
    <cellStyle name="Normal 2 2 2 3 4 4 3" xfId="18757" xr:uid="{00000000-0005-0000-0000-00003D490000}"/>
    <cellStyle name="Normal 2 2 2 3 4 4 4" xfId="18758" xr:uid="{00000000-0005-0000-0000-00003E490000}"/>
    <cellStyle name="Normal 2 2 2 3 4 4 5" xfId="18759" xr:uid="{00000000-0005-0000-0000-00003F490000}"/>
    <cellStyle name="Normal 2 2 2 3 4 4 6" xfId="18760" xr:uid="{00000000-0005-0000-0000-000040490000}"/>
    <cellStyle name="Normal 2 2 2 3 4 4 7" xfId="18761" xr:uid="{00000000-0005-0000-0000-000041490000}"/>
    <cellStyle name="Normal 2 2 2 3 4 4 8" xfId="18762" xr:uid="{00000000-0005-0000-0000-000042490000}"/>
    <cellStyle name="Normal 2 2 2 3 4 4 9" xfId="18763" xr:uid="{00000000-0005-0000-0000-000043490000}"/>
    <cellStyle name="Normal 2 2 2 3 4 5" xfId="18764" xr:uid="{00000000-0005-0000-0000-000044490000}"/>
    <cellStyle name="Normal 2 2 2 3 4 5 10" xfId="18765" xr:uid="{00000000-0005-0000-0000-000045490000}"/>
    <cellStyle name="Normal 2 2 2 3 4 5 2" xfId="18766" xr:uid="{00000000-0005-0000-0000-000046490000}"/>
    <cellStyle name="Normal 2 2 2 3 4 5 3" xfId="18767" xr:uid="{00000000-0005-0000-0000-000047490000}"/>
    <cellStyle name="Normal 2 2 2 3 4 5 4" xfId="18768" xr:uid="{00000000-0005-0000-0000-000048490000}"/>
    <cellStyle name="Normal 2 2 2 3 4 5 5" xfId="18769" xr:uid="{00000000-0005-0000-0000-000049490000}"/>
    <cellStyle name="Normal 2 2 2 3 4 5 6" xfId="18770" xr:uid="{00000000-0005-0000-0000-00004A490000}"/>
    <cellStyle name="Normal 2 2 2 3 4 5 7" xfId="18771" xr:uid="{00000000-0005-0000-0000-00004B490000}"/>
    <cellStyle name="Normal 2 2 2 3 4 5 8" xfId="18772" xr:uid="{00000000-0005-0000-0000-00004C490000}"/>
    <cellStyle name="Normal 2 2 2 3 4 5 9" xfId="18773" xr:uid="{00000000-0005-0000-0000-00004D490000}"/>
    <cellStyle name="Normal 2 2 2 3 4 6" xfId="18774" xr:uid="{00000000-0005-0000-0000-00004E490000}"/>
    <cellStyle name="Normal 2 2 2 3 4 7" xfId="18775" xr:uid="{00000000-0005-0000-0000-00004F490000}"/>
    <cellStyle name="Normal 2 2 2 3 4 8" xfId="18776" xr:uid="{00000000-0005-0000-0000-000050490000}"/>
    <cellStyle name="Normal 2 2 2 3 4 9" xfId="18777" xr:uid="{00000000-0005-0000-0000-000051490000}"/>
    <cellStyle name="Normal 2 2 2 3 40" xfId="18778" xr:uid="{00000000-0005-0000-0000-000052490000}"/>
    <cellStyle name="Normal 2 2 2 3 41" xfId="18779" xr:uid="{00000000-0005-0000-0000-000053490000}"/>
    <cellStyle name="Normal 2 2 2 3 42" xfId="18780" xr:uid="{00000000-0005-0000-0000-000054490000}"/>
    <cellStyle name="Normal 2 2 2 3 43" xfId="18781" xr:uid="{00000000-0005-0000-0000-000055490000}"/>
    <cellStyle name="Normal 2 2 2 3 44" xfId="18782" xr:uid="{00000000-0005-0000-0000-000056490000}"/>
    <cellStyle name="Normal 2 2 2 3 45" xfId="18783" xr:uid="{00000000-0005-0000-0000-000057490000}"/>
    <cellStyle name="Normal 2 2 2 3 46" xfId="18784" xr:uid="{00000000-0005-0000-0000-000058490000}"/>
    <cellStyle name="Normal 2 2 2 3 47" xfId="18785" xr:uid="{00000000-0005-0000-0000-000059490000}"/>
    <cellStyle name="Normal 2 2 2 3 48" xfId="18786" xr:uid="{00000000-0005-0000-0000-00005A490000}"/>
    <cellStyle name="Normal 2 2 2 3 49" xfId="18787" xr:uid="{00000000-0005-0000-0000-00005B490000}"/>
    <cellStyle name="Normal 2 2 2 3 5" xfId="18788" xr:uid="{00000000-0005-0000-0000-00005C490000}"/>
    <cellStyle name="Normal 2 2 2 3 5 10" xfId="18789" xr:uid="{00000000-0005-0000-0000-00005D490000}"/>
    <cellStyle name="Normal 2 2 2 3 5 11" xfId="18790" xr:uid="{00000000-0005-0000-0000-00005E490000}"/>
    <cellStyle name="Normal 2 2 2 3 5 12" xfId="18791" xr:uid="{00000000-0005-0000-0000-00005F490000}"/>
    <cellStyle name="Normal 2 2 2 3 5 13" xfId="18792" xr:uid="{00000000-0005-0000-0000-000060490000}"/>
    <cellStyle name="Normal 2 2 2 3 5 14" xfId="18793" xr:uid="{00000000-0005-0000-0000-000061490000}"/>
    <cellStyle name="Normal 2 2 2 3 5 15" xfId="18794" xr:uid="{00000000-0005-0000-0000-000062490000}"/>
    <cellStyle name="Normal 2 2 2 3 5 2" xfId="18795" xr:uid="{00000000-0005-0000-0000-000063490000}"/>
    <cellStyle name="Normal 2 2 2 3 5 2 10" xfId="18796" xr:uid="{00000000-0005-0000-0000-000064490000}"/>
    <cellStyle name="Normal 2 2 2 3 5 2 2" xfId="18797" xr:uid="{00000000-0005-0000-0000-000065490000}"/>
    <cellStyle name="Normal 2 2 2 3 5 2 3" xfId="18798" xr:uid="{00000000-0005-0000-0000-000066490000}"/>
    <cellStyle name="Normal 2 2 2 3 5 2 4" xfId="18799" xr:uid="{00000000-0005-0000-0000-000067490000}"/>
    <cellStyle name="Normal 2 2 2 3 5 2 5" xfId="18800" xr:uid="{00000000-0005-0000-0000-000068490000}"/>
    <cellStyle name="Normal 2 2 2 3 5 2 6" xfId="18801" xr:uid="{00000000-0005-0000-0000-000069490000}"/>
    <cellStyle name="Normal 2 2 2 3 5 2 7" xfId="18802" xr:uid="{00000000-0005-0000-0000-00006A490000}"/>
    <cellStyle name="Normal 2 2 2 3 5 2 8" xfId="18803" xr:uid="{00000000-0005-0000-0000-00006B490000}"/>
    <cellStyle name="Normal 2 2 2 3 5 2 9" xfId="18804" xr:uid="{00000000-0005-0000-0000-00006C490000}"/>
    <cellStyle name="Normal 2 2 2 3 5 3" xfId="18805" xr:uid="{00000000-0005-0000-0000-00006D490000}"/>
    <cellStyle name="Normal 2 2 2 3 5 3 10" xfId="18806" xr:uid="{00000000-0005-0000-0000-00006E490000}"/>
    <cellStyle name="Normal 2 2 2 3 5 3 2" xfId="18807" xr:uid="{00000000-0005-0000-0000-00006F490000}"/>
    <cellStyle name="Normal 2 2 2 3 5 3 3" xfId="18808" xr:uid="{00000000-0005-0000-0000-000070490000}"/>
    <cellStyle name="Normal 2 2 2 3 5 3 4" xfId="18809" xr:uid="{00000000-0005-0000-0000-000071490000}"/>
    <cellStyle name="Normal 2 2 2 3 5 3 5" xfId="18810" xr:uid="{00000000-0005-0000-0000-000072490000}"/>
    <cellStyle name="Normal 2 2 2 3 5 3 6" xfId="18811" xr:uid="{00000000-0005-0000-0000-000073490000}"/>
    <cellStyle name="Normal 2 2 2 3 5 3 7" xfId="18812" xr:uid="{00000000-0005-0000-0000-000074490000}"/>
    <cellStyle name="Normal 2 2 2 3 5 3 8" xfId="18813" xr:uid="{00000000-0005-0000-0000-000075490000}"/>
    <cellStyle name="Normal 2 2 2 3 5 3 9" xfId="18814" xr:uid="{00000000-0005-0000-0000-000076490000}"/>
    <cellStyle name="Normal 2 2 2 3 5 4" xfId="18815" xr:uid="{00000000-0005-0000-0000-000077490000}"/>
    <cellStyle name="Normal 2 2 2 3 5 4 10" xfId="18816" xr:uid="{00000000-0005-0000-0000-000078490000}"/>
    <cellStyle name="Normal 2 2 2 3 5 4 2" xfId="18817" xr:uid="{00000000-0005-0000-0000-000079490000}"/>
    <cellStyle name="Normal 2 2 2 3 5 4 3" xfId="18818" xr:uid="{00000000-0005-0000-0000-00007A490000}"/>
    <cellStyle name="Normal 2 2 2 3 5 4 4" xfId="18819" xr:uid="{00000000-0005-0000-0000-00007B490000}"/>
    <cellStyle name="Normal 2 2 2 3 5 4 5" xfId="18820" xr:uid="{00000000-0005-0000-0000-00007C490000}"/>
    <cellStyle name="Normal 2 2 2 3 5 4 6" xfId="18821" xr:uid="{00000000-0005-0000-0000-00007D490000}"/>
    <cellStyle name="Normal 2 2 2 3 5 4 7" xfId="18822" xr:uid="{00000000-0005-0000-0000-00007E490000}"/>
    <cellStyle name="Normal 2 2 2 3 5 4 8" xfId="18823" xr:uid="{00000000-0005-0000-0000-00007F490000}"/>
    <cellStyle name="Normal 2 2 2 3 5 4 9" xfId="18824" xr:uid="{00000000-0005-0000-0000-000080490000}"/>
    <cellStyle name="Normal 2 2 2 3 5 5" xfId="18825" xr:uid="{00000000-0005-0000-0000-000081490000}"/>
    <cellStyle name="Normal 2 2 2 3 5 5 10" xfId="18826" xr:uid="{00000000-0005-0000-0000-000082490000}"/>
    <cellStyle name="Normal 2 2 2 3 5 5 2" xfId="18827" xr:uid="{00000000-0005-0000-0000-000083490000}"/>
    <cellStyle name="Normal 2 2 2 3 5 5 3" xfId="18828" xr:uid="{00000000-0005-0000-0000-000084490000}"/>
    <cellStyle name="Normal 2 2 2 3 5 5 4" xfId="18829" xr:uid="{00000000-0005-0000-0000-000085490000}"/>
    <cellStyle name="Normal 2 2 2 3 5 5 5" xfId="18830" xr:uid="{00000000-0005-0000-0000-000086490000}"/>
    <cellStyle name="Normal 2 2 2 3 5 5 6" xfId="18831" xr:uid="{00000000-0005-0000-0000-000087490000}"/>
    <cellStyle name="Normal 2 2 2 3 5 5 7" xfId="18832" xr:uid="{00000000-0005-0000-0000-000088490000}"/>
    <cellStyle name="Normal 2 2 2 3 5 5 8" xfId="18833" xr:uid="{00000000-0005-0000-0000-000089490000}"/>
    <cellStyle name="Normal 2 2 2 3 5 5 9" xfId="18834" xr:uid="{00000000-0005-0000-0000-00008A490000}"/>
    <cellStyle name="Normal 2 2 2 3 5 6" xfId="18835" xr:uid="{00000000-0005-0000-0000-00008B490000}"/>
    <cellStyle name="Normal 2 2 2 3 5 7" xfId="18836" xr:uid="{00000000-0005-0000-0000-00008C490000}"/>
    <cellStyle name="Normal 2 2 2 3 5 8" xfId="18837" xr:uid="{00000000-0005-0000-0000-00008D490000}"/>
    <cellStyle name="Normal 2 2 2 3 5 9" xfId="18838" xr:uid="{00000000-0005-0000-0000-00008E490000}"/>
    <cellStyle name="Normal 2 2 2 3 6" xfId="18839" xr:uid="{00000000-0005-0000-0000-00008F490000}"/>
    <cellStyle name="Normal 2 2 2 3 6 10" xfId="18840" xr:uid="{00000000-0005-0000-0000-000090490000}"/>
    <cellStyle name="Normal 2 2 2 3 6 11" xfId="18841" xr:uid="{00000000-0005-0000-0000-000091490000}"/>
    <cellStyle name="Normal 2 2 2 3 6 12" xfId="18842" xr:uid="{00000000-0005-0000-0000-000092490000}"/>
    <cellStyle name="Normal 2 2 2 3 6 13" xfId="18843" xr:uid="{00000000-0005-0000-0000-000093490000}"/>
    <cellStyle name="Normal 2 2 2 3 6 14" xfId="18844" xr:uid="{00000000-0005-0000-0000-000094490000}"/>
    <cellStyle name="Normal 2 2 2 3 6 15" xfId="18845" xr:uid="{00000000-0005-0000-0000-000095490000}"/>
    <cellStyle name="Normal 2 2 2 3 6 2" xfId="18846" xr:uid="{00000000-0005-0000-0000-000096490000}"/>
    <cellStyle name="Normal 2 2 2 3 6 2 10" xfId="18847" xr:uid="{00000000-0005-0000-0000-000097490000}"/>
    <cellStyle name="Normal 2 2 2 3 6 2 2" xfId="18848" xr:uid="{00000000-0005-0000-0000-000098490000}"/>
    <cellStyle name="Normal 2 2 2 3 6 2 3" xfId="18849" xr:uid="{00000000-0005-0000-0000-000099490000}"/>
    <cellStyle name="Normal 2 2 2 3 6 2 4" xfId="18850" xr:uid="{00000000-0005-0000-0000-00009A490000}"/>
    <cellStyle name="Normal 2 2 2 3 6 2 5" xfId="18851" xr:uid="{00000000-0005-0000-0000-00009B490000}"/>
    <cellStyle name="Normal 2 2 2 3 6 2 6" xfId="18852" xr:uid="{00000000-0005-0000-0000-00009C490000}"/>
    <cellStyle name="Normal 2 2 2 3 6 2 7" xfId="18853" xr:uid="{00000000-0005-0000-0000-00009D490000}"/>
    <cellStyle name="Normal 2 2 2 3 6 2 8" xfId="18854" xr:uid="{00000000-0005-0000-0000-00009E490000}"/>
    <cellStyle name="Normal 2 2 2 3 6 2 9" xfId="18855" xr:uid="{00000000-0005-0000-0000-00009F490000}"/>
    <cellStyle name="Normal 2 2 2 3 6 3" xfId="18856" xr:uid="{00000000-0005-0000-0000-0000A0490000}"/>
    <cellStyle name="Normal 2 2 2 3 6 3 10" xfId="18857" xr:uid="{00000000-0005-0000-0000-0000A1490000}"/>
    <cellStyle name="Normal 2 2 2 3 6 3 2" xfId="18858" xr:uid="{00000000-0005-0000-0000-0000A2490000}"/>
    <cellStyle name="Normal 2 2 2 3 6 3 3" xfId="18859" xr:uid="{00000000-0005-0000-0000-0000A3490000}"/>
    <cellStyle name="Normal 2 2 2 3 6 3 4" xfId="18860" xr:uid="{00000000-0005-0000-0000-0000A4490000}"/>
    <cellStyle name="Normal 2 2 2 3 6 3 5" xfId="18861" xr:uid="{00000000-0005-0000-0000-0000A5490000}"/>
    <cellStyle name="Normal 2 2 2 3 6 3 6" xfId="18862" xr:uid="{00000000-0005-0000-0000-0000A6490000}"/>
    <cellStyle name="Normal 2 2 2 3 6 3 7" xfId="18863" xr:uid="{00000000-0005-0000-0000-0000A7490000}"/>
    <cellStyle name="Normal 2 2 2 3 6 3 8" xfId="18864" xr:uid="{00000000-0005-0000-0000-0000A8490000}"/>
    <cellStyle name="Normal 2 2 2 3 6 3 9" xfId="18865" xr:uid="{00000000-0005-0000-0000-0000A9490000}"/>
    <cellStyle name="Normal 2 2 2 3 6 4" xfId="18866" xr:uid="{00000000-0005-0000-0000-0000AA490000}"/>
    <cellStyle name="Normal 2 2 2 3 6 4 10" xfId="18867" xr:uid="{00000000-0005-0000-0000-0000AB490000}"/>
    <cellStyle name="Normal 2 2 2 3 6 4 2" xfId="18868" xr:uid="{00000000-0005-0000-0000-0000AC490000}"/>
    <cellStyle name="Normal 2 2 2 3 6 4 3" xfId="18869" xr:uid="{00000000-0005-0000-0000-0000AD490000}"/>
    <cellStyle name="Normal 2 2 2 3 6 4 4" xfId="18870" xr:uid="{00000000-0005-0000-0000-0000AE490000}"/>
    <cellStyle name="Normal 2 2 2 3 6 4 5" xfId="18871" xr:uid="{00000000-0005-0000-0000-0000AF490000}"/>
    <cellStyle name="Normal 2 2 2 3 6 4 6" xfId="18872" xr:uid="{00000000-0005-0000-0000-0000B0490000}"/>
    <cellStyle name="Normal 2 2 2 3 6 4 7" xfId="18873" xr:uid="{00000000-0005-0000-0000-0000B1490000}"/>
    <cellStyle name="Normal 2 2 2 3 6 4 8" xfId="18874" xr:uid="{00000000-0005-0000-0000-0000B2490000}"/>
    <cellStyle name="Normal 2 2 2 3 6 4 9" xfId="18875" xr:uid="{00000000-0005-0000-0000-0000B3490000}"/>
    <cellStyle name="Normal 2 2 2 3 6 5" xfId="18876" xr:uid="{00000000-0005-0000-0000-0000B4490000}"/>
    <cellStyle name="Normal 2 2 2 3 6 5 10" xfId="18877" xr:uid="{00000000-0005-0000-0000-0000B5490000}"/>
    <cellStyle name="Normal 2 2 2 3 6 5 2" xfId="18878" xr:uid="{00000000-0005-0000-0000-0000B6490000}"/>
    <cellStyle name="Normal 2 2 2 3 6 5 3" xfId="18879" xr:uid="{00000000-0005-0000-0000-0000B7490000}"/>
    <cellStyle name="Normal 2 2 2 3 6 5 4" xfId="18880" xr:uid="{00000000-0005-0000-0000-0000B8490000}"/>
    <cellStyle name="Normal 2 2 2 3 6 5 5" xfId="18881" xr:uid="{00000000-0005-0000-0000-0000B9490000}"/>
    <cellStyle name="Normal 2 2 2 3 6 5 6" xfId="18882" xr:uid="{00000000-0005-0000-0000-0000BA490000}"/>
    <cellStyle name="Normal 2 2 2 3 6 5 7" xfId="18883" xr:uid="{00000000-0005-0000-0000-0000BB490000}"/>
    <cellStyle name="Normal 2 2 2 3 6 5 8" xfId="18884" xr:uid="{00000000-0005-0000-0000-0000BC490000}"/>
    <cellStyle name="Normal 2 2 2 3 6 5 9" xfId="18885" xr:uid="{00000000-0005-0000-0000-0000BD490000}"/>
    <cellStyle name="Normal 2 2 2 3 6 6" xfId="18886" xr:uid="{00000000-0005-0000-0000-0000BE490000}"/>
    <cellStyle name="Normal 2 2 2 3 6 7" xfId="18887" xr:uid="{00000000-0005-0000-0000-0000BF490000}"/>
    <cellStyle name="Normal 2 2 2 3 6 8" xfId="18888" xr:uid="{00000000-0005-0000-0000-0000C0490000}"/>
    <cellStyle name="Normal 2 2 2 3 6 9" xfId="18889" xr:uid="{00000000-0005-0000-0000-0000C1490000}"/>
    <cellStyle name="Normal 2 2 2 3 7" xfId="18890" xr:uid="{00000000-0005-0000-0000-0000C2490000}"/>
    <cellStyle name="Normal 2 2 2 3 7 10" xfId="18891" xr:uid="{00000000-0005-0000-0000-0000C3490000}"/>
    <cellStyle name="Normal 2 2 2 3 7 11" xfId="18892" xr:uid="{00000000-0005-0000-0000-0000C4490000}"/>
    <cellStyle name="Normal 2 2 2 3 7 12" xfId="18893" xr:uid="{00000000-0005-0000-0000-0000C5490000}"/>
    <cellStyle name="Normal 2 2 2 3 7 13" xfId="18894" xr:uid="{00000000-0005-0000-0000-0000C6490000}"/>
    <cellStyle name="Normal 2 2 2 3 7 14" xfId="18895" xr:uid="{00000000-0005-0000-0000-0000C7490000}"/>
    <cellStyle name="Normal 2 2 2 3 7 15" xfId="18896" xr:uid="{00000000-0005-0000-0000-0000C8490000}"/>
    <cellStyle name="Normal 2 2 2 3 7 2" xfId="18897" xr:uid="{00000000-0005-0000-0000-0000C9490000}"/>
    <cellStyle name="Normal 2 2 2 3 7 2 10" xfId="18898" xr:uid="{00000000-0005-0000-0000-0000CA490000}"/>
    <cellStyle name="Normal 2 2 2 3 7 2 2" xfId="18899" xr:uid="{00000000-0005-0000-0000-0000CB490000}"/>
    <cellStyle name="Normal 2 2 2 3 7 2 3" xfId="18900" xr:uid="{00000000-0005-0000-0000-0000CC490000}"/>
    <cellStyle name="Normal 2 2 2 3 7 2 4" xfId="18901" xr:uid="{00000000-0005-0000-0000-0000CD490000}"/>
    <cellStyle name="Normal 2 2 2 3 7 2 5" xfId="18902" xr:uid="{00000000-0005-0000-0000-0000CE490000}"/>
    <cellStyle name="Normal 2 2 2 3 7 2 6" xfId="18903" xr:uid="{00000000-0005-0000-0000-0000CF490000}"/>
    <cellStyle name="Normal 2 2 2 3 7 2 7" xfId="18904" xr:uid="{00000000-0005-0000-0000-0000D0490000}"/>
    <cellStyle name="Normal 2 2 2 3 7 2 8" xfId="18905" xr:uid="{00000000-0005-0000-0000-0000D1490000}"/>
    <cellStyle name="Normal 2 2 2 3 7 2 9" xfId="18906" xr:uid="{00000000-0005-0000-0000-0000D2490000}"/>
    <cellStyle name="Normal 2 2 2 3 7 3" xfId="18907" xr:uid="{00000000-0005-0000-0000-0000D3490000}"/>
    <cellStyle name="Normal 2 2 2 3 7 3 10" xfId="18908" xr:uid="{00000000-0005-0000-0000-0000D4490000}"/>
    <cellStyle name="Normal 2 2 2 3 7 3 2" xfId="18909" xr:uid="{00000000-0005-0000-0000-0000D5490000}"/>
    <cellStyle name="Normal 2 2 2 3 7 3 3" xfId="18910" xr:uid="{00000000-0005-0000-0000-0000D6490000}"/>
    <cellStyle name="Normal 2 2 2 3 7 3 4" xfId="18911" xr:uid="{00000000-0005-0000-0000-0000D7490000}"/>
    <cellStyle name="Normal 2 2 2 3 7 3 5" xfId="18912" xr:uid="{00000000-0005-0000-0000-0000D8490000}"/>
    <cellStyle name="Normal 2 2 2 3 7 3 6" xfId="18913" xr:uid="{00000000-0005-0000-0000-0000D9490000}"/>
    <cellStyle name="Normal 2 2 2 3 7 3 7" xfId="18914" xr:uid="{00000000-0005-0000-0000-0000DA490000}"/>
    <cellStyle name="Normal 2 2 2 3 7 3 8" xfId="18915" xr:uid="{00000000-0005-0000-0000-0000DB490000}"/>
    <cellStyle name="Normal 2 2 2 3 7 3 9" xfId="18916" xr:uid="{00000000-0005-0000-0000-0000DC490000}"/>
    <cellStyle name="Normal 2 2 2 3 7 4" xfId="18917" xr:uid="{00000000-0005-0000-0000-0000DD490000}"/>
    <cellStyle name="Normal 2 2 2 3 7 4 10" xfId="18918" xr:uid="{00000000-0005-0000-0000-0000DE490000}"/>
    <cellStyle name="Normal 2 2 2 3 7 4 2" xfId="18919" xr:uid="{00000000-0005-0000-0000-0000DF490000}"/>
    <cellStyle name="Normal 2 2 2 3 7 4 3" xfId="18920" xr:uid="{00000000-0005-0000-0000-0000E0490000}"/>
    <cellStyle name="Normal 2 2 2 3 7 4 4" xfId="18921" xr:uid="{00000000-0005-0000-0000-0000E1490000}"/>
    <cellStyle name="Normal 2 2 2 3 7 4 5" xfId="18922" xr:uid="{00000000-0005-0000-0000-0000E2490000}"/>
    <cellStyle name="Normal 2 2 2 3 7 4 6" xfId="18923" xr:uid="{00000000-0005-0000-0000-0000E3490000}"/>
    <cellStyle name="Normal 2 2 2 3 7 4 7" xfId="18924" xr:uid="{00000000-0005-0000-0000-0000E4490000}"/>
    <cellStyle name="Normal 2 2 2 3 7 4 8" xfId="18925" xr:uid="{00000000-0005-0000-0000-0000E5490000}"/>
    <cellStyle name="Normal 2 2 2 3 7 4 9" xfId="18926" xr:uid="{00000000-0005-0000-0000-0000E6490000}"/>
    <cellStyle name="Normal 2 2 2 3 7 5" xfId="18927" xr:uid="{00000000-0005-0000-0000-0000E7490000}"/>
    <cellStyle name="Normal 2 2 2 3 7 5 10" xfId="18928" xr:uid="{00000000-0005-0000-0000-0000E8490000}"/>
    <cellStyle name="Normal 2 2 2 3 7 5 2" xfId="18929" xr:uid="{00000000-0005-0000-0000-0000E9490000}"/>
    <cellStyle name="Normal 2 2 2 3 7 5 3" xfId="18930" xr:uid="{00000000-0005-0000-0000-0000EA490000}"/>
    <cellStyle name="Normal 2 2 2 3 7 5 4" xfId="18931" xr:uid="{00000000-0005-0000-0000-0000EB490000}"/>
    <cellStyle name="Normal 2 2 2 3 7 5 5" xfId="18932" xr:uid="{00000000-0005-0000-0000-0000EC490000}"/>
    <cellStyle name="Normal 2 2 2 3 7 5 6" xfId="18933" xr:uid="{00000000-0005-0000-0000-0000ED490000}"/>
    <cellStyle name="Normal 2 2 2 3 7 5 7" xfId="18934" xr:uid="{00000000-0005-0000-0000-0000EE490000}"/>
    <cellStyle name="Normal 2 2 2 3 7 5 8" xfId="18935" xr:uid="{00000000-0005-0000-0000-0000EF490000}"/>
    <cellStyle name="Normal 2 2 2 3 7 5 9" xfId="18936" xr:uid="{00000000-0005-0000-0000-0000F0490000}"/>
    <cellStyle name="Normal 2 2 2 3 7 6" xfId="18937" xr:uid="{00000000-0005-0000-0000-0000F1490000}"/>
    <cellStyle name="Normal 2 2 2 3 7 7" xfId="18938" xr:uid="{00000000-0005-0000-0000-0000F2490000}"/>
    <cellStyle name="Normal 2 2 2 3 7 8" xfId="18939" xr:uid="{00000000-0005-0000-0000-0000F3490000}"/>
    <cellStyle name="Normal 2 2 2 3 7 9" xfId="18940" xr:uid="{00000000-0005-0000-0000-0000F4490000}"/>
    <cellStyle name="Normal 2 2 2 3 8" xfId="18941" xr:uid="{00000000-0005-0000-0000-0000F5490000}"/>
    <cellStyle name="Normal 2 2 2 3 8 10" xfId="18942" xr:uid="{00000000-0005-0000-0000-0000F6490000}"/>
    <cellStyle name="Normal 2 2 2 3 8 11" xfId="18943" xr:uid="{00000000-0005-0000-0000-0000F7490000}"/>
    <cellStyle name="Normal 2 2 2 3 8 12" xfId="18944" xr:uid="{00000000-0005-0000-0000-0000F8490000}"/>
    <cellStyle name="Normal 2 2 2 3 8 13" xfId="18945" xr:uid="{00000000-0005-0000-0000-0000F9490000}"/>
    <cellStyle name="Normal 2 2 2 3 8 14" xfId="18946" xr:uid="{00000000-0005-0000-0000-0000FA490000}"/>
    <cellStyle name="Normal 2 2 2 3 8 2" xfId="18947" xr:uid="{00000000-0005-0000-0000-0000FB490000}"/>
    <cellStyle name="Normal 2 2 2 3 8 2 10" xfId="18948" xr:uid="{00000000-0005-0000-0000-0000FC490000}"/>
    <cellStyle name="Normal 2 2 2 3 8 2 2" xfId="18949" xr:uid="{00000000-0005-0000-0000-0000FD490000}"/>
    <cellStyle name="Normal 2 2 2 3 8 2 3" xfId="18950" xr:uid="{00000000-0005-0000-0000-0000FE490000}"/>
    <cellStyle name="Normal 2 2 2 3 8 2 4" xfId="18951" xr:uid="{00000000-0005-0000-0000-0000FF490000}"/>
    <cellStyle name="Normal 2 2 2 3 8 2 5" xfId="18952" xr:uid="{00000000-0005-0000-0000-0000004A0000}"/>
    <cellStyle name="Normal 2 2 2 3 8 2 6" xfId="18953" xr:uid="{00000000-0005-0000-0000-0000014A0000}"/>
    <cellStyle name="Normal 2 2 2 3 8 2 7" xfId="18954" xr:uid="{00000000-0005-0000-0000-0000024A0000}"/>
    <cellStyle name="Normal 2 2 2 3 8 2 8" xfId="18955" xr:uid="{00000000-0005-0000-0000-0000034A0000}"/>
    <cellStyle name="Normal 2 2 2 3 8 2 9" xfId="18956" xr:uid="{00000000-0005-0000-0000-0000044A0000}"/>
    <cellStyle name="Normal 2 2 2 3 8 3" xfId="18957" xr:uid="{00000000-0005-0000-0000-0000054A0000}"/>
    <cellStyle name="Normal 2 2 2 3 8 3 10" xfId="18958" xr:uid="{00000000-0005-0000-0000-0000064A0000}"/>
    <cellStyle name="Normal 2 2 2 3 8 3 2" xfId="18959" xr:uid="{00000000-0005-0000-0000-0000074A0000}"/>
    <cellStyle name="Normal 2 2 2 3 8 3 3" xfId="18960" xr:uid="{00000000-0005-0000-0000-0000084A0000}"/>
    <cellStyle name="Normal 2 2 2 3 8 3 4" xfId="18961" xr:uid="{00000000-0005-0000-0000-0000094A0000}"/>
    <cellStyle name="Normal 2 2 2 3 8 3 5" xfId="18962" xr:uid="{00000000-0005-0000-0000-00000A4A0000}"/>
    <cellStyle name="Normal 2 2 2 3 8 3 6" xfId="18963" xr:uid="{00000000-0005-0000-0000-00000B4A0000}"/>
    <cellStyle name="Normal 2 2 2 3 8 3 7" xfId="18964" xr:uid="{00000000-0005-0000-0000-00000C4A0000}"/>
    <cellStyle name="Normal 2 2 2 3 8 3 8" xfId="18965" xr:uid="{00000000-0005-0000-0000-00000D4A0000}"/>
    <cellStyle name="Normal 2 2 2 3 8 3 9" xfId="18966" xr:uid="{00000000-0005-0000-0000-00000E4A0000}"/>
    <cellStyle name="Normal 2 2 2 3 8 4" xfId="18967" xr:uid="{00000000-0005-0000-0000-00000F4A0000}"/>
    <cellStyle name="Normal 2 2 2 3 8 4 10" xfId="18968" xr:uid="{00000000-0005-0000-0000-0000104A0000}"/>
    <cellStyle name="Normal 2 2 2 3 8 4 2" xfId="18969" xr:uid="{00000000-0005-0000-0000-0000114A0000}"/>
    <cellStyle name="Normal 2 2 2 3 8 4 3" xfId="18970" xr:uid="{00000000-0005-0000-0000-0000124A0000}"/>
    <cellStyle name="Normal 2 2 2 3 8 4 4" xfId="18971" xr:uid="{00000000-0005-0000-0000-0000134A0000}"/>
    <cellStyle name="Normal 2 2 2 3 8 4 5" xfId="18972" xr:uid="{00000000-0005-0000-0000-0000144A0000}"/>
    <cellStyle name="Normal 2 2 2 3 8 4 6" xfId="18973" xr:uid="{00000000-0005-0000-0000-0000154A0000}"/>
    <cellStyle name="Normal 2 2 2 3 8 4 7" xfId="18974" xr:uid="{00000000-0005-0000-0000-0000164A0000}"/>
    <cellStyle name="Normal 2 2 2 3 8 4 8" xfId="18975" xr:uid="{00000000-0005-0000-0000-0000174A0000}"/>
    <cellStyle name="Normal 2 2 2 3 8 4 9" xfId="18976" xr:uid="{00000000-0005-0000-0000-0000184A0000}"/>
    <cellStyle name="Normal 2 2 2 3 8 5" xfId="18977" xr:uid="{00000000-0005-0000-0000-0000194A0000}"/>
    <cellStyle name="Normal 2 2 2 3 8 5 10" xfId="18978" xr:uid="{00000000-0005-0000-0000-00001A4A0000}"/>
    <cellStyle name="Normal 2 2 2 3 8 5 2" xfId="18979" xr:uid="{00000000-0005-0000-0000-00001B4A0000}"/>
    <cellStyle name="Normal 2 2 2 3 8 5 3" xfId="18980" xr:uid="{00000000-0005-0000-0000-00001C4A0000}"/>
    <cellStyle name="Normal 2 2 2 3 8 5 4" xfId="18981" xr:uid="{00000000-0005-0000-0000-00001D4A0000}"/>
    <cellStyle name="Normal 2 2 2 3 8 5 5" xfId="18982" xr:uid="{00000000-0005-0000-0000-00001E4A0000}"/>
    <cellStyle name="Normal 2 2 2 3 8 5 6" xfId="18983" xr:uid="{00000000-0005-0000-0000-00001F4A0000}"/>
    <cellStyle name="Normal 2 2 2 3 8 5 7" xfId="18984" xr:uid="{00000000-0005-0000-0000-0000204A0000}"/>
    <cellStyle name="Normal 2 2 2 3 8 5 8" xfId="18985" xr:uid="{00000000-0005-0000-0000-0000214A0000}"/>
    <cellStyle name="Normal 2 2 2 3 8 5 9" xfId="18986" xr:uid="{00000000-0005-0000-0000-0000224A0000}"/>
    <cellStyle name="Normal 2 2 2 3 8 6" xfId="18987" xr:uid="{00000000-0005-0000-0000-0000234A0000}"/>
    <cellStyle name="Normal 2 2 2 3 8 7" xfId="18988" xr:uid="{00000000-0005-0000-0000-0000244A0000}"/>
    <cellStyle name="Normal 2 2 2 3 8 8" xfId="18989" xr:uid="{00000000-0005-0000-0000-0000254A0000}"/>
    <cellStyle name="Normal 2 2 2 3 8 9" xfId="18990" xr:uid="{00000000-0005-0000-0000-0000264A0000}"/>
    <cellStyle name="Normal 2 2 2 3 9" xfId="18991" xr:uid="{00000000-0005-0000-0000-0000274A0000}"/>
    <cellStyle name="Normal 2 2 2 3 9 10" xfId="18992" xr:uid="{00000000-0005-0000-0000-0000284A0000}"/>
    <cellStyle name="Normal 2 2 2 3 9 11" xfId="18993" xr:uid="{00000000-0005-0000-0000-0000294A0000}"/>
    <cellStyle name="Normal 2 2 2 3 9 12" xfId="18994" xr:uid="{00000000-0005-0000-0000-00002A4A0000}"/>
    <cellStyle name="Normal 2 2 2 3 9 13" xfId="18995" xr:uid="{00000000-0005-0000-0000-00002B4A0000}"/>
    <cellStyle name="Normal 2 2 2 3 9 14" xfId="18996" xr:uid="{00000000-0005-0000-0000-00002C4A0000}"/>
    <cellStyle name="Normal 2 2 2 3 9 2" xfId="18997" xr:uid="{00000000-0005-0000-0000-00002D4A0000}"/>
    <cellStyle name="Normal 2 2 2 3 9 2 10" xfId="18998" xr:uid="{00000000-0005-0000-0000-00002E4A0000}"/>
    <cellStyle name="Normal 2 2 2 3 9 2 2" xfId="18999" xr:uid="{00000000-0005-0000-0000-00002F4A0000}"/>
    <cellStyle name="Normal 2 2 2 3 9 2 3" xfId="19000" xr:uid="{00000000-0005-0000-0000-0000304A0000}"/>
    <cellStyle name="Normal 2 2 2 3 9 2 4" xfId="19001" xr:uid="{00000000-0005-0000-0000-0000314A0000}"/>
    <cellStyle name="Normal 2 2 2 3 9 2 5" xfId="19002" xr:uid="{00000000-0005-0000-0000-0000324A0000}"/>
    <cellStyle name="Normal 2 2 2 3 9 2 6" xfId="19003" xr:uid="{00000000-0005-0000-0000-0000334A0000}"/>
    <cellStyle name="Normal 2 2 2 3 9 2 7" xfId="19004" xr:uid="{00000000-0005-0000-0000-0000344A0000}"/>
    <cellStyle name="Normal 2 2 2 3 9 2 8" xfId="19005" xr:uid="{00000000-0005-0000-0000-0000354A0000}"/>
    <cellStyle name="Normal 2 2 2 3 9 2 9" xfId="19006" xr:uid="{00000000-0005-0000-0000-0000364A0000}"/>
    <cellStyle name="Normal 2 2 2 3 9 3" xfId="19007" xr:uid="{00000000-0005-0000-0000-0000374A0000}"/>
    <cellStyle name="Normal 2 2 2 3 9 3 10" xfId="19008" xr:uid="{00000000-0005-0000-0000-0000384A0000}"/>
    <cellStyle name="Normal 2 2 2 3 9 3 2" xfId="19009" xr:uid="{00000000-0005-0000-0000-0000394A0000}"/>
    <cellStyle name="Normal 2 2 2 3 9 3 3" xfId="19010" xr:uid="{00000000-0005-0000-0000-00003A4A0000}"/>
    <cellStyle name="Normal 2 2 2 3 9 3 4" xfId="19011" xr:uid="{00000000-0005-0000-0000-00003B4A0000}"/>
    <cellStyle name="Normal 2 2 2 3 9 3 5" xfId="19012" xr:uid="{00000000-0005-0000-0000-00003C4A0000}"/>
    <cellStyle name="Normal 2 2 2 3 9 3 6" xfId="19013" xr:uid="{00000000-0005-0000-0000-00003D4A0000}"/>
    <cellStyle name="Normal 2 2 2 3 9 3 7" xfId="19014" xr:uid="{00000000-0005-0000-0000-00003E4A0000}"/>
    <cellStyle name="Normal 2 2 2 3 9 3 8" xfId="19015" xr:uid="{00000000-0005-0000-0000-00003F4A0000}"/>
    <cellStyle name="Normal 2 2 2 3 9 3 9" xfId="19016" xr:uid="{00000000-0005-0000-0000-0000404A0000}"/>
    <cellStyle name="Normal 2 2 2 3 9 4" xfId="19017" xr:uid="{00000000-0005-0000-0000-0000414A0000}"/>
    <cellStyle name="Normal 2 2 2 3 9 4 10" xfId="19018" xr:uid="{00000000-0005-0000-0000-0000424A0000}"/>
    <cellStyle name="Normal 2 2 2 3 9 4 2" xfId="19019" xr:uid="{00000000-0005-0000-0000-0000434A0000}"/>
    <cellStyle name="Normal 2 2 2 3 9 4 3" xfId="19020" xr:uid="{00000000-0005-0000-0000-0000444A0000}"/>
    <cellStyle name="Normal 2 2 2 3 9 4 4" xfId="19021" xr:uid="{00000000-0005-0000-0000-0000454A0000}"/>
    <cellStyle name="Normal 2 2 2 3 9 4 5" xfId="19022" xr:uid="{00000000-0005-0000-0000-0000464A0000}"/>
    <cellStyle name="Normal 2 2 2 3 9 4 6" xfId="19023" xr:uid="{00000000-0005-0000-0000-0000474A0000}"/>
    <cellStyle name="Normal 2 2 2 3 9 4 7" xfId="19024" xr:uid="{00000000-0005-0000-0000-0000484A0000}"/>
    <cellStyle name="Normal 2 2 2 3 9 4 8" xfId="19025" xr:uid="{00000000-0005-0000-0000-0000494A0000}"/>
    <cellStyle name="Normal 2 2 2 3 9 4 9" xfId="19026" xr:uid="{00000000-0005-0000-0000-00004A4A0000}"/>
    <cellStyle name="Normal 2 2 2 3 9 5" xfId="19027" xr:uid="{00000000-0005-0000-0000-00004B4A0000}"/>
    <cellStyle name="Normal 2 2 2 3 9 5 10" xfId="19028" xr:uid="{00000000-0005-0000-0000-00004C4A0000}"/>
    <cellStyle name="Normal 2 2 2 3 9 5 2" xfId="19029" xr:uid="{00000000-0005-0000-0000-00004D4A0000}"/>
    <cellStyle name="Normal 2 2 2 3 9 5 3" xfId="19030" xr:uid="{00000000-0005-0000-0000-00004E4A0000}"/>
    <cellStyle name="Normal 2 2 2 3 9 5 4" xfId="19031" xr:uid="{00000000-0005-0000-0000-00004F4A0000}"/>
    <cellStyle name="Normal 2 2 2 3 9 5 5" xfId="19032" xr:uid="{00000000-0005-0000-0000-0000504A0000}"/>
    <cellStyle name="Normal 2 2 2 3 9 5 6" xfId="19033" xr:uid="{00000000-0005-0000-0000-0000514A0000}"/>
    <cellStyle name="Normal 2 2 2 3 9 5 7" xfId="19034" xr:uid="{00000000-0005-0000-0000-0000524A0000}"/>
    <cellStyle name="Normal 2 2 2 3 9 5 8" xfId="19035" xr:uid="{00000000-0005-0000-0000-0000534A0000}"/>
    <cellStyle name="Normal 2 2 2 3 9 5 9" xfId="19036" xr:uid="{00000000-0005-0000-0000-0000544A0000}"/>
    <cellStyle name="Normal 2 2 2 3 9 6" xfId="19037" xr:uid="{00000000-0005-0000-0000-0000554A0000}"/>
    <cellStyle name="Normal 2 2 2 3 9 7" xfId="19038" xr:uid="{00000000-0005-0000-0000-0000564A0000}"/>
    <cellStyle name="Normal 2 2 2 3 9 8" xfId="19039" xr:uid="{00000000-0005-0000-0000-0000574A0000}"/>
    <cellStyle name="Normal 2 2 2 3 9 9" xfId="19040" xr:uid="{00000000-0005-0000-0000-0000584A0000}"/>
    <cellStyle name="Normal 2 2 2 30" xfId="19041" xr:uid="{00000000-0005-0000-0000-0000594A0000}"/>
    <cellStyle name="Normal 2 2 2 30 10" xfId="19042" xr:uid="{00000000-0005-0000-0000-00005A4A0000}"/>
    <cellStyle name="Normal 2 2 2 30 11" xfId="19043" xr:uid="{00000000-0005-0000-0000-00005B4A0000}"/>
    <cellStyle name="Normal 2 2 2 30 12" xfId="19044" xr:uid="{00000000-0005-0000-0000-00005C4A0000}"/>
    <cellStyle name="Normal 2 2 2 30 13" xfId="19045" xr:uid="{00000000-0005-0000-0000-00005D4A0000}"/>
    <cellStyle name="Normal 2 2 2 30 14" xfId="19046" xr:uid="{00000000-0005-0000-0000-00005E4A0000}"/>
    <cellStyle name="Normal 2 2 2 30 2" xfId="19047" xr:uid="{00000000-0005-0000-0000-00005F4A0000}"/>
    <cellStyle name="Normal 2 2 2 30 2 10" xfId="19048" xr:uid="{00000000-0005-0000-0000-0000604A0000}"/>
    <cellStyle name="Normal 2 2 2 30 2 2" xfId="19049" xr:uid="{00000000-0005-0000-0000-0000614A0000}"/>
    <cellStyle name="Normal 2 2 2 30 2 3" xfId="19050" xr:uid="{00000000-0005-0000-0000-0000624A0000}"/>
    <cellStyle name="Normal 2 2 2 30 2 4" xfId="19051" xr:uid="{00000000-0005-0000-0000-0000634A0000}"/>
    <cellStyle name="Normal 2 2 2 30 2 5" xfId="19052" xr:uid="{00000000-0005-0000-0000-0000644A0000}"/>
    <cellStyle name="Normal 2 2 2 30 2 6" xfId="19053" xr:uid="{00000000-0005-0000-0000-0000654A0000}"/>
    <cellStyle name="Normal 2 2 2 30 2 7" xfId="19054" xr:uid="{00000000-0005-0000-0000-0000664A0000}"/>
    <cellStyle name="Normal 2 2 2 30 2 8" xfId="19055" xr:uid="{00000000-0005-0000-0000-0000674A0000}"/>
    <cellStyle name="Normal 2 2 2 30 2 9" xfId="19056" xr:uid="{00000000-0005-0000-0000-0000684A0000}"/>
    <cellStyle name="Normal 2 2 2 30 3" xfId="19057" xr:uid="{00000000-0005-0000-0000-0000694A0000}"/>
    <cellStyle name="Normal 2 2 2 30 3 10" xfId="19058" xr:uid="{00000000-0005-0000-0000-00006A4A0000}"/>
    <cellStyle name="Normal 2 2 2 30 3 2" xfId="19059" xr:uid="{00000000-0005-0000-0000-00006B4A0000}"/>
    <cellStyle name="Normal 2 2 2 30 3 3" xfId="19060" xr:uid="{00000000-0005-0000-0000-00006C4A0000}"/>
    <cellStyle name="Normal 2 2 2 30 3 4" xfId="19061" xr:uid="{00000000-0005-0000-0000-00006D4A0000}"/>
    <cellStyle name="Normal 2 2 2 30 3 5" xfId="19062" xr:uid="{00000000-0005-0000-0000-00006E4A0000}"/>
    <cellStyle name="Normal 2 2 2 30 3 6" xfId="19063" xr:uid="{00000000-0005-0000-0000-00006F4A0000}"/>
    <cellStyle name="Normal 2 2 2 30 3 7" xfId="19064" xr:uid="{00000000-0005-0000-0000-0000704A0000}"/>
    <cellStyle name="Normal 2 2 2 30 3 8" xfId="19065" xr:uid="{00000000-0005-0000-0000-0000714A0000}"/>
    <cellStyle name="Normal 2 2 2 30 3 9" xfId="19066" xr:uid="{00000000-0005-0000-0000-0000724A0000}"/>
    <cellStyle name="Normal 2 2 2 30 4" xfId="19067" xr:uid="{00000000-0005-0000-0000-0000734A0000}"/>
    <cellStyle name="Normal 2 2 2 30 4 10" xfId="19068" xr:uid="{00000000-0005-0000-0000-0000744A0000}"/>
    <cellStyle name="Normal 2 2 2 30 4 2" xfId="19069" xr:uid="{00000000-0005-0000-0000-0000754A0000}"/>
    <cellStyle name="Normal 2 2 2 30 4 3" xfId="19070" xr:uid="{00000000-0005-0000-0000-0000764A0000}"/>
    <cellStyle name="Normal 2 2 2 30 4 4" xfId="19071" xr:uid="{00000000-0005-0000-0000-0000774A0000}"/>
    <cellStyle name="Normal 2 2 2 30 4 5" xfId="19072" xr:uid="{00000000-0005-0000-0000-0000784A0000}"/>
    <cellStyle name="Normal 2 2 2 30 4 6" xfId="19073" xr:uid="{00000000-0005-0000-0000-0000794A0000}"/>
    <cellStyle name="Normal 2 2 2 30 4 7" xfId="19074" xr:uid="{00000000-0005-0000-0000-00007A4A0000}"/>
    <cellStyle name="Normal 2 2 2 30 4 8" xfId="19075" xr:uid="{00000000-0005-0000-0000-00007B4A0000}"/>
    <cellStyle name="Normal 2 2 2 30 4 9" xfId="19076" xr:uid="{00000000-0005-0000-0000-00007C4A0000}"/>
    <cellStyle name="Normal 2 2 2 30 5" xfId="19077" xr:uid="{00000000-0005-0000-0000-00007D4A0000}"/>
    <cellStyle name="Normal 2 2 2 30 5 10" xfId="19078" xr:uid="{00000000-0005-0000-0000-00007E4A0000}"/>
    <cellStyle name="Normal 2 2 2 30 5 2" xfId="19079" xr:uid="{00000000-0005-0000-0000-00007F4A0000}"/>
    <cellStyle name="Normal 2 2 2 30 5 3" xfId="19080" xr:uid="{00000000-0005-0000-0000-0000804A0000}"/>
    <cellStyle name="Normal 2 2 2 30 5 4" xfId="19081" xr:uid="{00000000-0005-0000-0000-0000814A0000}"/>
    <cellStyle name="Normal 2 2 2 30 5 5" xfId="19082" xr:uid="{00000000-0005-0000-0000-0000824A0000}"/>
    <cellStyle name="Normal 2 2 2 30 5 6" xfId="19083" xr:uid="{00000000-0005-0000-0000-0000834A0000}"/>
    <cellStyle name="Normal 2 2 2 30 5 7" xfId="19084" xr:uid="{00000000-0005-0000-0000-0000844A0000}"/>
    <cellStyle name="Normal 2 2 2 30 5 8" xfId="19085" xr:uid="{00000000-0005-0000-0000-0000854A0000}"/>
    <cellStyle name="Normal 2 2 2 30 5 9" xfId="19086" xr:uid="{00000000-0005-0000-0000-0000864A0000}"/>
    <cellStyle name="Normal 2 2 2 30 6" xfId="19087" xr:uid="{00000000-0005-0000-0000-0000874A0000}"/>
    <cellStyle name="Normal 2 2 2 30 7" xfId="19088" xr:uid="{00000000-0005-0000-0000-0000884A0000}"/>
    <cellStyle name="Normal 2 2 2 30 8" xfId="19089" xr:uid="{00000000-0005-0000-0000-0000894A0000}"/>
    <cellStyle name="Normal 2 2 2 30 9" xfId="19090" xr:uid="{00000000-0005-0000-0000-00008A4A0000}"/>
    <cellStyle name="Normal 2 2 2 31" xfId="19091" xr:uid="{00000000-0005-0000-0000-00008B4A0000}"/>
    <cellStyle name="Normal 2 2 2 31 10" xfId="19092" xr:uid="{00000000-0005-0000-0000-00008C4A0000}"/>
    <cellStyle name="Normal 2 2 2 31 11" xfId="19093" xr:uid="{00000000-0005-0000-0000-00008D4A0000}"/>
    <cellStyle name="Normal 2 2 2 31 12" xfId="19094" xr:uid="{00000000-0005-0000-0000-00008E4A0000}"/>
    <cellStyle name="Normal 2 2 2 31 13" xfId="19095" xr:uid="{00000000-0005-0000-0000-00008F4A0000}"/>
    <cellStyle name="Normal 2 2 2 31 14" xfId="19096" xr:uid="{00000000-0005-0000-0000-0000904A0000}"/>
    <cellStyle name="Normal 2 2 2 31 2" xfId="19097" xr:uid="{00000000-0005-0000-0000-0000914A0000}"/>
    <cellStyle name="Normal 2 2 2 31 2 10" xfId="19098" xr:uid="{00000000-0005-0000-0000-0000924A0000}"/>
    <cellStyle name="Normal 2 2 2 31 2 2" xfId="19099" xr:uid="{00000000-0005-0000-0000-0000934A0000}"/>
    <cellStyle name="Normal 2 2 2 31 2 3" xfId="19100" xr:uid="{00000000-0005-0000-0000-0000944A0000}"/>
    <cellStyle name="Normal 2 2 2 31 2 4" xfId="19101" xr:uid="{00000000-0005-0000-0000-0000954A0000}"/>
    <cellStyle name="Normal 2 2 2 31 2 5" xfId="19102" xr:uid="{00000000-0005-0000-0000-0000964A0000}"/>
    <cellStyle name="Normal 2 2 2 31 2 6" xfId="19103" xr:uid="{00000000-0005-0000-0000-0000974A0000}"/>
    <cellStyle name="Normal 2 2 2 31 2 7" xfId="19104" xr:uid="{00000000-0005-0000-0000-0000984A0000}"/>
    <cellStyle name="Normal 2 2 2 31 2 8" xfId="19105" xr:uid="{00000000-0005-0000-0000-0000994A0000}"/>
    <cellStyle name="Normal 2 2 2 31 2 9" xfId="19106" xr:uid="{00000000-0005-0000-0000-00009A4A0000}"/>
    <cellStyle name="Normal 2 2 2 31 3" xfId="19107" xr:uid="{00000000-0005-0000-0000-00009B4A0000}"/>
    <cellStyle name="Normal 2 2 2 31 3 10" xfId="19108" xr:uid="{00000000-0005-0000-0000-00009C4A0000}"/>
    <cellStyle name="Normal 2 2 2 31 3 2" xfId="19109" xr:uid="{00000000-0005-0000-0000-00009D4A0000}"/>
    <cellStyle name="Normal 2 2 2 31 3 3" xfId="19110" xr:uid="{00000000-0005-0000-0000-00009E4A0000}"/>
    <cellStyle name="Normal 2 2 2 31 3 4" xfId="19111" xr:uid="{00000000-0005-0000-0000-00009F4A0000}"/>
    <cellStyle name="Normal 2 2 2 31 3 5" xfId="19112" xr:uid="{00000000-0005-0000-0000-0000A04A0000}"/>
    <cellStyle name="Normal 2 2 2 31 3 6" xfId="19113" xr:uid="{00000000-0005-0000-0000-0000A14A0000}"/>
    <cellStyle name="Normal 2 2 2 31 3 7" xfId="19114" xr:uid="{00000000-0005-0000-0000-0000A24A0000}"/>
    <cellStyle name="Normal 2 2 2 31 3 8" xfId="19115" xr:uid="{00000000-0005-0000-0000-0000A34A0000}"/>
    <cellStyle name="Normal 2 2 2 31 3 9" xfId="19116" xr:uid="{00000000-0005-0000-0000-0000A44A0000}"/>
    <cellStyle name="Normal 2 2 2 31 4" xfId="19117" xr:uid="{00000000-0005-0000-0000-0000A54A0000}"/>
    <cellStyle name="Normal 2 2 2 31 4 10" xfId="19118" xr:uid="{00000000-0005-0000-0000-0000A64A0000}"/>
    <cellStyle name="Normal 2 2 2 31 4 2" xfId="19119" xr:uid="{00000000-0005-0000-0000-0000A74A0000}"/>
    <cellStyle name="Normal 2 2 2 31 4 3" xfId="19120" xr:uid="{00000000-0005-0000-0000-0000A84A0000}"/>
    <cellStyle name="Normal 2 2 2 31 4 4" xfId="19121" xr:uid="{00000000-0005-0000-0000-0000A94A0000}"/>
    <cellStyle name="Normal 2 2 2 31 4 5" xfId="19122" xr:uid="{00000000-0005-0000-0000-0000AA4A0000}"/>
    <cellStyle name="Normal 2 2 2 31 4 6" xfId="19123" xr:uid="{00000000-0005-0000-0000-0000AB4A0000}"/>
    <cellStyle name="Normal 2 2 2 31 4 7" xfId="19124" xr:uid="{00000000-0005-0000-0000-0000AC4A0000}"/>
    <cellStyle name="Normal 2 2 2 31 4 8" xfId="19125" xr:uid="{00000000-0005-0000-0000-0000AD4A0000}"/>
    <cellStyle name="Normal 2 2 2 31 4 9" xfId="19126" xr:uid="{00000000-0005-0000-0000-0000AE4A0000}"/>
    <cellStyle name="Normal 2 2 2 31 5" xfId="19127" xr:uid="{00000000-0005-0000-0000-0000AF4A0000}"/>
    <cellStyle name="Normal 2 2 2 31 5 10" xfId="19128" xr:uid="{00000000-0005-0000-0000-0000B04A0000}"/>
    <cellStyle name="Normal 2 2 2 31 5 2" xfId="19129" xr:uid="{00000000-0005-0000-0000-0000B14A0000}"/>
    <cellStyle name="Normal 2 2 2 31 5 3" xfId="19130" xr:uid="{00000000-0005-0000-0000-0000B24A0000}"/>
    <cellStyle name="Normal 2 2 2 31 5 4" xfId="19131" xr:uid="{00000000-0005-0000-0000-0000B34A0000}"/>
    <cellStyle name="Normal 2 2 2 31 5 5" xfId="19132" xr:uid="{00000000-0005-0000-0000-0000B44A0000}"/>
    <cellStyle name="Normal 2 2 2 31 5 6" xfId="19133" xr:uid="{00000000-0005-0000-0000-0000B54A0000}"/>
    <cellStyle name="Normal 2 2 2 31 5 7" xfId="19134" xr:uid="{00000000-0005-0000-0000-0000B64A0000}"/>
    <cellStyle name="Normal 2 2 2 31 5 8" xfId="19135" xr:uid="{00000000-0005-0000-0000-0000B74A0000}"/>
    <cellStyle name="Normal 2 2 2 31 5 9" xfId="19136" xr:uid="{00000000-0005-0000-0000-0000B84A0000}"/>
    <cellStyle name="Normal 2 2 2 31 6" xfId="19137" xr:uid="{00000000-0005-0000-0000-0000B94A0000}"/>
    <cellStyle name="Normal 2 2 2 31 7" xfId="19138" xr:uid="{00000000-0005-0000-0000-0000BA4A0000}"/>
    <cellStyle name="Normal 2 2 2 31 8" xfId="19139" xr:uid="{00000000-0005-0000-0000-0000BB4A0000}"/>
    <cellStyle name="Normal 2 2 2 31 9" xfId="19140" xr:uid="{00000000-0005-0000-0000-0000BC4A0000}"/>
    <cellStyle name="Normal 2 2 2 32" xfId="19141" xr:uid="{00000000-0005-0000-0000-0000BD4A0000}"/>
    <cellStyle name="Normal 2 2 2 32 10" xfId="19142" xr:uid="{00000000-0005-0000-0000-0000BE4A0000}"/>
    <cellStyle name="Normal 2 2 2 32 11" xfId="19143" xr:uid="{00000000-0005-0000-0000-0000BF4A0000}"/>
    <cellStyle name="Normal 2 2 2 32 12" xfId="19144" xr:uid="{00000000-0005-0000-0000-0000C04A0000}"/>
    <cellStyle name="Normal 2 2 2 32 13" xfId="19145" xr:uid="{00000000-0005-0000-0000-0000C14A0000}"/>
    <cellStyle name="Normal 2 2 2 32 14" xfId="19146" xr:uid="{00000000-0005-0000-0000-0000C24A0000}"/>
    <cellStyle name="Normal 2 2 2 32 2" xfId="19147" xr:uid="{00000000-0005-0000-0000-0000C34A0000}"/>
    <cellStyle name="Normal 2 2 2 32 2 10" xfId="19148" xr:uid="{00000000-0005-0000-0000-0000C44A0000}"/>
    <cellStyle name="Normal 2 2 2 32 2 2" xfId="19149" xr:uid="{00000000-0005-0000-0000-0000C54A0000}"/>
    <cellStyle name="Normal 2 2 2 32 2 3" xfId="19150" xr:uid="{00000000-0005-0000-0000-0000C64A0000}"/>
    <cellStyle name="Normal 2 2 2 32 2 4" xfId="19151" xr:uid="{00000000-0005-0000-0000-0000C74A0000}"/>
    <cellStyle name="Normal 2 2 2 32 2 5" xfId="19152" xr:uid="{00000000-0005-0000-0000-0000C84A0000}"/>
    <cellStyle name="Normal 2 2 2 32 2 6" xfId="19153" xr:uid="{00000000-0005-0000-0000-0000C94A0000}"/>
    <cellStyle name="Normal 2 2 2 32 2 7" xfId="19154" xr:uid="{00000000-0005-0000-0000-0000CA4A0000}"/>
    <cellStyle name="Normal 2 2 2 32 2 8" xfId="19155" xr:uid="{00000000-0005-0000-0000-0000CB4A0000}"/>
    <cellStyle name="Normal 2 2 2 32 2 9" xfId="19156" xr:uid="{00000000-0005-0000-0000-0000CC4A0000}"/>
    <cellStyle name="Normal 2 2 2 32 3" xfId="19157" xr:uid="{00000000-0005-0000-0000-0000CD4A0000}"/>
    <cellStyle name="Normal 2 2 2 32 3 10" xfId="19158" xr:uid="{00000000-0005-0000-0000-0000CE4A0000}"/>
    <cellStyle name="Normal 2 2 2 32 3 2" xfId="19159" xr:uid="{00000000-0005-0000-0000-0000CF4A0000}"/>
    <cellStyle name="Normal 2 2 2 32 3 3" xfId="19160" xr:uid="{00000000-0005-0000-0000-0000D04A0000}"/>
    <cellStyle name="Normal 2 2 2 32 3 4" xfId="19161" xr:uid="{00000000-0005-0000-0000-0000D14A0000}"/>
    <cellStyle name="Normal 2 2 2 32 3 5" xfId="19162" xr:uid="{00000000-0005-0000-0000-0000D24A0000}"/>
    <cellStyle name="Normal 2 2 2 32 3 6" xfId="19163" xr:uid="{00000000-0005-0000-0000-0000D34A0000}"/>
    <cellStyle name="Normal 2 2 2 32 3 7" xfId="19164" xr:uid="{00000000-0005-0000-0000-0000D44A0000}"/>
    <cellStyle name="Normal 2 2 2 32 3 8" xfId="19165" xr:uid="{00000000-0005-0000-0000-0000D54A0000}"/>
    <cellStyle name="Normal 2 2 2 32 3 9" xfId="19166" xr:uid="{00000000-0005-0000-0000-0000D64A0000}"/>
    <cellStyle name="Normal 2 2 2 32 4" xfId="19167" xr:uid="{00000000-0005-0000-0000-0000D74A0000}"/>
    <cellStyle name="Normal 2 2 2 32 4 10" xfId="19168" xr:uid="{00000000-0005-0000-0000-0000D84A0000}"/>
    <cellStyle name="Normal 2 2 2 32 4 2" xfId="19169" xr:uid="{00000000-0005-0000-0000-0000D94A0000}"/>
    <cellStyle name="Normal 2 2 2 32 4 3" xfId="19170" xr:uid="{00000000-0005-0000-0000-0000DA4A0000}"/>
    <cellStyle name="Normal 2 2 2 32 4 4" xfId="19171" xr:uid="{00000000-0005-0000-0000-0000DB4A0000}"/>
    <cellStyle name="Normal 2 2 2 32 4 5" xfId="19172" xr:uid="{00000000-0005-0000-0000-0000DC4A0000}"/>
    <cellStyle name="Normal 2 2 2 32 4 6" xfId="19173" xr:uid="{00000000-0005-0000-0000-0000DD4A0000}"/>
    <cellStyle name="Normal 2 2 2 32 4 7" xfId="19174" xr:uid="{00000000-0005-0000-0000-0000DE4A0000}"/>
    <cellStyle name="Normal 2 2 2 32 4 8" xfId="19175" xr:uid="{00000000-0005-0000-0000-0000DF4A0000}"/>
    <cellStyle name="Normal 2 2 2 32 4 9" xfId="19176" xr:uid="{00000000-0005-0000-0000-0000E04A0000}"/>
    <cellStyle name="Normal 2 2 2 32 5" xfId="19177" xr:uid="{00000000-0005-0000-0000-0000E14A0000}"/>
    <cellStyle name="Normal 2 2 2 32 5 10" xfId="19178" xr:uid="{00000000-0005-0000-0000-0000E24A0000}"/>
    <cellStyle name="Normal 2 2 2 32 5 2" xfId="19179" xr:uid="{00000000-0005-0000-0000-0000E34A0000}"/>
    <cellStyle name="Normal 2 2 2 32 5 3" xfId="19180" xr:uid="{00000000-0005-0000-0000-0000E44A0000}"/>
    <cellStyle name="Normal 2 2 2 32 5 4" xfId="19181" xr:uid="{00000000-0005-0000-0000-0000E54A0000}"/>
    <cellStyle name="Normal 2 2 2 32 5 5" xfId="19182" xr:uid="{00000000-0005-0000-0000-0000E64A0000}"/>
    <cellStyle name="Normal 2 2 2 32 5 6" xfId="19183" xr:uid="{00000000-0005-0000-0000-0000E74A0000}"/>
    <cellStyle name="Normal 2 2 2 32 5 7" xfId="19184" xr:uid="{00000000-0005-0000-0000-0000E84A0000}"/>
    <cellStyle name="Normal 2 2 2 32 5 8" xfId="19185" xr:uid="{00000000-0005-0000-0000-0000E94A0000}"/>
    <cellStyle name="Normal 2 2 2 32 5 9" xfId="19186" xr:uid="{00000000-0005-0000-0000-0000EA4A0000}"/>
    <cellStyle name="Normal 2 2 2 32 6" xfId="19187" xr:uid="{00000000-0005-0000-0000-0000EB4A0000}"/>
    <cellStyle name="Normal 2 2 2 32 7" xfId="19188" xr:uid="{00000000-0005-0000-0000-0000EC4A0000}"/>
    <cellStyle name="Normal 2 2 2 32 8" xfId="19189" xr:uid="{00000000-0005-0000-0000-0000ED4A0000}"/>
    <cellStyle name="Normal 2 2 2 32 9" xfId="19190" xr:uid="{00000000-0005-0000-0000-0000EE4A0000}"/>
    <cellStyle name="Normal 2 2 2 33" xfId="19191" xr:uid="{00000000-0005-0000-0000-0000EF4A0000}"/>
    <cellStyle name="Normal 2 2 2 33 10" xfId="19192" xr:uid="{00000000-0005-0000-0000-0000F04A0000}"/>
    <cellStyle name="Normal 2 2 2 33 11" xfId="19193" xr:uid="{00000000-0005-0000-0000-0000F14A0000}"/>
    <cellStyle name="Normal 2 2 2 33 12" xfId="19194" xr:uid="{00000000-0005-0000-0000-0000F24A0000}"/>
    <cellStyle name="Normal 2 2 2 33 13" xfId="19195" xr:uid="{00000000-0005-0000-0000-0000F34A0000}"/>
    <cellStyle name="Normal 2 2 2 33 14" xfId="19196" xr:uid="{00000000-0005-0000-0000-0000F44A0000}"/>
    <cellStyle name="Normal 2 2 2 33 2" xfId="19197" xr:uid="{00000000-0005-0000-0000-0000F54A0000}"/>
    <cellStyle name="Normal 2 2 2 33 2 10" xfId="19198" xr:uid="{00000000-0005-0000-0000-0000F64A0000}"/>
    <cellStyle name="Normal 2 2 2 33 2 2" xfId="19199" xr:uid="{00000000-0005-0000-0000-0000F74A0000}"/>
    <cellStyle name="Normal 2 2 2 33 2 3" xfId="19200" xr:uid="{00000000-0005-0000-0000-0000F84A0000}"/>
    <cellStyle name="Normal 2 2 2 33 2 4" xfId="19201" xr:uid="{00000000-0005-0000-0000-0000F94A0000}"/>
    <cellStyle name="Normal 2 2 2 33 2 5" xfId="19202" xr:uid="{00000000-0005-0000-0000-0000FA4A0000}"/>
    <cellStyle name="Normal 2 2 2 33 2 6" xfId="19203" xr:uid="{00000000-0005-0000-0000-0000FB4A0000}"/>
    <cellStyle name="Normal 2 2 2 33 2 7" xfId="19204" xr:uid="{00000000-0005-0000-0000-0000FC4A0000}"/>
    <cellStyle name="Normal 2 2 2 33 2 8" xfId="19205" xr:uid="{00000000-0005-0000-0000-0000FD4A0000}"/>
    <cellStyle name="Normal 2 2 2 33 2 9" xfId="19206" xr:uid="{00000000-0005-0000-0000-0000FE4A0000}"/>
    <cellStyle name="Normal 2 2 2 33 3" xfId="19207" xr:uid="{00000000-0005-0000-0000-0000FF4A0000}"/>
    <cellStyle name="Normal 2 2 2 33 3 10" xfId="19208" xr:uid="{00000000-0005-0000-0000-0000004B0000}"/>
    <cellStyle name="Normal 2 2 2 33 3 2" xfId="19209" xr:uid="{00000000-0005-0000-0000-0000014B0000}"/>
    <cellStyle name="Normal 2 2 2 33 3 3" xfId="19210" xr:uid="{00000000-0005-0000-0000-0000024B0000}"/>
    <cellStyle name="Normal 2 2 2 33 3 4" xfId="19211" xr:uid="{00000000-0005-0000-0000-0000034B0000}"/>
    <cellStyle name="Normal 2 2 2 33 3 5" xfId="19212" xr:uid="{00000000-0005-0000-0000-0000044B0000}"/>
    <cellStyle name="Normal 2 2 2 33 3 6" xfId="19213" xr:uid="{00000000-0005-0000-0000-0000054B0000}"/>
    <cellStyle name="Normal 2 2 2 33 3 7" xfId="19214" xr:uid="{00000000-0005-0000-0000-0000064B0000}"/>
    <cellStyle name="Normal 2 2 2 33 3 8" xfId="19215" xr:uid="{00000000-0005-0000-0000-0000074B0000}"/>
    <cellStyle name="Normal 2 2 2 33 3 9" xfId="19216" xr:uid="{00000000-0005-0000-0000-0000084B0000}"/>
    <cellStyle name="Normal 2 2 2 33 4" xfId="19217" xr:uid="{00000000-0005-0000-0000-0000094B0000}"/>
    <cellStyle name="Normal 2 2 2 33 4 10" xfId="19218" xr:uid="{00000000-0005-0000-0000-00000A4B0000}"/>
    <cellStyle name="Normal 2 2 2 33 4 2" xfId="19219" xr:uid="{00000000-0005-0000-0000-00000B4B0000}"/>
    <cellStyle name="Normal 2 2 2 33 4 3" xfId="19220" xr:uid="{00000000-0005-0000-0000-00000C4B0000}"/>
    <cellStyle name="Normal 2 2 2 33 4 4" xfId="19221" xr:uid="{00000000-0005-0000-0000-00000D4B0000}"/>
    <cellStyle name="Normal 2 2 2 33 4 5" xfId="19222" xr:uid="{00000000-0005-0000-0000-00000E4B0000}"/>
    <cellStyle name="Normal 2 2 2 33 4 6" xfId="19223" xr:uid="{00000000-0005-0000-0000-00000F4B0000}"/>
    <cellStyle name="Normal 2 2 2 33 4 7" xfId="19224" xr:uid="{00000000-0005-0000-0000-0000104B0000}"/>
    <cellStyle name="Normal 2 2 2 33 4 8" xfId="19225" xr:uid="{00000000-0005-0000-0000-0000114B0000}"/>
    <cellStyle name="Normal 2 2 2 33 4 9" xfId="19226" xr:uid="{00000000-0005-0000-0000-0000124B0000}"/>
    <cellStyle name="Normal 2 2 2 33 5" xfId="19227" xr:uid="{00000000-0005-0000-0000-0000134B0000}"/>
    <cellStyle name="Normal 2 2 2 33 5 10" xfId="19228" xr:uid="{00000000-0005-0000-0000-0000144B0000}"/>
    <cellStyle name="Normal 2 2 2 33 5 2" xfId="19229" xr:uid="{00000000-0005-0000-0000-0000154B0000}"/>
    <cellStyle name="Normal 2 2 2 33 5 3" xfId="19230" xr:uid="{00000000-0005-0000-0000-0000164B0000}"/>
    <cellStyle name="Normal 2 2 2 33 5 4" xfId="19231" xr:uid="{00000000-0005-0000-0000-0000174B0000}"/>
    <cellStyle name="Normal 2 2 2 33 5 5" xfId="19232" xr:uid="{00000000-0005-0000-0000-0000184B0000}"/>
    <cellStyle name="Normal 2 2 2 33 5 6" xfId="19233" xr:uid="{00000000-0005-0000-0000-0000194B0000}"/>
    <cellStyle name="Normal 2 2 2 33 5 7" xfId="19234" xr:uid="{00000000-0005-0000-0000-00001A4B0000}"/>
    <cellStyle name="Normal 2 2 2 33 5 8" xfId="19235" xr:uid="{00000000-0005-0000-0000-00001B4B0000}"/>
    <cellStyle name="Normal 2 2 2 33 5 9" xfId="19236" xr:uid="{00000000-0005-0000-0000-00001C4B0000}"/>
    <cellStyle name="Normal 2 2 2 33 6" xfId="19237" xr:uid="{00000000-0005-0000-0000-00001D4B0000}"/>
    <cellStyle name="Normal 2 2 2 33 7" xfId="19238" xr:uid="{00000000-0005-0000-0000-00001E4B0000}"/>
    <cellStyle name="Normal 2 2 2 33 8" xfId="19239" xr:uid="{00000000-0005-0000-0000-00001F4B0000}"/>
    <cellStyle name="Normal 2 2 2 33 9" xfId="19240" xr:uid="{00000000-0005-0000-0000-0000204B0000}"/>
    <cellStyle name="Normal 2 2 2 34" xfId="19241" xr:uid="{00000000-0005-0000-0000-0000214B0000}"/>
    <cellStyle name="Normal 2 2 2 34 10" xfId="19242" xr:uid="{00000000-0005-0000-0000-0000224B0000}"/>
    <cellStyle name="Normal 2 2 2 34 11" xfId="19243" xr:uid="{00000000-0005-0000-0000-0000234B0000}"/>
    <cellStyle name="Normal 2 2 2 34 12" xfId="19244" xr:uid="{00000000-0005-0000-0000-0000244B0000}"/>
    <cellStyle name="Normal 2 2 2 34 13" xfId="19245" xr:uid="{00000000-0005-0000-0000-0000254B0000}"/>
    <cellStyle name="Normal 2 2 2 34 14" xfId="19246" xr:uid="{00000000-0005-0000-0000-0000264B0000}"/>
    <cellStyle name="Normal 2 2 2 34 2" xfId="19247" xr:uid="{00000000-0005-0000-0000-0000274B0000}"/>
    <cellStyle name="Normal 2 2 2 34 2 10" xfId="19248" xr:uid="{00000000-0005-0000-0000-0000284B0000}"/>
    <cellStyle name="Normal 2 2 2 34 2 2" xfId="19249" xr:uid="{00000000-0005-0000-0000-0000294B0000}"/>
    <cellStyle name="Normal 2 2 2 34 2 3" xfId="19250" xr:uid="{00000000-0005-0000-0000-00002A4B0000}"/>
    <cellStyle name="Normal 2 2 2 34 2 4" xfId="19251" xr:uid="{00000000-0005-0000-0000-00002B4B0000}"/>
    <cellStyle name="Normal 2 2 2 34 2 5" xfId="19252" xr:uid="{00000000-0005-0000-0000-00002C4B0000}"/>
    <cellStyle name="Normal 2 2 2 34 2 6" xfId="19253" xr:uid="{00000000-0005-0000-0000-00002D4B0000}"/>
    <cellStyle name="Normal 2 2 2 34 2 7" xfId="19254" xr:uid="{00000000-0005-0000-0000-00002E4B0000}"/>
    <cellStyle name="Normal 2 2 2 34 2 8" xfId="19255" xr:uid="{00000000-0005-0000-0000-00002F4B0000}"/>
    <cellStyle name="Normal 2 2 2 34 2 9" xfId="19256" xr:uid="{00000000-0005-0000-0000-0000304B0000}"/>
    <cellStyle name="Normal 2 2 2 34 3" xfId="19257" xr:uid="{00000000-0005-0000-0000-0000314B0000}"/>
    <cellStyle name="Normal 2 2 2 34 3 10" xfId="19258" xr:uid="{00000000-0005-0000-0000-0000324B0000}"/>
    <cellStyle name="Normal 2 2 2 34 3 2" xfId="19259" xr:uid="{00000000-0005-0000-0000-0000334B0000}"/>
    <cellStyle name="Normal 2 2 2 34 3 3" xfId="19260" xr:uid="{00000000-0005-0000-0000-0000344B0000}"/>
    <cellStyle name="Normal 2 2 2 34 3 4" xfId="19261" xr:uid="{00000000-0005-0000-0000-0000354B0000}"/>
    <cellStyle name="Normal 2 2 2 34 3 5" xfId="19262" xr:uid="{00000000-0005-0000-0000-0000364B0000}"/>
    <cellStyle name="Normal 2 2 2 34 3 6" xfId="19263" xr:uid="{00000000-0005-0000-0000-0000374B0000}"/>
    <cellStyle name="Normal 2 2 2 34 3 7" xfId="19264" xr:uid="{00000000-0005-0000-0000-0000384B0000}"/>
    <cellStyle name="Normal 2 2 2 34 3 8" xfId="19265" xr:uid="{00000000-0005-0000-0000-0000394B0000}"/>
    <cellStyle name="Normal 2 2 2 34 3 9" xfId="19266" xr:uid="{00000000-0005-0000-0000-00003A4B0000}"/>
    <cellStyle name="Normal 2 2 2 34 4" xfId="19267" xr:uid="{00000000-0005-0000-0000-00003B4B0000}"/>
    <cellStyle name="Normal 2 2 2 34 4 10" xfId="19268" xr:uid="{00000000-0005-0000-0000-00003C4B0000}"/>
    <cellStyle name="Normal 2 2 2 34 4 2" xfId="19269" xr:uid="{00000000-0005-0000-0000-00003D4B0000}"/>
    <cellStyle name="Normal 2 2 2 34 4 3" xfId="19270" xr:uid="{00000000-0005-0000-0000-00003E4B0000}"/>
    <cellStyle name="Normal 2 2 2 34 4 4" xfId="19271" xr:uid="{00000000-0005-0000-0000-00003F4B0000}"/>
    <cellStyle name="Normal 2 2 2 34 4 5" xfId="19272" xr:uid="{00000000-0005-0000-0000-0000404B0000}"/>
    <cellStyle name="Normal 2 2 2 34 4 6" xfId="19273" xr:uid="{00000000-0005-0000-0000-0000414B0000}"/>
    <cellStyle name="Normal 2 2 2 34 4 7" xfId="19274" xr:uid="{00000000-0005-0000-0000-0000424B0000}"/>
    <cellStyle name="Normal 2 2 2 34 4 8" xfId="19275" xr:uid="{00000000-0005-0000-0000-0000434B0000}"/>
    <cellStyle name="Normal 2 2 2 34 4 9" xfId="19276" xr:uid="{00000000-0005-0000-0000-0000444B0000}"/>
    <cellStyle name="Normal 2 2 2 34 5" xfId="19277" xr:uid="{00000000-0005-0000-0000-0000454B0000}"/>
    <cellStyle name="Normal 2 2 2 34 5 10" xfId="19278" xr:uid="{00000000-0005-0000-0000-0000464B0000}"/>
    <cellStyle name="Normal 2 2 2 34 5 2" xfId="19279" xr:uid="{00000000-0005-0000-0000-0000474B0000}"/>
    <cellStyle name="Normal 2 2 2 34 5 3" xfId="19280" xr:uid="{00000000-0005-0000-0000-0000484B0000}"/>
    <cellStyle name="Normal 2 2 2 34 5 4" xfId="19281" xr:uid="{00000000-0005-0000-0000-0000494B0000}"/>
    <cellStyle name="Normal 2 2 2 34 5 5" xfId="19282" xr:uid="{00000000-0005-0000-0000-00004A4B0000}"/>
    <cellStyle name="Normal 2 2 2 34 5 6" xfId="19283" xr:uid="{00000000-0005-0000-0000-00004B4B0000}"/>
    <cellStyle name="Normal 2 2 2 34 5 7" xfId="19284" xr:uid="{00000000-0005-0000-0000-00004C4B0000}"/>
    <cellStyle name="Normal 2 2 2 34 5 8" xfId="19285" xr:uid="{00000000-0005-0000-0000-00004D4B0000}"/>
    <cellStyle name="Normal 2 2 2 34 5 9" xfId="19286" xr:uid="{00000000-0005-0000-0000-00004E4B0000}"/>
    <cellStyle name="Normal 2 2 2 34 6" xfId="19287" xr:uid="{00000000-0005-0000-0000-00004F4B0000}"/>
    <cellStyle name="Normal 2 2 2 34 7" xfId="19288" xr:uid="{00000000-0005-0000-0000-0000504B0000}"/>
    <cellStyle name="Normal 2 2 2 34 8" xfId="19289" xr:uid="{00000000-0005-0000-0000-0000514B0000}"/>
    <cellStyle name="Normal 2 2 2 34 9" xfId="19290" xr:uid="{00000000-0005-0000-0000-0000524B0000}"/>
    <cellStyle name="Normal 2 2 2 35" xfId="19291" xr:uid="{00000000-0005-0000-0000-0000534B0000}"/>
    <cellStyle name="Normal 2 2 2 35 10" xfId="19292" xr:uid="{00000000-0005-0000-0000-0000544B0000}"/>
    <cellStyle name="Normal 2 2 2 35 11" xfId="19293" xr:uid="{00000000-0005-0000-0000-0000554B0000}"/>
    <cellStyle name="Normal 2 2 2 35 12" xfId="19294" xr:uid="{00000000-0005-0000-0000-0000564B0000}"/>
    <cellStyle name="Normal 2 2 2 35 13" xfId="19295" xr:uid="{00000000-0005-0000-0000-0000574B0000}"/>
    <cellStyle name="Normal 2 2 2 35 14" xfId="19296" xr:uid="{00000000-0005-0000-0000-0000584B0000}"/>
    <cellStyle name="Normal 2 2 2 35 2" xfId="19297" xr:uid="{00000000-0005-0000-0000-0000594B0000}"/>
    <cellStyle name="Normal 2 2 2 35 2 10" xfId="19298" xr:uid="{00000000-0005-0000-0000-00005A4B0000}"/>
    <cellStyle name="Normal 2 2 2 35 2 2" xfId="19299" xr:uid="{00000000-0005-0000-0000-00005B4B0000}"/>
    <cellStyle name="Normal 2 2 2 35 2 3" xfId="19300" xr:uid="{00000000-0005-0000-0000-00005C4B0000}"/>
    <cellStyle name="Normal 2 2 2 35 2 4" xfId="19301" xr:uid="{00000000-0005-0000-0000-00005D4B0000}"/>
    <cellStyle name="Normal 2 2 2 35 2 5" xfId="19302" xr:uid="{00000000-0005-0000-0000-00005E4B0000}"/>
    <cellStyle name="Normal 2 2 2 35 2 6" xfId="19303" xr:uid="{00000000-0005-0000-0000-00005F4B0000}"/>
    <cellStyle name="Normal 2 2 2 35 2 7" xfId="19304" xr:uid="{00000000-0005-0000-0000-0000604B0000}"/>
    <cellStyle name="Normal 2 2 2 35 2 8" xfId="19305" xr:uid="{00000000-0005-0000-0000-0000614B0000}"/>
    <cellStyle name="Normal 2 2 2 35 2 9" xfId="19306" xr:uid="{00000000-0005-0000-0000-0000624B0000}"/>
    <cellStyle name="Normal 2 2 2 35 3" xfId="19307" xr:uid="{00000000-0005-0000-0000-0000634B0000}"/>
    <cellStyle name="Normal 2 2 2 35 3 10" xfId="19308" xr:uid="{00000000-0005-0000-0000-0000644B0000}"/>
    <cellStyle name="Normal 2 2 2 35 3 2" xfId="19309" xr:uid="{00000000-0005-0000-0000-0000654B0000}"/>
    <cellStyle name="Normal 2 2 2 35 3 3" xfId="19310" xr:uid="{00000000-0005-0000-0000-0000664B0000}"/>
    <cellStyle name="Normal 2 2 2 35 3 4" xfId="19311" xr:uid="{00000000-0005-0000-0000-0000674B0000}"/>
    <cellStyle name="Normal 2 2 2 35 3 5" xfId="19312" xr:uid="{00000000-0005-0000-0000-0000684B0000}"/>
    <cellStyle name="Normal 2 2 2 35 3 6" xfId="19313" xr:uid="{00000000-0005-0000-0000-0000694B0000}"/>
    <cellStyle name="Normal 2 2 2 35 3 7" xfId="19314" xr:uid="{00000000-0005-0000-0000-00006A4B0000}"/>
    <cellStyle name="Normal 2 2 2 35 3 8" xfId="19315" xr:uid="{00000000-0005-0000-0000-00006B4B0000}"/>
    <cellStyle name="Normal 2 2 2 35 3 9" xfId="19316" xr:uid="{00000000-0005-0000-0000-00006C4B0000}"/>
    <cellStyle name="Normal 2 2 2 35 4" xfId="19317" xr:uid="{00000000-0005-0000-0000-00006D4B0000}"/>
    <cellStyle name="Normal 2 2 2 35 4 10" xfId="19318" xr:uid="{00000000-0005-0000-0000-00006E4B0000}"/>
    <cellStyle name="Normal 2 2 2 35 4 2" xfId="19319" xr:uid="{00000000-0005-0000-0000-00006F4B0000}"/>
    <cellStyle name="Normal 2 2 2 35 4 3" xfId="19320" xr:uid="{00000000-0005-0000-0000-0000704B0000}"/>
    <cellStyle name="Normal 2 2 2 35 4 4" xfId="19321" xr:uid="{00000000-0005-0000-0000-0000714B0000}"/>
    <cellStyle name="Normal 2 2 2 35 4 5" xfId="19322" xr:uid="{00000000-0005-0000-0000-0000724B0000}"/>
    <cellStyle name="Normal 2 2 2 35 4 6" xfId="19323" xr:uid="{00000000-0005-0000-0000-0000734B0000}"/>
    <cellStyle name="Normal 2 2 2 35 4 7" xfId="19324" xr:uid="{00000000-0005-0000-0000-0000744B0000}"/>
    <cellStyle name="Normal 2 2 2 35 4 8" xfId="19325" xr:uid="{00000000-0005-0000-0000-0000754B0000}"/>
    <cellStyle name="Normal 2 2 2 35 4 9" xfId="19326" xr:uid="{00000000-0005-0000-0000-0000764B0000}"/>
    <cellStyle name="Normal 2 2 2 35 5" xfId="19327" xr:uid="{00000000-0005-0000-0000-0000774B0000}"/>
    <cellStyle name="Normal 2 2 2 35 5 10" xfId="19328" xr:uid="{00000000-0005-0000-0000-0000784B0000}"/>
    <cellStyle name="Normal 2 2 2 35 5 2" xfId="19329" xr:uid="{00000000-0005-0000-0000-0000794B0000}"/>
    <cellStyle name="Normal 2 2 2 35 5 3" xfId="19330" xr:uid="{00000000-0005-0000-0000-00007A4B0000}"/>
    <cellStyle name="Normal 2 2 2 35 5 4" xfId="19331" xr:uid="{00000000-0005-0000-0000-00007B4B0000}"/>
    <cellStyle name="Normal 2 2 2 35 5 5" xfId="19332" xr:uid="{00000000-0005-0000-0000-00007C4B0000}"/>
    <cellStyle name="Normal 2 2 2 35 5 6" xfId="19333" xr:uid="{00000000-0005-0000-0000-00007D4B0000}"/>
    <cellStyle name="Normal 2 2 2 35 5 7" xfId="19334" xr:uid="{00000000-0005-0000-0000-00007E4B0000}"/>
    <cellStyle name="Normal 2 2 2 35 5 8" xfId="19335" xr:uid="{00000000-0005-0000-0000-00007F4B0000}"/>
    <cellStyle name="Normal 2 2 2 35 5 9" xfId="19336" xr:uid="{00000000-0005-0000-0000-0000804B0000}"/>
    <cellStyle name="Normal 2 2 2 35 6" xfId="19337" xr:uid="{00000000-0005-0000-0000-0000814B0000}"/>
    <cellStyle name="Normal 2 2 2 35 7" xfId="19338" xr:uid="{00000000-0005-0000-0000-0000824B0000}"/>
    <cellStyle name="Normal 2 2 2 35 8" xfId="19339" xr:uid="{00000000-0005-0000-0000-0000834B0000}"/>
    <cellStyle name="Normal 2 2 2 35 9" xfId="19340" xr:uid="{00000000-0005-0000-0000-0000844B0000}"/>
    <cellStyle name="Normal 2 2 2 36" xfId="19341" xr:uid="{00000000-0005-0000-0000-0000854B0000}"/>
    <cellStyle name="Normal 2 2 2 36 10" xfId="19342" xr:uid="{00000000-0005-0000-0000-0000864B0000}"/>
    <cellStyle name="Normal 2 2 2 36 2" xfId="19343" xr:uid="{00000000-0005-0000-0000-0000874B0000}"/>
    <cellStyle name="Normal 2 2 2 36 3" xfId="19344" xr:uid="{00000000-0005-0000-0000-0000884B0000}"/>
    <cellStyle name="Normal 2 2 2 36 4" xfId="19345" xr:uid="{00000000-0005-0000-0000-0000894B0000}"/>
    <cellStyle name="Normal 2 2 2 36 5" xfId="19346" xr:uid="{00000000-0005-0000-0000-00008A4B0000}"/>
    <cellStyle name="Normal 2 2 2 36 6" xfId="19347" xr:uid="{00000000-0005-0000-0000-00008B4B0000}"/>
    <cellStyle name="Normal 2 2 2 36 7" xfId="19348" xr:uid="{00000000-0005-0000-0000-00008C4B0000}"/>
    <cellStyle name="Normal 2 2 2 36 8" xfId="19349" xr:uid="{00000000-0005-0000-0000-00008D4B0000}"/>
    <cellStyle name="Normal 2 2 2 36 9" xfId="19350" xr:uid="{00000000-0005-0000-0000-00008E4B0000}"/>
    <cellStyle name="Normal 2 2 2 37" xfId="19351" xr:uid="{00000000-0005-0000-0000-00008F4B0000}"/>
    <cellStyle name="Normal 2 2 2 37 10" xfId="19352" xr:uid="{00000000-0005-0000-0000-0000904B0000}"/>
    <cellStyle name="Normal 2 2 2 37 2" xfId="19353" xr:uid="{00000000-0005-0000-0000-0000914B0000}"/>
    <cellStyle name="Normal 2 2 2 37 3" xfId="19354" xr:uid="{00000000-0005-0000-0000-0000924B0000}"/>
    <cellStyle name="Normal 2 2 2 37 4" xfId="19355" xr:uid="{00000000-0005-0000-0000-0000934B0000}"/>
    <cellStyle name="Normal 2 2 2 37 5" xfId="19356" xr:uid="{00000000-0005-0000-0000-0000944B0000}"/>
    <cellStyle name="Normal 2 2 2 37 6" xfId="19357" xr:uid="{00000000-0005-0000-0000-0000954B0000}"/>
    <cellStyle name="Normal 2 2 2 37 7" xfId="19358" xr:uid="{00000000-0005-0000-0000-0000964B0000}"/>
    <cellStyle name="Normal 2 2 2 37 8" xfId="19359" xr:uid="{00000000-0005-0000-0000-0000974B0000}"/>
    <cellStyle name="Normal 2 2 2 37 9" xfId="19360" xr:uid="{00000000-0005-0000-0000-0000984B0000}"/>
    <cellStyle name="Normal 2 2 2 38" xfId="19361" xr:uid="{00000000-0005-0000-0000-0000994B0000}"/>
    <cellStyle name="Normal 2 2 2 38 10" xfId="19362" xr:uid="{00000000-0005-0000-0000-00009A4B0000}"/>
    <cellStyle name="Normal 2 2 2 38 2" xfId="19363" xr:uid="{00000000-0005-0000-0000-00009B4B0000}"/>
    <cellStyle name="Normal 2 2 2 38 3" xfId="19364" xr:uid="{00000000-0005-0000-0000-00009C4B0000}"/>
    <cellStyle name="Normal 2 2 2 38 4" xfId="19365" xr:uid="{00000000-0005-0000-0000-00009D4B0000}"/>
    <cellStyle name="Normal 2 2 2 38 5" xfId="19366" xr:uid="{00000000-0005-0000-0000-00009E4B0000}"/>
    <cellStyle name="Normal 2 2 2 38 6" xfId="19367" xr:uid="{00000000-0005-0000-0000-00009F4B0000}"/>
    <cellStyle name="Normal 2 2 2 38 7" xfId="19368" xr:uid="{00000000-0005-0000-0000-0000A04B0000}"/>
    <cellStyle name="Normal 2 2 2 38 8" xfId="19369" xr:uid="{00000000-0005-0000-0000-0000A14B0000}"/>
    <cellStyle name="Normal 2 2 2 38 9" xfId="19370" xr:uid="{00000000-0005-0000-0000-0000A24B0000}"/>
    <cellStyle name="Normal 2 2 2 39" xfId="19371" xr:uid="{00000000-0005-0000-0000-0000A34B0000}"/>
    <cellStyle name="Normal 2 2 2 39 10" xfId="19372" xr:uid="{00000000-0005-0000-0000-0000A44B0000}"/>
    <cellStyle name="Normal 2 2 2 39 2" xfId="19373" xr:uid="{00000000-0005-0000-0000-0000A54B0000}"/>
    <cellStyle name="Normal 2 2 2 39 3" xfId="19374" xr:uid="{00000000-0005-0000-0000-0000A64B0000}"/>
    <cellStyle name="Normal 2 2 2 39 4" xfId="19375" xr:uid="{00000000-0005-0000-0000-0000A74B0000}"/>
    <cellStyle name="Normal 2 2 2 39 5" xfId="19376" xr:uid="{00000000-0005-0000-0000-0000A84B0000}"/>
    <cellStyle name="Normal 2 2 2 39 6" xfId="19377" xr:uid="{00000000-0005-0000-0000-0000A94B0000}"/>
    <cellStyle name="Normal 2 2 2 39 7" xfId="19378" xr:uid="{00000000-0005-0000-0000-0000AA4B0000}"/>
    <cellStyle name="Normal 2 2 2 39 8" xfId="19379" xr:uid="{00000000-0005-0000-0000-0000AB4B0000}"/>
    <cellStyle name="Normal 2 2 2 39 9" xfId="19380" xr:uid="{00000000-0005-0000-0000-0000AC4B0000}"/>
    <cellStyle name="Normal 2 2 2 4" xfId="19381" xr:uid="{00000000-0005-0000-0000-0000AD4B0000}"/>
    <cellStyle name="Normal 2 2 2 4 10" xfId="19382" xr:uid="{00000000-0005-0000-0000-0000AE4B0000}"/>
    <cellStyle name="Normal 2 2 2 4 11" xfId="19383" xr:uid="{00000000-0005-0000-0000-0000AF4B0000}"/>
    <cellStyle name="Normal 2 2 2 4 12" xfId="19384" xr:uid="{00000000-0005-0000-0000-0000B04B0000}"/>
    <cellStyle name="Normal 2 2 2 4 13" xfId="19385" xr:uid="{00000000-0005-0000-0000-0000B14B0000}"/>
    <cellStyle name="Normal 2 2 2 4 14" xfId="19386" xr:uid="{00000000-0005-0000-0000-0000B24B0000}"/>
    <cellStyle name="Normal 2 2 2 4 15" xfId="19387" xr:uid="{00000000-0005-0000-0000-0000B34B0000}"/>
    <cellStyle name="Normal 2 2 2 4 16" xfId="19388" xr:uid="{00000000-0005-0000-0000-0000B44B0000}"/>
    <cellStyle name="Normal 2 2 2 4 17" xfId="19389" xr:uid="{00000000-0005-0000-0000-0000B54B0000}"/>
    <cellStyle name="Normal 2 2 2 4 18" xfId="19390" xr:uid="{00000000-0005-0000-0000-0000B64B0000}"/>
    <cellStyle name="Normal 2 2 2 4 19" xfId="19391" xr:uid="{00000000-0005-0000-0000-0000B74B0000}"/>
    <cellStyle name="Normal 2 2 2 4 2" xfId="19392" xr:uid="{00000000-0005-0000-0000-0000B84B0000}"/>
    <cellStyle name="Normal 2 2 2 4 2 10" xfId="19393" xr:uid="{00000000-0005-0000-0000-0000B94B0000}"/>
    <cellStyle name="Normal 2 2 2 4 2 10 10" xfId="19394" xr:uid="{00000000-0005-0000-0000-0000BA4B0000}"/>
    <cellStyle name="Normal 2 2 2 4 2 10 11" xfId="19395" xr:uid="{00000000-0005-0000-0000-0000BB4B0000}"/>
    <cellStyle name="Normal 2 2 2 4 2 10 12" xfId="19396" xr:uid="{00000000-0005-0000-0000-0000BC4B0000}"/>
    <cellStyle name="Normal 2 2 2 4 2 10 13" xfId="19397" xr:uid="{00000000-0005-0000-0000-0000BD4B0000}"/>
    <cellStyle name="Normal 2 2 2 4 2 10 14" xfId="19398" xr:uid="{00000000-0005-0000-0000-0000BE4B0000}"/>
    <cellStyle name="Normal 2 2 2 4 2 10 2" xfId="19399" xr:uid="{00000000-0005-0000-0000-0000BF4B0000}"/>
    <cellStyle name="Normal 2 2 2 4 2 10 2 10" xfId="19400" xr:uid="{00000000-0005-0000-0000-0000C04B0000}"/>
    <cellStyle name="Normal 2 2 2 4 2 10 2 2" xfId="19401" xr:uid="{00000000-0005-0000-0000-0000C14B0000}"/>
    <cellStyle name="Normal 2 2 2 4 2 10 2 3" xfId="19402" xr:uid="{00000000-0005-0000-0000-0000C24B0000}"/>
    <cellStyle name="Normal 2 2 2 4 2 10 2 4" xfId="19403" xr:uid="{00000000-0005-0000-0000-0000C34B0000}"/>
    <cellStyle name="Normal 2 2 2 4 2 10 2 5" xfId="19404" xr:uid="{00000000-0005-0000-0000-0000C44B0000}"/>
    <cellStyle name="Normal 2 2 2 4 2 10 2 6" xfId="19405" xr:uid="{00000000-0005-0000-0000-0000C54B0000}"/>
    <cellStyle name="Normal 2 2 2 4 2 10 2 7" xfId="19406" xr:uid="{00000000-0005-0000-0000-0000C64B0000}"/>
    <cellStyle name="Normal 2 2 2 4 2 10 2 8" xfId="19407" xr:uid="{00000000-0005-0000-0000-0000C74B0000}"/>
    <cellStyle name="Normal 2 2 2 4 2 10 2 9" xfId="19408" xr:uid="{00000000-0005-0000-0000-0000C84B0000}"/>
    <cellStyle name="Normal 2 2 2 4 2 10 3" xfId="19409" xr:uid="{00000000-0005-0000-0000-0000C94B0000}"/>
    <cellStyle name="Normal 2 2 2 4 2 10 3 10" xfId="19410" xr:uid="{00000000-0005-0000-0000-0000CA4B0000}"/>
    <cellStyle name="Normal 2 2 2 4 2 10 3 2" xfId="19411" xr:uid="{00000000-0005-0000-0000-0000CB4B0000}"/>
    <cellStyle name="Normal 2 2 2 4 2 10 3 3" xfId="19412" xr:uid="{00000000-0005-0000-0000-0000CC4B0000}"/>
    <cellStyle name="Normal 2 2 2 4 2 10 3 4" xfId="19413" xr:uid="{00000000-0005-0000-0000-0000CD4B0000}"/>
    <cellStyle name="Normal 2 2 2 4 2 10 3 5" xfId="19414" xr:uid="{00000000-0005-0000-0000-0000CE4B0000}"/>
    <cellStyle name="Normal 2 2 2 4 2 10 3 6" xfId="19415" xr:uid="{00000000-0005-0000-0000-0000CF4B0000}"/>
    <cellStyle name="Normal 2 2 2 4 2 10 3 7" xfId="19416" xr:uid="{00000000-0005-0000-0000-0000D04B0000}"/>
    <cellStyle name="Normal 2 2 2 4 2 10 3 8" xfId="19417" xr:uid="{00000000-0005-0000-0000-0000D14B0000}"/>
    <cellStyle name="Normal 2 2 2 4 2 10 3 9" xfId="19418" xr:uid="{00000000-0005-0000-0000-0000D24B0000}"/>
    <cellStyle name="Normal 2 2 2 4 2 10 4" xfId="19419" xr:uid="{00000000-0005-0000-0000-0000D34B0000}"/>
    <cellStyle name="Normal 2 2 2 4 2 10 4 10" xfId="19420" xr:uid="{00000000-0005-0000-0000-0000D44B0000}"/>
    <cellStyle name="Normal 2 2 2 4 2 10 4 2" xfId="19421" xr:uid="{00000000-0005-0000-0000-0000D54B0000}"/>
    <cellStyle name="Normal 2 2 2 4 2 10 4 3" xfId="19422" xr:uid="{00000000-0005-0000-0000-0000D64B0000}"/>
    <cellStyle name="Normal 2 2 2 4 2 10 4 4" xfId="19423" xr:uid="{00000000-0005-0000-0000-0000D74B0000}"/>
    <cellStyle name="Normal 2 2 2 4 2 10 4 5" xfId="19424" xr:uid="{00000000-0005-0000-0000-0000D84B0000}"/>
    <cellStyle name="Normal 2 2 2 4 2 10 4 6" xfId="19425" xr:uid="{00000000-0005-0000-0000-0000D94B0000}"/>
    <cellStyle name="Normal 2 2 2 4 2 10 4 7" xfId="19426" xr:uid="{00000000-0005-0000-0000-0000DA4B0000}"/>
    <cellStyle name="Normal 2 2 2 4 2 10 4 8" xfId="19427" xr:uid="{00000000-0005-0000-0000-0000DB4B0000}"/>
    <cellStyle name="Normal 2 2 2 4 2 10 4 9" xfId="19428" xr:uid="{00000000-0005-0000-0000-0000DC4B0000}"/>
    <cellStyle name="Normal 2 2 2 4 2 10 5" xfId="19429" xr:uid="{00000000-0005-0000-0000-0000DD4B0000}"/>
    <cellStyle name="Normal 2 2 2 4 2 10 5 10" xfId="19430" xr:uid="{00000000-0005-0000-0000-0000DE4B0000}"/>
    <cellStyle name="Normal 2 2 2 4 2 10 5 2" xfId="19431" xr:uid="{00000000-0005-0000-0000-0000DF4B0000}"/>
    <cellStyle name="Normal 2 2 2 4 2 10 5 3" xfId="19432" xr:uid="{00000000-0005-0000-0000-0000E04B0000}"/>
    <cellStyle name="Normal 2 2 2 4 2 10 5 4" xfId="19433" xr:uid="{00000000-0005-0000-0000-0000E14B0000}"/>
    <cellStyle name="Normal 2 2 2 4 2 10 5 5" xfId="19434" xr:uid="{00000000-0005-0000-0000-0000E24B0000}"/>
    <cellStyle name="Normal 2 2 2 4 2 10 5 6" xfId="19435" xr:uid="{00000000-0005-0000-0000-0000E34B0000}"/>
    <cellStyle name="Normal 2 2 2 4 2 10 5 7" xfId="19436" xr:uid="{00000000-0005-0000-0000-0000E44B0000}"/>
    <cellStyle name="Normal 2 2 2 4 2 10 5 8" xfId="19437" xr:uid="{00000000-0005-0000-0000-0000E54B0000}"/>
    <cellStyle name="Normal 2 2 2 4 2 10 5 9" xfId="19438" xr:uid="{00000000-0005-0000-0000-0000E64B0000}"/>
    <cellStyle name="Normal 2 2 2 4 2 10 6" xfId="19439" xr:uid="{00000000-0005-0000-0000-0000E74B0000}"/>
    <cellStyle name="Normal 2 2 2 4 2 10 7" xfId="19440" xr:uid="{00000000-0005-0000-0000-0000E84B0000}"/>
    <cellStyle name="Normal 2 2 2 4 2 10 8" xfId="19441" xr:uid="{00000000-0005-0000-0000-0000E94B0000}"/>
    <cellStyle name="Normal 2 2 2 4 2 10 9" xfId="19442" xr:uid="{00000000-0005-0000-0000-0000EA4B0000}"/>
    <cellStyle name="Normal 2 2 2 4 2 11" xfId="19443" xr:uid="{00000000-0005-0000-0000-0000EB4B0000}"/>
    <cellStyle name="Normal 2 2 2 4 2 11 10" xfId="19444" xr:uid="{00000000-0005-0000-0000-0000EC4B0000}"/>
    <cellStyle name="Normal 2 2 2 4 2 11 11" xfId="19445" xr:uid="{00000000-0005-0000-0000-0000ED4B0000}"/>
    <cellStyle name="Normal 2 2 2 4 2 11 12" xfId="19446" xr:uid="{00000000-0005-0000-0000-0000EE4B0000}"/>
    <cellStyle name="Normal 2 2 2 4 2 11 13" xfId="19447" xr:uid="{00000000-0005-0000-0000-0000EF4B0000}"/>
    <cellStyle name="Normal 2 2 2 4 2 11 14" xfId="19448" xr:uid="{00000000-0005-0000-0000-0000F04B0000}"/>
    <cellStyle name="Normal 2 2 2 4 2 11 2" xfId="19449" xr:uid="{00000000-0005-0000-0000-0000F14B0000}"/>
    <cellStyle name="Normal 2 2 2 4 2 11 2 10" xfId="19450" xr:uid="{00000000-0005-0000-0000-0000F24B0000}"/>
    <cellStyle name="Normal 2 2 2 4 2 11 2 2" xfId="19451" xr:uid="{00000000-0005-0000-0000-0000F34B0000}"/>
    <cellStyle name="Normal 2 2 2 4 2 11 2 3" xfId="19452" xr:uid="{00000000-0005-0000-0000-0000F44B0000}"/>
    <cellStyle name="Normal 2 2 2 4 2 11 2 4" xfId="19453" xr:uid="{00000000-0005-0000-0000-0000F54B0000}"/>
    <cellStyle name="Normal 2 2 2 4 2 11 2 5" xfId="19454" xr:uid="{00000000-0005-0000-0000-0000F64B0000}"/>
    <cellStyle name="Normal 2 2 2 4 2 11 2 6" xfId="19455" xr:uid="{00000000-0005-0000-0000-0000F74B0000}"/>
    <cellStyle name="Normal 2 2 2 4 2 11 2 7" xfId="19456" xr:uid="{00000000-0005-0000-0000-0000F84B0000}"/>
    <cellStyle name="Normal 2 2 2 4 2 11 2 8" xfId="19457" xr:uid="{00000000-0005-0000-0000-0000F94B0000}"/>
    <cellStyle name="Normal 2 2 2 4 2 11 2 9" xfId="19458" xr:uid="{00000000-0005-0000-0000-0000FA4B0000}"/>
    <cellStyle name="Normal 2 2 2 4 2 11 3" xfId="19459" xr:uid="{00000000-0005-0000-0000-0000FB4B0000}"/>
    <cellStyle name="Normal 2 2 2 4 2 11 3 10" xfId="19460" xr:uid="{00000000-0005-0000-0000-0000FC4B0000}"/>
    <cellStyle name="Normal 2 2 2 4 2 11 3 2" xfId="19461" xr:uid="{00000000-0005-0000-0000-0000FD4B0000}"/>
    <cellStyle name="Normal 2 2 2 4 2 11 3 3" xfId="19462" xr:uid="{00000000-0005-0000-0000-0000FE4B0000}"/>
    <cellStyle name="Normal 2 2 2 4 2 11 3 4" xfId="19463" xr:uid="{00000000-0005-0000-0000-0000FF4B0000}"/>
    <cellStyle name="Normal 2 2 2 4 2 11 3 5" xfId="19464" xr:uid="{00000000-0005-0000-0000-0000004C0000}"/>
    <cellStyle name="Normal 2 2 2 4 2 11 3 6" xfId="19465" xr:uid="{00000000-0005-0000-0000-0000014C0000}"/>
    <cellStyle name="Normal 2 2 2 4 2 11 3 7" xfId="19466" xr:uid="{00000000-0005-0000-0000-0000024C0000}"/>
    <cellStyle name="Normal 2 2 2 4 2 11 3 8" xfId="19467" xr:uid="{00000000-0005-0000-0000-0000034C0000}"/>
    <cellStyle name="Normal 2 2 2 4 2 11 3 9" xfId="19468" xr:uid="{00000000-0005-0000-0000-0000044C0000}"/>
    <cellStyle name="Normal 2 2 2 4 2 11 4" xfId="19469" xr:uid="{00000000-0005-0000-0000-0000054C0000}"/>
    <cellStyle name="Normal 2 2 2 4 2 11 4 10" xfId="19470" xr:uid="{00000000-0005-0000-0000-0000064C0000}"/>
    <cellStyle name="Normal 2 2 2 4 2 11 4 2" xfId="19471" xr:uid="{00000000-0005-0000-0000-0000074C0000}"/>
    <cellStyle name="Normal 2 2 2 4 2 11 4 3" xfId="19472" xr:uid="{00000000-0005-0000-0000-0000084C0000}"/>
    <cellStyle name="Normal 2 2 2 4 2 11 4 4" xfId="19473" xr:uid="{00000000-0005-0000-0000-0000094C0000}"/>
    <cellStyle name="Normal 2 2 2 4 2 11 4 5" xfId="19474" xr:uid="{00000000-0005-0000-0000-00000A4C0000}"/>
    <cellStyle name="Normal 2 2 2 4 2 11 4 6" xfId="19475" xr:uid="{00000000-0005-0000-0000-00000B4C0000}"/>
    <cellStyle name="Normal 2 2 2 4 2 11 4 7" xfId="19476" xr:uid="{00000000-0005-0000-0000-00000C4C0000}"/>
    <cellStyle name="Normal 2 2 2 4 2 11 4 8" xfId="19477" xr:uid="{00000000-0005-0000-0000-00000D4C0000}"/>
    <cellStyle name="Normal 2 2 2 4 2 11 4 9" xfId="19478" xr:uid="{00000000-0005-0000-0000-00000E4C0000}"/>
    <cellStyle name="Normal 2 2 2 4 2 11 5" xfId="19479" xr:uid="{00000000-0005-0000-0000-00000F4C0000}"/>
    <cellStyle name="Normal 2 2 2 4 2 11 5 10" xfId="19480" xr:uid="{00000000-0005-0000-0000-0000104C0000}"/>
    <cellStyle name="Normal 2 2 2 4 2 11 5 2" xfId="19481" xr:uid="{00000000-0005-0000-0000-0000114C0000}"/>
    <cellStyle name="Normal 2 2 2 4 2 11 5 3" xfId="19482" xr:uid="{00000000-0005-0000-0000-0000124C0000}"/>
    <cellStyle name="Normal 2 2 2 4 2 11 5 4" xfId="19483" xr:uid="{00000000-0005-0000-0000-0000134C0000}"/>
    <cellStyle name="Normal 2 2 2 4 2 11 5 5" xfId="19484" xr:uid="{00000000-0005-0000-0000-0000144C0000}"/>
    <cellStyle name="Normal 2 2 2 4 2 11 5 6" xfId="19485" xr:uid="{00000000-0005-0000-0000-0000154C0000}"/>
    <cellStyle name="Normal 2 2 2 4 2 11 5 7" xfId="19486" xr:uid="{00000000-0005-0000-0000-0000164C0000}"/>
    <cellStyle name="Normal 2 2 2 4 2 11 5 8" xfId="19487" xr:uid="{00000000-0005-0000-0000-0000174C0000}"/>
    <cellStyle name="Normal 2 2 2 4 2 11 5 9" xfId="19488" xr:uid="{00000000-0005-0000-0000-0000184C0000}"/>
    <cellStyle name="Normal 2 2 2 4 2 11 6" xfId="19489" xr:uid="{00000000-0005-0000-0000-0000194C0000}"/>
    <cellStyle name="Normal 2 2 2 4 2 11 7" xfId="19490" xr:uid="{00000000-0005-0000-0000-00001A4C0000}"/>
    <cellStyle name="Normal 2 2 2 4 2 11 8" xfId="19491" xr:uid="{00000000-0005-0000-0000-00001B4C0000}"/>
    <cellStyle name="Normal 2 2 2 4 2 11 9" xfId="19492" xr:uid="{00000000-0005-0000-0000-00001C4C0000}"/>
    <cellStyle name="Normal 2 2 2 4 2 12" xfId="19493" xr:uid="{00000000-0005-0000-0000-00001D4C0000}"/>
    <cellStyle name="Normal 2 2 2 4 2 12 10" xfId="19494" xr:uid="{00000000-0005-0000-0000-00001E4C0000}"/>
    <cellStyle name="Normal 2 2 2 4 2 12 11" xfId="19495" xr:uid="{00000000-0005-0000-0000-00001F4C0000}"/>
    <cellStyle name="Normal 2 2 2 4 2 12 12" xfId="19496" xr:uid="{00000000-0005-0000-0000-0000204C0000}"/>
    <cellStyle name="Normal 2 2 2 4 2 12 13" xfId="19497" xr:uid="{00000000-0005-0000-0000-0000214C0000}"/>
    <cellStyle name="Normal 2 2 2 4 2 12 14" xfId="19498" xr:uid="{00000000-0005-0000-0000-0000224C0000}"/>
    <cellStyle name="Normal 2 2 2 4 2 12 2" xfId="19499" xr:uid="{00000000-0005-0000-0000-0000234C0000}"/>
    <cellStyle name="Normal 2 2 2 4 2 12 2 10" xfId="19500" xr:uid="{00000000-0005-0000-0000-0000244C0000}"/>
    <cellStyle name="Normal 2 2 2 4 2 12 2 2" xfId="19501" xr:uid="{00000000-0005-0000-0000-0000254C0000}"/>
    <cellStyle name="Normal 2 2 2 4 2 12 2 3" xfId="19502" xr:uid="{00000000-0005-0000-0000-0000264C0000}"/>
    <cellStyle name="Normal 2 2 2 4 2 12 2 4" xfId="19503" xr:uid="{00000000-0005-0000-0000-0000274C0000}"/>
    <cellStyle name="Normal 2 2 2 4 2 12 2 5" xfId="19504" xr:uid="{00000000-0005-0000-0000-0000284C0000}"/>
    <cellStyle name="Normal 2 2 2 4 2 12 2 6" xfId="19505" xr:uid="{00000000-0005-0000-0000-0000294C0000}"/>
    <cellStyle name="Normal 2 2 2 4 2 12 2 7" xfId="19506" xr:uid="{00000000-0005-0000-0000-00002A4C0000}"/>
    <cellStyle name="Normal 2 2 2 4 2 12 2 8" xfId="19507" xr:uid="{00000000-0005-0000-0000-00002B4C0000}"/>
    <cellStyle name="Normal 2 2 2 4 2 12 2 9" xfId="19508" xr:uid="{00000000-0005-0000-0000-00002C4C0000}"/>
    <cellStyle name="Normal 2 2 2 4 2 12 3" xfId="19509" xr:uid="{00000000-0005-0000-0000-00002D4C0000}"/>
    <cellStyle name="Normal 2 2 2 4 2 12 3 10" xfId="19510" xr:uid="{00000000-0005-0000-0000-00002E4C0000}"/>
    <cellStyle name="Normal 2 2 2 4 2 12 3 2" xfId="19511" xr:uid="{00000000-0005-0000-0000-00002F4C0000}"/>
    <cellStyle name="Normal 2 2 2 4 2 12 3 3" xfId="19512" xr:uid="{00000000-0005-0000-0000-0000304C0000}"/>
    <cellStyle name="Normal 2 2 2 4 2 12 3 4" xfId="19513" xr:uid="{00000000-0005-0000-0000-0000314C0000}"/>
    <cellStyle name="Normal 2 2 2 4 2 12 3 5" xfId="19514" xr:uid="{00000000-0005-0000-0000-0000324C0000}"/>
    <cellStyle name="Normal 2 2 2 4 2 12 3 6" xfId="19515" xr:uid="{00000000-0005-0000-0000-0000334C0000}"/>
    <cellStyle name="Normal 2 2 2 4 2 12 3 7" xfId="19516" xr:uid="{00000000-0005-0000-0000-0000344C0000}"/>
    <cellStyle name="Normal 2 2 2 4 2 12 3 8" xfId="19517" xr:uid="{00000000-0005-0000-0000-0000354C0000}"/>
    <cellStyle name="Normal 2 2 2 4 2 12 3 9" xfId="19518" xr:uid="{00000000-0005-0000-0000-0000364C0000}"/>
    <cellStyle name="Normal 2 2 2 4 2 12 4" xfId="19519" xr:uid="{00000000-0005-0000-0000-0000374C0000}"/>
    <cellStyle name="Normal 2 2 2 4 2 12 4 10" xfId="19520" xr:uid="{00000000-0005-0000-0000-0000384C0000}"/>
    <cellStyle name="Normal 2 2 2 4 2 12 4 2" xfId="19521" xr:uid="{00000000-0005-0000-0000-0000394C0000}"/>
    <cellStyle name="Normal 2 2 2 4 2 12 4 3" xfId="19522" xr:uid="{00000000-0005-0000-0000-00003A4C0000}"/>
    <cellStyle name="Normal 2 2 2 4 2 12 4 4" xfId="19523" xr:uid="{00000000-0005-0000-0000-00003B4C0000}"/>
    <cellStyle name="Normal 2 2 2 4 2 12 4 5" xfId="19524" xr:uid="{00000000-0005-0000-0000-00003C4C0000}"/>
    <cellStyle name="Normal 2 2 2 4 2 12 4 6" xfId="19525" xr:uid="{00000000-0005-0000-0000-00003D4C0000}"/>
    <cellStyle name="Normal 2 2 2 4 2 12 4 7" xfId="19526" xr:uid="{00000000-0005-0000-0000-00003E4C0000}"/>
    <cellStyle name="Normal 2 2 2 4 2 12 4 8" xfId="19527" xr:uid="{00000000-0005-0000-0000-00003F4C0000}"/>
    <cellStyle name="Normal 2 2 2 4 2 12 4 9" xfId="19528" xr:uid="{00000000-0005-0000-0000-0000404C0000}"/>
    <cellStyle name="Normal 2 2 2 4 2 12 5" xfId="19529" xr:uid="{00000000-0005-0000-0000-0000414C0000}"/>
    <cellStyle name="Normal 2 2 2 4 2 12 5 10" xfId="19530" xr:uid="{00000000-0005-0000-0000-0000424C0000}"/>
    <cellStyle name="Normal 2 2 2 4 2 12 5 2" xfId="19531" xr:uid="{00000000-0005-0000-0000-0000434C0000}"/>
    <cellStyle name="Normal 2 2 2 4 2 12 5 3" xfId="19532" xr:uid="{00000000-0005-0000-0000-0000444C0000}"/>
    <cellStyle name="Normal 2 2 2 4 2 12 5 4" xfId="19533" xr:uid="{00000000-0005-0000-0000-0000454C0000}"/>
    <cellStyle name="Normal 2 2 2 4 2 12 5 5" xfId="19534" xr:uid="{00000000-0005-0000-0000-0000464C0000}"/>
    <cellStyle name="Normal 2 2 2 4 2 12 5 6" xfId="19535" xr:uid="{00000000-0005-0000-0000-0000474C0000}"/>
    <cellStyle name="Normal 2 2 2 4 2 12 5 7" xfId="19536" xr:uid="{00000000-0005-0000-0000-0000484C0000}"/>
    <cellStyle name="Normal 2 2 2 4 2 12 5 8" xfId="19537" xr:uid="{00000000-0005-0000-0000-0000494C0000}"/>
    <cellStyle name="Normal 2 2 2 4 2 12 5 9" xfId="19538" xr:uid="{00000000-0005-0000-0000-00004A4C0000}"/>
    <cellStyle name="Normal 2 2 2 4 2 12 6" xfId="19539" xr:uid="{00000000-0005-0000-0000-00004B4C0000}"/>
    <cellStyle name="Normal 2 2 2 4 2 12 7" xfId="19540" xr:uid="{00000000-0005-0000-0000-00004C4C0000}"/>
    <cellStyle name="Normal 2 2 2 4 2 12 8" xfId="19541" xr:uid="{00000000-0005-0000-0000-00004D4C0000}"/>
    <cellStyle name="Normal 2 2 2 4 2 12 9" xfId="19542" xr:uid="{00000000-0005-0000-0000-00004E4C0000}"/>
    <cellStyle name="Normal 2 2 2 4 2 13" xfId="19543" xr:uid="{00000000-0005-0000-0000-00004F4C0000}"/>
    <cellStyle name="Normal 2 2 2 4 2 13 10" xfId="19544" xr:uid="{00000000-0005-0000-0000-0000504C0000}"/>
    <cellStyle name="Normal 2 2 2 4 2 13 11" xfId="19545" xr:uid="{00000000-0005-0000-0000-0000514C0000}"/>
    <cellStyle name="Normal 2 2 2 4 2 13 12" xfId="19546" xr:uid="{00000000-0005-0000-0000-0000524C0000}"/>
    <cellStyle name="Normal 2 2 2 4 2 13 13" xfId="19547" xr:uid="{00000000-0005-0000-0000-0000534C0000}"/>
    <cellStyle name="Normal 2 2 2 4 2 13 14" xfId="19548" xr:uid="{00000000-0005-0000-0000-0000544C0000}"/>
    <cellStyle name="Normal 2 2 2 4 2 13 2" xfId="19549" xr:uid="{00000000-0005-0000-0000-0000554C0000}"/>
    <cellStyle name="Normal 2 2 2 4 2 13 2 10" xfId="19550" xr:uid="{00000000-0005-0000-0000-0000564C0000}"/>
    <cellStyle name="Normal 2 2 2 4 2 13 2 2" xfId="19551" xr:uid="{00000000-0005-0000-0000-0000574C0000}"/>
    <cellStyle name="Normal 2 2 2 4 2 13 2 3" xfId="19552" xr:uid="{00000000-0005-0000-0000-0000584C0000}"/>
    <cellStyle name="Normal 2 2 2 4 2 13 2 4" xfId="19553" xr:uid="{00000000-0005-0000-0000-0000594C0000}"/>
    <cellStyle name="Normal 2 2 2 4 2 13 2 5" xfId="19554" xr:uid="{00000000-0005-0000-0000-00005A4C0000}"/>
    <cellStyle name="Normal 2 2 2 4 2 13 2 6" xfId="19555" xr:uid="{00000000-0005-0000-0000-00005B4C0000}"/>
    <cellStyle name="Normal 2 2 2 4 2 13 2 7" xfId="19556" xr:uid="{00000000-0005-0000-0000-00005C4C0000}"/>
    <cellStyle name="Normal 2 2 2 4 2 13 2 8" xfId="19557" xr:uid="{00000000-0005-0000-0000-00005D4C0000}"/>
    <cellStyle name="Normal 2 2 2 4 2 13 2 9" xfId="19558" xr:uid="{00000000-0005-0000-0000-00005E4C0000}"/>
    <cellStyle name="Normal 2 2 2 4 2 13 3" xfId="19559" xr:uid="{00000000-0005-0000-0000-00005F4C0000}"/>
    <cellStyle name="Normal 2 2 2 4 2 13 3 10" xfId="19560" xr:uid="{00000000-0005-0000-0000-0000604C0000}"/>
    <cellStyle name="Normal 2 2 2 4 2 13 3 2" xfId="19561" xr:uid="{00000000-0005-0000-0000-0000614C0000}"/>
    <cellStyle name="Normal 2 2 2 4 2 13 3 3" xfId="19562" xr:uid="{00000000-0005-0000-0000-0000624C0000}"/>
    <cellStyle name="Normal 2 2 2 4 2 13 3 4" xfId="19563" xr:uid="{00000000-0005-0000-0000-0000634C0000}"/>
    <cellStyle name="Normal 2 2 2 4 2 13 3 5" xfId="19564" xr:uid="{00000000-0005-0000-0000-0000644C0000}"/>
    <cellStyle name="Normal 2 2 2 4 2 13 3 6" xfId="19565" xr:uid="{00000000-0005-0000-0000-0000654C0000}"/>
    <cellStyle name="Normal 2 2 2 4 2 13 3 7" xfId="19566" xr:uid="{00000000-0005-0000-0000-0000664C0000}"/>
    <cellStyle name="Normal 2 2 2 4 2 13 3 8" xfId="19567" xr:uid="{00000000-0005-0000-0000-0000674C0000}"/>
    <cellStyle name="Normal 2 2 2 4 2 13 3 9" xfId="19568" xr:uid="{00000000-0005-0000-0000-0000684C0000}"/>
    <cellStyle name="Normal 2 2 2 4 2 13 4" xfId="19569" xr:uid="{00000000-0005-0000-0000-0000694C0000}"/>
    <cellStyle name="Normal 2 2 2 4 2 13 4 10" xfId="19570" xr:uid="{00000000-0005-0000-0000-00006A4C0000}"/>
    <cellStyle name="Normal 2 2 2 4 2 13 4 2" xfId="19571" xr:uid="{00000000-0005-0000-0000-00006B4C0000}"/>
    <cellStyle name="Normal 2 2 2 4 2 13 4 3" xfId="19572" xr:uid="{00000000-0005-0000-0000-00006C4C0000}"/>
    <cellStyle name="Normal 2 2 2 4 2 13 4 4" xfId="19573" xr:uid="{00000000-0005-0000-0000-00006D4C0000}"/>
    <cellStyle name="Normal 2 2 2 4 2 13 4 5" xfId="19574" xr:uid="{00000000-0005-0000-0000-00006E4C0000}"/>
    <cellStyle name="Normal 2 2 2 4 2 13 4 6" xfId="19575" xr:uid="{00000000-0005-0000-0000-00006F4C0000}"/>
    <cellStyle name="Normal 2 2 2 4 2 13 4 7" xfId="19576" xr:uid="{00000000-0005-0000-0000-0000704C0000}"/>
    <cellStyle name="Normal 2 2 2 4 2 13 4 8" xfId="19577" xr:uid="{00000000-0005-0000-0000-0000714C0000}"/>
    <cellStyle name="Normal 2 2 2 4 2 13 4 9" xfId="19578" xr:uid="{00000000-0005-0000-0000-0000724C0000}"/>
    <cellStyle name="Normal 2 2 2 4 2 13 5" xfId="19579" xr:uid="{00000000-0005-0000-0000-0000734C0000}"/>
    <cellStyle name="Normal 2 2 2 4 2 13 5 10" xfId="19580" xr:uid="{00000000-0005-0000-0000-0000744C0000}"/>
    <cellStyle name="Normal 2 2 2 4 2 13 5 2" xfId="19581" xr:uid="{00000000-0005-0000-0000-0000754C0000}"/>
    <cellStyle name="Normal 2 2 2 4 2 13 5 3" xfId="19582" xr:uid="{00000000-0005-0000-0000-0000764C0000}"/>
    <cellStyle name="Normal 2 2 2 4 2 13 5 4" xfId="19583" xr:uid="{00000000-0005-0000-0000-0000774C0000}"/>
    <cellStyle name="Normal 2 2 2 4 2 13 5 5" xfId="19584" xr:uid="{00000000-0005-0000-0000-0000784C0000}"/>
    <cellStyle name="Normal 2 2 2 4 2 13 5 6" xfId="19585" xr:uid="{00000000-0005-0000-0000-0000794C0000}"/>
    <cellStyle name="Normal 2 2 2 4 2 13 5 7" xfId="19586" xr:uid="{00000000-0005-0000-0000-00007A4C0000}"/>
    <cellStyle name="Normal 2 2 2 4 2 13 5 8" xfId="19587" xr:uid="{00000000-0005-0000-0000-00007B4C0000}"/>
    <cellStyle name="Normal 2 2 2 4 2 13 5 9" xfId="19588" xr:uid="{00000000-0005-0000-0000-00007C4C0000}"/>
    <cellStyle name="Normal 2 2 2 4 2 13 6" xfId="19589" xr:uid="{00000000-0005-0000-0000-00007D4C0000}"/>
    <cellStyle name="Normal 2 2 2 4 2 13 7" xfId="19590" xr:uid="{00000000-0005-0000-0000-00007E4C0000}"/>
    <cellStyle name="Normal 2 2 2 4 2 13 8" xfId="19591" xr:uid="{00000000-0005-0000-0000-00007F4C0000}"/>
    <cellStyle name="Normal 2 2 2 4 2 13 9" xfId="19592" xr:uid="{00000000-0005-0000-0000-0000804C0000}"/>
    <cellStyle name="Normal 2 2 2 4 2 14" xfId="19593" xr:uid="{00000000-0005-0000-0000-0000814C0000}"/>
    <cellStyle name="Normal 2 2 2 4 2 14 10" xfId="19594" xr:uid="{00000000-0005-0000-0000-0000824C0000}"/>
    <cellStyle name="Normal 2 2 2 4 2 14 11" xfId="19595" xr:uid="{00000000-0005-0000-0000-0000834C0000}"/>
    <cellStyle name="Normal 2 2 2 4 2 14 12" xfId="19596" xr:uid="{00000000-0005-0000-0000-0000844C0000}"/>
    <cellStyle name="Normal 2 2 2 4 2 14 13" xfId="19597" xr:uid="{00000000-0005-0000-0000-0000854C0000}"/>
    <cellStyle name="Normal 2 2 2 4 2 14 14" xfId="19598" xr:uid="{00000000-0005-0000-0000-0000864C0000}"/>
    <cellStyle name="Normal 2 2 2 4 2 14 2" xfId="19599" xr:uid="{00000000-0005-0000-0000-0000874C0000}"/>
    <cellStyle name="Normal 2 2 2 4 2 14 2 10" xfId="19600" xr:uid="{00000000-0005-0000-0000-0000884C0000}"/>
    <cellStyle name="Normal 2 2 2 4 2 14 2 2" xfId="19601" xr:uid="{00000000-0005-0000-0000-0000894C0000}"/>
    <cellStyle name="Normal 2 2 2 4 2 14 2 3" xfId="19602" xr:uid="{00000000-0005-0000-0000-00008A4C0000}"/>
    <cellStyle name="Normal 2 2 2 4 2 14 2 4" xfId="19603" xr:uid="{00000000-0005-0000-0000-00008B4C0000}"/>
    <cellStyle name="Normal 2 2 2 4 2 14 2 5" xfId="19604" xr:uid="{00000000-0005-0000-0000-00008C4C0000}"/>
    <cellStyle name="Normal 2 2 2 4 2 14 2 6" xfId="19605" xr:uid="{00000000-0005-0000-0000-00008D4C0000}"/>
    <cellStyle name="Normal 2 2 2 4 2 14 2 7" xfId="19606" xr:uid="{00000000-0005-0000-0000-00008E4C0000}"/>
    <cellStyle name="Normal 2 2 2 4 2 14 2 8" xfId="19607" xr:uid="{00000000-0005-0000-0000-00008F4C0000}"/>
    <cellStyle name="Normal 2 2 2 4 2 14 2 9" xfId="19608" xr:uid="{00000000-0005-0000-0000-0000904C0000}"/>
    <cellStyle name="Normal 2 2 2 4 2 14 3" xfId="19609" xr:uid="{00000000-0005-0000-0000-0000914C0000}"/>
    <cellStyle name="Normal 2 2 2 4 2 14 3 10" xfId="19610" xr:uid="{00000000-0005-0000-0000-0000924C0000}"/>
    <cellStyle name="Normal 2 2 2 4 2 14 3 2" xfId="19611" xr:uid="{00000000-0005-0000-0000-0000934C0000}"/>
    <cellStyle name="Normal 2 2 2 4 2 14 3 3" xfId="19612" xr:uid="{00000000-0005-0000-0000-0000944C0000}"/>
    <cellStyle name="Normal 2 2 2 4 2 14 3 4" xfId="19613" xr:uid="{00000000-0005-0000-0000-0000954C0000}"/>
    <cellStyle name="Normal 2 2 2 4 2 14 3 5" xfId="19614" xr:uid="{00000000-0005-0000-0000-0000964C0000}"/>
    <cellStyle name="Normal 2 2 2 4 2 14 3 6" xfId="19615" xr:uid="{00000000-0005-0000-0000-0000974C0000}"/>
    <cellStyle name="Normal 2 2 2 4 2 14 3 7" xfId="19616" xr:uid="{00000000-0005-0000-0000-0000984C0000}"/>
    <cellStyle name="Normal 2 2 2 4 2 14 3 8" xfId="19617" xr:uid="{00000000-0005-0000-0000-0000994C0000}"/>
    <cellStyle name="Normal 2 2 2 4 2 14 3 9" xfId="19618" xr:uid="{00000000-0005-0000-0000-00009A4C0000}"/>
    <cellStyle name="Normal 2 2 2 4 2 14 4" xfId="19619" xr:uid="{00000000-0005-0000-0000-00009B4C0000}"/>
    <cellStyle name="Normal 2 2 2 4 2 14 4 10" xfId="19620" xr:uid="{00000000-0005-0000-0000-00009C4C0000}"/>
    <cellStyle name="Normal 2 2 2 4 2 14 4 2" xfId="19621" xr:uid="{00000000-0005-0000-0000-00009D4C0000}"/>
    <cellStyle name="Normal 2 2 2 4 2 14 4 3" xfId="19622" xr:uid="{00000000-0005-0000-0000-00009E4C0000}"/>
    <cellStyle name="Normal 2 2 2 4 2 14 4 4" xfId="19623" xr:uid="{00000000-0005-0000-0000-00009F4C0000}"/>
    <cellStyle name="Normal 2 2 2 4 2 14 4 5" xfId="19624" xr:uid="{00000000-0005-0000-0000-0000A04C0000}"/>
    <cellStyle name="Normal 2 2 2 4 2 14 4 6" xfId="19625" xr:uid="{00000000-0005-0000-0000-0000A14C0000}"/>
    <cellStyle name="Normal 2 2 2 4 2 14 4 7" xfId="19626" xr:uid="{00000000-0005-0000-0000-0000A24C0000}"/>
    <cellStyle name="Normal 2 2 2 4 2 14 4 8" xfId="19627" xr:uid="{00000000-0005-0000-0000-0000A34C0000}"/>
    <cellStyle name="Normal 2 2 2 4 2 14 4 9" xfId="19628" xr:uid="{00000000-0005-0000-0000-0000A44C0000}"/>
    <cellStyle name="Normal 2 2 2 4 2 14 5" xfId="19629" xr:uid="{00000000-0005-0000-0000-0000A54C0000}"/>
    <cellStyle name="Normal 2 2 2 4 2 14 5 10" xfId="19630" xr:uid="{00000000-0005-0000-0000-0000A64C0000}"/>
    <cellStyle name="Normal 2 2 2 4 2 14 5 2" xfId="19631" xr:uid="{00000000-0005-0000-0000-0000A74C0000}"/>
    <cellStyle name="Normal 2 2 2 4 2 14 5 3" xfId="19632" xr:uid="{00000000-0005-0000-0000-0000A84C0000}"/>
    <cellStyle name="Normal 2 2 2 4 2 14 5 4" xfId="19633" xr:uid="{00000000-0005-0000-0000-0000A94C0000}"/>
    <cellStyle name="Normal 2 2 2 4 2 14 5 5" xfId="19634" xr:uid="{00000000-0005-0000-0000-0000AA4C0000}"/>
    <cellStyle name="Normal 2 2 2 4 2 14 5 6" xfId="19635" xr:uid="{00000000-0005-0000-0000-0000AB4C0000}"/>
    <cellStyle name="Normal 2 2 2 4 2 14 5 7" xfId="19636" xr:uid="{00000000-0005-0000-0000-0000AC4C0000}"/>
    <cellStyle name="Normal 2 2 2 4 2 14 5 8" xfId="19637" xr:uid="{00000000-0005-0000-0000-0000AD4C0000}"/>
    <cellStyle name="Normal 2 2 2 4 2 14 5 9" xfId="19638" xr:uid="{00000000-0005-0000-0000-0000AE4C0000}"/>
    <cellStyle name="Normal 2 2 2 4 2 14 6" xfId="19639" xr:uid="{00000000-0005-0000-0000-0000AF4C0000}"/>
    <cellStyle name="Normal 2 2 2 4 2 14 7" xfId="19640" xr:uid="{00000000-0005-0000-0000-0000B04C0000}"/>
    <cellStyle name="Normal 2 2 2 4 2 14 8" xfId="19641" xr:uid="{00000000-0005-0000-0000-0000B14C0000}"/>
    <cellStyle name="Normal 2 2 2 4 2 14 9" xfId="19642" xr:uid="{00000000-0005-0000-0000-0000B24C0000}"/>
    <cellStyle name="Normal 2 2 2 4 2 15" xfId="19643" xr:uid="{00000000-0005-0000-0000-0000B34C0000}"/>
    <cellStyle name="Normal 2 2 2 4 2 15 10" xfId="19644" xr:uid="{00000000-0005-0000-0000-0000B44C0000}"/>
    <cellStyle name="Normal 2 2 2 4 2 15 11" xfId="19645" xr:uid="{00000000-0005-0000-0000-0000B54C0000}"/>
    <cellStyle name="Normal 2 2 2 4 2 15 12" xfId="19646" xr:uid="{00000000-0005-0000-0000-0000B64C0000}"/>
    <cellStyle name="Normal 2 2 2 4 2 15 13" xfId="19647" xr:uid="{00000000-0005-0000-0000-0000B74C0000}"/>
    <cellStyle name="Normal 2 2 2 4 2 15 14" xfId="19648" xr:uid="{00000000-0005-0000-0000-0000B84C0000}"/>
    <cellStyle name="Normal 2 2 2 4 2 15 2" xfId="19649" xr:uid="{00000000-0005-0000-0000-0000B94C0000}"/>
    <cellStyle name="Normal 2 2 2 4 2 15 2 10" xfId="19650" xr:uid="{00000000-0005-0000-0000-0000BA4C0000}"/>
    <cellStyle name="Normal 2 2 2 4 2 15 2 2" xfId="19651" xr:uid="{00000000-0005-0000-0000-0000BB4C0000}"/>
    <cellStyle name="Normal 2 2 2 4 2 15 2 3" xfId="19652" xr:uid="{00000000-0005-0000-0000-0000BC4C0000}"/>
    <cellStyle name="Normal 2 2 2 4 2 15 2 4" xfId="19653" xr:uid="{00000000-0005-0000-0000-0000BD4C0000}"/>
    <cellStyle name="Normal 2 2 2 4 2 15 2 5" xfId="19654" xr:uid="{00000000-0005-0000-0000-0000BE4C0000}"/>
    <cellStyle name="Normal 2 2 2 4 2 15 2 6" xfId="19655" xr:uid="{00000000-0005-0000-0000-0000BF4C0000}"/>
    <cellStyle name="Normal 2 2 2 4 2 15 2 7" xfId="19656" xr:uid="{00000000-0005-0000-0000-0000C04C0000}"/>
    <cellStyle name="Normal 2 2 2 4 2 15 2 8" xfId="19657" xr:uid="{00000000-0005-0000-0000-0000C14C0000}"/>
    <cellStyle name="Normal 2 2 2 4 2 15 2 9" xfId="19658" xr:uid="{00000000-0005-0000-0000-0000C24C0000}"/>
    <cellStyle name="Normal 2 2 2 4 2 15 3" xfId="19659" xr:uid="{00000000-0005-0000-0000-0000C34C0000}"/>
    <cellStyle name="Normal 2 2 2 4 2 15 3 10" xfId="19660" xr:uid="{00000000-0005-0000-0000-0000C44C0000}"/>
    <cellStyle name="Normal 2 2 2 4 2 15 3 2" xfId="19661" xr:uid="{00000000-0005-0000-0000-0000C54C0000}"/>
    <cellStyle name="Normal 2 2 2 4 2 15 3 3" xfId="19662" xr:uid="{00000000-0005-0000-0000-0000C64C0000}"/>
    <cellStyle name="Normal 2 2 2 4 2 15 3 4" xfId="19663" xr:uid="{00000000-0005-0000-0000-0000C74C0000}"/>
    <cellStyle name="Normal 2 2 2 4 2 15 3 5" xfId="19664" xr:uid="{00000000-0005-0000-0000-0000C84C0000}"/>
    <cellStyle name="Normal 2 2 2 4 2 15 3 6" xfId="19665" xr:uid="{00000000-0005-0000-0000-0000C94C0000}"/>
    <cellStyle name="Normal 2 2 2 4 2 15 3 7" xfId="19666" xr:uid="{00000000-0005-0000-0000-0000CA4C0000}"/>
    <cellStyle name="Normal 2 2 2 4 2 15 3 8" xfId="19667" xr:uid="{00000000-0005-0000-0000-0000CB4C0000}"/>
    <cellStyle name="Normal 2 2 2 4 2 15 3 9" xfId="19668" xr:uid="{00000000-0005-0000-0000-0000CC4C0000}"/>
    <cellStyle name="Normal 2 2 2 4 2 15 4" xfId="19669" xr:uid="{00000000-0005-0000-0000-0000CD4C0000}"/>
    <cellStyle name="Normal 2 2 2 4 2 15 4 10" xfId="19670" xr:uid="{00000000-0005-0000-0000-0000CE4C0000}"/>
    <cellStyle name="Normal 2 2 2 4 2 15 4 2" xfId="19671" xr:uid="{00000000-0005-0000-0000-0000CF4C0000}"/>
    <cellStyle name="Normal 2 2 2 4 2 15 4 3" xfId="19672" xr:uid="{00000000-0005-0000-0000-0000D04C0000}"/>
    <cellStyle name="Normal 2 2 2 4 2 15 4 4" xfId="19673" xr:uid="{00000000-0005-0000-0000-0000D14C0000}"/>
    <cellStyle name="Normal 2 2 2 4 2 15 4 5" xfId="19674" xr:uid="{00000000-0005-0000-0000-0000D24C0000}"/>
    <cellStyle name="Normal 2 2 2 4 2 15 4 6" xfId="19675" xr:uid="{00000000-0005-0000-0000-0000D34C0000}"/>
    <cellStyle name="Normal 2 2 2 4 2 15 4 7" xfId="19676" xr:uid="{00000000-0005-0000-0000-0000D44C0000}"/>
    <cellStyle name="Normal 2 2 2 4 2 15 4 8" xfId="19677" xr:uid="{00000000-0005-0000-0000-0000D54C0000}"/>
    <cellStyle name="Normal 2 2 2 4 2 15 4 9" xfId="19678" xr:uid="{00000000-0005-0000-0000-0000D64C0000}"/>
    <cellStyle name="Normal 2 2 2 4 2 15 5" xfId="19679" xr:uid="{00000000-0005-0000-0000-0000D74C0000}"/>
    <cellStyle name="Normal 2 2 2 4 2 15 5 10" xfId="19680" xr:uid="{00000000-0005-0000-0000-0000D84C0000}"/>
    <cellStyle name="Normal 2 2 2 4 2 15 5 2" xfId="19681" xr:uid="{00000000-0005-0000-0000-0000D94C0000}"/>
    <cellStyle name="Normal 2 2 2 4 2 15 5 3" xfId="19682" xr:uid="{00000000-0005-0000-0000-0000DA4C0000}"/>
    <cellStyle name="Normal 2 2 2 4 2 15 5 4" xfId="19683" xr:uid="{00000000-0005-0000-0000-0000DB4C0000}"/>
    <cellStyle name="Normal 2 2 2 4 2 15 5 5" xfId="19684" xr:uid="{00000000-0005-0000-0000-0000DC4C0000}"/>
    <cellStyle name="Normal 2 2 2 4 2 15 5 6" xfId="19685" xr:uid="{00000000-0005-0000-0000-0000DD4C0000}"/>
    <cellStyle name="Normal 2 2 2 4 2 15 5 7" xfId="19686" xr:uid="{00000000-0005-0000-0000-0000DE4C0000}"/>
    <cellStyle name="Normal 2 2 2 4 2 15 5 8" xfId="19687" xr:uid="{00000000-0005-0000-0000-0000DF4C0000}"/>
    <cellStyle name="Normal 2 2 2 4 2 15 5 9" xfId="19688" xr:uid="{00000000-0005-0000-0000-0000E04C0000}"/>
    <cellStyle name="Normal 2 2 2 4 2 15 6" xfId="19689" xr:uid="{00000000-0005-0000-0000-0000E14C0000}"/>
    <cellStyle name="Normal 2 2 2 4 2 15 7" xfId="19690" xr:uid="{00000000-0005-0000-0000-0000E24C0000}"/>
    <cellStyle name="Normal 2 2 2 4 2 15 8" xfId="19691" xr:uid="{00000000-0005-0000-0000-0000E34C0000}"/>
    <cellStyle name="Normal 2 2 2 4 2 15 9" xfId="19692" xr:uid="{00000000-0005-0000-0000-0000E44C0000}"/>
    <cellStyle name="Normal 2 2 2 4 2 16" xfId="19693" xr:uid="{00000000-0005-0000-0000-0000E54C0000}"/>
    <cellStyle name="Normal 2 2 2 4 2 16 10" xfId="19694" xr:uid="{00000000-0005-0000-0000-0000E64C0000}"/>
    <cellStyle name="Normal 2 2 2 4 2 16 11" xfId="19695" xr:uid="{00000000-0005-0000-0000-0000E74C0000}"/>
    <cellStyle name="Normal 2 2 2 4 2 16 12" xfId="19696" xr:uid="{00000000-0005-0000-0000-0000E84C0000}"/>
    <cellStyle name="Normal 2 2 2 4 2 16 13" xfId="19697" xr:uid="{00000000-0005-0000-0000-0000E94C0000}"/>
    <cellStyle name="Normal 2 2 2 4 2 16 14" xfId="19698" xr:uid="{00000000-0005-0000-0000-0000EA4C0000}"/>
    <cellStyle name="Normal 2 2 2 4 2 16 2" xfId="19699" xr:uid="{00000000-0005-0000-0000-0000EB4C0000}"/>
    <cellStyle name="Normal 2 2 2 4 2 16 2 10" xfId="19700" xr:uid="{00000000-0005-0000-0000-0000EC4C0000}"/>
    <cellStyle name="Normal 2 2 2 4 2 16 2 2" xfId="19701" xr:uid="{00000000-0005-0000-0000-0000ED4C0000}"/>
    <cellStyle name="Normal 2 2 2 4 2 16 2 3" xfId="19702" xr:uid="{00000000-0005-0000-0000-0000EE4C0000}"/>
    <cellStyle name="Normal 2 2 2 4 2 16 2 4" xfId="19703" xr:uid="{00000000-0005-0000-0000-0000EF4C0000}"/>
    <cellStyle name="Normal 2 2 2 4 2 16 2 5" xfId="19704" xr:uid="{00000000-0005-0000-0000-0000F04C0000}"/>
    <cellStyle name="Normal 2 2 2 4 2 16 2 6" xfId="19705" xr:uid="{00000000-0005-0000-0000-0000F14C0000}"/>
    <cellStyle name="Normal 2 2 2 4 2 16 2 7" xfId="19706" xr:uid="{00000000-0005-0000-0000-0000F24C0000}"/>
    <cellStyle name="Normal 2 2 2 4 2 16 2 8" xfId="19707" xr:uid="{00000000-0005-0000-0000-0000F34C0000}"/>
    <cellStyle name="Normal 2 2 2 4 2 16 2 9" xfId="19708" xr:uid="{00000000-0005-0000-0000-0000F44C0000}"/>
    <cellStyle name="Normal 2 2 2 4 2 16 3" xfId="19709" xr:uid="{00000000-0005-0000-0000-0000F54C0000}"/>
    <cellStyle name="Normal 2 2 2 4 2 16 3 10" xfId="19710" xr:uid="{00000000-0005-0000-0000-0000F64C0000}"/>
    <cellStyle name="Normal 2 2 2 4 2 16 3 2" xfId="19711" xr:uid="{00000000-0005-0000-0000-0000F74C0000}"/>
    <cellStyle name="Normal 2 2 2 4 2 16 3 3" xfId="19712" xr:uid="{00000000-0005-0000-0000-0000F84C0000}"/>
    <cellStyle name="Normal 2 2 2 4 2 16 3 4" xfId="19713" xr:uid="{00000000-0005-0000-0000-0000F94C0000}"/>
    <cellStyle name="Normal 2 2 2 4 2 16 3 5" xfId="19714" xr:uid="{00000000-0005-0000-0000-0000FA4C0000}"/>
    <cellStyle name="Normal 2 2 2 4 2 16 3 6" xfId="19715" xr:uid="{00000000-0005-0000-0000-0000FB4C0000}"/>
    <cellStyle name="Normal 2 2 2 4 2 16 3 7" xfId="19716" xr:uid="{00000000-0005-0000-0000-0000FC4C0000}"/>
    <cellStyle name="Normal 2 2 2 4 2 16 3 8" xfId="19717" xr:uid="{00000000-0005-0000-0000-0000FD4C0000}"/>
    <cellStyle name="Normal 2 2 2 4 2 16 3 9" xfId="19718" xr:uid="{00000000-0005-0000-0000-0000FE4C0000}"/>
    <cellStyle name="Normal 2 2 2 4 2 16 4" xfId="19719" xr:uid="{00000000-0005-0000-0000-0000FF4C0000}"/>
    <cellStyle name="Normal 2 2 2 4 2 16 4 10" xfId="19720" xr:uid="{00000000-0005-0000-0000-0000004D0000}"/>
    <cellStyle name="Normal 2 2 2 4 2 16 4 2" xfId="19721" xr:uid="{00000000-0005-0000-0000-0000014D0000}"/>
    <cellStyle name="Normal 2 2 2 4 2 16 4 3" xfId="19722" xr:uid="{00000000-0005-0000-0000-0000024D0000}"/>
    <cellStyle name="Normal 2 2 2 4 2 16 4 4" xfId="19723" xr:uid="{00000000-0005-0000-0000-0000034D0000}"/>
    <cellStyle name="Normal 2 2 2 4 2 16 4 5" xfId="19724" xr:uid="{00000000-0005-0000-0000-0000044D0000}"/>
    <cellStyle name="Normal 2 2 2 4 2 16 4 6" xfId="19725" xr:uid="{00000000-0005-0000-0000-0000054D0000}"/>
    <cellStyle name="Normal 2 2 2 4 2 16 4 7" xfId="19726" xr:uid="{00000000-0005-0000-0000-0000064D0000}"/>
    <cellStyle name="Normal 2 2 2 4 2 16 4 8" xfId="19727" xr:uid="{00000000-0005-0000-0000-0000074D0000}"/>
    <cellStyle name="Normal 2 2 2 4 2 16 4 9" xfId="19728" xr:uid="{00000000-0005-0000-0000-0000084D0000}"/>
    <cellStyle name="Normal 2 2 2 4 2 16 5" xfId="19729" xr:uid="{00000000-0005-0000-0000-0000094D0000}"/>
    <cellStyle name="Normal 2 2 2 4 2 16 5 10" xfId="19730" xr:uid="{00000000-0005-0000-0000-00000A4D0000}"/>
    <cellStyle name="Normal 2 2 2 4 2 16 5 2" xfId="19731" xr:uid="{00000000-0005-0000-0000-00000B4D0000}"/>
    <cellStyle name="Normal 2 2 2 4 2 16 5 3" xfId="19732" xr:uid="{00000000-0005-0000-0000-00000C4D0000}"/>
    <cellStyle name="Normal 2 2 2 4 2 16 5 4" xfId="19733" xr:uid="{00000000-0005-0000-0000-00000D4D0000}"/>
    <cellStyle name="Normal 2 2 2 4 2 16 5 5" xfId="19734" xr:uid="{00000000-0005-0000-0000-00000E4D0000}"/>
    <cellStyle name="Normal 2 2 2 4 2 16 5 6" xfId="19735" xr:uid="{00000000-0005-0000-0000-00000F4D0000}"/>
    <cellStyle name="Normal 2 2 2 4 2 16 5 7" xfId="19736" xr:uid="{00000000-0005-0000-0000-0000104D0000}"/>
    <cellStyle name="Normal 2 2 2 4 2 16 5 8" xfId="19737" xr:uid="{00000000-0005-0000-0000-0000114D0000}"/>
    <cellStyle name="Normal 2 2 2 4 2 16 5 9" xfId="19738" xr:uid="{00000000-0005-0000-0000-0000124D0000}"/>
    <cellStyle name="Normal 2 2 2 4 2 16 6" xfId="19739" xr:uid="{00000000-0005-0000-0000-0000134D0000}"/>
    <cellStyle name="Normal 2 2 2 4 2 16 7" xfId="19740" xr:uid="{00000000-0005-0000-0000-0000144D0000}"/>
    <cellStyle name="Normal 2 2 2 4 2 16 8" xfId="19741" xr:uid="{00000000-0005-0000-0000-0000154D0000}"/>
    <cellStyle name="Normal 2 2 2 4 2 16 9" xfId="19742" xr:uid="{00000000-0005-0000-0000-0000164D0000}"/>
    <cellStyle name="Normal 2 2 2 4 2 17" xfId="19743" xr:uid="{00000000-0005-0000-0000-0000174D0000}"/>
    <cellStyle name="Normal 2 2 2 4 2 17 10" xfId="19744" xr:uid="{00000000-0005-0000-0000-0000184D0000}"/>
    <cellStyle name="Normal 2 2 2 4 2 17 11" xfId="19745" xr:uid="{00000000-0005-0000-0000-0000194D0000}"/>
    <cellStyle name="Normal 2 2 2 4 2 17 12" xfId="19746" xr:uid="{00000000-0005-0000-0000-00001A4D0000}"/>
    <cellStyle name="Normal 2 2 2 4 2 17 13" xfId="19747" xr:uid="{00000000-0005-0000-0000-00001B4D0000}"/>
    <cellStyle name="Normal 2 2 2 4 2 17 14" xfId="19748" xr:uid="{00000000-0005-0000-0000-00001C4D0000}"/>
    <cellStyle name="Normal 2 2 2 4 2 17 2" xfId="19749" xr:uid="{00000000-0005-0000-0000-00001D4D0000}"/>
    <cellStyle name="Normal 2 2 2 4 2 17 2 10" xfId="19750" xr:uid="{00000000-0005-0000-0000-00001E4D0000}"/>
    <cellStyle name="Normal 2 2 2 4 2 17 2 2" xfId="19751" xr:uid="{00000000-0005-0000-0000-00001F4D0000}"/>
    <cellStyle name="Normal 2 2 2 4 2 17 2 3" xfId="19752" xr:uid="{00000000-0005-0000-0000-0000204D0000}"/>
    <cellStyle name="Normal 2 2 2 4 2 17 2 4" xfId="19753" xr:uid="{00000000-0005-0000-0000-0000214D0000}"/>
    <cellStyle name="Normal 2 2 2 4 2 17 2 5" xfId="19754" xr:uid="{00000000-0005-0000-0000-0000224D0000}"/>
    <cellStyle name="Normal 2 2 2 4 2 17 2 6" xfId="19755" xr:uid="{00000000-0005-0000-0000-0000234D0000}"/>
    <cellStyle name="Normal 2 2 2 4 2 17 2 7" xfId="19756" xr:uid="{00000000-0005-0000-0000-0000244D0000}"/>
    <cellStyle name="Normal 2 2 2 4 2 17 2 8" xfId="19757" xr:uid="{00000000-0005-0000-0000-0000254D0000}"/>
    <cellStyle name="Normal 2 2 2 4 2 17 2 9" xfId="19758" xr:uid="{00000000-0005-0000-0000-0000264D0000}"/>
    <cellStyle name="Normal 2 2 2 4 2 17 3" xfId="19759" xr:uid="{00000000-0005-0000-0000-0000274D0000}"/>
    <cellStyle name="Normal 2 2 2 4 2 17 3 10" xfId="19760" xr:uid="{00000000-0005-0000-0000-0000284D0000}"/>
    <cellStyle name="Normal 2 2 2 4 2 17 3 2" xfId="19761" xr:uid="{00000000-0005-0000-0000-0000294D0000}"/>
    <cellStyle name="Normal 2 2 2 4 2 17 3 3" xfId="19762" xr:uid="{00000000-0005-0000-0000-00002A4D0000}"/>
    <cellStyle name="Normal 2 2 2 4 2 17 3 4" xfId="19763" xr:uid="{00000000-0005-0000-0000-00002B4D0000}"/>
    <cellStyle name="Normal 2 2 2 4 2 17 3 5" xfId="19764" xr:uid="{00000000-0005-0000-0000-00002C4D0000}"/>
    <cellStyle name="Normal 2 2 2 4 2 17 3 6" xfId="19765" xr:uid="{00000000-0005-0000-0000-00002D4D0000}"/>
    <cellStyle name="Normal 2 2 2 4 2 17 3 7" xfId="19766" xr:uid="{00000000-0005-0000-0000-00002E4D0000}"/>
    <cellStyle name="Normal 2 2 2 4 2 17 3 8" xfId="19767" xr:uid="{00000000-0005-0000-0000-00002F4D0000}"/>
    <cellStyle name="Normal 2 2 2 4 2 17 3 9" xfId="19768" xr:uid="{00000000-0005-0000-0000-0000304D0000}"/>
    <cellStyle name="Normal 2 2 2 4 2 17 4" xfId="19769" xr:uid="{00000000-0005-0000-0000-0000314D0000}"/>
    <cellStyle name="Normal 2 2 2 4 2 17 4 10" xfId="19770" xr:uid="{00000000-0005-0000-0000-0000324D0000}"/>
    <cellStyle name="Normal 2 2 2 4 2 17 4 2" xfId="19771" xr:uid="{00000000-0005-0000-0000-0000334D0000}"/>
    <cellStyle name="Normal 2 2 2 4 2 17 4 3" xfId="19772" xr:uid="{00000000-0005-0000-0000-0000344D0000}"/>
    <cellStyle name="Normal 2 2 2 4 2 17 4 4" xfId="19773" xr:uid="{00000000-0005-0000-0000-0000354D0000}"/>
    <cellStyle name="Normal 2 2 2 4 2 17 4 5" xfId="19774" xr:uid="{00000000-0005-0000-0000-0000364D0000}"/>
    <cellStyle name="Normal 2 2 2 4 2 17 4 6" xfId="19775" xr:uid="{00000000-0005-0000-0000-0000374D0000}"/>
    <cellStyle name="Normal 2 2 2 4 2 17 4 7" xfId="19776" xr:uid="{00000000-0005-0000-0000-0000384D0000}"/>
    <cellStyle name="Normal 2 2 2 4 2 17 4 8" xfId="19777" xr:uid="{00000000-0005-0000-0000-0000394D0000}"/>
    <cellStyle name="Normal 2 2 2 4 2 17 4 9" xfId="19778" xr:uid="{00000000-0005-0000-0000-00003A4D0000}"/>
    <cellStyle name="Normal 2 2 2 4 2 17 5" xfId="19779" xr:uid="{00000000-0005-0000-0000-00003B4D0000}"/>
    <cellStyle name="Normal 2 2 2 4 2 17 5 10" xfId="19780" xr:uid="{00000000-0005-0000-0000-00003C4D0000}"/>
    <cellStyle name="Normal 2 2 2 4 2 17 5 2" xfId="19781" xr:uid="{00000000-0005-0000-0000-00003D4D0000}"/>
    <cellStyle name="Normal 2 2 2 4 2 17 5 3" xfId="19782" xr:uid="{00000000-0005-0000-0000-00003E4D0000}"/>
    <cellStyle name="Normal 2 2 2 4 2 17 5 4" xfId="19783" xr:uid="{00000000-0005-0000-0000-00003F4D0000}"/>
    <cellStyle name="Normal 2 2 2 4 2 17 5 5" xfId="19784" xr:uid="{00000000-0005-0000-0000-0000404D0000}"/>
    <cellStyle name="Normal 2 2 2 4 2 17 5 6" xfId="19785" xr:uid="{00000000-0005-0000-0000-0000414D0000}"/>
    <cellStyle name="Normal 2 2 2 4 2 17 5 7" xfId="19786" xr:uid="{00000000-0005-0000-0000-0000424D0000}"/>
    <cellStyle name="Normal 2 2 2 4 2 17 5 8" xfId="19787" xr:uid="{00000000-0005-0000-0000-0000434D0000}"/>
    <cellStyle name="Normal 2 2 2 4 2 17 5 9" xfId="19788" xr:uid="{00000000-0005-0000-0000-0000444D0000}"/>
    <cellStyle name="Normal 2 2 2 4 2 17 6" xfId="19789" xr:uid="{00000000-0005-0000-0000-0000454D0000}"/>
    <cellStyle name="Normal 2 2 2 4 2 17 7" xfId="19790" xr:uid="{00000000-0005-0000-0000-0000464D0000}"/>
    <cellStyle name="Normal 2 2 2 4 2 17 8" xfId="19791" xr:uid="{00000000-0005-0000-0000-0000474D0000}"/>
    <cellStyle name="Normal 2 2 2 4 2 17 9" xfId="19792" xr:uid="{00000000-0005-0000-0000-0000484D0000}"/>
    <cellStyle name="Normal 2 2 2 4 2 18" xfId="19793" xr:uid="{00000000-0005-0000-0000-0000494D0000}"/>
    <cellStyle name="Normal 2 2 2 4 2 18 10" xfId="19794" xr:uid="{00000000-0005-0000-0000-00004A4D0000}"/>
    <cellStyle name="Normal 2 2 2 4 2 18 11" xfId="19795" xr:uid="{00000000-0005-0000-0000-00004B4D0000}"/>
    <cellStyle name="Normal 2 2 2 4 2 18 12" xfId="19796" xr:uid="{00000000-0005-0000-0000-00004C4D0000}"/>
    <cellStyle name="Normal 2 2 2 4 2 18 13" xfId="19797" xr:uid="{00000000-0005-0000-0000-00004D4D0000}"/>
    <cellStyle name="Normal 2 2 2 4 2 18 14" xfId="19798" xr:uid="{00000000-0005-0000-0000-00004E4D0000}"/>
    <cellStyle name="Normal 2 2 2 4 2 18 2" xfId="19799" xr:uid="{00000000-0005-0000-0000-00004F4D0000}"/>
    <cellStyle name="Normal 2 2 2 4 2 18 2 10" xfId="19800" xr:uid="{00000000-0005-0000-0000-0000504D0000}"/>
    <cellStyle name="Normal 2 2 2 4 2 18 2 2" xfId="19801" xr:uid="{00000000-0005-0000-0000-0000514D0000}"/>
    <cellStyle name="Normal 2 2 2 4 2 18 2 3" xfId="19802" xr:uid="{00000000-0005-0000-0000-0000524D0000}"/>
    <cellStyle name="Normal 2 2 2 4 2 18 2 4" xfId="19803" xr:uid="{00000000-0005-0000-0000-0000534D0000}"/>
    <cellStyle name="Normal 2 2 2 4 2 18 2 5" xfId="19804" xr:uid="{00000000-0005-0000-0000-0000544D0000}"/>
    <cellStyle name="Normal 2 2 2 4 2 18 2 6" xfId="19805" xr:uid="{00000000-0005-0000-0000-0000554D0000}"/>
    <cellStyle name="Normal 2 2 2 4 2 18 2 7" xfId="19806" xr:uid="{00000000-0005-0000-0000-0000564D0000}"/>
    <cellStyle name="Normal 2 2 2 4 2 18 2 8" xfId="19807" xr:uid="{00000000-0005-0000-0000-0000574D0000}"/>
    <cellStyle name="Normal 2 2 2 4 2 18 2 9" xfId="19808" xr:uid="{00000000-0005-0000-0000-0000584D0000}"/>
    <cellStyle name="Normal 2 2 2 4 2 18 3" xfId="19809" xr:uid="{00000000-0005-0000-0000-0000594D0000}"/>
    <cellStyle name="Normal 2 2 2 4 2 18 3 10" xfId="19810" xr:uid="{00000000-0005-0000-0000-00005A4D0000}"/>
    <cellStyle name="Normal 2 2 2 4 2 18 3 2" xfId="19811" xr:uid="{00000000-0005-0000-0000-00005B4D0000}"/>
    <cellStyle name="Normal 2 2 2 4 2 18 3 3" xfId="19812" xr:uid="{00000000-0005-0000-0000-00005C4D0000}"/>
    <cellStyle name="Normal 2 2 2 4 2 18 3 4" xfId="19813" xr:uid="{00000000-0005-0000-0000-00005D4D0000}"/>
    <cellStyle name="Normal 2 2 2 4 2 18 3 5" xfId="19814" xr:uid="{00000000-0005-0000-0000-00005E4D0000}"/>
    <cellStyle name="Normal 2 2 2 4 2 18 3 6" xfId="19815" xr:uid="{00000000-0005-0000-0000-00005F4D0000}"/>
    <cellStyle name="Normal 2 2 2 4 2 18 3 7" xfId="19816" xr:uid="{00000000-0005-0000-0000-0000604D0000}"/>
    <cellStyle name="Normal 2 2 2 4 2 18 3 8" xfId="19817" xr:uid="{00000000-0005-0000-0000-0000614D0000}"/>
    <cellStyle name="Normal 2 2 2 4 2 18 3 9" xfId="19818" xr:uid="{00000000-0005-0000-0000-0000624D0000}"/>
    <cellStyle name="Normal 2 2 2 4 2 18 4" xfId="19819" xr:uid="{00000000-0005-0000-0000-0000634D0000}"/>
    <cellStyle name="Normal 2 2 2 4 2 18 4 10" xfId="19820" xr:uid="{00000000-0005-0000-0000-0000644D0000}"/>
    <cellStyle name="Normal 2 2 2 4 2 18 4 2" xfId="19821" xr:uid="{00000000-0005-0000-0000-0000654D0000}"/>
    <cellStyle name="Normal 2 2 2 4 2 18 4 3" xfId="19822" xr:uid="{00000000-0005-0000-0000-0000664D0000}"/>
    <cellStyle name="Normal 2 2 2 4 2 18 4 4" xfId="19823" xr:uid="{00000000-0005-0000-0000-0000674D0000}"/>
    <cellStyle name="Normal 2 2 2 4 2 18 4 5" xfId="19824" xr:uid="{00000000-0005-0000-0000-0000684D0000}"/>
    <cellStyle name="Normal 2 2 2 4 2 18 4 6" xfId="19825" xr:uid="{00000000-0005-0000-0000-0000694D0000}"/>
    <cellStyle name="Normal 2 2 2 4 2 18 4 7" xfId="19826" xr:uid="{00000000-0005-0000-0000-00006A4D0000}"/>
    <cellStyle name="Normal 2 2 2 4 2 18 4 8" xfId="19827" xr:uid="{00000000-0005-0000-0000-00006B4D0000}"/>
    <cellStyle name="Normal 2 2 2 4 2 18 4 9" xfId="19828" xr:uid="{00000000-0005-0000-0000-00006C4D0000}"/>
    <cellStyle name="Normal 2 2 2 4 2 18 5" xfId="19829" xr:uid="{00000000-0005-0000-0000-00006D4D0000}"/>
    <cellStyle name="Normal 2 2 2 4 2 18 5 10" xfId="19830" xr:uid="{00000000-0005-0000-0000-00006E4D0000}"/>
    <cellStyle name="Normal 2 2 2 4 2 18 5 2" xfId="19831" xr:uid="{00000000-0005-0000-0000-00006F4D0000}"/>
    <cellStyle name="Normal 2 2 2 4 2 18 5 3" xfId="19832" xr:uid="{00000000-0005-0000-0000-0000704D0000}"/>
    <cellStyle name="Normal 2 2 2 4 2 18 5 4" xfId="19833" xr:uid="{00000000-0005-0000-0000-0000714D0000}"/>
    <cellStyle name="Normal 2 2 2 4 2 18 5 5" xfId="19834" xr:uid="{00000000-0005-0000-0000-0000724D0000}"/>
    <cellStyle name="Normal 2 2 2 4 2 18 5 6" xfId="19835" xr:uid="{00000000-0005-0000-0000-0000734D0000}"/>
    <cellStyle name="Normal 2 2 2 4 2 18 5 7" xfId="19836" xr:uid="{00000000-0005-0000-0000-0000744D0000}"/>
    <cellStyle name="Normal 2 2 2 4 2 18 5 8" xfId="19837" xr:uid="{00000000-0005-0000-0000-0000754D0000}"/>
    <cellStyle name="Normal 2 2 2 4 2 18 5 9" xfId="19838" xr:uid="{00000000-0005-0000-0000-0000764D0000}"/>
    <cellStyle name="Normal 2 2 2 4 2 18 6" xfId="19839" xr:uid="{00000000-0005-0000-0000-0000774D0000}"/>
    <cellStyle name="Normal 2 2 2 4 2 18 7" xfId="19840" xr:uid="{00000000-0005-0000-0000-0000784D0000}"/>
    <cellStyle name="Normal 2 2 2 4 2 18 8" xfId="19841" xr:uid="{00000000-0005-0000-0000-0000794D0000}"/>
    <cellStyle name="Normal 2 2 2 4 2 18 9" xfId="19842" xr:uid="{00000000-0005-0000-0000-00007A4D0000}"/>
    <cellStyle name="Normal 2 2 2 4 2 19" xfId="19843" xr:uid="{00000000-0005-0000-0000-00007B4D0000}"/>
    <cellStyle name="Normal 2 2 2 4 2 19 10" xfId="19844" xr:uid="{00000000-0005-0000-0000-00007C4D0000}"/>
    <cellStyle name="Normal 2 2 2 4 2 19 11" xfId="19845" xr:uid="{00000000-0005-0000-0000-00007D4D0000}"/>
    <cellStyle name="Normal 2 2 2 4 2 19 12" xfId="19846" xr:uid="{00000000-0005-0000-0000-00007E4D0000}"/>
    <cellStyle name="Normal 2 2 2 4 2 19 13" xfId="19847" xr:uid="{00000000-0005-0000-0000-00007F4D0000}"/>
    <cellStyle name="Normal 2 2 2 4 2 19 14" xfId="19848" xr:uid="{00000000-0005-0000-0000-0000804D0000}"/>
    <cellStyle name="Normal 2 2 2 4 2 19 2" xfId="19849" xr:uid="{00000000-0005-0000-0000-0000814D0000}"/>
    <cellStyle name="Normal 2 2 2 4 2 19 2 10" xfId="19850" xr:uid="{00000000-0005-0000-0000-0000824D0000}"/>
    <cellStyle name="Normal 2 2 2 4 2 19 2 2" xfId="19851" xr:uid="{00000000-0005-0000-0000-0000834D0000}"/>
    <cellStyle name="Normal 2 2 2 4 2 19 2 3" xfId="19852" xr:uid="{00000000-0005-0000-0000-0000844D0000}"/>
    <cellStyle name="Normal 2 2 2 4 2 19 2 4" xfId="19853" xr:uid="{00000000-0005-0000-0000-0000854D0000}"/>
    <cellStyle name="Normal 2 2 2 4 2 19 2 5" xfId="19854" xr:uid="{00000000-0005-0000-0000-0000864D0000}"/>
    <cellStyle name="Normal 2 2 2 4 2 19 2 6" xfId="19855" xr:uid="{00000000-0005-0000-0000-0000874D0000}"/>
    <cellStyle name="Normal 2 2 2 4 2 19 2 7" xfId="19856" xr:uid="{00000000-0005-0000-0000-0000884D0000}"/>
    <cellStyle name="Normal 2 2 2 4 2 19 2 8" xfId="19857" xr:uid="{00000000-0005-0000-0000-0000894D0000}"/>
    <cellStyle name="Normal 2 2 2 4 2 19 2 9" xfId="19858" xr:uid="{00000000-0005-0000-0000-00008A4D0000}"/>
    <cellStyle name="Normal 2 2 2 4 2 19 3" xfId="19859" xr:uid="{00000000-0005-0000-0000-00008B4D0000}"/>
    <cellStyle name="Normal 2 2 2 4 2 19 3 10" xfId="19860" xr:uid="{00000000-0005-0000-0000-00008C4D0000}"/>
    <cellStyle name="Normal 2 2 2 4 2 19 3 2" xfId="19861" xr:uid="{00000000-0005-0000-0000-00008D4D0000}"/>
    <cellStyle name="Normal 2 2 2 4 2 19 3 3" xfId="19862" xr:uid="{00000000-0005-0000-0000-00008E4D0000}"/>
    <cellStyle name="Normal 2 2 2 4 2 19 3 4" xfId="19863" xr:uid="{00000000-0005-0000-0000-00008F4D0000}"/>
    <cellStyle name="Normal 2 2 2 4 2 19 3 5" xfId="19864" xr:uid="{00000000-0005-0000-0000-0000904D0000}"/>
    <cellStyle name="Normal 2 2 2 4 2 19 3 6" xfId="19865" xr:uid="{00000000-0005-0000-0000-0000914D0000}"/>
    <cellStyle name="Normal 2 2 2 4 2 19 3 7" xfId="19866" xr:uid="{00000000-0005-0000-0000-0000924D0000}"/>
    <cellStyle name="Normal 2 2 2 4 2 19 3 8" xfId="19867" xr:uid="{00000000-0005-0000-0000-0000934D0000}"/>
    <cellStyle name="Normal 2 2 2 4 2 19 3 9" xfId="19868" xr:uid="{00000000-0005-0000-0000-0000944D0000}"/>
    <cellStyle name="Normal 2 2 2 4 2 19 4" xfId="19869" xr:uid="{00000000-0005-0000-0000-0000954D0000}"/>
    <cellStyle name="Normal 2 2 2 4 2 19 4 10" xfId="19870" xr:uid="{00000000-0005-0000-0000-0000964D0000}"/>
    <cellStyle name="Normal 2 2 2 4 2 19 4 2" xfId="19871" xr:uid="{00000000-0005-0000-0000-0000974D0000}"/>
    <cellStyle name="Normal 2 2 2 4 2 19 4 3" xfId="19872" xr:uid="{00000000-0005-0000-0000-0000984D0000}"/>
    <cellStyle name="Normal 2 2 2 4 2 19 4 4" xfId="19873" xr:uid="{00000000-0005-0000-0000-0000994D0000}"/>
    <cellStyle name="Normal 2 2 2 4 2 19 4 5" xfId="19874" xr:uid="{00000000-0005-0000-0000-00009A4D0000}"/>
    <cellStyle name="Normal 2 2 2 4 2 19 4 6" xfId="19875" xr:uid="{00000000-0005-0000-0000-00009B4D0000}"/>
    <cellStyle name="Normal 2 2 2 4 2 19 4 7" xfId="19876" xr:uid="{00000000-0005-0000-0000-00009C4D0000}"/>
    <cellStyle name="Normal 2 2 2 4 2 19 4 8" xfId="19877" xr:uid="{00000000-0005-0000-0000-00009D4D0000}"/>
    <cellStyle name="Normal 2 2 2 4 2 19 4 9" xfId="19878" xr:uid="{00000000-0005-0000-0000-00009E4D0000}"/>
    <cellStyle name="Normal 2 2 2 4 2 19 5" xfId="19879" xr:uid="{00000000-0005-0000-0000-00009F4D0000}"/>
    <cellStyle name="Normal 2 2 2 4 2 19 5 10" xfId="19880" xr:uid="{00000000-0005-0000-0000-0000A04D0000}"/>
    <cellStyle name="Normal 2 2 2 4 2 19 5 2" xfId="19881" xr:uid="{00000000-0005-0000-0000-0000A14D0000}"/>
    <cellStyle name="Normal 2 2 2 4 2 19 5 3" xfId="19882" xr:uid="{00000000-0005-0000-0000-0000A24D0000}"/>
    <cellStyle name="Normal 2 2 2 4 2 19 5 4" xfId="19883" xr:uid="{00000000-0005-0000-0000-0000A34D0000}"/>
    <cellStyle name="Normal 2 2 2 4 2 19 5 5" xfId="19884" xr:uid="{00000000-0005-0000-0000-0000A44D0000}"/>
    <cellStyle name="Normal 2 2 2 4 2 19 5 6" xfId="19885" xr:uid="{00000000-0005-0000-0000-0000A54D0000}"/>
    <cellStyle name="Normal 2 2 2 4 2 19 5 7" xfId="19886" xr:uid="{00000000-0005-0000-0000-0000A64D0000}"/>
    <cellStyle name="Normal 2 2 2 4 2 19 5 8" xfId="19887" xr:uid="{00000000-0005-0000-0000-0000A74D0000}"/>
    <cellStyle name="Normal 2 2 2 4 2 19 5 9" xfId="19888" xr:uid="{00000000-0005-0000-0000-0000A84D0000}"/>
    <cellStyle name="Normal 2 2 2 4 2 19 6" xfId="19889" xr:uid="{00000000-0005-0000-0000-0000A94D0000}"/>
    <cellStyle name="Normal 2 2 2 4 2 19 7" xfId="19890" xr:uid="{00000000-0005-0000-0000-0000AA4D0000}"/>
    <cellStyle name="Normal 2 2 2 4 2 19 8" xfId="19891" xr:uid="{00000000-0005-0000-0000-0000AB4D0000}"/>
    <cellStyle name="Normal 2 2 2 4 2 19 9" xfId="19892" xr:uid="{00000000-0005-0000-0000-0000AC4D0000}"/>
    <cellStyle name="Normal 2 2 2 4 2 2" xfId="19893" xr:uid="{00000000-0005-0000-0000-0000AD4D0000}"/>
    <cellStyle name="Normal 2 2 2 4 2 2 10" xfId="19894" xr:uid="{00000000-0005-0000-0000-0000AE4D0000}"/>
    <cellStyle name="Normal 2 2 2 4 2 2 11" xfId="19895" xr:uid="{00000000-0005-0000-0000-0000AF4D0000}"/>
    <cellStyle name="Normal 2 2 2 4 2 2 12" xfId="19896" xr:uid="{00000000-0005-0000-0000-0000B04D0000}"/>
    <cellStyle name="Normal 2 2 2 4 2 2 13" xfId="19897" xr:uid="{00000000-0005-0000-0000-0000B14D0000}"/>
    <cellStyle name="Normal 2 2 2 4 2 2 14" xfId="19898" xr:uid="{00000000-0005-0000-0000-0000B24D0000}"/>
    <cellStyle name="Normal 2 2 2 4 2 2 15" xfId="19899" xr:uid="{00000000-0005-0000-0000-0000B34D0000}"/>
    <cellStyle name="Normal 2 2 2 4 2 2 16" xfId="19900" xr:uid="{00000000-0005-0000-0000-0000B44D0000}"/>
    <cellStyle name="Normal 2 2 2 4 2 2 17" xfId="19901" xr:uid="{00000000-0005-0000-0000-0000B54D0000}"/>
    <cellStyle name="Normal 2 2 2 4 2 2 18" xfId="19902" xr:uid="{00000000-0005-0000-0000-0000B64D0000}"/>
    <cellStyle name="Normal 2 2 2 4 2 2 19" xfId="19903" xr:uid="{00000000-0005-0000-0000-0000B74D0000}"/>
    <cellStyle name="Normal 2 2 2 4 2 2 2" xfId="19904" xr:uid="{00000000-0005-0000-0000-0000B84D0000}"/>
    <cellStyle name="Normal 2 2 2 4 2 2 20" xfId="19905" xr:uid="{00000000-0005-0000-0000-0000B94D0000}"/>
    <cellStyle name="Normal 2 2 2 4 2 2 21" xfId="19906" xr:uid="{00000000-0005-0000-0000-0000BA4D0000}"/>
    <cellStyle name="Normal 2 2 2 4 2 2 21 10" xfId="19907" xr:uid="{00000000-0005-0000-0000-0000BB4D0000}"/>
    <cellStyle name="Normal 2 2 2 4 2 2 21 2" xfId="19908" xr:uid="{00000000-0005-0000-0000-0000BC4D0000}"/>
    <cellStyle name="Normal 2 2 2 4 2 2 21 3" xfId="19909" xr:uid="{00000000-0005-0000-0000-0000BD4D0000}"/>
    <cellStyle name="Normal 2 2 2 4 2 2 21 4" xfId="19910" xr:uid="{00000000-0005-0000-0000-0000BE4D0000}"/>
    <cellStyle name="Normal 2 2 2 4 2 2 21 5" xfId="19911" xr:uid="{00000000-0005-0000-0000-0000BF4D0000}"/>
    <cellStyle name="Normal 2 2 2 4 2 2 21 6" xfId="19912" xr:uid="{00000000-0005-0000-0000-0000C04D0000}"/>
    <cellStyle name="Normal 2 2 2 4 2 2 21 7" xfId="19913" xr:uid="{00000000-0005-0000-0000-0000C14D0000}"/>
    <cellStyle name="Normal 2 2 2 4 2 2 21 8" xfId="19914" xr:uid="{00000000-0005-0000-0000-0000C24D0000}"/>
    <cellStyle name="Normal 2 2 2 4 2 2 21 9" xfId="19915" xr:uid="{00000000-0005-0000-0000-0000C34D0000}"/>
    <cellStyle name="Normal 2 2 2 4 2 2 22" xfId="19916" xr:uid="{00000000-0005-0000-0000-0000C44D0000}"/>
    <cellStyle name="Normal 2 2 2 4 2 2 22 10" xfId="19917" xr:uid="{00000000-0005-0000-0000-0000C54D0000}"/>
    <cellStyle name="Normal 2 2 2 4 2 2 22 2" xfId="19918" xr:uid="{00000000-0005-0000-0000-0000C64D0000}"/>
    <cellStyle name="Normal 2 2 2 4 2 2 22 3" xfId="19919" xr:uid="{00000000-0005-0000-0000-0000C74D0000}"/>
    <cellStyle name="Normal 2 2 2 4 2 2 22 4" xfId="19920" xr:uid="{00000000-0005-0000-0000-0000C84D0000}"/>
    <cellStyle name="Normal 2 2 2 4 2 2 22 5" xfId="19921" xr:uid="{00000000-0005-0000-0000-0000C94D0000}"/>
    <cellStyle name="Normal 2 2 2 4 2 2 22 6" xfId="19922" xr:uid="{00000000-0005-0000-0000-0000CA4D0000}"/>
    <cellStyle name="Normal 2 2 2 4 2 2 22 7" xfId="19923" xr:uid="{00000000-0005-0000-0000-0000CB4D0000}"/>
    <cellStyle name="Normal 2 2 2 4 2 2 22 8" xfId="19924" xr:uid="{00000000-0005-0000-0000-0000CC4D0000}"/>
    <cellStyle name="Normal 2 2 2 4 2 2 22 9" xfId="19925" xr:uid="{00000000-0005-0000-0000-0000CD4D0000}"/>
    <cellStyle name="Normal 2 2 2 4 2 2 23" xfId="19926" xr:uid="{00000000-0005-0000-0000-0000CE4D0000}"/>
    <cellStyle name="Normal 2 2 2 4 2 2 23 10" xfId="19927" xr:uid="{00000000-0005-0000-0000-0000CF4D0000}"/>
    <cellStyle name="Normal 2 2 2 4 2 2 23 2" xfId="19928" xr:uid="{00000000-0005-0000-0000-0000D04D0000}"/>
    <cellStyle name="Normal 2 2 2 4 2 2 23 3" xfId="19929" xr:uid="{00000000-0005-0000-0000-0000D14D0000}"/>
    <cellStyle name="Normal 2 2 2 4 2 2 23 4" xfId="19930" xr:uid="{00000000-0005-0000-0000-0000D24D0000}"/>
    <cellStyle name="Normal 2 2 2 4 2 2 23 5" xfId="19931" xr:uid="{00000000-0005-0000-0000-0000D34D0000}"/>
    <cellStyle name="Normal 2 2 2 4 2 2 23 6" xfId="19932" xr:uid="{00000000-0005-0000-0000-0000D44D0000}"/>
    <cellStyle name="Normal 2 2 2 4 2 2 23 7" xfId="19933" xr:uid="{00000000-0005-0000-0000-0000D54D0000}"/>
    <cellStyle name="Normal 2 2 2 4 2 2 23 8" xfId="19934" xr:uid="{00000000-0005-0000-0000-0000D64D0000}"/>
    <cellStyle name="Normal 2 2 2 4 2 2 23 9" xfId="19935" xr:uid="{00000000-0005-0000-0000-0000D74D0000}"/>
    <cellStyle name="Normal 2 2 2 4 2 2 24" xfId="19936" xr:uid="{00000000-0005-0000-0000-0000D84D0000}"/>
    <cellStyle name="Normal 2 2 2 4 2 2 24 10" xfId="19937" xr:uid="{00000000-0005-0000-0000-0000D94D0000}"/>
    <cellStyle name="Normal 2 2 2 4 2 2 24 2" xfId="19938" xr:uid="{00000000-0005-0000-0000-0000DA4D0000}"/>
    <cellStyle name="Normal 2 2 2 4 2 2 24 3" xfId="19939" xr:uid="{00000000-0005-0000-0000-0000DB4D0000}"/>
    <cellStyle name="Normal 2 2 2 4 2 2 24 4" xfId="19940" xr:uid="{00000000-0005-0000-0000-0000DC4D0000}"/>
    <cellStyle name="Normal 2 2 2 4 2 2 24 5" xfId="19941" xr:uid="{00000000-0005-0000-0000-0000DD4D0000}"/>
    <cellStyle name="Normal 2 2 2 4 2 2 24 6" xfId="19942" xr:uid="{00000000-0005-0000-0000-0000DE4D0000}"/>
    <cellStyle name="Normal 2 2 2 4 2 2 24 7" xfId="19943" xr:uid="{00000000-0005-0000-0000-0000DF4D0000}"/>
    <cellStyle name="Normal 2 2 2 4 2 2 24 8" xfId="19944" xr:uid="{00000000-0005-0000-0000-0000E04D0000}"/>
    <cellStyle name="Normal 2 2 2 4 2 2 24 9" xfId="19945" xr:uid="{00000000-0005-0000-0000-0000E14D0000}"/>
    <cellStyle name="Normal 2 2 2 4 2 2 25" xfId="19946" xr:uid="{00000000-0005-0000-0000-0000E24D0000}"/>
    <cellStyle name="Normal 2 2 2 4 2 2 26" xfId="19947" xr:uid="{00000000-0005-0000-0000-0000E34D0000}"/>
    <cellStyle name="Normal 2 2 2 4 2 2 27" xfId="19948" xr:uid="{00000000-0005-0000-0000-0000E44D0000}"/>
    <cellStyle name="Normal 2 2 2 4 2 2 28" xfId="19949" xr:uid="{00000000-0005-0000-0000-0000E54D0000}"/>
    <cellStyle name="Normal 2 2 2 4 2 2 29" xfId="19950" xr:uid="{00000000-0005-0000-0000-0000E64D0000}"/>
    <cellStyle name="Normal 2 2 2 4 2 2 3" xfId="19951" xr:uid="{00000000-0005-0000-0000-0000E74D0000}"/>
    <cellStyle name="Normal 2 2 2 4 2 2 30" xfId="19952" xr:uid="{00000000-0005-0000-0000-0000E84D0000}"/>
    <cellStyle name="Normal 2 2 2 4 2 2 31" xfId="19953" xr:uid="{00000000-0005-0000-0000-0000E94D0000}"/>
    <cellStyle name="Normal 2 2 2 4 2 2 32" xfId="19954" xr:uid="{00000000-0005-0000-0000-0000EA4D0000}"/>
    <cellStyle name="Normal 2 2 2 4 2 2 33" xfId="19955" xr:uid="{00000000-0005-0000-0000-0000EB4D0000}"/>
    <cellStyle name="Normal 2 2 2 4 2 2 34" xfId="19956" xr:uid="{00000000-0005-0000-0000-0000EC4D0000}"/>
    <cellStyle name="Normal 2 2 2 4 2 2 35" xfId="19957" xr:uid="{00000000-0005-0000-0000-0000ED4D0000}"/>
    <cellStyle name="Normal 2 2 2 4 2 2 4" xfId="19958" xr:uid="{00000000-0005-0000-0000-0000EE4D0000}"/>
    <cellStyle name="Normal 2 2 2 4 2 2 5" xfId="19959" xr:uid="{00000000-0005-0000-0000-0000EF4D0000}"/>
    <cellStyle name="Normal 2 2 2 4 2 2 6" xfId="19960" xr:uid="{00000000-0005-0000-0000-0000F04D0000}"/>
    <cellStyle name="Normal 2 2 2 4 2 2 7" xfId="19961" xr:uid="{00000000-0005-0000-0000-0000F14D0000}"/>
    <cellStyle name="Normal 2 2 2 4 2 2 8" xfId="19962" xr:uid="{00000000-0005-0000-0000-0000F24D0000}"/>
    <cellStyle name="Normal 2 2 2 4 2 2 9" xfId="19963" xr:uid="{00000000-0005-0000-0000-0000F34D0000}"/>
    <cellStyle name="Normal 2 2 2 4 2 20" xfId="19964" xr:uid="{00000000-0005-0000-0000-0000F44D0000}"/>
    <cellStyle name="Normal 2 2 2 4 2 20 10" xfId="19965" xr:uid="{00000000-0005-0000-0000-0000F54D0000}"/>
    <cellStyle name="Normal 2 2 2 4 2 20 11" xfId="19966" xr:uid="{00000000-0005-0000-0000-0000F64D0000}"/>
    <cellStyle name="Normal 2 2 2 4 2 20 12" xfId="19967" xr:uid="{00000000-0005-0000-0000-0000F74D0000}"/>
    <cellStyle name="Normal 2 2 2 4 2 20 13" xfId="19968" xr:uid="{00000000-0005-0000-0000-0000F84D0000}"/>
    <cellStyle name="Normal 2 2 2 4 2 20 14" xfId="19969" xr:uid="{00000000-0005-0000-0000-0000F94D0000}"/>
    <cellStyle name="Normal 2 2 2 4 2 20 2" xfId="19970" xr:uid="{00000000-0005-0000-0000-0000FA4D0000}"/>
    <cellStyle name="Normal 2 2 2 4 2 20 2 10" xfId="19971" xr:uid="{00000000-0005-0000-0000-0000FB4D0000}"/>
    <cellStyle name="Normal 2 2 2 4 2 20 2 2" xfId="19972" xr:uid="{00000000-0005-0000-0000-0000FC4D0000}"/>
    <cellStyle name="Normal 2 2 2 4 2 20 2 3" xfId="19973" xr:uid="{00000000-0005-0000-0000-0000FD4D0000}"/>
    <cellStyle name="Normal 2 2 2 4 2 20 2 4" xfId="19974" xr:uid="{00000000-0005-0000-0000-0000FE4D0000}"/>
    <cellStyle name="Normal 2 2 2 4 2 20 2 5" xfId="19975" xr:uid="{00000000-0005-0000-0000-0000FF4D0000}"/>
    <cellStyle name="Normal 2 2 2 4 2 20 2 6" xfId="19976" xr:uid="{00000000-0005-0000-0000-0000004E0000}"/>
    <cellStyle name="Normal 2 2 2 4 2 20 2 7" xfId="19977" xr:uid="{00000000-0005-0000-0000-0000014E0000}"/>
    <cellStyle name="Normal 2 2 2 4 2 20 2 8" xfId="19978" xr:uid="{00000000-0005-0000-0000-0000024E0000}"/>
    <cellStyle name="Normal 2 2 2 4 2 20 2 9" xfId="19979" xr:uid="{00000000-0005-0000-0000-0000034E0000}"/>
    <cellStyle name="Normal 2 2 2 4 2 20 3" xfId="19980" xr:uid="{00000000-0005-0000-0000-0000044E0000}"/>
    <cellStyle name="Normal 2 2 2 4 2 20 3 10" xfId="19981" xr:uid="{00000000-0005-0000-0000-0000054E0000}"/>
    <cellStyle name="Normal 2 2 2 4 2 20 3 2" xfId="19982" xr:uid="{00000000-0005-0000-0000-0000064E0000}"/>
    <cellStyle name="Normal 2 2 2 4 2 20 3 3" xfId="19983" xr:uid="{00000000-0005-0000-0000-0000074E0000}"/>
    <cellStyle name="Normal 2 2 2 4 2 20 3 4" xfId="19984" xr:uid="{00000000-0005-0000-0000-0000084E0000}"/>
    <cellStyle name="Normal 2 2 2 4 2 20 3 5" xfId="19985" xr:uid="{00000000-0005-0000-0000-0000094E0000}"/>
    <cellStyle name="Normal 2 2 2 4 2 20 3 6" xfId="19986" xr:uid="{00000000-0005-0000-0000-00000A4E0000}"/>
    <cellStyle name="Normal 2 2 2 4 2 20 3 7" xfId="19987" xr:uid="{00000000-0005-0000-0000-00000B4E0000}"/>
    <cellStyle name="Normal 2 2 2 4 2 20 3 8" xfId="19988" xr:uid="{00000000-0005-0000-0000-00000C4E0000}"/>
    <cellStyle name="Normal 2 2 2 4 2 20 3 9" xfId="19989" xr:uid="{00000000-0005-0000-0000-00000D4E0000}"/>
    <cellStyle name="Normal 2 2 2 4 2 20 4" xfId="19990" xr:uid="{00000000-0005-0000-0000-00000E4E0000}"/>
    <cellStyle name="Normal 2 2 2 4 2 20 4 10" xfId="19991" xr:uid="{00000000-0005-0000-0000-00000F4E0000}"/>
    <cellStyle name="Normal 2 2 2 4 2 20 4 2" xfId="19992" xr:uid="{00000000-0005-0000-0000-0000104E0000}"/>
    <cellStyle name="Normal 2 2 2 4 2 20 4 3" xfId="19993" xr:uid="{00000000-0005-0000-0000-0000114E0000}"/>
    <cellStyle name="Normal 2 2 2 4 2 20 4 4" xfId="19994" xr:uid="{00000000-0005-0000-0000-0000124E0000}"/>
    <cellStyle name="Normal 2 2 2 4 2 20 4 5" xfId="19995" xr:uid="{00000000-0005-0000-0000-0000134E0000}"/>
    <cellStyle name="Normal 2 2 2 4 2 20 4 6" xfId="19996" xr:uid="{00000000-0005-0000-0000-0000144E0000}"/>
    <cellStyle name="Normal 2 2 2 4 2 20 4 7" xfId="19997" xr:uid="{00000000-0005-0000-0000-0000154E0000}"/>
    <cellStyle name="Normal 2 2 2 4 2 20 4 8" xfId="19998" xr:uid="{00000000-0005-0000-0000-0000164E0000}"/>
    <cellStyle name="Normal 2 2 2 4 2 20 4 9" xfId="19999" xr:uid="{00000000-0005-0000-0000-0000174E0000}"/>
    <cellStyle name="Normal 2 2 2 4 2 20 5" xfId="20000" xr:uid="{00000000-0005-0000-0000-0000184E0000}"/>
    <cellStyle name="Normal 2 2 2 4 2 20 5 10" xfId="20001" xr:uid="{00000000-0005-0000-0000-0000194E0000}"/>
    <cellStyle name="Normal 2 2 2 4 2 20 5 2" xfId="20002" xr:uid="{00000000-0005-0000-0000-00001A4E0000}"/>
    <cellStyle name="Normal 2 2 2 4 2 20 5 3" xfId="20003" xr:uid="{00000000-0005-0000-0000-00001B4E0000}"/>
    <cellStyle name="Normal 2 2 2 4 2 20 5 4" xfId="20004" xr:uid="{00000000-0005-0000-0000-00001C4E0000}"/>
    <cellStyle name="Normal 2 2 2 4 2 20 5 5" xfId="20005" xr:uid="{00000000-0005-0000-0000-00001D4E0000}"/>
    <cellStyle name="Normal 2 2 2 4 2 20 5 6" xfId="20006" xr:uid="{00000000-0005-0000-0000-00001E4E0000}"/>
    <cellStyle name="Normal 2 2 2 4 2 20 5 7" xfId="20007" xr:uid="{00000000-0005-0000-0000-00001F4E0000}"/>
    <cellStyle name="Normal 2 2 2 4 2 20 5 8" xfId="20008" xr:uid="{00000000-0005-0000-0000-0000204E0000}"/>
    <cellStyle name="Normal 2 2 2 4 2 20 5 9" xfId="20009" xr:uid="{00000000-0005-0000-0000-0000214E0000}"/>
    <cellStyle name="Normal 2 2 2 4 2 20 6" xfId="20010" xr:uid="{00000000-0005-0000-0000-0000224E0000}"/>
    <cellStyle name="Normal 2 2 2 4 2 20 7" xfId="20011" xr:uid="{00000000-0005-0000-0000-0000234E0000}"/>
    <cellStyle name="Normal 2 2 2 4 2 20 8" xfId="20012" xr:uid="{00000000-0005-0000-0000-0000244E0000}"/>
    <cellStyle name="Normal 2 2 2 4 2 20 9" xfId="20013" xr:uid="{00000000-0005-0000-0000-0000254E0000}"/>
    <cellStyle name="Normal 2 2 2 4 2 21" xfId="20014" xr:uid="{00000000-0005-0000-0000-0000264E0000}"/>
    <cellStyle name="Normal 2 2 2 4 2 22" xfId="20015" xr:uid="{00000000-0005-0000-0000-0000274E0000}"/>
    <cellStyle name="Normal 2 2 2 4 2 3" xfId="20016" xr:uid="{00000000-0005-0000-0000-0000284E0000}"/>
    <cellStyle name="Normal 2 2 2 4 2 3 10" xfId="20017" xr:uid="{00000000-0005-0000-0000-0000294E0000}"/>
    <cellStyle name="Normal 2 2 2 4 2 3 11" xfId="20018" xr:uid="{00000000-0005-0000-0000-00002A4E0000}"/>
    <cellStyle name="Normal 2 2 2 4 2 3 12" xfId="20019" xr:uid="{00000000-0005-0000-0000-00002B4E0000}"/>
    <cellStyle name="Normal 2 2 2 4 2 3 13" xfId="20020" xr:uid="{00000000-0005-0000-0000-00002C4E0000}"/>
    <cellStyle name="Normal 2 2 2 4 2 3 14" xfId="20021" xr:uid="{00000000-0005-0000-0000-00002D4E0000}"/>
    <cellStyle name="Normal 2 2 2 4 2 3 2" xfId="20022" xr:uid="{00000000-0005-0000-0000-00002E4E0000}"/>
    <cellStyle name="Normal 2 2 2 4 2 3 2 10" xfId="20023" xr:uid="{00000000-0005-0000-0000-00002F4E0000}"/>
    <cellStyle name="Normal 2 2 2 4 2 3 2 2" xfId="20024" xr:uid="{00000000-0005-0000-0000-0000304E0000}"/>
    <cellStyle name="Normal 2 2 2 4 2 3 2 3" xfId="20025" xr:uid="{00000000-0005-0000-0000-0000314E0000}"/>
    <cellStyle name="Normal 2 2 2 4 2 3 2 4" xfId="20026" xr:uid="{00000000-0005-0000-0000-0000324E0000}"/>
    <cellStyle name="Normal 2 2 2 4 2 3 2 5" xfId="20027" xr:uid="{00000000-0005-0000-0000-0000334E0000}"/>
    <cellStyle name="Normal 2 2 2 4 2 3 2 6" xfId="20028" xr:uid="{00000000-0005-0000-0000-0000344E0000}"/>
    <cellStyle name="Normal 2 2 2 4 2 3 2 7" xfId="20029" xr:uid="{00000000-0005-0000-0000-0000354E0000}"/>
    <cellStyle name="Normal 2 2 2 4 2 3 2 8" xfId="20030" xr:uid="{00000000-0005-0000-0000-0000364E0000}"/>
    <cellStyle name="Normal 2 2 2 4 2 3 2 9" xfId="20031" xr:uid="{00000000-0005-0000-0000-0000374E0000}"/>
    <cellStyle name="Normal 2 2 2 4 2 3 3" xfId="20032" xr:uid="{00000000-0005-0000-0000-0000384E0000}"/>
    <cellStyle name="Normal 2 2 2 4 2 3 3 10" xfId="20033" xr:uid="{00000000-0005-0000-0000-0000394E0000}"/>
    <cellStyle name="Normal 2 2 2 4 2 3 3 2" xfId="20034" xr:uid="{00000000-0005-0000-0000-00003A4E0000}"/>
    <cellStyle name="Normal 2 2 2 4 2 3 3 3" xfId="20035" xr:uid="{00000000-0005-0000-0000-00003B4E0000}"/>
    <cellStyle name="Normal 2 2 2 4 2 3 3 4" xfId="20036" xr:uid="{00000000-0005-0000-0000-00003C4E0000}"/>
    <cellStyle name="Normal 2 2 2 4 2 3 3 5" xfId="20037" xr:uid="{00000000-0005-0000-0000-00003D4E0000}"/>
    <cellStyle name="Normal 2 2 2 4 2 3 3 6" xfId="20038" xr:uid="{00000000-0005-0000-0000-00003E4E0000}"/>
    <cellStyle name="Normal 2 2 2 4 2 3 3 7" xfId="20039" xr:uid="{00000000-0005-0000-0000-00003F4E0000}"/>
    <cellStyle name="Normal 2 2 2 4 2 3 3 8" xfId="20040" xr:uid="{00000000-0005-0000-0000-0000404E0000}"/>
    <cellStyle name="Normal 2 2 2 4 2 3 3 9" xfId="20041" xr:uid="{00000000-0005-0000-0000-0000414E0000}"/>
    <cellStyle name="Normal 2 2 2 4 2 3 4" xfId="20042" xr:uid="{00000000-0005-0000-0000-0000424E0000}"/>
    <cellStyle name="Normal 2 2 2 4 2 3 4 10" xfId="20043" xr:uid="{00000000-0005-0000-0000-0000434E0000}"/>
    <cellStyle name="Normal 2 2 2 4 2 3 4 2" xfId="20044" xr:uid="{00000000-0005-0000-0000-0000444E0000}"/>
    <cellStyle name="Normal 2 2 2 4 2 3 4 3" xfId="20045" xr:uid="{00000000-0005-0000-0000-0000454E0000}"/>
    <cellStyle name="Normal 2 2 2 4 2 3 4 4" xfId="20046" xr:uid="{00000000-0005-0000-0000-0000464E0000}"/>
    <cellStyle name="Normal 2 2 2 4 2 3 4 5" xfId="20047" xr:uid="{00000000-0005-0000-0000-0000474E0000}"/>
    <cellStyle name="Normal 2 2 2 4 2 3 4 6" xfId="20048" xr:uid="{00000000-0005-0000-0000-0000484E0000}"/>
    <cellStyle name="Normal 2 2 2 4 2 3 4 7" xfId="20049" xr:uid="{00000000-0005-0000-0000-0000494E0000}"/>
    <cellStyle name="Normal 2 2 2 4 2 3 4 8" xfId="20050" xr:uid="{00000000-0005-0000-0000-00004A4E0000}"/>
    <cellStyle name="Normal 2 2 2 4 2 3 4 9" xfId="20051" xr:uid="{00000000-0005-0000-0000-00004B4E0000}"/>
    <cellStyle name="Normal 2 2 2 4 2 3 5" xfId="20052" xr:uid="{00000000-0005-0000-0000-00004C4E0000}"/>
    <cellStyle name="Normal 2 2 2 4 2 3 5 10" xfId="20053" xr:uid="{00000000-0005-0000-0000-00004D4E0000}"/>
    <cellStyle name="Normal 2 2 2 4 2 3 5 2" xfId="20054" xr:uid="{00000000-0005-0000-0000-00004E4E0000}"/>
    <cellStyle name="Normal 2 2 2 4 2 3 5 3" xfId="20055" xr:uid="{00000000-0005-0000-0000-00004F4E0000}"/>
    <cellStyle name="Normal 2 2 2 4 2 3 5 4" xfId="20056" xr:uid="{00000000-0005-0000-0000-0000504E0000}"/>
    <cellStyle name="Normal 2 2 2 4 2 3 5 5" xfId="20057" xr:uid="{00000000-0005-0000-0000-0000514E0000}"/>
    <cellStyle name="Normal 2 2 2 4 2 3 5 6" xfId="20058" xr:uid="{00000000-0005-0000-0000-0000524E0000}"/>
    <cellStyle name="Normal 2 2 2 4 2 3 5 7" xfId="20059" xr:uid="{00000000-0005-0000-0000-0000534E0000}"/>
    <cellStyle name="Normal 2 2 2 4 2 3 5 8" xfId="20060" xr:uid="{00000000-0005-0000-0000-0000544E0000}"/>
    <cellStyle name="Normal 2 2 2 4 2 3 5 9" xfId="20061" xr:uid="{00000000-0005-0000-0000-0000554E0000}"/>
    <cellStyle name="Normal 2 2 2 4 2 3 6" xfId="20062" xr:uid="{00000000-0005-0000-0000-0000564E0000}"/>
    <cellStyle name="Normal 2 2 2 4 2 3 7" xfId="20063" xr:uid="{00000000-0005-0000-0000-0000574E0000}"/>
    <cellStyle name="Normal 2 2 2 4 2 3 8" xfId="20064" xr:uid="{00000000-0005-0000-0000-0000584E0000}"/>
    <cellStyle name="Normal 2 2 2 4 2 3 9" xfId="20065" xr:uid="{00000000-0005-0000-0000-0000594E0000}"/>
    <cellStyle name="Normal 2 2 2 4 2 4" xfId="20066" xr:uid="{00000000-0005-0000-0000-00005A4E0000}"/>
    <cellStyle name="Normal 2 2 2 4 2 4 10" xfId="20067" xr:uid="{00000000-0005-0000-0000-00005B4E0000}"/>
    <cellStyle name="Normal 2 2 2 4 2 4 11" xfId="20068" xr:uid="{00000000-0005-0000-0000-00005C4E0000}"/>
    <cellStyle name="Normal 2 2 2 4 2 4 12" xfId="20069" xr:uid="{00000000-0005-0000-0000-00005D4E0000}"/>
    <cellStyle name="Normal 2 2 2 4 2 4 13" xfId="20070" xr:uid="{00000000-0005-0000-0000-00005E4E0000}"/>
    <cellStyle name="Normal 2 2 2 4 2 4 14" xfId="20071" xr:uid="{00000000-0005-0000-0000-00005F4E0000}"/>
    <cellStyle name="Normal 2 2 2 4 2 4 2" xfId="20072" xr:uid="{00000000-0005-0000-0000-0000604E0000}"/>
    <cellStyle name="Normal 2 2 2 4 2 4 2 10" xfId="20073" xr:uid="{00000000-0005-0000-0000-0000614E0000}"/>
    <cellStyle name="Normal 2 2 2 4 2 4 2 2" xfId="20074" xr:uid="{00000000-0005-0000-0000-0000624E0000}"/>
    <cellStyle name="Normal 2 2 2 4 2 4 2 3" xfId="20075" xr:uid="{00000000-0005-0000-0000-0000634E0000}"/>
    <cellStyle name="Normal 2 2 2 4 2 4 2 4" xfId="20076" xr:uid="{00000000-0005-0000-0000-0000644E0000}"/>
    <cellStyle name="Normal 2 2 2 4 2 4 2 5" xfId="20077" xr:uid="{00000000-0005-0000-0000-0000654E0000}"/>
    <cellStyle name="Normal 2 2 2 4 2 4 2 6" xfId="20078" xr:uid="{00000000-0005-0000-0000-0000664E0000}"/>
    <cellStyle name="Normal 2 2 2 4 2 4 2 7" xfId="20079" xr:uid="{00000000-0005-0000-0000-0000674E0000}"/>
    <cellStyle name="Normal 2 2 2 4 2 4 2 8" xfId="20080" xr:uid="{00000000-0005-0000-0000-0000684E0000}"/>
    <cellStyle name="Normal 2 2 2 4 2 4 2 9" xfId="20081" xr:uid="{00000000-0005-0000-0000-0000694E0000}"/>
    <cellStyle name="Normal 2 2 2 4 2 4 3" xfId="20082" xr:uid="{00000000-0005-0000-0000-00006A4E0000}"/>
    <cellStyle name="Normal 2 2 2 4 2 4 3 10" xfId="20083" xr:uid="{00000000-0005-0000-0000-00006B4E0000}"/>
    <cellStyle name="Normal 2 2 2 4 2 4 3 2" xfId="20084" xr:uid="{00000000-0005-0000-0000-00006C4E0000}"/>
    <cellStyle name="Normal 2 2 2 4 2 4 3 3" xfId="20085" xr:uid="{00000000-0005-0000-0000-00006D4E0000}"/>
    <cellStyle name="Normal 2 2 2 4 2 4 3 4" xfId="20086" xr:uid="{00000000-0005-0000-0000-00006E4E0000}"/>
    <cellStyle name="Normal 2 2 2 4 2 4 3 5" xfId="20087" xr:uid="{00000000-0005-0000-0000-00006F4E0000}"/>
    <cellStyle name="Normal 2 2 2 4 2 4 3 6" xfId="20088" xr:uid="{00000000-0005-0000-0000-0000704E0000}"/>
    <cellStyle name="Normal 2 2 2 4 2 4 3 7" xfId="20089" xr:uid="{00000000-0005-0000-0000-0000714E0000}"/>
    <cellStyle name="Normal 2 2 2 4 2 4 3 8" xfId="20090" xr:uid="{00000000-0005-0000-0000-0000724E0000}"/>
    <cellStyle name="Normal 2 2 2 4 2 4 3 9" xfId="20091" xr:uid="{00000000-0005-0000-0000-0000734E0000}"/>
    <cellStyle name="Normal 2 2 2 4 2 4 4" xfId="20092" xr:uid="{00000000-0005-0000-0000-0000744E0000}"/>
    <cellStyle name="Normal 2 2 2 4 2 4 4 10" xfId="20093" xr:uid="{00000000-0005-0000-0000-0000754E0000}"/>
    <cellStyle name="Normal 2 2 2 4 2 4 4 2" xfId="20094" xr:uid="{00000000-0005-0000-0000-0000764E0000}"/>
    <cellStyle name="Normal 2 2 2 4 2 4 4 3" xfId="20095" xr:uid="{00000000-0005-0000-0000-0000774E0000}"/>
    <cellStyle name="Normal 2 2 2 4 2 4 4 4" xfId="20096" xr:uid="{00000000-0005-0000-0000-0000784E0000}"/>
    <cellStyle name="Normal 2 2 2 4 2 4 4 5" xfId="20097" xr:uid="{00000000-0005-0000-0000-0000794E0000}"/>
    <cellStyle name="Normal 2 2 2 4 2 4 4 6" xfId="20098" xr:uid="{00000000-0005-0000-0000-00007A4E0000}"/>
    <cellStyle name="Normal 2 2 2 4 2 4 4 7" xfId="20099" xr:uid="{00000000-0005-0000-0000-00007B4E0000}"/>
    <cellStyle name="Normal 2 2 2 4 2 4 4 8" xfId="20100" xr:uid="{00000000-0005-0000-0000-00007C4E0000}"/>
    <cellStyle name="Normal 2 2 2 4 2 4 4 9" xfId="20101" xr:uid="{00000000-0005-0000-0000-00007D4E0000}"/>
    <cellStyle name="Normal 2 2 2 4 2 4 5" xfId="20102" xr:uid="{00000000-0005-0000-0000-00007E4E0000}"/>
    <cellStyle name="Normal 2 2 2 4 2 4 5 10" xfId="20103" xr:uid="{00000000-0005-0000-0000-00007F4E0000}"/>
    <cellStyle name="Normal 2 2 2 4 2 4 5 2" xfId="20104" xr:uid="{00000000-0005-0000-0000-0000804E0000}"/>
    <cellStyle name="Normal 2 2 2 4 2 4 5 3" xfId="20105" xr:uid="{00000000-0005-0000-0000-0000814E0000}"/>
    <cellStyle name="Normal 2 2 2 4 2 4 5 4" xfId="20106" xr:uid="{00000000-0005-0000-0000-0000824E0000}"/>
    <cellStyle name="Normal 2 2 2 4 2 4 5 5" xfId="20107" xr:uid="{00000000-0005-0000-0000-0000834E0000}"/>
    <cellStyle name="Normal 2 2 2 4 2 4 5 6" xfId="20108" xr:uid="{00000000-0005-0000-0000-0000844E0000}"/>
    <cellStyle name="Normal 2 2 2 4 2 4 5 7" xfId="20109" xr:uid="{00000000-0005-0000-0000-0000854E0000}"/>
    <cellStyle name="Normal 2 2 2 4 2 4 5 8" xfId="20110" xr:uid="{00000000-0005-0000-0000-0000864E0000}"/>
    <cellStyle name="Normal 2 2 2 4 2 4 5 9" xfId="20111" xr:uid="{00000000-0005-0000-0000-0000874E0000}"/>
    <cellStyle name="Normal 2 2 2 4 2 4 6" xfId="20112" xr:uid="{00000000-0005-0000-0000-0000884E0000}"/>
    <cellStyle name="Normal 2 2 2 4 2 4 7" xfId="20113" xr:uid="{00000000-0005-0000-0000-0000894E0000}"/>
    <cellStyle name="Normal 2 2 2 4 2 4 8" xfId="20114" xr:uid="{00000000-0005-0000-0000-00008A4E0000}"/>
    <cellStyle name="Normal 2 2 2 4 2 4 9" xfId="20115" xr:uid="{00000000-0005-0000-0000-00008B4E0000}"/>
    <cellStyle name="Normal 2 2 2 4 2 5" xfId="20116" xr:uid="{00000000-0005-0000-0000-00008C4E0000}"/>
    <cellStyle name="Normal 2 2 2 4 2 5 10" xfId="20117" xr:uid="{00000000-0005-0000-0000-00008D4E0000}"/>
    <cellStyle name="Normal 2 2 2 4 2 5 11" xfId="20118" xr:uid="{00000000-0005-0000-0000-00008E4E0000}"/>
    <cellStyle name="Normal 2 2 2 4 2 5 12" xfId="20119" xr:uid="{00000000-0005-0000-0000-00008F4E0000}"/>
    <cellStyle name="Normal 2 2 2 4 2 5 13" xfId="20120" xr:uid="{00000000-0005-0000-0000-0000904E0000}"/>
    <cellStyle name="Normal 2 2 2 4 2 5 14" xfId="20121" xr:uid="{00000000-0005-0000-0000-0000914E0000}"/>
    <cellStyle name="Normal 2 2 2 4 2 5 2" xfId="20122" xr:uid="{00000000-0005-0000-0000-0000924E0000}"/>
    <cellStyle name="Normal 2 2 2 4 2 5 2 10" xfId="20123" xr:uid="{00000000-0005-0000-0000-0000934E0000}"/>
    <cellStyle name="Normal 2 2 2 4 2 5 2 2" xfId="20124" xr:uid="{00000000-0005-0000-0000-0000944E0000}"/>
    <cellStyle name="Normal 2 2 2 4 2 5 2 3" xfId="20125" xr:uid="{00000000-0005-0000-0000-0000954E0000}"/>
    <cellStyle name="Normal 2 2 2 4 2 5 2 4" xfId="20126" xr:uid="{00000000-0005-0000-0000-0000964E0000}"/>
    <cellStyle name="Normal 2 2 2 4 2 5 2 5" xfId="20127" xr:uid="{00000000-0005-0000-0000-0000974E0000}"/>
    <cellStyle name="Normal 2 2 2 4 2 5 2 6" xfId="20128" xr:uid="{00000000-0005-0000-0000-0000984E0000}"/>
    <cellStyle name="Normal 2 2 2 4 2 5 2 7" xfId="20129" xr:uid="{00000000-0005-0000-0000-0000994E0000}"/>
    <cellStyle name="Normal 2 2 2 4 2 5 2 8" xfId="20130" xr:uid="{00000000-0005-0000-0000-00009A4E0000}"/>
    <cellStyle name="Normal 2 2 2 4 2 5 2 9" xfId="20131" xr:uid="{00000000-0005-0000-0000-00009B4E0000}"/>
    <cellStyle name="Normal 2 2 2 4 2 5 3" xfId="20132" xr:uid="{00000000-0005-0000-0000-00009C4E0000}"/>
    <cellStyle name="Normal 2 2 2 4 2 5 3 10" xfId="20133" xr:uid="{00000000-0005-0000-0000-00009D4E0000}"/>
    <cellStyle name="Normal 2 2 2 4 2 5 3 2" xfId="20134" xr:uid="{00000000-0005-0000-0000-00009E4E0000}"/>
    <cellStyle name="Normal 2 2 2 4 2 5 3 3" xfId="20135" xr:uid="{00000000-0005-0000-0000-00009F4E0000}"/>
    <cellStyle name="Normal 2 2 2 4 2 5 3 4" xfId="20136" xr:uid="{00000000-0005-0000-0000-0000A04E0000}"/>
    <cellStyle name="Normal 2 2 2 4 2 5 3 5" xfId="20137" xr:uid="{00000000-0005-0000-0000-0000A14E0000}"/>
    <cellStyle name="Normal 2 2 2 4 2 5 3 6" xfId="20138" xr:uid="{00000000-0005-0000-0000-0000A24E0000}"/>
    <cellStyle name="Normal 2 2 2 4 2 5 3 7" xfId="20139" xr:uid="{00000000-0005-0000-0000-0000A34E0000}"/>
    <cellStyle name="Normal 2 2 2 4 2 5 3 8" xfId="20140" xr:uid="{00000000-0005-0000-0000-0000A44E0000}"/>
    <cellStyle name="Normal 2 2 2 4 2 5 3 9" xfId="20141" xr:uid="{00000000-0005-0000-0000-0000A54E0000}"/>
    <cellStyle name="Normal 2 2 2 4 2 5 4" xfId="20142" xr:uid="{00000000-0005-0000-0000-0000A64E0000}"/>
    <cellStyle name="Normal 2 2 2 4 2 5 4 10" xfId="20143" xr:uid="{00000000-0005-0000-0000-0000A74E0000}"/>
    <cellStyle name="Normal 2 2 2 4 2 5 4 2" xfId="20144" xr:uid="{00000000-0005-0000-0000-0000A84E0000}"/>
    <cellStyle name="Normal 2 2 2 4 2 5 4 3" xfId="20145" xr:uid="{00000000-0005-0000-0000-0000A94E0000}"/>
    <cellStyle name="Normal 2 2 2 4 2 5 4 4" xfId="20146" xr:uid="{00000000-0005-0000-0000-0000AA4E0000}"/>
    <cellStyle name="Normal 2 2 2 4 2 5 4 5" xfId="20147" xr:uid="{00000000-0005-0000-0000-0000AB4E0000}"/>
    <cellStyle name="Normal 2 2 2 4 2 5 4 6" xfId="20148" xr:uid="{00000000-0005-0000-0000-0000AC4E0000}"/>
    <cellStyle name="Normal 2 2 2 4 2 5 4 7" xfId="20149" xr:uid="{00000000-0005-0000-0000-0000AD4E0000}"/>
    <cellStyle name="Normal 2 2 2 4 2 5 4 8" xfId="20150" xr:uid="{00000000-0005-0000-0000-0000AE4E0000}"/>
    <cellStyle name="Normal 2 2 2 4 2 5 4 9" xfId="20151" xr:uid="{00000000-0005-0000-0000-0000AF4E0000}"/>
    <cellStyle name="Normal 2 2 2 4 2 5 5" xfId="20152" xr:uid="{00000000-0005-0000-0000-0000B04E0000}"/>
    <cellStyle name="Normal 2 2 2 4 2 5 5 10" xfId="20153" xr:uid="{00000000-0005-0000-0000-0000B14E0000}"/>
    <cellStyle name="Normal 2 2 2 4 2 5 5 2" xfId="20154" xr:uid="{00000000-0005-0000-0000-0000B24E0000}"/>
    <cellStyle name="Normal 2 2 2 4 2 5 5 3" xfId="20155" xr:uid="{00000000-0005-0000-0000-0000B34E0000}"/>
    <cellStyle name="Normal 2 2 2 4 2 5 5 4" xfId="20156" xr:uid="{00000000-0005-0000-0000-0000B44E0000}"/>
    <cellStyle name="Normal 2 2 2 4 2 5 5 5" xfId="20157" xr:uid="{00000000-0005-0000-0000-0000B54E0000}"/>
    <cellStyle name="Normal 2 2 2 4 2 5 5 6" xfId="20158" xr:uid="{00000000-0005-0000-0000-0000B64E0000}"/>
    <cellStyle name="Normal 2 2 2 4 2 5 5 7" xfId="20159" xr:uid="{00000000-0005-0000-0000-0000B74E0000}"/>
    <cellStyle name="Normal 2 2 2 4 2 5 5 8" xfId="20160" xr:uid="{00000000-0005-0000-0000-0000B84E0000}"/>
    <cellStyle name="Normal 2 2 2 4 2 5 5 9" xfId="20161" xr:uid="{00000000-0005-0000-0000-0000B94E0000}"/>
    <cellStyle name="Normal 2 2 2 4 2 5 6" xfId="20162" xr:uid="{00000000-0005-0000-0000-0000BA4E0000}"/>
    <cellStyle name="Normal 2 2 2 4 2 5 7" xfId="20163" xr:uid="{00000000-0005-0000-0000-0000BB4E0000}"/>
    <cellStyle name="Normal 2 2 2 4 2 5 8" xfId="20164" xr:uid="{00000000-0005-0000-0000-0000BC4E0000}"/>
    <cellStyle name="Normal 2 2 2 4 2 5 9" xfId="20165" xr:uid="{00000000-0005-0000-0000-0000BD4E0000}"/>
    <cellStyle name="Normal 2 2 2 4 2 6" xfId="20166" xr:uid="{00000000-0005-0000-0000-0000BE4E0000}"/>
    <cellStyle name="Normal 2 2 2 4 2 6 10" xfId="20167" xr:uid="{00000000-0005-0000-0000-0000BF4E0000}"/>
    <cellStyle name="Normal 2 2 2 4 2 6 11" xfId="20168" xr:uid="{00000000-0005-0000-0000-0000C04E0000}"/>
    <cellStyle name="Normal 2 2 2 4 2 6 12" xfId="20169" xr:uid="{00000000-0005-0000-0000-0000C14E0000}"/>
    <cellStyle name="Normal 2 2 2 4 2 6 13" xfId="20170" xr:uid="{00000000-0005-0000-0000-0000C24E0000}"/>
    <cellStyle name="Normal 2 2 2 4 2 6 14" xfId="20171" xr:uid="{00000000-0005-0000-0000-0000C34E0000}"/>
    <cellStyle name="Normal 2 2 2 4 2 6 2" xfId="20172" xr:uid="{00000000-0005-0000-0000-0000C44E0000}"/>
    <cellStyle name="Normal 2 2 2 4 2 6 2 10" xfId="20173" xr:uid="{00000000-0005-0000-0000-0000C54E0000}"/>
    <cellStyle name="Normal 2 2 2 4 2 6 2 2" xfId="20174" xr:uid="{00000000-0005-0000-0000-0000C64E0000}"/>
    <cellStyle name="Normal 2 2 2 4 2 6 2 3" xfId="20175" xr:uid="{00000000-0005-0000-0000-0000C74E0000}"/>
    <cellStyle name="Normal 2 2 2 4 2 6 2 4" xfId="20176" xr:uid="{00000000-0005-0000-0000-0000C84E0000}"/>
    <cellStyle name="Normal 2 2 2 4 2 6 2 5" xfId="20177" xr:uid="{00000000-0005-0000-0000-0000C94E0000}"/>
    <cellStyle name="Normal 2 2 2 4 2 6 2 6" xfId="20178" xr:uid="{00000000-0005-0000-0000-0000CA4E0000}"/>
    <cellStyle name="Normal 2 2 2 4 2 6 2 7" xfId="20179" xr:uid="{00000000-0005-0000-0000-0000CB4E0000}"/>
    <cellStyle name="Normal 2 2 2 4 2 6 2 8" xfId="20180" xr:uid="{00000000-0005-0000-0000-0000CC4E0000}"/>
    <cellStyle name="Normal 2 2 2 4 2 6 2 9" xfId="20181" xr:uid="{00000000-0005-0000-0000-0000CD4E0000}"/>
    <cellStyle name="Normal 2 2 2 4 2 6 3" xfId="20182" xr:uid="{00000000-0005-0000-0000-0000CE4E0000}"/>
    <cellStyle name="Normal 2 2 2 4 2 6 3 10" xfId="20183" xr:uid="{00000000-0005-0000-0000-0000CF4E0000}"/>
    <cellStyle name="Normal 2 2 2 4 2 6 3 2" xfId="20184" xr:uid="{00000000-0005-0000-0000-0000D04E0000}"/>
    <cellStyle name="Normal 2 2 2 4 2 6 3 3" xfId="20185" xr:uid="{00000000-0005-0000-0000-0000D14E0000}"/>
    <cellStyle name="Normal 2 2 2 4 2 6 3 4" xfId="20186" xr:uid="{00000000-0005-0000-0000-0000D24E0000}"/>
    <cellStyle name="Normal 2 2 2 4 2 6 3 5" xfId="20187" xr:uid="{00000000-0005-0000-0000-0000D34E0000}"/>
    <cellStyle name="Normal 2 2 2 4 2 6 3 6" xfId="20188" xr:uid="{00000000-0005-0000-0000-0000D44E0000}"/>
    <cellStyle name="Normal 2 2 2 4 2 6 3 7" xfId="20189" xr:uid="{00000000-0005-0000-0000-0000D54E0000}"/>
    <cellStyle name="Normal 2 2 2 4 2 6 3 8" xfId="20190" xr:uid="{00000000-0005-0000-0000-0000D64E0000}"/>
    <cellStyle name="Normal 2 2 2 4 2 6 3 9" xfId="20191" xr:uid="{00000000-0005-0000-0000-0000D74E0000}"/>
    <cellStyle name="Normal 2 2 2 4 2 6 4" xfId="20192" xr:uid="{00000000-0005-0000-0000-0000D84E0000}"/>
    <cellStyle name="Normal 2 2 2 4 2 6 4 10" xfId="20193" xr:uid="{00000000-0005-0000-0000-0000D94E0000}"/>
    <cellStyle name="Normal 2 2 2 4 2 6 4 2" xfId="20194" xr:uid="{00000000-0005-0000-0000-0000DA4E0000}"/>
    <cellStyle name="Normal 2 2 2 4 2 6 4 3" xfId="20195" xr:uid="{00000000-0005-0000-0000-0000DB4E0000}"/>
    <cellStyle name="Normal 2 2 2 4 2 6 4 4" xfId="20196" xr:uid="{00000000-0005-0000-0000-0000DC4E0000}"/>
    <cellStyle name="Normal 2 2 2 4 2 6 4 5" xfId="20197" xr:uid="{00000000-0005-0000-0000-0000DD4E0000}"/>
    <cellStyle name="Normal 2 2 2 4 2 6 4 6" xfId="20198" xr:uid="{00000000-0005-0000-0000-0000DE4E0000}"/>
    <cellStyle name="Normal 2 2 2 4 2 6 4 7" xfId="20199" xr:uid="{00000000-0005-0000-0000-0000DF4E0000}"/>
    <cellStyle name="Normal 2 2 2 4 2 6 4 8" xfId="20200" xr:uid="{00000000-0005-0000-0000-0000E04E0000}"/>
    <cellStyle name="Normal 2 2 2 4 2 6 4 9" xfId="20201" xr:uid="{00000000-0005-0000-0000-0000E14E0000}"/>
    <cellStyle name="Normal 2 2 2 4 2 6 5" xfId="20202" xr:uid="{00000000-0005-0000-0000-0000E24E0000}"/>
    <cellStyle name="Normal 2 2 2 4 2 6 5 10" xfId="20203" xr:uid="{00000000-0005-0000-0000-0000E34E0000}"/>
    <cellStyle name="Normal 2 2 2 4 2 6 5 2" xfId="20204" xr:uid="{00000000-0005-0000-0000-0000E44E0000}"/>
    <cellStyle name="Normal 2 2 2 4 2 6 5 3" xfId="20205" xr:uid="{00000000-0005-0000-0000-0000E54E0000}"/>
    <cellStyle name="Normal 2 2 2 4 2 6 5 4" xfId="20206" xr:uid="{00000000-0005-0000-0000-0000E64E0000}"/>
    <cellStyle name="Normal 2 2 2 4 2 6 5 5" xfId="20207" xr:uid="{00000000-0005-0000-0000-0000E74E0000}"/>
    <cellStyle name="Normal 2 2 2 4 2 6 5 6" xfId="20208" xr:uid="{00000000-0005-0000-0000-0000E84E0000}"/>
    <cellStyle name="Normal 2 2 2 4 2 6 5 7" xfId="20209" xr:uid="{00000000-0005-0000-0000-0000E94E0000}"/>
    <cellStyle name="Normal 2 2 2 4 2 6 5 8" xfId="20210" xr:uid="{00000000-0005-0000-0000-0000EA4E0000}"/>
    <cellStyle name="Normal 2 2 2 4 2 6 5 9" xfId="20211" xr:uid="{00000000-0005-0000-0000-0000EB4E0000}"/>
    <cellStyle name="Normal 2 2 2 4 2 6 6" xfId="20212" xr:uid="{00000000-0005-0000-0000-0000EC4E0000}"/>
    <cellStyle name="Normal 2 2 2 4 2 6 7" xfId="20213" xr:uid="{00000000-0005-0000-0000-0000ED4E0000}"/>
    <cellStyle name="Normal 2 2 2 4 2 6 8" xfId="20214" xr:uid="{00000000-0005-0000-0000-0000EE4E0000}"/>
    <cellStyle name="Normal 2 2 2 4 2 6 9" xfId="20215" xr:uid="{00000000-0005-0000-0000-0000EF4E0000}"/>
    <cellStyle name="Normal 2 2 2 4 2 7" xfId="20216" xr:uid="{00000000-0005-0000-0000-0000F04E0000}"/>
    <cellStyle name="Normal 2 2 2 4 2 7 10" xfId="20217" xr:uid="{00000000-0005-0000-0000-0000F14E0000}"/>
    <cellStyle name="Normal 2 2 2 4 2 7 11" xfId="20218" xr:uid="{00000000-0005-0000-0000-0000F24E0000}"/>
    <cellStyle name="Normal 2 2 2 4 2 7 12" xfId="20219" xr:uid="{00000000-0005-0000-0000-0000F34E0000}"/>
    <cellStyle name="Normal 2 2 2 4 2 7 13" xfId="20220" xr:uid="{00000000-0005-0000-0000-0000F44E0000}"/>
    <cellStyle name="Normal 2 2 2 4 2 7 14" xfId="20221" xr:uid="{00000000-0005-0000-0000-0000F54E0000}"/>
    <cellStyle name="Normal 2 2 2 4 2 7 2" xfId="20222" xr:uid="{00000000-0005-0000-0000-0000F64E0000}"/>
    <cellStyle name="Normal 2 2 2 4 2 7 2 10" xfId="20223" xr:uid="{00000000-0005-0000-0000-0000F74E0000}"/>
    <cellStyle name="Normal 2 2 2 4 2 7 2 2" xfId="20224" xr:uid="{00000000-0005-0000-0000-0000F84E0000}"/>
    <cellStyle name="Normal 2 2 2 4 2 7 2 3" xfId="20225" xr:uid="{00000000-0005-0000-0000-0000F94E0000}"/>
    <cellStyle name="Normal 2 2 2 4 2 7 2 4" xfId="20226" xr:uid="{00000000-0005-0000-0000-0000FA4E0000}"/>
    <cellStyle name="Normal 2 2 2 4 2 7 2 5" xfId="20227" xr:uid="{00000000-0005-0000-0000-0000FB4E0000}"/>
    <cellStyle name="Normal 2 2 2 4 2 7 2 6" xfId="20228" xr:uid="{00000000-0005-0000-0000-0000FC4E0000}"/>
    <cellStyle name="Normal 2 2 2 4 2 7 2 7" xfId="20229" xr:uid="{00000000-0005-0000-0000-0000FD4E0000}"/>
    <cellStyle name="Normal 2 2 2 4 2 7 2 8" xfId="20230" xr:uid="{00000000-0005-0000-0000-0000FE4E0000}"/>
    <cellStyle name="Normal 2 2 2 4 2 7 2 9" xfId="20231" xr:uid="{00000000-0005-0000-0000-0000FF4E0000}"/>
    <cellStyle name="Normal 2 2 2 4 2 7 3" xfId="20232" xr:uid="{00000000-0005-0000-0000-0000004F0000}"/>
    <cellStyle name="Normal 2 2 2 4 2 7 3 10" xfId="20233" xr:uid="{00000000-0005-0000-0000-0000014F0000}"/>
    <cellStyle name="Normal 2 2 2 4 2 7 3 2" xfId="20234" xr:uid="{00000000-0005-0000-0000-0000024F0000}"/>
    <cellStyle name="Normal 2 2 2 4 2 7 3 3" xfId="20235" xr:uid="{00000000-0005-0000-0000-0000034F0000}"/>
    <cellStyle name="Normal 2 2 2 4 2 7 3 4" xfId="20236" xr:uid="{00000000-0005-0000-0000-0000044F0000}"/>
    <cellStyle name="Normal 2 2 2 4 2 7 3 5" xfId="20237" xr:uid="{00000000-0005-0000-0000-0000054F0000}"/>
    <cellStyle name="Normal 2 2 2 4 2 7 3 6" xfId="20238" xr:uid="{00000000-0005-0000-0000-0000064F0000}"/>
    <cellStyle name="Normal 2 2 2 4 2 7 3 7" xfId="20239" xr:uid="{00000000-0005-0000-0000-0000074F0000}"/>
    <cellStyle name="Normal 2 2 2 4 2 7 3 8" xfId="20240" xr:uid="{00000000-0005-0000-0000-0000084F0000}"/>
    <cellStyle name="Normal 2 2 2 4 2 7 3 9" xfId="20241" xr:uid="{00000000-0005-0000-0000-0000094F0000}"/>
    <cellStyle name="Normal 2 2 2 4 2 7 4" xfId="20242" xr:uid="{00000000-0005-0000-0000-00000A4F0000}"/>
    <cellStyle name="Normal 2 2 2 4 2 7 4 10" xfId="20243" xr:uid="{00000000-0005-0000-0000-00000B4F0000}"/>
    <cellStyle name="Normal 2 2 2 4 2 7 4 2" xfId="20244" xr:uid="{00000000-0005-0000-0000-00000C4F0000}"/>
    <cellStyle name="Normal 2 2 2 4 2 7 4 3" xfId="20245" xr:uid="{00000000-0005-0000-0000-00000D4F0000}"/>
    <cellStyle name="Normal 2 2 2 4 2 7 4 4" xfId="20246" xr:uid="{00000000-0005-0000-0000-00000E4F0000}"/>
    <cellStyle name="Normal 2 2 2 4 2 7 4 5" xfId="20247" xr:uid="{00000000-0005-0000-0000-00000F4F0000}"/>
    <cellStyle name="Normal 2 2 2 4 2 7 4 6" xfId="20248" xr:uid="{00000000-0005-0000-0000-0000104F0000}"/>
    <cellStyle name="Normal 2 2 2 4 2 7 4 7" xfId="20249" xr:uid="{00000000-0005-0000-0000-0000114F0000}"/>
    <cellStyle name="Normal 2 2 2 4 2 7 4 8" xfId="20250" xr:uid="{00000000-0005-0000-0000-0000124F0000}"/>
    <cellStyle name="Normal 2 2 2 4 2 7 4 9" xfId="20251" xr:uid="{00000000-0005-0000-0000-0000134F0000}"/>
    <cellStyle name="Normal 2 2 2 4 2 7 5" xfId="20252" xr:uid="{00000000-0005-0000-0000-0000144F0000}"/>
    <cellStyle name="Normal 2 2 2 4 2 7 5 10" xfId="20253" xr:uid="{00000000-0005-0000-0000-0000154F0000}"/>
    <cellStyle name="Normal 2 2 2 4 2 7 5 2" xfId="20254" xr:uid="{00000000-0005-0000-0000-0000164F0000}"/>
    <cellStyle name="Normal 2 2 2 4 2 7 5 3" xfId="20255" xr:uid="{00000000-0005-0000-0000-0000174F0000}"/>
    <cellStyle name="Normal 2 2 2 4 2 7 5 4" xfId="20256" xr:uid="{00000000-0005-0000-0000-0000184F0000}"/>
    <cellStyle name="Normal 2 2 2 4 2 7 5 5" xfId="20257" xr:uid="{00000000-0005-0000-0000-0000194F0000}"/>
    <cellStyle name="Normal 2 2 2 4 2 7 5 6" xfId="20258" xr:uid="{00000000-0005-0000-0000-00001A4F0000}"/>
    <cellStyle name="Normal 2 2 2 4 2 7 5 7" xfId="20259" xr:uid="{00000000-0005-0000-0000-00001B4F0000}"/>
    <cellStyle name="Normal 2 2 2 4 2 7 5 8" xfId="20260" xr:uid="{00000000-0005-0000-0000-00001C4F0000}"/>
    <cellStyle name="Normal 2 2 2 4 2 7 5 9" xfId="20261" xr:uid="{00000000-0005-0000-0000-00001D4F0000}"/>
    <cellStyle name="Normal 2 2 2 4 2 7 6" xfId="20262" xr:uid="{00000000-0005-0000-0000-00001E4F0000}"/>
    <cellStyle name="Normal 2 2 2 4 2 7 7" xfId="20263" xr:uid="{00000000-0005-0000-0000-00001F4F0000}"/>
    <cellStyle name="Normal 2 2 2 4 2 7 8" xfId="20264" xr:uid="{00000000-0005-0000-0000-0000204F0000}"/>
    <cellStyle name="Normal 2 2 2 4 2 7 9" xfId="20265" xr:uid="{00000000-0005-0000-0000-0000214F0000}"/>
    <cellStyle name="Normal 2 2 2 4 2 8" xfId="20266" xr:uid="{00000000-0005-0000-0000-0000224F0000}"/>
    <cellStyle name="Normal 2 2 2 4 2 8 10" xfId="20267" xr:uid="{00000000-0005-0000-0000-0000234F0000}"/>
    <cellStyle name="Normal 2 2 2 4 2 8 11" xfId="20268" xr:uid="{00000000-0005-0000-0000-0000244F0000}"/>
    <cellStyle name="Normal 2 2 2 4 2 8 12" xfId="20269" xr:uid="{00000000-0005-0000-0000-0000254F0000}"/>
    <cellStyle name="Normal 2 2 2 4 2 8 13" xfId="20270" xr:uid="{00000000-0005-0000-0000-0000264F0000}"/>
    <cellStyle name="Normal 2 2 2 4 2 8 14" xfId="20271" xr:uid="{00000000-0005-0000-0000-0000274F0000}"/>
    <cellStyle name="Normal 2 2 2 4 2 8 2" xfId="20272" xr:uid="{00000000-0005-0000-0000-0000284F0000}"/>
    <cellStyle name="Normal 2 2 2 4 2 8 2 10" xfId="20273" xr:uid="{00000000-0005-0000-0000-0000294F0000}"/>
    <cellStyle name="Normal 2 2 2 4 2 8 2 2" xfId="20274" xr:uid="{00000000-0005-0000-0000-00002A4F0000}"/>
    <cellStyle name="Normal 2 2 2 4 2 8 2 3" xfId="20275" xr:uid="{00000000-0005-0000-0000-00002B4F0000}"/>
    <cellStyle name="Normal 2 2 2 4 2 8 2 4" xfId="20276" xr:uid="{00000000-0005-0000-0000-00002C4F0000}"/>
    <cellStyle name="Normal 2 2 2 4 2 8 2 5" xfId="20277" xr:uid="{00000000-0005-0000-0000-00002D4F0000}"/>
    <cellStyle name="Normal 2 2 2 4 2 8 2 6" xfId="20278" xr:uid="{00000000-0005-0000-0000-00002E4F0000}"/>
    <cellStyle name="Normal 2 2 2 4 2 8 2 7" xfId="20279" xr:uid="{00000000-0005-0000-0000-00002F4F0000}"/>
    <cellStyle name="Normal 2 2 2 4 2 8 2 8" xfId="20280" xr:uid="{00000000-0005-0000-0000-0000304F0000}"/>
    <cellStyle name="Normal 2 2 2 4 2 8 2 9" xfId="20281" xr:uid="{00000000-0005-0000-0000-0000314F0000}"/>
    <cellStyle name="Normal 2 2 2 4 2 8 3" xfId="20282" xr:uid="{00000000-0005-0000-0000-0000324F0000}"/>
    <cellStyle name="Normal 2 2 2 4 2 8 3 10" xfId="20283" xr:uid="{00000000-0005-0000-0000-0000334F0000}"/>
    <cellStyle name="Normal 2 2 2 4 2 8 3 2" xfId="20284" xr:uid="{00000000-0005-0000-0000-0000344F0000}"/>
    <cellStyle name="Normal 2 2 2 4 2 8 3 3" xfId="20285" xr:uid="{00000000-0005-0000-0000-0000354F0000}"/>
    <cellStyle name="Normal 2 2 2 4 2 8 3 4" xfId="20286" xr:uid="{00000000-0005-0000-0000-0000364F0000}"/>
    <cellStyle name="Normal 2 2 2 4 2 8 3 5" xfId="20287" xr:uid="{00000000-0005-0000-0000-0000374F0000}"/>
    <cellStyle name="Normal 2 2 2 4 2 8 3 6" xfId="20288" xr:uid="{00000000-0005-0000-0000-0000384F0000}"/>
    <cellStyle name="Normal 2 2 2 4 2 8 3 7" xfId="20289" xr:uid="{00000000-0005-0000-0000-0000394F0000}"/>
    <cellStyle name="Normal 2 2 2 4 2 8 3 8" xfId="20290" xr:uid="{00000000-0005-0000-0000-00003A4F0000}"/>
    <cellStyle name="Normal 2 2 2 4 2 8 3 9" xfId="20291" xr:uid="{00000000-0005-0000-0000-00003B4F0000}"/>
    <cellStyle name="Normal 2 2 2 4 2 8 4" xfId="20292" xr:uid="{00000000-0005-0000-0000-00003C4F0000}"/>
    <cellStyle name="Normal 2 2 2 4 2 8 4 10" xfId="20293" xr:uid="{00000000-0005-0000-0000-00003D4F0000}"/>
    <cellStyle name="Normal 2 2 2 4 2 8 4 2" xfId="20294" xr:uid="{00000000-0005-0000-0000-00003E4F0000}"/>
    <cellStyle name="Normal 2 2 2 4 2 8 4 3" xfId="20295" xr:uid="{00000000-0005-0000-0000-00003F4F0000}"/>
    <cellStyle name="Normal 2 2 2 4 2 8 4 4" xfId="20296" xr:uid="{00000000-0005-0000-0000-0000404F0000}"/>
    <cellStyle name="Normal 2 2 2 4 2 8 4 5" xfId="20297" xr:uid="{00000000-0005-0000-0000-0000414F0000}"/>
    <cellStyle name="Normal 2 2 2 4 2 8 4 6" xfId="20298" xr:uid="{00000000-0005-0000-0000-0000424F0000}"/>
    <cellStyle name="Normal 2 2 2 4 2 8 4 7" xfId="20299" xr:uid="{00000000-0005-0000-0000-0000434F0000}"/>
    <cellStyle name="Normal 2 2 2 4 2 8 4 8" xfId="20300" xr:uid="{00000000-0005-0000-0000-0000444F0000}"/>
    <cellStyle name="Normal 2 2 2 4 2 8 4 9" xfId="20301" xr:uid="{00000000-0005-0000-0000-0000454F0000}"/>
    <cellStyle name="Normal 2 2 2 4 2 8 5" xfId="20302" xr:uid="{00000000-0005-0000-0000-0000464F0000}"/>
    <cellStyle name="Normal 2 2 2 4 2 8 5 10" xfId="20303" xr:uid="{00000000-0005-0000-0000-0000474F0000}"/>
    <cellStyle name="Normal 2 2 2 4 2 8 5 2" xfId="20304" xr:uid="{00000000-0005-0000-0000-0000484F0000}"/>
    <cellStyle name="Normal 2 2 2 4 2 8 5 3" xfId="20305" xr:uid="{00000000-0005-0000-0000-0000494F0000}"/>
    <cellStyle name="Normal 2 2 2 4 2 8 5 4" xfId="20306" xr:uid="{00000000-0005-0000-0000-00004A4F0000}"/>
    <cellStyle name="Normal 2 2 2 4 2 8 5 5" xfId="20307" xr:uid="{00000000-0005-0000-0000-00004B4F0000}"/>
    <cellStyle name="Normal 2 2 2 4 2 8 5 6" xfId="20308" xr:uid="{00000000-0005-0000-0000-00004C4F0000}"/>
    <cellStyle name="Normal 2 2 2 4 2 8 5 7" xfId="20309" xr:uid="{00000000-0005-0000-0000-00004D4F0000}"/>
    <cellStyle name="Normal 2 2 2 4 2 8 5 8" xfId="20310" xr:uid="{00000000-0005-0000-0000-00004E4F0000}"/>
    <cellStyle name="Normal 2 2 2 4 2 8 5 9" xfId="20311" xr:uid="{00000000-0005-0000-0000-00004F4F0000}"/>
    <cellStyle name="Normal 2 2 2 4 2 8 6" xfId="20312" xr:uid="{00000000-0005-0000-0000-0000504F0000}"/>
    <cellStyle name="Normal 2 2 2 4 2 8 7" xfId="20313" xr:uid="{00000000-0005-0000-0000-0000514F0000}"/>
    <cellStyle name="Normal 2 2 2 4 2 8 8" xfId="20314" xr:uid="{00000000-0005-0000-0000-0000524F0000}"/>
    <cellStyle name="Normal 2 2 2 4 2 8 9" xfId="20315" xr:uid="{00000000-0005-0000-0000-0000534F0000}"/>
    <cellStyle name="Normal 2 2 2 4 2 9" xfId="20316" xr:uid="{00000000-0005-0000-0000-0000544F0000}"/>
    <cellStyle name="Normal 2 2 2 4 2 9 10" xfId="20317" xr:uid="{00000000-0005-0000-0000-0000554F0000}"/>
    <cellStyle name="Normal 2 2 2 4 2 9 11" xfId="20318" xr:uid="{00000000-0005-0000-0000-0000564F0000}"/>
    <cellStyle name="Normal 2 2 2 4 2 9 12" xfId="20319" xr:uid="{00000000-0005-0000-0000-0000574F0000}"/>
    <cellStyle name="Normal 2 2 2 4 2 9 13" xfId="20320" xr:uid="{00000000-0005-0000-0000-0000584F0000}"/>
    <cellStyle name="Normal 2 2 2 4 2 9 14" xfId="20321" xr:uid="{00000000-0005-0000-0000-0000594F0000}"/>
    <cellStyle name="Normal 2 2 2 4 2 9 2" xfId="20322" xr:uid="{00000000-0005-0000-0000-00005A4F0000}"/>
    <cellStyle name="Normal 2 2 2 4 2 9 2 10" xfId="20323" xr:uid="{00000000-0005-0000-0000-00005B4F0000}"/>
    <cellStyle name="Normal 2 2 2 4 2 9 2 2" xfId="20324" xr:uid="{00000000-0005-0000-0000-00005C4F0000}"/>
    <cellStyle name="Normal 2 2 2 4 2 9 2 3" xfId="20325" xr:uid="{00000000-0005-0000-0000-00005D4F0000}"/>
    <cellStyle name="Normal 2 2 2 4 2 9 2 4" xfId="20326" xr:uid="{00000000-0005-0000-0000-00005E4F0000}"/>
    <cellStyle name="Normal 2 2 2 4 2 9 2 5" xfId="20327" xr:uid="{00000000-0005-0000-0000-00005F4F0000}"/>
    <cellStyle name="Normal 2 2 2 4 2 9 2 6" xfId="20328" xr:uid="{00000000-0005-0000-0000-0000604F0000}"/>
    <cellStyle name="Normal 2 2 2 4 2 9 2 7" xfId="20329" xr:uid="{00000000-0005-0000-0000-0000614F0000}"/>
    <cellStyle name="Normal 2 2 2 4 2 9 2 8" xfId="20330" xr:uid="{00000000-0005-0000-0000-0000624F0000}"/>
    <cellStyle name="Normal 2 2 2 4 2 9 2 9" xfId="20331" xr:uid="{00000000-0005-0000-0000-0000634F0000}"/>
    <cellStyle name="Normal 2 2 2 4 2 9 3" xfId="20332" xr:uid="{00000000-0005-0000-0000-0000644F0000}"/>
    <cellStyle name="Normal 2 2 2 4 2 9 3 10" xfId="20333" xr:uid="{00000000-0005-0000-0000-0000654F0000}"/>
    <cellStyle name="Normal 2 2 2 4 2 9 3 2" xfId="20334" xr:uid="{00000000-0005-0000-0000-0000664F0000}"/>
    <cellStyle name="Normal 2 2 2 4 2 9 3 3" xfId="20335" xr:uid="{00000000-0005-0000-0000-0000674F0000}"/>
    <cellStyle name="Normal 2 2 2 4 2 9 3 4" xfId="20336" xr:uid="{00000000-0005-0000-0000-0000684F0000}"/>
    <cellStyle name="Normal 2 2 2 4 2 9 3 5" xfId="20337" xr:uid="{00000000-0005-0000-0000-0000694F0000}"/>
    <cellStyle name="Normal 2 2 2 4 2 9 3 6" xfId="20338" xr:uid="{00000000-0005-0000-0000-00006A4F0000}"/>
    <cellStyle name="Normal 2 2 2 4 2 9 3 7" xfId="20339" xr:uid="{00000000-0005-0000-0000-00006B4F0000}"/>
    <cellStyle name="Normal 2 2 2 4 2 9 3 8" xfId="20340" xr:uid="{00000000-0005-0000-0000-00006C4F0000}"/>
    <cellStyle name="Normal 2 2 2 4 2 9 3 9" xfId="20341" xr:uid="{00000000-0005-0000-0000-00006D4F0000}"/>
    <cellStyle name="Normal 2 2 2 4 2 9 4" xfId="20342" xr:uid="{00000000-0005-0000-0000-00006E4F0000}"/>
    <cellStyle name="Normal 2 2 2 4 2 9 4 10" xfId="20343" xr:uid="{00000000-0005-0000-0000-00006F4F0000}"/>
    <cellStyle name="Normal 2 2 2 4 2 9 4 2" xfId="20344" xr:uid="{00000000-0005-0000-0000-0000704F0000}"/>
    <cellStyle name="Normal 2 2 2 4 2 9 4 3" xfId="20345" xr:uid="{00000000-0005-0000-0000-0000714F0000}"/>
    <cellStyle name="Normal 2 2 2 4 2 9 4 4" xfId="20346" xr:uid="{00000000-0005-0000-0000-0000724F0000}"/>
    <cellStyle name="Normal 2 2 2 4 2 9 4 5" xfId="20347" xr:uid="{00000000-0005-0000-0000-0000734F0000}"/>
    <cellStyle name="Normal 2 2 2 4 2 9 4 6" xfId="20348" xr:uid="{00000000-0005-0000-0000-0000744F0000}"/>
    <cellStyle name="Normal 2 2 2 4 2 9 4 7" xfId="20349" xr:uid="{00000000-0005-0000-0000-0000754F0000}"/>
    <cellStyle name="Normal 2 2 2 4 2 9 4 8" xfId="20350" xr:uid="{00000000-0005-0000-0000-0000764F0000}"/>
    <cellStyle name="Normal 2 2 2 4 2 9 4 9" xfId="20351" xr:uid="{00000000-0005-0000-0000-0000774F0000}"/>
    <cellStyle name="Normal 2 2 2 4 2 9 5" xfId="20352" xr:uid="{00000000-0005-0000-0000-0000784F0000}"/>
    <cellStyle name="Normal 2 2 2 4 2 9 5 10" xfId="20353" xr:uid="{00000000-0005-0000-0000-0000794F0000}"/>
    <cellStyle name="Normal 2 2 2 4 2 9 5 2" xfId="20354" xr:uid="{00000000-0005-0000-0000-00007A4F0000}"/>
    <cellStyle name="Normal 2 2 2 4 2 9 5 3" xfId="20355" xr:uid="{00000000-0005-0000-0000-00007B4F0000}"/>
    <cellStyle name="Normal 2 2 2 4 2 9 5 4" xfId="20356" xr:uid="{00000000-0005-0000-0000-00007C4F0000}"/>
    <cellStyle name="Normal 2 2 2 4 2 9 5 5" xfId="20357" xr:uid="{00000000-0005-0000-0000-00007D4F0000}"/>
    <cellStyle name="Normal 2 2 2 4 2 9 5 6" xfId="20358" xr:uid="{00000000-0005-0000-0000-00007E4F0000}"/>
    <cellStyle name="Normal 2 2 2 4 2 9 5 7" xfId="20359" xr:uid="{00000000-0005-0000-0000-00007F4F0000}"/>
    <cellStyle name="Normal 2 2 2 4 2 9 5 8" xfId="20360" xr:uid="{00000000-0005-0000-0000-0000804F0000}"/>
    <cellStyle name="Normal 2 2 2 4 2 9 5 9" xfId="20361" xr:uid="{00000000-0005-0000-0000-0000814F0000}"/>
    <cellStyle name="Normal 2 2 2 4 2 9 6" xfId="20362" xr:uid="{00000000-0005-0000-0000-0000824F0000}"/>
    <cellStyle name="Normal 2 2 2 4 2 9 7" xfId="20363" xr:uid="{00000000-0005-0000-0000-0000834F0000}"/>
    <cellStyle name="Normal 2 2 2 4 2 9 8" xfId="20364" xr:uid="{00000000-0005-0000-0000-0000844F0000}"/>
    <cellStyle name="Normal 2 2 2 4 2 9 9" xfId="20365" xr:uid="{00000000-0005-0000-0000-0000854F0000}"/>
    <cellStyle name="Normal 2 2 2 4 20" xfId="20366" xr:uid="{00000000-0005-0000-0000-0000864F0000}"/>
    <cellStyle name="Normal 2 2 2 4 21" xfId="20367" xr:uid="{00000000-0005-0000-0000-0000874F0000}"/>
    <cellStyle name="Normal 2 2 2 4 22" xfId="20368" xr:uid="{00000000-0005-0000-0000-0000884F0000}"/>
    <cellStyle name="Normal 2 2 2 4 23" xfId="20369" xr:uid="{00000000-0005-0000-0000-0000894F0000}"/>
    <cellStyle name="Normal 2 2 2 4 24" xfId="20370" xr:uid="{00000000-0005-0000-0000-00008A4F0000}"/>
    <cellStyle name="Normal 2 2 2 4 25" xfId="20371" xr:uid="{00000000-0005-0000-0000-00008B4F0000}"/>
    <cellStyle name="Normal 2 2 2 4 26" xfId="20372" xr:uid="{00000000-0005-0000-0000-00008C4F0000}"/>
    <cellStyle name="Normal 2 2 2 4 27" xfId="20373" xr:uid="{00000000-0005-0000-0000-00008D4F0000}"/>
    <cellStyle name="Normal 2 2 2 4 28" xfId="20374" xr:uid="{00000000-0005-0000-0000-00008E4F0000}"/>
    <cellStyle name="Normal 2 2 2 4 29" xfId="20375" xr:uid="{00000000-0005-0000-0000-00008F4F0000}"/>
    <cellStyle name="Normal 2 2 2 4 3" xfId="20376" xr:uid="{00000000-0005-0000-0000-0000904F0000}"/>
    <cellStyle name="Normal 2 2 2 4 3 2" xfId="20377" xr:uid="{00000000-0005-0000-0000-0000914F0000}"/>
    <cellStyle name="Normal 2 2 2 4 3 3" xfId="20378" xr:uid="{00000000-0005-0000-0000-0000924F0000}"/>
    <cellStyle name="Normal 2 2 2 4 30" xfId="20379" xr:uid="{00000000-0005-0000-0000-0000934F0000}"/>
    <cellStyle name="Normal 2 2 2 4 31" xfId="20380" xr:uid="{00000000-0005-0000-0000-0000944F0000}"/>
    <cellStyle name="Normal 2 2 2 4 32" xfId="20381" xr:uid="{00000000-0005-0000-0000-0000954F0000}"/>
    <cellStyle name="Normal 2 2 2 4 33" xfId="20382" xr:uid="{00000000-0005-0000-0000-0000964F0000}"/>
    <cellStyle name="Normal 2 2 2 4 34" xfId="20383" xr:uid="{00000000-0005-0000-0000-0000974F0000}"/>
    <cellStyle name="Normal 2 2 2 4 34 10" xfId="20384" xr:uid="{00000000-0005-0000-0000-0000984F0000}"/>
    <cellStyle name="Normal 2 2 2 4 34 2" xfId="20385" xr:uid="{00000000-0005-0000-0000-0000994F0000}"/>
    <cellStyle name="Normal 2 2 2 4 34 3" xfId="20386" xr:uid="{00000000-0005-0000-0000-00009A4F0000}"/>
    <cellStyle name="Normal 2 2 2 4 34 4" xfId="20387" xr:uid="{00000000-0005-0000-0000-00009B4F0000}"/>
    <cellStyle name="Normal 2 2 2 4 34 5" xfId="20388" xr:uid="{00000000-0005-0000-0000-00009C4F0000}"/>
    <cellStyle name="Normal 2 2 2 4 34 6" xfId="20389" xr:uid="{00000000-0005-0000-0000-00009D4F0000}"/>
    <cellStyle name="Normal 2 2 2 4 34 7" xfId="20390" xr:uid="{00000000-0005-0000-0000-00009E4F0000}"/>
    <cellStyle name="Normal 2 2 2 4 34 8" xfId="20391" xr:uid="{00000000-0005-0000-0000-00009F4F0000}"/>
    <cellStyle name="Normal 2 2 2 4 34 9" xfId="20392" xr:uid="{00000000-0005-0000-0000-0000A04F0000}"/>
    <cellStyle name="Normal 2 2 2 4 35" xfId="20393" xr:uid="{00000000-0005-0000-0000-0000A14F0000}"/>
    <cellStyle name="Normal 2 2 2 4 35 10" xfId="20394" xr:uid="{00000000-0005-0000-0000-0000A24F0000}"/>
    <cellStyle name="Normal 2 2 2 4 35 2" xfId="20395" xr:uid="{00000000-0005-0000-0000-0000A34F0000}"/>
    <cellStyle name="Normal 2 2 2 4 35 3" xfId="20396" xr:uid="{00000000-0005-0000-0000-0000A44F0000}"/>
    <cellStyle name="Normal 2 2 2 4 35 4" xfId="20397" xr:uid="{00000000-0005-0000-0000-0000A54F0000}"/>
    <cellStyle name="Normal 2 2 2 4 35 5" xfId="20398" xr:uid="{00000000-0005-0000-0000-0000A64F0000}"/>
    <cellStyle name="Normal 2 2 2 4 35 6" xfId="20399" xr:uid="{00000000-0005-0000-0000-0000A74F0000}"/>
    <cellStyle name="Normal 2 2 2 4 35 7" xfId="20400" xr:uid="{00000000-0005-0000-0000-0000A84F0000}"/>
    <cellStyle name="Normal 2 2 2 4 35 8" xfId="20401" xr:uid="{00000000-0005-0000-0000-0000A94F0000}"/>
    <cellStyle name="Normal 2 2 2 4 35 9" xfId="20402" xr:uid="{00000000-0005-0000-0000-0000AA4F0000}"/>
    <cellStyle name="Normal 2 2 2 4 36" xfId="20403" xr:uid="{00000000-0005-0000-0000-0000AB4F0000}"/>
    <cellStyle name="Normal 2 2 2 4 36 10" xfId="20404" xr:uid="{00000000-0005-0000-0000-0000AC4F0000}"/>
    <cellStyle name="Normal 2 2 2 4 36 2" xfId="20405" xr:uid="{00000000-0005-0000-0000-0000AD4F0000}"/>
    <cellStyle name="Normal 2 2 2 4 36 3" xfId="20406" xr:uid="{00000000-0005-0000-0000-0000AE4F0000}"/>
    <cellStyle name="Normal 2 2 2 4 36 4" xfId="20407" xr:uid="{00000000-0005-0000-0000-0000AF4F0000}"/>
    <cellStyle name="Normal 2 2 2 4 36 5" xfId="20408" xr:uid="{00000000-0005-0000-0000-0000B04F0000}"/>
    <cellStyle name="Normal 2 2 2 4 36 6" xfId="20409" xr:uid="{00000000-0005-0000-0000-0000B14F0000}"/>
    <cellStyle name="Normal 2 2 2 4 36 7" xfId="20410" xr:uid="{00000000-0005-0000-0000-0000B24F0000}"/>
    <cellStyle name="Normal 2 2 2 4 36 8" xfId="20411" xr:uid="{00000000-0005-0000-0000-0000B34F0000}"/>
    <cellStyle name="Normal 2 2 2 4 36 9" xfId="20412" xr:uid="{00000000-0005-0000-0000-0000B44F0000}"/>
    <cellStyle name="Normal 2 2 2 4 37" xfId="20413" xr:uid="{00000000-0005-0000-0000-0000B54F0000}"/>
    <cellStyle name="Normal 2 2 2 4 37 10" xfId="20414" xr:uid="{00000000-0005-0000-0000-0000B64F0000}"/>
    <cellStyle name="Normal 2 2 2 4 37 2" xfId="20415" xr:uid="{00000000-0005-0000-0000-0000B74F0000}"/>
    <cellStyle name="Normal 2 2 2 4 37 3" xfId="20416" xr:uid="{00000000-0005-0000-0000-0000B84F0000}"/>
    <cellStyle name="Normal 2 2 2 4 37 4" xfId="20417" xr:uid="{00000000-0005-0000-0000-0000B94F0000}"/>
    <cellStyle name="Normal 2 2 2 4 37 5" xfId="20418" xr:uid="{00000000-0005-0000-0000-0000BA4F0000}"/>
    <cellStyle name="Normal 2 2 2 4 37 6" xfId="20419" xr:uid="{00000000-0005-0000-0000-0000BB4F0000}"/>
    <cellStyle name="Normal 2 2 2 4 37 7" xfId="20420" xr:uid="{00000000-0005-0000-0000-0000BC4F0000}"/>
    <cellStyle name="Normal 2 2 2 4 37 8" xfId="20421" xr:uid="{00000000-0005-0000-0000-0000BD4F0000}"/>
    <cellStyle name="Normal 2 2 2 4 37 9" xfId="20422" xr:uid="{00000000-0005-0000-0000-0000BE4F0000}"/>
    <cellStyle name="Normal 2 2 2 4 38" xfId="20423" xr:uid="{00000000-0005-0000-0000-0000BF4F0000}"/>
    <cellStyle name="Normal 2 2 2 4 39" xfId="20424" xr:uid="{00000000-0005-0000-0000-0000C04F0000}"/>
    <cellStyle name="Normal 2 2 2 4 4" xfId="20425" xr:uid="{00000000-0005-0000-0000-0000C14F0000}"/>
    <cellStyle name="Normal 2 2 2 4 40" xfId="20426" xr:uid="{00000000-0005-0000-0000-0000C24F0000}"/>
    <cellStyle name="Normal 2 2 2 4 41" xfId="20427" xr:uid="{00000000-0005-0000-0000-0000C34F0000}"/>
    <cellStyle name="Normal 2 2 2 4 42" xfId="20428" xr:uid="{00000000-0005-0000-0000-0000C44F0000}"/>
    <cellStyle name="Normal 2 2 2 4 43" xfId="20429" xr:uid="{00000000-0005-0000-0000-0000C54F0000}"/>
    <cellStyle name="Normal 2 2 2 4 44" xfId="20430" xr:uid="{00000000-0005-0000-0000-0000C64F0000}"/>
    <cellStyle name="Normal 2 2 2 4 45" xfId="20431" xr:uid="{00000000-0005-0000-0000-0000C74F0000}"/>
    <cellStyle name="Normal 2 2 2 4 46" xfId="20432" xr:uid="{00000000-0005-0000-0000-0000C84F0000}"/>
    <cellStyle name="Normal 2 2 2 4 47" xfId="20433" xr:uid="{00000000-0005-0000-0000-0000C94F0000}"/>
    <cellStyle name="Normal 2 2 2 4 48" xfId="20434" xr:uid="{00000000-0005-0000-0000-0000CA4F0000}"/>
    <cellStyle name="Normal 2 2 2 4 5" xfId="20435" xr:uid="{00000000-0005-0000-0000-0000CB4F0000}"/>
    <cellStyle name="Normal 2 2 2 4 6" xfId="20436" xr:uid="{00000000-0005-0000-0000-0000CC4F0000}"/>
    <cellStyle name="Normal 2 2 2 4 7" xfId="20437" xr:uid="{00000000-0005-0000-0000-0000CD4F0000}"/>
    <cellStyle name="Normal 2 2 2 4 8" xfId="20438" xr:uid="{00000000-0005-0000-0000-0000CE4F0000}"/>
    <cellStyle name="Normal 2 2 2 4 9" xfId="20439" xr:uid="{00000000-0005-0000-0000-0000CF4F0000}"/>
    <cellStyle name="Normal 2 2 2 40" xfId="20440" xr:uid="{00000000-0005-0000-0000-0000D04F0000}"/>
    <cellStyle name="Normal 2 2 2 40 10" xfId="20441" xr:uid="{00000000-0005-0000-0000-0000D14F0000}"/>
    <cellStyle name="Normal 2 2 2 40 2" xfId="20442" xr:uid="{00000000-0005-0000-0000-0000D24F0000}"/>
    <cellStyle name="Normal 2 2 2 40 3" xfId="20443" xr:uid="{00000000-0005-0000-0000-0000D34F0000}"/>
    <cellStyle name="Normal 2 2 2 40 4" xfId="20444" xr:uid="{00000000-0005-0000-0000-0000D44F0000}"/>
    <cellStyle name="Normal 2 2 2 40 5" xfId="20445" xr:uid="{00000000-0005-0000-0000-0000D54F0000}"/>
    <cellStyle name="Normal 2 2 2 40 6" xfId="20446" xr:uid="{00000000-0005-0000-0000-0000D64F0000}"/>
    <cellStyle name="Normal 2 2 2 40 7" xfId="20447" xr:uid="{00000000-0005-0000-0000-0000D74F0000}"/>
    <cellStyle name="Normal 2 2 2 40 8" xfId="20448" xr:uid="{00000000-0005-0000-0000-0000D84F0000}"/>
    <cellStyle name="Normal 2 2 2 40 9" xfId="20449" xr:uid="{00000000-0005-0000-0000-0000D94F0000}"/>
    <cellStyle name="Normal 2 2 2 41" xfId="20450" xr:uid="{00000000-0005-0000-0000-0000DA4F0000}"/>
    <cellStyle name="Normal 2 2 2 42" xfId="20451" xr:uid="{00000000-0005-0000-0000-0000DB4F0000}"/>
    <cellStyle name="Normal 2 2 2 43" xfId="20452" xr:uid="{00000000-0005-0000-0000-0000DC4F0000}"/>
    <cellStyle name="Normal 2 2 2 44" xfId="20453" xr:uid="{00000000-0005-0000-0000-0000DD4F0000}"/>
    <cellStyle name="Normal 2 2 2 45" xfId="20454" xr:uid="{00000000-0005-0000-0000-0000DE4F0000}"/>
    <cellStyle name="Normal 2 2 2 46" xfId="20455" xr:uid="{00000000-0005-0000-0000-0000DF4F0000}"/>
    <cellStyle name="Normal 2 2 2 47" xfId="20456" xr:uid="{00000000-0005-0000-0000-0000E04F0000}"/>
    <cellStyle name="Normal 2 2 2 48" xfId="20457" xr:uid="{00000000-0005-0000-0000-0000E14F0000}"/>
    <cellStyle name="Normal 2 2 2 49" xfId="20458" xr:uid="{00000000-0005-0000-0000-0000E24F0000}"/>
    <cellStyle name="Normal 2 2 2 5" xfId="20459" xr:uid="{00000000-0005-0000-0000-0000E34F0000}"/>
    <cellStyle name="Normal 2 2 2 5 10" xfId="20460" xr:uid="{00000000-0005-0000-0000-0000E44F0000}"/>
    <cellStyle name="Normal 2 2 2 5 11" xfId="20461" xr:uid="{00000000-0005-0000-0000-0000E54F0000}"/>
    <cellStyle name="Normal 2 2 2 5 12" xfId="20462" xr:uid="{00000000-0005-0000-0000-0000E64F0000}"/>
    <cellStyle name="Normal 2 2 2 5 13" xfId="20463" xr:uid="{00000000-0005-0000-0000-0000E74F0000}"/>
    <cellStyle name="Normal 2 2 2 5 14" xfId="20464" xr:uid="{00000000-0005-0000-0000-0000E84F0000}"/>
    <cellStyle name="Normal 2 2 2 5 15" xfId="20465" xr:uid="{00000000-0005-0000-0000-0000E94F0000}"/>
    <cellStyle name="Normal 2 2 2 5 16" xfId="20466" xr:uid="{00000000-0005-0000-0000-0000EA4F0000}"/>
    <cellStyle name="Normal 2 2 2 5 17" xfId="20467" xr:uid="{00000000-0005-0000-0000-0000EB4F0000}"/>
    <cellStyle name="Normal 2 2 2 5 18" xfId="20468" xr:uid="{00000000-0005-0000-0000-0000EC4F0000}"/>
    <cellStyle name="Normal 2 2 2 5 19" xfId="20469" xr:uid="{00000000-0005-0000-0000-0000ED4F0000}"/>
    <cellStyle name="Normal 2 2 2 5 2" xfId="20470" xr:uid="{00000000-0005-0000-0000-0000EE4F0000}"/>
    <cellStyle name="Normal 2 2 2 5 2 10" xfId="20471" xr:uid="{00000000-0005-0000-0000-0000EF4F0000}"/>
    <cellStyle name="Normal 2 2 2 5 2 10 10" xfId="20472" xr:uid="{00000000-0005-0000-0000-0000F04F0000}"/>
    <cellStyle name="Normal 2 2 2 5 2 10 11" xfId="20473" xr:uid="{00000000-0005-0000-0000-0000F14F0000}"/>
    <cellStyle name="Normal 2 2 2 5 2 10 12" xfId="20474" xr:uid="{00000000-0005-0000-0000-0000F24F0000}"/>
    <cellStyle name="Normal 2 2 2 5 2 10 13" xfId="20475" xr:uid="{00000000-0005-0000-0000-0000F34F0000}"/>
    <cellStyle name="Normal 2 2 2 5 2 10 14" xfId="20476" xr:uid="{00000000-0005-0000-0000-0000F44F0000}"/>
    <cellStyle name="Normal 2 2 2 5 2 10 2" xfId="20477" xr:uid="{00000000-0005-0000-0000-0000F54F0000}"/>
    <cellStyle name="Normal 2 2 2 5 2 10 2 10" xfId="20478" xr:uid="{00000000-0005-0000-0000-0000F64F0000}"/>
    <cellStyle name="Normal 2 2 2 5 2 10 2 2" xfId="20479" xr:uid="{00000000-0005-0000-0000-0000F74F0000}"/>
    <cellStyle name="Normal 2 2 2 5 2 10 2 3" xfId="20480" xr:uid="{00000000-0005-0000-0000-0000F84F0000}"/>
    <cellStyle name="Normal 2 2 2 5 2 10 2 4" xfId="20481" xr:uid="{00000000-0005-0000-0000-0000F94F0000}"/>
    <cellStyle name="Normal 2 2 2 5 2 10 2 5" xfId="20482" xr:uid="{00000000-0005-0000-0000-0000FA4F0000}"/>
    <cellStyle name="Normal 2 2 2 5 2 10 2 6" xfId="20483" xr:uid="{00000000-0005-0000-0000-0000FB4F0000}"/>
    <cellStyle name="Normal 2 2 2 5 2 10 2 7" xfId="20484" xr:uid="{00000000-0005-0000-0000-0000FC4F0000}"/>
    <cellStyle name="Normal 2 2 2 5 2 10 2 8" xfId="20485" xr:uid="{00000000-0005-0000-0000-0000FD4F0000}"/>
    <cellStyle name="Normal 2 2 2 5 2 10 2 9" xfId="20486" xr:uid="{00000000-0005-0000-0000-0000FE4F0000}"/>
    <cellStyle name="Normal 2 2 2 5 2 10 3" xfId="20487" xr:uid="{00000000-0005-0000-0000-0000FF4F0000}"/>
    <cellStyle name="Normal 2 2 2 5 2 10 3 10" xfId="20488" xr:uid="{00000000-0005-0000-0000-000000500000}"/>
    <cellStyle name="Normal 2 2 2 5 2 10 3 2" xfId="20489" xr:uid="{00000000-0005-0000-0000-000001500000}"/>
    <cellStyle name="Normal 2 2 2 5 2 10 3 3" xfId="20490" xr:uid="{00000000-0005-0000-0000-000002500000}"/>
    <cellStyle name="Normal 2 2 2 5 2 10 3 4" xfId="20491" xr:uid="{00000000-0005-0000-0000-000003500000}"/>
    <cellStyle name="Normal 2 2 2 5 2 10 3 5" xfId="20492" xr:uid="{00000000-0005-0000-0000-000004500000}"/>
    <cellStyle name="Normal 2 2 2 5 2 10 3 6" xfId="20493" xr:uid="{00000000-0005-0000-0000-000005500000}"/>
    <cellStyle name="Normal 2 2 2 5 2 10 3 7" xfId="20494" xr:uid="{00000000-0005-0000-0000-000006500000}"/>
    <cellStyle name="Normal 2 2 2 5 2 10 3 8" xfId="20495" xr:uid="{00000000-0005-0000-0000-000007500000}"/>
    <cellStyle name="Normal 2 2 2 5 2 10 3 9" xfId="20496" xr:uid="{00000000-0005-0000-0000-000008500000}"/>
    <cellStyle name="Normal 2 2 2 5 2 10 4" xfId="20497" xr:uid="{00000000-0005-0000-0000-000009500000}"/>
    <cellStyle name="Normal 2 2 2 5 2 10 4 10" xfId="20498" xr:uid="{00000000-0005-0000-0000-00000A500000}"/>
    <cellStyle name="Normal 2 2 2 5 2 10 4 2" xfId="20499" xr:uid="{00000000-0005-0000-0000-00000B500000}"/>
    <cellStyle name="Normal 2 2 2 5 2 10 4 3" xfId="20500" xr:uid="{00000000-0005-0000-0000-00000C500000}"/>
    <cellStyle name="Normal 2 2 2 5 2 10 4 4" xfId="20501" xr:uid="{00000000-0005-0000-0000-00000D500000}"/>
    <cellStyle name="Normal 2 2 2 5 2 10 4 5" xfId="20502" xr:uid="{00000000-0005-0000-0000-00000E500000}"/>
    <cellStyle name="Normal 2 2 2 5 2 10 4 6" xfId="20503" xr:uid="{00000000-0005-0000-0000-00000F500000}"/>
    <cellStyle name="Normal 2 2 2 5 2 10 4 7" xfId="20504" xr:uid="{00000000-0005-0000-0000-000010500000}"/>
    <cellStyle name="Normal 2 2 2 5 2 10 4 8" xfId="20505" xr:uid="{00000000-0005-0000-0000-000011500000}"/>
    <cellStyle name="Normal 2 2 2 5 2 10 4 9" xfId="20506" xr:uid="{00000000-0005-0000-0000-000012500000}"/>
    <cellStyle name="Normal 2 2 2 5 2 10 5" xfId="20507" xr:uid="{00000000-0005-0000-0000-000013500000}"/>
    <cellStyle name="Normal 2 2 2 5 2 10 5 10" xfId="20508" xr:uid="{00000000-0005-0000-0000-000014500000}"/>
    <cellStyle name="Normal 2 2 2 5 2 10 5 2" xfId="20509" xr:uid="{00000000-0005-0000-0000-000015500000}"/>
    <cellStyle name="Normal 2 2 2 5 2 10 5 3" xfId="20510" xr:uid="{00000000-0005-0000-0000-000016500000}"/>
    <cellStyle name="Normal 2 2 2 5 2 10 5 4" xfId="20511" xr:uid="{00000000-0005-0000-0000-000017500000}"/>
    <cellStyle name="Normal 2 2 2 5 2 10 5 5" xfId="20512" xr:uid="{00000000-0005-0000-0000-000018500000}"/>
    <cellStyle name="Normal 2 2 2 5 2 10 5 6" xfId="20513" xr:uid="{00000000-0005-0000-0000-000019500000}"/>
    <cellStyle name="Normal 2 2 2 5 2 10 5 7" xfId="20514" xr:uid="{00000000-0005-0000-0000-00001A500000}"/>
    <cellStyle name="Normal 2 2 2 5 2 10 5 8" xfId="20515" xr:uid="{00000000-0005-0000-0000-00001B500000}"/>
    <cellStyle name="Normal 2 2 2 5 2 10 5 9" xfId="20516" xr:uid="{00000000-0005-0000-0000-00001C500000}"/>
    <cellStyle name="Normal 2 2 2 5 2 10 6" xfId="20517" xr:uid="{00000000-0005-0000-0000-00001D500000}"/>
    <cellStyle name="Normal 2 2 2 5 2 10 7" xfId="20518" xr:uid="{00000000-0005-0000-0000-00001E500000}"/>
    <cellStyle name="Normal 2 2 2 5 2 10 8" xfId="20519" xr:uid="{00000000-0005-0000-0000-00001F500000}"/>
    <cellStyle name="Normal 2 2 2 5 2 10 9" xfId="20520" xr:uid="{00000000-0005-0000-0000-000020500000}"/>
    <cellStyle name="Normal 2 2 2 5 2 11" xfId="20521" xr:uid="{00000000-0005-0000-0000-000021500000}"/>
    <cellStyle name="Normal 2 2 2 5 2 11 10" xfId="20522" xr:uid="{00000000-0005-0000-0000-000022500000}"/>
    <cellStyle name="Normal 2 2 2 5 2 11 11" xfId="20523" xr:uid="{00000000-0005-0000-0000-000023500000}"/>
    <cellStyle name="Normal 2 2 2 5 2 11 12" xfId="20524" xr:uid="{00000000-0005-0000-0000-000024500000}"/>
    <cellStyle name="Normal 2 2 2 5 2 11 13" xfId="20525" xr:uid="{00000000-0005-0000-0000-000025500000}"/>
    <cellStyle name="Normal 2 2 2 5 2 11 14" xfId="20526" xr:uid="{00000000-0005-0000-0000-000026500000}"/>
    <cellStyle name="Normal 2 2 2 5 2 11 2" xfId="20527" xr:uid="{00000000-0005-0000-0000-000027500000}"/>
    <cellStyle name="Normal 2 2 2 5 2 11 2 10" xfId="20528" xr:uid="{00000000-0005-0000-0000-000028500000}"/>
    <cellStyle name="Normal 2 2 2 5 2 11 2 2" xfId="20529" xr:uid="{00000000-0005-0000-0000-000029500000}"/>
    <cellStyle name="Normal 2 2 2 5 2 11 2 3" xfId="20530" xr:uid="{00000000-0005-0000-0000-00002A500000}"/>
    <cellStyle name="Normal 2 2 2 5 2 11 2 4" xfId="20531" xr:uid="{00000000-0005-0000-0000-00002B500000}"/>
    <cellStyle name="Normal 2 2 2 5 2 11 2 5" xfId="20532" xr:uid="{00000000-0005-0000-0000-00002C500000}"/>
    <cellStyle name="Normal 2 2 2 5 2 11 2 6" xfId="20533" xr:uid="{00000000-0005-0000-0000-00002D500000}"/>
    <cellStyle name="Normal 2 2 2 5 2 11 2 7" xfId="20534" xr:uid="{00000000-0005-0000-0000-00002E500000}"/>
    <cellStyle name="Normal 2 2 2 5 2 11 2 8" xfId="20535" xr:uid="{00000000-0005-0000-0000-00002F500000}"/>
    <cellStyle name="Normal 2 2 2 5 2 11 2 9" xfId="20536" xr:uid="{00000000-0005-0000-0000-000030500000}"/>
    <cellStyle name="Normal 2 2 2 5 2 11 3" xfId="20537" xr:uid="{00000000-0005-0000-0000-000031500000}"/>
    <cellStyle name="Normal 2 2 2 5 2 11 3 10" xfId="20538" xr:uid="{00000000-0005-0000-0000-000032500000}"/>
    <cellStyle name="Normal 2 2 2 5 2 11 3 2" xfId="20539" xr:uid="{00000000-0005-0000-0000-000033500000}"/>
    <cellStyle name="Normal 2 2 2 5 2 11 3 3" xfId="20540" xr:uid="{00000000-0005-0000-0000-000034500000}"/>
    <cellStyle name="Normal 2 2 2 5 2 11 3 4" xfId="20541" xr:uid="{00000000-0005-0000-0000-000035500000}"/>
    <cellStyle name="Normal 2 2 2 5 2 11 3 5" xfId="20542" xr:uid="{00000000-0005-0000-0000-000036500000}"/>
    <cellStyle name="Normal 2 2 2 5 2 11 3 6" xfId="20543" xr:uid="{00000000-0005-0000-0000-000037500000}"/>
    <cellStyle name="Normal 2 2 2 5 2 11 3 7" xfId="20544" xr:uid="{00000000-0005-0000-0000-000038500000}"/>
    <cellStyle name="Normal 2 2 2 5 2 11 3 8" xfId="20545" xr:uid="{00000000-0005-0000-0000-000039500000}"/>
    <cellStyle name="Normal 2 2 2 5 2 11 3 9" xfId="20546" xr:uid="{00000000-0005-0000-0000-00003A500000}"/>
    <cellStyle name="Normal 2 2 2 5 2 11 4" xfId="20547" xr:uid="{00000000-0005-0000-0000-00003B500000}"/>
    <cellStyle name="Normal 2 2 2 5 2 11 4 10" xfId="20548" xr:uid="{00000000-0005-0000-0000-00003C500000}"/>
    <cellStyle name="Normal 2 2 2 5 2 11 4 2" xfId="20549" xr:uid="{00000000-0005-0000-0000-00003D500000}"/>
    <cellStyle name="Normal 2 2 2 5 2 11 4 3" xfId="20550" xr:uid="{00000000-0005-0000-0000-00003E500000}"/>
    <cellStyle name="Normal 2 2 2 5 2 11 4 4" xfId="20551" xr:uid="{00000000-0005-0000-0000-00003F500000}"/>
    <cellStyle name="Normal 2 2 2 5 2 11 4 5" xfId="20552" xr:uid="{00000000-0005-0000-0000-000040500000}"/>
    <cellStyle name="Normal 2 2 2 5 2 11 4 6" xfId="20553" xr:uid="{00000000-0005-0000-0000-000041500000}"/>
    <cellStyle name="Normal 2 2 2 5 2 11 4 7" xfId="20554" xr:uid="{00000000-0005-0000-0000-000042500000}"/>
    <cellStyle name="Normal 2 2 2 5 2 11 4 8" xfId="20555" xr:uid="{00000000-0005-0000-0000-000043500000}"/>
    <cellStyle name="Normal 2 2 2 5 2 11 4 9" xfId="20556" xr:uid="{00000000-0005-0000-0000-000044500000}"/>
    <cellStyle name="Normal 2 2 2 5 2 11 5" xfId="20557" xr:uid="{00000000-0005-0000-0000-000045500000}"/>
    <cellStyle name="Normal 2 2 2 5 2 11 5 10" xfId="20558" xr:uid="{00000000-0005-0000-0000-000046500000}"/>
    <cellStyle name="Normal 2 2 2 5 2 11 5 2" xfId="20559" xr:uid="{00000000-0005-0000-0000-000047500000}"/>
    <cellStyle name="Normal 2 2 2 5 2 11 5 3" xfId="20560" xr:uid="{00000000-0005-0000-0000-000048500000}"/>
    <cellStyle name="Normal 2 2 2 5 2 11 5 4" xfId="20561" xr:uid="{00000000-0005-0000-0000-000049500000}"/>
    <cellStyle name="Normal 2 2 2 5 2 11 5 5" xfId="20562" xr:uid="{00000000-0005-0000-0000-00004A500000}"/>
    <cellStyle name="Normal 2 2 2 5 2 11 5 6" xfId="20563" xr:uid="{00000000-0005-0000-0000-00004B500000}"/>
    <cellStyle name="Normal 2 2 2 5 2 11 5 7" xfId="20564" xr:uid="{00000000-0005-0000-0000-00004C500000}"/>
    <cellStyle name="Normal 2 2 2 5 2 11 5 8" xfId="20565" xr:uid="{00000000-0005-0000-0000-00004D500000}"/>
    <cellStyle name="Normal 2 2 2 5 2 11 5 9" xfId="20566" xr:uid="{00000000-0005-0000-0000-00004E500000}"/>
    <cellStyle name="Normal 2 2 2 5 2 11 6" xfId="20567" xr:uid="{00000000-0005-0000-0000-00004F500000}"/>
    <cellStyle name="Normal 2 2 2 5 2 11 7" xfId="20568" xr:uid="{00000000-0005-0000-0000-000050500000}"/>
    <cellStyle name="Normal 2 2 2 5 2 11 8" xfId="20569" xr:uid="{00000000-0005-0000-0000-000051500000}"/>
    <cellStyle name="Normal 2 2 2 5 2 11 9" xfId="20570" xr:uid="{00000000-0005-0000-0000-000052500000}"/>
    <cellStyle name="Normal 2 2 2 5 2 12" xfId="20571" xr:uid="{00000000-0005-0000-0000-000053500000}"/>
    <cellStyle name="Normal 2 2 2 5 2 12 10" xfId="20572" xr:uid="{00000000-0005-0000-0000-000054500000}"/>
    <cellStyle name="Normal 2 2 2 5 2 12 11" xfId="20573" xr:uid="{00000000-0005-0000-0000-000055500000}"/>
    <cellStyle name="Normal 2 2 2 5 2 12 12" xfId="20574" xr:uid="{00000000-0005-0000-0000-000056500000}"/>
    <cellStyle name="Normal 2 2 2 5 2 12 13" xfId="20575" xr:uid="{00000000-0005-0000-0000-000057500000}"/>
    <cellStyle name="Normal 2 2 2 5 2 12 14" xfId="20576" xr:uid="{00000000-0005-0000-0000-000058500000}"/>
    <cellStyle name="Normal 2 2 2 5 2 12 2" xfId="20577" xr:uid="{00000000-0005-0000-0000-000059500000}"/>
    <cellStyle name="Normal 2 2 2 5 2 12 2 10" xfId="20578" xr:uid="{00000000-0005-0000-0000-00005A500000}"/>
    <cellStyle name="Normal 2 2 2 5 2 12 2 2" xfId="20579" xr:uid="{00000000-0005-0000-0000-00005B500000}"/>
    <cellStyle name="Normal 2 2 2 5 2 12 2 3" xfId="20580" xr:uid="{00000000-0005-0000-0000-00005C500000}"/>
    <cellStyle name="Normal 2 2 2 5 2 12 2 4" xfId="20581" xr:uid="{00000000-0005-0000-0000-00005D500000}"/>
    <cellStyle name="Normal 2 2 2 5 2 12 2 5" xfId="20582" xr:uid="{00000000-0005-0000-0000-00005E500000}"/>
    <cellStyle name="Normal 2 2 2 5 2 12 2 6" xfId="20583" xr:uid="{00000000-0005-0000-0000-00005F500000}"/>
    <cellStyle name="Normal 2 2 2 5 2 12 2 7" xfId="20584" xr:uid="{00000000-0005-0000-0000-000060500000}"/>
    <cellStyle name="Normal 2 2 2 5 2 12 2 8" xfId="20585" xr:uid="{00000000-0005-0000-0000-000061500000}"/>
    <cellStyle name="Normal 2 2 2 5 2 12 2 9" xfId="20586" xr:uid="{00000000-0005-0000-0000-000062500000}"/>
    <cellStyle name="Normal 2 2 2 5 2 12 3" xfId="20587" xr:uid="{00000000-0005-0000-0000-000063500000}"/>
    <cellStyle name="Normal 2 2 2 5 2 12 3 10" xfId="20588" xr:uid="{00000000-0005-0000-0000-000064500000}"/>
    <cellStyle name="Normal 2 2 2 5 2 12 3 2" xfId="20589" xr:uid="{00000000-0005-0000-0000-000065500000}"/>
    <cellStyle name="Normal 2 2 2 5 2 12 3 3" xfId="20590" xr:uid="{00000000-0005-0000-0000-000066500000}"/>
    <cellStyle name="Normal 2 2 2 5 2 12 3 4" xfId="20591" xr:uid="{00000000-0005-0000-0000-000067500000}"/>
    <cellStyle name="Normal 2 2 2 5 2 12 3 5" xfId="20592" xr:uid="{00000000-0005-0000-0000-000068500000}"/>
    <cellStyle name="Normal 2 2 2 5 2 12 3 6" xfId="20593" xr:uid="{00000000-0005-0000-0000-000069500000}"/>
    <cellStyle name="Normal 2 2 2 5 2 12 3 7" xfId="20594" xr:uid="{00000000-0005-0000-0000-00006A500000}"/>
    <cellStyle name="Normal 2 2 2 5 2 12 3 8" xfId="20595" xr:uid="{00000000-0005-0000-0000-00006B500000}"/>
    <cellStyle name="Normal 2 2 2 5 2 12 3 9" xfId="20596" xr:uid="{00000000-0005-0000-0000-00006C500000}"/>
    <cellStyle name="Normal 2 2 2 5 2 12 4" xfId="20597" xr:uid="{00000000-0005-0000-0000-00006D500000}"/>
    <cellStyle name="Normal 2 2 2 5 2 12 4 10" xfId="20598" xr:uid="{00000000-0005-0000-0000-00006E500000}"/>
    <cellStyle name="Normal 2 2 2 5 2 12 4 2" xfId="20599" xr:uid="{00000000-0005-0000-0000-00006F500000}"/>
    <cellStyle name="Normal 2 2 2 5 2 12 4 3" xfId="20600" xr:uid="{00000000-0005-0000-0000-000070500000}"/>
    <cellStyle name="Normal 2 2 2 5 2 12 4 4" xfId="20601" xr:uid="{00000000-0005-0000-0000-000071500000}"/>
    <cellStyle name="Normal 2 2 2 5 2 12 4 5" xfId="20602" xr:uid="{00000000-0005-0000-0000-000072500000}"/>
    <cellStyle name="Normal 2 2 2 5 2 12 4 6" xfId="20603" xr:uid="{00000000-0005-0000-0000-000073500000}"/>
    <cellStyle name="Normal 2 2 2 5 2 12 4 7" xfId="20604" xr:uid="{00000000-0005-0000-0000-000074500000}"/>
    <cellStyle name="Normal 2 2 2 5 2 12 4 8" xfId="20605" xr:uid="{00000000-0005-0000-0000-000075500000}"/>
    <cellStyle name="Normal 2 2 2 5 2 12 4 9" xfId="20606" xr:uid="{00000000-0005-0000-0000-000076500000}"/>
    <cellStyle name="Normal 2 2 2 5 2 12 5" xfId="20607" xr:uid="{00000000-0005-0000-0000-000077500000}"/>
    <cellStyle name="Normal 2 2 2 5 2 12 5 10" xfId="20608" xr:uid="{00000000-0005-0000-0000-000078500000}"/>
    <cellStyle name="Normal 2 2 2 5 2 12 5 2" xfId="20609" xr:uid="{00000000-0005-0000-0000-000079500000}"/>
    <cellStyle name="Normal 2 2 2 5 2 12 5 3" xfId="20610" xr:uid="{00000000-0005-0000-0000-00007A500000}"/>
    <cellStyle name="Normal 2 2 2 5 2 12 5 4" xfId="20611" xr:uid="{00000000-0005-0000-0000-00007B500000}"/>
    <cellStyle name="Normal 2 2 2 5 2 12 5 5" xfId="20612" xr:uid="{00000000-0005-0000-0000-00007C500000}"/>
    <cellStyle name="Normal 2 2 2 5 2 12 5 6" xfId="20613" xr:uid="{00000000-0005-0000-0000-00007D500000}"/>
    <cellStyle name="Normal 2 2 2 5 2 12 5 7" xfId="20614" xr:uid="{00000000-0005-0000-0000-00007E500000}"/>
    <cellStyle name="Normal 2 2 2 5 2 12 5 8" xfId="20615" xr:uid="{00000000-0005-0000-0000-00007F500000}"/>
    <cellStyle name="Normal 2 2 2 5 2 12 5 9" xfId="20616" xr:uid="{00000000-0005-0000-0000-000080500000}"/>
    <cellStyle name="Normal 2 2 2 5 2 12 6" xfId="20617" xr:uid="{00000000-0005-0000-0000-000081500000}"/>
    <cellStyle name="Normal 2 2 2 5 2 12 7" xfId="20618" xr:uid="{00000000-0005-0000-0000-000082500000}"/>
    <cellStyle name="Normal 2 2 2 5 2 12 8" xfId="20619" xr:uid="{00000000-0005-0000-0000-000083500000}"/>
    <cellStyle name="Normal 2 2 2 5 2 12 9" xfId="20620" xr:uid="{00000000-0005-0000-0000-000084500000}"/>
    <cellStyle name="Normal 2 2 2 5 2 13" xfId="20621" xr:uid="{00000000-0005-0000-0000-000085500000}"/>
    <cellStyle name="Normal 2 2 2 5 2 13 10" xfId="20622" xr:uid="{00000000-0005-0000-0000-000086500000}"/>
    <cellStyle name="Normal 2 2 2 5 2 13 11" xfId="20623" xr:uid="{00000000-0005-0000-0000-000087500000}"/>
    <cellStyle name="Normal 2 2 2 5 2 13 12" xfId="20624" xr:uid="{00000000-0005-0000-0000-000088500000}"/>
    <cellStyle name="Normal 2 2 2 5 2 13 13" xfId="20625" xr:uid="{00000000-0005-0000-0000-000089500000}"/>
    <cellStyle name="Normal 2 2 2 5 2 13 14" xfId="20626" xr:uid="{00000000-0005-0000-0000-00008A500000}"/>
    <cellStyle name="Normal 2 2 2 5 2 13 2" xfId="20627" xr:uid="{00000000-0005-0000-0000-00008B500000}"/>
    <cellStyle name="Normal 2 2 2 5 2 13 2 10" xfId="20628" xr:uid="{00000000-0005-0000-0000-00008C500000}"/>
    <cellStyle name="Normal 2 2 2 5 2 13 2 2" xfId="20629" xr:uid="{00000000-0005-0000-0000-00008D500000}"/>
    <cellStyle name="Normal 2 2 2 5 2 13 2 3" xfId="20630" xr:uid="{00000000-0005-0000-0000-00008E500000}"/>
    <cellStyle name="Normal 2 2 2 5 2 13 2 4" xfId="20631" xr:uid="{00000000-0005-0000-0000-00008F500000}"/>
    <cellStyle name="Normal 2 2 2 5 2 13 2 5" xfId="20632" xr:uid="{00000000-0005-0000-0000-000090500000}"/>
    <cellStyle name="Normal 2 2 2 5 2 13 2 6" xfId="20633" xr:uid="{00000000-0005-0000-0000-000091500000}"/>
    <cellStyle name="Normal 2 2 2 5 2 13 2 7" xfId="20634" xr:uid="{00000000-0005-0000-0000-000092500000}"/>
    <cellStyle name="Normal 2 2 2 5 2 13 2 8" xfId="20635" xr:uid="{00000000-0005-0000-0000-000093500000}"/>
    <cellStyle name="Normal 2 2 2 5 2 13 2 9" xfId="20636" xr:uid="{00000000-0005-0000-0000-000094500000}"/>
    <cellStyle name="Normal 2 2 2 5 2 13 3" xfId="20637" xr:uid="{00000000-0005-0000-0000-000095500000}"/>
    <cellStyle name="Normal 2 2 2 5 2 13 3 10" xfId="20638" xr:uid="{00000000-0005-0000-0000-000096500000}"/>
    <cellStyle name="Normal 2 2 2 5 2 13 3 2" xfId="20639" xr:uid="{00000000-0005-0000-0000-000097500000}"/>
    <cellStyle name="Normal 2 2 2 5 2 13 3 3" xfId="20640" xr:uid="{00000000-0005-0000-0000-000098500000}"/>
    <cellStyle name="Normal 2 2 2 5 2 13 3 4" xfId="20641" xr:uid="{00000000-0005-0000-0000-000099500000}"/>
    <cellStyle name="Normal 2 2 2 5 2 13 3 5" xfId="20642" xr:uid="{00000000-0005-0000-0000-00009A500000}"/>
    <cellStyle name="Normal 2 2 2 5 2 13 3 6" xfId="20643" xr:uid="{00000000-0005-0000-0000-00009B500000}"/>
    <cellStyle name="Normal 2 2 2 5 2 13 3 7" xfId="20644" xr:uid="{00000000-0005-0000-0000-00009C500000}"/>
    <cellStyle name="Normal 2 2 2 5 2 13 3 8" xfId="20645" xr:uid="{00000000-0005-0000-0000-00009D500000}"/>
    <cellStyle name="Normal 2 2 2 5 2 13 3 9" xfId="20646" xr:uid="{00000000-0005-0000-0000-00009E500000}"/>
    <cellStyle name="Normal 2 2 2 5 2 13 4" xfId="20647" xr:uid="{00000000-0005-0000-0000-00009F500000}"/>
    <cellStyle name="Normal 2 2 2 5 2 13 4 10" xfId="20648" xr:uid="{00000000-0005-0000-0000-0000A0500000}"/>
    <cellStyle name="Normal 2 2 2 5 2 13 4 2" xfId="20649" xr:uid="{00000000-0005-0000-0000-0000A1500000}"/>
    <cellStyle name="Normal 2 2 2 5 2 13 4 3" xfId="20650" xr:uid="{00000000-0005-0000-0000-0000A2500000}"/>
    <cellStyle name="Normal 2 2 2 5 2 13 4 4" xfId="20651" xr:uid="{00000000-0005-0000-0000-0000A3500000}"/>
    <cellStyle name="Normal 2 2 2 5 2 13 4 5" xfId="20652" xr:uid="{00000000-0005-0000-0000-0000A4500000}"/>
    <cellStyle name="Normal 2 2 2 5 2 13 4 6" xfId="20653" xr:uid="{00000000-0005-0000-0000-0000A5500000}"/>
    <cellStyle name="Normal 2 2 2 5 2 13 4 7" xfId="20654" xr:uid="{00000000-0005-0000-0000-0000A6500000}"/>
    <cellStyle name="Normal 2 2 2 5 2 13 4 8" xfId="20655" xr:uid="{00000000-0005-0000-0000-0000A7500000}"/>
    <cellStyle name="Normal 2 2 2 5 2 13 4 9" xfId="20656" xr:uid="{00000000-0005-0000-0000-0000A8500000}"/>
    <cellStyle name="Normal 2 2 2 5 2 13 5" xfId="20657" xr:uid="{00000000-0005-0000-0000-0000A9500000}"/>
    <cellStyle name="Normal 2 2 2 5 2 13 5 10" xfId="20658" xr:uid="{00000000-0005-0000-0000-0000AA500000}"/>
    <cellStyle name="Normal 2 2 2 5 2 13 5 2" xfId="20659" xr:uid="{00000000-0005-0000-0000-0000AB500000}"/>
    <cellStyle name="Normal 2 2 2 5 2 13 5 3" xfId="20660" xr:uid="{00000000-0005-0000-0000-0000AC500000}"/>
    <cellStyle name="Normal 2 2 2 5 2 13 5 4" xfId="20661" xr:uid="{00000000-0005-0000-0000-0000AD500000}"/>
    <cellStyle name="Normal 2 2 2 5 2 13 5 5" xfId="20662" xr:uid="{00000000-0005-0000-0000-0000AE500000}"/>
    <cellStyle name="Normal 2 2 2 5 2 13 5 6" xfId="20663" xr:uid="{00000000-0005-0000-0000-0000AF500000}"/>
    <cellStyle name="Normal 2 2 2 5 2 13 5 7" xfId="20664" xr:uid="{00000000-0005-0000-0000-0000B0500000}"/>
    <cellStyle name="Normal 2 2 2 5 2 13 5 8" xfId="20665" xr:uid="{00000000-0005-0000-0000-0000B1500000}"/>
    <cellStyle name="Normal 2 2 2 5 2 13 5 9" xfId="20666" xr:uid="{00000000-0005-0000-0000-0000B2500000}"/>
    <cellStyle name="Normal 2 2 2 5 2 13 6" xfId="20667" xr:uid="{00000000-0005-0000-0000-0000B3500000}"/>
    <cellStyle name="Normal 2 2 2 5 2 13 7" xfId="20668" xr:uid="{00000000-0005-0000-0000-0000B4500000}"/>
    <cellStyle name="Normal 2 2 2 5 2 13 8" xfId="20669" xr:uid="{00000000-0005-0000-0000-0000B5500000}"/>
    <cellStyle name="Normal 2 2 2 5 2 13 9" xfId="20670" xr:uid="{00000000-0005-0000-0000-0000B6500000}"/>
    <cellStyle name="Normal 2 2 2 5 2 14" xfId="20671" xr:uid="{00000000-0005-0000-0000-0000B7500000}"/>
    <cellStyle name="Normal 2 2 2 5 2 14 10" xfId="20672" xr:uid="{00000000-0005-0000-0000-0000B8500000}"/>
    <cellStyle name="Normal 2 2 2 5 2 14 11" xfId="20673" xr:uid="{00000000-0005-0000-0000-0000B9500000}"/>
    <cellStyle name="Normal 2 2 2 5 2 14 12" xfId="20674" xr:uid="{00000000-0005-0000-0000-0000BA500000}"/>
    <cellStyle name="Normal 2 2 2 5 2 14 13" xfId="20675" xr:uid="{00000000-0005-0000-0000-0000BB500000}"/>
    <cellStyle name="Normal 2 2 2 5 2 14 14" xfId="20676" xr:uid="{00000000-0005-0000-0000-0000BC500000}"/>
    <cellStyle name="Normal 2 2 2 5 2 14 2" xfId="20677" xr:uid="{00000000-0005-0000-0000-0000BD500000}"/>
    <cellStyle name="Normal 2 2 2 5 2 14 2 10" xfId="20678" xr:uid="{00000000-0005-0000-0000-0000BE500000}"/>
    <cellStyle name="Normal 2 2 2 5 2 14 2 2" xfId="20679" xr:uid="{00000000-0005-0000-0000-0000BF500000}"/>
    <cellStyle name="Normal 2 2 2 5 2 14 2 3" xfId="20680" xr:uid="{00000000-0005-0000-0000-0000C0500000}"/>
    <cellStyle name="Normal 2 2 2 5 2 14 2 4" xfId="20681" xr:uid="{00000000-0005-0000-0000-0000C1500000}"/>
    <cellStyle name="Normal 2 2 2 5 2 14 2 5" xfId="20682" xr:uid="{00000000-0005-0000-0000-0000C2500000}"/>
    <cellStyle name="Normal 2 2 2 5 2 14 2 6" xfId="20683" xr:uid="{00000000-0005-0000-0000-0000C3500000}"/>
    <cellStyle name="Normal 2 2 2 5 2 14 2 7" xfId="20684" xr:uid="{00000000-0005-0000-0000-0000C4500000}"/>
    <cellStyle name="Normal 2 2 2 5 2 14 2 8" xfId="20685" xr:uid="{00000000-0005-0000-0000-0000C5500000}"/>
    <cellStyle name="Normal 2 2 2 5 2 14 2 9" xfId="20686" xr:uid="{00000000-0005-0000-0000-0000C6500000}"/>
    <cellStyle name="Normal 2 2 2 5 2 14 3" xfId="20687" xr:uid="{00000000-0005-0000-0000-0000C7500000}"/>
    <cellStyle name="Normal 2 2 2 5 2 14 3 10" xfId="20688" xr:uid="{00000000-0005-0000-0000-0000C8500000}"/>
    <cellStyle name="Normal 2 2 2 5 2 14 3 2" xfId="20689" xr:uid="{00000000-0005-0000-0000-0000C9500000}"/>
    <cellStyle name="Normal 2 2 2 5 2 14 3 3" xfId="20690" xr:uid="{00000000-0005-0000-0000-0000CA500000}"/>
    <cellStyle name="Normal 2 2 2 5 2 14 3 4" xfId="20691" xr:uid="{00000000-0005-0000-0000-0000CB500000}"/>
    <cellStyle name="Normal 2 2 2 5 2 14 3 5" xfId="20692" xr:uid="{00000000-0005-0000-0000-0000CC500000}"/>
    <cellStyle name="Normal 2 2 2 5 2 14 3 6" xfId="20693" xr:uid="{00000000-0005-0000-0000-0000CD500000}"/>
    <cellStyle name="Normal 2 2 2 5 2 14 3 7" xfId="20694" xr:uid="{00000000-0005-0000-0000-0000CE500000}"/>
    <cellStyle name="Normal 2 2 2 5 2 14 3 8" xfId="20695" xr:uid="{00000000-0005-0000-0000-0000CF500000}"/>
    <cellStyle name="Normal 2 2 2 5 2 14 3 9" xfId="20696" xr:uid="{00000000-0005-0000-0000-0000D0500000}"/>
    <cellStyle name="Normal 2 2 2 5 2 14 4" xfId="20697" xr:uid="{00000000-0005-0000-0000-0000D1500000}"/>
    <cellStyle name="Normal 2 2 2 5 2 14 4 10" xfId="20698" xr:uid="{00000000-0005-0000-0000-0000D2500000}"/>
    <cellStyle name="Normal 2 2 2 5 2 14 4 2" xfId="20699" xr:uid="{00000000-0005-0000-0000-0000D3500000}"/>
    <cellStyle name="Normal 2 2 2 5 2 14 4 3" xfId="20700" xr:uid="{00000000-0005-0000-0000-0000D4500000}"/>
    <cellStyle name="Normal 2 2 2 5 2 14 4 4" xfId="20701" xr:uid="{00000000-0005-0000-0000-0000D5500000}"/>
    <cellStyle name="Normal 2 2 2 5 2 14 4 5" xfId="20702" xr:uid="{00000000-0005-0000-0000-0000D6500000}"/>
    <cellStyle name="Normal 2 2 2 5 2 14 4 6" xfId="20703" xr:uid="{00000000-0005-0000-0000-0000D7500000}"/>
    <cellStyle name="Normal 2 2 2 5 2 14 4 7" xfId="20704" xr:uid="{00000000-0005-0000-0000-0000D8500000}"/>
    <cellStyle name="Normal 2 2 2 5 2 14 4 8" xfId="20705" xr:uid="{00000000-0005-0000-0000-0000D9500000}"/>
    <cellStyle name="Normal 2 2 2 5 2 14 4 9" xfId="20706" xr:uid="{00000000-0005-0000-0000-0000DA500000}"/>
    <cellStyle name="Normal 2 2 2 5 2 14 5" xfId="20707" xr:uid="{00000000-0005-0000-0000-0000DB500000}"/>
    <cellStyle name="Normal 2 2 2 5 2 14 5 10" xfId="20708" xr:uid="{00000000-0005-0000-0000-0000DC500000}"/>
    <cellStyle name="Normal 2 2 2 5 2 14 5 2" xfId="20709" xr:uid="{00000000-0005-0000-0000-0000DD500000}"/>
    <cellStyle name="Normal 2 2 2 5 2 14 5 3" xfId="20710" xr:uid="{00000000-0005-0000-0000-0000DE500000}"/>
    <cellStyle name="Normal 2 2 2 5 2 14 5 4" xfId="20711" xr:uid="{00000000-0005-0000-0000-0000DF500000}"/>
    <cellStyle name="Normal 2 2 2 5 2 14 5 5" xfId="20712" xr:uid="{00000000-0005-0000-0000-0000E0500000}"/>
    <cellStyle name="Normal 2 2 2 5 2 14 5 6" xfId="20713" xr:uid="{00000000-0005-0000-0000-0000E1500000}"/>
    <cellStyle name="Normal 2 2 2 5 2 14 5 7" xfId="20714" xr:uid="{00000000-0005-0000-0000-0000E2500000}"/>
    <cellStyle name="Normal 2 2 2 5 2 14 5 8" xfId="20715" xr:uid="{00000000-0005-0000-0000-0000E3500000}"/>
    <cellStyle name="Normal 2 2 2 5 2 14 5 9" xfId="20716" xr:uid="{00000000-0005-0000-0000-0000E4500000}"/>
    <cellStyle name="Normal 2 2 2 5 2 14 6" xfId="20717" xr:uid="{00000000-0005-0000-0000-0000E5500000}"/>
    <cellStyle name="Normal 2 2 2 5 2 14 7" xfId="20718" xr:uid="{00000000-0005-0000-0000-0000E6500000}"/>
    <cellStyle name="Normal 2 2 2 5 2 14 8" xfId="20719" xr:uid="{00000000-0005-0000-0000-0000E7500000}"/>
    <cellStyle name="Normal 2 2 2 5 2 14 9" xfId="20720" xr:uid="{00000000-0005-0000-0000-0000E8500000}"/>
    <cellStyle name="Normal 2 2 2 5 2 15" xfId="20721" xr:uid="{00000000-0005-0000-0000-0000E9500000}"/>
    <cellStyle name="Normal 2 2 2 5 2 15 10" xfId="20722" xr:uid="{00000000-0005-0000-0000-0000EA500000}"/>
    <cellStyle name="Normal 2 2 2 5 2 15 11" xfId="20723" xr:uid="{00000000-0005-0000-0000-0000EB500000}"/>
    <cellStyle name="Normal 2 2 2 5 2 15 12" xfId="20724" xr:uid="{00000000-0005-0000-0000-0000EC500000}"/>
    <cellStyle name="Normal 2 2 2 5 2 15 13" xfId="20725" xr:uid="{00000000-0005-0000-0000-0000ED500000}"/>
    <cellStyle name="Normal 2 2 2 5 2 15 14" xfId="20726" xr:uid="{00000000-0005-0000-0000-0000EE500000}"/>
    <cellStyle name="Normal 2 2 2 5 2 15 2" xfId="20727" xr:uid="{00000000-0005-0000-0000-0000EF500000}"/>
    <cellStyle name="Normal 2 2 2 5 2 15 2 10" xfId="20728" xr:uid="{00000000-0005-0000-0000-0000F0500000}"/>
    <cellStyle name="Normal 2 2 2 5 2 15 2 2" xfId="20729" xr:uid="{00000000-0005-0000-0000-0000F1500000}"/>
    <cellStyle name="Normal 2 2 2 5 2 15 2 3" xfId="20730" xr:uid="{00000000-0005-0000-0000-0000F2500000}"/>
    <cellStyle name="Normal 2 2 2 5 2 15 2 4" xfId="20731" xr:uid="{00000000-0005-0000-0000-0000F3500000}"/>
    <cellStyle name="Normal 2 2 2 5 2 15 2 5" xfId="20732" xr:uid="{00000000-0005-0000-0000-0000F4500000}"/>
    <cellStyle name="Normal 2 2 2 5 2 15 2 6" xfId="20733" xr:uid="{00000000-0005-0000-0000-0000F5500000}"/>
    <cellStyle name="Normal 2 2 2 5 2 15 2 7" xfId="20734" xr:uid="{00000000-0005-0000-0000-0000F6500000}"/>
    <cellStyle name="Normal 2 2 2 5 2 15 2 8" xfId="20735" xr:uid="{00000000-0005-0000-0000-0000F7500000}"/>
    <cellStyle name="Normal 2 2 2 5 2 15 2 9" xfId="20736" xr:uid="{00000000-0005-0000-0000-0000F8500000}"/>
    <cellStyle name="Normal 2 2 2 5 2 15 3" xfId="20737" xr:uid="{00000000-0005-0000-0000-0000F9500000}"/>
    <cellStyle name="Normal 2 2 2 5 2 15 3 10" xfId="20738" xr:uid="{00000000-0005-0000-0000-0000FA500000}"/>
    <cellStyle name="Normal 2 2 2 5 2 15 3 2" xfId="20739" xr:uid="{00000000-0005-0000-0000-0000FB500000}"/>
    <cellStyle name="Normal 2 2 2 5 2 15 3 3" xfId="20740" xr:uid="{00000000-0005-0000-0000-0000FC500000}"/>
    <cellStyle name="Normal 2 2 2 5 2 15 3 4" xfId="20741" xr:uid="{00000000-0005-0000-0000-0000FD500000}"/>
    <cellStyle name="Normal 2 2 2 5 2 15 3 5" xfId="20742" xr:uid="{00000000-0005-0000-0000-0000FE500000}"/>
    <cellStyle name="Normal 2 2 2 5 2 15 3 6" xfId="20743" xr:uid="{00000000-0005-0000-0000-0000FF500000}"/>
    <cellStyle name="Normal 2 2 2 5 2 15 3 7" xfId="20744" xr:uid="{00000000-0005-0000-0000-000000510000}"/>
    <cellStyle name="Normal 2 2 2 5 2 15 3 8" xfId="20745" xr:uid="{00000000-0005-0000-0000-000001510000}"/>
    <cellStyle name="Normal 2 2 2 5 2 15 3 9" xfId="20746" xr:uid="{00000000-0005-0000-0000-000002510000}"/>
    <cellStyle name="Normal 2 2 2 5 2 15 4" xfId="20747" xr:uid="{00000000-0005-0000-0000-000003510000}"/>
    <cellStyle name="Normal 2 2 2 5 2 15 4 10" xfId="20748" xr:uid="{00000000-0005-0000-0000-000004510000}"/>
    <cellStyle name="Normal 2 2 2 5 2 15 4 2" xfId="20749" xr:uid="{00000000-0005-0000-0000-000005510000}"/>
    <cellStyle name="Normal 2 2 2 5 2 15 4 3" xfId="20750" xr:uid="{00000000-0005-0000-0000-000006510000}"/>
    <cellStyle name="Normal 2 2 2 5 2 15 4 4" xfId="20751" xr:uid="{00000000-0005-0000-0000-000007510000}"/>
    <cellStyle name="Normal 2 2 2 5 2 15 4 5" xfId="20752" xr:uid="{00000000-0005-0000-0000-000008510000}"/>
    <cellStyle name="Normal 2 2 2 5 2 15 4 6" xfId="20753" xr:uid="{00000000-0005-0000-0000-000009510000}"/>
    <cellStyle name="Normal 2 2 2 5 2 15 4 7" xfId="20754" xr:uid="{00000000-0005-0000-0000-00000A510000}"/>
    <cellStyle name="Normal 2 2 2 5 2 15 4 8" xfId="20755" xr:uid="{00000000-0005-0000-0000-00000B510000}"/>
    <cellStyle name="Normal 2 2 2 5 2 15 4 9" xfId="20756" xr:uid="{00000000-0005-0000-0000-00000C510000}"/>
    <cellStyle name="Normal 2 2 2 5 2 15 5" xfId="20757" xr:uid="{00000000-0005-0000-0000-00000D510000}"/>
    <cellStyle name="Normal 2 2 2 5 2 15 5 10" xfId="20758" xr:uid="{00000000-0005-0000-0000-00000E510000}"/>
    <cellStyle name="Normal 2 2 2 5 2 15 5 2" xfId="20759" xr:uid="{00000000-0005-0000-0000-00000F510000}"/>
    <cellStyle name="Normal 2 2 2 5 2 15 5 3" xfId="20760" xr:uid="{00000000-0005-0000-0000-000010510000}"/>
    <cellStyle name="Normal 2 2 2 5 2 15 5 4" xfId="20761" xr:uid="{00000000-0005-0000-0000-000011510000}"/>
    <cellStyle name="Normal 2 2 2 5 2 15 5 5" xfId="20762" xr:uid="{00000000-0005-0000-0000-000012510000}"/>
    <cellStyle name="Normal 2 2 2 5 2 15 5 6" xfId="20763" xr:uid="{00000000-0005-0000-0000-000013510000}"/>
    <cellStyle name="Normal 2 2 2 5 2 15 5 7" xfId="20764" xr:uid="{00000000-0005-0000-0000-000014510000}"/>
    <cellStyle name="Normal 2 2 2 5 2 15 5 8" xfId="20765" xr:uid="{00000000-0005-0000-0000-000015510000}"/>
    <cellStyle name="Normal 2 2 2 5 2 15 5 9" xfId="20766" xr:uid="{00000000-0005-0000-0000-000016510000}"/>
    <cellStyle name="Normal 2 2 2 5 2 15 6" xfId="20767" xr:uid="{00000000-0005-0000-0000-000017510000}"/>
    <cellStyle name="Normal 2 2 2 5 2 15 7" xfId="20768" xr:uid="{00000000-0005-0000-0000-000018510000}"/>
    <cellStyle name="Normal 2 2 2 5 2 15 8" xfId="20769" xr:uid="{00000000-0005-0000-0000-000019510000}"/>
    <cellStyle name="Normal 2 2 2 5 2 15 9" xfId="20770" xr:uid="{00000000-0005-0000-0000-00001A510000}"/>
    <cellStyle name="Normal 2 2 2 5 2 16" xfId="20771" xr:uid="{00000000-0005-0000-0000-00001B510000}"/>
    <cellStyle name="Normal 2 2 2 5 2 16 10" xfId="20772" xr:uid="{00000000-0005-0000-0000-00001C510000}"/>
    <cellStyle name="Normal 2 2 2 5 2 16 11" xfId="20773" xr:uid="{00000000-0005-0000-0000-00001D510000}"/>
    <cellStyle name="Normal 2 2 2 5 2 16 12" xfId="20774" xr:uid="{00000000-0005-0000-0000-00001E510000}"/>
    <cellStyle name="Normal 2 2 2 5 2 16 13" xfId="20775" xr:uid="{00000000-0005-0000-0000-00001F510000}"/>
    <cellStyle name="Normal 2 2 2 5 2 16 14" xfId="20776" xr:uid="{00000000-0005-0000-0000-000020510000}"/>
    <cellStyle name="Normal 2 2 2 5 2 16 2" xfId="20777" xr:uid="{00000000-0005-0000-0000-000021510000}"/>
    <cellStyle name="Normal 2 2 2 5 2 16 2 10" xfId="20778" xr:uid="{00000000-0005-0000-0000-000022510000}"/>
    <cellStyle name="Normal 2 2 2 5 2 16 2 2" xfId="20779" xr:uid="{00000000-0005-0000-0000-000023510000}"/>
    <cellStyle name="Normal 2 2 2 5 2 16 2 3" xfId="20780" xr:uid="{00000000-0005-0000-0000-000024510000}"/>
    <cellStyle name="Normal 2 2 2 5 2 16 2 4" xfId="20781" xr:uid="{00000000-0005-0000-0000-000025510000}"/>
    <cellStyle name="Normal 2 2 2 5 2 16 2 5" xfId="20782" xr:uid="{00000000-0005-0000-0000-000026510000}"/>
    <cellStyle name="Normal 2 2 2 5 2 16 2 6" xfId="20783" xr:uid="{00000000-0005-0000-0000-000027510000}"/>
    <cellStyle name="Normal 2 2 2 5 2 16 2 7" xfId="20784" xr:uid="{00000000-0005-0000-0000-000028510000}"/>
    <cellStyle name="Normal 2 2 2 5 2 16 2 8" xfId="20785" xr:uid="{00000000-0005-0000-0000-000029510000}"/>
    <cellStyle name="Normal 2 2 2 5 2 16 2 9" xfId="20786" xr:uid="{00000000-0005-0000-0000-00002A510000}"/>
    <cellStyle name="Normal 2 2 2 5 2 16 3" xfId="20787" xr:uid="{00000000-0005-0000-0000-00002B510000}"/>
    <cellStyle name="Normal 2 2 2 5 2 16 3 10" xfId="20788" xr:uid="{00000000-0005-0000-0000-00002C510000}"/>
    <cellStyle name="Normal 2 2 2 5 2 16 3 2" xfId="20789" xr:uid="{00000000-0005-0000-0000-00002D510000}"/>
    <cellStyle name="Normal 2 2 2 5 2 16 3 3" xfId="20790" xr:uid="{00000000-0005-0000-0000-00002E510000}"/>
    <cellStyle name="Normal 2 2 2 5 2 16 3 4" xfId="20791" xr:uid="{00000000-0005-0000-0000-00002F510000}"/>
    <cellStyle name="Normal 2 2 2 5 2 16 3 5" xfId="20792" xr:uid="{00000000-0005-0000-0000-000030510000}"/>
    <cellStyle name="Normal 2 2 2 5 2 16 3 6" xfId="20793" xr:uid="{00000000-0005-0000-0000-000031510000}"/>
    <cellStyle name="Normal 2 2 2 5 2 16 3 7" xfId="20794" xr:uid="{00000000-0005-0000-0000-000032510000}"/>
    <cellStyle name="Normal 2 2 2 5 2 16 3 8" xfId="20795" xr:uid="{00000000-0005-0000-0000-000033510000}"/>
    <cellStyle name="Normal 2 2 2 5 2 16 3 9" xfId="20796" xr:uid="{00000000-0005-0000-0000-000034510000}"/>
    <cellStyle name="Normal 2 2 2 5 2 16 4" xfId="20797" xr:uid="{00000000-0005-0000-0000-000035510000}"/>
    <cellStyle name="Normal 2 2 2 5 2 16 4 10" xfId="20798" xr:uid="{00000000-0005-0000-0000-000036510000}"/>
    <cellStyle name="Normal 2 2 2 5 2 16 4 2" xfId="20799" xr:uid="{00000000-0005-0000-0000-000037510000}"/>
    <cellStyle name="Normal 2 2 2 5 2 16 4 3" xfId="20800" xr:uid="{00000000-0005-0000-0000-000038510000}"/>
    <cellStyle name="Normal 2 2 2 5 2 16 4 4" xfId="20801" xr:uid="{00000000-0005-0000-0000-000039510000}"/>
    <cellStyle name="Normal 2 2 2 5 2 16 4 5" xfId="20802" xr:uid="{00000000-0005-0000-0000-00003A510000}"/>
    <cellStyle name="Normal 2 2 2 5 2 16 4 6" xfId="20803" xr:uid="{00000000-0005-0000-0000-00003B510000}"/>
    <cellStyle name="Normal 2 2 2 5 2 16 4 7" xfId="20804" xr:uid="{00000000-0005-0000-0000-00003C510000}"/>
    <cellStyle name="Normal 2 2 2 5 2 16 4 8" xfId="20805" xr:uid="{00000000-0005-0000-0000-00003D510000}"/>
    <cellStyle name="Normal 2 2 2 5 2 16 4 9" xfId="20806" xr:uid="{00000000-0005-0000-0000-00003E510000}"/>
    <cellStyle name="Normal 2 2 2 5 2 16 5" xfId="20807" xr:uid="{00000000-0005-0000-0000-00003F510000}"/>
    <cellStyle name="Normal 2 2 2 5 2 16 5 10" xfId="20808" xr:uid="{00000000-0005-0000-0000-000040510000}"/>
    <cellStyle name="Normal 2 2 2 5 2 16 5 2" xfId="20809" xr:uid="{00000000-0005-0000-0000-000041510000}"/>
    <cellStyle name="Normal 2 2 2 5 2 16 5 3" xfId="20810" xr:uid="{00000000-0005-0000-0000-000042510000}"/>
    <cellStyle name="Normal 2 2 2 5 2 16 5 4" xfId="20811" xr:uid="{00000000-0005-0000-0000-000043510000}"/>
    <cellStyle name="Normal 2 2 2 5 2 16 5 5" xfId="20812" xr:uid="{00000000-0005-0000-0000-000044510000}"/>
    <cellStyle name="Normal 2 2 2 5 2 16 5 6" xfId="20813" xr:uid="{00000000-0005-0000-0000-000045510000}"/>
    <cellStyle name="Normal 2 2 2 5 2 16 5 7" xfId="20814" xr:uid="{00000000-0005-0000-0000-000046510000}"/>
    <cellStyle name="Normal 2 2 2 5 2 16 5 8" xfId="20815" xr:uid="{00000000-0005-0000-0000-000047510000}"/>
    <cellStyle name="Normal 2 2 2 5 2 16 5 9" xfId="20816" xr:uid="{00000000-0005-0000-0000-000048510000}"/>
    <cellStyle name="Normal 2 2 2 5 2 16 6" xfId="20817" xr:uid="{00000000-0005-0000-0000-000049510000}"/>
    <cellStyle name="Normal 2 2 2 5 2 16 7" xfId="20818" xr:uid="{00000000-0005-0000-0000-00004A510000}"/>
    <cellStyle name="Normal 2 2 2 5 2 16 8" xfId="20819" xr:uid="{00000000-0005-0000-0000-00004B510000}"/>
    <cellStyle name="Normal 2 2 2 5 2 16 9" xfId="20820" xr:uid="{00000000-0005-0000-0000-00004C510000}"/>
    <cellStyle name="Normal 2 2 2 5 2 17" xfId="20821" xr:uid="{00000000-0005-0000-0000-00004D510000}"/>
    <cellStyle name="Normal 2 2 2 5 2 17 10" xfId="20822" xr:uid="{00000000-0005-0000-0000-00004E510000}"/>
    <cellStyle name="Normal 2 2 2 5 2 17 11" xfId="20823" xr:uid="{00000000-0005-0000-0000-00004F510000}"/>
    <cellStyle name="Normal 2 2 2 5 2 17 12" xfId="20824" xr:uid="{00000000-0005-0000-0000-000050510000}"/>
    <cellStyle name="Normal 2 2 2 5 2 17 13" xfId="20825" xr:uid="{00000000-0005-0000-0000-000051510000}"/>
    <cellStyle name="Normal 2 2 2 5 2 17 14" xfId="20826" xr:uid="{00000000-0005-0000-0000-000052510000}"/>
    <cellStyle name="Normal 2 2 2 5 2 17 2" xfId="20827" xr:uid="{00000000-0005-0000-0000-000053510000}"/>
    <cellStyle name="Normal 2 2 2 5 2 17 2 10" xfId="20828" xr:uid="{00000000-0005-0000-0000-000054510000}"/>
    <cellStyle name="Normal 2 2 2 5 2 17 2 2" xfId="20829" xr:uid="{00000000-0005-0000-0000-000055510000}"/>
    <cellStyle name="Normal 2 2 2 5 2 17 2 3" xfId="20830" xr:uid="{00000000-0005-0000-0000-000056510000}"/>
    <cellStyle name="Normal 2 2 2 5 2 17 2 4" xfId="20831" xr:uid="{00000000-0005-0000-0000-000057510000}"/>
    <cellStyle name="Normal 2 2 2 5 2 17 2 5" xfId="20832" xr:uid="{00000000-0005-0000-0000-000058510000}"/>
    <cellStyle name="Normal 2 2 2 5 2 17 2 6" xfId="20833" xr:uid="{00000000-0005-0000-0000-000059510000}"/>
    <cellStyle name="Normal 2 2 2 5 2 17 2 7" xfId="20834" xr:uid="{00000000-0005-0000-0000-00005A510000}"/>
    <cellStyle name="Normal 2 2 2 5 2 17 2 8" xfId="20835" xr:uid="{00000000-0005-0000-0000-00005B510000}"/>
    <cellStyle name="Normal 2 2 2 5 2 17 2 9" xfId="20836" xr:uid="{00000000-0005-0000-0000-00005C510000}"/>
    <cellStyle name="Normal 2 2 2 5 2 17 3" xfId="20837" xr:uid="{00000000-0005-0000-0000-00005D510000}"/>
    <cellStyle name="Normal 2 2 2 5 2 17 3 10" xfId="20838" xr:uid="{00000000-0005-0000-0000-00005E510000}"/>
    <cellStyle name="Normal 2 2 2 5 2 17 3 2" xfId="20839" xr:uid="{00000000-0005-0000-0000-00005F510000}"/>
    <cellStyle name="Normal 2 2 2 5 2 17 3 3" xfId="20840" xr:uid="{00000000-0005-0000-0000-000060510000}"/>
    <cellStyle name="Normal 2 2 2 5 2 17 3 4" xfId="20841" xr:uid="{00000000-0005-0000-0000-000061510000}"/>
    <cellStyle name="Normal 2 2 2 5 2 17 3 5" xfId="20842" xr:uid="{00000000-0005-0000-0000-000062510000}"/>
    <cellStyle name="Normal 2 2 2 5 2 17 3 6" xfId="20843" xr:uid="{00000000-0005-0000-0000-000063510000}"/>
    <cellStyle name="Normal 2 2 2 5 2 17 3 7" xfId="20844" xr:uid="{00000000-0005-0000-0000-000064510000}"/>
    <cellStyle name="Normal 2 2 2 5 2 17 3 8" xfId="20845" xr:uid="{00000000-0005-0000-0000-000065510000}"/>
    <cellStyle name="Normal 2 2 2 5 2 17 3 9" xfId="20846" xr:uid="{00000000-0005-0000-0000-000066510000}"/>
    <cellStyle name="Normal 2 2 2 5 2 17 4" xfId="20847" xr:uid="{00000000-0005-0000-0000-000067510000}"/>
    <cellStyle name="Normal 2 2 2 5 2 17 4 10" xfId="20848" xr:uid="{00000000-0005-0000-0000-000068510000}"/>
    <cellStyle name="Normal 2 2 2 5 2 17 4 2" xfId="20849" xr:uid="{00000000-0005-0000-0000-000069510000}"/>
    <cellStyle name="Normal 2 2 2 5 2 17 4 3" xfId="20850" xr:uid="{00000000-0005-0000-0000-00006A510000}"/>
    <cellStyle name="Normal 2 2 2 5 2 17 4 4" xfId="20851" xr:uid="{00000000-0005-0000-0000-00006B510000}"/>
    <cellStyle name="Normal 2 2 2 5 2 17 4 5" xfId="20852" xr:uid="{00000000-0005-0000-0000-00006C510000}"/>
    <cellStyle name="Normal 2 2 2 5 2 17 4 6" xfId="20853" xr:uid="{00000000-0005-0000-0000-00006D510000}"/>
    <cellStyle name="Normal 2 2 2 5 2 17 4 7" xfId="20854" xr:uid="{00000000-0005-0000-0000-00006E510000}"/>
    <cellStyle name="Normal 2 2 2 5 2 17 4 8" xfId="20855" xr:uid="{00000000-0005-0000-0000-00006F510000}"/>
    <cellStyle name="Normal 2 2 2 5 2 17 4 9" xfId="20856" xr:uid="{00000000-0005-0000-0000-000070510000}"/>
    <cellStyle name="Normal 2 2 2 5 2 17 5" xfId="20857" xr:uid="{00000000-0005-0000-0000-000071510000}"/>
    <cellStyle name="Normal 2 2 2 5 2 17 5 10" xfId="20858" xr:uid="{00000000-0005-0000-0000-000072510000}"/>
    <cellStyle name="Normal 2 2 2 5 2 17 5 2" xfId="20859" xr:uid="{00000000-0005-0000-0000-000073510000}"/>
    <cellStyle name="Normal 2 2 2 5 2 17 5 3" xfId="20860" xr:uid="{00000000-0005-0000-0000-000074510000}"/>
    <cellStyle name="Normal 2 2 2 5 2 17 5 4" xfId="20861" xr:uid="{00000000-0005-0000-0000-000075510000}"/>
    <cellStyle name="Normal 2 2 2 5 2 17 5 5" xfId="20862" xr:uid="{00000000-0005-0000-0000-000076510000}"/>
    <cellStyle name="Normal 2 2 2 5 2 17 5 6" xfId="20863" xr:uid="{00000000-0005-0000-0000-000077510000}"/>
    <cellStyle name="Normal 2 2 2 5 2 17 5 7" xfId="20864" xr:uid="{00000000-0005-0000-0000-000078510000}"/>
    <cellStyle name="Normal 2 2 2 5 2 17 5 8" xfId="20865" xr:uid="{00000000-0005-0000-0000-000079510000}"/>
    <cellStyle name="Normal 2 2 2 5 2 17 5 9" xfId="20866" xr:uid="{00000000-0005-0000-0000-00007A510000}"/>
    <cellStyle name="Normal 2 2 2 5 2 17 6" xfId="20867" xr:uid="{00000000-0005-0000-0000-00007B510000}"/>
    <cellStyle name="Normal 2 2 2 5 2 17 7" xfId="20868" xr:uid="{00000000-0005-0000-0000-00007C510000}"/>
    <cellStyle name="Normal 2 2 2 5 2 17 8" xfId="20869" xr:uid="{00000000-0005-0000-0000-00007D510000}"/>
    <cellStyle name="Normal 2 2 2 5 2 17 9" xfId="20870" xr:uid="{00000000-0005-0000-0000-00007E510000}"/>
    <cellStyle name="Normal 2 2 2 5 2 18" xfId="20871" xr:uid="{00000000-0005-0000-0000-00007F510000}"/>
    <cellStyle name="Normal 2 2 2 5 2 18 10" xfId="20872" xr:uid="{00000000-0005-0000-0000-000080510000}"/>
    <cellStyle name="Normal 2 2 2 5 2 18 11" xfId="20873" xr:uid="{00000000-0005-0000-0000-000081510000}"/>
    <cellStyle name="Normal 2 2 2 5 2 18 12" xfId="20874" xr:uid="{00000000-0005-0000-0000-000082510000}"/>
    <cellStyle name="Normal 2 2 2 5 2 18 13" xfId="20875" xr:uid="{00000000-0005-0000-0000-000083510000}"/>
    <cellStyle name="Normal 2 2 2 5 2 18 14" xfId="20876" xr:uid="{00000000-0005-0000-0000-000084510000}"/>
    <cellStyle name="Normal 2 2 2 5 2 18 2" xfId="20877" xr:uid="{00000000-0005-0000-0000-000085510000}"/>
    <cellStyle name="Normal 2 2 2 5 2 18 2 10" xfId="20878" xr:uid="{00000000-0005-0000-0000-000086510000}"/>
    <cellStyle name="Normal 2 2 2 5 2 18 2 2" xfId="20879" xr:uid="{00000000-0005-0000-0000-000087510000}"/>
    <cellStyle name="Normal 2 2 2 5 2 18 2 3" xfId="20880" xr:uid="{00000000-0005-0000-0000-000088510000}"/>
    <cellStyle name="Normal 2 2 2 5 2 18 2 4" xfId="20881" xr:uid="{00000000-0005-0000-0000-000089510000}"/>
    <cellStyle name="Normal 2 2 2 5 2 18 2 5" xfId="20882" xr:uid="{00000000-0005-0000-0000-00008A510000}"/>
    <cellStyle name="Normal 2 2 2 5 2 18 2 6" xfId="20883" xr:uid="{00000000-0005-0000-0000-00008B510000}"/>
    <cellStyle name="Normal 2 2 2 5 2 18 2 7" xfId="20884" xr:uid="{00000000-0005-0000-0000-00008C510000}"/>
    <cellStyle name="Normal 2 2 2 5 2 18 2 8" xfId="20885" xr:uid="{00000000-0005-0000-0000-00008D510000}"/>
    <cellStyle name="Normal 2 2 2 5 2 18 2 9" xfId="20886" xr:uid="{00000000-0005-0000-0000-00008E510000}"/>
    <cellStyle name="Normal 2 2 2 5 2 18 3" xfId="20887" xr:uid="{00000000-0005-0000-0000-00008F510000}"/>
    <cellStyle name="Normal 2 2 2 5 2 18 3 10" xfId="20888" xr:uid="{00000000-0005-0000-0000-000090510000}"/>
    <cellStyle name="Normal 2 2 2 5 2 18 3 2" xfId="20889" xr:uid="{00000000-0005-0000-0000-000091510000}"/>
    <cellStyle name="Normal 2 2 2 5 2 18 3 3" xfId="20890" xr:uid="{00000000-0005-0000-0000-000092510000}"/>
    <cellStyle name="Normal 2 2 2 5 2 18 3 4" xfId="20891" xr:uid="{00000000-0005-0000-0000-000093510000}"/>
    <cellStyle name="Normal 2 2 2 5 2 18 3 5" xfId="20892" xr:uid="{00000000-0005-0000-0000-000094510000}"/>
    <cellStyle name="Normal 2 2 2 5 2 18 3 6" xfId="20893" xr:uid="{00000000-0005-0000-0000-000095510000}"/>
    <cellStyle name="Normal 2 2 2 5 2 18 3 7" xfId="20894" xr:uid="{00000000-0005-0000-0000-000096510000}"/>
    <cellStyle name="Normal 2 2 2 5 2 18 3 8" xfId="20895" xr:uid="{00000000-0005-0000-0000-000097510000}"/>
    <cellStyle name="Normal 2 2 2 5 2 18 3 9" xfId="20896" xr:uid="{00000000-0005-0000-0000-000098510000}"/>
    <cellStyle name="Normal 2 2 2 5 2 18 4" xfId="20897" xr:uid="{00000000-0005-0000-0000-000099510000}"/>
    <cellStyle name="Normal 2 2 2 5 2 18 4 10" xfId="20898" xr:uid="{00000000-0005-0000-0000-00009A510000}"/>
    <cellStyle name="Normal 2 2 2 5 2 18 4 2" xfId="20899" xr:uid="{00000000-0005-0000-0000-00009B510000}"/>
    <cellStyle name="Normal 2 2 2 5 2 18 4 3" xfId="20900" xr:uid="{00000000-0005-0000-0000-00009C510000}"/>
    <cellStyle name="Normal 2 2 2 5 2 18 4 4" xfId="20901" xr:uid="{00000000-0005-0000-0000-00009D510000}"/>
    <cellStyle name="Normal 2 2 2 5 2 18 4 5" xfId="20902" xr:uid="{00000000-0005-0000-0000-00009E510000}"/>
    <cellStyle name="Normal 2 2 2 5 2 18 4 6" xfId="20903" xr:uid="{00000000-0005-0000-0000-00009F510000}"/>
    <cellStyle name="Normal 2 2 2 5 2 18 4 7" xfId="20904" xr:uid="{00000000-0005-0000-0000-0000A0510000}"/>
    <cellStyle name="Normal 2 2 2 5 2 18 4 8" xfId="20905" xr:uid="{00000000-0005-0000-0000-0000A1510000}"/>
    <cellStyle name="Normal 2 2 2 5 2 18 4 9" xfId="20906" xr:uid="{00000000-0005-0000-0000-0000A2510000}"/>
    <cellStyle name="Normal 2 2 2 5 2 18 5" xfId="20907" xr:uid="{00000000-0005-0000-0000-0000A3510000}"/>
    <cellStyle name="Normal 2 2 2 5 2 18 5 10" xfId="20908" xr:uid="{00000000-0005-0000-0000-0000A4510000}"/>
    <cellStyle name="Normal 2 2 2 5 2 18 5 2" xfId="20909" xr:uid="{00000000-0005-0000-0000-0000A5510000}"/>
    <cellStyle name="Normal 2 2 2 5 2 18 5 3" xfId="20910" xr:uid="{00000000-0005-0000-0000-0000A6510000}"/>
    <cellStyle name="Normal 2 2 2 5 2 18 5 4" xfId="20911" xr:uid="{00000000-0005-0000-0000-0000A7510000}"/>
    <cellStyle name="Normal 2 2 2 5 2 18 5 5" xfId="20912" xr:uid="{00000000-0005-0000-0000-0000A8510000}"/>
    <cellStyle name="Normal 2 2 2 5 2 18 5 6" xfId="20913" xr:uid="{00000000-0005-0000-0000-0000A9510000}"/>
    <cellStyle name="Normal 2 2 2 5 2 18 5 7" xfId="20914" xr:uid="{00000000-0005-0000-0000-0000AA510000}"/>
    <cellStyle name="Normal 2 2 2 5 2 18 5 8" xfId="20915" xr:uid="{00000000-0005-0000-0000-0000AB510000}"/>
    <cellStyle name="Normal 2 2 2 5 2 18 5 9" xfId="20916" xr:uid="{00000000-0005-0000-0000-0000AC510000}"/>
    <cellStyle name="Normal 2 2 2 5 2 18 6" xfId="20917" xr:uid="{00000000-0005-0000-0000-0000AD510000}"/>
    <cellStyle name="Normal 2 2 2 5 2 18 7" xfId="20918" xr:uid="{00000000-0005-0000-0000-0000AE510000}"/>
    <cellStyle name="Normal 2 2 2 5 2 18 8" xfId="20919" xr:uid="{00000000-0005-0000-0000-0000AF510000}"/>
    <cellStyle name="Normal 2 2 2 5 2 18 9" xfId="20920" xr:uid="{00000000-0005-0000-0000-0000B0510000}"/>
    <cellStyle name="Normal 2 2 2 5 2 19" xfId="20921" xr:uid="{00000000-0005-0000-0000-0000B1510000}"/>
    <cellStyle name="Normal 2 2 2 5 2 19 10" xfId="20922" xr:uid="{00000000-0005-0000-0000-0000B2510000}"/>
    <cellStyle name="Normal 2 2 2 5 2 19 11" xfId="20923" xr:uid="{00000000-0005-0000-0000-0000B3510000}"/>
    <cellStyle name="Normal 2 2 2 5 2 19 12" xfId="20924" xr:uid="{00000000-0005-0000-0000-0000B4510000}"/>
    <cellStyle name="Normal 2 2 2 5 2 19 13" xfId="20925" xr:uid="{00000000-0005-0000-0000-0000B5510000}"/>
    <cellStyle name="Normal 2 2 2 5 2 19 14" xfId="20926" xr:uid="{00000000-0005-0000-0000-0000B6510000}"/>
    <cellStyle name="Normal 2 2 2 5 2 19 2" xfId="20927" xr:uid="{00000000-0005-0000-0000-0000B7510000}"/>
    <cellStyle name="Normal 2 2 2 5 2 19 2 10" xfId="20928" xr:uid="{00000000-0005-0000-0000-0000B8510000}"/>
    <cellStyle name="Normal 2 2 2 5 2 19 2 2" xfId="20929" xr:uid="{00000000-0005-0000-0000-0000B9510000}"/>
    <cellStyle name="Normal 2 2 2 5 2 19 2 3" xfId="20930" xr:uid="{00000000-0005-0000-0000-0000BA510000}"/>
    <cellStyle name="Normal 2 2 2 5 2 19 2 4" xfId="20931" xr:uid="{00000000-0005-0000-0000-0000BB510000}"/>
    <cellStyle name="Normal 2 2 2 5 2 19 2 5" xfId="20932" xr:uid="{00000000-0005-0000-0000-0000BC510000}"/>
    <cellStyle name="Normal 2 2 2 5 2 19 2 6" xfId="20933" xr:uid="{00000000-0005-0000-0000-0000BD510000}"/>
    <cellStyle name="Normal 2 2 2 5 2 19 2 7" xfId="20934" xr:uid="{00000000-0005-0000-0000-0000BE510000}"/>
    <cellStyle name="Normal 2 2 2 5 2 19 2 8" xfId="20935" xr:uid="{00000000-0005-0000-0000-0000BF510000}"/>
    <cellStyle name="Normal 2 2 2 5 2 19 2 9" xfId="20936" xr:uid="{00000000-0005-0000-0000-0000C0510000}"/>
    <cellStyle name="Normal 2 2 2 5 2 19 3" xfId="20937" xr:uid="{00000000-0005-0000-0000-0000C1510000}"/>
    <cellStyle name="Normal 2 2 2 5 2 19 3 10" xfId="20938" xr:uid="{00000000-0005-0000-0000-0000C2510000}"/>
    <cellStyle name="Normal 2 2 2 5 2 19 3 2" xfId="20939" xr:uid="{00000000-0005-0000-0000-0000C3510000}"/>
    <cellStyle name="Normal 2 2 2 5 2 19 3 3" xfId="20940" xr:uid="{00000000-0005-0000-0000-0000C4510000}"/>
    <cellStyle name="Normal 2 2 2 5 2 19 3 4" xfId="20941" xr:uid="{00000000-0005-0000-0000-0000C5510000}"/>
    <cellStyle name="Normal 2 2 2 5 2 19 3 5" xfId="20942" xr:uid="{00000000-0005-0000-0000-0000C6510000}"/>
    <cellStyle name="Normal 2 2 2 5 2 19 3 6" xfId="20943" xr:uid="{00000000-0005-0000-0000-0000C7510000}"/>
    <cellStyle name="Normal 2 2 2 5 2 19 3 7" xfId="20944" xr:uid="{00000000-0005-0000-0000-0000C8510000}"/>
    <cellStyle name="Normal 2 2 2 5 2 19 3 8" xfId="20945" xr:uid="{00000000-0005-0000-0000-0000C9510000}"/>
    <cellStyle name="Normal 2 2 2 5 2 19 3 9" xfId="20946" xr:uid="{00000000-0005-0000-0000-0000CA510000}"/>
    <cellStyle name="Normal 2 2 2 5 2 19 4" xfId="20947" xr:uid="{00000000-0005-0000-0000-0000CB510000}"/>
    <cellStyle name="Normal 2 2 2 5 2 19 4 10" xfId="20948" xr:uid="{00000000-0005-0000-0000-0000CC510000}"/>
    <cellStyle name="Normal 2 2 2 5 2 19 4 2" xfId="20949" xr:uid="{00000000-0005-0000-0000-0000CD510000}"/>
    <cellStyle name="Normal 2 2 2 5 2 19 4 3" xfId="20950" xr:uid="{00000000-0005-0000-0000-0000CE510000}"/>
    <cellStyle name="Normal 2 2 2 5 2 19 4 4" xfId="20951" xr:uid="{00000000-0005-0000-0000-0000CF510000}"/>
    <cellStyle name="Normal 2 2 2 5 2 19 4 5" xfId="20952" xr:uid="{00000000-0005-0000-0000-0000D0510000}"/>
    <cellStyle name="Normal 2 2 2 5 2 19 4 6" xfId="20953" xr:uid="{00000000-0005-0000-0000-0000D1510000}"/>
    <cellStyle name="Normal 2 2 2 5 2 19 4 7" xfId="20954" xr:uid="{00000000-0005-0000-0000-0000D2510000}"/>
    <cellStyle name="Normal 2 2 2 5 2 19 4 8" xfId="20955" xr:uid="{00000000-0005-0000-0000-0000D3510000}"/>
    <cellStyle name="Normal 2 2 2 5 2 19 4 9" xfId="20956" xr:uid="{00000000-0005-0000-0000-0000D4510000}"/>
    <cellStyle name="Normal 2 2 2 5 2 19 5" xfId="20957" xr:uid="{00000000-0005-0000-0000-0000D5510000}"/>
    <cellStyle name="Normal 2 2 2 5 2 19 5 10" xfId="20958" xr:uid="{00000000-0005-0000-0000-0000D6510000}"/>
    <cellStyle name="Normal 2 2 2 5 2 19 5 2" xfId="20959" xr:uid="{00000000-0005-0000-0000-0000D7510000}"/>
    <cellStyle name="Normal 2 2 2 5 2 19 5 3" xfId="20960" xr:uid="{00000000-0005-0000-0000-0000D8510000}"/>
    <cellStyle name="Normal 2 2 2 5 2 19 5 4" xfId="20961" xr:uid="{00000000-0005-0000-0000-0000D9510000}"/>
    <cellStyle name="Normal 2 2 2 5 2 19 5 5" xfId="20962" xr:uid="{00000000-0005-0000-0000-0000DA510000}"/>
    <cellStyle name="Normal 2 2 2 5 2 19 5 6" xfId="20963" xr:uid="{00000000-0005-0000-0000-0000DB510000}"/>
    <cellStyle name="Normal 2 2 2 5 2 19 5 7" xfId="20964" xr:uid="{00000000-0005-0000-0000-0000DC510000}"/>
    <cellStyle name="Normal 2 2 2 5 2 19 5 8" xfId="20965" xr:uid="{00000000-0005-0000-0000-0000DD510000}"/>
    <cellStyle name="Normal 2 2 2 5 2 19 5 9" xfId="20966" xr:uid="{00000000-0005-0000-0000-0000DE510000}"/>
    <cellStyle name="Normal 2 2 2 5 2 19 6" xfId="20967" xr:uid="{00000000-0005-0000-0000-0000DF510000}"/>
    <cellStyle name="Normal 2 2 2 5 2 19 7" xfId="20968" xr:uid="{00000000-0005-0000-0000-0000E0510000}"/>
    <cellStyle name="Normal 2 2 2 5 2 19 8" xfId="20969" xr:uid="{00000000-0005-0000-0000-0000E1510000}"/>
    <cellStyle name="Normal 2 2 2 5 2 19 9" xfId="20970" xr:uid="{00000000-0005-0000-0000-0000E2510000}"/>
    <cellStyle name="Normal 2 2 2 5 2 2" xfId="20971" xr:uid="{00000000-0005-0000-0000-0000E3510000}"/>
    <cellStyle name="Normal 2 2 2 5 2 2 10" xfId="20972" xr:uid="{00000000-0005-0000-0000-0000E4510000}"/>
    <cellStyle name="Normal 2 2 2 5 2 2 11" xfId="20973" xr:uid="{00000000-0005-0000-0000-0000E5510000}"/>
    <cellStyle name="Normal 2 2 2 5 2 2 12" xfId="20974" xr:uid="{00000000-0005-0000-0000-0000E6510000}"/>
    <cellStyle name="Normal 2 2 2 5 2 2 13" xfId="20975" xr:uid="{00000000-0005-0000-0000-0000E7510000}"/>
    <cellStyle name="Normal 2 2 2 5 2 2 14" xfId="20976" xr:uid="{00000000-0005-0000-0000-0000E8510000}"/>
    <cellStyle name="Normal 2 2 2 5 2 2 2" xfId="20977" xr:uid="{00000000-0005-0000-0000-0000E9510000}"/>
    <cellStyle name="Normal 2 2 2 5 2 2 2 10" xfId="20978" xr:uid="{00000000-0005-0000-0000-0000EA510000}"/>
    <cellStyle name="Normal 2 2 2 5 2 2 2 2" xfId="20979" xr:uid="{00000000-0005-0000-0000-0000EB510000}"/>
    <cellStyle name="Normal 2 2 2 5 2 2 2 3" xfId="20980" xr:uid="{00000000-0005-0000-0000-0000EC510000}"/>
    <cellStyle name="Normal 2 2 2 5 2 2 2 4" xfId="20981" xr:uid="{00000000-0005-0000-0000-0000ED510000}"/>
    <cellStyle name="Normal 2 2 2 5 2 2 2 5" xfId="20982" xr:uid="{00000000-0005-0000-0000-0000EE510000}"/>
    <cellStyle name="Normal 2 2 2 5 2 2 2 6" xfId="20983" xr:uid="{00000000-0005-0000-0000-0000EF510000}"/>
    <cellStyle name="Normal 2 2 2 5 2 2 2 7" xfId="20984" xr:uid="{00000000-0005-0000-0000-0000F0510000}"/>
    <cellStyle name="Normal 2 2 2 5 2 2 2 8" xfId="20985" xr:uid="{00000000-0005-0000-0000-0000F1510000}"/>
    <cellStyle name="Normal 2 2 2 5 2 2 2 9" xfId="20986" xr:uid="{00000000-0005-0000-0000-0000F2510000}"/>
    <cellStyle name="Normal 2 2 2 5 2 2 3" xfId="20987" xr:uid="{00000000-0005-0000-0000-0000F3510000}"/>
    <cellStyle name="Normal 2 2 2 5 2 2 3 10" xfId="20988" xr:uid="{00000000-0005-0000-0000-0000F4510000}"/>
    <cellStyle name="Normal 2 2 2 5 2 2 3 2" xfId="20989" xr:uid="{00000000-0005-0000-0000-0000F5510000}"/>
    <cellStyle name="Normal 2 2 2 5 2 2 3 3" xfId="20990" xr:uid="{00000000-0005-0000-0000-0000F6510000}"/>
    <cellStyle name="Normal 2 2 2 5 2 2 3 4" xfId="20991" xr:uid="{00000000-0005-0000-0000-0000F7510000}"/>
    <cellStyle name="Normal 2 2 2 5 2 2 3 5" xfId="20992" xr:uid="{00000000-0005-0000-0000-0000F8510000}"/>
    <cellStyle name="Normal 2 2 2 5 2 2 3 6" xfId="20993" xr:uid="{00000000-0005-0000-0000-0000F9510000}"/>
    <cellStyle name="Normal 2 2 2 5 2 2 3 7" xfId="20994" xr:uid="{00000000-0005-0000-0000-0000FA510000}"/>
    <cellStyle name="Normal 2 2 2 5 2 2 3 8" xfId="20995" xr:uid="{00000000-0005-0000-0000-0000FB510000}"/>
    <cellStyle name="Normal 2 2 2 5 2 2 3 9" xfId="20996" xr:uid="{00000000-0005-0000-0000-0000FC510000}"/>
    <cellStyle name="Normal 2 2 2 5 2 2 4" xfId="20997" xr:uid="{00000000-0005-0000-0000-0000FD510000}"/>
    <cellStyle name="Normal 2 2 2 5 2 2 4 10" xfId="20998" xr:uid="{00000000-0005-0000-0000-0000FE510000}"/>
    <cellStyle name="Normal 2 2 2 5 2 2 4 2" xfId="20999" xr:uid="{00000000-0005-0000-0000-0000FF510000}"/>
    <cellStyle name="Normal 2 2 2 5 2 2 4 3" xfId="21000" xr:uid="{00000000-0005-0000-0000-000000520000}"/>
    <cellStyle name="Normal 2 2 2 5 2 2 4 4" xfId="21001" xr:uid="{00000000-0005-0000-0000-000001520000}"/>
    <cellStyle name="Normal 2 2 2 5 2 2 4 5" xfId="21002" xr:uid="{00000000-0005-0000-0000-000002520000}"/>
    <cellStyle name="Normal 2 2 2 5 2 2 4 6" xfId="21003" xr:uid="{00000000-0005-0000-0000-000003520000}"/>
    <cellStyle name="Normal 2 2 2 5 2 2 4 7" xfId="21004" xr:uid="{00000000-0005-0000-0000-000004520000}"/>
    <cellStyle name="Normal 2 2 2 5 2 2 4 8" xfId="21005" xr:uid="{00000000-0005-0000-0000-000005520000}"/>
    <cellStyle name="Normal 2 2 2 5 2 2 4 9" xfId="21006" xr:uid="{00000000-0005-0000-0000-000006520000}"/>
    <cellStyle name="Normal 2 2 2 5 2 2 5" xfId="21007" xr:uid="{00000000-0005-0000-0000-000007520000}"/>
    <cellStyle name="Normal 2 2 2 5 2 2 5 10" xfId="21008" xr:uid="{00000000-0005-0000-0000-000008520000}"/>
    <cellStyle name="Normal 2 2 2 5 2 2 5 2" xfId="21009" xr:uid="{00000000-0005-0000-0000-000009520000}"/>
    <cellStyle name="Normal 2 2 2 5 2 2 5 3" xfId="21010" xr:uid="{00000000-0005-0000-0000-00000A520000}"/>
    <cellStyle name="Normal 2 2 2 5 2 2 5 4" xfId="21011" xr:uid="{00000000-0005-0000-0000-00000B520000}"/>
    <cellStyle name="Normal 2 2 2 5 2 2 5 5" xfId="21012" xr:uid="{00000000-0005-0000-0000-00000C520000}"/>
    <cellStyle name="Normal 2 2 2 5 2 2 5 6" xfId="21013" xr:uid="{00000000-0005-0000-0000-00000D520000}"/>
    <cellStyle name="Normal 2 2 2 5 2 2 5 7" xfId="21014" xr:uid="{00000000-0005-0000-0000-00000E520000}"/>
    <cellStyle name="Normal 2 2 2 5 2 2 5 8" xfId="21015" xr:uid="{00000000-0005-0000-0000-00000F520000}"/>
    <cellStyle name="Normal 2 2 2 5 2 2 5 9" xfId="21016" xr:uid="{00000000-0005-0000-0000-000010520000}"/>
    <cellStyle name="Normal 2 2 2 5 2 2 6" xfId="21017" xr:uid="{00000000-0005-0000-0000-000011520000}"/>
    <cellStyle name="Normal 2 2 2 5 2 2 7" xfId="21018" xr:uid="{00000000-0005-0000-0000-000012520000}"/>
    <cellStyle name="Normal 2 2 2 5 2 2 8" xfId="21019" xr:uid="{00000000-0005-0000-0000-000013520000}"/>
    <cellStyle name="Normal 2 2 2 5 2 2 9" xfId="21020" xr:uid="{00000000-0005-0000-0000-000014520000}"/>
    <cellStyle name="Normal 2 2 2 5 2 20" xfId="21021" xr:uid="{00000000-0005-0000-0000-000015520000}"/>
    <cellStyle name="Normal 2 2 2 5 2 20 10" xfId="21022" xr:uid="{00000000-0005-0000-0000-000016520000}"/>
    <cellStyle name="Normal 2 2 2 5 2 20 11" xfId="21023" xr:uid="{00000000-0005-0000-0000-000017520000}"/>
    <cellStyle name="Normal 2 2 2 5 2 20 12" xfId="21024" xr:uid="{00000000-0005-0000-0000-000018520000}"/>
    <cellStyle name="Normal 2 2 2 5 2 20 13" xfId="21025" xr:uid="{00000000-0005-0000-0000-000019520000}"/>
    <cellStyle name="Normal 2 2 2 5 2 20 14" xfId="21026" xr:uid="{00000000-0005-0000-0000-00001A520000}"/>
    <cellStyle name="Normal 2 2 2 5 2 20 2" xfId="21027" xr:uid="{00000000-0005-0000-0000-00001B520000}"/>
    <cellStyle name="Normal 2 2 2 5 2 20 2 10" xfId="21028" xr:uid="{00000000-0005-0000-0000-00001C520000}"/>
    <cellStyle name="Normal 2 2 2 5 2 20 2 2" xfId="21029" xr:uid="{00000000-0005-0000-0000-00001D520000}"/>
    <cellStyle name="Normal 2 2 2 5 2 20 2 3" xfId="21030" xr:uid="{00000000-0005-0000-0000-00001E520000}"/>
    <cellStyle name="Normal 2 2 2 5 2 20 2 4" xfId="21031" xr:uid="{00000000-0005-0000-0000-00001F520000}"/>
    <cellStyle name="Normal 2 2 2 5 2 20 2 5" xfId="21032" xr:uid="{00000000-0005-0000-0000-000020520000}"/>
    <cellStyle name="Normal 2 2 2 5 2 20 2 6" xfId="21033" xr:uid="{00000000-0005-0000-0000-000021520000}"/>
    <cellStyle name="Normal 2 2 2 5 2 20 2 7" xfId="21034" xr:uid="{00000000-0005-0000-0000-000022520000}"/>
    <cellStyle name="Normal 2 2 2 5 2 20 2 8" xfId="21035" xr:uid="{00000000-0005-0000-0000-000023520000}"/>
    <cellStyle name="Normal 2 2 2 5 2 20 2 9" xfId="21036" xr:uid="{00000000-0005-0000-0000-000024520000}"/>
    <cellStyle name="Normal 2 2 2 5 2 20 3" xfId="21037" xr:uid="{00000000-0005-0000-0000-000025520000}"/>
    <cellStyle name="Normal 2 2 2 5 2 20 3 10" xfId="21038" xr:uid="{00000000-0005-0000-0000-000026520000}"/>
    <cellStyle name="Normal 2 2 2 5 2 20 3 2" xfId="21039" xr:uid="{00000000-0005-0000-0000-000027520000}"/>
    <cellStyle name="Normal 2 2 2 5 2 20 3 3" xfId="21040" xr:uid="{00000000-0005-0000-0000-000028520000}"/>
    <cellStyle name="Normal 2 2 2 5 2 20 3 4" xfId="21041" xr:uid="{00000000-0005-0000-0000-000029520000}"/>
    <cellStyle name="Normal 2 2 2 5 2 20 3 5" xfId="21042" xr:uid="{00000000-0005-0000-0000-00002A520000}"/>
    <cellStyle name="Normal 2 2 2 5 2 20 3 6" xfId="21043" xr:uid="{00000000-0005-0000-0000-00002B520000}"/>
    <cellStyle name="Normal 2 2 2 5 2 20 3 7" xfId="21044" xr:uid="{00000000-0005-0000-0000-00002C520000}"/>
    <cellStyle name="Normal 2 2 2 5 2 20 3 8" xfId="21045" xr:uid="{00000000-0005-0000-0000-00002D520000}"/>
    <cellStyle name="Normal 2 2 2 5 2 20 3 9" xfId="21046" xr:uid="{00000000-0005-0000-0000-00002E520000}"/>
    <cellStyle name="Normal 2 2 2 5 2 20 4" xfId="21047" xr:uid="{00000000-0005-0000-0000-00002F520000}"/>
    <cellStyle name="Normal 2 2 2 5 2 20 4 10" xfId="21048" xr:uid="{00000000-0005-0000-0000-000030520000}"/>
    <cellStyle name="Normal 2 2 2 5 2 20 4 2" xfId="21049" xr:uid="{00000000-0005-0000-0000-000031520000}"/>
    <cellStyle name="Normal 2 2 2 5 2 20 4 3" xfId="21050" xr:uid="{00000000-0005-0000-0000-000032520000}"/>
    <cellStyle name="Normal 2 2 2 5 2 20 4 4" xfId="21051" xr:uid="{00000000-0005-0000-0000-000033520000}"/>
    <cellStyle name="Normal 2 2 2 5 2 20 4 5" xfId="21052" xr:uid="{00000000-0005-0000-0000-000034520000}"/>
    <cellStyle name="Normal 2 2 2 5 2 20 4 6" xfId="21053" xr:uid="{00000000-0005-0000-0000-000035520000}"/>
    <cellStyle name="Normal 2 2 2 5 2 20 4 7" xfId="21054" xr:uid="{00000000-0005-0000-0000-000036520000}"/>
    <cellStyle name="Normal 2 2 2 5 2 20 4 8" xfId="21055" xr:uid="{00000000-0005-0000-0000-000037520000}"/>
    <cellStyle name="Normal 2 2 2 5 2 20 4 9" xfId="21056" xr:uid="{00000000-0005-0000-0000-000038520000}"/>
    <cellStyle name="Normal 2 2 2 5 2 20 5" xfId="21057" xr:uid="{00000000-0005-0000-0000-000039520000}"/>
    <cellStyle name="Normal 2 2 2 5 2 20 5 10" xfId="21058" xr:uid="{00000000-0005-0000-0000-00003A520000}"/>
    <cellStyle name="Normal 2 2 2 5 2 20 5 2" xfId="21059" xr:uid="{00000000-0005-0000-0000-00003B520000}"/>
    <cellStyle name="Normal 2 2 2 5 2 20 5 3" xfId="21060" xr:uid="{00000000-0005-0000-0000-00003C520000}"/>
    <cellStyle name="Normal 2 2 2 5 2 20 5 4" xfId="21061" xr:uid="{00000000-0005-0000-0000-00003D520000}"/>
    <cellStyle name="Normal 2 2 2 5 2 20 5 5" xfId="21062" xr:uid="{00000000-0005-0000-0000-00003E520000}"/>
    <cellStyle name="Normal 2 2 2 5 2 20 5 6" xfId="21063" xr:uid="{00000000-0005-0000-0000-00003F520000}"/>
    <cellStyle name="Normal 2 2 2 5 2 20 5 7" xfId="21064" xr:uid="{00000000-0005-0000-0000-000040520000}"/>
    <cellStyle name="Normal 2 2 2 5 2 20 5 8" xfId="21065" xr:uid="{00000000-0005-0000-0000-000041520000}"/>
    <cellStyle name="Normal 2 2 2 5 2 20 5 9" xfId="21066" xr:uid="{00000000-0005-0000-0000-000042520000}"/>
    <cellStyle name="Normal 2 2 2 5 2 20 6" xfId="21067" xr:uid="{00000000-0005-0000-0000-000043520000}"/>
    <cellStyle name="Normal 2 2 2 5 2 20 7" xfId="21068" xr:uid="{00000000-0005-0000-0000-000044520000}"/>
    <cellStyle name="Normal 2 2 2 5 2 20 8" xfId="21069" xr:uid="{00000000-0005-0000-0000-000045520000}"/>
    <cellStyle name="Normal 2 2 2 5 2 20 9" xfId="21070" xr:uid="{00000000-0005-0000-0000-000046520000}"/>
    <cellStyle name="Normal 2 2 2 5 2 21" xfId="21071" xr:uid="{00000000-0005-0000-0000-000047520000}"/>
    <cellStyle name="Normal 2 2 2 5 2 22" xfId="21072" xr:uid="{00000000-0005-0000-0000-000048520000}"/>
    <cellStyle name="Normal 2 2 2 5 2 3" xfId="21073" xr:uid="{00000000-0005-0000-0000-000049520000}"/>
    <cellStyle name="Normal 2 2 2 5 2 3 10" xfId="21074" xr:uid="{00000000-0005-0000-0000-00004A520000}"/>
    <cellStyle name="Normal 2 2 2 5 2 3 11" xfId="21075" xr:uid="{00000000-0005-0000-0000-00004B520000}"/>
    <cellStyle name="Normal 2 2 2 5 2 3 12" xfId="21076" xr:uid="{00000000-0005-0000-0000-00004C520000}"/>
    <cellStyle name="Normal 2 2 2 5 2 3 13" xfId="21077" xr:uid="{00000000-0005-0000-0000-00004D520000}"/>
    <cellStyle name="Normal 2 2 2 5 2 3 14" xfId="21078" xr:uid="{00000000-0005-0000-0000-00004E520000}"/>
    <cellStyle name="Normal 2 2 2 5 2 3 2" xfId="21079" xr:uid="{00000000-0005-0000-0000-00004F520000}"/>
    <cellStyle name="Normal 2 2 2 5 2 3 2 10" xfId="21080" xr:uid="{00000000-0005-0000-0000-000050520000}"/>
    <cellStyle name="Normal 2 2 2 5 2 3 2 2" xfId="21081" xr:uid="{00000000-0005-0000-0000-000051520000}"/>
    <cellStyle name="Normal 2 2 2 5 2 3 2 3" xfId="21082" xr:uid="{00000000-0005-0000-0000-000052520000}"/>
    <cellStyle name="Normal 2 2 2 5 2 3 2 4" xfId="21083" xr:uid="{00000000-0005-0000-0000-000053520000}"/>
    <cellStyle name="Normal 2 2 2 5 2 3 2 5" xfId="21084" xr:uid="{00000000-0005-0000-0000-000054520000}"/>
    <cellStyle name="Normal 2 2 2 5 2 3 2 6" xfId="21085" xr:uid="{00000000-0005-0000-0000-000055520000}"/>
    <cellStyle name="Normal 2 2 2 5 2 3 2 7" xfId="21086" xr:uid="{00000000-0005-0000-0000-000056520000}"/>
    <cellStyle name="Normal 2 2 2 5 2 3 2 8" xfId="21087" xr:uid="{00000000-0005-0000-0000-000057520000}"/>
    <cellStyle name="Normal 2 2 2 5 2 3 2 9" xfId="21088" xr:uid="{00000000-0005-0000-0000-000058520000}"/>
    <cellStyle name="Normal 2 2 2 5 2 3 3" xfId="21089" xr:uid="{00000000-0005-0000-0000-000059520000}"/>
    <cellStyle name="Normal 2 2 2 5 2 3 3 10" xfId="21090" xr:uid="{00000000-0005-0000-0000-00005A520000}"/>
    <cellStyle name="Normal 2 2 2 5 2 3 3 2" xfId="21091" xr:uid="{00000000-0005-0000-0000-00005B520000}"/>
    <cellStyle name="Normal 2 2 2 5 2 3 3 3" xfId="21092" xr:uid="{00000000-0005-0000-0000-00005C520000}"/>
    <cellStyle name="Normal 2 2 2 5 2 3 3 4" xfId="21093" xr:uid="{00000000-0005-0000-0000-00005D520000}"/>
    <cellStyle name="Normal 2 2 2 5 2 3 3 5" xfId="21094" xr:uid="{00000000-0005-0000-0000-00005E520000}"/>
    <cellStyle name="Normal 2 2 2 5 2 3 3 6" xfId="21095" xr:uid="{00000000-0005-0000-0000-00005F520000}"/>
    <cellStyle name="Normal 2 2 2 5 2 3 3 7" xfId="21096" xr:uid="{00000000-0005-0000-0000-000060520000}"/>
    <cellStyle name="Normal 2 2 2 5 2 3 3 8" xfId="21097" xr:uid="{00000000-0005-0000-0000-000061520000}"/>
    <cellStyle name="Normal 2 2 2 5 2 3 3 9" xfId="21098" xr:uid="{00000000-0005-0000-0000-000062520000}"/>
    <cellStyle name="Normal 2 2 2 5 2 3 4" xfId="21099" xr:uid="{00000000-0005-0000-0000-000063520000}"/>
    <cellStyle name="Normal 2 2 2 5 2 3 4 10" xfId="21100" xr:uid="{00000000-0005-0000-0000-000064520000}"/>
    <cellStyle name="Normal 2 2 2 5 2 3 4 2" xfId="21101" xr:uid="{00000000-0005-0000-0000-000065520000}"/>
    <cellStyle name="Normal 2 2 2 5 2 3 4 3" xfId="21102" xr:uid="{00000000-0005-0000-0000-000066520000}"/>
    <cellStyle name="Normal 2 2 2 5 2 3 4 4" xfId="21103" xr:uid="{00000000-0005-0000-0000-000067520000}"/>
    <cellStyle name="Normal 2 2 2 5 2 3 4 5" xfId="21104" xr:uid="{00000000-0005-0000-0000-000068520000}"/>
    <cellStyle name="Normal 2 2 2 5 2 3 4 6" xfId="21105" xr:uid="{00000000-0005-0000-0000-000069520000}"/>
    <cellStyle name="Normal 2 2 2 5 2 3 4 7" xfId="21106" xr:uid="{00000000-0005-0000-0000-00006A520000}"/>
    <cellStyle name="Normal 2 2 2 5 2 3 4 8" xfId="21107" xr:uid="{00000000-0005-0000-0000-00006B520000}"/>
    <cellStyle name="Normal 2 2 2 5 2 3 4 9" xfId="21108" xr:uid="{00000000-0005-0000-0000-00006C520000}"/>
    <cellStyle name="Normal 2 2 2 5 2 3 5" xfId="21109" xr:uid="{00000000-0005-0000-0000-00006D520000}"/>
    <cellStyle name="Normal 2 2 2 5 2 3 5 10" xfId="21110" xr:uid="{00000000-0005-0000-0000-00006E520000}"/>
    <cellStyle name="Normal 2 2 2 5 2 3 5 2" xfId="21111" xr:uid="{00000000-0005-0000-0000-00006F520000}"/>
    <cellStyle name="Normal 2 2 2 5 2 3 5 3" xfId="21112" xr:uid="{00000000-0005-0000-0000-000070520000}"/>
    <cellStyle name="Normal 2 2 2 5 2 3 5 4" xfId="21113" xr:uid="{00000000-0005-0000-0000-000071520000}"/>
    <cellStyle name="Normal 2 2 2 5 2 3 5 5" xfId="21114" xr:uid="{00000000-0005-0000-0000-000072520000}"/>
    <cellStyle name="Normal 2 2 2 5 2 3 5 6" xfId="21115" xr:uid="{00000000-0005-0000-0000-000073520000}"/>
    <cellStyle name="Normal 2 2 2 5 2 3 5 7" xfId="21116" xr:uid="{00000000-0005-0000-0000-000074520000}"/>
    <cellStyle name="Normal 2 2 2 5 2 3 5 8" xfId="21117" xr:uid="{00000000-0005-0000-0000-000075520000}"/>
    <cellStyle name="Normal 2 2 2 5 2 3 5 9" xfId="21118" xr:uid="{00000000-0005-0000-0000-000076520000}"/>
    <cellStyle name="Normal 2 2 2 5 2 3 6" xfId="21119" xr:uid="{00000000-0005-0000-0000-000077520000}"/>
    <cellStyle name="Normal 2 2 2 5 2 3 7" xfId="21120" xr:uid="{00000000-0005-0000-0000-000078520000}"/>
    <cellStyle name="Normal 2 2 2 5 2 3 8" xfId="21121" xr:uid="{00000000-0005-0000-0000-000079520000}"/>
    <cellStyle name="Normal 2 2 2 5 2 3 9" xfId="21122" xr:uid="{00000000-0005-0000-0000-00007A520000}"/>
    <cellStyle name="Normal 2 2 2 5 2 4" xfId="21123" xr:uid="{00000000-0005-0000-0000-00007B520000}"/>
    <cellStyle name="Normal 2 2 2 5 2 4 10" xfId="21124" xr:uid="{00000000-0005-0000-0000-00007C520000}"/>
    <cellStyle name="Normal 2 2 2 5 2 4 11" xfId="21125" xr:uid="{00000000-0005-0000-0000-00007D520000}"/>
    <cellStyle name="Normal 2 2 2 5 2 4 12" xfId="21126" xr:uid="{00000000-0005-0000-0000-00007E520000}"/>
    <cellStyle name="Normal 2 2 2 5 2 4 13" xfId="21127" xr:uid="{00000000-0005-0000-0000-00007F520000}"/>
    <cellStyle name="Normal 2 2 2 5 2 4 14" xfId="21128" xr:uid="{00000000-0005-0000-0000-000080520000}"/>
    <cellStyle name="Normal 2 2 2 5 2 4 2" xfId="21129" xr:uid="{00000000-0005-0000-0000-000081520000}"/>
    <cellStyle name="Normal 2 2 2 5 2 4 2 10" xfId="21130" xr:uid="{00000000-0005-0000-0000-000082520000}"/>
    <cellStyle name="Normal 2 2 2 5 2 4 2 2" xfId="21131" xr:uid="{00000000-0005-0000-0000-000083520000}"/>
    <cellStyle name="Normal 2 2 2 5 2 4 2 3" xfId="21132" xr:uid="{00000000-0005-0000-0000-000084520000}"/>
    <cellStyle name="Normal 2 2 2 5 2 4 2 4" xfId="21133" xr:uid="{00000000-0005-0000-0000-000085520000}"/>
    <cellStyle name="Normal 2 2 2 5 2 4 2 5" xfId="21134" xr:uid="{00000000-0005-0000-0000-000086520000}"/>
    <cellStyle name="Normal 2 2 2 5 2 4 2 6" xfId="21135" xr:uid="{00000000-0005-0000-0000-000087520000}"/>
    <cellStyle name="Normal 2 2 2 5 2 4 2 7" xfId="21136" xr:uid="{00000000-0005-0000-0000-000088520000}"/>
    <cellStyle name="Normal 2 2 2 5 2 4 2 8" xfId="21137" xr:uid="{00000000-0005-0000-0000-000089520000}"/>
    <cellStyle name="Normal 2 2 2 5 2 4 2 9" xfId="21138" xr:uid="{00000000-0005-0000-0000-00008A520000}"/>
    <cellStyle name="Normal 2 2 2 5 2 4 3" xfId="21139" xr:uid="{00000000-0005-0000-0000-00008B520000}"/>
    <cellStyle name="Normal 2 2 2 5 2 4 3 10" xfId="21140" xr:uid="{00000000-0005-0000-0000-00008C520000}"/>
    <cellStyle name="Normal 2 2 2 5 2 4 3 2" xfId="21141" xr:uid="{00000000-0005-0000-0000-00008D520000}"/>
    <cellStyle name="Normal 2 2 2 5 2 4 3 3" xfId="21142" xr:uid="{00000000-0005-0000-0000-00008E520000}"/>
    <cellStyle name="Normal 2 2 2 5 2 4 3 4" xfId="21143" xr:uid="{00000000-0005-0000-0000-00008F520000}"/>
    <cellStyle name="Normal 2 2 2 5 2 4 3 5" xfId="21144" xr:uid="{00000000-0005-0000-0000-000090520000}"/>
    <cellStyle name="Normal 2 2 2 5 2 4 3 6" xfId="21145" xr:uid="{00000000-0005-0000-0000-000091520000}"/>
    <cellStyle name="Normal 2 2 2 5 2 4 3 7" xfId="21146" xr:uid="{00000000-0005-0000-0000-000092520000}"/>
    <cellStyle name="Normal 2 2 2 5 2 4 3 8" xfId="21147" xr:uid="{00000000-0005-0000-0000-000093520000}"/>
    <cellStyle name="Normal 2 2 2 5 2 4 3 9" xfId="21148" xr:uid="{00000000-0005-0000-0000-000094520000}"/>
    <cellStyle name="Normal 2 2 2 5 2 4 4" xfId="21149" xr:uid="{00000000-0005-0000-0000-000095520000}"/>
    <cellStyle name="Normal 2 2 2 5 2 4 4 10" xfId="21150" xr:uid="{00000000-0005-0000-0000-000096520000}"/>
    <cellStyle name="Normal 2 2 2 5 2 4 4 2" xfId="21151" xr:uid="{00000000-0005-0000-0000-000097520000}"/>
    <cellStyle name="Normal 2 2 2 5 2 4 4 3" xfId="21152" xr:uid="{00000000-0005-0000-0000-000098520000}"/>
    <cellStyle name="Normal 2 2 2 5 2 4 4 4" xfId="21153" xr:uid="{00000000-0005-0000-0000-000099520000}"/>
    <cellStyle name="Normal 2 2 2 5 2 4 4 5" xfId="21154" xr:uid="{00000000-0005-0000-0000-00009A520000}"/>
    <cellStyle name="Normal 2 2 2 5 2 4 4 6" xfId="21155" xr:uid="{00000000-0005-0000-0000-00009B520000}"/>
    <cellStyle name="Normal 2 2 2 5 2 4 4 7" xfId="21156" xr:uid="{00000000-0005-0000-0000-00009C520000}"/>
    <cellStyle name="Normal 2 2 2 5 2 4 4 8" xfId="21157" xr:uid="{00000000-0005-0000-0000-00009D520000}"/>
    <cellStyle name="Normal 2 2 2 5 2 4 4 9" xfId="21158" xr:uid="{00000000-0005-0000-0000-00009E520000}"/>
    <cellStyle name="Normal 2 2 2 5 2 4 5" xfId="21159" xr:uid="{00000000-0005-0000-0000-00009F520000}"/>
    <cellStyle name="Normal 2 2 2 5 2 4 5 10" xfId="21160" xr:uid="{00000000-0005-0000-0000-0000A0520000}"/>
    <cellStyle name="Normal 2 2 2 5 2 4 5 2" xfId="21161" xr:uid="{00000000-0005-0000-0000-0000A1520000}"/>
    <cellStyle name="Normal 2 2 2 5 2 4 5 3" xfId="21162" xr:uid="{00000000-0005-0000-0000-0000A2520000}"/>
    <cellStyle name="Normal 2 2 2 5 2 4 5 4" xfId="21163" xr:uid="{00000000-0005-0000-0000-0000A3520000}"/>
    <cellStyle name="Normal 2 2 2 5 2 4 5 5" xfId="21164" xr:uid="{00000000-0005-0000-0000-0000A4520000}"/>
    <cellStyle name="Normal 2 2 2 5 2 4 5 6" xfId="21165" xr:uid="{00000000-0005-0000-0000-0000A5520000}"/>
    <cellStyle name="Normal 2 2 2 5 2 4 5 7" xfId="21166" xr:uid="{00000000-0005-0000-0000-0000A6520000}"/>
    <cellStyle name="Normal 2 2 2 5 2 4 5 8" xfId="21167" xr:uid="{00000000-0005-0000-0000-0000A7520000}"/>
    <cellStyle name="Normal 2 2 2 5 2 4 5 9" xfId="21168" xr:uid="{00000000-0005-0000-0000-0000A8520000}"/>
    <cellStyle name="Normal 2 2 2 5 2 4 6" xfId="21169" xr:uid="{00000000-0005-0000-0000-0000A9520000}"/>
    <cellStyle name="Normal 2 2 2 5 2 4 7" xfId="21170" xr:uid="{00000000-0005-0000-0000-0000AA520000}"/>
    <cellStyle name="Normal 2 2 2 5 2 4 8" xfId="21171" xr:uid="{00000000-0005-0000-0000-0000AB520000}"/>
    <cellStyle name="Normal 2 2 2 5 2 4 9" xfId="21172" xr:uid="{00000000-0005-0000-0000-0000AC520000}"/>
    <cellStyle name="Normal 2 2 2 5 2 5" xfId="21173" xr:uid="{00000000-0005-0000-0000-0000AD520000}"/>
    <cellStyle name="Normal 2 2 2 5 2 5 10" xfId="21174" xr:uid="{00000000-0005-0000-0000-0000AE520000}"/>
    <cellStyle name="Normal 2 2 2 5 2 5 11" xfId="21175" xr:uid="{00000000-0005-0000-0000-0000AF520000}"/>
    <cellStyle name="Normal 2 2 2 5 2 5 12" xfId="21176" xr:uid="{00000000-0005-0000-0000-0000B0520000}"/>
    <cellStyle name="Normal 2 2 2 5 2 5 13" xfId="21177" xr:uid="{00000000-0005-0000-0000-0000B1520000}"/>
    <cellStyle name="Normal 2 2 2 5 2 5 14" xfId="21178" xr:uid="{00000000-0005-0000-0000-0000B2520000}"/>
    <cellStyle name="Normal 2 2 2 5 2 5 2" xfId="21179" xr:uid="{00000000-0005-0000-0000-0000B3520000}"/>
    <cellStyle name="Normal 2 2 2 5 2 5 2 10" xfId="21180" xr:uid="{00000000-0005-0000-0000-0000B4520000}"/>
    <cellStyle name="Normal 2 2 2 5 2 5 2 2" xfId="21181" xr:uid="{00000000-0005-0000-0000-0000B5520000}"/>
    <cellStyle name="Normal 2 2 2 5 2 5 2 3" xfId="21182" xr:uid="{00000000-0005-0000-0000-0000B6520000}"/>
    <cellStyle name="Normal 2 2 2 5 2 5 2 4" xfId="21183" xr:uid="{00000000-0005-0000-0000-0000B7520000}"/>
    <cellStyle name="Normal 2 2 2 5 2 5 2 5" xfId="21184" xr:uid="{00000000-0005-0000-0000-0000B8520000}"/>
    <cellStyle name="Normal 2 2 2 5 2 5 2 6" xfId="21185" xr:uid="{00000000-0005-0000-0000-0000B9520000}"/>
    <cellStyle name="Normal 2 2 2 5 2 5 2 7" xfId="21186" xr:uid="{00000000-0005-0000-0000-0000BA520000}"/>
    <cellStyle name="Normal 2 2 2 5 2 5 2 8" xfId="21187" xr:uid="{00000000-0005-0000-0000-0000BB520000}"/>
    <cellStyle name="Normal 2 2 2 5 2 5 2 9" xfId="21188" xr:uid="{00000000-0005-0000-0000-0000BC520000}"/>
    <cellStyle name="Normal 2 2 2 5 2 5 3" xfId="21189" xr:uid="{00000000-0005-0000-0000-0000BD520000}"/>
    <cellStyle name="Normal 2 2 2 5 2 5 3 10" xfId="21190" xr:uid="{00000000-0005-0000-0000-0000BE520000}"/>
    <cellStyle name="Normal 2 2 2 5 2 5 3 2" xfId="21191" xr:uid="{00000000-0005-0000-0000-0000BF520000}"/>
    <cellStyle name="Normal 2 2 2 5 2 5 3 3" xfId="21192" xr:uid="{00000000-0005-0000-0000-0000C0520000}"/>
    <cellStyle name="Normal 2 2 2 5 2 5 3 4" xfId="21193" xr:uid="{00000000-0005-0000-0000-0000C1520000}"/>
    <cellStyle name="Normal 2 2 2 5 2 5 3 5" xfId="21194" xr:uid="{00000000-0005-0000-0000-0000C2520000}"/>
    <cellStyle name="Normal 2 2 2 5 2 5 3 6" xfId="21195" xr:uid="{00000000-0005-0000-0000-0000C3520000}"/>
    <cellStyle name="Normal 2 2 2 5 2 5 3 7" xfId="21196" xr:uid="{00000000-0005-0000-0000-0000C4520000}"/>
    <cellStyle name="Normal 2 2 2 5 2 5 3 8" xfId="21197" xr:uid="{00000000-0005-0000-0000-0000C5520000}"/>
    <cellStyle name="Normal 2 2 2 5 2 5 3 9" xfId="21198" xr:uid="{00000000-0005-0000-0000-0000C6520000}"/>
    <cellStyle name="Normal 2 2 2 5 2 5 4" xfId="21199" xr:uid="{00000000-0005-0000-0000-0000C7520000}"/>
    <cellStyle name="Normal 2 2 2 5 2 5 4 10" xfId="21200" xr:uid="{00000000-0005-0000-0000-0000C8520000}"/>
    <cellStyle name="Normal 2 2 2 5 2 5 4 2" xfId="21201" xr:uid="{00000000-0005-0000-0000-0000C9520000}"/>
    <cellStyle name="Normal 2 2 2 5 2 5 4 3" xfId="21202" xr:uid="{00000000-0005-0000-0000-0000CA520000}"/>
    <cellStyle name="Normal 2 2 2 5 2 5 4 4" xfId="21203" xr:uid="{00000000-0005-0000-0000-0000CB520000}"/>
    <cellStyle name="Normal 2 2 2 5 2 5 4 5" xfId="21204" xr:uid="{00000000-0005-0000-0000-0000CC520000}"/>
    <cellStyle name="Normal 2 2 2 5 2 5 4 6" xfId="21205" xr:uid="{00000000-0005-0000-0000-0000CD520000}"/>
    <cellStyle name="Normal 2 2 2 5 2 5 4 7" xfId="21206" xr:uid="{00000000-0005-0000-0000-0000CE520000}"/>
    <cellStyle name="Normal 2 2 2 5 2 5 4 8" xfId="21207" xr:uid="{00000000-0005-0000-0000-0000CF520000}"/>
    <cellStyle name="Normal 2 2 2 5 2 5 4 9" xfId="21208" xr:uid="{00000000-0005-0000-0000-0000D0520000}"/>
    <cellStyle name="Normal 2 2 2 5 2 5 5" xfId="21209" xr:uid="{00000000-0005-0000-0000-0000D1520000}"/>
    <cellStyle name="Normal 2 2 2 5 2 5 5 10" xfId="21210" xr:uid="{00000000-0005-0000-0000-0000D2520000}"/>
    <cellStyle name="Normal 2 2 2 5 2 5 5 2" xfId="21211" xr:uid="{00000000-0005-0000-0000-0000D3520000}"/>
    <cellStyle name="Normal 2 2 2 5 2 5 5 3" xfId="21212" xr:uid="{00000000-0005-0000-0000-0000D4520000}"/>
    <cellStyle name="Normal 2 2 2 5 2 5 5 4" xfId="21213" xr:uid="{00000000-0005-0000-0000-0000D5520000}"/>
    <cellStyle name="Normal 2 2 2 5 2 5 5 5" xfId="21214" xr:uid="{00000000-0005-0000-0000-0000D6520000}"/>
    <cellStyle name="Normal 2 2 2 5 2 5 5 6" xfId="21215" xr:uid="{00000000-0005-0000-0000-0000D7520000}"/>
    <cellStyle name="Normal 2 2 2 5 2 5 5 7" xfId="21216" xr:uid="{00000000-0005-0000-0000-0000D8520000}"/>
    <cellStyle name="Normal 2 2 2 5 2 5 5 8" xfId="21217" xr:uid="{00000000-0005-0000-0000-0000D9520000}"/>
    <cellStyle name="Normal 2 2 2 5 2 5 5 9" xfId="21218" xr:uid="{00000000-0005-0000-0000-0000DA520000}"/>
    <cellStyle name="Normal 2 2 2 5 2 5 6" xfId="21219" xr:uid="{00000000-0005-0000-0000-0000DB520000}"/>
    <cellStyle name="Normal 2 2 2 5 2 5 7" xfId="21220" xr:uid="{00000000-0005-0000-0000-0000DC520000}"/>
    <cellStyle name="Normal 2 2 2 5 2 5 8" xfId="21221" xr:uid="{00000000-0005-0000-0000-0000DD520000}"/>
    <cellStyle name="Normal 2 2 2 5 2 5 9" xfId="21222" xr:uid="{00000000-0005-0000-0000-0000DE520000}"/>
    <cellStyle name="Normal 2 2 2 5 2 6" xfId="21223" xr:uid="{00000000-0005-0000-0000-0000DF520000}"/>
    <cellStyle name="Normal 2 2 2 5 2 6 10" xfId="21224" xr:uid="{00000000-0005-0000-0000-0000E0520000}"/>
    <cellStyle name="Normal 2 2 2 5 2 6 11" xfId="21225" xr:uid="{00000000-0005-0000-0000-0000E1520000}"/>
    <cellStyle name="Normal 2 2 2 5 2 6 12" xfId="21226" xr:uid="{00000000-0005-0000-0000-0000E2520000}"/>
    <cellStyle name="Normal 2 2 2 5 2 6 13" xfId="21227" xr:uid="{00000000-0005-0000-0000-0000E3520000}"/>
    <cellStyle name="Normal 2 2 2 5 2 6 14" xfId="21228" xr:uid="{00000000-0005-0000-0000-0000E4520000}"/>
    <cellStyle name="Normal 2 2 2 5 2 6 2" xfId="21229" xr:uid="{00000000-0005-0000-0000-0000E5520000}"/>
    <cellStyle name="Normal 2 2 2 5 2 6 2 10" xfId="21230" xr:uid="{00000000-0005-0000-0000-0000E6520000}"/>
    <cellStyle name="Normal 2 2 2 5 2 6 2 2" xfId="21231" xr:uid="{00000000-0005-0000-0000-0000E7520000}"/>
    <cellStyle name="Normal 2 2 2 5 2 6 2 3" xfId="21232" xr:uid="{00000000-0005-0000-0000-0000E8520000}"/>
    <cellStyle name="Normal 2 2 2 5 2 6 2 4" xfId="21233" xr:uid="{00000000-0005-0000-0000-0000E9520000}"/>
    <cellStyle name="Normal 2 2 2 5 2 6 2 5" xfId="21234" xr:uid="{00000000-0005-0000-0000-0000EA520000}"/>
    <cellStyle name="Normal 2 2 2 5 2 6 2 6" xfId="21235" xr:uid="{00000000-0005-0000-0000-0000EB520000}"/>
    <cellStyle name="Normal 2 2 2 5 2 6 2 7" xfId="21236" xr:uid="{00000000-0005-0000-0000-0000EC520000}"/>
    <cellStyle name="Normal 2 2 2 5 2 6 2 8" xfId="21237" xr:uid="{00000000-0005-0000-0000-0000ED520000}"/>
    <cellStyle name="Normal 2 2 2 5 2 6 2 9" xfId="21238" xr:uid="{00000000-0005-0000-0000-0000EE520000}"/>
    <cellStyle name="Normal 2 2 2 5 2 6 3" xfId="21239" xr:uid="{00000000-0005-0000-0000-0000EF520000}"/>
    <cellStyle name="Normal 2 2 2 5 2 6 3 10" xfId="21240" xr:uid="{00000000-0005-0000-0000-0000F0520000}"/>
    <cellStyle name="Normal 2 2 2 5 2 6 3 2" xfId="21241" xr:uid="{00000000-0005-0000-0000-0000F1520000}"/>
    <cellStyle name="Normal 2 2 2 5 2 6 3 3" xfId="21242" xr:uid="{00000000-0005-0000-0000-0000F2520000}"/>
    <cellStyle name="Normal 2 2 2 5 2 6 3 4" xfId="21243" xr:uid="{00000000-0005-0000-0000-0000F3520000}"/>
    <cellStyle name="Normal 2 2 2 5 2 6 3 5" xfId="21244" xr:uid="{00000000-0005-0000-0000-0000F4520000}"/>
    <cellStyle name="Normal 2 2 2 5 2 6 3 6" xfId="21245" xr:uid="{00000000-0005-0000-0000-0000F5520000}"/>
    <cellStyle name="Normal 2 2 2 5 2 6 3 7" xfId="21246" xr:uid="{00000000-0005-0000-0000-0000F6520000}"/>
    <cellStyle name="Normal 2 2 2 5 2 6 3 8" xfId="21247" xr:uid="{00000000-0005-0000-0000-0000F7520000}"/>
    <cellStyle name="Normal 2 2 2 5 2 6 3 9" xfId="21248" xr:uid="{00000000-0005-0000-0000-0000F8520000}"/>
    <cellStyle name="Normal 2 2 2 5 2 6 4" xfId="21249" xr:uid="{00000000-0005-0000-0000-0000F9520000}"/>
    <cellStyle name="Normal 2 2 2 5 2 6 4 10" xfId="21250" xr:uid="{00000000-0005-0000-0000-0000FA520000}"/>
    <cellStyle name="Normal 2 2 2 5 2 6 4 2" xfId="21251" xr:uid="{00000000-0005-0000-0000-0000FB520000}"/>
    <cellStyle name="Normal 2 2 2 5 2 6 4 3" xfId="21252" xr:uid="{00000000-0005-0000-0000-0000FC520000}"/>
    <cellStyle name="Normal 2 2 2 5 2 6 4 4" xfId="21253" xr:uid="{00000000-0005-0000-0000-0000FD520000}"/>
    <cellStyle name="Normal 2 2 2 5 2 6 4 5" xfId="21254" xr:uid="{00000000-0005-0000-0000-0000FE520000}"/>
    <cellStyle name="Normal 2 2 2 5 2 6 4 6" xfId="21255" xr:uid="{00000000-0005-0000-0000-0000FF520000}"/>
    <cellStyle name="Normal 2 2 2 5 2 6 4 7" xfId="21256" xr:uid="{00000000-0005-0000-0000-000000530000}"/>
    <cellStyle name="Normal 2 2 2 5 2 6 4 8" xfId="21257" xr:uid="{00000000-0005-0000-0000-000001530000}"/>
    <cellStyle name="Normal 2 2 2 5 2 6 4 9" xfId="21258" xr:uid="{00000000-0005-0000-0000-000002530000}"/>
    <cellStyle name="Normal 2 2 2 5 2 6 5" xfId="21259" xr:uid="{00000000-0005-0000-0000-000003530000}"/>
    <cellStyle name="Normal 2 2 2 5 2 6 5 10" xfId="21260" xr:uid="{00000000-0005-0000-0000-000004530000}"/>
    <cellStyle name="Normal 2 2 2 5 2 6 5 2" xfId="21261" xr:uid="{00000000-0005-0000-0000-000005530000}"/>
    <cellStyle name="Normal 2 2 2 5 2 6 5 3" xfId="21262" xr:uid="{00000000-0005-0000-0000-000006530000}"/>
    <cellStyle name="Normal 2 2 2 5 2 6 5 4" xfId="21263" xr:uid="{00000000-0005-0000-0000-000007530000}"/>
    <cellStyle name="Normal 2 2 2 5 2 6 5 5" xfId="21264" xr:uid="{00000000-0005-0000-0000-000008530000}"/>
    <cellStyle name="Normal 2 2 2 5 2 6 5 6" xfId="21265" xr:uid="{00000000-0005-0000-0000-000009530000}"/>
    <cellStyle name="Normal 2 2 2 5 2 6 5 7" xfId="21266" xr:uid="{00000000-0005-0000-0000-00000A530000}"/>
    <cellStyle name="Normal 2 2 2 5 2 6 5 8" xfId="21267" xr:uid="{00000000-0005-0000-0000-00000B530000}"/>
    <cellStyle name="Normal 2 2 2 5 2 6 5 9" xfId="21268" xr:uid="{00000000-0005-0000-0000-00000C530000}"/>
    <cellStyle name="Normal 2 2 2 5 2 6 6" xfId="21269" xr:uid="{00000000-0005-0000-0000-00000D530000}"/>
    <cellStyle name="Normal 2 2 2 5 2 6 7" xfId="21270" xr:uid="{00000000-0005-0000-0000-00000E530000}"/>
    <cellStyle name="Normal 2 2 2 5 2 6 8" xfId="21271" xr:uid="{00000000-0005-0000-0000-00000F530000}"/>
    <cellStyle name="Normal 2 2 2 5 2 6 9" xfId="21272" xr:uid="{00000000-0005-0000-0000-000010530000}"/>
    <cellStyle name="Normal 2 2 2 5 2 7" xfId="21273" xr:uid="{00000000-0005-0000-0000-000011530000}"/>
    <cellStyle name="Normal 2 2 2 5 2 7 10" xfId="21274" xr:uid="{00000000-0005-0000-0000-000012530000}"/>
    <cellStyle name="Normal 2 2 2 5 2 7 11" xfId="21275" xr:uid="{00000000-0005-0000-0000-000013530000}"/>
    <cellStyle name="Normal 2 2 2 5 2 7 12" xfId="21276" xr:uid="{00000000-0005-0000-0000-000014530000}"/>
    <cellStyle name="Normal 2 2 2 5 2 7 13" xfId="21277" xr:uid="{00000000-0005-0000-0000-000015530000}"/>
    <cellStyle name="Normal 2 2 2 5 2 7 14" xfId="21278" xr:uid="{00000000-0005-0000-0000-000016530000}"/>
    <cellStyle name="Normal 2 2 2 5 2 7 2" xfId="21279" xr:uid="{00000000-0005-0000-0000-000017530000}"/>
    <cellStyle name="Normal 2 2 2 5 2 7 2 10" xfId="21280" xr:uid="{00000000-0005-0000-0000-000018530000}"/>
    <cellStyle name="Normal 2 2 2 5 2 7 2 2" xfId="21281" xr:uid="{00000000-0005-0000-0000-000019530000}"/>
    <cellStyle name="Normal 2 2 2 5 2 7 2 3" xfId="21282" xr:uid="{00000000-0005-0000-0000-00001A530000}"/>
    <cellStyle name="Normal 2 2 2 5 2 7 2 4" xfId="21283" xr:uid="{00000000-0005-0000-0000-00001B530000}"/>
    <cellStyle name="Normal 2 2 2 5 2 7 2 5" xfId="21284" xr:uid="{00000000-0005-0000-0000-00001C530000}"/>
    <cellStyle name="Normal 2 2 2 5 2 7 2 6" xfId="21285" xr:uid="{00000000-0005-0000-0000-00001D530000}"/>
    <cellStyle name="Normal 2 2 2 5 2 7 2 7" xfId="21286" xr:uid="{00000000-0005-0000-0000-00001E530000}"/>
    <cellStyle name="Normal 2 2 2 5 2 7 2 8" xfId="21287" xr:uid="{00000000-0005-0000-0000-00001F530000}"/>
    <cellStyle name="Normal 2 2 2 5 2 7 2 9" xfId="21288" xr:uid="{00000000-0005-0000-0000-000020530000}"/>
    <cellStyle name="Normal 2 2 2 5 2 7 3" xfId="21289" xr:uid="{00000000-0005-0000-0000-000021530000}"/>
    <cellStyle name="Normal 2 2 2 5 2 7 3 10" xfId="21290" xr:uid="{00000000-0005-0000-0000-000022530000}"/>
    <cellStyle name="Normal 2 2 2 5 2 7 3 2" xfId="21291" xr:uid="{00000000-0005-0000-0000-000023530000}"/>
    <cellStyle name="Normal 2 2 2 5 2 7 3 3" xfId="21292" xr:uid="{00000000-0005-0000-0000-000024530000}"/>
    <cellStyle name="Normal 2 2 2 5 2 7 3 4" xfId="21293" xr:uid="{00000000-0005-0000-0000-000025530000}"/>
    <cellStyle name="Normal 2 2 2 5 2 7 3 5" xfId="21294" xr:uid="{00000000-0005-0000-0000-000026530000}"/>
    <cellStyle name="Normal 2 2 2 5 2 7 3 6" xfId="21295" xr:uid="{00000000-0005-0000-0000-000027530000}"/>
    <cellStyle name="Normal 2 2 2 5 2 7 3 7" xfId="21296" xr:uid="{00000000-0005-0000-0000-000028530000}"/>
    <cellStyle name="Normal 2 2 2 5 2 7 3 8" xfId="21297" xr:uid="{00000000-0005-0000-0000-000029530000}"/>
    <cellStyle name="Normal 2 2 2 5 2 7 3 9" xfId="21298" xr:uid="{00000000-0005-0000-0000-00002A530000}"/>
    <cellStyle name="Normal 2 2 2 5 2 7 4" xfId="21299" xr:uid="{00000000-0005-0000-0000-00002B530000}"/>
    <cellStyle name="Normal 2 2 2 5 2 7 4 10" xfId="21300" xr:uid="{00000000-0005-0000-0000-00002C530000}"/>
    <cellStyle name="Normal 2 2 2 5 2 7 4 2" xfId="21301" xr:uid="{00000000-0005-0000-0000-00002D530000}"/>
    <cellStyle name="Normal 2 2 2 5 2 7 4 3" xfId="21302" xr:uid="{00000000-0005-0000-0000-00002E530000}"/>
    <cellStyle name="Normal 2 2 2 5 2 7 4 4" xfId="21303" xr:uid="{00000000-0005-0000-0000-00002F530000}"/>
    <cellStyle name="Normal 2 2 2 5 2 7 4 5" xfId="21304" xr:uid="{00000000-0005-0000-0000-000030530000}"/>
    <cellStyle name="Normal 2 2 2 5 2 7 4 6" xfId="21305" xr:uid="{00000000-0005-0000-0000-000031530000}"/>
    <cellStyle name="Normal 2 2 2 5 2 7 4 7" xfId="21306" xr:uid="{00000000-0005-0000-0000-000032530000}"/>
    <cellStyle name="Normal 2 2 2 5 2 7 4 8" xfId="21307" xr:uid="{00000000-0005-0000-0000-000033530000}"/>
    <cellStyle name="Normal 2 2 2 5 2 7 4 9" xfId="21308" xr:uid="{00000000-0005-0000-0000-000034530000}"/>
    <cellStyle name="Normal 2 2 2 5 2 7 5" xfId="21309" xr:uid="{00000000-0005-0000-0000-000035530000}"/>
    <cellStyle name="Normal 2 2 2 5 2 7 5 10" xfId="21310" xr:uid="{00000000-0005-0000-0000-000036530000}"/>
    <cellStyle name="Normal 2 2 2 5 2 7 5 2" xfId="21311" xr:uid="{00000000-0005-0000-0000-000037530000}"/>
    <cellStyle name="Normal 2 2 2 5 2 7 5 3" xfId="21312" xr:uid="{00000000-0005-0000-0000-000038530000}"/>
    <cellStyle name="Normal 2 2 2 5 2 7 5 4" xfId="21313" xr:uid="{00000000-0005-0000-0000-000039530000}"/>
    <cellStyle name="Normal 2 2 2 5 2 7 5 5" xfId="21314" xr:uid="{00000000-0005-0000-0000-00003A530000}"/>
    <cellStyle name="Normal 2 2 2 5 2 7 5 6" xfId="21315" xr:uid="{00000000-0005-0000-0000-00003B530000}"/>
    <cellStyle name="Normal 2 2 2 5 2 7 5 7" xfId="21316" xr:uid="{00000000-0005-0000-0000-00003C530000}"/>
    <cellStyle name="Normal 2 2 2 5 2 7 5 8" xfId="21317" xr:uid="{00000000-0005-0000-0000-00003D530000}"/>
    <cellStyle name="Normal 2 2 2 5 2 7 5 9" xfId="21318" xr:uid="{00000000-0005-0000-0000-00003E530000}"/>
    <cellStyle name="Normal 2 2 2 5 2 7 6" xfId="21319" xr:uid="{00000000-0005-0000-0000-00003F530000}"/>
    <cellStyle name="Normal 2 2 2 5 2 7 7" xfId="21320" xr:uid="{00000000-0005-0000-0000-000040530000}"/>
    <cellStyle name="Normal 2 2 2 5 2 7 8" xfId="21321" xr:uid="{00000000-0005-0000-0000-000041530000}"/>
    <cellStyle name="Normal 2 2 2 5 2 7 9" xfId="21322" xr:uid="{00000000-0005-0000-0000-000042530000}"/>
    <cellStyle name="Normal 2 2 2 5 2 8" xfId="21323" xr:uid="{00000000-0005-0000-0000-000043530000}"/>
    <cellStyle name="Normal 2 2 2 5 2 8 10" xfId="21324" xr:uid="{00000000-0005-0000-0000-000044530000}"/>
    <cellStyle name="Normal 2 2 2 5 2 8 11" xfId="21325" xr:uid="{00000000-0005-0000-0000-000045530000}"/>
    <cellStyle name="Normal 2 2 2 5 2 8 12" xfId="21326" xr:uid="{00000000-0005-0000-0000-000046530000}"/>
    <cellStyle name="Normal 2 2 2 5 2 8 13" xfId="21327" xr:uid="{00000000-0005-0000-0000-000047530000}"/>
    <cellStyle name="Normal 2 2 2 5 2 8 14" xfId="21328" xr:uid="{00000000-0005-0000-0000-000048530000}"/>
    <cellStyle name="Normal 2 2 2 5 2 8 2" xfId="21329" xr:uid="{00000000-0005-0000-0000-000049530000}"/>
    <cellStyle name="Normal 2 2 2 5 2 8 2 10" xfId="21330" xr:uid="{00000000-0005-0000-0000-00004A530000}"/>
    <cellStyle name="Normal 2 2 2 5 2 8 2 2" xfId="21331" xr:uid="{00000000-0005-0000-0000-00004B530000}"/>
    <cellStyle name="Normal 2 2 2 5 2 8 2 3" xfId="21332" xr:uid="{00000000-0005-0000-0000-00004C530000}"/>
    <cellStyle name="Normal 2 2 2 5 2 8 2 4" xfId="21333" xr:uid="{00000000-0005-0000-0000-00004D530000}"/>
    <cellStyle name="Normal 2 2 2 5 2 8 2 5" xfId="21334" xr:uid="{00000000-0005-0000-0000-00004E530000}"/>
    <cellStyle name="Normal 2 2 2 5 2 8 2 6" xfId="21335" xr:uid="{00000000-0005-0000-0000-00004F530000}"/>
    <cellStyle name="Normal 2 2 2 5 2 8 2 7" xfId="21336" xr:uid="{00000000-0005-0000-0000-000050530000}"/>
    <cellStyle name="Normal 2 2 2 5 2 8 2 8" xfId="21337" xr:uid="{00000000-0005-0000-0000-000051530000}"/>
    <cellStyle name="Normal 2 2 2 5 2 8 2 9" xfId="21338" xr:uid="{00000000-0005-0000-0000-000052530000}"/>
    <cellStyle name="Normal 2 2 2 5 2 8 3" xfId="21339" xr:uid="{00000000-0005-0000-0000-000053530000}"/>
    <cellStyle name="Normal 2 2 2 5 2 8 3 10" xfId="21340" xr:uid="{00000000-0005-0000-0000-000054530000}"/>
    <cellStyle name="Normal 2 2 2 5 2 8 3 2" xfId="21341" xr:uid="{00000000-0005-0000-0000-000055530000}"/>
    <cellStyle name="Normal 2 2 2 5 2 8 3 3" xfId="21342" xr:uid="{00000000-0005-0000-0000-000056530000}"/>
    <cellStyle name="Normal 2 2 2 5 2 8 3 4" xfId="21343" xr:uid="{00000000-0005-0000-0000-000057530000}"/>
    <cellStyle name="Normal 2 2 2 5 2 8 3 5" xfId="21344" xr:uid="{00000000-0005-0000-0000-000058530000}"/>
    <cellStyle name="Normal 2 2 2 5 2 8 3 6" xfId="21345" xr:uid="{00000000-0005-0000-0000-000059530000}"/>
    <cellStyle name="Normal 2 2 2 5 2 8 3 7" xfId="21346" xr:uid="{00000000-0005-0000-0000-00005A530000}"/>
    <cellStyle name="Normal 2 2 2 5 2 8 3 8" xfId="21347" xr:uid="{00000000-0005-0000-0000-00005B530000}"/>
    <cellStyle name="Normal 2 2 2 5 2 8 3 9" xfId="21348" xr:uid="{00000000-0005-0000-0000-00005C530000}"/>
    <cellStyle name="Normal 2 2 2 5 2 8 4" xfId="21349" xr:uid="{00000000-0005-0000-0000-00005D530000}"/>
    <cellStyle name="Normal 2 2 2 5 2 8 4 10" xfId="21350" xr:uid="{00000000-0005-0000-0000-00005E530000}"/>
    <cellStyle name="Normal 2 2 2 5 2 8 4 2" xfId="21351" xr:uid="{00000000-0005-0000-0000-00005F530000}"/>
    <cellStyle name="Normal 2 2 2 5 2 8 4 3" xfId="21352" xr:uid="{00000000-0005-0000-0000-000060530000}"/>
    <cellStyle name="Normal 2 2 2 5 2 8 4 4" xfId="21353" xr:uid="{00000000-0005-0000-0000-000061530000}"/>
    <cellStyle name="Normal 2 2 2 5 2 8 4 5" xfId="21354" xr:uid="{00000000-0005-0000-0000-000062530000}"/>
    <cellStyle name="Normal 2 2 2 5 2 8 4 6" xfId="21355" xr:uid="{00000000-0005-0000-0000-000063530000}"/>
    <cellStyle name="Normal 2 2 2 5 2 8 4 7" xfId="21356" xr:uid="{00000000-0005-0000-0000-000064530000}"/>
    <cellStyle name="Normal 2 2 2 5 2 8 4 8" xfId="21357" xr:uid="{00000000-0005-0000-0000-000065530000}"/>
    <cellStyle name="Normal 2 2 2 5 2 8 4 9" xfId="21358" xr:uid="{00000000-0005-0000-0000-000066530000}"/>
    <cellStyle name="Normal 2 2 2 5 2 8 5" xfId="21359" xr:uid="{00000000-0005-0000-0000-000067530000}"/>
    <cellStyle name="Normal 2 2 2 5 2 8 5 10" xfId="21360" xr:uid="{00000000-0005-0000-0000-000068530000}"/>
    <cellStyle name="Normal 2 2 2 5 2 8 5 2" xfId="21361" xr:uid="{00000000-0005-0000-0000-000069530000}"/>
    <cellStyle name="Normal 2 2 2 5 2 8 5 3" xfId="21362" xr:uid="{00000000-0005-0000-0000-00006A530000}"/>
    <cellStyle name="Normal 2 2 2 5 2 8 5 4" xfId="21363" xr:uid="{00000000-0005-0000-0000-00006B530000}"/>
    <cellStyle name="Normal 2 2 2 5 2 8 5 5" xfId="21364" xr:uid="{00000000-0005-0000-0000-00006C530000}"/>
    <cellStyle name="Normal 2 2 2 5 2 8 5 6" xfId="21365" xr:uid="{00000000-0005-0000-0000-00006D530000}"/>
    <cellStyle name="Normal 2 2 2 5 2 8 5 7" xfId="21366" xr:uid="{00000000-0005-0000-0000-00006E530000}"/>
    <cellStyle name="Normal 2 2 2 5 2 8 5 8" xfId="21367" xr:uid="{00000000-0005-0000-0000-00006F530000}"/>
    <cellStyle name="Normal 2 2 2 5 2 8 5 9" xfId="21368" xr:uid="{00000000-0005-0000-0000-000070530000}"/>
    <cellStyle name="Normal 2 2 2 5 2 8 6" xfId="21369" xr:uid="{00000000-0005-0000-0000-000071530000}"/>
    <cellStyle name="Normal 2 2 2 5 2 8 7" xfId="21370" xr:uid="{00000000-0005-0000-0000-000072530000}"/>
    <cellStyle name="Normal 2 2 2 5 2 8 8" xfId="21371" xr:uid="{00000000-0005-0000-0000-000073530000}"/>
    <cellStyle name="Normal 2 2 2 5 2 8 9" xfId="21372" xr:uid="{00000000-0005-0000-0000-000074530000}"/>
    <cellStyle name="Normal 2 2 2 5 2 9" xfId="21373" xr:uid="{00000000-0005-0000-0000-000075530000}"/>
    <cellStyle name="Normal 2 2 2 5 2 9 10" xfId="21374" xr:uid="{00000000-0005-0000-0000-000076530000}"/>
    <cellStyle name="Normal 2 2 2 5 2 9 11" xfId="21375" xr:uid="{00000000-0005-0000-0000-000077530000}"/>
    <cellStyle name="Normal 2 2 2 5 2 9 12" xfId="21376" xr:uid="{00000000-0005-0000-0000-000078530000}"/>
    <cellStyle name="Normal 2 2 2 5 2 9 13" xfId="21377" xr:uid="{00000000-0005-0000-0000-000079530000}"/>
    <cellStyle name="Normal 2 2 2 5 2 9 14" xfId="21378" xr:uid="{00000000-0005-0000-0000-00007A530000}"/>
    <cellStyle name="Normal 2 2 2 5 2 9 2" xfId="21379" xr:uid="{00000000-0005-0000-0000-00007B530000}"/>
    <cellStyle name="Normal 2 2 2 5 2 9 2 10" xfId="21380" xr:uid="{00000000-0005-0000-0000-00007C530000}"/>
    <cellStyle name="Normal 2 2 2 5 2 9 2 2" xfId="21381" xr:uid="{00000000-0005-0000-0000-00007D530000}"/>
    <cellStyle name="Normal 2 2 2 5 2 9 2 3" xfId="21382" xr:uid="{00000000-0005-0000-0000-00007E530000}"/>
    <cellStyle name="Normal 2 2 2 5 2 9 2 4" xfId="21383" xr:uid="{00000000-0005-0000-0000-00007F530000}"/>
    <cellStyle name="Normal 2 2 2 5 2 9 2 5" xfId="21384" xr:uid="{00000000-0005-0000-0000-000080530000}"/>
    <cellStyle name="Normal 2 2 2 5 2 9 2 6" xfId="21385" xr:uid="{00000000-0005-0000-0000-000081530000}"/>
    <cellStyle name="Normal 2 2 2 5 2 9 2 7" xfId="21386" xr:uid="{00000000-0005-0000-0000-000082530000}"/>
    <cellStyle name="Normal 2 2 2 5 2 9 2 8" xfId="21387" xr:uid="{00000000-0005-0000-0000-000083530000}"/>
    <cellStyle name="Normal 2 2 2 5 2 9 2 9" xfId="21388" xr:uid="{00000000-0005-0000-0000-000084530000}"/>
    <cellStyle name="Normal 2 2 2 5 2 9 3" xfId="21389" xr:uid="{00000000-0005-0000-0000-000085530000}"/>
    <cellStyle name="Normal 2 2 2 5 2 9 3 10" xfId="21390" xr:uid="{00000000-0005-0000-0000-000086530000}"/>
    <cellStyle name="Normal 2 2 2 5 2 9 3 2" xfId="21391" xr:uid="{00000000-0005-0000-0000-000087530000}"/>
    <cellStyle name="Normal 2 2 2 5 2 9 3 3" xfId="21392" xr:uid="{00000000-0005-0000-0000-000088530000}"/>
    <cellStyle name="Normal 2 2 2 5 2 9 3 4" xfId="21393" xr:uid="{00000000-0005-0000-0000-000089530000}"/>
    <cellStyle name="Normal 2 2 2 5 2 9 3 5" xfId="21394" xr:uid="{00000000-0005-0000-0000-00008A530000}"/>
    <cellStyle name="Normal 2 2 2 5 2 9 3 6" xfId="21395" xr:uid="{00000000-0005-0000-0000-00008B530000}"/>
    <cellStyle name="Normal 2 2 2 5 2 9 3 7" xfId="21396" xr:uid="{00000000-0005-0000-0000-00008C530000}"/>
    <cellStyle name="Normal 2 2 2 5 2 9 3 8" xfId="21397" xr:uid="{00000000-0005-0000-0000-00008D530000}"/>
    <cellStyle name="Normal 2 2 2 5 2 9 3 9" xfId="21398" xr:uid="{00000000-0005-0000-0000-00008E530000}"/>
    <cellStyle name="Normal 2 2 2 5 2 9 4" xfId="21399" xr:uid="{00000000-0005-0000-0000-00008F530000}"/>
    <cellStyle name="Normal 2 2 2 5 2 9 4 10" xfId="21400" xr:uid="{00000000-0005-0000-0000-000090530000}"/>
    <cellStyle name="Normal 2 2 2 5 2 9 4 2" xfId="21401" xr:uid="{00000000-0005-0000-0000-000091530000}"/>
    <cellStyle name="Normal 2 2 2 5 2 9 4 3" xfId="21402" xr:uid="{00000000-0005-0000-0000-000092530000}"/>
    <cellStyle name="Normal 2 2 2 5 2 9 4 4" xfId="21403" xr:uid="{00000000-0005-0000-0000-000093530000}"/>
    <cellStyle name="Normal 2 2 2 5 2 9 4 5" xfId="21404" xr:uid="{00000000-0005-0000-0000-000094530000}"/>
    <cellStyle name="Normal 2 2 2 5 2 9 4 6" xfId="21405" xr:uid="{00000000-0005-0000-0000-000095530000}"/>
    <cellStyle name="Normal 2 2 2 5 2 9 4 7" xfId="21406" xr:uid="{00000000-0005-0000-0000-000096530000}"/>
    <cellStyle name="Normal 2 2 2 5 2 9 4 8" xfId="21407" xr:uid="{00000000-0005-0000-0000-000097530000}"/>
    <cellStyle name="Normal 2 2 2 5 2 9 4 9" xfId="21408" xr:uid="{00000000-0005-0000-0000-000098530000}"/>
    <cellStyle name="Normal 2 2 2 5 2 9 5" xfId="21409" xr:uid="{00000000-0005-0000-0000-000099530000}"/>
    <cellStyle name="Normal 2 2 2 5 2 9 5 10" xfId="21410" xr:uid="{00000000-0005-0000-0000-00009A530000}"/>
    <cellStyle name="Normal 2 2 2 5 2 9 5 2" xfId="21411" xr:uid="{00000000-0005-0000-0000-00009B530000}"/>
    <cellStyle name="Normal 2 2 2 5 2 9 5 3" xfId="21412" xr:uid="{00000000-0005-0000-0000-00009C530000}"/>
    <cellStyle name="Normal 2 2 2 5 2 9 5 4" xfId="21413" xr:uid="{00000000-0005-0000-0000-00009D530000}"/>
    <cellStyle name="Normal 2 2 2 5 2 9 5 5" xfId="21414" xr:uid="{00000000-0005-0000-0000-00009E530000}"/>
    <cellStyle name="Normal 2 2 2 5 2 9 5 6" xfId="21415" xr:uid="{00000000-0005-0000-0000-00009F530000}"/>
    <cellStyle name="Normal 2 2 2 5 2 9 5 7" xfId="21416" xr:uid="{00000000-0005-0000-0000-0000A0530000}"/>
    <cellStyle name="Normal 2 2 2 5 2 9 5 8" xfId="21417" xr:uid="{00000000-0005-0000-0000-0000A1530000}"/>
    <cellStyle name="Normal 2 2 2 5 2 9 5 9" xfId="21418" xr:uid="{00000000-0005-0000-0000-0000A2530000}"/>
    <cellStyle name="Normal 2 2 2 5 2 9 6" xfId="21419" xr:uid="{00000000-0005-0000-0000-0000A3530000}"/>
    <cellStyle name="Normal 2 2 2 5 2 9 7" xfId="21420" xr:uid="{00000000-0005-0000-0000-0000A4530000}"/>
    <cellStyle name="Normal 2 2 2 5 2 9 8" xfId="21421" xr:uid="{00000000-0005-0000-0000-0000A5530000}"/>
    <cellStyle name="Normal 2 2 2 5 2 9 9" xfId="21422" xr:uid="{00000000-0005-0000-0000-0000A6530000}"/>
    <cellStyle name="Normal 2 2 2 5 20" xfId="21423" xr:uid="{00000000-0005-0000-0000-0000A7530000}"/>
    <cellStyle name="Normal 2 2 2 5 21" xfId="21424" xr:uid="{00000000-0005-0000-0000-0000A8530000}"/>
    <cellStyle name="Normal 2 2 2 5 21 10" xfId="21425" xr:uid="{00000000-0005-0000-0000-0000A9530000}"/>
    <cellStyle name="Normal 2 2 2 5 21 2" xfId="21426" xr:uid="{00000000-0005-0000-0000-0000AA530000}"/>
    <cellStyle name="Normal 2 2 2 5 21 3" xfId="21427" xr:uid="{00000000-0005-0000-0000-0000AB530000}"/>
    <cellStyle name="Normal 2 2 2 5 21 4" xfId="21428" xr:uid="{00000000-0005-0000-0000-0000AC530000}"/>
    <cellStyle name="Normal 2 2 2 5 21 5" xfId="21429" xr:uid="{00000000-0005-0000-0000-0000AD530000}"/>
    <cellStyle name="Normal 2 2 2 5 21 6" xfId="21430" xr:uid="{00000000-0005-0000-0000-0000AE530000}"/>
    <cellStyle name="Normal 2 2 2 5 21 7" xfId="21431" xr:uid="{00000000-0005-0000-0000-0000AF530000}"/>
    <cellStyle name="Normal 2 2 2 5 21 8" xfId="21432" xr:uid="{00000000-0005-0000-0000-0000B0530000}"/>
    <cellStyle name="Normal 2 2 2 5 21 9" xfId="21433" xr:uid="{00000000-0005-0000-0000-0000B1530000}"/>
    <cellStyle name="Normal 2 2 2 5 22" xfId="21434" xr:uid="{00000000-0005-0000-0000-0000B2530000}"/>
    <cellStyle name="Normal 2 2 2 5 22 10" xfId="21435" xr:uid="{00000000-0005-0000-0000-0000B3530000}"/>
    <cellStyle name="Normal 2 2 2 5 22 2" xfId="21436" xr:uid="{00000000-0005-0000-0000-0000B4530000}"/>
    <cellStyle name="Normal 2 2 2 5 22 3" xfId="21437" xr:uid="{00000000-0005-0000-0000-0000B5530000}"/>
    <cellStyle name="Normal 2 2 2 5 22 4" xfId="21438" xr:uid="{00000000-0005-0000-0000-0000B6530000}"/>
    <cellStyle name="Normal 2 2 2 5 22 5" xfId="21439" xr:uid="{00000000-0005-0000-0000-0000B7530000}"/>
    <cellStyle name="Normal 2 2 2 5 22 6" xfId="21440" xr:uid="{00000000-0005-0000-0000-0000B8530000}"/>
    <cellStyle name="Normal 2 2 2 5 22 7" xfId="21441" xr:uid="{00000000-0005-0000-0000-0000B9530000}"/>
    <cellStyle name="Normal 2 2 2 5 22 8" xfId="21442" xr:uid="{00000000-0005-0000-0000-0000BA530000}"/>
    <cellStyle name="Normal 2 2 2 5 22 9" xfId="21443" xr:uid="{00000000-0005-0000-0000-0000BB530000}"/>
    <cellStyle name="Normal 2 2 2 5 23" xfId="21444" xr:uid="{00000000-0005-0000-0000-0000BC530000}"/>
    <cellStyle name="Normal 2 2 2 5 23 10" xfId="21445" xr:uid="{00000000-0005-0000-0000-0000BD530000}"/>
    <cellStyle name="Normal 2 2 2 5 23 2" xfId="21446" xr:uid="{00000000-0005-0000-0000-0000BE530000}"/>
    <cellStyle name="Normal 2 2 2 5 23 3" xfId="21447" xr:uid="{00000000-0005-0000-0000-0000BF530000}"/>
    <cellStyle name="Normal 2 2 2 5 23 4" xfId="21448" xr:uid="{00000000-0005-0000-0000-0000C0530000}"/>
    <cellStyle name="Normal 2 2 2 5 23 5" xfId="21449" xr:uid="{00000000-0005-0000-0000-0000C1530000}"/>
    <cellStyle name="Normal 2 2 2 5 23 6" xfId="21450" xr:uid="{00000000-0005-0000-0000-0000C2530000}"/>
    <cellStyle name="Normal 2 2 2 5 23 7" xfId="21451" xr:uid="{00000000-0005-0000-0000-0000C3530000}"/>
    <cellStyle name="Normal 2 2 2 5 23 8" xfId="21452" xr:uid="{00000000-0005-0000-0000-0000C4530000}"/>
    <cellStyle name="Normal 2 2 2 5 23 9" xfId="21453" xr:uid="{00000000-0005-0000-0000-0000C5530000}"/>
    <cellStyle name="Normal 2 2 2 5 24" xfId="21454" xr:uid="{00000000-0005-0000-0000-0000C6530000}"/>
    <cellStyle name="Normal 2 2 2 5 24 10" xfId="21455" xr:uid="{00000000-0005-0000-0000-0000C7530000}"/>
    <cellStyle name="Normal 2 2 2 5 24 2" xfId="21456" xr:uid="{00000000-0005-0000-0000-0000C8530000}"/>
    <cellStyle name="Normal 2 2 2 5 24 3" xfId="21457" xr:uid="{00000000-0005-0000-0000-0000C9530000}"/>
    <cellStyle name="Normal 2 2 2 5 24 4" xfId="21458" xr:uid="{00000000-0005-0000-0000-0000CA530000}"/>
    <cellStyle name="Normal 2 2 2 5 24 5" xfId="21459" xr:uid="{00000000-0005-0000-0000-0000CB530000}"/>
    <cellStyle name="Normal 2 2 2 5 24 6" xfId="21460" xr:uid="{00000000-0005-0000-0000-0000CC530000}"/>
    <cellStyle name="Normal 2 2 2 5 24 7" xfId="21461" xr:uid="{00000000-0005-0000-0000-0000CD530000}"/>
    <cellStyle name="Normal 2 2 2 5 24 8" xfId="21462" xr:uid="{00000000-0005-0000-0000-0000CE530000}"/>
    <cellStyle name="Normal 2 2 2 5 24 9" xfId="21463" xr:uid="{00000000-0005-0000-0000-0000CF530000}"/>
    <cellStyle name="Normal 2 2 2 5 25" xfId="21464" xr:uid="{00000000-0005-0000-0000-0000D0530000}"/>
    <cellStyle name="Normal 2 2 2 5 26" xfId="21465" xr:uid="{00000000-0005-0000-0000-0000D1530000}"/>
    <cellStyle name="Normal 2 2 2 5 27" xfId="21466" xr:uid="{00000000-0005-0000-0000-0000D2530000}"/>
    <cellStyle name="Normal 2 2 2 5 28" xfId="21467" xr:uid="{00000000-0005-0000-0000-0000D3530000}"/>
    <cellStyle name="Normal 2 2 2 5 29" xfId="21468" xr:uid="{00000000-0005-0000-0000-0000D4530000}"/>
    <cellStyle name="Normal 2 2 2 5 3" xfId="21469" xr:uid="{00000000-0005-0000-0000-0000D5530000}"/>
    <cellStyle name="Normal 2 2 2 5 30" xfId="21470" xr:uid="{00000000-0005-0000-0000-0000D6530000}"/>
    <cellStyle name="Normal 2 2 2 5 31" xfId="21471" xr:uid="{00000000-0005-0000-0000-0000D7530000}"/>
    <cellStyle name="Normal 2 2 2 5 32" xfId="21472" xr:uid="{00000000-0005-0000-0000-0000D8530000}"/>
    <cellStyle name="Normal 2 2 2 5 33" xfId="21473" xr:uid="{00000000-0005-0000-0000-0000D9530000}"/>
    <cellStyle name="Normal 2 2 2 5 34" xfId="21474" xr:uid="{00000000-0005-0000-0000-0000DA530000}"/>
    <cellStyle name="Normal 2 2 2 5 35" xfId="21475" xr:uid="{00000000-0005-0000-0000-0000DB530000}"/>
    <cellStyle name="Normal 2 2 2 5 4" xfId="21476" xr:uid="{00000000-0005-0000-0000-0000DC530000}"/>
    <cellStyle name="Normal 2 2 2 5 5" xfId="21477" xr:uid="{00000000-0005-0000-0000-0000DD530000}"/>
    <cellStyle name="Normal 2 2 2 5 6" xfId="21478" xr:uid="{00000000-0005-0000-0000-0000DE530000}"/>
    <cellStyle name="Normal 2 2 2 5 7" xfId="21479" xr:uid="{00000000-0005-0000-0000-0000DF530000}"/>
    <cellStyle name="Normal 2 2 2 5 8" xfId="21480" xr:uid="{00000000-0005-0000-0000-0000E0530000}"/>
    <cellStyle name="Normal 2 2 2 5 9" xfId="21481" xr:uid="{00000000-0005-0000-0000-0000E1530000}"/>
    <cellStyle name="Normal 2 2 2 50" xfId="21482" xr:uid="{00000000-0005-0000-0000-0000E2530000}"/>
    <cellStyle name="Normal 2 2 2 51" xfId="21483" xr:uid="{00000000-0005-0000-0000-0000E3530000}"/>
    <cellStyle name="Normal 2 2 2 6" xfId="21484" xr:uid="{00000000-0005-0000-0000-0000E4530000}"/>
    <cellStyle name="Normal 2 2 2 6 10" xfId="21485" xr:uid="{00000000-0005-0000-0000-0000E5530000}"/>
    <cellStyle name="Normal 2 2 2 6 11" xfId="21486" xr:uid="{00000000-0005-0000-0000-0000E6530000}"/>
    <cellStyle name="Normal 2 2 2 6 12" xfId="21487" xr:uid="{00000000-0005-0000-0000-0000E7530000}"/>
    <cellStyle name="Normal 2 2 2 6 13" xfId="21488" xr:uid="{00000000-0005-0000-0000-0000E8530000}"/>
    <cellStyle name="Normal 2 2 2 6 14" xfId="21489" xr:uid="{00000000-0005-0000-0000-0000E9530000}"/>
    <cellStyle name="Normal 2 2 2 6 15" xfId="21490" xr:uid="{00000000-0005-0000-0000-0000EA530000}"/>
    <cellStyle name="Normal 2 2 2 6 16" xfId="21491" xr:uid="{00000000-0005-0000-0000-0000EB530000}"/>
    <cellStyle name="Normal 2 2 2 6 2" xfId="21492" xr:uid="{00000000-0005-0000-0000-0000EC530000}"/>
    <cellStyle name="Normal 2 2 2 6 2 10" xfId="21493" xr:uid="{00000000-0005-0000-0000-0000ED530000}"/>
    <cellStyle name="Normal 2 2 2 6 2 2" xfId="21494" xr:uid="{00000000-0005-0000-0000-0000EE530000}"/>
    <cellStyle name="Normal 2 2 2 6 2 3" xfId="21495" xr:uid="{00000000-0005-0000-0000-0000EF530000}"/>
    <cellStyle name="Normal 2 2 2 6 2 4" xfId="21496" xr:uid="{00000000-0005-0000-0000-0000F0530000}"/>
    <cellStyle name="Normal 2 2 2 6 2 5" xfId="21497" xr:uid="{00000000-0005-0000-0000-0000F1530000}"/>
    <cellStyle name="Normal 2 2 2 6 2 6" xfId="21498" xr:uid="{00000000-0005-0000-0000-0000F2530000}"/>
    <cellStyle name="Normal 2 2 2 6 2 7" xfId="21499" xr:uid="{00000000-0005-0000-0000-0000F3530000}"/>
    <cellStyle name="Normal 2 2 2 6 2 8" xfId="21500" xr:uid="{00000000-0005-0000-0000-0000F4530000}"/>
    <cellStyle name="Normal 2 2 2 6 2 9" xfId="21501" xr:uid="{00000000-0005-0000-0000-0000F5530000}"/>
    <cellStyle name="Normal 2 2 2 6 3" xfId="21502" xr:uid="{00000000-0005-0000-0000-0000F6530000}"/>
    <cellStyle name="Normal 2 2 2 6 3 10" xfId="21503" xr:uid="{00000000-0005-0000-0000-0000F7530000}"/>
    <cellStyle name="Normal 2 2 2 6 3 2" xfId="21504" xr:uid="{00000000-0005-0000-0000-0000F8530000}"/>
    <cellStyle name="Normal 2 2 2 6 3 3" xfId="21505" xr:uid="{00000000-0005-0000-0000-0000F9530000}"/>
    <cellStyle name="Normal 2 2 2 6 3 4" xfId="21506" xr:uid="{00000000-0005-0000-0000-0000FA530000}"/>
    <cellStyle name="Normal 2 2 2 6 3 5" xfId="21507" xr:uid="{00000000-0005-0000-0000-0000FB530000}"/>
    <cellStyle name="Normal 2 2 2 6 3 6" xfId="21508" xr:uid="{00000000-0005-0000-0000-0000FC530000}"/>
    <cellStyle name="Normal 2 2 2 6 3 7" xfId="21509" xr:uid="{00000000-0005-0000-0000-0000FD530000}"/>
    <cellStyle name="Normal 2 2 2 6 3 8" xfId="21510" xr:uid="{00000000-0005-0000-0000-0000FE530000}"/>
    <cellStyle name="Normal 2 2 2 6 3 9" xfId="21511" xr:uid="{00000000-0005-0000-0000-0000FF530000}"/>
    <cellStyle name="Normal 2 2 2 6 4" xfId="21512" xr:uid="{00000000-0005-0000-0000-000000540000}"/>
    <cellStyle name="Normal 2 2 2 6 4 10" xfId="21513" xr:uid="{00000000-0005-0000-0000-000001540000}"/>
    <cellStyle name="Normal 2 2 2 6 4 2" xfId="21514" xr:uid="{00000000-0005-0000-0000-000002540000}"/>
    <cellStyle name="Normal 2 2 2 6 4 3" xfId="21515" xr:uid="{00000000-0005-0000-0000-000003540000}"/>
    <cellStyle name="Normal 2 2 2 6 4 4" xfId="21516" xr:uid="{00000000-0005-0000-0000-000004540000}"/>
    <cellStyle name="Normal 2 2 2 6 4 5" xfId="21517" xr:uid="{00000000-0005-0000-0000-000005540000}"/>
    <cellStyle name="Normal 2 2 2 6 4 6" xfId="21518" xr:uid="{00000000-0005-0000-0000-000006540000}"/>
    <cellStyle name="Normal 2 2 2 6 4 7" xfId="21519" xr:uid="{00000000-0005-0000-0000-000007540000}"/>
    <cellStyle name="Normal 2 2 2 6 4 8" xfId="21520" xr:uid="{00000000-0005-0000-0000-000008540000}"/>
    <cellStyle name="Normal 2 2 2 6 4 9" xfId="21521" xr:uid="{00000000-0005-0000-0000-000009540000}"/>
    <cellStyle name="Normal 2 2 2 6 5" xfId="21522" xr:uid="{00000000-0005-0000-0000-00000A540000}"/>
    <cellStyle name="Normal 2 2 2 6 5 10" xfId="21523" xr:uid="{00000000-0005-0000-0000-00000B540000}"/>
    <cellStyle name="Normal 2 2 2 6 5 2" xfId="21524" xr:uid="{00000000-0005-0000-0000-00000C540000}"/>
    <cellStyle name="Normal 2 2 2 6 5 3" xfId="21525" xr:uid="{00000000-0005-0000-0000-00000D540000}"/>
    <cellStyle name="Normal 2 2 2 6 5 4" xfId="21526" xr:uid="{00000000-0005-0000-0000-00000E540000}"/>
    <cellStyle name="Normal 2 2 2 6 5 5" xfId="21527" xr:uid="{00000000-0005-0000-0000-00000F540000}"/>
    <cellStyle name="Normal 2 2 2 6 5 6" xfId="21528" xr:uid="{00000000-0005-0000-0000-000010540000}"/>
    <cellStyle name="Normal 2 2 2 6 5 7" xfId="21529" xr:uid="{00000000-0005-0000-0000-000011540000}"/>
    <cellStyle name="Normal 2 2 2 6 5 8" xfId="21530" xr:uid="{00000000-0005-0000-0000-000012540000}"/>
    <cellStyle name="Normal 2 2 2 6 5 9" xfId="21531" xr:uid="{00000000-0005-0000-0000-000013540000}"/>
    <cellStyle name="Normal 2 2 2 6 6" xfId="21532" xr:uid="{00000000-0005-0000-0000-000014540000}"/>
    <cellStyle name="Normal 2 2 2 6 7" xfId="21533" xr:uid="{00000000-0005-0000-0000-000015540000}"/>
    <cellStyle name="Normal 2 2 2 6 8" xfId="21534" xr:uid="{00000000-0005-0000-0000-000016540000}"/>
    <cellStyle name="Normal 2 2 2 6 9" xfId="21535" xr:uid="{00000000-0005-0000-0000-000017540000}"/>
    <cellStyle name="Normal 2 2 2 7" xfId="21536" xr:uid="{00000000-0005-0000-0000-000018540000}"/>
    <cellStyle name="Normal 2 2 2 7 10" xfId="21537" xr:uid="{00000000-0005-0000-0000-000019540000}"/>
    <cellStyle name="Normal 2 2 2 7 11" xfId="21538" xr:uid="{00000000-0005-0000-0000-00001A540000}"/>
    <cellStyle name="Normal 2 2 2 7 12" xfId="21539" xr:uid="{00000000-0005-0000-0000-00001B540000}"/>
    <cellStyle name="Normal 2 2 2 7 13" xfId="21540" xr:uid="{00000000-0005-0000-0000-00001C540000}"/>
    <cellStyle name="Normal 2 2 2 7 14" xfId="21541" xr:uid="{00000000-0005-0000-0000-00001D540000}"/>
    <cellStyle name="Normal 2 2 2 7 15" xfId="21542" xr:uid="{00000000-0005-0000-0000-00001E540000}"/>
    <cellStyle name="Normal 2 2 2 7 16" xfId="21543" xr:uid="{00000000-0005-0000-0000-00001F540000}"/>
    <cellStyle name="Normal 2 2 2 7 2" xfId="21544" xr:uid="{00000000-0005-0000-0000-000020540000}"/>
    <cellStyle name="Normal 2 2 2 7 2 10" xfId="21545" xr:uid="{00000000-0005-0000-0000-000021540000}"/>
    <cellStyle name="Normal 2 2 2 7 2 2" xfId="21546" xr:uid="{00000000-0005-0000-0000-000022540000}"/>
    <cellStyle name="Normal 2 2 2 7 2 3" xfId="21547" xr:uid="{00000000-0005-0000-0000-000023540000}"/>
    <cellStyle name="Normal 2 2 2 7 2 4" xfId="21548" xr:uid="{00000000-0005-0000-0000-000024540000}"/>
    <cellStyle name="Normal 2 2 2 7 2 5" xfId="21549" xr:uid="{00000000-0005-0000-0000-000025540000}"/>
    <cellStyle name="Normal 2 2 2 7 2 6" xfId="21550" xr:uid="{00000000-0005-0000-0000-000026540000}"/>
    <cellStyle name="Normal 2 2 2 7 2 7" xfId="21551" xr:uid="{00000000-0005-0000-0000-000027540000}"/>
    <cellStyle name="Normal 2 2 2 7 2 8" xfId="21552" xr:uid="{00000000-0005-0000-0000-000028540000}"/>
    <cellStyle name="Normal 2 2 2 7 2 9" xfId="21553" xr:uid="{00000000-0005-0000-0000-000029540000}"/>
    <cellStyle name="Normal 2 2 2 7 3" xfId="21554" xr:uid="{00000000-0005-0000-0000-00002A540000}"/>
    <cellStyle name="Normal 2 2 2 7 3 10" xfId="21555" xr:uid="{00000000-0005-0000-0000-00002B540000}"/>
    <cellStyle name="Normal 2 2 2 7 3 2" xfId="21556" xr:uid="{00000000-0005-0000-0000-00002C540000}"/>
    <cellStyle name="Normal 2 2 2 7 3 3" xfId="21557" xr:uid="{00000000-0005-0000-0000-00002D540000}"/>
    <cellStyle name="Normal 2 2 2 7 3 4" xfId="21558" xr:uid="{00000000-0005-0000-0000-00002E540000}"/>
    <cellStyle name="Normal 2 2 2 7 3 5" xfId="21559" xr:uid="{00000000-0005-0000-0000-00002F540000}"/>
    <cellStyle name="Normal 2 2 2 7 3 6" xfId="21560" xr:uid="{00000000-0005-0000-0000-000030540000}"/>
    <cellStyle name="Normal 2 2 2 7 3 7" xfId="21561" xr:uid="{00000000-0005-0000-0000-000031540000}"/>
    <cellStyle name="Normal 2 2 2 7 3 8" xfId="21562" xr:uid="{00000000-0005-0000-0000-000032540000}"/>
    <cellStyle name="Normal 2 2 2 7 3 9" xfId="21563" xr:uid="{00000000-0005-0000-0000-000033540000}"/>
    <cellStyle name="Normal 2 2 2 7 4" xfId="21564" xr:uid="{00000000-0005-0000-0000-000034540000}"/>
    <cellStyle name="Normal 2 2 2 7 4 10" xfId="21565" xr:uid="{00000000-0005-0000-0000-000035540000}"/>
    <cellStyle name="Normal 2 2 2 7 4 2" xfId="21566" xr:uid="{00000000-0005-0000-0000-000036540000}"/>
    <cellStyle name="Normal 2 2 2 7 4 3" xfId="21567" xr:uid="{00000000-0005-0000-0000-000037540000}"/>
    <cellStyle name="Normal 2 2 2 7 4 4" xfId="21568" xr:uid="{00000000-0005-0000-0000-000038540000}"/>
    <cellStyle name="Normal 2 2 2 7 4 5" xfId="21569" xr:uid="{00000000-0005-0000-0000-000039540000}"/>
    <cellStyle name="Normal 2 2 2 7 4 6" xfId="21570" xr:uid="{00000000-0005-0000-0000-00003A540000}"/>
    <cellStyle name="Normal 2 2 2 7 4 7" xfId="21571" xr:uid="{00000000-0005-0000-0000-00003B540000}"/>
    <cellStyle name="Normal 2 2 2 7 4 8" xfId="21572" xr:uid="{00000000-0005-0000-0000-00003C540000}"/>
    <cellStyle name="Normal 2 2 2 7 4 9" xfId="21573" xr:uid="{00000000-0005-0000-0000-00003D540000}"/>
    <cellStyle name="Normal 2 2 2 7 5" xfId="21574" xr:uid="{00000000-0005-0000-0000-00003E540000}"/>
    <cellStyle name="Normal 2 2 2 7 5 10" xfId="21575" xr:uid="{00000000-0005-0000-0000-00003F540000}"/>
    <cellStyle name="Normal 2 2 2 7 5 2" xfId="21576" xr:uid="{00000000-0005-0000-0000-000040540000}"/>
    <cellStyle name="Normal 2 2 2 7 5 3" xfId="21577" xr:uid="{00000000-0005-0000-0000-000041540000}"/>
    <cellStyle name="Normal 2 2 2 7 5 4" xfId="21578" xr:uid="{00000000-0005-0000-0000-000042540000}"/>
    <cellStyle name="Normal 2 2 2 7 5 5" xfId="21579" xr:uid="{00000000-0005-0000-0000-000043540000}"/>
    <cellStyle name="Normal 2 2 2 7 5 6" xfId="21580" xr:uid="{00000000-0005-0000-0000-000044540000}"/>
    <cellStyle name="Normal 2 2 2 7 5 7" xfId="21581" xr:uid="{00000000-0005-0000-0000-000045540000}"/>
    <cellStyle name="Normal 2 2 2 7 5 8" xfId="21582" xr:uid="{00000000-0005-0000-0000-000046540000}"/>
    <cellStyle name="Normal 2 2 2 7 5 9" xfId="21583" xr:uid="{00000000-0005-0000-0000-000047540000}"/>
    <cellStyle name="Normal 2 2 2 7 6" xfId="21584" xr:uid="{00000000-0005-0000-0000-000048540000}"/>
    <cellStyle name="Normal 2 2 2 7 7" xfId="21585" xr:uid="{00000000-0005-0000-0000-000049540000}"/>
    <cellStyle name="Normal 2 2 2 7 8" xfId="21586" xr:uid="{00000000-0005-0000-0000-00004A540000}"/>
    <cellStyle name="Normal 2 2 2 7 9" xfId="21587" xr:uid="{00000000-0005-0000-0000-00004B540000}"/>
    <cellStyle name="Normal 2 2 2 8" xfId="21588" xr:uid="{00000000-0005-0000-0000-00004C540000}"/>
    <cellStyle name="Normal 2 2 2 8 10" xfId="21589" xr:uid="{00000000-0005-0000-0000-00004D540000}"/>
    <cellStyle name="Normal 2 2 2 8 11" xfId="21590" xr:uid="{00000000-0005-0000-0000-00004E540000}"/>
    <cellStyle name="Normal 2 2 2 8 12" xfId="21591" xr:uid="{00000000-0005-0000-0000-00004F540000}"/>
    <cellStyle name="Normal 2 2 2 8 13" xfId="21592" xr:uid="{00000000-0005-0000-0000-000050540000}"/>
    <cellStyle name="Normal 2 2 2 8 14" xfId="21593" xr:uid="{00000000-0005-0000-0000-000051540000}"/>
    <cellStyle name="Normal 2 2 2 8 2" xfId="21594" xr:uid="{00000000-0005-0000-0000-000052540000}"/>
    <cellStyle name="Normal 2 2 2 8 2 10" xfId="21595" xr:uid="{00000000-0005-0000-0000-000053540000}"/>
    <cellStyle name="Normal 2 2 2 8 2 2" xfId="21596" xr:uid="{00000000-0005-0000-0000-000054540000}"/>
    <cellStyle name="Normal 2 2 2 8 2 3" xfId="21597" xr:uid="{00000000-0005-0000-0000-000055540000}"/>
    <cellStyle name="Normal 2 2 2 8 2 4" xfId="21598" xr:uid="{00000000-0005-0000-0000-000056540000}"/>
    <cellStyle name="Normal 2 2 2 8 2 5" xfId="21599" xr:uid="{00000000-0005-0000-0000-000057540000}"/>
    <cellStyle name="Normal 2 2 2 8 2 6" xfId="21600" xr:uid="{00000000-0005-0000-0000-000058540000}"/>
    <cellStyle name="Normal 2 2 2 8 2 7" xfId="21601" xr:uid="{00000000-0005-0000-0000-000059540000}"/>
    <cellStyle name="Normal 2 2 2 8 2 8" xfId="21602" xr:uid="{00000000-0005-0000-0000-00005A540000}"/>
    <cellStyle name="Normal 2 2 2 8 2 9" xfId="21603" xr:uid="{00000000-0005-0000-0000-00005B540000}"/>
    <cellStyle name="Normal 2 2 2 8 3" xfId="21604" xr:uid="{00000000-0005-0000-0000-00005C540000}"/>
    <cellStyle name="Normal 2 2 2 8 3 10" xfId="21605" xr:uid="{00000000-0005-0000-0000-00005D540000}"/>
    <cellStyle name="Normal 2 2 2 8 3 2" xfId="21606" xr:uid="{00000000-0005-0000-0000-00005E540000}"/>
    <cellStyle name="Normal 2 2 2 8 3 3" xfId="21607" xr:uid="{00000000-0005-0000-0000-00005F540000}"/>
    <cellStyle name="Normal 2 2 2 8 3 4" xfId="21608" xr:uid="{00000000-0005-0000-0000-000060540000}"/>
    <cellStyle name="Normal 2 2 2 8 3 5" xfId="21609" xr:uid="{00000000-0005-0000-0000-000061540000}"/>
    <cellStyle name="Normal 2 2 2 8 3 6" xfId="21610" xr:uid="{00000000-0005-0000-0000-000062540000}"/>
    <cellStyle name="Normal 2 2 2 8 3 7" xfId="21611" xr:uid="{00000000-0005-0000-0000-000063540000}"/>
    <cellStyle name="Normal 2 2 2 8 3 8" xfId="21612" xr:uid="{00000000-0005-0000-0000-000064540000}"/>
    <cellStyle name="Normal 2 2 2 8 3 9" xfId="21613" xr:uid="{00000000-0005-0000-0000-000065540000}"/>
    <cellStyle name="Normal 2 2 2 8 4" xfId="21614" xr:uid="{00000000-0005-0000-0000-000066540000}"/>
    <cellStyle name="Normal 2 2 2 8 4 10" xfId="21615" xr:uid="{00000000-0005-0000-0000-000067540000}"/>
    <cellStyle name="Normal 2 2 2 8 4 2" xfId="21616" xr:uid="{00000000-0005-0000-0000-000068540000}"/>
    <cellStyle name="Normal 2 2 2 8 4 3" xfId="21617" xr:uid="{00000000-0005-0000-0000-000069540000}"/>
    <cellStyle name="Normal 2 2 2 8 4 4" xfId="21618" xr:uid="{00000000-0005-0000-0000-00006A540000}"/>
    <cellStyle name="Normal 2 2 2 8 4 5" xfId="21619" xr:uid="{00000000-0005-0000-0000-00006B540000}"/>
    <cellStyle name="Normal 2 2 2 8 4 6" xfId="21620" xr:uid="{00000000-0005-0000-0000-00006C540000}"/>
    <cellStyle name="Normal 2 2 2 8 4 7" xfId="21621" xr:uid="{00000000-0005-0000-0000-00006D540000}"/>
    <cellStyle name="Normal 2 2 2 8 4 8" xfId="21622" xr:uid="{00000000-0005-0000-0000-00006E540000}"/>
    <cellStyle name="Normal 2 2 2 8 4 9" xfId="21623" xr:uid="{00000000-0005-0000-0000-00006F540000}"/>
    <cellStyle name="Normal 2 2 2 8 5" xfId="21624" xr:uid="{00000000-0005-0000-0000-000070540000}"/>
    <cellStyle name="Normal 2 2 2 8 5 10" xfId="21625" xr:uid="{00000000-0005-0000-0000-000071540000}"/>
    <cellStyle name="Normal 2 2 2 8 5 2" xfId="21626" xr:uid="{00000000-0005-0000-0000-000072540000}"/>
    <cellStyle name="Normal 2 2 2 8 5 3" xfId="21627" xr:uid="{00000000-0005-0000-0000-000073540000}"/>
    <cellStyle name="Normal 2 2 2 8 5 4" xfId="21628" xr:uid="{00000000-0005-0000-0000-000074540000}"/>
    <cellStyle name="Normal 2 2 2 8 5 5" xfId="21629" xr:uid="{00000000-0005-0000-0000-000075540000}"/>
    <cellStyle name="Normal 2 2 2 8 5 6" xfId="21630" xr:uid="{00000000-0005-0000-0000-000076540000}"/>
    <cellStyle name="Normal 2 2 2 8 5 7" xfId="21631" xr:uid="{00000000-0005-0000-0000-000077540000}"/>
    <cellStyle name="Normal 2 2 2 8 5 8" xfId="21632" xr:uid="{00000000-0005-0000-0000-000078540000}"/>
    <cellStyle name="Normal 2 2 2 8 5 9" xfId="21633" xr:uid="{00000000-0005-0000-0000-000079540000}"/>
    <cellStyle name="Normal 2 2 2 8 6" xfId="21634" xr:uid="{00000000-0005-0000-0000-00007A540000}"/>
    <cellStyle name="Normal 2 2 2 8 7" xfId="21635" xr:uid="{00000000-0005-0000-0000-00007B540000}"/>
    <cellStyle name="Normal 2 2 2 8 8" xfId="21636" xr:uid="{00000000-0005-0000-0000-00007C540000}"/>
    <cellStyle name="Normal 2 2 2 8 9" xfId="21637" xr:uid="{00000000-0005-0000-0000-00007D540000}"/>
    <cellStyle name="Normal 2 2 2 9" xfId="21638" xr:uid="{00000000-0005-0000-0000-00007E540000}"/>
    <cellStyle name="Normal 2 2 2 9 10" xfId="21639" xr:uid="{00000000-0005-0000-0000-00007F540000}"/>
    <cellStyle name="Normal 2 2 2 9 11" xfId="21640" xr:uid="{00000000-0005-0000-0000-000080540000}"/>
    <cellStyle name="Normal 2 2 2 9 12" xfId="21641" xr:uid="{00000000-0005-0000-0000-000081540000}"/>
    <cellStyle name="Normal 2 2 2 9 13" xfId="21642" xr:uid="{00000000-0005-0000-0000-000082540000}"/>
    <cellStyle name="Normal 2 2 2 9 14" xfId="21643" xr:uid="{00000000-0005-0000-0000-000083540000}"/>
    <cellStyle name="Normal 2 2 2 9 2" xfId="21644" xr:uid="{00000000-0005-0000-0000-000084540000}"/>
    <cellStyle name="Normal 2 2 2 9 2 10" xfId="21645" xr:uid="{00000000-0005-0000-0000-000085540000}"/>
    <cellStyle name="Normal 2 2 2 9 2 2" xfId="21646" xr:uid="{00000000-0005-0000-0000-000086540000}"/>
    <cellStyle name="Normal 2 2 2 9 2 3" xfId="21647" xr:uid="{00000000-0005-0000-0000-000087540000}"/>
    <cellStyle name="Normal 2 2 2 9 2 4" xfId="21648" xr:uid="{00000000-0005-0000-0000-000088540000}"/>
    <cellStyle name="Normal 2 2 2 9 2 5" xfId="21649" xr:uid="{00000000-0005-0000-0000-000089540000}"/>
    <cellStyle name="Normal 2 2 2 9 2 6" xfId="21650" xr:uid="{00000000-0005-0000-0000-00008A540000}"/>
    <cellStyle name="Normal 2 2 2 9 2 7" xfId="21651" xr:uid="{00000000-0005-0000-0000-00008B540000}"/>
    <cellStyle name="Normal 2 2 2 9 2 8" xfId="21652" xr:uid="{00000000-0005-0000-0000-00008C540000}"/>
    <cellStyle name="Normal 2 2 2 9 2 9" xfId="21653" xr:uid="{00000000-0005-0000-0000-00008D540000}"/>
    <cellStyle name="Normal 2 2 2 9 3" xfId="21654" xr:uid="{00000000-0005-0000-0000-00008E540000}"/>
    <cellStyle name="Normal 2 2 2 9 3 10" xfId="21655" xr:uid="{00000000-0005-0000-0000-00008F540000}"/>
    <cellStyle name="Normal 2 2 2 9 3 2" xfId="21656" xr:uid="{00000000-0005-0000-0000-000090540000}"/>
    <cellStyle name="Normal 2 2 2 9 3 3" xfId="21657" xr:uid="{00000000-0005-0000-0000-000091540000}"/>
    <cellStyle name="Normal 2 2 2 9 3 4" xfId="21658" xr:uid="{00000000-0005-0000-0000-000092540000}"/>
    <cellStyle name="Normal 2 2 2 9 3 5" xfId="21659" xr:uid="{00000000-0005-0000-0000-000093540000}"/>
    <cellStyle name="Normal 2 2 2 9 3 6" xfId="21660" xr:uid="{00000000-0005-0000-0000-000094540000}"/>
    <cellStyle name="Normal 2 2 2 9 3 7" xfId="21661" xr:uid="{00000000-0005-0000-0000-000095540000}"/>
    <cellStyle name="Normal 2 2 2 9 3 8" xfId="21662" xr:uid="{00000000-0005-0000-0000-000096540000}"/>
    <cellStyle name="Normal 2 2 2 9 3 9" xfId="21663" xr:uid="{00000000-0005-0000-0000-000097540000}"/>
    <cellStyle name="Normal 2 2 2 9 4" xfId="21664" xr:uid="{00000000-0005-0000-0000-000098540000}"/>
    <cellStyle name="Normal 2 2 2 9 4 10" xfId="21665" xr:uid="{00000000-0005-0000-0000-000099540000}"/>
    <cellStyle name="Normal 2 2 2 9 4 2" xfId="21666" xr:uid="{00000000-0005-0000-0000-00009A540000}"/>
    <cellStyle name="Normal 2 2 2 9 4 3" xfId="21667" xr:uid="{00000000-0005-0000-0000-00009B540000}"/>
    <cellStyle name="Normal 2 2 2 9 4 4" xfId="21668" xr:uid="{00000000-0005-0000-0000-00009C540000}"/>
    <cellStyle name="Normal 2 2 2 9 4 5" xfId="21669" xr:uid="{00000000-0005-0000-0000-00009D540000}"/>
    <cellStyle name="Normal 2 2 2 9 4 6" xfId="21670" xr:uid="{00000000-0005-0000-0000-00009E540000}"/>
    <cellStyle name="Normal 2 2 2 9 4 7" xfId="21671" xr:uid="{00000000-0005-0000-0000-00009F540000}"/>
    <cellStyle name="Normal 2 2 2 9 4 8" xfId="21672" xr:uid="{00000000-0005-0000-0000-0000A0540000}"/>
    <cellStyle name="Normal 2 2 2 9 4 9" xfId="21673" xr:uid="{00000000-0005-0000-0000-0000A1540000}"/>
    <cellStyle name="Normal 2 2 2 9 5" xfId="21674" xr:uid="{00000000-0005-0000-0000-0000A2540000}"/>
    <cellStyle name="Normal 2 2 2 9 5 10" xfId="21675" xr:uid="{00000000-0005-0000-0000-0000A3540000}"/>
    <cellStyle name="Normal 2 2 2 9 5 2" xfId="21676" xr:uid="{00000000-0005-0000-0000-0000A4540000}"/>
    <cellStyle name="Normal 2 2 2 9 5 3" xfId="21677" xr:uid="{00000000-0005-0000-0000-0000A5540000}"/>
    <cellStyle name="Normal 2 2 2 9 5 4" xfId="21678" xr:uid="{00000000-0005-0000-0000-0000A6540000}"/>
    <cellStyle name="Normal 2 2 2 9 5 5" xfId="21679" xr:uid="{00000000-0005-0000-0000-0000A7540000}"/>
    <cellStyle name="Normal 2 2 2 9 5 6" xfId="21680" xr:uid="{00000000-0005-0000-0000-0000A8540000}"/>
    <cellStyle name="Normal 2 2 2 9 5 7" xfId="21681" xr:uid="{00000000-0005-0000-0000-0000A9540000}"/>
    <cellStyle name="Normal 2 2 2 9 5 8" xfId="21682" xr:uid="{00000000-0005-0000-0000-0000AA540000}"/>
    <cellStyle name="Normal 2 2 2 9 5 9" xfId="21683" xr:uid="{00000000-0005-0000-0000-0000AB540000}"/>
    <cellStyle name="Normal 2 2 2 9 6" xfId="21684" xr:uid="{00000000-0005-0000-0000-0000AC540000}"/>
    <cellStyle name="Normal 2 2 2 9 7" xfId="21685" xr:uid="{00000000-0005-0000-0000-0000AD540000}"/>
    <cellStyle name="Normal 2 2 2 9 8" xfId="21686" xr:uid="{00000000-0005-0000-0000-0000AE540000}"/>
    <cellStyle name="Normal 2 2 2 9 9" xfId="21687" xr:uid="{00000000-0005-0000-0000-0000AF540000}"/>
    <cellStyle name="Normal 2 2 20" xfId="21688" xr:uid="{00000000-0005-0000-0000-0000B0540000}"/>
    <cellStyle name="Normal 2 2 21" xfId="21689" xr:uid="{00000000-0005-0000-0000-0000B1540000}"/>
    <cellStyle name="Normal 2 2 22" xfId="21690" xr:uid="{00000000-0005-0000-0000-0000B2540000}"/>
    <cellStyle name="Normal 2 2 23" xfId="21691" xr:uid="{00000000-0005-0000-0000-0000B3540000}"/>
    <cellStyle name="Normal 2 2 24" xfId="21692" xr:uid="{00000000-0005-0000-0000-0000B4540000}"/>
    <cellStyle name="Normal 2 2 25" xfId="21693" xr:uid="{00000000-0005-0000-0000-0000B5540000}"/>
    <cellStyle name="Normal 2 2 26" xfId="21694" xr:uid="{00000000-0005-0000-0000-0000B6540000}"/>
    <cellStyle name="Normal 2 2 27" xfId="21695" xr:uid="{00000000-0005-0000-0000-0000B7540000}"/>
    <cellStyle name="Normal 2 2 28" xfId="21696" xr:uid="{00000000-0005-0000-0000-0000B8540000}"/>
    <cellStyle name="Normal 2 2 29" xfId="21697" xr:uid="{00000000-0005-0000-0000-0000B9540000}"/>
    <cellStyle name="Normal 2 2 3" xfId="21698" xr:uid="{00000000-0005-0000-0000-0000BA540000}"/>
    <cellStyle name="Normal 2 2 3 2" xfId="21699" xr:uid="{00000000-0005-0000-0000-0000BB540000}"/>
    <cellStyle name="Normal 2 2 3 3" xfId="21700" xr:uid="{00000000-0005-0000-0000-0000BC540000}"/>
    <cellStyle name="Normal 2 2 3 4" xfId="21701" xr:uid="{00000000-0005-0000-0000-0000BD540000}"/>
    <cellStyle name="Normal 2 2 30" xfId="21702" xr:uid="{00000000-0005-0000-0000-0000BE540000}"/>
    <cellStyle name="Normal 2 2 31" xfId="21703" xr:uid="{00000000-0005-0000-0000-0000BF540000}"/>
    <cellStyle name="Normal 2 2 32" xfId="21704" xr:uid="{00000000-0005-0000-0000-0000C0540000}"/>
    <cellStyle name="Normal 2 2 33" xfId="21705" xr:uid="{00000000-0005-0000-0000-0000C1540000}"/>
    <cellStyle name="Normal 2 2 34" xfId="21706" xr:uid="{00000000-0005-0000-0000-0000C2540000}"/>
    <cellStyle name="Normal 2 2 35" xfId="21707" xr:uid="{00000000-0005-0000-0000-0000C3540000}"/>
    <cellStyle name="Normal 2 2 36" xfId="21708" xr:uid="{00000000-0005-0000-0000-0000C4540000}"/>
    <cellStyle name="Normal 2 2 37" xfId="21709" xr:uid="{00000000-0005-0000-0000-0000C5540000}"/>
    <cellStyle name="Normal 2 2 38" xfId="21710" xr:uid="{00000000-0005-0000-0000-0000C6540000}"/>
    <cellStyle name="Normal 2 2 39" xfId="21711" xr:uid="{00000000-0005-0000-0000-0000C7540000}"/>
    <cellStyle name="Normal 2 2 4" xfId="17" xr:uid="{00000000-0005-0000-0000-0000C8540000}"/>
    <cellStyle name="Normal 2 2 4 10" xfId="21712" xr:uid="{00000000-0005-0000-0000-0000C9540000}"/>
    <cellStyle name="Normal 2 2 4 10 10" xfId="21713" xr:uid="{00000000-0005-0000-0000-0000CA540000}"/>
    <cellStyle name="Normal 2 2 4 10 11" xfId="21714" xr:uid="{00000000-0005-0000-0000-0000CB540000}"/>
    <cellStyle name="Normal 2 2 4 10 12" xfId="21715" xr:uid="{00000000-0005-0000-0000-0000CC540000}"/>
    <cellStyle name="Normal 2 2 4 10 13" xfId="21716" xr:uid="{00000000-0005-0000-0000-0000CD540000}"/>
    <cellStyle name="Normal 2 2 4 10 14" xfId="21717" xr:uid="{00000000-0005-0000-0000-0000CE540000}"/>
    <cellStyle name="Normal 2 2 4 10 2" xfId="21718" xr:uid="{00000000-0005-0000-0000-0000CF540000}"/>
    <cellStyle name="Normal 2 2 4 10 2 10" xfId="21719" xr:uid="{00000000-0005-0000-0000-0000D0540000}"/>
    <cellStyle name="Normal 2 2 4 10 2 2" xfId="21720" xr:uid="{00000000-0005-0000-0000-0000D1540000}"/>
    <cellStyle name="Normal 2 2 4 10 2 3" xfId="21721" xr:uid="{00000000-0005-0000-0000-0000D2540000}"/>
    <cellStyle name="Normal 2 2 4 10 2 4" xfId="21722" xr:uid="{00000000-0005-0000-0000-0000D3540000}"/>
    <cellStyle name="Normal 2 2 4 10 2 5" xfId="21723" xr:uid="{00000000-0005-0000-0000-0000D4540000}"/>
    <cellStyle name="Normal 2 2 4 10 2 6" xfId="21724" xr:uid="{00000000-0005-0000-0000-0000D5540000}"/>
    <cellStyle name="Normal 2 2 4 10 2 7" xfId="21725" xr:uid="{00000000-0005-0000-0000-0000D6540000}"/>
    <cellStyle name="Normal 2 2 4 10 2 8" xfId="21726" xr:uid="{00000000-0005-0000-0000-0000D7540000}"/>
    <cellStyle name="Normal 2 2 4 10 2 9" xfId="21727" xr:uid="{00000000-0005-0000-0000-0000D8540000}"/>
    <cellStyle name="Normal 2 2 4 10 3" xfId="21728" xr:uid="{00000000-0005-0000-0000-0000D9540000}"/>
    <cellStyle name="Normal 2 2 4 10 3 10" xfId="21729" xr:uid="{00000000-0005-0000-0000-0000DA540000}"/>
    <cellStyle name="Normal 2 2 4 10 3 2" xfId="21730" xr:uid="{00000000-0005-0000-0000-0000DB540000}"/>
    <cellStyle name="Normal 2 2 4 10 3 3" xfId="21731" xr:uid="{00000000-0005-0000-0000-0000DC540000}"/>
    <cellStyle name="Normal 2 2 4 10 3 4" xfId="21732" xr:uid="{00000000-0005-0000-0000-0000DD540000}"/>
    <cellStyle name="Normal 2 2 4 10 3 5" xfId="21733" xr:uid="{00000000-0005-0000-0000-0000DE540000}"/>
    <cellStyle name="Normal 2 2 4 10 3 6" xfId="21734" xr:uid="{00000000-0005-0000-0000-0000DF540000}"/>
    <cellStyle name="Normal 2 2 4 10 3 7" xfId="21735" xr:uid="{00000000-0005-0000-0000-0000E0540000}"/>
    <cellStyle name="Normal 2 2 4 10 3 8" xfId="21736" xr:uid="{00000000-0005-0000-0000-0000E1540000}"/>
    <cellStyle name="Normal 2 2 4 10 3 9" xfId="21737" xr:uid="{00000000-0005-0000-0000-0000E2540000}"/>
    <cellStyle name="Normal 2 2 4 10 4" xfId="21738" xr:uid="{00000000-0005-0000-0000-0000E3540000}"/>
    <cellStyle name="Normal 2 2 4 10 4 10" xfId="21739" xr:uid="{00000000-0005-0000-0000-0000E4540000}"/>
    <cellStyle name="Normal 2 2 4 10 4 2" xfId="21740" xr:uid="{00000000-0005-0000-0000-0000E5540000}"/>
    <cellStyle name="Normal 2 2 4 10 4 3" xfId="21741" xr:uid="{00000000-0005-0000-0000-0000E6540000}"/>
    <cellStyle name="Normal 2 2 4 10 4 4" xfId="21742" xr:uid="{00000000-0005-0000-0000-0000E7540000}"/>
    <cellStyle name="Normal 2 2 4 10 4 5" xfId="21743" xr:uid="{00000000-0005-0000-0000-0000E8540000}"/>
    <cellStyle name="Normal 2 2 4 10 4 6" xfId="21744" xr:uid="{00000000-0005-0000-0000-0000E9540000}"/>
    <cellStyle name="Normal 2 2 4 10 4 7" xfId="21745" xr:uid="{00000000-0005-0000-0000-0000EA540000}"/>
    <cellStyle name="Normal 2 2 4 10 4 8" xfId="21746" xr:uid="{00000000-0005-0000-0000-0000EB540000}"/>
    <cellStyle name="Normal 2 2 4 10 4 9" xfId="21747" xr:uid="{00000000-0005-0000-0000-0000EC540000}"/>
    <cellStyle name="Normal 2 2 4 10 5" xfId="21748" xr:uid="{00000000-0005-0000-0000-0000ED540000}"/>
    <cellStyle name="Normal 2 2 4 10 5 10" xfId="21749" xr:uid="{00000000-0005-0000-0000-0000EE540000}"/>
    <cellStyle name="Normal 2 2 4 10 5 2" xfId="21750" xr:uid="{00000000-0005-0000-0000-0000EF540000}"/>
    <cellStyle name="Normal 2 2 4 10 5 3" xfId="21751" xr:uid="{00000000-0005-0000-0000-0000F0540000}"/>
    <cellStyle name="Normal 2 2 4 10 5 4" xfId="21752" xr:uid="{00000000-0005-0000-0000-0000F1540000}"/>
    <cellStyle name="Normal 2 2 4 10 5 5" xfId="21753" xr:uid="{00000000-0005-0000-0000-0000F2540000}"/>
    <cellStyle name="Normal 2 2 4 10 5 6" xfId="21754" xr:uid="{00000000-0005-0000-0000-0000F3540000}"/>
    <cellStyle name="Normal 2 2 4 10 5 7" xfId="21755" xr:uid="{00000000-0005-0000-0000-0000F4540000}"/>
    <cellStyle name="Normal 2 2 4 10 5 8" xfId="21756" xr:uid="{00000000-0005-0000-0000-0000F5540000}"/>
    <cellStyle name="Normal 2 2 4 10 5 9" xfId="21757" xr:uid="{00000000-0005-0000-0000-0000F6540000}"/>
    <cellStyle name="Normal 2 2 4 10 6" xfId="21758" xr:uid="{00000000-0005-0000-0000-0000F7540000}"/>
    <cellStyle name="Normal 2 2 4 10 7" xfId="21759" xr:uid="{00000000-0005-0000-0000-0000F8540000}"/>
    <cellStyle name="Normal 2 2 4 10 8" xfId="21760" xr:uid="{00000000-0005-0000-0000-0000F9540000}"/>
    <cellStyle name="Normal 2 2 4 10 9" xfId="21761" xr:uid="{00000000-0005-0000-0000-0000FA540000}"/>
    <cellStyle name="Normal 2 2 4 11" xfId="21762" xr:uid="{00000000-0005-0000-0000-0000FB540000}"/>
    <cellStyle name="Normal 2 2 4 11 10" xfId="21763" xr:uid="{00000000-0005-0000-0000-0000FC540000}"/>
    <cellStyle name="Normal 2 2 4 11 11" xfId="21764" xr:uid="{00000000-0005-0000-0000-0000FD540000}"/>
    <cellStyle name="Normal 2 2 4 11 12" xfId="21765" xr:uid="{00000000-0005-0000-0000-0000FE540000}"/>
    <cellStyle name="Normal 2 2 4 11 13" xfId="21766" xr:uid="{00000000-0005-0000-0000-0000FF540000}"/>
    <cellStyle name="Normal 2 2 4 11 14" xfId="21767" xr:uid="{00000000-0005-0000-0000-000000550000}"/>
    <cellStyle name="Normal 2 2 4 11 2" xfId="21768" xr:uid="{00000000-0005-0000-0000-000001550000}"/>
    <cellStyle name="Normal 2 2 4 11 2 10" xfId="21769" xr:uid="{00000000-0005-0000-0000-000002550000}"/>
    <cellStyle name="Normal 2 2 4 11 2 2" xfId="21770" xr:uid="{00000000-0005-0000-0000-000003550000}"/>
    <cellStyle name="Normal 2 2 4 11 2 3" xfId="21771" xr:uid="{00000000-0005-0000-0000-000004550000}"/>
    <cellStyle name="Normal 2 2 4 11 2 4" xfId="21772" xr:uid="{00000000-0005-0000-0000-000005550000}"/>
    <cellStyle name="Normal 2 2 4 11 2 5" xfId="21773" xr:uid="{00000000-0005-0000-0000-000006550000}"/>
    <cellStyle name="Normal 2 2 4 11 2 6" xfId="21774" xr:uid="{00000000-0005-0000-0000-000007550000}"/>
    <cellStyle name="Normal 2 2 4 11 2 7" xfId="21775" xr:uid="{00000000-0005-0000-0000-000008550000}"/>
    <cellStyle name="Normal 2 2 4 11 2 8" xfId="21776" xr:uid="{00000000-0005-0000-0000-000009550000}"/>
    <cellStyle name="Normal 2 2 4 11 2 9" xfId="21777" xr:uid="{00000000-0005-0000-0000-00000A550000}"/>
    <cellStyle name="Normal 2 2 4 11 3" xfId="21778" xr:uid="{00000000-0005-0000-0000-00000B550000}"/>
    <cellStyle name="Normal 2 2 4 11 3 10" xfId="21779" xr:uid="{00000000-0005-0000-0000-00000C550000}"/>
    <cellStyle name="Normal 2 2 4 11 3 2" xfId="21780" xr:uid="{00000000-0005-0000-0000-00000D550000}"/>
    <cellStyle name="Normal 2 2 4 11 3 3" xfId="21781" xr:uid="{00000000-0005-0000-0000-00000E550000}"/>
    <cellStyle name="Normal 2 2 4 11 3 4" xfId="21782" xr:uid="{00000000-0005-0000-0000-00000F550000}"/>
    <cellStyle name="Normal 2 2 4 11 3 5" xfId="21783" xr:uid="{00000000-0005-0000-0000-000010550000}"/>
    <cellStyle name="Normal 2 2 4 11 3 6" xfId="21784" xr:uid="{00000000-0005-0000-0000-000011550000}"/>
    <cellStyle name="Normal 2 2 4 11 3 7" xfId="21785" xr:uid="{00000000-0005-0000-0000-000012550000}"/>
    <cellStyle name="Normal 2 2 4 11 3 8" xfId="21786" xr:uid="{00000000-0005-0000-0000-000013550000}"/>
    <cellStyle name="Normal 2 2 4 11 3 9" xfId="21787" xr:uid="{00000000-0005-0000-0000-000014550000}"/>
    <cellStyle name="Normal 2 2 4 11 4" xfId="21788" xr:uid="{00000000-0005-0000-0000-000015550000}"/>
    <cellStyle name="Normal 2 2 4 11 4 10" xfId="21789" xr:uid="{00000000-0005-0000-0000-000016550000}"/>
    <cellStyle name="Normal 2 2 4 11 4 2" xfId="21790" xr:uid="{00000000-0005-0000-0000-000017550000}"/>
    <cellStyle name="Normal 2 2 4 11 4 3" xfId="21791" xr:uid="{00000000-0005-0000-0000-000018550000}"/>
    <cellStyle name="Normal 2 2 4 11 4 4" xfId="21792" xr:uid="{00000000-0005-0000-0000-000019550000}"/>
    <cellStyle name="Normal 2 2 4 11 4 5" xfId="21793" xr:uid="{00000000-0005-0000-0000-00001A550000}"/>
    <cellStyle name="Normal 2 2 4 11 4 6" xfId="21794" xr:uid="{00000000-0005-0000-0000-00001B550000}"/>
    <cellStyle name="Normal 2 2 4 11 4 7" xfId="21795" xr:uid="{00000000-0005-0000-0000-00001C550000}"/>
    <cellStyle name="Normal 2 2 4 11 4 8" xfId="21796" xr:uid="{00000000-0005-0000-0000-00001D550000}"/>
    <cellStyle name="Normal 2 2 4 11 4 9" xfId="21797" xr:uid="{00000000-0005-0000-0000-00001E550000}"/>
    <cellStyle name="Normal 2 2 4 11 5" xfId="21798" xr:uid="{00000000-0005-0000-0000-00001F550000}"/>
    <cellStyle name="Normal 2 2 4 11 5 10" xfId="21799" xr:uid="{00000000-0005-0000-0000-000020550000}"/>
    <cellStyle name="Normal 2 2 4 11 5 2" xfId="21800" xr:uid="{00000000-0005-0000-0000-000021550000}"/>
    <cellStyle name="Normal 2 2 4 11 5 3" xfId="21801" xr:uid="{00000000-0005-0000-0000-000022550000}"/>
    <cellStyle name="Normal 2 2 4 11 5 4" xfId="21802" xr:uid="{00000000-0005-0000-0000-000023550000}"/>
    <cellStyle name="Normal 2 2 4 11 5 5" xfId="21803" xr:uid="{00000000-0005-0000-0000-000024550000}"/>
    <cellStyle name="Normal 2 2 4 11 5 6" xfId="21804" xr:uid="{00000000-0005-0000-0000-000025550000}"/>
    <cellStyle name="Normal 2 2 4 11 5 7" xfId="21805" xr:uid="{00000000-0005-0000-0000-000026550000}"/>
    <cellStyle name="Normal 2 2 4 11 5 8" xfId="21806" xr:uid="{00000000-0005-0000-0000-000027550000}"/>
    <cellStyle name="Normal 2 2 4 11 5 9" xfId="21807" xr:uid="{00000000-0005-0000-0000-000028550000}"/>
    <cellStyle name="Normal 2 2 4 11 6" xfId="21808" xr:uid="{00000000-0005-0000-0000-000029550000}"/>
    <cellStyle name="Normal 2 2 4 11 7" xfId="21809" xr:uid="{00000000-0005-0000-0000-00002A550000}"/>
    <cellStyle name="Normal 2 2 4 11 8" xfId="21810" xr:uid="{00000000-0005-0000-0000-00002B550000}"/>
    <cellStyle name="Normal 2 2 4 11 9" xfId="21811" xr:uid="{00000000-0005-0000-0000-00002C550000}"/>
    <cellStyle name="Normal 2 2 4 12" xfId="21812" xr:uid="{00000000-0005-0000-0000-00002D550000}"/>
    <cellStyle name="Normal 2 2 4 12 10" xfId="21813" xr:uid="{00000000-0005-0000-0000-00002E550000}"/>
    <cellStyle name="Normal 2 2 4 12 11" xfId="21814" xr:uid="{00000000-0005-0000-0000-00002F550000}"/>
    <cellStyle name="Normal 2 2 4 12 12" xfId="21815" xr:uid="{00000000-0005-0000-0000-000030550000}"/>
    <cellStyle name="Normal 2 2 4 12 13" xfId="21816" xr:uid="{00000000-0005-0000-0000-000031550000}"/>
    <cellStyle name="Normal 2 2 4 12 14" xfId="21817" xr:uid="{00000000-0005-0000-0000-000032550000}"/>
    <cellStyle name="Normal 2 2 4 12 2" xfId="21818" xr:uid="{00000000-0005-0000-0000-000033550000}"/>
    <cellStyle name="Normal 2 2 4 12 2 10" xfId="21819" xr:uid="{00000000-0005-0000-0000-000034550000}"/>
    <cellStyle name="Normal 2 2 4 12 2 2" xfId="21820" xr:uid="{00000000-0005-0000-0000-000035550000}"/>
    <cellStyle name="Normal 2 2 4 12 2 3" xfId="21821" xr:uid="{00000000-0005-0000-0000-000036550000}"/>
    <cellStyle name="Normal 2 2 4 12 2 4" xfId="21822" xr:uid="{00000000-0005-0000-0000-000037550000}"/>
    <cellStyle name="Normal 2 2 4 12 2 5" xfId="21823" xr:uid="{00000000-0005-0000-0000-000038550000}"/>
    <cellStyle name="Normal 2 2 4 12 2 6" xfId="21824" xr:uid="{00000000-0005-0000-0000-000039550000}"/>
    <cellStyle name="Normal 2 2 4 12 2 7" xfId="21825" xr:uid="{00000000-0005-0000-0000-00003A550000}"/>
    <cellStyle name="Normal 2 2 4 12 2 8" xfId="21826" xr:uid="{00000000-0005-0000-0000-00003B550000}"/>
    <cellStyle name="Normal 2 2 4 12 2 9" xfId="21827" xr:uid="{00000000-0005-0000-0000-00003C550000}"/>
    <cellStyle name="Normal 2 2 4 12 3" xfId="21828" xr:uid="{00000000-0005-0000-0000-00003D550000}"/>
    <cellStyle name="Normal 2 2 4 12 3 10" xfId="21829" xr:uid="{00000000-0005-0000-0000-00003E550000}"/>
    <cellStyle name="Normal 2 2 4 12 3 2" xfId="21830" xr:uid="{00000000-0005-0000-0000-00003F550000}"/>
    <cellStyle name="Normal 2 2 4 12 3 3" xfId="21831" xr:uid="{00000000-0005-0000-0000-000040550000}"/>
    <cellStyle name="Normal 2 2 4 12 3 4" xfId="21832" xr:uid="{00000000-0005-0000-0000-000041550000}"/>
    <cellStyle name="Normal 2 2 4 12 3 5" xfId="21833" xr:uid="{00000000-0005-0000-0000-000042550000}"/>
    <cellStyle name="Normal 2 2 4 12 3 6" xfId="21834" xr:uid="{00000000-0005-0000-0000-000043550000}"/>
    <cellStyle name="Normal 2 2 4 12 3 7" xfId="21835" xr:uid="{00000000-0005-0000-0000-000044550000}"/>
    <cellStyle name="Normal 2 2 4 12 3 8" xfId="21836" xr:uid="{00000000-0005-0000-0000-000045550000}"/>
    <cellStyle name="Normal 2 2 4 12 3 9" xfId="21837" xr:uid="{00000000-0005-0000-0000-000046550000}"/>
    <cellStyle name="Normal 2 2 4 12 4" xfId="21838" xr:uid="{00000000-0005-0000-0000-000047550000}"/>
    <cellStyle name="Normal 2 2 4 12 4 10" xfId="21839" xr:uid="{00000000-0005-0000-0000-000048550000}"/>
    <cellStyle name="Normal 2 2 4 12 4 2" xfId="21840" xr:uid="{00000000-0005-0000-0000-000049550000}"/>
    <cellStyle name="Normal 2 2 4 12 4 3" xfId="21841" xr:uid="{00000000-0005-0000-0000-00004A550000}"/>
    <cellStyle name="Normal 2 2 4 12 4 4" xfId="21842" xr:uid="{00000000-0005-0000-0000-00004B550000}"/>
    <cellStyle name="Normal 2 2 4 12 4 5" xfId="21843" xr:uid="{00000000-0005-0000-0000-00004C550000}"/>
    <cellStyle name="Normal 2 2 4 12 4 6" xfId="21844" xr:uid="{00000000-0005-0000-0000-00004D550000}"/>
    <cellStyle name="Normal 2 2 4 12 4 7" xfId="21845" xr:uid="{00000000-0005-0000-0000-00004E550000}"/>
    <cellStyle name="Normal 2 2 4 12 4 8" xfId="21846" xr:uid="{00000000-0005-0000-0000-00004F550000}"/>
    <cellStyle name="Normal 2 2 4 12 4 9" xfId="21847" xr:uid="{00000000-0005-0000-0000-000050550000}"/>
    <cellStyle name="Normal 2 2 4 12 5" xfId="21848" xr:uid="{00000000-0005-0000-0000-000051550000}"/>
    <cellStyle name="Normal 2 2 4 12 5 10" xfId="21849" xr:uid="{00000000-0005-0000-0000-000052550000}"/>
    <cellStyle name="Normal 2 2 4 12 5 2" xfId="21850" xr:uid="{00000000-0005-0000-0000-000053550000}"/>
    <cellStyle name="Normal 2 2 4 12 5 3" xfId="21851" xr:uid="{00000000-0005-0000-0000-000054550000}"/>
    <cellStyle name="Normal 2 2 4 12 5 4" xfId="21852" xr:uid="{00000000-0005-0000-0000-000055550000}"/>
    <cellStyle name="Normal 2 2 4 12 5 5" xfId="21853" xr:uid="{00000000-0005-0000-0000-000056550000}"/>
    <cellStyle name="Normal 2 2 4 12 5 6" xfId="21854" xr:uid="{00000000-0005-0000-0000-000057550000}"/>
    <cellStyle name="Normal 2 2 4 12 5 7" xfId="21855" xr:uid="{00000000-0005-0000-0000-000058550000}"/>
    <cellStyle name="Normal 2 2 4 12 5 8" xfId="21856" xr:uid="{00000000-0005-0000-0000-000059550000}"/>
    <cellStyle name="Normal 2 2 4 12 5 9" xfId="21857" xr:uid="{00000000-0005-0000-0000-00005A550000}"/>
    <cellStyle name="Normal 2 2 4 12 6" xfId="21858" xr:uid="{00000000-0005-0000-0000-00005B550000}"/>
    <cellStyle name="Normal 2 2 4 12 7" xfId="21859" xr:uid="{00000000-0005-0000-0000-00005C550000}"/>
    <cellStyle name="Normal 2 2 4 12 8" xfId="21860" xr:uid="{00000000-0005-0000-0000-00005D550000}"/>
    <cellStyle name="Normal 2 2 4 12 9" xfId="21861" xr:uid="{00000000-0005-0000-0000-00005E550000}"/>
    <cellStyle name="Normal 2 2 4 13" xfId="21862" xr:uid="{00000000-0005-0000-0000-00005F550000}"/>
    <cellStyle name="Normal 2 2 4 13 10" xfId="21863" xr:uid="{00000000-0005-0000-0000-000060550000}"/>
    <cellStyle name="Normal 2 2 4 13 11" xfId="21864" xr:uid="{00000000-0005-0000-0000-000061550000}"/>
    <cellStyle name="Normal 2 2 4 13 12" xfId="21865" xr:uid="{00000000-0005-0000-0000-000062550000}"/>
    <cellStyle name="Normal 2 2 4 13 13" xfId="21866" xr:uid="{00000000-0005-0000-0000-000063550000}"/>
    <cellStyle name="Normal 2 2 4 13 14" xfId="21867" xr:uid="{00000000-0005-0000-0000-000064550000}"/>
    <cellStyle name="Normal 2 2 4 13 2" xfId="21868" xr:uid="{00000000-0005-0000-0000-000065550000}"/>
    <cellStyle name="Normal 2 2 4 13 2 10" xfId="21869" xr:uid="{00000000-0005-0000-0000-000066550000}"/>
    <cellStyle name="Normal 2 2 4 13 2 2" xfId="21870" xr:uid="{00000000-0005-0000-0000-000067550000}"/>
    <cellStyle name="Normal 2 2 4 13 2 3" xfId="21871" xr:uid="{00000000-0005-0000-0000-000068550000}"/>
    <cellStyle name="Normal 2 2 4 13 2 4" xfId="21872" xr:uid="{00000000-0005-0000-0000-000069550000}"/>
    <cellStyle name="Normal 2 2 4 13 2 5" xfId="21873" xr:uid="{00000000-0005-0000-0000-00006A550000}"/>
    <cellStyle name="Normal 2 2 4 13 2 6" xfId="21874" xr:uid="{00000000-0005-0000-0000-00006B550000}"/>
    <cellStyle name="Normal 2 2 4 13 2 7" xfId="21875" xr:uid="{00000000-0005-0000-0000-00006C550000}"/>
    <cellStyle name="Normal 2 2 4 13 2 8" xfId="21876" xr:uid="{00000000-0005-0000-0000-00006D550000}"/>
    <cellStyle name="Normal 2 2 4 13 2 9" xfId="21877" xr:uid="{00000000-0005-0000-0000-00006E550000}"/>
    <cellStyle name="Normal 2 2 4 13 3" xfId="21878" xr:uid="{00000000-0005-0000-0000-00006F550000}"/>
    <cellStyle name="Normal 2 2 4 13 3 10" xfId="21879" xr:uid="{00000000-0005-0000-0000-000070550000}"/>
    <cellStyle name="Normal 2 2 4 13 3 2" xfId="21880" xr:uid="{00000000-0005-0000-0000-000071550000}"/>
    <cellStyle name="Normal 2 2 4 13 3 3" xfId="21881" xr:uid="{00000000-0005-0000-0000-000072550000}"/>
    <cellStyle name="Normal 2 2 4 13 3 4" xfId="21882" xr:uid="{00000000-0005-0000-0000-000073550000}"/>
    <cellStyle name="Normal 2 2 4 13 3 5" xfId="21883" xr:uid="{00000000-0005-0000-0000-000074550000}"/>
    <cellStyle name="Normal 2 2 4 13 3 6" xfId="21884" xr:uid="{00000000-0005-0000-0000-000075550000}"/>
    <cellStyle name="Normal 2 2 4 13 3 7" xfId="21885" xr:uid="{00000000-0005-0000-0000-000076550000}"/>
    <cellStyle name="Normal 2 2 4 13 3 8" xfId="21886" xr:uid="{00000000-0005-0000-0000-000077550000}"/>
    <cellStyle name="Normal 2 2 4 13 3 9" xfId="21887" xr:uid="{00000000-0005-0000-0000-000078550000}"/>
    <cellStyle name="Normal 2 2 4 13 4" xfId="21888" xr:uid="{00000000-0005-0000-0000-000079550000}"/>
    <cellStyle name="Normal 2 2 4 13 4 10" xfId="21889" xr:uid="{00000000-0005-0000-0000-00007A550000}"/>
    <cellStyle name="Normal 2 2 4 13 4 2" xfId="21890" xr:uid="{00000000-0005-0000-0000-00007B550000}"/>
    <cellStyle name="Normal 2 2 4 13 4 3" xfId="21891" xr:uid="{00000000-0005-0000-0000-00007C550000}"/>
    <cellStyle name="Normal 2 2 4 13 4 4" xfId="21892" xr:uid="{00000000-0005-0000-0000-00007D550000}"/>
    <cellStyle name="Normal 2 2 4 13 4 5" xfId="21893" xr:uid="{00000000-0005-0000-0000-00007E550000}"/>
    <cellStyle name="Normal 2 2 4 13 4 6" xfId="21894" xr:uid="{00000000-0005-0000-0000-00007F550000}"/>
    <cellStyle name="Normal 2 2 4 13 4 7" xfId="21895" xr:uid="{00000000-0005-0000-0000-000080550000}"/>
    <cellStyle name="Normal 2 2 4 13 4 8" xfId="21896" xr:uid="{00000000-0005-0000-0000-000081550000}"/>
    <cellStyle name="Normal 2 2 4 13 4 9" xfId="21897" xr:uid="{00000000-0005-0000-0000-000082550000}"/>
    <cellStyle name="Normal 2 2 4 13 5" xfId="21898" xr:uid="{00000000-0005-0000-0000-000083550000}"/>
    <cellStyle name="Normal 2 2 4 13 5 10" xfId="21899" xr:uid="{00000000-0005-0000-0000-000084550000}"/>
    <cellStyle name="Normal 2 2 4 13 5 2" xfId="21900" xr:uid="{00000000-0005-0000-0000-000085550000}"/>
    <cellStyle name="Normal 2 2 4 13 5 3" xfId="21901" xr:uid="{00000000-0005-0000-0000-000086550000}"/>
    <cellStyle name="Normal 2 2 4 13 5 4" xfId="21902" xr:uid="{00000000-0005-0000-0000-000087550000}"/>
    <cellStyle name="Normal 2 2 4 13 5 5" xfId="21903" xr:uid="{00000000-0005-0000-0000-000088550000}"/>
    <cellStyle name="Normal 2 2 4 13 5 6" xfId="21904" xr:uid="{00000000-0005-0000-0000-000089550000}"/>
    <cellStyle name="Normal 2 2 4 13 5 7" xfId="21905" xr:uid="{00000000-0005-0000-0000-00008A550000}"/>
    <cellStyle name="Normal 2 2 4 13 5 8" xfId="21906" xr:uid="{00000000-0005-0000-0000-00008B550000}"/>
    <cellStyle name="Normal 2 2 4 13 5 9" xfId="21907" xr:uid="{00000000-0005-0000-0000-00008C550000}"/>
    <cellStyle name="Normal 2 2 4 13 6" xfId="21908" xr:uid="{00000000-0005-0000-0000-00008D550000}"/>
    <cellStyle name="Normal 2 2 4 13 7" xfId="21909" xr:uid="{00000000-0005-0000-0000-00008E550000}"/>
    <cellStyle name="Normal 2 2 4 13 8" xfId="21910" xr:uid="{00000000-0005-0000-0000-00008F550000}"/>
    <cellStyle name="Normal 2 2 4 13 9" xfId="21911" xr:uid="{00000000-0005-0000-0000-000090550000}"/>
    <cellStyle name="Normal 2 2 4 14" xfId="21912" xr:uid="{00000000-0005-0000-0000-000091550000}"/>
    <cellStyle name="Normal 2 2 4 14 10" xfId="21913" xr:uid="{00000000-0005-0000-0000-000092550000}"/>
    <cellStyle name="Normal 2 2 4 14 11" xfId="21914" xr:uid="{00000000-0005-0000-0000-000093550000}"/>
    <cellStyle name="Normal 2 2 4 14 12" xfId="21915" xr:uid="{00000000-0005-0000-0000-000094550000}"/>
    <cellStyle name="Normal 2 2 4 14 13" xfId="21916" xr:uid="{00000000-0005-0000-0000-000095550000}"/>
    <cellStyle name="Normal 2 2 4 14 14" xfId="21917" xr:uid="{00000000-0005-0000-0000-000096550000}"/>
    <cellStyle name="Normal 2 2 4 14 2" xfId="21918" xr:uid="{00000000-0005-0000-0000-000097550000}"/>
    <cellStyle name="Normal 2 2 4 14 2 10" xfId="21919" xr:uid="{00000000-0005-0000-0000-000098550000}"/>
    <cellStyle name="Normal 2 2 4 14 2 2" xfId="21920" xr:uid="{00000000-0005-0000-0000-000099550000}"/>
    <cellStyle name="Normal 2 2 4 14 2 3" xfId="21921" xr:uid="{00000000-0005-0000-0000-00009A550000}"/>
    <cellStyle name="Normal 2 2 4 14 2 4" xfId="21922" xr:uid="{00000000-0005-0000-0000-00009B550000}"/>
    <cellStyle name="Normal 2 2 4 14 2 5" xfId="21923" xr:uid="{00000000-0005-0000-0000-00009C550000}"/>
    <cellStyle name="Normal 2 2 4 14 2 6" xfId="21924" xr:uid="{00000000-0005-0000-0000-00009D550000}"/>
    <cellStyle name="Normal 2 2 4 14 2 7" xfId="21925" xr:uid="{00000000-0005-0000-0000-00009E550000}"/>
    <cellStyle name="Normal 2 2 4 14 2 8" xfId="21926" xr:uid="{00000000-0005-0000-0000-00009F550000}"/>
    <cellStyle name="Normal 2 2 4 14 2 9" xfId="21927" xr:uid="{00000000-0005-0000-0000-0000A0550000}"/>
    <cellStyle name="Normal 2 2 4 14 3" xfId="21928" xr:uid="{00000000-0005-0000-0000-0000A1550000}"/>
    <cellStyle name="Normal 2 2 4 14 3 10" xfId="21929" xr:uid="{00000000-0005-0000-0000-0000A2550000}"/>
    <cellStyle name="Normal 2 2 4 14 3 2" xfId="21930" xr:uid="{00000000-0005-0000-0000-0000A3550000}"/>
    <cellStyle name="Normal 2 2 4 14 3 3" xfId="21931" xr:uid="{00000000-0005-0000-0000-0000A4550000}"/>
    <cellStyle name="Normal 2 2 4 14 3 4" xfId="21932" xr:uid="{00000000-0005-0000-0000-0000A5550000}"/>
    <cellStyle name="Normal 2 2 4 14 3 5" xfId="21933" xr:uid="{00000000-0005-0000-0000-0000A6550000}"/>
    <cellStyle name="Normal 2 2 4 14 3 6" xfId="21934" xr:uid="{00000000-0005-0000-0000-0000A7550000}"/>
    <cellStyle name="Normal 2 2 4 14 3 7" xfId="21935" xr:uid="{00000000-0005-0000-0000-0000A8550000}"/>
    <cellStyle name="Normal 2 2 4 14 3 8" xfId="21936" xr:uid="{00000000-0005-0000-0000-0000A9550000}"/>
    <cellStyle name="Normal 2 2 4 14 3 9" xfId="21937" xr:uid="{00000000-0005-0000-0000-0000AA550000}"/>
    <cellStyle name="Normal 2 2 4 14 4" xfId="21938" xr:uid="{00000000-0005-0000-0000-0000AB550000}"/>
    <cellStyle name="Normal 2 2 4 14 4 10" xfId="21939" xr:uid="{00000000-0005-0000-0000-0000AC550000}"/>
    <cellStyle name="Normal 2 2 4 14 4 2" xfId="21940" xr:uid="{00000000-0005-0000-0000-0000AD550000}"/>
    <cellStyle name="Normal 2 2 4 14 4 3" xfId="21941" xr:uid="{00000000-0005-0000-0000-0000AE550000}"/>
    <cellStyle name="Normal 2 2 4 14 4 4" xfId="21942" xr:uid="{00000000-0005-0000-0000-0000AF550000}"/>
    <cellStyle name="Normal 2 2 4 14 4 5" xfId="21943" xr:uid="{00000000-0005-0000-0000-0000B0550000}"/>
    <cellStyle name="Normal 2 2 4 14 4 6" xfId="21944" xr:uid="{00000000-0005-0000-0000-0000B1550000}"/>
    <cellStyle name="Normal 2 2 4 14 4 7" xfId="21945" xr:uid="{00000000-0005-0000-0000-0000B2550000}"/>
    <cellStyle name="Normal 2 2 4 14 4 8" xfId="21946" xr:uid="{00000000-0005-0000-0000-0000B3550000}"/>
    <cellStyle name="Normal 2 2 4 14 4 9" xfId="21947" xr:uid="{00000000-0005-0000-0000-0000B4550000}"/>
    <cellStyle name="Normal 2 2 4 14 5" xfId="21948" xr:uid="{00000000-0005-0000-0000-0000B5550000}"/>
    <cellStyle name="Normal 2 2 4 14 5 10" xfId="21949" xr:uid="{00000000-0005-0000-0000-0000B6550000}"/>
    <cellStyle name="Normal 2 2 4 14 5 2" xfId="21950" xr:uid="{00000000-0005-0000-0000-0000B7550000}"/>
    <cellStyle name="Normal 2 2 4 14 5 3" xfId="21951" xr:uid="{00000000-0005-0000-0000-0000B8550000}"/>
    <cellStyle name="Normal 2 2 4 14 5 4" xfId="21952" xr:uid="{00000000-0005-0000-0000-0000B9550000}"/>
    <cellStyle name="Normal 2 2 4 14 5 5" xfId="21953" xr:uid="{00000000-0005-0000-0000-0000BA550000}"/>
    <cellStyle name="Normal 2 2 4 14 5 6" xfId="21954" xr:uid="{00000000-0005-0000-0000-0000BB550000}"/>
    <cellStyle name="Normal 2 2 4 14 5 7" xfId="21955" xr:uid="{00000000-0005-0000-0000-0000BC550000}"/>
    <cellStyle name="Normal 2 2 4 14 5 8" xfId="21956" xr:uid="{00000000-0005-0000-0000-0000BD550000}"/>
    <cellStyle name="Normal 2 2 4 14 5 9" xfId="21957" xr:uid="{00000000-0005-0000-0000-0000BE550000}"/>
    <cellStyle name="Normal 2 2 4 14 6" xfId="21958" xr:uid="{00000000-0005-0000-0000-0000BF550000}"/>
    <cellStyle name="Normal 2 2 4 14 7" xfId="21959" xr:uid="{00000000-0005-0000-0000-0000C0550000}"/>
    <cellStyle name="Normal 2 2 4 14 8" xfId="21960" xr:uid="{00000000-0005-0000-0000-0000C1550000}"/>
    <cellStyle name="Normal 2 2 4 14 9" xfId="21961" xr:uid="{00000000-0005-0000-0000-0000C2550000}"/>
    <cellStyle name="Normal 2 2 4 15" xfId="21962" xr:uid="{00000000-0005-0000-0000-0000C3550000}"/>
    <cellStyle name="Normal 2 2 4 15 10" xfId="21963" xr:uid="{00000000-0005-0000-0000-0000C4550000}"/>
    <cellStyle name="Normal 2 2 4 15 11" xfId="21964" xr:uid="{00000000-0005-0000-0000-0000C5550000}"/>
    <cellStyle name="Normal 2 2 4 15 12" xfId="21965" xr:uid="{00000000-0005-0000-0000-0000C6550000}"/>
    <cellStyle name="Normal 2 2 4 15 13" xfId="21966" xr:uid="{00000000-0005-0000-0000-0000C7550000}"/>
    <cellStyle name="Normal 2 2 4 15 14" xfId="21967" xr:uid="{00000000-0005-0000-0000-0000C8550000}"/>
    <cellStyle name="Normal 2 2 4 15 2" xfId="21968" xr:uid="{00000000-0005-0000-0000-0000C9550000}"/>
    <cellStyle name="Normal 2 2 4 15 2 10" xfId="21969" xr:uid="{00000000-0005-0000-0000-0000CA550000}"/>
    <cellStyle name="Normal 2 2 4 15 2 2" xfId="21970" xr:uid="{00000000-0005-0000-0000-0000CB550000}"/>
    <cellStyle name="Normal 2 2 4 15 2 3" xfId="21971" xr:uid="{00000000-0005-0000-0000-0000CC550000}"/>
    <cellStyle name="Normal 2 2 4 15 2 4" xfId="21972" xr:uid="{00000000-0005-0000-0000-0000CD550000}"/>
    <cellStyle name="Normal 2 2 4 15 2 5" xfId="21973" xr:uid="{00000000-0005-0000-0000-0000CE550000}"/>
    <cellStyle name="Normal 2 2 4 15 2 6" xfId="21974" xr:uid="{00000000-0005-0000-0000-0000CF550000}"/>
    <cellStyle name="Normal 2 2 4 15 2 7" xfId="21975" xr:uid="{00000000-0005-0000-0000-0000D0550000}"/>
    <cellStyle name="Normal 2 2 4 15 2 8" xfId="21976" xr:uid="{00000000-0005-0000-0000-0000D1550000}"/>
    <cellStyle name="Normal 2 2 4 15 2 9" xfId="21977" xr:uid="{00000000-0005-0000-0000-0000D2550000}"/>
    <cellStyle name="Normal 2 2 4 15 3" xfId="21978" xr:uid="{00000000-0005-0000-0000-0000D3550000}"/>
    <cellStyle name="Normal 2 2 4 15 3 10" xfId="21979" xr:uid="{00000000-0005-0000-0000-0000D4550000}"/>
    <cellStyle name="Normal 2 2 4 15 3 2" xfId="21980" xr:uid="{00000000-0005-0000-0000-0000D5550000}"/>
    <cellStyle name="Normal 2 2 4 15 3 3" xfId="21981" xr:uid="{00000000-0005-0000-0000-0000D6550000}"/>
    <cellStyle name="Normal 2 2 4 15 3 4" xfId="21982" xr:uid="{00000000-0005-0000-0000-0000D7550000}"/>
    <cellStyle name="Normal 2 2 4 15 3 5" xfId="21983" xr:uid="{00000000-0005-0000-0000-0000D8550000}"/>
    <cellStyle name="Normal 2 2 4 15 3 6" xfId="21984" xr:uid="{00000000-0005-0000-0000-0000D9550000}"/>
    <cellStyle name="Normal 2 2 4 15 3 7" xfId="21985" xr:uid="{00000000-0005-0000-0000-0000DA550000}"/>
    <cellStyle name="Normal 2 2 4 15 3 8" xfId="21986" xr:uid="{00000000-0005-0000-0000-0000DB550000}"/>
    <cellStyle name="Normal 2 2 4 15 3 9" xfId="21987" xr:uid="{00000000-0005-0000-0000-0000DC550000}"/>
    <cellStyle name="Normal 2 2 4 15 4" xfId="21988" xr:uid="{00000000-0005-0000-0000-0000DD550000}"/>
    <cellStyle name="Normal 2 2 4 15 4 10" xfId="21989" xr:uid="{00000000-0005-0000-0000-0000DE550000}"/>
    <cellStyle name="Normal 2 2 4 15 4 2" xfId="21990" xr:uid="{00000000-0005-0000-0000-0000DF550000}"/>
    <cellStyle name="Normal 2 2 4 15 4 3" xfId="21991" xr:uid="{00000000-0005-0000-0000-0000E0550000}"/>
    <cellStyle name="Normal 2 2 4 15 4 4" xfId="21992" xr:uid="{00000000-0005-0000-0000-0000E1550000}"/>
    <cellStyle name="Normal 2 2 4 15 4 5" xfId="21993" xr:uid="{00000000-0005-0000-0000-0000E2550000}"/>
    <cellStyle name="Normal 2 2 4 15 4 6" xfId="21994" xr:uid="{00000000-0005-0000-0000-0000E3550000}"/>
    <cellStyle name="Normal 2 2 4 15 4 7" xfId="21995" xr:uid="{00000000-0005-0000-0000-0000E4550000}"/>
    <cellStyle name="Normal 2 2 4 15 4 8" xfId="21996" xr:uid="{00000000-0005-0000-0000-0000E5550000}"/>
    <cellStyle name="Normal 2 2 4 15 4 9" xfId="21997" xr:uid="{00000000-0005-0000-0000-0000E6550000}"/>
    <cellStyle name="Normal 2 2 4 15 5" xfId="21998" xr:uid="{00000000-0005-0000-0000-0000E7550000}"/>
    <cellStyle name="Normal 2 2 4 15 5 10" xfId="21999" xr:uid="{00000000-0005-0000-0000-0000E8550000}"/>
    <cellStyle name="Normal 2 2 4 15 5 2" xfId="22000" xr:uid="{00000000-0005-0000-0000-0000E9550000}"/>
    <cellStyle name="Normal 2 2 4 15 5 3" xfId="22001" xr:uid="{00000000-0005-0000-0000-0000EA550000}"/>
    <cellStyle name="Normal 2 2 4 15 5 4" xfId="22002" xr:uid="{00000000-0005-0000-0000-0000EB550000}"/>
    <cellStyle name="Normal 2 2 4 15 5 5" xfId="22003" xr:uid="{00000000-0005-0000-0000-0000EC550000}"/>
    <cellStyle name="Normal 2 2 4 15 5 6" xfId="22004" xr:uid="{00000000-0005-0000-0000-0000ED550000}"/>
    <cellStyle name="Normal 2 2 4 15 5 7" xfId="22005" xr:uid="{00000000-0005-0000-0000-0000EE550000}"/>
    <cellStyle name="Normal 2 2 4 15 5 8" xfId="22006" xr:uid="{00000000-0005-0000-0000-0000EF550000}"/>
    <cellStyle name="Normal 2 2 4 15 5 9" xfId="22007" xr:uid="{00000000-0005-0000-0000-0000F0550000}"/>
    <cellStyle name="Normal 2 2 4 15 6" xfId="22008" xr:uid="{00000000-0005-0000-0000-0000F1550000}"/>
    <cellStyle name="Normal 2 2 4 15 7" xfId="22009" xr:uid="{00000000-0005-0000-0000-0000F2550000}"/>
    <cellStyle name="Normal 2 2 4 15 8" xfId="22010" xr:uid="{00000000-0005-0000-0000-0000F3550000}"/>
    <cellStyle name="Normal 2 2 4 15 9" xfId="22011" xr:uid="{00000000-0005-0000-0000-0000F4550000}"/>
    <cellStyle name="Normal 2 2 4 16" xfId="22012" xr:uid="{00000000-0005-0000-0000-0000F5550000}"/>
    <cellStyle name="Normal 2 2 4 16 10" xfId="22013" xr:uid="{00000000-0005-0000-0000-0000F6550000}"/>
    <cellStyle name="Normal 2 2 4 16 11" xfId="22014" xr:uid="{00000000-0005-0000-0000-0000F7550000}"/>
    <cellStyle name="Normal 2 2 4 16 12" xfId="22015" xr:uid="{00000000-0005-0000-0000-0000F8550000}"/>
    <cellStyle name="Normal 2 2 4 16 13" xfId="22016" xr:uid="{00000000-0005-0000-0000-0000F9550000}"/>
    <cellStyle name="Normal 2 2 4 16 14" xfId="22017" xr:uid="{00000000-0005-0000-0000-0000FA550000}"/>
    <cellStyle name="Normal 2 2 4 16 2" xfId="22018" xr:uid="{00000000-0005-0000-0000-0000FB550000}"/>
    <cellStyle name="Normal 2 2 4 16 2 10" xfId="22019" xr:uid="{00000000-0005-0000-0000-0000FC550000}"/>
    <cellStyle name="Normal 2 2 4 16 2 2" xfId="22020" xr:uid="{00000000-0005-0000-0000-0000FD550000}"/>
    <cellStyle name="Normal 2 2 4 16 2 3" xfId="22021" xr:uid="{00000000-0005-0000-0000-0000FE550000}"/>
    <cellStyle name="Normal 2 2 4 16 2 4" xfId="22022" xr:uid="{00000000-0005-0000-0000-0000FF550000}"/>
    <cellStyle name="Normal 2 2 4 16 2 5" xfId="22023" xr:uid="{00000000-0005-0000-0000-000000560000}"/>
    <cellStyle name="Normal 2 2 4 16 2 6" xfId="22024" xr:uid="{00000000-0005-0000-0000-000001560000}"/>
    <cellStyle name="Normal 2 2 4 16 2 7" xfId="22025" xr:uid="{00000000-0005-0000-0000-000002560000}"/>
    <cellStyle name="Normal 2 2 4 16 2 8" xfId="22026" xr:uid="{00000000-0005-0000-0000-000003560000}"/>
    <cellStyle name="Normal 2 2 4 16 2 9" xfId="22027" xr:uid="{00000000-0005-0000-0000-000004560000}"/>
    <cellStyle name="Normal 2 2 4 16 3" xfId="22028" xr:uid="{00000000-0005-0000-0000-000005560000}"/>
    <cellStyle name="Normal 2 2 4 16 3 10" xfId="22029" xr:uid="{00000000-0005-0000-0000-000006560000}"/>
    <cellStyle name="Normal 2 2 4 16 3 2" xfId="22030" xr:uid="{00000000-0005-0000-0000-000007560000}"/>
    <cellStyle name="Normal 2 2 4 16 3 3" xfId="22031" xr:uid="{00000000-0005-0000-0000-000008560000}"/>
    <cellStyle name="Normal 2 2 4 16 3 4" xfId="22032" xr:uid="{00000000-0005-0000-0000-000009560000}"/>
    <cellStyle name="Normal 2 2 4 16 3 5" xfId="22033" xr:uid="{00000000-0005-0000-0000-00000A560000}"/>
    <cellStyle name="Normal 2 2 4 16 3 6" xfId="22034" xr:uid="{00000000-0005-0000-0000-00000B560000}"/>
    <cellStyle name="Normal 2 2 4 16 3 7" xfId="22035" xr:uid="{00000000-0005-0000-0000-00000C560000}"/>
    <cellStyle name="Normal 2 2 4 16 3 8" xfId="22036" xr:uid="{00000000-0005-0000-0000-00000D560000}"/>
    <cellStyle name="Normal 2 2 4 16 3 9" xfId="22037" xr:uid="{00000000-0005-0000-0000-00000E560000}"/>
    <cellStyle name="Normal 2 2 4 16 4" xfId="22038" xr:uid="{00000000-0005-0000-0000-00000F560000}"/>
    <cellStyle name="Normal 2 2 4 16 4 10" xfId="22039" xr:uid="{00000000-0005-0000-0000-000010560000}"/>
    <cellStyle name="Normal 2 2 4 16 4 2" xfId="22040" xr:uid="{00000000-0005-0000-0000-000011560000}"/>
    <cellStyle name="Normal 2 2 4 16 4 3" xfId="22041" xr:uid="{00000000-0005-0000-0000-000012560000}"/>
    <cellStyle name="Normal 2 2 4 16 4 4" xfId="22042" xr:uid="{00000000-0005-0000-0000-000013560000}"/>
    <cellStyle name="Normal 2 2 4 16 4 5" xfId="22043" xr:uid="{00000000-0005-0000-0000-000014560000}"/>
    <cellStyle name="Normal 2 2 4 16 4 6" xfId="22044" xr:uid="{00000000-0005-0000-0000-000015560000}"/>
    <cellStyle name="Normal 2 2 4 16 4 7" xfId="22045" xr:uid="{00000000-0005-0000-0000-000016560000}"/>
    <cellStyle name="Normal 2 2 4 16 4 8" xfId="22046" xr:uid="{00000000-0005-0000-0000-000017560000}"/>
    <cellStyle name="Normal 2 2 4 16 4 9" xfId="22047" xr:uid="{00000000-0005-0000-0000-000018560000}"/>
    <cellStyle name="Normal 2 2 4 16 5" xfId="22048" xr:uid="{00000000-0005-0000-0000-000019560000}"/>
    <cellStyle name="Normal 2 2 4 16 5 10" xfId="22049" xr:uid="{00000000-0005-0000-0000-00001A560000}"/>
    <cellStyle name="Normal 2 2 4 16 5 2" xfId="22050" xr:uid="{00000000-0005-0000-0000-00001B560000}"/>
    <cellStyle name="Normal 2 2 4 16 5 3" xfId="22051" xr:uid="{00000000-0005-0000-0000-00001C560000}"/>
    <cellStyle name="Normal 2 2 4 16 5 4" xfId="22052" xr:uid="{00000000-0005-0000-0000-00001D560000}"/>
    <cellStyle name="Normal 2 2 4 16 5 5" xfId="22053" xr:uid="{00000000-0005-0000-0000-00001E560000}"/>
    <cellStyle name="Normal 2 2 4 16 5 6" xfId="22054" xr:uid="{00000000-0005-0000-0000-00001F560000}"/>
    <cellStyle name="Normal 2 2 4 16 5 7" xfId="22055" xr:uid="{00000000-0005-0000-0000-000020560000}"/>
    <cellStyle name="Normal 2 2 4 16 5 8" xfId="22056" xr:uid="{00000000-0005-0000-0000-000021560000}"/>
    <cellStyle name="Normal 2 2 4 16 5 9" xfId="22057" xr:uid="{00000000-0005-0000-0000-000022560000}"/>
    <cellStyle name="Normal 2 2 4 16 6" xfId="22058" xr:uid="{00000000-0005-0000-0000-000023560000}"/>
    <cellStyle name="Normal 2 2 4 16 7" xfId="22059" xr:uid="{00000000-0005-0000-0000-000024560000}"/>
    <cellStyle name="Normal 2 2 4 16 8" xfId="22060" xr:uid="{00000000-0005-0000-0000-000025560000}"/>
    <cellStyle name="Normal 2 2 4 16 9" xfId="22061" xr:uid="{00000000-0005-0000-0000-000026560000}"/>
    <cellStyle name="Normal 2 2 4 17" xfId="22062" xr:uid="{00000000-0005-0000-0000-000027560000}"/>
    <cellStyle name="Normal 2 2 4 17 10" xfId="22063" xr:uid="{00000000-0005-0000-0000-000028560000}"/>
    <cellStyle name="Normal 2 2 4 17 11" xfId="22064" xr:uid="{00000000-0005-0000-0000-000029560000}"/>
    <cellStyle name="Normal 2 2 4 17 12" xfId="22065" xr:uid="{00000000-0005-0000-0000-00002A560000}"/>
    <cellStyle name="Normal 2 2 4 17 13" xfId="22066" xr:uid="{00000000-0005-0000-0000-00002B560000}"/>
    <cellStyle name="Normal 2 2 4 17 14" xfId="22067" xr:uid="{00000000-0005-0000-0000-00002C560000}"/>
    <cellStyle name="Normal 2 2 4 17 2" xfId="22068" xr:uid="{00000000-0005-0000-0000-00002D560000}"/>
    <cellStyle name="Normal 2 2 4 17 2 10" xfId="22069" xr:uid="{00000000-0005-0000-0000-00002E560000}"/>
    <cellStyle name="Normal 2 2 4 17 2 2" xfId="22070" xr:uid="{00000000-0005-0000-0000-00002F560000}"/>
    <cellStyle name="Normal 2 2 4 17 2 3" xfId="22071" xr:uid="{00000000-0005-0000-0000-000030560000}"/>
    <cellStyle name="Normal 2 2 4 17 2 4" xfId="22072" xr:uid="{00000000-0005-0000-0000-000031560000}"/>
    <cellStyle name="Normal 2 2 4 17 2 5" xfId="22073" xr:uid="{00000000-0005-0000-0000-000032560000}"/>
    <cellStyle name="Normal 2 2 4 17 2 6" xfId="22074" xr:uid="{00000000-0005-0000-0000-000033560000}"/>
    <cellStyle name="Normal 2 2 4 17 2 7" xfId="22075" xr:uid="{00000000-0005-0000-0000-000034560000}"/>
    <cellStyle name="Normal 2 2 4 17 2 8" xfId="22076" xr:uid="{00000000-0005-0000-0000-000035560000}"/>
    <cellStyle name="Normal 2 2 4 17 2 9" xfId="22077" xr:uid="{00000000-0005-0000-0000-000036560000}"/>
    <cellStyle name="Normal 2 2 4 17 3" xfId="22078" xr:uid="{00000000-0005-0000-0000-000037560000}"/>
    <cellStyle name="Normal 2 2 4 17 3 10" xfId="22079" xr:uid="{00000000-0005-0000-0000-000038560000}"/>
    <cellStyle name="Normal 2 2 4 17 3 2" xfId="22080" xr:uid="{00000000-0005-0000-0000-000039560000}"/>
    <cellStyle name="Normal 2 2 4 17 3 3" xfId="22081" xr:uid="{00000000-0005-0000-0000-00003A560000}"/>
    <cellStyle name="Normal 2 2 4 17 3 4" xfId="22082" xr:uid="{00000000-0005-0000-0000-00003B560000}"/>
    <cellStyle name="Normal 2 2 4 17 3 5" xfId="22083" xr:uid="{00000000-0005-0000-0000-00003C560000}"/>
    <cellStyle name="Normal 2 2 4 17 3 6" xfId="22084" xr:uid="{00000000-0005-0000-0000-00003D560000}"/>
    <cellStyle name="Normal 2 2 4 17 3 7" xfId="22085" xr:uid="{00000000-0005-0000-0000-00003E560000}"/>
    <cellStyle name="Normal 2 2 4 17 3 8" xfId="22086" xr:uid="{00000000-0005-0000-0000-00003F560000}"/>
    <cellStyle name="Normal 2 2 4 17 3 9" xfId="22087" xr:uid="{00000000-0005-0000-0000-000040560000}"/>
    <cellStyle name="Normal 2 2 4 17 4" xfId="22088" xr:uid="{00000000-0005-0000-0000-000041560000}"/>
    <cellStyle name="Normal 2 2 4 17 4 10" xfId="22089" xr:uid="{00000000-0005-0000-0000-000042560000}"/>
    <cellStyle name="Normal 2 2 4 17 4 2" xfId="22090" xr:uid="{00000000-0005-0000-0000-000043560000}"/>
    <cellStyle name="Normal 2 2 4 17 4 3" xfId="22091" xr:uid="{00000000-0005-0000-0000-000044560000}"/>
    <cellStyle name="Normal 2 2 4 17 4 4" xfId="22092" xr:uid="{00000000-0005-0000-0000-000045560000}"/>
    <cellStyle name="Normal 2 2 4 17 4 5" xfId="22093" xr:uid="{00000000-0005-0000-0000-000046560000}"/>
    <cellStyle name="Normal 2 2 4 17 4 6" xfId="22094" xr:uid="{00000000-0005-0000-0000-000047560000}"/>
    <cellStyle name="Normal 2 2 4 17 4 7" xfId="22095" xr:uid="{00000000-0005-0000-0000-000048560000}"/>
    <cellStyle name="Normal 2 2 4 17 4 8" xfId="22096" xr:uid="{00000000-0005-0000-0000-000049560000}"/>
    <cellStyle name="Normal 2 2 4 17 4 9" xfId="22097" xr:uid="{00000000-0005-0000-0000-00004A560000}"/>
    <cellStyle name="Normal 2 2 4 17 5" xfId="22098" xr:uid="{00000000-0005-0000-0000-00004B560000}"/>
    <cellStyle name="Normal 2 2 4 17 5 10" xfId="22099" xr:uid="{00000000-0005-0000-0000-00004C560000}"/>
    <cellStyle name="Normal 2 2 4 17 5 2" xfId="22100" xr:uid="{00000000-0005-0000-0000-00004D560000}"/>
    <cellStyle name="Normal 2 2 4 17 5 3" xfId="22101" xr:uid="{00000000-0005-0000-0000-00004E560000}"/>
    <cellStyle name="Normal 2 2 4 17 5 4" xfId="22102" xr:uid="{00000000-0005-0000-0000-00004F560000}"/>
    <cellStyle name="Normal 2 2 4 17 5 5" xfId="22103" xr:uid="{00000000-0005-0000-0000-000050560000}"/>
    <cellStyle name="Normal 2 2 4 17 5 6" xfId="22104" xr:uid="{00000000-0005-0000-0000-000051560000}"/>
    <cellStyle name="Normal 2 2 4 17 5 7" xfId="22105" xr:uid="{00000000-0005-0000-0000-000052560000}"/>
    <cellStyle name="Normal 2 2 4 17 5 8" xfId="22106" xr:uid="{00000000-0005-0000-0000-000053560000}"/>
    <cellStyle name="Normal 2 2 4 17 5 9" xfId="22107" xr:uid="{00000000-0005-0000-0000-000054560000}"/>
    <cellStyle name="Normal 2 2 4 17 6" xfId="22108" xr:uid="{00000000-0005-0000-0000-000055560000}"/>
    <cellStyle name="Normal 2 2 4 17 7" xfId="22109" xr:uid="{00000000-0005-0000-0000-000056560000}"/>
    <cellStyle name="Normal 2 2 4 17 8" xfId="22110" xr:uid="{00000000-0005-0000-0000-000057560000}"/>
    <cellStyle name="Normal 2 2 4 17 9" xfId="22111" xr:uid="{00000000-0005-0000-0000-000058560000}"/>
    <cellStyle name="Normal 2 2 4 18" xfId="22112" xr:uid="{00000000-0005-0000-0000-000059560000}"/>
    <cellStyle name="Normal 2 2 4 18 10" xfId="22113" xr:uid="{00000000-0005-0000-0000-00005A560000}"/>
    <cellStyle name="Normal 2 2 4 18 11" xfId="22114" xr:uid="{00000000-0005-0000-0000-00005B560000}"/>
    <cellStyle name="Normal 2 2 4 18 12" xfId="22115" xr:uid="{00000000-0005-0000-0000-00005C560000}"/>
    <cellStyle name="Normal 2 2 4 18 13" xfId="22116" xr:uid="{00000000-0005-0000-0000-00005D560000}"/>
    <cellStyle name="Normal 2 2 4 18 14" xfId="22117" xr:uid="{00000000-0005-0000-0000-00005E560000}"/>
    <cellStyle name="Normal 2 2 4 18 2" xfId="22118" xr:uid="{00000000-0005-0000-0000-00005F560000}"/>
    <cellStyle name="Normal 2 2 4 18 2 10" xfId="22119" xr:uid="{00000000-0005-0000-0000-000060560000}"/>
    <cellStyle name="Normal 2 2 4 18 2 2" xfId="22120" xr:uid="{00000000-0005-0000-0000-000061560000}"/>
    <cellStyle name="Normal 2 2 4 18 2 3" xfId="22121" xr:uid="{00000000-0005-0000-0000-000062560000}"/>
    <cellStyle name="Normal 2 2 4 18 2 4" xfId="22122" xr:uid="{00000000-0005-0000-0000-000063560000}"/>
    <cellStyle name="Normal 2 2 4 18 2 5" xfId="22123" xr:uid="{00000000-0005-0000-0000-000064560000}"/>
    <cellStyle name="Normal 2 2 4 18 2 6" xfId="22124" xr:uid="{00000000-0005-0000-0000-000065560000}"/>
    <cellStyle name="Normal 2 2 4 18 2 7" xfId="22125" xr:uid="{00000000-0005-0000-0000-000066560000}"/>
    <cellStyle name="Normal 2 2 4 18 2 8" xfId="22126" xr:uid="{00000000-0005-0000-0000-000067560000}"/>
    <cellStyle name="Normal 2 2 4 18 2 9" xfId="22127" xr:uid="{00000000-0005-0000-0000-000068560000}"/>
    <cellStyle name="Normal 2 2 4 18 3" xfId="22128" xr:uid="{00000000-0005-0000-0000-000069560000}"/>
    <cellStyle name="Normal 2 2 4 18 3 10" xfId="22129" xr:uid="{00000000-0005-0000-0000-00006A560000}"/>
    <cellStyle name="Normal 2 2 4 18 3 2" xfId="22130" xr:uid="{00000000-0005-0000-0000-00006B560000}"/>
    <cellStyle name="Normal 2 2 4 18 3 3" xfId="22131" xr:uid="{00000000-0005-0000-0000-00006C560000}"/>
    <cellStyle name="Normal 2 2 4 18 3 4" xfId="22132" xr:uid="{00000000-0005-0000-0000-00006D560000}"/>
    <cellStyle name="Normal 2 2 4 18 3 5" xfId="22133" xr:uid="{00000000-0005-0000-0000-00006E560000}"/>
    <cellStyle name="Normal 2 2 4 18 3 6" xfId="22134" xr:uid="{00000000-0005-0000-0000-00006F560000}"/>
    <cellStyle name="Normal 2 2 4 18 3 7" xfId="22135" xr:uid="{00000000-0005-0000-0000-000070560000}"/>
    <cellStyle name="Normal 2 2 4 18 3 8" xfId="22136" xr:uid="{00000000-0005-0000-0000-000071560000}"/>
    <cellStyle name="Normal 2 2 4 18 3 9" xfId="22137" xr:uid="{00000000-0005-0000-0000-000072560000}"/>
    <cellStyle name="Normal 2 2 4 18 4" xfId="22138" xr:uid="{00000000-0005-0000-0000-000073560000}"/>
    <cellStyle name="Normal 2 2 4 18 4 10" xfId="22139" xr:uid="{00000000-0005-0000-0000-000074560000}"/>
    <cellStyle name="Normal 2 2 4 18 4 2" xfId="22140" xr:uid="{00000000-0005-0000-0000-000075560000}"/>
    <cellStyle name="Normal 2 2 4 18 4 3" xfId="22141" xr:uid="{00000000-0005-0000-0000-000076560000}"/>
    <cellStyle name="Normal 2 2 4 18 4 4" xfId="22142" xr:uid="{00000000-0005-0000-0000-000077560000}"/>
    <cellStyle name="Normal 2 2 4 18 4 5" xfId="22143" xr:uid="{00000000-0005-0000-0000-000078560000}"/>
    <cellStyle name="Normal 2 2 4 18 4 6" xfId="22144" xr:uid="{00000000-0005-0000-0000-000079560000}"/>
    <cellStyle name="Normal 2 2 4 18 4 7" xfId="22145" xr:uid="{00000000-0005-0000-0000-00007A560000}"/>
    <cellStyle name="Normal 2 2 4 18 4 8" xfId="22146" xr:uid="{00000000-0005-0000-0000-00007B560000}"/>
    <cellStyle name="Normal 2 2 4 18 4 9" xfId="22147" xr:uid="{00000000-0005-0000-0000-00007C560000}"/>
    <cellStyle name="Normal 2 2 4 18 5" xfId="22148" xr:uid="{00000000-0005-0000-0000-00007D560000}"/>
    <cellStyle name="Normal 2 2 4 18 5 10" xfId="22149" xr:uid="{00000000-0005-0000-0000-00007E560000}"/>
    <cellStyle name="Normal 2 2 4 18 5 2" xfId="22150" xr:uid="{00000000-0005-0000-0000-00007F560000}"/>
    <cellStyle name="Normal 2 2 4 18 5 3" xfId="22151" xr:uid="{00000000-0005-0000-0000-000080560000}"/>
    <cellStyle name="Normal 2 2 4 18 5 4" xfId="22152" xr:uid="{00000000-0005-0000-0000-000081560000}"/>
    <cellStyle name="Normal 2 2 4 18 5 5" xfId="22153" xr:uid="{00000000-0005-0000-0000-000082560000}"/>
    <cellStyle name="Normal 2 2 4 18 5 6" xfId="22154" xr:uid="{00000000-0005-0000-0000-000083560000}"/>
    <cellStyle name="Normal 2 2 4 18 5 7" xfId="22155" xr:uid="{00000000-0005-0000-0000-000084560000}"/>
    <cellStyle name="Normal 2 2 4 18 5 8" xfId="22156" xr:uid="{00000000-0005-0000-0000-000085560000}"/>
    <cellStyle name="Normal 2 2 4 18 5 9" xfId="22157" xr:uid="{00000000-0005-0000-0000-000086560000}"/>
    <cellStyle name="Normal 2 2 4 18 6" xfId="22158" xr:uid="{00000000-0005-0000-0000-000087560000}"/>
    <cellStyle name="Normal 2 2 4 18 7" xfId="22159" xr:uid="{00000000-0005-0000-0000-000088560000}"/>
    <cellStyle name="Normal 2 2 4 18 8" xfId="22160" xr:uid="{00000000-0005-0000-0000-000089560000}"/>
    <cellStyle name="Normal 2 2 4 18 9" xfId="22161" xr:uid="{00000000-0005-0000-0000-00008A560000}"/>
    <cellStyle name="Normal 2 2 4 19" xfId="22162" xr:uid="{00000000-0005-0000-0000-00008B560000}"/>
    <cellStyle name="Normal 2 2 4 19 10" xfId="22163" xr:uid="{00000000-0005-0000-0000-00008C560000}"/>
    <cellStyle name="Normal 2 2 4 19 11" xfId="22164" xr:uid="{00000000-0005-0000-0000-00008D560000}"/>
    <cellStyle name="Normal 2 2 4 19 12" xfId="22165" xr:uid="{00000000-0005-0000-0000-00008E560000}"/>
    <cellStyle name="Normal 2 2 4 19 13" xfId="22166" xr:uid="{00000000-0005-0000-0000-00008F560000}"/>
    <cellStyle name="Normal 2 2 4 19 14" xfId="22167" xr:uid="{00000000-0005-0000-0000-000090560000}"/>
    <cellStyle name="Normal 2 2 4 19 2" xfId="22168" xr:uid="{00000000-0005-0000-0000-000091560000}"/>
    <cellStyle name="Normal 2 2 4 19 2 10" xfId="22169" xr:uid="{00000000-0005-0000-0000-000092560000}"/>
    <cellStyle name="Normal 2 2 4 19 2 2" xfId="22170" xr:uid="{00000000-0005-0000-0000-000093560000}"/>
    <cellStyle name="Normal 2 2 4 19 2 3" xfId="22171" xr:uid="{00000000-0005-0000-0000-000094560000}"/>
    <cellStyle name="Normal 2 2 4 19 2 4" xfId="22172" xr:uid="{00000000-0005-0000-0000-000095560000}"/>
    <cellStyle name="Normal 2 2 4 19 2 5" xfId="22173" xr:uid="{00000000-0005-0000-0000-000096560000}"/>
    <cellStyle name="Normal 2 2 4 19 2 6" xfId="22174" xr:uid="{00000000-0005-0000-0000-000097560000}"/>
    <cellStyle name="Normal 2 2 4 19 2 7" xfId="22175" xr:uid="{00000000-0005-0000-0000-000098560000}"/>
    <cellStyle name="Normal 2 2 4 19 2 8" xfId="22176" xr:uid="{00000000-0005-0000-0000-000099560000}"/>
    <cellStyle name="Normal 2 2 4 19 2 9" xfId="22177" xr:uid="{00000000-0005-0000-0000-00009A560000}"/>
    <cellStyle name="Normal 2 2 4 19 3" xfId="22178" xr:uid="{00000000-0005-0000-0000-00009B560000}"/>
    <cellStyle name="Normal 2 2 4 19 3 10" xfId="22179" xr:uid="{00000000-0005-0000-0000-00009C560000}"/>
    <cellStyle name="Normal 2 2 4 19 3 2" xfId="22180" xr:uid="{00000000-0005-0000-0000-00009D560000}"/>
    <cellStyle name="Normal 2 2 4 19 3 3" xfId="22181" xr:uid="{00000000-0005-0000-0000-00009E560000}"/>
    <cellStyle name="Normal 2 2 4 19 3 4" xfId="22182" xr:uid="{00000000-0005-0000-0000-00009F560000}"/>
    <cellStyle name="Normal 2 2 4 19 3 5" xfId="22183" xr:uid="{00000000-0005-0000-0000-0000A0560000}"/>
    <cellStyle name="Normal 2 2 4 19 3 6" xfId="22184" xr:uid="{00000000-0005-0000-0000-0000A1560000}"/>
    <cellStyle name="Normal 2 2 4 19 3 7" xfId="22185" xr:uid="{00000000-0005-0000-0000-0000A2560000}"/>
    <cellStyle name="Normal 2 2 4 19 3 8" xfId="22186" xr:uid="{00000000-0005-0000-0000-0000A3560000}"/>
    <cellStyle name="Normal 2 2 4 19 3 9" xfId="22187" xr:uid="{00000000-0005-0000-0000-0000A4560000}"/>
    <cellStyle name="Normal 2 2 4 19 4" xfId="22188" xr:uid="{00000000-0005-0000-0000-0000A5560000}"/>
    <cellStyle name="Normal 2 2 4 19 4 10" xfId="22189" xr:uid="{00000000-0005-0000-0000-0000A6560000}"/>
    <cellStyle name="Normal 2 2 4 19 4 2" xfId="22190" xr:uid="{00000000-0005-0000-0000-0000A7560000}"/>
    <cellStyle name="Normal 2 2 4 19 4 3" xfId="22191" xr:uid="{00000000-0005-0000-0000-0000A8560000}"/>
    <cellStyle name="Normal 2 2 4 19 4 4" xfId="22192" xr:uid="{00000000-0005-0000-0000-0000A9560000}"/>
    <cellStyle name="Normal 2 2 4 19 4 5" xfId="22193" xr:uid="{00000000-0005-0000-0000-0000AA560000}"/>
    <cellStyle name="Normal 2 2 4 19 4 6" xfId="22194" xr:uid="{00000000-0005-0000-0000-0000AB560000}"/>
    <cellStyle name="Normal 2 2 4 19 4 7" xfId="22195" xr:uid="{00000000-0005-0000-0000-0000AC560000}"/>
    <cellStyle name="Normal 2 2 4 19 4 8" xfId="22196" xr:uid="{00000000-0005-0000-0000-0000AD560000}"/>
    <cellStyle name="Normal 2 2 4 19 4 9" xfId="22197" xr:uid="{00000000-0005-0000-0000-0000AE560000}"/>
    <cellStyle name="Normal 2 2 4 19 5" xfId="22198" xr:uid="{00000000-0005-0000-0000-0000AF560000}"/>
    <cellStyle name="Normal 2 2 4 19 5 10" xfId="22199" xr:uid="{00000000-0005-0000-0000-0000B0560000}"/>
    <cellStyle name="Normal 2 2 4 19 5 2" xfId="22200" xr:uid="{00000000-0005-0000-0000-0000B1560000}"/>
    <cellStyle name="Normal 2 2 4 19 5 3" xfId="22201" xr:uid="{00000000-0005-0000-0000-0000B2560000}"/>
    <cellStyle name="Normal 2 2 4 19 5 4" xfId="22202" xr:uid="{00000000-0005-0000-0000-0000B3560000}"/>
    <cellStyle name="Normal 2 2 4 19 5 5" xfId="22203" xr:uid="{00000000-0005-0000-0000-0000B4560000}"/>
    <cellStyle name="Normal 2 2 4 19 5 6" xfId="22204" xr:uid="{00000000-0005-0000-0000-0000B5560000}"/>
    <cellStyle name="Normal 2 2 4 19 5 7" xfId="22205" xr:uid="{00000000-0005-0000-0000-0000B6560000}"/>
    <cellStyle name="Normal 2 2 4 19 5 8" xfId="22206" xr:uid="{00000000-0005-0000-0000-0000B7560000}"/>
    <cellStyle name="Normal 2 2 4 19 5 9" xfId="22207" xr:uid="{00000000-0005-0000-0000-0000B8560000}"/>
    <cellStyle name="Normal 2 2 4 19 6" xfId="22208" xr:uid="{00000000-0005-0000-0000-0000B9560000}"/>
    <cellStyle name="Normal 2 2 4 19 7" xfId="22209" xr:uid="{00000000-0005-0000-0000-0000BA560000}"/>
    <cellStyle name="Normal 2 2 4 19 8" xfId="22210" xr:uid="{00000000-0005-0000-0000-0000BB560000}"/>
    <cellStyle name="Normal 2 2 4 19 9" xfId="22211" xr:uid="{00000000-0005-0000-0000-0000BC560000}"/>
    <cellStyle name="Normal 2 2 4 2" xfId="22212" xr:uid="{00000000-0005-0000-0000-0000BD560000}"/>
    <cellStyle name="Normal 2 2 4 2 10" xfId="22213" xr:uid="{00000000-0005-0000-0000-0000BE560000}"/>
    <cellStyle name="Normal 2 2 4 2 11" xfId="22214" xr:uid="{00000000-0005-0000-0000-0000BF560000}"/>
    <cellStyle name="Normal 2 2 4 2 12" xfId="22215" xr:uid="{00000000-0005-0000-0000-0000C0560000}"/>
    <cellStyle name="Normal 2 2 4 2 13" xfId="22216" xr:uid="{00000000-0005-0000-0000-0000C1560000}"/>
    <cellStyle name="Normal 2 2 4 2 14" xfId="22217" xr:uid="{00000000-0005-0000-0000-0000C2560000}"/>
    <cellStyle name="Normal 2 2 4 2 15" xfId="22218" xr:uid="{00000000-0005-0000-0000-0000C3560000}"/>
    <cellStyle name="Normal 2 2 4 2 16" xfId="22219" xr:uid="{00000000-0005-0000-0000-0000C4560000}"/>
    <cellStyle name="Normal 2 2 4 2 17" xfId="22220" xr:uid="{00000000-0005-0000-0000-0000C5560000}"/>
    <cellStyle name="Normal 2 2 4 2 18" xfId="22221" xr:uid="{00000000-0005-0000-0000-0000C6560000}"/>
    <cellStyle name="Normal 2 2 4 2 19" xfId="22222" xr:uid="{00000000-0005-0000-0000-0000C7560000}"/>
    <cellStyle name="Normal 2 2 4 2 2" xfId="22223" xr:uid="{00000000-0005-0000-0000-0000C8560000}"/>
    <cellStyle name="Normal 2 2 4 2 2 10" xfId="22224" xr:uid="{00000000-0005-0000-0000-0000C9560000}"/>
    <cellStyle name="Normal 2 2 4 2 2 10 10" xfId="22225" xr:uid="{00000000-0005-0000-0000-0000CA560000}"/>
    <cellStyle name="Normal 2 2 4 2 2 10 11" xfId="22226" xr:uid="{00000000-0005-0000-0000-0000CB560000}"/>
    <cellStyle name="Normal 2 2 4 2 2 10 12" xfId="22227" xr:uid="{00000000-0005-0000-0000-0000CC560000}"/>
    <cellStyle name="Normal 2 2 4 2 2 10 13" xfId="22228" xr:uid="{00000000-0005-0000-0000-0000CD560000}"/>
    <cellStyle name="Normal 2 2 4 2 2 10 14" xfId="22229" xr:uid="{00000000-0005-0000-0000-0000CE560000}"/>
    <cellStyle name="Normal 2 2 4 2 2 10 2" xfId="22230" xr:uid="{00000000-0005-0000-0000-0000CF560000}"/>
    <cellStyle name="Normal 2 2 4 2 2 10 2 10" xfId="22231" xr:uid="{00000000-0005-0000-0000-0000D0560000}"/>
    <cellStyle name="Normal 2 2 4 2 2 10 2 2" xfId="22232" xr:uid="{00000000-0005-0000-0000-0000D1560000}"/>
    <cellStyle name="Normal 2 2 4 2 2 10 2 3" xfId="22233" xr:uid="{00000000-0005-0000-0000-0000D2560000}"/>
    <cellStyle name="Normal 2 2 4 2 2 10 2 4" xfId="22234" xr:uid="{00000000-0005-0000-0000-0000D3560000}"/>
    <cellStyle name="Normal 2 2 4 2 2 10 2 5" xfId="22235" xr:uid="{00000000-0005-0000-0000-0000D4560000}"/>
    <cellStyle name="Normal 2 2 4 2 2 10 2 6" xfId="22236" xr:uid="{00000000-0005-0000-0000-0000D5560000}"/>
    <cellStyle name="Normal 2 2 4 2 2 10 2 7" xfId="22237" xr:uid="{00000000-0005-0000-0000-0000D6560000}"/>
    <cellStyle name="Normal 2 2 4 2 2 10 2 8" xfId="22238" xr:uid="{00000000-0005-0000-0000-0000D7560000}"/>
    <cellStyle name="Normal 2 2 4 2 2 10 2 9" xfId="22239" xr:uid="{00000000-0005-0000-0000-0000D8560000}"/>
    <cellStyle name="Normal 2 2 4 2 2 10 3" xfId="22240" xr:uid="{00000000-0005-0000-0000-0000D9560000}"/>
    <cellStyle name="Normal 2 2 4 2 2 10 3 10" xfId="22241" xr:uid="{00000000-0005-0000-0000-0000DA560000}"/>
    <cellStyle name="Normal 2 2 4 2 2 10 3 2" xfId="22242" xr:uid="{00000000-0005-0000-0000-0000DB560000}"/>
    <cellStyle name="Normal 2 2 4 2 2 10 3 3" xfId="22243" xr:uid="{00000000-0005-0000-0000-0000DC560000}"/>
    <cellStyle name="Normal 2 2 4 2 2 10 3 4" xfId="22244" xr:uid="{00000000-0005-0000-0000-0000DD560000}"/>
    <cellStyle name="Normal 2 2 4 2 2 10 3 5" xfId="22245" xr:uid="{00000000-0005-0000-0000-0000DE560000}"/>
    <cellStyle name="Normal 2 2 4 2 2 10 3 6" xfId="22246" xr:uid="{00000000-0005-0000-0000-0000DF560000}"/>
    <cellStyle name="Normal 2 2 4 2 2 10 3 7" xfId="22247" xr:uid="{00000000-0005-0000-0000-0000E0560000}"/>
    <cellStyle name="Normal 2 2 4 2 2 10 3 8" xfId="22248" xr:uid="{00000000-0005-0000-0000-0000E1560000}"/>
    <cellStyle name="Normal 2 2 4 2 2 10 3 9" xfId="22249" xr:uid="{00000000-0005-0000-0000-0000E2560000}"/>
    <cellStyle name="Normal 2 2 4 2 2 10 4" xfId="22250" xr:uid="{00000000-0005-0000-0000-0000E3560000}"/>
    <cellStyle name="Normal 2 2 4 2 2 10 4 10" xfId="22251" xr:uid="{00000000-0005-0000-0000-0000E4560000}"/>
    <cellStyle name="Normal 2 2 4 2 2 10 4 2" xfId="22252" xr:uid="{00000000-0005-0000-0000-0000E5560000}"/>
    <cellStyle name="Normal 2 2 4 2 2 10 4 3" xfId="22253" xr:uid="{00000000-0005-0000-0000-0000E6560000}"/>
    <cellStyle name="Normal 2 2 4 2 2 10 4 4" xfId="22254" xr:uid="{00000000-0005-0000-0000-0000E7560000}"/>
    <cellStyle name="Normal 2 2 4 2 2 10 4 5" xfId="22255" xr:uid="{00000000-0005-0000-0000-0000E8560000}"/>
    <cellStyle name="Normal 2 2 4 2 2 10 4 6" xfId="22256" xr:uid="{00000000-0005-0000-0000-0000E9560000}"/>
    <cellStyle name="Normal 2 2 4 2 2 10 4 7" xfId="22257" xr:uid="{00000000-0005-0000-0000-0000EA560000}"/>
    <cellStyle name="Normal 2 2 4 2 2 10 4 8" xfId="22258" xr:uid="{00000000-0005-0000-0000-0000EB560000}"/>
    <cellStyle name="Normal 2 2 4 2 2 10 4 9" xfId="22259" xr:uid="{00000000-0005-0000-0000-0000EC560000}"/>
    <cellStyle name="Normal 2 2 4 2 2 10 5" xfId="22260" xr:uid="{00000000-0005-0000-0000-0000ED560000}"/>
    <cellStyle name="Normal 2 2 4 2 2 10 5 10" xfId="22261" xr:uid="{00000000-0005-0000-0000-0000EE560000}"/>
    <cellStyle name="Normal 2 2 4 2 2 10 5 2" xfId="22262" xr:uid="{00000000-0005-0000-0000-0000EF560000}"/>
    <cellStyle name="Normal 2 2 4 2 2 10 5 3" xfId="22263" xr:uid="{00000000-0005-0000-0000-0000F0560000}"/>
    <cellStyle name="Normal 2 2 4 2 2 10 5 4" xfId="22264" xr:uid="{00000000-0005-0000-0000-0000F1560000}"/>
    <cellStyle name="Normal 2 2 4 2 2 10 5 5" xfId="22265" xr:uid="{00000000-0005-0000-0000-0000F2560000}"/>
    <cellStyle name="Normal 2 2 4 2 2 10 5 6" xfId="22266" xr:uid="{00000000-0005-0000-0000-0000F3560000}"/>
    <cellStyle name="Normal 2 2 4 2 2 10 5 7" xfId="22267" xr:uid="{00000000-0005-0000-0000-0000F4560000}"/>
    <cellStyle name="Normal 2 2 4 2 2 10 5 8" xfId="22268" xr:uid="{00000000-0005-0000-0000-0000F5560000}"/>
    <cellStyle name="Normal 2 2 4 2 2 10 5 9" xfId="22269" xr:uid="{00000000-0005-0000-0000-0000F6560000}"/>
    <cellStyle name="Normal 2 2 4 2 2 10 6" xfId="22270" xr:uid="{00000000-0005-0000-0000-0000F7560000}"/>
    <cellStyle name="Normal 2 2 4 2 2 10 7" xfId="22271" xr:uid="{00000000-0005-0000-0000-0000F8560000}"/>
    <cellStyle name="Normal 2 2 4 2 2 10 8" xfId="22272" xr:uid="{00000000-0005-0000-0000-0000F9560000}"/>
    <cellStyle name="Normal 2 2 4 2 2 10 9" xfId="22273" xr:uid="{00000000-0005-0000-0000-0000FA560000}"/>
    <cellStyle name="Normal 2 2 4 2 2 11" xfId="22274" xr:uid="{00000000-0005-0000-0000-0000FB560000}"/>
    <cellStyle name="Normal 2 2 4 2 2 11 10" xfId="22275" xr:uid="{00000000-0005-0000-0000-0000FC560000}"/>
    <cellStyle name="Normal 2 2 4 2 2 11 11" xfId="22276" xr:uid="{00000000-0005-0000-0000-0000FD560000}"/>
    <cellStyle name="Normal 2 2 4 2 2 11 12" xfId="22277" xr:uid="{00000000-0005-0000-0000-0000FE560000}"/>
    <cellStyle name="Normal 2 2 4 2 2 11 13" xfId="22278" xr:uid="{00000000-0005-0000-0000-0000FF560000}"/>
    <cellStyle name="Normal 2 2 4 2 2 11 14" xfId="22279" xr:uid="{00000000-0005-0000-0000-000000570000}"/>
    <cellStyle name="Normal 2 2 4 2 2 11 2" xfId="22280" xr:uid="{00000000-0005-0000-0000-000001570000}"/>
    <cellStyle name="Normal 2 2 4 2 2 11 2 10" xfId="22281" xr:uid="{00000000-0005-0000-0000-000002570000}"/>
    <cellStyle name="Normal 2 2 4 2 2 11 2 2" xfId="22282" xr:uid="{00000000-0005-0000-0000-000003570000}"/>
    <cellStyle name="Normal 2 2 4 2 2 11 2 3" xfId="22283" xr:uid="{00000000-0005-0000-0000-000004570000}"/>
    <cellStyle name="Normal 2 2 4 2 2 11 2 4" xfId="22284" xr:uid="{00000000-0005-0000-0000-000005570000}"/>
    <cellStyle name="Normal 2 2 4 2 2 11 2 5" xfId="22285" xr:uid="{00000000-0005-0000-0000-000006570000}"/>
    <cellStyle name="Normal 2 2 4 2 2 11 2 6" xfId="22286" xr:uid="{00000000-0005-0000-0000-000007570000}"/>
    <cellStyle name="Normal 2 2 4 2 2 11 2 7" xfId="22287" xr:uid="{00000000-0005-0000-0000-000008570000}"/>
    <cellStyle name="Normal 2 2 4 2 2 11 2 8" xfId="22288" xr:uid="{00000000-0005-0000-0000-000009570000}"/>
    <cellStyle name="Normal 2 2 4 2 2 11 2 9" xfId="22289" xr:uid="{00000000-0005-0000-0000-00000A570000}"/>
    <cellStyle name="Normal 2 2 4 2 2 11 3" xfId="22290" xr:uid="{00000000-0005-0000-0000-00000B570000}"/>
    <cellStyle name="Normal 2 2 4 2 2 11 3 10" xfId="22291" xr:uid="{00000000-0005-0000-0000-00000C570000}"/>
    <cellStyle name="Normal 2 2 4 2 2 11 3 2" xfId="22292" xr:uid="{00000000-0005-0000-0000-00000D570000}"/>
    <cellStyle name="Normal 2 2 4 2 2 11 3 3" xfId="22293" xr:uid="{00000000-0005-0000-0000-00000E570000}"/>
    <cellStyle name="Normal 2 2 4 2 2 11 3 4" xfId="22294" xr:uid="{00000000-0005-0000-0000-00000F570000}"/>
    <cellStyle name="Normal 2 2 4 2 2 11 3 5" xfId="22295" xr:uid="{00000000-0005-0000-0000-000010570000}"/>
    <cellStyle name="Normal 2 2 4 2 2 11 3 6" xfId="22296" xr:uid="{00000000-0005-0000-0000-000011570000}"/>
    <cellStyle name="Normal 2 2 4 2 2 11 3 7" xfId="22297" xr:uid="{00000000-0005-0000-0000-000012570000}"/>
    <cellStyle name="Normal 2 2 4 2 2 11 3 8" xfId="22298" xr:uid="{00000000-0005-0000-0000-000013570000}"/>
    <cellStyle name="Normal 2 2 4 2 2 11 3 9" xfId="22299" xr:uid="{00000000-0005-0000-0000-000014570000}"/>
    <cellStyle name="Normal 2 2 4 2 2 11 4" xfId="22300" xr:uid="{00000000-0005-0000-0000-000015570000}"/>
    <cellStyle name="Normal 2 2 4 2 2 11 4 10" xfId="22301" xr:uid="{00000000-0005-0000-0000-000016570000}"/>
    <cellStyle name="Normal 2 2 4 2 2 11 4 2" xfId="22302" xr:uid="{00000000-0005-0000-0000-000017570000}"/>
    <cellStyle name="Normal 2 2 4 2 2 11 4 3" xfId="22303" xr:uid="{00000000-0005-0000-0000-000018570000}"/>
    <cellStyle name="Normal 2 2 4 2 2 11 4 4" xfId="22304" xr:uid="{00000000-0005-0000-0000-000019570000}"/>
    <cellStyle name="Normal 2 2 4 2 2 11 4 5" xfId="22305" xr:uid="{00000000-0005-0000-0000-00001A570000}"/>
    <cellStyle name="Normal 2 2 4 2 2 11 4 6" xfId="22306" xr:uid="{00000000-0005-0000-0000-00001B570000}"/>
    <cellStyle name="Normal 2 2 4 2 2 11 4 7" xfId="22307" xr:uid="{00000000-0005-0000-0000-00001C570000}"/>
    <cellStyle name="Normal 2 2 4 2 2 11 4 8" xfId="22308" xr:uid="{00000000-0005-0000-0000-00001D570000}"/>
    <cellStyle name="Normal 2 2 4 2 2 11 4 9" xfId="22309" xr:uid="{00000000-0005-0000-0000-00001E570000}"/>
    <cellStyle name="Normal 2 2 4 2 2 11 5" xfId="22310" xr:uid="{00000000-0005-0000-0000-00001F570000}"/>
    <cellStyle name="Normal 2 2 4 2 2 11 5 10" xfId="22311" xr:uid="{00000000-0005-0000-0000-000020570000}"/>
    <cellStyle name="Normal 2 2 4 2 2 11 5 2" xfId="22312" xr:uid="{00000000-0005-0000-0000-000021570000}"/>
    <cellStyle name="Normal 2 2 4 2 2 11 5 3" xfId="22313" xr:uid="{00000000-0005-0000-0000-000022570000}"/>
    <cellStyle name="Normal 2 2 4 2 2 11 5 4" xfId="22314" xr:uid="{00000000-0005-0000-0000-000023570000}"/>
    <cellStyle name="Normal 2 2 4 2 2 11 5 5" xfId="22315" xr:uid="{00000000-0005-0000-0000-000024570000}"/>
    <cellStyle name="Normal 2 2 4 2 2 11 5 6" xfId="22316" xr:uid="{00000000-0005-0000-0000-000025570000}"/>
    <cellStyle name="Normal 2 2 4 2 2 11 5 7" xfId="22317" xr:uid="{00000000-0005-0000-0000-000026570000}"/>
    <cellStyle name="Normal 2 2 4 2 2 11 5 8" xfId="22318" xr:uid="{00000000-0005-0000-0000-000027570000}"/>
    <cellStyle name="Normal 2 2 4 2 2 11 5 9" xfId="22319" xr:uid="{00000000-0005-0000-0000-000028570000}"/>
    <cellStyle name="Normal 2 2 4 2 2 11 6" xfId="22320" xr:uid="{00000000-0005-0000-0000-000029570000}"/>
    <cellStyle name="Normal 2 2 4 2 2 11 7" xfId="22321" xr:uid="{00000000-0005-0000-0000-00002A570000}"/>
    <cellStyle name="Normal 2 2 4 2 2 11 8" xfId="22322" xr:uid="{00000000-0005-0000-0000-00002B570000}"/>
    <cellStyle name="Normal 2 2 4 2 2 11 9" xfId="22323" xr:uid="{00000000-0005-0000-0000-00002C570000}"/>
    <cellStyle name="Normal 2 2 4 2 2 12" xfId="22324" xr:uid="{00000000-0005-0000-0000-00002D570000}"/>
    <cellStyle name="Normal 2 2 4 2 2 12 10" xfId="22325" xr:uid="{00000000-0005-0000-0000-00002E570000}"/>
    <cellStyle name="Normal 2 2 4 2 2 12 11" xfId="22326" xr:uid="{00000000-0005-0000-0000-00002F570000}"/>
    <cellStyle name="Normal 2 2 4 2 2 12 12" xfId="22327" xr:uid="{00000000-0005-0000-0000-000030570000}"/>
    <cellStyle name="Normal 2 2 4 2 2 12 13" xfId="22328" xr:uid="{00000000-0005-0000-0000-000031570000}"/>
    <cellStyle name="Normal 2 2 4 2 2 12 14" xfId="22329" xr:uid="{00000000-0005-0000-0000-000032570000}"/>
    <cellStyle name="Normal 2 2 4 2 2 12 2" xfId="22330" xr:uid="{00000000-0005-0000-0000-000033570000}"/>
    <cellStyle name="Normal 2 2 4 2 2 12 2 10" xfId="22331" xr:uid="{00000000-0005-0000-0000-000034570000}"/>
    <cellStyle name="Normal 2 2 4 2 2 12 2 2" xfId="22332" xr:uid="{00000000-0005-0000-0000-000035570000}"/>
    <cellStyle name="Normal 2 2 4 2 2 12 2 3" xfId="22333" xr:uid="{00000000-0005-0000-0000-000036570000}"/>
    <cellStyle name="Normal 2 2 4 2 2 12 2 4" xfId="22334" xr:uid="{00000000-0005-0000-0000-000037570000}"/>
    <cellStyle name="Normal 2 2 4 2 2 12 2 5" xfId="22335" xr:uid="{00000000-0005-0000-0000-000038570000}"/>
    <cellStyle name="Normal 2 2 4 2 2 12 2 6" xfId="22336" xr:uid="{00000000-0005-0000-0000-000039570000}"/>
    <cellStyle name="Normal 2 2 4 2 2 12 2 7" xfId="22337" xr:uid="{00000000-0005-0000-0000-00003A570000}"/>
    <cellStyle name="Normal 2 2 4 2 2 12 2 8" xfId="22338" xr:uid="{00000000-0005-0000-0000-00003B570000}"/>
    <cellStyle name="Normal 2 2 4 2 2 12 2 9" xfId="22339" xr:uid="{00000000-0005-0000-0000-00003C570000}"/>
    <cellStyle name="Normal 2 2 4 2 2 12 3" xfId="22340" xr:uid="{00000000-0005-0000-0000-00003D570000}"/>
    <cellStyle name="Normal 2 2 4 2 2 12 3 10" xfId="22341" xr:uid="{00000000-0005-0000-0000-00003E570000}"/>
    <cellStyle name="Normal 2 2 4 2 2 12 3 2" xfId="22342" xr:uid="{00000000-0005-0000-0000-00003F570000}"/>
    <cellStyle name="Normal 2 2 4 2 2 12 3 3" xfId="22343" xr:uid="{00000000-0005-0000-0000-000040570000}"/>
    <cellStyle name="Normal 2 2 4 2 2 12 3 4" xfId="22344" xr:uid="{00000000-0005-0000-0000-000041570000}"/>
    <cellStyle name="Normal 2 2 4 2 2 12 3 5" xfId="22345" xr:uid="{00000000-0005-0000-0000-000042570000}"/>
    <cellStyle name="Normal 2 2 4 2 2 12 3 6" xfId="22346" xr:uid="{00000000-0005-0000-0000-000043570000}"/>
    <cellStyle name="Normal 2 2 4 2 2 12 3 7" xfId="22347" xr:uid="{00000000-0005-0000-0000-000044570000}"/>
    <cellStyle name="Normal 2 2 4 2 2 12 3 8" xfId="22348" xr:uid="{00000000-0005-0000-0000-000045570000}"/>
    <cellStyle name="Normal 2 2 4 2 2 12 3 9" xfId="22349" xr:uid="{00000000-0005-0000-0000-000046570000}"/>
    <cellStyle name="Normal 2 2 4 2 2 12 4" xfId="22350" xr:uid="{00000000-0005-0000-0000-000047570000}"/>
    <cellStyle name="Normal 2 2 4 2 2 12 4 10" xfId="22351" xr:uid="{00000000-0005-0000-0000-000048570000}"/>
    <cellStyle name="Normal 2 2 4 2 2 12 4 2" xfId="22352" xr:uid="{00000000-0005-0000-0000-000049570000}"/>
    <cellStyle name="Normal 2 2 4 2 2 12 4 3" xfId="22353" xr:uid="{00000000-0005-0000-0000-00004A570000}"/>
    <cellStyle name="Normal 2 2 4 2 2 12 4 4" xfId="22354" xr:uid="{00000000-0005-0000-0000-00004B570000}"/>
    <cellStyle name="Normal 2 2 4 2 2 12 4 5" xfId="22355" xr:uid="{00000000-0005-0000-0000-00004C570000}"/>
    <cellStyle name="Normal 2 2 4 2 2 12 4 6" xfId="22356" xr:uid="{00000000-0005-0000-0000-00004D570000}"/>
    <cellStyle name="Normal 2 2 4 2 2 12 4 7" xfId="22357" xr:uid="{00000000-0005-0000-0000-00004E570000}"/>
    <cellStyle name="Normal 2 2 4 2 2 12 4 8" xfId="22358" xr:uid="{00000000-0005-0000-0000-00004F570000}"/>
    <cellStyle name="Normal 2 2 4 2 2 12 4 9" xfId="22359" xr:uid="{00000000-0005-0000-0000-000050570000}"/>
    <cellStyle name="Normal 2 2 4 2 2 12 5" xfId="22360" xr:uid="{00000000-0005-0000-0000-000051570000}"/>
    <cellStyle name="Normal 2 2 4 2 2 12 5 10" xfId="22361" xr:uid="{00000000-0005-0000-0000-000052570000}"/>
    <cellStyle name="Normal 2 2 4 2 2 12 5 2" xfId="22362" xr:uid="{00000000-0005-0000-0000-000053570000}"/>
    <cellStyle name="Normal 2 2 4 2 2 12 5 3" xfId="22363" xr:uid="{00000000-0005-0000-0000-000054570000}"/>
    <cellStyle name="Normal 2 2 4 2 2 12 5 4" xfId="22364" xr:uid="{00000000-0005-0000-0000-000055570000}"/>
    <cellStyle name="Normal 2 2 4 2 2 12 5 5" xfId="22365" xr:uid="{00000000-0005-0000-0000-000056570000}"/>
    <cellStyle name="Normal 2 2 4 2 2 12 5 6" xfId="22366" xr:uid="{00000000-0005-0000-0000-000057570000}"/>
    <cellStyle name="Normal 2 2 4 2 2 12 5 7" xfId="22367" xr:uid="{00000000-0005-0000-0000-000058570000}"/>
    <cellStyle name="Normal 2 2 4 2 2 12 5 8" xfId="22368" xr:uid="{00000000-0005-0000-0000-000059570000}"/>
    <cellStyle name="Normal 2 2 4 2 2 12 5 9" xfId="22369" xr:uid="{00000000-0005-0000-0000-00005A570000}"/>
    <cellStyle name="Normal 2 2 4 2 2 12 6" xfId="22370" xr:uid="{00000000-0005-0000-0000-00005B570000}"/>
    <cellStyle name="Normal 2 2 4 2 2 12 7" xfId="22371" xr:uid="{00000000-0005-0000-0000-00005C570000}"/>
    <cellStyle name="Normal 2 2 4 2 2 12 8" xfId="22372" xr:uid="{00000000-0005-0000-0000-00005D570000}"/>
    <cellStyle name="Normal 2 2 4 2 2 12 9" xfId="22373" xr:uid="{00000000-0005-0000-0000-00005E570000}"/>
    <cellStyle name="Normal 2 2 4 2 2 13" xfId="22374" xr:uid="{00000000-0005-0000-0000-00005F570000}"/>
    <cellStyle name="Normal 2 2 4 2 2 13 10" xfId="22375" xr:uid="{00000000-0005-0000-0000-000060570000}"/>
    <cellStyle name="Normal 2 2 4 2 2 13 11" xfId="22376" xr:uid="{00000000-0005-0000-0000-000061570000}"/>
    <cellStyle name="Normal 2 2 4 2 2 13 12" xfId="22377" xr:uid="{00000000-0005-0000-0000-000062570000}"/>
    <cellStyle name="Normal 2 2 4 2 2 13 13" xfId="22378" xr:uid="{00000000-0005-0000-0000-000063570000}"/>
    <cellStyle name="Normal 2 2 4 2 2 13 14" xfId="22379" xr:uid="{00000000-0005-0000-0000-000064570000}"/>
    <cellStyle name="Normal 2 2 4 2 2 13 2" xfId="22380" xr:uid="{00000000-0005-0000-0000-000065570000}"/>
    <cellStyle name="Normal 2 2 4 2 2 13 2 10" xfId="22381" xr:uid="{00000000-0005-0000-0000-000066570000}"/>
    <cellStyle name="Normal 2 2 4 2 2 13 2 2" xfId="22382" xr:uid="{00000000-0005-0000-0000-000067570000}"/>
    <cellStyle name="Normal 2 2 4 2 2 13 2 3" xfId="22383" xr:uid="{00000000-0005-0000-0000-000068570000}"/>
    <cellStyle name="Normal 2 2 4 2 2 13 2 4" xfId="22384" xr:uid="{00000000-0005-0000-0000-000069570000}"/>
    <cellStyle name="Normal 2 2 4 2 2 13 2 5" xfId="22385" xr:uid="{00000000-0005-0000-0000-00006A570000}"/>
    <cellStyle name="Normal 2 2 4 2 2 13 2 6" xfId="22386" xr:uid="{00000000-0005-0000-0000-00006B570000}"/>
    <cellStyle name="Normal 2 2 4 2 2 13 2 7" xfId="22387" xr:uid="{00000000-0005-0000-0000-00006C570000}"/>
    <cellStyle name="Normal 2 2 4 2 2 13 2 8" xfId="22388" xr:uid="{00000000-0005-0000-0000-00006D570000}"/>
    <cellStyle name="Normal 2 2 4 2 2 13 2 9" xfId="22389" xr:uid="{00000000-0005-0000-0000-00006E570000}"/>
    <cellStyle name="Normal 2 2 4 2 2 13 3" xfId="22390" xr:uid="{00000000-0005-0000-0000-00006F570000}"/>
    <cellStyle name="Normal 2 2 4 2 2 13 3 10" xfId="22391" xr:uid="{00000000-0005-0000-0000-000070570000}"/>
    <cellStyle name="Normal 2 2 4 2 2 13 3 2" xfId="22392" xr:uid="{00000000-0005-0000-0000-000071570000}"/>
    <cellStyle name="Normal 2 2 4 2 2 13 3 3" xfId="22393" xr:uid="{00000000-0005-0000-0000-000072570000}"/>
    <cellStyle name="Normal 2 2 4 2 2 13 3 4" xfId="22394" xr:uid="{00000000-0005-0000-0000-000073570000}"/>
    <cellStyle name="Normal 2 2 4 2 2 13 3 5" xfId="22395" xr:uid="{00000000-0005-0000-0000-000074570000}"/>
    <cellStyle name="Normal 2 2 4 2 2 13 3 6" xfId="22396" xr:uid="{00000000-0005-0000-0000-000075570000}"/>
    <cellStyle name="Normal 2 2 4 2 2 13 3 7" xfId="22397" xr:uid="{00000000-0005-0000-0000-000076570000}"/>
    <cellStyle name="Normal 2 2 4 2 2 13 3 8" xfId="22398" xr:uid="{00000000-0005-0000-0000-000077570000}"/>
    <cellStyle name="Normal 2 2 4 2 2 13 3 9" xfId="22399" xr:uid="{00000000-0005-0000-0000-000078570000}"/>
    <cellStyle name="Normal 2 2 4 2 2 13 4" xfId="22400" xr:uid="{00000000-0005-0000-0000-000079570000}"/>
    <cellStyle name="Normal 2 2 4 2 2 13 4 10" xfId="22401" xr:uid="{00000000-0005-0000-0000-00007A570000}"/>
    <cellStyle name="Normal 2 2 4 2 2 13 4 2" xfId="22402" xr:uid="{00000000-0005-0000-0000-00007B570000}"/>
    <cellStyle name="Normal 2 2 4 2 2 13 4 3" xfId="22403" xr:uid="{00000000-0005-0000-0000-00007C570000}"/>
    <cellStyle name="Normal 2 2 4 2 2 13 4 4" xfId="22404" xr:uid="{00000000-0005-0000-0000-00007D570000}"/>
    <cellStyle name="Normal 2 2 4 2 2 13 4 5" xfId="22405" xr:uid="{00000000-0005-0000-0000-00007E570000}"/>
    <cellStyle name="Normal 2 2 4 2 2 13 4 6" xfId="22406" xr:uid="{00000000-0005-0000-0000-00007F570000}"/>
    <cellStyle name="Normal 2 2 4 2 2 13 4 7" xfId="22407" xr:uid="{00000000-0005-0000-0000-000080570000}"/>
    <cellStyle name="Normal 2 2 4 2 2 13 4 8" xfId="22408" xr:uid="{00000000-0005-0000-0000-000081570000}"/>
    <cellStyle name="Normal 2 2 4 2 2 13 4 9" xfId="22409" xr:uid="{00000000-0005-0000-0000-000082570000}"/>
    <cellStyle name="Normal 2 2 4 2 2 13 5" xfId="22410" xr:uid="{00000000-0005-0000-0000-000083570000}"/>
    <cellStyle name="Normal 2 2 4 2 2 13 5 10" xfId="22411" xr:uid="{00000000-0005-0000-0000-000084570000}"/>
    <cellStyle name="Normal 2 2 4 2 2 13 5 2" xfId="22412" xr:uid="{00000000-0005-0000-0000-000085570000}"/>
    <cellStyle name="Normal 2 2 4 2 2 13 5 3" xfId="22413" xr:uid="{00000000-0005-0000-0000-000086570000}"/>
    <cellStyle name="Normal 2 2 4 2 2 13 5 4" xfId="22414" xr:uid="{00000000-0005-0000-0000-000087570000}"/>
    <cellStyle name="Normal 2 2 4 2 2 13 5 5" xfId="22415" xr:uid="{00000000-0005-0000-0000-000088570000}"/>
    <cellStyle name="Normal 2 2 4 2 2 13 5 6" xfId="22416" xr:uid="{00000000-0005-0000-0000-000089570000}"/>
    <cellStyle name="Normal 2 2 4 2 2 13 5 7" xfId="22417" xr:uid="{00000000-0005-0000-0000-00008A570000}"/>
    <cellStyle name="Normal 2 2 4 2 2 13 5 8" xfId="22418" xr:uid="{00000000-0005-0000-0000-00008B570000}"/>
    <cellStyle name="Normal 2 2 4 2 2 13 5 9" xfId="22419" xr:uid="{00000000-0005-0000-0000-00008C570000}"/>
    <cellStyle name="Normal 2 2 4 2 2 13 6" xfId="22420" xr:uid="{00000000-0005-0000-0000-00008D570000}"/>
    <cellStyle name="Normal 2 2 4 2 2 13 7" xfId="22421" xr:uid="{00000000-0005-0000-0000-00008E570000}"/>
    <cellStyle name="Normal 2 2 4 2 2 13 8" xfId="22422" xr:uid="{00000000-0005-0000-0000-00008F570000}"/>
    <cellStyle name="Normal 2 2 4 2 2 13 9" xfId="22423" xr:uid="{00000000-0005-0000-0000-000090570000}"/>
    <cellStyle name="Normal 2 2 4 2 2 14" xfId="22424" xr:uid="{00000000-0005-0000-0000-000091570000}"/>
    <cellStyle name="Normal 2 2 4 2 2 14 10" xfId="22425" xr:uid="{00000000-0005-0000-0000-000092570000}"/>
    <cellStyle name="Normal 2 2 4 2 2 14 11" xfId="22426" xr:uid="{00000000-0005-0000-0000-000093570000}"/>
    <cellStyle name="Normal 2 2 4 2 2 14 12" xfId="22427" xr:uid="{00000000-0005-0000-0000-000094570000}"/>
    <cellStyle name="Normal 2 2 4 2 2 14 13" xfId="22428" xr:uid="{00000000-0005-0000-0000-000095570000}"/>
    <cellStyle name="Normal 2 2 4 2 2 14 14" xfId="22429" xr:uid="{00000000-0005-0000-0000-000096570000}"/>
    <cellStyle name="Normal 2 2 4 2 2 14 2" xfId="22430" xr:uid="{00000000-0005-0000-0000-000097570000}"/>
    <cellStyle name="Normal 2 2 4 2 2 14 2 10" xfId="22431" xr:uid="{00000000-0005-0000-0000-000098570000}"/>
    <cellStyle name="Normal 2 2 4 2 2 14 2 2" xfId="22432" xr:uid="{00000000-0005-0000-0000-000099570000}"/>
    <cellStyle name="Normal 2 2 4 2 2 14 2 3" xfId="22433" xr:uid="{00000000-0005-0000-0000-00009A570000}"/>
    <cellStyle name="Normal 2 2 4 2 2 14 2 4" xfId="22434" xr:uid="{00000000-0005-0000-0000-00009B570000}"/>
    <cellStyle name="Normal 2 2 4 2 2 14 2 5" xfId="22435" xr:uid="{00000000-0005-0000-0000-00009C570000}"/>
    <cellStyle name="Normal 2 2 4 2 2 14 2 6" xfId="22436" xr:uid="{00000000-0005-0000-0000-00009D570000}"/>
    <cellStyle name="Normal 2 2 4 2 2 14 2 7" xfId="22437" xr:uid="{00000000-0005-0000-0000-00009E570000}"/>
    <cellStyle name="Normal 2 2 4 2 2 14 2 8" xfId="22438" xr:uid="{00000000-0005-0000-0000-00009F570000}"/>
    <cellStyle name="Normal 2 2 4 2 2 14 2 9" xfId="22439" xr:uid="{00000000-0005-0000-0000-0000A0570000}"/>
    <cellStyle name="Normal 2 2 4 2 2 14 3" xfId="22440" xr:uid="{00000000-0005-0000-0000-0000A1570000}"/>
    <cellStyle name="Normal 2 2 4 2 2 14 3 10" xfId="22441" xr:uid="{00000000-0005-0000-0000-0000A2570000}"/>
    <cellStyle name="Normal 2 2 4 2 2 14 3 2" xfId="22442" xr:uid="{00000000-0005-0000-0000-0000A3570000}"/>
    <cellStyle name="Normal 2 2 4 2 2 14 3 3" xfId="22443" xr:uid="{00000000-0005-0000-0000-0000A4570000}"/>
    <cellStyle name="Normal 2 2 4 2 2 14 3 4" xfId="22444" xr:uid="{00000000-0005-0000-0000-0000A5570000}"/>
    <cellStyle name="Normal 2 2 4 2 2 14 3 5" xfId="22445" xr:uid="{00000000-0005-0000-0000-0000A6570000}"/>
    <cellStyle name="Normal 2 2 4 2 2 14 3 6" xfId="22446" xr:uid="{00000000-0005-0000-0000-0000A7570000}"/>
    <cellStyle name="Normal 2 2 4 2 2 14 3 7" xfId="22447" xr:uid="{00000000-0005-0000-0000-0000A8570000}"/>
    <cellStyle name="Normal 2 2 4 2 2 14 3 8" xfId="22448" xr:uid="{00000000-0005-0000-0000-0000A9570000}"/>
    <cellStyle name="Normal 2 2 4 2 2 14 3 9" xfId="22449" xr:uid="{00000000-0005-0000-0000-0000AA570000}"/>
    <cellStyle name="Normal 2 2 4 2 2 14 4" xfId="22450" xr:uid="{00000000-0005-0000-0000-0000AB570000}"/>
    <cellStyle name="Normal 2 2 4 2 2 14 4 10" xfId="22451" xr:uid="{00000000-0005-0000-0000-0000AC570000}"/>
    <cellStyle name="Normal 2 2 4 2 2 14 4 2" xfId="22452" xr:uid="{00000000-0005-0000-0000-0000AD570000}"/>
    <cellStyle name="Normal 2 2 4 2 2 14 4 3" xfId="22453" xr:uid="{00000000-0005-0000-0000-0000AE570000}"/>
    <cellStyle name="Normal 2 2 4 2 2 14 4 4" xfId="22454" xr:uid="{00000000-0005-0000-0000-0000AF570000}"/>
    <cellStyle name="Normal 2 2 4 2 2 14 4 5" xfId="22455" xr:uid="{00000000-0005-0000-0000-0000B0570000}"/>
    <cellStyle name="Normal 2 2 4 2 2 14 4 6" xfId="22456" xr:uid="{00000000-0005-0000-0000-0000B1570000}"/>
    <cellStyle name="Normal 2 2 4 2 2 14 4 7" xfId="22457" xr:uid="{00000000-0005-0000-0000-0000B2570000}"/>
    <cellStyle name="Normal 2 2 4 2 2 14 4 8" xfId="22458" xr:uid="{00000000-0005-0000-0000-0000B3570000}"/>
    <cellStyle name="Normal 2 2 4 2 2 14 4 9" xfId="22459" xr:uid="{00000000-0005-0000-0000-0000B4570000}"/>
    <cellStyle name="Normal 2 2 4 2 2 14 5" xfId="22460" xr:uid="{00000000-0005-0000-0000-0000B5570000}"/>
    <cellStyle name="Normal 2 2 4 2 2 14 5 10" xfId="22461" xr:uid="{00000000-0005-0000-0000-0000B6570000}"/>
    <cellStyle name="Normal 2 2 4 2 2 14 5 2" xfId="22462" xr:uid="{00000000-0005-0000-0000-0000B7570000}"/>
    <cellStyle name="Normal 2 2 4 2 2 14 5 3" xfId="22463" xr:uid="{00000000-0005-0000-0000-0000B8570000}"/>
    <cellStyle name="Normal 2 2 4 2 2 14 5 4" xfId="22464" xr:uid="{00000000-0005-0000-0000-0000B9570000}"/>
    <cellStyle name="Normal 2 2 4 2 2 14 5 5" xfId="22465" xr:uid="{00000000-0005-0000-0000-0000BA570000}"/>
    <cellStyle name="Normal 2 2 4 2 2 14 5 6" xfId="22466" xr:uid="{00000000-0005-0000-0000-0000BB570000}"/>
    <cellStyle name="Normal 2 2 4 2 2 14 5 7" xfId="22467" xr:uid="{00000000-0005-0000-0000-0000BC570000}"/>
    <cellStyle name="Normal 2 2 4 2 2 14 5 8" xfId="22468" xr:uid="{00000000-0005-0000-0000-0000BD570000}"/>
    <cellStyle name="Normal 2 2 4 2 2 14 5 9" xfId="22469" xr:uid="{00000000-0005-0000-0000-0000BE570000}"/>
    <cellStyle name="Normal 2 2 4 2 2 14 6" xfId="22470" xr:uid="{00000000-0005-0000-0000-0000BF570000}"/>
    <cellStyle name="Normal 2 2 4 2 2 14 7" xfId="22471" xr:uid="{00000000-0005-0000-0000-0000C0570000}"/>
    <cellStyle name="Normal 2 2 4 2 2 14 8" xfId="22472" xr:uid="{00000000-0005-0000-0000-0000C1570000}"/>
    <cellStyle name="Normal 2 2 4 2 2 14 9" xfId="22473" xr:uid="{00000000-0005-0000-0000-0000C2570000}"/>
    <cellStyle name="Normal 2 2 4 2 2 15" xfId="22474" xr:uid="{00000000-0005-0000-0000-0000C3570000}"/>
    <cellStyle name="Normal 2 2 4 2 2 15 10" xfId="22475" xr:uid="{00000000-0005-0000-0000-0000C4570000}"/>
    <cellStyle name="Normal 2 2 4 2 2 15 11" xfId="22476" xr:uid="{00000000-0005-0000-0000-0000C5570000}"/>
    <cellStyle name="Normal 2 2 4 2 2 15 12" xfId="22477" xr:uid="{00000000-0005-0000-0000-0000C6570000}"/>
    <cellStyle name="Normal 2 2 4 2 2 15 13" xfId="22478" xr:uid="{00000000-0005-0000-0000-0000C7570000}"/>
    <cellStyle name="Normal 2 2 4 2 2 15 14" xfId="22479" xr:uid="{00000000-0005-0000-0000-0000C8570000}"/>
    <cellStyle name="Normal 2 2 4 2 2 15 2" xfId="22480" xr:uid="{00000000-0005-0000-0000-0000C9570000}"/>
    <cellStyle name="Normal 2 2 4 2 2 15 2 10" xfId="22481" xr:uid="{00000000-0005-0000-0000-0000CA570000}"/>
    <cellStyle name="Normal 2 2 4 2 2 15 2 2" xfId="22482" xr:uid="{00000000-0005-0000-0000-0000CB570000}"/>
    <cellStyle name="Normal 2 2 4 2 2 15 2 3" xfId="22483" xr:uid="{00000000-0005-0000-0000-0000CC570000}"/>
    <cellStyle name="Normal 2 2 4 2 2 15 2 4" xfId="22484" xr:uid="{00000000-0005-0000-0000-0000CD570000}"/>
    <cellStyle name="Normal 2 2 4 2 2 15 2 5" xfId="22485" xr:uid="{00000000-0005-0000-0000-0000CE570000}"/>
    <cellStyle name="Normal 2 2 4 2 2 15 2 6" xfId="22486" xr:uid="{00000000-0005-0000-0000-0000CF570000}"/>
    <cellStyle name="Normal 2 2 4 2 2 15 2 7" xfId="22487" xr:uid="{00000000-0005-0000-0000-0000D0570000}"/>
    <cellStyle name="Normal 2 2 4 2 2 15 2 8" xfId="22488" xr:uid="{00000000-0005-0000-0000-0000D1570000}"/>
    <cellStyle name="Normal 2 2 4 2 2 15 2 9" xfId="22489" xr:uid="{00000000-0005-0000-0000-0000D2570000}"/>
    <cellStyle name="Normal 2 2 4 2 2 15 3" xfId="22490" xr:uid="{00000000-0005-0000-0000-0000D3570000}"/>
    <cellStyle name="Normal 2 2 4 2 2 15 3 10" xfId="22491" xr:uid="{00000000-0005-0000-0000-0000D4570000}"/>
    <cellStyle name="Normal 2 2 4 2 2 15 3 2" xfId="22492" xr:uid="{00000000-0005-0000-0000-0000D5570000}"/>
    <cellStyle name="Normal 2 2 4 2 2 15 3 3" xfId="22493" xr:uid="{00000000-0005-0000-0000-0000D6570000}"/>
    <cellStyle name="Normal 2 2 4 2 2 15 3 4" xfId="22494" xr:uid="{00000000-0005-0000-0000-0000D7570000}"/>
    <cellStyle name="Normal 2 2 4 2 2 15 3 5" xfId="22495" xr:uid="{00000000-0005-0000-0000-0000D8570000}"/>
    <cellStyle name="Normal 2 2 4 2 2 15 3 6" xfId="22496" xr:uid="{00000000-0005-0000-0000-0000D9570000}"/>
    <cellStyle name="Normal 2 2 4 2 2 15 3 7" xfId="22497" xr:uid="{00000000-0005-0000-0000-0000DA570000}"/>
    <cellStyle name="Normal 2 2 4 2 2 15 3 8" xfId="22498" xr:uid="{00000000-0005-0000-0000-0000DB570000}"/>
    <cellStyle name="Normal 2 2 4 2 2 15 3 9" xfId="22499" xr:uid="{00000000-0005-0000-0000-0000DC570000}"/>
    <cellStyle name="Normal 2 2 4 2 2 15 4" xfId="22500" xr:uid="{00000000-0005-0000-0000-0000DD570000}"/>
    <cellStyle name="Normal 2 2 4 2 2 15 4 10" xfId="22501" xr:uid="{00000000-0005-0000-0000-0000DE570000}"/>
    <cellStyle name="Normal 2 2 4 2 2 15 4 2" xfId="22502" xr:uid="{00000000-0005-0000-0000-0000DF570000}"/>
    <cellStyle name="Normal 2 2 4 2 2 15 4 3" xfId="22503" xr:uid="{00000000-0005-0000-0000-0000E0570000}"/>
    <cellStyle name="Normal 2 2 4 2 2 15 4 4" xfId="22504" xr:uid="{00000000-0005-0000-0000-0000E1570000}"/>
    <cellStyle name="Normal 2 2 4 2 2 15 4 5" xfId="22505" xr:uid="{00000000-0005-0000-0000-0000E2570000}"/>
    <cellStyle name="Normal 2 2 4 2 2 15 4 6" xfId="22506" xr:uid="{00000000-0005-0000-0000-0000E3570000}"/>
    <cellStyle name="Normal 2 2 4 2 2 15 4 7" xfId="22507" xr:uid="{00000000-0005-0000-0000-0000E4570000}"/>
    <cellStyle name="Normal 2 2 4 2 2 15 4 8" xfId="22508" xr:uid="{00000000-0005-0000-0000-0000E5570000}"/>
    <cellStyle name="Normal 2 2 4 2 2 15 4 9" xfId="22509" xr:uid="{00000000-0005-0000-0000-0000E6570000}"/>
    <cellStyle name="Normal 2 2 4 2 2 15 5" xfId="22510" xr:uid="{00000000-0005-0000-0000-0000E7570000}"/>
    <cellStyle name="Normal 2 2 4 2 2 15 5 10" xfId="22511" xr:uid="{00000000-0005-0000-0000-0000E8570000}"/>
    <cellStyle name="Normal 2 2 4 2 2 15 5 2" xfId="22512" xr:uid="{00000000-0005-0000-0000-0000E9570000}"/>
    <cellStyle name="Normal 2 2 4 2 2 15 5 3" xfId="22513" xr:uid="{00000000-0005-0000-0000-0000EA570000}"/>
    <cellStyle name="Normal 2 2 4 2 2 15 5 4" xfId="22514" xr:uid="{00000000-0005-0000-0000-0000EB570000}"/>
    <cellStyle name="Normal 2 2 4 2 2 15 5 5" xfId="22515" xr:uid="{00000000-0005-0000-0000-0000EC570000}"/>
    <cellStyle name="Normal 2 2 4 2 2 15 5 6" xfId="22516" xr:uid="{00000000-0005-0000-0000-0000ED570000}"/>
    <cellStyle name="Normal 2 2 4 2 2 15 5 7" xfId="22517" xr:uid="{00000000-0005-0000-0000-0000EE570000}"/>
    <cellStyle name="Normal 2 2 4 2 2 15 5 8" xfId="22518" xr:uid="{00000000-0005-0000-0000-0000EF570000}"/>
    <cellStyle name="Normal 2 2 4 2 2 15 5 9" xfId="22519" xr:uid="{00000000-0005-0000-0000-0000F0570000}"/>
    <cellStyle name="Normal 2 2 4 2 2 15 6" xfId="22520" xr:uid="{00000000-0005-0000-0000-0000F1570000}"/>
    <cellStyle name="Normal 2 2 4 2 2 15 7" xfId="22521" xr:uid="{00000000-0005-0000-0000-0000F2570000}"/>
    <cellStyle name="Normal 2 2 4 2 2 15 8" xfId="22522" xr:uid="{00000000-0005-0000-0000-0000F3570000}"/>
    <cellStyle name="Normal 2 2 4 2 2 15 9" xfId="22523" xr:uid="{00000000-0005-0000-0000-0000F4570000}"/>
    <cellStyle name="Normal 2 2 4 2 2 16" xfId="22524" xr:uid="{00000000-0005-0000-0000-0000F5570000}"/>
    <cellStyle name="Normal 2 2 4 2 2 16 10" xfId="22525" xr:uid="{00000000-0005-0000-0000-0000F6570000}"/>
    <cellStyle name="Normal 2 2 4 2 2 16 11" xfId="22526" xr:uid="{00000000-0005-0000-0000-0000F7570000}"/>
    <cellStyle name="Normal 2 2 4 2 2 16 12" xfId="22527" xr:uid="{00000000-0005-0000-0000-0000F8570000}"/>
    <cellStyle name="Normal 2 2 4 2 2 16 13" xfId="22528" xr:uid="{00000000-0005-0000-0000-0000F9570000}"/>
    <cellStyle name="Normal 2 2 4 2 2 16 14" xfId="22529" xr:uid="{00000000-0005-0000-0000-0000FA570000}"/>
    <cellStyle name="Normal 2 2 4 2 2 16 2" xfId="22530" xr:uid="{00000000-0005-0000-0000-0000FB570000}"/>
    <cellStyle name="Normal 2 2 4 2 2 16 2 10" xfId="22531" xr:uid="{00000000-0005-0000-0000-0000FC570000}"/>
    <cellStyle name="Normal 2 2 4 2 2 16 2 2" xfId="22532" xr:uid="{00000000-0005-0000-0000-0000FD570000}"/>
    <cellStyle name="Normal 2 2 4 2 2 16 2 3" xfId="22533" xr:uid="{00000000-0005-0000-0000-0000FE570000}"/>
    <cellStyle name="Normal 2 2 4 2 2 16 2 4" xfId="22534" xr:uid="{00000000-0005-0000-0000-0000FF570000}"/>
    <cellStyle name="Normal 2 2 4 2 2 16 2 5" xfId="22535" xr:uid="{00000000-0005-0000-0000-000000580000}"/>
    <cellStyle name="Normal 2 2 4 2 2 16 2 6" xfId="22536" xr:uid="{00000000-0005-0000-0000-000001580000}"/>
    <cellStyle name="Normal 2 2 4 2 2 16 2 7" xfId="22537" xr:uid="{00000000-0005-0000-0000-000002580000}"/>
    <cellStyle name="Normal 2 2 4 2 2 16 2 8" xfId="22538" xr:uid="{00000000-0005-0000-0000-000003580000}"/>
    <cellStyle name="Normal 2 2 4 2 2 16 2 9" xfId="22539" xr:uid="{00000000-0005-0000-0000-000004580000}"/>
    <cellStyle name="Normal 2 2 4 2 2 16 3" xfId="22540" xr:uid="{00000000-0005-0000-0000-000005580000}"/>
    <cellStyle name="Normal 2 2 4 2 2 16 3 10" xfId="22541" xr:uid="{00000000-0005-0000-0000-000006580000}"/>
    <cellStyle name="Normal 2 2 4 2 2 16 3 2" xfId="22542" xr:uid="{00000000-0005-0000-0000-000007580000}"/>
    <cellStyle name="Normal 2 2 4 2 2 16 3 3" xfId="22543" xr:uid="{00000000-0005-0000-0000-000008580000}"/>
    <cellStyle name="Normal 2 2 4 2 2 16 3 4" xfId="22544" xr:uid="{00000000-0005-0000-0000-000009580000}"/>
    <cellStyle name="Normal 2 2 4 2 2 16 3 5" xfId="22545" xr:uid="{00000000-0005-0000-0000-00000A580000}"/>
    <cellStyle name="Normal 2 2 4 2 2 16 3 6" xfId="22546" xr:uid="{00000000-0005-0000-0000-00000B580000}"/>
    <cellStyle name="Normal 2 2 4 2 2 16 3 7" xfId="22547" xr:uid="{00000000-0005-0000-0000-00000C580000}"/>
    <cellStyle name="Normal 2 2 4 2 2 16 3 8" xfId="22548" xr:uid="{00000000-0005-0000-0000-00000D580000}"/>
    <cellStyle name="Normal 2 2 4 2 2 16 3 9" xfId="22549" xr:uid="{00000000-0005-0000-0000-00000E580000}"/>
    <cellStyle name="Normal 2 2 4 2 2 16 4" xfId="22550" xr:uid="{00000000-0005-0000-0000-00000F580000}"/>
    <cellStyle name="Normal 2 2 4 2 2 16 4 10" xfId="22551" xr:uid="{00000000-0005-0000-0000-000010580000}"/>
    <cellStyle name="Normal 2 2 4 2 2 16 4 2" xfId="22552" xr:uid="{00000000-0005-0000-0000-000011580000}"/>
    <cellStyle name="Normal 2 2 4 2 2 16 4 3" xfId="22553" xr:uid="{00000000-0005-0000-0000-000012580000}"/>
    <cellStyle name="Normal 2 2 4 2 2 16 4 4" xfId="22554" xr:uid="{00000000-0005-0000-0000-000013580000}"/>
    <cellStyle name="Normal 2 2 4 2 2 16 4 5" xfId="22555" xr:uid="{00000000-0005-0000-0000-000014580000}"/>
    <cellStyle name="Normal 2 2 4 2 2 16 4 6" xfId="22556" xr:uid="{00000000-0005-0000-0000-000015580000}"/>
    <cellStyle name="Normal 2 2 4 2 2 16 4 7" xfId="22557" xr:uid="{00000000-0005-0000-0000-000016580000}"/>
    <cellStyle name="Normal 2 2 4 2 2 16 4 8" xfId="22558" xr:uid="{00000000-0005-0000-0000-000017580000}"/>
    <cellStyle name="Normal 2 2 4 2 2 16 4 9" xfId="22559" xr:uid="{00000000-0005-0000-0000-000018580000}"/>
    <cellStyle name="Normal 2 2 4 2 2 16 5" xfId="22560" xr:uid="{00000000-0005-0000-0000-000019580000}"/>
    <cellStyle name="Normal 2 2 4 2 2 16 5 10" xfId="22561" xr:uid="{00000000-0005-0000-0000-00001A580000}"/>
    <cellStyle name="Normal 2 2 4 2 2 16 5 2" xfId="22562" xr:uid="{00000000-0005-0000-0000-00001B580000}"/>
    <cellStyle name="Normal 2 2 4 2 2 16 5 3" xfId="22563" xr:uid="{00000000-0005-0000-0000-00001C580000}"/>
    <cellStyle name="Normal 2 2 4 2 2 16 5 4" xfId="22564" xr:uid="{00000000-0005-0000-0000-00001D580000}"/>
    <cellStyle name="Normal 2 2 4 2 2 16 5 5" xfId="22565" xr:uid="{00000000-0005-0000-0000-00001E580000}"/>
    <cellStyle name="Normal 2 2 4 2 2 16 5 6" xfId="22566" xr:uid="{00000000-0005-0000-0000-00001F580000}"/>
    <cellStyle name="Normal 2 2 4 2 2 16 5 7" xfId="22567" xr:uid="{00000000-0005-0000-0000-000020580000}"/>
    <cellStyle name="Normal 2 2 4 2 2 16 5 8" xfId="22568" xr:uid="{00000000-0005-0000-0000-000021580000}"/>
    <cellStyle name="Normal 2 2 4 2 2 16 5 9" xfId="22569" xr:uid="{00000000-0005-0000-0000-000022580000}"/>
    <cellStyle name="Normal 2 2 4 2 2 16 6" xfId="22570" xr:uid="{00000000-0005-0000-0000-000023580000}"/>
    <cellStyle name="Normal 2 2 4 2 2 16 7" xfId="22571" xr:uid="{00000000-0005-0000-0000-000024580000}"/>
    <cellStyle name="Normal 2 2 4 2 2 16 8" xfId="22572" xr:uid="{00000000-0005-0000-0000-000025580000}"/>
    <cellStyle name="Normal 2 2 4 2 2 16 9" xfId="22573" xr:uid="{00000000-0005-0000-0000-000026580000}"/>
    <cellStyle name="Normal 2 2 4 2 2 17" xfId="22574" xr:uid="{00000000-0005-0000-0000-000027580000}"/>
    <cellStyle name="Normal 2 2 4 2 2 17 10" xfId="22575" xr:uid="{00000000-0005-0000-0000-000028580000}"/>
    <cellStyle name="Normal 2 2 4 2 2 17 11" xfId="22576" xr:uid="{00000000-0005-0000-0000-000029580000}"/>
    <cellStyle name="Normal 2 2 4 2 2 17 12" xfId="22577" xr:uid="{00000000-0005-0000-0000-00002A580000}"/>
    <cellStyle name="Normal 2 2 4 2 2 17 13" xfId="22578" xr:uid="{00000000-0005-0000-0000-00002B580000}"/>
    <cellStyle name="Normal 2 2 4 2 2 17 14" xfId="22579" xr:uid="{00000000-0005-0000-0000-00002C580000}"/>
    <cellStyle name="Normal 2 2 4 2 2 17 2" xfId="22580" xr:uid="{00000000-0005-0000-0000-00002D580000}"/>
    <cellStyle name="Normal 2 2 4 2 2 17 2 10" xfId="22581" xr:uid="{00000000-0005-0000-0000-00002E580000}"/>
    <cellStyle name="Normal 2 2 4 2 2 17 2 2" xfId="22582" xr:uid="{00000000-0005-0000-0000-00002F580000}"/>
    <cellStyle name="Normal 2 2 4 2 2 17 2 3" xfId="22583" xr:uid="{00000000-0005-0000-0000-000030580000}"/>
    <cellStyle name="Normal 2 2 4 2 2 17 2 4" xfId="22584" xr:uid="{00000000-0005-0000-0000-000031580000}"/>
    <cellStyle name="Normal 2 2 4 2 2 17 2 5" xfId="22585" xr:uid="{00000000-0005-0000-0000-000032580000}"/>
    <cellStyle name="Normal 2 2 4 2 2 17 2 6" xfId="22586" xr:uid="{00000000-0005-0000-0000-000033580000}"/>
    <cellStyle name="Normal 2 2 4 2 2 17 2 7" xfId="22587" xr:uid="{00000000-0005-0000-0000-000034580000}"/>
    <cellStyle name="Normal 2 2 4 2 2 17 2 8" xfId="22588" xr:uid="{00000000-0005-0000-0000-000035580000}"/>
    <cellStyle name="Normal 2 2 4 2 2 17 2 9" xfId="22589" xr:uid="{00000000-0005-0000-0000-000036580000}"/>
    <cellStyle name="Normal 2 2 4 2 2 17 3" xfId="22590" xr:uid="{00000000-0005-0000-0000-000037580000}"/>
    <cellStyle name="Normal 2 2 4 2 2 17 3 10" xfId="22591" xr:uid="{00000000-0005-0000-0000-000038580000}"/>
    <cellStyle name="Normal 2 2 4 2 2 17 3 2" xfId="22592" xr:uid="{00000000-0005-0000-0000-000039580000}"/>
    <cellStyle name="Normal 2 2 4 2 2 17 3 3" xfId="22593" xr:uid="{00000000-0005-0000-0000-00003A580000}"/>
    <cellStyle name="Normal 2 2 4 2 2 17 3 4" xfId="22594" xr:uid="{00000000-0005-0000-0000-00003B580000}"/>
    <cellStyle name="Normal 2 2 4 2 2 17 3 5" xfId="22595" xr:uid="{00000000-0005-0000-0000-00003C580000}"/>
    <cellStyle name="Normal 2 2 4 2 2 17 3 6" xfId="22596" xr:uid="{00000000-0005-0000-0000-00003D580000}"/>
    <cellStyle name="Normal 2 2 4 2 2 17 3 7" xfId="22597" xr:uid="{00000000-0005-0000-0000-00003E580000}"/>
    <cellStyle name="Normal 2 2 4 2 2 17 3 8" xfId="22598" xr:uid="{00000000-0005-0000-0000-00003F580000}"/>
    <cellStyle name="Normal 2 2 4 2 2 17 3 9" xfId="22599" xr:uid="{00000000-0005-0000-0000-000040580000}"/>
    <cellStyle name="Normal 2 2 4 2 2 17 4" xfId="22600" xr:uid="{00000000-0005-0000-0000-000041580000}"/>
    <cellStyle name="Normal 2 2 4 2 2 17 4 10" xfId="22601" xr:uid="{00000000-0005-0000-0000-000042580000}"/>
    <cellStyle name="Normal 2 2 4 2 2 17 4 2" xfId="22602" xr:uid="{00000000-0005-0000-0000-000043580000}"/>
    <cellStyle name="Normal 2 2 4 2 2 17 4 3" xfId="22603" xr:uid="{00000000-0005-0000-0000-000044580000}"/>
    <cellStyle name="Normal 2 2 4 2 2 17 4 4" xfId="22604" xr:uid="{00000000-0005-0000-0000-000045580000}"/>
    <cellStyle name="Normal 2 2 4 2 2 17 4 5" xfId="22605" xr:uid="{00000000-0005-0000-0000-000046580000}"/>
    <cellStyle name="Normal 2 2 4 2 2 17 4 6" xfId="22606" xr:uid="{00000000-0005-0000-0000-000047580000}"/>
    <cellStyle name="Normal 2 2 4 2 2 17 4 7" xfId="22607" xr:uid="{00000000-0005-0000-0000-000048580000}"/>
    <cellStyle name="Normal 2 2 4 2 2 17 4 8" xfId="22608" xr:uid="{00000000-0005-0000-0000-000049580000}"/>
    <cellStyle name="Normal 2 2 4 2 2 17 4 9" xfId="22609" xr:uid="{00000000-0005-0000-0000-00004A580000}"/>
    <cellStyle name="Normal 2 2 4 2 2 17 5" xfId="22610" xr:uid="{00000000-0005-0000-0000-00004B580000}"/>
    <cellStyle name="Normal 2 2 4 2 2 17 5 10" xfId="22611" xr:uid="{00000000-0005-0000-0000-00004C580000}"/>
    <cellStyle name="Normal 2 2 4 2 2 17 5 2" xfId="22612" xr:uid="{00000000-0005-0000-0000-00004D580000}"/>
    <cellStyle name="Normal 2 2 4 2 2 17 5 3" xfId="22613" xr:uid="{00000000-0005-0000-0000-00004E580000}"/>
    <cellStyle name="Normal 2 2 4 2 2 17 5 4" xfId="22614" xr:uid="{00000000-0005-0000-0000-00004F580000}"/>
    <cellStyle name="Normal 2 2 4 2 2 17 5 5" xfId="22615" xr:uid="{00000000-0005-0000-0000-000050580000}"/>
    <cellStyle name="Normal 2 2 4 2 2 17 5 6" xfId="22616" xr:uid="{00000000-0005-0000-0000-000051580000}"/>
    <cellStyle name="Normal 2 2 4 2 2 17 5 7" xfId="22617" xr:uid="{00000000-0005-0000-0000-000052580000}"/>
    <cellStyle name="Normal 2 2 4 2 2 17 5 8" xfId="22618" xr:uid="{00000000-0005-0000-0000-000053580000}"/>
    <cellStyle name="Normal 2 2 4 2 2 17 5 9" xfId="22619" xr:uid="{00000000-0005-0000-0000-000054580000}"/>
    <cellStyle name="Normal 2 2 4 2 2 17 6" xfId="22620" xr:uid="{00000000-0005-0000-0000-000055580000}"/>
    <cellStyle name="Normal 2 2 4 2 2 17 7" xfId="22621" xr:uid="{00000000-0005-0000-0000-000056580000}"/>
    <cellStyle name="Normal 2 2 4 2 2 17 8" xfId="22622" xr:uid="{00000000-0005-0000-0000-000057580000}"/>
    <cellStyle name="Normal 2 2 4 2 2 17 9" xfId="22623" xr:uid="{00000000-0005-0000-0000-000058580000}"/>
    <cellStyle name="Normal 2 2 4 2 2 18" xfId="22624" xr:uid="{00000000-0005-0000-0000-000059580000}"/>
    <cellStyle name="Normal 2 2 4 2 2 18 10" xfId="22625" xr:uid="{00000000-0005-0000-0000-00005A580000}"/>
    <cellStyle name="Normal 2 2 4 2 2 18 11" xfId="22626" xr:uid="{00000000-0005-0000-0000-00005B580000}"/>
    <cellStyle name="Normal 2 2 4 2 2 18 12" xfId="22627" xr:uid="{00000000-0005-0000-0000-00005C580000}"/>
    <cellStyle name="Normal 2 2 4 2 2 18 13" xfId="22628" xr:uid="{00000000-0005-0000-0000-00005D580000}"/>
    <cellStyle name="Normal 2 2 4 2 2 18 14" xfId="22629" xr:uid="{00000000-0005-0000-0000-00005E580000}"/>
    <cellStyle name="Normal 2 2 4 2 2 18 2" xfId="22630" xr:uid="{00000000-0005-0000-0000-00005F580000}"/>
    <cellStyle name="Normal 2 2 4 2 2 18 2 10" xfId="22631" xr:uid="{00000000-0005-0000-0000-000060580000}"/>
    <cellStyle name="Normal 2 2 4 2 2 18 2 2" xfId="22632" xr:uid="{00000000-0005-0000-0000-000061580000}"/>
    <cellStyle name="Normal 2 2 4 2 2 18 2 3" xfId="22633" xr:uid="{00000000-0005-0000-0000-000062580000}"/>
    <cellStyle name="Normal 2 2 4 2 2 18 2 4" xfId="22634" xr:uid="{00000000-0005-0000-0000-000063580000}"/>
    <cellStyle name="Normal 2 2 4 2 2 18 2 5" xfId="22635" xr:uid="{00000000-0005-0000-0000-000064580000}"/>
    <cellStyle name="Normal 2 2 4 2 2 18 2 6" xfId="22636" xr:uid="{00000000-0005-0000-0000-000065580000}"/>
    <cellStyle name="Normal 2 2 4 2 2 18 2 7" xfId="22637" xr:uid="{00000000-0005-0000-0000-000066580000}"/>
    <cellStyle name="Normal 2 2 4 2 2 18 2 8" xfId="22638" xr:uid="{00000000-0005-0000-0000-000067580000}"/>
    <cellStyle name="Normal 2 2 4 2 2 18 2 9" xfId="22639" xr:uid="{00000000-0005-0000-0000-000068580000}"/>
    <cellStyle name="Normal 2 2 4 2 2 18 3" xfId="22640" xr:uid="{00000000-0005-0000-0000-000069580000}"/>
    <cellStyle name="Normal 2 2 4 2 2 18 3 10" xfId="22641" xr:uid="{00000000-0005-0000-0000-00006A580000}"/>
    <cellStyle name="Normal 2 2 4 2 2 18 3 2" xfId="22642" xr:uid="{00000000-0005-0000-0000-00006B580000}"/>
    <cellStyle name="Normal 2 2 4 2 2 18 3 3" xfId="22643" xr:uid="{00000000-0005-0000-0000-00006C580000}"/>
    <cellStyle name="Normal 2 2 4 2 2 18 3 4" xfId="22644" xr:uid="{00000000-0005-0000-0000-00006D580000}"/>
    <cellStyle name="Normal 2 2 4 2 2 18 3 5" xfId="22645" xr:uid="{00000000-0005-0000-0000-00006E580000}"/>
    <cellStyle name="Normal 2 2 4 2 2 18 3 6" xfId="22646" xr:uid="{00000000-0005-0000-0000-00006F580000}"/>
    <cellStyle name="Normal 2 2 4 2 2 18 3 7" xfId="22647" xr:uid="{00000000-0005-0000-0000-000070580000}"/>
    <cellStyle name="Normal 2 2 4 2 2 18 3 8" xfId="22648" xr:uid="{00000000-0005-0000-0000-000071580000}"/>
    <cellStyle name="Normal 2 2 4 2 2 18 3 9" xfId="22649" xr:uid="{00000000-0005-0000-0000-000072580000}"/>
    <cellStyle name="Normal 2 2 4 2 2 18 4" xfId="22650" xr:uid="{00000000-0005-0000-0000-000073580000}"/>
    <cellStyle name="Normal 2 2 4 2 2 18 4 10" xfId="22651" xr:uid="{00000000-0005-0000-0000-000074580000}"/>
    <cellStyle name="Normal 2 2 4 2 2 18 4 2" xfId="22652" xr:uid="{00000000-0005-0000-0000-000075580000}"/>
    <cellStyle name="Normal 2 2 4 2 2 18 4 3" xfId="22653" xr:uid="{00000000-0005-0000-0000-000076580000}"/>
    <cellStyle name="Normal 2 2 4 2 2 18 4 4" xfId="22654" xr:uid="{00000000-0005-0000-0000-000077580000}"/>
    <cellStyle name="Normal 2 2 4 2 2 18 4 5" xfId="22655" xr:uid="{00000000-0005-0000-0000-000078580000}"/>
    <cellStyle name="Normal 2 2 4 2 2 18 4 6" xfId="22656" xr:uid="{00000000-0005-0000-0000-000079580000}"/>
    <cellStyle name="Normal 2 2 4 2 2 18 4 7" xfId="22657" xr:uid="{00000000-0005-0000-0000-00007A580000}"/>
    <cellStyle name="Normal 2 2 4 2 2 18 4 8" xfId="22658" xr:uid="{00000000-0005-0000-0000-00007B580000}"/>
    <cellStyle name="Normal 2 2 4 2 2 18 4 9" xfId="22659" xr:uid="{00000000-0005-0000-0000-00007C580000}"/>
    <cellStyle name="Normal 2 2 4 2 2 18 5" xfId="22660" xr:uid="{00000000-0005-0000-0000-00007D580000}"/>
    <cellStyle name="Normal 2 2 4 2 2 18 5 10" xfId="22661" xr:uid="{00000000-0005-0000-0000-00007E580000}"/>
    <cellStyle name="Normal 2 2 4 2 2 18 5 2" xfId="22662" xr:uid="{00000000-0005-0000-0000-00007F580000}"/>
    <cellStyle name="Normal 2 2 4 2 2 18 5 3" xfId="22663" xr:uid="{00000000-0005-0000-0000-000080580000}"/>
    <cellStyle name="Normal 2 2 4 2 2 18 5 4" xfId="22664" xr:uid="{00000000-0005-0000-0000-000081580000}"/>
    <cellStyle name="Normal 2 2 4 2 2 18 5 5" xfId="22665" xr:uid="{00000000-0005-0000-0000-000082580000}"/>
    <cellStyle name="Normal 2 2 4 2 2 18 5 6" xfId="22666" xr:uid="{00000000-0005-0000-0000-000083580000}"/>
    <cellStyle name="Normal 2 2 4 2 2 18 5 7" xfId="22667" xr:uid="{00000000-0005-0000-0000-000084580000}"/>
    <cellStyle name="Normal 2 2 4 2 2 18 5 8" xfId="22668" xr:uid="{00000000-0005-0000-0000-000085580000}"/>
    <cellStyle name="Normal 2 2 4 2 2 18 5 9" xfId="22669" xr:uid="{00000000-0005-0000-0000-000086580000}"/>
    <cellStyle name="Normal 2 2 4 2 2 18 6" xfId="22670" xr:uid="{00000000-0005-0000-0000-000087580000}"/>
    <cellStyle name="Normal 2 2 4 2 2 18 7" xfId="22671" xr:uid="{00000000-0005-0000-0000-000088580000}"/>
    <cellStyle name="Normal 2 2 4 2 2 18 8" xfId="22672" xr:uid="{00000000-0005-0000-0000-000089580000}"/>
    <cellStyle name="Normal 2 2 4 2 2 18 9" xfId="22673" xr:uid="{00000000-0005-0000-0000-00008A580000}"/>
    <cellStyle name="Normal 2 2 4 2 2 19" xfId="22674" xr:uid="{00000000-0005-0000-0000-00008B580000}"/>
    <cellStyle name="Normal 2 2 4 2 2 19 10" xfId="22675" xr:uid="{00000000-0005-0000-0000-00008C580000}"/>
    <cellStyle name="Normal 2 2 4 2 2 19 11" xfId="22676" xr:uid="{00000000-0005-0000-0000-00008D580000}"/>
    <cellStyle name="Normal 2 2 4 2 2 19 12" xfId="22677" xr:uid="{00000000-0005-0000-0000-00008E580000}"/>
    <cellStyle name="Normal 2 2 4 2 2 19 13" xfId="22678" xr:uid="{00000000-0005-0000-0000-00008F580000}"/>
    <cellStyle name="Normal 2 2 4 2 2 19 14" xfId="22679" xr:uid="{00000000-0005-0000-0000-000090580000}"/>
    <cellStyle name="Normal 2 2 4 2 2 19 2" xfId="22680" xr:uid="{00000000-0005-0000-0000-000091580000}"/>
    <cellStyle name="Normal 2 2 4 2 2 19 2 10" xfId="22681" xr:uid="{00000000-0005-0000-0000-000092580000}"/>
    <cellStyle name="Normal 2 2 4 2 2 19 2 2" xfId="22682" xr:uid="{00000000-0005-0000-0000-000093580000}"/>
    <cellStyle name="Normal 2 2 4 2 2 19 2 3" xfId="22683" xr:uid="{00000000-0005-0000-0000-000094580000}"/>
    <cellStyle name="Normal 2 2 4 2 2 19 2 4" xfId="22684" xr:uid="{00000000-0005-0000-0000-000095580000}"/>
    <cellStyle name="Normal 2 2 4 2 2 19 2 5" xfId="22685" xr:uid="{00000000-0005-0000-0000-000096580000}"/>
    <cellStyle name="Normal 2 2 4 2 2 19 2 6" xfId="22686" xr:uid="{00000000-0005-0000-0000-000097580000}"/>
    <cellStyle name="Normal 2 2 4 2 2 19 2 7" xfId="22687" xr:uid="{00000000-0005-0000-0000-000098580000}"/>
    <cellStyle name="Normal 2 2 4 2 2 19 2 8" xfId="22688" xr:uid="{00000000-0005-0000-0000-000099580000}"/>
    <cellStyle name="Normal 2 2 4 2 2 19 2 9" xfId="22689" xr:uid="{00000000-0005-0000-0000-00009A580000}"/>
    <cellStyle name="Normal 2 2 4 2 2 19 3" xfId="22690" xr:uid="{00000000-0005-0000-0000-00009B580000}"/>
    <cellStyle name="Normal 2 2 4 2 2 19 3 10" xfId="22691" xr:uid="{00000000-0005-0000-0000-00009C580000}"/>
    <cellStyle name="Normal 2 2 4 2 2 19 3 2" xfId="22692" xr:uid="{00000000-0005-0000-0000-00009D580000}"/>
    <cellStyle name="Normal 2 2 4 2 2 19 3 3" xfId="22693" xr:uid="{00000000-0005-0000-0000-00009E580000}"/>
    <cellStyle name="Normal 2 2 4 2 2 19 3 4" xfId="22694" xr:uid="{00000000-0005-0000-0000-00009F580000}"/>
    <cellStyle name="Normal 2 2 4 2 2 19 3 5" xfId="22695" xr:uid="{00000000-0005-0000-0000-0000A0580000}"/>
    <cellStyle name="Normal 2 2 4 2 2 19 3 6" xfId="22696" xr:uid="{00000000-0005-0000-0000-0000A1580000}"/>
    <cellStyle name="Normal 2 2 4 2 2 19 3 7" xfId="22697" xr:uid="{00000000-0005-0000-0000-0000A2580000}"/>
    <cellStyle name="Normal 2 2 4 2 2 19 3 8" xfId="22698" xr:uid="{00000000-0005-0000-0000-0000A3580000}"/>
    <cellStyle name="Normal 2 2 4 2 2 19 3 9" xfId="22699" xr:uid="{00000000-0005-0000-0000-0000A4580000}"/>
    <cellStyle name="Normal 2 2 4 2 2 19 4" xfId="22700" xr:uid="{00000000-0005-0000-0000-0000A5580000}"/>
    <cellStyle name="Normal 2 2 4 2 2 19 4 10" xfId="22701" xr:uid="{00000000-0005-0000-0000-0000A6580000}"/>
    <cellStyle name="Normal 2 2 4 2 2 19 4 2" xfId="22702" xr:uid="{00000000-0005-0000-0000-0000A7580000}"/>
    <cellStyle name="Normal 2 2 4 2 2 19 4 3" xfId="22703" xr:uid="{00000000-0005-0000-0000-0000A8580000}"/>
    <cellStyle name="Normal 2 2 4 2 2 19 4 4" xfId="22704" xr:uid="{00000000-0005-0000-0000-0000A9580000}"/>
    <cellStyle name="Normal 2 2 4 2 2 19 4 5" xfId="22705" xr:uid="{00000000-0005-0000-0000-0000AA580000}"/>
    <cellStyle name="Normal 2 2 4 2 2 19 4 6" xfId="22706" xr:uid="{00000000-0005-0000-0000-0000AB580000}"/>
    <cellStyle name="Normal 2 2 4 2 2 19 4 7" xfId="22707" xr:uid="{00000000-0005-0000-0000-0000AC580000}"/>
    <cellStyle name="Normal 2 2 4 2 2 19 4 8" xfId="22708" xr:uid="{00000000-0005-0000-0000-0000AD580000}"/>
    <cellStyle name="Normal 2 2 4 2 2 19 4 9" xfId="22709" xr:uid="{00000000-0005-0000-0000-0000AE580000}"/>
    <cellStyle name="Normal 2 2 4 2 2 19 5" xfId="22710" xr:uid="{00000000-0005-0000-0000-0000AF580000}"/>
    <cellStyle name="Normal 2 2 4 2 2 19 5 10" xfId="22711" xr:uid="{00000000-0005-0000-0000-0000B0580000}"/>
    <cellStyle name="Normal 2 2 4 2 2 19 5 2" xfId="22712" xr:uid="{00000000-0005-0000-0000-0000B1580000}"/>
    <cellStyle name="Normal 2 2 4 2 2 19 5 3" xfId="22713" xr:uid="{00000000-0005-0000-0000-0000B2580000}"/>
    <cellStyle name="Normal 2 2 4 2 2 19 5 4" xfId="22714" xr:uid="{00000000-0005-0000-0000-0000B3580000}"/>
    <cellStyle name="Normal 2 2 4 2 2 19 5 5" xfId="22715" xr:uid="{00000000-0005-0000-0000-0000B4580000}"/>
    <cellStyle name="Normal 2 2 4 2 2 19 5 6" xfId="22716" xr:uid="{00000000-0005-0000-0000-0000B5580000}"/>
    <cellStyle name="Normal 2 2 4 2 2 19 5 7" xfId="22717" xr:uid="{00000000-0005-0000-0000-0000B6580000}"/>
    <cellStyle name="Normal 2 2 4 2 2 19 5 8" xfId="22718" xr:uid="{00000000-0005-0000-0000-0000B7580000}"/>
    <cellStyle name="Normal 2 2 4 2 2 19 5 9" xfId="22719" xr:uid="{00000000-0005-0000-0000-0000B8580000}"/>
    <cellStyle name="Normal 2 2 4 2 2 19 6" xfId="22720" xr:uid="{00000000-0005-0000-0000-0000B9580000}"/>
    <cellStyle name="Normal 2 2 4 2 2 19 7" xfId="22721" xr:uid="{00000000-0005-0000-0000-0000BA580000}"/>
    <cellStyle name="Normal 2 2 4 2 2 19 8" xfId="22722" xr:uid="{00000000-0005-0000-0000-0000BB580000}"/>
    <cellStyle name="Normal 2 2 4 2 2 19 9" xfId="22723" xr:uid="{00000000-0005-0000-0000-0000BC580000}"/>
    <cellStyle name="Normal 2 2 4 2 2 2" xfId="22724" xr:uid="{00000000-0005-0000-0000-0000BD580000}"/>
    <cellStyle name="Normal 2 2 4 2 2 2 10" xfId="22725" xr:uid="{00000000-0005-0000-0000-0000BE580000}"/>
    <cellStyle name="Normal 2 2 4 2 2 2 11" xfId="22726" xr:uid="{00000000-0005-0000-0000-0000BF580000}"/>
    <cellStyle name="Normal 2 2 4 2 2 2 12" xfId="22727" xr:uid="{00000000-0005-0000-0000-0000C0580000}"/>
    <cellStyle name="Normal 2 2 4 2 2 2 13" xfId="22728" xr:uid="{00000000-0005-0000-0000-0000C1580000}"/>
    <cellStyle name="Normal 2 2 4 2 2 2 14" xfId="22729" xr:uid="{00000000-0005-0000-0000-0000C2580000}"/>
    <cellStyle name="Normal 2 2 4 2 2 2 2" xfId="22730" xr:uid="{00000000-0005-0000-0000-0000C3580000}"/>
    <cellStyle name="Normal 2 2 4 2 2 2 2 10" xfId="22731" xr:uid="{00000000-0005-0000-0000-0000C4580000}"/>
    <cellStyle name="Normal 2 2 4 2 2 2 2 2" xfId="22732" xr:uid="{00000000-0005-0000-0000-0000C5580000}"/>
    <cellStyle name="Normal 2 2 4 2 2 2 2 3" xfId="22733" xr:uid="{00000000-0005-0000-0000-0000C6580000}"/>
    <cellStyle name="Normal 2 2 4 2 2 2 2 4" xfId="22734" xr:uid="{00000000-0005-0000-0000-0000C7580000}"/>
    <cellStyle name="Normal 2 2 4 2 2 2 2 5" xfId="22735" xr:uid="{00000000-0005-0000-0000-0000C8580000}"/>
    <cellStyle name="Normal 2 2 4 2 2 2 2 6" xfId="22736" xr:uid="{00000000-0005-0000-0000-0000C9580000}"/>
    <cellStyle name="Normal 2 2 4 2 2 2 2 7" xfId="22737" xr:uid="{00000000-0005-0000-0000-0000CA580000}"/>
    <cellStyle name="Normal 2 2 4 2 2 2 2 8" xfId="22738" xr:uid="{00000000-0005-0000-0000-0000CB580000}"/>
    <cellStyle name="Normal 2 2 4 2 2 2 2 9" xfId="22739" xr:uid="{00000000-0005-0000-0000-0000CC580000}"/>
    <cellStyle name="Normal 2 2 4 2 2 2 3" xfId="22740" xr:uid="{00000000-0005-0000-0000-0000CD580000}"/>
    <cellStyle name="Normal 2 2 4 2 2 2 3 10" xfId="22741" xr:uid="{00000000-0005-0000-0000-0000CE580000}"/>
    <cellStyle name="Normal 2 2 4 2 2 2 3 2" xfId="22742" xr:uid="{00000000-0005-0000-0000-0000CF580000}"/>
    <cellStyle name="Normal 2 2 4 2 2 2 3 3" xfId="22743" xr:uid="{00000000-0005-0000-0000-0000D0580000}"/>
    <cellStyle name="Normal 2 2 4 2 2 2 3 4" xfId="22744" xr:uid="{00000000-0005-0000-0000-0000D1580000}"/>
    <cellStyle name="Normal 2 2 4 2 2 2 3 5" xfId="22745" xr:uid="{00000000-0005-0000-0000-0000D2580000}"/>
    <cellStyle name="Normal 2 2 4 2 2 2 3 6" xfId="22746" xr:uid="{00000000-0005-0000-0000-0000D3580000}"/>
    <cellStyle name="Normal 2 2 4 2 2 2 3 7" xfId="22747" xr:uid="{00000000-0005-0000-0000-0000D4580000}"/>
    <cellStyle name="Normal 2 2 4 2 2 2 3 8" xfId="22748" xr:uid="{00000000-0005-0000-0000-0000D5580000}"/>
    <cellStyle name="Normal 2 2 4 2 2 2 3 9" xfId="22749" xr:uid="{00000000-0005-0000-0000-0000D6580000}"/>
    <cellStyle name="Normal 2 2 4 2 2 2 4" xfId="22750" xr:uid="{00000000-0005-0000-0000-0000D7580000}"/>
    <cellStyle name="Normal 2 2 4 2 2 2 4 10" xfId="22751" xr:uid="{00000000-0005-0000-0000-0000D8580000}"/>
    <cellStyle name="Normal 2 2 4 2 2 2 4 2" xfId="22752" xr:uid="{00000000-0005-0000-0000-0000D9580000}"/>
    <cellStyle name="Normal 2 2 4 2 2 2 4 3" xfId="22753" xr:uid="{00000000-0005-0000-0000-0000DA580000}"/>
    <cellStyle name="Normal 2 2 4 2 2 2 4 4" xfId="22754" xr:uid="{00000000-0005-0000-0000-0000DB580000}"/>
    <cellStyle name="Normal 2 2 4 2 2 2 4 5" xfId="22755" xr:uid="{00000000-0005-0000-0000-0000DC580000}"/>
    <cellStyle name="Normal 2 2 4 2 2 2 4 6" xfId="22756" xr:uid="{00000000-0005-0000-0000-0000DD580000}"/>
    <cellStyle name="Normal 2 2 4 2 2 2 4 7" xfId="22757" xr:uid="{00000000-0005-0000-0000-0000DE580000}"/>
    <cellStyle name="Normal 2 2 4 2 2 2 4 8" xfId="22758" xr:uid="{00000000-0005-0000-0000-0000DF580000}"/>
    <cellStyle name="Normal 2 2 4 2 2 2 4 9" xfId="22759" xr:uid="{00000000-0005-0000-0000-0000E0580000}"/>
    <cellStyle name="Normal 2 2 4 2 2 2 5" xfId="22760" xr:uid="{00000000-0005-0000-0000-0000E1580000}"/>
    <cellStyle name="Normal 2 2 4 2 2 2 5 10" xfId="22761" xr:uid="{00000000-0005-0000-0000-0000E2580000}"/>
    <cellStyle name="Normal 2 2 4 2 2 2 5 2" xfId="22762" xr:uid="{00000000-0005-0000-0000-0000E3580000}"/>
    <cellStyle name="Normal 2 2 4 2 2 2 5 3" xfId="22763" xr:uid="{00000000-0005-0000-0000-0000E4580000}"/>
    <cellStyle name="Normal 2 2 4 2 2 2 5 4" xfId="22764" xr:uid="{00000000-0005-0000-0000-0000E5580000}"/>
    <cellStyle name="Normal 2 2 4 2 2 2 5 5" xfId="22765" xr:uid="{00000000-0005-0000-0000-0000E6580000}"/>
    <cellStyle name="Normal 2 2 4 2 2 2 5 6" xfId="22766" xr:uid="{00000000-0005-0000-0000-0000E7580000}"/>
    <cellStyle name="Normal 2 2 4 2 2 2 5 7" xfId="22767" xr:uid="{00000000-0005-0000-0000-0000E8580000}"/>
    <cellStyle name="Normal 2 2 4 2 2 2 5 8" xfId="22768" xr:uid="{00000000-0005-0000-0000-0000E9580000}"/>
    <cellStyle name="Normal 2 2 4 2 2 2 5 9" xfId="22769" xr:uid="{00000000-0005-0000-0000-0000EA580000}"/>
    <cellStyle name="Normal 2 2 4 2 2 2 6" xfId="22770" xr:uid="{00000000-0005-0000-0000-0000EB580000}"/>
    <cellStyle name="Normal 2 2 4 2 2 2 7" xfId="22771" xr:uid="{00000000-0005-0000-0000-0000EC580000}"/>
    <cellStyle name="Normal 2 2 4 2 2 2 8" xfId="22772" xr:uid="{00000000-0005-0000-0000-0000ED580000}"/>
    <cellStyle name="Normal 2 2 4 2 2 2 9" xfId="22773" xr:uid="{00000000-0005-0000-0000-0000EE580000}"/>
    <cellStyle name="Normal 2 2 4 2 2 20" xfId="22774" xr:uid="{00000000-0005-0000-0000-0000EF580000}"/>
    <cellStyle name="Normal 2 2 4 2 2 20 10" xfId="22775" xr:uid="{00000000-0005-0000-0000-0000F0580000}"/>
    <cellStyle name="Normal 2 2 4 2 2 20 11" xfId="22776" xr:uid="{00000000-0005-0000-0000-0000F1580000}"/>
    <cellStyle name="Normal 2 2 4 2 2 20 12" xfId="22777" xr:uid="{00000000-0005-0000-0000-0000F2580000}"/>
    <cellStyle name="Normal 2 2 4 2 2 20 13" xfId="22778" xr:uid="{00000000-0005-0000-0000-0000F3580000}"/>
    <cellStyle name="Normal 2 2 4 2 2 20 14" xfId="22779" xr:uid="{00000000-0005-0000-0000-0000F4580000}"/>
    <cellStyle name="Normal 2 2 4 2 2 20 2" xfId="22780" xr:uid="{00000000-0005-0000-0000-0000F5580000}"/>
    <cellStyle name="Normal 2 2 4 2 2 20 2 10" xfId="22781" xr:uid="{00000000-0005-0000-0000-0000F6580000}"/>
    <cellStyle name="Normal 2 2 4 2 2 20 2 2" xfId="22782" xr:uid="{00000000-0005-0000-0000-0000F7580000}"/>
    <cellStyle name="Normal 2 2 4 2 2 20 2 3" xfId="22783" xr:uid="{00000000-0005-0000-0000-0000F8580000}"/>
    <cellStyle name="Normal 2 2 4 2 2 20 2 4" xfId="22784" xr:uid="{00000000-0005-0000-0000-0000F9580000}"/>
    <cellStyle name="Normal 2 2 4 2 2 20 2 5" xfId="22785" xr:uid="{00000000-0005-0000-0000-0000FA580000}"/>
    <cellStyle name="Normal 2 2 4 2 2 20 2 6" xfId="22786" xr:uid="{00000000-0005-0000-0000-0000FB580000}"/>
    <cellStyle name="Normal 2 2 4 2 2 20 2 7" xfId="22787" xr:uid="{00000000-0005-0000-0000-0000FC580000}"/>
    <cellStyle name="Normal 2 2 4 2 2 20 2 8" xfId="22788" xr:uid="{00000000-0005-0000-0000-0000FD580000}"/>
    <cellStyle name="Normal 2 2 4 2 2 20 2 9" xfId="22789" xr:uid="{00000000-0005-0000-0000-0000FE580000}"/>
    <cellStyle name="Normal 2 2 4 2 2 20 3" xfId="22790" xr:uid="{00000000-0005-0000-0000-0000FF580000}"/>
    <cellStyle name="Normal 2 2 4 2 2 20 3 10" xfId="22791" xr:uid="{00000000-0005-0000-0000-000000590000}"/>
    <cellStyle name="Normal 2 2 4 2 2 20 3 2" xfId="22792" xr:uid="{00000000-0005-0000-0000-000001590000}"/>
    <cellStyle name="Normal 2 2 4 2 2 20 3 3" xfId="22793" xr:uid="{00000000-0005-0000-0000-000002590000}"/>
    <cellStyle name="Normal 2 2 4 2 2 20 3 4" xfId="22794" xr:uid="{00000000-0005-0000-0000-000003590000}"/>
    <cellStyle name="Normal 2 2 4 2 2 20 3 5" xfId="22795" xr:uid="{00000000-0005-0000-0000-000004590000}"/>
    <cellStyle name="Normal 2 2 4 2 2 20 3 6" xfId="22796" xr:uid="{00000000-0005-0000-0000-000005590000}"/>
    <cellStyle name="Normal 2 2 4 2 2 20 3 7" xfId="22797" xr:uid="{00000000-0005-0000-0000-000006590000}"/>
    <cellStyle name="Normal 2 2 4 2 2 20 3 8" xfId="22798" xr:uid="{00000000-0005-0000-0000-000007590000}"/>
    <cellStyle name="Normal 2 2 4 2 2 20 3 9" xfId="22799" xr:uid="{00000000-0005-0000-0000-000008590000}"/>
    <cellStyle name="Normal 2 2 4 2 2 20 4" xfId="22800" xr:uid="{00000000-0005-0000-0000-000009590000}"/>
    <cellStyle name="Normal 2 2 4 2 2 20 4 10" xfId="22801" xr:uid="{00000000-0005-0000-0000-00000A590000}"/>
    <cellStyle name="Normal 2 2 4 2 2 20 4 2" xfId="22802" xr:uid="{00000000-0005-0000-0000-00000B590000}"/>
    <cellStyle name="Normal 2 2 4 2 2 20 4 3" xfId="22803" xr:uid="{00000000-0005-0000-0000-00000C590000}"/>
    <cellStyle name="Normal 2 2 4 2 2 20 4 4" xfId="22804" xr:uid="{00000000-0005-0000-0000-00000D590000}"/>
    <cellStyle name="Normal 2 2 4 2 2 20 4 5" xfId="22805" xr:uid="{00000000-0005-0000-0000-00000E590000}"/>
    <cellStyle name="Normal 2 2 4 2 2 20 4 6" xfId="22806" xr:uid="{00000000-0005-0000-0000-00000F590000}"/>
    <cellStyle name="Normal 2 2 4 2 2 20 4 7" xfId="22807" xr:uid="{00000000-0005-0000-0000-000010590000}"/>
    <cellStyle name="Normal 2 2 4 2 2 20 4 8" xfId="22808" xr:uid="{00000000-0005-0000-0000-000011590000}"/>
    <cellStyle name="Normal 2 2 4 2 2 20 4 9" xfId="22809" xr:uid="{00000000-0005-0000-0000-000012590000}"/>
    <cellStyle name="Normal 2 2 4 2 2 20 5" xfId="22810" xr:uid="{00000000-0005-0000-0000-000013590000}"/>
    <cellStyle name="Normal 2 2 4 2 2 20 5 10" xfId="22811" xr:uid="{00000000-0005-0000-0000-000014590000}"/>
    <cellStyle name="Normal 2 2 4 2 2 20 5 2" xfId="22812" xr:uid="{00000000-0005-0000-0000-000015590000}"/>
    <cellStyle name="Normal 2 2 4 2 2 20 5 3" xfId="22813" xr:uid="{00000000-0005-0000-0000-000016590000}"/>
    <cellStyle name="Normal 2 2 4 2 2 20 5 4" xfId="22814" xr:uid="{00000000-0005-0000-0000-000017590000}"/>
    <cellStyle name="Normal 2 2 4 2 2 20 5 5" xfId="22815" xr:uid="{00000000-0005-0000-0000-000018590000}"/>
    <cellStyle name="Normal 2 2 4 2 2 20 5 6" xfId="22816" xr:uid="{00000000-0005-0000-0000-000019590000}"/>
    <cellStyle name="Normal 2 2 4 2 2 20 5 7" xfId="22817" xr:uid="{00000000-0005-0000-0000-00001A590000}"/>
    <cellStyle name="Normal 2 2 4 2 2 20 5 8" xfId="22818" xr:uid="{00000000-0005-0000-0000-00001B590000}"/>
    <cellStyle name="Normal 2 2 4 2 2 20 5 9" xfId="22819" xr:uid="{00000000-0005-0000-0000-00001C590000}"/>
    <cellStyle name="Normal 2 2 4 2 2 20 6" xfId="22820" xr:uid="{00000000-0005-0000-0000-00001D590000}"/>
    <cellStyle name="Normal 2 2 4 2 2 20 7" xfId="22821" xr:uid="{00000000-0005-0000-0000-00001E590000}"/>
    <cellStyle name="Normal 2 2 4 2 2 20 8" xfId="22822" xr:uid="{00000000-0005-0000-0000-00001F590000}"/>
    <cellStyle name="Normal 2 2 4 2 2 20 9" xfId="22823" xr:uid="{00000000-0005-0000-0000-000020590000}"/>
    <cellStyle name="Normal 2 2 4 2 2 3" xfId="22824" xr:uid="{00000000-0005-0000-0000-000021590000}"/>
    <cellStyle name="Normal 2 2 4 2 2 3 10" xfId="22825" xr:uid="{00000000-0005-0000-0000-000022590000}"/>
    <cellStyle name="Normal 2 2 4 2 2 3 11" xfId="22826" xr:uid="{00000000-0005-0000-0000-000023590000}"/>
    <cellStyle name="Normal 2 2 4 2 2 3 12" xfId="22827" xr:uid="{00000000-0005-0000-0000-000024590000}"/>
    <cellStyle name="Normal 2 2 4 2 2 3 13" xfId="22828" xr:uid="{00000000-0005-0000-0000-000025590000}"/>
    <cellStyle name="Normal 2 2 4 2 2 3 14" xfId="22829" xr:uid="{00000000-0005-0000-0000-000026590000}"/>
    <cellStyle name="Normal 2 2 4 2 2 3 2" xfId="22830" xr:uid="{00000000-0005-0000-0000-000027590000}"/>
    <cellStyle name="Normal 2 2 4 2 2 3 2 10" xfId="22831" xr:uid="{00000000-0005-0000-0000-000028590000}"/>
    <cellStyle name="Normal 2 2 4 2 2 3 2 2" xfId="22832" xr:uid="{00000000-0005-0000-0000-000029590000}"/>
    <cellStyle name="Normal 2 2 4 2 2 3 2 3" xfId="22833" xr:uid="{00000000-0005-0000-0000-00002A590000}"/>
    <cellStyle name="Normal 2 2 4 2 2 3 2 4" xfId="22834" xr:uid="{00000000-0005-0000-0000-00002B590000}"/>
    <cellStyle name="Normal 2 2 4 2 2 3 2 5" xfId="22835" xr:uid="{00000000-0005-0000-0000-00002C590000}"/>
    <cellStyle name="Normal 2 2 4 2 2 3 2 6" xfId="22836" xr:uid="{00000000-0005-0000-0000-00002D590000}"/>
    <cellStyle name="Normal 2 2 4 2 2 3 2 7" xfId="22837" xr:uid="{00000000-0005-0000-0000-00002E590000}"/>
    <cellStyle name="Normal 2 2 4 2 2 3 2 8" xfId="22838" xr:uid="{00000000-0005-0000-0000-00002F590000}"/>
    <cellStyle name="Normal 2 2 4 2 2 3 2 9" xfId="22839" xr:uid="{00000000-0005-0000-0000-000030590000}"/>
    <cellStyle name="Normal 2 2 4 2 2 3 3" xfId="22840" xr:uid="{00000000-0005-0000-0000-000031590000}"/>
    <cellStyle name="Normal 2 2 4 2 2 3 3 10" xfId="22841" xr:uid="{00000000-0005-0000-0000-000032590000}"/>
    <cellStyle name="Normal 2 2 4 2 2 3 3 2" xfId="22842" xr:uid="{00000000-0005-0000-0000-000033590000}"/>
    <cellStyle name="Normal 2 2 4 2 2 3 3 3" xfId="22843" xr:uid="{00000000-0005-0000-0000-000034590000}"/>
    <cellStyle name="Normal 2 2 4 2 2 3 3 4" xfId="22844" xr:uid="{00000000-0005-0000-0000-000035590000}"/>
    <cellStyle name="Normal 2 2 4 2 2 3 3 5" xfId="22845" xr:uid="{00000000-0005-0000-0000-000036590000}"/>
    <cellStyle name="Normal 2 2 4 2 2 3 3 6" xfId="22846" xr:uid="{00000000-0005-0000-0000-000037590000}"/>
    <cellStyle name="Normal 2 2 4 2 2 3 3 7" xfId="22847" xr:uid="{00000000-0005-0000-0000-000038590000}"/>
    <cellStyle name="Normal 2 2 4 2 2 3 3 8" xfId="22848" xr:uid="{00000000-0005-0000-0000-000039590000}"/>
    <cellStyle name="Normal 2 2 4 2 2 3 3 9" xfId="22849" xr:uid="{00000000-0005-0000-0000-00003A590000}"/>
    <cellStyle name="Normal 2 2 4 2 2 3 4" xfId="22850" xr:uid="{00000000-0005-0000-0000-00003B590000}"/>
    <cellStyle name="Normal 2 2 4 2 2 3 4 10" xfId="22851" xr:uid="{00000000-0005-0000-0000-00003C590000}"/>
    <cellStyle name="Normal 2 2 4 2 2 3 4 2" xfId="22852" xr:uid="{00000000-0005-0000-0000-00003D590000}"/>
    <cellStyle name="Normal 2 2 4 2 2 3 4 3" xfId="22853" xr:uid="{00000000-0005-0000-0000-00003E590000}"/>
    <cellStyle name="Normal 2 2 4 2 2 3 4 4" xfId="22854" xr:uid="{00000000-0005-0000-0000-00003F590000}"/>
    <cellStyle name="Normal 2 2 4 2 2 3 4 5" xfId="22855" xr:uid="{00000000-0005-0000-0000-000040590000}"/>
    <cellStyle name="Normal 2 2 4 2 2 3 4 6" xfId="22856" xr:uid="{00000000-0005-0000-0000-000041590000}"/>
    <cellStyle name="Normal 2 2 4 2 2 3 4 7" xfId="22857" xr:uid="{00000000-0005-0000-0000-000042590000}"/>
    <cellStyle name="Normal 2 2 4 2 2 3 4 8" xfId="22858" xr:uid="{00000000-0005-0000-0000-000043590000}"/>
    <cellStyle name="Normal 2 2 4 2 2 3 4 9" xfId="22859" xr:uid="{00000000-0005-0000-0000-000044590000}"/>
    <cellStyle name="Normal 2 2 4 2 2 3 5" xfId="22860" xr:uid="{00000000-0005-0000-0000-000045590000}"/>
    <cellStyle name="Normal 2 2 4 2 2 3 5 10" xfId="22861" xr:uid="{00000000-0005-0000-0000-000046590000}"/>
    <cellStyle name="Normal 2 2 4 2 2 3 5 2" xfId="22862" xr:uid="{00000000-0005-0000-0000-000047590000}"/>
    <cellStyle name="Normal 2 2 4 2 2 3 5 3" xfId="22863" xr:uid="{00000000-0005-0000-0000-000048590000}"/>
    <cellStyle name="Normal 2 2 4 2 2 3 5 4" xfId="22864" xr:uid="{00000000-0005-0000-0000-000049590000}"/>
    <cellStyle name="Normal 2 2 4 2 2 3 5 5" xfId="22865" xr:uid="{00000000-0005-0000-0000-00004A590000}"/>
    <cellStyle name="Normal 2 2 4 2 2 3 5 6" xfId="22866" xr:uid="{00000000-0005-0000-0000-00004B590000}"/>
    <cellStyle name="Normal 2 2 4 2 2 3 5 7" xfId="22867" xr:uid="{00000000-0005-0000-0000-00004C590000}"/>
    <cellStyle name="Normal 2 2 4 2 2 3 5 8" xfId="22868" xr:uid="{00000000-0005-0000-0000-00004D590000}"/>
    <cellStyle name="Normal 2 2 4 2 2 3 5 9" xfId="22869" xr:uid="{00000000-0005-0000-0000-00004E590000}"/>
    <cellStyle name="Normal 2 2 4 2 2 3 6" xfId="22870" xr:uid="{00000000-0005-0000-0000-00004F590000}"/>
    <cellStyle name="Normal 2 2 4 2 2 3 7" xfId="22871" xr:uid="{00000000-0005-0000-0000-000050590000}"/>
    <cellStyle name="Normal 2 2 4 2 2 3 8" xfId="22872" xr:uid="{00000000-0005-0000-0000-000051590000}"/>
    <cellStyle name="Normal 2 2 4 2 2 3 9" xfId="22873" xr:uid="{00000000-0005-0000-0000-000052590000}"/>
    <cellStyle name="Normal 2 2 4 2 2 4" xfId="22874" xr:uid="{00000000-0005-0000-0000-000053590000}"/>
    <cellStyle name="Normal 2 2 4 2 2 4 10" xfId="22875" xr:uid="{00000000-0005-0000-0000-000054590000}"/>
    <cellStyle name="Normal 2 2 4 2 2 4 11" xfId="22876" xr:uid="{00000000-0005-0000-0000-000055590000}"/>
    <cellStyle name="Normal 2 2 4 2 2 4 12" xfId="22877" xr:uid="{00000000-0005-0000-0000-000056590000}"/>
    <cellStyle name="Normal 2 2 4 2 2 4 13" xfId="22878" xr:uid="{00000000-0005-0000-0000-000057590000}"/>
    <cellStyle name="Normal 2 2 4 2 2 4 14" xfId="22879" xr:uid="{00000000-0005-0000-0000-000058590000}"/>
    <cellStyle name="Normal 2 2 4 2 2 4 2" xfId="22880" xr:uid="{00000000-0005-0000-0000-000059590000}"/>
    <cellStyle name="Normal 2 2 4 2 2 4 2 10" xfId="22881" xr:uid="{00000000-0005-0000-0000-00005A590000}"/>
    <cellStyle name="Normal 2 2 4 2 2 4 2 2" xfId="22882" xr:uid="{00000000-0005-0000-0000-00005B590000}"/>
    <cellStyle name="Normal 2 2 4 2 2 4 2 3" xfId="22883" xr:uid="{00000000-0005-0000-0000-00005C590000}"/>
    <cellStyle name="Normal 2 2 4 2 2 4 2 4" xfId="22884" xr:uid="{00000000-0005-0000-0000-00005D590000}"/>
    <cellStyle name="Normal 2 2 4 2 2 4 2 5" xfId="22885" xr:uid="{00000000-0005-0000-0000-00005E590000}"/>
    <cellStyle name="Normal 2 2 4 2 2 4 2 6" xfId="22886" xr:uid="{00000000-0005-0000-0000-00005F590000}"/>
    <cellStyle name="Normal 2 2 4 2 2 4 2 7" xfId="22887" xr:uid="{00000000-0005-0000-0000-000060590000}"/>
    <cellStyle name="Normal 2 2 4 2 2 4 2 8" xfId="22888" xr:uid="{00000000-0005-0000-0000-000061590000}"/>
    <cellStyle name="Normal 2 2 4 2 2 4 2 9" xfId="22889" xr:uid="{00000000-0005-0000-0000-000062590000}"/>
    <cellStyle name="Normal 2 2 4 2 2 4 3" xfId="22890" xr:uid="{00000000-0005-0000-0000-000063590000}"/>
    <cellStyle name="Normal 2 2 4 2 2 4 3 10" xfId="22891" xr:uid="{00000000-0005-0000-0000-000064590000}"/>
    <cellStyle name="Normal 2 2 4 2 2 4 3 2" xfId="22892" xr:uid="{00000000-0005-0000-0000-000065590000}"/>
    <cellStyle name="Normal 2 2 4 2 2 4 3 3" xfId="22893" xr:uid="{00000000-0005-0000-0000-000066590000}"/>
    <cellStyle name="Normal 2 2 4 2 2 4 3 4" xfId="22894" xr:uid="{00000000-0005-0000-0000-000067590000}"/>
    <cellStyle name="Normal 2 2 4 2 2 4 3 5" xfId="22895" xr:uid="{00000000-0005-0000-0000-000068590000}"/>
    <cellStyle name="Normal 2 2 4 2 2 4 3 6" xfId="22896" xr:uid="{00000000-0005-0000-0000-000069590000}"/>
    <cellStyle name="Normal 2 2 4 2 2 4 3 7" xfId="22897" xr:uid="{00000000-0005-0000-0000-00006A590000}"/>
    <cellStyle name="Normal 2 2 4 2 2 4 3 8" xfId="22898" xr:uid="{00000000-0005-0000-0000-00006B590000}"/>
    <cellStyle name="Normal 2 2 4 2 2 4 3 9" xfId="22899" xr:uid="{00000000-0005-0000-0000-00006C590000}"/>
    <cellStyle name="Normal 2 2 4 2 2 4 4" xfId="22900" xr:uid="{00000000-0005-0000-0000-00006D590000}"/>
    <cellStyle name="Normal 2 2 4 2 2 4 4 10" xfId="22901" xr:uid="{00000000-0005-0000-0000-00006E590000}"/>
    <cellStyle name="Normal 2 2 4 2 2 4 4 2" xfId="22902" xr:uid="{00000000-0005-0000-0000-00006F590000}"/>
    <cellStyle name="Normal 2 2 4 2 2 4 4 3" xfId="22903" xr:uid="{00000000-0005-0000-0000-000070590000}"/>
    <cellStyle name="Normal 2 2 4 2 2 4 4 4" xfId="22904" xr:uid="{00000000-0005-0000-0000-000071590000}"/>
    <cellStyle name="Normal 2 2 4 2 2 4 4 5" xfId="22905" xr:uid="{00000000-0005-0000-0000-000072590000}"/>
    <cellStyle name="Normal 2 2 4 2 2 4 4 6" xfId="22906" xr:uid="{00000000-0005-0000-0000-000073590000}"/>
    <cellStyle name="Normal 2 2 4 2 2 4 4 7" xfId="22907" xr:uid="{00000000-0005-0000-0000-000074590000}"/>
    <cellStyle name="Normal 2 2 4 2 2 4 4 8" xfId="22908" xr:uid="{00000000-0005-0000-0000-000075590000}"/>
    <cellStyle name="Normal 2 2 4 2 2 4 4 9" xfId="22909" xr:uid="{00000000-0005-0000-0000-000076590000}"/>
    <cellStyle name="Normal 2 2 4 2 2 4 5" xfId="22910" xr:uid="{00000000-0005-0000-0000-000077590000}"/>
    <cellStyle name="Normal 2 2 4 2 2 4 5 10" xfId="22911" xr:uid="{00000000-0005-0000-0000-000078590000}"/>
    <cellStyle name="Normal 2 2 4 2 2 4 5 2" xfId="22912" xr:uid="{00000000-0005-0000-0000-000079590000}"/>
    <cellStyle name="Normal 2 2 4 2 2 4 5 3" xfId="22913" xr:uid="{00000000-0005-0000-0000-00007A590000}"/>
    <cellStyle name="Normal 2 2 4 2 2 4 5 4" xfId="22914" xr:uid="{00000000-0005-0000-0000-00007B590000}"/>
    <cellStyle name="Normal 2 2 4 2 2 4 5 5" xfId="22915" xr:uid="{00000000-0005-0000-0000-00007C590000}"/>
    <cellStyle name="Normal 2 2 4 2 2 4 5 6" xfId="22916" xr:uid="{00000000-0005-0000-0000-00007D590000}"/>
    <cellStyle name="Normal 2 2 4 2 2 4 5 7" xfId="22917" xr:uid="{00000000-0005-0000-0000-00007E590000}"/>
    <cellStyle name="Normal 2 2 4 2 2 4 5 8" xfId="22918" xr:uid="{00000000-0005-0000-0000-00007F590000}"/>
    <cellStyle name="Normal 2 2 4 2 2 4 5 9" xfId="22919" xr:uid="{00000000-0005-0000-0000-000080590000}"/>
    <cellStyle name="Normal 2 2 4 2 2 4 6" xfId="22920" xr:uid="{00000000-0005-0000-0000-000081590000}"/>
    <cellStyle name="Normal 2 2 4 2 2 4 7" xfId="22921" xr:uid="{00000000-0005-0000-0000-000082590000}"/>
    <cellStyle name="Normal 2 2 4 2 2 4 8" xfId="22922" xr:uid="{00000000-0005-0000-0000-000083590000}"/>
    <cellStyle name="Normal 2 2 4 2 2 4 9" xfId="22923" xr:uid="{00000000-0005-0000-0000-000084590000}"/>
    <cellStyle name="Normal 2 2 4 2 2 5" xfId="22924" xr:uid="{00000000-0005-0000-0000-000085590000}"/>
    <cellStyle name="Normal 2 2 4 2 2 5 10" xfId="22925" xr:uid="{00000000-0005-0000-0000-000086590000}"/>
    <cellStyle name="Normal 2 2 4 2 2 5 11" xfId="22926" xr:uid="{00000000-0005-0000-0000-000087590000}"/>
    <cellStyle name="Normal 2 2 4 2 2 5 12" xfId="22927" xr:uid="{00000000-0005-0000-0000-000088590000}"/>
    <cellStyle name="Normal 2 2 4 2 2 5 13" xfId="22928" xr:uid="{00000000-0005-0000-0000-000089590000}"/>
    <cellStyle name="Normal 2 2 4 2 2 5 14" xfId="22929" xr:uid="{00000000-0005-0000-0000-00008A590000}"/>
    <cellStyle name="Normal 2 2 4 2 2 5 2" xfId="22930" xr:uid="{00000000-0005-0000-0000-00008B590000}"/>
    <cellStyle name="Normal 2 2 4 2 2 5 2 10" xfId="22931" xr:uid="{00000000-0005-0000-0000-00008C590000}"/>
    <cellStyle name="Normal 2 2 4 2 2 5 2 2" xfId="22932" xr:uid="{00000000-0005-0000-0000-00008D590000}"/>
    <cellStyle name="Normal 2 2 4 2 2 5 2 3" xfId="22933" xr:uid="{00000000-0005-0000-0000-00008E590000}"/>
    <cellStyle name="Normal 2 2 4 2 2 5 2 4" xfId="22934" xr:uid="{00000000-0005-0000-0000-00008F590000}"/>
    <cellStyle name="Normal 2 2 4 2 2 5 2 5" xfId="22935" xr:uid="{00000000-0005-0000-0000-000090590000}"/>
    <cellStyle name="Normal 2 2 4 2 2 5 2 6" xfId="22936" xr:uid="{00000000-0005-0000-0000-000091590000}"/>
    <cellStyle name="Normal 2 2 4 2 2 5 2 7" xfId="22937" xr:uid="{00000000-0005-0000-0000-000092590000}"/>
    <cellStyle name="Normal 2 2 4 2 2 5 2 8" xfId="22938" xr:uid="{00000000-0005-0000-0000-000093590000}"/>
    <cellStyle name="Normal 2 2 4 2 2 5 2 9" xfId="22939" xr:uid="{00000000-0005-0000-0000-000094590000}"/>
    <cellStyle name="Normal 2 2 4 2 2 5 3" xfId="22940" xr:uid="{00000000-0005-0000-0000-000095590000}"/>
    <cellStyle name="Normal 2 2 4 2 2 5 3 10" xfId="22941" xr:uid="{00000000-0005-0000-0000-000096590000}"/>
    <cellStyle name="Normal 2 2 4 2 2 5 3 2" xfId="22942" xr:uid="{00000000-0005-0000-0000-000097590000}"/>
    <cellStyle name="Normal 2 2 4 2 2 5 3 3" xfId="22943" xr:uid="{00000000-0005-0000-0000-000098590000}"/>
    <cellStyle name="Normal 2 2 4 2 2 5 3 4" xfId="22944" xr:uid="{00000000-0005-0000-0000-000099590000}"/>
    <cellStyle name="Normal 2 2 4 2 2 5 3 5" xfId="22945" xr:uid="{00000000-0005-0000-0000-00009A590000}"/>
    <cellStyle name="Normal 2 2 4 2 2 5 3 6" xfId="22946" xr:uid="{00000000-0005-0000-0000-00009B590000}"/>
    <cellStyle name="Normal 2 2 4 2 2 5 3 7" xfId="22947" xr:uid="{00000000-0005-0000-0000-00009C590000}"/>
    <cellStyle name="Normal 2 2 4 2 2 5 3 8" xfId="22948" xr:uid="{00000000-0005-0000-0000-00009D590000}"/>
    <cellStyle name="Normal 2 2 4 2 2 5 3 9" xfId="22949" xr:uid="{00000000-0005-0000-0000-00009E590000}"/>
    <cellStyle name="Normal 2 2 4 2 2 5 4" xfId="22950" xr:uid="{00000000-0005-0000-0000-00009F590000}"/>
    <cellStyle name="Normal 2 2 4 2 2 5 4 10" xfId="22951" xr:uid="{00000000-0005-0000-0000-0000A0590000}"/>
    <cellStyle name="Normal 2 2 4 2 2 5 4 2" xfId="22952" xr:uid="{00000000-0005-0000-0000-0000A1590000}"/>
    <cellStyle name="Normal 2 2 4 2 2 5 4 3" xfId="22953" xr:uid="{00000000-0005-0000-0000-0000A2590000}"/>
    <cellStyle name="Normal 2 2 4 2 2 5 4 4" xfId="22954" xr:uid="{00000000-0005-0000-0000-0000A3590000}"/>
    <cellStyle name="Normal 2 2 4 2 2 5 4 5" xfId="22955" xr:uid="{00000000-0005-0000-0000-0000A4590000}"/>
    <cellStyle name="Normal 2 2 4 2 2 5 4 6" xfId="22956" xr:uid="{00000000-0005-0000-0000-0000A5590000}"/>
    <cellStyle name="Normal 2 2 4 2 2 5 4 7" xfId="22957" xr:uid="{00000000-0005-0000-0000-0000A6590000}"/>
    <cellStyle name="Normal 2 2 4 2 2 5 4 8" xfId="22958" xr:uid="{00000000-0005-0000-0000-0000A7590000}"/>
    <cellStyle name="Normal 2 2 4 2 2 5 4 9" xfId="22959" xr:uid="{00000000-0005-0000-0000-0000A8590000}"/>
    <cellStyle name="Normal 2 2 4 2 2 5 5" xfId="22960" xr:uid="{00000000-0005-0000-0000-0000A9590000}"/>
    <cellStyle name="Normal 2 2 4 2 2 5 5 10" xfId="22961" xr:uid="{00000000-0005-0000-0000-0000AA590000}"/>
    <cellStyle name="Normal 2 2 4 2 2 5 5 2" xfId="22962" xr:uid="{00000000-0005-0000-0000-0000AB590000}"/>
    <cellStyle name="Normal 2 2 4 2 2 5 5 3" xfId="22963" xr:uid="{00000000-0005-0000-0000-0000AC590000}"/>
    <cellStyle name="Normal 2 2 4 2 2 5 5 4" xfId="22964" xr:uid="{00000000-0005-0000-0000-0000AD590000}"/>
    <cellStyle name="Normal 2 2 4 2 2 5 5 5" xfId="22965" xr:uid="{00000000-0005-0000-0000-0000AE590000}"/>
    <cellStyle name="Normal 2 2 4 2 2 5 5 6" xfId="22966" xr:uid="{00000000-0005-0000-0000-0000AF590000}"/>
    <cellStyle name="Normal 2 2 4 2 2 5 5 7" xfId="22967" xr:uid="{00000000-0005-0000-0000-0000B0590000}"/>
    <cellStyle name="Normal 2 2 4 2 2 5 5 8" xfId="22968" xr:uid="{00000000-0005-0000-0000-0000B1590000}"/>
    <cellStyle name="Normal 2 2 4 2 2 5 5 9" xfId="22969" xr:uid="{00000000-0005-0000-0000-0000B2590000}"/>
    <cellStyle name="Normal 2 2 4 2 2 5 6" xfId="22970" xr:uid="{00000000-0005-0000-0000-0000B3590000}"/>
    <cellStyle name="Normal 2 2 4 2 2 5 7" xfId="22971" xr:uid="{00000000-0005-0000-0000-0000B4590000}"/>
    <cellStyle name="Normal 2 2 4 2 2 5 8" xfId="22972" xr:uid="{00000000-0005-0000-0000-0000B5590000}"/>
    <cellStyle name="Normal 2 2 4 2 2 5 9" xfId="22973" xr:uid="{00000000-0005-0000-0000-0000B6590000}"/>
    <cellStyle name="Normal 2 2 4 2 2 6" xfId="22974" xr:uid="{00000000-0005-0000-0000-0000B7590000}"/>
    <cellStyle name="Normal 2 2 4 2 2 6 10" xfId="22975" xr:uid="{00000000-0005-0000-0000-0000B8590000}"/>
    <cellStyle name="Normal 2 2 4 2 2 6 11" xfId="22976" xr:uid="{00000000-0005-0000-0000-0000B9590000}"/>
    <cellStyle name="Normal 2 2 4 2 2 6 12" xfId="22977" xr:uid="{00000000-0005-0000-0000-0000BA590000}"/>
    <cellStyle name="Normal 2 2 4 2 2 6 13" xfId="22978" xr:uid="{00000000-0005-0000-0000-0000BB590000}"/>
    <cellStyle name="Normal 2 2 4 2 2 6 14" xfId="22979" xr:uid="{00000000-0005-0000-0000-0000BC590000}"/>
    <cellStyle name="Normal 2 2 4 2 2 6 2" xfId="22980" xr:uid="{00000000-0005-0000-0000-0000BD590000}"/>
    <cellStyle name="Normal 2 2 4 2 2 6 2 10" xfId="22981" xr:uid="{00000000-0005-0000-0000-0000BE590000}"/>
    <cellStyle name="Normal 2 2 4 2 2 6 2 2" xfId="22982" xr:uid="{00000000-0005-0000-0000-0000BF590000}"/>
    <cellStyle name="Normal 2 2 4 2 2 6 2 3" xfId="22983" xr:uid="{00000000-0005-0000-0000-0000C0590000}"/>
    <cellStyle name="Normal 2 2 4 2 2 6 2 4" xfId="22984" xr:uid="{00000000-0005-0000-0000-0000C1590000}"/>
    <cellStyle name="Normal 2 2 4 2 2 6 2 5" xfId="22985" xr:uid="{00000000-0005-0000-0000-0000C2590000}"/>
    <cellStyle name="Normal 2 2 4 2 2 6 2 6" xfId="22986" xr:uid="{00000000-0005-0000-0000-0000C3590000}"/>
    <cellStyle name="Normal 2 2 4 2 2 6 2 7" xfId="22987" xr:uid="{00000000-0005-0000-0000-0000C4590000}"/>
    <cellStyle name="Normal 2 2 4 2 2 6 2 8" xfId="22988" xr:uid="{00000000-0005-0000-0000-0000C5590000}"/>
    <cellStyle name="Normal 2 2 4 2 2 6 2 9" xfId="22989" xr:uid="{00000000-0005-0000-0000-0000C6590000}"/>
    <cellStyle name="Normal 2 2 4 2 2 6 3" xfId="22990" xr:uid="{00000000-0005-0000-0000-0000C7590000}"/>
    <cellStyle name="Normal 2 2 4 2 2 6 3 10" xfId="22991" xr:uid="{00000000-0005-0000-0000-0000C8590000}"/>
    <cellStyle name="Normal 2 2 4 2 2 6 3 2" xfId="22992" xr:uid="{00000000-0005-0000-0000-0000C9590000}"/>
    <cellStyle name="Normal 2 2 4 2 2 6 3 3" xfId="22993" xr:uid="{00000000-0005-0000-0000-0000CA590000}"/>
    <cellStyle name="Normal 2 2 4 2 2 6 3 4" xfId="22994" xr:uid="{00000000-0005-0000-0000-0000CB590000}"/>
    <cellStyle name="Normal 2 2 4 2 2 6 3 5" xfId="22995" xr:uid="{00000000-0005-0000-0000-0000CC590000}"/>
    <cellStyle name="Normal 2 2 4 2 2 6 3 6" xfId="22996" xr:uid="{00000000-0005-0000-0000-0000CD590000}"/>
    <cellStyle name="Normal 2 2 4 2 2 6 3 7" xfId="22997" xr:uid="{00000000-0005-0000-0000-0000CE590000}"/>
    <cellStyle name="Normal 2 2 4 2 2 6 3 8" xfId="22998" xr:uid="{00000000-0005-0000-0000-0000CF590000}"/>
    <cellStyle name="Normal 2 2 4 2 2 6 3 9" xfId="22999" xr:uid="{00000000-0005-0000-0000-0000D0590000}"/>
    <cellStyle name="Normal 2 2 4 2 2 6 4" xfId="23000" xr:uid="{00000000-0005-0000-0000-0000D1590000}"/>
    <cellStyle name="Normal 2 2 4 2 2 6 4 10" xfId="23001" xr:uid="{00000000-0005-0000-0000-0000D2590000}"/>
    <cellStyle name="Normal 2 2 4 2 2 6 4 2" xfId="23002" xr:uid="{00000000-0005-0000-0000-0000D3590000}"/>
    <cellStyle name="Normal 2 2 4 2 2 6 4 3" xfId="23003" xr:uid="{00000000-0005-0000-0000-0000D4590000}"/>
    <cellStyle name="Normal 2 2 4 2 2 6 4 4" xfId="23004" xr:uid="{00000000-0005-0000-0000-0000D5590000}"/>
    <cellStyle name="Normal 2 2 4 2 2 6 4 5" xfId="23005" xr:uid="{00000000-0005-0000-0000-0000D6590000}"/>
    <cellStyle name="Normal 2 2 4 2 2 6 4 6" xfId="23006" xr:uid="{00000000-0005-0000-0000-0000D7590000}"/>
    <cellStyle name="Normal 2 2 4 2 2 6 4 7" xfId="23007" xr:uid="{00000000-0005-0000-0000-0000D8590000}"/>
    <cellStyle name="Normal 2 2 4 2 2 6 4 8" xfId="23008" xr:uid="{00000000-0005-0000-0000-0000D9590000}"/>
    <cellStyle name="Normal 2 2 4 2 2 6 4 9" xfId="23009" xr:uid="{00000000-0005-0000-0000-0000DA590000}"/>
    <cellStyle name="Normal 2 2 4 2 2 6 5" xfId="23010" xr:uid="{00000000-0005-0000-0000-0000DB590000}"/>
    <cellStyle name="Normal 2 2 4 2 2 6 5 10" xfId="23011" xr:uid="{00000000-0005-0000-0000-0000DC590000}"/>
    <cellStyle name="Normal 2 2 4 2 2 6 5 2" xfId="23012" xr:uid="{00000000-0005-0000-0000-0000DD590000}"/>
    <cellStyle name="Normal 2 2 4 2 2 6 5 3" xfId="23013" xr:uid="{00000000-0005-0000-0000-0000DE590000}"/>
    <cellStyle name="Normal 2 2 4 2 2 6 5 4" xfId="23014" xr:uid="{00000000-0005-0000-0000-0000DF590000}"/>
    <cellStyle name="Normal 2 2 4 2 2 6 5 5" xfId="23015" xr:uid="{00000000-0005-0000-0000-0000E0590000}"/>
    <cellStyle name="Normal 2 2 4 2 2 6 5 6" xfId="23016" xr:uid="{00000000-0005-0000-0000-0000E1590000}"/>
    <cellStyle name="Normal 2 2 4 2 2 6 5 7" xfId="23017" xr:uid="{00000000-0005-0000-0000-0000E2590000}"/>
    <cellStyle name="Normal 2 2 4 2 2 6 5 8" xfId="23018" xr:uid="{00000000-0005-0000-0000-0000E3590000}"/>
    <cellStyle name="Normal 2 2 4 2 2 6 5 9" xfId="23019" xr:uid="{00000000-0005-0000-0000-0000E4590000}"/>
    <cellStyle name="Normal 2 2 4 2 2 6 6" xfId="23020" xr:uid="{00000000-0005-0000-0000-0000E5590000}"/>
    <cellStyle name="Normal 2 2 4 2 2 6 7" xfId="23021" xr:uid="{00000000-0005-0000-0000-0000E6590000}"/>
    <cellStyle name="Normal 2 2 4 2 2 6 8" xfId="23022" xr:uid="{00000000-0005-0000-0000-0000E7590000}"/>
    <cellStyle name="Normal 2 2 4 2 2 6 9" xfId="23023" xr:uid="{00000000-0005-0000-0000-0000E8590000}"/>
    <cellStyle name="Normal 2 2 4 2 2 7" xfId="23024" xr:uid="{00000000-0005-0000-0000-0000E9590000}"/>
    <cellStyle name="Normal 2 2 4 2 2 7 10" xfId="23025" xr:uid="{00000000-0005-0000-0000-0000EA590000}"/>
    <cellStyle name="Normal 2 2 4 2 2 7 11" xfId="23026" xr:uid="{00000000-0005-0000-0000-0000EB590000}"/>
    <cellStyle name="Normal 2 2 4 2 2 7 12" xfId="23027" xr:uid="{00000000-0005-0000-0000-0000EC590000}"/>
    <cellStyle name="Normal 2 2 4 2 2 7 13" xfId="23028" xr:uid="{00000000-0005-0000-0000-0000ED590000}"/>
    <cellStyle name="Normal 2 2 4 2 2 7 14" xfId="23029" xr:uid="{00000000-0005-0000-0000-0000EE590000}"/>
    <cellStyle name="Normal 2 2 4 2 2 7 2" xfId="23030" xr:uid="{00000000-0005-0000-0000-0000EF590000}"/>
    <cellStyle name="Normal 2 2 4 2 2 7 2 10" xfId="23031" xr:uid="{00000000-0005-0000-0000-0000F0590000}"/>
    <cellStyle name="Normal 2 2 4 2 2 7 2 2" xfId="23032" xr:uid="{00000000-0005-0000-0000-0000F1590000}"/>
    <cellStyle name="Normal 2 2 4 2 2 7 2 3" xfId="23033" xr:uid="{00000000-0005-0000-0000-0000F2590000}"/>
    <cellStyle name="Normal 2 2 4 2 2 7 2 4" xfId="23034" xr:uid="{00000000-0005-0000-0000-0000F3590000}"/>
    <cellStyle name="Normal 2 2 4 2 2 7 2 5" xfId="23035" xr:uid="{00000000-0005-0000-0000-0000F4590000}"/>
    <cellStyle name="Normal 2 2 4 2 2 7 2 6" xfId="23036" xr:uid="{00000000-0005-0000-0000-0000F5590000}"/>
    <cellStyle name="Normal 2 2 4 2 2 7 2 7" xfId="23037" xr:uid="{00000000-0005-0000-0000-0000F6590000}"/>
    <cellStyle name="Normal 2 2 4 2 2 7 2 8" xfId="23038" xr:uid="{00000000-0005-0000-0000-0000F7590000}"/>
    <cellStyle name="Normal 2 2 4 2 2 7 2 9" xfId="23039" xr:uid="{00000000-0005-0000-0000-0000F8590000}"/>
    <cellStyle name="Normal 2 2 4 2 2 7 3" xfId="23040" xr:uid="{00000000-0005-0000-0000-0000F9590000}"/>
    <cellStyle name="Normal 2 2 4 2 2 7 3 10" xfId="23041" xr:uid="{00000000-0005-0000-0000-0000FA590000}"/>
    <cellStyle name="Normal 2 2 4 2 2 7 3 2" xfId="23042" xr:uid="{00000000-0005-0000-0000-0000FB590000}"/>
    <cellStyle name="Normal 2 2 4 2 2 7 3 3" xfId="23043" xr:uid="{00000000-0005-0000-0000-0000FC590000}"/>
    <cellStyle name="Normal 2 2 4 2 2 7 3 4" xfId="23044" xr:uid="{00000000-0005-0000-0000-0000FD590000}"/>
    <cellStyle name="Normal 2 2 4 2 2 7 3 5" xfId="23045" xr:uid="{00000000-0005-0000-0000-0000FE590000}"/>
    <cellStyle name="Normal 2 2 4 2 2 7 3 6" xfId="23046" xr:uid="{00000000-0005-0000-0000-0000FF590000}"/>
    <cellStyle name="Normal 2 2 4 2 2 7 3 7" xfId="23047" xr:uid="{00000000-0005-0000-0000-0000005A0000}"/>
    <cellStyle name="Normal 2 2 4 2 2 7 3 8" xfId="23048" xr:uid="{00000000-0005-0000-0000-0000015A0000}"/>
    <cellStyle name="Normal 2 2 4 2 2 7 3 9" xfId="23049" xr:uid="{00000000-0005-0000-0000-0000025A0000}"/>
    <cellStyle name="Normal 2 2 4 2 2 7 4" xfId="23050" xr:uid="{00000000-0005-0000-0000-0000035A0000}"/>
    <cellStyle name="Normal 2 2 4 2 2 7 4 10" xfId="23051" xr:uid="{00000000-0005-0000-0000-0000045A0000}"/>
    <cellStyle name="Normal 2 2 4 2 2 7 4 2" xfId="23052" xr:uid="{00000000-0005-0000-0000-0000055A0000}"/>
    <cellStyle name="Normal 2 2 4 2 2 7 4 3" xfId="23053" xr:uid="{00000000-0005-0000-0000-0000065A0000}"/>
    <cellStyle name="Normal 2 2 4 2 2 7 4 4" xfId="23054" xr:uid="{00000000-0005-0000-0000-0000075A0000}"/>
    <cellStyle name="Normal 2 2 4 2 2 7 4 5" xfId="23055" xr:uid="{00000000-0005-0000-0000-0000085A0000}"/>
    <cellStyle name="Normal 2 2 4 2 2 7 4 6" xfId="23056" xr:uid="{00000000-0005-0000-0000-0000095A0000}"/>
    <cellStyle name="Normal 2 2 4 2 2 7 4 7" xfId="23057" xr:uid="{00000000-0005-0000-0000-00000A5A0000}"/>
    <cellStyle name="Normal 2 2 4 2 2 7 4 8" xfId="23058" xr:uid="{00000000-0005-0000-0000-00000B5A0000}"/>
    <cellStyle name="Normal 2 2 4 2 2 7 4 9" xfId="23059" xr:uid="{00000000-0005-0000-0000-00000C5A0000}"/>
    <cellStyle name="Normal 2 2 4 2 2 7 5" xfId="23060" xr:uid="{00000000-0005-0000-0000-00000D5A0000}"/>
    <cellStyle name="Normal 2 2 4 2 2 7 5 10" xfId="23061" xr:uid="{00000000-0005-0000-0000-00000E5A0000}"/>
    <cellStyle name="Normal 2 2 4 2 2 7 5 2" xfId="23062" xr:uid="{00000000-0005-0000-0000-00000F5A0000}"/>
    <cellStyle name="Normal 2 2 4 2 2 7 5 3" xfId="23063" xr:uid="{00000000-0005-0000-0000-0000105A0000}"/>
    <cellStyle name="Normal 2 2 4 2 2 7 5 4" xfId="23064" xr:uid="{00000000-0005-0000-0000-0000115A0000}"/>
    <cellStyle name="Normal 2 2 4 2 2 7 5 5" xfId="23065" xr:uid="{00000000-0005-0000-0000-0000125A0000}"/>
    <cellStyle name="Normal 2 2 4 2 2 7 5 6" xfId="23066" xr:uid="{00000000-0005-0000-0000-0000135A0000}"/>
    <cellStyle name="Normal 2 2 4 2 2 7 5 7" xfId="23067" xr:uid="{00000000-0005-0000-0000-0000145A0000}"/>
    <cellStyle name="Normal 2 2 4 2 2 7 5 8" xfId="23068" xr:uid="{00000000-0005-0000-0000-0000155A0000}"/>
    <cellStyle name="Normal 2 2 4 2 2 7 5 9" xfId="23069" xr:uid="{00000000-0005-0000-0000-0000165A0000}"/>
    <cellStyle name="Normal 2 2 4 2 2 7 6" xfId="23070" xr:uid="{00000000-0005-0000-0000-0000175A0000}"/>
    <cellStyle name="Normal 2 2 4 2 2 7 7" xfId="23071" xr:uid="{00000000-0005-0000-0000-0000185A0000}"/>
    <cellStyle name="Normal 2 2 4 2 2 7 8" xfId="23072" xr:uid="{00000000-0005-0000-0000-0000195A0000}"/>
    <cellStyle name="Normal 2 2 4 2 2 7 9" xfId="23073" xr:uid="{00000000-0005-0000-0000-00001A5A0000}"/>
    <cellStyle name="Normal 2 2 4 2 2 8" xfId="23074" xr:uid="{00000000-0005-0000-0000-00001B5A0000}"/>
    <cellStyle name="Normal 2 2 4 2 2 8 10" xfId="23075" xr:uid="{00000000-0005-0000-0000-00001C5A0000}"/>
    <cellStyle name="Normal 2 2 4 2 2 8 11" xfId="23076" xr:uid="{00000000-0005-0000-0000-00001D5A0000}"/>
    <cellStyle name="Normal 2 2 4 2 2 8 12" xfId="23077" xr:uid="{00000000-0005-0000-0000-00001E5A0000}"/>
    <cellStyle name="Normal 2 2 4 2 2 8 13" xfId="23078" xr:uid="{00000000-0005-0000-0000-00001F5A0000}"/>
    <cellStyle name="Normal 2 2 4 2 2 8 14" xfId="23079" xr:uid="{00000000-0005-0000-0000-0000205A0000}"/>
    <cellStyle name="Normal 2 2 4 2 2 8 2" xfId="23080" xr:uid="{00000000-0005-0000-0000-0000215A0000}"/>
    <cellStyle name="Normal 2 2 4 2 2 8 2 10" xfId="23081" xr:uid="{00000000-0005-0000-0000-0000225A0000}"/>
    <cellStyle name="Normal 2 2 4 2 2 8 2 2" xfId="23082" xr:uid="{00000000-0005-0000-0000-0000235A0000}"/>
    <cellStyle name="Normal 2 2 4 2 2 8 2 3" xfId="23083" xr:uid="{00000000-0005-0000-0000-0000245A0000}"/>
    <cellStyle name="Normal 2 2 4 2 2 8 2 4" xfId="23084" xr:uid="{00000000-0005-0000-0000-0000255A0000}"/>
    <cellStyle name="Normal 2 2 4 2 2 8 2 5" xfId="23085" xr:uid="{00000000-0005-0000-0000-0000265A0000}"/>
    <cellStyle name="Normal 2 2 4 2 2 8 2 6" xfId="23086" xr:uid="{00000000-0005-0000-0000-0000275A0000}"/>
    <cellStyle name="Normal 2 2 4 2 2 8 2 7" xfId="23087" xr:uid="{00000000-0005-0000-0000-0000285A0000}"/>
    <cellStyle name="Normal 2 2 4 2 2 8 2 8" xfId="23088" xr:uid="{00000000-0005-0000-0000-0000295A0000}"/>
    <cellStyle name="Normal 2 2 4 2 2 8 2 9" xfId="23089" xr:uid="{00000000-0005-0000-0000-00002A5A0000}"/>
    <cellStyle name="Normal 2 2 4 2 2 8 3" xfId="23090" xr:uid="{00000000-0005-0000-0000-00002B5A0000}"/>
    <cellStyle name="Normal 2 2 4 2 2 8 3 10" xfId="23091" xr:uid="{00000000-0005-0000-0000-00002C5A0000}"/>
    <cellStyle name="Normal 2 2 4 2 2 8 3 2" xfId="23092" xr:uid="{00000000-0005-0000-0000-00002D5A0000}"/>
    <cellStyle name="Normal 2 2 4 2 2 8 3 3" xfId="23093" xr:uid="{00000000-0005-0000-0000-00002E5A0000}"/>
    <cellStyle name="Normal 2 2 4 2 2 8 3 4" xfId="23094" xr:uid="{00000000-0005-0000-0000-00002F5A0000}"/>
    <cellStyle name="Normal 2 2 4 2 2 8 3 5" xfId="23095" xr:uid="{00000000-0005-0000-0000-0000305A0000}"/>
    <cellStyle name="Normal 2 2 4 2 2 8 3 6" xfId="23096" xr:uid="{00000000-0005-0000-0000-0000315A0000}"/>
    <cellStyle name="Normal 2 2 4 2 2 8 3 7" xfId="23097" xr:uid="{00000000-0005-0000-0000-0000325A0000}"/>
    <cellStyle name="Normal 2 2 4 2 2 8 3 8" xfId="23098" xr:uid="{00000000-0005-0000-0000-0000335A0000}"/>
    <cellStyle name="Normal 2 2 4 2 2 8 3 9" xfId="23099" xr:uid="{00000000-0005-0000-0000-0000345A0000}"/>
    <cellStyle name="Normal 2 2 4 2 2 8 4" xfId="23100" xr:uid="{00000000-0005-0000-0000-0000355A0000}"/>
    <cellStyle name="Normal 2 2 4 2 2 8 4 10" xfId="23101" xr:uid="{00000000-0005-0000-0000-0000365A0000}"/>
    <cellStyle name="Normal 2 2 4 2 2 8 4 2" xfId="23102" xr:uid="{00000000-0005-0000-0000-0000375A0000}"/>
    <cellStyle name="Normal 2 2 4 2 2 8 4 3" xfId="23103" xr:uid="{00000000-0005-0000-0000-0000385A0000}"/>
    <cellStyle name="Normal 2 2 4 2 2 8 4 4" xfId="23104" xr:uid="{00000000-0005-0000-0000-0000395A0000}"/>
    <cellStyle name="Normal 2 2 4 2 2 8 4 5" xfId="23105" xr:uid="{00000000-0005-0000-0000-00003A5A0000}"/>
    <cellStyle name="Normal 2 2 4 2 2 8 4 6" xfId="23106" xr:uid="{00000000-0005-0000-0000-00003B5A0000}"/>
    <cellStyle name="Normal 2 2 4 2 2 8 4 7" xfId="23107" xr:uid="{00000000-0005-0000-0000-00003C5A0000}"/>
    <cellStyle name="Normal 2 2 4 2 2 8 4 8" xfId="23108" xr:uid="{00000000-0005-0000-0000-00003D5A0000}"/>
    <cellStyle name="Normal 2 2 4 2 2 8 4 9" xfId="23109" xr:uid="{00000000-0005-0000-0000-00003E5A0000}"/>
    <cellStyle name="Normal 2 2 4 2 2 8 5" xfId="23110" xr:uid="{00000000-0005-0000-0000-00003F5A0000}"/>
    <cellStyle name="Normal 2 2 4 2 2 8 5 10" xfId="23111" xr:uid="{00000000-0005-0000-0000-0000405A0000}"/>
    <cellStyle name="Normal 2 2 4 2 2 8 5 2" xfId="23112" xr:uid="{00000000-0005-0000-0000-0000415A0000}"/>
    <cellStyle name="Normal 2 2 4 2 2 8 5 3" xfId="23113" xr:uid="{00000000-0005-0000-0000-0000425A0000}"/>
    <cellStyle name="Normal 2 2 4 2 2 8 5 4" xfId="23114" xr:uid="{00000000-0005-0000-0000-0000435A0000}"/>
    <cellStyle name="Normal 2 2 4 2 2 8 5 5" xfId="23115" xr:uid="{00000000-0005-0000-0000-0000445A0000}"/>
    <cellStyle name="Normal 2 2 4 2 2 8 5 6" xfId="23116" xr:uid="{00000000-0005-0000-0000-0000455A0000}"/>
    <cellStyle name="Normal 2 2 4 2 2 8 5 7" xfId="23117" xr:uid="{00000000-0005-0000-0000-0000465A0000}"/>
    <cellStyle name="Normal 2 2 4 2 2 8 5 8" xfId="23118" xr:uid="{00000000-0005-0000-0000-0000475A0000}"/>
    <cellStyle name="Normal 2 2 4 2 2 8 5 9" xfId="23119" xr:uid="{00000000-0005-0000-0000-0000485A0000}"/>
    <cellStyle name="Normal 2 2 4 2 2 8 6" xfId="23120" xr:uid="{00000000-0005-0000-0000-0000495A0000}"/>
    <cellStyle name="Normal 2 2 4 2 2 8 7" xfId="23121" xr:uid="{00000000-0005-0000-0000-00004A5A0000}"/>
    <cellStyle name="Normal 2 2 4 2 2 8 8" xfId="23122" xr:uid="{00000000-0005-0000-0000-00004B5A0000}"/>
    <cellStyle name="Normal 2 2 4 2 2 8 9" xfId="23123" xr:uid="{00000000-0005-0000-0000-00004C5A0000}"/>
    <cellStyle name="Normal 2 2 4 2 2 9" xfId="23124" xr:uid="{00000000-0005-0000-0000-00004D5A0000}"/>
    <cellStyle name="Normal 2 2 4 2 2 9 10" xfId="23125" xr:uid="{00000000-0005-0000-0000-00004E5A0000}"/>
    <cellStyle name="Normal 2 2 4 2 2 9 11" xfId="23126" xr:uid="{00000000-0005-0000-0000-00004F5A0000}"/>
    <cellStyle name="Normal 2 2 4 2 2 9 12" xfId="23127" xr:uid="{00000000-0005-0000-0000-0000505A0000}"/>
    <cellStyle name="Normal 2 2 4 2 2 9 13" xfId="23128" xr:uid="{00000000-0005-0000-0000-0000515A0000}"/>
    <cellStyle name="Normal 2 2 4 2 2 9 14" xfId="23129" xr:uid="{00000000-0005-0000-0000-0000525A0000}"/>
    <cellStyle name="Normal 2 2 4 2 2 9 2" xfId="23130" xr:uid="{00000000-0005-0000-0000-0000535A0000}"/>
    <cellStyle name="Normal 2 2 4 2 2 9 2 10" xfId="23131" xr:uid="{00000000-0005-0000-0000-0000545A0000}"/>
    <cellStyle name="Normal 2 2 4 2 2 9 2 2" xfId="23132" xr:uid="{00000000-0005-0000-0000-0000555A0000}"/>
    <cellStyle name="Normal 2 2 4 2 2 9 2 3" xfId="23133" xr:uid="{00000000-0005-0000-0000-0000565A0000}"/>
    <cellStyle name="Normal 2 2 4 2 2 9 2 4" xfId="23134" xr:uid="{00000000-0005-0000-0000-0000575A0000}"/>
    <cellStyle name="Normal 2 2 4 2 2 9 2 5" xfId="23135" xr:uid="{00000000-0005-0000-0000-0000585A0000}"/>
    <cellStyle name="Normal 2 2 4 2 2 9 2 6" xfId="23136" xr:uid="{00000000-0005-0000-0000-0000595A0000}"/>
    <cellStyle name="Normal 2 2 4 2 2 9 2 7" xfId="23137" xr:uid="{00000000-0005-0000-0000-00005A5A0000}"/>
    <cellStyle name="Normal 2 2 4 2 2 9 2 8" xfId="23138" xr:uid="{00000000-0005-0000-0000-00005B5A0000}"/>
    <cellStyle name="Normal 2 2 4 2 2 9 2 9" xfId="23139" xr:uid="{00000000-0005-0000-0000-00005C5A0000}"/>
    <cellStyle name="Normal 2 2 4 2 2 9 3" xfId="23140" xr:uid="{00000000-0005-0000-0000-00005D5A0000}"/>
    <cellStyle name="Normal 2 2 4 2 2 9 3 10" xfId="23141" xr:uid="{00000000-0005-0000-0000-00005E5A0000}"/>
    <cellStyle name="Normal 2 2 4 2 2 9 3 2" xfId="23142" xr:uid="{00000000-0005-0000-0000-00005F5A0000}"/>
    <cellStyle name="Normal 2 2 4 2 2 9 3 3" xfId="23143" xr:uid="{00000000-0005-0000-0000-0000605A0000}"/>
    <cellStyle name="Normal 2 2 4 2 2 9 3 4" xfId="23144" xr:uid="{00000000-0005-0000-0000-0000615A0000}"/>
    <cellStyle name="Normal 2 2 4 2 2 9 3 5" xfId="23145" xr:uid="{00000000-0005-0000-0000-0000625A0000}"/>
    <cellStyle name="Normal 2 2 4 2 2 9 3 6" xfId="23146" xr:uid="{00000000-0005-0000-0000-0000635A0000}"/>
    <cellStyle name="Normal 2 2 4 2 2 9 3 7" xfId="23147" xr:uid="{00000000-0005-0000-0000-0000645A0000}"/>
    <cellStyle name="Normal 2 2 4 2 2 9 3 8" xfId="23148" xr:uid="{00000000-0005-0000-0000-0000655A0000}"/>
    <cellStyle name="Normal 2 2 4 2 2 9 3 9" xfId="23149" xr:uid="{00000000-0005-0000-0000-0000665A0000}"/>
    <cellStyle name="Normal 2 2 4 2 2 9 4" xfId="23150" xr:uid="{00000000-0005-0000-0000-0000675A0000}"/>
    <cellStyle name="Normal 2 2 4 2 2 9 4 10" xfId="23151" xr:uid="{00000000-0005-0000-0000-0000685A0000}"/>
    <cellStyle name="Normal 2 2 4 2 2 9 4 2" xfId="23152" xr:uid="{00000000-0005-0000-0000-0000695A0000}"/>
    <cellStyle name="Normal 2 2 4 2 2 9 4 3" xfId="23153" xr:uid="{00000000-0005-0000-0000-00006A5A0000}"/>
    <cellStyle name="Normal 2 2 4 2 2 9 4 4" xfId="23154" xr:uid="{00000000-0005-0000-0000-00006B5A0000}"/>
    <cellStyle name="Normal 2 2 4 2 2 9 4 5" xfId="23155" xr:uid="{00000000-0005-0000-0000-00006C5A0000}"/>
    <cellStyle name="Normal 2 2 4 2 2 9 4 6" xfId="23156" xr:uid="{00000000-0005-0000-0000-00006D5A0000}"/>
    <cellStyle name="Normal 2 2 4 2 2 9 4 7" xfId="23157" xr:uid="{00000000-0005-0000-0000-00006E5A0000}"/>
    <cellStyle name="Normal 2 2 4 2 2 9 4 8" xfId="23158" xr:uid="{00000000-0005-0000-0000-00006F5A0000}"/>
    <cellStyle name="Normal 2 2 4 2 2 9 4 9" xfId="23159" xr:uid="{00000000-0005-0000-0000-0000705A0000}"/>
    <cellStyle name="Normal 2 2 4 2 2 9 5" xfId="23160" xr:uid="{00000000-0005-0000-0000-0000715A0000}"/>
    <cellStyle name="Normal 2 2 4 2 2 9 5 10" xfId="23161" xr:uid="{00000000-0005-0000-0000-0000725A0000}"/>
    <cellStyle name="Normal 2 2 4 2 2 9 5 2" xfId="23162" xr:uid="{00000000-0005-0000-0000-0000735A0000}"/>
    <cellStyle name="Normal 2 2 4 2 2 9 5 3" xfId="23163" xr:uid="{00000000-0005-0000-0000-0000745A0000}"/>
    <cellStyle name="Normal 2 2 4 2 2 9 5 4" xfId="23164" xr:uid="{00000000-0005-0000-0000-0000755A0000}"/>
    <cellStyle name="Normal 2 2 4 2 2 9 5 5" xfId="23165" xr:uid="{00000000-0005-0000-0000-0000765A0000}"/>
    <cellStyle name="Normal 2 2 4 2 2 9 5 6" xfId="23166" xr:uid="{00000000-0005-0000-0000-0000775A0000}"/>
    <cellStyle name="Normal 2 2 4 2 2 9 5 7" xfId="23167" xr:uid="{00000000-0005-0000-0000-0000785A0000}"/>
    <cellStyle name="Normal 2 2 4 2 2 9 5 8" xfId="23168" xr:uid="{00000000-0005-0000-0000-0000795A0000}"/>
    <cellStyle name="Normal 2 2 4 2 2 9 5 9" xfId="23169" xr:uid="{00000000-0005-0000-0000-00007A5A0000}"/>
    <cellStyle name="Normal 2 2 4 2 2 9 6" xfId="23170" xr:uid="{00000000-0005-0000-0000-00007B5A0000}"/>
    <cellStyle name="Normal 2 2 4 2 2 9 7" xfId="23171" xr:uid="{00000000-0005-0000-0000-00007C5A0000}"/>
    <cellStyle name="Normal 2 2 4 2 2 9 8" xfId="23172" xr:uid="{00000000-0005-0000-0000-00007D5A0000}"/>
    <cellStyle name="Normal 2 2 4 2 2 9 9" xfId="23173" xr:uid="{00000000-0005-0000-0000-00007E5A0000}"/>
    <cellStyle name="Normal 2 2 4 2 20" xfId="23174" xr:uid="{00000000-0005-0000-0000-00007F5A0000}"/>
    <cellStyle name="Normal 2 2 4 2 21" xfId="23175" xr:uid="{00000000-0005-0000-0000-0000805A0000}"/>
    <cellStyle name="Normal 2 2 4 2 21 10" xfId="23176" xr:uid="{00000000-0005-0000-0000-0000815A0000}"/>
    <cellStyle name="Normal 2 2 4 2 21 2" xfId="23177" xr:uid="{00000000-0005-0000-0000-0000825A0000}"/>
    <cellStyle name="Normal 2 2 4 2 21 3" xfId="23178" xr:uid="{00000000-0005-0000-0000-0000835A0000}"/>
    <cellStyle name="Normal 2 2 4 2 21 4" xfId="23179" xr:uid="{00000000-0005-0000-0000-0000845A0000}"/>
    <cellStyle name="Normal 2 2 4 2 21 5" xfId="23180" xr:uid="{00000000-0005-0000-0000-0000855A0000}"/>
    <cellStyle name="Normal 2 2 4 2 21 6" xfId="23181" xr:uid="{00000000-0005-0000-0000-0000865A0000}"/>
    <cellStyle name="Normal 2 2 4 2 21 7" xfId="23182" xr:uid="{00000000-0005-0000-0000-0000875A0000}"/>
    <cellStyle name="Normal 2 2 4 2 21 8" xfId="23183" xr:uid="{00000000-0005-0000-0000-0000885A0000}"/>
    <cellStyle name="Normal 2 2 4 2 21 9" xfId="23184" xr:uid="{00000000-0005-0000-0000-0000895A0000}"/>
    <cellStyle name="Normal 2 2 4 2 22" xfId="23185" xr:uid="{00000000-0005-0000-0000-00008A5A0000}"/>
    <cellStyle name="Normal 2 2 4 2 22 10" xfId="23186" xr:uid="{00000000-0005-0000-0000-00008B5A0000}"/>
    <cellStyle name="Normal 2 2 4 2 22 2" xfId="23187" xr:uid="{00000000-0005-0000-0000-00008C5A0000}"/>
    <cellStyle name="Normal 2 2 4 2 22 3" xfId="23188" xr:uid="{00000000-0005-0000-0000-00008D5A0000}"/>
    <cellStyle name="Normal 2 2 4 2 22 4" xfId="23189" xr:uid="{00000000-0005-0000-0000-00008E5A0000}"/>
    <cellStyle name="Normal 2 2 4 2 22 5" xfId="23190" xr:uid="{00000000-0005-0000-0000-00008F5A0000}"/>
    <cellStyle name="Normal 2 2 4 2 22 6" xfId="23191" xr:uid="{00000000-0005-0000-0000-0000905A0000}"/>
    <cellStyle name="Normal 2 2 4 2 22 7" xfId="23192" xr:uid="{00000000-0005-0000-0000-0000915A0000}"/>
    <cellStyle name="Normal 2 2 4 2 22 8" xfId="23193" xr:uid="{00000000-0005-0000-0000-0000925A0000}"/>
    <cellStyle name="Normal 2 2 4 2 22 9" xfId="23194" xr:uid="{00000000-0005-0000-0000-0000935A0000}"/>
    <cellStyle name="Normal 2 2 4 2 23" xfId="23195" xr:uid="{00000000-0005-0000-0000-0000945A0000}"/>
    <cellStyle name="Normal 2 2 4 2 23 10" xfId="23196" xr:uid="{00000000-0005-0000-0000-0000955A0000}"/>
    <cellStyle name="Normal 2 2 4 2 23 2" xfId="23197" xr:uid="{00000000-0005-0000-0000-0000965A0000}"/>
    <cellStyle name="Normal 2 2 4 2 23 3" xfId="23198" xr:uid="{00000000-0005-0000-0000-0000975A0000}"/>
    <cellStyle name="Normal 2 2 4 2 23 4" xfId="23199" xr:uid="{00000000-0005-0000-0000-0000985A0000}"/>
    <cellStyle name="Normal 2 2 4 2 23 5" xfId="23200" xr:uid="{00000000-0005-0000-0000-0000995A0000}"/>
    <cellStyle name="Normal 2 2 4 2 23 6" xfId="23201" xr:uid="{00000000-0005-0000-0000-00009A5A0000}"/>
    <cellStyle name="Normal 2 2 4 2 23 7" xfId="23202" xr:uid="{00000000-0005-0000-0000-00009B5A0000}"/>
    <cellStyle name="Normal 2 2 4 2 23 8" xfId="23203" xr:uid="{00000000-0005-0000-0000-00009C5A0000}"/>
    <cellStyle name="Normal 2 2 4 2 23 9" xfId="23204" xr:uid="{00000000-0005-0000-0000-00009D5A0000}"/>
    <cellStyle name="Normal 2 2 4 2 24" xfId="23205" xr:uid="{00000000-0005-0000-0000-00009E5A0000}"/>
    <cellStyle name="Normal 2 2 4 2 24 10" xfId="23206" xr:uid="{00000000-0005-0000-0000-00009F5A0000}"/>
    <cellStyle name="Normal 2 2 4 2 24 2" xfId="23207" xr:uid="{00000000-0005-0000-0000-0000A05A0000}"/>
    <cellStyle name="Normal 2 2 4 2 24 3" xfId="23208" xr:uid="{00000000-0005-0000-0000-0000A15A0000}"/>
    <cellStyle name="Normal 2 2 4 2 24 4" xfId="23209" xr:uid="{00000000-0005-0000-0000-0000A25A0000}"/>
    <cellStyle name="Normal 2 2 4 2 24 5" xfId="23210" xr:uid="{00000000-0005-0000-0000-0000A35A0000}"/>
    <cellStyle name="Normal 2 2 4 2 24 6" xfId="23211" xr:uid="{00000000-0005-0000-0000-0000A45A0000}"/>
    <cellStyle name="Normal 2 2 4 2 24 7" xfId="23212" xr:uid="{00000000-0005-0000-0000-0000A55A0000}"/>
    <cellStyle name="Normal 2 2 4 2 24 8" xfId="23213" xr:uid="{00000000-0005-0000-0000-0000A65A0000}"/>
    <cellStyle name="Normal 2 2 4 2 24 9" xfId="23214" xr:uid="{00000000-0005-0000-0000-0000A75A0000}"/>
    <cellStyle name="Normal 2 2 4 2 25" xfId="23215" xr:uid="{00000000-0005-0000-0000-0000A85A0000}"/>
    <cellStyle name="Normal 2 2 4 2 26" xfId="23216" xr:uid="{00000000-0005-0000-0000-0000A95A0000}"/>
    <cellStyle name="Normal 2 2 4 2 27" xfId="23217" xr:uid="{00000000-0005-0000-0000-0000AA5A0000}"/>
    <cellStyle name="Normal 2 2 4 2 28" xfId="23218" xr:uid="{00000000-0005-0000-0000-0000AB5A0000}"/>
    <cellStyle name="Normal 2 2 4 2 29" xfId="23219" xr:uid="{00000000-0005-0000-0000-0000AC5A0000}"/>
    <cellStyle name="Normal 2 2 4 2 3" xfId="23220" xr:uid="{00000000-0005-0000-0000-0000AD5A0000}"/>
    <cellStyle name="Normal 2 2 4 2 30" xfId="23221" xr:uid="{00000000-0005-0000-0000-0000AE5A0000}"/>
    <cellStyle name="Normal 2 2 4 2 31" xfId="23222" xr:uid="{00000000-0005-0000-0000-0000AF5A0000}"/>
    <cellStyle name="Normal 2 2 4 2 32" xfId="23223" xr:uid="{00000000-0005-0000-0000-0000B05A0000}"/>
    <cellStyle name="Normal 2 2 4 2 33" xfId="23224" xr:uid="{00000000-0005-0000-0000-0000B15A0000}"/>
    <cellStyle name="Normal 2 2 4 2 4" xfId="23225" xr:uid="{00000000-0005-0000-0000-0000B25A0000}"/>
    <cellStyle name="Normal 2 2 4 2 5" xfId="23226" xr:uid="{00000000-0005-0000-0000-0000B35A0000}"/>
    <cellStyle name="Normal 2 2 4 2 6" xfId="23227" xr:uid="{00000000-0005-0000-0000-0000B45A0000}"/>
    <cellStyle name="Normal 2 2 4 2 7" xfId="23228" xr:uid="{00000000-0005-0000-0000-0000B55A0000}"/>
    <cellStyle name="Normal 2 2 4 2 8" xfId="23229" xr:uid="{00000000-0005-0000-0000-0000B65A0000}"/>
    <cellStyle name="Normal 2 2 4 2 9" xfId="23230" xr:uid="{00000000-0005-0000-0000-0000B75A0000}"/>
    <cellStyle name="Normal 2 2 4 20" xfId="23231" xr:uid="{00000000-0005-0000-0000-0000B85A0000}"/>
    <cellStyle name="Normal 2 2 4 20 10" xfId="23232" xr:uid="{00000000-0005-0000-0000-0000B95A0000}"/>
    <cellStyle name="Normal 2 2 4 20 11" xfId="23233" xr:uid="{00000000-0005-0000-0000-0000BA5A0000}"/>
    <cellStyle name="Normal 2 2 4 20 12" xfId="23234" xr:uid="{00000000-0005-0000-0000-0000BB5A0000}"/>
    <cellStyle name="Normal 2 2 4 20 13" xfId="23235" xr:uid="{00000000-0005-0000-0000-0000BC5A0000}"/>
    <cellStyle name="Normal 2 2 4 20 14" xfId="23236" xr:uid="{00000000-0005-0000-0000-0000BD5A0000}"/>
    <cellStyle name="Normal 2 2 4 20 2" xfId="23237" xr:uid="{00000000-0005-0000-0000-0000BE5A0000}"/>
    <cellStyle name="Normal 2 2 4 20 2 10" xfId="23238" xr:uid="{00000000-0005-0000-0000-0000BF5A0000}"/>
    <cellStyle name="Normal 2 2 4 20 2 2" xfId="23239" xr:uid="{00000000-0005-0000-0000-0000C05A0000}"/>
    <cellStyle name="Normal 2 2 4 20 2 3" xfId="23240" xr:uid="{00000000-0005-0000-0000-0000C15A0000}"/>
    <cellStyle name="Normal 2 2 4 20 2 4" xfId="23241" xr:uid="{00000000-0005-0000-0000-0000C25A0000}"/>
    <cellStyle name="Normal 2 2 4 20 2 5" xfId="23242" xr:uid="{00000000-0005-0000-0000-0000C35A0000}"/>
    <cellStyle name="Normal 2 2 4 20 2 6" xfId="23243" xr:uid="{00000000-0005-0000-0000-0000C45A0000}"/>
    <cellStyle name="Normal 2 2 4 20 2 7" xfId="23244" xr:uid="{00000000-0005-0000-0000-0000C55A0000}"/>
    <cellStyle name="Normal 2 2 4 20 2 8" xfId="23245" xr:uid="{00000000-0005-0000-0000-0000C65A0000}"/>
    <cellStyle name="Normal 2 2 4 20 2 9" xfId="23246" xr:uid="{00000000-0005-0000-0000-0000C75A0000}"/>
    <cellStyle name="Normal 2 2 4 20 3" xfId="23247" xr:uid="{00000000-0005-0000-0000-0000C85A0000}"/>
    <cellStyle name="Normal 2 2 4 20 3 10" xfId="23248" xr:uid="{00000000-0005-0000-0000-0000C95A0000}"/>
    <cellStyle name="Normal 2 2 4 20 3 2" xfId="23249" xr:uid="{00000000-0005-0000-0000-0000CA5A0000}"/>
    <cellStyle name="Normal 2 2 4 20 3 3" xfId="23250" xr:uid="{00000000-0005-0000-0000-0000CB5A0000}"/>
    <cellStyle name="Normal 2 2 4 20 3 4" xfId="23251" xr:uid="{00000000-0005-0000-0000-0000CC5A0000}"/>
    <cellStyle name="Normal 2 2 4 20 3 5" xfId="23252" xr:uid="{00000000-0005-0000-0000-0000CD5A0000}"/>
    <cellStyle name="Normal 2 2 4 20 3 6" xfId="23253" xr:uid="{00000000-0005-0000-0000-0000CE5A0000}"/>
    <cellStyle name="Normal 2 2 4 20 3 7" xfId="23254" xr:uid="{00000000-0005-0000-0000-0000CF5A0000}"/>
    <cellStyle name="Normal 2 2 4 20 3 8" xfId="23255" xr:uid="{00000000-0005-0000-0000-0000D05A0000}"/>
    <cellStyle name="Normal 2 2 4 20 3 9" xfId="23256" xr:uid="{00000000-0005-0000-0000-0000D15A0000}"/>
    <cellStyle name="Normal 2 2 4 20 4" xfId="23257" xr:uid="{00000000-0005-0000-0000-0000D25A0000}"/>
    <cellStyle name="Normal 2 2 4 20 4 10" xfId="23258" xr:uid="{00000000-0005-0000-0000-0000D35A0000}"/>
    <cellStyle name="Normal 2 2 4 20 4 2" xfId="23259" xr:uid="{00000000-0005-0000-0000-0000D45A0000}"/>
    <cellStyle name="Normal 2 2 4 20 4 3" xfId="23260" xr:uid="{00000000-0005-0000-0000-0000D55A0000}"/>
    <cellStyle name="Normal 2 2 4 20 4 4" xfId="23261" xr:uid="{00000000-0005-0000-0000-0000D65A0000}"/>
    <cellStyle name="Normal 2 2 4 20 4 5" xfId="23262" xr:uid="{00000000-0005-0000-0000-0000D75A0000}"/>
    <cellStyle name="Normal 2 2 4 20 4 6" xfId="23263" xr:uid="{00000000-0005-0000-0000-0000D85A0000}"/>
    <cellStyle name="Normal 2 2 4 20 4 7" xfId="23264" xr:uid="{00000000-0005-0000-0000-0000D95A0000}"/>
    <cellStyle name="Normal 2 2 4 20 4 8" xfId="23265" xr:uid="{00000000-0005-0000-0000-0000DA5A0000}"/>
    <cellStyle name="Normal 2 2 4 20 4 9" xfId="23266" xr:uid="{00000000-0005-0000-0000-0000DB5A0000}"/>
    <cellStyle name="Normal 2 2 4 20 5" xfId="23267" xr:uid="{00000000-0005-0000-0000-0000DC5A0000}"/>
    <cellStyle name="Normal 2 2 4 20 5 10" xfId="23268" xr:uid="{00000000-0005-0000-0000-0000DD5A0000}"/>
    <cellStyle name="Normal 2 2 4 20 5 2" xfId="23269" xr:uid="{00000000-0005-0000-0000-0000DE5A0000}"/>
    <cellStyle name="Normal 2 2 4 20 5 3" xfId="23270" xr:uid="{00000000-0005-0000-0000-0000DF5A0000}"/>
    <cellStyle name="Normal 2 2 4 20 5 4" xfId="23271" xr:uid="{00000000-0005-0000-0000-0000E05A0000}"/>
    <cellStyle name="Normal 2 2 4 20 5 5" xfId="23272" xr:uid="{00000000-0005-0000-0000-0000E15A0000}"/>
    <cellStyle name="Normal 2 2 4 20 5 6" xfId="23273" xr:uid="{00000000-0005-0000-0000-0000E25A0000}"/>
    <cellStyle name="Normal 2 2 4 20 5 7" xfId="23274" xr:uid="{00000000-0005-0000-0000-0000E35A0000}"/>
    <cellStyle name="Normal 2 2 4 20 5 8" xfId="23275" xr:uid="{00000000-0005-0000-0000-0000E45A0000}"/>
    <cellStyle name="Normal 2 2 4 20 5 9" xfId="23276" xr:uid="{00000000-0005-0000-0000-0000E55A0000}"/>
    <cellStyle name="Normal 2 2 4 20 6" xfId="23277" xr:uid="{00000000-0005-0000-0000-0000E65A0000}"/>
    <cellStyle name="Normal 2 2 4 20 7" xfId="23278" xr:uid="{00000000-0005-0000-0000-0000E75A0000}"/>
    <cellStyle name="Normal 2 2 4 20 8" xfId="23279" xr:uid="{00000000-0005-0000-0000-0000E85A0000}"/>
    <cellStyle name="Normal 2 2 4 20 9" xfId="23280" xr:uid="{00000000-0005-0000-0000-0000E95A0000}"/>
    <cellStyle name="Normal 2 2 4 21" xfId="23281" xr:uid="{00000000-0005-0000-0000-0000EA5A0000}"/>
    <cellStyle name="Normal 2 2 4 21 10" xfId="23282" xr:uid="{00000000-0005-0000-0000-0000EB5A0000}"/>
    <cellStyle name="Normal 2 2 4 21 11" xfId="23283" xr:uid="{00000000-0005-0000-0000-0000EC5A0000}"/>
    <cellStyle name="Normal 2 2 4 21 12" xfId="23284" xr:uid="{00000000-0005-0000-0000-0000ED5A0000}"/>
    <cellStyle name="Normal 2 2 4 21 13" xfId="23285" xr:uid="{00000000-0005-0000-0000-0000EE5A0000}"/>
    <cellStyle name="Normal 2 2 4 21 14" xfId="23286" xr:uid="{00000000-0005-0000-0000-0000EF5A0000}"/>
    <cellStyle name="Normal 2 2 4 21 2" xfId="23287" xr:uid="{00000000-0005-0000-0000-0000F05A0000}"/>
    <cellStyle name="Normal 2 2 4 21 2 10" xfId="23288" xr:uid="{00000000-0005-0000-0000-0000F15A0000}"/>
    <cellStyle name="Normal 2 2 4 21 2 2" xfId="23289" xr:uid="{00000000-0005-0000-0000-0000F25A0000}"/>
    <cellStyle name="Normal 2 2 4 21 2 3" xfId="23290" xr:uid="{00000000-0005-0000-0000-0000F35A0000}"/>
    <cellStyle name="Normal 2 2 4 21 2 4" xfId="23291" xr:uid="{00000000-0005-0000-0000-0000F45A0000}"/>
    <cellStyle name="Normal 2 2 4 21 2 5" xfId="23292" xr:uid="{00000000-0005-0000-0000-0000F55A0000}"/>
    <cellStyle name="Normal 2 2 4 21 2 6" xfId="23293" xr:uid="{00000000-0005-0000-0000-0000F65A0000}"/>
    <cellStyle name="Normal 2 2 4 21 2 7" xfId="23294" xr:uid="{00000000-0005-0000-0000-0000F75A0000}"/>
    <cellStyle name="Normal 2 2 4 21 2 8" xfId="23295" xr:uid="{00000000-0005-0000-0000-0000F85A0000}"/>
    <cellStyle name="Normal 2 2 4 21 2 9" xfId="23296" xr:uid="{00000000-0005-0000-0000-0000F95A0000}"/>
    <cellStyle name="Normal 2 2 4 21 3" xfId="23297" xr:uid="{00000000-0005-0000-0000-0000FA5A0000}"/>
    <cellStyle name="Normal 2 2 4 21 3 10" xfId="23298" xr:uid="{00000000-0005-0000-0000-0000FB5A0000}"/>
    <cellStyle name="Normal 2 2 4 21 3 2" xfId="23299" xr:uid="{00000000-0005-0000-0000-0000FC5A0000}"/>
    <cellStyle name="Normal 2 2 4 21 3 3" xfId="23300" xr:uid="{00000000-0005-0000-0000-0000FD5A0000}"/>
    <cellStyle name="Normal 2 2 4 21 3 4" xfId="23301" xr:uid="{00000000-0005-0000-0000-0000FE5A0000}"/>
    <cellStyle name="Normal 2 2 4 21 3 5" xfId="23302" xr:uid="{00000000-0005-0000-0000-0000FF5A0000}"/>
    <cellStyle name="Normal 2 2 4 21 3 6" xfId="23303" xr:uid="{00000000-0005-0000-0000-0000005B0000}"/>
    <cellStyle name="Normal 2 2 4 21 3 7" xfId="23304" xr:uid="{00000000-0005-0000-0000-0000015B0000}"/>
    <cellStyle name="Normal 2 2 4 21 3 8" xfId="23305" xr:uid="{00000000-0005-0000-0000-0000025B0000}"/>
    <cellStyle name="Normal 2 2 4 21 3 9" xfId="23306" xr:uid="{00000000-0005-0000-0000-0000035B0000}"/>
    <cellStyle name="Normal 2 2 4 21 4" xfId="23307" xr:uid="{00000000-0005-0000-0000-0000045B0000}"/>
    <cellStyle name="Normal 2 2 4 21 4 10" xfId="23308" xr:uid="{00000000-0005-0000-0000-0000055B0000}"/>
    <cellStyle name="Normal 2 2 4 21 4 2" xfId="23309" xr:uid="{00000000-0005-0000-0000-0000065B0000}"/>
    <cellStyle name="Normal 2 2 4 21 4 3" xfId="23310" xr:uid="{00000000-0005-0000-0000-0000075B0000}"/>
    <cellStyle name="Normal 2 2 4 21 4 4" xfId="23311" xr:uid="{00000000-0005-0000-0000-0000085B0000}"/>
    <cellStyle name="Normal 2 2 4 21 4 5" xfId="23312" xr:uid="{00000000-0005-0000-0000-0000095B0000}"/>
    <cellStyle name="Normal 2 2 4 21 4 6" xfId="23313" xr:uid="{00000000-0005-0000-0000-00000A5B0000}"/>
    <cellStyle name="Normal 2 2 4 21 4 7" xfId="23314" xr:uid="{00000000-0005-0000-0000-00000B5B0000}"/>
    <cellStyle name="Normal 2 2 4 21 4 8" xfId="23315" xr:uid="{00000000-0005-0000-0000-00000C5B0000}"/>
    <cellStyle name="Normal 2 2 4 21 4 9" xfId="23316" xr:uid="{00000000-0005-0000-0000-00000D5B0000}"/>
    <cellStyle name="Normal 2 2 4 21 5" xfId="23317" xr:uid="{00000000-0005-0000-0000-00000E5B0000}"/>
    <cellStyle name="Normal 2 2 4 21 5 10" xfId="23318" xr:uid="{00000000-0005-0000-0000-00000F5B0000}"/>
    <cellStyle name="Normal 2 2 4 21 5 2" xfId="23319" xr:uid="{00000000-0005-0000-0000-0000105B0000}"/>
    <cellStyle name="Normal 2 2 4 21 5 3" xfId="23320" xr:uid="{00000000-0005-0000-0000-0000115B0000}"/>
    <cellStyle name="Normal 2 2 4 21 5 4" xfId="23321" xr:uid="{00000000-0005-0000-0000-0000125B0000}"/>
    <cellStyle name="Normal 2 2 4 21 5 5" xfId="23322" xr:uid="{00000000-0005-0000-0000-0000135B0000}"/>
    <cellStyle name="Normal 2 2 4 21 5 6" xfId="23323" xr:uid="{00000000-0005-0000-0000-0000145B0000}"/>
    <cellStyle name="Normal 2 2 4 21 5 7" xfId="23324" xr:uid="{00000000-0005-0000-0000-0000155B0000}"/>
    <cellStyle name="Normal 2 2 4 21 5 8" xfId="23325" xr:uid="{00000000-0005-0000-0000-0000165B0000}"/>
    <cellStyle name="Normal 2 2 4 21 5 9" xfId="23326" xr:uid="{00000000-0005-0000-0000-0000175B0000}"/>
    <cellStyle name="Normal 2 2 4 21 6" xfId="23327" xr:uid="{00000000-0005-0000-0000-0000185B0000}"/>
    <cellStyle name="Normal 2 2 4 21 7" xfId="23328" xr:uid="{00000000-0005-0000-0000-0000195B0000}"/>
    <cellStyle name="Normal 2 2 4 21 8" xfId="23329" xr:uid="{00000000-0005-0000-0000-00001A5B0000}"/>
    <cellStyle name="Normal 2 2 4 21 9" xfId="23330" xr:uid="{00000000-0005-0000-0000-00001B5B0000}"/>
    <cellStyle name="Normal 2 2 4 22" xfId="23331" xr:uid="{00000000-0005-0000-0000-00001C5B0000}"/>
    <cellStyle name="Normal 2 2 4 22 10" xfId="23332" xr:uid="{00000000-0005-0000-0000-00001D5B0000}"/>
    <cellStyle name="Normal 2 2 4 22 11" xfId="23333" xr:uid="{00000000-0005-0000-0000-00001E5B0000}"/>
    <cellStyle name="Normal 2 2 4 22 12" xfId="23334" xr:uid="{00000000-0005-0000-0000-00001F5B0000}"/>
    <cellStyle name="Normal 2 2 4 22 13" xfId="23335" xr:uid="{00000000-0005-0000-0000-0000205B0000}"/>
    <cellStyle name="Normal 2 2 4 22 14" xfId="23336" xr:uid="{00000000-0005-0000-0000-0000215B0000}"/>
    <cellStyle name="Normal 2 2 4 22 2" xfId="23337" xr:uid="{00000000-0005-0000-0000-0000225B0000}"/>
    <cellStyle name="Normal 2 2 4 22 2 10" xfId="23338" xr:uid="{00000000-0005-0000-0000-0000235B0000}"/>
    <cellStyle name="Normal 2 2 4 22 2 2" xfId="23339" xr:uid="{00000000-0005-0000-0000-0000245B0000}"/>
    <cellStyle name="Normal 2 2 4 22 2 3" xfId="23340" xr:uid="{00000000-0005-0000-0000-0000255B0000}"/>
    <cellStyle name="Normal 2 2 4 22 2 4" xfId="23341" xr:uid="{00000000-0005-0000-0000-0000265B0000}"/>
    <cellStyle name="Normal 2 2 4 22 2 5" xfId="23342" xr:uid="{00000000-0005-0000-0000-0000275B0000}"/>
    <cellStyle name="Normal 2 2 4 22 2 6" xfId="23343" xr:uid="{00000000-0005-0000-0000-0000285B0000}"/>
    <cellStyle name="Normal 2 2 4 22 2 7" xfId="23344" xr:uid="{00000000-0005-0000-0000-0000295B0000}"/>
    <cellStyle name="Normal 2 2 4 22 2 8" xfId="23345" xr:uid="{00000000-0005-0000-0000-00002A5B0000}"/>
    <cellStyle name="Normal 2 2 4 22 2 9" xfId="23346" xr:uid="{00000000-0005-0000-0000-00002B5B0000}"/>
    <cellStyle name="Normal 2 2 4 22 3" xfId="23347" xr:uid="{00000000-0005-0000-0000-00002C5B0000}"/>
    <cellStyle name="Normal 2 2 4 22 3 10" xfId="23348" xr:uid="{00000000-0005-0000-0000-00002D5B0000}"/>
    <cellStyle name="Normal 2 2 4 22 3 2" xfId="23349" xr:uid="{00000000-0005-0000-0000-00002E5B0000}"/>
    <cellStyle name="Normal 2 2 4 22 3 3" xfId="23350" xr:uid="{00000000-0005-0000-0000-00002F5B0000}"/>
    <cellStyle name="Normal 2 2 4 22 3 4" xfId="23351" xr:uid="{00000000-0005-0000-0000-0000305B0000}"/>
    <cellStyle name="Normal 2 2 4 22 3 5" xfId="23352" xr:uid="{00000000-0005-0000-0000-0000315B0000}"/>
    <cellStyle name="Normal 2 2 4 22 3 6" xfId="23353" xr:uid="{00000000-0005-0000-0000-0000325B0000}"/>
    <cellStyle name="Normal 2 2 4 22 3 7" xfId="23354" xr:uid="{00000000-0005-0000-0000-0000335B0000}"/>
    <cellStyle name="Normal 2 2 4 22 3 8" xfId="23355" xr:uid="{00000000-0005-0000-0000-0000345B0000}"/>
    <cellStyle name="Normal 2 2 4 22 3 9" xfId="23356" xr:uid="{00000000-0005-0000-0000-0000355B0000}"/>
    <cellStyle name="Normal 2 2 4 22 4" xfId="23357" xr:uid="{00000000-0005-0000-0000-0000365B0000}"/>
    <cellStyle name="Normal 2 2 4 22 4 10" xfId="23358" xr:uid="{00000000-0005-0000-0000-0000375B0000}"/>
    <cellStyle name="Normal 2 2 4 22 4 2" xfId="23359" xr:uid="{00000000-0005-0000-0000-0000385B0000}"/>
    <cellStyle name="Normal 2 2 4 22 4 3" xfId="23360" xr:uid="{00000000-0005-0000-0000-0000395B0000}"/>
    <cellStyle name="Normal 2 2 4 22 4 4" xfId="23361" xr:uid="{00000000-0005-0000-0000-00003A5B0000}"/>
    <cellStyle name="Normal 2 2 4 22 4 5" xfId="23362" xr:uid="{00000000-0005-0000-0000-00003B5B0000}"/>
    <cellStyle name="Normal 2 2 4 22 4 6" xfId="23363" xr:uid="{00000000-0005-0000-0000-00003C5B0000}"/>
    <cellStyle name="Normal 2 2 4 22 4 7" xfId="23364" xr:uid="{00000000-0005-0000-0000-00003D5B0000}"/>
    <cellStyle name="Normal 2 2 4 22 4 8" xfId="23365" xr:uid="{00000000-0005-0000-0000-00003E5B0000}"/>
    <cellStyle name="Normal 2 2 4 22 4 9" xfId="23366" xr:uid="{00000000-0005-0000-0000-00003F5B0000}"/>
    <cellStyle name="Normal 2 2 4 22 5" xfId="23367" xr:uid="{00000000-0005-0000-0000-0000405B0000}"/>
    <cellStyle name="Normal 2 2 4 22 5 10" xfId="23368" xr:uid="{00000000-0005-0000-0000-0000415B0000}"/>
    <cellStyle name="Normal 2 2 4 22 5 2" xfId="23369" xr:uid="{00000000-0005-0000-0000-0000425B0000}"/>
    <cellStyle name="Normal 2 2 4 22 5 3" xfId="23370" xr:uid="{00000000-0005-0000-0000-0000435B0000}"/>
    <cellStyle name="Normal 2 2 4 22 5 4" xfId="23371" xr:uid="{00000000-0005-0000-0000-0000445B0000}"/>
    <cellStyle name="Normal 2 2 4 22 5 5" xfId="23372" xr:uid="{00000000-0005-0000-0000-0000455B0000}"/>
    <cellStyle name="Normal 2 2 4 22 5 6" xfId="23373" xr:uid="{00000000-0005-0000-0000-0000465B0000}"/>
    <cellStyle name="Normal 2 2 4 22 5 7" xfId="23374" xr:uid="{00000000-0005-0000-0000-0000475B0000}"/>
    <cellStyle name="Normal 2 2 4 22 5 8" xfId="23375" xr:uid="{00000000-0005-0000-0000-0000485B0000}"/>
    <cellStyle name="Normal 2 2 4 22 5 9" xfId="23376" xr:uid="{00000000-0005-0000-0000-0000495B0000}"/>
    <cellStyle name="Normal 2 2 4 22 6" xfId="23377" xr:uid="{00000000-0005-0000-0000-00004A5B0000}"/>
    <cellStyle name="Normal 2 2 4 22 7" xfId="23378" xr:uid="{00000000-0005-0000-0000-00004B5B0000}"/>
    <cellStyle name="Normal 2 2 4 22 8" xfId="23379" xr:uid="{00000000-0005-0000-0000-00004C5B0000}"/>
    <cellStyle name="Normal 2 2 4 22 9" xfId="23380" xr:uid="{00000000-0005-0000-0000-00004D5B0000}"/>
    <cellStyle name="Normal 2 2 4 23" xfId="23381" xr:uid="{00000000-0005-0000-0000-00004E5B0000}"/>
    <cellStyle name="Normal 2 2 4 23 10" xfId="23382" xr:uid="{00000000-0005-0000-0000-00004F5B0000}"/>
    <cellStyle name="Normal 2 2 4 23 11" xfId="23383" xr:uid="{00000000-0005-0000-0000-0000505B0000}"/>
    <cellStyle name="Normal 2 2 4 23 12" xfId="23384" xr:uid="{00000000-0005-0000-0000-0000515B0000}"/>
    <cellStyle name="Normal 2 2 4 23 13" xfId="23385" xr:uid="{00000000-0005-0000-0000-0000525B0000}"/>
    <cellStyle name="Normal 2 2 4 23 14" xfId="23386" xr:uid="{00000000-0005-0000-0000-0000535B0000}"/>
    <cellStyle name="Normal 2 2 4 23 2" xfId="23387" xr:uid="{00000000-0005-0000-0000-0000545B0000}"/>
    <cellStyle name="Normal 2 2 4 23 2 10" xfId="23388" xr:uid="{00000000-0005-0000-0000-0000555B0000}"/>
    <cellStyle name="Normal 2 2 4 23 2 2" xfId="23389" xr:uid="{00000000-0005-0000-0000-0000565B0000}"/>
    <cellStyle name="Normal 2 2 4 23 2 3" xfId="23390" xr:uid="{00000000-0005-0000-0000-0000575B0000}"/>
    <cellStyle name="Normal 2 2 4 23 2 4" xfId="23391" xr:uid="{00000000-0005-0000-0000-0000585B0000}"/>
    <cellStyle name="Normal 2 2 4 23 2 5" xfId="23392" xr:uid="{00000000-0005-0000-0000-0000595B0000}"/>
    <cellStyle name="Normal 2 2 4 23 2 6" xfId="23393" xr:uid="{00000000-0005-0000-0000-00005A5B0000}"/>
    <cellStyle name="Normal 2 2 4 23 2 7" xfId="23394" xr:uid="{00000000-0005-0000-0000-00005B5B0000}"/>
    <cellStyle name="Normal 2 2 4 23 2 8" xfId="23395" xr:uid="{00000000-0005-0000-0000-00005C5B0000}"/>
    <cellStyle name="Normal 2 2 4 23 2 9" xfId="23396" xr:uid="{00000000-0005-0000-0000-00005D5B0000}"/>
    <cellStyle name="Normal 2 2 4 23 3" xfId="23397" xr:uid="{00000000-0005-0000-0000-00005E5B0000}"/>
    <cellStyle name="Normal 2 2 4 23 3 10" xfId="23398" xr:uid="{00000000-0005-0000-0000-00005F5B0000}"/>
    <cellStyle name="Normal 2 2 4 23 3 2" xfId="23399" xr:uid="{00000000-0005-0000-0000-0000605B0000}"/>
    <cellStyle name="Normal 2 2 4 23 3 3" xfId="23400" xr:uid="{00000000-0005-0000-0000-0000615B0000}"/>
    <cellStyle name="Normal 2 2 4 23 3 4" xfId="23401" xr:uid="{00000000-0005-0000-0000-0000625B0000}"/>
    <cellStyle name="Normal 2 2 4 23 3 5" xfId="23402" xr:uid="{00000000-0005-0000-0000-0000635B0000}"/>
    <cellStyle name="Normal 2 2 4 23 3 6" xfId="23403" xr:uid="{00000000-0005-0000-0000-0000645B0000}"/>
    <cellStyle name="Normal 2 2 4 23 3 7" xfId="23404" xr:uid="{00000000-0005-0000-0000-0000655B0000}"/>
    <cellStyle name="Normal 2 2 4 23 3 8" xfId="23405" xr:uid="{00000000-0005-0000-0000-0000665B0000}"/>
    <cellStyle name="Normal 2 2 4 23 3 9" xfId="23406" xr:uid="{00000000-0005-0000-0000-0000675B0000}"/>
    <cellStyle name="Normal 2 2 4 23 4" xfId="23407" xr:uid="{00000000-0005-0000-0000-0000685B0000}"/>
    <cellStyle name="Normal 2 2 4 23 4 10" xfId="23408" xr:uid="{00000000-0005-0000-0000-0000695B0000}"/>
    <cellStyle name="Normal 2 2 4 23 4 2" xfId="23409" xr:uid="{00000000-0005-0000-0000-00006A5B0000}"/>
    <cellStyle name="Normal 2 2 4 23 4 3" xfId="23410" xr:uid="{00000000-0005-0000-0000-00006B5B0000}"/>
    <cellStyle name="Normal 2 2 4 23 4 4" xfId="23411" xr:uid="{00000000-0005-0000-0000-00006C5B0000}"/>
    <cellStyle name="Normal 2 2 4 23 4 5" xfId="23412" xr:uid="{00000000-0005-0000-0000-00006D5B0000}"/>
    <cellStyle name="Normal 2 2 4 23 4 6" xfId="23413" xr:uid="{00000000-0005-0000-0000-00006E5B0000}"/>
    <cellStyle name="Normal 2 2 4 23 4 7" xfId="23414" xr:uid="{00000000-0005-0000-0000-00006F5B0000}"/>
    <cellStyle name="Normal 2 2 4 23 4 8" xfId="23415" xr:uid="{00000000-0005-0000-0000-0000705B0000}"/>
    <cellStyle name="Normal 2 2 4 23 4 9" xfId="23416" xr:uid="{00000000-0005-0000-0000-0000715B0000}"/>
    <cellStyle name="Normal 2 2 4 23 5" xfId="23417" xr:uid="{00000000-0005-0000-0000-0000725B0000}"/>
    <cellStyle name="Normal 2 2 4 23 5 10" xfId="23418" xr:uid="{00000000-0005-0000-0000-0000735B0000}"/>
    <cellStyle name="Normal 2 2 4 23 5 2" xfId="23419" xr:uid="{00000000-0005-0000-0000-0000745B0000}"/>
    <cellStyle name="Normal 2 2 4 23 5 3" xfId="23420" xr:uid="{00000000-0005-0000-0000-0000755B0000}"/>
    <cellStyle name="Normal 2 2 4 23 5 4" xfId="23421" xr:uid="{00000000-0005-0000-0000-0000765B0000}"/>
    <cellStyle name="Normal 2 2 4 23 5 5" xfId="23422" xr:uid="{00000000-0005-0000-0000-0000775B0000}"/>
    <cellStyle name="Normal 2 2 4 23 5 6" xfId="23423" xr:uid="{00000000-0005-0000-0000-0000785B0000}"/>
    <cellStyle name="Normal 2 2 4 23 5 7" xfId="23424" xr:uid="{00000000-0005-0000-0000-0000795B0000}"/>
    <cellStyle name="Normal 2 2 4 23 5 8" xfId="23425" xr:uid="{00000000-0005-0000-0000-00007A5B0000}"/>
    <cellStyle name="Normal 2 2 4 23 5 9" xfId="23426" xr:uid="{00000000-0005-0000-0000-00007B5B0000}"/>
    <cellStyle name="Normal 2 2 4 23 6" xfId="23427" xr:uid="{00000000-0005-0000-0000-00007C5B0000}"/>
    <cellStyle name="Normal 2 2 4 23 7" xfId="23428" xr:uid="{00000000-0005-0000-0000-00007D5B0000}"/>
    <cellStyle name="Normal 2 2 4 23 8" xfId="23429" xr:uid="{00000000-0005-0000-0000-00007E5B0000}"/>
    <cellStyle name="Normal 2 2 4 23 9" xfId="23430" xr:uid="{00000000-0005-0000-0000-00007F5B0000}"/>
    <cellStyle name="Normal 2 2 4 24" xfId="23431" xr:uid="{00000000-0005-0000-0000-0000805B0000}"/>
    <cellStyle name="Normal 2 2 4 24 10" xfId="23432" xr:uid="{00000000-0005-0000-0000-0000815B0000}"/>
    <cellStyle name="Normal 2 2 4 24 11" xfId="23433" xr:uid="{00000000-0005-0000-0000-0000825B0000}"/>
    <cellStyle name="Normal 2 2 4 24 12" xfId="23434" xr:uid="{00000000-0005-0000-0000-0000835B0000}"/>
    <cellStyle name="Normal 2 2 4 24 13" xfId="23435" xr:uid="{00000000-0005-0000-0000-0000845B0000}"/>
    <cellStyle name="Normal 2 2 4 24 14" xfId="23436" xr:uid="{00000000-0005-0000-0000-0000855B0000}"/>
    <cellStyle name="Normal 2 2 4 24 2" xfId="23437" xr:uid="{00000000-0005-0000-0000-0000865B0000}"/>
    <cellStyle name="Normal 2 2 4 24 2 10" xfId="23438" xr:uid="{00000000-0005-0000-0000-0000875B0000}"/>
    <cellStyle name="Normal 2 2 4 24 2 2" xfId="23439" xr:uid="{00000000-0005-0000-0000-0000885B0000}"/>
    <cellStyle name="Normal 2 2 4 24 2 3" xfId="23440" xr:uid="{00000000-0005-0000-0000-0000895B0000}"/>
    <cellStyle name="Normal 2 2 4 24 2 4" xfId="23441" xr:uid="{00000000-0005-0000-0000-00008A5B0000}"/>
    <cellStyle name="Normal 2 2 4 24 2 5" xfId="23442" xr:uid="{00000000-0005-0000-0000-00008B5B0000}"/>
    <cellStyle name="Normal 2 2 4 24 2 6" xfId="23443" xr:uid="{00000000-0005-0000-0000-00008C5B0000}"/>
    <cellStyle name="Normal 2 2 4 24 2 7" xfId="23444" xr:uid="{00000000-0005-0000-0000-00008D5B0000}"/>
    <cellStyle name="Normal 2 2 4 24 2 8" xfId="23445" xr:uid="{00000000-0005-0000-0000-00008E5B0000}"/>
    <cellStyle name="Normal 2 2 4 24 2 9" xfId="23446" xr:uid="{00000000-0005-0000-0000-00008F5B0000}"/>
    <cellStyle name="Normal 2 2 4 24 3" xfId="23447" xr:uid="{00000000-0005-0000-0000-0000905B0000}"/>
    <cellStyle name="Normal 2 2 4 24 3 10" xfId="23448" xr:uid="{00000000-0005-0000-0000-0000915B0000}"/>
    <cellStyle name="Normal 2 2 4 24 3 2" xfId="23449" xr:uid="{00000000-0005-0000-0000-0000925B0000}"/>
    <cellStyle name="Normal 2 2 4 24 3 3" xfId="23450" xr:uid="{00000000-0005-0000-0000-0000935B0000}"/>
    <cellStyle name="Normal 2 2 4 24 3 4" xfId="23451" xr:uid="{00000000-0005-0000-0000-0000945B0000}"/>
    <cellStyle name="Normal 2 2 4 24 3 5" xfId="23452" xr:uid="{00000000-0005-0000-0000-0000955B0000}"/>
    <cellStyle name="Normal 2 2 4 24 3 6" xfId="23453" xr:uid="{00000000-0005-0000-0000-0000965B0000}"/>
    <cellStyle name="Normal 2 2 4 24 3 7" xfId="23454" xr:uid="{00000000-0005-0000-0000-0000975B0000}"/>
    <cellStyle name="Normal 2 2 4 24 3 8" xfId="23455" xr:uid="{00000000-0005-0000-0000-0000985B0000}"/>
    <cellStyle name="Normal 2 2 4 24 3 9" xfId="23456" xr:uid="{00000000-0005-0000-0000-0000995B0000}"/>
    <cellStyle name="Normal 2 2 4 24 4" xfId="23457" xr:uid="{00000000-0005-0000-0000-00009A5B0000}"/>
    <cellStyle name="Normal 2 2 4 24 4 10" xfId="23458" xr:uid="{00000000-0005-0000-0000-00009B5B0000}"/>
    <cellStyle name="Normal 2 2 4 24 4 2" xfId="23459" xr:uid="{00000000-0005-0000-0000-00009C5B0000}"/>
    <cellStyle name="Normal 2 2 4 24 4 3" xfId="23460" xr:uid="{00000000-0005-0000-0000-00009D5B0000}"/>
    <cellStyle name="Normal 2 2 4 24 4 4" xfId="23461" xr:uid="{00000000-0005-0000-0000-00009E5B0000}"/>
    <cellStyle name="Normal 2 2 4 24 4 5" xfId="23462" xr:uid="{00000000-0005-0000-0000-00009F5B0000}"/>
    <cellStyle name="Normal 2 2 4 24 4 6" xfId="23463" xr:uid="{00000000-0005-0000-0000-0000A05B0000}"/>
    <cellStyle name="Normal 2 2 4 24 4 7" xfId="23464" xr:uid="{00000000-0005-0000-0000-0000A15B0000}"/>
    <cellStyle name="Normal 2 2 4 24 4 8" xfId="23465" xr:uid="{00000000-0005-0000-0000-0000A25B0000}"/>
    <cellStyle name="Normal 2 2 4 24 4 9" xfId="23466" xr:uid="{00000000-0005-0000-0000-0000A35B0000}"/>
    <cellStyle name="Normal 2 2 4 24 5" xfId="23467" xr:uid="{00000000-0005-0000-0000-0000A45B0000}"/>
    <cellStyle name="Normal 2 2 4 24 5 10" xfId="23468" xr:uid="{00000000-0005-0000-0000-0000A55B0000}"/>
    <cellStyle name="Normal 2 2 4 24 5 2" xfId="23469" xr:uid="{00000000-0005-0000-0000-0000A65B0000}"/>
    <cellStyle name="Normal 2 2 4 24 5 3" xfId="23470" xr:uid="{00000000-0005-0000-0000-0000A75B0000}"/>
    <cellStyle name="Normal 2 2 4 24 5 4" xfId="23471" xr:uid="{00000000-0005-0000-0000-0000A85B0000}"/>
    <cellStyle name="Normal 2 2 4 24 5 5" xfId="23472" xr:uid="{00000000-0005-0000-0000-0000A95B0000}"/>
    <cellStyle name="Normal 2 2 4 24 5 6" xfId="23473" xr:uid="{00000000-0005-0000-0000-0000AA5B0000}"/>
    <cellStyle name="Normal 2 2 4 24 5 7" xfId="23474" xr:uid="{00000000-0005-0000-0000-0000AB5B0000}"/>
    <cellStyle name="Normal 2 2 4 24 5 8" xfId="23475" xr:uid="{00000000-0005-0000-0000-0000AC5B0000}"/>
    <cellStyle name="Normal 2 2 4 24 5 9" xfId="23476" xr:uid="{00000000-0005-0000-0000-0000AD5B0000}"/>
    <cellStyle name="Normal 2 2 4 24 6" xfId="23477" xr:uid="{00000000-0005-0000-0000-0000AE5B0000}"/>
    <cellStyle name="Normal 2 2 4 24 7" xfId="23478" xr:uid="{00000000-0005-0000-0000-0000AF5B0000}"/>
    <cellStyle name="Normal 2 2 4 24 8" xfId="23479" xr:uid="{00000000-0005-0000-0000-0000B05B0000}"/>
    <cellStyle name="Normal 2 2 4 24 9" xfId="23480" xr:uid="{00000000-0005-0000-0000-0000B15B0000}"/>
    <cellStyle name="Normal 2 2 4 25" xfId="23481" xr:uid="{00000000-0005-0000-0000-0000B25B0000}"/>
    <cellStyle name="Normal 2 2 4 25 10" xfId="23482" xr:uid="{00000000-0005-0000-0000-0000B35B0000}"/>
    <cellStyle name="Normal 2 2 4 25 11" xfId="23483" xr:uid="{00000000-0005-0000-0000-0000B45B0000}"/>
    <cellStyle name="Normal 2 2 4 25 12" xfId="23484" xr:uid="{00000000-0005-0000-0000-0000B55B0000}"/>
    <cellStyle name="Normal 2 2 4 25 13" xfId="23485" xr:uid="{00000000-0005-0000-0000-0000B65B0000}"/>
    <cellStyle name="Normal 2 2 4 25 14" xfId="23486" xr:uid="{00000000-0005-0000-0000-0000B75B0000}"/>
    <cellStyle name="Normal 2 2 4 25 2" xfId="23487" xr:uid="{00000000-0005-0000-0000-0000B85B0000}"/>
    <cellStyle name="Normal 2 2 4 25 2 10" xfId="23488" xr:uid="{00000000-0005-0000-0000-0000B95B0000}"/>
    <cellStyle name="Normal 2 2 4 25 2 2" xfId="23489" xr:uid="{00000000-0005-0000-0000-0000BA5B0000}"/>
    <cellStyle name="Normal 2 2 4 25 2 3" xfId="23490" xr:uid="{00000000-0005-0000-0000-0000BB5B0000}"/>
    <cellStyle name="Normal 2 2 4 25 2 4" xfId="23491" xr:uid="{00000000-0005-0000-0000-0000BC5B0000}"/>
    <cellStyle name="Normal 2 2 4 25 2 5" xfId="23492" xr:uid="{00000000-0005-0000-0000-0000BD5B0000}"/>
    <cellStyle name="Normal 2 2 4 25 2 6" xfId="23493" xr:uid="{00000000-0005-0000-0000-0000BE5B0000}"/>
    <cellStyle name="Normal 2 2 4 25 2 7" xfId="23494" xr:uid="{00000000-0005-0000-0000-0000BF5B0000}"/>
    <cellStyle name="Normal 2 2 4 25 2 8" xfId="23495" xr:uid="{00000000-0005-0000-0000-0000C05B0000}"/>
    <cellStyle name="Normal 2 2 4 25 2 9" xfId="23496" xr:uid="{00000000-0005-0000-0000-0000C15B0000}"/>
    <cellStyle name="Normal 2 2 4 25 3" xfId="23497" xr:uid="{00000000-0005-0000-0000-0000C25B0000}"/>
    <cellStyle name="Normal 2 2 4 25 3 10" xfId="23498" xr:uid="{00000000-0005-0000-0000-0000C35B0000}"/>
    <cellStyle name="Normal 2 2 4 25 3 2" xfId="23499" xr:uid="{00000000-0005-0000-0000-0000C45B0000}"/>
    <cellStyle name="Normal 2 2 4 25 3 3" xfId="23500" xr:uid="{00000000-0005-0000-0000-0000C55B0000}"/>
    <cellStyle name="Normal 2 2 4 25 3 4" xfId="23501" xr:uid="{00000000-0005-0000-0000-0000C65B0000}"/>
    <cellStyle name="Normal 2 2 4 25 3 5" xfId="23502" xr:uid="{00000000-0005-0000-0000-0000C75B0000}"/>
    <cellStyle name="Normal 2 2 4 25 3 6" xfId="23503" xr:uid="{00000000-0005-0000-0000-0000C85B0000}"/>
    <cellStyle name="Normal 2 2 4 25 3 7" xfId="23504" xr:uid="{00000000-0005-0000-0000-0000C95B0000}"/>
    <cellStyle name="Normal 2 2 4 25 3 8" xfId="23505" xr:uid="{00000000-0005-0000-0000-0000CA5B0000}"/>
    <cellStyle name="Normal 2 2 4 25 3 9" xfId="23506" xr:uid="{00000000-0005-0000-0000-0000CB5B0000}"/>
    <cellStyle name="Normal 2 2 4 25 4" xfId="23507" xr:uid="{00000000-0005-0000-0000-0000CC5B0000}"/>
    <cellStyle name="Normal 2 2 4 25 4 10" xfId="23508" xr:uid="{00000000-0005-0000-0000-0000CD5B0000}"/>
    <cellStyle name="Normal 2 2 4 25 4 2" xfId="23509" xr:uid="{00000000-0005-0000-0000-0000CE5B0000}"/>
    <cellStyle name="Normal 2 2 4 25 4 3" xfId="23510" xr:uid="{00000000-0005-0000-0000-0000CF5B0000}"/>
    <cellStyle name="Normal 2 2 4 25 4 4" xfId="23511" xr:uid="{00000000-0005-0000-0000-0000D05B0000}"/>
    <cellStyle name="Normal 2 2 4 25 4 5" xfId="23512" xr:uid="{00000000-0005-0000-0000-0000D15B0000}"/>
    <cellStyle name="Normal 2 2 4 25 4 6" xfId="23513" xr:uid="{00000000-0005-0000-0000-0000D25B0000}"/>
    <cellStyle name="Normal 2 2 4 25 4 7" xfId="23514" xr:uid="{00000000-0005-0000-0000-0000D35B0000}"/>
    <cellStyle name="Normal 2 2 4 25 4 8" xfId="23515" xr:uid="{00000000-0005-0000-0000-0000D45B0000}"/>
    <cellStyle name="Normal 2 2 4 25 4 9" xfId="23516" xr:uid="{00000000-0005-0000-0000-0000D55B0000}"/>
    <cellStyle name="Normal 2 2 4 25 5" xfId="23517" xr:uid="{00000000-0005-0000-0000-0000D65B0000}"/>
    <cellStyle name="Normal 2 2 4 25 5 10" xfId="23518" xr:uid="{00000000-0005-0000-0000-0000D75B0000}"/>
    <cellStyle name="Normal 2 2 4 25 5 2" xfId="23519" xr:uid="{00000000-0005-0000-0000-0000D85B0000}"/>
    <cellStyle name="Normal 2 2 4 25 5 3" xfId="23520" xr:uid="{00000000-0005-0000-0000-0000D95B0000}"/>
    <cellStyle name="Normal 2 2 4 25 5 4" xfId="23521" xr:uid="{00000000-0005-0000-0000-0000DA5B0000}"/>
    <cellStyle name="Normal 2 2 4 25 5 5" xfId="23522" xr:uid="{00000000-0005-0000-0000-0000DB5B0000}"/>
    <cellStyle name="Normal 2 2 4 25 5 6" xfId="23523" xr:uid="{00000000-0005-0000-0000-0000DC5B0000}"/>
    <cellStyle name="Normal 2 2 4 25 5 7" xfId="23524" xr:uid="{00000000-0005-0000-0000-0000DD5B0000}"/>
    <cellStyle name="Normal 2 2 4 25 5 8" xfId="23525" xr:uid="{00000000-0005-0000-0000-0000DE5B0000}"/>
    <cellStyle name="Normal 2 2 4 25 5 9" xfId="23526" xr:uid="{00000000-0005-0000-0000-0000DF5B0000}"/>
    <cellStyle name="Normal 2 2 4 25 6" xfId="23527" xr:uid="{00000000-0005-0000-0000-0000E05B0000}"/>
    <cellStyle name="Normal 2 2 4 25 7" xfId="23528" xr:uid="{00000000-0005-0000-0000-0000E15B0000}"/>
    <cellStyle name="Normal 2 2 4 25 8" xfId="23529" xr:uid="{00000000-0005-0000-0000-0000E25B0000}"/>
    <cellStyle name="Normal 2 2 4 25 9" xfId="23530" xr:uid="{00000000-0005-0000-0000-0000E35B0000}"/>
    <cellStyle name="Normal 2 2 4 26" xfId="23531" xr:uid="{00000000-0005-0000-0000-0000E45B0000}"/>
    <cellStyle name="Normal 2 2 4 26 10" xfId="23532" xr:uid="{00000000-0005-0000-0000-0000E55B0000}"/>
    <cellStyle name="Normal 2 2 4 26 11" xfId="23533" xr:uid="{00000000-0005-0000-0000-0000E65B0000}"/>
    <cellStyle name="Normal 2 2 4 26 12" xfId="23534" xr:uid="{00000000-0005-0000-0000-0000E75B0000}"/>
    <cellStyle name="Normal 2 2 4 26 13" xfId="23535" xr:uid="{00000000-0005-0000-0000-0000E85B0000}"/>
    <cellStyle name="Normal 2 2 4 26 14" xfId="23536" xr:uid="{00000000-0005-0000-0000-0000E95B0000}"/>
    <cellStyle name="Normal 2 2 4 26 2" xfId="23537" xr:uid="{00000000-0005-0000-0000-0000EA5B0000}"/>
    <cellStyle name="Normal 2 2 4 26 2 10" xfId="23538" xr:uid="{00000000-0005-0000-0000-0000EB5B0000}"/>
    <cellStyle name="Normal 2 2 4 26 2 2" xfId="23539" xr:uid="{00000000-0005-0000-0000-0000EC5B0000}"/>
    <cellStyle name="Normal 2 2 4 26 2 3" xfId="23540" xr:uid="{00000000-0005-0000-0000-0000ED5B0000}"/>
    <cellStyle name="Normal 2 2 4 26 2 4" xfId="23541" xr:uid="{00000000-0005-0000-0000-0000EE5B0000}"/>
    <cellStyle name="Normal 2 2 4 26 2 5" xfId="23542" xr:uid="{00000000-0005-0000-0000-0000EF5B0000}"/>
    <cellStyle name="Normal 2 2 4 26 2 6" xfId="23543" xr:uid="{00000000-0005-0000-0000-0000F05B0000}"/>
    <cellStyle name="Normal 2 2 4 26 2 7" xfId="23544" xr:uid="{00000000-0005-0000-0000-0000F15B0000}"/>
    <cellStyle name="Normal 2 2 4 26 2 8" xfId="23545" xr:uid="{00000000-0005-0000-0000-0000F25B0000}"/>
    <cellStyle name="Normal 2 2 4 26 2 9" xfId="23546" xr:uid="{00000000-0005-0000-0000-0000F35B0000}"/>
    <cellStyle name="Normal 2 2 4 26 3" xfId="23547" xr:uid="{00000000-0005-0000-0000-0000F45B0000}"/>
    <cellStyle name="Normal 2 2 4 26 3 10" xfId="23548" xr:uid="{00000000-0005-0000-0000-0000F55B0000}"/>
    <cellStyle name="Normal 2 2 4 26 3 2" xfId="23549" xr:uid="{00000000-0005-0000-0000-0000F65B0000}"/>
    <cellStyle name="Normal 2 2 4 26 3 3" xfId="23550" xr:uid="{00000000-0005-0000-0000-0000F75B0000}"/>
    <cellStyle name="Normal 2 2 4 26 3 4" xfId="23551" xr:uid="{00000000-0005-0000-0000-0000F85B0000}"/>
    <cellStyle name="Normal 2 2 4 26 3 5" xfId="23552" xr:uid="{00000000-0005-0000-0000-0000F95B0000}"/>
    <cellStyle name="Normal 2 2 4 26 3 6" xfId="23553" xr:uid="{00000000-0005-0000-0000-0000FA5B0000}"/>
    <cellStyle name="Normal 2 2 4 26 3 7" xfId="23554" xr:uid="{00000000-0005-0000-0000-0000FB5B0000}"/>
    <cellStyle name="Normal 2 2 4 26 3 8" xfId="23555" xr:uid="{00000000-0005-0000-0000-0000FC5B0000}"/>
    <cellStyle name="Normal 2 2 4 26 3 9" xfId="23556" xr:uid="{00000000-0005-0000-0000-0000FD5B0000}"/>
    <cellStyle name="Normal 2 2 4 26 4" xfId="23557" xr:uid="{00000000-0005-0000-0000-0000FE5B0000}"/>
    <cellStyle name="Normal 2 2 4 26 4 10" xfId="23558" xr:uid="{00000000-0005-0000-0000-0000FF5B0000}"/>
    <cellStyle name="Normal 2 2 4 26 4 2" xfId="23559" xr:uid="{00000000-0005-0000-0000-0000005C0000}"/>
    <cellStyle name="Normal 2 2 4 26 4 3" xfId="23560" xr:uid="{00000000-0005-0000-0000-0000015C0000}"/>
    <cellStyle name="Normal 2 2 4 26 4 4" xfId="23561" xr:uid="{00000000-0005-0000-0000-0000025C0000}"/>
    <cellStyle name="Normal 2 2 4 26 4 5" xfId="23562" xr:uid="{00000000-0005-0000-0000-0000035C0000}"/>
    <cellStyle name="Normal 2 2 4 26 4 6" xfId="23563" xr:uid="{00000000-0005-0000-0000-0000045C0000}"/>
    <cellStyle name="Normal 2 2 4 26 4 7" xfId="23564" xr:uid="{00000000-0005-0000-0000-0000055C0000}"/>
    <cellStyle name="Normal 2 2 4 26 4 8" xfId="23565" xr:uid="{00000000-0005-0000-0000-0000065C0000}"/>
    <cellStyle name="Normal 2 2 4 26 4 9" xfId="23566" xr:uid="{00000000-0005-0000-0000-0000075C0000}"/>
    <cellStyle name="Normal 2 2 4 26 5" xfId="23567" xr:uid="{00000000-0005-0000-0000-0000085C0000}"/>
    <cellStyle name="Normal 2 2 4 26 5 10" xfId="23568" xr:uid="{00000000-0005-0000-0000-0000095C0000}"/>
    <cellStyle name="Normal 2 2 4 26 5 2" xfId="23569" xr:uid="{00000000-0005-0000-0000-00000A5C0000}"/>
    <cellStyle name="Normal 2 2 4 26 5 3" xfId="23570" xr:uid="{00000000-0005-0000-0000-00000B5C0000}"/>
    <cellStyle name="Normal 2 2 4 26 5 4" xfId="23571" xr:uid="{00000000-0005-0000-0000-00000C5C0000}"/>
    <cellStyle name="Normal 2 2 4 26 5 5" xfId="23572" xr:uid="{00000000-0005-0000-0000-00000D5C0000}"/>
    <cellStyle name="Normal 2 2 4 26 5 6" xfId="23573" xr:uid="{00000000-0005-0000-0000-00000E5C0000}"/>
    <cellStyle name="Normal 2 2 4 26 5 7" xfId="23574" xr:uid="{00000000-0005-0000-0000-00000F5C0000}"/>
    <cellStyle name="Normal 2 2 4 26 5 8" xfId="23575" xr:uid="{00000000-0005-0000-0000-0000105C0000}"/>
    <cellStyle name="Normal 2 2 4 26 5 9" xfId="23576" xr:uid="{00000000-0005-0000-0000-0000115C0000}"/>
    <cellStyle name="Normal 2 2 4 26 6" xfId="23577" xr:uid="{00000000-0005-0000-0000-0000125C0000}"/>
    <cellStyle name="Normal 2 2 4 26 7" xfId="23578" xr:uid="{00000000-0005-0000-0000-0000135C0000}"/>
    <cellStyle name="Normal 2 2 4 26 8" xfId="23579" xr:uid="{00000000-0005-0000-0000-0000145C0000}"/>
    <cellStyle name="Normal 2 2 4 26 9" xfId="23580" xr:uid="{00000000-0005-0000-0000-0000155C0000}"/>
    <cellStyle name="Normal 2 2 4 27" xfId="23581" xr:uid="{00000000-0005-0000-0000-0000165C0000}"/>
    <cellStyle name="Normal 2 2 4 27 10" xfId="23582" xr:uid="{00000000-0005-0000-0000-0000175C0000}"/>
    <cellStyle name="Normal 2 2 4 27 11" xfId="23583" xr:uid="{00000000-0005-0000-0000-0000185C0000}"/>
    <cellStyle name="Normal 2 2 4 27 12" xfId="23584" xr:uid="{00000000-0005-0000-0000-0000195C0000}"/>
    <cellStyle name="Normal 2 2 4 27 13" xfId="23585" xr:uid="{00000000-0005-0000-0000-00001A5C0000}"/>
    <cellStyle name="Normal 2 2 4 27 14" xfId="23586" xr:uid="{00000000-0005-0000-0000-00001B5C0000}"/>
    <cellStyle name="Normal 2 2 4 27 2" xfId="23587" xr:uid="{00000000-0005-0000-0000-00001C5C0000}"/>
    <cellStyle name="Normal 2 2 4 27 2 10" xfId="23588" xr:uid="{00000000-0005-0000-0000-00001D5C0000}"/>
    <cellStyle name="Normal 2 2 4 27 2 2" xfId="23589" xr:uid="{00000000-0005-0000-0000-00001E5C0000}"/>
    <cellStyle name="Normal 2 2 4 27 2 3" xfId="23590" xr:uid="{00000000-0005-0000-0000-00001F5C0000}"/>
    <cellStyle name="Normal 2 2 4 27 2 4" xfId="23591" xr:uid="{00000000-0005-0000-0000-0000205C0000}"/>
    <cellStyle name="Normal 2 2 4 27 2 5" xfId="23592" xr:uid="{00000000-0005-0000-0000-0000215C0000}"/>
    <cellStyle name="Normal 2 2 4 27 2 6" xfId="23593" xr:uid="{00000000-0005-0000-0000-0000225C0000}"/>
    <cellStyle name="Normal 2 2 4 27 2 7" xfId="23594" xr:uid="{00000000-0005-0000-0000-0000235C0000}"/>
    <cellStyle name="Normal 2 2 4 27 2 8" xfId="23595" xr:uid="{00000000-0005-0000-0000-0000245C0000}"/>
    <cellStyle name="Normal 2 2 4 27 2 9" xfId="23596" xr:uid="{00000000-0005-0000-0000-0000255C0000}"/>
    <cellStyle name="Normal 2 2 4 27 3" xfId="23597" xr:uid="{00000000-0005-0000-0000-0000265C0000}"/>
    <cellStyle name="Normal 2 2 4 27 3 10" xfId="23598" xr:uid="{00000000-0005-0000-0000-0000275C0000}"/>
    <cellStyle name="Normal 2 2 4 27 3 2" xfId="23599" xr:uid="{00000000-0005-0000-0000-0000285C0000}"/>
    <cellStyle name="Normal 2 2 4 27 3 3" xfId="23600" xr:uid="{00000000-0005-0000-0000-0000295C0000}"/>
    <cellStyle name="Normal 2 2 4 27 3 4" xfId="23601" xr:uid="{00000000-0005-0000-0000-00002A5C0000}"/>
    <cellStyle name="Normal 2 2 4 27 3 5" xfId="23602" xr:uid="{00000000-0005-0000-0000-00002B5C0000}"/>
    <cellStyle name="Normal 2 2 4 27 3 6" xfId="23603" xr:uid="{00000000-0005-0000-0000-00002C5C0000}"/>
    <cellStyle name="Normal 2 2 4 27 3 7" xfId="23604" xr:uid="{00000000-0005-0000-0000-00002D5C0000}"/>
    <cellStyle name="Normal 2 2 4 27 3 8" xfId="23605" xr:uid="{00000000-0005-0000-0000-00002E5C0000}"/>
    <cellStyle name="Normal 2 2 4 27 3 9" xfId="23606" xr:uid="{00000000-0005-0000-0000-00002F5C0000}"/>
    <cellStyle name="Normal 2 2 4 27 4" xfId="23607" xr:uid="{00000000-0005-0000-0000-0000305C0000}"/>
    <cellStyle name="Normal 2 2 4 27 4 10" xfId="23608" xr:uid="{00000000-0005-0000-0000-0000315C0000}"/>
    <cellStyle name="Normal 2 2 4 27 4 2" xfId="23609" xr:uid="{00000000-0005-0000-0000-0000325C0000}"/>
    <cellStyle name="Normal 2 2 4 27 4 3" xfId="23610" xr:uid="{00000000-0005-0000-0000-0000335C0000}"/>
    <cellStyle name="Normal 2 2 4 27 4 4" xfId="23611" xr:uid="{00000000-0005-0000-0000-0000345C0000}"/>
    <cellStyle name="Normal 2 2 4 27 4 5" xfId="23612" xr:uid="{00000000-0005-0000-0000-0000355C0000}"/>
    <cellStyle name="Normal 2 2 4 27 4 6" xfId="23613" xr:uid="{00000000-0005-0000-0000-0000365C0000}"/>
    <cellStyle name="Normal 2 2 4 27 4 7" xfId="23614" xr:uid="{00000000-0005-0000-0000-0000375C0000}"/>
    <cellStyle name="Normal 2 2 4 27 4 8" xfId="23615" xr:uid="{00000000-0005-0000-0000-0000385C0000}"/>
    <cellStyle name="Normal 2 2 4 27 4 9" xfId="23616" xr:uid="{00000000-0005-0000-0000-0000395C0000}"/>
    <cellStyle name="Normal 2 2 4 27 5" xfId="23617" xr:uid="{00000000-0005-0000-0000-00003A5C0000}"/>
    <cellStyle name="Normal 2 2 4 27 5 10" xfId="23618" xr:uid="{00000000-0005-0000-0000-00003B5C0000}"/>
    <cellStyle name="Normal 2 2 4 27 5 2" xfId="23619" xr:uid="{00000000-0005-0000-0000-00003C5C0000}"/>
    <cellStyle name="Normal 2 2 4 27 5 3" xfId="23620" xr:uid="{00000000-0005-0000-0000-00003D5C0000}"/>
    <cellStyle name="Normal 2 2 4 27 5 4" xfId="23621" xr:uid="{00000000-0005-0000-0000-00003E5C0000}"/>
    <cellStyle name="Normal 2 2 4 27 5 5" xfId="23622" xr:uid="{00000000-0005-0000-0000-00003F5C0000}"/>
    <cellStyle name="Normal 2 2 4 27 5 6" xfId="23623" xr:uid="{00000000-0005-0000-0000-0000405C0000}"/>
    <cellStyle name="Normal 2 2 4 27 5 7" xfId="23624" xr:uid="{00000000-0005-0000-0000-0000415C0000}"/>
    <cellStyle name="Normal 2 2 4 27 5 8" xfId="23625" xr:uid="{00000000-0005-0000-0000-0000425C0000}"/>
    <cellStyle name="Normal 2 2 4 27 5 9" xfId="23626" xr:uid="{00000000-0005-0000-0000-0000435C0000}"/>
    <cellStyle name="Normal 2 2 4 27 6" xfId="23627" xr:uid="{00000000-0005-0000-0000-0000445C0000}"/>
    <cellStyle name="Normal 2 2 4 27 7" xfId="23628" xr:uid="{00000000-0005-0000-0000-0000455C0000}"/>
    <cellStyle name="Normal 2 2 4 27 8" xfId="23629" xr:uid="{00000000-0005-0000-0000-0000465C0000}"/>
    <cellStyle name="Normal 2 2 4 27 9" xfId="23630" xr:uid="{00000000-0005-0000-0000-0000475C0000}"/>
    <cellStyle name="Normal 2 2 4 28" xfId="23631" xr:uid="{00000000-0005-0000-0000-0000485C0000}"/>
    <cellStyle name="Normal 2 2 4 28 10" xfId="23632" xr:uid="{00000000-0005-0000-0000-0000495C0000}"/>
    <cellStyle name="Normal 2 2 4 28 11" xfId="23633" xr:uid="{00000000-0005-0000-0000-00004A5C0000}"/>
    <cellStyle name="Normal 2 2 4 28 12" xfId="23634" xr:uid="{00000000-0005-0000-0000-00004B5C0000}"/>
    <cellStyle name="Normal 2 2 4 28 13" xfId="23635" xr:uid="{00000000-0005-0000-0000-00004C5C0000}"/>
    <cellStyle name="Normal 2 2 4 28 14" xfId="23636" xr:uid="{00000000-0005-0000-0000-00004D5C0000}"/>
    <cellStyle name="Normal 2 2 4 28 2" xfId="23637" xr:uid="{00000000-0005-0000-0000-00004E5C0000}"/>
    <cellStyle name="Normal 2 2 4 28 2 10" xfId="23638" xr:uid="{00000000-0005-0000-0000-00004F5C0000}"/>
    <cellStyle name="Normal 2 2 4 28 2 2" xfId="23639" xr:uid="{00000000-0005-0000-0000-0000505C0000}"/>
    <cellStyle name="Normal 2 2 4 28 2 3" xfId="23640" xr:uid="{00000000-0005-0000-0000-0000515C0000}"/>
    <cellStyle name="Normal 2 2 4 28 2 4" xfId="23641" xr:uid="{00000000-0005-0000-0000-0000525C0000}"/>
    <cellStyle name="Normal 2 2 4 28 2 5" xfId="23642" xr:uid="{00000000-0005-0000-0000-0000535C0000}"/>
    <cellStyle name="Normal 2 2 4 28 2 6" xfId="23643" xr:uid="{00000000-0005-0000-0000-0000545C0000}"/>
    <cellStyle name="Normal 2 2 4 28 2 7" xfId="23644" xr:uid="{00000000-0005-0000-0000-0000555C0000}"/>
    <cellStyle name="Normal 2 2 4 28 2 8" xfId="23645" xr:uid="{00000000-0005-0000-0000-0000565C0000}"/>
    <cellStyle name="Normal 2 2 4 28 2 9" xfId="23646" xr:uid="{00000000-0005-0000-0000-0000575C0000}"/>
    <cellStyle name="Normal 2 2 4 28 3" xfId="23647" xr:uid="{00000000-0005-0000-0000-0000585C0000}"/>
    <cellStyle name="Normal 2 2 4 28 3 10" xfId="23648" xr:uid="{00000000-0005-0000-0000-0000595C0000}"/>
    <cellStyle name="Normal 2 2 4 28 3 2" xfId="23649" xr:uid="{00000000-0005-0000-0000-00005A5C0000}"/>
    <cellStyle name="Normal 2 2 4 28 3 3" xfId="23650" xr:uid="{00000000-0005-0000-0000-00005B5C0000}"/>
    <cellStyle name="Normal 2 2 4 28 3 4" xfId="23651" xr:uid="{00000000-0005-0000-0000-00005C5C0000}"/>
    <cellStyle name="Normal 2 2 4 28 3 5" xfId="23652" xr:uid="{00000000-0005-0000-0000-00005D5C0000}"/>
    <cellStyle name="Normal 2 2 4 28 3 6" xfId="23653" xr:uid="{00000000-0005-0000-0000-00005E5C0000}"/>
    <cellStyle name="Normal 2 2 4 28 3 7" xfId="23654" xr:uid="{00000000-0005-0000-0000-00005F5C0000}"/>
    <cellStyle name="Normal 2 2 4 28 3 8" xfId="23655" xr:uid="{00000000-0005-0000-0000-0000605C0000}"/>
    <cellStyle name="Normal 2 2 4 28 3 9" xfId="23656" xr:uid="{00000000-0005-0000-0000-0000615C0000}"/>
    <cellStyle name="Normal 2 2 4 28 4" xfId="23657" xr:uid="{00000000-0005-0000-0000-0000625C0000}"/>
    <cellStyle name="Normal 2 2 4 28 4 10" xfId="23658" xr:uid="{00000000-0005-0000-0000-0000635C0000}"/>
    <cellStyle name="Normal 2 2 4 28 4 2" xfId="23659" xr:uid="{00000000-0005-0000-0000-0000645C0000}"/>
    <cellStyle name="Normal 2 2 4 28 4 3" xfId="23660" xr:uid="{00000000-0005-0000-0000-0000655C0000}"/>
    <cellStyle name="Normal 2 2 4 28 4 4" xfId="23661" xr:uid="{00000000-0005-0000-0000-0000665C0000}"/>
    <cellStyle name="Normal 2 2 4 28 4 5" xfId="23662" xr:uid="{00000000-0005-0000-0000-0000675C0000}"/>
    <cellStyle name="Normal 2 2 4 28 4 6" xfId="23663" xr:uid="{00000000-0005-0000-0000-0000685C0000}"/>
    <cellStyle name="Normal 2 2 4 28 4 7" xfId="23664" xr:uid="{00000000-0005-0000-0000-0000695C0000}"/>
    <cellStyle name="Normal 2 2 4 28 4 8" xfId="23665" xr:uid="{00000000-0005-0000-0000-00006A5C0000}"/>
    <cellStyle name="Normal 2 2 4 28 4 9" xfId="23666" xr:uid="{00000000-0005-0000-0000-00006B5C0000}"/>
    <cellStyle name="Normal 2 2 4 28 5" xfId="23667" xr:uid="{00000000-0005-0000-0000-00006C5C0000}"/>
    <cellStyle name="Normal 2 2 4 28 5 10" xfId="23668" xr:uid="{00000000-0005-0000-0000-00006D5C0000}"/>
    <cellStyle name="Normal 2 2 4 28 5 2" xfId="23669" xr:uid="{00000000-0005-0000-0000-00006E5C0000}"/>
    <cellStyle name="Normal 2 2 4 28 5 3" xfId="23670" xr:uid="{00000000-0005-0000-0000-00006F5C0000}"/>
    <cellStyle name="Normal 2 2 4 28 5 4" xfId="23671" xr:uid="{00000000-0005-0000-0000-0000705C0000}"/>
    <cellStyle name="Normal 2 2 4 28 5 5" xfId="23672" xr:uid="{00000000-0005-0000-0000-0000715C0000}"/>
    <cellStyle name="Normal 2 2 4 28 5 6" xfId="23673" xr:uid="{00000000-0005-0000-0000-0000725C0000}"/>
    <cellStyle name="Normal 2 2 4 28 5 7" xfId="23674" xr:uid="{00000000-0005-0000-0000-0000735C0000}"/>
    <cellStyle name="Normal 2 2 4 28 5 8" xfId="23675" xr:uid="{00000000-0005-0000-0000-0000745C0000}"/>
    <cellStyle name="Normal 2 2 4 28 5 9" xfId="23676" xr:uid="{00000000-0005-0000-0000-0000755C0000}"/>
    <cellStyle name="Normal 2 2 4 28 6" xfId="23677" xr:uid="{00000000-0005-0000-0000-0000765C0000}"/>
    <cellStyle name="Normal 2 2 4 28 7" xfId="23678" xr:uid="{00000000-0005-0000-0000-0000775C0000}"/>
    <cellStyle name="Normal 2 2 4 28 8" xfId="23679" xr:uid="{00000000-0005-0000-0000-0000785C0000}"/>
    <cellStyle name="Normal 2 2 4 28 9" xfId="23680" xr:uid="{00000000-0005-0000-0000-0000795C0000}"/>
    <cellStyle name="Normal 2 2 4 29" xfId="23681" xr:uid="{00000000-0005-0000-0000-00007A5C0000}"/>
    <cellStyle name="Normal 2 2 4 29 10" xfId="23682" xr:uid="{00000000-0005-0000-0000-00007B5C0000}"/>
    <cellStyle name="Normal 2 2 4 29 11" xfId="23683" xr:uid="{00000000-0005-0000-0000-00007C5C0000}"/>
    <cellStyle name="Normal 2 2 4 29 12" xfId="23684" xr:uid="{00000000-0005-0000-0000-00007D5C0000}"/>
    <cellStyle name="Normal 2 2 4 29 13" xfId="23685" xr:uid="{00000000-0005-0000-0000-00007E5C0000}"/>
    <cellStyle name="Normal 2 2 4 29 14" xfId="23686" xr:uid="{00000000-0005-0000-0000-00007F5C0000}"/>
    <cellStyle name="Normal 2 2 4 29 2" xfId="23687" xr:uid="{00000000-0005-0000-0000-0000805C0000}"/>
    <cellStyle name="Normal 2 2 4 29 2 10" xfId="23688" xr:uid="{00000000-0005-0000-0000-0000815C0000}"/>
    <cellStyle name="Normal 2 2 4 29 2 2" xfId="23689" xr:uid="{00000000-0005-0000-0000-0000825C0000}"/>
    <cellStyle name="Normal 2 2 4 29 2 3" xfId="23690" xr:uid="{00000000-0005-0000-0000-0000835C0000}"/>
    <cellStyle name="Normal 2 2 4 29 2 4" xfId="23691" xr:uid="{00000000-0005-0000-0000-0000845C0000}"/>
    <cellStyle name="Normal 2 2 4 29 2 5" xfId="23692" xr:uid="{00000000-0005-0000-0000-0000855C0000}"/>
    <cellStyle name="Normal 2 2 4 29 2 6" xfId="23693" xr:uid="{00000000-0005-0000-0000-0000865C0000}"/>
    <cellStyle name="Normal 2 2 4 29 2 7" xfId="23694" xr:uid="{00000000-0005-0000-0000-0000875C0000}"/>
    <cellStyle name="Normal 2 2 4 29 2 8" xfId="23695" xr:uid="{00000000-0005-0000-0000-0000885C0000}"/>
    <cellStyle name="Normal 2 2 4 29 2 9" xfId="23696" xr:uid="{00000000-0005-0000-0000-0000895C0000}"/>
    <cellStyle name="Normal 2 2 4 29 3" xfId="23697" xr:uid="{00000000-0005-0000-0000-00008A5C0000}"/>
    <cellStyle name="Normal 2 2 4 29 3 10" xfId="23698" xr:uid="{00000000-0005-0000-0000-00008B5C0000}"/>
    <cellStyle name="Normal 2 2 4 29 3 2" xfId="23699" xr:uid="{00000000-0005-0000-0000-00008C5C0000}"/>
    <cellStyle name="Normal 2 2 4 29 3 3" xfId="23700" xr:uid="{00000000-0005-0000-0000-00008D5C0000}"/>
    <cellStyle name="Normal 2 2 4 29 3 4" xfId="23701" xr:uid="{00000000-0005-0000-0000-00008E5C0000}"/>
    <cellStyle name="Normal 2 2 4 29 3 5" xfId="23702" xr:uid="{00000000-0005-0000-0000-00008F5C0000}"/>
    <cellStyle name="Normal 2 2 4 29 3 6" xfId="23703" xr:uid="{00000000-0005-0000-0000-0000905C0000}"/>
    <cellStyle name="Normal 2 2 4 29 3 7" xfId="23704" xr:uid="{00000000-0005-0000-0000-0000915C0000}"/>
    <cellStyle name="Normal 2 2 4 29 3 8" xfId="23705" xr:uid="{00000000-0005-0000-0000-0000925C0000}"/>
    <cellStyle name="Normal 2 2 4 29 3 9" xfId="23706" xr:uid="{00000000-0005-0000-0000-0000935C0000}"/>
    <cellStyle name="Normal 2 2 4 29 4" xfId="23707" xr:uid="{00000000-0005-0000-0000-0000945C0000}"/>
    <cellStyle name="Normal 2 2 4 29 4 10" xfId="23708" xr:uid="{00000000-0005-0000-0000-0000955C0000}"/>
    <cellStyle name="Normal 2 2 4 29 4 2" xfId="23709" xr:uid="{00000000-0005-0000-0000-0000965C0000}"/>
    <cellStyle name="Normal 2 2 4 29 4 3" xfId="23710" xr:uid="{00000000-0005-0000-0000-0000975C0000}"/>
    <cellStyle name="Normal 2 2 4 29 4 4" xfId="23711" xr:uid="{00000000-0005-0000-0000-0000985C0000}"/>
    <cellStyle name="Normal 2 2 4 29 4 5" xfId="23712" xr:uid="{00000000-0005-0000-0000-0000995C0000}"/>
    <cellStyle name="Normal 2 2 4 29 4 6" xfId="23713" xr:uid="{00000000-0005-0000-0000-00009A5C0000}"/>
    <cellStyle name="Normal 2 2 4 29 4 7" xfId="23714" xr:uid="{00000000-0005-0000-0000-00009B5C0000}"/>
    <cellStyle name="Normal 2 2 4 29 4 8" xfId="23715" xr:uid="{00000000-0005-0000-0000-00009C5C0000}"/>
    <cellStyle name="Normal 2 2 4 29 4 9" xfId="23716" xr:uid="{00000000-0005-0000-0000-00009D5C0000}"/>
    <cellStyle name="Normal 2 2 4 29 5" xfId="23717" xr:uid="{00000000-0005-0000-0000-00009E5C0000}"/>
    <cellStyle name="Normal 2 2 4 29 5 10" xfId="23718" xr:uid="{00000000-0005-0000-0000-00009F5C0000}"/>
    <cellStyle name="Normal 2 2 4 29 5 2" xfId="23719" xr:uid="{00000000-0005-0000-0000-0000A05C0000}"/>
    <cellStyle name="Normal 2 2 4 29 5 3" xfId="23720" xr:uid="{00000000-0005-0000-0000-0000A15C0000}"/>
    <cellStyle name="Normal 2 2 4 29 5 4" xfId="23721" xr:uid="{00000000-0005-0000-0000-0000A25C0000}"/>
    <cellStyle name="Normal 2 2 4 29 5 5" xfId="23722" xr:uid="{00000000-0005-0000-0000-0000A35C0000}"/>
    <cellStyle name="Normal 2 2 4 29 5 6" xfId="23723" xr:uid="{00000000-0005-0000-0000-0000A45C0000}"/>
    <cellStyle name="Normal 2 2 4 29 5 7" xfId="23724" xr:uid="{00000000-0005-0000-0000-0000A55C0000}"/>
    <cellStyle name="Normal 2 2 4 29 5 8" xfId="23725" xr:uid="{00000000-0005-0000-0000-0000A65C0000}"/>
    <cellStyle name="Normal 2 2 4 29 5 9" xfId="23726" xr:uid="{00000000-0005-0000-0000-0000A75C0000}"/>
    <cellStyle name="Normal 2 2 4 29 6" xfId="23727" xr:uid="{00000000-0005-0000-0000-0000A85C0000}"/>
    <cellStyle name="Normal 2 2 4 29 7" xfId="23728" xr:uid="{00000000-0005-0000-0000-0000A95C0000}"/>
    <cellStyle name="Normal 2 2 4 29 8" xfId="23729" xr:uid="{00000000-0005-0000-0000-0000AA5C0000}"/>
    <cellStyle name="Normal 2 2 4 29 9" xfId="23730" xr:uid="{00000000-0005-0000-0000-0000AB5C0000}"/>
    <cellStyle name="Normal 2 2 4 3" xfId="23731" xr:uid="{00000000-0005-0000-0000-0000AC5C0000}"/>
    <cellStyle name="Normal 2 2 4 3 10" xfId="23732" xr:uid="{00000000-0005-0000-0000-0000AD5C0000}"/>
    <cellStyle name="Normal 2 2 4 3 11" xfId="23733" xr:uid="{00000000-0005-0000-0000-0000AE5C0000}"/>
    <cellStyle name="Normal 2 2 4 3 12" xfId="23734" xr:uid="{00000000-0005-0000-0000-0000AF5C0000}"/>
    <cellStyle name="Normal 2 2 4 3 13" xfId="23735" xr:uid="{00000000-0005-0000-0000-0000B05C0000}"/>
    <cellStyle name="Normal 2 2 4 3 14" xfId="23736" xr:uid="{00000000-0005-0000-0000-0000B15C0000}"/>
    <cellStyle name="Normal 2 2 4 3 2" xfId="23737" xr:uid="{00000000-0005-0000-0000-0000B25C0000}"/>
    <cellStyle name="Normal 2 2 4 3 2 10" xfId="23738" xr:uid="{00000000-0005-0000-0000-0000B35C0000}"/>
    <cellStyle name="Normal 2 2 4 3 2 2" xfId="23739" xr:uid="{00000000-0005-0000-0000-0000B45C0000}"/>
    <cellStyle name="Normal 2 2 4 3 2 3" xfId="23740" xr:uid="{00000000-0005-0000-0000-0000B55C0000}"/>
    <cellStyle name="Normal 2 2 4 3 2 4" xfId="23741" xr:uid="{00000000-0005-0000-0000-0000B65C0000}"/>
    <cellStyle name="Normal 2 2 4 3 2 5" xfId="23742" xr:uid="{00000000-0005-0000-0000-0000B75C0000}"/>
    <cellStyle name="Normal 2 2 4 3 2 6" xfId="23743" xr:uid="{00000000-0005-0000-0000-0000B85C0000}"/>
    <cellStyle name="Normal 2 2 4 3 2 7" xfId="23744" xr:uid="{00000000-0005-0000-0000-0000B95C0000}"/>
    <cellStyle name="Normal 2 2 4 3 2 8" xfId="23745" xr:uid="{00000000-0005-0000-0000-0000BA5C0000}"/>
    <cellStyle name="Normal 2 2 4 3 2 9" xfId="23746" xr:uid="{00000000-0005-0000-0000-0000BB5C0000}"/>
    <cellStyle name="Normal 2 2 4 3 3" xfId="23747" xr:uid="{00000000-0005-0000-0000-0000BC5C0000}"/>
    <cellStyle name="Normal 2 2 4 3 3 10" xfId="23748" xr:uid="{00000000-0005-0000-0000-0000BD5C0000}"/>
    <cellStyle name="Normal 2 2 4 3 3 2" xfId="23749" xr:uid="{00000000-0005-0000-0000-0000BE5C0000}"/>
    <cellStyle name="Normal 2 2 4 3 3 3" xfId="23750" xr:uid="{00000000-0005-0000-0000-0000BF5C0000}"/>
    <cellStyle name="Normal 2 2 4 3 3 4" xfId="23751" xr:uid="{00000000-0005-0000-0000-0000C05C0000}"/>
    <cellStyle name="Normal 2 2 4 3 3 5" xfId="23752" xr:uid="{00000000-0005-0000-0000-0000C15C0000}"/>
    <cellStyle name="Normal 2 2 4 3 3 6" xfId="23753" xr:uid="{00000000-0005-0000-0000-0000C25C0000}"/>
    <cellStyle name="Normal 2 2 4 3 3 7" xfId="23754" xr:uid="{00000000-0005-0000-0000-0000C35C0000}"/>
    <cellStyle name="Normal 2 2 4 3 3 8" xfId="23755" xr:uid="{00000000-0005-0000-0000-0000C45C0000}"/>
    <cellStyle name="Normal 2 2 4 3 3 9" xfId="23756" xr:uid="{00000000-0005-0000-0000-0000C55C0000}"/>
    <cellStyle name="Normal 2 2 4 3 4" xfId="23757" xr:uid="{00000000-0005-0000-0000-0000C65C0000}"/>
    <cellStyle name="Normal 2 2 4 3 4 10" xfId="23758" xr:uid="{00000000-0005-0000-0000-0000C75C0000}"/>
    <cellStyle name="Normal 2 2 4 3 4 2" xfId="23759" xr:uid="{00000000-0005-0000-0000-0000C85C0000}"/>
    <cellStyle name="Normal 2 2 4 3 4 3" xfId="23760" xr:uid="{00000000-0005-0000-0000-0000C95C0000}"/>
    <cellStyle name="Normal 2 2 4 3 4 4" xfId="23761" xr:uid="{00000000-0005-0000-0000-0000CA5C0000}"/>
    <cellStyle name="Normal 2 2 4 3 4 5" xfId="23762" xr:uid="{00000000-0005-0000-0000-0000CB5C0000}"/>
    <cellStyle name="Normal 2 2 4 3 4 6" xfId="23763" xr:uid="{00000000-0005-0000-0000-0000CC5C0000}"/>
    <cellStyle name="Normal 2 2 4 3 4 7" xfId="23764" xr:uid="{00000000-0005-0000-0000-0000CD5C0000}"/>
    <cellStyle name="Normal 2 2 4 3 4 8" xfId="23765" xr:uid="{00000000-0005-0000-0000-0000CE5C0000}"/>
    <cellStyle name="Normal 2 2 4 3 4 9" xfId="23766" xr:uid="{00000000-0005-0000-0000-0000CF5C0000}"/>
    <cellStyle name="Normal 2 2 4 3 5" xfId="23767" xr:uid="{00000000-0005-0000-0000-0000D05C0000}"/>
    <cellStyle name="Normal 2 2 4 3 5 10" xfId="23768" xr:uid="{00000000-0005-0000-0000-0000D15C0000}"/>
    <cellStyle name="Normal 2 2 4 3 5 2" xfId="23769" xr:uid="{00000000-0005-0000-0000-0000D25C0000}"/>
    <cellStyle name="Normal 2 2 4 3 5 3" xfId="23770" xr:uid="{00000000-0005-0000-0000-0000D35C0000}"/>
    <cellStyle name="Normal 2 2 4 3 5 4" xfId="23771" xr:uid="{00000000-0005-0000-0000-0000D45C0000}"/>
    <cellStyle name="Normal 2 2 4 3 5 5" xfId="23772" xr:uid="{00000000-0005-0000-0000-0000D55C0000}"/>
    <cellStyle name="Normal 2 2 4 3 5 6" xfId="23773" xr:uid="{00000000-0005-0000-0000-0000D65C0000}"/>
    <cellStyle name="Normal 2 2 4 3 5 7" xfId="23774" xr:uid="{00000000-0005-0000-0000-0000D75C0000}"/>
    <cellStyle name="Normal 2 2 4 3 5 8" xfId="23775" xr:uid="{00000000-0005-0000-0000-0000D85C0000}"/>
    <cellStyle name="Normal 2 2 4 3 5 9" xfId="23776" xr:uid="{00000000-0005-0000-0000-0000D95C0000}"/>
    <cellStyle name="Normal 2 2 4 3 6" xfId="23777" xr:uid="{00000000-0005-0000-0000-0000DA5C0000}"/>
    <cellStyle name="Normal 2 2 4 3 7" xfId="23778" xr:uid="{00000000-0005-0000-0000-0000DB5C0000}"/>
    <cellStyle name="Normal 2 2 4 3 8" xfId="23779" xr:uid="{00000000-0005-0000-0000-0000DC5C0000}"/>
    <cellStyle name="Normal 2 2 4 3 9" xfId="23780" xr:uid="{00000000-0005-0000-0000-0000DD5C0000}"/>
    <cellStyle name="Normal 2 2 4 30" xfId="23781" xr:uid="{00000000-0005-0000-0000-0000DE5C0000}"/>
    <cellStyle name="Normal 2 2 4 30 10" xfId="23782" xr:uid="{00000000-0005-0000-0000-0000DF5C0000}"/>
    <cellStyle name="Normal 2 2 4 30 11" xfId="23783" xr:uid="{00000000-0005-0000-0000-0000E05C0000}"/>
    <cellStyle name="Normal 2 2 4 30 12" xfId="23784" xr:uid="{00000000-0005-0000-0000-0000E15C0000}"/>
    <cellStyle name="Normal 2 2 4 30 13" xfId="23785" xr:uid="{00000000-0005-0000-0000-0000E25C0000}"/>
    <cellStyle name="Normal 2 2 4 30 14" xfId="23786" xr:uid="{00000000-0005-0000-0000-0000E35C0000}"/>
    <cellStyle name="Normal 2 2 4 30 2" xfId="23787" xr:uid="{00000000-0005-0000-0000-0000E45C0000}"/>
    <cellStyle name="Normal 2 2 4 30 2 10" xfId="23788" xr:uid="{00000000-0005-0000-0000-0000E55C0000}"/>
    <cellStyle name="Normal 2 2 4 30 2 2" xfId="23789" xr:uid="{00000000-0005-0000-0000-0000E65C0000}"/>
    <cellStyle name="Normal 2 2 4 30 2 3" xfId="23790" xr:uid="{00000000-0005-0000-0000-0000E75C0000}"/>
    <cellStyle name="Normal 2 2 4 30 2 4" xfId="23791" xr:uid="{00000000-0005-0000-0000-0000E85C0000}"/>
    <cellStyle name="Normal 2 2 4 30 2 5" xfId="23792" xr:uid="{00000000-0005-0000-0000-0000E95C0000}"/>
    <cellStyle name="Normal 2 2 4 30 2 6" xfId="23793" xr:uid="{00000000-0005-0000-0000-0000EA5C0000}"/>
    <cellStyle name="Normal 2 2 4 30 2 7" xfId="23794" xr:uid="{00000000-0005-0000-0000-0000EB5C0000}"/>
    <cellStyle name="Normal 2 2 4 30 2 8" xfId="23795" xr:uid="{00000000-0005-0000-0000-0000EC5C0000}"/>
    <cellStyle name="Normal 2 2 4 30 2 9" xfId="23796" xr:uid="{00000000-0005-0000-0000-0000ED5C0000}"/>
    <cellStyle name="Normal 2 2 4 30 3" xfId="23797" xr:uid="{00000000-0005-0000-0000-0000EE5C0000}"/>
    <cellStyle name="Normal 2 2 4 30 3 10" xfId="23798" xr:uid="{00000000-0005-0000-0000-0000EF5C0000}"/>
    <cellStyle name="Normal 2 2 4 30 3 2" xfId="23799" xr:uid="{00000000-0005-0000-0000-0000F05C0000}"/>
    <cellStyle name="Normal 2 2 4 30 3 3" xfId="23800" xr:uid="{00000000-0005-0000-0000-0000F15C0000}"/>
    <cellStyle name="Normal 2 2 4 30 3 4" xfId="23801" xr:uid="{00000000-0005-0000-0000-0000F25C0000}"/>
    <cellStyle name="Normal 2 2 4 30 3 5" xfId="23802" xr:uid="{00000000-0005-0000-0000-0000F35C0000}"/>
    <cellStyle name="Normal 2 2 4 30 3 6" xfId="23803" xr:uid="{00000000-0005-0000-0000-0000F45C0000}"/>
    <cellStyle name="Normal 2 2 4 30 3 7" xfId="23804" xr:uid="{00000000-0005-0000-0000-0000F55C0000}"/>
    <cellStyle name="Normal 2 2 4 30 3 8" xfId="23805" xr:uid="{00000000-0005-0000-0000-0000F65C0000}"/>
    <cellStyle name="Normal 2 2 4 30 3 9" xfId="23806" xr:uid="{00000000-0005-0000-0000-0000F75C0000}"/>
    <cellStyle name="Normal 2 2 4 30 4" xfId="23807" xr:uid="{00000000-0005-0000-0000-0000F85C0000}"/>
    <cellStyle name="Normal 2 2 4 30 4 10" xfId="23808" xr:uid="{00000000-0005-0000-0000-0000F95C0000}"/>
    <cellStyle name="Normal 2 2 4 30 4 2" xfId="23809" xr:uid="{00000000-0005-0000-0000-0000FA5C0000}"/>
    <cellStyle name="Normal 2 2 4 30 4 3" xfId="23810" xr:uid="{00000000-0005-0000-0000-0000FB5C0000}"/>
    <cellStyle name="Normal 2 2 4 30 4 4" xfId="23811" xr:uid="{00000000-0005-0000-0000-0000FC5C0000}"/>
    <cellStyle name="Normal 2 2 4 30 4 5" xfId="23812" xr:uid="{00000000-0005-0000-0000-0000FD5C0000}"/>
    <cellStyle name="Normal 2 2 4 30 4 6" xfId="23813" xr:uid="{00000000-0005-0000-0000-0000FE5C0000}"/>
    <cellStyle name="Normal 2 2 4 30 4 7" xfId="23814" xr:uid="{00000000-0005-0000-0000-0000FF5C0000}"/>
    <cellStyle name="Normal 2 2 4 30 4 8" xfId="23815" xr:uid="{00000000-0005-0000-0000-0000005D0000}"/>
    <cellStyle name="Normal 2 2 4 30 4 9" xfId="23816" xr:uid="{00000000-0005-0000-0000-0000015D0000}"/>
    <cellStyle name="Normal 2 2 4 30 5" xfId="23817" xr:uid="{00000000-0005-0000-0000-0000025D0000}"/>
    <cellStyle name="Normal 2 2 4 30 5 10" xfId="23818" xr:uid="{00000000-0005-0000-0000-0000035D0000}"/>
    <cellStyle name="Normal 2 2 4 30 5 2" xfId="23819" xr:uid="{00000000-0005-0000-0000-0000045D0000}"/>
    <cellStyle name="Normal 2 2 4 30 5 3" xfId="23820" xr:uid="{00000000-0005-0000-0000-0000055D0000}"/>
    <cellStyle name="Normal 2 2 4 30 5 4" xfId="23821" xr:uid="{00000000-0005-0000-0000-0000065D0000}"/>
    <cellStyle name="Normal 2 2 4 30 5 5" xfId="23822" xr:uid="{00000000-0005-0000-0000-0000075D0000}"/>
    <cellStyle name="Normal 2 2 4 30 5 6" xfId="23823" xr:uid="{00000000-0005-0000-0000-0000085D0000}"/>
    <cellStyle name="Normal 2 2 4 30 5 7" xfId="23824" xr:uid="{00000000-0005-0000-0000-0000095D0000}"/>
    <cellStyle name="Normal 2 2 4 30 5 8" xfId="23825" xr:uid="{00000000-0005-0000-0000-00000A5D0000}"/>
    <cellStyle name="Normal 2 2 4 30 5 9" xfId="23826" xr:uid="{00000000-0005-0000-0000-00000B5D0000}"/>
    <cellStyle name="Normal 2 2 4 30 6" xfId="23827" xr:uid="{00000000-0005-0000-0000-00000C5D0000}"/>
    <cellStyle name="Normal 2 2 4 30 7" xfId="23828" xr:uid="{00000000-0005-0000-0000-00000D5D0000}"/>
    <cellStyle name="Normal 2 2 4 30 8" xfId="23829" xr:uid="{00000000-0005-0000-0000-00000E5D0000}"/>
    <cellStyle name="Normal 2 2 4 30 9" xfId="23830" xr:uid="{00000000-0005-0000-0000-00000F5D0000}"/>
    <cellStyle name="Normal 2 2 4 31" xfId="23831" xr:uid="{00000000-0005-0000-0000-0000105D0000}"/>
    <cellStyle name="Normal 2 2 4 31 10" xfId="23832" xr:uid="{00000000-0005-0000-0000-0000115D0000}"/>
    <cellStyle name="Normal 2 2 4 31 11" xfId="23833" xr:uid="{00000000-0005-0000-0000-0000125D0000}"/>
    <cellStyle name="Normal 2 2 4 31 12" xfId="23834" xr:uid="{00000000-0005-0000-0000-0000135D0000}"/>
    <cellStyle name="Normal 2 2 4 31 13" xfId="23835" xr:uid="{00000000-0005-0000-0000-0000145D0000}"/>
    <cellStyle name="Normal 2 2 4 31 14" xfId="23836" xr:uid="{00000000-0005-0000-0000-0000155D0000}"/>
    <cellStyle name="Normal 2 2 4 31 2" xfId="23837" xr:uid="{00000000-0005-0000-0000-0000165D0000}"/>
    <cellStyle name="Normal 2 2 4 31 2 10" xfId="23838" xr:uid="{00000000-0005-0000-0000-0000175D0000}"/>
    <cellStyle name="Normal 2 2 4 31 2 2" xfId="23839" xr:uid="{00000000-0005-0000-0000-0000185D0000}"/>
    <cellStyle name="Normal 2 2 4 31 2 3" xfId="23840" xr:uid="{00000000-0005-0000-0000-0000195D0000}"/>
    <cellStyle name="Normal 2 2 4 31 2 4" xfId="23841" xr:uid="{00000000-0005-0000-0000-00001A5D0000}"/>
    <cellStyle name="Normal 2 2 4 31 2 5" xfId="23842" xr:uid="{00000000-0005-0000-0000-00001B5D0000}"/>
    <cellStyle name="Normal 2 2 4 31 2 6" xfId="23843" xr:uid="{00000000-0005-0000-0000-00001C5D0000}"/>
    <cellStyle name="Normal 2 2 4 31 2 7" xfId="23844" xr:uid="{00000000-0005-0000-0000-00001D5D0000}"/>
    <cellStyle name="Normal 2 2 4 31 2 8" xfId="23845" xr:uid="{00000000-0005-0000-0000-00001E5D0000}"/>
    <cellStyle name="Normal 2 2 4 31 2 9" xfId="23846" xr:uid="{00000000-0005-0000-0000-00001F5D0000}"/>
    <cellStyle name="Normal 2 2 4 31 3" xfId="23847" xr:uid="{00000000-0005-0000-0000-0000205D0000}"/>
    <cellStyle name="Normal 2 2 4 31 3 10" xfId="23848" xr:uid="{00000000-0005-0000-0000-0000215D0000}"/>
    <cellStyle name="Normal 2 2 4 31 3 2" xfId="23849" xr:uid="{00000000-0005-0000-0000-0000225D0000}"/>
    <cellStyle name="Normal 2 2 4 31 3 3" xfId="23850" xr:uid="{00000000-0005-0000-0000-0000235D0000}"/>
    <cellStyle name="Normal 2 2 4 31 3 4" xfId="23851" xr:uid="{00000000-0005-0000-0000-0000245D0000}"/>
    <cellStyle name="Normal 2 2 4 31 3 5" xfId="23852" xr:uid="{00000000-0005-0000-0000-0000255D0000}"/>
    <cellStyle name="Normal 2 2 4 31 3 6" xfId="23853" xr:uid="{00000000-0005-0000-0000-0000265D0000}"/>
    <cellStyle name="Normal 2 2 4 31 3 7" xfId="23854" xr:uid="{00000000-0005-0000-0000-0000275D0000}"/>
    <cellStyle name="Normal 2 2 4 31 3 8" xfId="23855" xr:uid="{00000000-0005-0000-0000-0000285D0000}"/>
    <cellStyle name="Normal 2 2 4 31 3 9" xfId="23856" xr:uid="{00000000-0005-0000-0000-0000295D0000}"/>
    <cellStyle name="Normal 2 2 4 31 4" xfId="23857" xr:uid="{00000000-0005-0000-0000-00002A5D0000}"/>
    <cellStyle name="Normal 2 2 4 31 4 10" xfId="23858" xr:uid="{00000000-0005-0000-0000-00002B5D0000}"/>
    <cellStyle name="Normal 2 2 4 31 4 2" xfId="23859" xr:uid="{00000000-0005-0000-0000-00002C5D0000}"/>
    <cellStyle name="Normal 2 2 4 31 4 3" xfId="23860" xr:uid="{00000000-0005-0000-0000-00002D5D0000}"/>
    <cellStyle name="Normal 2 2 4 31 4 4" xfId="23861" xr:uid="{00000000-0005-0000-0000-00002E5D0000}"/>
    <cellStyle name="Normal 2 2 4 31 4 5" xfId="23862" xr:uid="{00000000-0005-0000-0000-00002F5D0000}"/>
    <cellStyle name="Normal 2 2 4 31 4 6" xfId="23863" xr:uid="{00000000-0005-0000-0000-0000305D0000}"/>
    <cellStyle name="Normal 2 2 4 31 4 7" xfId="23864" xr:uid="{00000000-0005-0000-0000-0000315D0000}"/>
    <cellStyle name="Normal 2 2 4 31 4 8" xfId="23865" xr:uid="{00000000-0005-0000-0000-0000325D0000}"/>
    <cellStyle name="Normal 2 2 4 31 4 9" xfId="23866" xr:uid="{00000000-0005-0000-0000-0000335D0000}"/>
    <cellStyle name="Normal 2 2 4 31 5" xfId="23867" xr:uid="{00000000-0005-0000-0000-0000345D0000}"/>
    <cellStyle name="Normal 2 2 4 31 5 10" xfId="23868" xr:uid="{00000000-0005-0000-0000-0000355D0000}"/>
    <cellStyle name="Normal 2 2 4 31 5 2" xfId="23869" xr:uid="{00000000-0005-0000-0000-0000365D0000}"/>
    <cellStyle name="Normal 2 2 4 31 5 3" xfId="23870" xr:uid="{00000000-0005-0000-0000-0000375D0000}"/>
    <cellStyle name="Normal 2 2 4 31 5 4" xfId="23871" xr:uid="{00000000-0005-0000-0000-0000385D0000}"/>
    <cellStyle name="Normal 2 2 4 31 5 5" xfId="23872" xr:uid="{00000000-0005-0000-0000-0000395D0000}"/>
    <cellStyle name="Normal 2 2 4 31 5 6" xfId="23873" xr:uid="{00000000-0005-0000-0000-00003A5D0000}"/>
    <cellStyle name="Normal 2 2 4 31 5 7" xfId="23874" xr:uid="{00000000-0005-0000-0000-00003B5D0000}"/>
    <cellStyle name="Normal 2 2 4 31 5 8" xfId="23875" xr:uid="{00000000-0005-0000-0000-00003C5D0000}"/>
    <cellStyle name="Normal 2 2 4 31 5 9" xfId="23876" xr:uid="{00000000-0005-0000-0000-00003D5D0000}"/>
    <cellStyle name="Normal 2 2 4 31 6" xfId="23877" xr:uid="{00000000-0005-0000-0000-00003E5D0000}"/>
    <cellStyle name="Normal 2 2 4 31 7" xfId="23878" xr:uid="{00000000-0005-0000-0000-00003F5D0000}"/>
    <cellStyle name="Normal 2 2 4 31 8" xfId="23879" xr:uid="{00000000-0005-0000-0000-0000405D0000}"/>
    <cellStyle name="Normal 2 2 4 31 9" xfId="23880" xr:uid="{00000000-0005-0000-0000-0000415D0000}"/>
    <cellStyle name="Normal 2 2 4 32" xfId="23881" xr:uid="{00000000-0005-0000-0000-0000425D0000}"/>
    <cellStyle name="Normal 2 2 4 32 10" xfId="23882" xr:uid="{00000000-0005-0000-0000-0000435D0000}"/>
    <cellStyle name="Normal 2 2 4 32 11" xfId="23883" xr:uid="{00000000-0005-0000-0000-0000445D0000}"/>
    <cellStyle name="Normal 2 2 4 32 12" xfId="23884" xr:uid="{00000000-0005-0000-0000-0000455D0000}"/>
    <cellStyle name="Normal 2 2 4 32 13" xfId="23885" xr:uid="{00000000-0005-0000-0000-0000465D0000}"/>
    <cellStyle name="Normal 2 2 4 32 14" xfId="23886" xr:uid="{00000000-0005-0000-0000-0000475D0000}"/>
    <cellStyle name="Normal 2 2 4 32 2" xfId="23887" xr:uid="{00000000-0005-0000-0000-0000485D0000}"/>
    <cellStyle name="Normal 2 2 4 32 2 10" xfId="23888" xr:uid="{00000000-0005-0000-0000-0000495D0000}"/>
    <cellStyle name="Normal 2 2 4 32 2 2" xfId="23889" xr:uid="{00000000-0005-0000-0000-00004A5D0000}"/>
    <cellStyle name="Normal 2 2 4 32 2 3" xfId="23890" xr:uid="{00000000-0005-0000-0000-00004B5D0000}"/>
    <cellStyle name="Normal 2 2 4 32 2 4" xfId="23891" xr:uid="{00000000-0005-0000-0000-00004C5D0000}"/>
    <cellStyle name="Normal 2 2 4 32 2 5" xfId="23892" xr:uid="{00000000-0005-0000-0000-00004D5D0000}"/>
    <cellStyle name="Normal 2 2 4 32 2 6" xfId="23893" xr:uid="{00000000-0005-0000-0000-00004E5D0000}"/>
    <cellStyle name="Normal 2 2 4 32 2 7" xfId="23894" xr:uid="{00000000-0005-0000-0000-00004F5D0000}"/>
    <cellStyle name="Normal 2 2 4 32 2 8" xfId="23895" xr:uid="{00000000-0005-0000-0000-0000505D0000}"/>
    <cellStyle name="Normal 2 2 4 32 2 9" xfId="23896" xr:uid="{00000000-0005-0000-0000-0000515D0000}"/>
    <cellStyle name="Normal 2 2 4 32 3" xfId="23897" xr:uid="{00000000-0005-0000-0000-0000525D0000}"/>
    <cellStyle name="Normal 2 2 4 32 3 10" xfId="23898" xr:uid="{00000000-0005-0000-0000-0000535D0000}"/>
    <cellStyle name="Normal 2 2 4 32 3 2" xfId="23899" xr:uid="{00000000-0005-0000-0000-0000545D0000}"/>
    <cellStyle name="Normal 2 2 4 32 3 3" xfId="23900" xr:uid="{00000000-0005-0000-0000-0000555D0000}"/>
    <cellStyle name="Normal 2 2 4 32 3 4" xfId="23901" xr:uid="{00000000-0005-0000-0000-0000565D0000}"/>
    <cellStyle name="Normal 2 2 4 32 3 5" xfId="23902" xr:uid="{00000000-0005-0000-0000-0000575D0000}"/>
    <cellStyle name="Normal 2 2 4 32 3 6" xfId="23903" xr:uid="{00000000-0005-0000-0000-0000585D0000}"/>
    <cellStyle name="Normal 2 2 4 32 3 7" xfId="23904" xr:uid="{00000000-0005-0000-0000-0000595D0000}"/>
    <cellStyle name="Normal 2 2 4 32 3 8" xfId="23905" xr:uid="{00000000-0005-0000-0000-00005A5D0000}"/>
    <cellStyle name="Normal 2 2 4 32 3 9" xfId="23906" xr:uid="{00000000-0005-0000-0000-00005B5D0000}"/>
    <cellStyle name="Normal 2 2 4 32 4" xfId="23907" xr:uid="{00000000-0005-0000-0000-00005C5D0000}"/>
    <cellStyle name="Normal 2 2 4 32 4 10" xfId="23908" xr:uid="{00000000-0005-0000-0000-00005D5D0000}"/>
    <cellStyle name="Normal 2 2 4 32 4 2" xfId="23909" xr:uid="{00000000-0005-0000-0000-00005E5D0000}"/>
    <cellStyle name="Normal 2 2 4 32 4 3" xfId="23910" xr:uid="{00000000-0005-0000-0000-00005F5D0000}"/>
    <cellStyle name="Normal 2 2 4 32 4 4" xfId="23911" xr:uid="{00000000-0005-0000-0000-0000605D0000}"/>
    <cellStyle name="Normal 2 2 4 32 4 5" xfId="23912" xr:uid="{00000000-0005-0000-0000-0000615D0000}"/>
    <cellStyle name="Normal 2 2 4 32 4 6" xfId="23913" xr:uid="{00000000-0005-0000-0000-0000625D0000}"/>
    <cellStyle name="Normal 2 2 4 32 4 7" xfId="23914" xr:uid="{00000000-0005-0000-0000-0000635D0000}"/>
    <cellStyle name="Normal 2 2 4 32 4 8" xfId="23915" xr:uid="{00000000-0005-0000-0000-0000645D0000}"/>
    <cellStyle name="Normal 2 2 4 32 4 9" xfId="23916" xr:uid="{00000000-0005-0000-0000-0000655D0000}"/>
    <cellStyle name="Normal 2 2 4 32 5" xfId="23917" xr:uid="{00000000-0005-0000-0000-0000665D0000}"/>
    <cellStyle name="Normal 2 2 4 32 5 10" xfId="23918" xr:uid="{00000000-0005-0000-0000-0000675D0000}"/>
    <cellStyle name="Normal 2 2 4 32 5 2" xfId="23919" xr:uid="{00000000-0005-0000-0000-0000685D0000}"/>
    <cellStyle name="Normal 2 2 4 32 5 3" xfId="23920" xr:uid="{00000000-0005-0000-0000-0000695D0000}"/>
    <cellStyle name="Normal 2 2 4 32 5 4" xfId="23921" xr:uid="{00000000-0005-0000-0000-00006A5D0000}"/>
    <cellStyle name="Normal 2 2 4 32 5 5" xfId="23922" xr:uid="{00000000-0005-0000-0000-00006B5D0000}"/>
    <cellStyle name="Normal 2 2 4 32 5 6" xfId="23923" xr:uid="{00000000-0005-0000-0000-00006C5D0000}"/>
    <cellStyle name="Normal 2 2 4 32 5 7" xfId="23924" xr:uid="{00000000-0005-0000-0000-00006D5D0000}"/>
    <cellStyle name="Normal 2 2 4 32 5 8" xfId="23925" xr:uid="{00000000-0005-0000-0000-00006E5D0000}"/>
    <cellStyle name="Normal 2 2 4 32 5 9" xfId="23926" xr:uid="{00000000-0005-0000-0000-00006F5D0000}"/>
    <cellStyle name="Normal 2 2 4 32 6" xfId="23927" xr:uid="{00000000-0005-0000-0000-0000705D0000}"/>
    <cellStyle name="Normal 2 2 4 32 7" xfId="23928" xr:uid="{00000000-0005-0000-0000-0000715D0000}"/>
    <cellStyle name="Normal 2 2 4 32 8" xfId="23929" xr:uid="{00000000-0005-0000-0000-0000725D0000}"/>
    <cellStyle name="Normal 2 2 4 32 9" xfId="23930" xr:uid="{00000000-0005-0000-0000-0000735D0000}"/>
    <cellStyle name="Normal 2 2 4 33" xfId="23931" xr:uid="{00000000-0005-0000-0000-0000745D0000}"/>
    <cellStyle name="Normal 2 2 4 33 10" xfId="23932" xr:uid="{00000000-0005-0000-0000-0000755D0000}"/>
    <cellStyle name="Normal 2 2 4 33 11" xfId="23933" xr:uid="{00000000-0005-0000-0000-0000765D0000}"/>
    <cellStyle name="Normal 2 2 4 33 12" xfId="23934" xr:uid="{00000000-0005-0000-0000-0000775D0000}"/>
    <cellStyle name="Normal 2 2 4 33 13" xfId="23935" xr:uid="{00000000-0005-0000-0000-0000785D0000}"/>
    <cellStyle name="Normal 2 2 4 33 14" xfId="23936" xr:uid="{00000000-0005-0000-0000-0000795D0000}"/>
    <cellStyle name="Normal 2 2 4 33 2" xfId="23937" xr:uid="{00000000-0005-0000-0000-00007A5D0000}"/>
    <cellStyle name="Normal 2 2 4 33 2 10" xfId="23938" xr:uid="{00000000-0005-0000-0000-00007B5D0000}"/>
    <cellStyle name="Normal 2 2 4 33 2 2" xfId="23939" xr:uid="{00000000-0005-0000-0000-00007C5D0000}"/>
    <cellStyle name="Normal 2 2 4 33 2 3" xfId="23940" xr:uid="{00000000-0005-0000-0000-00007D5D0000}"/>
    <cellStyle name="Normal 2 2 4 33 2 4" xfId="23941" xr:uid="{00000000-0005-0000-0000-00007E5D0000}"/>
    <cellStyle name="Normal 2 2 4 33 2 5" xfId="23942" xr:uid="{00000000-0005-0000-0000-00007F5D0000}"/>
    <cellStyle name="Normal 2 2 4 33 2 6" xfId="23943" xr:uid="{00000000-0005-0000-0000-0000805D0000}"/>
    <cellStyle name="Normal 2 2 4 33 2 7" xfId="23944" xr:uid="{00000000-0005-0000-0000-0000815D0000}"/>
    <cellStyle name="Normal 2 2 4 33 2 8" xfId="23945" xr:uid="{00000000-0005-0000-0000-0000825D0000}"/>
    <cellStyle name="Normal 2 2 4 33 2 9" xfId="23946" xr:uid="{00000000-0005-0000-0000-0000835D0000}"/>
    <cellStyle name="Normal 2 2 4 33 3" xfId="23947" xr:uid="{00000000-0005-0000-0000-0000845D0000}"/>
    <cellStyle name="Normal 2 2 4 33 3 10" xfId="23948" xr:uid="{00000000-0005-0000-0000-0000855D0000}"/>
    <cellStyle name="Normal 2 2 4 33 3 2" xfId="23949" xr:uid="{00000000-0005-0000-0000-0000865D0000}"/>
    <cellStyle name="Normal 2 2 4 33 3 3" xfId="23950" xr:uid="{00000000-0005-0000-0000-0000875D0000}"/>
    <cellStyle name="Normal 2 2 4 33 3 4" xfId="23951" xr:uid="{00000000-0005-0000-0000-0000885D0000}"/>
    <cellStyle name="Normal 2 2 4 33 3 5" xfId="23952" xr:uid="{00000000-0005-0000-0000-0000895D0000}"/>
    <cellStyle name="Normal 2 2 4 33 3 6" xfId="23953" xr:uid="{00000000-0005-0000-0000-00008A5D0000}"/>
    <cellStyle name="Normal 2 2 4 33 3 7" xfId="23954" xr:uid="{00000000-0005-0000-0000-00008B5D0000}"/>
    <cellStyle name="Normal 2 2 4 33 3 8" xfId="23955" xr:uid="{00000000-0005-0000-0000-00008C5D0000}"/>
    <cellStyle name="Normal 2 2 4 33 3 9" xfId="23956" xr:uid="{00000000-0005-0000-0000-00008D5D0000}"/>
    <cellStyle name="Normal 2 2 4 33 4" xfId="23957" xr:uid="{00000000-0005-0000-0000-00008E5D0000}"/>
    <cellStyle name="Normal 2 2 4 33 4 10" xfId="23958" xr:uid="{00000000-0005-0000-0000-00008F5D0000}"/>
    <cellStyle name="Normal 2 2 4 33 4 2" xfId="23959" xr:uid="{00000000-0005-0000-0000-0000905D0000}"/>
    <cellStyle name="Normal 2 2 4 33 4 3" xfId="23960" xr:uid="{00000000-0005-0000-0000-0000915D0000}"/>
    <cellStyle name="Normal 2 2 4 33 4 4" xfId="23961" xr:uid="{00000000-0005-0000-0000-0000925D0000}"/>
    <cellStyle name="Normal 2 2 4 33 4 5" xfId="23962" xr:uid="{00000000-0005-0000-0000-0000935D0000}"/>
    <cellStyle name="Normal 2 2 4 33 4 6" xfId="23963" xr:uid="{00000000-0005-0000-0000-0000945D0000}"/>
    <cellStyle name="Normal 2 2 4 33 4 7" xfId="23964" xr:uid="{00000000-0005-0000-0000-0000955D0000}"/>
    <cellStyle name="Normal 2 2 4 33 4 8" xfId="23965" xr:uid="{00000000-0005-0000-0000-0000965D0000}"/>
    <cellStyle name="Normal 2 2 4 33 4 9" xfId="23966" xr:uid="{00000000-0005-0000-0000-0000975D0000}"/>
    <cellStyle name="Normal 2 2 4 33 5" xfId="23967" xr:uid="{00000000-0005-0000-0000-0000985D0000}"/>
    <cellStyle name="Normal 2 2 4 33 5 10" xfId="23968" xr:uid="{00000000-0005-0000-0000-0000995D0000}"/>
    <cellStyle name="Normal 2 2 4 33 5 2" xfId="23969" xr:uid="{00000000-0005-0000-0000-00009A5D0000}"/>
    <cellStyle name="Normal 2 2 4 33 5 3" xfId="23970" xr:uid="{00000000-0005-0000-0000-00009B5D0000}"/>
    <cellStyle name="Normal 2 2 4 33 5 4" xfId="23971" xr:uid="{00000000-0005-0000-0000-00009C5D0000}"/>
    <cellStyle name="Normal 2 2 4 33 5 5" xfId="23972" xr:uid="{00000000-0005-0000-0000-00009D5D0000}"/>
    <cellStyle name="Normal 2 2 4 33 5 6" xfId="23973" xr:uid="{00000000-0005-0000-0000-00009E5D0000}"/>
    <cellStyle name="Normal 2 2 4 33 5 7" xfId="23974" xr:uid="{00000000-0005-0000-0000-00009F5D0000}"/>
    <cellStyle name="Normal 2 2 4 33 5 8" xfId="23975" xr:uid="{00000000-0005-0000-0000-0000A05D0000}"/>
    <cellStyle name="Normal 2 2 4 33 5 9" xfId="23976" xr:uid="{00000000-0005-0000-0000-0000A15D0000}"/>
    <cellStyle name="Normal 2 2 4 33 6" xfId="23977" xr:uid="{00000000-0005-0000-0000-0000A25D0000}"/>
    <cellStyle name="Normal 2 2 4 33 7" xfId="23978" xr:uid="{00000000-0005-0000-0000-0000A35D0000}"/>
    <cellStyle name="Normal 2 2 4 33 8" xfId="23979" xr:uid="{00000000-0005-0000-0000-0000A45D0000}"/>
    <cellStyle name="Normal 2 2 4 33 9" xfId="23980" xr:uid="{00000000-0005-0000-0000-0000A55D0000}"/>
    <cellStyle name="Normal 2 2 4 34" xfId="23981" xr:uid="{00000000-0005-0000-0000-0000A65D0000}"/>
    <cellStyle name="Normal 2 2 4 35" xfId="23982" xr:uid="{00000000-0005-0000-0000-0000A75D0000}"/>
    <cellStyle name="Normal 2 2 4 36" xfId="23983" xr:uid="{00000000-0005-0000-0000-0000A85D0000}"/>
    <cellStyle name="Normal 2 2 4 4" xfId="23984" xr:uid="{00000000-0005-0000-0000-0000A95D0000}"/>
    <cellStyle name="Normal 2 2 4 4 10" xfId="23985" xr:uid="{00000000-0005-0000-0000-0000AA5D0000}"/>
    <cellStyle name="Normal 2 2 4 4 11" xfId="23986" xr:uid="{00000000-0005-0000-0000-0000AB5D0000}"/>
    <cellStyle name="Normal 2 2 4 4 12" xfId="23987" xr:uid="{00000000-0005-0000-0000-0000AC5D0000}"/>
    <cellStyle name="Normal 2 2 4 4 13" xfId="23988" xr:uid="{00000000-0005-0000-0000-0000AD5D0000}"/>
    <cellStyle name="Normal 2 2 4 4 14" xfId="23989" xr:uid="{00000000-0005-0000-0000-0000AE5D0000}"/>
    <cellStyle name="Normal 2 2 4 4 2" xfId="23990" xr:uid="{00000000-0005-0000-0000-0000AF5D0000}"/>
    <cellStyle name="Normal 2 2 4 4 2 10" xfId="23991" xr:uid="{00000000-0005-0000-0000-0000B05D0000}"/>
    <cellStyle name="Normal 2 2 4 4 2 2" xfId="23992" xr:uid="{00000000-0005-0000-0000-0000B15D0000}"/>
    <cellStyle name="Normal 2 2 4 4 2 3" xfId="23993" xr:uid="{00000000-0005-0000-0000-0000B25D0000}"/>
    <cellStyle name="Normal 2 2 4 4 2 4" xfId="23994" xr:uid="{00000000-0005-0000-0000-0000B35D0000}"/>
    <cellStyle name="Normal 2 2 4 4 2 5" xfId="23995" xr:uid="{00000000-0005-0000-0000-0000B45D0000}"/>
    <cellStyle name="Normal 2 2 4 4 2 6" xfId="23996" xr:uid="{00000000-0005-0000-0000-0000B55D0000}"/>
    <cellStyle name="Normal 2 2 4 4 2 7" xfId="23997" xr:uid="{00000000-0005-0000-0000-0000B65D0000}"/>
    <cellStyle name="Normal 2 2 4 4 2 8" xfId="23998" xr:uid="{00000000-0005-0000-0000-0000B75D0000}"/>
    <cellStyle name="Normal 2 2 4 4 2 9" xfId="23999" xr:uid="{00000000-0005-0000-0000-0000B85D0000}"/>
    <cellStyle name="Normal 2 2 4 4 3" xfId="24000" xr:uid="{00000000-0005-0000-0000-0000B95D0000}"/>
    <cellStyle name="Normal 2 2 4 4 3 10" xfId="24001" xr:uid="{00000000-0005-0000-0000-0000BA5D0000}"/>
    <cellStyle name="Normal 2 2 4 4 3 2" xfId="24002" xr:uid="{00000000-0005-0000-0000-0000BB5D0000}"/>
    <cellStyle name="Normal 2 2 4 4 3 3" xfId="24003" xr:uid="{00000000-0005-0000-0000-0000BC5D0000}"/>
    <cellStyle name="Normal 2 2 4 4 3 4" xfId="24004" xr:uid="{00000000-0005-0000-0000-0000BD5D0000}"/>
    <cellStyle name="Normal 2 2 4 4 3 5" xfId="24005" xr:uid="{00000000-0005-0000-0000-0000BE5D0000}"/>
    <cellStyle name="Normal 2 2 4 4 3 6" xfId="24006" xr:uid="{00000000-0005-0000-0000-0000BF5D0000}"/>
    <cellStyle name="Normal 2 2 4 4 3 7" xfId="24007" xr:uid="{00000000-0005-0000-0000-0000C05D0000}"/>
    <cellStyle name="Normal 2 2 4 4 3 8" xfId="24008" xr:uid="{00000000-0005-0000-0000-0000C15D0000}"/>
    <cellStyle name="Normal 2 2 4 4 3 9" xfId="24009" xr:uid="{00000000-0005-0000-0000-0000C25D0000}"/>
    <cellStyle name="Normal 2 2 4 4 4" xfId="24010" xr:uid="{00000000-0005-0000-0000-0000C35D0000}"/>
    <cellStyle name="Normal 2 2 4 4 4 10" xfId="24011" xr:uid="{00000000-0005-0000-0000-0000C45D0000}"/>
    <cellStyle name="Normal 2 2 4 4 4 2" xfId="24012" xr:uid="{00000000-0005-0000-0000-0000C55D0000}"/>
    <cellStyle name="Normal 2 2 4 4 4 3" xfId="24013" xr:uid="{00000000-0005-0000-0000-0000C65D0000}"/>
    <cellStyle name="Normal 2 2 4 4 4 4" xfId="24014" xr:uid="{00000000-0005-0000-0000-0000C75D0000}"/>
    <cellStyle name="Normal 2 2 4 4 4 5" xfId="24015" xr:uid="{00000000-0005-0000-0000-0000C85D0000}"/>
    <cellStyle name="Normal 2 2 4 4 4 6" xfId="24016" xr:uid="{00000000-0005-0000-0000-0000C95D0000}"/>
    <cellStyle name="Normal 2 2 4 4 4 7" xfId="24017" xr:uid="{00000000-0005-0000-0000-0000CA5D0000}"/>
    <cellStyle name="Normal 2 2 4 4 4 8" xfId="24018" xr:uid="{00000000-0005-0000-0000-0000CB5D0000}"/>
    <cellStyle name="Normal 2 2 4 4 4 9" xfId="24019" xr:uid="{00000000-0005-0000-0000-0000CC5D0000}"/>
    <cellStyle name="Normal 2 2 4 4 5" xfId="24020" xr:uid="{00000000-0005-0000-0000-0000CD5D0000}"/>
    <cellStyle name="Normal 2 2 4 4 5 10" xfId="24021" xr:uid="{00000000-0005-0000-0000-0000CE5D0000}"/>
    <cellStyle name="Normal 2 2 4 4 5 2" xfId="24022" xr:uid="{00000000-0005-0000-0000-0000CF5D0000}"/>
    <cellStyle name="Normal 2 2 4 4 5 3" xfId="24023" xr:uid="{00000000-0005-0000-0000-0000D05D0000}"/>
    <cellStyle name="Normal 2 2 4 4 5 4" xfId="24024" xr:uid="{00000000-0005-0000-0000-0000D15D0000}"/>
    <cellStyle name="Normal 2 2 4 4 5 5" xfId="24025" xr:uid="{00000000-0005-0000-0000-0000D25D0000}"/>
    <cellStyle name="Normal 2 2 4 4 5 6" xfId="24026" xr:uid="{00000000-0005-0000-0000-0000D35D0000}"/>
    <cellStyle name="Normal 2 2 4 4 5 7" xfId="24027" xr:uid="{00000000-0005-0000-0000-0000D45D0000}"/>
    <cellStyle name="Normal 2 2 4 4 5 8" xfId="24028" xr:uid="{00000000-0005-0000-0000-0000D55D0000}"/>
    <cellStyle name="Normal 2 2 4 4 5 9" xfId="24029" xr:uid="{00000000-0005-0000-0000-0000D65D0000}"/>
    <cellStyle name="Normal 2 2 4 4 6" xfId="24030" xr:uid="{00000000-0005-0000-0000-0000D75D0000}"/>
    <cellStyle name="Normal 2 2 4 4 7" xfId="24031" xr:uid="{00000000-0005-0000-0000-0000D85D0000}"/>
    <cellStyle name="Normal 2 2 4 4 8" xfId="24032" xr:uid="{00000000-0005-0000-0000-0000D95D0000}"/>
    <cellStyle name="Normal 2 2 4 4 9" xfId="24033" xr:uid="{00000000-0005-0000-0000-0000DA5D0000}"/>
    <cellStyle name="Normal 2 2 4 5" xfId="24034" xr:uid="{00000000-0005-0000-0000-0000DB5D0000}"/>
    <cellStyle name="Normal 2 2 4 5 10" xfId="24035" xr:uid="{00000000-0005-0000-0000-0000DC5D0000}"/>
    <cellStyle name="Normal 2 2 4 5 11" xfId="24036" xr:uid="{00000000-0005-0000-0000-0000DD5D0000}"/>
    <cellStyle name="Normal 2 2 4 5 12" xfId="24037" xr:uid="{00000000-0005-0000-0000-0000DE5D0000}"/>
    <cellStyle name="Normal 2 2 4 5 13" xfId="24038" xr:uid="{00000000-0005-0000-0000-0000DF5D0000}"/>
    <cellStyle name="Normal 2 2 4 5 14" xfId="24039" xr:uid="{00000000-0005-0000-0000-0000E05D0000}"/>
    <cellStyle name="Normal 2 2 4 5 2" xfId="24040" xr:uid="{00000000-0005-0000-0000-0000E15D0000}"/>
    <cellStyle name="Normal 2 2 4 5 2 10" xfId="24041" xr:uid="{00000000-0005-0000-0000-0000E25D0000}"/>
    <cellStyle name="Normal 2 2 4 5 2 2" xfId="24042" xr:uid="{00000000-0005-0000-0000-0000E35D0000}"/>
    <cellStyle name="Normal 2 2 4 5 2 3" xfId="24043" xr:uid="{00000000-0005-0000-0000-0000E45D0000}"/>
    <cellStyle name="Normal 2 2 4 5 2 4" xfId="24044" xr:uid="{00000000-0005-0000-0000-0000E55D0000}"/>
    <cellStyle name="Normal 2 2 4 5 2 5" xfId="24045" xr:uid="{00000000-0005-0000-0000-0000E65D0000}"/>
    <cellStyle name="Normal 2 2 4 5 2 6" xfId="24046" xr:uid="{00000000-0005-0000-0000-0000E75D0000}"/>
    <cellStyle name="Normal 2 2 4 5 2 7" xfId="24047" xr:uid="{00000000-0005-0000-0000-0000E85D0000}"/>
    <cellStyle name="Normal 2 2 4 5 2 8" xfId="24048" xr:uid="{00000000-0005-0000-0000-0000E95D0000}"/>
    <cellStyle name="Normal 2 2 4 5 2 9" xfId="24049" xr:uid="{00000000-0005-0000-0000-0000EA5D0000}"/>
    <cellStyle name="Normal 2 2 4 5 3" xfId="24050" xr:uid="{00000000-0005-0000-0000-0000EB5D0000}"/>
    <cellStyle name="Normal 2 2 4 5 3 10" xfId="24051" xr:uid="{00000000-0005-0000-0000-0000EC5D0000}"/>
    <cellStyle name="Normal 2 2 4 5 3 2" xfId="24052" xr:uid="{00000000-0005-0000-0000-0000ED5D0000}"/>
    <cellStyle name="Normal 2 2 4 5 3 3" xfId="24053" xr:uid="{00000000-0005-0000-0000-0000EE5D0000}"/>
    <cellStyle name="Normal 2 2 4 5 3 4" xfId="24054" xr:uid="{00000000-0005-0000-0000-0000EF5D0000}"/>
    <cellStyle name="Normal 2 2 4 5 3 5" xfId="24055" xr:uid="{00000000-0005-0000-0000-0000F05D0000}"/>
    <cellStyle name="Normal 2 2 4 5 3 6" xfId="24056" xr:uid="{00000000-0005-0000-0000-0000F15D0000}"/>
    <cellStyle name="Normal 2 2 4 5 3 7" xfId="24057" xr:uid="{00000000-0005-0000-0000-0000F25D0000}"/>
    <cellStyle name="Normal 2 2 4 5 3 8" xfId="24058" xr:uid="{00000000-0005-0000-0000-0000F35D0000}"/>
    <cellStyle name="Normal 2 2 4 5 3 9" xfId="24059" xr:uid="{00000000-0005-0000-0000-0000F45D0000}"/>
    <cellStyle name="Normal 2 2 4 5 4" xfId="24060" xr:uid="{00000000-0005-0000-0000-0000F55D0000}"/>
    <cellStyle name="Normal 2 2 4 5 4 10" xfId="24061" xr:uid="{00000000-0005-0000-0000-0000F65D0000}"/>
    <cellStyle name="Normal 2 2 4 5 4 2" xfId="24062" xr:uid="{00000000-0005-0000-0000-0000F75D0000}"/>
    <cellStyle name="Normal 2 2 4 5 4 3" xfId="24063" xr:uid="{00000000-0005-0000-0000-0000F85D0000}"/>
    <cellStyle name="Normal 2 2 4 5 4 4" xfId="24064" xr:uid="{00000000-0005-0000-0000-0000F95D0000}"/>
    <cellStyle name="Normal 2 2 4 5 4 5" xfId="24065" xr:uid="{00000000-0005-0000-0000-0000FA5D0000}"/>
    <cellStyle name="Normal 2 2 4 5 4 6" xfId="24066" xr:uid="{00000000-0005-0000-0000-0000FB5D0000}"/>
    <cellStyle name="Normal 2 2 4 5 4 7" xfId="24067" xr:uid="{00000000-0005-0000-0000-0000FC5D0000}"/>
    <cellStyle name="Normal 2 2 4 5 4 8" xfId="24068" xr:uid="{00000000-0005-0000-0000-0000FD5D0000}"/>
    <cellStyle name="Normal 2 2 4 5 4 9" xfId="24069" xr:uid="{00000000-0005-0000-0000-0000FE5D0000}"/>
    <cellStyle name="Normal 2 2 4 5 5" xfId="24070" xr:uid="{00000000-0005-0000-0000-0000FF5D0000}"/>
    <cellStyle name="Normal 2 2 4 5 5 10" xfId="24071" xr:uid="{00000000-0005-0000-0000-0000005E0000}"/>
    <cellStyle name="Normal 2 2 4 5 5 2" xfId="24072" xr:uid="{00000000-0005-0000-0000-0000015E0000}"/>
    <cellStyle name="Normal 2 2 4 5 5 3" xfId="24073" xr:uid="{00000000-0005-0000-0000-0000025E0000}"/>
    <cellStyle name="Normal 2 2 4 5 5 4" xfId="24074" xr:uid="{00000000-0005-0000-0000-0000035E0000}"/>
    <cellStyle name="Normal 2 2 4 5 5 5" xfId="24075" xr:uid="{00000000-0005-0000-0000-0000045E0000}"/>
    <cellStyle name="Normal 2 2 4 5 5 6" xfId="24076" xr:uid="{00000000-0005-0000-0000-0000055E0000}"/>
    <cellStyle name="Normal 2 2 4 5 5 7" xfId="24077" xr:uid="{00000000-0005-0000-0000-0000065E0000}"/>
    <cellStyle name="Normal 2 2 4 5 5 8" xfId="24078" xr:uid="{00000000-0005-0000-0000-0000075E0000}"/>
    <cellStyle name="Normal 2 2 4 5 5 9" xfId="24079" xr:uid="{00000000-0005-0000-0000-0000085E0000}"/>
    <cellStyle name="Normal 2 2 4 5 6" xfId="24080" xr:uid="{00000000-0005-0000-0000-0000095E0000}"/>
    <cellStyle name="Normal 2 2 4 5 7" xfId="24081" xr:uid="{00000000-0005-0000-0000-00000A5E0000}"/>
    <cellStyle name="Normal 2 2 4 5 8" xfId="24082" xr:uid="{00000000-0005-0000-0000-00000B5E0000}"/>
    <cellStyle name="Normal 2 2 4 5 9" xfId="24083" xr:uid="{00000000-0005-0000-0000-00000C5E0000}"/>
    <cellStyle name="Normal 2 2 4 6" xfId="24084" xr:uid="{00000000-0005-0000-0000-00000D5E0000}"/>
    <cellStyle name="Normal 2 2 4 6 10" xfId="24085" xr:uid="{00000000-0005-0000-0000-00000E5E0000}"/>
    <cellStyle name="Normal 2 2 4 6 11" xfId="24086" xr:uid="{00000000-0005-0000-0000-00000F5E0000}"/>
    <cellStyle name="Normal 2 2 4 6 12" xfId="24087" xr:uid="{00000000-0005-0000-0000-0000105E0000}"/>
    <cellStyle name="Normal 2 2 4 6 13" xfId="24088" xr:uid="{00000000-0005-0000-0000-0000115E0000}"/>
    <cellStyle name="Normal 2 2 4 6 14" xfId="24089" xr:uid="{00000000-0005-0000-0000-0000125E0000}"/>
    <cellStyle name="Normal 2 2 4 6 2" xfId="24090" xr:uid="{00000000-0005-0000-0000-0000135E0000}"/>
    <cellStyle name="Normal 2 2 4 6 2 10" xfId="24091" xr:uid="{00000000-0005-0000-0000-0000145E0000}"/>
    <cellStyle name="Normal 2 2 4 6 2 2" xfId="24092" xr:uid="{00000000-0005-0000-0000-0000155E0000}"/>
    <cellStyle name="Normal 2 2 4 6 2 3" xfId="24093" xr:uid="{00000000-0005-0000-0000-0000165E0000}"/>
    <cellStyle name="Normal 2 2 4 6 2 4" xfId="24094" xr:uid="{00000000-0005-0000-0000-0000175E0000}"/>
    <cellStyle name="Normal 2 2 4 6 2 5" xfId="24095" xr:uid="{00000000-0005-0000-0000-0000185E0000}"/>
    <cellStyle name="Normal 2 2 4 6 2 6" xfId="24096" xr:uid="{00000000-0005-0000-0000-0000195E0000}"/>
    <cellStyle name="Normal 2 2 4 6 2 7" xfId="24097" xr:uid="{00000000-0005-0000-0000-00001A5E0000}"/>
    <cellStyle name="Normal 2 2 4 6 2 8" xfId="24098" xr:uid="{00000000-0005-0000-0000-00001B5E0000}"/>
    <cellStyle name="Normal 2 2 4 6 2 9" xfId="24099" xr:uid="{00000000-0005-0000-0000-00001C5E0000}"/>
    <cellStyle name="Normal 2 2 4 6 3" xfId="24100" xr:uid="{00000000-0005-0000-0000-00001D5E0000}"/>
    <cellStyle name="Normal 2 2 4 6 3 10" xfId="24101" xr:uid="{00000000-0005-0000-0000-00001E5E0000}"/>
    <cellStyle name="Normal 2 2 4 6 3 2" xfId="24102" xr:uid="{00000000-0005-0000-0000-00001F5E0000}"/>
    <cellStyle name="Normal 2 2 4 6 3 3" xfId="24103" xr:uid="{00000000-0005-0000-0000-0000205E0000}"/>
    <cellStyle name="Normal 2 2 4 6 3 4" xfId="24104" xr:uid="{00000000-0005-0000-0000-0000215E0000}"/>
    <cellStyle name="Normal 2 2 4 6 3 5" xfId="24105" xr:uid="{00000000-0005-0000-0000-0000225E0000}"/>
    <cellStyle name="Normal 2 2 4 6 3 6" xfId="24106" xr:uid="{00000000-0005-0000-0000-0000235E0000}"/>
    <cellStyle name="Normal 2 2 4 6 3 7" xfId="24107" xr:uid="{00000000-0005-0000-0000-0000245E0000}"/>
    <cellStyle name="Normal 2 2 4 6 3 8" xfId="24108" xr:uid="{00000000-0005-0000-0000-0000255E0000}"/>
    <cellStyle name="Normal 2 2 4 6 3 9" xfId="24109" xr:uid="{00000000-0005-0000-0000-0000265E0000}"/>
    <cellStyle name="Normal 2 2 4 6 4" xfId="24110" xr:uid="{00000000-0005-0000-0000-0000275E0000}"/>
    <cellStyle name="Normal 2 2 4 6 4 10" xfId="24111" xr:uid="{00000000-0005-0000-0000-0000285E0000}"/>
    <cellStyle name="Normal 2 2 4 6 4 2" xfId="24112" xr:uid="{00000000-0005-0000-0000-0000295E0000}"/>
    <cellStyle name="Normal 2 2 4 6 4 3" xfId="24113" xr:uid="{00000000-0005-0000-0000-00002A5E0000}"/>
    <cellStyle name="Normal 2 2 4 6 4 4" xfId="24114" xr:uid="{00000000-0005-0000-0000-00002B5E0000}"/>
    <cellStyle name="Normal 2 2 4 6 4 5" xfId="24115" xr:uid="{00000000-0005-0000-0000-00002C5E0000}"/>
    <cellStyle name="Normal 2 2 4 6 4 6" xfId="24116" xr:uid="{00000000-0005-0000-0000-00002D5E0000}"/>
    <cellStyle name="Normal 2 2 4 6 4 7" xfId="24117" xr:uid="{00000000-0005-0000-0000-00002E5E0000}"/>
    <cellStyle name="Normal 2 2 4 6 4 8" xfId="24118" xr:uid="{00000000-0005-0000-0000-00002F5E0000}"/>
    <cellStyle name="Normal 2 2 4 6 4 9" xfId="24119" xr:uid="{00000000-0005-0000-0000-0000305E0000}"/>
    <cellStyle name="Normal 2 2 4 6 5" xfId="24120" xr:uid="{00000000-0005-0000-0000-0000315E0000}"/>
    <cellStyle name="Normal 2 2 4 6 5 10" xfId="24121" xr:uid="{00000000-0005-0000-0000-0000325E0000}"/>
    <cellStyle name="Normal 2 2 4 6 5 2" xfId="24122" xr:uid="{00000000-0005-0000-0000-0000335E0000}"/>
    <cellStyle name="Normal 2 2 4 6 5 3" xfId="24123" xr:uid="{00000000-0005-0000-0000-0000345E0000}"/>
    <cellStyle name="Normal 2 2 4 6 5 4" xfId="24124" xr:uid="{00000000-0005-0000-0000-0000355E0000}"/>
    <cellStyle name="Normal 2 2 4 6 5 5" xfId="24125" xr:uid="{00000000-0005-0000-0000-0000365E0000}"/>
    <cellStyle name="Normal 2 2 4 6 5 6" xfId="24126" xr:uid="{00000000-0005-0000-0000-0000375E0000}"/>
    <cellStyle name="Normal 2 2 4 6 5 7" xfId="24127" xr:uid="{00000000-0005-0000-0000-0000385E0000}"/>
    <cellStyle name="Normal 2 2 4 6 5 8" xfId="24128" xr:uid="{00000000-0005-0000-0000-0000395E0000}"/>
    <cellStyle name="Normal 2 2 4 6 5 9" xfId="24129" xr:uid="{00000000-0005-0000-0000-00003A5E0000}"/>
    <cellStyle name="Normal 2 2 4 6 6" xfId="24130" xr:uid="{00000000-0005-0000-0000-00003B5E0000}"/>
    <cellStyle name="Normal 2 2 4 6 7" xfId="24131" xr:uid="{00000000-0005-0000-0000-00003C5E0000}"/>
    <cellStyle name="Normal 2 2 4 6 8" xfId="24132" xr:uid="{00000000-0005-0000-0000-00003D5E0000}"/>
    <cellStyle name="Normal 2 2 4 6 9" xfId="24133" xr:uid="{00000000-0005-0000-0000-00003E5E0000}"/>
    <cellStyle name="Normal 2 2 4 7" xfId="24134" xr:uid="{00000000-0005-0000-0000-00003F5E0000}"/>
    <cellStyle name="Normal 2 2 4 7 10" xfId="24135" xr:uid="{00000000-0005-0000-0000-0000405E0000}"/>
    <cellStyle name="Normal 2 2 4 7 11" xfId="24136" xr:uid="{00000000-0005-0000-0000-0000415E0000}"/>
    <cellStyle name="Normal 2 2 4 7 12" xfId="24137" xr:uid="{00000000-0005-0000-0000-0000425E0000}"/>
    <cellStyle name="Normal 2 2 4 7 13" xfId="24138" xr:uid="{00000000-0005-0000-0000-0000435E0000}"/>
    <cellStyle name="Normal 2 2 4 7 14" xfId="24139" xr:uid="{00000000-0005-0000-0000-0000445E0000}"/>
    <cellStyle name="Normal 2 2 4 7 2" xfId="24140" xr:uid="{00000000-0005-0000-0000-0000455E0000}"/>
    <cellStyle name="Normal 2 2 4 7 2 10" xfId="24141" xr:uid="{00000000-0005-0000-0000-0000465E0000}"/>
    <cellStyle name="Normal 2 2 4 7 2 2" xfId="24142" xr:uid="{00000000-0005-0000-0000-0000475E0000}"/>
    <cellStyle name="Normal 2 2 4 7 2 3" xfId="24143" xr:uid="{00000000-0005-0000-0000-0000485E0000}"/>
    <cellStyle name="Normal 2 2 4 7 2 4" xfId="24144" xr:uid="{00000000-0005-0000-0000-0000495E0000}"/>
    <cellStyle name="Normal 2 2 4 7 2 5" xfId="24145" xr:uid="{00000000-0005-0000-0000-00004A5E0000}"/>
    <cellStyle name="Normal 2 2 4 7 2 6" xfId="24146" xr:uid="{00000000-0005-0000-0000-00004B5E0000}"/>
    <cellStyle name="Normal 2 2 4 7 2 7" xfId="24147" xr:uid="{00000000-0005-0000-0000-00004C5E0000}"/>
    <cellStyle name="Normal 2 2 4 7 2 8" xfId="24148" xr:uid="{00000000-0005-0000-0000-00004D5E0000}"/>
    <cellStyle name="Normal 2 2 4 7 2 9" xfId="24149" xr:uid="{00000000-0005-0000-0000-00004E5E0000}"/>
    <cellStyle name="Normal 2 2 4 7 3" xfId="24150" xr:uid="{00000000-0005-0000-0000-00004F5E0000}"/>
    <cellStyle name="Normal 2 2 4 7 3 10" xfId="24151" xr:uid="{00000000-0005-0000-0000-0000505E0000}"/>
    <cellStyle name="Normal 2 2 4 7 3 2" xfId="24152" xr:uid="{00000000-0005-0000-0000-0000515E0000}"/>
    <cellStyle name="Normal 2 2 4 7 3 3" xfId="24153" xr:uid="{00000000-0005-0000-0000-0000525E0000}"/>
    <cellStyle name="Normal 2 2 4 7 3 4" xfId="24154" xr:uid="{00000000-0005-0000-0000-0000535E0000}"/>
    <cellStyle name="Normal 2 2 4 7 3 5" xfId="24155" xr:uid="{00000000-0005-0000-0000-0000545E0000}"/>
    <cellStyle name="Normal 2 2 4 7 3 6" xfId="24156" xr:uid="{00000000-0005-0000-0000-0000555E0000}"/>
    <cellStyle name="Normal 2 2 4 7 3 7" xfId="24157" xr:uid="{00000000-0005-0000-0000-0000565E0000}"/>
    <cellStyle name="Normal 2 2 4 7 3 8" xfId="24158" xr:uid="{00000000-0005-0000-0000-0000575E0000}"/>
    <cellStyle name="Normal 2 2 4 7 3 9" xfId="24159" xr:uid="{00000000-0005-0000-0000-0000585E0000}"/>
    <cellStyle name="Normal 2 2 4 7 4" xfId="24160" xr:uid="{00000000-0005-0000-0000-0000595E0000}"/>
    <cellStyle name="Normal 2 2 4 7 4 10" xfId="24161" xr:uid="{00000000-0005-0000-0000-00005A5E0000}"/>
    <cellStyle name="Normal 2 2 4 7 4 2" xfId="24162" xr:uid="{00000000-0005-0000-0000-00005B5E0000}"/>
    <cellStyle name="Normal 2 2 4 7 4 3" xfId="24163" xr:uid="{00000000-0005-0000-0000-00005C5E0000}"/>
    <cellStyle name="Normal 2 2 4 7 4 4" xfId="24164" xr:uid="{00000000-0005-0000-0000-00005D5E0000}"/>
    <cellStyle name="Normal 2 2 4 7 4 5" xfId="24165" xr:uid="{00000000-0005-0000-0000-00005E5E0000}"/>
    <cellStyle name="Normal 2 2 4 7 4 6" xfId="24166" xr:uid="{00000000-0005-0000-0000-00005F5E0000}"/>
    <cellStyle name="Normal 2 2 4 7 4 7" xfId="24167" xr:uid="{00000000-0005-0000-0000-0000605E0000}"/>
    <cellStyle name="Normal 2 2 4 7 4 8" xfId="24168" xr:uid="{00000000-0005-0000-0000-0000615E0000}"/>
    <cellStyle name="Normal 2 2 4 7 4 9" xfId="24169" xr:uid="{00000000-0005-0000-0000-0000625E0000}"/>
    <cellStyle name="Normal 2 2 4 7 5" xfId="24170" xr:uid="{00000000-0005-0000-0000-0000635E0000}"/>
    <cellStyle name="Normal 2 2 4 7 5 10" xfId="24171" xr:uid="{00000000-0005-0000-0000-0000645E0000}"/>
    <cellStyle name="Normal 2 2 4 7 5 2" xfId="24172" xr:uid="{00000000-0005-0000-0000-0000655E0000}"/>
    <cellStyle name="Normal 2 2 4 7 5 3" xfId="24173" xr:uid="{00000000-0005-0000-0000-0000665E0000}"/>
    <cellStyle name="Normal 2 2 4 7 5 4" xfId="24174" xr:uid="{00000000-0005-0000-0000-0000675E0000}"/>
    <cellStyle name="Normal 2 2 4 7 5 5" xfId="24175" xr:uid="{00000000-0005-0000-0000-0000685E0000}"/>
    <cellStyle name="Normal 2 2 4 7 5 6" xfId="24176" xr:uid="{00000000-0005-0000-0000-0000695E0000}"/>
    <cellStyle name="Normal 2 2 4 7 5 7" xfId="24177" xr:uid="{00000000-0005-0000-0000-00006A5E0000}"/>
    <cellStyle name="Normal 2 2 4 7 5 8" xfId="24178" xr:uid="{00000000-0005-0000-0000-00006B5E0000}"/>
    <cellStyle name="Normal 2 2 4 7 5 9" xfId="24179" xr:uid="{00000000-0005-0000-0000-00006C5E0000}"/>
    <cellStyle name="Normal 2 2 4 7 6" xfId="24180" xr:uid="{00000000-0005-0000-0000-00006D5E0000}"/>
    <cellStyle name="Normal 2 2 4 7 7" xfId="24181" xr:uid="{00000000-0005-0000-0000-00006E5E0000}"/>
    <cellStyle name="Normal 2 2 4 7 8" xfId="24182" xr:uid="{00000000-0005-0000-0000-00006F5E0000}"/>
    <cellStyle name="Normal 2 2 4 7 9" xfId="24183" xr:uid="{00000000-0005-0000-0000-0000705E0000}"/>
    <cellStyle name="Normal 2 2 4 8" xfId="24184" xr:uid="{00000000-0005-0000-0000-0000715E0000}"/>
    <cellStyle name="Normal 2 2 4 8 10" xfId="24185" xr:uid="{00000000-0005-0000-0000-0000725E0000}"/>
    <cellStyle name="Normal 2 2 4 8 11" xfId="24186" xr:uid="{00000000-0005-0000-0000-0000735E0000}"/>
    <cellStyle name="Normal 2 2 4 8 12" xfId="24187" xr:uid="{00000000-0005-0000-0000-0000745E0000}"/>
    <cellStyle name="Normal 2 2 4 8 13" xfId="24188" xr:uid="{00000000-0005-0000-0000-0000755E0000}"/>
    <cellStyle name="Normal 2 2 4 8 14" xfId="24189" xr:uid="{00000000-0005-0000-0000-0000765E0000}"/>
    <cellStyle name="Normal 2 2 4 8 2" xfId="24190" xr:uid="{00000000-0005-0000-0000-0000775E0000}"/>
    <cellStyle name="Normal 2 2 4 8 2 10" xfId="24191" xr:uid="{00000000-0005-0000-0000-0000785E0000}"/>
    <cellStyle name="Normal 2 2 4 8 2 2" xfId="24192" xr:uid="{00000000-0005-0000-0000-0000795E0000}"/>
    <cellStyle name="Normal 2 2 4 8 2 3" xfId="24193" xr:uid="{00000000-0005-0000-0000-00007A5E0000}"/>
    <cellStyle name="Normal 2 2 4 8 2 4" xfId="24194" xr:uid="{00000000-0005-0000-0000-00007B5E0000}"/>
    <cellStyle name="Normal 2 2 4 8 2 5" xfId="24195" xr:uid="{00000000-0005-0000-0000-00007C5E0000}"/>
    <cellStyle name="Normal 2 2 4 8 2 6" xfId="24196" xr:uid="{00000000-0005-0000-0000-00007D5E0000}"/>
    <cellStyle name="Normal 2 2 4 8 2 7" xfId="24197" xr:uid="{00000000-0005-0000-0000-00007E5E0000}"/>
    <cellStyle name="Normal 2 2 4 8 2 8" xfId="24198" xr:uid="{00000000-0005-0000-0000-00007F5E0000}"/>
    <cellStyle name="Normal 2 2 4 8 2 9" xfId="24199" xr:uid="{00000000-0005-0000-0000-0000805E0000}"/>
    <cellStyle name="Normal 2 2 4 8 3" xfId="24200" xr:uid="{00000000-0005-0000-0000-0000815E0000}"/>
    <cellStyle name="Normal 2 2 4 8 3 10" xfId="24201" xr:uid="{00000000-0005-0000-0000-0000825E0000}"/>
    <cellStyle name="Normal 2 2 4 8 3 2" xfId="24202" xr:uid="{00000000-0005-0000-0000-0000835E0000}"/>
    <cellStyle name="Normal 2 2 4 8 3 3" xfId="24203" xr:uid="{00000000-0005-0000-0000-0000845E0000}"/>
    <cellStyle name="Normal 2 2 4 8 3 4" xfId="24204" xr:uid="{00000000-0005-0000-0000-0000855E0000}"/>
    <cellStyle name="Normal 2 2 4 8 3 5" xfId="24205" xr:uid="{00000000-0005-0000-0000-0000865E0000}"/>
    <cellStyle name="Normal 2 2 4 8 3 6" xfId="24206" xr:uid="{00000000-0005-0000-0000-0000875E0000}"/>
    <cellStyle name="Normal 2 2 4 8 3 7" xfId="24207" xr:uid="{00000000-0005-0000-0000-0000885E0000}"/>
    <cellStyle name="Normal 2 2 4 8 3 8" xfId="24208" xr:uid="{00000000-0005-0000-0000-0000895E0000}"/>
    <cellStyle name="Normal 2 2 4 8 3 9" xfId="24209" xr:uid="{00000000-0005-0000-0000-00008A5E0000}"/>
    <cellStyle name="Normal 2 2 4 8 4" xfId="24210" xr:uid="{00000000-0005-0000-0000-00008B5E0000}"/>
    <cellStyle name="Normal 2 2 4 8 4 10" xfId="24211" xr:uid="{00000000-0005-0000-0000-00008C5E0000}"/>
    <cellStyle name="Normal 2 2 4 8 4 2" xfId="24212" xr:uid="{00000000-0005-0000-0000-00008D5E0000}"/>
    <cellStyle name="Normal 2 2 4 8 4 3" xfId="24213" xr:uid="{00000000-0005-0000-0000-00008E5E0000}"/>
    <cellStyle name="Normal 2 2 4 8 4 4" xfId="24214" xr:uid="{00000000-0005-0000-0000-00008F5E0000}"/>
    <cellStyle name="Normal 2 2 4 8 4 5" xfId="24215" xr:uid="{00000000-0005-0000-0000-0000905E0000}"/>
    <cellStyle name="Normal 2 2 4 8 4 6" xfId="24216" xr:uid="{00000000-0005-0000-0000-0000915E0000}"/>
    <cellStyle name="Normal 2 2 4 8 4 7" xfId="24217" xr:uid="{00000000-0005-0000-0000-0000925E0000}"/>
    <cellStyle name="Normal 2 2 4 8 4 8" xfId="24218" xr:uid="{00000000-0005-0000-0000-0000935E0000}"/>
    <cellStyle name="Normal 2 2 4 8 4 9" xfId="24219" xr:uid="{00000000-0005-0000-0000-0000945E0000}"/>
    <cellStyle name="Normal 2 2 4 8 5" xfId="24220" xr:uid="{00000000-0005-0000-0000-0000955E0000}"/>
    <cellStyle name="Normal 2 2 4 8 5 10" xfId="24221" xr:uid="{00000000-0005-0000-0000-0000965E0000}"/>
    <cellStyle name="Normal 2 2 4 8 5 2" xfId="24222" xr:uid="{00000000-0005-0000-0000-0000975E0000}"/>
    <cellStyle name="Normal 2 2 4 8 5 3" xfId="24223" xr:uid="{00000000-0005-0000-0000-0000985E0000}"/>
    <cellStyle name="Normal 2 2 4 8 5 4" xfId="24224" xr:uid="{00000000-0005-0000-0000-0000995E0000}"/>
    <cellStyle name="Normal 2 2 4 8 5 5" xfId="24225" xr:uid="{00000000-0005-0000-0000-00009A5E0000}"/>
    <cellStyle name="Normal 2 2 4 8 5 6" xfId="24226" xr:uid="{00000000-0005-0000-0000-00009B5E0000}"/>
    <cellStyle name="Normal 2 2 4 8 5 7" xfId="24227" xr:uid="{00000000-0005-0000-0000-00009C5E0000}"/>
    <cellStyle name="Normal 2 2 4 8 5 8" xfId="24228" xr:uid="{00000000-0005-0000-0000-00009D5E0000}"/>
    <cellStyle name="Normal 2 2 4 8 5 9" xfId="24229" xr:uid="{00000000-0005-0000-0000-00009E5E0000}"/>
    <cellStyle name="Normal 2 2 4 8 6" xfId="24230" xr:uid="{00000000-0005-0000-0000-00009F5E0000}"/>
    <cellStyle name="Normal 2 2 4 8 7" xfId="24231" xr:uid="{00000000-0005-0000-0000-0000A05E0000}"/>
    <cellStyle name="Normal 2 2 4 8 8" xfId="24232" xr:uid="{00000000-0005-0000-0000-0000A15E0000}"/>
    <cellStyle name="Normal 2 2 4 8 9" xfId="24233" xr:uid="{00000000-0005-0000-0000-0000A25E0000}"/>
    <cellStyle name="Normal 2 2 4 9" xfId="24234" xr:uid="{00000000-0005-0000-0000-0000A35E0000}"/>
    <cellStyle name="Normal 2 2 4 9 10" xfId="24235" xr:uid="{00000000-0005-0000-0000-0000A45E0000}"/>
    <cellStyle name="Normal 2 2 4 9 11" xfId="24236" xr:uid="{00000000-0005-0000-0000-0000A55E0000}"/>
    <cellStyle name="Normal 2 2 4 9 12" xfId="24237" xr:uid="{00000000-0005-0000-0000-0000A65E0000}"/>
    <cellStyle name="Normal 2 2 4 9 13" xfId="24238" xr:uid="{00000000-0005-0000-0000-0000A75E0000}"/>
    <cellStyle name="Normal 2 2 4 9 14" xfId="24239" xr:uid="{00000000-0005-0000-0000-0000A85E0000}"/>
    <cellStyle name="Normal 2 2 4 9 2" xfId="24240" xr:uid="{00000000-0005-0000-0000-0000A95E0000}"/>
    <cellStyle name="Normal 2 2 4 9 2 10" xfId="24241" xr:uid="{00000000-0005-0000-0000-0000AA5E0000}"/>
    <cellStyle name="Normal 2 2 4 9 2 2" xfId="24242" xr:uid="{00000000-0005-0000-0000-0000AB5E0000}"/>
    <cellStyle name="Normal 2 2 4 9 2 3" xfId="24243" xr:uid="{00000000-0005-0000-0000-0000AC5E0000}"/>
    <cellStyle name="Normal 2 2 4 9 2 4" xfId="24244" xr:uid="{00000000-0005-0000-0000-0000AD5E0000}"/>
    <cellStyle name="Normal 2 2 4 9 2 5" xfId="24245" xr:uid="{00000000-0005-0000-0000-0000AE5E0000}"/>
    <cellStyle name="Normal 2 2 4 9 2 6" xfId="24246" xr:uid="{00000000-0005-0000-0000-0000AF5E0000}"/>
    <cellStyle name="Normal 2 2 4 9 2 7" xfId="24247" xr:uid="{00000000-0005-0000-0000-0000B05E0000}"/>
    <cellStyle name="Normal 2 2 4 9 2 8" xfId="24248" xr:uid="{00000000-0005-0000-0000-0000B15E0000}"/>
    <cellStyle name="Normal 2 2 4 9 2 9" xfId="24249" xr:uid="{00000000-0005-0000-0000-0000B25E0000}"/>
    <cellStyle name="Normal 2 2 4 9 3" xfId="24250" xr:uid="{00000000-0005-0000-0000-0000B35E0000}"/>
    <cellStyle name="Normal 2 2 4 9 3 10" xfId="24251" xr:uid="{00000000-0005-0000-0000-0000B45E0000}"/>
    <cellStyle name="Normal 2 2 4 9 3 2" xfId="24252" xr:uid="{00000000-0005-0000-0000-0000B55E0000}"/>
    <cellStyle name="Normal 2 2 4 9 3 3" xfId="24253" xr:uid="{00000000-0005-0000-0000-0000B65E0000}"/>
    <cellStyle name="Normal 2 2 4 9 3 4" xfId="24254" xr:uid="{00000000-0005-0000-0000-0000B75E0000}"/>
    <cellStyle name="Normal 2 2 4 9 3 5" xfId="24255" xr:uid="{00000000-0005-0000-0000-0000B85E0000}"/>
    <cellStyle name="Normal 2 2 4 9 3 6" xfId="24256" xr:uid="{00000000-0005-0000-0000-0000B95E0000}"/>
    <cellStyle name="Normal 2 2 4 9 3 7" xfId="24257" xr:uid="{00000000-0005-0000-0000-0000BA5E0000}"/>
    <cellStyle name="Normal 2 2 4 9 3 8" xfId="24258" xr:uid="{00000000-0005-0000-0000-0000BB5E0000}"/>
    <cellStyle name="Normal 2 2 4 9 3 9" xfId="24259" xr:uid="{00000000-0005-0000-0000-0000BC5E0000}"/>
    <cellStyle name="Normal 2 2 4 9 4" xfId="24260" xr:uid="{00000000-0005-0000-0000-0000BD5E0000}"/>
    <cellStyle name="Normal 2 2 4 9 4 10" xfId="24261" xr:uid="{00000000-0005-0000-0000-0000BE5E0000}"/>
    <cellStyle name="Normal 2 2 4 9 4 2" xfId="24262" xr:uid="{00000000-0005-0000-0000-0000BF5E0000}"/>
    <cellStyle name="Normal 2 2 4 9 4 3" xfId="24263" xr:uid="{00000000-0005-0000-0000-0000C05E0000}"/>
    <cellStyle name="Normal 2 2 4 9 4 4" xfId="24264" xr:uid="{00000000-0005-0000-0000-0000C15E0000}"/>
    <cellStyle name="Normal 2 2 4 9 4 5" xfId="24265" xr:uid="{00000000-0005-0000-0000-0000C25E0000}"/>
    <cellStyle name="Normal 2 2 4 9 4 6" xfId="24266" xr:uid="{00000000-0005-0000-0000-0000C35E0000}"/>
    <cellStyle name="Normal 2 2 4 9 4 7" xfId="24267" xr:uid="{00000000-0005-0000-0000-0000C45E0000}"/>
    <cellStyle name="Normal 2 2 4 9 4 8" xfId="24268" xr:uid="{00000000-0005-0000-0000-0000C55E0000}"/>
    <cellStyle name="Normal 2 2 4 9 4 9" xfId="24269" xr:uid="{00000000-0005-0000-0000-0000C65E0000}"/>
    <cellStyle name="Normal 2 2 4 9 5" xfId="24270" xr:uid="{00000000-0005-0000-0000-0000C75E0000}"/>
    <cellStyle name="Normal 2 2 4 9 5 10" xfId="24271" xr:uid="{00000000-0005-0000-0000-0000C85E0000}"/>
    <cellStyle name="Normal 2 2 4 9 5 2" xfId="24272" xr:uid="{00000000-0005-0000-0000-0000C95E0000}"/>
    <cellStyle name="Normal 2 2 4 9 5 3" xfId="24273" xr:uid="{00000000-0005-0000-0000-0000CA5E0000}"/>
    <cellStyle name="Normal 2 2 4 9 5 4" xfId="24274" xr:uid="{00000000-0005-0000-0000-0000CB5E0000}"/>
    <cellStyle name="Normal 2 2 4 9 5 5" xfId="24275" xr:uid="{00000000-0005-0000-0000-0000CC5E0000}"/>
    <cellStyle name="Normal 2 2 4 9 5 6" xfId="24276" xr:uid="{00000000-0005-0000-0000-0000CD5E0000}"/>
    <cellStyle name="Normal 2 2 4 9 5 7" xfId="24277" xr:uid="{00000000-0005-0000-0000-0000CE5E0000}"/>
    <cellStyle name="Normal 2 2 4 9 5 8" xfId="24278" xr:uid="{00000000-0005-0000-0000-0000CF5E0000}"/>
    <cellStyle name="Normal 2 2 4 9 5 9" xfId="24279" xr:uid="{00000000-0005-0000-0000-0000D05E0000}"/>
    <cellStyle name="Normal 2 2 4 9 6" xfId="24280" xr:uid="{00000000-0005-0000-0000-0000D15E0000}"/>
    <cellStyle name="Normal 2 2 4 9 7" xfId="24281" xr:uid="{00000000-0005-0000-0000-0000D25E0000}"/>
    <cellStyle name="Normal 2 2 4 9 8" xfId="24282" xr:uid="{00000000-0005-0000-0000-0000D35E0000}"/>
    <cellStyle name="Normal 2 2 4 9 9" xfId="24283" xr:uid="{00000000-0005-0000-0000-0000D45E0000}"/>
    <cellStyle name="Normal 2 2 40" xfId="24284" xr:uid="{00000000-0005-0000-0000-0000D55E0000}"/>
    <cellStyle name="Normal 2 2 41" xfId="24285" xr:uid="{00000000-0005-0000-0000-0000D65E0000}"/>
    <cellStyle name="Normal 2 2 41 10" xfId="24286" xr:uid="{00000000-0005-0000-0000-0000D75E0000}"/>
    <cellStyle name="Normal 2 2 41 2" xfId="24287" xr:uid="{00000000-0005-0000-0000-0000D85E0000}"/>
    <cellStyle name="Normal 2 2 41 3" xfId="24288" xr:uid="{00000000-0005-0000-0000-0000D95E0000}"/>
    <cellStyle name="Normal 2 2 41 4" xfId="24289" xr:uid="{00000000-0005-0000-0000-0000DA5E0000}"/>
    <cellStyle name="Normal 2 2 41 5" xfId="24290" xr:uid="{00000000-0005-0000-0000-0000DB5E0000}"/>
    <cellStyle name="Normal 2 2 41 6" xfId="24291" xr:uid="{00000000-0005-0000-0000-0000DC5E0000}"/>
    <cellStyle name="Normal 2 2 41 7" xfId="24292" xr:uid="{00000000-0005-0000-0000-0000DD5E0000}"/>
    <cellStyle name="Normal 2 2 41 8" xfId="24293" xr:uid="{00000000-0005-0000-0000-0000DE5E0000}"/>
    <cellStyle name="Normal 2 2 41 9" xfId="24294" xr:uid="{00000000-0005-0000-0000-0000DF5E0000}"/>
    <cellStyle name="Normal 2 2 42" xfId="24295" xr:uid="{00000000-0005-0000-0000-0000E05E0000}"/>
    <cellStyle name="Normal 2 2 43" xfId="24296" xr:uid="{00000000-0005-0000-0000-0000E15E0000}"/>
    <cellStyle name="Normal 2 2 44" xfId="24297" xr:uid="{00000000-0005-0000-0000-0000E25E0000}"/>
    <cellStyle name="Normal 2 2 45" xfId="24298" xr:uid="{00000000-0005-0000-0000-0000E35E0000}"/>
    <cellStyle name="Normal 2 2 46" xfId="24299" xr:uid="{00000000-0005-0000-0000-0000E45E0000}"/>
    <cellStyle name="Normal 2 2 47" xfId="24300" xr:uid="{00000000-0005-0000-0000-0000E55E0000}"/>
    <cellStyle name="Normal 2 2 48" xfId="24301" xr:uid="{00000000-0005-0000-0000-0000E65E0000}"/>
    <cellStyle name="Normal 2 2 49" xfId="24302" xr:uid="{00000000-0005-0000-0000-0000E75E0000}"/>
    <cellStyle name="Normal 2 2 5" xfId="24303" xr:uid="{00000000-0005-0000-0000-0000E85E0000}"/>
    <cellStyle name="Normal 2 2 5 10" xfId="24304" xr:uid="{00000000-0005-0000-0000-0000E95E0000}"/>
    <cellStyle name="Normal 2 2 5 10 10" xfId="24305" xr:uid="{00000000-0005-0000-0000-0000EA5E0000}"/>
    <cellStyle name="Normal 2 2 5 10 11" xfId="24306" xr:uid="{00000000-0005-0000-0000-0000EB5E0000}"/>
    <cellStyle name="Normal 2 2 5 10 12" xfId="24307" xr:uid="{00000000-0005-0000-0000-0000EC5E0000}"/>
    <cellStyle name="Normal 2 2 5 10 13" xfId="24308" xr:uid="{00000000-0005-0000-0000-0000ED5E0000}"/>
    <cellStyle name="Normal 2 2 5 10 14" xfId="24309" xr:uid="{00000000-0005-0000-0000-0000EE5E0000}"/>
    <cellStyle name="Normal 2 2 5 10 2" xfId="24310" xr:uid="{00000000-0005-0000-0000-0000EF5E0000}"/>
    <cellStyle name="Normal 2 2 5 10 2 10" xfId="24311" xr:uid="{00000000-0005-0000-0000-0000F05E0000}"/>
    <cellStyle name="Normal 2 2 5 10 2 2" xfId="24312" xr:uid="{00000000-0005-0000-0000-0000F15E0000}"/>
    <cellStyle name="Normal 2 2 5 10 2 3" xfId="24313" xr:uid="{00000000-0005-0000-0000-0000F25E0000}"/>
    <cellStyle name="Normal 2 2 5 10 2 4" xfId="24314" xr:uid="{00000000-0005-0000-0000-0000F35E0000}"/>
    <cellStyle name="Normal 2 2 5 10 2 5" xfId="24315" xr:uid="{00000000-0005-0000-0000-0000F45E0000}"/>
    <cellStyle name="Normal 2 2 5 10 2 6" xfId="24316" xr:uid="{00000000-0005-0000-0000-0000F55E0000}"/>
    <cellStyle name="Normal 2 2 5 10 2 7" xfId="24317" xr:uid="{00000000-0005-0000-0000-0000F65E0000}"/>
    <cellStyle name="Normal 2 2 5 10 2 8" xfId="24318" xr:uid="{00000000-0005-0000-0000-0000F75E0000}"/>
    <cellStyle name="Normal 2 2 5 10 2 9" xfId="24319" xr:uid="{00000000-0005-0000-0000-0000F85E0000}"/>
    <cellStyle name="Normal 2 2 5 10 3" xfId="24320" xr:uid="{00000000-0005-0000-0000-0000F95E0000}"/>
    <cellStyle name="Normal 2 2 5 10 3 10" xfId="24321" xr:uid="{00000000-0005-0000-0000-0000FA5E0000}"/>
    <cellStyle name="Normal 2 2 5 10 3 2" xfId="24322" xr:uid="{00000000-0005-0000-0000-0000FB5E0000}"/>
    <cellStyle name="Normal 2 2 5 10 3 3" xfId="24323" xr:uid="{00000000-0005-0000-0000-0000FC5E0000}"/>
    <cellStyle name="Normal 2 2 5 10 3 4" xfId="24324" xr:uid="{00000000-0005-0000-0000-0000FD5E0000}"/>
    <cellStyle name="Normal 2 2 5 10 3 5" xfId="24325" xr:uid="{00000000-0005-0000-0000-0000FE5E0000}"/>
    <cellStyle name="Normal 2 2 5 10 3 6" xfId="24326" xr:uid="{00000000-0005-0000-0000-0000FF5E0000}"/>
    <cellStyle name="Normal 2 2 5 10 3 7" xfId="24327" xr:uid="{00000000-0005-0000-0000-0000005F0000}"/>
    <cellStyle name="Normal 2 2 5 10 3 8" xfId="24328" xr:uid="{00000000-0005-0000-0000-0000015F0000}"/>
    <cellStyle name="Normal 2 2 5 10 3 9" xfId="24329" xr:uid="{00000000-0005-0000-0000-0000025F0000}"/>
    <cellStyle name="Normal 2 2 5 10 4" xfId="24330" xr:uid="{00000000-0005-0000-0000-0000035F0000}"/>
    <cellStyle name="Normal 2 2 5 10 4 10" xfId="24331" xr:uid="{00000000-0005-0000-0000-0000045F0000}"/>
    <cellStyle name="Normal 2 2 5 10 4 2" xfId="24332" xr:uid="{00000000-0005-0000-0000-0000055F0000}"/>
    <cellStyle name="Normal 2 2 5 10 4 3" xfId="24333" xr:uid="{00000000-0005-0000-0000-0000065F0000}"/>
    <cellStyle name="Normal 2 2 5 10 4 4" xfId="24334" xr:uid="{00000000-0005-0000-0000-0000075F0000}"/>
    <cellStyle name="Normal 2 2 5 10 4 5" xfId="24335" xr:uid="{00000000-0005-0000-0000-0000085F0000}"/>
    <cellStyle name="Normal 2 2 5 10 4 6" xfId="24336" xr:uid="{00000000-0005-0000-0000-0000095F0000}"/>
    <cellStyle name="Normal 2 2 5 10 4 7" xfId="24337" xr:uid="{00000000-0005-0000-0000-00000A5F0000}"/>
    <cellStyle name="Normal 2 2 5 10 4 8" xfId="24338" xr:uid="{00000000-0005-0000-0000-00000B5F0000}"/>
    <cellStyle name="Normal 2 2 5 10 4 9" xfId="24339" xr:uid="{00000000-0005-0000-0000-00000C5F0000}"/>
    <cellStyle name="Normal 2 2 5 10 5" xfId="24340" xr:uid="{00000000-0005-0000-0000-00000D5F0000}"/>
    <cellStyle name="Normal 2 2 5 10 5 10" xfId="24341" xr:uid="{00000000-0005-0000-0000-00000E5F0000}"/>
    <cellStyle name="Normal 2 2 5 10 5 2" xfId="24342" xr:uid="{00000000-0005-0000-0000-00000F5F0000}"/>
    <cellStyle name="Normal 2 2 5 10 5 3" xfId="24343" xr:uid="{00000000-0005-0000-0000-0000105F0000}"/>
    <cellStyle name="Normal 2 2 5 10 5 4" xfId="24344" xr:uid="{00000000-0005-0000-0000-0000115F0000}"/>
    <cellStyle name="Normal 2 2 5 10 5 5" xfId="24345" xr:uid="{00000000-0005-0000-0000-0000125F0000}"/>
    <cellStyle name="Normal 2 2 5 10 5 6" xfId="24346" xr:uid="{00000000-0005-0000-0000-0000135F0000}"/>
    <cellStyle name="Normal 2 2 5 10 5 7" xfId="24347" xr:uid="{00000000-0005-0000-0000-0000145F0000}"/>
    <cellStyle name="Normal 2 2 5 10 5 8" xfId="24348" xr:uid="{00000000-0005-0000-0000-0000155F0000}"/>
    <cellStyle name="Normal 2 2 5 10 5 9" xfId="24349" xr:uid="{00000000-0005-0000-0000-0000165F0000}"/>
    <cellStyle name="Normal 2 2 5 10 6" xfId="24350" xr:uid="{00000000-0005-0000-0000-0000175F0000}"/>
    <cellStyle name="Normal 2 2 5 10 7" xfId="24351" xr:uid="{00000000-0005-0000-0000-0000185F0000}"/>
    <cellStyle name="Normal 2 2 5 10 8" xfId="24352" xr:uid="{00000000-0005-0000-0000-0000195F0000}"/>
    <cellStyle name="Normal 2 2 5 10 9" xfId="24353" xr:uid="{00000000-0005-0000-0000-00001A5F0000}"/>
    <cellStyle name="Normal 2 2 5 11" xfId="24354" xr:uid="{00000000-0005-0000-0000-00001B5F0000}"/>
    <cellStyle name="Normal 2 2 5 11 10" xfId="24355" xr:uid="{00000000-0005-0000-0000-00001C5F0000}"/>
    <cellStyle name="Normal 2 2 5 11 11" xfId="24356" xr:uid="{00000000-0005-0000-0000-00001D5F0000}"/>
    <cellStyle name="Normal 2 2 5 11 12" xfId="24357" xr:uid="{00000000-0005-0000-0000-00001E5F0000}"/>
    <cellStyle name="Normal 2 2 5 11 13" xfId="24358" xr:uid="{00000000-0005-0000-0000-00001F5F0000}"/>
    <cellStyle name="Normal 2 2 5 11 14" xfId="24359" xr:uid="{00000000-0005-0000-0000-0000205F0000}"/>
    <cellStyle name="Normal 2 2 5 11 2" xfId="24360" xr:uid="{00000000-0005-0000-0000-0000215F0000}"/>
    <cellStyle name="Normal 2 2 5 11 2 10" xfId="24361" xr:uid="{00000000-0005-0000-0000-0000225F0000}"/>
    <cellStyle name="Normal 2 2 5 11 2 2" xfId="24362" xr:uid="{00000000-0005-0000-0000-0000235F0000}"/>
    <cellStyle name="Normal 2 2 5 11 2 3" xfId="24363" xr:uid="{00000000-0005-0000-0000-0000245F0000}"/>
    <cellStyle name="Normal 2 2 5 11 2 4" xfId="24364" xr:uid="{00000000-0005-0000-0000-0000255F0000}"/>
    <cellStyle name="Normal 2 2 5 11 2 5" xfId="24365" xr:uid="{00000000-0005-0000-0000-0000265F0000}"/>
    <cellStyle name="Normal 2 2 5 11 2 6" xfId="24366" xr:uid="{00000000-0005-0000-0000-0000275F0000}"/>
    <cellStyle name="Normal 2 2 5 11 2 7" xfId="24367" xr:uid="{00000000-0005-0000-0000-0000285F0000}"/>
    <cellStyle name="Normal 2 2 5 11 2 8" xfId="24368" xr:uid="{00000000-0005-0000-0000-0000295F0000}"/>
    <cellStyle name="Normal 2 2 5 11 2 9" xfId="24369" xr:uid="{00000000-0005-0000-0000-00002A5F0000}"/>
    <cellStyle name="Normal 2 2 5 11 3" xfId="24370" xr:uid="{00000000-0005-0000-0000-00002B5F0000}"/>
    <cellStyle name="Normal 2 2 5 11 3 10" xfId="24371" xr:uid="{00000000-0005-0000-0000-00002C5F0000}"/>
    <cellStyle name="Normal 2 2 5 11 3 2" xfId="24372" xr:uid="{00000000-0005-0000-0000-00002D5F0000}"/>
    <cellStyle name="Normal 2 2 5 11 3 3" xfId="24373" xr:uid="{00000000-0005-0000-0000-00002E5F0000}"/>
    <cellStyle name="Normal 2 2 5 11 3 4" xfId="24374" xr:uid="{00000000-0005-0000-0000-00002F5F0000}"/>
    <cellStyle name="Normal 2 2 5 11 3 5" xfId="24375" xr:uid="{00000000-0005-0000-0000-0000305F0000}"/>
    <cellStyle name="Normal 2 2 5 11 3 6" xfId="24376" xr:uid="{00000000-0005-0000-0000-0000315F0000}"/>
    <cellStyle name="Normal 2 2 5 11 3 7" xfId="24377" xr:uid="{00000000-0005-0000-0000-0000325F0000}"/>
    <cellStyle name="Normal 2 2 5 11 3 8" xfId="24378" xr:uid="{00000000-0005-0000-0000-0000335F0000}"/>
    <cellStyle name="Normal 2 2 5 11 3 9" xfId="24379" xr:uid="{00000000-0005-0000-0000-0000345F0000}"/>
    <cellStyle name="Normal 2 2 5 11 4" xfId="24380" xr:uid="{00000000-0005-0000-0000-0000355F0000}"/>
    <cellStyle name="Normal 2 2 5 11 4 10" xfId="24381" xr:uid="{00000000-0005-0000-0000-0000365F0000}"/>
    <cellStyle name="Normal 2 2 5 11 4 2" xfId="24382" xr:uid="{00000000-0005-0000-0000-0000375F0000}"/>
    <cellStyle name="Normal 2 2 5 11 4 3" xfId="24383" xr:uid="{00000000-0005-0000-0000-0000385F0000}"/>
    <cellStyle name="Normal 2 2 5 11 4 4" xfId="24384" xr:uid="{00000000-0005-0000-0000-0000395F0000}"/>
    <cellStyle name="Normal 2 2 5 11 4 5" xfId="24385" xr:uid="{00000000-0005-0000-0000-00003A5F0000}"/>
    <cellStyle name="Normal 2 2 5 11 4 6" xfId="24386" xr:uid="{00000000-0005-0000-0000-00003B5F0000}"/>
    <cellStyle name="Normal 2 2 5 11 4 7" xfId="24387" xr:uid="{00000000-0005-0000-0000-00003C5F0000}"/>
    <cellStyle name="Normal 2 2 5 11 4 8" xfId="24388" xr:uid="{00000000-0005-0000-0000-00003D5F0000}"/>
    <cellStyle name="Normal 2 2 5 11 4 9" xfId="24389" xr:uid="{00000000-0005-0000-0000-00003E5F0000}"/>
    <cellStyle name="Normal 2 2 5 11 5" xfId="24390" xr:uid="{00000000-0005-0000-0000-00003F5F0000}"/>
    <cellStyle name="Normal 2 2 5 11 5 10" xfId="24391" xr:uid="{00000000-0005-0000-0000-0000405F0000}"/>
    <cellStyle name="Normal 2 2 5 11 5 2" xfId="24392" xr:uid="{00000000-0005-0000-0000-0000415F0000}"/>
    <cellStyle name="Normal 2 2 5 11 5 3" xfId="24393" xr:uid="{00000000-0005-0000-0000-0000425F0000}"/>
    <cellStyle name="Normal 2 2 5 11 5 4" xfId="24394" xr:uid="{00000000-0005-0000-0000-0000435F0000}"/>
    <cellStyle name="Normal 2 2 5 11 5 5" xfId="24395" xr:uid="{00000000-0005-0000-0000-0000445F0000}"/>
    <cellStyle name="Normal 2 2 5 11 5 6" xfId="24396" xr:uid="{00000000-0005-0000-0000-0000455F0000}"/>
    <cellStyle name="Normal 2 2 5 11 5 7" xfId="24397" xr:uid="{00000000-0005-0000-0000-0000465F0000}"/>
    <cellStyle name="Normal 2 2 5 11 5 8" xfId="24398" xr:uid="{00000000-0005-0000-0000-0000475F0000}"/>
    <cellStyle name="Normal 2 2 5 11 5 9" xfId="24399" xr:uid="{00000000-0005-0000-0000-0000485F0000}"/>
    <cellStyle name="Normal 2 2 5 11 6" xfId="24400" xr:uid="{00000000-0005-0000-0000-0000495F0000}"/>
    <cellStyle name="Normal 2 2 5 11 7" xfId="24401" xr:uid="{00000000-0005-0000-0000-00004A5F0000}"/>
    <cellStyle name="Normal 2 2 5 11 8" xfId="24402" xr:uid="{00000000-0005-0000-0000-00004B5F0000}"/>
    <cellStyle name="Normal 2 2 5 11 9" xfId="24403" xr:uid="{00000000-0005-0000-0000-00004C5F0000}"/>
    <cellStyle name="Normal 2 2 5 12" xfId="24404" xr:uid="{00000000-0005-0000-0000-00004D5F0000}"/>
    <cellStyle name="Normal 2 2 5 12 10" xfId="24405" xr:uid="{00000000-0005-0000-0000-00004E5F0000}"/>
    <cellStyle name="Normal 2 2 5 12 11" xfId="24406" xr:uid="{00000000-0005-0000-0000-00004F5F0000}"/>
    <cellStyle name="Normal 2 2 5 12 12" xfId="24407" xr:uid="{00000000-0005-0000-0000-0000505F0000}"/>
    <cellStyle name="Normal 2 2 5 12 13" xfId="24408" xr:uid="{00000000-0005-0000-0000-0000515F0000}"/>
    <cellStyle name="Normal 2 2 5 12 14" xfId="24409" xr:uid="{00000000-0005-0000-0000-0000525F0000}"/>
    <cellStyle name="Normal 2 2 5 12 2" xfId="24410" xr:uid="{00000000-0005-0000-0000-0000535F0000}"/>
    <cellStyle name="Normal 2 2 5 12 2 10" xfId="24411" xr:uid="{00000000-0005-0000-0000-0000545F0000}"/>
    <cellStyle name="Normal 2 2 5 12 2 2" xfId="24412" xr:uid="{00000000-0005-0000-0000-0000555F0000}"/>
    <cellStyle name="Normal 2 2 5 12 2 3" xfId="24413" xr:uid="{00000000-0005-0000-0000-0000565F0000}"/>
    <cellStyle name="Normal 2 2 5 12 2 4" xfId="24414" xr:uid="{00000000-0005-0000-0000-0000575F0000}"/>
    <cellStyle name="Normal 2 2 5 12 2 5" xfId="24415" xr:uid="{00000000-0005-0000-0000-0000585F0000}"/>
    <cellStyle name="Normal 2 2 5 12 2 6" xfId="24416" xr:uid="{00000000-0005-0000-0000-0000595F0000}"/>
    <cellStyle name="Normal 2 2 5 12 2 7" xfId="24417" xr:uid="{00000000-0005-0000-0000-00005A5F0000}"/>
    <cellStyle name="Normal 2 2 5 12 2 8" xfId="24418" xr:uid="{00000000-0005-0000-0000-00005B5F0000}"/>
    <cellStyle name="Normal 2 2 5 12 2 9" xfId="24419" xr:uid="{00000000-0005-0000-0000-00005C5F0000}"/>
    <cellStyle name="Normal 2 2 5 12 3" xfId="24420" xr:uid="{00000000-0005-0000-0000-00005D5F0000}"/>
    <cellStyle name="Normal 2 2 5 12 3 10" xfId="24421" xr:uid="{00000000-0005-0000-0000-00005E5F0000}"/>
    <cellStyle name="Normal 2 2 5 12 3 2" xfId="24422" xr:uid="{00000000-0005-0000-0000-00005F5F0000}"/>
    <cellStyle name="Normal 2 2 5 12 3 3" xfId="24423" xr:uid="{00000000-0005-0000-0000-0000605F0000}"/>
    <cellStyle name="Normal 2 2 5 12 3 4" xfId="24424" xr:uid="{00000000-0005-0000-0000-0000615F0000}"/>
    <cellStyle name="Normal 2 2 5 12 3 5" xfId="24425" xr:uid="{00000000-0005-0000-0000-0000625F0000}"/>
    <cellStyle name="Normal 2 2 5 12 3 6" xfId="24426" xr:uid="{00000000-0005-0000-0000-0000635F0000}"/>
    <cellStyle name="Normal 2 2 5 12 3 7" xfId="24427" xr:uid="{00000000-0005-0000-0000-0000645F0000}"/>
    <cellStyle name="Normal 2 2 5 12 3 8" xfId="24428" xr:uid="{00000000-0005-0000-0000-0000655F0000}"/>
    <cellStyle name="Normal 2 2 5 12 3 9" xfId="24429" xr:uid="{00000000-0005-0000-0000-0000665F0000}"/>
    <cellStyle name="Normal 2 2 5 12 4" xfId="24430" xr:uid="{00000000-0005-0000-0000-0000675F0000}"/>
    <cellStyle name="Normal 2 2 5 12 4 10" xfId="24431" xr:uid="{00000000-0005-0000-0000-0000685F0000}"/>
    <cellStyle name="Normal 2 2 5 12 4 2" xfId="24432" xr:uid="{00000000-0005-0000-0000-0000695F0000}"/>
    <cellStyle name="Normal 2 2 5 12 4 3" xfId="24433" xr:uid="{00000000-0005-0000-0000-00006A5F0000}"/>
    <cellStyle name="Normal 2 2 5 12 4 4" xfId="24434" xr:uid="{00000000-0005-0000-0000-00006B5F0000}"/>
    <cellStyle name="Normal 2 2 5 12 4 5" xfId="24435" xr:uid="{00000000-0005-0000-0000-00006C5F0000}"/>
    <cellStyle name="Normal 2 2 5 12 4 6" xfId="24436" xr:uid="{00000000-0005-0000-0000-00006D5F0000}"/>
    <cellStyle name="Normal 2 2 5 12 4 7" xfId="24437" xr:uid="{00000000-0005-0000-0000-00006E5F0000}"/>
    <cellStyle name="Normal 2 2 5 12 4 8" xfId="24438" xr:uid="{00000000-0005-0000-0000-00006F5F0000}"/>
    <cellStyle name="Normal 2 2 5 12 4 9" xfId="24439" xr:uid="{00000000-0005-0000-0000-0000705F0000}"/>
    <cellStyle name="Normal 2 2 5 12 5" xfId="24440" xr:uid="{00000000-0005-0000-0000-0000715F0000}"/>
    <cellStyle name="Normal 2 2 5 12 5 10" xfId="24441" xr:uid="{00000000-0005-0000-0000-0000725F0000}"/>
    <cellStyle name="Normal 2 2 5 12 5 2" xfId="24442" xr:uid="{00000000-0005-0000-0000-0000735F0000}"/>
    <cellStyle name="Normal 2 2 5 12 5 3" xfId="24443" xr:uid="{00000000-0005-0000-0000-0000745F0000}"/>
    <cellStyle name="Normal 2 2 5 12 5 4" xfId="24444" xr:uid="{00000000-0005-0000-0000-0000755F0000}"/>
    <cellStyle name="Normal 2 2 5 12 5 5" xfId="24445" xr:uid="{00000000-0005-0000-0000-0000765F0000}"/>
    <cellStyle name="Normal 2 2 5 12 5 6" xfId="24446" xr:uid="{00000000-0005-0000-0000-0000775F0000}"/>
    <cellStyle name="Normal 2 2 5 12 5 7" xfId="24447" xr:uid="{00000000-0005-0000-0000-0000785F0000}"/>
    <cellStyle name="Normal 2 2 5 12 5 8" xfId="24448" xr:uid="{00000000-0005-0000-0000-0000795F0000}"/>
    <cellStyle name="Normal 2 2 5 12 5 9" xfId="24449" xr:uid="{00000000-0005-0000-0000-00007A5F0000}"/>
    <cellStyle name="Normal 2 2 5 12 6" xfId="24450" xr:uid="{00000000-0005-0000-0000-00007B5F0000}"/>
    <cellStyle name="Normal 2 2 5 12 7" xfId="24451" xr:uid="{00000000-0005-0000-0000-00007C5F0000}"/>
    <cellStyle name="Normal 2 2 5 12 8" xfId="24452" xr:uid="{00000000-0005-0000-0000-00007D5F0000}"/>
    <cellStyle name="Normal 2 2 5 12 9" xfId="24453" xr:uid="{00000000-0005-0000-0000-00007E5F0000}"/>
    <cellStyle name="Normal 2 2 5 13" xfId="24454" xr:uid="{00000000-0005-0000-0000-00007F5F0000}"/>
    <cellStyle name="Normal 2 2 5 13 10" xfId="24455" xr:uid="{00000000-0005-0000-0000-0000805F0000}"/>
    <cellStyle name="Normal 2 2 5 13 11" xfId="24456" xr:uid="{00000000-0005-0000-0000-0000815F0000}"/>
    <cellStyle name="Normal 2 2 5 13 12" xfId="24457" xr:uid="{00000000-0005-0000-0000-0000825F0000}"/>
    <cellStyle name="Normal 2 2 5 13 13" xfId="24458" xr:uid="{00000000-0005-0000-0000-0000835F0000}"/>
    <cellStyle name="Normal 2 2 5 13 14" xfId="24459" xr:uid="{00000000-0005-0000-0000-0000845F0000}"/>
    <cellStyle name="Normal 2 2 5 13 2" xfId="24460" xr:uid="{00000000-0005-0000-0000-0000855F0000}"/>
    <cellStyle name="Normal 2 2 5 13 2 10" xfId="24461" xr:uid="{00000000-0005-0000-0000-0000865F0000}"/>
    <cellStyle name="Normal 2 2 5 13 2 2" xfId="24462" xr:uid="{00000000-0005-0000-0000-0000875F0000}"/>
    <cellStyle name="Normal 2 2 5 13 2 3" xfId="24463" xr:uid="{00000000-0005-0000-0000-0000885F0000}"/>
    <cellStyle name="Normal 2 2 5 13 2 4" xfId="24464" xr:uid="{00000000-0005-0000-0000-0000895F0000}"/>
    <cellStyle name="Normal 2 2 5 13 2 5" xfId="24465" xr:uid="{00000000-0005-0000-0000-00008A5F0000}"/>
    <cellStyle name="Normal 2 2 5 13 2 6" xfId="24466" xr:uid="{00000000-0005-0000-0000-00008B5F0000}"/>
    <cellStyle name="Normal 2 2 5 13 2 7" xfId="24467" xr:uid="{00000000-0005-0000-0000-00008C5F0000}"/>
    <cellStyle name="Normal 2 2 5 13 2 8" xfId="24468" xr:uid="{00000000-0005-0000-0000-00008D5F0000}"/>
    <cellStyle name="Normal 2 2 5 13 2 9" xfId="24469" xr:uid="{00000000-0005-0000-0000-00008E5F0000}"/>
    <cellStyle name="Normal 2 2 5 13 3" xfId="24470" xr:uid="{00000000-0005-0000-0000-00008F5F0000}"/>
    <cellStyle name="Normal 2 2 5 13 3 10" xfId="24471" xr:uid="{00000000-0005-0000-0000-0000905F0000}"/>
    <cellStyle name="Normal 2 2 5 13 3 2" xfId="24472" xr:uid="{00000000-0005-0000-0000-0000915F0000}"/>
    <cellStyle name="Normal 2 2 5 13 3 3" xfId="24473" xr:uid="{00000000-0005-0000-0000-0000925F0000}"/>
    <cellStyle name="Normal 2 2 5 13 3 4" xfId="24474" xr:uid="{00000000-0005-0000-0000-0000935F0000}"/>
    <cellStyle name="Normal 2 2 5 13 3 5" xfId="24475" xr:uid="{00000000-0005-0000-0000-0000945F0000}"/>
    <cellStyle name="Normal 2 2 5 13 3 6" xfId="24476" xr:uid="{00000000-0005-0000-0000-0000955F0000}"/>
    <cellStyle name="Normal 2 2 5 13 3 7" xfId="24477" xr:uid="{00000000-0005-0000-0000-0000965F0000}"/>
    <cellStyle name="Normal 2 2 5 13 3 8" xfId="24478" xr:uid="{00000000-0005-0000-0000-0000975F0000}"/>
    <cellStyle name="Normal 2 2 5 13 3 9" xfId="24479" xr:uid="{00000000-0005-0000-0000-0000985F0000}"/>
    <cellStyle name="Normal 2 2 5 13 4" xfId="24480" xr:uid="{00000000-0005-0000-0000-0000995F0000}"/>
    <cellStyle name="Normal 2 2 5 13 4 10" xfId="24481" xr:uid="{00000000-0005-0000-0000-00009A5F0000}"/>
    <cellStyle name="Normal 2 2 5 13 4 2" xfId="24482" xr:uid="{00000000-0005-0000-0000-00009B5F0000}"/>
    <cellStyle name="Normal 2 2 5 13 4 3" xfId="24483" xr:uid="{00000000-0005-0000-0000-00009C5F0000}"/>
    <cellStyle name="Normal 2 2 5 13 4 4" xfId="24484" xr:uid="{00000000-0005-0000-0000-00009D5F0000}"/>
    <cellStyle name="Normal 2 2 5 13 4 5" xfId="24485" xr:uid="{00000000-0005-0000-0000-00009E5F0000}"/>
    <cellStyle name="Normal 2 2 5 13 4 6" xfId="24486" xr:uid="{00000000-0005-0000-0000-00009F5F0000}"/>
    <cellStyle name="Normal 2 2 5 13 4 7" xfId="24487" xr:uid="{00000000-0005-0000-0000-0000A05F0000}"/>
    <cellStyle name="Normal 2 2 5 13 4 8" xfId="24488" xr:uid="{00000000-0005-0000-0000-0000A15F0000}"/>
    <cellStyle name="Normal 2 2 5 13 4 9" xfId="24489" xr:uid="{00000000-0005-0000-0000-0000A25F0000}"/>
    <cellStyle name="Normal 2 2 5 13 5" xfId="24490" xr:uid="{00000000-0005-0000-0000-0000A35F0000}"/>
    <cellStyle name="Normal 2 2 5 13 5 10" xfId="24491" xr:uid="{00000000-0005-0000-0000-0000A45F0000}"/>
    <cellStyle name="Normal 2 2 5 13 5 2" xfId="24492" xr:uid="{00000000-0005-0000-0000-0000A55F0000}"/>
    <cellStyle name="Normal 2 2 5 13 5 3" xfId="24493" xr:uid="{00000000-0005-0000-0000-0000A65F0000}"/>
    <cellStyle name="Normal 2 2 5 13 5 4" xfId="24494" xr:uid="{00000000-0005-0000-0000-0000A75F0000}"/>
    <cellStyle name="Normal 2 2 5 13 5 5" xfId="24495" xr:uid="{00000000-0005-0000-0000-0000A85F0000}"/>
    <cellStyle name="Normal 2 2 5 13 5 6" xfId="24496" xr:uid="{00000000-0005-0000-0000-0000A95F0000}"/>
    <cellStyle name="Normal 2 2 5 13 5 7" xfId="24497" xr:uid="{00000000-0005-0000-0000-0000AA5F0000}"/>
    <cellStyle name="Normal 2 2 5 13 5 8" xfId="24498" xr:uid="{00000000-0005-0000-0000-0000AB5F0000}"/>
    <cellStyle name="Normal 2 2 5 13 5 9" xfId="24499" xr:uid="{00000000-0005-0000-0000-0000AC5F0000}"/>
    <cellStyle name="Normal 2 2 5 13 6" xfId="24500" xr:uid="{00000000-0005-0000-0000-0000AD5F0000}"/>
    <cellStyle name="Normal 2 2 5 13 7" xfId="24501" xr:uid="{00000000-0005-0000-0000-0000AE5F0000}"/>
    <cellStyle name="Normal 2 2 5 13 8" xfId="24502" xr:uid="{00000000-0005-0000-0000-0000AF5F0000}"/>
    <cellStyle name="Normal 2 2 5 13 9" xfId="24503" xr:uid="{00000000-0005-0000-0000-0000B05F0000}"/>
    <cellStyle name="Normal 2 2 5 14" xfId="24504" xr:uid="{00000000-0005-0000-0000-0000B15F0000}"/>
    <cellStyle name="Normal 2 2 5 14 10" xfId="24505" xr:uid="{00000000-0005-0000-0000-0000B25F0000}"/>
    <cellStyle name="Normal 2 2 5 14 11" xfId="24506" xr:uid="{00000000-0005-0000-0000-0000B35F0000}"/>
    <cellStyle name="Normal 2 2 5 14 12" xfId="24507" xr:uid="{00000000-0005-0000-0000-0000B45F0000}"/>
    <cellStyle name="Normal 2 2 5 14 13" xfId="24508" xr:uid="{00000000-0005-0000-0000-0000B55F0000}"/>
    <cellStyle name="Normal 2 2 5 14 14" xfId="24509" xr:uid="{00000000-0005-0000-0000-0000B65F0000}"/>
    <cellStyle name="Normal 2 2 5 14 2" xfId="24510" xr:uid="{00000000-0005-0000-0000-0000B75F0000}"/>
    <cellStyle name="Normal 2 2 5 14 2 10" xfId="24511" xr:uid="{00000000-0005-0000-0000-0000B85F0000}"/>
    <cellStyle name="Normal 2 2 5 14 2 2" xfId="24512" xr:uid="{00000000-0005-0000-0000-0000B95F0000}"/>
    <cellStyle name="Normal 2 2 5 14 2 3" xfId="24513" xr:uid="{00000000-0005-0000-0000-0000BA5F0000}"/>
    <cellStyle name="Normal 2 2 5 14 2 4" xfId="24514" xr:uid="{00000000-0005-0000-0000-0000BB5F0000}"/>
    <cellStyle name="Normal 2 2 5 14 2 5" xfId="24515" xr:uid="{00000000-0005-0000-0000-0000BC5F0000}"/>
    <cellStyle name="Normal 2 2 5 14 2 6" xfId="24516" xr:uid="{00000000-0005-0000-0000-0000BD5F0000}"/>
    <cellStyle name="Normal 2 2 5 14 2 7" xfId="24517" xr:uid="{00000000-0005-0000-0000-0000BE5F0000}"/>
    <cellStyle name="Normal 2 2 5 14 2 8" xfId="24518" xr:uid="{00000000-0005-0000-0000-0000BF5F0000}"/>
    <cellStyle name="Normal 2 2 5 14 2 9" xfId="24519" xr:uid="{00000000-0005-0000-0000-0000C05F0000}"/>
    <cellStyle name="Normal 2 2 5 14 3" xfId="24520" xr:uid="{00000000-0005-0000-0000-0000C15F0000}"/>
    <cellStyle name="Normal 2 2 5 14 3 10" xfId="24521" xr:uid="{00000000-0005-0000-0000-0000C25F0000}"/>
    <cellStyle name="Normal 2 2 5 14 3 2" xfId="24522" xr:uid="{00000000-0005-0000-0000-0000C35F0000}"/>
    <cellStyle name="Normal 2 2 5 14 3 3" xfId="24523" xr:uid="{00000000-0005-0000-0000-0000C45F0000}"/>
    <cellStyle name="Normal 2 2 5 14 3 4" xfId="24524" xr:uid="{00000000-0005-0000-0000-0000C55F0000}"/>
    <cellStyle name="Normal 2 2 5 14 3 5" xfId="24525" xr:uid="{00000000-0005-0000-0000-0000C65F0000}"/>
    <cellStyle name="Normal 2 2 5 14 3 6" xfId="24526" xr:uid="{00000000-0005-0000-0000-0000C75F0000}"/>
    <cellStyle name="Normal 2 2 5 14 3 7" xfId="24527" xr:uid="{00000000-0005-0000-0000-0000C85F0000}"/>
    <cellStyle name="Normal 2 2 5 14 3 8" xfId="24528" xr:uid="{00000000-0005-0000-0000-0000C95F0000}"/>
    <cellStyle name="Normal 2 2 5 14 3 9" xfId="24529" xr:uid="{00000000-0005-0000-0000-0000CA5F0000}"/>
    <cellStyle name="Normal 2 2 5 14 4" xfId="24530" xr:uid="{00000000-0005-0000-0000-0000CB5F0000}"/>
    <cellStyle name="Normal 2 2 5 14 4 10" xfId="24531" xr:uid="{00000000-0005-0000-0000-0000CC5F0000}"/>
    <cellStyle name="Normal 2 2 5 14 4 2" xfId="24532" xr:uid="{00000000-0005-0000-0000-0000CD5F0000}"/>
    <cellStyle name="Normal 2 2 5 14 4 3" xfId="24533" xr:uid="{00000000-0005-0000-0000-0000CE5F0000}"/>
    <cellStyle name="Normal 2 2 5 14 4 4" xfId="24534" xr:uid="{00000000-0005-0000-0000-0000CF5F0000}"/>
    <cellStyle name="Normal 2 2 5 14 4 5" xfId="24535" xr:uid="{00000000-0005-0000-0000-0000D05F0000}"/>
    <cellStyle name="Normal 2 2 5 14 4 6" xfId="24536" xr:uid="{00000000-0005-0000-0000-0000D15F0000}"/>
    <cellStyle name="Normal 2 2 5 14 4 7" xfId="24537" xr:uid="{00000000-0005-0000-0000-0000D25F0000}"/>
    <cellStyle name="Normal 2 2 5 14 4 8" xfId="24538" xr:uid="{00000000-0005-0000-0000-0000D35F0000}"/>
    <cellStyle name="Normal 2 2 5 14 4 9" xfId="24539" xr:uid="{00000000-0005-0000-0000-0000D45F0000}"/>
    <cellStyle name="Normal 2 2 5 14 5" xfId="24540" xr:uid="{00000000-0005-0000-0000-0000D55F0000}"/>
    <cellStyle name="Normal 2 2 5 14 5 10" xfId="24541" xr:uid="{00000000-0005-0000-0000-0000D65F0000}"/>
    <cellStyle name="Normal 2 2 5 14 5 2" xfId="24542" xr:uid="{00000000-0005-0000-0000-0000D75F0000}"/>
    <cellStyle name="Normal 2 2 5 14 5 3" xfId="24543" xr:uid="{00000000-0005-0000-0000-0000D85F0000}"/>
    <cellStyle name="Normal 2 2 5 14 5 4" xfId="24544" xr:uid="{00000000-0005-0000-0000-0000D95F0000}"/>
    <cellStyle name="Normal 2 2 5 14 5 5" xfId="24545" xr:uid="{00000000-0005-0000-0000-0000DA5F0000}"/>
    <cellStyle name="Normal 2 2 5 14 5 6" xfId="24546" xr:uid="{00000000-0005-0000-0000-0000DB5F0000}"/>
    <cellStyle name="Normal 2 2 5 14 5 7" xfId="24547" xr:uid="{00000000-0005-0000-0000-0000DC5F0000}"/>
    <cellStyle name="Normal 2 2 5 14 5 8" xfId="24548" xr:uid="{00000000-0005-0000-0000-0000DD5F0000}"/>
    <cellStyle name="Normal 2 2 5 14 5 9" xfId="24549" xr:uid="{00000000-0005-0000-0000-0000DE5F0000}"/>
    <cellStyle name="Normal 2 2 5 14 6" xfId="24550" xr:uid="{00000000-0005-0000-0000-0000DF5F0000}"/>
    <cellStyle name="Normal 2 2 5 14 7" xfId="24551" xr:uid="{00000000-0005-0000-0000-0000E05F0000}"/>
    <cellStyle name="Normal 2 2 5 14 8" xfId="24552" xr:uid="{00000000-0005-0000-0000-0000E15F0000}"/>
    <cellStyle name="Normal 2 2 5 14 9" xfId="24553" xr:uid="{00000000-0005-0000-0000-0000E25F0000}"/>
    <cellStyle name="Normal 2 2 5 15" xfId="24554" xr:uid="{00000000-0005-0000-0000-0000E35F0000}"/>
    <cellStyle name="Normal 2 2 5 15 10" xfId="24555" xr:uid="{00000000-0005-0000-0000-0000E45F0000}"/>
    <cellStyle name="Normal 2 2 5 15 11" xfId="24556" xr:uid="{00000000-0005-0000-0000-0000E55F0000}"/>
    <cellStyle name="Normal 2 2 5 15 12" xfId="24557" xr:uid="{00000000-0005-0000-0000-0000E65F0000}"/>
    <cellStyle name="Normal 2 2 5 15 13" xfId="24558" xr:uid="{00000000-0005-0000-0000-0000E75F0000}"/>
    <cellStyle name="Normal 2 2 5 15 14" xfId="24559" xr:uid="{00000000-0005-0000-0000-0000E85F0000}"/>
    <cellStyle name="Normal 2 2 5 15 2" xfId="24560" xr:uid="{00000000-0005-0000-0000-0000E95F0000}"/>
    <cellStyle name="Normal 2 2 5 15 2 10" xfId="24561" xr:uid="{00000000-0005-0000-0000-0000EA5F0000}"/>
    <cellStyle name="Normal 2 2 5 15 2 2" xfId="24562" xr:uid="{00000000-0005-0000-0000-0000EB5F0000}"/>
    <cellStyle name="Normal 2 2 5 15 2 3" xfId="24563" xr:uid="{00000000-0005-0000-0000-0000EC5F0000}"/>
    <cellStyle name="Normal 2 2 5 15 2 4" xfId="24564" xr:uid="{00000000-0005-0000-0000-0000ED5F0000}"/>
    <cellStyle name="Normal 2 2 5 15 2 5" xfId="24565" xr:uid="{00000000-0005-0000-0000-0000EE5F0000}"/>
    <cellStyle name="Normal 2 2 5 15 2 6" xfId="24566" xr:uid="{00000000-0005-0000-0000-0000EF5F0000}"/>
    <cellStyle name="Normal 2 2 5 15 2 7" xfId="24567" xr:uid="{00000000-0005-0000-0000-0000F05F0000}"/>
    <cellStyle name="Normal 2 2 5 15 2 8" xfId="24568" xr:uid="{00000000-0005-0000-0000-0000F15F0000}"/>
    <cellStyle name="Normal 2 2 5 15 2 9" xfId="24569" xr:uid="{00000000-0005-0000-0000-0000F25F0000}"/>
    <cellStyle name="Normal 2 2 5 15 3" xfId="24570" xr:uid="{00000000-0005-0000-0000-0000F35F0000}"/>
    <cellStyle name="Normal 2 2 5 15 3 10" xfId="24571" xr:uid="{00000000-0005-0000-0000-0000F45F0000}"/>
    <cellStyle name="Normal 2 2 5 15 3 2" xfId="24572" xr:uid="{00000000-0005-0000-0000-0000F55F0000}"/>
    <cellStyle name="Normal 2 2 5 15 3 3" xfId="24573" xr:uid="{00000000-0005-0000-0000-0000F65F0000}"/>
    <cellStyle name="Normal 2 2 5 15 3 4" xfId="24574" xr:uid="{00000000-0005-0000-0000-0000F75F0000}"/>
    <cellStyle name="Normal 2 2 5 15 3 5" xfId="24575" xr:uid="{00000000-0005-0000-0000-0000F85F0000}"/>
    <cellStyle name="Normal 2 2 5 15 3 6" xfId="24576" xr:uid="{00000000-0005-0000-0000-0000F95F0000}"/>
    <cellStyle name="Normal 2 2 5 15 3 7" xfId="24577" xr:uid="{00000000-0005-0000-0000-0000FA5F0000}"/>
    <cellStyle name="Normal 2 2 5 15 3 8" xfId="24578" xr:uid="{00000000-0005-0000-0000-0000FB5F0000}"/>
    <cellStyle name="Normal 2 2 5 15 3 9" xfId="24579" xr:uid="{00000000-0005-0000-0000-0000FC5F0000}"/>
    <cellStyle name="Normal 2 2 5 15 4" xfId="24580" xr:uid="{00000000-0005-0000-0000-0000FD5F0000}"/>
    <cellStyle name="Normal 2 2 5 15 4 10" xfId="24581" xr:uid="{00000000-0005-0000-0000-0000FE5F0000}"/>
    <cellStyle name="Normal 2 2 5 15 4 2" xfId="24582" xr:uid="{00000000-0005-0000-0000-0000FF5F0000}"/>
    <cellStyle name="Normal 2 2 5 15 4 3" xfId="24583" xr:uid="{00000000-0005-0000-0000-000000600000}"/>
    <cellStyle name="Normal 2 2 5 15 4 4" xfId="24584" xr:uid="{00000000-0005-0000-0000-000001600000}"/>
    <cellStyle name="Normal 2 2 5 15 4 5" xfId="24585" xr:uid="{00000000-0005-0000-0000-000002600000}"/>
    <cellStyle name="Normal 2 2 5 15 4 6" xfId="24586" xr:uid="{00000000-0005-0000-0000-000003600000}"/>
    <cellStyle name="Normal 2 2 5 15 4 7" xfId="24587" xr:uid="{00000000-0005-0000-0000-000004600000}"/>
    <cellStyle name="Normal 2 2 5 15 4 8" xfId="24588" xr:uid="{00000000-0005-0000-0000-000005600000}"/>
    <cellStyle name="Normal 2 2 5 15 4 9" xfId="24589" xr:uid="{00000000-0005-0000-0000-000006600000}"/>
    <cellStyle name="Normal 2 2 5 15 5" xfId="24590" xr:uid="{00000000-0005-0000-0000-000007600000}"/>
    <cellStyle name="Normal 2 2 5 15 5 10" xfId="24591" xr:uid="{00000000-0005-0000-0000-000008600000}"/>
    <cellStyle name="Normal 2 2 5 15 5 2" xfId="24592" xr:uid="{00000000-0005-0000-0000-000009600000}"/>
    <cellStyle name="Normal 2 2 5 15 5 3" xfId="24593" xr:uid="{00000000-0005-0000-0000-00000A600000}"/>
    <cellStyle name="Normal 2 2 5 15 5 4" xfId="24594" xr:uid="{00000000-0005-0000-0000-00000B600000}"/>
    <cellStyle name="Normal 2 2 5 15 5 5" xfId="24595" xr:uid="{00000000-0005-0000-0000-00000C600000}"/>
    <cellStyle name="Normal 2 2 5 15 5 6" xfId="24596" xr:uid="{00000000-0005-0000-0000-00000D600000}"/>
    <cellStyle name="Normal 2 2 5 15 5 7" xfId="24597" xr:uid="{00000000-0005-0000-0000-00000E600000}"/>
    <cellStyle name="Normal 2 2 5 15 5 8" xfId="24598" xr:uid="{00000000-0005-0000-0000-00000F600000}"/>
    <cellStyle name="Normal 2 2 5 15 5 9" xfId="24599" xr:uid="{00000000-0005-0000-0000-000010600000}"/>
    <cellStyle name="Normal 2 2 5 15 6" xfId="24600" xr:uid="{00000000-0005-0000-0000-000011600000}"/>
    <cellStyle name="Normal 2 2 5 15 7" xfId="24601" xr:uid="{00000000-0005-0000-0000-000012600000}"/>
    <cellStyle name="Normal 2 2 5 15 8" xfId="24602" xr:uid="{00000000-0005-0000-0000-000013600000}"/>
    <cellStyle name="Normal 2 2 5 15 9" xfId="24603" xr:uid="{00000000-0005-0000-0000-000014600000}"/>
    <cellStyle name="Normal 2 2 5 16" xfId="24604" xr:uid="{00000000-0005-0000-0000-000015600000}"/>
    <cellStyle name="Normal 2 2 5 16 10" xfId="24605" xr:uid="{00000000-0005-0000-0000-000016600000}"/>
    <cellStyle name="Normal 2 2 5 16 11" xfId="24606" xr:uid="{00000000-0005-0000-0000-000017600000}"/>
    <cellStyle name="Normal 2 2 5 16 12" xfId="24607" xr:uid="{00000000-0005-0000-0000-000018600000}"/>
    <cellStyle name="Normal 2 2 5 16 13" xfId="24608" xr:uid="{00000000-0005-0000-0000-000019600000}"/>
    <cellStyle name="Normal 2 2 5 16 14" xfId="24609" xr:uid="{00000000-0005-0000-0000-00001A600000}"/>
    <cellStyle name="Normal 2 2 5 16 2" xfId="24610" xr:uid="{00000000-0005-0000-0000-00001B600000}"/>
    <cellStyle name="Normal 2 2 5 16 2 10" xfId="24611" xr:uid="{00000000-0005-0000-0000-00001C600000}"/>
    <cellStyle name="Normal 2 2 5 16 2 2" xfId="24612" xr:uid="{00000000-0005-0000-0000-00001D600000}"/>
    <cellStyle name="Normal 2 2 5 16 2 3" xfId="24613" xr:uid="{00000000-0005-0000-0000-00001E600000}"/>
    <cellStyle name="Normal 2 2 5 16 2 4" xfId="24614" xr:uid="{00000000-0005-0000-0000-00001F600000}"/>
    <cellStyle name="Normal 2 2 5 16 2 5" xfId="24615" xr:uid="{00000000-0005-0000-0000-000020600000}"/>
    <cellStyle name="Normal 2 2 5 16 2 6" xfId="24616" xr:uid="{00000000-0005-0000-0000-000021600000}"/>
    <cellStyle name="Normal 2 2 5 16 2 7" xfId="24617" xr:uid="{00000000-0005-0000-0000-000022600000}"/>
    <cellStyle name="Normal 2 2 5 16 2 8" xfId="24618" xr:uid="{00000000-0005-0000-0000-000023600000}"/>
    <cellStyle name="Normal 2 2 5 16 2 9" xfId="24619" xr:uid="{00000000-0005-0000-0000-000024600000}"/>
    <cellStyle name="Normal 2 2 5 16 3" xfId="24620" xr:uid="{00000000-0005-0000-0000-000025600000}"/>
    <cellStyle name="Normal 2 2 5 16 3 10" xfId="24621" xr:uid="{00000000-0005-0000-0000-000026600000}"/>
    <cellStyle name="Normal 2 2 5 16 3 2" xfId="24622" xr:uid="{00000000-0005-0000-0000-000027600000}"/>
    <cellStyle name="Normal 2 2 5 16 3 3" xfId="24623" xr:uid="{00000000-0005-0000-0000-000028600000}"/>
    <cellStyle name="Normal 2 2 5 16 3 4" xfId="24624" xr:uid="{00000000-0005-0000-0000-000029600000}"/>
    <cellStyle name="Normal 2 2 5 16 3 5" xfId="24625" xr:uid="{00000000-0005-0000-0000-00002A600000}"/>
    <cellStyle name="Normal 2 2 5 16 3 6" xfId="24626" xr:uid="{00000000-0005-0000-0000-00002B600000}"/>
    <cellStyle name="Normal 2 2 5 16 3 7" xfId="24627" xr:uid="{00000000-0005-0000-0000-00002C600000}"/>
    <cellStyle name="Normal 2 2 5 16 3 8" xfId="24628" xr:uid="{00000000-0005-0000-0000-00002D600000}"/>
    <cellStyle name="Normal 2 2 5 16 3 9" xfId="24629" xr:uid="{00000000-0005-0000-0000-00002E600000}"/>
    <cellStyle name="Normal 2 2 5 16 4" xfId="24630" xr:uid="{00000000-0005-0000-0000-00002F600000}"/>
    <cellStyle name="Normal 2 2 5 16 4 10" xfId="24631" xr:uid="{00000000-0005-0000-0000-000030600000}"/>
    <cellStyle name="Normal 2 2 5 16 4 2" xfId="24632" xr:uid="{00000000-0005-0000-0000-000031600000}"/>
    <cellStyle name="Normal 2 2 5 16 4 3" xfId="24633" xr:uid="{00000000-0005-0000-0000-000032600000}"/>
    <cellStyle name="Normal 2 2 5 16 4 4" xfId="24634" xr:uid="{00000000-0005-0000-0000-000033600000}"/>
    <cellStyle name="Normal 2 2 5 16 4 5" xfId="24635" xr:uid="{00000000-0005-0000-0000-000034600000}"/>
    <cellStyle name="Normal 2 2 5 16 4 6" xfId="24636" xr:uid="{00000000-0005-0000-0000-000035600000}"/>
    <cellStyle name="Normal 2 2 5 16 4 7" xfId="24637" xr:uid="{00000000-0005-0000-0000-000036600000}"/>
    <cellStyle name="Normal 2 2 5 16 4 8" xfId="24638" xr:uid="{00000000-0005-0000-0000-000037600000}"/>
    <cellStyle name="Normal 2 2 5 16 4 9" xfId="24639" xr:uid="{00000000-0005-0000-0000-000038600000}"/>
    <cellStyle name="Normal 2 2 5 16 5" xfId="24640" xr:uid="{00000000-0005-0000-0000-000039600000}"/>
    <cellStyle name="Normal 2 2 5 16 5 10" xfId="24641" xr:uid="{00000000-0005-0000-0000-00003A600000}"/>
    <cellStyle name="Normal 2 2 5 16 5 2" xfId="24642" xr:uid="{00000000-0005-0000-0000-00003B600000}"/>
    <cellStyle name="Normal 2 2 5 16 5 3" xfId="24643" xr:uid="{00000000-0005-0000-0000-00003C600000}"/>
    <cellStyle name="Normal 2 2 5 16 5 4" xfId="24644" xr:uid="{00000000-0005-0000-0000-00003D600000}"/>
    <cellStyle name="Normal 2 2 5 16 5 5" xfId="24645" xr:uid="{00000000-0005-0000-0000-00003E600000}"/>
    <cellStyle name="Normal 2 2 5 16 5 6" xfId="24646" xr:uid="{00000000-0005-0000-0000-00003F600000}"/>
    <cellStyle name="Normal 2 2 5 16 5 7" xfId="24647" xr:uid="{00000000-0005-0000-0000-000040600000}"/>
    <cellStyle name="Normal 2 2 5 16 5 8" xfId="24648" xr:uid="{00000000-0005-0000-0000-000041600000}"/>
    <cellStyle name="Normal 2 2 5 16 5 9" xfId="24649" xr:uid="{00000000-0005-0000-0000-000042600000}"/>
    <cellStyle name="Normal 2 2 5 16 6" xfId="24650" xr:uid="{00000000-0005-0000-0000-000043600000}"/>
    <cellStyle name="Normal 2 2 5 16 7" xfId="24651" xr:uid="{00000000-0005-0000-0000-000044600000}"/>
    <cellStyle name="Normal 2 2 5 16 8" xfId="24652" xr:uid="{00000000-0005-0000-0000-000045600000}"/>
    <cellStyle name="Normal 2 2 5 16 9" xfId="24653" xr:uid="{00000000-0005-0000-0000-000046600000}"/>
    <cellStyle name="Normal 2 2 5 17" xfId="24654" xr:uid="{00000000-0005-0000-0000-000047600000}"/>
    <cellStyle name="Normal 2 2 5 17 10" xfId="24655" xr:uid="{00000000-0005-0000-0000-000048600000}"/>
    <cellStyle name="Normal 2 2 5 17 11" xfId="24656" xr:uid="{00000000-0005-0000-0000-000049600000}"/>
    <cellStyle name="Normal 2 2 5 17 12" xfId="24657" xr:uid="{00000000-0005-0000-0000-00004A600000}"/>
    <cellStyle name="Normal 2 2 5 17 13" xfId="24658" xr:uid="{00000000-0005-0000-0000-00004B600000}"/>
    <cellStyle name="Normal 2 2 5 17 14" xfId="24659" xr:uid="{00000000-0005-0000-0000-00004C600000}"/>
    <cellStyle name="Normal 2 2 5 17 2" xfId="24660" xr:uid="{00000000-0005-0000-0000-00004D600000}"/>
    <cellStyle name="Normal 2 2 5 17 2 10" xfId="24661" xr:uid="{00000000-0005-0000-0000-00004E600000}"/>
    <cellStyle name="Normal 2 2 5 17 2 2" xfId="24662" xr:uid="{00000000-0005-0000-0000-00004F600000}"/>
    <cellStyle name="Normal 2 2 5 17 2 3" xfId="24663" xr:uid="{00000000-0005-0000-0000-000050600000}"/>
    <cellStyle name="Normal 2 2 5 17 2 4" xfId="24664" xr:uid="{00000000-0005-0000-0000-000051600000}"/>
    <cellStyle name="Normal 2 2 5 17 2 5" xfId="24665" xr:uid="{00000000-0005-0000-0000-000052600000}"/>
    <cellStyle name="Normal 2 2 5 17 2 6" xfId="24666" xr:uid="{00000000-0005-0000-0000-000053600000}"/>
    <cellStyle name="Normal 2 2 5 17 2 7" xfId="24667" xr:uid="{00000000-0005-0000-0000-000054600000}"/>
    <cellStyle name="Normal 2 2 5 17 2 8" xfId="24668" xr:uid="{00000000-0005-0000-0000-000055600000}"/>
    <cellStyle name="Normal 2 2 5 17 2 9" xfId="24669" xr:uid="{00000000-0005-0000-0000-000056600000}"/>
    <cellStyle name="Normal 2 2 5 17 3" xfId="24670" xr:uid="{00000000-0005-0000-0000-000057600000}"/>
    <cellStyle name="Normal 2 2 5 17 3 10" xfId="24671" xr:uid="{00000000-0005-0000-0000-000058600000}"/>
    <cellStyle name="Normal 2 2 5 17 3 2" xfId="24672" xr:uid="{00000000-0005-0000-0000-000059600000}"/>
    <cellStyle name="Normal 2 2 5 17 3 3" xfId="24673" xr:uid="{00000000-0005-0000-0000-00005A600000}"/>
    <cellStyle name="Normal 2 2 5 17 3 4" xfId="24674" xr:uid="{00000000-0005-0000-0000-00005B600000}"/>
    <cellStyle name="Normal 2 2 5 17 3 5" xfId="24675" xr:uid="{00000000-0005-0000-0000-00005C600000}"/>
    <cellStyle name="Normal 2 2 5 17 3 6" xfId="24676" xr:uid="{00000000-0005-0000-0000-00005D600000}"/>
    <cellStyle name="Normal 2 2 5 17 3 7" xfId="24677" xr:uid="{00000000-0005-0000-0000-00005E600000}"/>
    <cellStyle name="Normal 2 2 5 17 3 8" xfId="24678" xr:uid="{00000000-0005-0000-0000-00005F600000}"/>
    <cellStyle name="Normal 2 2 5 17 3 9" xfId="24679" xr:uid="{00000000-0005-0000-0000-000060600000}"/>
    <cellStyle name="Normal 2 2 5 17 4" xfId="24680" xr:uid="{00000000-0005-0000-0000-000061600000}"/>
    <cellStyle name="Normal 2 2 5 17 4 10" xfId="24681" xr:uid="{00000000-0005-0000-0000-000062600000}"/>
    <cellStyle name="Normal 2 2 5 17 4 2" xfId="24682" xr:uid="{00000000-0005-0000-0000-000063600000}"/>
    <cellStyle name="Normal 2 2 5 17 4 3" xfId="24683" xr:uid="{00000000-0005-0000-0000-000064600000}"/>
    <cellStyle name="Normal 2 2 5 17 4 4" xfId="24684" xr:uid="{00000000-0005-0000-0000-000065600000}"/>
    <cellStyle name="Normal 2 2 5 17 4 5" xfId="24685" xr:uid="{00000000-0005-0000-0000-000066600000}"/>
    <cellStyle name="Normal 2 2 5 17 4 6" xfId="24686" xr:uid="{00000000-0005-0000-0000-000067600000}"/>
    <cellStyle name="Normal 2 2 5 17 4 7" xfId="24687" xr:uid="{00000000-0005-0000-0000-000068600000}"/>
    <cellStyle name="Normal 2 2 5 17 4 8" xfId="24688" xr:uid="{00000000-0005-0000-0000-000069600000}"/>
    <cellStyle name="Normal 2 2 5 17 4 9" xfId="24689" xr:uid="{00000000-0005-0000-0000-00006A600000}"/>
    <cellStyle name="Normal 2 2 5 17 5" xfId="24690" xr:uid="{00000000-0005-0000-0000-00006B600000}"/>
    <cellStyle name="Normal 2 2 5 17 5 10" xfId="24691" xr:uid="{00000000-0005-0000-0000-00006C600000}"/>
    <cellStyle name="Normal 2 2 5 17 5 2" xfId="24692" xr:uid="{00000000-0005-0000-0000-00006D600000}"/>
    <cellStyle name="Normal 2 2 5 17 5 3" xfId="24693" xr:uid="{00000000-0005-0000-0000-00006E600000}"/>
    <cellStyle name="Normal 2 2 5 17 5 4" xfId="24694" xr:uid="{00000000-0005-0000-0000-00006F600000}"/>
    <cellStyle name="Normal 2 2 5 17 5 5" xfId="24695" xr:uid="{00000000-0005-0000-0000-000070600000}"/>
    <cellStyle name="Normal 2 2 5 17 5 6" xfId="24696" xr:uid="{00000000-0005-0000-0000-000071600000}"/>
    <cellStyle name="Normal 2 2 5 17 5 7" xfId="24697" xr:uid="{00000000-0005-0000-0000-000072600000}"/>
    <cellStyle name="Normal 2 2 5 17 5 8" xfId="24698" xr:uid="{00000000-0005-0000-0000-000073600000}"/>
    <cellStyle name="Normal 2 2 5 17 5 9" xfId="24699" xr:uid="{00000000-0005-0000-0000-000074600000}"/>
    <cellStyle name="Normal 2 2 5 17 6" xfId="24700" xr:uid="{00000000-0005-0000-0000-000075600000}"/>
    <cellStyle name="Normal 2 2 5 17 7" xfId="24701" xr:uid="{00000000-0005-0000-0000-000076600000}"/>
    <cellStyle name="Normal 2 2 5 17 8" xfId="24702" xr:uid="{00000000-0005-0000-0000-000077600000}"/>
    <cellStyle name="Normal 2 2 5 17 9" xfId="24703" xr:uid="{00000000-0005-0000-0000-000078600000}"/>
    <cellStyle name="Normal 2 2 5 18" xfId="24704" xr:uid="{00000000-0005-0000-0000-000079600000}"/>
    <cellStyle name="Normal 2 2 5 18 10" xfId="24705" xr:uid="{00000000-0005-0000-0000-00007A600000}"/>
    <cellStyle name="Normal 2 2 5 18 11" xfId="24706" xr:uid="{00000000-0005-0000-0000-00007B600000}"/>
    <cellStyle name="Normal 2 2 5 18 12" xfId="24707" xr:uid="{00000000-0005-0000-0000-00007C600000}"/>
    <cellStyle name="Normal 2 2 5 18 13" xfId="24708" xr:uid="{00000000-0005-0000-0000-00007D600000}"/>
    <cellStyle name="Normal 2 2 5 18 14" xfId="24709" xr:uid="{00000000-0005-0000-0000-00007E600000}"/>
    <cellStyle name="Normal 2 2 5 18 2" xfId="24710" xr:uid="{00000000-0005-0000-0000-00007F600000}"/>
    <cellStyle name="Normal 2 2 5 18 2 10" xfId="24711" xr:uid="{00000000-0005-0000-0000-000080600000}"/>
    <cellStyle name="Normal 2 2 5 18 2 2" xfId="24712" xr:uid="{00000000-0005-0000-0000-000081600000}"/>
    <cellStyle name="Normal 2 2 5 18 2 3" xfId="24713" xr:uid="{00000000-0005-0000-0000-000082600000}"/>
    <cellStyle name="Normal 2 2 5 18 2 4" xfId="24714" xr:uid="{00000000-0005-0000-0000-000083600000}"/>
    <cellStyle name="Normal 2 2 5 18 2 5" xfId="24715" xr:uid="{00000000-0005-0000-0000-000084600000}"/>
    <cellStyle name="Normal 2 2 5 18 2 6" xfId="24716" xr:uid="{00000000-0005-0000-0000-000085600000}"/>
    <cellStyle name="Normal 2 2 5 18 2 7" xfId="24717" xr:uid="{00000000-0005-0000-0000-000086600000}"/>
    <cellStyle name="Normal 2 2 5 18 2 8" xfId="24718" xr:uid="{00000000-0005-0000-0000-000087600000}"/>
    <cellStyle name="Normal 2 2 5 18 2 9" xfId="24719" xr:uid="{00000000-0005-0000-0000-000088600000}"/>
    <cellStyle name="Normal 2 2 5 18 3" xfId="24720" xr:uid="{00000000-0005-0000-0000-000089600000}"/>
    <cellStyle name="Normal 2 2 5 18 3 10" xfId="24721" xr:uid="{00000000-0005-0000-0000-00008A600000}"/>
    <cellStyle name="Normal 2 2 5 18 3 2" xfId="24722" xr:uid="{00000000-0005-0000-0000-00008B600000}"/>
    <cellStyle name="Normal 2 2 5 18 3 3" xfId="24723" xr:uid="{00000000-0005-0000-0000-00008C600000}"/>
    <cellStyle name="Normal 2 2 5 18 3 4" xfId="24724" xr:uid="{00000000-0005-0000-0000-00008D600000}"/>
    <cellStyle name="Normal 2 2 5 18 3 5" xfId="24725" xr:uid="{00000000-0005-0000-0000-00008E600000}"/>
    <cellStyle name="Normal 2 2 5 18 3 6" xfId="24726" xr:uid="{00000000-0005-0000-0000-00008F600000}"/>
    <cellStyle name="Normal 2 2 5 18 3 7" xfId="24727" xr:uid="{00000000-0005-0000-0000-000090600000}"/>
    <cellStyle name="Normal 2 2 5 18 3 8" xfId="24728" xr:uid="{00000000-0005-0000-0000-000091600000}"/>
    <cellStyle name="Normal 2 2 5 18 3 9" xfId="24729" xr:uid="{00000000-0005-0000-0000-000092600000}"/>
    <cellStyle name="Normal 2 2 5 18 4" xfId="24730" xr:uid="{00000000-0005-0000-0000-000093600000}"/>
    <cellStyle name="Normal 2 2 5 18 4 10" xfId="24731" xr:uid="{00000000-0005-0000-0000-000094600000}"/>
    <cellStyle name="Normal 2 2 5 18 4 2" xfId="24732" xr:uid="{00000000-0005-0000-0000-000095600000}"/>
    <cellStyle name="Normal 2 2 5 18 4 3" xfId="24733" xr:uid="{00000000-0005-0000-0000-000096600000}"/>
    <cellStyle name="Normal 2 2 5 18 4 4" xfId="24734" xr:uid="{00000000-0005-0000-0000-000097600000}"/>
    <cellStyle name="Normal 2 2 5 18 4 5" xfId="24735" xr:uid="{00000000-0005-0000-0000-000098600000}"/>
    <cellStyle name="Normal 2 2 5 18 4 6" xfId="24736" xr:uid="{00000000-0005-0000-0000-000099600000}"/>
    <cellStyle name="Normal 2 2 5 18 4 7" xfId="24737" xr:uid="{00000000-0005-0000-0000-00009A600000}"/>
    <cellStyle name="Normal 2 2 5 18 4 8" xfId="24738" xr:uid="{00000000-0005-0000-0000-00009B600000}"/>
    <cellStyle name="Normal 2 2 5 18 4 9" xfId="24739" xr:uid="{00000000-0005-0000-0000-00009C600000}"/>
    <cellStyle name="Normal 2 2 5 18 5" xfId="24740" xr:uid="{00000000-0005-0000-0000-00009D600000}"/>
    <cellStyle name="Normal 2 2 5 18 5 10" xfId="24741" xr:uid="{00000000-0005-0000-0000-00009E600000}"/>
    <cellStyle name="Normal 2 2 5 18 5 2" xfId="24742" xr:uid="{00000000-0005-0000-0000-00009F600000}"/>
    <cellStyle name="Normal 2 2 5 18 5 3" xfId="24743" xr:uid="{00000000-0005-0000-0000-0000A0600000}"/>
    <cellStyle name="Normal 2 2 5 18 5 4" xfId="24744" xr:uid="{00000000-0005-0000-0000-0000A1600000}"/>
    <cellStyle name="Normal 2 2 5 18 5 5" xfId="24745" xr:uid="{00000000-0005-0000-0000-0000A2600000}"/>
    <cellStyle name="Normal 2 2 5 18 5 6" xfId="24746" xr:uid="{00000000-0005-0000-0000-0000A3600000}"/>
    <cellStyle name="Normal 2 2 5 18 5 7" xfId="24747" xr:uid="{00000000-0005-0000-0000-0000A4600000}"/>
    <cellStyle name="Normal 2 2 5 18 5 8" xfId="24748" xr:uid="{00000000-0005-0000-0000-0000A5600000}"/>
    <cellStyle name="Normal 2 2 5 18 5 9" xfId="24749" xr:uid="{00000000-0005-0000-0000-0000A6600000}"/>
    <cellStyle name="Normal 2 2 5 18 6" xfId="24750" xr:uid="{00000000-0005-0000-0000-0000A7600000}"/>
    <cellStyle name="Normal 2 2 5 18 7" xfId="24751" xr:uid="{00000000-0005-0000-0000-0000A8600000}"/>
    <cellStyle name="Normal 2 2 5 18 8" xfId="24752" xr:uid="{00000000-0005-0000-0000-0000A9600000}"/>
    <cellStyle name="Normal 2 2 5 18 9" xfId="24753" xr:uid="{00000000-0005-0000-0000-0000AA600000}"/>
    <cellStyle name="Normal 2 2 5 19" xfId="24754" xr:uid="{00000000-0005-0000-0000-0000AB600000}"/>
    <cellStyle name="Normal 2 2 5 19 10" xfId="24755" xr:uid="{00000000-0005-0000-0000-0000AC600000}"/>
    <cellStyle name="Normal 2 2 5 19 11" xfId="24756" xr:uid="{00000000-0005-0000-0000-0000AD600000}"/>
    <cellStyle name="Normal 2 2 5 19 12" xfId="24757" xr:uid="{00000000-0005-0000-0000-0000AE600000}"/>
    <cellStyle name="Normal 2 2 5 19 13" xfId="24758" xr:uid="{00000000-0005-0000-0000-0000AF600000}"/>
    <cellStyle name="Normal 2 2 5 19 14" xfId="24759" xr:uid="{00000000-0005-0000-0000-0000B0600000}"/>
    <cellStyle name="Normal 2 2 5 19 2" xfId="24760" xr:uid="{00000000-0005-0000-0000-0000B1600000}"/>
    <cellStyle name="Normal 2 2 5 19 2 10" xfId="24761" xr:uid="{00000000-0005-0000-0000-0000B2600000}"/>
    <cellStyle name="Normal 2 2 5 19 2 2" xfId="24762" xr:uid="{00000000-0005-0000-0000-0000B3600000}"/>
    <cellStyle name="Normal 2 2 5 19 2 3" xfId="24763" xr:uid="{00000000-0005-0000-0000-0000B4600000}"/>
    <cellStyle name="Normal 2 2 5 19 2 4" xfId="24764" xr:uid="{00000000-0005-0000-0000-0000B5600000}"/>
    <cellStyle name="Normal 2 2 5 19 2 5" xfId="24765" xr:uid="{00000000-0005-0000-0000-0000B6600000}"/>
    <cellStyle name="Normal 2 2 5 19 2 6" xfId="24766" xr:uid="{00000000-0005-0000-0000-0000B7600000}"/>
    <cellStyle name="Normal 2 2 5 19 2 7" xfId="24767" xr:uid="{00000000-0005-0000-0000-0000B8600000}"/>
    <cellStyle name="Normal 2 2 5 19 2 8" xfId="24768" xr:uid="{00000000-0005-0000-0000-0000B9600000}"/>
    <cellStyle name="Normal 2 2 5 19 2 9" xfId="24769" xr:uid="{00000000-0005-0000-0000-0000BA600000}"/>
    <cellStyle name="Normal 2 2 5 19 3" xfId="24770" xr:uid="{00000000-0005-0000-0000-0000BB600000}"/>
    <cellStyle name="Normal 2 2 5 19 3 10" xfId="24771" xr:uid="{00000000-0005-0000-0000-0000BC600000}"/>
    <cellStyle name="Normal 2 2 5 19 3 2" xfId="24772" xr:uid="{00000000-0005-0000-0000-0000BD600000}"/>
    <cellStyle name="Normal 2 2 5 19 3 3" xfId="24773" xr:uid="{00000000-0005-0000-0000-0000BE600000}"/>
    <cellStyle name="Normal 2 2 5 19 3 4" xfId="24774" xr:uid="{00000000-0005-0000-0000-0000BF600000}"/>
    <cellStyle name="Normal 2 2 5 19 3 5" xfId="24775" xr:uid="{00000000-0005-0000-0000-0000C0600000}"/>
    <cellStyle name="Normal 2 2 5 19 3 6" xfId="24776" xr:uid="{00000000-0005-0000-0000-0000C1600000}"/>
    <cellStyle name="Normal 2 2 5 19 3 7" xfId="24777" xr:uid="{00000000-0005-0000-0000-0000C2600000}"/>
    <cellStyle name="Normal 2 2 5 19 3 8" xfId="24778" xr:uid="{00000000-0005-0000-0000-0000C3600000}"/>
    <cellStyle name="Normal 2 2 5 19 3 9" xfId="24779" xr:uid="{00000000-0005-0000-0000-0000C4600000}"/>
    <cellStyle name="Normal 2 2 5 19 4" xfId="24780" xr:uid="{00000000-0005-0000-0000-0000C5600000}"/>
    <cellStyle name="Normal 2 2 5 19 4 10" xfId="24781" xr:uid="{00000000-0005-0000-0000-0000C6600000}"/>
    <cellStyle name="Normal 2 2 5 19 4 2" xfId="24782" xr:uid="{00000000-0005-0000-0000-0000C7600000}"/>
    <cellStyle name="Normal 2 2 5 19 4 3" xfId="24783" xr:uid="{00000000-0005-0000-0000-0000C8600000}"/>
    <cellStyle name="Normal 2 2 5 19 4 4" xfId="24784" xr:uid="{00000000-0005-0000-0000-0000C9600000}"/>
    <cellStyle name="Normal 2 2 5 19 4 5" xfId="24785" xr:uid="{00000000-0005-0000-0000-0000CA600000}"/>
    <cellStyle name="Normal 2 2 5 19 4 6" xfId="24786" xr:uid="{00000000-0005-0000-0000-0000CB600000}"/>
    <cellStyle name="Normal 2 2 5 19 4 7" xfId="24787" xr:uid="{00000000-0005-0000-0000-0000CC600000}"/>
    <cellStyle name="Normal 2 2 5 19 4 8" xfId="24788" xr:uid="{00000000-0005-0000-0000-0000CD600000}"/>
    <cellStyle name="Normal 2 2 5 19 4 9" xfId="24789" xr:uid="{00000000-0005-0000-0000-0000CE600000}"/>
    <cellStyle name="Normal 2 2 5 19 5" xfId="24790" xr:uid="{00000000-0005-0000-0000-0000CF600000}"/>
    <cellStyle name="Normal 2 2 5 19 5 10" xfId="24791" xr:uid="{00000000-0005-0000-0000-0000D0600000}"/>
    <cellStyle name="Normal 2 2 5 19 5 2" xfId="24792" xr:uid="{00000000-0005-0000-0000-0000D1600000}"/>
    <cellStyle name="Normal 2 2 5 19 5 3" xfId="24793" xr:uid="{00000000-0005-0000-0000-0000D2600000}"/>
    <cellStyle name="Normal 2 2 5 19 5 4" xfId="24794" xr:uid="{00000000-0005-0000-0000-0000D3600000}"/>
    <cellStyle name="Normal 2 2 5 19 5 5" xfId="24795" xr:uid="{00000000-0005-0000-0000-0000D4600000}"/>
    <cellStyle name="Normal 2 2 5 19 5 6" xfId="24796" xr:uid="{00000000-0005-0000-0000-0000D5600000}"/>
    <cellStyle name="Normal 2 2 5 19 5 7" xfId="24797" xr:uid="{00000000-0005-0000-0000-0000D6600000}"/>
    <cellStyle name="Normal 2 2 5 19 5 8" xfId="24798" xr:uid="{00000000-0005-0000-0000-0000D7600000}"/>
    <cellStyle name="Normal 2 2 5 19 5 9" xfId="24799" xr:uid="{00000000-0005-0000-0000-0000D8600000}"/>
    <cellStyle name="Normal 2 2 5 19 6" xfId="24800" xr:uid="{00000000-0005-0000-0000-0000D9600000}"/>
    <cellStyle name="Normal 2 2 5 19 7" xfId="24801" xr:uid="{00000000-0005-0000-0000-0000DA600000}"/>
    <cellStyle name="Normal 2 2 5 19 8" xfId="24802" xr:uid="{00000000-0005-0000-0000-0000DB600000}"/>
    <cellStyle name="Normal 2 2 5 19 9" xfId="24803" xr:uid="{00000000-0005-0000-0000-0000DC600000}"/>
    <cellStyle name="Normal 2 2 5 2" xfId="24804" xr:uid="{00000000-0005-0000-0000-0000DD600000}"/>
    <cellStyle name="Normal 2 2 5 2 10" xfId="24805" xr:uid="{00000000-0005-0000-0000-0000DE600000}"/>
    <cellStyle name="Normal 2 2 5 2 11" xfId="24806" xr:uid="{00000000-0005-0000-0000-0000DF600000}"/>
    <cellStyle name="Normal 2 2 5 2 12" xfId="24807" xr:uid="{00000000-0005-0000-0000-0000E0600000}"/>
    <cellStyle name="Normal 2 2 5 2 13" xfId="24808" xr:uid="{00000000-0005-0000-0000-0000E1600000}"/>
    <cellStyle name="Normal 2 2 5 2 14" xfId="24809" xr:uid="{00000000-0005-0000-0000-0000E2600000}"/>
    <cellStyle name="Normal 2 2 5 2 15" xfId="24810" xr:uid="{00000000-0005-0000-0000-0000E3600000}"/>
    <cellStyle name="Normal 2 2 5 2 16" xfId="24811" xr:uid="{00000000-0005-0000-0000-0000E4600000}"/>
    <cellStyle name="Normal 2 2 5 2 17" xfId="24812" xr:uid="{00000000-0005-0000-0000-0000E5600000}"/>
    <cellStyle name="Normal 2 2 5 2 18" xfId="24813" xr:uid="{00000000-0005-0000-0000-0000E6600000}"/>
    <cellStyle name="Normal 2 2 5 2 19" xfId="24814" xr:uid="{00000000-0005-0000-0000-0000E7600000}"/>
    <cellStyle name="Normal 2 2 5 2 2" xfId="24815" xr:uid="{00000000-0005-0000-0000-0000E8600000}"/>
    <cellStyle name="Normal 2 2 5 2 20" xfId="24816" xr:uid="{00000000-0005-0000-0000-0000E9600000}"/>
    <cellStyle name="Normal 2 2 5 2 21" xfId="24817" xr:uid="{00000000-0005-0000-0000-0000EA600000}"/>
    <cellStyle name="Normal 2 2 5 2 21 10" xfId="24818" xr:uid="{00000000-0005-0000-0000-0000EB600000}"/>
    <cellStyle name="Normal 2 2 5 2 21 2" xfId="24819" xr:uid="{00000000-0005-0000-0000-0000EC600000}"/>
    <cellStyle name="Normal 2 2 5 2 21 3" xfId="24820" xr:uid="{00000000-0005-0000-0000-0000ED600000}"/>
    <cellStyle name="Normal 2 2 5 2 21 4" xfId="24821" xr:uid="{00000000-0005-0000-0000-0000EE600000}"/>
    <cellStyle name="Normal 2 2 5 2 21 5" xfId="24822" xr:uid="{00000000-0005-0000-0000-0000EF600000}"/>
    <cellStyle name="Normal 2 2 5 2 21 6" xfId="24823" xr:uid="{00000000-0005-0000-0000-0000F0600000}"/>
    <cellStyle name="Normal 2 2 5 2 21 7" xfId="24824" xr:uid="{00000000-0005-0000-0000-0000F1600000}"/>
    <cellStyle name="Normal 2 2 5 2 21 8" xfId="24825" xr:uid="{00000000-0005-0000-0000-0000F2600000}"/>
    <cellStyle name="Normal 2 2 5 2 21 9" xfId="24826" xr:uid="{00000000-0005-0000-0000-0000F3600000}"/>
    <cellStyle name="Normal 2 2 5 2 22" xfId="24827" xr:uid="{00000000-0005-0000-0000-0000F4600000}"/>
    <cellStyle name="Normal 2 2 5 2 22 10" xfId="24828" xr:uid="{00000000-0005-0000-0000-0000F5600000}"/>
    <cellStyle name="Normal 2 2 5 2 22 2" xfId="24829" xr:uid="{00000000-0005-0000-0000-0000F6600000}"/>
    <cellStyle name="Normal 2 2 5 2 22 3" xfId="24830" xr:uid="{00000000-0005-0000-0000-0000F7600000}"/>
    <cellStyle name="Normal 2 2 5 2 22 4" xfId="24831" xr:uid="{00000000-0005-0000-0000-0000F8600000}"/>
    <cellStyle name="Normal 2 2 5 2 22 5" xfId="24832" xr:uid="{00000000-0005-0000-0000-0000F9600000}"/>
    <cellStyle name="Normal 2 2 5 2 22 6" xfId="24833" xr:uid="{00000000-0005-0000-0000-0000FA600000}"/>
    <cellStyle name="Normal 2 2 5 2 22 7" xfId="24834" xr:uid="{00000000-0005-0000-0000-0000FB600000}"/>
    <cellStyle name="Normal 2 2 5 2 22 8" xfId="24835" xr:uid="{00000000-0005-0000-0000-0000FC600000}"/>
    <cellStyle name="Normal 2 2 5 2 22 9" xfId="24836" xr:uid="{00000000-0005-0000-0000-0000FD600000}"/>
    <cellStyle name="Normal 2 2 5 2 23" xfId="24837" xr:uid="{00000000-0005-0000-0000-0000FE600000}"/>
    <cellStyle name="Normal 2 2 5 2 23 10" xfId="24838" xr:uid="{00000000-0005-0000-0000-0000FF600000}"/>
    <cellStyle name="Normal 2 2 5 2 23 2" xfId="24839" xr:uid="{00000000-0005-0000-0000-000000610000}"/>
    <cellStyle name="Normal 2 2 5 2 23 3" xfId="24840" xr:uid="{00000000-0005-0000-0000-000001610000}"/>
    <cellStyle name="Normal 2 2 5 2 23 4" xfId="24841" xr:uid="{00000000-0005-0000-0000-000002610000}"/>
    <cellStyle name="Normal 2 2 5 2 23 5" xfId="24842" xr:uid="{00000000-0005-0000-0000-000003610000}"/>
    <cellStyle name="Normal 2 2 5 2 23 6" xfId="24843" xr:uid="{00000000-0005-0000-0000-000004610000}"/>
    <cellStyle name="Normal 2 2 5 2 23 7" xfId="24844" xr:uid="{00000000-0005-0000-0000-000005610000}"/>
    <cellStyle name="Normal 2 2 5 2 23 8" xfId="24845" xr:uid="{00000000-0005-0000-0000-000006610000}"/>
    <cellStyle name="Normal 2 2 5 2 23 9" xfId="24846" xr:uid="{00000000-0005-0000-0000-000007610000}"/>
    <cellStyle name="Normal 2 2 5 2 24" xfId="24847" xr:uid="{00000000-0005-0000-0000-000008610000}"/>
    <cellStyle name="Normal 2 2 5 2 24 10" xfId="24848" xr:uid="{00000000-0005-0000-0000-000009610000}"/>
    <cellStyle name="Normal 2 2 5 2 24 2" xfId="24849" xr:uid="{00000000-0005-0000-0000-00000A610000}"/>
    <cellStyle name="Normal 2 2 5 2 24 3" xfId="24850" xr:uid="{00000000-0005-0000-0000-00000B610000}"/>
    <cellStyle name="Normal 2 2 5 2 24 4" xfId="24851" xr:uid="{00000000-0005-0000-0000-00000C610000}"/>
    <cellStyle name="Normal 2 2 5 2 24 5" xfId="24852" xr:uid="{00000000-0005-0000-0000-00000D610000}"/>
    <cellStyle name="Normal 2 2 5 2 24 6" xfId="24853" xr:uid="{00000000-0005-0000-0000-00000E610000}"/>
    <cellStyle name="Normal 2 2 5 2 24 7" xfId="24854" xr:uid="{00000000-0005-0000-0000-00000F610000}"/>
    <cellStyle name="Normal 2 2 5 2 24 8" xfId="24855" xr:uid="{00000000-0005-0000-0000-000010610000}"/>
    <cellStyle name="Normal 2 2 5 2 24 9" xfId="24856" xr:uid="{00000000-0005-0000-0000-000011610000}"/>
    <cellStyle name="Normal 2 2 5 2 25" xfId="24857" xr:uid="{00000000-0005-0000-0000-000012610000}"/>
    <cellStyle name="Normal 2 2 5 2 26" xfId="24858" xr:uid="{00000000-0005-0000-0000-000013610000}"/>
    <cellStyle name="Normal 2 2 5 2 27" xfId="24859" xr:uid="{00000000-0005-0000-0000-000014610000}"/>
    <cellStyle name="Normal 2 2 5 2 28" xfId="24860" xr:uid="{00000000-0005-0000-0000-000015610000}"/>
    <cellStyle name="Normal 2 2 5 2 29" xfId="24861" xr:uid="{00000000-0005-0000-0000-000016610000}"/>
    <cellStyle name="Normal 2 2 5 2 3" xfId="24862" xr:uid="{00000000-0005-0000-0000-000017610000}"/>
    <cellStyle name="Normal 2 2 5 2 30" xfId="24863" xr:uid="{00000000-0005-0000-0000-000018610000}"/>
    <cellStyle name="Normal 2 2 5 2 31" xfId="24864" xr:uid="{00000000-0005-0000-0000-000019610000}"/>
    <cellStyle name="Normal 2 2 5 2 32" xfId="24865" xr:uid="{00000000-0005-0000-0000-00001A610000}"/>
    <cellStyle name="Normal 2 2 5 2 33" xfId="24866" xr:uid="{00000000-0005-0000-0000-00001B610000}"/>
    <cellStyle name="Normal 2 2 5 2 4" xfId="24867" xr:uid="{00000000-0005-0000-0000-00001C610000}"/>
    <cellStyle name="Normal 2 2 5 2 5" xfId="24868" xr:uid="{00000000-0005-0000-0000-00001D610000}"/>
    <cellStyle name="Normal 2 2 5 2 6" xfId="24869" xr:uid="{00000000-0005-0000-0000-00001E610000}"/>
    <cellStyle name="Normal 2 2 5 2 7" xfId="24870" xr:uid="{00000000-0005-0000-0000-00001F610000}"/>
    <cellStyle name="Normal 2 2 5 2 8" xfId="24871" xr:uid="{00000000-0005-0000-0000-000020610000}"/>
    <cellStyle name="Normal 2 2 5 2 9" xfId="24872" xr:uid="{00000000-0005-0000-0000-000021610000}"/>
    <cellStyle name="Normal 2 2 5 20" xfId="24873" xr:uid="{00000000-0005-0000-0000-000022610000}"/>
    <cellStyle name="Normal 2 2 5 20 10" xfId="24874" xr:uid="{00000000-0005-0000-0000-000023610000}"/>
    <cellStyle name="Normal 2 2 5 20 11" xfId="24875" xr:uid="{00000000-0005-0000-0000-000024610000}"/>
    <cellStyle name="Normal 2 2 5 20 12" xfId="24876" xr:uid="{00000000-0005-0000-0000-000025610000}"/>
    <cellStyle name="Normal 2 2 5 20 13" xfId="24877" xr:uid="{00000000-0005-0000-0000-000026610000}"/>
    <cellStyle name="Normal 2 2 5 20 14" xfId="24878" xr:uid="{00000000-0005-0000-0000-000027610000}"/>
    <cellStyle name="Normal 2 2 5 20 2" xfId="24879" xr:uid="{00000000-0005-0000-0000-000028610000}"/>
    <cellStyle name="Normal 2 2 5 20 2 10" xfId="24880" xr:uid="{00000000-0005-0000-0000-000029610000}"/>
    <cellStyle name="Normal 2 2 5 20 2 2" xfId="24881" xr:uid="{00000000-0005-0000-0000-00002A610000}"/>
    <cellStyle name="Normal 2 2 5 20 2 3" xfId="24882" xr:uid="{00000000-0005-0000-0000-00002B610000}"/>
    <cellStyle name="Normal 2 2 5 20 2 4" xfId="24883" xr:uid="{00000000-0005-0000-0000-00002C610000}"/>
    <cellStyle name="Normal 2 2 5 20 2 5" xfId="24884" xr:uid="{00000000-0005-0000-0000-00002D610000}"/>
    <cellStyle name="Normal 2 2 5 20 2 6" xfId="24885" xr:uid="{00000000-0005-0000-0000-00002E610000}"/>
    <cellStyle name="Normal 2 2 5 20 2 7" xfId="24886" xr:uid="{00000000-0005-0000-0000-00002F610000}"/>
    <cellStyle name="Normal 2 2 5 20 2 8" xfId="24887" xr:uid="{00000000-0005-0000-0000-000030610000}"/>
    <cellStyle name="Normal 2 2 5 20 2 9" xfId="24888" xr:uid="{00000000-0005-0000-0000-000031610000}"/>
    <cellStyle name="Normal 2 2 5 20 3" xfId="24889" xr:uid="{00000000-0005-0000-0000-000032610000}"/>
    <cellStyle name="Normal 2 2 5 20 3 10" xfId="24890" xr:uid="{00000000-0005-0000-0000-000033610000}"/>
    <cellStyle name="Normal 2 2 5 20 3 2" xfId="24891" xr:uid="{00000000-0005-0000-0000-000034610000}"/>
    <cellStyle name="Normal 2 2 5 20 3 3" xfId="24892" xr:uid="{00000000-0005-0000-0000-000035610000}"/>
    <cellStyle name="Normal 2 2 5 20 3 4" xfId="24893" xr:uid="{00000000-0005-0000-0000-000036610000}"/>
    <cellStyle name="Normal 2 2 5 20 3 5" xfId="24894" xr:uid="{00000000-0005-0000-0000-000037610000}"/>
    <cellStyle name="Normal 2 2 5 20 3 6" xfId="24895" xr:uid="{00000000-0005-0000-0000-000038610000}"/>
    <cellStyle name="Normal 2 2 5 20 3 7" xfId="24896" xr:uid="{00000000-0005-0000-0000-000039610000}"/>
    <cellStyle name="Normal 2 2 5 20 3 8" xfId="24897" xr:uid="{00000000-0005-0000-0000-00003A610000}"/>
    <cellStyle name="Normal 2 2 5 20 3 9" xfId="24898" xr:uid="{00000000-0005-0000-0000-00003B610000}"/>
    <cellStyle name="Normal 2 2 5 20 4" xfId="24899" xr:uid="{00000000-0005-0000-0000-00003C610000}"/>
    <cellStyle name="Normal 2 2 5 20 4 10" xfId="24900" xr:uid="{00000000-0005-0000-0000-00003D610000}"/>
    <cellStyle name="Normal 2 2 5 20 4 2" xfId="24901" xr:uid="{00000000-0005-0000-0000-00003E610000}"/>
    <cellStyle name="Normal 2 2 5 20 4 3" xfId="24902" xr:uid="{00000000-0005-0000-0000-00003F610000}"/>
    <cellStyle name="Normal 2 2 5 20 4 4" xfId="24903" xr:uid="{00000000-0005-0000-0000-000040610000}"/>
    <cellStyle name="Normal 2 2 5 20 4 5" xfId="24904" xr:uid="{00000000-0005-0000-0000-000041610000}"/>
    <cellStyle name="Normal 2 2 5 20 4 6" xfId="24905" xr:uid="{00000000-0005-0000-0000-000042610000}"/>
    <cellStyle name="Normal 2 2 5 20 4 7" xfId="24906" xr:uid="{00000000-0005-0000-0000-000043610000}"/>
    <cellStyle name="Normal 2 2 5 20 4 8" xfId="24907" xr:uid="{00000000-0005-0000-0000-000044610000}"/>
    <cellStyle name="Normal 2 2 5 20 4 9" xfId="24908" xr:uid="{00000000-0005-0000-0000-000045610000}"/>
    <cellStyle name="Normal 2 2 5 20 5" xfId="24909" xr:uid="{00000000-0005-0000-0000-000046610000}"/>
    <cellStyle name="Normal 2 2 5 20 5 10" xfId="24910" xr:uid="{00000000-0005-0000-0000-000047610000}"/>
    <cellStyle name="Normal 2 2 5 20 5 2" xfId="24911" xr:uid="{00000000-0005-0000-0000-000048610000}"/>
    <cellStyle name="Normal 2 2 5 20 5 3" xfId="24912" xr:uid="{00000000-0005-0000-0000-000049610000}"/>
    <cellStyle name="Normal 2 2 5 20 5 4" xfId="24913" xr:uid="{00000000-0005-0000-0000-00004A610000}"/>
    <cellStyle name="Normal 2 2 5 20 5 5" xfId="24914" xr:uid="{00000000-0005-0000-0000-00004B610000}"/>
    <cellStyle name="Normal 2 2 5 20 5 6" xfId="24915" xr:uid="{00000000-0005-0000-0000-00004C610000}"/>
    <cellStyle name="Normal 2 2 5 20 5 7" xfId="24916" xr:uid="{00000000-0005-0000-0000-00004D610000}"/>
    <cellStyle name="Normal 2 2 5 20 5 8" xfId="24917" xr:uid="{00000000-0005-0000-0000-00004E610000}"/>
    <cellStyle name="Normal 2 2 5 20 5 9" xfId="24918" xr:uid="{00000000-0005-0000-0000-00004F610000}"/>
    <cellStyle name="Normal 2 2 5 20 6" xfId="24919" xr:uid="{00000000-0005-0000-0000-000050610000}"/>
    <cellStyle name="Normal 2 2 5 20 7" xfId="24920" xr:uid="{00000000-0005-0000-0000-000051610000}"/>
    <cellStyle name="Normal 2 2 5 20 8" xfId="24921" xr:uid="{00000000-0005-0000-0000-000052610000}"/>
    <cellStyle name="Normal 2 2 5 20 9" xfId="24922" xr:uid="{00000000-0005-0000-0000-000053610000}"/>
    <cellStyle name="Normal 2 2 5 21" xfId="24923" xr:uid="{00000000-0005-0000-0000-000054610000}"/>
    <cellStyle name="Normal 2 2 5 22" xfId="24924" xr:uid="{00000000-0005-0000-0000-000055610000}"/>
    <cellStyle name="Normal 2 2 5 23" xfId="24925" xr:uid="{00000000-0005-0000-0000-000056610000}"/>
    <cellStyle name="Normal 2 2 5 3" xfId="24926" xr:uid="{00000000-0005-0000-0000-000057610000}"/>
    <cellStyle name="Normal 2 2 5 3 10" xfId="24927" xr:uid="{00000000-0005-0000-0000-000058610000}"/>
    <cellStyle name="Normal 2 2 5 3 11" xfId="24928" xr:uid="{00000000-0005-0000-0000-000059610000}"/>
    <cellStyle name="Normal 2 2 5 3 12" xfId="24929" xr:uid="{00000000-0005-0000-0000-00005A610000}"/>
    <cellStyle name="Normal 2 2 5 3 13" xfId="24930" xr:uid="{00000000-0005-0000-0000-00005B610000}"/>
    <cellStyle name="Normal 2 2 5 3 14" xfId="24931" xr:uid="{00000000-0005-0000-0000-00005C610000}"/>
    <cellStyle name="Normal 2 2 5 3 2" xfId="24932" xr:uid="{00000000-0005-0000-0000-00005D610000}"/>
    <cellStyle name="Normal 2 2 5 3 2 10" xfId="24933" xr:uid="{00000000-0005-0000-0000-00005E610000}"/>
    <cellStyle name="Normal 2 2 5 3 2 2" xfId="24934" xr:uid="{00000000-0005-0000-0000-00005F610000}"/>
    <cellStyle name="Normal 2 2 5 3 2 3" xfId="24935" xr:uid="{00000000-0005-0000-0000-000060610000}"/>
    <cellStyle name="Normal 2 2 5 3 2 4" xfId="24936" xr:uid="{00000000-0005-0000-0000-000061610000}"/>
    <cellStyle name="Normal 2 2 5 3 2 5" xfId="24937" xr:uid="{00000000-0005-0000-0000-000062610000}"/>
    <cellStyle name="Normal 2 2 5 3 2 6" xfId="24938" xr:uid="{00000000-0005-0000-0000-000063610000}"/>
    <cellStyle name="Normal 2 2 5 3 2 7" xfId="24939" xr:uid="{00000000-0005-0000-0000-000064610000}"/>
    <cellStyle name="Normal 2 2 5 3 2 8" xfId="24940" xr:uid="{00000000-0005-0000-0000-000065610000}"/>
    <cellStyle name="Normal 2 2 5 3 2 9" xfId="24941" xr:uid="{00000000-0005-0000-0000-000066610000}"/>
    <cellStyle name="Normal 2 2 5 3 3" xfId="24942" xr:uid="{00000000-0005-0000-0000-000067610000}"/>
    <cellStyle name="Normal 2 2 5 3 3 10" xfId="24943" xr:uid="{00000000-0005-0000-0000-000068610000}"/>
    <cellStyle name="Normal 2 2 5 3 3 2" xfId="24944" xr:uid="{00000000-0005-0000-0000-000069610000}"/>
    <cellStyle name="Normal 2 2 5 3 3 3" xfId="24945" xr:uid="{00000000-0005-0000-0000-00006A610000}"/>
    <cellStyle name="Normal 2 2 5 3 3 4" xfId="24946" xr:uid="{00000000-0005-0000-0000-00006B610000}"/>
    <cellStyle name="Normal 2 2 5 3 3 5" xfId="24947" xr:uid="{00000000-0005-0000-0000-00006C610000}"/>
    <cellStyle name="Normal 2 2 5 3 3 6" xfId="24948" xr:uid="{00000000-0005-0000-0000-00006D610000}"/>
    <cellStyle name="Normal 2 2 5 3 3 7" xfId="24949" xr:uid="{00000000-0005-0000-0000-00006E610000}"/>
    <cellStyle name="Normal 2 2 5 3 3 8" xfId="24950" xr:uid="{00000000-0005-0000-0000-00006F610000}"/>
    <cellStyle name="Normal 2 2 5 3 3 9" xfId="24951" xr:uid="{00000000-0005-0000-0000-000070610000}"/>
    <cellStyle name="Normal 2 2 5 3 4" xfId="24952" xr:uid="{00000000-0005-0000-0000-000071610000}"/>
    <cellStyle name="Normal 2 2 5 3 4 10" xfId="24953" xr:uid="{00000000-0005-0000-0000-000072610000}"/>
    <cellStyle name="Normal 2 2 5 3 4 2" xfId="24954" xr:uid="{00000000-0005-0000-0000-000073610000}"/>
    <cellStyle name="Normal 2 2 5 3 4 3" xfId="24955" xr:uid="{00000000-0005-0000-0000-000074610000}"/>
    <cellStyle name="Normal 2 2 5 3 4 4" xfId="24956" xr:uid="{00000000-0005-0000-0000-000075610000}"/>
    <cellStyle name="Normal 2 2 5 3 4 5" xfId="24957" xr:uid="{00000000-0005-0000-0000-000076610000}"/>
    <cellStyle name="Normal 2 2 5 3 4 6" xfId="24958" xr:uid="{00000000-0005-0000-0000-000077610000}"/>
    <cellStyle name="Normal 2 2 5 3 4 7" xfId="24959" xr:uid="{00000000-0005-0000-0000-000078610000}"/>
    <cellStyle name="Normal 2 2 5 3 4 8" xfId="24960" xr:uid="{00000000-0005-0000-0000-000079610000}"/>
    <cellStyle name="Normal 2 2 5 3 4 9" xfId="24961" xr:uid="{00000000-0005-0000-0000-00007A610000}"/>
    <cellStyle name="Normal 2 2 5 3 5" xfId="24962" xr:uid="{00000000-0005-0000-0000-00007B610000}"/>
    <cellStyle name="Normal 2 2 5 3 5 10" xfId="24963" xr:uid="{00000000-0005-0000-0000-00007C610000}"/>
    <cellStyle name="Normal 2 2 5 3 5 2" xfId="24964" xr:uid="{00000000-0005-0000-0000-00007D610000}"/>
    <cellStyle name="Normal 2 2 5 3 5 3" xfId="24965" xr:uid="{00000000-0005-0000-0000-00007E610000}"/>
    <cellStyle name="Normal 2 2 5 3 5 4" xfId="24966" xr:uid="{00000000-0005-0000-0000-00007F610000}"/>
    <cellStyle name="Normal 2 2 5 3 5 5" xfId="24967" xr:uid="{00000000-0005-0000-0000-000080610000}"/>
    <cellStyle name="Normal 2 2 5 3 5 6" xfId="24968" xr:uid="{00000000-0005-0000-0000-000081610000}"/>
    <cellStyle name="Normal 2 2 5 3 5 7" xfId="24969" xr:uid="{00000000-0005-0000-0000-000082610000}"/>
    <cellStyle name="Normal 2 2 5 3 5 8" xfId="24970" xr:uid="{00000000-0005-0000-0000-000083610000}"/>
    <cellStyle name="Normal 2 2 5 3 5 9" xfId="24971" xr:uid="{00000000-0005-0000-0000-000084610000}"/>
    <cellStyle name="Normal 2 2 5 3 6" xfId="24972" xr:uid="{00000000-0005-0000-0000-000085610000}"/>
    <cellStyle name="Normal 2 2 5 3 7" xfId="24973" xr:uid="{00000000-0005-0000-0000-000086610000}"/>
    <cellStyle name="Normal 2 2 5 3 8" xfId="24974" xr:uid="{00000000-0005-0000-0000-000087610000}"/>
    <cellStyle name="Normal 2 2 5 3 9" xfId="24975" xr:uid="{00000000-0005-0000-0000-000088610000}"/>
    <cellStyle name="Normal 2 2 5 4" xfId="24976" xr:uid="{00000000-0005-0000-0000-000089610000}"/>
    <cellStyle name="Normal 2 2 5 4 10" xfId="24977" xr:uid="{00000000-0005-0000-0000-00008A610000}"/>
    <cellStyle name="Normal 2 2 5 4 11" xfId="24978" xr:uid="{00000000-0005-0000-0000-00008B610000}"/>
    <cellStyle name="Normal 2 2 5 4 12" xfId="24979" xr:uid="{00000000-0005-0000-0000-00008C610000}"/>
    <cellStyle name="Normal 2 2 5 4 13" xfId="24980" xr:uid="{00000000-0005-0000-0000-00008D610000}"/>
    <cellStyle name="Normal 2 2 5 4 14" xfId="24981" xr:uid="{00000000-0005-0000-0000-00008E610000}"/>
    <cellStyle name="Normal 2 2 5 4 2" xfId="24982" xr:uid="{00000000-0005-0000-0000-00008F610000}"/>
    <cellStyle name="Normal 2 2 5 4 2 10" xfId="24983" xr:uid="{00000000-0005-0000-0000-000090610000}"/>
    <cellStyle name="Normal 2 2 5 4 2 2" xfId="24984" xr:uid="{00000000-0005-0000-0000-000091610000}"/>
    <cellStyle name="Normal 2 2 5 4 2 3" xfId="24985" xr:uid="{00000000-0005-0000-0000-000092610000}"/>
    <cellStyle name="Normal 2 2 5 4 2 4" xfId="24986" xr:uid="{00000000-0005-0000-0000-000093610000}"/>
    <cellStyle name="Normal 2 2 5 4 2 5" xfId="24987" xr:uid="{00000000-0005-0000-0000-000094610000}"/>
    <cellStyle name="Normal 2 2 5 4 2 6" xfId="24988" xr:uid="{00000000-0005-0000-0000-000095610000}"/>
    <cellStyle name="Normal 2 2 5 4 2 7" xfId="24989" xr:uid="{00000000-0005-0000-0000-000096610000}"/>
    <cellStyle name="Normal 2 2 5 4 2 8" xfId="24990" xr:uid="{00000000-0005-0000-0000-000097610000}"/>
    <cellStyle name="Normal 2 2 5 4 2 9" xfId="24991" xr:uid="{00000000-0005-0000-0000-000098610000}"/>
    <cellStyle name="Normal 2 2 5 4 3" xfId="24992" xr:uid="{00000000-0005-0000-0000-000099610000}"/>
    <cellStyle name="Normal 2 2 5 4 3 10" xfId="24993" xr:uid="{00000000-0005-0000-0000-00009A610000}"/>
    <cellStyle name="Normal 2 2 5 4 3 2" xfId="24994" xr:uid="{00000000-0005-0000-0000-00009B610000}"/>
    <cellStyle name="Normal 2 2 5 4 3 3" xfId="24995" xr:uid="{00000000-0005-0000-0000-00009C610000}"/>
    <cellStyle name="Normal 2 2 5 4 3 4" xfId="24996" xr:uid="{00000000-0005-0000-0000-00009D610000}"/>
    <cellStyle name="Normal 2 2 5 4 3 5" xfId="24997" xr:uid="{00000000-0005-0000-0000-00009E610000}"/>
    <cellStyle name="Normal 2 2 5 4 3 6" xfId="24998" xr:uid="{00000000-0005-0000-0000-00009F610000}"/>
    <cellStyle name="Normal 2 2 5 4 3 7" xfId="24999" xr:uid="{00000000-0005-0000-0000-0000A0610000}"/>
    <cellStyle name="Normal 2 2 5 4 3 8" xfId="25000" xr:uid="{00000000-0005-0000-0000-0000A1610000}"/>
    <cellStyle name="Normal 2 2 5 4 3 9" xfId="25001" xr:uid="{00000000-0005-0000-0000-0000A2610000}"/>
    <cellStyle name="Normal 2 2 5 4 4" xfId="25002" xr:uid="{00000000-0005-0000-0000-0000A3610000}"/>
    <cellStyle name="Normal 2 2 5 4 4 10" xfId="25003" xr:uid="{00000000-0005-0000-0000-0000A4610000}"/>
    <cellStyle name="Normal 2 2 5 4 4 2" xfId="25004" xr:uid="{00000000-0005-0000-0000-0000A5610000}"/>
    <cellStyle name="Normal 2 2 5 4 4 3" xfId="25005" xr:uid="{00000000-0005-0000-0000-0000A6610000}"/>
    <cellStyle name="Normal 2 2 5 4 4 4" xfId="25006" xr:uid="{00000000-0005-0000-0000-0000A7610000}"/>
    <cellStyle name="Normal 2 2 5 4 4 5" xfId="25007" xr:uid="{00000000-0005-0000-0000-0000A8610000}"/>
    <cellStyle name="Normal 2 2 5 4 4 6" xfId="25008" xr:uid="{00000000-0005-0000-0000-0000A9610000}"/>
    <cellStyle name="Normal 2 2 5 4 4 7" xfId="25009" xr:uid="{00000000-0005-0000-0000-0000AA610000}"/>
    <cellStyle name="Normal 2 2 5 4 4 8" xfId="25010" xr:uid="{00000000-0005-0000-0000-0000AB610000}"/>
    <cellStyle name="Normal 2 2 5 4 4 9" xfId="25011" xr:uid="{00000000-0005-0000-0000-0000AC610000}"/>
    <cellStyle name="Normal 2 2 5 4 5" xfId="25012" xr:uid="{00000000-0005-0000-0000-0000AD610000}"/>
    <cellStyle name="Normal 2 2 5 4 5 10" xfId="25013" xr:uid="{00000000-0005-0000-0000-0000AE610000}"/>
    <cellStyle name="Normal 2 2 5 4 5 2" xfId="25014" xr:uid="{00000000-0005-0000-0000-0000AF610000}"/>
    <cellStyle name="Normal 2 2 5 4 5 3" xfId="25015" xr:uid="{00000000-0005-0000-0000-0000B0610000}"/>
    <cellStyle name="Normal 2 2 5 4 5 4" xfId="25016" xr:uid="{00000000-0005-0000-0000-0000B1610000}"/>
    <cellStyle name="Normal 2 2 5 4 5 5" xfId="25017" xr:uid="{00000000-0005-0000-0000-0000B2610000}"/>
    <cellStyle name="Normal 2 2 5 4 5 6" xfId="25018" xr:uid="{00000000-0005-0000-0000-0000B3610000}"/>
    <cellStyle name="Normal 2 2 5 4 5 7" xfId="25019" xr:uid="{00000000-0005-0000-0000-0000B4610000}"/>
    <cellStyle name="Normal 2 2 5 4 5 8" xfId="25020" xr:uid="{00000000-0005-0000-0000-0000B5610000}"/>
    <cellStyle name="Normal 2 2 5 4 5 9" xfId="25021" xr:uid="{00000000-0005-0000-0000-0000B6610000}"/>
    <cellStyle name="Normal 2 2 5 4 6" xfId="25022" xr:uid="{00000000-0005-0000-0000-0000B7610000}"/>
    <cellStyle name="Normal 2 2 5 4 7" xfId="25023" xr:uid="{00000000-0005-0000-0000-0000B8610000}"/>
    <cellStyle name="Normal 2 2 5 4 8" xfId="25024" xr:uid="{00000000-0005-0000-0000-0000B9610000}"/>
    <cellStyle name="Normal 2 2 5 4 9" xfId="25025" xr:uid="{00000000-0005-0000-0000-0000BA610000}"/>
    <cellStyle name="Normal 2 2 5 5" xfId="25026" xr:uid="{00000000-0005-0000-0000-0000BB610000}"/>
    <cellStyle name="Normal 2 2 5 5 10" xfId="25027" xr:uid="{00000000-0005-0000-0000-0000BC610000}"/>
    <cellStyle name="Normal 2 2 5 5 11" xfId="25028" xr:uid="{00000000-0005-0000-0000-0000BD610000}"/>
    <cellStyle name="Normal 2 2 5 5 12" xfId="25029" xr:uid="{00000000-0005-0000-0000-0000BE610000}"/>
    <cellStyle name="Normal 2 2 5 5 13" xfId="25030" xr:uid="{00000000-0005-0000-0000-0000BF610000}"/>
    <cellStyle name="Normal 2 2 5 5 14" xfId="25031" xr:uid="{00000000-0005-0000-0000-0000C0610000}"/>
    <cellStyle name="Normal 2 2 5 5 2" xfId="25032" xr:uid="{00000000-0005-0000-0000-0000C1610000}"/>
    <cellStyle name="Normal 2 2 5 5 2 10" xfId="25033" xr:uid="{00000000-0005-0000-0000-0000C2610000}"/>
    <cellStyle name="Normal 2 2 5 5 2 2" xfId="25034" xr:uid="{00000000-0005-0000-0000-0000C3610000}"/>
    <cellStyle name="Normal 2 2 5 5 2 3" xfId="25035" xr:uid="{00000000-0005-0000-0000-0000C4610000}"/>
    <cellStyle name="Normal 2 2 5 5 2 4" xfId="25036" xr:uid="{00000000-0005-0000-0000-0000C5610000}"/>
    <cellStyle name="Normal 2 2 5 5 2 5" xfId="25037" xr:uid="{00000000-0005-0000-0000-0000C6610000}"/>
    <cellStyle name="Normal 2 2 5 5 2 6" xfId="25038" xr:uid="{00000000-0005-0000-0000-0000C7610000}"/>
    <cellStyle name="Normal 2 2 5 5 2 7" xfId="25039" xr:uid="{00000000-0005-0000-0000-0000C8610000}"/>
    <cellStyle name="Normal 2 2 5 5 2 8" xfId="25040" xr:uid="{00000000-0005-0000-0000-0000C9610000}"/>
    <cellStyle name="Normal 2 2 5 5 2 9" xfId="25041" xr:uid="{00000000-0005-0000-0000-0000CA610000}"/>
    <cellStyle name="Normal 2 2 5 5 3" xfId="25042" xr:uid="{00000000-0005-0000-0000-0000CB610000}"/>
    <cellStyle name="Normal 2 2 5 5 3 10" xfId="25043" xr:uid="{00000000-0005-0000-0000-0000CC610000}"/>
    <cellStyle name="Normal 2 2 5 5 3 2" xfId="25044" xr:uid="{00000000-0005-0000-0000-0000CD610000}"/>
    <cellStyle name="Normal 2 2 5 5 3 3" xfId="25045" xr:uid="{00000000-0005-0000-0000-0000CE610000}"/>
    <cellStyle name="Normal 2 2 5 5 3 4" xfId="25046" xr:uid="{00000000-0005-0000-0000-0000CF610000}"/>
    <cellStyle name="Normal 2 2 5 5 3 5" xfId="25047" xr:uid="{00000000-0005-0000-0000-0000D0610000}"/>
    <cellStyle name="Normal 2 2 5 5 3 6" xfId="25048" xr:uid="{00000000-0005-0000-0000-0000D1610000}"/>
    <cellStyle name="Normal 2 2 5 5 3 7" xfId="25049" xr:uid="{00000000-0005-0000-0000-0000D2610000}"/>
    <cellStyle name="Normal 2 2 5 5 3 8" xfId="25050" xr:uid="{00000000-0005-0000-0000-0000D3610000}"/>
    <cellStyle name="Normal 2 2 5 5 3 9" xfId="25051" xr:uid="{00000000-0005-0000-0000-0000D4610000}"/>
    <cellStyle name="Normal 2 2 5 5 4" xfId="25052" xr:uid="{00000000-0005-0000-0000-0000D5610000}"/>
    <cellStyle name="Normal 2 2 5 5 4 10" xfId="25053" xr:uid="{00000000-0005-0000-0000-0000D6610000}"/>
    <cellStyle name="Normal 2 2 5 5 4 2" xfId="25054" xr:uid="{00000000-0005-0000-0000-0000D7610000}"/>
    <cellStyle name="Normal 2 2 5 5 4 3" xfId="25055" xr:uid="{00000000-0005-0000-0000-0000D8610000}"/>
    <cellStyle name="Normal 2 2 5 5 4 4" xfId="25056" xr:uid="{00000000-0005-0000-0000-0000D9610000}"/>
    <cellStyle name="Normal 2 2 5 5 4 5" xfId="25057" xr:uid="{00000000-0005-0000-0000-0000DA610000}"/>
    <cellStyle name="Normal 2 2 5 5 4 6" xfId="25058" xr:uid="{00000000-0005-0000-0000-0000DB610000}"/>
    <cellStyle name="Normal 2 2 5 5 4 7" xfId="25059" xr:uid="{00000000-0005-0000-0000-0000DC610000}"/>
    <cellStyle name="Normal 2 2 5 5 4 8" xfId="25060" xr:uid="{00000000-0005-0000-0000-0000DD610000}"/>
    <cellStyle name="Normal 2 2 5 5 4 9" xfId="25061" xr:uid="{00000000-0005-0000-0000-0000DE610000}"/>
    <cellStyle name="Normal 2 2 5 5 5" xfId="25062" xr:uid="{00000000-0005-0000-0000-0000DF610000}"/>
    <cellStyle name="Normal 2 2 5 5 5 10" xfId="25063" xr:uid="{00000000-0005-0000-0000-0000E0610000}"/>
    <cellStyle name="Normal 2 2 5 5 5 2" xfId="25064" xr:uid="{00000000-0005-0000-0000-0000E1610000}"/>
    <cellStyle name="Normal 2 2 5 5 5 3" xfId="25065" xr:uid="{00000000-0005-0000-0000-0000E2610000}"/>
    <cellStyle name="Normal 2 2 5 5 5 4" xfId="25066" xr:uid="{00000000-0005-0000-0000-0000E3610000}"/>
    <cellStyle name="Normal 2 2 5 5 5 5" xfId="25067" xr:uid="{00000000-0005-0000-0000-0000E4610000}"/>
    <cellStyle name="Normal 2 2 5 5 5 6" xfId="25068" xr:uid="{00000000-0005-0000-0000-0000E5610000}"/>
    <cellStyle name="Normal 2 2 5 5 5 7" xfId="25069" xr:uid="{00000000-0005-0000-0000-0000E6610000}"/>
    <cellStyle name="Normal 2 2 5 5 5 8" xfId="25070" xr:uid="{00000000-0005-0000-0000-0000E7610000}"/>
    <cellStyle name="Normal 2 2 5 5 5 9" xfId="25071" xr:uid="{00000000-0005-0000-0000-0000E8610000}"/>
    <cellStyle name="Normal 2 2 5 5 6" xfId="25072" xr:uid="{00000000-0005-0000-0000-0000E9610000}"/>
    <cellStyle name="Normal 2 2 5 5 7" xfId="25073" xr:uid="{00000000-0005-0000-0000-0000EA610000}"/>
    <cellStyle name="Normal 2 2 5 5 8" xfId="25074" xr:uid="{00000000-0005-0000-0000-0000EB610000}"/>
    <cellStyle name="Normal 2 2 5 5 9" xfId="25075" xr:uid="{00000000-0005-0000-0000-0000EC610000}"/>
    <cellStyle name="Normal 2 2 5 6" xfId="25076" xr:uid="{00000000-0005-0000-0000-0000ED610000}"/>
    <cellStyle name="Normal 2 2 5 6 10" xfId="25077" xr:uid="{00000000-0005-0000-0000-0000EE610000}"/>
    <cellStyle name="Normal 2 2 5 6 11" xfId="25078" xr:uid="{00000000-0005-0000-0000-0000EF610000}"/>
    <cellStyle name="Normal 2 2 5 6 12" xfId="25079" xr:uid="{00000000-0005-0000-0000-0000F0610000}"/>
    <cellStyle name="Normal 2 2 5 6 13" xfId="25080" xr:uid="{00000000-0005-0000-0000-0000F1610000}"/>
    <cellStyle name="Normal 2 2 5 6 14" xfId="25081" xr:uid="{00000000-0005-0000-0000-0000F2610000}"/>
    <cellStyle name="Normal 2 2 5 6 2" xfId="25082" xr:uid="{00000000-0005-0000-0000-0000F3610000}"/>
    <cellStyle name="Normal 2 2 5 6 2 10" xfId="25083" xr:uid="{00000000-0005-0000-0000-0000F4610000}"/>
    <cellStyle name="Normal 2 2 5 6 2 2" xfId="25084" xr:uid="{00000000-0005-0000-0000-0000F5610000}"/>
    <cellStyle name="Normal 2 2 5 6 2 3" xfId="25085" xr:uid="{00000000-0005-0000-0000-0000F6610000}"/>
    <cellStyle name="Normal 2 2 5 6 2 4" xfId="25086" xr:uid="{00000000-0005-0000-0000-0000F7610000}"/>
    <cellStyle name="Normal 2 2 5 6 2 5" xfId="25087" xr:uid="{00000000-0005-0000-0000-0000F8610000}"/>
    <cellStyle name="Normal 2 2 5 6 2 6" xfId="25088" xr:uid="{00000000-0005-0000-0000-0000F9610000}"/>
    <cellStyle name="Normal 2 2 5 6 2 7" xfId="25089" xr:uid="{00000000-0005-0000-0000-0000FA610000}"/>
    <cellStyle name="Normal 2 2 5 6 2 8" xfId="25090" xr:uid="{00000000-0005-0000-0000-0000FB610000}"/>
    <cellStyle name="Normal 2 2 5 6 2 9" xfId="25091" xr:uid="{00000000-0005-0000-0000-0000FC610000}"/>
    <cellStyle name="Normal 2 2 5 6 3" xfId="25092" xr:uid="{00000000-0005-0000-0000-0000FD610000}"/>
    <cellStyle name="Normal 2 2 5 6 3 10" xfId="25093" xr:uid="{00000000-0005-0000-0000-0000FE610000}"/>
    <cellStyle name="Normal 2 2 5 6 3 2" xfId="25094" xr:uid="{00000000-0005-0000-0000-0000FF610000}"/>
    <cellStyle name="Normal 2 2 5 6 3 3" xfId="25095" xr:uid="{00000000-0005-0000-0000-000000620000}"/>
    <cellStyle name="Normal 2 2 5 6 3 4" xfId="25096" xr:uid="{00000000-0005-0000-0000-000001620000}"/>
    <cellStyle name="Normal 2 2 5 6 3 5" xfId="25097" xr:uid="{00000000-0005-0000-0000-000002620000}"/>
    <cellStyle name="Normal 2 2 5 6 3 6" xfId="25098" xr:uid="{00000000-0005-0000-0000-000003620000}"/>
    <cellStyle name="Normal 2 2 5 6 3 7" xfId="25099" xr:uid="{00000000-0005-0000-0000-000004620000}"/>
    <cellStyle name="Normal 2 2 5 6 3 8" xfId="25100" xr:uid="{00000000-0005-0000-0000-000005620000}"/>
    <cellStyle name="Normal 2 2 5 6 3 9" xfId="25101" xr:uid="{00000000-0005-0000-0000-000006620000}"/>
    <cellStyle name="Normal 2 2 5 6 4" xfId="25102" xr:uid="{00000000-0005-0000-0000-000007620000}"/>
    <cellStyle name="Normal 2 2 5 6 4 10" xfId="25103" xr:uid="{00000000-0005-0000-0000-000008620000}"/>
    <cellStyle name="Normal 2 2 5 6 4 2" xfId="25104" xr:uid="{00000000-0005-0000-0000-000009620000}"/>
    <cellStyle name="Normal 2 2 5 6 4 3" xfId="25105" xr:uid="{00000000-0005-0000-0000-00000A620000}"/>
    <cellStyle name="Normal 2 2 5 6 4 4" xfId="25106" xr:uid="{00000000-0005-0000-0000-00000B620000}"/>
    <cellStyle name="Normal 2 2 5 6 4 5" xfId="25107" xr:uid="{00000000-0005-0000-0000-00000C620000}"/>
    <cellStyle name="Normal 2 2 5 6 4 6" xfId="25108" xr:uid="{00000000-0005-0000-0000-00000D620000}"/>
    <cellStyle name="Normal 2 2 5 6 4 7" xfId="25109" xr:uid="{00000000-0005-0000-0000-00000E620000}"/>
    <cellStyle name="Normal 2 2 5 6 4 8" xfId="25110" xr:uid="{00000000-0005-0000-0000-00000F620000}"/>
    <cellStyle name="Normal 2 2 5 6 4 9" xfId="25111" xr:uid="{00000000-0005-0000-0000-000010620000}"/>
    <cellStyle name="Normal 2 2 5 6 5" xfId="25112" xr:uid="{00000000-0005-0000-0000-000011620000}"/>
    <cellStyle name="Normal 2 2 5 6 5 10" xfId="25113" xr:uid="{00000000-0005-0000-0000-000012620000}"/>
    <cellStyle name="Normal 2 2 5 6 5 2" xfId="25114" xr:uid="{00000000-0005-0000-0000-000013620000}"/>
    <cellStyle name="Normal 2 2 5 6 5 3" xfId="25115" xr:uid="{00000000-0005-0000-0000-000014620000}"/>
    <cellStyle name="Normal 2 2 5 6 5 4" xfId="25116" xr:uid="{00000000-0005-0000-0000-000015620000}"/>
    <cellStyle name="Normal 2 2 5 6 5 5" xfId="25117" xr:uid="{00000000-0005-0000-0000-000016620000}"/>
    <cellStyle name="Normal 2 2 5 6 5 6" xfId="25118" xr:uid="{00000000-0005-0000-0000-000017620000}"/>
    <cellStyle name="Normal 2 2 5 6 5 7" xfId="25119" xr:uid="{00000000-0005-0000-0000-000018620000}"/>
    <cellStyle name="Normal 2 2 5 6 5 8" xfId="25120" xr:uid="{00000000-0005-0000-0000-000019620000}"/>
    <cellStyle name="Normal 2 2 5 6 5 9" xfId="25121" xr:uid="{00000000-0005-0000-0000-00001A620000}"/>
    <cellStyle name="Normal 2 2 5 6 6" xfId="25122" xr:uid="{00000000-0005-0000-0000-00001B620000}"/>
    <cellStyle name="Normal 2 2 5 6 7" xfId="25123" xr:uid="{00000000-0005-0000-0000-00001C620000}"/>
    <cellStyle name="Normal 2 2 5 6 8" xfId="25124" xr:uid="{00000000-0005-0000-0000-00001D620000}"/>
    <cellStyle name="Normal 2 2 5 6 9" xfId="25125" xr:uid="{00000000-0005-0000-0000-00001E620000}"/>
    <cellStyle name="Normal 2 2 5 7" xfId="25126" xr:uid="{00000000-0005-0000-0000-00001F620000}"/>
    <cellStyle name="Normal 2 2 5 7 10" xfId="25127" xr:uid="{00000000-0005-0000-0000-000020620000}"/>
    <cellStyle name="Normal 2 2 5 7 11" xfId="25128" xr:uid="{00000000-0005-0000-0000-000021620000}"/>
    <cellStyle name="Normal 2 2 5 7 12" xfId="25129" xr:uid="{00000000-0005-0000-0000-000022620000}"/>
    <cellStyle name="Normal 2 2 5 7 13" xfId="25130" xr:uid="{00000000-0005-0000-0000-000023620000}"/>
    <cellStyle name="Normal 2 2 5 7 14" xfId="25131" xr:uid="{00000000-0005-0000-0000-000024620000}"/>
    <cellStyle name="Normal 2 2 5 7 2" xfId="25132" xr:uid="{00000000-0005-0000-0000-000025620000}"/>
    <cellStyle name="Normal 2 2 5 7 2 10" xfId="25133" xr:uid="{00000000-0005-0000-0000-000026620000}"/>
    <cellStyle name="Normal 2 2 5 7 2 2" xfId="25134" xr:uid="{00000000-0005-0000-0000-000027620000}"/>
    <cellStyle name="Normal 2 2 5 7 2 3" xfId="25135" xr:uid="{00000000-0005-0000-0000-000028620000}"/>
    <cellStyle name="Normal 2 2 5 7 2 4" xfId="25136" xr:uid="{00000000-0005-0000-0000-000029620000}"/>
    <cellStyle name="Normal 2 2 5 7 2 5" xfId="25137" xr:uid="{00000000-0005-0000-0000-00002A620000}"/>
    <cellStyle name="Normal 2 2 5 7 2 6" xfId="25138" xr:uid="{00000000-0005-0000-0000-00002B620000}"/>
    <cellStyle name="Normal 2 2 5 7 2 7" xfId="25139" xr:uid="{00000000-0005-0000-0000-00002C620000}"/>
    <cellStyle name="Normal 2 2 5 7 2 8" xfId="25140" xr:uid="{00000000-0005-0000-0000-00002D620000}"/>
    <cellStyle name="Normal 2 2 5 7 2 9" xfId="25141" xr:uid="{00000000-0005-0000-0000-00002E620000}"/>
    <cellStyle name="Normal 2 2 5 7 3" xfId="25142" xr:uid="{00000000-0005-0000-0000-00002F620000}"/>
    <cellStyle name="Normal 2 2 5 7 3 10" xfId="25143" xr:uid="{00000000-0005-0000-0000-000030620000}"/>
    <cellStyle name="Normal 2 2 5 7 3 2" xfId="25144" xr:uid="{00000000-0005-0000-0000-000031620000}"/>
    <cellStyle name="Normal 2 2 5 7 3 3" xfId="25145" xr:uid="{00000000-0005-0000-0000-000032620000}"/>
    <cellStyle name="Normal 2 2 5 7 3 4" xfId="25146" xr:uid="{00000000-0005-0000-0000-000033620000}"/>
    <cellStyle name="Normal 2 2 5 7 3 5" xfId="25147" xr:uid="{00000000-0005-0000-0000-000034620000}"/>
    <cellStyle name="Normal 2 2 5 7 3 6" xfId="25148" xr:uid="{00000000-0005-0000-0000-000035620000}"/>
    <cellStyle name="Normal 2 2 5 7 3 7" xfId="25149" xr:uid="{00000000-0005-0000-0000-000036620000}"/>
    <cellStyle name="Normal 2 2 5 7 3 8" xfId="25150" xr:uid="{00000000-0005-0000-0000-000037620000}"/>
    <cellStyle name="Normal 2 2 5 7 3 9" xfId="25151" xr:uid="{00000000-0005-0000-0000-000038620000}"/>
    <cellStyle name="Normal 2 2 5 7 4" xfId="25152" xr:uid="{00000000-0005-0000-0000-000039620000}"/>
    <cellStyle name="Normal 2 2 5 7 4 10" xfId="25153" xr:uid="{00000000-0005-0000-0000-00003A620000}"/>
    <cellStyle name="Normal 2 2 5 7 4 2" xfId="25154" xr:uid="{00000000-0005-0000-0000-00003B620000}"/>
    <cellStyle name="Normal 2 2 5 7 4 3" xfId="25155" xr:uid="{00000000-0005-0000-0000-00003C620000}"/>
    <cellStyle name="Normal 2 2 5 7 4 4" xfId="25156" xr:uid="{00000000-0005-0000-0000-00003D620000}"/>
    <cellStyle name="Normal 2 2 5 7 4 5" xfId="25157" xr:uid="{00000000-0005-0000-0000-00003E620000}"/>
    <cellStyle name="Normal 2 2 5 7 4 6" xfId="25158" xr:uid="{00000000-0005-0000-0000-00003F620000}"/>
    <cellStyle name="Normal 2 2 5 7 4 7" xfId="25159" xr:uid="{00000000-0005-0000-0000-000040620000}"/>
    <cellStyle name="Normal 2 2 5 7 4 8" xfId="25160" xr:uid="{00000000-0005-0000-0000-000041620000}"/>
    <cellStyle name="Normal 2 2 5 7 4 9" xfId="25161" xr:uid="{00000000-0005-0000-0000-000042620000}"/>
    <cellStyle name="Normal 2 2 5 7 5" xfId="25162" xr:uid="{00000000-0005-0000-0000-000043620000}"/>
    <cellStyle name="Normal 2 2 5 7 5 10" xfId="25163" xr:uid="{00000000-0005-0000-0000-000044620000}"/>
    <cellStyle name="Normal 2 2 5 7 5 2" xfId="25164" xr:uid="{00000000-0005-0000-0000-000045620000}"/>
    <cellStyle name="Normal 2 2 5 7 5 3" xfId="25165" xr:uid="{00000000-0005-0000-0000-000046620000}"/>
    <cellStyle name="Normal 2 2 5 7 5 4" xfId="25166" xr:uid="{00000000-0005-0000-0000-000047620000}"/>
    <cellStyle name="Normal 2 2 5 7 5 5" xfId="25167" xr:uid="{00000000-0005-0000-0000-000048620000}"/>
    <cellStyle name="Normal 2 2 5 7 5 6" xfId="25168" xr:uid="{00000000-0005-0000-0000-000049620000}"/>
    <cellStyle name="Normal 2 2 5 7 5 7" xfId="25169" xr:uid="{00000000-0005-0000-0000-00004A620000}"/>
    <cellStyle name="Normal 2 2 5 7 5 8" xfId="25170" xr:uid="{00000000-0005-0000-0000-00004B620000}"/>
    <cellStyle name="Normal 2 2 5 7 5 9" xfId="25171" xr:uid="{00000000-0005-0000-0000-00004C620000}"/>
    <cellStyle name="Normal 2 2 5 7 6" xfId="25172" xr:uid="{00000000-0005-0000-0000-00004D620000}"/>
    <cellStyle name="Normal 2 2 5 7 7" xfId="25173" xr:uid="{00000000-0005-0000-0000-00004E620000}"/>
    <cellStyle name="Normal 2 2 5 7 8" xfId="25174" xr:uid="{00000000-0005-0000-0000-00004F620000}"/>
    <cellStyle name="Normal 2 2 5 7 9" xfId="25175" xr:uid="{00000000-0005-0000-0000-000050620000}"/>
    <cellStyle name="Normal 2 2 5 8" xfId="25176" xr:uid="{00000000-0005-0000-0000-000051620000}"/>
    <cellStyle name="Normal 2 2 5 8 10" xfId="25177" xr:uid="{00000000-0005-0000-0000-000052620000}"/>
    <cellStyle name="Normal 2 2 5 8 11" xfId="25178" xr:uid="{00000000-0005-0000-0000-000053620000}"/>
    <cellStyle name="Normal 2 2 5 8 12" xfId="25179" xr:uid="{00000000-0005-0000-0000-000054620000}"/>
    <cellStyle name="Normal 2 2 5 8 13" xfId="25180" xr:uid="{00000000-0005-0000-0000-000055620000}"/>
    <cellStyle name="Normal 2 2 5 8 14" xfId="25181" xr:uid="{00000000-0005-0000-0000-000056620000}"/>
    <cellStyle name="Normal 2 2 5 8 2" xfId="25182" xr:uid="{00000000-0005-0000-0000-000057620000}"/>
    <cellStyle name="Normal 2 2 5 8 2 10" xfId="25183" xr:uid="{00000000-0005-0000-0000-000058620000}"/>
    <cellStyle name="Normal 2 2 5 8 2 2" xfId="25184" xr:uid="{00000000-0005-0000-0000-000059620000}"/>
    <cellStyle name="Normal 2 2 5 8 2 3" xfId="25185" xr:uid="{00000000-0005-0000-0000-00005A620000}"/>
    <cellStyle name="Normal 2 2 5 8 2 4" xfId="25186" xr:uid="{00000000-0005-0000-0000-00005B620000}"/>
    <cellStyle name="Normal 2 2 5 8 2 5" xfId="25187" xr:uid="{00000000-0005-0000-0000-00005C620000}"/>
    <cellStyle name="Normal 2 2 5 8 2 6" xfId="25188" xr:uid="{00000000-0005-0000-0000-00005D620000}"/>
    <cellStyle name="Normal 2 2 5 8 2 7" xfId="25189" xr:uid="{00000000-0005-0000-0000-00005E620000}"/>
    <cellStyle name="Normal 2 2 5 8 2 8" xfId="25190" xr:uid="{00000000-0005-0000-0000-00005F620000}"/>
    <cellStyle name="Normal 2 2 5 8 2 9" xfId="25191" xr:uid="{00000000-0005-0000-0000-000060620000}"/>
    <cellStyle name="Normal 2 2 5 8 3" xfId="25192" xr:uid="{00000000-0005-0000-0000-000061620000}"/>
    <cellStyle name="Normal 2 2 5 8 3 10" xfId="25193" xr:uid="{00000000-0005-0000-0000-000062620000}"/>
    <cellStyle name="Normal 2 2 5 8 3 2" xfId="25194" xr:uid="{00000000-0005-0000-0000-000063620000}"/>
    <cellStyle name="Normal 2 2 5 8 3 3" xfId="25195" xr:uid="{00000000-0005-0000-0000-000064620000}"/>
    <cellStyle name="Normal 2 2 5 8 3 4" xfId="25196" xr:uid="{00000000-0005-0000-0000-000065620000}"/>
    <cellStyle name="Normal 2 2 5 8 3 5" xfId="25197" xr:uid="{00000000-0005-0000-0000-000066620000}"/>
    <cellStyle name="Normal 2 2 5 8 3 6" xfId="25198" xr:uid="{00000000-0005-0000-0000-000067620000}"/>
    <cellStyle name="Normal 2 2 5 8 3 7" xfId="25199" xr:uid="{00000000-0005-0000-0000-000068620000}"/>
    <cellStyle name="Normal 2 2 5 8 3 8" xfId="25200" xr:uid="{00000000-0005-0000-0000-000069620000}"/>
    <cellStyle name="Normal 2 2 5 8 3 9" xfId="25201" xr:uid="{00000000-0005-0000-0000-00006A620000}"/>
    <cellStyle name="Normal 2 2 5 8 4" xfId="25202" xr:uid="{00000000-0005-0000-0000-00006B620000}"/>
    <cellStyle name="Normal 2 2 5 8 4 10" xfId="25203" xr:uid="{00000000-0005-0000-0000-00006C620000}"/>
    <cellStyle name="Normal 2 2 5 8 4 2" xfId="25204" xr:uid="{00000000-0005-0000-0000-00006D620000}"/>
    <cellStyle name="Normal 2 2 5 8 4 3" xfId="25205" xr:uid="{00000000-0005-0000-0000-00006E620000}"/>
    <cellStyle name="Normal 2 2 5 8 4 4" xfId="25206" xr:uid="{00000000-0005-0000-0000-00006F620000}"/>
    <cellStyle name="Normal 2 2 5 8 4 5" xfId="25207" xr:uid="{00000000-0005-0000-0000-000070620000}"/>
    <cellStyle name="Normal 2 2 5 8 4 6" xfId="25208" xr:uid="{00000000-0005-0000-0000-000071620000}"/>
    <cellStyle name="Normal 2 2 5 8 4 7" xfId="25209" xr:uid="{00000000-0005-0000-0000-000072620000}"/>
    <cellStyle name="Normal 2 2 5 8 4 8" xfId="25210" xr:uid="{00000000-0005-0000-0000-000073620000}"/>
    <cellStyle name="Normal 2 2 5 8 4 9" xfId="25211" xr:uid="{00000000-0005-0000-0000-000074620000}"/>
    <cellStyle name="Normal 2 2 5 8 5" xfId="25212" xr:uid="{00000000-0005-0000-0000-000075620000}"/>
    <cellStyle name="Normal 2 2 5 8 5 10" xfId="25213" xr:uid="{00000000-0005-0000-0000-000076620000}"/>
    <cellStyle name="Normal 2 2 5 8 5 2" xfId="25214" xr:uid="{00000000-0005-0000-0000-000077620000}"/>
    <cellStyle name="Normal 2 2 5 8 5 3" xfId="25215" xr:uid="{00000000-0005-0000-0000-000078620000}"/>
    <cellStyle name="Normal 2 2 5 8 5 4" xfId="25216" xr:uid="{00000000-0005-0000-0000-000079620000}"/>
    <cellStyle name="Normal 2 2 5 8 5 5" xfId="25217" xr:uid="{00000000-0005-0000-0000-00007A620000}"/>
    <cellStyle name="Normal 2 2 5 8 5 6" xfId="25218" xr:uid="{00000000-0005-0000-0000-00007B620000}"/>
    <cellStyle name="Normal 2 2 5 8 5 7" xfId="25219" xr:uid="{00000000-0005-0000-0000-00007C620000}"/>
    <cellStyle name="Normal 2 2 5 8 5 8" xfId="25220" xr:uid="{00000000-0005-0000-0000-00007D620000}"/>
    <cellStyle name="Normal 2 2 5 8 5 9" xfId="25221" xr:uid="{00000000-0005-0000-0000-00007E620000}"/>
    <cellStyle name="Normal 2 2 5 8 6" xfId="25222" xr:uid="{00000000-0005-0000-0000-00007F620000}"/>
    <cellStyle name="Normal 2 2 5 8 7" xfId="25223" xr:uid="{00000000-0005-0000-0000-000080620000}"/>
    <cellStyle name="Normal 2 2 5 8 8" xfId="25224" xr:uid="{00000000-0005-0000-0000-000081620000}"/>
    <cellStyle name="Normal 2 2 5 8 9" xfId="25225" xr:uid="{00000000-0005-0000-0000-000082620000}"/>
    <cellStyle name="Normal 2 2 5 9" xfId="25226" xr:uid="{00000000-0005-0000-0000-000083620000}"/>
    <cellStyle name="Normal 2 2 5 9 10" xfId="25227" xr:uid="{00000000-0005-0000-0000-000084620000}"/>
    <cellStyle name="Normal 2 2 5 9 11" xfId="25228" xr:uid="{00000000-0005-0000-0000-000085620000}"/>
    <cellStyle name="Normal 2 2 5 9 12" xfId="25229" xr:uid="{00000000-0005-0000-0000-000086620000}"/>
    <cellStyle name="Normal 2 2 5 9 13" xfId="25230" xr:uid="{00000000-0005-0000-0000-000087620000}"/>
    <cellStyle name="Normal 2 2 5 9 14" xfId="25231" xr:uid="{00000000-0005-0000-0000-000088620000}"/>
    <cellStyle name="Normal 2 2 5 9 2" xfId="25232" xr:uid="{00000000-0005-0000-0000-000089620000}"/>
    <cellStyle name="Normal 2 2 5 9 2 10" xfId="25233" xr:uid="{00000000-0005-0000-0000-00008A620000}"/>
    <cellStyle name="Normal 2 2 5 9 2 2" xfId="25234" xr:uid="{00000000-0005-0000-0000-00008B620000}"/>
    <cellStyle name="Normal 2 2 5 9 2 3" xfId="25235" xr:uid="{00000000-0005-0000-0000-00008C620000}"/>
    <cellStyle name="Normal 2 2 5 9 2 4" xfId="25236" xr:uid="{00000000-0005-0000-0000-00008D620000}"/>
    <cellStyle name="Normal 2 2 5 9 2 5" xfId="25237" xr:uid="{00000000-0005-0000-0000-00008E620000}"/>
    <cellStyle name="Normal 2 2 5 9 2 6" xfId="25238" xr:uid="{00000000-0005-0000-0000-00008F620000}"/>
    <cellStyle name="Normal 2 2 5 9 2 7" xfId="25239" xr:uid="{00000000-0005-0000-0000-000090620000}"/>
    <cellStyle name="Normal 2 2 5 9 2 8" xfId="25240" xr:uid="{00000000-0005-0000-0000-000091620000}"/>
    <cellStyle name="Normal 2 2 5 9 2 9" xfId="25241" xr:uid="{00000000-0005-0000-0000-000092620000}"/>
    <cellStyle name="Normal 2 2 5 9 3" xfId="25242" xr:uid="{00000000-0005-0000-0000-000093620000}"/>
    <cellStyle name="Normal 2 2 5 9 3 10" xfId="25243" xr:uid="{00000000-0005-0000-0000-000094620000}"/>
    <cellStyle name="Normal 2 2 5 9 3 2" xfId="25244" xr:uid="{00000000-0005-0000-0000-000095620000}"/>
    <cellStyle name="Normal 2 2 5 9 3 3" xfId="25245" xr:uid="{00000000-0005-0000-0000-000096620000}"/>
    <cellStyle name="Normal 2 2 5 9 3 4" xfId="25246" xr:uid="{00000000-0005-0000-0000-000097620000}"/>
    <cellStyle name="Normal 2 2 5 9 3 5" xfId="25247" xr:uid="{00000000-0005-0000-0000-000098620000}"/>
    <cellStyle name="Normal 2 2 5 9 3 6" xfId="25248" xr:uid="{00000000-0005-0000-0000-000099620000}"/>
    <cellStyle name="Normal 2 2 5 9 3 7" xfId="25249" xr:uid="{00000000-0005-0000-0000-00009A620000}"/>
    <cellStyle name="Normal 2 2 5 9 3 8" xfId="25250" xr:uid="{00000000-0005-0000-0000-00009B620000}"/>
    <cellStyle name="Normal 2 2 5 9 3 9" xfId="25251" xr:uid="{00000000-0005-0000-0000-00009C620000}"/>
    <cellStyle name="Normal 2 2 5 9 4" xfId="25252" xr:uid="{00000000-0005-0000-0000-00009D620000}"/>
    <cellStyle name="Normal 2 2 5 9 4 10" xfId="25253" xr:uid="{00000000-0005-0000-0000-00009E620000}"/>
    <cellStyle name="Normal 2 2 5 9 4 2" xfId="25254" xr:uid="{00000000-0005-0000-0000-00009F620000}"/>
    <cellStyle name="Normal 2 2 5 9 4 3" xfId="25255" xr:uid="{00000000-0005-0000-0000-0000A0620000}"/>
    <cellStyle name="Normal 2 2 5 9 4 4" xfId="25256" xr:uid="{00000000-0005-0000-0000-0000A1620000}"/>
    <cellStyle name="Normal 2 2 5 9 4 5" xfId="25257" xr:uid="{00000000-0005-0000-0000-0000A2620000}"/>
    <cellStyle name="Normal 2 2 5 9 4 6" xfId="25258" xr:uid="{00000000-0005-0000-0000-0000A3620000}"/>
    <cellStyle name="Normal 2 2 5 9 4 7" xfId="25259" xr:uid="{00000000-0005-0000-0000-0000A4620000}"/>
    <cellStyle name="Normal 2 2 5 9 4 8" xfId="25260" xr:uid="{00000000-0005-0000-0000-0000A5620000}"/>
    <cellStyle name="Normal 2 2 5 9 4 9" xfId="25261" xr:uid="{00000000-0005-0000-0000-0000A6620000}"/>
    <cellStyle name="Normal 2 2 5 9 5" xfId="25262" xr:uid="{00000000-0005-0000-0000-0000A7620000}"/>
    <cellStyle name="Normal 2 2 5 9 5 10" xfId="25263" xr:uid="{00000000-0005-0000-0000-0000A8620000}"/>
    <cellStyle name="Normal 2 2 5 9 5 2" xfId="25264" xr:uid="{00000000-0005-0000-0000-0000A9620000}"/>
    <cellStyle name="Normal 2 2 5 9 5 3" xfId="25265" xr:uid="{00000000-0005-0000-0000-0000AA620000}"/>
    <cellStyle name="Normal 2 2 5 9 5 4" xfId="25266" xr:uid="{00000000-0005-0000-0000-0000AB620000}"/>
    <cellStyle name="Normal 2 2 5 9 5 5" xfId="25267" xr:uid="{00000000-0005-0000-0000-0000AC620000}"/>
    <cellStyle name="Normal 2 2 5 9 5 6" xfId="25268" xr:uid="{00000000-0005-0000-0000-0000AD620000}"/>
    <cellStyle name="Normal 2 2 5 9 5 7" xfId="25269" xr:uid="{00000000-0005-0000-0000-0000AE620000}"/>
    <cellStyle name="Normal 2 2 5 9 5 8" xfId="25270" xr:uid="{00000000-0005-0000-0000-0000AF620000}"/>
    <cellStyle name="Normal 2 2 5 9 5 9" xfId="25271" xr:uid="{00000000-0005-0000-0000-0000B0620000}"/>
    <cellStyle name="Normal 2 2 5 9 6" xfId="25272" xr:uid="{00000000-0005-0000-0000-0000B1620000}"/>
    <cellStyle name="Normal 2 2 5 9 7" xfId="25273" xr:uid="{00000000-0005-0000-0000-0000B2620000}"/>
    <cellStyle name="Normal 2 2 5 9 8" xfId="25274" xr:uid="{00000000-0005-0000-0000-0000B3620000}"/>
    <cellStyle name="Normal 2 2 5 9 9" xfId="25275" xr:uid="{00000000-0005-0000-0000-0000B4620000}"/>
    <cellStyle name="Normal 2 2 50" xfId="25276" xr:uid="{00000000-0005-0000-0000-0000B5620000}"/>
    <cellStyle name="Normal 2 2 51" xfId="25277" xr:uid="{00000000-0005-0000-0000-0000B6620000}"/>
    <cellStyle name="Normal 2 2 52" xfId="25278" xr:uid="{00000000-0005-0000-0000-0000B7620000}"/>
    <cellStyle name="Normal 2 2 6" xfId="25279" xr:uid="{00000000-0005-0000-0000-0000B8620000}"/>
    <cellStyle name="Normal 2 2 6 2" xfId="25280" xr:uid="{00000000-0005-0000-0000-0000B9620000}"/>
    <cellStyle name="Normal 2 2 6 3" xfId="25281" xr:uid="{00000000-0005-0000-0000-0000BA620000}"/>
    <cellStyle name="Normal 2 2 7" xfId="25282" xr:uid="{00000000-0005-0000-0000-0000BB620000}"/>
    <cellStyle name="Normal 2 2 7 2" xfId="25283" xr:uid="{00000000-0005-0000-0000-0000BC620000}"/>
    <cellStyle name="Normal 2 2 7 3" xfId="25284" xr:uid="{00000000-0005-0000-0000-0000BD620000}"/>
    <cellStyle name="Normal 2 2 8" xfId="25285" xr:uid="{00000000-0005-0000-0000-0000BE620000}"/>
    <cellStyle name="Normal 2 2 8 2" xfId="25286" xr:uid="{00000000-0005-0000-0000-0000BF620000}"/>
    <cellStyle name="Normal 2 2 8 3" xfId="25287" xr:uid="{00000000-0005-0000-0000-0000C0620000}"/>
    <cellStyle name="Normal 2 2 9" xfId="25288" xr:uid="{00000000-0005-0000-0000-0000C1620000}"/>
    <cellStyle name="Normal 2 2 9 2" xfId="25289" xr:uid="{00000000-0005-0000-0000-0000C2620000}"/>
    <cellStyle name="Normal 2 2 9 3" xfId="25290" xr:uid="{00000000-0005-0000-0000-0000C3620000}"/>
    <cellStyle name="Normal 2 20" xfId="25291" xr:uid="{00000000-0005-0000-0000-0000C4620000}"/>
    <cellStyle name="Normal 2 20 2" xfId="25292" xr:uid="{00000000-0005-0000-0000-0000C5620000}"/>
    <cellStyle name="Normal 2 20 3" xfId="25293" xr:uid="{00000000-0005-0000-0000-0000C6620000}"/>
    <cellStyle name="Normal 2 21" xfId="25294" xr:uid="{00000000-0005-0000-0000-0000C7620000}"/>
    <cellStyle name="Normal 2 21 2" xfId="25295" xr:uid="{00000000-0005-0000-0000-0000C8620000}"/>
    <cellStyle name="Normal 2 21 3" xfId="25296" xr:uid="{00000000-0005-0000-0000-0000C9620000}"/>
    <cellStyle name="Normal 2 22" xfId="25297" xr:uid="{00000000-0005-0000-0000-0000CA620000}"/>
    <cellStyle name="Normal 2 22 2" xfId="25298" xr:uid="{00000000-0005-0000-0000-0000CB620000}"/>
    <cellStyle name="Normal 2 22 3" xfId="25299" xr:uid="{00000000-0005-0000-0000-0000CC620000}"/>
    <cellStyle name="Normal 2 23" xfId="25300" xr:uid="{00000000-0005-0000-0000-0000CD620000}"/>
    <cellStyle name="Normal 2 23 2" xfId="25301" xr:uid="{00000000-0005-0000-0000-0000CE620000}"/>
    <cellStyle name="Normal 2 23 2 2" xfId="25302" xr:uid="{00000000-0005-0000-0000-0000CF620000}"/>
    <cellStyle name="Normal 2 23 3" xfId="25303" xr:uid="{00000000-0005-0000-0000-0000D0620000}"/>
    <cellStyle name="Normal 2 24" xfId="25304" xr:uid="{00000000-0005-0000-0000-0000D1620000}"/>
    <cellStyle name="Normal 2 24 2" xfId="25305" xr:uid="{00000000-0005-0000-0000-0000D2620000}"/>
    <cellStyle name="Normal 2 24 3" xfId="25306" xr:uid="{00000000-0005-0000-0000-0000D3620000}"/>
    <cellStyle name="Normal 2 25" xfId="25307" xr:uid="{00000000-0005-0000-0000-0000D4620000}"/>
    <cellStyle name="Normal 2 25 2" xfId="25308" xr:uid="{00000000-0005-0000-0000-0000D5620000}"/>
    <cellStyle name="Normal 2 25 3" xfId="25309" xr:uid="{00000000-0005-0000-0000-0000D6620000}"/>
    <cellStyle name="Normal 2 26" xfId="25310" xr:uid="{00000000-0005-0000-0000-0000D7620000}"/>
    <cellStyle name="Normal 2 26 2" xfId="25311" xr:uid="{00000000-0005-0000-0000-0000D8620000}"/>
    <cellStyle name="Normal 2 26 3" xfId="25312" xr:uid="{00000000-0005-0000-0000-0000D9620000}"/>
    <cellStyle name="Normal 2 27" xfId="25313" xr:uid="{00000000-0005-0000-0000-0000DA620000}"/>
    <cellStyle name="Normal 2 27 2" xfId="25314" xr:uid="{00000000-0005-0000-0000-0000DB620000}"/>
    <cellStyle name="Normal 2 27 3" xfId="25315" xr:uid="{00000000-0005-0000-0000-0000DC620000}"/>
    <cellStyle name="Normal 2 28" xfId="25316" xr:uid="{00000000-0005-0000-0000-0000DD620000}"/>
    <cellStyle name="Normal 2 28 2" xfId="25317" xr:uid="{00000000-0005-0000-0000-0000DE620000}"/>
    <cellStyle name="Normal 2 28 3" xfId="25318" xr:uid="{00000000-0005-0000-0000-0000DF620000}"/>
    <cellStyle name="Normal 2 29" xfId="25319" xr:uid="{00000000-0005-0000-0000-0000E0620000}"/>
    <cellStyle name="Normal 2 29 2" xfId="25320" xr:uid="{00000000-0005-0000-0000-0000E1620000}"/>
    <cellStyle name="Normal 2 29 3" xfId="25321" xr:uid="{00000000-0005-0000-0000-0000E2620000}"/>
    <cellStyle name="Normal 2 3" xfId="25322" xr:uid="{00000000-0005-0000-0000-0000E3620000}"/>
    <cellStyle name="Normal 2 3 10" xfId="25323" xr:uid="{00000000-0005-0000-0000-0000E4620000}"/>
    <cellStyle name="Normal 2 3 10 10" xfId="25324" xr:uid="{00000000-0005-0000-0000-0000E5620000}"/>
    <cellStyle name="Normal 2 3 10 11" xfId="25325" xr:uid="{00000000-0005-0000-0000-0000E6620000}"/>
    <cellStyle name="Normal 2 3 10 12" xfId="25326" xr:uid="{00000000-0005-0000-0000-0000E7620000}"/>
    <cellStyle name="Normal 2 3 10 13" xfId="25327" xr:uid="{00000000-0005-0000-0000-0000E8620000}"/>
    <cellStyle name="Normal 2 3 10 14" xfId="25328" xr:uid="{00000000-0005-0000-0000-0000E9620000}"/>
    <cellStyle name="Normal 2 3 10 2" xfId="25329" xr:uid="{00000000-0005-0000-0000-0000EA620000}"/>
    <cellStyle name="Normal 2 3 10 2 10" xfId="25330" xr:uid="{00000000-0005-0000-0000-0000EB620000}"/>
    <cellStyle name="Normal 2 3 10 2 2" xfId="25331" xr:uid="{00000000-0005-0000-0000-0000EC620000}"/>
    <cellStyle name="Normal 2 3 10 2 3" xfId="25332" xr:uid="{00000000-0005-0000-0000-0000ED620000}"/>
    <cellStyle name="Normal 2 3 10 2 4" xfId="25333" xr:uid="{00000000-0005-0000-0000-0000EE620000}"/>
    <cellStyle name="Normal 2 3 10 2 5" xfId="25334" xr:uid="{00000000-0005-0000-0000-0000EF620000}"/>
    <cellStyle name="Normal 2 3 10 2 6" xfId="25335" xr:uid="{00000000-0005-0000-0000-0000F0620000}"/>
    <cellStyle name="Normal 2 3 10 2 7" xfId="25336" xr:uid="{00000000-0005-0000-0000-0000F1620000}"/>
    <cellStyle name="Normal 2 3 10 2 8" xfId="25337" xr:uid="{00000000-0005-0000-0000-0000F2620000}"/>
    <cellStyle name="Normal 2 3 10 2 9" xfId="25338" xr:uid="{00000000-0005-0000-0000-0000F3620000}"/>
    <cellStyle name="Normal 2 3 10 3" xfId="25339" xr:uid="{00000000-0005-0000-0000-0000F4620000}"/>
    <cellStyle name="Normal 2 3 10 3 10" xfId="25340" xr:uid="{00000000-0005-0000-0000-0000F5620000}"/>
    <cellStyle name="Normal 2 3 10 3 2" xfId="25341" xr:uid="{00000000-0005-0000-0000-0000F6620000}"/>
    <cellStyle name="Normal 2 3 10 3 3" xfId="25342" xr:uid="{00000000-0005-0000-0000-0000F7620000}"/>
    <cellStyle name="Normal 2 3 10 3 4" xfId="25343" xr:uid="{00000000-0005-0000-0000-0000F8620000}"/>
    <cellStyle name="Normal 2 3 10 3 5" xfId="25344" xr:uid="{00000000-0005-0000-0000-0000F9620000}"/>
    <cellStyle name="Normal 2 3 10 3 6" xfId="25345" xr:uid="{00000000-0005-0000-0000-0000FA620000}"/>
    <cellStyle name="Normal 2 3 10 3 7" xfId="25346" xr:uid="{00000000-0005-0000-0000-0000FB620000}"/>
    <cellStyle name="Normal 2 3 10 3 8" xfId="25347" xr:uid="{00000000-0005-0000-0000-0000FC620000}"/>
    <cellStyle name="Normal 2 3 10 3 9" xfId="25348" xr:uid="{00000000-0005-0000-0000-0000FD620000}"/>
    <cellStyle name="Normal 2 3 10 4" xfId="25349" xr:uid="{00000000-0005-0000-0000-0000FE620000}"/>
    <cellStyle name="Normal 2 3 10 4 10" xfId="25350" xr:uid="{00000000-0005-0000-0000-0000FF620000}"/>
    <cellStyle name="Normal 2 3 10 4 2" xfId="25351" xr:uid="{00000000-0005-0000-0000-000000630000}"/>
    <cellStyle name="Normal 2 3 10 4 3" xfId="25352" xr:uid="{00000000-0005-0000-0000-000001630000}"/>
    <cellStyle name="Normal 2 3 10 4 4" xfId="25353" xr:uid="{00000000-0005-0000-0000-000002630000}"/>
    <cellStyle name="Normal 2 3 10 4 5" xfId="25354" xr:uid="{00000000-0005-0000-0000-000003630000}"/>
    <cellStyle name="Normal 2 3 10 4 6" xfId="25355" xr:uid="{00000000-0005-0000-0000-000004630000}"/>
    <cellStyle name="Normal 2 3 10 4 7" xfId="25356" xr:uid="{00000000-0005-0000-0000-000005630000}"/>
    <cellStyle name="Normal 2 3 10 4 8" xfId="25357" xr:uid="{00000000-0005-0000-0000-000006630000}"/>
    <cellStyle name="Normal 2 3 10 4 9" xfId="25358" xr:uid="{00000000-0005-0000-0000-000007630000}"/>
    <cellStyle name="Normal 2 3 10 5" xfId="25359" xr:uid="{00000000-0005-0000-0000-000008630000}"/>
    <cellStyle name="Normal 2 3 10 5 10" xfId="25360" xr:uid="{00000000-0005-0000-0000-000009630000}"/>
    <cellStyle name="Normal 2 3 10 5 2" xfId="25361" xr:uid="{00000000-0005-0000-0000-00000A630000}"/>
    <cellStyle name="Normal 2 3 10 5 3" xfId="25362" xr:uid="{00000000-0005-0000-0000-00000B630000}"/>
    <cellStyle name="Normal 2 3 10 5 4" xfId="25363" xr:uid="{00000000-0005-0000-0000-00000C630000}"/>
    <cellStyle name="Normal 2 3 10 5 5" xfId="25364" xr:uid="{00000000-0005-0000-0000-00000D630000}"/>
    <cellStyle name="Normal 2 3 10 5 6" xfId="25365" xr:uid="{00000000-0005-0000-0000-00000E630000}"/>
    <cellStyle name="Normal 2 3 10 5 7" xfId="25366" xr:uid="{00000000-0005-0000-0000-00000F630000}"/>
    <cellStyle name="Normal 2 3 10 5 8" xfId="25367" xr:uid="{00000000-0005-0000-0000-000010630000}"/>
    <cellStyle name="Normal 2 3 10 5 9" xfId="25368" xr:uid="{00000000-0005-0000-0000-000011630000}"/>
    <cellStyle name="Normal 2 3 10 6" xfId="25369" xr:uid="{00000000-0005-0000-0000-000012630000}"/>
    <cellStyle name="Normal 2 3 10 7" xfId="25370" xr:uid="{00000000-0005-0000-0000-000013630000}"/>
    <cellStyle name="Normal 2 3 10 8" xfId="25371" xr:uid="{00000000-0005-0000-0000-000014630000}"/>
    <cellStyle name="Normal 2 3 10 9" xfId="25372" xr:uid="{00000000-0005-0000-0000-000015630000}"/>
    <cellStyle name="Normal 2 3 11" xfId="25373" xr:uid="{00000000-0005-0000-0000-000016630000}"/>
    <cellStyle name="Normal 2 3 11 10" xfId="25374" xr:uid="{00000000-0005-0000-0000-000017630000}"/>
    <cellStyle name="Normal 2 3 11 11" xfId="25375" xr:uid="{00000000-0005-0000-0000-000018630000}"/>
    <cellStyle name="Normal 2 3 11 12" xfId="25376" xr:uid="{00000000-0005-0000-0000-000019630000}"/>
    <cellStyle name="Normal 2 3 11 13" xfId="25377" xr:uid="{00000000-0005-0000-0000-00001A630000}"/>
    <cellStyle name="Normal 2 3 11 14" xfId="25378" xr:uid="{00000000-0005-0000-0000-00001B630000}"/>
    <cellStyle name="Normal 2 3 11 2" xfId="25379" xr:uid="{00000000-0005-0000-0000-00001C630000}"/>
    <cellStyle name="Normal 2 3 11 2 10" xfId="25380" xr:uid="{00000000-0005-0000-0000-00001D630000}"/>
    <cellStyle name="Normal 2 3 11 2 2" xfId="25381" xr:uid="{00000000-0005-0000-0000-00001E630000}"/>
    <cellStyle name="Normal 2 3 11 2 3" xfId="25382" xr:uid="{00000000-0005-0000-0000-00001F630000}"/>
    <cellStyle name="Normal 2 3 11 2 4" xfId="25383" xr:uid="{00000000-0005-0000-0000-000020630000}"/>
    <cellStyle name="Normal 2 3 11 2 5" xfId="25384" xr:uid="{00000000-0005-0000-0000-000021630000}"/>
    <cellStyle name="Normal 2 3 11 2 6" xfId="25385" xr:uid="{00000000-0005-0000-0000-000022630000}"/>
    <cellStyle name="Normal 2 3 11 2 7" xfId="25386" xr:uid="{00000000-0005-0000-0000-000023630000}"/>
    <cellStyle name="Normal 2 3 11 2 8" xfId="25387" xr:uid="{00000000-0005-0000-0000-000024630000}"/>
    <cellStyle name="Normal 2 3 11 2 9" xfId="25388" xr:uid="{00000000-0005-0000-0000-000025630000}"/>
    <cellStyle name="Normal 2 3 11 3" xfId="25389" xr:uid="{00000000-0005-0000-0000-000026630000}"/>
    <cellStyle name="Normal 2 3 11 3 10" xfId="25390" xr:uid="{00000000-0005-0000-0000-000027630000}"/>
    <cellStyle name="Normal 2 3 11 3 2" xfId="25391" xr:uid="{00000000-0005-0000-0000-000028630000}"/>
    <cellStyle name="Normal 2 3 11 3 3" xfId="25392" xr:uid="{00000000-0005-0000-0000-000029630000}"/>
    <cellStyle name="Normal 2 3 11 3 4" xfId="25393" xr:uid="{00000000-0005-0000-0000-00002A630000}"/>
    <cellStyle name="Normal 2 3 11 3 5" xfId="25394" xr:uid="{00000000-0005-0000-0000-00002B630000}"/>
    <cellStyle name="Normal 2 3 11 3 6" xfId="25395" xr:uid="{00000000-0005-0000-0000-00002C630000}"/>
    <cellStyle name="Normal 2 3 11 3 7" xfId="25396" xr:uid="{00000000-0005-0000-0000-00002D630000}"/>
    <cellStyle name="Normal 2 3 11 3 8" xfId="25397" xr:uid="{00000000-0005-0000-0000-00002E630000}"/>
    <cellStyle name="Normal 2 3 11 3 9" xfId="25398" xr:uid="{00000000-0005-0000-0000-00002F630000}"/>
    <cellStyle name="Normal 2 3 11 4" xfId="25399" xr:uid="{00000000-0005-0000-0000-000030630000}"/>
    <cellStyle name="Normal 2 3 11 4 10" xfId="25400" xr:uid="{00000000-0005-0000-0000-000031630000}"/>
    <cellStyle name="Normal 2 3 11 4 2" xfId="25401" xr:uid="{00000000-0005-0000-0000-000032630000}"/>
    <cellStyle name="Normal 2 3 11 4 3" xfId="25402" xr:uid="{00000000-0005-0000-0000-000033630000}"/>
    <cellStyle name="Normal 2 3 11 4 4" xfId="25403" xr:uid="{00000000-0005-0000-0000-000034630000}"/>
    <cellStyle name="Normal 2 3 11 4 5" xfId="25404" xr:uid="{00000000-0005-0000-0000-000035630000}"/>
    <cellStyle name="Normal 2 3 11 4 6" xfId="25405" xr:uid="{00000000-0005-0000-0000-000036630000}"/>
    <cellStyle name="Normal 2 3 11 4 7" xfId="25406" xr:uid="{00000000-0005-0000-0000-000037630000}"/>
    <cellStyle name="Normal 2 3 11 4 8" xfId="25407" xr:uid="{00000000-0005-0000-0000-000038630000}"/>
    <cellStyle name="Normal 2 3 11 4 9" xfId="25408" xr:uid="{00000000-0005-0000-0000-000039630000}"/>
    <cellStyle name="Normal 2 3 11 5" xfId="25409" xr:uid="{00000000-0005-0000-0000-00003A630000}"/>
    <cellStyle name="Normal 2 3 11 5 10" xfId="25410" xr:uid="{00000000-0005-0000-0000-00003B630000}"/>
    <cellStyle name="Normal 2 3 11 5 2" xfId="25411" xr:uid="{00000000-0005-0000-0000-00003C630000}"/>
    <cellStyle name="Normal 2 3 11 5 3" xfId="25412" xr:uid="{00000000-0005-0000-0000-00003D630000}"/>
    <cellStyle name="Normal 2 3 11 5 4" xfId="25413" xr:uid="{00000000-0005-0000-0000-00003E630000}"/>
    <cellStyle name="Normal 2 3 11 5 5" xfId="25414" xr:uid="{00000000-0005-0000-0000-00003F630000}"/>
    <cellStyle name="Normal 2 3 11 5 6" xfId="25415" xr:uid="{00000000-0005-0000-0000-000040630000}"/>
    <cellStyle name="Normal 2 3 11 5 7" xfId="25416" xr:uid="{00000000-0005-0000-0000-000041630000}"/>
    <cellStyle name="Normal 2 3 11 5 8" xfId="25417" xr:uid="{00000000-0005-0000-0000-000042630000}"/>
    <cellStyle name="Normal 2 3 11 5 9" xfId="25418" xr:uid="{00000000-0005-0000-0000-000043630000}"/>
    <cellStyle name="Normal 2 3 11 6" xfId="25419" xr:uid="{00000000-0005-0000-0000-000044630000}"/>
    <cellStyle name="Normal 2 3 11 7" xfId="25420" xr:uid="{00000000-0005-0000-0000-000045630000}"/>
    <cellStyle name="Normal 2 3 11 8" xfId="25421" xr:uid="{00000000-0005-0000-0000-000046630000}"/>
    <cellStyle name="Normal 2 3 11 9" xfId="25422" xr:uid="{00000000-0005-0000-0000-000047630000}"/>
    <cellStyle name="Normal 2 3 12" xfId="25423" xr:uid="{00000000-0005-0000-0000-000048630000}"/>
    <cellStyle name="Normal 2 3 12 10" xfId="25424" xr:uid="{00000000-0005-0000-0000-000049630000}"/>
    <cellStyle name="Normal 2 3 12 11" xfId="25425" xr:uid="{00000000-0005-0000-0000-00004A630000}"/>
    <cellStyle name="Normal 2 3 12 12" xfId="25426" xr:uid="{00000000-0005-0000-0000-00004B630000}"/>
    <cellStyle name="Normal 2 3 12 13" xfId="25427" xr:uid="{00000000-0005-0000-0000-00004C630000}"/>
    <cellStyle name="Normal 2 3 12 14" xfId="25428" xr:uid="{00000000-0005-0000-0000-00004D630000}"/>
    <cellStyle name="Normal 2 3 12 2" xfId="25429" xr:uid="{00000000-0005-0000-0000-00004E630000}"/>
    <cellStyle name="Normal 2 3 12 2 10" xfId="25430" xr:uid="{00000000-0005-0000-0000-00004F630000}"/>
    <cellStyle name="Normal 2 3 12 2 2" xfId="25431" xr:uid="{00000000-0005-0000-0000-000050630000}"/>
    <cellStyle name="Normal 2 3 12 2 3" xfId="25432" xr:uid="{00000000-0005-0000-0000-000051630000}"/>
    <cellStyle name="Normal 2 3 12 2 4" xfId="25433" xr:uid="{00000000-0005-0000-0000-000052630000}"/>
    <cellStyle name="Normal 2 3 12 2 5" xfId="25434" xr:uid="{00000000-0005-0000-0000-000053630000}"/>
    <cellStyle name="Normal 2 3 12 2 6" xfId="25435" xr:uid="{00000000-0005-0000-0000-000054630000}"/>
    <cellStyle name="Normal 2 3 12 2 7" xfId="25436" xr:uid="{00000000-0005-0000-0000-000055630000}"/>
    <cellStyle name="Normal 2 3 12 2 8" xfId="25437" xr:uid="{00000000-0005-0000-0000-000056630000}"/>
    <cellStyle name="Normal 2 3 12 2 9" xfId="25438" xr:uid="{00000000-0005-0000-0000-000057630000}"/>
    <cellStyle name="Normal 2 3 12 3" xfId="25439" xr:uid="{00000000-0005-0000-0000-000058630000}"/>
    <cellStyle name="Normal 2 3 12 3 10" xfId="25440" xr:uid="{00000000-0005-0000-0000-000059630000}"/>
    <cellStyle name="Normal 2 3 12 3 2" xfId="25441" xr:uid="{00000000-0005-0000-0000-00005A630000}"/>
    <cellStyle name="Normal 2 3 12 3 3" xfId="25442" xr:uid="{00000000-0005-0000-0000-00005B630000}"/>
    <cellStyle name="Normal 2 3 12 3 4" xfId="25443" xr:uid="{00000000-0005-0000-0000-00005C630000}"/>
    <cellStyle name="Normal 2 3 12 3 5" xfId="25444" xr:uid="{00000000-0005-0000-0000-00005D630000}"/>
    <cellStyle name="Normal 2 3 12 3 6" xfId="25445" xr:uid="{00000000-0005-0000-0000-00005E630000}"/>
    <cellStyle name="Normal 2 3 12 3 7" xfId="25446" xr:uid="{00000000-0005-0000-0000-00005F630000}"/>
    <cellStyle name="Normal 2 3 12 3 8" xfId="25447" xr:uid="{00000000-0005-0000-0000-000060630000}"/>
    <cellStyle name="Normal 2 3 12 3 9" xfId="25448" xr:uid="{00000000-0005-0000-0000-000061630000}"/>
    <cellStyle name="Normal 2 3 12 4" xfId="25449" xr:uid="{00000000-0005-0000-0000-000062630000}"/>
    <cellStyle name="Normal 2 3 12 4 10" xfId="25450" xr:uid="{00000000-0005-0000-0000-000063630000}"/>
    <cellStyle name="Normal 2 3 12 4 2" xfId="25451" xr:uid="{00000000-0005-0000-0000-000064630000}"/>
    <cellStyle name="Normal 2 3 12 4 3" xfId="25452" xr:uid="{00000000-0005-0000-0000-000065630000}"/>
    <cellStyle name="Normal 2 3 12 4 4" xfId="25453" xr:uid="{00000000-0005-0000-0000-000066630000}"/>
    <cellStyle name="Normal 2 3 12 4 5" xfId="25454" xr:uid="{00000000-0005-0000-0000-000067630000}"/>
    <cellStyle name="Normal 2 3 12 4 6" xfId="25455" xr:uid="{00000000-0005-0000-0000-000068630000}"/>
    <cellStyle name="Normal 2 3 12 4 7" xfId="25456" xr:uid="{00000000-0005-0000-0000-000069630000}"/>
    <cellStyle name="Normal 2 3 12 4 8" xfId="25457" xr:uid="{00000000-0005-0000-0000-00006A630000}"/>
    <cellStyle name="Normal 2 3 12 4 9" xfId="25458" xr:uid="{00000000-0005-0000-0000-00006B630000}"/>
    <cellStyle name="Normal 2 3 12 5" xfId="25459" xr:uid="{00000000-0005-0000-0000-00006C630000}"/>
    <cellStyle name="Normal 2 3 12 5 10" xfId="25460" xr:uid="{00000000-0005-0000-0000-00006D630000}"/>
    <cellStyle name="Normal 2 3 12 5 2" xfId="25461" xr:uid="{00000000-0005-0000-0000-00006E630000}"/>
    <cellStyle name="Normal 2 3 12 5 3" xfId="25462" xr:uid="{00000000-0005-0000-0000-00006F630000}"/>
    <cellStyle name="Normal 2 3 12 5 4" xfId="25463" xr:uid="{00000000-0005-0000-0000-000070630000}"/>
    <cellStyle name="Normal 2 3 12 5 5" xfId="25464" xr:uid="{00000000-0005-0000-0000-000071630000}"/>
    <cellStyle name="Normal 2 3 12 5 6" xfId="25465" xr:uid="{00000000-0005-0000-0000-000072630000}"/>
    <cellStyle name="Normal 2 3 12 5 7" xfId="25466" xr:uid="{00000000-0005-0000-0000-000073630000}"/>
    <cellStyle name="Normal 2 3 12 5 8" xfId="25467" xr:uid="{00000000-0005-0000-0000-000074630000}"/>
    <cellStyle name="Normal 2 3 12 5 9" xfId="25468" xr:uid="{00000000-0005-0000-0000-000075630000}"/>
    <cellStyle name="Normal 2 3 12 6" xfId="25469" xr:uid="{00000000-0005-0000-0000-000076630000}"/>
    <cellStyle name="Normal 2 3 12 7" xfId="25470" xr:uid="{00000000-0005-0000-0000-000077630000}"/>
    <cellStyle name="Normal 2 3 12 8" xfId="25471" xr:uid="{00000000-0005-0000-0000-000078630000}"/>
    <cellStyle name="Normal 2 3 12 9" xfId="25472" xr:uid="{00000000-0005-0000-0000-000079630000}"/>
    <cellStyle name="Normal 2 3 13" xfId="25473" xr:uid="{00000000-0005-0000-0000-00007A630000}"/>
    <cellStyle name="Normal 2 3 13 10" xfId="25474" xr:uid="{00000000-0005-0000-0000-00007B630000}"/>
    <cellStyle name="Normal 2 3 13 11" xfId="25475" xr:uid="{00000000-0005-0000-0000-00007C630000}"/>
    <cellStyle name="Normal 2 3 13 12" xfId="25476" xr:uid="{00000000-0005-0000-0000-00007D630000}"/>
    <cellStyle name="Normal 2 3 13 13" xfId="25477" xr:uid="{00000000-0005-0000-0000-00007E630000}"/>
    <cellStyle name="Normal 2 3 13 14" xfId="25478" xr:uid="{00000000-0005-0000-0000-00007F630000}"/>
    <cellStyle name="Normal 2 3 13 2" xfId="25479" xr:uid="{00000000-0005-0000-0000-000080630000}"/>
    <cellStyle name="Normal 2 3 13 2 10" xfId="25480" xr:uid="{00000000-0005-0000-0000-000081630000}"/>
    <cellStyle name="Normal 2 3 13 2 2" xfId="25481" xr:uid="{00000000-0005-0000-0000-000082630000}"/>
    <cellStyle name="Normal 2 3 13 2 3" xfId="25482" xr:uid="{00000000-0005-0000-0000-000083630000}"/>
    <cellStyle name="Normal 2 3 13 2 4" xfId="25483" xr:uid="{00000000-0005-0000-0000-000084630000}"/>
    <cellStyle name="Normal 2 3 13 2 5" xfId="25484" xr:uid="{00000000-0005-0000-0000-000085630000}"/>
    <cellStyle name="Normal 2 3 13 2 6" xfId="25485" xr:uid="{00000000-0005-0000-0000-000086630000}"/>
    <cellStyle name="Normal 2 3 13 2 7" xfId="25486" xr:uid="{00000000-0005-0000-0000-000087630000}"/>
    <cellStyle name="Normal 2 3 13 2 8" xfId="25487" xr:uid="{00000000-0005-0000-0000-000088630000}"/>
    <cellStyle name="Normal 2 3 13 2 9" xfId="25488" xr:uid="{00000000-0005-0000-0000-000089630000}"/>
    <cellStyle name="Normal 2 3 13 3" xfId="25489" xr:uid="{00000000-0005-0000-0000-00008A630000}"/>
    <cellStyle name="Normal 2 3 13 3 10" xfId="25490" xr:uid="{00000000-0005-0000-0000-00008B630000}"/>
    <cellStyle name="Normal 2 3 13 3 2" xfId="25491" xr:uid="{00000000-0005-0000-0000-00008C630000}"/>
    <cellStyle name="Normal 2 3 13 3 3" xfId="25492" xr:uid="{00000000-0005-0000-0000-00008D630000}"/>
    <cellStyle name="Normal 2 3 13 3 4" xfId="25493" xr:uid="{00000000-0005-0000-0000-00008E630000}"/>
    <cellStyle name="Normal 2 3 13 3 5" xfId="25494" xr:uid="{00000000-0005-0000-0000-00008F630000}"/>
    <cellStyle name="Normal 2 3 13 3 6" xfId="25495" xr:uid="{00000000-0005-0000-0000-000090630000}"/>
    <cellStyle name="Normal 2 3 13 3 7" xfId="25496" xr:uid="{00000000-0005-0000-0000-000091630000}"/>
    <cellStyle name="Normal 2 3 13 3 8" xfId="25497" xr:uid="{00000000-0005-0000-0000-000092630000}"/>
    <cellStyle name="Normal 2 3 13 3 9" xfId="25498" xr:uid="{00000000-0005-0000-0000-000093630000}"/>
    <cellStyle name="Normal 2 3 13 4" xfId="25499" xr:uid="{00000000-0005-0000-0000-000094630000}"/>
    <cellStyle name="Normal 2 3 13 4 10" xfId="25500" xr:uid="{00000000-0005-0000-0000-000095630000}"/>
    <cellStyle name="Normal 2 3 13 4 2" xfId="25501" xr:uid="{00000000-0005-0000-0000-000096630000}"/>
    <cellStyle name="Normal 2 3 13 4 3" xfId="25502" xr:uid="{00000000-0005-0000-0000-000097630000}"/>
    <cellStyle name="Normal 2 3 13 4 4" xfId="25503" xr:uid="{00000000-0005-0000-0000-000098630000}"/>
    <cellStyle name="Normal 2 3 13 4 5" xfId="25504" xr:uid="{00000000-0005-0000-0000-000099630000}"/>
    <cellStyle name="Normal 2 3 13 4 6" xfId="25505" xr:uid="{00000000-0005-0000-0000-00009A630000}"/>
    <cellStyle name="Normal 2 3 13 4 7" xfId="25506" xr:uid="{00000000-0005-0000-0000-00009B630000}"/>
    <cellStyle name="Normal 2 3 13 4 8" xfId="25507" xr:uid="{00000000-0005-0000-0000-00009C630000}"/>
    <cellStyle name="Normal 2 3 13 4 9" xfId="25508" xr:uid="{00000000-0005-0000-0000-00009D630000}"/>
    <cellStyle name="Normal 2 3 13 5" xfId="25509" xr:uid="{00000000-0005-0000-0000-00009E630000}"/>
    <cellStyle name="Normal 2 3 13 5 10" xfId="25510" xr:uid="{00000000-0005-0000-0000-00009F630000}"/>
    <cellStyle name="Normal 2 3 13 5 2" xfId="25511" xr:uid="{00000000-0005-0000-0000-0000A0630000}"/>
    <cellStyle name="Normal 2 3 13 5 3" xfId="25512" xr:uid="{00000000-0005-0000-0000-0000A1630000}"/>
    <cellStyle name="Normal 2 3 13 5 4" xfId="25513" xr:uid="{00000000-0005-0000-0000-0000A2630000}"/>
    <cellStyle name="Normal 2 3 13 5 5" xfId="25514" xr:uid="{00000000-0005-0000-0000-0000A3630000}"/>
    <cellStyle name="Normal 2 3 13 5 6" xfId="25515" xr:uid="{00000000-0005-0000-0000-0000A4630000}"/>
    <cellStyle name="Normal 2 3 13 5 7" xfId="25516" xr:uid="{00000000-0005-0000-0000-0000A5630000}"/>
    <cellStyle name="Normal 2 3 13 5 8" xfId="25517" xr:uid="{00000000-0005-0000-0000-0000A6630000}"/>
    <cellStyle name="Normal 2 3 13 5 9" xfId="25518" xr:uid="{00000000-0005-0000-0000-0000A7630000}"/>
    <cellStyle name="Normal 2 3 13 6" xfId="25519" xr:uid="{00000000-0005-0000-0000-0000A8630000}"/>
    <cellStyle name="Normal 2 3 13 7" xfId="25520" xr:uid="{00000000-0005-0000-0000-0000A9630000}"/>
    <cellStyle name="Normal 2 3 13 8" xfId="25521" xr:uid="{00000000-0005-0000-0000-0000AA630000}"/>
    <cellStyle name="Normal 2 3 13 9" xfId="25522" xr:uid="{00000000-0005-0000-0000-0000AB630000}"/>
    <cellStyle name="Normal 2 3 14" xfId="25523" xr:uid="{00000000-0005-0000-0000-0000AC630000}"/>
    <cellStyle name="Normal 2 3 14 10" xfId="25524" xr:uid="{00000000-0005-0000-0000-0000AD630000}"/>
    <cellStyle name="Normal 2 3 14 11" xfId="25525" xr:uid="{00000000-0005-0000-0000-0000AE630000}"/>
    <cellStyle name="Normal 2 3 14 12" xfId="25526" xr:uid="{00000000-0005-0000-0000-0000AF630000}"/>
    <cellStyle name="Normal 2 3 14 13" xfId="25527" xr:uid="{00000000-0005-0000-0000-0000B0630000}"/>
    <cellStyle name="Normal 2 3 14 14" xfId="25528" xr:uid="{00000000-0005-0000-0000-0000B1630000}"/>
    <cellStyle name="Normal 2 3 14 2" xfId="25529" xr:uid="{00000000-0005-0000-0000-0000B2630000}"/>
    <cellStyle name="Normal 2 3 14 2 10" xfId="25530" xr:uid="{00000000-0005-0000-0000-0000B3630000}"/>
    <cellStyle name="Normal 2 3 14 2 2" xfId="25531" xr:uid="{00000000-0005-0000-0000-0000B4630000}"/>
    <cellStyle name="Normal 2 3 14 2 3" xfId="25532" xr:uid="{00000000-0005-0000-0000-0000B5630000}"/>
    <cellStyle name="Normal 2 3 14 2 4" xfId="25533" xr:uid="{00000000-0005-0000-0000-0000B6630000}"/>
    <cellStyle name="Normal 2 3 14 2 5" xfId="25534" xr:uid="{00000000-0005-0000-0000-0000B7630000}"/>
    <cellStyle name="Normal 2 3 14 2 6" xfId="25535" xr:uid="{00000000-0005-0000-0000-0000B8630000}"/>
    <cellStyle name="Normal 2 3 14 2 7" xfId="25536" xr:uid="{00000000-0005-0000-0000-0000B9630000}"/>
    <cellStyle name="Normal 2 3 14 2 8" xfId="25537" xr:uid="{00000000-0005-0000-0000-0000BA630000}"/>
    <cellStyle name="Normal 2 3 14 2 9" xfId="25538" xr:uid="{00000000-0005-0000-0000-0000BB630000}"/>
    <cellStyle name="Normal 2 3 14 3" xfId="25539" xr:uid="{00000000-0005-0000-0000-0000BC630000}"/>
    <cellStyle name="Normal 2 3 14 3 10" xfId="25540" xr:uid="{00000000-0005-0000-0000-0000BD630000}"/>
    <cellStyle name="Normal 2 3 14 3 2" xfId="25541" xr:uid="{00000000-0005-0000-0000-0000BE630000}"/>
    <cellStyle name="Normal 2 3 14 3 3" xfId="25542" xr:uid="{00000000-0005-0000-0000-0000BF630000}"/>
    <cellStyle name="Normal 2 3 14 3 4" xfId="25543" xr:uid="{00000000-0005-0000-0000-0000C0630000}"/>
    <cellStyle name="Normal 2 3 14 3 5" xfId="25544" xr:uid="{00000000-0005-0000-0000-0000C1630000}"/>
    <cellStyle name="Normal 2 3 14 3 6" xfId="25545" xr:uid="{00000000-0005-0000-0000-0000C2630000}"/>
    <cellStyle name="Normal 2 3 14 3 7" xfId="25546" xr:uid="{00000000-0005-0000-0000-0000C3630000}"/>
    <cellStyle name="Normal 2 3 14 3 8" xfId="25547" xr:uid="{00000000-0005-0000-0000-0000C4630000}"/>
    <cellStyle name="Normal 2 3 14 3 9" xfId="25548" xr:uid="{00000000-0005-0000-0000-0000C5630000}"/>
    <cellStyle name="Normal 2 3 14 4" xfId="25549" xr:uid="{00000000-0005-0000-0000-0000C6630000}"/>
    <cellStyle name="Normal 2 3 14 4 10" xfId="25550" xr:uid="{00000000-0005-0000-0000-0000C7630000}"/>
    <cellStyle name="Normal 2 3 14 4 2" xfId="25551" xr:uid="{00000000-0005-0000-0000-0000C8630000}"/>
    <cellStyle name="Normal 2 3 14 4 3" xfId="25552" xr:uid="{00000000-0005-0000-0000-0000C9630000}"/>
    <cellStyle name="Normal 2 3 14 4 4" xfId="25553" xr:uid="{00000000-0005-0000-0000-0000CA630000}"/>
    <cellStyle name="Normal 2 3 14 4 5" xfId="25554" xr:uid="{00000000-0005-0000-0000-0000CB630000}"/>
    <cellStyle name="Normal 2 3 14 4 6" xfId="25555" xr:uid="{00000000-0005-0000-0000-0000CC630000}"/>
    <cellStyle name="Normal 2 3 14 4 7" xfId="25556" xr:uid="{00000000-0005-0000-0000-0000CD630000}"/>
    <cellStyle name="Normal 2 3 14 4 8" xfId="25557" xr:uid="{00000000-0005-0000-0000-0000CE630000}"/>
    <cellStyle name="Normal 2 3 14 4 9" xfId="25558" xr:uid="{00000000-0005-0000-0000-0000CF630000}"/>
    <cellStyle name="Normal 2 3 14 5" xfId="25559" xr:uid="{00000000-0005-0000-0000-0000D0630000}"/>
    <cellStyle name="Normal 2 3 14 5 10" xfId="25560" xr:uid="{00000000-0005-0000-0000-0000D1630000}"/>
    <cellStyle name="Normal 2 3 14 5 2" xfId="25561" xr:uid="{00000000-0005-0000-0000-0000D2630000}"/>
    <cellStyle name="Normal 2 3 14 5 3" xfId="25562" xr:uid="{00000000-0005-0000-0000-0000D3630000}"/>
    <cellStyle name="Normal 2 3 14 5 4" xfId="25563" xr:uid="{00000000-0005-0000-0000-0000D4630000}"/>
    <cellStyle name="Normal 2 3 14 5 5" xfId="25564" xr:uid="{00000000-0005-0000-0000-0000D5630000}"/>
    <cellStyle name="Normal 2 3 14 5 6" xfId="25565" xr:uid="{00000000-0005-0000-0000-0000D6630000}"/>
    <cellStyle name="Normal 2 3 14 5 7" xfId="25566" xr:uid="{00000000-0005-0000-0000-0000D7630000}"/>
    <cellStyle name="Normal 2 3 14 5 8" xfId="25567" xr:uid="{00000000-0005-0000-0000-0000D8630000}"/>
    <cellStyle name="Normal 2 3 14 5 9" xfId="25568" xr:uid="{00000000-0005-0000-0000-0000D9630000}"/>
    <cellStyle name="Normal 2 3 14 6" xfId="25569" xr:uid="{00000000-0005-0000-0000-0000DA630000}"/>
    <cellStyle name="Normal 2 3 14 7" xfId="25570" xr:uid="{00000000-0005-0000-0000-0000DB630000}"/>
    <cellStyle name="Normal 2 3 14 8" xfId="25571" xr:uid="{00000000-0005-0000-0000-0000DC630000}"/>
    <cellStyle name="Normal 2 3 14 9" xfId="25572" xr:uid="{00000000-0005-0000-0000-0000DD630000}"/>
    <cellStyle name="Normal 2 3 15" xfId="25573" xr:uid="{00000000-0005-0000-0000-0000DE630000}"/>
    <cellStyle name="Normal 2 3 15 10" xfId="25574" xr:uid="{00000000-0005-0000-0000-0000DF630000}"/>
    <cellStyle name="Normal 2 3 15 11" xfId="25575" xr:uid="{00000000-0005-0000-0000-0000E0630000}"/>
    <cellStyle name="Normal 2 3 15 12" xfId="25576" xr:uid="{00000000-0005-0000-0000-0000E1630000}"/>
    <cellStyle name="Normal 2 3 15 13" xfId="25577" xr:uid="{00000000-0005-0000-0000-0000E2630000}"/>
    <cellStyle name="Normal 2 3 15 14" xfId="25578" xr:uid="{00000000-0005-0000-0000-0000E3630000}"/>
    <cellStyle name="Normal 2 3 15 2" xfId="25579" xr:uid="{00000000-0005-0000-0000-0000E4630000}"/>
    <cellStyle name="Normal 2 3 15 2 10" xfId="25580" xr:uid="{00000000-0005-0000-0000-0000E5630000}"/>
    <cellStyle name="Normal 2 3 15 2 2" xfId="25581" xr:uid="{00000000-0005-0000-0000-0000E6630000}"/>
    <cellStyle name="Normal 2 3 15 2 3" xfId="25582" xr:uid="{00000000-0005-0000-0000-0000E7630000}"/>
    <cellStyle name="Normal 2 3 15 2 4" xfId="25583" xr:uid="{00000000-0005-0000-0000-0000E8630000}"/>
    <cellStyle name="Normal 2 3 15 2 5" xfId="25584" xr:uid="{00000000-0005-0000-0000-0000E9630000}"/>
    <cellStyle name="Normal 2 3 15 2 6" xfId="25585" xr:uid="{00000000-0005-0000-0000-0000EA630000}"/>
    <cellStyle name="Normal 2 3 15 2 7" xfId="25586" xr:uid="{00000000-0005-0000-0000-0000EB630000}"/>
    <cellStyle name="Normal 2 3 15 2 8" xfId="25587" xr:uid="{00000000-0005-0000-0000-0000EC630000}"/>
    <cellStyle name="Normal 2 3 15 2 9" xfId="25588" xr:uid="{00000000-0005-0000-0000-0000ED630000}"/>
    <cellStyle name="Normal 2 3 15 3" xfId="25589" xr:uid="{00000000-0005-0000-0000-0000EE630000}"/>
    <cellStyle name="Normal 2 3 15 3 10" xfId="25590" xr:uid="{00000000-0005-0000-0000-0000EF630000}"/>
    <cellStyle name="Normal 2 3 15 3 2" xfId="25591" xr:uid="{00000000-0005-0000-0000-0000F0630000}"/>
    <cellStyle name="Normal 2 3 15 3 3" xfId="25592" xr:uid="{00000000-0005-0000-0000-0000F1630000}"/>
    <cellStyle name="Normal 2 3 15 3 4" xfId="25593" xr:uid="{00000000-0005-0000-0000-0000F2630000}"/>
    <cellStyle name="Normal 2 3 15 3 5" xfId="25594" xr:uid="{00000000-0005-0000-0000-0000F3630000}"/>
    <cellStyle name="Normal 2 3 15 3 6" xfId="25595" xr:uid="{00000000-0005-0000-0000-0000F4630000}"/>
    <cellStyle name="Normal 2 3 15 3 7" xfId="25596" xr:uid="{00000000-0005-0000-0000-0000F5630000}"/>
    <cellStyle name="Normal 2 3 15 3 8" xfId="25597" xr:uid="{00000000-0005-0000-0000-0000F6630000}"/>
    <cellStyle name="Normal 2 3 15 3 9" xfId="25598" xr:uid="{00000000-0005-0000-0000-0000F7630000}"/>
    <cellStyle name="Normal 2 3 15 4" xfId="25599" xr:uid="{00000000-0005-0000-0000-0000F8630000}"/>
    <cellStyle name="Normal 2 3 15 4 10" xfId="25600" xr:uid="{00000000-0005-0000-0000-0000F9630000}"/>
    <cellStyle name="Normal 2 3 15 4 2" xfId="25601" xr:uid="{00000000-0005-0000-0000-0000FA630000}"/>
    <cellStyle name="Normal 2 3 15 4 3" xfId="25602" xr:uid="{00000000-0005-0000-0000-0000FB630000}"/>
    <cellStyle name="Normal 2 3 15 4 4" xfId="25603" xr:uid="{00000000-0005-0000-0000-0000FC630000}"/>
    <cellStyle name="Normal 2 3 15 4 5" xfId="25604" xr:uid="{00000000-0005-0000-0000-0000FD630000}"/>
    <cellStyle name="Normal 2 3 15 4 6" xfId="25605" xr:uid="{00000000-0005-0000-0000-0000FE630000}"/>
    <cellStyle name="Normal 2 3 15 4 7" xfId="25606" xr:uid="{00000000-0005-0000-0000-0000FF630000}"/>
    <cellStyle name="Normal 2 3 15 4 8" xfId="25607" xr:uid="{00000000-0005-0000-0000-000000640000}"/>
    <cellStyle name="Normal 2 3 15 4 9" xfId="25608" xr:uid="{00000000-0005-0000-0000-000001640000}"/>
    <cellStyle name="Normal 2 3 15 5" xfId="25609" xr:uid="{00000000-0005-0000-0000-000002640000}"/>
    <cellStyle name="Normal 2 3 15 5 10" xfId="25610" xr:uid="{00000000-0005-0000-0000-000003640000}"/>
    <cellStyle name="Normal 2 3 15 5 2" xfId="25611" xr:uid="{00000000-0005-0000-0000-000004640000}"/>
    <cellStyle name="Normal 2 3 15 5 3" xfId="25612" xr:uid="{00000000-0005-0000-0000-000005640000}"/>
    <cellStyle name="Normal 2 3 15 5 4" xfId="25613" xr:uid="{00000000-0005-0000-0000-000006640000}"/>
    <cellStyle name="Normal 2 3 15 5 5" xfId="25614" xr:uid="{00000000-0005-0000-0000-000007640000}"/>
    <cellStyle name="Normal 2 3 15 5 6" xfId="25615" xr:uid="{00000000-0005-0000-0000-000008640000}"/>
    <cellStyle name="Normal 2 3 15 5 7" xfId="25616" xr:uid="{00000000-0005-0000-0000-000009640000}"/>
    <cellStyle name="Normal 2 3 15 5 8" xfId="25617" xr:uid="{00000000-0005-0000-0000-00000A640000}"/>
    <cellStyle name="Normal 2 3 15 5 9" xfId="25618" xr:uid="{00000000-0005-0000-0000-00000B640000}"/>
    <cellStyle name="Normal 2 3 15 6" xfId="25619" xr:uid="{00000000-0005-0000-0000-00000C640000}"/>
    <cellStyle name="Normal 2 3 15 7" xfId="25620" xr:uid="{00000000-0005-0000-0000-00000D640000}"/>
    <cellStyle name="Normal 2 3 15 8" xfId="25621" xr:uid="{00000000-0005-0000-0000-00000E640000}"/>
    <cellStyle name="Normal 2 3 15 9" xfId="25622" xr:uid="{00000000-0005-0000-0000-00000F640000}"/>
    <cellStyle name="Normal 2 3 16" xfId="25623" xr:uid="{00000000-0005-0000-0000-000010640000}"/>
    <cellStyle name="Normal 2 3 16 10" xfId="25624" xr:uid="{00000000-0005-0000-0000-000011640000}"/>
    <cellStyle name="Normal 2 3 16 11" xfId="25625" xr:uid="{00000000-0005-0000-0000-000012640000}"/>
    <cellStyle name="Normal 2 3 16 12" xfId="25626" xr:uid="{00000000-0005-0000-0000-000013640000}"/>
    <cellStyle name="Normal 2 3 16 13" xfId="25627" xr:uid="{00000000-0005-0000-0000-000014640000}"/>
    <cellStyle name="Normal 2 3 16 14" xfId="25628" xr:uid="{00000000-0005-0000-0000-000015640000}"/>
    <cellStyle name="Normal 2 3 16 2" xfId="25629" xr:uid="{00000000-0005-0000-0000-000016640000}"/>
    <cellStyle name="Normal 2 3 16 2 10" xfId="25630" xr:uid="{00000000-0005-0000-0000-000017640000}"/>
    <cellStyle name="Normal 2 3 16 2 2" xfId="25631" xr:uid="{00000000-0005-0000-0000-000018640000}"/>
    <cellStyle name="Normal 2 3 16 2 3" xfId="25632" xr:uid="{00000000-0005-0000-0000-000019640000}"/>
    <cellStyle name="Normal 2 3 16 2 4" xfId="25633" xr:uid="{00000000-0005-0000-0000-00001A640000}"/>
    <cellStyle name="Normal 2 3 16 2 5" xfId="25634" xr:uid="{00000000-0005-0000-0000-00001B640000}"/>
    <cellStyle name="Normal 2 3 16 2 6" xfId="25635" xr:uid="{00000000-0005-0000-0000-00001C640000}"/>
    <cellStyle name="Normal 2 3 16 2 7" xfId="25636" xr:uid="{00000000-0005-0000-0000-00001D640000}"/>
    <cellStyle name="Normal 2 3 16 2 8" xfId="25637" xr:uid="{00000000-0005-0000-0000-00001E640000}"/>
    <cellStyle name="Normal 2 3 16 2 9" xfId="25638" xr:uid="{00000000-0005-0000-0000-00001F640000}"/>
    <cellStyle name="Normal 2 3 16 3" xfId="25639" xr:uid="{00000000-0005-0000-0000-000020640000}"/>
    <cellStyle name="Normal 2 3 16 3 10" xfId="25640" xr:uid="{00000000-0005-0000-0000-000021640000}"/>
    <cellStyle name="Normal 2 3 16 3 2" xfId="25641" xr:uid="{00000000-0005-0000-0000-000022640000}"/>
    <cellStyle name="Normal 2 3 16 3 3" xfId="25642" xr:uid="{00000000-0005-0000-0000-000023640000}"/>
    <cellStyle name="Normal 2 3 16 3 4" xfId="25643" xr:uid="{00000000-0005-0000-0000-000024640000}"/>
    <cellStyle name="Normal 2 3 16 3 5" xfId="25644" xr:uid="{00000000-0005-0000-0000-000025640000}"/>
    <cellStyle name="Normal 2 3 16 3 6" xfId="25645" xr:uid="{00000000-0005-0000-0000-000026640000}"/>
    <cellStyle name="Normal 2 3 16 3 7" xfId="25646" xr:uid="{00000000-0005-0000-0000-000027640000}"/>
    <cellStyle name="Normal 2 3 16 3 8" xfId="25647" xr:uid="{00000000-0005-0000-0000-000028640000}"/>
    <cellStyle name="Normal 2 3 16 3 9" xfId="25648" xr:uid="{00000000-0005-0000-0000-000029640000}"/>
    <cellStyle name="Normal 2 3 16 4" xfId="25649" xr:uid="{00000000-0005-0000-0000-00002A640000}"/>
    <cellStyle name="Normal 2 3 16 4 10" xfId="25650" xr:uid="{00000000-0005-0000-0000-00002B640000}"/>
    <cellStyle name="Normal 2 3 16 4 2" xfId="25651" xr:uid="{00000000-0005-0000-0000-00002C640000}"/>
    <cellStyle name="Normal 2 3 16 4 3" xfId="25652" xr:uid="{00000000-0005-0000-0000-00002D640000}"/>
    <cellStyle name="Normal 2 3 16 4 4" xfId="25653" xr:uid="{00000000-0005-0000-0000-00002E640000}"/>
    <cellStyle name="Normal 2 3 16 4 5" xfId="25654" xr:uid="{00000000-0005-0000-0000-00002F640000}"/>
    <cellStyle name="Normal 2 3 16 4 6" xfId="25655" xr:uid="{00000000-0005-0000-0000-000030640000}"/>
    <cellStyle name="Normal 2 3 16 4 7" xfId="25656" xr:uid="{00000000-0005-0000-0000-000031640000}"/>
    <cellStyle name="Normal 2 3 16 4 8" xfId="25657" xr:uid="{00000000-0005-0000-0000-000032640000}"/>
    <cellStyle name="Normal 2 3 16 4 9" xfId="25658" xr:uid="{00000000-0005-0000-0000-000033640000}"/>
    <cellStyle name="Normal 2 3 16 5" xfId="25659" xr:uid="{00000000-0005-0000-0000-000034640000}"/>
    <cellStyle name="Normal 2 3 16 5 10" xfId="25660" xr:uid="{00000000-0005-0000-0000-000035640000}"/>
    <cellStyle name="Normal 2 3 16 5 2" xfId="25661" xr:uid="{00000000-0005-0000-0000-000036640000}"/>
    <cellStyle name="Normal 2 3 16 5 3" xfId="25662" xr:uid="{00000000-0005-0000-0000-000037640000}"/>
    <cellStyle name="Normal 2 3 16 5 4" xfId="25663" xr:uid="{00000000-0005-0000-0000-000038640000}"/>
    <cellStyle name="Normal 2 3 16 5 5" xfId="25664" xr:uid="{00000000-0005-0000-0000-000039640000}"/>
    <cellStyle name="Normal 2 3 16 5 6" xfId="25665" xr:uid="{00000000-0005-0000-0000-00003A640000}"/>
    <cellStyle name="Normal 2 3 16 5 7" xfId="25666" xr:uid="{00000000-0005-0000-0000-00003B640000}"/>
    <cellStyle name="Normal 2 3 16 5 8" xfId="25667" xr:uid="{00000000-0005-0000-0000-00003C640000}"/>
    <cellStyle name="Normal 2 3 16 5 9" xfId="25668" xr:uid="{00000000-0005-0000-0000-00003D640000}"/>
    <cellStyle name="Normal 2 3 16 6" xfId="25669" xr:uid="{00000000-0005-0000-0000-00003E640000}"/>
    <cellStyle name="Normal 2 3 16 7" xfId="25670" xr:uid="{00000000-0005-0000-0000-00003F640000}"/>
    <cellStyle name="Normal 2 3 16 8" xfId="25671" xr:uid="{00000000-0005-0000-0000-000040640000}"/>
    <cellStyle name="Normal 2 3 16 9" xfId="25672" xr:uid="{00000000-0005-0000-0000-000041640000}"/>
    <cellStyle name="Normal 2 3 17" xfId="25673" xr:uid="{00000000-0005-0000-0000-000042640000}"/>
    <cellStyle name="Normal 2 3 17 10" xfId="25674" xr:uid="{00000000-0005-0000-0000-000043640000}"/>
    <cellStyle name="Normal 2 3 17 11" xfId="25675" xr:uid="{00000000-0005-0000-0000-000044640000}"/>
    <cellStyle name="Normal 2 3 17 12" xfId="25676" xr:uid="{00000000-0005-0000-0000-000045640000}"/>
    <cellStyle name="Normal 2 3 17 13" xfId="25677" xr:uid="{00000000-0005-0000-0000-000046640000}"/>
    <cellStyle name="Normal 2 3 17 14" xfId="25678" xr:uid="{00000000-0005-0000-0000-000047640000}"/>
    <cellStyle name="Normal 2 3 17 2" xfId="25679" xr:uid="{00000000-0005-0000-0000-000048640000}"/>
    <cellStyle name="Normal 2 3 17 2 10" xfId="25680" xr:uid="{00000000-0005-0000-0000-000049640000}"/>
    <cellStyle name="Normal 2 3 17 2 2" xfId="25681" xr:uid="{00000000-0005-0000-0000-00004A640000}"/>
    <cellStyle name="Normal 2 3 17 2 3" xfId="25682" xr:uid="{00000000-0005-0000-0000-00004B640000}"/>
    <cellStyle name="Normal 2 3 17 2 4" xfId="25683" xr:uid="{00000000-0005-0000-0000-00004C640000}"/>
    <cellStyle name="Normal 2 3 17 2 5" xfId="25684" xr:uid="{00000000-0005-0000-0000-00004D640000}"/>
    <cellStyle name="Normal 2 3 17 2 6" xfId="25685" xr:uid="{00000000-0005-0000-0000-00004E640000}"/>
    <cellStyle name="Normal 2 3 17 2 7" xfId="25686" xr:uid="{00000000-0005-0000-0000-00004F640000}"/>
    <cellStyle name="Normal 2 3 17 2 8" xfId="25687" xr:uid="{00000000-0005-0000-0000-000050640000}"/>
    <cellStyle name="Normal 2 3 17 2 9" xfId="25688" xr:uid="{00000000-0005-0000-0000-000051640000}"/>
    <cellStyle name="Normal 2 3 17 3" xfId="25689" xr:uid="{00000000-0005-0000-0000-000052640000}"/>
    <cellStyle name="Normal 2 3 17 3 10" xfId="25690" xr:uid="{00000000-0005-0000-0000-000053640000}"/>
    <cellStyle name="Normal 2 3 17 3 2" xfId="25691" xr:uid="{00000000-0005-0000-0000-000054640000}"/>
    <cellStyle name="Normal 2 3 17 3 3" xfId="25692" xr:uid="{00000000-0005-0000-0000-000055640000}"/>
    <cellStyle name="Normal 2 3 17 3 4" xfId="25693" xr:uid="{00000000-0005-0000-0000-000056640000}"/>
    <cellStyle name="Normal 2 3 17 3 5" xfId="25694" xr:uid="{00000000-0005-0000-0000-000057640000}"/>
    <cellStyle name="Normal 2 3 17 3 6" xfId="25695" xr:uid="{00000000-0005-0000-0000-000058640000}"/>
    <cellStyle name="Normal 2 3 17 3 7" xfId="25696" xr:uid="{00000000-0005-0000-0000-000059640000}"/>
    <cellStyle name="Normal 2 3 17 3 8" xfId="25697" xr:uid="{00000000-0005-0000-0000-00005A640000}"/>
    <cellStyle name="Normal 2 3 17 3 9" xfId="25698" xr:uid="{00000000-0005-0000-0000-00005B640000}"/>
    <cellStyle name="Normal 2 3 17 4" xfId="25699" xr:uid="{00000000-0005-0000-0000-00005C640000}"/>
    <cellStyle name="Normal 2 3 17 4 10" xfId="25700" xr:uid="{00000000-0005-0000-0000-00005D640000}"/>
    <cellStyle name="Normal 2 3 17 4 2" xfId="25701" xr:uid="{00000000-0005-0000-0000-00005E640000}"/>
    <cellStyle name="Normal 2 3 17 4 3" xfId="25702" xr:uid="{00000000-0005-0000-0000-00005F640000}"/>
    <cellStyle name="Normal 2 3 17 4 4" xfId="25703" xr:uid="{00000000-0005-0000-0000-000060640000}"/>
    <cellStyle name="Normal 2 3 17 4 5" xfId="25704" xr:uid="{00000000-0005-0000-0000-000061640000}"/>
    <cellStyle name="Normal 2 3 17 4 6" xfId="25705" xr:uid="{00000000-0005-0000-0000-000062640000}"/>
    <cellStyle name="Normal 2 3 17 4 7" xfId="25706" xr:uid="{00000000-0005-0000-0000-000063640000}"/>
    <cellStyle name="Normal 2 3 17 4 8" xfId="25707" xr:uid="{00000000-0005-0000-0000-000064640000}"/>
    <cellStyle name="Normal 2 3 17 4 9" xfId="25708" xr:uid="{00000000-0005-0000-0000-000065640000}"/>
    <cellStyle name="Normal 2 3 17 5" xfId="25709" xr:uid="{00000000-0005-0000-0000-000066640000}"/>
    <cellStyle name="Normal 2 3 17 5 10" xfId="25710" xr:uid="{00000000-0005-0000-0000-000067640000}"/>
    <cellStyle name="Normal 2 3 17 5 2" xfId="25711" xr:uid="{00000000-0005-0000-0000-000068640000}"/>
    <cellStyle name="Normal 2 3 17 5 3" xfId="25712" xr:uid="{00000000-0005-0000-0000-000069640000}"/>
    <cellStyle name="Normal 2 3 17 5 4" xfId="25713" xr:uid="{00000000-0005-0000-0000-00006A640000}"/>
    <cellStyle name="Normal 2 3 17 5 5" xfId="25714" xr:uid="{00000000-0005-0000-0000-00006B640000}"/>
    <cellStyle name="Normal 2 3 17 5 6" xfId="25715" xr:uid="{00000000-0005-0000-0000-00006C640000}"/>
    <cellStyle name="Normal 2 3 17 5 7" xfId="25716" xr:uid="{00000000-0005-0000-0000-00006D640000}"/>
    <cellStyle name="Normal 2 3 17 5 8" xfId="25717" xr:uid="{00000000-0005-0000-0000-00006E640000}"/>
    <cellStyle name="Normal 2 3 17 5 9" xfId="25718" xr:uid="{00000000-0005-0000-0000-00006F640000}"/>
    <cellStyle name="Normal 2 3 17 6" xfId="25719" xr:uid="{00000000-0005-0000-0000-000070640000}"/>
    <cellStyle name="Normal 2 3 17 7" xfId="25720" xr:uid="{00000000-0005-0000-0000-000071640000}"/>
    <cellStyle name="Normal 2 3 17 8" xfId="25721" xr:uid="{00000000-0005-0000-0000-000072640000}"/>
    <cellStyle name="Normal 2 3 17 9" xfId="25722" xr:uid="{00000000-0005-0000-0000-000073640000}"/>
    <cellStyle name="Normal 2 3 18" xfId="25723" xr:uid="{00000000-0005-0000-0000-000074640000}"/>
    <cellStyle name="Normal 2 3 18 10" xfId="25724" xr:uid="{00000000-0005-0000-0000-000075640000}"/>
    <cellStyle name="Normal 2 3 18 11" xfId="25725" xr:uid="{00000000-0005-0000-0000-000076640000}"/>
    <cellStyle name="Normal 2 3 18 12" xfId="25726" xr:uid="{00000000-0005-0000-0000-000077640000}"/>
    <cellStyle name="Normal 2 3 18 13" xfId="25727" xr:uid="{00000000-0005-0000-0000-000078640000}"/>
    <cellStyle name="Normal 2 3 18 14" xfId="25728" xr:uid="{00000000-0005-0000-0000-000079640000}"/>
    <cellStyle name="Normal 2 3 18 2" xfId="25729" xr:uid="{00000000-0005-0000-0000-00007A640000}"/>
    <cellStyle name="Normal 2 3 18 2 10" xfId="25730" xr:uid="{00000000-0005-0000-0000-00007B640000}"/>
    <cellStyle name="Normal 2 3 18 2 2" xfId="25731" xr:uid="{00000000-0005-0000-0000-00007C640000}"/>
    <cellStyle name="Normal 2 3 18 2 3" xfId="25732" xr:uid="{00000000-0005-0000-0000-00007D640000}"/>
    <cellStyle name="Normal 2 3 18 2 4" xfId="25733" xr:uid="{00000000-0005-0000-0000-00007E640000}"/>
    <cellStyle name="Normal 2 3 18 2 5" xfId="25734" xr:uid="{00000000-0005-0000-0000-00007F640000}"/>
    <cellStyle name="Normal 2 3 18 2 6" xfId="25735" xr:uid="{00000000-0005-0000-0000-000080640000}"/>
    <cellStyle name="Normal 2 3 18 2 7" xfId="25736" xr:uid="{00000000-0005-0000-0000-000081640000}"/>
    <cellStyle name="Normal 2 3 18 2 8" xfId="25737" xr:uid="{00000000-0005-0000-0000-000082640000}"/>
    <cellStyle name="Normal 2 3 18 2 9" xfId="25738" xr:uid="{00000000-0005-0000-0000-000083640000}"/>
    <cellStyle name="Normal 2 3 18 3" xfId="25739" xr:uid="{00000000-0005-0000-0000-000084640000}"/>
    <cellStyle name="Normal 2 3 18 3 10" xfId="25740" xr:uid="{00000000-0005-0000-0000-000085640000}"/>
    <cellStyle name="Normal 2 3 18 3 2" xfId="25741" xr:uid="{00000000-0005-0000-0000-000086640000}"/>
    <cellStyle name="Normal 2 3 18 3 3" xfId="25742" xr:uid="{00000000-0005-0000-0000-000087640000}"/>
    <cellStyle name="Normal 2 3 18 3 4" xfId="25743" xr:uid="{00000000-0005-0000-0000-000088640000}"/>
    <cellStyle name="Normal 2 3 18 3 5" xfId="25744" xr:uid="{00000000-0005-0000-0000-000089640000}"/>
    <cellStyle name="Normal 2 3 18 3 6" xfId="25745" xr:uid="{00000000-0005-0000-0000-00008A640000}"/>
    <cellStyle name="Normal 2 3 18 3 7" xfId="25746" xr:uid="{00000000-0005-0000-0000-00008B640000}"/>
    <cellStyle name="Normal 2 3 18 3 8" xfId="25747" xr:uid="{00000000-0005-0000-0000-00008C640000}"/>
    <cellStyle name="Normal 2 3 18 3 9" xfId="25748" xr:uid="{00000000-0005-0000-0000-00008D640000}"/>
    <cellStyle name="Normal 2 3 18 4" xfId="25749" xr:uid="{00000000-0005-0000-0000-00008E640000}"/>
    <cellStyle name="Normal 2 3 18 4 10" xfId="25750" xr:uid="{00000000-0005-0000-0000-00008F640000}"/>
    <cellStyle name="Normal 2 3 18 4 2" xfId="25751" xr:uid="{00000000-0005-0000-0000-000090640000}"/>
    <cellStyle name="Normal 2 3 18 4 3" xfId="25752" xr:uid="{00000000-0005-0000-0000-000091640000}"/>
    <cellStyle name="Normal 2 3 18 4 4" xfId="25753" xr:uid="{00000000-0005-0000-0000-000092640000}"/>
    <cellStyle name="Normal 2 3 18 4 5" xfId="25754" xr:uid="{00000000-0005-0000-0000-000093640000}"/>
    <cellStyle name="Normal 2 3 18 4 6" xfId="25755" xr:uid="{00000000-0005-0000-0000-000094640000}"/>
    <cellStyle name="Normal 2 3 18 4 7" xfId="25756" xr:uid="{00000000-0005-0000-0000-000095640000}"/>
    <cellStyle name="Normal 2 3 18 4 8" xfId="25757" xr:uid="{00000000-0005-0000-0000-000096640000}"/>
    <cellStyle name="Normal 2 3 18 4 9" xfId="25758" xr:uid="{00000000-0005-0000-0000-000097640000}"/>
    <cellStyle name="Normal 2 3 18 5" xfId="25759" xr:uid="{00000000-0005-0000-0000-000098640000}"/>
    <cellStyle name="Normal 2 3 18 5 10" xfId="25760" xr:uid="{00000000-0005-0000-0000-000099640000}"/>
    <cellStyle name="Normal 2 3 18 5 2" xfId="25761" xr:uid="{00000000-0005-0000-0000-00009A640000}"/>
    <cellStyle name="Normal 2 3 18 5 3" xfId="25762" xr:uid="{00000000-0005-0000-0000-00009B640000}"/>
    <cellStyle name="Normal 2 3 18 5 4" xfId="25763" xr:uid="{00000000-0005-0000-0000-00009C640000}"/>
    <cellStyle name="Normal 2 3 18 5 5" xfId="25764" xr:uid="{00000000-0005-0000-0000-00009D640000}"/>
    <cellStyle name="Normal 2 3 18 5 6" xfId="25765" xr:uid="{00000000-0005-0000-0000-00009E640000}"/>
    <cellStyle name="Normal 2 3 18 5 7" xfId="25766" xr:uid="{00000000-0005-0000-0000-00009F640000}"/>
    <cellStyle name="Normal 2 3 18 5 8" xfId="25767" xr:uid="{00000000-0005-0000-0000-0000A0640000}"/>
    <cellStyle name="Normal 2 3 18 5 9" xfId="25768" xr:uid="{00000000-0005-0000-0000-0000A1640000}"/>
    <cellStyle name="Normal 2 3 18 6" xfId="25769" xr:uid="{00000000-0005-0000-0000-0000A2640000}"/>
    <cellStyle name="Normal 2 3 18 7" xfId="25770" xr:uid="{00000000-0005-0000-0000-0000A3640000}"/>
    <cellStyle name="Normal 2 3 18 8" xfId="25771" xr:uid="{00000000-0005-0000-0000-0000A4640000}"/>
    <cellStyle name="Normal 2 3 18 9" xfId="25772" xr:uid="{00000000-0005-0000-0000-0000A5640000}"/>
    <cellStyle name="Normal 2 3 19" xfId="25773" xr:uid="{00000000-0005-0000-0000-0000A6640000}"/>
    <cellStyle name="Normal 2 3 19 10" xfId="25774" xr:uid="{00000000-0005-0000-0000-0000A7640000}"/>
    <cellStyle name="Normal 2 3 19 11" xfId="25775" xr:uid="{00000000-0005-0000-0000-0000A8640000}"/>
    <cellStyle name="Normal 2 3 19 12" xfId="25776" xr:uid="{00000000-0005-0000-0000-0000A9640000}"/>
    <cellStyle name="Normal 2 3 19 13" xfId="25777" xr:uid="{00000000-0005-0000-0000-0000AA640000}"/>
    <cellStyle name="Normal 2 3 19 14" xfId="25778" xr:uid="{00000000-0005-0000-0000-0000AB640000}"/>
    <cellStyle name="Normal 2 3 19 2" xfId="25779" xr:uid="{00000000-0005-0000-0000-0000AC640000}"/>
    <cellStyle name="Normal 2 3 19 2 10" xfId="25780" xr:uid="{00000000-0005-0000-0000-0000AD640000}"/>
    <cellStyle name="Normal 2 3 19 2 2" xfId="25781" xr:uid="{00000000-0005-0000-0000-0000AE640000}"/>
    <cellStyle name="Normal 2 3 19 2 3" xfId="25782" xr:uid="{00000000-0005-0000-0000-0000AF640000}"/>
    <cellStyle name="Normal 2 3 19 2 4" xfId="25783" xr:uid="{00000000-0005-0000-0000-0000B0640000}"/>
    <cellStyle name="Normal 2 3 19 2 5" xfId="25784" xr:uid="{00000000-0005-0000-0000-0000B1640000}"/>
    <cellStyle name="Normal 2 3 19 2 6" xfId="25785" xr:uid="{00000000-0005-0000-0000-0000B2640000}"/>
    <cellStyle name="Normal 2 3 19 2 7" xfId="25786" xr:uid="{00000000-0005-0000-0000-0000B3640000}"/>
    <cellStyle name="Normal 2 3 19 2 8" xfId="25787" xr:uid="{00000000-0005-0000-0000-0000B4640000}"/>
    <cellStyle name="Normal 2 3 19 2 9" xfId="25788" xr:uid="{00000000-0005-0000-0000-0000B5640000}"/>
    <cellStyle name="Normal 2 3 19 3" xfId="25789" xr:uid="{00000000-0005-0000-0000-0000B6640000}"/>
    <cellStyle name="Normal 2 3 19 3 10" xfId="25790" xr:uid="{00000000-0005-0000-0000-0000B7640000}"/>
    <cellStyle name="Normal 2 3 19 3 2" xfId="25791" xr:uid="{00000000-0005-0000-0000-0000B8640000}"/>
    <cellStyle name="Normal 2 3 19 3 3" xfId="25792" xr:uid="{00000000-0005-0000-0000-0000B9640000}"/>
    <cellStyle name="Normal 2 3 19 3 4" xfId="25793" xr:uid="{00000000-0005-0000-0000-0000BA640000}"/>
    <cellStyle name="Normal 2 3 19 3 5" xfId="25794" xr:uid="{00000000-0005-0000-0000-0000BB640000}"/>
    <cellStyle name="Normal 2 3 19 3 6" xfId="25795" xr:uid="{00000000-0005-0000-0000-0000BC640000}"/>
    <cellStyle name="Normal 2 3 19 3 7" xfId="25796" xr:uid="{00000000-0005-0000-0000-0000BD640000}"/>
    <cellStyle name="Normal 2 3 19 3 8" xfId="25797" xr:uid="{00000000-0005-0000-0000-0000BE640000}"/>
    <cellStyle name="Normal 2 3 19 3 9" xfId="25798" xr:uid="{00000000-0005-0000-0000-0000BF640000}"/>
    <cellStyle name="Normal 2 3 19 4" xfId="25799" xr:uid="{00000000-0005-0000-0000-0000C0640000}"/>
    <cellStyle name="Normal 2 3 19 4 10" xfId="25800" xr:uid="{00000000-0005-0000-0000-0000C1640000}"/>
    <cellStyle name="Normal 2 3 19 4 2" xfId="25801" xr:uid="{00000000-0005-0000-0000-0000C2640000}"/>
    <cellStyle name="Normal 2 3 19 4 3" xfId="25802" xr:uid="{00000000-0005-0000-0000-0000C3640000}"/>
    <cellStyle name="Normal 2 3 19 4 4" xfId="25803" xr:uid="{00000000-0005-0000-0000-0000C4640000}"/>
    <cellStyle name="Normal 2 3 19 4 5" xfId="25804" xr:uid="{00000000-0005-0000-0000-0000C5640000}"/>
    <cellStyle name="Normal 2 3 19 4 6" xfId="25805" xr:uid="{00000000-0005-0000-0000-0000C6640000}"/>
    <cellStyle name="Normal 2 3 19 4 7" xfId="25806" xr:uid="{00000000-0005-0000-0000-0000C7640000}"/>
    <cellStyle name="Normal 2 3 19 4 8" xfId="25807" xr:uid="{00000000-0005-0000-0000-0000C8640000}"/>
    <cellStyle name="Normal 2 3 19 4 9" xfId="25808" xr:uid="{00000000-0005-0000-0000-0000C9640000}"/>
    <cellStyle name="Normal 2 3 19 5" xfId="25809" xr:uid="{00000000-0005-0000-0000-0000CA640000}"/>
    <cellStyle name="Normal 2 3 19 5 10" xfId="25810" xr:uid="{00000000-0005-0000-0000-0000CB640000}"/>
    <cellStyle name="Normal 2 3 19 5 2" xfId="25811" xr:uid="{00000000-0005-0000-0000-0000CC640000}"/>
    <cellStyle name="Normal 2 3 19 5 3" xfId="25812" xr:uid="{00000000-0005-0000-0000-0000CD640000}"/>
    <cellStyle name="Normal 2 3 19 5 4" xfId="25813" xr:uid="{00000000-0005-0000-0000-0000CE640000}"/>
    <cellStyle name="Normal 2 3 19 5 5" xfId="25814" xr:uid="{00000000-0005-0000-0000-0000CF640000}"/>
    <cellStyle name="Normal 2 3 19 5 6" xfId="25815" xr:uid="{00000000-0005-0000-0000-0000D0640000}"/>
    <cellStyle name="Normal 2 3 19 5 7" xfId="25816" xr:uid="{00000000-0005-0000-0000-0000D1640000}"/>
    <cellStyle name="Normal 2 3 19 5 8" xfId="25817" xr:uid="{00000000-0005-0000-0000-0000D2640000}"/>
    <cellStyle name="Normal 2 3 19 5 9" xfId="25818" xr:uid="{00000000-0005-0000-0000-0000D3640000}"/>
    <cellStyle name="Normal 2 3 19 6" xfId="25819" xr:uid="{00000000-0005-0000-0000-0000D4640000}"/>
    <cellStyle name="Normal 2 3 19 7" xfId="25820" xr:uid="{00000000-0005-0000-0000-0000D5640000}"/>
    <cellStyle name="Normal 2 3 19 8" xfId="25821" xr:uid="{00000000-0005-0000-0000-0000D6640000}"/>
    <cellStyle name="Normal 2 3 19 9" xfId="25822" xr:uid="{00000000-0005-0000-0000-0000D7640000}"/>
    <cellStyle name="Normal 2 3 2" xfId="25823" xr:uid="{00000000-0005-0000-0000-0000D8640000}"/>
    <cellStyle name="Normal 2 3 2 10" xfId="25824" xr:uid="{00000000-0005-0000-0000-0000D9640000}"/>
    <cellStyle name="Normal 2 3 2 10 10" xfId="25825" xr:uid="{00000000-0005-0000-0000-0000DA640000}"/>
    <cellStyle name="Normal 2 3 2 10 11" xfId="25826" xr:uid="{00000000-0005-0000-0000-0000DB640000}"/>
    <cellStyle name="Normal 2 3 2 10 12" xfId="25827" xr:uid="{00000000-0005-0000-0000-0000DC640000}"/>
    <cellStyle name="Normal 2 3 2 10 13" xfId="25828" xr:uid="{00000000-0005-0000-0000-0000DD640000}"/>
    <cellStyle name="Normal 2 3 2 10 14" xfId="25829" xr:uid="{00000000-0005-0000-0000-0000DE640000}"/>
    <cellStyle name="Normal 2 3 2 10 2" xfId="25830" xr:uid="{00000000-0005-0000-0000-0000DF640000}"/>
    <cellStyle name="Normal 2 3 2 10 2 10" xfId="25831" xr:uid="{00000000-0005-0000-0000-0000E0640000}"/>
    <cellStyle name="Normal 2 3 2 10 2 2" xfId="25832" xr:uid="{00000000-0005-0000-0000-0000E1640000}"/>
    <cellStyle name="Normal 2 3 2 10 2 3" xfId="25833" xr:uid="{00000000-0005-0000-0000-0000E2640000}"/>
    <cellStyle name="Normal 2 3 2 10 2 4" xfId="25834" xr:uid="{00000000-0005-0000-0000-0000E3640000}"/>
    <cellStyle name="Normal 2 3 2 10 2 5" xfId="25835" xr:uid="{00000000-0005-0000-0000-0000E4640000}"/>
    <cellStyle name="Normal 2 3 2 10 2 6" xfId="25836" xr:uid="{00000000-0005-0000-0000-0000E5640000}"/>
    <cellStyle name="Normal 2 3 2 10 2 7" xfId="25837" xr:uid="{00000000-0005-0000-0000-0000E6640000}"/>
    <cellStyle name="Normal 2 3 2 10 2 8" xfId="25838" xr:uid="{00000000-0005-0000-0000-0000E7640000}"/>
    <cellStyle name="Normal 2 3 2 10 2 9" xfId="25839" xr:uid="{00000000-0005-0000-0000-0000E8640000}"/>
    <cellStyle name="Normal 2 3 2 10 3" xfId="25840" xr:uid="{00000000-0005-0000-0000-0000E9640000}"/>
    <cellStyle name="Normal 2 3 2 10 3 10" xfId="25841" xr:uid="{00000000-0005-0000-0000-0000EA640000}"/>
    <cellStyle name="Normal 2 3 2 10 3 2" xfId="25842" xr:uid="{00000000-0005-0000-0000-0000EB640000}"/>
    <cellStyle name="Normal 2 3 2 10 3 3" xfId="25843" xr:uid="{00000000-0005-0000-0000-0000EC640000}"/>
    <cellStyle name="Normal 2 3 2 10 3 4" xfId="25844" xr:uid="{00000000-0005-0000-0000-0000ED640000}"/>
    <cellStyle name="Normal 2 3 2 10 3 5" xfId="25845" xr:uid="{00000000-0005-0000-0000-0000EE640000}"/>
    <cellStyle name="Normal 2 3 2 10 3 6" xfId="25846" xr:uid="{00000000-0005-0000-0000-0000EF640000}"/>
    <cellStyle name="Normal 2 3 2 10 3 7" xfId="25847" xr:uid="{00000000-0005-0000-0000-0000F0640000}"/>
    <cellStyle name="Normal 2 3 2 10 3 8" xfId="25848" xr:uid="{00000000-0005-0000-0000-0000F1640000}"/>
    <cellStyle name="Normal 2 3 2 10 3 9" xfId="25849" xr:uid="{00000000-0005-0000-0000-0000F2640000}"/>
    <cellStyle name="Normal 2 3 2 10 4" xfId="25850" xr:uid="{00000000-0005-0000-0000-0000F3640000}"/>
    <cellStyle name="Normal 2 3 2 10 4 10" xfId="25851" xr:uid="{00000000-0005-0000-0000-0000F4640000}"/>
    <cellStyle name="Normal 2 3 2 10 4 2" xfId="25852" xr:uid="{00000000-0005-0000-0000-0000F5640000}"/>
    <cellStyle name="Normal 2 3 2 10 4 3" xfId="25853" xr:uid="{00000000-0005-0000-0000-0000F6640000}"/>
    <cellStyle name="Normal 2 3 2 10 4 4" xfId="25854" xr:uid="{00000000-0005-0000-0000-0000F7640000}"/>
    <cellStyle name="Normal 2 3 2 10 4 5" xfId="25855" xr:uid="{00000000-0005-0000-0000-0000F8640000}"/>
    <cellStyle name="Normal 2 3 2 10 4 6" xfId="25856" xr:uid="{00000000-0005-0000-0000-0000F9640000}"/>
    <cellStyle name="Normal 2 3 2 10 4 7" xfId="25857" xr:uid="{00000000-0005-0000-0000-0000FA640000}"/>
    <cellStyle name="Normal 2 3 2 10 4 8" xfId="25858" xr:uid="{00000000-0005-0000-0000-0000FB640000}"/>
    <cellStyle name="Normal 2 3 2 10 4 9" xfId="25859" xr:uid="{00000000-0005-0000-0000-0000FC640000}"/>
    <cellStyle name="Normal 2 3 2 10 5" xfId="25860" xr:uid="{00000000-0005-0000-0000-0000FD640000}"/>
    <cellStyle name="Normal 2 3 2 10 5 10" xfId="25861" xr:uid="{00000000-0005-0000-0000-0000FE640000}"/>
    <cellStyle name="Normal 2 3 2 10 5 2" xfId="25862" xr:uid="{00000000-0005-0000-0000-0000FF640000}"/>
    <cellStyle name="Normal 2 3 2 10 5 3" xfId="25863" xr:uid="{00000000-0005-0000-0000-000000650000}"/>
    <cellStyle name="Normal 2 3 2 10 5 4" xfId="25864" xr:uid="{00000000-0005-0000-0000-000001650000}"/>
    <cellStyle name="Normal 2 3 2 10 5 5" xfId="25865" xr:uid="{00000000-0005-0000-0000-000002650000}"/>
    <cellStyle name="Normal 2 3 2 10 5 6" xfId="25866" xr:uid="{00000000-0005-0000-0000-000003650000}"/>
    <cellStyle name="Normal 2 3 2 10 5 7" xfId="25867" xr:uid="{00000000-0005-0000-0000-000004650000}"/>
    <cellStyle name="Normal 2 3 2 10 5 8" xfId="25868" xr:uid="{00000000-0005-0000-0000-000005650000}"/>
    <cellStyle name="Normal 2 3 2 10 5 9" xfId="25869" xr:uid="{00000000-0005-0000-0000-000006650000}"/>
    <cellStyle name="Normal 2 3 2 10 6" xfId="25870" xr:uid="{00000000-0005-0000-0000-000007650000}"/>
    <cellStyle name="Normal 2 3 2 10 7" xfId="25871" xr:uid="{00000000-0005-0000-0000-000008650000}"/>
    <cellStyle name="Normal 2 3 2 10 8" xfId="25872" xr:uid="{00000000-0005-0000-0000-000009650000}"/>
    <cellStyle name="Normal 2 3 2 10 9" xfId="25873" xr:uid="{00000000-0005-0000-0000-00000A650000}"/>
    <cellStyle name="Normal 2 3 2 11" xfId="25874" xr:uid="{00000000-0005-0000-0000-00000B650000}"/>
    <cellStyle name="Normal 2 3 2 11 10" xfId="25875" xr:uid="{00000000-0005-0000-0000-00000C650000}"/>
    <cellStyle name="Normal 2 3 2 11 11" xfId="25876" xr:uid="{00000000-0005-0000-0000-00000D650000}"/>
    <cellStyle name="Normal 2 3 2 11 12" xfId="25877" xr:uid="{00000000-0005-0000-0000-00000E650000}"/>
    <cellStyle name="Normal 2 3 2 11 13" xfId="25878" xr:uid="{00000000-0005-0000-0000-00000F650000}"/>
    <cellStyle name="Normal 2 3 2 11 14" xfId="25879" xr:uid="{00000000-0005-0000-0000-000010650000}"/>
    <cellStyle name="Normal 2 3 2 11 2" xfId="25880" xr:uid="{00000000-0005-0000-0000-000011650000}"/>
    <cellStyle name="Normal 2 3 2 11 2 10" xfId="25881" xr:uid="{00000000-0005-0000-0000-000012650000}"/>
    <cellStyle name="Normal 2 3 2 11 2 2" xfId="25882" xr:uid="{00000000-0005-0000-0000-000013650000}"/>
    <cellStyle name="Normal 2 3 2 11 2 3" xfId="25883" xr:uid="{00000000-0005-0000-0000-000014650000}"/>
    <cellStyle name="Normal 2 3 2 11 2 4" xfId="25884" xr:uid="{00000000-0005-0000-0000-000015650000}"/>
    <cellStyle name="Normal 2 3 2 11 2 5" xfId="25885" xr:uid="{00000000-0005-0000-0000-000016650000}"/>
    <cellStyle name="Normal 2 3 2 11 2 6" xfId="25886" xr:uid="{00000000-0005-0000-0000-000017650000}"/>
    <cellStyle name="Normal 2 3 2 11 2 7" xfId="25887" xr:uid="{00000000-0005-0000-0000-000018650000}"/>
    <cellStyle name="Normal 2 3 2 11 2 8" xfId="25888" xr:uid="{00000000-0005-0000-0000-000019650000}"/>
    <cellStyle name="Normal 2 3 2 11 2 9" xfId="25889" xr:uid="{00000000-0005-0000-0000-00001A650000}"/>
    <cellStyle name="Normal 2 3 2 11 3" xfId="25890" xr:uid="{00000000-0005-0000-0000-00001B650000}"/>
    <cellStyle name="Normal 2 3 2 11 3 10" xfId="25891" xr:uid="{00000000-0005-0000-0000-00001C650000}"/>
    <cellStyle name="Normal 2 3 2 11 3 2" xfId="25892" xr:uid="{00000000-0005-0000-0000-00001D650000}"/>
    <cellStyle name="Normal 2 3 2 11 3 3" xfId="25893" xr:uid="{00000000-0005-0000-0000-00001E650000}"/>
    <cellStyle name="Normal 2 3 2 11 3 4" xfId="25894" xr:uid="{00000000-0005-0000-0000-00001F650000}"/>
    <cellStyle name="Normal 2 3 2 11 3 5" xfId="25895" xr:uid="{00000000-0005-0000-0000-000020650000}"/>
    <cellStyle name="Normal 2 3 2 11 3 6" xfId="25896" xr:uid="{00000000-0005-0000-0000-000021650000}"/>
    <cellStyle name="Normal 2 3 2 11 3 7" xfId="25897" xr:uid="{00000000-0005-0000-0000-000022650000}"/>
    <cellStyle name="Normal 2 3 2 11 3 8" xfId="25898" xr:uid="{00000000-0005-0000-0000-000023650000}"/>
    <cellStyle name="Normal 2 3 2 11 3 9" xfId="25899" xr:uid="{00000000-0005-0000-0000-000024650000}"/>
    <cellStyle name="Normal 2 3 2 11 4" xfId="25900" xr:uid="{00000000-0005-0000-0000-000025650000}"/>
    <cellStyle name="Normal 2 3 2 11 4 10" xfId="25901" xr:uid="{00000000-0005-0000-0000-000026650000}"/>
    <cellStyle name="Normal 2 3 2 11 4 2" xfId="25902" xr:uid="{00000000-0005-0000-0000-000027650000}"/>
    <cellStyle name="Normal 2 3 2 11 4 3" xfId="25903" xr:uid="{00000000-0005-0000-0000-000028650000}"/>
    <cellStyle name="Normal 2 3 2 11 4 4" xfId="25904" xr:uid="{00000000-0005-0000-0000-000029650000}"/>
    <cellStyle name="Normal 2 3 2 11 4 5" xfId="25905" xr:uid="{00000000-0005-0000-0000-00002A650000}"/>
    <cellStyle name="Normal 2 3 2 11 4 6" xfId="25906" xr:uid="{00000000-0005-0000-0000-00002B650000}"/>
    <cellStyle name="Normal 2 3 2 11 4 7" xfId="25907" xr:uid="{00000000-0005-0000-0000-00002C650000}"/>
    <cellStyle name="Normal 2 3 2 11 4 8" xfId="25908" xr:uid="{00000000-0005-0000-0000-00002D650000}"/>
    <cellStyle name="Normal 2 3 2 11 4 9" xfId="25909" xr:uid="{00000000-0005-0000-0000-00002E650000}"/>
    <cellStyle name="Normal 2 3 2 11 5" xfId="25910" xr:uid="{00000000-0005-0000-0000-00002F650000}"/>
    <cellStyle name="Normal 2 3 2 11 5 10" xfId="25911" xr:uid="{00000000-0005-0000-0000-000030650000}"/>
    <cellStyle name="Normal 2 3 2 11 5 2" xfId="25912" xr:uid="{00000000-0005-0000-0000-000031650000}"/>
    <cellStyle name="Normal 2 3 2 11 5 3" xfId="25913" xr:uid="{00000000-0005-0000-0000-000032650000}"/>
    <cellStyle name="Normal 2 3 2 11 5 4" xfId="25914" xr:uid="{00000000-0005-0000-0000-000033650000}"/>
    <cellStyle name="Normal 2 3 2 11 5 5" xfId="25915" xr:uid="{00000000-0005-0000-0000-000034650000}"/>
    <cellStyle name="Normal 2 3 2 11 5 6" xfId="25916" xr:uid="{00000000-0005-0000-0000-000035650000}"/>
    <cellStyle name="Normal 2 3 2 11 5 7" xfId="25917" xr:uid="{00000000-0005-0000-0000-000036650000}"/>
    <cellStyle name="Normal 2 3 2 11 5 8" xfId="25918" xr:uid="{00000000-0005-0000-0000-000037650000}"/>
    <cellStyle name="Normal 2 3 2 11 5 9" xfId="25919" xr:uid="{00000000-0005-0000-0000-000038650000}"/>
    <cellStyle name="Normal 2 3 2 11 6" xfId="25920" xr:uid="{00000000-0005-0000-0000-000039650000}"/>
    <cellStyle name="Normal 2 3 2 11 7" xfId="25921" xr:uid="{00000000-0005-0000-0000-00003A650000}"/>
    <cellStyle name="Normal 2 3 2 11 8" xfId="25922" xr:uid="{00000000-0005-0000-0000-00003B650000}"/>
    <cellStyle name="Normal 2 3 2 11 9" xfId="25923" xr:uid="{00000000-0005-0000-0000-00003C650000}"/>
    <cellStyle name="Normal 2 3 2 12" xfId="25924" xr:uid="{00000000-0005-0000-0000-00003D650000}"/>
    <cellStyle name="Normal 2 3 2 12 10" xfId="25925" xr:uid="{00000000-0005-0000-0000-00003E650000}"/>
    <cellStyle name="Normal 2 3 2 12 11" xfId="25926" xr:uid="{00000000-0005-0000-0000-00003F650000}"/>
    <cellStyle name="Normal 2 3 2 12 12" xfId="25927" xr:uid="{00000000-0005-0000-0000-000040650000}"/>
    <cellStyle name="Normal 2 3 2 12 13" xfId="25928" xr:uid="{00000000-0005-0000-0000-000041650000}"/>
    <cellStyle name="Normal 2 3 2 12 14" xfId="25929" xr:uid="{00000000-0005-0000-0000-000042650000}"/>
    <cellStyle name="Normal 2 3 2 12 2" xfId="25930" xr:uid="{00000000-0005-0000-0000-000043650000}"/>
    <cellStyle name="Normal 2 3 2 12 2 10" xfId="25931" xr:uid="{00000000-0005-0000-0000-000044650000}"/>
    <cellStyle name="Normal 2 3 2 12 2 2" xfId="25932" xr:uid="{00000000-0005-0000-0000-000045650000}"/>
    <cellStyle name="Normal 2 3 2 12 2 3" xfId="25933" xr:uid="{00000000-0005-0000-0000-000046650000}"/>
    <cellStyle name="Normal 2 3 2 12 2 4" xfId="25934" xr:uid="{00000000-0005-0000-0000-000047650000}"/>
    <cellStyle name="Normal 2 3 2 12 2 5" xfId="25935" xr:uid="{00000000-0005-0000-0000-000048650000}"/>
    <cellStyle name="Normal 2 3 2 12 2 6" xfId="25936" xr:uid="{00000000-0005-0000-0000-000049650000}"/>
    <cellStyle name="Normal 2 3 2 12 2 7" xfId="25937" xr:uid="{00000000-0005-0000-0000-00004A650000}"/>
    <cellStyle name="Normal 2 3 2 12 2 8" xfId="25938" xr:uid="{00000000-0005-0000-0000-00004B650000}"/>
    <cellStyle name="Normal 2 3 2 12 2 9" xfId="25939" xr:uid="{00000000-0005-0000-0000-00004C650000}"/>
    <cellStyle name="Normal 2 3 2 12 3" xfId="25940" xr:uid="{00000000-0005-0000-0000-00004D650000}"/>
    <cellStyle name="Normal 2 3 2 12 3 10" xfId="25941" xr:uid="{00000000-0005-0000-0000-00004E650000}"/>
    <cellStyle name="Normal 2 3 2 12 3 2" xfId="25942" xr:uid="{00000000-0005-0000-0000-00004F650000}"/>
    <cellStyle name="Normal 2 3 2 12 3 3" xfId="25943" xr:uid="{00000000-0005-0000-0000-000050650000}"/>
    <cellStyle name="Normal 2 3 2 12 3 4" xfId="25944" xr:uid="{00000000-0005-0000-0000-000051650000}"/>
    <cellStyle name="Normal 2 3 2 12 3 5" xfId="25945" xr:uid="{00000000-0005-0000-0000-000052650000}"/>
    <cellStyle name="Normal 2 3 2 12 3 6" xfId="25946" xr:uid="{00000000-0005-0000-0000-000053650000}"/>
    <cellStyle name="Normal 2 3 2 12 3 7" xfId="25947" xr:uid="{00000000-0005-0000-0000-000054650000}"/>
    <cellStyle name="Normal 2 3 2 12 3 8" xfId="25948" xr:uid="{00000000-0005-0000-0000-000055650000}"/>
    <cellStyle name="Normal 2 3 2 12 3 9" xfId="25949" xr:uid="{00000000-0005-0000-0000-000056650000}"/>
    <cellStyle name="Normal 2 3 2 12 4" xfId="25950" xr:uid="{00000000-0005-0000-0000-000057650000}"/>
    <cellStyle name="Normal 2 3 2 12 4 10" xfId="25951" xr:uid="{00000000-0005-0000-0000-000058650000}"/>
    <cellStyle name="Normal 2 3 2 12 4 2" xfId="25952" xr:uid="{00000000-0005-0000-0000-000059650000}"/>
    <cellStyle name="Normal 2 3 2 12 4 3" xfId="25953" xr:uid="{00000000-0005-0000-0000-00005A650000}"/>
    <cellStyle name="Normal 2 3 2 12 4 4" xfId="25954" xr:uid="{00000000-0005-0000-0000-00005B650000}"/>
    <cellStyle name="Normal 2 3 2 12 4 5" xfId="25955" xr:uid="{00000000-0005-0000-0000-00005C650000}"/>
    <cellStyle name="Normal 2 3 2 12 4 6" xfId="25956" xr:uid="{00000000-0005-0000-0000-00005D650000}"/>
    <cellStyle name="Normal 2 3 2 12 4 7" xfId="25957" xr:uid="{00000000-0005-0000-0000-00005E650000}"/>
    <cellStyle name="Normal 2 3 2 12 4 8" xfId="25958" xr:uid="{00000000-0005-0000-0000-00005F650000}"/>
    <cellStyle name="Normal 2 3 2 12 4 9" xfId="25959" xr:uid="{00000000-0005-0000-0000-000060650000}"/>
    <cellStyle name="Normal 2 3 2 12 5" xfId="25960" xr:uid="{00000000-0005-0000-0000-000061650000}"/>
    <cellStyle name="Normal 2 3 2 12 5 10" xfId="25961" xr:uid="{00000000-0005-0000-0000-000062650000}"/>
    <cellStyle name="Normal 2 3 2 12 5 2" xfId="25962" xr:uid="{00000000-0005-0000-0000-000063650000}"/>
    <cellStyle name="Normal 2 3 2 12 5 3" xfId="25963" xr:uid="{00000000-0005-0000-0000-000064650000}"/>
    <cellStyle name="Normal 2 3 2 12 5 4" xfId="25964" xr:uid="{00000000-0005-0000-0000-000065650000}"/>
    <cellStyle name="Normal 2 3 2 12 5 5" xfId="25965" xr:uid="{00000000-0005-0000-0000-000066650000}"/>
    <cellStyle name="Normal 2 3 2 12 5 6" xfId="25966" xr:uid="{00000000-0005-0000-0000-000067650000}"/>
    <cellStyle name="Normal 2 3 2 12 5 7" xfId="25967" xr:uid="{00000000-0005-0000-0000-000068650000}"/>
    <cellStyle name="Normal 2 3 2 12 5 8" xfId="25968" xr:uid="{00000000-0005-0000-0000-000069650000}"/>
    <cellStyle name="Normal 2 3 2 12 5 9" xfId="25969" xr:uid="{00000000-0005-0000-0000-00006A650000}"/>
    <cellStyle name="Normal 2 3 2 12 6" xfId="25970" xr:uid="{00000000-0005-0000-0000-00006B650000}"/>
    <cellStyle name="Normal 2 3 2 12 7" xfId="25971" xr:uid="{00000000-0005-0000-0000-00006C650000}"/>
    <cellStyle name="Normal 2 3 2 12 8" xfId="25972" xr:uid="{00000000-0005-0000-0000-00006D650000}"/>
    <cellStyle name="Normal 2 3 2 12 9" xfId="25973" xr:uid="{00000000-0005-0000-0000-00006E650000}"/>
    <cellStyle name="Normal 2 3 2 13" xfId="25974" xr:uid="{00000000-0005-0000-0000-00006F650000}"/>
    <cellStyle name="Normal 2 3 2 13 10" xfId="25975" xr:uid="{00000000-0005-0000-0000-000070650000}"/>
    <cellStyle name="Normal 2 3 2 13 11" xfId="25976" xr:uid="{00000000-0005-0000-0000-000071650000}"/>
    <cellStyle name="Normal 2 3 2 13 12" xfId="25977" xr:uid="{00000000-0005-0000-0000-000072650000}"/>
    <cellStyle name="Normal 2 3 2 13 13" xfId="25978" xr:uid="{00000000-0005-0000-0000-000073650000}"/>
    <cellStyle name="Normal 2 3 2 13 14" xfId="25979" xr:uid="{00000000-0005-0000-0000-000074650000}"/>
    <cellStyle name="Normal 2 3 2 13 2" xfId="25980" xr:uid="{00000000-0005-0000-0000-000075650000}"/>
    <cellStyle name="Normal 2 3 2 13 2 10" xfId="25981" xr:uid="{00000000-0005-0000-0000-000076650000}"/>
    <cellStyle name="Normal 2 3 2 13 2 2" xfId="25982" xr:uid="{00000000-0005-0000-0000-000077650000}"/>
    <cellStyle name="Normal 2 3 2 13 2 3" xfId="25983" xr:uid="{00000000-0005-0000-0000-000078650000}"/>
    <cellStyle name="Normal 2 3 2 13 2 4" xfId="25984" xr:uid="{00000000-0005-0000-0000-000079650000}"/>
    <cellStyle name="Normal 2 3 2 13 2 5" xfId="25985" xr:uid="{00000000-0005-0000-0000-00007A650000}"/>
    <cellStyle name="Normal 2 3 2 13 2 6" xfId="25986" xr:uid="{00000000-0005-0000-0000-00007B650000}"/>
    <cellStyle name="Normal 2 3 2 13 2 7" xfId="25987" xr:uid="{00000000-0005-0000-0000-00007C650000}"/>
    <cellStyle name="Normal 2 3 2 13 2 8" xfId="25988" xr:uid="{00000000-0005-0000-0000-00007D650000}"/>
    <cellStyle name="Normal 2 3 2 13 2 9" xfId="25989" xr:uid="{00000000-0005-0000-0000-00007E650000}"/>
    <cellStyle name="Normal 2 3 2 13 3" xfId="25990" xr:uid="{00000000-0005-0000-0000-00007F650000}"/>
    <cellStyle name="Normal 2 3 2 13 3 10" xfId="25991" xr:uid="{00000000-0005-0000-0000-000080650000}"/>
    <cellStyle name="Normal 2 3 2 13 3 2" xfId="25992" xr:uid="{00000000-0005-0000-0000-000081650000}"/>
    <cellStyle name="Normal 2 3 2 13 3 3" xfId="25993" xr:uid="{00000000-0005-0000-0000-000082650000}"/>
    <cellStyle name="Normal 2 3 2 13 3 4" xfId="25994" xr:uid="{00000000-0005-0000-0000-000083650000}"/>
    <cellStyle name="Normal 2 3 2 13 3 5" xfId="25995" xr:uid="{00000000-0005-0000-0000-000084650000}"/>
    <cellStyle name="Normal 2 3 2 13 3 6" xfId="25996" xr:uid="{00000000-0005-0000-0000-000085650000}"/>
    <cellStyle name="Normal 2 3 2 13 3 7" xfId="25997" xr:uid="{00000000-0005-0000-0000-000086650000}"/>
    <cellStyle name="Normal 2 3 2 13 3 8" xfId="25998" xr:uid="{00000000-0005-0000-0000-000087650000}"/>
    <cellStyle name="Normal 2 3 2 13 3 9" xfId="25999" xr:uid="{00000000-0005-0000-0000-000088650000}"/>
    <cellStyle name="Normal 2 3 2 13 4" xfId="26000" xr:uid="{00000000-0005-0000-0000-000089650000}"/>
    <cellStyle name="Normal 2 3 2 13 4 10" xfId="26001" xr:uid="{00000000-0005-0000-0000-00008A650000}"/>
    <cellStyle name="Normal 2 3 2 13 4 2" xfId="26002" xr:uid="{00000000-0005-0000-0000-00008B650000}"/>
    <cellStyle name="Normal 2 3 2 13 4 3" xfId="26003" xr:uid="{00000000-0005-0000-0000-00008C650000}"/>
    <cellStyle name="Normal 2 3 2 13 4 4" xfId="26004" xr:uid="{00000000-0005-0000-0000-00008D650000}"/>
    <cellStyle name="Normal 2 3 2 13 4 5" xfId="26005" xr:uid="{00000000-0005-0000-0000-00008E650000}"/>
    <cellStyle name="Normal 2 3 2 13 4 6" xfId="26006" xr:uid="{00000000-0005-0000-0000-00008F650000}"/>
    <cellStyle name="Normal 2 3 2 13 4 7" xfId="26007" xr:uid="{00000000-0005-0000-0000-000090650000}"/>
    <cellStyle name="Normal 2 3 2 13 4 8" xfId="26008" xr:uid="{00000000-0005-0000-0000-000091650000}"/>
    <cellStyle name="Normal 2 3 2 13 4 9" xfId="26009" xr:uid="{00000000-0005-0000-0000-000092650000}"/>
    <cellStyle name="Normal 2 3 2 13 5" xfId="26010" xr:uid="{00000000-0005-0000-0000-000093650000}"/>
    <cellStyle name="Normal 2 3 2 13 5 10" xfId="26011" xr:uid="{00000000-0005-0000-0000-000094650000}"/>
    <cellStyle name="Normal 2 3 2 13 5 2" xfId="26012" xr:uid="{00000000-0005-0000-0000-000095650000}"/>
    <cellStyle name="Normal 2 3 2 13 5 3" xfId="26013" xr:uid="{00000000-0005-0000-0000-000096650000}"/>
    <cellStyle name="Normal 2 3 2 13 5 4" xfId="26014" xr:uid="{00000000-0005-0000-0000-000097650000}"/>
    <cellStyle name="Normal 2 3 2 13 5 5" xfId="26015" xr:uid="{00000000-0005-0000-0000-000098650000}"/>
    <cellStyle name="Normal 2 3 2 13 5 6" xfId="26016" xr:uid="{00000000-0005-0000-0000-000099650000}"/>
    <cellStyle name="Normal 2 3 2 13 5 7" xfId="26017" xr:uid="{00000000-0005-0000-0000-00009A650000}"/>
    <cellStyle name="Normal 2 3 2 13 5 8" xfId="26018" xr:uid="{00000000-0005-0000-0000-00009B650000}"/>
    <cellStyle name="Normal 2 3 2 13 5 9" xfId="26019" xr:uid="{00000000-0005-0000-0000-00009C650000}"/>
    <cellStyle name="Normal 2 3 2 13 6" xfId="26020" xr:uid="{00000000-0005-0000-0000-00009D650000}"/>
    <cellStyle name="Normal 2 3 2 13 7" xfId="26021" xr:uid="{00000000-0005-0000-0000-00009E650000}"/>
    <cellStyle name="Normal 2 3 2 13 8" xfId="26022" xr:uid="{00000000-0005-0000-0000-00009F650000}"/>
    <cellStyle name="Normal 2 3 2 13 9" xfId="26023" xr:uid="{00000000-0005-0000-0000-0000A0650000}"/>
    <cellStyle name="Normal 2 3 2 14" xfId="26024" xr:uid="{00000000-0005-0000-0000-0000A1650000}"/>
    <cellStyle name="Normal 2 3 2 14 10" xfId="26025" xr:uid="{00000000-0005-0000-0000-0000A2650000}"/>
    <cellStyle name="Normal 2 3 2 14 11" xfId="26026" xr:uid="{00000000-0005-0000-0000-0000A3650000}"/>
    <cellStyle name="Normal 2 3 2 14 12" xfId="26027" xr:uid="{00000000-0005-0000-0000-0000A4650000}"/>
    <cellStyle name="Normal 2 3 2 14 13" xfId="26028" xr:uid="{00000000-0005-0000-0000-0000A5650000}"/>
    <cellStyle name="Normal 2 3 2 14 14" xfId="26029" xr:uid="{00000000-0005-0000-0000-0000A6650000}"/>
    <cellStyle name="Normal 2 3 2 14 2" xfId="26030" xr:uid="{00000000-0005-0000-0000-0000A7650000}"/>
    <cellStyle name="Normal 2 3 2 14 2 10" xfId="26031" xr:uid="{00000000-0005-0000-0000-0000A8650000}"/>
    <cellStyle name="Normal 2 3 2 14 2 2" xfId="26032" xr:uid="{00000000-0005-0000-0000-0000A9650000}"/>
    <cellStyle name="Normal 2 3 2 14 2 3" xfId="26033" xr:uid="{00000000-0005-0000-0000-0000AA650000}"/>
    <cellStyle name="Normal 2 3 2 14 2 4" xfId="26034" xr:uid="{00000000-0005-0000-0000-0000AB650000}"/>
    <cellStyle name="Normal 2 3 2 14 2 5" xfId="26035" xr:uid="{00000000-0005-0000-0000-0000AC650000}"/>
    <cellStyle name="Normal 2 3 2 14 2 6" xfId="26036" xr:uid="{00000000-0005-0000-0000-0000AD650000}"/>
    <cellStyle name="Normal 2 3 2 14 2 7" xfId="26037" xr:uid="{00000000-0005-0000-0000-0000AE650000}"/>
    <cellStyle name="Normal 2 3 2 14 2 8" xfId="26038" xr:uid="{00000000-0005-0000-0000-0000AF650000}"/>
    <cellStyle name="Normal 2 3 2 14 2 9" xfId="26039" xr:uid="{00000000-0005-0000-0000-0000B0650000}"/>
    <cellStyle name="Normal 2 3 2 14 3" xfId="26040" xr:uid="{00000000-0005-0000-0000-0000B1650000}"/>
    <cellStyle name="Normal 2 3 2 14 3 10" xfId="26041" xr:uid="{00000000-0005-0000-0000-0000B2650000}"/>
    <cellStyle name="Normal 2 3 2 14 3 2" xfId="26042" xr:uid="{00000000-0005-0000-0000-0000B3650000}"/>
    <cellStyle name="Normal 2 3 2 14 3 3" xfId="26043" xr:uid="{00000000-0005-0000-0000-0000B4650000}"/>
    <cellStyle name="Normal 2 3 2 14 3 4" xfId="26044" xr:uid="{00000000-0005-0000-0000-0000B5650000}"/>
    <cellStyle name="Normal 2 3 2 14 3 5" xfId="26045" xr:uid="{00000000-0005-0000-0000-0000B6650000}"/>
    <cellStyle name="Normal 2 3 2 14 3 6" xfId="26046" xr:uid="{00000000-0005-0000-0000-0000B7650000}"/>
    <cellStyle name="Normal 2 3 2 14 3 7" xfId="26047" xr:uid="{00000000-0005-0000-0000-0000B8650000}"/>
    <cellStyle name="Normal 2 3 2 14 3 8" xfId="26048" xr:uid="{00000000-0005-0000-0000-0000B9650000}"/>
    <cellStyle name="Normal 2 3 2 14 3 9" xfId="26049" xr:uid="{00000000-0005-0000-0000-0000BA650000}"/>
    <cellStyle name="Normal 2 3 2 14 4" xfId="26050" xr:uid="{00000000-0005-0000-0000-0000BB650000}"/>
    <cellStyle name="Normal 2 3 2 14 4 10" xfId="26051" xr:uid="{00000000-0005-0000-0000-0000BC650000}"/>
    <cellStyle name="Normal 2 3 2 14 4 2" xfId="26052" xr:uid="{00000000-0005-0000-0000-0000BD650000}"/>
    <cellStyle name="Normal 2 3 2 14 4 3" xfId="26053" xr:uid="{00000000-0005-0000-0000-0000BE650000}"/>
    <cellStyle name="Normal 2 3 2 14 4 4" xfId="26054" xr:uid="{00000000-0005-0000-0000-0000BF650000}"/>
    <cellStyle name="Normal 2 3 2 14 4 5" xfId="26055" xr:uid="{00000000-0005-0000-0000-0000C0650000}"/>
    <cellStyle name="Normal 2 3 2 14 4 6" xfId="26056" xr:uid="{00000000-0005-0000-0000-0000C1650000}"/>
    <cellStyle name="Normal 2 3 2 14 4 7" xfId="26057" xr:uid="{00000000-0005-0000-0000-0000C2650000}"/>
    <cellStyle name="Normal 2 3 2 14 4 8" xfId="26058" xr:uid="{00000000-0005-0000-0000-0000C3650000}"/>
    <cellStyle name="Normal 2 3 2 14 4 9" xfId="26059" xr:uid="{00000000-0005-0000-0000-0000C4650000}"/>
    <cellStyle name="Normal 2 3 2 14 5" xfId="26060" xr:uid="{00000000-0005-0000-0000-0000C5650000}"/>
    <cellStyle name="Normal 2 3 2 14 5 10" xfId="26061" xr:uid="{00000000-0005-0000-0000-0000C6650000}"/>
    <cellStyle name="Normal 2 3 2 14 5 2" xfId="26062" xr:uid="{00000000-0005-0000-0000-0000C7650000}"/>
    <cellStyle name="Normal 2 3 2 14 5 3" xfId="26063" xr:uid="{00000000-0005-0000-0000-0000C8650000}"/>
    <cellStyle name="Normal 2 3 2 14 5 4" xfId="26064" xr:uid="{00000000-0005-0000-0000-0000C9650000}"/>
    <cellStyle name="Normal 2 3 2 14 5 5" xfId="26065" xr:uid="{00000000-0005-0000-0000-0000CA650000}"/>
    <cellStyle name="Normal 2 3 2 14 5 6" xfId="26066" xr:uid="{00000000-0005-0000-0000-0000CB650000}"/>
    <cellStyle name="Normal 2 3 2 14 5 7" xfId="26067" xr:uid="{00000000-0005-0000-0000-0000CC650000}"/>
    <cellStyle name="Normal 2 3 2 14 5 8" xfId="26068" xr:uid="{00000000-0005-0000-0000-0000CD650000}"/>
    <cellStyle name="Normal 2 3 2 14 5 9" xfId="26069" xr:uid="{00000000-0005-0000-0000-0000CE650000}"/>
    <cellStyle name="Normal 2 3 2 14 6" xfId="26070" xr:uid="{00000000-0005-0000-0000-0000CF650000}"/>
    <cellStyle name="Normal 2 3 2 14 7" xfId="26071" xr:uid="{00000000-0005-0000-0000-0000D0650000}"/>
    <cellStyle name="Normal 2 3 2 14 8" xfId="26072" xr:uid="{00000000-0005-0000-0000-0000D1650000}"/>
    <cellStyle name="Normal 2 3 2 14 9" xfId="26073" xr:uid="{00000000-0005-0000-0000-0000D2650000}"/>
    <cellStyle name="Normal 2 3 2 15" xfId="26074" xr:uid="{00000000-0005-0000-0000-0000D3650000}"/>
    <cellStyle name="Normal 2 3 2 15 10" xfId="26075" xr:uid="{00000000-0005-0000-0000-0000D4650000}"/>
    <cellStyle name="Normal 2 3 2 15 11" xfId="26076" xr:uid="{00000000-0005-0000-0000-0000D5650000}"/>
    <cellStyle name="Normal 2 3 2 15 12" xfId="26077" xr:uid="{00000000-0005-0000-0000-0000D6650000}"/>
    <cellStyle name="Normal 2 3 2 15 13" xfId="26078" xr:uid="{00000000-0005-0000-0000-0000D7650000}"/>
    <cellStyle name="Normal 2 3 2 15 14" xfId="26079" xr:uid="{00000000-0005-0000-0000-0000D8650000}"/>
    <cellStyle name="Normal 2 3 2 15 2" xfId="26080" xr:uid="{00000000-0005-0000-0000-0000D9650000}"/>
    <cellStyle name="Normal 2 3 2 15 2 10" xfId="26081" xr:uid="{00000000-0005-0000-0000-0000DA650000}"/>
    <cellStyle name="Normal 2 3 2 15 2 2" xfId="26082" xr:uid="{00000000-0005-0000-0000-0000DB650000}"/>
    <cellStyle name="Normal 2 3 2 15 2 3" xfId="26083" xr:uid="{00000000-0005-0000-0000-0000DC650000}"/>
    <cellStyle name="Normal 2 3 2 15 2 4" xfId="26084" xr:uid="{00000000-0005-0000-0000-0000DD650000}"/>
    <cellStyle name="Normal 2 3 2 15 2 5" xfId="26085" xr:uid="{00000000-0005-0000-0000-0000DE650000}"/>
    <cellStyle name="Normal 2 3 2 15 2 6" xfId="26086" xr:uid="{00000000-0005-0000-0000-0000DF650000}"/>
    <cellStyle name="Normal 2 3 2 15 2 7" xfId="26087" xr:uid="{00000000-0005-0000-0000-0000E0650000}"/>
    <cellStyle name="Normal 2 3 2 15 2 8" xfId="26088" xr:uid="{00000000-0005-0000-0000-0000E1650000}"/>
    <cellStyle name="Normal 2 3 2 15 2 9" xfId="26089" xr:uid="{00000000-0005-0000-0000-0000E2650000}"/>
    <cellStyle name="Normal 2 3 2 15 3" xfId="26090" xr:uid="{00000000-0005-0000-0000-0000E3650000}"/>
    <cellStyle name="Normal 2 3 2 15 3 10" xfId="26091" xr:uid="{00000000-0005-0000-0000-0000E4650000}"/>
    <cellStyle name="Normal 2 3 2 15 3 2" xfId="26092" xr:uid="{00000000-0005-0000-0000-0000E5650000}"/>
    <cellStyle name="Normal 2 3 2 15 3 3" xfId="26093" xr:uid="{00000000-0005-0000-0000-0000E6650000}"/>
    <cellStyle name="Normal 2 3 2 15 3 4" xfId="26094" xr:uid="{00000000-0005-0000-0000-0000E7650000}"/>
    <cellStyle name="Normal 2 3 2 15 3 5" xfId="26095" xr:uid="{00000000-0005-0000-0000-0000E8650000}"/>
    <cellStyle name="Normal 2 3 2 15 3 6" xfId="26096" xr:uid="{00000000-0005-0000-0000-0000E9650000}"/>
    <cellStyle name="Normal 2 3 2 15 3 7" xfId="26097" xr:uid="{00000000-0005-0000-0000-0000EA650000}"/>
    <cellStyle name="Normal 2 3 2 15 3 8" xfId="26098" xr:uid="{00000000-0005-0000-0000-0000EB650000}"/>
    <cellStyle name="Normal 2 3 2 15 3 9" xfId="26099" xr:uid="{00000000-0005-0000-0000-0000EC650000}"/>
    <cellStyle name="Normal 2 3 2 15 4" xfId="26100" xr:uid="{00000000-0005-0000-0000-0000ED650000}"/>
    <cellStyle name="Normal 2 3 2 15 4 10" xfId="26101" xr:uid="{00000000-0005-0000-0000-0000EE650000}"/>
    <cellStyle name="Normal 2 3 2 15 4 2" xfId="26102" xr:uid="{00000000-0005-0000-0000-0000EF650000}"/>
    <cellStyle name="Normal 2 3 2 15 4 3" xfId="26103" xr:uid="{00000000-0005-0000-0000-0000F0650000}"/>
    <cellStyle name="Normal 2 3 2 15 4 4" xfId="26104" xr:uid="{00000000-0005-0000-0000-0000F1650000}"/>
    <cellStyle name="Normal 2 3 2 15 4 5" xfId="26105" xr:uid="{00000000-0005-0000-0000-0000F2650000}"/>
    <cellStyle name="Normal 2 3 2 15 4 6" xfId="26106" xr:uid="{00000000-0005-0000-0000-0000F3650000}"/>
    <cellStyle name="Normal 2 3 2 15 4 7" xfId="26107" xr:uid="{00000000-0005-0000-0000-0000F4650000}"/>
    <cellStyle name="Normal 2 3 2 15 4 8" xfId="26108" xr:uid="{00000000-0005-0000-0000-0000F5650000}"/>
    <cellStyle name="Normal 2 3 2 15 4 9" xfId="26109" xr:uid="{00000000-0005-0000-0000-0000F6650000}"/>
    <cellStyle name="Normal 2 3 2 15 5" xfId="26110" xr:uid="{00000000-0005-0000-0000-0000F7650000}"/>
    <cellStyle name="Normal 2 3 2 15 5 10" xfId="26111" xr:uid="{00000000-0005-0000-0000-0000F8650000}"/>
    <cellStyle name="Normal 2 3 2 15 5 2" xfId="26112" xr:uid="{00000000-0005-0000-0000-0000F9650000}"/>
    <cellStyle name="Normal 2 3 2 15 5 3" xfId="26113" xr:uid="{00000000-0005-0000-0000-0000FA650000}"/>
    <cellStyle name="Normal 2 3 2 15 5 4" xfId="26114" xr:uid="{00000000-0005-0000-0000-0000FB650000}"/>
    <cellStyle name="Normal 2 3 2 15 5 5" xfId="26115" xr:uid="{00000000-0005-0000-0000-0000FC650000}"/>
    <cellStyle name="Normal 2 3 2 15 5 6" xfId="26116" xr:uid="{00000000-0005-0000-0000-0000FD650000}"/>
    <cellStyle name="Normal 2 3 2 15 5 7" xfId="26117" xr:uid="{00000000-0005-0000-0000-0000FE650000}"/>
    <cellStyle name="Normal 2 3 2 15 5 8" xfId="26118" xr:uid="{00000000-0005-0000-0000-0000FF650000}"/>
    <cellStyle name="Normal 2 3 2 15 5 9" xfId="26119" xr:uid="{00000000-0005-0000-0000-000000660000}"/>
    <cellStyle name="Normal 2 3 2 15 6" xfId="26120" xr:uid="{00000000-0005-0000-0000-000001660000}"/>
    <cellStyle name="Normal 2 3 2 15 7" xfId="26121" xr:uid="{00000000-0005-0000-0000-000002660000}"/>
    <cellStyle name="Normal 2 3 2 15 8" xfId="26122" xr:uid="{00000000-0005-0000-0000-000003660000}"/>
    <cellStyle name="Normal 2 3 2 15 9" xfId="26123" xr:uid="{00000000-0005-0000-0000-000004660000}"/>
    <cellStyle name="Normal 2 3 2 16" xfId="26124" xr:uid="{00000000-0005-0000-0000-000005660000}"/>
    <cellStyle name="Normal 2 3 2 16 10" xfId="26125" xr:uid="{00000000-0005-0000-0000-000006660000}"/>
    <cellStyle name="Normal 2 3 2 16 11" xfId="26126" xr:uid="{00000000-0005-0000-0000-000007660000}"/>
    <cellStyle name="Normal 2 3 2 16 12" xfId="26127" xr:uid="{00000000-0005-0000-0000-000008660000}"/>
    <cellStyle name="Normal 2 3 2 16 13" xfId="26128" xr:uid="{00000000-0005-0000-0000-000009660000}"/>
    <cellStyle name="Normal 2 3 2 16 14" xfId="26129" xr:uid="{00000000-0005-0000-0000-00000A660000}"/>
    <cellStyle name="Normal 2 3 2 16 2" xfId="26130" xr:uid="{00000000-0005-0000-0000-00000B660000}"/>
    <cellStyle name="Normal 2 3 2 16 2 10" xfId="26131" xr:uid="{00000000-0005-0000-0000-00000C660000}"/>
    <cellStyle name="Normal 2 3 2 16 2 2" xfId="26132" xr:uid="{00000000-0005-0000-0000-00000D660000}"/>
    <cellStyle name="Normal 2 3 2 16 2 3" xfId="26133" xr:uid="{00000000-0005-0000-0000-00000E660000}"/>
    <cellStyle name="Normal 2 3 2 16 2 4" xfId="26134" xr:uid="{00000000-0005-0000-0000-00000F660000}"/>
    <cellStyle name="Normal 2 3 2 16 2 5" xfId="26135" xr:uid="{00000000-0005-0000-0000-000010660000}"/>
    <cellStyle name="Normal 2 3 2 16 2 6" xfId="26136" xr:uid="{00000000-0005-0000-0000-000011660000}"/>
    <cellStyle name="Normal 2 3 2 16 2 7" xfId="26137" xr:uid="{00000000-0005-0000-0000-000012660000}"/>
    <cellStyle name="Normal 2 3 2 16 2 8" xfId="26138" xr:uid="{00000000-0005-0000-0000-000013660000}"/>
    <cellStyle name="Normal 2 3 2 16 2 9" xfId="26139" xr:uid="{00000000-0005-0000-0000-000014660000}"/>
    <cellStyle name="Normal 2 3 2 16 3" xfId="26140" xr:uid="{00000000-0005-0000-0000-000015660000}"/>
    <cellStyle name="Normal 2 3 2 16 3 10" xfId="26141" xr:uid="{00000000-0005-0000-0000-000016660000}"/>
    <cellStyle name="Normal 2 3 2 16 3 2" xfId="26142" xr:uid="{00000000-0005-0000-0000-000017660000}"/>
    <cellStyle name="Normal 2 3 2 16 3 3" xfId="26143" xr:uid="{00000000-0005-0000-0000-000018660000}"/>
    <cellStyle name="Normal 2 3 2 16 3 4" xfId="26144" xr:uid="{00000000-0005-0000-0000-000019660000}"/>
    <cellStyle name="Normal 2 3 2 16 3 5" xfId="26145" xr:uid="{00000000-0005-0000-0000-00001A660000}"/>
    <cellStyle name="Normal 2 3 2 16 3 6" xfId="26146" xr:uid="{00000000-0005-0000-0000-00001B660000}"/>
    <cellStyle name="Normal 2 3 2 16 3 7" xfId="26147" xr:uid="{00000000-0005-0000-0000-00001C660000}"/>
    <cellStyle name="Normal 2 3 2 16 3 8" xfId="26148" xr:uid="{00000000-0005-0000-0000-00001D660000}"/>
    <cellStyle name="Normal 2 3 2 16 3 9" xfId="26149" xr:uid="{00000000-0005-0000-0000-00001E660000}"/>
    <cellStyle name="Normal 2 3 2 16 4" xfId="26150" xr:uid="{00000000-0005-0000-0000-00001F660000}"/>
    <cellStyle name="Normal 2 3 2 16 4 10" xfId="26151" xr:uid="{00000000-0005-0000-0000-000020660000}"/>
    <cellStyle name="Normal 2 3 2 16 4 2" xfId="26152" xr:uid="{00000000-0005-0000-0000-000021660000}"/>
    <cellStyle name="Normal 2 3 2 16 4 3" xfId="26153" xr:uid="{00000000-0005-0000-0000-000022660000}"/>
    <cellStyle name="Normal 2 3 2 16 4 4" xfId="26154" xr:uid="{00000000-0005-0000-0000-000023660000}"/>
    <cellStyle name="Normal 2 3 2 16 4 5" xfId="26155" xr:uid="{00000000-0005-0000-0000-000024660000}"/>
    <cellStyle name="Normal 2 3 2 16 4 6" xfId="26156" xr:uid="{00000000-0005-0000-0000-000025660000}"/>
    <cellStyle name="Normal 2 3 2 16 4 7" xfId="26157" xr:uid="{00000000-0005-0000-0000-000026660000}"/>
    <cellStyle name="Normal 2 3 2 16 4 8" xfId="26158" xr:uid="{00000000-0005-0000-0000-000027660000}"/>
    <cellStyle name="Normal 2 3 2 16 4 9" xfId="26159" xr:uid="{00000000-0005-0000-0000-000028660000}"/>
    <cellStyle name="Normal 2 3 2 16 5" xfId="26160" xr:uid="{00000000-0005-0000-0000-000029660000}"/>
    <cellStyle name="Normal 2 3 2 16 5 10" xfId="26161" xr:uid="{00000000-0005-0000-0000-00002A660000}"/>
    <cellStyle name="Normal 2 3 2 16 5 2" xfId="26162" xr:uid="{00000000-0005-0000-0000-00002B660000}"/>
    <cellStyle name="Normal 2 3 2 16 5 3" xfId="26163" xr:uid="{00000000-0005-0000-0000-00002C660000}"/>
    <cellStyle name="Normal 2 3 2 16 5 4" xfId="26164" xr:uid="{00000000-0005-0000-0000-00002D660000}"/>
    <cellStyle name="Normal 2 3 2 16 5 5" xfId="26165" xr:uid="{00000000-0005-0000-0000-00002E660000}"/>
    <cellStyle name="Normal 2 3 2 16 5 6" xfId="26166" xr:uid="{00000000-0005-0000-0000-00002F660000}"/>
    <cellStyle name="Normal 2 3 2 16 5 7" xfId="26167" xr:uid="{00000000-0005-0000-0000-000030660000}"/>
    <cellStyle name="Normal 2 3 2 16 5 8" xfId="26168" xr:uid="{00000000-0005-0000-0000-000031660000}"/>
    <cellStyle name="Normal 2 3 2 16 5 9" xfId="26169" xr:uid="{00000000-0005-0000-0000-000032660000}"/>
    <cellStyle name="Normal 2 3 2 16 6" xfId="26170" xr:uid="{00000000-0005-0000-0000-000033660000}"/>
    <cellStyle name="Normal 2 3 2 16 7" xfId="26171" xr:uid="{00000000-0005-0000-0000-000034660000}"/>
    <cellStyle name="Normal 2 3 2 16 8" xfId="26172" xr:uid="{00000000-0005-0000-0000-000035660000}"/>
    <cellStyle name="Normal 2 3 2 16 9" xfId="26173" xr:uid="{00000000-0005-0000-0000-000036660000}"/>
    <cellStyle name="Normal 2 3 2 17" xfId="26174" xr:uid="{00000000-0005-0000-0000-000037660000}"/>
    <cellStyle name="Normal 2 3 2 17 10" xfId="26175" xr:uid="{00000000-0005-0000-0000-000038660000}"/>
    <cellStyle name="Normal 2 3 2 17 11" xfId="26176" xr:uid="{00000000-0005-0000-0000-000039660000}"/>
    <cellStyle name="Normal 2 3 2 17 12" xfId="26177" xr:uid="{00000000-0005-0000-0000-00003A660000}"/>
    <cellStyle name="Normal 2 3 2 17 13" xfId="26178" xr:uid="{00000000-0005-0000-0000-00003B660000}"/>
    <cellStyle name="Normal 2 3 2 17 14" xfId="26179" xr:uid="{00000000-0005-0000-0000-00003C660000}"/>
    <cellStyle name="Normal 2 3 2 17 2" xfId="26180" xr:uid="{00000000-0005-0000-0000-00003D660000}"/>
    <cellStyle name="Normal 2 3 2 17 2 10" xfId="26181" xr:uid="{00000000-0005-0000-0000-00003E660000}"/>
    <cellStyle name="Normal 2 3 2 17 2 2" xfId="26182" xr:uid="{00000000-0005-0000-0000-00003F660000}"/>
    <cellStyle name="Normal 2 3 2 17 2 3" xfId="26183" xr:uid="{00000000-0005-0000-0000-000040660000}"/>
    <cellStyle name="Normal 2 3 2 17 2 4" xfId="26184" xr:uid="{00000000-0005-0000-0000-000041660000}"/>
    <cellStyle name="Normal 2 3 2 17 2 5" xfId="26185" xr:uid="{00000000-0005-0000-0000-000042660000}"/>
    <cellStyle name="Normal 2 3 2 17 2 6" xfId="26186" xr:uid="{00000000-0005-0000-0000-000043660000}"/>
    <cellStyle name="Normal 2 3 2 17 2 7" xfId="26187" xr:uid="{00000000-0005-0000-0000-000044660000}"/>
    <cellStyle name="Normal 2 3 2 17 2 8" xfId="26188" xr:uid="{00000000-0005-0000-0000-000045660000}"/>
    <cellStyle name="Normal 2 3 2 17 2 9" xfId="26189" xr:uid="{00000000-0005-0000-0000-000046660000}"/>
    <cellStyle name="Normal 2 3 2 17 3" xfId="26190" xr:uid="{00000000-0005-0000-0000-000047660000}"/>
    <cellStyle name="Normal 2 3 2 17 3 10" xfId="26191" xr:uid="{00000000-0005-0000-0000-000048660000}"/>
    <cellStyle name="Normal 2 3 2 17 3 2" xfId="26192" xr:uid="{00000000-0005-0000-0000-000049660000}"/>
    <cellStyle name="Normal 2 3 2 17 3 3" xfId="26193" xr:uid="{00000000-0005-0000-0000-00004A660000}"/>
    <cellStyle name="Normal 2 3 2 17 3 4" xfId="26194" xr:uid="{00000000-0005-0000-0000-00004B660000}"/>
    <cellStyle name="Normal 2 3 2 17 3 5" xfId="26195" xr:uid="{00000000-0005-0000-0000-00004C660000}"/>
    <cellStyle name="Normal 2 3 2 17 3 6" xfId="26196" xr:uid="{00000000-0005-0000-0000-00004D660000}"/>
    <cellStyle name="Normal 2 3 2 17 3 7" xfId="26197" xr:uid="{00000000-0005-0000-0000-00004E660000}"/>
    <cellStyle name="Normal 2 3 2 17 3 8" xfId="26198" xr:uid="{00000000-0005-0000-0000-00004F660000}"/>
    <cellStyle name="Normal 2 3 2 17 3 9" xfId="26199" xr:uid="{00000000-0005-0000-0000-000050660000}"/>
    <cellStyle name="Normal 2 3 2 17 4" xfId="26200" xr:uid="{00000000-0005-0000-0000-000051660000}"/>
    <cellStyle name="Normal 2 3 2 17 4 10" xfId="26201" xr:uid="{00000000-0005-0000-0000-000052660000}"/>
    <cellStyle name="Normal 2 3 2 17 4 2" xfId="26202" xr:uid="{00000000-0005-0000-0000-000053660000}"/>
    <cellStyle name="Normal 2 3 2 17 4 3" xfId="26203" xr:uid="{00000000-0005-0000-0000-000054660000}"/>
    <cellStyle name="Normal 2 3 2 17 4 4" xfId="26204" xr:uid="{00000000-0005-0000-0000-000055660000}"/>
    <cellStyle name="Normal 2 3 2 17 4 5" xfId="26205" xr:uid="{00000000-0005-0000-0000-000056660000}"/>
    <cellStyle name="Normal 2 3 2 17 4 6" xfId="26206" xr:uid="{00000000-0005-0000-0000-000057660000}"/>
    <cellStyle name="Normal 2 3 2 17 4 7" xfId="26207" xr:uid="{00000000-0005-0000-0000-000058660000}"/>
    <cellStyle name="Normal 2 3 2 17 4 8" xfId="26208" xr:uid="{00000000-0005-0000-0000-000059660000}"/>
    <cellStyle name="Normal 2 3 2 17 4 9" xfId="26209" xr:uid="{00000000-0005-0000-0000-00005A660000}"/>
    <cellStyle name="Normal 2 3 2 17 5" xfId="26210" xr:uid="{00000000-0005-0000-0000-00005B660000}"/>
    <cellStyle name="Normal 2 3 2 17 5 10" xfId="26211" xr:uid="{00000000-0005-0000-0000-00005C660000}"/>
    <cellStyle name="Normal 2 3 2 17 5 2" xfId="26212" xr:uid="{00000000-0005-0000-0000-00005D660000}"/>
    <cellStyle name="Normal 2 3 2 17 5 3" xfId="26213" xr:uid="{00000000-0005-0000-0000-00005E660000}"/>
    <cellStyle name="Normal 2 3 2 17 5 4" xfId="26214" xr:uid="{00000000-0005-0000-0000-00005F660000}"/>
    <cellStyle name="Normal 2 3 2 17 5 5" xfId="26215" xr:uid="{00000000-0005-0000-0000-000060660000}"/>
    <cellStyle name="Normal 2 3 2 17 5 6" xfId="26216" xr:uid="{00000000-0005-0000-0000-000061660000}"/>
    <cellStyle name="Normal 2 3 2 17 5 7" xfId="26217" xr:uid="{00000000-0005-0000-0000-000062660000}"/>
    <cellStyle name="Normal 2 3 2 17 5 8" xfId="26218" xr:uid="{00000000-0005-0000-0000-000063660000}"/>
    <cellStyle name="Normal 2 3 2 17 5 9" xfId="26219" xr:uid="{00000000-0005-0000-0000-000064660000}"/>
    <cellStyle name="Normal 2 3 2 17 6" xfId="26220" xr:uid="{00000000-0005-0000-0000-000065660000}"/>
    <cellStyle name="Normal 2 3 2 17 7" xfId="26221" xr:uid="{00000000-0005-0000-0000-000066660000}"/>
    <cellStyle name="Normal 2 3 2 17 8" xfId="26222" xr:uid="{00000000-0005-0000-0000-000067660000}"/>
    <cellStyle name="Normal 2 3 2 17 9" xfId="26223" xr:uid="{00000000-0005-0000-0000-000068660000}"/>
    <cellStyle name="Normal 2 3 2 18" xfId="26224" xr:uid="{00000000-0005-0000-0000-000069660000}"/>
    <cellStyle name="Normal 2 3 2 18 10" xfId="26225" xr:uid="{00000000-0005-0000-0000-00006A660000}"/>
    <cellStyle name="Normal 2 3 2 18 11" xfId="26226" xr:uid="{00000000-0005-0000-0000-00006B660000}"/>
    <cellStyle name="Normal 2 3 2 18 12" xfId="26227" xr:uid="{00000000-0005-0000-0000-00006C660000}"/>
    <cellStyle name="Normal 2 3 2 18 13" xfId="26228" xr:uid="{00000000-0005-0000-0000-00006D660000}"/>
    <cellStyle name="Normal 2 3 2 18 14" xfId="26229" xr:uid="{00000000-0005-0000-0000-00006E660000}"/>
    <cellStyle name="Normal 2 3 2 18 2" xfId="26230" xr:uid="{00000000-0005-0000-0000-00006F660000}"/>
    <cellStyle name="Normal 2 3 2 18 2 10" xfId="26231" xr:uid="{00000000-0005-0000-0000-000070660000}"/>
    <cellStyle name="Normal 2 3 2 18 2 2" xfId="26232" xr:uid="{00000000-0005-0000-0000-000071660000}"/>
    <cellStyle name="Normal 2 3 2 18 2 3" xfId="26233" xr:uid="{00000000-0005-0000-0000-000072660000}"/>
    <cellStyle name="Normal 2 3 2 18 2 4" xfId="26234" xr:uid="{00000000-0005-0000-0000-000073660000}"/>
    <cellStyle name="Normal 2 3 2 18 2 5" xfId="26235" xr:uid="{00000000-0005-0000-0000-000074660000}"/>
    <cellStyle name="Normal 2 3 2 18 2 6" xfId="26236" xr:uid="{00000000-0005-0000-0000-000075660000}"/>
    <cellStyle name="Normal 2 3 2 18 2 7" xfId="26237" xr:uid="{00000000-0005-0000-0000-000076660000}"/>
    <cellStyle name="Normal 2 3 2 18 2 8" xfId="26238" xr:uid="{00000000-0005-0000-0000-000077660000}"/>
    <cellStyle name="Normal 2 3 2 18 2 9" xfId="26239" xr:uid="{00000000-0005-0000-0000-000078660000}"/>
    <cellStyle name="Normal 2 3 2 18 3" xfId="26240" xr:uid="{00000000-0005-0000-0000-000079660000}"/>
    <cellStyle name="Normal 2 3 2 18 3 10" xfId="26241" xr:uid="{00000000-0005-0000-0000-00007A660000}"/>
    <cellStyle name="Normal 2 3 2 18 3 2" xfId="26242" xr:uid="{00000000-0005-0000-0000-00007B660000}"/>
    <cellStyle name="Normal 2 3 2 18 3 3" xfId="26243" xr:uid="{00000000-0005-0000-0000-00007C660000}"/>
    <cellStyle name="Normal 2 3 2 18 3 4" xfId="26244" xr:uid="{00000000-0005-0000-0000-00007D660000}"/>
    <cellStyle name="Normal 2 3 2 18 3 5" xfId="26245" xr:uid="{00000000-0005-0000-0000-00007E660000}"/>
    <cellStyle name="Normal 2 3 2 18 3 6" xfId="26246" xr:uid="{00000000-0005-0000-0000-00007F660000}"/>
    <cellStyle name="Normal 2 3 2 18 3 7" xfId="26247" xr:uid="{00000000-0005-0000-0000-000080660000}"/>
    <cellStyle name="Normal 2 3 2 18 3 8" xfId="26248" xr:uid="{00000000-0005-0000-0000-000081660000}"/>
    <cellStyle name="Normal 2 3 2 18 3 9" xfId="26249" xr:uid="{00000000-0005-0000-0000-000082660000}"/>
    <cellStyle name="Normal 2 3 2 18 4" xfId="26250" xr:uid="{00000000-0005-0000-0000-000083660000}"/>
    <cellStyle name="Normal 2 3 2 18 4 10" xfId="26251" xr:uid="{00000000-0005-0000-0000-000084660000}"/>
    <cellStyle name="Normal 2 3 2 18 4 2" xfId="26252" xr:uid="{00000000-0005-0000-0000-000085660000}"/>
    <cellStyle name="Normal 2 3 2 18 4 3" xfId="26253" xr:uid="{00000000-0005-0000-0000-000086660000}"/>
    <cellStyle name="Normal 2 3 2 18 4 4" xfId="26254" xr:uid="{00000000-0005-0000-0000-000087660000}"/>
    <cellStyle name="Normal 2 3 2 18 4 5" xfId="26255" xr:uid="{00000000-0005-0000-0000-000088660000}"/>
    <cellStyle name="Normal 2 3 2 18 4 6" xfId="26256" xr:uid="{00000000-0005-0000-0000-000089660000}"/>
    <cellStyle name="Normal 2 3 2 18 4 7" xfId="26257" xr:uid="{00000000-0005-0000-0000-00008A660000}"/>
    <cellStyle name="Normal 2 3 2 18 4 8" xfId="26258" xr:uid="{00000000-0005-0000-0000-00008B660000}"/>
    <cellStyle name="Normal 2 3 2 18 4 9" xfId="26259" xr:uid="{00000000-0005-0000-0000-00008C660000}"/>
    <cellStyle name="Normal 2 3 2 18 5" xfId="26260" xr:uid="{00000000-0005-0000-0000-00008D660000}"/>
    <cellStyle name="Normal 2 3 2 18 5 10" xfId="26261" xr:uid="{00000000-0005-0000-0000-00008E660000}"/>
    <cellStyle name="Normal 2 3 2 18 5 2" xfId="26262" xr:uid="{00000000-0005-0000-0000-00008F660000}"/>
    <cellStyle name="Normal 2 3 2 18 5 3" xfId="26263" xr:uid="{00000000-0005-0000-0000-000090660000}"/>
    <cellStyle name="Normal 2 3 2 18 5 4" xfId="26264" xr:uid="{00000000-0005-0000-0000-000091660000}"/>
    <cellStyle name="Normal 2 3 2 18 5 5" xfId="26265" xr:uid="{00000000-0005-0000-0000-000092660000}"/>
    <cellStyle name="Normal 2 3 2 18 5 6" xfId="26266" xr:uid="{00000000-0005-0000-0000-000093660000}"/>
    <cellStyle name="Normal 2 3 2 18 5 7" xfId="26267" xr:uid="{00000000-0005-0000-0000-000094660000}"/>
    <cellStyle name="Normal 2 3 2 18 5 8" xfId="26268" xr:uid="{00000000-0005-0000-0000-000095660000}"/>
    <cellStyle name="Normal 2 3 2 18 5 9" xfId="26269" xr:uid="{00000000-0005-0000-0000-000096660000}"/>
    <cellStyle name="Normal 2 3 2 18 6" xfId="26270" xr:uid="{00000000-0005-0000-0000-000097660000}"/>
    <cellStyle name="Normal 2 3 2 18 7" xfId="26271" xr:uid="{00000000-0005-0000-0000-000098660000}"/>
    <cellStyle name="Normal 2 3 2 18 8" xfId="26272" xr:uid="{00000000-0005-0000-0000-000099660000}"/>
    <cellStyle name="Normal 2 3 2 18 9" xfId="26273" xr:uid="{00000000-0005-0000-0000-00009A660000}"/>
    <cellStyle name="Normal 2 3 2 19" xfId="26274" xr:uid="{00000000-0005-0000-0000-00009B660000}"/>
    <cellStyle name="Normal 2 3 2 19 10" xfId="26275" xr:uid="{00000000-0005-0000-0000-00009C660000}"/>
    <cellStyle name="Normal 2 3 2 19 11" xfId="26276" xr:uid="{00000000-0005-0000-0000-00009D660000}"/>
    <cellStyle name="Normal 2 3 2 19 12" xfId="26277" xr:uid="{00000000-0005-0000-0000-00009E660000}"/>
    <cellStyle name="Normal 2 3 2 19 13" xfId="26278" xr:uid="{00000000-0005-0000-0000-00009F660000}"/>
    <cellStyle name="Normal 2 3 2 19 14" xfId="26279" xr:uid="{00000000-0005-0000-0000-0000A0660000}"/>
    <cellStyle name="Normal 2 3 2 19 2" xfId="26280" xr:uid="{00000000-0005-0000-0000-0000A1660000}"/>
    <cellStyle name="Normal 2 3 2 19 2 10" xfId="26281" xr:uid="{00000000-0005-0000-0000-0000A2660000}"/>
    <cellStyle name="Normal 2 3 2 19 2 2" xfId="26282" xr:uid="{00000000-0005-0000-0000-0000A3660000}"/>
    <cellStyle name="Normal 2 3 2 19 2 3" xfId="26283" xr:uid="{00000000-0005-0000-0000-0000A4660000}"/>
    <cellStyle name="Normal 2 3 2 19 2 4" xfId="26284" xr:uid="{00000000-0005-0000-0000-0000A5660000}"/>
    <cellStyle name="Normal 2 3 2 19 2 5" xfId="26285" xr:uid="{00000000-0005-0000-0000-0000A6660000}"/>
    <cellStyle name="Normal 2 3 2 19 2 6" xfId="26286" xr:uid="{00000000-0005-0000-0000-0000A7660000}"/>
    <cellStyle name="Normal 2 3 2 19 2 7" xfId="26287" xr:uid="{00000000-0005-0000-0000-0000A8660000}"/>
    <cellStyle name="Normal 2 3 2 19 2 8" xfId="26288" xr:uid="{00000000-0005-0000-0000-0000A9660000}"/>
    <cellStyle name="Normal 2 3 2 19 2 9" xfId="26289" xr:uid="{00000000-0005-0000-0000-0000AA660000}"/>
    <cellStyle name="Normal 2 3 2 19 3" xfId="26290" xr:uid="{00000000-0005-0000-0000-0000AB660000}"/>
    <cellStyle name="Normal 2 3 2 19 3 10" xfId="26291" xr:uid="{00000000-0005-0000-0000-0000AC660000}"/>
    <cellStyle name="Normal 2 3 2 19 3 2" xfId="26292" xr:uid="{00000000-0005-0000-0000-0000AD660000}"/>
    <cellStyle name="Normal 2 3 2 19 3 3" xfId="26293" xr:uid="{00000000-0005-0000-0000-0000AE660000}"/>
    <cellStyle name="Normal 2 3 2 19 3 4" xfId="26294" xr:uid="{00000000-0005-0000-0000-0000AF660000}"/>
    <cellStyle name="Normal 2 3 2 19 3 5" xfId="26295" xr:uid="{00000000-0005-0000-0000-0000B0660000}"/>
    <cellStyle name="Normal 2 3 2 19 3 6" xfId="26296" xr:uid="{00000000-0005-0000-0000-0000B1660000}"/>
    <cellStyle name="Normal 2 3 2 19 3 7" xfId="26297" xr:uid="{00000000-0005-0000-0000-0000B2660000}"/>
    <cellStyle name="Normal 2 3 2 19 3 8" xfId="26298" xr:uid="{00000000-0005-0000-0000-0000B3660000}"/>
    <cellStyle name="Normal 2 3 2 19 3 9" xfId="26299" xr:uid="{00000000-0005-0000-0000-0000B4660000}"/>
    <cellStyle name="Normal 2 3 2 19 4" xfId="26300" xr:uid="{00000000-0005-0000-0000-0000B5660000}"/>
    <cellStyle name="Normal 2 3 2 19 4 10" xfId="26301" xr:uid="{00000000-0005-0000-0000-0000B6660000}"/>
    <cellStyle name="Normal 2 3 2 19 4 2" xfId="26302" xr:uid="{00000000-0005-0000-0000-0000B7660000}"/>
    <cellStyle name="Normal 2 3 2 19 4 3" xfId="26303" xr:uid="{00000000-0005-0000-0000-0000B8660000}"/>
    <cellStyle name="Normal 2 3 2 19 4 4" xfId="26304" xr:uid="{00000000-0005-0000-0000-0000B9660000}"/>
    <cellStyle name="Normal 2 3 2 19 4 5" xfId="26305" xr:uid="{00000000-0005-0000-0000-0000BA660000}"/>
    <cellStyle name="Normal 2 3 2 19 4 6" xfId="26306" xr:uid="{00000000-0005-0000-0000-0000BB660000}"/>
    <cellStyle name="Normal 2 3 2 19 4 7" xfId="26307" xr:uid="{00000000-0005-0000-0000-0000BC660000}"/>
    <cellStyle name="Normal 2 3 2 19 4 8" xfId="26308" xr:uid="{00000000-0005-0000-0000-0000BD660000}"/>
    <cellStyle name="Normal 2 3 2 19 4 9" xfId="26309" xr:uid="{00000000-0005-0000-0000-0000BE660000}"/>
    <cellStyle name="Normal 2 3 2 19 5" xfId="26310" xr:uid="{00000000-0005-0000-0000-0000BF660000}"/>
    <cellStyle name="Normal 2 3 2 19 5 10" xfId="26311" xr:uid="{00000000-0005-0000-0000-0000C0660000}"/>
    <cellStyle name="Normal 2 3 2 19 5 2" xfId="26312" xr:uid="{00000000-0005-0000-0000-0000C1660000}"/>
    <cellStyle name="Normal 2 3 2 19 5 3" xfId="26313" xr:uid="{00000000-0005-0000-0000-0000C2660000}"/>
    <cellStyle name="Normal 2 3 2 19 5 4" xfId="26314" xr:uid="{00000000-0005-0000-0000-0000C3660000}"/>
    <cellStyle name="Normal 2 3 2 19 5 5" xfId="26315" xr:uid="{00000000-0005-0000-0000-0000C4660000}"/>
    <cellStyle name="Normal 2 3 2 19 5 6" xfId="26316" xr:uid="{00000000-0005-0000-0000-0000C5660000}"/>
    <cellStyle name="Normal 2 3 2 19 5 7" xfId="26317" xr:uid="{00000000-0005-0000-0000-0000C6660000}"/>
    <cellStyle name="Normal 2 3 2 19 5 8" xfId="26318" xr:uid="{00000000-0005-0000-0000-0000C7660000}"/>
    <cellStyle name="Normal 2 3 2 19 5 9" xfId="26319" xr:uid="{00000000-0005-0000-0000-0000C8660000}"/>
    <cellStyle name="Normal 2 3 2 19 6" xfId="26320" xr:uid="{00000000-0005-0000-0000-0000C9660000}"/>
    <cellStyle name="Normal 2 3 2 19 7" xfId="26321" xr:uid="{00000000-0005-0000-0000-0000CA660000}"/>
    <cellStyle name="Normal 2 3 2 19 8" xfId="26322" xr:uid="{00000000-0005-0000-0000-0000CB660000}"/>
    <cellStyle name="Normal 2 3 2 19 9" xfId="26323" xr:uid="{00000000-0005-0000-0000-0000CC660000}"/>
    <cellStyle name="Normal 2 3 2 2" xfId="26324" xr:uid="{00000000-0005-0000-0000-0000CD660000}"/>
    <cellStyle name="Normal 2 3 2 2 10" xfId="26325" xr:uid="{00000000-0005-0000-0000-0000CE660000}"/>
    <cellStyle name="Normal 2 3 2 2 11" xfId="26326" xr:uid="{00000000-0005-0000-0000-0000CF660000}"/>
    <cellStyle name="Normal 2 3 2 2 12" xfId="26327" xr:uid="{00000000-0005-0000-0000-0000D0660000}"/>
    <cellStyle name="Normal 2 3 2 2 13" xfId="26328" xr:uid="{00000000-0005-0000-0000-0000D1660000}"/>
    <cellStyle name="Normal 2 3 2 2 14" xfId="26329" xr:uid="{00000000-0005-0000-0000-0000D2660000}"/>
    <cellStyle name="Normal 2 3 2 2 15" xfId="26330" xr:uid="{00000000-0005-0000-0000-0000D3660000}"/>
    <cellStyle name="Normal 2 3 2 2 16" xfId="26331" xr:uid="{00000000-0005-0000-0000-0000D4660000}"/>
    <cellStyle name="Normal 2 3 2 2 2" xfId="26332" xr:uid="{00000000-0005-0000-0000-0000D5660000}"/>
    <cellStyle name="Normal 2 3 2 2 2 10" xfId="26333" xr:uid="{00000000-0005-0000-0000-0000D6660000}"/>
    <cellStyle name="Normal 2 3 2 2 2 11" xfId="26334" xr:uid="{00000000-0005-0000-0000-0000D7660000}"/>
    <cellStyle name="Normal 2 3 2 2 2 12" xfId="26335" xr:uid="{00000000-0005-0000-0000-0000D8660000}"/>
    <cellStyle name="Normal 2 3 2 2 2 2" xfId="26336" xr:uid="{00000000-0005-0000-0000-0000D9660000}"/>
    <cellStyle name="Normal 2 3 2 2 2 3" xfId="26337" xr:uid="{00000000-0005-0000-0000-0000DA660000}"/>
    <cellStyle name="Normal 2 3 2 2 2 4" xfId="26338" xr:uid="{00000000-0005-0000-0000-0000DB660000}"/>
    <cellStyle name="Normal 2 3 2 2 2 5" xfId="26339" xr:uid="{00000000-0005-0000-0000-0000DC660000}"/>
    <cellStyle name="Normal 2 3 2 2 2 6" xfId="26340" xr:uid="{00000000-0005-0000-0000-0000DD660000}"/>
    <cellStyle name="Normal 2 3 2 2 2 7" xfId="26341" xr:uid="{00000000-0005-0000-0000-0000DE660000}"/>
    <cellStyle name="Normal 2 3 2 2 2 8" xfId="26342" xr:uid="{00000000-0005-0000-0000-0000DF660000}"/>
    <cellStyle name="Normal 2 3 2 2 2 9" xfId="26343" xr:uid="{00000000-0005-0000-0000-0000E0660000}"/>
    <cellStyle name="Normal 2 3 2 2 3" xfId="26344" xr:uid="{00000000-0005-0000-0000-0000E1660000}"/>
    <cellStyle name="Normal 2 3 2 2 3 10" xfId="26345" xr:uid="{00000000-0005-0000-0000-0000E2660000}"/>
    <cellStyle name="Normal 2 3 2 2 3 2" xfId="26346" xr:uid="{00000000-0005-0000-0000-0000E3660000}"/>
    <cellStyle name="Normal 2 3 2 2 3 3" xfId="26347" xr:uid="{00000000-0005-0000-0000-0000E4660000}"/>
    <cellStyle name="Normal 2 3 2 2 3 4" xfId="26348" xr:uid="{00000000-0005-0000-0000-0000E5660000}"/>
    <cellStyle name="Normal 2 3 2 2 3 5" xfId="26349" xr:uid="{00000000-0005-0000-0000-0000E6660000}"/>
    <cellStyle name="Normal 2 3 2 2 3 6" xfId="26350" xr:uid="{00000000-0005-0000-0000-0000E7660000}"/>
    <cellStyle name="Normal 2 3 2 2 3 7" xfId="26351" xr:uid="{00000000-0005-0000-0000-0000E8660000}"/>
    <cellStyle name="Normal 2 3 2 2 3 8" xfId="26352" xr:uid="{00000000-0005-0000-0000-0000E9660000}"/>
    <cellStyle name="Normal 2 3 2 2 3 9" xfId="26353" xr:uid="{00000000-0005-0000-0000-0000EA660000}"/>
    <cellStyle name="Normal 2 3 2 2 4" xfId="26354" xr:uid="{00000000-0005-0000-0000-0000EB660000}"/>
    <cellStyle name="Normal 2 3 2 2 4 10" xfId="26355" xr:uid="{00000000-0005-0000-0000-0000EC660000}"/>
    <cellStyle name="Normal 2 3 2 2 4 2" xfId="26356" xr:uid="{00000000-0005-0000-0000-0000ED660000}"/>
    <cellStyle name="Normal 2 3 2 2 4 3" xfId="26357" xr:uid="{00000000-0005-0000-0000-0000EE660000}"/>
    <cellStyle name="Normal 2 3 2 2 4 4" xfId="26358" xr:uid="{00000000-0005-0000-0000-0000EF660000}"/>
    <cellStyle name="Normal 2 3 2 2 4 5" xfId="26359" xr:uid="{00000000-0005-0000-0000-0000F0660000}"/>
    <cellStyle name="Normal 2 3 2 2 4 6" xfId="26360" xr:uid="{00000000-0005-0000-0000-0000F1660000}"/>
    <cellStyle name="Normal 2 3 2 2 4 7" xfId="26361" xr:uid="{00000000-0005-0000-0000-0000F2660000}"/>
    <cellStyle name="Normal 2 3 2 2 4 8" xfId="26362" xr:uid="{00000000-0005-0000-0000-0000F3660000}"/>
    <cellStyle name="Normal 2 3 2 2 4 9" xfId="26363" xr:uid="{00000000-0005-0000-0000-0000F4660000}"/>
    <cellStyle name="Normal 2 3 2 2 5" xfId="26364" xr:uid="{00000000-0005-0000-0000-0000F5660000}"/>
    <cellStyle name="Normal 2 3 2 2 5 10" xfId="26365" xr:uid="{00000000-0005-0000-0000-0000F6660000}"/>
    <cellStyle name="Normal 2 3 2 2 5 2" xfId="26366" xr:uid="{00000000-0005-0000-0000-0000F7660000}"/>
    <cellStyle name="Normal 2 3 2 2 5 3" xfId="26367" xr:uid="{00000000-0005-0000-0000-0000F8660000}"/>
    <cellStyle name="Normal 2 3 2 2 5 4" xfId="26368" xr:uid="{00000000-0005-0000-0000-0000F9660000}"/>
    <cellStyle name="Normal 2 3 2 2 5 5" xfId="26369" xr:uid="{00000000-0005-0000-0000-0000FA660000}"/>
    <cellStyle name="Normal 2 3 2 2 5 6" xfId="26370" xr:uid="{00000000-0005-0000-0000-0000FB660000}"/>
    <cellStyle name="Normal 2 3 2 2 5 7" xfId="26371" xr:uid="{00000000-0005-0000-0000-0000FC660000}"/>
    <cellStyle name="Normal 2 3 2 2 5 8" xfId="26372" xr:uid="{00000000-0005-0000-0000-0000FD660000}"/>
    <cellStyle name="Normal 2 3 2 2 5 9" xfId="26373" xr:uid="{00000000-0005-0000-0000-0000FE660000}"/>
    <cellStyle name="Normal 2 3 2 2 6" xfId="26374" xr:uid="{00000000-0005-0000-0000-0000FF660000}"/>
    <cellStyle name="Normal 2 3 2 2 7" xfId="26375" xr:uid="{00000000-0005-0000-0000-000000670000}"/>
    <cellStyle name="Normal 2 3 2 2 8" xfId="26376" xr:uid="{00000000-0005-0000-0000-000001670000}"/>
    <cellStyle name="Normal 2 3 2 2 9" xfId="26377" xr:uid="{00000000-0005-0000-0000-000002670000}"/>
    <cellStyle name="Normal 2 3 2 20" xfId="26378" xr:uid="{00000000-0005-0000-0000-000003670000}"/>
    <cellStyle name="Normal 2 3 2 20 10" xfId="26379" xr:uid="{00000000-0005-0000-0000-000004670000}"/>
    <cellStyle name="Normal 2 3 2 20 11" xfId="26380" xr:uid="{00000000-0005-0000-0000-000005670000}"/>
    <cellStyle name="Normal 2 3 2 20 12" xfId="26381" xr:uid="{00000000-0005-0000-0000-000006670000}"/>
    <cellStyle name="Normal 2 3 2 20 13" xfId="26382" xr:uid="{00000000-0005-0000-0000-000007670000}"/>
    <cellStyle name="Normal 2 3 2 20 14" xfId="26383" xr:uid="{00000000-0005-0000-0000-000008670000}"/>
    <cellStyle name="Normal 2 3 2 20 2" xfId="26384" xr:uid="{00000000-0005-0000-0000-000009670000}"/>
    <cellStyle name="Normal 2 3 2 20 2 10" xfId="26385" xr:uid="{00000000-0005-0000-0000-00000A670000}"/>
    <cellStyle name="Normal 2 3 2 20 2 2" xfId="26386" xr:uid="{00000000-0005-0000-0000-00000B670000}"/>
    <cellStyle name="Normal 2 3 2 20 2 3" xfId="26387" xr:uid="{00000000-0005-0000-0000-00000C670000}"/>
    <cellStyle name="Normal 2 3 2 20 2 4" xfId="26388" xr:uid="{00000000-0005-0000-0000-00000D670000}"/>
    <cellStyle name="Normal 2 3 2 20 2 5" xfId="26389" xr:uid="{00000000-0005-0000-0000-00000E670000}"/>
    <cellStyle name="Normal 2 3 2 20 2 6" xfId="26390" xr:uid="{00000000-0005-0000-0000-00000F670000}"/>
    <cellStyle name="Normal 2 3 2 20 2 7" xfId="26391" xr:uid="{00000000-0005-0000-0000-000010670000}"/>
    <cellStyle name="Normal 2 3 2 20 2 8" xfId="26392" xr:uid="{00000000-0005-0000-0000-000011670000}"/>
    <cellStyle name="Normal 2 3 2 20 2 9" xfId="26393" xr:uid="{00000000-0005-0000-0000-000012670000}"/>
    <cellStyle name="Normal 2 3 2 20 3" xfId="26394" xr:uid="{00000000-0005-0000-0000-000013670000}"/>
    <cellStyle name="Normal 2 3 2 20 3 10" xfId="26395" xr:uid="{00000000-0005-0000-0000-000014670000}"/>
    <cellStyle name="Normal 2 3 2 20 3 2" xfId="26396" xr:uid="{00000000-0005-0000-0000-000015670000}"/>
    <cellStyle name="Normal 2 3 2 20 3 3" xfId="26397" xr:uid="{00000000-0005-0000-0000-000016670000}"/>
    <cellStyle name="Normal 2 3 2 20 3 4" xfId="26398" xr:uid="{00000000-0005-0000-0000-000017670000}"/>
    <cellStyle name="Normal 2 3 2 20 3 5" xfId="26399" xr:uid="{00000000-0005-0000-0000-000018670000}"/>
    <cellStyle name="Normal 2 3 2 20 3 6" xfId="26400" xr:uid="{00000000-0005-0000-0000-000019670000}"/>
    <cellStyle name="Normal 2 3 2 20 3 7" xfId="26401" xr:uid="{00000000-0005-0000-0000-00001A670000}"/>
    <cellStyle name="Normal 2 3 2 20 3 8" xfId="26402" xr:uid="{00000000-0005-0000-0000-00001B670000}"/>
    <cellStyle name="Normal 2 3 2 20 3 9" xfId="26403" xr:uid="{00000000-0005-0000-0000-00001C670000}"/>
    <cellStyle name="Normal 2 3 2 20 4" xfId="26404" xr:uid="{00000000-0005-0000-0000-00001D670000}"/>
    <cellStyle name="Normal 2 3 2 20 4 10" xfId="26405" xr:uid="{00000000-0005-0000-0000-00001E670000}"/>
    <cellStyle name="Normal 2 3 2 20 4 2" xfId="26406" xr:uid="{00000000-0005-0000-0000-00001F670000}"/>
    <cellStyle name="Normal 2 3 2 20 4 3" xfId="26407" xr:uid="{00000000-0005-0000-0000-000020670000}"/>
    <cellStyle name="Normal 2 3 2 20 4 4" xfId="26408" xr:uid="{00000000-0005-0000-0000-000021670000}"/>
    <cellStyle name="Normal 2 3 2 20 4 5" xfId="26409" xr:uid="{00000000-0005-0000-0000-000022670000}"/>
    <cellStyle name="Normal 2 3 2 20 4 6" xfId="26410" xr:uid="{00000000-0005-0000-0000-000023670000}"/>
    <cellStyle name="Normal 2 3 2 20 4 7" xfId="26411" xr:uid="{00000000-0005-0000-0000-000024670000}"/>
    <cellStyle name="Normal 2 3 2 20 4 8" xfId="26412" xr:uid="{00000000-0005-0000-0000-000025670000}"/>
    <cellStyle name="Normal 2 3 2 20 4 9" xfId="26413" xr:uid="{00000000-0005-0000-0000-000026670000}"/>
    <cellStyle name="Normal 2 3 2 20 5" xfId="26414" xr:uid="{00000000-0005-0000-0000-000027670000}"/>
    <cellStyle name="Normal 2 3 2 20 5 10" xfId="26415" xr:uid="{00000000-0005-0000-0000-000028670000}"/>
    <cellStyle name="Normal 2 3 2 20 5 2" xfId="26416" xr:uid="{00000000-0005-0000-0000-000029670000}"/>
    <cellStyle name="Normal 2 3 2 20 5 3" xfId="26417" xr:uid="{00000000-0005-0000-0000-00002A670000}"/>
    <cellStyle name="Normal 2 3 2 20 5 4" xfId="26418" xr:uid="{00000000-0005-0000-0000-00002B670000}"/>
    <cellStyle name="Normal 2 3 2 20 5 5" xfId="26419" xr:uid="{00000000-0005-0000-0000-00002C670000}"/>
    <cellStyle name="Normal 2 3 2 20 5 6" xfId="26420" xr:uid="{00000000-0005-0000-0000-00002D670000}"/>
    <cellStyle name="Normal 2 3 2 20 5 7" xfId="26421" xr:uid="{00000000-0005-0000-0000-00002E670000}"/>
    <cellStyle name="Normal 2 3 2 20 5 8" xfId="26422" xr:uid="{00000000-0005-0000-0000-00002F670000}"/>
    <cellStyle name="Normal 2 3 2 20 5 9" xfId="26423" xr:uid="{00000000-0005-0000-0000-000030670000}"/>
    <cellStyle name="Normal 2 3 2 20 6" xfId="26424" xr:uid="{00000000-0005-0000-0000-000031670000}"/>
    <cellStyle name="Normal 2 3 2 20 7" xfId="26425" xr:uid="{00000000-0005-0000-0000-000032670000}"/>
    <cellStyle name="Normal 2 3 2 20 8" xfId="26426" xr:uid="{00000000-0005-0000-0000-000033670000}"/>
    <cellStyle name="Normal 2 3 2 20 9" xfId="26427" xr:uid="{00000000-0005-0000-0000-000034670000}"/>
    <cellStyle name="Normal 2 3 2 21" xfId="26428" xr:uid="{00000000-0005-0000-0000-000035670000}"/>
    <cellStyle name="Normal 2 3 2 21 10" xfId="26429" xr:uid="{00000000-0005-0000-0000-000036670000}"/>
    <cellStyle name="Normal 2 3 2 21 11" xfId="26430" xr:uid="{00000000-0005-0000-0000-000037670000}"/>
    <cellStyle name="Normal 2 3 2 21 12" xfId="26431" xr:uid="{00000000-0005-0000-0000-000038670000}"/>
    <cellStyle name="Normal 2 3 2 21 13" xfId="26432" xr:uid="{00000000-0005-0000-0000-000039670000}"/>
    <cellStyle name="Normal 2 3 2 21 14" xfId="26433" xr:uid="{00000000-0005-0000-0000-00003A670000}"/>
    <cellStyle name="Normal 2 3 2 21 2" xfId="26434" xr:uid="{00000000-0005-0000-0000-00003B670000}"/>
    <cellStyle name="Normal 2 3 2 21 2 10" xfId="26435" xr:uid="{00000000-0005-0000-0000-00003C670000}"/>
    <cellStyle name="Normal 2 3 2 21 2 2" xfId="26436" xr:uid="{00000000-0005-0000-0000-00003D670000}"/>
    <cellStyle name="Normal 2 3 2 21 2 3" xfId="26437" xr:uid="{00000000-0005-0000-0000-00003E670000}"/>
    <cellStyle name="Normal 2 3 2 21 2 4" xfId="26438" xr:uid="{00000000-0005-0000-0000-00003F670000}"/>
    <cellStyle name="Normal 2 3 2 21 2 5" xfId="26439" xr:uid="{00000000-0005-0000-0000-000040670000}"/>
    <cellStyle name="Normal 2 3 2 21 2 6" xfId="26440" xr:uid="{00000000-0005-0000-0000-000041670000}"/>
    <cellStyle name="Normal 2 3 2 21 2 7" xfId="26441" xr:uid="{00000000-0005-0000-0000-000042670000}"/>
    <cellStyle name="Normal 2 3 2 21 2 8" xfId="26442" xr:uid="{00000000-0005-0000-0000-000043670000}"/>
    <cellStyle name="Normal 2 3 2 21 2 9" xfId="26443" xr:uid="{00000000-0005-0000-0000-000044670000}"/>
    <cellStyle name="Normal 2 3 2 21 3" xfId="26444" xr:uid="{00000000-0005-0000-0000-000045670000}"/>
    <cellStyle name="Normal 2 3 2 21 3 10" xfId="26445" xr:uid="{00000000-0005-0000-0000-000046670000}"/>
    <cellStyle name="Normal 2 3 2 21 3 2" xfId="26446" xr:uid="{00000000-0005-0000-0000-000047670000}"/>
    <cellStyle name="Normal 2 3 2 21 3 3" xfId="26447" xr:uid="{00000000-0005-0000-0000-000048670000}"/>
    <cellStyle name="Normal 2 3 2 21 3 4" xfId="26448" xr:uid="{00000000-0005-0000-0000-000049670000}"/>
    <cellStyle name="Normal 2 3 2 21 3 5" xfId="26449" xr:uid="{00000000-0005-0000-0000-00004A670000}"/>
    <cellStyle name="Normal 2 3 2 21 3 6" xfId="26450" xr:uid="{00000000-0005-0000-0000-00004B670000}"/>
    <cellStyle name="Normal 2 3 2 21 3 7" xfId="26451" xr:uid="{00000000-0005-0000-0000-00004C670000}"/>
    <cellStyle name="Normal 2 3 2 21 3 8" xfId="26452" xr:uid="{00000000-0005-0000-0000-00004D670000}"/>
    <cellStyle name="Normal 2 3 2 21 3 9" xfId="26453" xr:uid="{00000000-0005-0000-0000-00004E670000}"/>
    <cellStyle name="Normal 2 3 2 21 4" xfId="26454" xr:uid="{00000000-0005-0000-0000-00004F670000}"/>
    <cellStyle name="Normal 2 3 2 21 4 10" xfId="26455" xr:uid="{00000000-0005-0000-0000-000050670000}"/>
    <cellStyle name="Normal 2 3 2 21 4 2" xfId="26456" xr:uid="{00000000-0005-0000-0000-000051670000}"/>
    <cellStyle name="Normal 2 3 2 21 4 3" xfId="26457" xr:uid="{00000000-0005-0000-0000-000052670000}"/>
    <cellStyle name="Normal 2 3 2 21 4 4" xfId="26458" xr:uid="{00000000-0005-0000-0000-000053670000}"/>
    <cellStyle name="Normal 2 3 2 21 4 5" xfId="26459" xr:uid="{00000000-0005-0000-0000-000054670000}"/>
    <cellStyle name="Normal 2 3 2 21 4 6" xfId="26460" xr:uid="{00000000-0005-0000-0000-000055670000}"/>
    <cellStyle name="Normal 2 3 2 21 4 7" xfId="26461" xr:uid="{00000000-0005-0000-0000-000056670000}"/>
    <cellStyle name="Normal 2 3 2 21 4 8" xfId="26462" xr:uid="{00000000-0005-0000-0000-000057670000}"/>
    <cellStyle name="Normal 2 3 2 21 4 9" xfId="26463" xr:uid="{00000000-0005-0000-0000-000058670000}"/>
    <cellStyle name="Normal 2 3 2 21 5" xfId="26464" xr:uid="{00000000-0005-0000-0000-000059670000}"/>
    <cellStyle name="Normal 2 3 2 21 5 10" xfId="26465" xr:uid="{00000000-0005-0000-0000-00005A670000}"/>
    <cellStyle name="Normal 2 3 2 21 5 2" xfId="26466" xr:uid="{00000000-0005-0000-0000-00005B670000}"/>
    <cellStyle name="Normal 2 3 2 21 5 3" xfId="26467" xr:uid="{00000000-0005-0000-0000-00005C670000}"/>
    <cellStyle name="Normal 2 3 2 21 5 4" xfId="26468" xr:uid="{00000000-0005-0000-0000-00005D670000}"/>
    <cellStyle name="Normal 2 3 2 21 5 5" xfId="26469" xr:uid="{00000000-0005-0000-0000-00005E670000}"/>
    <cellStyle name="Normal 2 3 2 21 5 6" xfId="26470" xr:uid="{00000000-0005-0000-0000-00005F670000}"/>
    <cellStyle name="Normal 2 3 2 21 5 7" xfId="26471" xr:uid="{00000000-0005-0000-0000-000060670000}"/>
    <cellStyle name="Normal 2 3 2 21 5 8" xfId="26472" xr:uid="{00000000-0005-0000-0000-000061670000}"/>
    <cellStyle name="Normal 2 3 2 21 5 9" xfId="26473" xr:uid="{00000000-0005-0000-0000-000062670000}"/>
    <cellStyle name="Normal 2 3 2 21 6" xfId="26474" xr:uid="{00000000-0005-0000-0000-000063670000}"/>
    <cellStyle name="Normal 2 3 2 21 7" xfId="26475" xr:uid="{00000000-0005-0000-0000-000064670000}"/>
    <cellStyle name="Normal 2 3 2 21 8" xfId="26476" xr:uid="{00000000-0005-0000-0000-000065670000}"/>
    <cellStyle name="Normal 2 3 2 21 9" xfId="26477" xr:uid="{00000000-0005-0000-0000-000066670000}"/>
    <cellStyle name="Normal 2 3 2 22" xfId="26478" xr:uid="{00000000-0005-0000-0000-000067670000}"/>
    <cellStyle name="Normal 2 3 2 22 10" xfId="26479" xr:uid="{00000000-0005-0000-0000-000068670000}"/>
    <cellStyle name="Normal 2 3 2 22 11" xfId="26480" xr:uid="{00000000-0005-0000-0000-000069670000}"/>
    <cellStyle name="Normal 2 3 2 22 12" xfId="26481" xr:uid="{00000000-0005-0000-0000-00006A670000}"/>
    <cellStyle name="Normal 2 3 2 22 13" xfId="26482" xr:uid="{00000000-0005-0000-0000-00006B670000}"/>
    <cellStyle name="Normal 2 3 2 22 14" xfId="26483" xr:uid="{00000000-0005-0000-0000-00006C670000}"/>
    <cellStyle name="Normal 2 3 2 22 2" xfId="26484" xr:uid="{00000000-0005-0000-0000-00006D670000}"/>
    <cellStyle name="Normal 2 3 2 22 2 10" xfId="26485" xr:uid="{00000000-0005-0000-0000-00006E670000}"/>
    <cellStyle name="Normal 2 3 2 22 2 2" xfId="26486" xr:uid="{00000000-0005-0000-0000-00006F670000}"/>
    <cellStyle name="Normal 2 3 2 22 2 3" xfId="26487" xr:uid="{00000000-0005-0000-0000-000070670000}"/>
    <cellStyle name="Normal 2 3 2 22 2 4" xfId="26488" xr:uid="{00000000-0005-0000-0000-000071670000}"/>
    <cellStyle name="Normal 2 3 2 22 2 5" xfId="26489" xr:uid="{00000000-0005-0000-0000-000072670000}"/>
    <cellStyle name="Normal 2 3 2 22 2 6" xfId="26490" xr:uid="{00000000-0005-0000-0000-000073670000}"/>
    <cellStyle name="Normal 2 3 2 22 2 7" xfId="26491" xr:uid="{00000000-0005-0000-0000-000074670000}"/>
    <cellStyle name="Normal 2 3 2 22 2 8" xfId="26492" xr:uid="{00000000-0005-0000-0000-000075670000}"/>
    <cellStyle name="Normal 2 3 2 22 2 9" xfId="26493" xr:uid="{00000000-0005-0000-0000-000076670000}"/>
    <cellStyle name="Normal 2 3 2 22 3" xfId="26494" xr:uid="{00000000-0005-0000-0000-000077670000}"/>
    <cellStyle name="Normal 2 3 2 22 3 10" xfId="26495" xr:uid="{00000000-0005-0000-0000-000078670000}"/>
    <cellStyle name="Normal 2 3 2 22 3 2" xfId="26496" xr:uid="{00000000-0005-0000-0000-000079670000}"/>
    <cellStyle name="Normal 2 3 2 22 3 3" xfId="26497" xr:uid="{00000000-0005-0000-0000-00007A670000}"/>
    <cellStyle name="Normal 2 3 2 22 3 4" xfId="26498" xr:uid="{00000000-0005-0000-0000-00007B670000}"/>
    <cellStyle name="Normal 2 3 2 22 3 5" xfId="26499" xr:uid="{00000000-0005-0000-0000-00007C670000}"/>
    <cellStyle name="Normal 2 3 2 22 3 6" xfId="26500" xr:uid="{00000000-0005-0000-0000-00007D670000}"/>
    <cellStyle name="Normal 2 3 2 22 3 7" xfId="26501" xr:uid="{00000000-0005-0000-0000-00007E670000}"/>
    <cellStyle name="Normal 2 3 2 22 3 8" xfId="26502" xr:uid="{00000000-0005-0000-0000-00007F670000}"/>
    <cellStyle name="Normal 2 3 2 22 3 9" xfId="26503" xr:uid="{00000000-0005-0000-0000-000080670000}"/>
    <cellStyle name="Normal 2 3 2 22 4" xfId="26504" xr:uid="{00000000-0005-0000-0000-000081670000}"/>
    <cellStyle name="Normal 2 3 2 22 4 10" xfId="26505" xr:uid="{00000000-0005-0000-0000-000082670000}"/>
    <cellStyle name="Normal 2 3 2 22 4 2" xfId="26506" xr:uid="{00000000-0005-0000-0000-000083670000}"/>
    <cellStyle name="Normal 2 3 2 22 4 3" xfId="26507" xr:uid="{00000000-0005-0000-0000-000084670000}"/>
    <cellStyle name="Normal 2 3 2 22 4 4" xfId="26508" xr:uid="{00000000-0005-0000-0000-000085670000}"/>
    <cellStyle name="Normal 2 3 2 22 4 5" xfId="26509" xr:uid="{00000000-0005-0000-0000-000086670000}"/>
    <cellStyle name="Normal 2 3 2 22 4 6" xfId="26510" xr:uid="{00000000-0005-0000-0000-000087670000}"/>
    <cellStyle name="Normal 2 3 2 22 4 7" xfId="26511" xr:uid="{00000000-0005-0000-0000-000088670000}"/>
    <cellStyle name="Normal 2 3 2 22 4 8" xfId="26512" xr:uid="{00000000-0005-0000-0000-000089670000}"/>
    <cellStyle name="Normal 2 3 2 22 4 9" xfId="26513" xr:uid="{00000000-0005-0000-0000-00008A670000}"/>
    <cellStyle name="Normal 2 3 2 22 5" xfId="26514" xr:uid="{00000000-0005-0000-0000-00008B670000}"/>
    <cellStyle name="Normal 2 3 2 22 5 10" xfId="26515" xr:uid="{00000000-0005-0000-0000-00008C670000}"/>
    <cellStyle name="Normal 2 3 2 22 5 2" xfId="26516" xr:uid="{00000000-0005-0000-0000-00008D670000}"/>
    <cellStyle name="Normal 2 3 2 22 5 3" xfId="26517" xr:uid="{00000000-0005-0000-0000-00008E670000}"/>
    <cellStyle name="Normal 2 3 2 22 5 4" xfId="26518" xr:uid="{00000000-0005-0000-0000-00008F670000}"/>
    <cellStyle name="Normal 2 3 2 22 5 5" xfId="26519" xr:uid="{00000000-0005-0000-0000-000090670000}"/>
    <cellStyle name="Normal 2 3 2 22 5 6" xfId="26520" xr:uid="{00000000-0005-0000-0000-000091670000}"/>
    <cellStyle name="Normal 2 3 2 22 5 7" xfId="26521" xr:uid="{00000000-0005-0000-0000-000092670000}"/>
    <cellStyle name="Normal 2 3 2 22 5 8" xfId="26522" xr:uid="{00000000-0005-0000-0000-000093670000}"/>
    <cellStyle name="Normal 2 3 2 22 5 9" xfId="26523" xr:uid="{00000000-0005-0000-0000-000094670000}"/>
    <cellStyle name="Normal 2 3 2 22 6" xfId="26524" xr:uid="{00000000-0005-0000-0000-000095670000}"/>
    <cellStyle name="Normal 2 3 2 22 7" xfId="26525" xr:uid="{00000000-0005-0000-0000-000096670000}"/>
    <cellStyle name="Normal 2 3 2 22 8" xfId="26526" xr:uid="{00000000-0005-0000-0000-000097670000}"/>
    <cellStyle name="Normal 2 3 2 22 9" xfId="26527" xr:uid="{00000000-0005-0000-0000-000098670000}"/>
    <cellStyle name="Normal 2 3 2 23" xfId="26528" xr:uid="{00000000-0005-0000-0000-000099670000}"/>
    <cellStyle name="Normal 2 3 2 23 10" xfId="26529" xr:uid="{00000000-0005-0000-0000-00009A670000}"/>
    <cellStyle name="Normal 2 3 2 23 11" xfId="26530" xr:uid="{00000000-0005-0000-0000-00009B670000}"/>
    <cellStyle name="Normal 2 3 2 23 12" xfId="26531" xr:uid="{00000000-0005-0000-0000-00009C670000}"/>
    <cellStyle name="Normal 2 3 2 23 13" xfId="26532" xr:uid="{00000000-0005-0000-0000-00009D670000}"/>
    <cellStyle name="Normal 2 3 2 23 14" xfId="26533" xr:uid="{00000000-0005-0000-0000-00009E670000}"/>
    <cellStyle name="Normal 2 3 2 23 2" xfId="26534" xr:uid="{00000000-0005-0000-0000-00009F670000}"/>
    <cellStyle name="Normal 2 3 2 23 2 10" xfId="26535" xr:uid="{00000000-0005-0000-0000-0000A0670000}"/>
    <cellStyle name="Normal 2 3 2 23 2 2" xfId="26536" xr:uid="{00000000-0005-0000-0000-0000A1670000}"/>
    <cellStyle name="Normal 2 3 2 23 2 3" xfId="26537" xr:uid="{00000000-0005-0000-0000-0000A2670000}"/>
    <cellStyle name="Normal 2 3 2 23 2 4" xfId="26538" xr:uid="{00000000-0005-0000-0000-0000A3670000}"/>
    <cellStyle name="Normal 2 3 2 23 2 5" xfId="26539" xr:uid="{00000000-0005-0000-0000-0000A4670000}"/>
    <cellStyle name="Normal 2 3 2 23 2 6" xfId="26540" xr:uid="{00000000-0005-0000-0000-0000A5670000}"/>
    <cellStyle name="Normal 2 3 2 23 2 7" xfId="26541" xr:uid="{00000000-0005-0000-0000-0000A6670000}"/>
    <cellStyle name="Normal 2 3 2 23 2 8" xfId="26542" xr:uid="{00000000-0005-0000-0000-0000A7670000}"/>
    <cellStyle name="Normal 2 3 2 23 2 9" xfId="26543" xr:uid="{00000000-0005-0000-0000-0000A8670000}"/>
    <cellStyle name="Normal 2 3 2 23 3" xfId="26544" xr:uid="{00000000-0005-0000-0000-0000A9670000}"/>
    <cellStyle name="Normal 2 3 2 23 3 10" xfId="26545" xr:uid="{00000000-0005-0000-0000-0000AA670000}"/>
    <cellStyle name="Normal 2 3 2 23 3 2" xfId="26546" xr:uid="{00000000-0005-0000-0000-0000AB670000}"/>
    <cellStyle name="Normal 2 3 2 23 3 3" xfId="26547" xr:uid="{00000000-0005-0000-0000-0000AC670000}"/>
    <cellStyle name="Normal 2 3 2 23 3 4" xfId="26548" xr:uid="{00000000-0005-0000-0000-0000AD670000}"/>
    <cellStyle name="Normal 2 3 2 23 3 5" xfId="26549" xr:uid="{00000000-0005-0000-0000-0000AE670000}"/>
    <cellStyle name="Normal 2 3 2 23 3 6" xfId="26550" xr:uid="{00000000-0005-0000-0000-0000AF670000}"/>
    <cellStyle name="Normal 2 3 2 23 3 7" xfId="26551" xr:uid="{00000000-0005-0000-0000-0000B0670000}"/>
    <cellStyle name="Normal 2 3 2 23 3 8" xfId="26552" xr:uid="{00000000-0005-0000-0000-0000B1670000}"/>
    <cellStyle name="Normal 2 3 2 23 3 9" xfId="26553" xr:uid="{00000000-0005-0000-0000-0000B2670000}"/>
    <cellStyle name="Normal 2 3 2 23 4" xfId="26554" xr:uid="{00000000-0005-0000-0000-0000B3670000}"/>
    <cellStyle name="Normal 2 3 2 23 4 10" xfId="26555" xr:uid="{00000000-0005-0000-0000-0000B4670000}"/>
    <cellStyle name="Normal 2 3 2 23 4 2" xfId="26556" xr:uid="{00000000-0005-0000-0000-0000B5670000}"/>
    <cellStyle name="Normal 2 3 2 23 4 3" xfId="26557" xr:uid="{00000000-0005-0000-0000-0000B6670000}"/>
    <cellStyle name="Normal 2 3 2 23 4 4" xfId="26558" xr:uid="{00000000-0005-0000-0000-0000B7670000}"/>
    <cellStyle name="Normal 2 3 2 23 4 5" xfId="26559" xr:uid="{00000000-0005-0000-0000-0000B8670000}"/>
    <cellStyle name="Normal 2 3 2 23 4 6" xfId="26560" xr:uid="{00000000-0005-0000-0000-0000B9670000}"/>
    <cellStyle name="Normal 2 3 2 23 4 7" xfId="26561" xr:uid="{00000000-0005-0000-0000-0000BA670000}"/>
    <cellStyle name="Normal 2 3 2 23 4 8" xfId="26562" xr:uid="{00000000-0005-0000-0000-0000BB670000}"/>
    <cellStyle name="Normal 2 3 2 23 4 9" xfId="26563" xr:uid="{00000000-0005-0000-0000-0000BC670000}"/>
    <cellStyle name="Normal 2 3 2 23 5" xfId="26564" xr:uid="{00000000-0005-0000-0000-0000BD670000}"/>
    <cellStyle name="Normal 2 3 2 23 5 10" xfId="26565" xr:uid="{00000000-0005-0000-0000-0000BE670000}"/>
    <cellStyle name="Normal 2 3 2 23 5 2" xfId="26566" xr:uid="{00000000-0005-0000-0000-0000BF670000}"/>
    <cellStyle name="Normal 2 3 2 23 5 3" xfId="26567" xr:uid="{00000000-0005-0000-0000-0000C0670000}"/>
    <cellStyle name="Normal 2 3 2 23 5 4" xfId="26568" xr:uid="{00000000-0005-0000-0000-0000C1670000}"/>
    <cellStyle name="Normal 2 3 2 23 5 5" xfId="26569" xr:uid="{00000000-0005-0000-0000-0000C2670000}"/>
    <cellStyle name="Normal 2 3 2 23 5 6" xfId="26570" xr:uid="{00000000-0005-0000-0000-0000C3670000}"/>
    <cellStyle name="Normal 2 3 2 23 5 7" xfId="26571" xr:uid="{00000000-0005-0000-0000-0000C4670000}"/>
    <cellStyle name="Normal 2 3 2 23 5 8" xfId="26572" xr:uid="{00000000-0005-0000-0000-0000C5670000}"/>
    <cellStyle name="Normal 2 3 2 23 5 9" xfId="26573" xr:uid="{00000000-0005-0000-0000-0000C6670000}"/>
    <cellStyle name="Normal 2 3 2 23 6" xfId="26574" xr:uid="{00000000-0005-0000-0000-0000C7670000}"/>
    <cellStyle name="Normal 2 3 2 23 7" xfId="26575" xr:uid="{00000000-0005-0000-0000-0000C8670000}"/>
    <cellStyle name="Normal 2 3 2 23 8" xfId="26576" xr:uid="{00000000-0005-0000-0000-0000C9670000}"/>
    <cellStyle name="Normal 2 3 2 23 9" xfId="26577" xr:uid="{00000000-0005-0000-0000-0000CA670000}"/>
    <cellStyle name="Normal 2 3 2 24" xfId="26578" xr:uid="{00000000-0005-0000-0000-0000CB670000}"/>
    <cellStyle name="Normal 2 3 2 24 10" xfId="26579" xr:uid="{00000000-0005-0000-0000-0000CC670000}"/>
    <cellStyle name="Normal 2 3 2 24 11" xfId="26580" xr:uid="{00000000-0005-0000-0000-0000CD670000}"/>
    <cellStyle name="Normal 2 3 2 24 12" xfId="26581" xr:uid="{00000000-0005-0000-0000-0000CE670000}"/>
    <cellStyle name="Normal 2 3 2 24 13" xfId="26582" xr:uid="{00000000-0005-0000-0000-0000CF670000}"/>
    <cellStyle name="Normal 2 3 2 24 14" xfId="26583" xr:uid="{00000000-0005-0000-0000-0000D0670000}"/>
    <cellStyle name="Normal 2 3 2 24 2" xfId="26584" xr:uid="{00000000-0005-0000-0000-0000D1670000}"/>
    <cellStyle name="Normal 2 3 2 24 2 10" xfId="26585" xr:uid="{00000000-0005-0000-0000-0000D2670000}"/>
    <cellStyle name="Normal 2 3 2 24 2 2" xfId="26586" xr:uid="{00000000-0005-0000-0000-0000D3670000}"/>
    <cellStyle name="Normal 2 3 2 24 2 3" xfId="26587" xr:uid="{00000000-0005-0000-0000-0000D4670000}"/>
    <cellStyle name="Normal 2 3 2 24 2 4" xfId="26588" xr:uid="{00000000-0005-0000-0000-0000D5670000}"/>
    <cellStyle name="Normal 2 3 2 24 2 5" xfId="26589" xr:uid="{00000000-0005-0000-0000-0000D6670000}"/>
    <cellStyle name="Normal 2 3 2 24 2 6" xfId="26590" xr:uid="{00000000-0005-0000-0000-0000D7670000}"/>
    <cellStyle name="Normal 2 3 2 24 2 7" xfId="26591" xr:uid="{00000000-0005-0000-0000-0000D8670000}"/>
    <cellStyle name="Normal 2 3 2 24 2 8" xfId="26592" xr:uid="{00000000-0005-0000-0000-0000D9670000}"/>
    <cellStyle name="Normal 2 3 2 24 2 9" xfId="26593" xr:uid="{00000000-0005-0000-0000-0000DA670000}"/>
    <cellStyle name="Normal 2 3 2 24 3" xfId="26594" xr:uid="{00000000-0005-0000-0000-0000DB670000}"/>
    <cellStyle name="Normal 2 3 2 24 3 10" xfId="26595" xr:uid="{00000000-0005-0000-0000-0000DC670000}"/>
    <cellStyle name="Normal 2 3 2 24 3 2" xfId="26596" xr:uid="{00000000-0005-0000-0000-0000DD670000}"/>
    <cellStyle name="Normal 2 3 2 24 3 3" xfId="26597" xr:uid="{00000000-0005-0000-0000-0000DE670000}"/>
    <cellStyle name="Normal 2 3 2 24 3 4" xfId="26598" xr:uid="{00000000-0005-0000-0000-0000DF670000}"/>
    <cellStyle name="Normal 2 3 2 24 3 5" xfId="26599" xr:uid="{00000000-0005-0000-0000-0000E0670000}"/>
    <cellStyle name="Normal 2 3 2 24 3 6" xfId="26600" xr:uid="{00000000-0005-0000-0000-0000E1670000}"/>
    <cellStyle name="Normal 2 3 2 24 3 7" xfId="26601" xr:uid="{00000000-0005-0000-0000-0000E2670000}"/>
    <cellStyle name="Normal 2 3 2 24 3 8" xfId="26602" xr:uid="{00000000-0005-0000-0000-0000E3670000}"/>
    <cellStyle name="Normal 2 3 2 24 3 9" xfId="26603" xr:uid="{00000000-0005-0000-0000-0000E4670000}"/>
    <cellStyle name="Normal 2 3 2 24 4" xfId="26604" xr:uid="{00000000-0005-0000-0000-0000E5670000}"/>
    <cellStyle name="Normal 2 3 2 24 4 10" xfId="26605" xr:uid="{00000000-0005-0000-0000-0000E6670000}"/>
    <cellStyle name="Normal 2 3 2 24 4 2" xfId="26606" xr:uid="{00000000-0005-0000-0000-0000E7670000}"/>
    <cellStyle name="Normal 2 3 2 24 4 3" xfId="26607" xr:uid="{00000000-0005-0000-0000-0000E8670000}"/>
    <cellStyle name="Normal 2 3 2 24 4 4" xfId="26608" xr:uid="{00000000-0005-0000-0000-0000E9670000}"/>
    <cellStyle name="Normal 2 3 2 24 4 5" xfId="26609" xr:uid="{00000000-0005-0000-0000-0000EA670000}"/>
    <cellStyle name="Normal 2 3 2 24 4 6" xfId="26610" xr:uid="{00000000-0005-0000-0000-0000EB670000}"/>
    <cellStyle name="Normal 2 3 2 24 4 7" xfId="26611" xr:uid="{00000000-0005-0000-0000-0000EC670000}"/>
    <cellStyle name="Normal 2 3 2 24 4 8" xfId="26612" xr:uid="{00000000-0005-0000-0000-0000ED670000}"/>
    <cellStyle name="Normal 2 3 2 24 4 9" xfId="26613" xr:uid="{00000000-0005-0000-0000-0000EE670000}"/>
    <cellStyle name="Normal 2 3 2 24 5" xfId="26614" xr:uid="{00000000-0005-0000-0000-0000EF670000}"/>
    <cellStyle name="Normal 2 3 2 24 5 10" xfId="26615" xr:uid="{00000000-0005-0000-0000-0000F0670000}"/>
    <cellStyle name="Normal 2 3 2 24 5 2" xfId="26616" xr:uid="{00000000-0005-0000-0000-0000F1670000}"/>
    <cellStyle name="Normal 2 3 2 24 5 3" xfId="26617" xr:uid="{00000000-0005-0000-0000-0000F2670000}"/>
    <cellStyle name="Normal 2 3 2 24 5 4" xfId="26618" xr:uid="{00000000-0005-0000-0000-0000F3670000}"/>
    <cellStyle name="Normal 2 3 2 24 5 5" xfId="26619" xr:uid="{00000000-0005-0000-0000-0000F4670000}"/>
    <cellStyle name="Normal 2 3 2 24 5 6" xfId="26620" xr:uid="{00000000-0005-0000-0000-0000F5670000}"/>
    <cellStyle name="Normal 2 3 2 24 5 7" xfId="26621" xr:uid="{00000000-0005-0000-0000-0000F6670000}"/>
    <cellStyle name="Normal 2 3 2 24 5 8" xfId="26622" xr:uid="{00000000-0005-0000-0000-0000F7670000}"/>
    <cellStyle name="Normal 2 3 2 24 5 9" xfId="26623" xr:uid="{00000000-0005-0000-0000-0000F8670000}"/>
    <cellStyle name="Normal 2 3 2 24 6" xfId="26624" xr:uid="{00000000-0005-0000-0000-0000F9670000}"/>
    <cellStyle name="Normal 2 3 2 24 7" xfId="26625" xr:uid="{00000000-0005-0000-0000-0000FA670000}"/>
    <cellStyle name="Normal 2 3 2 24 8" xfId="26626" xr:uid="{00000000-0005-0000-0000-0000FB670000}"/>
    <cellStyle name="Normal 2 3 2 24 9" xfId="26627" xr:uid="{00000000-0005-0000-0000-0000FC670000}"/>
    <cellStyle name="Normal 2 3 2 25" xfId="26628" xr:uid="{00000000-0005-0000-0000-0000FD670000}"/>
    <cellStyle name="Normal 2 3 2 25 10" xfId="26629" xr:uid="{00000000-0005-0000-0000-0000FE670000}"/>
    <cellStyle name="Normal 2 3 2 25 11" xfId="26630" xr:uid="{00000000-0005-0000-0000-0000FF670000}"/>
    <cellStyle name="Normal 2 3 2 25 12" xfId="26631" xr:uid="{00000000-0005-0000-0000-000000680000}"/>
    <cellStyle name="Normal 2 3 2 25 13" xfId="26632" xr:uid="{00000000-0005-0000-0000-000001680000}"/>
    <cellStyle name="Normal 2 3 2 25 14" xfId="26633" xr:uid="{00000000-0005-0000-0000-000002680000}"/>
    <cellStyle name="Normal 2 3 2 25 2" xfId="26634" xr:uid="{00000000-0005-0000-0000-000003680000}"/>
    <cellStyle name="Normal 2 3 2 25 2 10" xfId="26635" xr:uid="{00000000-0005-0000-0000-000004680000}"/>
    <cellStyle name="Normal 2 3 2 25 2 2" xfId="26636" xr:uid="{00000000-0005-0000-0000-000005680000}"/>
    <cellStyle name="Normal 2 3 2 25 2 3" xfId="26637" xr:uid="{00000000-0005-0000-0000-000006680000}"/>
    <cellStyle name="Normal 2 3 2 25 2 4" xfId="26638" xr:uid="{00000000-0005-0000-0000-000007680000}"/>
    <cellStyle name="Normal 2 3 2 25 2 5" xfId="26639" xr:uid="{00000000-0005-0000-0000-000008680000}"/>
    <cellStyle name="Normal 2 3 2 25 2 6" xfId="26640" xr:uid="{00000000-0005-0000-0000-000009680000}"/>
    <cellStyle name="Normal 2 3 2 25 2 7" xfId="26641" xr:uid="{00000000-0005-0000-0000-00000A680000}"/>
    <cellStyle name="Normal 2 3 2 25 2 8" xfId="26642" xr:uid="{00000000-0005-0000-0000-00000B680000}"/>
    <cellStyle name="Normal 2 3 2 25 2 9" xfId="26643" xr:uid="{00000000-0005-0000-0000-00000C680000}"/>
    <cellStyle name="Normal 2 3 2 25 3" xfId="26644" xr:uid="{00000000-0005-0000-0000-00000D680000}"/>
    <cellStyle name="Normal 2 3 2 25 3 10" xfId="26645" xr:uid="{00000000-0005-0000-0000-00000E680000}"/>
    <cellStyle name="Normal 2 3 2 25 3 2" xfId="26646" xr:uid="{00000000-0005-0000-0000-00000F680000}"/>
    <cellStyle name="Normal 2 3 2 25 3 3" xfId="26647" xr:uid="{00000000-0005-0000-0000-000010680000}"/>
    <cellStyle name="Normal 2 3 2 25 3 4" xfId="26648" xr:uid="{00000000-0005-0000-0000-000011680000}"/>
    <cellStyle name="Normal 2 3 2 25 3 5" xfId="26649" xr:uid="{00000000-0005-0000-0000-000012680000}"/>
    <cellStyle name="Normal 2 3 2 25 3 6" xfId="26650" xr:uid="{00000000-0005-0000-0000-000013680000}"/>
    <cellStyle name="Normal 2 3 2 25 3 7" xfId="26651" xr:uid="{00000000-0005-0000-0000-000014680000}"/>
    <cellStyle name="Normal 2 3 2 25 3 8" xfId="26652" xr:uid="{00000000-0005-0000-0000-000015680000}"/>
    <cellStyle name="Normal 2 3 2 25 3 9" xfId="26653" xr:uid="{00000000-0005-0000-0000-000016680000}"/>
    <cellStyle name="Normal 2 3 2 25 4" xfId="26654" xr:uid="{00000000-0005-0000-0000-000017680000}"/>
    <cellStyle name="Normal 2 3 2 25 4 10" xfId="26655" xr:uid="{00000000-0005-0000-0000-000018680000}"/>
    <cellStyle name="Normal 2 3 2 25 4 2" xfId="26656" xr:uid="{00000000-0005-0000-0000-000019680000}"/>
    <cellStyle name="Normal 2 3 2 25 4 3" xfId="26657" xr:uid="{00000000-0005-0000-0000-00001A680000}"/>
    <cellStyle name="Normal 2 3 2 25 4 4" xfId="26658" xr:uid="{00000000-0005-0000-0000-00001B680000}"/>
    <cellStyle name="Normal 2 3 2 25 4 5" xfId="26659" xr:uid="{00000000-0005-0000-0000-00001C680000}"/>
    <cellStyle name="Normal 2 3 2 25 4 6" xfId="26660" xr:uid="{00000000-0005-0000-0000-00001D680000}"/>
    <cellStyle name="Normal 2 3 2 25 4 7" xfId="26661" xr:uid="{00000000-0005-0000-0000-00001E680000}"/>
    <cellStyle name="Normal 2 3 2 25 4 8" xfId="26662" xr:uid="{00000000-0005-0000-0000-00001F680000}"/>
    <cellStyle name="Normal 2 3 2 25 4 9" xfId="26663" xr:uid="{00000000-0005-0000-0000-000020680000}"/>
    <cellStyle name="Normal 2 3 2 25 5" xfId="26664" xr:uid="{00000000-0005-0000-0000-000021680000}"/>
    <cellStyle name="Normal 2 3 2 25 5 10" xfId="26665" xr:uid="{00000000-0005-0000-0000-000022680000}"/>
    <cellStyle name="Normal 2 3 2 25 5 2" xfId="26666" xr:uid="{00000000-0005-0000-0000-000023680000}"/>
    <cellStyle name="Normal 2 3 2 25 5 3" xfId="26667" xr:uid="{00000000-0005-0000-0000-000024680000}"/>
    <cellStyle name="Normal 2 3 2 25 5 4" xfId="26668" xr:uid="{00000000-0005-0000-0000-000025680000}"/>
    <cellStyle name="Normal 2 3 2 25 5 5" xfId="26669" xr:uid="{00000000-0005-0000-0000-000026680000}"/>
    <cellStyle name="Normal 2 3 2 25 5 6" xfId="26670" xr:uid="{00000000-0005-0000-0000-000027680000}"/>
    <cellStyle name="Normal 2 3 2 25 5 7" xfId="26671" xr:uid="{00000000-0005-0000-0000-000028680000}"/>
    <cellStyle name="Normal 2 3 2 25 5 8" xfId="26672" xr:uid="{00000000-0005-0000-0000-000029680000}"/>
    <cellStyle name="Normal 2 3 2 25 5 9" xfId="26673" xr:uid="{00000000-0005-0000-0000-00002A680000}"/>
    <cellStyle name="Normal 2 3 2 25 6" xfId="26674" xr:uid="{00000000-0005-0000-0000-00002B680000}"/>
    <cellStyle name="Normal 2 3 2 25 7" xfId="26675" xr:uid="{00000000-0005-0000-0000-00002C680000}"/>
    <cellStyle name="Normal 2 3 2 25 8" xfId="26676" xr:uid="{00000000-0005-0000-0000-00002D680000}"/>
    <cellStyle name="Normal 2 3 2 25 9" xfId="26677" xr:uid="{00000000-0005-0000-0000-00002E680000}"/>
    <cellStyle name="Normal 2 3 2 26" xfId="26678" xr:uid="{00000000-0005-0000-0000-00002F680000}"/>
    <cellStyle name="Normal 2 3 2 26 10" xfId="26679" xr:uid="{00000000-0005-0000-0000-000030680000}"/>
    <cellStyle name="Normal 2 3 2 26 11" xfId="26680" xr:uid="{00000000-0005-0000-0000-000031680000}"/>
    <cellStyle name="Normal 2 3 2 26 12" xfId="26681" xr:uid="{00000000-0005-0000-0000-000032680000}"/>
    <cellStyle name="Normal 2 3 2 26 13" xfId="26682" xr:uid="{00000000-0005-0000-0000-000033680000}"/>
    <cellStyle name="Normal 2 3 2 26 14" xfId="26683" xr:uid="{00000000-0005-0000-0000-000034680000}"/>
    <cellStyle name="Normal 2 3 2 26 2" xfId="26684" xr:uid="{00000000-0005-0000-0000-000035680000}"/>
    <cellStyle name="Normal 2 3 2 26 2 10" xfId="26685" xr:uid="{00000000-0005-0000-0000-000036680000}"/>
    <cellStyle name="Normal 2 3 2 26 2 2" xfId="26686" xr:uid="{00000000-0005-0000-0000-000037680000}"/>
    <cellStyle name="Normal 2 3 2 26 2 3" xfId="26687" xr:uid="{00000000-0005-0000-0000-000038680000}"/>
    <cellStyle name="Normal 2 3 2 26 2 4" xfId="26688" xr:uid="{00000000-0005-0000-0000-000039680000}"/>
    <cellStyle name="Normal 2 3 2 26 2 5" xfId="26689" xr:uid="{00000000-0005-0000-0000-00003A680000}"/>
    <cellStyle name="Normal 2 3 2 26 2 6" xfId="26690" xr:uid="{00000000-0005-0000-0000-00003B680000}"/>
    <cellStyle name="Normal 2 3 2 26 2 7" xfId="26691" xr:uid="{00000000-0005-0000-0000-00003C680000}"/>
    <cellStyle name="Normal 2 3 2 26 2 8" xfId="26692" xr:uid="{00000000-0005-0000-0000-00003D680000}"/>
    <cellStyle name="Normal 2 3 2 26 2 9" xfId="26693" xr:uid="{00000000-0005-0000-0000-00003E680000}"/>
    <cellStyle name="Normal 2 3 2 26 3" xfId="26694" xr:uid="{00000000-0005-0000-0000-00003F680000}"/>
    <cellStyle name="Normal 2 3 2 26 3 10" xfId="26695" xr:uid="{00000000-0005-0000-0000-000040680000}"/>
    <cellStyle name="Normal 2 3 2 26 3 2" xfId="26696" xr:uid="{00000000-0005-0000-0000-000041680000}"/>
    <cellStyle name="Normal 2 3 2 26 3 3" xfId="26697" xr:uid="{00000000-0005-0000-0000-000042680000}"/>
    <cellStyle name="Normal 2 3 2 26 3 4" xfId="26698" xr:uid="{00000000-0005-0000-0000-000043680000}"/>
    <cellStyle name="Normal 2 3 2 26 3 5" xfId="26699" xr:uid="{00000000-0005-0000-0000-000044680000}"/>
    <cellStyle name="Normal 2 3 2 26 3 6" xfId="26700" xr:uid="{00000000-0005-0000-0000-000045680000}"/>
    <cellStyle name="Normal 2 3 2 26 3 7" xfId="26701" xr:uid="{00000000-0005-0000-0000-000046680000}"/>
    <cellStyle name="Normal 2 3 2 26 3 8" xfId="26702" xr:uid="{00000000-0005-0000-0000-000047680000}"/>
    <cellStyle name="Normal 2 3 2 26 3 9" xfId="26703" xr:uid="{00000000-0005-0000-0000-000048680000}"/>
    <cellStyle name="Normal 2 3 2 26 4" xfId="26704" xr:uid="{00000000-0005-0000-0000-000049680000}"/>
    <cellStyle name="Normal 2 3 2 26 4 10" xfId="26705" xr:uid="{00000000-0005-0000-0000-00004A680000}"/>
    <cellStyle name="Normal 2 3 2 26 4 2" xfId="26706" xr:uid="{00000000-0005-0000-0000-00004B680000}"/>
    <cellStyle name="Normal 2 3 2 26 4 3" xfId="26707" xr:uid="{00000000-0005-0000-0000-00004C680000}"/>
    <cellStyle name="Normal 2 3 2 26 4 4" xfId="26708" xr:uid="{00000000-0005-0000-0000-00004D680000}"/>
    <cellStyle name="Normal 2 3 2 26 4 5" xfId="26709" xr:uid="{00000000-0005-0000-0000-00004E680000}"/>
    <cellStyle name="Normal 2 3 2 26 4 6" xfId="26710" xr:uid="{00000000-0005-0000-0000-00004F680000}"/>
    <cellStyle name="Normal 2 3 2 26 4 7" xfId="26711" xr:uid="{00000000-0005-0000-0000-000050680000}"/>
    <cellStyle name="Normal 2 3 2 26 4 8" xfId="26712" xr:uid="{00000000-0005-0000-0000-000051680000}"/>
    <cellStyle name="Normal 2 3 2 26 4 9" xfId="26713" xr:uid="{00000000-0005-0000-0000-000052680000}"/>
    <cellStyle name="Normal 2 3 2 26 5" xfId="26714" xr:uid="{00000000-0005-0000-0000-000053680000}"/>
    <cellStyle name="Normal 2 3 2 26 5 10" xfId="26715" xr:uid="{00000000-0005-0000-0000-000054680000}"/>
    <cellStyle name="Normal 2 3 2 26 5 2" xfId="26716" xr:uid="{00000000-0005-0000-0000-000055680000}"/>
    <cellStyle name="Normal 2 3 2 26 5 3" xfId="26717" xr:uid="{00000000-0005-0000-0000-000056680000}"/>
    <cellStyle name="Normal 2 3 2 26 5 4" xfId="26718" xr:uid="{00000000-0005-0000-0000-000057680000}"/>
    <cellStyle name="Normal 2 3 2 26 5 5" xfId="26719" xr:uid="{00000000-0005-0000-0000-000058680000}"/>
    <cellStyle name="Normal 2 3 2 26 5 6" xfId="26720" xr:uid="{00000000-0005-0000-0000-000059680000}"/>
    <cellStyle name="Normal 2 3 2 26 5 7" xfId="26721" xr:uid="{00000000-0005-0000-0000-00005A680000}"/>
    <cellStyle name="Normal 2 3 2 26 5 8" xfId="26722" xr:uid="{00000000-0005-0000-0000-00005B680000}"/>
    <cellStyle name="Normal 2 3 2 26 5 9" xfId="26723" xr:uid="{00000000-0005-0000-0000-00005C680000}"/>
    <cellStyle name="Normal 2 3 2 26 6" xfId="26724" xr:uid="{00000000-0005-0000-0000-00005D680000}"/>
    <cellStyle name="Normal 2 3 2 26 7" xfId="26725" xr:uid="{00000000-0005-0000-0000-00005E680000}"/>
    <cellStyle name="Normal 2 3 2 26 8" xfId="26726" xr:uid="{00000000-0005-0000-0000-00005F680000}"/>
    <cellStyle name="Normal 2 3 2 26 9" xfId="26727" xr:uid="{00000000-0005-0000-0000-000060680000}"/>
    <cellStyle name="Normal 2 3 2 27" xfId="26728" xr:uid="{00000000-0005-0000-0000-000061680000}"/>
    <cellStyle name="Normal 2 3 2 27 10" xfId="26729" xr:uid="{00000000-0005-0000-0000-000062680000}"/>
    <cellStyle name="Normal 2 3 2 27 11" xfId="26730" xr:uid="{00000000-0005-0000-0000-000063680000}"/>
    <cellStyle name="Normal 2 3 2 27 12" xfId="26731" xr:uid="{00000000-0005-0000-0000-000064680000}"/>
    <cellStyle name="Normal 2 3 2 27 13" xfId="26732" xr:uid="{00000000-0005-0000-0000-000065680000}"/>
    <cellStyle name="Normal 2 3 2 27 14" xfId="26733" xr:uid="{00000000-0005-0000-0000-000066680000}"/>
    <cellStyle name="Normal 2 3 2 27 2" xfId="26734" xr:uid="{00000000-0005-0000-0000-000067680000}"/>
    <cellStyle name="Normal 2 3 2 27 2 10" xfId="26735" xr:uid="{00000000-0005-0000-0000-000068680000}"/>
    <cellStyle name="Normal 2 3 2 27 2 2" xfId="26736" xr:uid="{00000000-0005-0000-0000-000069680000}"/>
    <cellStyle name="Normal 2 3 2 27 2 3" xfId="26737" xr:uid="{00000000-0005-0000-0000-00006A680000}"/>
    <cellStyle name="Normal 2 3 2 27 2 4" xfId="26738" xr:uid="{00000000-0005-0000-0000-00006B680000}"/>
    <cellStyle name="Normal 2 3 2 27 2 5" xfId="26739" xr:uid="{00000000-0005-0000-0000-00006C680000}"/>
    <cellStyle name="Normal 2 3 2 27 2 6" xfId="26740" xr:uid="{00000000-0005-0000-0000-00006D680000}"/>
    <cellStyle name="Normal 2 3 2 27 2 7" xfId="26741" xr:uid="{00000000-0005-0000-0000-00006E680000}"/>
    <cellStyle name="Normal 2 3 2 27 2 8" xfId="26742" xr:uid="{00000000-0005-0000-0000-00006F680000}"/>
    <cellStyle name="Normal 2 3 2 27 2 9" xfId="26743" xr:uid="{00000000-0005-0000-0000-000070680000}"/>
    <cellStyle name="Normal 2 3 2 27 3" xfId="26744" xr:uid="{00000000-0005-0000-0000-000071680000}"/>
    <cellStyle name="Normal 2 3 2 27 3 10" xfId="26745" xr:uid="{00000000-0005-0000-0000-000072680000}"/>
    <cellStyle name="Normal 2 3 2 27 3 2" xfId="26746" xr:uid="{00000000-0005-0000-0000-000073680000}"/>
    <cellStyle name="Normal 2 3 2 27 3 3" xfId="26747" xr:uid="{00000000-0005-0000-0000-000074680000}"/>
    <cellStyle name="Normal 2 3 2 27 3 4" xfId="26748" xr:uid="{00000000-0005-0000-0000-000075680000}"/>
    <cellStyle name="Normal 2 3 2 27 3 5" xfId="26749" xr:uid="{00000000-0005-0000-0000-000076680000}"/>
    <cellStyle name="Normal 2 3 2 27 3 6" xfId="26750" xr:uid="{00000000-0005-0000-0000-000077680000}"/>
    <cellStyle name="Normal 2 3 2 27 3 7" xfId="26751" xr:uid="{00000000-0005-0000-0000-000078680000}"/>
    <cellStyle name="Normal 2 3 2 27 3 8" xfId="26752" xr:uid="{00000000-0005-0000-0000-000079680000}"/>
    <cellStyle name="Normal 2 3 2 27 3 9" xfId="26753" xr:uid="{00000000-0005-0000-0000-00007A680000}"/>
    <cellStyle name="Normal 2 3 2 27 4" xfId="26754" xr:uid="{00000000-0005-0000-0000-00007B680000}"/>
    <cellStyle name="Normal 2 3 2 27 4 10" xfId="26755" xr:uid="{00000000-0005-0000-0000-00007C680000}"/>
    <cellStyle name="Normal 2 3 2 27 4 2" xfId="26756" xr:uid="{00000000-0005-0000-0000-00007D680000}"/>
    <cellStyle name="Normal 2 3 2 27 4 3" xfId="26757" xr:uid="{00000000-0005-0000-0000-00007E680000}"/>
    <cellStyle name="Normal 2 3 2 27 4 4" xfId="26758" xr:uid="{00000000-0005-0000-0000-00007F680000}"/>
    <cellStyle name="Normal 2 3 2 27 4 5" xfId="26759" xr:uid="{00000000-0005-0000-0000-000080680000}"/>
    <cellStyle name="Normal 2 3 2 27 4 6" xfId="26760" xr:uid="{00000000-0005-0000-0000-000081680000}"/>
    <cellStyle name="Normal 2 3 2 27 4 7" xfId="26761" xr:uid="{00000000-0005-0000-0000-000082680000}"/>
    <cellStyle name="Normal 2 3 2 27 4 8" xfId="26762" xr:uid="{00000000-0005-0000-0000-000083680000}"/>
    <cellStyle name="Normal 2 3 2 27 4 9" xfId="26763" xr:uid="{00000000-0005-0000-0000-000084680000}"/>
    <cellStyle name="Normal 2 3 2 27 5" xfId="26764" xr:uid="{00000000-0005-0000-0000-000085680000}"/>
    <cellStyle name="Normal 2 3 2 27 5 10" xfId="26765" xr:uid="{00000000-0005-0000-0000-000086680000}"/>
    <cellStyle name="Normal 2 3 2 27 5 2" xfId="26766" xr:uid="{00000000-0005-0000-0000-000087680000}"/>
    <cellStyle name="Normal 2 3 2 27 5 3" xfId="26767" xr:uid="{00000000-0005-0000-0000-000088680000}"/>
    <cellStyle name="Normal 2 3 2 27 5 4" xfId="26768" xr:uid="{00000000-0005-0000-0000-000089680000}"/>
    <cellStyle name="Normal 2 3 2 27 5 5" xfId="26769" xr:uid="{00000000-0005-0000-0000-00008A680000}"/>
    <cellStyle name="Normal 2 3 2 27 5 6" xfId="26770" xr:uid="{00000000-0005-0000-0000-00008B680000}"/>
    <cellStyle name="Normal 2 3 2 27 5 7" xfId="26771" xr:uid="{00000000-0005-0000-0000-00008C680000}"/>
    <cellStyle name="Normal 2 3 2 27 5 8" xfId="26772" xr:uid="{00000000-0005-0000-0000-00008D680000}"/>
    <cellStyle name="Normal 2 3 2 27 5 9" xfId="26773" xr:uid="{00000000-0005-0000-0000-00008E680000}"/>
    <cellStyle name="Normal 2 3 2 27 6" xfId="26774" xr:uid="{00000000-0005-0000-0000-00008F680000}"/>
    <cellStyle name="Normal 2 3 2 27 7" xfId="26775" xr:uid="{00000000-0005-0000-0000-000090680000}"/>
    <cellStyle name="Normal 2 3 2 27 8" xfId="26776" xr:uid="{00000000-0005-0000-0000-000091680000}"/>
    <cellStyle name="Normal 2 3 2 27 9" xfId="26777" xr:uid="{00000000-0005-0000-0000-000092680000}"/>
    <cellStyle name="Normal 2 3 2 28" xfId="26778" xr:uid="{00000000-0005-0000-0000-000093680000}"/>
    <cellStyle name="Normal 2 3 2 28 10" xfId="26779" xr:uid="{00000000-0005-0000-0000-000094680000}"/>
    <cellStyle name="Normal 2 3 2 28 11" xfId="26780" xr:uid="{00000000-0005-0000-0000-000095680000}"/>
    <cellStyle name="Normal 2 3 2 28 12" xfId="26781" xr:uid="{00000000-0005-0000-0000-000096680000}"/>
    <cellStyle name="Normal 2 3 2 28 13" xfId="26782" xr:uid="{00000000-0005-0000-0000-000097680000}"/>
    <cellStyle name="Normal 2 3 2 28 14" xfId="26783" xr:uid="{00000000-0005-0000-0000-000098680000}"/>
    <cellStyle name="Normal 2 3 2 28 2" xfId="26784" xr:uid="{00000000-0005-0000-0000-000099680000}"/>
    <cellStyle name="Normal 2 3 2 28 2 10" xfId="26785" xr:uid="{00000000-0005-0000-0000-00009A680000}"/>
    <cellStyle name="Normal 2 3 2 28 2 2" xfId="26786" xr:uid="{00000000-0005-0000-0000-00009B680000}"/>
    <cellStyle name="Normal 2 3 2 28 2 3" xfId="26787" xr:uid="{00000000-0005-0000-0000-00009C680000}"/>
    <cellStyle name="Normal 2 3 2 28 2 4" xfId="26788" xr:uid="{00000000-0005-0000-0000-00009D680000}"/>
    <cellStyle name="Normal 2 3 2 28 2 5" xfId="26789" xr:uid="{00000000-0005-0000-0000-00009E680000}"/>
    <cellStyle name="Normal 2 3 2 28 2 6" xfId="26790" xr:uid="{00000000-0005-0000-0000-00009F680000}"/>
    <cellStyle name="Normal 2 3 2 28 2 7" xfId="26791" xr:uid="{00000000-0005-0000-0000-0000A0680000}"/>
    <cellStyle name="Normal 2 3 2 28 2 8" xfId="26792" xr:uid="{00000000-0005-0000-0000-0000A1680000}"/>
    <cellStyle name="Normal 2 3 2 28 2 9" xfId="26793" xr:uid="{00000000-0005-0000-0000-0000A2680000}"/>
    <cellStyle name="Normal 2 3 2 28 3" xfId="26794" xr:uid="{00000000-0005-0000-0000-0000A3680000}"/>
    <cellStyle name="Normal 2 3 2 28 3 10" xfId="26795" xr:uid="{00000000-0005-0000-0000-0000A4680000}"/>
    <cellStyle name="Normal 2 3 2 28 3 2" xfId="26796" xr:uid="{00000000-0005-0000-0000-0000A5680000}"/>
    <cellStyle name="Normal 2 3 2 28 3 3" xfId="26797" xr:uid="{00000000-0005-0000-0000-0000A6680000}"/>
    <cellStyle name="Normal 2 3 2 28 3 4" xfId="26798" xr:uid="{00000000-0005-0000-0000-0000A7680000}"/>
    <cellStyle name="Normal 2 3 2 28 3 5" xfId="26799" xr:uid="{00000000-0005-0000-0000-0000A8680000}"/>
    <cellStyle name="Normal 2 3 2 28 3 6" xfId="26800" xr:uid="{00000000-0005-0000-0000-0000A9680000}"/>
    <cellStyle name="Normal 2 3 2 28 3 7" xfId="26801" xr:uid="{00000000-0005-0000-0000-0000AA680000}"/>
    <cellStyle name="Normal 2 3 2 28 3 8" xfId="26802" xr:uid="{00000000-0005-0000-0000-0000AB680000}"/>
    <cellStyle name="Normal 2 3 2 28 3 9" xfId="26803" xr:uid="{00000000-0005-0000-0000-0000AC680000}"/>
    <cellStyle name="Normal 2 3 2 28 4" xfId="26804" xr:uid="{00000000-0005-0000-0000-0000AD680000}"/>
    <cellStyle name="Normal 2 3 2 28 4 10" xfId="26805" xr:uid="{00000000-0005-0000-0000-0000AE680000}"/>
    <cellStyle name="Normal 2 3 2 28 4 2" xfId="26806" xr:uid="{00000000-0005-0000-0000-0000AF680000}"/>
    <cellStyle name="Normal 2 3 2 28 4 3" xfId="26807" xr:uid="{00000000-0005-0000-0000-0000B0680000}"/>
    <cellStyle name="Normal 2 3 2 28 4 4" xfId="26808" xr:uid="{00000000-0005-0000-0000-0000B1680000}"/>
    <cellStyle name="Normal 2 3 2 28 4 5" xfId="26809" xr:uid="{00000000-0005-0000-0000-0000B2680000}"/>
    <cellStyle name="Normal 2 3 2 28 4 6" xfId="26810" xr:uid="{00000000-0005-0000-0000-0000B3680000}"/>
    <cellStyle name="Normal 2 3 2 28 4 7" xfId="26811" xr:uid="{00000000-0005-0000-0000-0000B4680000}"/>
    <cellStyle name="Normal 2 3 2 28 4 8" xfId="26812" xr:uid="{00000000-0005-0000-0000-0000B5680000}"/>
    <cellStyle name="Normal 2 3 2 28 4 9" xfId="26813" xr:uid="{00000000-0005-0000-0000-0000B6680000}"/>
    <cellStyle name="Normal 2 3 2 28 5" xfId="26814" xr:uid="{00000000-0005-0000-0000-0000B7680000}"/>
    <cellStyle name="Normal 2 3 2 28 5 10" xfId="26815" xr:uid="{00000000-0005-0000-0000-0000B8680000}"/>
    <cellStyle name="Normal 2 3 2 28 5 2" xfId="26816" xr:uid="{00000000-0005-0000-0000-0000B9680000}"/>
    <cellStyle name="Normal 2 3 2 28 5 3" xfId="26817" xr:uid="{00000000-0005-0000-0000-0000BA680000}"/>
    <cellStyle name="Normal 2 3 2 28 5 4" xfId="26818" xr:uid="{00000000-0005-0000-0000-0000BB680000}"/>
    <cellStyle name="Normal 2 3 2 28 5 5" xfId="26819" xr:uid="{00000000-0005-0000-0000-0000BC680000}"/>
    <cellStyle name="Normal 2 3 2 28 5 6" xfId="26820" xr:uid="{00000000-0005-0000-0000-0000BD680000}"/>
    <cellStyle name="Normal 2 3 2 28 5 7" xfId="26821" xr:uid="{00000000-0005-0000-0000-0000BE680000}"/>
    <cellStyle name="Normal 2 3 2 28 5 8" xfId="26822" xr:uid="{00000000-0005-0000-0000-0000BF680000}"/>
    <cellStyle name="Normal 2 3 2 28 5 9" xfId="26823" xr:uid="{00000000-0005-0000-0000-0000C0680000}"/>
    <cellStyle name="Normal 2 3 2 28 6" xfId="26824" xr:uid="{00000000-0005-0000-0000-0000C1680000}"/>
    <cellStyle name="Normal 2 3 2 28 7" xfId="26825" xr:uid="{00000000-0005-0000-0000-0000C2680000}"/>
    <cellStyle name="Normal 2 3 2 28 8" xfId="26826" xr:uid="{00000000-0005-0000-0000-0000C3680000}"/>
    <cellStyle name="Normal 2 3 2 28 9" xfId="26827" xr:uid="{00000000-0005-0000-0000-0000C4680000}"/>
    <cellStyle name="Normal 2 3 2 29" xfId="26828" xr:uid="{00000000-0005-0000-0000-0000C5680000}"/>
    <cellStyle name="Normal 2 3 2 29 10" xfId="26829" xr:uid="{00000000-0005-0000-0000-0000C6680000}"/>
    <cellStyle name="Normal 2 3 2 29 11" xfId="26830" xr:uid="{00000000-0005-0000-0000-0000C7680000}"/>
    <cellStyle name="Normal 2 3 2 29 12" xfId="26831" xr:uid="{00000000-0005-0000-0000-0000C8680000}"/>
    <cellStyle name="Normal 2 3 2 29 13" xfId="26832" xr:uid="{00000000-0005-0000-0000-0000C9680000}"/>
    <cellStyle name="Normal 2 3 2 29 14" xfId="26833" xr:uid="{00000000-0005-0000-0000-0000CA680000}"/>
    <cellStyle name="Normal 2 3 2 29 2" xfId="26834" xr:uid="{00000000-0005-0000-0000-0000CB680000}"/>
    <cellStyle name="Normal 2 3 2 29 2 10" xfId="26835" xr:uid="{00000000-0005-0000-0000-0000CC680000}"/>
    <cellStyle name="Normal 2 3 2 29 2 2" xfId="26836" xr:uid="{00000000-0005-0000-0000-0000CD680000}"/>
    <cellStyle name="Normal 2 3 2 29 2 3" xfId="26837" xr:uid="{00000000-0005-0000-0000-0000CE680000}"/>
    <cellStyle name="Normal 2 3 2 29 2 4" xfId="26838" xr:uid="{00000000-0005-0000-0000-0000CF680000}"/>
    <cellStyle name="Normal 2 3 2 29 2 5" xfId="26839" xr:uid="{00000000-0005-0000-0000-0000D0680000}"/>
    <cellStyle name="Normal 2 3 2 29 2 6" xfId="26840" xr:uid="{00000000-0005-0000-0000-0000D1680000}"/>
    <cellStyle name="Normal 2 3 2 29 2 7" xfId="26841" xr:uid="{00000000-0005-0000-0000-0000D2680000}"/>
    <cellStyle name="Normal 2 3 2 29 2 8" xfId="26842" xr:uid="{00000000-0005-0000-0000-0000D3680000}"/>
    <cellStyle name="Normal 2 3 2 29 2 9" xfId="26843" xr:uid="{00000000-0005-0000-0000-0000D4680000}"/>
    <cellStyle name="Normal 2 3 2 29 3" xfId="26844" xr:uid="{00000000-0005-0000-0000-0000D5680000}"/>
    <cellStyle name="Normal 2 3 2 29 3 10" xfId="26845" xr:uid="{00000000-0005-0000-0000-0000D6680000}"/>
    <cellStyle name="Normal 2 3 2 29 3 2" xfId="26846" xr:uid="{00000000-0005-0000-0000-0000D7680000}"/>
    <cellStyle name="Normal 2 3 2 29 3 3" xfId="26847" xr:uid="{00000000-0005-0000-0000-0000D8680000}"/>
    <cellStyle name="Normal 2 3 2 29 3 4" xfId="26848" xr:uid="{00000000-0005-0000-0000-0000D9680000}"/>
    <cellStyle name="Normal 2 3 2 29 3 5" xfId="26849" xr:uid="{00000000-0005-0000-0000-0000DA680000}"/>
    <cellStyle name="Normal 2 3 2 29 3 6" xfId="26850" xr:uid="{00000000-0005-0000-0000-0000DB680000}"/>
    <cellStyle name="Normal 2 3 2 29 3 7" xfId="26851" xr:uid="{00000000-0005-0000-0000-0000DC680000}"/>
    <cellStyle name="Normal 2 3 2 29 3 8" xfId="26852" xr:uid="{00000000-0005-0000-0000-0000DD680000}"/>
    <cellStyle name="Normal 2 3 2 29 3 9" xfId="26853" xr:uid="{00000000-0005-0000-0000-0000DE680000}"/>
    <cellStyle name="Normal 2 3 2 29 4" xfId="26854" xr:uid="{00000000-0005-0000-0000-0000DF680000}"/>
    <cellStyle name="Normal 2 3 2 29 4 10" xfId="26855" xr:uid="{00000000-0005-0000-0000-0000E0680000}"/>
    <cellStyle name="Normal 2 3 2 29 4 2" xfId="26856" xr:uid="{00000000-0005-0000-0000-0000E1680000}"/>
    <cellStyle name="Normal 2 3 2 29 4 3" xfId="26857" xr:uid="{00000000-0005-0000-0000-0000E2680000}"/>
    <cellStyle name="Normal 2 3 2 29 4 4" xfId="26858" xr:uid="{00000000-0005-0000-0000-0000E3680000}"/>
    <cellStyle name="Normal 2 3 2 29 4 5" xfId="26859" xr:uid="{00000000-0005-0000-0000-0000E4680000}"/>
    <cellStyle name="Normal 2 3 2 29 4 6" xfId="26860" xr:uid="{00000000-0005-0000-0000-0000E5680000}"/>
    <cellStyle name="Normal 2 3 2 29 4 7" xfId="26861" xr:uid="{00000000-0005-0000-0000-0000E6680000}"/>
    <cellStyle name="Normal 2 3 2 29 4 8" xfId="26862" xr:uid="{00000000-0005-0000-0000-0000E7680000}"/>
    <cellStyle name="Normal 2 3 2 29 4 9" xfId="26863" xr:uid="{00000000-0005-0000-0000-0000E8680000}"/>
    <cellStyle name="Normal 2 3 2 29 5" xfId="26864" xr:uid="{00000000-0005-0000-0000-0000E9680000}"/>
    <cellStyle name="Normal 2 3 2 29 5 10" xfId="26865" xr:uid="{00000000-0005-0000-0000-0000EA680000}"/>
    <cellStyle name="Normal 2 3 2 29 5 2" xfId="26866" xr:uid="{00000000-0005-0000-0000-0000EB680000}"/>
    <cellStyle name="Normal 2 3 2 29 5 3" xfId="26867" xr:uid="{00000000-0005-0000-0000-0000EC680000}"/>
    <cellStyle name="Normal 2 3 2 29 5 4" xfId="26868" xr:uid="{00000000-0005-0000-0000-0000ED680000}"/>
    <cellStyle name="Normal 2 3 2 29 5 5" xfId="26869" xr:uid="{00000000-0005-0000-0000-0000EE680000}"/>
    <cellStyle name="Normal 2 3 2 29 5 6" xfId="26870" xr:uid="{00000000-0005-0000-0000-0000EF680000}"/>
    <cellStyle name="Normal 2 3 2 29 5 7" xfId="26871" xr:uid="{00000000-0005-0000-0000-0000F0680000}"/>
    <cellStyle name="Normal 2 3 2 29 5 8" xfId="26872" xr:uid="{00000000-0005-0000-0000-0000F1680000}"/>
    <cellStyle name="Normal 2 3 2 29 5 9" xfId="26873" xr:uid="{00000000-0005-0000-0000-0000F2680000}"/>
    <cellStyle name="Normal 2 3 2 29 6" xfId="26874" xr:uid="{00000000-0005-0000-0000-0000F3680000}"/>
    <cellStyle name="Normal 2 3 2 29 7" xfId="26875" xr:uid="{00000000-0005-0000-0000-0000F4680000}"/>
    <cellStyle name="Normal 2 3 2 29 8" xfId="26876" xr:uid="{00000000-0005-0000-0000-0000F5680000}"/>
    <cellStyle name="Normal 2 3 2 29 9" xfId="26877" xr:uid="{00000000-0005-0000-0000-0000F6680000}"/>
    <cellStyle name="Normal 2 3 2 3" xfId="26878" xr:uid="{00000000-0005-0000-0000-0000F7680000}"/>
    <cellStyle name="Normal 2 3 2 3 10" xfId="26879" xr:uid="{00000000-0005-0000-0000-0000F8680000}"/>
    <cellStyle name="Normal 2 3 2 3 11" xfId="26880" xr:uid="{00000000-0005-0000-0000-0000F9680000}"/>
    <cellStyle name="Normal 2 3 2 3 12" xfId="26881" xr:uid="{00000000-0005-0000-0000-0000FA680000}"/>
    <cellStyle name="Normal 2 3 2 3 13" xfId="26882" xr:uid="{00000000-0005-0000-0000-0000FB680000}"/>
    <cellStyle name="Normal 2 3 2 3 14" xfId="26883" xr:uid="{00000000-0005-0000-0000-0000FC680000}"/>
    <cellStyle name="Normal 2 3 2 3 15" xfId="26884" xr:uid="{00000000-0005-0000-0000-0000FD680000}"/>
    <cellStyle name="Normal 2 3 2 3 16" xfId="26885" xr:uid="{00000000-0005-0000-0000-0000FE680000}"/>
    <cellStyle name="Normal 2 3 2 3 2" xfId="26886" xr:uid="{00000000-0005-0000-0000-0000FF680000}"/>
    <cellStyle name="Normal 2 3 2 3 2 10" xfId="26887" xr:uid="{00000000-0005-0000-0000-000000690000}"/>
    <cellStyle name="Normal 2 3 2 3 2 2" xfId="26888" xr:uid="{00000000-0005-0000-0000-000001690000}"/>
    <cellStyle name="Normal 2 3 2 3 2 3" xfId="26889" xr:uid="{00000000-0005-0000-0000-000002690000}"/>
    <cellStyle name="Normal 2 3 2 3 2 4" xfId="26890" xr:uid="{00000000-0005-0000-0000-000003690000}"/>
    <cellStyle name="Normal 2 3 2 3 2 5" xfId="26891" xr:uid="{00000000-0005-0000-0000-000004690000}"/>
    <cellStyle name="Normal 2 3 2 3 2 6" xfId="26892" xr:uid="{00000000-0005-0000-0000-000005690000}"/>
    <cellStyle name="Normal 2 3 2 3 2 7" xfId="26893" xr:uid="{00000000-0005-0000-0000-000006690000}"/>
    <cellStyle name="Normal 2 3 2 3 2 8" xfId="26894" xr:uid="{00000000-0005-0000-0000-000007690000}"/>
    <cellStyle name="Normal 2 3 2 3 2 9" xfId="26895" xr:uid="{00000000-0005-0000-0000-000008690000}"/>
    <cellStyle name="Normal 2 3 2 3 3" xfId="26896" xr:uid="{00000000-0005-0000-0000-000009690000}"/>
    <cellStyle name="Normal 2 3 2 3 3 10" xfId="26897" xr:uid="{00000000-0005-0000-0000-00000A690000}"/>
    <cellStyle name="Normal 2 3 2 3 3 2" xfId="26898" xr:uid="{00000000-0005-0000-0000-00000B690000}"/>
    <cellStyle name="Normal 2 3 2 3 3 3" xfId="26899" xr:uid="{00000000-0005-0000-0000-00000C690000}"/>
    <cellStyle name="Normal 2 3 2 3 3 4" xfId="26900" xr:uid="{00000000-0005-0000-0000-00000D690000}"/>
    <cellStyle name="Normal 2 3 2 3 3 5" xfId="26901" xr:uid="{00000000-0005-0000-0000-00000E690000}"/>
    <cellStyle name="Normal 2 3 2 3 3 6" xfId="26902" xr:uid="{00000000-0005-0000-0000-00000F690000}"/>
    <cellStyle name="Normal 2 3 2 3 3 7" xfId="26903" xr:uid="{00000000-0005-0000-0000-000010690000}"/>
    <cellStyle name="Normal 2 3 2 3 3 8" xfId="26904" xr:uid="{00000000-0005-0000-0000-000011690000}"/>
    <cellStyle name="Normal 2 3 2 3 3 9" xfId="26905" xr:uid="{00000000-0005-0000-0000-000012690000}"/>
    <cellStyle name="Normal 2 3 2 3 4" xfId="26906" xr:uid="{00000000-0005-0000-0000-000013690000}"/>
    <cellStyle name="Normal 2 3 2 3 4 10" xfId="26907" xr:uid="{00000000-0005-0000-0000-000014690000}"/>
    <cellStyle name="Normal 2 3 2 3 4 2" xfId="26908" xr:uid="{00000000-0005-0000-0000-000015690000}"/>
    <cellStyle name="Normal 2 3 2 3 4 3" xfId="26909" xr:uid="{00000000-0005-0000-0000-000016690000}"/>
    <cellStyle name="Normal 2 3 2 3 4 4" xfId="26910" xr:uid="{00000000-0005-0000-0000-000017690000}"/>
    <cellStyle name="Normal 2 3 2 3 4 5" xfId="26911" xr:uid="{00000000-0005-0000-0000-000018690000}"/>
    <cellStyle name="Normal 2 3 2 3 4 6" xfId="26912" xr:uid="{00000000-0005-0000-0000-000019690000}"/>
    <cellStyle name="Normal 2 3 2 3 4 7" xfId="26913" xr:uid="{00000000-0005-0000-0000-00001A690000}"/>
    <cellStyle name="Normal 2 3 2 3 4 8" xfId="26914" xr:uid="{00000000-0005-0000-0000-00001B690000}"/>
    <cellStyle name="Normal 2 3 2 3 4 9" xfId="26915" xr:uid="{00000000-0005-0000-0000-00001C690000}"/>
    <cellStyle name="Normal 2 3 2 3 5" xfId="26916" xr:uid="{00000000-0005-0000-0000-00001D690000}"/>
    <cellStyle name="Normal 2 3 2 3 5 10" xfId="26917" xr:uid="{00000000-0005-0000-0000-00001E690000}"/>
    <cellStyle name="Normal 2 3 2 3 5 2" xfId="26918" xr:uid="{00000000-0005-0000-0000-00001F690000}"/>
    <cellStyle name="Normal 2 3 2 3 5 3" xfId="26919" xr:uid="{00000000-0005-0000-0000-000020690000}"/>
    <cellStyle name="Normal 2 3 2 3 5 4" xfId="26920" xr:uid="{00000000-0005-0000-0000-000021690000}"/>
    <cellStyle name="Normal 2 3 2 3 5 5" xfId="26921" xr:uid="{00000000-0005-0000-0000-000022690000}"/>
    <cellStyle name="Normal 2 3 2 3 5 6" xfId="26922" xr:uid="{00000000-0005-0000-0000-000023690000}"/>
    <cellStyle name="Normal 2 3 2 3 5 7" xfId="26923" xr:uid="{00000000-0005-0000-0000-000024690000}"/>
    <cellStyle name="Normal 2 3 2 3 5 8" xfId="26924" xr:uid="{00000000-0005-0000-0000-000025690000}"/>
    <cellStyle name="Normal 2 3 2 3 5 9" xfId="26925" xr:uid="{00000000-0005-0000-0000-000026690000}"/>
    <cellStyle name="Normal 2 3 2 3 6" xfId="26926" xr:uid="{00000000-0005-0000-0000-000027690000}"/>
    <cellStyle name="Normal 2 3 2 3 7" xfId="26927" xr:uid="{00000000-0005-0000-0000-000028690000}"/>
    <cellStyle name="Normal 2 3 2 3 8" xfId="26928" xr:uid="{00000000-0005-0000-0000-000029690000}"/>
    <cellStyle name="Normal 2 3 2 3 9" xfId="26929" xr:uid="{00000000-0005-0000-0000-00002A690000}"/>
    <cellStyle name="Normal 2 3 2 30" xfId="26930" xr:uid="{00000000-0005-0000-0000-00002B690000}"/>
    <cellStyle name="Normal 2 3 2 30 10" xfId="26931" xr:uid="{00000000-0005-0000-0000-00002C690000}"/>
    <cellStyle name="Normal 2 3 2 30 11" xfId="26932" xr:uid="{00000000-0005-0000-0000-00002D690000}"/>
    <cellStyle name="Normal 2 3 2 30 12" xfId="26933" xr:uid="{00000000-0005-0000-0000-00002E690000}"/>
    <cellStyle name="Normal 2 3 2 30 13" xfId="26934" xr:uid="{00000000-0005-0000-0000-00002F690000}"/>
    <cellStyle name="Normal 2 3 2 30 14" xfId="26935" xr:uid="{00000000-0005-0000-0000-000030690000}"/>
    <cellStyle name="Normal 2 3 2 30 2" xfId="26936" xr:uid="{00000000-0005-0000-0000-000031690000}"/>
    <cellStyle name="Normal 2 3 2 30 2 10" xfId="26937" xr:uid="{00000000-0005-0000-0000-000032690000}"/>
    <cellStyle name="Normal 2 3 2 30 2 2" xfId="26938" xr:uid="{00000000-0005-0000-0000-000033690000}"/>
    <cellStyle name="Normal 2 3 2 30 2 3" xfId="26939" xr:uid="{00000000-0005-0000-0000-000034690000}"/>
    <cellStyle name="Normal 2 3 2 30 2 4" xfId="26940" xr:uid="{00000000-0005-0000-0000-000035690000}"/>
    <cellStyle name="Normal 2 3 2 30 2 5" xfId="26941" xr:uid="{00000000-0005-0000-0000-000036690000}"/>
    <cellStyle name="Normal 2 3 2 30 2 6" xfId="26942" xr:uid="{00000000-0005-0000-0000-000037690000}"/>
    <cellStyle name="Normal 2 3 2 30 2 7" xfId="26943" xr:uid="{00000000-0005-0000-0000-000038690000}"/>
    <cellStyle name="Normal 2 3 2 30 2 8" xfId="26944" xr:uid="{00000000-0005-0000-0000-000039690000}"/>
    <cellStyle name="Normal 2 3 2 30 2 9" xfId="26945" xr:uid="{00000000-0005-0000-0000-00003A690000}"/>
    <cellStyle name="Normal 2 3 2 30 3" xfId="26946" xr:uid="{00000000-0005-0000-0000-00003B690000}"/>
    <cellStyle name="Normal 2 3 2 30 3 10" xfId="26947" xr:uid="{00000000-0005-0000-0000-00003C690000}"/>
    <cellStyle name="Normal 2 3 2 30 3 2" xfId="26948" xr:uid="{00000000-0005-0000-0000-00003D690000}"/>
    <cellStyle name="Normal 2 3 2 30 3 3" xfId="26949" xr:uid="{00000000-0005-0000-0000-00003E690000}"/>
    <cellStyle name="Normal 2 3 2 30 3 4" xfId="26950" xr:uid="{00000000-0005-0000-0000-00003F690000}"/>
    <cellStyle name="Normal 2 3 2 30 3 5" xfId="26951" xr:uid="{00000000-0005-0000-0000-000040690000}"/>
    <cellStyle name="Normal 2 3 2 30 3 6" xfId="26952" xr:uid="{00000000-0005-0000-0000-000041690000}"/>
    <cellStyle name="Normal 2 3 2 30 3 7" xfId="26953" xr:uid="{00000000-0005-0000-0000-000042690000}"/>
    <cellStyle name="Normal 2 3 2 30 3 8" xfId="26954" xr:uid="{00000000-0005-0000-0000-000043690000}"/>
    <cellStyle name="Normal 2 3 2 30 3 9" xfId="26955" xr:uid="{00000000-0005-0000-0000-000044690000}"/>
    <cellStyle name="Normal 2 3 2 30 4" xfId="26956" xr:uid="{00000000-0005-0000-0000-000045690000}"/>
    <cellStyle name="Normal 2 3 2 30 4 10" xfId="26957" xr:uid="{00000000-0005-0000-0000-000046690000}"/>
    <cellStyle name="Normal 2 3 2 30 4 2" xfId="26958" xr:uid="{00000000-0005-0000-0000-000047690000}"/>
    <cellStyle name="Normal 2 3 2 30 4 3" xfId="26959" xr:uid="{00000000-0005-0000-0000-000048690000}"/>
    <cellStyle name="Normal 2 3 2 30 4 4" xfId="26960" xr:uid="{00000000-0005-0000-0000-000049690000}"/>
    <cellStyle name="Normal 2 3 2 30 4 5" xfId="26961" xr:uid="{00000000-0005-0000-0000-00004A690000}"/>
    <cellStyle name="Normal 2 3 2 30 4 6" xfId="26962" xr:uid="{00000000-0005-0000-0000-00004B690000}"/>
    <cellStyle name="Normal 2 3 2 30 4 7" xfId="26963" xr:uid="{00000000-0005-0000-0000-00004C690000}"/>
    <cellStyle name="Normal 2 3 2 30 4 8" xfId="26964" xr:uid="{00000000-0005-0000-0000-00004D690000}"/>
    <cellStyle name="Normal 2 3 2 30 4 9" xfId="26965" xr:uid="{00000000-0005-0000-0000-00004E690000}"/>
    <cellStyle name="Normal 2 3 2 30 5" xfId="26966" xr:uid="{00000000-0005-0000-0000-00004F690000}"/>
    <cellStyle name="Normal 2 3 2 30 5 10" xfId="26967" xr:uid="{00000000-0005-0000-0000-000050690000}"/>
    <cellStyle name="Normal 2 3 2 30 5 2" xfId="26968" xr:uid="{00000000-0005-0000-0000-000051690000}"/>
    <cellStyle name="Normal 2 3 2 30 5 3" xfId="26969" xr:uid="{00000000-0005-0000-0000-000052690000}"/>
    <cellStyle name="Normal 2 3 2 30 5 4" xfId="26970" xr:uid="{00000000-0005-0000-0000-000053690000}"/>
    <cellStyle name="Normal 2 3 2 30 5 5" xfId="26971" xr:uid="{00000000-0005-0000-0000-000054690000}"/>
    <cellStyle name="Normal 2 3 2 30 5 6" xfId="26972" xr:uid="{00000000-0005-0000-0000-000055690000}"/>
    <cellStyle name="Normal 2 3 2 30 5 7" xfId="26973" xr:uid="{00000000-0005-0000-0000-000056690000}"/>
    <cellStyle name="Normal 2 3 2 30 5 8" xfId="26974" xr:uid="{00000000-0005-0000-0000-000057690000}"/>
    <cellStyle name="Normal 2 3 2 30 5 9" xfId="26975" xr:uid="{00000000-0005-0000-0000-000058690000}"/>
    <cellStyle name="Normal 2 3 2 30 6" xfId="26976" xr:uid="{00000000-0005-0000-0000-000059690000}"/>
    <cellStyle name="Normal 2 3 2 30 7" xfId="26977" xr:uid="{00000000-0005-0000-0000-00005A690000}"/>
    <cellStyle name="Normal 2 3 2 30 8" xfId="26978" xr:uid="{00000000-0005-0000-0000-00005B690000}"/>
    <cellStyle name="Normal 2 3 2 30 9" xfId="26979" xr:uid="{00000000-0005-0000-0000-00005C690000}"/>
    <cellStyle name="Normal 2 3 2 31" xfId="26980" xr:uid="{00000000-0005-0000-0000-00005D690000}"/>
    <cellStyle name="Normal 2 3 2 31 10" xfId="26981" xr:uid="{00000000-0005-0000-0000-00005E690000}"/>
    <cellStyle name="Normal 2 3 2 31 11" xfId="26982" xr:uid="{00000000-0005-0000-0000-00005F690000}"/>
    <cellStyle name="Normal 2 3 2 31 12" xfId="26983" xr:uid="{00000000-0005-0000-0000-000060690000}"/>
    <cellStyle name="Normal 2 3 2 31 13" xfId="26984" xr:uid="{00000000-0005-0000-0000-000061690000}"/>
    <cellStyle name="Normal 2 3 2 31 14" xfId="26985" xr:uid="{00000000-0005-0000-0000-000062690000}"/>
    <cellStyle name="Normal 2 3 2 31 2" xfId="26986" xr:uid="{00000000-0005-0000-0000-000063690000}"/>
    <cellStyle name="Normal 2 3 2 31 2 10" xfId="26987" xr:uid="{00000000-0005-0000-0000-000064690000}"/>
    <cellStyle name="Normal 2 3 2 31 2 2" xfId="26988" xr:uid="{00000000-0005-0000-0000-000065690000}"/>
    <cellStyle name="Normal 2 3 2 31 2 3" xfId="26989" xr:uid="{00000000-0005-0000-0000-000066690000}"/>
    <cellStyle name="Normal 2 3 2 31 2 4" xfId="26990" xr:uid="{00000000-0005-0000-0000-000067690000}"/>
    <cellStyle name="Normal 2 3 2 31 2 5" xfId="26991" xr:uid="{00000000-0005-0000-0000-000068690000}"/>
    <cellStyle name="Normal 2 3 2 31 2 6" xfId="26992" xr:uid="{00000000-0005-0000-0000-000069690000}"/>
    <cellStyle name="Normal 2 3 2 31 2 7" xfId="26993" xr:uid="{00000000-0005-0000-0000-00006A690000}"/>
    <cellStyle name="Normal 2 3 2 31 2 8" xfId="26994" xr:uid="{00000000-0005-0000-0000-00006B690000}"/>
    <cellStyle name="Normal 2 3 2 31 2 9" xfId="26995" xr:uid="{00000000-0005-0000-0000-00006C690000}"/>
    <cellStyle name="Normal 2 3 2 31 3" xfId="26996" xr:uid="{00000000-0005-0000-0000-00006D690000}"/>
    <cellStyle name="Normal 2 3 2 31 3 10" xfId="26997" xr:uid="{00000000-0005-0000-0000-00006E690000}"/>
    <cellStyle name="Normal 2 3 2 31 3 2" xfId="26998" xr:uid="{00000000-0005-0000-0000-00006F690000}"/>
    <cellStyle name="Normal 2 3 2 31 3 3" xfId="26999" xr:uid="{00000000-0005-0000-0000-000070690000}"/>
    <cellStyle name="Normal 2 3 2 31 3 4" xfId="27000" xr:uid="{00000000-0005-0000-0000-000071690000}"/>
    <cellStyle name="Normal 2 3 2 31 3 5" xfId="27001" xr:uid="{00000000-0005-0000-0000-000072690000}"/>
    <cellStyle name="Normal 2 3 2 31 3 6" xfId="27002" xr:uid="{00000000-0005-0000-0000-000073690000}"/>
    <cellStyle name="Normal 2 3 2 31 3 7" xfId="27003" xr:uid="{00000000-0005-0000-0000-000074690000}"/>
    <cellStyle name="Normal 2 3 2 31 3 8" xfId="27004" xr:uid="{00000000-0005-0000-0000-000075690000}"/>
    <cellStyle name="Normal 2 3 2 31 3 9" xfId="27005" xr:uid="{00000000-0005-0000-0000-000076690000}"/>
    <cellStyle name="Normal 2 3 2 31 4" xfId="27006" xr:uid="{00000000-0005-0000-0000-000077690000}"/>
    <cellStyle name="Normal 2 3 2 31 4 10" xfId="27007" xr:uid="{00000000-0005-0000-0000-000078690000}"/>
    <cellStyle name="Normal 2 3 2 31 4 2" xfId="27008" xr:uid="{00000000-0005-0000-0000-000079690000}"/>
    <cellStyle name="Normal 2 3 2 31 4 3" xfId="27009" xr:uid="{00000000-0005-0000-0000-00007A690000}"/>
    <cellStyle name="Normal 2 3 2 31 4 4" xfId="27010" xr:uid="{00000000-0005-0000-0000-00007B690000}"/>
    <cellStyle name="Normal 2 3 2 31 4 5" xfId="27011" xr:uid="{00000000-0005-0000-0000-00007C690000}"/>
    <cellStyle name="Normal 2 3 2 31 4 6" xfId="27012" xr:uid="{00000000-0005-0000-0000-00007D690000}"/>
    <cellStyle name="Normal 2 3 2 31 4 7" xfId="27013" xr:uid="{00000000-0005-0000-0000-00007E690000}"/>
    <cellStyle name="Normal 2 3 2 31 4 8" xfId="27014" xr:uid="{00000000-0005-0000-0000-00007F690000}"/>
    <cellStyle name="Normal 2 3 2 31 4 9" xfId="27015" xr:uid="{00000000-0005-0000-0000-000080690000}"/>
    <cellStyle name="Normal 2 3 2 31 5" xfId="27016" xr:uid="{00000000-0005-0000-0000-000081690000}"/>
    <cellStyle name="Normal 2 3 2 31 5 10" xfId="27017" xr:uid="{00000000-0005-0000-0000-000082690000}"/>
    <cellStyle name="Normal 2 3 2 31 5 2" xfId="27018" xr:uid="{00000000-0005-0000-0000-000083690000}"/>
    <cellStyle name="Normal 2 3 2 31 5 3" xfId="27019" xr:uid="{00000000-0005-0000-0000-000084690000}"/>
    <cellStyle name="Normal 2 3 2 31 5 4" xfId="27020" xr:uid="{00000000-0005-0000-0000-000085690000}"/>
    <cellStyle name="Normal 2 3 2 31 5 5" xfId="27021" xr:uid="{00000000-0005-0000-0000-000086690000}"/>
    <cellStyle name="Normal 2 3 2 31 5 6" xfId="27022" xr:uid="{00000000-0005-0000-0000-000087690000}"/>
    <cellStyle name="Normal 2 3 2 31 5 7" xfId="27023" xr:uid="{00000000-0005-0000-0000-000088690000}"/>
    <cellStyle name="Normal 2 3 2 31 5 8" xfId="27024" xr:uid="{00000000-0005-0000-0000-000089690000}"/>
    <cellStyle name="Normal 2 3 2 31 5 9" xfId="27025" xr:uid="{00000000-0005-0000-0000-00008A690000}"/>
    <cellStyle name="Normal 2 3 2 31 6" xfId="27026" xr:uid="{00000000-0005-0000-0000-00008B690000}"/>
    <cellStyle name="Normal 2 3 2 31 7" xfId="27027" xr:uid="{00000000-0005-0000-0000-00008C690000}"/>
    <cellStyle name="Normal 2 3 2 31 8" xfId="27028" xr:uid="{00000000-0005-0000-0000-00008D690000}"/>
    <cellStyle name="Normal 2 3 2 31 9" xfId="27029" xr:uid="{00000000-0005-0000-0000-00008E690000}"/>
    <cellStyle name="Normal 2 3 2 32" xfId="27030" xr:uid="{00000000-0005-0000-0000-00008F690000}"/>
    <cellStyle name="Normal 2 3 2 32 10" xfId="27031" xr:uid="{00000000-0005-0000-0000-000090690000}"/>
    <cellStyle name="Normal 2 3 2 32 11" xfId="27032" xr:uid="{00000000-0005-0000-0000-000091690000}"/>
    <cellStyle name="Normal 2 3 2 32 12" xfId="27033" xr:uid="{00000000-0005-0000-0000-000092690000}"/>
    <cellStyle name="Normal 2 3 2 32 13" xfId="27034" xr:uid="{00000000-0005-0000-0000-000093690000}"/>
    <cellStyle name="Normal 2 3 2 32 14" xfId="27035" xr:uid="{00000000-0005-0000-0000-000094690000}"/>
    <cellStyle name="Normal 2 3 2 32 2" xfId="27036" xr:uid="{00000000-0005-0000-0000-000095690000}"/>
    <cellStyle name="Normal 2 3 2 32 2 10" xfId="27037" xr:uid="{00000000-0005-0000-0000-000096690000}"/>
    <cellStyle name="Normal 2 3 2 32 2 2" xfId="27038" xr:uid="{00000000-0005-0000-0000-000097690000}"/>
    <cellStyle name="Normal 2 3 2 32 2 3" xfId="27039" xr:uid="{00000000-0005-0000-0000-000098690000}"/>
    <cellStyle name="Normal 2 3 2 32 2 4" xfId="27040" xr:uid="{00000000-0005-0000-0000-000099690000}"/>
    <cellStyle name="Normal 2 3 2 32 2 5" xfId="27041" xr:uid="{00000000-0005-0000-0000-00009A690000}"/>
    <cellStyle name="Normal 2 3 2 32 2 6" xfId="27042" xr:uid="{00000000-0005-0000-0000-00009B690000}"/>
    <cellStyle name="Normal 2 3 2 32 2 7" xfId="27043" xr:uid="{00000000-0005-0000-0000-00009C690000}"/>
    <cellStyle name="Normal 2 3 2 32 2 8" xfId="27044" xr:uid="{00000000-0005-0000-0000-00009D690000}"/>
    <cellStyle name="Normal 2 3 2 32 2 9" xfId="27045" xr:uid="{00000000-0005-0000-0000-00009E690000}"/>
    <cellStyle name="Normal 2 3 2 32 3" xfId="27046" xr:uid="{00000000-0005-0000-0000-00009F690000}"/>
    <cellStyle name="Normal 2 3 2 32 3 10" xfId="27047" xr:uid="{00000000-0005-0000-0000-0000A0690000}"/>
    <cellStyle name="Normal 2 3 2 32 3 2" xfId="27048" xr:uid="{00000000-0005-0000-0000-0000A1690000}"/>
    <cellStyle name="Normal 2 3 2 32 3 3" xfId="27049" xr:uid="{00000000-0005-0000-0000-0000A2690000}"/>
    <cellStyle name="Normal 2 3 2 32 3 4" xfId="27050" xr:uid="{00000000-0005-0000-0000-0000A3690000}"/>
    <cellStyle name="Normal 2 3 2 32 3 5" xfId="27051" xr:uid="{00000000-0005-0000-0000-0000A4690000}"/>
    <cellStyle name="Normal 2 3 2 32 3 6" xfId="27052" xr:uid="{00000000-0005-0000-0000-0000A5690000}"/>
    <cellStyle name="Normal 2 3 2 32 3 7" xfId="27053" xr:uid="{00000000-0005-0000-0000-0000A6690000}"/>
    <cellStyle name="Normal 2 3 2 32 3 8" xfId="27054" xr:uid="{00000000-0005-0000-0000-0000A7690000}"/>
    <cellStyle name="Normal 2 3 2 32 3 9" xfId="27055" xr:uid="{00000000-0005-0000-0000-0000A8690000}"/>
    <cellStyle name="Normal 2 3 2 32 4" xfId="27056" xr:uid="{00000000-0005-0000-0000-0000A9690000}"/>
    <cellStyle name="Normal 2 3 2 32 4 10" xfId="27057" xr:uid="{00000000-0005-0000-0000-0000AA690000}"/>
    <cellStyle name="Normal 2 3 2 32 4 2" xfId="27058" xr:uid="{00000000-0005-0000-0000-0000AB690000}"/>
    <cellStyle name="Normal 2 3 2 32 4 3" xfId="27059" xr:uid="{00000000-0005-0000-0000-0000AC690000}"/>
    <cellStyle name="Normal 2 3 2 32 4 4" xfId="27060" xr:uid="{00000000-0005-0000-0000-0000AD690000}"/>
    <cellStyle name="Normal 2 3 2 32 4 5" xfId="27061" xr:uid="{00000000-0005-0000-0000-0000AE690000}"/>
    <cellStyle name="Normal 2 3 2 32 4 6" xfId="27062" xr:uid="{00000000-0005-0000-0000-0000AF690000}"/>
    <cellStyle name="Normal 2 3 2 32 4 7" xfId="27063" xr:uid="{00000000-0005-0000-0000-0000B0690000}"/>
    <cellStyle name="Normal 2 3 2 32 4 8" xfId="27064" xr:uid="{00000000-0005-0000-0000-0000B1690000}"/>
    <cellStyle name="Normal 2 3 2 32 4 9" xfId="27065" xr:uid="{00000000-0005-0000-0000-0000B2690000}"/>
    <cellStyle name="Normal 2 3 2 32 5" xfId="27066" xr:uid="{00000000-0005-0000-0000-0000B3690000}"/>
    <cellStyle name="Normal 2 3 2 32 5 10" xfId="27067" xr:uid="{00000000-0005-0000-0000-0000B4690000}"/>
    <cellStyle name="Normal 2 3 2 32 5 2" xfId="27068" xr:uid="{00000000-0005-0000-0000-0000B5690000}"/>
    <cellStyle name="Normal 2 3 2 32 5 3" xfId="27069" xr:uid="{00000000-0005-0000-0000-0000B6690000}"/>
    <cellStyle name="Normal 2 3 2 32 5 4" xfId="27070" xr:uid="{00000000-0005-0000-0000-0000B7690000}"/>
    <cellStyle name="Normal 2 3 2 32 5 5" xfId="27071" xr:uid="{00000000-0005-0000-0000-0000B8690000}"/>
    <cellStyle name="Normal 2 3 2 32 5 6" xfId="27072" xr:uid="{00000000-0005-0000-0000-0000B9690000}"/>
    <cellStyle name="Normal 2 3 2 32 5 7" xfId="27073" xr:uid="{00000000-0005-0000-0000-0000BA690000}"/>
    <cellStyle name="Normal 2 3 2 32 5 8" xfId="27074" xr:uid="{00000000-0005-0000-0000-0000BB690000}"/>
    <cellStyle name="Normal 2 3 2 32 5 9" xfId="27075" xr:uid="{00000000-0005-0000-0000-0000BC690000}"/>
    <cellStyle name="Normal 2 3 2 32 6" xfId="27076" xr:uid="{00000000-0005-0000-0000-0000BD690000}"/>
    <cellStyle name="Normal 2 3 2 32 7" xfId="27077" xr:uid="{00000000-0005-0000-0000-0000BE690000}"/>
    <cellStyle name="Normal 2 3 2 32 8" xfId="27078" xr:uid="{00000000-0005-0000-0000-0000BF690000}"/>
    <cellStyle name="Normal 2 3 2 32 9" xfId="27079" xr:uid="{00000000-0005-0000-0000-0000C0690000}"/>
    <cellStyle name="Normal 2 3 2 33" xfId="27080" xr:uid="{00000000-0005-0000-0000-0000C1690000}"/>
    <cellStyle name="Normal 2 3 2 33 10" xfId="27081" xr:uid="{00000000-0005-0000-0000-0000C2690000}"/>
    <cellStyle name="Normal 2 3 2 33 11" xfId="27082" xr:uid="{00000000-0005-0000-0000-0000C3690000}"/>
    <cellStyle name="Normal 2 3 2 33 12" xfId="27083" xr:uid="{00000000-0005-0000-0000-0000C4690000}"/>
    <cellStyle name="Normal 2 3 2 33 13" xfId="27084" xr:uid="{00000000-0005-0000-0000-0000C5690000}"/>
    <cellStyle name="Normal 2 3 2 33 14" xfId="27085" xr:uid="{00000000-0005-0000-0000-0000C6690000}"/>
    <cellStyle name="Normal 2 3 2 33 2" xfId="27086" xr:uid="{00000000-0005-0000-0000-0000C7690000}"/>
    <cellStyle name="Normal 2 3 2 33 2 10" xfId="27087" xr:uid="{00000000-0005-0000-0000-0000C8690000}"/>
    <cellStyle name="Normal 2 3 2 33 2 2" xfId="27088" xr:uid="{00000000-0005-0000-0000-0000C9690000}"/>
    <cellStyle name="Normal 2 3 2 33 2 3" xfId="27089" xr:uid="{00000000-0005-0000-0000-0000CA690000}"/>
    <cellStyle name="Normal 2 3 2 33 2 4" xfId="27090" xr:uid="{00000000-0005-0000-0000-0000CB690000}"/>
    <cellStyle name="Normal 2 3 2 33 2 5" xfId="27091" xr:uid="{00000000-0005-0000-0000-0000CC690000}"/>
    <cellStyle name="Normal 2 3 2 33 2 6" xfId="27092" xr:uid="{00000000-0005-0000-0000-0000CD690000}"/>
    <cellStyle name="Normal 2 3 2 33 2 7" xfId="27093" xr:uid="{00000000-0005-0000-0000-0000CE690000}"/>
    <cellStyle name="Normal 2 3 2 33 2 8" xfId="27094" xr:uid="{00000000-0005-0000-0000-0000CF690000}"/>
    <cellStyle name="Normal 2 3 2 33 2 9" xfId="27095" xr:uid="{00000000-0005-0000-0000-0000D0690000}"/>
    <cellStyle name="Normal 2 3 2 33 3" xfId="27096" xr:uid="{00000000-0005-0000-0000-0000D1690000}"/>
    <cellStyle name="Normal 2 3 2 33 3 10" xfId="27097" xr:uid="{00000000-0005-0000-0000-0000D2690000}"/>
    <cellStyle name="Normal 2 3 2 33 3 2" xfId="27098" xr:uid="{00000000-0005-0000-0000-0000D3690000}"/>
    <cellStyle name="Normal 2 3 2 33 3 3" xfId="27099" xr:uid="{00000000-0005-0000-0000-0000D4690000}"/>
    <cellStyle name="Normal 2 3 2 33 3 4" xfId="27100" xr:uid="{00000000-0005-0000-0000-0000D5690000}"/>
    <cellStyle name="Normal 2 3 2 33 3 5" xfId="27101" xr:uid="{00000000-0005-0000-0000-0000D6690000}"/>
    <cellStyle name="Normal 2 3 2 33 3 6" xfId="27102" xr:uid="{00000000-0005-0000-0000-0000D7690000}"/>
    <cellStyle name="Normal 2 3 2 33 3 7" xfId="27103" xr:uid="{00000000-0005-0000-0000-0000D8690000}"/>
    <cellStyle name="Normal 2 3 2 33 3 8" xfId="27104" xr:uid="{00000000-0005-0000-0000-0000D9690000}"/>
    <cellStyle name="Normal 2 3 2 33 3 9" xfId="27105" xr:uid="{00000000-0005-0000-0000-0000DA690000}"/>
    <cellStyle name="Normal 2 3 2 33 4" xfId="27106" xr:uid="{00000000-0005-0000-0000-0000DB690000}"/>
    <cellStyle name="Normal 2 3 2 33 4 10" xfId="27107" xr:uid="{00000000-0005-0000-0000-0000DC690000}"/>
    <cellStyle name="Normal 2 3 2 33 4 2" xfId="27108" xr:uid="{00000000-0005-0000-0000-0000DD690000}"/>
    <cellStyle name="Normal 2 3 2 33 4 3" xfId="27109" xr:uid="{00000000-0005-0000-0000-0000DE690000}"/>
    <cellStyle name="Normal 2 3 2 33 4 4" xfId="27110" xr:uid="{00000000-0005-0000-0000-0000DF690000}"/>
    <cellStyle name="Normal 2 3 2 33 4 5" xfId="27111" xr:uid="{00000000-0005-0000-0000-0000E0690000}"/>
    <cellStyle name="Normal 2 3 2 33 4 6" xfId="27112" xr:uid="{00000000-0005-0000-0000-0000E1690000}"/>
    <cellStyle name="Normal 2 3 2 33 4 7" xfId="27113" xr:uid="{00000000-0005-0000-0000-0000E2690000}"/>
    <cellStyle name="Normal 2 3 2 33 4 8" xfId="27114" xr:uid="{00000000-0005-0000-0000-0000E3690000}"/>
    <cellStyle name="Normal 2 3 2 33 4 9" xfId="27115" xr:uid="{00000000-0005-0000-0000-0000E4690000}"/>
    <cellStyle name="Normal 2 3 2 33 5" xfId="27116" xr:uid="{00000000-0005-0000-0000-0000E5690000}"/>
    <cellStyle name="Normal 2 3 2 33 5 10" xfId="27117" xr:uid="{00000000-0005-0000-0000-0000E6690000}"/>
    <cellStyle name="Normal 2 3 2 33 5 2" xfId="27118" xr:uid="{00000000-0005-0000-0000-0000E7690000}"/>
    <cellStyle name="Normal 2 3 2 33 5 3" xfId="27119" xr:uid="{00000000-0005-0000-0000-0000E8690000}"/>
    <cellStyle name="Normal 2 3 2 33 5 4" xfId="27120" xr:uid="{00000000-0005-0000-0000-0000E9690000}"/>
    <cellStyle name="Normal 2 3 2 33 5 5" xfId="27121" xr:uid="{00000000-0005-0000-0000-0000EA690000}"/>
    <cellStyle name="Normal 2 3 2 33 5 6" xfId="27122" xr:uid="{00000000-0005-0000-0000-0000EB690000}"/>
    <cellStyle name="Normal 2 3 2 33 5 7" xfId="27123" xr:uid="{00000000-0005-0000-0000-0000EC690000}"/>
    <cellStyle name="Normal 2 3 2 33 5 8" xfId="27124" xr:uid="{00000000-0005-0000-0000-0000ED690000}"/>
    <cellStyle name="Normal 2 3 2 33 5 9" xfId="27125" xr:uid="{00000000-0005-0000-0000-0000EE690000}"/>
    <cellStyle name="Normal 2 3 2 33 6" xfId="27126" xr:uid="{00000000-0005-0000-0000-0000EF690000}"/>
    <cellStyle name="Normal 2 3 2 33 7" xfId="27127" xr:uid="{00000000-0005-0000-0000-0000F0690000}"/>
    <cellStyle name="Normal 2 3 2 33 8" xfId="27128" xr:uid="{00000000-0005-0000-0000-0000F1690000}"/>
    <cellStyle name="Normal 2 3 2 33 9" xfId="27129" xr:uid="{00000000-0005-0000-0000-0000F2690000}"/>
    <cellStyle name="Normal 2 3 2 34" xfId="27130" xr:uid="{00000000-0005-0000-0000-0000F3690000}"/>
    <cellStyle name="Normal 2 3 2 34 10" xfId="27131" xr:uid="{00000000-0005-0000-0000-0000F4690000}"/>
    <cellStyle name="Normal 2 3 2 34 2" xfId="27132" xr:uid="{00000000-0005-0000-0000-0000F5690000}"/>
    <cellStyle name="Normal 2 3 2 34 3" xfId="27133" xr:uid="{00000000-0005-0000-0000-0000F6690000}"/>
    <cellStyle name="Normal 2 3 2 34 4" xfId="27134" xr:uid="{00000000-0005-0000-0000-0000F7690000}"/>
    <cellStyle name="Normal 2 3 2 34 5" xfId="27135" xr:uid="{00000000-0005-0000-0000-0000F8690000}"/>
    <cellStyle name="Normal 2 3 2 34 6" xfId="27136" xr:uid="{00000000-0005-0000-0000-0000F9690000}"/>
    <cellStyle name="Normal 2 3 2 34 7" xfId="27137" xr:uid="{00000000-0005-0000-0000-0000FA690000}"/>
    <cellStyle name="Normal 2 3 2 34 8" xfId="27138" xr:uid="{00000000-0005-0000-0000-0000FB690000}"/>
    <cellStyle name="Normal 2 3 2 34 9" xfId="27139" xr:uid="{00000000-0005-0000-0000-0000FC690000}"/>
    <cellStyle name="Normal 2 3 2 35" xfId="27140" xr:uid="{00000000-0005-0000-0000-0000FD690000}"/>
    <cellStyle name="Normal 2 3 2 35 10" xfId="27141" xr:uid="{00000000-0005-0000-0000-0000FE690000}"/>
    <cellStyle name="Normal 2 3 2 35 2" xfId="27142" xr:uid="{00000000-0005-0000-0000-0000FF690000}"/>
    <cellStyle name="Normal 2 3 2 35 3" xfId="27143" xr:uid="{00000000-0005-0000-0000-0000006A0000}"/>
    <cellStyle name="Normal 2 3 2 35 4" xfId="27144" xr:uid="{00000000-0005-0000-0000-0000016A0000}"/>
    <cellStyle name="Normal 2 3 2 35 5" xfId="27145" xr:uid="{00000000-0005-0000-0000-0000026A0000}"/>
    <cellStyle name="Normal 2 3 2 35 6" xfId="27146" xr:uid="{00000000-0005-0000-0000-0000036A0000}"/>
    <cellStyle name="Normal 2 3 2 35 7" xfId="27147" xr:uid="{00000000-0005-0000-0000-0000046A0000}"/>
    <cellStyle name="Normal 2 3 2 35 8" xfId="27148" xr:uid="{00000000-0005-0000-0000-0000056A0000}"/>
    <cellStyle name="Normal 2 3 2 35 9" xfId="27149" xr:uid="{00000000-0005-0000-0000-0000066A0000}"/>
    <cellStyle name="Normal 2 3 2 36" xfId="27150" xr:uid="{00000000-0005-0000-0000-0000076A0000}"/>
    <cellStyle name="Normal 2 3 2 36 10" xfId="27151" xr:uid="{00000000-0005-0000-0000-0000086A0000}"/>
    <cellStyle name="Normal 2 3 2 36 2" xfId="27152" xr:uid="{00000000-0005-0000-0000-0000096A0000}"/>
    <cellStyle name="Normal 2 3 2 36 3" xfId="27153" xr:uid="{00000000-0005-0000-0000-00000A6A0000}"/>
    <cellStyle name="Normal 2 3 2 36 4" xfId="27154" xr:uid="{00000000-0005-0000-0000-00000B6A0000}"/>
    <cellStyle name="Normal 2 3 2 36 5" xfId="27155" xr:uid="{00000000-0005-0000-0000-00000C6A0000}"/>
    <cellStyle name="Normal 2 3 2 36 6" xfId="27156" xr:uid="{00000000-0005-0000-0000-00000D6A0000}"/>
    <cellStyle name="Normal 2 3 2 36 7" xfId="27157" xr:uid="{00000000-0005-0000-0000-00000E6A0000}"/>
    <cellStyle name="Normal 2 3 2 36 8" xfId="27158" xr:uid="{00000000-0005-0000-0000-00000F6A0000}"/>
    <cellStyle name="Normal 2 3 2 36 9" xfId="27159" xr:uid="{00000000-0005-0000-0000-0000106A0000}"/>
    <cellStyle name="Normal 2 3 2 37" xfId="27160" xr:uid="{00000000-0005-0000-0000-0000116A0000}"/>
    <cellStyle name="Normal 2 3 2 37 10" xfId="27161" xr:uid="{00000000-0005-0000-0000-0000126A0000}"/>
    <cellStyle name="Normal 2 3 2 37 2" xfId="27162" xr:uid="{00000000-0005-0000-0000-0000136A0000}"/>
    <cellStyle name="Normal 2 3 2 37 3" xfId="27163" xr:uid="{00000000-0005-0000-0000-0000146A0000}"/>
    <cellStyle name="Normal 2 3 2 37 4" xfId="27164" xr:uid="{00000000-0005-0000-0000-0000156A0000}"/>
    <cellStyle name="Normal 2 3 2 37 5" xfId="27165" xr:uid="{00000000-0005-0000-0000-0000166A0000}"/>
    <cellStyle name="Normal 2 3 2 37 6" xfId="27166" xr:uid="{00000000-0005-0000-0000-0000176A0000}"/>
    <cellStyle name="Normal 2 3 2 37 7" xfId="27167" xr:uid="{00000000-0005-0000-0000-0000186A0000}"/>
    <cellStyle name="Normal 2 3 2 37 8" xfId="27168" xr:uid="{00000000-0005-0000-0000-0000196A0000}"/>
    <cellStyle name="Normal 2 3 2 37 9" xfId="27169" xr:uid="{00000000-0005-0000-0000-00001A6A0000}"/>
    <cellStyle name="Normal 2 3 2 38" xfId="27170" xr:uid="{00000000-0005-0000-0000-00001B6A0000}"/>
    <cellStyle name="Normal 2 3 2 39" xfId="27171" xr:uid="{00000000-0005-0000-0000-00001C6A0000}"/>
    <cellStyle name="Normal 2 3 2 4" xfId="27172" xr:uid="{00000000-0005-0000-0000-00001D6A0000}"/>
    <cellStyle name="Normal 2 3 2 4 10" xfId="27173" xr:uid="{00000000-0005-0000-0000-00001E6A0000}"/>
    <cellStyle name="Normal 2 3 2 4 11" xfId="27174" xr:uid="{00000000-0005-0000-0000-00001F6A0000}"/>
    <cellStyle name="Normal 2 3 2 4 12" xfId="27175" xr:uid="{00000000-0005-0000-0000-0000206A0000}"/>
    <cellStyle name="Normal 2 3 2 4 13" xfId="27176" xr:uid="{00000000-0005-0000-0000-0000216A0000}"/>
    <cellStyle name="Normal 2 3 2 4 14" xfId="27177" xr:uid="{00000000-0005-0000-0000-0000226A0000}"/>
    <cellStyle name="Normal 2 3 2 4 2" xfId="27178" xr:uid="{00000000-0005-0000-0000-0000236A0000}"/>
    <cellStyle name="Normal 2 3 2 4 2 10" xfId="27179" xr:uid="{00000000-0005-0000-0000-0000246A0000}"/>
    <cellStyle name="Normal 2 3 2 4 2 2" xfId="27180" xr:uid="{00000000-0005-0000-0000-0000256A0000}"/>
    <cellStyle name="Normal 2 3 2 4 2 3" xfId="27181" xr:uid="{00000000-0005-0000-0000-0000266A0000}"/>
    <cellStyle name="Normal 2 3 2 4 2 4" xfId="27182" xr:uid="{00000000-0005-0000-0000-0000276A0000}"/>
    <cellStyle name="Normal 2 3 2 4 2 5" xfId="27183" xr:uid="{00000000-0005-0000-0000-0000286A0000}"/>
    <cellStyle name="Normal 2 3 2 4 2 6" xfId="27184" xr:uid="{00000000-0005-0000-0000-0000296A0000}"/>
    <cellStyle name="Normal 2 3 2 4 2 7" xfId="27185" xr:uid="{00000000-0005-0000-0000-00002A6A0000}"/>
    <cellStyle name="Normal 2 3 2 4 2 8" xfId="27186" xr:uid="{00000000-0005-0000-0000-00002B6A0000}"/>
    <cellStyle name="Normal 2 3 2 4 2 9" xfId="27187" xr:uid="{00000000-0005-0000-0000-00002C6A0000}"/>
    <cellStyle name="Normal 2 3 2 4 3" xfId="27188" xr:uid="{00000000-0005-0000-0000-00002D6A0000}"/>
    <cellStyle name="Normal 2 3 2 4 3 10" xfId="27189" xr:uid="{00000000-0005-0000-0000-00002E6A0000}"/>
    <cellStyle name="Normal 2 3 2 4 3 2" xfId="27190" xr:uid="{00000000-0005-0000-0000-00002F6A0000}"/>
    <cellStyle name="Normal 2 3 2 4 3 3" xfId="27191" xr:uid="{00000000-0005-0000-0000-0000306A0000}"/>
    <cellStyle name="Normal 2 3 2 4 3 4" xfId="27192" xr:uid="{00000000-0005-0000-0000-0000316A0000}"/>
    <cellStyle name="Normal 2 3 2 4 3 5" xfId="27193" xr:uid="{00000000-0005-0000-0000-0000326A0000}"/>
    <cellStyle name="Normal 2 3 2 4 3 6" xfId="27194" xr:uid="{00000000-0005-0000-0000-0000336A0000}"/>
    <cellStyle name="Normal 2 3 2 4 3 7" xfId="27195" xr:uid="{00000000-0005-0000-0000-0000346A0000}"/>
    <cellStyle name="Normal 2 3 2 4 3 8" xfId="27196" xr:uid="{00000000-0005-0000-0000-0000356A0000}"/>
    <cellStyle name="Normal 2 3 2 4 3 9" xfId="27197" xr:uid="{00000000-0005-0000-0000-0000366A0000}"/>
    <cellStyle name="Normal 2 3 2 4 4" xfId="27198" xr:uid="{00000000-0005-0000-0000-0000376A0000}"/>
    <cellStyle name="Normal 2 3 2 4 4 10" xfId="27199" xr:uid="{00000000-0005-0000-0000-0000386A0000}"/>
    <cellStyle name="Normal 2 3 2 4 4 2" xfId="27200" xr:uid="{00000000-0005-0000-0000-0000396A0000}"/>
    <cellStyle name="Normal 2 3 2 4 4 3" xfId="27201" xr:uid="{00000000-0005-0000-0000-00003A6A0000}"/>
    <cellStyle name="Normal 2 3 2 4 4 4" xfId="27202" xr:uid="{00000000-0005-0000-0000-00003B6A0000}"/>
    <cellStyle name="Normal 2 3 2 4 4 5" xfId="27203" xr:uid="{00000000-0005-0000-0000-00003C6A0000}"/>
    <cellStyle name="Normal 2 3 2 4 4 6" xfId="27204" xr:uid="{00000000-0005-0000-0000-00003D6A0000}"/>
    <cellStyle name="Normal 2 3 2 4 4 7" xfId="27205" xr:uid="{00000000-0005-0000-0000-00003E6A0000}"/>
    <cellStyle name="Normal 2 3 2 4 4 8" xfId="27206" xr:uid="{00000000-0005-0000-0000-00003F6A0000}"/>
    <cellStyle name="Normal 2 3 2 4 4 9" xfId="27207" xr:uid="{00000000-0005-0000-0000-0000406A0000}"/>
    <cellStyle name="Normal 2 3 2 4 5" xfId="27208" xr:uid="{00000000-0005-0000-0000-0000416A0000}"/>
    <cellStyle name="Normal 2 3 2 4 5 10" xfId="27209" xr:uid="{00000000-0005-0000-0000-0000426A0000}"/>
    <cellStyle name="Normal 2 3 2 4 5 2" xfId="27210" xr:uid="{00000000-0005-0000-0000-0000436A0000}"/>
    <cellStyle name="Normal 2 3 2 4 5 3" xfId="27211" xr:uid="{00000000-0005-0000-0000-0000446A0000}"/>
    <cellStyle name="Normal 2 3 2 4 5 4" xfId="27212" xr:uid="{00000000-0005-0000-0000-0000456A0000}"/>
    <cellStyle name="Normal 2 3 2 4 5 5" xfId="27213" xr:uid="{00000000-0005-0000-0000-0000466A0000}"/>
    <cellStyle name="Normal 2 3 2 4 5 6" xfId="27214" xr:uid="{00000000-0005-0000-0000-0000476A0000}"/>
    <cellStyle name="Normal 2 3 2 4 5 7" xfId="27215" xr:uid="{00000000-0005-0000-0000-0000486A0000}"/>
    <cellStyle name="Normal 2 3 2 4 5 8" xfId="27216" xr:uid="{00000000-0005-0000-0000-0000496A0000}"/>
    <cellStyle name="Normal 2 3 2 4 5 9" xfId="27217" xr:uid="{00000000-0005-0000-0000-00004A6A0000}"/>
    <cellStyle name="Normal 2 3 2 4 6" xfId="27218" xr:uid="{00000000-0005-0000-0000-00004B6A0000}"/>
    <cellStyle name="Normal 2 3 2 4 7" xfId="27219" xr:uid="{00000000-0005-0000-0000-00004C6A0000}"/>
    <cellStyle name="Normal 2 3 2 4 8" xfId="27220" xr:uid="{00000000-0005-0000-0000-00004D6A0000}"/>
    <cellStyle name="Normal 2 3 2 4 9" xfId="27221" xr:uid="{00000000-0005-0000-0000-00004E6A0000}"/>
    <cellStyle name="Normal 2 3 2 40" xfId="27222" xr:uid="{00000000-0005-0000-0000-00004F6A0000}"/>
    <cellStyle name="Normal 2 3 2 41" xfId="27223" xr:uid="{00000000-0005-0000-0000-0000506A0000}"/>
    <cellStyle name="Normal 2 3 2 42" xfId="27224" xr:uid="{00000000-0005-0000-0000-0000516A0000}"/>
    <cellStyle name="Normal 2 3 2 43" xfId="27225" xr:uid="{00000000-0005-0000-0000-0000526A0000}"/>
    <cellStyle name="Normal 2 3 2 44" xfId="27226" xr:uid="{00000000-0005-0000-0000-0000536A0000}"/>
    <cellStyle name="Normal 2 3 2 45" xfId="27227" xr:uid="{00000000-0005-0000-0000-0000546A0000}"/>
    <cellStyle name="Normal 2 3 2 46" xfId="27228" xr:uid="{00000000-0005-0000-0000-0000556A0000}"/>
    <cellStyle name="Normal 2 3 2 47" xfId="27229" xr:uid="{00000000-0005-0000-0000-0000566A0000}"/>
    <cellStyle name="Normal 2 3 2 48" xfId="27230" xr:uid="{00000000-0005-0000-0000-0000576A0000}"/>
    <cellStyle name="Normal 2 3 2 5" xfId="27231" xr:uid="{00000000-0005-0000-0000-0000586A0000}"/>
    <cellStyle name="Normal 2 3 2 5 10" xfId="27232" xr:uid="{00000000-0005-0000-0000-0000596A0000}"/>
    <cellStyle name="Normal 2 3 2 5 11" xfId="27233" xr:uid="{00000000-0005-0000-0000-00005A6A0000}"/>
    <cellStyle name="Normal 2 3 2 5 12" xfId="27234" xr:uid="{00000000-0005-0000-0000-00005B6A0000}"/>
    <cellStyle name="Normal 2 3 2 5 13" xfId="27235" xr:uid="{00000000-0005-0000-0000-00005C6A0000}"/>
    <cellStyle name="Normal 2 3 2 5 14" xfId="27236" xr:uid="{00000000-0005-0000-0000-00005D6A0000}"/>
    <cellStyle name="Normal 2 3 2 5 2" xfId="27237" xr:uid="{00000000-0005-0000-0000-00005E6A0000}"/>
    <cellStyle name="Normal 2 3 2 5 2 10" xfId="27238" xr:uid="{00000000-0005-0000-0000-00005F6A0000}"/>
    <cellStyle name="Normal 2 3 2 5 2 2" xfId="27239" xr:uid="{00000000-0005-0000-0000-0000606A0000}"/>
    <cellStyle name="Normal 2 3 2 5 2 3" xfId="27240" xr:uid="{00000000-0005-0000-0000-0000616A0000}"/>
    <cellStyle name="Normal 2 3 2 5 2 4" xfId="27241" xr:uid="{00000000-0005-0000-0000-0000626A0000}"/>
    <cellStyle name="Normal 2 3 2 5 2 5" xfId="27242" xr:uid="{00000000-0005-0000-0000-0000636A0000}"/>
    <cellStyle name="Normal 2 3 2 5 2 6" xfId="27243" xr:uid="{00000000-0005-0000-0000-0000646A0000}"/>
    <cellStyle name="Normal 2 3 2 5 2 7" xfId="27244" xr:uid="{00000000-0005-0000-0000-0000656A0000}"/>
    <cellStyle name="Normal 2 3 2 5 2 8" xfId="27245" xr:uid="{00000000-0005-0000-0000-0000666A0000}"/>
    <cellStyle name="Normal 2 3 2 5 2 9" xfId="27246" xr:uid="{00000000-0005-0000-0000-0000676A0000}"/>
    <cellStyle name="Normal 2 3 2 5 3" xfId="27247" xr:uid="{00000000-0005-0000-0000-0000686A0000}"/>
    <cellStyle name="Normal 2 3 2 5 3 10" xfId="27248" xr:uid="{00000000-0005-0000-0000-0000696A0000}"/>
    <cellStyle name="Normal 2 3 2 5 3 2" xfId="27249" xr:uid="{00000000-0005-0000-0000-00006A6A0000}"/>
    <cellStyle name="Normal 2 3 2 5 3 3" xfId="27250" xr:uid="{00000000-0005-0000-0000-00006B6A0000}"/>
    <cellStyle name="Normal 2 3 2 5 3 4" xfId="27251" xr:uid="{00000000-0005-0000-0000-00006C6A0000}"/>
    <cellStyle name="Normal 2 3 2 5 3 5" xfId="27252" xr:uid="{00000000-0005-0000-0000-00006D6A0000}"/>
    <cellStyle name="Normal 2 3 2 5 3 6" xfId="27253" xr:uid="{00000000-0005-0000-0000-00006E6A0000}"/>
    <cellStyle name="Normal 2 3 2 5 3 7" xfId="27254" xr:uid="{00000000-0005-0000-0000-00006F6A0000}"/>
    <cellStyle name="Normal 2 3 2 5 3 8" xfId="27255" xr:uid="{00000000-0005-0000-0000-0000706A0000}"/>
    <cellStyle name="Normal 2 3 2 5 3 9" xfId="27256" xr:uid="{00000000-0005-0000-0000-0000716A0000}"/>
    <cellStyle name="Normal 2 3 2 5 4" xfId="27257" xr:uid="{00000000-0005-0000-0000-0000726A0000}"/>
    <cellStyle name="Normal 2 3 2 5 4 10" xfId="27258" xr:uid="{00000000-0005-0000-0000-0000736A0000}"/>
    <cellStyle name="Normal 2 3 2 5 4 2" xfId="27259" xr:uid="{00000000-0005-0000-0000-0000746A0000}"/>
    <cellStyle name="Normal 2 3 2 5 4 3" xfId="27260" xr:uid="{00000000-0005-0000-0000-0000756A0000}"/>
    <cellStyle name="Normal 2 3 2 5 4 4" xfId="27261" xr:uid="{00000000-0005-0000-0000-0000766A0000}"/>
    <cellStyle name="Normal 2 3 2 5 4 5" xfId="27262" xr:uid="{00000000-0005-0000-0000-0000776A0000}"/>
    <cellStyle name="Normal 2 3 2 5 4 6" xfId="27263" xr:uid="{00000000-0005-0000-0000-0000786A0000}"/>
    <cellStyle name="Normal 2 3 2 5 4 7" xfId="27264" xr:uid="{00000000-0005-0000-0000-0000796A0000}"/>
    <cellStyle name="Normal 2 3 2 5 4 8" xfId="27265" xr:uid="{00000000-0005-0000-0000-00007A6A0000}"/>
    <cellStyle name="Normal 2 3 2 5 4 9" xfId="27266" xr:uid="{00000000-0005-0000-0000-00007B6A0000}"/>
    <cellStyle name="Normal 2 3 2 5 5" xfId="27267" xr:uid="{00000000-0005-0000-0000-00007C6A0000}"/>
    <cellStyle name="Normal 2 3 2 5 5 10" xfId="27268" xr:uid="{00000000-0005-0000-0000-00007D6A0000}"/>
    <cellStyle name="Normal 2 3 2 5 5 2" xfId="27269" xr:uid="{00000000-0005-0000-0000-00007E6A0000}"/>
    <cellStyle name="Normal 2 3 2 5 5 3" xfId="27270" xr:uid="{00000000-0005-0000-0000-00007F6A0000}"/>
    <cellStyle name="Normal 2 3 2 5 5 4" xfId="27271" xr:uid="{00000000-0005-0000-0000-0000806A0000}"/>
    <cellStyle name="Normal 2 3 2 5 5 5" xfId="27272" xr:uid="{00000000-0005-0000-0000-0000816A0000}"/>
    <cellStyle name="Normal 2 3 2 5 5 6" xfId="27273" xr:uid="{00000000-0005-0000-0000-0000826A0000}"/>
    <cellStyle name="Normal 2 3 2 5 5 7" xfId="27274" xr:uid="{00000000-0005-0000-0000-0000836A0000}"/>
    <cellStyle name="Normal 2 3 2 5 5 8" xfId="27275" xr:uid="{00000000-0005-0000-0000-0000846A0000}"/>
    <cellStyle name="Normal 2 3 2 5 5 9" xfId="27276" xr:uid="{00000000-0005-0000-0000-0000856A0000}"/>
    <cellStyle name="Normal 2 3 2 5 6" xfId="27277" xr:uid="{00000000-0005-0000-0000-0000866A0000}"/>
    <cellStyle name="Normal 2 3 2 5 7" xfId="27278" xr:uid="{00000000-0005-0000-0000-0000876A0000}"/>
    <cellStyle name="Normal 2 3 2 5 8" xfId="27279" xr:uid="{00000000-0005-0000-0000-0000886A0000}"/>
    <cellStyle name="Normal 2 3 2 5 9" xfId="27280" xr:uid="{00000000-0005-0000-0000-0000896A0000}"/>
    <cellStyle name="Normal 2 3 2 6" xfId="27281" xr:uid="{00000000-0005-0000-0000-00008A6A0000}"/>
    <cellStyle name="Normal 2 3 2 6 10" xfId="27282" xr:uid="{00000000-0005-0000-0000-00008B6A0000}"/>
    <cellStyle name="Normal 2 3 2 6 11" xfId="27283" xr:uid="{00000000-0005-0000-0000-00008C6A0000}"/>
    <cellStyle name="Normal 2 3 2 6 12" xfId="27284" xr:uid="{00000000-0005-0000-0000-00008D6A0000}"/>
    <cellStyle name="Normal 2 3 2 6 13" xfId="27285" xr:uid="{00000000-0005-0000-0000-00008E6A0000}"/>
    <cellStyle name="Normal 2 3 2 6 14" xfId="27286" xr:uid="{00000000-0005-0000-0000-00008F6A0000}"/>
    <cellStyle name="Normal 2 3 2 6 2" xfId="27287" xr:uid="{00000000-0005-0000-0000-0000906A0000}"/>
    <cellStyle name="Normal 2 3 2 6 2 10" xfId="27288" xr:uid="{00000000-0005-0000-0000-0000916A0000}"/>
    <cellStyle name="Normal 2 3 2 6 2 2" xfId="27289" xr:uid="{00000000-0005-0000-0000-0000926A0000}"/>
    <cellStyle name="Normal 2 3 2 6 2 3" xfId="27290" xr:uid="{00000000-0005-0000-0000-0000936A0000}"/>
    <cellStyle name="Normal 2 3 2 6 2 4" xfId="27291" xr:uid="{00000000-0005-0000-0000-0000946A0000}"/>
    <cellStyle name="Normal 2 3 2 6 2 5" xfId="27292" xr:uid="{00000000-0005-0000-0000-0000956A0000}"/>
    <cellStyle name="Normal 2 3 2 6 2 6" xfId="27293" xr:uid="{00000000-0005-0000-0000-0000966A0000}"/>
    <cellStyle name="Normal 2 3 2 6 2 7" xfId="27294" xr:uid="{00000000-0005-0000-0000-0000976A0000}"/>
    <cellStyle name="Normal 2 3 2 6 2 8" xfId="27295" xr:uid="{00000000-0005-0000-0000-0000986A0000}"/>
    <cellStyle name="Normal 2 3 2 6 2 9" xfId="27296" xr:uid="{00000000-0005-0000-0000-0000996A0000}"/>
    <cellStyle name="Normal 2 3 2 6 3" xfId="27297" xr:uid="{00000000-0005-0000-0000-00009A6A0000}"/>
    <cellStyle name="Normal 2 3 2 6 3 10" xfId="27298" xr:uid="{00000000-0005-0000-0000-00009B6A0000}"/>
    <cellStyle name="Normal 2 3 2 6 3 2" xfId="27299" xr:uid="{00000000-0005-0000-0000-00009C6A0000}"/>
    <cellStyle name="Normal 2 3 2 6 3 3" xfId="27300" xr:uid="{00000000-0005-0000-0000-00009D6A0000}"/>
    <cellStyle name="Normal 2 3 2 6 3 4" xfId="27301" xr:uid="{00000000-0005-0000-0000-00009E6A0000}"/>
    <cellStyle name="Normal 2 3 2 6 3 5" xfId="27302" xr:uid="{00000000-0005-0000-0000-00009F6A0000}"/>
    <cellStyle name="Normal 2 3 2 6 3 6" xfId="27303" xr:uid="{00000000-0005-0000-0000-0000A06A0000}"/>
    <cellStyle name="Normal 2 3 2 6 3 7" xfId="27304" xr:uid="{00000000-0005-0000-0000-0000A16A0000}"/>
    <cellStyle name="Normal 2 3 2 6 3 8" xfId="27305" xr:uid="{00000000-0005-0000-0000-0000A26A0000}"/>
    <cellStyle name="Normal 2 3 2 6 3 9" xfId="27306" xr:uid="{00000000-0005-0000-0000-0000A36A0000}"/>
    <cellStyle name="Normal 2 3 2 6 4" xfId="27307" xr:uid="{00000000-0005-0000-0000-0000A46A0000}"/>
    <cellStyle name="Normal 2 3 2 6 4 10" xfId="27308" xr:uid="{00000000-0005-0000-0000-0000A56A0000}"/>
    <cellStyle name="Normal 2 3 2 6 4 2" xfId="27309" xr:uid="{00000000-0005-0000-0000-0000A66A0000}"/>
    <cellStyle name="Normal 2 3 2 6 4 3" xfId="27310" xr:uid="{00000000-0005-0000-0000-0000A76A0000}"/>
    <cellStyle name="Normal 2 3 2 6 4 4" xfId="27311" xr:uid="{00000000-0005-0000-0000-0000A86A0000}"/>
    <cellStyle name="Normal 2 3 2 6 4 5" xfId="27312" xr:uid="{00000000-0005-0000-0000-0000A96A0000}"/>
    <cellStyle name="Normal 2 3 2 6 4 6" xfId="27313" xr:uid="{00000000-0005-0000-0000-0000AA6A0000}"/>
    <cellStyle name="Normal 2 3 2 6 4 7" xfId="27314" xr:uid="{00000000-0005-0000-0000-0000AB6A0000}"/>
    <cellStyle name="Normal 2 3 2 6 4 8" xfId="27315" xr:uid="{00000000-0005-0000-0000-0000AC6A0000}"/>
    <cellStyle name="Normal 2 3 2 6 4 9" xfId="27316" xr:uid="{00000000-0005-0000-0000-0000AD6A0000}"/>
    <cellStyle name="Normal 2 3 2 6 5" xfId="27317" xr:uid="{00000000-0005-0000-0000-0000AE6A0000}"/>
    <cellStyle name="Normal 2 3 2 6 5 10" xfId="27318" xr:uid="{00000000-0005-0000-0000-0000AF6A0000}"/>
    <cellStyle name="Normal 2 3 2 6 5 2" xfId="27319" xr:uid="{00000000-0005-0000-0000-0000B06A0000}"/>
    <cellStyle name="Normal 2 3 2 6 5 3" xfId="27320" xr:uid="{00000000-0005-0000-0000-0000B16A0000}"/>
    <cellStyle name="Normal 2 3 2 6 5 4" xfId="27321" xr:uid="{00000000-0005-0000-0000-0000B26A0000}"/>
    <cellStyle name="Normal 2 3 2 6 5 5" xfId="27322" xr:uid="{00000000-0005-0000-0000-0000B36A0000}"/>
    <cellStyle name="Normal 2 3 2 6 5 6" xfId="27323" xr:uid="{00000000-0005-0000-0000-0000B46A0000}"/>
    <cellStyle name="Normal 2 3 2 6 5 7" xfId="27324" xr:uid="{00000000-0005-0000-0000-0000B56A0000}"/>
    <cellStyle name="Normal 2 3 2 6 5 8" xfId="27325" xr:uid="{00000000-0005-0000-0000-0000B66A0000}"/>
    <cellStyle name="Normal 2 3 2 6 5 9" xfId="27326" xr:uid="{00000000-0005-0000-0000-0000B76A0000}"/>
    <cellStyle name="Normal 2 3 2 6 6" xfId="27327" xr:uid="{00000000-0005-0000-0000-0000B86A0000}"/>
    <cellStyle name="Normal 2 3 2 6 7" xfId="27328" xr:uid="{00000000-0005-0000-0000-0000B96A0000}"/>
    <cellStyle name="Normal 2 3 2 6 8" xfId="27329" xr:uid="{00000000-0005-0000-0000-0000BA6A0000}"/>
    <cellStyle name="Normal 2 3 2 6 9" xfId="27330" xr:uid="{00000000-0005-0000-0000-0000BB6A0000}"/>
    <cellStyle name="Normal 2 3 2 7" xfId="27331" xr:uid="{00000000-0005-0000-0000-0000BC6A0000}"/>
    <cellStyle name="Normal 2 3 2 7 10" xfId="27332" xr:uid="{00000000-0005-0000-0000-0000BD6A0000}"/>
    <cellStyle name="Normal 2 3 2 7 11" xfId="27333" xr:uid="{00000000-0005-0000-0000-0000BE6A0000}"/>
    <cellStyle name="Normal 2 3 2 7 12" xfId="27334" xr:uid="{00000000-0005-0000-0000-0000BF6A0000}"/>
    <cellStyle name="Normal 2 3 2 7 13" xfId="27335" xr:uid="{00000000-0005-0000-0000-0000C06A0000}"/>
    <cellStyle name="Normal 2 3 2 7 14" xfId="27336" xr:uid="{00000000-0005-0000-0000-0000C16A0000}"/>
    <cellStyle name="Normal 2 3 2 7 2" xfId="27337" xr:uid="{00000000-0005-0000-0000-0000C26A0000}"/>
    <cellStyle name="Normal 2 3 2 7 2 10" xfId="27338" xr:uid="{00000000-0005-0000-0000-0000C36A0000}"/>
    <cellStyle name="Normal 2 3 2 7 2 2" xfId="27339" xr:uid="{00000000-0005-0000-0000-0000C46A0000}"/>
    <cellStyle name="Normal 2 3 2 7 2 3" xfId="27340" xr:uid="{00000000-0005-0000-0000-0000C56A0000}"/>
    <cellStyle name="Normal 2 3 2 7 2 4" xfId="27341" xr:uid="{00000000-0005-0000-0000-0000C66A0000}"/>
    <cellStyle name="Normal 2 3 2 7 2 5" xfId="27342" xr:uid="{00000000-0005-0000-0000-0000C76A0000}"/>
    <cellStyle name="Normal 2 3 2 7 2 6" xfId="27343" xr:uid="{00000000-0005-0000-0000-0000C86A0000}"/>
    <cellStyle name="Normal 2 3 2 7 2 7" xfId="27344" xr:uid="{00000000-0005-0000-0000-0000C96A0000}"/>
    <cellStyle name="Normal 2 3 2 7 2 8" xfId="27345" xr:uid="{00000000-0005-0000-0000-0000CA6A0000}"/>
    <cellStyle name="Normal 2 3 2 7 2 9" xfId="27346" xr:uid="{00000000-0005-0000-0000-0000CB6A0000}"/>
    <cellStyle name="Normal 2 3 2 7 3" xfId="27347" xr:uid="{00000000-0005-0000-0000-0000CC6A0000}"/>
    <cellStyle name="Normal 2 3 2 7 3 10" xfId="27348" xr:uid="{00000000-0005-0000-0000-0000CD6A0000}"/>
    <cellStyle name="Normal 2 3 2 7 3 2" xfId="27349" xr:uid="{00000000-0005-0000-0000-0000CE6A0000}"/>
    <cellStyle name="Normal 2 3 2 7 3 3" xfId="27350" xr:uid="{00000000-0005-0000-0000-0000CF6A0000}"/>
    <cellStyle name="Normal 2 3 2 7 3 4" xfId="27351" xr:uid="{00000000-0005-0000-0000-0000D06A0000}"/>
    <cellStyle name="Normal 2 3 2 7 3 5" xfId="27352" xr:uid="{00000000-0005-0000-0000-0000D16A0000}"/>
    <cellStyle name="Normal 2 3 2 7 3 6" xfId="27353" xr:uid="{00000000-0005-0000-0000-0000D26A0000}"/>
    <cellStyle name="Normal 2 3 2 7 3 7" xfId="27354" xr:uid="{00000000-0005-0000-0000-0000D36A0000}"/>
    <cellStyle name="Normal 2 3 2 7 3 8" xfId="27355" xr:uid="{00000000-0005-0000-0000-0000D46A0000}"/>
    <cellStyle name="Normal 2 3 2 7 3 9" xfId="27356" xr:uid="{00000000-0005-0000-0000-0000D56A0000}"/>
    <cellStyle name="Normal 2 3 2 7 4" xfId="27357" xr:uid="{00000000-0005-0000-0000-0000D66A0000}"/>
    <cellStyle name="Normal 2 3 2 7 4 10" xfId="27358" xr:uid="{00000000-0005-0000-0000-0000D76A0000}"/>
    <cellStyle name="Normal 2 3 2 7 4 2" xfId="27359" xr:uid="{00000000-0005-0000-0000-0000D86A0000}"/>
    <cellStyle name="Normal 2 3 2 7 4 3" xfId="27360" xr:uid="{00000000-0005-0000-0000-0000D96A0000}"/>
    <cellStyle name="Normal 2 3 2 7 4 4" xfId="27361" xr:uid="{00000000-0005-0000-0000-0000DA6A0000}"/>
    <cellStyle name="Normal 2 3 2 7 4 5" xfId="27362" xr:uid="{00000000-0005-0000-0000-0000DB6A0000}"/>
    <cellStyle name="Normal 2 3 2 7 4 6" xfId="27363" xr:uid="{00000000-0005-0000-0000-0000DC6A0000}"/>
    <cellStyle name="Normal 2 3 2 7 4 7" xfId="27364" xr:uid="{00000000-0005-0000-0000-0000DD6A0000}"/>
    <cellStyle name="Normal 2 3 2 7 4 8" xfId="27365" xr:uid="{00000000-0005-0000-0000-0000DE6A0000}"/>
    <cellStyle name="Normal 2 3 2 7 4 9" xfId="27366" xr:uid="{00000000-0005-0000-0000-0000DF6A0000}"/>
    <cellStyle name="Normal 2 3 2 7 5" xfId="27367" xr:uid="{00000000-0005-0000-0000-0000E06A0000}"/>
    <cellStyle name="Normal 2 3 2 7 5 10" xfId="27368" xr:uid="{00000000-0005-0000-0000-0000E16A0000}"/>
    <cellStyle name="Normal 2 3 2 7 5 2" xfId="27369" xr:uid="{00000000-0005-0000-0000-0000E26A0000}"/>
    <cellStyle name="Normal 2 3 2 7 5 3" xfId="27370" xr:uid="{00000000-0005-0000-0000-0000E36A0000}"/>
    <cellStyle name="Normal 2 3 2 7 5 4" xfId="27371" xr:uid="{00000000-0005-0000-0000-0000E46A0000}"/>
    <cellStyle name="Normal 2 3 2 7 5 5" xfId="27372" xr:uid="{00000000-0005-0000-0000-0000E56A0000}"/>
    <cellStyle name="Normal 2 3 2 7 5 6" xfId="27373" xr:uid="{00000000-0005-0000-0000-0000E66A0000}"/>
    <cellStyle name="Normal 2 3 2 7 5 7" xfId="27374" xr:uid="{00000000-0005-0000-0000-0000E76A0000}"/>
    <cellStyle name="Normal 2 3 2 7 5 8" xfId="27375" xr:uid="{00000000-0005-0000-0000-0000E86A0000}"/>
    <cellStyle name="Normal 2 3 2 7 5 9" xfId="27376" xr:uid="{00000000-0005-0000-0000-0000E96A0000}"/>
    <cellStyle name="Normal 2 3 2 7 6" xfId="27377" xr:uid="{00000000-0005-0000-0000-0000EA6A0000}"/>
    <cellStyle name="Normal 2 3 2 7 7" xfId="27378" xr:uid="{00000000-0005-0000-0000-0000EB6A0000}"/>
    <cellStyle name="Normal 2 3 2 7 8" xfId="27379" xr:uid="{00000000-0005-0000-0000-0000EC6A0000}"/>
    <cellStyle name="Normal 2 3 2 7 9" xfId="27380" xr:uid="{00000000-0005-0000-0000-0000ED6A0000}"/>
    <cellStyle name="Normal 2 3 2 8" xfId="27381" xr:uid="{00000000-0005-0000-0000-0000EE6A0000}"/>
    <cellStyle name="Normal 2 3 2 8 10" xfId="27382" xr:uid="{00000000-0005-0000-0000-0000EF6A0000}"/>
    <cellStyle name="Normal 2 3 2 8 11" xfId="27383" xr:uid="{00000000-0005-0000-0000-0000F06A0000}"/>
    <cellStyle name="Normal 2 3 2 8 12" xfId="27384" xr:uid="{00000000-0005-0000-0000-0000F16A0000}"/>
    <cellStyle name="Normal 2 3 2 8 13" xfId="27385" xr:uid="{00000000-0005-0000-0000-0000F26A0000}"/>
    <cellStyle name="Normal 2 3 2 8 14" xfId="27386" xr:uid="{00000000-0005-0000-0000-0000F36A0000}"/>
    <cellStyle name="Normal 2 3 2 8 2" xfId="27387" xr:uid="{00000000-0005-0000-0000-0000F46A0000}"/>
    <cellStyle name="Normal 2 3 2 8 2 10" xfId="27388" xr:uid="{00000000-0005-0000-0000-0000F56A0000}"/>
    <cellStyle name="Normal 2 3 2 8 2 2" xfId="27389" xr:uid="{00000000-0005-0000-0000-0000F66A0000}"/>
    <cellStyle name="Normal 2 3 2 8 2 3" xfId="27390" xr:uid="{00000000-0005-0000-0000-0000F76A0000}"/>
    <cellStyle name="Normal 2 3 2 8 2 4" xfId="27391" xr:uid="{00000000-0005-0000-0000-0000F86A0000}"/>
    <cellStyle name="Normal 2 3 2 8 2 5" xfId="27392" xr:uid="{00000000-0005-0000-0000-0000F96A0000}"/>
    <cellStyle name="Normal 2 3 2 8 2 6" xfId="27393" xr:uid="{00000000-0005-0000-0000-0000FA6A0000}"/>
    <cellStyle name="Normal 2 3 2 8 2 7" xfId="27394" xr:uid="{00000000-0005-0000-0000-0000FB6A0000}"/>
    <cellStyle name="Normal 2 3 2 8 2 8" xfId="27395" xr:uid="{00000000-0005-0000-0000-0000FC6A0000}"/>
    <cellStyle name="Normal 2 3 2 8 2 9" xfId="27396" xr:uid="{00000000-0005-0000-0000-0000FD6A0000}"/>
    <cellStyle name="Normal 2 3 2 8 3" xfId="27397" xr:uid="{00000000-0005-0000-0000-0000FE6A0000}"/>
    <cellStyle name="Normal 2 3 2 8 3 10" xfId="27398" xr:uid="{00000000-0005-0000-0000-0000FF6A0000}"/>
    <cellStyle name="Normal 2 3 2 8 3 2" xfId="27399" xr:uid="{00000000-0005-0000-0000-0000006B0000}"/>
    <cellStyle name="Normal 2 3 2 8 3 3" xfId="27400" xr:uid="{00000000-0005-0000-0000-0000016B0000}"/>
    <cellStyle name="Normal 2 3 2 8 3 4" xfId="27401" xr:uid="{00000000-0005-0000-0000-0000026B0000}"/>
    <cellStyle name="Normal 2 3 2 8 3 5" xfId="27402" xr:uid="{00000000-0005-0000-0000-0000036B0000}"/>
    <cellStyle name="Normal 2 3 2 8 3 6" xfId="27403" xr:uid="{00000000-0005-0000-0000-0000046B0000}"/>
    <cellStyle name="Normal 2 3 2 8 3 7" xfId="27404" xr:uid="{00000000-0005-0000-0000-0000056B0000}"/>
    <cellStyle name="Normal 2 3 2 8 3 8" xfId="27405" xr:uid="{00000000-0005-0000-0000-0000066B0000}"/>
    <cellStyle name="Normal 2 3 2 8 3 9" xfId="27406" xr:uid="{00000000-0005-0000-0000-0000076B0000}"/>
    <cellStyle name="Normal 2 3 2 8 4" xfId="27407" xr:uid="{00000000-0005-0000-0000-0000086B0000}"/>
    <cellStyle name="Normal 2 3 2 8 4 10" xfId="27408" xr:uid="{00000000-0005-0000-0000-0000096B0000}"/>
    <cellStyle name="Normal 2 3 2 8 4 2" xfId="27409" xr:uid="{00000000-0005-0000-0000-00000A6B0000}"/>
    <cellStyle name="Normal 2 3 2 8 4 3" xfId="27410" xr:uid="{00000000-0005-0000-0000-00000B6B0000}"/>
    <cellStyle name="Normal 2 3 2 8 4 4" xfId="27411" xr:uid="{00000000-0005-0000-0000-00000C6B0000}"/>
    <cellStyle name="Normal 2 3 2 8 4 5" xfId="27412" xr:uid="{00000000-0005-0000-0000-00000D6B0000}"/>
    <cellStyle name="Normal 2 3 2 8 4 6" xfId="27413" xr:uid="{00000000-0005-0000-0000-00000E6B0000}"/>
    <cellStyle name="Normal 2 3 2 8 4 7" xfId="27414" xr:uid="{00000000-0005-0000-0000-00000F6B0000}"/>
    <cellStyle name="Normal 2 3 2 8 4 8" xfId="27415" xr:uid="{00000000-0005-0000-0000-0000106B0000}"/>
    <cellStyle name="Normal 2 3 2 8 4 9" xfId="27416" xr:uid="{00000000-0005-0000-0000-0000116B0000}"/>
    <cellStyle name="Normal 2 3 2 8 5" xfId="27417" xr:uid="{00000000-0005-0000-0000-0000126B0000}"/>
    <cellStyle name="Normal 2 3 2 8 5 10" xfId="27418" xr:uid="{00000000-0005-0000-0000-0000136B0000}"/>
    <cellStyle name="Normal 2 3 2 8 5 2" xfId="27419" xr:uid="{00000000-0005-0000-0000-0000146B0000}"/>
    <cellStyle name="Normal 2 3 2 8 5 3" xfId="27420" xr:uid="{00000000-0005-0000-0000-0000156B0000}"/>
    <cellStyle name="Normal 2 3 2 8 5 4" xfId="27421" xr:uid="{00000000-0005-0000-0000-0000166B0000}"/>
    <cellStyle name="Normal 2 3 2 8 5 5" xfId="27422" xr:uid="{00000000-0005-0000-0000-0000176B0000}"/>
    <cellStyle name="Normal 2 3 2 8 5 6" xfId="27423" xr:uid="{00000000-0005-0000-0000-0000186B0000}"/>
    <cellStyle name="Normal 2 3 2 8 5 7" xfId="27424" xr:uid="{00000000-0005-0000-0000-0000196B0000}"/>
    <cellStyle name="Normal 2 3 2 8 5 8" xfId="27425" xr:uid="{00000000-0005-0000-0000-00001A6B0000}"/>
    <cellStyle name="Normal 2 3 2 8 5 9" xfId="27426" xr:uid="{00000000-0005-0000-0000-00001B6B0000}"/>
    <cellStyle name="Normal 2 3 2 8 6" xfId="27427" xr:uid="{00000000-0005-0000-0000-00001C6B0000}"/>
    <cellStyle name="Normal 2 3 2 8 7" xfId="27428" xr:uid="{00000000-0005-0000-0000-00001D6B0000}"/>
    <cellStyle name="Normal 2 3 2 8 8" xfId="27429" xr:uid="{00000000-0005-0000-0000-00001E6B0000}"/>
    <cellStyle name="Normal 2 3 2 8 9" xfId="27430" xr:uid="{00000000-0005-0000-0000-00001F6B0000}"/>
    <cellStyle name="Normal 2 3 2 9" xfId="27431" xr:uid="{00000000-0005-0000-0000-0000206B0000}"/>
    <cellStyle name="Normal 2 3 2 9 10" xfId="27432" xr:uid="{00000000-0005-0000-0000-0000216B0000}"/>
    <cellStyle name="Normal 2 3 2 9 11" xfId="27433" xr:uid="{00000000-0005-0000-0000-0000226B0000}"/>
    <cellStyle name="Normal 2 3 2 9 12" xfId="27434" xr:uid="{00000000-0005-0000-0000-0000236B0000}"/>
    <cellStyle name="Normal 2 3 2 9 13" xfId="27435" xr:uid="{00000000-0005-0000-0000-0000246B0000}"/>
    <cellStyle name="Normal 2 3 2 9 14" xfId="27436" xr:uid="{00000000-0005-0000-0000-0000256B0000}"/>
    <cellStyle name="Normal 2 3 2 9 2" xfId="27437" xr:uid="{00000000-0005-0000-0000-0000266B0000}"/>
    <cellStyle name="Normal 2 3 2 9 2 10" xfId="27438" xr:uid="{00000000-0005-0000-0000-0000276B0000}"/>
    <cellStyle name="Normal 2 3 2 9 2 2" xfId="27439" xr:uid="{00000000-0005-0000-0000-0000286B0000}"/>
    <cellStyle name="Normal 2 3 2 9 2 3" xfId="27440" xr:uid="{00000000-0005-0000-0000-0000296B0000}"/>
    <cellStyle name="Normal 2 3 2 9 2 4" xfId="27441" xr:uid="{00000000-0005-0000-0000-00002A6B0000}"/>
    <cellStyle name="Normal 2 3 2 9 2 5" xfId="27442" xr:uid="{00000000-0005-0000-0000-00002B6B0000}"/>
    <cellStyle name="Normal 2 3 2 9 2 6" xfId="27443" xr:uid="{00000000-0005-0000-0000-00002C6B0000}"/>
    <cellStyle name="Normal 2 3 2 9 2 7" xfId="27444" xr:uid="{00000000-0005-0000-0000-00002D6B0000}"/>
    <cellStyle name="Normal 2 3 2 9 2 8" xfId="27445" xr:uid="{00000000-0005-0000-0000-00002E6B0000}"/>
    <cellStyle name="Normal 2 3 2 9 2 9" xfId="27446" xr:uid="{00000000-0005-0000-0000-00002F6B0000}"/>
    <cellStyle name="Normal 2 3 2 9 3" xfId="27447" xr:uid="{00000000-0005-0000-0000-0000306B0000}"/>
    <cellStyle name="Normal 2 3 2 9 3 10" xfId="27448" xr:uid="{00000000-0005-0000-0000-0000316B0000}"/>
    <cellStyle name="Normal 2 3 2 9 3 2" xfId="27449" xr:uid="{00000000-0005-0000-0000-0000326B0000}"/>
    <cellStyle name="Normal 2 3 2 9 3 3" xfId="27450" xr:uid="{00000000-0005-0000-0000-0000336B0000}"/>
    <cellStyle name="Normal 2 3 2 9 3 4" xfId="27451" xr:uid="{00000000-0005-0000-0000-0000346B0000}"/>
    <cellStyle name="Normal 2 3 2 9 3 5" xfId="27452" xr:uid="{00000000-0005-0000-0000-0000356B0000}"/>
    <cellStyle name="Normal 2 3 2 9 3 6" xfId="27453" xr:uid="{00000000-0005-0000-0000-0000366B0000}"/>
    <cellStyle name="Normal 2 3 2 9 3 7" xfId="27454" xr:uid="{00000000-0005-0000-0000-0000376B0000}"/>
    <cellStyle name="Normal 2 3 2 9 3 8" xfId="27455" xr:uid="{00000000-0005-0000-0000-0000386B0000}"/>
    <cellStyle name="Normal 2 3 2 9 3 9" xfId="27456" xr:uid="{00000000-0005-0000-0000-0000396B0000}"/>
    <cellStyle name="Normal 2 3 2 9 4" xfId="27457" xr:uid="{00000000-0005-0000-0000-00003A6B0000}"/>
    <cellStyle name="Normal 2 3 2 9 4 10" xfId="27458" xr:uid="{00000000-0005-0000-0000-00003B6B0000}"/>
    <cellStyle name="Normal 2 3 2 9 4 2" xfId="27459" xr:uid="{00000000-0005-0000-0000-00003C6B0000}"/>
    <cellStyle name="Normal 2 3 2 9 4 3" xfId="27460" xr:uid="{00000000-0005-0000-0000-00003D6B0000}"/>
    <cellStyle name="Normal 2 3 2 9 4 4" xfId="27461" xr:uid="{00000000-0005-0000-0000-00003E6B0000}"/>
    <cellStyle name="Normal 2 3 2 9 4 5" xfId="27462" xr:uid="{00000000-0005-0000-0000-00003F6B0000}"/>
    <cellStyle name="Normal 2 3 2 9 4 6" xfId="27463" xr:uid="{00000000-0005-0000-0000-0000406B0000}"/>
    <cellStyle name="Normal 2 3 2 9 4 7" xfId="27464" xr:uid="{00000000-0005-0000-0000-0000416B0000}"/>
    <cellStyle name="Normal 2 3 2 9 4 8" xfId="27465" xr:uid="{00000000-0005-0000-0000-0000426B0000}"/>
    <cellStyle name="Normal 2 3 2 9 4 9" xfId="27466" xr:uid="{00000000-0005-0000-0000-0000436B0000}"/>
    <cellStyle name="Normal 2 3 2 9 5" xfId="27467" xr:uid="{00000000-0005-0000-0000-0000446B0000}"/>
    <cellStyle name="Normal 2 3 2 9 5 10" xfId="27468" xr:uid="{00000000-0005-0000-0000-0000456B0000}"/>
    <cellStyle name="Normal 2 3 2 9 5 2" xfId="27469" xr:uid="{00000000-0005-0000-0000-0000466B0000}"/>
    <cellStyle name="Normal 2 3 2 9 5 3" xfId="27470" xr:uid="{00000000-0005-0000-0000-0000476B0000}"/>
    <cellStyle name="Normal 2 3 2 9 5 4" xfId="27471" xr:uid="{00000000-0005-0000-0000-0000486B0000}"/>
    <cellStyle name="Normal 2 3 2 9 5 5" xfId="27472" xr:uid="{00000000-0005-0000-0000-0000496B0000}"/>
    <cellStyle name="Normal 2 3 2 9 5 6" xfId="27473" xr:uid="{00000000-0005-0000-0000-00004A6B0000}"/>
    <cellStyle name="Normal 2 3 2 9 5 7" xfId="27474" xr:uid="{00000000-0005-0000-0000-00004B6B0000}"/>
    <cellStyle name="Normal 2 3 2 9 5 8" xfId="27475" xr:uid="{00000000-0005-0000-0000-00004C6B0000}"/>
    <cellStyle name="Normal 2 3 2 9 5 9" xfId="27476" xr:uid="{00000000-0005-0000-0000-00004D6B0000}"/>
    <cellStyle name="Normal 2 3 2 9 6" xfId="27477" xr:uid="{00000000-0005-0000-0000-00004E6B0000}"/>
    <cellStyle name="Normal 2 3 2 9 7" xfId="27478" xr:uid="{00000000-0005-0000-0000-00004F6B0000}"/>
    <cellStyle name="Normal 2 3 2 9 8" xfId="27479" xr:uid="{00000000-0005-0000-0000-0000506B0000}"/>
    <cellStyle name="Normal 2 3 2 9 9" xfId="27480" xr:uid="{00000000-0005-0000-0000-0000516B0000}"/>
    <cellStyle name="Normal 2 3 20" xfId="27481" xr:uid="{00000000-0005-0000-0000-0000526B0000}"/>
    <cellStyle name="Normal 2 3 20 10" xfId="27482" xr:uid="{00000000-0005-0000-0000-0000536B0000}"/>
    <cellStyle name="Normal 2 3 20 11" xfId="27483" xr:uid="{00000000-0005-0000-0000-0000546B0000}"/>
    <cellStyle name="Normal 2 3 20 12" xfId="27484" xr:uid="{00000000-0005-0000-0000-0000556B0000}"/>
    <cellStyle name="Normal 2 3 20 13" xfId="27485" xr:uid="{00000000-0005-0000-0000-0000566B0000}"/>
    <cellStyle name="Normal 2 3 20 14" xfId="27486" xr:uid="{00000000-0005-0000-0000-0000576B0000}"/>
    <cellStyle name="Normal 2 3 20 2" xfId="27487" xr:uid="{00000000-0005-0000-0000-0000586B0000}"/>
    <cellStyle name="Normal 2 3 20 2 10" xfId="27488" xr:uid="{00000000-0005-0000-0000-0000596B0000}"/>
    <cellStyle name="Normal 2 3 20 2 2" xfId="27489" xr:uid="{00000000-0005-0000-0000-00005A6B0000}"/>
    <cellStyle name="Normal 2 3 20 2 3" xfId="27490" xr:uid="{00000000-0005-0000-0000-00005B6B0000}"/>
    <cellStyle name="Normal 2 3 20 2 4" xfId="27491" xr:uid="{00000000-0005-0000-0000-00005C6B0000}"/>
    <cellStyle name="Normal 2 3 20 2 5" xfId="27492" xr:uid="{00000000-0005-0000-0000-00005D6B0000}"/>
    <cellStyle name="Normal 2 3 20 2 6" xfId="27493" xr:uid="{00000000-0005-0000-0000-00005E6B0000}"/>
    <cellStyle name="Normal 2 3 20 2 7" xfId="27494" xr:uid="{00000000-0005-0000-0000-00005F6B0000}"/>
    <cellStyle name="Normal 2 3 20 2 8" xfId="27495" xr:uid="{00000000-0005-0000-0000-0000606B0000}"/>
    <cellStyle name="Normal 2 3 20 2 9" xfId="27496" xr:uid="{00000000-0005-0000-0000-0000616B0000}"/>
    <cellStyle name="Normal 2 3 20 3" xfId="27497" xr:uid="{00000000-0005-0000-0000-0000626B0000}"/>
    <cellStyle name="Normal 2 3 20 3 10" xfId="27498" xr:uid="{00000000-0005-0000-0000-0000636B0000}"/>
    <cellStyle name="Normal 2 3 20 3 2" xfId="27499" xr:uid="{00000000-0005-0000-0000-0000646B0000}"/>
    <cellStyle name="Normal 2 3 20 3 3" xfId="27500" xr:uid="{00000000-0005-0000-0000-0000656B0000}"/>
    <cellStyle name="Normal 2 3 20 3 4" xfId="27501" xr:uid="{00000000-0005-0000-0000-0000666B0000}"/>
    <cellStyle name="Normal 2 3 20 3 5" xfId="27502" xr:uid="{00000000-0005-0000-0000-0000676B0000}"/>
    <cellStyle name="Normal 2 3 20 3 6" xfId="27503" xr:uid="{00000000-0005-0000-0000-0000686B0000}"/>
    <cellStyle name="Normal 2 3 20 3 7" xfId="27504" xr:uid="{00000000-0005-0000-0000-0000696B0000}"/>
    <cellStyle name="Normal 2 3 20 3 8" xfId="27505" xr:uid="{00000000-0005-0000-0000-00006A6B0000}"/>
    <cellStyle name="Normal 2 3 20 3 9" xfId="27506" xr:uid="{00000000-0005-0000-0000-00006B6B0000}"/>
    <cellStyle name="Normal 2 3 20 4" xfId="27507" xr:uid="{00000000-0005-0000-0000-00006C6B0000}"/>
    <cellStyle name="Normal 2 3 20 4 10" xfId="27508" xr:uid="{00000000-0005-0000-0000-00006D6B0000}"/>
    <cellStyle name="Normal 2 3 20 4 2" xfId="27509" xr:uid="{00000000-0005-0000-0000-00006E6B0000}"/>
    <cellStyle name="Normal 2 3 20 4 3" xfId="27510" xr:uid="{00000000-0005-0000-0000-00006F6B0000}"/>
    <cellStyle name="Normal 2 3 20 4 4" xfId="27511" xr:uid="{00000000-0005-0000-0000-0000706B0000}"/>
    <cellStyle name="Normal 2 3 20 4 5" xfId="27512" xr:uid="{00000000-0005-0000-0000-0000716B0000}"/>
    <cellStyle name="Normal 2 3 20 4 6" xfId="27513" xr:uid="{00000000-0005-0000-0000-0000726B0000}"/>
    <cellStyle name="Normal 2 3 20 4 7" xfId="27514" xr:uid="{00000000-0005-0000-0000-0000736B0000}"/>
    <cellStyle name="Normal 2 3 20 4 8" xfId="27515" xr:uid="{00000000-0005-0000-0000-0000746B0000}"/>
    <cellStyle name="Normal 2 3 20 4 9" xfId="27516" xr:uid="{00000000-0005-0000-0000-0000756B0000}"/>
    <cellStyle name="Normal 2 3 20 5" xfId="27517" xr:uid="{00000000-0005-0000-0000-0000766B0000}"/>
    <cellStyle name="Normal 2 3 20 5 10" xfId="27518" xr:uid="{00000000-0005-0000-0000-0000776B0000}"/>
    <cellStyle name="Normal 2 3 20 5 2" xfId="27519" xr:uid="{00000000-0005-0000-0000-0000786B0000}"/>
    <cellStyle name="Normal 2 3 20 5 3" xfId="27520" xr:uid="{00000000-0005-0000-0000-0000796B0000}"/>
    <cellStyle name="Normal 2 3 20 5 4" xfId="27521" xr:uid="{00000000-0005-0000-0000-00007A6B0000}"/>
    <cellStyle name="Normal 2 3 20 5 5" xfId="27522" xr:uid="{00000000-0005-0000-0000-00007B6B0000}"/>
    <cellStyle name="Normal 2 3 20 5 6" xfId="27523" xr:uid="{00000000-0005-0000-0000-00007C6B0000}"/>
    <cellStyle name="Normal 2 3 20 5 7" xfId="27524" xr:uid="{00000000-0005-0000-0000-00007D6B0000}"/>
    <cellStyle name="Normal 2 3 20 5 8" xfId="27525" xr:uid="{00000000-0005-0000-0000-00007E6B0000}"/>
    <cellStyle name="Normal 2 3 20 5 9" xfId="27526" xr:uid="{00000000-0005-0000-0000-00007F6B0000}"/>
    <cellStyle name="Normal 2 3 20 6" xfId="27527" xr:uid="{00000000-0005-0000-0000-0000806B0000}"/>
    <cellStyle name="Normal 2 3 20 7" xfId="27528" xr:uid="{00000000-0005-0000-0000-0000816B0000}"/>
    <cellStyle name="Normal 2 3 20 8" xfId="27529" xr:uid="{00000000-0005-0000-0000-0000826B0000}"/>
    <cellStyle name="Normal 2 3 20 9" xfId="27530" xr:uid="{00000000-0005-0000-0000-0000836B0000}"/>
    <cellStyle name="Normal 2 3 21" xfId="27531" xr:uid="{00000000-0005-0000-0000-0000846B0000}"/>
    <cellStyle name="Normal 2 3 21 10" xfId="27532" xr:uid="{00000000-0005-0000-0000-0000856B0000}"/>
    <cellStyle name="Normal 2 3 21 11" xfId="27533" xr:uid="{00000000-0005-0000-0000-0000866B0000}"/>
    <cellStyle name="Normal 2 3 21 12" xfId="27534" xr:uid="{00000000-0005-0000-0000-0000876B0000}"/>
    <cellStyle name="Normal 2 3 21 13" xfId="27535" xr:uid="{00000000-0005-0000-0000-0000886B0000}"/>
    <cellStyle name="Normal 2 3 21 14" xfId="27536" xr:uid="{00000000-0005-0000-0000-0000896B0000}"/>
    <cellStyle name="Normal 2 3 21 2" xfId="27537" xr:uid="{00000000-0005-0000-0000-00008A6B0000}"/>
    <cellStyle name="Normal 2 3 21 2 10" xfId="27538" xr:uid="{00000000-0005-0000-0000-00008B6B0000}"/>
    <cellStyle name="Normal 2 3 21 2 2" xfId="27539" xr:uid="{00000000-0005-0000-0000-00008C6B0000}"/>
    <cellStyle name="Normal 2 3 21 2 3" xfId="27540" xr:uid="{00000000-0005-0000-0000-00008D6B0000}"/>
    <cellStyle name="Normal 2 3 21 2 4" xfId="27541" xr:uid="{00000000-0005-0000-0000-00008E6B0000}"/>
    <cellStyle name="Normal 2 3 21 2 5" xfId="27542" xr:uid="{00000000-0005-0000-0000-00008F6B0000}"/>
    <cellStyle name="Normal 2 3 21 2 6" xfId="27543" xr:uid="{00000000-0005-0000-0000-0000906B0000}"/>
    <cellStyle name="Normal 2 3 21 2 7" xfId="27544" xr:uid="{00000000-0005-0000-0000-0000916B0000}"/>
    <cellStyle name="Normal 2 3 21 2 8" xfId="27545" xr:uid="{00000000-0005-0000-0000-0000926B0000}"/>
    <cellStyle name="Normal 2 3 21 2 9" xfId="27546" xr:uid="{00000000-0005-0000-0000-0000936B0000}"/>
    <cellStyle name="Normal 2 3 21 3" xfId="27547" xr:uid="{00000000-0005-0000-0000-0000946B0000}"/>
    <cellStyle name="Normal 2 3 21 3 10" xfId="27548" xr:uid="{00000000-0005-0000-0000-0000956B0000}"/>
    <cellStyle name="Normal 2 3 21 3 2" xfId="27549" xr:uid="{00000000-0005-0000-0000-0000966B0000}"/>
    <cellStyle name="Normal 2 3 21 3 3" xfId="27550" xr:uid="{00000000-0005-0000-0000-0000976B0000}"/>
    <cellStyle name="Normal 2 3 21 3 4" xfId="27551" xr:uid="{00000000-0005-0000-0000-0000986B0000}"/>
    <cellStyle name="Normal 2 3 21 3 5" xfId="27552" xr:uid="{00000000-0005-0000-0000-0000996B0000}"/>
    <cellStyle name="Normal 2 3 21 3 6" xfId="27553" xr:uid="{00000000-0005-0000-0000-00009A6B0000}"/>
    <cellStyle name="Normal 2 3 21 3 7" xfId="27554" xr:uid="{00000000-0005-0000-0000-00009B6B0000}"/>
    <cellStyle name="Normal 2 3 21 3 8" xfId="27555" xr:uid="{00000000-0005-0000-0000-00009C6B0000}"/>
    <cellStyle name="Normal 2 3 21 3 9" xfId="27556" xr:uid="{00000000-0005-0000-0000-00009D6B0000}"/>
    <cellStyle name="Normal 2 3 21 4" xfId="27557" xr:uid="{00000000-0005-0000-0000-00009E6B0000}"/>
    <cellStyle name="Normal 2 3 21 4 10" xfId="27558" xr:uid="{00000000-0005-0000-0000-00009F6B0000}"/>
    <cellStyle name="Normal 2 3 21 4 2" xfId="27559" xr:uid="{00000000-0005-0000-0000-0000A06B0000}"/>
    <cellStyle name="Normal 2 3 21 4 3" xfId="27560" xr:uid="{00000000-0005-0000-0000-0000A16B0000}"/>
    <cellStyle name="Normal 2 3 21 4 4" xfId="27561" xr:uid="{00000000-0005-0000-0000-0000A26B0000}"/>
    <cellStyle name="Normal 2 3 21 4 5" xfId="27562" xr:uid="{00000000-0005-0000-0000-0000A36B0000}"/>
    <cellStyle name="Normal 2 3 21 4 6" xfId="27563" xr:uid="{00000000-0005-0000-0000-0000A46B0000}"/>
    <cellStyle name="Normal 2 3 21 4 7" xfId="27564" xr:uid="{00000000-0005-0000-0000-0000A56B0000}"/>
    <cellStyle name="Normal 2 3 21 4 8" xfId="27565" xr:uid="{00000000-0005-0000-0000-0000A66B0000}"/>
    <cellStyle name="Normal 2 3 21 4 9" xfId="27566" xr:uid="{00000000-0005-0000-0000-0000A76B0000}"/>
    <cellStyle name="Normal 2 3 21 5" xfId="27567" xr:uid="{00000000-0005-0000-0000-0000A86B0000}"/>
    <cellStyle name="Normal 2 3 21 5 10" xfId="27568" xr:uid="{00000000-0005-0000-0000-0000A96B0000}"/>
    <cellStyle name="Normal 2 3 21 5 2" xfId="27569" xr:uid="{00000000-0005-0000-0000-0000AA6B0000}"/>
    <cellStyle name="Normal 2 3 21 5 3" xfId="27570" xr:uid="{00000000-0005-0000-0000-0000AB6B0000}"/>
    <cellStyle name="Normal 2 3 21 5 4" xfId="27571" xr:uid="{00000000-0005-0000-0000-0000AC6B0000}"/>
    <cellStyle name="Normal 2 3 21 5 5" xfId="27572" xr:uid="{00000000-0005-0000-0000-0000AD6B0000}"/>
    <cellStyle name="Normal 2 3 21 5 6" xfId="27573" xr:uid="{00000000-0005-0000-0000-0000AE6B0000}"/>
    <cellStyle name="Normal 2 3 21 5 7" xfId="27574" xr:uid="{00000000-0005-0000-0000-0000AF6B0000}"/>
    <cellStyle name="Normal 2 3 21 5 8" xfId="27575" xr:uid="{00000000-0005-0000-0000-0000B06B0000}"/>
    <cellStyle name="Normal 2 3 21 5 9" xfId="27576" xr:uid="{00000000-0005-0000-0000-0000B16B0000}"/>
    <cellStyle name="Normal 2 3 21 6" xfId="27577" xr:uid="{00000000-0005-0000-0000-0000B26B0000}"/>
    <cellStyle name="Normal 2 3 21 7" xfId="27578" xr:uid="{00000000-0005-0000-0000-0000B36B0000}"/>
    <cellStyle name="Normal 2 3 21 8" xfId="27579" xr:uid="{00000000-0005-0000-0000-0000B46B0000}"/>
    <cellStyle name="Normal 2 3 21 9" xfId="27580" xr:uid="{00000000-0005-0000-0000-0000B56B0000}"/>
    <cellStyle name="Normal 2 3 22" xfId="27581" xr:uid="{00000000-0005-0000-0000-0000B66B0000}"/>
    <cellStyle name="Normal 2 3 22 10" xfId="27582" xr:uid="{00000000-0005-0000-0000-0000B76B0000}"/>
    <cellStyle name="Normal 2 3 22 11" xfId="27583" xr:uid="{00000000-0005-0000-0000-0000B86B0000}"/>
    <cellStyle name="Normal 2 3 22 12" xfId="27584" xr:uid="{00000000-0005-0000-0000-0000B96B0000}"/>
    <cellStyle name="Normal 2 3 22 13" xfId="27585" xr:uid="{00000000-0005-0000-0000-0000BA6B0000}"/>
    <cellStyle name="Normal 2 3 22 14" xfId="27586" xr:uid="{00000000-0005-0000-0000-0000BB6B0000}"/>
    <cellStyle name="Normal 2 3 22 2" xfId="27587" xr:uid="{00000000-0005-0000-0000-0000BC6B0000}"/>
    <cellStyle name="Normal 2 3 22 2 10" xfId="27588" xr:uid="{00000000-0005-0000-0000-0000BD6B0000}"/>
    <cellStyle name="Normal 2 3 22 2 2" xfId="27589" xr:uid="{00000000-0005-0000-0000-0000BE6B0000}"/>
    <cellStyle name="Normal 2 3 22 2 3" xfId="27590" xr:uid="{00000000-0005-0000-0000-0000BF6B0000}"/>
    <cellStyle name="Normal 2 3 22 2 4" xfId="27591" xr:uid="{00000000-0005-0000-0000-0000C06B0000}"/>
    <cellStyle name="Normal 2 3 22 2 5" xfId="27592" xr:uid="{00000000-0005-0000-0000-0000C16B0000}"/>
    <cellStyle name="Normal 2 3 22 2 6" xfId="27593" xr:uid="{00000000-0005-0000-0000-0000C26B0000}"/>
    <cellStyle name="Normal 2 3 22 2 7" xfId="27594" xr:uid="{00000000-0005-0000-0000-0000C36B0000}"/>
    <cellStyle name="Normal 2 3 22 2 8" xfId="27595" xr:uid="{00000000-0005-0000-0000-0000C46B0000}"/>
    <cellStyle name="Normal 2 3 22 2 9" xfId="27596" xr:uid="{00000000-0005-0000-0000-0000C56B0000}"/>
    <cellStyle name="Normal 2 3 22 3" xfId="27597" xr:uid="{00000000-0005-0000-0000-0000C66B0000}"/>
    <cellStyle name="Normal 2 3 22 3 10" xfId="27598" xr:uid="{00000000-0005-0000-0000-0000C76B0000}"/>
    <cellStyle name="Normal 2 3 22 3 2" xfId="27599" xr:uid="{00000000-0005-0000-0000-0000C86B0000}"/>
    <cellStyle name="Normal 2 3 22 3 3" xfId="27600" xr:uid="{00000000-0005-0000-0000-0000C96B0000}"/>
    <cellStyle name="Normal 2 3 22 3 4" xfId="27601" xr:uid="{00000000-0005-0000-0000-0000CA6B0000}"/>
    <cellStyle name="Normal 2 3 22 3 5" xfId="27602" xr:uid="{00000000-0005-0000-0000-0000CB6B0000}"/>
    <cellStyle name="Normal 2 3 22 3 6" xfId="27603" xr:uid="{00000000-0005-0000-0000-0000CC6B0000}"/>
    <cellStyle name="Normal 2 3 22 3 7" xfId="27604" xr:uid="{00000000-0005-0000-0000-0000CD6B0000}"/>
    <cellStyle name="Normal 2 3 22 3 8" xfId="27605" xr:uid="{00000000-0005-0000-0000-0000CE6B0000}"/>
    <cellStyle name="Normal 2 3 22 3 9" xfId="27606" xr:uid="{00000000-0005-0000-0000-0000CF6B0000}"/>
    <cellStyle name="Normal 2 3 22 4" xfId="27607" xr:uid="{00000000-0005-0000-0000-0000D06B0000}"/>
    <cellStyle name="Normal 2 3 22 4 10" xfId="27608" xr:uid="{00000000-0005-0000-0000-0000D16B0000}"/>
    <cellStyle name="Normal 2 3 22 4 2" xfId="27609" xr:uid="{00000000-0005-0000-0000-0000D26B0000}"/>
    <cellStyle name="Normal 2 3 22 4 3" xfId="27610" xr:uid="{00000000-0005-0000-0000-0000D36B0000}"/>
    <cellStyle name="Normal 2 3 22 4 4" xfId="27611" xr:uid="{00000000-0005-0000-0000-0000D46B0000}"/>
    <cellStyle name="Normal 2 3 22 4 5" xfId="27612" xr:uid="{00000000-0005-0000-0000-0000D56B0000}"/>
    <cellStyle name="Normal 2 3 22 4 6" xfId="27613" xr:uid="{00000000-0005-0000-0000-0000D66B0000}"/>
    <cellStyle name="Normal 2 3 22 4 7" xfId="27614" xr:uid="{00000000-0005-0000-0000-0000D76B0000}"/>
    <cellStyle name="Normal 2 3 22 4 8" xfId="27615" xr:uid="{00000000-0005-0000-0000-0000D86B0000}"/>
    <cellStyle name="Normal 2 3 22 4 9" xfId="27616" xr:uid="{00000000-0005-0000-0000-0000D96B0000}"/>
    <cellStyle name="Normal 2 3 22 5" xfId="27617" xr:uid="{00000000-0005-0000-0000-0000DA6B0000}"/>
    <cellStyle name="Normal 2 3 22 5 10" xfId="27618" xr:uid="{00000000-0005-0000-0000-0000DB6B0000}"/>
    <cellStyle name="Normal 2 3 22 5 2" xfId="27619" xr:uid="{00000000-0005-0000-0000-0000DC6B0000}"/>
    <cellStyle name="Normal 2 3 22 5 3" xfId="27620" xr:uid="{00000000-0005-0000-0000-0000DD6B0000}"/>
    <cellStyle name="Normal 2 3 22 5 4" xfId="27621" xr:uid="{00000000-0005-0000-0000-0000DE6B0000}"/>
    <cellStyle name="Normal 2 3 22 5 5" xfId="27622" xr:uid="{00000000-0005-0000-0000-0000DF6B0000}"/>
    <cellStyle name="Normal 2 3 22 5 6" xfId="27623" xr:uid="{00000000-0005-0000-0000-0000E06B0000}"/>
    <cellStyle name="Normal 2 3 22 5 7" xfId="27624" xr:uid="{00000000-0005-0000-0000-0000E16B0000}"/>
    <cellStyle name="Normal 2 3 22 5 8" xfId="27625" xr:uid="{00000000-0005-0000-0000-0000E26B0000}"/>
    <cellStyle name="Normal 2 3 22 5 9" xfId="27626" xr:uid="{00000000-0005-0000-0000-0000E36B0000}"/>
    <cellStyle name="Normal 2 3 22 6" xfId="27627" xr:uid="{00000000-0005-0000-0000-0000E46B0000}"/>
    <cellStyle name="Normal 2 3 22 7" xfId="27628" xr:uid="{00000000-0005-0000-0000-0000E56B0000}"/>
    <cellStyle name="Normal 2 3 22 8" xfId="27629" xr:uid="{00000000-0005-0000-0000-0000E66B0000}"/>
    <cellStyle name="Normal 2 3 22 9" xfId="27630" xr:uid="{00000000-0005-0000-0000-0000E76B0000}"/>
    <cellStyle name="Normal 2 3 23" xfId="27631" xr:uid="{00000000-0005-0000-0000-0000E86B0000}"/>
    <cellStyle name="Normal 2 3 23 10" xfId="27632" xr:uid="{00000000-0005-0000-0000-0000E96B0000}"/>
    <cellStyle name="Normal 2 3 23 11" xfId="27633" xr:uid="{00000000-0005-0000-0000-0000EA6B0000}"/>
    <cellStyle name="Normal 2 3 23 12" xfId="27634" xr:uid="{00000000-0005-0000-0000-0000EB6B0000}"/>
    <cellStyle name="Normal 2 3 23 13" xfId="27635" xr:uid="{00000000-0005-0000-0000-0000EC6B0000}"/>
    <cellStyle name="Normal 2 3 23 14" xfId="27636" xr:uid="{00000000-0005-0000-0000-0000ED6B0000}"/>
    <cellStyle name="Normal 2 3 23 2" xfId="27637" xr:uid="{00000000-0005-0000-0000-0000EE6B0000}"/>
    <cellStyle name="Normal 2 3 23 2 10" xfId="27638" xr:uid="{00000000-0005-0000-0000-0000EF6B0000}"/>
    <cellStyle name="Normal 2 3 23 2 2" xfId="27639" xr:uid="{00000000-0005-0000-0000-0000F06B0000}"/>
    <cellStyle name="Normal 2 3 23 2 3" xfId="27640" xr:uid="{00000000-0005-0000-0000-0000F16B0000}"/>
    <cellStyle name="Normal 2 3 23 2 4" xfId="27641" xr:uid="{00000000-0005-0000-0000-0000F26B0000}"/>
    <cellStyle name="Normal 2 3 23 2 5" xfId="27642" xr:uid="{00000000-0005-0000-0000-0000F36B0000}"/>
    <cellStyle name="Normal 2 3 23 2 6" xfId="27643" xr:uid="{00000000-0005-0000-0000-0000F46B0000}"/>
    <cellStyle name="Normal 2 3 23 2 7" xfId="27644" xr:uid="{00000000-0005-0000-0000-0000F56B0000}"/>
    <cellStyle name="Normal 2 3 23 2 8" xfId="27645" xr:uid="{00000000-0005-0000-0000-0000F66B0000}"/>
    <cellStyle name="Normal 2 3 23 2 9" xfId="27646" xr:uid="{00000000-0005-0000-0000-0000F76B0000}"/>
    <cellStyle name="Normal 2 3 23 3" xfId="27647" xr:uid="{00000000-0005-0000-0000-0000F86B0000}"/>
    <cellStyle name="Normal 2 3 23 3 10" xfId="27648" xr:uid="{00000000-0005-0000-0000-0000F96B0000}"/>
    <cellStyle name="Normal 2 3 23 3 2" xfId="27649" xr:uid="{00000000-0005-0000-0000-0000FA6B0000}"/>
    <cellStyle name="Normal 2 3 23 3 3" xfId="27650" xr:uid="{00000000-0005-0000-0000-0000FB6B0000}"/>
    <cellStyle name="Normal 2 3 23 3 4" xfId="27651" xr:uid="{00000000-0005-0000-0000-0000FC6B0000}"/>
    <cellStyle name="Normal 2 3 23 3 5" xfId="27652" xr:uid="{00000000-0005-0000-0000-0000FD6B0000}"/>
    <cellStyle name="Normal 2 3 23 3 6" xfId="27653" xr:uid="{00000000-0005-0000-0000-0000FE6B0000}"/>
    <cellStyle name="Normal 2 3 23 3 7" xfId="27654" xr:uid="{00000000-0005-0000-0000-0000FF6B0000}"/>
    <cellStyle name="Normal 2 3 23 3 8" xfId="27655" xr:uid="{00000000-0005-0000-0000-0000006C0000}"/>
    <cellStyle name="Normal 2 3 23 3 9" xfId="27656" xr:uid="{00000000-0005-0000-0000-0000016C0000}"/>
    <cellStyle name="Normal 2 3 23 4" xfId="27657" xr:uid="{00000000-0005-0000-0000-0000026C0000}"/>
    <cellStyle name="Normal 2 3 23 4 10" xfId="27658" xr:uid="{00000000-0005-0000-0000-0000036C0000}"/>
    <cellStyle name="Normal 2 3 23 4 2" xfId="27659" xr:uid="{00000000-0005-0000-0000-0000046C0000}"/>
    <cellStyle name="Normal 2 3 23 4 3" xfId="27660" xr:uid="{00000000-0005-0000-0000-0000056C0000}"/>
    <cellStyle name="Normal 2 3 23 4 4" xfId="27661" xr:uid="{00000000-0005-0000-0000-0000066C0000}"/>
    <cellStyle name="Normal 2 3 23 4 5" xfId="27662" xr:uid="{00000000-0005-0000-0000-0000076C0000}"/>
    <cellStyle name="Normal 2 3 23 4 6" xfId="27663" xr:uid="{00000000-0005-0000-0000-0000086C0000}"/>
    <cellStyle name="Normal 2 3 23 4 7" xfId="27664" xr:uid="{00000000-0005-0000-0000-0000096C0000}"/>
    <cellStyle name="Normal 2 3 23 4 8" xfId="27665" xr:uid="{00000000-0005-0000-0000-00000A6C0000}"/>
    <cellStyle name="Normal 2 3 23 4 9" xfId="27666" xr:uid="{00000000-0005-0000-0000-00000B6C0000}"/>
    <cellStyle name="Normal 2 3 23 5" xfId="27667" xr:uid="{00000000-0005-0000-0000-00000C6C0000}"/>
    <cellStyle name="Normal 2 3 23 5 10" xfId="27668" xr:uid="{00000000-0005-0000-0000-00000D6C0000}"/>
    <cellStyle name="Normal 2 3 23 5 2" xfId="27669" xr:uid="{00000000-0005-0000-0000-00000E6C0000}"/>
    <cellStyle name="Normal 2 3 23 5 3" xfId="27670" xr:uid="{00000000-0005-0000-0000-00000F6C0000}"/>
    <cellStyle name="Normal 2 3 23 5 4" xfId="27671" xr:uid="{00000000-0005-0000-0000-0000106C0000}"/>
    <cellStyle name="Normal 2 3 23 5 5" xfId="27672" xr:uid="{00000000-0005-0000-0000-0000116C0000}"/>
    <cellStyle name="Normal 2 3 23 5 6" xfId="27673" xr:uid="{00000000-0005-0000-0000-0000126C0000}"/>
    <cellStyle name="Normal 2 3 23 5 7" xfId="27674" xr:uid="{00000000-0005-0000-0000-0000136C0000}"/>
    <cellStyle name="Normal 2 3 23 5 8" xfId="27675" xr:uid="{00000000-0005-0000-0000-0000146C0000}"/>
    <cellStyle name="Normal 2 3 23 5 9" xfId="27676" xr:uid="{00000000-0005-0000-0000-0000156C0000}"/>
    <cellStyle name="Normal 2 3 23 6" xfId="27677" xr:uid="{00000000-0005-0000-0000-0000166C0000}"/>
    <cellStyle name="Normal 2 3 23 7" xfId="27678" xr:uid="{00000000-0005-0000-0000-0000176C0000}"/>
    <cellStyle name="Normal 2 3 23 8" xfId="27679" xr:uid="{00000000-0005-0000-0000-0000186C0000}"/>
    <cellStyle name="Normal 2 3 23 9" xfId="27680" xr:uid="{00000000-0005-0000-0000-0000196C0000}"/>
    <cellStyle name="Normal 2 3 24" xfId="27681" xr:uid="{00000000-0005-0000-0000-00001A6C0000}"/>
    <cellStyle name="Normal 2 3 24 10" xfId="27682" xr:uid="{00000000-0005-0000-0000-00001B6C0000}"/>
    <cellStyle name="Normal 2 3 24 11" xfId="27683" xr:uid="{00000000-0005-0000-0000-00001C6C0000}"/>
    <cellStyle name="Normal 2 3 24 12" xfId="27684" xr:uid="{00000000-0005-0000-0000-00001D6C0000}"/>
    <cellStyle name="Normal 2 3 24 13" xfId="27685" xr:uid="{00000000-0005-0000-0000-00001E6C0000}"/>
    <cellStyle name="Normal 2 3 24 14" xfId="27686" xr:uid="{00000000-0005-0000-0000-00001F6C0000}"/>
    <cellStyle name="Normal 2 3 24 2" xfId="27687" xr:uid="{00000000-0005-0000-0000-0000206C0000}"/>
    <cellStyle name="Normal 2 3 24 2 10" xfId="27688" xr:uid="{00000000-0005-0000-0000-0000216C0000}"/>
    <cellStyle name="Normal 2 3 24 2 2" xfId="27689" xr:uid="{00000000-0005-0000-0000-0000226C0000}"/>
    <cellStyle name="Normal 2 3 24 2 3" xfId="27690" xr:uid="{00000000-0005-0000-0000-0000236C0000}"/>
    <cellStyle name="Normal 2 3 24 2 4" xfId="27691" xr:uid="{00000000-0005-0000-0000-0000246C0000}"/>
    <cellStyle name="Normal 2 3 24 2 5" xfId="27692" xr:uid="{00000000-0005-0000-0000-0000256C0000}"/>
    <cellStyle name="Normal 2 3 24 2 6" xfId="27693" xr:uid="{00000000-0005-0000-0000-0000266C0000}"/>
    <cellStyle name="Normal 2 3 24 2 7" xfId="27694" xr:uid="{00000000-0005-0000-0000-0000276C0000}"/>
    <cellStyle name="Normal 2 3 24 2 8" xfId="27695" xr:uid="{00000000-0005-0000-0000-0000286C0000}"/>
    <cellStyle name="Normal 2 3 24 2 9" xfId="27696" xr:uid="{00000000-0005-0000-0000-0000296C0000}"/>
    <cellStyle name="Normal 2 3 24 3" xfId="27697" xr:uid="{00000000-0005-0000-0000-00002A6C0000}"/>
    <cellStyle name="Normal 2 3 24 3 10" xfId="27698" xr:uid="{00000000-0005-0000-0000-00002B6C0000}"/>
    <cellStyle name="Normal 2 3 24 3 2" xfId="27699" xr:uid="{00000000-0005-0000-0000-00002C6C0000}"/>
    <cellStyle name="Normal 2 3 24 3 3" xfId="27700" xr:uid="{00000000-0005-0000-0000-00002D6C0000}"/>
    <cellStyle name="Normal 2 3 24 3 4" xfId="27701" xr:uid="{00000000-0005-0000-0000-00002E6C0000}"/>
    <cellStyle name="Normal 2 3 24 3 5" xfId="27702" xr:uid="{00000000-0005-0000-0000-00002F6C0000}"/>
    <cellStyle name="Normal 2 3 24 3 6" xfId="27703" xr:uid="{00000000-0005-0000-0000-0000306C0000}"/>
    <cellStyle name="Normal 2 3 24 3 7" xfId="27704" xr:uid="{00000000-0005-0000-0000-0000316C0000}"/>
    <cellStyle name="Normal 2 3 24 3 8" xfId="27705" xr:uid="{00000000-0005-0000-0000-0000326C0000}"/>
    <cellStyle name="Normal 2 3 24 3 9" xfId="27706" xr:uid="{00000000-0005-0000-0000-0000336C0000}"/>
    <cellStyle name="Normal 2 3 24 4" xfId="27707" xr:uid="{00000000-0005-0000-0000-0000346C0000}"/>
    <cellStyle name="Normal 2 3 24 4 10" xfId="27708" xr:uid="{00000000-0005-0000-0000-0000356C0000}"/>
    <cellStyle name="Normal 2 3 24 4 2" xfId="27709" xr:uid="{00000000-0005-0000-0000-0000366C0000}"/>
    <cellStyle name="Normal 2 3 24 4 3" xfId="27710" xr:uid="{00000000-0005-0000-0000-0000376C0000}"/>
    <cellStyle name="Normal 2 3 24 4 4" xfId="27711" xr:uid="{00000000-0005-0000-0000-0000386C0000}"/>
    <cellStyle name="Normal 2 3 24 4 5" xfId="27712" xr:uid="{00000000-0005-0000-0000-0000396C0000}"/>
    <cellStyle name="Normal 2 3 24 4 6" xfId="27713" xr:uid="{00000000-0005-0000-0000-00003A6C0000}"/>
    <cellStyle name="Normal 2 3 24 4 7" xfId="27714" xr:uid="{00000000-0005-0000-0000-00003B6C0000}"/>
    <cellStyle name="Normal 2 3 24 4 8" xfId="27715" xr:uid="{00000000-0005-0000-0000-00003C6C0000}"/>
    <cellStyle name="Normal 2 3 24 4 9" xfId="27716" xr:uid="{00000000-0005-0000-0000-00003D6C0000}"/>
    <cellStyle name="Normal 2 3 24 5" xfId="27717" xr:uid="{00000000-0005-0000-0000-00003E6C0000}"/>
    <cellStyle name="Normal 2 3 24 5 10" xfId="27718" xr:uid="{00000000-0005-0000-0000-00003F6C0000}"/>
    <cellStyle name="Normal 2 3 24 5 2" xfId="27719" xr:uid="{00000000-0005-0000-0000-0000406C0000}"/>
    <cellStyle name="Normal 2 3 24 5 3" xfId="27720" xr:uid="{00000000-0005-0000-0000-0000416C0000}"/>
    <cellStyle name="Normal 2 3 24 5 4" xfId="27721" xr:uid="{00000000-0005-0000-0000-0000426C0000}"/>
    <cellStyle name="Normal 2 3 24 5 5" xfId="27722" xr:uid="{00000000-0005-0000-0000-0000436C0000}"/>
    <cellStyle name="Normal 2 3 24 5 6" xfId="27723" xr:uid="{00000000-0005-0000-0000-0000446C0000}"/>
    <cellStyle name="Normal 2 3 24 5 7" xfId="27724" xr:uid="{00000000-0005-0000-0000-0000456C0000}"/>
    <cellStyle name="Normal 2 3 24 5 8" xfId="27725" xr:uid="{00000000-0005-0000-0000-0000466C0000}"/>
    <cellStyle name="Normal 2 3 24 5 9" xfId="27726" xr:uid="{00000000-0005-0000-0000-0000476C0000}"/>
    <cellStyle name="Normal 2 3 24 6" xfId="27727" xr:uid="{00000000-0005-0000-0000-0000486C0000}"/>
    <cellStyle name="Normal 2 3 24 7" xfId="27728" xr:uid="{00000000-0005-0000-0000-0000496C0000}"/>
    <cellStyle name="Normal 2 3 24 8" xfId="27729" xr:uid="{00000000-0005-0000-0000-00004A6C0000}"/>
    <cellStyle name="Normal 2 3 24 9" xfId="27730" xr:uid="{00000000-0005-0000-0000-00004B6C0000}"/>
    <cellStyle name="Normal 2 3 25" xfId="27731" xr:uid="{00000000-0005-0000-0000-00004C6C0000}"/>
    <cellStyle name="Normal 2 3 25 10" xfId="27732" xr:uid="{00000000-0005-0000-0000-00004D6C0000}"/>
    <cellStyle name="Normal 2 3 25 11" xfId="27733" xr:uid="{00000000-0005-0000-0000-00004E6C0000}"/>
    <cellStyle name="Normal 2 3 25 12" xfId="27734" xr:uid="{00000000-0005-0000-0000-00004F6C0000}"/>
    <cellStyle name="Normal 2 3 25 13" xfId="27735" xr:uid="{00000000-0005-0000-0000-0000506C0000}"/>
    <cellStyle name="Normal 2 3 25 14" xfId="27736" xr:uid="{00000000-0005-0000-0000-0000516C0000}"/>
    <cellStyle name="Normal 2 3 25 2" xfId="27737" xr:uid="{00000000-0005-0000-0000-0000526C0000}"/>
    <cellStyle name="Normal 2 3 25 2 10" xfId="27738" xr:uid="{00000000-0005-0000-0000-0000536C0000}"/>
    <cellStyle name="Normal 2 3 25 2 2" xfId="27739" xr:uid="{00000000-0005-0000-0000-0000546C0000}"/>
    <cellStyle name="Normal 2 3 25 2 3" xfId="27740" xr:uid="{00000000-0005-0000-0000-0000556C0000}"/>
    <cellStyle name="Normal 2 3 25 2 4" xfId="27741" xr:uid="{00000000-0005-0000-0000-0000566C0000}"/>
    <cellStyle name="Normal 2 3 25 2 5" xfId="27742" xr:uid="{00000000-0005-0000-0000-0000576C0000}"/>
    <cellStyle name="Normal 2 3 25 2 6" xfId="27743" xr:uid="{00000000-0005-0000-0000-0000586C0000}"/>
    <cellStyle name="Normal 2 3 25 2 7" xfId="27744" xr:uid="{00000000-0005-0000-0000-0000596C0000}"/>
    <cellStyle name="Normal 2 3 25 2 8" xfId="27745" xr:uid="{00000000-0005-0000-0000-00005A6C0000}"/>
    <cellStyle name="Normal 2 3 25 2 9" xfId="27746" xr:uid="{00000000-0005-0000-0000-00005B6C0000}"/>
    <cellStyle name="Normal 2 3 25 3" xfId="27747" xr:uid="{00000000-0005-0000-0000-00005C6C0000}"/>
    <cellStyle name="Normal 2 3 25 3 10" xfId="27748" xr:uid="{00000000-0005-0000-0000-00005D6C0000}"/>
    <cellStyle name="Normal 2 3 25 3 2" xfId="27749" xr:uid="{00000000-0005-0000-0000-00005E6C0000}"/>
    <cellStyle name="Normal 2 3 25 3 3" xfId="27750" xr:uid="{00000000-0005-0000-0000-00005F6C0000}"/>
    <cellStyle name="Normal 2 3 25 3 4" xfId="27751" xr:uid="{00000000-0005-0000-0000-0000606C0000}"/>
    <cellStyle name="Normal 2 3 25 3 5" xfId="27752" xr:uid="{00000000-0005-0000-0000-0000616C0000}"/>
    <cellStyle name="Normal 2 3 25 3 6" xfId="27753" xr:uid="{00000000-0005-0000-0000-0000626C0000}"/>
    <cellStyle name="Normal 2 3 25 3 7" xfId="27754" xr:uid="{00000000-0005-0000-0000-0000636C0000}"/>
    <cellStyle name="Normal 2 3 25 3 8" xfId="27755" xr:uid="{00000000-0005-0000-0000-0000646C0000}"/>
    <cellStyle name="Normal 2 3 25 3 9" xfId="27756" xr:uid="{00000000-0005-0000-0000-0000656C0000}"/>
    <cellStyle name="Normal 2 3 25 4" xfId="27757" xr:uid="{00000000-0005-0000-0000-0000666C0000}"/>
    <cellStyle name="Normal 2 3 25 4 10" xfId="27758" xr:uid="{00000000-0005-0000-0000-0000676C0000}"/>
    <cellStyle name="Normal 2 3 25 4 2" xfId="27759" xr:uid="{00000000-0005-0000-0000-0000686C0000}"/>
    <cellStyle name="Normal 2 3 25 4 3" xfId="27760" xr:uid="{00000000-0005-0000-0000-0000696C0000}"/>
    <cellStyle name="Normal 2 3 25 4 4" xfId="27761" xr:uid="{00000000-0005-0000-0000-00006A6C0000}"/>
    <cellStyle name="Normal 2 3 25 4 5" xfId="27762" xr:uid="{00000000-0005-0000-0000-00006B6C0000}"/>
    <cellStyle name="Normal 2 3 25 4 6" xfId="27763" xr:uid="{00000000-0005-0000-0000-00006C6C0000}"/>
    <cellStyle name="Normal 2 3 25 4 7" xfId="27764" xr:uid="{00000000-0005-0000-0000-00006D6C0000}"/>
    <cellStyle name="Normal 2 3 25 4 8" xfId="27765" xr:uid="{00000000-0005-0000-0000-00006E6C0000}"/>
    <cellStyle name="Normal 2 3 25 4 9" xfId="27766" xr:uid="{00000000-0005-0000-0000-00006F6C0000}"/>
    <cellStyle name="Normal 2 3 25 5" xfId="27767" xr:uid="{00000000-0005-0000-0000-0000706C0000}"/>
    <cellStyle name="Normal 2 3 25 5 10" xfId="27768" xr:uid="{00000000-0005-0000-0000-0000716C0000}"/>
    <cellStyle name="Normal 2 3 25 5 2" xfId="27769" xr:uid="{00000000-0005-0000-0000-0000726C0000}"/>
    <cellStyle name="Normal 2 3 25 5 3" xfId="27770" xr:uid="{00000000-0005-0000-0000-0000736C0000}"/>
    <cellStyle name="Normal 2 3 25 5 4" xfId="27771" xr:uid="{00000000-0005-0000-0000-0000746C0000}"/>
    <cellStyle name="Normal 2 3 25 5 5" xfId="27772" xr:uid="{00000000-0005-0000-0000-0000756C0000}"/>
    <cellStyle name="Normal 2 3 25 5 6" xfId="27773" xr:uid="{00000000-0005-0000-0000-0000766C0000}"/>
    <cellStyle name="Normal 2 3 25 5 7" xfId="27774" xr:uid="{00000000-0005-0000-0000-0000776C0000}"/>
    <cellStyle name="Normal 2 3 25 5 8" xfId="27775" xr:uid="{00000000-0005-0000-0000-0000786C0000}"/>
    <cellStyle name="Normal 2 3 25 5 9" xfId="27776" xr:uid="{00000000-0005-0000-0000-0000796C0000}"/>
    <cellStyle name="Normal 2 3 25 6" xfId="27777" xr:uid="{00000000-0005-0000-0000-00007A6C0000}"/>
    <cellStyle name="Normal 2 3 25 7" xfId="27778" xr:uid="{00000000-0005-0000-0000-00007B6C0000}"/>
    <cellStyle name="Normal 2 3 25 8" xfId="27779" xr:uid="{00000000-0005-0000-0000-00007C6C0000}"/>
    <cellStyle name="Normal 2 3 25 9" xfId="27780" xr:uid="{00000000-0005-0000-0000-00007D6C0000}"/>
    <cellStyle name="Normal 2 3 26" xfId="27781" xr:uid="{00000000-0005-0000-0000-00007E6C0000}"/>
    <cellStyle name="Normal 2 3 26 10" xfId="27782" xr:uid="{00000000-0005-0000-0000-00007F6C0000}"/>
    <cellStyle name="Normal 2 3 26 11" xfId="27783" xr:uid="{00000000-0005-0000-0000-0000806C0000}"/>
    <cellStyle name="Normal 2 3 26 12" xfId="27784" xr:uid="{00000000-0005-0000-0000-0000816C0000}"/>
    <cellStyle name="Normal 2 3 26 13" xfId="27785" xr:uid="{00000000-0005-0000-0000-0000826C0000}"/>
    <cellStyle name="Normal 2 3 26 14" xfId="27786" xr:uid="{00000000-0005-0000-0000-0000836C0000}"/>
    <cellStyle name="Normal 2 3 26 2" xfId="27787" xr:uid="{00000000-0005-0000-0000-0000846C0000}"/>
    <cellStyle name="Normal 2 3 26 2 10" xfId="27788" xr:uid="{00000000-0005-0000-0000-0000856C0000}"/>
    <cellStyle name="Normal 2 3 26 2 2" xfId="27789" xr:uid="{00000000-0005-0000-0000-0000866C0000}"/>
    <cellStyle name="Normal 2 3 26 2 3" xfId="27790" xr:uid="{00000000-0005-0000-0000-0000876C0000}"/>
    <cellStyle name="Normal 2 3 26 2 4" xfId="27791" xr:uid="{00000000-0005-0000-0000-0000886C0000}"/>
    <cellStyle name="Normal 2 3 26 2 5" xfId="27792" xr:uid="{00000000-0005-0000-0000-0000896C0000}"/>
    <cellStyle name="Normal 2 3 26 2 6" xfId="27793" xr:uid="{00000000-0005-0000-0000-00008A6C0000}"/>
    <cellStyle name="Normal 2 3 26 2 7" xfId="27794" xr:uid="{00000000-0005-0000-0000-00008B6C0000}"/>
    <cellStyle name="Normal 2 3 26 2 8" xfId="27795" xr:uid="{00000000-0005-0000-0000-00008C6C0000}"/>
    <cellStyle name="Normal 2 3 26 2 9" xfId="27796" xr:uid="{00000000-0005-0000-0000-00008D6C0000}"/>
    <cellStyle name="Normal 2 3 26 3" xfId="27797" xr:uid="{00000000-0005-0000-0000-00008E6C0000}"/>
    <cellStyle name="Normal 2 3 26 3 10" xfId="27798" xr:uid="{00000000-0005-0000-0000-00008F6C0000}"/>
    <cellStyle name="Normal 2 3 26 3 2" xfId="27799" xr:uid="{00000000-0005-0000-0000-0000906C0000}"/>
    <cellStyle name="Normal 2 3 26 3 3" xfId="27800" xr:uid="{00000000-0005-0000-0000-0000916C0000}"/>
    <cellStyle name="Normal 2 3 26 3 4" xfId="27801" xr:uid="{00000000-0005-0000-0000-0000926C0000}"/>
    <cellStyle name="Normal 2 3 26 3 5" xfId="27802" xr:uid="{00000000-0005-0000-0000-0000936C0000}"/>
    <cellStyle name="Normal 2 3 26 3 6" xfId="27803" xr:uid="{00000000-0005-0000-0000-0000946C0000}"/>
    <cellStyle name="Normal 2 3 26 3 7" xfId="27804" xr:uid="{00000000-0005-0000-0000-0000956C0000}"/>
    <cellStyle name="Normal 2 3 26 3 8" xfId="27805" xr:uid="{00000000-0005-0000-0000-0000966C0000}"/>
    <cellStyle name="Normal 2 3 26 3 9" xfId="27806" xr:uid="{00000000-0005-0000-0000-0000976C0000}"/>
    <cellStyle name="Normal 2 3 26 4" xfId="27807" xr:uid="{00000000-0005-0000-0000-0000986C0000}"/>
    <cellStyle name="Normal 2 3 26 4 10" xfId="27808" xr:uid="{00000000-0005-0000-0000-0000996C0000}"/>
    <cellStyle name="Normal 2 3 26 4 2" xfId="27809" xr:uid="{00000000-0005-0000-0000-00009A6C0000}"/>
    <cellStyle name="Normal 2 3 26 4 3" xfId="27810" xr:uid="{00000000-0005-0000-0000-00009B6C0000}"/>
    <cellStyle name="Normal 2 3 26 4 4" xfId="27811" xr:uid="{00000000-0005-0000-0000-00009C6C0000}"/>
    <cellStyle name="Normal 2 3 26 4 5" xfId="27812" xr:uid="{00000000-0005-0000-0000-00009D6C0000}"/>
    <cellStyle name="Normal 2 3 26 4 6" xfId="27813" xr:uid="{00000000-0005-0000-0000-00009E6C0000}"/>
    <cellStyle name="Normal 2 3 26 4 7" xfId="27814" xr:uid="{00000000-0005-0000-0000-00009F6C0000}"/>
    <cellStyle name="Normal 2 3 26 4 8" xfId="27815" xr:uid="{00000000-0005-0000-0000-0000A06C0000}"/>
    <cellStyle name="Normal 2 3 26 4 9" xfId="27816" xr:uid="{00000000-0005-0000-0000-0000A16C0000}"/>
    <cellStyle name="Normal 2 3 26 5" xfId="27817" xr:uid="{00000000-0005-0000-0000-0000A26C0000}"/>
    <cellStyle name="Normal 2 3 26 5 10" xfId="27818" xr:uid="{00000000-0005-0000-0000-0000A36C0000}"/>
    <cellStyle name="Normal 2 3 26 5 2" xfId="27819" xr:uid="{00000000-0005-0000-0000-0000A46C0000}"/>
    <cellStyle name="Normal 2 3 26 5 3" xfId="27820" xr:uid="{00000000-0005-0000-0000-0000A56C0000}"/>
    <cellStyle name="Normal 2 3 26 5 4" xfId="27821" xr:uid="{00000000-0005-0000-0000-0000A66C0000}"/>
    <cellStyle name="Normal 2 3 26 5 5" xfId="27822" xr:uid="{00000000-0005-0000-0000-0000A76C0000}"/>
    <cellStyle name="Normal 2 3 26 5 6" xfId="27823" xr:uid="{00000000-0005-0000-0000-0000A86C0000}"/>
    <cellStyle name="Normal 2 3 26 5 7" xfId="27824" xr:uid="{00000000-0005-0000-0000-0000A96C0000}"/>
    <cellStyle name="Normal 2 3 26 5 8" xfId="27825" xr:uid="{00000000-0005-0000-0000-0000AA6C0000}"/>
    <cellStyle name="Normal 2 3 26 5 9" xfId="27826" xr:uid="{00000000-0005-0000-0000-0000AB6C0000}"/>
    <cellStyle name="Normal 2 3 26 6" xfId="27827" xr:uid="{00000000-0005-0000-0000-0000AC6C0000}"/>
    <cellStyle name="Normal 2 3 26 7" xfId="27828" xr:uid="{00000000-0005-0000-0000-0000AD6C0000}"/>
    <cellStyle name="Normal 2 3 26 8" xfId="27829" xr:uid="{00000000-0005-0000-0000-0000AE6C0000}"/>
    <cellStyle name="Normal 2 3 26 9" xfId="27830" xr:uid="{00000000-0005-0000-0000-0000AF6C0000}"/>
    <cellStyle name="Normal 2 3 27" xfId="27831" xr:uid="{00000000-0005-0000-0000-0000B06C0000}"/>
    <cellStyle name="Normal 2 3 27 10" xfId="27832" xr:uid="{00000000-0005-0000-0000-0000B16C0000}"/>
    <cellStyle name="Normal 2 3 27 11" xfId="27833" xr:uid="{00000000-0005-0000-0000-0000B26C0000}"/>
    <cellStyle name="Normal 2 3 27 12" xfId="27834" xr:uid="{00000000-0005-0000-0000-0000B36C0000}"/>
    <cellStyle name="Normal 2 3 27 13" xfId="27835" xr:uid="{00000000-0005-0000-0000-0000B46C0000}"/>
    <cellStyle name="Normal 2 3 27 14" xfId="27836" xr:uid="{00000000-0005-0000-0000-0000B56C0000}"/>
    <cellStyle name="Normal 2 3 27 2" xfId="27837" xr:uid="{00000000-0005-0000-0000-0000B66C0000}"/>
    <cellStyle name="Normal 2 3 27 2 10" xfId="27838" xr:uid="{00000000-0005-0000-0000-0000B76C0000}"/>
    <cellStyle name="Normal 2 3 27 2 2" xfId="27839" xr:uid="{00000000-0005-0000-0000-0000B86C0000}"/>
    <cellStyle name="Normal 2 3 27 2 3" xfId="27840" xr:uid="{00000000-0005-0000-0000-0000B96C0000}"/>
    <cellStyle name="Normal 2 3 27 2 4" xfId="27841" xr:uid="{00000000-0005-0000-0000-0000BA6C0000}"/>
    <cellStyle name="Normal 2 3 27 2 5" xfId="27842" xr:uid="{00000000-0005-0000-0000-0000BB6C0000}"/>
    <cellStyle name="Normal 2 3 27 2 6" xfId="27843" xr:uid="{00000000-0005-0000-0000-0000BC6C0000}"/>
    <cellStyle name="Normal 2 3 27 2 7" xfId="27844" xr:uid="{00000000-0005-0000-0000-0000BD6C0000}"/>
    <cellStyle name="Normal 2 3 27 2 8" xfId="27845" xr:uid="{00000000-0005-0000-0000-0000BE6C0000}"/>
    <cellStyle name="Normal 2 3 27 2 9" xfId="27846" xr:uid="{00000000-0005-0000-0000-0000BF6C0000}"/>
    <cellStyle name="Normal 2 3 27 3" xfId="27847" xr:uid="{00000000-0005-0000-0000-0000C06C0000}"/>
    <cellStyle name="Normal 2 3 27 3 10" xfId="27848" xr:uid="{00000000-0005-0000-0000-0000C16C0000}"/>
    <cellStyle name="Normal 2 3 27 3 2" xfId="27849" xr:uid="{00000000-0005-0000-0000-0000C26C0000}"/>
    <cellStyle name="Normal 2 3 27 3 3" xfId="27850" xr:uid="{00000000-0005-0000-0000-0000C36C0000}"/>
    <cellStyle name="Normal 2 3 27 3 4" xfId="27851" xr:uid="{00000000-0005-0000-0000-0000C46C0000}"/>
    <cellStyle name="Normal 2 3 27 3 5" xfId="27852" xr:uid="{00000000-0005-0000-0000-0000C56C0000}"/>
    <cellStyle name="Normal 2 3 27 3 6" xfId="27853" xr:uid="{00000000-0005-0000-0000-0000C66C0000}"/>
    <cellStyle name="Normal 2 3 27 3 7" xfId="27854" xr:uid="{00000000-0005-0000-0000-0000C76C0000}"/>
    <cellStyle name="Normal 2 3 27 3 8" xfId="27855" xr:uid="{00000000-0005-0000-0000-0000C86C0000}"/>
    <cellStyle name="Normal 2 3 27 3 9" xfId="27856" xr:uid="{00000000-0005-0000-0000-0000C96C0000}"/>
    <cellStyle name="Normal 2 3 27 4" xfId="27857" xr:uid="{00000000-0005-0000-0000-0000CA6C0000}"/>
    <cellStyle name="Normal 2 3 27 4 10" xfId="27858" xr:uid="{00000000-0005-0000-0000-0000CB6C0000}"/>
    <cellStyle name="Normal 2 3 27 4 2" xfId="27859" xr:uid="{00000000-0005-0000-0000-0000CC6C0000}"/>
    <cellStyle name="Normal 2 3 27 4 3" xfId="27860" xr:uid="{00000000-0005-0000-0000-0000CD6C0000}"/>
    <cellStyle name="Normal 2 3 27 4 4" xfId="27861" xr:uid="{00000000-0005-0000-0000-0000CE6C0000}"/>
    <cellStyle name="Normal 2 3 27 4 5" xfId="27862" xr:uid="{00000000-0005-0000-0000-0000CF6C0000}"/>
    <cellStyle name="Normal 2 3 27 4 6" xfId="27863" xr:uid="{00000000-0005-0000-0000-0000D06C0000}"/>
    <cellStyle name="Normal 2 3 27 4 7" xfId="27864" xr:uid="{00000000-0005-0000-0000-0000D16C0000}"/>
    <cellStyle name="Normal 2 3 27 4 8" xfId="27865" xr:uid="{00000000-0005-0000-0000-0000D26C0000}"/>
    <cellStyle name="Normal 2 3 27 4 9" xfId="27866" xr:uid="{00000000-0005-0000-0000-0000D36C0000}"/>
    <cellStyle name="Normal 2 3 27 5" xfId="27867" xr:uid="{00000000-0005-0000-0000-0000D46C0000}"/>
    <cellStyle name="Normal 2 3 27 5 10" xfId="27868" xr:uid="{00000000-0005-0000-0000-0000D56C0000}"/>
    <cellStyle name="Normal 2 3 27 5 2" xfId="27869" xr:uid="{00000000-0005-0000-0000-0000D66C0000}"/>
    <cellStyle name="Normal 2 3 27 5 3" xfId="27870" xr:uid="{00000000-0005-0000-0000-0000D76C0000}"/>
    <cellStyle name="Normal 2 3 27 5 4" xfId="27871" xr:uid="{00000000-0005-0000-0000-0000D86C0000}"/>
    <cellStyle name="Normal 2 3 27 5 5" xfId="27872" xr:uid="{00000000-0005-0000-0000-0000D96C0000}"/>
    <cellStyle name="Normal 2 3 27 5 6" xfId="27873" xr:uid="{00000000-0005-0000-0000-0000DA6C0000}"/>
    <cellStyle name="Normal 2 3 27 5 7" xfId="27874" xr:uid="{00000000-0005-0000-0000-0000DB6C0000}"/>
    <cellStyle name="Normal 2 3 27 5 8" xfId="27875" xr:uid="{00000000-0005-0000-0000-0000DC6C0000}"/>
    <cellStyle name="Normal 2 3 27 5 9" xfId="27876" xr:uid="{00000000-0005-0000-0000-0000DD6C0000}"/>
    <cellStyle name="Normal 2 3 27 6" xfId="27877" xr:uid="{00000000-0005-0000-0000-0000DE6C0000}"/>
    <cellStyle name="Normal 2 3 27 7" xfId="27878" xr:uid="{00000000-0005-0000-0000-0000DF6C0000}"/>
    <cellStyle name="Normal 2 3 27 8" xfId="27879" xr:uid="{00000000-0005-0000-0000-0000E06C0000}"/>
    <cellStyle name="Normal 2 3 27 9" xfId="27880" xr:uid="{00000000-0005-0000-0000-0000E16C0000}"/>
    <cellStyle name="Normal 2 3 28" xfId="27881" xr:uid="{00000000-0005-0000-0000-0000E26C0000}"/>
    <cellStyle name="Normal 2 3 28 10" xfId="27882" xr:uid="{00000000-0005-0000-0000-0000E36C0000}"/>
    <cellStyle name="Normal 2 3 28 11" xfId="27883" xr:uid="{00000000-0005-0000-0000-0000E46C0000}"/>
    <cellStyle name="Normal 2 3 28 12" xfId="27884" xr:uid="{00000000-0005-0000-0000-0000E56C0000}"/>
    <cellStyle name="Normal 2 3 28 13" xfId="27885" xr:uid="{00000000-0005-0000-0000-0000E66C0000}"/>
    <cellStyle name="Normal 2 3 28 14" xfId="27886" xr:uid="{00000000-0005-0000-0000-0000E76C0000}"/>
    <cellStyle name="Normal 2 3 28 2" xfId="27887" xr:uid="{00000000-0005-0000-0000-0000E86C0000}"/>
    <cellStyle name="Normal 2 3 28 2 10" xfId="27888" xr:uid="{00000000-0005-0000-0000-0000E96C0000}"/>
    <cellStyle name="Normal 2 3 28 2 2" xfId="27889" xr:uid="{00000000-0005-0000-0000-0000EA6C0000}"/>
    <cellStyle name="Normal 2 3 28 2 3" xfId="27890" xr:uid="{00000000-0005-0000-0000-0000EB6C0000}"/>
    <cellStyle name="Normal 2 3 28 2 4" xfId="27891" xr:uid="{00000000-0005-0000-0000-0000EC6C0000}"/>
    <cellStyle name="Normal 2 3 28 2 5" xfId="27892" xr:uid="{00000000-0005-0000-0000-0000ED6C0000}"/>
    <cellStyle name="Normal 2 3 28 2 6" xfId="27893" xr:uid="{00000000-0005-0000-0000-0000EE6C0000}"/>
    <cellStyle name="Normal 2 3 28 2 7" xfId="27894" xr:uid="{00000000-0005-0000-0000-0000EF6C0000}"/>
    <cellStyle name="Normal 2 3 28 2 8" xfId="27895" xr:uid="{00000000-0005-0000-0000-0000F06C0000}"/>
    <cellStyle name="Normal 2 3 28 2 9" xfId="27896" xr:uid="{00000000-0005-0000-0000-0000F16C0000}"/>
    <cellStyle name="Normal 2 3 28 3" xfId="27897" xr:uid="{00000000-0005-0000-0000-0000F26C0000}"/>
    <cellStyle name="Normal 2 3 28 3 10" xfId="27898" xr:uid="{00000000-0005-0000-0000-0000F36C0000}"/>
    <cellStyle name="Normal 2 3 28 3 2" xfId="27899" xr:uid="{00000000-0005-0000-0000-0000F46C0000}"/>
    <cellStyle name="Normal 2 3 28 3 3" xfId="27900" xr:uid="{00000000-0005-0000-0000-0000F56C0000}"/>
    <cellStyle name="Normal 2 3 28 3 4" xfId="27901" xr:uid="{00000000-0005-0000-0000-0000F66C0000}"/>
    <cellStyle name="Normal 2 3 28 3 5" xfId="27902" xr:uid="{00000000-0005-0000-0000-0000F76C0000}"/>
    <cellStyle name="Normal 2 3 28 3 6" xfId="27903" xr:uid="{00000000-0005-0000-0000-0000F86C0000}"/>
    <cellStyle name="Normal 2 3 28 3 7" xfId="27904" xr:uid="{00000000-0005-0000-0000-0000F96C0000}"/>
    <cellStyle name="Normal 2 3 28 3 8" xfId="27905" xr:uid="{00000000-0005-0000-0000-0000FA6C0000}"/>
    <cellStyle name="Normal 2 3 28 3 9" xfId="27906" xr:uid="{00000000-0005-0000-0000-0000FB6C0000}"/>
    <cellStyle name="Normal 2 3 28 4" xfId="27907" xr:uid="{00000000-0005-0000-0000-0000FC6C0000}"/>
    <cellStyle name="Normal 2 3 28 4 10" xfId="27908" xr:uid="{00000000-0005-0000-0000-0000FD6C0000}"/>
    <cellStyle name="Normal 2 3 28 4 2" xfId="27909" xr:uid="{00000000-0005-0000-0000-0000FE6C0000}"/>
    <cellStyle name="Normal 2 3 28 4 3" xfId="27910" xr:uid="{00000000-0005-0000-0000-0000FF6C0000}"/>
    <cellStyle name="Normal 2 3 28 4 4" xfId="27911" xr:uid="{00000000-0005-0000-0000-0000006D0000}"/>
    <cellStyle name="Normal 2 3 28 4 5" xfId="27912" xr:uid="{00000000-0005-0000-0000-0000016D0000}"/>
    <cellStyle name="Normal 2 3 28 4 6" xfId="27913" xr:uid="{00000000-0005-0000-0000-0000026D0000}"/>
    <cellStyle name="Normal 2 3 28 4 7" xfId="27914" xr:uid="{00000000-0005-0000-0000-0000036D0000}"/>
    <cellStyle name="Normal 2 3 28 4 8" xfId="27915" xr:uid="{00000000-0005-0000-0000-0000046D0000}"/>
    <cellStyle name="Normal 2 3 28 4 9" xfId="27916" xr:uid="{00000000-0005-0000-0000-0000056D0000}"/>
    <cellStyle name="Normal 2 3 28 5" xfId="27917" xr:uid="{00000000-0005-0000-0000-0000066D0000}"/>
    <cellStyle name="Normal 2 3 28 5 10" xfId="27918" xr:uid="{00000000-0005-0000-0000-0000076D0000}"/>
    <cellStyle name="Normal 2 3 28 5 2" xfId="27919" xr:uid="{00000000-0005-0000-0000-0000086D0000}"/>
    <cellStyle name="Normal 2 3 28 5 3" xfId="27920" xr:uid="{00000000-0005-0000-0000-0000096D0000}"/>
    <cellStyle name="Normal 2 3 28 5 4" xfId="27921" xr:uid="{00000000-0005-0000-0000-00000A6D0000}"/>
    <cellStyle name="Normal 2 3 28 5 5" xfId="27922" xr:uid="{00000000-0005-0000-0000-00000B6D0000}"/>
    <cellStyle name="Normal 2 3 28 5 6" xfId="27923" xr:uid="{00000000-0005-0000-0000-00000C6D0000}"/>
    <cellStyle name="Normal 2 3 28 5 7" xfId="27924" xr:uid="{00000000-0005-0000-0000-00000D6D0000}"/>
    <cellStyle name="Normal 2 3 28 5 8" xfId="27925" xr:uid="{00000000-0005-0000-0000-00000E6D0000}"/>
    <cellStyle name="Normal 2 3 28 5 9" xfId="27926" xr:uid="{00000000-0005-0000-0000-00000F6D0000}"/>
    <cellStyle name="Normal 2 3 28 6" xfId="27927" xr:uid="{00000000-0005-0000-0000-0000106D0000}"/>
    <cellStyle name="Normal 2 3 28 7" xfId="27928" xr:uid="{00000000-0005-0000-0000-0000116D0000}"/>
    <cellStyle name="Normal 2 3 28 8" xfId="27929" xr:uid="{00000000-0005-0000-0000-0000126D0000}"/>
    <cellStyle name="Normal 2 3 28 9" xfId="27930" xr:uid="{00000000-0005-0000-0000-0000136D0000}"/>
    <cellStyle name="Normal 2 3 29" xfId="27931" xr:uid="{00000000-0005-0000-0000-0000146D0000}"/>
    <cellStyle name="Normal 2 3 29 10" xfId="27932" xr:uid="{00000000-0005-0000-0000-0000156D0000}"/>
    <cellStyle name="Normal 2 3 29 11" xfId="27933" xr:uid="{00000000-0005-0000-0000-0000166D0000}"/>
    <cellStyle name="Normal 2 3 29 12" xfId="27934" xr:uid="{00000000-0005-0000-0000-0000176D0000}"/>
    <cellStyle name="Normal 2 3 29 13" xfId="27935" xr:uid="{00000000-0005-0000-0000-0000186D0000}"/>
    <cellStyle name="Normal 2 3 29 14" xfId="27936" xr:uid="{00000000-0005-0000-0000-0000196D0000}"/>
    <cellStyle name="Normal 2 3 29 2" xfId="27937" xr:uid="{00000000-0005-0000-0000-00001A6D0000}"/>
    <cellStyle name="Normal 2 3 29 2 10" xfId="27938" xr:uid="{00000000-0005-0000-0000-00001B6D0000}"/>
    <cellStyle name="Normal 2 3 29 2 2" xfId="27939" xr:uid="{00000000-0005-0000-0000-00001C6D0000}"/>
    <cellStyle name="Normal 2 3 29 2 3" xfId="27940" xr:uid="{00000000-0005-0000-0000-00001D6D0000}"/>
    <cellStyle name="Normal 2 3 29 2 4" xfId="27941" xr:uid="{00000000-0005-0000-0000-00001E6D0000}"/>
    <cellStyle name="Normal 2 3 29 2 5" xfId="27942" xr:uid="{00000000-0005-0000-0000-00001F6D0000}"/>
    <cellStyle name="Normal 2 3 29 2 6" xfId="27943" xr:uid="{00000000-0005-0000-0000-0000206D0000}"/>
    <cellStyle name="Normal 2 3 29 2 7" xfId="27944" xr:uid="{00000000-0005-0000-0000-0000216D0000}"/>
    <cellStyle name="Normal 2 3 29 2 8" xfId="27945" xr:uid="{00000000-0005-0000-0000-0000226D0000}"/>
    <cellStyle name="Normal 2 3 29 2 9" xfId="27946" xr:uid="{00000000-0005-0000-0000-0000236D0000}"/>
    <cellStyle name="Normal 2 3 29 3" xfId="27947" xr:uid="{00000000-0005-0000-0000-0000246D0000}"/>
    <cellStyle name="Normal 2 3 29 3 10" xfId="27948" xr:uid="{00000000-0005-0000-0000-0000256D0000}"/>
    <cellStyle name="Normal 2 3 29 3 2" xfId="27949" xr:uid="{00000000-0005-0000-0000-0000266D0000}"/>
    <cellStyle name="Normal 2 3 29 3 3" xfId="27950" xr:uid="{00000000-0005-0000-0000-0000276D0000}"/>
    <cellStyle name="Normal 2 3 29 3 4" xfId="27951" xr:uid="{00000000-0005-0000-0000-0000286D0000}"/>
    <cellStyle name="Normal 2 3 29 3 5" xfId="27952" xr:uid="{00000000-0005-0000-0000-0000296D0000}"/>
    <cellStyle name="Normal 2 3 29 3 6" xfId="27953" xr:uid="{00000000-0005-0000-0000-00002A6D0000}"/>
    <cellStyle name="Normal 2 3 29 3 7" xfId="27954" xr:uid="{00000000-0005-0000-0000-00002B6D0000}"/>
    <cellStyle name="Normal 2 3 29 3 8" xfId="27955" xr:uid="{00000000-0005-0000-0000-00002C6D0000}"/>
    <cellStyle name="Normal 2 3 29 3 9" xfId="27956" xr:uid="{00000000-0005-0000-0000-00002D6D0000}"/>
    <cellStyle name="Normal 2 3 29 4" xfId="27957" xr:uid="{00000000-0005-0000-0000-00002E6D0000}"/>
    <cellStyle name="Normal 2 3 29 4 10" xfId="27958" xr:uid="{00000000-0005-0000-0000-00002F6D0000}"/>
    <cellStyle name="Normal 2 3 29 4 2" xfId="27959" xr:uid="{00000000-0005-0000-0000-0000306D0000}"/>
    <cellStyle name="Normal 2 3 29 4 3" xfId="27960" xr:uid="{00000000-0005-0000-0000-0000316D0000}"/>
    <cellStyle name="Normal 2 3 29 4 4" xfId="27961" xr:uid="{00000000-0005-0000-0000-0000326D0000}"/>
    <cellStyle name="Normal 2 3 29 4 5" xfId="27962" xr:uid="{00000000-0005-0000-0000-0000336D0000}"/>
    <cellStyle name="Normal 2 3 29 4 6" xfId="27963" xr:uid="{00000000-0005-0000-0000-0000346D0000}"/>
    <cellStyle name="Normal 2 3 29 4 7" xfId="27964" xr:uid="{00000000-0005-0000-0000-0000356D0000}"/>
    <cellStyle name="Normal 2 3 29 4 8" xfId="27965" xr:uid="{00000000-0005-0000-0000-0000366D0000}"/>
    <cellStyle name="Normal 2 3 29 4 9" xfId="27966" xr:uid="{00000000-0005-0000-0000-0000376D0000}"/>
    <cellStyle name="Normal 2 3 29 5" xfId="27967" xr:uid="{00000000-0005-0000-0000-0000386D0000}"/>
    <cellStyle name="Normal 2 3 29 5 10" xfId="27968" xr:uid="{00000000-0005-0000-0000-0000396D0000}"/>
    <cellStyle name="Normal 2 3 29 5 2" xfId="27969" xr:uid="{00000000-0005-0000-0000-00003A6D0000}"/>
    <cellStyle name="Normal 2 3 29 5 3" xfId="27970" xr:uid="{00000000-0005-0000-0000-00003B6D0000}"/>
    <cellStyle name="Normal 2 3 29 5 4" xfId="27971" xr:uid="{00000000-0005-0000-0000-00003C6D0000}"/>
    <cellStyle name="Normal 2 3 29 5 5" xfId="27972" xr:uid="{00000000-0005-0000-0000-00003D6D0000}"/>
    <cellStyle name="Normal 2 3 29 5 6" xfId="27973" xr:uid="{00000000-0005-0000-0000-00003E6D0000}"/>
    <cellStyle name="Normal 2 3 29 5 7" xfId="27974" xr:uid="{00000000-0005-0000-0000-00003F6D0000}"/>
    <cellStyle name="Normal 2 3 29 5 8" xfId="27975" xr:uid="{00000000-0005-0000-0000-0000406D0000}"/>
    <cellStyle name="Normal 2 3 29 5 9" xfId="27976" xr:uid="{00000000-0005-0000-0000-0000416D0000}"/>
    <cellStyle name="Normal 2 3 29 6" xfId="27977" xr:uid="{00000000-0005-0000-0000-0000426D0000}"/>
    <cellStyle name="Normal 2 3 29 7" xfId="27978" xr:uid="{00000000-0005-0000-0000-0000436D0000}"/>
    <cellStyle name="Normal 2 3 29 8" xfId="27979" xr:uid="{00000000-0005-0000-0000-0000446D0000}"/>
    <cellStyle name="Normal 2 3 29 9" xfId="27980" xr:uid="{00000000-0005-0000-0000-0000456D0000}"/>
    <cellStyle name="Normal 2 3 3" xfId="27981" xr:uid="{00000000-0005-0000-0000-0000466D0000}"/>
    <cellStyle name="Normal 2 3 3 10" xfId="27982" xr:uid="{00000000-0005-0000-0000-0000476D0000}"/>
    <cellStyle name="Normal 2 3 3 11" xfId="27983" xr:uid="{00000000-0005-0000-0000-0000486D0000}"/>
    <cellStyle name="Normal 2 3 3 12" xfId="27984" xr:uid="{00000000-0005-0000-0000-0000496D0000}"/>
    <cellStyle name="Normal 2 3 3 13" xfId="27985" xr:uid="{00000000-0005-0000-0000-00004A6D0000}"/>
    <cellStyle name="Normal 2 3 3 14" xfId="27986" xr:uid="{00000000-0005-0000-0000-00004B6D0000}"/>
    <cellStyle name="Normal 2 3 3 15" xfId="27987" xr:uid="{00000000-0005-0000-0000-00004C6D0000}"/>
    <cellStyle name="Normal 2 3 3 16" xfId="27988" xr:uid="{00000000-0005-0000-0000-00004D6D0000}"/>
    <cellStyle name="Normal 2 3 3 2" xfId="27989" xr:uid="{00000000-0005-0000-0000-00004E6D0000}"/>
    <cellStyle name="Normal 2 3 3 2 10" xfId="27990" xr:uid="{00000000-0005-0000-0000-00004F6D0000}"/>
    <cellStyle name="Normal 2 3 3 2 2" xfId="27991" xr:uid="{00000000-0005-0000-0000-0000506D0000}"/>
    <cellStyle name="Normal 2 3 3 2 3" xfId="27992" xr:uid="{00000000-0005-0000-0000-0000516D0000}"/>
    <cellStyle name="Normal 2 3 3 2 4" xfId="27993" xr:uid="{00000000-0005-0000-0000-0000526D0000}"/>
    <cellStyle name="Normal 2 3 3 2 5" xfId="27994" xr:uid="{00000000-0005-0000-0000-0000536D0000}"/>
    <cellStyle name="Normal 2 3 3 2 6" xfId="27995" xr:uid="{00000000-0005-0000-0000-0000546D0000}"/>
    <cellStyle name="Normal 2 3 3 2 7" xfId="27996" xr:uid="{00000000-0005-0000-0000-0000556D0000}"/>
    <cellStyle name="Normal 2 3 3 2 8" xfId="27997" xr:uid="{00000000-0005-0000-0000-0000566D0000}"/>
    <cellStyle name="Normal 2 3 3 2 9" xfId="27998" xr:uid="{00000000-0005-0000-0000-0000576D0000}"/>
    <cellStyle name="Normal 2 3 3 3" xfId="27999" xr:uid="{00000000-0005-0000-0000-0000586D0000}"/>
    <cellStyle name="Normal 2 3 3 3 10" xfId="28000" xr:uid="{00000000-0005-0000-0000-0000596D0000}"/>
    <cellStyle name="Normal 2 3 3 3 2" xfId="28001" xr:uid="{00000000-0005-0000-0000-00005A6D0000}"/>
    <cellStyle name="Normal 2 3 3 3 3" xfId="28002" xr:uid="{00000000-0005-0000-0000-00005B6D0000}"/>
    <cellStyle name="Normal 2 3 3 3 4" xfId="28003" xr:uid="{00000000-0005-0000-0000-00005C6D0000}"/>
    <cellStyle name="Normal 2 3 3 3 5" xfId="28004" xr:uid="{00000000-0005-0000-0000-00005D6D0000}"/>
    <cellStyle name="Normal 2 3 3 3 6" xfId="28005" xr:uid="{00000000-0005-0000-0000-00005E6D0000}"/>
    <cellStyle name="Normal 2 3 3 3 7" xfId="28006" xr:uid="{00000000-0005-0000-0000-00005F6D0000}"/>
    <cellStyle name="Normal 2 3 3 3 8" xfId="28007" xr:uid="{00000000-0005-0000-0000-0000606D0000}"/>
    <cellStyle name="Normal 2 3 3 3 9" xfId="28008" xr:uid="{00000000-0005-0000-0000-0000616D0000}"/>
    <cellStyle name="Normal 2 3 3 4" xfId="28009" xr:uid="{00000000-0005-0000-0000-0000626D0000}"/>
    <cellStyle name="Normal 2 3 3 4 10" xfId="28010" xr:uid="{00000000-0005-0000-0000-0000636D0000}"/>
    <cellStyle name="Normal 2 3 3 4 2" xfId="28011" xr:uid="{00000000-0005-0000-0000-0000646D0000}"/>
    <cellStyle name="Normal 2 3 3 4 3" xfId="28012" xr:uid="{00000000-0005-0000-0000-0000656D0000}"/>
    <cellStyle name="Normal 2 3 3 4 4" xfId="28013" xr:uid="{00000000-0005-0000-0000-0000666D0000}"/>
    <cellStyle name="Normal 2 3 3 4 5" xfId="28014" xr:uid="{00000000-0005-0000-0000-0000676D0000}"/>
    <cellStyle name="Normal 2 3 3 4 6" xfId="28015" xr:uid="{00000000-0005-0000-0000-0000686D0000}"/>
    <cellStyle name="Normal 2 3 3 4 7" xfId="28016" xr:uid="{00000000-0005-0000-0000-0000696D0000}"/>
    <cellStyle name="Normal 2 3 3 4 8" xfId="28017" xr:uid="{00000000-0005-0000-0000-00006A6D0000}"/>
    <cellStyle name="Normal 2 3 3 4 9" xfId="28018" xr:uid="{00000000-0005-0000-0000-00006B6D0000}"/>
    <cellStyle name="Normal 2 3 3 5" xfId="28019" xr:uid="{00000000-0005-0000-0000-00006C6D0000}"/>
    <cellStyle name="Normal 2 3 3 5 10" xfId="28020" xr:uid="{00000000-0005-0000-0000-00006D6D0000}"/>
    <cellStyle name="Normal 2 3 3 5 2" xfId="28021" xr:uid="{00000000-0005-0000-0000-00006E6D0000}"/>
    <cellStyle name="Normal 2 3 3 5 3" xfId="28022" xr:uid="{00000000-0005-0000-0000-00006F6D0000}"/>
    <cellStyle name="Normal 2 3 3 5 4" xfId="28023" xr:uid="{00000000-0005-0000-0000-0000706D0000}"/>
    <cellStyle name="Normal 2 3 3 5 5" xfId="28024" xr:uid="{00000000-0005-0000-0000-0000716D0000}"/>
    <cellStyle name="Normal 2 3 3 5 6" xfId="28025" xr:uid="{00000000-0005-0000-0000-0000726D0000}"/>
    <cellStyle name="Normal 2 3 3 5 7" xfId="28026" xr:uid="{00000000-0005-0000-0000-0000736D0000}"/>
    <cellStyle name="Normal 2 3 3 5 8" xfId="28027" xr:uid="{00000000-0005-0000-0000-0000746D0000}"/>
    <cellStyle name="Normal 2 3 3 5 9" xfId="28028" xr:uid="{00000000-0005-0000-0000-0000756D0000}"/>
    <cellStyle name="Normal 2 3 3 6" xfId="28029" xr:uid="{00000000-0005-0000-0000-0000766D0000}"/>
    <cellStyle name="Normal 2 3 3 7" xfId="28030" xr:uid="{00000000-0005-0000-0000-0000776D0000}"/>
    <cellStyle name="Normal 2 3 3 8" xfId="28031" xr:uid="{00000000-0005-0000-0000-0000786D0000}"/>
    <cellStyle name="Normal 2 3 3 9" xfId="28032" xr:uid="{00000000-0005-0000-0000-0000796D0000}"/>
    <cellStyle name="Normal 2 3 30" xfId="28033" xr:uid="{00000000-0005-0000-0000-00007A6D0000}"/>
    <cellStyle name="Normal 2 3 30 10" xfId="28034" xr:uid="{00000000-0005-0000-0000-00007B6D0000}"/>
    <cellStyle name="Normal 2 3 30 11" xfId="28035" xr:uid="{00000000-0005-0000-0000-00007C6D0000}"/>
    <cellStyle name="Normal 2 3 30 12" xfId="28036" xr:uid="{00000000-0005-0000-0000-00007D6D0000}"/>
    <cellStyle name="Normal 2 3 30 13" xfId="28037" xr:uid="{00000000-0005-0000-0000-00007E6D0000}"/>
    <cellStyle name="Normal 2 3 30 14" xfId="28038" xr:uid="{00000000-0005-0000-0000-00007F6D0000}"/>
    <cellStyle name="Normal 2 3 30 2" xfId="28039" xr:uid="{00000000-0005-0000-0000-0000806D0000}"/>
    <cellStyle name="Normal 2 3 30 2 10" xfId="28040" xr:uid="{00000000-0005-0000-0000-0000816D0000}"/>
    <cellStyle name="Normal 2 3 30 2 2" xfId="28041" xr:uid="{00000000-0005-0000-0000-0000826D0000}"/>
    <cellStyle name="Normal 2 3 30 2 3" xfId="28042" xr:uid="{00000000-0005-0000-0000-0000836D0000}"/>
    <cellStyle name="Normal 2 3 30 2 4" xfId="28043" xr:uid="{00000000-0005-0000-0000-0000846D0000}"/>
    <cellStyle name="Normal 2 3 30 2 5" xfId="28044" xr:uid="{00000000-0005-0000-0000-0000856D0000}"/>
    <cellStyle name="Normal 2 3 30 2 6" xfId="28045" xr:uid="{00000000-0005-0000-0000-0000866D0000}"/>
    <cellStyle name="Normal 2 3 30 2 7" xfId="28046" xr:uid="{00000000-0005-0000-0000-0000876D0000}"/>
    <cellStyle name="Normal 2 3 30 2 8" xfId="28047" xr:uid="{00000000-0005-0000-0000-0000886D0000}"/>
    <cellStyle name="Normal 2 3 30 2 9" xfId="28048" xr:uid="{00000000-0005-0000-0000-0000896D0000}"/>
    <cellStyle name="Normal 2 3 30 3" xfId="28049" xr:uid="{00000000-0005-0000-0000-00008A6D0000}"/>
    <cellStyle name="Normal 2 3 30 3 10" xfId="28050" xr:uid="{00000000-0005-0000-0000-00008B6D0000}"/>
    <cellStyle name="Normal 2 3 30 3 2" xfId="28051" xr:uid="{00000000-0005-0000-0000-00008C6D0000}"/>
    <cellStyle name="Normal 2 3 30 3 3" xfId="28052" xr:uid="{00000000-0005-0000-0000-00008D6D0000}"/>
    <cellStyle name="Normal 2 3 30 3 4" xfId="28053" xr:uid="{00000000-0005-0000-0000-00008E6D0000}"/>
    <cellStyle name="Normal 2 3 30 3 5" xfId="28054" xr:uid="{00000000-0005-0000-0000-00008F6D0000}"/>
    <cellStyle name="Normal 2 3 30 3 6" xfId="28055" xr:uid="{00000000-0005-0000-0000-0000906D0000}"/>
    <cellStyle name="Normal 2 3 30 3 7" xfId="28056" xr:uid="{00000000-0005-0000-0000-0000916D0000}"/>
    <cellStyle name="Normal 2 3 30 3 8" xfId="28057" xr:uid="{00000000-0005-0000-0000-0000926D0000}"/>
    <cellStyle name="Normal 2 3 30 3 9" xfId="28058" xr:uid="{00000000-0005-0000-0000-0000936D0000}"/>
    <cellStyle name="Normal 2 3 30 4" xfId="28059" xr:uid="{00000000-0005-0000-0000-0000946D0000}"/>
    <cellStyle name="Normal 2 3 30 4 10" xfId="28060" xr:uid="{00000000-0005-0000-0000-0000956D0000}"/>
    <cellStyle name="Normal 2 3 30 4 2" xfId="28061" xr:uid="{00000000-0005-0000-0000-0000966D0000}"/>
    <cellStyle name="Normal 2 3 30 4 3" xfId="28062" xr:uid="{00000000-0005-0000-0000-0000976D0000}"/>
    <cellStyle name="Normal 2 3 30 4 4" xfId="28063" xr:uid="{00000000-0005-0000-0000-0000986D0000}"/>
    <cellStyle name="Normal 2 3 30 4 5" xfId="28064" xr:uid="{00000000-0005-0000-0000-0000996D0000}"/>
    <cellStyle name="Normal 2 3 30 4 6" xfId="28065" xr:uid="{00000000-0005-0000-0000-00009A6D0000}"/>
    <cellStyle name="Normal 2 3 30 4 7" xfId="28066" xr:uid="{00000000-0005-0000-0000-00009B6D0000}"/>
    <cellStyle name="Normal 2 3 30 4 8" xfId="28067" xr:uid="{00000000-0005-0000-0000-00009C6D0000}"/>
    <cellStyle name="Normal 2 3 30 4 9" xfId="28068" xr:uid="{00000000-0005-0000-0000-00009D6D0000}"/>
    <cellStyle name="Normal 2 3 30 5" xfId="28069" xr:uid="{00000000-0005-0000-0000-00009E6D0000}"/>
    <cellStyle name="Normal 2 3 30 5 10" xfId="28070" xr:uid="{00000000-0005-0000-0000-00009F6D0000}"/>
    <cellStyle name="Normal 2 3 30 5 2" xfId="28071" xr:uid="{00000000-0005-0000-0000-0000A06D0000}"/>
    <cellStyle name="Normal 2 3 30 5 3" xfId="28072" xr:uid="{00000000-0005-0000-0000-0000A16D0000}"/>
    <cellStyle name="Normal 2 3 30 5 4" xfId="28073" xr:uid="{00000000-0005-0000-0000-0000A26D0000}"/>
    <cellStyle name="Normal 2 3 30 5 5" xfId="28074" xr:uid="{00000000-0005-0000-0000-0000A36D0000}"/>
    <cellStyle name="Normal 2 3 30 5 6" xfId="28075" xr:uid="{00000000-0005-0000-0000-0000A46D0000}"/>
    <cellStyle name="Normal 2 3 30 5 7" xfId="28076" xr:uid="{00000000-0005-0000-0000-0000A56D0000}"/>
    <cellStyle name="Normal 2 3 30 5 8" xfId="28077" xr:uid="{00000000-0005-0000-0000-0000A66D0000}"/>
    <cellStyle name="Normal 2 3 30 5 9" xfId="28078" xr:uid="{00000000-0005-0000-0000-0000A76D0000}"/>
    <cellStyle name="Normal 2 3 30 6" xfId="28079" xr:uid="{00000000-0005-0000-0000-0000A86D0000}"/>
    <cellStyle name="Normal 2 3 30 7" xfId="28080" xr:uid="{00000000-0005-0000-0000-0000A96D0000}"/>
    <cellStyle name="Normal 2 3 30 8" xfId="28081" xr:uid="{00000000-0005-0000-0000-0000AA6D0000}"/>
    <cellStyle name="Normal 2 3 30 9" xfId="28082" xr:uid="{00000000-0005-0000-0000-0000AB6D0000}"/>
    <cellStyle name="Normal 2 3 31" xfId="28083" xr:uid="{00000000-0005-0000-0000-0000AC6D0000}"/>
    <cellStyle name="Normal 2 3 31 10" xfId="28084" xr:uid="{00000000-0005-0000-0000-0000AD6D0000}"/>
    <cellStyle name="Normal 2 3 31 11" xfId="28085" xr:uid="{00000000-0005-0000-0000-0000AE6D0000}"/>
    <cellStyle name="Normal 2 3 31 12" xfId="28086" xr:uid="{00000000-0005-0000-0000-0000AF6D0000}"/>
    <cellStyle name="Normal 2 3 31 13" xfId="28087" xr:uid="{00000000-0005-0000-0000-0000B06D0000}"/>
    <cellStyle name="Normal 2 3 31 14" xfId="28088" xr:uid="{00000000-0005-0000-0000-0000B16D0000}"/>
    <cellStyle name="Normal 2 3 31 2" xfId="28089" xr:uid="{00000000-0005-0000-0000-0000B26D0000}"/>
    <cellStyle name="Normal 2 3 31 2 10" xfId="28090" xr:uid="{00000000-0005-0000-0000-0000B36D0000}"/>
    <cellStyle name="Normal 2 3 31 2 2" xfId="28091" xr:uid="{00000000-0005-0000-0000-0000B46D0000}"/>
    <cellStyle name="Normal 2 3 31 2 3" xfId="28092" xr:uid="{00000000-0005-0000-0000-0000B56D0000}"/>
    <cellStyle name="Normal 2 3 31 2 4" xfId="28093" xr:uid="{00000000-0005-0000-0000-0000B66D0000}"/>
    <cellStyle name="Normal 2 3 31 2 5" xfId="28094" xr:uid="{00000000-0005-0000-0000-0000B76D0000}"/>
    <cellStyle name="Normal 2 3 31 2 6" xfId="28095" xr:uid="{00000000-0005-0000-0000-0000B86D0000}"/>
    <cellStyle name="Normal 2 3 31 2 7" xfId="28096" xr:uid="{00000000-0005-0000-0000-0000B96D0000}"/>
    <cellStyle name="Normal 2 3 31 2 8" xfId="28097" xr:uid="{00000000-0005-0000-0000-0000BA6D0000}"/>
    <cellStyle name="Normal 2 3 31 2 9" xfId="28098" xr:uid="{00000000-0005-0000-0000-0000BB6D0000}"/>
    <cellStyle name="Normal 2 3 31 3" xfId="28099" xr:uid="{00000000-0005-0000-0000-0000BC6D0000}"/>
    <cellStyle name="Normal 2 3 31 3 10" xfId="28100" xr:uid="{00000000-0005-0000-0000-0000BD6D0000}"/>
    <cellStyle name="Normal 2 3 31 3 2" xfId="28101" xr:uid="{00000000-0005-0000-0000-0000BE6D0000}"/>
    <cellStyle name="Normal 2 3 31 3 3" xfId="28102" xr:uid="{00000000-0005-0000-0000-0000BF6D0000}"/>
    <cellStyle name="Normal 2 3 31 3 4" xfId="28103" xr:uid="{00000000-0005-0000-0000-0000C06D0000}"/>
    <cellStyle name="Normal 2 3 31 3 5" xfId="28104" xr:uid="{00000000-0005-0000-0000-0000C16D0000}"/>
    <cellStyle name="Normal 2 3 31 3 6" xfId="28105" xr:uid="{00000000-0005-0000-0000-0000C26D0000}"/>
    <cellStyle name="Normal 2 3 31 3 7" xfId="28106" xr:uid="{00000000-0005-0000-0000-0000C36D0000}"/>
    <cellStyle name="Normal 2 3 31 3 8" xfId="28107" xr:uid="{00000000-0005-0000-0000-0000C46D0000}"/>
    <cellStyle name="Normal 2 3 31 3 9" xfId="28108" xr:uid="{00000000-0005-0000-0000-0000C56D0000}"/>
    <cellStyle name="Normal 2 3 31 4" xfId="28109" xr:uid="{00000000-0005-0000-0000-0000C66D0000}"/>
    <cellStyle name="Normal 2 3 31 4 10" xfId="28110" xr:uid="{00000000-0005-0000-0000-0000C76D0000}"/>
    <cellStyle name="Normal 2 3 31 4 2" xfId="28111" xr:uid="{00000000-0005-0000-0000-0000C86D0000}"/>
    <cellStyle name="Normal 2 3 31 4 3" xfId="28112" xr:uid="{00000000-0005-0000-0000-0000C96D0000}"/>
    <cellStyle name="Normal 2 3 31 4 4" xfId="28113" xr:uid="{00000000-0005-0000-0000-0000CA6D0000}"/>
    <cellStyle name="Normal 2 3 31 4 5" xfId="28114" xr:uid="{00000000-0005-0000-0000-0000CB6D0000}"/>
    <cellStyle name="Normal 2 3 31 4 6" xfId="28115" xr:uid="{00000000-0005-0000-0000-0000CC6D0000}"/>
    <cellStyle name="Normal 2 3 31 4 7" xfId="28116" xr:uid="{00000000-0005-0000-0000-0000CD6D0000}"/>
    <cellStyle name="Normal 2 3 31 4 8" xfId="28117" xr:uid="{00000000-0005-0000-0000-0000CE6D0000}"/>
    <cellStyle name="Normal 2 3 31 4 9" xfId="28118" xr:uid="{00000000-0005-0000-0000-0000CF6D0000}"/>
    <cellStyle name="Normal 2 3 31 5" xfId="28119" xr:uid="{00000000-0005-0000-0000-0000D06D0000}"/>
    <cellStyle name="Normal 2 3 31 5 10" xfId="28120" xr:uid="{00000000-0005-0000-0000-0000D16D0000}"/>
    <cellStyle name="Normal 2 3 31 5 2" xfId="28121" xr:uid="{00000000-0005-0000-0000-0000D26D0000}"/>
    <cellStyle name="Normal 2 3 31 5 3" xfId="28122" xr:uid="{00000000-0005-0000-0000-0000D36D0000}"/>
    <cellStyle name="Normal 2 3 31 5 4" xfId="28123" xr:uid="{00000000-0005-0000-0000-0000D46D0000}"/>
    <cellStyle name="Normal 2 3 31 5 5" xfId="28124" xr:uid="{00000000-0005-0000-0000-0000D56D0000}"/>
    <cellStyle name="Normal 2 3 31 5 6" xfId="28125" xr:uid="{00000000-0005-0000-0000-0000D66D0000}"/>
    <cellStyle name="Normal 2 3 31 5 7" xfId="28126" xr:uid="{00000000-0005-0000-0000-0000D76D0000}"/>
    <cellStyle name="Normal 2 3 31 5 8" xfId="28127" xr:uid="{00000000-0005-0000-0000-0000D86D0000}"/>
    <cellStyle name="Normal 2 3 31 5 9" xfId="28128" xr:uid="{00000000-0005-0000-0000-0000D96D0000}"/>
    <cellStyle name="Normal 2 3 31 6" xfId="28129" xr:uid="{00000000-0005-0000-0000-0000DA6D0000}"/>
    <cellStyle name="Normal 2 3 31 7" xfId="28130" xr:uid="{00000000-0005-0000-0000-0000DB6D0000}"/>
    <cellStyle name="Normal 2 3 31 8" xfId="28131" xr:uid="{00000000-0005-0000-0000-0000DC6D0000}"/>
    <cellStyle name="Normal 2 3 31 9" xfId="28132" xr:uid="{00000000-0005-0000-0000-0000DD6D0000}"/>
    <cellStyle name="Normal 2 3 32" xfId="28133" xr:uid="{00000000-0005-0000-0000-0000DE6D0000}"/>
    <cellStyle name="Normal 2 3 32 10" xfId="28134" xr:uid="{00000000-0005-0000-0000-0000DF6D0000}"/>
    <cellStyle name="Normal 2 3 32 11" xfId="28135" xr:uid="{00000000-0005-0000-0000-0000E06D0000}"/>
    <cellStyle name="Normal 2 3 32 12" xfId="28136" xr:uid="{00000000-0005-0000-0000-0000E16D0000}"/>
    <cellStyle name="Normal 2 3 32 13" xfId="28137" xr:uid="{00000000-0005-0000-0000-0000E26D0000}"/>
    <cellStyle name="Normal 2 3 32 14" xfId="28138" xr:uid="{00000000-0005-0000-0000-0000E36D0000}"/>
    <cellStyle name="Normal 2 3 32 2" xfId="28139" xr:uid="{00000000-0005-0000-0000-0000E46D0000}"/>
    <cellStyle name="Normal 2 3 32 2 10" xfId="28140" xr:uid="{00000000-0005-0000-0000-0000E56D0000}"/>
    <cellStyle name="Normal 2 3 32 2 2" xfId="28141" xr:uid="{00000000-0005-0000-0000-0000E66D0000}"/>
    <cellStyle name="Normal 2 3 32 2 3" xfId="28142" xr:uid="{00000000-0005-0000-0000-0000E76D0000}"/>
    <cellStyle name="Normal 2 3 32 2 4" xfId="28143" xr:uid="{00000000-0005-0000-0000-0000E86D0000}"/>
    <cellStyle name="Normal 2 3 32 2 5" xfId="28144" xr:uid="{00000000-0005-0000-0000-0000E96D0000}"/>
    <cellStyle name="Normal 2 3 32 2 6" xfId="28145" xr:uid="{00000000-0005-0000-0000-0000EA6D0000}"/>
    <cellStyle name="Normal 2 3 32 2 7" xfId="28146" xr:uid="{00000000-0005-0000-0000-0000EB6D0000}"/>
    <cellStyle name="Normal 2 3 32 2 8" xfId="28147" xr:uid="{00000000-0005-0000-0000-0000EC6D0000}"/>
    <cellStyle name="Normal 2 3 32 2 9" xfId="28148" xr:uid="{00000000-0005-0000-0000-0000ED6D0000}"/>
    <cellStyle name="Normal 2 3 32 3" xfId="28149" xr:uid="{00000000-0005-0000-0000-0000EE6D0000}"/>
    <cellStyle name="Normal 2 3 32 3 10" xfId="28150" xr:uid="{00000000-0005-0000-0000-0000EF6D0000}"/>
    <cellStyle name="Normal 2 3 32 3 2" xfId="28151" xr:uid="{00000000-0005-0000-0000-0000F06D0000}"/>
    <cellStyle name="Normal 2 3 32 3 3" xfId="28152" xr:uid="{00000000-0005-0000-0000-0000F16D0000}"/>
    <cellStyle name="Normal 2 3 32 3 4" xfId="28153" xr:uid="{00000000-0005-0000-0000-0000F26D0000}"/>
    <cellStyle name="Normal 2 3 32 3 5" xfId="28154" xr:uid="{00000000-0005-0000-0000-0000F36D0000}"/>
    <cellStyle name="Normal 2 3 32 3 6" xfId="28155" xr:uid="{00000000-0005-0000-0000-0000F46D0000}"/>
    <cellStyle name="Normal 2 3 32 3 7" xfId="28156" xr:uid="{00000000-0005-0000-0000-0000F56D0000}"/>
    <cellStyle name="Normal 2 3 32 3 8" xfId="28157" xr:uid="{00000000-0005-0000-0000-0000F66D0000}"/>
    <cellStyle name="Normal 2 3 32 3 9" xfId="28158" xr:uid="{00000000-0005-0000-0000-0000F76D0000}"/>
    <cellStyle name="Normal 2 3 32 4" xfId="28159" xr:uid="{00000000-0005-0000-0000-0000F86D0000}"/>
    <cellStyle name="Normal 2 3 32 4 10" xfId="28160" xr:uid="{00000000-0005-0000-0000-0000F96D0000}"/>
    <cellStyle name="Normal 2 3 32 4 2" xfId="28161" xr:uid="{00000000-0005-0000-0000-0000FA6D0000}"/>
    <cellStyle name="Normal 2 3 32 4 3" xfId="28162" xr:uid="{00000000-0005-0000-0000-0000FB6D0000}"/>
    <cellStyle name="Normal 2 3 32 4 4" xfId="28163" xr:uid="{00000000-0005-0000-0000-0000FC6D0000}"/>
    <cellStyle name="Normal 2 3 32 4 5" xfId="28164" xr:uid="{00000000-0005-0000-0000-0000FD6D0000}"/>
    <cellStyle name="Normal 2 3 32 4 6" xfId="28165" xr:uid="{00000000-0005-0000-0000-0000FE6D0000}"/>
    <cellStyle name="Normal 2 3 32 4 7" xfId="28166" xr:uid="{00000000-0005-0000-0000-0000FF6D0000}"/>
    <cellStyle name="Normal 2 3 32 4 8" xfId="28167" xr:uid="{00000000-0005-0000-0000-0000006E0000}"/>
    <cellStyle name="Normal 2 3 32 4 9" xfId="28168" xr:uid="{00000000-0005-0000-0000-0000016E0000}"/>
    <cellStyle name="Normal 2 3 32 5" xfId="28169" xr:uid="{00000000-0005-0000-0000-0000026E0000}"/>
    <cellStyle name="Normal 2 3 32 5 10" xfId="28170" xr:uid="{00000000-0005-0000-0000-0000036E0000}"/>
    <cellStyle name="Normal 2 3 32 5 2" xfId="28171" xr:uid="{00000000-0005-0000-0000-0000046E0000}"/>
    <cellStyle name="Normal 2 3 32 5 3" xfId="28172" xr:uid="{00000000-0005-0000-0000-0000056E0000}"/>
    <cellStyle name="Normal 2 3 32 5 4" xfId="28173" xr:uid="{00000000-0005-0000-0000-0000066E0000}"/>
    <cellStyle name="Normal 2 3 32 5 5" xfId="28174" xr:uid="{00000000-0005-0000-0000-0000076E0000}"/>
    <cellStyle name="Normal 2 3 32 5 6" xfId="28175" xr:uid="{00000000-0005-0000-0000-0000086E0000}"/>
    <cellStyle name="Normal 2 3 32 5 7" xfId="28176" xr:uid="{00000000-0005-0000-0000-0000096E0000}"/>
    <cellStyle name="Normal 2 3 32 5 8" xfId="28177" xr:uid="{00000000-0005-0000-0000-00000A6E0000}"/>
    <cellStyle name="Normal 2 3 32 5 9" xfId="28178" xr:uid="{00000000-0005-0000-0000-00000B6E0000}"/>
    <cellStyle name="Normal 2 3 32 6" xfId="28179" xr:uid="{00000000-0005-0000-0000-00000C6E0000}"/>
    <cellStyle name="Normal 2 3 32 7" xfId="28180" xr:uid="{00000000-0005-0000-0000-00000D6E0000}"/>
    <cellStyle name="Normal 2 3 32 8" xfId="28181" xr:uid="{00000000-0005-0000-0000-00000E6E0000}"/>
    <cellStyle name="Normal 2 3 32 9" xfId="28182" xr:uid="{00000000-0005-0000-0000-00000F6E0000}"/>
    <cellStyle name="Normal 2 3 33" xfId="28183" xr:uid="{00000000-0005-0000-0000-0000106E0000}"/>
    <cellStyle name="Normal 2 3 33 10" xfId="28184" xr:uid="{00000000-0005-0000-0000-0000116E0000}"/>
    <cellStyle name="Normal 2 3 33 11" xfId="28185" xr:uid="{00000000-0005-0000-0000-0000126E0000}"/>
    <cellStyle name="Normal 2 3 33 12" xfId="28186" xr:uid="{00000000-0005-0000-0000-0000136E0000}"/>
    <cellStyle name="Normal 2 3 33 13" xfId="28187" xr:uid="{00000000-0005-0000-0000-0000146E0000}"/>
    <cellStyle name="Normal 2 3 33 14" xfId="28188" xr:uid="{00000000-0005-0000-0000-0000156E0000}"/>
    <cellStyle name="Normal 2 3 33 2" xfId="28189" xr:uid="{00000000-0005-0000-0000-0000166E0000}"/>
    <cellStyle name="Normal 2 3 33 2 10" xfId="28190" xr:uid="{00000000-0005-0000-0000-0000176E0000}"/>
    <cellStyle name="Normal 2 3 33 2 2" xfId="28191" xr:uid="{00000000-0005-0000-0000-0000186E0000}"/>
    <cellStyle name="Normal 2 3 33 2 3" xfId="28192" xr:uid="{00000000-0005-0000-0000-0000196E0000}"/>
    <cellStyle name="Normal 2 3 33 2 4" xfId="28193" xr:uid="{00000000-0005-0000-0000-00001A6E0000}"/>
    <cellStyle name="Normal 2 3 33 2 5" xfId="28194" xr:uid="{00000000-0005-0000-0000-00001B6E0000}"/>
    <cellStyle name="Normal 2 3 33 2 6" xfId="28195" xr:uid="{00000000-0005-0000-0000-00001C6E0000}"/>
    <cellStyle name="Normal 2 3 33 2 7" xfId="28196" xr:uid="{00000000-0005-0000-0000-00001D6E0000}"/>
    <cellStyle name="Normal 2 3 33 2 8" xfId="28197" xr:uid="{00000000-0005-0000-0000-00001E6E0000}"/>
    <cellStyle name="Normal 2 3 33 2 9" xfId="28198" xr:uid="{00000000-0005-0000-0000-00001F6E0000}"/>
    <cellStyle name="Normal 2 3 33 3" xfId="28199" xr:uid="{00000000-0005-0000-0000-0000206E0000}"/>
    <cellStyle name="Normal 2 3 33 3 10" xfId="28200" xr:uid="{00000000-0005-0000-0000-0000216E0000}"/>
    <cellStyle name="Normal 2 3 33 3 2" xfId="28201" xr:uid="{00000000-0005-0000-0000-0000226E0000}"/>
    <cellStyle name="Normal 2 3 33 3 3" xfId="28202" xr:uid="{00000000-0005-0000-0000-0000236E0000}"/>
    <cellStyle name="Normal 2 3 33 3 4" xfId="28203" xr:uid="{00000000-0005-0000-0000-0000246E0000}"/>
    <cellStyle name="Normal 2 3 33 3 5" xfId="28204" xr:uid="{00000000-0005-0000-0000-0000256E0000}"/>
    <cellStyle name="Normal 2 3 33 3 6" xfId="28205" xr:uid="{00000000-0005-0000-0000-0000266E0000}"/>
    <cellStyle name="Normal 2 3 33 3 7" xfId="28206" xr:uid="{00000000-0005-0000-0000-0000276E0000}"/>
    <cellStyle name="Normal 2 3 33 3 8" xfId="28207" xr:uid="{00000000-0005-0000-0000-0000286E0000}"/>
    <cellStyle name="Normal 2 3 33 3 9" xfId="28208" xr:uid="{00000000-0005-0000-0000-0000296E0000}"/>
    <cellStyle name="Normal 2 3 33 4" xfId="28209" xr:uid="{00000000-0005-0000-0000-00002A6E0000}"/>
    <cellStyle name="Normal 2 3 33 4 10" xfId="28210" xr:uid="{00000000-0005-0000-0000-00002B6E0000}"/>
    <cellStyle name="Normal 2 3 33 4 2" xfId="28211" xr:uid="{00000000-0005-0000-0000-00002C6E0000}"/>
    <cellStyle name="Normal 2 3 33 4 3" xfId="28212" xr:uid="{00000000-0005-0000-0000-00002D6E0000}"/>
    <cellStyle name="Normal 2 3 33 4 4" xfId="28213" xr:uid="{00000000-0005-0000-0000-00002E6E0000}"/>
    <cellStyle name="Normal 2 3 33 4 5" xfId="28214" xr:uid="{00000000-0005-0000-0000-00002F6E0000}"/>
    <cellStyle name="Normal 2 3 33 4 6" xfId="28215" xr:uid="{00000000-0005-0000-0000-0000306E0000}"/>
    <cellStyle name="Normal 2 3 33 4 7" xfId="28216" xr:uid="{00000000-0005-0000-0000-0000316E0000}"/>
    <cellStyle name="Normal 2 3 33 4 8" xfId="28217" xr:uid="{00000000-0005-0000-0000-0000326E0000}"/>
    <cellStyle name="Normal 2 3 33 4 9" xfId="28218" xr:uid="{00000000-0005-0000-0000-0000336E0000}"/>
    <cellStyle name="Normal 2 3 33 5" xfId="28219" xr:uid="{00000000-0005-0000-0000-0000346E0000}"/>
    <cellStyle name="Normal 2 3 33 5 10" xfId="28220" xr:uid="{00000000-0005-0000-0000-0000356E0000}"/>
    <cellStyle name="Normal 2 3 33 5 2" xfId="28221" xr:uid="{00000000-0005-0000-0000-0000366E0000}"/>
    <cellStyle name="Normal 2 3 33 5 3" xfId="28222" xr:uid="{00000000-0005-0000-0000-0000376E0000}"/>
    <cellStyle name="Normal 2 3 33 5 4" xfId="28223" xr:uid="{00000000-0005-0000-0000-0000386E0000}"/>
    <cellStyle name="Normal 2 3 33 5 5" xfId="28224" xr:uid="{00000000-0005-0000-0000-0000396E0000}"/>
    <cellStyle name="Normal 2 3 33 5 6" xfId="28225" xr:uid="{00000000-0005-0000-0000-00003A6E0000}"/>
    <cellStyle name="Normal 2 3 33 5 7" xfId="28226" xr:uid="{00000000-0005-0000-0000-00003B6E0000}"/>
    <cellStyle name="Normal 2 3 33 5 8" xfId="28227" xr:uid="{00000000-0005-0000-0000-00003C6E0000}"/>
    <cellStyle name="Normal 2 3 33 5 9" xfId="28228" xr:uid="{00000000-0005-0000-0000-00003D6E0000}"/>
    <cellStyle name="Normal 2 3 33 6" xfId="28229" xr:uid="{00000000-0005-0000-0000-00003E6E0000}"/>
    <cellStyle name="Normal 2 3 33 7" xfId="28230" xr:uid="{00000000-0005-0000-0000-00003F6E0000}"/>
    <cellStyle name="Normal 2 3 33 8" xfId="28231" xr:uid="{00000000-0005-0000-0000-0000406E0000}"/>
    <cellStyle name="Normal 2 3 33 9" xfId="28232" xr:uid="{00000000-0005-0000-0000-0000416E0000}"/>
    <cellStyle name="Normal 2 3 34" xfId="28233" xr:uid="{00000000-0005-0000-0000-0000426E0000}"/>
    <cellStyle name="Normal 2 3 34 10" xfId="28234" xr:uid="{00000000-0005-0000-0000-0000436E0000}"/>
    <cellStyle name="Normal 2 3 34 11" xfId="28235" xr:uid="{00000000-0005-0000-0000-0000446E0000}"/>
    <cellStyle name="Normal 2 3 34 12" xfId="28236" xr:uid="{00000000-0005-0000-0000-0000456E0000}"/>
    <cellStyle name="Normal 2 3 34 13" xfId="28237" xr:uid="{00000000-0005-0000-0000-0000466E0000}"/>
    <cellStyle name="Normal 2 3 34 14" xfId="28238" xr:uid="{00000000-0005-0000-0000-0000476E0000}"/>
    <cellStyle name="Normal 2 3 34 2" xfId="28239" xr:uid="{00000000-0005-0000-0000-0000486E0000}"/>
    <cellStyle name="Normal 2 3 34 2 10" xfId="28240" xr:uid="{00000000-0005-0000-0000-0000496E0000}"/>
    <cellStyle name="Normal 2 3 34 2 2" xfId="28241" xr:uid="{00000000-0005-0000-0000-00004A6E0000}"/>
    <cellStyle name="Normal 2 3 34 2 3" xfId="28242" xr:uid="{00000000-0005-0000-0000-00004B6E0000}"/>
    <cellStyle name="Normal 2 3 34 2 4" xfId="28243" xr:uid="{00000000-0005-0000-0000-00004C6E0000}"/>
    <cellStyle name="Normal 2 3 34 2 5" xfId="28244" xr:uid="{00000000-0005-0000-0000-00004D6E0000}"/>
    <cellStyle name="Normal 2 3 34 2 6" xfId="28245" xr:uid="{00000000-0005-0000-0000-00004E6E0000}"/>
    <cellStyle name="Normal 2 3 34 2 7" xfId="28246" xr:uid="{00000000-0005-0000-0000-00004F6E0000}"/>
    <cellStyle name="Normal 2 3 34 2 8" xfId="28247" xr:uid="{00000000-0005-0000-0000-0000506E0000}"/>
    <cellStyle name="Normal 2 3 34 2 9" xfId="28248" xr:uid="{00000000-0005-0000-0000-0000516E0000}"/>
    <cellStyle name="Normal 2 3 34 3" xfId="28249" xr:uid="{00000000-0005-0000-0000-0000526E0000}"/>
    <cellStyle name="Normal 2 3 34 3 10" xfId="28250" xr:uid="{00000000-0005-0000-0000-0000536E0000}"/>
    <cellStyle name="Normal 2 3 34 3 2" xfId="28251" xr:uid="{00000000-0005-0000-0000-0000546E0000}"/>
    <cellStyle name="Normal 2 3 34 3 3" xfId="28252" xr:uid="{00000000-0005-0000-0000-0000556E0000}"/>
    <cellStyle name="Normal 2 3 34 3 4" xfId="28253" xr:uid="{00000000-0005-0000-0000-0000566E0000}"/>
    <cellStyle name="Normal 2 3 34 3 5" xfId="28254" xr:uid="{00000000-0005-0000-0000-0000576E0000}"/>
    <cellStyle name="Normal 2 3 34 3 6" xfId="28255" xr:uid="{00000000-0005-0000-0000-0000586E0000}"/>
    <cellStyle name="Normal 2 3 34 3 7" xfId="28256" xr:uid="{00000000-0005-0000-0000-0000596E0000}"/>
    <cellStyle name="Normal 2 3 34 3 8" xfId="28257" xr:uid="{00000000-0005-0000-0000-00005A6E0000}"/>
    <cellStyle name="Normal 2 3 34 3 9" xfId="28258" xr:uid="{00000000-0005-0000-0000-00005B6E0000}"/>
    <cellStyle name="Normal 2 3 34 4" xfId="28259" xr:uid="{00000000-0005-0000-0000-00005C6E0000}"/>
    <cellStyle name="Normal 2 3 34 4 10" xfId="28260" xr:uid="{00000000-0005-0000-0000-00005D6E0000}"/>
    <cellStyle name="Normal 2 3 34 4 2" xfId="28261" xr:uid="{00000000-0005-0000-0000-00005E6E0000}"/>
    <cellStyle name="Normal 2 3 34 4 3" xfId="28262" xr:uid="{00000000-0005-0000-0000-00005F6E0000}"/>
    <cellStyle name="Normal 2 3 34 4 4" xfId="28263" xr:uid="{00000000-0005-0000-0000-0000606E0000}"/>
    <cellStyle name="Normal 2 3 34 4 5" xfId="28264" xr:uid="{00000000-0005-0000-0000-0000616E0000}"/>
    <cellStyle name="Normal 2 3 34 4 6" xfId="28265" xr:uid="{00000000-0005-0000-0000-0000626E0000}"/>
    <cellStyle name="Normal 2 3 34 4 7" xfId="28266" xr:uid="{00000000-0005-0000-0000-0000636E0000}"/>
    <cellStyle name="Normal 2 3 34 4 8" xfId="28267" xr:uid="{00000000-0005-0000-0000-0000646E0000}"/>
    <cellStyle name="Normal 2 3 34 4 9" xfId="28268" xr:uid="{00000000-0005-0000-0000-0000656E0000}"/>
    <cellStyle name="Normal 2 3 34 5" xfId="28269" xr:uid="{00000000-0005-0000-0000-0000666E0000}"/>
    <cellStyle name="Normal 2 3 34 5 10" xfId="28270" xr:uid="{00000000-0005-0000-0000-0000676E0000}"/>
    <cellStyle name="Normal 2 3 34 5 2" xfId="28271" xr:uid="{00000000-0005-0000-0000-0000686E0000}"/>
    <cellStyle name="Normal 2 3 34 5 3" xfId="28272" xr:uid="{00000000-0005-0000-0000-0000696E0000}"/>
    <cellStyle name="Normal 2 3 34 5 4" xfId="28273" xr:uid="{00000000-0005-0000-0000-00006A6E0000}"/>
    <cellStyle name="Normal 2 3 34 5 5" xfId="28274" xr:uid="{00000000-0005-0000-0000-00006B6E0000}"/>
    <cellStyle name="Normal 2 3 34 5 6" xfId="28275" xr:uid="{00000000-0005-0000-0000-00006C6E0000}"/>
    <cellStyle name="Normal 2 3 34 5 7" xfId="28276" xr:uid="{00000000-0005-0000-0000-00006D6E0000}"/>
    <cellStyle name="Normal 2 3 34 5 8" xfId="28277" xr:uid="{00000000-0005-0000-0000-00006E6E0000}"/>
    <cellStyle name="Normal 2 3 34 5 9" xfId="28278" xr:uid="{00000000-0005-0000-0000-00006F6E0000}"/>
    <cellStyle name="Normal 2 3 34 6" xfId="28279" xr:uid="{00000000-0005-0000-0000-0000706E0000}"/>
    <cellStyle name="Normal 2 3 34 7" xfId="28280" xr:uid="{00000000-0005-0000-0000-0000716E0000}"/>
    <cellStyle name="Normal 2 3 34 8" xfId="28281" xr:uid="{00000000-0005-0000-0000-0000726E0000}"/>
    <cellStyle name="Normal 2 3 34 9" xfId="28282" xr:uid="{00000000-0005-0000-0000-0000736E0000}"/>
    <cellStyle name="Normal 2 3 35" xfId="28283" xr:uid="{00000000-0005-0000-0000-0000746E0000}"/>
    <cellStyle name="Normal 2 3 35 10" xfId="28284" xr:uid="{00000000-0005-0000-0000-0000756E0000}"/>
    <cellStyle name="Normal 2 3 35 2" xfId="28285" xr:uid="{00000000-0005-0000-0000-0000766E0000}"/>
    <cellStyle name="Normal 2 3 35 3" xfId="28286" xr:uid="{00000000-0005-0000-0000-0000776E0000}"/>
    <cellStyle name="Normal 2 3 35 4" xfId="28287" xr:uid="{00000000-0005-0000-0000-0000786E0000}"/>
    <cellStyle name="Normal 2 3 35 5" xfId="28288" xr:uid="{00000000-0005-0000-0000-0000796E0000}"/>
    <cellStyle name="Normal 2 3 35 6" xfId="28289" xr:uid="{00000000-0005-0000-0000-00007A6E0000}"/>
    <cellStyle name="Normal 2 3 35 7" xfId="28290" xr:uid="{00000000-0005-0000-0000-00007B6E0000}"/>
    <cellStyle name="Normal 2 3 35 8" xfId="28291" xr:uid="{00000000-0005-0000-0000-00007C6E0000}"/>
    <cellStyle name="Normal 2 3 35 9" xfId="28292" xr:uid="{00000000-0005-0000-0000-00007D6E0000}"/>
    <cellStyle name="Normal 2 3 36" xfId="28293" xr:uid="{00000000-0005-0000-0000-00007E6E0000}"/>
    <cellStyle name="Normal 2 3 36 10" xfId="28294" xr:uid="{00000000-0005-0000-0000-00007F6E0000}"/>
    <cellStyle name="Normal 2 3 36 2" xfId="28295" xr:uid="{00000000-0005-0000-0000-0000806E0000}"/>
    <cellStyle name="Normal 2 3 36 3" xfId="28296" xr:uid="{00000000-0005-0000-0000-0000816E0000}"/>
    <cellStyle name="Normal 2 3 36 4" xfId="28297" xr:uid="{00000000-0005-0000-0000-0000826E0000}"/>
    <cellStyle name="Normal 2 3 36 5" xfId="28298" xr:uid="{00000000-0005-0000-0000-0000836E0000}"/>
    <cellStyle name="Normal 2 3 36 6" xfId="28299" xr:uid="{00000000-0005-0000-0000-0000846E0000}"/>
    <cellStyle name="Normal 2 3 36 7" xfId="28300" xr:uid="{00000000-0005-0000-0000-0000856E0000}"/>
    <cellStyle name="Normal 2 3 36 8" xfId="28301" xr:uid="{00000000-0005-0000-0000-0000866E0000}"/>
    <cellStyle name="Normal 2 3 36 9" xfId="28302" xr:uid="{00000000-0005-0000-0000-0000876E0000}"/>
    <cellStyle name="Normal 2 3 37" xfId="28303" xr:uid="{00000000-0005-0000-0000-0000886E0000}"/>
    <cellStyle name="Normal 2 3 37 10" xfId="28304" xr:uid="{00000000-0005-0000-0000-0000896E0000}"/>
    <cellStyle name="Normal 2 3 37 2" xfId="28305" xr:uid="{00000000-0005-0000-0000-00008A6E0000}"/>
    <cellStyle name="Normal 2 3 37 3" xfId="28306" xr:uid="{00000000-0005-0000-0000-00008B6E0000}"/>
    <cellStyle name="Normal 2 3 37 4" xfId="28307" xr:uid="{00000000-0005-0000-0000-00008C6E0000}"/>
    <cellStyle name="Normal 2 3 37 5" xfId="28308" xr:uid="{00000000-0005-0000-0000-00008D6E0000}"/>
    <cellStyle name="Normal 2 3 37 6" xfId="28309" xr:uid="{00000000-0005-0000-0000-00008E6E0000}"/>
    <cellStyle name="Normal 2 3 37 7" xfId="28310" xr:uid="{00000000-0005-0000-0000-00008F6E0000}"/>
    <cellStyle name="Normal 2 3 37 8" xfId="28311" xr:uid="{00000000-0005-0000-0000-0000906E0000}"/>
    <cellStyle name="Normal 2 3 37 9" xfId="28312" xr:uid="{00000000-0005-0000-0000-0000916E0000}"/>
    <cellStyle name="Normal 2 3 38" xfId="28313" xr:uid="{00000000-0005-0000-0000-0000926E0000}"/>
    <cellStyle name="Normal 2 3 38 10" xfId="28314" xr:uid="{00000000-0005-0000-0000-0000936E0000}"/>
    <cellStyle name="Normal 2 3 38 2" xfId="28315" xr:uid="{00000000-0005-0000-0000-0000946E0000}"/>
    <cellStyle name="Normal 2 3 38 3" xfId="28316" xr:uid="{00000000-0005-0000-0000-0000956E0000}"/>
    <cellStyle name="Normal 2 3 38 4" xfId="28317" xr:uid="{00000000-0005-0000-0000-0000966E0000}"/>
    <cellStyle name="Normal 2 3 38 5" xfId="28318" xr:uid="{00000000-0005-0000-0000-0000976E0000}"/>
    <cellStyle name="Normal 2 3 38 6" xfId="28319" xr:uid="{00000000-0005-0000-0000-0000986E0000}"/>
    <cellStyle name="Normal 2 3 38 7" xfId="28320" xr:uid="{00000000-0005-0000-0000-0000996E0000}"/>
    <cellStyle name="Normal 2 3 38 8" xfId="28321" xr:uid="{00000000-0005-0000-0000-00009A6E0000}"/>
    <cellStyle name="Normal 2 3 38 9" xfId="28322" xr:uid="{00000000-0005-0000-0000-00009B6E0000}"/>
    <cellStyle name="Normal 2 3 39" xfId="28323" xr:uid="{00000000-0005-0000-0000-00009C6E0000}"/>
    <cellStyle name="Normal 2 3 4" xfId="28324" xr:uid="{00000000-0005-0000-0000-00009D6E0000}"/>
    <cellStyle name="Normal 2 3 4 10" xfId="28325" xr:uid="{00000000-0005-0000-0000-00009E6E0000}"/>
    <cellStyle name="Normal 2 3 4 11" xfId="28326" xr:uid="{00000000-0005-0000-0000-00009F6E0000}"/>
    <cellStyle name="Normal 2 3 4 12" xfId="28327" xr:uid="{00000000-0005-0000-0000-0000A06E0000}"/>
    <cellStyle name="Normal 2 3 4 13" xfId="28328" xr:uid="{00000000-0005-0000-0000-0000A16E0000}"/>
    <cellStyle name="Normal 2 3 4 14" xfId="28329" xr:uid="{00000000-0005-0000-0000-0000A26E0000}"/>
    <cellStyle name="Normal 2 3 4 15" xfId="28330" xr:uid="{00000000-0005-0000-0000-0000A36E0000}"/>
    <cellStyle name="Normal 2 3 4 16" xfId="28331" xr:uid="{00000000-0005-0000-0000-0000A46E0000}"/>
    <cellStyle name="Normal 2 3 4 2" xfId="28332" xr:uid="{00000000-0005-0000-0000-0000A56E0000}"/>
    <cellStyle name="Normal 2 3 4 2 10" xfId="28333" xr:uid="{00000000-0005-0000-0000-0000A66E0000}"/>
    <cellStyle name="Normal 2 3 4 2 2" xfId="28334" xr:uid="{00000000-0005-0000-0000-0000A76E0000}"/>
    <cellStyle name="Normal 2 3 4 2 3" xfId="28335" xr:uid="{00000000-0005-0000-0000-0000A86E0000}"/>
    <cellStyle name="Normal 2 3 4 2 4" xfId="28336" xr:uid="{00000000-0005-0000-0000-0000A96E0000}"/>
    <cellStyle name="Normal 2 3 4 2 5" xfId="28337" xr:uid="{00000000-0005-0000-0000-0000AA6E0000}"/>
    <cellStyle name="Normal 2 3 4 2 6" xfId="28338" xr:uid="{00000000-0005-0000-0000-0000AB6E0000}"/>
    <cellStyle name="Normal 2 3 4 2 7" xfId="28339" xr:uid="{00000000-0005-0000-0000-0000AC6E0000}"/>
    <cellStyle name="Normal 2 3 4 2 8" xfId="28340" xr:uid="{00000000-0005-0000-0000-0000AD6E0000}"/>
    <cellStyle name="Normal 2 3 4 2 9" xfId="28341" xr:uid="{00000000-0005-0000-0000-0000AE6E0000}"/>
    <cellStyle name="Normal 2 3 4 3" xfId="28342" xr:uid="{00000000-0005-0000-0000-0000AF6E0000}"/>
    <cellStyle name="Normal 2 3 4 3 10" xfId="28343" xr:uid="{00000000-0005-0000-0000-0000B06E0000}"/>
    <cellStyle name="Normal 2 3 4 3 2" xfId="28344" xr:uid="{00000000-0005-0000-0000-0000B16E0000}"/>
    <cellStyle name="Normal 2 3 4 3 3" xfId="28345" xr:uid="{00000000-0005-0000-0000-0000B26E0000}"/>
    <cellStyle name="Normal 2 3 4 3 4" xfId="28346" xr:uid="{00000000-0005-0000-0000-0000B36E0000}"/>
    <cellStyle name="Normal 2 3 4 3 5" xfId="28347" xr:uid="{00000000-0005-0000-0000-0000B46E0000}"/>
    <cellStyle name="Normal 2 3 4 3 6" xfId="28348" xr:uid="{00000000-0005-0000-0000-0000B56E0000}"/>
    <cellStyle name="Normal 2 3 4 3 7" xfId="28349" xr:uid="{00000000-0005-0000-0000-0000B66E0000}"/>
    <cellStyle name="Normal 2 3 4 3 8" xfId="28350" xr:uid="{00000000-0005-0000-0000-0000B76E0000}"/>
    <cellStyle name="Normal 2 3 4 3 9" xfId="28351" xr:uid="{00000000-0005-0000-0000-0000B86E0000}"/>
    <cellStyle name="Normal 2 3 4 4" xfId="28352" xr:uid="{00000000-0005-0000-0000-0000B96E0000}"/>
    <cellStyle name="Normal 2 3 4 4 10" xfId="28353" xr:uid="{00000000-0005-0000-0000-0000BA6E0000}"/>
    <cellStyle name="Normal 2 3 4 4 2" xfId="28354" xr:uid="{00000000-0005-0000-0000-0000BB6E0000}"/>
    <cellStyle name="Normal 2 3 4 4 3" xfId="28355" xr:uid="{00000000-0005-0000-0000-0000BC6E0000}"/>
    <cellStyle name="Normal 2 3 4 4 4" xfId="28356" xr:uid="{00000000-0005-0000-0000-0000BD6E0000}"/>
    <cellStyle name="Normal 2 3 4 4 5" xfId="28357" xr:uid="{00000000-0005-0000-0000-0000BE6E0000}"/>
    <cellStyle name="Normal 2 3 4 4 6" xfId="28358" xr:uid="{00000000-0005-0000-0000-0000BF6E0000}"/>
    <cellStyle name="Normal 2 3 4 4 7" xfId="28359" xr:uid="{00000000-0005-0000-0000-0000C06E0000}"/>
    <cellStyle name="Normal 2 3 4 4 8" xfId="28360" xr:uid="{00000000-0005-0000-0000-0000C16E0000}"/>
    <cellStyle name="Normal 2 3 4 4 9" xfId="28361" xr:uid="{00000000-0005-0000-0000-0000C26E0000}"/>
    <cellStyle name="Normal 2 3 4 5" xfId="28362" xr:uid="{00000000-0005-0000-0000-0000C36E0000}"/>
    <cellStyle name="Normal 2 3 4 5 10" xfId="28363" xr:uid="{00000000-0005-0000-0000-0000C46E0000}"/>
    <cellStyle name="Normal 2 3 4 5 2" xfId="28364" xr:uid="{00000000-0005-0000-0000-0000C56E0000}"/>
    <cellStyle name="Normal 2 3 4 5 3" xfId="28365" xr:uid="{00000000-0005-0000-0000-0000C66E0000}"/>
    <cellStyle name="Normal 2 3 4 5 4" xfId="28366" xr:uid="{00000000-0005-0000-0000-0000C76E0000}"/>
    <cellStyle name="Normal 2 3 4 5 5" xfId="28367" xr:uid="{00000000-0005-0000-0000-0000C86E0000}"/>
    <cellStyle name="Normal 2 3 4 5 6" xfId="28368" xr:uid="{00000000-0005-0000-0000-0000C96E0000}"/>
    <cellStyle name="Normal 2 3 4 5 7" xfId="28369" xr:uid="{00000000-0005-0000-0000-0000CA6E0000}"/>
    <cellStyle name="Normal 2 3 4 5 8" xfId="28370" xr:uid="{00000000-0005-0000-0000-0000CB6E0000}"/>
    <cellStyle name="Normal 2 3 4 5 9" xfId="28371" xr:uid="{00000000-0005-0000-0000-0000CC6E0000}"/>
    <cellStyle name="Normal 2 3 4 6" xfId="28372" xr:uid="{00000000-0005-0000-0000-0000CD6E0000}"/>
    <cellStyle name="Normal 2 3 4 7" xfId="28373" xr:uid="{00000000-0005-0000-0000-0000CE6E0000}"/>
    <cellStyle name="Normal 2 3 4 8" xfId="28374" xr:uid="{00000000-0005-0000-0000-0000CF6E0000}"/>
    <cellStyle name="Normal 2 3 4 9" xfId="28375" xr:uid="{00000000-0005-0000-0000-0000D06E0000}"/>
    <cellStyle name="Normal 2 3 40" xfId="28376" xr:uid="{00000000-0005-0000-0000-0000D16E0000}"/>
    <cellStyle name="Normal 2 3 41" xfId="28377" xr:uid="{00000000-0005-0000-0000-0000D26E0000}"/>
    <cellStyle name="Normal 2 3 42" xfId="28378" xr:uid="{00000000-0005-0000-0000-0000D36E0000}"/>
    <cellStyle name="Normal 2 3 43" xfId="28379" xr:uid="{00000000-0005-0000-0000-0000D46E0000}"/>
    <cellStyle name="Normal 2 3 44" xfId="28380" xr:uid="{00000000-0005-0000-0000-0000D56E0000}"/>
    <cellStyle name="Normal 2 3 45" xfId="28381" xr:uid="{00000000-0005-0000-0000-0000D66E0000}"/>
    <cellStyle name="Normal 2 3 46" xfId="28382" xr:uid="{00000000-0005-0000-0000-0000D76E0000}"/>
    <cellStyle name="Normal 2 3 47" xfId="28383" xr:uid="{00000000-0005-0000-0000-0000D86E0000}"/>
    <cellStyle name="Normal 2 3 48" xfId="28384" xr:uid="{00000000-0005-0000-0000-0000D96E0000}"/>
    <cellStyle name="Normal 2 3 49" xfId="28385" xr:uid="{00000000-0005-0000-0000-0000DA6E0000}"/>
    <cellStyle name="Normal 2 3 5" xfId="28386" xr:uid="{00000000-0005-0000-0000-0000DB6E0000}"/>
    <cellStyle name="Normal 2 3 5 10" xfId="28387" xr:uid="{00000000-0005-0000-0000-0000DC6E0000}"/>
    <cellStyle name="Normal 2 3 5 11" xfId="28388" xr:uid="{00000000-0005-0000-0000-0000DD6E0000}"/>
    <cellStyle name="Normal 2 3 5 12" xfId="28389" xr:uid="{00000000-0005-0000-0000-0000DE6E0000}"/>
    <cellStyle name="Normal 2 3 5 13" xfId="28390" xr:uid="{00000000-0005-0000-0000-0000DF6E0000}"/>
    <cellStyle name="Normal 2 3 5 14" xfId="28391" xr:uid="{00000000-0005-0000-0000-0000E06E0000}"/>
    <cellStyle name="Normal 2 3 5 15" xfId="28392" xr:uid="{00000000-0005-0000-0000-0000E16E0000}"/>
    <cellStyle name="Normal 2 3 5 16" xfId="28393" xr:uid="{00000000-0005-0000-0000-0000E26E0000}"/>
    <cellStyle name="Normal 2 3 5 2" xfId="28394" xr:uid="{00000000-0005-0000-0000-0000E36E0000}"/>
    <cellStyle name="Normal 2 3 5 2 10" xfId="28395" xr:uid="{00000000-0005-0000-0000-0000E46E0000}"/>
    <cellStyle name="Normal 2 3 5 2 11" xfId="28396" xr:uid="{00000000-0005-0000-0000-0000E56E0000}"/>
    <cellStyle name="Normal 2 3 5 2 12" xfId="28397" xr:uid="{00000000-0005-0000-0000-0000E66E0000}"/>
    <cellStyle name="Normal 2 3 5 2 2" xfId="28398" xr:uid="{00000000-0005-0000-0000-0000E76E0000}"/>
    <cellStyle name="Normal 2 3 5 2 3" xfId="28399" xr:uid="{00000000-0005-0000-0000-0000E86E0000}"/>
    <cellStyle name="Normal 2 3 5 2 4" xfId="28400" xr:uid="{00000000-0005-0000-0000-0000E96E0000}"/>
    <cellStyle name="Normal 2 3 5 2 5" xfId="28401" xr:uid="{00000000-0005-0000-0000-0000EA6E0000}"/>
    <cellStyle name="Normal 2 3 5 2 6" xfId="28402" xr:uid="{00000000-0005-0000-0000-0000EB6E0000}"/>
    <cellStyle name="Normal 2 3 5 2 7" xfId="28403" xr:uid="{00000000-0005-0000-0000-0000EC6E0000}"/>
    <cellStyle name="Normal 2 3 5 2 8" xfId="28404" xr:uid="{00000000-0005-0000-0000-0000ED6E0000}"/>
    <cellStyle name="Normal 2 3 5 2 9" xfId="28405" xr:uid="{00000000-0005-0000-0000-0000EE6E0000}"/>
    <cellStyle name="Normal 2 3 5 3" xfId="28406" xr:uid="{00000000-0005-0000-0000-0000EF6E0000}"/>
    <cellStyle name="Normal 2 3 5 3 10" xfId="28407" xr:uid="{00000000-0005-0000-0000-0000F06E0000}"/>
    <cellStyle name="Normal 2 3 5 3 2" xfId="28408" xr:uid="{00000000-0005-0000-0000-0000F16E0000}"/>
    <cellStyle name="Normal 2 3 5 3 3" xfId="28409" xr:uid="{00000000-0005-0000-0000-0000F26E0000}"/>
    <cellStyle name="Normal 2 3 5 3 4" xfId="28410" xr:uid="{00000000-0005-0000-0000-0000F36E0000}"/>
    <cellStyle name="Normal 2 3 5 3 5" xfId="28411" xr:uid="{00000000-0005-0000-0000-0000F46E0000}"/>
    <cellStyle name="Normal 2 3 5 3 6" xfId="28412" xr:uid="{00000000-0005-0000-0000-0000F56E0000}"/>
    <cellStyle name="Normal 2 3 5 3 7" xfId="28413" xr:uid="{00000000-0005-0000-0000-0000F66E0000}"/>
    <cellStyle name="Normal 2 3 5 3 8" xfId="28414" xr:uid="{00000000-0005-0000-0000-0000F76E0000}"/>
    <cellStyle name="Normal 2 3 5 3 9" xfId="28415" xr:uid="{00000000-0005-0000-0000-0000F86E0000}"/>
    <cellStyle name="Normal 2 3 5 4" xfId="28416" xr:uid="{00000000-0005-0000-0000-0000F96E0000}"/>
    <cellStyle name="Normal 2 3 5 4 10" xfId="28417" xr:uid="{00000000-0005-0000-0000-0000FA6E0000}"/>
    <cellStyle name="Normal 2 3 5 4 2" xfId="28418" xr:uid="{00000000-0005-0000-0000-0000FB6E0000}"/>
    <cellStyle name="Normal 2 3 5 4 3" xfId="28419" xr:uid="{00000000-0005-0000-0000-0000FC6E0000}"/>
    <cellStyle name="Normal 2 3 5 4 4" xfId="28420" xr:uid="{00000000-0005-0000-0000-0000FD6E0000}"/>
    <cellStyle name="Normal 2 3 5 4 5" xfId="28421" xr:uid="{00000000-0005-0000-0000-0000FE6E0000}"/>
    <cellStyle name="Normal 2 3 5 4 6" xfId="28422" xr:uid="{00000000-0005-0000-0000-0000FF6E0000}"/>
    <cellStyle name="Normal 2 3 5 4 7" xfId="28423" xr:uid="{00000000-0005-0000-0000-0000006F0000}"/>
    <cellStyle name="Normal 2 3 5 4 8" xfId="28424" xr:uid="{00000000-0005-0000-0000-0000016F0000}"/>
    <cellStyle name="Normal 2 3 5 4 9" xfId="28425" xr:uid="{00000000-0005-0000-0000-0000026F0000}"/>
    <cellStyle name="Normal 2 3 5 5" xfId="28426" xr:uid="{00000000-0005-0000-0000-0000036F0000}"/>
    <cellStyle name="Normal 2 3 5 5 10" xfId="28427" xr:uid="{00000000-0005-0000-0000-0000046F0000}"/>
    <cellStyle name="Normal 2 3 5 5 2" xfId="28428" xr:uid="{00000000-0005-0000-0000-0000056F0000}"/>
    <cellStyle name="Normal 2 3 5 5 3" xfId="28429" xr:uid="{00000000-0005-0000-0000-0000066F0000}"/>
    <cellStyle name="Normal 2 3 5 5 4" xfId="28430" xr:uid="{00000000-0005-0000-0000-0000076F0000}"/>
    <cellStyle name="Normal 2 3 5 5 5" xfId="28431" xr:uid="{00000000-0005-0000-0000-0000086F0000}"/>
    <cellStyle name="Normal 2 3 5 5 6" xfId="28432" xr:uid="{00000000-0005-0000-0000-0000096F0000}"/>
    <cellStyle name="Normal 2 3 5 5 7" xfId="28433" xr:uid="{00000000-0005-0000-0000-00000A6F0000}"/>
    <cellStyle name="Normal 2 3 5 5 8" xfId="28434" xr:uid="{00000000-0005-0000-0000-00000B6F0000}"/>
    <cellStyle name="Normal 2 3 5 5 9" xfId="28435" xr:uid="{00000000-0005-0000-0000-00000C6F0000}"/>
    <cellStyle name="Normal 2 3 5 6" xfId="28436" xr:uid="{00000000-0005-0000-0000-00000D6F0000}"/>
    <cellStyle name="Normal 2 3 5 7" xfId="28437" xr:uid="{00000000-0005-0000-0000-00000E6F0000}"/>
    <cellStyle name="Normal 2 3 5 8" xfId="28438" xr:uid="{00000000-0005-0000-0000-00000F6F0000}"/>
    <cellStyle name="Normal 2 3 5 9" xfId="28439" xr:uid="{00000000-0005-0000-0000-0000106F0000}"/>
    <cellStyle name="Normal 2 3 6" xfId="28440" xr:uid="{00000000-0005-0000-0000-0000116F0000}"/>
    <cellStyle name="Normal 2 3 6 10" xfId="28441" xr:uid="{00000000-0005-0000-0000-0000126F0000}"/>
    <cellStyle name="Normal 2 3 6 11" xfId="28442" xr:uid="{00000000-0005-0000-0000-0000136F0000}"/>
    <cellStyle name="Normal 2 3 6 12" xfId="28443" xr:uid="{00000000-0005-0000-0000-0000146F0000}"/>
    <cellStyle name="Normal 2 3 6 13" xfId="28444" xr:uid="{00000000-0005-0000-0000-0000156F0000}"/>
    <cellStyle name="Normal 2 3 6 14" xfId="28445" xr:uid="{00000000-0005-0000-0000-0000166F0000}"/>
    <cellStyle name="Normal 2 3 6 2" xfId="28446" xr:uid="{00000000-0005-0000-0000-0000176F0000}"/>
    <cellStyle name="Normal 2 3 6 2 10" xfId="28447" xr:uid="{00000000-0005-0000-0000-0000186F0000}"/>
    <cellStyle name="Normal 2 3 6 2 2" xfId="28448" xr:uid="{00000000-0005-0000-0000-0000196F0000}"/>
    <cellStyle name="Normal 2 3 6 2 3" xfId="28449" xr:uid="{00000000-0005-0000-0000-00001A6F0000}"/>
    <cellStyle name="Normal 2 3 6 2 4" xfId="28450" xr:uid="{00000000-0005-0000-0000-00001B6F0000}"/>
    <cellStyle name="Normal 2 3 6 2 5" xfId="28451" xr:uid="{00000000-0005-0000-0000-00001C6F0000}"/>
    <cellStyle name="Normal 2 3 6 2 6" xfId="28452" xr:uid="{00000000-0005-0000-0000-00001D6F0000}"/>
    <cellStyle name="Normal 2 3 6 2 7" xfId="28453" xr:uid="{00000000-0005-0000-0000-00001E6F0000}"/>
    <cellStyle name="Normal 2 3 6 2 8" xfId="28454" xr:uid="{00000000-0005-0000-0000-00001F6F0000}"/>
    <cellStyle name="Normal 2 3 6 2 9" xfId="28455" xr:uid="{00000000-0005-0000-0000-0000206F0000}"/>
    <cellStyle name="Normal 2 3 6 3" xfId="28456" xr:uid="{00000000-0005-0000-0000-0000216F0000}"/>
    <cellStyle name="Normal 2 3 6 3 10" xfId="28457" xr:uid="{00000000-0005-0000-0000-0000226F0000}"/>
    <cellStyle name="Normal 2 3 6 3 2" xfId="28458" xr:uid="{00000000-0005-0000-0000-0000236F0000}"/>
    <cellStyle name="Normal 2 3 6 3 3" xfId="28459" xr:uid="{00000000-0005-0000-0000-0000246F0000}"/>
    <cellStyle name="Normal 2 3 6 3 4" xfId="28460" xr:uid="{00000000-0005-0000-0000-0000256F0000}"/>
    <cellStyle name="Normal 2 3 6 3 5" xfId="28461" xr:uid="{00000000-0005-0000-0000-0000266F0000}"/>
    <cellStyle name="Normal 2 3 6 3 6" xfId="28462" xr:uid="{00000000-0005-0000-0000-0000276F0000}"/>
    <cellStyle name="Normal 2 3 6 3 7" xfId="28463" xr:uid="{00000000-0005-0000-0000-0000286F0000}"/>
    <cellStyle name="Normal 2 3 6 3 8" xfId="28464" xr:uid="{00000000-0005-0000-0000-0000296F0000}"/>
    <cellStyle name="Normal 2 3 6 3 9" xfId="28465" xr:uid="{00000000-0005-0000-0000-00002A6F0000}"/>
    <cellStyle name="Normal 2 3 6 4" xfId="28466" xr:uid="{00000000-0005-0000-0000-00002B6F0000}"/>
    <cellStyle name="Normal 2 3 6 4 10" xfId="28467" xr:uid="{00000000-0005-0000-0000-00002C6F0000}"/>
    <cellStyle name="Normal 2 3 6 4 2" xfId="28468" xr:uid="{00000000-0005-0000-0000-00002D6F0000}"/>
    <cellStyle name="Normal 2 3 6 4 3" xfId="28469" xr:uid="{00000000-0005-0000-0000-00002E6F0000}"/>
    <cellStyle name="Normal 2 3 6 4 4" xfId="28470" xr:uid="{00000000-0005-0000-0000-00002F6F0000}"/>
    <cellStyle name="Normal 2 3 6 4 5" xfId="28471" xr:uid="{00000000-0005-0000-0000-0000306F0000}"/>
    <cellStyle name="Normal 2 3 6 4 6" xfId="28472" xr:uid="{00000000-0005-0000-0000-0000316F0000}"/>
    <cellStyle name="Normal 2 3 6 4 7" xfId="28473" xr:uid="{00000000-0005-0000-0000-0000326F0000}"/>
    <cellStyle name="Normal 2 3 6 4 8" xfId="28474" xr:uid="{00000000-0005-0000-0000-0000336F0000}"/>
    <cellStyle name="Normal 2 3 6 4 9" xfId="28475" xr:uid="{00000000-0005-0000-0000-0000346F0000}"/>
    <cellStyle name="Normal 2 3 6 5" xfId="28476" xr:uid="{00000000-0005-0000-0000-0000356F0000}"/>
    <cellStyle name="Normal 2 3 6 5 10" xfId="28477" xr:uid="{00000000-0005-0000-0000-0000366F0000}"/>
    <cellStyle name="Normal 2 3 6 5 2" xfId="28478" xr:uid="{00000000-0005-0000-0000-0000376F0000}"/>
    <cellStyle name="Normal 2 3 6 5 3" xfId="28479" xr:uid="{00000000-0005-0000-0000-0000386F0000}"/>
    <cellStyle name="Normal 2 3 6 5 4" xfId="28480" xr:uid="{00000000-0005-0000-0000-0000396F0000}"/>
    <cellStyle name="Normal 2 3 6 5 5" xfId="28481" xr:uid="{00000000-0005-0000-0000-00003A6F0000}"/>
    <cellStyle name="Normal 2 3 6 5 6" xfId="28482" xr:uid="{00000000-0005-0000-0000-00003B6F0000}"/>
    <cellStyle name="Normal 2 3 6 5 7" xfId="28483" xr:uid="{00000000-0005-0000-0000-00003C6F0000}"/>
    <cellStyle name="Normal 2 3 6 5 8" xfId="28484" xr:uid="{00000000-0005-0000-0000-00003D6F0000}"/>
    <cellStyle name="Normal 2 3 6 5 9" xfId="28485" xr:uid="{00000000-0005-0000-0000-00003E6F0000}"/>
    <cellStyle name="Normal 2 3 6 6" xfId="28486" xr:uid="{00000000-0005-0000-0000-00003F6F0000}"/>
    <cellStyle name="Normal 2 3 6 7" xfId="28487" xr:uid="{00000000-0005-0000-0000-0000406F0000}"/>
    <cellStyle name="Normal 2 3 6 8" xfId="28488" xr:uid="{00000000-0005-0000-0000-0000416F0000}"/>
    <cellStyle name="Normal 2 3 6 9" xfId="28489" xr:uid="{00000000-0005-0000-0000-0000426F0000}"/>
    <cellStyle name="Normal 2 3 7" xfId="28490" xr:uid="{00000000-0005-0000-0000-0000436F0000}"/>
    <cellStyle name="Normal 2 3 7 10" xfId="28491" xr:uid="{00000000-0005-0000-0000-0000446F0000}"/>
    <cellStyle name="Normal 2 3 7 11" xfId="28492" xr:uid="{00000000-0005-0000-0000-0000456F0000}"/>
    <cellStyle name="Normal 2 3 7 12" xfId="28493" xr:uid="{00000000-0005-0000-0000-0000466F0000}"/>
    <cellStyle name="Normal 2 3 7 13" xfId="28494" xr:uid="{00000000-0005-0000-0000-0000476F0000}"/>
    <cellStyle name="Normal 2 3 7 14" xfId="28495" xr:uid="{00000000-0005-0000-0000-0000486F0000}"/>
    <cellStyle name="Normal 2 3 7 2" xfId="28496" xr:uid="{00000000-0005-0000-0000-0000496F0000}"/>
    <cellStyle name="Normal 2 3 7 2 10" xfId="28497" xr:uid="{00000000-0005-0000-0000-00004A6F0000}"/>
    <cellStyle name="Normal 2 3 7 2 2" xfId="28498" xr:uid="{00000000-0005-0000-0000-00004B6F0000}"/>
    <cellStyle name="Normal 2 3 7 2 3" xfId="28499" xr:uid="{00000000-0005-0000-0000-00004C6F0000}"/>
    <cellStyle name="Normal 2 3 7 2 4" xfId="28500" xr:uid="{00000000-0005-0000-0000-00004D6F0000}"/>
    <cellStyle name="Normal 2 3 7 2 5" xfId="28501" xr:uid="{00000000-0005-0000-0000-00004E6F0000}"/>
    <cellStyle name="Normal 2 3 7 2 6" xfId="28502" xr:uid="{00000000-0005-0000-0000-00004F6F0000}"/>
    <cellStyle name="Normal 2 3 7 2 7" xfId="28503" xr:uid="{00000000-0005-0000-0000-0000506F0000}"/>
    <cellStyle name="Normal 2 3 7 2 8" xfId="28504" xr:uid="{00000000-0005-0000-0000-0000516F0000}"/>
    <cellStyle name="Normal 2 3 7 2 9" xfId="28505" xr:uid="{00000000-0005-0000-0000-0000526F0000}"/>
    <cellStyle name="Normal 2 3 7 3" xfId="28506" xr:uid="{00000000-0005-0000-0000-0000536F0000}"/>
    <cellStyle name="Normal 2 3 7 3 10" xfId="28507" xr:uid="{00000000-0005-0000-0000-0000546F0000}"/>
    <cellStyle name="Normal 2 3 7 3 2" xfId="28508" xr:uid="{00000000-0005-0000-0000-0000556F0000}"/>
    <cellStyle name="Normal 2 3 7 3 3" xfId="28509" xr:uid="{00000000-0005-0000-0000-0000566F0000}"/>
    <cellStyle name="Normal 2 3 7 3 4" xfId="28510" xr:uid="{00000000-0005-0000-0000-0000576F0000}"/>
    <cellStyle name="Normal 2 3 7 3 5" xfId="28511" xr:uid="{00000000-0005-0000-0000-0000586F0000}"/>
    <cellStyle name="Normal 2 3 7 3 6" xfId="28512" xr:uid="{00000000-0005-0000-0000-0000596F0000}"/>
    <cellStyle name="Normal 2 3 7 3 7" xfId="28513" xr:uid="{00000000-0005-0000-0000-00005A6F0000}"/>
    <cellStyle name="Normal 2 3 7 3 8" xfId="28514" xr:uid="{00000000-0005-0000-0000-00005B6F0000}"/>
    <cellStyle name="Normal 2 3 7 3 9" xfId="28515" xr:uid="{00000000-0005-0000-0000-00005C6F0000}"/>
    <cellStyle name="Normal 2 3 7 4" xfId="28516" xr:uid="{00000000-0005-0000-0000-00005D6F0000}"/>
    <cellStyle name="Normal 2 3 7 4 10" xfId="28517" xr:uid="{00000000-0005-0000-0000-00005E6F0000}"/>
    <cellStyle name="Normal 2 3 7 4 2" xfId="28518" xr:uid="{00000000-0005-0000-0000-00005F6F0000}"/>
    <cellStyle name="Normal 2 3 7 4 3" xfId="28519" xr:uid="{00000000-0005-0000-0000-0000606F0000}"/>
    <cellStyle name="Normal 2 3 7 4 4" xfId="28520" xr:uid="{00000000-0005-0000-0000-0000616F0000}"/>
    <cellStyle name="Normal 2 3 7 4 5" xfId="28521" xr:uid="{00000000-0005-0000-0000-0000626F0000}"/>
    <cellStyle name="Normal 2 3 7 4 6" xfId="28522" xr:uid="{00000000-0005-0000-0000-0000636F0000}"/>
    <cellStyle name="Normal 2 3 7 4 7" xfId="28523" xr:uid="{00000000-0005-0000-0000-0000646F0000}"/>
    <cellStyle name="Normal 2 3 7 4 8" xfId="28524" xr:uid="{00000000-0005-0000-0000-0000656F0000}"/>
    <cellStyle name="Normal 2 3 7 4 9" xfId="28525" xr:uid="{00000000-0005-0000-0000-0000666F0000}"/>
    <cellStyle name="Normal 2 3 7 5" xfId="28526" xr:uid="{00000000-0005-0000-0000-0000676F0000}"/>
    <cellStyle name="Normal 2 3 7 5 10" xfId="28527" xr:uid="{00000000-0005-0000-0000-0000686F0000}"/>
    <cellStyle name="Normal 2 3 7 5 2" xfId="28528" xr:uid="{00000000-0005-0000-0000-0000696F0000}"/>
    <cellStyle name="Normal 2 3 7 5 3" xfId="28529" xr:uid="{00000000-0005-0000-0000-00006A6F0000}"/>
    <cellStyle name="Normal 2 3 7 5 4" xfId="28530" xr:uid="{00000000-0005-0000-0000-00006B6F0000}"/>
    <cellStyle name="Normal 2 3 7 5 5" xfId="28531" xr:uid="{00000000-0005-0000-0000-00006C6F0000}"/>
    <cellStyle name="Normal 2 3 7 5 6" xfId="28532" xr:uid="{00000000-0005-0000-0000-00006D6F0000}"/>
    <cellStyle name="Normal 2 3 7 5 7" xfId="28533" xr:uid="{00000000-0005-0000-0000-00006E6F0000}"/>
    <cellStyle name="Normal 2 3 7 5 8" xfId="28534" xr:uid="{00000000-0005-0000-0000-00006F6F0000}"/>
    <cellStyle name="Normal 2 3 7 5 9" xfId="28535" xr:uid="{00000000-0005-0000-0000-0000706F0000}"/>
    <cellStyle name="Normal 2 3 7 6" xfId="28536" xr:uid="{00000000-0005-0000-0000-0000716F0000}"/>
    <cellStyle name="Normal 2 3 7 7" xfId="28537" xr:uid="{00000000-0005-0000-0000-0000726F0000}"/>
    <cellStyle name="Normal 2 3 7 8" xfId="28538" xr:uid="{00000000-0005-0000-0000-0000736F0000}"/>
    <cellStyle name="Normal 2 3 7 9" xfId="28539" xr:uid="{00000000-0005-0000-0000-0000746F0000}"/>
    <cellStyle name="Normal 2 3 8" xfId="28540" xr:uid="{00000000-0005-0000-0000-0000756F0000}"/>
    <cellStyle name="Normal 2 3 8 10" xfId="28541" xr:uid="{00000000-0005-0000-0000-0000766F0000}"/>
    <cellStyle name="Normal 2 3 8 11" xfId="28542" xr:uid="{00000000-0005-0000-0000-0000776F0000}"/>
    <cellStyle name="Normal 2 3 8 12" xfId="28543" xr:uid="{00000000-0005-0000-0000-0000786F0000}"/>
    <cellStyle name="Normal 2 3 8 13" xfId="28544" xr:uid="{00000000-0005-0000-0000-0000796F0000}"/>
    <cellStyle name="Normal 2 3 8 14" xfId="28545" xr:uid="{00000000-0005-0000-0000-00007A6F0000}"/>
    <cellStyle name="Normal 2 3 8 2" xfId="28546" xr:uid="{00000000-0005-0000-0000-00007B6F0000}"/>
    <cellStyle name="Normal 2 3 8 2 10" xfId="28547" xr:uid="{00000000-0005-0000-0000-00007C6F0000}"/>
    <cellStyle name="Normal 2 3 8 2 2" xfId="28548" xr:uid="{00000000-0005-0000-0000-00007D6F0000}"/>
    <cellStyle name="Normal 2 3 8 2 3" xfId="28549" xr:uid="{00000000-0005-0000-0000-00007E6F0000}"/>
    <cellStyle name="Normal 2 3 8 2 4" xfId="28550" xr:uid="{00000000-0005-0000-0000-00007F6F0000}"/>
    <cellStyle name="Normal 2 3 8 2 5" xfId="28551" xr:uid="{00000000-0005-0000-0000-0000806F0000}"/>
    <cellStyle name="Normal 2 3 8 2 6" xfId="28552" xr:uid="{00000000-0005-0000-0000-0000816F0000}"/>
    <cellStyle name="Normal 2 3 8 2 7" xfId="28553" xr:uid="{00000000-0005-0000-0000-0000826F0000}"/>
    <cellStyle name="Normal 2 3 8 2 8" xfId="28554" xr:uid="{00000000-0005-0000-0000-0000836F0000}"/>
    <cellStyle name="Normal 2 3 8 2 9" xfId="28555" xr:uid="{00000000-0005-0000-0000-0000846F0000}"/>
    <cellStyle name="Normal 2 3 8 3" xfId="28556" xr:uid="{00000000-0005-0000-0000-0000856F0000}"/>
    <cellStyle name="Normal 2 3 8 3 10" xfId="28557" xr:uid="{00000000-0005-0000-0000-0000866F0000}"/>
    <cellStyle name="Normal 2 3 8 3 2" xfId="28558" xr:uid="{00000000-0005-0000-0000-0000876F0000}"/>
    <cellStyle name="Normal 2 3 8 3 3" xfId="28559" xr:uid="{00000000-0005-0000-0000-0000886F0000}"/>
    <cellStyle name="Normal 2 3 8 3 4" xfId="28560" xr:uid="{00000000-0005-0000-0000-0000896F0000}"/>
    <cellStyle name="Normal 2 3 8 3 5" xfId="28561" xr:uid="{00000000-0005-0000-0000-00008A6F0000}"/>
    <cellStyle name="Normal 2 3 8 3 6" xfId="28562" xr:uid="{00000000-0005-0000-0000-00008B6F0000}"/>
    <cellStyle name="Normal 2 3 8 3 7" xfId="28563" xr:uid="{00000000-0005-0000-0000-00008C6F0000}"/>
    <cellStyle name="Normal 2 3 8 3 8" xfId="28564" xr:uid="{00000000-0005-0000-0000-00008D6F0000}"/>
    <cellStyle name="Normal 2 3 8 3 9" xfId="28565" xr:uid="{00000000-0005-0000-0000-00008E6F0000}"/>
    <cellStyle name="Normal 2 3 8 4" xfId="28566" xr:uid="{00000000-0005-0000-0000-00008F6F0000}"/>
    <cellStyle name="Normal 2 3 8 4 10" xfId="28567" xr:uid="{00000000-0005-0000-0000-0000906F0000}"/>
    <cellStyle name="Normal 2 3 8 4 2" xfId="28568" xr:uid="{00000000-0005-0000-0000-0000916F0000}"/>
    <cellStyle name="Normal 2 3 8 4 3" xfId="28569" xr:uid="{00000000-0005-0000-0000-0000926F0000}"/>
    <cellStyle name="Normal 2 3 8 4 4" xfId="28570" xr:uid="{00000000-0005-0000-0000-0000936F0000}"/>
    <cellStyle name="Normal 2 3 8 4 5" xfId="28571" xr:uid="{00000000-0005-0000-0000-0000946F0000}"/>
    <cellStyle name="Normal 2 3 8 4 6" xfId="28572" xr:uid="{00000000-0005-0000-0000-0000956F0000}"/>
    <cellStyle name="Normal 2 3 8 4 7" xfId="28573" xr:uid="{00000000-0005-0000-0000-0000966F0000}"/>
    <cellStyle name="Normal 2 3 8 4 8" xfId="28574" xr:uid="{00000000-0005-0000-0000-0000976F0000}"/>
    <cellStyle name="Normal 2 3 8 4 9" xfId="28575" xr:uid="{00000000-0005-0000-0000-0000986F0000}"/>
    <cellStyle name="Normal 2 3 8 5" xfId="28576" xr:uid="{00000000-0005-0000-0000-0000996F0000}"/>
    <cellStyle name="Normal 2 3 8 5 10" xfId="28577" xr:uid="{00000000-0005-0000-0000-00009A6F0000}"/>
    <cellStyle name="Normal 2 3 8 5 2" xfId="28578" xr:uid="{00000000-0005-0000-0000-00009B6F0000}"/>
    <cellStyle name="Normal 2 3 8 5 3" xfId="28579" xr:uid="{00000000-0005-0000-0000-00009C6F0000}"/>
    <cellStyle name="Normal 2 3 8 5 4" xfId="28580" xr:uid="{00000000-0005-0000-0000-00009D6F0000}"/>
    <cellStyle name="Normal 2 3 8 5 5" xfId="28581" xr:uid="{00000000-0005-0000-0000-00009E6F0000}"/>
    <cellStyle name="Normal 2 3 8 5 6" xfId="28582" xr:uid="{00000000-0005-0000-0000-00009F6F0000}"/>
    <cellStyle name="Normal 2 3 8 5 7" xfId="28583" xr:uid="{00000000-0005-0000-0000-0000A06F0000}"/>
    <cellStyle name="Normal 2 3 8 5 8" xfId="28584" xr:uid="{00000000-0005-0000-0000-0000A16F0000}"/>
    <cellStyle name="Normal 2 3 8 5 9" xfId="28585" xr:uid="{00000000-0005-0000-0000-0000A26F0000}"/>
    <cellStyle name="Normal 2 3 8 6" xfId="28586" xr:uid="{00000000-0005-0000-0000-0000A36F0000}"/>
    <cellStyle name="Normal 2 3 8 7" xfId="28587" xr:uid="{00000000-0005-0000-0000-0000A46F0000}"/>
    <cellStyle name="Normal 2 3 8 8" xfId="28588" xr:uid="{00000000-0005-0000-0000-0000A56F0000}"/>
    <cellStyle name="Normal 2 3 8 9" xfId="28589" xr:uid="{00000000-0005-0000-0000-0000A66F0000}"/>
    <cellStyle name="Normal 2 3 9" xfId="28590" xr:uid="{00000000-0005-0000-0000-0000A76F0000}"/>
    <cellStyle name="Normal 2 3 9 10" xfId="28591" xr:uid="{00000000-0005-0000-0000-0000A86F0000}"/>
    <cellStyle name="Normal 2 3 9 11" xfId="28592" xr:uid="{00000000-0005-0000-0000-0000A96F0000}"/>
    <cellStyle name="Normal 2 3 9 12" xfId="28593" xr:uid="{00000000-0005-0000-0000-0000AA6F0000}"/>
    <cellStyle name="Normal 2 3 9 13" xfId="28594" xr:uid="{00000000-0005-0000-0000-0000AB6F0000}"/>
    <cellStyle name="Normal 2 3 9 14" xfId="28595" xr:uid="{00000000-0005-0000-0000-0000AC6F0000}"/>
    <cellStyle name="Normal 2 3 9 2" xfId="28596" xr:uid="{00000000-0005-0000-0000-0000AD6F0000}"/>
    <cellStyle name="Normal 2 3 9 2 10" xfId="28597" xr:uid="{00000000-0005-0000-0000-0000AE6F0000}"/>
    <cellStyle name="Normal 2 3 9 2 2" xfId="28598" xr:uid="{00000000-0005-0000-0000-0000AF6F0000}"/>
    <cellStyle name="Normal 2 3 9 2 3" xfId="28599" xr:uid="{00000000-0005-0000-0000-0000B06F0000}"/>
    <cellStyle name="Normal 2 3 9 2 4" xfId="28600" xr:uid="{00000000-0005-0000-0000-0000B16F0000}"/>
    <cellStyle name="Normal 2 3 9 2 5" xfId="28601" xr:uid="{00000000-0005-0000-0000-0000B26F0000}"/>
    <cellStyle name="Normal 2 3 9 2 6" xfId="28602" xr:uid="{00000000-0005-0000-0000-0000B36F0000}"/>
    <cellStyle name="Normal 2 3 9 2 7" xfId="28603" xr:uid="{00000000-0005-0000-0000-0000B46F0000}"/>
    <cellStyle name="Normal 2 3 9 2 8" xfId="28604" xr:uid="{00000000-0005-0000-0000-0000B56F0000}"/>
    <cellStyle name="Normal 2 3 9 2 9" xfId="28605" xr:uid="{00000000-0005-0000-0000-0000B66F0000}"/>
    <cellStyle name="Normal 2 3 9 3" xfId="28606" xr:uid="{00000000-0005-0000-0000-0000B76F0000}"/>
    <cellStyle name="Normal 2 3 9 3 10" xfId="28607" xr:uid="{00000000-0005-0000-0000-0000B86F0000}"/>
    <cellStyle name="Normal 2 3 9 3 2" xfId="28608" xr:uid="{00000000-0005-0000-0000-0000B96F0000}"/>
    <cellStyle name="Normal 2 3 9 3 3" xfId="28609" xr:uid="{00000000-0005-0000-0000-0000BA6F0000}"/>
    <cellStyle name="Normal 2 3 9 3 4" xfId="28610" xr:uid="{00000000-0005-0000-0000-0000BB6F0000}"/>
    <cellStyle name="Normal 2 3 9 3 5" xfId="28611" xr:uid="{00000000-0005-0000-0000-0000BC6F0000}"/>
    <cellStyle name="Normal 2 3 9 3 6" xfId="28612" xr:uid="{00000000-0005-0000-0000-0000BD6F0000}"/>
    <cellStyle name="Normal 2 3 9 3 7" xfId="28613" xr:uid="{00000000-0005-0000-0000-0000BE6F0000}"/>
    <cellStyle name="Normal 2 3 9 3 8" xfId="28614" xr:uid="{00000000-0005-0000-0000-0000BF6F0000}"/>
    <cellStyle name="Normal 2 3 9 3 9" xfId="28615" xr:uid="{00000000-0005-0000-0000-0000C06F0000}"/>
    <cellStyle name="Normal 2 3 9 4" xfId="28616" xr:uid="{00000000-0005-0000-0000-0000C16F0000}"/>
    <cellStyle name="Normal 2 3 9 4 10" xfId="28617" xr:uid="{00000000-0005-0000-0000-0000C26F0000}"/>
    <cellStyle name="Normal 2 3 9 4 2" xfId="28618" xr:uid="{00000000-0005-0000-0000-0000C36F0000}"/>
    <cellStyle name="Normal 2 3 9 4 3" xfId="28619" xr:uid="{00000000-0005-0000-0000-0000C46F0000}"/>
    <cellStyle name="Normal 2 3 9 4 4" xfId="28620" xr:uid="{00000000-0005-0000-0000-0000C56F0000}"/>
    <cellStyle name="Normal 2 3 9 4 5" xfId="28621" xr:uid="{00000000-0005-0000-0000-0000C66F0000}"/>
    <cellStyle name="Normal 2 3 9 4 6" xfId="28622" xr:uid="{00000000-0005-0000-0000-0000C76F0000}"/>
    <cellStyle name="Normal 2 3 9 4 7" xfId="28623" xr:uid="{00000000-0005-0000-0000-0000C86F0000}"/>
    <cellStyle name="Normal 2 3 9 4 8" xfId="28624" xr:uid="{00000000-0005-0000-0000-0000C96F0000}"/>
    <cellStyle name="Normal 2 3 9 4 9" xfId="28625" xr:uid="{00000000-0005-0000-0000-0000CA6F0000}"/>
    <cellStyle name="Normal 2 3 9 5" xfId="28626" xr:uid="{00000000-0005-0000-0000-0000CB6F0000}"/>
    <cellStyle name="Normal 2 3 9 5 10" xfId="28627" xr:uid="{00000000-0005-0000-0000-0000CC6F0000}"/>
    <cellStyle name="Normal 2 3 9 5 2" xfId="28628" xr:uid="{00000000-0005-0000-0000-0000CD6F0000}"/>
    <cellStyle name="Normal 2 3 9 5 3" xfId="28629" xr:uid="{00000000-0005-0000-0000-0000CE6F0000}"/>
    <cellStyle name="Normal 2 3 9 5 4" xfId="28630" xr:uid="{00000000-0005-0000-0000-0000CF6F0000}"/>
    <cellStyle name="Normal 2 3 9 5 5" xfId="28631" xr:uid="{00000000-0005-0000-0000-0000D06F0000}"/>
    <cellStyle name="Normal 2 3 9 5 6" xfId="28632" xr:uid="{00000000-0005-0000-0000-0000D16F0000}"/>
    <cellStyle name="Normal 2 3 9 5 7" xfId="28633" xr:uid="{00000000-0005-0000-0000-0000D26F0000}"/>
    <cellStyle name="Normal 2 3 9 5 8" xfId="28634" xr:uid="{00000000-0005-0000-0000-0000D36F0000}"/>
    <cellStyle name="Normal 2 3 9 5 9" xfId="28635" xr:uid="{00000000-0005-0000-0000-0000D46F0000}"/>
    <cellStyle name="Normal 2 3 9 6" xfId="28636" xr:uid="{00000000-0005-0000-0000-0000D56F0000}"/>
    <cellStyle name="Normal 2 3 9 7" xfId="28637" xr:uid="{00000000-0005-0000-0000-0000D66F0000}"/>
    <cellStyle name="Normal 2 3 9 8" xfId="28638" xr:uid="{00000000-0005-0000-0000-0000D76F0000}"/>
    <cellStyle name="Normal 2 3 9 9" xfId="28639" xr:uid="{00000000-0005-0000-0000-0000D86F0000}"/>
    <cellStyle name="Normal 2 30" xfId="28640" xr:uid="{00000000-0005-0000-0000-0000D96F0000}"/>
    <cellStyle name="Normal 2 30 2" xfId="28641" xr:uid="{00000000-0005-0000-0000-0000DA6F0000}"/>
    <cellStyle name="Normal 2 30 3" xfId="28642" xr:uid="{00000000-0005-0000-0000-0000DB6F0000}"/>
    <cellStyle name="Normal 2 31" xfId="28643" xr:uid="{00000000-0005-0000-0000-0000DC6F0000}"/>
    <cellStyle name="Normal 2 31 2" xfId="28644" xr:uid="{00000000-0005-0000-0000-0000DD6F0000}"/>
    <cellStyle name="Normal 2 31 2 2" xfId="28645" xr:uid="{00000000-0005-0000-0000-0000DE6F0000}"/>
    <cellStyle name="Normal 2 31 3" xfId="28646" xr:uid="{00000000-0005-0000-0000-0000DF6F0000}"/>
    <cellStyle name="Normal 2 32" xfId="28647" xr:uid="{00000000-0005-0000-0000-0000E06F0000}"/>
    <cellStyle name="Normal 2 32 2" xfId="28648" xr:uid="{00000000-0005-0000-0000-0000E16F0000}"/>
    <cellStyle name="Normal 2 32 2 2" xfId="28649" xr:uid="{00000000-0005-0000-0000-0000E26F0000}"/>
    <cellStyle name="Normal 2 32 3" xfId="28650" xr:uid="{00000000-0005-0000-0000-0000E36F0000}"/>
    <cellStyle name="Normal 2 33" xfId="28651" xr:uid="{00000000-0005-0000-0000-0000E46F0000}"/>
    <cellStyle name="Normal 2 33 2" xfId="28652" xr:uid="{00000000-0005-0000-0000-0000E56F0000}"/>
    <cellStyle name="Normal 2 33 2 2" xfId="28653" xr:uid="{00000000-0005-0000-0000-0000E66F0000}"/>
    <cellStyle name="Normal 2 33 2 2 2" xfId="28654" xr:uid="{00000000-0005-0000-0000-0000E76F0000}"/>
    <cellStyle name="Normal 2 33 2 2 2 2" xfId="28655" xr:uid="{00000000-0005-0000-0000-0000E86F0000}"/>
    <cellStyle name="Normal 2 33 2 3" xfId="28656" xr:uid="{00000000-0005-0000-0000-0000E96F0000}"/>
    <cellStyle name="Normal 2 33 2 4" xfId="28657" xr:uid="{00000000-0005-0000-0000-0000EA6F0000}"/>
    <cellStyle name="Normal 2 33 3" xfId="28658" xr:uid="{00000000-0005-0000-0000-0000EB6F0000}"/>
    <cellStyle name="Normal 2 33 3 2" xfId="28659" xr:uid="{00000000-0005-0000-0000-0000EC6F0000}"/>
    <cellStyle name="Normal 2 33 3 3" xfId="28660" xr:uid="{00000000-0005-0000-0000-0000ED6F0000}"/>
    <cellStyle name="Normal 2 33 4" xfId="28661" xr:uid="{00000000-0005-0000-0000-0000EE6F0000}"/>
    <cellStyle name="Normal 2 34" xfId="28662" xr:uid="{00000000-0005-0000-0000-0000EF6F0000}"/>
    <cellStyle name="Normal 2 34 2" xfId="28663" xr:uid="{00000000-0005-0000-0000-0000F06F0000}"/>
    <cellStyle name="Normal 2 34 2 2" xfId="28664" xr:uid="{00000000-0005-0000-0000-0000F16F0000}"/>
    <cellStyle name="Normal 2 34 3" xfId="28665" xr:uid="{00000000-0005-0000-0000-0000F26F0000}"/>
    <cellStyle name="Normal 2 35" xfId="28666" xr:uid="{00000000-0005-0000-0000-0000F36F0000}"/>
    <cellStyle name="Normal 2 35 2" xfId="28667" xr:uid="{00000000-0005-0000-0000-0000F46F0000}"/>
    <cellStyle name="Normal 2 35 2 2" xfId="28668" xr:uid="{00000000-0005-0000-0000-0000F56F0000}"/>
    <cellStyle name="Normal 2 35 3" xfId="28669" xr:uid="{00000000-0005-0000-0000-0000F66F0000}"/>
    <cellStyle name="Normal 2 36" xfId="28670" xr:uid="{00000000-0005-0000-0000-0000F76F0000}"/>
    <cellStyle name="Normal 2 36 2" xfId="28671" xr:uid="{00000000-0005-0000-0000-0000F86F0000}"/>
    <cellStyle name="Normal 2 36 2 2" xfId="28672" xr:uid="{00000000-0005-0000-0000-0000F96F0000}"/>
    <cellStyle name="Normal 2 36 3" xfId="28673" xr:uid="{00000000-0005-0000-0000-0000FA6F0000}"/>
    <cellStyle name="Normal 2 37" xfId="28674" xr:uid="{00000000-0005-0000-0000-0000FB6F0000}"/>
    <cellStyle name="Normal 2 37 2" xfId="28675" xr:uid="{00000000-0005-0000-0000-0000FC6F0000}"/>
    <cellStyle name="Normal 2 37 3" xfId="28676" xr:uid="{00000000-0005-0000-0000-0000FD6F0000}"/>
    <cellStyle name="Normal 2 38" xfId="28677" xr:uid="{00000000-0005-0000-0000-0000FE6F0000}"/>
    <cellStyle name="Normal 2 38 2" xfId="28678" xr:uid="{00000000-0005-0000-0000-0000FF6F0000}"/>
    <cellStyle name="Normal 2 38 3" xfId="28679" xr:uid="{00000000-0005-0000-0000-000000700000}"/>
    <cellStyle name="Normal 2 39" xfId="28680" xr:uid="{00000000-0005-0000-0000-000001700000}"/>
    <cellStyle name="Normal 2 39 2" xfId="28681" xr:uid="{00000000-0005-0000-0000-000002700000}"/>
    <cellStyle name="Normal 2 39 3" xfId="28682" xr:uid="{00000000-0005-0000-0000-000003700000}"/>
    <cellStyle name="Normal 2 4" xfId="18" xr:uid="{00000000-0005-0000-0000-000004700000}"/>
    <cellStyle name="Normal 2 4 10" xfId="28683" xr:uid="{00000000-0005-0000-0000-000005700000}"/>
    <cellStyle name="Normal 2 4 11" xfId="28684" xr:uid="{00000000-0005-0000-0000-000006700000}"/>
    <cellStyle name="Normal 2 4 12" xfId="28685" xr:uid="{00000000-0005-0000-0000-000007700000}"/>
    <cellStyle name="Normal 2 4 13" xfId="28686" xr:uid="{00000000-0005-0000-0000-000008700000}"/>
    <cellStyle name="Normal 2 4 14" xfId="28687" xr:uid="{00000000-0005-0000-0000-000009700000}"/>
    <cellStyle name="Normal 2 4 15" xfId="28688" xr:uid="{00000000-0005-0000-0000-00000A700000}"/>
    <cellStyle name="Normal 2 4 16" xfId="28689" xr:uid="{00000000-0005-0000-0000-00000B700000}"/>
    <cellStyle name="Normal 2 4 17" xfId="28690" xr:uid="{00000000-0005-0000-0000-00000C700000}"/>
    <cellStyle name="Normal 2 4 18" xfId="28691" xr:uid="{00000000-0005-0000-0000-00000D700000}"/>
    <cellStyle name="Normal 2 4 19" xfId="28692" xr:uid="{00000000-0005-0000-0000-00000E700000}"/>
    <cellStyle name="Normal 2 4 2" xfId="28693" xr:uid="{00000000-0005-0000-0000-00000F700000}"/>
    <cellStyle name="Normal 2 4 2 10" xfId="28694" xr:uid="{00000000-0005-0000-0000-000010700000}"/>
    <cellStyle name="Normal 2 4 2 11" xfId="28695" xr:uid="{00000000-0005-0000-0000-000011700000}"/>
    <cellStyle name="Normal 2 4 2 12" xfId="28696" xr:uid="{00000000-0005-0000-0000-000012700000}"/>
    <cellStyle name="Normal 2 4 2 13" xfId="28697" xr:uid="{00000000-0005-0000-0000-000013700000}"/>
    <cellStyle name="Normal 2 4 2 14" xfId="28698" xr:uid="{00000000-0005-0000-0000-000014700000}"/>
    <cellStyle name="Normal 2 4 2 15" xfId="28699" xr:uid="{00000000-0005-0000-0000-000015700000}"/>
    <cellStyle name="Normal 2 4 2 16" xfId="28700" xr:uid="{00000000-0005-0000-0000-000016700000}"/>
    <cellStyle name="Normal 2 4 2 17" xfId="28701" xr:uid="{00000000-0005-0000-0000-000017700000}"/>
    <cellStyle name="Normal 2 4 2 18" xfId="28702" xr:uid="{00000000-0005-0000-0000-000018700000}"/>
    <cellStyle name="Normal 2 4 2 18 2" xfId="28703" xr:uid="{00000000-0005-0000-0000-000019700000}"/>
    <cellStyle name="Normal 2 4 2 18 2 2" xfId="28704" xr:uid="{00000000-0005-0000-0000-00001A700000}"/>
    <cellStyle name="Normal 2 4 2 18 2 2 2" xfId="28705" xr:uid="{00000000-0005-0000-0000-00001B700000}"/>
    <cellStyle name="Normal 2 4 2 18 2 2 2 2" xfId="28706" xr:uid="{00000000-0005-0000-0000-00001C700000}"/>
    <cellStyle name="Normal 2 4 2 18 2 3" xfId="28707" xr:uid="{00000000-0005-0000-0000-00001D700000}"/>
    <cellStyle name="Normal 2 4 2 18 3" xfId="28708" xr:uid="{00000000-0005-0000-0000-00001E700000}"/>
    <cellStyle name="Normal 2 4 2 18 3 2" xfId="28709" xr:uid="{00000000-0005-0000-0000-00001F700000}"/>
    <cellStyle name="Normal 2 4 2 19" xfId="28710" xr:uid="{00000000-0005-0000-0000-000020700000}"/>
    <cellStyle name="Normal 2 4 2 2" xfId="28711" xr:uid="{00000000-0005-0000-0000-000021700000}"/>
    <cellStyle name="Normal 2 4 2 2 2" xfId="28712" xr:uid="{00000000-0005-0000-0000-000022700000}"/>
    <cellStyle name="Normal 2 4 2 20" xfId="28713" xr:uid="{00000000-0005-0000-0000-000023700000}"/>
    <cellStyle name="Normal 2 4 2 3" xfId="28714" xr:uid="{00000000-0005-0000-0000-000024700000}"/>
    <cellStyle name="Normal 2 4 2 4" xfId="28715" xr:uid="{00000000-0005-0000-0000-000025700000}"/>
    <cellStyle name="Normal 2 4 2 5" xfId="28716" xr:uid="{00000000-0005-0000-0000-000026700000}"/>
    <cellStyle name="Normal 2 4 2 6" xfId="28717" xr:uid="{00000000-0005-0000-0000-000027700000}"/>
    <cellStyle name="Normal 2 4 2 7" xfId="28718" xr:uid="{00000000-0005-0000-0000-000028700000}"/>
    <cellStyle name="Normal 2 4 2 8" xfId="28719" xr:uid="{00000000-0005-0000-0000-000029700000}"/>
    <cellStyle name="Normal 2 4 2 9" xfId="28720" xr:uid="{00000000-0005-0000-0000-00002A700000}"/>
    <cellStyle name="Normal 2 4 3" xfId="28721" xr:uid="{00000000-0005-0000-0000-00002B700000}"/>
    <cellStyle name="Normal 2 4 3 2" xfId="28722" xr:uid="{00000000-0005-0000-0000-00002C700000}"/>
    <cellStyle name="Normal 2 4 3 3" xfId="28723" xr:uid="{00000000-0005-0000-0000-00002D700000}"/>
    <cellStyle name="Normal 2 4 4" xfId="28724" xr:uid="{00000000-0005-0000-0000-00002E700000}"/>
    <cellStyle name="Normal 2 4 4 2" xfId="28725" xr:uid="{00000000-0005-0000-0000-00002F700000}"/>
    <cellStyle name="Normal 2 4 4 3" xfId="28726" xr:uid="{00000000-0005-0000-0000-000030700000}"/>
    <cellStyle name="Normal 2 4 5" xfId="28727" xr:uid="{00000000-0005-0000-0000-000031700000}"/>
    <cellStyle name="Normal 2 4 5 2" xfId="28728" xr:uid="{00000000-0005-0000-0000-000032700000}"/>
    <cellStyle name="Normal 2 4 6" xfId="28729" xr:uid="{00000000-0005-0000-0000-000033700000}"/>
    <cellStyle name="Normal 2 4 6 2" xfId="28730" xr:uid="{00000000-0005-0000-0000-000034700000}"/>
    <cellStyle name="Normal 2 4 7" xfId="28731" xr:uid="{00000000-0005-0000-0000-000035700000}"/>
    <cellStyle name="Normal 2 4 8" xfId="28732" xr:uid="{00000000-0005-0000-0000-000036700000}"/>
    <cellStyle name="Normal 2 4 9" xfId="28733" xr:uid="{00000000-0005-0000-0000-000037700000}"/>
    <cellStyle name="Normal 2 40" xfId="28734" xr:uid="{00000000-0005-0000-0000-000038700000}"/>
    <cellStyle name="Normal 2 40 2" xfId="28735" xr:uid="{00000000-0005-0000-0000-000039700000}"/>
    <cellStyle name="Normal 2 40 3" xfId="28736" xr:uid="{00000000-0005-0000-0000-00003A700000}"/>
    <cellStyle name="Normal 2 41" xfId="19" xr:uid="{00000000-0005-0000-0000-00003B700000}"/>
    <cellStyle name="Normal 2 41 2" xfId="28737" xr:uid="{00000000-0005-0000-0000-00003C700000}"/>
    <cellStyle name="Normal 2 41 2 2" xfId="28738" xr:uid="{00000000-0005-0000-0000-00003D700000}"/>
    <cellStyle name="Normal 2 41 3" xfId="28739" xr:uid="{00000000-0005-0000-0000-00003E700000}"/>
    <cellStyle name="Normal 2 41 4" xfId="28740" xr:uid="{00000000-0005-0000-0000-00003F700000}"/>
    <cellStyle name="Normal 2 41 5" xfId="28741" xr:uid="{00000000-0005-0000-0000-000040700000}"/>
    <cellStyle name="Normal 2 41 6" xfId="28742" xr:uid="{00000000-0005-0000-0000-000041700000}"/>
    <cellStyle name="Normal 2 41 7" xfId="28743" xr:uid="{00000000-0005-0000-0000-000042700000}"/>
    <cellStyle name="Normal 2 41 8" xfId="28744" xr:uid="{00000000-0005-0000-0000-000043700000}"/>
    <cellStyle name="Normal 2 41 8 2" xfId="28745" xr:uid="{00000000-0005-0000-0000-000044700000}"/>
    <cellStyle name="Normal 2 41 9" xfId="28746" xr:uid="{00000000-0005-0000-0000-000045700000}"/>
    <cellStyle name="Normal 2 42" xfId="28747" xr:uid="{00000000-0005-0000-0000-000046700000}"/>
    <cellStyle name="Normal 2 42 2" xfId="28748" xr:uid="{00000000-0005-0000-0000-000047700000}"/>
    <cellStyle name="Normal 2 42 3" xfId="28749" xr:uid="{00000000-0005-0000-0000-000048700000}"/>
    <cellStyle name="Normal 2 42 4" xfId="28750" xr:uid="{00000000-0005-0000-0000-000049700000}"/>
    <cellStyle name="Normal 2 42 5" xfId="28751" xr:uid="{00000000-0005-0000-0000-00004A700000}"/>
    <cellStyle name="Normal 2 42 6" xfId="28752" xr:uid="{00000000-0005-0000-0000-00004B700000}"/>
    <cellStyle name="Normal 2 42 7" xfId="28753" xr:uid="{00000000-0005-0000-0000-00004C700000}"/>
    <cellStyle name="Normal 2 42 8" xfId="28754" xr:uid="{00000000-0005-0000-0000-00004D700000}"/>
    <cellStyle name="Normal 2 43" xfId="28755" xr:uid="{00000000-0005-0000-0000-00004E700000}"/>
    <cellStyle name="Normal 2 43 2" xfId="28756" xr:uid="{00000000-0005-0000-0000-00004F700000}"/>
    <cellStyle name="Normal 2 43 3" xfId="28757" xr:uid="{00000000-0005-0000-0000-000050700000}"/>
    <cellStyle name="Normal 2 44" xfId="28758" xr:uid="{00000000-0005-0000-0000-000051700000}"/>
    <cellStyle name="Normal 2 44 2" xfId="28759" xr:uid="{00000000-0005-0000-0000-000052700000}"/>
    <cellStyle name="Normal 2 44 3" xfId="28760" xr:uid="{00000000-0005-0000-0000-000053700000}"/>
    <cellStyle name="Normal 2 45" xfId="28761" xr:uid="{00000000-0005-0000-0000-000054700000}"/>
    <cellStyle name="Normal 2 45 2" xfId="28762" xr:uid="{00000000-0005-0000-0000-000055700000}"/>
    <cellStyle name="Normal 2 45 3" xfId="28763" xr:uid="{00000000-0005-0000-0000-000056700000}"/>
    <cellStyle name="Normal 2 46" xfId="28764" xr:uid="{00000000-0005-0000-0000-000057700000}"/>
    <cellStyle name="Normal 2 46 2" xfId="28765" xr:uid="{00000000-0005-0000-0000-000058700000}"/>
    <cellStyle name="Normal 2 46 3" xfId="28766" xr:uid="{00000000-0005-0000-0000-000059700000}"/>
    <cellStyle name="Normal 2 47" xfId="28767" xr:uid="{00000000-0005-0000-0000-00005A700000}"/>
    <cellStyle name="Normal 2 47 2" xfId="28768" xr:uid="{00000000-0005-0000-0000-00005B700000}"/>
    <cellStyle name="Normal 2 47 3" xfId="28769" xr:uid="{00000000-0005-0000-0000-00005C700000}"/>
    <cellStyle name="Normal 2 48" xfId="28770" xr:uid="{00000000-0005-0000-0000-00005D700000}"/>
    <cellStyle name="Normal 2 48 2" xfId="28771" xr:uid="{00000000-0005-0000-0000-00005E700000}"/>
    <cellStyle name="Normal 2 48 3" xfId="28772" xr:uid="{00000000-0005-0000-0000-00005F700000}"/>
    <cellStyle name="Normal 2 49" xfId="28773" xr:uid="{00000000-0005-0000-0000-000060700000}"/>
    <cellStyle name="Normal 2 49 2" xfId="28774" xr:uid="{00000000-0005-0000-0000-000061700000}"/>
    <cellStyle name="Normal 2 49 3" xfId="28775" xr:uid="{00000000-0005-0000-0000-000062700000}"/>
    <cellStyle name="Normal 2 5" xfId="28776" xr:uid="{00000000-0005-0000-0000-000063700000}"/>
    <cellStyle name="Normal 2 5 10" xfId="28777" xr:uid="{00000000-0005-0000-0000-000064700000}"/>
    <cellStyle name="Normal 2 5 11" xfId="28778" xr:uid="{00000000-0005-0000-0000-000065700000}"/>
    <cellStyle name="Normal 2 5 12" xfId="28779" xr:uid="{00000000-0005-0000-0000-000066700000}"/>
    <cellStyle name="Normal 2 5 13" xfId="28780" xr:uid="{00000000-0005-0000-0000-000067700000}"/>
    <cellStyle name="Normal 2 5 14" xfId="28781" xr:uid="{00000000-0005-0000-0000-000068700000}"/>
    <cellStyle name="Normal 2 5 15" xfId="28782" xr:uid="{00000000-0005-0000-0000-000069700000}"/>
    <cellStyle name="Normal 2 5 16" xfId="28783" xr:uid="{00000000-0005-0000-0000-00006A700000}"/>
    <cellStyle name="Normal 2 5 17" xfId="28784" xr:uid="{00000000-0005-0000-0000-00006B700000}"/>
    <cellStyle name="Normal 2 5 18" xfId="28785" xr:uid="{00000000-0005-0000-0000-00006C700000}"/>
    <cellStyle name="Normal 2 5 19" xfId="28786" xr:uid="{00000000-0005-0000-0000-00006D700000}"/>
    <cellStyle name="Normal 2 5 2" xfId="28787" xr:uid="{00000000-0005-0000-0000-00006E700000}"/>
    <cellStyle name="Normal 2 5 2 10" xfId="28788" xr:uid="{00000000-0005-0000-0000-00006F700000}"/>
    <cellStyle name="Normal 2 5 2 11" xfId="28789" xr:uid="{00000000-0005-0000-0000-000070700000}"/>
    <cellStyle name="Normal 2 5 2 12" xfId="28790" xr:uid="{00000000-0005-0000-0000-000071700000}"/>
    <cellStyle name="Normal 2 5 2 13" xfId="28791" xr:uid="{00000000-0005-0000-0000-000072700000}"/>
    <cellStyle name="Normal 2 5 2 14" xfId="28792" xr:uid="{00000000-0005-0000-0000-000073700000}"/>
    <cellStyle name="Normal 2 5 2 15" xfId="28793" xr:uid="{00000000-0005-0000-0000-000074700000}"/>
    <cellStyle name="Normal 2 5 2 16" xfId="28794" xr:uid="{00000000-0005-0000-0000-000075700000}"/>
    <cellStyle name="Normal 2 5 2 17" xfId="28795" xr:uid="{00000000-0005-0000-0000-000076700000}"/>
    <cellStyle name="Normal 2 5 2 18" xfId="28796" xr:uid="{00000000-0005-0000-0000-000077700000}"/>
    <cellStyle name="Normal 2 5 2 19" xfId="28797" xr:uid="{00000000-0005-0000-0000-000078700000}"/>
    <cellStyle name="Normal 2 5 2 2" xfId="28798" xr:uid="{00000000-0005-0000-0000-000079700000}"/>
    <cellStyle name="Normal 2 5 2 2 10" xfId="28799" xr:uid="{00000000-0005-0000-0000-00007A700000}"/>
    <cellStyle name="Normal 2 5 2 2 11" xfId="28800" xr:uid="{00000000-0005-0000-0000-00007B700000}"/>
    <cellStyle name="Normal 2 5 2 2 12" xfId="28801" xr:uid="{00000000-0005-0000-0000-00007C700000}"/>
    <cellStyle name="Normal 2 5 2 2 13" xfId="28802" xr:uid="{00000000-0005-0000-0000-00007D700000}"/>
    <cellStyle name="Normal 2 5 2 2 14" xfId="28803" xr:uid="{00000000-0005-0000-0000-00007E700000}"/>
    <cellStyle name="Normal 2 5 2 2 15" xfId="28804" xr:uid="{00000000-0005-0000-0000-00007F700000}"/>
    <cellStyle name="Normal 2 5 2 2 16" xfId="28805" xr:uid="{00000000-0005-0000-0000-000080700000}"/>
    <cellStyle name="Normal 2 5 2 2 17" xfId="28806" xr:uid="{00000000-0005-0000-0000-000081700000}"/>
    <cellStyle name="Normal 2 5 2 2 18" xfId="28807" xr:uid="{00000000-0005-0000-0000-000082700000}"/>
    <cellStyle name="Normal 2 5 2 2 19" xfId="28808" xr:uid="{00000000-0005-0000-0000-000083700000}"/>
    <cellStyle name="Normal 2 5 2 2 2" xfId="28809" xr:uid="{00000000-0005-0000-0000-000084700000}"/>
    <cellStyle name="Normal 2 5 2 2 20" xfId="28810" xr:uid="{00000000-0005-0000-0000-000085700000}"/>
    <cellStyle name="Normal 2 5 2 2 3" xfId="28811" xr:uid="{00000000-0005-0000-0000-000086700000}"/>
    <cellStyle name="Normal 2 5 2 2 4" xfId="28812" xr:uid="{00000000-0005-0000-0000-000087700000}"/>
    <cellStyle name="Normal 2 5 2 2 5" xfId="28813" xr:uid="{00000000-0005-0000-0000-000088700000}"/>
    <cellStyle name="Normal 2 5 2 2 6" xfId="28814" xr:uid="{00000000-0005-0000-0000-000089700000}"/>
    <cellStyle name="Normal 2 5 2 2 7" xfId="28815" xr:uid="{00000000-0005-0000-0000-00008A700000}"/>
    <cellStyle name="Normal 2 5 2 2 8" xfId="28816" xr:uid="{00000000-0005-0000-0000-00008B700000}"/>
    <cellStyle name="Normal 2 5 2 2 9" xfId="28817" xr:uid="{00000000-0005-0000-0000-00008C700000}"/>
    <cellStyle name="Normal 2 5 2 20" xfId="28818" xr:uid="{00000000-0005-0000-0000-00008D700000}"/>
    <cellStyle name="Normal 2 5 2 21" xfId="28819" xr:uid="{00000000-0005-0000-0000-00008E700000}"/>
    <cellStyle name="Normal 2 5 2 22" xfId="28820" xr:uid="{00000000-0005-0000-0000-00008F700000}"/>
    <cellStyle name="Normal 2 5 2 23" xfId="28821" xr:uid="{00000000-0005-0000-0000-000090700000}"/>
    <cellStyle name="Normal 2 5 2 3" xfId="28822" xr:uid="{00000000-0005-0000-0000-000091700000}"/>
    <cellStyle name="Normal 2 5 2 4" xfId="28823" xr:uid="{00000000-0005-0000-0000-000092700000}"/>
    <cellStyle name="Normal 2 5 2 5" xfId="28824" xr:uid="{00000000-0005-0000-0000-000093700000}"/>
    <cellStyle name="Normal 2 5 2 6" xfId="28825" xr:uid="{00000000-0005-0000-0000-000094700000}"/>
    <cellStyle name="Normal 2 5 2 7" xfId="28826" xr:uid="{00000000-0005-0000-0000-000095700000}"/>
    <cellStyle name="Normal 2 5 2 8" xfId="28827" xr:uid="{00000000-0005-0000-0000-000096700000}"/>
    <cellStyle name="Normal 2 5 2 9" xfId="28828" xr:uid="{00000000-0005-0000-0000-000097700000}"/>
    <cellStyle name="Normal 2 5 20" xfId="28829" xr:uid="{00000000-0005-0000-0000-000098700000}"/>
    <cellStyle name="Normal 2 5 21" xfId="28830" xr:uid="{00000000-0005-0000-0000-000099700000}"/>
    <cellStyle name="Normal 2 5 22" xfId="28831" xr:uid="{00000000-0005-0000-0000-00009A700000}"/>
    <cellStyle name="Normal 2 5 23" xfId="28832" xr:uid="{00000000-0005-0000-0000-00009B700000}"/>
    <cellStyle name="Normal 2 5 24" xfId="28833" xr:uid="{00000000-0005-0000-0000-00009C700000}"/>
    <cellStyle name="Normal 2 5 25" xfId="28834" xr:uid="{00000000-0005-0000-0000-00009D700000}"/>
    <cellStyle name="Normal 2 5 26" xfId="28835" xr:uid="{00000000-0005-0000-0000-00009E700000}"/>
    <cellStyle name="Normal 2 5 27" xfId="28836" xr:uid="{00000000-0005-0000-0000-00009F700000}"/>
    <cellStyle name="Normal 2 5 28" xfId="28837" xr:uid="{00000000-0005-0000-0000-0000A0700000}"/>
    <cellStyle name="Normal 2 5 29" xfId="28838" xr:uid="{00000000-0005-0000-0000-0000A1700000}"/>
    <cellStyle name="Normal 2 5 3" xfId="28839" xr:uid="{00000000-0005-0000-0000-0000A2700000}"/>
    <cellStyle name="Normal 2 5 3 2" xfId="28840" xr:uid="{00000000-0005-0000-0000-0000A3700000}"/>
    <cellStyle name="Normal 2 5 3 3" xfId="28841" xr:uid="{00000000-0005-0000-0000-0000A4700000}"/>
    <cellStyle name="Normal 2 5 3 4" xfId="28842" xr:uid="{00000000-0005-0000-0000-0000A5700000}"/>
    <cellStyle name="Normal 2 5 30" xfId="28843" xr:uid="{00000000-0005-0000-0000-0000A6700000}"/>
    <cellStyle name="Normal 2 5 31" xfId="28844" xr:uid="{00000000-0005-0000-0000-0000A7700000}"/>
    <cellStyle name="Normal 2 5 32" xfId="28845" xr:uid="{00000000-0005-0000-0000-0000A8700000}"/>
    <cellStyle name="Normal 2 5 33" xfId="28846" xr:uid="{00000000-0005-0000-0000-0000A9700000}"/>
    <cellStyle name="Normal 2 5 34" xfId="28847" xr:uid="{00000000-0005-0000-0000-0000AA700000}"/>
    <cellStyle name="Normal 2 5 35" xfId="28848" xr:uid="{00000000-0005-0000-0000-0000AB700000}"/>
    <cellStyle name="Normal 2 5 4" xfId="28849" xr:uid="{00000000-0005-0000-0000-0000AC700000}"/>
    <cellStyle name="Normal 2 5 4 2" xfId="28850" xr:uid="{00000000-0005-0000-0000-0000AD700000}"/>
    <cellStyle name="Normal 2 5 5" xfId="28851" xr:uid="{00000000-0005-0000-0000-0000AE700000}"/>
    <cellStyle name="Normal 2 5 5 2" xfId="28852" xr:uid="{00000000-0005-0000-0000-0000AF700000}"/>
    <cellStyle name="Normal 2 5 6" xfId="28853" xr:uid="{00000000-0005-0000-0000-0000B0700000}"/>
    <cellStyle name="Normal 2 5 6 2" xfId="28854" xr:uid="{00000000-0005-0000-0000-0000B1700000}"/>
    <cellStyle name="Normal 2 5 7" xfId="28855" xr:uid="{00000000-0005-0000-0000-0000B2700000}"/>
    <cellStyle name="Normal 2 5 7 2" xfId="28856" xr:uid="{00000000-0005-0000-0000-0000B3700000}"/>
    <cellStyle name="Normal 2 5 8" xfId="28857" xr:uid="{00000000-0005-0000-0000-0000B4700000}"/>
    <cellStyle name="Normal 2 5 9" xfId="28858" xr:uid="{00000000-0005-0000-0000-0000B5700000}"/>
    <cellStyle name="Normal 2 50" xfId="28859" xr:uid="{00000000-0005-0000-0000-0000B6700000}"/>
    <cellStyle name="Normal 2 50 2" xfId="28860" xr:uid="{00000000-0005-0000-0000-0000B7700000}"/>
    <cellStyle name="Normal 2 50 3" xfId="28861" xr:uid="{00000000-0005-0000-0000-0000B8700000}"/>
    <cellStyle name="Normal 2 51" xfId="28862" xr:uid="{00000000-0005-0000-0000-0000B9700000}"/>
    <cellStyle name="Normal 2 51 2" xfId="28863" xr:uid="{00000000-0005-0000-0000-0000BA700000}"/>
    <cellStyle name="Normal 2 51 3" xfId="28864" xr:uid="{00000000-0005-0000-0000-0000BB700000}"/>
    <cellStyle name="Normal 2 51 4" xfId="28865" xr:uid="{00000000-0005-0000-0000-0000BC700000}"/>
    <cellStyle name="Normal 2 51 5" xfId="28866" xr:uid="{00000000-0005-0000-0000-0000BD700000}"/>
    <cellStyle name="Normal 2 52" xfId="28867" xr:uid="{00000000-0005-0000-0000-0000BE700000}"/>
    <cellStyle name="Normal 2 52 2" xfId="28868" xr:uid="{00000000-0005-0000-0000-0000BF700000}"/>
    <cellStyle name="Normal 2 52 3" xfId="28869" xr:uid="{00000000-0005-0000-0000-0000C0700000}"/>
    <cellStyle name="Normal 2 52 4" xfId="28870" xr:uid="{00000000-0005-0000-0000-0000C1700000}"/>
    <cellStyle name="Normal 2 52 5" xfId="28871" xr:uid="{00000000-0005-0000-0000-0000C2700000}"/>
    <cellStyle name="Normal 2 53" xfId="28872" xr:uid="{00000000-0005-0000-0000-0000C3700000}"/>
    <cellStyle name="Normal 2 53 2" xfId="28873" xr:uid="{00000000-0005-0000-0000-0000C4700000}"/>
    <cellStyle name="Normal 2 53 3" xfId="28874" xr:uid="{00000000-0005-0000-0000-0000C5700000}"/>
    <cellStyle name="Normal 2 53 4" xfId="28875" xr:uid="{00000000-0005-0000-0000-0000C6700000}"/>
    <cellStyle name="Normal 2 53 5" xfId="28876" xr:uid="{00000000-0005-0000-0000-0000C7700000}"/>
    <cellStyle name="Normal 2 54" xfId="28877" xr:uid="{00000000-0005-0000-0000-0000C8700000}"/>
    <cellStyle name="Normal 2 54 2" xfId="28878" xr:uid="{00000000-0005-0000-0000-0000C9700000}"/>
    <cellStyle name="Normal 2 54 3" xfId="28879" xr:uid="{00000000-0005-0000-0000-0000CA700000}"/>
    <cellStyle name="Normal 2 54 4" xfId="28880" xr:uid="{00000000-0005-0000-0000-0000CB700000}"/>
    <cellStyle name="Normal 2 54 5" xfId="28881" xr:uid="{00000000-0005-0000-0000-0000CC700000}"/>
    <cellStyle name="Normal 2 55" xfId="28882" xr:uid="{00000000-0005-0000-0000-0000CD700000}"/>
    <cellStyle name="Normal 2 55 2" xfId="28883" xr:uid="{00000000-0005-0000-0000-0000CE700000}"/>
    <cellStyle name="Normal 2 55 3" xfId="28884" xr:uid="{00000000-0005-0000-0000-0000CF700000}"/>
    <cellStyle name="Normal 2 55 4" xfId="28885" xr:uid="{00000000-0005-0000-0000-0000D0700000}"/>
    <cellStyle name="Normal 2 55 5" xfId="28886" xr:uid="{00000000-0005-0000-0000-0000D1700000}"/>
    <cellStyle name="Normal 2 56" xfId="28887" xr:uid="{00000000-0005-0000-0000-0000D2700000}"/>
    <cellStyle name="Normal 2 56 2" xfId="28888" xr:uid="{00000000-0005-0000-0000-0000D3700000}"/>
    <cellStyle name="Normal 2 56 3" xfId="28889" xr:uid="{00000000-0005-0000-0000-0000D4700000}"/>
    <cellStyle name="Normal 2 56 4" xfId="28890" xr:uid="{00000000-0005-0000-0000-0000D5700000}"/>
    <cellStyle name="Normal 2 56 5" xfId="28891" xr:uid="{00000000-0005-0000-0000-0000D6700000}"/>
    <cellStyle name="Normal 2 57" xfId="28892" xr:uid="{00000000-0005-0000-0000-0000D7700000}"/>
    <cellStyle name="Normal 2 57 2" xfId="28893" xr:uid="{00000000-0005-0000-0000-0000D8700000}"/>
    <cellStyle name="Normal 2 57 3" xfId="28894" xr:uid="{00000000-0005-0000-0000-0000D9700000}"/>
    <cellStyle name="Normal 2 57 4" xfId="28895" xr:uid="{00000000-0005-0000-0000-0000DA700000}"/>
    <cellStyle name="Normal 2 57 5" xfId="28896" xr:uid="{00000000-0005-0000-0000-0000DB700000}"/>
    <cellStyle name="Normal 2 58" xfId="28897" xr:uid="{00000000-0005-0000-0000-0000DC700000}"/>
    <cellStyle name="Normal 2 58 2" xfId="28898" xr:uid="{00000000-0005-0000-0000-0000DD700000}"/>
    <cellStyle name="Normal 2 58 3" xfId="28899" xr:uid="{00000000-0005-0000-0000-0000DE700000}"/>
    <cellStyle name="Normal 2 58 4" xfId="28900" xr:uid="{00000000-0005-0000-0000-0000DF700000}"/>
    <cellStyle name="Normal 2 58 5" xfId="28901" xr:uid="{00000000-0005-0000-0000-0000E0700000}"/>
    <cellStyle name="Normal 2 59" xfId="28902" xr:uid="{00000000-0005-0000-0000-0000E1700000}"/>
    <cellStyle name="Normal 2 59 2" xfId="28903" xr:uid="{00000000-0005-0000-0000-0000E2700000}"/>
    <cellStyle name="Normal 2 59 3" xfId="28904" xr:uid="{00000000-0005-0000-0000-0000E3700000}"/>
    <cellStyle name="Normal 2 59 4" xfId="28905" xr:uid="{00000000-0005-0000-0000-0000E4700000}"/>
    <cellStyle name="Normal 2 59 5" xfId="28906" xr:uid="{00000000-0005-0000-0000-0000E5700000}"/>
    <cellStyle name="Normal 2 6" xfId="28907" xr:uid="{00000000-0005-0000-0000-0000E6700000}"/>
    <cellStyle name="Normal 2 6 10" xfId="28908" xr:uid="{00000000-0005-0000-0000-0000E7700000}"/>
    <cellStyle name="Normal 2 6 11" xfId="28909" xr:uid="{00000000-0005-0000-0000-0000E8700000}"/>
    <cellStyle name="Normal 2 6 12" xfId="28910" xr:uid="{00000000-0005-0000-0000-0000E9700000}"/>
    <cellStyle name="Normal 2 6 13" xfId="28911" xr:uid="{00000000-0005-0000-0000-0000EA700000}"/>
    <cellStyle name="Normal 2 6 14" xfId="28912" xr:uid="{00000000-0005-0000-0000-0000EB700000}"/>
    <cellStyle name="Normal 2 6 15" xfId="28913" xr:uid="{00000000-0005-0000-0000-0000EC700000}"/>
    <cellStyle name="Normal 2 6 16" xfId="28914" xr:uid="{00000000-0005-0000-0000-0000ED700000}"/>
    <cellStyle name="Normal 2 6 17" xfId="28915" xr:uid="{00000000-0005-0000-0000-0000EE700000}"/>
    <cellStyle name="Normal 2 6 18" xfId="28916" xr:uid="{00000000-0005-0000-0000-0000EF700000}"/>
    <cellStyle name="Normal 2 6 19" xfId="28917" xr:uid="{00000000-0005-0000-0000-0000F0700000}"/>
    <cellStyle name="Normal 2 6 2" xfId="28918" xr:uid="{00000000-0005-0000-0000-0000F1700000}"/>
    <cellStyle name="Normal 2 6 2 10" xfId="28919" xr:uid="{00000000-0005-0000-0000-0000F2700000}"/>
    <cellStyle name="Normal 2 6 2 11" xfId="28920" xr:uid="{00000000-0005-0000-0000-0000F3700000}"/>
    <cellStyle name="Normal 2 6 2 12" xfId="28921" xr:uid="{00000000-0005-0000-0000-0000F4700000}"/>
    <cellStyle name="Normal 2 6 2 13" xfId="28922" xr:uid="{00000000-0005-0000-0000-0000F5700000}"/>
    <cellStyle name="Normal 2 6 2 14" xfId="28923" xr:uid="{00000000-0005-0000-0000-0000F6700000}"/>
    <cellStyle name="Normal 2 6 2 15" xfId="28924" xr:uid="{00000000-0005-0000-0000-0000F7700000}"/>
    <cellStyle name="Normal 2 6 2 16" xfId="28925" xr:uid="{00000000-0005-0000-0000-0000F8700000}"/>
    <cellStyle name="Normal 2 6 2 17" xfId="28926" xr:uid="{00000000-0005-0000-0000-0000F9700000}"/>
    <cellStyle name="Normal 2 6 2 18" xfId="28927" xr:uid="{00000000-0005-0000-0000-0000FA700000}"/>
    <cellStyle name="Normal 2 6 2 19" xfId="28928" xr:uid="{00000000-0005-0000-0000-0000FB700000}"/>
    <cellStyle name="Normal 2 6 2 2" xfId="28929" xr:uid="{00000000-0005-0000-0000-0000FC700000}"/>
    <cellStyle name="Normal 2 6 2 20" xfId="28930" xr:uid="{00000000-0005-0000-0000-0000FD700000}"/>
    <cellStyle name="Normal 2 6 2 21" xfId="28931" xr:uid="{00000000-0005-0000-0000-0000FE700000}"/>
    <cellStyle name="Normal 2 6 2 3" xfId="28932" xr:uid="{00000000-0005-0000-0000-0000FF700000}"/>
    <cellStyle name="Normal 2 6 2 4" xfId="28933" xr:uid="{00000000-0005-0000-0000-000000710000}"/>
    <cellStyle name="Normal 2 6 2 5" xfId="28934" xr:uid="{00000000-0005-0000-0000-000001710000}"/>
    <cellStyle name="Normal 2 6 2 6" xfId="28935" xr:uid="{00000000-0005-0000-0000-000002710000}"/>
    <cellStyle name="Normal 2 6 2 7" xfId="28936" xr:uid="{00000000-0005-0000-0000-000003710000}"/>
    <cellStyle name="Normal 2 6 2 8" xfId="28937" xr:uid="{00000000-0005-0000-0000-000004710000}"/>
    <cellStyle name="Normal 2 6 2 9" xfId="28938" xr:uid="{00000000-0005-0000-0000-000005710000}"/>
    <cellStyle name="Normal 2 6 20" xfId="28939" xr:uid="{00000000-0005-0000-0000-000006710000}"/>
    <cellStyle name="Normal 2 6 21" xfId="28940" xr:uid="{00000000-0005-0000-0000-000007710000}"/>
    <cellStyle name="Normal 2 6 22" xfId="28941" xr:uid="{00000000-0005-0000-0000-000008710000}"/>
    <cellStyle name="Normal 2 6 3" xfId="28942" xr:uid="{00000000-0005-0000-0000-000009710000}"/>
    <cellStyle name="Normal 2 6 4" xfId="28943" xr:uid="{00000000-0005-0000-0000-00000A710000}"/>
    <cellStyle name="Normal 2 6 5" xfId="28944" xr:uid="{00000000-0005-0000-0000-00000B710000}"/>
    <cellStyle name="Normal 2 6 6" xfId="28945" xr:uid="{00000000-0005-0000-0000-00000C710000}"/>
    <cellStyle name="Normal 2 6 7" xfId="28946" xr:uid="{00000000-0005-0000-0000-00000D710000}"/>
    <cellStyle name="Normal 2 6 8" xfId="28947" xr:uid="{00000000-0005-0000-0000-00000E710000}"/>
    <cellStyle name="Normal 2 6 9" xfId="28948" xr:uid="{00000000-0005-0000-0000-00000F710000}"/>
    <cellStyle name="Normal 2 60" xfId="28949" xr:uid="{00000000-0005-0000-0000-000010710000}"/>
    <cellStyle name="Normal 2 60 2" xfId="28950" xr:uid="{00000000-0005-0000-0000-000011710000}"/>
    <cellStyle name="Normal 2 60 3" xfId="28951" xr:uid="{00000000-0005-0000-0000-000012710000}"/>
    <cellStyle name="Normal 2 61" xfId="28952" xr:uid="{00000000-0005-0000-0000-000013710000}"/>
    <cellStyle name="Normal 2 61 2" xfId="28953" xr:uid="{00000000-0005-0000-0000-000014710000}"/>
    <cellStyle name="Normal 2 61 3" xfId="28954" xr:uid="{00000000-0005-0000-0000-000015710000}"/>
    <cellStyle name="Normal 2 62" xfId="28955" xr:uid="{00000000-0005-0000-0000-000016710000}"/>
    <cellStyle name="Normal 2 62 2" xfId="28956" xr:uid="{00000000-0005-0000-0000-000017710000}"/>
    <cellStyle name="Normal 2 62 3" xfId="28957" xr:uid="{00000000-0005-0000-0000-000018710000}"/>
    <cellStyle name="Normal 2 63" xfId="28958" xr:uid="{00000000-0005-0000-0000-000019710000}"/>
    <cellStyle name="Normal 2 63 2" xfId="28959" xr:uid="{00000000-0005-0000-0000-00001A710000}"/>
    <cellStyle name="Normal 2 63 3" xfId="28960" xr:uid="{00000000-0005-0000-0000-00001B710000}"/>
    <cellStyle name="Normal 2 64" xfId="28961" xr:uid="{00000000-0005-0000-0000-00001C710000}"/>
    <cellStyle name="Normal 2 64 2" xfId="28962" xr:uid="{00000000-0005-0000-0000-00001D710000}"/>
    <cellStyle name="Normal 2 64 3" xfId="28963" xr:uid="{00000000-0005-0000-0000-00001E710000}"/>
    <cellStyle name="Normal 2 65" xfId="28964" xr:uid="{00000000-0005-0000-0000-00001F710000}"/>
    <cellStyle name="Normal 2 65 2" xfId="28965" xr:uid="{00000000-0005-0000-0000-000020710000}"/>
    <cellStyle name="Normal 2 65 3" xfId="28966" xr:uid="{00000000-0005-0000-0000-000021710000}"/>
    <cellStyle name="Normal 2 66" xfId="28967" xr:uid="{00000000-0005-0000-0000-000022710000}"/>
    <cellStyle name="Normal 2 66 2" xfId="28968" xr:uid="{00000000-0005-0000-0000-000023710000}"/>
    <cellStyle name="Normal 2 66 3" xfId="28969" xr:uid="{00000000-0005-0000-0000-000024710000}"/>
    <cellStyle name="Normal 2 67" xfId="28970" xr:uid="{00000000-0005-0000-0000-000025710000}"/>
    <cellStyle name="Normal 2 67 2" xfId="28971" xr:uid="{00000000-0005-0000-0000-000026710000}"/>
    <cellStyle name="Normal 2 67 3" xfId="28972" xr:uid="{00000000-0005-0000-0000-000027710000}"/>
    <cellStyle name="Normal 2 68" xfId="28973" xr:uid="{00000000-0005-0000-0000-000028710000}"/>
    <cellStyle name="Normal 2 68 2" xfId="28974" xr:uid="{00000000-0005-0000-0000-000029710000}"/>
    <cellStyle name="Normal 2 68 3" xfId="28975" xr:uid="{00000000-0005-0000-0000-00002A710000}"/>
    <cellStyle name="Normal 2 69" xfId="28976" xr:uid="{00000000-0005-0000-0000-00002B710000}"/>
    <cellStyle name="Normal 2 69 2" xfId="28977" xr:uid="{00000000-0005-0000-0000-00002C710000}"/>
    <cellStyle name="Normal 2 69 3" xfId="28978" xr:uid="{00000000-0005-0000-0000-00002D710000}"/>
    <cellStyle name="Normal 2 7" xfId="28979" xr:uid="{00000000-0005-0000-0000-00002E710000}"/>
    <cellStyle name="Normal 2 7 2" xfId="28980" xr:uid="{00000000-0005-0000-0000-00002F710000}"/>
    <cellStyle name="Normal 2 7 3" xfId="28981" xr:uid="{00000000-0005-0000-0000-000030710000}"/>
    <cellStyle name="Normal 2 70" xfId="28982" xr:uid="{00000000-0005-0000-0000-000031710000}"/>
    <cellStyle name="Normal 2 70 2" xfId="28983" xr:uid="{00000000-0005-0000-0000-000032710000}"/>
    <cellStyle name="Normal 2 70 3" xfId="28984" xr:uid="{00000000-0005-0000-0000-000033710000}"/>
    <cellStyle name="Normal 2 71" xfId="28985" xr:uid="{00000000-0005-0000-0000-000034710000}"/>
    <cellStyle name="Normal 2 71 2" xfId="28986" xr:uid="{00000000-0005-0000-0000-000035710000}"/>
    <cellStyle name="Normal 2 71 3" xfId="28987" xr:uid="{00000000-0005-0000-0000-000036710000}"/>
    <cellStyle name="Normal 2 72" xfId="28988" xr:uid="{00000000-0005-0000-0000-000037710000}"/>
    <cellStyle name="Normal 2 72 2" xfId="28989" xr:uid="{00000000-0005-0000-0000-000038710000}"/>
    <cellStyle name="Normal 2 72 3" xfId="28990" xr:uid="{00000000-0005-0000-0000-000039710000}"/>
    <cellStyle name="Normal 2 73" xfId="28991" xr:uid="{00000000-0005-0000-0000-00003A710000}"/>
    <cellStyle name="Normal 2 73 2" xfId="28992" xr:uid="{00000000-0005-0000-0000-00003B710000}"/>
    <cellStyle name="Normal 2 73 3" xfId="28993" xr:uid="{00000000-0005-0000-0000-00003C710000}"/>
    <cellStyle name="Normal 2 74" xfId="28994" xr:uid="{00000000-0005-0000-0000-00003D710000}"/>
    <cellStyle name="Normal 2 74 2" xfId="28995" xr:uid="{00000000-0005-0000-0000-00003E710000}"/>
    <cellStyle name="Normal 2 74 3" xfId="28996" xr:uid="{00000000-0005-0000-0000-00003F710000}"/>
    <cellStyle name="Normal 2 75" xfId="28997" xr:uid="{00000000-0005-0000-0000-000040710000}"/>
    <cellStyle name="Normal 2 76" xfId="28998" xr:uid="{00000000-0005-0000-0000-000041710000}"/>
    <cellStyle name="Normal 2 77" xfId="28999" xr:uid="{00000000-0005-0000-0000-000042710000}"/>
    <cellStyle name="Normal 2 78" xfId="29000" xr:uid="{00000000-0005-0000-0000-000043710000}"/>
    <cellStyle name="Normal 2 79" xfId="29001" xr:uid="{00000000-0005-0000-0000-000044710000}"/>
    <cellStyle name="Normal 2 8" xfId="29002" xr:uid="{00000000-0005-0000-0000-000045710000}"/>
    <cellStyle name="Normal 2 8 2" xfId="29003" xr:uid="{00000000-0005-0000-0000-000046710000}"/>
    <cellStyle name="Normal 2 8 3" xfId="29004" xr:uid="{00000000-0005-0000-0000-000047710000}"/>
    <cellStyle name="Normal 2 80" xfId="29005" xr:uid="{00000000-0005-0000-0000-000048710000}"/>
    <cellStyle name="Normal 2 81" xfId="29006" xr:uid="{00000000-0005-0000-0000-000049710000}"/>
    <cellStyle name="Normal 2 82" xfId="29007" xr:uid="{00000000-0005-0000-0000-00004A710000}"/>
    <cellStyle name="Normal 2 82 2" xfId="29008" xr:uid="{00000000-0005-0000-0000-00004B710000}"/>
    <cellStyle name="Normal 2 82 2 2" xfId="29009" xr:uid="{00000000-0005-0000-0000-00004C710000}"/>
    <cellStyle name="Normal 2 82 2 3" xfId="29010" xr:uid="{00000000-0005-0000-0000-00004D710000}"/>
    <cellStyle name="Normal 2 82 3" xfId="29011" xr:uid="{00000000-0005-0000-0000-00004E710000}"/>
    <cellStyle name="Normal 2 82 4" xfId="29012" xr:uid="{00000000-0005-0000-0000-00004F710000}"/>
    <cellStyle name="Normal 2 83" xfId="29013" xr:uid="{00000000-0005-0000-0000-000050710000}"/>
    <cellStyle name="Normal 2 83 2" xfId="29014" xr:uid="{00000000-0005-0000-0000-000051710000}"/>
    <cellStyle name="Normal 2 84" xfId="29015" xr:uid="{00000000-0005-0000-0000-000052710000}"/>
    <cellStyle name="Normal 2 84 2" xfId="29016" xr:uid="{00000000-0005-0000-0000-000053710000}"/>
    <cellStyle name="Normal 2 85" xfId="29017" xr:uid="{00000000-0005-0000-0000-000054710000}"/>
    <cellStyle name="Normal 2 85 2" xfId="29018" xr:uid="{00000000-0005-0000-0000-000055710000}"/>
    <cellStyle name="Normal 2 85 2 2" xfId="29019" xr:uid="{00000000-0005-0000-0000-000056710000}"/>
    <cellStyle name="Normal 2 85 3" xfId="29020" xr:uid="{00000000-0005-0000-0000-000057710000}"/>
    <cellStyle name="Normal 2 85 4" xfId="29021" xr:uid="{00000000-0005-0000-0000-000058710000}"/>
    <cellStyle name="Normal 2 85 5" xfId="29022" xr:uid="{00000000-0005-0000-0000-000059710000}"/>
    <cellStyle name="Normal 2 86" xfId="29023" xr:uid="{00000000-0005-0000-0000-00005A710000}"/>
    <cellStyle name="Normal 2 86 2" xfId="29024" xr:uid="{00000000-0005-0000-0000-00005B710000}"/>
    <cellStyle name="Normal 2 86 2 2" xfId="29025" xr:uid="{00000000-0005-0000-0000-00005C710000}"/>
    <cellStyle name="Normal 2 86 3" xfId="29026" xr:uid="{00000000-0005-0000-0000-00005D710000}"/>
    <cellStyle name="Normal 2 87" xfId="29027" xr:uid="{00000000-0005-0000-0000-00005E710000}"/>
    <cellStyle name="Normal 2 87 2" xfId="29028" xr:uid="{00000000-0005-0000-0000-00005F710000}"/>
    <cellStyle name="Normal 2 87 3" xfId="29029" xr:uid="{00000000-0005-0000-0000-000060710000}"/>
    <cellStyle name="Normal 2 87 4" xfId="29030" xr:uid="{00000000-0005-0000-0000-000061710000}"/>
    <cellStyle name="Normal 2 87 5" xfId="29031" xr:uid="{00000000-0005-0000-0000-000062710000}"/>
    <cellStyle name="Normal 2 88" xfId="29032" xr:uid="{00000000-0005-0000-0000-000063710000}"/>
    <cellStyle name="Normal 2 88 2" xfId="29033" xr:uid="{00000000-0005-0000-0000-000064710000}"/>
    <cellStyle name="Normal 2 88 3" xfId="29034" xr:uid="{00000000-0005-0000-0000-000065710000}"/>
    <cellStyle name="Normal 2 88 4" xfId="29035" xr:uid="{00000000-0005-0000-0000-000066710000}"/>
    <cellStyle name="Normal 2 88 5" xfId="29036" xr:uid="{00000000-0005-0000-0000-000067710000}"/>
    <cellStyle name="Normal 2 89" xfId="29037" xr:uid="{00000000-0005-0000-0000-000068710000}"/>
    <cellStyle name="Normal 2 89 2" xfId="29038" xr:uid="{00000000-0005-0000-0000-000069710000}"/>
    <cellStyle name="Normal 2 9" xfId="29039" xr:uid="{00000000-0005-0000-0000-00006A710000}"/>
    <cellStyle name="Normal 2 9 2" xfId="29040" xr:uid="{00000000-0005-0000-0000-00006B710000}"/>
    <cellStyle name="Normal 2 9 3" xfId="29041" xr:uid="{00000000-0005-0000-0000-00006C710000}"/>
    <cellStyle name="Normal 2 9 4" xfId="29042" xr:uid="{00000000-0005-0000-0000-00006D710000}"/>
    <cellStyle name="Normal 2 9 5" xfId="29043" xr:uid="{00000000-0005-0000-0000-00006E710000}"/>
    <cellStyle name="Normal 2 9_Enlaces" xfId="29044" xr:uid="{00000000-0005-0000-0000-00006F710000}"/>
    <cellStyle name="Normal 2 90" xfId="29045" xr:uid="{00000000-0005-0000-0000-000070710000}"/>
    <cellStyle name="Normal 2 90 2" xfId="29046" xr:uid="{00000000-0005-0000-0000-000071710000}"/>
    <cellStyle name="Normal 2 91" xfId="29047" xr:uid="{00000000-0005-0000-0000-000072710000}"/>
    <cellStyle name="Normal 2 91 2" xfId="29048" xr:uid="{00000000-0005-0000-0000-000073710000}"/>
    <cellStyle name="Normal 2 92" xfId="29049" xr:uid="{00000000-0005-0000-0000-000074710000}"/>
    <cellStyle name="Normal 2 92 2" xfId="29050" xr:uid="{00000000-0005-0000-0000-000075710000}"/>
    <cellStyle name="Normal 2 93" xfId="29051" xr:uid="{00000000-0005-0000-0000-000076710000}"/>
    <cellStyle name="Normal 2 93 2" xfId="29052" xr:uid="{00000000-0005-0000-0000-000077710000}"/>
    <cellStyle name="Normal 2 94" xfId="29053" xr:uid="{00000000-0005-0000-0000-000078710000}"/>
    <cellStyle name="Normal 2 94 2" xfId="29054" xr:uid="{00000000-0005-0000-0000-000079710000}"/>
    <cellStyle name="Normal 2 95" xfId="29055" xr:uid="{00000000-0005-0000-0000-00007A710000}"/>
    <cellStyle name="Normal 2 95 2" xfId="29056" xr:uid="{00000000-0005-0000-0000-00007B710000}"/>
    <cellStyle name="Normal 2 96" xfId="29057" xr:uid="{00000000-0005-0000-0000-00007C710000}"/>
    <cellStyle name="Normal 2 96 2" xfId="29058" xr:uid="{00000000-0005-0000-0000-00007D710000}"/>
    <cellStyle name="Normal 2 97" xfId="29059" xr:uid="{00000000-0005-0000-0000-00007E710000}"/>
    <cellStyle name="Normal 2 97 2" xfId="29060" xr:uid="{00000000-0005-0000-0000-00007F710000}"/>
    <cellStyle name="Normal 2 98" xfId="29061" xr:uid="{00000000-0005-0000-0000-000080710000}"/>
    <cellStyle name="Normal 2 98 2" xfId="29062" xr:uid="{00000000-0005-0000-0000-000081710000}"/>
    <cellStyle name="Normal 2 99" xfId="29063" xr:uid="{00000000-0005-0000-0000-000082710000}"/>
    <cellStyle name="Normal 2 99 2" xfId="29064" xr:uid="{00000000-0005-0000-0000-000083710000}"/>
    <cellStyle name="Normal 20" xfId="29065" xr:uid="{00000000-0005-0000-0000-000084710000}"/>
    <cellStyle name="Normal 20 10" xfId="29066" xr:uid="{00000000-0005-0000-0000-000085710000}"/>
    <cellStyle name="Normal 20 11" xfId="29067" xr:uid="{00000000-0005-0000-0000-000086710000}"/>
    <cellStyle name="Normal 20 12" xfId="29068" xr:uid="{00000000-0005-0000-0000-000087710000}"/>
    <cellStyle name="Normal 20 13" xfId="29069" xr:uid="{00000000-0005-0000-0000-000088710000}"/>
    <cellStyle name="Normal 20 14" xfId="29070" xr:uid="{00000000-0005-0000-0000-000089710000}"/>
    <cellStyle name="Normal 20 15" xfId="29071" xr:uid="{00000000-0005-0000-0000-00008A710000}"/>
    <cellStyle name="Normal 20 16" xfId="29072" xr:uid="{00000000-0005-0000-0000-00008B710000}"/>
    <cellStyle name="Normal 20 17" xfId="29073" xr:uid="{00000000-0005-0000-0000-00008C710000}"/>
    <cellStyle name="Normal 20 18" xfId="29074" xr:uid="{00000000-0005-0000-0000-00008D710000}"/>
    <cellStyle name="Normal 20 19" xfId="29075" xr:uid="{00000000-0005-0000-0000-00008E710000}"/>
    <cellStyle name="Normal 20 2" xfId="29076" xr:uid="{00000000-0005-0000-0000-00008F710000}"/>
    <cellStyle name="Normal 20 2 2" xfId="29077" xr:uid="{00000000-0005-0000-0000-000090710000}"/>
    <cellStyle name="Normal 20 2 3" xfId="29078" xr:uid="{00000000-0005-0000-0000-000091710000}"/>
    <cellStyle name="Normal 20 2 4" xfId="29079" xr:uid="{00000000-0005-0000-0000-000092710000}"/>
    <cellStyle name="Normal 20 20" xfId="29080" xr:uid="{00000000-0005-0000-0000-000093710000}"/>
    <cellStyle name="Normal 20 21" xfId="29081" xr:uid="{00000000-0005-0000-0000-000094710000}"/>
    <cellStyle name="Normal 20 22" xfId="29082" xr:uid="{00000000-0005-0000-0000-000095710000}"/>
    <cellStyle name="Normal 20 23" xfId="29083" xr:uid="{00000000-0005-0000-0000-000096710000}"/>
    <cellStyle name="Normal 20 24" xfId="29084" xr:uid="{00000000-0005-0000-0000-000097710000}"/>
    <cellStyle name="Normal 20 25" xfId="29085" xr:uid="{00000000-0005-0000-0000-000098710000}"/>
    <cellStyle name="Normal 20 26" xfId="29086" xr:uid="{00000000-0005-0000-0000-000099710000}"/>
    <cellStyle name="Normal 20 3" xfId="29087" xr:uid="{00000000-0005-0000-0000-00009A710000}"/>
    <cellStyle name="Normal 20 4" xfId="29088" xr:uid="{00000000-0005-0000-0000-00009B710000}"/>
    <cellStyle name="Normal 20 5" xfId="29089" xr:uid="{00000000-0005-0000-0000-00009C710000}"/>
    <cellStyle name="Normal 20 6" xfId="29090" xr:uid="{00000000-0005-0000-0000-00009D710000}"/>
    <cellStyle name="Normal 20 7" xfId="29091" xr:uid="{00000000-0005-0000-0000-00009E710000}"/>
    <cellStyle name="Normal 20 8" xfId="29092" xr:uid="{00000000-0005-0000-0000-00009F710000}"/>
    <cellStyle name="Normal 20 9" xfId="29093" xr:uid="{00000000-0005-0000-0000-0000A0710000}"/>
    <cellStyle name="Normal 21" xfId="29094" xr:uid="{00000000-0005-0000-0000-0000A1710000}"/>
    <cellStyle name="Normal 21 10" xfId="29095" xr:uid="{00000000-0005-0000-0000-0000A2710000}"/>
    <cellStyle name="Normal 21 11" xfId="29096" xr:uid="{00000000-0005-0000-0000-0000A3710000}"/>
    <cellStyle name="Normal 21 12" xfId="29097" xr:uid="{00000000-0005-0000-0000-0000A4710000}"/>
    <cellStyle name="Normal 21 13" xfId="29098" xr:uid="{00000000-0005-0000-0000-0000A5710000}"/>
    <cellStyle name="Normal 21 14" xfId="29099" xr:uid="{00000000-0005-0000-0000-0000A6710000}"/>
    <cellStyle name="Normal 21 15" xfId="29100" xr:uid="{00000000-0005-0000-0000-0000A7710000}"/>
    <cellStyle name="Normal 21 16" xfId="29101" xr:uid="{00000000-0005-0000-0000-0000A8710000}"/>
    <cellStyle name="Normal 21 17" xfId="29102" xr:uid="{00000000-0005-0000-0000-0000A9710000}"/>
    <cellStyle name="Normal 21 18" xfId="29103" xr:uid="{00000000-0005-0000-0000-0000AA710000}"/>
    <cellStyle name="Normal 21 19" xfId="29104" xr:uid="{00000000-0005-0000-0000-0000AB710000}"/>
    <cellStyle name="Normal 21 2" xfId="29105" xr:uid="{00000000-0005-0000-0000-0000AC710000}"/>
    <cellStyle name="Normal 21 2 2" xfId="29106" xr:uid="{00000000-0005-0000-0000-0000AD710000}"/>
    <cellStyle name="Normal 21 2 3" xfId="29107" xr:uid="{00000000-0005-0000-0000-0000AE710000}"/>
    <cellStyle name="Normal 21 20" xfId="29108" xr:uid="{00000000-0005-0000-0000-0000AF710000}"/>
    <cellStyle name="Normal 21 21" xfId="29109" xr:uid="{00000000-0005-0000-0000-0000B0710000}"/>
    <cellStyle name="Normal 21 22" xfId="29110" xr:uid="{00000000-0005-0000-0000-0000B1710000}"/>
    <cellStyle name="Normal 21 23" xfId="29111" xr:uid="{00000000-0005-0000-0000-0000B2710000}"/>
    <cellStyle name="Normal 21 24" xfId="29112" xr:uid="{00000000-0005-0000-0000-0000B3710000}"/>
    <cellStyle name="Normal 21 25" xfId="29113" xr:uid="{00000000-0005-0000-0000-0000B4710000}"/>
    <cellStyle name="Normal 21 26" xfId="29114" xr:uid="{00000000-0005-0000-0000-0000B5710000}"/>
    <cellStyle name="Normal 21 3" xfId="29115" xr:uid="{00000000-0005-0000-0000-0000B6710000}"/>
    <cellStyle name="Normal 21 3 2" xfId="29116" xr:uid="{00000000-0005-0000-0000-0000B7710000}"/>
    <cellStyle name="Normal 21 3 3" xfId="29117" xr:uid="{00000000-0005-0000-0000-0000B8710000}"/>
    <cellStyle name="Normal 21 4" xfId="29118" xr:uid="{00000000-0005-0000-0000-0000B9710000}"/>
    <cellStyle name="Normal 21 5" xfId="29119" xr:uid="{00000000-0005-0000-0000-0000BA710000}"/>
    <cellStyle name="Normal 21 6" xfId="29120" xr:uid="{00000000-0005-0000-0000-0000BB710000}"/>
    <cellStyle name="Normal 21 7" xfId="29121" xr:uid="{00000000-0005-0000-0000-0000BC710000}"/>
    <cellStyle name="Normal 21 8" xfId="29122" xr:uid="{00000000-0005-0000-0000-0000BD710000}"/>
    <cellStyle name="Normal 21 9" xfId="29123" xr:uid="{00000000-0005-0000-0000-0000BE710000}"/>
    <cellStyle name="Normal 22" xfId="29124" xr:uid="{00000000-0005-0000-0000-0000BF710000}"/>
    <cellStyle name="Normal 22 10" xfId="29125" xr:uid="{00000000-0005-0000-0000-0000C0710000}"/>
    <cellStyle name="Normal 22 11" xfId="29126" xr:uid="{00000000-0005-0000-0000-0000C1710000}"/>
    <cellStyle name="Normal 22 12" xfId="29127" xr:uid="{00000000-0005-0000-0000-0000C2710000}"/>
    <cellStyle name="Normal 22 13" xfId="29128" xr:uid="{00000000-0005-0000-0000-0000C3710000}"/>
    <cellStyle name="Normal 22 14" xfId="29129" xr:uid="{00000000-0005-0000-0000-0000C4710000}"/>
    <cellStyle name="Normal 22 15" xfId="29130" xr:uid="{00000000-0005-0000-0000-0000C5710000}"/>
    <cellStyle name="Normal 22 16" xfId="29131" xr:uid="{00000000-0005-0000-0000-0000C6710000}"/>
    <cellStyle name="Normal 22 17" xfId="29132" xr:uid="{00000000-0005-0000-0000-0000C7710000}"/>
    <cellStyle name="Normal 22 18" xfId="29133" xr:uid="{00000000-0005-0000-0000-0000C8710000}"/>
    <cellStyle name="Normal 22 19" xfId="29134" xr:uid="{00000000-0005-0000-0000-0000C9710000}"/>
    <cellStyle name="Normal 22 2" xfId="29135" xr:uid="{00000000-0005-0000-0000-0000CA710000}"/>
    <cellStyle name="Normal 22 2 2" xfId="29136" xr:uid="{00000000-0005-0000-0000-0000CB710000}"/>
    <cellStyle name="Normal 22 2 3" xfId="29137" xr:uid="{00000000-0005-0000-0000-0000CC710000}"/>
    <cellStyle name="Normal 22 20" xfId="29138" xr:uid="{00000000-0005-0000-0000-0000CD710000}"/>
    <cellStyle name="Normal 22 21" xfId="29139" xr:uid="{00000000-0005-0000-0000-0000CE710000}"/>
    <cellStyle name="Normal 22 22" xfId="29140" xr:uid="{00000000-0005-0000-0000-0000CF710000}"/>
    <cellStyle name="Normal 22 23" xfId="29141" xr:uid="{00000000-0005-0000-0000-0000D0710000}"/>
    <cellStyle name="Normal 22 24" xfId="29142" xr:uid="{00000000-0005-0000-0000-0000D1710000}"/>
    <cellStyle name="Normal 22 25" xfId="29143" xr:uid="{00000000-0005-0000-0000-0000D2710000}"/>
    <cellStyle name="Normal 22 26" xfId="29144" xr:uid="{00000000-0005-0000-0000-0000D3710000}"/>
    <cellStyle name="Normal 22 3" xfId="29145" xr:uid="{00000000-0005-0000-0000-0000D4710000}"/>
    <cellStyle name="Normal 22 3 2" xfId="29146" xr:uid="{00000000-0005-0000-0000-0000D5710000}"/>
    <cellStyle name="Normal 22 3 3" xfId="29147" xr:uid="{00000000-0005-0000-0000-0000D6710000}"/>
    <cellStyle name="Normal 22 3 4" xfId="29148" xr:uid="{00000000-0005-0000-0000-0000D7710000}"/>
    <cellStyle name="Normal 22 3 5" xfId="29149" xr:uid="{00000000-0005-0000-0000-0000D8710000}"/>
    <cellStyle name="Normal 22 4" xfId="29150" xr:uid="{00000000-0005-0000-0000-0000D9710000}"/>
    <cellStyle name="Normal 22 5" xfId="29151" xr:uid="{00000000-0005-0000-0000-0000DA710000}"/>
    <cellStyle name="Normal 22 6" xfId="29152" xr:uid="{00000000-0005-0000-0000-0000DB710000}"/>
    <cellStyle name="Normal 22 7" xfId="29153" xr:uid="{00000000-0005-0000-0000-0000DC710000}"/>
    <cellStyle name="Normal 22 8" xfId="29154" xr:uid="{00000000-0005-0000-0000-0000DD710000}"/>
    <cellStyle name="Normal 22 9" xfId="29155" xr:uid="{00000000-0005-0000-0000-0000DE710000}"/>
    <cellStyle name="Normal 23" xfId="29156" xr:uid="{00000000-0005-0000-0000-0000DF710000}"/>
    <cellStyle name="Normal 23 10" xfId="29157" xr:uid="{00000000-0005-0000-0000-0000E0710000}"/>
    <cellStyle name="Normal 23 11" xfId="29158" xr:uid="{00000000-0005-0000-0000-0000E1710000}"/>
    <cellStyle name="Normal 23 12" xfId="29159" xr:uid="{00000000-0005-0000-0000-0000E2710000}"/>
    <cellStyle name="Normal 23 13" xfId="29160" xr:uid="{00000000-0005-0000-0000-0000E3710000}"/>
    <cellStyle name="Normal 23 14" xfId="29161" xr:uid="{00000000-0005-0000-0000-0000E4710000}"/>
    <cellStyle name="Normal 23 15" xfId="29162" xr:uid="{00000000-0005-0000-0000-0000E5710000}"/>
    <cellStyle name="Normal 23 16" xfId="29163" xr:uid="{00000000-0005-0000-0000-0000E6710000}"/>
    <cellStyle name="Normal 23 17" xfId="29164" xr:uid="{00000000-0005-0000-0000-0000E7710000}"/>
    <cellStyle name="Normal 23 18" xfId="29165" xr:uid="{00000000-0005-0000-0000-0000E8710000}"/>
    <cellStyle name="Normal 23 19" xfId="29166" xr:uid="{00000000-0005-0000-0000-0000E9710000}"/>
    <cellStyle name="Normal 23 2" xfId="29167" xr:uid="{00000000-0005-0000-0000-0000EA710000}"/>
    <cellStyle name="Normal 23 2 2" xfId="29168" xr:uid="{00000000-0005-0000-0000-0000EB710000}"/>
    <cellStyle name="Normal 23 2 3" xfId="29169" xr:uid="{00000000-0005-0000-0000-0000EC710000}"/>
    <cellStyle name="Normal 23 20" xfId="29170" xr:uid="{00000000-0005-0000-0000-0000ED710000}"/>
    <cellStyle name="Normal 23 21" xfId="29171" xr:uid="{00000000-0005-0000-0000-0000EE710000}"/>
    <cellStyle name="Normal 23 22" xfId="29172" xr:uid="{00000000-0005-0000-0000-0000EF710000}"/>
    <cellStyle name="Normal 23 23" xfId="29173" xr:uid="{00000000-0005-0000-0000-0000F0710000}"/>
    <cellStyle name="Normal 23 24" xfId="29174" xr:uid="{00000000-0005-0000-0000-0000F1710000}"/>
    <cellStyle name="Normal 23 25" xfId="29175" xr:uid="{00000000-0005-0000-0000-0000F2710000}"/>
    <cellStyle name="Normal 23 26" xfId="29176" xr:uid="{00000000-0005-0000-0000-0000F3710000}"/>
    <cellStyle name="Normal 23 3" xfId="29177" xr:uid="{00000000-0005-0000-0000-0000F4710000}"/>
    <cellStyle name="Normal 23 3 2" xfId="29178" xr:uid="{00000000-0005-0000-0000-0000F5710000}"/>
    <cellStyle name="Normal 23 3 3" xfId="29179" xr:uid="{00000000-0005-0000-0000-0000F6710000}"/>
    <cellStyle name="Normal 23 3 4" xfId="29180" xr:uid="{00000000-0005-0000-0000-0000F7710000}"/>
    <cellStyle name="Normal 23 3 5" xfId="29181" xr:uid="{00000000-0005-0000-0000-0000F8710000}"/>
    <cellStyle name="Normal 23 4" xfId="29182" xr:uid="{00000000-0005-0000-0000-0000F9710000}"/>
    <cellStyle name="Normal 23 5" xfId="29183" xr:uid="{00000000-0005-0000-0000-0000FA710000}"/>
    <cellStyle name="Normal 23 6" xfId="29184" xr:uid="{00000000-0005-0000-0000-0000FB710000}"/>
    <cellStyle name="Normal 23 7" xfId="29185" xr:uid="{00000000-0005-0000-0000-0000FC710000}"/>
    <cellStyle name="Normal 23 8" xfId="29186" xr:uid="{00000000-0005-0000-0000-0000FD710000}"/>
    <cellStyle name="Normal 23 9" xfId="29187" xr:uid="{00000000-0005-0000-0000-0000FE710000}"/>
    <cellStyle name="Normal 24" xfId="29188" xr:uid="{00000000-0005-0000-0000-0000FF710000}"/>
    <cellStyle name="Normal 24 10" xfId="29189" xr:uid="{00000000-0005-0000-0000-000000720000}"/>
    <cellStyle name="Normal 24 11" xfId="29190" xr:uid="{00000000-0005-0000-0000-000001720000}"/>
    <cellStyle name="Normal 24 12" xfId="29191" xr:uid="{00000000-0005-0000-0000-000002720000}"/>
    <cellStyle name="Normal 24 13" xfId="29192" xr:uid="{00000000-0005-0000-0000-000003720000}"/>
    <cellStyle name="Normal 24 14" xfId="29193" xr:uid="{00000000-0005-0000-0000-000004720000}"/>
    <cellStyle name="Normal 24 15" xfId="29194" xr:uid="{00000000-0005-0000-0000-000005720000}"/>
    <cellStyle name="Normal 24 16" xfId="29195" xr:uid="{00000000-0005-0000-0000-000006720000}"/>
    <cellStyle name="Normal 24 17" xfId="29196" xr:uid="{00000000-0005-0000-0000-000007720000}"/>
    <cellStyle name="Normal 24 18" xfId="29197" xr:uid="{00000000-0005-0000-0000-000008720000}"/>
    <cellStyle name="Normal 24 19" xfId="29198" xr:uid="{00000000-0005-0000-0000-000009720000}"/>
    <cellStyle name="Normal 24 2" xfId="29199" xr:uid="{00000000-0005-0000-0000-00000A720000}"/>
    <cellStyle name="Normal 24 20" xfId="29200" xr:uid="{00000000-0005-0000-0000-00000B720000}"/>
    <cellStyle name="Normal 24 21" xfId="29201" xr:uid="{00000000-0005-0000-0000-00000C720000}"/>
    <cellStyle name="Normal 24 22" xfId="29202" xr:uid="{00000000-0005-0000-0000-00000D720000}"/>
    <cellStyle name="Normal 24 23" xfId="29203" xr:uid="{00000000-0005-0000-0000-00000E720000}"/>
    <cellStyle name="Normal 24 24" xfId="29204" xr:uid="{00000000-0005-0000-0000-00000F720000}"/>
    <cellStyle name="Normal 24 25" xfId="29205" xr:uid="{00000000-0005-0000-0000-000010720000}"/>
    <cellStyle name="Normal 24 26" xfId="29206" xr:uid="{00000000-0005-0000-0000-000011720000}"/>
    <cellStyle name="Normal 24 27" xfId="29207" xr:uid="{00000000-0005-0000-0000-000012720000}"/>
    <cellStyle name="Normal 24 3" xfId="29208" xr:uid="{00000000-0005-0000-0000-000013720000}"/>
    <cellStyle name="Normal 24 4" xfId="29209" xr:uid="{00000000-0005-0000-0000-000014720000}"/>
    <cellStyle name="Normal 24 5" xfId="29210" xr:uid="{00000000-0005-0000-0000-000015720000}"/>
    <cellStyle name="Normal 24 6" xfId="29211" xr:uid="{00000000-0005-0000-0000-000016720000}"/>
    <cellStyle name="Normal 24 7" xfId="29212" xr:uid="{00000000-0005-0000-0000-000017720000}"/>
    <cellStyle name="Normal 24 8" xfId="29213" xr:uid="{00000000-0005-0000-0000-000018720000}"/>
    <cellStyle name="Normal 24 9" xfId="29214" xr:uid="{00000000-0005-0000-0000-000019720000}"/>
    <cellStyle name="Normal 25" xfId="29215" xr:uid="{00000000-0005-0000-0000-00001A720000}"/>
    <cellStyle name="Normal 25 10" xfId="29216" xr:uid="{00000000-0005-0000-0000-00001B720000}"/>
    <cellStyle name="Normal 25 11" xfId="29217" xr:uid="{00000000-0005-0000-0000-00001C720000}"/>
    <cellStyle name="Normal 25 12" xfId="29218" xr:uid="{00000000-0005-0000-0000-00001D720000}"/>
    <cellStyle name="Normal 25 13" xfId="29219" xr:uid="{00000000-0005-0000-0000-00001E720000}"/>
    <cellStyle name="Normal 25 14" xfId="29220" xr:uid="{00000000-0005-0000-0000-00001F720000}"/>
    <cellStyle name="Normal 25 15" xfId="29221" xr:uid="{00000000-0005-0000-0000-000020720000}"/>
    <cellStyle name="Normal 25 16" xfId="29222" xr:uid="{00000000-0005-0000-0000-000021720000}"/>
    <cellStyle name="Normal 25 17" xfId="29223" xr:uid="{00000000-0005-0000-0000-000022720000}"/>
    <cellStyle name="Normal 25 18" xfId="29224" xr:uid="{00000000-0005-0000-0000-000023720000}"/>
    <cellStyle name="Normal 25 19" xfId="29225" xr:uid="{00000000-0005-0000-0000-000024720000}"/>
    <cellStyle name="Normal 25 2" xfId="29226" xr:uid="{00000000-0005-0000-0000-000025720000}"/>
    <cellStyle name="Normal 25 20" xfId="29227" xr:uid="{00000000-0005-0000-0000-000026720000}"/>
    <cellStyle name="Normal 25 21" xfId="29228" xr:uid="{00000000-0005-0000-0000-000027720000}"/>
    <cellStyle name="Normal 25 22" xfId="29229" xr:uid="{00000000-0005-0000-0000-000028720000}"/>
    <cellStyle name="Normal 25 23" xfId="29230" xr:uid="{00000000-0005-0000-0000-000029720000}"/>
    <cellStyle name="Normal 25 24" xfId="29231" xr:uid="{00000000-0005-0000-0000-00002A720000}"/>
    <cellStyle name="Normal 25 25" xfId="29232" xr:uid="{00000000-0005-0000-0000-00002B720000}"/>
    <cellStyle name="Normal 25 3" xfId="29233" xr:uid="{00000000-0005-0000-0000-00002C720000}"/>
    <cellStyle name="Normal 25 4" xfId="29234" xr:uid="{00000000-0005-0000-0000-00002D720000}"/>
    <cellStyle name="Normal 25 5" xfId="29235" xr:uid="{00000000-0005-0000-0000-00002E720000}"/>
    <cellStyle name="Normal 25 6" xfId="29236" xr:uid="{00000000-0005-0000-0000-00002F720000}"/>
    <cellStyle name="Normal 25 7" xfId="29237" xr:uid="{00000000-0005-0000-0000-000030720000}"/>
    <cellStyle name="Normal 25 8" xfId="29238" xr:uid="{00000000-0005-0000-0000-000031720000}"/>
    <cellStyle name="Normal 25 9" xfId="29239" xr:uid="{00000000-0005-0000-0000-000032720000}"/>
    <cellStyle name="Normal 26" xfId="29240" xr:uid="{00000000-0005-0000-0000-000033720000}"/>
    <cellStyle name="Normal 26 10" xfId="29241" xr:uid="{00000000-0005-0000-0000-000034720000}"/>
    <cellStyle name="Normal 26 11" xfId="29242" xr:uid="{00000000-0005-0000-0000-000035720000}"/>
    <cellStyle name="Normal 26 12" xfId="29243" xr:uid="{00000000-0005-0000-0000-000036720000}"/>
    <cellStyle name="Normal 26 13" xfId="29244" xr:uid="{00000000-0005-0000-0000-000037720000}"/>
    <cellStyle name="Normal 26 14" xfId="29245" xr:uid="{00000000-0005-0000-0000-000038720000}"/>
    <cellStyle name="Normal 26 15" xfId="29246" xr:uid="{00000000-0005-0000-0000-000039720000}"/>
    <cellStyle name="Normal 26 16" xfId="29247" xr:uid="{00000000-0005-0000-0000-00003A720000}"/>
    <cellStyle name="Normal 26 17" xfId="29248" xr:uid="{00000000-0005-0000-0000-00003B720000}"/>
    <cellStyle name="Normal 26 18" xfId="29249" xr:uid="{00000000-0005-0000-0000-00003C720000}"/>
    <cellStyle name="Normal 26 19" xfId="29250" xr:uid="{00000000-0005-0000-0000-00003D720000}"/>
    <cellStyle name="Normal 26 2" xfId="29251" xr:uid="{00000000-0005-0000-0000-00003E720000}"/>
    <cellStyle name="Normal 26 20" xfId="29252" xr:uid="{00000000-0005-0000-0000-00003F720000}"/>
    <cellStyle name="Normal 26 21" xfId="29253" xr:uid="{00000000-0005-0000-0000-000040720000}"/>
    <cellStyle name="Normal 26 22" xfId="29254" xr:uid="{00000000-0005-0000-0000-000041720000}"/>
    <cellStyle name="Normal 26 23" xfId="29255" xr:uid="{00000000-0005-0000-0000-000042720000}"/>
    <cellStyle name="Normal 26 24" xfId="29256" xr:uid="{00000000-0005-0000-0000-000043720000}"/>
    <cellStyle name="Normal 26 25" xfId="29257" xr:uid="{00000000-0005-0000-0000-000044720000}"/>
    <cellStyle name="Normal 26 3" xfId="29258" xr:uid="{00000000-0005-0000-0000-000045720000}"/>
    <cellStyle name="Normal 26 4" xfId="29259" xr:uid="{00000000-0005-0000-0000-000046720000}"/>
    <cellStyle name="Normal 26 5" xfId="29260" xr:uid="{00000000-0005-0000-0000-000047720000}"/>
    <cellStyle name="Normal 26 6" xfId="29261" xr:uid="{00000000-0005-0000-0000-000048720000}"/>
    <cellStyle name="Normal 26 7" xfId="29262" xr:uid="{00000000-0005-0000-0000-000049720000}"/>
    <cellStyle name="Normal 26 8" xfId="29263" xr:uid="{00000000-0005-0000-0000-00004A720000}"/>
    <cellStyle name="Normal 26 9" xfId="29264" xr:uid="{00000000-0005-0000-0000-00004B720000}"/>
    <cellStyle name="Normal 27" xfId="29265" xr:uid="{00000000-0005-0000-0000-00004C720000}"/>
    <cellStyle name="Normal 27 2" xfId="29266" xr:uid="{00000000-0005-0000-0000-00004D720000}"/>
    <cellStyle name="Normal 28" xfId="29267" xr:uid="{00000000-0005-0000-0000-00004E720000}"/>
    <cellStyle name="Normal 28 10" xfId="29268" xr:uid="{00000000-0005-0000-0000-00004F720000}"/>
    <cellStyle name="Normal 28 11" xfId="29269" xr:uid="{00000000-0005-0000-0000-000050720000}"/>
    <cellStyle name="Normal 28 12" xfId="29270" xr:uid="{00000000-0005-0000-0000-000051720000}"/>
    <cellStyle name="Normal 28 13" xfId="29271" xr:uid="{00000000-0005-0000-0000-000052720000}"/>
    <cellStyle name="Normal 28 14" xfId="29272" xr:uid="{00000000-0005-0000-0000-000053720000}"/>
    <cellStyle name="Normal 28 15" xfId="29273" xr:uid="{00000000-0005-0000-0000-000054720000}"/>
    <cellStyle name="Normal 28 16" xfId="29274" xr:uid="{00000000-0005-0000-0000-000055720000}"/>
    <cellStyle name="Normal 28 17" xfId="29275" xr:uid="{00000000-0005-0000-0000-000056720000}"/>
    <cellStyle name="Normal 28 18" xfId="29276" xr:uid="{00000000-0005-0000-0000-000057720000}"/>
    <cellStyle name="Normal 28 19" xfId="29277" xr:uid="{00000000-0005-0000-0000-000058720000}"/>
    <cellStyle name="Normal 28 2" xfId="29278" xr:uid="{00000000-0005-0000-0000-000059720000}"/>
    <cellStyle name="Normal 28 2 2" xfId="29279" xr:uid="{00000000-0005-0000-0000-00005A720000}"/>
    <cellStyle name="Normal 28 2 3" xfId="29280" xr:uid="{00000000-0005-0000-0000-00005B720000}"/>
    <cellStyle name="Normal 28 20" xfId="29281" xr:uid="{00000000-0005-0000-0000-00005C720000}"/>
    <cellStyle name="Normal 28 21" xfId="29282" xr:uid="{00000000-0005-0000-0000-00005D720000}"/>
    <cellStyle name="Normal 28 22" xfId="29283" xr:uid="{00000000-0005-0000-0000-00005E720000}"/>
    <cellStyle name="Normal 28 23" xfId="29284" xr:uid="{00000000-0005-0000-0000-00005F720000}"/>
    <cellStyle name="Normal 28 24" xfId="29285" xr:uid="{00000000-0005-0000-0000-000060720000}"/>
    <cellStyle name="Normal 28 25" xfId="29286" xr:uid="{00000000-0005-0000-0000-000061720000}"/>
    <cellStyle name="Normal 28 26" xfId="29287" xr:uid="{00000000-0005-0000-0000-000062720000}"/>
    <cellStyle name="Normal 28 3" xfId="29288" xr:uid="{00000000-0005-0000-0000-000063720000}"/>
    <cellStyle name="Normal 28 3 2" xfId="29289" xr:uid="{00000000-0005-0000-0000-000064720000}"/>
    <cellStyle name="Normal 28 3 3" xfId="29290" xr:uid="{00000000-0005-0000-0000-000065720000}"/>
    <cellStyle name="Normal 28 4" xfId="29291" xr:uid="{00000000-0005-0000-0000-000066720000}"/>
    <cellStyle name="Normal 28 5" xfId="29292" xr:uid="{00000000-0005-0000-0000-000067720000}"/>
    <cellStyle name="Normal 28 6" xfId="29293" xr:uid="{00000000-0005-0000-0000-000068720000}"/>
    <cellStyle name="Normal 28 7" xfId="29294" xr:uid="{00000000-0005-0000-0000-000069720000}"/>
    <cellStyle name="Normal 28 8" xfId="29295" xr:uid="{00000000-0005-0000-0000-00006A720000}"/>
    <cellStyle name="Normal 28 9" xfId="29296" xr:uid="{00000000-0005-0000-0000-00006B720000}"/>
    <cellStyle name="Normal 29" xfId="29297" xr:uid="{00000000-0005-0000-0000-00006C720000}"/>
    <cellStyle name="Normal 29 10" xfId="29298" xr:uid="{00000000-0005-0000-0000-00006D720000}"/>
    <cellStyle name="Normal 29 11" xfId="29299" xr:uid="{00000000-0005-0000-0000-00006E720000}"/>
    <cellStyle name="Normal 29 12" xfId="29300" xr:uid="{00000000-0005-0000-0000-00006F720000}"/>
    <cellStyle name="Normal 29 13" xfId="29301" xr:uid="{00000000-0005-0000-0000-000070720000}"/>
    <cellStyle name="Normal 29 14" xfId="29302" xr:uid="{00000000-0005-0000-0000-000071720000}"/>
    <cellStyle name="Normal 29 15" xfId="29303" xr:uid="{00000000-0005-0000-0000-000072720000}"/>
    <cellStyle name="Normal 29 16" xfId="29304" xr:uid="{00000000-0005-0000-0000-000073720000}"/>
    <cellStyle name="Normal 29 17" xfId="29305" xr:uid="{00000000-0005-0000-0000-000074720000}"/>
    <cellStyle name="Normal 29 18" xfId="29306" xr:uid="{00000000-0005-0000-0000-000075720000}"/>
    <cellStyle name="Normal 29 19" xfId="29307" xr:uid="{00000000-0005-0000-0000-000076720000}"/>
    <cellStyle name="Normal 29 2" xfId="29308" xr:uid="{00000000-0005-0000-0000-000077720000}"/>
    <cellStyle name="Normal 29 2 2" xfId="29309" xr:uid="{00000000-0005-0000-0000-000078720000}"/>
    <cellStyle name="Normal 29 2 3" xfId="29310" xr:uid="{00000000-0005-0000-0000-000079720000}"/>
    <cellStyle name="Normal 29 20" xfId="29311" xr:uid="{00000000-0005-0000-0000-00007A720000}"/>
    <cellStyle name="Normal 29 21" xfId="29312" xr:uid="{00000000-0005-0000-0000-00007B720000}"/>
    <cellStyle name="Normal 29 22" xfId="29313" xr:uid="{00000000-0005-0000-0000-00007C720000}"/>
    <cellStyle name="Normal 29 23" xfId="29314" xr:uid="{00000000-0005-0000-0000-00007D720000}"/>
    <cellStyle name="Normal 29 24" xfId="29315" xr:uid="{00000000-0005-0000-0000-00007E720000}"/>
    <cellStyle name="Normal 29 25" xfId="29316" xr:uid="{00000000-0005-0000-0000-00007F720000}"/>
    <cellStyle name="Normal 29 26" xfId="29317" xr:uid="{00000000-0005-0000-0000-000080720000}"/>
    <cellStyle name="Normal 29 3" xfId="29318" xr:uid="{00000000-0005-0000-0000-000081720000}"/>
    <cellStyle name="Normal 29 3 2" xfId="29319" xr:uid="{00000000-0005-0000-0000-000082720000}"/>
    <cellStyle name="Normal 29 3 3" xfId="29320" xr:uid="{00000000-0005-0000-0000-000083720000}"/>
    <cellStyle name="Normal 29 4" xfId="29321" xr:uid="{00000000-0005-0000-0000-000084720000}"/>
    <cellStyle name="Normal 29 5" xfId="29322" xr:uid="{00000000-0005-0000-0000-000085720000}"/>
    <cellStyle name="Normal 29 6" xfId="29323" xr:uid="{00000000-0005-0000-0000-000086720000}"/>
    <cellStyle name="Normal 29 7" xfId="29324" xr:uid="{00000000-0005-0000-0000-000087720000}"/>
    <cellStyle name="Normal 29 8" xfId="29325" xr:uid="{00000000-0005-0000-0000-000088720000}"/>
    <cellStyle name="Normal 29 9" xfId="29326" xr:uid="{00000000-0005-0000-0000-000089720000}"/>
    <cellStyle name="Normal 3" xfId="20" xr:uid="{00000000-0005-0000-0000-00008A720000}"/>
    <cellStyle name="Normal 3 10" xfId="29327" xr:uid="{00000000-0005-0000-0000-00008B720000}"/>
    <cellStyle name="Normal 3 10 2" xfId="29328" xr:uid="{00000000-0005-0000-0000-00008C720000}"/>
    <cellStyle name="Normal 3 10 3" xfId="29329" xr:uid="{00000000-0005-0000-0000-00008D720000}"/>
    <cellStyle name="Normal 3 10 4" xfId="29330" xr:uid="{00000000-0005-0000-0000-00008E720000}"/>
    <cellStyle name="Normal 3 10 5" xfId="29331" xr:uid="{00000000-0005-0000-0000-00008F720000}"/>
    <cellStyle name="Normal 3 10 6" xfId="29332" xr:uid="{00000000-0005-0000-0000-000090720000}"/>
    <cellStyle name="Normal 3 10_Enlaces" xfId="29333" xr:uid="{00000000-0005-0000-0000-000091720000}"/>
    <cellStyle name="Normal 3 100" xfId="29334" xr:uid="{00000000-0005-0000-0000-000092720000}"/>
    <cellStyle name="Normal 3 100 2" xfId="29335" xr:uid="{00000000-0005-0000-0000-000093720000}"/>
    <cellStyle name="Normal 3 100 3" xfId="29336" xr:uid="{00000000-0005-0000-0000-000094720000}"/>
    <cellStyle name="Normal 3 101" xfId="29337" xr:uid="{00000000-0005-0000-0000-000095720000}"/>
    <cellStyle name="Normal 3 101 2" xfId="29338" xr:uid="{00000000-0005-0000-0000-000096720000}"/>
    <cellStyle name="Normal 3 101 3" xfId="29339" xr:uid="{00000000-0005-0000-0000-000097720000}"/>
    <cellStyle name="Normal 3 102" xfId="29340" xr:uid="{00000000-0005-0000-0000-000098720000}"/>
    <cellStyle name="Normal 3 102 2" xfId="29341" xr:uid="{00000000-0005-0000-0000-000099720000}"/>
    <cellStyle name="Normal 3 102 3" xfId="29342" xr:uid="{00000000-0005-0000-0000-00009A720000}"/>
    <cellStyle name="Normal 3 103" xfId="29343" xr:uid="{00000000-0005-0000-0000-00009B720000}"/>
    <cellStyle name="Normal 3 103 2" xfId="29344" xr:uid="{00000000-0005-0000-0000-00009C720000}"/>
    <cellStyle name="Normal 3 103 3" xfId="29345" xr:uid="{00000000-0005-0000-0000-00009D720000}"/>
    <cellStyle name="Normal 3 104" xfId="29346" xr:uid="{00000000-0005-0000-0000-00009E720000}"/>
    <cellStyle name="Normal 3 104 2" xfId="29347" xr:uid="{00000000-0005-0000-0000-00009F720000}"/>
    <cellStyle name="Normal 3 104 3" xfId="29348" xr:uid="{00000000-0005-0000-0000-0000A0720000}"/>
    <cellStyle name="Normal 3 105" xfId="29349" xr:uid="{00000000-0005-0000-0000-0000A1720000}"/>
    <cellStyle name="Normal 3 105 2" xfId="29350" xr:uid="{00000000-0005-0000-0000-0000A2720000}"/>
    <cellStyle name="Normal 3 105 3" xfId="29351" xr:uid="{00000000-0005-0000-0000-0000A3720000}"/>
    <cellStyle name="Normal 3 106" xfId="29352" xr:uid="{00000000-0005-0000-0000-0000A4720000}"/>
    <cellStyle name="Normal 3 106 2" xfId="29353" xr:uid="{00000000-0005-0000-0000-0000A5720000}"/>
    <cellStyle name="Normal 3 106 3" xfId="29354" xr:uid="{00000000-0005-0000-0000-0000A6720000}"/>
    <cellStyle name="Normal 3 107" xfId="29355" xr:uid="{00000000-0005-0000-0000-0000A7720000}"/>
    <cellStyle name="Normal 3 107 2" xfId="29356" xr:uid="{00000000-0005-0000-0000-0000A8720000}"/>
    <cellStyle name="Normal 3 107 3" xfId="29357" xr:uid="{00000000-0005-0000-0000-0000A9720000}"/>
    <cellStyle name="Normal 3 108" xfId="29358" xr:uid="{00000000-0005-0000-0000-0000AA720000}"/>
    <cellStyle name="Normal 3 108 2" xfId="29359" xr:uid="{00000000-0005-0000-0000-0000AB720000}"/>
    <cellStyle name="Normal 3 108 3" xfId="29360" xr:uid="{00000000-0005-0000-0000-0000AC720000}"/>
    <cellStyle name="Normal 3 109" xfId="29361" xr:uid="{00000000-0005-0000-0000-0000AD720000}"/>
    <cellStyle name="Normal 3 109 2" xfId="29362" xr:uid="{00000000-0005-0000-0000-0000AE720000}"/>
    <cellStyle name="Normal 3 109 3" xfId="29363" xr:uid="{00000000-0005-0000-0000-0000AF720000}"/>
    <cellStyle name="Normal 3 11" xfId="29364" xr:uid="{00000000-0005-0000-0000-0000B0720000}"/>
    <cellStyle name="Normal 3 11 2" xfId="29365" xr:uid="{00000000-0005-0000-0000-0000B1720000}"/>
    <cellStyle name="Normal 3 11 3" xfId="29366" xr:uid="{00000000-0005-0000-0000-0000B2720000}"/>
    <cellStyle name="Normal 3 11 4" xfId="29367" xr:uid="{00000000-0005-0000-0000-0000B3720000}"/>
    <cellStyle name="Normal 3 11_Enlaces" xfId="29368" xr:uid="{00000000-0005-0000-0000-0000B4720000}"/>
    <cellStyle name="Normal 3 110" xfId="29369" xr:uid="{00000000-0005-0000-0000-0000B5720000}"/>
    <cellStyle name="Normal 3 110 2" xfId="29370" xr:uid="{00000000-0005-0000-0000-0000B6720000}"/>
    <cellStyle name="Normal 3 110 3" xfId="29371" xr:uid="{00000000-0005-0000-0000-0000B7720000}"/>
    <cellStyle name="Normal 3 111" xfId="29372" xr:uid="{00000000-0005-0000-0000-0000B8720000}"/>
    <cellStyle name="Normal 3 111 2" xfId="29373" xr:uid="{00000000-0005-0000-0000-0000B9720000}"/>
    <cellStyle name="Normal 3 111 3" xfId="29374" xr:uid="{00000000-0005-0000-0000-0000BA720000}"/>
    <cellStyle name="Normal 3 112" xfId="29375" xr:uid="{00000000-0005-0000-0000-0000BB720000}"/>
    <cellStyle name="Normal 3 112 2" xfId="29376" xr:uid="{00000000-0005-0000-0000-0000BC720000}"/>
    <cellStyle name="Normal 3 112 3" xfId="29377" xr:uid="{00000000-0005-0000-0000-0000BD720000}"/>
    <cellStyle name="Normal 3 113" xfId="29378" xr:uid="{00000000-0005-0000-0000-0000BE720000}"/>
    <cellStyle name="Normal 3 113 2" xfId="29379" xr:uid="{00000000-0005-0000-0000-0000BF720000}"/>
    <cellStyle name="Normal 3 113 3" xfId="29380" xr:uid="{00000000-0005-0000-0000-0000C0720000}"/>
    <cellStyle name="Normal 3 114" xfId="29381" xr:uid="{00000000-0005-0000-0000-0000C1720000}"/>
    <cellStyle name="Normal 3 114 2" xfId="29382" xr:uid="{00000000-0005-0000-0000-0000C2720000}"/>
    <cellStyle name="Normal 3 114 3" xfId="29383" xr:uid="{00000000-0005-0000-0000-0000C3720000}"/>
    <cellStyle name="Normal 3 115" xfId="29384" xr:uid="{00000000-0005-0000-0000-0000C4720000}"/>
    <cellStyle name="Normal 3 115 2" xfId="29385" xr:uid="{00000000-0005-0000-0000-0000C5720000}"/>
    <cellStyle name="Normal 3 115 3" xfId="29386" xr:uid="{00000000-0005-0000-0000-0000C6720000}"/>
    <cellStyle name="Normal 3 116" xfId="29387" xr:uid="{00000000-0005-0000-0000-0000C7720000}"/>
    <cellStyle name="Normal 3 116 2" xfId="29388" xr:uid="{00000000-0005-0000-0000-0000C8720000}"/>
    <cellStyle name="Normal 3 116 3" xfId="29389" xr:uid="{00000000-0005-0000-0000-0000C9720000}"/>
    <cellStyle name="Normal 3 117" xfId="29390" xr:uid="{00000000-0005-0000-0000-0000CA720000}"/>
    <cellStyle name="Normal 3 117 2" xfId="29391" xr:uid="{00000000-0005-0000-0000-0000CB720000}"/>
    <cellStyle name="Normal 3 117 3" xfId="29392" xr:uid="{00000000-0005-0000-0000-0000CC720000}"/>
    <cellStyle name="Normal 3 118" xfId="29393" xr:uid="{00000000-0005-0000-0000-0000CD720000}"/>
    <cellStyle name="Normal 3 118 2" xfId="29394" xr:uid="{00000000-0005-0000-0000-0000CE720000}"/>
    <cellStyle name="Normal 3 118 3" xfId="29395" xr:uid="{00000000-0005-0000-0000-0000CF720000}"/>
    <cellStyle name="Normal 3 119" xfId="29396" xr:uid="{00000000-0005-0000-0000-0000D0720000}"/>
    <cellStyle name="Normal 3 119 2" xfId="29397" xr:uid="{00000000-0005-0000-0000-0000D1720000}"/>
    <cellStyle name="Normal 3 119 3" xfId="29398" xr:uid="{00000000-0005-0000-0000-0000D2720000}"/>
    <cellStyle name="Normal 3 12" xfId="29399" xr:uid="{00000000-0005-0000-0000-0000D3720000}"/>
    <cellStyle name="Normal 3 12 2" xfId="29400" xr:uid="{00000000-0005-0000-0000-0000D4720000}"/>
    <cellStyle name="Normal 3 12 3" xfId="29401" xr:uid="{00000000-0005-0000-0000-0000D5720000}"/>
    <cellStyle name="Normal 3 12_Enlaces" xfId="29402" xr:uid="{00000000-0005-0000-0000-0000D6720000}"/>
    <cellStyle name="Normal 3 120" xfId="29403" xr:uid="{00000000-0005-0000-0000-0000D7720000}"/>
    <cellStyle name="Normal 3 120 2" xfId="29404" xr:uid="{00000000-0005-0000-0000-0000D8720000}"/>
    <cellStyle name="Normal 3 120 3" xfId="29405" xr:uid="{00000000-0005-0000-0000-0000D9720000}"/>
    <cellStyle name="Normal 3 121" xfId="29406" xr:uid="{00000000-0005-0000-0000-0000DA720000}"/>
    <cellStyle name="Normal 3 121 2" xfId="29407" xr:uid="{00000000-0005-0000-0000-0000DB720000}"/>
    <cellStyle name="Normal 3 121 3" xfId="29408" xr:uid="{00000000-0005-0000-0000-0000DC720000}"/>
    <cellStyle name="Normal 3 122" xfId="29409" xr:uid="{00000000-0005-0000-0000-0000DD720000}"/>
    <cellStyle name="Normal 3 122 2" xfId="29410" xr:uid="{00000000-0005-0000-0000-0000DE720000}"/>
    <cellStyle name="Normal 3 122 3" xfId="29411" xr:uid="{00000000-0005-0000-0000-0000DF720000}"/>
    <cellStyle name="Normal 3 123" xfId="29412" xr:uid="{00000000-0005-0000-0000-0000E0720000}"/>
    <cellStyle name="Normal 3 123 2" xfId="29413" xr:uid="{00000000-0005-0000-0000-0000E1720000}"/>
    <cellStyle name="Normal 3 123 3" xfId="29414" xr:uid="{00000000-0005-0000-0000-0000E2720000}"/>
    <cellStyle name="Normal 3 124" xfId="29415" xr:uid="{00000000-0005-0000-0000-0000E3720000}"/>
    <cellStyle name="Normal 3 125" xfId="29416" xr:uid="{00000000-0005-0000-0000-0000E4720000}"/>
    <cellStyle name="Normal 3 126" xfId="29417" xr:uid="{00000000-0005-0000-0000-0000E5720000}"/>
    <cellStyle name="Normal 3 127" xfId="29418" xr:uid="{00000000-0005-0000-0000-0000E6720000}"/>
    <cellStyle name="Normal 3 128" xfId="29419" xr:uid="{00000000-0005-0000-0000-0000E7720000}"/>
    <cellStyle name="Normal 3 129" xfId="29420" xr:uid="{00000000-0005-0000-0000-0000E8720000}"/>
    <cellStyle name="Normal 3 13" xfId="29421" xr:uid="{00000000-0005-0000-0000-0000E9720000}"/>
    <cellStyle name="Normal 3 13 2" xfId="29422" xr:uid="{00000000-0005-0000-0000-0000EA720000}"/>
    <cellStyle name="Normal 3 13 3" xfId="29423" xr:uid="{00000000-0005-0000-0000-0000EB720000}"/>
    <cellStyle name="Normal 3 13_Enlaces" xfId="29424" xr:uid="{00000000-0005-0000-0000-0000EC720000}"/>
    <cellStyle name="Normal 3 130" xfId="29425" xr:uid="{00000000-0005-0000-0000-0000ED720000}"/>
    <cellStyle name="Normal 3 131" xfId="29426" xr:uid="{00000000-0005-0000-0000-0000EE720000}"/>
    <cellStyle name="Normal 3 131 2" xfId="29427" xr:uid="{00000000-0005-0000-0000-0000EF720000}"/>
    <cellStyle name="Normal 3 132" xfId="29428" xr:uid="{00000000-0005-0000-0000-0000F0720000}"/>
    <cellStyle name="Normal 3 132 2" xfId="29429" xr:uid="{00000000-0005-0000-0000-0000F1720000}"/>
    <cellStyle name="Normal 3 133" xfId="29430" xr:uid="{00000000-0005-0000-0000-0000F2720000}"/>
    <cellStyle name="Normal 3 133 2" xfId="29431" xr:uid="{00000000-0005-0000-0000-0000F3720000}"/>
    <cellStyle name="Normal 3 134" xfId="29432" xr:uid="{00000000-0005-0000-0000-0000F4720000}"/>
    <cellStyle name="Normal 3 134 2" xfId="29433" xr:uid="{00000000-0005-0000-0000-0000F5720000}"/>
    <cellStyle name="Normal 3 135" xfId="29434" xr:uid="{00000000-0005-0000-0000-0000F6720000}"/>
    <cellStyle name="Normal 3 135 2" xfId="29435" xr:uid="{00000000-0005-0000-0000-0000F7720000}"/>
    <cellStyle name="Normal 3 136" xfId="29436" xr:uid="{00000000-0005-0000-0000-0000F8720000}"/>
    <cellStyle name="Normal 3 136 2" xfId="29437" xr:uid="{00000000-0005-0000-0000-0000F9720000}"/>
    <cellStyle name="Normal 3 137" xfId="29438" xr:uid="{00000000-0005-0000-0000-0000FA720000}"/>
    <cellStyle name="Normal 3 137 2" xfId="29439" xr:uid="{00000000-0005-0000-0000-0000FB720000}"/>
    <cellStyle name="Normal 3 138" xfId="29440" xr:uid="{00000000-0005-0000-0000-0000FC720000}"/>
    <cellStyle name="Normal 3 138 2" xfId="29441" xr:uid="{00000000-0005-0000-0000-0000FD720000}"/>
    <cellStyle name="Normal 3 139" xfId="29442" xr:uid="{00000000-0005-0000-0000-0000FE720000}"/>
    <cellStyle name="Normal 3 139 2" xfId="29443" xr:uid="{00000000-0005-0000-0000-0000FF720000}"/>
    <cellStyle name="Normal 3 14" xfId="29444" xr:uid="{00000000-0005-0000-0000-000000730000}"/>
    <cellStyle name="Normal 3 14 2" xfId="29445" xr:uid="{00000000-0005-0000-0000-000001730000}"/>
    <cellStyle name="Normal 3 14 3" xfId="29446" xr:uid="{00000000-0005-0000-0000-000002730000}"/>
    <cellStyle name="Normal 3 14_Enlaces" xfId="29447" xr:uid="{00000000-0005-0000-0000-000003730000}"/>
    <cellStyle name="Normal 3 140" xfId="29448" xr:uid="{00000000-0005-0000-0000-000004730000}"/>
    <cellStyle name="Normal 3 140 2" xfId="29449" xr:uid="{00000000-0005-0000-0000-000005730000}"/>
    <cellStyle name="Normal 3 141" xfId="29450" xr:uid="{00000000-0005-0000-0000-000006730000}"/>
    <cellStyle name="Normal 3 141 2" xfId="29451" xr:uid="{00000000-0005-0000-0000-000007730000}"/>
    <cellStyle name="Normal 3 142" xfId="29452" xr:uid="{00000000-0005-0000-0000-000008730000}"/>
    <cellStyle name="Normal 3 143" xfId="29453" xr:uid="{00000000-0005-0000-0000-000009730000}"/>
    <cellStyle name="Normal 3 143 2" xfId="29454" xr:uid="{00000000-0005-0000-0000-00000A730000}"/>
    <cellStyle name="Normal 3 144" xfId="29455" xr:uid="{00000000-0005-0000-0000-00000B730000}"/>
    <cellStyle name="Normal 3 145" xfId="29456" xr:uid="{00000000-0005-0000-0000-00000C730000}"/>
    <cellStyle name="Normal 3 15" xfId="29457" xr:uid="{00000000-0005-0000-0000-00000D730000}"/>
    <cellStyle name="Normal 3 15 2" xfId="29458" xr:uid="{00000000-0005-0000-0000-00000E730000}"/>
    <cellStyle name="Normal 3 15 3" xfId="29459" xr:uid="{00000000-0005-0000-0000-00000F730000}"/>
    <cellStyle name="Normal 3 15_Enlaces" xfId="29460" xr:uid="{00000000-0005-0000-0000-000010730000}"/>
    <cellStyle name="Normal 3 16" xfId="29461" xr:uid="{00000000-0005-0000-0000-000011730000}"/>
    <cellStyle name="Normal 3 16 2" xfId="29462" xr:uid="{00000000-0005-0000-0000-000012730000}"/>
    <cellStyle name="Normal 3 16 3" xfId="29463" xr:uid="{00000000-0005-0000-0000-000013730000}"/>
    <cellStyle name="Normal 3 16_Enlaces" xfId="29464" xr:uid="{00000000-0005-0000-0000-000014730000}"/>
    <cellStyle name="Normal 3 17" xfId="29465" xr:uid="{00000000-0005-0000-0000-000015730000}"/>
    <cellStyle name="Normal 3 17 2" xfId="29466" xr:uid="{00000000-0005-0000-0000-000016730000}"/>
    <cellStyle name="Normal 3 17 3" xfId="29467" xr:uid="{00000000-0005-0000-0000-000017730000}"/>
    <cellStyle name="Normal 3 17_Enlaces" xfId="29468" xr:uid="{00000000-0005-0000-0000-000018730000}"/>
    <cellStyle name="Normal 3 18" xfId="29469" xr:uid="{00000000-0005-0000-0000-000019730000}"/>
    <cellStyle name="Normal 3 18 2" xfId="29470" xr:uid="{00000000-0005-0000-0000-00001A730000}"/>
    <cellStyle name="Normal 3 18 3" xfId="29471" xr:uid="{00000000-0005-0000-0000-00001B730000}"/>
    <cellStyle name="Normal 3 18_Enlaces" xfId="29472" xr:uid="{00000000-0005-0000-0000-00001C730000}"/>
    <cellStyle name="Normal 3 19" xfId="29473" xr:uid="{00000000-0005-0000-0000-00001D730000}"/>
    <cellStyle name="Normal 3 19 2" xfId="29474" xr:uid="{00000000-0005-0000-0000-00001E730000}"/>
    <cellStyle name="Normal 3 19 3" xfId="29475" xr:uid="{00000000-0005-0000-0000-00001F730000}"/>
    <cellStyle name="Normal 3 19_Enlaces" xfId="29476" xr:uid="{00000000-0005-0000-0000-000020730000}"/>
    <cellStyle name="Normal 3 2" xfId="29477" xr:uid="{00000000-0005-0000-0000-000021730000}"/>
    <cellStyle name="Normal 3 2 10" xfId="29478" xr:uid="{00000000-0005-0000-0000-000022730000}"/>
    <cellStyle name="Normal 3 2 10 2" xfId="29479" xr:uid="{00000000-0005-0000-0000-000023730000}"/>
    <cellStyle name="Normal 3 2 10 3" xfId="29480" xr:uid="{00000000-0005-0000-0000-000024730000}"/>
    <cellStyle name="Normal 3 2 11" xfId="29481" xr:uid="{00000000-0005-0000-0000-000025730000}"/>
    <cellStyle name="Normal 3 2 11 2" xfId="29482" xr:uid="{00000000-0005-0000-0000-000026730000}"/>
    <cellStyle name="Normal 3 2 12" xfId="29483" xr:uid="{00000000-0005-0000-0000-000027730000}"/>
    <cellStyle name="Normal 3 2 12 2" xfId="29484" xr:uid="{00000000-0005-0000-0000-000028730000}"/>
    <cellStyle name="Normal 3 2 13" xfId="29485" xr:uid="{00000000-0005-0000-0000-000029730000}"/>
    <cellStyle name="Normal 3 2 13 2" xfId="29486" xr:uid="{00000000-0005-0000-0000-00002A730000}"/>
    <cellStyle name="Normal 3 2 14" xfId="29487" xr:uid="{00000000-0005-0000-0000-00002B730000}"/>
    <cellStyle name="Normal 3 2 14 2" xfId="29488" xr:uid="{00000000-0005-0000-0000-00002C730000}"/>
    <cellStyle name="Normal 3 2 15" xfId="29489" xr:uid="{00000000-0005-0000-0000-00002D730000}"/>
    <cellStyle name="Normal 3 2 15 2" xfId="29490" xr:uid="{00000000-0005-0000-0000-00002E730000}"/>
    <cellStyle name="Normal 3 2 16" xfId="29491" xr:uid="{00000000-0005-0000-0000-00002F730000}"/>
    <cellStyle name="Normal 3 2 16 2" xfId="29492" xr:uid="{00000000-0005-0000-0000-000030730000}"/>
    <cellStyle name="Normal 3 2 17" xfId="29493" xr:uid="{00000000-0005-0000-0000-000031730000}"/>
    <cellStyle name="Normal 3 2 17 2" xfId="29494" xr:uid="{00000000-0005-0000-0000-000032730000}"/>
    <cellStyle name="Normal 3 2 18" xfId="29495" xr:uid="{00000000-0005-0000-0000-000033730000}"/>
    <cellStyle name="Normal 3 2 18 2" xfId="29496" xr:uid="{00000000-0005-0000-0000-000034730000}"/>
    <cellStyle name="Normal 3 2 19" xfId="29497" xr:uid="{00000000-0005-0000-0000-000035730000}"/>
    <cellStyle name="Normal 3 2 19 2" xfId="29498" xr:uid="{00000000-0005-0000-0000-000036730000}"/>
    <cellStyle name="Normal 3 2 2" xfId="29499" xr:uid="{00000000-0005-0000-0000-000037730000}"/>
    <cellStyle name="Normal 3 2 2 2" xfId="29500" xr:uid="{00000000-0005-0000-0000-000038730000}"/>
    <cellStyle name="Normal 3 2 2 2 2" xfId="29501" xr:uid="{00000000-0005-0000-0000-000039730000}"/>
    <cellStyle name="Normal 3 2 20" xfId="29502" xr:uid="{00000000-0005-0000-0000-00003A730000}"/>
    <cellStyle name="Normal 3 2 20 2" xfId="29503" xr:uid="{00000000-0005-0000-0000-00003B730000}"/>
    <cellStyle name="Normal 3 2 21" xfId="29504" xr:uid="{00000000-0005-0000-0000-00003C730000}"/>
    <cellStyle name="Normal 3 2 21 2" xfId="29505" xr:uid="{00000000-0005-0000-0000-00003D730000}"/>
    <cellStyle name="Normal 3 2 22" xfId="29506" xr:uid="{00000000-0005-0000-0000-00003E730000}"/>
    <cellStyle name="Normal 3 2 22 2" xfId="29507" xr:uid="{00000000-0005-0000-0000-00003F730000}"/>
    <cellStyle name="Normal 3 2 23" xfId="29508" xr:uid="{00000000-0005-0000-0000-000040730000}"/>
    <cellStyle name="Normal 3 2 23 2" xfId="29509" xr:uid="{00000000-0005-0000-0000-000041730000}"/>
    <cellStyle name="Normal 3 2 24" xfId="29510" xr:uid="{00000000-0005-0000-0000-000042730000}"/>
    <cellStyle name="Normal 3 2 24 2" xfId="29511" xr:uid="{00000000-0005-0000-0000-000043730000}"/>
    <cellStyle name="Normal 3 2 25" xfId="29512" xr:uid="{00000000-0005-0000-0000-000044730000}"/>
    <cellStyle name="Normal 3 2 25 2" xfId="29513" xr:uid="{00000000-0005-0000-0000-000045730000}"/>
    <cellStyle name="Normal 3 2 26" xfId="29514" xr:uid="{00000000-0005-0000-0000-000046730000}"/>
    <cellStyle name="Normal 3 2 27" xfId="29515" xr:uid="{00000000-0005-0000-0000-000047730000}"/>
    <cellStyle name="Normal 3 2 28" xfId="29516" xr:uid="{00000000-0005-0000-0000-000048730000}"/>
    <cellStyle name="Normal 3 2 29" xfId="29517" xr:uid="{00000000-0005-0000-0000-000049730000}"/>
    <cellStyle name="Normal 3 2 3" xfId="29518" xr:uid="{00000000-0005-0000-0000-00004A730000}"/>
    <cellStyle name="Normal 3 2 3 2" xfId="29519" xr:uid="{00000000-0005-0000-0000-00004B730000}"/>
    <cellStyle name="Normal 3 2 3 3" xfId="29520" xr:uid="{00000000-0005-0000-0000-00004C730000}"/>
    <cellStyle name="Normal 3 2 30" xfId="29521" xr:uid="{00000000-0005-0000-0000-00004D730000}"/>
    <cellStyle name="Normal 3 2 31" xfId="29522" xr:uid="{00000000-0005-0000-0000-00004E730000}"/>
    <cellStyle name="Normal 3 2 32" xfId="29523" xr:uid="{00000000-0005-0000-0000-00004F730000}"/>
    <cellStyle name="Normal 3 2 33" xfId="29524" xr:uid="{00000000-0005-0000-0000-000050730000}"/>
    <cellStyle name="Normal 3 2 34" xfId="29525" xr:uid="{00000000-0005-0000-0000-000051730000}"/>
    <cellStyle name="Normal 3 2 35" xfId="29526" xr:uid="{00000000-0005-0000-0000-000052730000}"/>
    <cellStyle name="Normal 3 2 36" xfId="29527" xr:uid="{00000000-0005-0000-0000-000053730000}"/>
    <cellStyle name="Normal 3 2 37" xfId="29528" xr:uid="{00000000-0005-0000-0000-000054730000}"/>
    <cellStyle name="Normal 3 2 38" xfId="29529" xr:uid="{00000000-0005-0000-0000-000055730000}"/>
    <cellStyle name="Normal 3 2 39" xfId="29530" xr:uid="{00000000-0005-0000-0000-000056730000}"/>
    <cellStyle name="Normal 3 2 4" xfId="29531" xr:uid="{00000000-0005-0000-0000-000057730000}"/>
    <cellStyle name="Normal 3 2 4 2" xfId="29532" xr:uid="{00000000-0005-0000-0000-000058730000}"/>
    <cellStyle name="Normal 3 2 4 3" xfId="29533" xr:uid="{00000000-0005-0000-0000-000059730000}"/>
    <cellStyle name="Normal 3 2 40" xfId="29534" xr:uid="{00000000-0005-0000-0000-00005A730000}"/>
    <cellStyle name="Normal 3 2 41" xfId="29535" xr:uid="{00000000-0005-0000-0000-00005B730000}"/>
    <cellStyle name="Normal 3 2 42" xfId="29536" xr:uid="{00000000-0005-0000-0000-00005C730000}"/>
    <cellStyle name="Normal 3 2 43" xfId="29537" xr:uid="{00000000-0005-0000-0000-00005D730000}"/>
    <cellStyle name="Normal 3 2 44" xfId="29538" xr:uid="{00000000-0005-0000-0000-00005E730000}"/>
    <cellStyle name="Normal 3 2 45" xfId="29539" xr:uid="{00000000-0005-0000-0000-00005F730000}"/>
    <cellStyle name="Normal 3 2 46" xfId="29540" xr:uid="{00000000-0005-0000-0000-000060730000}"/>
    <cellStyle name="Normal 3 2 47" xfId="29541" xr:uid="{00000000-0005-0000-0000-000061730000}"/>
    <cellStyle name="Normal 3 2 48" xfId="29542" xr:uid="{00000000-0005-0000-0000-000062730000}"/>
    <cellStyle name="Normal 3 2 49" xfId="29543" xr:uid="{00000000-0005-0000-0000-000063730000}"/>
    <cellStyle name="Normal 3 2 5" xfId="29544" xr:uid="{00000000-0005-0000-0000-000064730000}"/>
    <cellStyle name="Normal 3 2 5 2" xfId="29545" xr:uid="{00000000-0005-0000-0000-000065730000}"/>
    <cellStyle name="Normal 3 2 5 3" xfId="29546" xr:uid="{00000000-0005-0000-0000-000066730000}"/>
    <cellStyle name="Normal 3 2 50" xfId="29547" xr:uid="{00000000-0005-0000-0000-000067730000}"/>
    <cellStyle name="Normal 3 2 51" xfId="29548" xr:uid="{00000000-0005-0000-0000-000068730000}"/>
    <cellStyle name="Normal 3 2 52" xfId="29549" xr:uid="{00000000-0005-0000-0000-000069730000}"/>
    <cellStyle name="Normal 3 2 53" xfId="29550" xr:uid="{00000000-0005-0000-0000-00006A730000}"/>
    <cellStyle name="Normal 3 2 54" xfId="29551" xr:uid="{00000000-0005-0000-0000-00006B730000}"/>
    <cellStyle name="Normal 3 2 55" xfId="29552" xr:uid="{00000000-0005-0000-0000-00006C730000}"/>
    <cellStyle name="Normal 3 2 56" xfId="29553" xr:uid="{00000000-0005-0000-0000-00006D730000}"/>
    <cellStyle name="Normal 3 2 57" xfId="29554" xr:uid="{00000000-0005-0000-0000-00006E730000}"/>
    <cellStyle name="Normal 3 2 58" xfId="29555" xr:uid="{00000000-0005-0000-0000-00006F730000}"/>
    <cellStyle name="Normal 3 2 59" xfId="29556" xr:uid="{00000000-0005-0000-0000-000070730000}"/>
    <cellStyle name="Normal 3 2 6" xfId="29557" xr:uid="{00000000-0005-0000-0000-000071730000}"/>
    <cellStyle name="Normal 3 2 6 2" xfId="29558" xr:uid="{00000000-0005-0000-0000-000072730000}"/>
    <cellStyle name="Normal 3 2 6 3" xfId="29559" xr:uid="{00000000-0005-0000-0000-000073730000}"/>
    <cellStyle name="Normal 3 2 60" xfId="29560" xr:uid="{00000000-0005-0000-0000-000074730000}"/>
    <cellStyle name="Normal 3 2 61" xfId="29561" xr:uid="{00000000-0005-0000-0000-000075730000}"/>
    <cellStyle name="Normal 3 2 62" xfId="29562" xr:uid="{00000000-0005-0000-0000-000076730000}"/>
    <cellStyle name="Normal 3 2 63" xfId="29563" xr:uid="{00000000-0005-0000-0000-000077730000}"/>
    <cellStyle name="Normal 3 2 64" xfId="29564" xr:uid="{00000000-0005-0000-0000-000078730000}"/>
    <cellStyle name="Normal 3 2 65" xfId="29565" xr:uid="{00000000-0005-0000-0000-000079730000}"/>
    <cellStyle name="Normal 3 2 66" xfId="29566" xr:uid="{00000000-0005-0000-0000-00007A730000}"/>
    <cellStyle name="Normal 3 2 67" xfId="29567" xr:uid="{00000000-0005-0000-0000-00007B730000}"/>
    <cellStyle name="Normal 3 2 68" xfId="29568" xr:uid="{00000000-0005-0000-0000-00007C730000}"/>
    <cellStyle name="Normal 3 2 69" xfId="29569" xr:uid="{00000000-0005-0000-0000-00007D730000}"/>
    <cellStyle name="Normal 3 2 7" xfId="29570" xr:uid="{00000000-0005-0000-0000-00007E730000}"/>
    <cellStyle name="Normal 3 2 7 2" xfId="29571" xr:uid="{00000000-0005-0000-0000-00007F730000}"/>
    <cellStyle name="Normal 3 2 7 3" xfId="29572" xr:uid="{00000000-0005-0000-0000-000080730000}"/>
    <cellStyle name="Normal 3 2 70" xfId="29573" xr:uid="{00000000-0005-0000-0000-000081730000}"/>
    <cellStyle name="Normal 3 2 71" xfId="29574" xr:uid="{00000000-0005-0000-0000-000082730000}"/>
    <cellStyle name="Normal 3 2 72" xfId="29575" xr:uid="{00000000-0005-0000-0000-000083730000}"/>
    <cellStyle name="Normal 3 2 73" xfId="29576" xr:uid="{00000000-0005-0000-0000-000084730000}"/>
    <cellStyle name="Normal 3 2 74" xfId="29577" xr:uid="{00000000-0005-0000-0000-000085730000}"/>
    <cellStyle name="Normal 3 2 75" xfId="29578" xr:uid="{00000000-0005-0000-0000-000086730000}"/>
    <cellStyle name="Normal 3 2 76" xfId="29579" xr:uid="{00000000-0005-0000-0000-000087730000}"/>
    <cellStyle name="Normal 3 2 77" xfId="29580" xr:uid="{00000000-0005-0000-0000-000088730000}"/>
    <cellStyle name="Normal 3 2 78" xfId="29581" xr:uid="{00000000-0005-0000-0000-000089730000}"/>
    <cellStyle name="Normal 3 2 79" xfId="29582" xr:uid="{00000000-0005-0000-0000-00008A730000}"/>
    <cellStyle name="Normal 3 2 8" xfId="29583" xr:uid="{00000000-0005-0000-0000-00008B730000}"/>
    <cellStyle name="Normal 3 2 8 2" xfId="29584" xr:uid="{00000000-0005-0000-0000-00008C730000}"/>
    <cellStyle name="Normal 3 2 8 3" xfId="29585" xr:uid="{00000000-0005-0000-0000-00008D730000}"/>
    <cellStyle name="Normal 3 2 80" xfId="29586" xr:uid="{00000000-0005-0000-0000-00008E730000}"/>
    <cellStyle name="Normal 3 2 81" xfId="29587" xr:uid="{00000000-0005-0000-0000-00008F730000}"/>
    <cellStyle name="Normal 3 2 82" xfId="29588" xr:uid="{00000000-0005-0000-0000-000090730000}"/>
    <cellStyle name="Normal 3 2 83" xfId="29589" xr:uid="{00000000-0005-0000-0000-000091730000}"/>
    <cellStyle name="Normal 3 2 84" xfId="29590" xr:uid="{00000000-0005-0000-0000-000092730000}"/>
    <cellStyle name="Normal 3 2 85" xfId="29591" xr:uid="{00000000-0005-0000-0000-000093730000}"/>
    <cellStyle name="Normal 3 2 86" xfId="29592" xr:uid="{00000000-0005-0000-0000-000094730000}"/>
    <cellStyle name="Normal 3 2 87" xfId="29593" xr:uid="{00000000-0005-0000-0000-000095730000}"/>
    <cellStyle name="Normal 3 2 88" xfId="29594" xr:uid="{00000000-0005-0000-0000-000096730000}"/>
    <cellStyle name="Normal 3 2 89" xfId="29595" xr:uid="{00000000-0005-0000-0000-000097730000}"/>
    <cellStyle name="Normal 3 2 9" xfId="29596" xr:uid="{00000000-0005-0000-0000-000098730000}"/>
    <cellStyle name="Normal 3 2 9 2" xfId="29597" xr:uid="{00000000-0005-0000-0000-000099730000}"/>
    <cellStyle name="Normal 3 2 9 3" xfId="29598" xr:uid="{00000000-0005-0000-0000-00009A730000}"/>
    <cellStyle name="Normal 3 2 90" xfId="29599" xr:uid="{00000000-0005-0000-0000-00009B730000}"/>
    <cellStyle name="Normal 3 2 91" xfId="29600" xr:uid="{00000000-0005-0000-0000-00009C730000}"/>
    <cellStyle name="Normal 3 2 92" xfId="29601" xr:uid="{00000000-0005-0000-0000-00009D730000}"/>
    <cellStyle name="Normal 3 2 93" xfId="29602" xr:uid="{00000000-0005-0000-0000-00009E730000}"/>
    <cellStyle name="Normal 3 2 94" xfId="29603" xr:uid="{00000000-0005-0000-0000-00009F730000}"/>
    <cellStyle name="Normal 3 2_Xa Parametrización de Usuarios" xfId="29604" xr:uid="{00000000-0005-0000-0000-0000A0730000}"/>
    <cellStyle name="Normal 3 20" xfId="29605" xr:uid="{00000000-0005-0000-0000-0000A1730000}"/>
    <cellStyle name="Normal 3 20 2" xfId="29606" xr:uid="{00000000-0005-0000-0000-0000A2730000}"/>
    <cellStyle name="Normal 3 20 3" xfId="29607" xr:uid="{00000000-0005-0000-0000-0000A3730000}"/>
    <cellStyle name="Normal 3 20_Enlaces" xfId="29608" xr:uid="{00000000-0005-0000-0000-0000A4730000}"/>
    <cellStyle name="Normal 3 21" xfId="29609" xr:uid="{00000000-0005-0000-0000-0000A5730000}"/>
    <cellStyle name="Normal 3 21 2" xfId="29610" xr:uid="{00000000-0005-0000-0000-0000A6730000}"/>
    <cellStyle name="Normal 3 21_Enlaces" xfId="29611" xr:uid="{00000000-0005-0000-0000-0000A7730000}"/>
    <cellStyle name="Normal 3 22" xfId="29612" xr:uid="{00000000-0005-0000-0000-0000A8730000}"/>
    <cellStyle name="Normal 3 22 2" xfId="29613" xr:uid="{00000000-0005-0000-0000-0000A9730000}"/>
    <cellStyle name="Normal 3 22_Enlaces" xfId="29614" xr:uid="{00000000-0005-0000-0000-0000AA730000}"/>
    <cellStyle name="Normal 3 23" xfId="29615" xr:uid="{00000000-0005-0000-0000-0000AB730000}"/>
    <cellStyle name="Normal 3 23 2" xfId="29616" xr:uid="{00000000-0005-0000-0000-0000AC730000}"/>
    <cellStyle name="Normal 3 23_Enlaces" xfId="29617" xr:uid="{00000000-0005-0000-0000-0000AD730000}"/>
    <cellStyle name="Normal 3 24" xfId="29618" xr:uid="{00000000-0005-0000-0000-0000AE730000}"/>
    <cellStyle name="Normal 3 24 2" xfId="29619" xr:uid="{00000000-0005-0000-0000-0000AF730000}"/>
    <cellStyle name="Normal 3 24_Enlaces" xfId="29620" xr:uid="{00000000-0005-0000-0000-0000B0730000}"/>
    <cellStyle name="Normal 3 25" xfId="29621" xr:uid="{00000000-0005-0000-0000-0000B1730000}"/>
    <cellStyle name="Normal 3 25 2" xfId="29622" xr:uid="{00000000-0005-0000-0000-0000B2730000}"/>
    <cellStyle name="Normal 3 25_Enlaces" xfId="29623" xr:uid="{00000000-0005-0000-0000-0000B3730000}"/>
    <cellStyle name="Normal 3 26" xfId="29624" xr:uid="{00000000-0005-0000-0000-0000B4730000}"/>
    <cellStyle name="Normal 3 26 2" xfId="29625" xr:uid="{00000000-0005-0000-0000-0000B5730000}"/>
    <cellStyle name="Normal 3 26_Enlaces" xfId="29626" xr:uid="{00000000-0005-0000-0000-0000B6730000}"/>
    <cellStyle name="Normal 3 27" xfId="29627" xr:uid="{00000000-0005-0000-0000-0000B7730000}"/>
    <cellStyle name="Normal 3 27 2" xfId="29628" xr:uid="{00000000-0005-0000-0000-0000B8730000}"/>
    <cellStyle name="Normal 3 27_Enlaces" xfId="29629" xr:uid="{00000000-0005-0000-0000-0000B9730000}"/>
    <cellStyle name="Normal 3 28" xfId="29630" xr:uid="{00000000-0005-0000-0000-0000BA730000}"/>
    <cellStyle name="Normal 3 29" xfId="29631" xr:uid="{00000000-0005-0000-0000-0000BB730000}"/>
    <cellStyle name="Normal 3 3" xfId="29632" xr:uid="{00000000-0005-0000-0000-0000BC730000}"/>
    <cellStyle name="Normal 3 3 10" xfId="29633" xr:uid="{00000000-0005-0000-0000-0000BD730000}"/>
    <cellStyle name="Normal 3 3 11" xfId="29634" xr:uid="{00000000-0005-0000-0000-0000BE730000}"/>
    <cellStyle name="Normal 3 3 12" xfId="29635" xr:uid="{00000000-0005-0000-0000-0000BF730000}"/>
    <cellStyle name="Normal 3 3 13" xfId="29636" xr:uid="{00000000-0005-0000-0000-0000C0730000}"/>
    <cellStyle name="Normal 3 3 14" xfId="29637" xr:uid="{00000000-0005-0000-0000-0000C1730000}"/>
    <cellStyle name="Normal 3 3 15" xfId="29638" xr:uid="{00000000-0005-0000-0000-0000C2730000}"/>
    <cellStyle name="Normal 3 3 16" xfId="29639" xr:uid="{00000000-0005-0000-0000-0000C3730000}"/>
    <cellStyle name="Normal 3 3 17" xfId="29640" xr:uid="{00000000-0005-0000-0000-0000C4730000}"/>
    <cellStyle name="Normal 3 3 18" xfId="29641" xr:uid="{00000000-0005-0000-0000-0000C5730000}"/>
    <cellStyle name="Normal 3 3 19" xfId="29642" xr:uid="{00000000-0005-0000-0000-0000C6730000}"/>
    <cellStyle name="Normal 3 3 2" xfId="29643" xr:uid="{00000000-0005-0000-0000-0000C7730000}"/>
    <cellStyle name="Normal 3 3 2 2" xfId="29644" xr:uid="{00000000-0005-0000-0000-0000C8730000}"/>
    <cellStyle name="Normal 3 3 2 3" xfId="29645" xr:uid="{00000000-0005-0000-0000-0000C9730000}"/>
    <cellStyle name="Normal 3 3 20" xfId="29646" xr:uid="{00000000-0005-0000-0000-0000CA730000}"/>
    <cellStyle name="Normal 3 3 21" xfId="29647" xr:uid="{00000000-0005-0000-0000-0000CB730000}"/>
    <cellStyle name="Normal 3 3 22" xfId="29648" xr:uid="{00000000-0005-0000-0000-0000CC730000}"/>
    <cellStyle name="Normal 3 3 23" xfId="29649" xr:uid="{00000000-0005-0000-0000-0000CD730000}"/>
    <cellStyle name="Normal 3 3 24" xfId="29650" xr:uid="{00000000-0005-0000-0000-0000CE730000}"/>
    <cellStyle name="Normal 3 3 25" xfId="29651" xr:uid="{00000000-0005-0000-0000-0000CF730000}"/>
    <cellStyle name="Normal 3 3 26" xfId="29652" xr:uid="{00000000-0005-0000-0000-0000D0730000}"/>
    <cellStyle name="Normal 3 3 27" xfId="29653" xr:uid="{00000000-0005-0000-0000-0000D1730000}"/>
    <cellStyle name="Normal 3 3 28" xfId="29654" xr:uid="{00000000-0005-0000-0000-0000D2730000}"/>
    <cellStyle name="Normal 3 3 29" xfId="29655" xr:uid="{00000000-0005-0000-0000-0000D3730000}"/>
    <cellStyle name="Normal 3 3 3" xfId="29656" xr:uid="{00000000-0005-0000-0000-0000D4730000}"/>
    <cellStyle name="Normal 3 3 30" xfId="29657" xr:uid="{00000000-0005-0000-0000-0000D5730000}"/>
    <cellStyle name="Normal 3 3 4" xfId="29658" xr:uid="{00000000-0005-0000-0000-0000D6730000}"/>
    <cellStyle name="Normal 3 3 5" xfId="29659" xr:uid="{00000000-0005-0000-0000-0000D7730000}"/>
    <cellStyle name="Normal 3 3 6" xfId="29660" xr:uid="{00000000-0005-0000-0000-0000D8730000}"/>
    <cellStyle name="Normal 3 3 7" xfId="29661" xr:uid="{00000000-0005-0000-0000-0000D9730000}"/>
    <cellStyle name="Normal 3 3 8" xfId="29662" xr:uid="{00000000-0005-0000-0000-0000DA730000}"/>
    <cellStyle name="Normal 3 3 9" xfId="29663" xr:uid="{00000000-0005-0000-0000-0000DB730000}"/>
    <cellStyle name="Normal 3 3_Enlaces" xfId="29664" xr:uid="{00000000-0005-0000-0000-0000DC730000}"/>
    <cellStyle name="Normal 3 30" xfId="29665" xr:uid="{00000000-0005-0000-0000-0000DD730000}"/>
    <cellStyle name="Normal 3 31" xfId="29666" xr:uid="{00000000-0005-0000-0000-0000DE730000}"/>
    <cellStyle name="Normal 3 32" xfId="29667" xr:uid="{00000000-0005-0000-0000-0000DF730000}"/>
    <cellStyle name="Normal 3 33" xfId="29668" xr:uid="{00000000-0005-0000-0000-0000E0730000}"/>
    <cellStyle name="Normal 3 34" xfId="29669" xr:uid="{00000000-0005-0000-0000-0000E1730000}"/>
    <cellStyle name="Normal 3 35" xfId="29670" xr:uid="{00000000-0005-0000-0000-0000E2730000}"/>
    <cellStyle name="Normal 3 36" xfId="29671" xr:uid="{00000000-0005-0000-0000-0000E3730000}"/>
    <cellStyle name="Normal 3 37" xfId="29672" xr:uid="{00000000-0005-0000-0000-0000E4730000}"/>
    <cellStyle name="Normal 3 38" xfId="29673" xr:uid="{00000000-0005-0000-0000-0000E5730000}"/>
    <cellStyle name="Normal 3 39" xfId="29674" xr:uid="{00000000-0005-0000-0000-0000E6730000}"/>
    <cellStyle name="Normal 3 4" xfId="29675" xr:uid="{00000000-0005-0000-0000-0000E7730000}"/>
    <cellStyle name="Normal 3 4 10" xfId="29676" xr:uid="{00000000-0005-0000-0000-0000E8730000}"/>
    <cellStyle name="Normal 3 4 11" xfId="29677" xr:uid="{00000000-0005-0000-0000-0000E9730000}"/>
    <cellStyle name="Normal 3 4 12" xfId="29678" xr:uid="{00000000-0005-0000-0000-0000EA730000}"/>
    <cellStyle name="Normal 3 4 13" xfId="29679" xr:uid="{00000000-0005-0000-0000-0000EB730000}"/>
    <cellStyle name="Normal 3 4 14" xfId="29680" xr:uid="{00000000-0005-0000-0000-0000EC730000}"/>
    <cellStyle name="Normal 3 4 15" xfId="29681" xr:uid="{00000000-0005-0000-0000-0000ED730000}"/>
    <cellStyle name="Normal 3 4 16" xfId="29682" xr:uid="{00000000-0005-0000-0000-0000EE730000}"/>
    <cellStyle name="Normal 3 4 17" xfId="29683" xr:uid="{00000000-0005-0000-0000-0000EF730000}"/>
    <cellStyle name="Normal 3 4 18" xfId="29684" xr:uid="{00000000-0005-0000-0000-0000F0730000}"/>
    <cellStyle name="Normal 3 4 19" xfId="29685" xr:uid="{00000000-0005-0000-0000-0000F1730000}"/>
    <cellStyle name="Normal 3 4 2" xfId="29686" xr:uid="{00000000-0005-0000-0000-0000F2730000}"/>
    <cellStyle name="Normal 3 4 2 2" xfId="29687" xr:uid="{00000000-0005-0000-0000-0000F3730000}"/>
    <cellStyle name="Normal 3 4 20" xfId="29688" xr:uid="{00000000-0005-0000-0000-0000F4730000}"/>
    <cellStyle name="Normal 3 4 21" xfId="29689" xr:uid="{00000000-0005-0000-0000-0000F5730000}"/>
    <cellStyle name="Normal 3 4 22" xfId="29690" xr:uid="{00000000-0005-0000-0000-0000F6730000}"/>
    <cellStyle name="Normal 3 4 23" xfId="29691" xr:uid="{00000000-0005-0000-0000-0000F7730000}"/>
    <cellStyle name="Normal 3 4 24" xfId="29692" xr:uid="{00000000-0005-0000-0000-0000F8730000}"/>
    <cellStyle name="Normal 3 4 24 2" xfId="29693" xr:uid="{00000000-0005-0000-0000-0000F9730000}"/>
    <cellStyle name="Normal 3 4 3" xfId="29694" xr:uid="{00000000-0005-0000-0000-0000FA730000}"/>
    <cellStyle name="Normal 3 4 4" xfId="29695" xr:uid="{00000000-0005-0000-0000-0000FB730000}"/>
    <cellStyle name="Normal 3 4 5" xfId="29696" xr:uid="{00000000-0005-0000-0000-0000FC730000}"/>
    <cellStyle name="Normal 3 4 6" xfId="29697" xr:uid="{00000000-0005-0000-0000-0000FD730000}"/>
    <cellStyle name="Normal 3 4 7" xfId="29698" xr:uid="{00000000-0005-0000-0000-0000FE730000}"/>
    <cellStyle name="Normal 3 4 8" xfId="29699" xr:uid="{00000000-0005-0000-0000-0000FF730000}"/>
    <cellStyle name="Normal 3 4 9" xfId="29700" xr:uid="{00000000-0005-0000-0000-000000740000}"/>
    <cellStyle name="Normal 3 4_Enlaces" xfId="29701" xr:uid="{00000000-0005-0000-0000-000001740000}"/>
    <cellStyle name="Normal 3 40" xfId="29702" xr:uid="{00000000-0005-0000-0000-000002740000}"/>
    <cellStyle name="Normal 3 41" xfId="29703" xr:uid="{00000000-0005-0000-0000-000003740000}"/>
    <cellStyle name="Normal 3 42" xfId="29704" xr:uid="{00000000-0005-0000-0000-000004740000}"/>
    <cellStyle name="Normal 3 43" xfId="29705" xr:uid="{00000000-0005-0000-0000-000005740000}"/>
    <cellStyle name="Normal 3 44" xfId="29706" xr:uid="{00000000-0005-0000-0000-000006740000}"/>
    <cellStyle name="Normal 3 45" xfId="29707" xr:uid="{00000000-0005-0000-0000-000007740000}"/>
    <cellStyle name="Normal 3 46" xfId="29708" xr:uid="{00000000-0005-0000-0000-000008740000}"/>
    <cellStyle name="Normal 3 47" xfId="29709" xr:uid="{00000000-0005-0000-0000-000009740000}"/>
    <cellStyle name="Normal 3 48" xfId="29710" xr:uid="{00000000-0005-0000-0000-00000A740000}"/>
    <cellStyle name="Normal 3 49" xfId="29711" xr:uid="{00000000-0005-0000-0000-00000B740000}"/>
    <cellStyle name="Normal 3 5" xfId="29712" xr:uid="{00000000-0005-0000-0000-00000C740000}"/>
    <cellStyle name="Normal 3 5 2" xfId="29713" xr:uid="{00000000-0005-0000-0000-00000D740000}"/>
    <cellStyle name="Normal 3 5 3" xfId="29714" xr:uid="{00000000-0005-0000-0000-00000E740000}"/>
    <cellStyle name="Normal 3 5 4" xfId="29715" xr:uid="{00000000-0005-0000-0000-00000F740000}"/>
    <cellStyle name="Normal 3 5_Enlaces" xfId="29716" xr:uid="{00000000-0005-0000-0000-000010740000}"/>
    <cellStyle name="Normal 3 50" xfId="29717" xr:uid="{00000000-0005-0000-0000-000011740000}"/>
    <cellStyle name="Normal 3 51" xfId="29718" xr:uid="{00000000-0005-0000-0000-000012740000}"/>
    <cellStyle name="Normal 3 52" xfId="29719" xr:uid="{00000000-0005-0000-0000-000013740000}"/>
    <cellStyle name="Normal 3 53" xfId="29720" xr:uid="{00000000-0005-0000-0000-000014740000}"/>
    <cellStyle name="Normal 3 54" xfId="29721" xr:uid="{00000000-0005-0000-0000-000015740000}"/>
    <cellStyle name="Normal 3 55" xfId="29722" xr:uid="{00000000-0005-0000-0000-000016740000}"/>
    <cellStyle name="Normal 3 56" xfId="29723" xr:uid="{00000000-0005-0000-0000-000017740000}"/>
    <cellStyle name="Normal 3 57" xfId="29724" xr:uid="{00000000-0005-0000-0000-000018740000}"/>
    <cellStyle name="Normal 3 58" xfId="29725" xr:uid="{00000000-0005-0000-0000-000019740000}"/>
    <cellStyle name="Normal 3 59" xfId="29726" xr:uid="{00000000-0005-0000-0000-00001A740000}"/>
    <cellStyle name="Normal 3 6" xfId="29727" xr:uid="{00000000-0005-0000-0000-00001B740000}"/>
    <cellStyle name="Normal 3 6 2" xfId="29728" xr:uid="{00000000-0005-0000-0000-00001C740000}"/>
    <cellStyle name="Normal 3 6 3" xfId="29729" xr:uid="{00000000-0005-0000-0000-00001D740000}"/>
    <cellStyle name="Normal 3 6 4" xfId="29730" xr:uid="{00000000-0005-0000-0000-00001E740000}"/>
    <cellStyle name="Normal 3 6_Enlaces" xfId="29731" xr:uid="{00000000-0005-0000-0000-00001F740000}"/>
    <cellStyle name="Normal 3 60" xfId="29732" xr:uid="{00000000-0005-0000-0000-000020740000}"/>
    <cellStyle name="Normal 3 61" xfId="29733" xr:uid="{00000000-0005-0000-0000-000021740000}"/>
    <cellStyle name="Normal 3 62" xfId="29734" xr:uid="{00000000-0005-0000-0000-000022740000}"/>
    <cellStyle name="Normal 3 63" xfId="29735" xr:uid="{00000000-0005-0000-0000-000023740000}"/>
    <cellStyle name="Normal 3 64" xfId="29736" xr:uid="{00000000-0005-0000-0000-000024740000}"/>
    <cellStyle name="Normal 3 65" xfId="29737" xr:uid="{00000000-0005-0000-0000-000025740000}"/>
    <cellStyle name="Normal 3 66" xfId="29738" xr:uid="{00000000-0005-0000-0000-000026740000}"/>
    <cellStyle name="Normal 3 67" xfId="29739" xr:uid="{00000000-0005-0000-0000-000027740000}"/>
    <cellStyle name="Normal 3 68" xfId="29740" xr:uid="{00000000-0005-0000-0000-000028740000}"/>
    <cellStyle name="Normal 3 69" xfId="29741" xr:uid="{00000000-0005-0000-0000-000029740000}"/>
    <cellStyle name="Normal 3 7" xfId="29742" xr:uid="{00000000-0005-0000-0000-00002A740000}"/>
    <cellStyle name="Normal 3 7 2" xfId="29743" xr:uid="{00000000-0005-0000-0000-00002B740000}"/>
    <cellStyle name="Normal 3 7 3" xfId="29744" xr:uid="{00000000-0005-0000-0000-00002C740000}"/>
    <cellStyle name="Normal 3 7 4" xfId="29745" xr:uid="{00000000-0005-0000-0000-00002D740000}"/>
    <cellStyle name="Normal 3 7_Enlaces" xfId="29746" xr:uid="{00000000-0005-0000-0000-00002E740000}"/>
    <cellStyle name="Normal 3 70" xfId="29747" xr:uid="{00000000-0005-0000-0000-00002F740000}"/>
    <cellStyle name="Normal 3 71" xfId="29748" xr:uid="{00000000-0005-0000-0000-000030740000}"/>
    <cellStyle name="Normal 3 72" xfId="29749" xr:uid="{00000000-0005-0000-0000-000031740000}"/>
    <cellStyle name="Normal 3 73" xfId="29750" xr:uid="{00000000-0005-0000-0000-000032740000}"/>
    <cellStyle name="Normal 3 74" xfId="29751" xr:uid="{00000000-0005-0000-0000-000033740000}"/>
    <cellStyle name="Normal 3 75" xfId="29752" xr:uid="{00000000-0005-0000-0000-000034740000}"/>
    <cellStyle name="Normal 3 76" xfId="29753" xr:uid="{00000000-0005-0000-0000-000035740000}"/>
    <cellStyle name="Normal 3 77" xfId="29754" xr:uid="{00000000-0005-0000-0000-000036740000}"/>
    <cellStyle name="Normal 3 78" xfId="29755" xr:uid="{00000000-0005-0000-0000-000037740000}"/>
    <cellStyle name="Normal 3 79" xfId="29756" xr:uid="{00000000-0005-0000-0000-000038740000}"/>
    <cellStyle name="Normal 3 8" xfId="29757" xr:uid="{00000000-0005-0000-0000-000039740000}"/>
    <cellStyle name="Normal 3 8 2" xfId="29758" xr:uid="{00000000-0005-0000-0000-00003A740000}"/>
    <cellStyle name="Normal 3 8 3" xfId="29759" xr:uid="{00000000-0005-0000-0000-00003B740000}"/>
    <cellStyle name="Normal 3 8 4" xfId="29760" xr:uid="{00000000-0005-0000-0000-00003C740000}"/>
    <cellStyle name="Normal 3 8_Enlaces" xfId="29761" xr:uid="{00000000-0005-0000-0000-00003D740000}"/>
    <cellStyle name="Normal 3 80" xfId="29762" xr:uid="{00000000-0005-0000-0000-00003E740000}"/>
    <cellStyle name="Normal 3 81" xfId="29763" xr:uid="{00000000-0005-0000-0000-00003F740000}"/>
    <cellStyle name="Normal 3 82" xfId="29764" xr:uid="{00000000-0005-0000-0000-000040740000}"/>
    <cellStyle name="Normal 3 83" xfId="29765" xr:uid="{00000000-0005-0000-0000-000041740000}"/>
    <cellStyle name="Normal 3 84" xfId="29766" xr:uid="{00000000-0005-0000-0000-000042740000}"/>
    <cellStyle name="Normal 3 85" xfId="29767" xr:uid="{00000000-0005-0000-0000-000043740000}"/>
    <cellStyle name="Normal 3 86" xfId="29768" xr:uid="{00000000-0005-0000-0000-000044740000}"/>
    <cellStyle name="Normal 3 87" xfId="29769" xr:uid="{00000000-0005-0000-0000-000045740000}"/>
    <cellStyle name="Normal 3 88" xfId="29770" xr:uid="{00000000-0005-0000-0000-000046740000}"/>
    <cellStyle name="Normal 3 89" xfId="29771" xr:uid="{00000000-0005-0000-0000-000047740000}"/>
    <cellStyle name="Normal 3 9" xfId="29772" xr:uid="{00000000-0005-0000-0000-000048740000}"/>
    <cellStyle name="Normal 3 9 2" xfId="29773" xr:uid="{00000000-0005-0000-0000-000049740000}"/>
    <cellStyle name="Normal 3 9 3" xfId="29774" xr:uid="{00000000-0005-0000-0000-00004A740000}"/>
    <cellStyle name="Normal 3 9 4" xfId="29775" xr:uid="{00000000-0005-0000-0000-00004B740000}"/>
    <cellStyle name="Normal 3 9_Enlaces" xfId="29776" xr:uid="{00000000-0005-0000-0000-00004C740000}"/>
    <cellStyle name="Normal 3 90" xfId="29777" xr:uid="{00000000-0005-0000-0000-00004D740000}"/>
    <cellStyle name="Normal 3 91" xfId="29778" xr:uid="{00000000-0005-0000-0000-00004E740000}"/>
    <cellStyle name="Normal 3 92" xfId="29779" xr:uid="{00000000-0005-0000-0000-00004F740000}"/>
    <cellStyle name="Normal 3 93" xfId="29780" xr:uid="{00000000-0005-0000-0000-000050740000}"/>
    <cellStyle name="Normal 3 94" xfId="29781" xr:uid="{00000000-0005-0000-0000-000051740000}"/>
    <cellStyle name="Normal 3 95" xfId="29782" xr:uid="{00000000-0005-0000-0000-000052740000}"/>
    <cellStyle name="Normal 3 96" xfId="29783" xr:uid="{00000000-0005-0000-0000-000053740000}"/>
    <cellStyle name="Normal 3 97" xfId="29784" xr:uid="{00000000-0005-0000-0000-000054740000}"/>
    <cellStyle name="Normal 3 98" xfId="29785" xr:uid="{00000000-0005-0000-0000-000055740000}"/>
    <cellStyle name="Normal 3 98 2" xfId="29786" xr:uid="{00000000-0005-0000-0000-000056740000}"/>
    <cellStyle name="Normal 3 98 3" xfId="29787" xr:uid="{00000000-0005-0000-0000-000057740000}"/>
    <cellStyle name="Normal 3 98 4" xfId="29788" xr:uid="{00000000-0005-0000-0000-000058740000}"/>
    <cellStyle name="Normal 3 98 5" xfId="29789" xr:uid="{00000000-0005-0000-0000-000059740000}"/>
    <cellStyle name="Normal 3 98 6" xfId="29790" xr:uid="{00000000-0005-0000-0000-00005A740000}"/>
    <cellStyle name="Normal 3 99" xfId="29791" xr:uid="{00000000-0005-0000-0000-00005B740000}"/>
    <cellStyle name="Normal 3 99 2" xfId="29792" xr:uid="{00000000-0005-0000-0000-00005C740000}"/>
    <cellStyle name="Normal 3 99 3" xfId="29793" xr:uid="{00000000-0005-0000-0000-00005D740000}"/>
    <cellStyle name="Normal 3 99 4" xfId="29794" xr:uid="{00000000-0005-0000-0000-00005E740000}"/>
    <cellStyle name="Normal 3 99 5" xfId="29795" xr:uid="{00000000-0005-0000-0000-00005F740000}"/>
    <cellStyle name="Normal 3 99 6" xfId="29796" xr:uid="{00000000-0005-0000-0000-000060740000}"/>
    <cellStyle name="Normal 3_Enlaces" xfId="29797" xr:uid="{00000000-0005-0000-0000-000061740000}"/>
    <cellStyle name="Normal 30" xfId="29798" xr:uid="{00000000-0005-0000-0000-000062740000}"/>
    <cellStyle name="Normal 30 10" xfId="29799" xr:uid="{00000000-0005-0000-0000-000063740000}"/>
    <cellStyle name="Normal 30 11" xfId="29800" xr:uid="{00000000-0005-0000-0000-000064740000}"/>
    <cellStyle name="Normal 30 12" xfId="29801" xr:uid="{00000000-0005-0000-0000-000065740000}"/>
    <cellStyle name="Normal 30 13" xfId="29802" xr:uid="{00000000-0005-0000-0000-000066740000}"/>
    <cellStyle name="Normal 30 14" xfId="29803" xr:uid="{00000000-0005-0000-0000-000067740000}"/>
    <cellStyle name="Normal 30 15" xfId="29804" xr:uid="{00000000-0005-0000-0000-000068740000}"/>
    <cellStyle name="Normal 30 16" xfId="29805" xr:uid="{00000000-0005-0000-0000-000069740000}"/>
    <cellStyle name="Normal 30 17" xfId="29806" xr:uid="{00000000-0005-0000-0000-00006A740000}"/>
    <cellStyle name="Normal 30 18" xfId="29807" xr:uid="{00000000-0005-0000-0000-00006B740000}"/>
    <cellStyle name="Normal 30 19" xfId="29808" xr:uid="{00000000-0005-0000-0000-00006C740000}"/>
    <cellStyle name="Normal 30 2" xfId="29809" xr:uid="{00000000-0005-0000-0000-00006D740000}"/>
    <cellStyle name="Normal 30 2 2" xfId="29810" xr:uid="{00000000-0005-0000-0000-00006E740000}"/>
    <cellStyle name="Normal 30 2 3" xfId="29811" xr:uid="{00000000-0005-0000-0000-00006F740000}"/>
    <cellStyle name="Normal 30 20" xfId="29812" xr:uid="{00000000-0005-0000-0000-000070740000}"/>
    <cellStyle name="Normal 30 21" xfId="29813" xr:uid="{00000000-0005-0000-0000-000071740000}"/>
    <cellStyle name="Normal 30 22" xfId="29814" xr:uid="{00000000-0005-0000-0000-000072740000}"/>
    <cellStyle name="Normal 30 23" xfId="29815" xr:uid="{00000000-0005-0000-0000-000073740000}"/>
    <cellStyle name="Normal 30 24" xfId="29816" xr:uid="{00000000-0005-0000-0000-000074740000}"/>
    <cellStyle name="Normal 30 25" xfId="29817" xr:uid="{00000000-0005-0000-0000-000075740000}"/>
    <cellStyle name="Normal 30 26" xfId="29818" xr:uid="{00000000-0005-0000-0000-000076740000}"/>
    <cellStyle name="Normal 30 3" xfId="29819" xr:uid="{00000000-0005-0000-0000-000077740000}"/>
    <cellStyle name="Normal 30 3 2" xfId="29820" xr:uid="{00000000-0005-0000-0000-000078740000}"/>
    <cellStyle name="Normal 30 3 3" xfId="29821" xr:uid="{00000000-0005-0000-0000-000079740000}"/>
    <cellStyle name="Normal 30 3 4" xfId="29822" xr:uid="{00000000-0005-0000-0000-00007A740000}"/>
    <cellStyle name="Normal 30 3 5" xfId="29823" xr:uid="{00000000-0005-0000-0000-00007B740000}"/>
    <cellStyle name="Normal 30 4" xfId="29824" xr:uid="{00000000-0005-0000-0000-00007C740000}"/>
    <cellStyle name="Normal 30 5" xfId="29825" xr:uid="{00000000-0005-0000-0000-00007D740000}"/>
    <cellStyle name="Normal 30 6" xfId="29826" xr:uid="{00000000-0005-0000-0000-00007E740000}"/>
    <cellStyle name="Normal 30 7" xfId="29827" xr:uid="{00000000-0005-0000-0000-00007F740000}"/>
    <cellStyle name="Normal 30 8" xfId="29828" xr:uid="{00000000-0005-0000-0000-000080740000}"/>
    <cellStyle name="Normal 30 9" xfId="29829" xr:uid="{00000000-0005-0000-0000-000081740000}"/>
    <cellStyle name="Normal 31" xfId="29830" xr:uid="{00000000-0005-0000-0000-000082740000}"/>
    <cellStyle name="Normal 31 10" xfId="29831" xr:uid="{00000000-0005-0000-0000-000083740000}"/>
    <cellStyle name="Normal 31 11" xfId="29832" xr:uid="{00000000-0005-0000-0000-000084740000}"/>
    <cellStyle name="Normal 31 12" xfId="29833" xr:uid="{00000000-0005-0000-0000-000085740000}"/>
    <cellStyle name="Normal 31 13" xfId="29834" xr:uid="{00000000-0005-0000-0000-000086740000}"/>
    <cellStyle name="Normal 31 14" xfId="29835" xr:uid="{00000000-0005-0000-0000-000087740000}"/>
    <cellStyle name="Normal 31 15" xfId="29836" xr:uid="{00000000-0005-0000-0000-000088740000}"/>
    <cellStyle name="Normal 31 16" xfId="29837" xr:uid="{00000000-0005-0000-0000-000089740000}"/>
    <cellStyle name="Normal 31 17" xfId="29838" xr:uid="{00000000-0005-0000-0000-00008A740000}"/>
    <cellStyle name="Normal 31 18" xfId="29839" xr:uid="{00000000-0005-0000-0000-00008B740000}"/>
    <cellStyle name="Normal 31 19" xfId="29840" xr:uid="{00000000-0005-0000-0000-00008C740000}"/>
    <cellStyle name="Normal 31 2" xfId="29841" xr:uid="{00000000-0005-0000-0000-00008D740000}"/>
    <cellStyle name="Normal 31 2 2" xfId="29842" xr:uid="{00000000-0005-0000-0000-00008E740000}"/>
    <cellStyle name="Normal 31 2 3" xfId="29843" xr:uid="{00000000-0005-0000-0000-00008F740000}"/>
    <cellStyle name="Normal 31 20" xfId="29844" xr:uid="{00000000-0005-0000-0000-000090740000}"/>
    <cellStyle name="Normal 31 21" xfId="29845" xr:uid="{00000000-0005-0000-0000-000091740000}"/>
    <cellStyle name="Normal 31 22" xfId="29846" xr:uid="{00000000-0005-0000-0000-000092740000}"/>
    <cellStyle name="Normal 31 23" xfId="29847" xr:uid="{00000000-0005-0000-0000-000093740000}"/>
    <cellStyle name="Normal 31 24" xfId="29848" xr:uid="{00000000-0005-0000-0000-000094740000}"/>
    <cellStyle name="Normal 31 25" xfId="29849" xr:uid="{00000000-0005-0000-0000-000095740000}"/>
    <cellStyle name="Normal 31 26" xfId="29850" xr:uid="{00000000-0005-0000-0000-000096740000}"/>
    <cellStyle name="Normal 31 3" xfId="29851" xr:uid="{00000000-0005-0000-0000-000097740000}"/>
    <cellStyle name="Normal 31 3 2" xfId="29852" xr:uid="{00000000-0005-0000-0000-000098740000}"/>
    <cellStyle name="Normal 31 3 3" xfId="29853" xr:uid="{00000000-0005-0000-0000-000099740000}"/>
    <cellStyle name="Normal 31 4" xfId="29854" xr:uid="{00000000-0005-0000-0000-00009A740000}"/>
    <cellStyle name="Normal 31 5" xfId="29855" xr:uid="{00000000-0005-0000-0000-00009B740000}"/>
    <cellStyle name="Normal 31 6" xfId="29856" xr:uid="{00000000-0005-0000-0000-00009C740000}"/>
    <cellStyle name="Normal 31 7" xfId="29857" xr:uid="{00000000-0005-0000-0000-00009D740000}"/>
    <cellStyle name="Normal 31 8" xfId="29858" xr:uid="{00000000-0005-0000-0000-00009E740000}"/>
    <cellStyle name="Normal 31 9" xfId="29859" xr:uid="{00000000-0005-0000-0000-00009F740000}"/>
    <cellStyle name="Normal 32" xfId="29860" xr:uid="{00000000-0005-0000-0000-0000A0740000}"/>
    <cellStyle name="Normal 32 2" xfId="29861" xr:uid="{00000000-0005-0000-0000-0000A1740000}"/>
    <cellStyle name="Normal 32 3" xfId="29862" xr:uid="{00000000-0005-0000-0000-0000A2740000}"/>
    <cellStyle name="Normal 32 4" xfId="29863" xr:uid="{00000000-0005-0000-0000-0000A3740000}"/>
    <cellStyle name="Normal 32 5" xfId="29864" xr:uid="{00000000-0005-0000-0000-0000A4740000}"/>
    <cellStyle name="Normal 33" xfId="29865" xr:uid="{00000000-0005-0000-0000-0000A5740000}"/>
    <cellStyle name="Normal 33 2" xfId="29866" xr:uid="{00000000-0005-0000-0000-0000A6740000}"/>
    <cellStyle name="Normal 33 3" xfId="29867" xr:uid="{00000000-0005-0000-0000-0000A7740000}"/>
    <cellStyle name="Normal 33 4" xfId="29868" xr:uid="{00000000-0005-0000-0000-0000A8740000}"/>
    <cellStyle name="Normal 33 5" xfId="29869" xr:uid="{00000000-0005-0000-0000-0000A9740000}"/>
    <cellStyle name="Normal 34" xfId="29870" xr:uid="{00000000-0005-0000-0000-0000AA740000}"/>
    <cellStyle name="Normal 34 10" xfId="29871" xr:uid="{00000000-0005-0000-0000-0000AB740000}"/>
    <cellStyle name="Normal 34 11" xfId="29872" xr:uid="{00000000-0005-0000-0000-0000AC740000}"/>
    <cellStyle name="Normal 34 12" xfId="29873" xr:uid="{00000000-0005-0000-0000-0000AD740000}"/>
    <cellStyle name="Normal 34 13" xfId="29874" xr:uid="{00000000-0005-0000-0000-0000AE740000}"/>
    <cellStyle name="Normal 34 14" xfId="29875" xr:uid="{00000000-0005-0000-0000-0000AF740000}"/>
    <cellStyle name="Normal 34 15" xfId="29876" xr:uid="{00000000-0005-0000-0000-0000B0740000}"/>
    <cellStyle name="Normal 34 16" xfId="29877" xr:uid="{00000000-0005-0000-0000-0000B1740000}"/>
    <cellStyle name="Normal 34 17" xfId="29878" xr:uid="{00000000-0005-0000-0000-0000B2740000}"/>
    <cellStyle name="Normal 34 18" xfId="29879" xr:uid="{00000000-0005-0000-0000-0000B3740000}"/>
    <cellStyle name="Normal 34 19" xfId="29880" xr:uid="{00000000-0005-0000-0000-0000B4740000}"/>
    <cellStyle name="Normal 34 2" xfId="29881" xr:uid="{00000000-0005-0000-0000-0000B5740000}"/>
    <cellStyle name="Normal 34 2 2" xfId="29882" xr:uid="{00000000-0005-0000-0000-0000B6740000}"/>
    <cellStyle name="Normal 34 2 3" xfId="29883" xr:uid="{00000000-0005-0000-0000-0000B7740000}"/>
    <cellStyle name="Normal 34 20" xfId="29884" xr:uid="{00000000-0005-0000-0000-0000B8740000}"/>
    <cellStyle name="Normal 34 21" xfId="29885" xr:uid="{00000000-0005-0000-0000-0000B9740000}"/>
    <cellStyle name="Normal 34 22" xfId="29886" xr:uid="{00000000-0005-0000-0000-0000BA740000}"/>
    <cellStyle name="Normal 34 23" xfId="29887" xr:uid="{00000000-0005-0000-0000-0000BB740000}"/>
    <cellStyle name="Normal 34 24" xfId="29888" xr:uid="{00000000-0005-0000-0000-0000BC740000}"/>
    <cellStyle name="Normal 34 25" xfId="29889" xr:uid="{00000000-0005-0000-0000-0000BD740000}"/>
    <cellStyle name="Normal 34 26" xfId="29890" xr:uid="{00000000-0005-0000-0000-0000BE740000}"/>
    <cellStyle name="Normal 34 3" xfId="29891" xr:uid="{00000000-0005-0000-0000-0000BF740000}"/>
    <cellStyle name="Normal 34 3 2" xfId="29892" xr:uid="{00000000-0005-0000-0000-0000C0740000}"/>
    <cellStyle name="Normal 34 3 3" xfId="29893" xr:uid="{00000000-0005-0000-0000-0000C1740000}"/>
    <cellStyle name="Normal 34 3 4" xfId="29894" xr:uid="{00000000-0005-0000-0000-0000C2740000}"/>
    <cellStyle name="Normal 34 3 5" xfId="29895" xr:uid="{00000000-0005-0000-0000-0000C3740000}"/>
    <cellStyle name="Normal 34 4" xfId="29896" xr:uid="{00000000-0005-0000-0000-0000C4740000}"/>
    <cellStyle name="Normal 34 5" xfId="29897" xr:uid="{00000000-0005-0000-0000-0000C5740000}"/>
    <cellStyle name="Normal 34 6" xfId="29898" xr:uid="{00000000-0005-0000-0000-0000C6740000}"/>
    <cellStyle name="Normal 34 7" xfId="29899" xr:uid="{00000000-0005-0000-0000-0000C7740000}"/>
    <cellStyle name="Normal 34 8" xfId="29900" xr:uid="{00000000-0005-0000-0000-0000C8740000}"/>
    <cellStyle name="Normal 34 9" xfId="29901" xr:uid="{00000000-0005-0000-0000-0000C9740000}"/>
    <cellStyle name="Normal 35" xfId="29902" xr:uid="{00000000-0005-0000-0000-0000CA740000}"/>
    <cellStyle name="Normal 35 10" xfId="29903" xr:uid="{00000000-0005-0000-0000-0000CB740000}"/>
    <cellStyle name="Normal 35 11" xfId="29904" xr:uid="{00000000-0005-0000-0000-0000CC740000}"/>
    <cellStyle name="Normal 35 12" xfId="29905" xr:uid="{00000000-0005-0000-0000-0000CD740000}"/>
    <cellStyle name="Normal 35 13" xfId="29906" xr:uid="{00000000-0005-0000-0000-0000CE740000}"/>
    <cellStyle name="Normal 35 14" xfId="29907" xr:uid="{00000000-0005-0000-0000-0000CF740000}"/>
    <cellStyle name="Normal 35 15" xfId="29908" xr:uid="{00000000-0005-0000-0000-0000D0740000}"/>
    <cellStyle name="Normal 35 16" xfId="29909" xr:uid="{00000000-0005-0000-0000-0000D1740000}"/>
    <cellStyle name="Normal 35 17" xfId="29910" xr:uid="{00000000-0005-0000-0000-0000D2740000}"/>
    <cellStyle name="Normal 35 18" xfId="29911" xr:uid="{00000000-0005-0000-0000-0000D3740000}"/>
    <cellStyle name="Normal 35 19" xfId="29912" xr:uid="{00000000-0005-0000-0000-0000D4740000}"/>
    <cellStyle name="Normal 35 2" xfId="29913" xr:uid="{00000000-0005-0000-0000-0000D5740000}"/>
    <cellStyle name="Normal 35 2 2" xfId="29914" xr:uid="{00000000-0005-0000-0000-0000D6740000}"/>
    <cellStyle name="Normal 35 2 3" xfId="29915" xr:uid="{00000000-0005-0000-0000-0000D7740000}"/>
    <cellStyle name="Normal 35 20" xfId="29916" xr:uid="{00000000-0005-0000-0000-0000D8740000}"/>
    <cellStyle name="Normal 35 21" xfId="29917" xr:uid="{00000000-0005-0000-0000-0000D9740000}"/>
    <cellStyle name="Normal 35 22" xfId="29918" xr:uid="{00000000-0005-0000-0000-0000DA740000}"/>
    <cellStyle name="Normal 35 23" xfId="29919" xr:uid="{00000000-0005-0000-0000-0000DB740000}"/>
    <cellStyle name="Normal 35 24" xfId="29920" xr:uid="{00000000-0005-0000-0000-0000DC740000}"/>
    <cellStyle name="Normal 35 25" xfId="29921" xr:uid="{00000000-0005-0000-0000-0000DD740000}"/>
    <cellStyle name="Normal 35 3" xfId="29922" xr:uid="{00000000-0005-0000-0000-0000DE740000}"/>
    <cellStyle name="Normal 35 3 2" xfId="29923" xr:uid="{00000000-0005-0000-0000-0000DF740000}"/>
    <cellStyle name="Normal 35 3 3" xfId="29924" xr:uid="{00000000-0005-0000-0000-0000E0740000}"/>
    <cellStyle name="Normal 35 3 4" xfId="29925" xr:uid="{00000000-0005-0000-0000-0000E1740000}"/>
    <cellStyle name="Normal 35 3 5" xfId="29926" xr:uid="{00000000-0005-0000-0000-0000E2740000}"/>
    <cellStyle name="Normal 35 4" xfId="29927" xr:uid="{00000000-0005-0000-0000-0000E3740000}"/>
    <cellStyle name="Normal 35 5" xfId="29928" xr:uid="{00000000-0005-0000-0000-0000E4740000}"/>
    <cellStyle name="Normal 35 6" xfId="29929" xr:uid="{00000000-0005-0000-0000-0000E5740000}"/>
    <cellStyle name="Normal 35 7" xfId="29930" xr:uid="{00000000-0005-0000-0000-0000E6740000}"/>
    <cellStyle name="Normal 35 8" xfId="29931" xr:uid="{00000000-0005-0000-0000-0000E7740000}"/>
    <cellStyle name="Normal 35 9" xfId="29932" xr:uid="{00000000-0005-0000-0000-0000E8740000}"/>
    <cellStyle name="Normal 36" xfId="29933" xr:uid="{00000000-0005-0000-0000-0000E9740000}"/>
    <cellStyle name="Normal 36 2" xfId="29934" xr:uid="{00000000-0005-0000-0000-0000EA740000}"/>
    <cellStyle name="Normal 36 3" xfId="29935" xr:uid="{00000000-0005-0000-0000-0000EB740000}"/>
    <cellStyle name="Normal 36 4" xfId="29936" xr:uid="{00000000-0005-0000-0000-0000EC740000}"/>
    <cellStyle name="Normal 37" xfId="29937" xr:uid="{00000000-0005-0000-0000-0000ED740000}"/>
    <cellStyle name="Normal 37 10" xfId="29938" xr:uid="{00000000-0005-0000-0000-0000EE740000}"/>
    <cellStyle name="Normal 37 11" xfId="29939" xr:uid="{00000000-0005-0000-0000-0000EF740000}"/>
    <cellStyle name="Normal 37 12" xfId="29940" xr:uid="{00000000-0005-0000-0000-0000F0740000}"/>
    <cellStyle name="Normal 37 13" xfId="29941" xr:uid="{00000000-0005-0000-0000-0000F1740000}"/>
    <cellStyle name="Normal 37 14" xfId="29942" xr:uid="{00000000-0005-0000-0000-0000F2740000}"/>
    <cellStyle name="Normal 37 15" xfId="29943" xr:uid="{00000000-0005-0000-0000-0000F3740000}"/>
    <cellStyle name="Normal 37 16" xfId="29944" xr:uid="{00000000-0005-0000-0000-0000F4740000}"/>
    <cellStyle name="Normal 37 17" xfId="29945" xr:uid="{00000000-0005-0000-0000-0000F5740000}"/>
    <cellStyle name="Normal 37 18" xfId="29946" xr:uid="{00000000-0005-0000-0000-0000F6740000}"/>
    <cellStyle name="Normal 37 19" xfId="29947" xr:uid="{00000000-0005-0000-0000-0000F7740000}"/>
    <cellStyle name="Normal 37 2" xfId="29948" xr:uid="{00000000-0005-0000-0000-0000F8740000}"/>
    <cellStyle name="Normal 37 2 2" xfId="29949" xr:uid="{00000000-0005-0000-0000-0000F9740000}"/>
    <cellStyle name="Normal 37 20" xfId="29950" xr:uid="{00000000-0005-0000-0000-0000FA740000}"/>
    <cellStyle name="Normal 37 21" xfId="29951" xr:uid="{00000000-0005-0000-0000-0000FB740000}"/>
    <cellStyle name="Normal 37 22" xfId="29952" xr:uid="{00000000-0005-0000-0000-0000FC740000}"/>
    <cellStyle name="Normal 37 23" xfId="29953" xr:uid="{00000000-0005-0000-0000-0000FD740000}"/>
    <cellStyle name="Normal 37 24" xfId="29954" xr:uid="{00000000-0005-0000-0000-0000FE740000}"/>
    <cellStyle name="Normal 37 25" xfId="29955" xr:uid="{00000000-0005-0000-0000-0000FF740000}"/>
    <cellStyle name="Normal 37 26" xfId="29956" xr:uid="{00000000-0005-0000-0000-000000750000}"/>
    <cellStyle name="Normal 37 3" xfId="29957" xr:uid="{00000000-0005-0000-0000-000001750000}"/>
    <cellStyle name="Normal 37 3 2" xfId="29958" xr:uid="{00000000-0005-0000-0000-000002750000}"/>
    <cellStyle name="Normal 37 4" xfId="29959" xr:uid="{00000000-0005-0000-0000-000003750000}"/>
    <cellStyle name="Normal 37 4 2" xfId="29960" xr:uid="{00000000-0005-0000-0000-000004750000}"/>
    <cellStyle name="Normal 37 5" xfId="29961" xr:uid="{00000000-0005-0000-0000-000005750000}"/>
    <cellStyle name="Normal 37 5 2" xfId="29962" xr:uid="{00000000-0005-0000-0000-000006750000}"/>
    <cellStyle name="Normal 37 6" xfId="29963" xr:uid="{00000000-0005-0000-0000-000007750000}"/>
    <cellStyle name="Normal 37 7" xfId="29964" xr:uid="{00000000-0005-0000-0000-000008750000}"/>
    <cellStyle name="Normal 37 8" xfId="29965" xr:uid="{00000000-0005-0000-0000-000009750000}"/>
    <cellStyle name="Normal 37 9" xfId="29966" xr:uid="{00000000-0005-0000-0000-00000A750000}"/>
    <cellStyle name="Normal 38" xfId="29967" xr:uid="{00000000-0005-0000-0000-00000B750000}"/>
    <cellStyle name="Normal 38 10" xfId="29968" xr:uid="{00000000-0005-0000-0000-00000C750000}"/>
    <cellStyle name="Normal 38 11" xfId="29969" xr:uid="{00000000-0005-0000-0000-00000D750000}"/>
    <cellStyle name="Normal 38 12" xfId="29970" xr:uid="{00000000-0005-0000-0000-00000E750000}"/>
    <cellStyle name="Normal 38 13" xfId="29971" xr:uid="{00000000-0005-0000-0000-00000F750000}"/>
    <cellStyle name="Normal 38 14" xfId="29972" xr:uid="{00000000-0005-0000-0000-000010750000}"/>
    <cellStyle name="Normal 38 15" xfId="29973" xr:uid="{00000000-0005-0000-0000-000011750000}"/>
    <cellStyle name="Normal 38 16" xfId="29974" xr:uid="{00000000-0005-0000-0000-000012750000}"/>
    <cellStyle name="Normal 38 17" xfId="29975" xr:uid="{00000000-0005-0000-0000-000013750000}"/>
    <cellStyle name="Normal 38 18" xfId="29976" xr:uid="{00000000-0005-0000-0000-000014750000}"/>
    <cellStyle name="Normal 38 19" xfId="29977" xr:uid="{00000000-0005-0000-0000-000015750000}"/>
    <cellStyle name="Normal 38 2" xfId="29978" xr:uid="{00000000-0005-0000-0000-000016750000}"/>
    <cellStyle name="Normal 38 2 2" xfId="29979" xr:uid="{00000000-0005-0000-0000-000017750000}"/>
    <cellStyle name="Normal 38 20" xfId="29980" xr:uid="{00000000-0005-0000-0000-000018750000}"/>
    <cellStyle name="Normal 38 21" xfId="29981" xr:uid="{00000000-0005-0000-0000-000019750000}"/>
    <cellStyle name="Normal 38 22" xfId="29982" xr:uid="{00000000-0005-0000-0000-00001A750000}"/>
    <cellStyle name="Normal 38 23" xfId="29983" xr:uid="{00000000-0005-0000-0000-00001B750000}"/>
    <cellStyle name="Normal 38 24" xfId="29984" xr:uid="{00000000-0005-0000-0000-00001C750000}"/>
    <cellStyle name="Normal 38 25" xfId="29985" xr:uid="{00000000-0005-0000-0000-00001D750000}"/>
    <cellStyle name="Normal 38 26" xfId="29986" xr:uid="{00000000-0005-0000-0000-00001E750000}"/>
    <cellStyle name="Normal 38 3" xfId="29987" xr:uid="{00000000-0005-0000-0000-00001F750000}"/>
    <cellStyle name="Normal 38 3 2" xfId="29988" xr:uid="{00000000-0005-0000-0000-000020750000}"/>
    <cellStyle name="Normal 38 4" xfId="29989" xr:uid="{00000000-0005-0000-0000-000021750000}"/>
    <cellStyle name="Normal 38 4 2" xfId="29990" xr:uid="{00000000-0005-0000-0000-000022750000}"/>
    <cellStyle name="Normal 38 5" xfId="29991" xr:uid="{00000000-0005-0000-0000-000023750000}"/>
    <cellStyle name="Normal 38 5 2" xfId="29992" xr:uid="{00000000-0005-0000-0000-000024750000}"/>
    <cellStyle name="Normal 38 6" xfId="29993" xr:uid="{00000000-0005-0000-0000-000025750000}"/>
    <cellStyle name="Normal 38 7" xfId="29994" xr:uid="{00000000-0005-0000-0000-000026750000}"/>
    <cellStyle name="Normal 38 8" xfId="29995" xr:uid="{00000000-0005-0000-0000-000027750000}"/>
    <cellStyle name="Normal 38 9" xfId="29996" xr:uid="{00000000-0005-0000-0000-000028750000}"/>
    <cellStyle name="Normal 39" xfId="29997" xr:uid="{00000000-0005-0000-0000-000029750000}"/>
    <cellStyle name="Normal 39 10" xfId="29998" xr:uid="{00000000-0005-0000-0000-00002A750000}"/>
    <cellStyle name="Normal 39 11" xfId="29999" xr:uid="{00000000-0005-0000-0000-00002B750000}"/>
    <cellStyle name="Normal 39 12" xfId="30000" xr:uid="{00000000-0005-0000-0000-00002C750000}"/>
    <cellStyle name="Normal 39 13" xfId="30001" xr:uid="{00000000-0005-0000-0000-00002D750000}"/>
    <cellStyle name="Normal 39 14" xfId="30002" xr:uid="{00000000-0005-0000-0000-00002E750000}"/>
    <cellStyle name="Normal 39 15" xfId="30003" xr:uid="{00000000-0005-0000-0000-00002F750000}"/>
    <cellStyle name="Normal 39 16" xfId="30004" xr:uid="{00000000-0005-0000-0000-000030750000}"/>
    <cellStyle name="Normal 39 17" xfId="30005" xr:uid="{00000000-0005-0000-0000-000031750000}"/>
    <cellStyle name="Normal 39 18" xfId="30006" xr:uid="{00000000-0005-0000-0000-000032750000}"/>
    <cellStyle name="Normal 39 19" xfId="30007" xr:uid="{00000000-0005-0000-0000-000033750000}"/>
    <cellStyle name="Normal 39 2" xfId="30008" xr:uid="{00000000-0005-0000-0000-000034750000}"/>
    <cellStyle name="Normal 39 2 2" xfId="30009" xr:uid="{00000000-0005-0000-0000-000035750000}"/>
    <cellStyle name="Normal 39 20" xfId="30010" xr:uid="{00000000-0005-0000-0000-000036750000}"/>
    <cellStyle name="Normal 39 21" xfId="30011" xr:uid="{00000000-0005-0000-0000-000037750000}"/>
    <cellStyle name="Normal 39 22" xfId="30012" xr:uid="{00000000-0005-0000-0000-000038750000}"/>
    <cellStyle name="Normal 39 23" xfId="30013" xr:uid="{00000000-0005-0000-0000-000039750000}"/>
    <cellStyle name="Normal 39 24" xfId="30014" xr:uid="{00000000-0005-0000-0000-00003A750000}"/>
    <cellStyle name="Normal 39 25" xfId="30015" xr:uid="{00000000-0005-0000-0000-00003B750000}"/>
    <cellStyle name="Normal 39 26" xfId="30016" xr:uid="{00000000-0005-0000-0000-00003C750000}"/>
    <cellStyle name="Normal 39 3" xfId="30017" xr:uid="{00000000-0005-0000-0000-00003D750000}"/>
    <cellStyle name="Normal 39 3 2" xfId="30018" xr:uid="{00000000-0005-0000-0000-00003E750000}"/>
    <cellStyle name="Normal 39 4" xfId="30019" xr:uid="{00000000-0005-0000-0000-00003F750000}"/>
    <cellStyle name="Normal 39 4 2" xfId="30020" xr:uid="{00000000-0005-0000-0000-000040750000}"/>
    <cellStyle name="Normal 39 5" xfId="30021" xr:uid="{00000000-0005-0000-0000-000041750000}"/>
    <cellStyle name="Normal 39 5 2" xfId="30022" xr:uid="{00000000-0005-0000-0000-000042750000}"/>
    <cellStyle name="Normal 39 6" xfId="30023" xr:uid="{00000000-0005-0000-0000-000043750000}"/>
    <cellStyle name="Normal 39 7" xfId="30024" xr:uid="{00000000-0005-0000-0000-000044750000}"/>
    <cellStyle name="Normal 39 8" xfId="30025" xr:uid="{00000000-0005-0000-0000-000045750000}"/>
    <cellStyle name="Normal 39 9" xfId="30026" xr:uid="{00000000-0005-0000-0000-000046750000}"/>
    <cellStyle name="Normal 4" xfId="21" xr:uid="{00000000-0005-0000-0000-000047750000}"/>
    <cellStyle name="Normal 4 10" xfId="30027" xr:uid="{00000000-0005-0000-0000-000048750000}"/>
    <cellStyle name="Normal 4 10 2" xfId="30028" xr:uid="{00000000-0005-0000-0000-000049750000}"/>
    <cellStyle name="Normal 4 10 3" xfId="30029" xr:uid="{00000000-0005-0000-0000-00004A750000}"/>
    <cellStyle name="Normal 4 10 4" xfId="30030" xr:uid="{00000000-0005-0000-0000-00004B750000}"/>
    <cellStyle name="Normal 4 10 5" xfId="30031" xr:uid="{00000000-0005-0000-0000-00004C750000}"/>
    <cellStyle name="Normal 4 10_Enlaces" xfId="30032" xr:uid="{00000000-0005-0000-0000-00004D750000}"/>
    <cellStyle name="Normal 4 100" xfId="30033" xr:uid="{00000000-0005-0000-0000-00004E750000}"/>
    <cellStyle name="Normal 4 100 2" xfId="30034" xr:uid="{00000000-0005-0000-0000-00004F750000}"/>
    <cellStyle name="Normal 4 100 3" xfId="30035" xr:uid="{00000000-0005-0000-0000-000050750000}"/>
    <cellStyle name="Normal 4 101" xfId="30036" xr:uid="{00000000-0005-0000-0000-000051750000}"/>
    <cellStyle name="Normal 4 101 2" xfId="30037" xr:uid="{00000000-0005-0000-0000-000052750000}"/>
    <cellStyle name="Normal 4 101 3" xfId="30038" xr:uid="{00000000-0005-0000-0000-000053750000}"/>
    <cellStyle name="Normal 4 102" xfId="30039" xr:uid="{00000000-0005-0000-0000-000054750000}"/>
    <cellStyle name="Normal 4 102 2" xfId="30040" xr:uid="{00000000-0005-0000-0000-000055750000}"/>
    <cellStyle name="Normal 4 102 3" xfId="30041" xr:uid="{00000000-0005-0000-0000-000056750000}"/>
    <cellStyle name="Normal 4 103" xfId="30042" xr:uid="{00000000-0005-0000-0000-000057750000}"/>
    <cellStyle name="Normal 4 103 2" xfId="30043" xr:uid="{00000000-0005-0000-0000-000058750000}"/>
    <cellStyle name="Normal 4 103 3" xfId="30044" xr:uid="{00000000-0005-0000-0000-000059750000}"/>
    <cellStyle name="Normal 4 104" xfId="30045" xr:uid="{00000000-0005-0000-0000-00005A750000}"/>
    <cellStyle name="Normal 4 104 2" xfId="30046" xr:uid="{00000000-0005-0000-0000-00005B750000}"/>
    <cellStyle name="Normal 4 104 3" xfId="30047" xr:uid="{00000000-0005-0000-0000-00005C750000}"/>
    <cellStyle name="Normal 4 105" xfId="30048" xr:uid="{00000000-0005-0000-0000-00005D750000}"/>
    <cellStyle name="Normal 4 105 2" xfId="30049" xr:uid="{00000000-0005-0000-0000-00005E750000}"/>
    <cellStyle name="Normal 4 105 3" xfId="30050" xr:uid="{00000000-0005-0000-0000-00005F750000}"/>
    <cellStyle name="Normal 4 106" xfId="30051" xr:uid="{00000000-0005-0000-0000-000060750000}"/>
    <cellStyle name="Normal 4 106 2" xfId="30052" xr:uid="{00000000-0005-0000-0000-000061750000}"/>
    <cellStyle name="Normal 4 106 3" xfId="30053" xr:uid="{00000000-0005-0000-0000-000062750000}"/>
    <cellStyle name="Normal 4 107" xfId="30054" xr:uid="{00000000-0005-0000-0000-000063750000}"/>
    <cellStyle name="Normal 4 107 2" xfId="30055" xr:uid="{00000000-0005-0000-0000-000064750000}"/>
    <cellStyle name="Normal 4 107 3" xfId="30056" xr:uid="{00000000-0005-0000-0000-000065750000}"/>
    <cellStyle name="Normal 4 108" xfId="30057" xr:uid="{00000000-0005-0000-0000-000066750000}"/>
    <cellStyle name="Normal 4 108 2" xfId="30058" xr:uid="{00000000-0005-0000-0000-000067750000}"/>
    <cellStyle name="Normal 4 108 3" xfId="30059" xr:uid="{00000000-0005-0000-0000-000068750000}"/>
    <cellStyle name="Normal 4 109" xfId="30060" xr:uid="{00000000-0005-0000-0000-000069750000}"/>
    <cellStyle name="Normal 4 109 2" xfId="30061" xr:uid="{00000000-0005-0000-0000-00006A750000}"/>
    <cellStyle name="Normal 4 109 3" xfId="30062" xr:uid="{00000000-0005-0000-0000-00006B750000}"/>
    <cellStyle name="Normal 4 11" xfId="30063" xr:uid="{00000000-0005-0000-0000-00006C750000}"/>
    <cellStyle name="Normal 4 11 2" xfId="30064" xr:uid="{00000000-0005-0000-0000-00006D750000}"/>
    <cellStyle name="Normal 4 11 3" xfId="30065" xr:uid="{00000000-0005-0000-0000-00006E750000}"/>
    <cellStyle name="Normal 4 11 4" xfId="30066" xr:uid="{00000000-0005-0000-0000-00006F750000}"/>
    <cellStyle name="Normal 4 11 5" xfId="30067" xr:uid="{00000000-0005-0000-0000-000070750000}"/>
    <cellStyle name="Normal 4 11_Enlaces" xfId="30068" xr:uid="{00000000-0005-0000-0000-000071750000}"/>
    <cellStyle name="Normal 4 110" xfId="30069" xr:uid="{00000000-0005-0000-0000-000072750000}"/>
    <cellStyle name="Normal 4 110 2" xfId="30070" xr:uid="{00000000-0005-0000-0000-000073750000}"/>
    <cellStyle name="Normal 4 110 3" xfId="30071" xr:uid="{00000000-0005-0000-0000-000074750000}"/>
    <cellStyle name="Normal 4 111" xfId="30072" xr:uid="{00000000-0005-0000-0000-000075750000}"/>
    <cellStyle name="Normal 4 111 2" xfId="30073" xr:uid="{00000000-0005-0000-0000-000076750000}"/>
    <cellStyle name="Normal 4 111 3" xfId="30074" xr:uid="{00000000-0005-0000-0000-000077750000}"/>
    <cellStyle name="Normal 4 112" xfId="30075" xr:uid="{00000000-0005-0000-0000-000078750000}"/>
    <cellStyle name="Normal 4 112 2" xfId="30076" xr:uid="{00000000-0005-0000-0000-000079750000}"/>
    <cellStyle name="Normal 4 112 3" xfId="30077" xr:uid="{00000000-0005-0000-0000-00007A750000}"/>
    <cellStyle name="Normal 4 113" xfId="30078" xr:uid="{00000000-0005-0000-0000-00007B750000}"/>
    <cellStyle name="Normal 4 113 2" xfId="30079" xr:uid="{00000000-0005-0000-0000-00007C750000}"/>
    <cellStyle name="Normal 4 113 3" xfId="30080" xr:uid="{00000000-0005-0000-0000-00007D750000}"/>
    <cellStyle name="Normal 4 114" xfId="30081" xr:uid="{00000000-0005-0000-0000-00007E750000}"/>
    <cellStyle name="Normal 4 114 2" xfId="30082" xr:uid="{00000000-0005-0000-0000-00007F750000}"/>
    <cellStyle name="Normal 4 114 3" xfId="30083" xr:uid="{00000000-0005-0000-0000-000080750000}"/>
    <cellStyle name="Normal 4 115" xfId="30084" xr:uid="{00000000-0005-0000-0000-000081750000}"/>
    <cellStyle name="Normal 4 115 2" xfId="30085" xr:uid="{00000000-0005-0000-0000-000082750000}"/>
    <cellStyle name="Normal 4 115 3" xfId="30086" xr:uid="{00000000-0005-0000-0000-000083750000}"/>
    <cellStyle name="Normal 4 116" xfId="30087" xr:uid="{00000000-0005-0000-0000-000084750000}"/>
    <cellStyle name="Normal 4 116 2" xfId="30088" xr:uid="{00000000-0005-0000-0000-000085750000}"/>
    <cellStyle name="Normal 4 116 3" xfId="30089" xr:uid="{00000000-0005-0000-0000-000086750000}"/>
    <cellStyle name="Normal 4 117" xfId="30090" xr:uid="{00000000-0005-0000-0000-000087750000}"/>
    <cellStyle name="Normal 4 117 2" xfId="30091" xr:uid="{00000000-0005-0000-0000-000088750000}"/>
    <cellStyle name="Normal 4 117 3" xfId="30092" xr:uid="{00000000-0005-0000-0000-000089750000}"/>
    <cellStyle name="Normal 4 118" xfId="30093" xr:uid="{00000000-0005-0000-0000-00008A750000}"/>
    <cellStyle name="Normal 4 118 2" xfId="30094" xr:uid="{00000000-0005-0000-0000-00008B750000}"/>
    <cellStyle name="Normal 4 118 3" xfId="30095" xr:uid="{00000000-0005-0000-0000-00008C750000}"/>
    <cellStyle name="Normal 4 119" xfId="30096" xr:uid="{00000000-0005-0000-0000-00008D750000}"/>
    <cellStyle name="Normal 4 119 2" xfId="30097" xr:uid="{00000000-0005-0000-0000-00008E750000}"/>
    <cellStyle name="Normal 4 119 3" xfId="30098" xr:uid="{00000000-0005-0000-0000-00008F750000}"/>
    <cellStyle name="Normal 4 12" xfId="30099" xr:uid="{00000000-0005-0000-0000-000090750000}"/>
    <cellStyle name="Normal 4 12 2" xfId="30100" xr:uid="{00000000-0005-0000-0000-000091750000}"/>
    <cellStyle name="Normal 4 12 3" xfId="30101" xr:uid="{00000000-0005-0000-0000-000092750000}"/>
    <cellStyle name="Normal 4 12 4" xfId="30102" xr:uid="{00000000-0005-0000-0000-000093750000}"/>
    <cellStyle name="Normal 4 12 5" xfId="30103" xr:uid="{00000000-0005-0000-0000-000094750000}"/>
    <cellStyle name="Normal 4 12_Enlaces" xfId="30104" xr:uid="{00000000-0005-0000-0000-000095750000}"/>
    <cellStyle name="Normal 4 120" xfId="30105" xr:uid="{00000000-0005-0000-0000-000096750000}"/>
    <cellStyle name="Normal 4 120 2" xfId="30106" xr:uid="{00000000-0005-0000-0000-000097750000}"/>
    <cellStyle name="Normal 4 120 3" xfId="30107" xr:uid="{00000000-0005-0000-0000-000098750000}"/>
    <cellStyle name="Normal 4 121" xfId="30108" xr:uid="{00000000-0005-0000-0000-000099750000}"/>
    <cellStyle name="Normal 4 121 2" xfId="30109" xr:uid="{00000000-0005-0000-0000-00009A750000}"/>
    <cellStyle name="Normal 4 121 3" xfId="30110" xr:uid="{00000000-0005-0000-0000-00009B750000}"/>
    <cellStyle name="Normal 4 122" xfId="30111" xr:uid="{00000000-0005-0000-0000-00009C750000}"/>
    <cellStyle name="Normal 4 122 2" xfId="30112" xr:uid="{00000000-0005-0000-0000-00009D750000}"/>
    <cellStyle name="Normal 4 122 3" xfId="30113" xr:uid="{00000000-0005-0000-0000-00009E750000}"/>
    <cellStyle name="Normal 4 123" xfId="30114" xr:uid="{00000000-0005-0000-0000-00009F750000}"/>
    <cellStyle name="Normal 4 123 2" xfId="30115" xr:uid="{00000000-0005-0000-0000-0000A0750000}"/>
    <cellStyle name="Normal 4 123 3" xfId="30116" xr:uid="{00000000-0005-0000-0000-0000A1750000}"/>
    <cellStyle name="Normal 4 124" xfId="30117" xr:uid="{00000000-0005-0000-0000-0000A2750000}"/>
    <cellStyle name="Normal 4 125" xfId="30118" xr:uid="{00000000-0005-0000-0000-0000A3750000}"/>
    <cellStyle name="Normal 4 126" xfId="30119" xr:uid="{00000000-0005-0000-0000-0000A4750000}"/>
    <cellStyle name="Normal 4 127" xfId="30120" xr:uid="{00000000-0005-0000-0000-0000A5750000}"/>
    <cellStyle name="Normal 4 128" xfId="30121" xr:uid="{00000000-0005-0000-0000-0000A6750000}"/>
    <cellStyle name="Normal 4 129" xfId="30122" xr:uid="{00000000-0005-0000-0000-0000A7750000}"/>
    <cellStyle name="Normal 4 13" xfId="30123" xr:uid="{00000000-0005-0000-0000-0000A8750000}"/>
    <cellStyle name="Normal 4 13 2" xfId="30124" xr:uid="{00000000-0005-0000-0000-0000A9750000}"/>
    <cellStyle name="Normal 4 13 3" xfId="30125" xr:uid="{00000000-0005-0000-0000-0000AA750000}"/>
    <cellStyle name="Normal 4 13 4" xfId="30126" xr:uid="{00000000-0005-0000-0000-0000AB750000}"/>
    <cellStyle name="Normal 4 13 5" xfId="30127" xr:uid="{00000000-0005-0000-0000-0000AC750000}"/>
    <cellStyle name="Normal 4 13_Enlaces" xfId="30128" xr:uid="{00000000-0005-0000-0000-0000AD750000}"/>
    <cellStyle name="Normal 4 130" xfId="30129" xr:uid="{00000000-0005-0000-0000-0000AE750000}"/>
    <cellStyle name="Normal 4 131" xfId="30130" xr:uid="{00000000-0005-0000-0000-0000AF750000}"/>
    <cellStyle name="Normal 4 131 2" xfId="30131" xr:uid="{00000000-0005-0000-0000-0000B0750000}"/>
    <cellStyle name="Normal 4 132" xfId="30132" xr:uid="{00000000-0005-0000-0000-0000B1750000}"/>
    <cellStyle name="Normal 4 132 2" xfId="30133" xr:uid="{00000000-0005-0000-0000-0000B2750000}"/>
    <cellStyle name="Normal 4 133" xfId="30134" xr:uid="{00000000-0005-0000-0000-0000B3750000}"/>
    <cellStyle name="Normal 4 133 2" xfId="30135" xr:uid="{00000000-0005-0000-0000-0000B4750000}"/>
    <cellStyle name="Normal 4 134" xfId="30136" xr:uid="{00000000-0005-0000-0000-0000B5750000}"/>
    <cellStyle name="Normal 4 134 2" xfId="30137" xr:uid="{00000000-0005-0000-0000-0000B6750000}"/>
    <cellStyle name="Normal 4 135" xfId="30138" xr:uid="{00000000-0005-0000-0000-0000B7750000}"/>
    <cellStyle name="Normal 4 135 2" xfId="30139" xr:uid="{00000000-0005-0000-0000-0000B8750000}"/>
    <cellStyle name="Normal 4 136" xfId="30140" xr:uid="{00000000-0005-0000-0000-0000B9750000}"/>
    <cellStyle name="Normal 4 136 2" xfId="30141" xr:uid="{00000000-0005-0000-0000-0000BA750000}"/>
    <cellStyle name="Normal 4 137" xfId="30142" xr:uid="{00000000-0005-0000-0000-0000BB750000}"/>
    <cellStyle name="Normal 4 137 2" xfId="30143" xr:uid="{00000000-0005-0000-0000-0000BC750000}"/>
    <cellStyle name="Normal 4 138" xfId="30144" xr:uid="{00000000-0005-0000-0000-0000BD750000}"/>
    <cellStyle name="Normal 4 138 2" xfId="30145" xr:uid="{00000000-0005-0000-0000-0000BE750000}"/>
    <cellStyle name="Normal 4 139" xfId="30146" xr:uid="{00000000-0005-0000-0000-0000BF750000}"/>
    <cellStyle name="Normal 4 139 2" xfId="30147" xr:uid="{00000000-0005-0000-0000-0000C0750000}"/>
    <cellStyle name="Normal 4 14" xfId="30148" xr:uid="{00000000-0005-0000-0000-0000C1750000}"/>
    <cellStyle name="Normal 4 14 2" xfId="30149" xr:uid="{00000000-0005-0000-0000-0000C2750000}"/>
    <cellStyle name="Normal 4 14 3" xfId="30150" xr:uid="{00000000-0005-0000-0000-0000C3750000}"/>
    <cellStyle name="Normal 4 14 4" xfId="30151" xr:uid="{00000000-0005-0000-0000-0000C4750000}"/>
    <cellStyle name="Normal 4 14 5" xfId="30152" xr:uid="{00000000-0005-0000-0000-0000C5750000}"/>
    <cellStyle name="Normal 4 14_Enlaces" xfId="30153" xr:uid="{00000000-0005-0000-0000-0000C6750000}"/>
    <cellStyle name="Normal 4 140" xfId="30154" xr:uid="{00000000-0005-0000-0000-0000C7750000}"/>
    <cellStyle name="Normal 4 140 2" xfId="30155" xr:uid="{00000000-0005-0000-0000-0000C8750000}"/>
    <cellStyle name="Normal 4 141" xfId="30156" xr:uid="{00000000-0005-0000-0000-0000C9750000}"/>
    <cellStyle name="Normal 4 141 2" xfId="30157" xr:uid="{00000000-0005-0000-0000-0000CA750000}"/>
    <cellStyle name="Normal 4 142" xfId="30158" xr:uid="{00000000-0005-0000-0000-0000CB750000}"/>
    <cellStyle name="Normal 4 142 2" xfId="30159" xr:uid="{00000000-0005-0000-0000-0000CC750000}"/>
    <cellStyle name="Normal 4 143" xfId="30160" xr:uid="{00000000-0005-0000-0000-0000CD750000}"/>
    <cellStyle name="Normal 4 143 2" xfId="30161" xr:uid="{00000000-0005-0000-0000-0000CE750000}"/>
    <cellStyle name="Normal 4 144" xfId="30162" xr:uid="{00000000-0005-0000-0000-0000CF750000}"/>
    <cellStyle name="Normal 4 144 2" xfId="30163" xr:uid="{00000000-0005-0000-0000-0000D0750000}"/>
    <cellStyle name="Normal 4 145" xfId="30164" xr:uid="{00000000-0005-0000-0000-0000D1750000}"/>
    <cellStyle name="Normal 4 145 2" xfId="30165" xr:uid="{00000000-0005-0000-0000-0000D2750000}"/>
    <cellStyle name="Normal 4 146" xfId="30166" xr:uid="{00000000-0005-0000-0000-0000D3750000}"/>
    <cellStyle name="Normal 4 146 2" xfId="30167" xr:uid="{00000000-0005-0000-0000-0000D4750000}"/>
    <cellStyle name="Normal 4 147" xfId="30168" xr:uid="{00000000-0005-0000-0000-0000D5750000}"/>
    <cellStyle name="Normal 4 147 2" xfId="30169" xr:uid="{00000000-0005-0000-0000-0000D6750000}"/>
    <cellStyle name="Normal 4 148" xfId="30170" xr:uid="{00000000-0005-0000-0000-0000D7750000}"/>
    <cellStyle name="Normal 4 148 2" xfId="30171" xr:uid="{00000000-0005-0000-0000-0000D8750000}"/>
    <cellStyle name="Normal 4 148 3" xfId="30172" xr:uid="{00000000-0005-0000-0000-0000D9750000}"/>
    <cellStyle name="Normal 4 149" xfId="30173" xr:uid="{00000000-0005-0000-0000-0000DA750000}"/>
    <cellStyle name="Normal 4 149 2" xfId="30174" xr:uid="{00000000-0005-0000-0000-0000DB750000}"/>
    <cellStyle name="Normal 4 149 3" xfId="30175" xr:uid="{00000000-0005-0000-0000-0000DC750000}"/>
    <cellStyle name="Normal 4 15" xfId="30176" xr:uid="{00000000-0005-0000-0000-0000DD750000}"/>
    <cellStyle name="Normal 4 15 2" xfId="30177" xr:uid="{00000000-0005-0000-0000-0000DE750000}"/>
    <cellStyle name="Normal 4 15 3" xfId="30178" xr:uid="{00000000-0005-0000-0000-0000DF750000}"/>
    <cellStyle name="Normal 4 15 4" xfId="30179" xr:uid="{00000000-0005-0000-0000-0000E0750000}"/>
    <cellStyle name="Normal 4 15 5" xfId="30180" xr:uid="{00000000-0005-0000-0000-0000E1750000}"/>
    <cellStyle name="Normal 4 15_Enlaces" xfId="30181" xr:uid="{00000000-0005-0000-0000-0000E2750000}"/>
    <cellStyle name="Normal 4 150" xfId="30182" xr:uid="{00000000-0005-0000-0000-0000E3750000}"/>
    <cellStyle name="Normal 4 150 2" xfId="30183" xr:uid="{00000000-0005-0000-0000-0000E4750000}"/>
    <cellStyle name="Normal 4 150 3" xfId="30184" xr:uid="{00000000-0005-0000-0000-0000E5750000}"/>
    <cellStyle name="Normal 4 151" xfId="30185" xr:uid="{00000000-0005-0000-0000-0000E6750000}"/>
    <cellStyle name="Normal 4 151 2" xfId="30186" xr:uid="{00000000-0005-0000-0000-0000E7750000}"/>
    <cellStyle name="Normal 4 151 3" xfId="30187" xr:uid="{00000000-0005-0000-0000-0000E8750000}"/>
    <cellStyle name="Normal 4 152" xfId="30188" xr:uid="{00000000-0005-0000-0000-0000E9750000}"/>
    <cellStyle name="Normal 4 152 2" xfId="30189" xr:uid="{00000000-0005-0000-0000-0000EA750000}"/>
    <cellStyle name="Normal 4 152 3" xfId="30190" xr:uid="{00000000-0005-0000-0000-0000EB750000}"/>
    <cellStyle name="Normal 4 153" xfId="30191" xr:uid="{00000000-0005-0000-0000-0000EC750000}"/>
    <cellStyle name="Normal 4 153 2" xfId="30192" xr:uid="{00000000-0005-0000-0000-0000ED750000}"/>
    <cellStyle name="Normal 4 154" xfId="30193" xr:uid="{00000000-0005-0000-0000-0000EE750000}"/>
    <cellStyle name="Normal 4 155" xfId="30194" xr:uid="{00000000-0005-0000-0000-0000EF750000}"/>
    <cellStyle name="Normal 4 156" xfId="30195" xr:uid="{00000000-0005-0000-0000-0000F0750000}"/>
    <cellStyle name="Normal 4 157" xfId="30196" xr:uid="{00000000-0005-0000-0000-0000F1750000}"/>
    <cellStyle name="Normal 4 158" xfId="30197" xr:uid="{00000000-0005-0000-0000-0000F2750000}"/>
    <cellStyle name="Normal 4 159" xfId="30198" xr:uid="{00000000-0005-0000-0000-0000F3750000}"/>
    <cellStyle name="Normal 4 16" xfId="30199" xr:uid="{00000000-0005-0000-0000-0000F4750000}"/>
    <cellStyle name="Normal 4 16 2" xfId="30200" xr:uid="{00000000-0005-0000-0000-0000F5750000}"/>
    <cellStyle name="Normal 4 16 3" xfId="30201" xr:uid="{00000000-0005-0000-0000-0000F6750000}"/>
    <cellStyle name="Normal 4 16 4" xfId="30202" xr:uid="{00000000-0005-0000-0000-0000F7750000}"/>
    <cellStyle name="Normal 4 16 5" xfId="30203" xr:uid="{00000000-0005-0000-0000-0000F8750000}"/>
    <cellStyle name="Normal 4 16_Enlaces" xfId="30204" xr:uid="{00000000-0005-0000-0000-0000F9750000}"/>
    <cellStyle name="Normal 4 160" xfId="30205" xr:uid="{00000000-0005-0000-0000-0000FA750000}"/>
    <cellStyle name="Normal 4 161" xfId="30206" xr:uid="{00000000-0005-0000-0000-0000FB750000}"/>
    <cellStyle name="Normal 4 162" xfId="30207" xr:uid="{00000000-0005-0000-0000-0000FC750000}"/>
    <cellStyle name="Normal 4 163" xfId="30208" xr:uid="{00000000-0005-0000-0000-0000FD750000}"/>
    <cellStyle name="Normal 4 164" xfId="30209" xr:uid="{00000000-0005-0000-0000-0000FE750000}"/>
    <cellStyle name="Normal 4 165" xfId="30210" xr:uid="{00000000-0005-0000-0000-0000FF750000}"/>
    <cellStyle name="Normal 4 166" xfId="30211" xr:uid="{00000000-0005-0000-0000-000000760000}"/>
    <cellStyle name="Normal 4 167" xfId="30212" xr:uid="{00000000-0005-0000-0000-000001760000}"/>
    <cellStyle name="Normal 4 168" xfId="30213" xr:uid="{00000000-0005-0000-0000-000002760000}"/>
    <cellStyle name="Normal 4 169" xfId="30214" xr:uid="{00000000-0005-0000-0000-000003760000}"/>
    <cellStyle name="Normal 4 17" xfId="30215" xr:uid="{00000000-0005-0000-0000-000004760000}"/>
    <cellStyle name="Normal 4 17 2" xfId="30216" xr:uid="{00000000-0005-0000-0000-000005760000}"/>
    <cellStyle name="Normal 4 17 3" xfId="30217" xr:uid="{00000000-0005-0000-0000-000006760000}"/>
    <cellStyle name="Normal 4 17 4" xfId="30218" xr:uid="{00000000-0005-0000-0000-000007760000}"/>
    <cellStyle name="Normal 4 17 5" xfId="30219" xr:uid="{00000000-0005-0000-0000-000008760000}"/>
    <cellStyle name="Normal 4 17_Enlaces" xfId="30220" xr:uid="{00000000-0005-0000-0000-000009760000}"/>
    <cellStyle name="Normal 4 170" xfId="30221" xr:uid="{00000000-0005-0000-0000-00000A760000}"/>
    <cellStyle name="Normal 4 171" xfId="30222" xr:uid="{00000000-0005-0000-0000-00000B760000}"/>
    <cellStyle name="Normal 4 18" xfId="30223" xr:uid="{00000000-0005-0000-0000-00000C760000}"/>
    <cellStyle name="Normal 4 18 2" xfId="30224" xr:uid="{00000000-0005-0000-0000-00000D760000}"/>
    <cellStyle name="Normal 4 18 3" xfId="30225" xr:uid="{00000000-0005-0000-0000-00000E760000}"/>
    <cellStyle name="Normal 4 18 4" xfId="30226" xr:uid="{00000000-0005-0000-0000-00000F760000}"/>
    <cellStyle name="Normal 4 18 5" xfId="30227" xr:uid="{00000000-0005-0000-0000-000010760000}"/>
    <cellStyle name="Normal 4 18_Enlaces" xfId="30228" xr:uid="{00000000-0005-0000-0000-000011760000}"/>
    <cellStyle name="Normal 4 19" xfId="30229" xr:uid="{00000000-0005-0000-0000-000012760000}"/>
    <cellStyle name="Normal 4 19 2" xfId="30230" xr:uid="{00000000-0005-0000-0000-000013760000}"/>
    <cellStyle name="Normal 4 19 3" xfId="30231" xr:uid="{00000000-0005-0000-0000-000014760000}"/>
    <cellStyle name="Normal 4 19 4" xfId="30232" xr:uid="{00000000-0005-0000-0000-000015760000}"/>
    <cellStyle name="Normal 4 19 5" xfId="30233" xr:uid="{00000000-0005-0000-0000-000016760000}"/>
    <cellStyle name="Normal 4 19_Enlaces" xfId="30234" xr:uid="{00000000-0005-0000-0000-000017760000}"/>
    <cellStyle name="Normal 4 2" xfId="30235" xr:uid="{00000000-0005-0000-0000-000018760000}"/>
    <cellStyle name="Normal 4 2 10" xfId="30236" xr:uid="{00000000-0005-0000-0000-000019760000}"/>
    <cellStyle name="Normal 4 2 10 2" xfId="30237" xr:uid="{00000000-0005-0000-0000-00001A760000}"/>
    <cellStyle name="Normal 4 2 11" xfId="30238" xr:uid="{00000000-0005-0000-0000-00001B760000}"/>
    <cellStyle name="Normal 4 2 11 2" xfId="30239" xr:uid="{00000000-0005-0000-0000-00001C760000}"/>
    <cellStyle name="Normal 4 2 12" xfId="30240" xr:uid="{00000000-0005-0000-0000-00001D760000}"/>
    <cellStyle name="Normal 4 2 12 2" xfId="30241" xr:uid="{00000000-0005-0000-0000-00001E760000}"/>
    <cellStyle name="Normal 4 2 13" xfId="30242" xr:uid="{00000000-0005-0000-0000-00001F760000}"/>
    <cellStyle name="Normal 4 2 13 2" xfId="30243" xr:uid="{00000000-0005-0000-0000-000020760000}"/>
    <cellStyle name="Normal 4 2 14" xfId="30244" xr:uid="{00000000-0005-0000-0000-000021760000}"/>
    <cellStyle name="Normal 4 2 14 2" xfId="30245" xr:uid="{00000000-0005-0000-0000-000022760000}"/>
    <cellStyle name="Normal 4 2 15" xfId="30246" xr:uid="{00000000-0005-0000-0000-000023760000}"/>
    <cellStyle name="Normal 4 2 15 2" xfId="30247" xr:uid="{00000000-0005-0000-0000-000024760000}"/>
    <cellStyle name="Normal 4 2 16" xfId="30248" xr:uid="{00000000-0005-0000-0000-000025760000}"/>
    <cellStyle name="Normal 4 2 16 2" xfId="30249" xr:uid="{00000000-0005-0000-0000-000026760000}"/>
    <cellStyle name="Normal 4 2 17" xfId="30250" xr:uid="{00000000-0005-0000-0000-000027760000}"/>
    <cellStyle name="Normal 4 2 17 2" xfId="30251" xr:uid="{00000000-0005-0000-0000-000028760000}"/>
    <cellStyle name="Normal 4 2 18" xfId="30252" xr:uid="{00000000-0005-0000-0000-000029760000}"/>
    <cellStyle name="Normal 4 2 18 2" xfId="30253" xr:uid="{00000000-0005-0000-0000-00002A760000}"/>
    <cellStyle name="Normal 4 2 19" xfId="30254" xr:uid="{00000000-0005-0000-0000-00002B760000}"/>
    <cellStyle name="Normal 4 2 19 2" xfId="30255" xr:uid="{00000000-0005-0000-0000-00002C760000}"/>
    <cellStyle name="Normal 4 2 2" xfId="30256" xr:uid="{00000000-0005-0000-0000-00002D760000}"/>
    <cellStyle name="Normal 4 2 2 2" xfId="30257" xr:uid="{00000000-0005-0000-0000-00002E760000}"/>
    <cellStyle name="Normal 4 2 20" xfId="30258" xr:uid="{00000000-0005-0000-0000-00002F760000}"/>
    <cellStyle name="Normal 4 2 20 2" xfId="30259" xr:uid="{00000000-0005-0000-0000-000030760000}"/>
    <cellStyle name="Normal 4 2 21" xfId="30260" xr:uid="{00000000-0005-0000-0000-000031760000}"/>
    <cellStyle name="Normal 4 2 21 2" xfId="30261" xr:uid="{00000000-0005-0000-0000-000032760000}"/>
    <cellStyle name="Normal 4 2 22" xfId="30262" xr:uid="{00000000-0005-0000-0000-000033760000}"/>
    <cellStyle name="Normal 4 2 22 2" xfId="30263" xr:uid="{00000000-0005-0000-0000-000034760000}"/>
    <cellStyle name="Normal 4 2 23" xfId="30264" xr:uid="{00000000-0005-0000-0000-000035760000}"/>
    <cellStyle name="Normal 4 2 23 2" xfId="30265" xr:uid="{00000000-0005-0000-0000-000036760000}"/>
    <cellStyle name="Normal 4 2 24" xfId="30266" xr:uid="{00000000-0005-0000-0000-000037760000}"/>
    <cellStyle name="Normal 4 2 25" xfId="30267" xr:uid="{00000000-0005-0000-0000-000038760000}"/>
    <cellStyle name="Normal 4 2 26" xfId="30268" xr:uid="{00000000-0005-0000-0000-000039760000}"/>
    <cellStyle name="Normal 4 2 27" xfId="30269" xr:uid="{00000000-0005-0000-0000-00003A760000}"/>
    <cellStyle name="Normal 4 2 28" xfId="30270" xr:uid="{00000000-0005-0000-0000-00003B760000}"/>
    <cellStyle name="Normal 4 2 29" xfId="30271" xr:uid="{00000000-0005-0000-0000-00003C760000}"/>
    <cellStyle name="Normal 4 2 3" xfId="30272" xr:uid="{00000000-0005-0000-0000-00003D760000}"/>
    <cellStyle name="Normal 4 2 3 2" xfId="30273" xr:uid="{00000000-0005-0000-0000-00003E760000}"/>
    <cellStyle name="Normal 4 2 30" xfId="30274" xr:uid="{00000000-0005-0000-0000-00003F760000}"/>
    <cellStyle name="Normal 4 2 31" xfId="30275" xr:uid="{00000000-0005-0000-0000-000040760000}"/>
    <cellStyle name="Normal 4 2 32" xfId="30276" xr:uid="{00000000-0005-0000-0000-000041760000}"/>
    <cellStyle name="Normal 4 2 33" xfId="30277" xr:uid="{00000000-0005-0000-0000-000042760000}"/>
    <cellStyle name="Normal 4 2 34" xfId="30278" xr:uid="{00000000-0005-0000-0000-000043760000}"/>
    <cellStyle name="Normal 4 2 35" xfId="30279" xr:uid="{00000000-0005-0000-0000-000044760000}"/>
    <cellStyle name="Normal 4 2 36" xfId="30280" xr:uid="{00000000-0005-0000-0000-000045760000}"/>
    <cellStyle name="Normal 4 2 37" xfId="30281" xr:uid="{00000000-0005-0000-0000-000046760000}"/>
    <cellStyle name="Normal 4 2 38" xfId="30282" xr:uid="{00000000-0005-0000-0000-000047760000}"/>
    <cellStyle name="Normal 4 2 39" xfId="30283" xr:uid="{00000000-0005-0000-0000-000048760000}"/>
    <cellStyle name="Normal 4 2 4" xfId="30284" xr:uid="{00000000-0005-0000-0000-000049760000}"/>
    <cellStyle name="Normal 4 2 4 2" xfId="30285" xr:uid="{00000000-0005-0000-0000-00004A760000}"/>
    <cellStyle name="Normal 4 2 40" xfId="30286" xr:uid="{00000000-0005-0000-0000-00004B760000}"/>
    <cellStyle name="Normal 4 2 41" xfId="30287" xr:uid="{00000000-0005-0000-0000-00004C760000}"/>
    <cellStyle name="Normal 4 2 42" xfId="30288" xr:uid="{00000000-0005-0000-0000-00004D760000}"/>
    <cellStyle name="Normal 4 2 43" xfId="30289" xr:uid="{00000000-0005-0000-0000-00004E760000}"/>
    <cellStyle name="Normal 4 2 44" xfId="30290" xr:uid="{00000000-0005-0000-0000-00004F760000}"/>
    <cellStyle name="Normal 4 2 45" xfId="30291" xr:uid="{00000000-0005-0000-0000-000050760000}"/>
    <cellStyle name="Normal 4 2 46" xfId="30292" xr:uid="{00000000-0005-0000-0000-000051760000}"/>
    <cellStyle name="Normal 4 2 47" xfId="30293" xr:uid="{00000000-0005-0000-0000-000052760000}"/>
    <cellStyle name="Normal 4 2 48" xfId="30294" xr:uid="{00000000-0005-0000-0000-000053760000}"/>
    <cellStyle name="Normal 4 2 49" xfId="30295" xr:uid="{00000000-0005-0000-0000-000054760000}"/>
    <cellStyle name="Normal 4 2 5" xfId="30296" xr:uid="{00000000-0005-0000-0000-000055760000}"/>
    <cellStyle name="Normal 4 2 5 2" xfId="30297" xr:uid="{00000000-0005-0000-0000-000056760000}"/>
    <cellStyle name="Normal 4 2 50" xfId="30298" xr:uid="{00000000-0005-0000-0000-000057760000}"/>
    <cellStyle name="Normal 4 2 51" xfId="30299" xr:uid="{00000000-0005-0000-0000-000058760000}"/>
    <cellStyle name="Normal 4 2 52" xfId="30300" xr:uid="{00000000-0005-0000-0000-000059760000}"/>
    <cellStyle name="Normal 4 2 53" xfId="30301" xr:uid="{00000000-0005-0000-0000-00005A760000}"/>
    <cellStyle name="Normal 4 2 54" xfId="30302" xr:uid="{00000000-0005-0000-0000-00005B760000}"/>
    <cellStyle name="Normal 4 2 55" xfId="30303" xr:uid="{00000000-0005-0000-0000-00005C760000}"/>
    <cellStyle name="Normal 4 2 56" xfId="30304" xr:uid="{00000000-0005-0000-0000-00005D760000}"/>
    <cellStyle name="Normal 4 2 57" xfId="30305" xr:uid="{00000000-0005-0000-0000-00005E760000}"/>
    <cellStyle name="Normal 4 2 58" xfId="30306" xr:uid="{00000000-0005-0000-0000-00005F760000}"/>
    <cellStyle name="Normal 4 2 59" xfId="30307" xr:uid="{00000000-0005-0000-0000-000060760000}"/>
    <cellStyle name="Normal 4 2 6" xfId="30308" xr:uid="{00000000-0005-0000-0000-000061760000}"/>
    <cellStyle name="Normal 4 2 6 2" xfId="30309" xr:uid="{00000000-0005-0000-0000-000062760000}"/>
    <cellStyle name="Normal 4 2 60" xfId="30310" xr:uid="{00000000-0005-0000-0000-000063760000}"/>
    <cellStyle name="Normal 4 2 61" xfId="30311" xr:uid="{00000000-0005-0000-0000-000064760000}"/>
    <cellStyle name="Normal 4 2 62" xfId="30312" xr:uid="{00000000-0005-0000-0000-000065760000}"/>
    <cellStyle name="Normal 4 2 63" xfId="30313" xr:uid="{00000000-0005-0000-0000-000066760000}"/>
    <cellStyle name="Normal 4 2 64" xfId="30314" xr:uid="{00000000-0005-0000-0000-000067760000}"/>
    <cellStyle name="Normal 4 2 65" xfId="30315" xr:uid="{00000000-0005-0000-0000-000068760000}"/>
    <cellStyle name="Normal 4 2 66" xfId="30316" xr:uid="{00000000-0005-0000-0000-000069760000}"/>
    <cellStyle name="Normal 4 2 67" xfId="30317" xr:uid="{00000000-0005-0000-0000-00006A760000}"/>
    <cellStyle name="Normal 4 2 68" xfId="30318" xr:uid="{00000000-0005-0000-0000-00006B760000}"/>
    <cellStyle name="Normal 4 2 69" xfId="30319" xr:uid="{00000000-0005-0000-0000-00006C760000}"/>
    <cellStyle name="Normal 4 2 7" xfId="30320" xr:uid="{00000000-0005-0000-0000-00006D760000}"/>
    <cellStyle name="Normal 4 2 7 2" xfId="30321" xr:uid="{00000000-0005-0000-0000-00006E760000}"/>
    <cellStyle name="Normal 4 2 70" xfId="30322" xr:uid="{00000000-0005-0000-0000-00006F760000}"/>
    <cellStyle name="Normal 4 2 71" xfId="30323" xr:uid="{00000000-0005-0000-0000-000070760000}"/>
    <cellStyle name="Normal 4 2 72" xfId="30324" xr:uid="{00000000-0005-0000-0000-000071760000}"/>
    <cellStyle name="Normal 4 2 73" xfId="30325" xr:uid="{00000000-0005-0000-0000-000072760000}"/>
    <cellStyle name="Normal 4 2 74" xfId="30326" xr:uid="{00000000-0005-0000-0000-000073760000}"/>
    <cellStyle name="Normal 4 2 75" xfId="30327" xr:uid="{00000000-0005-0000-0000-000074760000}"/>
    <cellStyle name="Normal 4 2 76" xfId="30328" xr:uid="{00000000-0005-0000-0000-000075760000}"/>
    <cellStyle name="Normal 4 2 77" xfId="30329" xr:uid="{00000000-0005-0000-0000-000076760000}"/>
    <cellStyle name="Normal 4 2 78" xfId="30330" xr:uid="{00000000-0005-0000-0000-000077760000}"/>
    <cellStyle name="Normal 4 2 79" xfId="30331" xr:uid="{00000000-0005-0000-0000-000078760000}"/>
    <cellStyle name="Normal 4 2 8" xfId="30332" xr:uid="{00000000-0005-0000-0000-000079760000}"/>
    <cellStyle name="Normal 4 2 8 2" xfId="30333" xr:uid="{00000000-0005-0000-0000-00007A760000}"/>
    <cellStyle name="Normal 4 2 80" xfId="30334" xr:uid="{00000000-0005-0000-0000-00007B760000}"/>
    <cellStyle name="Normal 4 2 81" xfId="30335" xr:uid="{00000000-0005-0000-0000-00007C760000}"/>
    <cellStyle name="Normal 4 2 82" xfId="30336" xr:uid="{00000000-0005-0000-0000-00007D760000}"/>
    <cellStyle name="Normal 4 2 83" xfId="30337" xr:uid="{00000000-0005-0000-0000-00007E760000}"/>
    <cellStyle name="Normal 4 2 84" xfId="30338" xr:uid="{00000000-0005-0000-0000-00007F760000}"/>
    <cellStyle name="Normal 4 2 85" xfId="30339" xr:uid="{00000000-0005-0000-0000-000080760000}"/>
    <cellStyle name="Normal 4 2 86" xfId="30340" xr:uid="{00000000-0005-0000-0000-000081760000}"/>
    <cellStyle name="Normal 4 2 87" xfId="30341" xr:uid="{00000000-0005-0000-0000-000082760000}"/>
    <cellStyle name="Normal 4 2 87 2" xfId="30342" xr:uid="{00000000-0005-0000-0000-000083760000}"/>
    <cellStyle name="Normal 4 2 9" xfId="30343" xr:uid="{00000000-0005-0000-0000-000084760000}"/>
    <cellStyle name="Normal 4 2 9 2" xfId="30344" xr:uid="{00000000-0005-0000-0000-000085760000}"/>
    <cellStyle name="Normal 4 2_Xa Parametrización de Usuarios" xfId="30345" xr:uid="{00000000-0005-0000-0000-000086760000}"/>
    <cellStyle name="Normal 4 20" xfId="30346" xr:uid="{00000000-0005-0000-0000-000087760000}"/>
    <cellStyle name="Normal 4 20 2" xfId="30347" xr:uid="{00000000-0005-0000-0000-000088760000}"/>
    <cellStyle name="Normal 4 20 3" xfId="30348" xr:uid="{00000000-0005-0000-0000-000089760000}"/>
    <cellStyle name="Normal 4 20 4" xfId="30349" xr:uid="{00000000-0005-0000-0000-00008A760000}"/>
    <cellStyle name="Normal 4 20_Enlaces" xfId="30350" xr:uid="{00000000-0005-0000-0000-00008B760000}"/>
    <cellStyle name="Normal 4 21" xfId="30351" xr:uid="{00000000-0005-0000-0000-00008C760000}"/>
    <cellStyle name="Normal 4 21 2" xfId="30352" xr:uid="{00000000-0005-0000-0000-00008D760000}"/>
    <cellStyle name="Normal 4 21 3" xfId="30353" xr:uid="{00000000-0005-0000-0000-00008E760000}"/>
    <cellStyle name="Normal 4 21 4" xfId="30354" xr:uid="{00000000-0005-0000-0000-00008F760000}"/>
    <cellStyle name="Normal 4 21_Enlaces" xfId="30355" xr:uid="{00000000-0005-0000-0000-000090760000}"/>
    <cellStyle name="Normal 4 22" xfId="30356" xr:uid="{00000000-0005-0000-0000-000091760000}"/>
    <cellStyle name="Normal 4 22 2" xfId="30357" xr:uid="{00000000-0005-0000-0000-000092760000}"/>
    <cellStyle name="Normal 4 22 3" xfId="30358" xr:uid="{00000000-0005-0000-0000-000093760000}"/>
    <cellStyle name="Normal 4 22 4" xfId="30359" xr:uid="{00000000-0005-0000-0000-000094760000}"/>
    <cellStyle name="Normal 4 22_Enlaces" xfId="30360" xr:uid="{00000000-0005-0000-0000-000095760000}"/>
    <cellStyle name="Normal 4 23" xfId="30361" xr:uid="{00000000-0005-0000-0000-000096760000}"/>
    <cellStyle name="Normal 4 23 2" xfId="30362" xr:uid="{00000000-0005-0000-0000-000097760000}"/>
    <cellStyle name="Normal 4 23 3" xfId="30363" xr:uid="{00000000-0005-0000-0000-000098760000}"/>
    <cellStyle name="Normal 4 23 4" xfId="30364" xr:uid="{00000000-0005-0000-0000-000099760000}"/>
    <cellStyle name="Normal 4 23_Enlaces" xfId="30365" xr:uid="{00000000-0005-0000-0000-00009A760000}"/>
    <cellStyle name="Normal 4 24" xfId="30366" xr:uid="{00000000-0005-0000-0000-00009B760000}"/>
    <cellStyle name="Normal 4 24 2" xfId="30367" xr:uid="{00000000-0005-0000-0000-00009C760000}"/>
    <cellStyle name="Normal 4 24 3" xfId="30368" xr:uid="{00000000-0005-0000-0000-00009D760000}"/>
    <cellStyle name="Normal 4 24 4" xfId="30369" xr:uid="{00000000-0005-0000-0000-00009E760000}"/>
    <cellStyle name="Normal 4 24_Enlaces" xfId="30370" xr:uid="{00000000-0005-0000-0000-00009F760000}"/>
    <cellStyle name="Normal 4 25" xfId="30371" xr:uid="{00000000-0005-0000-0000-0000A0760000}"/>
    <cellStyle name="Normal 4 25 2" xfId="30372" xr:uid="{00000000-0005-0000-0000-0000A1760000}"/>
    <cellStyle name="Normal 4 25 3" xfId="30373" xr:uid="{00000000-0005-0000-0000-0000A2760000}"/>
    <cellStyle name="Normal 4 25 4" xfId="30374" xr:uid="{00000000-0005-0000-0000-0000A3760000}"/>
    <cellStyle name="Normal 4 25_Enlaces" xfId="30375" xr:uid="{00000000-0005-0000-0000-0000A4760000}"/>
    <cellStyle name="Normal 4 26" xfId="30376" xr:uid="{00000000-0005-0000-0000-0000A5760000}"/>
    <cellStyle name="Normal 4 26 2" xfId="30377" xr:uid="{00000000-0005-0000-0000-0000A6760000}"/>
    <cellStyle name="Normal 4 26 3" xfId="30378" xr:uid="{00000000-0005-0000-0000-0000A7760000}"/>
    <cellStyle name="Normal 4 26 4" xfId="30379" xr:uid="{00000000-0005-0000-0000-0000A8760000}"/>
    <cellStyle name="Normal 4 26_Enlaces" xfId="30380" xr:uid="{00000000-0005-0000-0000-0000A9760000}"/>
    <cellStyle name="Normal 4 27" xfId="30381" xr:uid="{00000000-0005-0000-0000-0000AA760000}"/>
    <cellStyle name="Normal 4 27 2" xfId="30382" xr:uid="{00000000-0005-0000-0000-0000AB760000}"/>
    <cellStyle name="Normal 4 27 3" xfId="30383" xr:uid="{00000000-0005-0000-0000-0000AC760000}"/>
    <cellStyle name="Normal 4 28" xfId="30384" xr:uid="{00000000-0005-0000-0000-0000AD760000}"/>
    <cellStyle name="Normal 4 28 2" xfId="30385" xr:uid="{00000000-0005-0000-0000-0000AE760000}"/>
    <cellStyle name="Normal 4 28 3" xfId="30386" xr:uid="{00000000-0005-0000-0000-0000AF760000}"/>
    <cellStyle name="Normal 4 29" xfId="30387" xr:uid="{00000000-0005-0000-0000-0000B0760000}"/>
    <cellStyle name="Normal 4 29 2" xfId="30388" xr:uid="{00000000-0005-0000-0000-0000B1760000}"/>
    <cellStyle name="Normal 4 29 3" xfId="30389" xr:uid="{00000000-0005-0000-0000-0000B2760000}"/>
    <cellStyle name="Normal 4 3" xfId="30390" xr:uid="{00000000-0005-0000-0000-0000B3760000}"/>
    <cellStyle name="Normal 4 3 10" xfId="30391" xr:uid="{00000000-0005-0000-0000-0000B4760000}"/>
    <cellStyle name="Normal 4 3 11" xfId="30392" xr:uid="{00000000-0005-0000-0000-0000B5760000}"/>
    <cellStyle name="Normal 4 3 12" xfId="30393" xr:uid="{00000000-0005-0000-0000-0000B6760000}"/>
    <cellStyle name="Normal 4 3 13" xfId="30394" xr:uid="{00000000-0005-0000-0000-0000B7760000}"/>
    <cellStyle name="Normal 4 3 14" xfId="30395" xr:uid="{00000000-0005-0000-0000-0000B8760000}"/>
    <cellStyle name="Normal 4 3 15" xfId="30396" xr:uid="{00000000-0005-0000-0000-0000B9760000}"/>
    <cellStyle name="Normal 4 3 16" xfId="30397" xr:uid="{00000000-0005-0000-0000-0000BA760000}"/>
    <cellStyle name="Normal 4 3 17" xfId="30398" xr:uid="{00000000-0005-0000-0000-0000BB760000}"/>
    <cellStyle name="Normal 4 3 18" xfId="30399" xr:uid="{00000000-0005-0000-0000-0000BC760000}"/>
    <cellStyle name="Normal 4 3 19" xfId="30400" xr:uid="{00000000-0005-0000-0000-0000BD760000}"/>
    <cellStyle name="Normal 4 3 2" xfId="30401" xr:uid="{00000000-0005-0000-0000-0000BE760000}"/>
    <cellStyle name="Normal 4 3 2 2" xfId="30402" xr:uid="{00000000-0005-0000-0000-0000BF760000}"/>
    <cellStyle name="Normal 4 3 20" xfId="30403" xr:uid="{00000000-0005-0000-0000-0000C0760000}"/>
    <cellStyle name="Normal 4 3 21" xfId="30404" xr:uid="{00000000-0005-0000-0000-0000C1760000}"/>
    <cellStyle name="Normal 4 3 22" xfId="30405" xr:uid="{00000000-0005-0000-0000-0000C2760000}"/>
    <cellStyle name="Normal 4 3 23" xfId="30406" xr:uid="{00000000-0005-0000-0000-0000C3760000}"/>
    <cellStyle name="Normal 4 3 24" xfId="30407" xr:uid="{00000000-0005-0000-0000-0000C4760000}"/>
    <cellStyle name="Normal 4 3 25" xfId="30408" xr:uid="{00000000-0005-0000-0000-0000C5760000}"/>
    <cellStyle name="Normal 4 3 26" xfId="30409" xr:uid="{00000000-0005-0000-0000-0000C6760000}"/>
    <cellStyle name="Normal 4 3 27" xfId="30410" xr:uid="{00000000-0005-0000-0000-0000C7760000}"/>
    <cellStyle name="Normal 4 3 28" xfId="30411" xr:uid="{00000000-0005-0000-0000-0000C8760000}"/>
    <cellStyle name="Normal 4 3 29" xfId="30412" xr:uid="{00000000-0005-0000-0000-0000C9760000}"/>
    <cellStyle name="Normal 4 3 3" xfId="30413" xr:uid="{00000000-0005-0000-0000-0000CA760000}"/>
    <cellStyle name="Normal 4 3 30" xfId="30414" xr:uid="{00000000-0005-0000-0000-0000CB760000}"/>
    <cellStyle name="Normal 4 3 31" xfId="30415" xr:uid="{00000000-0005-0000-0000-0000CC760000}"/>
    <cellStyle name="Normal 4 3 32" xfId="30416" xr:uid="{00000000-0005-0000-0000-0000CD760000}"/>
    <cellStyle name="Normal 4 3 33" xfId="30417" xr:uid="{00000000-0005-0000-0000-0000CE760000}"/>
    <cellStyle name="Normal 4 3 34" xfId="30418" xr:uid="{00000000-0005-0000-0000-0000CF760000}"/>
    <cellStyle name="Normal 4 3 4" xfId="30419" xr:uid="{00000000-0005-0000-0000-0000D0760000}"/>
    <cellStyle name="Normal 4 3 5" xfId="30420" xr:uid="{00000000-0005-0000-0000-0000D1760000}"/>
    <cellStyle name="Normal 4 3 6" xfId="30421" xr:uid="{00000000-0005-0000-0000-0000D2760000}"/>
    <cellStyle name="Normal 4 3 7" xfId="30422" xr:uid="{00000000-0005-0000-0000-0000D3760000}"/>
    <cellStyle name="Normal 4 3 8" xfId="30423" xr:uid="{00000000-0005-0000-0000-0000D4760000}"/>
    <cellStyle name="Normal 4 3 9" xfId="30424" xr:uid="{00000000-0005-0000-0000-0000D5760000}"/>
    <cellStyle name="Normal 4 3_Enlaces" xfId="30425" xr:uid="{00000000-0005-0000-0000-0000D6760000}"/>
    <cellStyle name="Normal 4 30" xfId="30426" xr:uid="{00000000-0005-0000-0000-0000D7760000}"/>
    <cellStyle name="Normal 4 30 2" xfId="30427" xr:uid="{00000000-0005-0000-0000-0000D8760000}"/>
    <cellStyle name="Normal 4 30 3" xfId="30428" xr:uid="{00000000-0005-0000-0000-0000D9760000}"/>
    <cellStyle name="Normal 4 31" xfId="30429" xr:uid="{00000000-0005-0000-0000-0000DA760000}"/>
    <cellStyle name="Normal 4 31 2" xfId="30430" xr:uid="{00000000-0005-0000-0000-0000DB760000}"/>
    <cellStyle name="Normal 4 31 3" xfId="30431" xr:uid="{00000000-0005-0000-0000-0000DC760000}"/>
    <cellStyle name="Normal 4 32" xfId="30432" xr:uid="{00000000-0005-0000-0000-0000DD760000}"/>
    <cellStyle name="Normal 4 32 2" xfId="30433" xr:uid="{00000000-0005-0000-0000-0000DE760000}"/>
    <cellStyle name="Normal 4 32 3" xfId="30434" xr:uid="{00000000-0005-0000-0000-0000DF760000}"/>
    <cellStyle name="Normal 4 33" xfId="30435" xr:uid="{00000000-0005-0000-0000-0000E0760000}"/>
    <cellStyle name="Normal 4 33 2" xfId="30436" xr:uid="{00000000-0005-0000-0000-0000E1760000}"/>
    <cellStyle name="Normal 4 33 3" xfId="30437" xr:uid="{00000000-0005-0000-0000-0000E2760000}"/>
    <cellStyle name="Normal 4 34" xfId="30438" xr:uid="{00000000-0005-0000-0000-0000E3760000}"/>
    <cellStyle name="Normal 4 34 2" xfId="30439" xr:uid="{00000000-0005-0000-0000-0000E4760000}"/>
    <cellStyle name="Normal 4 34 3" xfId="30440" xr:uid="{00000000-0005-0000-0000-0000E5760000}"/>
    <cellStyle name="Normal 4 35" xfId="30441" xr:uid="{00000000-0005-0000-0000-0000E6760000}"/>
    <cellStyle name="Normal 4 35 2" xfId="30442" xr:uid="{00000000-0005-0000-0000-0000E7760000}"/>
    <cellStyle name="Normal 4 35 3" xfId="30443" xr:uid="{00000000-0005-0000-0000-0000E8760000}"/>
    <cellStyle name="Normal 4 36" xfId="30444" xr:uid="{00000000-0005-0000-0000-0000E9760000}"/>
    <cellStyle name="Normal 4 36 2" xfId="30445" xr:uid="{00000000-0005-0000-0000-0000EA760000}"/>
    <cellStyle name="Normal 4 36 3" xfId="30446" xr:uid="{00000000-0005-0000-0000-0000EB760000}"/>
    <cellStyle name="Normal 4 37" xfId="30447" xr:uid="{00000000-0005-0000-0000-0000EC760000}"/>
    <cellStyle name="Normal 4 37 2" xfId="30448" xr:uid="{00000000-0005-0000-0000-0000ED760000}"/>
    <cellStyle name="Normal 4 37 3" xfId="30449" xr:uid="{00000000-0005-0000-0000-0000EE760000}"/>
    <cellStyle name="Normal 4 38" xfId="30450" xr:uid="{00000000-0005-0000-0000-0000EF760000}"/>
    <cellStyle name="Normal 4 38 2" xfId="30451" xr:uid="{00000000-0005-0000-0000-0000F0760000}"/>
    <cellStyle name="Normal 4 38 3" xfId="30452" xr:uid="{00000000-0005-0000-0000-0000F1760000}"/>
    <cellStyle name="Normal 4 39" xfId="30453" xr:uid="{00000000-0005-0000-0000-0000F2760000}"/>
    <cellStyle name="Normal 4 39 2" xfId="30454" xr:uid="{00000000-0005-0000-0000-0000F3760000}"/>
    <cellStyle name="Normal 4 39 3" xfId="30455" xr:uid="{00000000-0005-0000-0000-0000F4760000}"/>
    <cellStyle name="Normal 4 4" xfId="30456" xr:uid="{00000000-0005-0000-0000-0000F5760000}"/>
    <cellStyle name="Normal 4 4 2" xfId="30457" xr:uid="{00000000-0005-0000-0000-0000F6760000}"/>
    <cellStyle name="Normal 4 4 3" xfId="30458" xr:uid="{00000000-0005-0000-0000-0000F7760000}"/>
    <cellStyle name="Normal 4 4 4" xfId="30459" xr:uid="{00000000-0005-0000-0000-0000F8760000}"/>
    <cellStyle name="Normal 4 4 5" xfId="30460" xr:uid="{00000000-0005-0000-0000-0000F9760000}"/>
    <cellStyle name="Normal 4 4_Enlaces" xfId="30461" xr:uid="{00000000-0005-0000-0000-0000FA760000}"/>
    <cellStyle name="Normal 4 40" xfId="30462" xr:uid="{00000000-0005-0000-0000-0000FB760000}"/>
    <cellStyle name="Normal 4 40 2" xfId="30463" xr:uid="{00000000-0005-0000-0000-0000FC760000}"/>
    <cellStyle name="Normal 4 40 3" xfId="30464" xr:uid="{00000000-0005-0000-0000-0000FD760000}"/>
    <cellStyle name="Normal 4 41" xfId="30465" xr:uid="{00000000-0005-0000-0000-0000FE760000}"/>
    <cellStyle name="Normal 4 41 2" xfId="30466" xr:uid="{00000000-0005-0000-0000-0000FF760000}"/>
    <cellStyle name="Normal 4 41 3" xfId="30467" xr:uid="{00000000-0005-0000-0000-000000770000}"/>
    <cellStyle name="Normal 4 42" xfId="30468" xr:uid="{00000000-0005-0000-0000-000001770000}"/>
    <cellStyle name="Normal 4 42 2" xfId="30469" xr:uid="{00000000-0005-0000-0000-000002770000}"/>
    <cellStyle name="Normal 4 42 3" xfId="30470" xr:uid="{00000000-0005-0000-0000-000003770000}"/>
    <cellStyle name="Normal 4 43" xfId="30471" xr:uid="{00000000-0005-0000-0000-000004770000}"/>
    <cellStyle name="Normal 4 43 2" xfId="30472" xr:uid="{00000000-0005-0000-0000-000005770000}"/>
    <cellStyle name="Normal 4 43 3" xfId="30473" xr:uid="{00000000-0005-0000-0000-000006770000}"/>
    <cellStyle name="Normal 4 44" xfId="30474" xr:uid="{00000000-0005-0000-0000-000007770000}"/>
    <cellStyle name="Normal 4 44 2" xfId="30475" xr:uid="{00000000-0005-0000-0000-000008770000}"/>
    <cellStyle name="Normal 4 44 3" xfId="30476" xr:uid="{00000000-0005-0000-0000-000009770000}"/>
    <cellStyle name="Normal 4 45" xfId="30477" xr:uid="{00000000-0005-0000-0000-00000A770000}"/>
    <cellStyle name="Normal 4 45 2" xfId="30478" xr:uid="{00000000-0005-0000-0000-00000B770000}"/>
    <cellStyle name="Normal 4 45 3" xfId="30479" xr:uid="{00000000-0005-0000-0000-00000C770000}"/>
    <cellStyle name="Normal 4 46" xfId="30480" xr:uid="{00000000-0005-0000-0000-00000D770000}"/>
    <cellStyle name="Normal 4 46 2" xfId="30481" xr:uid="{00000000-0005-0000-0000-00000E770000}"/>
    <cellStyle name="Normal 4 46 3" xfId="30482" xr:uid="{00000000-0005-0000-0000-00000F770000}"/>
    <cellStyle name="Normal 4 47" xfId="30483" xr:uid="{00000000-0005-0000-0000-000010770000}"/>
    <cellStyle name="Normal 4 48" xfId="30484" xr:uid="{00000000-0005-0000-0000-000011770000}"/>
    <cellStyle name="Normal 4 49" xfId="30485" xr:uid="{00000000-0005-0000-0000-000012770000}"/>
    <cellStyle name="Normal 4 5" xfId="30486" xr:uid="{00000000-0005-0000-0000-000013770000}"/>
    <cellStyle name="Normal 4 5 2" xfId="30487" xr:uid="{00000000-0005-0000-0000-000014770000}"/>
    <cellStyle name="Normal 4 5 3" xfId="30488" xr:uid="{00000000-0005-0000-0000-000015770000}"/>
    <cellStyle name="Normal 4 5 4" xfId="30489" xr:uid="{00000000-0005-0000-0000-000016770000}"/>
    <cellStyle name="Normal 4 5 5" xfId="30490" xr:uid="{00000000-0005-0000-0000-000017770000}"/>
    <cellStyle name="Normal 4 5_Enlaces" xfId="30491" xr:uid="{00000000-0005-0000-0000-000018770000}"/>
    <cellStyle name="Normal 4 50" xfId="30492" xr:uid="{00000000-0005-0000-0000-000019770000}"/>
    <cellStyle name="Normal 4 51" xfId="30493" xr:uid="{00000000-0005-0000-0000-00001A770000}"/>
    <cellStyle name="Normal 4 52" xfId="30494" xr:uid="{00000000-0005-0000-0000-00001B770000}"/>
    <cellStyle name="Normal 4 53" xfId="30495" xr:uid="{00000000-0005-0000-0000-00001C770000}"/>
    <cellStyle name="Normal 4 54" xfId="30496" xr:uid="{00000000-0005-0000-0000-00001D770000}"/>
    <cellStyle name="Normal 4 55" xfId="30497" xr:uid="{00000000-0005-0000-0000-00001E770000}"/>
    <cellStyle name="Normal 4 56" xfId="30498" xr:uid="{00000000-0005-0000-0000-00001F770000}"/>
    <cellStyle name="Normal 4 57" xfId="30499" xr:uid="{00000000-0005-0000-0000-000020770000}"/>
    <cellStyle name="Normal 4 58" xfId="30500" xr:uid="{00000000-0005-0000-0000-000021770000}"/>
    <cellStyle name="Normal 4 59" xfId="30501" xr:uid="{00000000-0005-0000-0000-000022770000}"/>
    <cellStyle name="Normal 4 6" xfId="30502" xr:uid="{00000000-0005-0000-0000-000023770000}"/>
    <cellStyle name="Normal 4 6 2" xfId="30503" xr:uid="{00000000-0005-0000-0000-000024770000}"/>
    <cellStyle name="Normal 4 6 3" xfId="30504" xr:uid="{00000000-0005-0000-0000-000025770000}"/>
    <cellStyle name="Normal 4 6 4" xfId="30505" xr:uid="{00000000-0005-0000-0000-000026770000}"/>
    <cellStyle name="Normal 4 6 5" xfId="30506" xr:uid="{00000000-0005-0000-0000-000027770000}"/>
    <cellStyle name="Normal 4 6_Enlaces" xfId="30507" xr:uid="{00000000-0005-0000-0000-000028770000}"/>
    <cellStyle name="Normal 4 60" xfId="30508" xr:uid="{00000000-0005-0000-0000-000029770000}"/>
    <cellStyle name="Normal 4 61" xfId="30509" xr:uid="{00000000-0005-0000-0000-00002A770000}"/>
    <cellStyle name="Normal 4 62" xfId="30510" xr:uid="{00000000-0005-0000-0000-00002B770000}"/>
    <cellStyle name="Normal 4 63" xfId="30511" xr:uid="{00000000-0005-0000-0000-00002C770000}"/>
    <cellStyle name="Normal 4 64" xfId="30512" xr:uid="{00000000-0005-0000-0000-00002D770000}"/>
    <cellStyle name="Normal 4 65" xfId="30513" xr:uid="{00000000-0005-0000-0000-00002E770000}"/>
    <cellStyle name="Normal 4 66" xfId="30514" xr:uid="{00000000-0005-0000-0000-00002F770000}"/>
    <cellStyle name="Normal 4 67" xfId="30515" xr:uid="{00000000-0005-0000-0000-000030770000}"/>
    <cellStyle name="Normal 4 68" xfId="30516" xr:uid="{00000000-0005-0000-0000-000031770000}"/>
    <cellStyle name="Normal 4 69" xfId="30517" xr:uid="{00000000-0005-0000-0000-000032770000}"/>
    <cellStyle name="Normal 4 7" xfId="30518" xr:uid="{00000000-0005-0000-0000-000033770000}"/>
    <cellStyle name="Normal 4 7 2" xfId="30519" xr:uid="{00000000-0005-0000-0000-000034770000}"/>
    <cellStyle name="Normal 4 7 3" xfId="30520" xr:uid="{00000000-0005-0000-0000-000035770000}"/>
    <cellStyle name="Normal 4 7 4" xfId="30521" xr:uid="{00000000-0005-0000-0000-000036770000}"/>
    <cellStyle name="Normal 4 7 5" xfId="30522" xr:uid="{00000000-0005-0000-0000-000037770000}"/>
    <cellStyle name="Normal 4 7_Enlaces" xfId="30523" xr:uid="{00000000-0005-0000-0000-000038770000}"/>
    <cellStyle name="Normal 4 70" xfId="30524" xr:uid="{00000000-0005-0000-0000-000039770000}"/>
    <cellStyle name="Normal 4 71" xfId="30525" xr:uid="{00000000-0005-0000-0000-00003A770000}"/>
    <cellStyle name="Normal 4 72" xfId="30526" xr:uid="{00000000-0005-0000-0000-00003B770000}"/>
    <cellStyle name="Normal 4 73" xfId="30527" xr:uid="{00000000-0005-0000-0000-00003C770000}"/>
    <cellStyle name="Normal 4 74" xfId="30528" xr:uid="{00000000-0005-0000-0000-00003D770000}"/>
    <cellStyle name="Normal 4 75" xfId="30529" xr:uid="{00000000-0005-0000-0000-00003E770000}"/>
    <cellStyle name="Normal 4 76" xfId="30530" xr:uid="{00000000-0005-0000-0000-00003F770000}"/>
    <cellStyle name="Normal 4 77" xfId="30531" xr:uid="{00000000-0005-0000-0000-000040770000}"/>
    <cellStyle name="Normal 4 78" xfId="30532" xr:uid="{00000000-0005-0000-0000-000041770000}"/>
    <cellStyle name="Normal 4 79" xfId="30533" xr:uid="{00000000-0005-0000-0000-000042770000}"/>
    <cellStyle name="Normal 4 8" xfId="30534" xr:uid="{00000000-0005-0000-0000-000043770000}"/>
    <cellStyle name="Normal 4 8 2" xfId="30535" xr:uid="{00000000-0005-0000-0000-000044770000}"/>
    <cellStyle name="Normal 4 8 3" xfId="30536" xr:uid="{00000000-0005-0000-0000-000045770000}"/>
    <cellStyle name="Normal 4 8 4" xfId="30537" xr:uid="{00000000-0005-0000-0000-000046770000}"/>
    <cellStyle name="Normal 4 8 5" xfId="30538" xr:uid="{00000000-0005-0000-0000-000047770000}"/>
    <cellStyle name="Normal 4 8_Enlaces" xfId="30539" xr:uid="{00000000-0005-0000-0000-000048770000}"/>
    <cellStyle name="Normal 4 80" xfId="30540" xr:uid="{00000000-0005-0000-0000-000049770000}"/>
    <cellStyle name="Normal 4 81" xfId="30541" xr:uid="{00000000-0005-0000-0000-00004A770000}"/>
    <cellStyle name="Normal 4 82" xfId="30542" xr:uid="{00000000-0005-0000-0000-00004B770000}"/>
    <cellStyle name="Normal 4 83" xfId="30543" xr:uid="{00000000-0005-0000-0000-00004C770000}"/>
    <cellStyle name="Normal 4 84" xfId="30544" xr:uid="{00000000-0005-0000-0000-00004D770000}"/>
    <cellStyle name="Normal 4 85" xfId="30545" xr:uid="{00000000-0005-0000-0000-00004E770000}"/>
    <cellStyle name="Normal 4 86" xfId="30546" xr:uid="{00000000-0005-0000-0000-00004F770000}"/>
    <cellStyle name="Normal 4 87" xfId="30547" xr:uid="{00000000-0005-0000-0000-000050770000}"/>
    <cellStyle name="Normal 4 88" xfId="30548" xr:uid="{00000000-0005-0000-0000-000051770000}"/>
    <cellStyle name="Normal 4 89" xfId="30549" xr:uid="{00000000-0005-0000-0000-000052770000}"/>
    <cellStyle name="Normal 4 9" xfId="30550" xr:uid="{00000000-0005-0000-0000-000053770000}"/>
    <cellStyle name="Normal 4 9 2" xfId="30551" xr:uid="{00000000-0005-0000-0000-000054770000}"/>
    <cellStyle name="Normal 4 9 3" xfId="30552" xr:uid="{00000000-0005-0000-0000-000055770000}"/>
    <cellStyle name="Normal 4 9 4" xfId="30553" xr:uid="{00000000-0005-0000-0000-000056770000}"/>
    <cellStyle name="Normal 4 9 5" xfId="30554" xr:uid="{00000000-0005-0000-0000-000057770000}"/>
    <cellStyle name="Normal 4 9_Enlaces" xfId="30555" xr:uid="{00000000-0005-0000-0000-000058770000}"/>
    <cellStyle name="Normal 4 90" xfId="30556" xr:uid="{00000000-0005-0000-0000-000059770000}"/>
    <cellStyle name="Normal 4 91" xfId="30557" xr:uid="{00000000-0005-0000-0000-00005A770000}"/>
    <cellStyle name="Normal 4 92" xfId="30558" xr:uid="{00000000-0005-0000-0000-00005B770000}"/>
    <cellStyle name="Normal 4 93" xfId="30559" xr:uid="{00000000-0005-0000-0000-00005C770000}"/>
    <cellStyle name="Normal 4 94" xfId="30560" xr:uid="{00000000-0005-0000-0000-00005D770000}"/>
    <cellStyle name="Normal 4 95" xfId="30561" xr:uid="{00000000-0005-0000-0000-00005E770000}"/>
    <cellStyle name="Normal 4 96" xfId="30562" xr:uid="{00000000-0005-0000-0000-00005F770000}"/>
    <cellStyle name="Normal 4 97" xfId="30563" xr:uid="{00000000-0005-0000-0000-000060770000}"/>
    <cellStyle name="Normal 4 98" xfId="30564" xr:uid="{00000000-0005-0000-0000-000061770000}"/>
    <cellStyle name="Normal 4 98 2" xfId="30565" xr:uid="{00000000-0005-0000-0000-000062770000}"/>
    <cellStyle name="Normal 4 98 3" xfId="30566" xr:uid="{00000000-0005-0000-0000-000063770000}"/>
    <cellStyle name="Normal 4 98 4" xfId="30567" xr:uid="{00000000-0005-0000-0000-000064770000}"/>
    <cellStyle name="Normal 4 98 5" xfId="30568" xr:uid="{00000000-0005-0000-0000-000065770000}"/>
    <cellStyle name="Normal 4 98 6" xfId="30569" xr:uid="{00000000-0005-0000-0000-000066770000}"/>
    <cellStyle name="Normal 4 99" xfId="30570" xr:uid="{00000000-0005-0000-0000-000067770000}"/>
    <cellStyle name="Normal 4 99 2" xfId="30571" xr:uid="{00000000-0005-0000-0000-000068770000}"/>
    <cellStyle name="Normal 4 99 3" xfId="30572" xr:uid="{00000000-0005-0000-0000-000069770000}"/>
    <cellStyle name="Normal 4 99 4" xfId="30573" xr:uid="{00000000-0005-0000-0000-00006A770000}"/>
    <cellStyle name="Normal 4 99 5" xfId="30574" xr:uid="{00000000-0005-0000-0000-00006B770000}"/>
    <cellStyle name="Normal 4 99 6" xfId="30575" xr:uid="{00000000-0005-0000-0000-00006C770000}"/>
    <cellStyle name="Normal 4_Enlaces" xfId="30576" xr:uid="{00000000-0005-0000-0000-00006D770000}"/>
    <cellStyle name="Normal 40" xfId="30577" xr:uid="{00000000-0005-0000-0000-00006E770000}"/>
    <cellStyle name="Normal 40 10" xfId="30578" xr:uid="{00000000-0005-0000-0000-00006F770000}"/>
    <cellStyle name="Normal 40 11" xfId="30579" xr:uid="{00000000-0005-0000-0000-000070770000}"/>
    <cellStyle name="Normal 40 12" xfId="30580" xr:uid="{00000000-0005-0000-0000-000071770000}"/>
    <cellStyle name="Normal 40 13" xfId="30581" xr:uid="{00000000-0005-0000-0000-000072770000}"/>
    <cellStyle name="Normal 40 14" xfId="30582" xr:uid="{00000000-0005-0000-0000-000073770000}"/>
    <cellStyle name="Normal 40 15" xfId="30583" xr:uid="{00000000-0005-0000-0000-000074770000}"/>
    <cellStyle name="Normal 40 16" xfId="30584" xr:uid="{00000000-0005-0000-0000-000075770000}"/>
    <cellStyle name="Normal 40 17" xfId="30585" xr:uid="{00000000-0005-0000-0000-000076770000}"/>
    <cellStyle name="Normal 40 18" xfId="30586" xr:uid="{00000000-0005-0000-0000-000077770000}"/>
    <cellStyle name="Normal 40 19" xfId="30587" xr:uid="{00000000-0005-0000-0000-000078770000}"/>
    <cellStyle name="Normal 40 2" xfId="30588" xr:uid="{00000000-0005-0000-0000-000079770000}"/>
    <cellStyle name="Normal 40 2 2" xfId="30589" xr:uid="{00000000-0005-0000-0000-00007A770000}"/>
    <cellStyle name="Normal 40 20" xfId="30590" xr:uid="{00000000-0005-0000-0000-00007B770000}"/>
    <cellStyle name="Normal 40 21" xfId="30591" xr:uid="{00000000-0005-0000-0000-00007C770000}"/>
    <cellStyle name="Normal 40 22" xfId="30592" xr:uid="{00000000-0005-0000-0000-00007D770000}"/>
    <cellStyle name="Normal 40 23" xfId="30593" xr:uid="{00000000-0005-0000-0000-00007E770000}"/>
    <cellStyle name="Normal 40 24" xfId="30594" xr:uid="{00000000-0005-0000-0000-00007F770000}"/>
    <cellStyle name="Normal 40 25" xfId="30595" xr:uid="{00000000-0005-0000-0000-000080770000}"/>
    <cellStyle name="Normal 40 26" xfId="30596" xr:uid="{00000000-0005-0000-0000-000081770000}"/>
    <cellStyle name="Normal 40 3" xfId="30597" xr:uid="{00000000-0005-0000-0000-000082770000}"/>
    <cellStyle name="Normal 40 3 2" xfId="30598" xr:uid="{00000000-0005-0000-0000-000083770000}"/>
    <cellStyle name="Normal 40 4" xfId="30599" xr:uid="{00000000-0005-0000-0000-000084770000}"/>
    <cellStyle name="Normal 40 4 2" xfId="30600" xr:uid="{00000000-0005-0000-0000-000085770000}"/>
    <cellStyle name="Normal 40 5" xfId="30601" xr:uid="{00000000-0005-0000-0000-000086770000}"/>
    <cellStyle name="Normal 40 5 2" xfId="30602" xr:uid="{00000000-0005-0000-0000-000087770000}"/>
    <cellStyle name="Normal 40 6" xfId="30603" xr:uid="{00000000-0005-0000-0000-000088770000}"/>
    <cellStyle name="Normal 40 7" xfId="30604" xr:uid="{00000000-0005-0000-0000-000089770000}"/>
    <cellStyle name="Normal 40 8" xfId="30605" xr:uid="{00000000-0005-0000-0000-00008A770000}"/>
    <cellStyle name="Normal 40 9" xfId="30606" xr:uid="{00000000-0005-0000-0000-00008B770000}"/>
    <cellStyle name="Normal 41" xfId="30607" xr:uid="{00000000-0005-0000-0000-00008C770000}"/>
    <cellStyle name="Normal 41 10" xfId="30608" xr:uid="{00000000-0005-0000-0000-00008D770000}"/>
    <cellStyle name="Normal 41 11" xfId="30609" xr:uid="{00000000-0005-0000-0000-00008E770000}"/>
    <cellStyle name="Normal 41 12" xfId="30610" xr:uid="{00000000-0005-0000-0000-00008F770000}"/>
    <cellStyle name="Normal 41 13" xfId="30611" xr:uid="{00000000-0005-0000-0000-000090770000}"/>
    <cellStyle name="Normal 41 14" xfId="30612" xr:uid="{00000000-0005-0000-0000-000091770000}"/>
    <cellStyle name="Normal 41 15" xfId="30613" xr:uid="{00000000-0005-0000-0000-000092770000}"/>
    <cellStyle name="Normal 41 16" xfId="30614" xr:uid="{00000000-0005-0000-0000-000093770000}"/>
    <cellStyle name="Normal 41 17" xfId="30615" xr:uid="{00000000-0005-0000-0000-000094770000}"/>
    <cellStyle name="Normal 41 18" xfId="30616" xr:uid="{00000000-0005-0000-0000-000095770000}"/>
    <cellStyle name="Normal 41 19" xfId="30617" xr:uid="{00000000-0005-0000-0000-000096770000}"/>
    <cellStyle name="Normal 41 2" xfId="30618" xr:uid="{00000000-0005-0000-0000-000097770000}"/>
    <cellStyle name="Normal 41 2 2" xfId="30619" xr:uid="{00000000-0005-0000-0000-000098770000}"/>
    <cellStyle name="Normal 41 20" xfId="30620" xr:uid="{00000000-0005-0000-0000-000099770000}"/>
    <cellStyle name="Normal 41 21" xfId="30621" xr:uid="{00000000-0005-0000-0000-00009A770000}"/>
    <cellStyle name="Normal 41 22" xfId="30622" xr:uid="{00000000-0005-0000-0000-00009B770000}"/>
    <cellStyle name="Normal 41 23" xfId="30623" xr:uid="{00000000-0005-0000-0000-00009C770000}"/>
    <cellStyle name="Normal 41 24" xfId="30624" xr:uid="{00000000-0005-0000-0000-00009D770000}"/>
    <cellStyle name="Normal 41 25" xfId="30625" xr:uid="{00000000-0005-0000-0000-00009E770000}"/>
    <cellStyle name="Normal 41 26" xfId="30626" xr:uid="{00000000-0005-0000-0000-00009F770000}"/>
    <cellStyle name="Normal 41 3" xfId="30627" xr:uid="{00000000-0005-0000-0000-0000A0770000}"/>
    <cellStyle name="Normal 41 3 2" xfId="30628" xr:uid="{00000000-0005-0000-0000-0000A1770000}"/>
    <cellStyle name="Normal 41 4" xfId="30629" xr:uid="{00000000-0005-0000-0000-0000A2770000}"/>
    <cellStyle name="Normal 41 4 2" xfId="30630" xr:uid="{00000000-0005-0000-0000-0000A3770000}"/>
    <cellStyle name="Normal 41 5" xfId="30631" xr:uid="{00000000-0005-0000-0000-0000A4770000}"/>
    <cellStyle name="Normal 41 5 2" xfId="30632" xr:uid="{00000000-0005-0000-0000-0000A5770000}"/>
    <cellStyle name="Normal 41 6" xfId="30633" xr:uid="{00000000-0005-0000-0000-0000A6770000}"/>
    <cellStyle name="Normal 41 7" xfId="30634" xr:uid="{00000000-0005-0000-0000-0000A7770000}"/>
    <cellStyle name="Normal 41 8" xfId="30635" xr:uid="{00000000-0005-0000-0000-0000A8770000}"/>
    <cellStyle name="Normal 41 9" xfId="30636" xr:uid="{00000000-0005-0000-0000-0000A9770000}"/>
    <cellStyle name="Normal 42" xfId="30637" xr:uid="{00000000-0005-0000-0000-0000AA770000}"/>
    <cellStyle name="Normal 43" xfId="30638" xr:uid="{00000000-0005-0000-0000-0000AB770000}"/>
    <cellStyle name="Normal 43 10" xfId="30639" xr:uid="{00000000-0005-0000-0000-0000AC770000}"/>
    <cellStyle name="Normal 43 11" xfId="30640" xr:uid="{00000000-0005-0000-0000-0000AD770000}"/>
    <cellStyle name="Normal 43 12" xfId="30641" xr:uid="{00000000-0005-0000-0000-0000AE770000}"/>
    <cellStyle name="Normal 43 13" xfId="30642" xr:uid="{00000000-0005-0000-0000-0000AF770000}"/>
    <cellStyle name="Normal 43 14" xfId="30643" xr:uid="{00000000-0005-0000-0000-0000B0770000}"/>
    <cellStyle name="Normal 43 15" xfId="30644" xr:uid="{00000000-0005-0000-0000-0000B1770000}"/>
    <cellStyle name="Normal 43 16" xfId="30645" xr:uid="{00000000-0005-0000-0000-0000B2770000}"/>
    <cellStyle name="Normal 43 17" xfId="30646" xr:uid="{00000000-0005-0000-0000-0000B3770000}"/>
    <cellStyle name="Normal 43 18" xfId="30647" xr:uid="{00000000-0005-0000-0000-0000B4770000}"/>
    <cellStyle name="Normal 43 19" xfId="30648" xr:uid="{00000000-0005-0000-0000-0000B5770000}"/>
    <cellStyle name="Normal 43 2" xfId="30649" xr:uid="{00000000-0005-0000-0000-0000B6770000}"/>
    <cellStyle name="Normal 43 2 2" xfId="30650" xr:uid="{00000000-0005-0000-0000-0000B7770000}"/>
    <cellStyle name="Normal 43 20" xfId="30651" xr:uid="{00000000-0005-0000-0000-0000B8770000}"/>
    <cellStyle name="Normal 43 21" xfId="30652" xr:uid="{00000000-0005-0000-0000-0000B9770000}"/>
    <cellStyle name="Normal 43 22" xfId="30653" xr:uid="{00000000-0005-0000-0000-0000BA770000}"/>
    <cellStyle name="Normal 43 23" xfId="30654" xr:uid="{00000000-0005-0000-0000-0000BB770000}"/>
    <cellStyle name="Normal 43 24" xfId="30655" xr:uid="{00000000-0005-0000-0000-0000BC770000}"/>
    <cellStyle name="Normal 43 25" xfId="30656" xr:uid="{00000000-0005-0000-0000-0000BD770000}"/>
    <cellStyle name="Normal 43 26" xfId="30657" xr:uid="{00000000-0005-0000-0000-0000BE770000}"/>
    <cellStyle name="Normal 43 27" xfId="30658" xr:uid="{00000000-0005-0000-0000-0000BF770000}"/>
    <cellStyle name="Normal 43 28" xfId="30659" xr:uid="{00000000-0005-0000-0000-0000C0770000}"/>
    <cellStyle name="Normal 43 3" xfId="30660" xr:uid="{00000000-0005-0000-0000-0000C1770000}"/>
    <cellStyle name="Normal 43 3 2" xfId="30661" xr:uid="{00000000-0005-0000-0000-0000C2770000}"/>
    <cellStyle name="Normal 43 4" xfId="30662" xr:uid="{00000000-0005-0000-0000-0000C3770000}"/>
    <cellStyle name="Normal 43 4 2" xfId="30663" xr:uid="{00000000-0005-0000-0000-0000C4770000}"/>
    <cellStyle name="Normal 43 5" xfId="30664" xr:uid="{00000000-0005-0000-0000-0000C5770000}"/>
    <cellStyle name="Normal 43 5 2" xfId="30665" xr:uid="{00000000-0005-0000-0000-0000C6770000}"/>
    <cellStyle name="Normal 43 6" xfId="30666" xr:uid="{00000000-0005-0000-0000-0000C7770000}"/>
    <cellStyle name="Normal 43 7" xfId="30667" xr:uid="{00000000-0005-0000-0000-0000C8770000}"/>
    <cellStyle name="Normal 43 8" xfId="30668" xr:uid="{00000000-0005-0000-0000-0000C9770000}"/>
    <cellStyle name="Normal 43 9" xfId="30669" xr:uid="{00000000-0005-0000-0000-0000CA770000}"/>
    <cellStyle name="Normal 44" xfId="30670" xr:uid="{00000000-0005-0000-0000-0000CB770000}"/>
    <cellStyle name="Normal 44 10" xfId="30671" xr:uid="{00000000-0005-0000-0000-0000CC770000}"/>
    <cellStyle name="Normal 44 11" xfId="30672" xr:uid="{00000000-0005-0000-0000-0000CD770000}"/>
    <cellStyle name="Normal 44 12" xfId="30673" xr:uid="{00000000-0005-0000-0000-0000CE770000}"/>
    <cellStyle name="Normal 44 13" xfId="30674" xr:uid="{00000000-0005-0000-0000-0000CF770000}"/>
    <cellStyle name="Normal 44 14" xfId="30675" xr:uid="{00000000-0005-0000-0000-0000D0770000}"/>
    <cellStyle name="Normal 44 15" xfId="30676" xr:uid="{00000000-0005-0000-0000-0000D1770000}"/>
    <cellStyle name="Normal 44 16" xfId="30677" xr:uid="{00000000-0005-0000-0000-0000D2770000}"/>
    <cellStyle name="Normal 44 17" xfId="30678" xr:uid="{00000000-0005-0000-0000-0000D3770000}"/>
    <cellStyle name="Normal 44 18" xfId="30679" xr:uid="{00000000-0005-0000-0000-0000D4770000}"/>
    <cellStyle name="Normal 44 19" xfId="30680" xr:uid="{00000000-0005-0000-0000-0000D5770000}"/>
    <cellStyle name="Normal 44 2" xfId="30681" xr:uid="{00000000-0005-0000-0000-0000D6770000}"/>
    <cellStyle name="Normal 44 2 2" xfId="30682" xr:uid="{00000000-0005-0000-0000-0000D7770000}"/>
    <cellStyle name="Normal 44 20" xfId="30683" xr:uid="{00000000-0005-0000-0000-0000D8770000}"/>
    <cellStyle name="Normal 44 21" xfId="30684" xr:uid="{00000000-0005-0000-0000-0000D9770000}"/>
    <cellStyle name="Normal 44 22" xfId="30685" xr:uid="{00000000-0005-0000-0000-0000DA770000}"/>
    <cellStyle name="Normal 44 23" xfId="30686" xr:uid="{00000000-0005-0000-0000-0000DB770000}"/>
    <cellStyle name="Normal 44 24" xfId="30687" xr:uid="{00000000-0005-0000-0000-0000DC770000}"/>
    <cellStyle name="Normal 44 25" xfId="30688" xr:uid="{00000000-0005-0000-0000-0000DD770000}"/>
    <cellStyle name="Normal 44 26" xfId="30689" xr:uid="{00000000-0005-0000-0000-0000DE770000}"/>
    <cellStyle name="Normal 44 3" xfId="30690" xr:uid="{00000000-0005-0000-0000-0000DF770000}"/>
    <cellStyle name="Normal 44 3 2" xfId="30691" xr:uid="{00000000-0005-0000-0000-0000E0770000}"/>
    <cellStyle name="Normal 44 4" xfId="30692" xr:uid="{00000000-0005-0000-0000-0000E1770000}"/>
    <cellStyle name="Normal 44 4 2" xfId="30693" xr:uid="{00000000-0005-0000-0000-0000E2770000}"/>
    <cellStyle name="Normal 44 5" xfId="30694" xr:uid="{00000000-0005-0000-0000-0000E3770000}"/>
    <cellStyle name="Normal 44 5 2" xfId="30695" xr:uid="{00000000-0005-0000-0000-0000E4770000}"/>
    <cellStyle name="Normal 44 6" xfId="30696" xr:uid="{00000000-0005-0000-0000-0000E5770000}"/>
    <cellStyle name="Normal 44 7" xfId="30697" xr:uid="{00000000-0005-0000-0000-0000E6770000}"/>
    <cellStyle name="Normal 44 8" xfId="30698" xr:uid="{00000000-0005-0000-0000-0000E7770000}"/>
    <cellStyle name="Normal 44 9" xfId="30699" xr:uid="{00000000-0005-0000-0000-0000E8770000}"/>
    <cellStyle name="Normal 45" xfId="30700" xr:uid="{00000000-0005-0000-0000-0000E9770000}"/>
    <cellStyle name="Normal 46" xfId="30701" xr:uid="{00000000-0005-0000-0000-0000EA770000}"/>
    <cellStyle name="Normal 47" xfId="30702" xr:uid="{00000000-0005-0000-0000-0000EB770000}"/>
    <cellStyle name="Normal 48" xfId="30703" xr:uid="{00000000-0005-0000-0000-0000EC770000}"/>
    <cellStyle name="Normal 49" xfId="30704" xr:uid="{00000000-0005-0000-0000-0000ED770000}"/>
    <cellStyle name="Normal 49 10" xfId="30705" xr:uid="{00000000-0005-0000-0000-0000EE770000}"/>
    <cellStyle name="Normal 49 11" xfId="30706" xr:uid="{00000000-0005-0000-0000-0000EF770000}"/>
    <cellStyle name="Normal 49 12" xfId="30707" xr:uid="{00000000-0005-0000-0000-0000F0770000}"/>
    <cellStyle name="Normal 49 13" xfId="30708" xr:uid="{00000000-0005-0000-0000-0000F1770000}"/>
    <cellStyle name="Normal 49 14" xfId="30709" xr:uid="{00000000-0005-0000-0000-0000F2770000}"/>
    <cellStyle name="Normal 49 15" xfId="30710" xr:uid="{00000000-0005-0000-0000-0000F3770000}"/>
    <cellStyle name="Normal 49 16" xfId="30711" xr:uid="{00000000-0005-0000-0000-0000F4770000}"/>
    <cellStyle name="Normal 49 17" xfId="30712" xr:uid="{00000000-0005-0000-0000-0000F5770000}"/>
    <cellStyle name="Normal 49 18" xfId="30713" xr:uid="{00000000-0005-0000-0000-0000F6770000}"/>
    <cellStyle name="Normal 49 19" xfId="30714" xr:uid="{00000000-0005-0000-0000-0000F7770000}"/>
    <cellStyle name="Normal 49 2" xfId="30715" xr:uid="{00000000-0005-0000-0000-0000F8770000}"/>
    <cellStyle name="Normal 49 2 2" xfId="30716" xr:uid="{00000000-0005-0000-0000-0000F9770000}"/>
    <cellStyle name="Normal 49 20" xfId="30717" xr:uid="{00000000-0005-0000-0000-0000FA770000}"/>
    <cellStyle name="Normal 49 21" xfId="30718" xr:uid="{00000000-0005-0000-0000-0000FB770000}"/>
    <cellStyle name="Normal 49 22" xfId="30719" xr:uid="{00000000-0005-0000-0000-0000FC770000}"/>
    <cellStyle name="Normal 49 23" xfId="30720" xr:uid="{00000000-0005-0000-0000-0000FD770000}"/>
    <cellStyle name="Normal 49 24" xfId="30721" xr:uid="{00000000-0005-0000-0000-0000FE770000}"/>
    <cellStyle name="Normal 49 25" xfId="30722" xr:uid="{00000000-0005-0000-0000-0000FF770000}"/>
    <cellStyle name="Normal 49 26" xfId="30723" xr:uid="{00000000-0005-0000-0000-000000780000}"/>
    <cellStyle name="Normal 49 3" xfId="30724" xr:uid="{00000000-0005-0000-0000-000001780000}"/>
    <cellStyle name="Normal 49 3 2" xfId="30725" xr:uid="{00000000-0005-0000-0000-000002780000}"/>
    <cellStyle name="Normal 49 4" xfId="30726" xr:uid="{00000000-0005-0000-0000-000003780000}"/>
    <cellStyle name="Normal 49 4 2" xfId="30727" xr:uid="{00000000-0005-0000-0000-000004780000}"/>
    <cellStyle name="Normal 49 5" xfId="30728" xr:uid="{00000000-0005-0000-0000-000005780000}"/>
    <cellStyle name="Normal 49 5 2" xfId="30729" xr:uid="{00000000-0005-0000-0000-000006780000}"/>
    <cellStyle name="Normal 49 6" xfId="30730" xr:uid="{00000000-0005-0000-0000-000007780000}"/>
    <cellStyle name="Normal 49 7" xfId="30731" xr:uid="{00000000-0005-0000-0000-000008780000}"/>
    <cellStyle name="Normal 49 8" xfId="30732" xr:uid="{00000000-0005-0000-0000-000009780000}"/>
    <cellStyle name="Normal 49 9" xfId="30733" xr:uid="{00000000-0005-0000-0000-00000A780000}"/>
    <cellStyle name="Normal 5" xfId="2" xr:uid="{00000000-0005-0000-0000-00000B780000}"/>
    <cellStyle name="Normal 5 10" xfId="30734" xr:uid="{00000000-0005-0000-0000-00000C780000}"/>
    <cellStyle name="Normal 5 10 10" xfId="30735" xr:uid="{00000000-0005-0000-0000-00000D780000}"/>
    <cellStyle name="Normal 5 10 10 10" xfId="30736" xr:uid="{00000000-0005-0000-0000-00000E780000}"/>
    <cellStyle name="Normal 5 10 10 11" xfId="30737" xr:uid="{00000000-0005-0000-0000-00000F780000}"/>
    <cellStyle name="Normal 5 10 10 12" xfId="30738" xr:uid="{00000000-0005-0000-0000-000010780000}"/>
    <cellStyle name="Normal 5 10 10 13" xfId="30739" xr:uid="{00000000-0005-0000-0000-000011780000}"/>
    <cellStyle name="Normal 5 10 10 14" xfId="30740" xr:uid="{00000000-0005-0000-0000-000012780000}"/>
    <cellStyle name="Normal 5 10 10 2" xfId="30741" xr:uid="{00000000-0005-0000-0000-000013780000}"/>
    <cellStyle name="Normal 5 10 10 2 10" xfId="30742" xr:uid="{00000000-0005-0000-0000-000014780000}"/>
    <cellStyle name="Normal 5 10 10 2 2" xfId="30743" xr:uid="{00000000-0005-0000-0000-000015780000}"/>
    <cellStyle name="Normal 5 10 10 2 3" xfId="30744" xr:uid="{00000000-0005-0000-0000-000016780000}"/>
    <cellStyle name="Normal 5 10 10 2 4" xfId="30745" xr:uid="{00000000-0005-0000-0000-000017780000}"/>
    <cellStyle name="Normal 5 10 10 2 5" xfId="30746" xr:uid="{00000000-0005-0000-0000-000018780000}"/>
    <cellStyle name="Normal 5 10 10 2 6" xfId="30747" xr:uid="{00000000-0005-0000-0000-000019780000}"/>
    <cellStyle name="Normal 5 10 10 2 7" xfId="30748" xr:uid="{00000000-0005-0000-0000-00001A780000}"/>
    <cellStyle name="Normal 5 10 10 2 8" xfId="30749" xr:uid="{00000000-0005-0000-0000-00001B780000}"/>
    <cellStyle name="Normal 5 10 10 2 9" xfId="30750" xr:uid="{00000000-0005-0000-0000-00001C780000}"/>
    <cellStyle name="Normal 5 10 10 3" xfId="30751" xr:uid="{00000000-0005-0000-0000-00001D780000}"/>
    <cellStyle name="Normal 5 10 10 3 10" xfId="30752" xr:uid="{00000000-0005-0000-0000-00001E780000}"/>
    <cellStyle name="Normal 5 10 10 3 2" xfId="30753" xr:uid="{00000000-0005-0000-0000-00001F780000}"/>
    <cellStyle name="Normal 5 10 10 3 3" xfId="30754" xr:uid="{00000000-0005-0000-0000-000020780000}"/>
    <cellStyle name="Normal 5 10 10 3 4" xfId="30755" xr:uid="{00000000-0005-0000-0000-000021780000}"/>
    <cellStyle name="Normal 5 10 10 3 5" xfId="30756" xr:uid="{00000000-0005-0000-0000-000022780000}"/>
    <cellStyle name="Normal 5 10 10 3 6" xfId="30757" xr:uid="{00000000-0005-0000-0000-000023780000}"/>
    <cellStyle name="Normal 5 10 10 3 7" xfId="30758" xr:uid="{00000000-0005-0000-0000-000024780000}"/>
    <cellStyle name="Normal 5 10 10 3 8" xfId="30759" xr:uid="{00000000-0005-0000-0000-000025780000}"/>
    <cellStyle name="Normal 5 10 10 3 9" xfId="30760" xr:uid="{00000000-0005-0000-0000-000026780000}"/>
    <cellStyle name="Normal 5 10 10 4" xfId="30761" xr:uid="{00000000-0005-0000-0000-000027780000}"/>
    <cellStyle name="Normal 5 10 10 4 10" xfId="30762" xr:uid="{00000000-0005-0000-0000-000028780000}"/>
    <cellStyle name="Normal 5 10 10 4 2" xfId="30763" xr:uid="{00000000-0005-0000-0000-000029780000}"/>
    <cellStyle name="Normal 5 10 10 4 3" xfId="30764" xr:uid="{00000000-0005-0000-0000-00002A780000}"/>
    <cellStyle name="Normal 5 10 10 4 4" xfId="30765" xr:uid="{00000000-0005-0000-0000-00002B780000}"/>
    <cellStyle name="Normal 5 10 10 4 5" xfId="30766" xr:uid="{00000000-0005-0000-0000-00002C780000}"/>
    <cellStyle name="Normal 5 10 10 4 6" xfId="30767" xr:uid="{00000000-0005-0000-0000-00002D780000}"/>
    <cellStyle name="Normal 5 10 10 4 7" xfId="30768" xr:uid="{00000000-0005-0000-0000-00002E780000}"/>
    <cellStyle name="Normal 5 10 10 4 8" xfId="30769" xr:uid="{00000000-0005-0000-0000-00002F780000}"/>
    <cellStyle name="Normal 5 10 10 4 9" xfId="30770" xr:uid="{00000000-0005-0000-0000-000030780000}"/>
    <cellStyle name="Normal 5 10 10 5" xfId="30771" xr:uid="{00000000-0005-0000-0000-000031780000}"/>
    <cellStyle name="Normal 5 10 10 5 10" xfId="30772" xr:uid="{00000000-0005-0000-0000-000032780000}"/>
    <cellStyle name="Normal 5 10 10 5 2" xfId="30773" xr:uid="{00000000-0005-0000-0000-000033780000}"/>
    <cellStyle name="Normal 5 10 10 5 3" xfId="30774" xr:uid="{00000000-0005-0000-0000-000034780000}"/>
    <cellStyle name="Normal 5 10 10 5 4" xfId="30775" xr:uid="{00000000-0005-0000-0000-000035780000}"/>
    <cellStyle name="Normal 5 10 10 5 5" xfId="30776" xr:uid="{00000000-0005-0000-0000-000036780000}"/>
    <cellStyle name="Normal 5 10 10 5 6" xfId="30777" xr:uid="{00000000-0005-0000-0000-000037780000}"/>
    <cellStyle name="Normal 5 10 10 5 7" xfId="30778" xr:uid="{00000000-0005-0000-0000-000038780000}"/>
    <cellStyle name="Normal 5 10 10 5 8" xfId="30779" xr:uid="{00000000-0005-0000-0000-000039780000}"/>
    <cellStyle name="Normal 5 10 10 5 9" xfId="30780" xr:uid="{00000000-0005-0000-0000-00003A780000}"/>
    <cellStyle name="Normal 5 10 10 6" xfId="30781" xr:uid="{00000000-0005-0000-0000-00003B780000}"/>
    <cellStyle name="Normal 5 10 10 7" xfId="30782" xr:uid="{00000000-0005-0000-0000-00003C780000}"/>
    <cellStyle name="Normal 5 10 10 8" xfId="30783" xr:uid="{00000000-0005-0000-0000-00003D780000}"/>
    <cellStyle name="Normal 5 10 10 9" xfId="30784" xr:uid="{00000000-0005-0000-0000-00003E780000}"/>
    <cellStyle name="Normal 5 10 11" xfId="30785" xr:uid="{00000000-0005-0000-0000-00003F780000}"/>
    <cellStyle name="Normal 5 10 11 10" xfId="30786" xr:uid="{00000000-0005-0000-0000-000040780000}"/>
    <cellStyle name="Normal 5 10 11 11" xfId="30787" xr:uid="{00000000-0005-0000-0000-000041780000}"/>
    <cellStyle name="Normal 5 10 11 12" xfId="30788" xr:uid="{00000000-0005-0000-0000-000042780000}"/>
    <cellStyle name="Normal 5 10 11 13" xfId="30789" xr:uid="{00000000-0005-0000-0000-000043780000}"/>
    <cellStyle name="Normal 5 10 11 14" xfId="30790" xr:uid="{00000000-0005-0000-0000-000044780000}"/>
    <cellStyle name="Normal 5 10 11 2" xfId="30791" xr:uid="{00000000-0005-0000-0000-000045780000}"/>
    <cellStyle name="Normal 5 10 11 2 10" xfId="30792" xr:uid="{00000000-0005-0000-0000-000046780000}"/>
    <cellStyle name="Normal 5 10 11 2 2" xfId="30793" xr:uid="{00000000-0005-0000-0000-000047780000}"/>
    <cellStyle name="Normal 5 10 11 2 3" xfId="30794" xr:uid="{00000000-0005-0000-0000-000048780000}"/>
    <cellStyle name="Normal 5 10 11 2 4" xfId="30795" xr:uid="{00000000-0005-0000-0000-000049780000}"/>
    <cellStyle name="Normal 5 10 11 2 5" xfId="30796" xr:uid="{00000000-0005-0000-0000-00004A780000}"/>
    <cellStyle name="Normal 5 10 11 2 6" xfId="30797" xr:uid="{00000000-0005-0000-0000-00004B780000}"/>
    <cellStyle name="Normal 5 10 11 2 7" xfId="30798" xr:uid="{00000000-0005-0000-0000-00004C780000}"/>
    <cellStyle name="Normal 5 10 11 2 8" xfId="30799" xr:uid="{00000000-0005-0000-0000-00004D780000}"/>
    <cellStyle name="Normal 5 10 11 2 9" xfId="30800" xr:uid="{00000000-0005-0000-0000-00004E780000}"/>
    <cellStyle name="Normal 5 10 11 3" xfId="30801" xr:uid="{00000000-0005-0000-0000-00004F780000}"/>
    <cellStyle name="Normal 5 10 11 3 10" xfId="30802" xr:uid="{00000000-0005-0000-0000-000050780000}"/>
    <cellStyle name="Normal 5 10 11 3 2" xfId="30803" xr:uid="{00000000-0005-0000-0000-000051780000}"/>
    <cellStyle name="Normal 5 10 11 3 3" xfId="30804" xr:uid="{00000000-0005-0000-0000-000052780000}"/>
    <cellStyle name="Normal 5 10 11 3 4" xfId="30805" xr:uid="{00000000-0005-0000-0000-000053780000}"/>
    <cellStyle name="Normal 5 10 11 3 5" xfId="30806" xr:uid="{00000000-0005-0000-0000-000054780000}"/>
    <cellStyle name="Normal 5 10 11 3 6" xfId="30807" xr:uid="{00000000-0005-0000-0000-000055780000}"/>
    <cellStyle name="Normal 5 10 11 3 7" xfId="30808" xr:uid="{00000000-0005-0000-0000-000056780000}"/>
    <cellStyle name="Normal 5 10 11 3 8" xfId="30809" xr:uid="{00000000-0005-0000-0000-000057780000}"/>
    <cellStyle name="Normal 5 10 11 3 9" xfId="30810" xr:uid="{00000000-0005-0000-0000-000058780000}"/>
    <cellStyle name="Normal 5 10 11 4" xfId="30811" xr:uid="{00000000-0005-0000-0000-000059780000}"/>
    <cellStyle name="Normal 5 10 11 4 10" xfId="30812" xr:uid="{00000000-0005-0000-0000-00005A780000}"/>
    <cellStyle name="Normal 5 10 11 4 2" xfId="30813" xr:uid="{00000000-0005-0000-0000-00005B780000}"/>
    <cellStyle name="Normal 5 10 11 4 3" xfId="30814" xr:uid="{00000000-0005-0000-0000-00005C780000}"/>
    <cellStyle name="Normal 5 10 11 4 4" xfId="30815" xr:uid="{00000000-0005-0000-0000-00005D780000}"/>
    <cellStyle name="Normal 5 10 11 4 5" xfId="30816" xr:uid="{00000000-0005-0000-0000-00005E780000}"/>
    <cellStyle name="Normal 5 10 11 4 6" xfId="30817" xr:uid="{00000000-0005-0000-0000-00005F780000}"/>
    <cellStyle name="Normal 5 10 11 4 7" xfId="30818" xr:uid="{00000000-0005-0000-0000-000060780000}"/>
    <cellStyle name="Normal 5 10 11 4 8" xfId="30819" xr:uid="{00000000-0005-0000-0000-000061780000}"/>
    <cellStyle name="Normal 5 10 11 4 9" xfId="30820" xr:uid="{00000000-0005-0000-0000-000062780000}"/>
    <cellStyle name="Normal 5 10 11 5" xfId="30821" xr:uid="{00000000-0005-0000-0000-000063780000}"/>
    <cellStyle name="Normal 5 10 11 5 10" xfId="30822" xr:uid="{00000000-0005-0000-0000-000064780000}"/>
    <cellStyle name="Normal 5 10 11 5 2" xfId="30823" xr:uid="{00000000-0005-0000-0000-000065780000}"/>
    <cellStyle name="Normal 5 10 11 5 3" xfId="30824" xr:uid="{00000000-0005-0000-0000-000066780000}"/>
    <cellStyle name="Normal 5 10 11 5 4" xfId="30825" xr:uid="{00000000-0005-0000-0000-000067780000}"/>
    <cellStyle name="Normal 5 10 11 5 5" xfId="30826" xr:uid="{00000000-0005-0000-0000-000068780000}"/>
    <cellStyle name="Normal 5 10 11 5 6" xfId="30827" xr:uid="{00000000-0005-0000-0000-000069780000}"/>
    <cellStyle name="Normal 5 10 11 5 7" xfId="30828" xr:uid="{00000000-0005-0000-0000-00006A780000}"/>
    <cellStyle name="Normal 5 10 11 5 8" xfId="30829" xr:uid="{00000000-0005-0000-0000-00006B780000}"/>
    <cellStyle name="Normal 5 10 11 5 9" xfId="30830" xr:uid="{00000000-0005-0000-0000-00006C780000}"/>
    <cellStyle name="Normal 5 10 11 6" xfId="30831" xr:uid="{00000000-0005-0000-0000-00006D780000}"/>
    <cellStyle name="Normal 5 10 11 7" xfId="30832" xr:uid="{00000000-0005-0000-0000-00006E780000}"/>
    <cellStyle name="Normal 5 10 11 8" xfId="30833" xr:uid="{00000000-0005-0000-0000-00006F780000}"/>
    <cellStyle name="Normal 5 10 11 9" xfId="30834" xr:uid="{00000000-0005-0000-0000-000070780000}"/>
    <cellStyle name="Normal 5 10 12" xfId="30835" xr:uid="{00000000-0005-0000-0000-000071780000}"/>
    <cellStyle name="Normal 5 10 12 10" xfId="30836" xr:uid="{00000000-0005-0000-0000-000072780000}"/>
    <cellStyle name="Normal 5 10 12 11" xfId="30837" xr:uid="{00000000-0005-0000-0000-000073780000}"/>
    <cellStyle name="Normal 5 10 12 12" xfId="30838" xr:uid="{00000000-0005-0000-0000-000074780000}"/>
    <cellStyle name="Normal 5 10 12 13" xfId="30839" xr:uid="{00000000-0005-0000-0000-000075780000}"/>
    <cellStyle name="Normal 5 10 12 14" xfId="30840" xr:uid="{00000000-0005-0000-0000-000076780000}"/>
    <cellStyle name="Normal 5 10 12 2" xfId="30841" xr:uid="{00000000-0005-0000-0000-000077780000}"/>
    <cellStyle name="Normal 5 10 12 2 10" xfId="30842" xr:uid="{00000000-0005-0000-0000-000078780000}"/>
    <cellStyle name="Normal 5 10 12 2 2" xfId="30843" xr:uid="{00000000-0005-0000-0000-000079780000}"/>
    <cellStyle name="Normal 5 10 12 2 3" xfId="30844" xr:uid="{00000000-0005-0000-0000-00007A780000}"/>
    <cellStyle name="Normal 5 10 12 2 4" xfId="30845" xr:uid="{00000000-0005-0000-0000-00007B780000}"/>
    <cellStyle name="Normal 5 10 12 2 5" xfId="30846" xr:uid="{00000000-0005-0000-0000-00007C780000}"/>
    <cellStyle name="Normal 5 10 12 2 6" xfId="30847" xr:uid="{00000000-0005-0000-0000-00007D780000}"/>
    <cellStyle name="Normal 5 10 12 2 7" xfId="30848" xr:uid="{00000000-0005-0000-0000-00007E780000}"/>
    <cellStyle name="Normal 5 10 12 2 8" xfId="30849" xr:uid="{00000000-0005-0000-0000-00007F780000}"/>
    <cellStyle name="Normal 5 10 12 2 9" xfId="30850" xr:uid="{00000000-0005-0000-0000-000080780000}"/>
    <cellStyle name="Normal 5 10 12 3" xfId="30851" xr:uid="{00000000-0005-0000-0000-000081780000}"/>
    <cellStyle name="Normal 5 10 12 3 10" xfId="30852" xr:uid="{00000000-0005-0000-0000-000082780000}"/>
    <cellStyle name="Normal 5 10 12 3 2" xfId="30853" xr:uid="{00000000-0005-0000-0000-000083780000}"/>
    <cellStyle name="Normal 5 10 12 3 3" xfId="30854" xr:uid="{00000000-0005-0000-0000-000084780000}"/>
    <cellStyle name="Normal 5 10 12 3 4" xfId="30855" xr:uid="{00000000-0005-0000-0000-000085780000}"/>
    <cellStyle name="Normal 5 10 12 3 5" xfId="30856" xr:uid="{00000000-0005-0000-0000-000086780000}"/>
    <cellStyle name="Normal 5 10 12 3 6" xfId="30857" xr:uid="{00000000-0005-0000-0000-000087780000}"/>
    <cellStyle name="Normal 5 10 12 3 7" xfId="30858" xr:uid="{00000000-0005-0000-0000-000088780000}"/>
    <cellStyle name="Normal 5 10 12 3 8" xfId="30859" xr:uid="{00000000-0005-0000-0000-000089780000}"/>
    <cellStyle name="Normal 5 10 12 3 9" xfId="30860" xr:uid="{00000000-0005-0000-0000-00008A780000}"/>
    <cellStyle name="Normal 5 10 12 4" xfId="30861" xr:uid="{00000000-0005-0000-0000-00008B780000}"/>
    <cellStyle name="Normal 5 10 12 4 10" xfId="30862" xr:uid="{00000000-0005-0000-0000-00008C780000}"/>
    <cellStyle name="Normal 5 10 12 4 2" xfId="30863" xr:uid="{00000000-0005-0000-0000-00008D780000}"/>
    <cellStyle name="Normal 5 10 12 4 3" xfId="30864" xr:uid="{00000000-0005-0000-0000-00008E780000}"/>
    <cellStyle name="Normal 5 10 12 4 4" xfId="30865" xr:uid="{00000000-0005-0000-0000-00008F780000}"/>
    <cellStyle name="Normal 5 10 12 4 5" xfId="30866" xr:uid="{00000000-0005-0000-0000-000090780000}"/>
    <cellStyle name="Normal 5 10 12 4 6" xfId="30867" xr:uid="{00000000-0005-0000-0000-000091780000}"/>
    <cellStyle name="Normal 5 10 12 4 7" xfId="30868" xr:uid="{00000000-0005-0000-0000-000092780000}"/>
    <cellStyle name="Normal 5 10 12 4 8" xfId="30869" xr:uid="{00000000-0005-0000-0000-000093780000}"/>
    <cellStyle name="Normal 5 10 12 4 9" xfId="30870" xr:uid="{00000000-0005-0000-0000-000094780000}"/>
    <cellStyle name="Normal 5 10 12 5" xfId="30871" xr:uid="{00000000-0005-0000-0000-000095780000}"/>
    <cellStyle name="Normal 5 10 12 5 10" xfId="30872" xr:uid="{00000000-0005-0000-0000-000096780000}"/>
    <cellStyle name="Normal 5 10 12 5 2" xfId="30873" xr:uid="{00000000-0005-0000-0000-000097780000}"/>
    <cellStyle name="Normal 5 10 12 5 3" xfId="30874" xr:uid="{00000000-0005-0000-0000-000098780000}"/>
    <cellStyle name="Normal 5 10 12 5 4" xfId="30875" xr:uid="{00000000-0005-0000-0000-000099780000}"/>
    <cellStyle name="Normal 5 10 12 5 5" xfId="30876" xr:uid="{00000000-0005-0000-0000-00009A780000}"/>
    <cellStyle name="Normal 5 10 12 5 6" xfId="30877" xr:uid="{00000000-0005-0000-0000-00009B780000}"/>
    <cellStyle name="Normal 5 10 12 5 7" xfId="30878" xr:uid="{00000000-0005-0000-0000-00009C780000}"/>
    <cellStyle name="Normal 5 10 12 5 8" xfId="30879" xr:uid="{00000000-0005-0000-0000-00009D780000}"/>
    <cellStyle name="Normal 5 10 12 5 9" xfId="30880" xr:uid="{00000000-0005-0000-0000-00009E780000}"/>
    <cellStyle name="Normal 5 10 12 6" xfId="30881" xr:uid="{00000000-0005-0000-0000-00009F780000}"/>
    <cellStyle name="Normal 5 10 12 7" xfId="30882" xr:uid="{00000000-0005-0000-0000-0000A0780000}"/>
    <cellStyle name="Normal 5 10 12 8" xfId="30883" xr:uid="{00000000-0005-0000-0000-0000A1780000}"/>
    <cellStyle name="Normal 5 10 12 9" xfId="30884" xr:uid="{00000000-0005-0000-0000-0000A2780000}"/>
    <cellStyle name="Normal 5 10 13" xfId="30885" xr:uid="{00000000-0005-0000-0000-0000A3780000}"/>
    <cellStyle name="Normal 5 10 13 10" xfId="30886" xr:uid="{00000000-0005-0000-0000-0000A4780000}"/>
    <cellStyle name="Normal 5 10 13 11" xfId="30887" xr:uid="{00000000-0005-0000-0000-0000A5780000}"/>
    <cellStyle name="Normal 5 10 13 12" xfId="30888" xr:uid="{00000000-0005-0000-0000-0000A6780000}"/>
    <cellStyle name="Normal 5 10 13 13" xfId="30889" xr:uid="{00000000-0005-0000-0000-0000A7780000}"/>
    <cellStyle name="Normal 5 10 13 14" xfId="30890" xr:uid="{00000000-0005-0000-0000-0000A8780000}"/>
    <cellStyle name="Normal 5 10 13 2" xfId="30891" xr:uid="{00000000-0005-0000-0000-0000A9780000}"/>
    <cellStyle name="Normal 5 10 13 2 10" xfId="30892" xr:uid="{00000000-0005-0000-0000-0000AA780000}"/>
    <cellStyle name="Normal 5 10 13 2 2" xfId="30893" xr:uid="{00000000-0005-0000-0000-0000AB780000}"/>
    <cellStyle name="Normal 5 10 13 2 3" xfId="30894" xr:uid="{00000000-0005-0000-0000-0000AC780000}"/>
    <cellStyle name="Normal 5 10 13 2 4" xfId="30895" xr:uid="{00000000-0005-0000-0000-0000AD780000}"/>
    <cellStyle name="Normal 5 10 13 2 5" xfId="30896" xr:uid="{00000000-0005-0000-0000-0000AE780000}"/>
    <cellStyle name="Normal 5 10 13 2 6" xfId="30897" xr:uid="{00000000-0005-0000-0000-0000AF780000}"/>
    <cellStyle name="Normal 5 10 13 2 7" xfId="30898" xr:uid="{00000000-0005-0000-0000-0000B0780000}"/>
    <cellStyle name="Normal 5 10 13 2 8" xfId="30899" xr:uid="{00000000-0005-0000-0000-0000B1780000}"/>
    <cellStyle name="Normal 5 10 13 2 9" xfId="30900" xr:uid="{00000000-0005-0000-0000-0000B2780000}"/>
    <cellStyle name="Normal 5 10 13 3" xfId="30901" xr:uid="{00000000-0005-0000-0000-0000B3780000}"/>
    <cellStyle name="Normal 5 10 13 3 10" xfId="30902" xr:uid="{00000000-0005-0000-0000-0000B4780000}"/>
    <cellStyle name="Normal 5 10 13 3 2" xfId="30903" xr:uid="{00000000-0005-0000-0000-0000B5780000}"/>
    <cellStyle name="Normal 5 10 13 3 3" xfId="30904" xr:uid="{00000000-0005-0000-0000-0000B6780000}"/>
    <cellStyle name="Normal 5 10 13 3 4" xfId="30905" xr:uid="{00000000-0005-0000-0000-0000B7780000}"/>
    <cellStyle name="Normal 5 10 13 3 5" xfId="30906" xr:uid="{00000000-0005-0000-0000-0000B8780000}"/>
    <cellStyle name="Normal 5 10 13 3 6" xfId="30907" xr:uid="{00000000-0005-0000-0000-0000B9780000}"/>
    <cellStyle name="Normal 5 10 13 3 7" xfId="30908" xr:uid="{00000000-0005-0000-0000-0000BA780000}"/>
    <cellStyle name="Normal 5 10 13 3 8" xfId="30909" xr:uid="{00000000-0005-0000-0000-0000BB780000}"/>
    <cellStyle name="Normal 5 10 13 3 9" xfId="30910" xr:uid="{00000000-0005-0000-0000-0000BC780000}"/>
    <cellStyle name="Normal 5 10 13 4" xfId="30911" xr:uid="{00000000-0005-0000-0000-0000BD780000}"/>
    <cellStyle name="Normal 5 10 13 4 10" xfId="30912" xr:uid="{00000000-0005-0000-0000-0000BE780000}"/>
    <cellStyle name="Normal 5 10 13 4 2" xfId="30913" xr:uid="{00000000-0005-0000-0000-0000BF780000}"/>
    <cellStyle name="Normal 5 10 13 4 3" xfId="30914" xr:uid="{00000000-0005-0000-0000-0000C0780000}"/>
    <cellStyle name="Normal 5 10 13 4 4" xfId="30915" xr:uid="{00000000-0005-0000-0000-0000C1780000}"/>
    <cellStyle name="Normal 5 10 13 4 5" xfId="30916" xr:uid="{00000000-0005-0000-0000-0000C2780000}"/>
    <cellStyle name="Normal 5 10 13 4 6" xfId="30917" xr:uid="{00000000-0005-0000-0000-0000C3780000}"/>
    <cellStyle name="Normal 5 10 13 4 7" xfId="30918" xr:uid="{00000000-0005-0000-0000-0000C4780000}"/>
    <cellStyle name="Normal 5 10 13 4 8" xfId="30919" xr:uid="{00000000-0005-0000-0000-0000C5780000}"/>
    <cellStyle name="Normal 5 10 13 4 9" xfId="30920" xr:uid="{00000000-0005-0000-0000-0000C6780000}"/>
    <cellStyle name="Normal 5 10 13 5" xfId="30921" xr:uid="{00000000-0005-0000-0000-0000C7780000}"/>
    <cellStyle name="Normal 5 10 13 5 10" xfId="30922" xr:uid="{00000000-0005-0000-0000-0000C8780000}"/>
    <cellStyle name="Normal 5 10 13 5 2" xfId="30923" xr:uid="{00000000-0005-0000-0000-0000C9780000}"/>
    <cellStyle name="Normal 5 10 13 5 3" xfId="30924" xr:uid="{00000000-0005-0000-0000-0000CA780000}"/>
    <cellStyle name="Normal 5 10 13 5 4" xfId="30925" xr:uid="{00000000-0005-0000-0000-0000CB780000}"/>
    <cellStyle name="Normal 5 10 13 5 5" xfId="30926" xr:uid="{00000000-0005-0000-0000-0000CC780000}"/>
    <cellStyle name="Normal 5 10 13 5 6" xfId="30927" xr:uid="{00000000-0005-0000-0000-0000CD780000}"/>
    <cellStyle name="Normal 5 10 13 5 7" xfId="30928" xr:uid="{00000000-0005-0000-0000-0000CE780000}"/>
    <cellStyle name="Normal 5 10 13 5 8" xfId="30929" xr:uid="{00000000-0005-0000-0000-0000CF780000}"/>
    <cellStyle name="Normal 5 10 13 5 9" xfId="30930" xr:uid="{00000000-0005-0000-0000-0000D0780000}"/>
    <cellStyle name="Normal 5 10 13 6" xfId="30931" xr:uid="{00000000-0005-0000-0000-0000D1780000}"/>
    <cellStyle name="Normal 5 10 13 7" xfId="30932" xr:uid="{00000000-0005-0000-0000-0000D2780000}"/>
    <cellStyle name="Normal 5 10 13 8" xfId="30933" xr:uid="{00000000-0005-0000-0000-0000D3780000}"/>
    <cellStyle name="Normal 5 10 13 9" xfId="30934" xr:uid="{00000000-0005-0000-0000-0000D4780000}"/>
    <cellStyle name="Normal 5 10 14" xfId="30935" xr:uid="{00000000-0005-0000-0000-0000D5780000}"/>
    <cellStyle name="Normal 5 10 14 10" xfId="30936" xr:uid="{00000000-0005-0000-0000-0000D6780000}"/>
    <cellStyle name="Normal 5 10 14 11" xfId="30937" xr:uid="{00000000-0005-0000-0000-0000D7780000}"/>
    <cellStyle name="Normal 5 10 14 12" xfId="30938" xr:uid="{00000000-0005-0000-0000-0000D8780000}"/>
    <cellStyle name="Normal 5 10 14 13" xfId="30939" xr:uid="{00000000-0005-0000-0000-0000D9780000}"/>
    <cellStyle name="Normal 5 10 14 14" xfId="30940" xr:uid="{00000000-0005-0000-0000-0000DA780000}"/>
    <cellStyle name="Normal 5 10 14 2" xfId="30941" xr:uid="{00000000-0005-0000-0000-0000DB780000}"/>
    <cellStyle name="Normal 5 10 14 2 10" xfId="30942" xr:uid="{00000000-0005-0000-0000-0000DC780000}"/>
    <cellStyle name="Normal 5 10 14 2 2" xfId="30943" xr:uid="{00000000-0005-0000-0000-0000DD780000}"/>
    <cellStyle name="Normal 5 10 14 2 3" xfId="30944" xr:uid="{00000000-0005-0000-0000-0000DE780000}"/>
    <cellStyle name="Normal 5 10 14 2 4" xfId="30945" xr:uid="{00000000-0005-0000-0000-0000DF780000}"/>
    <cellStyle name="Normal 5 10 14 2 5" xfId="30946" xr:uid="{00000000-0005-0000-0000-0000E0780000}"/>
    <cellStyle name="Normal 5 10 14 2 6" xfId="30947" xr:uid="{00000000-0005-0000-0000-0000E1780000}"/>
    <cellStyle name="Normal 5 10 14 2 7" xfId="30948" xr:uid="{00000000-0005-0000-0000-0000E2780000}"/>
    <cellStyle name="Normal 5 10 14 2 8" xfId="30949" xr:uid="{00000000-0005-0000-0000-0000E3780000}"/>
    <cellStyle name="Normal 5 10 14 2 9" xfId="30950" xr:uid="{00000000-0005-0000-0000-0000E4780000}"/>
    <cellStyle name="Normal 5 10 14 3" xfId="30951" xr:uid="{00000000-0005-0000-0000-0000E5780000}"/>
    <cellStyle name="Normal 5 10 14 3 10" xfId="30952" xr:uid="{00000000-0005-0000-0000-0000E6780000}"/>
    <cellStyle name="Normal 5 10 14 3 2" xfId="30953" xr:uid="{00000000-0005-0000-0000-0000E7780000}"/>
    <cellStyle name="Normal 5 10 14 3 3" xfId="30954" xr:uid="{00000000-0005-0000-0000-0000E8780000}"/>
    <cellStyle name="Normal 5 10 14 3 4" xfId="30955" xr:uid="{00000000-0005-0000-0000-0000E9780000}"/>
    <cellStyle name="Normal 5 10 14 3 5" xfId="30956" xr:uid="{00000000-0005-0000-0000-0000EA780000}"/>
    <cellStyle name="Normal 5 10 14 3 6" xfId="30957" xr:uid="{00000000-0005-0000-0000-0000EB780000}"/>
    <cellStyle name="Normal 5 10 14 3 7" xfId="30958" xr:uid="{00000000-0005-0000-0000-0000EC780000}"/>
    <cellStyle name="Normal 5 10 14 3 8" xfId="30959" xr:uid="{00000000-0005-0000-0000-0000ED780000}"/>
    <cellStyle name="Normal 5 10 14 3 9" xfId="30960" xr:uid="{00000000-0005-0000-0000-0000EE780000}"/>
    <cellStyle name="Normal 5 10 14 4" xfId="30961" xr:uid="{00000000-0005-0000-0000-0000EF780000}"/>
    <cellStyle name="Normal 5 10 14 4 10" xfId="30962" xr:uid="{00000000-0005-0000-0000-0000F0780000}"/>
    <cellStyle name="Normal 5 10 14 4 2" xfId="30963" xr:uid="{00000000-0005-0000-0000-0000F1780000}"/>
    <cellStyle name="Normal 5 10 14 4 3" xfId="30964" xr:uid="{00000000-0005-0000-0000-0000F2780000}"/>
    <cellStyle name="Normal 5 10 14 4 4" xfId="30965" xr:uid="{00000000-0005-0000-0000-0000F3780000}"/>
    <cellStyle name="Normal 5 10 14 4 5" xfId="30966" xr:uid="{00000000-0005-0000-0000-0000F4780000}"/>
    <cellStyle name="Normal 5 10 14 4 6" xfId="30967" xr:uid="{00000000-0005-0000-0000-0000F5780000}"/>
    <cellStyle name="Normal 5 10 14 4 7" xfId="30968" xr:uid="{00000000-0005-0000-0000-0000F6780000}"/>
    <cellStyle name="Normal 5 10 14 4 8" xfId="30969" xr:uid="{00000000-0005-0000-0000-0000F7780000}"/>
    <cellStyle name="Normal 5 10 14 4 9" xfId="30970" xr:uid="{00000000-0005-0000-0000-0000F8780000}"/>
    <cellStyle name="Normal 5 10 14 5" xfId="30971" xr:uid="{00000000-0005-0000-0000-0000F9780000}"/>
    <cellStyle name="Normal 5 10 14 5 10" xfId="30972" xr:uid="{00000000-0005-0000-0000-0000FA780000}"/>
    <cellStyle name="Normal 5 10 14 5 2" xfId="30973" xr:uid="{00000000-0005-0000-0000-0000FB780000}"/>
    <cellStyle name="Normal 5 10 14 5 3" xfId="30974" xr:uid="{00000000-0005-0000-0000-0000FC780000}"/>
    <cellStyle name="Normal 5 10 14 5 4" xfId="30975" xr:uid="{00000000-0005-0000-0000-0000FD780000}"/>
    <cellStyle name="Normal 5 10 14 5 5" xfId="30976" xr:uid="{00000000-0005-0000-0000-0000FE780000}"/>
    <cellStyle name="Normal 5 10 14 5 6" xfId="30977" xr:uid="{00000000-0005-0000-0000-0000FF780000}"/>
    <cellStyle name="Normal 5 10 14 5 7" xfId="30978" xr:uid="{00000000-0005-0000-0000-000000790000}"/>
    <cellStyle name="Normal 5 10 14 5 8" xfId="30979" xr:uid="{00000000-0005-0000-0000-000001790000}"/>
    <cellStyle name="Normal 5 10 14 5 9" xfId="30980" xr:uid="{00000000-0005-0000-0000-000002790000}"/>
    <cellStyle name="Normal 5 10 14 6" xfId="30981" xr:uid="{00000000-0005-0000-0000-000003790000}"/>
    <cellStyle name="Normal 5 10 14 7" xfId="30982" xr:uid="{00000000-0005-0000-0000-000004790000}"/>
    <cellStyle name="Normal 5 10 14 8" xfId="30983" xr:uid="{00000000-0005-0000-0000-000005790000}"/>
    <cellStyle name="Normal 5 10 14 9" xfId="30984" xr:uid="{00000000-0005-0000-0000-000006790000}"/>
    <cellStyle name="Normal 5 10 15" xfId="30985" xr:uid="{00000000-0005-0000-0000-000007790000}"/>
    <cellStyle name="Normal 5 10 15 10" xfId="30986" xr:uid="{00000000-0005-0000-0000-000008790000}"/>
    <cellStyle name="Normal 5 10 15 11" xfId="30987" xr:uid="{00000000-0005-0000-0000-000009790000}"/>
    <cellStyle name="Normal 5 10 15 12" xfId="30988" xr:uid="{00000000-0005-0000-0000-00000A790000}"/>
    <cellStyle name="Normal 5 10 15 13" xfId="30989" xr:uid="{00000000-0005-0000-0000-00000B790000}"/>
    <cellStyle name="Normal 5 10 15 14" xfId="30990" xr:uid="{00000000-0005-0000-0000-00000C790000}"/>
    <cellStyle name="Normal 5 10 15 2" xfId="30991" xr:uid="{00000000-0005-0000-0000-00000D790000}"/>
    <cellStyle name="Normal 5 10 15 2 10" xfId="30992" xr:uid="{00000000-0005-0000-0000-00000E790000}"/>
    <cellStyle name="Normal 5 10 15 2 2" xfId="30993" xr:uid="{00000000-0005-0000-0000-00000F790000}"/>
    <cellStyle name="Normal 5 10 15 2 3" xfId="30994" xr:uid="{00000000-0005-0000-0000-000010790000}"/>
    <cellStyle name="Normal 5 10 15 2 4" xfId="30995" xr:uid="{00000000-0005-0000-0000-000011790000}"/>
    <cellStyle name="Normal 5 10 15 2 5" xfId="30996" xr:uid="{00000000-0005-0000-0000-000012790000}"/>
    <cellStyle name="Normal 5 10 15 2 6" xfId="30997" xr:uid="{00000000-0005-0000-0000-000013790000}"/>
    <cellStyle name="Normal 5 10 15 2 7" xfId="30998" xr:uid="{00000000-0005-0000-0000-000014790000}"/>
    <cellStyle name="Normal 5 10 15 2 8" xfId="30999" xr:uid="{00000000-0005-0000-0000-000015790000}"/>
    <cellStyle name="Normal 5 10 15 2 9" xfId="31000" xr:uid="{00000000-0005-0000-0000-000016790000}"/>
    <cellStyle name="Normal 5 10 15 3" xfId="31001" xr:uid="{00000000-0005-0000-0000-000017790000}"/>
    <cellStyle name="Normal 5 10 15 3 10" xfId="31002" xr:uid="{00000000-0005-0000-0000-000018790000}"/>
    <cellStyle name="Normal 5 10 15 3 2" xfId="31003" xr:uid="{00000000-0005-0000-0000-000019790000}"/>
    <cellStyle name="Normal 5 10 15 3 3" xfId="31004" xr:uid="{00000000-0005-0000-0000-00001A790000}"/>
    <cellStyle name="Normal 5 10 15 3 4" xfId="31005" xr:uid="{00000000-0005-0000-0000-00001B790000}"/>
    <cellStyle name="Normal 5 10 15 3 5" xfId="31006" xr:uid="{00000000-0005-0000-0000-00001C790000}"/>
    <cellStyle name="Normal 5 10 15 3 6" xfId="31007" xr:uid="{00000000-0005-0000-0000-00001D790000}"/>
    <cellStyle name="Normal 5 10 15 3 7" xfId="31008" xr:uid="{00000000-0005-0000-0000-00001E790000}"/>
    <cellStyle name="Normal 5 10 15 3 8" xfId="31009" xr:uid="{00000000-0005-0000-0000-00001F790000}"/>
    <cellStyle name="Normal 5 10 15 3 9" xfId="31010" xr:uid="{00000000-0005-0000-0000-000020790000}"/>
    <cellStyle name="Normal 5 10 15 4" xfId="31011" xr:uid="{00000000-0005-0000-0000-000021790000}"/>
    <cellStyle name="Normal 5 10 15 4 10" xfId="31012" xr:uid="{00000000-0005-0000-0000-000022790000}"/>
    <cellStyle name="Normal 5 10 15 4 2" xfId="31013" xr:uid="{00000000-0005-0000-0000-000023790000}"/>
    <cellStyle name="Normal 5 10 15 4 3" xfId="31014" xr:uid="{00000000-0005-0000-0000-000024790000}"/>
    <cellStyle name="Normal 5 10 15 4 4" xfId="31015" xr:uid="{00000000-0005-0000-0000-000025790000}"/>
    <cellStyle name="Normal 5 10 15 4 5" xfId="31016" xr:uid="{00000000-0005-0000-0000-000026790000}"/>
    <cellStyle name="Normal 5 10 15 4 6" xfId="31017" xr:uid="{00000000-0005-0000-0000-000027790000}"/>
    <cellStyle name="Normal 5 10 15 4 7" xfId="31018" xr:uid="{00000000-0005-0000-0000-000028790000}"/>
    <cellStyle name="Normal 5 10 15 4 8" xfId="31019" xr:uid="{00000000-0005-0000-0000-000029790000}"/>
    <cellStyle name="Normal 5 10 15 4 9" xfId="31020" xr:uid="{00000000-0005-0000-0000-00002A790000}"/>
    <cellStyle name="Normal 5 10 15 5" xfId="31021" xr:uid="{00000000-0005-0000-0000-00002B790000}"/>
    <cellStyle name="Normal 5 10 15 5 10" xfId="31022" xr:uid="{00000000-0005-0000-0000-00002C790000}"/>
    <cellStyle name="Normal 5 10 15 5 2" xfId="31023" xr:uid="{00000000-0005-0000-0000-00002D790000}"/>
    <cellStyle name="Normal 5 10 15 5 3" xfId="31024" xr:uid="{00000000-0005-0000-0000-00002E790000}"/>
    <cellStyle name="Normal 5 10 15 5 4" xfId="31025" xr:uid="{00000000-0005-0000-0000-00002F790000}"/>
    <cellStyle name="Normal 5 10 15 5 5" xfId="31026" xr:uid="{00000000-0005-0000-0000-000030790000}"/>
    <cellStyle name="Normal 5 10 15 5 6" xfId="31027" xr:uid="{00000000-0005-0000-0000-000031790000}"/>
    <cellStyle name="Normal 5 10 15 5 7" xfId="31028" xr:uid="{00000000-0005-0000-0000-000032790000}"/>
    <cellStyle name="Normal 5 10 15 5 8" xfId="31029" xr:uid="{00000000-0005-0000-0000-000033790000}"/>
    <cellStyle name="Normal 5 10 15 5 9" xfId="31030" xr:uid="{00000000-0005-0000-0000-000034790000}"/>
    <cellStyle name="Normal 5 10 15 6" xfId="31031" xr:uid="{00000000-0005-0000-0000-000035790000}"/>
    <cellStyle name="Normal 5 10 15 7" xfId="31032" xr:uid="{00000000-0005-0000-0000-000036790000}"/>
    <cellStyle name="Normal 5 10 15 8" xfId="31033" xr:uid="{00000000-0005-0000-0000-000037790000}"/>
    <cellStyle name="Normal 5 10 15 9" xfId="31034" xr:uid="{00000000-0005-0000-0000-000038790000}"/>
    <cellStyle name="Normal 5 10 16" xfId="31035" xr:uid="{00000000-0005-0000-0000-000039790000}"/>
    <cellStyle name="Normal 5 10 16 10" xfId="31036" xr:uid="{00000000-0005-0000-0000-00003A790000}"/>
    <cellStyle name="Normal 5 10 16 11" xfId="31037" xr:uid="{00000000-0005-0000-0000-00003B790000}"/>
    <cellStyle name="Normal 5 10 16 12" xfId="31038" xr:uid="{00000000-0005-0000-0000-00003C790000}"/>
    <cellStyle name="Normal 5 10 16 13" xfId="31039" xr:uid="{00000000-0005-0000-0000-00003D790000}"/>
    <cellStyle name="Normal 5 10 16 14" xfId="31040" xr:uid="{00000000-0005-0000-0000-00003E790000}"/>
    <cellStyle name="Normal 5 10 16 2" xfId="31041" xr:uid="{00000000-0005-0000-0000-00003F790000}"/>
    <cellStyle name="Normal 5 10 16 2 10" xfId="31042" xr:uid="{00000000-0005-0000-0000-000040790000}"/>
    <cellStyle name="Normal 5 10 16 2 2" xfId="31043" xr:uid="{00000000-0005-0000-0000-000041790000}"/>
    <cellStyle name="Normal 5 10 16 2 3" xfId="31044" xr:uid="{00000000-0005-0000-0000-000042790000}"/>
    <cellStyle name="Normal 5 10 16 2 4" xfId="31045" xr:uid="{00000000-0005-0000-0000-000043790000}"/>
    <cellStyle name="Normal 5 10 16 2 5" xfId="31046" xr:uid="{00000000-0005-0000-0000-000044790000}"/>
    <cellStyle name="Normal 5 10 16 2 6" xfId="31047" xr:uid="{00000000-0005-0000-0000-000045790000}"/>
    <cellStyle name="Normal 5 10 16 2 7" xfId="31048" xr:uid="{00000000-0005-0000-0000-000046790000}"/>
    <cellStyle name="Normal 5 10 16 2 8" xfId="31049" xr:uid="{00000000-0005-0000-0000-000047790000}"/>
    <cellStyle name="Normal 5 10 16 2 9" xfId="31050" xr:uid="{00000000-0005-0000-0000-000048790000}"/>
    <cellStyle name="Normal 5 10 16 3" xfId="31051" xr:uid="{00000000-0005-0000-0000-000049790000}"/>
    <cellStyle name="Normal 5 10 16 3 10" xfId="31052" xr:uid="{00000000-0005-0000-0000-00004A790000}"/>
    <cellStyle name="Normal 5 10 16 3 2" xfId="31053" xr:uid="{00000000-0005-0000-0000-00004B790000}"/>
    <cellStyle name="Normal 5 10 16 3 3" xfId="31054" xr:uid="{00000000-0005-0000-0000-00004C790000}"/>
    <cellStyle name="Normal 5 10 16 3 4" xfId="31055" xr:uid="{00000000-0005-0000-0000-00004D790000}"/>
    <cellStyle name="Normal 5 10 16 3 5" xfId="31056" xr:uid="{00000000-0005-0000-0000-00004E790000}"/>
    <cellStyle name="Normal 5 10 16 3 6" xfId="31057" xr:uid="{00000000-0005-0000-0000-00004F790000}"/>
    <cellStyle name="Normal 5 10 16 3 7" xfId="31058" xr:uid="{00000000-0005-0000-0000-000050790000}"/>
    <cellStyle name="Normal 5 10 16 3 8" xfId="31059" xr:uid="{00000000-0005-0000-0000-000051790000}"/>
    <cellStyle name="Normal 5 10 16 3 9" xfId="31060" xr:uid="{00000000-0005-0000-0000-000052790000}"/>
    <cellStyle name="Normal 5 10 16 4" xfId="31061" xr:uid="{00000000-0005-0000-0000-000053790000}"/>
    <cellStyle name="Normal 5 10 16 4 10" xfId="31062" xr:uid="{00000000-0005-0000-0000-000054790000}"/>
    <cellStyle name="Normal 5 10 16 4 2" xfId="31063" xr:uid="{00000000-0005-0000-0000-000055790000}"/>
    <cellStyle name="Normal 5 10 16 4 3" xfId="31064" xr:uid="{00000000-0005-0000-0000-000056790000}"/>
    <cellStyle name="Normal 5 10 16 4 4" xfId="31065" xr:uid="{00000000-0005-0000-0000-000057790000}"/>
    <cellStyle name="Normal 5 10 16 4 5" xfId="31066" xr:uid="{00000000-0005-0000-0000-000058790000}"/>
    <cellStyle name="Normal 5 10 16 4 6" xfId="31067" xr:uid="{00000000-0005-0000-0000-000059790000}"/>
    <cellStyle name="Normal 5 10 16 4 7" xfId="31068" xr:uid="{00000000-0005-0000-0000-00005A790000}"/>
    <cellStyle name="Normal 5 10 16 4 8" xfId="31069" xr:uid="{00000000-0005-0000-0000-00005B790000}"/>
    <cellStyle name="Normal 5 10 16 4 9" xfId="31070" xr:uid="{00000000-0005-0000-0000-00005C790000}"/>
    <cellStyle name="Normal 5 10 16 5" xfId="31071" xr:uid="{00000000-0005-0000-0000-00005D790000}"/>
    <cellStyle name="Normal 5 10 16 5 10" xfId="31072" xr:uid="{00000000-0005-0000-0000-00005E790000}"/>
    <cellStyle name="Normal 5 10 16 5 2" xfId="31073" xr:uid="{00000000-0005-0000-0000-00005F790000}"/>
    <cellStyle name="Normal 5 10 16 5 3" xfId="31074" xr:uid="{00000000-0005-0000-0000-000060790000}"/>
    <cellStyle name="Normal 5 10 16 5 4" xfId="31075" xr:uid="{00000000-0005-0000-0000-000061790000}"/>
    <cellStyle name="Normal 5 10 16 5 5" xfId="31076" xr:uid="{00000000-0005-0000-0000-000062790000}"/>
    <cellStyle name="Normal 5 10 16 5 6" xfId="31077" xr:uid="{00000000-0005-0000-0000-000063790000}"/>
    <cellStyle name="Normal 5 10 16 5 7" xfId="31078" xr:uid="{00000000-0005-0000-0000-000064790000}"/>
    <cellStyle name="Normal 5 10 16 5 8" xfId="31079" xr:uid="{00000000-0005-0000-0000-000065790000}"/>
    <cellStyle name="Normal 5 10 16 5 9" xfId="31080" xr:uid="{00000000-0005-0000-0000-000066790000}"/>
    <cellStyle name="Normal 5 10 16 6" xfId="31081" xr:uid="{00000000-0005-0000-0000-000067790000}"/>
    <cellStyle name="Normal 5 10 16 7" xfId="31082" xr:uid="{00000000-0005-0000-0000-000068790000}"/>
    <cellStyle name="Normal 5 10 16 8" xfId="31083" xr:uid="{00000000-0005-0000-0000-000069790000}"/>
    <cellStyle name="Normal 5 10 16 9" xfId="31084" xr:uid="{00000000-0005-0000-0000-00006A790000}"/>
    <cellStyle name="Normal 5 10 17" xfId="31085" xr:uid="{00000000-0005-0000-0000-00006B790000}"/>
    <cellStyle name="Normal 5 10 17 10" xfId="31086" xr:uid="{00000000-0005-0000-0000-00006C790000}"/>
    <cellStyle name="Normal 5 10 17 11" xfId="31087" xr:uid="{00000000-0005-0000-0000-00006D790000}"/>
    <cellStyle name="Normal 5 10 17 12" xfId="31088" xr:uid="{00000000-0005-0000-0000-00006E790000}"/>
    <cellStyle name="Normal 5 10 17 13" xfId="31089" xr:uid="{00000000-0005-0000-0000-00006F790000}"/>
    <cellStyle name="Normal 5 10 17 14" xfId="31090" xr:uid="{00000000-0005-0000-0000-000070790000}"/>
    <cellStyle name="Normal 5 10 17 2" xfId="31091" xr:uid="{00000000-0005-0000-0000-000071790000}"/>
    <cellStyle name="Normal 5 10 17 2 10" xfId="31092" xr:uid="{00000000-0005-0000-0000-000072790000}"/>
    <cellStyle name="Normal 5 10 17 2 2" xfId="31093" xr:uid="{00000000-0005-0000-0000-000073790000}"/>
    <cellStyle name="Normal 5 10 17 2 3" xfId="31094" xr:uid="{00000000-0005-0000-0000-000074790000}"/>
    <cellStyle name="Normal 5 10 17 2 4" xfId="31095" xr:uid="{00000000-0005-0000-0000-000075790000}"/>
    <cellStyle name="Normal 5 10 17 2 5" xfId="31096" xr:uid="{00000000-0005-0000-0000-000076790000}"/>
    <cellStyle name="Normal 5 10 17 2 6" xfId="31097" xr:uid="{00000000-0005-0000-0000-000077790000}"/>
    <cellStyle name="Normal 5 10 17 2 7" xfId="31098" xr:uid="{00000000-0005-0000-0000-000078790000}"/>
    <cellStyle name="Normal 5 10 17 2 8" xfId="31099" xr:uid="{00000000-0005-0000-0000-000079790000}"/>
    <cellStyle name="Normal 5 10 17 2 9" xfId="31100" xr:uid="{00000000-0005-0000-0000-00007A790000}"/>
    <cellStyle name="Normal 5 10 17 3" xfId="31101" xr:uid="{00000000-0005-0000-0000-00007B790000}"/>
    <cellStyle name="Normal 5 10 17 3 10" xfId="31102" xr:uid="{00000000-0005-0000-0000-00007C790000}"/>
    <cellStyle name="Normal 5 10 17 3 2" xfId="31103" xr:uid="{00000000-0005-0000-0000-00007D790000}"/>
    <cellStyle name="Normal 5 10 17 3 3" xfId="31104" xr:uid="{00000000-0005-0000-0000-00007E790000}"/>
    <cellStyle name="Normal 5 10 17 3 4" xfId="31105" xr:uid="{00000000-0005-0000-0000-00007F790000}"/>
    <cellStyle name="Normal 5 10 17 3 5" xfId="31106" xr:uid="{00000000-0005-0000-0000-000080790000}"/>
    <cellStyle name="Normal 5 10 17 3 6" xfId="31107" xr:uid="{00000000-0005-0000-0000-000081790000}"/>
    <cellStyle name="Normal 5 10 17 3 7" xfId="31108" xr:uid="{00000000-0005-0000-0000-000082790000}"/>
    <cellStyle name="Normal 5 10 17 3 8" xfId="31109" xr:uid="{00000000-0005-0000-0000-000083790000}"/>
    <cellStyle name="Normal 5 10 17 3 9" xfId="31110" xr:uid="{00000000-0005-0000-0000-000084790000}"/>
    <cellStyle name="Normal 5 10 17 4" xfId="31111" xr:uid="{00000000-0005-0000-0000-000085790000}"/>
    <cellStyle name="Normal 5 10 17 4 10" xfId="31112" xr:uid="{00000000-0005-0000-0000-000086790000}"/>
    <cellStyle name="Normal 5 10 17 4 2" xfId="31113" xr:uid="{00000000-0005-0000-0000-000087790000}"/>
    <cellStyle name="Normal 5 10 17 4 3" xfId="31114" xr:uid="{00000000-0005-0000-0000-000088790000}"/>
    <cellStyle name="Normal 5 10 17 4 4" xfId="31115" xr:uid="{00000000-0005-0000-0000-000089790000}"/>
    <cellStyle name="Normal 5 10 17 4 5" xfId="31116" xr:uid="{00000000-0005-0000-0000-00008A790000}"/>
    <cellStyle name="Normal 5 10 17 4 6" xfId="31117" xr:uid="{00000000-0005-0000-0000-00008B790000}"/>
    <cellStyle name="Normal 5 10 17 4 7" xfId="31118" xr:uid="{00000000-0005-0000-0000-00008C790000}"/>
    <cellStyle name="Normal 5 10 17 4 8" xfId="31119" xr:uid="{00000000-0005-0000-0000-00008D790000}"/>
    <cellStyle name="Normal 5 10 17 4 9" xfId="31120" xr:uid="{00000000-0005-0000-0000-00008E790000}"/>
    <cellStyle name="Normal 5 10 17 5" xfId="31121" xr:uid="{00000000-0005-0000-0000-00008F790000}"/>
    <cellStyle name="Normal 5 10 17 5 10" xfId="31122" xr:uid="{00000000-0005-0000-0000-000090790000}"/>
    <cellStyle name="Normal 5 10 17 5 2" xfId="31123" xr:uid="{00000000-0005-0000-0000-000091790000}"/>
    <cellStyle name="Normal 5 10 17 5 3" xfId="31124" xr:uid="{00000000-0005-0000-0000-000092790000}"/>
    <cellStyle name="Normal 5 10 17 5 4" xfId="31125" xr:uid="{00000000-0005-0000-0000-000093790000}"/>
    <cellStyle name="Normal 5 10 17 5 5" xfId="31126" xr:uid="{00000000-0005-0000-0000-000094790000}"/>
    <cellStyle name="Normal 5 10 17 5 6" xfId="31127" xr:uid="{00000000-0005-0000-0000-000095790000}"/>
    <cellStyle name="Normal 5 10 17 5 7" xfId="31128" xr:uid="{00000000-0005-0000-0000-000096790000}"/>
    <cellStyle name="Normal 5 10 17 5 8" xfId="31129" xr:uid="{00000000-0005-0000-0000-000097790000}"/>
    <cellStyle name="Normal 5 10 17 5 9" xfId="31130" xr:uid="{00000000-0005-0000-0000-000098790000}"/>
    <cellStyle name="Normal 5 10 17 6" xfId="31131" xr:uid="{00000000-0005-0000-0000-000099790000}"/>
    <cellStyle name="Normal 5 10 17 7" xfId="31132" xr:uid="{00000000-0005-0000-0000-00009A790000}"/>
    <cellStyle name="Normal 5 10 17 8" xfId="31133" xr:uid="{00000000-0005-0000-0000-00009B790000}"/>
    <cellStyle name="Normal 5 10 17 9" xfId="31134" xr:uid="{00000000-0005-0000-0000-00009C790000}"/>
    <cellStyle name="Normal 5 10 18" xfId="31135" xr:uid="{00000000-0005-0000-0000-00009D790000}"/>
    <cellStyle name="Normal 5 10 18 10" xfId="31136" xr:uid="{00000000-0005-0000-0000-00009E790000}"/>
    <cellStyle name="Normal 5 10 18 11" xfId="31137" xr:uid="{00000000-0005-0000-0000-00009F790000}"/>
    <cellStyle name="Normal 5 10 18 12" xfId="31138" xr:uid="{00000000-0005-0000-0000-0000A0790000}"/>
    <cellStyle name="Normal 5 10 18 13" xfId="31139" xr:uid="{00000000-0005-0000-0000-0000A1790000}"/>
    <cellStyle name="Normal 5 10 18 14" xfId="31140" xr:uid="{00000000-0005-0000-0000-0000A2790000}"/>
    <cellStyle name="Normal 5 10 18 2" xfId="31141" xr:uid="{00000000-0005-0000-0000-0000A3790000}"/>
    <cellStyle name="Normal 5 10 18 2 10" xfId="31142" xr:uid="{00000000-0005-0000-0000-0000A4790000}"/>
    <cellStyle name="Normal 5 10 18 2 2" xfId="31143" xr:uid="{00000000-0005-0000-0000-0000A5790000}"/>
    <cellStyle name="Normal 5 10 18 2 3" xfId="31144" xr:uid="{00000000-0005-0000-0000-0000A6790000}"/>
    <cellStyle name="Normal 5 10 18 2 4" xfId="31145" xr:uid="{00000000-0005-0000-0000-0000A7790000}"/>
    <cellStyle name="Normal 5 10 18 2 5" xfId="31146" xr:uid="{00000000-0005-0000-0000-0000A8790000}"/>
    <cellStyle name="Normal 5 10 18 2 6" xfId="31147" xr:uid="{00000000-0005-0000-0000-0000A9790000}"/>
    <cellStyle name="Normal 5 10 18 2 7" xfId="31148" xr:uid="{00000000-0005-0000-0000-0000AA790000}"/>
    <cellStyle name="Normal 5 10 18 2 8" xfId="31149" xr:uid="{00000000-0005-0000-0000-0000AB790000}"/>
    <cellStyle name="Normal 5 10 18 2 9" xfId="31150" xr:uid="{00000000-0005-0000-0000-0000AC790000}"/>
    <cellStyle name="Normal 5 10 18 3" xfId="31151" xr:uid="{00000000-0005-0000-0000-0000AD790000}"/>
    <cellStyle name="Normal 5 10 18 3 10" xfId="31152" xr:uid="{00000000-0005-0000-0000-0000AE790000}"/>
    <cellStyle name="Normal 5 10 18 3 2" xfId="31153" xr:uid="{00000000-0005-0000-0000-0000AF790000}"/>
    <cellStyle name="Normal 5 10 18 3 3" xfId="31154" xr:uid="{00000000-0005-0000-0000-0000B0790000}"/>
    <cellStyle name="Normal 5 10 18 3 4" xfId="31155" xr:uid="{00000000-0005-0000-0000-0000B1790000}"/>
    <cellStyle name="Normal 5 10 18 3 5" xfId="31156" xr:uid="{00000000-0005-0000-0000-0000B2790000}"/>
    <cellStyle name="Normal 5 10 18 3 6" xfId="31157" xr:uid="{00000000-0005-0000-0000-0000B3790000}"/>
    <cellStyle name="Normal 5 10 18 3 7" xfId="31158" xr:uid="{00000000-0005-0000-0000-0000B4790000}"/>
    <cellStyle name="Normal 5 10 18 3 8" xfId="31159" xr:uid="{00000000-0005-0000-0000-0000B5790000}"/>
    <cellStyle name="Normal 5 10 18 3 9" xfId="31160" xr:uid="{00000000-0005-0000-0000-0000B6790000}"/>
    <cellStyle name="Normal 5 10 18 4" xfId="31161" xr:uid="{00000000-0005-0000-0000-0000B7790000}"/>
    <cellStyle name="Normal 5 10 18 4 10" xfId="31162" xr:uid="{00000000-0005-0000-0000-0000B8790000}"/>
    <cellStyle name="Normal 5 10 18 4 2" xfId="31163" xr:uid="{00000000-0005-0000-0000-0000B9790000}"/>
    <cellStyle name="Normal 5 10 18 4 3" xfId="31164" xr:uid="{00000000-0005-0000-0000-0000BA790000}"/>
    <cellStyle name="Normal 5 10 18 4 4" xfId="31165" xr:uid="{00000000-0005-0000-0000-0000BB790000}"/>
    <cellStyle name="Normal 5 10 18 4 5" xfId="31166" xr:uid="{00000000-0005-0000-0000-0000BC790000}"/>
    <cellStyle name="Normal 5 10 18 4 6" xfId="31167" xr:uid="{00000000-0005-0000-0000-0000BD790000}"/>
    <cellStyle name="Normal 5 10 18 4 7" xfId="31168" xr:uid="{00000000-0005-0000-0000-0000BE790000}"/>
    <cellStyle name="Normal 5 10 18 4 8" xfId="31169" xr:uid="{00000000-0005-0000-0000-0000BF790000}"/>
    <cellStyle name="Normal 5 10 18 4 9" xfId="31170" xr:uid="{00000000-0005-0000-0000-0000C0790000}"/>
    <cellStyle name="Normal 5 10 18 5" xfId="31171" xr:uid="{00000000-0005-0000-0000-0000C1790000}"/>
    <cellStyle name="Normal 5 10 18 5 10" xfId="31172" xr:uid="{00000000-0005-0000-0000-0000C2790000}"/>
    <cellStyle name="Normal 5 10 18 5 2" xfId="31173" xr:uid="{00000000-0005-0000-0000-0000C3790000}"/>
    <cellStyle name="Normal 5 10 18 5 3" xfId="31174" xr:uid="{00000000-0005-0000-0000-0000C4790000}"/>
    <cellStyle name="Normal 5 10 18 5 4" xfId="31175" xr:uid="{00000000-0005-0000-0000-0000C5790000}"/>
    <cellStyle name="Normal 5 10 18 5 5" xfId="31176" xr:uid="{00000000-0005-0000-0000-0000C6790000}"/>
    <cellStyle name="Normal 5 10 18 5 6" xfId="31177" xr:uid="{00000000-0005-0000-0000-0000C7790000}"/>
    <cellStyle name="Normal 5 10 18 5 7" xfId="31178" xr:uid="{00000000-0005-0000-0000-0000C8790000}"/>
    <cellStyle name="Normal 5 10 18 5 8" xfId="31179" xr:uid="{00000000-0005-0000-0000-0000C9790000}"/>
    <cellStyle name="Normal 5 10 18 5 9" xfId="31180" xr:uid="{00000000-0005-0000-0000-0000CA790000}"/>
    <cellStyle name="Normal 5 10 18 6" xfId="31181" xr:uid="{00000000-0005-0000-0000-0000CB790000}"/>
    <cellStyle name="Normal 5 10 18 7" xfId="31182" xr:uid="{00000000-0005-0000-0000-0000CC790000}"/>
    <cellStyle name="Normal 5 10 18 8" xfId="31183" xr:uid="{00000000-0005-0000-0000-0000CD790000}"/>
    <cellStyle name="Normal 5 10 18 9" xfId="31184" xr:uid="{00000000-0005-0000-0000-0000CE790000}"/>
    <cellStyle name="Normal 5 10 19" xfId="31185" xr:uid="{00000000-0005-0000-0000-0000CF790000}"/>
    <cellStyle name="Normal 5 10 19 10" xfId="31186" xr:uid="{00000000-0005-0000-0000-0000D0790000}"/>
    <cellStyle name="Normal 5 10 19 11" xfId="31187" xr:uid="{00000000-0005-0000-0000-0000D1790000}"/>
    <cellStyle name="Normal 5 10 19 12" xfId="31188" xr:uid="{00000000-0005-0000-0000-0000D2790000}"/>
    <cellStyle name="Normal 5 10 19 13" xfId="31189" xr:uid="{00000000-0005-0000-0000-0000D3790000}"/>
    <cellStyle name="Normal 5 10 19 14" xfId="31190" xr:uid="{00000000-0005-0000-0000-0000D4790000}"/>
    <cellStyle name="Normal 5 10 19 2" xfId="31191" xr:uid="{00000000-0005-0000-0000-0000D5790000}"/>
    <cellStyle name="Normal 5 10 19 2 10" xfId="31192" xr:uid="{00000000-0005-0000-0000-0000D6790000}"/>
    <cellStyle name="Normal 5 10 19 2 2" xfId="31193" xr:uid="{00000000-0005-0000-0000-0000D7790000}"/>
    <cellStyle name="Normal 5 10 19 2 3" xfId="31194" xr:uid="{00000000-0005-0000-0000-0000D8790000}"/>
    <cellStyle name="Normal 5 10 19 2 4" xfId="31195" xr:uid="{00000000-0005-0000-0000-0000D9790000}"/>
    <cellStyle name="Normal 5 10 19 2 5" xfId="31196" xr:uid="{00000000-0005-0000-0000-0000DA790000}"/>
    <cellStyle name="Normal 5 10 19 2 6" xfId="31197" xr:uid="{00000000-0005-0000-0000-0000DB790000}"/>
    <cellStyle name="Normal 5 10 19 2 7" xfId="31198" xr:uid="{00000000-0005-0000-0000-0000DC790000}"/>
    <cellStyle name="Normal 5 10 19 2 8" xfId="31199" xr:uid="{00000000-0005-0000-0000-0000DD790000}"/>
    <cellStyle name="Normal 5 10 19 2 9" xfId="31200" xr:uid="{00000000-0005-0000-0000-0000DE790000}"/>
    <cellStyle name="Normal 5 10 19 3" xfId="31201" xr:uid="{00000000-0005-0000-0000-0000DF790000}"/>
    <cellStyle name="Normal 5 10 19 3 10" xfId="31202" xr:uid="{00000000-0005-0000-0000-0000E0790000}"/>
    <cellStyle name="Normal 5 10 19 3 2" xfId="31203" xr:uid="{00000000-0005-0000-0000-0000E1790000}"/>
    <cellStyle name="Normal 5 10 19 3 3" xfId="31204" xr:uid="{00000000-0005-0000-0000-0000E2790000}"/>
    <cellStyle name="Normal 5 10 19 3 4" xfId="31205" xr:uid="{00000000-0005-0000-0000-0000E3790000}"/>
    <cellStyle name="Normal 5 10 19 3 5" xfId="31206" xr:uid="{00000000-0005-0000-0000-0000E4790000}"/>
    <cellStyle name="Normal 5 10 19 3 6" xfId="31207" xr:uid="{00000000-0005-0000-0000-0000E5790000}"/>
    <cellStyle name="Normal 5 10 19 3 7" xfId="31208" xr:uid="{00000000-0005-0000-0000-0000E6790000}"/>
    <cellStyle name="Normal 5 10 19 3 8" xfId="31209" xr:uid="{00000000-0005-0000-0000-0000E7790000}"/>
    <cellStyle name="Normal 5 10 19 3 9" xfId="31210" xr:uid="{00000000-0005-0000-0000-0000E8790000}"/>
    <cellStyle name="Normal 5 10 19 4" xfId="31211" xr:uid="{00000000-0005-0000-0000-0000E9790000}"/>
    <cellStyle name="Normal 5 10 19 4 10" xfId="31212" xr:uid="{00000000-0005-0000-0000-0000EA790000}"/>
    <cellStyle name="Normal 5 10 19 4 2" xfId="31213" xr:uid="{00000000-0005-0000-0000-0000EB790000}"/>
    <cellStyle name="Normal 5 10 19 4 3" xfId="31214" xr:uid="{00000000-0005-0000-0000-0000EC790000}"/>
    <cellStyle name="Normal 5 10 19 4 4" xfId="31215" xr:uid="{00000000-0005-0000-0000-0000ED790000}"/>
    <cellStyle name="Normal 5 10 19 4 5" xfId="31216" xr:uid="{00000000-0005-0000-0000-0000EE790000}"/>
    <cellStyle name="Normal 5 10 19 4 6" xfId="31217" xr:uid="{00000000-0005-0000-0000-0000EF790000}"/>
    <cellStyle name="Normal 5 10 19 4 7" xfId="31218" xr:uid="{00000000-0005-0000-0000-0000F0790000}"/>
    <cellStyle name="Normal 5 10 19 4 8" xfId="31219" xr:uid="{00000000-0005-0000-0000-0000F1790000}"/>
    <cellStyle name="Normal 5 10 19 4 9" xfId="31220" xr:uid="{00000000-0005-0000-0000-0000F2790000}"/>
    <cellStyle name="Normal 5 10 19 5" xfId="31221" xr:uid="{00000000-0005-0000-0000-0000F3790000}"/>
    <cellStyle name="Normal 5 10 19 5 10" xfId="31222" xr:uid="{00000000-0005-0000-0000-0000F4790000}"/>
    <cellStyle name="Normal 5 10 19 5 2" xfId="31223" xr:uid="{00000000-0005-0000-0000-0000F5790000}"/>
    <cellStyle name="Normal 5 10 19 5 3" xfId="31224" xr:uid="{00000000-0005-0000-0000-0000F6790000}"/>
    <cellStyle name="Normal 5 10 19 5 4" xfId="31225" xr:uid="{00000000-0005-0000-0000-0000F7790000}"/>
    <cellStyle name="Normal 5 10 19 5 5" xfId="31226" xr:uid="{00000000-0005-0000-0000-0000F8790000}"/>
    <cellStyle name="Normal 5 10 19 5 6" xfId="31227" xr:uid="{00000000-0005-0000-0000-0000F9790000}"/>
    <cellStyle name="Normal 5 10 19 5 7" xfId="31228" xr:uid="{00000000-0005-0000-0000-0000FA790000}"/>
    <cellStyle name="Normal 5 10 19 5 8" xfId="31229" xr:uid="{00000000-0005-0000-0000-0000FB790000}"/>
    <cellStyle name="Normal 5 10 19 5 9" xfId="31230" xr:uid="{00000000-0005-0000-0000-0000FC790000}"/>
    <cellStyle name="Normal 5 10 19 6" xfId="31231" xr:uid="{00000000-0005-0000-0000-0000FD790000}"/>
    <cellStyle name="Normal 5 10 19 7" xfId="31232" xr:uid="{00000000-0005-0000-0000-0000FE790000}"/>
    <cellStyle name="Normal 5 10 19 8" xfId="31233" xr:uid="{00000000-0005-0000-0000-0000FF790000}"/>
    <cellStyle name="Normal 5 10 19 9" xfId="31234" xr:uid="{00000000-0005-0000-0000-0000007A0000}"/>
    <cellStyle name="Normal 5 10 2" xfId="31235" xr:uid="{00000000-0005-0000-0000-0000017A0000}"/>
    <cellStyle name="Normal 5 10 2 10" xfId="31236" xr:uid="{00000000-0005-0000-0000-0000027A0000}"/>
    <cellStyle name="Normal 5 10 2 10 10" xfId="31237" xr:uid="{00000000-0005-0000-0000-0000037A0000}"/>
    <cellStyle name="Normal 5 10 2 10 11" xfId="31238" xr:uid="{00000000-0005-0000-0000-0000047A0000}"/>
    <cellStyle name="Normal 5 10 2 10 12" xfId="31239" xr:uid="{00000000-0005-0000-0000-0000057A0000}"/>
    <cellStyle name="Normal 5 10 2 10 13" xfId="31240" xr:uid="{00000000-0005-0000-0000-0000067A0000}"/>
    <cellStyle name="Normal 5 10 2 10 14" xfId="31241" xr:uid="{00000000-0005-0000-0000-0000077A0000}"/>
    <cellStyle name="Normal 5 10 2 10 2" xfId="31242" xr:uid="{00000000-0005-0000-0000-0000087A0000}"/>
    <cellStyle name="Normal 5 10 2 10 2 10" xfId="31243" xr:uid="{00000000-0005-0000-0000-0000097A0000}"/>
    <cellStyle name="Normal 5 10 2 10 2 2" xfId="31244" xr:uid="{00000000-0005-0000-0000-00000A7A0000}"/>
    <cellStyle name="Normal 5 10 2 10 2 3" xfId="31245" xr:uid="{00000000-0005-0000-0000-00000B7A0000}"/>
    <cellStyle name="Normal 5 10 2 10 2 4" xfId="31246" xr:uid="{00000000-0005-0000-0000-00000C7A0000}"/>
    <cellStyle name="Normal 5 10 2 10 2 5" xfId="31247" xr:uid="{00000000-0005-0000-0000-00000D7A0000}"/>
    <cellStyle name="Normal 5 10 2 10 2 6" xfId="31248" xr:uid="{00000000-0005-0000-0000-00000E7A0000}"/>
    <cellStyle name="Normal 5 10 2 10 2 7" xfId="31249" xr:uid="{00000000-0005-0000-0000-00000F7A0000}"/>
    <cellStyle name="Normal 5 10 2 10 2 8" xfId="31250" xr:uid="{00000000-0005-0000-0000-0000107A0000}"/>
    <cellStyle name="Normal 5 10 2 10 2 9" xfId="31251" xr:uid="{00000000-0005-0000-0000-0000117A0000}"/>
    <cellStyle name="Normal 5 10 2 10 3" xfId="31252" xr:uid="{00000000-0005-0000-0000-0000127A0000}"/>
    <cellStyle name="Normal 5 10 2 10 3 10" xfId="31253" xr:uid="{00000000-0005-0000-0000-0000137A0000}"/>
    <cellStyle name="Normal 5 10 2 10 3 2" xfId="31254" xr:uid="{00000000-0005-0000-0000-0000147A0000}"/>
    <cellStyle name="Normal 5 10 2 10 3 3" xfId="31255" xr:uid="{00000000-0005-0000-0000-0000157A0000}"/>
    <cellStyle name="Normal 5 10 2 10 3 4" xfId="31256" xr:uid="{00000000-0005-0000-0000-0000167A0000}"/>
    <cellStyle name="Normal 5 10 2 10 3 5" xfId="31257" xr:uid="{00000000-0005-0000-0000-0000177A0000}"/>
    <cellStyle name="Normal 5 10 2 10 3 6" xfId="31258" xr:uid="{00000000-0005-0000-0000-0000187A0000}"/>
    <cellStyle name="Normal 5 10 2 10 3 7" xfId="31259" xr:uid="{00000000-0005-0000-0000-0000197A0000}"/>
    <cellStyle name="Normal 5 10 2 10 3 8" xfId="31260" xr:uid="{00000000-0005-0000-0000-00001A7A0000}"/>
    <cellStyle name="Normal 5 10 2 10 3 9" xfId="31261" xr:uid="{00000000-0005-0000-0000-00001B7A0000}"/>
    <cellStyle name="Normal 5 10 2 10 4" xfId="31262" xr:uid="{00000000-0005-0000-0000-00001C7A0000}"/>
    <cellStyle name="Normal 5 10 2 10 4 10" xfId="31263" xr:uid="{00000000-0005-0000-0000-00001D7A0000}"/>
    <cellStyle name="Normal 5 10 2 10 4 2" xfId="31264" xr:uid="{00000000-0005-0000-0000-00001E7A0000}"/>
    <cellStyle name="Normal 5 10 2 10 4 3" xfId="31265" xr:uid="{00000000-0005-0000-0000-00001F7A0000}"/>
    <cellStyle name="Normal 5 10 2 10 4 4" xfId="31266" xr:uid="{00000000-0005-0000-0000-0000207A0000}"/>
    <cellStyle name="Normal 5 10 2 10 4 5" xfId="31267" xr:uid="{00000000-0005-0000-0000-0000217A0000}"/>
    <cellStyle name="Normal 5 10 2 10 4 6" xfId="31268" xr:uid="{00000000-0005-0000-0000-0000227A0000}"/>
    <cellStyle name="Normal 5 10 2 10 4 7" xfId="31269" xr:uid="{00000000-0005-0000-0000-0000237A0000}"/>
    <cellStyle name="Normal 5 10 2 10 4 8" xfId="31270" xr:uid="{00000000-0005-0000-0000-0000247A0000}"/>
    <cellStyle name="Normal 5 10 2 10 4 9" xfId="31271" xr:uid="{00000000-0005-0000-0000-0000257A0000}"/>
    <cellStyle name="Normal 5 10 2 10 5" xfId="31272" xr:uid="{00000000-0005-0000-0000-0000267A0000}"/>
    <cellStyle name="Normal 5 10 2 10 5 10" xfId="31273" xr:uid="{00000000-0005-0000-0000-0000277A0000}"/>
    <cellStyle name="Normal 5 10 2 10 5 2" xfId="31274" xr:uid="{00000000-0005-0000-0000-0000287A0000}"/>
    <cellStyle name="Normal 5 10 2 10 5 3" xfId="31275" xr:uid="{00000000-0005-0000-0000-0000297A0000}"/>
    <cellStyle name="Normal 5 10 2 10 5 4" xfId="31276" xr:uid="{00000000-0005-0000-0000-00002A7A0000}"/>
    <cellStyle name="Normal 5 10 2 10 5 5" xfId="31277" xr:uid="{00000000-0005-0000-0000-00002B7A0000}"/>
    <cellStyle name="Normal 5 10 2 10 5 6" xfId="31278" xr:uid="{00000000-0005-0000-0000-00002C7A0000}"/>
    <cellStyle name="Normal 5 10 2 10 5 7" xfId="31279" xr:uid="{00000000-0005-0000-0000-00002D7A0000}"/>
    <cellStyle name="Normal 5 10 2 10 5 8" xfId="31280" xr:uid="{00000000-0005-0000-0000-00002E7A0000}"/>
    <cellStyle name="Normal 5 10 2 10 5 9" xfId="31281" xr:uid="{00000000-0005-0000-0000-00002F7A0000}"/>
    <cellStyle name="Normal 5 10 2 10 6" xfId="31282" xr:uid="{00000000-0005-0000-0000-0000307A0000}"/>
    <cellStyle name="Normal 5 10 2 10 7" xfId="31283" xr:uid="{00000000-0005-0000-0000-0000317A0000}"/>
    <cellStyle name="Normal 5 10 2 10 8" xfId="31284" xr:uid="{00000000-0005-0000-0000-0000327A0000}"/>
    <cellStyle name="Normal 5 10 2 10 9" xfId="31285" xr:uid="{00000000-0005-0000-0000-0000337A0000}"/>
    <cellStyle name="Normal 5 10 2 11" xfId="31286" xr:uid="{00000000-0005-0000-0000-0000347A0000}"/>
    <cellStyle name="Normal 5 10 2 11 10" xfId="31287" xr:uid="{00000000-0005-0000-0000-0000357A0000}"/>
    <cellStyle name="Normal 5 10 2 11 11" xfId="31288" xr:uid="{00000000-0005-0000-0000-0000367A0000}"/>
    <cellStyle name="Normal 5 10 2 11 12" xfId="31289" xr:uid="{00000000-0005-0000-0000-0000377A0000}"/>
    <cellStyle name="Normal 5 10 2 11 13" xfId="31290" xr:uid="{00000000-0005-0000-0000-0000387A0000}"/>
    <cellStyle name="Normal 5 10 2 11 14" xfId="31291" xr:uid="{00000000-0005-0000-0000-0000397A0000}"/>
    <cellStyle name="Normal 5 10 2 11 2" xfId="31292" xr:uid="{00000000-0005-0000-0000-00003A7A0000}"/>
    <cellStyle name="Normal 5 10 2 11 2 10" xfId="31293" xr:uid="{00000000-0005-0000-0000-00003B7A0000}"/>
    <cellStyle name="Normal 5 10 2 11 2 2" xfId="31294" xr:uid="{00000000-0005-0000-0000-00003C7A0000}"/>
    <cellStyle name="Normal 5 10 2 11 2 3" xfId="31295" xr:uid="{00000000-0005-0000-0000-00003D7A0000}"/>
    <cellStyle name="Normal 5 10 2 11 2 4" xfId="31296" xr:uid="{00000000-0005-0000-0000-00003E7A0000}"/>
    <cellStyle name="Normal 5 10 2 11 2 5" xfId="31297" xr:uid="{00000000-0005-0000-0000-00003F7A0000}"/>
    <cellStyle name="Normal 5 10 2 11 2 6" xfId="31298" xr:uid="{00000000-0005-0000-0000-0000407A0000}"/>
    <cellStyle name="Normal 5 10 2 11 2 7" xfId="31299" xr:uid="{00000000-0005-0000-0000-0000417A0000}"/>
    <cellStyle name="Normal 5 10 2 11 2 8" xfId="31300" xr:uid="{00000000-0005-0000-0000-0000427A0000}"/>
    <cellStyle name="Normal 5 10 2 11 2 9" xfId="31301" xr:uid="{00000000-0005-0000-0000-0000437A0000}"/>
    <cellStyle name="Normal 5 10 2 11 3" xfId="31302" xr:uid="{00000000-0005-0000-0000-0000447A0000}"/>
    <cellStyle name="Normal 5 10 2 11 3 10" xfId="31303" xr:uid="{00000000-0005-0000-0000-0000457A0000}"/>
    <cellStyle name="Normal 5 10 2 11 3 2" xfId="31304" xr:uid="{00000000-0005-0000-0000-0000467A0000}"/>
    <cellStyle name="Normal 5 10 2 11 3 3" xfId="31305" xr:uid="{00000000-0005-0000-0000-0000477A0000}"/>
    <cellStyle name="Normal 5 10 2 11 3 4" xfId="31306" xr:uid="{00000000-0005-0000-0000-0000487A0000}"/>
    <cellStyle name="Normal 5 10 2 11 3 5" xfId="31307" xr:uid="{00000000-0005-0000-0000-0000497A0000}"/>
    <cellStyle name="Normal 5 10 2 11 3 6" xfId="31308" xr:uid="{00000000-0005-0000-0000-00004A7A0000}"/>
    <cellStyle name="Normal 5 10 2 11 3 7" xfId="31309" xr:uid="{00000000-0005-0000-0000-00004B7A0000}"/>
    <cellStyle name="Normal 5 10 2 11 3 8" xfId="31310" xr:uid="{00000000-0005-0000-0000-00004C7A0000}"/>
    <cellStyle name="Normal 5 10 2 11 3 9" xfId="31311" xr:uid="{00000000-0005-0000-0000-00004D7A0000}"/>
    <cellStyle name="Normal 5 10 2 11 4" xfId="31312" xr:uid="{00000000-0005-0000-0000-00004E7A0000}"/>
    <cellStyle name="Normal 5 10 2 11 4 10" xfId="31313" xr:uid="{00000000-0005-0000-0000-00004F7A0000}"/>
    <cellStyle name="Normal 5 10 2 11 4 2" xfId="31314" xr:uid="{00000000-0005-0000-0000-0000507A0000}"/>
    <cellStyle name="Normal 5 10 2 11 4 3" xfId="31315" xr:uid="{00000000-0005-0000-0000-0000517A0000}"/>
    <cellStyle name="Normal 5 10 2 11 4 4" xfId="31316" xr:uid="{00000000-0005-0000-0000-0000527A0000}"/>
    <cellStyle name="Normal 5 10 2 11 4 5" xfId="31317" xr:uid="{00000000-0005-0000-0000-0000537A0000}"/>
    <cellStyle name="Normal 5 10 2 11 4 6" xfId="31318" xr:uid="{00000000-0005-0000-0000-0000547A0000}"/>
    <cellStyle name="Normal 5 10 2 11 4 7" xfId="31319" xr:uid="{00000000-0005-0000-0000-0000557A0000}"/>
    <cellStyle name="Normal 5 10 2 11 4 8" xfId="31320" xr:uid="{00000000-0005-0000-0000-0000567A0000}"/>
    <cellStyle name="Normal 5 10 2 11 4 9" xfId="31321" xr:uid="{00000000-0005-0000-0000-0000577A0000}"/>
    <cellStyle name="Normal 5 10 2 11 5" xfId="31322" xr:uid="{00000000-0005-0000-0000-0000587A0000}"/>
    <cellStyle name="Normal 5 10 2 11 5 10" xfId="31323" xr:uid="{00000000-0005-0000-0000-0000597A0000}"/>
    <cellStyle name="Normal 5 10 2 11 5 2" xfId="31324" xr:uid="{00000000-0005-0000-0000-00005A7A0000}"/>
    <cellStyle name="Normal 5 10 2 11 5 3" xfId="31325" xr:uid="{00000000-0005-0000-0000-00005B7A0000}"/>
    <cellStyle name="Normal 5 10 2 11 5 4" xfId="31326" xr:uid="{00000000-0005-0000-0000-00005C7A0000}"/>
    <cellStyle name="Normal 5 10 2 11 5 5" xfId="31327" xr:uid="{00000000-0005-0000-0000-00005D7A0000}"/>
    <cellStyle name="Normal 5 10 2 11 5 6" xfId="31328" xr:uid="{00000000-0005-0000-0000-00005E7A0000}"/>
    <cellStyle name="Normal 5 10 2 11 5 7" xfId="31329" xr:uid="{00000000-0005-0000-0000-00005F7A0000}"/>
    <cellStyle name="Normal 5 10 2 11 5 8" xfId="31330" xr:uid="{00000000-0005-0000-0000-0000607A0000}"/>
    <cellStyle name="Normal 5 10 2 11 5 9" xfId="31331" xr:uid="{00000000-0005-0000-0000-0000617A0000}"/>
    <cellStyle name="Normal 5 10 2 11 6" xfId="31332" xr:uid="{00000000-0005-0000-0000-0000627A0000}"/>
    <cellStyle name="Normal 5 10 2 11 7" xfId="31333" xr:uid="{00000000-0005-0000-0000-0000637A0000}"/>
    <cellStyle name="Normal 5 10 2 11 8" xfId="31334" xr:uid="{00000000-0005-0000-0000-0000647A0000}"/>
    <cellStyle name="Normal 5 10 2 11 9" xfId="31335" xr:uid="{00000000-0005-0000-0000-0000657A0000}"/>
    <cellStyle name="Normal 5 10 2 12" xfId="31336" xr:uid="{00000000-0005-0000-0000-0000667A0000}"/>
    <cellStyle name="Normal 5 10 2 12 10" xfId="31337" xr:uid="{00000000-0005-0000-0000-0000677A0000}"/>
    <cellStyle name="Normal 5 10 2 12 11" xfId="31338" xr:uid="{00000000-0005-0000-0000-0000687A0000}"/>
    <cellStyle name="Normal 5 10 2 12 12" xfId="31339" xr:uid="{00000000-0005-0000-0000-0000697A0000}"/>
    <cellStyle name="Normal 5 10 2 12 13" xfId="31340" xr:uid="{00000000-0005-0000-0000-00006A7A0000}"/>
    <cellStyle name="Normal 5 10 2 12 14" xfId="31341" xr:uid="{00000000-0005-0000-0000-00006B7A0000}"/>
    <cellStyle name="Normal 5 10 2 12 2" xfId="31342" xr:uid="{00000000-0005-0000-0000-00006C7A0000}"/>
    <cellStyle name="Normal 5 10 2 12 2 10" xfId="31343" xr:uid="{00000000-0005-0000-0000-00006D7A0000}"/>
    <cellStyle name="Normal 5 10 2 12 2 2" xfId="31344" xr:uid="{00000000-0005-0000-0000-00006E7A0000}"/>
    <cellStyle name="Normal 5 10 2 12 2 3" xfId="31345" xr:uid="{00000000-0005-0000-0000-00006F7A0000}"/>
    <cellStyle name="Normal 5 10 2 12 2 4" xfId="31346" xr:uid="{00000000-0005-0000-0000-0000707A0000}"/>
    <cellStyle name="Normal 5 10 2 12 2 5" xfId="31347" xr:uid="{00000000-0005-0000-0000-0000717A0000}"/>
    <cellStyle name="Normal 5 10 2 12 2 6" xfId="31348" xr:uid="{00000000-0005-0000-0000-0000727A0000}"/>
    <cellStyle name="Normal 5 10 2 12 2 7" xfId="31349" xr:uid="{00000000-0005-0000-0000-0000737A0000}"/>
    <cellStyle name="Normal 5 10 2 12 2 8" xfId="31350" xr:uid="{00000000-0005-0000-0000-0000747A0000}"/>
    <cellStyle name="Normal 5 10 2 12 2 9" xfId="31351" xr:uid="{00000000-0005-0000-0000-0000757A0000}"/>
    <cellStyle name="Normal 5 10 2 12 3" xfId="31352" xr:uid="{00000000-0005-0000-0000-0000767A0000}"/>
    <cellStyle name="Normal 5 10 2 12 3 10" xfId="31353" xr:uid="{00000000-0005-0000-0000-0000777A0000}"/>
    <cellStyle name="Normal 5 10 2 12 3 2" xfId="31354" xr:uid="{00000000-0005-0000-0000-0000787A0000}"/>
    <cellStyle name="Normal 5 10 2 12 3 3" xfId="31355" xr:uid="{00000000-0005-0000-0000-0000797A0000}"/>
    <cellStyle name="Normal 5 10 2 12 3 4" xfId="31356" xr:uid="{00000000-0005-0000-0000-00007A7A0000}"/>
    <cellStyle name="Normal 5 10 2 12 3 5" xfId="31357" xr:uid="{00000000-0005-0000-0000-00007B7A0000}"/>
    <cellStyle name="Normal 5 10 2 12 3 6" xfId="31358" xr:uid="{00000000-0005-0000-0000-00007C7A0000}"/>
    <cellStyle name="Normal 5 10 2 12 3 7" xfId="31359" xr:uid="{00000000-0005-0000-0000-00007D7A0000}"/>
    <cellStyle name="Normal 5 10 2 12 3 8" xfId="31360" xr:uid="{00000000-0005-0000-0000-00007E7A0000}"/>
    <cellStyle name="Normal 5 10 2 12 3 9" xfId="31361" xr:uid="{00000000-0005-0000-0000-00007F7A0000}"/>
    <cellStyle name="Normal 5 10 2 12 4" xfId="31362" xr:uid="{00000000-0005-0000-0000-0000807A0000}"/>
    <cellStyle name="Normal 5 10 2 12 4 10" xfId="31363" xr:uid="{00000000-0005-0000-0000-0000817A0000}"/>
    <cellStyle name="Normal 5 10 2 12 4 2" xfId="31364" xr:uid="{00000000-0005-0000-0000-0000827A0000}"/>
    <cellStyle name="Normal 5 10 2 12 4 3" xfId="31365" xr:uid="{00000000-0005-0000-0000-0000837A0000}"/>
    <cellStyle name="Normal 5 10 2 12 4 4" xfId="31366" xr:uid="{00000000-0005-0000-0000-0000847A0000}"/>
    <cellStyle name="Normal 5 10 2 12 4 5" xfId="31367" xr:uid="{00000000-0005-0000-0000-0000857A0000}"/>
    <cellStyle name="Normal 5 10 2 12 4 6" xfId="31368" xr:uid="{00000000-0005-0000-0000-0000867A0000}"/>
    <cellStyle name="Normal 5 10 2 12 4 7" xfId="31369" xr:uid="{00000000-0005-0000-0000-0000877A0000}"/>
    <cellStyle name="Normal 5 10 2 12 4 8" xfId="31370" xr:uid="{00000000-0005-0000-0000-0000887A0000}"/>
    <cellStyle name="Normal 5 10 2 12 4 9" xfId="31371" xr:uid="{00000000-0005-0000-0000-0000897A0000}"/>
    <cellStyle name="Normal 5 10 2 12 5" xfId="31372" xr:uid="{00000000-0005-0000-0000-00008A7A0000}"/>
    <cellStyle name="Normal 5 10 2 12 5 10" xfId="31373" xr:uid="{00000000-0005-0000-0000-00008B7A0000}"/>
    <cellStyle name="Normal 5 10 2 12 5 2" xfId="31374" xr:uid="{00000000-0005-0000-0000-00008C7A0000}"/>
    <cellStyle name="Normal 5 10 2 12 5 3" xfId="31375" xr:uid="{00000000-0005-0000-0000-00008D7A0000}"/>
    <cellStyle name="Normal 5 10 2 12 5 4" xfId="31376" xr:uid="{00000000-0005-0000-0000-00008E7A0000}"/>
    <cellStyle name="Normal 5 10 2 12 5 5" xfId="31377" xr:uid="{00000000-0005-0000-0000-00008F7A0000}"/>
    <cellStyle name="Normal 5 10 2 12 5 6" xfId="31378" xr:uid="{00000000-0005-0000-0000-0000907A0000}"/>
    <cellStyle name="Normal 5 10 2 12 5 7" xfId="31379" xr:uid="{00000000-0005-0000-0000-0000917A0000}"/>
    <cellStyle name="Normal 5 10 2 12 5 8" xfId="31380" xr:uid="{00000000-0005-0000-0000-0000927A0000}"/>
    <cellStyle name="Normal 5 10 2 12 5 9" xfId="31381" xr:uid="{00000000-0005-0000-0000-0000937A0000}"/>
    <cellStyle name="Normal 5 10 2 12 6" xfId="31382" xr:uid="{00000000-0005-0000-0000-0000947A0000}"/>
    <cellStyle name="Normal 5 10 2 12 7" xfId="31383" xr:uid="{00000000-0005-0000-0000-0000957A0000}"/>
    <cellStyle name="Normal 5 10 2 12 8" xfId="31384" xr:uid="{00000000-0005-0000-0000-0000967A0000}"/>
    <cellStyle name="Normal 5 10 2 12 9" xfId="31385" xr:uid="{00000000-0005-0000-0000-0000977A0000}"/>
    <cellStyle name="Normal 5 10 2 13" xfId="31386" xr:uid="{00000000-0005-0000-0000-0000987A0000}"/>
    <cellStyle name="Normal 5 10 2 13 10" xfId="31387" xr:uid="{00000000-0005-0000-0000-0000997A0000}"/>
    <cellStyle name="Normal 5 10 2 13 11" xfId="31388" xr:uid="{00000000-0005-0000-0000-00009A7A0000}"/>
    <cellStyle name="Normal 5 10 2 13 12" xfId="31389" xr:uid="{00000000-0005-0000-0000-00009B7A0000}"/>
    <cellStyle name="Normal 5 10 2 13 13" xfId="31390" xr:uid="{00000000-0005-0000-0000-00009C7A0000}"/>
    <cellStyle name="Normal 5 10 2 13 14" xfId="31391" xr:uid="{00000000-0005-0000-0000-00009D7A0000}"/>
    <cellStyle name="Normal 5 10 2 13 2" xfId="31392" xr:uid="{00000000-0005-0000-0000-00009E7A0000}"/>
    <cellStyle name="Normal 5 10 2 13 2 10" xfId="31393" xr:uid="{00000000-0005-0000-0000-00009F7A0000}"/>
    <cellStyle name="Normal 5 10 2 13 2 2" xfId="31394" xr:uid="{00000000-0005-0000-0000-0000A07A0000}"/>
    <cellStyle name="Normal 5 10 2 13 2 3" xfId="31395" xr:uid="{00000000-0005-0000-0000-0000A17A0000}"/>
    <cellStyle name="Normal 5 10 2 13 2 4" xfId="31396" xr:uid="{00000000-0005-0000-0000-0000A27A0000}"/>
    <cellStyle name="Normal 5 10 2 13 2 5" xfId="31397" xr:uid="{00000000-0005-0000-0000-0000A37A0000}"/>
    <cellStyle name="Normal 5 10 2 13 2 6" xfId="31398" xr:uid="{00000000-0005-0000-0000-0000A47A0000}"/>
    <cellStyle name="Normal 5 10 2 13 2 7" xfId="31399" xr:uid="{00000000-0005-0000-0000-0000A57A0000}"/>
    <cellStyle name="Normal 5 10 2 13 2 8" xfId="31400" xr:uid="{00000000-0005-0000-0000-0000A67A0000}"/>
    <cellStyle name="Normal 5 10 2 13 2 9" xfId="31401" xr:uid="{00000000-0005-0000-0000-0000A77A0000}"/>
    <cellStyle name="Normal 5 10 2 13 3" xfId="31402" xr:uid="{00000000-0005-0000-0000-0000A87A0000}"/>
    <cellStyle name="Normal 5 10 2 13 3 10" xfId="31403" xr:uid="{00000000-0005-0000-0000-0000A97A0000}"/>
    <cellStyle name="Normal 5 10 2 13 3 2" xfId="31404" xr:uid="{00000000-0005-0000-0000-0000AA7A0000}"/>
    <cellStyle name="Normal 5 10 2 13 3 3" xfId="31405" xr:uid="{00000000-0005-0000-0000-0000AB7A0000}"/>
    <cellStyle name="Normal 5 10 2 13 3 4" xfId="31406" xr:uid="{00000000-0005-0000-0000-0000AC7A0000}"/>
    <cellStyle name="Normal 5 10 2 13 3 5" xfId="31407" xr:uid="{00000000-0005-0000-0000-0000AD7A0000}"/>
    <cellStyle name="Normal 5 10 2 13 3 6" xfId="31408" xr:uid="{00000000-0005-0000-0000-0000AE7A0000}"/>
    <cellStyle name="Normal 5 10 2 13 3 7" xfId="31409" xr:uid="{00000000-0005-0000-0000-0000AF7A0000}"/>
    <cellStyle name="Normal 5 10 2 13 3 8" xfId="31410" xr:uid="{00000000-0005-0000-0000-0000B07A0000}"/>
    <cellStyle name="Normal 5 10 2 13 3 9" xfId="31411" xr:uid="{00000000-0005-0000-0000-0000B17A0000}"/>
    <cellStyle name="Normal 5 10 2 13 4" xfId="31412" xr:uid="{00000000-0005-0000-0000-0000B27A0000}"/>
    <cellStyle name="Normal 5 10 2 13 4 10" xfId="31413" xr:uid="{00000000-0005-0000-0000-0000B37A0000}"/>
    <cellStyle name="Normal 5 10 2 13 4 2" xfId="31414" xr:uid="{00000000-0005-0000-0000-0000B47A0000}"/>
    <cellStyle name="Normal 5 10 2 13 4 3" xfId="31415" xr:uid="{00000000-0005-0000-0000-0000B57A0000}"/>
    <cellStyle name="Normal 5 10 2 13 4 4" xfId="31416" xr:uid="{00000000-0005-0000-0000-0000B67A0000}"/>
    <cellStyle name="Normal 5 10 2 13 4 5" xfId="31417" xr:uid="{00000000-0005-0000-0000-0000B77A0000}"/>
    <cellStyle name="Normal 5 10 2 13 4 6" xfId="31418" xr:uid="{00000000-0005-0000-0000-0000B87A0000}"/>
    <cellStyle name="Normal 5 10 2 13 4 7" xfId="31419" xr:uid="{00000000-0005-0000-0000-0000B97A0000}"/>
    <cellStyle name="Normal 5 10 2 13 4 8" xfId="31420" xr:uid="{00000000-0005-0000-0000-0000BA7A0000}"/>
    <cellStyle name="Normal 5 10 2 13 4 9" xfId="31421" xr:uid="{00000000-0005-0000-0000-0000BB7A0000}"/>
    <cellStyle name="Normal 5 10 2 13 5" xfId="31422" xr:uid="{00000000-0005-0000-0000-0000BC7A0000}"/>
    <cellStyle name="Normal 5 10 2 13 5 10" xfId="31423" xr:uid="{00000000-0005-0000-0000-0000BD7A0000}"/>
    <cellStyle name="Normal 5 10 2 13 5 2" xfId="31424" xr:uid="{00000000-0005-0000-0000-0000BE7A0000}"/>
    <cellStyle name="Normal 5 10 2 13 5 3" xfId="31425" xr:uid="{00000000-0005-0000-0000-0000BF7A0000}"/>
    <cellStyle name="Normal 5 10 2 13 5 4" xfId="31426" xr:uid="{00000000-0005-0000-0000-0000C07A0000}"/>
    <cellStyle name="Normal 5 10 2 13 5 5" xfId="31427" xr:uid="{00000000-0005-0000-0000-0000C17A0000}"/>
    <cellStyle name="Normal 5 10 2 13 5 6" xfId="31428" xr:uid="{00000000-0005-0000-0000-0000C27A0000}"/>
    <cellStyle name="Normal 5 10 2 13 5 7" xfId="31429" xr:uid="{00000000-0005-0000-0000-0000C37A0000}"/>
    <cellStyle name="Normal 5 10 2 13 5 8" xfId="31430" xr:uid="{00000000-0005-0000-0000-0000C47A0000}"/>
    <cellStyle name="Normal 5 10 2 13 5 9" xfId="31431" xr:uid="{00000000-0005-0000-0000-0000C57A0000}"/>
    <cellStyle name="Normal 5 10 2 13 6" xfId="31432" xr:uid="{00000000-0005-0000-0000-0000C67A0000}"/>
    <cellStyle name="Normal 5 10 2 13 7" xfId="31433" xr:uid="{00000000-0005-0000-0000-0000C77A0000}"/>
    <cellStyle name="Normal 5 10 2 13 8" xfId="31434" xr:uid="{00000000-0005-0000-0000-0000C87A0000}"/>
    <cellStyle name="Normal 5 10 2 13 9" xfId="31435" xr:uid="{00000000-0005-0000-0000-0000C97A0000}"/>
    <cellStyle name="Normal 5 10 2 14" xfId="31436" xr:uid="{00000000-0005-0000-0000-0000CA7A0000}"/>
    <cellStyle name="Normal 5 10 2 14 10" xfId="31437" xr:uid="{00000000-0005-0000-0000-0000CB7A0000}"/>
    <cellStyle name="Normal 5 10 2 14 11" xfId="31438" xr:uid="{00000000-0005-0000-0000-0000CC7A0000}"/>
    <cellStyle name="Normal 5 10 2 14 12" xfId="31439" xr:uid="{00000000-0005-0000-0000-0000CD7A0000}"/>
    <cellStyle name="Normal 5 10 2 14 13" xfId="31440" xr:uid="{00000000-0005-0000-0000-0000CE7A0000}"/>
    <cellStyle name="Normal 5 10 2 14 14" xfId="31441" xr:uid="{00000000-0005-0000-0000-0000CF7A0000}"/>
    <cellStyle name="Normal 5 10 2 14 2" xfId="31442" xr:uid="{00000000-0005-0000-0000-0000D07A0000}"/>
    <cellStyle name="Normal 5 10 2 14 2 10" xfId="31443" xr:uid="{00000000-0005-0000-0000-0000D17A0000}"/>
    <cellStyle name="Normal 5 10 2 14 2 2" xfId="31444" xr:uid="{00000000-0005-0000-0000-0000D27A0000}"/>
    <cellStyle name="Normal 5 10 2 14 2 3" xfId="31445" xr:uid="{00000000-0005-0000-0000-0000D37A0000}"/>
    <cellStyle name="Normal 5 10 2 14 2 4" xfId="31446" xr:uid="{00000000-0005-0000-0000-0000D47A0000}"/>
    <cellStyle name="Normal 5 10 2 14 2 5" xfId="31447" xr:uid="{00000000-0005-0000-0000-0000D57A0000}"/>
    <cellStyle name="Normal 5 10 2 14 2 6" xfId="31448" xr:uid="{00000000-0005-0000-0000-0000D67A0000}"/>
    <cellStyle name="Normal 5 10 2 14 2 7" xfId="31449" xr:uid="{00000000-0005-0000-0000-0000D77A0000}"/>
    <cellStyle name="Normal 5 10 2 14 2 8" xfId="31450" xr:uid="{00000000-0005-0000-0000-0000D87A0000}"/>
    <cellStyle name="Normal 5 10 2 14 2 9" xfId="31451" xr:uid="{00000000-0005-0000-0000-0000D97A0000}"/>
    <cellStyle name="Normal 5 10 2 14 3" xfId="31452" xr:uid="{00000000-0005-0000-0000-0000DA7A0000}"/>
    <cellStyle name="Normal 5 10 2 14 3 10" xfId="31453" xr:uid="{00000000-0005-0000-0000-0000DB7A0000}"/>
    <cellStyle name="Normal 5 10 2 14 3 2" xfId="31454" xr:uid="{00000000-0005-0000-0000-0000DC7A0000}"/>
    <cellStyle name="Normal 5 10 2 14 3 3" xfId="31455" xr:uid="{00000000-0005-0000-0000-0000DD7A0000}"/>
    <cellStyle name="Normal 5 10 2 14 3 4" xfId="31456" xr:uid="{00000000-0005-0000-0000-0000DE7A0000}"/>
    <cellStyle name="Normal 5 10 2 14 3 5" xfId="31457" xr:uid="{00000000-0005-0000-0000-0000DF7A0000}"/>
    <cellStyle name="Normal 5 10 2 14 3 6" xfId="31458" xr:uid="{00000000-0005-0000-0000-0000E07A0000}"/>
    <cellStyle name="Normal 5 10 2 14 3 7" xfId="31459" xr:uid="{00000000-0005-0000-0000-0000E17A0000}"/>
    <cellStyle name="Normal 5 10 2 14 3 8" xfId="31460" xr:uid="{00000000-0005-0000-0000-0000E27A0000}"/>
    <cellStyle name="Normal 5 10 2 14 3 9" xfId="31461" xr:uid="{00000000-0005-0000-0000-0000E37A0000}"/>
    <cellStyle name="Normal 5 10 2 14 4" xfId="31462" xr:uid="{00000000-0005-0000-0000-0000E47A0000}"/>
    <cellStyle name="Normal 5 10 2 14 4 10" xfId="31463" xr:uid="{00000000-0005-0000-0000-0000E57A0000}"/>
    <cellStyle name="Normal 5 10 2 14 4 2" xfId="31464" xr:uid="{00000000-0005-0000-0000-0000E67A0000}"/>
    <cellStyle name="Normal 5 10 2 14 4 3" xfId="31465" xr:uid="{00000000-0005-0000-0000-0000E77A0000}"/>
    <cellStyle name="Normal 5 10 2 14 4 4" xfId="31466" xr:uid="{00000000-0005-0000-0000-0000E87A0000}"/>
    <cellStyle name="Normal 5 10 2 14 4 5" xfId="31467" xr:uid="{00000000-0005-0000-0000-0000E97A0000}"/>
    <cellStyle name="Normal 5 10 2 14 4 6" xfId="31468" xr:uid="{00000000-0005-0000-0000-0000EA7A0000}"/>
    <cellStyle name="Normal 5 10 2 14 4 7" xfId="31469" xr:uid="{00000000-0005-0000-0000-0000EB7A0000}"/>
    <cellStyle name="Normal 5 10 2 14 4 8" xfId="31470" xr:uid="{00000000-0005-0000-0000-0000EC7A0000}"/>
    <cellStyle name="Normal 5 10 2 14 4 9" xfId="31471" xr:uid="{00000000-0005-0000-0000-0000ED7A0000}"/>
    <cellStyle name="Normal 5 10 2 14 5" xfId="31472" xr:uid="{00000000-0005-0000-0000-0000EE7A0000}"/>
    <cellStyle name="Normal 5 10 2 14 5 10" xfId="31473" xr:uid="{00000000-0005-0000-0000-0000EF7A0000}"/>
    <cellStyle name="Normal 5 10 2 14 5 2" xfId="31474" xr:uid="{00000000-0005-0000-0000-0000F07A0000}"/>
    <cellStyle name="Normal 5 10 2 14 5 3" xfId="31475" xr:uid="{00000000-0005-0000-0000-0000F17A0000}"/>
    <cellStyle name="Normal 5 10 2 14 5 4" xfId="31476" xr:uid="{00000000-0005-0000-0000-0000F27A0000}"/>
    <cellStyle name="Normal 5 10 2 14 5 5" xfId="31477" xr:uid="{00000000-0005-0000-0000-0000F37A0000}"/>
    <cellStyle name="Normal 5 10 2 14 5 6" xfId="31478" xr:uid="{00000000-0005-0000-0000-0000F47A0000}"/>
    <cellStyle name="Normal 5 10 2 14 5 7" xfId="31479" xr:uid="{00000000-0005-0000-0000-0000F57A0000}"/>
    <cellStyle name="Normal 5 10 2 14 5 8" xfId="31480" xr:uid="{00000000-0005-0000-0000-0000F67A0000}"/>
    <cellStyle name="Normal 5 10 2 14 5 9" xfId="31481" xr:uid="{00000000-0005-0000-0000-0000F77A0000}"/>
    <cellStyle name="Normal 5 10 2 14 6" xfId="31482" xr:uid="{00000000-0005-0000-0000-0000F87A0000}"/>
    <cellStyle name="Normal 5 10 2 14 7" xfId="31483" xr:uid="{00000000-0005-0000-0000-0000F97A0000}"/>
    <cellStyle name="Normal 5 10 2 14 8" xfId="31484" xr:uid="{00000000-0005-0000-0000-0000FA7A0000}"/>
    <cellStyle name="Normal 5 10 2 14 9" xfId="31485" xr:uid="{00000000-0005-0000-0000-0000FB7A0000}"/>
    <cellStyle name="Normal 5 10 2 15" xfId="31486" xr:uid="{00000000-0005-0000-0000-0000FC7A0000}"/>
    <cellStyle name="Normal 5 10 2 15 10" xfId="31487" xr:uid="{00000000-0005-0000-0000-0000FD7A0000}"/>
    <cellStyle name="Normal 5 10 2 15 11" xfId="31488" xr:uid="{00000000-0005-0000-0000-0000FE7A0000}"/>
    <cellStyle name="Normal 5 10 2 15 12" xfId="31489" xr:uid="{00000000-0005-0000-0000-0000FF7A0000}"/>
    <cellStyle name="Normal 5 10 2 15 13" xfId="31490" xr:uid="{00000000-0005-0000-0000-0000007B0000}"/>
    <cellStyle name="Normal 5 10 2 15 14" xfId="31491" xr:uid="{00000000-0005-0000-0000-0000017B0000}"/>
    <cellStyle name="Normal 5 10 2 15 2" xfId="31492" xr:uid="{00000000-0005-0000-0000-0000027B0000}"/>
    <cellStyle name="Normal 5 10 2 15 2 10" xfId="31493" xr:uid="{00000000-0005-0000-0000-0000037B0000}"/>
    <cellStyle name="Normal 5 10 2 15 2 2" xfId="31494" xr:uid="{00000000-0005-0000-0000-0000047B0000}"/>
    <cellStyle name="Normal 5 10 2 15 2 3" xfId="31495" xr:uid="{00000000-0005-0000-0000-0000057B0000}"/>
    <cellStyle name="Normal 5 10 2 15 2 4" xfId="31496" xr:uid="{00000000-0005-0000-0000-0000067B0000}"/>
    <cellStyle name="Normal 5 10 2 15 2 5" xfId="31497" xr:uid="{00000000-0005-0000-0000-0000077B0000}"/>
    <cellStyle name="Normal 5 10 2 15 2 6" xfId="31498" xr:uid="{00000000-0005-0000-0000-0000087B0000}"/>
    <cellStyle name="Normal 5 10 2 15 2 7" xfId="31499" xr:uid="{00000000-0005-0000-0000-0000097B0000}"/>
    <cellStyle name="Normal 5 10 2 15 2 8" xfId="31500" xr:uid="{00000000-0005-0000-0000-00000A7B0000}"/>
    <cellStyle name="Normal 5 10 2 15 2 9" xfId="31501" xr:uid="{00000000-0005-0000-0000-00000B7B0000}"/>
    <cellStyle name="Normal 5 10 2 15 3" xfId="31502" xr:uid="{00000000-0005-0000-0000-00000C7B0000}"/>
    <cellStyle name="Normal 5 10 2 15 3 10" xfId="31503" xr:uid="{00000000-0005-0000-0000-00000D7B0000}"/>
    <cellStyle name="Normal 5 10 2 15 3 2" xfId="31504" xr:uid="{00000000-0005-0000-0000-00000E7B0000}"/>
    <cellStyle name="Normal 5 10 2 15 3 3" xfId="31505" xr:uid="{00000000-0005-0000-0000-00000F7B0000}"/>
    <cellStyle name="Normal 5 10 2 15 3 4" xfId="31506" xr:uid="{00000000-0005-0000-0000-0000107B0000}"/>
    <cellStyle name="Normal 5 10 2 15 3 5" xfId="31507" xr:uid="{00000000-0005-0000-0000-0000117B0000}"/>
    <cellStyle name="Normal 5 10 2 15 3 6" xfId="31508" xr:uid="{00000000-0005-0000-0000-0000127B0000}"/>
    <cellStyle name="Normal 5 10 2 15 3 7" xfId="31509" xr:uid="{00000000-0005-0000-0000-0000137B0000}"/>
    <cellStyle name="Normal 5 10 2 15 3 8" xfId="31510" xr:uid="{00000000-0005-0000-0000-0000147B0000}"/>
    <cellStyle name="Normal 5 10 2 15 3 9" xfId="31511" xr:uid="{00000000-0005-0000-0000-0000157B0000}"/>
    <cellStyle name="Normal 5 10 2 15 4" xfId="31512" xr:uid="{00000000-0005-0000-0000-0000167B0000}"/>
    <cellStyle name="Normal 5 10 2 15 4 10" xfId="31513" xr:uid="{00000000-0005-0000-0000-0000177B0000}"/>
    <cellStyle name="Normal 5 10 2 15 4 2" xfId="31514" xr:uid="{00000000-0005-0000-0000-0000187B0000}"/>
    <cellStyle name="Normal 5 10 2 15 4 3" xfId="31515" xr:uid="{00000000-0005-0000-0000-0000197B0000}"/>
    <cellStyle name="Normal 5 10 2 15 4 4" xfId="31516" xr:uid="{00000000-0005-0000-0000-00001A7B0000}"/>
    <cellStyle name="Normal 5 10 2 15 4 5" xfId="31517" xr:uid="{00000000-0005-0000-0000-00001B7B0000}"/>
    <cellStyle name="Normal 5 10 2 15 4 6" xfId="31518" xr:uid="{00000000-0005-0000-0000-00001C7B0000}"/>
    <cellStyle name="Normal 5 10 2 15 4 7" xfId="31519" xr:uid="{00000000-0005-0000-0000-00001D7B0000}"/>
    <cellStyle name="Normal 5 10 2 15 4 8" xfId="31520" xr:uid="{00000000-0005-0000-0000-00001E7B0000}"/>
    <cellStyle name="Normal 5 10 2 15 4 9" xfId="31521" xr:uid="{00000000-0005-0000-0000-00001F7B0000}"/>
    <cellStyle name="Normal 5 10 2 15 5" xfId="31522" xr:uid="{00000000-0005-0000-0000-0000207B0000}"/>
    <cellStyle name="Normal 5 10 2 15 5 10" xfId="31523" xr:uid="{00000000-0005-0000-0000-0000217B0000}"/>
    <cellStyle name="Normal 5 10 2 15 5 2" xfId="31524" xr:uid="{00000000-0005-0000-0000-0000227B0000}"/>
    <cellStyle name="Normal 5 10 2 15 5 3" xfId="31525" xr:uid="{00000000-0005-0000-0000-0000237B0000}"/>
    <cellStyle name="Normal 5 10 2 15 5 4" xfId="31526" xr:uid="{00000000-0005-0000-0000-0000247B0000}"/>
    <cellStyle name="Normal 5 10 2 15 5 5" xfId="31527" xr:uid="{00000000-0005-0000-0000-0000257B0000}"/>
    <cellStyle name="Normal 5 10 2 15 5 6" xfId="31528" xr:uid="{00000000-0005-0000-0000-0000267B0000}"/>
    <cellStyle name="Normal 5 10 2 15 5 7" xfId="31529" xr:uid="{00000000-0005-0000-0000-0000277B0000}"/>
    <cellStyle name="Normal 5 10 2 15 5 8" xfId="31530" xr:uid="{00000000-0005-0000-0000-0000287B0000}"/>
    <cellStyle name="Normal 5 10 2 15 5 9" xfId="31531" xr:uid="{00000000-0005-0000-0000-0000297B0000}"/>
    <cellStyle name="Normal 5 10 2 15 6" xfId="31532" xr:uid="{00000000-0005-0000-0000-00002A7B0000}"/>
    <cellStyle name="Normal 5 10 2 15 7" xfId="31533" xr:uid="{00000000-0005-0000-0000-00002B7B0000}"/>
    <cellStyle name="Normal 5 10 2 15 8" xfId="31534" xr:uid="{00000000-0005-0000-0000-00002C7B0000}"/>
    <cellStyle name="Normal 5 10 2 15 9" xfId="31535" xr:uid="{00000000-0005-0000-0000-00002D7B0000}"/>
    <cellStyle name="Normal 5 10 2 16" xfId="31536" xr:uid="{00000000-0005-0000-0000-00002E7B0000}"/>
    <cellStyle name="Normal 5 10 2 16 10" xfId="31537" xr:uid="{00000000-0005-0000-0000-00002F7B0000}"/>
    <cellStyle name="Normal 5 10 2 16 11" xfId="31538" xr:uid="{00000000-0005-0000-0000-0000307B0000}"/>
    <cellStyle name="Normal 5 10 2 16 12" xfId="31539" xr:uid="{00000000-0005-0000-0000-0000317B0000}"/>
    <cellStyle name="Normal 5 10 2 16 13" xfId="31540" xr:uid="{00000000-0005-0000-0000-0000327B0000}"/>
    <cellStyle name="Normal 5 10 2 16 14" xfId="31541" xr:uid="{00000000-0005-0000-0000-0000337B0000}"/>
    <cellStyle name="Normal 5 10 2 16 2" xfId="31542" xr:uid="{00000000-0005-0000-0000-0000347B0000}"/>
    <cellStyle name="Normal 5 10 2 16 2 10" xfId="31543" xr:uid="{00000000-0005-0000-0000-0000357B0000}"/>
    <cellStyle name="Normal 5 10 2 16 2 2" xfId="31544" xr:uid="{00000000-0005-0000-0000-0000367B0000}"/>
    <cellStyle name="Normal 5 10 2 16 2 3" xfId="31545" xr:uid="{00000000-0005-0000-0000-0000377B0000}"/>
    <cellStyle name="Normal 5 10 2 16 2 4" xfId="31546" xr:uid="{00000000-0005-0000-0000-0000387B0000}"/>
    <cellStyle name="Normal 5 10 2 16 2 5" xfId="31547" xr:uid="{00000000-0005-0000-0000-0000397B0000}"/>
    <cellStyle name="Normal 5 10 2 16 2 6" xfId="31548" xr:uid="{00000000-0005-0000-0000-00003A7B0000}"/>
    <cellStyle name="Normal 5 10 2 16 2 7" xfId="31549" xr:uid="{00000000-0005-0000-0000-00003B7B0000}"/>
    <cellStyle name="Normal 5 10 2 16 2 8" xfId="31550" xr:uid="{00000000-0005-0000-0000-00003C7B0000}"/>
    <cellStyle name="Normal 5 10 2 16 2 9" xfId="31551" xr:uid="{00000000-0005-0000-0000-00003D7B0000}"/>
    <cellStyle name="Normal 5 10 2 16 3" xfId="31552" xr:uid="{00000000-0005-0000-0000-00003E7B0000}"/>
    <cellStyle name="Normal 5 10 2 16 3 10" xfId="31553" xr:uid="{00000000-0005-0000-0000-00003F7B0000}"/>
    <cellStyle name="Normal 5 10 2 16 3 2" xfId="31554" xr:uid="{00000000-0005-0000-0000-0000407B0000}"/>
    <cellStyle name="Normal 5 10 2 16 3 3" xfId="31555" xr:uid="{00000000-0005-0000-0000-0000417B0000}"/>
    <cellStyle name="Normal 5 10 2 16 3 4" xfId="31556" xr:uid="{00000000-0005-0000-0000-0000427B0000}"/>
    <cellStyle name="Normal 5 10 2 16 3 5" xfId="31557" xr:uid="{00000000-0005-0000-0000-0000437B0000}"/>
    <cellStyle name="Normal 5 10 2 16 3 6" xfId="31558" xr:uid="{00000000-0005-0000-0000-0000447B0000}"/>
    <cellStyle name="Normal 5 10 2 16 3 7" xfId="31559" xr:uid="{00000000-0005-0000-0000-0000457B0000}"/>
    <cellStyle name="Normal 5 10 2 16 3 8" xfId="31560" xr:uid="{00000000-0005-0000-0000-0000467B0000}"/>
    <cellStyle name="Normal 5 10 2 16 3 9" xfId="31561" xr:uid="{00000000-0005-0000-0000-0000477B0000}"/>
    <cellStyle name="Normal 5 10 2 16 4" xfId="31562" xr:uid="{00000000-0005-0000-0000-0000487B0000}"/>
    <cellStyle name="Normal 5 10 2 16 4 10" xfId="31563" xr:uid="{00000000-0005-0000-0000-0000497B0000}"/>
    <cellStyle name="Normal 5 10 2 16 4 2" xfId="31564" xr:uid="{00000000-0005-0000-0000-00004A7B0000}"/>
    <cellStyle name="Normal 5 10 2 16 4 3" xfId="31565" xr:uid="{00000000-0005-0000-0000-00004B7B0000}"/>
    <cellStyle name="Normal 5 10 2 16 4 4" xfId="31566" xr:uid="{00000000-0005-0000-0000-00004C7B0000}"/>
    <cellStyle name="Normal 5 10 2 16 4 5" xfId="31567" xr:uid="{00000000-0005-0000-0000-00004D7B0000}"/>
    <cellStyle name="Normal 5 10 2 16 4 6" xfId="31568" xr:uid="{00000000-0005-0000-0000-00004E7B0000}"/>
    <cellStyle name="Normal 5 10 2 16 4 7" xfId="31569" xr:uid="{00000000-0005-0000-0000-00004F7B0000}"/>
    <cellStyle name="Normal 5 10 2 16 4 8" xfId="31570" xr:uid="{00000000-0005-0000-0000-0000507B0000}"/>
    <cellStyle name="Normal 5 10 2 16 4 9" xfId="31571" xr:uid="{00000000-0005-0000-0000-0000517B0000}"/>
    <cellStyle name="Normal 5 10 2 16 5" xfId="31572" xr:uid="{00000000-0005-0000-0000-0000527B0000}"/>
    <cellStyle name="Normal 5 10 2 16 5 10" xfId="31573" xr:uid="{00000000-0005-0000-0000-0000537B0000}"/>
    <cellStyle name="Normal 5 10 2 16 5 2" xfId="31574" xr:uid="{00000000-0005-0000-0000-0000547B0000}"/>
    <cellStyle name="Normal 5 10 2 16 5 3" xfId="31575" xr:uid="{00000000-0005-0000-0000-0000557B0000}"/>
    <cellStyle name="Normal 5 10 2 16 5 4" xfId="31576" xr:uid="{00000000-0005-0000-0000-0000567B0000}"/>
    <cellStyle name="Normal 5 10 2 16 5 5" xfId="31577" xr:uid="{00000000-0005-0000-0000-0000577B0000}"/>
    <cellStyle name="Normal 5 10 2 16 5 6" xfId="31578" xr:uid="{00000000-0005-0000-0000-0000587B0000}"/>
    <cellStyle name="Normal 5 10 2 16 5 7" xfId="31579" xr:uid="{00000000-0005-0000-0000-0000597B0000}"/>
    <cellStyle name="Normal 5 10 2 16 5 8" xfId="31580" xr:uid="{00000000-0005-0000-0000-00005A7B0000}"/>
    <cellStyle name="Normal 5 10 2 16 5 9" xfId="31581" xr:uid="{00000000-0005-0000-0000-00005B7B0000}"/>
    <cellStyle name="Normal 5 10 2 16 6" xfId="31582" xr:uid="{00000000-0005-0000-0000-00005C7B0000}"/>
    <cellStyle name="Normal 5 10 2 16 7" xfId="31583" xr:uid="{00000000-0005-0000-0000-00005D7B0000}"/>
    <cellStyle name="Normal 5 10 2 16 8" xfId="31584" xr:uid="{00000000-0005-0000-0000-00005E7B0000}"/>
    <cellStyle name="Normal 5 10 2 16 9" xfId="31585" xr:uid="{00000000-0005-0000-0000-00005F7B0000}"/>
    <cellStyle name="Normal 5 10 2 17" xfId="31586" xr:uid="{00000000-0005-0000-0000-0000607B0000}"/>
    <cellStyle name="Normal 5 10 2 17 10" xfId="31587" xr:uid="{00000000-0005-0000-0000-0000617B0000}"/>
    <cellStyle name="Normal 5 10 2 17 11" xfId="31588" xr:uid="{00000000-0005-0000-0000-0000627B0000}"/>
    <cellStyle name="Normal 5 10 2 17 12" xfId="31589" xr:uid="{00000000-0005-0000-0000-0000637B0000}"/>
    <cellStyle name="Normal 5 10 2 17 13" xfId="31590" xr:uid="{00000000-0005-0000-0000-0000647B0000}"/>
    <cellStyle name="Normal 5 10 2 17 14" xfId="31591" xr:uid="{00000000-0005-0000-0000-0000657B0000}"/>
    <cellStyle name="Normal 5 10 2 17 2" xfId="31592" xr:uid="{00000000-0005-0000-0000-0000667B0000}"/>
    <cellStyle name="Normal 5 10 2 17 2 10" xfId="31593" xr:uid="{00000000-0005-0000-0000-0000677B0000}"/>
    <cellStyle name="Normal 5 10 2 17 2 2" xfId="31594" xr:uid="{00000000-0005-0000-0000-0000687B0000}"/>
    <cellStyle name="Normal 5 10 2 17 2 3" xfId="31595" xr:uid="{00000000-0005-0000-0000-0000697B0000}"/>
    <cellStyle name="Normal 5 10 2 17 2 4" xfId="31596" xr:uid="{00000000-0005-0000-0000-00006A7B0000}"/>
    <cellStyle name="Normal 5 10 2 17 2 5" xfId="31597" xr:uid="{00000000-0005-0000-0000-00006B7B0000}"/>
    <cellStyle name="Normal 5 10 2 17 2 6" xfId="31598" xr:uid="{00000000-0005-0000-0000-00006C7B0000}"/>
    <cellStyle name="Normal 5 10 2 17 2 7" xfId="31599" xr:uid="{00000000-0005-0000-0000-00006D7B0000}"/>
    <cellStyle name="Normal 5 10 2 17 2 8" xfId="31600" xr:uid="{00000000-0005-0000-0000-00006E7B0000}"/>
    <cellStyle name="Normal 5 10 2 17 2 9" xfId="31601" xr:uid="{00000000-0005-0000-0000-00006F7B0000}"/>
    <cellStyle name="Normal 5 10 2 17 3" xfId="31602" xr:uid="{00000000-0005-0000-0000-0000707B0000}"/>
    <cellStyle name="Normal 5 10 2 17 3 10" xfId="31603" xr:uid="{00000000-0005-0000-0000-0000717B0000}"/>
    <cellStyle name="Normal 5 10 2 17 3 2" xfId="31604" xr:uid="{00000000-0005-0000-0000-0000727B0000}"/>
    <cellStyle name="Normal 5 10 2 17 3 3" xfId="31605" xr:uid="{00000000-0005-0000-0000-0000737B0000}"/>
    <cellStyle name="Normal 5 10 2 17 3 4" xfId="31606" xr:uid="{00000000-0005-0000-0000-0000747B0000}"/>
    <cellStyle name="Normal 5 10 2 17 3 5" xfId="31607" xr:uid="{00000000-0005-0000-0000-0000757B0000}"/>
    <cellStyle name="Normal 5 10 2 17 3 6" xfId="31608" xr:uid="{00000000-0005-0000-0000-0000767B0000}"/>
    <cellStyle name="Normal 5 10 2 17 3 7" xfId="31609" xr:uid="{00000000-0005-0000-0000-0000777B0000}"/>
    <cellStyle name="Normal 5 10 2 17 3 8" xfId="31610" xr:uid="{00000000-0005-0000-0000-0000787B0000}"/>
    <cellStyle name="Normal 5 10 2 17 3 9" xfId="31611" xr:uid="{00000000-0005-0000-0000-0000797B0000}"/>
    <cellStyle name="Normal 5 10 2 17 4" xfId="31612" xr:uid="{00000000-0005-0000-0000-00007A7B0000}"/>
    <cellStyle name="Normal 5 10 2 17 4 10" xfId="31613" xr:uid="{00000000-0005-0000-0000-00007B7B0000}"/>
    <cellStyle name="Normal 5 10 2 17 4 2" xfId="31614" xr:uid="{00000000-0005-0000-0000-00007C7B0000}"/>
    <cellStyle name="Normal 5 10 2 17 4 3" xfId="31615" xr:uid="{00000000-0005-0000-0000-00007D7B0000}"/>
    <cellStyle name="Normal 5 10 2 17 4 4" xfId="31616" xr:uid="{00000000-0005-0000-0000-00007E7B0000}"/>
    <cellStyle name="Normal 5 10 2 17 4 5" xfId="31617" xr:uid="{00000000-0005-0000-0000-00007F7B0000}"/>
    <cellStyle name="Normal 5 10 2 17 4 6" xfId="31618" xr:uid="{00000000-0005-0000-0000-0000807B0000}"/>
    <cellStyle name="Normal 5 10 2 17 4 7" xfId="31619" xr:uid="{00000000-0005-0000-0000-0000817B0000}"/>
    <cellStyle name="Normal 5 10 2 17 4 8" xfId="31620" xr:uid="{00000000-0005-0000-0000-0000827B0000}"/>
    <cellStyle name="Normal 5 10 2 17 4 9" xfId="31621" xr:uid="{00000000-0005-0000-0000-0000837B0000}"/>
    <cellStyle name="Normal 5 10 2 17 5" xfId="31622" xr:uid="{00000000-0005-0000-0000-0000847B0000}"/>
    <cellStyle name="Normal 5 10 2 17 5 10" xfId="31623" xr:uid="{00000000-0005-0000-0000-0000857B0000}"/>
    <cellStyle name="Normal 5 10 2 17 5 2" xfId="31624" xr:uid="{00000000-0005-0000-0000-0000867B0000}"/>
    <cellStyle name="Normal 5 10 2 17 5 3" xfId="31625" xr:uid="{00000000-0005-0000-0000-0000877B0000}"/>
    <cellStyle name="Normal 5 10 2 17 5 4" xfId="31626" xr:uid="{00000000-0005-0000-0000-0000887B0000}"/>
    <cellStyle name="Normal 5 10 2 17 5 5" xfId="31627" xr:uid="{00000000-0005-0000-0000-0000897B0000}"/>
    <cellStyle name="Normal 5 10 2 17 5 6" xfId="31628" xr:uid="{00000000-0005-0000-0000-00008A7B0000}"/>
    <cellStyle name="Normal 5 10 2 17 5 7" xfId="31629" xr:uid="{00000000-0005-0000-0000-00008B7B0000}"/>
    <cellStyle name="Normal 5 10 2 17 5 8" xfId="31630" xr:uid="{00000000-0005-0000-0000-00008C7B0000}"/>
    <cellStyle name="Normal 5 10 2 17 5 9" xfId="31631" xr:uid="{00000000-0005-0000-0000-00008D7B0000}"/>
    <cellStyle name="Normal 5 10 2 17 6" xfId="31632" xr:uid="{00000000-0005-0000-0000-00008E7B0000}"/>
    <cellStyle name="Normal 5 10 2 17 7" xfId="31633" xr:uid="{00000000-0005-0000-0000-00008F7B0000}"/>
    <cellStyle name="Normal 5 10 2 17 8" xfId="31634" xr:uid="{00000000-0005-0000-0000-0000907B0000}"/>
    <cellStyle name="Normal 5 10 2 17 9" xfId="31635" xr:uid="{00000000-0005-0000-0000-0000917B0000}"/>
    <cellStyle name="Normal 5 10 2 18" xfId="31636" xr:uid="{00000000-0005-0000-0000-0000927B0000}"/>
    <cellStyle name="Normal 5 10 2 18 10" xfId="31637" xr:uid="{00000000-0005-0000-0000-0000937B0000}"/>
    <cellStyle name="Normal 5 10 2 18 11" xfId="31638" xr:uid="{00000000-0005-0000-0000-0000947B0000}"/>
    <cellStyle name="Normal 5 10 2 18 12" xfId="31639" xr:uid="{00000000-0005-0000-0000-0000957B0000}"/>
    <cellStyle name="Normal 5 10 2 18 13" xfId="31640" xr:uid="{00000000-0005-0000-0000-0000967B0000}"/>
    <cellStyle name="Normal 5 10 2 18 14" xfId="31641" xr:uid="{00000000-0005-0000-0000-0000977B0000}"/>
    <cellStyle name="Normal 5 10 2 18 2" xfId="31642" xr:uid="{00000000-0005-0000-0000-0000987B0000}"/>
    <cellStyle name="Normal 5 10 2 18 2 10" xfId="31643" xr:uid="{00000000-0005-0000-0000-0000997B0000}"/>
    <cellStyle name="Normal 5 10 2 18 2 2" xfId="31644" xr:uid="{00000000-0005-0000-0000-00009A7B0000}"/>
    <cellStyle name="Normal 5 10 2 18 2 3" xfId="31645" xr:uid="{00000000-0005-0000-0000-00009B7B0000}"/>
    <cellStyle name="Normal 5 10 2 18 2 4" xfId="31646" xr:uid="{00000000-0005-0000-0000-00009C7B0000}"/>
    <cellStyle name="Normal 5 10 2 18 2 5" xfId="31647" xr:uid="{00000000-0005-0000-0000-00009D7B0000}"/>
    <cellStyle name="Normal 5 10 2 18 2 6" xfId="31648" xr:uid="{00000000-0005-0000-0000-00009E7B0000}"/>
    <cellStyle name="Normal 5 10 2 18 2 7" xfId="31649" xr:uid="{00000000-0005-0000-0000-00009F7B0000}"/>
    <cellStyle name="Normal 5 10 2 18 2 8" xfId="31650" xr:uid="{00000000-0005-0000-0000-0000A07B0000}"/>
    <cellStyle name="Normal 5 10 2 18 2 9" xfId="31651" xr:uid="{00000000-0005-0000-0000-0000A17B0000}"/>
    <cellStyle name="Normal 5 10 2 18 3" xfId="31652" xr:uid="{00000000-0005-0000-0000-0000A27B0000}"/>
    <cellStyle name="Normal 5 10 2 18 3 10" xfId="31653" xr:uid="{00000000-0005-0000-0000-0000A37B0000}"/>
    <cellStyle name="Normal 5 10 2 18 3 2" xfId="31654" xr:uid="{00000000-0005-0000-0000-0000A47B0000}"/>
    <cellStyle name="Normal 5 10 2 18 3 3" xfId="31655" xr:uid="{00000000-0005-0000-0000-0000A57B0000}"/>
    <cellStyle name="Normal 5 10 2 18 3 4" xfId="31656" xr:uid="{00000000-0005-0000-0000-0000A67B0000}"/>
    <cellStyle name="Normal 5 10 2 18 3 5" xfId="31657" xr:uid="{00000000-0005-0000-0000-0000A77B0000}"/>
    <cellStyle name="Normal 5 10 2 18 3 6" xfId="31658" xr:uid="{00000000-0005-0000-0000-0000A87B0000}"/>
    <cellStyle name="Normal 5 10 2 18 3 7" xfId="31659" xr:uid="{00000000-0005-0000-0000-0000A97B0000}"/>
    <cellStyle name="Normal 5 10 2 18 3 8" xfId="31660" xr:uid="{00000000-0005-0000-0000-0000AA7B0000}"/>
    <cellStyle name="Normal 5 10 2 18 3 9" xfId="31661" xr:uid="{00000000-0005-0000-0000-0000AB7B0000}"/>
    <cellStyle name="Normal 5 10 2 18 4" xfId="31662" xr:uid="{00000000-0005-0000-0000-0000AC7B0000}"/>
    <cellStyle name="Normal 5 10 2 18 4 10" xfId="31663" xr:uid="{00000000-0005-0000-0000-0000AD7B0000}"/>
    <cellStyle name="Normal 5 10 2 18 4 2" xfId="31664" xr:uid="{00000000-0005-0000-0000-0000AE7B0000}"/>
    <cellStyle name="Normal 5 10 2 18 4 3" xfId="31665" xr:uid="{00000000-0005-0000-0000-0000AF7B0000}"/>
    <cellStyle name="Normal 5 10 2 18 4 4" xfId="31666" xr:uid="{00000000-0005-0000-0000-0000B07B0000}"/>
    <cellStyle name="Normal 5 10 2 18 4 5" xfId="31667" xr:uid="{00000000-0005-0000-0000-0000B17B0000}"/>
    <cellStyle name="Normal 5 10 2 18 4 6" xfId="31668" xr:uid="{00000000-0005-0000-0000-0000B27B0000}"/>
    <cellStyle name="Normal 5 10 2 18 4 7" xfId="31669" xr:uid="{00000000-0005-0000-0000-0000B37B0000}"/>
    <cellStyle name="Normal 5 10 2 18 4 8" xfId="31670" xr:uid="{00000000-0005-0000-0000-0000B47B0000}"/>
    <cellStyle name="Normal 5 10 2 18 4 9" xfId="31671" xr:uid="{00000000-0005-0000-0000-0000B57B0000}"/>
    <cellStyle name="Normal 5 10 2 18 5" xfId="31672" xr:uid="{00000000-0005-0000-0000-0000B67B0000}"/>
    <cellStyle name="Normal 5 10 2 18 5 10" xfId="31673" xr:uid="{00000000-0005-0000-0000-0000B77B0000}"/>
    <cellStyle name="Normal 5 10 2 18 5 2" xfId="31674" xr:uid="{00000000-0005-0000-0000-0000B87B0000}"/>
    <cellStyle name="Normal 5 10 2 18 5 3" xfId="31675" xr:uid="{00000000-0005-0000-0000-0000B97B0000}"/>
    <cellStyle name="Normal 5 10 2 18 5 4" xfId="31676" xr:uid="{00000000-0005-0000-0000-0000BA7B0000}"/>
    <cellStyle name="Normal 5 10 2 18 5 5" xfId="31677" xr:uid="{00000000-0005-0000-0000-0000BB7B0000}"/>
    <cellStyle name="Normal 5 10 2 18 5 6" xfId="31678" xr:uid="{00000000-0005-0000-0000-0000BC7B0000}"/>
    <cellStyle name="Normal 5 10 2 18 5 7" xfId="31679" xr:uid="{00000000-0005-0000-0000-0000BD7B0000}"/>
    <cellStyle name="Normal 5 10 2 18 5 8" xfId="31680" xr:uid="{00000000-0005-0000-0000-0000BE7B0000}"/>
    <cellStyle name="Normal 5 10 2 18 5 9" xfId="31681" xr:uid="{00000000-0005-0000-0000-0000BF7B0000}"/>
    <cellStyle name="Normal 5 10 2 18 6" xfId="31682" xr:uid="{00000000-0005-0000-0000-0000C07B0000}"/>
    <cellStyle name="Normal 5 10 2 18 7" xfId="31683" xr:uid="{00000000-0005-0000-0000-0000C17B0000}"/>
    <cellStyle name="Normal 5 10 2 18 8" xfId="31684" xr:uid="{00000000-0005-0000-0000-0000C27B0000}"/>
    <cellStyle name="Normal 5 10 2 18 9" xfId="31685" xr:uid="{00000000-0005-0000-0000-0000C37B0000}"/>
    <cellStyle name="Normal 5 10 2 19" xfId="31686" xr:uid="{00000000-0005-0000-0000-0000C47B0000}"/>
    <cellStyle name="Normal 5 10 2 19 10" xfId="31687" xr:uid="{00000000-0005-0000-0000-0000C57B0000}"/>
    <cellStyle name="Normal 5 10 2 19 11" xfId="31688" xr:uid="{00000000-0005-0000-0000-0000C67B0000}"/>
    <cellStyle name="Normal 5 10 2 19 12" xfId="31689" xr:uid="{00000000-0005-0000-0000-0000C77B0000}"/>
    <cellStyle name="Normal 5 10 2 19 13" xfId="31690" xr:uid="{00000000-0005-0000-0000-0000C87B0000}"/>
    <cellStyle name="Normal 5 10 2 19 14" xfId="31691" xr:uid="{00000000-0005-0000-0000-0000C97B0000}"/>
    <cellStyle name="Normal 5 10 2 19 2" xfId="31692" xr:uid="{00000000-0005-0000-0000-0000CA7B0000}"/>
    <cellStyle name="Normal 5 10 2 19 2 10" xfId="31693" xr:uid="{00000000-0005-0000-0000-0000CB7B0000}"/>
    <cellStyle name="Normal 5 10 2 19 2 2" xfId="31694" xr:uid="{00000000-0005-0000-0000-0000CC7B0000}"/>
    <cellStyle name="Normal 5 10 2 19 2 3" xfId="31695" xr:uid="{00000000-0005-0000-0000-0000CD7B0000}"/>
    <cellStyle name="Normal 5 10 2 19 2 4" xfId="31696" xr:uid="{00000000-0005-0000-0000-0000CE7B0000}"/>
    <cellStyle name="Normal 5 10 2 19 2 5" xfId="31697" xr:uid="{00000000-0005-0000-0000-0000CF7B0000}"/>
    <cellStyle name="Normal 5 10 2 19 2 6" xfId="31698" xr:uid="{00000000-0005-0000-0000-0000D07B0000}"/>
    <cellStyle name="Normal 5 10 2 19 2 7" xfId="31699" xr:uid="{00000000-0005-0000-0000-0000D17B0000}"/>
    <cellStyle name="Normal 5 10 2 19 2 8" xfId="31700" xr:uid="{00000000-0005-0000-0000-0000D27B0000}"/>
    <cellStyle name="Normal 5 10 2 19 2 9" xfId="31701" xr:uid="{00000000-0005-0000-0000-0000D37B0000}"/>
    <cellStyle name="Normal 5 10 2 19 3" xfId="31702" xr:uid="{00000000-0005-0000-0000-0000D47B0000}"/>
    <cellStyle name="Normal 5 10 2 19 3 10" xfId="31703" xr:uid="{00000000-0005-0000-0000-0000D57B0000}"/>
    <cellStyle name="Normal 5 10 2 19 3 2" xfId="31704" xr:uid="{00000000-0005-0000-0000-0000D67B0000}"/>
    <cellStyle name="Normal 5 10 2 19 3 3" xfId="31705" xr:uid="{00000000-0005-0000-0000-0000D77B0000}"/>
    <cellStyle name="Normal 5 10 2 19 3 4" xfId="31706" xr:uid="{00000000-0005-0000-0000-0000D87B0000}"/>
    <cellStyle name="Normal 5 10 2 19 3 5" xfId="31707" xr:uid="{00000000-0005-0000-0000-0000D97B0000}"/>
    <cellStyle name="Normal 5 10 2 19 3 6" xfId="31708" xr:uid="{00000000-0005-0000-0000-0000DA7B0000}"/>
    <cellStyle name="Normal 5 10 2 19 3 7" xfId="31709" xr:uid="{00000000-0005-0000-0000-0000DB7B0000}"/>
    <cellStyle name="Normal 5 10 2 19 3 8" xfId="31710" xr:uid="{00000000-0005-0000-0000-0000DC7B0000}"/>
    <cellStyle name="Normal 5 10 2 19 3 9" xfId="31711" xr:uid="{00000000-0005-0000-0000-0000DD7B0000}"/>
    <cellStyle name="Normal 5 10 2 19 4" xfId="31712" xr:uid="{00000000-0005-0000-0000-0000DE7B0000}"/>
    <cellStyle name="Normal 5 10 2 19 4 10" xfId="31713" xr:uid="{00000000-0005-0000-0000-0000DF7B0000}"/>
    <cellStyle name="Normal 5 10 2 19 4 2" xfId="31714" xr:uid="{00000000-0005-0000-0000-0000E07B0000}"/>
    <cellStyle name="Normal 5 10 2 19 4 3" xfId="31715" xr:uid="{00000000-0005-0000-0000-0000E17B0000}"/>
    <cellStyle name="Normal 5 10 2 19 4 4" xfId="31716" xr:uid="{00000000-0005-0000-0000-0000E27B0000}"/>
    <cellStyle name="Normal 5 10 2 19 4 5" xfId="31717" xr:uid="{00000000-0005-0000-0000-0000E37B0000}"/>
    <cellStyle name="Normal 5 10 2 19 4 6" xfId="31718" xr:uid="{00000000-0005-0000-0000-0000E47B0000}"/>
    <cellStyle name="Normal 5 10 2 19 4 7" xfId="31719" xr:uid="{00000000-0005-0000-0000-0000E57B0000}"/>
    <cellStyle name="Normal 5 10 2 19 4 8" xfId="31720" xr:uid="{00000000-0005-0000-0000-0000E67B0000}"/>
    <cellStyle name="Normal 5 10 2 19 4 9" xfId="31721" xr:uid="{00000000-0005-0000-0000-0000E77B0000}"/>
    <cellStyle name="Normal 5 10 2 19 5" xfId="31722" xr:uid="{00000000-0005-0000-0000-0000E87B0000}"/>
    <cellStyle name="Normal 5 10 2 19 5 10" xfId="31723" xr:uid="{00000000-0005-0000-0000-0000E97B0000}"/>
    <cellStyle name="Normal 5 10 2 19 5 2" xfId="31724" xr:uid="{00000000-0005-0000-0000-0000EA7B0000}"/>
    <cellStyle name="Normal 5 10 2 19 5 3" xfId="31725" xr:uid="{00000000-0005-0000-0000-0000EB7B0000}"/>
    <cellStyle name="Normal 5 10 2 19 5 4" xfId="31726" xr:uid="{00000000-0005-0000-0000-0000EC7B0000}"/>
    <cellStyle name="Normal 5 10 2 19 5 5" xfId="31727" xr:uid="{00000000-0005-0000-0000-0000ED7B0000}"/>
    <cellStyle name="Normal 5 10 2 19 5 6" xfId="31728" xr:uid="{00000000-0005-0000-0000-0000EE7B0000}"/>
    <cellStyle name="Normal 5 10 2 19 5 7" xfId="31729" xr:uid="{00000000-0005-0000-0000-0000EF7B0000}"/>
    <cellStyle name="Normal 5 10 2 19 5 8" xfId="31730" xr:uid="{00000000-0005-0000-0000-0000F07B0000}"/>
    <cellStyle name="Normal 5 10 2 19 5 9" xfId="31731" xr:uid="{00000000-0005-0000-0000-0000F17B0000}"/>
    <cellStyle name="Normal 5 10 2 19 6" xfId="31732" xr:uid="{00000000-0005-0000-0000-0000F27B0000}"/>
    <cellStyle name="Normal 5 10 2 19 7" xfId="31733" xr:uid="{00000000-0005-0000-0000-0000F37B0000}"/>
    <cellStyle name="Normal 5 10 2 19 8" xfId="31734" xr:uid="{00000000-0005-0000-0000-0000F47B0000}"/>
    <cellStyle name="Normal 5 10 2 19 9" xfId="31735" xr:uid="{00000000-0005-0000-0000-0000F57B0000}"/>
    <cellStyle name="Normal 5 10 2 2" xfId="31736" xr:uid="{00000000-0005-0000-0000-0000F67B0000}"/>
    <cellStyle name="Normal 5 10 2 2 10" xfId="31737" xr:uid="{00000000-0005-0000-0000-0000F77B0000}"/>
    <cellStyle name="Normal 5 10 2 2 11" xfId="31738" xr:uid="{00000000-0005-0000-0000-0000F87B0000}"/>
    <cellStyle name="Normal 5 10 2 2 12" xfId="31739" xr:uid="{00000000-0005-0000-0000-0000F97B0000}"/>
    <cellStyle name="Normal 5 10 2 2 13" xfId="31740" xr:uid="{00000000-0005-0000-0000-0000FA7B0000}"/>
    <cellStyle name="Normal 5 10 2 2 14" xfId="31741" xr:uid="{00000000-0005-0000-0000-0000FB7B0000}"/>
    <cellStyle name="Normal 5 10 2 2 15" xfId="31742" xr:uid="{00000000-0005-0000-0000-0000FC7B0000}"/>
    <cellStyle name="Normal 5 10 2 2 16" xfId="31743" xr:uid="{00000000-0005-0000-0000-0000FD7B0000}"/>
    <cellStyle name="Normal 5 10 2 2 2" xfId="31744" xr:uid="{00000000-0005-0000-0000-0000FE7B0000}"/>
    <cellStyle name="Normal 5 10 2 2 2 10" xfId="31745" xr:uid="{00000000-0005-0000-0000-0000FF7B0000}"/>
    <cellStyle name="Normal 5 10 2 2 2 2" xfId="31746" xr:uid="{00000000-0005-0000-0000-0000007C0000}"/>
    <cellStyle name="Normal 5 10 2 2 2 3" xfId="31747" xr:uid="{00000000-0005-0000-0000-0000017C0000}"/>
    <cellStyle name="Normal 5 10 2 2 2 4" xfId="31748" xr:uid="{00000000-0005-0000-0000-0000027C0000}"/>
    <cellStyle name="Normal 5 10 2 2 2 5" xfId="31749" xr:uid="{00000000-0005-0000-0000-0000037C0000}"/>
    <cellStyle name="Normal 5 10 2 2 2 6" xfId="31750" xr:uid="{00000000-0005-0000-0000-0000047C0000}"/>
    <cellStyle name="Normal 5 10 2 2 2 7" xfId="31751" xr:uid="{00000000-0005-0000-0000-0000057C0000}"/>
    <cellStyle name="Normal 5 10 2 2 2 8" xfId="31752" xr:uid="{00000000-0005-0000-0000-0000067C0000}"/>
    <cellStyle name="Normal 5 10 2 2 2 9" xfId="31753" xr:uid="{00000000-0005-0000-0000-0000077C0000}"/>
    <cellStyle name="Normal 5 10 2 2 3" xfId="31754" xr:uid="{00000000-0005-0000-0000-0000087C0000}"/>
    <cellStyle name="Normal 5 10 2 2 3 10" xfId="31755" xr:uid="{00000000-0005-0000-0000-0000097C0000}"/>
    <cellStyle name="Normal 5 10 2 2 3 2" xfId="31756" xr:uid="{00000000-0005-0000-0000-00000A7C0000}"/>
    <cellStyle name="Normal 5 10 2 2 3 3" xfId="31757" xr:uid="{00000000-0005-0000-0000-00000B7C0000}"/>
    <cellStyle name="Normal 5 10 2 2 3 4" xfId="31758" xr:uid="{00000000-0005-0000-0000-00000C7C0000}"/>
    <cellStyle name="Normal 5 10 2 2 3 5" xfId="31759" xr:uid="{00000000-0005-0000-0000-00000D7C0000}"/>
    <cellStyle name="Normal 5 10 2 2 3 6" xfId="31760" xr:uid="{00000000-0005-0000-0000-00000E7C0000}"/>
    <cellStyle name="Normal 5 10 2 2 3 7" xfId="31761" xr:uid="{00000000-0005-0000-0000-00000F7C0000}"/>
    <cellStyle name="Normal 5 10 2 2 3 8" xfId="31762" xr:uid="{00000000-0005-0000-0000-0000107C0000}"/>
    <cellStyle name="Normal 5 10 2 2 3 9" xfId="31763" xr:uid="{00000000-0005-0000-0000-0000117C0000}"/>
    <cellStyle name="Normal 5 10 2 2 4" xfId="31764" xr:uid="{00000000-0005-0000-0000-0000127C0000}"/>
    <cellStyle name="Normal 5 10 2 2 4 10" xfId="31765" xr:uid="{00000000-0005-0000-0000-0000137C0000}"/>
    <cellStyle name="Normal 5 10 2 2 4 2" xfId="31766" xr:uid="{00000000-0005-0000-0000-0000147C0000}"/>
    <cellStyle name="Normal 5 10 2 2 4 3" xfId="31767" xr:uid="{00000000-0005-0000-0000-0000157C0000}"/>
    <cellStyle name="Normal 5 10 2 2 4 4" xfId="31768" xr:uid="{00000000-0005-0000-0000-0000167C0000}"/>
    <cellStyle name="Normal 5 10 2 2 4 5" xfId="31769" xr:uid="{00000000-0005-0000-0000-0000177C0000}"/>
    <cellStyle name="Normal 5 10 2 2 4 6" xfId="31770" xr:uid="{00000000-0005-0000-0000-0000187C0000}"/>
    <cellStyle name="Normal 5 10 2 2 4 7" xfId="31771" xr:uid="{00000000-0005-0000-0000-0000197C0000}"/>
    <cellStyle name="Normal 5 10 2 2 4 8" xfId="31772" xr:uid="{00000000-0005-0000-0000-00001A7C0000}"/>
    <cellStyle name="Normal 5 10 2 2 4 9" xfId="31773" xr:uid="{00000000-0005-0000-0000-00001B7C0000}"/>
    <cellStyle name="Normal 5 10 2 2 5" xfId="31774" xr:uid="{00000000-0005-0000-0000-00001C7C0000}"/>
    <cellStyle name="Normal 5 10 2 2 5 10" xfId="31775" xr:uid="{00000000-0005-0000-0000-00001D7C0000}"/>
    <cellStyle name="Normal 5 10 2 2 5 2" xfId="31776" xr:uid="{00000000-0005-0000-0000-00001E7C0000}"/>
    <cellStyle name="Normal 5 10 2 2 5 3" xfId="31777" xr:uid="{00000000-0005-0000-0000-00001F7C0000}"/>
    <cellStyle name="Normal 5 10 2 2 5 4" xfId="31778" xr:uid="{00000000-0005-0000-0000-0000207C0000}"/>
    <cellStyle name="Normal 5 10 2 2 5 5" xfId="31779" xr:uid="{00000000-0005-0000-0000-0000217C0000}"/>
    <cellStyle name="Normal 5 10 2 2 5 6" xfId="31780" xr:uid="{00000000-0005-0000-0000-0000227C0000}"/>
    <cellStyle name="Normal 5 10 2 2 5 7" xfId="31781" xr:uid="{00000000-0005-0000-0000-0000237C0000}"/>
    <cellStyle name="Normal 5 10 2 2 5 8" xfId="31782" xr:uid="{00000000-0005-0000-0000-0000247C0000}"/>
    <cellStyle name="Normal 5 10 2 2 5 9" xfId="31783" xr:uid="{00000000-0005-0000-0000-0000257C0000}"/>
    <cellStyle name="Normal 5 10 2 2 6" xfId="31784" xr:uid="{00000000-0005-0000-0000-0000267C0000}"/>
    <cellStyle name="Normal 5 10 2 2 7" xfId="31785" xr:uid="{00000000-0005-0000-0000-0000277C0000}"/>
    <cellStyle name="Normal 5 10 2 2 8" xfId="31786" xr:uid="{00000000-0005-0000-0000-0000287C0000}"/>
    <cellStyle name="Normal 5 10 2 2 9" xfId="31787" xr:uid="{00000000-0005-0000-0000-0000297C0000}"/>
    <cellStyle name="Normal 5 10 2 20" xfId="31788" xr:uid="{00000000-0005-0000-0000-00002A7C0000}"/>
    <cellStyle name="Normal 5 10 2 20 10" xfId="31789" xr:uid="{00000000-0005-0000-0000-00002B7C0000}"/>
    <cellStyle name="Normal 5 10 2 20 11" xfId="31790" xr:uid="{00000000-0005-0000-0000-00002C7C0000}"/>
    <cellStyle name="Normal 5 10 2 20 12" xfId="31791" xr:uid="{00000000-0005-0000-0000-00002D7C0000}"/>
    <cellStyle name="Normal 5 10 2 20 13" xfId="31792" xr:uid="{00000000-0005-0000-0000-00002E7C0000}"/>
    <cellStyle name="Normal 5 10 2 20 14" xfId="31793" xr:uid="{00000000-0005-0000-0000-00002F7C0000}"/>
    <cellStyle name="Normal 5 10 2 20 2" xfId="31794" xr:uid="{00000000-0005-0000-0000-0000307C0000}"/>
    <cellStyle name="Normal 5 10 2 20 2 10" xfId="31795" xr:uid="{00000000-0005-0000-0000-0000317C0000}"/>
    <cellStyle name="Normal 5 10 2 20 2 2" xfId="31796" xr:uid="{00000000-0005-0000-0000-0000327C0000}"/>
    <cellStyle name="Normal 5 10 2 20 2 3" xfId="31797" xr:uid="{00000000-0005-0000-0000-0000337C0000}"/>
    <cellStyle name="Normal 5 10 2 20 2 4" xfId="31798" xr:uid="{00000000-0005-0000-0000-0000347C0000}"/>
    <cellStyle name="Normal 5 10 2 20 2 5" xfId="31799" xr:uid="{00000000-0005-0000-0000-0000357C0000}"/>
    <cellStyle name="Normal 5 10 2 20 2 6" xfId="31800" xr:uid="{00000000-0005-0000-0000-0000367C0000}"/>
    <cellStyle name="Normal 5 10 2 20 2 7" xfId="31801" xr:uid="{00000000-0005-0000-0000-0000377C0000}"/>
    <cellStyle name="Normal 5 10 2 20 2 8" xfId="31802" xr:uid="{00000000-0005-0000-0000-0000387C0000}"/>
    <cellStyle name="Normal 5 10 2 20 2 9" xfId="31803" xr:uid="{00000000-0005-0000-0000-0000397C0000}"/>
    <cellStyle name="Normal 5 10 2 20 3" xfId="31804" xr:uid="{00000000-0005-0000-0000-00003A7C0000}"/>
    <cellStyle name="Normal 5 10 2 20 3 10" xfId="31805" xr:uid="{00000000-0005-0000-0000-00003B7C0000}"/>
    <cellStyle name="Normal 5 10 2 20 3 2" xfId="31806" xr:uid="{00000000-0005-0000-0000-00003C7C0000}"/>
    <cellStyle name="Normal 5 10 2 20 3 3" xfId="31807" xr:uid="{00000000-0005-0000-0000-00003D7C0000}"/>
    <cellStyle name="Normal 5 10 2 20 3 4" xfId="31808" xr:uid="{00000000-0005-0000-0000-00003E7C0000}"/>
    <cellStyle name="Normal 5 10 2 20 3 5" xfId="31809" xr:uid="{00000000-0005-0000-0000-00003F7C0000}"/>
    <cellStyle name="Normal 5 10 2 20 3 6" xfId="31810" xr:uid="{00000000-0005-0000-0000-0000407C0000}"/>
    <cellStyle name="Normal 5 10 2 20 3 7" xfId="31811" xr:uid="{00000000-0005-0000-0000-0000417C0000}"/>
    <cellStyle name="Normal 5 10 2 20 3 8" xfId="31812" xr:uid="{00000000-0005-0000-0000-0000427C0000}"/>
    <cellStyle name="Normal 5 10 2 20 3 9" xfId="31813" xr:uid="{00000000-0005-0000-0000-0000437C0000}"/>
    <cellStyle name="Normal 5 10 2 20 4" xfId="31814" xr:uid="{00000000-0005-0000-0000-0000447C0000}"/>
    <cellStyle name="Normal 5 10 2 20 4 10" xfId="31815" xr:uid="{00000000-0005-0000-0000-0000457C0000}"/>
    <cellStyle name="Normal 5 10 2 20 4 2" xfId="31816" xr:uid="{00000000-0005-0000-0000-0000467C0000}"/>
    <cellStyle name="Normal 5 10 2 20 4 3" xfId="31817" xr:uid="{00000000-0005-0000-0000-0000477C0000}"/>
    <cellStyle name="Normal 5 10 2 20 4 4" xfId="31818" xr:uid="{00000000-0005-0000-0000-0000487C0000}"/>
    <cellStyle name="Normal 5 10 2 20 4 5" xfId="31819" xr:uid="{00000000-0005-0000-0000-0000497C0000}"/>
    <cellStyle name="Normal 5 10 2 20 4 6" xfId="31820" xr:uid="{00000000-0005-0000-0000-00004A7C0000}"/>
    <cellStyle name="Normal 5 10 2 20 4 7" xfId="31821" xr:uid="{00000000-0005-0000-0000-00004B7C0000}"/>
    <cellStyle name="Normal 5 10 2 20 4 8" xfId="31822" xr:uid="{00000000-0005-0000-0000-00004C7C0000}"/>
    <cellStyle name="Normal 5 10 2 20 4 9" xfId="31823" xr:uid="{00000000-0005-0000-0000-00004D7C0000}"/>
    <cellStyle name="Normal 5 10 2 20 5" xfId="31824" xr:uid="{00000000-0005-0000-0000-00004E7C0000}"/>
    <cellStyle name="Normal 5 10 2 20 5 10" xfId="31825" xr:uid="{00000000-0005-0000-0000-00004F7C0000}"/>
    <cellStyle name="Normal 5 10 2 20 5 2" xfId="31826" xr:uid="{00000000-0005-0000-0000-0000507C0000}"/>
    <cellStyle name="Normal 5 10 2 20 5 3" xfId="31827" xr:uid="{00000000-0005-0000-0000-0000517C0000}"/>
    <cellStyle name="Normal 5 10 2 20 5 4" xfId="31828" xr:uid="{00000000-0005-0000-0000-0000527C0000}"/>
    <cellStyle name="Normal 5 10 2 20 5 5" xfId="31829" xr:uid="{00000000-0005-0000-0000-0000537C0000}"/>
    <cellStyle name="Normal 5 10 2 20 5 6" xfId="31830" xr:uid="{00000000-0005-0000-0000-0000547C0000}"/>
    <cellStyle name="Normal 5 10 2 20 5 7" xfId="31831" xr:uid="{00000000-0005-0000-0000-0000557C0000}"/>
    <cellStyle name="Normal 5 10 2 20 5 8" xfId="31832" xr:uid="{00000000-0005-0000-0000-0000567C0000}"/>
    <cellStyle name="Normal 5 10 2 20 5 9" xfId="31833" xr:uid="{00000000-0005-0000-0000-0000577C0000}"/>
    <cellStyle name="Normal 5 10 2 20 6" xfId="31834" xr:uid="{00000000-0005-0000-0000-0000587C0000}"/>
    <cellStyle name="Normal 5 10 2 20 7" xfId="31835" xr:uid="{00000000-0005-0000-0000-0000597C0000}"/>
    <cellStyle name="Normal 5 10 2 20 8" xfId="31836" xr:uid="{00000000-0005-0000-0000-00005A7C0000}"/>
    <cellStyle name="Normal 5 10 2 20 9" xfId="31837" xr:uid="{00000000-0005-0000-0000-00005B7C0000}"/>
    <cellStyle name="Normal 5 10 2 21" xfId="31838" xr:uid="{00000000-0005-0000-0000-00005C7C0000}"/>
    <cellStyle name="Normal 5 10 2 21 10" xfId="31839" xr:uid="{00000000-0005-0000-0000-00005D7C0000}"/>
    <cellStyle name="Normal 5 10 2 21 11" xfId="31840" xr:uid="{00000000-0005-0000-0000-00005E7C0000}"/>
    <cellStyle name="Normal 5 10 2 21 12" xfId="31841" xr:uid="{00000000-0005-0000-0000-00005F7C0000}"/>
    <cellStyle name="Normal 5 10 2 21 13" xfId="31842" xr:uid="{00000000-0005-0000-0000-0000607C0000}"/>
    <cellStyle name="Normal 5 10 2 21 14" xfId="31843" xr:uid="{00000000-0005-0000-0000-0000617C0000}"/>
    <cellStyle name="Normal 5 10 2 21 2" xfId="31844" xr:uid="{00000000-0005-0000-0000-0000627C0000}"/>
    <cellStyle name="Normal 5 10 2 21 2 10" xfId="31845" xr:uid="{00000000-0005-0000-0000-0000637C0000}"/>
    <cellStyle name="Normal 5 10 2 21 2 2" xfId="31846" xr:uid="{00000000-0005-0000-0000-0000647C0000}"/>
    <cellStyle name="Normal 5 10 2 21 2 3" xfId="31847" xr:uid="{00000000-0005-0000-0000-0000657C0000}"/>
    <cellStyle name="Normal 5 10 2 21 2 4" xfId="31848" xr:uid="{00000000-0005-0000-0000-0000667C0000}"/>
    <cellStyle name="Normal 5 10 2 21 2 5" xfId="31849" xr:uid="{00000000-0005-0000-0000-0000677C0000}"/>
    <cellStyle name="Normal 5 10 2 21 2 6" xfId="31850" xr:uid="{00000000-0005-0000-0000-0000687C0000}"/>
    <cellStyle name="Normal 5 10 2 21 2 7" xfId="31851" xr:uid="{00000000-0005-0000-0000-0000697C0000}"/>
    <cellStyle name="Normal 5 10 2 21 2 8" xfId="31852" xr:uid="{00000000-0005-0000-0000-00006A7C0000}"/>
    <cellStyle name="Normal 5 10 2 21 2 9" xfId="31853" xr:uid="{00000000-0005-0000-0000-00006B7C0000}"/>
    <cellStyle name="Normal 5 10 2 21 3" xfId="31854" xr:uid="{00000000-0005-0000-0000-00006C7C0000}"/>
    <cellStyle name="Normal 5 10 2 21 3 10" xfId="31855" xr:uid="{00000000-0005-0000-0000-00006D7C0000}"/>
    <cellStyle name="Normal 5 10 2 21 3 2" xfId="31856" xr:uid="{00000000-0005-0000-0000-00006E7C0000}"/>
    <cellStyle name="Normal 5 10 2 21 3 3" xfId="31857" xr:uid="{00000000-0005-0000-0000-00006F7C0000}"/>
    <cellStyle name="Normal 5 10 2 21 3 4" xfId="31858" xr:uid="{00000000-0005-0000-0000-0000707C0000}"/>
    <cellStyle name="Normal 5 10 2 21 3 5" xfId="31859" xr:uid="{00000000-0005-0000-0000-0000717C0000}"/>
    <cellStyle name="Normal 5 10 2 21 3 6" xfId="31860" xr:uid="{00000000-0005-0000-0000-0000727C0000}"/>
    <cellStyle name="Normal 5 10 2 21 3 7" xfId="31861" xr:uid="{00000000-0005-0000-0000-0000737C0000}"/>
    <cellStyle name="Normal 5 10 2 21 3 8" xfId="31862" xr:uid="{00000000-0005-0000-0000-0000747C0000}"/>
    <cellStyle name="Normal 5 10 2 21 3 9" xfId="31863" xr:uid="{00000000-0005-0000-0000-0000757C0000}"/>
    <cellStyle name="Normal 5 10 2 21 4" xfId="31864" xr:uid="{00000000-0005-0000-0000-0000767C0000}"/>
    <cellStyle name="Normal 5 10 2 21 4 10" xfId="31865" xr:uid="{00000000-0005-0000-0000-0000777C0000}"/>
    <cellStyle name="Normal 5 10 2 21 4 2" xfId="31866" xr:uid="{00000000-0005-0000-0000-0000787C0000}"/>
    <cellStyle name="Normal 5 10 2 21 4 3" xfId="31867" xr:uid="{00000000-0005-0000-0000-0000797C0000}"/>
    <cellStyle name="Normal 5 10 2 21 4 4" xfId="31868" xr:uid="{00000000-0005-0000-0000-00007A7C0000}"/>
    <cellStyle name="Normal 5 10 2 21 4 5" xfId="31869" xr:uid="{00000000-0005-0000-0000-00007B7C0000}"/>
    <cellStyle name="Normal 5 10 2 21 4 6" xfId="31870" xr:uid="{00000000-0005-0000-0000-00007C7C0000}"/>
    <cellStyle name="Normal 5 10 2 21 4 7" xfId="31871" xr:uid="{00000000-0005-0000-0000-00007D7C0000}"/>
    <cellStyle name="Normal 5 10 2 21 4 8" xfId="31872" xr:uid="{00000000-0005-0000-0000-00007E7C0000}"/>
    <cellStyle name="Normal 5 10 2 21 4 9" xfId="31873" xr:uid="{00000000-0005-0000-0000-00007F7C0000}"/>
    <cellStyle name="Normal 5 10 2 21 5" xfId="31874" xr:uid="{00000000-0005-0000-0000-0000807C0000}"/>
    <cellStyle name="Normal 5 10 2 21 5 10" xfId="31875" xr:uid="{00000000-0005-0000-0000-0000817C0000}"/>
    <cellStyle name="Normal 5 10 2 21 5 2" xfId="31876" xr:uid="{00000000-0005-0000-0000-0000827C0000}"/>
    <cellStyle name="Normal 5 10 2 21 5 3" xfId="31877" xr:uid="{00000000-0005-0000-0000-0000837C0000}"/>
    <cellStyle name="Normal 5 10 2 21 5 4" xfId="31878" xr:uid="{00000000-0005-0000-0000-0000847C0000}"/>
    <cellStyle name="Normal 5 10 2 21 5 5" xfId="31879" xr:uid="{00000000-0005-0000-0000-0000857C0000}"/>
    <cellStyle name="Normal 5 10 2 21 5 6" xfId="31880" xr:uid="{00000000-0005-0000-0000-0000867C0000}"/>
    <cellStyle name="Normal 5 10 2 21 5 7" xfId="31881" xr:uid="{00000000-0005-0000-0000-0000877C0000}"/>
    <cellStyle name="Normal 5 10 2 21 5 8" xfId="31882" xr:uid="{00000000-0005-0000-0000-0000887C0000}"/>
    <cellStyle name="Normal 5 10 2 21 5 9" xfId="31883" xr:uid="{00000000-0005-0000-0000-0000897C0000}"/>
    <cellStyle name="Normal 5 10 2 21 6" xfId="31884" xr:uid="{00000000-0005-0000-0000-00008A7C0000}"/>
    <cellStyle name="Normal 5 10 2 21 7" xfId="31885" xr:uid="{00000000-0005-0000-0000-00008B7C0000}"/>
    <cellStyle name="Normal 5 10 2 21 8" xfId="31886" xr:uid="{00000000-0005-0000-0000-00008C7C0000}"/>
    <cellStyle name="Normal 5 10 2 21 9" xfId="31887" xr:uid="{00000000-0005-0000-0000-00008D7C0000}"/>
    <cellStyle name="Normal 5 10 2 22" xfId="31888" xr:uid="{00000000-0005-0000-0000-00008E7C0000}"/>
    <cellStyle name="Normal 5 10 2 22 10" xfId="31889" xr:uid="{00000000-0005-0000-0000-00008F7C0000}"/>
    <cellStyle name="Normal 5 10 2 22 11" xfId="31890" xr:uid="{00000000-0005-0000-0000-0000907C0000}"/>
    <cellStyle name="Normal 5 10 2 22 12" xfId="31891" xr:uid="{00000000-0005-0000-0000-0000917C0000}"/>
    <cellStyle name="Normal 5 10 2 22 13" xfId="31892" xr:uid="{00000000-0005-0000-0000-0000927C0000}"/>
    <cellStyle name="Normal 5 10 2 22 14" xfId="31893" xr:uid="{00000000-0005-0000-0000-0000937C0000}"/>
    <cellStyle name="Normal 5 10 2 22 2" xfId="31894" xr:uid="{00000000-0005-0000-0000-0000947C0000}"/>
    <cellStyle name="Normal 5 10 2 22 2 10" xfId="31895" xr:uid="{00000000-0005-0000-0000-0000957C0000}"/>
    <cellStyle name="Normal 5 10 2 22 2 2" xfId="31896" xr:uid="{00000000-0005-0000-0000-0000967C0000}"/>
    <cellStyle name="Normal 5 10 2 22 2 3" xfId="31897" xr:uid="{00000000-0005-0000-0000-0000977C0000}"/>
    <cellStyle name="Normal 5 10 2 22 2 4" xfId="31898" xr:uid="{00000000-0005-0000-0000-0000987C0000}"/>
    <cellStyle name="Normal 5 10 2 22 2 5" xfId="31899" xr:uid="{00000000-0005-0000-0000-0000997C0000}"/>
    <cellStyle name="Normal 5 10 2 22 2 6" xfId="31900" xr:uid="{00000000-0005-0000-0000-00009A7C0000}"/>
    <cellStyle name="Normal 5 10 2 22 2 7" xfId="31901" xr:uid="{00000000-0005-0000-0000-00009B7C0000}"/>
    <cellStyle name="Normal 5 10 2 22 2 8" xfId="31902" xr:uid="{00000000-0005-0000-0000-00009C7C0000}"/>
    <cellStyle name="Normal 5 10 2 22 2 9" xfId="31903" xr:uid="{00000000-0005-0000-0000-00009D7C0000}"/>
    <cellStyle name="Normal 5 10 2 22 3" xfId="31904" xr:uid="{00000000-0005-0000-0000-00009E7C0000}"/>
    <cellStyle name="Normal 5 10 2 22 3 10" xfId="31905" xr:uid="{00000000-0005-0000-0000-00009F7C0000}"/>
    <cellStyle name="Normal 5 10 2 22 3 2" xfId="31906" xr:uid="{00000000-0005-0000-0000-0000A07C0000}"/>
    <cellStyle name="Normal 5 10 2 22 3 3" xfId="31907" xr:uid="{00000000-0005-0000-0000-0000A17C0000}"/>
    <cellStyle name="Normal 5 10 2 22 3 4" xfId="31908" xr:uid="{00000000-0005-0000-0000-0000A27C0000}"/>
    <cellStyle name="Normal 5 10 2 22 3 5" xfId="31909" xr:uid="{00000000-0005-0000-0000-0000A37C0000}"/>
    <cellStyle name="Normal 5 10 2 22 3 6" xfId="31910" xr:uid="{00000000-0005-0000-0000-0000A47C0000}"/>
    <cellStyle name="Normal 5 10 2 22 3 7" xfId="31911" xr:uid="{00000000-0005-0000-0000-0000A57C0000}"/>
    <cellStyle name="Normal 5 10 2 22 3 8" xfId="31912" xr:uid="{00000000-0005-0000-0000-0000A67C0000}"/>
    <cellStyle name="Normal 5 10 2 22 3 9" xfId="31913" xr:uid="{00000000-0005-0000-0000-0000A77C0000}"/>
    <cellStyle name="Normal 5 10 2 22 4" xfId="31914" xr:uid="{00000000-0005-0000-0000-0000A87C0000}"/>
    <cellStyle name="Normal 5 10 2 22 4 10" xfId="31915" xr:uid="{00000000-0005-0000-0000-0000A97C0000}"/>
    <cellStyle name="Normal 5 10 2 22 4 2" xfId="31916" xr:uid="{00000000-0005-0000-0000-0000AA7C0000}"/>
    <cellStyle name="Normal 5 10 2 22 4 3" xfId="31917" xr:uid="{00000000-0005-0000-0000-0000AB7C0000}"/>
    <cellStyle name="Normal 5 10 2 22 4 4" xfId="31918" xr:uid="{00000000-0005-0000-0000-0000AC7C0000}"/>
    <cellStyle name="Normal 5 10 2 22 4 5" xfId="31919" xr:uid="{00000000-0005-0000-0000-0000AD7C0000}"/>
    <cellStyle name="Normal 5 10 2 22 4 6" xfId="31920" xr:uid="{00000000-0005-0000-0000-0000AE7C0000}"/>
    <cellStyle name="Normal 5 10 2 22 4 7" xfId="31921" xr:uid="{00000000-0005-0000-0000-0000AF7C0000}"/>
    <cellStyle name="Normal 5 10 2 22 4 8" xfId="31922" xr:uid="{00000000-0005-0000-0000-0000B07C0000}"/>
    <cellStyle name="Normal 5 10 2 22 4 9" xfId="31923" xr:uid="{00000000-0005-0000-0000-0000B17C0000}"/>
    <cellStyle name="Normal 5 10 2 22 5" xfId="31924" xr:uid="{00000000-0005-0000-0000-0000B27C0000}"/>
    <cellStyle name="Normal 5 10 2 22 5 10" xfId="31925" xr:uid="{00000000-0005-0000-0000-0000B37C0000}"/>
    <cellStyle name="Normal 5 10 2 22 5 2" xfId="31926" xr:uid="{00000000-0005-0000-0000-0000B47C0000}"/>
    <cellStyle name="Normal 5 10 2 22 5 3" xfId="31927" xr:uid="{00000000-0005-0000-0000-0000B57C0000}"/>
    <cellStyle name="Normal 5 10 2 22 5 4" xfId="31928" xr:uid="{00000000-0005-0000-0000-0000B67C0000}"/>
    <cellStyle name="Normal 5 10 2 22 5 5" xfId="31929" xr:uid="{00000000-0005-0000-0000-0000B77C0000}"/>
    <cellStyle name="Normal 5 10 2 22 5 6" xfId="31930" xr:uid="{00000000-0005-0000-0000-0000B87C0000}"/>
    <cellStyle name="Normal 5 10 2 22 5 7" xfId="31931" xr:uid="{00000000-0005-0000-0000-0000B97C0000}"/>
    <cellStyle name="Normal 5 10 2 22 5 8" xfId="31932" xr:uid="{00000000-0005-0000-0000-0000BA7C0000}"/>
    <cellStyle name="Normal 5 10 2 22 5 9" xfId="31933" xr:uid="{00000000-0005-0000-0000-0000BB7C0000}"/>
    <cellStyle name="Normal 5 10 2 22 6" xfId="31934" xr:uid="{00000000-0005-0000-0000-0000BC7C0000}"/>
    <cellStyle name="Normal 5 10 2 22 7" xfId="31935" xr:uid="{00000000-0005-0000-0000-0000BD7C0000}"/>
    <cellStyle name="Normal 5 10 2 22 8" xfId="31936" xr:uid="{00000000-0005-0000-0000-0000BE7C0000}"/>
    <cellStyle name="Normal 5 10 2 22 9" xfId="31937" xr:uid="{00000000-0005-0000-0000-0000BF7C0000}"/>
    <cellStyle name="Normal 5 10 2 23" xfId="31938" xr:uid="{00000000-0005-0000-0000-0000C07C0000}"/>
    <cellStyle name="Normal 5 10 2 23 10" xfId="31939" xr:uid="{00000000-0005-0000-0000-0000C17C0000}"/>
    <cellStyle name="Normal 5 10 2 23 11" xfId="31940" xr:uid="{00000000-0005-0000-0000-0000C27C0000}"/>
    <cellStyle name="Normal 5 10 2 23 12" xfId="31941" xr:uid="{00000000-0005-0000-0000-0000C37C0000}"/>
    <cellStyle name="Normal 5 10 2 23 13" xfId="31942" xr:uid="{00000000-0005-0000-0000-0000C47C0000}"/>
    <cellStyle name="Normal 5 10 2 23 14" xfId="31943" xr:uid="{00000000-0005-0000-0000-0000C57C0000}"/>
    <cellStyle name="Normal 5 10 2 23 2" xfId="31944" xr:uid="{00000000-0005-0000-0000-0000C67C0000}"/>
    <cellStyle name="Normal 5 10 2 23 2 10" xfId="31945" xr:uid="{00000000-0005-0000-0000-0000C77C0000}"/>
    <cellStyle name="Normal 5 10 2 23 2 2" xfId="31946" xr:uid="{00000000-0005-0000-0000-0000C87C0000}"/>
    <cellStyle name="Normal 5 10 2 23 2 3" xfId="31947" xr:uid="{00000000-0005-0000-0000-0000C97C0000}"/>
    <cellStyle name="Normal 5 10 2 23 2 4" xfId="31948" xr:uid="{00000000-0005-0000-0000-0000CA7C0000}"/>
    <cellStyle name="Normal 5 10 2 23 2 5" xfId="31949" xr:uid="{00000000-0005-0000-0000-0000CB7C0000}"/>
    <cellStyle name="Normal 5 10 2 23 2 6" xfId="31950" xr:uid="{00000000-0005-0000-0000-0000CC7C0000}"/>
    <cellStyle name="Normal 5 10 2 23 2 7" xfId="31951" xr:uid="{00000000-0005-0000-0000-0000CD7C0000}"/>
    <cellStyle name="Normal 5 10 2 23 2 8" xfId="31952" xr:uid="{00000000-0005-0000-0000-0000CE7C0000}"/>
    <cellStyle name="Normal 5 10 2 23 2 9" xfId="31953" xr:uid="{00000000-0005-0000-0000-0000CF7C0000}"/>
    <cellStyle name="Normal 5 10 2 23 3" xfId="31954" xr:uid="{00000000-0005-0000-0000-0000D07C0000}"/>
    <cellStyle name="Normal 5 10 2 23 3 10" xfId="31955" xr:uid="{00000000-0005-0000-0000-0000D17C0000}"/>
    <cellStyle name="Normal 5 10 2 23 3 2" xfId="31956" xr:uid="{00000000-0005-0000-0000-0000D27C0000}"/>
    <cellStyle name="Normal 5 10 2 23 3 3" xfId="31957" xr:uid="{00000000-0005-0000-0000-0000D37C0000}"/>
    <cellStyle name="Normal 5 10 2 23 3 4" xfId="31958" xr:uid="{00000000-0005-0000-0000-0000D47C0000}"/>
    <cellStyle name="Normal 5 10 2 23 3 5" xfId="31959" xr:uid="{00000000-0005-0000-0000-0000D57C0000}"/>
    <cellStyle name="Normal 5 10 2 23 3 6" xfId="31960" xr:uid="{00000000-0005-0000-0000-0000D67C0000}"/>
    <cellStyle name="Normal 5 10 2 23 3 7" xfId="31961" xr:uid="{00000000-0005-0000-0000-0000D77C0000}"/>
    <cellStyle name="Normal 5 10 2 23 3 8" xfId="31962" xr:uid="{00000000-0005-0000-0000-0000D87C0000}"/>
    <cellStyle name="Normal 5 10 2 23 3 9" xfId="31963" xr:uid="{00000000-0005-0000-0000-0000D97C0000}"/>
    <cellStyle name="Normal 5 10 2 23 4" xfId="31964" xr:uid="{00000000-0005-0000-0000-0000DA7C0000}"/>
    <cellStyle name="Normal 5 10 2 23 4 10" xfId="31965" xr:uid="{00000000-0005-0000-0000-0000DB7C0000}"/>
    <cellStyle name="Normal 5 10 2 23 4 2" xfId="31966" xr:uid="{00000000-0005-0000-0000-0000DC7C0000}"/>
    <cellStyle name="Normal 5 10 2 23 4 3" xfId="31967" xr:uid="{00000000-0005-0000-0000-0000DD7C0000}"/>
    <cellStyle name="Normal 5 10 2 23 4 4" xfId="31968" xr:uid="{00000000-0005-0000-0000-0000DE7C0000}"/>
    <cellStyle name="Normal 5 10 2 23 4 5" xfId="31969" xr:uid="{00000000-0005-0000-0000-0000DF7C0000}"/>
    <cellStyle name="Normal 5 10 2 23 4 6" xfId="31970" xr:uid="{00000000-0005-0000-0000-0000E07C0000}"/>
    <cellStyle name="Normal 5 10 2 23 4 7" xfId="31971" xr:uid="{00000000-0005-0000-0000-0000E17C0000}"/>
    <cellStyle name="Normal 5 10 2 23 4 8" xfId="31972" xr:uid="{00000000-0005-0000-0000-0000E27C0000}"/>
    <cellStyle name="Normal 5 10 2 23 4 9" xfId="31973" xr:uid="{00000000-0005-0000-0000-0000E37C0000}"/>
    <cellStyle name="Normal 5 10 2 23 5" xfId="31974" xr:uid="{00000000-0005-0000-0000-0000E47C0000}"/>
    <cellStyle name="Normal 5 10 2 23 5 10" xfId="31975" xr:uid="{00000000-0005-0000-0000-0000E57C0000}"/>
    <cellStyle name="Normal 5 10 2 23 5 2" xfId="31976" xr:uid="{00000000-0005-0000-0000-0000E67C0000}"/>
    <cellStyle name="Normal 5 10 2 23 5 3" xfId="31977" xr:uid="{00000000-0005-0000-0000-0000E77C0000}"/>
    <cellStyle name="Normal 5 10 2 23 5 4" xfId="31978" xr:uid="{00000000-0005-0000-0000-0000E87C0000}"/>
    <cellStyle name="Normal 5 10 2 23 5 5" xfId="31979" xr:uid="{00000000-0005-0000-0000-0000E97C0000}"/>
    <cellStyle name="Normal 5 10 2 23 5 6" xfId="31980" xr:uid="{00000000-0005-0000-0000-0000EA7C0000}"/>
    <cellStyle name="Normal 5 10 2 23 5 7" xfId="31981" xr:uid="{00000000-0005-0000-0000-0000EB7C0000}"/>
    <cellStyle name="Normal 5 10 2 23 5 8" xfId="31982" xr:uid="{00000000-0005-0000-0000-0000EC7C0000}"/>
    <cellStyle name="Normal 5 10 2 23 5 9" xfId="31983" xr:uid="{00000000-0005-0000-0000-0000ED7C0000}"/>
    <cellStyle name="Normal 5 10 2 23 6" xfId="31984" xr:uid="{00000000-0005-0000-0000-0000EE7C0000}"/>
    <cellStyle name="Normal 5 10 2 23 7" xfId="31985" xr:uid="{00000000-0005-0000-0000-0000EF7C0000}"/>
    <cellStyle name="Normal 5 10 2 23 8" xfId="31986" xr:uid="{00000000-0005-0000-0000-0000F07C0000}"/>
    <cellStyle name="Normal 5 10 2 23 9" xfId="31987" xr:uid="{00000000-0005-0000-0000-0000F17C0000}"/>
    <cellStyle name="Normal 5 10 2 24" xfId="31988" xr:uid="{00000000-0005-0000-0000-0000F27C0000}"/>
    <cellStyle name="Normal 5 10 2 24 10" xfId="31989" xr:uid="{00000000-0005-0000-0000-0000F37C0000}"/>
    <cellStyle name="Normal 5 10 2 24 11" xfId="31990" xr:uid="{00000000-0005-0000-0000-0000F47C0000}"/>
    <cellStyle name="Normal 5 10 2 24 12" xfId="31991" xr:uid="{00000000-0005-0000-0000-0000F57C0000}"/>
    <cellStyle name="Normal 5 10 2 24 13" xfId="31992" xr:uid="{00000000-0005-0000-0000-0000F67C0000}"/>
    <cellStyle name="Normal 5 10 2 24 14" xfId="31993" xr:uid="{00000000-0005-0000-0000-0000F77C0000}"/>
    <cellStyle name="Normal 5 10 2 24 2" xfId="31994" xr:uid="{00000000-0005-0000-0000-0000F87C0000}"/>
    <cellStyle name="Normal 5 10 2 24 2 10" xfId="31995" xr:uid="{00000000-0005-0000-0000-0000F97C0000}"/>
    <cellStyle name="Normal 5 10 2 24 2 2" xfId="31996" xr:uid="{00000000-0005-0000-0000-0000FA7C0000}"/>
    <cellStyle name="Normal 5 10 2 24 2 3" xfId="31997" xr:uid="{00000000-0005-0000-0000-0000FB7C0000}"/>
    <cellStyle name="Normal 5 10 2 24 2 4" xfId="31998" xr:uid="{00000000-0005-0000-0000-0000FC7C0000}"/>
    <cellStyle name="Normal 5 10 2 24 2 5" xfId="31999" xr:uid="{00000000-0005-0000-0000-0000FD7C0000}"/>
    <cellStyle name="Normal 5 10 2 24 2 6" xfId="32000" xr:uid="{00000000-0005-0000-0000-0000FE7C0000}"/>
    <cellStyle name="Normal 5 10 2 24 2 7" xfId="32001" xr:uid="{00000000-0005-0000-0000-0000FF7C0000}"/>
    <cellStyle name="Normal 5 10 2 24 2 8" xfId="32002" xr:uid="{00000000-0005-0000-0000-0000007D0000}"/>
    <cellStyle name="Normal 5 10 2 24 2 9" xfId="32003" xr:uid="{00000000-0005-0000-0000-0000017D0000}"/>
    <cellStyle name="Normal 5 10 2 24 3" xfId="32004" xr:uid="{00000000-0005-0000-0000-0000027D0000}"/>
    <cellStyle name="Normal 5 10 2 24 3 10" xfId="32005" xr:uid="{00000000-0005-0000-0000-0000037D0000}"/>
    <cellStyle name="Normal 5 10 2 24 3 2" xfId="32006" xr:uid="{00000000-0005-0000-0000-0000047D0000}"/>
    <cellStyle name="Normal 5 10 2 24 3 3" xfId="32007" xr:uid="{00000000-0005-0000-0000-0000057D0000}"/>
    <cellStyle name="Normal 5 10 2 24 3 4" xfId="32008" xr:uid="{00000000-0005-0000-0000-0000067D0000}"/>
    <cellStyle name="Normal 5 10 2 24 3 5" xfId="32009" xr:uid="{00000000-0005-0000-0000-0000077D0000}"/>
    <cellStyle name="Normal 5 10 2 24 3 6" xfId="32010" xr:uid="{00000000-0005-0000-0000-0000087D0000}"/>
    <cellStyle name="Normal 5 10 2 24 3 7" xfId="32011" xr:uid="{00000000-0005-0000-0000-0000097D0000}"/>
    <cellStyle name="Normal 5 10 2 24 3 8" xfId="32012" xr:uid="{00000000-0005-0000-0000-00000A7D0000}"/>
    <cellStyle name="Normal 5 10 2 24 3 9" xfId="32013" xr:uid="{00000000-0005-0000-0000-00000B7D0000}"/>
    <cellStyle name="Normal 5 10 2 24 4" xfId="32014" xr:uid="{00000000-0005-0000-0000-00000C7D0000}"/>
    <cellStyle name="Normal 5 10 2 24 4 10" xfId="32015" xr:uid="{00000000-0005-0000-0000-00000D7D0000}"/>
    <cellStyle name="Normal 5 10 2 24 4 2" xfId="32016" xr:uid="{00000000-0005-0000-0000-00000E7D0000}"/>
    <cellStyle name="Normal 5 10 2 24 4 3" xfId="32017" xr:uid="{00000000-0005-0000-0000-00000F7D0000}"/>
    <cellStyle name="Normal 5 10 2 24 4 4" xfId="32018" xr:uid="{00000000-0005-0000-0000-0000107D0000}"/>
    <cellStyle name="Normal 5 10 2 24 4 5" xfId="32019" xr:uid="{00000000-0005-0000-0000-0000117D0000}"/>
    <cellStyle name="Normal 5 10 2 24 4 6" xfId="32020" xr:uid="{00000000-0005-0000-0000-0000127D0000}"/>
    <cellStyle name="Normal 5 10 2 24 4 7" xfId="32021" xr:uid="{00000000-0005-0000-0000-0000137D0000}"/>
    <cellStyle name="Normal 5 10 2 24 4 8" xfId="32022" xr:uid="{00000000-0005-0000-0000-0000147D0000}"/>
    <cellStyle name="Normal 5 10 2 24 4 9" xfId="32023" xr:uid="{00000000-0005-0000-0000-0000157D0000}"/>
    <cellStyle name="Normal 5 10 2 24 5" xfId="32024" xr:uid="{00000000-0005-0000-0000-0000167D0000}"/>
    <cellStyle name="Normal 5 10 2 24 5 10" xfId="32025" xr:uid="{00000000-0005-0000-0000-0000177D0000}"/>
    <cellStyle name="Normal 5 10 2 24 5 2" xfId="32026" xr:uid="{00000000-0005-0000-0000-0000187D0000}"/>
    <cellStyle name="Normal 5 10 2 24 5 3" xfId="32027" xr:uid="{00000000-0005-0000-0000-0000197D0000}"/>
    <cellStyle name="Normal 5 10 2 24 5 4" xfId="32028" xr:uid="{00000000-0005-0000-0000-00001A7D0000}"/>
    <cellStyle name="Normal 5 10 2 24 5 5" xfId="32029" xr:uid="{00000000-0005-0000-0000-00001B7D0000}"/>
    <cellStyle name="Normal 5 10 2 24 5 6" xfId="32030" xr:uid="{00000000-0005-0000-0000-00001C7D0000}"/>
    <cellStyle name="Normal 5 10 2 24 5 7" xfId="32031" xr:uid="{00000000-0005-0000-0000-00001D7D0000}"/>
    <cellStyle name="Normal 5 10 2 24 5 8" xfId="32032" xr:uid="{00000000-0005-0000-0000-00001E7D0000}"/>
    <cellStyle name="Normal 5 10 2 24 5 9" xfId="32033" xr:uid="{00000000-0005-0000-0000-00001F7D0000}"/>
    <cellStyle name="Normal 5 10 2 24 6" xfId="32034" xr:uid="{00000000-0005-0000-0000-0000207D0000}"/>
    <cellStyle name="Normal 5 10 2 24 7" xfId="32035" xr:uid="{00000000-0005-0000-0000-0000217D0000}"/>
    <cellStyle name="Normal 5 10 2 24 8" xfId="32036" xr:uid="{00000000-0005-0000-0000-0000227D0000}"/>
    <cellStyle name="Normal 5 10 2 24 9" xfId="32037" xr:uid="{00000000-0005-0000-0000-0000237D0000}"/>
    <cellStyle name="Normal 5 10 2 25" xfId="32038" xr:uid="{00000000-0005-0000-0000-0000247D0000}"/>
    <cellStyle name="Normal 5 10 2 25 10" xfId="32039" xr:uid="{00000000-0005-0000-0000-0000257D0000}"/>
    <cellStyle name="Normal 5 10 2 25 11" xfId="32040" xr:uid="{00000000-0005-0000-0000-0000267D0000}"/>
    <cellStyle name="Normal 5 10 2 25 12" xfId="32041" xr:uid="{00000000-0005-0000-0000-0000277D0000}"/>
    <cellStyle name="Normal 5 10 2 25 13" xfId="32042" xr:uid="{00000000-0005-0000-0000-0000287D0000}"/>
    <cellStyle name="Normal 5 10 2 25 14" xfId="32043" xr:uid="{00000000-0005-0000-0000-0000297D0000}"/>
    <cellStyle name="Normal 5 10 2 25 2" xfId="32044" xr:uid="{00000000-0005-0000-0000-00002A7D0000}"/>
    <cellStyle name="Normal 5 10 2 25 2 10" xfId="32045" xr:uid="{00000000-0005-0000-0000-00002B7D0000}"/>
    <cellStyle name="Normal 5 10 2 25 2 2" xfId="32046" xr:uid="{00000000-0005-0000-0000-00002C7D0000}"/>
    <cellStyle name="Normal 5 10 2 25 2 3" xfId="32047" xr:uid="{00000000-0005-0000-0000-00002D7D0000}"/>
    <cellStyle name="Normal 5 10 2 25 2 4" xfId="32048" xr:uid="{00000000-0005-0000-0000-00002E7D0000}"/>
    <cellStyle name="Normal 5 10 2 25 2 5" xfId="32049" xr:uid="{00000000-0005-0000-0000-00002F7D0000}"/>
    <cellStyle name="Normal 5 10 2 25 2 6" xfId="32050" xr:uid="{00000000-0005-0000-0000-0000307D0000}"/>
    <cellStyle name="Normal 5 10 2 25 2 7" xfId="32051" xr:uid="{00000000-0005-0000-0000-0000317D0000}"/>
    <cellStyle name="Normal 5 10 2 25 2 8" xfId="32052" xr:uid="{00000000-0005-0000-0000-0000327D0000}"/>
    <cellStyle name="Normal 5 10 2 25 2 9" xfId="32053" xr:uid="{00000000-0005-0000-0000-0000337D0000}"/>
    <cellStyle name="Normal 5 10 2 25 3" xfId="32054" xr:uid="{00000000-0005-0000-0000-0000347D0000}"/>
    <cellStyle name="Normal 5 10 2 25 3 10" xfId="32055" xr:uid="{00000000-0005-0000-0000-0000357D0000}"/>
    <cellStyle name="Normal 5 10 2 25 3 2" xfId="32056" xr:uid="{00000000-0005-0000-0000-0000367D0000}"/>
    <cellStyle name="Normal 5 10 2 25 3 3" xfId="32057" xr:uid="{00000000-0005-0000-0000-0000377D0000}"/>
    <cellStyle name="Normal 5 10 2 25 3 4" xfId="32058" xr:uid="{00000000-0005-0000-0000-0000387D0000}"/>
    <cellStyle name="Normal 5 10 2 25 3 5" xfId="32059" xr:uid="{00000000-0005-0000-0000-0000397D0000}"/>
    <cellStyle name="Normal 5 10 2 25 3 6" xfId="32060" xr:uid="{00000000-0005-0000-0000-00003A7D0000}"/>
    <cellStyle name="Normal 5 10 2 25 3 7" xfId="32061" xr:uid="{00000000-0005-0000-0000-00003B7D0000}"/>
    <cellStyle name="Normal 5 10 2 25 3 8" xfId="32062" xr:uid="{00000000-0005-0000-0000-00003C7D0000}"/>
    <cellStyle name="Normal 5 10 2 25 3 9" xfId="32063" xr:uid="{00000000-0005-0000-0000-00003D7D0000}"/>
    <cellStyle name="Normal 5 10 2 25 4" xfId="32064" xr:uid="{00000000-0005-0000-0000-00003E7D0000}"/>
    <cellStyle name="Normal 5 10 2 25 4 10" xfId="32065" xr:uid="{00000000-0005-0000-0000-00003F7D0000}"/>
    <cellStyle name="Normal 5 10 2 25 4 2" xfId="32066" xr:uid="{00000000-0005-0000-0000-0000407D0000}"/>
    <cellStyle name="Normal 5 10 2 25 4 3" xfId="32067" xr:uid="{00000000-0005-0000-0000-0000417D0000}"/>
    <cellStyle name="Normal 5 10 2 25 4 4" xfId="32068" xr:uid="{00000000-0005-0000-0000-0000427D0000}"/>
    <cellStyle name="Normal 5 10 2 25 4 5" xfId="32069" xr:uid="{00000000-0005-0000-0000-0000437D0000}"/>
    <cellStyle name="Normal 5 10 2 25 4 6" xfId="32070" xr:uid="{00000000-0005-0000-0000-0000447D0000}"/>
    <cellStyle name="Normal 5 10 2 25 4 7" xfId="32071" xr:uid="{00000000-0005-0000-0000-0000457D0000}"/>
    <cellStyle name="Normal 5 10 2 25 4 8" xfId="32072" xr:uid="{00000000-0005-0000-0000-0000467D0000}"/>
    <cellStyle name="Normal 5 10 2 25 4 9" xfId="32073" xr:uid="{00000000-0005-0000-0000-0000477D0000}"/>
    <cellStyle name="Normal 5 10 2 25 5" xfId="32074" xr:uid="{00000000-0005-0000-0000-0000487D0000}"/>
    <cellStyle name="Normal 5 10 2 25 5 10" xfId="32075" xr:uid="{00000000-0005-0000-0000-0000497D0000}"/>
    <cellStyle name="Normal 5 10 2 25 5 2" xfId="32076" xr:uid="{00000000-0005-0000-0000-00004A7D0000}"/>
    <cellStyle name="Normal 5 10 2 25 5 3" xfId="32077" xr:uid="{00000000-0005-0000-0000-00004B7D0000}"/>
    <cellStyle name="Normal 5 10 2 25 5 4" xfId="32078" xr:uid="{00000000-0005-0000-0000-00004C7D0000}"/>
    <cellStyle name="Normal 5 10 2 25 5 5" xfId="32079" xr:uid="{00000000-0005-0000-0000-00004D7D0000}"/>
    <cellStyle name="Normal 5 10 2 25 5 6" xfId="32080" xr:uid="{00000000-0005-0000-0000-00004E7D0000}"/>
    <cellStyle name="Normal 5 10 2 25 5 7" xfId="32081" xr:uid="{00000000-0005-0000-0000-00004F7D0000}"/>
    <cellStyle name="Normal 5 10 2 25 5 8" xfId="32082" xr:uid="{00000000-0005-0000-0000-0000507D0000}"/>
    <cellStyle name="Normal 5 10 2 25 5 9" xfId="32083" xr:uid="{00000000-0005-0000-0000-0000517D0000}"/>
    <cellStyle name="Normal 5 10 2 25 6" xfId="32084" xr:uid="{00000000-0005-0000-0000-0000527D0000}"/>
    <cellStyle name="Normal 5 10 2 25 7" xfId="32085" xr:uid="{00000000-0005-0000-0000-0000537D0000}"/>
    <cellStyle name="Normal 5 10 2 25 8" xfId="32086" xr:uid="{00000000-0005-0000-0000-0000547D0000}"/>
    <cellStyle name="Normal 5 10 2 25 9" xfId="32087" xr:uid="{00000000-0005-0000-0000-0000557D0000}"/>
    <cellStyle name="Normal 5 10 2 26" xfId="32088" xr:uid="{00000000-0005-0000-0000-0000567D0000}"/>
    <cellStyle name="Normal 5 10 2 26 10" xfId="32089" xr:uid="{00000000-0005-0000-0000-0000577D0000}"/>
    <cellStyle name="Normal 5 10 2 26 11" xfId="32090" xr:uid="{00000000-0005-0000-0000-0000587D0000}"/>
    <cellStyle name="Normal 5 10 2 26 12" xfId="32091" xr:uid="{00000000-0005-0000-0000-0000597D0000}"/>
    <cellStyle name="Normal 5 10 2 26 13" xfId="32092" xr:uid="{00000000-0005-0000-0000-00005A7D0000}"/>
    <cellStyle name="Normal 5 10 2 26 14" xfId="32093" xr:uid="{00000000-0005-0000-0000-00005B7D0000}"/>
    <cellStyle name="Normal 5 10 2 26 2" xfId="32094" xr:uid="{00000000-0005-0000-0000-00005C7D0000}"/>
    <cellStyle name="Normal 5 10 2 26 2 10" xfId="32095" xr:uid="{00000000-0005-0000-0000-00005D7D0000}"/>
    <cellStyle name="Normal 5 10 2 26 2 2" xfId="32096" xr:uid="{00000000-0005-0000-0000-00005E7D0000}"/>
    <cellStyle name="Normal 5 10 2 26 2 3" xfId="32097" xr:uid="{00000000-0005-0000-0000-00005F7D0000}"/>
    <cellStyle name="Normal 5 10 2 26 2 4" xfId="32098" xr:uid="{00000000-0005-0000-0000-0000607D0000}"/>
    <cellStyle name="Normal 5 10 2 26 2 5" xfId="32099" xr:uid="{00000000-0005-0000-0000-0000617D0000}"/>
    <cellStyle name="Normal 5 10 2 26 2 6" xfId="32100" xr:uid="{00000000-0005-0000-0000-0000627D0000}"/>
    <cellStyle name="Normal 5 10 2 26 2 7" xfId="32101" xr:uid="{00000000-0005-0000-0000-0000637D0000}"/>
    <cellStyle name="Normal 5 10 2 26 2 8" xfId="32102" xr:uid="{00000000-0005-0000-0000-0000647D0000}"/>
    <cellStyle name="Normal 5 10 2 26 2 9" xfId="32103" xr:uid="{00000000-0005-0000-0000-0000657D0000}"/>
    <cellStyle name="Normal 5 10 2 26 3" xfId="32104" xr:uid="{00000000-0005-0000-0000-0000667D0000}"/>
    <cellStyle name="Normal 5 10 2 26 3 10" xfId="32105" xr:uid="{00000000-0005-0000-0000-0000677D0000}"/>
    <cellStyle name="Normal 5 10 2 26 3 2" xfId="32106" xr:uid="{00000000-0005-0000-0000-0000687D0000}"/>
    <cellStyle name="Normal 5 10 2 26 3 3" xfId="32107" xr:uid="{00000000-0005-0000-0000-0000697D0000}"/>
    <cellStyle name="Normal 5 10 2 26 3 4" xfId="32108" xr:uid="{00000000-0005-0000-0000-00006A7D0000}"/>
    <cellStyle name="Normal 5 10 2 26 3 5" xfId="32109" xr:uid="{00000000-0005-0000-0000-00006B7D0000}"/>
    <cellStyle name="Normal 5 10 2 26 3 6" xfId="32110" xr:uid="{00000000-0005-0000-0000-00006C7D0000}"/>
    <cellStyle name="Normal 5 10 2 26 3 7" xfId="32111" xr:uid="{00000000-0005-0000-0000-00006D7D0000}"/>
    <cellStyle name="Normal 5 10 2 26 3 8" xfId="32112" xr:uid="{00000000-0005-0000-0000-00006E7D0000}"/>
    <cellStyle name="Normal 5 10 2 26 3 9" xfId="32113" xr:uid="{00000000-0005-0000-0000-00006F7D0000}"/>
    <cellStyle name="Normal 5 10 2 26 4" xfId="32114" xr:uid="{00000000-0005-0000-0000-0000707D0000}"/>
    <cellStyle name="Normal 5 10 2 26 4 10" xfId="32115" xr:uid="{00000000-0005-0000-0000-0000717D0000}"/>
    <cellStyle name="Normal 5 10 2 26 4 2" xfId="32116" xr:uid="{00000000-0005-0000-0000-0000727D0000}"/>
    <cellStyle name="Normal 5 10 2 26 4 3" xfId="32117" xr:uid="{00000000-0005-0000-0000-0000737D0000}"/>
    <cellStyle name="Normal 5 10 2 26 4 4" xfId="32118" xr:uid="{00000000-0005-0000-0000-0000747D0000}"/>
    <cellStyle name="Normal 5 10 2 26 4 5" xfId="32119" xr:uid="{00000000-0005-0000-0000-0000757D0000}"/>
    <cellStyle name="Normal 5 10 2 26 4 6" xfId="32120" xr:uid="{00000000-0005-0000-0000-0000767D0000}"/>
    <cellStyle name="Normal 5 10 2 26 4 7" xfId="32121" xr:uid="{00000000-0005-0000-0000-0000777D0000}"/>
    <cellStyle name="Normal 5 10 2 26 4 8" xfId="32122" xr:uid="{00000000-0005-0000-0000-0000787D0000}"/>
    <cellStyle name="Normal 5 10 2 26 4 9" xfId="32123" xr:uid="{00000000-0005-0000-0000-0000797D0000}"/>
    <cellStyle name="Normal 5 10 2 26 5" xfId="32124" xr:uid="{00000000-0005-0000-0000-00007A7D0000}"/>
    <cellStyle name="Normal 5 10 2 26 5 10" xfId="32125" xr:uid="{00000000-0005-0000-0000-00007B7D0000}"/>
    <cellStyle name="Normal 5 10 2 26 5 2" xfId="32126" xr:uid="{00000000-0005-0000-0000-00007C7D0000}"/>
    <cellStyle name="Normal 5 10 2 26 5 3" xfId="32127" xr:uid="{00000000-0005-0000-0000-00007D7D0000}"/>
    <cellStyle name="Normal 5 10 2 26 5 4" xfId="32128" xr:uid="{00000000-0005-0000-0000-00007E7D0000}"/>
    <cellStyle name="Normal 5 10 2 26 5 5" xfId="32129" xr:uid="{00000000-0005-0000-0000-00007F7D0000}"/>
    <cellStyle name="Normal 5 10 2 26 5 6" xfId="32130" xr:uid="{00000000-0005-0000-0000-0000807D0000}"/>
    <cellStyle name="Normal 5 10 2 26 5 7" xfId="32131" xr:uid="{00000000-0005-0000-0000-0000817D0000}"/>
    <cellStyle name="Normal 5 10 2 26 5 8" xfId="32132" xr:uid="{00000000-0005-0000-0000-0000827D0000}"/>
    <cellStyle name="Normal 5 10 2 26 5 9" xfId="32133" xr:uid="{00000000-0005-0000-0000-0000837D0000}"/>
    <cellStyle name="Normal 5 10 2 26 6" xfId="32134" xr:uid="{00000000-0005-0000-0000-0000847D0000}"/>
    <cellStyle name="Normal 5 10 2 26 7" xfId="32135" xr:uid="{00000000-0005-0000-0000-0000857D0000}"/>
    <cellStyle name="Normal 5 10 2 26 8" xfId="32136" xr:uid="{00000000-0005-0000-0000-0000867D0000}"/>
    <cellStyle name="Normal 5 10 2 26 9" xfId="32137" xr:uid="{00000000-0005-0000-0000-0000877D0000}"/>
    <cellStyle name="Normal 5 10 2 27" xfId="32138" xr:uid="{00000000-0005-0000-0000-0000887D0000}"/>
    <cellStyle name="Normal 5 10 2 27 10" xfId="32139" xr:uid="{00000000-0005-0000-0000-0000897D0000}"/>
    <cellStyle name="Normal 5 10 2 27 11" xfId="32140" xr:uid="{00000000-0005-0000-0000-00008A7D0000}"/>
    <cellStyle name="Normal 5 10 2 27 12" xfId="32141" xr:uid="{00000000-0005-0000-0000-00008B7D0000}"/>
    <cellStyle name="Normal 5 10 2 27 13" xfId="32142" xr:uid="{00000000-0005-0000-0000-00008C7D0000}"/>
    <cellStyle name="Normal 5 10 2 27 14" xfId="32143" xr:uid="{00000000-0005-0000-0000-00008D7D0000}"/>
    <cellStyle name="Normal 5 10 2 27 2" xfId="32144" xr:uid="{00000000-0005-0000-0000-00008E7D0000}"/>
    <cellStyle name="Normal 5 10 2 27 2 10" xfId="32145" xr:uid="{00000000-0005-0000-0000-00008F7D0000}"/>
    <cellStyle name="Normal 5 10 2 27 2 2" xfId="32146" xr:uid="{00000000-0005-0000-0000-0000907D0000}"/>
    <cellStyle name="Normal 5 10 2 27 2 3" xfId="32147" xr:uid="{00000000-0005-0000-0000-0000917D0000}"/>
    <cellStyle name="Normal 5 10 2 27 2 4" xfId="32148" xr:uid="{00000000-0005-0000-0000-0000927D0000}"/>
    <cellStyle name="Normal 5 10 2 27 2 5" xfId="32149" xr:uid="{00000000-0005-0000-0000-0000937D0000}"/>
    <cellStyle name="Normal 5 10 2 27 2 6" xfId="32150" xr:uid="{00000000-0005-0000-0000-0000947D0000}"/>
    <cellStyle name="Normal 5 10 2 27 2 7" xfId="32151" xr:uid="{00000000-0005-0000-0000-0000957D0000}"/>
    <cellStyle name="Normal 5 10 2 27 2 8" xfId="32152" xr:uid="{00000000-0005-0000-0000-0000967D0000}"/>
    <cellStyle name="Normal 5 10 2 27 2 9" xfId="32153" xr:uid="{00000000-0005-0000-0000-0000977D0000}"/>
    <cellStyle name="Normal 5 10 2 27 3" xfId="32154" xr:uid="{00000000-0005-0000-0000-0000987D0000}"/>
    <cellStyle name="Normal 5 10 2 27 3 10" xfId="32155" xr:uid="{00000000-0005-0000-0000-0000997D0000}"/>
    <cellStyle name="Normal 5 10 2 27 3 2" xfId="32156" xr:uid="{00000000-0005-0000-0000-00009A7D0000}"/>
    <cellStyle name="Normal 5 10 2 27 3 3" xfId="32157" xr:uid="{00000000-0005-0000-0000-00009B7D0000}"/>
    <cellStyle name="Normal 5 10 2 27 3 4" xfId="32158" xr:uid="{00000000-0005-0000-0000-00009C7D0000}"/>
    <cellStyle name="Normal 5 10 2 27 3 5" xfId="32159" xr:uid="{00000000-0005-0000-0000-00009D7D0000}"/>
    <cellStyle name="Normal 5 10 2 27 3 6" xfId="32160" xr:uid="{00000000-0005-0000-0000-00009E7D0000}"/>
    <cellStyle name="Normal 5 10 2 27 3 7" xfId="32161" xr:uid="{00000000-0005-0000-0000-00009F7D0000}"/>
    <cellStyle name="Normal 5 10 2 27 3 8" xfId="32162" xr:uid="{00000000-0005-0000-0000-0000A07D0000}"/>
    <cellStyle name="Normal 5 10 2 27 3 9" xfId="32163" xr:uid="{00000000-0005-0000-0000-0000A17D0000}"/>
    <cellStyle name="Normal 5 10 2 27 4" xfId="32164" xr:uid="{00000000-0005-0000-0000-0000A27D0000}"/>
    <cellStyle name="Normal 5 10 2 27 4 10" xfId="32165" xr:uid="{00000000-0005-0000-0000-0000A37D0000}"/>
    <cellStyle name="Normal 5 10 2 27 4 2" xfId="32166" xr:uid="{00000000-0005-0000-0000-0000A47D0000}"/>
    <cellStyle name="Normal 5 10 2 27 4 3" xfId="32167" xr:uid="{00000000-0005-0000-0000-0000A57D0000}"/>
    <cellStyle name="Normal 5 10 2 27 4 4" xfId="32168" xr:uid="{00000000-0005-0000-0000-0000A67D0000}"/>
    <cellStyle name="Normal 5 10 2 27 4 5" xfId="32169" xr:uid="{00000000-0005-0000-0000-0000A77D0000}"/>
    <cellStyle name="Normal 5 10 2 27 4 6" xfId="32170" xr:uid="{00000000-0005-0000-0000-0000A87D0000}"/>
    <cellStyle name="Normal 5 10 2 27 4 7" xfId="32171" xr:uid="{00000000-0005-0000-0000-0000A97D0000}"/>
    <cellStyle name="Normal 5 10 2 27 4 8" xfId="32172" xr:uid="{00000000-0005-0000-0000-0000AA7D0000}"/>
    <cellStyle name="Normal 5 10 2 27 4 9" xfId="32173" xr:uid="{00000000-0005-0000-0000-0000AB7D0000}"/>
    <cellStyle name="Normal 5 10 2 27 5" xfId="32174" xr:uid="{00000000-0005-0000-0000-0000AC7D0000}"/>
    <cellStyle name="Normal 5 10 2 27 5 10" xfId="32175" xr:uid="{00000000-0005-0000-0000-0000AD7D0000}"/>
    <cellStyle name="Normal 5 10 2 27 5 2" xfId="32176" xr:uid="{00000000-0005-0000-0000-0000AE7D0000}"/>
    <cellStyle name="Normal 5 10 2 27 5 3" xfId="32177" xr:uid="{00000000-0005-0000-0000-0000AF7D0000}"/>
    <cellStyle name="Normal 5 10 2 27 5 4" xfId="32178" xr:uid="{00000000-0005-0000-0000-0000B07D0000}"/>
    <cellStyle name="Normal 5 10 2 27 5 5" xfId="32179" xr:uid="{00000000-0005-0000-0000-0000B17D0000}"/>
    <cellStyle name="Normal 5 10 2 27 5 6" xfId="32180" xr:uid="{00000000-0005-0000-0000-0000B27D0000}"/>
    <cellStyle name="Normal 5 10 2 27 5 7" xfId="32181" xr:uid="{00000000-0005-0000-0000-0000B37D0000}"/>
    <cellStyle name="Normal 5 10 2 27 5 8" xfId="32182" xr:uid="{00000000-0005-0000-0000-0000B47D0000}"/>
    <cellStyle name="Normal 5 10 2 27 5 9" xfId="32183" xr:uid="{00000000-0005-0000-0000-0000B57D0000}"/>
    <cellStyle name="Normal 5 10 2 27 6" xfId="32184" xr:uid="{00000000-0005-0000-0000-0000B67D0000}"/>
    <cellStyle name="Normal 5 10 2 27 7" xfId="32185" xr:uid="{00000000-0005-0000-0000-0000B77D0000}"/>
    <cellStyle name="Normal 5 10 2 27 8" xfId="32186" xr:uid="{00000000-0005-0000-0000-0000B87D0000}"/>
    <cellStyle name="Normal 5 10 2 27 9" xfId="32187" xr:uid="{00000000-0005-0000-0000-0000B97D0000}"/>
    <cellStyle name="Normal 5 10 2 28" xfId="32188" xr:uid="{00000000-0005-0000-0000-0000BA7D0000}"/>
    <cellStyle name="Normal 5 10 2 28 10" xfId="32189" xr:uid="{00000000-0005-0000-0000-0000BB7D0000}"/>
    <cellStyle name="Normal 5 10 2 28 11" xfId="32190" xr:uid="{00000000-0005-0000-0000-0000BC7D0000}"/>
    <cellStyle name="Normal 5 10 2 28 12" xfId="32191" xr:uid="{00000000-0005-0000-0000-0000BD7D0000}"/>
    <cellStyle name="Normal 5 10 2 28 13" xfId="32192" xr:uid="{00000000-0005-0000-0000-0000BE7D0000}"/>
    <cellStyle name="Normal 5 10 2 28 14" xfId="32193" xr:uid="{00000000-0005-0000-0000-0000BF7D0000}"/>
    <cellStyle name="Normal 5 10 2 28 2" xfId="32194" xr:uid="{00000000-0005-0000-0000-0000C07D0000}"/>
    <cellStyle name="Normal 5 10 2 28 2 10" xfId="32195" xr:uid="{00000000-0005-0000-0000-0000C17D0000}"/>
    <cellStyle name="Normal 5 10 2 28 2 2" xfId="32196" xr:uid="{00000000-0005-0000-0000-0000C27D0000}"/>
    <cellStyle name="Normal 5 10 2 28 2 3" xfId="32197" xr:uid="{00000000-0005-0000-0000-0000C37D0000}"/>
    <cellStyle name="Normal 5 10 2 28 2 4" xfId="32198" xr:uid="{00000000-0005-0000-0000-0000C47D0000}"/>
    <cellStyle name="Normal 5 10 2 28 2 5" xfId="32199" xr:uid="{00000000-0005-0000-0000-0000C57D0000}"/>
    <cellStyle name="Normal 5 10 2 28 2 6" xfId="32200" xr:uid="{00000000-0005-0000-0000-0000C67D0000}"/>
    <cellStyle name="Normal 5 10 2 28 2 7" xfId="32201" xr:uid="{00000000-0005-0000-0000-0000C77D0000}"/>
    <cellStyle name="Normal 5 10 2 28 2 8" xfId="32202" xr:uid="{00000000-0005-0000-0000-0000C87D0000}"/>
    <cellStyle name="Normal 5 10 2 28 2 9" xfId="32203" xr:uid="{00000000-0005-0000-0000-0000C97D0000}"/>
    <cellStyle name="Normal 5 10 2 28 3" xfId="32204" xr:uid="{00000000-0005-0000-0000-0000CA7D0000}"/>
    <cellStyle name="Normal 5 10 2 28 3 10" xfId="32205" xr:uid="{00000000-0005-0000-0000-0000CB7D0000}"/>
    <cellStyle name="Normal 5 10 2 28 3 2" xfId="32206" xr:uid="{00000000-0005-0000-0000-0000CC7D0000}"/>
    <cellStyle name="Normal 5 10 2 28 3 3" xfId="32207" xr:uid="{00000000-0005-0000-0000-0000CD7D0000}"/>
    <cellStyle name="Normal 5 10 2 28 3 4" xfId="32208" xr:uid="{00000000-0005-0000-0000-0000CE7D0000}"/>
    <cellStyle name="Normal 5 10 2 28 3 5" xfId="32209" xr:uid="{00000000-0005-0000-0000-0000CF7D0000}"/>
    <cellStyle name="Normal 5 10 2 28 3 6" xfId="32210" xr:uid="{00000000-0005-0000-0000-0000D07D0000}"/>
    <cellStyle name="Normal 5 10 2 28 3 7" xfId="32211" xr:uid="{00000000-0005-0000-0000-0000D17D0000}"/>
    <cellStyle name="Normal 5 10 2 28 3 8" xfId="32212" xr:uid="{00000000-0005-0000-0000-0000D27D0000}"/>
    <cellStyle name="Normal 5 10 2 28 3 9" xfId="32213" xr:uid="{00000000-0005-0000-0000-0000D37D0000}"/>
    <cellStyle name="Normal 5 10 2 28 4" xfId="32214" xr:uid="{00000000-0005-0000-0000-0000D47D0000}"/>
    <cellStyle name="Normal 5 10 2 28 4 10" xfId="32215" xr:uid="{00000000-0005-0000-0000-0000D57D0000}"/>
    <cellStyle name="Normal 5 10 2 28 4 2" xfId="32216" xr:uid="{00000000-0005-0000-0000-0000D67D0000}"/>
    <cellStyle name="Normal 5 10 2 28 4 3" xfId="32217" xr:uid="{00000000-0005-0000-0000-0000D77D0000}"/>
    <cellStyle name="Normal 5 10 2 28 4 4" xfId="32218" xr:uid="{00000000-0005-0000-0000-0000D87D0000}"/>
    <cellStyle name="Normal 5 10 2 28 4 5" xfId="32219" xr:uid="{00000000-0005-0000-0000-0000D97D0000}"/>
    <cellStyle name="Normal 5 10 2 28 4 6" xfId="32220" xr:uid="{00000000-0005-0000-0000-0000DA7D0000}"/>
    <cellStyle name="Normal 5 10 2 28 4 7" xfId="32221" xr:uid="{00000000-0005-0000-0000-0000DB7D0000}"/>
    <cellStyle name="Normal 5 10 2 28 4 8" xfId="32222" xr:uid="{00000000-0005-0000-0000-0000DC7D0000}"/>
    <cellStyle name="Normal 5 10 2 28 4 9" xfId="32223" xr:uid="{00000000-0005-0000-0000-0000DD7D0000}"/>
    <cellStyle name="Normal 5 10 2 28 5" xfId="32224" xr:uid="{00000000-0005-0000-0000-0000DE7D0000}"/>
    <cellStyle name="Normal 5 10 2 28 5 10" xfId="32225" xr:uid="{00000000-0005-0000-0000-0000DF7D0000}"/>
    <cellStyle name="Normal 5 10 2 28 5 2" xfId="32226" xr:uid="{00000000-0005-0000-0000-0000E07D0000}"/>
    <cellStyle name="Normal 5 10 2 28 5 3" xfId="32227" xr:uid="{00000000-0005-0000-0000-0000E17D0000}"/>
    <cellStyle name="Normal 5 10 2 28 5 4" xfId="32228" xr:uid="{00000000-0005-0000-0000-0000E27D0000}"/>
    <cellStyle name="Normal 5 10 2 28 5 5" xfId="32229" xr:uid="{00000000-0005-0000-0000-0000E37D0000}"/>
    <cellStyle name="Normal 5 10 2 28 5 6" xfId="32230" xr:uid="{00000000-0005-0000-0000-0000E47D0000}"/>
    <cellStyle name="Normal 5 10 2 28 5 7" xfId="32231" xr:uid="{00000000-0005-0000-0000-0000E57D0000}"/>
    <cellStyle name="Normal 5 10 2 28 5 8" xfId="32232" xr:uid="{00000000-0005-0000-0000-0000E67D0000}"/>
    <cellStyle name="Normal 5 10 2 28 5 9" xfId="32233" xr:uid="{00000000-0005-0000-0000-0000E77D0000}"/>
    <cellStyle name="Normal 5 10 2 28 6" xfId="32234" xr:uid="{00000000-0005-0000-0000-0000E87D0000}"/>
    <cellStyle name="Normal 5 10 2 28 7" xfId="32235" xr:uid="{00000000-0005-0000-0000-0000E97D0000}"/>
    <cellStyle name="Normal 5 10 2 28 8" xfId="32236" xr:uid="{00000000-0005-0000-0000-0000EA7D0000}"/>
    <cellStyle name="Normal 5 10 2 28 9" xfId="32237" xr:uid="{00000000-0005-0000-0000-0000EB7D0000}"/>
    <cellStyle name="Normal 5 10 2 29" xfId="32238" xr:uid="{00000000-0005-0000-0000-0000EC7D0000}"/>
    <cellStyle name="Normal 5 10 2 29 10" xfId="32239" xr:uid="{00000000-0005-0000-0000-0000ED7D0000}"/>
    <cellStyle name="Normal 5 10 2 29 11" xfId="32240" xr:uid="{00000000-0005-0000-0000-0000EE7D0000}"/>
    <cellStyle name="Normal 5 10 2 29 12" xfId="32241" xr:uid="{00000000-0005-0000-0000-0000EF7D0000}"/>
    <cellStyle name="Normal 5 10 2 29 13" xfId="32242" xr:uid="{00000000-0005-0000-0000-0000F07D0000}"/>
    <cellStyle name="Normal 5 10 2 29 14" xfId="32243" xr:uid="{00000000-0005-0000-0000-0000F17D0000}"/>
    <cellStyle name="Normal 5 10 2 29 2" xfId="32244" xr:uid="{00000000-0005-0000-0000-0000F27D0000}"/>
    <cellStyle name="Normal 5 10 2 29 2 10" xfId="32245" xr:uid="{00000000-0005-0000-0000-0000F37D0000}"/>
    <cellStyle name="Normal 5 10 2 29 2 2" xfId="32246" xr:uid="{00000000-0005-0000-0000-0000F47D0000}"/>
    <cellStyle name="Normal 5 10 2 29 2 3" xfId="32247" xr:uid="{00000000-0005-0000-0000-0000F57D0000}"/>
    <cellStyle name="Normal 5 10 2 29 2 4" xfId="32248" xr:uid="{00000000-0005-0000-0000-0000F67D0000}"/>
    <cellStyle name="Normal 5 10 2 29 2 5" xfId="32249" xr:uid="{00000000-0005-0000-0000-0000F77D0000}"/>
    <cellStyle name="Normal 5 10 2 29 2 6" xfId="32250" xr:uid="{00000000-0005-0000-0000-0000F87D0000}"/>
    <cellStyle name="Normal 5 10 2 29 2 7" xfId="32251" xr:uid="{00000000-0005-0000-0000-0000F97D0000}"/>
    <cellStyle name="Normal 5 10 2 29 2 8" xfId="32252" xr:uid="{00000000-0005-0000-0000-0000FA7D0000}"/>
    <cellStyle name="Normal 5 10 2 29 2 9" xfId="32253" xr:uid="{00000000-0005-0000-0000-0000FB7D0000}"/>
    <cellStyle name="Normal 5 10 2 29 3" xfId="32254" xr:uid="{00000000-0005-0000-0000-0000FC7D0000}"/>
    <cellStyle name="Normal 5 10 2 29 3 10" xfId="32255" xr:uid="{00000000-0005-0000-0000-0000FD7D0000}"/>
    <cellStyle name="Normal 5 10 2 29 3 2" xfId="32256" xr:uid="{00000000-0005-0000-0000-0000FE7D0000}"/>
    <cellStyle name="Normal 5 10 2 29 3 3" xfId="32257" xr:uid="{00000000-0005-0000-0000-0000FF7D0000}"/>
    <cellStyle name="Normal 5 10 2 29 3 4" xfId="32258" xr:uid="{00000000-0005-0000-0000-0000007E0000}"/>
    <cellStyle name="Normal 5 10 2 29 3 5" xfId="32259" xr:uid="{00000000-0005-0000-0000-0000017E0000}"/>
    <cellStyle name="Normal 5 10 2 29 3 6" xfId="32260" xr:uid="{00000000-0005-0000-0000-0000027E0000}"/>
    <cellStyle name="Normal 5 10 2 29 3 7" xfId="32261" xr:uid="{00000000-0005-0000-0000-0000037E0000}"/>
    <cellStyle name="Normal 5 10 2 29 3 8" xfId="32262" xr:uid="{00000000-0005-0000-0000-0000047E0000}"/>
    <cellStyle name="Normal 5 10 2 29 3 9" xfId="32263" xr:uid="{00000000-0005-0000-0000-0000057E0000}"/>
    <cellStyle name="Normal 5 10 2 29 4" xfId="32264" xr:uid="{00000000-0005-0000-0000-0000067E0000}"/>
    <cellStyle name="Normal 5 10 2 29 4 10" xfId="32265" xr:uid="{00000000-0005-0000-0000-0000077E0000}"/>
    <cellStyle name="Normal 5 10 2 29 4 2" xfId="32266" xr:uid="{00000000-0005-0000-0000-0000087E0000}"/>
    <cellStyle name="Normal 5 10 2 29 4 3" xfId="32267" xr:uid="{00000000-0005-0000-0000-0000097E0000}"/>
    <cellStyle name="Normal 5 10 2 29 4 4" xfId="32268" xr:uid="{00000000-0005-0000-0000-00000A7E0000}"/>
    <cellStyle name="Normal 5 10 2 29 4 5" xfId="32269" xr:uid="{00000000-0005-0000-0000-00000B7E0000}"/>
    <cellStyle name="Normal 5 10 2 29 4 6" xfId="32270" xr:uid="{00000000-0005-0000-0000-00000C7E0000}"/>
    <cellStyle name="Normal 5 10 2 29 4 7" xfId="32271" xr:uid="{00000000-0005-0000-0000-00000D7E0000}"/>
    <cellStyle name="Normal 5 10 2 29 4 8" xfId="32272" xr:uid="{00000000-0005-0000-0000-00000E7E0000}"/>
    <cellStyle name="Normal 5 10 2 29 4 9" xfId="32273" xr:uid="{00000000-0005-0000-0000-00000F7E0000}"/>
    <cellStyle name="Normal 5 10 2 29 5" xfId="32274" xr:uid="{00000000-0005-0000-0000-0000107E0000}"/>
    <cellStyle name="Normal 5 10 2 29 5 10" xfId="32275" xr:uid="{00000000-0005-0000-0000-0000117E0000}"/>
    <cellStyle name="Normal 5 10 2 29 5 2" xfId="32276" xr:uid="{00000000-0005-0000-0000-0000127E0000}"/>
    <cellStyle name="Normal 5 10 2 29 5 3" xfId="32277" xr:uid="{00000000-0005-0000-0000-0000137E0000}"/>
    <cellStyle name="Normal 5 10 2 29 5 4" xfId="32278" xr:uid="{00000000-0005-0000-0000-0000147E0000}"/>
    <cellStyle name="Normal 5 10 2 29 5 5" xfId="32279" xr:uid="{00000000-0005-0000-0000-0000157E0000}"/>
    <cellStyle name="Normal 5 10 2 29 5 6" xfId="32280" xr:uid="{00000000-0005-0000-0000-0000167E0000}"/>
    <cellStyle name="Normal 5 10 2 29 5 7" xfId="32281" xr:uid="{00000000-0005-0000-0000-0000177E0000}"/>
    <cellStyle name="Normal 5 10 2 29 5 8" xfId="32282" xr:uid="{00000000-0005-0000-0000-0000187E0000}"/>
    <cellStyle name="Normal 5 10 2 29 5 9" xfId="32283" xr:uid="{00000000-0005-0000-0000-0000197E0000}"/>
    <cellStyle name="Normal 5 10 2 29 6" xfId="32284" xr:uid="{00000000-0005-0000-0000-00001A7E0000}"/>
    <cellStyle name="Normal 5 10 2 29 7" xfId="32285" xr:uid="{00000000-0005-0000-0000-00001B7E0000}"/>
    <cellStyle name="Normal 5 10 2 29 8" xfId="32286" xr:uid="{00000000-0005-0000-0000-00001C7E0000}"/>
    <cellStyle name="Normal 5 10 2 29 9" xfId="32287" xr:uid="{00000000-0005-0000-0000-00001D7E0000}"/>
    <cellStyle name="Normal 5 10 2 3" xfId="32288" xr:uid="{00000000-0005-0000-0000-00001E7E0000}"/>
    <cellStyle name="Normal 5 10 2 3 10" xfId="32289" xr:uid="{00000000-0005-0000-0000-00001F7E0000}"/>
    <cellStyle name="Normal 5 10 2 3 11" xfId="32290" xr:uid="{00000000-0005-0000-0000-0000207E0000}"/>
    <cellStyle name="Normal 5 10 2 3 12" xfId="32291" xr:uid="{00000000-0005-0000-0000-0000217E0000}"/>
    <cellStyle name="Normal 5 10 2 3 13" xfId="32292" xr:uid="{00000000-0005-0000-0000-0000227E0000}"/>
    <cellStyle name="Normal 5 10 2 3 14" xfId="32293" xr:uid="{00000000-0005-0000-0000-0000237E0000}"/>
    <cellStyle name="Normal 5 10 2 3 2" xfId="32294" xr:uid="{00000000-0005-0000-0000-0000247E0000}"/>
    <cellStyle name="Normal 5 10 2 3 2 10" xfId="32295" xr:uid="{00000000-0005-0000-0000-0000257E0000}"/>
    <cellStyle name="Normal 5 10 2 3 2 2" xfId="32296" xr:uid="{00000000-0005-0000-0000-0000267E0000}"/>
    <cellStyle name="Normal 5 10 2 3 2 3" xfId="32297" xr:uid="{00000000-0005-0000-0000-0000277E0000}"/>
    <cellStyle name="Normal 5 10 2 3 2 4" xfId="32298" xr:uid="{00000000-0005-0000-0000-0000287E0000}"/>
    <cellStyle name="Normal 5 10 2 3 2 5" xfId="32299" xr:uid="{00000000-0005-0000-0000-0000297E0000}"/>
    <cellStyle name="Normal 5 10 2 3 2 6" xfId="32300" xr:uid="{00000000-0005-0000-0000-00002A7E0000}"/>
    <cellStyle name="Normal 5 10 2 3 2 7" xfId="32301" xr:uid="{00000000-0005-0000-0000-00002B7E0000}"/>
    <cellStyle name="Normal 5 10 2 3 2 8" xfId="32302" xr:uid="{00000000-0005-0000-0000-00002C7E0000}"/>
    <cellStyle name="Normal 5 10 2 3 2 9" xfId="32303" xr:uid="{00000000-0005-0000-0000-00002D7E0000}"/>
    <cellStyle name="Normal 5 10 2 3 3" xfId="32304" xr:uid="{00000000-0005-0000-0000-00002E7E0000}"/>
    <cellStyle name="Normal 5 10 2 3 3 10" xfId="32305" xr:uid="{00000000-0005-0000-0000-00002F7E0000}"/>
    <cellStyle name="Normal 5 10 2 3 3 2" xfId="32306" xr:uid="{00000000-0005-0000-0000-0000307E0000}"/>
    <cellStyle name="Normal 5 10 2 3 3 3" xfId="32307" xr:uid="{00000000-0005-0000-0000-0000317E0000}"/>
    <cellStyle name="Normal 5 10 2 3 3 4" xfId="32308" xr:uid="{00000000-0005-0000-0000-0000327E0000}"/>
    <cellStyle name="Normal 5 10 2 3 3 5" xfId="32309" xr:uid="{00000000-0005-0000-0000-0000337E0000}"/>
    <cellStyle name="Normal 5 10 2 3 3 6" xfId="32310" xr:uid="{00000000-0005-0000-0000-0000347E0000}"/>
    <cellStyle name="Normal 5 10 2 3 3 7" xfId="32311" xr:uid="{00000000-0005-0000-0000-0000357E0000}"/>
    <cellStyle name="Normal 5 10 2 3 3 8" xfId="32312" xr:uid="{00000000-0005-0000-0000-0000367E0000}"/>
    <cellStyle name="Normal 5 10 2 3 3 9" xfId="32313" xr:uid="{00000000-0005-0000-0000-0000377E0000}"/>
    <cellStyle name="Normal 5 10 2 3 4" xfId="32314" xr:uid="{00000000-0005-0000-0000-0000387E0000}"/>
    <cellStyle name="Normal 5 10 2 3 4 10" xfId="32315" xr:uid="{00000000-0005-0000-0000-0000397E0000}"/>
    <cellStyle name="Normal 5 10 2 3 4 2" xfId="32316" xr:uid="{00000000-0005-0000-0000-00003A7E0000}"/>
    <cellStyle name="Normal 5 10 2 3 4 3" xfId="32317" xr:uid="{00000000-0005-0000-0000-00003B7E0000}"/>
    <cellStyle name="Normal 5 10 2 3 4 4" xfId="32318" xr:uid="{00000000-0005-0000-0000-00003C7E0000}"/>
    <cellStyle name="Normal 5 10 2 3 4 5" xfId="32319" xr:uid="{00000000-0005-0000-0000-00003D7E0000}"/>
    <cellStyle name="Normal 5 10 2 3 4 6" xfId="32320" xr:uid="{00000000-0005-0000-0000-00003E7E0000}"/>
    <cellStyle name="Normal 5 10 2 3 4 7" xfId="32321" xr:uid="{00000000-0005-0000-0000-00003F7E0000}"/>
    <cellStyle name="Normal 5 10 2 3 4 8" xfId="32322" xr:uid="{00000000-0005-0000-0000-0000407E0000}"/>
    <cellStyle name="Normal 5 10 2 3 4 9" xfId="32323" xr:uid="{00000000-0005-0000-0000-0000417E0000}"/>
    <cellStyle name="Normal 5 10 2 3 5" xfId="32324" xr:uid="{00000000-0005-0000-0000-0000427E0000}"/>
    <cellStyle name="Normal 5 10 2 3 5 10" xfId="32325" xr:uid="{00000000-0005-0000-0000-0000437E0000}"/>
    <cellStyle name="Normal 5 10 2 3 5 2" xfId="32326" xr:uid="{00000000-0005-0000-0000-0000447E0000}"/>
    <cellStyle name="Normal 5 10 2 3 5 3" xfId="32327" xr:uid="{00000000-0005-0000-0000-0000457E0000}"/>
    <cellStyle name="Normal 5 10 2 3 5 4" xfId="32328" xr:uid="{00000000-0005-0000-0000-0000467E0000}"/>
    <cellStyle name="Normal 5 10 2 3 5 5" xfId="32329" xr:uid="{00000000-0005-0000-0000-0000477E0000}"/>
    <cellStyle name="Normal 5 10 2 3 5 6" xfId="32330" xr:uid="{00000000-0005-0000-0000-0000487E0000}"/>
    <cellStyle name="Normal 5 10 2 3 5 7" xfId="32331" xr:uid="{00000000-0005-0000-0000-0000497E0000}"/>
    <cellStyle name="Normal 5 10 2 3 5 8" xfId="32332" xr:uid="{00000000-0005-0000-0000-00004A7E0000}"/>
    <cellStyle name="Normal 5 10 2 3 5 9" xfId="32333" xr:uid="{00000000-0005-0000-0000-00004B7E0000}"/>
    <cellStyle name="Normal 5 10 2 3 6" xfId="32334" xr:uid="{00000000-0005-0000-0000-00004C7E0000}"/>
    <cellStyle name="Normal 5 10 2 3 7" xfId="32335" xr:uid="{00000000-0005-0000-0000-00004D7E0000}"/>
    <cellStyle name="Normal 5 10 2 3 8" xfId="32336" xr:uid="{00000000-0005-0000-0000-00004E7E0000}"/>
    <cellStyle name="Normal 5 10 2 3 9" xfId="32337" xr:uid="{00000000-0005-0000-0000-00004F7E0000}"/>
    <cellStyle name="Normal 5 10 2 30" xfId="32338" xr:uid="{00000000-0005-0000-0000-0000507E0000}"/>
    <cellStyle name="Normal 5 10 2 30 10" xfId="32339" xr:uid="{00000000-0005-0000-0000-0000517E0000}"/>
    <cellStyle name="Normal 5 10 2 30 11" xfId="32340" xr:uid="{00000000-0005-0000-0000-0000527E0000}"/>
    <cellStyle name="Normal 5 10 2 30 12" xfId="32341" xr:uid="{00000000-0005-0000-0000-0000537E0000}"/>
    <cellStyle name="Normal 5 10 2 30 13" xfId="32342" xr:uid="{00000000-0005-0000-0000-0000547E0000}"/>
    <cellStyle name="Normal 5 10 2 30 14" xfId="32343" xr:uid="{00000000-0005-0000-0000-0000557E0000}"/>
    <cellStyle name="Normal 5 10 2 30 2" xfId="32344" xr:uid="{00000000-0005-0000-0000-0000567E0000}"/>
    <cellStyle name="Normal 5 10 2 30 2 10" xfId="32345" xr:uid="{00000000-0005-0000-0000-0000577E0000}"/>
    <cellStyle name="Normal 5 10 2 30 2 2" xfId="32346" xr:uid="{00000000-0005-0000-0000-0000587E0000}"/>
    <cellStyle name="Normal 5 10 2 30 2 3" xfId="32347" xr:uid="{00000000-0005-0000-0000-0000597E0000}"/>
    <cellStyle name="Normal 5 10 2 30 2 4" xfId="32348" xr:uid="{00000000-0005-0000-0000-00005A7E0000}"/>
    <cellStyle name="Normal 5 10 2 30 2 5" xfId="32349" xr:uid="{00000000-0005-0000-0000-00005B7E0000}"/>
    <cellStyle name="Normal 5 10 2 30 2 6" xfId="32350" xr:uid="{00000000-0005-0000-0000-00005C7E0000}"/>
    <cellStyle name="Normal 5 10 2 30 2 7" xfId="32351" xr:uid="{00000000-0005-0000-0000-00005D7E0000}"/>
    <cellStyle name="Normal 5 10 2 30 2 8" xfId="32352" xr:uid="{00000000-0005-0000-0000-00005E7E0000}"/>
    <cellStyle name="Normal 5 10 2 30 2 9" xfId="32353" xr:uid="{00000000-0005-0000-0000-00005F7E0000}"/>
    <cellStyle name="Normal 5 10 2 30 3" xfId="32354" xr:uid="{00000000-0005-0000-0000-0000607E0000}"/>
    <cellStyle name="Normal 5 10 2 30 3 10" xfId="32355" xr:uid="{00000000-0005-0000-0000-0000617E0000}"/>
    <cellStyle name="Normal 5 10 2 30 3 2" xfId="32356" xr:uid="{00000000-0005-0000-0000-0000627E0000}"/>
    <cellStyle name="Normal 5 10 2 30 3 3" xfId="32357" xr:uid="{00000000-0005-0000-0000-0000637E0000}"/>
    <cellStyle name="Normal 5 10 2 30 3 4" xfId="32358" xr:uid="{00000000-0005-0000-0000-0000647E0000}"/>
    <cellStyle name="Normal 5 10 2 30 3 5" xfId="32359" xr:uid="{00000000-0005-0000-0000-0000657E0000}"/>
    <cellStyle name="Normal 5 10 2 30 3 6" xfId="32360" xr:uid="{00000000-0005-0000-0000-0000667E0000}"/>
    <cellStyle name="Normal 5 10 2 30 3 7" xfId="32361" xr:uid="{00000000-0005-0000-0000-0000677E0000}"/>
    <cellStyle name="Normal 5 10 2 30 3 8" xfId="32362" xr:uid="{00000000-0005-0000-0000-0000687E0000}"/>
    <cellStyle name="Normal 5 10 2 30 3 9" xfId="32363" xr:uid="{00000000-0005-0000-0000-0000697E0000}"/>
    <cellStyle name="Normal 5 10 2 30 4" xfId="32364" xr:uid="{00000000-0005-0000-0000-00006A7E0000}"/>
    <cellStyle name="Normal 5 10 2 30 4 10" xfId="32365" xr:uid="{00000000-0005-0000-0000-00006B7E0000}"/>
    <cellStyle name="Normal 5 10 2 30 4 2" xfId="32366" xr:uid="{00000000-0005-0000-0000-00006C7E0000}"/>
    <cellStyle name="Normal 5 10 2 30 4 3" xfId="32367" xr:uid="{00000000-0005-0000-0000-00006D7E0000}"/>
    <cellStyle name="Normal 5 10 2 30 4 4" xfId="32368" xr:uid="{00000000-0005-0000-0000-00006E7E0000}"/>
    <cellStyle name="Normal 5 10 2 30 4 5" xfId="32369" xr:uid="{00000000-0005-0000-0000-00006F7E0000}"/>
    <cellStyle name="Normal 5 10 2 30 4 6" xfId="32370" xr:uid="{00000000-0005-0000-0000-0000707E0000}"/>
    <cellStyle name="Normal 5 10 2 30 4 7" xfId="32371" xr:uid="{00000000-0005-0000-0000-0000717E0000}"/>
    <cellStyle name="Normal 5 10 2 30 4 8" xfId="32372" xr:uid="{00000000-0005-0000-0000-0000727E0000}"/>
    <cellStyle name="Normal 5 10 2 30 4 9" xfId="32373" xr:uid="{00000000-0005-0000-0000-0000737E0000}"/>
    <cellStyle name="Normal 5 10 2 30 5" xfId="32374" xr:uid="{00000000-0005-0000-0000-0000747E0000}"/>
    <cellStyle name="Normal 5 10 2 30 5 10" xfId="32375" xr:uid="{00000000-0005-0000-0000-0000757E0000}"/>
    <cellStyle name="Normal 5 10 2 30 5 2" xfId="32376" xr:uid="{00000000-0005-0000-0000-0000767E0000}"/>
    <cellStyle name="Normal 5 10 2 30 5 3" xfId="32377" xr:uid="{00000000-0005-0000-0000-0000777E0000}"/>
    <cellStyle name="Normal 5 10 2 30 5 4" xfId="32378" xr:uid="{00000000-0005-0000-0000-0000787E0000}"/>
    <cellStyle name="Normal 5 10 2 30 5 5" xfId="32379" xr:uid="{00000000-0005-0000-0000-0000797E0000}"/>
    <cellStyle name="Normal 5 10 2 30 5 6" xfId="32380" xr:uid="{00000000-0005-0000-0000-00007A7E0000}"/>
    <cellStyle name="Normal 5 10 2 30 5 7" xfId="32381" xr:uid="{00000000-0005-0000-0000-00007B7E0000}"/>
    <cellStyle name="Normal 5 10 2 30 5 8" xfId="32382" xr:uid="{00000000-0005-0000-0000-00007C7E0000}"/>
    <cellStyle name="Normal 5 10 2 30 5 9" xfId="32383" xr:uid="{00000000-0005-0000-0000-00007D7E0000}"/>
    <cellStyle name="Normal 5 10 2 30 6" xfId="32384" xr:uid="{00000000-0005-0000-0000-00007E7E0000}"/>
    <cellStyle name="Normal 5 10 2 30 7" xfId="32385" xr:uid="{00000000-0005-0000-0000-00007F7E0000}"/>
    <cellStyle name="Normal 5 10 2 30 8" xfId="32386" xr:uid="{00000000-0005-0000-0000-0000807E0000}"/>
    <cellStyle name="Normal 5 10 2 30 9" xfId="32387" xr:uid="{00000000-0005-0000-0000-0000817E0000}"/>
    <cellStyle name="Normal 5 10 2 31" xfId="32388" xr:uid="{00000000-0005-0000-0000-0000827E0000}"/>
    <cellStyle name="Normal 5 10 2 31 10" xfId="32389" xr:uid="{00000000-0005-0000-0000-0000837E0000}"/>
    <cellStyle name="Normal 5 10 2 31 11" xfId="32390" xr:uid="{00000000-0005-0000-0000-0000847E0000}"/>
    <cellStyle name="Normal 5 10 2 31 12" xfId="32391" xr:uid="{00000000-0005-0000-0000-0000857E0000}"/>
    <cellStyle name="Normal 5 10 2 31 13" xfId="32392" xr:uid="{00000000-0005-0000-0000-0000867E0000}"/>
    <cellStyle name="Normal 5 10 2 31 14" xfId="32393" xr:uid="{00000000-0005-0000-0000-0000877E0000}"/>
    <cellStyle name="Normal 5 10 2 31 2" xfId="32394" xr:uid="{00000000-0005-0000-0000-0000887E0000}"/>
    <cellStyle name="Normal 5 10 2 31 2 10" xfId="32395" xr:uid="{00000000-0005-0000-0000-0000897E0000}"/>
    <cellStyle name="Normal 5 10 2 31 2 2" xfId="32396" xr:uid="{00000000-0005-0000-0000-00008A7E0000}"/>
    <cellStyle name="Normal 5 10 2 31 2 3" xfId="32397" xr:uid="{00000000-0005-0000-0000-00008B7E0000}"/>
    <cellStyle name="Normal 5 10 2 31 2 4" xfId="32398" xr:uid="{00000000-0005-0000-0000-00008C7E0000}"/>
    <cellStyle name="Normal 5 10 2 31 2 5" xfId="32399" xr:uid="{00000000-0005-0000-0000-00008D7E0000}"/>
    <cellStyle name="Normal 5 10 2 31 2 6" xfId="32400" xr:uid="{00000000-0005-0000-0000-00008E7E0000}"/>
    <cellStyle name="Normal 5 10 2 31 2 7" xfId="32401" xr:uid="{00000000-0005-0000-0000-00008F7E0000}"/>
    <cellStyle name="Normal 5 10 2 31 2 8" xfId="32402" xr:uid="{00000000-0005-0000-0000-0000907E0000}"/>
    <cellStyle name="Normal 5 10 2 31 2 9" xfId="32403" xr:uid="{00000000-0005-0000-0000-0000917E0000}"/>
    <cellStyle name="Normal 5 10 2 31 3" xfId="32404" xr:uid="{00000000-0005-0000-0000-0000927E0000}"/>
    <cellStyle name="Normal 5 10 2 31 3 10" xfId="32405" xr:uid="{00000000-0005-0000-0000-0000937E0000}"/>
    <cellStyle name="Normal 5 10 2 31 3 2" xfId="32406" xr:uid="{00000000-0005-0000-0000-0000947E0000}"/>
    <cellStyle name="Normal 5 10 2 31 3 3" xfId="32407" xr:uid="{00000000-0005-0000-0000-0000957E0000}"/>
    <cellStyle name="Normal 5 10 2 31 3 4" xfId="32408" xr:uid="{00000000-0005-0000-0000-0000967E0000}"/>
    <cellStyle name="Normal 5 10 2 31 3 5" xfId="32409" xr:uid="{00000000-0005-0000-0000-0000977E0000}"/>
    <cellStyle name="Normal 5 10 2 31 3 6" xfId="32410" xr:uid="{00000000-0005-0000-0000-0000987E0000}"/>
    <cellStyle name="Normal 5 10 2 31 3 7" xfId="32411" xr:uid="{00000000-0005-0000-0000-0000997E0000}"/>
    <cellStyle name="Normal 5 10 2 31 3 8" xfId="32412" xr:uid="{00000000-0005-0000-0000-00009A7E0000}"/>
    <cellStyle name="Normal 5 10 2 31 3 9" xfId="32413" xr:uid="{00000000-0005-0000-0000-00009B7E0000}"/>
    <cellStyle name="Normal 5 10 2 31 4" xfId="32414" xr:uid="{00000000-0005-0000-0000-00009C7E0000}"/>
    <cellStyle name="Normal 5 10 2 31 4 10" xfId="32415" xr:uid="{00000000-0005-0000-0000-00009D7E0000}"/>
    <cellStyle name="Normal 5 10 2 31 4 2" xfId="32416" xr:uid="{00000000-0005-0000-0000-00009E7E0000}"/>
    <cellStyle name="Normal 5 10 2 31 4 3" xfId="32417" xr:uid="{00000000-0005-0000-0000-00009F7E0000}"/>
    <cellStyle name="Normal 5 10 2 31 4 4" xfId="32418" xr:uid="{00000000-0005-0000-0000-0000A07E0000}"/>
    <cellStyle name="Normal 5 10 2 31 4 5" xfId="32419" xr:uid="{00000000-0005-0000-0000-0000A17E0000}"/>
    <cellStyle name="Normal 5 10 2 31 4 6" xfId="32420" xr:uid="{00000000-0005-0000-0000-0000A27E0000}"/>
    <cellStyle name="Normal 5 10 2 31 4 7" xfId="32421" xr:uid="{00000000-0005-0000-0000-0000A37E0000}"/>
    <cellStyle name="Normal 5 10 2 31 4 8" xfId="32422" xr:uid="{00000000-0005-0000-0000-0000A47E0000}"/>
    <cellStyle name="Normal 5 10 2 31 4 9" xfId="32423" xr:uid="{00000000-0005-0000-0000-0000A57E0000}"/>
    <cellStyle name="Normal 5 10 2 31 5" xfId="32424" xr:uid="{00000000-0005-0000-0000-0000A67E0000}"/>
    <cellStyle name="Normal 5 10 2 31 5 10" xfId="32425" xr:uid="{00000000-0005-0000-0000-0000A77E0000}"/>
    <cellStyle name="Normal 5 10 2 31 5 2" xfId="32426" xr:uid="{00000000-0005-0000-0000-0000A87E0000}"/>
    <cellStyle name="Normal 5 10 2 31 5 3" xfId="32427" xr:uid="{00000000-0005-0000-0000-0000A97E0000}"/>
    <cellStyle name="Normal 5 10 2 31 5 4" xfId="32428" xr:uid="{00000000-0005-0000-0000-0000AA7E0000}"/>
    <cellStyle name="Normal 5 10 2 31 5 5" xfId="32429" xr:uid="{00000000-0005-0000-0000-0000AB7E0000}"/>
    <cellStyle name="Normal 5 10 2 31 5 6" xfId="32430" xr:uid="{00000000-0005-0000-0000-0000AC7E0000}"/>
    <cellStyle name="Normal 5 10 2 31 5 7" xfId="32431" xr:uid="{00000000-0005-0000-0000-0000AD7E0000}"/>
    <cellStyle name="Normal 5 10 2 31 5 8" xfId="32432" xr:uid="{00000000-0005-0000-0000-0000AE7E0000}"/>
    <cellStyle name="Normal 5 10 2 31 5 9" xfId="32433" xr:uid="{00000000-0005-0000-0000-0000AF7E0000}"/>
    <cellStyle name="Normal 5 10 2 31 6" xfId="32434" xr:uid="{00000000-0005-0000-0000-0000B07E0000}"/>
    <cellStyle name="Normal 5 10 2 31 7" xfId="32435" xr:uid="{00000000-0005-0000-0000-0000B17E0000}"/>
    <cellStyle name="Normal 5 10 2 31 8" xfId="32436" xr:uid="{00000000-0005-0000-0000-0000B27E0000}"/>
    <cellStyle name="Normal 5 10 2 31 9" xfId="32437" xr:uid="{00000000-0005-0000-0000-0000B37E0000}"/>
    <cellStyle name="Normal 5 10 2 32" xfId="32438" xr:uid="{00000000-0005-0000-0000-0000B47E0000}"/>
    <cellStyle name="Normal 5 10 2 32 10" xfId="32439" xr:uid="{00000000-0005-0000-0000-0000B57E0000}"/>
    <cellStyle name="Normal 5 10 2 32 11" xfId="32440" xr:uid="{00000000-0005-0000-0000-0000B67E0000}"/>
    <cellStyle name="Normal 5 10 2 32 12" xfId="32441" xr:uid="{00000000-0005-0000-0000-0000B77E0000}"/>
    <cellStyle name="Normal 5 10 2 32 13" xfId="32442" xr:uid="{00000000-0005-0000-0000-0000B87E0000}"/>
    <cellStyle name="Normal 5 10 2 32 14" xfId="32443" xr:uid="{00000000-0005-0000-0000-0000B97E0000}"/>
    <cellStyle name="Normal 5 10 2 32 2" xfId="32444" xr:uid="{00000000-0005-0000-0000-0000BA7E0000}"/>
    <cellStyle name="Normal 5 10 2 32 2 10" xfId="32445" xr:uid="{00000000-0005-0000-0000-0000BB7E0000}"/>
    <cellStyle name="Normal 5 10 2 32 2 2" xfId="32446" xr:uid="{00000000-0005-0000-0000-0000BC7E0000}"/>
    <cellStyle name="Normal 5 10 2 32 2 3" xfId="32447" xr:uid="{00000000-0005-0000-0000-0000BD7E0000}"/>
    <cellStyle name="Normal 5 10 2 32 2 4" xfId="32448" xr:uid="{00000000-0005-0000-0000-0000BE7E0000}"/>
    <cellStyle name="Normal 5 10 2 32 2 5" xfId="32449" xr:uid="{00000000-0005-0000-0000-0000BF7E0000}"/>
    <cellStyle name="Normal 5 10 2 32 2 6" xfId="32450" xr:uid="{00000000-0005-0000-0000-0000C07E0000}"/>
    <cellStyle name="Normal 5 10 2 32 2 7" xfId="32451" xr:uid="{00000000-0005-0000-0000-0000C17E0000}"/>
    <cellStyle name="Normal 5 10 2 32 2 8" xfId="32452" xr:uid="{00000000-0005-0000-0000-0000C27E0000}"/>
    <cellStyle name="Normal 5 10 2 32 2 9" xfId="32453" xr:uid="{00000000-0005-0000-0000-0000C37E0000}"/>
    <cellStyle name="Normal 5 10 2 32 3" xfId="32454" xr:uid="{00000000-0005-0000-0000-0000C47E0000}"/>
    <cellStyle name="Normal 5 10 2 32 3 10" xfId="32455" xr:uid="{00000000-0005-0000-0000-0000C57E0000}"/>
    <cellStyle name="Normal 5 10 2 32 3 2" xfId="32456" xr:uid="{00000000-0005-0000-0000-0000C67E0000}"/>
    <cellStyle name="Normal 5 10 2 32 3 3" xfId="32457" xr:uid="{00000000-0005-0000-0000-0000C77E0000}"/>
    <cellStyle name="Normal 5 10 2 32 3 4" xfId="32458" xr:uid="{00000000-0005-0000-0000-0000C87E0000}"/>
    <cellStyle name="Normal 5 10 2 32 3 5" xfId="32459" xr:uid="{00000000-0005-0000-0000-0000C97E0000}"/>
    <cellStyle name="Normal 5 10 2 32 3 6" xfId="32460" xr:uid="{00000000-0005-0000-0000-0000CA7E0000}"/>
    <cellStyle name="Normal 5 10 2 32 3 7" xfId="32461" xr:uid="{00000000-0005-0000-0000-0000CB7E0000}"/>
    <cellStyle name="Normal 5 10 2 32 3 8" xfId="32462" xr:uid="{00000000-0005-0000-0000-0000CC7E0000}"/>
    <cellStyle name="Normal 5 10 2 32 3 9" xfId="32463" xr:uid="{00000000-0005-0000-0000-0000CD7E0000}"/>
    <cellStyle name="Normal 5 10 2 32 4" xfId="32464" xr:uid="{00000000-0005-0000-0000-0000CE7E0000}"/>
    <cellStyle name="Normal 5 10 2 32 4 10" xfId="32465" xr:uid="{00000000-0005-0000-0000-0000CF7E0000}"/>
    <cellStyle name="Normal 5 10 2 32 4 2" xfId="32466" xr:uid="{00000000-0005-0000-0000-0000D07E0000}"/>
    <cellStyle name="Normal 5 10 2 32 4 3" xfId="32467" xr:uid="{00000000-0005-0000-0000-0000D17E0000}"/>
    <cellStyle name="Normal 5 10 2 32 4 4" xfId="32468" xr:uid="{00000000-0005-0000-0000-0000D27E0000}"/>
    <cellStyle name="Normal 5 10 2 32 4 5" xfId="32469" xr:uid="{00000000-0005-0000-0000-0000D37E0000}"/>
    <cellStyle name="Normal 5 10 2 32 4 6" xfId="32470" xr:uid="{00000000-0005-0000-0000-0000D47E0000}"/>
    <cellStyle name="Normal 5 10 2 32 4 7" xfId="32471" xr:uid="{00000000-0005-0000-0000-0000D57E0000}"/>
    <cellStyle name="Normal 5 10 2 32 4 8" xfId="32472" xr:uid="{00000000-0005-0000-0000-0000D67E0000}"/>
    <cellStyle name="Normal 5 10 2 32 4 9" xfId="32473" xr:uid="{00000000-0005-0000-0000-0000D77E0000}"/>
    <cellStyle name="Normal 5 10 2 32 5" xfId="32474" xr:uid="{00000000-0005-0000-0000-0000D87E0000}"/>
    <cellStyle name="Normal 5 10 2 32 5 10" xfId="32475" xr:uid="{00000000-0005-0000-0000-0000D97E0000}"/>
    <cellStyle name="Normal 5 10 2 32 5 2" xfId="32476" xr:uid="{00000000-0005-0000-0000-0000DA7E0000}"/>
    <cellStyle name="Normal 5 10 2 32 5 3" xfId="32477" xr:uid="{00000000-0005-0000-0000-0000DB7E0000}"/>
    <cellStyle name="Normal 5 10 2 32 5 4" xfId="32478" xr:uid="{00000000-0005-0000-0000-0000DC7E0000}"/>
    <cellStyle name="Normal 5 10 2 32 5 5" xfId="32479" xr:uid="{00000000-0005-0000-0000-0000DD7E0000}"/>
    <cellStyle name="Normal 5 10 2 32 5 6" xfId="32480" xr:uid="{00000000-0005-0000-0000-0000DE7E0000}"/>
    <cellStyle name="Normal 5 10 2 32 5 7" xfId="32481" xr:uid="{00000000-0005-0000-0000-0000DF7E0000}"/>
    <cellStyle name="Normal 5 10 2 32 5 8" xfId="32482" xr:uid="{00000000-0005-0000-0000-0000E07E0000}"/>
    <cellStyle name="Normal 5 10 2 32 5 9" xfId="32483" xr:uid="{00000000-0005-0000-0000-0000E17E0000}"/>
    <cellStyle name="Normal 5 10 2 32 6" xfId="32484" xr:uid="{00000000-0005-0000-0000-0000E27E0000}"/>
    <cellStyle name="Normal 5 10 2 32 7" xfId="32485" xr:uid="{00000000-0005-0000-0000-0000E37E0000}"/>
    <cellStyle name="Normal 5 10 2 32 8" xfId="32486" xr:uid="{00000000-0005-0000-0000-0000E47E0000}"/>
    <cellStyle name="Normal 5 10 2 32 9" xfId="32487" xr:uid="{00000000-0005-0000-0000-0000E57E0000}"/>
    <cellStyle name="Normal 5 10 2 33" xfId="32488" xr:uid="{00000000-0005-0000-0000-0000E67E0000}"/>
    <cellStyle name="Normal 5 10 2 33 10" xfId="32489" xr:uid="{00000000-0005-0000-0000-0000E77E0000}"/>
    <cellStyle name="Normal 5 10 2 33 11" xfId="32490" xr:uid="{00000000-0005-0000-0000-0000E87E0000}"/>
    <cellStyle name="Normal 5 10 2 33 12" xfId="32491" xr:uid="{00000000-0005-0000-0000-0000E97E0000}"/>
    <cellStyle name="Normal 5 10 2 33 13" xfId="32492" xr:uid="{00000000-0005-0000-0000-0000EA7E0000}"/>
    <cellStyle name="Normal 5 10 2 33 14" xfId="32493" xr:uid="{00000000-0005-0000-0000-0000EB7E0000}"/>
    <cellStyle name="Normal 5 10 2 33 2" xfId="32494" xr:uid="{00000000-0005-0000-0000-0000EC7E0000}"/>
    <cellStyle name="Normal 5 10 2 33 2 10" xfId="32495" xr:uid="{00000000-0005-0000-0000-0000ED7E0000}"/>
    <cellStyle name="Normal 5 10 2 33 2 2" xfId="32496" xr:uid="{00000000-0005-0000-0000-0000EE7E0000}"/>
    <cellStyle name="Normal 5 10 2 33 2 3" xfId="32497" xr:uid="{00000000-0005-0000-0000-0000EF7E0000}"/>
    <cellStyle name="Normal 5 10 2 33 2 4" xfId="32498" xr:uid="{00000000-0005-0000-0000-0000F07E0000}"/>
    <cellStyle name="Normal 5 10 2 33 2 5" xfId="32499" xr:uid="{00000000-0005-0000-0000-0000F17E0000}"/>
    <cellStyle name="Normal 5 10 2 33 2 6" xfId="32500" xr:uid="{00000000-0005-0000-0000-0000F27E0000}"/>
    <cellStyle name="Normal 5 10 2 33 2 7" xfId="32501" xr:uid="{00000000-0005-0000-0000-0000F37E0000}"/>
    <cellStyle name="Normal 5 10 2 33 2 8" xfId="32502" xr:uid="{00000000-0005-0000-0000-0000F47E0000}"/>
    <cellStyle name="Normal 5 10 2 33 2 9" xfId="32503" xr:uid="{00000000-0005-0000-0000-0000F57E0000}"/>
    <cellStyle name="Normal 5 10 2 33 3" xfId="32504" xr:uid="{00000000-0005-0000-0000-0000F67E0000}"/>
    <cellStyle name="Normal 5 10 2 33 3 10" xfId="32505" xr:uid="{00000000-0005-0000-0000-0000F77E0000}"/>
    <cellStyle name="Normal 5 10 2 33 3 2" xfId="32506" xr:uid="{00000000-0005-0000-0000-0000F87E0000}"/>
    <cellStyle name="Normal 5 10 2 33 3 3" xfId="32507" xr:uid="{00000000-0005-0000-0000-0000F97E0000}"/>
    <cellStyle name="Normal 5 10 2 33 3 4" xfId="32508" xr:uid="{00000000-0005-0000-0000-0000FA7E0000}"/>
    <cellStyle name="Normal 5 10 2 33 3 5" xfId="32509" xr:uid="{00000000-0005-0000-0000-0000FB7E0000}"/>
    <cellStyle name="Normal 5 10 2 33 3 6" xfId="32510" xr:uid="{00000000-0005-0000-0000-0000FC7E0000}"/>
    <cellStyle name="Normal 5 10 2 33 3 7" xfId="32511" xr:uid="{00000000-0005-0000-0000-0000FD7E0000}"/>
    <cellStyle name="Normal 5 10 2 33 3 8" xfId="32512" xr:uid="{00000000-0005-0000-0000-0000FE7E0000}"/>
    <cellStyle name="Normal 5 10 2 33 3 9" xfId="32513" xr:uid="{00000000-0005-0000-0000-0000FF7E0000}"/>
    <cellStyle name="Normal 5 10 2 33 4" xfId="32514" xr:uid="{00000000-0005-0000-0000-0000007F0000}"/>
    <cellStyle name="Normal 5 10 2 33 4 10" xfId="32515" xr:uid="{00000000-0005-0000-0000-0000017F0000}"/>
    <cellStyle name="Normal 5 10 2 33 4 2" xfId="32516" xr:uid="{00000000-0005-0000-0000-0000027F0000}"/>
    <cellStyle name="Normal 5 10 2 33 4 3" xfId="32517" xr:uid="{00000000-0005-0000-0000-0000037F0000}"/>
    <cellStyle name="Normal 5 10 2 33 4 4" xfId="32518" xr:uid="{00000000-0005-0000-0000-0000047F0000}"/>
    <cellStyle name="Normal 5 10 2 33 4 5" xfId="32519" xr:uid="{00000000-0005-0000-0000-0000057F0000}"/>
    <cellStyle name="Normal 5 10 2 33 4 6" xfId="32520" xr:uid="{00000000-0005-0000-0000-0000067F0000}"/>
    <cellStyle name="Normal 5 10 2 33 4 7" xfId="32521" xr:uid="{00000000-0005-0000-0000-0000077F0000}"/>
    <cellStyle name="Normal 5 10 2 33 4 8" xfId="32522" xr:uid="{00000000-0005-0000-0000-0000087F0000}"/>
    <cellStyle name="Normal 5 10 2 33 4 9" xfId="32523" xr:uid="{00000000-0005-0000-0000-0000097F0000}"/>
    <cellStyle name="Normal 5 10 2 33 5" xfId="32524" xr:uid="{00000000-0005-0000-0000-00000A7F0000}"/>
    <cellStyle name="Normal 5 10 2 33 5 10" xfId="32525" xr:uid="{00000000-0005-0000-0000-00000B7F0000}"/>
    <cellStyle name="Normal 5 10 2 33 5 2" xfId="32526" xr:uid="{00000000-0005-0000-0000-00000C7F0000}"/>
    <cellStyle name="Normal 5 10 2 33 5 3" xfId="32527" xr:uid="{00000000-0005-0000-0000-00000D7F0000}"/>
    <cellStyle name="Normal 5 10 2 33 5 4" xfId="32528" xr:uid="{00000000-0005-0000-0000-00000E7F0000}"/>
    <cellStyle name="Normal 5 10 2 33 5 5" xfId="32529" xr:uid="{00000000-0005-0000-0000-00000F7F0000}"/>
    <cellStyle name="Normal 5 10 2 33 5 6" xfId="32530" xr:uid="{00000000-0005-0000-0000-0000107F0000}"/>
    <cellStyle name="Normal 5 10 2 33 5 7" xfId="32531" xr:uid="{00000000-0005-0000-0000-0000117F0000}"/>
    <cellStyle name="Normal 5 10 2 33 5 8" xfId="32532" xr:uid="{00000000-0005-0000-0000-0000127F0000}"/>
    <cellStyle name="Normal 5 10 2 33 5 9" xfId="32533" xr:uid="{00000000-0005-0000-0000-0000137F0000}"/>
    <cellStyle name="Normal 5 10 2 33 6" xfId="32534" xr:uid="{00000000-0005-0000-0000-0000147F0000}"/>
    <cellStyle name="Normal 5 10 2 33 7" xfId="32535" xr:uid="{00000000-0005-0000-0000-0000157F0000}"/>
    <cellStyle name="Normal 5 10 2 33 8" xfId="32536" xr:uid="{00000000-0005-0000-0000-0000167F0000}"/>
    <cellStyle name="Normal 5 10 2 33 9" xfId="32537" xr:uid="{00000000-0005-0000-0000-0000177F0000}"/>
    <cellStyle name="Normal 5 10 2 34" xfId="32538" xr:uid="{00000000-0005-0000-0000-0000187F0000}"/>
    <cellStyle name="Normal 5 10 2 34 10" xfId="32539" xr:uid="{00000000-0005-0000-0000-0000197F0000}"/>
    <cellStyle name="Normal 5 10 2 34 2" xfId="32540" xr:uid="{00000000-0005-0000-0000-00001A7F0000}"/>
    <cellStyle name="Normal 5 10 2 34 3" xfId="32541" xr:uid="{00000000-0005-0000-0000-00001B7F0000}"/>
    <cellStyle name="Normal 5 10 2 34 4" xfId="32542" xr:uid="{00000000-0005-0000-0000-00001C7F0000}"/>
    <cellStyle name="Normal 5 10 2 34 5" xfId="32543" xr:uid="{00000000-0005-0000-0000-00001D7F0000}"/>
    <cellStyle name="Normal 5 10 2 34 6" xfId="32544" xr:uid="{00000000-0005-0000-0000-00001E7F0000}"/>
    <cellStyle name="Normal 5 10 2 34 7" xfId="32545" xr:uid="{00000000-0005-0000-0000-00001F7F0000}"/>
    <cellStyle name="Normal 5 10 2 34 8" xfId="32546" xr:uid="{00000000-0005-0000-0000-0000207F0000}"/>
    <cellStyle name="Normal 5 10 2 34 9" xfId="32547" xr:uid="{00000000-0005-0000-0000-0000217F0000}"/>
    <cellStyle name="Normal 5 10 2 35" xfId="32548" xr:uid="{00000000-0005-0000-0000-0000227F0000}"/>
    <cellStyle name="Normal 5 10 2 35 10" xfId="32549" xr:uid="{00000000-0005-0000-0000-0000237F0000}"/>
    <cellStyle name="Normal 5 10 2 35 2" xfId="32550" xr:uid="{00000000-0005-0000-0000-0000247F0000}"/>
    <cellStyle name="Normal 5 10 2 35 3" xfId="32551" xr:uid="{00000000-0005-0000-0000-0000257F0000}"/>
    <cellStyle name="Normal 5 10 2 35 4" xfId="32552" xr:uid="{00000000-0005-0000-0000-0000267F0000}"/>
    <cellStyle name="Normal 5 10 2 35 5" xfId="32553" xr:uid="{00000000-0005-0000-0000-0000277F0000}"/>
    <cellStyle name="Normal 5 10 2 35 6" xfId="32554" xr:uid="{00000000-0005-0000-0000-0000287F0000}"/>
    <cellStyle name="Normal 5 10 2 35 7" xfId="32555" xr:uid="{00000000-0005-0000-0000-0000297F0000}"/>
    <cellStyle name="Normal 5 10 2 35 8" xfId="32556" xr:uid="{00000000-0005-0000-0000-00002A7F0000}"/>
    <cellStyle name="Normal 5 10 2 35 9" xfId="32557" xr:uid="{00000000-0005-0000-0000-00002B7F0000}"/>
    <cellStyle name="Normal 5 10 2 36" xfId="32558" xr:uid="{00000000-0005-0000-0000-00002C7F0000}"/>
    <cellStyle name="Normal 5 10 2 36 10" xfId="32559" xr:uid="{00000000-0005-0000-0000-00002D7F0000}"/>
    <cellStyle name="Normal 5 10 2 36 2" xfId="32560" xr:uid="{00000000-0005-0000-0000-00002E7F0000}"/>
    <cellStyle name="Normal 5 10 2 36 3" xfId="32561" xr:uid="{00000000-0005-0000-0000-00002F7F0000}"/>
    <cellStyle name="Normal 5 10 2 36 4" xfId="32562" xr:uid="{00000000-0005-0000-0000-0000307F0000}"/>
    <cellStyle name="Normal 5 10 2 36 5" xfId="32563" xr:uid="{00000000-0005-0000-0000-0000317F0000}"/>
    <cellStyle name="Normal 5 10 2 36 6" xfId="32564" xr:uid="{00000000-0005-0000-0000-0000327F0000}"/>
    <cellStyle name="Normal 5 10 2 36 7" xfId="32565" xr:uid="{00000000-0005-0000-0000-0000337F0000}"/>
    <cellStyle name="Normal 5 10 2 36 8" xfId="32566" xr:uid="{00000000-0005-0000-0000-0000347F0000}"/>
    <cellStyle name="Normal 5 10 2 36 9" xfId="32567" xr:uid="{00000000-0005-0000-0000-0000357F0000}"/>
    <cellStyle name="Normal 5 10 2 37" xfId="32568" xr:uid="{00000000-0005-0000-0000-0000367F0000}"/>
    <cellStyle name="Normal 5 10 2 37 10" xfId="32569" xr:uid="{00000000-0005-0000-0000-0000377F0000}"/>
    <cellStyle name="Normal 5 10 2 37 2" xfId="32570" xr:uid="{00000000-0005-0000-0000-0000387F0000}"/>
    <cellStyle name="Normal 5 10 2 37 3" xfId="32571" xr:uid="{00000000-0005-0000-0000-0000397F0000}"/>
    <cellStyle name="Normal 5 10 2 37 4" xfId="32572" xr:uid="{00000000-0005-0000-0000-00003A7F0000}"/>
    <cellStyle name="Normal 5 10 2 37 5" xfId="32573" xr:uid="{00000000-0005-0000-0000-00003B7F0000}"/>
    <cellStyle name="Normal 5 10 2 37 6" xfId="32574" xr:uid="{00000000-0005-0000-0000-00003C7F0000}"/>
    <cellStyle name="Normal 5 10 2 37 7" xfId="32575" xr:uid="{00000000-0005-0000-0000-00003D7F0000}"/>
    <cellStyle name="Normal 5 10 2 37 8" xfId="32576" xr:uid="{00000000-0005-0000-0000-00003E7F0000}"/>
    <cellStyle name="Normal 5 10 2 37 9" xfId="32577" xr:uid="{00000000-0005-0000-0000-00003F7F0000}"/>
    <cellStyle name="Normal 5 10 2 38" xfId="32578" xr:uid="{00000000-0005-0000-0000-0000407F0000}"/>
    <cellStyle name="Normal 5 10 2 39" xfId="32579" xr:uid="{00000000-0005-0000-0000-0000417F0000}"/>
    <cellStyle name="Normal 5 10 2 4" xfId="32580" xr:uid="{00000000-0005-0000-0000-0000427F0000}"/>
    <cellStyle name="Normal 5 10 2 4 10" xfId="32581" xr:uid="{00000000-0005-0000-0000-0000437F0000}"/>
    <cellStyle name="Normal 5 10 2 4 11" xfId="32582" xr:uid="{00000000-0005-0000-0000-0000447F0000}"/>
    <cellStyle name="Normal 5 10 2 4 12" xfId="32583" xr:uid="{00000000-0005-0000-0000-0000457F0000}"/>
    <cellStyle name="Normal 5 10 2 4 13" xfId="32584" xr:uid="{00000000-0005-0000-0000-0000467F0000}"/>
    <cellStyle name="Normal 5 10 2 4 14" xfId="32585" xr:uid="{00000000-0005-0000-0000-0000477F0000}"/>
    <cellStyle name="Normal 5 10 2 4 2" xfId="32586" xr:uid="{00000000-0005-0000-0000-0000487F0000}"/>
    <cellStyle name="Normal 5 10 2 4 2 10" xfId="32587" xr:uid="{00000000-0005-0000-0000-0000497F0000}"/>
    <cellStyle name="Normal 5 10 2 4 2 2" xfId="32588" xr:uid="{00000000-0005-0000-0000-00004A7F0000}"/>
    <cellStyle name="Normal 5 10 2 4 2 3" xfId="32589" xr:uid="{00000000-0005-0000-0000-00004B7F0000}"/>
    <cellStyle name="Normal 5 10 2 4 2 4" xfId="32590" xr:uid="{00000000-0005-0000-0000-00004C7F0000}"/>
    <cellStyle name="Normal 5 10 2 4 2 5" xfId="32591" xr:uid="{00000000-0005-0000-0000-00004D7F0000}"/>
    <cellStyle name="Normal 5 10 2 4 2 6" xfId="32592" xr:uid="{00000000-0005-0000-0000-00004E7F0000}"/>
    <cellStyle name="Normal 5 10 2 4 2 7" xfId="32593" xr:uid="{00000000-0005-0000-0000-00004F7F0000}"/>
    <cellStyle name="Normal 5 10 2 4 2 8" xfId="32594" xr:uid="{00000000-0005-0000-0000-0000507F0000}"/>
    <cellStyle name="Normal 5 10 2 4 2 9" xfId="32595" xr:uid="{00000000-0005-0000-0000-0000517F0000}"/>
    <cellStyle name="Normal 5 10 2 4 3" xfId="32596" xr:uid="{00000000-0005-0000-0000-0000527F0000}"/>
    <cellStyle name="Normal 5 10 2 4 3 10" xfId="32597" xr:uid="{00000000-0005-0000-0000-0000537F0000}"/>
    <cellStyle name="Normal 5 10 2 4 3 2" xfId="32598" xr:uid="{00000000-0005-0000-0000-0000547F0000}"/>
    <cellStyle name="Normal 5 10 2 4 3 3" xfId="32599" xr:uid="{00000000-0005-0000-0000-0000557F0000}"/>
    <cellStyle name="Normal 5 10 2 4 3 4" xfId="32600" xr:uid="{00000000-0005-0000-0000-0000567F0000}"/>
    <cellStyle name="Normal 5 10 2 4 3 5" xfId="32601" xr:uid="{00000000-0005-0000-0000-0000577F0000}"/>
    <cellStyle name="Normal 5 10 2 4 3 6" xfId="32602" xr:uid="{00000000-0005-0000-0000-0000587F0000}"/>
    <cellStyle name="Normal 5 10 2 4 3 7" xfId="32603" xr:uid="{00000000-0005-0000-0000-0000597F0000}"/>
    <cellStyle name="Normal 5 10 2 4 3 8" xfId="32604" xr:uid="{00000000-0005-0000-0000-00005A7F0000}"/>
    <cellStyle name="Normal 5 10 2 4 3 9" xfId="32605" xr:uid="{00000000-0005-0000-0000-00005B7F0000}"/>
    <cellStyle name="Normal 5 10 2 4 4" xfId="32606" xr:uid="{00000000-0005-0000-0000-00005C7F0000}"/>
    <cellStyle name="Normal 5 10 2 4 4 10" xfId="32607" xr:uid="{00000000-0005-0000-0000-00005D7F0000}"/>
    <cellStyle name="Normal 5 10 2 4 4 2" xfId="32608" xr:uid="{00000000-0005-0000-0000-00005E7F0000}"/>
    <cellStyle name="Normal 5 10 2 4 4 3" xfId="32609" xr:uid="{00000000-0005-0000-0000-00005F7F0000}"/>
    <cellStyle name="Normal 5 10 2 4 4 4" xfId="32610" xr:uid="{00000000-0005-0000-0000-0000607F0000}"/>
    <cellStyle name="Normal 5 10 2 4 4 5" xfId="32611" xr:uid="{00000000-0005-0000-0000-0000617F0000}"/>
    <cellStyle name="Normal 5 10 2 4 4 6" xfId="32612" xr:uid="{00000000-0005-0000-0000-0000627F0000}"/>
    <cellStyle name="Normal 5 10 2 4 4 7" xfId="32613" xr:uid="{00000000-0005-0000-0000-0000637F0000}"/>
    <cellStyle name="Normal 5 10 2 4 4 8" xfId="32614" xr:uid="{00000000-0005-0000-0000-0000647F0000}"/>
    <cellStyle name="Normal 5 10 2 4 4 9" xfId="32615" xr:uid="{00000000-0005-0000-0000-0000657F0000}"/>
    <cellStyle name="Normal 5 10 2 4 5" xfId="32616" xr:uid="{00000000-0005-0000-0000-0000667F0000}"/>
    <cellStyle name="Normal 5 10 2 4 5 10" xfId="32617" xr:uid="{00000000-0005-0000-0000-0000677F0000}"/>
    <cellStyle name="Normal 5 10 2 4 5 2" xfId="32618" xr:uid="{00000000-0005-0000-0000-0000687F0000}"/>
    <cellStyle name="Normal 5 10 2 4 5 3" xfId="32619" xr:uid="{00000000-0005-0000-0000-0000697F0000}"/>
    <cellStyle name="Normal 5 10 2 4 5 4" xfId="32620" xr:uid="{00000000-0005-0000-0000-00006A7F0000}"/>
    <cellStyle name="Normal 5 10 2 4 5 5" xfId="32621" xr:uid="{00000000-0005-0000-0000-00006B7F0000}"/>
    <cellStyle name="Normal 5 10 2 4 5 6" xfId="32622" xr:uid="{00000000-0005-0000-0000-00006C7F0000}"/>
    <cellStyle name="Normal 5 10 2 4 5 7" xfId="32623" xr:uid="{00000000-0005-0000-0000-00006D7F0000}"/>
    <cellStyle name="Normal 5 10 2 4 5 8" xfId="32624" xr:uid="{00000000-0005-0000-0000-00006E7F0000}"/>
    <cellStyle name="Normal 5 10 2 4 5 9" xfId="32625" xr:uid="{00000000-0005-0000-0000-00006F7F0000}"/>
    <cellStyle name="Normal 5 10 2 4 6" xfId="32626" xr:uid="{00000000-0005-0000-0000-0000707F0000}"/>
    <cellStyle name="Normal 5 10 2 4 7" xfId="32627" xr:uid="{00000000-0005-0000-0000-0000717F0000}"/>
    <cellStyle name="Normal 5 10 2 4 8" xfId="32628" xr:uid="{00000000-0005-0000-0000-0000727F0000}"/>
    <cellStyle name="Normal 5 10 2 4 9" xfId="32629" xr:uid="{00000000-0005-0000-0000-0000737F0000}"/>
    <cellStyle name="Normal 5 10 2 40" xfId="32630" xr:uid="{00000000-0005-0000-0000-0000747F0000}"/>
    <cellStyle name="Normal 5 10 2 41" xfId="32631" xr:uid="{00000000-0005-0000-0000-0000757F0000}"/>
    <cellStyle name="Normal 5 10 2 42" xfId="32632" xr:uid="{00000000-0005-0000-0000-0000767F0000}"/>
    <cellStyle name="Normal 5 10 2 43" xfId="32633" xr:uid="{00000000-0005-0000-0000-0000777F0000}"/>
    <cellStyle name="Normal 5 10 2 44" xfId="32634" xr:uid="{00000000-0005-0000-0000-0000787F0000}"/>
    <cellStyle name="Normal 5 10 2 45" xfId="32635" xr:uid="{00000000-0005-0000-0000-0000797F0000}"/>
    <cellStyle name="Normal 5 10 2 46" xfId="32636" xr:uid="{00000000-0005-0000-0000-00007A7F0000}"/>
    <cellStyle name="Normal 5 10 2 47" xfId="32637" xr:uid="{00000000-0005-0000-0000-00007B7F0000}"/>
    <cellStyle name="Normal 5 10 2 48" xfId="32638" xr:uid="{00000000-0005-0000-0000-00007C7F0000}"/>
    <cellStyle name="Normal 5 10 2 5" xfId="32639" xr:uid="{00000000-0005-0000-0000-00007D7F0000}"/>
    <cellStyle name="Normal 5 10 2 5 10" xfId="32640" xr:uid="{00000000-0005-0000-0000-00007E7F0000}"/>
    <cellStyle name="Normal 5 10 2 5 11" xfId="32641" xr:uid="{00000000-0005-0000-0000-00007F7F0000}"/>
    <cellStyle name="Normal 5 10 2 5 12" xfId="32642" xr:uid="{00000000-0005-0000-0000-0000807F0000}"/>
    <cellStyle name="Normal 5 10 2 5 13" xfId="32643" xr:uid="{00000000-0005-0000-0000-0000817F0000}"/>
    <cellStyle name="Normal 5 10 2 5 14" xfId="32644" xr:uid="{00000000-0005-0000-0000-0000827F0000}"/>
    <cellStyle name="Normal 5 10 2 5 2" xfId="32645" xr:uid="{00000000-0005-0000-0000-0000837F0000}"/>
    <cellStyle name="Normal 5 10 2 5 2 10" xfId="32646" xr:uid="{00000000-0005-0000-0000-0000847F0000}"/>
    <cellStyle name="Normal 5 10 2 5 2 2" xfId="32647" xr:uid="{00000000-0005-0000-0000-0000857F0000}"/>
    <cellStyle name="Normal 5 10 2 5 2 3" xfId="32648" xr:uid="{00000000-0005-0000-0000-0000867F0000}"/>
    <cellStyle name="Normal 5 10 2 5 2 4" xfId="32649" xr:uid="{00000000-0005-0000-0000-0000877F0000}"/>
    <cellStyle name="Normal 5 10 2 5 2 5" xfId="32650" xr:uid="{00000000-0005-0000-0000-0000887F0000}"/>
    <cellStyle name="Normal 5 10 2 5 2 6" xfId="32651" xr:uid="{00000000-0005-0000-0000-0000897F0000}"/>
    <cellStyle name="Normal 5 10 2 5 2 7" xfId="32652" xr:uid="{00000000-0005-0000-0000-00008A7F0000}"/>
    <cellStyle name="Normal 5 10 2 5 2 8" xfId="32653" xr:uid="{00000000-0005-0000-0000-00008B7F0000}"/>
    <cellStyle name="Normal 5 10 2 5 2 9" xfId="32654" xr:uid="{00000000-0005-0000-0000-00008C7F0000}"/>
    <cellStyle name="Normal 5 10 2 5 3" xfId="32655" xr:uid="{00000000-0005-0000-0000-00008D7F0000}"/>
    <cellStyle name="Normal 5 10 2 5 3 10" xfId="32656" xr:uid="{00000000-0005-0000-0000-00008E7F0000}"/>
    <cellStyle name="Normal 5 10 2 5 3 2" xfId="32657" xr:uid="{00000000-0005-0000-0000-00008F7F0000}"/>
    <cellStyle name="Normal 5 10 2 5 3 3" xfId="32658" xr:uid="{00000000-0005-0000-0000-0000907F0000}"/>
    <cellStyle name="Normal 5 10 2 5 3 4" xfId="32659" xr:uid="{00000000-0005-0000-0000-0000917F0000}"/>
    <cellStyle name="Normal 5 10 2 5 3 5" xfId="32660" xr:uid="{00000000-0005-0000-0000-0000927F0000}"/>
    <cellStyle name="Normal 5 10 2 5 3 6" xfId="32661" xr:uid="{00000000-0005-0000-0000-0000937F0000}"/>
    <cellStyle name="Normal 5 10 2 5 3 7" xfId="32662" xr:uid="{00000000-0005-0000-0000-0000947F0000}"/>
    <cellStyle name="Normal 5 10 2 5 3 8" xfId="32663" xr:uid="{00000000-0005-0000-0000-0000957F0000}"/>
    <cellStyle name="Normal 5 10 2 5 3 9" xfId="32664" xr:uid="{00000000-0005-0000-0000-0000967F0000}"/>
    <cellStyle name="Normal 5 10 2 5 4" xfId="32665" xr:uid="{00000000-0005-0000-0000-0000977F0000}"/>
    <cellStyle name="Normal 5 10 2 5 4 10" xfId="32666" xr:uid="{00000000-0005-0000-0000-0000987F0000}"/>
    <cellStyle name="Normal 5 10 2 5 4 2" xfId="32667" xr:uid="{00000000-0005-0000-0000-0000997F0000}"/>
    <cellStyle name="Normal 5 10 2 5 4 3" xfId="32668" xr:uid="{00000000-0005-0000-0000-00009A7F0000}"/>
    <cellStyle name="Normal 5 10 2 5 4 4" xfId="32669" xr:uid="{00000000-0005-0000-0000-00009B7F0000}"/>
    <cellStyle name="Normal 5 10 2 5 4 5" xfId="32670" xr:uid="{00000000-0005-0000-0000-00009C7F0000}"/>
    <cellStyle name="Normal 5 10 2 5 4 6" xfId="32671" xr:uid="{00000000-0005-0000-0000-00009D7F0000}"/>
    <cellStyle name="Normal 5 10 2 5 4 7" xfId="32672" xr:uid="{00000000-0005-0000-0000-00009E7F0000}"/>
    <cellStyle name="Normal 5 10 2 5 4 8" xfId="32673" xr:uid="{00000000-0005-0000-0000-00009F7F0000}"/>
    <cellStyle name="Normal 5 10 2 5 4 9" xfId="32674" xr:uid="{00000000-0005-0000-0000-0000A07F0000}"/>
    <cellStyle name="Normal 5 10 2 5 5" xfId="32675" xr:uid="{00000000-0005-0000-0000-0000A17F0000}"/>
    <cellStyle name="Normal 5 10 2 5 5 10" xfId="32676" xr:uid="{00000000-0005-0000-0000-0000A27F0000}"/>
    <cellStyle name="Normal 5 10 2 5 5 2" xfId="32677" xr:uid="{00000000-0005-0000-0000-0000A37F0000}"/>
    <cellStyle name="Normal 5 10 2 5 5 3" xfId="32678" xr:uid="{00000000-0005-0000-0000-0000A47F0000}"/>
    <cellStyle name="Normal 5 10 2 5 5 4" xfId="32679" xr:uid="{00000000-0005-0000-0000-0000A57F0000}"/>
    <cellStyle name="Normal 5 10 2 5 5 5" xfId="32680" xr:uid="{00000000-0005-0000-0000-0000A67F0000}"/>
    <cellStyle name="Normal 5 10 2 5 5 6" xfId="32681" xr:uid="{00000000-0005-0000-0000-0000A77F0000}"/>
    <cellStyle name="Normal 5 10 2 5 5 7" xfId="32682" xr:uid="{00000000-0005-0000-0000-0000A87F0000}"/>
    <cellStyle name="Normal 5 10 2 5 5 8" xfId="32683" xr:uid="{00000000-0005-0000-0000-0000A97F0000}"/>
    <cellStyle name="Normal 5 10 2 5 5 9" xfId="32684" xr:uid="{00000000-0005-0000-0000-0000AA7F0000}"/>
    <cellStyle name="Normal 5 10 2 5 6" xfId="32685" xr:uid="{00000000-0005-0000-0000-0000AB7F0000}"/>
    <cellStyle name="Normal 5 10 2 5 7" xfId="32686" xr:uid="{00000000-0005-0000-0000-0000AC7F0000}"/>
    <cellStyle name="Normal 5 10 2 5 8" xfId="32687" xr:uid="{00000000-0005-0000-0000-0000AD7F0000}"/>
    <cellStyle name="Normal 5 10 2 5 9" xfId="32688" xr:uid="{00000000-0005-0000-0000-0000AE7F0000}"/>
    <cellStyle name="Normal 5 10 2 6" xfId="32689" xr:uid="{00000000-0005-0000-0000-0000AF7F0000}"/>
    <cellStyle name="Normal 5 10 2 6 10" xfId="32690" xr:uid="{00000000-0005-0000-0000-0000B07F0000}"/>
    <cellStyle name="Normal 5 10 2 6 11" xfId="32691" xr:uid="{00000000-0005-0000-0000-0000B17F0000}"/>
    <cellStyle name="Normal 5 10 2 6 12" xfId="32692" xr:uid="{00000000-0005-0000-0000-0000B27F0000}"/>
    <cellStyle name="Normal 5 10 2 6 13" xfId="32693" xr:uid="{00000000-0005-0000-0000-0000B37F0000}"/>
    <cellStyle name="Normal 5 10 2 6 14" xfId="32694" xr:uid="{00000000-0005-0000-0000-0000B47F0000}"/>
    <cellStyle name="Normal 5 10 2 6 2" xfId="32695" xr:uid="{00000000-0005-0000-0000-0000B57F0000}"/>
    <cellStyle name="Normal 5 10 2 6 2 10" xfId="32696" xr:uid="{00000000-0005-0000-0000-0000B67F0000}"/>
    <cellStyle name="Normal 5 10 2 6 2 2" xfId="32697" xr:uid="{00000000-0005-0000-0000-0000B77F0000}"/>
    <cellStyle name="Normal 5 10 2 6 2 3" xfId="32698" xr:uid="{00000000-0005-0000-0000-0000B87F0000}"/>
    <cellStyle name="Normal 5 10 2 6 2 4" xfId="32699" xr:uid="{00000000-0005-0000-0000-0000B97F0000}"/>
    <cellStyle name="Normal 5 10 2 6 2 5" xfId="32700" xr:uid="{00000000-0005-0000-0000-0000BA7F0000}"/>
    <cellStyle name="Normal 5 10 2 6 2 6" xfId="32701" xr:uid="{00000000-0005-0000-0000-0000BB7F0000}"/>
    <cellStyle name="Normal 5 10 2 6 2 7" xfId="32702" xr:uid="{00000000-0005-0000-0000-0000BC7F0000}"/>
    <cellStyle name="Normal 5 10 2 6 2 8" xfId="32703" xr:uid="{00000000-0005-0000-0000-0000BD7F0000}"/>
    <cellStyle name="Normal 5 10 2 6 2 9" xfId="32704" xr:uid="{00000000-0005-0000-0000-0000BE7F0000}"/>
    <cellStyle name="Normal 5 10 2 6 3" xfId="32705" xr:uid="{00000000-0005-0000-0000-0000BF7F0000}"/>
    <cellStyle name="Normal 5 10 2 6 3 10" xfId="32706" xr:uid="{00000000-0005-0000-0000-0000C07F0000}"/>
    <cellStyle name="Normal 5 10 2 6 3 2" xfId="32707" xr:uid="{00000000-0005-0000-0000-0000C17F0000}"/>
    <cellStyle name="Normal 5 10 2 6 3 3" xfId="32708" xr:uid="{00000000-0005-0000-0000-0000C27F0000}"/>
    <cellStyle name="Normal 5 10 2 6 3 4" xfId="32709" xr:uid="{00000000-0005-0000-0000-0000C37F0000}"/>
    <cellStyle name="Normal 5 10 2 6 3 5" xfId="32710" xr:uid="{00000000-0005-0000-0000-0000C47F0000}"/>
    <cellStyle name="Normal 5 10 2 6 3 6" xfId="32711" xr:uid="{00000000-0005-0000-0000-0000C57F0000}"/>
    <cellStyle name="Normal 5 10 2 6 3 7" xfId="32712" xr:uid="{00000000-0005-0000-0000-0000C67F0000}"/>
    <cellStyle name="Normal 5 10 2 6 3 8" xfId="32713" xr:uid="{00000000-0005-0000-0000-0000C77F0000}"/>
    <cellStyle name="Normal 5 10 2 6 3 9" xfId="32714" xr:uid="{00000000-0005-0000-0000-0000C87F0000}"/>
    <cellStyle name="Normal 5 10 2 6 4" xfId="32715" xr:uid="{00000000-0005-0000-0000-0000C97F0000}"/>
    <cellStyle name="Normal 5 10 2 6 4 10" xfId="32716" xr:uid="{00000000-0005-0000-0000-0000CA7F0000}"/>
    <cellStyle name="Normal 5 10 2 6 4 2" xfId="32717" xr:uid="{00000000-0005-0000-0000-0000CB7F0000}"/>
    <cellStyle name="Normal 5 10 2 6 4 3" xfId="32718" xr:uid="{00000000-0005-0000-0000-0000CC7F0000}"/>
    <cellStyle name="Normal 5 10 2 6 4 4" xfId="32719" xr:uid="{00000000-0005-0000-0000-0000CD7F0000}"/>
    <cellStyle name="Normal 5 10 2 6 4 5" xfId="32720" xr:uid="{00000000-0005-0000-0000-0000CE7F0000}"/>
    <cellStyle name="Normal 5 10 2 6 4 6" xfId="32721" xr:uid="{00000000-0005-0000-0000-0000CF7F0000}"/>
    <cellStyle name="Normal 5 10 2 6 4 7" xfId="32722" xr:uid="{00000000-0005-0000-0000-0000D07F0000}"/>
    <cellStyle name="Normal 5 10 2 6 4 8" xfId="32723" xr:uid="{00000000-0005-0000-0000-0000D17F0000}"/>
    <cellStyle name="Normal 5 10 2 6 4 9" xfId="32724" xr:uid="{00000000-0005-0000-0000-0000D27F0000}"/>
    <cellStyle name="Normal 5 10 2 6 5" xfId="32725" xr:uid="{00000000-0005-0000-0000-0000D37F0000}"/>
    <cellStyle name="Normal 5 10 2 6 5 10" xfId="32726" xr:uid="{00000000-0005-0000-0000-0000D47F0000}"/>
    <cellStyle name="Normal 5 10 2 6 5 2" xfId="32727" xr:uid="{00000000-0005-0000-0000-0000D57F0000}"/>
    <cellStyle name="Normal 5 10 2 6 5 3" xfId="32728" xr:uid="{00000000-0005-0000-0000-0000D67F0000}"/>
    <cellStyle name="Normal 5 10 2 6 5 4" xfId="32729" xr:uid="{00000000-0005-0000-0000-0000D77F0000}"/>
    <cellStyle name="Normal 5 10 2 6 5 5" xfId="32730" xr:uid="{00000000-0005-0000-0000-0000D87F0000}"/>
    <cellStyle name="Normal 5 10 2 6 5 6" xfId="32731" xr:uid="{00000000-0005-0000-0000-0000D97F0000}"/>
    <cellStyle name="Normal 5 10 2 6 5 7" xfId="32732" xr:uid="{00000000-0005-0000-0000-0000DA7F0000}"/>
    <cellStyle name="Normal 5 10 2 6 5 8" xfId="32733" xr:uid="{00000000-0005-0000-0000-0000DB7F0000}"/>
    <cellStyle name="Normal 5 10 2 6 5 9" xfId="32734" xr:uid="{00000000-0005-0000-0000-0000DC7F0000}"/>
    <cellStyle name="Normal 5 10 2 6 6" xfId="32735" xr:uid="{00000000-0005-0000-0000-0000DD7F0000}"/>
    <cellStyle name="Normal 5 10 2 6 7" xfId="32736" xr:uid="{00000000-0005-0000-0000-0000DE7F0000}"/>
    <cellStyle name="Normal 5 10 2 6 8" xfId="32737" xr:uid="{00000000-0005-0000-0000-0000DF7F0000}"/>
    <cellStyle name="Normal 5 10 2 6 9" xfId="32738" xr:uid="{00000000-0005-0000-0000-0000E07F0000}"/>
    <cellStyle name="Normal 5 10 2 7" xfId="32739" xr:uid="{00000000-0005-0000-0000-0000E17F0000}"/>
    <cellStyle name="Normal 5 10 2 7 10" xfId="32740" xr:uid="{00000000-0005-0000-0000-0000E27F0000}"/>
    <cellStyle name="Normal 5 10 2 7 11" xfId="32741" xr:uid="{00000000-0005-0000-0000-0000E37F0000}"/>
    <cellStyle name="Normal 5 10 2 7 12" xfId="32742" xr:uid="{00000000-0005-0000-0000-0000E47F0000}"/>
    <cellStyle name="Normal 5 10 2 7 13" xfId="32743" xr:uid="{00000000-0005-0000-0000-0000E57F0000}"/>
    <cellStyle name="Normal 5 10 2 7 14" xfId="32744" xr:uid="{00000000-0005-0000-0000-0000E67F0000}"/>
    <cellStyle name="Normal 5 10 2 7 2" xfId="32745" xr:uid="{00000000-0005-0000-0000-0000E77F0000}"/>
    <cellStyle name="Normal 5 10 2 7 2 10" xfId="32746" xr:uid="{00000000-0005-0000-0000-0000E87F0000}"/>
    <cellStyle name="Normal 5 10 2 7 2 2" xfId="32747" xr:uid="{00000000-0005-0000-0000-0000E97F0000}"/>
    <cellStyle name="Normal 5 10 2 7 2 3" xfId="32748" xr:uid="{00000000-0005-0000-0000-0000EA7F0000}"/>
    <cellStyle name="Normal 5 10 2 7 2 4" xfId="32749" xr:uid="{00000000-0005-0000-0000-0000EB7F0000}"/>
    <cellStyle name="Normal 5 10 2 7 2 5" xfId="32750" xr:uid="{00000000-0005-0000-0000-0000EC7F0000}"/>
    <cellStyle name="Normal 5 10 2 7 2 6" xfId="32751" xr:uid="{00000000-0005-0000-0000-0000ED7F0000}"/>
    <cellStyle name="Normal 5 10 2 7 2 7" xfId="32752" xr:uid="{00000000-0005-0000-0000-0000EE7F0000}"/>
    <cellStyle name="Normal 5 10 2 7 2 8" xfId="32753" xr:uid="{00000000-0005-0000-0000-0000EF7F0000}"/>
    <cellStyle name="Normal 5 10 2 7 2 9" xfId="32754" xr:uid="{00000000-0005-0000-0000-0000F07F0000}"/>
    <cellStyle name="Normal 5 10 2 7 3" xfId="32755" xr:uid="{00000000-0005-0000-0000-0000F17F0000}"/>
    <cellStyle name="Normal 5 10 2 7 3 10" xfId="32756" xr:uid="{00000000-0005-0000-0000-0000F27F0000}"/>
    <cellStyle name="Normal 5 10 2 7 3 2" xfId="32757" xr:uid="{00000000-0005-0000-0000-0000F37F0000}"/>
    <cellStyle name="Normal 5 10 2 7 3 3" xfId="32758" xr:uid="{00000000-0005-0000-0000-0000F47F0000}"/>
    <cellStyle name="Normal 5 10 2 7 3 4" xfId="32759" xr:uid="{00000000-0005-0000-0000-0000F57F0000}"/>
    <cellStyle name="Normal 5 10 2 7 3 5" xfId="32760" xr:uid="{00000000-0005-0000-0000-0000F67F0000}"/>
    <cellStyle name="Normal 5 10 2 7 3 6" xfId="32761" xr:uid="{00000000-0005-0000-0000-0000F77F0000}"/>
    <cellStyle name="Normal 5 10 2 7 3 7" xfId="32762" xr:uid="{00000000-0005-0000-0000-0000F87F0000}"/>
    <cellStyle name="Normal 5 10 2 7 3 8" xfId="32763" xr:uid="{00000000-0005-0000-0000-0000F97F0000}"/>
    <cellStyle name="Normal 5 10 2 7 3 9" xfId="32764" xr:uid="{00000000-0005-0000-0000-0000FA7F0000}"/>
    <cellStyle name="Normal 5 10 2 7 4" xfId="32765" xr:uid="{00000000-0005-0000-0000-0000FB7F0000}"/>
    <cellStyle name="Normal 5 10 2 7 4 10" xfId="32766" xr:uid="{00000000-0005-0000-0000-0000FC7F0000}"/>
    <cellStyle name="Normal 5 10 2 7 4 2" xfId="32767" xr:uid="{00000000-0005-0000-0000-0000FD7F0000}"/>
    <cellStyle name="Normal 5 10 2 7 4 3" xfId="32768" xr:uid="{00000000-0005-0000-0000-0000FE7F0000}"/>
    <cellStyle name="Normal 5 10 2 7 4 4" xfId="32769" xr:uid="{00000000-0005-0000-0000-0000FF7F0000}"/>
    <cellStyle name="Normal 5 10 2 7 4 5" xfId="32770" xr:uid="{00000000-0005-0000-0000-000000800000}"/>
    <cellStyle name="Normal 5 10 2 7 4 6" xfId="32771" xr:uid="{00000000-0005-0000-0000-000001800000}"/>
    <cellStyle name="Normal 5 10 2 7 4 7" xfId="32772" xr:uid="{00000000-0005-0000-0000-000002800000}"/>
    <cellStyle name="Normal 5 10 2 7 4 8" xfId="32773" xr:uid="{00000000-0005-0000-0000-000003800000}"/>
    <cellStyle name="Normal 5 10 2 7 4 9" xfId="32774" xr:uid="{00000000-0005-0000-0000-000004800000}"/>
    <cellStyle name="Normal 5 10 2 7 5" xfId="32775" xr:uid="{00000000-0005-0000-0000-000005800000}"/>
    <cellStyle name="Normal 5 10 2 7 5 10" xfId="32776" xr:uid="{00000000-0005-0000-0000-000006800000}"/>
    <cellStyle name="Normal 5 10 2 7 5 2" xfId="32777" xr:uid="{00000000-0005-0000-0000-000007800000}"/>
    <cellStyle name="Normal 5 10 2 7 5 3" xfId="32778" xr:uid="{00000000-0005-0000-0000-000008800000}"/>
    <cellStyle name="Normal 5 10 2 7 5 4" xfId="32779" xr:uid="{00000000-0005-0000-0000-000009800000}"/>
    <cellStyle name="Normal 5 10 2 7 5 5" xfId="32780" xr:uid="{00000000-0005-0000-0000-00000A800000}"/>
    <cellStyle name="Normal 5 10 2 7 5 6" xfId="32781" xr:uid="{00000000-0005-0000-0000-00000B800000}"/>
    <cellStyle name="Normal 5 10 2 7 5 7" xfId="32782" xr:uid="{00000000-0005-0000-0000-00000C800000}"/>
    <cellStyle name="Normal 5 10 2 7 5 8" xfId="32783" xr:uid="{00000000-0005-0000-0000-00000D800000}"/>
    <cellStyle name="Normal 5 10 2 7 5 9" xfId="32784" xr:uid="{00000000-0005-0000-0000-00000E800000}"/>
    <cellStyle name="Normal 5 10 2 7 6" xfId="32785" xr:uid="{00000000-0005-0000-0000-00000F800000}"/>
    <cellStyle name="Normal 5 10 2 7 7" xfId="32786" xr:uid="{00000000-0005-0000-0000-000010800000}"/>
    <cellStyle name="Normal 5 10 2 7 8" xfId="32787" xr:uid="{00000000-0005-0000-0000-000011800000}"/>
    <cellStyle name="Normal 5 10 2 7 9" xfId="32788" xr:uid="{00000000-0005-0000-0000-000012800000}"/>
    <cellStyle name="Normal 5 10 2 8" xfId="32789" xr:uid="{00000000-0005-0000-0000-000013800000}"/>
    <cellStyle name="Normal 5 10 2 8 10" xfId="32790" xr:uid="{00000000-0005-0000-0000-000014800000}"/>
    <cellStyle name="Normal 5 10 2 8 11" xfId="32791" xr:uid="{00000000-0005-0000-0000-000015800000}"/>
    <cellStyle name="Normal 5 10 2 8 12" xfId="32792" xr:uid="{00000000-0005-0000-0000-000016800000}"/>
    <cellStyle name="Normal 5 10 2 8 13" xfId="32793" xr:uid="{00000000-0005-0000-0000-000017800000}"/>
    <cellStyle name="Normal 5 10 2 8 14" xfId="32794" xr:uid="{00000000-0005-0000-0000-000018800000}"/>
    <cellStyle name="Normal 5 10 2 8 2" xfId="32795" xr:uid="{00000000-0005-0000-0000-000019800000}"/>
    <cellStyle name="Normal 5 10 2 8 2 10" xfId="32796" xr:uid="{00000000-0005-0000-0000-00001A800000}"/>
    <cellStyle name="Normal 5 10 2 8 2 2" xfId="32797" xr:uid="{00000000-0005-0000-0000-00001B800000}"/>
    <cellStyle name="Normal 5 10 2 8 2 3" xfId="32798" xr:uid="{00000000-0005-0000-0000-00001C800000}"/>
    <cellStyle name="Normal 5 10 2 8 2 4" xfId="32799" xr:uid="{00000000-0005-0000-0000-00001D800000}"/>
    <cellStyle name="Normal 5 10 2 8 2 5" xfId="32800" xr:uid="{00000000-0005-0000-0000-00001E800000}"/>
    <cellStyle name="Normal 5 10 2 8 2 6" xfId="32801" xr:uid="{00000000-0005-0000-0000-00001F800000}"/>
    <cellStyle name="Normal 5 10 2 8 2 7" xfId="32802" xr:uid="{00000000-0005-0000-0000-000020800000}"/>
    <cellStyle name="Normal 5 10 2 8 2 8" xfId="32803" xr:uid="{00000000-0005-0000-0000-000021800000}"/>
    <cellStyle name="Normal 5 10 2 8 2 9" xfId="32804" xr:uid="{00000000-0005-0000-0000-000022800000}"/>
    <cellStyle name="Normal 5 10 2 8 3" xfId="32805" xr:uid="{00000000-0005-0000-0000-000023800000}"/>
    <cellStyle name="Normal 5 10 2 8 3 10" xfId="32806" xr:uid="{00000000-0005-0000-0000-000024800000}"/>
    <cellStyle name="Normal 5 10 2 8 3 2" xfId="32807" xr:uid="{00000000-0005-0000-0000-000025800000}"/>
    <cellStyle name="Normal 5 10 2 8 3 3" xfId="32808" xr:uid="{00000000-0005-0000-0000-000026800000}"/>
    <cellStyle name="Normal 5 10 2 8 3 4" xfId="32809" xr:uid="{00000000-0005-0000-0000-000027800000}"/>
    <cellStyle name="Normal 5 10 2 8 3 5" xfId="32810" xr:uid="{00000000-0005-0000-0000-000028800000}"/>
    <cellStyle name="Normal 5 10 2 8 3 6" xfId="32811" xr:uid="{00000000-0005-0000-0000-000029800000}"/>
    <cellStyle name="Normal 5 10 2 8 3 7" xfId="32812" xr:uid="{00000000-0005-0000-0000-00002A800000}"/>
    <cellStyle name="Normal 5 10 2 8 3 8" xfId="32813" xr:uid="{00000000-0005-0000-0000-00002B800000}"/>
    <cellStyle name="Normal 5 10 2 8 3 9" xfId="32814" xr:uid="{00000000-0005-0000-0000-00002C800000}"/>
    <cellStyle name="Normal 5 10 2 8 4" xfId="32815" xr:uid="{00000000-0005-0000-0000-00002D800000}"/>
    <cellStyle name="Normal 5 10 2 8 4 10" xfId="32816" xr:uid="{00000000-0005-0000-0000-00002E800000}"/>
    <cellStyle name="Normal 5 10 2 8 4 2" xfId="32817" xr:uid="{00000000-0005-0000-0000-00002F800000}"/>
    <cellStyle name="Normal 5 10 2 8 4 3" xfId="32818" xr:uid="{00000000-0005-0000-0000-000030800000}"/>
    <cellStyle name="Normal 5 10 2 8 4 4" xfId="32819" xr:uid="{00000000-0005-0000-0000-000031800000}"/>
    <cellStyle name="Normal 5 10 2 8 4 5" xfId="32820" xr:uid="{00000000-0005-0000-0000-000032800000}"/>
    <cellStyle name="Normal 5 10 2 8 4 6" xfId="32821" xr:uid="{00000000-0005-0000-0000-000033800000}"/>
    <cellStyle name="Normal 5 10 2 8 4 7" xfId="32822" xr:uid="{00000000-0005-0000-0000-000034800000}"/>
    <cellStyle name="Normal 5 10 2 8 4 8" xfId="32823" xr:uid="{00000000-0005-0000-0000-000035800000}"/>
    <cellStyle name="Normal 5 10 2 8 4 9" xfId="32824" xr:uid="{00000000-0005-0000-0000-000036800000}"/>
    <cellStyle name="Normal 5 10 2 8 5" xfId="32825" xr:uid="{00000000-0005-0000-0000-000037800000}"/>
    <cellStyle name="Normal 5 10 2 8 5 10" xfId="32826" xr:uid="{00000000-0005-0000-0000-000038800000}"/>
    <cellStyle name="Normal 5 10 2 8 5 2" xfId="32827" xr:uid="{00000000-0005-0000-0000-000039800000}"/>
    <cellStyle name="Normal 5 10 2 8 5 3" xfId="32828" xr:uid="{00000000-0005-0000-0000-00003A800000}"/>
    <cellStyle name="Normal 5 10 2 8 5 4" xfId="32829" xr:uid="{00000000-0005-0000-0000-00003B800000}"/>
    <cellStyle name="Normal 5 10 2 8 5 5" xfId="32830" xr:uid="{00000000-0005-0000-0000-00003C800000}"/>
    <cellStyle name="Normal 5 10 2 8 5 6" xfId="32831" xr:uid="{00000000-0005-0000-0000-00003D800000}"/>
    <cellStyle name="Normal 5 10 2 8 5 7" xfId="32832" xr:uid="{00000000-0005-0000-0000-00003E800000}"/>
    <cellStyle name="Normal 5 10 2 8 5 8" xfId="32833" xr:uid="{00000000-0005-0000-0000-00003F800000}"/>
    <cellStyle name="Normal 5 10 2 8 5 9" xfId="32834" xr:uid="{00000000-0005-0000-0000-000040800000}"/>
    <cellStyle name="Normal 5 10 2 8 6" xfId="32835" xr:uid="{00000000-0005-0000-0000-000041800000}"/>
    <cellStyle name="Normal 5 10 2 8 7" xfId="32836" xr:uid="{00000000-0005-0000-0000-000042800000}"/>
    <cellStyle name="Normal 5 10 2 8 8" xfId="32837" xr:uid="{00000000-0005-0000-0000-000043800000}"/>
    <cellStyle name="Normal 5 10 2 8 9" xfId="32838" xr:uid="{00000000-0005-0000-0000-000044800000}"/>
    <cellStyle name="Normal 5 10 2 9" xfId="32839" xr:uid="{00000000-0005-0000-0000-000045800000}"/>
    <cellStyle name="Normal 5 10 2 9 10" xfId="32840" xr:uid="{00000000-0005-0000-0000-000046800000}"/>
    <cellStyle name="Normal 5 10 2 9 11" xfId="32841" xr:uid="{00000000-0005-0000-0000-000047800000}"/>
    <cellStyle name="Normal 5 10 2 9 12" xfId="32842" xr:uid="{00000000-0005-0000-0000-000048800000}"/>
    <cellStyle name="Normal 5 10 2 9 13" xfId="32843" xr:uid="{00000000-0005-0000-0000-000049800000}"/>
    <cellStyle name="Normal 5 10 2 9 14" xfId="32844" xr:uid="{00000000-0005-0000-0000-00004A800000}"/>
    <cellStyle name="Normal 5 10 2 9 2" xfId="32845" xr:uid="{00000000-0005-0000-0000-00004B800000}"/>
    <cellStyle name="Normal 5 10 2 9 2 10" xfId="32846" xr:uid="{00000000-0005-0000-0000-00004C800000}"/>
    <cellStyle name="Normal 5 10 2 9 2 2" xfId="32847" xr:uid="{00000000-0005-0000-0000-00004D800000}"/>
    <cellStyle name="Normal 5 10 2 9 2 3" xfId="32848" xr:uid="{00000000-0005-0000-0000-00004E800000}"/>
    <cellStyle name="Normal 5 10 2 9 2 4" xfId="32849" xr:uid="{00000000-0005-0000-0000-00004F800000}"/>
    <cellStyle name="Normal 5 10 2 9 2 5" xfId="32850" xr:uid="{00000000-0005-0000-0000-000050800000}"/>
    <cellStyle name="Normal 5 10 2 9 2 6" xfId="32851" xr:uid="{00000000-0005-0000-0000-000051800000}"/>
    <cellStyle name="Normal 5 10 2 9 2 7" xfId="32852" xr:uid="{00000000-0005-0000-0000-000052800000}"/>
    <cellStyle name="Normal 5 10 2 9 2 8" xfId="32853" xr:uid="{00000000-0005-0000-0000-000053800000}"/>
    <cellStyle name="Normal 5 10 2 9 2 9" xfId="32854" xr:uid="{00000000-0005-0000-0000-000054800000}"/>
    <cellStyle name="Normal 5 10 2 9 3" xfId="32855" xr:uid="{00000000-0005-0000-0000-000055800000}"/>
    <cellStyle name="Normal 5 10 2 9 3 10" xfId="32856" xr:uid="{00000000-0005-0000-0000-000056800000}"/>
    <cellStyle name="Normal 5 10 2 9 3 2" xfId="32857" xr:uid="{00000000-0005-0000-0000-000057800000}"/>
    <cellStyle name="Normal 5 10 2 9 3 3" xfId="32858" xr:uid="{00000000-0005-0000-0000-000058800000}"/>
    <cellStyle name="Normal 5 10 2 9 3 4" xfId="32859" xr:uid="{00000000-0005-0000-0000-000059800000}"/>
    <cellStyle name="Normal 5 10 2 9 3 5" xfId="32860" xr:uid="{00000000-0005-0000-0000-00005A800000}"/>
    <cellStyle name="Normal 5 10 2 9 3 6" xfId="32861" xr:uid="{00000000-0005-0000-0000-00005B800000}"/>
    <cellStyle name="Normal 5 10 2 9 3 7" xfId="32862" xr:uid="{00000000-0005-0000-0000-00005C800000}"/>
    <cellStyle name="Normal 5 10 2 9 3 8" xfId="32863" xr:uid="{00000000-0005-0000-0000-00005D800000}"/>
    <cellStyle name="Normal 5 10 2 9 3 9" xfId="32864" xr:uid="{00000000-0005-0000-0000-00005E800000}"/>
    <cellStyle name="Normal 5 10 2 9 4" xfId="32865" xr:uid="{00000000-0005-0000-0000-00005F800000}"/>
    <cellStyle name="Normal 5 10 2 9 4 10" xfId="32866" xr:uid="{00000000-0005-0000-0000-000060800000}"/>
    <cellStyle name="Normal 5 10 2 9 4 2" xfId="32867" xr:uid="{00000000-0005-0000-0000-000061800000}"/>
    <cellStyle name="Normal 5 10 2 9 4 3" xfId="32868" xr:uid="{00000000-0005-0000-0000-000062800000}"/>
    <cellStyle name="Normal 5 10 2 9 4 4" xfId="32869" xr:uid="{00000000-0005-0000-0000-000063800000}"/>
    <cellStyle name="Normal 5 10 2 9 4 5" xfId="32870" xr:uid="{00000000-0005-0000-0000-000064800000}"/>
    <cellStyle name="Normal 5 10 2 9 4 6" xfId="32871" xr:uid="{00000000-0005-0000-0000-000065800000}"/>
    <cellStyle name="Normal 5 10 2 9 4 7" xfId="32872" xr:uid="{00000000-0005-0000-0000-000066800000}"/>
    <cellStyle name="Normal 5 10 2 9 4 8" xfId="32873" xr:uid="{00000000-0005-0000-0000-000067800000}"/>
    <cellStyle name="Normal 5 10 2 9 4 9" xfId="32874" xr:uid="{00000000-0005-0000-0000-000068800000}"/>
    <cellStyle name="Normal 5 10 2 9 5" xfId="32875" xr:uid="{00000000-0005-0000-0000-000069800000}"/>
    <cellStyle name="Normal 5 10 2 9 5 10" xfId="32876" xr:uid="{00000000-0005-0000-0000-00006A800000}"/>
    <cellStyle name="Normal 5 10 2 9 5 2" xfId="32877" xr:uid="{00000000-0005-0000-0000-00006B800000}"/>
    <cellStyle name="Normal 5 10 2 9 5 3" xfId="32878" xr:uid="{00000000-0005-0000-0000-00006C800000}"/>
    <cellStyle name="Normal 5 10 2 9 5 4" xfId="32879" xr:uid="{00000000-0005-0000-0000-00006D800000}"/>
    <cellStyle name="Normal 5 10 2 9 5 5" xfId="32880" xr:uid="{00000000-0005-0000-0000-00006E800000}"/>
    <cellStyle name="Normal 5 10 2 9 5 6" xfId="32881" xr:uid="{00000000-0005-0000-0000-00006F800000}"/>
    <cellStyle name="Normal 5 10 2 9 5 7" xfId="32882" xr:uid="{00000000-0005-0000-0000-000070800000}"/>
    <cellStyle name="Normal 5 10 2 9 5 8" xfId="32883" xr:uid="{00000000-0005-0000-0000-000071800000}"/>
    <cellStyle name="Normal 5 10 2 9 5 9" xfId="32884" xr:uid="{00000000-0005-0000-0000-000072800000}"/>
    <cellStyle name="Normal 5 10 2 9 6" xfId="32885" xr:uid="{00000000-0005-0000-0000-000073800000}"/>
    <cellStyle name="Normal 5 10 2 9 7" xfId="32886" xr:uid="{00000000-0005-0000-0000-000074800000}"/>
    <cellStyle name="Normal 5 10 2 9 8" xfId="32887" xr:uid="{00000000-0005-0000-0000-000075800000}"/>
    <cellStyle name="Normal 5 10 2 9 9" xfId="32888" xr:uid="{00000000-0005-0000-0000-000076800000}"/>
    <cellStyle name="Normal 5 10 20" xfId="32889" xr:uid="{00000000-0005-0000-0000-000077800000}"/>
    <cellStyle name="Normal 5 10 20 10" xfId="32890" xr:uid="{00000000-0005-0000-0000-000078800000}"/>
    <cellStyle name="Normal 5 10 20 11" xfId="32891" xr:uid="{00000000-0005-0000-0000-000079800000}"/>
    <cellStyle name="Normal 5 10 20 12" xfId="32892" xr:uid="{00000000-0005-0000-0000-00007A800000}"/>
    <cellStyle name="Normal 5 10 20 13" xfId="32893" xr:uid="{00000000-0005-0000-0000-00007B800000}"/>
    <cellStyle name="Normal 5 10 20 14" xfId="32894" xr:uid="{00000000-0005-0000-0000-00007C800000}"/>
    <cellStyle name="Normal 5 10 20 2" xfId="32895" xr:uid="{00000000-0005-0000-0000-00007D800000}"/>
    <cellStyle name="Normal 5 10 20 2 10" xfId="32896" xr:uid="{00000000-0005-0000-0000-00007E800000}"/>
    <cellStyle name="Normal 5 10 20 2 2" xfId="32897" xr:uid="{00000000-0005-0000-0000-00007F800000}"/>
    <cellStyle name="Normal 5 10 20 2 3" xfId="32898" xr:uid="{00000000-0005-0000-0000-000080800000}"/>
    <cellStyle name="Normal 5 10 20 2 4" xfId="32899" xr:uid="{00000000-0005-0000-0000-000081800000}"/>
    <cellStyle name="Normal 5 10 20 2 5" xfId="32900" xr:uid="{00000000-0005-0000-0000-000082800000}"/>
    <cellStyle name="Normal 5 10 20 2 6" xfId="32901" xr:uid="{00000000-0005-0000-0000-000083800000}"/>
    <cellStyle name="Normal 5 10 20 2 7" xfId="32902" xr:uid="{00000000-0005-0000-0000-000084800000}"/>
    <cellStyle name="Normal 5 10 20 2 8" xfId="32903" xr:uid="{00000000-0005-0000-0000-000085800000}"/>
    <cellStyle name="Normal 5 10 20 2 9" xfId="32904" xr:uid="{00000000-0005-0000-0000-000086800000}"/>
    <cellStyle name="Normal 5 10 20 3" xfId="32905" xr:uid="{00000000-0005-0000-0000-000087800000}"/>
    <cellStyle name="Normal 5 10 20 3 10" xfId="32906" xr:uid="{00000000-0005-0000-0000-000088800000}"/>
    <cellStyle name="Normal 5 10 20 3 2" xfId="32907" xr:uid="{00000000-0005-0000-0000-000089800000}"/>
    <cellStyle name="Normal 5 10 20 3 3" xfId="32908" xr:uid="{00000000-0005-0000-0000-00008A800000}"/>
    <cellStyle name="Normal 5 10 20 3 4" xfId="32909" xr:uid="{00000000-0005-0000-0000-00008B800000}"/>
    <cellStyle name="Normal 5 10 20 3 5" xfId="32910" xr:uid="{00000000-0005-0000-0000-00008C800000}"/>
    <cellStyle name="Normal 5 10 20 3 6" xfId="32911" xr:uid="{00000000-0005-0000-0000-00008D800000}"/>
    <cellStyle name="Normal 5 10 20 3 7" xfId="32912" xr:uid="{00000000-0005-0000-0000-00008E800000}"/>
    <cellStyle name="Normal 5 10 20 3 8" xfId="32913" xr:uid="{00000000-0005-0000-0000-00008F800000}"/>
    <cellStyle name="Normal 5 10 20 3 9" xfId="32914" xr:uid="{00000000-0005-0000-0000-000090800000}"/>
    <cellStyle name="Normal 5 10 20 4" xfId="32915" xr:uid="{00000000-0005-0000-0000-000091800000}"/>
    <cellStyle name="Normal 5 10 20 4 10" xfId="32916" xr:uid="{00000000-0005-0000-0000-000092800000}"/>
    <cellStyle name="Normal 5 10 20 4 2" xfId="32917" xr:uid="{00000000-0005-0000-0000-000093800000}"/>
    <cellStyle name="Normal 5 10 20 4 3" xfId="32918" xr:uid="{00000000-0005-0000-0000-000094800000}"/>
    <cellStyle name="Normal 5 10 20 4 4" xfId="32919" xr:uid="{00000000-0005-0000-0000-000095800000}"/>
    <cellStyle name="Normal 5 10 20 4 5" xfId="32920" xr:uid="{00000000-0005-0000-0000-000096800000}"/>
    <cellStyle name="Normal 5 10 20 4 6" xfId="32921" xr:uid="{00000000-0005-0000-0000-000097800000}"/>
    <cellStyle name="Normal 5 10 20 4 7" xfId="32922" xr:uid="{00000000-0005-0000-0000-000098800000}"/>
    <cellStyle name="Normal 5 10 20 4 8" xfId="32923" xr:uid="{00000000-0005-0000-0000-000099800000}"/>
    <cellStyle name="Normal 5 10 20 4 9" xfId="32924" xr:uid="{00000000-0005-0000-0000-00009A800000}"/>
    <cellStyle name="Normal 5 10 20 5" xfId="32925" xr:uid="{00000000-0005-0000-0000-00009B800000}"/>
    <cellStyle name="Normal 5 10 20 5 10" xfId="32926" xr:uid="{00000000-0005-0000-0000-00009C800000}"/>
    <cellStyle name="Normal 5 10 20 5 2" xfId="32927" xr:uid="{00000000-0005-0000-0000-00009D800000}"/>
    <cellStyle name="Normal 5 10 20 5 3" xfId="32928" xr:uid="{00000000-0005-0000-0000-00009E800000}"/>
    <cellStyle name="Normal 5 10 20 5 4" xfId="32929" xr:uid="{00000000-0005-0000-0000-00009F800000}"/>
    <cellStyle name="Normal 5 10 20 5 5" xfId="32930" xr:uid="{00000000-0005-0000-0000-0000A0800000}"/>
    <cellStyle name="Normal 5 10 20 5 6" xfId="32931" xr:uid="{00000000-0005-0000-0000-0000A1800000}"/>
    <cellStyle name="Normal 5 10 20 5 7" xfId="32932" xr:uid="{00000000-0005-0000-0000-0000A2800000}"/>
    <cellStyle name="Normal 5 10 20 5 8" xfId="32933" xr:uid="{00000000-0005-0000-0000-0000A3800000}"/>
    <cellStyle name="Normal 5 10 20 5 9" xfId="32934" xr:uid="{00000000-0005-0000-0000-0000A4800000}"/>
    <cellStyle name="Normal 5 10 20 6" xfId="32935" xr:uid="{00000000-0005-0000-0000-0000A5800000}"/>
    <cellStyle name="Normal 5 10 20 7" xfId="32936" xr:uid="{00000000-0005-0000-0000-0000A6800000}"/>
    <cellStyle name="Normal 5 10 20 8" xfId="32937" xr:uid="{00000000-0005-0000-0000-0000A7800000}"/>
    <cellStyle name="Normal 5 10 20 9" xfId="32938" xr:uid="{00000000-0005-0000-0000-0000A8800000}"/>
    <cellStyle name="Normal 5 10 21" xfId="32939" xr:uid="{00000000-0005-0000-0000-0000A9800000}"/>
    <cellStyle name="Normal 5 10 21 10" xfId="32940" xr:uid="{00000000-0005-0000-0000-0000AA800000}"/>
    <cellStyle name="Normal 5 10 21 11" xfId="32941" xr:uid="{00000000-0005-0000-0000-0000AB800000}"/>
    <cellStyle name="Normal 5 10 21 12" xfId="32942" xr:uid="{00000000-0005-0000-0000-0000AC800000}"/>
    <cellStyle name="Normal 5 10 21 13" xfId="32943" xr:uid="{00000000-0005-0000-0000-0000AD800000}"/>
    <cellStyle name="Normal 5 10 21 14" xfId="32944" xr:uid="{00000000-0005-0000-0000-0000AE800000}"/>
    <cellStyle name="Normal 5 10 21 2" xfId="32945" xr:uid="{00000000-0005-0000-0000-0000AF800000}"/>
    <cellStyle name="Normal 5 10 21 2 10" xfId="32946" xr:uid="{00000000-0005-0000-0000-0000B0800000}"/>
    <cellStyle name="Normal 5 10 21 2 2" xfId="32947" xr:uid="{00000000-0005-0000-0000-0000B1800000}"/>
    <cellStyle name="Normal 5 10 21 2 3" xfId="32948" xr:uid="{00000000-0005-0000-0000-0000B2800000}"/>
    <cellStyle name="Normal 5 10 21 2 4" xfId="32949" xr:uid="{00000000-0005-0000-0000-0000B3800000}"/>
    <cellStyle name="Normal 5 10 21 2 5" xfId="32950" xr:uid="{00000000-0005-0000-0000-0000B4800000}"/>
    <cellStyle name="Normal 5 10 21 2 6" xfId="32951" xr:uid="{00000000-0005-0000-0000-0000B5800000}"/>
    <cellStyle name="Normal 5 10 21 2 7" xfId="32952" xr:uid="{00000000-0005-0000-0000-0000B6800000}"/>
    <cellStyle name="Normal 5 10 21 2 8" xfId="32953" xr:uid="{00000000-0005-0000-0000-0000B7800000}"/>
    <cellStyle name="Normal 5 10 21 2 9" xfId="32954" xr:uid="{00000000-0005-0000-0000-0000B8800000}"/>
    <cellStyle name="Normal 5 10 21 3" xfId="32955" xr:uid="{00000000-0005-0000-0000-0000B9800000}"/>
    <cellStyle name="Normal 5 10 21 3 10" xfId="32956" xr:uid="{00000000-0005-0000-0000-0000BA800000}"/>
    <cellStyle name="Normal 5 10 21 3 2" xfId="32957" xr:uid="{00000000-0005-0000-0000-0000BB800000}"/>
    <cellStyle name="Normal 5 10 21 3 3" xfId="32958" xr:uid="{00000000-0005-0000-0000-0000BC800000}"/>
    <cellStyle name="Normal 5 10 21 3 4" xfId="32959" xr:uid="{00000000-0005-0000-0000-0000BD800000}"/>
    <cellStyle name="Normal 5 10 21 3 5" xfId="32960" xr:uid="{00000000-0005-0000-0000-0000BE800000}"/>
    <cellStyle name="Normal 5 10 21 3 6" xfId="32961" xr:uid="{00000000-0005-0000-0000-0000BF800000}"/>
    <cellStyle name="Normal 5 10 21 3 7" xfId="32962" xr:uid="{00000000-0005-0000-0000-0000C0800000}"/>
    <cellStyle name="Normal 5 10 21 3 8" xfId="32963" xr:uid="{00000000-0005-0000-0000-0000C1800000}"/>
    <cellStyle name="Normal 5 10 21 3 9" xfId="32964" xr:uid="{00000000-0005-0000-0000-0000C2800000}"/>
    <cellStyle name="Normal 5 10 21 4" xfId="32965" xr:uid="{00000000-0005-0000-0000-0000C3800000}"/>
    <cellStyle name="Normal 5 10 21 4 10" xfId="32966" xr:uid="{00000000-0005-0000-0000-0000C4800000}"/>
    <cellStyle name="Normal 5 10 21 4 2" xfId="32967" xr:uid="{00000000-0005-0000-0000-0000C5800000}"/>
    <cellStyle name="Normal 5 10 21 4 3" xfId="32968" xr:uid="{00000000-0005-0000-0000-0000C6800000}"/>
    <cellStyle name="Normal 5 10 21 4 4" xfId="32969" xr:uid="{00000000-0005-0000-0000-0000C7800000}"/>
    <cellStyle name="Normal 5 10 21 4 5" xfId="32970" xr:uid="{00000000-0005-0000-0000-0000C8800000}"/>
    <cellStyle name="Normal 5 10 21 4 6" xfId="32971" xr:uid="{00000000-0005-0000-0000-0000C9800000}"/>
    <cellStyle name="Normal 5 10 21 4 7" xfId="32972" xr:uid="{00000000-0005-0000-0000-0000CA800000}"/>
    <cellStyle name="Normal 5 10 21 4 8" xfId="32973" xr:uid="{00000000-0005-0000-0000-0000CB800000}"/>
    <cellStyle name="Normal 5 10 21 4 9" xfId="32974" xr:uid="{00000000-0005-0000-0000-0000CC800000}"/>
    <cellStyle name="Normal 5 10 21 5" xfId="32975" xr:uid="{00000000-0005-0000-0000-0000CD800000}"/>
    <cellStyle name="Normal 5 10 21 5 10" xfId="32976" xr:uid="{00000000-0005-0000-0000-0000CE800000}"/>
    <cellStyle name="Normal 5 10 21 5 2" xfId="32977" xr:uid="{00000000-0005-0000-0000-0000CF800000}"/>
    <cellStyle name="Normal 5 10 21 5 3" xfId="32978" xr:uid="{00000000-0005-0000-0000-0000D0800000}"/>
    <cellStyle name="Normal 5 10 21 5 4" xfId="32979" xr:uid="{00000000-0005-0000-0000-0000D1800000}"/>
    <cellStyle name="Normal 5 10 21 5 5" xfId="32980" xr:uid="{00000000-0005-0000-0000-0000D2800000}"/>
    <cellStyle name="Normal 5 10 21 5 6" xfId="32981" xr:uid="{00000000-0005-0000-0000-0000D3800000}"/>
    <cellStyle name="Normal 5 10 21 5 7" xfId="32982" xr:uid="{00000000-0005-0000-0000-0000D4800000}"/>
    <cellStyle name="Normal 5 10 21 5 8" xfId="32983" xr:uid="{00000000-0005-0000-0000-0000D5800000}"/>
    <cellStyle name="Normal 5 10 21 5 9" xfId="32984" xr:uid="{00000000-0005-0000-0000-0000D6800000}"/>
    <cellStyle name="Normal 5 10 21 6" xfId="32985" xr:uid="{00000000-0005-0000-0000-0000D7800000}"/>
    <cellStyle name="Normal 5 10 21 7" xfId="32986" xr:uid="{00000000-0005-0000-0000-0000D8800000}"/>
    <cellStyle name="Normal 5 10 21 8" xfId="32987" xr:uid="{00000000-0005-0000-0000-0000D9800000}"/>
    <cellStyle name="Normal 5 10 21 9" xfId="32988" xr:uid="{00000000-0005-0000-0000-0000DA800000}"/>
    <cellStyle name="Normal 5 10 22" xfId="32989" xr:uid="{00000000-0005-0000-0000-0000DB800000}"/>
    <cellStyle name="Normal 5 10 22 10" xfId="32990" xr:uid="{00000000-0005-0000-0000-0000DC800000}"/>
    <cellStyle name="Normal 5 10 22 11" xfId="32991" xr:uid="{00000000-0005-0000-0000-0000DD800000}"/>
    <cellStyle name="Normal 5 10 22 12" xfId="32992" xr:uid="{00000000-0005-0000-0000-0000DE800000}"/>
    <cellStyle name="Normal 5 10 22 13" xfId="32993" xr:uid="{00000000-0005-0000-0000-0000DF800000}"/>
    <cellStyle name="Normal 5 10 22 14" xfId="32994" xr:uid="{00000000-0005-0000-0000-0000E0800000}"/>
    <cellStyle name="Normal 5 10 22 2" xfId="32995" xr:uid="{00000000-0005-0000-0000-0000E1800000}"/>
    <cellStyle name="Normal 5 10 22 2 10" xfId="32996" xr:uid="{00000000-0005-0000-0000-0000E2800000}"/>
    <cellStyle name="Normal 5 10 22 2 2" xfId="32997" xr:uid="{00000000-0005-0000-0000-0000E3800000}"/>
    <cellStyle name="Normal 5 10 22 2 3" xfId="32998" xr:uid="{00000000-0005-0000-0000-0000E4800000}"/>
    <cellStyle name="Normal 5 10 22 2 4" xfId="32999" xr:uid="{00000000-0005-0000-0000-0000E5800000}"/>
    <cellStyle name="Normal 5 10 22 2 5" xfId="33000" xr:uid="{00000000-0005-0000-0000-0000E6800000}"/>
    <cellStyle name="Normal 5 10 22 2 6" xfId="33001" xr:uid="{00000000-0005-0000-0000-0000E7800000}"/>
    <cellStyle name="Normal 5 10 22 2 7" xfId="33002" xr:uid="{00000000-0005-0000-0000-0000E8800000}"/>
    <cellStyle name="Normal 5 10 22 2 8" xfId="33003" xr:uid="{00000000-0005-0000-0000-0000E9800000}"/>
    <cellStyle name="Normal 5 10 22 2 9" xfId="33004" xr:uid="{00000000-0005-0000-0000-0000EA800000}"/>
    <cellStyle name="Normal 5 10 22 3" xfId="33005" xr:uid="{00000000-0005-0000-0000-0000EB800000}"/>
    <cellStyle name="Normal 5 10 22 3 10" xfId="33006" xr:uid="{00000000-0005-0000-0000-0000EC800000}"/>
    <cellStyle name="Normal 5 10 22 3 2" xfId="33007" xr:uid="{00000000-0005-0000-0000-0000ED800000}"/>
    <cellStyle name="Normal 5 10 22 3 3" xfId="33008" xr:uid="{00000000-0005-0000-0000-0000EE800000}"/>
    <cellStyle name="Normal 5 10 22 3 4" xfId="33009" xr:uid="{00000000-0005-0000-0000-0000EF800000}"/>
    <cellStyle name="Normal 5 10 22 3 5" xfId="33010" xr:uid="{00000000-0005-0000-0000-0000F0800000}"/>
    <cellStyle name="Normal 5 10 22 3 6" xfId="33011" xr:uid="{00000000-0005-0000-0000-0000F1800000}"/>
    <cellStyle name="Normal 5 10 22 3 7" xfId="33012" xr:uid="{00000000-0005-0000-0000-0000F2800000}"/>
    <cellStyle name="Normal 5 10 22 3 8" xfId="33013" xr:uid="{00000000-0005-0000-0000-0000F3800000}"/>
    <cellStyle name="Normal 5 10 22 3 9" xfId="33014" xr:uid="{00000000-0005-0000-0000-0000F4800000}"/>
    <cellStyle name="Normal 5 10 22 4" xfId="33015" xr:uid="{00000000-0005-0000-0000-0000F5800000}"/>
    <cellStyle name="Normal 5 10 22 4 10" xfId="33016" xr:uid="{00000000-0005-0000-0000-0000F6800000}"/>
    <cellStyle name="Normal 5 10 22 4 2" xfId="33017" xr:uid="{00000000-0005-0000-0000-0000F7800000}"/>
    <cellStyle name="Normal 5 10 22 4 3" xfId="33018" xr:uid="{00000000-0005-0000-0000-0000F8800000}"/>
    <cellStyle name="Normal 5 10 22 4 4" xfId="33019" xr:uid="{00000000-0005-0000-0000-0000F9800000}"/>
    <cellStyle name="Normal 5 10 22 4 5" xfId="33020" xr:uid="{00000000-0005-0000-0000-0000FA800000}"/>
    <cellStyle name="Normal 5 10 22 4 6" xfId="33021" xr:uid="{00000000-0005-0000-0000-0000FB800000}"/>
    <cellStyle name="Normal 5 10 22 4 7" xfId="33022" xr:uid="{00000000-0005-0000-0000-0000FC800000}"/>
    <cellStyle name="Normal 5 10 22 4 8" xfId="33023" xr:uid="{00000000-0005-0000-0000-0000FD800000}"/>
    <cellStyle name="Normal 5 10 22 4 9" xfId="33024" xr:uid="{00000000-0005-0000-0000-0000FE800000}"/>
    <cellStyle name="Normal 5 10 22 5" xfId="33025" xr:uid="{00000000-0005-0000-0000-0000FF800000}"/>
    <cellStyle name="Normal 5 10 22 5 10" xfId="33026" xr:uid="{00000000-0005-0000-0000-000000810000}"/>
    <cellStyle name="Normal 5 10 22 5 2" xfId="33027" xr:uid="{00000000-0005-0000-0000-000001810000}"/>
    <cellStyle name="Normal 5 10 22 5 3" xfId="33028" xr:uid="{00000000-0005-0000-0000-000002810000}"/>
    <cellStyle name="Normal 5 10 22 5 4" xfId="33029" xr:uid="{00000000-0005-0000-0000-000003810000}"/>
    <cellStyle name="Normal 5 10 22 5 5" xfId="33030" xr:uid="{00000000-0005-0000-0000-000004810000}"/>
    <cellStyle name="Normal 5 10 22 5 6" xfId="33031" xr:uid="{00000000-0005-0000-0000-000005810000}"/>
    <cellStyle name="Normal 5 10 22 5 7" xfId="33032" xr:uid="{00000000-0005-0000-0000-000006810000}"/>
    <cellStyle name="Normal 5 10 22 5 8" xfId="33033" xr:uid="{00000000-0005-0000-0000-000007810000}"/>
    <cellStyle name="Normal 5 10 22 5 9" xfId="33034" xr:uid="{00000000-0005-0000-0000-000008810000}"/>
    <cellStyle name="Normal 5 10 22 6" xfId="33035" xr:uid="{00000000-0005-0000-0000-000009810000}"/>
    <cellStyle name="Normal 5 10 22 7" xfId="33036" xr:uid="{00000000-0005-0000-0000-00000A810000}"/>
    <cellStyle name="Normal 5 10 22 8" xfId="33037" xr:uid="{00000000-0005-0000-0000-00000B810000}"/>
    <cellStyle name="Normal 5 10 22 9" xfId="33038" xr:uid="{00000000-0005-0000-0000-00000C810000}"/>
    <cellStyle name="Normal 5 10 23" xfId="33039" xr:uid="{00000000-0005-0000-0000-00000D810000}"/>
    <cellStyle name="Normal 5 10 23 10" xfId="33040" xr:uid="{00000000-0005-0000-0000-00000E810000}"/>
    <cellStyle name="Normal 5 10 23 11" xfId="33041" xr:uid="{00000000-0005-0000-0000-00000F810000}"/>
    <cellStyle name="Normal 5 10 23 12" xfId="33042" xr:uid="{00000000-0005-0000-0000-000010810000}"/>
    <cellStyle name="Normal 5 10 23 13" xfId="33043" xr:uid="{00000000-0005-0000-0000-000011810000}"/>
    <cellStyle name="Normal 5 10 23 14" xfId="33044" xr:uid="{00000000-0005-0000-0000-000012810000}"/>
    <cellStyle name="Normal 5 10 23 2" xfId="33045" xr:uid="{00000000-0005-0000-0000-000013810000}"/>
    <cellStyle name="Normal 5 10 23 2 10" xfId="33046" xr:uid="{00000000-0005-0000-0000-000014810000}"/>
    <cellStyle name="Normal 5 10 23 2 2" xfId="33047" xr:uid="{00000000-0005-0000-0000-000015810000}"/>
    <cellStyle name="Normal 5 10 23 2 3" xfId="33048" xr:uid="{00000000-0005-0000-0000-000016810000}"/>
    <cellStyle name="Normal 5 10 23 2 4" xfId="33049" xr:uid="{00000000-0005-0000-0000-000017810000}"/>
    <cellStyle name="Normal 5 10 23 2 5" xfId="33050" xr:uid="{00000000-0005-0000-0000-000018810000}"/>
    <cellStyle name="Normal 5 10 23 2 6" xfId="33051" xr:uid="{00000000-0005-0000-0000-000019810000}"/>
    <cellStyle name="Normal 5 10 23 2 7" xfId="33052" xr:uid="{00000000-0005-0000-0000-00001A810000}"/>
    <cellStyle name="Normal 5 10 23 2 8" xfId="33053" xr:uid="{00000000-0005-0000-0000-00001B810000}"/>
    <cellStyle name="Normal 5 10 23 2 9" xfId="33054" xr:uid="{00000000-0005-0000-0000-00001C810000}"/>
    <cellStyle name="Normal 5 10 23 3" xfId="33055" xr:uid="{00000000-0005-0000-0000-00001D810000}"/>
    <cellStyle name="Normal 5 10 23 3 10" xfId="33056" xr:uid="{00000000-0005-0000-0000-00001E810000}"/>
    <cellStyle name="Normal 5 10 23 3 2" xfId="33057" xr:uid="{00000000-0005-0000-0000-00001F810000}"/>
    <cellStyle name="Normal 5 10 23 3 3" xfId="33058" xr:uid="{00000000-0005-0000-0000-000020810000}"/>
    <cellStyle name="Normal 5 10 23 3 4" xfId="33059" xr:uid="{00000000-0005-0000-0000-000021810000}"/>
    <cellStyle name="Normal 5 10 23 3 5" xfId="33060" xr:uid="{00000000-0005-0000-0000-000022810000}"/>
    <cellStyle name="Normal 5 10 23 3 6" xfId="33061" xr:uid="{00000000-0005-0000-0000-000023810000}"/>
    <cellStyle name="Normal 5 10 23 3 7" xfId="33062" xr:uid="{00000000-0005-0000-0000-000024810000}"/>
    <cellStyle name="Normal 5 10 23 3 8" xfId="33063" xr:uid="{00000000-0005-0000-0000-000025810000}"/>
    <cellStyle name="Normal 5 10 23 3 9" xfId="33064" xr:uid="{00000000-0005-0000-0000-000026810000}"/>
    <cellStyle name="Normal 5 10 23 4" xfId="33065" xr:uid="{00000000-0005-0000-0000-000027810000}"/>
    <cellStyle name="Normal 5 10 23 4 10" xfId="33066" xr:uid="{00000000-0005-0000-0000-000028810000}"/>
    <cellStyle name="Normal 5 10 23 4 2" xfId="33067" xr:uid="{00000000-0005-0000-0000-000029810000}"/>
    <cellStyle name="Normal 5 10 23 4 3" xfId="33068" xr:uid="{00000000-0005-0000-0000-00002A810000}"/>
    <cellStyle name="Normal 5 10 23 4 4" xfId="33069" xr:uid="{00000000-0005-0000-0000-00002B810000}"/>
    <cellStyle name="Normal 5 10 23 4 5" xfId="33070" xr:uid="{00000000-0005-0000-0000-00002C810000}"/>
    <cellStyle name="Normal 5 10 23 4 6" xfId="33071" xr:uid="{00000000-0005-0000-0000-00002D810000}"/>
    <cellStyle name="Normal 5 10 23 4 7" xfId="33072" xr:uid="{00000000-0005-0000-0000-00002E810000}"/>
    <cellStyle name="Normal 5 10 23 4 8" xfId="33073" xr:uid="{00000000-0005-0000-0000-00002F810000}"/>
    <cellStyle name="Normal 5 10 23 4 9" xfId="33074" xr:uid="{00000000-0005-0000-0000-000030810000}"/>
    <cellStyle name="Normal 5 10 23 5" xfId="33075" xr:uid="{00000000-0005-0000-0000-000031810000}"/>
    <cellStyle name="Normal 5 10 23 5 10" xfId="33076" xr:uid="{00000000-0005-0000-0000-000032810000}"/>
    <cellStyle name="Normal 5 10 23 5 2" xfId="33077" xr:uid="{00000000-0005-0000-0000-000033810000}"/>
    <cellStyle name="Normal 5 10 23 5 3" xfId="33078" xr:uid="{00000000-0005-0000-0000-000034810000}"/>
    <cellStyle name="Normal 5 10 23 5 4" xfId="33079" xr:uid="{00000000-0005-0000-0000-000035810000}"/>
    <cellStyle name="Normal 5 10 23 5 5" xfId="33080" xr:uid="{00000000-0005-0000-0000-000036810000}"/>
    <cellStyle name="Normal 5 10 23 5 6" xfId="33081" xr:uid="{00000000-0005-0000-0000-000037810000}"/>
    <cellStyle name="Normal 5 10 23 5 7" xfId="33082" xr:uid="{00000000-0005-0000-0000-000038810000}"/>
    <cellStyle name="Normal 5 10 23 5 8" xfId="33083" xr:uid="{00000000-0005-0000-0000-000039810000}"/>
    <cellStyle name="Normal 5 10 23 5 9" xfId="33084" xr:uid="{00000000-0005-0000-0000-00003A810000}"/>
    <cellStyle name="Normal 5 10 23 6" xfId="33085" xr:uid="{00000000-0005-0000-0000-00003B810000}"/>
    <cellStyle name="Normal 5 10 23 7" xfId="33086" xr:uid="{00000000-0005-0000-0000-00003C810000}"/>
    <cellStyle name="Normal 5 10 23 8" xfId="33087" xr:uid="{00000000-0005-0000-0000-00003D810000}"/>
    <cellStyle name="Normal 5 10 23 9" xfId="33088" xr:uid="{00000000-0005-0000-0000-00003E810000}"/>
    <cellStyle name="Normal 5 10 24" xfId="33089" xr:uid="{00000000-0005-0000-0000-00003F810000}"/>
    <cellStyle name="Normal 5 10 24 10" xfId="33090" xr:uid="{00000000-0005-0000-0000-000040810000}"/>
    <cellStyle name="Normal 5 10 24 11" xfId="33091" xr:uid="{00000000-0005-0000-0000-000041810000}"/>
    <cellStyle name="Normal 5 10 24 12" xfId="33092" xr:uid="{00000000-0005-0000-0000-000042810000}"/>
    <cellStyle name="Normal 5 10 24 13" xfId="33093" xr:uid="{00000000-0005-0000-0000-000043810000}"/>
    <cellStyle name="Normal 5 10 24 14" xfId="33094" xr:uid="{00000000-0005-0000-0000-000044810000}"/>
    <cellStyle name="Normal 5 10 24 2" xfId="33095" xr:uid="{00000000-0005-0000-0000-000045810000}"/>
    <cellStyle name="Normal 5 10 24 2 10" xfId="33096" xr:uid="{00000000-0005-0000-0000-000046810000}"/>
    <cellStyle name="Normal 5 10 24 2 2" xfId="33097" xr:uid="{00000000-0005-0000-0000-000047810000}"/>
    <cellStyle name="Normal 5 10 24 2 3" xfId="33098" xr:uid="{00000000-0005-0000-0000-000048810000}"/>
    <cellStyle name="Normal 5 10 24 2 4" xfId="33099" xr:uid="{00000000-0005-0000-0000-000049810000}"/>
    <cellStyle name="Normal 5 10 24 2 5" xfId="33100" xr:uid="{00000000-0005-0000-0000-00004A810000}"/>
    <cellStyle name="Normal 5 10 24 2 6" xfId="33101" xr:uid="{00000000-0005-0000-0000-00004B810000}"/>
    <cellStyle name="Normal 5 10 24 2 7" xfId="33102" xr:uid="{00000000-0005-0000-0000-00004C810000}"/>
    <cellStyle name="Normal 5 10 24 2 8" xfId="33103" xr:uid="{00000000-0005-0000-0000-00004D810000}"/>
    <cellStyle name="Normal 5 10 24 2 9" xfId="33104" xr:uid="{00000000-0005-0000-0000-00004E810000}"/>
    <cellStyle name="Normal 5 10 24 3" xfId="33105" xr:uid="{00000000-0005-0000-0000-00004F810000}"/>
    <cellStyle name="Normal 5 10 24 3 10" xfId="33106" xr:uid="{00000000-0005-0000-0000-000050810000}"/>
    <cellStyle name="Normal 5 10 24 3 2" xfId="33107" xr:uid="{00000000-0005-0000-0000-000051810000}"/>
    <cellStyle name="Normal 5 10 24 3 3" xfId="33108" xr:uid="{00000000-0005-0000-0000-000052810000}"/>
    <cellStyle name="Normal 5 10 24 3 4" xfId="33109" xr:uid="{00000000-0005-0000-0000-000053810000}"/>
    <cellStyle name="Normal 5 10 24 3 5" xfId="33110" xr:uid="{00000000-0005-0000-0000-000054810000}"/>
    <cellStyle name="Normal 5 10 24 3 6" xfId="33111" xr:uid="{00000000-0005-0000-0000-000055810000}"/>
    <cellStyle name="Normal 5 10 24 3 7" xfId="33112" xr:uid="{00000000-0005-0000-0000-000056810000}"/>
    <cellStyle name="Normal 5 10 24 3 8" xfId="33113" xr:uid="{00000000-0005-0000-0000-000057810000}"/>
    <cellStyle name="Normal 5 10 24 3 9" xfId="33114" xr:uid="{00000000-0005-0000-0000-000058810000}"/>
    <cellStyle name="Normal 5 10 24 4" xfId="33115" xr:uid="{00000000-0005-0000-0000-000059810000}"/>
    <cellStyle name="Normal 5 10 24 4 10" xfId="33116" xr:uid="{00000000-0005-0000-0000-00005A810000}"/>
    <cellStyle name="Normal 5 10 24 4 2" xfId="33117" xr:uid="{00000000-0005-0000-0000-00005B810000}"/>
    <cellStyle name="Normal 5 10 24 4 3" xfId="33118" xr:uid="{00000000-0005-0000-0000-00005C810000}"/>
    <cellStyle name="Normal 5 10 24 4 4" xfId="33119" xr:uid="{00000000-0005-0000-0000-00005D810000}"/>
    <cellStyle name="Normal 5 10 24 4 5" xfId="33120" xr:uid="{00000000-0005-0000-0000-00005E810000}"/>
    <cellStyle name="Normal 5 10 24 4 6" xfId="33121" xr:uid="{00000000-0005-0000-0000-00005F810000}"/>
    <cellStyle name="Normal 5 10 24 4 7" xfId="33122" xr:uid="{00000000-0005-0000-0000-000060810000}"/>
    <cellStyle name="Normal 5 10 24 4 8" xfId="33123" xr:uid="{00000000-0005-0000-0000-000061810000}"/>
    <cellStyle name="Normal 5 10 24 4 9" xfId="33124" xr:uid="{00000000-0005-0000-0000-000062810000}"/>
    <cellStyle name="Normal 5 10 24 5" xfId="33125" xr:uid="{00000000-0005-0000-0000-000063810000}"/>
    <cellStyle name="Normal 5 10 24 5 10" xfId="33126" xr:uid="{00000000-0005-0000-0000-000064810000}"/>
    <cellStyle name="Normal 5 10 24 5 2" xfId="33127" xr:uid="{00000000-0005-0000-0000-000065810000}"/>
    <cellStyle name="Normal 5 10 24 5 3" xfId="33128" xr:uid="{00000000-0005-0000-0000-000066810000}"/>
    <cellStyle name="Normal 5 10 24 5 4" xfId="33129" xr:uid="{00000000-0005-0000-0000-000067810000}"/>
    <cellStyle name="Normal 5 10 24 5 5" xfId="33130" xr:uid="{00000000-0005-0000-0000-000068810000}"/>
    <cellStyle name="Normal 5 10 24 5 6" xfId="33131" xr:uid="{00000000-0005-0000-0000-000069810000}"/>
    <cellStyle name="Normal 5 10 24 5 7" xfId="33132" xr:uid="{00000000-0005-0000-0000-00006A810000}"/>
    <cellStyle name="Normal 5 10 24 5 8" xfId="33133" xr:uid="{00000000-0005-0000-0000-00006B810000}"/>
    <cellStyle name="Normal 5 10 24 5 9" xfId="33134" xr:uid="{00000000-0005-0000-0000-00006C810000}"/>
    <cellStyle name="Normal 5 10 24 6" xfId="33135" xr:uid="{00000000-0005-0000-0000-00006D810000}"/>
    <cellStyle name="Normal 5 10 24 7" xfId="33136" xr:uid="{00000000-0005-0000-0000-00006E810000}"/>
    <cellStyle name="Normal 5 10 24 8" xfId="33137" xr:uid="{00000000-0005-0000-0000-00006F810000}"/>
    <cellStyle name="Normal 5 10 24 9" xfId="33138" xr:uid="{00000000-0005-0000-0000-000070810000}"/>
    <cellStyle name="Normal 5 10 25" xfId="33139" xr:uid="{00000000-0005-0000-0000-000071810000}"/>
    <cellStyle name="Normal 5 10 25 10" xfId="33140" xr:uid="{00000000-0005-0000-0000-000072810000}"/>
    <cellStyle name="Normal 5 10 25 11" xfId="33141" xr:uid="{00000000-0005-0000-0000-000073810000}"/>
    <cellStyle name="Normal 5 10 25 12" xfId="33142" xr:uid="{00000000-0005-0000-0000-000074810000}"/>
    <cellStyle name="Normal 5 10 25 13" xfId="33143" xr:uid="{00000000-0005-0000-0000-000075810000}"/>
    <cellStyle name="Normal 5 10 25 14" xfId="33144" xr:uid="{00000000-0005-0000-0000-000076810000}"/>
    <cellStyle name="Normal 5 10 25 2" xfId="33145" xr:uid="{00000000-0005-0000-0000-000077810000}"/>
    <cellStyle name="Normal 5 10 25 2 10" xfId="33146" xr:uid="{00000000-0005-0000-0000-000078810000}"/>
    <cellStyle name="Normal 5 10 25 2 2" xfId="33147" xr:uid="{00000000-0005-0000-0000-000079810000}"/>
    <cellStyle name="Normal 5 10 25 2 3" xfId="33148" xr:uid="{00000000-0005-0000-0000-00007A810000}"/>
    <cellStyle name="Normal 5 10 25 2 4" xfId="33149" xr:uid="{00000000-0005-0000-0000-00007B810000}"/>
    <cellStyle name="Normal 5 10 25 2 5" xfId="33150" xr:uid="{00000000-0005-0000-0000-00007C810000}"/>
    <cellStyle name="Normal 5 10 25 2 6" xfId="33151" xr:uid="{00000000-0005-0000-0000-00007D810000}"/>
    <cellStyle name="Normal 5 10 25 2 7" xfId="33152" xr:uid="{00000000-0005-0000-0000-00007E810000}"/>
    <cellStyle name="Normal 5 10 25 2 8" xfId="33153" xr:uid="{00000000-0005-0000-0000-00007F810000}"/>
    <cellStyle name="Normal 5 10 25 2 9" xfId="33154" xr:uid="{00000000-0005-0000-0000-000080810000}"/>
    <cellStyle name="Normal 5 10 25 3" xfId="33155" xr:uid="{00000000-0005-0000-0000-000081810000}"/>
    <cellStyle name="Normal 5 10 25 3 10" xfId="33156" xr:uid="{00000000-0005-0000-0000-000082810000}"/>
    <cellStyle name="Normal 5 10 25 3 2" xfId="33157" xr:uid="{00000000-0005-0000-0000-000083810000}"/>
    <cellStyle name="Normal 5 10 25 3 3" xfId="33158" xr:uid="{00000000-0005-0000-0000-000084810000}"/>
    <cellStyle name="Normal 5 10 25 3 4" xfId="33159" xr:uid="{00000000-0005-0000-0000-000085810000}"/>
    <cellStyle name="Normal 5 10 25 3 5" xfId="33160" xr:uid="{00000000-0005-0000-0000-000086810000}"/>
    <cellStyle name="Normal 5 10 25 3 6" xfId="33161" xr:uid="{00000000-0005-0000-0000-000087810000}"/>
    <cellStyle name="Normal 5 10 25 3 7" xfId="33162" xr:uid="{00000000-0005-0000-0000-000088810000}"/>
    <cellStyle name="Normal 5 10 25 3 8" xfId="33163" xr:uid="{00000000-0005-0000-0000-000089810000}"/>
    <cellStyle name="Normal 5 10 25 3 9" xfId="33164" xr:uid="{00000000-0005-0000-0000-00008A810000}"/>
    <cellStyle name="Normal 5 10 25 4" xfId="33165" xr:uid="{00000000-0005-0000-0000-00008B810000}"/>
    <cellStyle name="Normal 5 10 25 4 10" xfId="33166" xr:uid="{00000000-0005-0000-0000-00008C810000}"/>
    <cellStyle name="Normal 5 10 25 4 2" xfId="33167" xr:uid="{00000000-0005-0000-0000-00008D810000}"/>
    <cellStyle name="Normal 5 10 25 4 3" xfId="33168" xr:uid="{00000000-0005-0000-0000-00008E810000}"/>
    <cellStyle name="Normal 5 10 25 4 4" xfId="33169" xr:uid="{00000000-0005-0000-0000-00008F810000}"/>
    <cellStyle name="Normal 5 10 25 4 5" xfId="33170" xr:uid="{00000000-0005-0000-0000-000090810000}"/>
    <cellStyle name="Normal 5 10 25 4 6" xfId="33171" xr:uid="{00000000-0005-0000-0000-000091810000}"/>
    <cellStyle name="Normal 5 10 25 4 7" xfId="33172" xr:uid="{00000000-0005-0000-0000-000092810000}"/>
    <cellStyle name="Normal 5 10 25 4 8" xfId="33173" xr:uid="{00000000-0005-0000-0000-000093810000}"/>
    <cellStyle name="Normal 5 10 25 4 9" xfId="33174" xr:uid="{00000000-0005-0000-0000-000094810000}"/>
    <cellStyle name="Normal 5 10 25 5" xfId="33175" xr:uid="{00000000-0005-0000-0000-000095810000}"/>
    <cellStyle name="Normal 5 10 25 5 10" xfId="33176" xr:uid="{00000000-0005-0000-0000-000096810000}"/>
    <cellStyle name="Normal 5 10 25 5 2" xfId="33177" xr:uid="{00000000-0005-0000-0000-000097810000}"/>
    <cellStyle name="Normal 5 10 25 5 3" xfId="33178" xr:uid="{00000000-0005-0000-0000-000098810000}"/>
    <cellStyle name="Normal 5 10 25 5 4" xfId="33179" xr:uid="{00000000-0005-0000-0000-000099810000}"/>
    <cellStyle name="Normal 5 10 25 5 5" xfId="33180" xr:uid="{00000000-0005-0000-0000-00009A810000}"/>
    <cellStyle name="Normal 5 10 25 5 6" xfId="33181" xr:uid="{00000000-0005-0000-0000-00009B810000}"/>
    <cellStyle name="Normal 5 10 25 5 7" xfId="33182" xr:uid="{00000000-0005-0000-0000-00009C810000}"/>
    <cellStyle name="Normal 5 10 25 5 8" xfId="33183" xr:uid="{00000000-0005-0000-0000-00009D810000}"/>
    <cellStyle name="Normal 5 10 25 5 9" xfId="33184" xr:uid="{00000000-0005-0000-0000-00009E810000}"/>
    <cellStyle name="Normal 5 10 25 6" xfId="33185" xr:uid="{00000000-0005-0000-0000-00009F810000}"/>
    <cellStyle name="Normal 5 10 25 7" xfId="33186" xr:uid="{00000000-0005-0000-0000-0000A0810000}"/>
    <cellStyle name="Normal 5 10 25 8" xfId="33187" xr:uid="{00000000-0005-0000-0000-0000A1810000}"/>
    <cellStyle name="Normal 5 10 25 9" xfId="33188" xr:uid="{00000000-0005-0000-0000-0000A2810000}"/>
    <cellStyle name="Normal 5 10 26" xfId="33189" xr:uid="{00000000-0005-0000-0000-0000A3810000}"/>
    <cellStyle name="Normal 5 10 26 10" xfId="33190" xr:uid="{00000000-0005-0000-0000-0000A4810000}"/>
    <cellStyle name="Normal 5 10 26 11" xfId="33191" xr:uid="{00000000-0005-0000-0000-0000A5810000}"/>
    <cellStyle name="Normal 5 10 26 12" xfId="33192" xr:uid="{00000000-0005-0000-0000-0000A6810000}"/>
    <cellStyle name="Normal 5 10 26 13" xfId="33193" xr:uid="{00000000-0005-0000-0000-0000A7810000}"/>
    <cellStyle name="Normal 5 10 26 14" xfId="33194" xr:uid="{00000000-0005-0000-0000-0000A8810000}"/>
    <cellStyle name="Normal 5 10 26 2" xfId="33195" xr:uid="{00000000-0005-0000-0000-0000A9810000}"/>
    <cellStyle name="Normal 5 10 26 2 10" xfId="33196" xr:uid="{00000000-0005-0000-0000-0000AA810000}"/>
    <cellStyle name="Normal 5 10 26 2 2" xfId="33197" xr:uid="{00000000-0005-0000-0000-0000AB810000}"/>
    <cellStyle name="Normal 5 10 26 2 3" xfId="33198" xr:uid="{00000000-0005-0000-0000-0000AC810000}"/>
    <cellStyle name="Normal 5 10 26 2 4" xfId="33199" xr:uid="{00000000-0005-0000-0000-0000AD810000}"/>
    <cellStyle name="Normal 5 10 26 2 5" xfId="33200" xr:uid="{00000000-0005-0000-0000-0000AE810000}"/>
    <cellStyle name="Normal 5 10 26 2 6" xfId="33201" xr:uid="{00000000-0005-0000-0000-0000AF810000}"/>
    <cellStyle name="Normal 5 10 26 2 7" xfId="33202" xr:uid="{00000000-0005-0000-0000-0000B0810000}"/>
    <cellStyle name="Normal 5 10 26 2 8" xfId="33203" xr:uid="{00000000-0005-0000-0000-0000B1810000}"/>
    <cellStyle name="Normal 5 10 26 2 9" xfId="33204" xr:uid="{00000000-0005-0000-0000-0000B2810000}"/>
    <cellStyle name="Normal 5 10 26 3" xfId="33205" xr:uid="{00000000-0005-0000-0000-0000B3810000}"/>
    <cellStyle name="Normal 5 10 26 3 10" xfId="33206" xr:uid="{00000000-0005-0000-0000-0000B4810000}"/>
    <cellStyle name="Normal 5 10 26 3 2" xfId="33207" xr:uid="{00000000-0005-0000-0000-0000B5810000}"/>
    <cellStyle name="Normal 5 10 26 3 3" xfId="33208" xr:uid="{00000000-0005-0000-0000-0000B6810000}"/>
    <cellStyle name="Normal 5 10 26 3 4" xfId="33209" xr:uid="{00000000-0005-0000-0000-0000B7810000}"/>
    <cellStyle name="Normal 5 10 26 3 5" xfId="33210" xr:uid="{00000000-0005-0000-0000-0000B8810000}"/>
    <cellStyle name="Normal 5 10 26 3 6" xfId="33211" xr:uid="{00000000-0005-0000-0000-0000B9810000}"/>
    <cellStyle name="Normal 5 10 26 3 7" xfId="33212" xr:uid="{00000000-0005-0000-0000-0000BA810000}"/>
    <cellStyle name="Normal 5 10 26 3 8" xfId="33213" xr:uid="{00000000-0005-0000-0000-0000BB810000}"/>
    <cellStyle name="Normal 5 10 26 3 9" xfId="33214" xr:uid="{00000000-0005-0000-0000-0000BC810000}"/>
    <cellStyle name="Normal 5 10 26 4" xfId="33215" xr:uid="{00000000-0005-0000-0000-0000BD810000}"/>
    <cellStyle name="Normal 5 10 26 4 10" xfId="33216" xr:uid="{00000000-0005-0000-0000-0000BE810000}"/>
    <cellStyle name="Normal 5 10 26 4 2" xfId="33217" xr:uid="{00000000-0005-0000-0000-0000BF810000}"/>
    <cellStyle name="Normal 5 10 26 4 3" xfId="33218" xr:uid="{00000000-0005-0000-0000-0000C0810000}"/>
    <cellStyle name="Normal 5 10 26 4 4" xfId="33219" xr:uid="{00000000-0005-0000-0000-0000C1810000}"/>
    <cellStyle name="Normal 5 10 26 4 5" xfId="33220" xr:uid="{00000000-0005-0000-0000-0000C2810000}"/>
    <cellStyle name="Normal 5 10 26 4 6" xfId="33221" xr:uid="{00000000-0005-0000-0000-0000C3810000}"/>
    <cellStyle name="Normal 5 10 26 4 7" xfId="33222" xr:uid="{00000000-0005-0000-0000-0000C4810000}"/>
    <cellStyle name="Normal 5 10 26 4 8" xfId="33223" xr:uid="{00000000-0005-0000-0000-0000C5810000}"/>
    <cellStyle name="Normal 5 10 26 4 9" xfId="33224" xr:uid="{00000000-0005-0000-0000-0000C6810000}"/>
    <cellStyle name="Normal 5 10 26 5" xfId="33225" xr:uid="{00000000-0005-0000-0000-0000C7810000}"/>
    <cellStyle name="Normal 5 10 26 5 10" xfId="33226" xr:uid="{00000000-0005-0000-0000-0000C8810000}"/>
    <cellStyle name="Normal 5 10 26 5 2" xfId="33227" xr:uid="{00000000-0005-0000-0000-0000C9810000}"/>
    <cellStyle name="Normal 5 10 26 5 3" xfId="33228" xr:uid="{00000000-0005-0000-0000-0000CA810000}"/>
    <cellStyle name="Normal 5 10 26 5 4" xfId="33229" xr:uid="{00000000-0005-0000-0000-0000CB810000}"/>
    <cellStyle name="Normal 5 10 26 5 5" xfId="33230" xr:uid="{00000000-0005-0000-0000-0000CC810000}"/>
    <cellStyle name="Normal 5 10 26 5 6" xfId="33231" xr:uid="{00000000-0005-0000-0000-0000CD810000}"/>
    <cellStyle name="Normal 5 10 26 5 7" xfId="33232" xr:uid="{00000000-0005-0000-0000-0000CE810000}"/>
    <cellStyle name="Normal 5 10 26 5 8" xfId="33233" xr:uid="{00000000-0005-0000-0000-0000CF810000}"/>
    <cellStyle name="Normal 5 10 26 5 9" xfId="33234" xr:uid="{00000000-0005-0000-0000-0000D0810000}"/>
    <cellStyle name="Normal 5 10 26 6" xfId="33235" xr:uid="{00000000-0005-0000-0000-0000D1810000}"/>
    <cellStyle name="Normal 5 10 26 7" xfId="33236" xr:uid="{00000000-0005-0000-0000-0000D2810000}"/>
    <cellStyle name="Normal 5 10 26 8" xfId="33237" xr:uid="{00000000-0005-0000-0000-0000D3810000}"/>
    <cellStyle name="Normal 5 10 26 9" xfId="33238" xr:uid="{00000000-0005-0000-0000-0000D4810000}"/>
    <cellStyle name="Normal 5 10 27" xfId="33239" xr:uid="{00000000-0005-0000-0000-0000D5810000}"/>
    <cellStyle name="Normal 5 10 27 10" xfId="33240" xr:uid="{00000000-0005-0000-0000-0000D6810000}"/>
    <cellStyle name="Normal 5 10 27 11" xfId="33241" xr:uid="{00000000-0005-0000-0000-0000D7810000}"/>
    <cellStyle name="Normal 5 10 27 12" xfId="33242" xr:uid="{00000000-0005-0000-0000-0000D8810000}"/>
    <cellStyle name="Normal 5 10 27 13" xfId="33243" xr:uid="{00000000-0005-0000-0000-0000D9810000}"/>
    <cellStyle name="Normal 5 10 27 14" xfId="33244" xr:uid="{00000000-0005-0000-0000-0000DA810000}"/>
    <cellStyle name="Normal 5 10 27 2" xfId="33245" xr:uid="{00000000-0005-0000-0000-0000DB810000}"/>
    <cellStyle name="Normal 5 10 27 2 10" xfId="33246" xr:uid="{00000000-0005-0000-0000-0000DC810000}"/>
    <cellStyle name="Normal 5 10 27 2 2" xfId="33247" xr:uid="{00000000-0005-0000-0000-0000DD810000}"/>
    <cellStyle name="Normal 5 10 27 2 3" xfId="33248" xr:uid="{00000000-0005-0000-0000-0000DE810000}"/>
    <cellStyle name="Normal 5 10 27 2 4" xfId="33249" xr:uid="{00000000-0005-0000-0000-0000DF810000}"/>
    <cellStyle name="Normal 5 10 27 2 5" xfId="33250" xr:uid="{00000000-0005-0000-0000-0000E0810000}"/>
    <cellStyle name="Normal 5 10 27 2 6" xfId="33251" xr:uid="{00000000-0005-0000-0000-0000E1810000}"/>
    <cellStyle name="Normal 5 10 27 2 7" xfId="33252" xr:uid="{00000000-0005-0000-0000-0000E2810000}"/>
    <cellStyle name="Normal 5 10 27 2 8" xfId="33253" xr:uid="{00000000-0005-0000-0000-0000E3810000}"/>
    <cellStyle name="Normal 5 10 27 2 9" xfId="33254" xr:uid="{00000000-0005-0000-0000-0000E4810000}"/>
    <cellStyle name="Normal 5 10 27 3" xfId="33255" xr:uid="{00000000-0005-0000-0000-0000E5810000}"/>
    <cellStyle name="Normal 5 10 27 3 10" xfId="33256" xr:uid="{00000000-0005-0000-0000-0000E6810000}"/>
    <cellStyle name="Normal 5 10 27 3 2" xfId="33257" xr:uid="{00000000-0005-0000-0000-0000E7810000}"/>
    <cellStyle name="Normal 5 10 27 3 3" xfId="33258" xr:uid="{00000000-0005-0000-0000-0000E8810000}"/>
    <cellStyle name="Normal 5 10 27 3 4" xfId="33259" xr:uid="{00000000-0005-0000-0000-0000E9810000}"/>
    <cellStyle name="Normal 5 10 27 3 5" xfId="33260" xr:uid="{00000000-0005-0000-0000-0000EA810000}"/>
    <cellStyle name="Normal 5 10 27 3 6" xfId="33261" xr:uid="{00000000-0005-0000-0000-0000EB810000}"/>
    <cellStyle name="Normal 5 10 27 3 7" xfId="33262" xr:uid="{00000000-0005-0000-0000-0000EC810000}"/>
    <cellStyle name="Normal 5 10 27 3 8" xfId="33263" xr:uid="{00000000-0005-0000-0000-0000ED810000}"/>
    <cellStyle name="Normal 5 10 27 3 9" xfId="33264" xr:uid="{00000000-0005-0000-0000-0000EE810000}"/>
    <cellStyle name="Normal 5 10 27 4" xfId="33265" xr:uid="{00000000-0005-0000-0000-0000EF810000}"/>
    <cellStyle name="Normal 5 10 27 4 10" xfId="33266" xr:uid="{00000000-0005-0000-0000-0000F0810000}"/>
    <cellStyle name="Normal 5 10 27 4 2" xfId="33267" xr:uid="{00000000-0005-0000-0000-0000F1810000}"/>
    <cellStyle name="Normal 5 10 27 4 3" xfId="33268" xr:uid="{00000000-0005-0000-0000-0000F2810000}"/>
    <cellStyle name="Normal 5 10 27 4 4" xfId="33269" xr:uid="{00000000-0005-0000-0000-0000F3810000}"/>
    <cellStyle name="Normal 5 10 27 4 5" xfId="33270" xr:uid="{00000000-0005-0000-0000-0000F4810000}"/>
    <cellStyle name="Normal 5 10 27 4 6" xfId="33271" xr:uid="{00000000-0005-0000-0000-0000F5810000}"/>
    <cellStyle name="Normal 5 10 27 4 7" xfId="33272" xr:uid="{00000000-0005-0000-0000-0000F6810000}"/>
    <cellStyle name="Normal 5 10 27 4 8" xfId="33273" xr:uid="{00000000-0005-0000-0000-0000F7810000}"/>
    <cellStyle name="Normal 5 10 27 4 9" xfId="33274" xr:uid="{00000000-0005-0000-0000-0000F8810000}"/>
    <cellStyle name="Normal 5 10 27 5" xfId="33275" xr:uid="{00000000-0005-0000-0000-0000F9810000}"/>
    <cellStyle name="Normal 5 10 27 5 10" xfId="33276" xr:uid="{00000000-0005-0000-0000-0000FA810000}"/>
    <cellStyle name="Normal 5 10 27 5 2" xfId="33277" xr:uid="{00000000-0005-0000-0000-0000FB810000}"/>
    <cellStyle name="Normal 5 10 27 5 3" xfId="33278" xr:uid="{00000000-0005-0000-0000-0000FC810000}"/>
    <cellStyle name="Normal 5 10 27 5 4" xfId="33279" xr:uid="{00000000-0005-0000-0000-0000FD810000}"/>
    <cellStyle name="Normal 5 10 27 5 5" xfId="33280" xr:uid="{00000000-0005-0000-0000-0000FE810000}"/>
    <cellStyle name="Normal 5 10 27 5 6" xfId="33281" xr:uid="{00000000-0005-0000-0000-0000FF810000}"/>
    <cellStyle name="Normal 5 10 27 5 7" xfId="33282" xr:uid="{00000000-0005-0000-0000-000000820000}"/>
    <cellStyle name="Normal 5 10 27 5 8" xfId="33283" xr:uid="{00000000-0005-0000-0000-000001820000}"/>
    <cellStyle name="Normal 5 10 27 5 9" xfId="33284" xr:uid="{00000000-0005-0000-0000-000002820000}"/>
    <cellStyle name="Normal 5 10 27 6" xfId="33285" xr:uid="{00000000-0005-0000-0000-000003820000}"/>
    <cellStyle name="Normal 5 10 27 7" xfId="33286" xr:uid="{00000000-0005-0000-0000-000004820000}"/>
    <cellStyle name="Normal 5 10 27 8" xfId="33287" xr:uid="{00000000-0005-0000-0000-000005820000}"/>
    <cellStyle name="Normal 5 10 27 9" xfId="33288" xr:uid="{00000000-0005-0000-0000-000006820000}"/>
    <cellStyle name="Normal 5 10 28" xfId="33289" xr:uid="{00000000-0005-0000-0000-000007820000}"/>
    <cellStyle name="Normal 5 10 28 10" xfId="33290" xr:uid="{00000000-0005-0000-0000-000008820000}"/>
    <cellStyle name="Normal 5 10 28 11" xfId="33291" xr:uid="{00000000-0005-0000-0000-000009820000}"/>
    <cellStyle name="Normal 5 10 28 12" xfId="33292" xr:uid="{00000000-0005-0000-0000-00000A820000}"/>
    <cellStyle name="Normal 5 10 28 13" xfId="33293" xr:uid="{00000000-0005-0000-0000-00000B820000}"/>
    <cellStyle name="Normal 5 10 28 14" xfId="33294" xr:uid="{00000000-0005-0000-0000-00000C820000}"/>
    <cellStyle name="Normal 5 10 28 2" xfId="33295" xr:uid="{00000000-0005-0000-0000-00000D820000}"/>
    <cellStyle name="Normal 5 10 28 2 10" xfId="33296" xr:uid="{00000000-0005-0000-0000-00000E820000}"/>
    <cellStyle name="Normal 5 10 28 2 2" xfId="33297" xr:uid="{00000000-0005-0000-0000-00000F820000}"/>
    <cellStyle name="Normal 5 10 28 2 3" xfId="33298" xr:uid="{00000000-0005-0000-0000-000010820000}"/>
    <cellStyle name="Normal 5 10 28 2 4" xfId="33299" xr:uid="{00000000-0005-0000-0000-000011820000}"/>
    <cellStyle name="Normal 5 10 28 2 5" xfId="33300" xr:uid="{00000000-0005-0000-0000-000012820000}"/>
    <cellStyle name="Normal 5 10 28 2 6" xfId="33301" xr:uid="{00000000-0005-0000-0000-000013820000}"/>
    <cellStyle name="Normal 5 10 28 2 7" xfId="33302" xr:uid="{00000000-0005-0000-0000-000014820000}"/>
    <cellStyle name="Normal 5 10 28 2 8" xfId="33303" xr:uid="{00000000-0005-0000-0000-000015820000}"/>
    <cellStyle name="Normal 5 10 28 2 9" xfId="33304" xr:uid="{00000000-0005-0000-0000-000016820000}"/>
    <cellStyle name="Normal 5 10 28 3" xfId="33305" xr:uid="{00000000-0005-0000-0000-000017820000}"/>
    <cellStyle name="Normal 5 10 28 3 10" xfId="33306" xr:uid="{00000000-0005-0000-0000-000018820000}"/>
    <cellStyle name="Normal 5 10 28 3 2" xfId="33307" xr:uid="{00000000-0005-0000-0000-000019820000}"/>
    <cellStyle name="Normal 5 10 28 3 3" xfId="33308" xr:uid="{00000000-0005-0000-0000-00001A820000}"/>
    <cellStyle name="Normal 5 10 28 3 4" xfId="33309" xr:uid="{00000000-0005-0000-0000-00001B820000}"/>
    <cellStyle name="Normal 5 10 28 3 5" xfId="33310" xr:uid="{00000000-0005-0000-0000-00001C820000}"/>
    <cellStyle name="Normal 5 10 28 3 6" xfId="33311" xr:uid="{00000000-0005-0000-0000-00001D820000}"/>
    <cellStyle name="Normal 5 10 28 3 7" xfId="33312" xr:uid="{00000000-0005-0000-0000-00001E820000}"/>
    <cellStyle name="Normal 5 10 28 3 8" xfId="33313" xr:uid="{00000000-0005-0000-0000-00001F820000}"/>
    <cellStyle name="Normal 5 10 28 3 9" xfId="33314" xr:uid="{00000000-0005-0000-0000-000020820000}"/>
    <cellStyle name="Normal 5 10 28 4" xfId="33315" xr:uid="{00000000-0005-0000-0000-000021820000}"/>
    <cellStyle name="Normal 5 10 28 4 10" xfId="33316" xr:uid="{00000000-0005-0000-0000-000022820000}"/>
    <cellStyle name="Normal 5 10 28 4 2" xfId="33317" xr:uid="{00000000-0005-0000-0000-000023820000}"/>
    <cellStyle name="Normal 5 10 28 4 3" xfId="33318" xr:uid="{00000000-0005-0000-0000-000024820000}"/>
    <cellStyle name="Normal 5 10 28 4 4" xfId="33319" xr:uid="{00000000-0005-0000-0000-000025820000}"/>
    <cellStyle name="Normal 5 10 28 4 5" xfId="33320" xr:uid="{00000000-0005-0000-0000-000026820000}"/>
    <cellStyle name="Normal 5 10 28 4 6" xfId="33321" xr:uid="{00000000-0005-0000-0000-000027820000}"/>
    <cellStyle name="Normal 5 10 28 4 7" xfId="33322" xr:uid="{00000000-0005-0000-0000-000028820000}"/>
    <cellStyle name="Normal 5 10 28 4 8" xfId="33323" xr:uid="{00000000-0005-0000-0000-000029820000}"/>
    <cellStyle name="Normal 5 10 28 4 9" xfId="33324" xr:uid="{00000000-0005-0000-0000-00002A820000}"/>
    <cellStyle name="Normal 5 10 28 5" xfId="33325" xr:uid="{00000000-0005-0000-0000-00002B820000}"/>
    <cellStyle name="Normal 5 10 28 5 10" xfId="33326" xr:uid="{00000000-0005-0000-0000-00002C820000}"/>
    <cellStyle name="Normal 5 10 28 5 2" xfId="33327" xr:uid="{00000000-0005-0000-0000-00002D820000}"/>
    <cellStyle name="Normal 5 10 28 5 3" xfId="33328" xr:uid="{00000000-0005-0000-0000-00002E820000}"/>
    <cellStyle name="Normal 5 10 28 5 4" xfId="33329" xr:uid="{00000000-0005-0000-0000-00002F820000}"/>
    <cellStyle name="Normal 5 10 28 5 5" xfId="33330" xr:uid="{00000000-0005-0000-0000-000030820000}"/>
    <cellStyle name="Normal 5 10 28 5 6" xfId="33331" xr:uid="{00000000-0005-0000-0000-000031820000}"/>
    <cellStyle name="Normal 5 10 28 5 7" xfId="33332" xr:uid="{00000000-0005-0000-0000-000032820000}"/>
    <cellStyle name="Normal 5 10 28 5 8" xfId="33333" xr:uid="{00000000-0005-0000-0000-000033820000}"/>
    <cellStyle name="Normal 5 10 28 5 9" xfId="33334" xr:uid="{00000000-0005-0000-0000-000034820000}"/>
    <cellStyle name="Normal 5 10 28 6" xfId="33335" xr:uid="{00000000-0005-0000-0000-000035820000}"/>
    <cellStyle name="Normal 5 10 28 7" xfId="33336" xr:uid="{00000000-0005-0000-0000-000036820000}"/>
    <cellStyle name="Normal 5 10 28 8" xfId="33337" xr:uid="{00000000-0005-0000-0000-000037820000}"/>
    <cellStyle name="Normal 5 10 28 9" xfId="33338" xr:uid="{00000000-0005-0000-0000-000038820000}"/>
    <cellStyle name="Normal 5 10 29" xfId="33339" xr:uid="{00000000-0005-0000-0000-000039820000}"/>
    <cellStyle name="Normal 5 10 29 10" xfId="33340" xr:uid="{00000000-0005-0000-0000-00003A820000}"/>
    <cellStyle name="Normal 5 10 29 11" xfId="33341" xr:uid="{00000000-0005-0000-0000-00003B820000}"/>
    <cellStyle name="Normal 5 10 29 12" xfId="33342" xr:uid="{00000000-0005-0000-0000-00003C820000}"/>
    <cellStyle name="Normal 5 10 29 13" xfId="33343" xr:uid="{00000000-0005-0000-0000-00003D820000}"/>
    <cellStyle name="Normal 5 10 29 14" xfId="33344" xr:uid="{00000000-0005-0000-0000-00003E820000}"/>
    <cellStyle name="Normal 5 10 29 2" xfId="33345" xr:uid="{00000000-0005-0000-0000-00003F820000}"/>
    <cellStyle name="Normal 5 10 29 2 10" xfId="33346" xr:uid="{00000000-0005-0000-0000-000040820000}"/>
    <cellStyle name="Normal 5 10 29 2 2" xfId="33347" xr:uid="{00000000-0005-0000-0000-000041820000}"/>
    <cellStyle name="Normal 5 10 29 2 3" xfId="33348" xr:uid="{00000000-0005-0000-0000-000042820000}"/>
    <cellStyle name="Normal 5 10 29 2 4" xfId="33349" xr:uid="{00000000-0005-0000-0000-000043820000}"/>
    <cellStyle name="Normal 5 10 29 2 5" xfId="33350" xr:uid="{00000000-0005-0000-0000-000044820000}"/>
    <cellStyle name="Normal 5 10 29 2 6" xfId="33351" xr:uid="{00000000-0005-0000-0000-000045820000}"/>
    <cellStyle name="Normal 5 10 29 2 7" xfId="33352" xr:uid="{00000000-0005-0000-0000-000046820000}"/>
    <cellStyle name="Normal 5 10 29 2 8" xfId="33353" xr:uid="{00000000-0005-0000-0000-000047820000}"/>
    <cellStyle name="Normal 5 10 29 2 9" xfId="33354" xr:uid="{00000000-0005-0000-0000-000048820000}"/>
    <cellStyle name="Normal 5 10 29 3" xfId="33355" xr:uid="{00000000-0005-0000-0000-000049820000}"/>
    <cellStyle name="Normal 5 10 29 3 10" xfId="33356" xr:uid="{00000000-0005-0000-0000-00004A820000}"/>
    <cellStyle name="Normal 5 10 29 3 2" xfId="33357" xr:uid="{00000000-0005-0000-0000-00004B820000}"/>
    <cellStyle name="Normal 5 10 29 3 3" xfId="33358" xr:uid="{00000000-0005-0000-0000-00004C820000}"/>
    <cellStyle name="Normal 5 10 29 3 4" xfId="33359" xr:uid="{00000000-0005-0000-0000-00004D820000}"/>
    <cellStyle name="Normal 5 10 29 3 5" xfId="33360" xr:uid="{00000000-0005-0000-0000-00004E820000}"/>
    <cellStyle name="Normal 5 10 29 3 6" xfId="33361" xr:uid="{00000000-0005-0000-0000-00004F820000}"/>
    <cellStyle name="Normal 5 10 29 3 7" xfId="33362" xr:uid="{00000000-0005-0000-0000-000050820000}"/>
    <cellStyle name="Normal 5 10 29 3 8" xfId="33363" xr:uid="{00000000-0005-0000-0000-000051820000}"/>
    <cellStyle name="Normal 5 10 29 3 9" xfId="33364" xr:uid="{00000000-0005-0000-0000-000052820000}"/>
    <cellStyle name="Normal 5 10 29 4" xfId="33365" xr:uid="{00000000-0005-0000-0000-000053820000}"/>
    <cellStyle name="Normal 5 10 29 4 10" xfId="33366" xr:uid="{00000000-0005-0000-0000-000054820000}"/>
    <cellStyle name="Normal 5 10 29 4 2" xfId="33367" xr:uid="{00000000-0005-0000-0000-000055820000}"/>
    <cellStyle name="Normal 5 10 29 4 3" xfId="33368" xr:uid="{00000000-0005-0000-0000-000056820000}"/>
    <cellStyle name="Normal 5 10 29 4 4" xfId="33369" xr:uid="{00000000-0005-0000-0000-000057820000}"/>
    <cellStyle name="Normal 5 10 29 4 5" xfId="33370" xr:uid="{00000000-0005-0000-0000-000058820000}"/>
    <cellStyle name="Normal 5 10 29 4 6" xfId="33371" xr:uid="{00000000-0005-0000-0000-000059820000}"/>
    <cellStyle name="Normal 5 10 29 4 7" xfId="33372" xr:uid="{00000000-0005-0000-0000-00005A820000}"/>
    <cellStyle name="Normal 5 10 29 4 8" xfId="33373" xr:uid="{00000000-0005-0000-0000-00005B820000}"/>
    <cellStyle name="Normal 5 10 29 4 9" xfId="33374" xr:uid="{00000000-0005-0000-0000-00005C820000}"/>
    <cellStyle name="Normal 5 10 29 5" xfId="33375" xr:uid="{00000000-0005-0000-0000-00005D820000}"/>
    <cellStyle name="Normal 5 10 29 5 10" xfId="33376" xr:uid="{00000000-0005-0000-0000-00005E820000}"/>
    <cellStyle name="Normal 5 10 29 5 2" xfId="33377" xr:uid="{00000000-0005-0000-0000-00005F820000}"/>
    <cellStyle name="Normal 5 10 29 5 3" xfId="33378" xr:uid="{00000000-0005-0000-0000-000060820000}"/>
    <cellStyle name="Normal 5 10 29 5 4" xfId="33379" xr:uid="{00000000-0005-0000-0000-000061820000}"/>
    <cellStyle name="Normal 5 10 29 5 5" xfId="33380" xr:uid="{00000000-0005-0000-0000-000062820000}"/>
    <cellStyle name="Normal 5 10 29 5 6" xfId="33381" xr:uid="{00000000-0005-0000-0000-000063820000}"/>
    <cellStyle name="Normal 5 10 29 5 7" xfId="33382" xr:uid="{00000000-0005-0000-0000-000064820000}"/>
    <cellStyle name="Normal 5 10 29 5 8" xfId="33383" xr:uid="{00000000-0005-0000-0000-000065820000}"/>
    <cellStyle name="Normal 5 10 29 5 9" xfId="33384" xr:uid="{00000000-0005-0000-0000-000066820000}"/>
    <cellStyle name="Normal 5 10 29 6" xfId="33385" xr:uid="{00000000-0005-0000-0000-000067820000}"/>
    <cellStyle name="Normal 5 10 29 7" xfId="33386" xr:uid="{00000000-0005-0000-0000-000068820000}"/>
    <cellStyle name="Normal 5 10 29 8" xfId="33387" xr:uid="{00000000-0005-0000-0000-000069820000}"/>
    <cellStyle name="Normal 5 10 29 9" xfId="33388" xr:uid="{00000000-0005-0000-0000-00006A820000}"/>
    <cellStyle name="Normal 5 10 3" xfId="33389" xr:uid="{00000000-0005-0000-0000-00006B820000}"/>
    <cellStyle name="Normal 5 10 3 10" xfId="33390" xr:uid="{00000000-0005-0000-0000-00006C820000}"/>
    <cellStyle name="Normal 5 10 3 11" xfId="33391" xr:uid="{00000000-0005-0000-0000-00006D820000}"/>
    <cellStyle name="Normal 5 10 3 12" xfId="33392" xr:uid="{00000000-0005-0000-0000-00006E820000}"/>
    <cellStyle name="Normal 5 10 3 13" xfId="33393" xr:uid="{00000000-0005-0000-0000-00006F820000}"/>
    <cellStyle name="Normal 5 10 3 14" xfId="33394" xr:uid="{00000000-0005-0000-0000-000070820000}"/>
    <cellStyle name="Normal 5 10 3 2" xfId="33395" xr:uid="{00000000-0005-0000-0000-000071820000}"/>
    <cellStyle name="Normal 5 10 3 2 10" xfId="33396" xr:uid="{00000000-0005-0000-0000-000072820000}"/>
    <cellStyle name="Normal 5 10 3 2 2" xfId="33397" xr:uid="{00000000-0005-0000-0000-000073820000}"/>
    <cellStyle name="Normal 5 10 3 2 3" xfId="33398" xr:uid="{00000000-0005-0000-0000-000074820000}"/>
    <cellStyle name="Normal 5 10 3 2 4" xfId="33399" xr:uid="{00000000-0005-0000-0000-000075820000}"/>
    <cellStyle name="Normal 5 10 3 2 5" xfId="33400" xr:uid="{00000000-0005-0000-0000-000076820000}"/>
    <cellStyle name="Normal 5 10 3 2 6" xfId="33401" xr:uid="{00000000-0005-0000-0000-000077820000}"/>
    <cellStyle name="Normal 5 10 3 2 7" xfId="33402" xr:uid="{00000000-0005-0000-0000-000078820000}"/>
    <cellStyle name="Normal 5 10 3 2 8" xfId="33403" xr:uid="{00000000-0005-0000-0000-000079820000}"/>
    <cellStyle name="Normal 5 10 3 2 9" xfId="33404" xr:uid="{00000000-0005-0000-0000-00007A820000}"/>
    <cellStyle name="Normal 5 10 3 3" xfId="33405" xr:uid="{00000000-0005-0000-0000-00007B820000}"/>
    <cellStyle name="Normal 5 10 3 3 10" xfId="33406" xr:uid="{00000000-0005-0000-0000-00007C820000}"/>
    <cellStyle name="Normal 5 10 3 3 2" xfId="33407" xr:uid="{00000000-0005-0000-0000-00007D820000}"/>
    <cellStyle name="Normal 5 10 3 3 3" xfId="33408" xr:uid="{00000000-0005-0000-0000-00007E820000}"/>
    <cellStyle name="Normal 5 10 3 3 4" xfId="33409" xr:uid="{00000000-0005-0000-0000-00007F820000}"/>
    <cellStyle name="Normal 5 10 3 3 5" xfId="33410" xr:uid="{00000000-0005-0000-0000-000080820000}"/>
    <cellStyle name="Normal 5 10 3 3 6" xfId="33411" xr:uid="{00000000-0005-0000-0000-000081820000}"/>
    <cellStyle name="Normal 5 10 3 3 7" xfId="33412" xr:uid="{00000000-0005-0000-0000-000082820000}"/>
    <cellStyle name="Normal 5 10 3 3 8" xfId="33413" xr:uid="{00000000-0005-0000-0000-000083820000}"/>
    <cellStyle name="Normal 5 10 3 3 9" xfId="33414" xr:uid="{00000000-0005-0000-0000-000084820000}"/>
    <cellStyle name="Normal 5 10 3 4" xfId="33415" xr:uid="{00000000-0005-0000-0000-000085820000}"/>
    <cellStyle name="Normal 5 10 3 4 10" xfId="33416" xr:uid="{00000000-0005-0000-0000-000086820000}"/>
    <cellStyle name="Normal 5 10 3 4 2" xfId="33417" xr:uid="{00000000-0005-0000-0000-000087820000}"/>
    <cellStyle name="Normal 5 10 3 4 3" xfId="33418" xr:uid="{00000000-0005-0000-0000-000088820000}"/>
    <cellStyle name="Normal 5 10 3 4 4" xfId="33419" xr:uid="{00000000-0005-0000-0000-000089820000}"/>
    <cellStyle name="Normal 5 10 3 4 5" xfId="33420" xr:uid="{00000000-0005-0000-0000-00008A820000}"/>
    <cellStyle name="Normal 5 10 3 4 6" xfId="33421" xr:uid="{00000000-0005-0000-0000-00008B820000}"/>
    <cellStyle name="Normal 5 10 3 4 7" xfId="33422" xr:uid="{00000000-0005-0000-0000-00008C820000}"/>
    <cellStyle name="Normal 5 10 3 4 8" xfId="33423" xr:uid="{00000000-0005-0000-0000-00008D820000}"/>
    <cellStyle name="Normal 5 10 3 4 9" xfId="33424" xr:uid="{00000000-0005-0000-0000-00008E820000}"/>
    <cellStyle name="Normal 5 10 3 5" xfId="33425" xr:uid="{00000000-0005-0000-0000-00008F820000}"/>
    <cellStyle name="Normal 5 10 3 5 10" xfId="33426" xr:uid="{00000000-0005-0000-0000-000090820000}"/>
    <cellStyle name="Normal 5 10 3 5 2" xfId="33427" xr:uid="{00000000-0005-0000-0000-000091820000}"/>
    <cellStyle name="Normal 5 10 3 5 3" xfId="33428" xr:uid="{00000000-0005-0000-0000-000092820000}"/>
    <cellStyle name="Normal 5 10 3 5 4" xfId="33429" xr:uid="{00000000-0005-0000-0000-000093820000}"/>
    <cellStyle name="Normal 5 10 3 5 5" xfId="33430" xr:uid="{00000000-0005-0000-0000-000094820000}"/>
    <cellStyle name="Normal 5 10 3 5 6" xfId="33431" xr:uid="{00000000-0005-0000-0000-000095820000}"/>
    <cellStyle name="Normal 5 10 3 5 7" xfId="33432" xr:uid="{00000000-0005-0000-0000-000096820000}"/>
    <cellStyle name="Normal 5 10 3 5 8" xfId="33433" xr:uid="{00000000-0005-0000-0000-000097820000}"/>
    <cellStyle name="Normal 5 10 3 5 9" xfId="33434" xr:uid="{00000000-0005-0000-0000-000098820000}"/>
    <cellStyle name="Normal 5 10 3 6" xfId="33435" xr:uid="{00000000-0005-0000-0000-000099820000}"/>
    <cellStyle name="Normal 5 10 3 7" xfId="33436" xr:uid="{00000000-0005-0000-0000-00009A820000}"/>
    <cellStyle name="Normal 5 10 3 8" xfId="33437" xr:uid="{00000000-0005-0000-0000-00009B820000}"/>
    <cellStyle name="Normal 5 10 3 9" xfId="33438" xr:uid="{00000000-0005-0000-0000-00009C820000}"/>
    <cellStyle name="Normal 5 10 30" xfId="33439" xr:uid="{00000000-0005-0000-0000-00009D820000}"/>
    <cellStyle name="Normal 5 10 30 10" xfId="33440" xr:uid="{00000000-0005-0000-0000-00009E820000}"/>
    <cellStyle name="Normal 5 10 30 11" xfId="33441" xr:uid="{00000000-0005-0000-0000-00009F820000}"/>
    <cellStyle name="Normal 5 10 30 12" xfId="33442" xr:uid="{00000000-0005-0000-0000-0000A0820000}"/>
    <cellStyle name="Normal 5 10 30 13" xfId="33443" xr:uid="{00000000-0005-0000-0000-0000A1820000}"/>
    <cellStyle name="Normal 5 10 30 14" xfId="33444" xr:uid="{00000000-0005-0000-0000-0000A2820000}"/>
    <cellStyle name="Normal 5 10 30 2" xfId="33445" xr:uid="{00000000-0005-0000-0000-0000A3820000}"/>
    <cellStyle name="Normal 5 10 30 2 10" xfId="33446" xr:uid="{00000000-0005-0000-0000-0000A4820000}"/>
    <cellStyle name="Normal 5 10 30 2 2" xfId="33447" xr:uid="{00000000-0005-0000-0000-0000A5820000}"/>
    <cellStyle name="Normal 5 10 30 2 3" xfId="33448" xr:uid="{00000000-0005-0000-0000-0000A6820000}"/>
    <cellStyle name="Normal 5 10 30 2 4" xfId="33449" xr:uid="{00000000-0005-0000-0000-0000A7820000}"/>
    <cellStyle name="Normal 5 10 30 2 5" xfId="33450" xr:uid="{00000000-0005-0000-0000-0000A8820000}"/>
    <cellStyle name="Normal 5 10 30 2 6" xfId="33451" xr:uid="{00000000-0005-0000-0000-0000A9820000}"/>
    <cellStyle name="Normal 5 10 30 2 7" xfId="33452" xr:uid="{00000000-0005-0000-0000-0000AA820000}"/>
    <cellStyle name="Normal 5 10 30 2 8" xfId="33453" xr:uid="{00000000-0005-0000-0000-0000AB820000}"/>
    <cellStyle name="Normal 5 10 30 2 9" xfId="33454" xr:uid="{00000000-0005-0000-0000-0000AC820000}"/>
    <cellStyle name="Normal 5 10 30 3" xfId="33455" xr:uid="{00000000-0005-0000-0000-0000AD820000}"/>
    <cellStyle name="Normal 5 10 30 3 10" xfId="33456" xr:uid="{00000000-0005-0000-0000-0000AE820000}"/>
    <cellStyle name="Normal 5 10 30 3 2" xfId="33457" xr:uid="{00000000-0005-0000-0000-0000AF820000}"/>
    <cellStyle name="Normal 5 10 30 3 3" xfId="33458" xr:uid="{00000000-0005-0000-0000-0000B0820000}"/>
    <cellStyle name="Normal 5 10 30 3 4" xfId="33459" xr:uid="{00000000-0005-0000-0000-0000B1820000}"/>
    <cellStyle name="Normal 5 10 30 3 5" xfId="33460" xr:uid="{00000000-0005-0000-0000-0000B2820000}"/>
    <cellStyle name="Normal 5 10 30 3 6" xfId="33461" xr:uid="{00000000-0005-0000-0000-0000B3820000}"/>
    <cellStyle name="Normal 5 10 30 3 7" xfId="33462" xr:uid="{00000000-0005-0000-0000-0000B4820000}"/>
    <cellStyle name="Normal 5 10 30 3 8" xfId="33463" xr:uid="{00000000-0005-0000-0000-0000B5820000}"/>
    <cellStyle name="Normal 5 10 30 3 9" xfId="33464" xr:uid="{00000000-0005-0000-0000-0000B6820000}"/>
    <cellStyle name="Normal 5 10 30 4" xfId="33465" xr:uid="{00000000-0005-0000-0000-0000B7820000}"/>
    <cellStyle name="Normal 5 10 30 4 10" xfId="33466" xr:uid="{00000000-0005-0000-0000-0000B8820000}"/>
    <cellStyle name="Normal 5 10 30 4 2" xfId="33467" xr:uid="{00000000-0005-0000-0000-0000B9820000}"/>
    <cellStyle name="Normal 5 10 30 4 3" xfId="33468" xr:uid="{00000000-0005-0000-0000-0000BA820000}"/>
    <cellStyle name="Normal 5 10 30 4 4" xfId="33469" xr:uid="{00000000-0005-0000-0000-0000BB820000}"/>
    <cellStyle name="Normal 5 10 30 4 5" xfId="33470" xr:uid="{00000000-0005-0000-0000-0000BC820000}"/>
    <cellStyle name="Normal 5 10 30 4 6" xfId="33471" xr:uid="{00000000-0005-0000-0000-0000BD820000}"/>
    <cellStyle name="Normal 5 10 30 4 7" xfId="33472" xr:uid="{00000000-0005-0000-0000-0000BE820000}"/>
    <cellStyle name="Normal 5 10 30 4 8" xfId="33473" xr:uid="{00000000-0005-0000-0000-0000BF820000}"/>
    <cellStyle name="Normal 5 10 30 4 9" xfId="33474" xr:uid="{00000000-0005-0000-0000-0000C0820000}"/>
    <cellStyle name="Normal 5 10 30 5" xfId="33475" xr:uid="{00000000-0005-0000-0000-0000C1820000}"/>
    <cellStyle name="Normal 5 10 30 5 10" xfId="33476" xr:uid="{00000000-0005-0000-0000-0000C2820000}"/>
    <cellStyle name="Normal 5 10 30 5 2" xfId="33477" xr:uid="{00000000-0005-0000-0000-0000C3820000}"/>
    <cellStyle name="Normal 5 10 30 5 3" xfId="33478" xr:uid="{00000000-0005-0000-0000-0000C4820000}"/>
    <cellStyle name="Normal 5 10 30 5 4" xfId="33479" xr:uid="{00000000-0005-0000-0000-0000C5820000}"/>
    <cellStyle name="Normal 5 10 30 5 5" xfId="33480" xr:uid="{00000000-0005-0000-0000-0000C6820000}"/>
    <cellStyle name="Normal 5 10 30 5 6" xfId="33481" xr:uid="{00000000-0005-0000-0000-0000C7820000}"/>
    <cellStyle name="Normal 5 10 30 5 7" xfId="33482" xr:uid="{00000000-0005-0000-0000-0000C8820000}"/>
    <cellStyle name="Normal 5 10 30 5 8" xfId="33483" xr:uid="{00000000-0005-0000-0000-0000C9820000}"/>
    <cellStyle name="Normal 5 10 30 5 9" xfId="33484" xr:uid="{00000000-0005-0000-0000-0000CA820000}"/>
    <cellStyle name="Normal 5 10 30 6" xfId="33485" xr:uid="{00000000-0005-0000-0000-0000CB820000}"/>
    <cellStyle name="Normal 5 10 30 7" xfId="33486" xr:uid="{00000000-0005-0000-0000-0000CC820000}"/>
    <cellStyle name="Normal 5 10 30 8" xfId="33487" xr:uid="{00000000-0005-0000-0000-0000CD820000}"/>
    <cellStyle name="Normal 5 10 30 9" xfId="33488" xr:uid="{00000000-0005-0000-0000-0000CE820000}"/>
    <cellStyle name="Normal 5 10 31" xfId="33489" xr:uid="{00000000-0005-0000-0000-0000CF820000}"/>
    <cellStyle name="Normal 5 10 31 10" xfId="33490" xr:uid="{00000000-0005-0000-0000-0000D0820000}"/>
    <cellStyle name="Normal 5 10 31 11" xfId="33491" xr:uid="{00000000-0005-0000-0000-0000D1820000}"/>
    <cellStyle name="Normal 5 10 31 12" xfId="33492" xr:uid="{00000000-0005-0000-0000-0000D2820000}"/>
    <cellStyle name="Normal 5 10 31 13" xfId="33493" xr:uid="{00000000-0005-0000-0000-0000D3820000}"/>
    <cellStyle name="Normal 5 10 31 14" xfId="33494" xr:uid="{00000000-0005-0000-0000-0000D4820000}"/>
    <cellStyle name="Normal 5 10 31 2" xfId="33495" xr:uid="{00000000-0005-0000-0000-0000D5820000}"/>
    <cellStyle name="Normal 5 10 31 2 10" xfId="33496" xr:uid="{00000000-0005-0000-0000-0000D6820000}"/>
    <cellStyle name="Normal 5 10 31 2 2" xfId="33497" xr:uid="{00000000-0005-0000-0000-0000D7820000}"/>
    <cellStyle name="Normal 5 10 31 2 3" xfId="33498" xr:uid="{00000000-0005-0000-0000-0000D8820000}"/>
    <cellStyle name="Normal 5 10 31 2 4" xfId="33499" xr:uid="{00000000-0005-0000-0000-0000D9820000}"/>
    <cellStyle name="Normal 5 10 31 2 5" xfId="33500" xr:uid="{00000000-0005-0000-0000-0000DA820000}"/>
    <cellStyle name="Normal 5 10 31 2 6" xfId="33501" xr:uid="{00000000-0005-0000-0000-0000DB820000}"/>
    <cellStyle name="Normal 5 10 31 2 7" xfId="33502" xr:uid="{00000000-0005-0000-0000-0000DC820000}"/>
    <cellStyle name="Normal 5 10 31 2 8" xfId="33503" xr:uid="{00000000-0005-0000-0000-0000DD820000}"/>
    <cellStyle name="Normal 5 10 31 2 9" xfId="33504" xr:uid="{00000000-0005-0000-0000-0000DE820000}"/>
    <cellStyle name="Normal 5 10 31 3" xfId="33505" xr:uid="{00000000-0005-0000-0000-0000DF820000}"/>
    <cellStyle name="Normal 5 10 31 3 10" xfId="33506" xr:uid="{00000000-0005-0000-0000-0000E0820000}"/>
    <cellStyle name="Normal 5 10 31 3 2" xfId="33507" xr:uid="{00000000-0005-0000-0000-0000E1820000}"/>
    <cellStyle name="Normal 5 10 31 3 3" xfId="33508" xr:uid="{00000000-0005-0000-0000-0000E2820000}"/>
    <cellStyle name="Normal 5 10 31 3 4" xfId="33509" xr:uid="{00000000-0005-0000-0000-0000E3820000}"/>
    <cellStyle name="Normal 5 10 31 3 5" xfId="33510" xr:uid="{00000000-0005-0000-0000-0000E4820000}"/>
    <cellStyle name="Normal 5 10 31 3 6" xfId="33511" xr:uid="{00000000-0005-0000-0000-0000E5820000}"/>
    <cellStyle name="Normal 5 10 31 3 7" xfId="33512" xr:uid="{00000000-0005-0000-0000-0000E6820000}"/>
    <cellStyle name="Normal 5 10 31 3 8" xfId="33513" xr:uid="{00000000-0005-0000-0000-0000E7820000}"/>
    <cellStyle name="Normal 5 10 31 3 9" xfId="33514" xr:uid="{00000000-0005-0000-0000-0000E8820000}"/>
    <cellStyle name="Normal 5 10 31 4" xfId="33515" xr:uid="{00000000-0005-0000-0000-0000E9820000}"/>
    <cellStyle name="Normal 5 10 31 4 10" xfId="33516" xr:uid="{00000000-0005-0000-0000-0000EA820000}"/>
    <cellStyle name="Normal 5 10 31 4 2" xfId="33517" xr:uid="{00000000-0005-0000-0000-0000EB820000}"/>
    <cellStyle name="Normal 5 10 31 4 3" xfId="33518" xr:uid="{00000000-0005-0000-0000-0000EC820000}"/>
    <cellStyle name="Normal 5 10 31 4 4" xfId="33519" xr:uid="{00000000-0005-0000-0000-0000ED820000}"/>
    <cellStyle name="Normal 5 10 31 4 5" xfId="33520" xr:uid="{00000000-0005-0000-0000-0000EE820000}"/>
    <cellStyle name="Normal 5 10 31 4 6" xfId="33521" xr:uid="{00000000-0005-0000-0000-0000EF820000}"/>
    <cellStyle name="Normal 5 10 31 4 7" xfId="33522" xr:uid="{00000000-0005-0000-0000-0000F0820000}"/>
    <cellStyle name="Normal 5 10 31 4 8" xfId="33523" xr:uid="{00000000-0005-0000-0000-0000F1820000}"/>
    <cellStyle name="Normal 5 10 31 4 9" xfId="33524" xr:uid="{00000000-0005-0000-0000-0000F2820000}"/>
    <cellStyle name="Normal 5 10 31 5" xfId="33525" xr:uid="{00000000-0005-0000-0000-0000F3820000}"/>
    <cellStyle name="Normal 5 10 31 5 10" xfId="33526" xr:uid="{00000000-0005-0000-0000-0000F4820000}"/>
    <cellStyle name="Normal 5 10 31 5 2" xfId="33527" xr:uid="{00000000-0005-0000-0000-0000F5820000}"/>
    <cellStyle name="Normal 5 10 31 5 3" xfId="33528" xr:uid="{00000000-0005-0000-0000-0000F6820000}"/>
    <cellStyle name="Normal 5 10 31 5 4" xfId="33529" xr:uid="{00000000-0005-0000-0000-0000F7820000}"/>
    <cellStyle name="Normal 5 10 31 5 5" xfId="33530" xr:uid="{00000000-0005-0000-0000-0000F8820000}"/>
    <cellStyle name="Normal 5 10 31 5 6" xfId="33531" xr:uid="{00000000-0005-0000-0000-0000F9820000}"/>
    <cellStyle name="Normal 5 10 31 5 7" xfId="33532" xr:uid="{00000000-0005-0000-0000-0000FA820000}"/>
    <cellStyle name="Normal 5 10 31 5 8" xfId="33533" xr:uid="{00000000-0005-0000-0000-0000FB820000}"/>
    <cellStyle name="Normal 5 10 31 5 9" xfId="33534" xr:uid="{00000000-0005-0000-0000-0000FC820000}"/>
    <cellStyle name="Normal 5 10 31 6" xfId="33535" xr:uid="{00000000-0005-0000-0000-0000FD820000}"/>
    <cellStyle name="Normal 5 10 31 7" xfId="33536" xr:uid="{00000000-0005-0000-0000-0000FE820000}"/>
    <cellStyle name="Normal 5 10 31 8" xfId="33537" xr:uid="{00000000-0005-0000-0000-0000FF820000}"/>
    <cellStyle name="Normal 5 10 31 9" xfId="33538" xr:uid="{00000000-0005-0000-0000-000000830000}"/>
    <cellStyle name="Normal 5 10 32" xfId="33539" xr:uid="{00000000-0005-0000-0000-000001830000}"/>
    <cellStyle name="Normal 5 10 32 10" xfId="33540" xr:uid="{00000000-0005-0000-0000-000002830000}"/>
    <cellStyle name="Normal 5 10 32 11" xfId="33541" xr:uid="{00000000-0005-0000-0000-000003830000}"/>
    <cellStyle name="Normal 5 10 32 12" xfId="33542" xr:uid="{00000000-0005-0000-0000-000004830000}"/>
    <cellStyle name="Normal 5 10 32 13" xfId="33543" xr:uid="{00000000-0005-0000-0000-000005830000}"/>
    <cellStyle name="Normal 5 10 32 14" xfId="33544" xr:uid="{00000000-0005-0000-0000-000006830000}"/>
    <cellStyle name="Normal 5 10 32 2" xfId="33545" xr:uid="{00000000-0005-0000-0000-000007830000}"/>
    <cellStyle name="Normal 5 10 32 2 10" xfId="33546" xr:uid="{00000000-0005-0000-0000-000008830000}"/>
    <cellStyle name="Normal 5 10 32 2 2" xfId="33547" xr:uid="{00000000-0005-0000-0000-000009830000}"/>
    <cellStyle name="Normal 5 10 32 2 3" xfId="33548" xr:uid="{00000000-0005-0000-0000-00000A830000}"/>
    <cellStyle name="Normal 5 10 32 2 4" xfId="33549" xr:uid="{00000000-0005-0000-0000-00000B830000}"/>
    <cellStyle name="Normal 5 10 32 2 5" xfId="33550" xr:uid="{00000000-0005-0000-0000-00000C830000}"/>
    <cellStyle name="Normal 5 10 32 2 6" xfId="33551" xr:uid="{00000000-0005-0000-0000-00000D830000}"/>
    <cellStyle name="Normal 5 10 32 2 7" xfId="33552" xr:uid="{00000000-0005-0000-0000-00000E830000}"/>
    <cellStyle name="Normal 5 10 32 2 8" xfId="33553" xr:uid="{00000000-0005-0000-0000-00000F830000}"/>
    <cellStyle name="Normal 5 10 32 2 9" xfId="33554" xr:uid="{00000000-0005-0000-0000-000010830000}"/>
    <cellStyle name="Normal 5 10 32 3" xfId="33555" xr:uid="{00000000-0005-0000-0000-000011830000}"/>
    <cellStyle name="Normal 5 10 32 3 10" xfId="33556" xr:uid="{00000000-0005-0000-0000-000012830000}"/>
    <cellStyle name="Normal 5 10 32 3 2" xfId="33557" xr:uid="{00000000-0005-0000-0000-000013830000}"/>
    <cellStyle name="Normal 5 10 32 3 3" xfId="33558" xr:uid="{00000000-0005-0000-0000-000014830000}"/>
    <cellStyle name="Normal 5 10 32 3 4" xfId="33559" xr:uid="{00000000-0005-0000-0000-000015830000}"/>
    <cellStyle name="Normal 5 10 32 3 5" xfId="33560" xr:uid="{00000000-0005-0000-0000-000016830000}"/>
    <cellStyle name="Normal 5 10 32 3 6" xfId="33561" xr:uid="{00000000-0005-0000-0000-000017830000}"/>
    <cellStyle name="Normal 5 10 32 3 7" xfId="33562" xr:uid="{00000000-0005-0000-0000-000018830000}"/>
    <cellStyle name="Normal 5 10 32 3 8" xfId="33563" xr:uid="{00000000-0005-0000-0000-000019830000}"/>
    <cellStyle name="Normal 5 10 32 3 9" xfId="33564" xr:uid="{00000000-0005-0000-0000-00001A830000}"/>
    <cellStyle name="Normal 5 10 32 4" xfId="33565" xr:uid="{00000000-0005-0000-0000-00001B830000}"/>
    <cellStyle name="Normal 5 10 32 4 10" xfId="33566" xr:uid="{00000000-0005-0000-0000-00001C830000}"/>
    <cellStyle name="Normal 5 10 32 4 2" xfId="33567" xr:uid="{00000000-0005-0000-0000-00001D830000}"/>
    <cellStyle name="Normal 5 10 32 4 3" xfId="33568" xr:uid="{00000000-0005-0000-0000-00001E830000}"/>
    <cellStyle name="Normal 5 10 32 4 4" xfId="33569" xr:uid="{00000000-0005-0000-0000-00001F830000}"/>
    <cellStyle name="Normal 5 10 32 4 5" xfId="33570" xr:uid="{00000000-0005-0000-0000-000020830000}"/>
    <cellStyle name="Normal 5 10 32 4 6" xfId="33571" xr:uid="{00000000-0005-0000-0000-000021830000}"/>
    <cellStyle name="Normal 5 10 32 4 7" xfId="33572" xr:uid="{00000000-0005-0000-0000-000022830000}"/>
    <cellStyle name="Normal 5 10 32 4 8" xfId="33573" xr:uid="{00000000-0005-0000-0000-000023830000}"/>
    <cellStyle name="Normal 5 10 32 4 9" xfId="33574" xr:uid="{00000000-0005-0000-0000-000024830000}"/>
    <cellStyle name="Normal 5 10 32 5" xfId="33575" xr:uid="{00000000-0005-0000-0000-000025830000}"/>
    <cellStyle name="Normal 5 10 32 5 10" xfId="33576" xr:uid="{00000000-0005-0000-0000-000026830000}"/>
    <cellStyle name="Normal 5 10 32 5 2" xfId="33577" xr:uid="{00000000-0005-0000-0000-000027830000}"/>
    <cellStyle name="Normal 5 10 32 5 3" xfId="33578" xr:uid="{00000000-0005-0000-0000-000028830000}"/>
    <cellStyle name="Normal 5 10 32 5 4" xfId="33579" xr:uid="{00000000-0005-0000-0000-000029830000}"/>
    <cellStyle name="Normal 5 10 32 5 5" xfId="33580" xr:uid="{00000000-0005-0000-0000-00002A830000}"/>
    <cellStyle name="Normal 5 10 32 5 6" xfId="33581" xr:uid="{00000000-0005-0000-0000-00002B830000}"/>
    <cellStyle name="Normal 5 10 32 5 7" xfId="33582" xr:uid="{00000000-0005-0000-0000-00002C830000}"/>
    <cellStyle name="Normal 5 10 32 5 8" xfId="33583" xr:uid="{00000000-0005-0000-0000-00002D830000}"/>
    <cellStyle name="Normal 5 10 32 5 9" xfId="33584" xr:uid="{00000000-0005-0000-0000-00002E830000}"/>
    <cellStyle name="Normal 5 10 32 6" xfId="33585" xr:uid="{00000000-0005-0000-0000-00002F830000}"/>
    <cellStyle name="Normal 5 10 32 7" xfId="33586" xr:uid="{00000000-0005-0000-0000-000030830000}"/>
    <cellStyle name="Normal 5 10 32 8" xfId="33587" xr:uid="{00000000-0005-0000-0000-000031830000}"/>
    <cellStyle name="Normal 5 10 32 9" xfId="33588" xr:uid="{00000000-0005-0000-0000-000032830000}"/>
    <cellStyle name="Normal 5 10 33" xfId="33589" xr:uid="{00000000-0005-0000-0000-000033830000}"/>
    <cellStyle name="Normal 5 10 33 10" xfId="33590" xr:uid="{00000000-0005-0000-0000-000034830000}"/>
    <cellStyle name="Normal 5 10 33 11" xfId="33591" xr:uid="{00000000-0005-0000-0000-000035830000}"/>
    <cellStyle name="Normal 5 10 33 12" xfId="33592" xr:uid="{00000000-0005-0000-0000-000036830000}"/>
    <cellStyle name="Normal 5 10 33 13" xfId="33593" xr:uid="{00000000-0005-0000-0000-000037830000}"/>
    <cellStyle name="Normal 5 10 33 14" xfId="33594" xr:uid="{00000000-0005-0000-0000-000038830000}"/>
    <cellStyle name="Normal 5 10 33 2" xfId="33595" xr:uid="{00000000-0005-0000-0000-000039830000}"/>
    <cellStyle name="Normal 5 10 33 2 10" xfId="33596" xr:uid="{00000000-0005-0000-0000-00003A830000}"/>
    <cellStyle name="Normal 5 10 33 2 2" xfId="33597" xr:uid="{00000000-0005-0000-0000-00003B830000}"/>
    <cellStyle name="Normal 5 10 33 2 3" xfId="33598" xr:uid="{00000000-0005-0000-0000-00003C830000}"/>
    <cellStyle name="Normal 5 10 33 2 4" xfId="33599" xr:uid="{00000000-0005-0000-0000-00003D830000}"/>
    <cellStyle name="Normal 5 10 33 2 5" xfId="33600" xr:uid="{00000000-0005-0000-0000-00003E830000}"/>
    <cellStyle name="Normal 5 10 33 2 6" xfId="33601" xr:uid="{00000000-0005-0000-0000-00003F830000}"/>
    <cellStyle name="Normal 5 10 33 2 7" xfId="33602" xr:uid="{00000000-0005-0000-0000-000040830000}"/>
    <cellStyle name="Normal 5 10 33 2 8" xfId="33603" xr:uid="{00000000-0005-0000-0000-000041830000}"/>
    <cellStyle name="Normal 5 10 33 2 9" xfId="33604" xr:uid="{00000000-0005-0000-0000-000042830000}"/>
    <cellStyle name="Normal 5 10 33 3" xfId="33605" xr:uid="{00000000-0005-0000-0000-000043830000}"/>
    <cellStyle name="Normal 5 10 33 3 10" xfId="33606" xr:uid="{00000000-0005-0000-0000-000044830000}"/>
    <cellStyle name="Normal 5 10 33 3 2" xfId="33607" xr:uid="{00000000-0005-0000-0000-000045830000}"/>
    <cellStyle name="Normal 5 10 33 3 3" xfId="33608" xr:uid="{00000000-0005-0000-0000-000046830000}"/>
    <cellStyle name="Normal 5 10 33 3 4" xfId="33609" xr:uid="{00000000-0005-0000-0000-000047830000}"/>
    <cellStyle name="Normal 5 10 33 3 5" xfId="33610" xr:uid="{00000000-0005-0000-0000-000048830000}"/>
    <cellStyle name="Normal 5 10 33 3 6" xfId="33611" xr:uid="{00000000-0005-0000-0000-000049830000}"/>
    <cellStyle name="Normal 5 10 33 3 7" xfId="33612" xr:uid="{00000000-0005-0000-0000-00004A830000}"/>
    <cellStyle name="Normal 5 10 33 3 8" xfId="33613" xr:uid="{00000000-0005-0000-0000-00004B830000}"/>
    <cellStyle name="Normal 5 10 33 3 9" xfId="33614" xr:uid="{00000000-0005-0000-0000-00004C830000}"/>
    <cellStyle name="Normal 5 10 33 4" xfId="33615" xr:uid="{00000000-0005-0000-0000-00004D830000}"/>
    <cellStyle name="Normal 5 10 33 4 10" xfId="33616" xr:uid="{00000000-0005-0000-0000-00004E830000}"/>
    <cellStyle name="Normal 5 10 33 4 2" xfId="33617" xr:uid="{00000000-0005-0000-0000-00004F830000}"/>
    <cellStyle name="Normal 5 10 33 4 3" xfId="33618" xr:uid="{00000000-0005-0000-0000-000050830000}"/>
    <cellStyle name="Normal 5 10 33 4 4" xfId="33619" xr:uid="{00000000-0005-0000-0000-000051830000}"/>
    <cellStyle name="Normal 5 10 33 4 5" xfId="33620" xr:uid="{00000000-0005-0000-0000-000052830000}"/>
    <cellStyle name="Normal 5 10 33 4 6" xfId="33621" xr:uid="{00000000-0005-0000-0000-000053830000}"/>
    <cellStyle name="Normal 5 10 33 4 7" xfId="33622" xr:uid="{00000000-0005-0000-0000-000054830000}"/>
    <cellStyle name="Normal 5 10 33 4 8" xfId="33623" xr:uid="{00000000-0005-0000-0000-000055830000}"/>
    <cellStyle name="Normal 5 10 33 4 9" xfId="33624" xr:uid="{00000000-0005-0000-0000-000056830000}"/>
    <cellStyle name="Normal 5 10 33 5" xfId="33625" xr:uid="{00000000-0005-0000-0000-000057830000}"/>
    <cellStyle name="Normal 5 10 33 5 10" xfId="33626" xr:uid="{00000000-0005-0000-0000-000058830000}"/>
    <cellStyle name="Normal 5 10 33 5 2" xfId="33627" xr:uid="{00000000-0005-0000-0000-000059830000}"/>
    <cellStyle name="Normal 5 10 33 5 3" xfId="33628" xr:uid="{00000000-0005-0000-0000-00005A830000}"/>
    <cellStyle name="Normal 5 10 33 5 4" xfId="33629" xr:uid="{00000000-0005-0000-0000-00005B830000}"/>
    <cellStyle name="Normal 5 10 33 5 5" xfId="33630" xr:uid="{00000000-0005-0000-0000-00005C830000}"/>
    <cellStyle name="Normal 5 10 33 5 6" xfId="33631" xr:uid="{00000000-0005-0000-0000-00005D830000}"/>
    <cellStyle name="Normal 5 10 33 5 7" xfId="33632" xr:uid="{00000000-0005-0000-0000-00005E830000}"/>
    <cellStyle name="Normal 5 10 33 5 8" xfId="33633" xr:uid="{00000000-0005-0000-0000-00005F830000}"/>
    <cellStyle name="Normal 5 10 33 5 9" xfId="33634" xr:uid="{00000000-0005-0000-0000-000060830000}"/>
    <cellStyle name="Normal 5 10 33 6" xfId="33635" xr:uid="{00000000-0005-0000-0000-000061830000}"/>
    <cellStyle name="Normal 5 10 33 7" xfId="33636" xr:uid="{00000000-0005-0000-0000-000062830000}"/>
    <cellStyle name="Normal 5 10 33 8" xfId="33637" xr:uid="{00000000-0005-0000-0000-000063830000}"/>
    <cellStyle name="Normal 5 10 33 9" xfId="33638" xr:uid="{00000000-0005-0000-0000-000064830000}"/>
    <cellStyle name="Normal 5 10 34" xfId="33639" xr:uid="{00000000-0005-0000-0000-000065830000}"/>
    <cellStyle name="Normal 5 10 34 10" xfId="33640" xr:uid="{00000000-0005-0000-0000-000066830000}"/>
    <cellStyle name="Normal 5 10 34 11" xfId="33641" xr:uid="{00000000-0005-0000-0000-000067830000}"/>
    <cellStyle name="Normal 5 10 34 12" xfId="33642" xr:uid="{00000000-0005-0000-0000-000068830000}"/>
    <cellStyle name="Normal 5 10 34 13" xfId="33643" xr:uid="{00000000-0005-0000-0000-000069830000}"/>
    <cellStyle name="Normal 5 10 34 14" xfId="33644" xr:uid="{00000000-0005-0000-0000-00006A830000}"/>
    <cellStyle name="Normal 5 10 34 2" xfId="33645" xr:uid="{00000000-0005-0000-0000-00006B830000}"/>
    <cellStyle name="Normal 5 10 34 2 10" xfId="33646" xr:uid="{00000000-0005-0000-0000-00006C830000}"/>
    <cellStyle name="Normal 5 10 34 2 2" xfId="33647" xr:uid="{00000000-0005-0000-0000-00006D830000}"/>
    <cellStyle name="Normal 5 10 34 2 3" xfId="33648" xr:uid="{00000000-0005-0000-0000-00006E830000}"/>
    <cellStyle name="Normal 5 10 34 2 4" xfId="33649" xr:uid="{00000000-0005-0000-0000-00006F830000}"/>
    <cellStyle name="Normal 5 10 34 2 5" xfId="33650" xr:uid="{00000000-0005-0000-0000-000070830000}"/>
    <cellStyle name="Normal 5 10 34 2 6" xfId="33651" xr:uid="{00000000-0005-0000-0000-000071830000}"/>
    <cellStyle name="Normal 5 10 34 2 7" xfId="33652" xr:uid="{00000000-0005-0000-0000-000072830000}"/>
    <cellStyle name="Normal 5 10 34 2 8" xfId="33653" xr:uid="{00000000-0005-0000-0000-000073830000}"/>
    <cellStyle name="Normal 5 10 34 2 9" xfId="33654" xr:uid="{00000000-0005-0000-0000-000074830000}"/>
    <cellStyle name="Normal 5 10 34 3" xfId="33655" xr:uid="{00000000-0005-0000-0000-000075830000}"/>
    <cellStyle name="Normal 5 10 34 3 10" xfId="33656" xr:uid="{00000000-0005-0000-0000-000076830000}"/>
    <cellStyle name="Normal 5 10 34 3 2" xfId="33657" xr:uid="{00000000-0005-0000-0000-000077830000}"/>
    <cellStyle name="Normal 5 10 34 3 3" xfId="33658" xr:uid="{00000000-0005-0000-0000-000078830000}"/>
    <cellStyle name="Normal 5 10 34 3 4" xfId="33659" xr:uid="{00000000-0005-0000-0000-000079830000}"/>
    <cellStyle name="Normal 5 10 34 3 5" xfId="33660" xr:uid="{00000000-0005-0000-0000-00007A830000}"/>
    <cellStyle name="Normal 5 10 34 3 6" xfId="33661" xr:uid="{00000000-0005-0000-0000-00007B830000}"/>
    <cellStyle name="Normal 5 10 34 3 7" xfId="33662" xr:uid="{00000000-0005-0000-0000-00007C830000}"/>
    <cellStyle name="Normal 5 10 34 3 8" xfId="33663" xr:uid="{00000000-0005-0000-0000-00007D830000}"/>
    <cellStyle name="Normal 5 10 34 3 9" xfId="33664" xr:uid="{00000000-0005-0000-0000-00007E830000}"/>
    <cellStyle name="Normal 5 10 34 4" xfId="33665" xr:uid="{00000000-0005-0000-0000-00007F830000}"/>
    <cellStyle name="Normal 5 10 34 4 10" xfId="33666" xr:uid="{00000000-0005-0000-0000-000080830000}"/>
    <cellStyle name="Normal 5 10 34 4 2" xfId="33667" xr:uid="{00000000-0005-0000-0000-000081830000}"/>
    <cellStyle name="Normal 5 10 34 4 3" xfId="33668" xr:uid="{00000000-0005-0000-0000-000082830000}"/>
    <cellStyle name="Normal 5 10 34 4 4" xfId="33669" xr:uid="{00000000-0005-0000-0000-000083830000}"/>
    <cellStyle name="Normal 5 10 34 4 5" xfId="33670" xr:uid="{00000000-0005-0000-0000-000084830000}"/>
    <cellStyle name="Normal 5 10 34 4 6" xfId="33671" xr:uid="{00000000-0005-0000-0000-000085830000}"/>
    <cellStyle name="Normal 5 10 34 4 7" xfId="33672" xr:uid="{00000000-0005-0000-0000-000086830000}"/>
    <cellStyle name="Normal 5 10 34 4 8" xfId="33673" xr:uid="{00000000-0005-0000-0000-000087830000}"/>
    <cellStyle name="Normal 5 10 34 4 9" xfId="33674" xr:uid="{00000000-0005-0000-0000-000088830000}"/>
    <cellStyle name="Normal 5 10 34 5" xfId="33675" xr:uid="{00000000-0005-0000-0000-000089830000}"/>
    <cellStyle name="Normal 5 10 34 5 10" xfId="33676" xr:uid="{00000000-0005-0000-0000-00008A830000}"/>
    <cellStyle name="Normal 5 10 34 5 2" xfId="33677" xr:uid="{00000000-0005-0000-0000-00008B830000}"/>
    <cellStyle name="Normal 5 10 34 5 3" xfId="33678" xr:uid="{00000000-0005-0000-0000-00008C830000}"/>
    <cellStyle name="Normal 5 10 34 5 4" xfId="33679" xr:uid="{00000000-0005-0000-0000-00008D830000}"/>
    <cellStyle name="Normal 5 10 34 5 5" xfId="33680" xr:uid="{00000000-0005-0000-0000-00008E830000}"/>
    <cellStyle name="Normal 5 10 34 5 6" xfId="33681" xr:uid="{00000000-0005-0000-0000-00008F830000}"/>
    <cellStyle name="Normal 5 10 34 5 7" xfId="33682" xr:uid="{00000000-0005-0000-0000-000090830000}"/>
    <cellStyle name="Normal 5 10 34 5 8" xfId="33683" xr:uid="{00000000-0005-0000-0000-000091830000}"/>
    <cellStyle name="Normal 5 10 34 5 9" xfId="33684" xr:uid="{00000000-0005-0000-0000-000092830000}"/>
    <cellStyle name="Normal 5 10 34 6" xfId="33685" xr:uid="{00000000-0005-0000-0000-000093830000}"/>
    <cellStyle name="Normal 5 10 34 7" xfId="33686" xr:uid="{00000000-0005-0000-0000-000094830000}"/>
    <cellStyle name="Normal 5 10 34 8" xfId="33687" xr:uid="{00000000-0005-0000-0000-000095830000}"/>
    <cellStyle name="Normal 5 10 34 9" xfId="33688" xr:uid="{00000000-0005-0000-0000-000096830000}"/>
    <cellStyle name="Normal 5 10 35" xfId="33689" xr:uid="{00000000-0005-0000-0000-000097830000}"/>
    <cellStyle name="Normal 5 10 35 10" xfId="33690" xr:uid="{00000000-0005-0000-0000-000098830000}"/>
    <cellStyle name="Normal 5 10 35 2" xfId="33691" xr:uid="{00000000-0005-0000-0000-000099830000}"/>
    <cellStyle name="Normal 5 10 35 3" xfId="33692" xr:uid="{00000000-0005-0000-0000-00009A830000}"/>
    <cellStyle name="Normal 5 10 35 4" xfId="33693" xr:uid="{00000000-0005-0000-0000-00009B830000}"/>
    <cellStyle name="Normal 5 10 35 5" xfId="33694" xr:uid="{00000000-0005-0000-0000-00009C830000}"/>
    <cellStyle name="Normal 5 10 35 6" xfId="33695" xr:uid="{00000000-0005-0000-0000-00009D830000}"/>
    <cellStyle name="Normal 5 10 35 7" xfId="33696" xr:uid="{00000000-0005-0000-0000-00009E830000}"/>
    <cellStyle name="Normal 5 10 35 8" xfId="33697" xr:uid="{00000000-0005-0000-0000-00009F830000}"/>
    <cellStyle name="Normal 5 10 35 9" xfId="33698" xr:uid="{00000000-0005-0000-0000-0000A0830000}"/>
    <cellStyle name="Normal 5 10 36" xfId="33699" xr:uid="{00000000-0005-0000-0000-0000A1830000}"/>
    <cellStyle name="Normal 5 10 36 10" xfId="33700" xr:uid="{00000000-0005-0000-0000-0000A2830000}"/>
    <cellStyle name="Normal 5 10 36 2" xfId="33701" xr:uid="{00000000-0005-0000-0000-0000A3830000}"/>
    <cellStyle name="Normal 5 10 36 3" xfId="33702" xr:uid="{00000000-0005-0000-0000-0000A4830000}"/>
    <cellStyle name="Normal 5 10 36 4" xfId="33703" xr:uid="{00000000-0005-0000-0000-0000A5830000}"/>
    <cellStyle name="Normal 5 10 36 5" xfId="33704" xr:uid="{00000000-0005-0000-0000-0000A6830000}"/>
    <cellStyle name="Normal 5 10 36 6" xfId="33705" xr:uid="{00000000-0005-0000-0000-0000A7830000}"/>
    <cellStyle name="Normal 5 10 36 7" xfId="33706" xr:uid="{00000000-0005-0000-0000-0000A8830000}"/>
    <cellStyle name="Normal 5 10 36 8" xfId="33707" xr:uid="{00000000-0005-0000-0000-0000A9830000}"/>
    <cellStyle name="Normal 5 10 36 9" xfId="33708" xr:uid="{00000000-0005-0000-0000-0000AA830000}"/>
    <cellStyle name="Normal 5 10 37" xfId="33709" xr:uid="{00000000-0005-0000-0000-0000AB830000}"/>
    <cellStyle name="Normal 5 10 37 10" xfId="33710" xr:uid="{00000000-0005-0000-0000-0000AC830000}"/>
    <cellStyle name="Normal 5 10 37 2" xfId="33711" xr:uid="{00000000-0005-0000-0000-0000AD830000}"/>
    <cellStyle name="Normal 5 10 37 3" xfId="33712" xr:uid="{00000000-0005-0000-0000-0000AE830000}"/>
    <cellStyle name="Normal 5 10 37 4" xfId="33713" xr:uid="{00000000-0005-0000-0000-0000AF830000}"/>
    <cellStyle name="Normal 5 10 37 5" xfId="33714" xr:uid="{00000000-0005-0000-0000-0000B0830000}"/>
    <cellStyle name="Normal 5 10 37 6" xfId="33715" xr:uid="{00000000-0005-0000-0000-0000B1830000}"/>
    <cellStyle name="Normal 5 10 37 7" xfId="33716" xr:uid="{00000000-0005-0000-0000-0000B2830000}"/>
    <cellStyle name="Normal 5 10 37 8" xfId="33717" xr:uid="{00000000-0005-0000-0000-0000B3830000}"/>
    <cellStyle name="Normal 5 10 37 9" xfId="33718" xr:uid="{00000000-0005-0000-0000-0000B4830000}"/>
    <cellStyle name="Normal 5 10 38" xfId="33719" xr:uid="{00000000-0005-0000-0000-0000B5830000}"/>
    <cellStyle name="Normal 5 10 38 10" xfId="33720" xr:uid="{00000000-0005-0000-0000-0000B6830000}"/>
    <cellStyle name="Normal 5 10 38 2" xfId="33721" xr:uid="{00000000-0005-0000-0000-0000B7830000}"/>
    <cellStyle name="Normal 5 10 38 3" xfId="33722" xr:uid="{00000000-0005-0000-0000-0000B8830000}"/>
    <cellStyle name="Normal 5 10 38 4" xfId="33723" xr:uid="{00000000-0005-0000-0000-0000B9830000}"/>
    <cellStyle name="Normal 5 10 38 5" xfId="33724" xr:uid="{00000000-0005-0000-0000-0000BA830000}"/>
    <cellStyle name="Normal 5 10 38 6" xfId="33725" xr:uid="{00000000-0005-0000-0000-0000BB830000}"/>
    <cellStyle name="Normal 5 10 38 7" xfId="33726" xr:uid="{00000000-0005-0000-0000-0000BC830000}"/>
    <cellStyle name="Normal 5 10 38 8" xfId="33727" xr:uid="{00000000-0005-0000-0000-0000BD830000}"/>
    <cellStyle name="Normal 5 10 38 9" xfId="33728" xr:uid="{00000000-0005-0000-0000-0000BE830000}"/>
    <cellStyle name="Normal 5 10 39" xfId="33729" xr:uid="{00000000-0005-0000-0000-0000BF830000}"/>
    <cellStyle name="Normal 5 10 4" xfId="33730" xr:uid="{00000000-0005-0000-0000-0000C0830000}"/>
    <cellStyle name="Normal 5 10 4 10" xfId="33731" xr:uid="{00000000-0005-0000-0000-0000C1830000}"/>
    <cellStyle name="Normal 5 10 4 11" xfId="33732" xr:uid="{00000000-0005-0000-0000-0000C2830000}"/>
    <cellStyle name="Normal 5 10 4 12" xfId="33733" xr:uid="{00000000-0005-0000-0000-0000C3830000}"/>
    <cellStyle name="Normal 5 10 4 13" xfId="33734" xr:uid="{00000000-0005-0000-0000-0000C4830000}"/>
    <cellStyle name="Normal 5 10 4 14" xfId="33735" xr:uid="{00000000-0005-0000-0000-0000C5830000}"/>
    <cellStyle name="Normal 5 10 4 2" xfId="33736" xr:uid="{00000000-0005-0000-0000-0000C6830000}"/>
    <cellStyle name="Normal 5 10 4 2 10" xfId="33737" xr:uid="{00000000-0005-0000-0000-0000C7830000}"/>
    <cellStyle name="Normal 5 10 4 2 2" xfId="33738" xr:uid="{00000000-0005-0000-0000-0000C8830000}"/>
    <cellStyle name="Normal 5 10 4 2 3" xfId="33739" xr:uid="{00000000-0005-0000-0000-0000C9830000}"/>
    <cellStyle name="Normal 5 10 4 2 4" xfId="33740" xr:uid="{00000000-0005-0000-0000-0000CA830000}"/>
    <cellStyle name="Normal 5 10 4 2 5" xfId="33741" xr:uid="{00000000-0005-0000-0000-0000CB830000}"/>
    <cellStyle name="Normal 5 10 4 2 6" xfId="33742" xr:uid="{00000000-0005-0000-0000-0000CC830000}"/>
    <cellStyle name="Normal 5 10 4 2 7" xfId="33743" xr:uid="{00000000-0005-0000-0000-0000CD830000}"/>
    <cellStyle name="Normal 5 10 4 2 8" xfId="33744" xr:uid="{00000000-0005-0000-0000-0000CE830000}"/>
    <cellStyle name="Normal 5 10 4 2 9" xfId="33745" xr:uid="{00000000-0005-0000-0000-0000CF830000}"/>
    <cellStyle name="Normal 5 10 4 3" xfId="33746" xr:uid="{00000000-0005-0000-0000-0000D0830000}"/>
    <cellStyle name="Normal 5 10 4 3 10" xfId="33747" xr:uid="{00000000-0005-0000-0000-0000D1830000}"/>
    <cellStyle name="Normal 5 10 4 3 2" xfId="33748" xr:uid="{00000000-0005-0000-0000-0000D2830000}"/>
    <cellStyle name="Normal 5 10 4 3 3" xfId="33749" xr:uid="{00000000-0005-0000-0000-0000D3830000}"/>
    <cellStyle name="Normal 5 10 4 3 4" xfId="33750" xr:uid="{00000000-0005-0000-0000-0000D4830000}"/>
    <cellStyle name="Normal 5 10 4 3 5" xfId="33751" xr:uid="{00000000-0005-0000-0000-0000D5830000}"/>
    <cellStyle name="Normal 5 10 4 3 6" xfId="33752" xr:uid="{00000000-0005-0000-0000-0000D6830000}"/>
    <cellStyle name="Normal 5 10 4 3 7" xfId="33753" xr:uid="{00000000-0005-0000-0000-0000D7830000}"/>
    <cellStyle name="Normal 5 10 4 3 8" xfId="33754" xr:uid="{00000000-0005-0000-0000-0000D8830000}"/>
    <cellStyle name="Normal 5 10 4 3 9" xfId="33755" xr:uid="{00000000-0005-0000-0000-0000D9830000}"/>
    <cellStyle name="Normal 5 10 4 4" xfId="33756" xr:uid="{00000000-0005-0000-0000-0000DA830000}"/>
    <cellStyle name="Normal 5 10 4 4 10" xfId="33757" xr:uid="{00000000-0005-0000-0000-0000DB830000}"/>
    <cellStyle name="Normal 5 10 4 4 2" xfId="33758" xr:uid="{00000000-0005-0000-0000-0000DC830000}"/>
    <cellStyle name="Normal 5 10 4 4 3" xfId="33759" xr:uid="{00000000-0005-0000-0000-0000DD830000}"/>
    <cellStyle name="Normal 5 10 4 4 4" xfId="33760" xr:uid="{00000000-0005-0000-0000-0000DE830000}"/>
    <cellStyle name="Normal 5 10 4 4 5" xfId="33761" xr:uid="{00000000-0005-0000-0000-0000DF830000}"/>
    <cellStyle name="Normal 5 10 4 4 6" xfId="33762" xr:uid="{00000000-0005-0000-0000-0000E0830000}"/>
    <cellStyle name="Normal 5 10 4 4 7" xfId="33763" xr:uid="{00000000-0005-0000-0000-0000E1830000}"/>
    <cellStyle name="Normal 5 10 4 4 8" xfId="33764" xr:uid="{00000000-0005-0000-0000-0000E2830000}"/>
    <cellStyle name="Normal 5 10 4 4 9" xfId="33765" xr:uid="{00000000-0005-0000-0000-0000E3830000}"/>
    <cellStyle name="Normal 5 10 4 5" xfId="33766" xr:uid="{00000000-0005-0000-0000-0000E4830000}"/>
    <cellStyle name="Normal 5 10 4 5 10" xfId="33767" xr:uid="{00000000-0005-0000-0000-0000E5830000}"/>
    <cellStyle name="Normal 5 10 4 5 2" xfId="33768" xr:uid="{00000000-0005-0000-0000-0000E6830000}"/>
    <cellStyle name="Normal 5 10 4 5 3" xfId="33769" xr:uid="{00000000-0005-0000-0000-0000E7830000}"/>
    <cellStyle name="Normal 5 10 4 5 4" xfId="33770" xr:uid="{00000000-0005-0000-0000-0000E8830000}"/>
    <cellStyle name="Normal 5 10 4 5 5" xfId="33771" xr:uid="{00000000-0005-0000-0000-0000E9830000}"/>
    <cellStyle name="Normal 5 10 4 5 6" xfId="33772" xr:uid="{00000000-0005-0000-0000-0000EA830000}"/>
    <cellStyle name="Normal 5 10 4 5 7" xfId="33773" xr:uid="{00000000-0005-0000-0000-0000EB830000}"/>
    <cellStyle name="Normal 5 10 4 5 8" xfId="33774" xr:uid="{00000000-0005-0000-0000-0000EC830000}"/>
    <cellStyle name="Normal 5 10 4 5 9" xfId="33775" xr:uid="{00000000-0005-0000-0000-0000ED830000}"/>
    <cellStyle name="Normal 5 10 4 6" xfId="33776" xr:uid="{00000000-0005-0000-0000-0000EE830000}"/>
    <cellStyle name="Normal 5 10 4 7" xfId="33777" xr:uid="{00000000-0005-0000-0000-0000EF830000}"/>
    <cellStyle name="Normal 5 10 4 8" xfId="33778" xr:uid="{00000000-0005-0000-0000-0000F0830000}"/>
    <cellStyle name="Normal 5 10 4 9" xfId="33779" xr:uid="{00000000-0005-0000-0000-0000F1830000}"/>
    <cellStyle name="Normal 5 10 40" xfId="33780" xr:uid="{00000000-0005-0000-0000-0000F2830000}"/>
    <cellStyle name="Normal 5 10 41" xfId="33781" xr:uid="{00000000-0005-0000-0000-0000F3830000}"/>
    <cellStyle name="Normal 5 10 42" xfId="33782" xr:uid="{00000000-0005-0000-0000-0000F4830000}"/>
    <cellStyle name="Normal 5 10 43" xfId="33783" xr:uid="{00000000-0005-0000-0000-0000F5830000}"/>
    <cellStyle name="Normal 5 10 44" xfId="33784" xr:uid="{00000000-0005-0000-0000-0000F6830000}"/>
    <cellStyle name="Normal 5 10 45" xfId="33785" xr:uid="{00000000-0005-0000-0000-0000F7830000}"/>
    <cellStyle name="Normal 5 10 46" xfId="33786" xr:uid="{00000000-0005-0000-0000-0000F8830000}"/>
    <cellStyle name="Normal 5 10 47" xfId="33787" xr:uid="{00000000-0005-0000-0000-0000F9830000}"/>
    <cellStyle name="Normal 5 10 48" xfId="33788" xr:uid="{00000000-0005-0000-0000-0000FA830000}"/>
    <cellStyle name="Normal 5 10 49" xfId="33789" xr:uid="{00000000-0005-0000-0000-0000FB830000}"/>
    <cellStyle name="Normal 5 10 5" xfId="33790" xr:uid="{00000000-0005-0000-0000-0000FC830000}"/>
    <cellStyle name="Normal 5 10 5 10" xfId="33791" xr:uid="{00000000-0005-0000-0000-0000FD830000}"/>
    <cellStyle name="Normal 5 10 5 11" xfId="33792" xr:uid="{00000000-0005-0000-0000-0000FE830000}"/>
    <cellStyle name="Normal 5 10 5 12" xfId="33793" xr:uid="{00000000-0005-0000-0000-0000FF830000}"/>
    <cellStyle name="Normal 5 10 5 13" xfId="33794" xr:uid="{00000000-0005-0000-0000-000000840000}"/>
    <cellStyle name="Normal 5 10 5 14" xfId="33795" xr:uid="{00000000-0005-0000-0000-000001840000}"/>
    <cellStyle name="Normal 5 10 5 2" xfId="33796" xr:uid="{00000000-0005-0000-0000-000002840000}"/>
    <cellStyle name="Normal 5 10 5 2 10" xfId="33797" xr:uid="{00000000-0005-0000-0000-000003840000}"/>
    <cellStyle name="Normal 5 10 5 2 2" xfId="33798" xr:uid="{00000000-0005-0000-0000-000004840000}"/>
    <cellStyle name="Normal 5 10 5 2 3" xfId="33799" xr:uid="{00000000-0005-0000-0000-000005840000}"/>
    <cellStyle name="Normal 5 10 5 2 4" xfId="33800" xr:uid="{00000000-0005-0000-0000-000006840000}"/>
    <cellStyle name="Normal 5 10 5 2 5" xfId="33801" xr:uid="{00000000-0005-0000-0000-000007840000}"/>
    <cellStyle name="Normal 5 10 5 2 6" xfId="33802" xr:uid="{00000000-0005-0000-0000-000008840000}"/>
    <cellStyle name="Normal 5 10 5 2 7" xfId="33803" xr:uid="{00000000-0005-0000-0000-000009840000}"/>
    <cellStyle name="Normal 5 10 5 2 8" xfId="33804" xr:uid="{00000000-0005-0000-0000-00000A840000}"/>
    <cellStyle name="Normal 5 10 5 2 9" xfId="33805" xr:uid="{00000000-0005-0000-0000-00000B840000}"/>
    <cellStyle name="Normal 5 10 5 3" xfId="33806" xr:uid="{00000000-0005-0000-0000-00000C840000}"/>
    <cellStyle name="Normal 5 10 5 3 10" xfId="33807" xr:uid="{00000000-0005-0000-0000-00000D840000}"/>
    <cellStyle name="Normal 5 10 5 3 2" xfId="33808" xr:uid="{00000000-0005-0000-0000-00000E840000}"/>
    <cellStyle name="Normal 5 10 5 3 3" xfId="33809" xr:uid="{00000000-0005-0000-0000-00000F840000}"/>
    <cellStyle name="Normal 5 10 5 3 4" xfId="33810" xr:uid="{00000000-0005-0000-0000-000010840000}"/>
    <cellStyle name="Normal 5 10 5 3 5" xfId="33811" xr:uid="{00000000-0005-0000-0000-000011840000}"/>
    <cellStyle name="Normal 5 10 5 3 6" xfId="33812" xr:uid="{00000000-0005-0000-0000-000012840000}"/>
    <cellStyle name="Normal 5 10 5 3 7" xfId="33813" xr:uid="{00000000-0005-0000-0000-000013840000}"/>
    <cellStyle name="Normal 5 10 5 3 8" xfId="33814" xr:uid="{00000000-0005-0000-0000-000014840000}"/>
    <cellStyle name="Normal 5 10 5 3 9" xfId="33815" xr:uid="{00000000-0005-0000-0000-000015840000}"/>
    <cellStyle name="Normal 5 10 5 4" xfId="33816" xr:uid="{00000000-0005-0000-0000-000016840000}"/>
    <cellStyle name="Normal 5 10 5 4 10" xfId="33817" xr:uid="{00000000-0005-0000-0000-000017840000}"/>
    <cellStyle name="Normal 5 10 5 4 2" xfId="33818" xr:uid="{00000000-0005-0000-0000-000018840000}"/>
    <cellStyle name="Normal 5 10 5 4 3" xfId="33819" xr:uid="{00000000-0005-0000-0000-000019840000}"/>
    <cellStyle name="Normal 5 10 5 4 4" xfId="33820" xr:uid="{00000000-0005-0000-0000-00001A840000}"/>
    <cellStyle name="Normal 5 10 5 4 5" xfId="33821" xr:uid="{00000000-0005-0000-0000-00001B840000}"/>
    <cellStyle name="Normal 5 10 5 4 6" xfId="33822" xr:uid="{00000000-0005-0000-0000-00001C840000}"/>
    <cellStyle name="Normal 5 10 5 4 7" xfId="33823" xr:uid="{00000000-0005-0000-0000-00001D840000}"/>
    <cellStyle name="Normal 5 10 5 4 8" xfId="33824" xr:uid="{00000000-0005-0000-0000-00001E840000}"/>
    <cellStyle name="Normal 5 10 5 4 9" xfId="33825" xr:uid="{00000000-0005-0000-0000-00001F840000}"/>
    <cellStyle name="Normal 5 10 5 5" xfId="33826" xr:uid="{00000000-0005-0000-0000-000020840000}"/>
    <cellStyle name="Normal 5 10 5 5 10" xfId="33827" xr:uid="{00000000-0005-0000-0000-000021840000}"/>
    <cellStyle name="Normal 5 10 5 5 2" xfId="33828" xr:uid="{00000000-0005-0000-0000-000022840000}"/>
    <cellStyle name="Normal 5 10 5 5 3" xfId="33829" xr:uid="{00000000-0005-0000-0000-000023840000}"/>
    <cellStyle name="Normal 5 10 5 5 4" xfId="33830" xr:uid="{00000000-0005-0000-0000-000024840000}"/>
    <cellStyle name="Normal 5 10 5 5 5" xfId="33831" xr:uid="{00000000-0005-0000-0000-000025840000}"/>
    <cellStyle name="Normal 5 10 5 5 6" xfId="33832" xr:uid="{00000000-0005-0000-0000-000026840000}"/>
    <cellStyle name="Normal 5 10 5 5 7" xfId="33833" xr:uid="{00000000-0005-0000-0000-000027840000}"/>
    <cellStyle name="Normal 5 10 5 5 8" xfId="33834" xr:uid="{00000000-0005-0000-0000-000028840000}"/>
    <cellStyle name="Normal 5 10 5 5 9" xfId="33835" xr:uid="{00000000-0005-0000-0000-000029840000}"/>
    <cellStyle name="Normal 5 10 5 6" xfId="33836" xr:uid="{00000000-0005-0000-0000-00002A840000}"/>
    <cellStyle name="Normal 5 10 5 7" xfId="33837" xr:uid="{00000000-0005-0000-0000-00002B840000}"/>
    <cellStyle name="Normal 5 10 5 8" xfId="33838" xr:uid="{00000000-0005-0000-0000-00002C840000}"/>
    <cellStyle name="Normal 5 10 5 9" xfId="33839" xr:uid="{00000000-0005-0000-0000-00002D840000}"/>
    <cellStyle name="Normal 5 10 6" xfId="33840" xr:uid="{00000000-0005-0000-0000-00002E840000}"/>
    <cellStyle name="Normal 5 10 6 10" xfId="33841" xr:uid="{00000000-0005-0000-0000-00002F840000}"/>
    <cellStyle name="Normal 5 10 6 11" xfId="33842" xr:uid="{00000000-0005-0000-0000-000030840000}"/>
    <cellStyle name="Normal 5 10 6 12" xfId="33843" xr:uid="{00000000-0005-0000-0000-000031840000}"/>
    <cellStyle name="Normal 5 10 6 13" xfId="33844" xr:uid="{00000000-0005-0000-0000-000032840000}"/>
    <cellStyle name="Normal 5 10 6 14" xfId="33845" xr:uid="{00000000-0005-0000-0000-000033840000}"/>
    <cellStyle name="Normal 5 10 6 2" xfId="33846" xr:uid="{00000000-0005-0000-0000-000034840000}"/>
    <cellStyle name="Normal 5 10 6 2 10" xfId="33847" xr:uid="{00000000-0005-0000-0000-000035840000}"/>
    <cellStyle name="Normal 5 10 6 2 2" xfId="33848" xr:uid="{00000000-0005-0000-0000-000036840000}"/>
    <cellStyle name="Normal 5 10 6 2 3" xfId="33849" xr:uid="{00000000-0005-0000-0000-000037840000}"/>
    <cellStyle name="Normal 5 10 6 2 4" xfId="33850" xr:uid="{00000000-0005-0000-0000-000038840000}"/>
    <cellStyle name="Normal 5 10 6 2 5" xfId="33851" xr:uid="{00000000-0005-0000-0000-000039840000}"/>
    <cellStyle name="Normal 5 10 6 2 6" xfId="33852" xr:uid="{00000000-0005-0000-0000-00003A840000}"/>
    <cellStyle name="Normal 5 10 6 2 7" xfId="33853" xr:uid="{00000000-0005-0000-0000-00003B840000}"/>
    <cellStyle name="Normal 5 10 6 2 8" xfId="33854" xr:uid="{00000000-0005-0000-0000-00003C840000}"/>
    <cellStyle name="Normal 5 10 6 2 9" xfId="33855" xr:uid="{00000000-0005-0000-0000-00003D840000}"/>
    <cellStyle name="Normal 5 10 6 3" xfId="33856" xr:uid="{00000000-0005-0000-0000-00003E840000}"/>
    <cellStyle name="Normal 5 10 6 3 10" xfId="33857" xr:uid="{00000000-0005-0000-0000-00003F840000}"/>
    <cellStyle name="Normal 5 10 6 3 2" xfId="33858" xr:uid="{00000000-0005-0000-0000-000040840000}"/>
    <cellStyle name="Normal 5 10 6 3 3" xfId="33859" xr:uid="{00000000-0005-0000-0000-000041840000}"/>
    <cellStyle name="Normal 5 10 6 3 4" xfId="33860" xr:uid="{00000000-0005-0000-0000-000042840000}"/>
    <cellStyle name="Normal 5 10 6 3 5" xfId="33861" xr:uid="{00000000-0005-0000-0000-000043840000}"/>
    <cellStyle name="Normal 5 10 6 3 6" xfId="33862" xr:uid="{00000000-0005-0000-0000-000044840000}"/>
    <cellStyle name="Normal 5 10 6 3 7" xfId="33863" xr:uid="{00000000-0005-0000-0000-000045840000}"/>
    <cellStyle name="Normal 5 10 6 3 8" xfId="33864" xr:uid="{00000000-0005-0000-0000-000046840000}"/>
    <cellStyle name="Normal 5 10 6 3 9" xfId="33865" xr:uid="{00000000-0005-0000-0000-000047840000}"/>
    <cellStyle name="Normal 5 10 6 4" xfId="33866" xr:uid="{00000000-0005-0000-0000-000048840000}"/>
    <cellStyle name="Normal 5 10 6 4 10" xfId="33867" xr:uid="{00000000-0005-0000-0000-000049840000}"/>
    <cellStyle name="Normal 5 10 6 4 2" xfId="33868" xr:uid="{00000000-0005-0000-0000-00004A840000}"/>
    <cellStyle name="Normal 5 10 6 4 3" xfId="33869" xr:uid="{00000000-0005-0000-0000-00004B840000}"/>
    <cellStyle name="Normal 5 10 6 4 4" xfId="33870" xr:uid="{00000000-0005-0000-0000-00004C840000}"/>
    <cellStyle name="Normal 5 10 6 4 5" xfId="33871" xr:uid="{00000000-0005-0000-0000-00004D840000}"/>
    <cellStyle name="Normal 5 10 6 4 6" xfId="33872" xr:uid="{00000000-0005-0000-0000-00004E840000}"/>
    <cellStyle name="Normal 5 10 6 4 7" xfId="33873" xr:uid="{00000000-0005-0000-0000-00004F840000}"/>
    <cellStyle name="Normal 5 10 6 4 8" xfId="33874" xr:uid="{00000000-0005-0000-0000-000050840000}"/>
    <cellStyle name="Normal 5 10 6 4 9" xfId="33875" xr:uid="{00000000-0005-0000-0000-000051840000}"/>
    <cellStyle name="Normal 5 10 6 5" xfId="33876" xr:uid="{00000000-0005-0000-0000-000052840000}"/>
    <cellStyle name="Normal 5 10 6 5 10" xfId="33877" xr:uid="{00000000-0005-0000-0000-000053840000}"/>
    <cellStyle name="Normal 5 10 6 5 2" xfId="33878" xr:uid="{00000000-0005-0000-0000-000054840000}"/>
    <cellStyle name="Normal 5 10 6 5 3" xfId="33879" xr:uid="{00000000-0005-0000-0000-000055840000}"/>
    <cellStyle name="Normal 5 10 6 5 4" xfId="33880" xr:uid="{00000000-0005-0000-0000-000056840000}"/>
    <cellStyle name="Normal 5 10 6 5 5" xfId="33881" xr:uid="{00000000-0005-0000-0000-000057840000}"/>
    <cellStyle name="Normal 5 10 6 5 6" xfId="33882" xr:uid="{00000000-0005-0000-0000-000058840000}"/>
    <cellStyle name="Normal 5 10 6 5 7" xfId="33883" xr:uid="{00000000-0005-0000-0000-000059840000}"/>
    <cellStyle name="Normal 5 10 6 5 8" xfId="33884" xr:uid="{00000000-0005-0000-0000-00005A840000}"/>
    <cellStyle name="Normal 5 10 6 5 9" xfId="33885" xr:uid="{00000000-0005-0000-0000-00005B840000}"/>
    <cellStyle name="Normal 5 10 6 6" xfId="33886" xr:uid="{00000000-0005-0000-0000-00005C840000}"/>
    <cellStyle name="Normal 5 10 6 7" xfId="33887" xr:uid="{00000000-0005-0000-0000-00005D840000}"/>
    <cellStyle name="Normal 5 10 6 8" xfId="33888" xr:uid="{00000000-0005-0000-0000-00005E840000}"/>
    <cellStyle name="Normal 5 10 6 9" xfId="33889" xr:uid="{00000000-0005-0000-0000-00005F840000}"/>
    <cellStyle name="Normal 5 10 7" xfId="33890" xr:uid="{00000000-0005-0000-0000-000060840000}"/>
    <cellStyle name="Normal 5 10 7 10" xfId="33891" xr:uid="{00000000-0005-0000-0000-000061840000}"/>
    <cellStyle name="Normal 5 10 7 11" xfId="33892" xr:uid="{00000000-0005-0000-0000-000062840000}"/>
    <cellStyle name="Normal 5 10 7 12" xfId="33893" xr:uid="{00000000-0005-0000-0000-000063840000}"/>
    <cellStyle name="Normal 5 10 7 13" xfId="33894" xr:uid="{00000000-0005-0000-0000-000064840000}"/>
    <cellStyle name="Normal 5 10 7 14" xfId="33895" xr:uid="{00000000-0005-0000-0000-000065840000}"/>
    <cellStyle name="Normal 5 10 7 2" xfId="33896" xr:uid="{00000000-0005-0000-0000-000066840000}"/>
    <cellStyle name="Normal 5 10 7 2 10" xfId="33897" xr:uid="{00000000-0005-0000-0000-000067840000}"/>
    <cellStyle name="Normal 5 10 7 2 2" xfId="33898" xr:uid="{00000000-0005-0000-0000-000068840000}"/>
    <cellStyle name="Normal 5 10 7 2 3" xfId="33899" xr:uid="{00000000-0005-0000-0000-000069840000}"/>
    <cellStyle name="Normal 5 10 7 2 4" xfId="33900" xr:uid="{00000000-0005-0000-0000-00006A840000}"/>
    <cellStyle name="Normal 5 10 7 2 5" xfId="33901" xr:uid="{00000000-0005-0000-0000-00006B840000}"/>
    <cellStyle name="Normal 5 10 7 2 6" xfId="33902" xr:uid="{00000000-0005-0000-0000-00006C840000}"/>
    <cellStyle name="Normal 5 10 7 2 7" xfId="33903" xr:uid="{00000000-0005-0000-0000-00006D840000}"/>
    <cellStyle name="Normal 5 10 7 2 8" xfId="33904" xr:uid="{00000000-0005-0000-0000-00006E840000}"/>
    <cellStyle name="Normal 5 10 7 2 9" xfId="33905" xr:uid="{00000000-0005-0000-0000-00006F840000}"/>
    <cellStyle name="Normal 5 10 7 3" xfId="33906" xr:uid="{00000000-0005-0000-0000-000070840000}"/>
    <cellStyle name="Normal 5 10 7 3 10" xfId="33907" xr:uid="{00000000-0005-0000-0000-000071840000}"/>
    <cellStyle name="Normal 5 10 7 3 2" xfId="33908" xr:uid="{00000000-0005-0000-0000-000072840000}"/>
    <cellStyle name="Normal 5 10 7 3 3" xfId="33909" xr:uid="{00000000-0005-0000-0000-000073840000}"/>
    <cellStyle name="Normal 5 10 7 3 4" xfId="33910" xr:uid="{00000000-0005-0000-0000-000074840000}"/>
    <cellStyle name="Normal 5 10 7 3 5" xfId="33911" xr:uid="{00000000-0005-0000-0000-000075840000}"/>
    <cellStyle name="Normal 5 10 7 3 6" xfId="33912" xr:uid="{00000000-0005-0000-0000-000076840000}"/>
    <cellStyle name="Normal 5 10 7 3 7" xfId="33913" xr:uid="{00000000-0005-0000-0000-000077840000}"/>
    <cellStyle name="Normal 5 10 7 3 8" xfId="33914" xr:uid="{00000000-0005-0000-0000-000078840000}"/>
    <cellStyle name="Normal 5 10 7 3 9" xfId="33915" xr:uid="{00000000-0005-0000-0000-000079840000}"/>
    <cellStyle name="Normal 5 10 7 4" xfId="33916" xr:uid="{00000000-0005-0000-0000-00007A840000}"/>
    <cellStyle name="Normal 5 10 7 4 10" xfId="33917" xr:uid="{00000000-0005-0000-0000-00007B840000}"/>
    <cellStyle name="Normal 5 10 7 4 2" xfId="33918" xr:uid="{00000000-0005-0000-0000-00007C840000}"/>
    <cellStyle name="Normal 5 10 7 4 3" xfId="33919" xr:uid="{00000000-0005-0000-0000-00007D840000}"/>
    <cellStyle name="Normal 5 10 7 4 4" xfId="33920" xr:uid="{00000000-0005-0000-0000-00007E840000}"/>
    <cellStyle name="Normal 5 10 7 4 5" xfId="33921" xr:uid="{00000000-0005-0000-0000-00007F840000}"/>
    <cellStyle name="Normal 5 10 7 4 6" xfId="33922" xr:uid="{00000000-0005-0000-0000-000080840000}"/>
    <cellStyle name="Normal 5 10 7 4 7" xfId="33923" xr:uid="{00000000-0005-0000-0000-000081840000}"/>
    <cellStyle name="Normal 5 10 7 4 8" xfId="33924" xr:uid="{00000000-0005-0000-0000-000082840000}"/>
    <cellStyle name="Normal 5 10 7 4 9" xfId="33925" xr:uid="{00000000-0005-0000-0000-000083840000}"/>
    <cellStyle name="Normal 5 10 7 5" xfId="33926" xr:uid="{00000000-0005-0000-0000-000084840000}"/>
    <cellStyle name="Normal 5 10 7 5 10" xfId="33927" xr:uid="{00000000-0005-0000-0000-000085840000}"/>
    <cellStyle name="Normal 5 10 7 5 2" xfId="33928" xr:uid="{00000000-0005-0000-0000-000086840000}"/>
    <cellStyle name="Normal 5 10 7 5 3" xfId="33929" xr:uid="{00000000-0005-0000-0000-000087840000}"/>
    <cellStyle name="Normal 5 10 7 5 4" xfId="33930" xr:uid="{00000000-0005-0000-0000-000088840000}"/>
    <cellStyle name="Normal 5 10 7 5 5" xfId="33931" xr:uid="{00000000-0005-0000-0000-000089840000}"/>
    <cellStyle name="Normal 5 10 7 5 6" xfId="33932" xr:uid="{00000000-0005-0000-0000-00008A840000}"/>
    <cellStyle name="Normal 5 10 7 5 7" xfId="33933" xr:uid="{00000000-0005-0000-0000-00008B840000}"/>
    <cellStyle name="Normal 5 10 7 5 8" xfId="33934" xr:uid="{00000000-0005-0000-0000-00008C840000}"/>
    <cellStyle name="Normal 5 10 7 5 9" xfId="33935" xr:uid="{00000000-0005-0000-0000-00008D840000}"/>
    <cellStyle name="Normal 5 10 7 6" xfId="33936" xr:uid="{00000000-0005-0000-0000-00008E840000}"/>
    <cellStyle name="Normal 5 10 7 7" xfId="33937" xr:uid="{00000000-0005-0000-0000-00008F840000}"/>
    <cellStyle name="Normal 5 10 7 8" xfId="33938" xr:uid="{00000000-0005-0000-0000-000090840000}"/>
    <cellStyle name="Normal 5 10 7 9" xfId="33939" xr:uid="{00000000-0005-0000-0000-000091840000}"/>
    <cellStyle name="Normal 5 10 8" xfId="33940" xr:uid="{00000000-0005-0000-0000-000092840000}"/>
    <cellStyle name="Normal 5 10 8 10" xfId="33941" xr:uid="{00000000-0005-0000-0000-000093840000}"/>
    <cellStyle name="Normal 5 10 8 11" xfId="33942" xr:uid="{00000000-0005-0000-0000-000094840000}"/>
    <cellStyle name="Normal 5 10 8 12" xfId="33943" xr:uid="{00000000-0005-0000-0000-000095840000}"/>
    <cellStyle name="Normal 5 10 8 13" xfId="33944" xr:uid="{00000000-0005-0000-0000-000096840000}"/>
    <cellStyle name="Normal 5 10 8 14" xfId="33945" xr:uid="{00000000-0005-0000-0000-000097840000}"/>
    <cellStyle name="Normal 5 10 8 2" xfId="33946" xr:uid="{00000000-0005-0000-0000-000098840000}"/>
    <cellStyle name="Normal 5 10 8 2 10" xfId="33947" xr:uid="{00000000-0005-0000-0000-000099840000}"/>
    <cellStyle name="Normal 5 10 8 2 2" xfId="33948" xr:uid="{00000000-0005-0000-0000-00009A840000}"/>
    <cellStyle name="Normal 5 10 8 2 3" xfId="33949" xr:uid="{00000000-0005-0000-0000-00009B840000}"/>
    <cellStyle name="Normal 5 10 8 2 4" xfId="33950" xr:uid="{00000000-0005-0000-0000-00009C840000}"/>
    <cellStyle name="Normal 5 10 8 2 5" xfId="33951" xr:uid="{00000000-0005-0000-0000-00009D840000}"/>
    <cellStyle name="Normal 5 10 8 2 6" xfId="33952" xr:uid="{00000000-0005-0000-0000-00009E840000}"/>
    <cellStyle name="Normal 5 10 8 2 7" xfId="33953" xr:uid="{00000000-0005-0000-0000-00009F840000}"/>
    <cellStyle name="Normal 5 10 8 2 8" xfId="33954" xr:uid="{00000000-0005-0000-0000-0000A0840000}"/>
    <cellStyle name="Normal 5 10 8 2 9" xfId="33955" xr:uid="{00000000-0005-0000-0000-0000A1840000}"/>
    <cellStyle name="Normal 5 10 8 3" xfId="33956" xr:uid="{00000000-0005-0000-0000-0000A2840000}"/>
    <cellStyle name="Normal 5 10 8 3 10" xfId="33957" xr:uid="{00000000-0005-0000-0000-0000A3840000}"/>
    <cellStyle name="Normal 5 10 8 3 2" xfId="33958" xr:uid="{00000000-0005-0000-0000-0000A4840000}"/>
    <cellStyle name="Normal 5 10 8 3 3" xfId="33959" xr:uid="{00000000-0005-0000-0000-0000A5840000}"/>
    <cellStyle name="Normal 5 10 8 3 4" xfId="33960" xr:uid="{00000000-0005-0000-0000-0000A6840000}"/>
    <cellStyle name="Normal 5 10 8 3 5" xfId="33961" xr:uid="{00000000-0005-0000-0000-0000A7840000}"/>
    <cellStyle name="Normal 5 10 8 3 6" xfId="33962" xr:uid="{00000000-0005-0000-0000-0000A8840000}"/>
    <cellStyle name="Normal 5 10 8 3 7" xfId="33963" xr:uid="{00000000-0005-0000-0000-0000A9840000}"/>
    <cellStyle name="Normal 5 10 8 3 8" xfId="33964" xr:uid="{00000000-0005-0000-0000-0000AA840000}"/>
    <cellStyle name="Normal 5 10 8 3 9" xfId="33965" xr:uid="{00000000-0005-0000-0000-0000AB840000}"/>
    <cellStyle name="Normal 5 10 8 4" xfId="33966" xr:uid="{00000000-0005-0000-0000-0000AC840000}"/>
    <cellStyle name="Normal 5 10 8 4 10" xfId="33967" xr:uid="{00000000-0005-0000-0000-0000AD840000}"/>
    <cellStyle name="Normal 5 10 8 4 2" xfId="33968" xr:uid="{00000000-0005-0000-0000-0000AE840000}"/>
    <cellStyle name="Normal 5 10 8 4 3" xfId="33969" xr:uid="{00000000-0005-0000-0000-0000AF840000}"/>
    <cellStyle name="Normal 5 10 8 4 4" xfId="33970" xr:uid="{00000000-0005-0000-0000-0000B0840000}"/>
    <cellStyle name="Normal 5 10 8 4 5" xfId="33971" xr:uid="{00000000-0005-0000-0000-0000B1840000}"/>
    <cellStyle name="Normal 5 10 8 4 6" xfId="33972" xr:uid="{00000000-0005-0000-0000-0000B2840000}"/>
    <cellStyle name="Normal 5 10 8 4 7" xfId="33973" xr:uid="{00000000-0005-0000-0000-0000B3840000}"/>
    <cellStyle name="Normal 5 10 8 4 8" xfId="33974" xr:uid="{00000000-0005-0000-0000-0000B4840000}"/>
    <cellStyle name="Normal 5 10 8 4 9" xfId="33975" xr:uid="{00000000-0005-0000-0000-0000B5840000}"/>
    <cellStyle name="Normal 5 10 8 5" xfId="33976" xr:uid="{00000000-0005-0000-0000-0000B6840000}"/>
    <cellStyle name="Normal 5 10 8 5 10" xfId="33977" xr:uid="{00000000-0005-0000-0000-0000B7840000}"/>
    <cellStyle name="Normal 5 10 8 5 2" xfId="33978" xr:uid="{00000000-0005-0000-0000-0000B8840000}"/>
    <cellStyle name="Normal 5 10 8 5 3" xfId="33979" xr:uid="{00000000-0005-0000-0000-0000B9840000}"/>
    <cellStyle name="Normal 5 10 8 5 4" xfId="33980" xr:uid="{00000000-0005-0000-0000-0000BA840000}"/>
    <cellStyle name="Normal 5 10 8 5 5" xfId="33981" xr:uid="{00000000-0005-0000-0000-0000BB840000}"/>
    <cellStyle name="Normal 5 10 8 5 6" xfId="33982" xr:uid="{00000000-0005-0000-0000-0000BC840000}"/>
    <cellStyle name="Normal 5 10 8 5 7" xfId="33983" xr:uid="{00000000-0005-0000-0000-0000BD840000}"/>
    <cellStyle name="Normal 5 10 8 5 8" xfId="33984" xr:uid="{00000000-0005-0000-0000-0000BE840000}"/>
    <cellStyle name="Normal 5 10 8 5 9" xfId="33985" xr:uid="{00000000-0005-0000-0000-0000BF840000}"/>
    <cellStyle name="Normal 5 10 8 6" xfId="33986" xr:uid="{00000000-0005-0000-0000-0000C0840000}"/>
    <cellStyle name="Normal 5 10 8 7" xfId="33987" xr:uid="{00000000-0005-0000-0000-0000C1840000}"/>
    <cellStyle name="Normal 5 10 8 8" xfId="33988" xr:uid="{00000000-0005-0000-0000-0000C2840000}"/>
    <cellStyle name="Normal 5 10 8 9" xfId="33989" xr:uid="{00000000-0005-0000-0000-0000C3840000}"/>
    <cellStyle name="Normal 5 10 9" xfId="33990" xr:uid="{00000000-0005-0000-0000-0000C4840000}"/>
    <cellStyle name="Normal 5 10 9 10" xfId="33991" xr:uid="{00000000-0005-0000-0000-0000C5840000}"/>
    <cellStyle name="Normal 5 10 9 11" xfId="33992" xr:uid="{00000000-0005-0000-0000-0000C6840000}"/>
    <cellStyle name="Normal 5 10 9 12" xfId="33993" xr:uid="{00000000-0005-0000-0000-0000C7840000}"/>
    <cellStyle name="Normal 5 10 9 13" xfId="33994" xr:uid="{00000000-0005-0000-0000-0000C8840000}"/>
    <cellStyle name="Normal 5 10 9 14" xfId="33995" xr:uid="{00000000-0005-0000-0000-0000C9840000}"/>
    <cellStyle name="Normal 5 10 9 2" xfId="33996" xr:uid="{00000000-0005-0000-0000-0000CA840000}"/>
    <cellStyle name="Normal 5 10 9 2 10" xfId="33997" xr:uid="{00000000-0005-0000-0000-0000CB840000}"/>
    <cellStyle name="Normal 5 10 9 2 2" xfId="33998" xr:uid="{00000000-0005-0000-0000-0000CC840000}"/>
    <cellStyle name="Normal 5 10 9 2 3" xfId="33999" xr:uid="{00000000-0005-0000-0000-0000CD840000}"/>
    <cellStyle name="Normal 5 10 9 2 4" xfId="34000" xr:uid="{00000000-0005-0000-0000-0000CE840000}"/>
    <cellStyle name="Normal 5 10 9 2 5" xfId="34001" xr:uid="{00000000-0005-0000-0000-0000CF840000}"/>
    <cellStyle name="Normal 5 10 9 2 6" xfId="34002" xr:uid="{00000000-0005-0000-0000-0000D0840000}"/>
    <cellStyle name="Normal 5 10 9 2 7" xfId="34003" xr:uid="{00000000-0005-0000-0000-0000D1840000}"/>
    <cellStyle name="Normal 5 10 9 2 8" xfId="34004" xr:uid="{00000000-0005-0000-0000-0000D2840000}"/>
    <cellStyle name="Normal 5 10 9 2 9" xfId="34005" xr:uid="{00000000-0005-0000-0000-0000D3840000}"/>
    <cellStyle name="Normal 5 10 9 3" xfId="34006" xr:uid="{00000000-0005-0000-0000-0000D4840000}"/>
    <cellStyle name="Normal 5 10 9 3 10" xfId="34007" xr:uid="{00000000-0005-0000-0000-0000D5840000}"/>
    <cellStyle name="Normal 5 10 9 3 2" xfId="34008" xr:uid="{00000000-0005-0000-0000-0000D6840000}"/>
    <cellStyle name="Normal 5 10 9 3 3" xfId="34009" xr:uid="{00000000-0005-0000-0000-0000D7840000}"/>
    <cellStyle name="Normal 5 10 9 3 4" xfId="34010" xr:uid="{00000000-0005-0000-0000-0000D8840000}"/>
    <cellStyle name="Normal 5 10 9 3 5" xfId="34011" xr:uid="{00000000-0005-0000-0000-0000D9840000}"/>
    <cellStyle name="Normal 5 10 9 3 6" xfId="34012" xr:uid="{00000000-0005-0000-0000-0000DA840000}"/>
    <cellStyle name="Normal 5 10 9 3 7" xfId="34013" xr:uid="{00000000-0005-0000-0000-0000DB840000}"/>
    <cellStyle name="Normal 5 10 9 3 8" xfId="34014" xr:uid="{00000000-0005-0000-0000-0000DC840000}"/>
    <cellStyle name="Normal 5 10 9 3 9" xfId="34015" xr:uid="{00000000-0005-0000-0000-0000DD840000}"/>
    <cellStyle name="Normal 5 10 9 4" xfId="34016" xr:uid="{00000000-0005-0000-0000-0000DE840000}"/>
    <cellStyle name="Normal 5 10 9 4 10" xfId="34017" xr:uid="{00000000-0005-0000-0000-0000DF840000}"/>
    <cellStyle name="Normal 5 10 9 4 2" xfId="34018" xr:uid="{00000000-0005-0000-0000-0000E0840000}"/>
    <cellStyle name="Normal 5 10 9 4 3" xfId="34019" xr:uid="{00000000-0005-0000-0000-0000E1840000}"/>
    <cellStyle name="Normal 5 10 9 4 4" xfId="34020" xr:uid="{00000000-0005-0000-0000-0000E2840000}"/>
    <cellStyle name="Normal 5 10 9 4 5" xfId="34021" xr:uid="{00000000-0005-0000-0000-0000E3840000}"/>
    <cellStyle name="Normal 5 10 9 4 6" xfId="34022" xr:uid="{00000000-0005-0000-0000-0000E4840000}"/>
    <cellStyle name="Normal 5 10 9 4 7" xfId="34023" xr:uid="{00000000-0005-0000-0000-0000E5840000}"/>
    <cellStyle name="Normal 5 10 9 4 8" xfId="34024" xr:uid="{00000000-0005-0000-0000-0000E6840000}"/>
    <cellStyle name="Normal 5 10 9 4 9" xfId="34025" xr:uid="{00000000-0005-0000-0000-0000E7840000}"/>
    <cellStyle name="Normal 5 10 9 5" xfId="34026" xr:uid="{00000000-0005-0000-0000-0000E8840000}"/>
    <cellStyle name="Normal 5 10 9 5 10" xfId="34027" xr:uid="{00000000-0005-0000-0000-0000E9840000}"/>
    <cellStyle name="Normal 5 10 9 5 2" xfId="34028" xr:uid="{00000000-0005-0000-0000-0000EA840000}"/>
    <cellStyle name="Normal 5 10 9 5 3" xfId="34029" xr:uid="{00000000-0005-0000-0000-0000EB840000}"/>
    <cellStyle name="Normal 5 10 9 5 4" xfId="34030" xr:uid="{00000000-0005-0000-0000-0000EC840000}"/>
    <cellStyle name="Normal 5 10 9 5 5" xfId="34031" xr:uid="{00000000-0005-0000-0000-0000ED840000}"/>
    <cellStyle name="Normal 5 10 9 5 6" xfId="34032" xr:uid="{00000000-0005-0000-0000-0000EE840000}"/>
    <cellStyle name="Normal 5 10 9 5 7" xfId="34033" xr:uid="{00000000-0005-0000-0000-0000EF840000}"/>
    <cellStyle name="Normal 5 10 9 5 8" xfId="34034" xr:uid="{00000000-0005-0000-0000-0000F0840000}"/>
    <cellStyle name="Normal 5 10 9 5 9" xfId="34035" xr:uid="{00000000-0005-0000-0000-0000F1840000}"/>
    <cellStyle name="Normal 5 10 9 6" xfId="34036" xr:uid="{00000000-0005-0000-0000-0000F2840000}"/>
    <cellStyle name="Normal 5 10 9 7" xfId="34037" xr:uid="{00000000-0005-0000-0000-0000F3840000}"/>
    <cellStyle name="Normal 5 10 9 8" xfId="34038" xr:uid="{00000000-0005-0000-0000-0000F4840000}"/>
    <cellStyle name="Normal 5 10 9 9" xfId="34039" xr:uid="{00000000-0005-0000-0000-0000F5840000}"/>
    <cellStyle name="Normal 5 11" xfId="34040" xr:uid="{00000000-0005-0000-0000-0000F6840000}"/>
    <cellStyle name="Normal 5 11 2" xfId="34041" xr:uid="{00000000-0005-0000-0000-0000F7840000}"/>
    <cellStyle name="Normal 5 11 2 2" xfId="34042" xr:uid="{00000000-0005-0000-0000-0000F8840000}"/>
    <cellStyle name="Normal 5 11 3" xfId="34043" xr:uid="{00000000-0005-0000-0000-0000F9840000}"/>
    <cellStyle name="Normal 5 11 4" xfId="34044" xr:uid="{00000000-0005-0000-0000-0000FA840000}"/>
    <cellStyle name="Normal 5 12" xfId="34045" xr:uid="{00000000-0005-0000-0000-0000FB840000}"/>
    <cellStyle name="Normal 5 12 2" xfId="34046" xr:uid="{00000000-0005-0000-0000-0000FC840000}"/>
    <cellStyle name="Normal 5 12 2 2" xfId="34047" xr:uid="{00000000-0005-0000-0000-0000FD840000}"/>
    <cellStyle name="Normal 5 12 3" xfId="34048" xr:uid="{00000000-0005-0000-0000-0000FE840000}"/>
    <cellStyle name="Normal 5 12 4" xfId="34049" xr:uid="{00000000-0005-0000-0000-0000FF840000}"/>
    <cellStyle name="Normal 5 13" xfId="34050" xr:uid="{00000000-0005-0000-0000-000000850000}"/>
    <cellStyle name="Normal 5 13 2" xfId="34051" xr:uid="{00000000-0005-0000-0000-000001850000}"/>
    <cellStyle name="Normal 5 13 2 2" xfId="34052" xr:uid="{00000000-0005-0000-0000-000002850000}"/>
    <cellStyle name="Normal 5 13 3" xfId="34053" xr:uid="{00000000-0005-0000-0000-000003850000}"/>
    <cellStyle name="Normal 5 13 4" xfId="34054" xr:uid="{00000000-0005-0000-0000-000004850000}"/>
    <cellStyle name="Normal 5 14" xfId="34055" xr:uid="{00000000-0005-0000-0000-000005850000}"/>
    <cellStyle name="Normal 5 14 2" xfId="34056" xr:uid="{00000000-0005-0000-0000-000006850000}"/>
    <cellStyle name="Normal 5 14 2 2" xfId="34057" xr:uid="{00000000-0005-0000-0000-000007850000}"/>
    <cellStyle name="Normal 5 14 3" xfId="34058" xr:uid="{00000000-0005-0000-0000-000008850000}"/>
    <cellStyle name="Normal 5 14 4" xfId="34059" xr:uid="{00000000-0005-0000-0000-000009850000}"/>
    <cellStyle name="Normal 5 15" xfId="34060" xr:uid="{00000000-0005-0000-0000-00000A850000}"/>
    <cellStyle name="Normal 5 15 2" xfId="34061" xr:uid="{00000000-0005-0000-0000-00000B850000}"/>
    <cellStyle name="Normal 5 15 2 2" xfId="34062" xr:uid="{00000000-0005-0000-0000-00000C850000}"/>
    <cellStyle name="Normal 5 15 3" xfId="34063" xr:uid="{00000000-0005-0000-0000-00000D850000}"/>
    <cellStyle name="Normal 5 15 4" xfId="34064" xr:uid="{00000000-0005-0000-0000-00000E850000}"/>
    <cellStyle name="Normal 5 16" xfId="34065" xr:uid="{00000000-0005-0000-0000-00000F850000}"/>
    <cellStyle name="Normal 5 16 2" xfId="34066" xr:uid="{00000000-0005-0000-0000-000010850000}"/>
    <cellStyle name="Normal 5 16 2 2" xfId="34067" xr:uid="{00000000-0005-0000-0000-000011850000}"/>
    <cellStyle name="Normal 5 16 3" xfId="34068" xr:uid="{00000000-0005-0000-0000-000012850000}"/>
    <cellStyle name="Normal 5 16 4" xfId="34069" xr:uid="{00000000-0005-0000-0000-000013850000}"/>
    <cellStyle name="Normal 5 17" xfId="34070" xr:uid="{00000000-0005-0000-0000-000014850000}"/>
    <cellStyle name="Normal 5 17 10" xfId="34071" xr:uid="{00000000-0005-0000-0000-000015850000}"/>
    <cellStyle name="Normal 5 17 10 10" xfId="34072" xr:uid="{00000000-0005-0000-0000-000016850000}"/>
    <cellStyle name="Normal 5 17 10 11" xfId="34073" xr:uid="{00000000-0005-0000-0000-000017850000}"/>
    <cellStyle name="Normal 5 17 10 12" xfId="34074" xr:uid="{00000000-0005-0000-0000-000018850000}"/>
    <cellStyle name="Normal 5 17 10 13" xfId="34075" xr:uid="{00000000-0005-0000-0000-000019850000}"/>
    <cellStyle name="Normal 5 17 10 14" xfId="34076" xr:uid="{00000000-0005-0000-0000-00001A850000}"/>
    <cellStyle name="Normal 5 17 10 2" xfId="34077" xr:uid="{00000000-0005-0000-0000-00001B850000}"/>
    <cellStyle name="Normal 5 17 10 2 10" xfId="34078" xr:uid="{00000000-0005-0000-0000-00001C850000}"/>
    <cellStyle name="Normal 5 17 10 2 2" xfId="34079" xr:uid="{00000000-0005-0000-0000-00001D850000}"/>
    <cellStyle name="Normal 5 17 10 2 3" xfId="34080" xr:uid="{00000000-0005-0000-0000-00001E850000}"/>
    <cellStyle name="Normal 5 17 10 2 4" xfId="34081" xr:uid="{00000000-0005-0000-0000-00001F850000}"/>
    <cellStyle name="Normal 5 17 10 2 5" xfId="34082" xr:uid="{00000000-0005-0000-0000-000020850000}"/>
    <cellStyle name="Normal 5 17 10 2 6" xfId="34083" xr:uid="{00000000-0005-0000-0000-000021850000}"/>
    <cellStyle name="Normal 5 17 10 2 7" xfId="34084" xr:uid="{00000000-0005-0000-0000-000022850000}"/>
    <cellStyle name="Normal 5 17 10 2 8" xfId="34085" xr:uid="{00000000-0005-0000-0000-000023850000}"/>
    <cellStyle name="Normal 5 17 10 2 9" xfId="34086" xr:uid="{00000000-0005-0000-0000-000024850000}"/>
    <cellStyle name="Normal 5 17 10 3" xfId="34087" xr:uid="{00000000-0005-0000-0000-000025850000}"/>
    <cellStyle name="Normal 5 17 10 3 10" xfId="34088" xr:uid="{00000000-0005-0000-0000-000026850000}"/>
    <cellStyle name="Normal 5 17 10 3 2" xfId="34089" xr:uid="{00000000-0005-0000-0000-000027850000}"/>
    <cellStyle name="Normal 5 17 10 3 3" xfId="34090" xr:uid="{00000000-0005-0000-0000-000028850000}"/>
    <cellStyle name="Normal 5 17 10 3 4" xfId="34091" xr:uid="{00000000-0005-0000-0000-000029850000}"/>
    <cellStyle name="Normal 5 17 10 3 5" xfId="34092" xr:uid="{00000000-0005-0000-0000-00002A850000}"/>
    <cellStyle name="Normal 5 17 10 3 6" xfId="34093" xr:uid="{00000000-0005-0000-0000-00002B850000}"/>
    <cellStyle name="Normal 5 17 10 3 7" xfId="34094" xr:uid="{00000000-0005-0000-0000-00002C850000}"/>
    <cellStyle name="Normal 5 17 10 3 8" xfId="34095" xr:uid="{00000000-0005-0000-0000-00002D850000}"/>
    <cellStyle name="Normal 5 17 10 3 9" xfId="34096" xr:uid="{00000000-0005-0000-0000-00002E850000}"/>
    <cellStyle name="Normal 5 17 10 4" xfId="34097" xr:uid="{00000000-0005-0000-0000-00002F850000}"/>
    <cellStyle name="Normal 5 17 10 4 10" xfId="34098" xr:uid="{00000000-0005-0000-0000-000030850000}"/>
    <cellStyle name="Normal 5 17 10 4 2" xfId="34099" xr:uid="{00000000-0005-0000-0000-000031850000}"/>
    <cellStyle name="Normal 5 17 10 4 3" xfId="34100" xr:uid="{00000000-0005-0000-0000-000032850000}"/>
    <cellStyle name="Normal 5 17 10 4 4" xfId="34101" xr:uid="{00000000-0005-0000-0000-000033850000}"/>
    <cellStyle name="Normal 5 17 10 4 5" xfId="34102" xr:uid="{00000000-0005-0000-0000-000034850000}"/>
    <cellStyle name="Normal 5 17 10 4 6" xfId="34103" xr:uid="{00000000-0005-0000-0000-000035850000}"/>
    <cellStyle name="Normal 5 17 10 4 7" xfId="34104" xr:uid="{00000000-0005-0000-0000-000036850000}"/>
    <cellStyle name="Normal 5 17 10 4 8" xfId="34105" xr:uid="{00000000-0005-0000-0000-000037850000}"/>
    <cellStyle name="Normal 5 17 10 4 9" xfId="34106" xr:uid="{00000000-0005-0000-0000-000038850000}"/>
    <cellStyle name="Normal 5 17 10 5" xfId="34107" xr:uid="{00000000-0005-0000-0000-000039850000}"/>
    <cellStyle name="Normal 5 17 10 5 10" xfId="34108" xr:uid="{00000000-0005-0000-0000-00003A850000}"/>
    <cellStyle name="Normal 5 17 10 5 2" xfId="34109" xr:uid="{00000000-0005-0000-0000-00003B850000}"/>
    <cellStyle name="Normal 5 17 10 5 3" xfId="34110" xr:uid="{00000000-0005-0000-0000-00003C850000}"/>
    <cellStyle name="Normal 5 17 10 5 4" xfId="34111" xr:uid="{00000000-0005-0000-0000-00003D850000}"/>
    <cellStyle name="Normal 5 17 10 5 5" xfId="34112" xr:uid="{00000000-0005-0000-0000-00003E850000}"/>
    <cellStyle name="Normal 5 17 10 5 6" xfId="34113" xr:uid="{00000000-0005-0000-0000-00003F850000}"/>
    <cellStyle name="Normal 5 17 10 5 7" xfId="34114" xr:uid="{00000000-0005-0000-0000-000040850000}"/>
    <cellStyle name="Normal 5 17 10 5 8" xfId="34115" xr:uid="{00000000-0005-0000-0000-000041850000}"/>
    <cellStyle name="Normal 5 17 10 5 9" xfId="34116" xr:uid="{00000000-0005-0000-0000-000042850000}"/>
    <cellStyle name="Normal 5 17 10 6" xfId="34117" xr:uid="{00000000-0005-0000-0000-000043850000}"/>
    <cellStyle name="Normal 5 17 10 7" xfId="34118" xr:uid="{00000000-0005-0000-0000-000044850000}"/>
    <cellStyle name="Normal 5 17 10 8" xfId="34119" xr:uid="{00000000-0005-0000-0000-000045850000}"/>
    <cellStyle name="Normal 5 17 10 9" xfId="34120" xr:uid="{00000000-0005-0000-0000-000046850000}"/>
    <cellStyle name="Normal 5 17 11" xfId="34121" xr:uid="{00000000-0005-0000-0000-000047850000}"/>
    <cellStyle name="Normal 5 17 11 10" xfId="34122" xr:uid="{00000000-0005-0000-0000-000048850000}"/>
    <cellStyle name="Normal 5 17 11 11" xfId="34123" xr:uid="{00000000-0005-0000-0000-000049850000}"/>
    <cellStyle name="Normal 5 17 11 12" xfId="34124" xr:uid="{00000000-0005-0000-0000-00004A850000}"/>
    <cellStyle name="Normal 5 17 11 13" xfId="34125" xr:uid="{00000000-0005-0000-0000-00004B850000}"/>
    <cellStyle name="Normal 5 17 11 14" xfId="34126" xr:uid="{00000000-0005-0000-0000-00004C850000}"/>
    <cellStyle name="Normal 5 17 11 2" xfId="34127" xr:uid="{00000000-0005-0000-0000-00004D850000}"/>
    <cellStyle name="Normal 5 17 11 2 10" xfId="34128" xr:uid="{00000000-0005-0000-0000-00004E850000}"/>
    <cellStyle name="Normal 5 17 11 2 2" xfId="34129" xr:uid="{00000000-0005-0000-0000-00004F850000}"/>
    <cellStyle name="Normal 5 17 11 2 3" xfId="34130" xr:uid="{00000000-0005-0000-0000-000050850000}"/>
    <cellStyle name="Normal 5 17 11 2 4" xfId="34131" xr:uid="{00000000-0005-0000-0000-000051850000}"/>
    <cellStyle name="Normal 5 17 11 2 5" xfId="34132" xr:uid="{00000000-0005-0000-0000-000052850000}"/>
    <cellStyle name="Normal 5 17 11 2 6" xfId="34133" xr:uid="{00000000-0005-0000-0000-000053850000}"/>
    <cellStyle name="Normal 5 17 11 2 7" xfId="34134" xr:uid="{00000000-0005-0000-0000-000054850000}"/>
    <cellStyle name="Normal 5 17 11 2 8" xfId="34135" xr:uid="{00000000-0005-0000-0000-000055850000}"/>
    <cellStyle name="Normal 5 17 11 2 9" xfId="34136" xr:uid="{00000000-0005-0000-0000-000056850000}"/>
    <cellStyle name="Normal 5 17 11 3" xfId="34137" xr:uid="{00000000-0005-0000-0000-000057850000}"/>
    <cellStyle name="Normal 5 17 11 3 10" xfId="34138" xr:uid="{00000000-0005-0000-0000-000058850000}"/>
    <cellStyle name="Normal 5 17 11 3 2" xfId="34139" xr:uid="{00000000-0005-0000-0000-000059850000}"/>
    <cellStyle name="Normal 5 17 11 3 3" xfId="34140" xr:uid="{00000000-0005-0000-0000-00005A850000}"/>
    <cellStyle name="Normal 5 17 11 3 4" xfId="34141" xr:uid="{00000000-0005-0000-0000-00005B850000}"/>
    <cellStyle name="Normal 5 17 11 3 5" xfId="34142" xr:uid="{00000000-0005-0000-0000-00005C850000}"/>
    <cellStyle name="Normal 5 17 11 3 6" xfId="34143" xr:uid="{00000000-0005-0000-0000-00005D850000}"/>
    <cellStyle name="Normal 5 17 11 3 7" xfId="34144" xr:uid="{00000000-0005-0000-0000-00005E850000}"/>
    <cellStyle name="Normal 5 17 11 3 8" xfId="34145" xr:uid="{00000000-0005-0000-0000-00005F850000}"/>
    <cellStyle name="Normal 5 17 11 3 9" xfId="34146" xr:uid="{00000000-0005-0000-0000-000060850000}"/>
    <cellStyle name="Normal 5 17 11 4" xfId="34147" xr:uid="{00000000-0005-0000-0000-000061850000}"/>
    <cellStyle name="Normal 5 17 11 4 10" xfId="34148" xr:uid="{00000000-0005-0000-0000-000062850000}"/>
    <cellStyle name="Normal 5 17 11 4 2" xfId="34149" xr:uid="{00000000-0005-0000-0000-000063850000}"/>
    <cellStyle name="Normal 5 17 11 4 3" xfId="34150" xr:uid="{00000000-0005-0000-0000-000064850000}"/>
    <cellStyle name="Normal 5 17 11 4 4" xfId="34151" xr:uid="{00000000-0005-0000-0000-000065850000}"/>
    <cellStyle name="Normal 5 17 11 4 5" xfId="34152" xr:uid="{00000000-0005-0000-0000-000066850000}"/>
    <cellStyle name="Normal 5 17 11 4 6" xfId="34153" xr:uid="{00000000-0005-0000-0000-000067850000}"/>
    <cellStyle name="Normal 5 17 11 4 7" xfId="34154" xr:uid="{00000000-0005-0000-0000-000068850000}"/>
    <cellStyle name="Normal 5 17 11 4 8" xfId="34155" xr:uid="{00000000-0005-0000-0000-000069850000}"/>
    <cellStyle name="Normal 5 17 11 4 9" xfId="34156" xr:uid="{00000000-0005-0000-0000-00006A850000}"/>
    <cellStyle name="Normal 5 17 11 5" xfId="34157" xr:uid="{00000000-0005-0000-0000-00006B850000}"/>
    <cellStyle name="Normal 5 17 11 5 10" xfId="34158" xr:uid="{00000000-0005-0000-0000-00006C850000}"/>
    <cellStyle name="Normal 5 17 11 5 2" xfId="34159" xr:uid="{00000000-0005-0000-0000-00006D850000}"/>
    <cellStyle name="Normal 5 17 11 5 3" xfId="34160" xr:uid="{00000000-0005-0000-0000-00006E850000}"/>
    <cellStyle name="Normal 5 17 11 5 4" xfId="34161" xr:uid="{00000000-0005-0000-0000-00006F850000}"/>
    <cellStyle name="Normal 5 17 11 5 5" xfId="34162" xr:uid="{00000000-0005-0000-0000-000070850000}"/>
    <cellStyle name="Normal 5 17 11 5 6" xfId="34163" xr:uid="{00000000-0005-0000-0000-000071850000}"/>
    <cellStyle name="Normal 5 17 11 5 7" xfId="34164" xr:uid="{00000000-0005-0000-0000-000072850000}"/>
    <cellStyle name="Normal 5 17 11 5 8" xfId="34165" xr:uid="{00000000-0005-0000-0000-000073850000}"/>
    <cellStyle name="Normal 5 17 11 5 9" xfId="34166" xr:uid="{00000000-0005-0000-0000-000074850000}"/>
    <cellStyle name="Normal 5 17 11 6" xfId="34167" xr:uid="{00000000-0005-0000-0000-000075850000}"/>
    <cellStyle name="Normal 5 17 11 7" xfId="34168" xr:uid="{00000000-0005-0000-0000-000076850000}"/>
    <cellStyle name="Normal 5 17 11 8" xfId="34169" xr:uid="{00000000-0005-0000-0000-000077850000}"/>
    <cellStyle name="Normal 5 17 11 9" xfId="34170" xr:uid="{00000000-0005-0000-0000-000078850000}"/>
    <cellStyle name="Normal 5 17 12" xfId="34171" xr:uid="{00000000-0005-0000-0000-000079850000}"/>
    <cellStyle name="Normal 5 17 12 10" xfId="34172" xr:uid="{00000000-0005-0000-0000-00007A850000}"/>
    <cellStyle name="Normal 5 17 12 11" xfId="34173" xr:uid="{00000000-0005-0000-0000-00007B850000}"/>
    <cellStyle name="Normal 5 17 12 12" xfId="34174" xr:uid="{00000000-0005-0000-0000-00007C850000}"/>
    <cellStyle name="Normal 5 17 12 13" xfId="34175" xr:uid="{00000000-0005-0000-0000-00007D850000}"/>
    <cellStyle name="Normal 5 17 12 14" xfId="34176" xr:uid="{00000000-0005-0000-0000-00007E850000}"/>
    <cellStyle name="Normal 5 17 12 2" xfId="34177" xr:uid="{00000000-0005-0000-0000-00007F850000}"/>
    <cellStyle name="Normal 5 17 12 2 10" xfId="34178" xr:uid="{00000000-0005-0000-0000-000080850000}"/>
    <cellStyle name="Normal 5 17 12 2 2" xfId="34179" xr:uid="{00000000-0005-0000-0000-000081850000}"/>
    <cellStyle name="Normal 5 17 12 2 3" xfId="34180" xr:uid="{00000000-0005-0000-0000-000082850000}"/>
    <cellStyle name="Normal 5 17 12 2 4" xfId="34181" xr:uid="{00000000-0005-0000-0000-000083850000}"/>
    <cellStyle name="Normal 5 17 12 2 5" xfId="34182" xr:uid="{00000000-0005-0000-0000-000084850000}"/>
    <cellStyle name="Normal 5 17 12 2 6" xfId="34183" xr:uid="{00000000-0005-0000-0000-000085850000}"/>
    <cellStyle name="Normal 5 17 12 2 7" xfId="34184" xr:uid="{00000000-0005-0000-0000-000086850000}"/>
    <cellStyle name="Normal 5 17 12 2 8" xfId="34185" xr:uid="{00000000-0005-0000-0000-000087850000}"/>
    <cellStyle name="Normal 5 17 12 2 9" xfId="34186" xr:uid="{00000000-0005-0000-0000-000088850000}"/>
    <cellStyle name="Normal 5 17 12 3" xfId="34187" xr:uid="{00000000-0005-0000-0000-000089850000}"/>
    <cellStyle name="Normal 5 17 12 3 10" xfId="34188" xr:uid="{00000000-0005-0000-0000-00008A850000}"/>
    <cellStyle name="Normal 5 17 12 3 2" xfId="34189" xr:uid="{00000000-0005-0000-0000-00008B850000}"/>
    <cellStyle name="Normal 5 17 12 3 3" xfId="34190" xr:uid="{00000000-0005-0000-0000-00008C850000}"/>
    <cellStyle name="Normal 5 17 12 3 4" xfId="34191" xr:uid="{00000000-0005-0000-0000-00008D850000}"/>
    <cellStyle name="Normal 5 17 12 3 5" xfId="34192" xr:uid="{00000000-0005-0000-0000-00008E850000}"/>
    <cellStyle name="Normal 5 17 12 3 6" xfId="34193" xr:uid="{00000000-0005-0000-0000-00008F850000}"/>
    <cellStyle name="Normal 5 17 12 3 7" xfId="34194" xr:uid="{00000000-0005-0000-0000-000090850000}"/>
    <cellStyle name="Normal 5 17 12 3 8" xfId="34195" xr:uid="{00000000-0005-0000-0000-000091850000}"/>
    <cellStyle name="Normal 5 17 12 3 9" xfId="34196" xr:uid="{00000000-0005-0000-0000-000092850000}"/>
    <cellStyle name="Normal 5 17 12 4" xfId="34197" xr:uid="{00000000-0005-0000-0000-000093850000}"/>
    <cellStyle name="Normal 5 17 12 4 10" xfId="34198" xr:uid="{00000000-0005-0000-0000-000094850000}"/>
    <cellStyle name="Normal 5 17 12 4 2" xfId="34199" xr:uid="{00000000-0005-0000-0000-000095850000}"/>
    <cellStyle name="Normal 5 17 12 4 3" xfId="34200" xr:uid="{00000000-0005-0000-0000-000096850000}"/>
    <cellStyle name="Normal 5 17 12 4 4" xfId="34201" xr:uid="{00000000-0005-0000-0000-000097850000}"/>
    <cellStyle name="Normal 5 17 12 4 5" xfId="34202" xr:uid="{00000000-0005-0000-0000-000098850000}"/>
    <cellStyle name="Normal 5 17 12 4 6" xfId="34203" xr:uid="{00000000-0005-0000-0000-000099850000}"/>
    <cellStyle name="Normal 5 17 12 4 7" xfId="34204" xr:uid="{00000000-0005-0000-0000-00009A850000}"/>
    <cellStyle name="Normal 5 17 12 4 8" xfId="34205" xr:uid="{00000000-0005-0000-0000-00009B850000}"/>
    <cellStyle name="Normal 5 17 12 4 9" xfId="34206" xr:uid="{00000000-0005-0000-0000-00009C850000}"/>
    <cellStyle name="Normal 5 17 12 5" xfId="34207" xr:uid="{00000000-0005-0000-0000-00009D850000}"/>
    <cellStyle name="Normal 5 17 12 5 10" xfId="34208" xr:uid="{00000000-0005-0000-0000-00009E850000}"/>
    <cellStyle name="Normal 5 17 12 5 2" xfId="34209" xr:uid="{00000000-0005-0000-0000-00009F850000}"/>
    <cellStyle name="Normal 5 17 12 5 3" xfId="34210" xr:uid="{00000000-0005-0000-0000-0000A0850000}"/>
    <cellStyle name="Normal 5 17 12 5 4" xfId="34211" xr:uid="{00000000-0005-0000-0000-0000A1850000}"/>
    <cellStyle name="Normal 5 17 12 5 5" xfId="34212" xr:uid="{00000000-0005-0000-0000-0000A2850000}"/>
    <cellStyle name="Normal 5 17 12 5 6" xfId="34213" xr:uid="{00000000-0005-0000-0000-0000A3850000}"/>
    <cellStyle name="Normal 5 17 12 5 7" xfId="34214" xr:uid="{00000000-0005-0000-0000-0000A4850000}"/>
    <cellStyle name="Normal 5 17 12 5 8" xfId="34215" xr:uid="{00000000-0005-0000-0000-0000A5850000}"/>
    <cellStyle name="Normal 5 17 12 5 9" xfId="34216" xr:uid="{00000000-0005-0000-0000-0000A6850000}"/>
    <cellStyle name="Normal 5 17 12 6" xfId="34217" xr:uid="{00000000-0005-0000-0000-0000A7850000}"/>
    <cellStyle name="Normal 5 17 12 7" xfId="34218" xr:uid="{00000000-0005-0000-0000-0000A8850000}"/>
    <cellStyle name="Normal 5 17 12 8" xfId="34219" xr:uid="{00000000-0005-0000-0000-0000A9850000}"/>
    <cellStyle name="Normal 5 17 12 9" xfId="34220" xr:uid="{00000000-0005-0000-0000-0000AA850000}"/>
    <cellStyle name="Normal 5 17 13" xfId="34221" xr:uid="{00000000-0005-0000-0000-0000AB850000}"/>
    <cellStyle name="Normal 5 17 13 10" xfId="34222" xr:uid="{00000000-0005-0000-0000-0000AC850000}"/>
    <cellStyle name="Normal 5 17 13 11" xfId="34223" xr:uid="{00000000-0005-0000-0000-0000AD850000}"/>
    <cellStyle name="Normal 5 17 13 12" xfId="34224" xr:uid="{00000000-0005-0000-0000-0000AE850000}"/>
    <cellStyle name="Normal 5 17 13 13" xfId="34225" xr:uid="{00000000-0005-0000-0000-0000AF850000}"/>
    <cellStyle name="Normal 5 17 13 14" xfId="34226" xr:uid="{00000000-0005-0000-0000-0000B0850000}"/>
    <cellStyle name="Normal 5 17 13 2" xfId="34227" xr:uid="{00000000-0005-0000-0000-0000B1850000}"/>
    <cellStyle name="Normal 5 17 13 2 10" xfId="34228" xr:uid="{00000000-0005-0000-0000-0000B2850000}"/>
    <cellStyle name="Normal 5 17 13 2 2" xfId="34229" xr:uid="{00000000-0005-0000-0000-0000B3850000}"/>
    <cellStyle name="Normal 5 17 13 2 3" xfId="34230" xr:uid="{00000000-0005-0000-0000-0000B4850000}"/>
    <cellStyle name="Normal 5 17 13 2 4" xfId="34231" xr:uid="{00000000-0005-0000-0000-0000B5850000}"/>
    <cellStyle name="Normal 5 17 13 2 5" xfId="34232" xr:uid="{00000000-0005-0000-0000-0000B6850000}"/>
    <cellStyle name="Normal 5 17 13 2 6" xfId="34233" xr:uid="{00000000-0005-0000-0000-0000B7850000}"/>
    <cellStyle name="Normal 5 17 13 2 7" xfId="34234" xr:uid="{00000000-0005-0000-0000-0000B8850000}"/>
    <cellStyle name="Normal 5 17 13 2 8" xfId="34235" xr:uid="{00000000-0005-0000-0000-0000B9850000}"/>
    <cellStyle name="Normal 5 17 13 2 9" xfId="34236" xr:uid="{00000000-0005-0000-0000-0000BA850000}"/>
    <cellStyle name="Normal 5 17 13 3" xfId="34237" xr:uid="{00000000-0005-0000-0000-0000BB850000}"/>
    <cellStyle name="Normal 5 17 13 3 10" xfId="34238" xr:uid="{00000000-0005-0000-0000-0000BC850000}"/>
    <cellStyle name="Normal 5 17 13 3 2" xfId="34239" xr:uid="{00000000-0005-0000-0000-0000BD850000}"/>
    <cellStyle name="Normal 5 17 13 3 3" xfId="34240" xr:uid="{00000000-0005-0000-0000-0000BE850000}"/>
    <cellStyle name="Normal 5 17 13 3 4" xfId="34241" xr:uid="{00000000-0005-0000-0000-0000BF850000}"/>
    <cellStyle name="Normal 5 17 13 3 5" xfId="34242" xr:uid="{00000000-0005-0000-0000-0000C0850000}"/>
    <cellStyle name="Normal 5 17 13 3 6" xfId="34243" xr:uid="{00000000-0005-0000-0000-0000C1850000}"/>
    <cellStyle name="Normal 5 17 13 3 7" xfId="34244" xr:uid="{00000000-0005-0000-0000-0000C2850000}"/>
    <cellStyle name="Normal 5 17 13 3 8" xfId="34245" xr:uid="{00000000-0005-0000-0000-0000C3850000}"/>
    <cellStyle name="Normal 5 17 13 3 9" xfId="34246" xr:uid="{00000000-0005-0000-0000-0000C4850000}"/>
    <cellStyle name="Normal 5 17 13 4" xfId="34247" xr:uid="{00000000-0005-0000-0000-0000C5850000}"/>
    <cellStyle name="Normal 5 17 13 4 10" xfId="34248" xr:uid="{00000000-0005-0000-0000-0000C6850000}"/>
    <cellStyle name="Normal 5 17 13 4 2" xfId="34249" xr:uid="{00000000-0005-0000-0000-0000C7850000}"/>
    <cellStyle name="Normal 5 17 13 4 3" xfId="34250" xr:uid="{00000000-0005-0000-0000-0000C8850000}"/>
    <cellStyle name="Normal 5 17 13 4 4" xfId="34251" xr:uid="{00000000-0005-0000-0000-0000C9850000}"/>
    <cellStyle name="Normal 5 17 13 4 5" xfId="34252" xr:uid="{00000000-0005-0000-0000-0000CA850000}"/>
    <cellStyle name="Normal 5 17 13 4 6" xfId="34253" xr:uid="{00000000-0005-0000-0000-0000CB850000}"/>
    <cellStyle name="Normal 5 17 13 4 7" xfId="34254" xr:uid="{00000000-0005-0000-0000-0000CC850000}"/>
    <cellStyle name="Normal 5 17 13 4 8" xfId="34255" xr:uid="{00000000-0005-0000-0000-0000CD850000}"/>
    <cellStyle name="Normal 5 17 13 4 9" xfId="34256" xr:uid="{00000000-0005-0000-0000-0000CE850000}"/>
    <cellStyle name="Normal 5 17 13 5" xfId="34257" xr:uid="{00000000-0005-0000-0000-0000CF850000}"/>
    <cellStyle name="Normal 5 17 13 5 10" xfId="34258" xr:uid="{00000000-0005-0000-0000-0000D0850000}"/>
    <cellStyle name="Normal 5 17 13 5 2" xfId="34259" xr:uid="{00000000-0005-0000-0000-0000D1850000}"/>
    <cellStyle name="Normal 5 17 13 5 3" xfId="34260" xr:uid="{00000000-0005-0000-0000-0000D2850000}"/>
    <cellStyle name="Normal 5 17 13 5 4" xfId="34261" xr:uid="{00000000-0005-0000-0000-0000D3850000}"/>
    <cellStyle name="Normal 5 17 13 5 5" xfId="34262" xr:uid="{00000000-0005-0000-0000-0000D4850000}"/>
    <cellStyle name="Normal 5 17 13 5 6" xfId="34263" xr:uid="{00000000-0005-0000-0000-0000D5850000}"/>
    <cellStyle name="Normal 5 17 13 5 7" xfId="34264" xr:uid="{00000000-0005-0000-0000-0000D6850000}"/>
    <cellStyle name="Normal 5 17 13 5 8" xfId="34265" xr:uid="{00000000-0005-0000-0000-0000D7850000}"/>
    <cellStyle name="Normal 5 17 13 5 9" xfId="34266" xr:uid="{00000000-0005-0000-0000-0000D8850000}"/>
    <cellStyle name="Normal 5 17 13 6" xfId="34267" xr:uid="{00000000-0005-0000-0000-0000D9850000}"/>
    <cellStyle name="Normal 5 17 13 7" xfId="34268" xr:uid="{00000000-0005-0000-0000-0000DA850000}"/>
    <cellStyle name="Normal 5 17 13 8" xfId="34269" xr:uid="{00000000-0005-0000-0000-0000DB850000}"/>
    <cellStyle name="Normal 5 17 13 9" xfId="34270" xr:uid="{00000000-0005-0000-0000-0000DC850000}"/>
    <cellStyle name="Normal 5 17 14" xfId="34271" xr:uid="{00000000-0005-0000-0000-0000DD850000}"/>
    <cellStyle name="Normal 5 17 14 10" xfId="34272" xr:uid="{00000000-0005-0000-0000-0000DE850000}"/>
    <cellStyle name="Normal 5 17 14 11" xfId="34273" xr:uid="{00000000-0005-0000-0000-0000DF850000}"/>
    <cellStyle name="Normal 5 17 14 12" xfId="34274" xr:uid="{00000000-0005-0000-0000-0000E0850000}"/>
    <cellStyle name="Normal 5 17 14 13" xfId="34275" xr:uid="{00000000-0005-0000-0000-0000E1850000}"/>
    <cellStyle name="Normal 5 17 14 14" xfId="34276" xr:uid="{00000000-0005-0000-0000-0000E2850000}"/>
    <cellStyle name="Normal 5 17 14 2" xfId="34277" xr:uid="{00000000-0005-0000-0000-0000E3850000}"/>
    <cellStyle name="Normal 5 17 14 2 10" xfId="34278" xr:uid="{00000000-0005-0000-0000-0000E4850000}"/>
    <cellStyle name="Normal 5 17 14 2 2" xfId="34279" xr:uid="{00000000-0005-0000-0000-0000E5850000}"/>
    <cellStyle name="Normal 5 17 14 2 3" xfId="34280" xr:uid="{00000000-0005-0000-0000-0000E6850000}"/>
    <cellStyle name="Normal 5 17 14 2 4" xfId="34281" xr:uid="{00000000-0005-0000-0000-0000E7850000}"/>
    <cellStyle name="Normal 5 17 14 2 5" xfId="34282" xr:uid="{00000000-0005-0000-0000-0000E8850000}"/>
    <cellStyle name="Normal 5 17 14 2 6" xfId="34283" xr:uid="{00000000-0005-0000-0000-0000E9850000}"/>
    <cellStyle name="Normal 5 17 14 2 7" xfId="34284" xr:uid="{00000000-0005-0000-0000-0000EA850000}"/>
    <cellStyle name="Normal 5 17 14 2 8" xfId="34285" xr:uid="{00000000-0005-0000-0000-0000EB850000}"/>
    <cellStyle name="Normal 5 17 14 2 9" xfId="34286" xr:uid="{00000000-0005-0000-0000-0000EC850000}"/>
    <cellStyle name="Normal 5 17 14 3" xfId="34287" xr:uid="{00000000-0005-0000-0000-0000ED850000}"/>
    <cellStyle name="Normal 5 17 14 3 10" xfId="34288" xr:uid="{00000000-0005-0000-0000-0000EE850000}"/>
    <cellStyle name="Normal 5 17 14 3 2" xfId="34289" xr:uid="{00000000-0005-0000-0000-0000EF850000}"/>
    <cellStyle name="Normal 5 17 14 3 3" xfId="34290" xr:uid="{00000000-0005-0000-0000-0000F0850000}"/>
    <cellStyle name="Normal 5 17 14 3 4" xfId="34291" xr:uid="{00000000-0005-0000-0000-0000F1850000}"/>
    <cellStyle name="Normal 5 17 14 3 5" xfId="34292" xr:uid="{00000000-0005-0000-0000-0000F2850000}"/>
    <cellStyle name="Normal 5 17 14 3 6" xfId="34293" xr:uid="{00000000-0005-0000-0000-0000F3850000}"/>
    <cellStyle name="Normal 5 17 14 3 7" xfId="34294" xr:uid="{00000000-0005-0000-0000-0000F4850000}"/>
    <cellStyle name="Normal 5 17 14 3 8" xfId="34295" xr:uid="{00000000-0005-0000-0000-0000F5850000}"/>
    <cellStyle name="Normal 5 17 14 3 9" xfId="34296" xr:uid="{00000000-0005-0000-0000-0000F6850000}"/>
    <cellStyle name="Normal 5 17 14 4" xfId="34297" xr:uid="{00000000-0005-0000-0000-0000F7850000}"/>
    <cellStyle name="Normal 5 17 14 4 10" xfId="34298" xr:uid="{00000000-0005-0000-0000-0000F8850000}"/>
    <cellStyle name="Normal 5 17 14 4 2" xfId="34299" xr:uid="{00000000-0005-0000-0000-0000F9850000}"/>
    <cellStyle name="Normal 5 17 14 4 3" xfId="34300" xr:uid="{00000000-0005-0000-0000-0000FA850000}"/>
    <cellStyle name="Normal 5 17 14 4 4" xfId="34301" xr:uid="{00000000-0005-0000-0000-0000FB850000}"/>
    <cellStyle name="Normal 5 17 14 4 5" xfId="34302" xr:uid="{00000000-0005-0000-0000-0000FC850000}"/>
    <cellStyle name="Normal 5 17 14 4 6" xfId="34303" xr:uid="{00000000-0005-0000-0000-0000FD850000}"/>
    <cellStyle name="Normal 5 17 14 4 7" xfId="34304" xr:uid="{00000000-0005-0000-0000-0000FE850000}"/>
    <cellStyle name="Normal 5 17 14 4 8" xfId="34305" xr:uid="{00000000-0005-0000-0000-0000FF850000}"/>
    <cellStyle name="Normal 5 17 14 4 9" xfId="34306" xr:uid="{00000000-0005-0000-0000-000000860000}"/>
    <cellStyle name="Normal 5 17 14 5" xfId="34307" xr:uid="{00000000-0005-0000-0000-000001860000}"/>
    <cellStyle name="Normal 5 17 14 5 10" xfId="34308" xr:uid="{00000000-0005-0000-0000-000002860000}"/>
    <cellStyle name="Normal 5 17 14 5 2" xfId="34309" xr:uid="{00000000-0005-0000-0000-000003860000}"/>
    <cellStyle name="Normal 5 17 14 5 3" xfId="34310" xr:uid="{00000000-0005-0000-0000-000004860000}"/>
    <cellStyle name="Normal 5 17 14 5 4" xfId="34311" xr:uid="{00000000-0005-0000-0000-000005860000}"/>
    <cellStyle name="Normal 5 17 14 5 5" xfId="34312" xr:uid="{00000000-0005-0000-0000-000006860000}"/>
    <cellStyle name="Normal 5 17 14 5 6" xfId="34313" xr:uid="{00000000-0005-0000-0000-000007860000}"/>
    <cellStyle name="Normal 5 17 14 5 7" xfId="34314" xr:uid="{00000000-0005-0000-0000-000008860000}"/>
    <cellStyle name="Normal 5 17 14 5 8" xfId="34315" xr:uid="{00000000-0005-0000-0000-000009860000}"/>
    <cellStyle name="Normal 5 17 14 5 9" xfId="34316" xr:uid="{00000000-0005-0000-0000-00000A860000}"/>
    <cellStyle name="Normal 5 17 14 6" xfId="34317" xr:uid="{00000000-0005-0000-0000-00000B860000}"/>
    <cellStyle name="Normal 5 17 14 7" xfId="34318" xr:uid="{00000000-0005-0000-0000-00000C860000}"/>
    <cellStyle name="Normal 5 17 14 8" xfId="34319" xr:uid="{00000000-0005-0000-0000-00000D860000}"/>
    <cellStyle name="Normal 5 17 14 9" xfId="34320" xr:uid="{00000000-0005-0000-0000-00000E860000}"/>
    <cellStyle name="Normal 5 17 15" xfId="34321" xr:uid="{00000000-0005-0000-0000-00000F860000}"/>
    <cellStyle name="Normal 5 17 15 10" xfId="34322" xr:uid="{00000000-0005-0000-0000-000010860000}"/>
    <cellStyle name="Normal 5 17 15 11" xfId="34323" xr:uid="{00000000-0005-0000-0000-000011860000}"/>
    <cellStyle name="Normal 5 17 15 12" xfId="34324" xr:uid="{00000000-0005-0000-0000-000012860000}"/>
    <cellStyle name="Normal 5 17 15 13" xfId="34325" xr:uid="{00000000-0005-0000-0000-000013860000}"/>
    <cellStyle name="Normal 5 17 15 14" xfId="34326" xr:uid="{00000000-0005-0000-0000-000014860000}"/>
    <cellStyle name="Normal 5 17 15 2" xfId="34327" xr:uid="{00000000-0005-0000-0000-000015860000}"/>
    <cellStyle name="Normal 5 17 15 2 10" xfId="34328" xr:uid="{00000000-0005-0000-0000-000016860000}"/>
    <cellStyle name="Normal 5 17 15 2 2" xfId="34329" xr:uid="{00000000-0005-0000-0000-000017860000}"/>
    <cellStyle name="Normal 5 17 15 2 3" xfId="34330" xr:uid="{00000000-0005-0000-0000-000018860000}"/>
    <cellStyle name="Normal 5 17 15 2 4" xfId="34331" xr:uid="{00000000-0005-0000-0000-000019860000}"/>
    <cellStyle name="Normal 5 17 15 2 5" xfId="34332" xr:uid="{00000000-0005-0000-0000-00001A860000}"/>
    <cellStyle name="Normal 5 17 15 2 6" xfId="34333" xr:uid="{00000000-0005-0000-0000-00001B860000}"/>
    <cellStyle name="Normal 5 17 15 2 7" xfId="34334" xr:uid="{00000000-0005-0000-0000-00001C860000}"/>
    <cellStyle name="Normal 5 17 15 2 8" xfId="34335" xr:uid="{00000000-0005-0000-0000-00001D860000}"/>
    <cellStyle name="Normal 5 17 15 2 9" xfId="34336" xr:uid="{00000000-0005-0000-0000-00001E860000}"/>
    <cellStyle name="Normal 5 17 15 3" xfId="34337" xr:uid="{00000000-0005-0000-0000-00001F860000}"/>
    <cellStyle name="Normal 5 17 15 3 10" xfId="34338" xr:uid="{00000000-0005-0000-0000-000020860000}"/>
    <cellStyle name="Normal 5 17 15 3 2" xfId="34339" xr:uid="{00000000-0005-0000-0000-000021860000}"/>
    <cellStyle name="Normal 5 17 15 3 3" xfId="34340" xr:uid="{00000000-0005-0000-0000-000022860000}"/>
    <cellStyle name="Normal 5 17 15 3 4" xfId="34341" xr:uid="{00000000-0005-0000-0000-000023860000}"/>
    <cellStyle name="Normal 5 17 15 3 5" xfId="34342" xr:uid="{00000000-0005-0000-0000-000024860000}"/>
    <cellStyle name="Normal 5 17 15 3 6" xfId="34343" xr:uid="{00000000-0005-0000-0000-000025860000}"/>
    <cellStyle name="Normal 5 17 15 3 7" xfId="34344" xr:uid="{00000000-0005-0000-0000-000026860000}"/>
    <cellStyle name="Normal 5 17 15 3 8" xfId="34345" xr:uid="{00000000-0005-0000-0000-000027860000}"/>
    <cellStyle name="Normal 5 17 15 3 9" xfId="34346" xr:uid="{00000000-0005-0000-0000-000028860000}"/>
    <cellStyle name="Normal 5 17 15 4" xfId="34347" xr:uid="{00000000-0005-0000-0000-000029860000}"/>
    <cellStyle name="Normal 5 17 15 4 10" xfId="34348" xr:uid="{00000000-0005-0000-0000-00002A860000}"/>
    <cellStyle name="Normal 5 17 15 4 2" xfId="34349" xr:uid="{00000000-0005-0000-0000-00002B860000}"/>
    <cellStyle name="Normal 5 17 15 4 3" xfId="34350" xr:uid="{00000000-0005-0000-0000-00002C860000}"/>
    <cellStyle name="Normal 5 17 15 4 4" xfId="34351" xr:uid="{00000000-0005-0000-0000-00002D860000}"/>
    <cellStyle name="Normal 5 17 15 4 5" xfId="34352" xr:uid="{00000000-0005-0000-0000-00002E860000}"/>
    <cellStyle name="Normal 5 17 15 4 6" xfId="34353" xr:uid="{00000000-0005-0000-0000-00002F860000}"/>
    <cellStyle name="Normal 5 17 15 4 7" xfId="34354" xr:uid="{00000000-0005-0000-0000-000030860000}"/>
    <cellStyle name="Normal 5 17 15 4 8" xfId="34355" xr:uid="{00000000-0005-0000-0000-000031860000}"/>
    <cellStyle name="Normal 5 17 15 4 9" xfId="34356" xr:uid="{00000000-0005-0000-0000-000032860000}"/>
    <cellStyle name="Normal 5 17 15 5" xfId="34357" xr:uid="{00000000-0005-0000-0000-000033860000}"/>
    <cellStyle name="Normal 5 17 15 5 10" xfId="34358" xr:uid="{00000000-0005-0000-0000-000034860000}"/>
    <cellStyle name="Normal 5 17 15 5 2" xfId="34359" xr:uid="{00000000-0005-0000-0000-000035860000}"/>
    <cellStyle name="Normal 5 17 15 5 3" xfId="34360" xr:uid="{00000000-0005-0000-0000-000036860000}"/>
    <cellStyle name="Normal 5 17 15 5 4" xfId="34361" xr:uid="{00000000-0005-0000-0000-000037860000}"/>
    <cellStyle name="Normal 5 17 15 5 5" xfId="34362" xr:uid="{00000000-0005-0000-0000-000038860000}"/>
    <cellStyle name="Normal 5 17 15 5 6" xfId="34363" xr:uid="{00000000-0005-0000-0000-000039860000}"/>
    <cellStyle name="Normal 5 17 15 5 7" xfId="34364" xr:uid="{00000000-0005-0000-0000-00003A860000}"/>
    <cellStyle name="Normal 5 17 15 5 8" xfId="34365" xr:uid="{00000000-0005-0000-0000-00003B860000}"/>
    <cellStyle name="Normal 5 17 15 5 9" xfId="34366" xr:uid="{00000000-0005-0000-0000-00003C860000}"/>
    <cellStyle name="Normal 5 17 15 6" xfId="34367" xr:uid="{00000000-0005-0000-0000-00003D860000}"/>
    <cellStyle name="Normal 5 17 15 7" xfId="34368" xr:uid="{00000000-0005-0000-0000-00003E860000}"/>
    <cellStyle name="Normal 5 17 15 8" xfId="34369" xr:uid="{00000000-0005-0000-0000-00003F860000}"/>
    <cellStyle name="Normal 5 17 15 9" xfId="34370" xr:uid="{00000000-0005-0000-0000-000040860000}"/>
    <cellStyle name="Normal 5 17 16" xfId="34371" xr:uid="{00000000-0005-0000-0000-000041860000}"/>
    <cellStyle name="Normal 5 17 16 10" xfId="34372" xr:uid="{00000000-0005-0000-0000-000042860000}"/>
    <cellStyle name="Normal 5 17 16 11" xfId="34373" xr:uid="{00000000-0005-0000-0000-000043860000}"/>
    <cellStyle name="Normal 5 17 16 12" xfId="34374" xr:uid="{00000000-0005-0000-0000-000044860000}"/>
    <cellStyle name="Normal 5 17 16 13" xfId="34375" xr:uid="{00000000-0005-0000-0000-000045860000}"/>
    <cellStyle name="Normal 5 17 16 14" xfId="34376" xr:uid="{00000000-0005-0000-0000-000046860000}"/>
    <cellStyle name="Normal 5 17 16 2" xfId="34377" xr:uid="{00000000-0005-0000-0000-000047860000}"/>
    <cellStyle name="Normal 5 17 16 2 10" xfId="34378" xr:uid="{00000000-0005-0000-0000-000048860000}"/>
    <cellStyle name="Normal 5 17 16 2 2" xfId="34379" xr:uid="{00000000-0005-0000-0000-000049860000}"/>
    <cellStyle name="Normal 5 17 16 2 3" xfId="34380" xr:uid="{00000000-0005-0000-0000-00004A860000}"/>
    <cellStyle name="Normal 5 17 16 2 4" xfId="34381" xr:uid="{00000000-0005-0000-0000-00004B860000}"/>
    <cellStyle name="Normal 5 17 16 2 5" xfId="34382" xr:uid="{00000000-0005-0000-0000-00004C860000}"/>
    <cellStyle name="Normal 5 17 16 2 6" xfId="34383" xr:uid="{00000000-0005-0000-0000-00004D860000}"/>
    <cellStyle name="Normal 5 17 16 2 7" xfId="34384" xr:uid="{00000000-0005-0000-0000-00004E860000}"/>
    <cellStyle name="Normal 5 17 16 2 8" xfId="34385" xr:uid="{00000000-0005-0000-0000-00004F860000}"/>
    <cellStyle name="Normal 5 17 16 2 9" xfId="34386" xr:uid="{00000000-0005-0000-0000-000050860000}"/>
    <cellStyle name="Normal 5 17 16 3" xfId="34387" xr:uid="{00000000-0005-0000-0000-000051860000}"/>
    <cellStyle name="Normal 5 17 16 3 10" xfId="34388" xr:uid="{00000000-0005-0000-0000-000052860000}"/>
    <cellStyle name="Normal 5 17 16 3 2" xfId="34389" xr:uid="{00000000-0005-0000-0000-000053860000}"/>
    <cellStyle name="Normal 5 17 16 3 3" xfId="34390" xr:uid="{00000000-0005-0000-0000-000054860000}"/>
    <cellStyle name="Normal 5 17 16 3 4" xfId="34391" xr:uid="{00000000-0005-0000-0000-000055860000}"/>
    <cellStyle name="Normal 5 17 16 3 5" xfId="34392" xr:uid="{00000000-0005-0000-0000-000056860000}"/>
    <cellStyle name="Normal 5 17 16 3 6" xfId="34393" xr:uid="{00000000-0005-0000-0000-000057860000}"/>
    <cellStyle name="Normal 5 17 16 3 7" xfId="34394" xr:uid="{00000000-0005-0000-0000-000058860000}"/>
    <cellStyle name="Normal 5 17 16 3 8" xfId="34395" xr:uid="{00000000-0005-0000-0000-000059860000}"/>
    <cellStyle name="Normal 5 17 16 3 9" xfId="34396" xr:uid="{00000000-0005-0000-0000-00005A860000}"/>
    <cellStyle name="Normal 5 17 16 4" xfId="34397" xr:uid="{00000000-0005-0000-0000-00005B860000}"/>
    <cellStyle name="Normal 5 17 16 4 10" xfId="34398" xr:uid="{00000000-0005-0000-0000-00005C860000}"/>
    <cellStyle name="Normal 5 17 16 4 2" xfId="34399" xr:uid="{00000000-0005-0000-0000-00005D860000}"/>
    <cellStyle name="Normal 5 17 16 4 3" xfId="34400" xr:uid="{00000000-0005-0000-0000-00005E860000}"/>
    <cellStyle name="Normal 5 17 16 4 4" xfId="34401" xr:uid="{00000000-0005-0000-0000-00005F860000}"/>
    <cellStyle name="Normal 5 17 16 4 5" xfId="34402" xr:uid="{00000000-0005-0000-0000-000060860000}"/>
    <cellStyle name="Normal 5 17 16 4 6" xfId="34403" xr:uid="{00000000-0005-0000-0000-000061860000}"/>
    <cellStyle name="Normal 5 17 16 4 7" xfId="34404" xr:uid="{00000000-0005-0000-0000-000062860000}"/>
    <cellStyle name="Normal 5 17 16 4 8" xfId="34405" xr:uid="{00000000-0005-0000-0000-000063860000}"/>
    <cellStyle name="Normal 5 17 16 4 9" xfId="34406" xr:uid="{00000000-0005-0000-0000-000064860000}"/>
    <cellStyle name="Normal 5 17 16 5" xfId="34407" xr:uid="{00000000-0005-0000-0000-000065860000}"/>
    <cellStyle name="Normal 5 17 16 5 10" xfId="34408" xr:uid="{00000000-0005-0000-0000-000066860000}"/>
    <cellStyle name="Normal 5 17 16 5 2" xfId="34409" xr:uid="{00000000-0005-0000-0000-000067860000}"/>
    <cellStyle name="Normal 5 17 16 5 3" xfId="34410" xr:uid="{00000000-0005-0000-0000-000068860000}"/>
    <cellStyle name="Normal 5 17 16 5 4" xfId="34411" xr:uid="{00000000-0005-0000-0000-000069860000}"/>
    <cellStyle name="Normal 5 17 16 5 5" xfId="34412" xr:uid="{00000000-0005-0000-0000-00006A860000}"/>
    <cellStyle name="Normal 5 17 16 5 6" xfId="34413" xr:uid="{00000000-0005-0000-0000-00006B860000}"/>
    <cellStyle name="Normal 5 17 16 5 7" xfId="34414" xr:uid="{00000000-0005-0000-0000-00006C860000}"/>
    <cellStyle name="Normal 5 17 16 5 8" xfId="34415" xr:uid="{00000000-0005-0000-0000-00006D860000}"/>
    <cellStyle name="Normal 5 17 16 5 9" xfId="34416" xr:uid="{00000000-0005-0000-0000-00006E860000}"/>
    <cellStyle name="Normal 5 17 16 6" xfId="34417" xr:uid="{00000000-0005-0000-0000-00006F860000}"/>
    <cellStyle name="Normal 5 17 16 7" xfId="34418" xr:uid="{00000000-0005-0000-0000-000070860000}"/>
    <cellStyle name="Normal 5 17 16 8" xfId="34419" xr:uid="{00000000-0005-0000-0000-000071860000}"/>
    <cellStyle name="Normal 5 17 16 9" xfId="34420" xr:uid="{00000000-0005-0000-0000-000072860000}"/>
    <cellStyle name="Normal 5 17 17" xfId="34421" xr:uid="{00000000-0005-0000-0000-000073860000}"/>
    <cellStyle name="Normal 5 17 17 10" xfId="34422" xr:uid="{00000000-0005-0000-0000-000074860000}"/>
    <cellStyle name="Normal 5 17 17 11" xfId="34423" xr:uid="{00000000-0005-0000-0000-000075860000}"/>
    <cellStyle name="Normal 5 17 17 12" xfId="34424" xr:uid="{00000000-0005-0000-0000-000076860000}"/>
    <cellStyle name="Normal 5 17 17 13" xfId="34425" xr:uid="{00000000-0005-0000-0000-000077860000}"/>
    <cellStyle name="Normal 5 17 17 14" xfId="34426" xr:uid="{00000000-0005-0000-0000-000078860000}"/>
    <cellStyle name="Normal 5 17 17 2" xfId="34427" xr:uid="{00000000-0005-0000-0000-000079860000}"/>
    <cellStyle name="Normal 5 17 17 2 10" xfId="34428" xr:uid="{00000000-0005-0000-0000-00007A860000}"/>
    <cellStyle name="Normal 5 17 17 2 2" xfId="34429" xr:uid="{00000000-0005-0000-0000-00007B860000}"/>
    <cellStyle name="Normal 5 17 17 2 3" xfId="34430" xr:uid="{00000000-0005-0000-0000-00007C860000}"/>
    <cellStyle name="Normal 5 17 17 2 4" xfId="34431" xr:uid="{00000000-0005-0000-0000-00007D860000}"/>
    <cellStyle name="Normal 5 17 17 2 5" xfId="34432" xr:uid="{00000000-0005-0000-0000-00007E860000}"/>
    <cellStyle name="Normal 5 17 17 2 6" xfId="34433" xr:uid="{00000000-0005-0000-0000-00007F860000}"/>
    <cellStyle name="Normal 5 17 17 2 7" xfId="34434" xr:uid="{00000000-0005-0000-0000-000080860000}"/>
    <cellStyle name="Normal 5 17 17 2 8" xfId="34435" xr:uid="{00000000-0005-0000-0000-000081860000}"/>
    <cellStyle name="Normal 5 17 17 2 9" xfId="34436" xr:uid="{00000000-0005-0000-0000-000082860000}"/>
    <cellStyle name="Normal 5 17 17 3" xfId="34437" xr:uid="{00000000-0005-0000-0000-000083860000}"/>
    <cellStyle name="Normal 5 17 17 3 10" xfId="34438" xr:uid="{00000000-0005-0000-0000-000084860000}"/>
    <cellStyle name="Normal 5 17 17 3 2" xfId="34439" xr:uid="{00000000-0005-0000-0000-000085860000}"/>
    <cellStyle name="Normal 5 17 17 3 3" xfId="34440" xr:uid="{00000000-0005-0000-0000-000086860000}"/>
    <cellStyle name="Normal 5 17 17 3 4" xfId="34441" xr:uid="{00000000-0005-0000-0000-000087860000}"/>
    <cellStyle name="Normal 5 17 17 3 5" xfId="34442" xr:uid="{00000000-0005-0000-0000-000088860000}"/>
    <cellStyle name="Normal 5 17 17 3 6" xfId="34443" xr:uid="{00000000-0005-0000-0000-000089860000}"/>
    <cellStyle name="Normal 5 17 17 3 7" xfId="34444" xr:uid="{00000000-0005-0000-0000-00008A860000}"/>
    <cellStyle name="Normal 5 17 17 3 8" xfId="34445" xr:uid="{00000000-0005-0000-0000-00008B860000}"/>
    <cellStyle name="Normal 5 17 17 3 9" xfId="34446" xr:uid="{00000000-0005-0000-0000-00008C860000}"/>
    <cellStyle name="Normal 5 17 17 4" xfId="34447" xr:uid="{00000000-0005-0000-0000-00008D860000}"/>
    <cellStyle name="Normal 5 17 17 4 10" xfId="34448" xr:uid="{00000000-0005-0000-0000-00008E860000}"/>
    <cellStyle name="Normal 5 17 17 4 2" xfId="34449" xr:uid="{00000000-0005-0000-0000-00008F860000}"/>
    <cellStyle name="Normal 5 17 17 4 3" xfId="34450" xr:uid="{00000000-0005-0000-0000-000090860000}"/>
    <cellStyle name="Normal 5 17 17 4 4" xfId="34451" xr:uid="{00000000-0005-0000-0000-000091860000}"/>
    <cellStyle name="Normal 5 17 17 4 5" xfId="34452" xr:uid="{00000000-0005-0000-0000-000092860000}"/>
    <cellStyle name="Normal 5 17 17 4 6" xfId="34453" xr:uid="{00000000-0005-0000-0000-000093860000}"/>
    <cellStyle name="Normal 5 17 17 4 7" xfId="34454" xr:uid="{00000000-0005-0000-0000-000094860000}"/>
    <cellStyle name="Normal 5 17 17 4 8" xfId="34455" xr:uid="{00000000-0005-0000-0000-000095860000}"/>
    <cellStyle name="Normal 5 17 17 4 9" xfId="34456" xr:uid="{00000000-0005-0000-0000-000096860000}"/>
    <cellStyle name="Normal 5 17 17 5" xfId="34457" xr:uid="{00000000-0005-0000-0000-000097860000}"/>
    <cellStyle name="Normal 5 17 17 5 10" xfId="34458" xr:uid="{00000000-0005-0000-0000-000098860000}"/>
    <cellStyle name="Normal 5 17 17 5 2" xfId="34459" xr:uid="{00000000-0005-0000-0000-000099860000}"/>
    <cellStyle name="Normal 5 17 17 5 3" xfId="34460" xr:uid="{00000000-0005-0000-0000-00009A860000}"/>
    <cellStyle name="Normal 5 17 17 5 4" xfId="34461" xr:uid="{00000000-0005-0000-0000-00009B860000}"/>
    <cellStyle name="Normal 5 17 17 5 5" xfId="34462" xr:uid="{00000000-0005-0000-0000-00009C860000}"/>
    <cellStyle name="Normal 5 17 17 5 6" xfId="34463" xr:uid="{00000000-0005-0000-0000-00009D860000}"/>
    <cellStyle name="Normal 5 17 17 5 7" xfId="34464" xr:uid="{00000000-0005-0000-0000-00009E860000}"/>
    <cellStyle name="Normal 5 17 17 5 8" xfId="34465" xr:uid="{00000000-0005-0000-0000-00009F860000}"/>
    <cellStyle name="Normal 5 17 17 5 9" xfId="34466" xr:uid="{00000000-0005-0000-0000-0000A0860000}"/>
    <cellStyle name="Normal 5 17 17 6" xfId="34467" xr:uid="{00000000-0005-0000-0000-0000A1860000}"/>
    <cellStyle name="Normal 5 17 17 7" xfId="34468" xr:uid="{00000000-0005-0000-0000-0000A2860000}"/>
    <cellStyle name="Normal 5 17 17 8" xfId="34469" xr:uid="{00000000-0005-0000-0000-0000A3860000}"/>
    <cellStyle name="Normal 5 17 17 9" xfId="34470" xr:uid="{00000000-0005-0000-0000-0000A4860000}"/>
    <cellStyle name="Normal 5 17 18" xfId="34471" xr:uid="{00000000-0005-0000-0000-0000A5860000}"/>
    <cellStyle name="Normal 5 17 18 10" xfId="34472" xr:uid="{00000000-0005-0000-0000-0000A6860000}"/>
    <cellStyle name="Normal 5 17 18 11" xfId="34473" xr:uid="{00000000-0005-0000-0000-0000A7860000}"/>
    <cellStyle name="Normal 5 17 18 12" xfId="34474" xr:uid="{00000000-0005-0000-0000-0000A8860000}"/>
    <cellStyle name="Normal 5 17 18 13" xfId="34475" xr:uid="{00000000-0005-0000-0000-0000A9860000}"/>
    <cellStyle name="Normal 5 17 18 14" xfId="34476" xr:uid="{00000000-0005-0000-0000-0000AA860000}"/>
    <cellStyle name="Normal 5 17 18 2" xfId="34477" xr:uid="{00000000-0005-0000-0000-0000AB860000}"/>
    <cellStyle name="Normal 5 17 18 2 10" xfId="34478" xr:uid="{00000000-0005-0000-0000-0000AC860000}"/>
    <cellStyle name="Normal 5 17 18 2 2" xfId="34479" xr:uid="{00000000-0005-0000-0000-0000AD860000}"/>
    <cellStyle name="Normal 5 17 18 2 3" xfId="34480" xr:uid="{00000000-0005-0000-0000-0000AE860000}"/>
    <cellStyle name="Normal 5 17 18 2 4" xfId="34481" xr:uid="{00000000-0005-0000-0000-0000AF860000}"/>
    <cellStyle name="Normal 5 17 18 2 5" xfId="34482" xr:uid="{00000000-0005-0000-0000-0000B0860000}"/>
    <cellStyle name="Normal 5 17 18 2 6" xfId="34483" xr:uid="{00000000-0005-0000-0000-0000B1860000}"/>
    <cellStyle name="Normal 5 17 18 2 7" xfId="34484" xr:uid="{00000000-0005-0000-0000-0000B2860000}"/>
    <cellStyle name="Normal 5 17 18 2 8" xfId="34485" xr:uid="{00000000-0005-0000-0000-0000B3860000}"/>
    <cellStyle name="Normal 5 17 18 2 9" xfId="34486" xr:uid="{00000000-0005-0000-0000-0000B4860000}"/>
    <cellStyle name="Normal 5 17 18 3" xfId="34487" xr:uid="{00000000-0005-0000-0000-0000B5860000}"/>
    <cellStyle name="Normal 5 17 18 3 10" xfId="34488" xr:uid="{00000000-0005-0000-0000-0000B6860000}"/>
    <cellStyle name="Normal 5 17 18 3 2" xfId="34489" xr:uid="{00000000-0005-0000-0000-0000B7860000}"/>
    <cellStyle name="Normal 5 17 18 3 3" xfId="34490" xr:uid="{00000000-0005-0000-0000-0000B8860000}"/>
    <cellStyle name="Normal 5 17 18 3 4" xfId="34491" xr:uid="{00000000-0005-0000-0000-0000B9860000}"/>
    <cellStyle name="Normal 5 17 18 3 5" xfId="34492" xr:uid="{00000000-0005-0000-0000-0000BA860000}"/>
    <cellStyle name="Normal 5 17 18 3 6" xfId="34493" xr:uid="{00000000-0005-0000-0000-0000BB860000}"/>
    <cellStyle name="Normal 5 17 18 3 7" xfId="34494" xr:uid="{00000000-0005-0000-0000-0000BC860000}"/>
    <cellStyle name="Normal 5 17 18 3 8" xfId="34495" xr:uid="{00000000-0005-0000-0000-0000BD860000}"/>
    <cellStyle name="Normal 5 17 18 3 9" xfId="34496" xr:uid="{00000000-0005-0000-0000-0000BE860000}"/>
    <cellStyle name="Normal 5 17 18 4" xfId="34497" xr:uid="{00000000-0005-0000-0000-0000BF860000}"/>
    <cellStyle name="Normal 5 17 18 4 10" xfId="34498" xr:uid="{00000000-0005-0000-0000-0000C0860000}"/>
    <cellStyle name="Normal 5 17 18 4 2" xfId="34499" xr:uid="{00000000-0005-0000-0000-0000C1860000}"/>
    <cellStyle name="Normal 5 17 18 4 3" xfId="34500" xr:uid="{00000000-0005-0000-0000-0000C2860000}"/>
    <cellStyle name="Normal 5 17 18 4 4" xfId="34501" xr:uid="{00000000-0005-0000-0000-0000C3860000}"/>
    <cellStyle name="Normal 5 17 18 4 5" xfId="34502" xr:uid="{00000000-0005-0000-0000-0000C4860000}"/>
    <cellStyle name="Normal 5 17 18 4 6" xfId="34503" xr:uid="{00000000-0005-0000-0000-0000C5860000}"/>
    <cellStyle name="Normal 5 17 18 4 7" xfId="34504" xr:uid="{00000000-0005-0000-0000-0000C6860000}"/>
    <cellStyle name="Normal 5 17 18 4 8" xfId="34505" xr:uid="{00000000-0005-0000-0000-0000C7860000}"/>
    <cellStyle name="Normal 5 17 18 4 9" xfId="34506" xr:uid="{00000000-0005-0000-0000-0000C8860000}"/>
    <cellStyle name="Normal 5 17 18 5" xfId="34507" xr:uid="{00000000-0005-0000-0000-0000C9860000}"/>
    <cellStyle name="Normal 5 17 18 5 10" xfId="34508" xr:uid="{00000000-0005-0000-0000-0000CA860000}"/>
    <cellStyle name="Normal 5 17 18 5 2" xfId="34509" xr:uid="{00000000-0005-0000-0000-0000CB860000}"/>
    <cellStyle name="Normal 5 17 18 5 3" xfId="34510" xr:uid="{00000000-0005-0000-0000-0000CC860000}"/>
    <cellStyle name="Normal 5 17 18 5 4" xfId="34511" xr:uid="{00000000-0005-0000-0000-0000CD860000}"/>
    <cellStyle name="Normal 5 17 18 5 5" xfId="34512" xr:uid="{00000000-0005-0000-0000-0000CE860000}"/>
    <cellStyle name="Normal 5 17 18 5 6" xfId="34513" xr:uid="{00000000-0005-0000-0000-0000CF860000}"/>
    <cellStyle name="Normal 5 17 18 5 7" xfId="34514" xr:uid="{00000000-0005-0000-0000-0000D0860000}"/>
    <cellStyle name="Normal 5 17 18 5 8" xfId="34515" xr:uid="{00000000-0005-0000-0000-0000D1860000}"/>
    <cellStyle name="Normal 5 17 18 5 9" xfId="34516" xr:uid="{00000000-0005-0000-0000-0000D2860000}"/>
    <cellStyle name="Normal 5 17 18 6" xfId="34517" xr:uid="{00000000-0005-0000-0000-0000D3860000}"/>
    <cellStyle name="Normal 5 17 18 7" xfId="34518" xr:uid="{00000000-0005-0000-0000-0000D4860000}"/>
    <cellStyle name="Normal 5 17 18 8" xfId="34519" xr:uid="{00000000-0005-0000-0000-0000D5860000}"/>
    <cellStyle name="Normal 5 17 18 9" xfId="34520" xr:uid="{00000000-0005-0000-0000-0000D6860000}"/>
    <cellStyle name="Normal 5 17 19" xfId="34521" xr:uid="{00000000-0005-0000-0000-0000D7860000}"/>
    <cellStyle name="Normal 5 17 19 10" xfId="34522" xr:uid="{00000000-0005-0000-0000-0000D8860000}"/>
    <cellStyle name="Normal 5 17 19 11" xfId="34523" xr:uid="{00000000-0005-0000-0000-0000D9860000}"/>
    <cellStyle name="Normal 5 17 19 12" xfId="34524" xr:uid="{00000000-0005-0000-0000-0000DA860000}"/>
    <cellStyle name="Normal 5 17 19 13" xfId="34525" xr:uid="{00000000-0005-0000-0000-0000DB860000}"/>
    <cellStyle name="Normal 5 17 19 14" xfId="34526" xr:uid="{00000000-0005-0000-0000-0000DC860000}"/>
    <cellStyle name="Normal 5 17 19 2" xfId="34527" xr:uid="{00000000-0005-0000-0000-0000DD860000}"/>
    <cellStyle name="Normal 5 17 19 2 10" xfId="34528" xr:uid="{00000000-0005-0000-0000-0000DE860000}"/>
    <cellStyle name="Normal 5 17 19 2 2" xfId="34529" xr:uid="{00000000-0005-0000-0000-0000DF860000}"/>
    <cellStyle name="Normal 5 17 19 2 3" xfId="34530" xr:uid="{00000000-0005-0000-0000-0000E0860000}"/>
    <cellStyle name="Normal 5 17 19 2 4" xfId="34531" xr:uid="{00000000-0005-0000-0000-0000E1860000}"/>
    <cellStyle name="Normal 5 17 19 2 5" xfId="34532" xr:uid="{00000000-0005-0000-0000-0000E2860000}"/>
    <cellStyle name="Normal 5 17 19 2 6" xfId="34533" xr:uid="{00000000-0005-0000-0000-0000E3860000}"/>
    <cellStyle name="Normal 5 17 19 2 7" xfId="34534" xr:uid="{00000000-0005-0000-0000-0000E4860000}"/>
    <cellStyle name="Normal 5 17 19 2 8" xfId="34535" xr:uid="{00000000-0005-0000-0000-0000E5860000}"/>
    <cellStyle name="Normal 5 17 19 2 9" xfId="34536" xr:uid="{00000000-0005-0000-0000-0000E6860000}"/>
    <cellStyle name="Normal 5 17 19 3" xfId="34537" xr:uid="{00000000-0005-0000-0000-0000E7860000}"/>
    <cellStyle name="Normal 5 17 19 3 10" xfId="34538" xr:uid="{00000000-0005-0000-0000-0000E8860000}"/>
    <cellStyle name="Normal 5 17 19 3 2" xfId="34539" xr:uid="{00000000-0005-0000-0000-0000E9860000}"/>
    <cellStyle name="Normal 5 17 19 3 3" xfId="34540" xr:uid="{00000000-0005-0000-0000-0000EA860000}"/>
    <cellStyle name="Normal 5 17 19 3 4" xfId="34541" xr:uid="{00000000-0005-0000-0000-0000EB860000}"/>
    <cellStyle name="Normal 5 17 19 3 5" xfId="34542" xr:uid="{00000000-0005-0000-0000-0000EC860000}"/>
    <cellStyle name="Normal 5 17 19 3 6" xfId="34543" xr:uid="{00000000-0005-0000-0000-0000ED860000}"/>
    <cellStyle name="Normal 5 17 19 3 7" xfId="34544" xr:uid="{00000000-0005-0000-0000-0000EE860000}"/>
    <cellStyle name="Normal 5 17 19 3 8" xfId="34545" xr:uid="{00000000-0005-0000-0000-0000EF860000}"/>
    <cellStyle name="Normal 5 17 19 3 9" xfId="34546" xr:uid="{00000000-0005-0000-0000-0000F0860000}"/>
    <cellStyle name="Normal 5 17 19 4" xfId="34547" xr:uid="{00000000-0005-0000-0000-0000F1860000}"/>
    <cellStyle name="Normal 5 17 19 4 10" xfId="34548" xr:uid="{00000000-0005-0000-0000-0000F2860000}"/>
    <cellStyle name="Normal 5 17 19 4 2" xfId="34549" xr:uid="{00000000-0005-0000-0000-0000F3860000}"/>
    <cellStyle name="Normal 5 17 19 4 3" xfId="34550" xr:uid="{00000000-0005-0000-0000-0000F4860000}"/>
    <cellStyle name="Normal 5 17 19 4 4" xfId="34551" xr:uid="{00000000-0005-0000-0000-0000F5860000}"/>
    <cellStyle name="Normal 5 17 19 4 5" xfId="34552" xr:uid="{00000000-0005-0000-0000-0000F6860000}"/>
    <cellStyle name="Normal 5 17 19 4 6" xfId="34553" xr:uid="{00000000-0005-0000-0000-0000F7860000}"/>
    <cellStyle name="Normal 5 17 19 4 7" xfId="34554" xr:uid="{00000000-0005-0000-0000-0000F8860000}"/>
    <cellStyle name="Normal 5 17 19 4 8" xfId="34555" xr:uid="{00000000-0005-0000-0000-0000F9860000}"/>
    <cellStyle name="Normal 5 17 19 4 9" xfId="34556" xr:uid="{00000000-0005-0000-0000-0000FA860000}"/>
    <cellStyle name="Normal 5 17 19 5" xfId="34557" xr:uid="{00000000-0005-0000-0000-0000FB860000}"/>
    <cellStyle name="Normal 5 17 19 5 10" xfId="34558" xr:uid="{00000000-0005-0000-0000-0000FC860000}"/>
    <cellStyle name="Normal 5 17 19 5 2" xfId="34559" xr:uid="{00000000-0005-0000-0000-0000FD860000}"/>
    <cellStyle name="Normal 5 17 19 5 3" xfId="34560" xr:uid="{00000000-0005-0000-0000-0000FE860000}"/>
    <cellStyle name="Normal 5 17 19 5 4" xfId="34561" xr:uid="{00000000-0005-0000-0000-0000FF860000}"/>
    <cellStyle name="Normal 5 17 19 5 5" xfId="34562" xr:uid="{00000000-0005-0000-0000-000000870000}"/>
    <cellStyle name="Normal 5 17 19 5 6" xfId="34563" xr:uid="{00000000-0005-0000-0000-000001870000}"/>
    <cellStyle name="Normal 5 17 19 5 7" xfId="34564" xr:uid="{00000000-0005-0000-0000-000002870000}"/>
    <cellStyle name="Normal 5 17 19 5 8" xfId="34565" xr:uid="{00000000-0005-0000-0000-000003870000}"/>
    <cellStyle name="Normal 5 17 19 5 9" xfId="34566" xr:uid="{00000000-0005-0000-0000-000004870000}"/>
    <cellStyle name="Normal 5 17 19 6" xfId="34567" xr:uid="{00000000-0005-0000-0000-000005870000}"/>
    <cellStyle name="Normal 5 17 19 7" xfId="34568" xr:uid="{00000000-0005-0000-0000-000006870000}"/>
    <cellStyle name="Normal 5 17 19 8" xfId="34569" xr:uid="{00000000-0005-0000-0000-000007870000}"/>
    <cellStyle name="Normal 5 17 19 9" xfId="34570" xr:uid="{00000000-0005-0000-0000-000008870000}"/>
    <cellStyle name="Normal 5 17 2" xfId="34571" xr:uid="{00000000-0005-0000-0000-000009870000}"/>
    <cellStyle name="Normal 5 17 2 10" xfId="34572" xr:uid="{00000000-0005-0000-0000-00000A870000}"/>
    <cellStyle name="Normal 5 17 2 10 10" xfId="34573" xr:uid="{00000000-0005-0000-0000-00000B870000}"/>
    <cellStyle name="Normal 5 17 2 10 11" xfId="34574" xr:uid="{00000000-0005-0000-0000-00000C870000}"/>
    <cellStyle name="Normal 5 17 2 10 12" xfId="34575" xr:uid="{00000000-0005-0000-0000-00000D870000}"/>
    <cellStyle name="Normal 5 17 2 10 13" xfId="34576" xr:uid="{00000000-0005-0000-0000-00000E870000}"/>
    <cellStyle name="Normal 5 17 2 10 14" xfId="34577" xr:uid="{00000000-0005-0000-0000-00000F870000}"/>
    <cellStyle name="Normal 5 17 2 10 2" xfId="34578" xr:uid="{00000000-0005-0000-0000-000010870000}"/>
    <cellStyle name="Normal 5 17 2 10 2 10" xfId="34579" xr:uid="{00000000-0005-0000-0000-000011870000}"/>
    <cellStyle name="Normal 5 17 2 10 2 2" xfId="34580" xr:uid="{00000000-0005-0000-0000-000012870000}"/>
    <cellStyle name="Normal 5 17 2 10 2 3" xfId="34581" xr:uid="{00000000-0005-0000-0000-000013870000}"/>
    <cellStyle name="Normal 5 17 2 10 2 4" xfId="34582" xr:uid="{00000000-0005-0000-0000-000014870000}"/>
    <cellStyle name="Normal 5 17 2 10 2 5" xfId="34583" xr:uid="{00000000-0005-0000-0000-000015870000}"/>
    <cellStyle name="Normal 5 17 2 10 2 6" xfId="34584" xr:uid="{00000000-0005-0000-0000-000016870000}"/>
    <cellStyle name="Normal 5 17 2 10 2 7" xfId="34585" xr:uid="{00000000-0005-0000-0000-000017870000}"/>
    <cellStyle name="Normal 5 17 2 10 2 8" xfId="34586" xr:uid="{00000000-0005-0000-0000-000018870000}"/>
    <cellStyle name="Normal 5 17 2 10 2 9" xfId="34587" xr:uid="{00000000-0005-0000-0000-000019870000}"/>
    <cellStyle name="Normal 5 17 2 10 3" xfId="34588" xr:uid="{00000000-0005-0000-0000-00001A870000}"/>
    <cellStyle name="Normal 5 17 2 10 3 10" xfId="34589" xr:uid="{00000000-0005-0000-0000-00001B870000}"/>
    <cellStyle name="Normal 5 17 2 10 3 2" xfId="34590" xr:uid="{00000000-0005-0000-0000-00001C870000}"/>
    <cellStyle name="Normal 5 17 2 10 3 3" xfId="34591" xr:uid="{00000000-0005-0000-0000-00001D870000}"/>
    <cellStyle name="Normal 5 17 2 10 3 4" xfId="34592" xr:uid="{00000000-0005-0000-0000-00001E870000}"/>
    <cellStyle name="Normal 5 17 2 10 3 5" xfId="34593" xr:uid="{00000000-0005-0000-0000-00001F870000}"/>
    <cellStyle name="Normal 5 17 2 10 3 6" xfId="34594" xr:uid="{00000000-0005-0000-0000-000020870000}"/>
    <cellStyle name="Normal 5 17 2 10 3 7" xfId="34595" xr:uid="{00000000-0005-0000-0000-000021870000}"/>
    <cellStyle name="Normal 5 17 2 10 3 8" xfId="34596" xr:uid="{00000000-0005-0000-0000-000022870000}"/>
    <cellStyle name="Normal 5 17 2 10 3 9" xfId="34597" xr:uid="{00000000-0005-0000-0000-000023870000}"/>
    <cellStyle name="Normal 5 17 2 10 4" xfId="34598" xr:uid="{00000000-0005-0000-0000-000024870000}"/>
    <cellStyle name="Normal 5 17 2 10 4 10" xfId="34599" xr:uid="{00000000-0005-0000-0000-000025870000}"/>
    <cellStyle name="Normal 5 17 2 10 4 2" xfId="34600" xr:uid="{00000000-0005-0000-0000-000026870000}"/>
    <cellStyle name="Normal 5 17 2 10 4 3" xfId="34601" xr:uid="{00000000-0005-0000-0000-000027870000}"/>
    <cellStyle name="Normal 5 17 2 10 4 4" xfId="34602" xr:uid="{00000000-0005-0000-0000-000028870000}"/>
    <cellStyle name="Normal 5 17 2 10 4 5" xfId="34603" xr:uid="{00000000-0005-0000-0000-000029870000}"/>
    <cellStyle name="Normal 5 17 2 10 4 6" xfId="34604" xr:uid="{00000000-0005-0000-0000-00002A870000}"/>
    <cellStyle name="Normal 5 17 2 10 4 7" xfId="34605" xr:uid="{00000000-0005-0000-0000-00002B870000}"/>
    <cellStyle name="Normal 5 17 2 10 4 8" xfId="34606" xr:uid="{00000000-0005-0000-0000-00002C870000}"/>
    <cellStyle name="Normal 5 17 2 10 4 9" xfId="34607" xr:uid="{00000000-0005-0000-0000-00002D870000}"/>
    <cellStyle name="Normal 5 17 2 10 5" xfId="34608" xr:uid="{00000000-0005-0000-0000-00002E870000}"/>
    <cellStyle name="Normal 5 17 2 10 5 10" xfId="34609" xr:uid="{00000000-0005-0000-0000-00002F870000}"/>
    <cellStyle name="Normal 5 17 2 10 5 2" xfId="34610" xr:uid="{00000000-0005-0000-0000-000030870000}"/>
    <cellStyle name="Normal 5 17 2 10 5 3" xfId="34611" xr:uid="{00000000-0005-0000-0000-000031870000}"/>
    <cellStyle name="Normal 5 17 2 10 5 4" xfId="34612" xr:uid="{00000000-0005-0000-0000-000032870000}"/>
    <cellStyle name="Normal 5 17 2 10 5 5" xfId="34613" xr:uid="{00000000-0005-0000-0000-000033870000}"/>
    <cellStyle name="Normal 5 17 2 10 5 6" xfId="34614" xr:uid="{00000000-0005-0000-0000-000034870000}"/>
    <cellStyle name="Normal 5 17 2 10 5 7" xfId="34615" xr:uid="{00000000-0005-0000-0000-000035870000}"/>
    <cellStyle name="Normal 5 17 2 10 5 8" xfId="34616" xr:uid="{00000000-0005-0000-0000-000036870000}"/>
    <cellStyle name="Normal 5 17 2 10 5 9" xfId="34617" xr:uid="{00000000-0005-0000-0000-000037870000}"/>
    <cellStyle name="Normal 5 17 2 10 6" xfId="34618" xr:uid="{00000000-0005-0000-0000-000038870000}"/>
    <cellStyle name="Normal 5 17 2 10 7" xfId="34619" xr:uid="{00000000-0005-0000-0000-000039870000}"/>
    <cellStyle name="Normal 5 17 2 10 8" xfId="34620" xr:uid="{00000000-0005-0000-0000-00003A870000}"/>
    <cellStyle name="Normal 5 17 2 10 9" xfId="34621" xr:uid="{00000000-0005-0000-0000-00003B870000}"/>
    <cellStyle name="Normal 5 17 2 11" xfId="34622" xr:uid="{00000000-0005-0000-0000-00003C870000}"/>
    <cellStyle name="Normal 5 17 2 11 10" xfId="34623" xr:uid="{00000000-0005-0000-0000-00003D870000}"/>
    <cellStyle name="Normal 5 17 2 11 11" xfId="34624" xr:uid="{00000000-0005-0000-0000-00003E870000}"/>
    <cellStyle name="Normal 5 17 2 11 12" xfId="34625" xr:uid="{00000000-0005-0000-0000-00003F870000}"/>
    <cellStyle name="Normal 5 17 2 11 13" xfId="34626" xr:uid="{00000000-0005-0000-0000-000040870000}"/>
    <cellStyle name="Normal 5 17 2 11 14" xfId="34627" xr:uid="{00000000-0005-0000-0000-000041870000}"/>
    <cellStyle name="Normal 5 17 2 11 2" xfId="34628" xr:uid="{00000000-0005-0000-0000-000042870000}"/>
    <cellStyle name="Normal 5 17 2 11 2 10" xfId="34629" xr:uid="{00000000-0005-0000-0000-000043870000}"/>
    <cellStyle name="Normal 5 17 2 11 2 2" xfId="34630" xr:uid="{00000000-0005-0000-0000-000044870000}"/>
    <cellStyle name="Normal 5 17 2 11 2 3" xfId="34631" xr:uid="{00000000-0005-0000-0000-000045870000}"/>
    <cellStyle name="Normal 5 17 2 11 2 4" xfId="34632" xr:uid="{00000000-0005-0000-0000-000046870000}"/>
    <cellStyle name="Normal 5 17 2 11 2 5" xfId="34633" xr:uid="{00000000-0005-0000-0000-000047870000}"/>
    <cellStyle name="Normal 5 17 2 11 2 6" xfId="34634" xr:uid="{00000000-0005-0000-0000-000048870000}"/>
    <cellStyle name="Normal 5 17 2 11 2 7" xfId="34635" xr:uid="{00000000-0005-0000-0000-000049870000}"/>
    <cellStyle name="Normal 5 17 2 11 2 8" xfId="34636" xr:uid="{00000000-0005-0000-0000-00004A870000}"/>
    <cellStyle name="Normal 5 17 2 11 2 9" xfId="34637" xr:uid="{00000000-0005-0000-0000-00004B870000}"/>
    <cellStyle name="Normal 5 17 2 11 3" xfId="34638" xr:uid="{00000000-0005-0000-0000-00004C870000}"/>
    <cellStyle name="Normal 5 17 2 11 3 10" xfId="34639" xr:uid="{00000000-0005-0000-0000-00004D870000}"/>
    <cellStyle name="Normal 5 17 2 11 3 2" xfId="34640" xr:uid="{00000000-0005-0000-0000-00004E870000}"/>
    <cellStyle name="Normal 5 17 2 11 3 3" xfId="34641" xr:uid="{00000000-0005-0000-0000-00004F870000}"/>
    <cellStyle name="Normal 5 17 2 11 3 4" xfId="34642" xr:uid="{00000000-0005-0000-0000-000050870000}"/>
    <cellStyle name="Normal 5 17 2 11 3 5" xfId="34643" xr:uid="{00000000-0005-0000-0000-000051870000}"/>
    <cellStyle name="Normal 5 17 2 11 3 6" xfId="34644" xr:uid="{00000000-0005-0000-0000-000052870000}"/>
    <cellStyle name="Normal 5 17 2 11 3 7" xfId="34645" xr:uid="{00000000-0005-0000-0000-000053870000}"/>
    <cellStyle name="Normal 5 17 2 11 3 8" xfId="34646" xr:uid="{00000000-0005-0000-0000-000054870000}"/>
    <cellStyle name="Normal 5 17 2 11 3 9" xfId="34647" xr:uid="{00000000-0005-0000-0000-000055870000}"/>
    <cellStyle name="Normal 5 17 2 11 4" xfId="34648" xr:uid="{00000000-0005-0000-0000-000056870000}"/>
    <cellStyle name="Normal 5 17 2 11 4 10" xfId="34649" xr:uid="{00000000-0005-0000-0000-000057870000}"/>
    <cellStyle name="Normal 5 17 2 11 4 2" xfId="34650" xr:uid="{00000000-0005-0000-0000-000058870000}"/>
    <cellStyle name="Normal 5 17 2 11 4 3" xfId="34651" xr:uid="{00000000-0005-0000-0000-000059870000}"/>
    <cellStyle name="Normal 5 17 2 11 4 4" xfId="34652" xr:uid="{00000000-0005-0000-0000-00005A870000}"/>
    <cellStyle name="Normal 5 17 2 11 4 5" xfId="34653" xr:uid="{00000000-0005-0000-0000-00005B870000}"/>
    <cellStyle name="Normal 5 17 2 11 4 6" xfId="34654" xr:uid="{00000000-0005-0000-0000-00005C870000}"/>
    <cellStyle name="Normal 5 17 2 11 4 7" xfId="34655" xr:uid="{00000000-0005-0000-0000-00005D870000}"/>
    <cellStyle name="Normal 5 17 2 11 4 8" xfId="34656" xr:uid="{00000000-0005-0000-0000-00005E870000}"/>
    <cellStyle name="Normal 5 17 2 11 4 9" xfId="34657" xr:uid="{00000000-0005-0000-0000-00005F870000}"/>
    <cellStyle name="Normal 5 17 2 11 5" xfId="34658" xr:uid="{00000000-0005-0000-0000-000060870000}"/>
    <cellStyle name="Normal 5 17 2 11 5 10" xfId="34659" xr:uid="{00000000-0005-0000-0000-000061870000}"/>
    <cellStyle name="Normal 5 17 2 11 5 2" xfId="34660" xr:uid="{00000000-0005-0000-0000-000062870000}"/>
    <cellStyle name="Normal 5 17 2 11 5 3" xfId="34661" xr:uid="{00000000-0005-0000-0000-000063870000}"/>
    <cellStyle name="Normal 5 17 2 11 5 4" xfId="34662" xr:uid="{00000000-0005-0000-0000-000064870000}"/>
    <cellStyle name="Normal 5 17 2 11 5 5" xfId="34663" xr:uid="{00000000-0005-0000-0000-000065870000}"/>
    <cellStyle name="Normal 5 17 2 11 5 6" xfId="34664" xr:uid="{00000000-0005-0000-0000-000066870000}"/>
    <cellStyle name="Normal 5 17 2 11 5 7" xfId="34665" xr:uid="{00000000-0005-0000-0000-000067870000}"/>
    <cellStyle name="Normal 5 17 2 11 5 8" xfId="34666" xr:uid="{00000000-0005-0000-0000-000068870000}"/>
    <cellStyle name="Normal 5 17 2 11 5 9" xfId="34667" xr:uid="{00000000-0005-0000-0000-000069870000}"/>
    <cellStyle name="Normal 5 17 2 11 6" xfId="34668" xr:uid="{00000000-0005-0000-0000-00006A870000}"/>
    <cellStyle name="Normal 5 17 2 11 7" xfId="34669" xr:uid="{00000000-0005-0000-0000-00006B870000}"/>
    <cellStyle name="Normal 5 17 2 11 8" xfId="34670" xr:uid="{00000000-0005-0000-0000-00006C870000}"/>
    <cellStyle name="Normal 5 17 2 11 9" xfId="34671" xr:uid="{00000000-0005-0000-0000-00006D870000}"/>
    <cellStyle name="Normal 5 17 2 12" xfId="34672" xr:uid="{00000000-0005-0000-0000-00006E870000}"/>
    <cellStyle name="Normal 5 17 2 12 10" xfId="34673" xr:uid="{00000000-0005-0000-0000-00006F870000}"/>
    <cellStyle name="Normal 5 17 2 12 11" xfId="34674" xr:uid="{00000000-0005-0000-0000-000070870000}"/>
    <cellStyle name="Normal 5 17 2 12 12" xfId="34675" xr:uid="{00000000-0005-0000-0000-000071870000}"/>
    <cellStyle name="Normal 5 17 2 12 13" xfId="34676" xr:uid="{00000000-0005-0000-0000-000072870000}"/>
    <cellStyle name="Normal 5 17 2 12 14" xfId="34677" xr:uid="{00000000-0005-0000-0000-000073870000}"/>
    <cellStyle name="Normal 5 17 2 12 2" xfId="34678" xr:uid="{00000000-0005-0000-0000-000074870000}"/>
    <cellStyle name="Normal 5 17 2 12 2 10" xfId="34679" xr:uid="{00000000-0005-0000-0000-000075870000}"/>
    <cellStyle name="Normal 5 17 2 12 2 2" xfId="34680" xr:uid="{00000000-0005-0000-0000-000076870000}"/>
    <cellStyle name="Normal 5 17 2 12 2 3" xfId="34681" xr:uid="{00000000-0005-0000-0000-000077870000}"/>
    <cellStyle name="Normal 5 17 2 12 2 4" xfId="34682" xr:uid="{00000000-0005-0000-0000-000078870000}"/>
    <cellStyle name="Normal 5 17 2 12 2 5" xfId="34683" xr:uid="{00000000-0005-0000-0000-000079870000}"/>
    <cellStyle name="Normal 5 17 2 12 2 6" xfId="34684" xr:uid="{00000000-0005-0000-0000-00007A870000}"/>
    <cellStyle name="Normal 5 17 2 12 2 7" xfId="34685" xr:uid="{00000000-0005-0000-0000-00007B870000}"/>
    <cellStyle name="Normal 5 17 2 12 2 8" xfId="34686" xr:uid="{00000000-0005-0000-0000-00007C870000}"/>
    <cellStyle name="Normal 5 17 2 12 2 9" xfId="34687" xr:uid="{00000000-0005-0000-0000-00007D870000}"/>
    <cellStyle name="Normal 5 17 2 12 3" xfId="34688" xr:uid="{00000000-0005-0000-0000-00007E870000}"/>
    <cellStyle name="Normal 5 17 2 12 3 10" xfId="34689" xr:uid="{00000000-0005-0000-0000-00007F870000}"/>
    <cellStyle name="Normal 5 17 2 12 3 2" xfId="34690" xr:uid="{00000000-0005-0000-0000-000080870000}"/>
    <cellStyle name="Normal 5 17 2 12 3 3" xfId="34691" xr:uid="{00000000-0005-0000-0000-000081870000}"/>
    <cellStyle name="Normal 5 17 2 12 3 4" xfId="34692" xr:uid="{00000000-0005-0000-0000-000082870000}"/>
    <cellStyle name="Normal 5 17 2 12 3 5" xfId="34693" xr:uid="{00000000-0005-0000-0000-000083870000}"/>
    <cellStyle name="Normal 5 17 2 12 3 6" xfId="34694" xr:uid="{00000000-0005-0000-0000-000084870000}"/>
    <cellStyle name="Normal 5 17 2 12 3 7" xfId="34695" xr:uid="{00000000-0005-0000-0000-000085870000}"/>
    <cellStyle name="Normal 5 17 2 12 3 8" xfId="34696" xr:uid="{00000000-0005-0000-0000-000086870000}"/>
    <cellStyle name="Normal 5 17 2 12 3 9" xfId="34697" xr:uid="{00000000-0005-0000-0000-000087870000}"/>
    <cellStyle name="Normal 5 17 2 12 4" xfId="34698" xr:uid="{00000000-0005-0000-0000-000088870000}"/>
    <cellStyle name="Normal 5 17 2 12 4 10" xfId="34699" xr:uid="{00000000-0005-0000-0000-000089870000}"/>
    <cellStyle name="Normal 5 17 2 12 4 2" xfId="34700" xr:uid="{00000000-0005-0000-0000-00008A870000}"/>
    <cellStyle name="Normal 5 17 2 12 4 3" xfId="34701" xr:uid="{00000000-0005-0000-0000-00008B870000}"/>
    <cellStyle name="Normal 5 17 2 12 4 4" xfId="34702" xr:uid="{00000000-0005-0000-0000-00008C870000}"/>
    <cellStyle name="Normal 5 17 2 12 4 5" xfId="34703" xr:uid="{00000000-0005-0000-0000-00008D870000}"/>
    <cellStyle name="Normal 5 17 2 12 4 6" xfId="34704" xr:uid="{00000000-0005-0000-0000-00008E870000}"/>
    <cellStyle name="Normal 5 17 2 12 4 7" xfId="34705" xr:uid="{00000000-0005-0000-0000-00008F870000}"/>
    <cellStyle name="Normal 5 17 2 12 4 8" xfId="34706" xr:uid="{00000000-0005-0000-0000-000090870000}"/>
    <cellStyle name="Normal 5 17 2 12 4 9" xfId="34707" xr:uid="{00000000-0005-0000-0000-000091870000}"/>
    <cellStyle name="Normal 5 17 2 12 5" xfId="34708" xr:uid="{00000000-0005-0000-0000-000092870000}"/>
    <cellStyle name="Normal 5 17 2 12 5 10" xfId="34709" xr:uid="{00000000-0005-0000-0000-000093870000}"/>
    <cellStyle name="Normal 5 17 2 12 5 2" xfId="34710" xr:uid="{00000000-0005-0000-0000-000094870000}"/>
    <cellStyle name="Normal 5 17 2 12 5 3" xfId="34711" xr:uid="{00000000-0005-0000-0000-000095870000}"/>
    <cellStyle name="Normal 5 17 2 12 5 4" xfId="34712" xr:uid="{00000000-0005-0000-0000-000096870000}"/>
    <cellStyle name="Normal 5 17 2 12 5 5" xfId="34713" xr:uid="{00000000-0005-0000-0000-000097870000}"/>
    <cellStyle name="Normal 5 17 2 12 5 6" xfId="34714" xr:uid="{00000000-0005-0000-0000-000098870000}"/>
    <cellStyle name="Normal 5 17 2 12 5 7" xfId="34715" xr:uid="{00000000-0005-0000-0000-000099870000}"/>
    <cellStyle name="Normal 5 17 2 12 5 8" xfId="34716" xr:uid="{00000000-0005-0000-0000-00009A870000}"/>
    <cellStyle name="Normal 5 17 2 12 5 9" xfId="34717" xr:uid="{00000000-0005-0000-0000-00009B870000}"/>
    <cellStyle name="Normal 5 17 2 12 6" xfId="34718" xr:uid="{00000000-0005-0000-0000-00009C870000}"/>
    <cellStyle name="Normal 5 17 2 12 7" xfId="34719" xr:uid="{00000000-0005-0000-0000-00009D870000}"/>
    <cellStyle name="Normal 5 17 2 12 8" xfId="34720" xr:uid="{00000000-0005-0000-0000-00009E870000}"/>
    <cellStyle name="Normal 5 17 2 12 9" xfId="34721" xr:uid="{00000000-0005-0000-0000-00009F870000}"/>
    <cellStyle name="Normal 5 17 2 13" xfId="34722" xr:uid="{00000000-0005-0000-0000-0000A0870000}"/>
    <cellStyle name="Normal 5 17 2 13 10" xfId="34723" xr:uid="{00000000-0005-0000-0000-0000A1870000}"/>
    <cellStyle name="Normal 5 17 2 13 11" xfId="34724" xr:uid="{00000000-0005-0000-0000-0000A2870000}"/>
    <cellStyle name="Normal 5 17 2 13 12" xfId="34725" xr:uid="{00000000-0005-0000-0000-0000A3870000}"/>
    <cellStyle name="Normal 5 17 2 13 13" xfId="34726" xr:uid="{00000000-0005-0000-0000-0000A4870000}"/>
    <cellStyle name="Normal 5 17 2 13 14" xfId="34727" xr:uid="{00000000-0005-0000-0000-0000A5870000}"/>
    <cellStyle name="Normal 5 17 2 13 2" xfId="34728" xr:uid="{00000000-0005-0000-0000-0000A6870000}"/>
    <cellStyle name="Normal 5 17 2 13 2 10" xfId="34729" xr:uid="{00000000-0005-0000-0000-0000A7870000}"/>
    <cellStyle name="Normal 5 17 2 13 2 2" xfId="34730" xr:uid="{00000000-0005-0000-0000-0000A8870000}"/>
    <cellStyle name="Normal 5 17 2 13 2 3" xfId="34731" xr:uid="{00000000-0005-0000-0000-0000A9870000}"/>
    <cellStyle name="Normal 5 17 2 13 2 4" xfId="34732" xr:uid="{00000000-0005-0000-0000-0000AA870000}"/>
    <cellStyle name="Normal 5 17 2 13 2 5" xfId="34733" xr:uid="{00000000-0005-0000-0000-0000AB870000}"/>
    <cellStyle name="Normal 5 17 2 13 2 6" xfId="34734" xr:uid="{00000000-0005-0000-0000-0000AC870000}"/>
    <cellStyle name="Normal 5 17 2 13 2 7" xfId="34735" xr:uid="{00000000-0005-0000-0000-0000AD870000}"/>
    <cellStyle name="Normal 5 17 2 13 2 8" xfId="34736" xr:uid="{00000000-0005-0000-0000-0000AE870000}"/>
    <cellStyle name="Normal 5 17 2 13 2 9" xfId="34737" xr:uid="{00000000-0005-0000-0000-0000AF870000}"/>
    <cellStyle name="Normal 5 17 2 13 3" xfId="34738" xr:uid="{00000000-0005-0000-0000-0000B0870000}"/>
    <cellStyle name="Normal 5 17 2 13 3 10" xfId="34739" xr:uid="{00000000-0005-0000-0000-0000B1870000}"/>
    <cellStyle name="Normal 5 17 2 13 3 2" xfId="34740" xr:uid="{00000000-0005-0000-0000-0000B2870000}"/>
    <cellStyle name="Normal 5 17 2 13 3 3" xfId="34741" xr:uid="{00000000-0005-0000-0000-0000B3870000}"/>
    <cellStyle name="Normal 5 17 2 13 3 4" xfId="34742" xr:uid="{00000000-0005-0000-0000-0000B4870000}"/>
    <cellStyle name="Normal 5 17 2 13 3 5" xfId="34743" xr:uid="{00000000-0005-0000-0000-0000B5870000}"/>
    <cellStyle name="Normal 5 17 2 13 3 6" xfId="34744" xr:uid="{00000000-0005-0000-0000-0000B6870000}"/>
    <cellStyle name="Normal 5 17 2 13 3 7" xfId="34745" xr:uid="{00000000-0005-0000-0000-0000B7870000}"/>
    <cellStyle name="Normal 5 17 2 13 3 8" xfId="34746" xr:uid="{00000000-0005-0000-0000-0000B8870000}"/>
    <cellStyle name="Normal 5 17 2 13 3 9" xfId="34747" xr:uid="{00000000-0005-0000-0000-0000B9870000}"/>
    <cellStyle name="Normal 5 17 2 13 4" xfId="34748" xr:uid="{00000000-0005-0000-0000-0000BA870000}"/>
    <cellStyle name="Normal 5 17 2 13 4 10" xfId="34749" xr:uid="{00000000-0005-0000-0000-0000BB870000}"/>
    <cellStyle name="Normal 5 17 2 13 4 2" xfId="34750" xr:uid="{00000000-0005-0000-0000-0000BC870000}"/>
    <cellStyle name="Normal 5 17 2 13 4 3" xfId="34751" xr:uid="{00000000-0005-0000-0000-0000BD870000}"/>
    <cellStyle name="Normal 5 17 2 13 4 4" xfId="34752" xr:uid="{00000000-0005-0000-0000-0000BE870000}"/>
    <cellStyle name="Normal 5 17 2 13 4 5" xfId="34753" xr:uid="{00000000-0005-0000-0000-0000BF870000}"/>
    <cellStyle name="Normal 5 17 2 13 4 6" xfId="34754" xr:uid="{00000000-0005-0000-0000-0000C0870000}"/>
    <cellStyle name="Normal 5 17 2 13 4 7" xfId="34755" xr:uid="{00000000-0005-0000-0000-0000C1870000}"/>
    <cellStyle name="Normal 5 17 2 13 4 8" xfId="34756" xr:uid="{00000000-0005-0000-0000-0000C2870000}"/>
    <cellStyle name="Normal 5 17 2 13 4 9" xfId="34757" xr:uid="{00000000-0005-0000-0000-0000C3870000}"/>
    <cellStyle name="Normal 5 17 2 13 5" xfId="34758" xr:uid="{00000000-0005-0000-0000-0000C4870000}"/>
    <cellStyle name="Normal 5 17 2 13 5 10" xfId="34759" xr:uid="{00000000-0005-0000-0000-0000C5870000}"/>
    <cellStyle name="Normal 5 17 2 13 5 2" xfId="34760" xr:uid="{00000000-0005-0000-0000-0000C6870000}"/>
    <cellStyle name="Normal 5 17 2 13 5 3" xfId="34761" xr:uid="{00000000-0005-0000-0000-0000C7870000}"/>
    <cellStyle name="Normal 5 17 2 13 5 4" xfId="34762" xr:uid="{00000000-0005-0000-0000-0000C8870000}"/>
    <cellStyle name="Normal 5 17 2 13 5 5" xfId="34763" xr:uid="{00000000-0005-0000-0000-0000C9870000}"/>
    <cellStyle name="Normal 5 17 2 13 5 6" xfId="34764" xr:uid="{00000000-0005-0000-0000-0000CA870000}"/>
    <cellStyle name="Normal 5 17 2 13 5 7" xfId="34765" xr:uid="{00000000-0005-0000-0000-0000CB870000}"/>
    <cellStyle name="Normal 5 17 2 13 5 8" xfId="34766" xr:uid="{00000000-0005-0000-0000-0000CC870000}"/>
    <cellStyle name="Normal 5 17 2 13 5 9" xfId="34767" xr:uid="{00000000-0005-0000-0000-0000CD870000}"/>
    <cellStyle name="Normal 5 17 2 13 6" xfId="34768" xr:uid="{00000000-0005-0000-0000-0000CE870000}"/>
    <cellStyle name="Normal 5 17 2 13 7" xfId="34769" xr:uid="{00000000-0005-0000-0000-0000CF870000}"/>
    <cellStyle name="Normal 5 17 2 13 8" xfId="34770" xr:uid="{00000000-0005-0000-0000-0000D0870000}"/>
    <cellStyle name="Normal 5 17 2 13 9" xfId="34771" xr:uid="{00000000-0005-0000-0000-0000D1870000}"/>
    <cellStyle name="Normal 5 17 2 14" xfId="34772" xr:uid="{00000000-0005-0000-0000-0000D2870000}"/>
    <cellStyle name="Normal 5 17 2 14 10" xfId="34773" xr:uid="{00000000-0005-0000-0000-0000D3870000}"/>
    <cellStyle name="Normal 5 17 2 14 11" xfId="34774" xr:uid="{00000000-0005-0000-0000-0000D4870000}"/>
    <cellStyle name="Normal 5 17 2 14 12" xfId="34775" xr:uid="{00000000-0005-0000-0000-0000D5870000}"/>
    <cellStyle name="Normal 5 17 2 14 13" xfId="34776" xr:uid="{00000000-0005-0000-0000-0000D6870000}"/>
    <cellStyle name="Normal 5 17 2 14 14" xfId="34777" xr:uid="{00000000-0005-0000-0000-0000D7870000}"/>
    <cellStyle name="Normal 5 17 2 14 2" xfId="34778" xr:uid="{00000000-0005-0000-0000-0000D8870000}"/>
    <cellStyle name="Normal 5 17 2 14 2 10" xfId="34779" xr:uid="{00000000-0005-0000-0000-0000D9870000}"/>
    <cellStyle name="Normal 5 17 2 14 2 2" xfId="34780" xr:uid="{00000000-0005-0000-0000-0000DA870000}"/>
    <cellStyle name="Normal 5 17 2 14 2 3" xfId="34781" xr:uid="{00000000-0005-0000-0000-0000DB870000}"/>
    <cellStyle name="Normal 5 17 2 14 2 4" xfId="34782" xr:uid="{00000000-0005-0000-0000-0000DC870000}"/>
    <cellStyle name="Normal 5 17 2 14 2 5" xfId="34783" xr:uid="{00000000-0005-0000-0000-0000DD870000}"/>
    <cellStyle name="Normal 5 17 2 14 2 6" xfId="34784" xr:uid="{00000000-0005-0000-0000-0000DE870000}"/>
    <cellStyle name="Normal 5 17 2 14 2 7" xfId="34785" xr:uid="{00000000-0005-0000-0000-0000DF870000}"/>
    <cellStyle name="Normal 5 17 2 14 2 8" xfId="34786" xr:uid="{00000000-0005-0000-0000-0000E0870000}"/>
    <cellStyle name="Normal 5 17 2 14 2 9" xfId="34787" xr:uid="{00000000-0005-0000-0000-0000E1870000}"/>
    <cellStyle name="Normal 5 17 2 14 3" xfId="34788" xr:uid="{00000000-0005-0000-0000-0000E2870000}"/>
    <cellStyle name="Normal 5 17 2 14 3 10" xfId="34789" xr:uid="{00000000-0005-0000-0000-0000E3870000}"/>
    <cellStyle name="Normal 5 17 2 14 3 2" xfId="34790" xr:uid="{00000000-0005-0000-0000-0000E4870000}"/>
    <cellStyle name="Normal 5 17 2 14 3 3" xfId="34791" xr:uid="{00000000-0005-0000-0000-0000E5870000}"/>
    <cellStyle name="Normal 5 17 2 14 3 4" xfId="34792" xr:uid="{00000000-0005-0000-0000-0000E6870000}"/>
    <cellStyle name="Normal 5 17 2 14 3 5" xfId="34793" xr:uid="{00000000-0005-0000-0000-0000E7870000}"/>
    <cellStyle name="Normal 5 17 2 14 3 6" xfId="34794" xr:uid="{00000000-0005-0000-0000-0000E8870000}"/>
    <cellStyle name="Normal 5 17 2 14 3 7" xfId="34795" xr:uid="{00000000-0005-0000-0000-0000E9870000}"/>
    <cellStyle name="Normal 5 17 2 14 3 8" xfId="34796" xr:uid="{00000000-0005-0000-0000-0000EA870000}"/>
    <cellStyle name="Normal 5 17 2 14 3 9" xfId="34797" xr:uid="{00000000-0005-0000-0000-0000EB870000}"/>
    <cellStyle name="Normal 5 17 2 14 4" xfId="34798" xr:uid="{00000000-0005-0000-0000-0000EC870000}"/>
    <cellStyle name="Normal 5 17 2 14 4 10" xfId="34799" xr:uid="{00000000-0005-0000-0000-0000ED870000}"/>
    <cellStyle name="Normal 5 17 2 14 4 2" xfId="34800" xr:uid="{00000000-0005-0000-0000-0000EE870000}"/>
    <cellStyle name="Normal 5 17 2 14 4 3" xfId="34801" xr:uid="{00000000-0005-0000-0000-0000EF870000}"/>
    <cellStyle name="Normal 5 17 2 14 4 4" xfId="34802" xr:uid="{00000000-0005-0000-0000-0000F0870000}"/>
    <cellStyle name="Normal 5 17 2 14 4 5" xfId="34803" xr:uid="{00000000-0005-0000-0000-0000F1870000}"/>
    <cellStyle name="Normal 5 17 2 14 4 6" xfId="34804" xr:uid="{00000000-0005-0000-0000-0000F2870000}"/>
    <cellStyle name="Normal 5 17 2 14 4 7" xfId="34805" xr:uid="{00000000-0005-0000-0000-0000F3870000}"/>
    <cellStyle name="Normal 5 17 2 14 4 8" xfId="34806" xr:uid="{00000000-0005-0000-0000-0000F4870000}"/>
    <cellStyle name="Normal 5 17 2 14 4 9" xfId="34807" xr:uid="{00000000-0005-0000-0000-0000F5870000}"/>
    <cellStyle name="Normal 5 17 2 14 5" xfId="34808" xr:uid="{00000000-0005-0000-0000-0000F6870000}"/>
    <cellStyle name="Normal 5 17 2 14 5 10" xfId="34809" xr:uid="{00000000-0005-0000-0000-0000F7870000}"/>
    <cellStyle name="Normal 5 17 2 14 5 2" xfId="34810" xr:uid="{00000000-0005-0000-0000-0000F8870000}"/>
    <cellStyle name="Normal 5 17 2 14 5 3" xfId="34811" xr:uid="{00000000-0005-0000-0000-0000F9870000}"/>
    <cellStyle name="Normal 5 17 2 14 5 4" xfId="34812" xr:uid="{00000000-0005-0000-0000-0000FA870000}"/>
    <cellStyle name="Normal 5 17 2 14 5 5" xfId="34813" xr:uid="{00000000-0005-0000-0000-0000FB870000}"/>
    <cellStyle name="Normal 5 17 2 14 5 6" xfId="34814" xr:uid="{00000000-0005-0000-0000-0000FC870000}"/>
    <cellStyle name="Normal 5 17 2 14 5 7" xfId="34815" xr:uid="{00000000-0005-0000-0000-0000FD870000}"/>
    <cellStyle name="Normal 5 17 2 14 5 8" xfId="34816" xr:uid="{00000000-0005-0000-0000-0000FE870000}"/>
    <cellStyle name="Normal 5 17 2 14 5 9" xfId="34817" xr:uid="{00000000-0005-0000-0000-0000FF870000}"/>
    <cellStyle name="Normal 5 17 2 14 6" xfId="34818" xr:uid="{00000000-0005-0000-0000-000000880000}"/>
    <cellStyle name="Normal 5 17 2 14 7" xfId="34819" xr:uid="{00000000-0005-0000-0000-000001880000}"/>
    <cellStyle name="Normal 5 17 2 14 8" xfId="34820" xr:uid="{00000000-0005-0000-0000-000002880000}"/>
    <cellStyle name="Normal 5 17 2 14 9" xfId="34821" xr:uid="{00000000-0005-0000-0000-000003880000}"/>
    <cellStyle name="Normal 5 17 2 15" xfId="34822" xr:uid="{00000000-0005-0000-0000-000004880000}"/>
    <cellStyle name="Normal 5 17 2 15 10" xfId="34823" xr:uid="{00000000-0005-0000-0000-000005880000}"/>
    <cellStyle name="Normal 5 17 2 15 11" xfId="34824" xr:uid="{00000000-0005-0000-0000-000006880000}"/>
    <cellStyle name="Normal 5 17 2 15 12" xfId="34825" xr:uid="{00000000-0005-0000-0000-000007880000}"/>
    <cellStyle name="Normal 5 17 2 15 13" xfId="34826" xr:uid="{00000000-0005-0000-0000-000008880000}"/>
    <cellStyle name="Normal 5 17 2 15 14" xfId="34827" xr:uid="{00000000-0005-0000-0000-000009880000}"/>
    <cellStyle name="Normal 5 17 2 15 2" xfId="34828" xr:uid="{00000000-0005-0000-0000-00000A880000}"/>
    <cellStyle name="Normal 5 17 2 15 2 10" xfId="34829" xr:uid="{00000000-0005-0000-0000-00000B880000}"/>
    <cellStyle name="Normal 5 17 2 15 2 2" xfId="34830" xr:uid="{00000000-0005-0000-0000-00000C880000}"/>
    <cellStyle name="Normal 5 17 2 15 2 3" xfId="34831" xr:uid="{00000000-0005-0000-0000-00000D880000}"/>
    <cellStyle name="Normal 5 17 2 15 2 4" xfId="34832" xr:uid="{00000000-0005-0000-0000-00000E880000}"/>
    <cellStyle name="Normal 5 17 2 15 2 5" xfId="34833" xr:uid="{00000000-0005-0000-0000-00000F880000}"/>
    <cellStyle name="Normal 5 17 2 15 2 6" xfId="34834" xr:uid="{00000000-0005-0000-0000-000010880000}"/>
    <cellStyle name="Normal 5 17 2 15 2 7" xfId="34835" xr:uid="{00000000-0005-0000-0000-000011880000}"/>
    <cellStyle name="Normal 5 17 2 15 2 8" xfId="34836" xr:uid="{00000000-0005-0000-0000-000012880000}"/>
    <cellStyle name="Normal 5 17 2 15 2 9" xfId="34837" xr:uid="{00000000-0005-0000-0000-000013880000}"/>
    <cellStyle name="Normal 5 17 2 15 3" xfId="34838" xr:uid="{00000000-0005-0000-0000-000014880000}"/>
    <cellStyle name="Normal 5 17 2 15 3 10" xfId="34839" xr:uid="{00000000-0005-0000-0000-000015880000}"/>
    <cellStyle name="Normal 5 17 2 15 3 2" xfId="34840" xr:uid="{00000000-0005-0000-0000-000016880000}"/>
    <cellStyle name="Normal 5 17 2 15 3 3" xfId="34841" xr:uid="{00000000-0005-0000-0000-000017880000}"/>
    <cellStyle name="Normal 5 17 2 15 3 4" xfId="34842" xr:uid="{00000000-0005-0000-0000-000018880000}"/>
    <cellStyle name="Normal 5 17 2 15 3 5" xfId="34843" xr:uid="{00000000-0005-0000-0000-000019880000}"/>
    <cellStyle name="Normal 5 17 2 15 3 6" xfId="34844" xr:uid="{00000000-0005-0000-0000-00001A880000}"/>
    <cellStyle name="Normal 5 17 2 15 3 7" xfId="34845" xr:uid="{00000000-0005-0000-0000-00001B880000}"/>
    <cellStyle name="Normal 5 17 2 15 3 8" xfId="34846" xr:uid="{00000000-0005-0000-0000-00001C880000}"/>
    <cellStyle name="Normal 5 17 2 15 3 9" xfId="34847" xr:uid="{00000000-0005-0000-0000-00001D880000}"/>
    <cellStyle name="Normal 5 17 2 15 4" xfId="34848" xr:uid="{00000000-0005-0000-0000-00001E880000}"/>
    <cellStyle name="Normal 5 17 2 15 4 10" xfId="34849" xr:uid="{00000000-0005-0000-0000-00001F880000}"/>
    <cellStyle name="Normal 5 17 2 15 4 2" xfId="34850" xr:uid="{00000000-0005-0000-0000-000020880000}"/>
    <cellStyle name="Normal 5 17 2 15 4 3" xfId="34851" xr:uid="{00000000-0005-0000-0000-000021880000}"/>
    <cellStyle name="Normal 5 17 2 15 4 4" xfId="34852" xr:uid="{00000000-0005-0000-0000-000022880000}"/>
    <cellStyle name="Normal 5 17 2 15 4 5" xfId="34853" xr:uid="{00000000-0005-0000-0000-000023880000}"/>
    <cellStyle name="Normal 5 17 2 15 4 6" xfId="34854" xr:uid="{00000000-0005-0000-0000-000024880000}"/>
    <cellStyle name="Normal 5 17 2 15 4 7" xfId="34855" xr:uid="{00000000-0005-0000-0000-000025880000}"/>
    <cellStyle name="Normal 5 17 2 15 4 8" xfId="34856" xr:uid="{00000000-0005-0000-0000-000026880000}"/>
    <cellStyle name="Normal 5 17 2 15 4 9" xfId="34857" xr:uid="{00000000-0005-0000-0000-000027880000}"/>
    <cellStyle name="Normal 5 17 2 15 5" xfId="34858" xr:uid="{00000000-0005-0000-0000-000028880000}"/>
    <cellStyle name="Normal 5 17 2 15 5 10" xfId="34859" xr:uid="{00000000-0005-0000-0000-000029880000}"/>
    <cellStyle name="Normal 5 17 2 15 5 2" xfId="34860" xr:uid="{00000000-0005-0000-0000-00002A880000}"/>
    <cellStyle name="Normal 5 17 2 15 5 3" xfId="34861" xr:uid="{00000000-0005-0000-0000-00002B880000}"/>
    <cellStyle name="Normal 5 17 2 15 5 4" xfId="34862" xr:uid="{00000000-0005-0000-0000-00002C880000}"/>
    <cellStyle name="Normal 5 17 2 15 5 5" xfId="34863" xr:uid="{00000000-0005-0000-0000-00002D880000}"/>
    <cellStyle name="Normal 5 17 2 15 5 6" xfId="34864" xr:uid="{00000000-0005-0000-0000-00002E880000}"/>
    <cellStyle name="Normal 5 17 2 15 5 7" xfId="34865" xr:uid="{00000000-0005-0000-0000-00002F880000}"/>
    <cellStyle name="Normal 5 17 2 15 5 8" xfId="34866" xr:uid="{00000000-0005-0000-0000-000030880000}"/>
    <cellStyle name="Normal 5 17 2 15 5 9" xfId="34867" xr:uid="{00000000-0005-0000-0000-000031880000}"/>
    <cellStyle name="Normal 5 17 2 15 6" xfId="34868" xr:uid="{00000000-0005-0000-0000-000032880000}"/>
    <cellStyle name="Normal 5 17 2 15 7" xfId="34869" xr:uid="{00000000-0005-0000-0000-000033880000}"/>
    <cellStyle name="Normal 5 17 2 15 8" xfId="34870" xr:uid="{00000000-0005-0000-0000-000034880000}"/>
    <cellStyle name="Normal 5 17 2 15 9" xfId="34871" xr:uid="{00000000-0005-0000-0000-000035880000}"/>
    <cellStyle name="Normal 5 17 2 16" xfId="34872" xr:uid="{00000000-0005-0000-0000-000036880000}"/>
    <cellStyle name="Normal 5 17 2 16 10" xfId="34873" xr:uid="{00000000-0005-0000-0000-000037880000}"/>
    <cellStyle name="Normal 5 17 2 16 11" xfId="34874" xr:uid="{00000000-0005-0000-0000-000038880000}"/>
    <cellStyle name="Normal 5 17 2 16 12" xfId="34875" xr:uid="{00000000-0005-0000-0000-000039880000}"/>
    <cellStyle name="Normal 5 17 2 16 13" xfId="34876" xr:uid="{00000000-0005-0000-0000-00003A880000}"/>
    <cellStyle name="Normal 5 17 2 16 14" xfId="34877" xr:uid="{00000000-0005-0000-0000-00003B880000}"/>
    <cellStyle name="Normal 5 17 2 16 2" xfId="34878" xr:uid="{00000000-0005-0000-0000-00003C880000}"/>
    <cellStyle name="Normal 5 17 2 16 2 10" xfId="34879" xr:uid="{00000000-0005-0000-0000-00003D880000}"/>
    <cellStyle name="Normal 5 17 2 16 2 2" xfId="34880" xr:uid="{00000000-0005-0000-0000-00003E880000}"/>
    <cellStyle name="Normal 5 17 2 16 2 3" xfId="34881" xr:uid="{00000000-0005-0000-0000-00003F880000}"/>
    <cellStyle name="Normal 5 17 2 16 2 4" xfId="34882" xr:uid="{00000000-0005-0000-0000-000040880000}"/>
    <cellStyle name="Normal 5 17 2 16 2 5" xfId="34883" xr:uid="{00000000-0005-0000-0000-000041880000}"/>
    <cellStyle name="Normal 5 17 2 16 2 6" xfId="34884" xr:uid="{00000000-0005-0000-0000-000042880000}"/>
    <cellStyle name="Normal 5 17 2 16 2 7" xfId="34885" xr:uid="{00000000-0005-0000-0000-000043880000}"/>
    <cellStyle name="Normal 5 17 2 16 2 8" xfId="34886" xr:uid="{00000000-0005-0000-0000-000044880000}"/>
    <cellStyle name="Normal 5 17 2 16 2 9" xfId="34887" xr:uid="{00000000-0005-0000-0000-000045880000}"/>
    <cellStyle name="Normal 5 17 2 16 3" xfId="34888" xr:uid="{00000000-0005-0000-0000-000046880000}"/>
    <cellStyle name="Normal 5 17 2 16 3 10" xfId="34889" xr:uid="{00000000-0005-0000-0000-000047880000}"/>
    <cellStyle name="Normal 5 17 2 16 3 2" xfId="34890" xr:uid="{00000000-0005-0000-0000-000048880000}"/>
    <cellStyle name="Normal 5 17 2 16 3 3" xfId="34891" xr:uid="{00000000-0005-0000-0000-000049880000}"/>
    <cellStyle name="Normal 5 17 2 16 3 4" xfId="34892" xr:uid="{00000000-0005-0000-0000-00004A880000}"/>
    <cellStyle name="Normal 5 17 2 16 3 5" xfId="34893" xr:uid="{00000000-0005-0000-0000-00004B880000}"/>
    <cellStyle name="Normal 5 17 2 16 3 6" xfId="34894" xr:uid="{00000000-0005-0000-0000-00004C880000}"/>
    <cellStyle name="Normal 5 17 2 16 3 7" xfId="34895" xr:uid="{00000000-0005-0000-0000-00004D880000}"/>
    <cellStyle name="Normal 5 17 2 16 3 8" xfId="34896" xr:uid="{00000000-0005-0000-0000-00004E880000}"/>
    <cellStyle name="Normal 5 17 2 16 3 9" xfId="34897" xr:uid="{00000000-0005-0000-0000-00004F880000}"/>
    <cellStyle name="Normal 5 17 2 16 4" xfId="34898" xr:uid="{00000000-0005-0000-0000-000050880000}"/>
    <cellStyle name="Normal 5 17 2 16 4 10" xfId="34899" xr:uid="{00000000-0005-0000-0000-000051880000}"/>
    <cellStyle name="Normal 5 17 2 16 4 2" xfId="34900" xr:uid="{00000000-0005-0000-0000-000052880000}"/>
    <cellStyle name="Normal 5 17 2 16 4 3" xfId="34901" xr:uid="{00000000-0005-0000-0000-000053880000}"/>
    <cellStyle name="Normal 5 17 2 16 4 4" xfId="34902" xr:uid="{00000000-0005-0000-0000-000054880000}"/>
    <cellStyle name="Normal 5 17 2 16 4 5" xfId="34903" xr:uid="{00000000-0005-0000-0000-000055880000}"/>
    <cellStyle name="Normal 5 17 2 16 4 6" xfId="34904" xr:uid="{00000000-0005-0000-0000-000056880000}"/>
    <cellStyle name="Normal 5 17 2 16 4 7" xfId="34905" xr:uid="{00000000-0005-0000-0000-000057880000}"/>
    <cellStyle name="Normal 5 17 2 16 4 8" xfId="34906" xr:uid="{00000000-0005-0000-0000-000058880000}"/>
    <cellStyle name="Normal 5 17 2 16 4 9" xfId="34907" xr:uid="{00000000-0005-0000-0000-000059880000}"/>
    <cellStyle name="Normal 5 17 2 16 5" xfId="34908" xr:uid="{00000000-0005-0000-0000-00005A880000}"/>
    <cellStyle name="Normal 5 17 2 16 5 10" xfId="34909" xr:uid="{00000000-0005-0000-0000-00005B880000}"/>
    <cellStyle name="Normal 5 17 2 16 5 2" xfId="34910" xr:uid="{00000000-0005-0000-0000-00005C880000}"/>
    <cellStyle name="Normal 5 17 2 16 5 3" xfId="34911" xr:uid="{00000000-0005-0000-0000-00005D880000}"/>
    <cellStyle name="Normal 5 17 2 16 5 4" xfId="34912" xr:uid="{00000000-0005-0000-0000-00005E880000}"/>
    <cellStyle name="Normal 5 17 2 16 5 5" xfId="34913" xr:uid="{00000000-0005-0000-0000-00005F880000}"/>
    <cellStyle name="Normal 5 17 2 16 5 6" xfId="34914" xr:uid="{00000000-0005-0000-0000-000060880000}"/>
    <cellStyle name="Normal 5 17 2 16 5 7" xfId="34915" xr:uid="{00000000-0005-0000-0000-000061880000}"/>
    <cellStyle name="Normal 5 17 2 16 5 8" xfId="34916" xr:uid="{00000000-0005-0000-0000-000062880000}"/>
    <cellStyle name="Normal 5 17 2 16 5 9" xfId="34917" xr:uid="{00000000-0005-0000-0000-000063880000}"/>
    <cellStyle name="Normal 5 17 2 16 6" xfId="34918" xr:uid="{00000000-0005-0000-0000-000064880000}"/>
    <cellStyle name="Normal 5 17 2 16 7" xfId="34919" xr:uid="{00000000-0005-0000-0000-000065880000}"/>
    <cellStyle name="Normal 5 17 2 16 8" xfId="34920" xr:uid="{00000000-0005-0000-0000-000066880000}"/>
    <cellStyle name="Normal 5 17 2 16 9" xfId="34921" xr:uid="{00000000-0005-0000-0000-000067880000}"/>
    <cellStyle name="Normal 5 17 2 17" xfId="34922" xr:uid="{00000000-0005-0000-0000-000068880000}"/>
    <cellStyle name="Normal 5 17 2 17 10" xfId="34923" xr:uid="{00000000-0005-0000-0000-000069880000}"/>
    <cellStyle name="Normal 5 17 2 17 11" xfId="34924" xr:uid="{00000000-0005-0000-0000-00006A880000}"/>
    <cellStyle name="Normal 5 17 2 17 12" xfId="34925" xr:uid="{00000000-0005-0000-0000-00006B880000}"/>
    <cellStyle name="Normal 5 17 2 17 13" xfId="34926" xr:uid="{00000000-0005-0000-0000-00006C880000}"/>
    <cellStyle name="Normal 5 17 2 17 14" xfId="34927" xr:uid="{00000000-0005-0000-0000-00006D880000}"/>
    <cellStyle name="Normal 5 17 2 17 2" xfId="34928" xr:uid="{00000000-0005-0000-0000-00006E880000}"/>
    <cellStyle name="Normal 5 17 2 17 2 10" xfId="34929" xr:uid="{00000000-0005-0000-0000-00006F880000}"/>
    <cellStyle name="Normal 5 17 2 17 2 2" xfId="34930" xr:uid="{00000000-0005-0000-0000-000070880000}"/>
    <cellStyle name="Normal 5 17 2 17 2 3" xfId="34931" xr:uid="{00000000-0005-0000-0000-000071880000}"/>
    <cellStyle name="Normal 5 17 2 17 2 4" xfId="34932" xr:uid="{00000000-0005-0000-0000-000072880000}"/>
    <cellStyle name="Normal 5 17 2 17 2 5" xfId="34933" xr:uid="{00000000-0005-0000-0000-000073880000}"/>
    <cellStyle name="Normal 5 17 2 17 2 6" xfId="34934" xr:uid="{00000000-0005-0000-0000-000074880000}"/>
    <cellStyle name="Normal 5 17 2 17 2 7" xfId="34935" xr:uid="{00000000-0005-0000-0000-000075880000}"/>
    <cellStyle name="Normal 5 17 2 17 2 8" xfId="34936" xr:uid="{00000000-0005-0000-0000-000076880000}"/>
    <cellStyle name="Normal 5 17 2 17 2 9" xfId="34937" xr:uid="{00000000-0005-0000-0000-000077880000}"/>
    <cellStyle name="Normal 5 17 2 17 3" xfId="34938" xr:uid="{00000000-0005-0000-0000-000078880000}"/>
    <cellStyle name="Normal 5 17 2 17 3 10" xfId="34939" xr:uid="{00000000-0005-0000-0000-000079880000}"/>
    <cellStyle name="Normal 5 17 2 17 3 2" xfId="34940" xr:uid="{00000000-0005-0000-0000-00007A880000}"/>
    <cellStyle name="Normal 5 17 2 17 3 3" xfId="34941" xr:uid="{00000000-0005-0000-0000-00007B880000}"/>
    <cellStyle name="Normal 5 17 2 17 3 4" xfId="34942" xr:uid="{00000000-0005-0000-0000-00007C880000}"/>
    <cellStyle name="Normal 5 17 2 17 3 5" xfId="34943" xr:uid="{00000000-0005-0000-0000-00007D880000}"/>
    <cellStyle name="Normal 5 17 2 17 3 6" xfId="34944" xr:uid="{00000000-0005-0000-0000-00007E880000}"/>
    <cellStyle name="Normal 5 17 2 17 3 7" xfId="34945" xr:uid="{00000000-0005-0000-0000-00007F880000}"/>
    <cellStyle name="Normal 5 17 2 17 3 8" xfId="34946" xr:uid="{00000000-0005-0000-0000-000080880000}"/>
    <cellStyle name="Normal 5 17 2 17 3 9" xfId="34947" xr:uid="{00000000-0005-0000-0000-000081880000}"/>
    <cellStyle name="Normal 5 17 2 17 4" xfId="34948" xr:uid="{00000000-0005-0000-0000-000082880000}"/>
    <cellStyle name="Normal 5 17 2 17 4 10" xfId="34949" xr:uid="{00000000-0005-0000-0000-000083880000}"/>
    <cellStyle name="Normal 5 17 2 17 4 2" xfId="34950" xr:uid="{00000000-0005-0000-0000-000084880000}"/>
    <cellStyle name="Normal 5 17 2 17 4 3" xfId="34951" xr:uid="{00000000-0005-0000-0000-000085880000}"/>
    <cellStyle name="Normal 5 17 2 17 4 4" xfId="34952" xr:uid="{00000000-0005-0000-0000-000086880000}"/>
    <cellStyle name="Normal 5 17 2 17 4 5" xfId="34953" xr:uid="{00000000-0005-0000-0000-000087880000}"/>
    <cellStyle name="Normal 5 17 2 17 4 6" xfId="34954" xr:uid="{00000000-0005-0000-0000-000088880000}"/>
    <cellStyle name="Normal 5 17 2 17 4 7" xfId="34955" xr:uid="{00000000-0005-0000-0000-000089880000}"/>
    <cellStyle name="Normal 5 17 2 17 4 8" xfId="34956" xr:uid="{00000000-0005-0000-0000-00008A880000}"/>
    <cellStyle name="Normal 5 17 2 17 4 9" xfId="34957" xr:uid="{00000000-0005-0000-0000-00008B880000}"/>
    <cellStyle name="Normal 5 17 2 17 5" xfId="34958" xr:uid="{00000000-0005-0000-0000-00008C880000}"/>
    <cellStyle name="Normal 5 17 2 17 5 10" xfId="34959" xr:uid="{00000000-0005-0000-0000-00008D880000}"/>
    <cellStyle name="Normal 5 17 2 17 5 2" xfId="34960" xr:uid="{00000000-0005-0000-0000-00008E880000}"/>
    <cellStyle name="Normal 5 17 2 17 5 3" xfId="34961" xr:uid="{00000000-0005-0000-0000-00008F880000}"/>
    <cellStyle name="Normal 5 17 2 17 5 4" xfId="34962" xr:uid="{00000000-0005-0000-0000-000090880000}"/>
    <cellStyle name="Normal 5 17 2 17 5 5" xfId="34963" xr:uid="{00000000-0005-0000-0000-000091880000}"/>
    <cellStyle name="Normal 5 17 2 17 5 6" xfId="34964" xr:uid="{00000000-0005-0000-0000-000092880000}"/>
    <cellStyle name="Normal 5 17 2 17 5 7" xfId="34965" xr:uid="{00000000-0005-0000-0000-000093880000}"/>
    <cellStyle name="Normal 5 17 2 17 5 8" xfId="34966" xr:uid="{00000000-0005-0000-0000-000094880000}"/>
    <cellStyle name="Normal 5 17 2 17 5 9" xfId="34967" xr:uid="{00000000-0005-0000-0000-000095880000}"/>
    <cellStyle name="Normal 5 17 2 17 6" xfId="34968" xr:uid="{00000000-0005-0000-0000-000096880000}"/>
    <cellStyle name="Normal 5 17 2 17 7" xfId="34969" xr:uid="{00000000-0005-0000-0000-000097880000}"/>
    <cellStyle name="Normal 5 17 2 17 8" xfId="34970" xr:uid="{00000000-0005-0000-0000-000098880000}"/>
    <cellStyle name="Normal 5 17 2 17 9" xfId="34971" xr:uid="{00000000-0005-0000-0000-000099880000}"/>
    <cellStyle name="Normal 5 17 2 18" xfId="34972" xr:uid="{00000000-0005-0000-0000-00009A880000}"/>
    <cellStyle name="Normal 5 17 2 18 10" xfId="34973" xr:uid="{00000000-0005-0000-0000-00009B880000}"/>
    <cellStyle name="Normal 5 17 2 18 11" xfId="34974" xr:uid="{00000000-0005-0000-0000-00009C880000}"/>
    <cellStyle name="Normal 5 17 2 18 12" xfId="34975" xr:uid="{00000000-0005-0000-0000-00009D880000}"/>
    <cellStyle name="Normal 5 17 2 18 13" xfId="34976" xr:uid="{00000000-0005-0000-0000-00009E880000}"/>
    <cellStyle name="Normal 5 17 2 18 14" xfId="34977" xr:uid="{00000000-0005-0000-0000-00009F880000}"/>
    <cellStyle name="Normal 5 17 2 18 2" xfId="34978" xr:uid="{00000000-0005-0000-0000-0000A0880000}"/>
    <cellStyle name="Normal 5 17 2 18 2 10" xfId="34979" xr:uid="{00000000-0005-0000-0000-0000A1880000}"/>
    <cellStyle name="Normal 5 17 2 18 2 2" xfId="34980" xr:uid="{00000000-0005-0000-0000-0000A2880000}"/>
    <cellStyle name="Normal 5 17 2 18 2 3" xfId="34981" xr:uid="{00000000-0005-0000-0000-0000A3880000}"/>
    <cellStyle name="Normal 5 17 2 18 2 4" xfId="34982" xr:uid="{00000000-0005-0000-0000-0000A4880000}"/>
    <cellStyle name="Normal 5 17 2 18 2 5" xfId="34983" xr:uid="{00000000-0005-0000-0000-0000A5880000}"/>
    <cellStyle name="Normal 5 17 2 18 2 6" xfId="34984" xr:uid="{00000000-0005-0000-0000-0000A6880000}"/>
    <cellStyle name="Normal 5 17 2 18 2 7" xfId="34985" xr:uid="{00000000-0005-0000-0000-0000A7880000}"/>
    <cellStyle name="Normal 5 17 2 18 2 8" xfId="34986" xr:uid="{00000000-0005-0000-0000-0000A8880000}"/>
    <cellStyle name="Normal 5 17 2 18 2 9" xfId="34987" xr:uid="{00000000-0005-0000-0000-0000A9880000}"/>
    <cellStyle name="Normal 5 17 2 18 3" xfId="34988" xr:uid="{00000000-0005-0000-0000-0000AA880000}"/>
    <cellStyle name="Normal 5 17 2 18 3 10" xfId="34989" xr:uid="{00000000-0005-0000-0000-0000AB880000}"/>
    <cellStyle name="Normal 5 17 2 18 3 2" xfId="34990" xr:uid="{00000000-0005-0000-0000-0000AC880000}"/>
    <cellStyle name="Normal 5 17 2 18 3 3" xfId="34991" xr:uid="{00000000-0005-0000-0000-0000AD880000}"/>
    <cellStyle name="Normal 5 17 2 18 3 4" xfId="34992" xr:uid="{00000000-0005-0000-0000-0000AE880000}"/>
    <cellStyle name="Normal 5 17 2 18 3 5" xfId="34993" xr:uid="{00000000-0005-0000-0000-0000AF880000}"/>
    <cellStyle name="Normal 5 17 2 18 3 6" xfId="34994" xr:uid="{00000000-0005-0000-0000-0000B0880000}"/>
    <cellStyle name="Normal 5 17 2 18 3 7" xfId="34995" xr:uid="{00000000-0005-0000-0000-0000B1880000}"/>
    <cellStyle name="Normal 5 17 2 18 3 8" xfId="34996" xr:uid="{00000000-0005-0000-0000-0000B2880000}"/>
    <cellStyle name="Normal 5 17 2 18 3 9" xfId="34997" xr:uid="{00000000-0005-0000-0000-0000B3880000}"/>
    <cellStyle name="Normal 5 17 2 18 4" xfId="34998" xr:uid="{00000000-0005-0000-0000-0000B4880000}"/>
    <cellStyle name="Normal 5 17 2 18 4 10" xfId="34999" xr:uid="{00000000-0005-0000-0000-0000B5880000}"/>
    <cellStyle name="Normal 5 17 2 18 4 2" xfId="35000" xr:uid="{00000000-0005-0000-0000-0000B6880000}"/>
    <cellStyle name="Normal 5 17 2 18 4 3" xfId="35001" xr:uid="{00000000-0005-0000-0000-0000B7880000}"/>
    <cellStyle name="Normal 5 17 2 18 4 4" xfId="35002" xr:uid="{00000000-0005-0000-0000-0000B8880000}"/>
    <cellStyle name="Normal 5 17 2 18 4 5" xfId="35003" xr:uid="{00000000-0005-0000-0000-0000B9880000}"/>
    <cellStyle name="Normal 5 17 2 18 4 6" xfId="35004" xr:uid="{00000000-0005-0000-0000-0000BA880000}"/>
    <cellStyle name="Normal 5 17 2 18 4 7" xfId="35005" xr:uid="{00000000-0005-0000-0000-0000BB880000}"/>
    <cellStyle name="Normal 5 17 2 18 4 8" xfId="35006" xr:uid="{00000000-0005-0000-0000-0000BC880000}"/>
    <cellStyle name="Normal 5 17 2 18 4 9" xfId="35007" xr:uid="{00000000-0005-0000-0000-0000BD880000}"/>
    <cellStyle name="Normal 5 17 2 18 5" xfId="35008" xr:uid="{00000000-0005-0000-0000-0000BE880000}"/>
    <cellStyle name="Normal 5 17 2 18 5 10" xfId="35009" xr:uid="{00000000-0005-0000-0000-0000BF880000}"/>
    <cellStyle name="Normal 5 17 2 18 5 2" xfId="35010" xr:uid="{00000000-0005-0000-0000-0000C0880000}"/>
    <cellStyle name="Normal 5 17 2 18 5 3" xfId="35011" xr:uid="{00000000-0005-0000-0000-0000C1880000}"/>
    <cellStyle name="Normal 5 17 2 18 5 4" xfId="35012" xr:uid="{00000000-0005-0000-0000-0000C2880000}"/>
    <cellStyle name="Normal 5 17 2 18 5 5" xfId="35013" xr:uid="{00000000-0005-0000-0000-0000C3880000}"/>
    <cellStyle name="Normal 5 17 2 18 5 6" xfId="35014" xr:uid="{00000000-0005-0000-0000-0000C4880000}"/>
    <cellStyle name="Normal 5 17 2 18 5 7" xfId="35015" xr:uid="{00000000-0005-0000-0000-0000C5880000}"/>
    <cellStyle name="Normal 5 17 2 18 5 8" xfId="35016" xr:uid="{00000000-0005-0000-0000-0000C6880000}"/>
    <cellStyle name="Normal 5 17 2 18 5 9" xfId="35017" xr:uid="{00000000-0005-0000-0000-0000C7880000}"/>
    <cellStyle name="Normal 5 17 2 18 6" xfId="35018" xr:uid="{00000000-0005-0000-0000-0000C8880000}"/>
    <cellStyle name="Normal 5 17 2 18 7" xfId="35019" xr:uid="{00000000-0005-0000-0000-0000C9880000}"/>
    <cellStyle name="Normal 5 17 2 18 8" xfId="35020" xr:uid="{00000000-0005-0000-0000-0000CA880000}"/>
    <cellStyle name="Normal 5 17 2 18 9" xfId="35021" xr:uid="{00000000-0005-0000-0000-0000CB880000}"/>
    <cellStyle name="Normal 5 17 2 19" xfId="35022" xr:uid="{00000000-0005-0000-0000-0000CC880000}"/>
    <cellStyle name="Normal 5 17 2 19 10" xfId="35023" xr:uid="{00000000-0005-0000-0000-0000CD880000}"/>
    <cellStyle name="Normal 5 17 2 19 11" xfId="35024" xr:uid="{00000000-0005-0000-0000-0000CE880000}"/>
    <cellStyle name="Normal 5 17 2 19 12" xfId="35025" xr:uid="{00000000-0005-0000-0000-0000CF880000}"/>
    <cellStyle name="Normal 5 17 2 19 13" xfId="35026" xr:uid="{00000000-0005-0000-0000-0000D0880000}"/>
    <cellStyle name="Normal 5 17 2 19 14" xfId="35027" xr:uid="{00000000-0005-0000-0000-0000D1880000}"/>
    <cellStyle name="Normal 5 17 2 19 2" xfId="35028" xr:uid="{00000000-0005-0000-0000-0000D2880000}"/>
    <cellStyle name="Normal 5 17 2 19 2 10" xfId="35029" xr:uid="{00000000-0005-0000-0000-0000D3880000}"/>
    <cellStyle name="Normal 5 17 2 19 2 2" xfId="35030" xr:uid="{00000000-0005-0000-0000-0000D4880000}"/>
    <cellStyle name="Normal 5 17 2 19 2 3" xfId="35031" xr:uid="{00000000-0005-0000-0000-0000D5880000}"/>
    <cellStyle name="Normal 5 17 2 19 2 4" xfId="35032" xr:uid="{00000000-0005-0000-0000-0000D6880000}"/>
    <cellStyle name="Normal 5 17 2 19 2 5" xfId="35033" xr:uid="{00000000-0005-0000-0000-0000D7880000}"/>
    <cellStyle name="Normal 5 17 2 19 2 6" xfId="35034" xr:uid="{00000000-0005-0000-0000-0000D8880000}"/>
    <cellStyle name="Normal 5 17 2 19 2 7" xfId="35035" xr:uid="{00000000-0005-0000-0000-0000D9880000}"/>
    <cellStyle name="Normal 5 17 2 19 2 8" xfId="35036" xr:uid="{00000000-0005-0000-0000-0000DA880000}"/>
    <cellStyle name="Normal 5 17 2 19 2 9" xfId="35037" xr:uid="{00000000-0005-0000-0000-0000DB880000}"/>
    <cellStyle name="Normal 5 17 2 19 3" xfId="35038" xr:uid="{00000000-0005-0000-0000-0000DC880000}"/>
    <cellStyle name="Normal 5 17 2 19 3 10" xfId="35039" xr:uid="{00000000-0005-0000-0000-0000DD880000}"/>
    <cellStyle name="Normal 5 17 2 19 3 2" xfId="35040" xr:uid="{00000000-0005-0000-0000-0000DE880000}"/>
    <cellStyle name="Normal 5 17 2 19 3 3" xfId="35041" xr:uid="{00000000-0005-0000-0000-0000DF880000}"/>
    <cellStyle name="Normal 5 17 2 19 3 4" xfId="35042" xr:uid="{00000000-0005-0000-0000-0000E0880000}"/>
    <cellStyle name="Normal 5 17 2 19 3 5" xfId="35043" xr:uid="{00000000-0005-0000-0000-0000E1880000}"/>
    <cellStyle name="Normal 5 17 2 19 3 6" xfId="35044" xr:uid="{00000000-0005-0000-0000-0000E2880000}"/>
    <cellStyle name="Normal 5 17 2 19 3 7" xfId="35045" xr:uid="{00000000-0005-0000-0000-0000E3880000}"/>
    <cellStyle name="Normal 5 17 2 19 3 8" xfId="35046" xr:uid="{00000000-0005-0000-0000-0000E4880000}"/>
    <cellStyle name="Normal 5 17 2 19 3 9" xfId="35047" xr:uid="{00000000-0005-0000-0000-0000E5880000}"/>
    <cellStyle name="Normal 5 17 2 19 4" xfId="35048" xr:uid="{00000000-0005-0000-0000-0000E6880000}"/>
    <cellStyle name="Normal 5 17 2 19 4 10" xfId="35049" xr:uid="{00000000-0005-0000-0000-0000E7880000}"/>
    <cellStyle name="Normal 5 17 2 19 4 2" xfId="35050" xr:uid="{00000000-0005-0000-0000-0000E8880000}"/>
    <cellStyle name="Normal 5 17 2 19 4 3" xfId="35051" xr:uid="{00000000-0005-0000-0000-0000E9880000}"/>
    <cellStyle name="Normal 5 17 2 19 4 4" xfId="35052" xr:uid="{00000000-0005-0000-0000-0000EA880000}"/>
    <cellStyle name="Normal 5 17 2 19 4 5" xfId="35053" xr:uid="{00000000-0005-0000-0000-0000EB880000}"/>
    <cellStyle name="Normal 5 17 2 19 4 6" xfId="35054" xr:uid="{00000000-0005-0000-0000-0000EC880000}"/>
    <cellStyle name="Normal 5 17 2 19 4 7" xfId="35055" xr:uid="{00000000-0005-0000-0000-0000ED880000}"/>
    <cellStyle name="Normal 5 17 2 19 4 8" xfId="35056" xr:uid="{00000000-0005-0000-0000-0000EE880000}"/>
    <cellStyle name="Normal 5 17 2 19 4 9" xfId="35057" xr:uid="{00000000-0005-0000-0000-0000EF880000}"/>
    <cellStyle name="Normal 5 17 2 19 5" xfId="35058" xr:uid="{00000000-0005-0000-0000-0000F0880000}"/>
    <cellStyle name="Normal 5 17 2 19 5 10" xfId="35059" xr:uid="{00000000-0005-0000-0000-0000F1880000}"/>
    <cellStyle name="Normal 5 17 2 19 5 2" xfId="35060" xr:uid="{00000000-0005-0000-0000-0000F2880000}"/>
    <cellStyle name="Normal 5 17 2 19 5 3" xfId="35061" xr:uid="{00000000-0005-0000-0000-0000F3880000}"/>
    <cellStyle name="Normal 5 17 2 19 5 4" xfId="35062" xr:uid="{00000000-0005-0000-0000-0000F4880000}"/>
    <cellStyle name="Normal 5 17 2 19 5 5" xfId="35063" xr:uid="{00000000-0005-0000-0000-0000F5880000}"/>
    <cellStyle name="Normal 5 17 2 19 5 6" xfId="35064" xr:uid="{00000000-0005-0000-0000-0000F6880000}"/>
    <cellStyle name="Normal 5 17 2 19 5 7" xfId="35065" xr:uid="{00000000-0005-0000-0000-0000F7880000}"/>
    <cellStyle name="Normal 5 17 2 19 5 8" xfId="35066" xr:uid="{00000000-0005-0000-0000-0000F8880000}"/>
    <cellStyle name="Normal 5 17 2 19 5 9" xfId="35067" xr:uid="{00000000-0005-0000-0000-0000F9880000}"/>
    <cellStyle name="Normal 5 17 2 19 6" xfId="35068" xr:uid="{00000000-0005-0000-0000-0000FA880000}"/>
    <cellStyle name="Normal 5 17 2 19 7" xfId="35069" xr:uid="{00000000-0005-0000-0000-0000FB880000}"/>
    <cellStyle name="Normal 5 17 2 19 8" xfId="35070" xr:uid="{00000000-0005-0000-0000-0000FC880000}"/>
    <cellStyle name="Normal 5 17 2 19 9" xfId="35071" xr:uid="{00000000-0005-0000-0000-0000FD880000}"/>
    <cellStyle name="Normal 5 17 2 2" xfId="35072" xr:uid="{00000000-0005-0000-0000-0000FE880000}"/>
    <cellStyle name="Normal 5 17 2 2 10" xfId="35073" xr:uid="{00000000-0005-0000-0000-0000FF880000}"/>
    <cellStyle name="Normal 5 17 2 2 11" xfId="35074" xr:uid="{00000000-0005-0000-0000-000000890000}"/>
    <cellStyle name="Normal 5 17 2 2 12" xfId="35075" xr:uid="{00000000-0005-0000-0000-000001890000}"/>
    <cellStyle name="Normal 5 17 2 2 13" xfId="35076" xr:uid="{00000000-0005-0000-0000-000002890000}"/>
    <cellStyle name="Normal 5 17 2 2 14" xfId="35077" xr:uid="{00000000-0005-0000-0000-000003890000}"/>
    <cellStyle name="Normal 5 17 2 2 15" xfId="35078" xr:uid="{00000000-0005-0000-0000-000004890000}"/>
    <cellStyle name="Normal 5 17 2 2 16" xfId="35079" xr:uid="{00000000-0005-0000-0000-000005890000}"/>
    <cellStyle name="Normal 5 17 2 2 2" xfId="35080" xr:uid="{00000000-0005-0000-0000-000006890000}"/>
    <cellStyle name="Normal 5 17 2 2 2 10" xfId="35081" xr:uid="{00000000-0005-0000-0000-000007890000}"/>
    <cellStyle name="Normal 5 17 2 2 2 2" xfId="35082" xr:uid="{00000000-0005-0000-0000-000008890000}"/>
    <cellStyle name="Normal 5 17 2 2 2 3" xfId="35083" xr:uid="{00000000-0005-0000-0000-000009890000}"/>
    <cellStyle name="Normal 5 17 2 2 2 4" xfId="35084" xr:uid="{00000000-0005-0000-0000-00000A890000}"/>
    <cellStyle name="Normal 5 17 2 2 2 5" xfId="35085" xr:uid="{00000000-0005-0000-0000-00000B890000}"/>
    <cellStyle name="Normal 5 17 2 2 2 6" xfId="35086" xr:uid="{00000000-0005-0000-0000-00000C890000}"/>
    <cellStyle name="Normal 5 17 2 2 2 7" xfId="35087" xr:uid="{00000000-0005-0000-0000-00000D890000}"/>
    <cellStyle name="Normal 5 17 2 2 2 8" xfId="35088" xr:uid="{00000000-0005-0000-0000-00000E890000}"/>
    <cellStyle name="Normal 5 17 2 2 2 9" xfId="35089" xr:uid="{00000000-0005-0000-0000-00000F890000}"/>
    <cellStyle name="Normal 5 17 2 2 3" xfId="35090" xr:uid="{00000000-0005-0000-0000-000010890000}"/>
    <cellStyle name="Normal 5 17 2 2 3 10" xfId="35091" xr:uid="{00000000-0005-0000-0000-000011890000}"/>
    <cellStyle name="Normal 5 17 2 2 3 2" xfId="35092" xr:uid="{00000000-0005-0000-0000-000012890000}"/>
    <cellStyle name="Normal 5 17 2 2 3 3" xfId="35093" xr:uid="{00000000-0005-0000-0000-000013890000}"/>
    <cellStyle name="Normal 5 17 2 2 3 4" xfId="35094" xr:uid="{00000000-0005-0000-0000-000014890000}"/>
    <cellStyle name="Normal 5 17 2 2 3 5" xfId="35095" xr:uid="{00000000-0005-0000-0000-000015890000}"/>
    <cellStyle name="Normal 5 17 2 2 3 6" xfId="35096" xr:uid="{00000000-0005-0000-0000-000016890000}"/>
    <cellStyle name="Normal 5 17 2 2 3 7" xfId="35097" xr:uid="{00000000-0005-0000-0000-000017890000}"/>
    <cellStyle name="Normal 5 17 2 2 3 8" xfId="35098" xr:uid="{00000000-0005-0000-0000-000018890000}"/>
    <cellStyle name="Normal 5 17 2 2 3 9" xfId="35099" xr:uid="{00000000-0005-0000-0000-000019890000}"/>
    <cellStyle name="Normal 5 17 2 2 4" xfId="35100" xr:uid="{00000000-0005-0000-0000-00001A890000}"/>
    <cellStyle name="Normal 5 17 2 2 4 10" xfId="35101" xr:uid="{00000000-0005-0000-0000-00001B890000}"/>
    <cellStyle name="Normal 5 17 2 2 4 2" xfId="35102" xr:uid="{00000000-0005-0000-0000-00001C890000}"/>
    <cellStyle name="Normal 5 17 2 2 4 3" xfId="35103" xr:uid="{00000000-0005-0000-0000-00001D890000}"/>
    <cellStyle name="Normal 5 17 2 2 4 4" xfId="35104" xr:uid="{00000000-0005-0000-0000-00001E890000}"/>
    <cellStyle name="Normal 5 17 2 2 4 5" xfId="35105" xr:uid="{00000000-0005-0000-0000-00001F890000}"/>
    <cellStyle name="Normal 5 17 2 2 4 6" xfId="35106" xr:uid="{00000000-0005-0000-0000-000020890000}"/>
    <cellStyle name="Normal 5 17 2 2 4 7" xfId="35107" xr:uid="{00000000-0005-0000-0000-000021890000}"/>
    <cellStyle name="Normal 5 17 2 2 4 8" xfId="35108" xr:uid="{00000000-0005-0000-0000-000022890000}"/>
    <cellStyle name="Normal 5 17 2 2 4 9" xfId="35109" xr:uid="{00000000-0005-0000-0000-000023890000}"/>
    <cellStyle name="Normal 5 17 2 2 5" xfId="35110" xr:uid="{00000000-0005-0000-0000-000024890000}"/>
    <cellStyle name="Normal 5 17 2 2 5 10" xfId="35111" xr:uid="{00000000-0005-0000-0000-000025890000}"/>
    <cellStyle name="Normal 5 17 2 2 5 2" xfId="35112" xr:uid="{00000000-0005-0000-0000-000026890000}"/>
    <cellStyle name="Normal 5 17 2 2 5 3" xfId="35113" xr:uid="{00000000-0005-0000-0000-000027890000}"/>
    <cellStyle name="Normal 5 17 2 2 5 4" xfId="35114" xr:uid="{00000000-0005-0000-0000-000028890000}"/>
    <cellStyle name="Normal 5 17 2 2 5 5" xfId="35115" xr:uid="{00000000-0005-0000-0000-000029890000}"/>
    <cellStyle name="Normal 5 17 2 2 5 6" xfId="35116" xr:uid="{00000000-0005-0000-0000-00002A890000}"/>
    <cellStyle name="Normal 5 17 2 2 5 7" xfId="35117" xr:uid="{00000000-0005-0000-0000-00002B890000}"/>
    <cellStyle name="Normal 5 17 2 2 5 8" xfId="35118" xr:uid="{00000000-0005-0000-0000-00002C890000}"/>
    <cellStyle name="Normal 5 17 2 2 5 9" xfId="35119" xr:uid="{00000000-0005-0000-0000-00002D890000}"/>
    <cellStyle name="Normal 5 17 2 2 6" xfId="35120" xr:uid="{00000000-0005-0000-0000-00002E890000}"/>
    <cellStyle name="Normal 5 17 2 2 7" xfId="35121" xr:uid="{00000000-0005-0000-0000-00002F890000}"/>
    <cellStyle name="Normal 5 17 2 2 8" xfId="35122" xr:uid="{00000000-0005-0000-0000-000030890000}"/>
    <cellStyle name="Normal 5 17 2 2 9" xfId="35123" xr:uid="{00000000-0005-0000-0000-000031890000}"/>
    <cellStyle name="Normal 5 17 2 20" xfId="35124" xr:uid="{00000000-0005-0000-0000-000032890000}"/>
    <cellStyle name="Normal 5 17 2 20 10" xfId="35125" xr:uid="{00000000-0005-0000-0000-000033890000}"/>
    <cellStyle name="Normal 5 17 2 20 11" xfId="35126" xr:uid="{00000000-0005-0000-0000-000034890000}"/>
    <cellStyle name="Normal 5 17 2 20 12" xfId="35127" xr:uid="{00000000-0005-0000-0000-000035890000}"/>
    <cellStyle name="Normal 5 17 2 20 13" xfId="35128" xr:uid="{00000000-0005-0000-0000-000036890000}"/>
    <cellStyle name="Normal 5 17 2 20 14" xfId="35129" xr:uid="{00000000-0005-0000-0000-000037890000}"/>
    <cellStyle name="Normal 5 17 2 20 2" xfId="35130" xr:uid="{00000000-0005-0000-0000-000038890000}"/>
    <cellStyle name="Normal 5 17 2 20 2 10" xfId="35131" xr:uid="{00000000-0005-0000-0000-000039890000}"/>
    <cellStyle name="Normal 5 17 2 20 2 2" xfId="35132" xr:uid="{00000000-0005-0000-0000-00003A890000}"/>
    <cellStyle name="Normal 5 17 2 20 2 3" xfId="35133" xr:uid="{00000000-0005-0000-0000-00003B890000}"/>
    <cellStyle name="Normal 5 17 2 20 2 4" xfId="35134" xr:uid="{00000000-0005-0000-0000-00003C890000}"/>
    <cellStyle name="Normal 5 17 2 20 2 5" xfId="35135" xr:uid="{00000000-0005-0000-0000-00003D890000}"/>
    <cellStyle name="Normal 5 17 2 20 2 6" xfId="35136" xr:uid="{00000000-0005-0000-0000-00003E890000}"/>
    <cellStyle name="Normal 5 17 2 20 2 7" xfId="35137" xr:uid="{00000000-0005-0000-0000-00003F890000}"/>
    <cellStyle name="Normal 5 17 2 20 2 8" xfId="35138" xr:uid="{00000000-0005-0000-0000-000040890000}"/>
    <cellStyle name="Normal 5 17 2 20 2 9" xfId="35139" xr:uid="{00000000-0005-0000-0000-000041890000}"/>
    <cellStyle name="Normal 5 17 2 20 3" xfId="35140" xr:uid="{00000000-0005-0000-0000-000042890000}"/>
    <cellStyle name="Normal 5 17 2 20 3 10" xfId="35141" xr:uid="{00000000-0005-0000-0000-000043890000}"/>
    <cellStyle name="Normal 5 17 2 20 3 2" xfId="35142" xr:uid="{00000000-0005-0000-0000-000044890000}"/>
    <cellStyle name="Normal 5 17 2 20 3 3" xfId="35143" xr:uid="{00000000-0005-0000-0000-000045890000}"/>
    <cellStyle name="Normal 5 17 2 20 3 4" xfId="35144" xr:uid="{00000000-0005-0000-0000-000046890000}"/>
    <cellStyle name="Normal 5 17 2 20 3 5" xfId="35145" xr:uid="{00000000-0005-0000-0000-000047890000}"/>
    <cellStyle name="Normal 5 17 2 20 3 6" xfId="35146" xr:uid="{00000000-0005-0000-0000-000048890000}"/>
    <cellStyle name="Normal 5 17 2 20 3 7" xfId="35147" xr:uid="{00000000-0005-0000-0000-000049890000}"/>
    <cellStyle name="Normal 5 17 2 20 3 8" xfId="35148" xr:uid="{00000000-0005-0000-0000-00004A890000}"/>
    <cellStyle name="Normal 5 17 2 20 3 9" xfId="35149" xr:uid="{00000000-0005-0000-0000-00004B890000}"/>
    <cellStyle name="Normal 5 17 2 20 4" xfId="35150" xr:uid="{00000000-0005-0000-0000-00004C890000}"/>
    <cellStyle name="Normal 5 17 2 20 4 10" xfId="35151" xr:uid="{00000000-0005-0000-0000-00004D890000}"/>
    <cellStyle name="Normal 5 17 2 20 4 2" xfId="35152" xr:uid="{00000000-0005-0000-0000-00004E890000}"/>
    <cellStyle name="Normal 5 17 2 20 4 3" xfId="35153" xr:uid="{00000000-0005-0000-0000-00004F890000}"/>
    <cellStyle name="Normal 5 17 2 20 4 4" xfId="35154" xr:uid="{00000000-0005-0000-0000-000050890000}"/>
    <cellStyle name="Normal 5 17 2 20 4 5" xfId="35155" xr:uid="{00000000-0005-0000-0000-000051890000}"/>
    <cellStyle name="Normal 5 17 2 20 4 6" xfId="35156" xr:uid="{00000000-0005-0000-0000-000052890000}"/>
    <cellStyle name="Normal 5 17 2 20 4 7" xfId="35157" xr:uid="{00000000-0005-0000-0000-000053890000}"/>
    <cellStyle name="Normal 5 17 2 20 4 8" xfId="35158" xr:uid="{00000000-0005-0000-0000-000054890000}"/>
    <cellStyle name="Normal 5 17 2 20 4 9" xfId="35159" xr:uid="{00000000-0005-0000-0000-000055890000}"/>
    <cellStyle name="Normal 5 17 2 20 5" xfId="35160" xr:uid="{00000000-0005-0000-0000-000056890000}"/>
    <cellStyle name="Normal 5 17 2 20 5 10" xfId="35161" xr:uid="{00000000-0005-0000-0000-000057890000}"/>
    <cellStyle name="Normal 5 17 2 20 5 2" xfId="35162" xr:uid="{00000000-0005-0000-0000-000058890000}"/>
    <cellStyle name="Normal 5 17 2 20 5 3" xfId="35163" xr:uid="{00000000-0005-0000-0000-000059890000}"/>
    <cellStyle name="Normal 5 17 2 20 5 4" xfId="35164" xr:uid="{00000000-0005-0000-0000-00005A890000}"/>
    <cellStyle name="Normal 5 17 2 20 5 5" xfId="35165" xr:uid="{00000000-0005-0000-0000-00005B890000}"/>
    <cellStyle name="Normal 5 17 2 20 5 6" xfId="35166" xr:uid="{00000000-0005-0000-0000-00005C890000}"/>
    <cellStyle name="Normal 5 17 2 20 5 7" xfId="35167" xr:uid="{00000000-0005-0000-0000-00005D890000}"/>
    <cellStyle name="Normal 5 17 2 20 5 8" xfId="35168" xr:uid="{00000000-0005-0000-0000-00005E890000}"/>
    <cellStyle name="Normal 5 17 2 20 5 9" xfId="35169" xr:uid="{00000000-0005-0000-0000-00005F890000}"/>
    <cellStyle name="Normal 5 17 2 20 6" xfId="35170" xr:uid="{00000000-0005-0000-0000-000060890000}"/>
    <cellStyle name="Normal 5 17 2 20 7" xfId="35171" xr:uid="{00000000-0005-0000-0000-000061890000}"/>
    <cellStyle name="Normal 5 17 2 20 8" xfId="35172" xr:uid="{00000000-0005-0000-0000-000062890000}"/>
    <cellStyle name="Normal 5 17 2 20 9" xfId="35173" xr:uid="{00000000-0005-0000-0000-000063890000}"/>
    <cellStyle name="Normal 5 17 2 21" xfId="35174" xr:uid="{00000000-0005-0000-0000-000064890000}"/>
    <cellStyle name="Normal 5 17 2 21 10" xfId="35175" xr:uid="{00000000-0005-0000-0000-000065890000}"/>
    <cellStyle name="Normal 5 17 2 21 11" xfId="35176" xr:uid="{00000000-0005-0000-0000-000066890000}"/>
    <cellStyle name="Normal 5 17 2 21 12" xfId="35177" xr:uid="{00000000-0005-0000-0000-000067890000}"/>
    <cellStyle name="Normal 5 17 2 21 13" xfId="35178" xr:uid="{00000000-0005-0000-0000-000068890000}"/>
    <cellStyle name="Normal 5 17 2 21 14" xfId="35179" xr:uid="{00000000-0005-0000-0000-000069890000}"/>
    <cellStyle name="Normal 5 17 2 21 2" xfId="35180" xr:uid="{00000000-0005-0000-0000-00006A890000}"/>
    <cellStyle name="Normal 5 17 2 21 2 10" xfId="35181" xr:uid="{00000000-0005-0000-0000-00006B890000}"/>
    <cellStyle name="Normal 5 17 2 21 2 2" xfId="35182" xr:uid="{00000000-0005-0000-0000-00006C890000}"/>
    <cellStyle name="Normal 5 17 2 21 2 3" xfId="35183" xr:uid="{00000000-0005-0000-0000-00006D890000}"/>
    <cellStyle name="Normal 5 17 2 21 2 4" xfId="35184" xr:uid="{00000000-0005-0000-0000-00006E890000}"/>
    <cellStyle name="Normal 5 17 2 21 2 5" xfId="35185" xr:uid="{00000000-0005-0000-0000-00006F890000}"/>
    <cellStyle name="Normal 5 17 2 21 2 6" xfId="35186" xr:uid="{00000000-0005-0000-0000-000070890000}"/>
    <cellStyle name="Normal 5 17 2 21 2 7" xfId="35187" xr:uid="{00000000-0005-0000-0000-000071890000}"/>
    <cellStyle name="Normal 5 17 2 21 2 8" xfId="35188" xr:uid="{00000000-0005-0000-0000-000072890000}"/>
    <cellStyle name="Normal 5 17 2 21 2 9" xfId="35189" xr:uid="{00000000-0005-0000-0000-000073890000}"/>
    <cellStyle name="Normal 5 17 2 21 3" xfId="35190" xr:uid="{00000000-0005-0000-0000-000074890000}"/>
    <cellStyle name="Normal 5 17 2 21 3 10" xfId="35191" xr:uid="{00000000-0005-0000-0000-000075890000}"/>
    <cellStyle name="Normal 5 17 2 21 3 2" xfId="35192" xr:uid="{00000000-0005-0000-0000-000076890000}"/>
    <cellStyle name="Normal 5 17 2 21 3 3" xfId="35193" xr:uid="{00000000-0005-0000-0000-000077890000}"/>
    <cellStyle name="Normal 5 17 2 21 3 4" xfId="35194" xr:uid="{00000000-0005-0000-0000-000078890000}"/>
    <cellStyle name="Normal 5 17 2 21 3 5" xfId="35195" xr:uid="{00000000-0005-0000-0000-000079890000}"/>
    <cellStyle name="Normal 5 17 2 21 3 6" xfId="35196" xr:uid="{00000000-0005-0000-0000-00007A890000}"/>
    <cellStyle name="Normal 5 17 2 21 3 7" xfId="35197" xr:uid="{00000000-0005-0000-0000-00007B890000}"/>
    <cellStyle name="Normal 5 17 2 21 3 8" xfId="35198" xr:uid="{00000000-0005-0000-0000-00007C890000}"/>
    <cellStyle name="Normal 5 17 2 21 3 9" xfId="35199" xr:uid="{00000000-0005-0000-0000-00007D890000}"/>
    <cellStyle name="Normal 5 17 2 21 4" xfId="35200" xr:uid="{00000000-0005-0000-0000-00007E890000}"/>
    <cellStyle name="Normal 5 17 2 21 4 10" xfId="35201" xr:uid="{00000000-0005-0000-0000-00007F890000}"/>
    <cellStyle name="Normal 5 17 2 21 4 2" xfId="35202" xr:uid="{00000000-0005-0000-0000-000080890000}"/>
    <cellStyle name="Normal 5 17 2 21 4 3" xfId="35203" xr:uid="{00000000-0005-0000-0000-000081890000}"/>
    <cellStyle name="Normal 5 17 2 21 4 4" xfId="35204" xr:uid="{00000000-0005-0000-0000-000082890000}"/>
    <cellStyle name="Normal 5 17 2 21 4 5" xfId="35205" xr:uid="{00000000-0005-0000-0000-000083890000}"/>
    <cellStyle name="Normal 5 17 2 21 4 6" xfId="35206" xr:uid="{00000000-0005-0000-0000-000084890000}"/>
    <cellStyle name="Normal 5 17 2 21 4 7" xfId="35207" xr:uid="{00000000-0005-0000-0000-000085890000}"/>
    <cellStyle name="Normal 5 17 2 21 4 8" xfId="35208" xr:uid="{00000000-0005-0000-0000-000086890000}"/>
    <cellStyle name="Normal 5 17 2 21 4 9" xfId="35209" xr:uid="{00000000-0005-0000-0000-000087890000}"/>
    <cellStyle name="Normal 5 17 2 21 5" xfId="35210" xr:uid="{00000000-0005-0000-0000-000088890000}"/>
    <cellStyle name="Normal 5 17 2 21 5 10" xfId="35211" xr:uid="{00000000-0005-0000-0000-000089890000}"/>
    <cellStyle name="Normal 5 17 2 21 5 2" xfId="35212" xr:uid="{00000000-0005-0000-0000-00008A890000}"/>
    <cellStyle name="Normal 5 17 2 21 5 3" xfId="35213" xr:uid="{00000000-0005-0000-0000-00008B890000}"/>
    <cellStyle name="Normal 5 17 2 21 5 4" xfId="35214" xr:uid="{00000000-0005-0000-0000-00008C890000}"/>
    <cellStyle name="Normal 5 17 2 21 5 5" xfId="35215" xr:uid="{00000000-0005-0000-0000-00008D890000}"/>
    <cellStyle name="Normal 5 17 2 21 5 6" xfId="35216" xr:uid="{00000000-0005-0000-0000-00008E890000}"/>
    <cellStyle name="Normal 5 17 2 21 5 7" xfId="35217" xr:uid="{00000000-0005-0000-0000-00008F890000}"/>
    <cellStyle name="Normal 5 17 2 21 5 8" xfId="35218" xr:uid="{00000000-0005-0000-0000-000090890000}"/>
    <cellStyle name="Normal 5 17 2 21 5 9" xfId="35219" xr:uid="{00000000-0005-0000-0000-000091890000}"/>
    <cellStyle name="Normal 5 17 2 21 6" xfId="35220" xr:uid="{00000000-0005-0000-0000-000092890000}"/>
    <cellStyle name="Normal 5 17 2 21 7" xfId="35221" xr:uid="{00000000-0005-0000-0000-000093890000}"/>
    <cellStyle name="Normal 5 17 2 21 8" xfId="35222" xr:uid="{00000000-0005-0000-0000-000094890000}"/>
    <cellStyle name="Normal 5 17 2 21 9" xfId="35223" xr:uid="{00000000-0005-0000-0000-000095890000}"/>
    <cellStyle name="Normal 5 17 2 22" xfId="35224" xr:uid="{00000000-0005-0000-0000-000096890000}"/>
    <cellStyle name="Normal 5 17 2 22 10" xfId="35225" xr:uid="{00000000-0005-0000-0000-000097890000}"/>
    <cellStyle name="Normal 5 17 2 22 11" xfId="35226" xr:uid="{00000000-0005-0000-0000-000098890000}"/>
    <cellStyle name="Normal 5 17 2 22 12" xfId="35227" xr:uid="{00000000-0005-0000-0000-000099890000}"/>
    <cellStyle name="Normal 5 17 2 22 13" xfId="35228" xr:uid="{00000000-0005-0000-0000-00009A890000}"/>
    <cellStyle name="Normal 5 17 2 22 14" xfId="35229" xr:uid="{00000000-0005-0000-0000-00009B890000}"/>
    <cellStyle name="Normal 5 17 2 22 2" xfId="35230" xr:uid="{00000000-0005-0000-0000-00009C890000}"/>
    <cellStyle name="Normal 5 17 2 22 2 10" xfId="35231" xr:uid="{00000000-0005-0000-0000-00009D890000}"/>
    <cellStyle name="Normal 5 17 2 22 2 2" xfId="35232" xr:uid="{00000000-0005-0000-0000-00009E890000}"/>
    <cellStyle name="Normal 5 17 2 22 2 3" xfId="35233" xr:uid="{00000000-0005-0000-0000-00009F890000}"/>
    <cellStyle name="Normal 5 17 2 22 2 4" xfId="35234" xr:uid="{00000000-0005-0000-0000-0000A0890000}"/>
    <cellStyle name="Normal 5 17 2 22 2 5" xfId="35235" xr:uid="{00000000-0005-0000-0000-0000A1890000}"/>
    <cellStyle name="Normal 5 17 2 22 2 6" xfId="35236" xr:uid="{00000000-0005-0000-0000-0000A2890000}"/>
    <cellStyle name="Normal 5 17 2 22 2 7" xfId="35237" xr:uid="{00000000-0005-0000-0000-0000A3890000}"/>
    <cellStyle name="Normal 5 17 2 22 2 8" xfId="35238" xr:uid="{00000000-0005-0000-0000-0000A4890000}"/>
    <cellStyle name="Normal 5 17 2 22 2 9" xfId="35239" xr:uid="{00000000-0005-0000-0000-0000A5890000}"/>
    <cellStyle name="Normal 5 17 2 22 3" xfId="35240" xr:uid="{00000000-0005-0000-0000-0000A6890000}"/>
    <cellStyle name="Normal 5 17 2 22 3 10" xfId="35241" xr:uid="{00000000-0005-0000-0000-0000A7890000}"/>
    <cellStyle name="Normal 5 17 2 22 3 2" xfId="35242" xr:uid="{00000000-0005-0000-0000-0000A8890000}"/>
    <cellStyle name="Normal 5 17 2 22 3 3" xfId="35243" xr:uid="{00000000-0005-0000-0000-0000A9890000}"/>
    <cellStyle name="Normal 5 17 2 22 3 4" xfId="35244" xr:uid="{00000000-0005-0000-0000-0000AA890000}"/>
    <cellStyle name="Normal 5 17 2 22 3 5" xfId="35245" xr:uid="{00000000-0005-0000-0000-0000AB890000}"/>
    <cellStyle name="Normal 5 17 2 22 3 6" xfId="35246" xr:uid="{00000000-0005-0000-0000-0000AC890000}"/>
    <cellStyle name="Normal 5 17 2 22 3 7" xfId="35247" xr:uid="{00000000-0005-0000-0000-0000AD890000}"/>
    <cellStyle name="Normal 5 17 2 22 3 8" xfId="35248" xr:uid="{00000000-0005-0000-0000-0000AE890000}"/>
    <cellStyle name="Normal 5 17 2 22 3 9" xfId="35249" xr:uid="{00000000-0005-0000-0000-0000AF890000}"/>
    <cellStyle name="Normal 5 17 2 22 4" xfId="35250" xr:uid="{00000000-0005-0000-0000-0000B0890000}"/>
    <cellStyle name="Normal 5 17 2 22 4 10" xfId="35251" xr:uid="{00000000-0005-0000-0000-0000B1890000}"/>
    <cellStyle name="Normal 5 17 2 22 4 2" xfId="35252" xr:uid="{00000000-0005-0000-0000-0000B2890000}"/>
    <cellStyle name="Normal 5 17 2 22 4 3" xfId="35253" xr:uid="{00000000-0005-0000-0000-0000B3890000}"/>
    <cellStyle name="Normal 5 17 2 22 4 4" xfId="35254" xr:uid="{00000000-0005-0000-0000-0000B4890000}"/>
    <cellStyle name="Normal 5 17 2 22 4 5" xfId="35255" xr:uid="{00000000-0005-0000-0000-0000B5890000}"/>
    <cellStyle name="Normal 5 17 2 22 4 6" xfId="35256" xr:uid="{00000000-0005-0000-0000-0000B6890000}"/>
    <cellStyle name="Normal 5 17 2 22 4 7" xfId="35257" xr:uid="{00000000-0005-0000-0000-0000B7890000}"/>
    <cellStyle name="Normal 5 17 2 22 4 8" xfId="35258" xr:uid="{00000000-0005-0000-0000-0000B8890000}"/>
    <cellStyle name="Normal 5 17 2 22 4 9" xfId="35259" xr:uid="{00000000-0005-0000-0000-0000B9890000}"/>
    <cellStyle name="Normal 5 17 2 22 5" xfId="35260" xr:uid="{00000000-0005-0000-0000-0000BA890000}"/>
    <cellStyle name="Normal 5 17 2 22 5 10" xfId="35261" xr:uid="{00000000-0005-0000-0000-0000BB890000}"/>
    <cellStyle name="Normal 5 17 2 22 5 2" xfId="35262" xr:uid="{00000000-0005-0000-0000-0000BC890000}"/>
    <cellStyle name="Normal 5 17 2 22 5 3" xfId="35263" xr:uid="{00000000-0005-0000-0000-0000BD890000}"/>
    <cellStyle name="Normal 5 17 2 22 5 4" xfId="35264" xr:uid="{00000000-0005-0000-0000-0000BE890000}"/>
    <cellStyle name="Normal 5 17 2 22 5 5" xfId="35265" xr:uid="{00000000-0005-0000-0000-0000BF890000}"/>
    <cellStyle name="Normal 5 17 2 22 5 6" xfId="35266" xr:uid="{00000000-0005-0000-0000-0000C0890000}"/>
    <cellStyle name="Normal 5 17 2 22 5 7" xfId="35267" xr:uid="{00000000-0005-0000-0000-0000C1890000}"/>
    <cellStyle name="Normal 5 17 2 22 5 8" xfId="35268" xr:uid="{00000000-0005-0000-0000-0000C2890000}"/>
    <cellStyle name="Normal 5 17 2 22 5 9" xfId="35269" xr:uid="{00000000-0005-0000-0000-0000C3890000}"/>
    <cellStyle name="Normal 5 17 2 22 6" xfId="35270" xr:uid="{00000000-0005-0000-0000-0000C4890000}"/>
    <cellStyle name="Normal 5 17 2 22 7" xfId="35271" xr:uid="{00000000-0005-0000-0000-0000C5890000}"/>
    <cellStyle name="Normal 5 17 2 22 8" xfId="35272" xr:uid="{00000000-0005-0000-0000-0000C6890000}"/>
    <cellStyle name="Normal 5 17 2 22 9" xfId="35273" xr:uid="{00000000-0005-0000-0000-0000C7890000}"/>
    <cellStyle name="Normal 5 17 2 23" xfId="35274" xr:uid="{00000000-0005-0000-0000-0000C8890000}"/>
    <cellStyle name="Normal 5 17 2 23 10" xfId="35275" xr:uid="{00000000-0005-0000-0000-0000C9890000}"/>
    <cellStyle name="Normal 5 17 2 23 11" xfId="35276" xr:uid="{00000000-0005-0000-0000-0000CA890000}"/>
    <cellStyle name="Normal 5 17 2 23 12" xfId="35277" xr:uid="{00000000-0005-0000-0000-0000CB890000}"/>
    <cellStyle name="Normal 5 17 2 23 13" xfId="35278" xr:uid="{00000000-0005-0000-0000-0000CC890000}"/>
    <cellStyle name="Normal 5 17 2 23 14" xfId="35279" xr:uid="{00000000-0005-0000-0000-0000CD890000}"/>
    <cellStyle name="Normal 5 17 2 23 2" xfId="35280" xr:uid="{00000000-0005-0000-0000-0000CE890000}"/>
    <cellStyle name="Normal 5 17 2 23 2 10" xfId="35281" xr:uid="{00000000-0005-0000-0000-0000CF890000}"/>
    <cellStyle name="Normal 5 17 2 23 2 2" xfId="35282" xr:uid="{00000000-0005-0000-0000-0000D0890000}"/>
    <cellStyle name="Normal 5 17 2 23 2 3" xfId="35283" xr:uid="{00000000-0005-0000-0000-0000D1890000}"/>
    <cellStyle name="Normal 5 17 2 23 2 4" xfId="35284" xr:uid="{00000000-0005-0000-0000-0000D2890000}"/>
    <cellStyle name="Normal 5 17 2 23 2 5" xfId="35285" xr:uid="{00000000-0005-0000-0000-0000D3890000}"/>
    <cellStyle name="Normal 5 17 2 23 2 6" xfId="35286" xr:uid="{00000000-0005-0000-0000-0000D4890000}"/>
    <cellStyle name="Normal 5 17 2 23 2 7" xfId="35287" xr:uid="{00000000-0005-0000-0000-0000D5890000}"/>
    <cellStyle name="Normal 5 17 2 23 2 8" xfId="35288" xr:uid="{00000000-0005-0000-0000-0000D6890000}"/>
    <cellStyle name="Normal 5 17 2 23 2 9" xfId="35289" xr:uid="{00000000-0005-0000-0000-0000D7890000}"/>
    <cellStyle name="Normal 5 17 2 23 3" xfId="35290" xr:uid="{00000000-0005-0000-0000-0000D8890000}"/>
    <cellStyle name="Normal 5 17 2 23 3 10" xfId="35291" xr:uid="{00000000-0005-0000-0000-0000D9890000}"/>
    <cellStyle name="Normal 5 17 2 23 3 2" xfId="35292" xr:uid="{00000000-0005-0000-0000-0000DA890000}"/>
    <cellStyle name="Normal 5 17 2 23 3 3" xfId="35293" xr:uid="{00000000-0005-0000-0000-0000DB890000}"/>
    <cellStyle name="Normal 5 17 2 23 3 4" xfId="35294" xr:uid="{00000000-0005-0000-0000-0000DC890000}"/>
    <cellStyle name="Normal 5 17 2 23 3 5" xfId="35295" xr:uid="{00000000-0005-0000-0000-0000DD890000}"/>
    <cellStyle name="Normal 5 17 2 23 3 6" xfId="35296" xr:uid="{00000000-0005-0000-0000-0000DE890000}"/>
    <cellStyle name="Normal 5 17 2 23 3 7" xfId="35297" xr:uid="{00000000-0005-0000-0000-0000DF890000}"/>
    <cellStyle name="Normal 5 17 2 23 3 8" xfId="35298" xr:uid="{00000000-0005-0000-0000-0000E0890000}"/>
    <cellStyle name="Normal 5 17 2 23 3 9" xfId="35299" xr:uid="{00000000-0005-0000-0000-0000E1890000}"/>
    <cellStyle name="Normal 5 17 2 23 4" xfId="35300" xr:uid="{00000000-0005-0000-0000-0000E2890000}"/>
    <cellStyle name="Normal 5 17 2 23 4 10" xfId="35301" xr:uid="{00000000-0005-0000-0000-0000E3890000}"/>
    <cellStyle name="Normal 5 17 2 23 4 2" xfId="35302" xr:uid="{00000000-0005-0000-0000-0000E4890000}"/>
    <cellStyle name="Normal 5 17 2 23 4 3" xfId="35303" xr:uid="{00000000-0005-0000-0000-0000E5890000}"/>
    <cellStyle name="Normal 5 17 2 23 4 4" xfId="35304" xr:uid="{00000000-0005-0000-0000-0000E6890000}"/>
    <cellStyle name="Normal 5 17 2 23 4 5" xfId="35305" xr:uid="{00000000-0005-0000-0000-0000E7890000}"/>
    <cellStyle name="Normal 5 17 2 23 4 6" xfId="35306" xr:uid="{00000000-0005-0000-0000-0000E8890000}"/>
    <cellStyle name="Normal 5 17 2 23 4 7" xfId="35307" xr:uid="{00000000-0005-0000-0000-0000E9890000}"/>
    <cellStyle name="Normal 5 17 2 23 4 8" xfId="35308" xr:uid="{00000000-0005-0000-0000-0000EA890000}"/>
    <cellStyle name="Normal 5 17 2 23 4 9" xfId="35309" xr:uid="{00000000-0005-0000-0000-0000EB890000}"/>
    <cellStyle name="Normal 5 17 2 23 5" xfId="35310" xr:uid="{00000000-0005-0000-0000-0000EC890000}"/>
    <cellStyle name="Normal 5 17 2 23 5 10" xfId="35311" xr:uid="{00000000-0005-0000-0000-0000ED890000}"/>
    <cellStyle name="Normal 5 17 2 23 5 2" xfId="35312" xr:uid="{00000000-0005-0000-0000-0000EE890000}"/>
    <cellStyle name="Normal 5 17 2 23 5 3" xfId="35313" xr:uid="{00000000-0005-0000-0000-0000EF890000}"/>
    <cellStyle name="Normal 5 17 2 23 5 4" xfId="35314" xr:uid="{00000000-0005-0000-0000-0000F0890000}"/>
    <cellStyle name="Normal 5 17 2 23 5 5" xfId="35315" xr:uid="{00000000-0005-0000-0000-0000F1890000}"/>
    <cellStyle name="Normal 5 17 2 23 5 6" xfId="35316" xr:uid="{00000000-0005-0000-0000-0000F2890000}"/>
    <cellStyle name="Normal 5 17 2 23 5 7" xfId="35317" xr:uid="{00000000-0005-0000-0000-0000F3890000}"/>
    <cellStyle name="Normal 5 17 2 23 5 8" xfId="35318" xr:uid="{00000000-0005-0000-0000-0000F4890000}"/>
    <cellStyle name="Normal 5 17 2 23 5 9" xfId="35319" xr:uid="{00000000-0005-0000-0000-0000F5890000}"/>
    <cellStyle name="Normal 5 17 2 23 6" xfId="35320" xr:uid="{00000000-0005-0000-0000-0000F6890000}"/>
    <cellStyle name="Normal 5 17 2 23 7" xfId="35321" xr:uid="{00000000-0005-0000-0000-0000F7890000}"/>
    <cellStyle name="Normal 5 17 2 23 8" xfId="35322" xr:uid="{00000000-0005-0000-0000-0000F8890000}"/>
    <cellStyle name="Normal 5 17 2 23 9" xfId="35323" xr:uid="{00000000-0005-0000-0000-0000F9890000}"/>
    <cellStyle name="Normal 5 17 2 24" xfId="35324" xr:uid="{00000000-0005-0000-0000-0000FA890000}"/>
    <cellStyle name="Normal 5 17 2 24 10" xfId="35325" xr:uid="{00000000-0005-0000-0000-0000FB890000}"/>
    <cellStyle name="Normal 5 17 2 24 11" xfId="35326" xr:uid="{00000000-0005-0000-0000-0000FC890000}"/>
    <cellStyle name="Normal 5 17 2 24 12" xfId="35327" xr:uid="{00000000-0005-0000-0000-0000FD890000}"/>
    <cellStyle name="Normal 5 17 2 24 13" xfId="35328" xr:uid="{00000000-0005-0000-0000-0000FE890000}"/>
    <cellStyle name="Normal 5 17 2 24 14" xfId="35329" xr:uid="{00000000-0005-0000-0000-0000FF890000}"/>
    <cellStyle name="Normal 5 17 2 24 2" xfId="35330" xr:uid="{00000000-0005-0000-0000-0000008A0000}"/>
    <cellStyle name="Normal 5 17 2 24 2 10" xfId="35331" xr:uid="{00000000-0005-0000-0000-0000018A0000}"/>
    <cellStyle name="Normal 5 17 2 24 2 2" xfId="35332" xr:uid="{00000000-0005-0000-0000-0000028A0000}"/>
    <cellStyle name="Normal 5 17 2 24 2 3" xfId="35333" xr:uid="{00000000-0005-0000-0000-0000038A0000}"/>
    <cellStyle name="Normal 5 17 2 24 2 4" xfId="35334" xr:uid="{00000000-0005-0000-0000-0000048A0000}"/>
    <cellStyle name="Normal 5 17 2 24 2 5" xfId="35335" xr:uid="{00000000-0005-0000-0000-0000058A0000}"/>
    <cellStyle name="Normal 5 17 2 24 2 6" xfId="35336" xr:uid="{00000000-0005-0000-0000-0000068A0000}"/>
    <cellStyle name="Normal 5 17 2 24 2 7" xfId="35337" xr:uid="{00000000-0005-0000-0000-0000078A0000}"/>
    <cellStyle name="Normal 5 17 2 24 2 8" xfId="35338" xr:uid="{00000000-0005-0000-0000-0000088A0000}"/>
    <cellStyle name="Normal 5 17 2 24 2 9" xfId="35339" xr:uid="{00000000-0005-0000-0000-0000098A0000}"/>
    <cellStyle name="Normal 5 17 2 24 3" xfId="35340" xr:uid="{00000000-0005-0000-0000-00000A8A0000}"/>
    <cellStyle name="Normal 5 17 2 24 3 10" xfId="35341" xr:uid="{00000000-0005-0000-0000-00000B8A0000}"/>
    <cellStyle name="Normal 5 17 2 24 3 2" xfId="35342" xr:uid="{00000000-0005-0000-0000-00000C8A0000}"/>
    <cellStyle name="Normal 5 17 2 24 3 3" xfId="35343" xr:uid="{00000000-0005-0000-0000-00000D8A0000}"/>
    <cellStyle name="Normal 5 17 2 24 3 4" xfId="35344" xr:uid="{00000000-0005-0000-0000-00000E8A0000}"/>
    <cellStyle name="Normal 5 17 2 24 3 5" xfId="35345" xr:uid="{00000000-0005-0000-0000-00000F8A0000}"/>
    <cellStyle name="Normal 5 17 2 24 3 6" xfId="35346" xr:uid="{00000000-0005-0000-0000-0000108A0000}"/>
    <cellStyle name="Normal 5 17 2 24 3 7" xfId="35347" xr:uid="{00000000-0005-0000-0000-0000118A0000}"/>
    <cellStyle name="Normal 5 17 2 24 3 8" xfId="35348" xr:uid="{00000000-0005-0000-0000-0000128A0000}"/>
    <cellStyle name="Normal 5 17 2 24 3 9" xfId="35349" xr:uid="{00000000-0005-0000-0000-0000138A0000}"/>
    <cellStyle name="Normal 5 17 2 24 4" xfId="35350" xr:uid="{00000000-0005-0000-0000-0000148A0000}"/>
    <cellStyle name="Normal 5 17 2 24 4 10" xfId="35351" xr:uid="{00000000-0005-0000-0000-0000158A0000}"/>
    <cellStyle name="Normal 5 17 2 24 4 2" xfId="35352" xr:uid="{00000000-0005-0000-0000-0000168A0000}"/>
    <cellStyle name="Normal 5 17 2 24 4 3" xfId="35353" xr:uid="{00000000-0005-0000-0000-0000178A0000}"/>
    <cellStyle name="Normal 5 17 2 24 4 4" xfId="35354" xr:uid="{00000000-0005-0000-0000-0000188A0000}"/>
    <cellStyle name="Normal 5 17 2 24 4 5" xfId="35355" xr:uid="{00000000-0005-0000-0000-0000198A0000}"/>
    <cellStyle name="Normal 5 17 2 24 4 6" xfId="35356" xr:uid="{00000000-0005-0000-0000-00001A8A0000}"/>
    <cellStyle name="Normal 5 17 2 24 4 7" xfId="35357" xr:uid="{00000000-0005-0000-0000-00001B8A0000}"/>
    <cellStyle name="Normal 5 17 2 24 4 8" xfId="35358" xr:uid="{00000000-0005-0000-0000-00001C8A0000}"/>
    <cellStyle name="Normal 5 17 2 24 4 9" xfId="35359" xr:uid="{00000000-0005-0000-0000-00001D8A0000}"/>
    <cellStyle name="Normal 5 17 2 24 5" xfId="35360" xr:uid="{00000000-0005-0000-0000-00001E8A0000}"/>
    <cellStyle name="Normal 5 17 2 24 5 10" xfId="35361" xr:uid="{00000000-0005-0000-0000-00001F8A0000}"/>
    <cellStyle name="Normal 5 17 2 24 5 2" xfId="35362" xr:uid="{00000000-0005-0000-0000-0000208A0000}"/>
    <cellStyle name="Normal 5 17 2 24 5 3" xfId="35363" xr:uid="{00000000-0005-0000-0000-0000218A0000}"/>
    <cellStyle name="Normal 5 17 2 24 5 4" xfId="35364" xr:uid="{00000000-0005-0000-0000-0000228A0000}"/>
    <cellStyle name="Normal 5 17 2 24 5 5" xfId="35365" xr:uid="{00000000-0005-0000-0000-0000238A0000}"/>
    <cellStyle name="Normal 5 17 2 24 5 6" xfId="35366" xr:uid="{00000000-0005-0000-0000-0000248A0000}"/>
    <cellStyle name="Normal 5 17 2 24 5 7" xfId="35367" xr:uid="{00000000-0005-0000-0000-0000258A0000}"/>
    <cellStyle name="Normal 5 17 2 24 5 8" xfId="35368" xr:uid="{00000000-0005-0000-0000-0000268A0000}"/>
    <cellStyle name="Normal 5 17 2 24 5 9" xfId="35369" xr:uid="{00000000-0005-0000-0000-0000278A0000}"/>
    <cellStyle name="Normal 5 17 2 24 6" xfId="35370" xr:uid="{00000000-0005-0000-0000-0000288A0000}"/>
    <cellStyle name="Normal 5 17 2 24 7" xfId="35371" xr:uid="{00000000-0005-0000-0000-0000298A0000}"/>
    <cellStyle name="Normal 5 17 2 24 8" xfId="35372" xr:uid="{00000000-0005-0000-0000-00002A8A0000}"/>
    <cellStyle name="Normal 5 17 2 24 9" xfId="35373" xr:uid="{00000000-0005-0000-0000-00002B8A0000}"/>
    <cellStyle name="Normal 5 17 2 25" xfId="35374" xr:uid="{00000000-0005-0000-0000-00002C8A0000}"/>
    <cellStyle name="Normal 5 17 2 25 10" xfId="35375" xr:uid="{00000000-0005-0000-0000-00002D8A0000}"/>
    <cellStyle name="Normal 5 17 2 25 11" xfId="35376" xr:uid="{00000000-0005-0000-0000-00002E8A0000}"/>
    <cellStyle name="Normal 5 17 2 25 12" xfId="35377" xr:uid="{00000000-0005-0000-0000-00002F8A0000}"/>
    <cellStyle name="Normal 5 17 2 25 13" xfId="35378" xr:uid="{00000000-0005-0000-0000-0000308A0000}"/>
    <cellStyle name="Normal 5 17 2 25 14" xfId="35379" xr:uid="{00000000-0005-0000-0000-0000318A0000}"/>
    <cellStyle name="Normal 5 17 2 25 2" xfId="35380" xr:uid="{00000000-0005-0000-0000-0000328A0000}"/>
    <cellStyle name="Normal 5 17 2 25 2 10" xfId="35381" xr:uid="{00000000-0005-0000-0000-0000338A0000}"/>
    <cellStyle name="Normal 5 17 2 25 2 2" xfId="35382" xr:uid="{00000000-0005-0000-0000-0000348A0000}"/>
    <cellStyle name="Normal 5 17 2 25 2 3" xfId="35383" xr:uid="{00000000-0005-0000-0000-0000358A0000}"/>
    <cellStyle name="Normal 5 17 2 25 2 4" xfId="35384" xr:uid="{00000000-0005-0000-0000-0000368A0000}"/>
    <cellStyle name="Normal 5 17 2 25 2 5" xfId="35385" xr:uid="{00000000-0005-0000-0000-0000378A0000}"/>
    <cellStyle name="Normal 5 17 2 25 2 6" xfId="35386" xr:uid="{00000000-0005-0000-0000-0000388A0000}"/>
    <cellStyle name="Normal 5 17 2 25 2 7" xfId="35387" xr:uid="{00000000-0005-0000-0000-0000398A0000}"/>
    <cellStyle name="Normal 5 17 2 25 2 8" xfId="35388" xr:uid="{00000000-0005-0000-0000-00003A8A0000}"/>
    <cellStyle name="Normal 5 17 2 25 2 9" xfId="35389" xr:uid="{00000000-0005-0000-0000-00003B8A0000}"/>
    <cellStyle name="Normal 5 17 2 25 3" xfId="35390" xr:uid="{00000000-0005-0000-0000-00003C8A0000}"/>
    <cellStyle name="Normal 5 17 2 25 3 10" xfId="35391" xr:uid="{00000000-0005-0000-0000-00003D8A0000}"/>
    <cellStyle name="Normal 5 17 2 25 3 2" xfId="35392" xr:uid="{00000000-0005-0000-0000-00003E8A0000}"/>
    <cellStyle name="Normal 5 17 2 25 3 3" xfId="35393" xr:uid="{00000000-0005-0000-0000-00003F8A0000}"/>
    <cellStyle name="Normal 5 17 2 25 3 4" xfId="35394" xr:uid="{00000000-0005-0000-0000-0000408A0000}"/>
    <cellStyle name="Normal 5 17 2 25 3 5" xfId="35395" xr:uid="{00000000-0005-0000-0000-0000418A0000}"/>
    <cellStyle name="Normal 5 17 2 25 3 6" xfId="35396" xr:uid="{00000000-0005-0000-0000-0000428A0000}"/>
    <cellStyle name="Normal 5 17 2 25 3 7" xfId="35397" xr:uid="{00000000-0005-0000-0000-0000438A0000}"/>
    <cellStyle name="Normal 5 17 2 25 3 8" xfId="35398" xr:uid="{00000000-0005-0000-0000-0000448A0000}"/>
    <cellStyle name="Normal 5 17 2 25 3 9" xfId="35399" xr:uid="{00000000-0005-0000-0000-0000458A0000}"/>
    <cellStyle name="Normal 5 17 2 25 4" xfId="35400" xr:uid="{00000000-0005-0000-0000-0000468A0000}"/>
    <cellStyle name="Normal 5 17 2 25 4 10" xfId="35401" xr:uid="{00000000-0005-0000-0000-0000478A0000}"/>
    <cellStyle name="Normal 5 17 2 25 4 2" xfId="35402" xr:uid="{00000000-0005-0000-0000-0000488A0000}"/>
    <cellStyle name="Normal 5 17 2 25 4 3" xfId="35403" xr:uid="{00000000-0005-0000-0000-0000498A0000}"/>
    <cellStyle name="Normal 5 17 2 25 4 4" xfId="35404" xr:uid="{00000000-0005-0000-0000-00004A8A0000}"/>
    <cellStyle name="Normal 5 17 2 25 4 5" xfId="35405" xr:uid="{00000000-0005-0000-0000-00004B8A0000}"/>
    <cellStyle name="Normal 5 17 2 25 4 6" xfId="35406" xr:uid="{00000000-0005-0000-0000-00004C8A0000}"/>
    <cellStyle name="Normal 5 17 2 25 4 7" xfId="35407" xr:uid="{00000000-0005-0000-0000-00004D8A0000}"/>
    <cellStyle name="Normal 5 17 2 25 4 8" xfId="35408" xr:uid="{00000000-0005-0000-0000-00004E8A0000}"/>
    <cellStyle name="Normal 5 17 2 25 4 9" xfId="35409" xr:uid="{00000000-0005-0000-0000-00004F8A0000}"/>
    <cellStyle name="Normal 5 17 2 25 5" xfId="35410" xr:uid="{00000000-0005-0000-0000-0000508A0000}"/>
    <cellStyle name="Normal 5 17 2 25 5 10" xfId="35411" xr:uid="{00000000-0005-0000-0000-0000518A0000}"/>
    <cellStyle name="Normal 5 17 2 25 5 2" xfId="35412" xr:uid="{00000000-0005-0000-0000-0000528A0000}"/>
    <cellStyle name="Normal 5 17 2 25 5 3" xfId="35413" xr:uid="{00000000-0005-0000-0000-0000538A0000}"/>
    <cellStyle name="Normal 5 17 2 25 5 4" xfId="35414" xr:uid="{00000000-0005-0000-0000-0000548A0000}"/>
    <cellStyle name="Normal 5 17 2 25 5 5" xfId="35415" xr:uid="{00000000-0005-0000-0000-0000558A0000}"/>
    <cellStyle name="Normal 5 17 2 25 5 6" xfId="35416" xr:uid="{00000000-0005-0000-0000-0000568A0000}"/>
    <cellStyle name="Normal 5 17 2 25 5 7" xfId="35417" xr:uid="{00000000-0005-0000-0000-0000578A0000}"/>
    <cellStyle name="Normal 5 17 2 25 5 8" xfId="35418" xr:uid="{00000000-0005-0000-0000-0000588A0000}"/>
    <cellStyle name="Normal 5 17 2 25 5 9" xfId="35419" xr:uid="{00000000-0005-0000-0000-0000598A0000}"/>
    <cellStyle name="Normal 5 17 2 25 6" xfId="35420" xr:uid="{00000000-0005-0000-0000-00005A8A0000}"/>
    <cellStyle name="Normal 5 17 2 25 7" xfId="35421" xr:uid="{00000000-0005-0000-0000-00005B8A0000}"/>
    <cellStyle name="Normal 5 17 2 25 8" xfId="35422" xr:uid="{00000000-0005-0000-0000-00005C8A0000}"/>
    <cellStyle name="Normal 5 17 2 25 9" xfId="35423" xr:uid="{00000000-0005-0000-0000-00005D8A0000}"/>
    <cellStyle name="Normal 5 17 2 26" xfId="35424" xr:uid="{00000000-0005-0000-0000-00005E8A0000}"/>
    <cellStyle name="Normal 5 17 2 26 10" xfId="35425" xr:uid="{00000000-0005-0000-0000-00005F8A0000}"/>
    <cellStyle name="Normal 5 17 2 26 11" xfId="35426" xr:uid="{00000000-0005-0000-0000-0000608A0000}"/>
    <cellStyle name="Normal 5 17 2 26 12" xfId="35427" xr:uid="{00000000-0005-0000-0000-0000618A0000}"/>
    <cellStyle name="Normal 5 17 2 26 13" xfId="35428" xr:uid="{00000000-0005-0000-0000-0000628A0000}"/>
    <cellStyle name="Normal 5 17 2 26 14" xfId="35429" xr:uid="{00000000-0005-0000-0000-0000638A0000}"/>
    <cellStyle name="Normal 5 17 2 26 2" xfId="35430" xr:uid="{00000000-0005-0000-0000-0000648A0000}"/>
    <cellStyle name="Normal 5 17 2 26 2 10" xfId="35431" xr:uid="{00000000-0005-0000-0000-0000658A0000}"/>
    <cellStyle name="Normal 5 17 2 26 2 2" xfId="35432" xr:uid="{00000000-0005-0000-0000-0000668A0000}"/>
    <cellStyle name="Normal 5 17 2 26 2 3" xfId="35433" xr:uid="{00000000-0005-0000-0000-0000678A0000}"/>
    <cellStyle name="Normal 5 17 2 26 2 4" xfId="35434" xr:uid="{00000000-0005-0000-0000-0000688A0000}"/>
    <cellStyle name="Normal 5 17 2 26 2 5" xfId="35435" xr:uid="{00000000-0005-0000-0000-0000698A0000}"/>
    <cellStyle name="Normal 5 17 2 26 2 6" xfId="35436" xr:uid="{00000000-0005-0000-0000-00006A8A0000}"/>
    <cellStyle name="Normal 5 17 2 26 2 7" xfId="35437" xr:uid="{00000000-0005-0000-0000-00006B8A0000}"/>
    <cellStyle name="Normal 5 17 2 26 2 8" xfId="35438" xr:uid="{00000000-0005-0000-0000-00006C8A0000}"/>
    <cellStyle name="Normal 5 17 2 26 2 9" xfId="35439" xr:uid="{00000000-0005-0000-0000-00006D8A0000}"/>
    <cellStyle name="Normal 5 17 2 26 3" xfId="35440" xr:uid="{00000000-0005-0000-0000-00006E8A0000}"/>
    <cellStyle name="Normal 5 17 2 26 3 10" xfId="35441" xr:uid="{00000000-0005-0000-0000-00006F8A0000}"/>
    <cellStyle name="Normal 5 17 2 26 3 2" xfId="35442" xr:uid="{00000000-0005-0000-0000-0000708A0000}"/>
    <cellStyle name="Normal 5 17 2 26 3 3" xfId="35443" xr:uid="{00000000-0005-0000-0000-0000718A0000}"/>
    <cellStyle name="Normal 5 17 2 26 3 4" xfId="35444" xr:uid="{00000000-0005-0000-0000-0000728A0000}"/>
    <cellStyle name="Normal 5 17 2 26 3 5" xfId="35445" xr:uid="{00000000-0005-0000-0000-0000738A0000}"/>
    <cellStyle name="Normal 5 17 2 26 3 6" xfId="35446" xr:uid="{00000000-0005-0000-0000-0000748A0000}"/>
    <cellStyle name="Normal 5 17 2 26 3 7" xfId="35447" xr:uid="{00000000-0005-0000-0000-0000758A0000}"/>
    <cellStyle name="Normal 5 17 2 26 3 8" xfId="35448" xr:uid="{00000000-0005-0000-0000-0000768A0000}"/>
    <cellStyle name="Normal 5 17 2 26 3 9" xfId="35449" xr:uid="{00000000-0005-0000-0000-0000778A0000}"/>
    <cellStyle name="Normal 5 17 2 26 4" xfId="35450" xr:uid="{00000000-0005-0000-0000-0000788A0000}"/>
    <cellStyle name="Normal 5 17 2 26 4 10" xfId="35451" xr:uid="{00000000-0005-0000-0000-0000798A0000}"/>
    <cellStyle name="Normal 5 17 2 26 4 2" xfId="35452" xr:uid="{00000000-0005-0000-0000-00007A8A0000}"/>
    <cellStyle name="Normal 5 17 2 26 4 3" xfId="35453" xr:uid="{00000000-0005-0000-0000-00007B8A0000}"/>
    <cellStyle name="Normal 5 17 2 26 4 4" xfId="35454" xr:uid="{00000000-0005-0000-0000-00007C8A0000}"/>
    <cellStyle name="Normal 5 17 2 26 4 5" xfId="35455" xr:uid="{00000000-0005-0000-0000-00007D8A0000}"/>
    <cellStyle name="Normal 5 17 2 26 4 6" xfId="35456" xr:uid="{00000000-0005-0000-0000-00007E8A0000}"/>
    <cellStyle name="Normal 5 17 2 26 4 7" xfId="35457" xr:uid="{00000000-0005-0000-0000-00007F8A0000}"/>
    <cellStyle name="Normal 5 17 2 26 4 8" xfId="35458" xr:uid="{00000000-0005-0000-0000-0000808A0000}"/>
    <cellStyle name="Normal 5 17 2 26 4 9" xfId="35459" xr:uid="{00000000-0005-0000-0000-0000818A0000}"/>
    <cellStyle name="Normal 5 17 2 26 5" xfId="35460" xr:uid="{00000000-0005-0000-0000-0000828A0000}"/>
    <cellStyle name="Normal 5 17 2 26 5 10" xfId="35461" xr:uid="{00000000-0005-0000-0000-0000838A0000}"/>
    <cellStyle name="Normal 5 17 2 26 5 2" xfId="35462" xr:uid="{00000000-0005-0000-0000-0000848A0000}"/>
    <cellStyle name="Normal 5 17 2 26 5 3" xfId="35463" xr:uid="{00000000-0005-0000-0000-0000858A0000}"/>
    <cellStyle name="Normal 5 17 2 26 5 4" xfId="35464" xr:uid="{00000000-0005-0000-0000-0000868A0000}"/>
    <cellStyle name="Normal 5 17 2 26 5 5" xfId="35465" xr:uid="{00000000-0005-0000-0000-0000878A0000}"/>
    <cellStyle name="Normal 5 17 2 26 5 6" xfId="35466" xr:uid="{00000000-0005-0000-0000-0000888A0000}"/>
    <cellStyle name="Normal 5 17 2 26 5 7" xfId="35467" xr:uid="{00000000-0005-0000-0000-0000898A0000}"/>
    <cellStyle name="Normal 5 17 2 26 5 8" xfId="35468" xr:uid="{00000000-0005-0000-0000-00008A8A0000}"/>
    <cellStyle name="Normal 5 17 2 26 5 9" xfId="35469" xr:uid="{00000000-0005-0000-0000-00008B8A0000}"/>
    <cellStyle name="Normal 5 17 2 26 6" xfId="35470" xr:uid="{00000000-0005-0000-0000-00008C8A0000}"/>
    <cellStyle name="Normal 5 17 2 26 7" xfId="35471" xr:uid="{00000000-0005-0000-0000-00008D8A0000}"/>
    <cellStyle name="Normal 5 17 2 26 8" xfId="35472" xr:uid="{00000000-0005-0000-0000-00008E8A0000}"/>
    <cellStyle name="Normal 5 17 2 26 9" xfId="35473" xr:uid="{00000000-0005-0000-0000-00008F8A0000}"/>
    <cellStyle name="Normal 5 17 2 27" xfId="35474" xr:uid="{00000000-0005-0000-0000-0000908A0000}"/>
    <cellStyle name="Normal 5 17 2 27 10" xfId="35475" xr:uid="{00000000-0005-0000-0000-0000918A0000}"/>
    <cellStyle name="Normal 5 17 2 27 11" xfId="35476" xr:uid="{00000000-0005-0000-0000-0000928A0000}"/>
    <cellStyle name="Normal 5 17 2 27 12" xfId="35477" xr:uid="{00000000-0005-0000-0000-0000938A0000}"/>
    <cellStyle name="Normal 5 17 2 27 13" xfId="35478" xr:uid="{00000000-0005-0000-0000-0000948A0000}"/>
    <cellStyle name="Normal 5 17 2 27 14" xfId="35479" xr:uid="{00000000-0005-0000-0000-0000958A0000}"/>
    <cellStyle name="Normal 5 17 2 27 2" xfId="35480" xr:uid="{00000000-0005-0000-0000-0000968A0000}"/>
    <cellStyle name="Normal 5 17 2 27 2 10" xfId="35481" xr:uid="{00000000-0005-0000-0000-0000978A0000}"/>
    <cellStyle name="Normal 5 17 2 27 2 2" xfId="35482" xr:uid="{00000000-0005-0000-0000-0000988A0000}"/>
    <cellStyle name="Normal 5 17 2 27 2 3" xfId="35483" xr:uid="{00000000-0005-0000-0000-0000998A0000}"/>
    <cellStyle name="Normal 5 17 2 27 2 4" xfId="35484" xr:uid="{00000000-0005-0000-0000-00009A8A0000}"/>
    <cellStyle name="Normal 5 17 2 27 2 5" xfId="35485" xr:uid="{00000000-0005-0000-0000-00009B8A0000}"/>
    <cellStyle name="Normal 5 17 2 27 2 6" xfId="35486" xr:uid="{00000000-0005-0000-0000-00009C8A0000}"/>
    <cellStyle name="Normal 5 17 2 27 2 7" xfId="35487" xr:uid="{00000000-0005-0000-0000-00009D8A0000}"/>
    <cellStyle name="Normal 5 17 2 27 2 8" xfId="35488" xr:uid="{00000000-0005-0000-0000-00009E8A0000}"/>
    <cellStyle name="Normal 5 17 2 27 2 9" xfId="35489" xr:uid="{00000000-0005-0000-0000-00009F8A0000}"/>
    <cellStyle name="Normal 5 17 2 27 3" xfId="35490" xr:uid="{00000000-0005-0000-0000-0000A08A0000}"/>
    <cellStyle name="Normal 5 17 2 27 3 10" xfId="35491" xr:uid="{00000000-0005-0000-0000-0000A18A0000}"/>
    <cellStyle name="Normal 5 17 2 27 3 2" xfId="35492" xr:uid="{00000000-0005-0000-0000-0000A28A0000}"/>
    <cellStyle name="Normal 5 17 2 27 3 3" xfId="35493" xr:uid="{00000000-0005-0000-0000-0000A38A0000}"/>
    <cellStyle name="Normal 5 17 2 27 3 4" xfId="35494" xr:uid="{00000000-0005-0000-0000-0000A48A0000}"/>
    <cellStyle name="Normal 5 17 2 27 3 5" xfId="35495" xr:uid="{00000000-0005-0000-0000-0000A58A0000}"/>
    <cellStyle name="Normal 5 17 2 27 3 6" xfId="35496" xr:uid="{00000000-0005-0000-0000-0000A68A0000}"/>
    <cellStyle name="Normal 5 17 2 27 3 7" xfId="35497" xr:uid="{00000000-0005-0000-0000-0000A78A0000}"/>
    <cellStyle name="Normal 5 17 2 27 3 8" xfId="35498" xr:uid="{00000000-0005-0000-0000-0000A88A0000}"/>
    <cellStyle name="Normal 5 17 2 27 3 9" xfId="35499" xr:uid="{00000000-0005-0000-0000-0000A98A0000}"/>
    <cellStyle name="Normal 5 17 2 27 4" xfId="35500" xr:uid="{00000000-0005-0000-0000-0000AA8A0000}"/>
    <cellStyle name="Normal 5 17 2 27 4 10" xfId="35501" xr:uid="{00000000-0005-0000-0000-0000AB8A0000}"/>
    <cellStyle name="Normal 5 17 2 27 4 2" xfId="35502" xr:uid="{00000000-0005-0000-0000-0000AC8A0000}"/>
    <cellStyle name="Normal 5 17 2 27 4 3" xfId="35503" xr:uid="{00000000-0005-0000-0000-0000AD8A0000}"/>
    <cellStyle name="Normal 5 17 2 27 4 4" xfId="35504" xr:uid="{00000000-0005-0000-0000-0000AE8A0000}"/>
    <cellStyle name="Normal 5 17 2 27 4 5" xfId="35505" xr:uid="{00000000-0005-0000-0000-0000AF8A0000}"/>
    <cellStyle name="Normal 5 17 2 27 4 6" xfId="35506" xr:uid="{00000000-0005-0000-0000-0000B08A0000}"/>
    <cellStyle name="Normal 5 17 2 27 4 7" xfId="35507" xr:uid="{00000000-0005-0000-0000-0000B18A0000}"/>
    <cellStyle name="Normal 5 17 2 27 4 8" xfId="35508" xr:uid="{00000000-0005-0000-0000-0000B28A0000}"/>
    <cellStyle name="Normal 5 17 2 27 4 9" xfId="35509" xr:uid="{00000000-0005-0000-0000-0000B38A0000}"/>
    <cellStyle name="Normal 5 17 2 27 5" xfId="35510" xr:uid="{00000000-0005-0000-0000-0000B48A0000}"/>
    <cellStyle name="Normal 5 17 2 27 5 10" xfId="35511" xr:uid="{00000000-0005-0000-0000-0000B58A0000}"/>
    <cellStyle name="Normal 5 17 2 27 5 2" xfId="35512" xr:uid="{00000000-0005-0000-0000-0000B68A0000}"/>
    <cellStyle name="Normal 5 17 2 27 5 3" xfId="35513" xr:uid="{00000000-0005-0000-0000-0000B78A0000}"/>
    <cellStyle name="Normal 5 17 2 27 5 4" xfId="35514" xr:uid="{00000000-0005-0000-0000-0000B88A0000}"/>
    <cellStyle name="Normal 5 17 2 27 5 5" xfId="35515" xr:uid="{00000000-0005-0000-0000-0000B98A0000}"/>
    <cellStyle name="Normal 5 17 2 27 5 6" xfId="35516" xr:uid="{00000000-0005-0000-0000-0000BA8A0000}"/>
    <cellStyle name="Normal 5 17 2 27 5 7" xfId="35517" xr:uid="{00000000-0005-0000-0000-0000BB8A0000}"/>
    <cellStyle name="Normal 5 17 2 27 5 8" xfId="35518" xr:uid="{00000000-0005-0000-0000-0000BC8A0000}"/>
    <cellStyle name="Normal 5 17 2 27 5 9" xfId="35519" xr:uid="{00000000-0005-0000-0000-0000BD8A0000}"/>
    <cellStyle name="Normal 5 17 2 27 6" xfId="35520" xr:uid="{00000000-0005-0000-0000-0000BE8A0000}"/>
    <cellStyle name="Normal 5 17 2 27 7" xfId="35521" xr:uid="{00000000-0005-0000-0000-0000BF8A0000}"/>
    <cellStyle name="Normal 5 17 2 27 8" xfId="35522" xr:uid="{00000000-0005-0000-0000-0000C08A0000}"/>
    <cellStyle name="Normal 5 17 2 27 9" xfId="35523" xr:uid="{00000000-0005-0000-0000-0000C18A0000}"/>
    <cellStyle name="Normal 5 17 2 28" xfId="35524" xr:uid="{00000000-0005-0000-0000-0000C28A0000}"/>
    <cellStyle name="Normal 5 17 2 28 10" xfId="35525" xr:uid="{00000000-0005-0000-0000-0000C38A0000}"/>
    <cellStyle name="Normal 5 17 2 28 11" xfId="35526" xr:uid="{00000000-0005-0000-0000-0000C48A0000}"/>
    <cellStyle name="Normal 5 17 2 28 12" xfId="35527" xr:uid="{00000000-0005-0000-0000-0000C58A0000}"/>
    <cellStyle name="Normal 5 17 2 28 13" xfId="35528" xr:uid="{00000000-0005-0000-0000-0000C68A0000}"/>
    <cellStyle name="Normal 5 17 2 28 14" xfId="35529" xr:uid="{00000000-0005-0000-0000-0000C78A0000}"/>
    <cellStyle name="Normal 5 17 2 28 2" xfId="35530" xr:uid="{00000000-0005-0000-0000-0000C88A0000}"/>
    <cellStyle name="Normal 5 17 2 28 2 10" xfId="35531" xr:uid="{00000000-0005-0000-0000-0000C98A0000}"/>
    <cellStyle name="Normal 5 17 2 28 2 2" xfId="35532" xr:uid="{00000000-0005-0000-0000-0000CA8A0000}"/>
    <cellStyle name="Normal 5 17 2 28 2 3" xfId="35533" xr:uid="{00000000-0005-0000-0000-0000CB8A0000}"/>
    <cellStyle name="Normal 5 17 2 28 2 4" xfId="35534" xr:uid="{00000000-0005-0000-0000-0000CC8A0000}"/>
    <cellStyle name="Normal 5 17 2 28 2 5" xfId="35535" xr:uid="{00000000-0005-0000-0000-0000CD8A0000}"/>
    <cellStyle name="Normal 5 17 2 28 2 6" xfId="35536" xr:uid="{00000000-0005-0000-0000-0000CE8A0000}"/>
    <cellStyle name="Normal 5 17 2 28 2 7" xfId="35537" xr:uid="{00000000-0005-0000-0000-0000CF8A0000}"/>
    <cellStyle name="Normal 5 17 2 28 2 8" xfId="35538" xr:uid="{00000000-0005-0000-0000-0000D08A0000}"/>
    <cellStyle name="Normal 5 17 2 28 2 9" xfId="35539" xr:uid="{00000000-0005-0000-0000-0000D18A0000}"/>
    <cellStyle name="Normal 5 17 2 28 3" xfId="35540" xr:uid="{00000000-0005-0000-0000-0000D28A0000}"/>
    <cellStyle name="Normal 5 17 2 28 3 10" xfId="35541" xr:uid="{00000000-0005-0000-0000-0000D38A0000}"/>
    <cellStyle name="Normal 5 17 2 28 3 2" xfId="35542" xr:uid="{00000000-0005-0000-0000-0000D48A0000}"/>
    <cellStyle name="Normal 5 17 2 28 3 3" xfId="35543" xr:uid="{00000000-0005-0000-0000-0000D58A0000}"/>
    <cellStyle name="Normal 5 17 2 28 3 4" xfId="35544" xr:uid="{00000000-0005-0000-0000-0000D68A0000}"/>
    <cellStyle name="Normal 5 17 2 28 3 5" xfId="35545" xr:uid="{00000000-0005-0000-0000-0000D78A0000}"/>
    <cellStyle name="Normal 5 17 2 28 3 6" xfId="35546" xr:uid="{00000000-0005-0000-0000-0000D88A0000}"/>
    <cellStyle name="Normal 5 17 2 28 3 7" xfId="35547" xr:uid="{00000000-0005-0000-0000-0000D98A0000}"/>
    <cellStyle name="Normal 5 17 2 28 3 8" xfId="35548" xr:uid="{00000000-0005-0000-0000-0000DA8A0000}"/>
    <cellStyle name="Normal 5 17 2 28 3 9" xfId="35549" xr:uid="{00000000-0005-0000-0000-0000DB8A0000}"/>
    <cellStyle name="Normal 5 17 2 28 4" xfId="35550" xr:uid="{00000000-0005-0000-0000-0000DC8A0000}"/>
    <cellStyle name="Normal 5 17 2 28 4 10" xfId="35551" xr:uid="{00000000-0005-0000-0000-0000DD8A0000}"/>
    <cellStyle name="Normal 5 17 2 28 4 2" xfId="35552" xr:uid="{00000000-0005-0000-0000-0000DE8A0000}"/>
    <cellStyle name="Normal 5 17 2 28 4 3" xfId="35553" xr:uid="{00000000-0005-0000-0000-0000DF8A0000}"/>
    <cellStyle name="Normal 5 17 2 28 4 4" xfId="35554" xr:uid="{00000000-0005-0000-0000-0000E08A0000}"/>
    <cellStyle name="Normal 5 17 2 28 4 5" xfId="35555" xr:uid="{00000000-0005-0000-0000-0000E18A0000}"/>
    <cellStyle name="Normal 5 17 2 28 4 6" xfId="35556" xr:uid="{00000000-0005-0000-0000-0000E28A0000}"/>
    <cellStyle name="Normal 5 17 2 28 4 7" xfId="35557" xr:uid="{00000000-0005-0000-0000-0000E38A0000}"/>
    <cellStyle name="Normal 5 17 2 28 4 8" xfId="35558" xr:uid="{00000000-0005-0000-0000-0000E48A0000}"/>
    <cellStyle name="Normal 5 17 2 28 4 9" xfId="35559" xr:uid="{00000000-0005-0000-0000-0000E58A0000}"/>
    <cellStyle name="Normal 5 17 2 28 5" xfId="35560" xr:uid="{00000000-0005-0000-0000-0000E68A0000}"/>
    <cellStyle name="Normal 5 17 2 28 5 10" xfId="35561" xr:uid="{00000000-0005-0000-0000-0000E78A0000}"/>
    <cellStyle name="Normal 5 17 2 28 5 2" xfId="35562" xr:uid="{00000000-0005-0000-0000-0000E88A0000}"/>
    <cellStyle name="Normal 5 17 2 28 5 3" xfId="35563" xr:uid="{00000000-0005-0000-0000-0000E98A0000}"/>
    <cellStyle name="Normal 5 17 2 28 5 4" xfId="35564" xr:uid="{00000000-0005-0000-0000-0000EA8A0000}"/>
    <cellStyle name="Normal 5 17 2 28 5 5" xfId="35565" xr:uid="{00000000-0005-0000-0000-0000EB8A0000}"/>
    <cellStyle name="Normal 5 17 2 28 5 6" xfId="35566" xr:uid="{00000000-0005-0000-0000-0000EC8A0000}"/>
    <cellStyle name="Normal 5 17 2 28 5 7" xfId="35567" xr:uid="{00000000-0005-0000-0000-0000ED8A0000}"/>
    <cellStyle name="Normal 5 17 2 28 5 8" xfId="35568" xr:uid="{00000000-0005-0000-0000-0000EE8A0000}"/>
    <cellStyle name="Normal 5 17 2 28 5 9" xfId="35569" xr:uid="{00000000-0005-0000-0000-0000EF8A0000}"/>
    <cellStyle name="Normal 5 17 2 28 6" xfId="35570" xr:uid="{00000000-0005-0000-0000-0000F08A0000}"/>
    <cellStyle name="Normal 5 17 2 28 7" xfId="35571" xr:uid="{00000000-0005-0000-0000-0000F18A0000}"/>
    <cellStyle name="Normal 5 17 2 28 8" xfId="35572" xr:uid="{00000000-0005-0000-0000-0000F28A0000}"/>
    <cellStyle name="Normal 5 17 2 28 9" xfId="35573" xr:uid="{00000000-0005-0000-0000-0000F38A0000}"/>
    <cellStyle name="Normal 5 17 2 29" xfId="35574" xr:uid="{00000000-0005-0000-0000-0000F48A0000}"/>
    <cellStyle name="Normal 5 17 2 29 10" xfId="35575" xr:uid="{00000000-0005-0000-0000-0000F58A0000}"/>
    <cellStyle name="Normal 5 17 2 29 11" xfId="35576" xr:uid="{00000000-0005-0000-0000-0000F68A0000}"/>
    <cellStyle name="Normal 5 17 2 29 12" xfId="35577" xr:uid="{00000000-0005-0000-0000-0000F78A0000}"/>
    <cellStyle name="Normal 5 17 2 29 13" xfId="35578" xr:uid="{00000000-0005-0000-0000-0000F88A0000}"/>
    <cellStyle name="Normal 5 17 2 29 14" xfId="35579" xr:uid="{00000000-0005-0000-0000-0000F98A0000}"/>
    <cellStyle name="Normal 5 17 2 29 2" xfId="35580" xr:uid="{00000000-0005-0000-0000-0000FA8A0000}"/>
    <cellStyle name="Normal 5 17 2 29 2 10" xfId="35581" xr:uid="{00000000-0005-0000-0000-0000FB8A0000}"/>
    <cellStyle name="Normal 5 17 2 29 2 2" xfId="35582" xr:uid="{00000000-0005-0000-0000-0000FC8A0000}"/>
    <cellStyle name="Normal 5 17 2 29 2 3" xfId="35583" xr:uid="{00000000-0005-0000-0000-0000FD8A0000}"/>
    <cellStyle name="Normal 5 17 2 29 2 4" xfId="35584" xr:uid="{00000000-0005-0000-0000-0000FE8A0000}"/>
    <cellStyle name="Normal 5 17 2 29 2 5" xfId="35585" xr:uid="{00000000-0005-0000-0000-0000FF8A0000}"/>
    <cellStyle name="Normal 5 17 2 29 2 6" xfId="35586" xr:uid="{00000000-0005-0000-0000-0000008B0000}"/>
    <cellStyle name="Normal 5 17 2 29 2 7" xfId="35587" xr:uid="{00000000-0005-0000-0000-0000018B0000}"/>
    <cellStyle name="Normal 5 17 2 29 2 8" xfId="35588" xr:uid="{00000000-0005-0000-0000-0000028B0000}"/>
    <cellStyle name="Normal 5 17 2 29 2 9" xfId="35589" xr:uid="{00000000-0005-0000-0000-0000038B0000}"/>
    <cellStyle name="Normal 5 17 2 29 3" xfId="35590" xr:uid="{00000000-0005-0000-0000-0000048B0000}"/>
    <cellStyle name="Normal 5 17 2 29 3 10" xfId="35591" xr:uid="{00000000-0005-0000-0000-0000058B0000}"/>
    <cellStyle name="Normal 5 17 2 29 3 2" xfId="35592" xr:uid="{00000000-0005-0000-0000-0000068B0000}"/>
    <cellStyle name="Normal 5 17 2 29 3 3" xfId="35593" xr:uid="{00000000-0005-0000-0000-0000078B0000}"/>
    <cellStyle name="Normal 5 17 2 29 3 4" xfId="35594" xr:uid="{00000000-0005-0000-0000-0000088B0000}"/>
    <cellStyle name="Normal 5 17 2 29 3 5" xfId="35595" xr:uid="{00000000-0005-0000-0000-0000098B0000}"/>
    <cellStyle name="Normal 5 17 2 29 3 6" xfId="35596" xr:uid="{00000000-0005-0000-0000-00000A8B0000}"/>
    <cellStyle name="Normal 5 17 2 29 3 7" xfId="35597" xr:uid="{00000000-0005-0000-0000-00000B8B0000}"/>
    <cellStyle name="Normal 5 17 2 29 3 8" xfId="35598" xr:uid="{00000000-0005-0000-0000-00000C8B0000}"/>
    <cellStyle name="Normal 5 17 2 29 3 9" xfId="35599" xr:uid="{00000000-0005-0000-0000-00000D8B0000}"/>
    <cellStyle name="Normal 5 17 2 29 4" xfId="35600" xr:uid="{00000000-0005-0000-0000-00000E8B0000}"/>
    <cellStyle name="Normal 5 17 2 29 4 10" xfId="35601" xr:uid="{00000000-0005-0000-0000-00000F8B0000}"/>
    <cellStyle name="Normal 5 17 2 29 4 2" xfId="35602" xr:uid="{00000000-0005-0000-0000-0000108B0000}"/>
    <cellStyle name="Normal 5 17 2 29 4 3" xfId="35603" xr:uid="{00000000-0005-0000-0000-0000118B0000}"/>
    <cellStyle name="Normal 5 17 2 29 4 4" xfId="35604" xr:uid="{00000000-0005-0000-0000-0000128B0000}"/>
    <cellStyle name="Normal 5 17 2 29 4 5" xfId="35605" xr:uid="{00000000-0005-0000-0000-0000138B0000}"/>
    <cellStyle name="Normal 5 17 2 29 4 6" xfId="35606" xr:uid="{00000000-0005-0000-0000-0000148B0000}"/>
    <cellStyle name="Normal 5 17 2 29 4 7" xfId="35607" xr:uid="{00000000-0005-0000-0000-0000158B0000}"/>
    <cellStyle name="Normal 5 17 2 29 4 8" xfId="35608" xr:uid="{00000000-0005-0000-0000-0000168B0000}"/>
    <cellStyle name="Normal 5 17 2 29 4 9" xfId="35609" xr:uid="{00000000-0005-0000-0000-0000178B0000}"/>
    <cellStyle name="Normal 5 17 2 29 5" xfId="35610" xr:uid="{00000000-0005-0000-0000-0000188B0000}"/>
    <cellStyle name="Normal 5 17 2 29 5 10" xfId="35611" xr:uid="{00000000-0005-0000-0000-0000198B0000}"/>
    <cellStyle name="Normal 5 17 2 29 5 2" xfId="35612" xr:uid="{00000000-0005-0000-0000-00001A8B0000}"/>
    <cellStyle name="Normal 5 17 2 29 5 3" xfId="35613" xr:uid="{00000000-0005-0000-0000-00001B8B0000}"/>
    <cellStyle name="Normal 5 17 2 29 5 4" xfId="35614" xr:uid="{00000000-0005-0000-0000-00001C8B0000}"/>
    <cellStyle name="Normal 5 17 2 29 5 5" xfId="35615" xr:uid="{00000000-0005-0000-0000-00001D8B0000}"/>
    <cellStyle name="Normal 5 17 2 29 5 6" xfId="35616" xr:uid="{00000000-0005-0000-0000-00001E8B0000}"/>
    <cellStyle name="Normal 5 17 2 29 5 7" xfId="35617" xr:uid="{00000000-0005-0000-0000-00001F8B0000}"/>
    <cellStyle name="Normal 5 17 2 29 5 8" xfId="35618" xr:uid="{00000000-0005-0000-0000-0000208B0000}"/>
    <cellStyle name="Normal 5 17 2 29 5 9" xfId="35619" xr:uid="{00000000-0005-0000-0000-0000218B0000}"/>
    <cellStyle name="Normal 5 17 2 29 6" xfId="35620" xr:uid="{00000000-0005-0000-0000-0000228B0000}"/>
    <cellStyle name="Normal 5 17 2 29 7" xfId="35621" xr:uid="{00000000-0005-0000-0000-0000238B0000}"/>
    <cellStyle name="Normal 5 17 2 29 8" xfId="35622" xr:uid="{00000000-0005-0000-0000-0000248B0000}"/>
    <cellStyle name="Normal 5 17 2 29 9" xfId="35623" xr:uid="{00000000-0005-0000-0000-0000258B0000}"/>
    <cellStyle name="Normal 5 17 2 3" xfId="35624" xr:uid="{00000000-0005-0000-0000-0000268B0000}"/>
    <cellStyle name="Normal 5 17 2 3 10" xfId="35625" xr:uid="{00000000-0005-0000-0000-0000278B0000}"/>
    <cellStyle name="Normal 5 17 2 3 11" xfId="35626" xr:uid="{00000000-0005-0000-0000-0000288B0000}"/>
    <cellStyle name="Normal 5 17 2 3 12" xfId="35627" xr:uid="{00000000-0005-0000-0000-0000298B0000}"/>
    <cellStyle name="Normal 5 17 2 3 13" xfId="35628" xr:uid="{00000000-0005-0000-0000-00002A8B0000}"/>
    <cellStyle name="Normal 5 17 2 3 14" xfId="35629" xr:uid="{00000000-0005-0000-0000-00002B8B0000}"/>
    <cellStyle name="Normal 5 17 2 3 2" xfId="35630" xr:uid="{00000000-0005-0000-0000-00002C8B0000}"/>
    <cellStyle name="Normal 5 17 2 3 2 10" xfId="35631" xr:uid="{00000000-0005-0000-0000-00002D8B0000}"/>
    <cellStyle name="Normal 5 17 2 3 2 2" xfId="35632" xr:uid="{00000000-0005-0000-0000-00002E8B0000}"/>
    <cellStyle name="Normal 5 17 2 3 2 3" xfId="35633" xr:uid="{00000000-0005-0000-0000-00002F8B0000}"/>
    <cellStyle name="Normal 5 17 2 3 2 4" xfId="35634" xr:uid="{00000000-0005-0000-0000-0000308B0000}"/>
    <cellStyle name="Normal 5 17 2 3 2 5" xfId="35635" xr:uid="{00000000-0005-0000-0000-0000318B0000}"/>
    <cellStyle name="Normal 5 17 2 3 2 6" xfId="35636" xr:uid="{00000000-0005-0000-0000-0000328B0000}"/>
    <cellStyle name="Normal 5 17 2 3 2 7" xfId="35637" xr:uid="{00000000-0005-0000-0000-0000338B0000}"/>
    <cellStyle name="Normal 5 17 2 3 2 8" xfId="35638" xr:uid="{00000000-0005-0000-0000-0000348B0000}"/>
    <cellStyle name="Normal 5 17 2 3 2 9" xfId="35639" xr:uid="{00000000-0005-0000-0000-0000358B0000}"/>
    <cellStyle name="Normal 5 17 2 3 3" xfId="35640" xr:uid="{00000000-0005-0000-0000-0000368B0000}"/>
    <cellStyle name="Normal 5 17 2 3 3 10" xfId="35641" xr:uid="{00000000-0005-0000-0000-0000378B0000}"/>
    <cellStyle name="Normal 5 17 2 3 3 2" xfId="35642" xr:uid="{00000000-0005-0000-0000-0000388B0000}"/>
    <cellStyle name="Normal 5 17 2 3 3 3" xfId="35643" xr:uid="{00000000-0005-0000-0000-0000398B0000}"/>
    <cellStyle name="Normal 5 17 2 3 3 4" xfId="35644" xr:uid="{00000000-0005-0000-0000-00003A8B0000}"/>
    <cellStyle name="Normal 5 17 2 3 3 5" xfId="35645" xr:uid="{00000000-0005-0000-0000-00003B8B0000}"/>
    <cellStyle name="Normal 5 17 2 3 3 6" xfId="35646" xr:uid="{00000000-0005-0000-0000-00003C8B0000}"/>
    <cellStyle name="Normal 5 17 2 3 3 7" xfId="35647" xr:uid="{00000000-0005-0000-0000-00003D8B0000}"/>
    <cellStyle name="Normal 5 17 2 3 3 8" xfId="35648" xr:uid="{00000000-0005-0000-0000-00003E8B0000}"/>
    <cellStyle name="Normal 5 17 2 3 3 9" xfId="35649" xr:uid="{00000000-0005-0000-0000-00003F8B0000}"/>
    <cellStyle name="Normal 5 17 2 3 4" xfId="35650" xr:uid="{00000000-0005-0000-0000-0000408B0000}"/>
    <cellStyle name="Normal 5 17 2 3 4 10" xfId="35651" xr:uid="{00000000-0005-0000-0000-0000418B0000}"/>
    <cellStyle name="Normal 5 17 2 3 4 2" xfId="35652" xr:uid="{00000000-0005-0000-0000-0000428B0000}"/>
    <cellStyle name="Normal 5 17 2 3 4 3" xfId="35653" xr:uid="{00000000-0005-0000-0000-0000438B0000}"/>
    <cellStyle name="Normal 5 17 2 3 4 4" xfId="35654" xr:uid="{00000000-0005-0000-0000-0000448B0000}"/>
    <cellStyle name="Normal 5 17 2 3 4 5" xfId="35655" xr:uid="{00000000-0005-0000-0000-0000458B0000}"/>
    <cellStyle name="Normal 5 17 2 3 4 6" xfId="35656" xr:uid="{00000000-0005-0000-0000-0000468B0000}"/>
    <cellStyle name="Normal 5 17 2 3 4 7" xfId="35657" xr:uid="{00000000-0005-0000-0000-0000478B0000}"/>
    <cellStyle name="Normal 5 17 2 3 4 8" xfId="35658" xr:uid="{00000000-0005-0000-0000-0000488B0000}"/>
    <cellStyle name="Normal 5 17 2 3 4 9" xfId="35659" xr:uid="{00000000-0005-0000-0000-0000498B0000}"/>
    <cellStyle name="Normal 5 17 2 3 5" xfId="35660" xr:uid="{00000000-0005-0000-0000-00004A8B0000}"/>
    <cellStyle name="Normal 5 17 2 3 5 10" xfId="35661" xr:uid="{00000000-0005-0000-0000-00004B8B0000}"/>
    <cellStyle name="Normal 5 17 2 3 5 2" xfId="35662" xr:uid="{00000000-0005-0000-0000-00004C8B0000}"/>
    <cellStyle name="Normal 5 17 2 3 5 3" xfId="35663" xr:uid="{00000000-0005-0000-0000-00004D8B0000}"/>
    <cellStyle name="Normal 5 17 2 3 5 4" xfId="35664" xr:uid="{00000000-0005-0000-0000-00004E8B0000}"/>
    <cellStyle name="Normal 5 17 2 3 5 5" xfId="35665" xr:uid="{00000000-0005-0000-0000-00004F8B0000}"/>
    <cellStyle name="Normal 5 17 2 3 5 6" xfId="35666" xr:uid="{00000000-0005-0000-0000-0000508B0000}"/>
    <cellStyle name="Normal 5 17 2 3 5 7" xfId="35667" xr:uid="{00000000-0005-0000-0000-0000518B0000}"/>
    <cellStyle name="Normal 5 17 2 3 5 8" xfId="35668" xr:uid="{00000000-0005-0000-0000-0000528B0000}"/>
    <cellStyle name="Normal 5 17 2 3 5 9" xfId="35669" xr:uid="{00000000-0005-0000-0000-0000538B0000}"/>
    <cellStyle name="Normal 5 17 2 3 6" xfId="35670" xr:uid="{00000000-0005-0000-0000-0000548B0000}"/>
    <cellStyle name="Normal 5 17 2 3 7" xfId="35671" xr:uid="{00000000-0005-0000-0000-0000558B0000}"/>
    <cellStyle name="Normal 5 17 2 3 8" xfId="35672" xr:uid="{00000000-0005-0000-0000-0000568B0000}"/>
    <cellStyle name="Normal 5 17 2 3 9" xfId="35673" xr:uid="{00000000-0005-0000-0000-0000578B0000}"/>
    <cellStyle name="Normal 5 17 2 30" xfId="35674" xr:uid="{00000000-0005-0000-0000-0000588B0000}"/>
    <cellStyle name="Normal 5 17 2 30 10" xfId="35675" xr:uid="{00000000-0005-0000-0000-0000598B0000}"/>
    <cellStyle name="Normal 5 17 2 30 11" xfId="35676" xr:uid="{00000000-0005-0000-0000-00005A8B0000}"/>
    <cellStyle name="Normal 5 17 2 30 12" xfId="35677" xr:uid="{00000000-0005-0000-0000-00005B8B0000}"/>
    <cellStyle name="Normal 5 17 2 30 13" xfId="35678" xr:uid="{00000000-0005-0000-0000-00005C8B0000}"/>
    <cellStyle name="Normal 5 17 2 30 14" xfId="35679" xr:uid="{00000000-0005-0000-0000-00005D8B0000}"/>
    <cellStyle name="Normal 5 17 2 30 2" xfId="35680" xr:uid="{00000000-0005-0000-0000-00005E8B0000}"/>
    <cellStyle name="Normal 5 17 2 30 2 10" xfId="35681" xr:uid="{00000000-0005-0000-0000-00005F8B0000}"/>
    <cellStyle name="Normal 5 17 2 30 2 2" xfId="35682" xr:uid="{00000000-0005-0000-0000-0000608B0000}"/>
    <cellStyle name="Normal 5 17 2 30 2 3" xfId="35683" xr:uid="{00000000-0005-0000-0000-0000618B0000}"/>
    <cellStyle name="Normal 5 17 2 30 2 4" xfId="35684" xr:uid="{00000000-0005-0000-0000-0000628B0000}"/>
    <cellStyle name="Normal 5 17 2 30 2 5" xfId="35685" xr:uid="{00000000-0005-0000-0000-0000638B0000}"/>
    <cellStyle name="Normal 5 17 2 30 2 6" xfId="35686" xr:uid="{00000000-0005-0000-0000-0000648B0000}"/>
    <cellStyle name="Normal 5 17 2 30 2 7" xfId="35687" xr:uid="{00000000-0005-0000-0000-0000658B0000}"/>
    <cellStyle name="Normal 5 17 2 30 2 8" xfId="35688" xr:uid="{00000000-0005-0000-0000-0000668B0000}"/>
    <cellStyle name="Normal 5 17 2 30 2 9" xfId="35689" xr:uid="{00000000-0005-0000-0000-0000678B0000}"/>
    <cellStyle name="Normal 5 17 2 30 3" xfId="35690" xr:uid="{00000000-0005-0000-0000-0000688B0000}"/>
    <cellStyle name="Normal 5 17 2 30 3 10" xfId="35691" xr:uid="{00000000-0005-0000-0000-0000698B0000}"/>
    <cellStyle name="Normal 5 17 2 30 3 2" xfId="35692" xr:uid="{00000000-0005-0000-0000-00006A8B0000}"/>
    <cellStyle name="Normal 5 17 2 30 3 3" xfId="35693" xr:uid="{00000000-0005-0000-0000-00006B8B0000}"/>
    <cellStyle name="Normal 5 17 2 30 3 4" xfId="35694" xr:uid="{00000000-0005-0000-0000-00006C8B0000}"/>
    <cellStyle name="Normal 5 17 2 30 3 5" xfId="35695" xr:uid="{00000000-0005-0000-0000-00006D8B0000}"/>
    <cellStyle name="Normal 5 17 2 30 3 6" xfId="35696" xr:uid="{00000000-0005-0000-0000-00006E8B0000}"/>
    <cellStyle name="Normal 5 17 2 30 3 7" xfId="35697" xr:uid="{00000000-0005-0000-0000-00006F8B0000}"/>
    <cellStyle name="Normal 5 17 2 30 3 8" xfId="35698" xr:uid="{00000000-0005-0000-0000-0000708B0000}"/>
    <cellStyle name="Normal 5 17 2 30 3 9" xfId="35699" xr:uid="{00000000-0005-0000-0000-0000718B0000}"/>
    <cellStyle name="Normal 5 17 2 30 4" xfId="35700" xr:uid="{00000000-0005-0000-0000-0000728B0000}"/>
    <cellStyle name="Normal 5 17 2 30 4 10" xfId="35701" xr:uid="{00000000-0005-0000-0000-0000738B0000}"/>
    <cellStyle name="Normal 5 17 2 30 4 2" xfId="35702" xr:uid="{00000000-0005-0000-0000-0000748B0000}"/>
    <cellStyle name="Normal 5 17 2 30 4 3" xfId="35703" xr:uid="{00000000-0005-0000-0000-0000758B0000}"/>
    <cellStyle name="Normal 5 17 2 30 4 4" xfId="35704" xr:uid="{00000000-0005-0000-0000-0000768B0000}"/>
    <cellStyle name="Normal 5 17 2 30 4 5" xfId="35705" xr:uid="{00000000-0005-0000-0000-0000778B0000}"/>
    <cellStyle name="Normal 5 17 2 30 4 6" xfId="35706" xr:uid="{00000000-0005-0000-0000-0000788B0000}"/>
    <cellStyle name="Normal 5 17 2 30 4 7" xfId="35707" xr:uid="{00000000-0005-0000-0000-0000798B0000}"/>
    <cellStyle name="Normal 5 17 2 30 4 8" xfId="35708" xr:uid="{00000000-0005-0000-0000-00007A8B0000}"/>
    <cellStyle name="Normal 5 17 2 30 4 9" xfId="35709" xr:uid="{00000000-0005-0000-0000-00007B8B0000}"/>
    <cellStyle name="Normal 5 17 2 30 5" xfId="35710" xr:uid="{00000000-0005-0000-0000-00007C8B0000}"/>
    <cellStyle name="Normal 5 17 2 30 5 10" xfId="35711" xr:uid="{00000000-0005-0000-0000-00007D8B0000}"/>
    <cellStyle name="Normal 5 17 2 30 5 2" xfId="35712" xr:uid="{00000000-0005-0000-0000-00007E8B0000}"/>
    <cellStyle name="Normal 5 17 2 30 5 3" xfId="35713" xr:uid="{00000000-0005-0000-0000-00007F8B0000}"/>
    <cellStyle name="Normal 5 17 2 30 5 4" xfId="35714" xr:uid="{00000000-0005-0000-0000-0000808B0000}"/>
    <cellStyle name="Normal 5 17 2 30 5 5" xfId="35715" xr:uid="{00000000-0005-0000-0000-0000818B0000}"/>
    <cellStyle name="Normal 5 17 2 30 5 6" xfId="35716" xr:uid="{00000000-0005-0000-0000-0000828B0000}"/>
    <cellStyle name="Normal 5 17 2 30 5 7" xfId="35717" xr:uid="{00000000-0005-0000-0000-0000838B0000}"/>
    <cellStyle name="Normal 5 17 2 30 5 8" xfId="35718" xr:uid="{00000000-0005-0000-0000-0000848B0000}"/>
    <cellStyle name="Normal 5 17 2 30 5 9" xfId="35719" xr:uid="{00000000-0005-0000-0000-0000858B0000}"/>
    <cellStyle name="Normal 5 17 2 30 6" xfId="35720" xr:uid="{00000000-0005-0000-0000-0000868B0000}"/>
    <cellStyle name="Normal 5 17 2 30 7" xfId="35721" xr:uid="{00000000-0005-0000-0000-0000878B0000}"/>
    <cellStyle name="Normal 5 17 2 30 8" xfId="35722" xr:uid="{00000000-0005-0000-0000-0000888B0000}"/>
    <cellStyle name="Normal 5 17 2 30 9" xfId="35723" xr:uid="{00000000-0005-0000-0000-0000898B0000}"/>
    <cellStyle name="Normal 5 17 2 31" xfId="35724" xr:uid="{00000000-0005-0000-0000-00008A8B0000}"/>
    <cellStyle name="Normal 5 17 2 31 10" xfId="35725" xr:uid="{00000000-0005-0000-0000-00008B8B0000}"/>
    <cellStyle name="Normal 5 17 2 31 11" xfId="35726" xr:uid="{00000000-0005-0000-0000-00008C8B0000}"/>
    <cellStyle name="Normal 5 17 2 31 12" xfId="35727" xr:uid="{00000000-0005-0000-0000-00008D8B0000}"/>
    <cellStyle name="Normal 5 17 2 31 13" xfId="35728" xr:uid="{00000000-0005-0000-0000-00008E8B0000}"/>
    <cellStyle name="Normal 5 17 2 31 14" xfId="35729" xr:uid="{00000000-0005-0000-0000-00008F8B0000}"/>
    <cellStyle name="Normal 5 17 2 31 2" xfId="35730" xr:uid="{00000000-0005-0000-0000-0000908B0000}"/>
    <cellStyle name="Normal 5 17 2 31 2 10" xfId="35731" xr:uid="{00000000-0005-0000-0000-0000918B0000}"/>
    <cellStyle name="Normal 5 17 2 31 2 2" xfId="35732" xr:uid="{00000000-0005-0000-0000-0000928B0000}"/>
    <cellStyle name="Normal 5 17 2 31 2 3" xfId="35733" xr:uid="{00000000-0005-0000-0000-0000938B0000}"/>
    <cellStyle name="Normal 5 17 2 31 2 4" xfId="35734" xr:uid="{00000000-0005-0000-0000-0000948B0000}"/>
    <cellStyle name="Normal 5 17 2 31 2 5" xfId="35735" xr:uid="{00000000-0005-0000-0000-0000958B0000}"/>
    <cellStyle name="Normal 5 17 2 31 2 6" xfId="35736" xr:uid="{00000000-0005-0000-0000-0000968B0000}"/>
    <cellStyle name="Normal 5 17 2 31 2 7" xfId="35737" xr:uid="{00000000-0005-0000-0000-0000978B0000}"/>
    <cellStyle name="Normal 5 17 2 31 2 8" xfId="35738" xr:uid="{00000000-0005-0000-0000-0000988B0000}"/>
    <cellStyle name="Normal 5 17 2 31 2 9" xfId="35739" xr:uid="{00000000-0005-0000-0000-0000998B0000}"/>
    <cellStyle name="Normal 5 17 2 31 3" xfId="35740" xr:uid="{00000000-0005-0000-0000-00009A8B0000}"/>
    <cellStyle name="Normal 5 17 2 31 3 10" xfId="35741" xr:uid="{00000000-0005-0000-0000-00009B8B0000}"/>
    <cellStyle name="Normal 5 17 2 31 3 2" xfId="35742" xr:uid="{00000000-0005-0000-0000-00009C8B0000}"/>
    <cellStyle name="Normal 5 17 2 31 3 3" xfId="35743" xr:uid="{00000000-0005-0000-0000-00009D8B0000}"/>
    <cellStyle name="Normal 5 17 2 31 3 4" xfId="35744" xr:uid="{00000000-0005-0000-0000-00009E8B0000}"/>
    <cellStyle name="Normal 5 17 2 31 3 5" xfId="35745" xr:uid="{00000000-0005-0000-0000-00009F8B0000}"/>
    <cellStyle name="Normal 5 17 2 31 3 6" xfId="35746" xr:uid="{00000000-0005-0000-0000-0000A08B0000}"/>
    <cellStyle name="Normal 5 17 2 31 3 7" xfId="35747" xr:uid="{00000000-0005-0000-0000-0000A18B0000}"/>
    <cellStyle name="Normal 5 17 2 31 3 8" xfId="35748" xr:uid="{00000000-0005-0000-0000-0000A28B0000}"/>
    <cellStyle name="Normal 5 17 2 31 3 9" xfId="35749" xr:uid="{00000000-0005-0000-0000-0000A38B0000}"/>
    <cellStyle name="Normal 5 17 2 31 4" xfId="35750" xr:uid="{00000000-0005-0000-0000-0000A48B0000}"/>
    <cellStyle name="Normal 5 17 2 31 4 10" xfId="35751" xr:uid="{00000000-0005-0000-0000-0000A58B0000}"/>
    <cellStyle name="Normal 5 17 2 31 4 2" xfId="35752" xr:uid="{00000000-0005-0000-0000-0000A68B0000}"/>
    <cellStyle name="Normal 5 17 2 31 4 3" xfId="35753" xr:uid="{00000000-0005-0000-0000-0000A78B0000}"/>
    <cellStyle name="Normal 5 17 2 31 4 4" xfId="35754" xr:uid="{00000000-0005-0000-0000-0000A88B0000}"/>
    <cellStyle name="Normal 5 17 2 31 4 5" xfId="35755" xr:uid="{00000000-0005-0000-0000-0000A98B0000}"/>
    <cellStyle name="Normal 5 17 2 31 4 6" xfId="35756" xr:uid="{00000000-0005-0000-0000-0000AA8B0000}"/>
    <cellStyle name="Normal 5 17 2 31 4 7" xfId="35757" xr:uid="{00000000-0005-0000-0000-0000AB8B0000}"/>
    <cellStyle name="Normal 5 17 2 31 4 8" xfId="35758" xr:uid="{00000000-0005-0000-0000-0000AC8B0000}"/>
    <cellStyle name="Normal 5 17 2 31 4 9" xfId="35759" xr:uid="{00000000-0005-0000-0000-0000AD8B0000}"/>
    <cellStyle name="Normal 5 17 2 31 5" xfId="35760" xr:uid="{00000000-0005-0000-0000-0000AE8B0000}"/>
    <cellStyle name="Normal 5 17 2 31 5 10" xfId="35761" xr:uid="{00000000-0005-0000-0000-0000AF8B0000}"/>
    <cellStyle name="Normal 5 17 2 31 5 2" xfId="35762" xr:uid="{00000000-0005-0000-0000-0000B08B0000}"/>
    <cellStyle name="Normal 5 17 2 31 5 3" xfId="35763" xr:uid="{00000000-0005-0000-0000-0000B18B0000}"/>
    <cellStyle name="Normal 5 17 2 31 5 4" xfId="35764" xr:uid="{00000000-0005-0000-0000-0000B28B0000}"/>
    <cellStyle name="Normal 5 17 2 31 5 5" xfId="35765" xr:uid="{00000000-0005-0000-0000-0000B38B0000}"/>
    <cellStyle name="Normal 5 17 2 31 5 6" xfId="35766" xr:uid="{00000000-0005-0000-0000-0000B48B0000}"/>
    <cellStyle name="Normal 5 17 2 31 5 7" xfId="35767" xr:uid="{00000000-0005-0000-0000-0000B58B0000}"/>
    <cellStyle name="Normal 5 17 2 31 5 8" xfId="35768" xr:uid="{00000000-0005-0000-0000-0000B68B0000}"/>
    <cellStyle name="Normal 5 17 2 31 5 9" xfId="35769" xr:uid="{00000000-0005-0000-0000-0000B78B0000}"/>
    <cellStyle name="Normal 5 17 2 31 6" xfId="35770" xr:uid="{00000000-0005-0000-0000-0000B88B0000}"/>
    <cellStyle name="Normal 5 17 2 31 7" xfId="35771" xr:uid="{00000000-0005-0000-0000-0000B98B0000}"/>
    <cellStyle name="Normal 5 17 2 31 8" xfId="35772" xr:uid="{00000000-0005-0000-0000-0000BA8B0000}"/>
    <cellStyle name="Normal 5 17 2 31 9" xfId="35773" xr:uid="{00000000-0005-0000-0000-0000BB8B0000}"/>
    <cellStyle name="Normal 5 17 2 32" xfId="35774" xr:uid="{00000000-0005-0000-0000-0000BC8B0000}"/>
    <cellStyle name="Normal 5 17 2 32 10" xfId="35775" xr:uid="{00000000-0005-0000-0000-0000BD8B0000}"/>
    <cellStyle name="Normal 5 17 2 32 11" xfId="35776" xr:uid="{00000000-0005-0000-0000-0000BE8B0000}"/>
    <cellStyle name="Normal 5 17 2 32 12" xfId="35777" xr:uid="{00000000-0005-0000-0000-0000BF8B0000}"/>
    <cellStyle name="Normal 5 17 2 32 13" xfId="35778" xr:uid="{00000000-0005-0000-0000-0000C08B0000}"/>
    <cellStyle name="Normal 5 17 2 32 14" xfId="35779" xr:uid="{00000000-0005-0000-0000-0000C18B0000}"/>
    <cellStyle name="Normal 5 17 2 32 2" xfId="35780" xr:uid="{00000000-0005-0000-0000-0000C28B0000}"/>
    <cellStyle name="Normal 5 17 2 32 2 10" xfId="35781" xr:uid="{00000000-0005-0000-0000-0000C38B0000}"/>
    <cellStyle name="Normal 5 17 2 32 2 2" xfId="35782" xr:uid="{00000000-0005-0000-0000-0000C48B0000}"/>
    <cellStyle name="Normal 5 17 2 32 2 3" xfId="35783" xr:uid="{00000000-0005-0000-0000-0000C58B0000}"/>
    <cellStyle name="Normal 5 17 2 32 2 4" xfId="35784" xr:uid="{00000000-0005-0000-0000-0000C68B0000}"/>
    <cellStyle name="Normal 5 17 2 32 2 5" xfId="35785" xr:uid="{00000000-0005-0000-0000-0000C78B0000}"/>
    <cellStyle name="Normal 5 17 2 32 2 6" xfId="35786" xr:uid="{00000000-0005-0000-0000-0000C88B0000}"/>
    <cellStyle name="Normal 5 17 2 32 2 7" xfId="35787" xr:uid="{00000000-0005-0000-0000-0000C98B0000}"/>
    <cellStyle name="Normal 5 17 2 32 2 8" xfId="35788" xr:uid="{00000000-0005-0000-0000-0000CA8B0000}"/>
    <cellStyle name="Normal 5 17 2 32 2 9" xfId="35789" xr:uid="{00000000-0005-0000-0000-0000CB8B0000}"/>
    <cellStyle name="Normal 5 17 2 32 3" xfId="35790" xr:uid="{00000000-0005-0000-0000-0000CC8B0000}"/>
    <cellStyle name="Normal 5 17 2 32 3 10" xfId="35791" xr:uid="{00000000-0005-0000-0000-0000CD8B0000}"/>
    <cellStyle name="Normal 5 17 2 32 3 2" xfId="35792" xr:uid="{00000000-0005-0000-0000-0000CE8B0000}"/>
    <cellStyle name="Normal 5 17 2 32 3 3" xfId="35793" xr:uid="{00000000-0005-0000-0000-0000CF8B0000}"/>
    <cellStyle name="Normal 5 17 2 32 3 4" xfId="35794" xr:uid="{00000000-0005-0000-0000-0000D08B0000}"/>
    <cellStyle name="Normal 5 17 2 32 3 5" xfId="35795" xr:uid="{00000000-0005-0000-0000-0000D18B0000}"/>
    <cellStyle name="Normal 5 17 2 32 3 6" xfId="35796" xr:uid="{00000000-0005-0000-0000-0000D28B0000}"/>
    <cellStyle name="Normal 5 17 2 32 3 7" xfId="35797" xr:uid="{00000000-0005-0000-0000-0000D38B0000}"/>
    <cellStyle name="Normal 5 17 2 32 3 8" xfId="35798" xr:uid="{00000000-0005-0000-0000-0000D48B0000}"/>
    <cellStyle name="Normal 5 17 2 32 3 9" xfId="35799" xr:uid="{00000000-0005-0000-0000-0000D58B0000}"/>
    <cellStyle name="Normal 5 17 2 32 4" xfId="35800" xr:uid="{00000000-0005-0000-0000-0000D68B0000}"/>
    <cellStyle name="Normal 5 17 2 32 4 10" xfId="35801" xr:uid="{00000000-0005-0000-0000-0000D78B0000}"/>
    <cellStyle name="Normal 5 17 2 32 4 2" xfId="35802" xr:uid="{00000000-0005-0000-0000-0000D88B0000}"/>
    <cellStyle name="Normal 5 17 2 32 4 3" xfId="35803" xr:uid="{00000000-0005-0000-0000-0000D98B0000}"/>
    <cellStyle name="Normal 5 17 2 32 4 4" xfId="35804" xr:uid="{00000000-0005-0000-0000-0000DA8B0000}"/>
    <cellStyle name="Normal 5 17 2 32 4 5" xfId="35805" xr:uid="{00000000-0005-0000-0000-0000DB8B0000}"/>
    <cellStyle name="Normal 5 17 2 32 4 6" xfId="35806" xr:uid="{00000000-0005-0000-0000-0000DC8B0000}"/>
    <cellStyle name="Normal 5 17 2 32 4 7" xfId="35807" xr:uid="{00000000-0005-0000-0000-0000DD8B0000}"/>
    <cellStyle name="Normal 5 17 2 32 4 8" xfId="35808" xr:uid="{00000000-0005-0000-0000-0000DE8B0000}"/>
    <cellStyle name="Normal 5 17 2 32 4 9" xfId="35809" xr:uid="{00000000-0005-0000-0000-0000DF8B0000}"/>
    <cellStyle name="Normal 5 17 2 32 5" xfId="35810" xr:uid="{00000000-0005-0000-0000-0000E08B0000}"/>
    <cellStyle name="Normal 5 17 2 32 5 10" xfId="35811" xr:uid="{00000000-0005-0000-0000-0000E18B0000}"/>
    <cellStyle name="Normal 5 17 2 32 5 2" xfId="35812" xr:uid="{00000000-0005-0000-0000-0000E28B0000}"/>
    <cellStyle name="Normal 5 17 2 32 5 3" xfId="35813" xr:uid="{00000000-0005-0000-0000-0000E38B0000}"/>
    <cellStyle name="Normal 5 17 2 32 5 4" xfId="35814" xr:uid="{00000000-0005-0000-0000-0000E48B0000}"/>
    <cellStyle name="Normal 5 17 2 32 5 5" xfId="35815" xr:uid="{00000000-0005-0000-0000-0000E58B0000}"/>
    <cellStyle name="Normal 5 17 2 32 5 6" xfId="35816" xr:uid="{00000000-0005-0000-0000-0000E68B0000}"/>
    <cellStyle name="Normal 5 17 2 32 5 7" xfId="35817" xr:uid="{00000000-0005-0000-0000-0000E78B0000}"/>
    <cellStyle name="Normal 5 17 2 32 5 8" xfId="35818" xr:uid="{00000000-0005-0000-0000-0000E88B0000}"/>
    <cellStyle name="Normal 5 17 2 32 5 9" xfId="35819" xr:uid="{00000000-0005-0000-0000-0000E98B0000}"/>
    <cellStyle name="Normal 5 17 2 32 6" xfId="35820" xr:uid="{00000000-0005-0000-0000-0000EA8B0000}"/>
    <cellStyle name="Normal 5 17 2 32 7" xfId="35821" xr:uid="{00000000-0005-0000-0000-0000EB8B0000}"/>
    <cellStyle name="Normal 5 17 2 32 8" xfId="35822" xr:uid="{00000000-0005-0000-0000-0000EC8B0000}"/>
    <cellStyle name="Normal 5 17 2 32 9" xfId="35823" xr:uid="{00000000-0005-0000-0000-0000ED8B0000}"/>
    <cellStyle name="Normal 5 17 2 33" xfId="35824" xr:uid="{00000000-0005-0000-0000-0000EE8B0000}"/>
    <cellStyle name="Normal 5 17 2 33 10" xfId="35825" xr:uid="{00000000-0005-0000-0000-0000EF8B0000}"/>
    <cellStyle name="Normal 5 17 2 33 11" xfId="35826" xr:uid="{00000000-0005-0000-0000-0000F08B0000}"/>
    <cellStyle name="Normal 5 17 2 33 12" xfId="35827" xr:uid="{00000000-0005-0000-0000-0000F18B0000}"/>
    <cellStyle name="Normal 5 17 2 33 13" xfId="35828" xr:uid="{00000000-0005-0000-0000-0000F28B0000}"/>
    <cellStyle name="Normal 5 17 2 33 14" xfId="35829" xr:uid="{00000000-0005-0000-0000-0000F38B0000}"/>
    <cellStyle name="Normal 5 17 2 33 2" xfId="35830" xr:uid="{00000000-0005-0000-0000-0000F48B0000}"/>
    <cellStyle name="Normal 5 17 2 33 2 10" xfId="35831" xr:uid="{00000000-0005-0000-0000-0000F58B0000}"/>
    <cellStyle name="Normal 5 17 2 33 2 2" xfId="35832" xr:uid="{00000000-0005-0000-0000-0000F68B0000}"/>
    <cellStyle name="Normal 5 17 2 33 2 3" xfId="35833" xr:uid="{00000000-0005-0000-0000-0000F78B0000}"/>
    <cellStyle name="Normal 5 17 2 33 2 4" xfId="35834" xr:uid="{00000000-0005-0000-0000-0000F88B0000}"/>
    <cellStyle name="Normal 5 17 2 33 2 5" xfId="35835" xr:uid="{00000000-0005-0000-0000-0000F98B0000}"/>
    <cellStyle name="Normal 5 17 2 33 2 6" xfId="35836" xr:uid="{00000000-0005-0000-0000-0000FA8B0000}"/>
    <cellStyle name="Normal 5 17 2 33 2 7" xfId="35837" xr:uid="{00000000-0005-0000-0000-0000FB8B0000}"/>
    <cellStyle name="Normal 5 17 2 33 2 8" xfId="35838" xr:uid="{00000000-0005-0000-0000-0000FC8B0000}"/>
    <cellStyle name="Normal 5 17 2 33 2 9" xfId="35839" xr:uid="{00000000-0005-0000-0000-0000FD8B0000}"/>
    <cellStyle name="Normal 5 17 2 33 3" xfId="35840" xr:uid="{00000000-0005-0000-0000-0000FE8B0000}"/>
    <cellStyle name="Normal 5 17 2 33 3 10" xfId="35841" xr:uid="{00000000-0005-0000-0000-0000FF8B0000}"/>
    <cellStyle name="Normal 5 17 2 33 3 2" xfId="35842" xr:uid="{00000000-0005-0000-0000-0000008C0000}"/>
    <cellStyle name="Normal 5 17 2 33 3 3" xfId="35843" xr:uid="{00000000-0005-0000-0000-0000018C0000}"/>
    <cellStyle name="Normal 5 17 2 33 3 4" xfId="35844" xr:uid="{00000000-0005-0000-0000-0000028C0000}"/>
    <cellStyle name="Normal 5 17 2 33 3 5" xfId="35845" xr:uid="{00000000-0005-0000-0000-0000038C0000}"/>
    <cellStyle name="Normal 5 17 2 33 3 6" xfId="35846" xr:uid="{00000000-0005-0000-0000-0000048C0000}"/>
    <cellStyle name="Normal 5 17 2 33 3 7" xfId="35847" xr:uid="{00000000-0005-0000-0000-0000058C0000}"/>
    <cellStyle name="Normal 5 17 2 33 3 8" xfId="35848" xr:uid="{00000000-0005-0000-0000-0000068C0000}"/>
    <cellStyle name="Normal 5 17 2 33 3 9" xfId="35849" xr:uid="{00000000-0005-0000-0000-0000078C0000}"/>
    <cellStyle name="Normal 5 17 2 33 4" xfId="35850" xr:uid="{00000000-0005-0000-0000-0000088C0000}"/>
    <cellStyle name="Normal 5 17 2 33 4 10" xfId="35851" xr:uid="{00000000-0005-0000-0000-0000098C0000}"/>
    <cellStyle name="Normal 5 17 2 33 4 2" xfId="35852" xr:uid="{00000000-0005-0000-0000-00000A8C0000}"/>
    <cellStyle name="Normal 5 17 2 33 4 3" xfId="35853" xr:uid="{00000000-0005-0000-0000-00000B8C0000}"/>
    <cellStyle name="Normal 5 17 2 33 4 4" xfId="35854" xr:uid="{00000000-0005-0000-0000-00000C8C0000}"/>
    <cellStyle name="Normal 5 17 2 33 4 5" xfId="35855" xr:uid="{00000000-0005-0000-0000-00000D8C0000}"/>
    <cellStyle name="Normal 5 17 2 33 4 6" xfId="35856" xr:uid="{00000000-0005-0000-0000-00000E8C0000}"/>
    <cellStyle name="Normal 5 17 2 33 4 7" xfId="35857" xr:uid="{00000000-0005-0000-0000-00000F8C0000}"/>
    <cellStyle name="Normal 5 17 2 33 4 8" xfId="35858" xr:uid="{00000000-0005-0000-0000-0000108C0000}"/>
    <cellStyle name="Normal 5 17 2 33 4 9" xfId="35859" xr:uid="{00000000-0005-0000-0000-0000118C0000}"/>
    <cellStyle name="Normal 5 17 2 33 5" xfId="35860" xr:uid="{00000000-0005-0000-0000-0000128C0000}"/>
    <cellStyle name="Normal 5 17 2 33 5 10" xfId="35861" xr:uid="{00000000-0005-0000-0000-0000138C0000}"/>
    <cellStyle name="Normal 5 17 2 33 5 2" xfId="35862" xr:uid="{00000000-0005-0000-0000-0000148C0000}"/>
    <cellStyle name="Normal 5 17 2 33 5 3" xfId="35863" xr:uid="{00000000-0005-0000-0000-0000158C0000}"/>
    <cellStyle name="Normal 5 17 2 33 5 4" xfId="35864" xr:uid="{00000000-0005-0000-0000-0000168C0000}"/>
    <cellStyle name="Normal 5 17 2 33 5 5" xfId="35865" xr:uid="{00000000-0005-0000-0000-0000178C0000}"/>
    <cellStyle name="Normal 5 17 2 33 5 6" xfId="35866" xr:uid="{00000000-0005-0000-0000-0000188C0000}"/>
    <cellStyle name="Normal 5 17 2 33 5 7" xfId="35867" xr:uid="{00000000-0005-0000-0000-0000198C0000}"/>
    <cellStyle name="Normal 5 17 2 33 5 8" xfId="35868" xr:uid="{00000000-0005-0000-0000-00001A8C0000}"/>
    <cellStyle name="Normal 5 17 2 33 5 9" xfId="35869" xr:uid="{00000000-0005-0000-0000-00001B8C0000}"/>
    <cellStyle name="Normal 5 17 2 33 6" xfId="35870" xr:uid="{00000000-0005-0000-0000-00001C8C0000}"/>
    <cellStyle name="Normal 5 17 2 33 7" xfId="35871" xr:uid="{00000000-0005-0000-0000-00001D8C0000}"/>
    <cellStyle name="Normal 5 17 2 33 8" xfId="35872" xr:uid="{00000000-0005-0000-0000-00001E8C0000}"/>
    <cellStyle name="Normal 5 17 2 33 9" xfId="35873" xr:uid="{00000000-0005-0000-0000-00001F8C0000}"/>
    <cellStyle name="Normal 5 17 2 34" xfId="35874" xr:uid="{00000000-0005-0000-0000-0000208C0000}"/>
    <cellStyle name="Normal 5 17 2 34 10" xfId="35875" xr:uid="{00000000-0005-0000-0000-0000218C0000}"/>
    <cellStyle name="Normal 5 17 2 34 2" xfId="35876" xr:uid="{00000000-0005-0000-0000-0000228C0000}"/>
    <cellStyle name="Normal 5 17 2 34 3" xfId="35877" xr:uid="{00000000-0005-0000-0000-0000238C0000}"/>
    <cellStyle name="Normal 5 17 2 34 4" xfId="35878" xr:uid="{00000000-0005-0000-0000-0000248C0000}"/>
    <cellStyle name="Normal 5 17 2 34 5" xfId="35879" xr:uid="{00000000-0005-0000-0000-0000258C0000}"/>
    <cellStyle name="Normal 5 17 2 34 6" xfId="35880" xr:uid="{00000000-0005-0000-0000-0000268C0000}"/>
    <cellStyle name="Normal 5 17 2 34 7" xfId="35881" xr:uid="{00000000-0005-0000-0000-0000278C0000}"/>
    <cellStyle name="Normal 5 17 2 34 8" xfId="35882" xr:uid="{00000000-0005-0000-0000-0000288C0000}"/>
    <cellStyle name="Normal 5 17 2 34 9" xfId="35883" xr:uid="{00000000-0005-0000-0000-0000298C0000}"/>
    <cellStyle name="Normal 5 17 2 35" xfId="35884" xr:uid="{00000000-0005-0000-0000-00002A8C0000}"/>
    <cellStyle name="Normal 5 17 2 35 10" xfId="35885" xr:uid="{00000000-0005-0000-0000-00002B8C0000}"/>
    <cellStyle name="Normal 5 17 2 35 2" xfId="35886" xr:uid="{00000000-0005-0000-0000-00002C8C0000}"/>
    <cellStyle name="Normal 5 17 2 35 3" xfId="35887" xr:uid="{00000000-0005-0000-0000-00002D8C0000}"/>
    <cellStyle name="Normal 5 17 2 35 4" xfId="35888" xr:uid="{00000000-0005-0000-0000-00002E8C0000}"/>
    <cellStyle name="Normal 5 17 2 35 5" xfId="35889" xr:uid="{00000000-0005-0000-0000-00002F8C0000}"/>
    <cellStyle name="Normal 5 17 2 35 6" xfId="35890" xr:uid="{00000000-0005-0000-0000-0000308C0000}"/>
    <cellStyle name="Normal 5 17 2 35 7" xfId="35891" xr:uid="{00000000-0005-0000-0000-0000318C0000}"/>
    <cellStyle name="Normal 5 17 2 35 8" xfId="35892" xr:uid="{00000000-0005-0000-0000-0000328C0000}"/>
    <cellStyle name="Normal 5 17 2 35 9" xfId="35893" xr:uid="{00000000-0005-0000-0000-0000338C0000}"/>
    <cellStyle name="Normal 5 17 2 36" xfId="35894" xr:uid="{00000000-0005-0000-0000-0000348C0000}"/>
    <cellStyle name="Normal 5 17 2 36 10" xfId="35895" xr:uid="{00000000-0005-0000-0000-0000358C0000}"/>
    <cellStyle name="Normal 5 17 2 36 2" xfId="35896" xr:uid="{00000000-0005-0000-0000-0000368C0000}"/>
    <cellStyle name="Normal 5 17 2 36 3" xfId="35897" xr:uid="{00000000-0005-0000-0000-0000378C0000}"/>
    <cellStyle name="Normal 5 17 2 36 4" xfId="35898" xr:uid="{00000000-0005-0000-0000-0000388C0000}"/>
    <cellStyle name="Normal 5 17 2 36 5" xfId="35899" xr:uid="{00000000-0005-0000-0000-0000398C0000}"/>
    <cellStyle name="Normal 5 17 2 36 6" xfId="35900" xr:uid="{00000000-0005-0000-0000-00003A8C0000}"/>
    <cellStyle name="Normal 5 17 2 36 7" xfId="35901" xr:uid="{00000000-0005-0000-0000-00003B8C0000}"/>
    <cellStyle name="Normal 5 17 2 36 8" xfId="35902" xr:uid="{00000000-0005-0000-0000-00003C8C0000}"/>
    <cellStyle name="Normal 5 17 2 36 9" xfId="35903" xr:uid="{00000000-0005-0000-0000-00003D8C0000}"/>
    <cellStyle name="Normal 5 17 2 37" xfId="35904" xr:uid="{00000000-0005-0000-0000-00003E8C0000}"/>
    <cellStyle name="Normal 5 17 2 37 10" xfId="35905" xr:uid="{00000000-0005-0000-0000-00003F8C0000}"/>
    <cellStyle name="Normal 5 17 2 37 2" xfId="35906" xr:uid="{00000000-0005-0000-0000-0000408C0000}"/>
    <cellStyle name="Normal 5 17 2 37 3" xfId="35907" xr:uid="{00000000-0005-0000-0000-0000418C0000}"/>
    <cellStyle name="Normal 5 17 2 37 4" xfId="35908" xr:uid="{00000000-0005-0000-0000-0000428C0000}"/>
    <cellStyle name="Normal 5 17 2 37 5" xfId="35909" xr:uid="{00000000-0005-0000-0000-0000438C0000}"/>
    <cellStyle name="Normal 5 17 2 37 6" xfId="35910" xr:uid="{00000000-0005-0000-0000-0000448C0000}"/>
    <cellStyle name="Normal 5 17 2 37 7" xfId="35911" xr:uid="{00000000-0005-0000-0000-0000458C0000}"/>
    <cellStyle name="Normal 5 17 2 37 8" xfId="35912" xr:uid="{00000000-0005-0000-0000-0000468C0000}"/>
    <cellStyle name="Normal 5 17 2 37 9" xfId="35913" xr:uid="{00000000-0005-0000-0000-0000478C0000}"/>
    <cellStyle name="Normal 5 17 2 38" xfId="35914" xr:uid="{00000000-0005-0000-0000-0000488C0000}"/>
    <cellStyle name="Normal 5 17 2 39" xfId="35915" xr:uid="{00000000-0005-0000-0000-0000498C0000}"/>
    <cellStyle name="Normal 5 17 2 4" xfId="35916" xr:uid="{00000000-0005-0000-0000-00004A8C0000}"/>
    <cellStyle name="Normal 5 17 2 4 10" xfId="35917" xr:uid="{00000000-0005-0000-0000-00004B8C0000}"/>
    <cellStyle name="Normal 5 17 2 4 11" xfId="35918" xr:uid="{00000000-0005-0000-0000-00004C8C0000}"/>
    <cellStyle name="Normal 5 17 2 4 12" xfId="35919" xr:uid="{00000000-0005-0000-0000-00004D8C0000}"/>
    <cellStyle name="Normal 5 17 2 4 13" xfId="35920" xr:uid="{00000000-0005-0000-0000-00004E8C0000}"/>
    <cellStyle name="Normal 5 17 2 4 14" xfId="35921" xr:uid="{00000000-0005-0000-0000-00004F8C0000}"/>
    <cellStyle name="Normal 5 17 2 4 2" xfId="35922" xr:uid="{00000000-0005-0000-0000-0000508C0000}"/>
    <cellStyle name="Normal 5 17 2 4 2 10" xfId="35923" xr:uid="{00000000-0005-0000-0000-0000518C0000}"/>
    <cellStyle name="Normal 5 17 2 4 2 2" xfId="35924" xr:uid="{00000000-0005-0000-0000-0000528C0000}"/>
    <cellStyle name="Normal 5 17 2 4 2 3" xfId="35925" xr:uid="{00000000-0005-0000-0000-0000538C0000}"/>
    <cellStyle name="Normal 5 17 2 4 2 4" xfId="35926" xr:uid="{00000000-0005-0000-0000-0000548C0000}"/>
    <cellStyle name="Normal 5 17 2 4 2 5" xfId="35927" xr:uid="{00000000-0005-0000-0000-0000558C0000}"/>
    <cellStyle name="Normal 5 17 2 4 2 6" xfId="35928" xr:uid="{00000000-0005-0000-0000-0000568C0000}"/>
    <cellStyle name="Normal 5 17 2 4 2 7" xfId="35929" xr:uid="{00000000-0005-0000-0000-0000578C0000}"/>
    <cellStyle name="Normal 5 17 2 4 2 8" xfId="35930" xr:uid="{00000000-0005-0000-0000-0000588C0000}"/>
    <cellStyle name="Normal 5 17 2 4 2 9" xfId="35931" xr:uid="{00000000-0005-0000-0000-0000598C0000}"/>
    <cellStyle name="Normal 5 17 2 4 3" xfId="35932" xr:uid="{00000000-0005-0000-0000-00005A8C0000}"/>
    <cellStyle name="Normal 5 17 2 4 3 10" xfId="35933" xr:uid="{00000000-0005-0000-0000-00005B8C0000}"/>
    <cellStyle name="Normal 5 17 2 4 3 2" xfId="35934" xr:uid="{00000000-0005-0000-0000-00005C8C0000}"/>
    <cellStyle name="Normal 5 17 2 4 3 3" xfId="35935" xr:uid="{00000000-0005-0000-0000-00005D8C0000}"/>
    <cellStyle name="Normal 5 17 2 4 3 4" xfId="35936" xr:uid="{00000000-0005-0000-0000-00005E8C0000}"/>
    <cellStyle name="Normal 5 17 2 4 3 5" xfId="35937" xr:uid="{00000000-0005-0000-0000-00005F8C0000}"/>
    <cellStyle name="Normal 5 17 2 4 3 6" xfId="35938" xr:uid="{00000000-0005-0000-0000-0000608C0000}"/>
    <cellStyle name="Normal 5 17 2 4 3 7" xfId="35939" xr:uid="{00000000-0005-0000-0000-0000618C0000}"/>
    <cellStyle name="Normal 5 17 2 4 3 8" xfId="35940" xr:uid="{00000000-0005-0000-0000-0000628C0000}"/>
    <cellStyle name="Normal 5 17 2 4 3 9" xfId="35941" xr:uid="{00000000-0005-0000-0000-0000638C0000}"/>
    <cellStyle name="Normal 5 17 2 4 4" xfId="35942" xr:uid="{00000000-0005-0000-0000-0000648C0000}"/>
    <cellStyle name="Normal 5 17 2 4 4 10" xfId="35943" xr:uid="{00000000-0005-0000-0000-0000658C0000}"/>
    <cellStyle name="Normal 5 17 2 4 4 2" xfId="35944" xr:uid="{00000000-0005-0000-0000-0000668C0000}"/>
    <cellStyle name="Normal 5 17 2 4 4 3" xfId="35945" xr:uid="{00000000-0005-0000-0000-0000678C0000}"/>
    <cellStyle name="Normal 5 17 2 4 4 4" xfId="35946" xr:uid="{00000000-0005-0000-0000-0000688C0000}"/>
    <cellStyle name="Normal 5 17 2 4 4 5" xfId="35947" xr:uid="{00000000-0005-0000-0000-0000698C0000}"/>
    <cellStyle name="Normal 5 17 2 4 4 6" xfId="35948" xr:uid="{00000000-0005-0000-0000-00006A8C0000}"/>
    <cellStyle name="Normal 5 17 2 4 4 7" xfId="35949" xr:uid="{00000000-0005-0000-0000-00006B8C0000}"/>
    <cellStyle name="Normal 5 17 2 4 4 8" xfId="35950" xr:uid="{00000000-0005-0000-0000-00006C8C0000}"/>
    <cellStyle name="Normal 5 17 2 4 4 9" xfId="35951" xr:uid="{00000000-0005-0000-0000-00006D8C0000}"/>
    <cellStyle name="Normal 5 17 2 4 5" xfId="35952" xr:uid="{00000000-0005-0000-0000-00006E8C0000}"/>
    <cellStyle name="Normal 5 17 2 4 5 10" xfId="35953" xr:uid="{00000000-0005-0000-0000-00006F8C0000}"/>
    <cellStyle name="Normal 5 17 2 4 5 2" xfId="35954" xr:uid="{00000000-0005-0000-0000-0000708C0000}"/>
    <cellStyle name="Normal 5 17 2 4 5 3" xfId="35955" xr:uid="{00000000-0005-0000-0000-0000718C0000}"/>
    <cellStyle name="Normal 5 17 2 4 5 4" xfId="35956" xr:uid="{00000000-0005-0000-0000-0000728C0000}"/>
    <cellStyle name="Normal 5 17 2 4 5 5" xfId="35957" xr:uid="{00000000-0005-0000-0000-0000738C0000}"/>
    <cellStyle name="Normal 5 17 2 4 5 6" xfId="35958" xr:uid="{00000000-0005-0000-0000-0000748C0000}"/>
    <cellStyle name="Normal 5 17 2 4 5 7" xfId="35959" xr:uid="{00000000-0005-0000-0000-0000758C0000}"/>
    <cellStyle name="Normal 5 17 2 4 5 8" xfId="35960" xr:uid="{00000000-0005-0000-0000-0000768C0000}"/>
    <cellStyle name="Normal 5 17 2 4 5 9" xfId="35961" xr:uid="{00000000-0005-0000-0000-0000778C0000}"/>
    <cellStyle name="Normal 5 17 2 4 6" xfId="35962" xr:uid="{00000000-0005-0000-0000-0000788C0000}"/>
    <cellStyle name="Normal 5 17 2 4 7" xfId="35963" xr:uid="{00000000-0005-0000-0000-0000798C0000}"/>
    <cellStyle name="Normal 5 17 2 4 8" xfId="35964" xr:uid="{00000000-0005-0000-0000-00007A8C0000}"/>
    <cellStyle name="Normal 5 17 2 4 9" xfId="35965" xr:uid="{00000000-0005-0000-0000-00007B8C0000}"/>
    <cellStyle name="Normal 5 17 2 40" xfId="35966" xr:uid="{00000000-0005-0000-0000-00007C8C0000}"/>
    <cellStyle name="Normal 5 17 2 41" xfId="35967" xr:uid="{00000000-0005-0000-0000-00007D8C0000}"/>
    <cellStyle name="Normal 5 17 2 42" xfId="35968" xr:uid="{00000000-0005-0000-0000-00007E8C0000}"/>
    <cellStyle name="Normal 5 17 2 43" xfId="35969" xr:uid="{00000000-0005-0000-0000-00007F8C0000}"/>
    <cellStyle name="Normal 5 17 2 44" xfId="35970" xr:uid="{00000000-0005-0000-0000-0000808C0000}"/>
    <cellStyle name="Normal 5 17 2 45" xfId="35971" xr:uid="{00000000-0005-0000-0000-0000818C0000}"/>
    <cellStyle name="Normal 5 17 2 46" xfId="35972" xr:uid="{00000000-0005-0000-0000-0000828C0000}"/>
    <cellStyle name="Normal 5 17 2 47" xfId="35973" xr:uid="{00000000-0005-0000-0000-0000838C0000}"/>
    <cellStyle name="Normal 5 17 2 48" xfId="35974" xr:uid="{00000000-0005-0000-0000-0000848C0000}"/>
    <cellStyle name="Normal 5 17 2 5" xfId="35975" xr:uid="{00000000-0005-0000-0000-0000858C0000}"/>
    <cellStyle name="Normal 5 17 2 5 10" xfId="35976" xr:uid="{00000000-0005-0000-0000-0000868C0000}"/>
    <cellStyle name="Normal 5 17 2 5 11" xfId="35977" xr:uid="{00000000-0005-0000-0000-0000878C0000}"/>
    <cellStyle name="Normal 5 17 2 5 12" xfId="35978" xr:uid="{00000000-0005-0000-0000-0000888C0000}"/>
    <cellStyle name="Normal 5 17 2 5 13" xfId="35979" xr:uid="{00000000-0005-0000-0000-0000898C0000}"/>
    <cellStyle name="Normal 5 17 2 5 14" xfId="35980" xr:uid="{00000000-0005-0000-0000-00008A8C0000}"/>
    <cellStyle name="Normal 5 17 2 5 2" xfId="35981" xr:uid="{00000000-0005-0000-0000-00008B8C0000}"/>
    <cellStyle name="Normal 5 17 2 5 2 10" xfId="35982" xr:uid="{00000000-0005-0000-0000-00008C8C0000}"/>
    <cellStyle name="Normal 5 17 2 5 2 2" xfId="35983" xr:uid="{00000000-0005-0000-0000-00008D8C0000}"/>
    <cellStyle name="Normal 5 17 2 5 2 3" xfId="35984" xr:uid="{00000000-0005-0000-0000-00008E8C0000}"/>
    <cellStyle name="Normal 5 17 2 5 2 4" xfId="35985" xr:uid="{00000000-0005-0000-0000-00008F8C0000}"/>
    <cellStyle name="Normal 5 17 2 5 2 5" xfId="35986" xr:uid="{00000000-0005-0000-0000-0000908C0000}"/>
    <cellStyle name="Normal 5 17 2 5 2 6" xfId="35987" xr:uid="{00000000-0005-0000-0000-0000918C0000}"/>
    <cellStyle name="Normal 5 17 2 5 2 7" xfId="35988" xr:uid="{00000000-0005-0000-0000-0000928C0000}"/>
    <cellStyle name="Normal 5 17 2 5 2 8" xfId="35989" xr:uid="{00000000-0005-0000-0000-0000938C0000}"/>
    <cellStyle name="Normal 5 17 2 5 2 9" xfId="35990" xr:uid="{00000000-0005-0000-0000-0000948C0000}"/>
    <cellStyle name="Normal 5 17 2 5 3" xfId="35991" xr:uid="{00000000-0005-0000-0000-0000958C0000}"/>
    <cellStyle name="Normal 5 17 2 5 3 10" xfId="35992" xr:uid="{00000000-0005-0000-0000-0000968C0000}"/>
    <cellStyle name="Normal 5 17 2 5 3 2" xfId="35993" xr:uid="{00000000-0005-0000-0000-0000978C0000}"/>
    <cellStyle name="Normal 5 17 2 5 3 3" xfId="35994" xr:uid="{00000000-0005-0000-0000-0000988C0000}"/>
    <cellStyle name="Normal 5 17 2 5 3 4" xfId="35995" xr:uid="{00000000-0005-0000-0000-0000998C0000}"/>
    <cellStyle name="Normal 5 17 2 5 3 5" xfId="35996" xr:uid="{00000000-0005-0000-0000-00009A8C0000}"/>
    <cellStyle name="Normal 5 17 2 5 3 6" xfId="35997" xr:uid="{00000000-0005-0000-0000-00009B8C0000}"/>
    <cellStyle name="Normal 5 17 2 5 3 7" xfId="35998" xr:uid="{00000000-0005-0000-0000-00009C8C0000}"/>
    <cellStyle name="Normal 5 17 2 5 3 8" xfId="35999" xr:uid="{00000000-0005-0000-0000-00009D8C0000}"/>
    <cellStyle name="Normal 5 17 2 5 3 9" xfId="36000" xr:uid="{00000000-0005-0000-0000-00009E8C0000}"/>
    <cellStyle name="Normal 5 17 2 5 4" xfId="36001" xr:uid="{00000000-0005-0000-0000-00009F8C0000}"/>
    <cellStyle name="Normal 5 17 2 5 4 10" xfId="36002" xr:uid="{00000000-0005-0000-0000-0000A08C0000}"/>
    <cellStyle name="Normal 5 17 2 5 4 2" xfId="36003" xr:uid="{00000000-0005-0000-0000-0000A18C0000}"/>
    <cellStyle name="Normal 5 17 2 5 4 3" xfId="36004" xr:uid="{00000000-0005-0000-0000-0000A28C0000}"/>
    <cellStyle name="Normal 5 17 2 5 4 4" xfId="36005" xr:uid="{00000000-0005-0000-0000-0000A38C0000}"/>
    <cellStyle name="Normal 5 17 2 5 4 5" xfId="36006" xr:uid="{00000000-0005-0000-0000-0000A48C0000}"/>
    <cellStyle name="Normal 5 17 2 5 4 6" xfId="36007" xr:uid="{00000000-0005-0000-0000-0000A58C0000}"/>
    <cellStyle name="Normal 5 17 2 5 4 7" xfId="36008" xr:uid="{00000000-0005-0000-0000-0000A68C0000}"/>
    <cellStyle name="Normal 5 17 2 5 4 8" xfId="36009" xr:uid="{00000000-0005-0000-0000-0000A78C0000}"/>
    <cellStyle name="Normal 5 17 2 5 4 9" xfId="36010" xr:uid="{00000000-0005-0000-0000-0000A88C0000}"/>
    <cellStyle name="Normal 5 17 2 5 5" xfId="36011" xr:uid="{00000000-0005-0000-0000-0000A98C0000}"/>
    <cellStyle name="Normal 5 17 2 5 5 10" xfId="36012" xr:uid="{00000000-0005-0000-0000-0000AA8C0000}"/>
    <cellStyle name="Normal 5 17 2 5 5 2" xfId="36013" xr:uid="{00000000-0005-0000-0000-0000AB8C0000}"/>
    <cellStyle name="Normal 5 17 2 5 5 3" xfId="36014" xr:uid="{00000000-0005-0000-0000-0000AC8C0000}"/>
    <cellStyle name="Normal 5 17 2 5 5 4" xfId="36015" xr:uid="{00000000-0005-0000-0000-0000AD8C0000}"/>
    <cellStyle name="Normal 5 17 2 5 5 5" xfId="36016" xr:uid="{00000000-0005-0000-0000-0000AE8C0000}"/>
    <cellStyle name="Normal 5 17 2 5 5 6" xfId="36017" xr:uid="{00000000-0005-0000-0000-0000AF8C0000}"/>
    <cellStyle name="Normal 5 17 2 5 5 7" xfId="36018" xr:uid="{00000000-0005-0000-0000-0000B08C0000}"/>
    <cellStyle name="Normal 5 17 2 5 5 8" xfId="36019" xr:uid="{00000000-0005-0000-0000-0000B18C0000}"/>
    <cellStyle name="Normal 5 17 2 5 5 9" xfId="36020" xr:uid="{00000000-0005-0000-0000-0000B28C0000}"/>
    <cellStyle name="Normal 5 17 2 5 6" xfId="36021" xr:uid="{00000000-0005-0000-0000-0000B38C0000}"/>
    <cellStyle name="Normal 5 17 2 5 7" xfId="36022" xr:uid="{00000000-0005-0000-0000-0000B48C0000}"/>
    <cellStyle name="Normal 5 17 2 5 8" xfId="36023" xr:uid="{00000000-0005-0000-0000-0000B58C0000}"/>
    <cellStyle name="Normal 5 17 2 5 9" xfId="36024" xr:uid="{00000000-0005-0000-0000-0000B68C0000}"/>
    <cellStyle name="Normal 5 17 2 6" xfId="36025" xr:uid="{00000000-0005-0000-0000-0000B78C0000}"/>
    <cellStyle name="Normal 5 17 2 6 10" xfId="36026" xr:uid="{00000000-0005-0000-0000-0000B88C0000}"/>
    <cellStyle name="Normal 5 17 2 6 11" xfId="36027" xr:uid="{00000000-0005-0000-0000-0000B98C0000}"/>
    <cellStyle name="Normal 5 17 2 6 12" xfId="36028" xr:uid="{00000000-0005-0000-0000-0000BA8C0000}"/>
    <cellStyle name="Normal 5 17 2 6 13" xfId="36029" xr:uid="{00000000-0005-0000-0000-0000BB8C0000}"/>
    <cellStyle name="Normal 5 17 2 6 14" xfId="36030" xr:uid="{00000000-0005-0000-0000-0000BC8C0000}"/>
    <cellStyle name="Normal 5 17 2 6 2" xfId="36031" xr:uid="{00000000-0005-0000-0000-0000BD8C0000}"/>
    <cellStyle name="Normal 5 17 2 6 2 10" xfId="36032" xr:uid="{00000000-0005-0000-0000-0000BE8C0000}"/>
    <cellStyle name="Normal 5 17 2 6 2 2" xfId="36033" xr:uid="{00000000-0005-0000-0000-0000BF8C0000}"/>
    <cellStyle name="Normal 5 17 2 6 2 3" xfId="36034" xr:uid="{00000000-0005-0000-0000-0000C08C0000}"/>
    <cellStyle name="Normal 5 17 2 6 2 4" xfId="36035" xr:uid="{00000000-0005-0000-0000-0000C18C0000}"/>
    <cellStyle name="Normal 5 17 2 6 2 5" xfId="36036" xr:uid="{00000000-0005-0000-0000-0000C28C0000}"/>
    <cellStyle name="Normal 5 17 2 6 2 6" xfId="36037" xr:uid="{00000000-0005-0000-0000-0000C38C0000}"/>
    <cellStyle name="Normal 5 17 2 6 2 7" xfId="36038" xr:uid="{00000000-0005-0000-0000-0000C48C0000}"/>
    <cellStyle name="Normal 5 17 2 6 2 8" xfId="36039" xr:uid="{00000000-0005-0000-0000-0000C58C0000}"/>
    <cellStyle name="Normal 5 17 2 6 2 9" xfId="36040" xr:uid="{00000000-0005-0000-0000-0000C68C0000}"/>
    <cellStyle name="Normal 5 17 2 6 3" xfId="36041" xr:uid="{00000000-0005-0000-0000-0000C78C0000}"/>
    <cellStyle name="Normal 5 17 2 6 3 10" xfId="36042" xr:uid="{00000000-0005-0000-0000-0000C88C0000}"/>
    <cellStyle name="Normal 5 17 2 6 3 2" xfId="36043" xr:uid="{00000000-0005-0000-0000-0000C98C0000}"/>
    <cellStyle name="Normal 5 17 2 6 3 3" xfId="36044" xr:uid="{00000000-0005-0000-0000-0000CA8C0000}"/>
    <cellStyle name="Normal 5 17 2 6 3 4" xfId="36045" xr:uid="{00000000-0005-0000-0000-0000CB8C0000}"/>
    <cellStyle name="Normal 5 17 2 6 3 5" xfId="36046" xr:uid="{00000000-0005-0000-0000-0000CC8C0000}"/>
    <cellStyle name="Normal 5 17 2 6 3 6" xfId="36047" xr:uid="{00000000-0005-0000-0000-0000CD8C0000}"/>
    <cellStyle name="Normal 5 17 2 6 3 7" xfId="36048" xr:uid="{00000000-0005-0000-0000-0000CE8C0000}"/>
    <cellStyle name="Normal 5 17 2 6 3 8" xfId="36049" xr:uid="{00000000-0005-0000-0000-0000CF8C0000}"/>
    <cellStyle name="Normal 5 17 2 6 3 9" xfId="36050" xr:uid="{00000000-0005-0000-0000-0000D08C0000}"/>
    <cellStyle name="Normal 5 17 2 6 4" xfId="36051" xr:uid="{00000000-0005-0000-0000-0000D18C0000}"/>
    <cellStyle name="Normal 5 17 2 6 4 10" xfId="36052" xr:uid="{00000000-0005-0000-0000-0000D28C0000}"/>
    <cellStyle name="Normal 5 17 2 6 4 2" xfId="36053" xr:uid="{00000000-0005-0000-0000-0000D38C0000}"/>
    <cellStyle name="Normal 5 17 2 6 4 3" xfId="36054" xr:uid="{00000000-0005-0000-0000-0000D48C0000}"/>
    <cellStyle name="Normal 5 17 2 6 4 4" xfId="36055" xr:uid="{00000000-0005-0000-0000-0000D58C0000}"/>
    <cellStyle name="Normal 5 17 2 6 4 5" xfId="36056" xr:uid="{00000000-0005-0000-0000-0000D68C0000}"/>
    <cellStyle name="Normal 5 17 2 6 4 6" xfId="36057" xr:uid="{00000000-0005-0000-0000-0000D78C0000}"/>
    <cellStyle name="Normal 5 17 2 6 4 7" xfId="36058" xr:uid="{00000000-0005-0000-0000-0000D88C0000}"/>
    <cellStyle name="Normal 5 17 2 6 4 8" xfId="36059" xr:uid="{00000000-0005-0000-0000-0000D98C0000}"/>
    <cellStyle name="Normal 5 17 2 6 4 9" xfId="36060" xr:uid="{00000000-0005-0000-0000-0000DA8C0000}"/>
    <cellStyle name="Normal 5 17 2 6 5" xfId="36061" xr:uid="{00000000-0005-0000-0000-0000DB8C0000}"/>
    <cellStyle name="Normal 5 17 2 6 5 10" xfId="36062" xr:uid="{00000000-0005-0000-0000-0000DC8C0000}"/>
    <cellStyle name="Normal 5 17 2 6 5 2" xfId="36063" xr:uid="{00000000-0005-0000-0000-0000DD8C0000}"/>
    <cellStyle name="Normal 5 17 2 6 5 3" xfId="36064" xr:uid="{00000000-0005-0000-0000-0000DE8C0000}"/>
    <cellStyle name="Normal 5 17 2 6 5 4" xfId="36065" xr:uid="{00000000-0005-0000-0000-0000DF8C0000}"/>
    <cellStyle name="Normal 5 17 2 6 5 5" xfId="36066" xr:uid="{00000000-0005-0000-0000-0000E08C0000}"/>
    <cellStyle name="Normal 5 17 2 6 5 6" xfId="36067" xr:uid="{00000000-0005-0000-0000-0000E18C0000}"/>
    <cellStyle name="Normal 5 17 2 6 5 7" xfId="36068" xr:uid="{00000000-0005-0000-0000-0000E28C0000}"/>
    <cellStyle name="Normal 5 17 2 6 5 8" xfId="36069" xr:uid="{00000000-0005-0000-0000-0000E38C0000}"/>
    <cellStyle name="Normal 5 17 2 6 5 9" xfId="36070" xr:uid="{00000000-0005-0000-0000-0000E48C0000}"/>
    <cellStyle name="Normal 5 17 2 6 6" xfId="36071" xr:uid="{00000000-0005-0000-0000-0000E58C0000}"/>
    <cellStyle name="Normal 5 17 2 6 7" xfId="36072" xr:uid="{00000000-0005-0000-0000-0000E68C0000}"/>
    <cellStyle name="Normal 5 17 2 6 8" xfId="36073" xr:uid="{00000000-0005-0000-0000-0000E78C0000}"/>
    <cellStyle name="Normal 5 17 2 6 9" xfId="36074" xr:uid="{00000000-0005-0000-0000-0000E88C0000}"/>
    <cellStyle name="Normal 5 17 2 7" xfId="36075" xr:uid="{00000000-0005-0000-0000-0000E98C0000}"/>
    <cellStyle name="Normal 5 17 2 7 10" xfId="36076" xr:uid="{00000000-0005-0000-0000-0000EA8C0000}"/>
    <cellStyle name="Normal 5 17 2 7 11" xfId="36077" xr:uid="{00000000-0005-0000-0000-0000EB8C0000}"/>
    <cellStyle name="Normal 5 17 2 7 12" xfId="36078" xr:uid="{00000000-0005-0000-0000-0000EC8C0000}"/>
    <cellStyle name="Normal 5 17 2 7 13" xfId="36079" xr:uid="{00000000-0005-0000-0000-0000ED8C0000}"/>
    <cellStyle name="Normal 5 17 2 7 14" xfId="36080" xr:uid="{00000000-0005-0000-0000-0000EE8C0000}"/>
    <cellStyle name="Normal 5 17 2 7 2" xfId="36081" xr:uid="{00000000-0005-0000-0000-0000EF8C0000}"/>
    <cellStyle name="Normal 5 17 2 7 2 10" xfId="36082" xr:uid="{00000000-0005-0000-0000-0000F08C0000}"/>
    <cellStyle name="Normal 5 17 2 7 2 2" xfId="36083" xr:uid="{00000000-0005-0000-0000-0000F18C0000}"/>
    <cellStyle name="Normal 5 17 2 7 2 3" xfId="36084" xr:uid="{00000000-0005-0000-0000-0000F28C0000}"/>
    <cellStyle name="Normal 5 17 2 7 2 4" xfId="36085" xr:uid="{00000000-0005-0000-0000-0000F38C0000}"/>
    <cellStyle name="Normal 5 17 2 7 2 5" xfId="36086" xr:uid="{00000000-0005-0000-0000-0000F48C0000}"/>
    <cellStyle name="Normal 5 17 2 7 2 6" xfId="36087" xr:uid="{00000000-0005-0000-0000-0000F58C0000}"/>
    <cellStyle name="Normal 5 17 2 7 2 7" xfId="36088" xr:uid="{00000000-0005-0000-0000-0000F68C0000}"/>
    <cellStyle name="Normal 5 17 2 7 2 8" xfId="36089" xr:uid="{00000000-0005-0000-0000-0000F78C0000}"/>
    <cellStyle name="Normal 5 17 2 7 2 9" xfId="36090" xr:uid="{00000000-0005-0000-0000-0000F88C0000}"/>
    <cellStyle name="Normal 5 17 2 7 3" xfId="36091" xr:uid="{00000000-0005-0000-0000-0000F98C0000}"/>
    <cellStyle name="Normal 5 17 2 7 3 10" xfId="36092" xr:uid="{00000000-0005-0000-0000-0000FA8C0000}"/>
    <cellStyle name="Normal 5 17 2 7 3 2" xfId="36093" xr:uid="{00000000-0005-0000-0000-0000FB8C0000}"/>
    <cellStyle name="Normal 5 17 2 7 3 3" xfId="36094" xr:uid="{00000000-0005-0000-0000-0000FC8C0000}"/>
    <cellStyle name="Normal 5 17 2 7 3 4" xfId="36095" xr:uid="{00000000-0005-0000-0000-0000FD8C0000}"/>
    <cellStyle name="Normal 5 17 2 7 3 5" xfId="36096" xr:uid="{00000000-0005-0000-0000-0000FE8C0000}"/>
    <cellStyle name="Normal 5 17 2 7 3 6" xfId="36097" xr:uid="{00000000-0005-0000-0000-0000FF8C0000}"/>
    <cellStyle name="Normal 5 17 2 7 3 7" xfId="36098" xr:uid="{00000000-0005-0000-0000-0000008D0000}"/>
    <cellStyle name="Normal 5 17 2 7 3 8" xfId="36099" xr:uid="{00000000-0005-0000-0000-0000018D0000}"/>
    <cellStyle name="Normal 5 17 2 7 3 9" xfId="36100" xr:uid="{00000000-0005-0000-0000-0000028D0000}"/>
    <cellStyle name="Normal 5 17 2 7 4" xfId="36101" xr:uid="{00000000-0005-0000-0000-0000038D0000}"/>
    <cellStyle name="Normal 5 17 2 7 4 10" xfId="36102" xr:uid="{00000000-0005-0000-0000-0000048D0000}"/>
    <cellStyle name="Normal 5 17 2 7 4 2" xfId="36103" xr:uid="{00000000-0005-0000-0000-0000058D0000}"/>
    <cellStyle name="Normal 5 17 2 7 4 3" xfId="36104" xr:uid="{00000000-0005-0000-0000-0000068D0000}"/>
    <cellStyle name="Normal 5 17 2 7 4 4" xfId="36105" xr:uid="{00000000-0005-0000-0000-0000078D0000}"/>
    <cellStyle name="Normal 5 17 2 7 4 5" xfId="36106" xr:uid="{00000000-0005-0000-0000-0000088D0000}"/>
    <cellStyle name="Normal 5 17 2 7 4 6" xfId="36107" xr:uid="{00000000-0005-0000-0000-0000098D0000}"/>
    <cellStyle name="Normal 5 17 2 7 4 7" xfId="36108" xr:uid="{00000000-0005-0000-0000-00000A8D0000}"/>
    <cellStyle name="Normal 5 17 2 7 4 8" xfId="36109" xr:uid="{00000000-0005-0000-0000-00000B8D0000}"/>
    <cellStyle name="Normal 5 17 2 7 4 9" xfId="36110" xr:uid="{00000000-0005-0000-0000-00000C8D0000}"/>
    <cellStyle name="Normal 5 17 2 7 5" xfId="36111" xr:uid="{00000000-0005-0000-0000-00000D8D0000}"/>
    <cellStyle name="Normal 5 17 2 7 5 10" xfId="36112" xr:uid="{00000000-0005-0000-0000-00000E8D0000}"/>
    <cellStyle name="Normal 5 17 2 7 5 2" xfId="36113" xr:uid="{00000000-0005-0000-0000-00000F8D0000}"/>
    <cellStyle name="Normal 5 17 2 7 5 3" xfId="36114" xr:uid="{00000000-0005-0000-0000-0000108D0000}"/>
    <cellStyle name="Normal 5 17 2 7 5 4" xfId="36115" xr:uid="{00000000-0005-0000-0000-0000118D0000}"/>
    <cellStyle name="Normal 5 17 2 7 5 5" xfId="36116" xr:uid="{00000000-0005-0000-0000-0000128D0000}"/>
    <cellStyle name="Normal 5 17 2 7 5 6" xfId="36117" xr:uid="{00000000-0005-0000-0000-0000138D0000}"/>
    <cellStyle name="Normal 5 17 2 7 5 7" xfId="36118" xr:uid="{00000000-0005-0000-0000-0000148D0000}"/>
    <cellStyle name="Normal 5 17 2 7 5 8" xfId="36119" xr:uid="{00000000-0005-0000-0000-0000158D0000}"/>
    <cellStyle name="Normal 5 17 2 7 5 9" xfId="36120" xr:uid="{00000000-0005-0000-0000-0000168D0000}"/>
    <cellStyle name="Normal 5 17 2 7 6" xfId="36121" xr:uid="{00000000-0005-0000-0000-0000178D0000}"/>
    <cellStyle name="Normal 5 17 2 7 7" xfId="36122" xr:uid="{00000000-0005-0000-0000-0000188D0000}"/>
    <cellStyle name="Normal 5 17 2 7 8" xfId="36123" xr:uid="{00000000-0005-0000-0000-0000198D0000}"/>
    <cellStyle name="Normal 5 17 2 7 9" xfId="36124" xr:uid="{00000000-0005-0000-0000-00001A8D0000}"/>
    <cellStyle name="Normal 5 17 2 8" xfId="36125" xr:uid="{00000000-0005-0000-0000-00001B8D0000}"/>
    <cellStyle name="Normal 5 17 2 8 10" xfId="36126" xr:uid="{00000000-0005-0000-0000-00001C8D0000}"/>
    <cellStyle name="Normal 5 17 2 8 11" xfId="36127" xr:uid="{00000000-0005-0000-0000-00001D8D0000}"/>
    <cellStyle name="Normal 5 17 2 8 12" xfId="36128" xr:uid="{00000000-0005-0000-0000-00001E8D0000}"/>
    <cellStyle name="Normal 5 17 2 8 13" xfId="36129" xr:uid="{00000000-0005-0000-0000-00001F8D0000}"/>
    <cellStyle name="Normal 5 17 2 8 14" xfId="36130" xr:uid="{00000000-0005-0000-0000-0000208D0000}"/>
    <cellStyle name="Normal 5 17 2 8 2" xfId="36131" xr:uid="{00000000-0005-0000-0000-0000218D0000}"/>
    <cellStyle name="Normal 5 17 2 8 2 10" xfId="36132" xr:uid="{00000000-0005-0000-0000-0000228D0000}"/>
    <cellStyle name="Normal 5 17 2 8 2 2" xfId="36133" xr:uid="{00000000-0005-0000-0000-0000238D0000}"/>
    <cellStyle name="Normal 5 17 2 8 2 3" xfId="36134" xr:uid="{00000000-0005-0000-0000-0000248D0000}"/>
    <cellStyle name="Normal 5 17 2 8 2 4" xfId="36135" xr:uid="{00000000-0005-0000-0000-0000258D0000}"/>
    <cellStyle name="Normal 5 17 2 8 2 5" xfId="36136" xr:uid="{00000000-0005-0000-0000-0000268D0000}"/>
    <cellStyle name="Normal 5 17 2 8 2 6" xfId="36137" xr:uid="{00000000-0005-0000-0000-0000278D0000}"/>
    <cellStyle name="Normal 5 17 2 8 2 7" xfId="36138" xr:uid="{00000000-0005-0000-0000-0000288D0000}"/>
    <cellStyle name="Normal 5 17 2 8 2 8" xfId="36139" xr:uid="{00000000-0005-0000-0000-0000298D0000}"/>
    <cellStyle name="Normal 5 17 2 8 2 9" xfId="36140" xr:uid="{00000000-0005-0000-0000-00002A8D0000}"/>
    <cellStyle name="Normal 5 17 2 8 3" xfId="36141" xr:uid="{00000000-0005-0000-0000-00002B8D0000}"/>
    <cellStyle name="Normal 5 17 2 8 3 10" xfId="36142" xr:uid="{00000000-0005-0000-0000-00002C8D0000}"/>
    <cellStyle name="Normal 5 17 2 8 3 2" xfId="36143" xr:uid="{00000000-0005-0000-0000-00002D8D0000}"/>
    <cellStyle name="Normal 5 17 2 8 3 3" xfId="36144" xr:uid="{00000000-0005-0000-0000-00002E8D0000}"/>
    <cellStyle name="Normal 5 17 2 8 3 4" xfId="36145" xr:uid="{00000000-0005-0000-0000-00002F8D0000}"/>
    <cellStyle name="Normal 5 17 2 8 3 5" xfId="36146" xr:uid="{00000000-0005-0000-0000-0000308D0000}"/>
    <cellStyle name="Normal 5 17 2 8 3 6" xfId="36147" xr:uid="{00000000-0005-0000-0000-0000318D0000}"/>
    <cellStyle name="Normal 5 17 2 8 3 7" xfId="36148" xr:uid="{00000000-0005-0000-0000-0000328D0000}"/>
    <cellStyle name="Normal 5 17 2 8 3 8" xfId="36149" xr:uid="{00000000-0005-0000-0000-0000338D0000}"/>
    <cellStyle name="Normal 5 17 2 8 3 9" xfId="36150" xr:uid="{00000000-0005-0000-0000-0000348D0000}"/>
    <cellStyle name="Normal 5 17 2 8 4" xfId="36151" xr:uid="{00000000-0005-0000-0000-0000358D0000}"/>
    <cellStyle name="Normal 5 17 2 8 4 10" xfId="36152" xr:uid="{00000000-0005-0000-0000-0000368D0000}"/>
    <cellStyle name="Normal 5 17 2 8 4 2" xfId="36153" xr:uid="{00000000-0005-0000-0000-0000378D0000}"/>
    <cellStyle name="Normal 5 17 2 8 4 3" xfId="36154" xr:uid="{00000000-0005-0000-0000-0000388D0000}"/>
    <cellStyle name="Normal 5 17 2 8 4 4" xfId="36155" xr:uid="{00000000-0005-0000-0000-0000398D0000}"/>
    <cellStyle name="Normal 5 17 2 8 4 5" xfId="36156" xr:uid="{00000000-0005-0000-0000-00003A8D0000}"/>
    <cellStyle name="Normal 5 17 2 8 4 6" xfId="36157" xr:uid="{00000000-0005-0000-0000-00003B8D0000}"/>
    <cellStyle name="Normal 5 17 2 8 4 7" xfId="36158" xr:uid="{00000000-0005-0000-0000-00003C8D0000}"/>
    <cellStyle name="Normal 5 17 2 8 4 8" xfId="36159" xr:uid="{00000000-0005-0000-0000-00003D8D0000}"/>
    <cellStyle name="Normal 5 17 2 8 4 9" xfId="36160" xr:uid="{00000000-0005-0000-0000-00003E8D0000}"/>
    <cellStyle name="Normal 5 17 2 8 5" xfId="36161" xr:uid="{00000000-0005-0000-0000-00003F8D0000}"/>
    <cellStyle name="Normal 5 17 2 8 5 10" xfId="36162" xr:uid="{00000000-0005-0000-0000-0000408D0000}"/>
    <cellStyle name="Normal 5 17 2 8 5 2" xfId="36163" xr:uid="{00000000-0005-0000-0000-0000418D0000}"/>
    <cellStyle name="Normal 5 17 2 8 5 3" xfId="36164" xr:uid="{00000000-0005-0000-0000-0000428D0000}"/>
    <cellStyle name="Normal 5 17 2 8 5 4" xfId="36165" xr:uid="{00000000-0005-0000-0000-0000438D0000}"/>
    <cellStyle name="Normal 5 17 2 8 5 5" xfId="36166" xr:uid="{00000000-0005-0000-0000-0000448D0000}"/>
    <cellStyle name="Normal 5 17 2 8 5 6" xfId="36167" xr:uid="{00000000-0005-0000-0000-0000458D0000}"/>
    <cellStyle name="Normal 5 17 2 8 5 7" xfId="36168" xr:uid="{00000000-0005-0000-0000-0000468D0000}"/>
    <cellStyle name="Normal 5 17 2 8 5 8" xfId="36169" xr:uid="{00000000-0005-0000-0000-0000478D0000}"/>
    <cellStyle name="Normal 5 17 2 8 5 9" xfId="36170" xr:uid="{00000000-0005-0000-0000-0000488D0000}"/>
    <cellStyle name="Normal 5 17 2 8 6" xfId="36171" xr:uid="{00000000-0005-0000-0000-0000498D0000}"/>
    <cellStyle name="Normal 5 17 2 8 7" xfId="36172" xr:uid="{00000000-0005-0000-0000-00004A8D0000}"/>
    <cellStyle name="Normal 5 17 2 8 8" xfId="36173" xr:uid="{00000000-0005-0000-0000-00004B8D0000}"/>
    <cellStyle name="Normal 5 17 2 8 9" xfId="36174" xr:uid="{00000000-0005-0000-0000-00004C8D0000}"/>
    <cellStyle name="Normal 5 17 2 9" xfId="36175" xr:uid="{00000000-0005-0000-0000-00004D8D0000}"/>
    <cellStyle name="Normal 5 17 2 9 10" xfId="36176" xr:uid="{00000000-0005-0000-0000-00004E8D0000}"/>
    <cellStyle name="Normal 5 17 2 9 11" xfId="36177" xr:uid="{00000000-0005-0000-0000-00004F8D0000}"/>
    <cellStyle name="Normal 5 17 2 9 12" xfId="36178" xr:uid="{00000000-0005-0000-0000-0000508D0000}"/>
    <cellStyle name="Normal 5 17 2 9 13" xfId="36179" xr:uid="{00000000-0005-0000-0000-0000518D0000}"/>
    <cellStyle name="Normal 5 17 2 9 14" xfId="36180" xr:uid="{00000000-0005-0000-0000-0000528D0000}"/>
    <cellStyle name="Normal 5 17 2 9 2" xfId="36181" xr:uid="{00000000-0005-0000-0000-0000538D0000}"/>
    <cellStyle name="Normal 5 17 2 9 2 10" xfId="36182" xr:uid="{00000000-0005-0000-0000-0000548D0000}"/>
    <cellStyle name="Normal 5 17 2 9 2 2" xfId="36183" xr:uid="{00000000-0005-0000-0000-0000558D0000}"/>
    <cellStyle name="Normal 5 17 2 9 2 3" xfId="36184" xr:uid="{00000000-0005-0000-0000-0000568D0000}"/>
    <cellStyle name="Normal 5 17 2 9 2 4" xfId="36185" xr:uid="{00000000-0005-0000-0000-0000578D0000}"/>
    <cellStyle name="Normal 5 17 2 9 2 5" xfId="36186" xr:uid="{00000000-0005-0000-0000-0000588D0000}"/>
    <cellStyle name="Normal 5 17 2 9 2 6" xfId="36187" xr:uid="{00000000-0005-0000-0000-0000598D0000}"/>
    <cellStyle name="Normal 5 17 2 9 2 7" xfId="36188" xr:uid="{00000000-0005-0000-0000-00005A8D0000}"/>
    <cellStyle name="Normal 5 17 2 9 2 8" xfId="36189" xr:uid="{00000000-0005-0000-0000-00005B8D0000}"/>
    <cellStyle name="Normal 5 17 2 9 2 9" xfId="36190" xr:uid="{00000000-0005-0000-0000-00005C8D0000}"/>
    <cellStyle name="Normal 5 17 2 9 3" xfId="36191" xr:uid="{00000000-0005-0000-0000-00005D8D0000}"/>
    <cellStyle name="Normal 5 17 2 9 3 10" xfId="36192" xr:uid="{00000000-0005-0000-0000-00005E8D0000}"/>
    <cellStyle name="Normal 5 17 2 9 3 2" xfId="36193" xr:uid="{00000000-0005-0000-0000-00005F8D0000}"/>
    <cellStyle name="Normal 5 17 2 9 3 3" xfId="36194" xr:uid="{00000000-0005-0000-0000-0000608D0000}"/>
    <cellStyle name="Normal 5 17 2 9 3 4" xfId="36195" xr:uid="{00000000-0005-0000-0000-0000618D0000}"/>
    <cellStyle name="Normal 5 17 2 9 3 5" xfId="36196" xr:uid="{00000000-0005-0000-0000-0000628D0000}"/>
    <cellStyle name="Normal 5 17 2 9 3 6" xfId="36197" xr:uid="{00000000-0005-0000-0000-0000638D0000}"/>
    <cellStyle name="Normal 5 17 2 9 3 7" xfId="36198" xr:uid="{00000000-0005-0000-0000-0000648D0000}"/>
    <cellStyle name="Normal 5 17 2 9 3 8" xfId="36199" xr:uid="{00000000-0005-0000-0000-0000658D0000}"/>
    <cellStyle name="Normal 5 17 2 9 3 9" xfId="36200" xr:uid="{00000000-0005-0000-0000-0000668D0000}"/>
    <cellStyle name="Normal 5 17 2 9 4" xfId="36201" xr:uid="{00000000-0005-0000-0000-0000678D0000}"/>
    <cellStyle name="Normal 5 17 2 9 4 10" xfId="36202" xr:uid="{00000000-0005-0000-0000-0000688D0000}"/>
    <cellStyle name="Normal 5 17 2 9 4 2" xfId="36203" xr:uid="{00000000-0005-0000-0000-0000698D0000}"/>
    <cellStyle name="Normal 5 17 2 9 4 3" xfId="36204" xr:uid="{00000000-0005-0000-0000-00006A8D0000}"/>
    <cellStyle name="Normal 5 17 2 9 4 4" xfId="36205" xr:uid="{00000000-0005-0000-0000-00006B8D0000}"/>
    <cellStyle name="Normal 5 17 2 9 4 5" xfId="36206" xr:uid="{00000000-0005-0000-0000-00006C8D0000}"/>
    <cellStyle name="Normal 5 17 2 9 4 6" xfId="36207" xr:uid="{00000000-0005-0000-0000-00006D8D0000}"/>
    <cellStyle name="Normal 5 17 2 9 4 7" xfId="36208" xr:uid="{00000000-0005-0000-0000-00006E8D0000}"/>
    <cellStyle name="Normal 5 17 2 9 4 8" xfId="36209" xr:uid="{00000000-0005-0000-0000-00006F8D0000}"/>
    <cellStyle name="Normal 5 17 2 9 4 9" xfId="36210" xr:uid="{00000000-0005-0000-0000-0000708D0000}"/>
    <cellStyle name="Normal 5 17 2 9 5" xfId="36211" xr:uid="{00000000-0005-0000-0000-0000718D0000}"/>
    <cellStyle name="Normal 5 17 2 9 5 10" xfId="36212" xr:uid="{00000000-0005-0000-0000-0000728D0000}"/>
    <cellStyle name="Normal 5 17 2 9 5 2" xfId="36213" xr:uid="{00000000-0005-0000-0000-0000738D0000}"/>
    <cellStyle name="Normal 5 17 2 9 5 3" xfId="36214" xr:uid="{00000000-0005-0000-0000-0000748D0000}"/>
    <cellStyle name="Normal 5 17 2 9 5 4" xfId="36215" xr:uid="{00000000-0005-0000-0000-0000758D0000}"/>
    <cellStyle name="Normal 5 17 2 9 5 5" xfId="36216" xr:uid="{00000000-0005-0000-0000-0000768D0000}"/>
    <cellStyle name="Normal 5 17 2 9 5 6" xfId="36217" xr:uid="{00000000-0005-0000-0000-0000778D0000}"/>
    <cellStyle name="Normal 5 17 2 9 5 7" xfId="36218" xr:uid="{00000000-0005-0000-0000-0000788D0000}"/>
    <cellStyle name="Normal 5 17 2 9 5 8" xfId="36219" xr:uid="{00000000-0005-0000-0000-0000798D0000}"/>
    <cellStyle name="Normal 5 17 2 9 5 9" xfId="36220" xr:uid="{00000000-0005-0000-0000-00007A8D0000}"/>
    <cellStyle name="Normal 5 17 2 9 6" xfId="36221" xr:uid="{00000000-0005-0000-0000-00007B8D0000}"/>
    <cellStyle name="Normal 5 17 2 9 7" xfId="36222" xr:uid="{00000000-0005-0000-0000-00007C8D0000}"/>
    <cellStyle name="Normal 5 17 2 9 8" xfId="36223" xr:uid="{00000000-0005-0000-0000-00007D8D0000}"/>
    <cellStyle name="Normal 5 17 2 9 9" xfId="36224" xr:uid="{00000000-0005-0000-0000-00007E8D0000}"/>
    <cellStyle name="Normal 5 17 20" xfId="36225" xr:uid="{00000000-0005-0000-0000-00007F8D0000}"/>
    <cellStyle name="Normal 5 17 20 10" xfId="36226" xr:uid="{00000000-0005-0000-0000-0000808D0000}"/>
    <cellStyle name="Normal 5 17 20 11" xfId="36227" xr:uid="{00000000-0005-0000-0000-0000818D0000}"/>
    <cellStyle name="Normal 5 17 20 12" xfId="36228" xr:uid="{00000000-0005-0000-0000-0000828D0000}"/>
    <cellStyle name="Normal 5 17 20 13" xfId="36229" xr:uid="{00000000-0005-0000-0000-0000838D0000}"/>
    <cellStyle name="Normal 5 17 20 14" xfId="36230" xr:uid="{00000000-0005-0000-0000-0000848D0000}"/>
    <cellStyle name="Normal 5 17 20 2" xfId="36231" xr:uid="{00000000-0005-0000-0000-0000858D0000}"/>
    <cellStyle name="Normal 5 17 20 2 10" xfId="36232" xr:uid="{00000000-0005-0000-0000-0000868D0000}"/>
    <cellStyle name="Normal 5 17 20 2 2" xfId="36233" xr:uid="{00000000-0005-0000-0000-0000878D0000}"/>
    <cellStyle name="Normal 5 17 20 2 3" xfId="36234" xr:uid="{00000000-0005-0000-0000-0000888D0000}"/>
    <cellStyle name="Normal 5 17 20 2 4" xfId="36235" xr:uid="{00000000-0005-0000-0000-0000898D0000}"/>
    <cellStyle name="Normal 5 17 20 2 5" xfId="36236" xr:uid="{00000000-0005-0000-0000-00008A8D0000}"/>
    <cellStyle name="Normal 5 17 20 2 6" xfId="36237" xr:uid="{00000000-0005-0000-0000-00008B8D0000}"/>
    <cellStyle name="Normal 5 17 20 2 7" xfId="36238" xr:uid="{00000000-0005-0000-0000-00008C8D0000}"/>
    <cellStyle name="Normal 5 17 20 2 8" xfId="36239" xr:uid="{00000000-0005-0000-0000-00008D8D0000}"/>
    <cellStyle name="Normal 5 17 20 2 9" xfId="36240" xr:uid="{00000000-0005-0000-0000-00008E8D0000}"/>
    <cellStyle name="Normal 5 17 20 3" xfId="36241" xr:uid="{00000000-0005-0000-0000-00008F8D0000}"/>
    <cellStyle name="Normal 5 17 20 3 10" xfId="36242" xr:uid="{00000000-0005-0000-0000-0000908D0000}"/>
    <cellStyle name="Normal 5 17 20 3 2" xfId="36243" xr:uid="{00000000-0005-0000-0000-0000918D0000}"/>
    <cellStyle name="Normal 5 17 20 3 3" xfId="36244" xr:uid="{00000000-0005-0000-0000-0000928D0000}"/>
    <cellStyle name="Normal 5 17 20 3 4" xfId="36245" xr:uid="{00000000-0005-0000-0000-0000938D0000}"/>
    <cellStyle name="Normal 5 17 20 3 5" xfId="36246" xr:uid="{00000000-0005-0000-0000-0000948D0000}"/>
    <cellStyle name="Normal 5 17 20 3 6" xfId="36247" xr:uid="{00000000-0005-0000-0000-0000958D0000}"/>
    <cellStyle name="Normal 5 17 20 3 7" xfId="36248" xr:uid="{00000000-0005-0000-0000-0000968D0000}"/>
    <cellStyle name="Normal 5 17 20 3 8" xfId="36249" xr:uid="{00000000-0005-0000-0000-0000978D0000}"/>
    <cellStyle name="Normal 5 17 20 3 9" xfId="36250" xr:uid="{00000000-0005-0000-0000-0000988D0000}"/>
    <cellStyle name="Normal 5 17 20 4" xfId="36251" xr:uid="{00000000-0005-0000-0000-0000998D0000}"/>
    <cellStyle name="Normal 5 17 20 4 10" xfId="36252" xr:uid="{00000000-0005-0000-0000-00009A8D0000}"/>
    <cellStyle name="Normal 5 17 20 4 2" xfId="36253" xr:uid="{00000000-0005-0000-0000-00009B8D0000}"/>
    <cellStyle name="Normal 5 17 20 4 3" xfId="36254" xr:uid="{00000000-0005-0000-0000-00009C8D0000}"/>
    <cellStyle name="Normal 5 17 20 4 4" xfId="36255" xr:uid="{00000000-0005-0000-0000-00009D8D0000}"/>
    <cellStyle name="Normal 5 17 20 4 5" xfId="36256" xr:uid="{00000000-0005-0000-0000-00009E8D0000}"/>
    <cellStyle name="Normal 5 17 20 4 6" xfId="36257" xr:uid="{00000000-0005-0000-0000-00009F8D0000}"/>
    <cellStyle name="Normal 5 17 20 4 7" xfId="36258" xr:uid="{00000000-0005-0000-0000-0000A08D0000}"/>
    <cellStyle name="Normal 5 17 20 4 8" xfId="36259" xr:uid="{00000000-0005-0000-0000-0000A18D0000}"/>
    <cellStyle name="Normal 5 17 20 4 9" xfId="36260" xr:uid="{00000000-0005-0000-0000-0000A28D0000}"/>
    <cellStyle name="Normal 5 17 20 5" xfId="36261" xr:uid="{00000000-0005-0000-0000-0000A38D0000}"/>
    <cellStyle name="Normal 5 17 20 5 10" xfId="36262" xr:uid="{00000000-0005-0000-0000-0000A48D0000}"/>
    <cellStyle name="Normal 5 17 20 5 2" xfId="36263" xr:uid="{00000000-0005-0000-0000-0000A58D0000}"/>
    <cellStyle name="Normal 5 17 20 5 3" xfId="36264" xr:uid="{00000000-0005-0000-0000-0000A68D0000}"/>
    <cellStyle name="Normal 5 17 20 5 4" xfId="36265" xr:uid="{00000000-0005-0000-0000-0000A78D0000}"/>
    <cellStyle name="Normal 5 17 20 5 5" xfId="36266" xr:uid="{00000000-0005-0000-0000-0000A88D0000}"/>
    <cellStyle name="Normal 5 17 20 5 6" xfId="36267" xr:uid="{00000000-0005-0000-0000-0000A98D0000}"/>
    <cellStyle name="Normal 5 17 20 5 7" xfId="36268" xr:uid="{00000000-0005-0000-0000-0000AA8D0000}"/>
    <cellStyle name="Normal 5 17 20 5 8" xfId="36269" xr:uid="{00000000-0005-0000-0000-0000AB8D0000}"/>
    <cellStyle name="Normal 5 17 20 5 9" xfId="36270" xr:uid="{00000000-0005-0000-0000-0000AC8D0000}"/>
    <cellStyle name="Normal 5 17 20 6" xfId="36271" xr:uid="{00000000-0005-0000-0000-0000AD8D0000}"/>
    <cellStyle name="Normal 5 17 20 7" xfId="36272" xr:uid="{00000000-0005-0000-0000-0000AE8D0000}"/>
    <cellStyle name="Normal 5 17 20 8" xfId="36273" xr:uid="{00000000-0005-0000-0000-0000AF8D0000}"/>
    <cellStyle name="Normal 5 17 20 9" xfId="36274" xr:uid="{00000000-0005-0000-0000-0000B08D0000}"/>
    <cellStyle name="Normal 5 17 21" xfId="36275" xr:uid="{00000000-0005-0000-0000-0000B18D0000}"/>
    <cellStyle name="Normal 5 17 21 10" xfId="36276" xr:uid="{00000000-0005-0000-0000-0000B28D0000}"/>
    <cellStyle name="Normal 5 17 21 11" xfId="36277" xr:uid="{00000000-0005-0000-0000-0000B38D0000}"/>
    <cellStyle name="Normal 5 17 21 12" xfId="36278" xr:uid="{00000000-0005-0000-0000-0000B48D0000}"/>
    <cellStyle name="Normal 5 17 21 13" xfId="36279" xr:uid="{00000000-0005-0000-0000-0000B58D0000}"/>
    <cellStyle name="Normal 5 17 21 14" xfId="36280" xr:uid="{00000000-0005-0000-0000-0000B68D0000}"/>
    <cellStyle name="Normal 5 17 21 2" xfId="36281" xr:uid="{00000000-0005-0000-0000-0000B78D0000}"/>
    <cellStyle name="Normal 5 17 21 2 10" xfId="36282" xr:uid="{00000000-0005-0000-0000-0000B88D0000}"/>
    <cellStyle name="Normal 5 17 21 2 2" xfId="36283" xr:uid="{00000000-0005-0000-0000-0000B98D0000}"/>
    <cellStyle name="Normal 5 17 21 2 3" xfId="36284" xr:uid="{00000000-0005-0000-0000-0000BA8D0000}"/>
    <cellStyle name="Normal 5 17 21 2 4" xfId="36285" xr:uid="{00000000-0005-0000-0000-0000BB8D0000}"/>
    <cellStyle name="Normal 5 17 21 2 5" xfId="36286" xr:uid="{00000000-0005-0000-0000-0000BC8D0000}"/>
    <cellStyle name="Normal 5 17 21 2 6" xfId="36287" xr:uid="{00000000-0005-0000-0000-0000BD8D0000}"/>
    <cellStyle name="Normal 5 17 21 2 7" xfId="36288" xr:uid="{00000000-0005-0000-0000-0000BE8D0000}"/>
    <cellStyle name="Normal 5 17 21 2 8" xfId="36289" xr:uid="{00000000-0005-0000-0000-0000BF8D0000}"/>
    <cellStyle name="Normal 5 17 21 2 9" xfId="36290" xr:uid="{00000000-0005-0000-0000-0000C08D0000}"/>
    <cellStyle name="Normal 5 17 21 3" xfId="36291" xr:uid="{00000000-0005-0000-0000-0000C18D0000}"/>
    <cellStyle name="Normal 5 17 21 3 10" xfId="36292" xr:uid="{00000000-0005-0000-0000-0000C28D0000}"/>
    <cellStyle name="Normal 5 17 21 3 2" xfId="36293" xr:uid="{00000000-0005-0000-0000-0000C38D0000}"/>
    <cellStyle name="Normal 5 17 21 3 3" xfId="36294" xr:uid="{00000000-0005-0000-0000-0000C48D0000}"/>
    <cellStyle name="Normal 5 17 21 3 4" xfId="36295" xr:uid="{00000000-0005-0000-0000-0000C58D0000}"/>
    <cellStyle name="Normal 5 17 21 3 5" xfId="36296" xr:uid="{00000000-0005-0000-0000-0000C68D0000}"/>
    <cellStyle name="Normal 5 17 21 3 6" xfId="36297" xr:uid="{00000000-0005-0000-0000-0000C78D0000}"/>
    <cellStyle name="Normal 5 17 21 3 7" xfId="36298" xr:uid="{00000000-0005-0000-0000-0000C88D0000}"/>
    <cellStyle name="Normal 5 17 21 3 8" xfId="36299" xr:uid="{00000000-0005-0000-0000-0000C98D0000}"/>
    <cellStyle name="Normal 5 17 21 3 9" xfId="36300" xr:uid="{00000000-0005-0000-0000-0000CA8D0000}"/>
    <cellStyle name="Normal 5 17 21 4" xfId="36301" xr:uid="{00000000-0005-0000-0000-0000CB8D0000}"/>
    <cellStyle name="Normal 5 17 21 4 10" xfId="36302" xr:uid="{00000000-0005-0000-0000-0000CC8D0000}"/>
    <cellStyle name="Normal 5 17 21 4 2" xfId="36303" xr:uid="{00000000-0005-0000-0000-0000CD8D0000}"/>
    <cellStyle name="Normal 5 17 21 4 3" xfId="36304" xr:uid="{00000000-0005-0000-0000-0000CE8D0000}"/>
    <cellStyle name="Normal 5 17 21 4 4" xfId="36305" xr:uid="{00000000-0005-0000-0000-0000CF8D0000}"/>
    <cellStyle name="Normal 5 17 21 4 5" xfId="36306" xr:uid="{00000000-0005-0000-0000-0000D08D0000}"/>
    <cellStyle name="Normal 5 17 21 4 6" xfId="36307" xr:uid="{00000000-0005-0000-0000-0000D18D0000}"/>
    <cellStyle name="Normal 5 17 21 4 7" xfId="36308" xr:uid="{00000000-0005-0000-0000-0000D28D0000}"/>
    <cellStyle name="Normal 5 17 21 4 8" xfId="36309" xr:uid="{00000000-0005-0000-0000-0000D38D0000}"/>
    <cellStyle name="Normal 5 17 21 4 9" xfId="36310" xr:uid="{00000000-0005-0000-0000-0000D48D0000}"/>
    <cellStyle name="Normal 5 17 21 5" xfId="36311" xr:uid="{00000000-0005-0000-0000-0000D58D0000}"/>
    <cellStyle name="Normal 5 17 21 5 10" xfId="36312" xr:uid="{00000000-0005-0000-0000-0000D68D0000}"/>
    <cellStyle name="Normal 5 17 21 5 2" xfId="36313" xr:uid="{00000000-0005-0000-0000-0000D78D0000}"/>
    <cellStyle name="Normal 5 17 21 5 3" xfId="36314" xr:uid="{00000000-0005-0000-0000-0000D88D0000}"/>
    <cellStyle name="Normal 5 17 21 5 4" xfId="36315" xr:uid="{00000000-0005-0000-0000-0000D98D0000}"/>
    <cellStyle name="Normal 5 17 21 5 5" xfId="36316" xr:uid="{00000000-0005-0000-0000-0000DA8D0000}"/>
    <cellStyle name="Normal 5 17 21 5 6" xfId="36317" xr:uid="{00000000-0005-0000-0000-0000DB8D0000}"/>
    <cellStyle name="Normal 5 17 21 5 7" xfId="36318" xr:uid="{00000000-0005-0000-0000-0000DC8D0000}"/>
    <cellStyle name="Normal 5 17 21 5 8" xfId="36319" xr:uid="{00000000-0005-0000-0000-0000DD8D0000}"/>
    <cellStyle name="Normal 5 17 21 5 9" xfId="36320" xr:uid="{00000000-0005-0000-0000-0000DE8D0000}"/>
    <cellStyle name="Normal 5 17 21 6" xfId="36321" xr:uid="{00000000-0005-0000-0000-0000DF8D0000}"/>
    <cellStyle name="Normal 5 17 21 7" xfId="36322" xr:uid="{00000000-0005-0000-0000-0000E08D0000}"/>
    <cellStyle name="Normal 5 17 21 8" xfId="36323" xr:uid="{00000000-0005-0000-0000-0000E18D0000}"/>
    <cellStyle name="Normal 5 17 21 9" xfId="36324" xr:uid="{00000000-0005-0000-0000-0000E28D0000}"/>
    <cellStyle name="Normal 5 17 22" xfId="36325" xr:uid="{00000000-0005-0000-0000-0000E38D0000}"/>
    <cellStyle name="Normal 5 17 22 10" xfId="36326" xr:uid="{00000000-0005-0000-0000-0000E48D0000}"/>
    <cellStyle name="Normal 5 17 22 11" xfId="36327" xr:uid="{00000000-0005-0000-0000-0000E58D0000}"/>
    <cellStyle name="Normal 5 17 22 12" xfId="36328" xr:uid="{00000000-0005-0000-0000-0000E68D0000}"/>
    <cellStyle name="Normal 5 17 22 13" xfId="36329" xr:uid="{00000000-0005-0000-0000-0000E78D0000}"/>
    <cellStyle name="Normal 5 17 22 14" xfId="36330" xr:uid="{00000000-0005-0000-0000-0000E88D0000}"/>
    <cellStyle name="Normal 5 17 22 2" xfId="36331" xr:uid="{00000000-0005-0000-0000-0000E98D0000}"/>
    <cellStyle name="Normal 5 17 22 2 10" xfId="36332" xr:uid="{00000000-0005-0000-0000-0000EA8D0000}"/>
    <cellStyle name="Normal 5 17 22 2 2" xfId="36333" xr:uid="{00000000-0005-0000-0000-0000EB8D0000}"/>
    <cellStyle name="Normal 5 17 22 2 3" xfId="36334" xr:uid="{00000000-0005-0000-0000-0000EC8D0000}"/>
    <cellStyle name="Normal 5 17 22 2 4" xfId="36335" xr:uid="{00000000-0005-0000-0000-0000ED8D0000}"/>
    <cellStyle name="Normal 5 17 22 2 5" xfId="36336" xr:uid="{00000000-0005-0000-0000-0000EE8D0000}"/>
    <cellStyle name="Normal 5 17 22 2 6" xfId="36337" xr:uid="{00000000-0005-0000-0000-0000EF8D0000}"/>
    <cellStyle name="Normal 5 17 22 2 7" xfId="36338" xr:uid="{00000000-0005-0000-0000-0000F08D0000}"/>
    <cellStyle name="Normal 5 17 22 2 8" xfId="36339" xr:uid="{00000000-0005-0000-0000-0000F18D0000}"/>
    <cellStyle name="Normal 5 17 22 2 9" xfId="36340" xr:uid="{00000000-0005-0000-0000-0000F28D0000}"/>
    <cellStyle name="Normal 5 17 22 3" xfId="36341" xr:uid="{00000000-0005-0000-0000-0000F38D0000}"/>
    <cellStyle name="Normal 5 17 22 3 10" xfId="36342" xr:uid="{00000000-0005-0000-0000-0000F48D0000}"/>
    <cellStyle name="Normal 5 17 22 3 2" xfId="36343" xr:uid="{00000000-0005-0000-0000-0000F58D0000}"/>
    <cellStyle name="Normal 5 17 22 3 3" xfId="36344" xr:uid="{00000000-0005-0000-0000-0000F68D0000}"/>
    <cellStyle name="Normal 5 17 22 3 4" xfId="36345" xr:uid="{00000000-0005-0000-0000-0000F78D0000}"/>
    <cellStyle name="Normal 5 17 22 3 5" xfId="36346" xr:uid="{00000000-0005-0000-0000-0000F88D0000}"/>
    <cellStyle name="Normal 5 17 22 3 6" xfId="36347" xr:uid="{00000000-0005-0000-0000-0000F98D0000}"/>
    <cellStyle name="Normal 5 17 22 3 7" xfId="36348" xr:uid="{00000000-0005-0000-0000-0000FA8D0000}"/>
    <cellStyle name="Normal 5 17 22 3 8" xfId="36349" xr:uid="{00000000-0005-0000-0000-0000FB8D0000}"/>
    <cellStyle name="Normal 5 17 22 3 9" xfId="36350" xr:uid="{00000000-0005-0000-0000-0000FC8D0000}"/>
    <cellStyle name="Normal 5 17 22 4" xfId="36351" xr:uid="{00000000-0005-0000-0000-0000FD8D0000}"/>
    <cellStyle name="Normal 5 17 22 4 10" xfId="36352" xr:uid="{00000000-0005-0000-0000-0000FE8D0000}"/>
    <cellStyle name="Normal 5 17 22 4 2" xfId="36353" xr:uid="{00000000-0005-0000-0000-0000FF8D0000}"/>
    <cellStyle name="Normal 5 17 22 4 3" xfId="36354" xr:uid="{00000000-0005-0000-0000-0000008E0000}"/>
    <cellStyle name="Normal 5 17 22 4 4" xfId="36355" xr:uid="{00000000-0005-0000-0000-0000018E0000}"/>
    <cellStyle name="Normal 5 17 22 4 5" xfId="36356" xr:uid="{00000000-0005-0000-0000-0000028E0000}"/>
    <cellStyle name="Normal 5 17 22 4 6" xfId="36357" xr:uid="{00000000-0005-0000-0000-0000038E0000}"/>
    <cellStyle name="Normal 5 17 22 4 7" xfId="36358" xr:uid="{00000000-0005-0000-0000-0000048E0000}"/>
    <cellStyle name="Normal 5 17 22 4 8" xfId="36359" xr:uid="{00000000-0005-0000-0000-0000058E0000}"/>
    <cellStyle name="Normal 5 17 22 4 9" xfId="36360" xr:uid="{00000000-0005-0000-0000-0000068E0000}"/>
    <cellStyle name="Normal 5 17 22 5" xfId="36361" xr:uid="{00000000-0005-0000-0000-0000078E0000}"/>
    <cellStyle name="Normal 5 17 22 5 10" xfId="36362" xr:uid="{00000000-0005-0000-0000-0000088E0000}"/>
    <cellStyle name="Normal 5 17 22 5 2" xfId="36363" xr:uid="{00000000-0005-0000-0000-0000098E0000}"/>
    <cellStyle name="Normal 5 17 22 5 3" xfId="36364" xr:uid="{00000000-0005-0000-0000-00000A8E0000}"/>
    <cellStyle name="Normal 5 17 22 5 4" xfId="36365" xr:uid="{00000000-0005-0000-0000-00000B8E0000}"/>
    <cellStyle name="Normal 5 17 22 5 5" xfId="36366" xr:uid="{00000000-0005-0000-0000-00000C8E0000}"/>
    <cellStyle name="Normal 5 17 22 5 6" xfId="36367" xr:uid="{00000000-0005-0000-0000-00000D8E0000}"/>
    <cellStyle name="Normal 5 17 22 5 7" xfId="36368" xr:uid="{00000000-0005-0000-0000-00000E8E0000}"/>
    <cellStyle name="Normal 5 17 22 5 8" xfId="36369" xr:uid="{00000000-0005-0000-0000-00000F8E0000}"/>
    <cellStyle name="Normal 5 17 22 5 9" xfId="36370" xr:uid="{00000000-0005-0000-0000-0000108E0000}"/>
    <cellStyle name="Normal 5 17 22 6" xfId="36371" xr:uid="{00000000-0005-0000-0000-0000118E0000}"/>
    <cellStyle name="Normal 5 17 22 7" xfId="36372" xr:uid="{00000000-0005-0000-0000-0000128E0000}"/>
    <cellStyle name="Normal 5 17 22 8" xfId="36373" xr:uid="{00000000-0005-0000-0000-0000138E0000}"/>
    <cellStyle name="Normal 5 17 22 9" xfId="36374" xr:uid="{00000000-0005-0000-0000-0000148E0000}"/>
    <cellStyle name="Normal 5 17 23" xfId="36375" xr:uid="{00000000-0005-0000-0000-0000158E0000}"/>
    <cellStyle name="Normal 5 17 23 10" xfId="36376" xr:uid="{00000000-0005-0000-0000-0000168E0000}"/>
    <cellStyle name="Normal 5 17 23 11" xfId="36377" xr:uid="{00000000-0005-0000-0000-0000178E0000}"/>
    <cellStyle name="Normal 5 17 23 12" xfId="36378" xr:uid="{00000000-0005-0000-0000-0000188E0000}"/>
    <cellStyle name="Normal 5 17 23 13" xfId="36379" xr:uid="{00000000-0005-0000-0000-0000198E0000}"/>
    <cellStyle name="Normal 5 17 23 14" xfId="36380" xr:uid="{00000000-0005-0000-0000-00001A8E0000}"/>
    <cellStyle name="Normal 5 17 23 2" xfId="36381" xr:uid="{00000000-0005-0000-0000-00001B8E0000}"/>
    <cellStyle name="Normal 5 17 23 2 10" xfId="36382" xr:uid="{00000000-0005-0000-0000-00001C8E0000}"/>
    <cellStyle name="Normal 5 17 23 2 2" xfId="36383" xr:uid="{00000000-0005-0000-0000-00001D8E0000}"/>
    <cellStyle name="Normal 5 17 23 2 3" xfId="36384" xr:uid="{00000000-0005-0000-0000-00001E8E0000}"/>
    <cellStyle name="Normal 5 17 23 2 4" xfId="36385" xr:uid="{00000000-0005-0000-0000-00001F8E0000}"/>
    <cellStyle name="Normal 5 17 23 2 5" xfId="36386" xr:uid="{00000000-0005-0000-0000-0000208E0000}"/>
    <cellStyle name="Normal 5 17 23 2 6" xfId="36387" xr:uid="{00000000-0005-0000-0000-0000218E0000}"/>
    <cellStyle name="Normal 5 17 23 2 7" xfId="36388" xr:uid="{00000000-0005-0000-0000-0000228E0000}"/>
    <cellStyle name="Normal 5 17 23 2 8" xfId="36389" xr:uid="{00000000-0005-0000-0000-0000238E0000}"/>
    <cellStyle name="Normal 5 17 23 2 9" xfId="36390" xr:uid="{00000000-0005-0000-0000-0000248E0000}"/>
    <cellStyle name="Normal 5 17 23 3" xfId="36391" xr:uid="{00000000-0005-0000-0000-0000258E0000}"/>
    <cellStyle name="Normal 5 17 23 3 10" xfId="36392" xr:uid="{00000000-0005-0000-0000-0000268E0000}"/>
    <cellStyle name="Normal 5 17 23 3 2" xfId="36393" xr:uid="{00000000-0005-0000-0000-0000278E0000}"/>
    <cellStyle name="Normal 5 17 23 3 3" xfId="36394" xr:uid="{00000000-0005-0000-0000-0000288E0000}"/>
    <cellStyle name="Normal 5 17 23 3 4" xfId="36395" xr:uid="{00000000-0005-0000-0000-0000298E0000}"/>
    <cellStyle name="Normal 5 17 23 3 5" xfId="36396" xr:uid="{00000000-0005-0000-0000-00002A8E0000}"/>
    <cellStyle name="Normal 5 17 23 3 6" xfId="36397" xr:uid="{00000000-0005-0000-0000-00002B8E0000}"/>
    <cellStyle name="Normal 5 17 23 3 7" xfId="36398" xr:uid="{00000000-0005-0000-0000-00002C8E0000}"/>
    <cellStyle name="Normal 5 17 23 3 8" xfId="36399" xr:uid="{00000000-0005-0000-0000-00002D8E0000}"/>
    <cellStyle name="Normal 5 17 23 3 9" xfId="36400" xr:uid="{00000000-0005-0000-0000-00002E8E0000}"/>
    <cellStyle name="Normal 5 17 23 4" xfId="36401" xr:uid="{00000000-0005-0000-0000-00002F8E0000}"/>
    <cellStyle name="Normal 5 17 23 4 10" xfId="36402" xr:uid="{00000000-0005-0000-0000-0000308E0000}"/>
    <cellStyle name="Normal 5 17 23 4 2" xfId="36403" xr:uid="{00000000-0005-0000-0000-0000318E0000}"/>
    <cellStyle name="Normal 5 17 23 4 3" xfId="36404" xr:uid="{00000000-0005-0000-0000-0000328E0000}"/>
    <cellStyle name="Normal 5 17 23 4 4" xfId="36405" xr:uid="{00000000-0005-0000-0000-0000338E0000}"/>
    <cellStyle name="Normal 5 17 23 4 5" xfId="36406" xr:uid="{00000000-0005-0000-0000-0000348E0000}"/>
    <cellStyle name="Normal 5 17 23 4 6" xfId="36407" xr:uid="{00000000-0005-0000-0000-0000358E0000}"/>
    <cellStyle name="Normal 5 17 23 4 7" xfId="36408" xr:uid="{00000000-0005-0000-0000-0000368E0000}"/>
    <cellStyle name="Normal 5 17 23 4 8" xfId="36409" xr:uid="{00000000-0005-0000-0000-0000378E0000}"/>
    <cellStyle name="Normal 5 17 23 4 9" xfId="36410" xr:uid="{00000000-0005-0000-0000-0000388E0000}"/>
    <cellStyle name="Normal 5 17 23 5" xfId="36411" xr:uid="{00000000-0005-0000-0000-0000398E0000}"/>
    <cellStyle name="Normal 5 17 23 5 10" xfId="36412" xr:uid="{00000000-0005-0000-0000-00003A8E0000}"/>
    <cellStyle name="Normal 5 17 23 5 2" xfId="36413" xr:uid="{00000000-0005-0000-0000-00003B8E0000}"/>
    <cellStyle name="Normal 5 17 23 5 3" xfId="36414" xr:uid="{00000000-0005-0000-0000-00003C8E0000}"/>
    <cellStyle name="Normal 5 17 23 5 4" xfId="36415" xr:uid="{00000000-0005-0000-0000-00003D8E0000}"/>
    <cellStyle name="Normal 5 17 23 5 5" xfId="36416" xr:uid="{00000000-0005-0000-0000-00003E8E0000}"/>
    <cellStyle name="Normal 5 17 23 5 6" xfId="36417" xr:uid="{00000000-0005-0000-0000-00003F8E0000}"/>
    <cellStyle name="Normal 5 17 23 5 7" xfId="36418" xr:uid="{00000000-0005-0000-0000-0000408E0000}"/>
    <cellStyle name="Normal 5 17 23 5 8" xfId="36419" xr:uid="{00000000-0005-0000-0000-0000418E0000}"/>
    <cellStyle name="Normal 5 17 23 5 9" xfId="36420" xr:uid="{00000000-0005-0000-0000-0000428E0000}"/>
    <cellStyle name="Normal 5 17 23 6" xfId="36421" xr:uid="{00000000-0005-0000-0000-0000438E0000}"/>
    <cellStyle name="Normal 5 17 23 7" xfId="36422" xr:uid="{00000000-0005-0000-0000-0000448E0000}"/>
    <cellStyle name="Normal 5 17 23 8" xfId="36423" xr:uid="{00000000-0005-0000-0000-0000458E0000}"/>
    <cellStyle name="Normal 5 17 23 9" xfId="36424" xr:uid="{00000000-0005-0000-0000-0000468E0000}"/>
    <cellStyle name="Normal 5 17 24" xfId="36425" xr:uid="{00000000-0005-0000-0000-0000478E0000}"/>
    <cellStyle name="Normal 5 17 24 10" xfId="36426" xr:uid="{00000000-0005-0000-0000-0000488E0000}"/>
    <cellStyle name="Normal 5 17 24 11" xfId="36427" xr:uid="{00000000-0005-0000-0000-0000498E0000}"/>
    <cellStyle name="Normal 5 17 24 12" xfId="36428" xr:uid="{00000000-0005-0000-0000-00004A8E0000}"/>
    <cellStyle name="Normal 5 17 24 13" xfId="36429" xr:uid="{00000000-0005-0000-0000-00004B8E0000}"/>
    <cellStyle name="Normal 5 17 24 14" xfId="36430" xr:uid="{00000000-0005-0000-0000-00004C8E0000}"/>
    <cellStyle name="Normal 5 17 24 2" xfId="36431" xr:uid="{00000000-0005-0000-0000-00004D8E0000}"/>
    <cellStyle name="Normal 5 17 24 2 10" xfId="36432" xr:uid="{00000000-0005-0000-0000-00004E8E0000}"/>
    <cellStyle name="Normal 5 17 24 2 2" xfId="36433" xr:uid="{00000000-0005-0000-0000-00004F8E0000}"/>
    <cellStyle name="Normal 5 17 24 2 3" xfId="36434" xr:uid="{00000000-0005-0000-0000-0000508E0000}"/>
    <cellStyle name="Normal 5 17 24 2 4" xfId="36435" xr:uid="{00000000-0005-0000-0000-0000518E0000}"/>
    <cellStyle name="Normal 5 17 24 2 5" xfId="36436" xr:uid="{00000000-0005-0000-0000-0000528E0000}"/>
    <cellStyle name="Normal 5 17 24 2 6" xfId="36437" xr:uid="{00000000-0005-0000-0000-0000538E0000}"/>
    <cellStyle name="Normal 5 17 24 2 7" xfId="36438" xr:uid="{00000000-0005-0000-0000-0000548E0000}"/>
    <cellStyle name="Normal 5 17 24 2 8" xfId="36439" xr:uid="{00000000-0005-0000-0000-0000558E0000}"/>
    <cellStyle name="Normal 5 17 24 2 9" xfId="36440" xr:uid="{00000000-0005-0000-0000-0000568E0000}"/>
    <cellStyle name="Normal 5 17 24 3" xfId="36441" xr:uid="{00000000-0005-0000-0000-0000578E0000}"/>
    <cellStyle name="Normal 5 17 24 3 10" xfId="36442" xr:uid="{00000000-0005-0000-0000-0000588E0000}"/>
    <cellStyle name="Normal 5 17 24 3 2" xfId="36443" xr:uid="{00000000-0005-0000-0000-0000598E0000}"/>
    <cellStyle name="Normal 5 17 24 3 3" xfId="36444" xr:uid="{00000000-0005-0000-0000-00005A8E0000}"/>
    <cellStyle name="Normal 5 17 24 3 4" xfId="36445" xr:uid="{00000000-0005-0000-0000-00005B8E0000}"/>
    <cellStyle name="Normal 5 17 24 3 5" xfId="36446" xr:uid="{00000000-0005-0000-0000-00005C8E0000}"/>
    <cellStyle name="Normal 5 17 24 3 6" xfId="36447" xr:uid="{00000000-0005-0000-0000-00005D8E0000}"/>
    <cellStyle name="Normal 5 17 24 3 7" xfId="36448" xr:uid="{00000000-0005-0000-0000-00005E8E0000}"/>
    <cellStyle name="Normal 5 17 24 3 8" xfId="36449" xr:uid="{00000000-0005-0000-0000-00005F8E0000}"/>
    <cellStyle name="Normal 5 17 24 3 9" xfId="36450" xr:uid="{00000000-0005-0000-0000-0000608E0000}"/>
    <cellStyle name="Normal 5 17 24 4" xfId="36451" xr:uid="{00000000-0005-0000-0000-0000618E0000}"/>
    <cellStyle name="Normal 5 17 24 4 10" xfId="36452" xr:uid="{00000000-0005-0000-0000-0000628E0000}"/>
    <cellStyle name="Normal 5 17 24 4 2" xfId="36453" xr:uid="{00000000-0005-0000-0000-0000638E0000}"/>
    <cellStyle name="Normal 5 17 24 4 3" xfId="36454" xr:uid="{00000000-0005-0000-0000-0000648E0000}"/>
    <cellStyle name="Normal 5 17 24 4 4" xfId="36455" xr:uid="{00000000-0005-0000-0000-0000658E0000}"/>
    <cellStyle name="Normal 5 17 24 4 5" xfId="36456" xr:uid="{00000000-0005-0000-0000-0000668E0000}"/>
    <cellStyle name="Normal 5 17 24 4 6" xfId="36457" xr:uid="{00000000-0005-0000-0000-0000678E0000}"/>
    <cellStyle name="Normal 5 17 24 4 7" xfId="36458" xr:uid="{00000000-0005-0000-0000-0000688E0000}"/>
    <cellStyle name="Normal 5 17 24 4 8" xfId="36459" xr:uid="{00000000-0005-0000-0000-0000698E0000}"/>
    <cellStyle name="Normal 5 17 24 4 9" xfId="36460" xr:uid="{00000000-0005-0000-0000-00006A8E0000}"/>
    <cellStyle name="Normal 5 17 24 5" xfId="36461" xr:uid="{00000000-0005-0000-0000-00006B8E0000}"/>
    <cellStyle name="Normal 5 17 24 5 10" xfId="36462" xr:uid="{00000000-0005-0000-0000-00006C8E0000}"/>
    <cellStyle name="Normal 5 17 24 5 2" xfId="36463" xr:uid="{00000000-0005-0000-0000-00006D8E0000}"/>
    <cellStyle name="Normal 5 17 24 5 3" xfId="36464" xr:uid="{00000000-0005-0000-0000-00006E8E0000}"/>
    <cellStyle name="Normal 5 17 24 5 4" xfId="36465" xr:uid="{00000000-0005-0000-0000-00006F8E0000}"/>
    <cellStyle name="Normal 5 17 24 5 5" xfId="36466" xr:uid="{00000000-0005-0000-0000-0000708E0000}"/>
    <cellStyle name="Normal 5 17 24 5 6" xfId="36467" xr:uid="{00000000-0005-0000-0000-0000718E0000}"/>
    <cellStyle name="Normal 5 17 24 5 7" xfId="36468" xr:uid="{00000000-0005-0000-0000-0000728E0000}"/>
    <cellStyle name="Normal 5 17 24 5 8" xfId="36469" xr:uid="{00000000-0005-0000-0000-0000738E0000}"/>
    <cellStyle name="Normal 5 17 24 5 9" xfId="36470" xr:uid="{00000000-0005-0000-0000-0000748E0000}"/>
    <cellStyle name="Normal 5 17 24 6" xfId="36471" xr:uid="{00000000-0005-0000-0000-0000758E0000}"/>
    <cellStyle name="Normal 5 17 24 7" xfId="36472" xr:uid="{00000000-0005-0000-0000-0000768E0000}"/>
    <cellStyle name="Normal 5 17 24 8" xfId="36473" xr:uid="{00000000-0005-0000-0000-0000778E0000}"/>
    <cellStyle name="Normal 5 17 24 9" xfId="36474" xr:uid="{00000000-0005-0000-0000-0000788E0000}"/>
    <cellStyle name="Normal 5 17 25" xfId="36475" xr:uid="{00000000-0005-0000-0000-0000798E0000}"/>
    <cellStyle name="Normal 5 17 25 10" xfId="36476" xr:uid="{00000000-0005-0000-0000-00007A8E0000}"/>
    <cellStyle name="Normal 5 17 25 11" xfId="36477" xr:uid="{00000000-0005-0000-0000-00007B8E0000}"/>
    <cellStyle name="Normal 5 17 25 12" xfId="36478" xr:uid="{00000000-0005-0000-0000-00007C8E0000}"/>
    <cellStyle name="Normal 5 17 25 13" xfId="36479" xr:uid="{00000000-0005-0000-0000-00007D8E0000}"/>
    <cellStyle name="Normal 5 17 25 14" xfId="36480" xr:uid="{00000000-0005-0000-0000-00007E8E0000}"/>
    <cellStyle name="Normal 5 17 25 2" xfId="36481" xr:uid="{00000000-0005-0000-0000-00007F8E0000}"/>
    <cellStyle name="Normal 5 17 25 2 10" xfId="36482" xr:uid="{00000000-0005-0000-0000-0000808E0000}"/>
    <cellStyle name="Normal 5 17 25 2 2" xfId="36483" xr:uid="{00000000-0005-0000-0000-0000818E0000}"/>
    <cellStyle name="Normal 5 17 25 2 3" xfId="36484" xr:uid="{00000000-0005-0000-0000-0000828E0000}"/>
    <cellStyle name="Normal 5 17 25 2 4" xfId="36485" xr:uid="{00000000-0005-0000-0000-0000838E0000}"/>
    <cellStyle name="Normal 5 17 25 2 5" xfId="36486" xr:uid="{00000000-0005-0000-0000-0000848E0000}"/>
    <cellStyle name="Normal 5 17 25 2 6" xfId="36487" xr:uid="{00000000-0005-0000-0000-0000858E0000}"/>
    <cellStyle name="Normal 5 17 25 2 7" xfId="36488" xr:uid="{00000000-0005-0000-0000-0000868E0000}"/>
    <cellStyle name="Normal 5 17 25 2 8" xfId="36489" xr:uid="{00000000-0005-0000-0000-0000878E0000}"/>
    <cellStyle name="Normal 5 17 25 2 9" xfId="36490" xr:uid="{00000000-0005-0000-0000-0000888E0000}"/>
    <cellStyle name="Normal 5 17 25 3" xfId="36491" xr:uid="{00000000-0005-0000-0000-0000898E0000}"/>
    <cellStyle name="Normal 5 17 25 3 10" xfId="36492" xr:uid="{00000000-0005-0000-0000-00008A8E0000}"/>
    <cellStyle name="Normal 5 17 25 3 2" xfId="36493" xr:uid="{00000000-0005-0000-0000-00008B8E0000}"/>
    <cellStyle name="Normal 5 17 25 3 3" xfId="36494" xr:uid="{00000000-0005-0000-0000-00008C8E0000}"/>
    <cellStyle name="Normal 5 17 25 3 4" xfId="36495" xr:uid="{00000000-0005-0000-0000-00008D8E0000}"/>
    <cellStyle name="Normal 5 17 25 3 5" xfId="36496" xr:uid="{00000000-0005-0000-0000-00008E8E0000}"/>
    <cellStyle name="Normal 5 17 25 3 6" xfId="36497" xr:uid="{00000000-0005-0000-0000-00008F8E0000}"/>
    <cellStyle name="Normal 5 17 25 3 7" xfId="36498" xr:uid="{00000000-0005-0000-0000-0000908E0000}"/>
    <cellStyle name="Normal 5 17 25 3 8" xfId="36499" xr:uid="{00000000-0005-0000-0000-0000918E0000}"/>
    <cellStyle name="Normal 5 17 25 3 9" xfId="36500" xr:uid="{00000000-0005-0000-0000-0000928E0000}"/>
    <cellStyle name="Normal 5 17 25 4" xfId="36501" xr:uid="{00000000-0005-0000-0000-0000938E0000}"/>
    <cellStyle name="Normal 5 17 25 4 10" xfId="36502" xr:uid="{00000000-0005-0000-0000-0000948E0000}"/>
    <cellStyle name="Normal 5 17 25 4 2" xfId="36503" xr:uid="{00000000-0005-0000-0000-0000958E0000}"/>
    <cellStyle name="Normal 5 17 25 4 3" xfId="36504" xr:uid="{00000000-0005-0000-0000-0000968E0000}"/>
    <cellStyle name="Normal 5 17 25 4 4" xfId="36505" xr:uid="{00000000-0005-0000-0000-0000978E0000}"/>
    <cellStyle name="Normal 5 17 25 4 5" xfId="36506" xr:uid="{00000000-0005-0000-0000-0000988E0000}"/>
    <cellStyle name="Normal 5 17 25 4 6" xfId="36507" xr:uid="{00000000-0005-0000-0000-0000998E0000}"/>
    <cellStyle name="Normal 5 17 25 4 7" xfId="36508" xr:uid="{00000000-0005-0000-0000-00009A8E0000}"/>
    <cellStyle name="Normal 5 17 25 4 8" xfId="36509" xr:uid="{00000000-0005-0000-0000-00009B8E0000}"/>
    <cellStyle name="Normal 5 17 25 4 9" xfId="36510" xr:uid="{00000000-0005-0000-0000-00009C8E0000}"/>
    <cellStyle name="Normal 5 17 25 5" xfId="36511" xr:uid="{00000000-0005-0000-0000-00009D8E0000}"/>
    <cellStyle name="Normal 5 17 25 5 10" xfId="36512" xr:uid="{00000000-0005-0000-0000-00009E8E0000}"/>
    <cellStyle name="Normal 5 17 25 5 2" xfId="36513" xr:uid="{00000000-0005-0000-0000-00009F8E0000}"/>
    <cellStyle name="Normal 5 17 25 5 3" xfId="36514" xr:uid="{00000000-0005-0000-0000-0000A08E0000}"/>
    <cellStyle name="Normal 5 17 25 5 4" xfId="36515" xr:uid="{00000000-0005-0000-0000-0000A18E0000}"/>
    <cellStyle name="Normal 5 17 25 5 5" xfId="36516" xr:uid="{00000000-0005-0000-0000-0000A28E0000}"/>
    <cellStyle name="Normal 5 17 25 5 6" xfId="36517" xr:uid="{00000000-0005-0000-0000-0000A38E0000}"/>
    <cellStyle name="Normal 5 17 25 5 7" xfId="36518" xr:uid="{00000000-0005-0000-0000-0000A48E0000}"/>
    <cellStyle name="Normal 5 17 25 5 8" xfId="36519" xr:uid="{00000000-0005-0000-0000-0000A58E0000}"/>
    <cellStyle name="Normal 5 17 25 5 9" xfId="36520" xr:uid="{00000000-0005-0000-0000-0000A68E0000}"/>
    <cellStyle name="Normal 5 17 25 6" xfId="36521" xr:uid="{00000000-0005-0000-0000-0000A78E0000}"/>
    <cellStyle name="Normal 5 17 25 7" xfId="36522" xr:uid="{00000000-0005-0000-0000-0000A88E0000}"/>
    <cellStyle name="Normal 5 17 25 8" xfId="36523" xr:uid="{00000000-0005-0000-0000-0000A98E0000}"/>
    <cellStyle name="Normal 5 17 25 9" xfId="36524" xr:uid="{00000000-0005-0000-0000-0000AA8E0000}"/>
    <cellStyle name="Normal 5 17 26" xfId="36525" xr:uid="{00000000-0005-0000-0000-0000AB8E0000}"/>
    <cellStyle name="Normal 5 17 26 10" xfId="36526" xr:uid="{00000000-0005-0000-0000-0000AC8E0000}"/>
    <cellStyle name="Normal 5 17 26 11" xfId="36527" xr:uid="{00000000-0005-0000-0000-0000AD8E0000}"/>
    <cellStyle name="Normal 5 17 26 12" xfId="36528" xr:uid="{00000000-0005-0000-0000-0000AE8E0000}"/>
    <cellStyle name="Normal 5 17 26 13" xfId="36529" xr:uid="{00000000-0005-0000-0000-0000AF8E0000}"/>
    <cellStyle name="Normal 5 17 26 14" xfId="36530" xr:uid="{00000000-0005-0000-0000-0000B08E0000}"/>
    <cellStyle name="Normal 5 17 26 2" xfId="36531" xr:uid="{00000000-0005-0000-0000-0000B18E0000}"/>
    <cellStyle name="Normal 5 17 26 2 10" xfId="36532" xr:uid="{00000000-0005-0000-0000-0000B28E0000}"/>
    <cellStyle name="Normal 5 17 26 2 2" xfId="36533" xr:uid="{00000000-0005-0000-0000-0000B38E0000}"/>
    <cellStyle name="Normal 5 17 26 2 3" xfId="36534" xr:uid="{00000000-0005-0000-0000-0000B48E0000}"/>
    <cellStyle name="Normal 5 17 26 2 4" xfId="36535" xr:uid="{00000000-0005-0000-0000-0000B58E0000}"/>
    <cellStyle name="Normal 5 17 26 2 5" xfId="36536" xr:uid="{00000000-0005-0000-0000-0000B68E0000}"/>
    <cellStyle name="Normal 5 17 26 2 6" xfId="36537" xr:uid="{00000000-0005-0000-0000-0000B78E0000}"/>
    <cellStyle name="Normal 5 17 26 2 7" xfId="36538" xr:uid="{00000000-0005-0000-0000-0000B88E0000}"/>
    <cellStyle name="Normal 5 17 26 2 8" xfId="36539" xr:uid="{00000000-0005-0000-0000-0000B98E0000}"/>
    <cellStyle name="Normal 5 17 26 2 9" xfId="36540" xr:uid="{00000000-0005-0000-0000-0000BA8E0000}"/>
    <cellStyle name="Normal 5 17 26 3" xfId="36541" xr:uid="{00000000-0005-0000-0000-0000BB8E0000}"/>
    <cellStyle name="Normal 5 17 26 3 10" xfId="36542" xr:uid="{00000000-0005-0000-0000-0000BC8E0000}"/>
    <cellStyle name="Normal 5 17 26 3 2" xfId="36543" xr:uid="{00000000-0005-0000-0000-0000BD8E0000}"/>
    <cellStyle name="Normal 5 17 26 3 3" xfId="36544" xr:uid="{00000000-0005-0000-0000-0000BE8E0000}"/>
    <cellStyle name="Normal 5 17 26 3 4" xfId="36545" xr:uid="{00000000-0005-0000-0000-0000BF8E0000}"/>
    <cellStyle name="Normal 5 17 26 3 5" xfId="36546" xr:uid="{00000000-0005-0000-0000-0000C08E0000}"/>
    <cellStyle name="Normal 5 17 26 3 6" xfId="36547" xr:uid="{00000000-0005-0000-0000-0000C18E0000}"/>
    <cellStyle name="Normal 5 17 26 3 7" xfId="36548" xr:uid="{00000000-0005-0000-0000-0000C28E0000}"/>
    <cellStyle name="Normal 5 17 26 3 8" xfId="36549" xr:uid="{00000000-0005-0000-0000-0000C38E0000}"/>
    <cellStyle name="Normal 5 17 26 3 9" xfId="36550" xr:uid="{00000000-0005-0000-0000-0000C48E0000}"/>
    <cellStyle name="Normal 5 17 26 4" xfId="36551" xr:uid="{00000000-0005-0000-0000-0000C58E0000}"/>
    <cellStyle name="Normal 5 17 26 4 10" xfId="36552" xr:uid="{00000000-0005-0000-0000-0000C68E0000}"/>
    <cellStyle name="Normal 5 17 26 4 2" xfId="36553" xr:uid="{00000000-0005-0000-0000-0000C78E0000}"/>
    <cellStyle name="Normal 5 17 26 4 3" xfId="36554" xr:uid="{00000000-0005-0000-0000-0000C88E0000}"/>
    <cellStyle name="Normal 5 17 26 4 4" xfId="36555" xr:uid="{00000000-0005-0000-0000-0000C98E0000}"/>
    <cellStyle name="Normal 5 17 26 4 5" xfId="36556" xr:uid="{00000000-0005-0000-0000-0000CA8E0000}"/>
    <cellStyle name="Normal 5 17 26 4 6" xfId="36557" xr:uid="{00000000-0005-0000-0000-0000CB8E0000}"/>
    <cellStyle name="Normal 5 17 26 4 7" xfId="36558" xr:uid="{00000000-0005-0000-0000-0000CC8E0000}"/>
    <cellStyle name="Normal 5 17 26 4 8" xfId="36559" xr:uid="{00000000-0005-0000-0000-0000CD8E0000}"/>
    <cellStyle name="Normal 5 17 26 4 9" xfId="36560" xr:uid="{00000000-0005-0000-0000-0000CE8E0000}"/>
    <cellStyle name="Normal 5 17 26 5" xfId="36561" xr:uid="{00000000-0005-0000-0000-0000CF8E0000}"/>
    <cellStyle name="Normal 5 17 26 5 10" xfId="36562" xr:uid="{00000000-0005-0000-0000-0000D08E0000}"/>
    <cellStyle name="Normal 5 17 26 5 2" xfId="36563" xr:uid="{00000000-0005-0000-0000-0000D18E0000}"/>
    <cellStyle name="Normal 5 17 26 5 3" xfId="36564" xr:uid="{00000000-0005-0000-0000-0000D28E0000}"/>
    <cellStyle name="Normal 5 17 26 5 4" xfId="36565" xr:uid="{00000000-0005-0000-0000-0000D38E0000}"/>
    <cellStyle name="Normal 5 17 26 5 5" xfId="36566" xr:uid="{00000000-0005-0000-0000-0000D48E0000}"/>
    <cellStyle name="Normal 5 17 26 5 6" xfId="36567" xr:uid="{00000000-0005-0000-0000-0000D58E0000}"/>
    <cellStyle name="Normal 5 17 26 5 7" xfId="36568" xr:uid="{00000000-0005-0000-0000-0000D68E0000}"/>
    <cellStyle name="Normal 5 17 26 5 8" xfId="36569" xr:uid="{00000000-0005-0000-0000-0000D78E0000}"/>
    <cellStyle name="Normal 5 17 26 5 9" xfId="36570" xr:uid="{00000000-0005-0000-0000-0000D88E0000}"/>
    <cellStyle name="Normal 5 17 26 6" xfId="36571" xr:uid="{00000000-0005-0000-0000-0000D98E0000}"/>
    <cellStyle name="Normal 5 17 26 7" xfId="36572" xr:uid="{00000000-0005-0000-0000-0000DA8E0000}"/>
    <cellStyle name="Normal 5 17 26 8" xfId="36573" xr:uid="{00000000-0005-0000-0000-0000DB8E0000}"/>
    <cellStyle name="Normal 5 17 26 9" xfId="36574" xr:uid="{00000000-0005-0000-0000-0000DC8E0000}"/>
    <cellStyle name="Normal 5 17 27" xfId="36575" xr:uid="{00000000-0005-0000-0000-0000DD8E0000}"/>
    <cellStyle name="Normal 5 17 27 10" xfId="36576" xr:uid="{00000000-0005-0000-0000-0000DE8E0000}"/>
    <cellStyle name="Normal 5 17 27 11" xfId="36577" xr:uid="{00000000-0005-0000-0000-0000DF8E0000}"/>
    <cellStyle name="Normal 5 17 27 12" xfId="36578" xr:uid="{00000000-0005-0000-0000-0000E08E0000}"/>
    <cellStyle name="Normal 5 17 27 13" xfId="36579" xr:uid="{00000000-0005-0000-0000-0000E18E0000}"/>
    <cellStyle name="Normal 5 17 27 14" xfId="36580" xr:uid="{00000000-0005-0000-0000-0000E28E0000}"/>
    <cellStyle name="Normal 5 17 27 2" xfId="36581" xr:uid="{00000000-0005-0000-0000-0000E38E0000}"/>
    <cellStyle name="Normal 5 17 27 2 10" xfId="36582" xr:uid="{00000000-0005-0000-0000-0000E48E0000}"/>
    <cellStyle name="Normal 5 17 27 2 2" xfId="36583" xr:uid="{00000000-0005-0000-0000-0000E58E0000}"/>
    <cellStyle name="Normal 5 17 27 2 3" xfId="36584" xr:uid="{00000000-0005-0000-0000-0000E68E0000}"/>
    <cellStyle name="Normal 5 17 27 2 4" xfId="36585" xr:uid="{00000000-0005-0000-0000-0000E78E0000}"/>
    <cellStyle name="Normal 5 17 27 2 5" xfId="36586" xr:uid="{00000000-0005-0000-0000-0000E88E0000}"/>
    <cellStyle name="Normal 5 17 27 2 6" xfId="36587" xr:uid="{00000000-0005-0000-0000-0000E98E0000}"/>
    <cellStyle name="Normal 5 17 27 2 7" xfId="36588" xr:uid="{00000000-0005-0000-0000-0000EA8E0000}"/>
    <cellStyle name="Normal 5 17 27 2 8" xfId="36589" xr:uid="{00000000-0005-0000-0000-0000EB8E0000}"/>
    <cellStyle name="Normal 5 17 27 2 9" xfId="36590" xr:uid="{00000000-0005-0000-0000-0000EC8E0000}"/>
    <cellStyle name="Normal 5 17 27 3" xfId="36591" xr:uid="{00000000-0005-0000-0000-0000ED8E0000}"/>
    <cellStyle name="Normal 5 17 27 3 10" xfId="36592" xr:uid="{00000000-0005-0000-0000-0000EE8E0000}"/>
    <cellStyle name="Normal 5 17 27 3 2" xfId="36593" xr:uid="{00000000-0005-0000-0000-0000EF8E0000}"/>
    <cellStyle name="Normal 5 17 27 3 3" xfId="36594" xr:uid="{00000000-0005-0000-0000-0000F08E0000}"/>
    <cellStyle name="Normal 5 17 27 3 4" xfId="36595" xr:uid="{00000000-0005-0000-0000-0000F18E0000}"/>
    <cellStyle name="Normal 5 17 27 3 5" xfId="36596" xr:uid="{00000000-0005-0000-0000-0000F28E0000}"/>
    <cellStyle name="Normal 5 17 27 3 6" xfId="36597" xr:uid="{00000000-0005-0000-0000-0000F38E0000}"/>
    <cellStyle name="Normal 5 17 27 3 7" xfId="36598" xr:uid="{00000000-0005-0000-0000-0000F48E0000}"/>
    <cellStyle name="Normal 5 17 27 3 8" xfId="36599" xr:uid="{00000000-0005-0000-0000-0000F58E0000}"/>
    <cellStyle name="Normal 5 17 27 3 9" xfId="36600" xr:uid="{00000000-0005-0000-0000-0000F68E0000}"/>
    <cellStyle name="Normal 5 17 27 4" xfId="36601" xr:uid="{00000000-0005-0000-0000-0000F78E0000}"/>
    <cellStyle name="Normal 5 17 27 4 10" xfId="36602" xr:uid="{00000000-0005-0000-0000-0000F88E0000}"/>
    <cellStyle name="Normal 5 17 27 4 2" xfId="36603" xr:uid="{00000000-0005-0000-0000-0000F98E0000}"/>
    <cellStyle name="Normal 5 17 27 4 3" xfId="36604" xr:uid="{00000000-0005-0000-0000-0000FA8E0000}"/>
    <cellStyle name="Normal 5 17 27 4 4" xfId="36605" xr:uid="{00000000-0005-0000-0000-0000FB8E0000}"/>
    <cellStyle name="Normal 5 17 27 4 5" xfId="36606" xr:uid="{00000000-0005-0000-0000-0000FC8E0000}"/>
    <cellStyle name="Normal 5 17 27 4 6" xfId="36607" xr:uid="{00000000-0005-0000-0000-0000FD8E0000}"/>
    <cellStyle name="Normal 5 17 27 4 7" xfId="36608" xr:uid="{00000000-0005-0000-0000-0000FE8E0000}"/>
    <cellStyle name="Normal 5 17 27 4 8" xfId="36609" xr:uid="{00000000-0005-0000-0000-0000FF8E0000}"/>
    <cellStyle name="Normal 5 17 27 4 9" xfId="36610" xr:uid="{00000000-0005-0000-0000-0000008F0000}"/>
    <cellStyle name="Normal 5 17 27 5" xfId="36611" xr:uid="{00000000-0005-0000-0000-0000018F0000}"/>
    <cellStyle name="Normal 5 17 27 5 10" xfId="36612" xr:uid="{00000000-0005-0000-0000-0000028F0000}"/>
    <cellStyle name="Normal 5 17 27 5 2" xfId="36613" xr:uid="{00000000-0005-0000-0000-0000038F0000}"/>
    <cellStyle name="Normal 5 17 27 5 3" xfId="36614" xr:uid="{00000000-0005-0000-0000-0000048F0000}"/>
    <cellStyle name="Normal 5 17 27 5 4" xfId="36615" xr:uid="{00000000-0005-0000-0000-0000058F0000}"/>
    <cellStyle name="Normal 5 17 27 5 5" xfId="36616" xr:uid="{00000000-0005-0000-0000-0000068F0000}"/>
    <cellStyle name="Normal 5 17 27 5 6" xfId="36617" xr:uid="{00000000-0005-0000-0000-0000078F0000}"/>
    <cellStyle name="Normal 5 17 27 5 7" xfId="36618" xr:uid="{00000000-0005-0000-0000-0000088F0000}"/>
    <cellStyle name="Normal 5 17 27 5 8" xfId="36619" xr:uid="{00000000-0005-0000-0000-0000098F0000}"/>
    <cellStyle name="Normal 5 17 27 5 9" xfId="36620" xr:uid="{00000000-0005-0000-0000-00000A8F0000}"/>
    <cellStyle name="Normal 5 17 27 6" xfId="36621" xr:uid="{00000000-0005-0000-0000-00000B8F0000}"/>
    <cellStyle name="Normal 5 17 27 7" xfId="36622" xr:uid="{00000000-0005-0000-0000-00000C8F0000}"/>
    <cellStyle name="Normal 5 17 27 8" xfId="36623" xr:uid="{00000000-0005-0000-0000-00000D8F0000}"/>
    <cellStyle name="Normal 5 17 27 9" xfId="36624" xr:uid="{00000000-0005-0000-0000-00000E8F0000}"/>
    <cellStyle name="Normal 5 17 28" xfId="36625" xr:uid="{00000000-0005-0000-0000-00000F8F0000}"/>
    <cellStyle name="Normal 5 17 28 10" xfId="36626" xr:uid="{00000000-0005-0000-0000-0000108F0000}"/>
    <cellStyle name="Normal 5 17 28 11" xfId="36627" xr:uid="{00000000-0005-0000-0000-0000118F0000}"/>
    <cellStyle name="Normal 5 17 28 12" xfId="36628" xr:uid="{00000000-0005-0000-0000-0000128F0000}"/>
    <cellStyle name="Normal 5 17 28 13" xfId="36629" xr:uid="{00000000-0005-0000-0000-0000138F0000}"/>
    <cellStyle name="Normal 5 17 28 14" xfId="36630" xr:uid="{00000000-0005-0000-0000-0000148F0000}"/>
    <cellStyle name="Normal 5 17 28 2" xfId="36631" xr:uid="{00000000-0005-0000-0000-0000158F0000}"/>
    <cellStyle name="Normal 5 17 28 2 10" xfId="36632" xr:uid="{00000000-0005-0000-0000-0000168F0000}"/>
    <cellStyle name="Normal 5 17 28 2 2" xfId="36633" xr:uid="{00000000-0005-0000-0000-0000178F0000}"/>
    <cellStyle name="Normal 5 17 28 2 3" xfId="36634" xr:uid="{00000000-0005-0000-0000-0000188F0000}"/>
    <cellStyle name="Normal 5 17 28 2 4" xfId="36635" xr:uid="{00000000-0005-0000-0000-0000198F0000}"/>
    <cellStyle name="Normal 5 17 28 2 5" xfId="36636" xr:uid="{00000000-0005-0000-0000-00001A8F0000}"/>
    <cellStyle name="Normal 5 17 28 2 6" xfId="36637" xr:uid="{00000000-0005-0000-0000-00001B8F0000}"/>
    <cellStyle name="Normal 5 17 28 2 7" xfId="36638" xr:uid="{00000000-0005-0000-0000-00001C8F0000}"/>
    <cellStyle name="Normal 5 17 28 2 8" xfId="36639" xr:uid="{00000000-0005-0000-0000-00001D8F0000}"/>
    <cellStyle name="Normal 5 17 28 2 9" xfId="36640" xr:uid="{00000000-0005-0000-0000-00001E8F0000}"/>
    <cellStyle name="Normal 5 17 28 3" xfId="36641" xr:uid="{00000000-0005-0000-0000-00001F8F0000}"/>
    <cellStyle name="Normal 5 17 28 3 10" xfId="36642" xr:uid="{00000000-0005-0000-0000-0000208F0000}"/>
    <cellStyle name="Normal 5 17 28 3 2" xfId="36643" xr:uid="{00000000-0005-0000-0000-0000218F0000}"/>
    <cellStyle name="Normal 5 17 28 3 3" xfId="36644" xr:uid="{00000000-0005-0000-0000-0000228F0000}"/>
    <cellStyle name="Normal 5 17 28 3 4" xfId="36645" xr:uid="{00000000-0005-0000-0000-0000238F0000}"/>
    <cellStyle name="Normal 5 17 28 3 5" xfId="36646" xr:uid="{00000000-0005-0000-0000-0000248F0000}"/>
    <cellStyle name="Normal 5 17 28 3 6" xfId="36647" xr:uid="{00000000-0005-0000-0000-0000258F0000}"/>
    <cellStyle name="Normal 5 17 28 3 7" xfId="36648" xr:uid="{00000000-0005-0000-0000-0000268F0000}"/>
    <cellStyle name="Normal 5 17 28 3 8" xfId="36649" xr:uid="{00000000-0005-0000-0000-0000278F0000}"/>
    <cellStyle name="Normal 5 17 28 3 9" xfId="36650" xr:uid="{00000000-0005-0000-0000-0000288F0000}"/>
    <cellStyle name="Normal 5 17 28 4" xfId="36651" xr:uid="{00000000-0005-0000-0000-0000298F0000}"/>
    <cellStyle name="Normal 5 17 28 4 10" xfId="36652" xr:uid="{00000000-0005-0000-0000-00002A8F0000}"/>
    <cellStyle name="Normal 5 17 28 4 2" xfId="36653" xr:uid="{00000000-0005-0000-0000-00002B8F0000}"/>
    <cellStyle name="Normal 5 17 28 4 3" xfId="36654" xr:uid="{00000000-0005-0000-0000-00002C8F0000}"/>
    <cellStyle name="Normal 5 17 28 4 4" xfId="36655" xr:uid="{00000000-0005-0000-0000-00002D8F0000}"/>
    <cellStyle name="Normal 5 17 28 4 5" xfId="36656" xr:uid="{00000000-0005-0000-0000-00002E8F0000}"/>
    <cellStyle name="Normal 5 17 28 4 6" xfId="36657" xr:uid="{00000000-0005-0000-0000-00002F8F0000}"/>
    <cellStyle name="Normal 5 17 28 4 7" xfId="36658" xr:uid="{00000000-0005-0000-0000-0000308F0000}"/>
    <cellStyle name="Normal 5 17 28 4 8" xfId="36659" xr:uid="{00000000-0005-0000-0000-0000318F0000}"/>
    <cellStyle name="Normal 5 17 28 4 9" xfId="36660" xr:uid="{00000000-0005-0000-0000-0000328F0000}"/>
    <cellStyle name="Normal 5 17 28 5" xfId="36661" xr:uid="{00000000-0005-0000-0000-0000338F0000}"/>
    <cellStyle name="Normal 5 17 28 5 10" xfId="36662" xr:uid="{00000000-0005-0000-0000-0000348F0000}"/>
    <cellStyle name="Normal 5 17 28 5 2" xfId="36663" xr:uid="{00000000-0005-0000-0000-0000358F0000}"/>
    <cellStyle name="Normal 5 17 28 5 3" xfId="36664" xr:uid="{00000000-0005-0000-0000-0000368F0000}"/>
    <cellStyle name="Normal 5 17 28 5 4" xfId="36665" xr:uid="{00000000-0005-0000-0000-0000378F0000}"/>
    <cellStyle name="Normal 5 17 28 5 5" xfId="36666" xr:uid="{00000000-0005-0000-0000-0000388F0000}"/>
    <cellStyle name="Normal 5 17 28 5 6" xfId="36667" xr:uid="{00000000-0005-0000-0000-0000398F0000}"/>
    <cellStyle name="Normal 5 17 28 5 7" xfId="36668" xr:uid="{00000000-0005-0000-0000-00003A8F0000}"/>
    <cellStyle name="Normal 5 17 28 5 8" xfId="36669" xr:uid="{00000000-0005-0000-0000-00003B8F0000}"/>
    <cellStyle name="Normal 5 17 28 5 9" xfId="36670" xr:uid="{00000000-0005-0000-0000-00003C8F0000}"/>
    <cellStyle name="Normal 5 17 28 6" xfId="36671" xr:uid="{00000000-0005-0000-0000-00003D8F0000}"/>
    <cellStyle name="Normal 5 17 28 7" xfId="36672" xr:uid="{00000000-0005-0000-0000-00003E8F0000}"/>
    <cellStyle name="Normal 5 17 28 8" xfId="36673" xr:uid="{00000000-0005-0000-0000-00003F8F0000}"/>
    <cellStyle name="Normal 5 17 28 9" xfId="36674" xr:uid="{00000000-0005-0000-0000-0000408F0000}"/>
    <cellStyle name="Normal 5 17 29" xfId="36675" xr:uid="{00000000-0005-0000-0000-0000418F0000}"/>
    <cellStyle name="Normal 5 17 29 10" xfId="36676" xr:uid="{00000000-0005-0000-0000-0000428F0000}"/>
    <cellStyle name="Normal 5 17 29 11" xfId="36677" xr:uid="{00000000-0005-0000-0000-0000438F0000}"/>
    <cellStyle name="Normal 5 17 29 12" xfId="36678" xr:uid="{00000000-0005-0000-0000-0000448F0000}"/>
    <cellStyle name="Normal 5 17 29 13" xfId="36679" xr:uid="{00000000-0005-0000-0000-0000458F0000}"/>
    <cellStyle name="Normal 5 17 29 14" xfId="36680" xr:uid="{00000000-0005-0000-0000-0000468F0000}"/>
    <cellStyle name="Normal 5 17 29 2" xfId="36681" xr:uid="{00000000-0005-0000-0000-0000478F0000}"/>
    <cellStyle name="Normal 5 17 29 2 10" xfId="36682" xr:uid="{00000000-0005-0000-0000-0000488F0000}"/>
    <cellStyle name="Normal 5 17 29 2 2" xfId="36683" xr:uid="{00000000-0005-0000-0000-0000498F0000}"/>
    <cellStyle name="Normal 5 17 29 2 3" xfId="36684" xr:uid="{00000000-0005-0000-0000-00004A8F0000}"/>
    <cellStyle name="Normal 5 17 29 2 4" xfId="36685" xr:uid="{00000000-0005-0000-0000-00004B8F0000}"/>
    <cellStyle name="Normal 5 17 29 2 5" xfId="36686" xr:uid="{00000000-0005-0000-0000-00004C8F0000}"/>
    <cellStyle name="Normal 5 17 29 2 6" xfId="36687" xr:uid="{00000000-0005-0000-0000-00004D8F0000}"/>
    <cellStyle name="Normal 5 17 29 2 7" xfId="36688" xr:uid="{00000000-0005-0000-0000-00004E8F0000}"/>
    <cellStyle name="Normal 5 17 29 2 8" xfId="36689" xr:uid="{00000000-0005-0000-0000-00004F8F0000}"/>
    <cellStyle name="Normal 5 17 29 2 9" xfId="36690" xr:uid="{00000000-0005-0000-0000-0000508F0000}"/>
    <cellStyle name="Normal 5 17 29 3" xfId="36691" xr:uid="{00000000-0005-0000-0000-0000518F0000}"/>
    <cellStyle name="Normal 5 17 29 3 10" xfId="36692" xr:uid="{00000000-0005-0000-0000-0000528F0000}"/>
    <cellStyle name="Normal 5 17 29 3 2" xfId="36693" xr:uid="{00000000-0005-0000-0000-0000538F0000}"/>
    <cellStyle name="Normal 5 17 29 3 3" xfId="36694" xr:uid="{00000000-0005-0000-0000-0000548F0000}"/>
    <cellStyle name="Normal 5 17 29 3 4" xfId="36695" xr:uid="{00000000-0005-0000-0000-0000558F0000}"/>
    <cellStyle name="Normal 5 17 29 3 5" xfId="36696" xr:uid="{00000000-0005-0000-0000-0000568F0000}"/>
    <cellStyle name="Normal 5 17 29 3 6" xfId="36697" xr:uid="{00000000-0005-0000-0000-0000578F0000}"/>
    <cellStyle name="Normal 5 17 29 3 7" xfId="36698" xr:uid="{00000000-0005-0000-0000-0000588F0000}"/>
    <cellStyle name="Normal 5 17 29 3 8" xfId="36699" xr:uid="{00000000-0005-0000-0000-0000598F0000}"/>
    <cellStyle name="Normal 5 17 29 3 9" xfId="36700" xr:uid="{00000000-0005-0000-0000-00005A8F0000}"/>
    <cellStyle name="Normal 5 17 29 4" xfId="36701" xr:uid="{00000000-0005-0000-0000-00005B8F0000}"/>
    <cellStyle name="Normal 5 17 29 4 10" xfId="36702" xr:uid="{00000000-0005-0000-0000-00005C8F0000}"/>
    <cellStyle name="Normal 5 17 29 4 2" xfId="36703" xr:uid="{00000000-0005-0000-0000-00005D8F0000}"/>
    <cellStyle name="Normal 5 17 29 4 3" xfId="36704" xr:uid="{00000000-0005-0000-0000-00005E8F0000}"/>
    <cellStyle name="Normal 5 17 29 4 4" xfId="36705" xr:uid="{00000000-0005-0000-0000-00005F8F0000}"/>
    <cellStyle name="Normal 5 17 29 4 5" xfId="36706" xr:uid="{00000000-0005-0000-0000-0000608F0000}"/>
    <cellStyle name="Normal 5 17 29 4 6" xfId="36707" xr:uid="{00000000-0005-0000-0000-0000618F0000}"/>
    <cellStyle name="Normal 5 17 29 4 7" xfId="36708" xr:uid="{00000000-0005-0000-0000-0000628F0000}"/>
    <cellStyle name="Normal 5 17 29 4 8" xfId="36709" xr:uid="{00000000-0005-0000-0000-0000638F0000}"/>
    <cellStyle name="Normal 5 17 29 4 9" xfId="36710" xr:uid="{00000000-0005-0000-0000-0000648F0000}"/>
    <cellStyle name="Normal 5 17 29 5" xfId="36711" xr:uid="{00000000-0005-0000-0000-0000658F0000}"/>
    <cellStyle name="Normal 5 17 29 5 10" xfId="36712" xr:uid="{00000000-0005-0000-0000-0000668F0000}"/>
    <cellStyle name="Normal 5 17 29 5 2" xfId="36713" xr:uid="{00000000-0005-0000-0000-0000678F0000}"/>
    <cellStyle name="Normal 5 17 29 5 3" xfId="36714" xr:uid="{00000000-0005-0000-0000-0000688F0000}"/>
    <cellStyle name="Normal 5 17 29 5 4" xfId="36715" xr:uid="{00000000-0005-0000-0000-0000698F0000}"/>
    <cellStyle name="Normal 5 17 29 5 5" xfId="36716" xr:uid="{00000000-0005-0000-0000-00006A8F0000}"/>
    <cellStyle name="Normal 5 17 29 5 6" xfId="36717" xr:uid="{00000000-0005-0000-0000-00006B8F0000}"/>
    <cellStyle name="Normal 5 17 29 5 7" xfId="36718" xr:uid="{00000000-0005-0000-0000-00006C8F0000}"/>
    <cellStyle name="Normal 5 17 29 5 8" xfId="36719" xr:uid="{00000000-0005-0000-0000-00006D8F0000}"/>
    <cellStyle name="Normal 5 17 29 5 9" xfId="36720" xr:uid="{00000000-0005-0000-0000-00006E8F0000}"/>
    <cellStyle name="Normal 5 17 29 6" xfId="36721" xr:uid="{00000000-0005-0000-0000-00006F8F0000}"/>
    <cellStyle name="Normal 5 17 29 7" xfId="36722" xr:uid="{00000000-0005-0000-0000-0000708F0000}"/>
    <cellStyle name="Normal 5 17 29 8" xfId="36723" xr:uid="{00000000-0005-0000-0000-0000718F0000}"/>
    <cellStyle name="Normal 5 17 29 9" xfId="36724" xr:uid="{00000000-0005-0000-0000-0000728F0000}"/>
    <cellStyle name="Normal 5 17 3" xfId="36725" xr:uid="{00000000-0005-0000-0000-0000738F0000}"/>
    <cellStyle name="Normal 5 17 3 10" xfId="36726" xr:uid="{00000000-0005-0000-0000-0000748F0000}"/>
    <cellStyle name="Normal 5 17 3 11" xfId="36727" xr:uid="{00000000-0005-0000-0000-0000758F0000}"/>
    <cellStyle name="Normal 5 17 3 12" xfId="36728" xr:uid="{00000000-0005-0000-0000-0000768F0000}"/>
    <cellStyle name="Normal 5 17 3 13" xfId="36729" xr:uid="{00000000-0005-0000-0000-0000778F0000}"/>
    <cellStyle name="Normal 5 17 3 14" xfId="36730" xr:uid="{00000000-0005-0000-0000-0000788F0000}"/>
    <cellStyle name="Normal 5 17 3 2" xfId="36731" xr:uid="{00000000-0005-0000-0000-0000798F0000}"/>
    <cellStyle name="Normal 5 17 3 2 10" xfId="36732" xr:uid="{00000000-0005-0000-0000-00007A8F0000}"/>
    <cellStyle name="Normal 5 17 3 2 2" xfId="36733" xr:uid="{00000000-0005-0000-0000-00007B8F0000}"/>
    <cellStyle name="Normal 5 17 3 2 3" xfId="36734" xr:uid="{00000000-0005-0000-0000-00007C8F0000}"/>
    <cellStyle name="Normal 5 17 3 2 4" xfId="36735" xr:uid="{00000000-0005-0000-0000-00007D8F0000}"/>
    <cellStyle name="Normal 5 17 3 2 5" xfId="36736" xr:uid="{00000000-0005-0000-0000-00007E8F0000}"/>
    <cellStyle name="Normal 5 17 3 2 6" xfId="36737" xr:uid="{00000000-0005-0000-0000-00007F8F0000}"/>
    <cellStyle name="Normal 5 17 3 2 7" xfId="36738" xr:uid="{00000000-0005-0000-0000-0000808F0000}"/>
    <cellStyle name="Normal 5 17 3 2 8" xfId="36739" xr:uid="{00000000-0005-0000-0000-0000818F0000}"/>
    <cellStyle name="Normal 5 17 3 2 9" xfId="36740" xr:uid="{00000000-0005-0000-0000-0000828F0000}"/>
    <cellStyle name="Normal 5 17 3 3" xfId="36741" xr:uid="{00000000-0005-0000-0000-0000838F0000}"/>
    <cellStyle name="Normal 5 17 3 3 10" xfId="36742" xr:uid="{00000000-0005-0000-0000-0000848F0000}"/>
    <cellStyle name="Normal 5 17 3 3 2" xfId="36743" xr:uid="{00000000-0005-0000-0000-0000858F0000}"/>
    <cellStyle name="Normal 5 17 3 3 3" xfId="36744" xr:uid="{00000000-0005-0000-0000-0000868F0000}"/>
    <cellStyle name="Normal 5 17 3 3 4" xfId="36745" xr:uid="{00000000-0005-0000-0000-0000878F0000}"/>
    <cellStyle name="Normal 5 17 3 3 5" xfId="36746" xr:uid="{00000000-0005-0000-0000-0000888F0000}"/>
    <cellStyle name="Normal 5 17 3 3 6" xfId="36747" xr:uid="{00000000-0005-0000-0000-0000898F0000}"/>
    <cellStyle name="Normal 5 17 3 3 7" xfId="36748" xr:uid="{00000000-0005-0000-0000-00008A8F0000}"/>
    <cellStyle name="Normal 5 17 3 3 8" xfId="36749" xr:uid="{00000000-0005-0000-0000-00008B8F0000}"/>
    <cellStyle name="Normal 5 17 3 3 9" xfId="36750" xr:uid="{00000000-0005-0000-0000-00008C8F0000}"/>
    <cellStyle name="Normal 5 17 3 4" xfId="36751" xr:uid="{00000000-0005-0000-0000-00008D8F0000}"/>
    <cellStyle name="Normal 5 17 3 4 10" xfId="36752" xr:uid="{00000000-0005-0000-0000-00008E8F0000}"/>
    <cellStyle name="Normal 5 17 3 4 2" xfId="36753" xr:uid="{00000000-0005-0000-0000-00008F8F0000}"/>
    <cellStyle name="Normal 5 17 3 4 3" xfId="36754" xr:uid="{00000000-0005-0000-0000-0000908F0000}"/>
    <cellStyle name="Normal 5 17 3 4 4" xfId="36755" xr:uid="{00000000-0005-0000-0000-0000918F0000}"/>
    <cellStyle name="Normal 5 17 3 4 5" xfId="36756" xr:uid="{00000000-0005-0000-0000-0000928F0000}"/>
    <cellStyle name="Normal 5 17 3 4 6" xfId="36757" xr:uid="{00000000-0005-0000-0000-0000938F0000}"/>
    <cellStyle name="Normal 5 17 3 4 7" xfId="36758" xr:uid="{00000000-0005-0000-0000-0000948F0000}"/>
    <cellStyle name="Normal 5 17 3 4 8" xfId="36759" xr:uid="{00000000-0005-0000-0000-0000958F0000}"/>
    <cellStyle name="Normal 5 17 3 4 9" xfId="36760" xr:uid="{00000000-0005-0000-0000-0000968F0000}"/>
    <cellStyle name="Normal 5 17 3 5" xfId="36761" xr:uid="{00000000-0005-0000-0000-0000978F0000}"/>
    <cellStyle name="Normal 5 17 3 5 10" xfId="36762" xr:uid="{00000000-0005-0000-0000-0000988F0000}"/>
    <cellStyle name="Normal 5 17 3 5 2" xfId="36763" xr:uid="{00000000-0005-0000-0000-0000998F0000}"/>
    <cellStyle name="Normal 5 17 3 5 3" xfId="36764" xr:uid="{00000000-0005-0000-0000-00009A8F0000}"/>
    <cellStyle name="Normal 5 17 3 5 4" xfId="36765" xr:uid="{00000000-0005-0000-0000-00009B8F0000}"/>
    <cellStyle name="Normal 5 17 3 5 5" xfId="36766" xr:uid="{00000000-0005-0000-0000-00009C8F0000}"/>
    <cellStyle name="Normal 5 17 3 5 6" xfId="36767" xr:uid="{00000000-0005-0000-0000-00009D8F0000}"/>
    <cellStyle name="Normal 5 17 3 5 7" xfId="36768" xr:uid="{00000000-0005-0000-0000-00009E8F0000}"/>
    <cellStyle name="Normal 5 17 3 5 8" xfId="36769" xr:uid="{00000000-0005-0000-0000-00009F8F0000}"/>
    <cellStyle name="Normal 5 17 3 5 9" xfId="36770" xr:uid="{00000000-0005-0000-0000-0000A08F0000}"/>
    <cellStyle name="Normal 5 17 3 6" xfId="36771" xr:uid="{00000000-0005-0000-0000-0000A18F0000}"/>
    <cellStyle name="Normal 5 17 3 7" xfId="36772" xr:uid="{00000000-0005-0000-0000-0000A28F0000}"/>
    <cellStyle name="Normal 5 17 3 8" xfId="36773" xr:uid="{00000000-0005-0000-0000-0000A38F0000}"/>
    <cellStyle name="Normal 5 17 3 9" xfId="36774" xr:uid="{00000000-0005-0000-0000-0000A48F0000}"/>
    <cellStyle name="Normal 5 17 30" xfId="36775" xr:uid="{00000000-0005-0000-0000-0000A58F0000}"/>
    <cellStyle name="Normal 5 17 30 10" xfId="36776" xr:uid="{00000000-0005-0000-0000-0000A68F0000}"/>
    <cellStyle name="Normal 5 17 30 11" xfId="36777" xr:uid="{00000000-0005-0000-0000-0000A78F0000}"/>
    <cellStyle name="Normal 5 17 30 12" xfId="36778" xr:uid="{00000000-0005-0000-0000-0000A88F0000}"/>
    <cellStyle name="Normal 5 17 30 13" xfId="36779" xr:uid="{00000000-0005-0000-0000-0000A98F0000}"/>
    <cellStyle name="Normal 5 17 30 14" xfId="36780" xr:uid="{00000000-0005-0000-0000-0000AA8F0000}"/>
    <cellStyle name="Normal 5 17 30 2" xfId="36781" xr:uid="{00000000-0005-0000-0000-0000AB8F0000}"/>
    <cellStyle name="Normal 5 17 30 2 10" xfId="36782" xr:uid="{00000000-0005-0000-0000-0000AC8F0000}"/>
    <cellStyle name="Normal 5 17 30 2 2" xfId="36783" xr:uid="{00000000-0005-0000-0000-0000AD8F0000}"/>
    <cellStyle name="Normal 5 17 30 2 3" xfId="36784" xr:uid="{00000000-0005-0000-0000-0000AE8F0000}"/>
    <cellStyle name="Normal 5 17 30 2 4" xfId="36785" xr:uid="{00000000-0005-0000-0000-0000AF8F0000}"/>
    <cellStyle name="Normal 5 17 30 2 5" xfId="36786" xr:uid="{00000000-0005-0000-0000-0000B08F0000}"/>
    <cellStyle name="Normal 5 17 30 2 6" xfId="36787" xr:uid="{00000000-0005-0000-0000-0000B18F0000}"/>
    <cellStyle name="Normal 5 17 30 2 7" xfId="36788" xr:uid="{00000000-0005-0000-0000-0000B28F0000}"/>
    <cellStyle name="Normal 5 17 30 2 8" xfId="36789" xr:uid="{00000000-0005-0000-0000-0000B38F0000}"/>
    <cellStyle name="Normal 5 17 30 2 9" xfId="36790" xr:uid="{00000000-0005-0000-0000-0000B48F0000}"/>
    <cellStyle name="Normal 5 17 30 3" xfId="36791" xr:uid="{00000000-0005-0000-0000-0000B58F0000}"/>
    <cellStyle name="Normal 5 17 30 3 10" xfId="36792" xr:uid="{00000000-0005-0000-0000-0000B68F0000}"/>
    <cellStyle name="Normal 5 17 30 3 2" xfId="36793" xr:uid="{00000000-0005-0000-0000-0000B78F0000}"/>
    <cellStyle name="Normal 5 17 30 3 3" xfId="36794" xr:uid="{00000000-0005-0000-0000-0000B88F0000}"/>
    <cellStyle name="Normal 5 17 30 3 4" xfId="36795" xr:uid="{00000000-0005-0000-0000-0000B98F0000}"/>
    <cellStyle name="Normal 5 17 30 3 5" xfId="36796" xr:uid="{00000000-0005-0000-0000-0000BA8F0000}"/>
    <cellStyle name="Normal 5 17 30 3 6" xfId="36797" xr:uid="{00000000-0005-0000-0000-0000BB8F0000}"/>
    <cellStyle name="Normal 5 17 30 3 7" xfId="36798" xr:uid="{00000000-0005-0000-0000-0000BC8F0000}"/>
    <cellStyle name="Normal 5 17 30 3 8" xfId="36799" xr:uid="{00000000-0005-0000-0000-0000BD8F0000}"/>
    <cellStyle name="Normal 5 17 30 3 9" xfId="36800" xr:uid="{00000000-0005-0000-0000-0000BE8F0000}"/>
    <cellStyle name="Normal 5 17 30 4" xfId="36801" xr:uid="{00000000-0005-0000-0000-0000BF8F0000}"/>
    <cellStyle name="Normal 5 17 30 4 10" xfId="36802" xr:uid="{00000000-0005-0000-0000-0000C08F0000}"/>
    <cellStyle name="Normal 5 17 30 4 2" xfId="36803" xr:uid="{00000000-0005-0000-0000-0000C18F0000}"/>
    <cellStyle name="Normal 5 17 30 4 3" xfId="36804" xr:uid="{00000000-0005-0000-0000-0000C28F0000}"/>
    <cellStyle name="Normal 5 17 30 4 4" xfId="36805" xr:uid="{00000000-0005-0000-0000-0000C38F0000}"/>
    <cellStyle name="Normal 5 17 30 4 5" xfId="36806" xr:uid="{00000000-0005-0000-0000-0000C48F0000}"/>
    <cellStyle name="Normal 5 17 30 4 6" xfId="36807" xr:uid="{00000000-0005-0000-0000-0000C58F0000}"/>
    <cellStyle name="Normal 5 17 30 4 7" xfId="36808" xr:uid="{00000000-0005-0000-0000-0000C68F0000}"/>
    <cellStyle name="Normal 5 17 30 4 8" xfId="36809" xr:uid="{00000000-0005-0000-0000-0000C78F0000}"/>
    <cellStyle name="Normal 5 17 30 4 9" xfId="36810" xr:uid="{00000000-0005-0000-0000-0000C88F0000}"/>
    <cellStyle name="Normal 5 17 30 5" xfId="36811" xr:uid="{00000000-0005-0000-0000-0000C98F0000}"/>
    <cellStyle name="Normal 5 17 30 5 10" xfId="36812" xr:uid="{00000000-0005-0000-0000-0000CA8F0000}"/>
    <cellStyle name="Normal 5 17 30 5 2" xfId="36813" xr:uid="{00000000-0005-0000-0000-0000CB8F0000}"/>
    <cellStyle name="Normal 5 17 30 5 3" xfId="36814" xr:uid="{00000000-0005-0000-0000-0000CC8F0000}"/>
    <cellStyle name="Normal 5 17 30 5 4" xfId="36815" xr:uid="{00000000-0005-0000-0000-0000CD8F0000}"/>
    <cellStyle name="Normal 5 17 30 5 5" xfId="36816" xr:uid="{00000000-0005-0000-0000-0000CE8F0000}"/>
    <cellStyle name="Normal 5 17 30 5 6" xfId="36817" xr:uid="{00000000-0005-0000-0000-0000CF8F0000}"/>
    <cellStyle name="Normal 5 17 30 5 7" xfId="36818" xr:uid="{00000000-0005-0000-0000-0000D08F0000}"/>
    <cellStyle name="Normal 5 17 30 5 8" xfId="36819" xr:uid="{00000000-0005-0000-0000-0000D18F0000}"/>
    <cellStyle name="Normal 5 17 30 5 9" xfId="36820" xr:uid="{00000000-0005-0000-0000-0000D28F0000}"/>
    <cellStyle name="Normal 5 17 30 6" xfId="36821" xr:uid="{00000000-0005-0000-0000-0000D38F0000}"/>
    <cellStyle name="Normal 5 17 30 7" xfId="36822" xr:uid="{00000000-0005-0000-0000-0000D48F0000}"/>
    <cellStyle name="Normal 5 17 30 8" xfId="36823" xr:uid="{00000000-0005-0000-0000-0000D58F0000}"/>
    <cellStyle name="Normal 5 17 30 9" xfId="36824" xr:uid="{00000000-0005-0000-0000-0000D68F0000}"/>
    <cellStyle name="Normal 5 17 31" xfId="36825" xr:uid="{00000000-0005-0000-0000-0000D78F0000}"/>
    <cellStyle name="Normal 5 17 31 10" xfId="36826" xr:uid="{00000000-0005-0000-0000-0000D88F0000}"/>
    <cellStyle name="Normal 5 17 31 11" xfId="36827" xr:uid="{00000000-0005-0000-0000-0000D98F0000}"/>
    <cellStyle name="Normal 5 17 31 12" xfId="36828" xr:uid="{00000000-0005-0000-0000-0000DA8F0000}"/>
    <cellStyle name="Normal 5 17 31 13" xfId="36829" xr:uid="{00000000-0005-0000-0000-0000DB8F0000}"/>
    <cellStyle name="Normal 5 17 31 14" xfId="36830" xr:uid="{00000000-0005-0000-0000-0000DC8F0000}"/>
    <cellStyle name="Normal 5 17 31 2" xfId="36831" xr:uid="{00000000-0005-0000-0000-0000DD8F0000}"/>
    <cellStyle name="Normal 5 17 31 2 10" xfId="36832" xr:uid="{00000000-0005-0000-0000-0000DE8F0000}"/>
    <cellStyle name="Normal 5 17 31 2 2" xfId="36833" xr:uid="{00000000-0005-0000-0000-0000DF8F0000}"/>
    <cellStyle name="Normal 5 17 31 2 3" xfId="36834" xr:uid="{00000000-0005-0000-0000-0000E08F0000}"/>
    <cellStyle name="Normal 5 17 31 2 4" xfId="36835" xr:uid="{00000000-0005-0000-0000-0000E18F0000}"/>
    <cellStyle name="Normal 5 17 31 2 5" xfId="36836" xr:uid="{00000000-0005-0000-0000-0000E28F0000}"/>
    <cellStyle name="Normal 5 17 31 2 6" xfId="36837" xr:uid="{00000000-0005-0000-0000-0000E38F0000}"/>
    <cellStyle name="Normal 5 17 31 2 7" xfId="36838" xr:uid="{00000000-0005-0000-0000-0000E48F0000}"/>
    <cellStyle name="Normal 5 17 31 2 8" xfId="36839" xr:uid="{00000000-0005-0000-0000-0000E58F0000}"/>
    <cellStyle name="Normal 5 17 31 2 9" xfId="36840" xr:uid="{00000000-0005-0000-0000-0000E68F0000}"/>
    <cellStyle name="Normal 5 17 31 3" xfId="36841" xr:uid="{00000000-0005-0000-0000-0000E78F0000}"/>
    <cellStyle name="Normal 5 17 31 3 10" xfId="36842" xr:uid="{00000000-0005-0000-0000-0000E88F0000}"/>
    <cellStyle name="Normal 5 17 31 3 2" xfId="36843" xr:uid="{00000000-0005-0000-0000-0000E98F0000}"/>
    <cellStyle name="Normal 5 17 31 3 3" xfId="36844" xr:uid="{00000000-0005-0000-0000-0000EA8F0000}"/>
    <cellStyle name="Normal 5 17 31 3 4" xfId="36845" xr:uid="{00000000-0005-0000-0000-0000EB8F0000}"/>
    <cellStyle name="Normal 5 17 31 3 5" xfId="36846" xr:uid="{00000000-0005-0000-0000-0000EC8F0000}"/>
    <cellStyle name="Normal 5 17 31 3 6" xfId="36847" xr:uid="{00000000-0005-0000-0000-0000ED8F0000}"/>
    <cellStyle name="Normal 5 17 31 3 7" xfId="36848" xr:uid="{00000000-0005-0000-0000-0000EE8F0000}"/>
    <cellStyle name="Normal 5 17 31 3 8" xfId="36849" xr:uid="{00000000-0005-0000-0000-0000EF8F0000}"/>
    <cellStyle name="Normal 5 17 31 3 9" xfId="36850" xr:uid="{00000000-0005-0000-0000-0000F08F0000}"/>
    <cellStyle name="Normal 5 17 31 4" xfId="36851" xr:uid="{00000000-0005-0000-0000-0000F18F0000}"/>
    <cellStyle name="Normal 5 17 31 4 10" xfId="36852" xr:uid="{00000000-0005-0000-0000-0000F28F0000}"/>
    <cellStyle name="Normal 5 17 31 4 2" xfId="36853" xr:uid="{00000000-0005-0000-0000-0000F38F0000}"/>
    <cellStyle name="Normal 5 17 31 4 3" xfId="36854" xr:uid="{00000000-0005-0000-0000-0000F48F0000}"/>
    <cellStyle name="Normal 5 17 31 4 4" xfId="36855" xr:uid="{00000000-0005-0000-0000-0000F58F0000}"/>
    <cellStyle name="Normal 5 17 31 4 5" xfId="36856" xr:uid="{00000000-0005-0000-0000-0000F68F0000}"/>
    <cellStyle name="Normal 5 17 31 4 6" xfId="36857" xr:uid="{00000000-0005-0000-0000-0000F78F0000}"/>
    <cellStyle name="Normal 5 17 31 4 7" xfId="36858" xr:uid="{00000000-0005-0000-0000-0000F88F0000}"/>
    <cellStyle name="Normal 5 17 31 4 8" xfId="36859" xr:uid="{00000000-0005-0000-0000-0000F98F0000}"/>
    <cellStyle name="Normal 5 17 31 4 9" xfId="36860" xr:uid="{00000000-0005-0000-0000-0000FA8F0000}"/>
    <cellStyle name="Normal 5 17 31 5" xfId="36861" xr:uid="{00000000-0005-0000-0000-0000FB8F0000}"/>
    <cellStyle name="Normal 5 17 31 5 10" xfId="36862" xr:uid="{00000000-0005-0000-0000-0000FC8F0000}"/>
    <cellStyle name="Normal 5 17 31 5 2" xfId="36863" xr:uid="{00000000-0005-0000-0000-0000FD8F0000}"/>
    <cellStyle name="Normal 5 17 31 5 3" xfId="36864" xr:uid="{00000000-0005-0000-0000-0000FE8F0000}"/>
    <cellStyle name="Normal 5 17 31 5 4" xfId="36865" xr:uid="{00000000-0005-0000-0000-0000FF8F0000}"/>
    <cellStyle name="Normal 5 17 31 5 5" xfId="36866" xr:uid="{00000000-0005-0000-0000-000000900000}"/>
    <cellStyle name="Normal 5 17 31 5 6" xfId="36867" xr:uid="{00000000-0005-0000-0000-000001900000}"/>
    <cellStyle name="Normal 5 17 31 5 7" xfId="36868" xr:uid="{00000000-0005-0000-0000-000002900000}"/>
    <cellStyle name="Normal 5 17 31 5 8" xfId="36869" xr:uid="{00000000-0005-0000-0000-000003900000}"/>
    <cellStyle name="Normal 5 17 31 5 9" xfId="36870" xr:uid="{00000000-0005-0000-0000-000004900000}"/>
    <cellStyle name="Normal 5 17 31 6" xfId="36871" xr:uid="{00000000-0005-0000-0000-000005900000}"/>
    <cellStyle name="Normal 5 17 31 7" xfId="36872" xr:uid="{00000000-0005-0000-0000-000006900000}"/>
    <cellStyle name="Normal 5 17 31 8" xfId="36873" xr:uid="{00000000-0005-0000-0000-000007900000}"/>
    <cellStyle name="Normal 5 17 31 9" xfId="36874" xr:uid="{00000000-0005-0000-0000-000008900000}"/>
    <cellStyle name="Normal 5 17 32" xfId="36875" xr:uid="{00000000-0005-0000-0000-000009900000}"/>
    <cellStyle name="Normal 5 17 32 10" xfId="36876" xr:uid="{00000000-0005-0000-0000-00000A900000}"/>
    <cellStyle name="Normal 5 17 32 11" xfId="36877" xr:uid="{00000000-0005-0000-0000-00000B900000}"/>
    <cellStyle name="Normal 5 17 32 12" xfId="36878" xr:uid="{00000000-0005-0000-0000-00000C900000}"/>
    <cellStyle name="Normal 5 17 32 13" xfId="36879" xr:uid="{00000000-0005-0000-0000-00000D900000}"/>
    <cellStyle name="Normal 5 17 32 14" xfId="36880" xr:uid="{00000000-0005-0000-0000-00000E900000}"/>
    <cellStyle name="Normal 5 17 32 2" xfId="36881" xr:uid="{00000000-0005-0000-0000-00000F900000}"/>
    <cellStyle name="Normal 5 17 32 2 10" xfId="36882" xr:uid="{00000000-0005-0000-0000-000010900000}"/>
    <cellStyle name="Normal 5 17 32 2 2" xfId="36883" xr:uid="{00000000-0005-0000-0000-000011900000}"/>
    <cellStyle name="Normal 5 17 32 2 3" xfId="36884" xr:uid="{00000000-0005-0000-0000-000012900000}"/>
    <cellStyle name="Normal 5 17 32 2 4" xfId="36885" xr:uid="{00000000-0005-0000-0000-000013900000}"/>
    <cellStyle name="Normal 5 17 32 2 5" xfId="36886" xr:uid="{00000000-0005-0000-0000-000014900000}"/>
    <cellStyle name="Normal 5 17 32 2 6" xfId="36887" xr:uid="{00000000-0005-0000-0000-000015900000}"/>
    <cellStyle name="Normal 5 17 32 2 7" xfId="36888" xr:uid="{00000000-0005-0000-0000-000016900000}"/>
    <cellStyle name="Normal 5 17 32 2 8" xfId="36889" xr:uid="{00000000-0005-0000-0000-000017900000}"/>
    <cellStyle name="Normal 5 17 32 2 9" xfId="36890" xr:uid="{00000000-0005-0000-0000-000018900000}"/>
    <cellStyle name="Normal 5 17 32 3" xfId="36891" xr:uid="{00000000-0005-0000-0000-000019900000}"/>
    <cellStyle name="Normal 5 17 32 3 10" xfId="36892" xr:uid="{00000000-0005-0000-0000-00001A900000}"/>
    <cellStyle name="Normal 5 17 32 3 2" xfId="36893" xr:uid="{00000000-0005-0000-0000-00001B900000}"/>
    <cellStyle name="Normal 5 17 32 3 3" xfId="36894" xr:uid="{00000000-0005-0000-0000-00001C900000}"/>
    <cellStyle name="Normal 5 17 32 3 4" xfId="36895" xr:uid="{00000000-0005-0000-0000-00001D900000}"/>
    <cellStyle name="Normal 5 17 32 3 5" xfId="36896" xr:uid="{00000000-0005-0000-0000-00001E900000}"/>
    <cellStyle name="Normal 5 17 32 3 6" xfId="36897" xr:uid="{00000000-0005-0000-0000-00001F900000}"/>
    <cellStyle name="Normal 5 17 32 3 7" xfId="36898" xr:uid="{00000000-0005-0000-0000-000020900000}"/>
    <cellStyle name="Normal 5 17 32 3 8" xfId="36899" xr:uid="{00000000-0005-0000-0000-000021900000}"/>
    <cellStyle name="Normal 5 17 32 3 9" xfId="36900" xr:uid="{00000000-0005-0000-0000-000022900000}"/>
    <cellStyle name="Normal 5 17 32 4" xfId="36901" xr:uid="{00000000-0005-0000-0000-000023900000}"/>
    <cellStyle name="Normal 5 17 32 4 10" xfId="36902" xr:uid="{00000000-0005-0000-0000-000024900000}"/>
    <cellStyle name="Normal 5 17 32 4 2" xfId="36903" xr:uid="{00000000-0005-0000-0000-000025900000}"/>
    <cellStyle name="Normal 5 17 32 4 3" xfId="36904" xr:uid="{00000000-0005-0000-0000-000026900000}"/>
    <cellStyle name="Normal 5 17 32 4 4" xfId="36905" xr:uid="{00000000-0005-0000-0000-000027900000}"/>
    <cellStyle name="Normal 5 17 32 4 5" xfId="36906" xr:uid="{00000000-0005-0000-0000-000028900000}"/>
    <cellStyle name="Normal 5 17 32 4 6" xfId="36907" xr:uid="{00000000-0005-0000-0000-000029900000}"/>
    <cellStyle name="Normal 5 17 32 4 7" xfId="36908" xr:uid="{00000000-0005-0000-0000-00002A900000}"/>
    <cellStyle name="Normal 5 17 32 4 8" xfId="36909" xr:uid="{00000000-0005-0000-0000-00002B900000}"/>
    <cellStyle name="Normal 5 17 32 4 9" xfId="36910" xr:uid="{00000000-0005-0000-0000-00002C900000}"/>
    <cellStyle name="Normal 5 17 32 5" xfId="36911" xr:uid="{00000000-0005-0000-0000-00002D900000}"/>
    <cellStyle name="Normal 5 17 32 5 10" xfId="36912" xr:uid="{00000000-0005-0000-0000-00002E900000}"/>
    <cellStyle name="Normal 5 17 32 5 2" xfId="36913" xr:uid="{00000000-0005-0000-0000-00002F900000}"/>
    <cellStyle name="Normal 5 17 32 5 3" xfId="36914" xr:uid="{00000000-0005-0000-0000-000030900000}"/>
    <cellStyle name="Normal 5 17 32 5 4" xfId="36915" xr:uid="{00000000-0005-0000-0000-000031900000}"/>
    <cellStyle name="Normal 5 17 32 5 5" xfId="36916" xr:uid="{00000000-0005-0000-0000-000032900000}"/>
    <cellStyle name="Normal 5 17 32 5 6" xfId="36917" xr:uid="{00000000-0005-0000-0000-000033900000}"/>
    <cellStyle name="Normal 5 17 32 5 7" xfId="36918" xr:uid="{00000000-0005-0000-0000-000034900000}"/>
    <cellStyle name="Normal 5 17 32 5 8" xfId="36919" xr:uid="{00000000-0005-0000-0000-000035900000}"/>
    <cellStyle name="Normal 5 17 32 5 9" xfId="36920" xr:uid="{00000000-0005-0000-0000-000036900000}"/>
    <cellStyle name="Normal 5 17 32 6" xfId="36921" xr:uid="{00000000-0005-0000-0000-000037900000}"/>
    <cellStyle name="Normal 5 17 32 7" xfId="36922" xr:uid="{00000000-0005-0000-0000-000038900000}"/>
    <cellStyle name="Normal 5 17 32 8" xfId="36923" xr:uid="{00000000-0005-0000-0000-000039900000}"/>
    <cellStyle name="Normal 5 17 32 9" xfId="36924" xr:uid="{00000000-0005-0000-0000-00003A900000}"/>
    <cellStyle name="Normal 5 17 33" xfId="36925" xr:uid="{00000000-0005-0000-0000-00003B900000}"/>
    <cellStyle name="Normal 5 17 33 10" xfId="36926" xr:uid="{00000000-0005-0000-0000-00003C900000}"/>
    <cellStyle name="Normal 5 17 33 11" xfId="36927" xr:uid="{00000000-0005-0000-0000-00003D900000}"/>
    <cellStyle name="Normal 5 17 33 12" xfId="36928" xr:uid="{00000000-0005-0000-0000-00003E900000}"/>
    <cellStyle name="Normal 5 17 33 13" xfId="36929" xr:uid="{00000000-0005-0000-0000-00003F900000}"/>
    <cellStyle name="Normal 5 17 33 14" xfId="36930" xr:uid="{00000000-0005-0000-0000-000040900000}"/>
    <cellStyle name="Normal 5 17 33 2" xfId="36931" xr:uid="{00000000-0005-0000-0000-000041900000}"/>
    <cellStyle name="Normal 5 17 33 2 10" xfId="36932" xr:uid="{00000000-0005-0000-0000-000042900000}"/>
    <cellStyle name="Normal 5 17 33 2 2" xfId="36933" xr:uid="{00000000-0005-0000-0000-000043900000}"/>
    <cellStyle name="Normal 5 17 33 2 3" xfId="36934" xr:uid="{00000000-0005-0000-0000-000044900000}"/>
    <cellStyle name="Normal 5 17 33 2 4" xfId="36935" xr:uid="{00000000-0005-0000-0000-000045900000}"/>
    <cellStyle name="Normal 5 17 33 2 5" xfId="36936" xr:uid="{00000000-0005-0000-0000-000046900000}"/>
    <cellStyle name="Normal 5 17 33 2 6" xfId="36937" xr:uid="{00000000-0005-0000-0000-000047900000}"/>
    <cellStyle name="Normal 5 17 33 2 7" xfId="36938" xr:uid="{00000000-0005-0000-0000-000048900000}"/>
    <cellStyle name="Normal 5 17 33 2 8" xfId="36939" xr:uid="{00000000-0005-0000-0000-000049900000}"/>
    <cellStyle name="Normal 5 17 33 2 9" xfId="36940" xr:uid="{00000000-0005-0000-0000-00004A900000}"/>
    <cellStyle name="Normal 5 17 33 3" xfId="36941" xr:uid="{00000000-0005-0000-0000-00004B900000}"/>
    <cellStyle name="Normal 5 17 33 3 10" xfId="36942" xr:uid="{00000000-0005-0000-0000-00004C900000}"/>
    <cellStyle name="Normal 5 17 33 3 2" xfId="36943" xr:uid="{00000000-0005-0000-0000-00004D900000}"/>
    <cellStyle name="Normal 5 17 33 3 3" xfId="36944" xr:uid="{00000000-0005-0000-0000-00004E900000}"/>
    <cellStyle name="Normal 5 17 33 3 4" xfId="36945" xr:uid="{00000000-0005-0000-0000-00004F900000}"/>
    <cellStyle name="Normal 5 17 33 3 5" xfId="36946" xr:uid="{00000000-0005-0000-0000-000050900000}"/>
    <cellStyle name="Normal 5 17 33 3 6" xfId="36947" xr:uid="{00000000-0005-0000-0000-000051900000}"/>
    <cellStyle name="Normal 5 17 33 3 7" xfId="36948" xr:uid="{00000000-0005-0000-0000-000052900000}"/>
    <cellStyle name="Normal 5 17 33 3 8" xfId="36949" xr:uid="{00000000-0005-0000-0000-000053900000}"/>
    <cellStyle name="Normal 5 17 33 3 9" xfId="36950" xr:uid="{00000000-0005-0000-0000-000054900000}"/>
    <cellStyle name="Normal 5 17 33 4" xfId="36951" xr:uid="{00000000-0005-0000-0000-000055900000}"/>
    <cellStyle name="Normal 5 17 33 4 10" xfId="36952" xr:uid="{00000000-0005-0000-0000-000056900000}"/>
    <cellStyle name="Normal 5 17 33 4 2" xfId="36953" xr:uid="{00000000-0005-0000-0000-000057900000}"/>
    <cellStyle name="Normal 5 17 33 4 3" xfId="36954" xr:uid="{00000000-0005-0000-0000-000058900000}"/>
    <cellStyle name="Normal 5 17 33 4 4" xfId="36955" xr:uid="{00000000-0005-0000-0000-000059900000}"/>
    <cellStyle name="Normal 5 17 33 4 5" xfId="36956" xr:uid="{00000000-0005-0000-0000-00005A900000}"/>
    <cellStyle name="Normal 5 17 33 4 6" xfId="36957" xr:uid="{00000000-0005-0000-0000-00005B900000}"/>
    <cellStyle name="Normal 5 17 33 4 7" xfId="36958" xr:uid="{00000000-0005-0000-0000-00005C900000}"/>
    <cellStyle name="Normal 5 17 33 4 8" xfId="36959" xr:uid="{00000000-0005-0000-0000-00005D900000}"/>
    <cellStyle name="Normal 5 17 33 4 9" xfId="36960" xr:uid="{00000000-0005-0000-0000-00005E900000}"/>
    <cellStyle name="Normal 5 17 33 5" xfId="36961" xr:uid="{00000000-0005-0000-0000-00005F900000}"/>
    <cellStyle name="Normal 5 17 33 5 10" xfId="36962" xr:uid="{00000000-0005-0000-0000-000060900000}"/>
    <cellStyle name="Normal 5 17 33 5 2" xfId="36963" xr:uid="{00000000-0005-0000-0000-000061900000}"/>
    <cellStyle name="Normal 5 17 33 5 3" xfId="36964" xr:uid="{00000000-0005-0000-0000-000062900000}"/>
    <cellStyle name="Normal 5 17 33 5 4" xfId="36965" xr:uid="{00000000-0005-0000-0000-000063900000}"/>
    <cellStyle name="Normal 5 17 33 5 5" xfId="36966" xr:uid="{00000000-0005-0000-0000-000064900000}"/>
    <cellStyle name="Normal 5 17 33 5 6" xfId="36967" xr:uid="{00000000-0005-0000-0000-000065900000}"/>
    <cellStyle name="Normal 5 17 33 5 7" xfId="36968" xr:uid="{00000000-0005-0000-0000-000066900000}"/>
    <cellStyle name="Normal 5 17 33 5 8" xfId="36969" xr:uid="{00000000-0005-0000-0000-000067900000}"/>
    <cellStyle name="Normal 5 17 33 5 9" xfId="36970" xr:uid="{00000000-0005-0000-0000-000068900000}"/>
    <cellStyle name="Normal 5 17 33 6" xfId="36971" xr:uid="{00000000-0005-0000-0000-000069900000}"/>
    <cellStyle name="Normal 5 17 33 7" xfId="36972" xr:uid="{00000000-0005-0000-0000-00006A900000}"/>
    <cellStyle name="Normal 5 17 33 8" xfId="36973" xr:uid="{00000000-0005-0000-0000-00006B900000}"/>
    <cellStyle name="Normal 5 17 33 9" xfId="36974" xr:uid="{00000000-0005-0000-0000-00006C900000}"/>
    <cellStyle name="Normal 5 17 34" xfId="36975" xr:uid="{00000000-0005-0000-0000-00006D900000}"/>
    <cellStyle name="Normal 5 17 34 10" xfId="36976" xr:uid="{00000000-0005-0000-0000-00006E900000}"/>
    <cellStyle name="Normal 5 17 34 11" xfId="36977" xr:uid="{00000000-0005-0000-0000-00006F900000}"/>
    <cellStyle name="Normal 5 17 34 12" xfId="36978" xr:uid="{00000000-0005-0000-0000-000070900000}"/>
    <cellStyle name="Normal 5 17 34 13" xfId="36979" xr:uid="{00000000-0005-0000-0000-000071900000}"/>
    <cellStyle name="Normal 5 17 34 14" xfId="36980" xr:uid="{00000000-0005-0000-0000-000072900000}"/>
    <cellStyle name="Normal 5 17 34 2" xfId="36981" xr:uid="{00000000-0005-0000-0000-000073900000}"/>
    <cellStyle name="Normal 5 17 34 2 10" xfId="36982" xr:uid="{00000000-0005-0000-0000-000074900000}"/>
    <cellStyle name="Normal 5 17 34 2 2" xfId="36983" xr:uid="{00000000-0005-0000-0000-000075900000}"/>
    <cellStyle name="Normal 5 17 34 2 3" xfId="36984" xr:uid="{00000000-0005-0000-0000-000076900000}"/>
    <cellStyle name="Normal 5 17 34 2 4" xfId="36985" xr:uid="{00000000-0005-0000-0000-000077900000}"/>
    <cellStyle name="Normal 5 17 34 2 5" xfId="36986" xr:uid="{00000000-0005-0000-0000-000078900000}"/>
    <cellStyle name="Normal 5 17 34 2 6" xfId="36987" xr:uid="{00000000-0005-0000-0000-000079900000}"/>
    <cellStyle name="Normal 5 17 34 2 7" xfId="36988" xr:uid="{00000000-0005-0000-0000-00007A900000}"/>
    <cellStyle name="Normal 5 17 34 2 8" xfId="36989" xr:uid="{00000000-0005-0000-0000-00007B900000}"/>
    <cellStyle name="Normal 5 17 34 2 9" xfId="36990" xr:uid="{00000000-0005-0000-0000-00007C900000}"/>
    <cellStyle name="Normal 5 17 34 3" xfId="36991" xr:uid="{00000000-0005-0000-0000-00007D900000}"/>
    <cellStyle name="Normal 5 17 34 3 10" xfId="36992" xr:uid="{00000000-0005-0000-0000-00007E900000}"/>
    <cellStyle name="Normal 5 17 34 3 2" xfId="36993" xr:uid="{00000000-0005-0000-0000-00007F900000}"/>
    <cellStyle name="Normal 5 17 34 3 3" xfId="36994" xr:uid="{00000000-0005-0000-0000-000080900000}"/>
    <cellStyle name="Normal 5 17 34 3 4" xfId="36995" xr:uid="{00000000-0005-0000-0000-000081900000}"/>
    <cellStyle name="Normal 5 17 34 3 5" xfId="36996" xr:uid="{00000000-0005-0000-0000-000082900000}"/>
    <cellStyle name="Normal 5 17 34 3 6" xfId="36997" xr:uid="{00000000-0005-0000-0000-000083900000}"/>
    <cellStyle name="Normal 5 17 34 3 7" xfId="36998" xr:uid="{00000000-0005-0000-0000-000084900000}"/>
    <cellStyle name="Normal 5 17 34 3 8" xfId="36999" xr:uid="{00000000-0005-0000-0000-000085900000}"/>
    <cellStyle name="Normal 5 17 34 3 9" xfId="37000" xr:uid="{00000000-0005-0000-0000-000086900000}"/>
    <cellStyle name="Normal 5 17 34 4" xfId="37001" xr:uid="{00000000-0005-0000-0000-000087900000}"/>
    <cellStyle name="Normal 5 17 34 4 10" xfId="37002" xr:uid="{00000000-0005-0000-0000-000088900000}"/>
    <cellStyle name="Normal 5 17 34 4 2" xfId="37003" xr:uid="{00000000-0005-0000-0000-000089900000}"/>
    <cellStyle name="Normal 5 17 34 4 3" xfId="37004" xr:uid="{00000000-0005-0000-0000-00008A900000}"/>
    <cellStyle name="Normal 5 17 34 4 4" xfId="37005" xr:uid="{00000000-0005-0000-0000-00008B900000}"/>
    <cellStyle name="Normal 5 17 34 4 5" xfId="37006" xr:uid="{00000000-0005-0000-0000-00008C900000}"/>
    <cellStyle name="Normal 5 17 34 4 6" xfId="37007" xr:uid="{00000000-0005-0000-0000-00008D900000}"/>
    <cellStyle name="Normal 5 17 34 4 7" xfId="37008" xr:uid="{00000000-0005-0000-0000-00008E900000}"/>
    <cellStyle name="Normal 5 17 34 4 8" xfId="37009" xr:uid="{00000000-0005-0000-0000-00008F900000}"/>
    <cellStyle name="Normal 5 17 34 4 9" xfId="37010" xr:uid="{00000000-0005-0000-0000-000090900000}"/>
    <cellStyle name="Normal 5 17 34 5" xfId="37011" xr:uid="{00000000-0005-0000-0000-000091900000}"/>
    <cellStyle name="Normal 5 17 34 5 10" xfId="37012" xr:uid="{00000000-0005-0000-0000-000092900000}"/>
    <cellStyle name="Normal 5 17 34 5 2" xfId="37013" xr:uid="{00000000-0005-0000-0000-000093900000}"/>
    <cellStyle name="Normal 5 17 34 5 3" xfId="37014" xr:uid="{00000000-0005-0000-0000-000094900000}"/>
    <cellStyle name="Normal 5 17 34 5 4" xfId="37015" xr:uid="{00000000-0005-0000-0000-000095900000}"/>
    <cellStyle name="Normal 5 17 34 5 5" xfId="37016" xr:uid="{00000000-0005-0000-0000-000096900000}"/>
    <cellStyle name="Normal 5 17 34 5 6" xfId="37017" xr:uid="{00000000-0005-0000-0000-000097900000}"/>
    <cellStyle name="Normal 5 17 34 5 7" xfId="37018" xr:uid="{00000000-0005-0000-0000-000098900000}"/>
    <cellStyle name="Normal 5 17 34 5 8" xfId="37019" xr:uid="{00000000-0005-0000-0000-000099900000}"/>
    <cellStyle name="Normal 5 17 34 5 9" xfId="37020" xr:uid="{00000000-0005-0000-0000-00009A900000}"/>
    <cellStyle name="Normal 5 17 34 6" xfId="37021" xr:uid="{00000000-0005-0000-0000-00009B900000}"/>
    <cellStyle name="Normal 5 17 34 7" xfId="37022" xr:uid="{00000000-0005-0000-0000-00009C900000}"/>
    <cellStyle name="Normal 5 17 34 8" xfId="37023" xr:uid="{00000000-0005-0000-0000-00009D900000}"/>
    <cellStyle name="Normal 5 17 34 9" xfId="37024" xr:uid="{00000000-0005-0000-0000-00009E900000}"/>
    <cellStyle name="Normal 5 17 35" xfId="37025" xr:uid="{00000000-0005-0000-0000-00009F900000}"/>
    <cellStyle name="Normal 5 17 35 10" xfId="37026" xr:uid="{00000000-0005-0000-0000-0000A0900000}"/>
    <cellStyle name="Normal 5 17 35 2" xfId="37027" xr:uid="{00000000-0005-0000-0000-0000A1900000}"/>
    <cellStyle name="Normal 5 17 35 3" xfId="37028" xr:uid="{00000000-0005-0000-0000-0000A2900000}"/>
    <cellStyle name="Normal 5 17 35 4" xfId="37029" xr:uid="{00000000-0005-0000-0000-0000A3900000}"/>
    <cellStyle name="Normal 5 17 35 5" xfId="37030" xr:uid="{00000000-0005-0000-0000-0000A4900000}"/>
    <cellStyle name="Normal 5 17 35 6" xfId="37031" xr:uid="{00000000-0005-0000-0000-0000A5900000}"/>
    <cellStyle name="Normal 5 17 35 7" xfId="37032" xr:uid="{00000000-0005-0000-0000-0000A6900000}"/>
    <cellStyle name="Normal 5 17 35 8" xfId="37033" xr:uid="{00000000-0005-0000-0000-0000A7900000}"/>
    <cellStyle name="Normal 5 17 35 9" xfId="37034" xr:uid="{00000000-0005-0000-0000-0000A8900000}"/>
    <cellStyle name="Normal 5 17 36" xfId="37035" xr:uid="{00000000-0005-0000-0000-0000A9900000}"/>
    <cellStyle name="Normal 5 17 36 10" xfId="37036" xr:uid="{00000000-0005-0000-0000-0000AA900000}"/>
    <cellStyle name="Normal 5 17 36 2" xfId="37037" xr:uid="{00000000-0005-0000-0000-0000AB900000}"/>
    <cellStyle name="Normal 5 17 36 3" xfId="37038" xr:uid="{00000000-0005-0000-0000-0000AC900000}"/>
    <cellStyle name="Normal 5 17 36 4" xfId="37039" xr:uid="{00000000-0005-0000-0000-0000AD900000}"/>
    <cellStyle name="Normal 5 17 36 5" xfId="37040" xr:uid="{00000000-0005-0000-0000-0000AE900000}"/>
    <cellStyle name="Normal 5 17 36 6" xfId="37041" xr:uid="{00000000-0005-0000-0000-0000AF900000}"/>
    <cellStyle name="Normal 5 17 36 7" xfId="37042" xr:uid="{00000000-0005-0000-0000-0000B0900000}"/>
    <cellStyle name="Normal 5 17 36 8" xfId="37043" xr:uid="{00000000-0005-0000-0000-0000B1900000}"/>
    <cellStyle name="Normal 5 17 36 9" xfId="37044" xr:uid="{00000000-0005-0000-0000-0000B2900000}"/>
    <cellStyle name="Normal 5 17 37" xfId="37045" xr:uid="{00000000-0005-0000-0000-0000B3900000}"/>
    <cellStyle name="Normal 5 17 37 10" xfId="37046" xr:uid="{00000000-0005-0000-0000-0000B4900000}"/>
    <cellStyle name="Normal 5 17 37 2" xfId="37047" xr:uid="{00000000-0005-0000-0000-0000B5900000}"/>
    <cellStyle name="Normal 5 17 37 3" xfId="37048" xr:uid="{00000000-0005-0000-0000-0000B6900000}"/>
    <cellStyle name="Normal 5 17 37 4" xfId="37049" xr:uid="{00000000-0005-0000-0000-0000B7900000}"/>
    <cellStyle name="Normal 5 17 37 5" xfId="37050" xr:uid="{00000000-0005-0000-0000-0000B8900000}"/>
    <cellStyle name="Normal 5 17 37 6" xfId="37051" xr:uid="{00000000-0005-0000-0000-0000B9900000}"/>
    <cellStyle name="Normal 5 17 37 7" xfId="37052" xr:uid="{00000000-0005-0000-0000-0000BA900000}"/>
    <cellStyle name="Normal 5 17 37 8" xfId="37053" xr:uid="{00000000-0005-0000-0000-0000BB900000}"/>
    <cellStyle name="Normal 5 17 37 9" xfId="37054" xr:uid="{00000000-0005-0000-0000-0000BC900000}"/>
    <cellStyle name="Normal 5 17 38" xfId="37055" xr:uid="{00000000-0005-0000-0000-0000BD900000}"/>
    <cellStyle name="Normal 5 17 38 10" xfId="37056" xr:uid="{00000000-0005-0000-0000-0000BE900000}"/>
    <cellStyle name="Normal 5 17 38 2" xfId="37057" xr:uid="{00000000-0005-0000-0000-0000BF900000}"/>
    <cellStyle name="Normal 5 17 38 3" xfId="37058" xr:uid="{00000000-0005-0000-0000-0000C0900000}"/>
    <cellStyle name="Normal 5 17 38 4" xfId="37059" xr:uid="{00000000-0005-0000-0000-0000C1900000}"/>
    <cellStyle name="Normal 5 17 38 5" xfId="37060" xr:uid="{00000000-0005-0000-0000-0000C2900000}"/>
    <cellStyle name="Normal 5 17 38 6" xfId="37061" xr:uid="{00000000-0005-0000-0000-0000C3900000}"/>
    <cellStyle name="Normal 5 17 38 7" xfId="37062" xr:uid="{00000000-0005-0000-0000-0000C4900000}"/>
    <cellStyle name="Normal 5 17 38 8" xfId="37063" xr:uid="{00000000-0005-0000-0000-0000C5900000}"/>
    <cellStyle name="Normal 5 17 38 9" xfId="37064" xr:uid="{00000000-0005-0000-0000-0000C6900000}"/>
    <cellStyle name="Normal 5 17 39" xfId="37065" xr:uid="{00000000-0005-0000-0000-0000C7900000}"/>
    <cellStyle name="Normal 5 17 4" xfId="37066" xr:uid="{00000000-0005-0000-0000-0000C8900000}"/>
    <cellStyle name="Normal 5 17 4 10" xfId="37067" xr:uid="{00000000-0005-0000-0000-0000C9900000}"/>
    <cellStyle name="Normal 5 17 4 11" xfId="37068" xr:uid="{00000000-0005-0000-0000-0000CA900000}"/>
    <cellStyle name="Normal 5 17 4 12" xfId="37069" xr:uid="{00000000-0005-0000-0000-0000CB900000}"/>
    <cellStyle name="Normal 5 17 4 13" xfId="37070" xr:uid="{00000000-0005-0000-0000-0000CC900000}"/>
    <cellStyle name="Normal 5 17 4 14" xfId="37071" xr:uid="{00000000-0005-0000-0000-0000CD900000}"/>
    <cellStyle name="Normal 5 17 4 2" xfId="37072" xr:uid="{00000000-0005-0000-0000-0000CE900000}"/>
    <cellStyle name="Normal 5 17 4 2 10" xfId="37073" xr:uid="{00000000-0005-0000-0000-0000CF900000}"/>
    <cellStyle name="Normal 5 17 4 2 2" xfId="37074" xr:uid="{00000000-0005-0000-0000-0000D0900000}"/>
    <cellStyle name="Normal 5 17 4 2 3" xfId="37075" xr:uid="{00000000-0005-0000-0000-0000D1900000}"/>
    <cellStyle name="Normal 5 17 4 2 4" xfId="37076" xr:uid="{00000000-0005-0000-0000-0000D2900000}"/>
    <cellStyle name="Normal 5 17 4 2 5" xfId="37077" xr:uid="{00000000-0005-0000-0000-0000D3900000}"/>
    <cellStyle name="Normal 5 17 4 2 6" xfId="37078" xr:uid="{00000000-0005-0000-0000-0000D4900000}"/>
    <cellStyle name="Normal 5 17 4 2 7" xfId="37079" xr:uid="{00000000-0005-0000-0000-0000D5900000}"/>
    <cellStyle name="Normal 5 17 4 2 8" xfId="37080" xr:uid="{00000000-0005-0000-0000-0000D6900000}"/>
    <cellStyle name="Normal 5 17 4 2 9" xfId="37081" xr:uid="{00000000-0005-0000-0000-0000D7900000}"/>
    <cellStyle name="Normal 5 17 4 3" xfId="37082" xr:uid="{00000000-0005-0000-0000-0000D8900000}"/>
    <cellStyle name="Normal 5 17 4 3 10" xfId="37083" xr:uid="{00000000-0005-0000-0000-0000D9900000}"/>
    <cellStyle name="Normal 5 17 4 3 2" xfId="37084" xr:uid="{00000000-0005-0000-0000-0000DA900000}"/>
    <cellStyle name="Normal 5 17 4 3 3" xfId="37085" xr:uid="{00000000-0005-0000-0000-0000DB900000}"/>
    <cellStyle name="Normal 5 17 4 3 4" xfId="37086" xr:uid="{00000000-0005-0000-0000-0000DC900000}"/>
    <cellStyle name="Normal 5 17 4 3 5" xfId="37087" xr:uid="{00000000-0005-0000-0000-0000DD900000}"/>
    <cellStyle name="Normal 5 17 4 3 6" xfId="37088" xr:uid="{00000000-0005-0000-0000-0000DE900000}"/>
    <cellStyle name="Normal 5 17 4 3 7" xfId="37089" xr:uid="{00000000-0005-0000-0000-0000DF900000}"/>
    <cellStyle name="Normal 5 17 4 3 8" xfId="37090" xr:uid="{00000000-0005-0000-0000-0000E0900000}"/>
    <cellStyle name="Normal 5 17 4 3 9" xfId="37091" xr:uid="{00000000-0005-0000-0000-0000E1900000}"/>
    <cellStyle name="Normal 5 17 4 4" xfId="37092" xr:uid="{00000000-0005-0000-0000-0000E2900000}"/>
    <cellStyle name="Normal 5 17 4 4 10" xfId="37093" xr:uid="{00000000-0005-0000-0000-0000E3900000}"/>
    <cellStyle name="Normal 5 17 4 4 2" xfId="37094" xr:uid="{00000000-0005-0000-0000-0000E4900000}"/>
    <cellStyle name="Normal 5 17 4 4 3" xfId="37095" xr:uid="{00000000-0005-0000-0000-0000E5900000}"/>
    <cellStyle name="Normal 5 17 4 4 4" xfId="37096" xr:uid="{00000000-0005-0000-0000-0000E6900000}"/>
    <cellStyle name="Normal 5 17 4 4 5" xfId="37097" xr:uid="{00000000-0005-0000-0000-0000E7900000}"/>
    <cellStyle name="Normal 5 17 4 4 6" xfId="37098" xr:uid="{00000000-0005-0000-0000-0000E8900000}"/>
    <cellStyle name="Normal 5 17 4 4 7" xfId="37099" xr:uid="{00000000-0005-0000-0000-0000E9900000}"/>
    <cellStyle name="Normal 5 17 4 4 8" xfId="37100" xr:uid="{00000000-0005-0000-0000-0000EA900000}"/>
    <cellStyle name="Normal 5 17 4 4 9" xfId="37101" xr:uid="{00000000-0005-0000-0000-0000EB900000}"/>
    <cellStyle name="Normal 5 17 4 5" xfId="37102" xr:uid="{00000000-0005-0000-0000-0000EC900000}"/>
    <cellStyle name="Normal 5 17 4 5 10" xfId="37103" xr:uid="{00000000-0005-0000-0000-0000ED900000}"/>
    <cellStyle name="Normal 5 17 4 5 2" xfId="37104" xr:uid="{00000000-0005-0000-0000-0000EE900000}"/>
    <cellStyle name="Normal 5 17 4 5 3" xfId="37105" xr:uid="{00000000-0005-0000-0000-0000EF900000}"/>
    <cellStyle name="Normal 5 17 4 5 4" xfId="37106" xr:uid="{00000000-0005-0000-0000-0000F0900000}"/>
    <cellStyle name="Normal 5 17 4 5 5" xfId="37107" xr:uid="{00000000-0005-0000-0000-0000F1900000}"/>
    <cellStyle name="Normal 5 17 4 5 6" xfId="37108" xr:uid="{00000000-0005-0000-0000-0000F2900000}"/>
    <cellStyle name="Normal 5 17 4 5 7" xfId="37109" xr:uid="{00000000-0005-0000-0000-0000F3900000}"/>
    <cellStyle name="Normal 5 17 4 5 8" xfId="37110" xr:uid="{00000000-0005-0000-0000-0000F4900000}"/>
    <cellStyle name="Normal 5 17 4 5 9" xfId="37111" xr:uid="{00000000-0005-0000-0000-0000F5900000}"/>
    <cellStyle name="Normal 5 17 4 6" xfId="37112" xr:uid="{00000000-0005-0000-0000-0000F6900000}"/>
    <cellStyle name="Normal 5 17 4 7" xfId="37113" xr:uid="{00000000-0005-0000-0000-0000F7900000}"/>
    <cellStyle name="Normal 5 17 4 8" xfId="37114" xr:uid="{00000000-0005-0000-0000-0000F8900000}"/>
    <cellStyle name="Normal 5 17 4 9" xfId="37115" xr:uid="{00000000-0005-0000-0000-0000F9900000}"/>
    <cellStyle name="Normal 5 17 40" xfId="37116" xr:uid="{00000000-0005-0000-0000-0000FA900000}"/>
    <cellStyle name="Normal 5 17 41" xfId="37117" xr:uid="{00000000-0005-0000-0000-0000FB900000}"/>
    <cellStyle name="Normal 5 17 42" xfId="37118" xr:uid="{00000000-0005-0000-0000-0000FC900000}"/>
    <cellStyle name="Normal 5 17 43" xfId="37119" xr:uid="{00000000-0005-0000-0000-0000FD900000}"/>
    <cellStyle name="Normal 5 17 44" xfId="37120" xr:uid="{00000000-0005-0000-0000-0000FE900000}"/>
    <cellStyle name="Normal 5 17 45" xfId="37121" xr:uid="{00000000-0005-0000-0000-0000FF900000}"/>
    <cellStyle name="Normal 5 17 46" xfId="37122" xr:uid="{00000000-0005-0000-0000-000000910000}"/>
    <cellStyle name="Normal 5 17 47" xfId="37123" xr:uid="{00000000-0005-0000-0000-000001910000}"/>
    <cellStyle name="Normal 5 17 48" xfId="37124" xr:uid="{00000000-0005-0000-0000-000002910000}"/>
    <cellStyle name="Normal 5 17 49" xfId="37125" xr:uid="{00000000-0005-0000-0000-000003910000}"/>
    <cellStyle name="Normal 5 17 5" xfId="37126" xr:uid="{00000000-0005-0000-0000-000004910000}"/>
    <cellStyle name="Normal 5 17 5 10" xfId="37127" xr:uid="{00000000-0005-0000-0000-000005910000}"/>
    <cellStyle name="Normal 5 17 5 11" xfId="37128" xr:uid="{00000000-0005-0000-0000-000006910000}"/>
    <cellStyle name="Normal 5 17 5 12" xfId="37129" xr:uid="{00000000-0005-0000-0000-000007910000}"/>
    <cellStyle name="Normal 5 17 5 13" xfId="37130" xr:uid="{00000000-0005-0000-0000-000008910000}"/>
    <cellStyle name="Normal 5 17 5 14" xfId="37131" xr:uid="{00000000-0005-0000-0000-000009910000}"/>
    <cellStyle name="Normal 5 17 5 2" xfId="37132" xr:uid="{00000000-0005-0000-0000-00000A910000}"/>
    <cellStyle name="Normal 5 17 5 2 10" xfId="37133" xr:uid="{00000000-0005-0000-0000-00000B910000}"/>
    <cellStyle name="Normal 5 17 5 2 2" xfId="37134" xr:uid="{00000000-0005-0000-0000-00000C910000}"/>
    <cellStyle name="Normal 5 17 5 2 3" xfId="37135" xr:uid="{00000000-0005-0000-0000-00000D910000}"/>
    <cellStyle name="Normal 5 17 5 2 4" xfId="37136" xr:uid="{00000000-0005-0000-0000-00000E910000}"/>
    <cellStyle name="Normal 5 17 5 2 5" xfId="37137" xr:uid="{00000000-0005-0000-0000-00000F910000}"/>
    <cellStyle name="Normal 5 17 5 2 6" xfId="37138" xr:uid="{00000000-0005-0000-0000-000010910000}"/>
    <cellStyle name="Normal 5 17 5 2 7" xfId="37139" xr:uid="{00000000-0005-0000-0000-000011910000}"/>
    <cellStyle name="Normal 5 17 5 2 8" xfId="37140" xr:uid="{00000000-0005-0000-0000-000012910000}"/>
    <cellStyle name="Normal 5 17 5 2 9" xfId="37141" xr:uid="{00000000-0005-0000-0000-000013910000}"/>
    <cellStyle name="Normal 5 17 5 3" xfId="37142" xr:uid="{00000000-0005-0000-0000-000014910000}"/>
    <cellStyle name="Normal 5 17 5 3 10" xfId="37143" xr:uid="{00000000-0005-0000-0000-000015910000}"/>
    <cellStyle name="Normal 5 17 5 3 2" xfId="37144" xr:uid="{00000000-0005-0000-0000-000016910000}"/>
    <cellStyle name="Normal 5 17 5 3 3" xfId="37145" xr:uid="{00000000-0005-0000-0000-000017910000}"/>
    <cellStyle name="Normal 5 17 5 3 4" xfId="37146" xr:uid="{00000000-0005-0000-0000-000018910000}"/>
    <cellStyle name="Normal 5 17 5 3 5" xfId="37147" xr:uid="{00000000-0005-0000-0000-000019910000}"/>
    <cellStyle name="Normal 5 17 5 3 6" xfId="37148" xr:uid="{00000000-0005-0000-0000-00001A910000}"/>
    <cellStyle name="Normal 5 17 5 3 7" xfId="37149" xr:uid="{00000000-0005-0000-0000-00001B910000}"/>
    <cellStyle name="Normal 5 17 5 3 8" xfId="37150" xr:uid="{00000000-0005-0000-0000-00001C910000}"/>
    <cellStyle name="Normal 5 17 5 3 9" xfId="37151" xr:uid="{00000000-0005-0000-0000-00001D910000}"/>
    <cellStyle name="Normal 5 17 5 4" xfId="37152" xr:uid="{00000000-0005-0000-0000-00001E910000}"/>
    <cellStyle name="Normal 5 17 5 4 10" xfId="37153" xr:uid="{00000000-0005-0000-0000-00001F910000}"/>
    <cellStyle name="Normal 5 17 5 4 2" xfId="37154" xr:uid="{00000000-0005-0000-0000-000020910000}"/>
    <cellStyle name="Normal 5 17 5 4 3" xfId="37155" xr:uid="{00000000-0005-0000-0000-000021910000}"/>
    <cellStyle name="Normal 5 17 5 4 4" xfId="37156" xr:uid="{00000000-0005-0000-0000-000022910000}"/>
    <cellStyle name="Normal 5 17 5 4 5" xfId="37157" xr:uid="{00000000-0005-0000-0000-000023910000}"/>
    <cellStyle name="Normal 5 17 5 4 6" xfId="37158" xr:uid="{00000000-0005-0000-0000-000024910000}"/>
    <cellStyle name="Normal 5 17 5 4 7" xfId="37159" xr:uid="{00000000-0005-0000-0000-000025910000}"/>
    <cellStyle name="Normal 5 17 5 4 8" xfId="37160" xr:uid="{00000000-0005-0000-0000-000026910000}"/>
    <cellStyle name="Normal 5 17 5 4 9" xfId="37161" xr:uid="{00000000-0005-0000-0000-000027910000}"/>
    <cellStyle name="Normal 5 17 5 5" xfId="37162" xr:uid="{00000000-0005-0000-0000-000028910000}"/>
    <cellStyle name="Normal 5 17 5 5 10" xfId="37163" xr:uid="{00000000-0005-0000-0000-000029910000}"/>
    <cellStyle name="Normal 5 17 5 5 2" xfId="37164" xr:uid="{00000000-0005-0000-0000-00002A910000}"/>
    <cellStyle name="Normal 5 17 5 5 3" xfId="37165" xr:uid="{00000000-0005-0000-0000-00002B910000}"/>
    <cellStyle name="Normal 5 17 5 5 4" xfId="37166" xr:uid="{00000000-0005-0000-0000-00002C910000}"/>
    <cellStyle name="Normal 5 17 5 5 5" xfId="37167" xr:uid="{00000000-0005-0000-0000-00002D910000}"/>
    <cellStyle name="Normal 5 17 5 5 6" xfId="37168" xr:uid="{00000000-0005-0000-0000-00002E910000}"/>
    <cellStyle name="Normal 5 17 5 5 7" xfId="37169" xr:uid="{00000000-0005-0000-0000-00002F910000}"/>
    <cellStyle name="Normal 5 17 5 5 8" xfId="37170" xr:uid="{00000000-0005-0000-0000-000030910000}"/>
    <cellStyle name="Normal 5 17 5 5 9" xfId="37171" xr:uid="{00000000-0005-0000-0000-000031910000}"/>
    <cellStyle name="Normal 5 17 5 6" xfId="37172" xr:uid="{00000000-0005-0000-0000-000032910000}"/>
    <cellStyle name="Normal 5 17 5 7" xfId="37173" xr:uid="{00000000-0005-0000-0000-000033910000}"/>
    <cellStyle name="Normal 5 17 5 8" xfId="37174" xr:uid="{00000000-0005-0000-0000-000034910000}"/>
    <cellStyle name="Normal 5 17 5 9" xfId="37175" xr:uid="{00000000-0005-0000-0000-000035910000}"/>
    <cellStyle name="Normal 5 17 6" xfId="37176" xr:uid="{00000000-0005-0000-0000-000036910000}"/>
    <cellStyle name="Normal 5 17 6 10" xfId="37177" xr:uid="{00000000-0005-0000-0000-000037910000}"/>
    <cellStyle name="Normal 5 17 6 11" xfId="37178" xr:uid="{00000000-0005-0000-0000-000038910000}"/>
    <cellStyle name="Normal 5 17 6 12" xfId="37179" xr:uid="{00000000-0005-0000-0000-000039910000}"/>
    <cellStyle name="Normal 5 17 6 13" xfId="37180" xr:uid="{00000000-0005-0000-0000-00003A910000}"/>
    <cellStyle name="Normal 5 17 6 14" xfId="37181" xr:uid="{00000000-0005-0000-0000-00003B910000}"/>
    <cellStyle name="Normal 5 17 6 2" xfId="37182" xr:uid="{00000000-0005-0000-0000-00003C910000}"/>
    <cellStyle name="Normal 5 17 6 2 10" xfId="37183" xr:uid="{00000000-0005-0000-0000-00003D910000}"/>
    <cellStyle name="Normal 5 17 6 2 2" xfId="37184" xr:uid="{00000000-0005-0000-0000-00003E910000}"/>
    <cellStyle name="Normal 5 17 6 2 3" xfId="37185" xr:uid="{00000000-0005-0000-0000-00003F910000}"/>
    <cellStyle name="Normal 5 17 6 2 4" xfId="37186" xr:uid="{00000000-0005-0000-0000-000040910000}"/>
    <cellStyle name="Normal 5 17 6 2 5" xfId="37187" xr:uid="{00000000-0005-0000-0000-000041910000}"/>
    <cellStyle name="Normal 5 17 6 2 6" xfId="37188" xr:uid="{00000000-0005-0000-0000-000042910000}"/>
    <cellStyle name="Normal 5 17 6 2 7" xfId="37189" xr:uid="{00000000-0005-0000-0000-000043910000}"/>
    <cellStyle name="Normal 5 17 6 2 8" xfId="37190" xr:uid="{00000000-0005-0000-0000-000044910000}"/>
    <cellStyle name="Normal 5 17 6 2 9" xfId="37191" xr:uid="{00000000-0005-0000-0000-000045910000}"/>
    <cellStyle name="Normal 5 17 6 3" xfId="37192" xr:uid="{00000000-0005-0000-0000-000046910000}"/>
    <cellStyle name="Normal 5 17 6 3 10" xfId="37193" xr:uid="{00000000-0005-0000-0000-000047910000}"/>
    <cellStyle name="Normal 5 17 6 3 2" xfId="37194" xr:uid="{00000000-0005-0000-0000-000048910000}"/>
    <cellStyle name="Normal 5 17 6 3 3" xfId="37195" xr:uid="{00000000-0005-0000-0000-000049910000}"/>
    <cellStyle name="Normal 5 17 6 3 4" xfId="37196" xr:uid="{00000000-0005-0000-0000-00004A910000}"/>
    <cellStyle name="Normal 5 17 6 3 5" xfId="37197" xr:uid="{00000000-0005-0000-0000-00004B910000}"/>
    <cellStyle name="Normal 5 17 6 3 6" xfId="37198" xr:uid="{00000000-0005-0000-0000-00004C910000}"/>
    <cellStyle name="Normal 5 17 6 3 7" xfId="37199" xr:uid="{00000000-0005-0000-0000-00004D910000}"/>
    <cellStyle name="Normal 5 17 6 3 8" xfId="37200" xr:uid="{00000000-0005-0000-0000-00004E910000}"/>
    <cellStyle name="Normal 5 17 6 3 9" xfId="37201" xr:uid="{00000000-0005-0000-0000-00004F910000}"/>
    <cellStyle name="Normal 5 17 6 4" xfId="37202" xr:uid="{00000000-0005-0000-0000-000050910000}"/>
    <cellStyle name="Normal 5 17 6 4 10" xfId="37203" xr:uid="{00000000-0005-0000-0000-000051910000}"/>
    <cellStyle name="Normal 5 17 6 4 2" xfId="37204" xr:uid="{00000000-0005-0000-0000-000052910000}"/>
    <cellStyle name="Normal 5 17 6 4 3" xfId="37205" xr:uid="{00000000-0005-0000-0000-000053910000}"/>
    <cellStyle name="Normal 5 17 6 4 4" xfId="37206" xr:uid="{00000000-0005-0000-0000-000054910000}"/>
    <cellStyle name="Normal 5 17 6 4 5" xfId="37207" xr:uid="{00000000-0005-0000-0000-000055910000}"/>
    <cellStyle name="Normal 5 17 6 4 6" xfId="37208" xr:uid="{00000000-0005-0000-0000-000056910000}"/>
    <cellStyle name="Normal 5 17 6 4 7" xfId="37209" xr:uid="{00000000-0005-0000-0000-000057910000}"/>
    <cellStyle name="Normal 5 17 6 4 8" xfId="37210" xr:uid="{00000000-0005-0000-0000-000058910000}"/>
    <cellStyle name="Normal 5 17 6 4 9" xfId="37211" xr:uid="{00000000-0005-0000-0000-000059910000}"/>
    <cellStyle name="Normal 5 17 6 5" xfId="37212" xr:uid="{00000000-0005-0000-0000-00005A910000}"/>
    <cellStyle name="Normal 5 17 6 5 10" xfId="37213" xr:uid="{00000000-0005-0000-0000-00005B910000}"/>
    <cellStyle name="Normal 5 17 6 5 2" xfId="37214" xr:uid="{00000000-0005-0000-0000-00005C910000}"/>
    <cellStyle name="Normal 5 17 6 5 3" xfId="37215" xr:uid="{00000000-0005-0000-0000-00005D910000}"/>
    <cellStyle name="Normal 5 17 6 5 4" xfId="37216" xr:uid="{00000000-0005-0000-0000-00005E910000}"/>
    <cellStyle name="Normal 5 17 6 5 5" xfId="37217" xr:uid="{00000000-0005-0000-0000-00005F910000}"/>
    <cellStyle name="Normal 5 17 6 5 6" xfId="37218" xr:uid="{00000000-0005-0000-0000-000060910000}"/>
    <cellStyle name="Normal 5 17 6 5 7" xfId="37219" xr:uid="{00000000-0005-0000-0000-000061910000}"/>
    <cellStyle name="Normal 5 17 6 5 8" xfId="37220" xr:uid="{00000000-0005-0000-0000-000062910000}"/>
    <cellStyle name="Normal 5 17 6 5 9" xfId="37221" xr:uid="{00000000-0005-0000-0000-000063910000}"/>
    <cellStyle name="Normal 5 17 6 6" xfId="37222" xr:uid="{00000000-0005-0000-0000-000064910000}"/>
    <cellStyle name="Normal 5 17 6 7" xfId="37223" xr:uid="{00000000-0005-0000-0000-000065910000}"/>
    <cellStyle name="Normal 5 17 6 8" xfId="37224" xr:uid="{00000000-0005-0000-0000-000066910000}"/>
    <cellStyle name="Normal 5 17 6 9" xfId="37225" xr:uid="{00000000-0005-0000-0000-000067910000}"/>
    <cellStyle name="Normal 5 17 7" xfId="37226" xr:uid="{00000000-0005-0000-0000-000068910000}"/>
    <cellStyle name="Normal 5 17 7 10" xfId="37227" xr:uid="{00000000-0005-0000-0000-000069910000}"/>
    <cellStyle name="Normal 5 17 7 11" xfId="37228" xr:uid="{00000000-0005-0000-0000-00006A910000}"/>
    <cellStyle name="Normal 5 17 7 12" xfId="37229" xr:uid="{00000000-0005-0000-0000-00006B910000}"/>
    <cellStyle name="Normal 5 17 7 13" xfId="37230" xr:uid="{00000000-0005-0000-0000-00006C910000}"/>
    <cellStyle name="Normal 5 17 7 14" xfId="37231" xr:uid="{00000000-0005-0000-0000-00006D910000}"/>
    <cellStyle name="Normal 5 17 7 2" xfId="37232" xr:uid="{00000000-0005-0000-0000-00006E910000}"/>
    <cellStyle name="Normal 5 17 7 2 10" xfId="37233" xr:uid="{00000000-0005-0000-0000-00006F910000}"/>
    <cellStyle name="Normal 5 17 7 2 2" xfId="37234" xr:uid="{00000000-0005-0000-0000-000070910000}"/>
    <cellStyle name="Normal 5 17 7 2 3" xfId="37235" xr:uid="{00000000-0005-0000-0000-000071910000}"/>
    <cellStyle name="Normal 5 17 7 2 4" xfId="37236" xr:uid="{00000000-0005-0000-0000-000072910000}"/>
    <cellStyle name="Normal 5 17 7 2 5" xfId="37237" xr:uid="{00000000-0005-0000-0000-000073910000}"/>
    <cellStyle name="Normal 5 17 7 2 6" xfId="37238" xr:uid="{00000000-0005-0000-0000-000074910000}"/>
    <cellStyle name="Normal 5 17 7 2 7" xfId="37239" xr:uid="{00000000-0005-0000-0000-000075910000}"/>
    <cellStyle name="Normal 5 17 7 2 8" xfId="37240" xr:uid="{00000000-0005-0000-0000-000076910000}"/>
    <cellStyle name="Normal 5 17 7 2 9" xfId="37241" xr:uid="{00000000-0005-0000-0000-000077910000}"/>
    <cellStyle name="Normal 5 17 7 3" xfId="37242" xr:uid="{00000000-0005-0000-0000-000078910000}"/>
    <cellStyle name="Normal 5 17 7 3 10" xfId="37243" xr:uid="{00000000-0005-0000-0000-000079910000}"/>
    <cellStyle name="Normal 5 17 7 3 2" xfId="37244" xr:uid="{00000000-0005-0000-0000-00007A910000}"/>
    <cellStyle name="Normal 5 17 7 3 3" xfId="37245" xr:uid="{00000000-0005-0000-0000-00007B910000}"/>
    <cellStyle name="Normal 5 17 7 3 4" xfId="37246" xr:uid="{00000000-0005-0000-0000-00007C910000}"/>
    <cellStyle name="Normal 5 17 7 3 5" xfId="37247" xr:uid="{00000000-0005-0000-0000-00007D910000}"/>
    <cellStyle name="Normal 5 17 7 3 6" xfId="37248" xr:uid="{00000000-0005-0000-0000-00007E910000}"/>
    <cellStyle name="Normal 5 17 7 3 7" xfId="37249" xr:uid="{00000000-0005-0000-0000-00007F910000}"/>
    <cellStyle name="Normal 5 17 7 3 8" xfId="37250" xr:uid="{00000000-0005-0000-0000-000080910000}"/>
    <cellStyle name="Normal 5 17 7 3 9" xfId="37251" xr:uid="{00000000-0005-0000-0000-000081910000}"/>
    <cellStyle name="Normal 5 17 7 4" xfId="37252" xr:uid="{00000000-0005-0000-0000-000082910000}"/>
    <cellStyle name="Normal 5 17 7 4 10" xfId="37253" xr:uid="{00000000-0005-0000-0000-000083910000}"/>
    <cellStyle name="Normal 5 17 7 4 2" xfId="37254" xr:uid="{00000000-0005-0000-0000-000084910000}"/>
    <cellStyle name="Normal 5 17 7 4 3" xfId="37255" xr:uid="{00000000-0005-0000-0000-000085910000}"/>
    <cellStyle name="Normal 5 17 7 4 4" xfId="37256" xr:uid="{00000000-0005-0000-0000-000086910000}"/>
    <cellStyle name="Normal 5 17 7 4 5" xfId="37257" xr:uid="{00000000-0005-0000-0000-000087910000}"/>
    <cellStyle name="Normal 5 17 7 4 6" xfId="37258" xr:uid="{00000000-0005-0000-0000-000088910000}"/>
    <cellStyle name="Normal 5 17 7 4 7" xfId="37259" xr:uid="{00000000-0005-0000-0000-000089910000}"/>
    <cellStyle name="Normal 5 17 7 4 8" xfId="37260" xr:uid="{00000000-0005-0000-0000-00008A910000}"/>
    <cellStyle name="Normal 5 17 7 4 9" xfId="37261" xr:uid="{00000000-0005-0000-0000-00008B910000}"/>
    <cellStyle name="Normal 5 17 7 5" xfId="37262" xr:uid="{00000000-0005-0000-0000-00008C910000}"/>
    <cellStyle name="Normal 5 17 7 5 10" xfId="37263" xr:uid="{00000000-0005-0000-0000-00008D910000}"/>
    <cellStyle name="Normal 5 17 7 5 2" xfId="37264" xr:uid="{00000000-0005-0000-0000-00008E910000}"/>
    <cellStyle name="Normal 5 17 7 5 3" xfId="37265" xr:uid="{00000000-0005-0000-0000-00008F910000}"/>
    <cellStyle name="Normal 5 17 7 5 4" xfId="37266" xr:uid="{00000000-0005-0000-0000-000090910000}"/>
    <cellStyle name="Normal 5 17 7 5 5" xfId="37267" xr:uid="{00000000-0005-0000-0000-000091910000}"/>
    <cellStyle name="Normal 5 17 7 5 6" xfId="37268" xr:uid="{00000000-0005-0000-0000-000092910000}"/>
    <cellStyle name="Normal 5 17 7 5 7" xfId="37269" xr:uid="{00000000-0005-0000-0000-000093910000}"/>
    <cellStyle name="Normal 5 17 7 5 8" xfId="37270" xr:uid="{00000000-0005-0000-0000-000094910000}"/>
    <cellStyle name="Normal 5 17 7 5 9" xfId="37271" xr:uid="{00000000-0005-0000-0000-000095910000}"/>
    <cellStyle name="Normal 5 17 7 6" xfId="37272" xr:uid="{00000000-0005-0000-0000-000096910000}"/>
    <cellStyle name="Normal 5 17 7 7" xfId="37273" xr:uid="{00000000-0005-0000-0000-000097910000}"/>
    <cellStyle name="Normal 5 17 7 8" xfId="37274" xr:uid="{00000000-0005-0000-0000-000098910000}"/>
    <cellStyle name="Normal 5 17 7 9" xfId="37275" xr:uid="{00000000-0005-0000-0000-000099910000}"/>
    <cellStyle name="Normal 5 17 8" xfId="37276" xr:uid="{00000000-0005-0000-0000-00009A910000}"/>
    <cellStyle name="Normal 5 17 8 10" xfId="37277" xr:uid="{00000000-0005-0000-0000-00009B910000}"/>
    <cellStyle name="Normal 5 17 8 11" xfId="37278" xr:uid="{00000000-0005-0000-0000-00009C910000}"/>
    <cellStyle name="Normal 5 17 8 12" xfId="37279" xr:uid="{00000000-0005-0000-0000-00009D910000}"/>
    <cellStyle name="Normal 5 17 8 13" xfId="37280" xr:uid="{00000000-0005-0000-0000-00009E910000}"/>
    <cellStyle name="Normal 5 17 8 14" xfId="37281" xr:uid="{00000000-0005-0000-0000-00009F910000}"/>
    <cellStyle name="Normal 5 17 8 2" xfId="37282" xr:uid="{00000000-0005-0000-0000-0000A0910000}"/>
    <cellStyle name="Normal 5 17 8 2 10" xfId="37283" xr:uid="{00000000-0005-0000-0000-0000A1910000}"/>
    <cellStyle name="Normal 5 17 8 2 2" xfId="37284" xr:uid="{00000000-0005-0000-0000-0000A2910000}"/>
    <cellStyle name="Normal 5 17 8 2 3" xfId="37285" xr:uid="{00000000-0005-0000-0000-0000A3910000}"/>
    <cellStyle name="Normal 5 17 8 2 4" xfId="37286" xr:uid="{00000000-0005-0000-0000-0000A4910000}"/>
    <cellStyle name="Normal 5 17 8 2 5" xfId="37287" xr:uid="{00000000-0005-0000-0000-0000A5910000}"/>
    <cellStyle name="Normal 5 17 8 2 6" xfId="37288" xr:uid="{00000000-0005-0000-0000-0000A6910000}"/>
    <cellStyle name="Normal 5 17 8 2 7" xfId="37289" xr:uid="{00000000-0005-0000-0000-0000A7910000}"/>
    <cellStyle name="Normal 5 17 8 2 8" xfId="37290" xr:uid="{00000000-0005-0000-0000-0000A8910000}"/>
    <cellStyle name="Normal 5 17 8 2 9" xfId="37291" xr:uid="{00000000-0005-0000-0000-0000A9910000}"/>
    <cellStyle name="Normal 5 17 8 3" xfId="37292" xr:uid="{00000000-0005-0000-0000-0000AA910000}"/>
    <cellStyle name="Normal 5 17 8 3 10" xfId="37293" xr:uid="{00000000-0005-0000-0000-0000AB910000}"/>
    <cellStyle name="Normal 5 17 8 3 2" xfId="37294" xr:uid="{00000000-0005-0000-0000-0000AC910000}"/>
    <cellStyle name="Normal 5 17 8 3 3" xfId="37295" xr:uid="{00000000-0005-0000-0000-0000AD910000}"/>
    <cellStyle name="Normal 5 17 8 3 4" xfId="37296" xr:uid="{00000000-0005-0000-0000-0000AE910000}"/>
    <cellStyle name="Normal 5 17 8 3 5" xfId="37297" xr:uid="{00000000-0005-0000-0000-0000AF910000}"/>
    <cellStyle name="Normal 5 17 8 3 6" xfId="37298" xr:uid="{00000000-0005-0000-0000-0000B0910000}"/>
    <cellStyle name="Normal 5 17 8 3 7" xfId="37299" xr:uid="{00000000-0005-0000-0000-0000B1910000}"/>
    <cellStyle name="Normal 5 17 8 3 8" xfId="37300" xr:uid="{00000000-0005-0000-0000-0000B2910000}"/>
    <cellStyle name="Normal 5 17 8 3 9" xfId="37301" xr:uid="{00000000-0005-0000-0000-0000B3910000}"/>
    <cellStyle name="Normal 5 17 8 4" xfId="37302" xr:uid="{00000000-0005-0000-0000-0000B4910000}"/>
    <cellStyle name="Normal 5 17 8 4 10" xfId="37303" xr:uid="{00000000-0005-0000-0000-0000B5910000}"/>
    <cellStyle name="Normal 5 17 8 4 2" xfId="37304" xr:uid="{00000000-0005-0000-0000-0000B6910000}"/>
    <cellStyle name="Normal 5 17 8 4 3" xfId="37305" xr:uid="{00000000-0005-0000-0000-0000B7910000}"/>
    <cellStyle name="Normal 5 17 8 4 4" xfId="37306" xr:uid="{00000000-0005-0000-0000-0000B8910000}"/>
    <cellStyle name="Normal 5 17 8 4 5" xfId="37307" xr:uid="{00000000-0005-0000-0000-0000B9910000}"/>
    <cellStyle name="Normal 5 17 8 4 6" xfId="37308" xr:uid="{00000000-0005-0000-0000-0000BA910000}"/>
    <cellStyle name="Normal 5 17 8 4 7" xfId="37309" xr:uid="{00000000-0005-0000-0000-0000BB910000}"/>
    <cellStyle name="Normal 5 17 8 4 8" xfId="37310" xr:uid="{00000000-0005-0000-0000-0000BC910000}"/>
    <cellStyle name="Normal 5 17 8 4 9" xfId="37311" xr:uid="{00000000-0005-0000-0000-0000BD910000}"/>
    <cellStyle name="Normal 5 17 8 5" xfId="37312" xr:uid="{00000000-0005-0000-0000-0000BE910000}"/>
    <cellStyle name="Normal 5 17 8 5 10" xfId="37313" xr:uid="{00000000-0005-0000-0000-0000BF910000}"/>
    <cellStyle name="Normal 5 17 8 5 2" xfId="37314" xr:uid="{00000000-0005-0000-0000-0000C0910000}"/>
    <cellStyle name="Normal 5 17 8 5 3" xfId="37315" xr:uid="{00000000-0005-0000-0000-0000C1910000}"/>
    <cellStyle name="Normal 5 17 8 5 4" xfId="37316" xr:uid="{00000000-0005-0000-0000-0000C2910000}"/>
    <cellStyle name="Normal 5 17 8 5 5" xfId="37317" xr:uid="{00000000-0005-0000-0000-0000C3910000}"/>
    <cellStyle name="Normal 5 17 8 5 6" xfId="37318" xr:uid="{00000000-0005-0000-0000-0000C4910000}"/>
    <cellStyle name="Normal 5 17 8 5 7" xfId="37319" xr:uid="{00000000-0005-0000-0000-0000C5910000}"/>
    <cellStyle name="Normal 5 17 8 5 8" xfId="37320" xr:uid="{00000000-0005-0000-0000-0000C6910000}"/>
    <cellStyle name="Normal 5 17 8 5 9" xfId="37321" xr:uid="{00000000-0005-0000-0000-0000C7910000}"/>
    <cellStyle name="Normal 5 17 8 6" xfId="37322" xr:uid="{00000000-0005-0000-0000-0000C8910000}"/>
    <cellStyle name="Normal 5 17 8 7" xfId="37323" xr:uid="{00000000-0005-0000-0000-0000C9910000}"/>
    <cellStyle name="Normal 5 17 8 8" xfId="37324" xr:uid="{00000000-0005-0000-0000-0000CA910000}"/>
    <cellStyle name="Normal 5 17 8 9" xfId="37325" xr:uid="{00000000-0005-0000-0000-0000CB910000}"/>
    <cellStyle name="Normal 5 17 9" xfId="37326" xr:uid="{00000000-0005-0000-0000-0000CC910000}"/>
    <cellStyle name="Normal 5 17 9 10" xfId="37327" xr:uid="{00000000-0005-0000-0000-0000CD910000}"/>
    <cellStyle name="Normal 5 17 9 11" xfId="37328" xr:uid="{00000000-0005-0000-0000-0000CE910000}"/>
    <cellStyle name="Normal 5 17 9 12" xfId="37329" xr:uid="{00000000-0005-0000-0000-0000CF910000}"/>
    <cellStyle name="Normal 5 17 9 13" xfId="37330" xr:uid="{00000000-0005-0000-0000-0000D0910000}"/>
    <cellStyle name="Normal 5 17 9 14" xfId="37331" xr:uid="{00000000-0005-0000-0000-0000D1910000}"/>
    <cellStyle name="Normal 5 17 9 2" xfId="37332" xr:uid="{00000000-0005-0000-0000-0000D2910000}"/>
    <cellStyle name="Normal 5 17 9 2 10" xfId="37333" xr:uid="{00000000-0005-0000-0000-0000D3910000}"/>
    <cellStyle name="Normal 5 17 9 2 2" xfId="37334" xr:uid="{00000000-0005-0000-0000-0000D4910000}"/>
    <cellStyle name="Normal 5 17 9 2 3" xfId="37335" xr:uid="{00000000-0005-0000-0000-0000D5910000}"/>
    <cellStyle name="Normal 5 17 9 2 4" xfId="37336" xr:uid="{00000000-0005-0000-0000-0000D6910000}"/>
    <cellStyle name="Normal 5 17 9 2 5" xfId="37337" xr:uid="{00000000-0005-0000-0000-0000D7910000}"/>
    <cellStyle name="Normal 5 17 9 2 6" xfId="37338" xr:uid="{00000000-0005-0000-0000-0000D8910000}"/>
    <cellStyle name="Normal 5 17 9 2 7" xfId="37339" xr:uid="{00000000-0005-0000-0000-0000D9910000}"/>
    <cellStyle name="Normal 5 17 9 2 8" xfId="37340" xr:uid="{00000000-0005-0000-0000-0000DA910000}"/>
    <cellStyle name="Normal 5 17 9 2 9" xfId="37341" xr:uid="{00000000-0005-0000-0000-0000DB910000}"/>
    <cellStyle name="Normal 5 17 9 3" xfId="37342" xr:uid="{00000000-0005-0000-0000-0000DC910000}"/>
    <cellStyle name="Normal 5 17 9 3 10" xfId="37343" xr:uid="{00000000-0005-0000-0000-0000DD910000}"/>
    <cellStyle name="Normal 5 17 9 3 2" xfId="37344" xr:uid="{00000000-0005-0000-0000-0000DE910000}"/>
    <cellStyle name="Normal 5 17 9 3 3" xfId="37345" xr:uid="{00000000-0005-0000-0000-0000DF910000}"/>
    <cellStyle name="Normal 5 17 9 3 4" xfId="37346" xr:uid="{00000000-0005-0000-0000-0000E0910000}"/>
    <cellStyle name="Normal 5 17 9 3 5" xfId="37347" xr:uid="{00000000-0005-0000-0000-0000E1910000}"/>
    <cellStyle name="Normal 5 17 9 3 6" xfId="37348" xr:uid="{00000000-0005-0000-0000-0000E2910000}"/>
    <cellStyle name="Normal 5 17 9 3 7" xfId="37349" xr:uid="{00000000-0005-0000-0000-0000E3910000}"/>
    <cellStyle name="Normal 5 17 9 3 8" xfId="37350" xr:uid="{00000000-0005-0000-0000-0000E4910000}"/>
    <cellStyle name="Normal 5 17 9 3 9" xfId="37351" xr:uid="{00000000-0005-0000-0000-0000E5910000}"/>
    <cellStyle name="Normal 5 17 9 4" xfId="37352" xr:uid="{00000000-0005-0000-0000-0000E6910000}"/>
    <cellStyle name="Normal 5 17 9 4 10" xfId="37353" xr:uid="{00000000-0005-0000-0000-0000E7910000}"/>
    <cellStyle name="Normal 5 17 9 4 2" xfId="37354" xr:uid="{00000000-0005-0000-0000-0000E8910000}"/>
    <cellStyle name="Normal 5 17 9 4 3" xfId="37355" xr:uid="{00000000-0005-0000-0000-0000E9910000}"/>
    <cellStyle name="Normal 5 17 9 4 4" xfId="37356" xr:uid="{00000000-0005-0000-0000-0000EA910000}"/>
    <cellStyle name="Normal 5 17 9 4 5" xfId="37357" xr:uid="{00000000-0005-0000-0000-0000EB910000}"/>
    <cellStyle name="Normal 5 17 9 4 6" xfId="37358" xr:uid="{00000000-0005-0000-0000-0000EC910000}"/>
    <cellStyle name="Normal 5 17 9 4 7" xfId="37359" xr:uid="{00000000-0005-0000-0000-0000ED910000}"/>
    <cellStyle name="Normal 5 17 9 4 8" xfId="37360" xr:uid="{00000000-0005-0000-0000-0000EE910000}"/>
    <cellStyle name="Normal 5 17 9 4 9" xfId="37361" xr:uid="{00000000-0005-0000-0000-0000EF910000}"/>
    <cellStyle name="Normal 5 17 9 5" xfId="37362" xr:uid="{00000000-0005-0000-0000-0000F0910000}"/>
    <cellStyle name="Normal 5 17 9 5 10" xfId="37363" xr:uid="{00000000-0005-0000-0000-0000F1910000}"/>
    <cellStyle name="Normal 5 17 9 5 2" xfId="37364" xr:uid="{00000000-0005-0000-0000-0000F2910000}"/>
    <cellStyle name="Normal 5 17 9 5 3" xfId="37365" xr:uid="{00000000-0005-0000-0000-0000F3910000}"/>
    <cellStyle name="Normal 5 17 9 5 4" xfId="37366" xr:uid="{00000000-0005-0000-0000-0000F4910000}"/>
    <cellStyle name="Normal 5 17 9 5 5" xfId="37367" xr:uid="{00000000-0005-0000-0000-0000F5910000}"/>
    <cellStyle name="Normal 5 17 9 5 6" xfId="37368" xr:uid="{00000000-0005-0000-0000-0000F6910000}"/>
    <cellStyle name="Normal 5 17 9 5 7" xfId="37369" xr:uid="{00000000-0005-0000-0000-0000F7910000}"/>
    <cellStyle name="Normal 5 17 9 5 8" xfId="37370" xr:uid="{00000000-0005-0000-0000-0000F8910000}"/>
    <cellStyle name="Normal 5 17 9 5 9" xfId="37371" xr:uid="{00000000-0005-0000-0000-0000F9910000}"/>
    <cellStyle name="Normal 5 17 9 6" xfId="37372" xr:uid="{00000000-0005-0000-0000-0000FA910000}"/>
    <cellStyle name="Normal 5 17 9 7" xfId="37373" xr:uid="{00000000-0005-0000-0000-0000FB910000}"/>
    <cellStyle name="Normal 5 17 9 8" xfId="37374" xr:uid="{00000000-0005-0000-0000-0000FC910000}"/>
    <cellStyle name="Normal 5 17 9 9" xfId="37375" xr:uid="{00000000-0005-0000-0000-0000FD910000}"/>
    <cellStyle name="Normal 5 18" xfId="37376" xr:uid="{00000000-0005-0000-0000-0000FE910000}"/>
    <cellStyle name="Normal 5 18 2" xfId="37377" xr:uid="{00000000-0005-0000-0000-0000FF910000}"/>
    <cellStyle name="Normal 5 18 2 2" xfId="37378" xr:uid="{00000000-0005-0000-0000-000000920000}"/>
    <cellStyle name="Normal 5 18 3" xfId="37379" xr:uid="{00000000-0005-0000-0000-000001920000}"/>
    <cellStyle name="Normal 5 18 4" xfId="37380" xr:uid="{00000000-0005-0000-0000-000002920000}"/>
    <cellStyle name="Normal 5 19" xfId="37381" xr:uid="{00000000-0005-0000-0000-000003920000}"/>
    <cellStyle name="Normal 5 19 2" xfId="37382" xr:uid="{00000000-0005-0000-0000-000004920000}"/>
    <cellStyle name="Normal 5 19 2 2" xfId="37383" xr:uid="{00000000-0005-0000-0000-000005920000}"/>
    <cellStyle name="Normal 5 19 3" xfId="37384" xr:uid="{00000000-0005-0000-0000-000006920000}"/>
    <cellStyle name="Normal 5 19 4" xfId="37385" xr:uid="{00000000-0005-0000-0000-000007920000}"/>
    <cellStyle name="Normal 5 2" xfId="37386" xr:uid="{00000000-0005-0000-0000-000008920000}"/>
    <cellStyle name="Normal 5 2 10" xfId="37387" xr:uid="{00000000-0005-0000-0000-000009920000}"/>
    <cellStyle name="Normal 5 2 11" xfId="37388" xr:uid="{00000000-0005-0000-0000-00000A920000}"/>
    <cellStyle name="Normal 5 2 12" xfId="37389" xr:uid="{00000000-0005-0000-0000-00000B920000}"/>
    <cellStyle name="Normal 5 2 13" xfId="37390" xr:uid="{00000000-0005-0000-0000-00000C920000}"/>
    <cellStyle name="Normal 5 2 14" xfId="37391" xr:uid="{00000000-0005-0000-0000-00000D920000}"/>
    <cellStyle name="Normal 5 2 15" xfId="37392" xr:uid="{00000000-0005-0000-0000-00000E920000}"/>
    <cellStyle name="Normal 5 2 16" xfId="37393" xr:uid="{00000000-0005-0000-0000-00000F920000}"/>
    <cellStyle name="Normal 5 2 17" xfId="37394" xr:uid="{00000000-0005-0000-0000-000010920000}"/>
    <cellStyle name="Normal 5 2 18" xfId="37395" xr:uid="{00000000-0005-0000-0000-000011920000}"/>
    <cellStyle name="Normal 5 2 19" xfId="37396" xr:uid="{00000000-0005-0000-0000-000012920000}"/>
    <cellStyle name="Normal 5 2 2" xfId="37397" xr:uid="{00000000-0005-0000-0000-000013920000}"/>
    <cellStyle name="Normal 5 2 2 2" xfId="37398" xr:uid="{00000000-0005-0000-0000-000014920000}"/>
    <cellStyle name="Normal 5 2 2 2 2" xfId="37399" xr:uid="{00000000-0005-0000-0000-000015920000}"/>
    <cellStyle name="Normal 5 2 20" xfId="37400" xr:uid="{00000000-0005-0000-0000-000016920000}"/>
    <cellStyle name="Normal 5 2 21" xfId="37401" xr:uid="{00000000-0005-0000-0000-000017920000}"/>
    <cellStyle name="Normal 5 2 22" xfId="37402" xr:uid="{00000000-0005-0000-0000-000018920000}"/>
    <cellStyle name="Normal 5 2 23" xfId="37403" xr:uid="{00000000-0005-0000-0000-000019920000}"/>
    <cellStyle name="Normal 5 2 24" xfId="37404" xr:uid="{00000000-0005-0000-0000-00001A920000}"/>
    <cellStyle name="Normal 5 2 25" xfId="37405" xr:uid="{00000000-0005-0000-0000-00001B920000}"/>
    <cellStyle name="Normal 5 2 26" xfId="37406" xr:uid="{00000000-0005-0000-0000-00001C920000}"/>
    <cellStyle name="Normal 5 2 27" xfId="37407" xr:uid="{00000000-0005-0000-0000-00001D920000}"/>
    <cellStyle name="Normal 5 2 28" xfId="37408" xr:uid="{00000000-0005-0000-0000-00001E920000}"/>
    <cellStyle name="Normal 5 2 29" xfId="37409" xr:uid="{00000000-0005-0000-0000-00001F920000}"/>
    <cellStyle name="Normal 5 2 3" xfId="37410" xr:uid="{00000000-0005-0000-0000-000020920000}"/>
    <cellStyle name="Normal 5 2 30" xfId="37411" xr:uid="{00000000-0005-0000-0000-000021920000}"/>
    <cellStyle name="Normal 5 2 31" xfId="37412" xr:uid="{00000000-0005-0000-0000-000022920000}"/>
    <cellStyle name="Normal 5 2 32" xfId="37413" xr:uid="{00000000-0005-0000-0000-000023920000}"/>
    <cellStyle name="Normal 5 2 33" xfId="37414" xr:uid="{00000000-0005-0000-0000-000024920000}"/>
    <cellStyle name="Normal 5 2 34" xfId="37415" xr:uid="{00000000-0005-0000-0000-000025920000}"/>
    <cellStyle name="Normal 5 2 35" xfId="37416" xr:uid="{00000000-0005-0000-0000-000026920000}"/>
    <cellStyle name="Normal 5 2 36" xfId="37417" xr:uid="{00000000-0005-0000-0000-000027920000}"/>
    <cellStyle name="Normal 5 2 37" xfId="37418" xr:uid="{00000000-0005-0000-0000-000028920000}"/>
    <cellStyle name="Normal 5 2 38" xfId="37419" xr:uid="{00000000-0005-0000-0000-000029920000}"/>
    <cellStyle name="Normal 5 2 39" xfId="37420" xr:uid="{00000000-0005-0000-0000-00002A920000}"/>
    <cellStyle name="Normal 5 2 4" xfId="37421" xr:uid="{00000000-0005-0000-0000-00002B920000}"/>
    <cellStyle name="Normal 5 2 40" xfId="37422" xr:uid="{00000000-0005-0000-0000-00002C920000}"/>
    <cellStyle name="Normal 5 2 41" xfId="37423" xr:uid="{00000000-0005-0000-0000-00002D920000}"/>
    <cellStyle name="Normal 5 2 42" xfId="37424" xr:uid="{00000000-0005-0000-0000-00002E920000}"/>
    <cellStyle name="Normal 5 2 43" xfId="37425" xr:uid="{00000000-0005-0000-0000-00002F920000}"/>
    <cellStyle name="Normal 5 2 44" xfId="37426" xr:uid="{00000000-0005-0000-0000-000030920000}"/>
    <cellStyle name="Normal 5 2 45" xfId="37427" xr:uid="{00000000-0005-0000-0000-000031920000}"/>
    <cellStyle name="Normal 5 2 46" xfId="37428" xr:uid="{00000000-0005-0000-0000-000032920000}"/>
    <cellStyle name="Normal 5 2 47" xfId="37429" xr:uid="{00000000-0005-0000-0000-000033920000}"/>
    <cellStyle name="Normal 5 2 48" xfId="37430" xr:uid="{00000000-0005-0000-0000-000034920000}"/>
    <cellStyle name="Normal 5 2 49" xfId="37431" xr:uid="{00000000-0005-0000-0000-000035920000}"/>
    <cellStyle name="Normal 5 2 5" xfId="37432" xr:uid="{00000000-0005-0000-0000-000036920000}"/>
    <cellStyle name="Normal 5 2 50" xfId="37433" xr:uid="{00000000-0005-0000-0000-000037920000}"/>
    <cellStyle name="Normal 5 2 51" xfId="37434" xr:uid="{00000000-0005-0000-0000-000038920000}"/>
    <cellStyle name="Normal 5 2 52" xfId="37435" xr:uid="{00000000-0005-0000-0000-000039920000}"/>
    <cellStyle name="Normal 5 2 53" xfId="37436" xr:uid="{00000000-0005-0000-0000-00003A920000}"/>
    <cellStyle name="Normal 5 2 54" xfId="37437" xr:uid="{00000000-0005-0000-0000-00003B920000}"/>
    <cellStyle name="Normal 5 2 55" xfId="37438" xr:uid="{00000000-0005-0000-0000-00003C920000}"/>
    <cellStyle name="Normal 5 2 56" xfId="37439" xr:uid="{00000000-0005-0000-0000-00003D920000}"/>
    <cellStyle name="Normal 5 2 57" xfId="37440" xr:uid="{00000000-0005-0000-0000-00003E920000}"/>
    <cellStyle name="Normal 5 2 58" xfId="37441" xr:uid="{00000000-0005-0000-0000-00003F920000}"/>
    <cellStyle name="Normal 5 2 59" xfId="37442" xr:uid="{00000000-0005-0000-0000-000040920000}"/>
    <cellStyle name="Normal 5 2 6" xfId="37443" xr:uid="{00000000-0005-0000-0000-000041920000}"/>
    <cellStyle name="Normal 5 2 60" xfId="37444" xr:uid="{00000000-0005-0000-0000-000042920000}"/>
    <cellStyle name="Normal 5 2 61" xfId="37445" xr:uid="{00000000-0005-0000-0000-000043920000}"/>
    <cellStyle name="Normal 5 2 62" xfId="37446" xr:uid="{00000000-0005-0000-0000-000044920000}"/>
    <cellStyle name="Normal 5 2 63" xfId="37447" xr:uid="{00000000-0005-0000-0000-000045920000}"/>
    <cellStyle name="Normal 5 2 64" xfId="37448" xr:uid="{00000000-0005-0000-0000-000046920000}"/>
    <cellStyle name="Normal 5 2 65" xfId="37449" xr:uid="{00000000-0005-0000-0000-000047920000}"/>
    <cellStyle name="Normal 5 2 66" xfId="37450" xr:uid="{00000000-0005-0000-0000-000048920000}"/>
    <cellStyle name="Normal 5 2 67" xfId="37451" xr:uid="{00000000-0005-0000-0000-000049920000}"/>
    <cellStyle name="Normal 5 2 68" xfId="37452" xr:uid="{00000000-0005-0000-0000-00004A920000}"/>
    <cellStyle name="Normal 5 2 69" xfId="37453" xr:uid="{00000000-0005-0000-0000-00004B920000}"/>
    <cellStyle name="Normal 5 2 7" xfId="37454" xr:uid="{00000000-0005-0000-0000-00004C920000}"/>
    <cellStyle name="Normal 5 2 70" xfId="37455" xr:uid="{00000000-0005-0000-0000-00004D920000}"/>
    <cellStyle name="Normal 5 2 71" xfId="37456" xr:uid="{00000000-0005-0000-0000-00004E920000}"/>
    <cellStyle name="Normal 5 2 72" xfId="37457" xr:uid="{00000000-0005-0000-0000-00004F920000}"/>
    <cellStyle name="Normal 5 2 73" xfId="37458" xr:uid="{00000000-0005-0000-0000-000050920000}"/>
    <cellStyle name="Normal 5 2 74" xfId="37459" xr:uid="{00000000-0005-0000-0000-000051920000}"/>
    <cellStyle name="Normal 5 2 75" xfId="37460" xr:uid="{00000000-0005-0000-0000-000052920000}"/>
    <cellStyle name="Normal 5 2 76" xfId="37461" xr:uid="{00000000-0005-0000-0000-000053920000}"/>
    <cellStyle name="Normal 5 2 77" xfId="37462" xr:uid="{00000000-0005-0000-0000-000054920000}"/>
    <cellStyle name="Normal 5 2 78" xfId="37463" xr:uid="{00000000-0005-0000-0000-000055920000}"/>
    <cellStyle name="Normal 5 2 79" xfId="37464" xr:uid="{00000000-0005-0000-0000-000056920000}"/>
    <cellStyle name="Normal 5 2 8" xfId="37465" xr:uid="{00000000-0005-0000-0000-000057920000}"/>
    <cellStyle name="Normal 5 2 80" xfId="37466" xr:uid="{00000000-0005-0000-0000-000058920000}"/>
    <cellStyle name="Normal 5 2 81" xfId="37467" xr:uid="{00000000-0005-0000-0000-000059920000}"/>
    <cellStyle name="Normal 5 2 82" xfId="37468" xr:uid="{00000000-0005-0000-0000-00005A920000}"/>
    <cellStyle name="Normal 5 2 9" xfId="37469" xr:uid="{00000000-0005-0000-0000-00005B920000}"/>
    <cellStyle name="Normal 5 2_Enlaces" xfId="37470" xr:uid="{00000000-0005-0000-0000-00005C920000}"/>
    <cellStyle name="Normal 5 20" xfId="37471" xr:uid="{00000000-0005-0000-0000-00005D920000}"/>
    <cellStyle name="Normal 5 20 2" xfId="37472" xr:uid="{00000000-0005-0000-0000-00005E920000}"/>
    <cellStyle name="Normal 5 20 2 2" xfId="37473" xr:uid="{00000000-0005-0000-0000-00005F920000}"/>
    <cellStyle name="Normal 5 20 3" xfId="37474" xr:uid="{00000000-0005-0000-0000-000060920000}"/>
    <cellStyle name="Normal 5 20 4" xfId="37475" xr:uid="{00000000-0005-0000-0000-000061920000}"/>
    <cellStyle name="Normal 5 21" xfId="37476" xr:uid="{00000000-0005-0000-0000-000062920000}"/>
    <cellStyle name="Normal 5 21 2" xfId="37477" xr:uid="{00000000-0005-0000-0000-000063920000}"/>
    <cellStyle name="Normal 5 21 2 2" xfId="37478" xr:uid="{00000000-0005-0000-0000-000064920000}"/>
    <cellStyle name="Normal 5 21 3" xfId="37479" xr:uid="{00000000-0005-0000-0000-000065920000}"/>
    <cellStyle name="Normal 5 21 4" xfId="37480" xr:uid="{00000000-0005-0000-0000-000066920000}"/>
    <cellStyle name="Normal 5 22" xfId="37481" xr:uid="{00000000-0005-0000-0000-000067920000}"/>
    <cellStyle name="Normal 5 22 2" xfId="37482" xr:uid="{00000000-0005-0000-0000-000068920000}"/>
    <cellStyle name="Normal 5 22 3" xfId="37483" xr:uid="{00000000-0005-0000-0000-000069920000}"/>
    <cellStyle name="Normal 5 23" xfId="37484" xr:uid="{00000000-0005-0000-0000-00006A920000}"/>
    <cellStyle name="Normal 5 24" xfId="37485" xr:uid="{00000000-0005-0000-0000-00006B920000}"/>
    <cellStyle name="Normal 5 25" xfId="37486" xr:uid="{00000000-0005-0000-0000-00006C920000}"/>
    <cellStyle name="Normal 5 26" xfId="37487" xr:uid="{00000000-0005-0000-0000-00006D920000}"/>
    <cellStyle name="Normal 5 27" xfId="37488" xr:uid="{00000000-0005-0000-0000-00006E920000}"/>
    <cellStyle name="Normal 5 28" xfId="37489" xr:uid="{00000000-0005-0000-0000-00006F920000}"/>
    <cellStyle name="Normal 5 29" xfId="37490" xr:uid="{00000000-0005-0000-0000-000070920000}"/>
    <cellStyle name="Normal 5 3" xfId="37491" xr:uid="{00000000-0005-0000-0000-000071920000}"/>
    <cellStyle name="Normal 5 3 10" xfId="37492" xr:uid="{00000000-0005-0000-0000-000072920000}"/>
    <cellStyle name="Normal 5 3 11" xfId="37493" xr:uid="{00000000-0005-0000-0000-000073920000}"/>
    <cellStyle name="Normal 5 3 12" xfId="37494" xr:uid="{00000000-0005-0000-0000-000074920000}"/>
    <cellStyle name="Normal 5 3 2" xfId="37495" xr:uid="{00000000-0005-0000-0000-000075920000}"/>
    <cellStyle name="Normal 5 3 3" xfId="37496" xr:uid="{00000000-0005-0000-0000-000076920000}"/>
    <cellStyle name="Normal 5 3 4" xfId="37497" xr:uid="{00000000-0005-0000-0000-000077920000}"/>
    <cellStyle name="Normal 5 3 4 2" xfId="37498" xr:uid="{00000000-0005-0000-0000-000078920000}"/>
    <cellStyle name="Normal 5 3 4 2 2" xfId="37499" xr:uid="{00000000-0005-0000-0000-000079920000}"/>
    <cellStyle name="Normal 5 3 4 3" xfId="37500" xr:uid="{00000000-0005-0000-0000-00007A920000}"/>
    <cellStyle name="Normal 5 3 5" xfId="37501" xr:uid="{00000000-0005-0000-0000-00007B920000}"/>
    <cellStyle name="Normal 5 3 6" xfId="37502" xr:uid="{00000000-0005-0000-0000-00007C920000}"/>
    <cellStyle name="Normal 5 3 7" xfId="37503" xr:uid="{00000000-0005-0000-0000-00007D920000}"/>
    <cellStyle name="Normal 5 3 7 2" xfId="37504" xr:uid="{00000000-0005-0000-0000-00007E920000}"/>
    <cellStyle name="Normal 5 3 8" xfId="37505" xr:uid="{00000000-0005-0000-0000-00007F920000}"/>
    <cellStyle name="Normal 5 3 9" xfId="37506" xr:uid="{00000000-0005-0000-0000-000080920000}"/>
    <cellStyle name="Normal 5 3_Implem" xfId="37507" xr:uid="{00000000-0005-0000-0000-000081920000}"/>
    <cellStyle name="Normal 5 30" xfId="37508" xr:uid="{00000000-0005-0000-0000-000082920000}"/>
    <cellStyle name="Normal 5 31" xfId="37509" xr:uid="{00000000-0005-0000-0000-000083920000}"/>
    <cellStyle name="Normal 5 32" xfId="37510" xr:uid="{00000000-0005-0000-0000-000084920000}"/>
    <cellStyle name="Normal 5 33" xfId="37511" xr:uid="{00000000-0005-0000-0000-000085920000}"/>
    <cellStyle name="Normal 5 34" xfId="37512" xr:uid="{00000000-0005-0000-0000-000086920000}"/>
    <cellStyle name="Normal 5 35" xfId="37513" xr:uid="{00000000-0005-0000-0000-000087920000}"/>
    <cellStyle name="Normal 5 36" xfId="37514" xr:uid="{00000000-0005-0000-0000-000088920000}"/>
    <cellStyle name="Normal 5 37" xfId="37515" xr:uid="{00000000-0005-0000-0000-000089920000}"/>
    <cellStyle name="Normal 5 38" xfId="37516" xr:uid="{00000000-0005-0000-0000-00008A920000}"/>
    <cellStyle name="Normal 5 39" xfId="37517" xr:uid="{00000000-0005-0000-0000-00008B920000}"/>
    <cellStyle name="Normal 5 4" xfId="37518" xr:uid="{00000000-0005-0000-0000-00008C920000}"/>
    <cellStyle name="Normal 5 4 2" xfId="37519" xr:uid="{00000000-0005-0000-0000-00008D920000}"/>
    <cellStyle name="Normal 5 4 2 2" xfId="37520" xr:uid="{00000000-0005-0000-0000-00008E920000}"/>
    <cellStyle name="Normal 5 4 3" xfId="37521" xr:uid="{00000000-0005-0000-0000-00008F920000}"/>
    <cellStyle name="Normal 5 4 4" xfId="37522" xr:uid="{00000000-0005-0000-0000-000090920000}"/>
    <cellStyle name="Normal 5 40" xfId="37523" xr:uid="{00000000-0005-0000-0000-000091920000}"/>
    <cellStyle name="Normal 5 41" xfId="37524" xr:uid="{00000000-0005-0000-0000-000092920000}"/>
    <cellStyle name="Normal 5 42" xfId="37525" xr:uid="{00000000-0005-0000-0000-000093920000}"/>
    <cellStyle name="Normal 5 43" xfId="37526" xr:uid="{00000000-0005-0000-0000-000094920000}"/>
    <cellStyle name="Normal 5 44" xfId="37527" xr:uid="{00000000-0005-0000-0000-000095920000}"/>
    <cellStyle name="Normal 5 45" xfId="37528" xr:uid="{00000000-0005-0000-0000-000096920000}"/>
    <cellStyle name="Normal 5 46" xfId="37529" xr:uid="{00000000-0005-0000-0000-000097920000}"/>
    <cellStyle name="Normal 5 47" xfId="37530" xr:uid="{00000000-0005-0000-0000-000098920000}"/>
    <cellStyle name="Normal 5 48" xfId="37531" xr:uid="{00000000-0005-0000-0000-000099920000}"/>
    <cellStyle name="Normal 5 49" xfId="37532" xr:uid="{00000000-0005-0000-0000-00009A920000}"/>
    <cellStyle name="Normal 5 5" xfId="37533" xr:uid="{00000000-0005-0000-0000-00009B920000}"/>
    <cellStyle name="Normal 5 5 2" xfId="37534" xr:uid="{00000000-0005-0000-0000-00009C920000}"/>
    <cellStyle name="Normal 5 5 2 2" xfId="37535" xr:uid="{00000000-0005-0000-0000-00009D920000}"/>
    <cellStyle name="Normal 5 5 3" xfId="37536" xr:uid="{00000000-0005-0000-0000-00009E920000}"/>
    <cellStyle name="Normal 5 5 4" xfId="37537" xr:uid="{00000000-0005-0000-0000-00009F920000}"/>
    <cellStyle name="Normal 5 50" xfId="37538" xr:uid="{00000000-0005-0000-0000-0000A0920000}"/>
    <cellStyle name="Normal 5 51" xfId="37539" xr:uid="{00000000-0005-0000-0000-0000A1920000}"/>
    <cellStyle name="Normal 5 52" xfId="37540" xr:uid="{00000000-0005-0000-0000-0000A2920000}"/>
    <cellStyle name="Normal 5 53" xfId="37541" xr:uid="{00000000-0005-0000-0000-0000A3920000}"/>
    <cellStyle name="Normal 5 54" xfId="37542" xr:uid="{00000000-0005-0000-0000-0000A4920000}"/>
    <cellStyle name="Normal 5 55" xfId="37543" xr:uid="{00000000-0005-0000-0000-0000A5920000}"/>
    <cellStyle name="Normal 5 56" xfId="37544" xr:uid="{00000000-0005-0000-0000-0000A6920000}"/>
    <cellStyle name="Normal 5 57" xfId="37545" xr:uid="{00000000-0005-0000-0000-0000A7920000}"/>
    <cellStyle name="Normal 5 58" xfId="37546" xr:uid="{00000000-0005-0000-0000-0000A8920000}"/>
    <cellStyle name="Normal 5 59" xfId="37547" xr:uid="{00000000-0005-0000-0000-0000A9920000}"/>
    <cellStyle name="Normal 5 6" xfId="37548" xr:uid="{00000000-0005-0000-0000-0000AA920000}"/>
    <cellStyle name="Normal 5 6 2" xfId="37549" xr:uid="{00000000-0005-0000-0000-0000AB920000}"/>
    <cellStyle name="Normal 5 6 2 2" xfId="37550" xr:uid="{00000000-0005-0000-0000-0000AC920000}"/>
    <cellStyle name="Normal 5 6 3" xfId="37551" xr:uid="{00000000-0005-0000-0000-0000AD920000}"/>
    <cellStyle name="Normal 5 6 4" xfId="37552" xr:uid="{00000000-0005-0000-0000-0000AE920000}"/>
    <cellStyle name="Normal 5 60" xfId="37553" xr:uid="{00000000-0005-0000-0000-0000AF920000}"/>
    <cellStyle name="Normal 5 7" xfId="37554" xr:uid="{00000000-0005-0000-0000-0000B0920000}"/>
    <cellStyle name="Normal 5 7 2" xfId="37555" xr:uid="{00000000-0005-0000-0000-0000B1920000}"/>
    <cellStyle name="Normal 5 7 2 2" xfId="37556" xr:uid="{00000000-0005-0000-0000-0000B2920000}"/>
    <cellStyle name="Normal 5 7 3" xfId="37557" xr:uid="{00000000-0005-0000-0000-0000B3920000}"/>
    <cellStyle name="Normal 5 7 4" xfId="37558" xr:uid="{00000000-0005-0000-0000-0000B4920000}"/>
    <cellStyle name="Normal 5 8" xfId="37559" xr:uid="{00000000-0005-0000-0000-0000B5920000}"/>
    <cellStyle name="Normal 5 8 2" xfId="37560" xr:uid="{00000000-0005-0000-0000-0000B6920000}"/>
    <cellStyle name="Normal 5 8 2 2" xfId="37561" xr:uid="{00000000-0005-0000-0000-0000B7920000}"/>
    <cellStyle name="Normal 5 8 3" xfId="37562" xr:uid="{00000000-0005-0000-0000-0000B8920000}"/>
    <cellStyle name="Normal 5 8 4" xfId="37563" xr:uid="{00000000-0005-0000-0000-0000B9920000}"/>
    <cellStyle name="Normal 5 9" xfId="37564" xr:uid="{00000000-0005-0000-0000-0000BA920000}"/>
    <cellStyle name="Normal 5 9 2" xfId="37565" xr:uid="{00000000-0005-0000-0000-0000BB920000}"/>
    <cellStyle name="Normal 5 9 2 2" xfId="37566" xr:uid="{00000000-0005-0000-0000-0000BC920000}"/>
    <cellStyle name="Normal 5 9 3" xfId="37567" xr:uid="{00000000-0005-0000-0000-0000BD920000}"/>
    <cellStyle name="Normal 5 9 4" xfId="37568" xr:uid="{00000000-0005-0000-0000-0000BE920000}"/>
    <cellStyle name="Normal 50" xfId="37569" xr:uid="{00000000-0005-0000-0000-0000BF920000}"/>
    <cellStyle name="Normal 50 10" xfId="37570" xr:uid="{00000000-0005-0000-0000-0000C0920000}"/>
    <cellStyle name="Normal 50 11" xfId="37571" xr:uid="{00000000-0005-0000-0000-0000C1920000}"/>
    <cellStyle name="Normal 50 12" xfId="37572" xr:uid="{00000000-0005-0000-0000-0000C2920000}"/>
    <cellStyle name="Normal 50 13" xfId="37573" xr:uid="{00000000-0005-0000-0000-0000C3920000}"/>
    <cellStyle name="Normal 50 14" xfId="37574" xr:uid="{00000000-0005-0000-0000-0000C4920000}"/>
    <cellStyle name="Normal 50 15" xfId="37575" xr:uid="{00000000-0005-0000-0000-0000C5920000}"/>
    <cellStyle name="Normal 50 16" xfId="37576" xr:uid="{00000000-0005-0000-0000-0000C6920000}"/>
    <cellStyle name="Normal 50 17" xfId="37577" xr:uid="{00000000-0005-0000-0000-0000C7920000}"/>
    <cellStyle name="Normal 50 18" xfId="37578" xr:uid="{00000000-0005-0000-0000-0000C8920000}"/>
    <cellStyle name="Normal 50 19" xfId="37579" xr:uid="{00000000-0005-0000-0000-0000C9920000}"/>
    <cellStyle name="Normal 50 2" xfId="37580" xr:uid="{00000000-0005-0000-0000-0000CA920000}"/>
    <cellStyle name="Normal 50 2 2" xfId="37581" xr:uid="{00000000-0005-0000-0000-0000CB920000}"/>
    <cellStyle name="Normal 50 20" xfId="37582" xr:uid="{00000000-0005-0000-0000-0000CC920000}"/>
    <cellStyle name="Normal 50 21" xfId="37583" xr:uid="{00000000-0005-0000-0000-0000CD920000}"/>
    <cellStyle name="Normal 50 22" xfId="37584" xr:uid="{00000000-0005-0000-0000-0000CE920000}"/>
    <cellStyle name="Normal 50 23" xfId="37585" xr:uid="{00000000-0005-0000-0000-0000CF920000}"/>
    <cellStyle name="Normal 50 24" xfId="37586" xr:uid="{00000000-0005-0000-0000-0000D0920000}"/>
    <cellStyle name="Normal 50 25" xfId="37587" xr:uid="{00000000-0005-0000-0000-0000D1920000}"/>
    <cellStyle name="Normal 50 26" xfId="37588" xr:uid="{00000000-0005-0000-0000-0000D2920000}"/>
    <cellStyle name="Normal 50 3" xfId="37589" xr:uid="{00000000-0005-0000-0000-0000D3920000}"/>
    <cellStyle name="Normal 50 3 2" xfId="37590" xr:uid="{00000000-0005-0000-0000-0000D4920000}"/>
    <cellStyle name="Normal 50 4" xfId="37591" xr:uid="{00000000-0005-0000-0000-0000D5920000}"/>
    <cellStyle name="Normal 50 4 2" xfId="37592" xr:uid="{00000000-0005-0000-0000-0000D6920000}"/>
    <cellStyle name="Normal 50 5" xfId="37593" xr:uid="{00000000-0005-0000-0000-0000D7920000}"/>
    <cellStyle name="Normal 50 5 2" xfId="37594" xr:uid="{00000000-0005-0000-0000-0000D8920000}"/>
    <cellStyle name="Normal 50 6" xfId="37595" xr:uid="{00000000-0005-0000-0000-0000D9920000}"/>
    <cellStyle name="Normal 50 7" xfId="37596" xr:uid="{00000000-0005-0000-0000-0000DA920000}"/>
    <cellStyle name="Normal 50 8" xfId="37597" xr:uid="{00000000-0005-0000-0000-0000DB920000}"/>
    <cellStyle name="Normal 50 9" xfId="37598" xr:uid="{00000000-0005-0000-0000-0000DC920000}"/>
    <cellStyle name="Normal 51" xfId="37599" xr:uid="{00000000-0005-0000-0000-0000DD920000}"/>
    <cellStyle name="Normal 52" xfId="37600" xr:uid="{00000000-0005-0000-0000-0000DE920000}"/>
    <cellStyle name="Normal 53" xfId="37601" xr:uid="{00000000-0005-0000-0000-0000DF920000}"/>
    <cellStyle name="Normal 54" xfId="37602" xr:uid="{00000000-0005-0000-0000-0000E0920000}"/>
    <cellStyle name="Normal 55" xfId="37603" xr:uid="{00000000-0005-0000-0000-0000E1920000}"/>
    <cellStyle name="Normal 56" xfId="37604" xr:uid="{00000000-0005-0000-0000-0000E2920000}"/>
    <cellStyle name="Normal 57" xfId="37605" xr:uid="{00000000-0005-0000-0000-0000E3920000}"/>
    <cellStyle name="Normal 58" xfId="37606" xr:uid="{00000000-0005-0000-0000-0000E4920000}"/>
    <cellStyle name="Normal 59" xfId="37607" xr:uid="{00000000-0005-0000-0000-0000E5920000}"/>
    <cellStyle name="Normal 6" xfId="37608" xr:uid="{00000000-0005-0000-0000-0000E6920000}"/>
    <cellStyle name="Normal 6 10" xfId="37609" xr:uid="{00000000-0005-0000-0000-0000E7920000}"/>
    <cellStyle name="Normal 6 11" xfId="37610" xr:uid="{00000000-0005-0000-0000-0000E8920000}"/>
    <cellStyle name="Normal 6 12" xfId="37611" xr:uid="{00000000-0005-0000-0000-0000E9920000}"/>
    <cellStyle name="Normal 6 13" xfId="37612" xr:uid="{00000000-0005-0000-0000-0000EA920000}"/>
    <cellStyle name="Normal 6 14" xfId="37613" xr:uid="{00000000-0005-0000-0000-0000EB920000}"/>
    <cellStyle name="Normal 6 15" xfId="37614" xr:uid="{00000000-0005-0000-0000-0000EC920000}"/>
    <cellStyle name="Normal 6 16" xfId="37615" xr:uid="{00000000-0005-0000-0000-0000ED920000}"/>
    <cellStyle name="Normal 6 17" xfId="37616" xr:uid="{00000000-0005-0000-0000-0000EE920000}"/>
    <cellStyle name="Normal 6 18" xfId="37617" xr:uid="{00000000-0005-0000-0000-0000EF920000}"/>
    <cellStyle name="Normal 6 19" xfId="37618" xr:uid="{00000000-0005-0000-0000-0000F0920000}"/>
    <cellStyle name="Normal 6 2" xfId="37619" xr:uid="{00000000-0005-0000-0000-0000F1920000}"/>
    <cellStyle name="Normal 6 2 10" xfId="37620" xr:uid="{00000000-0005-0000-0000-0000F2920000}"/>
    <cellStyle name="Normal 6 2 11" xfId="37621" xr:uid="{00000000-0005-0000-0000-0000F3920000}"/>
    <cellStyle name="Normal 6 2 12" xfId="37622" xr:uid="{00000000-0005-0000-0000-0000F4920000}"/>
    <cellStyle name="Normal 6 2 13" xfId="37623" xr:uid="{00000000-0005-0000-0000-0000F5920000}"/>
    <cellStyle name="Normal 6 2 14" xfId="37624" xr:uid="{00000000-0005-0000-0000-0000F6920000}"/>
    <cellStyle name="Normal 6 2 15" xfId="37625" xr:uid="{00000000-0005-0000-0000-0000F7920000}"/>
    <cellStyle name="Normal 6 2 16" xfId="37626" xr:uid="{00000000-0005-0000-0000-0000F8920000}"/>
    <cellStyle name="Normal 6 2 17" xfId="37627" xr:uid="{00000000-0005-0000-0000-0000F9920000}"/>
    <cellStyle name="Normal 6 2 18" xfId="37628" xr:uid="{00000000-0005-0000-0000-0000FA920000}"/>
    <cellStyle name="Normal 6 2 19" xfId="37629" xr:uid="{00000000-0005-0000-0000-0000FB920000}"/>
    <cellStyle name="Normal 6 2 2" xfId="37630" xr:uid="{00000000-0005-0000-0000-0000FC920000}"/>
    <cellStyle name="Normal 6 2 20" xfId="37631" xr:uid="{00000000-0005-0000-0000-0000FD920000}"/>
    <cellStyle name="Normal 6 2 21" xfId="37632" xr:uid="{00000000-0005-0000-0000-0000FE920000}"/>
    <cellStyle name="Normal 6 2 22" xfId="37633" xr:uid="{00000000-0005-0000-0000-0000FF920000}"/>
    <cellStyle name="Normal 6 2 23" xfId="37634" xr:uid="{00000000-0005-0000-0000-000000930000}"/>
    <cellStyle name="Normal 6 2 24" xfId="37635" xr:uid="{00000000-0005-0000-0000-000001930000}"/>
    <cellStyle name="Normal 6 2 25" xfId="37636" xr:uid="{00000000-0005-0000-0000-000002930000}"/>
    <cellStyle name="Normal 6 2 26" xfId="37637" xr:uid="{00000000-0005-0000-0000-000003930000}"/>
    <cellStyle name="Normal 6 2 27" xfId="37638" xr:uid="{00000000-0005-0000-0000-000004930000}"/>
    <cellStyle name="Normal 6 2 28" xfId="37639" xr:uid="{00000000-0005-0000-0000-000005930000}"/>
    <cellStyle name="Normal 6 2 29" xfId="37640" xr:uid="{00000000-0005-0000-0000-000006930000}"/>
    <cellStyle name="Normal 6 2 3" xfId="37641" xr:uid="{00000000-0005-0000-0000-000007930000}"/>
    <cellStyle name="Normal 6 2 30" xfId="37642" xr:uid="{00000000-0005-0000-0000-000008930000}"/>
    <cellStyle name="Normal 6 2 31" xfId="37643" xr:uid="{00000000-0005-0000-0000-000009930000}"/>
    <cellStyle name="Normal 6 2 32" xfId="37644" xr:uid="{00000000-0005-0000-0000-00000A930000}"/>
    <cellStyle name="Normal 6 2 33" xfId="37645" xr:uid="{00000000-0005-0000-0000-00000B930000}"/>
    <cellStyle name="Normal 6 2 34" xfId="37646" xr:uid="{00000000-0005-0000-0000-00000C930000}"/>
    <cellStyle name="Normal 6 2 35" xfId="37647" xr:uid="{00000000-0005-0000-0000-00000D930000}"/>
    <cellStyle name="Normal 6 2 36" xfId="37648" xr:uid="{00000000-0005-0000-0000-00000E930000}"/>
    <cellStyle name="Normal 6 2 37" xfId="37649" xr:uid="{00000000-0005-0000-0000-00000F930000}"/>
    <cellStyle name="Normal 6 2 38" xfId="37650" xr:uid="{00000000-0005-0000-0000-000010930000}"/>
    <cellStyle name="Normal 6 2 39" xfId="37651" xr:uid="{00000000-0005-0000-0000-000011930000}"/>
    <cellStyle name="Normal 6 2 4" xfId="37652" xr:uid="{00000000-0005-0000-0000-000012930000}"/>
    <cellStyle name="Normal 6 2 40" xfId="37653" xr:uid="{00000000-0005-0000-0000-000013930000}"/>
    <cellStyle name="Normal 6 2 41" xfId="37654" xr:uid="{00000000-0005-0000-0000-000014930000}"/>
    <cellStyle name="Normal 6 2 42" xfId="37655" xr:uid="{00000000-0005-0000-0000-000015930000}"/>
    <cellStyle name="Normal 6 2 43" xfId="37656" xr:uid="{00000000-0005-0000-0000-000016930000}"/>
    <cellStyle name="Normal 6 2 44" xfId="37657" xr:uid="{00000000-0005-0000-0000-000017930000}"/>
    <cellStyle name="Normal 6 2 45" xfId="37658" xr:uid="{00000000-0005-0000-0000-000018930000}"/>
    <cellStyle name="Normal 6 2 46" xfId="37659" xr:uid="{00000000-0005-0000-0000-000019930000}"/>
    <cellStyle name="Normal 6 2 47" xfId="37660" xr:uid="{00000000-0005-0000-0000-00001A930000}"/>
    <cellStyle name="Normal 6 2 48" xfId="37661" xr:uid="{00000000-0005-0000-0000-00001B930000}"/>
    <cellStyle name="Normal 6 2 49" xfId="37662" xr:uid="{00000000-0005-0000-0000-00001C930000}"/>
    <cellStyle name="Normal 6 2 5" xfId="37663" xr:uid="{00000000-0005-0000-0000-00001D930000}"/>
    <cellStyle name="Normal 6 2 50" xfId="37664" xr:uid="{00000000-0005-0000-0000-00001E930000}"/>
    <cellStyle name="Normal 6 2 51" xfId="37665" xr:uid="{00000000-0005-0000-0000-00001F930000}"/>
    <cellStyle name="Normal 6 2 52" xfId="37666" xr:uid="{00000000-0005-0000-0000-000020930000}"/>
    <cellStyle name="Normal 6 2 53" xfId="37667" xr:uid="{00000000-0005-0000-0000-000021930000}"/>
    <cellStyle name="Normal 6 2 54" xfId="37668" xr:uid="{00000000-0005-0000-0000-000022930000}"/>
    <cellStyle name="Normal 6 2 55" xfId="37669" xr:uid="{00000000-0005-0000-0000-000023930000}"/>
    <cellStyle name="Normal 6 2 56" xfId="37670" xr:uid="{00000000-0005-0000-0000-000024930000}"/>
    <cellStyle name="Normal 6 2 57" xfId="37671" xr:uid="{00000000-0005-0000-0000-000025930000}"/>
    <cellStyle name="Normal 6 2 58" xfId="37672" xr:uid="{00000000-0005-0000-0000-000026930000}"/>
    <cellStyle name="Normal 6 2 59" xfId="37673" xr:uid="{00000000-0005-0000-0000-000027930000}"/>
    <cellStyle name="Normal 6 2 6" xfId="37674" xr:uid="{00000000-0005-0000-0000-000028930000}"/>
    <cellStyle name="Normal 6 2 60" xfId="37675" xr:uid="{00000000-0005-0000-0000-000029930000}"/>
    <cellStyle name="Normal 6 2 61" xfId="37676" xr:uid="{00000000-0005-0000-0000-00002A930000}"/>
    <cellStyle name="Normal 6 2 62" xfId="37677" xr:uid="{00000000-0005-0000-0000-00002B930000}"/>
    <cellStyle name="Normal 6 2 63" xfId="37678" xr:uid="{00000000-0005-0000-0000-00002C930000}"/>
    <cellStyle name="Normal 6 2 64" xfId="37679" xr:uid="{00000000-0005-0000-0000-00002D930000}"/>
    <cellStyle name="Normal 6 2 65" xfId="37680" xr:uid="{00000000-0005-0000-0000-00002E930000}"/>
    <cellStyle name="Normal 6 2 66" xfId="37681" xr:uid="{00000000-0005-0000-0000-00002F930000}"/>
    <cellStyle name="Normal 6 2 67" xfId="37682" xr:uid="{00000000-0005-0000-0000-000030930000}"/>
    <cellStyle name="Normal 6 2 68" xfId="37683" xr:uid="{00000000-0005-0000-0000-000031930000}"/>
    <cellStyle name="Normal 6 2 69" xfId="37684" xr:uid="{00000000-0005-0000-0000-000032930000}"/>
    <cellStyle name="Normal 6 2 7" xfId="37685" xr:uid="{00000000-0005-0000-0000-000033930000}"/>
    <cellStyle name="Normal 6 2 70" xfId="37686" xr:uid="{00000000-0005-0000-0000-000034930000}"/>
    <cellStyle name="Normal 6 2 71" xfId="37687" xr:uid="{00000000-0005-0000-0000-000035930000}"/>
    <cellStyle name="Normal 6 2 72" xfId="37688" xr:uid="{00000000-0005-0000-0000-000036930000}"/>
    <cellStyle name="Normal 6 2 73" xfId="37689" xr:uid="{00000000-0005-0000-0000-000037930000}"/>
    <cellStyle name="Normal 6 2 74" xfId="37690" xr:uid="{00000000-0005-0000-0000-000038930000}"/>
    <cellStyle name="Normal 6 2 75" xfId="37691" xr:uid="{00000000-0005-0000-0000-000039930000}"/>
    <cellStyle name="Normal 6 2 76" xfId="37692" xr:uid="{00000000-0005-0000-0000-00003A930000}"/>
    <cellStyle name="Normal 6 2 77" xfId="37693" xr:uid="{00000000-0005-0000-0000-00003B930000}"/>
    <cellStyle name="Normal 6 2 78" xfId="37694" xr:uid="{00000000-0005-0000-0000-00003C930000}"/>
    <cellStyle name="Normal 6 2 79" xfId="37695" xr:uid="{00000000-0005-0000-0000-00003D930000}"/>
    <cellStyle name="Normal 6 2 8" xfId="37696" xr:uid="{00000000-0005-0000-0000-00003E930000}"/>
    <cellStyle name="Normal 6 2 80" xfId="37697" xr:uid="{00000000-0005-0000-0000-00003F930000}"/>
    <cellStyle name="Normal 6 2 81" xfId="37698" xr:uid="{00000000-0005-0000-0000-000040930000}"/>
    <cellStyle name="Normal 6 2 82" xfId="37699" xr:uid="{00000000-0005-0000-0000-000041930000}"/>
    <cellStyle name="Normal 6 2 83" xfId="37700" xr:uid="{00000000-0005-0000-0000-000042930000}"/>
    <cellStyle name="Normal 6 2 84" xfId="37701" xr:uid="{00000000-0005-0000-0000-000043930000}"/>
    <cellStyle name="Normal 6 2 85" xfId="37702" xr:uid="{00000000-0005-0000-0000-000044930000}"/>
    <cellStyle name="Normal 6 2 86" xfId="37703" xr:uid="{00000000-0005-0000-0000-000045930000}"/>
    <cellStyle name="Normal 6 2 9" xfId="37704" xr:uid="{00000000-0005-0000-0000-000046930000}"/>
    <cellStyle name="Normal 6 2_Xa Parametrización de Usuarios" xfId="37705" xr:uid="{00000000-0005-0000-0000-000047930000}"/>
    <cellStyle name="Normal 6 20" xfId="37706" xr:uid="{00000000-0005-0000-0000-000048930000}"/>
    <cellStyle name="Normal 6 21" xfId="37707" xr:uid="{00000000-0005-0000-0000-000049930000}"/>
    <cellStyle name="Normal 6 22" xfId="37708" xr:uid="{00000000-0005-0000-0000-00004A930000}"/>
    <cellStyle name="Normal 6 23" xfId="37709" xr:uid="{00000000-0005-0000-0000-00004B930000}"/>
    <cellStyle name="Normal 6 24" xfId="37710" xr:uid="{00000000-0005-0000-0000-00004C930000}"/>
    <cellStyle name="Normal 6 25" xfId="37711" xr:uid="{00000000-0005-0000-0000-00004D930000}"/>
    <cellStyle name="Normal 6 26" xfId="37712" xr:uid="{00000000-0005-0000-0000-00004E930000}"/>
    <cellStyle name="Normal 6 27" xfId="37713" xr:uid="{00000000-0005-0000-0000-00004F930000}"/>
    <cellStyle name="Normal 6 28" xfId="37714" xr:uid="{00000000-0005-0000-0000-000050930000}"/>
    <cellStyle name="Normal 6 29" xfId="37715" xr:uid="{00000000-0005-0000-0000-000051930000}"/>
    <cellStyle name="Normal 6 3" xfId="37716" xr:uid="{00000000-0005-0000-0000-000052930000}"/>
    <cellStyle name="Normal 6 3 10" xfId="37717" xr:uid="{00000000-0005-0000-0000-000053930000}"/>
    <cellStyle name="Normal 6 3 11" xfId="37718" xr:uid="{00000000-0005-0000-0000-000054930000}"/>
    <cellStyle name="Normal 6 3 12" xfId="37719" xr:uid="{00000000-0005-0000-0000-000055930000}"/>
    <cellStyle name="Normal 6 3 2" xfId="37720" xr:uid="{00000000-0005-0000-0000-000056930000}"/>
    <cellStyle name="Normal 6 3 3" xfId="37721" xr:uid="{00000000-0005-0000-0000-000057930000}"/>
    <cellStyle name="Normal 6 3 4" xfId="37722" xr:uid="{00000000-0005-0000-0000-000058930000}"/>
    <cellStyle name="Normal 6 3 5" xfId="37723" xr:uid="{00000000-0005-0000-0000-000059930000}"/>
    <cellStyle name="Normal 6 3 6" xfId="37724" xr:uid="{00000000-0005-0000-0000-00005A930000}"/>
    <cellStyle name="Normal 6 3 7" xfId="37725" xr:uid="{00000000-0005-0000-0000-00005B930000}"/>
    <cellStyle name="Normal 6 3 8" xfId="37726" xr:uid="{00000000-0005-0000-0000-00005C930000}"/>
    <cellStyle name="Normal 6 3 9" xfId="37727" xr:uid="{00000000-0005-0000-0000-00005D930000}"/>
    <cellStyle name="Normal 6 3_Xa Parametrización de Usuarios" xfId="37728" xr:uid="{00000000-0005-0000-0000-00005E930000}"/>
    <cellStyle name="Normal 6 4" xfId="37729" xr:uid="{00000000-0005-0000-0000-00005F930000}"/>
    <cellStyle name="Normal 6 5" xfId="37730" xr:uid="{00000000-0005-0000-0000-000060930000}"/>
    <cellStyle name="Normal 6 6" xfId="37731" xr:uid="{00000000-0005-0000-0000-000061930000}"/>
    <cellStyle name="Normal 6 7" xfId="37732" xr:uid="{00000000-0005-0000-0000-000062930000}"/>
    <cellStyle name="Normal 6 8" xfId="37733" xr:uid="{00000000-0005-0000-0000-000063930000}"/>
    <cellStyle name="Normal 6 9" xfId="37734" xr:uid="{00000000-0005-0000-0000-000064930000}"/>
    <cellStyle name="Normal 60" xfId="37735" xr:uid="{00000000-0005-0000-0000-000065930000}"/>
    <cellStyle name="Normal 61" xfId="37736" xr:uid="{00000000-0005-0000-0000-000066930000}"/>
    <cellStyle name="Normal 61 2" xfId="37737" xr:uid="{00000000-0005-0000-0000-000067930000}"/>
    <cellStyle name="Normal 61 2 2" xfId="37738" xr:uid="{00000000-0005-0000-0000-000068930000}"/>
    <cellStyle name="Normal 61 2 3" xfId="37739" xr:uid="{00000000-0005-0000-0000-000069930000}"/>
    <cellStyle name="Normal 61 3" xfId="37740" xr:uid="{00000000-0005-0000-0000-00006A930000}"/>
    <cellStyle name="Normal 62" xfId="37741" xr:uid="{00000000-0005-0000-0000-00006B930000}"/>
    <cellStyle name="Normal 62 2" xfId="37742" xr:uid="{00000000-0005-0000-0000-00006C930000}"/>
    <cellStyle name="Normal 62 3" xfId="37743" xr:uid="{00000000-0005-0000-0000-00006D930000}"/>
    <cellStyle name="Normal 63" xfId="37744" xr:uid="{00000000-0005-0000-0000-00006E930000}"/>
    <cellStyle name="Normal 63 2" xfId="37745" xr:uid="{00000000-0005-0000-0000-00006F930000}"/>
    <cellStyle name="Normal 63 3" xfId="37746" xr:uid="{00000000-0005-0000-0000-000070930000}"/>
    <cellStyle name="Normal 63 4" xfId="37747" xr:uid="{00000000-0005-0000-0000-000071930000}"/>
    <cellStyle name="Normal 64" xfId="37748" xr:uid="{00000000-0005-0000-0000-000072930000}"/>
    <cellStyle name="Normal 64 2" xfId="37749" xr:uid="{00000000-0005-0000-0000-000073930000}"/>
    <cellStyle name="Normal 64 3" xfId="37750" xr:uid="{00000000-0005-0000-0000-000074930000}"/>
    <cellStyle name="Normal 64 4" xfId="37751" xr:uid="{00000000-0005-0000-0000-000075930000}"/>
    <cellStyle name="Normal 65" xfId="37752" xr:uid="{00000000-0005-0000-0000-000076930000}"/>
    <cellStyle name="Normal 65 2" xfId="37753" xr:uid="{00000000-0005-0000-0000-000077930000}"/>
    <cellStyle name="Normal 65 3" xfId="37754" xr:uid="{00000000-0005-0000-0000-000078930000}"/>
    <cellStyle name="Normal 66" xfId="37755" xr:uid="{00000000-0005-0000-0000-000079930000}"/>
    <cellStyle name="Normal 66 2" xfId="37756" xr:uid="{00000000-0005-0000-0000-00007A930000}"/>
    <cellStyle name="Normal 66 3" xfId="37757" xr:uid="{00000000-0005-0000-0000-00007B930000}"/>
    <cellStyle name="Normal 67" xfId="37758" xr:uid="{00000000-0005-0000-0000-00007C930000}"/>
    <cellStyle name="Normal 67 2" xfId="37759" xr:uid="{00000000-0005-0000-0000-00007D930000}"/>
    <cellStyle name="Normal 68" xfId="37760" xr:uid="{00000000-0005-0000-0000-00007E930000}"/>
    <cellStyle name="Normal 68 2" xfId="37761" xr:uid="{00000000-0005-0000-0000-00007F930000}"/>
    <cellStyle name="Normal 69" xfId="37762" xr:uid="{00000000-0005-0000-0000-000080930000}"/>
    <cellStyle name="Normal 69 2" xfId="37763" xr:uid="{00000000-0005-0000-0000-000081930000}"/>
    <cellStyle name="Normal 69 3" xfId="37764" xr:uid="{00000000-0005-0000-0000-000082930000}"/>
    <cellStyle name="Normal 7" xfId="1" xr:uid="{00000000-0005-0000-0000-000083930000}"/>
    <cellStyle name="Normal 7 10" xfId="37765" xr:uid="{00000000-0005-0000-0000-000084930000}"/>
    <cellStyle name="Normal 7 11" xfId="37766" xr:uid="{00000000-0005-0000-0000-000085930000}"/>
    <cellStyle name="Normal 7 12" xfId="37767" xr:uid="{00000000-0005-0000-0000-000086930000}"/>
    <cellStyle name="Normal 7 13" xfId="37768" xr:uid="{00000000-0005-0000-0000-000087930000}"/>
    <cellStyle name="Normal 7 14" xfId="37769" xr:uid="{00000000-0005-0000-0000-000088930000}"/>
    <cellStyle name="Normal 7 15" xfId="37770" xr:uid="{00000000-0005-0000-0000-000089930000}"/>
    <cellStyle name="Normal 7 16" xfId="37771" xr:uid="{00000000-0005-0000-0000-00008A930000}"/>
    <cellStyle name="Normal 7 17" xfId="37772" xr:uid="{00000000-0005-0000-0000-00008B930000}"/>
    <cellStyle name="Normal 7 18" xfId="37773" xr:uid="{00000000-0005-0000-0000-00008C930000}"/>
    <cellStyle name="Normal 7 19" xfId="37774" xr:uid="{00000000-0005-0000-0000-00008D930000}"/>
    <cellStyle name="Normal 7 2" xfId="22" xr:uid="{00000000-0005-0000-0000-00008E930000}"/>
    <cellStyle name="Normal 7 2 10" xfId="37775" xr:uid="{00000000-0005-0000-0000-00008F930000}"/>
    <cellStyle name="Normal 7 2 11" xfId="37776" xr:uid="{00000000-0005-0000-0000-000090930000}"/>
    <cellStyle name="Normal 7 2 12" xfId="37777" xr:uid="{00000000-0005-0000-0000-000091930000}"/>
    <cellStyle name="Normal 7 2 13" xfId="37778" xr:uid="{00000000-0005-0000-0000-000092930000}"/>
    <cellStyle name="Normal 7 2 14" xfId="37779" xr:uid="{00000000-0005-0000-0000-000093930000}"/>
    <cellStyle name="Normal 7 2 15" xfId="37780" xr:uid="{00000000-0005-0000-0000-000094930000}"/>
    <cellStyle name="Normal 7 2 16" xfId="37781" xr:uid="{00000000-0005-0000-0000-000095930000}"/>
    <cellStyle name="Normal 7 2 17" xfId="37782" xr:uid="{00000000-0005-0000-0000-000096930000}"/>
    <cellStyle name="Normal 7 2 18" xfId="37783" xr:uid="{00000000-0005-0000-0000-000097930000}"/>
    <cellStyle name="Normal 7 2 19" xfId="37784" xr:uid="{00000000-0005-0000-0000-000098930000}"/>
    <cellStyle name="Normal 7 2 2" xfId="37785" xr:uid="{00000000-0005-0000-0000-000099930000}"/>
    <cellStyle name="Normal 7 2 2 2" xfId="37786" xr:uid="{00000000-0005-0000-0000-00009A930000}"/>
    <cellStyle name="Normal 7 2 2 2 2" xfId="37787" xr:uid="{00000000-0005-0000-0000-00009B930000}"/>
    <cellStyle name="Normal 7 2 20" xfId="37788" xr:uid="{00000000-0005-0000-0000-00009C930000}"/>
    <cellStyle name="Normal 7 2 21" xfId="37789" xr:uid="{00000000-0005-0000-0000-00009D930000}"/>
    <cellStyle name="Normal 7 2 22" xfId="37790" xr:uid="{00000000-0005-0000-0000-00009E930000}"/>
    <cellStyle name="Normal 7 2 23" xfId="37791" xr:uid="{00000000-0005-0000-0000-00009F930000}"/>
    <cellStyle name="Normal 7 2 24" xfId="37792" xr:uid="{00000000-0005-0000-0000-0000A0930000}"/>
    <cellStyle name="Normal 7 2 25" xfId="37793" xr:uid="{00000000-0005-0000-0000-0000A1930000}"/>
    <cellStyle name="Normal 7 2 26" xfId="37794" xr:uid="{00000000-0005-0000-0000-0000A2930000}"/>
    <cellStyle name="Normal 7 2 27" xfId="37795" xr:uid="{00000000-0005-0000-0000-0000A3930000}"/>
    <cellStyle name="Normal 7 2 28" xfId="37796" xr:uid="{00000000-0005-0000-0000-0000A4930000}"/>
    <cellStyle name="Normal 7 2 29" xfId="37797" xr:uid="{00000000-0005-0000-0000-0000A5930000}"/>
    <cellStyle name="Normal 7 2 3" xfId="37798" xr:uid="{00000000-0005-0000-0000-0000A6930000}"/>
    <cellStyle name="Normal 7 2 30" xfId="37799" xr:uid="{00000000-0005-0000-0000-0000A7930000}"/>
    <cellStyle name="Normal 7 2 31" xfId="37800" xr:uid="{00000000-0005-0000-0000-0000A8930000}"/>
    <cellStyle name="Normal 7 2 32" xfId="37801" xr:uid="{00000000-0005-0000-0000-0000A9930000}"/>
    <cellStyle name="Normal 7 2 33" xfId="37802" xr:uid="{00000000-0005-0000-0000-0000AA930000}"/>
    <cellStyle name="Normal 7 2 34" xfId="37803" xr:uid="{00000000-0005-0000-0000-0000AB930000}"/>
    <cellStyle name="Normal 7 2 35" xfId="37804" xr:uid="{00000000-0005-0000-0000-0000AC930000}"/>
    <cellStyle name="Normal 7 2 36" xfId="37805" xr:uid="{00000000-0005-0000-0000-0000AD930000}"/>
    <cellStyle name="Normal 7 2 37" xfId="37806" xr:uid="{00000000-0005-0000-0000-0000AE930000}"/>
    <cellStyle name="Normal 7 2 38" xfId="37807" xr:uid="{00000000-0005-0000-0000-0000AF930000}"/>
    <cellStyle name="Normal 7 2 39" xfId="37808" xr:uid="{00000000-0005-0000-0000-0000B0930000}"/>
    <cellStyle name="Normal 7 2 4" xfId="37809" xr:uid="{00000000-0005-0000-0000-0000B1930000}"/>
    <cellStyle name="Normal 7 2 40" xfId="37810" xr:uid="{00000000-0005-0000-0000-0000B2930000}"/>
    <cellStyle name="Normal 7 2 41" xfId="37811" xr:uid="{00000000-0005-0000-0000-0000B3930000}"/>
    <cellStyle name="Normal 7 2 42" xfId="37812" xr:uid="{00000000-0005-0000-0000-0000B4930000}"/>
    <cellStyle name="Normal 7 2 43" xfId="37813" xr:uid="{00000000-0005-0000-0000-0000B5930000}"/>
    <cellStyle name="Normal 7 2 44" xfId="37814" xr:uid="{00000000-0005-0000-0000-0000B6930000}"/>
    <cellStyle name="Normal 7 2 45" xfId="37815" xr:uid="{00000000-0005-0000-0000-0000B7930000}"/>
    <cellStyle name="Normal 7 2 46" xfId="37816" xr:uid="{00000000-0005-0000-0000-0000B8930000}"/>
    <cellStyle name="Normal 7 2 47" xfId="37817" xr:uid="{00000000-0005-0000-0000-0000B9930000}"/>
    <cellStyle name="Normal 7 2 48" xfId="37818" xr:uid="{00000000-0005-0000-0000-0000BA930000}"/>
    <cellStyle name="Normal 7 2 49" xfId="37819" xr:uid="{00000000-0005-0000-0000-0000BB930000}"/>
    <cellStyle name="Normal 7 2 5" xfId="37820" xr:uid="{00000000-0005-0000-0000-0000BC930000}"/>
    <cellStyle name="Normal 7 2 50" xfId="37821" xr:uid="{00000000-0005-0000-0000-0000BD930000}"/>
    <cellStyle name="Normal 7 2 51" xfId="37822" xr:uid="{00000000-0005-0000-0000-0000BE930000}"/>
    <cellStyle name="Normal 7 2 52" xfId="37823" xr:uid="{00000000-0005-0000-0000-0000BF930000}"/>
    <cellStyle name="Normal 7 2 53" xfId="37824" xr:uid="{00000000-0005-0000-0000-0000C0930000}"/>
    <cellStyle name="Normal 7 2 54" xfId="37825" xr:uid="{00000000-0005-0000-0000-0000C1930000}"/>
    <cellStyle name="Normal 7 2 55" xfId="37826" xr:uid="{00000000-0005-0000-0000-0000C2930000}"/>
    <cellStyle name="Normal 7 2 56" xfId="37827" xr:uid="{00000000-0005-0000-0000-0000C3930000}"/>
    <cellStyle name="Normal 7 2 57" xfId="37828" xr:uid="{00000000-0005-0000-0000-0000C4930000}"/>
    <cellStyle name="Normal 7 2 58" xfId="37829" xr:uid="{00000000-0005-0000-0000-0000C5930000}"/>
    <cellStyle name="Normal 7 2 59" xfId="37830" xr:uid="{00000000-0005-0000-0000-0000C6930000}"/>
    <cellStyle name="Normal 7 2 6" xfId="37831" xr:uid="{00000000-0005-0000-0000-0000C7930000}"/>
    <cellStyle name="Normal 7 2 60" xfId="37832" xr:uid="{00000000-0005-0000-0000-0000C8930000}"/>
    <cellStyle name="Normal 7 2 61" xfId="37833" xr:uid="{00000000-0005-0000-0000-0000C9930000}"/>
    <cellStyle name="Normal 7 2 62" xfId="37834" xr:uid="{00000000-0005-0000-0000-0000CA930000}"/>
    <cellStyle name="Normal 7 2 63" xfId="37835" xr:uid="{00000000-0005-0000-0000-0000CB930000}"/>
    <cellStyle name="Normal 7 2 64" xfId="37836" xr:uid="{00000000-0005-0000-0000-0000CC930000}"/>
    <cellStyle name="Normal 7 2 65" xfId="37837" xr:uid="{00000000-0005-0000-0000-0000CD930000}"/>
    <cellStyle name="Normal 7 2 66" xfId="37838" xr:uid="{00000000-0005-0000-0000-0000CE930000}"/>
    <cellStyle name="Normal 7 2 67" xfId="37839" xr:uid="{00000000-0005-0000-0000-0000CF930000}"/>
    <cellStyle name="Normal 7 2 68" xfId="37840" xr:uid="{00000000-0005-0000-0000-0000D0930000}"/>
    <cellStyle name="Normal 7 2 69" xfId="37841" xr:uid="{00000000-0005-0000-0000-0000D1930000}"/>
    <cellStyle name="Normal 7 2 7" xfId="37842" xr:uid="{00000000-0005-0000-0000-0000D2930000}"/>
    <cellStyle name="Normal 7 2 70" xfId="37843" xr:uid="{00000000-0005-0000-0000-0000D3930000}"/>
    <cellStyle name="Normal 7 2 71" xfId="37844" xr:uid="{00000000-0005-0000-0000-0000D4930000}"/>
    <cellStyle name="Normal 7 2 72" xfId="37845" xr:uid="{00000000-0005-0000-0000-0000D5930000}"/>
    <cellStyle name="Normal 7 2 73" xfId="37846" xr:uid="{00000000-0005-0000-0000-0000D6930000}"/>
    <cellStyle name="Normal 7 2 74" xfId="37847" xr:uid="{00000000-0005-0000-0000-0000D7930000}"/>
    <cellStyle name="Normal 7 2 75" xfId="37848" xr:uid="{00000000-0005-0000-0000-0000D8930000}"/>
    <cellStyle name="Normal 7 2 76" xfId="37849" xr:uid="{00000000-0005-0000-0000-0000D9930000}"/>
    <cellStyle name="Normal 7 2 77" xfId="37850" xr:uid="{00000000-0005-0000-0000-0000DA930000}"/>
    <cellStyle name="Normal 7 2 78" xfId="37851" xr:uid="{00000000-0005-0000-0000-0000DB930000}"/>
    <cellStyle name="Normal 7 2 79" xfId="37852" xr:uid="{00000000-0005-0000-0000-0000DC930000}"/>
    <cellStyle name="Normal 7 2 8" xfId="37853" xr:uid="{00000000-0005-0000-0000-0000DD930000}"/>
    <cellStyle name="Normal 7 2 80" xfId="37854" xr:uid="{00000000-0005-0000-0000-0000DE930000}"/>
    <cellStyle name="Normal 7 2 81" xfId="37855" xr:uid="{00000000-0005-0000-0000-0000DF930000}"/>
    <cellStyle name="Normal 7 2 9" xfId="37856" xr:uid="{00000000-0005-0000-0000-0000E0930000}"/>
    <cellStyle name="Normal 7 2_Enlaces" xfId="37857" xr:uid="{00000000-0005-0000-0000-0000E1930000}"/>
    <cellStyle name="Normal 7 20" xfId="37858" xr:uid="{00000000-0005-0000-0000-0000E2930000}"/>
    <cellStyle name="Normal 7 21" xfId="37859" xr:uid="{00000000-0005-0000-0000-0000E3930000}"/>
    <cellStyle name="Normal 7 22" xfId="37860" xr:uid="{00000000-0005-0000-0000-0000E4930000}"/>
    <cellStyle name="Normal 7 23" xfId="37861" xr:uid="{00000000-0005-0000-0000-0000E5930000}"/>
    <cellStyle name="Normal 7 24" xfId="37862" xr:uid="{00000000-0005-0000-0000-0000E6930000}"/>
    <cellStyle name="Normal 7 25" xfId="37863" xr:uid="{00000000-0005-0000-0000-0000E7930000}"/>
    <cellStyle name="Normal 7 26" xfId="37864" xr:uid="{00000000-0005-0000-0000-0000E8930000}"/>
    <cellStyle name="Normal 7 27" xfId="37865" xr:uid="{00000000-0005-0000-0000-0000E9930000}"/>
    <cellStyle name="Normal 7 28" xfId="37866" xr:uid="{00000000-0005-0000-0000-0000EA930000}"/>
    <cellStyle name="Normal 7 29" xfId="37867" xr:uid="{00000000-0005-0000-0000-0000EB930000}"/>
    <cellStyle name="Normal 7 3" xfId="37868" xr:uid="{00000000-0005-0000-0000-0000EC930000}"/>
    <cellStyle name="Normal 7 3 2" xfId="37869" xr:uid="{00000000-0005-0000-0000-0000ED930000}"/>
    <cellStyle name="Normal 7 3 3" xfId="37870" xr:uid="{00000000-0005-0000-0000-0000EE930000}"/>
    <cellStyle name="Normal 7 3 4" xfId="37871" xr:uid="{00000000-0005-0000-0000-0000EF930000}"/>
    <cellStyle name="Normal 7 3 4 2" xfId="37872" xr:uid="{00000000-0005-0000-0000-0000F0930000}"/>
    <cellStyle name="Normal 7 3 4 2 2" xfId="37873" xr:uid="{00000000-0005-0000-0000-0000F1930000}"/>
    <cellStyle name="Normal 7 3 4 3" xfId="37874" xr:uid="{00000000-0005-0000-0000-0000F2930000}"/>
    <cellStyle name="Normal 7 3 5" xfId="37875" xr:uid="{00000000-0005-0000-0000-0000F3930000}"/>
    <cellStyle name="Normal 7 3 6" xfId="37876" xr:uid="{00000000-0005-0000-0000-0000F4930000}"/>
    <cellStyle name="Normal 7 3 7" xfId="37877" xr:uid="{00000000-0005-0000-0000-0000F5930000}"/>
    <cellStyle name="Normal 7 3 7 2" xfId="37878" xr:uid="{00000000-0005-0000-0000-0000F6930000}"/>
    <cellStyle name="Normal 7 3_Implem" xfId="37879" xr:uid="{00000000-0005-0000-0000-0000F7930000}"/>
    <cellStyle name="Normal 7 30" xfId="37880" xr:uid="{00000000-0005-0000-0000-0000F8930000}"/>
    <cellStyle name="Normal 7 30 2" xfId="37881" xr:uid="{00000000-0005-0000-0000-0000F9930000}"/>
    <cellStyle name="Normal 7 31" xfId="37882" xr:uid="{00000000-0005-0000-0000-0000FA930000}"/>
    <cellStyle name="Normal 7 32" xfId="37883" xr:uid="{00000000-0005-0000-0000-0000FB930000}"/>
    <cellStyle name="Normal 7 33" xfId="37884" xr:uid="{00000000-0005-0000-0000-0000FC930000}"/>
    <cellStyle name="Normal 7 34" xfId="37885" xr:uid="{00000000-0005-0000-0000-0000FD930000}"/>
    <cellStyle name="Normal 7 35" xfId="37886" xr:uid="{00000000-0005-0000-0000-0000FE930000}"/>
    <cellStyle name="Normal 7 36" xfId="37887" xr:uid="{00000000-0005-0000-0000-0000FF930000}"/>
    <cellStyle name="Normal 7 37" xfId="37888" xr:uid="{00000000-0005-0000-0000-000000940000}"/>
    <cellStyle name="Normal 7 38" xfId="37889" xr:uid="{00000000-0005-0000-0000-000001940000}"/>
    <cellStyle name="Normal 7 39" xfId="37890" xr:uid="{00000000-0005-0000-0000-000002940000}"/>
    <cellStyle name="Normal 7 4" xfId="37891" xr:uid="{00000000-0005-0000-0000-000003940000}"/>
    <cellStyle name="Normal 7 40" xfId="37892" xr:uid="{00000000-0005-0000-0000-000004940000}"/>
    <cellStyle name="Normal 7 41" xfId="37893" xr:uid="{00000000-0005-0000-0000-000005940000}"/>
    <cellStyle name="Normal 7 42" xfId="37894" xr:uid="{00000000-0005-0000-0000-000006940000}"/>
    <cellStyle name="Normal 7 43" xfId="37895" xr:uid="{00000000-0005-0000-0000-000007940000}"/>
    <cellStyle name="Normal 7 44" xfId="37896" xr:uid="{00000000-0005-0000-0000-000008940000}"/>
    <cellStyle name="Normal 7 45" xfId="37897" xr:uid="{00000000-0005-0000-0000-000009940000}"/>
    <cellStyle name="Normal 7 46" xfId="37898" xr:uid="{00000000-0005-0000-0000-00000A940000}"/>
    <cellStyle name="Normal 7 5" xfId="37899" xr:uid="{00000000-0005-0000-0000-00000B940000}"/>
    <cellStyle name="Normal 7 6" xfId="37900" xr:uid="{00000000-0005-0000-0000-00000C940000}"/>
    <cellStyle name="Normal 7 7" xfId="37901" xr:uid="{00000000-0005-0000-0000-00000D940000}"/>
    <cellStyle name="Normal 7 8" xfId="37902" xr:uid="{00000000-0005-0000-0000-00000E940000}"/>
    <cellStyle name="Normal 7 9" xfId="37903" xr:uid="{00000000-0005-0000-0000-00000F940000}"/>
    <cellStyle name="Normal 70" xfId="37904" xr:uid="{00000000-0005-0000-0000-000010940000}"/>
    <cellStyle name="Normal 70 2" xfId="37905" xr:uid="{00000000-0005-0000-0000-000011940000}"/>
    <cellStyle name="Normal 71" xfId="37906" xr:uid="{00000000-0005-0000-0000-000012940000}"/>
    <cellStyle name="Normal 71 2" xfId="37907" xr:uid="{00000000-0005-0000-0000-000013940000}"/>
    <cellStyle name="Normal 72" xfId="37908" xr:uid="{00000000-0005-0000-0000-000014940000}"/>
    <cellStyle name="Normal 72 2" xfId="37909" xr:uid="{00000000-0005-0000-0000-000015940000}"/>
    <cellStyle name="Normal 72 3" xfId="37910" xr:uid="{00000000-0005-0000-0000-000016940000}"/>
    <cellStyle name="Normal 73" xfId="37911" xr:uid="{00000000-0005-0000-0000-000017940000}"/>
    <cellStyle name="Normal 73 2" xfId="37912" xr:uid="{00000000-0005-0000-0000-000018940000}"/>
    <cellStyle name="Normal 74" xfId="37913" xr:uid="{00000000-0005-0000-0000-000019940000}"/>
    <cellStyle name="Normal 74 2" xfId="37914" xr:uid="{00000000-0005-0000-0000-00001A940000}"/>
    <cellStyle name="Normal 75" xfId="37915" xr:uid="{00000000-0005-0000-0000-00001B940000}"/>
    <cellStyle name="Normal 75 2" xfId="37916" xr:uid="{00000000-0005-0000-0000-00001C940000}"/>
    <cellStyle name="Normal 75 3" xfId="37917" xr:uid="{00000000-0005-0000-0000-00001D940000}"/>
    <cellStyle name="Normal 76" xfId="37918" xr:uid="{00000000-0005-0000-0000-00001E940000}"/>
    <cellStyle name="Normal 76 2" xfId="37919" xr:uid="{00000000-0005-0000-0000-00001F940000}"/>
    <cellStyle name="Normal 76 3" xfId="37920" xr:uid="{00000000-0005-0000-0000-000020940000}"/>
    <cellStyle name="Normal 77" xfId="37921" xr:uid="{00000000-0005-0000-0000-000021940000}"/>
    <cellStyle name="Normal 77 2" xfId="37922" xr:uid="{00000000-0005-0000-0000-000022940000}"/>
    <cellStyle name="Normal 77 3" xfId="37923" xr:uid="{00000000-0005-0000-0000-000023940000}"/>
    <cellStyle name="Normal 78" xfId="37924" xr:uid="{00000000-0005-0000-0000-000024940000}"/>
    <cellStyle name="Normal 78 2" xfId="37925" xr:uid="{00000000-0005-0000-0000-000025940000}"/>
    <cellStyle name="Normal 79" xfId="37926" xr:uid="{00000000-0005-0000-0000-000026940000}"/>
    <cellStyle name="Normal 79 2" xfId="37927" xr:uid="{00000000-0005-0000-0000-000027940000}"/>
    <cellStyle name="Normal 8" xfId="23" xr:uid="{00000000-0005-0000-0000-000028940000}"/>
    <cellStyle name="Normal 8 2" xfId="37928" xr:uid="{00000000-0005-0000-0000-000029940000}"/>
    <cellStyle name="Normal 8 2 2" xfId="37929" xr:uid="{00000000-0005-0000-0000-00002A940000}"/>
    <cellStyle name="Normal 8 2 2 2" xfId="37930" xr:uid="{00000000-0005-0000-0000-00002B940000}"/>
    <cellStyle name="Normal 8 2 3" xfId="37931" xr:uid="{00000000-0005-0000-0000-00002C940000}"/>
    <cellStyle name="Normal 8 2 3 2" xfId="37932" xr:uid="{00000000-0005-0000-0000-00002D940000}"/>
    <cellStyle name="Normal 8 3" xfId="37933" xr:uid="{00000000-0005-0000-0000-00002E940000}"/>
    <cellStyle name="Normal 8 4" xfId="37934" xr:uid="{00000000-0005-0000-0000-00002F940000}"/>
    <cellStyle name="Normal 8 5" xfId="37935" xr:uid="{00000000-0005-0000-0000-000030940000}"/>
    <cellStyle name="Normal 8 6" xfId="37936" xr:uid="{00000000-0005-0000-0000-000031940000}"/>
    <cellStyle name="Normal 8 7" xfId="37937" xr:uid="{00000000-0005-0000-0000-000032940000}"/>
    <cellStyle name="Normal 8 8" xfId="37938" xr:uid="{00000000-0005-0000-0000-000033940000}"/>
    <cellStyle name="Normal 8 8 2" xfId="37939" xr:uid="{00000000-0005-0000-0000-000034940000}"/>
    <cellStyle name="Normal 80" xfId="37940" xr:uid="{00000000-0005-0000-0000-000035940000}"/>
    <cellStyle name="Normal 80 2" xfId="37941" xr:uid="{00000000-0005-0000-0000-000036940000}"/>
    <cellStyle name="Normal 80 3" xfId="37942" xr:uid="{00000000-0005-0000-0000-000037940000}"/>
    <cellStyle name="Normal 81" xfId="24" xr:uid="{00000000-0005-0000-0000-000038940000}"/>
    <cellStyle name="Normal 81 2" xfId="37943" xr:uid="{00000000-0005-0000-0000-000039940000}"/>
    <cellStyle name="Normal 82" xfId="37944" xr:uid="{00000000-0005-0000-0000-00003A940000}"/>
    <cellStyle name="Normal 82 2" xfId="37945" xr:uid="{00000000-0005-0000-0000-00003B940000}"/>
    <cellStyle name="Normal 83" xfId="37946" xr:uid="{00000000-0005-0000-0000-00003C940000}"/>
    <cellStyle name="Normal 83 2" xfId="37947" xr:uid="{00000000-0005-0000-0000-00003D940000}"/>
    <cellStyle name="Normal 83 3" xfId="37948" xr:uid="{00000000-0005-0000-0000-00003E940000}"/>
    <cellStyle name="Normal 84" xfId="37949" xr:uid="{00000000-0005-0000-0000-00003F940000}"/>
    <cellStyle name="Normal 84 2" xfId="37950" xr:uid="{00000000-0005-0000-0000-000040940000}"/>
    <cellStyle name="Normal 85" xfId="37951" xr:uid="{00000000-0005-0000-0000-000041940000}"/>
    <cellStyle name="Normal 85 2" xfId="37952" xr:uid="{00000000-0005-0000-0000-000042940000}"/>
    <cellStyle name="Normal 85 3" xfId="37953" xr:uid="{00000000-0005-0000-0000-000043940000}"/>
    <cellStyle name="Normal 86" xfId="37954" xr:uid="{00000000-0005-0000-0000-000044940000}"/>
    <cellStyle name="Normal 86 2" xfId="37955" xr:uid="{00000000-0005-0000-0000-000045940000}"/>
    <cellStyle name="Normal 86 3" xfId="37956" xr:uid="{00000000-0005-0000-0000-000046940000}"/>
    <cellStyle name="Normal 87" xfId="37957" xr:uid="{00000000-0005-0000-0000-000047940000}"/>
    <cellStyle name="Normal 87 2" xfId="37958" xr:uid="{00000000-0005-0000-0000-000048940000}"/>
    <cellStyle name="Normal 88" xfId="37959" xr:uid="{00000000-0005-0000-0000-000049940000}"/>
    <cellStyle name="Normal 88 2" xfId="37960" xr:uid="{00000000-0005-0000-0000-00004A940000}"/>
    <cellStyle name="Normal 88 3" xfId="37961" xr:uid="{00000000-0005-0000-0000-00004B940000}"/>
    <cellStyle name="Normal 89" xfId="37962" xr:uid="{00000000-0005-0000-0000-00004C940000}"/>
    <cellStyle name="Normal 89 2" xfId="37963" xr:uid="{00000000-0005-0000-0000-00004D940000}"/>
    <cellStyle name="Normal 9" xfId="37964" xr:uid="{00000000-0005-0000-0000-00004E940000}"/>
    <cellStyle name="Normal 9 10" xfId="37965" xr:uid="{00000000-0005-0000-0000-00004F940000}"/>
    <cellStyle name="Normal 9 11" xfId="37966" xr:uid="{00000000-0005-0000-0000-000050940000}"/>
    <cellStyle name="Normal 9 12" xfId="37967" xr:uid="{00000000-0005-0000-0000-000051940000}"/>
    <cellStyle name="Normal 9 13" xfId="37968" xr:uid="{00000000-0005-0000-0000-000052940000}"/>
    <cellStyle name="Normal 9 14" xfId="37969" xr:uid="{00000000-0005-0000-0000-000053940000}"/>
    <cellStyle name="Normal 9 15" xfId="37970" xr:uid="{00000000-0005-0000-0000-000054940000}"/>
    <cellStyle name="Normal 9 16" xfId="37971" xr:uid="{00000000-0005-0000-0000-000055940000}"/>
    <cellStyle name="Normal 9 17" xfId="37972" xr:uid="{00000000-0005-0000-0000-000056940000}"/>
    <cellStyle name="Normal 9 18" xfId="37973" xr:uid="{00000000-0005-0000-0000-000057940000}"/>
    <cellStyle name="Normal 9 19" xfId="37974" xr:uid="{00000000-0005-0000-0000-000058940000}"/>
    <cellStyle name="Normal 9 2" xfId="37975" xr:uid="{00000000-0005-0000-0000-000059940000}"/>
    <cellStyle name="Normal 9 2 10" xfId="37976" xr:uid="{00000000-0005-0000-0000-00005A940000}"/>
    <cellStyle name="Normal 9 2 11" xfId="37977" xr:uid="{00000000-0005-0000-0000-00005B940000}"/>
    <cellStyle name="Normal 9 2 12" xfId="37978" xr:uid="{00000000-0005-0000-0000-00005C940000}"/>
    <cellStyle name="Normal 9 2 13" xfId="37979" xr:uid="{00000000-0005-0000-0000-00005D940000}"/>
    <cellStyle name="Normal 9 2 14" xfId="37980" xr:uid="{00000000-0005-0000-0000-00005E940000}"/>
    <cellStyle name="Normal 9 2 15" xfId="37981" xr:uid="{00000000-0005-0000-0000-00005F940000}"/>
    <cellStyle name="Normal 9 2 16" xfId="37982" xr:uid="{00000000-0005-0000-0000-000060940000}"/>
    <cellStyle name="Normal 9 2 17" xfId="37983" xr:uid="{00000000-0005-0000-0000-000061940000}"/>
    <cellStyle name="Normal 9 2 18" xfId="37984" xr:uid="{00000000-0005-0000-0000-000062940000}"/>
    <cellStyle name="Normal 9 2 19" xfId="37985" xr:uid="{00000000-0005-0000-0000-000063940000}"/>
    <cellStyle name="Normal 9 2 2" xfId="37986" xr:uid="{00000000-0005-0000-0000-000064940000}"/>
    <cellStyle name="Normal 9 2 2 2" xfId="37987" xr:uid="{00000000-0005-0000-0000-000065940000}"/>
    <cellStyle name="Normal 9 2 2 2 2" xfId="37988" xr:uid="{00000000-0005-0000-0000-000066940000}"/>
    <cellStyle name="Normal 9 2 20" xfId="37989" xr:uid="{00000000-0005-0000-0000-000067940000}"/>
    <cellStyle name="Normal 9 2 21" xfId="37990" xr:uid="{00000000-0005-0000-0000-000068940000}"/>
    <cellStyle name="Normal 9 2 22" xfId="37991" xr:uid="{00000000-0005-0000-0000-000069940000}"/>
    <cellStyle name="Normal 9 2 23" xfId="37992" xr:uid="{00000000-0005-0000-0000-00006A940000}"/>
    <cellStyle name="Normal 9 2 24" xfId="37993" xr:uid="{00000000-0005-0000-0000-00006B940000}"/>
    <cellStyle name="Normal 9 2 25" xfId="37994" xr:uid="{00000000-0005-0000-0000-00006C940000}"/>
    <cellStyle name="Normal 9 2 26" xfId="37995" xr:uid="{00000000-0005-0000-0000-00006D940000}"/>
    <cellStyle name="Normal 9 2 27" xfId="37996" xr:uid="{00000000-0005-0000-0000-00006E940000}"/>
    <cellStyle name="Normal 9 2 28" xfId="37997" xr:uid="{00000000-0005-0000-0000-00006F940000}"/>
    <cellStyle name="Normal 9 2 29" xfId="37998" xr:uid="{00000000-0005-0000-0000-000070940000}"/>
    <cellStyle name="Normal 9 2 3" xfId="37999" xr:uid="{00000000-0005-0000-0000-000071940000}"/>
    <cellStyle name="Normal 9 2 30" xfId="38000" xr:uid="{00000000-0005-0000-0000-000072940000}"/>
    <cellStyle name="Normal 9 2 31" xfId="38001" xr:uid="{00000000-0005-0000-0000-000073940000}"/>
    <cellStyle name="Normal 9 2 32" xfId="38002" xr:uid="{00000000-0005-0000-0000-000074940000}"/>
    <cellStyle name="Normal 9 2 33" xfId="38003" xr:uid="{00000000-0005-0000-0000-000075940000}"/>
    <cellStyle name="Normal 9 2 34" xfId="38004" xr:uid="{00000000-0005-0000-0000-000076940000}"/>
    <cellStyle name="Normal 9 2 35" xfId="38005" xr:uid="{00000000-0005-0000-0000-000077940000}"/>
    <cellStyle name="Normal 9 2 36" xfId="38006" xr:uid="{00000000-0005-0000-0000-000078940000}"/>
    <cellStyle name="Normal 9 2 37" xfId="38007" xr:uid="{00000000-0005-0000-0000-000079940000}"/>
    <cellStyle name="Normal 9 2 38" xfId="38008" xr:uid="{00000000-0005-0000-0000-00007A940000}"/>
    <cellStyle name="Normal 9 2 39" xfId="38009" xr:uid="{00000000-0005-0000-0000-00007B940000}"/>
    <cellStyle name="Normal 9 2 4" xfId="38010" xr:uid="{00000000-0005-0000-0000-00007C940000}"/>
    <cellStyle name="Normal 9 2 40" xfId="38011" xr:uid="{00000000-0005-0000-0000-00007D940000}"/>
    <cellStyle name="Normal 9 2 41" xfId="38012" xr:uid="{00000000-0005-0000-0000-00007E940000}"/>
    <cellStyle name="Normal 9 2 42" xfId="38013" xr:uid="{00000000-0005-0000-0000-00007F940000}"/>
    <cellStyle name="Normal 9 2 43" xfId="38014" xr:uid="{00000000-0005-0000-0000-000080940000}"/>
    <cellStyle name="Normal 9 2 44" xfId="38015" xr:uid="{00000000-0005-0000-0000-000081940000}"/>
    <cellStyle name="Normal 9 2 45" xfId="38016" xr:uid="{00000000-0005-0000-0000-000082940000}"/>
    <cellStyle name="Normal 9 2 46" xfId="38017" xr:uid="{00000000-0005-0000-0000-000083940000}"/>
    <cellStyle name="Normal 9 2 47" xfId="38018" xr:uid="{00000000-0005-0000-0000-000084940000}"/>
    <cellStyle name="Normal 9 2 48" xfId="38019" xr:uid="{00000000-0005-0000-0000-000085940000}"/>
    <cellStyle name="Normal 9 2 49" xfId="38020" xr:uid="{00000000-0005-0000-0000-000086940000}"/>
    <cellStyle name="Normal 9 2 5" xfId="38021" xr:uid="{00000000-0005-0000-0000-000087940000}"/>
    <cellStyle name="Normal 9 2 50" xfId="38022" xr:uid="{00000000-0005-0000-0000-000088940000}"/>
    <cellStyle name="Normal 9 2 51" xfId="38023" xr:uid="{00000000-0005-0000-0000-000089940000}"/>
    <cellStyle name="Normal 9 2 52" xfId="38024" xr:uid="{00000000-0005-0000-0000-00008A940000}"/>
    <cellStyle name="Normal 9 2 53" xfId="38025" xr:uid="{00000000-0005-0000-0000-00008B940000}"/>
    <cellStyle name="Normal 9 2 54" xfId="38026" xr:uid="{00000000-0005-0000-0000-00008C940000}"/>
    <cellStyle name="Normal 9 2 55" xfId="38027" xr:uid="{00000000-0005-0000-0000-00008D940000}"/>
    <cellStyle name="Normal 9 2 56" xfId="38028" xr:uid="{00000000-0005-0000-0000-00008E940000}"/>
    <cellStyle name="Normal 9 2 57" xfId="38029" xr:uid="{00000000-0005-0000-0000-00008F940000}"/>
    <cellStyle name="Normal 9 2 58" xfId="38030" xr:uid="{00000000-0005-0000-0000-000090940000}"/>
    <cellStyle name="Normal 9 2 59" xfId="38031" xr:uid="{00000000-0005-0000-0000-000091940000}"/>
    <cellStyle name="Normal 9 2 6" xfId="38032" xr:uid="{00000000-0005-0000-0000-000092940000}"/>
    <cellStyle name="Normal 9 2 60" xfId="38033" xr:uid="{00000000-0005-0000-0000-000093940000}"/>
    <cellStyle name="Normal 9 2 61" xfId="38034" xr:uid="{00000000-0005-0000-0000-000094940000}"/>
    <cellStyle name="Normal 9 2 62" xfId="38035" xr:uid="{00000000-0005-0000-0000-000095940000}"/>
    <cellStyle name="Normal 9 2 63" xfId="38036" xr:uid="{00000000-0005-0000-0000-000096940000}"/>
    <cellStyle name="Normal 9 2 64" xfId="38037" xr:uid="{00000000-0005-0000-0000-000097940000}"/>
    <cellStyle name="Normal 9 2 65" xfId="38038" xr:uid="{00000000-0005-0000-0000-000098940000}"/>
    <cellStyle name="Normal 9 2 66" xfId="38039" xr:uid="{00000000-0005-0000-0000-000099940000}"/>
    <cellStyle name="Normal 9 2 67" xfId="38040" xr:uid="{00000000-0005-0000-0000-00009A940000}"/>
    <cellStyle name="Normal 9 2 68" xfId="38041" xr:uid="{00000000-0005-0000-0000-00009B940000}"/>
    <cellStyle name="Normal 9 2 69" xfId="38042" xr:uid="{00000000-0005-0000-0000-00009C940000}"/>
    <cellStyle name="Normal 9 2 7" xfId="38043" xr:uid="{00000000-0005-0000-0000-00009D940000}"/>
    <cellStyle name="Normal 9 2 70" xfId="38044" xr:uid="{00000000-0005-0000-0000-00009E940000}"/>
    <cellStyle name="Normal 9 2 71" xfId="38045" xr:uid="{00000000-0005-0000-0000-00009F940000}"/>
    <cellStyle name="Normal 9 2 72" xfId="38046" xr:uid="{00000000-0005-0000-0000-0000A0940000}"/>
    <cellStyle name="Normal 9 2 73" xfId="38047" xr:uid="{00000000-0005-0000-0000-0000A1940000}"/>
    <cellStyle name="Normal 9 2 74" xfId="38048" xr:uid="{00000000-0005-0000-0000-0000A2940000}"/>
    <cellStyle name="Normal 9 2 75" xfId="38049" xr:uid="{00000000-0005-0000-0000-0000A3940000}"/>
    <cellStyle name="Normal 9 2 76" xfId="38050" xr:uid="{00000000-0005-0000-0000-0000A4940000}"/>
    <cellStyle name="Normal 9 2 77" xfId="38051" xr:uid="{00000000-0005-0000-0000-0000A5940000}"/>
    <cellStyle name="Normal 9 2 78" xfId="38052" xr:uid="{00000000-0005-0000-0000-0000A6940000}"/>
    <cellStyle name="Normal 9 2 79" xfId="38053" xr:uid="{00000000-0005-0000-0000-0000A7940000}"/>
    <cellStyle name="Normal 9 2 8" xfId="38054" xr:uid="{00000000-0005-0000-0000-0000A8940000}"/>
    <cellStyle name="Normal 9 2 9" xfId="38055" xr:uid="{00000000-0005-0000-0000-0000A9940000}"/>
    <cellStyle name="Normal 9 2_Enlaces" xfId="38056" xr:uid="{00000000-0005-0000-0000-0000AA940000}"/>
    <cellStyle name="Normal 9 20" xfId="38057" xr:uid="{00000000-0005-0000-0000-0000AB940000}"/>
    <cellStyle name="Normal 9 20 2" xfId="38058" xr:uid="{00000000-0005-0000-0000-0000AC940000}"/>
    <cellStyle name="Normal 9 20 2 2" xfId="38059" xr:uid="{00000000-0005-0000-0000-0000AD940000}"/>
    <cellStyle name="Normal 9 20 2 3" xfId="38060" xr:uid="{00000000-0005-0000-0000-0000AE940000}"/>
    <cellStyle name="Normal 9 20 3" xfId="38061" xr:uid="{00000000-0005-0000-0000-0000AF940000}"/>
    <cellStyle name="Normal 9 20 4" xfId="38062" xr:uid="{00000000-0005-0000-0000-0000B0940000}"/>
    <cellStyle name="Normal 9 21" xfId="38063" xr:uid="{00000000-0005-0000-0000-0000B1940000}"/>
    <cellStyle name="Normal 9 21 2" xfId="38064" xr:uid="{00000000-0005-0000-0000-0000B2940000}"/>
    <cellStyle name="Normal 9 21 2 2" xfId="38065" xr:uid="{00000000-0005-0000-0000-0000B3940000}"/>
    <cellStyle name="Normal 9 21 2 3" xfId="38066" xr:uid="{00000000-0005-0000-0000-0000B4940000}"/>
    <cellStyle name="Normal 9 21 3" xfId="38067" xr:uid="{00000000-0005-0000-0000-0000B5940000}"/>
    <cellStyle name="Normal 9 21 4" xfId="38068" xr:uid="{00000000-0005-0000-0000-0000B6940000}"/>
    <cellStyle name="Normal 9 22" xfId="38069" xr:uid="{00000000-0005-0000-0000-0000B7940000}"/>
    <cellStyle name="Normal 9 22 2" xfId="38070" xr:uid="{00000000-0005-0000-0000-0000B8940000}"/>
    <cellStyle name="Normal 9 22 2 2" xfId="38071" xr:uid="{00000000-0005-0000-0000-0000B9940000}"/>
    <cellStyle name="Normal 9 22 2 3" xfId="38072" xr:uid="{00000000-0005-0000-0000-0000BA940000}"/>
    <cellStyle name="Normal 9 22 3" xfId="38073" xr:uid="{00000000-0005-0000-0000-0000BB940000}"/>
    <cellStyle name="Normal 9 22 4" xfId="38074" xr:uid="{00000000-0005-0000-0000-0000BC940000}"/>
    <cellStyle name="Normal 9 23" xfId="38075" xr:uid="{00000000-0005-0000-0000-0000BD940000}"/>
    <cellStyle name="Normal 9 23 2" xfId="38076" xr:uid="{00000000-0005-0000-0000-0000BE940000}"/>
    <cellStyle name="Normal 9 23 2 2" xfId="38077" xr:uid="{00000000-0005-0000-0000-0000BF940000}"/>
    <cellStyle name="Normal 9 23 2 3" xfId="38078" xr:uid="{00000000-0005-0000-0000-0000C0940000}"/>
    <cellStyle name="Normal 9 23 3" xfId="38079" xr:uid="{00000000-0005-0000-0000-0000C1940000}"/>
    <cellStyle name="Normal 9 23 4" xfId="38080" xr:uid="{00000000-0005-0000-0000-0000C2940000}"/>
    <cellStyle name="Normal 9 24" xfId="38081" xr:uid="{00000000-0005-0000-0000-0000C3940000}"/>
    <cellStyle name="Normal 9 24 2" xfId="38082" xr:uid="{00000000-0005-0000-0000-0000C4940000}"/>
    <cellStyle name="Normal 9 24 2 2" xfId="38083" xr:uid="{00000000-0005-0000-0000-0000C5940000}"/>
    <cellStyle name="Normal 9 24 2 3" xfId="38084" xr:uid="{00000000-0005-0000-0000-0000C6940000}"/>
    <cellStyle name="Normal 9 24 3" xfId="38085" xr:uid="{00000000-0005-0000-0000-0000C7940000}"/>
    <cellStyle name="Normal 9 24 4" xfId="38086" xr:uid="{00000000-0005-0000-0000-0000C8940000}"/>
    <cellStyle name="Normal 9 25" xfId="38087" xr:uid="{00000000-0005-0000-0000-0000C9940000}"/>
    <cellStyle name="Normal 9 25 2" xfId="38088" xr:uid="{00000000-0005-0000-0000-0000CA940000}"/>
    <cellStyle name="Normal 9 25 2 2" xfId="38089" xr:uid="{00000000-0005-0000-0000-0000CB940000}"/>
    <cellStyle name="Normal 9 25 2 3" xfId="38090" xr:uid="{00000000-0005-0000-0000-0000CC940000}"/>
    <cellStyle name="Normal 9 25 3" xfId="38091" xr:uid="{00000000-0005-0000-0000-0000CD940000}"/>
    <cellStyle name="Normal 9 25 4" xfId="38092" xr:uid="{00000000-0005-0000-0000-0000CE940000}"/>
    <cellStyle name="Normal 9 26" xfId="38093" xr:uid="{00000000-0005-0000-0000-0000CF940000}"/>
    <cellStyle name="Normal 9 26 2" xfId="38094" xr:uid="{00000000-0005-0000-0000-0000D0940000}"/>
    <cellStyle name="Normal 9 26 2 2" xfId="38095" xr:uid="{00000000-0005-0000-0000-0000D1940000}"/>
    <cellStyle name="Normal 9 26 2 3" xfId="38096" xr:uid="{00000000-0005-0000-0000-0000D2940000}"/>
    <cellStyle name="Normal 9 26 3" xfId="38097" xr:uid="{00000000-0005-0000-0000-0000D3940000}"/>
    <cellStyle name="Normal 9 26 4" xfId="38098" xr:uid="{00000000-0005-0000-0000-0000D4940000}"/>
    <cellStyle name="Normal 9 27" xfId="38099" xr:uid="{00000000-0005-0000-0000-0000D5940000}"/>
    <cellStyle name="Normal 9 27 2" xfId="38100" xr:uid="{00000000-0005-0000-0000-0000D6940000}"/>
    <cellStyle name="Normal 9 27 2 2" xfId="38101" xr:uid="{00000000-0005-0000-0000-0000D7940000}"/>
    <cellStyle name="Normal 9 27 2 3" xfId="38102" xr:uid="{00000000-0005-0000-0000-0000D8940000}"/>
    <cellStyle name="Normal 9 27 3" xfId="38103" xr:uid="{00000000-0005-0000-0000-0000D9940000}"/>
    <cellStyle name="Normal 9 27 4" xfId="38104" xr:uid="{00000000-0005-0000-0000-0000DA940000}"/>
    <cellStyle name="Normal 9 28" xfId="38105" xr:uid="{00000000-0005-0000-0000-0000DB940000}"/>
    <cellStyle name="Normal 9 28 2" xfId="38106" xr:uid="{00000000-0005-0000-0000-0000DC940000}"/>
    <cellStyle name="Normal 9 28 2 2" xfId="38107" xr:uid="{00000000-0005-0000-0000-0000DD940000}"/>
    <cellStyle name="Normal 9 28 2 3" xfId="38108" xr:uid="{00000000-0005-0000-0000-0000DE940000}"/>
    <cellStyle name="Normal 9 28 3" xfId="38109" xr:uid="{00000000-0005-0000-0000-0000DF940000}"/>
    <cellStyle name="Normal 9 28 4" xfId="38110" xr:uid="{00000000-0005-0000-0000-0000E0940000}"/>
    <cellStyle name="Normal 9 29" xfId="38111" xr:uid="{00000000-0005-0000-0000-0000E1940000}"/>
    <cellStyle name="Normal 9 29 2" xfId="38112" xr:uid="{00000000-0005-0000-0000-0000E2940000}"/>
    <cellStyle name="Normal 9 29 2 2" xfId="38113" xr:uid="{00000000-0005-0000-0000-0000E3940000}"/>
    <cellStyle name="Normal 9 29 2 3" xfId="38114" xr:uid="{00000000-0005-0000-0000-0000E4940000}"/>
    <cellStyle name="Normal 9 29 3" xfId="38115" xr:uid="{00000000-0005-0000-0000-0000E5940000}"/>
    <cellStyle name="Normal 9 29 4" xfId="38116" xr:uid="{00000000-0005-0000-0000-0000E6940000}"/>
    <cellStyle name="Normal 9 3" xfId="38117" xr:uid="{00000000-0005-0000-0000-0000E7940000}"/>
    <cellStyle name="Normal 9 3 2" xfId="38118" xr:uid="{00000000-0005-0000-0000-0000E8940000}"/>
    <cellStyle name="Normal 9 3 2 2" xfId="38119" xr:uid="{00000000-0005-0000-0000-0000E9940000}"/>
    <cellStyle name="Normal 9 3 2 2 2" xfId="38120" xr:uid="{00000000-0005-0000-0000-0000EA940000}"/>
    <cellStyle name="Normal 9 3 2 2 3" xfId="38121" xr:uid="{00000000-0005-0000-0000-0000EB940000}"/>
    <cellStyle name="Normal 9 3 2 3" xfId="38122" xr:uid="{00000000-0005-0000-0000-0000EC940000}"/>
    <cellStyle name="Normal 9 3 2 4" xfId="38123" xr:uid="{00000000-0005-0000-0000-0000ED940000}"/>
    <cellStyle name="Normal 9 3 3" xfId="38124" xr:uid="{00000000-0005-0000-0000-0000EE940000}"/>
    <cellStyle name="Normal 9 3 3 2" xfId="38125" xr:uid="{00000000-0005-0000-0000-0000EF940000}"/>
    <cellStyle name="Normal 9 3 3 2 2" xfId="38126" xr:uid="{00000000-0005-0000-0000-0000F0940000}"/>
    <cellStyle name="Normal 9 3 3 2 3" xfId="38127" xr:uid="{00000000-0005-0000-0000-0000F1940000}"/>
    <cellStyle name="Normal 9 3 3 3" xfId="38128" xr:uid="{00000000-0005-0000-0000-0000F2940000}"/>
    <cellStyle name="Normal 9 3 3 4" xfId="38129" xr:uid="{00000000-0005-0000-0000-0000F3940000}"/>
    <cellStyle name="Normal 9 3 4" xfId="38130" xr:uid="{00000000-0005-0000-0000-0000F4940000}"/>
    <cellStyle name="Normal 9 3 4 2" xfId="38131" xr:uid="{00000000-0005-0000-0000-0000F5940000}"/>
    <cellStyle name="Normal 9 3 4 2 2" xfId="38132" xr:uid="{00000000-0005-0000-0000-0000F6940000}"/>
    <cellStyle name="Normal 9 3 4 2 2 2" xfId="38133" xr:uid="{00000000-0005-0000-0000-0000F7940000}"/>
    <cellStyle name="Normal 9 3 4 2 2 2 2" xfId="38134" xr:uid="{00000000-0005-0000-0000-0000F8940000}"/>
    <cellStyle name="Normal 9 3 4 2 2 2 3" xfId="38135" xr:uid="{00000000-0005-0000-0000-0000F9940000}"/>
    <cellStyle name="Normal 9 3 4 2 2 3" xfId="38136" xr:uid="{00000000-0005-0000-0000-0000FA940000}"/>
    <cellStyle name="Normal 9 3 4 2 2 4" xfId="38137" xr:uid="{00000000-0005-0000-0000-0000FB940000}"/>
    <cellStyle name="Normal 9 3 4 3" xfId="38138" xr:uid="{00000000-0005-0000-0000-0000FC940000}"/>
    <cellStyle name="Normal 9 3 4 3 2" xfId="38139" xr:uid="{00000000-0005-0000-0000-0000FD940000}"/>
    <cellStyle name="Normal 9 3 4 3 2 2" xfId="38140" xr:uid="{00000000-0005-0000-0000-0000FE940000}"/>
    <cellStyle name="Normal 9 3 4 3 2 3" xfId="38141" xr:uid="{00000000-0005-0000-0000-0000FF940000}"/>
    <cellStyle name="Normal 9 3 4 3 3" xfId="38142" xr:uid="{00000000-0005-0000-0000-000000950000}"/>
    <cellStyle name="Normal 9 3 4 3 4" xfId="38143" xr:uid="{00000000-0005-0000-0000-000001950000}"/>
    <cellStyle name="Normal 9 3 4 4" xfId="38144" xr:uid="{00000000-0005-0000-0000-000002950000}"/>
    <cellStyle name="Normal 9 3 4 4 2" xfId="38145" xr:uid="{00000000-0005-0000-0000-000003950000}"/>
    <cellStyle name="Normal 9 3 4 4 3" xfId="38146" xr:uid="{00000000-0005-0000-0000-000004950000}"/>
    <cellStyle name="Normal 9 3 4 5" xfId="38147" xr:uid="{00000000-0005-0000-0000-000005950000}"/>
    <cellStyle name="Normal 9 3 5" xfId="38148" xr:uid="{00000000-0005-0000-0000-000006950000}"/>
    <cellStyle name="Normal 9 3 5 2" xfId="38149" xr:uid="{00000000-0005-0000-0000-000007950000}"/>
    <cellStyle name="Normal 9 3 5 2 2" xfId="38150" xr:uid="{00000000-0005-0000-0000-000008950000}"/>
    <cellStyle name="Normal 9 3 5 2 3" xfId="38151" xr:uid="{00000000-0005-0000-0000-000009950000}"/>
    <cellStyle name="Normal 9 3 5 3" xfId="38152" xr:uid="{00000000-0005-0000-0000-00000A950000}"/>
    <cellStyle name="Normal 9 3 5 4" xfId="38153" xr:uid="{00000000-0005-0000-0000-00000B950000}"/>
    <cellStyle name="Normal 9 3 6" xfId="38154" xr:uid="{00000000-0005-0000-0000-00000C950000}"/>
    <cellStyle name="Normal 9 3 6 2" xfId="38155" xr:uid="{00000000-0005-0000-0000-00000D950000}"/>
    <cellStyle name="Normal 9 3 6 2 2" xfId="38156" xr:uid="{00000000-0005-0000-0000-00000E950000}"/>
    <cellStyle name="Normal 9 3 6 2 3" xfId="38157" xr:uid="{00000000-0005-0000-0000-00000F950000}"/>
    <cellStyle name="Normal 9 3 6 3" xfId="38158" xr:uid="{00000000-0005-0000-0000-000010950000}"/>
    <cellStyle name="Normal 9 3 6 4" xfId="38159" xr:uid="{00000000-0005-0000-0000-000011950000}"/>
    <cellStyle name="Normal 9 3 7" xfId="38160" xr:uid="{00000000-0005-0000-0000-000012950000}"/>
    <cellStyle name="Normal 9 3 7 2" xfId="38161" xr:uid="{00000000-0005-0000-0000-000013950000}"/>
    <cellStyle name="Normal 9 3 7 3" xfId="38162" xr:uid="{00000000-0005-0000-0000-000014950000}"/>
    <cellStyle name="Normal 9 3 7 3 2" xfId="38163" xr:uid="{00000000-0005-0000-0000-000015950000}"/>
    <cellStyle name="Normal 9 3 7 3 3" xfId="38164" xr:uid="{00000000-0005-0000-0000-000016950000}"/>
    <cellStyle name="Normal 9 3 7 4" xfId="38165" xr:uid="{00000000-0005-0000-0000-000017950000}"/>
    <cellStyle name="Normal 9 3 8" xfId="38166" xr:uid="{00000000-0005-0000-0000-000018950000}"/>
    <cellStyle name="Normal 9 3 9" xfId="38167" xr:uid="{00000000-0005-0000-0000-000019950000}"/>
    <cellStyle name="Normal 9 3 9 2" xfId="38168" xr:uid="{00000000-0005-0000-0000-00001A950000}"/>
    <cellStyle name="Normal 9 3 9 2 2" xfId="38169" xr:uid="{00000000-0005-0000-0000-00001B950000}"/>
    <cellStyle name="Normal 9 3 9 2 3" xfId="38170" xr:uid="{00000000-0005-0000-0000-00001C950000}"/>
    <cellStyle name="Normal 9 3 9 3" xfId="38171" xr:uid="{00000000-0005-0000-0000-00001D950000}"/>
    <cellStyle name="Normal 9 3 9 4" xfId="38172" xr:uid="{00000000-0005-0000-0000-00001E950000}"/>
    <cellStyle name="Normal 9 3_Implem" xfId="38173" xr:uid="{00000000-0005-0000-0000-00001F950000}"/>
    <cellStyle name="Normal 9 4" xfId="38174" xr:uid="{00000000-0005-0000-0000-000020950000}"/>
    <cellStyle name="Normal 9 4 2" xfId="38175" xr:uid="{00000000-0005-0000-0000-000021950000}"/>
    <cellStyle name="Normal 9 4 2 2" xfId="38176" xr:uid="{00000000-0005-0000-0000-000022950000}"/>
    <cellStyle name="Normal 9 4 2 3" xfId="38177" xr:uid="{00000000-0005-0000-0000-000023950000}"/>
    <cellStyle name="Normal 9 4 3" xfId="38178" xr:uid="{00000000-0005-0000-0000-000024950000}"/>
    <cellStyle name="Normal 9 4 4" xfId="38179" xr:uid="{00000000-0005-0000-0000-000025950000}"/>
    <cellStyle name="Normal 9 5" xfId="38180" xr:uid="{00000000-0005-0000-0000-000026950000}"/>
    <cellStyle name="Normal 9 5 2" xfId="38181" xr:uid="{00000000-0005-0000-0000-000027950000}"/>
    <cellStyle name="Normal 9 5 2 2" xfId="38182" xr:uid="{00000000-0005-0000-0000-000028950000}"/>
    <cellStyle name="Normal 9 5 2 3" xfId="38183" xr:uid="{00000000-0005-0000-0000-000029950000}"/>
    <cellStyle name="Normal 9 5 3" xfId="38184" xr:uid="{00000000-0005-0000-0000-00002A950000}"/>
    <cellStyle name="Normal 9 5 4" xfId="38185" xr:uid="{00000000-0005-0000-0000-00002B950000}"/>
    <cellStyle name="Normal 9 6" xfId="38186" xr:uid="{00000000-0005-0000-0000-00002C950000}"/>
    <cellStyle name="Normal 9 6 2" xfId="38187" xr:uid="{00000000-0005-0000-0000-00002D950000}"/>
    <cellStyle name="Normal 9 6 2 2" xfId="38188" xr:uid="{00000000-0005-0000-0000-00002E950000}"/>
    <cellStyle name="Normal 9 6 2 3" xfId="38189" xr:uid="{00000000-0005-0000-0000-00002F950000}"/>
    <cellStyle name="Normal 9 6 3" xfId="38190" xr:uid="{00000000-0005-0000-0000-000030950000}"/>
    <cellStyle name="Normal 9 6 4" xfId="38191" xr:uid="{00000000-0005-0000-0000-000031950000}"/>
    <cellStyle name="Normal 9 7" xfId="38192" xr:uid="{00000000-0005-0000-0000-000032950000}"/>
    <cellStyle name="Normal 9 7 2" xfId="38193" xr:uid="{00000000-0005-0000-0000-000033950000}"/>
    <cellStyle name="Normal 9 7 2 2" xfId="38194" xr:uid="{00000000-0005-0000-0000-000034950000}"/>
    <cellStyle name="Normal 9 7 2 3" xfId="38195" xr:uid="{00000000-0005-0000-0000-000035950000}"/>
    <cellStyle name="Normal 9 7 3" xfId="38196" xr:uid="{00000000-0005-0000-0000-000036950000}"/>
    <cellStyle name="Normal 9 7 4" xfId="38197" xr:uid="{00000000-0005-0000-0000-000037950000}"/>
    <cellStyle name="Normal 9 8" xfId="38198" xr:uid="{00000000-0005-0000-0000-000038950000}"/>
    <cellStyle name="Normal 9 8 2" xfId="38199" xr:uid="{00000000-0005-0000-0000-000039950000}"/>
    <cellStyle name="Normal 9 8 2 2" xfId="38200" xr:uid="{00000000-0005-0000-0000-00003A950000}"/>
    <cellStyle name="Normal 9 8 2 3" xfId="38201" xr:uid="{00000000-0005-0000-0000-00003B950000}"/>
    <cellStyle name="Normal 9 8 3" xfId="38202" xr:uid="{00000000-0005-0000-0000-00003C950000}"/>
    <cellStyle name="Normal 9 8 4" xfId="38203" xr:uid="{00000000-0005-0000-0000-00003D950000}"/>
    <cellStyle name="Normal 9 9" xfId="38204" xr:uid="{00000000-0005-0000-0000-00003E950000}"/>
    <cellStyle name="Normal 9 9 2" xfId="38205" xr:uid="{00000000-0005-0000-0000-00003F950000}"/>
    <cellStyle name="Normal 9 9 2 2" xfId="38206" xr:uid="{00000000-0005-0000-0000-000040950000}"/>
    <cellStyle name="Normal 9 9 2 3" xfId="38207" xr:uid="{00000000-0005-0000-0000-000041950000}"/>
    <cellStyle name="Normal 9 9 3" xfId="38208" xr:uid="{00000000-0005-0000-0000-000042950000}"/>
    <cellStyle name="Normal 9 9 4" xfId="38209" xr:uid="{00000000-0005-0000-0000-000043950000}"/>
    <cellStyle name="Normal 90" xfId="38210" xr:uid="{00000000-0005-0000-0000-000044950000}"/>
    <cellStyle name="Normal 90 2" xfId="38211" xr:uid="{00000000-0005-0000-0000-000045950000}"/>
    <cellStyle name="Normal 90 2 2" xfId="38212" xr:uid="{00000000-0005-0000-0000-000046950000}"/>
    <cellStyle name="Normal 90 2 2 2" xfId="38213" xr:uid="{00000000-0005-0000-0000-000047950000}"/>
    <cellStyle name="Normal 90 2 2 3" xfId="38214" xr:uid="{00000000-0005-0000-0000-000048950000}"/>
    <cellStyle name="Normal 90 2 3" xfId="38215" xr:uid="{00000000-0005-0000-0000-000049950000}"/>
    <cellStyle name="Normal 90 2 4" xfId="38216" xr:uid="{00000000-0005-0000-0000-00004A950000}"/>
    <cellStyle name="Normal 90 3" xfId="38217" xr:uid="{00000000-0005-0000-0000-00004B950000}"/>
    <cellStyle name="Normal 90 3 2" xfId="38218" xr:uid="{00000000-0005-0000-0000-00004C950000}"/>
    <cellStyle name="Normal 90 3 3" xfId="38219" xr:uid="{00000000-0005-0000-0000-00004D950000}"/>
    <cellStyle name="Normal 90 4" xfId="38220" xr:uid="{00000000-0005-0000-0000-00004E950000}"/>
    <cellStyle name="Normal 90 5" xfId="38221" xr:uid="{00000000-0005-0000-0000-00004F950000}"/>
    <cellStyle name="Normal 91" xfId="38222" xr:uid="{00000000-0005-0000-0000-000050950000}"/>
    <cellStyle name="Normal 91 2" xfId="38223" xr:uid="{00000000-0005-0000-0000-000051950000}"/>
    <cellStyle name="Normal 91 2 2" xfId="38224" xr:uid="{00000000-0005-0000-0000-000052950000}"/>
    <cellStyle name="Normal 91 2 2 2" xfId="38225" xr:uid="{00000000-0005-0000-0000-000053950000}"/>
    <cellStyle name="Normal 91 2 2 3" xfId="38226" xr:uid="{00000000-0005-0000-0000-000054950000}"/>
    <cellStyle name="Normal 91 2 3" xfId="38227" xr:uid="{00000000-0005-0000-0000-000055950000}"/>
    <cellStyle name="Normal 91 2 4" xfId="38228" xr:uid="{00000000-0005-0000-0000-000056950000}"/>
    <cellStyle name="Normal 91 3" xfId="38229" xr:uid="{00000000-0005-0000-0000-000057950000}"/>
    <cellStyle name="Normal 91 3 2" xfId="38230" xr:uid="{00000000-0005-0000-0000-000058950000}"/>
    <cellStyle name="Normal 91 3 3" xfId="38231" xr:uid="{00000000-0005-0000-0000-000059950000}"/>
    <cellStyle name="Normal 91 4" xfId="38232" xr:uid="{00000000-0005-0000-0000-00005A950000}"/>
    <cellStyle name="Normal 91 5" xfId="38233" xr:uid="{00000000-0005-0000-0000-00005B950000}"/>
    <cellStyle name="Normal 92" xfId="38234" xr:uid="{00000000-0005-0000-0000-00005C950000}"/>
    <cellStyle name="Normal 92 2" xfId="38235" xr:uid="{00000000-0005-0000-0000-00005D950000}"/>
    <cellStyle name="Normal 92 2 2" xfId="38236" xr:uid="{00000000-0005-0000-0000-00005E950000}"/>
    <cellStyle name="Normal 92 2 2 2" xfId="38237" xr:uid="{00000000-0005-0000-0000-00005F950000}"/>
    <cellStyle name="Normal 92 2 2 3" xfId="38238" xr:uid="{00000000-0005-0000-0000-000060950000}"/>
    <cellStyle name="Normal 92 2 3" xfId="38239" xr:uid="{00000000-0005-0000-0000-000061950000}"/>
    <cellStyle name="Normal 92 2 4" xfId="38240" xr:uid="{00000000-0005-0000-0000-000062950000}"/>
    <cellStyle name="Normal 92 3" xfId="38241" xr:uid="{00000000-0005-0000-0000-000063950000}"/>
    <cellStyle name="Normal 92 3 2" xfId="38242" xr:uid="{00000000-0005-0000-0000-000064950000}"/>
    <cellStyle name="Normal 92 3 3" xfId="38243" xr:uid="{00000000-0005-0000-0000-000065950000}"/>
    <cellStyle name="Normal 92 4" xfId="38244" xr:uid="{00000000-0005-0000-0000-000066950000}"/>
    <cellStyle name="Normal 92 5" xfId="38245" xr:uid="{00000000-0005-0000-0000-000067950000}"/>
    <cellStyle name="Normal 92 6" xfId="38246" xr:uid="{00000000-0005-0000-0000-000068950000}"/>
    <cellStyle name="Normal 93" xfId="38247" xr:uid="{00000000-0005-0000-0000-000069950000}"/>
    <cellStyle name="Normal 93 2" xfId="38248" xr:uid="{00000000-0005-0000-0000-00006A950000}"/>
    <cellStyle name="Normal 93 2 2" xfId="38249" xr:uid="{00000000-0005-0000-0000-00006B950000}"/>
    <cellStyle name="Normal 93 2 2 2" xfId="38250" xr:uid="{00000000-0005-0000-0000-00006C950000}"/>
    <cellStyle name="Normal 93 2 2 3" xfId="38251" xr:uid="{00000000-0005-0000-0000-00006D950000}"/>
    <cellStyle name="Normal 93 2 3" xfId="38252" xr:uid="{00000000-0005-0000-0000-00006E950000}"/>
    <cellStyle name="Normal 93 2 4" xfId="38253" xr:uid="{00000000-0005-0000-0000-00006F950000}"/>
    <cellStyle name="Normal 93 3" xfId="38254" xr:uid="{00000000-0005-0000-0000-000070950000}"/>
    <cellStyle name="Normal 93 3 2" xfId="38255" xr:uid="{00000000-0005-0000-0000-000071950000}"/>
    <cellStyle name="Normal 93 3 3" xfId="38256" xr:uid="{00000000-0005-0000-0000-000072950000}"/>
    <cellStyle name="Normal 93 4" xfId="38257" xr:uid="{00000000-0005-0000-0000-000073950000}"/>
    <cellStyle name="Normal 93 5" xfId="38258" xr:uid="{00000000-0005-0000-0000-000074950000}"/>
    <cellStyle name="Normal 93 6" xfId="38259" xr:uid="{00000000-0005-0000-0000-000075950000}"/>
    <cellStyle name="Normal 94" xfId="38260" xr:uid="{00000000-0005-0000-0000-000076950000}"/>
    <cellStyle name="Normal 94 2" xfId="38261" xr:uid="{00000000-0005-0000-0000-000077950000}"/>
    <cellStyle name="Normal 94 2 2" xfId="38262" xr:uid="{00000000-0005-0000-0000-000078950000}"/>
    <cellStyle name="Normal 94 2 2 2" xfId="38263" xr:uid="{00000000-0005-0000-0000-000079950000}"/>
    <cellStyle name="Normal 94 2 2 3" xfId="38264" xr:uid="{00000000-0005-0000-0000-00007A950000}"/>
    <cellStyle name="Normal 94 2 3" xfId="38265" xr:uid="{00000000-0005-0000-0000-00007B950000}"/>
    <cellStyle name="Normal 94 2 4" xfId="38266" xr:uid="{00000000-0005-0000-0000-00007C950000}"/>
    <cellStyle name="Normal 94 3" xfId="38267" xr:uid="{00000000-0005-0000-0000-00007D950000}"/>
    <cellStyle name="Normal 94 3 2" xfId="38268" xr:uid="{00000000-0005-0000-0000-00007E950000}"/>
    <cellStyle name="Normal 94 3 3" xfId="38269" xr:uid="{00000000-0005-0000-0000-00007F950000}"/>
    <cellStyle name="Normal 94 4" xfId="38270" xr:uid="{00000000-0005-0000-0000-000080950000}"/>
    <cellStyle name="Normal 94 5" xfId="38271" xr:uid="{00000000-0005-0000-0000-000081950000}"/>
    <cellStyle name="Normal 94 6" xfId="38272" xr:uid="{00000000-0005-0000-0000-000082950000}"/>
    <cellStyle name="Normal 95" xfId="38273" xr:uid="{00000000-0005-0000-0000-000083950000}"/>
    <cellStyle name="Normal 95 2" xfId="38274" xr:uid="{00000000-0005-0000-0000-000084950000}"/>
    <cellStyle name="Normal 95 2 2" xfId="38275" xr:uid="{00000000-0005-0000-0000-000085950000}"/>
    <cellStyle name="Normal 95 2 2 2" xfId="38276" xr:uid="{00000000-0005-0000-0000-000086950000}"/>
    <cellStyle name="Normal 95 2 2 3" xfId="38277" xr:uid="{00000000-0005-0000-0000-000087950000}"/>
    <cellStyle name="Normal 95 2 3" xfId="38278" xr:uid="{00000000-0005-0000-0000-000088950000}"/>
    <cellStyle name="Normal 95 2 4" xfId="38279" xr:uid="{00000000-0005-0000-0000-000089950000}"/>
    <cellStyle name="Normal 95 3" xfId="38280" xr:uid="{00000000-0005-0000-0000-00008A950000}"/>
    <cellStyle name="Normal 95 3 2" xfId="38281" xr:uid="{00000000-0005-0000-0000-00008B950000}"/>
    <cellStyle name="Normal 95 3 3" xfId="38282" xr:uid="{00000000-0005-0000-0000-00008C950000}"/>
    <cellStyle name="Normal 95 4" xfId="38283" xr:uid="{00000000-0005-0000-0000-00008D950000}"/>
    <cellStyle name="Normal 95 5" xfId="38284" xr:uid="{00000000-0005-0000-0000-00008E950000}"/>
    <cellStyle name="Normal 96" xfId="38285" xr:uid="{00000000-0005-0000-0000-00008F950000}"/>
    <cellStyle name="Normal 96 2" xfId="38286" xr:uid="{00000000-0005-0000-0000-000090950000}"/>
    <cellStyle name="Normal 96 2 2" xfId="38287" xr:uid="{00000000-0005-0000-0000-000091950000}"/>
    <cellStyle name="Normal 96 2 2 2" xfId="38288" xr:uid="{00000000-0005-0000-0000-000092950000}"/>
    <cellStyle name="Normal 96 2 2 3" xfId="38289" xr:uid="{00000000-0005-0000-0000-000093950000}"/>
    <cellStyle name="Normal 96 2 3" xfId="38290" xr:uid="{00000000-0005-0000-0000-000094950000}"/>
    <cellStyle name="Normal 96 2 4" xfId="38291" xr:uid="{00000000-0005-0000-0000-000095950000}"/>
    <cellStyle name="Normal 96 3" xfId="38292" xr:uid="{00000000-0005-0000-0000-000096950000}"/>
    <cellStyle name="Normal 96 3 2" xfId="38293" xr:uid="{00000000-0005-0000-0000-000097950000}"/>
    <cellStyle name="Normal 96 3 3" xfId="38294" xr:uid="{00000000-0005-0000-0000-000098950000}"/>
    <cellStyle name="Normal 96 4" xfId="38295" xr:uid="{00000000-0005-0000-0000-000099950000}"/>
    <cellStyle name="Normal 96 5" xfId="38296" xr:uid="{00000000-0005-0000-0000-00009A950000}"/>
    <cellStyle name="Normal 96 6" xfId="38297" xr:uid="{00000000-0005-0000-0000-00009B950000}"/>
    <cellStyle name="Normal 97" xfId="38298" xr:uid="{00000000-0005-0000-0000-00009C950000}"/>
    <cellStyle name="Normal 97 2" xfId="38299" xr:uid="{00000000-0005-0000-0000-00009D950000}"/>
    <cellStyle name="Normal 97 2 2" xfId="38300" xr:uid="{00000000-0005-0000-0000-00009E950000}"/>
    <cellStyle name="Normal 97 2 2 2" xfId="38301" xr:uid="{00000000-0005-0000-0000-00009F950000}"/>
    <cellStyle name="Normal 97 2 2 3" xfId="38302" xr:uid="{00000000-0005-0000-0000-0000A0950000}"/>
    <cellStyle name="Normal 97 2 3" xfId="38303" xr:uid="{00000000-0005-0000-0000-0000A1950000}"/>
    <cellStyle name="Normal 97 2 4" xfId="38304" xr:uid="{00000000-0005-0000-0000-0000A2950000}"/>
    <cellStyle name="Normal 97 3" xfId="38305" xr:uid="{00000000-0005-0000-0000-0000A3950000}"/>
    <cellStyle name="Normal 97 3 2" xfId="38306" xr:uid="{00000000-0005-0000-0000-0000A4950000}"/>
    <cellStyle name="Normal 97 3 3" xfId="38307" xr:uid="{00000000-0005-0000-0000-0000A5950000}"/>
    <cellStyle name="Normal 97 4" xfId="38308" xr:uid="{00000000-0005-0000-0000-0000A6950000}"/>
    <cellStyle name="Normal 97 5" xfId="38309" xr:uid="{00000000-0005-0000-0000-0000A7950000}"/>
    <cellStyle name="Normal 98" xfId="38310" xr:uid="{00000000-0005-0000-0000-0000A8950000}"/>
    <cellStyle name="Normal 98 2" xfId="38311" xr:uid="{00000000-0005-0000-0000-0000A9950000}"/>
    <cellStyle name="Normal 98 2 2" xfId="38312" xr:uid="{00000000-0005-0000-0000-0000AA950000}"/>
    <cellStyle name="Normal 98 2 2 2" xfId="38313" xr:uid="{00000000-0005-0000-0000-0000AB950000}"/>
    <cellStyle name="Normal 98 2 2 3" xfId="38314" xr:uid="{00000000-0005-0000-0000-0000AC950000}"/>
    <cellStyle name="Normal 98 2 3" xfId="38315" xr:uid="{00000000-0005-0000-0000-0000AD950000}"/>
    <cellStyle name="Normal 98 2 4" xfId="38316" xr:uid="{00000000-0005-0000-0000-0000AE950000}"/>
    <cellStyle name="Normal 98 3" xfId="38317" xr:uid="{00000000-0005-0000-0000-0000AF950000}"/>
    <cellStyle name="Normal 98 3 2" xfId="38318" xr:uid="{00000000-0005-0000-0000-0000B0950000}"/>
    <cellStyle name="Normal 98 3 3" xfId="38319" xr:uid="{00000000-0005-0000-0000-0000B1950000}"/>
    <cellStyle name="Normal 98 4" xfId="38320" xr:uid="{00000000-0005-0000-0000-0000B2950000}"/>
    <cellStyle name="Normal 98 5" xfId="38321" xr:uid="{00000000-0005-0000-0000-0000B3950000}"/>
    <cellStyle name="Normal 99" xfId="38322" xr:uid="{00000000-0005-0000-0000-0000B4950000}"/>
    <cellStyle name="Normal 99 2" xfId="38323" xr:uid="{00000000-0005-0000-0000-0000B5950000}"/>
    <cellStyle name="Normal 99 2 2" xfId="38324" xr:uid="{00000000-0005-0000-0000-0000B6950000}"/>
    <cellStyle name="Normal 99 2 2 2" xfId="38325" xr:uid="{00000000-0005-0000-0000-0000B7950000}"/>
    <cellStyle name="Normal 99 2 2 3" xfId="38326" xr:uid="{00000000-0005-0000-0000-0000B8950000}"/>
    <cellStyle name="Normal 99 2 3" xfId="38327" xr:uid="{00000000-0005-0000-0000-0000B9950000}"/>
    <cellStyle name="Normal 99 2 4" xfId="38328" xr:uid="{00000000-0005-0000-0000-0000BA950000}"/>
    <cellStyle name="Normal 99 3" xfId="38329" xr:uid="{00000000-0005-0000-0000-0000BB950000}"/>
    <cellStyle name="Normal 99 3 2" xfId="38330" xr:uid="{00000000-0005-0000-0000-0000BC950000}"/>
    <cellStyle name="Normal 99 3 3" xfId="38331" xr:uid="{00000000-0005-0000-0000-0000BD950000}"/>
    <cellStyle name="Normal 99 4" xfId="38332" xr:uid="{00000000-0005-0000-0000-0000BE950000}"/>
    <cellStyle name="Normal 99 5" xfId="38333" xr:uid="{00000000-0005-0000-0000-0000BF950000}"/>
    <cellStyle name="Normal 99 6" xfId="38334" xr:uid="{00000000-0005-0000-0000-0000C0950000}"/>
    <cellStyle name="Notas 10" xfId="38335" xr:uid="{00000000-0005-0000-0000-0000C1950000}"/>
    <cellStyle name="Notas 2" xfId="38336" xr:uid="{00000000-0005-0000-0000-0000C2950000}"/>
    <cellStyle name="Notas 2 2" xfId="38337" xr:uid="{00000000-0005-0000-0000-0000C3950000}"/>
    <cellStyle name="Notas 2 2 2" xfId="38338" xr:uid="{00000000-0005-0000-0000-0000C4950000}"/>
    <cellStyle name="Notas 2 2 2 2" xfId="38339" xr:uid="{00000000-0005-0000-0000-0000C5950000}"/>
    <cellStyle name="Notas 2 2 2 2 2" xfId="38340" xr:uid="{00000000-0005-0000-0000-0000C6950000}"/>
    <cellStyle name="Notas 2 2 2 2 2 2" xfId="38341" xr:uid="{00000000-0005-0000-0000-0000C7950000}"/>
    <cellStyle name="Notas 2 2 2 2 2 2 2" xfId="38342" xr:uid="{00000000-0005-0000-0000-0000C8950000}"/>
    <cellStyle name="Notas 2 2 2 2 2 2 3" xfId="38343" xr:uid="{00000000-0005-0000-0000-0000C9950000}"/>
    <cellStyle name="Notas 2 2 2 2 2 3" xfId="38344" xr:uid="{00000000-0005-0000-0000-0000CA950000}"/>
    <cellStyle name="Notas 2 2 2 2 2 4" xfId="38345" xr:uid="{00000000-0005-0000-0000-0000CB950000}"/>
    <cellStyle name="Notas 2 2 2 2 3" xfId="38346" xr:uid="{00000000-0005-0000-0000-0000CC950000}"/>
    <cellStyle name="Notas 2 2 2 2 3 2" xfId="38347" xr:uid="{00000000-0005-0000-0000-0000CD950000}"/>
    <cellStyle name="Notas 2 2 2 2 3 3" xfId="38348" xr:uid="{00000000-0005-0000-0000-0000CE950000}"/>
    <cellStyle name="Notas 2 2 2 2 4" xfId="38349" xr:uid="{00000000-0005-0000-0000-0000CF950000}"/>
    <cellStyle name="Notas 2 2 2 2 5" xfId="38350" xr:uid="{00000000-0005-0000-0000-0000D0950000}"/>
    <cellStyle name="Notas 2 2 2 3" xfId="38351" xr:uid="{00000000-0005-0000-0000-0000D1950000}"/>
    <cellStyle name="Notas 2 2 2 3 2" xfId="38352" xr:uid="{00000000-0005-0000-0000-0000D2950000}"/>
    <cellStyle name="Notas 2 2 2 3 3" xfId="38353" xr:uid="{00000000-0005-0000-0000-0000D3950000}"/>
    <cellStyle name="Notas 2 2 2 4" xfId="38354" xr:uid="{00000000-0005-0000-0000-0000D4950000}"/>
    <cellStyle name="Notas 2 2 2 5" xfId="38355" xr:uid="{00000000-0005-0000-0000-0000D5950000}"/>
    <cellStyle name="Notas 2 2 3" xfId="38356" xr:uid="{00000000-0005-0000-0000-0000D6950000}"/>
    <cellStyle name="Notas 2 2 3 2" xfId="38357" xr:uid="{00000000-0005-0000-0000-0000D7950000}"/>
    <cellStyle name="Notas 2 2 3 2 2" xfId="38358" xr:uid="{00000000-0005-0000-0000-0000D8950000}"/>
    <cellStyle name="Notas 2 2 3 2 3" xfId="38359" xr:uid="{00000000-0005-0000-0000-0000D9950000}"/>
    <cellStyle name="Notas 2 2 3 3" xfId="38360" xr:uid="{00000000-0005-0000-0000-0000DA950000}"/>
    <cellStyle name="Notas 2 2 3 4" xfId="38361" xr:uid="{00000000-0005-0000-0000-0000DB950000}"/>
    <cellStyle name="Notas 2 2 4" xfId="38362" xr:uid="{00000000-0005-0000-0000-0000DC950000}"/>
    <cellStyle name="Notas 2 2 4 2" xfId="38363" xr:uid="{00000000-0005-0000-0000-0000DD950000}"/>
    <cellStyle name="Notas 2 2 4 2 2" xfId="38364" xr:uid="{00000000-0005-0000-0000-0000DE950000}"/>
    <cellStyle name="Notas 2 2 4 2 3" xfId="38365" xr:uid="{00000000-0005-0000-0000-0000DF950000}"/>
    <cellStyle name="Notas 2 2 4 3" xfId="38366" xr:uid="{00000000-0005-0000-0000-0000E0950000}"/>
    <cellStyle name="Notas 2 2 4 4" xfId="38367" xr:uid="{00000000-0005-0000-0000-0000E1950000}"/>
    <cellStyle name="Notas 2 2 5" xfId="38368" xr:uid="{00000000-0005-0000-0000-0000E2950000}"/>
    <cellStyle name="Notas 2 2 5 2" xfId="38369" xr:uid="{00000000-0005-0000-0000-0000E3950000}"/>
    <cellStyle name="Notas 2 2 5 3" xfId="38370" xr:uid="{00000000-0005-0000-0000-0000E4950000}"/>
    <cellStyle name="Notas 2 2 6" xfId="38371" xr:uid="{00000000-0005-0000-0000-0000E5950000}"/>
    <cellStyle name="Notas 2 2 7" xfId="38372" xr:uid="{00000000-0005-0000-0000-0000E6950000}"/>
    <cellStyle name="Notas 2 3" xfId="38373" xr:uid="{00000000-0005-0000-0000-0000E7950000}"/>
    <cellStyle name="Notas 2 3 2" xfId="38374" xr:uid="{00000000-0005-0000-0000-0000E8950000}"/>
    <cellStyle name="Notas 2 3 2 2" xfId="38375" xr:uid="{00000000-0005-0000-0000-0000E9950000}"/>
    <cellStyle name="Notas 2 3 2 3" xfId="38376" xr:uid="{00000000-0005-0000-0000-0000EA950000}"/>
    <cellStyle name="Notas 2 3 3" xfId="38377" xr:uid="{00000000-0005-0000-0000-0000EB950000}"/>
    <cellStyle name="Notas 2 3 4" xfId="38378" xr:uid="{00000000-0005-0000-0000-0000EC950000}"/>
    <cellStyle name="Notas 2 4" xfId="38379" xr:uid="{00000000-0005-0000-0000-0000ED950000}"/>
    <cellStyle name="Notas 2 4 2" xfId="38380" xr:uid="{00000000-0005-0000-0000-0000EE950000}"/>
    <cellStyle name="Notas 2 4 2 2" xfId="38381" xr:uid="{00000000-0005-0000-0000-0000EF950000}"/>
    <cellStyle name="Notas 2 4 2 3" xfId="38382" xr:uid="{00000000-0005-0000-0000-0000F0950000}"/>
    <cellStyle name="Notas 2 4 3" xfId="38383" xr:uid="{00000000-0005-0000-0000-0000F1950000}"/>
    <cellStyle name="Notas 2 4 4" xfId="38384" xr:uid="{00000000-0005-0000-0000-0000F2950000}"/>
    <cellStyle name="Notas 2 5" xfId="38385" xr:uid="{00000000-0005-0000-0000-0000F3950000}"/>
    <cellStyle name="Notas 2 5 2" xfId="38386" xr:uid="{00000000-0005-0000-0000-0000F4950000}"/>
    <cellStyle name="Notas 2 5 2 2" xfId="38387" xr:uid="{00000000-0005-0000-0000-0000F5950000}"/>
    <cellStyle name="Notas 2 5 2 3" xfId="38388" xr:uid="{00000000-0005-0000-0000-0000F6950000}"/>
    <cellStyle name="Notas 2 5 3" xfId="38389" xr:uid="{00000000-0005-0000-0000-0000F7950000}"/>
    <cellStyle name="Notas 2 5 4" xfId="38390" xr:uid="{00000000-0005-0000-0000-0000F8950000}"/>
    <cellStyle name="Notas 2 6" xfId="38391" xr:uid="{00000000-0005-0000-0000-0000F9950000}"/>
    <cellStyle name="Notas 2 6 2" xfId="38392" xr:uid="{00000000-0005-0000-0000-0000FA950000}"/>
    <cellStyle name="Notas 2 6 3" xfId="38393" xr:uid="{00000000-0005-0000-0000-0000FB950000}"/>
    <cellStyle name="Notas 2 7" xfId="38394" xr:uid="{00000000-0005-0000-0000-0000FC950000}"/>
    <cellStyle name="Notas 2 8" xfId="38395" xr:uid="{00000000-0005-0000-0000-0000FD950000}"/>
    <cellStyle name="Notas 3" xfId="38396" xr:uid="{00000000-0005-0000-0000-0000FE950000}"/>
    <cellStyle name="Notas 3 2" xfId="38397" xr:uid="{00000000-0005-0000-0000-0000FF950000}"/>
    <cellStyle name="Notas 3 2 2" xfId="38398" xr:uid="{00000000-0005-0000-0000-000000960000}"/>
    <cellStyle name="Notas 3 2 2 2" xfId="38399" xr:uid="{00000000-0005-0000-0000-000001960000}"/>
    <cellStyle name="Notas 3 2 2 3" xfId="38400" xr:uid="{00000000-0005-0000-0000-000002960000}"/>
    <cellStyle name="Notas 3 2 3" xfId="38401" xr:uid="{00000000-0005-0000-0000-000003960000}"/>
    <cellStyle name="Notas 3 2 4" xfId="38402" xr:uid="{00000000-0005-0000-0000-000004960000}"/>
    <cellStyle name="Notas 3 2 5" xfId="38403" xr:uid="{00000000-0005-0000-0000-000005960000}"/>
    <cellStyle name="Notas 3 3" xfId="38404" xr:uid="{00000000-0005-0000-0000-000006960000}"/>
    <cellStyle name="Notas 3 3 2" xfId="38405" xr:uid="{00000000-0005-0000-0000-000007960000}"/>
    <cellStyle name="Notas 3 3 3" xfId="38406" xr:uid="{00000000-0005-0000-0000-000008960000}"/>
    <cellStyle name="Notas 3 4" xfId="38407" xr:uid="{00000000-0005-0000-0000-000009960000}"/>
    <cellStyle name="Notas 3 5" xfId="38408" xr:uid="{00000000-0005-0000-0000-00000A960000}"/>
    <cellStyle name="Notas 4" xfId="38409" xr:uid="{00000000-0005-0000-0000-00000B960000}"/>
    <cellStyle name="Notas 4 2" xfId="38410" xr:uid="{00000000-0005-0000-0000-00000C960000}"/>
    <cellStyle name="Notas 4 2 2" xfId="38411" xr:uid="{00000000-0005-0000-0000-00000D960000}"/>
    <cellStyle name="Notas 4 2 3" xfId="38412" xr:uid="{00000000-0005-0000-0000-00000E960000}"/>
    <cellStyle name="Notas 4 3" xfId="38413" xr:uid="{00000000-0005-0000-0000-00000F960000}"/>
    <cellStyle name="Notas 4 4" xfId="38414" xr:uid="{00000000-0005-0000-0000-000010960000}"/>
    <cellStyle name="Notas 5" xfId="38415" xr:uid="{00000000-0005-0000-0000-000011960000}"/>
    <cellStyle name="Notas 5 2" xfId="38416" xr:uid="{00000000-0005-0000-0000-000012960000}"/>
    <cellStyle name="Notas 5 2 2" xfId="38417" xr:uid="{00000000-0005-0000-0000-000013960000}"/>
    <cellStyle name="Notas 5 2 3" xfId="38418" xr:uid="{00000000-0005-0000-0000-000014960000}"/>
    <cellStyle name="Notas 5 3" xfId="38419" xr:uid="{00000000-0005-0000-0000-000015960000}"/>
    <cellStyle name="Notas 5 4" xfId="38420" xr:uid="{00000000-0005-0000-0000-000016960000}"/>
    <cellStyle name="Notas 6" xfId="38421" xr:uid="{00000000-0005-0000-0000-000017960000}"/>
    <cellStyle name="Notas 6 2" xfId="38422" xr:uid="{00000000-0005-0000-0000-000018960000}"/>
    <cellStyle name="Notas 6 2 2" xfId="38423" xr:uid="{00000000-0005-0000-0000-000019960000}"/>
    <cellStyle name="Notas 6 2 3" xfId="38424" xr:uid="{00000000-0005-0000-0000-00001A960000}"/>
    <cellStyle name="Notas 6 3" xfId="38425" xr:uid="{00000000-0005-0000-0000-00001B960000}"/>
    <cellStyle name="Notas 6 4" xfId="38426" xr:uid="{00000000-0005-0000-0000-00001C960000}"/>
    <cellStyle name="Notas 7" xfId="38427" xr:uid="{00000000-0005-0000-0000-00001D960000}"/>
    <cellStyle name="Notas 7 2" xfId="38428" xr:uid="{00000000-0005-0000-0000-00001E960000}"/>
    <cellStyle name="Notas 7 2 2" xfId="38429" xr:uid="{00000000-0005-0000-0000-00001F960000}"/>
    <cellStyle name="Notas 7 2 3" xfId="38430" xr:uid="{00000000-0005-0000-0000-000020960000}"/>
    <cellStyle name="Notas 7 3" xfId="38431" xr:uid="{00000000-0005-0000-0000-000021960000}"/>
    <cellStyle name="Notas 7 4" xfId="38432" xr:uid="{00000000-0005-0000-0000-000022960000}"/>
    <cellStyle name="Notas 8" xfId="38433" xr:uid="{00000000-0005-0000-0000-000023960000}"/>
    <cellStyle name="Notas 8 2" xfId="38434" xr:uid="{00000000-0005-0000-0000-000024960000}"/>
    <cellStyle name="Notas 8 2 2" xfId="38435" xr:uid="{00000000-0005-0000-0000-000025960000}"/>
    <cellStyle name="Notas 8 2 3" xfId="38436" xr:uid="{00000000-0005-0000-0000-000026960000}"/>
    <cellStyle name="Notas 8 3" xfId="38437" xr:uid="{00000000-0005-0000-0000-000027960000}"/>
    <cellStyle name="Notas 8 4" xfId="38438" xr:uid="{00000000-0005-0000-0000-000028960000}"/>
    <cellStyle name="Notas 9" xfId="38439" xr:uid="{00000000-0005-0000-0000-000029960000}"/>
    <cellStyle name="Notas 9 2" xfId="38440" xr:uid="{00000000-0005-0000-0000-00002A960000}"/>
    <cellStyle name="Notas 9 2 2" xfId="38441" xr:uid="{00000000-0005-0000-0000-00002B960000}"/>
    <cellStyle name="Notas 9 2 3" xfId="38442" xr:uid="{00000000-0005-0000-0000-00002C960000}"/>
    <cellStyle name="Notas 9 3" xfId="38443" xr:uid="{00000000-0005-0000-0000-00002D960000}"/>
    <cellStyle name="Notas 9 4" xfId="38444" xr:uid="{00000000-0005-0000-0000-00002E960000}"/>
    <cellStyle name="Note" xfId="38445" xr:uid="{00000000-0005-0000-0000-00002F960000}"/>
    <cellStyle name="Note 10" xfId="38446" xr:uid="{00000000-0005-0000-0000-000030960000}"/>
    <cellStyle name="Note 11" xfId="38447" xr:uid="{00000000-0005-0000-0000-000031960000}"/>
    <cellStyle name="Note 2" xfId="38448" xr:uid="{00000000-0005-0000-0000-000032960000}"/>
    <cellStyle name="Note 2 2" xfId="38449" xr:uid="{00000000-0005-0000-0000-000033960000}"/>
    <cellStyle name="Note 2 2 2" xfId="38450" xr:uid="{00000000-0005-0000-0000-000034960000}"/>
    <cellStyle name="Note 2 2 2 2" xfId="38451" xr:uid="{00000000-0005-0000-0000-000035960000}"/>
    <cellStyle name="Note 2 2 2 3" xfId="38452" xr:uid="{00000000-0005-0000-0000-000036960000}"/>
    <cellStyle name="Note 2 2 3" xfId="38453" xr:uid="{00000000-0005-0000-0000-000037960000}"/>
    <cellStyle name="Note 2 2 4" xfId="38454" xr:uid="{00000000-0005-0000-0000-000038960000}"/>
    <cellStyle name="Note 2 3" xfId="38455" xr:uid="{00000000-0005-0000-0000-000039960000}"/>
    <cellStyle name="Note 2 3 2" xfId="38456" xr:uid="{00000000-0005-0000-0000-00003A960000}"/>
    <cellStyle name="Note 2 3 2 2" xfId="38457" xr:uid="{00000000-0005-0000-0000-00003B960000}"/>
    <cellStyle name="Note 2 3 2 3" xfId="38458" xr:uid="{00000000-0005-0000-0000-00003C960000}"/>
    <cellStyle name="Note 2 3 3" xfId="38459" xr:uid="{00000000-0005-0000-0000-00003D960000}"/>
    <cellStyle name="Note 2 3 4" xfId="38460" xr:uid="{00000000-0005-0000-0000-00003E960000}"/>
    <cellStyle name="Note 2 4" xfId="38461" xr:uid="{00000000-0005-0000-0000-00003F960000}"/>
    <cellStyle name="Note 2 4 2" xfId="38462" xr:uid="{00000000-0005-0000-0000-000040960000}"/>
    <cellStyle name="Note 2 4 2 2" xfId="38463" xr:uid="{00000000-0005-0000-0000-000041960000}"/>
    <cellStyle name="Note 2 4 2 3" xfId="38464" xr:uid="{00000000-0005-0000-0000-000042960000}"/>
    <cellStyle name="Note 2 4 3" xfId="38465" xr:uid="{00000000-0005-0000-0000-000043960000}"/>
    <cellStyle name="Note 2 4 4" xfId="38466" xr:uid="{00000000-0005-0000-0000-000044960000}"/>
    <cellStyle name="Note 2 5" xfId="38467" xr:uid="{00000000-0005-0000-0000-000045960000}"/>
    <cellStyle name="Note 2 5 2" xfId="38468" xr:uid="{00000000-0005-0000-0000-000046960000}"/>
    <cellStyle name="Note 2 5 3" xfId="38469" xr:uid="{00000000-0005-0000-0000-000047960000}"/>
    <cellStyle name="Note 2 6" xfId="38470" xr:uid="{00000000-0005-0000-0000-000048960000}"/>
    <cellStyle name="Note 2 7" xfId="38471" xr:uid="{00000000-0005-0000-0000-000049960000}"/>
    <cellStyle name="Note 3" xfId="38472" xr:uid="{00000000-0005-0000-0000-00004A960000}"/>
    <cellStyle name="Note 3 2" xfId="38473" xr:uid="{00000000-0005-0000-0000-00004B960000}"/>
    <cellStyle name="Note 3 2 2" xfId="38474" xr:uid="{00000000-0005-0000-0000-00004C960000}"/>
    <cellStyle name="Note 3 2 2 2" xfId="38475" xr:uid="{00000000-0005-0000-0000-00004D960000}"/>
    <cellStyle name="Note 3 2 2 3" xfId="38476" xr:uid="{00000000-0005-0000-0000-00004E960000}"/>
    <cellStyle name="Note 3 2 3" xfId="38477" xr:uid="{00000000-0005-0000-0000-00004F960000}"/>
    <cellStyle name="Note 3 2 4" xfId="38478" xr:uid="{00000000-0005-0000-0000-000050960000}"/>
    <cellStyle name="Note 3 3" xfId="38479" xr:uid="{00000000-0005-0000-0000-000051960000}"/>
    <cellStyle name="Note 3 3 2" xfId="38480" xr:uid="{00000000-0005-0000-0000-000052960000}"/>
    <cellStyle name="Note 3 3 2 2" xfId="38481" xr:uid="{00000000-0005-0000-0000-000053960000}"/>
    <cellStyle name="Note 3 3 2 3" xfId="38482" xr:uid="{00000000-0005-0000-0000-000054960000}"/>
    <cellStyle name="Note 3 3 3" xfId="38483" xr:uid="{00000000-0005-0000-0000-000055960000}"/>
    <cellStyle name="Note 3 3 4" xfId="38484" xr:uid="{00000000-0005-0000-0000-000056960000}"/>
    <cellStyle name="Note 3 4" xfId="38485" xr:uid="{00000000-0005-0000-0000-000057960000}"/>
    <cellStyle name="Note 3 4 2" xfId="38486" xr:uid="{00000000-0005-0000-0000-000058960000}"/>
    <cellStyle name="Note 3 4 2 2" xfId="38487" xr:uid="{00000000-0005-0000-0000-000059960000}"/>
    <cellStyle name="Note 3 4 2 3" xfId="38488" xr:uid="{00000000-0005-0000-0000-00005A960000}"/>
    <cellStyle name="Note 3 4 3" xfId="38489" xr:uid="{00000000-0005-0000-0000-00005B960000}"/>
    <cellStyle name="Note 3 4 4" xfId="38490" xr:uid="{00000000-0005-0000-0000-00005C960000}"/>
    <cellStyle name="Note 3 5" xfId="38491" xr:uid="{00000000-0005-0000-0000-00005D960000}"/>
    <cellStyle name="Note 3 5 2" xfId="38492" xr:uid="{00000000-0005-0000-0000-00005E960000}"/>
    <cellStyle name="Note 3 5 3" xfId="38493" xr:uid="{00000000-0005-0000-0000-00005F960000}"/>
    <cellStyle name="Note 3 6" xfId="38494" xr:uid="{00000000-0005-0000-0000-000060960000}"/>
    <cellStyle name="Note 3 7" xfId="38495" xr:uid="{00000000-0005-0000-0000-000061960000}"/>
    <cellStyle name="Note 4" xfId="38496" xr:uid="{00000000-0005-0000-0000-000062960000}"/>
    <cellStyle name="Note 4 2" xfId="38497" xr:uid="{00000000-0005-0000-0000-000063960000}"/>
    <cellStyle name="Note 4 2 2" xfId="38498" xr:uid="{00000000-0005-0000-0000-000064960000}"/>
    <cellStyle name="Note 4 2 2 2" xfId="38499" xr:uid="{00000000-0005-0000-0000-000065960000}"/>
    <cellStyle name="Note 4 2 2 3" xfId="38500" xr:uid="{00000000-0005-0000-0000-000066960000}"/>
    <cellStyle name="Note 4 2 3" xfId="38501" xr:uid="{00000000-0005-0000-0000-000067960000}"/>
    <cellStyle name="Note 4 2 4" xfId="38502" xr:uid="{00000000-0005-0000-0000-000068960000}"/>
    <cellStyle name="Note 4 3" xfId="38503" xr:uid="{00000000-0005-0000-0000-000069960000}"/>
    <cellStyle name="Note 4 3 2" xfId="38504" xr:uid="{00000000-0005-0000-0000-00006A960000}"/>
    <cellStyle name="Note 4 3 2 2" xfId="38505" xr:uid="{00000000-0005-0000-0000-00006B960000}"/>
    <cellStyle name="Note 4 3 2 3" xfId="38506" xr:uid="{00000000-0005-0000-0000-00006C960000}"/>
    <cellStyle name="Note 4 3 3" xfId="38507" xr:uid="{00000000-0005-0000-0000-00006D960000}"/>
    <cellStyle name="Note 4 3 4" xfId="38508" xr:uid="{00000000-0005-0000-0000-00006E960000}"/>
    <cellStyle name="Note 4 4" xfId="38509" xr:uid="{00000000-0005-0000-0000-00006F960000}"/>
    <cellStyle name="Note 4 4 2" xfId="38510" xr:uid="{00000000-0005-0000-0000-000070960000}"/>
    <cellStyle name="Note 4 4 2 2" xfId="38511" xr:uid="{00000000-0005-0000-0000-000071960000}"/>
    <cellStyle name="Note 4 4 2 3" xfId="38512" xr:uid="{00000000-0005-0000-0000-000072960000}"/>
    <cellStyle name="Note 4 4 3" xfId="38513" xr:uid="{00000000-0005-0000-0000-000073960000}"/>
    <cellStyle name="Note 4 4 4" xfId="38514" xr:uid="{00000000-0005-0000-0000-000074960000}"/>
    <cellStyle name="Note 4 5" xfId="38515" xr:uid="{00000000-0005-0000-0000-000075960000}"/>
    <cellStyle name="Note 4 5 2" xfId="38516" xr:uid="{00000000-0005-0000-0000-000076960000}"/>
    <cellStyle name="Note 4 5 3" xfId="38517" xr:uid="{00000000-0005-0000-0000-000077960000}"/>
    <cellStyle name="Note 4 6" xfId="38518" xr:uid="{00000000-0005-0000-0000-000078960000}"/>
    <cellStyle name="Note 4 7" xfId="38519" xr:uid="{00000000-0005-0000-0000-000079960000}"/>
    <cellStyle name="Note 5" xfId="38520" xr:uid="{00000000-0005-0000-0000-00007A960000}"/>
    <cellStyle name="Note 5 2" xfId="38521" xr:uid="{00000000-0005-0000-0000-00007B960000}"/>
    <cellStyle name="Note 5 2 2" xfId="38522" xr:uid="{00000000-0005-0000-0000-00007C960000}"/>
    <cellStyle name="Note 5 2 2 2" xfId="38523" xr:uid="{00000000-0005-0000-0000-00007D960000}"/>
    <cellStyle name="Note 5 2 2 3" xfId="38524" xr:uid="{00000000-0005-0000-0000-00007E960000}"/>
    <cellStyle name="Note 5 2 3" xfId="38525" xr:uid="{00000000-0005-0000-0000-00007F960000}"/>
    <cellStyle name="Note 5 2 4" xfId="38526" xr:uid="{00000000-0005-0000-0000-000080960000}"/>
    <cellStyle name="Note 5 3" xfId="38527" xr:uid="{00000000-0005-0000-0000-000081960000}"/>
    <cellStyle name="Note 5 3 2" xfId="38528" xr:uid="{00000000-0005-0000-0000-000082960000}"/>
    <cellStyle name="Note 5 3 2 2" xfId="38529" xr:uid="{00000000-0005-0000-0000-000083960000}"/>
    <cellStyle name="Note 5 3 2 3" xfId="38530" xr:uid="{00000000-0005-0000-0000-000084960000}"/>
    <cellStyle name="Note 5 3 3" xfId="38531" xr:uid="{00000000-0005-0000-0000-000085960000}"/>
    <cellStyle name="Note 5 3 4" xfId="38532" xr:uid="{00000000-0005-0000-0000-000086960000}"/>
    <cellStyle name="Note 5 4" xfId="38533" xr:uid="{00000000-0005-0000-0000-000087960000}"/>
    <cellStyle name="Note 5 4 2" xfId="38534" xr:uid="{00000000-0005-0000-0000-000088960000}"/>
    <cellStyle name="Note 5 4 2 2" xfId="38535" xr:uid="{00000000-0005-0000-0000-000089960000}"/>
    <cellStyle name="Note 5 4 2 3" xfId="38536" xr:uid="{00000000-0005-0000-0000-00008A960000}"/>
    <cellStyle name="Note 5 4 3" xfId="38537" xr:uid="{00000000-0005-0000-0000-00008B960000}"/>
    <cellStyle name="Note 5 4 4" xfId="38538" xr:uid="{00000000-0005-0000-0000-00008C960000}"/>
    <cellStyle name="Note 5 5" xfId="38539" xr:uid="{00000000-0005-0000-0000-00008D960000}"/>
    <cellStyle name="Note 5 5 2" xfId="38540" xr:uid="{00000000-0005-0000-0000-00008E960000}"/>
    <cellStyle name="Note 5 5 3" xfId="38541" xr:uid="{00000000-0005-0000-0000-00008F960000}"/>
    <cellStyle name="Note 5 6" xfId="38542" xr:uid="{00000000-0005-0000-0000-000090960000}"/>
    <cellStyle name="Note 5 7" xfId="38543" xr:uid="{00000000-0005-0000-0000-000091960000}"/>
    <cellStyle name="Note 6" xfId="38544" xr:uid="{00000000-0005-0000-0000-000092960000}"/>
    <cellStyle name="Note 6 2" xfId="38545" xr:uid="{00000000-0005-0000-0000-000093960000}"/>
    <cellStyle name="Note 6 2 2" xfId="38546" xr:uid="{00000000-0005-0000-0000-000094960000}"/>
    <cellStyle name="Note 6 2 3" xfId="38547" xr:uid="{00000000-0005-0000-0000-000095960000}"/>
    <cellStyle name="Note 6 3" xfId="38548" xr:uid="{00000000-0005-0000-0000-000096960000}"/>
    <cellStyle name="Note 6 4" xfId="38549" xr:uid="{00000000-0005-0000-0000-000097960000}"/>
    <cellStyle name="Note 7" xfId="38550" xr:uid="{00000000-0005-0000-0000-000098960000}"/>
    <cellStyle name="Note 7 2" xfId="38551" xr:uid="{00000000-0005-0000-0000-000099960000}"/>
    <cellStyle name="Note 7 2 2" xfId="38552" xr:uid="{00000000-0005-0000-0000-00009A960000}"/>
    <cellStyle name="Note 7 2 3" xfId="38553" xr:uid="{00000000-0005-0000-0000-00009B960000}"/>
    <cellStyle name="Note 7 3" xfId="38554" xr:uid="{00000000-0005-0000-0000-00009C960000}"/>
    <cellStyle name="Note 7 4" xfId="38555" xr:uid="{00000000-0005-0000-0000-00009D960000}"/>
    <cellStyle name="Note 8" xfId="38556" xr:uid="{00000000-0005-0000-0000-00009E960000}"/>
    <cellStyle name="Note 8 2" xfId="38557" xr:uid="{00000000-0005-0000-0000-00009F960000}"/>
    <cellStyle name="Note 8 2 2" xfId="38558" xr:uid="{00000000-0005-0000-0000-0000A0960000}"/>
    <cellStyle name="Note 8 2 3" xfId="38559" xr:uid="{00000000-0005-0000-0000-0000A1960000}"/>
    <cellStyle name="Note 8 3" xfId="38560" xr:uid="{00000000-0005-0000-0000-0000A2960000}"/>
    <cellStyle name="Note 8 4" xfId="38561" xr:uid="{00000000-0005-0000-0000-0000A3960000}"/>
    <cellStyle name="Note 9" xfId="38562" xr:uid="{00000000-0005-0000-0000-0000A4960000}"/>
    <cellStyle name="Note 9 2" xfId="38563" xr:uid="{00000000-0005-0000-0000-0000A5960000}"/>
    <cellStyle name="Note 9 3" xfId="38564" xr:uid="{00000000-0005-0000-0000-0000A6960000}"/>
    <cellStyle name="Output" xfId="38565" xr:uid="{00000000-0005-0000-0000-0000A7960000}"/>
    <cellStyle name="Output 2" xfId="38566" xr:uid="{00000000-0005-0000-0000-0000A8960000}"/>
    <cellStyle name="Output 2 2" xfId="38567" xr:uid="{00000000-0005-0000-0000-0000A9960000}"/>
    <cellStyle name="Output 2 2 2" xfId="38568" xr:uid="{00000000-0005-0000-0000-0000AA960000}"/>
    <cellStyle name="Output 2 2 3" xfId="38569" xr:uid="{00000000-0005-0000-0000-0000AB960000}"/>
    <cellStyle name="Output 2 3" xfId="38570" xr:uid="{00000000-0005-0000-0000-0000AC960000}"/>
    <cellStyle name="Output 2 4" xfId="38571" xr:uid="{00000000-0005-0000-0000-0000AD960000}"/>
    <cellStyle name="Output 3" xfId="38572" xr:uid="{00000000-0005-0000-0000-0000AE960000}"/>
    <cellStyle name="Output 3 2" xfId="38573" xr:uid="{00000000-0005-0000-0000-0000AF960000}"/>
    <cellStyle name="Output 3 2 2" xfId="38574" xr:uid="{00000000-0005-0000-0000-0000B0960000}"/>
    <cellStyle name="Output 3 2 3" xfId="38575" xr:uid="{00000000-0005-0000-0000-0000B1960000}"/>
    <cellStyle name="Output 3 3" xfId="38576" xr:uid="{00000000-0005-0000-0000-0000B2960000}"/>
    <cellStyle name="Output 3 4" xfId="38577" xr:uid="{00000000-0005-0000-0000-0000B3960000}"/>
    <cellStyle name="Output 4" xfId="38578" xr:uid="{00000000-0005-0000-0000-0000B4960000}"/>
    <cellStyle name="Output 4 2" xfId="38579" xr:uid="{00000000-0005-0000-0000-0000B5960000}"/>
    <cellStyle name="Output 4 2 2" xfId="38580" xr:uid="{00000000-0005-0000-0000-0000B6960000}"/>
    <cellStyle name="Output 4 2 3" xfId="38581" xr:uid="{00000000-0005-0000-0000-0000B7960000}"/>
    <cellStyle name="Output 4 3" xfId="38582" xr:uid="{00000000-0005-0000-0000-0000B8960000}"/>
    <cellStyle name="Output 4 4" xfId="38583" xr:uid="{00000000-0005-0000-0000-0000B9960000}"/>
    <cellStyle name="Output 5" xfId="38584" xr:uid="{00000000-0005-0000-0000-0000BA960000}"/>
    <cellStyle name="Output 5 2" xfId="38585" xr:uid="{00000000-0005-0000-0000-0000BB960000}"/>
    <cellStyle name="Output 5 2 2" xfId="38586" xr:uid="{00000000-0005-0000-0000-0000BC960000}"/>
    <cellStyle name="Output 5 2 3" xfId="38587" xr:uid="{00000000-0005-0000-0000-0000BD960000}"/>
    <cellStyle name="Output 5 3" xfId="38588" xr:uid="{00000000-0005-0000-0000-0000BE960000}"/>
    <cellStyle name="Output 5 4" xfId="38589" xr:uid="{00000000-0005-0000-0000-0000BF960000}"/>
    <cellStyle name="Output 6" xfId="38590" xr:uid="{00000000-0005-0000-0000-0000C0960000}"/>
    <cellStyle name="Output 6 2" xfId="38591" xr:uid="{00000000-0005-0000-0000-0000C1960000}"/>
    <cellStyle name="Output 6 3" xfId="38592" xr:uid="{00000000-0005-0000-0000-0000C2960000}"/>
    <cellStyle name="Output 7" xfId="38593" xr:uid="{00000000-0005-0000-0000-0000C3960000}"/>
    <cellStyle name="Output 8" xfId="38594" xr:uid="{00000000-0005-0000-0000-0000C4960000}"/>
    <cellStyle name="Porcentaje 2" xfId="38595" xr:uid="{00000000-0005-0000-0000-0000C5960000}"/>
    <cellStyle name="Porcentual 2" xfId="38596" xr:uid="{00000000-0005-0000-0000-0000C6960000}"/>
    <cellStyle name="Porcentual 2 2" xfId="38597" xr:uid="{00000000-0005-0000-0000-0000C7960000}"/>
    <cellStyle name="Porcentual 2 2 2" xfId="38598" xr:uid="{00000000-0005-0000-0000-0000C8960000}"/>
    <cellStyle name="Porcentual 2 2 2 2" xfId="38599" xr:uid="{00000000-0005-0000-0000-0000C9960000}"/>
    <cellStyle name="Porcentual 2 2 2 3" xfId="38600" xr:uid="{00000000-0005-0000-0000-0000CA960000}"/>
    <cellStyle name="Porcentual 2 2 3" xfId="38601" xr:uid="{00000000-0005-0000-0000-0000CB960000}"/>
    <cellStyle name="Porcentual 2 2 4" xfId="38602" xr:uid="{00000000-0005-0000-0000-0000CC960000}"/>
    <cellStyle name="Porcentual 2 3" xfId="38603" xr:uid="{00000000-0005-0000-0000-0000CD960000}"/>
    <cellStyle name="Porcentual 2 3 2" xfId="38604" xr:uid="{00000000-0005-0000-0000-0000CE960000}"/>
    <cellStyle name="Porcentual 2 3 2 2" xfId="38605" xr:uid="{00000000-0005-0000-0000-0000CF960000}"/>
    <cellStyle name="Porcentual 2 3 2 3" xfId="38606" xr:uid="{00000000-0005-0000-0000-0000D0960000}"/>
    <cellStyle name="Porcentual 2 3 3" xfId="38607" xr:uid="{00000000-0005-0000-0000-0000D1960000}"/>
    <cellStyle name="Porcentual 2 3 4" xfId="38608" xr:uid="{00000000-0005-0000-0000-0000D2960000}"/>
    <cellStyle name="Porcentual 2 4" xfId="38609" xr:uid="{00000000-0005-0000-0000-0000D3960000}"/>
    <cellStyle name="Porcentual 2 4 2" xfId="38610" xr:uid="{00000000-0005-0000-0000-0000D4960000}"/>
    <cellStyle name="Porcentual 2 4 2 2" xfId="38611" xr:uid="{00000000-0005-0000-0000-0000D5960000}"/>
    <cellStyle name="Porcentual 2 4 2 3" xfId="38612" xr:uid="{00000000-0005-0000-0000-0000D6960000}"/>
    <cellStyle name="Porcentual 2 4 3" xfId="38613" xr:uid="{00000000-0005-0000-0000-0000D7960000}"/>
    <cellStyle name="Porcentual 2 4 4" xfId="38614" xr:uid="{00000000-0005-0000-0000-0000D8960000}"/>
    <cellStyle name="Porcentual 2 5" xfId="38615" xr:uid="{00000000-0005-0000-0000-0000D9960000}"/>
    <cellStyle name="Porcentual 2 5 2" xfId="38616" xr:uid="{00000000-0005-0000-0000-0000DA960000}"/>
    <cellStyle name="Porcentual 2 5 2 2" xfId="38617" xr:uid="{00000000-0005-0000-0000-0000DB960000}"/>
    <cellStyle name="Porcentual 2 5 2 3" xfId="38618" xr:uid="{00000000-0005-0000-0000-0000DC960000}"/>
    <cellStyle name="Porcentual 2 5 3" xfId="38619" xr:uid="{00000000-0005-0000-0000-0000DD960000}"/>
    <cellStyle name="Porcentual 2 5 4" xfId="38620" xr:uid="{00000000-0005-0000-0000-0000DE960000}"/>
    <cellStyle name="Salida 10" xfId="38621" xr:uid="{00000000-0005-0000-0000-0000DF960000}"/>
    <cellStyle name="Salida 11" xfId="38622" xr:uid="{00000000-0005-0000-0000-0000E0960000}"/>
    <cellStyle name="Salida 2" xfId="38623" xr:uid="{00000000-0005-0000-0000-0000E1960000}"/>
    <cellStyle name="Salida 2 2" xfId="38624" xr:uid="{00000000-0005-0000-0000-0000E2960000}"/>
    <cellStyle name="Salida 2 2 2" xfId="38625" xr:uid="{00000000-0005-0000-0000-0000E3960000}"/>
    <cellStyle name="Salida 2 2 3" xfId="38626" xr:uid="{00000000-0005-0000-0000-0000E4960000}"/>
    <cellStyle name="Salida 2 2 4" xfId="38627" xr:uid="{00000000-0005-0000-0000-0000E5960000}"/>
    <cellStyle name="Salida 2 3" xfId="38628" xr:uid="{00000000-0005-0000-0000-0000E6960000}"/>
    <cellStyle name="Salida 2 4" xfId="38629" xr:uid="{00000000-0005-0000-0000-0000E7960000}"/>
    <cellStyle name="Salida 3" xfId="38630" xr:uid="{00000000-0005-0000-0000-0000E8960000}"/>
    <cellStyle name="Salida 3 2" xfId="38631" xr:uid="{00000000-0005-0000-0000-0000E9960000}"/>
    <cellStyle name="Salida 3 2 2" xfId="38632" xr:uid="{00000000-0005-0000-0000-0000EA960000}"/>
    <cellStyle name="Salida 3 2 3" xfId="38633" xr:uid="{00000000-0005-0000-0000-0000EB960000}"/>
    <cellStyle name="Salida 3 3" xfId="38634" xr:uid="{00000000-0005-0000-0000-0000EC960000}"/>
    <cellStyle name="Salida 3 4" xfId="38635" xr:uid="{00000000-0005-0000-0000-0000ED960000}"/>
    <cellStyle name="Salida 4" xfId="38636" xr:uid="{00000000-0005-0000-0000-0000EE960000}"/>
    <cellStyle name="Salida 4 2" xfId="38637" xr:uid="{00000000-0005-0000-0000-0000EF960000}"/>
    <cellStyle name="Salida 4 2 2" xfId="38638" xr:uid="{00000000-0005-0000-0000-0000F0960000}"/>
    <cellStyle name="Salida 4 2 3" xfId="38639" xr:uid="{00000000-0005-0000-0000-0000F1960000}"/>
    <cellStyle name="Salida 4 3" xfId="38640" xr:uid="{00000000-0005-0000-0000-0000F2960000}"/>
    <cellStyle name="Salida 4 4" xfId="38641" xr:uid="{00000000-0005-0000-0000-0000F3960000}"/>
    <cellStyle name="Salida 5" xfId="38642" xr:uid="{00000000-0005-0000-0000-0000F4960000}"/>
    <cellStyle name="Salida 5 2" xfId="38643" xr:uid="{00000000-0005-0000-0000-0000F5960000}"/>
    <cellStyle name="Salida 5 2 2" xfId="38644" xr:uid="{00000000-0005-0000-0000-0000F6960000}"/>
    <cellStyle name="Salida 5 2 3" xfId="38645" xr:uid="{00000000-0005-0000-0000-0000F7960000}"/>
    <cellStyle name="Salida 5 3" xfId="38646" xr:uid="{00000000-0005-0000-0000-0000F8960000}"/>
    <cellStyle name="Salida 5 4" xfId="38647" xr:uid="{00000000-0005-0000-0000-0000F9960000}"/>
    <cellStyle name="Salida 6" xfId="38648" xr:uid="{00000000-0005-0000-0000-0000FA960000}"/>
    <cellStyle name="Salida 6 2" xfId="38649" xr:uid="{00000000-0005-0000-0000-0000FB960000}"/>
    <cellStyle name="Salida 6 2 2" xfId="38650" xr:uid="{00000000-0005-0000-0000-0000FC960000}"/>
    <cellStyle name="Salida 6 2 3" xfId="38651" xr:uid="{00000000-0005-0000-0000-0000FD960000}"/>
    <cellStyle name="Salida 6 3" xfId="38652" xr:uid="{00000000-0005-0000-0000-0000FE960000}"/>
    <cellStyle name="Salida 6 4" xfId="38653" xr:uid="{00000000-0005-0000-0000-0000FF960000}"/>
    <cellStyle name="Salida 7" xfId="38654" xr:uid="{00000000-0005-0000-0000-000000970000}"/>
    <cellStyle name="Salida 7 2" xfId="38655" xr:uid="{00000000-0005-0000-0000-000001970000}"/>
    <cellStyle name="Salida 7 2 2" xfId="38656" xr:uid="{00000000-0005-0000-0000-000002970000}"/>
    <cellStyle name="Salida 7 2 3" xfId="38657" xr:uid="{00000000-0005-0000-0000-000003970000}"/>
    <cellStyle name="Salida 7 3" xfId="38658" xr:uid="{00000000-0005-0000-0000-000004970000}"/>
    <cellStyle name="Salida 7 4" xfId="38659" xr:uid="{00000000-0005-0000-0000-000005970000}"/>
    <cellStyle name="Salida 8" xfId="38660" xr:uid="{00000000-0005-0000-0000-000006970000}"/>
    <cellStyle name="Salida 8 2" xfId="38661" xr:uid="{00000000-0005-0000-0000-000007970000}"/>
    <cellStyle name="Salida 8 2 2" xfId="38662" xr:uid="{00000000-0005-0000-0000-000008970000}"/>
    <cellStyle name="Salida 8 2 3" xfId="38663" xr:uid="{00000000-0005-0000-0000-000009970000}"/>
    <cellStyle name="Salida 8 3" xfId="38664" xr:uid="{00000000-0005-0000-0000-00000A970000}"/>
    <cellStyle name="Salida 8 4" xfId="38665" xr:uid="{00000000-0005-0000-0000-00000B970000}"/>
    <cellStyle name="Salida 9" xfId="38666" xr:uid="{00000000-0005-0000-0000-00000C970000}"/>
    <cellStyle name="Salida 9 2" xfId="38667" xr:uid="{00000000-0005-0000-0000-00000D970000}"/>
    <cellStyle name="Salida 9 3" xfId="38668" xr:uid="{00000000-0005-0000-0000-00000E970000}"/>
    <cellStyle name="TableStyleLight1" xfId="38669" xr:uid="{00000000-0005-0000-0000-00000F970000}"/>
    <cellStyle name="TableStyleLight1 2" xfId="38670" xr:uid="{00000000-0005-0000-0000-000010970000}"/>
    <cellStyle name="TableStyleLight1 2 2" xfId="38671" xr:uid="{00000000-0005-0000-0000-000011970000}"/>
    <cellStyle name="TableStyleLight1 2 3" xfId="38672" xr:uid="{00000000-0005-0000-0000-000012970000}"/>
    <cellStyle name="TableStyleLight1 3" xfId="38673" xr:uid="{00000000-0005-0000-0000-000013970000}"/>
    <cellStyle name="TableStyleLight1 4" xfId="38674" xr:uid="{00000000-0005-0000-0000-000014970000}"/>
    <cellStyle name="Texto de advertencia 10" xfId="38675" xr:uid="{00000000-0005-0000-0000-000015970000}"/>
    <cellStyle name="Texto de advertencia 10 2" xfId="38676" xr:uid="{00000000-0005-0000-0000-000016970000}"/>
    <cellStyle name="Texto de advertencia 10 3" xfId="38677" xr:uid="{00000000-0005-0000-0000-000017970000}"/>
    <cellStyle name="Texto de advertencia 11" xfId="38678" xr:uid="{00000000-0005-0000-0000-000018970000}"/>
    <cellStyle name="Texto de advertencia 12" xfId="38679" xr:uid="{00000000-0005-0000-0000-000019970000}"/>
    <cellStyle name="Texto de advertencia 2" xfId="38680" xr:uid="{00000000-0005-0000-0000-00001A970000}"/>
    <cellStyle name="Texto de advertencia 2 2" xfId="38681" xr:uid="{00000000-0005-0000-0000-00001B970000}"/>
    <cellStyle name="Texto de advertencia 2 2 2" xfId="38682" xr:uid="{00000000-0005-0000-0000-00001C970000}"/>
    <cellStyle name="Texto de advertencia 2 2 2 2" xfId="38683" xr:uid="{00000000-0005-0000-0000-00001D970000}"/>
    <cellStyle name="Texto de advertencia 2 2 2 2 2" xfId="38684" xr:uid="{00000000-0005-0000-0000-00001E970000}"/>
    <cellStyle name="Texto de advertencia 2 2 2 2 2 2" xfId="38685" xr:uid="{00000000-0005-0000-0000-00001F970000}"/>
    <cellStyle name="Texto de advertencia 2 2 2 2 2 2 2" xfId="38686" xr:uid="{00000000-0005-0000-0000-000020970000}"/>
    <cellStyle name="Texto de advertencia 2 2 2 2 2 2 3" xfId="38687" xr:uid="{00000000-0005-0000-0000-000021970000}"/>
    <cellStyle name="Texto de advertencia 2 2 2 2 2 3" xfId="38688" xr:uid="{00000000-0005-0000-0000-000022970000}"/>
    <cellStyle name="Texto de advertencia 2 2 2 2 2 4" xfId="38689" xr:uid="{00000000-0005-0000-0000-000023970000}"/>
    <cellStyle name="Texto de advertencia 2 2 2 2 3" xfId="38690" xr:uid="{00000000-0005-0000-0000-000024970000}"/>
    <cellStyle name="Texto de advertencia 2 2 2 2 3 2" xfId="38691" xr:uid="{00000000-0005-0000-0000-000025970000}"/>
    <cellStyle name="Texto de advertencia 2 2 2 2 3 3" xfId="38692" xr:uid="{00000000-0005-0000-0000-000026970000}"/>
    <cellStyle name="Texto de advertencia 2 2 2 2 4" xfId="38693" xr:uid="{00000000-0005-0000-0000-000027970000}"/>
    <cellStyle name="Texto de advertencia 2 2 2 2 5" xfId="38694" xr:uid="{00000000-0005-0000-0000-000028970000}"/>
    <cellStyle name="Texto de advertencia 2 2 2 3" xfId="38695" xr:uid="{00000000-0005-0000-0000-000029970000}"/>
    <cellStyle name="Texto de advertencia 2 2 2 3 2" xfId="38696" xr:uid="{00000000-0005-0000-0000-00002A970000}"/>
    <cellStyle name="Texto de advertencia 2 2 2 3 3" xfId="38697" xr:uid="{00000000-0005-0000-0000-00002B970000}"/>
    <cellStyle name="Texto de advertencia 2 2 2 4" xfId="38698" xr:uid="{00000000-0005-0000-0000-00002C970000}"/>
    <cellStyle name="Texto de advertencia 2 2 2 5" xfId="38699" xr:uid="{00000000-0005-0000-0000-00002D970000}"/>
    <cellStyle name="Texto de advertencia 2 2 3" xfId="38700" xr:uid="{00000000-0005-0000-0000-00002E970000}"/>
    <cellStyle name="Texto de advertencia 2 2 3 2" xfId="38701" xr:uid="{00000000-0005-0000-0000-00002F970000}"/>
    <cellStyle name="Texto de advertencia 2 2 3 2 2" xfId="38702" xr:uid="{00000000-0005-0000-0000-000030970000}"/>
    <cellStyle name="Texto de advertencia 2 2 3 2 3" xfId="38703" xr:uid="{00000000-0005-0000-0000-000031970000}"/>
    <cellStyle name="Texto de advertencia 2 2 3 3" xfId="38704" xr:uid="{00000000-0005-0000-0000-000032970000}"/>
    <cellStyle name="Texto de advertencia 2 2 3 4" xfId="38705" xr:uid="{00000000-0005-0000-0000-000033970000}"/>
    <cellStyle name="Texto de advertencia 2 2 4" xfId="38706" xr:uid="{00000000-0005-0000-0000-000034970000}"/>
    <cellStyle name="Texto de advertencia 2 2 4 2" xfId="38707" xr:uid="{00000000-0005-0000-0000-000035970000}"/>
    <cellStyle name="Texto de advertencia 2 2 4 2 2" xfId="38708" xr:uid="{00000000-0005-0000-0000-000036970000}"/>
    <cellStyle name="Texto de advertencia 2 2 4 2 3" xfId="38709" xr:uid="{00000000-0005-0000-0000-000037970000}"/>
    <cellStyle name="Texto de advertencia 2 2 4 3" xfId="38710" xr:uid="{00000000-0005-0000-0000-000038970000}"/>
    <cellStyle name="Texto de advertencia 2 2 4 4" xfId="38711" xr:uid="{00000000-0005-0000-0000-000039970000}"/>
    <cellStyle name="Texto de advertencia 2 2 5" xfId="38712" xr:uid="{00000000-0005-0000-0000-00003A970000}"/>
    <cellStyle name="Texto de advertencia 2 2 5 2" xfId="38713" xr:uid="{00000000-0005-0000-0000-00003B970000}"/>
    <cellStyle name="Texto de advertencia 2 2 5 3" xfId="38714" xr:uid="{00000000-0005-0000-0000-00003C970000}"/>
    <cellStyle name="Texto de advertencia 2 2 6" xfId="38715" xr:uid="{00000000-0005-0000-0000-00003D970000}"/>
    <cellStyle name="Texto de advertencia 2 2 7" xfId="38716" xr:uid="{00000000-0005-0000-0000-00003E970000}"/>
    <cellStyle name="Texto de advertencia 2 3" xfId="38717" xr:uid="{00000000-0005-0000-0000-00003F970000}"/>
    <cellStyle name="Texto de advertencia 2 3 2" xfId="38718" xr:uid="{00000000-0005-0000-0000-000040970000}"/>
    <cellStyle name="Texto de advertencia 2 3 2 2" xfId="38719" xr:uid="{00000000-0005-0000-0000-000041970000}"/>
    <cellStyle name="Texto de advertencia 2 3 2 3" xfId="38720" xr:uid="{00000000-0005-0000-0000-000042970000}"/>
    <cellStyle name="Texto de advertencia 2 3 3" xfId="38721" xr:uid="{00000000-0005-0000-0000-000043970000}"/>
    <cellStyle name="Texto de advertencia 2 3 4" xfId="38722" xr:uid="{00000000-0005-0000-0000-000044970000}"/>
    <cellStyle name="Texto de advertencia 2 4" xfId="38723" xr:uid="{00000000-0005-0000-0000-000045970000}"/>
    <cellStyle name="Texto de advertencia 2 4 2" xfId="38724" xr:uid="{00000000-0005-0000-0000-000046970000}"/>
    <cellStyle name="Texto de advertencia 2 4 2 2" xfId="38725" xr:uid="{00000000-0005-0000-0000-000047970000}"/>
    <cellStyle name="Texto de advertencia 2 4 2 3" xfId="38726" xr:uid="{00000000-0005-0000-0000-000048970000}"/>
    <cellStyle name="Texto de advertencia 2 4 3" xfId="38727" xr:uid="{00000000-0005-0000-0000-000049970000}"/>
    <cellStyle name="Texto de advertencia 2 4 4" xfId="38728" xr:uid="{00000000-0005-0000-0000-00004A970000}"/>
    <cellStyle name="Texto de advertencia 2 5" xfId="38729" xr:uid="{00000000-0005-0000-0000-00004B970000}"/>
    <cellStyle name="Texto de advertencia 2 5 2" xfId="38730" xr:uid="{00000000-0005-0000-0000-00004C970000}"/>
    <cellStyle name="Texto de advertencia 2 5 3" xfId="38731" xr:uid="{00000000-0005-0000-0000-00004D970000}"/>
    <cellStyle name="Texto de advertencia 2 6" xfId="38732" xr:uid="{00000000-0005-0000-0000-00004E970000}"/>
    <cellStyle name="Texto de advertencia 2 7" xfId="38733" xr:uid="{00000000-0005-0000-0000-00004F970000}"/>
    <cellStyle name="Texto de advertencia 3" xfId="38734" xr:uid="{00000000-0005-0000-0000-000050970000}"/>
    <cellStyle name="Texto de advertencia 3 2" xfId="38735" xr:uid="{00000000-0005-0000-0000-000051970000}"/>
    <cellStyle name="Texto de advertencia 3 2 2" xfId="38736" xr:uid="{00000000-0005-0000-0000-000052970000}"/>
    <cellStyle name="Texto de advertencia 3 2 3" xfId="38737" xr:uid="{00000000-0005-0000-0000-000053970000}"/>
    <cellStyle name="Texto de advertencia 3 3" xfId="38738" xr:uid="{00000000-0005-0000-0000-000054970000}"/>
    <cellStyle name="Texto de advertencia 3 4" xfId="38739" xr:uid="{00000000-0005-0000-0000-000055970000}"/>
    <cellStyle name="Texto de advertencia 4" xfId="38740" xr:uid="{00000000-0005-0000-0000-000056970000}"/>
    <cellStyle name="Texto de advertencia 4 2" xfId="38741" xr:uid="{00000000-0005-0000-0000-000057970000}"/>
    <cellStyle name="Texto de advertencia 4 2 2" xfId="38742" xr:uid="{00000000-0005-0000-0000-000058970000}"/>
    <cellStyle name="Texto de advertencia 4 2 3" xfId="38743" xr:uid="{00000000-0005-0000-0000-000059970000}"/>
    <cellStyle name="Texto de advertencia 4 3" xfId="38744" xr:uid="{00000000-0005-0000-0000-00005A970000}"/>
    <cellStyle name="Texto de advertencia 4 4" xfId="38745" xr:uid="{00000000-0005-0000-0000-00005B970000}"/>
    <cellStyle name="Texto de advertencia 5" xfId="38746" xr:uid="{00000000-0005-0000-0000-00005C970000}"/>
    <cellStyle name="Texto de advertencia 5 2" xfId="38747" xr:uid="{00000000-0005-0000-0000-00005D970000}"/>
    <cellStyle name="Texto de advertencia 5 2 2" xfId="38748" xr:uid="{00000000-0005-0000-0000-00005E970000}"/>
    <cellStyle name="Texto de advertencia 5 2 3" xfId="38749" xr:uid="{00000000-0005-0000-0000-00005F970000}"/>
    <cellStyle name="Texto de advertencia 5 3" xfId="38750" xr:uid="{00000000-0005-0000-0000-000060970000}"/>
    <cellStyle name="Texto de advertencia 5 4" xfId="38751" xr:uid="{00000000-0005-0000-0000-000061970000}"/>
    <cellStyle name="Texto de advertencia 6" xfId="38752" xr:uid="{00000000-0005-0000-0000-000062970000}"/>
    <cellStyle name="Texto de advertencia 6 2" xfId="38753" xr:uid="{00000000-0005-0000-0000-000063970000}"/>
    <cellStyle name="Texto de advertencia 6 2 2" xfId="38754" xr:uid="{00000000-0005-0000-0000-000064970000}"/>
    <cellStyle name="Texto de advertencia 6 2 3" xfId="38755" xr:uid="{00000000-0005-0000-0000-000065970000}"/>
    <cellStyle name="Texto de advertencia 6 3" xfId="38756" xr:uid="{00000000-0005-0000-0000-000066970000}"/>
    <cellStyle name="Texto de advertencia 6 4" xfId="38757" xr:uid="{00000000-0005-0000-0000-000067970000}"/>
    <cellStyle name="Texto de advertencia 7" xfId="38758" xr:uid="{00000000-0005-0000-0000-000068970000}"/>
    <cellStyle name="Texto de advertencia 7 2" xfId="38759" xr:uid="{00000000-0005-0000-0000-000069970000}"/>
    <cellStyle name="Texto de advertencia 7 2 2" xfId="38760" xr:uid="{00000000-0005-0000-0000-00006A970000}"/>
    <cellStyle name="Texto de advertencia 7 2 3" xfId="38761" xr:uid="{00000000-0005-0000-0000-00006B970000}"/>
    <cellStyle name="Texto de advertencia 7 3" xfId="38762" xr:uid="{00000000-0005-0000-0000-00006C970000}"/>
    <cellStyle name="Texto de advertencia 7 4" xfId="38763" xr:uid="{00000000-0005-0000-0000-00006D970000}"/>
    <cellStyle name="Texto de advertencia 8" xfId="38764" xr:uid="{00000000-0005-0000-0000-00006E970000}"/>
    <cellStyle name="Texto de advertencia 8 2" xfId="38765" xr:uid="{00000000-0005-0000-0000-00006F970000}"/>
    <cellStyle name="Texto de advertencia 8 2 2" xfId="38766" xr:uid="{00000000-0005-0000-0000-000070970000}"/>
    <cellStyle name="Texto de advertencia 8 2 3" xfId="38767" xr:uid="{00000000-0005-0000-0000-000071970000}"/>
    <cellStyle name="Texto de advertencia 8 3" xfId="38768" xr:uid="{00000000-0005-0000-0000-000072970000}"/>
    <cellStyle name="Texto de advertencia 8 4" xfId="38769" xr:uid="{00000000-0005-0000-0000-000073970000}"/>
    <cellStyle name="Texto de advertencia 9" xfId="38770" xr:uid="{00000000-0005-0000-0000-000074970000}"/>
    <cellStyle name="Texto de advertencia 9 2" xfId="38771" xr:uid="{00000000-0005-0000-0000-000075970000}"/>
    <cellStyle name="Texto de advertencia 9 2 2" xfId="38772" xr:uid="{00000000-0005-0000-0000-000076970000}"/>
    <cellStyle name="Texto de advertencia 9 2 3" xfId="38773" xr:uid="{00000000-0005-0000-0000-000077970000}"/>
    <cellStyle name="Texto de advertencia 9 3" xfId="38774" xr:uid="{00000000-0005-0000-0000-000078970000}"/>
    <cellStyle name="Texto de advertencia 9 4" xfId="38775" xr:uid="{00000000-0005-0000-0000-000079970000}"/>
    <cellStyle name="Texto explicativo 10" xfId="38776" xr:uid="{00000000-0005-0000-0000-00007A970000}"/>
    <cellStyle name="Texto explicativo 11" xfId="38777" xr:uid="{00000000-0005-0000-0000-00007B970000}"/>
    <cellStyle name="Texto explicativo 2" xfId="38778" xr:uid="{00000000-0005-0000-0000-00007C970000}"/>
    <cellStyle name="Texto explicativo 2 2" xfId="38779" xr:uid="{00000000-0005-0000-0000-00007D970000}"/>
    <cellStyle name="Texto explicativo 2 2 2" xfId="38780" xr:uid="{00000000-0005-0000-0000-00007E970000}"/>
    <cellStyle name="Texto explicativo 2 2 3" xfId="38781" xr:uid="{00000000-0005-0000-0000-00007F970000}"/>
    <cellStyle name="Texto explicativo 2 2 4" xfId="38782" xr:uid="{00000000-0005-0000-0000-000080970000}"/>
    <cellStyle name="Texto explicativo 2 3" xfId="38783" xr:uid="{00000000-0005-0000-0000-000081970000}"/>
    <cellStyle name="Texto explicativo 2 4" xfId="38784" xr:uid="{00000000-0005-0000-0000-000082970000}"/>
    <cellStyle name="Texto explicativo 3" xfId="38785" xr:uid="{00000000-0005-0000-0000-000083970000}"/>
    <cellStyle name="Texto explicativo 3 2" xfId="38786" xr:uid="{00000000-0005-0000-0000-000084970000}"/>
    <cellStyle name="Texto explicativo 3 2 2" xfId="38787" xr:uid="{00000000-0005-0000-0000-000085970000}"/>
    <cellStyle name="Texto explicativo 3 2 3" xfId="38788" xr:uid="{00000000-0005-0000-0000-000086970000}"/>
    <cellStyle name="Texto explicativo 3 3" xfId="38789" xr:uid="{00000000-0005-0000-0000-000087970000}"/>
    <cellStyle name="Texto explicativo 3 4" xfId="38790" xr:uid="{00000000-0005-0000-0000-000088970000}"/>
    <cellStyle name="Texto explicativo 4" xfId="38791" xr:uid="{00000000-0005-0000-0000-000089970000}"/>
    <cellStyle name="Texto explicativo 4 2" xfId="38792" xr:uid="{00000000-0005-0000-0000-00008A970000}"/>
    <cellStyle name="Texto explicativo 4 2 2" xfId="38793" xr:uid="{00000000-0005-0000-0000-00008B970000}"/>
    <cellStyle name="Texto explicativo 4 2 3" xfId="38794" xr:uid="{00000000-0005-0000-0000-00008C970000}"/>
    <cellStyle name="Texto explicativo 4 3" xfId="38795" xr:uid="{00000000-0005-0000-0000-00008D970000}"/>
    <cellStyle name="Texto explicativo 4 4" xfId="38796" xr:uid="{00000000-0005-0000-0000-00008E970000}"/>
    <cellStyle name="Texto explicativo 5" xfId="38797" xr:uid="{00000000-0005-0000-0000-00008F970000}"/>
    <cellStyle name="Texto explicativo 5 2" xfId="38798" xr:uid="{00000000-0005-0000-0000-000090970000}"/>
    <cellStyle name="Texto explicativo 5 2 2" xfId="38799" xr:uid="{00000000-0005-0000-0000-000091970000}"/>
    <cellStyle name="Texto explicativo 5 2 3" xfId="38800" xr:uid="{00000000-0005-0000-0000-000092970000}"/>
    <cellStyle name="Texto explicativo 5 3" xfId="38801" xr:uid="{00000000-0005-0000-0000-000093970000}"/>
    <cellStyle name="Texto explicativo 5 4" xfId="38802" xr:uid="{00000000-0005-0000-0000-000094970000}"/>
    <cellStyle name="Texto explicativo 6" xfId="38803" xr:uid="{00000000-0005-0000-0000-000095970000}"/>
    <cellStyle name="Texto explicativo 6 2" xfId="38804" xr:uid="{00000000-0005-0000-0000-000096970000}"/>
    <cellStyle name="Texto explicativo 6 2 2" xfId="38805" xr:uid="{00000000-0005-0000-0000-000097970000}"/>
    <cellStyle name="Texto explicativo 6 2 3" xfId="38806" xr:uid="{00000000-0005-0000-0000-000098970000}"/>
    <cellStyle name="Texto explicativo 6 3" xfId="38807" xr:uid="{00000000-0005-0000-0000-000099970000}"/>
    <cellStyle name="Texto explicativo 6 4" xfId="38808" xr:uid="{00000000-0005-0000-0000-00009A970000}"/>
    <cellStyle name="Texto explicativo 7" xfId="38809" xr:uid="{00000000-0005-0000-0000-00009B970000}"/>
    <cellStyle name="Texto explicativo 7 2" xfId="38810" xr:uid="{00000000-0005-0000-0000-00009C970000}"/>
    <cellStyle name="Texto explicativo 7 2 2" xfId="38811" xr:uid="{00000000-0005-0000-0000-00009D970000}"/>
    <cellStyle name="Texto explicativo 7 2 3" xfId="38812" xr:uid="{00000000-0005-0000-0000-00009E970000}"/>
    <cellStyle name="Texto explicativo 7 3" xfId="38813" xr:uid="{00000000-0005-0000-0000-00009F970000}"/>
    <cellStyle name="Texto explicativo 7 4" xfId="38814" xr:uid="{00000000-0005-0000-0000-0000A0970000}"/>
    <cellStyle name="Texto explicativo 8" xfId="38815" xr:uid="{00000000-0005-0000-0000-0000A1970000}"/>
    <cellStyle name="Texto explicativo 8 2" xfId="38816" xr:uid="{00000000-0005-0000-0000-0000A2970000}"/>
    <cellStyle name="Texto explicativo 8 2 2" xfId="38817" xr:uid="{00000000-0005-0000-0000-0000A3970000}"/>
    <cellStyle name="Texto explicativo 8 2 3" xfId="38818" xr:uid="{00000000-0005-0000-0000-0000A4970000}"/>
    <cellStyle name="Texto explicativo 8 3" xfId="38819" xr:uid="{00000000-0005-0000-0000-0000A5970000}"/>
    <cellStyle name="Texto explicativo 8 4" xfId="38820" xr:uid="{00000000-0005-0000-0000-0000A6970000}"/>
    <cellStyle name="Texto explicativo 9" xfId="38821" xr:uid="{00000000-0005-0000-0000-0000A7970000}"/>
    <cellStyle name="Texto explicativo 9 2" xfId="38822" xr:uid="{00000000-0005-0000-0000-0000A8970000}"/>
    <cellStyle name="Texto explicativo 9 3" xfId="38823" xr:uid="{00000000-0005-0000-0000-0000A9970000}"/>
    <cellStyle name="Title" xfId="38824" xr:uid="{00000000-0005-0000-0000-0000AA970000}"/>
    <cellStyle name="Title 2" xfId="38825" xr:uid="{00000000-0005-0000-0000-0000AB970000}"/>
    <cellStyle name="Title 2 2" xfId="38826" xr:uid="{00000000-0005-0000-0000-0000AC970000}"/>
    <cellStyle name="Title 2 2 2" xfId="38827" xr:uid="{00000000-0005-0000-0000-0000AD970000}"/>
    <cellStyle name="Title 2 2 3" xfId="38828" xr:uid="{00000000-0005-0000-0000-0000AE970000}"/>
    <cellStyle name="Title 2 3" xfId="38829" xr:uid="{00000000-0005-0000-0000-0000AF970000}"/>
    <cellStyle name="Title 2 4" xfId="38830" xr:uid="{00000000-0005-0000-0000-0000B0970000}"/>
    <cellStyle name="Title 3" xfId="38831" xr:uid="{00000000-0005-0000-0000-0000B1970000}"/>
    <cellStyle name="Title 3 2" xfId="38832" xr:uid="{00000000-0005-0000-0000-0000B2970000}"/>
    <cellStyle name="Title 3 2 2" xfId="38833" xr:uid="{00000000-0005-0000-0000-0000B3970000}"/>
    <cellStyle name="Title 3 2 3" xfId="38834" xr:uid="{00000000-0005-0000-0000-0000B4970000}"/>
    <cellStyle name="Title 3 3" xfId="38835" xr:uid="{00000000-0005-0000-0000-0000B5970000}"/>
    <cellStyle name="Title 3 4" xfId="38836" xr:uid="{00000000-0005-0000-0000-0000B6970000}"/>
    <cellStyle name="Title 4" xfId="38837" xr:uid="{00000000-0005-0000-0000-0000B7970000}"/>
    <cellStyle name="Title 4 2" xfId="38838" xr:uid="{00000000-0005-0000-0000-0000B8970000}"/>
    <cellStyle name="Title 4 2 2" xfId="38839" xr:uid="{00000000-0005-0000-0000-0000B9970000}"/>
    <cellStyle name="Title 4 2 3" xfId="38840" xr:uid="{00000000-0005-0000-0000-0000BA970000}"/>
    <cellStyle name="Title 4 3" xfId="38841" xr:uid="{00000000-0005-0000-0000-0000BB970000}"/>
    <cellStyle name="Title 4 4" xfId="38842" xr:uid="{00000000-0005-0000-0000-0000BC970000}"/>
    <cellStyle name="Title 5" xfId="38843" xr:uid="{00000000-0005-0000-0000-0000BD970000}"/>
    <cellStyle name="Title 5 2" xfId="38844" xr:uid="{00000000-0005-0000-0000-0000BE970000}"/>
    <cellStyle name="Title 5 2 2" xfId="38845" xr:uid="{00000000-0005-0000-0000-0000BF970000}"/>
    <cellStyle name="Title 5 2 3" xfId="38846" xr:uid="{00000000-0005-0000-0000-0000C0970000}"/>
    <cellStyle name="Title 5 3" xfId="38847" xr:uid="{00000000-0005-0000-0000-0000C1970000}"/>
    <cellStyle name="Title 5 4" xfId="38848" xr:uid="{00000000-0005-0000-0000-0000C2970000}"/>
    <cellStyle name="Title 6" xfId="38849" xr:uid="{00000000-0005-0000-0000-0000C3970000}"/>
    <cellStyle name="Title 6 2" xfId="38850" xr:uid="{00000000-0005-0000-0000-0000C4970000}"/>
    <cellStyle name="Title 6 3" xfId="38851" xr:uid="{00000000-0005-0000-0000-0000C5970000}"/>
    <cellStyle name="Title 7" xfId="38852" xr:uid="{00000000-0005-0000-0000-0000C6970000}"/>
    <cellStyle name="Title 8" xfId="38853" xr:uid="{00000000-0005-0000-0000-0000C7970000}"/>
    <cellStyle name="Título 1 10" xfId="38854" xr:uid="{00000000-0005-0000-0000-0000C8970000}"/>
    <cellStyle name="Título 1 11" xfId="38855" xr:uid="{00000000-0005-0000-0000-0000C9970000}"/>
    <cellStyle name="Título 1 2" xfId="38856" xr:uid="{00000000-0005-0000-0000-0000CA970000}"/>
    <cellStyle name="Título 1 2 2" xfId="38857" xr:uid="{00000000-0005-0000-0000-0000CB970000}"/>
    <cellStyle name="Título 1 2 2 2" xfId="38858" xr:uid="{00000000-0005-0000-0000-0000CC970000}"/>
    <cellStyle name="Título 1 2 2 3" xfId="38859" xr:uid="{00000000-0005-0000-0000-0000CD970000}"/>
    <cellStyle name="Título 1 2 3" xfId="38860" xr:uid="{00000000-0005-0000-0000-0000CE970000}"/>
    <cellStyle name="Título 1 2 4" xfId="38861" xr:uid="{00000000-0005-0000-0000-0000CF970000}"/>
    <cellStyle name="Título 1 3" xfId="38862" xr:uid="{00000000-0005-0000-0000-0000D0970000}"/>
    <cellStyle name="Título 1 3 2" xfId="38863" xr:uid="{00000000-0005-0000-0000-0000D1970000}"/>
    <cellStyle name="Título 1 3 2 2" xfId="38864" xr:uid="{00000000-0005-0000-0000-0000D2970000}"/>
    <cellStyle name="Título 1 3 2 3" xfId="38865" xr:uid="{00000000-0005-0000-0000-0000D3970000}"/>
    <cellStyle name="Título 1 3 3" xfId="38866" xr:uid="{00000000-0005-0000-0000-0000D4970000}"/>
    <cellStyle name="Título 1 3 4" xfId="38867" xr:uid="{00000000-0005-0000-0000-0000D5970000}"/>
    <cellStyle name="Título 1 4" xfId="38868" xr:uid="{00000000-0005-0000-0000-0000D6970000}"/>
    <cellStyle name="Título 1 4 2" xfId="38869" xr:uid="{00000000-0005-0000-0000-0000D7970000}"/>
    <cellStyle name="Título 1 4 2 2" xfId="38870" xr:uid="{00000000-0005-0000-0000-0000D8970000}"/>
    <cellStyle name="Título 1 4 2 3" xfId="38871" xr:uid="{00000000-0005-0000-0000-0000D9970000}"/>
    <cellStyle name="Título 1 4 3" xfId="38872" xr:uid="{00000000-0005-0000-0000-0000DA970000}"/>
    <cellStyle name="Título 1 4 4" xfId="38873" xr:uid="{00000000-0005-0000-0000-0000DB970000}"/>
    <cellStyle name="Título 1 5" xfId="38874" xr:uid="{00000000-0005-0000-0000-0000DC970000}"/>
    <cellStyle name="Título 1 5 2" xfId="38875" xr:uid="{00000000-0005-0000-0000-0000DD970000}"/>
    <cellStyle name="Título 1 5 2 2" xfId="38876" xr:uid="{00000000-0005-0000-0000-0000DE970000}"/>
    <cellStyle name="Título 1 5 2 3" xfId="38877" xr:uid="{00000000-0005-0000-0000-0000DF970000}"/>
    <cellStyle name="Título 1 5 3" xfId="38878" xr:uid="{00000000-0005-0000-0000-0000E0970000}"/>
    <cellStyle name="Título 1 5 4" xfId="38879" xr:uid="{00000000-0005-0000-0000-0000E1970000}"/>
    <cellStyle name="Título 1 6" xfId="38880" xr:uid="{00000000-0005-0000-0000-0000E2970000}"/>
    <cellStyle name="Título 1 6 2" xfId="38881" xr:uid="{00000000-0005-0000-0000-0000E3970000}"/>
    <cellStyle name="Título 1 6 2 2" xfId="38882" xr:uid="{00000000-0005-0000-0000-0000E4970000}"/>
    <cellStyle name="Título 1 6 2 3" xfId="38883" xr:uid="{00000000-0005-0000-0000-0000E5970000}"/>
    <cellStyle name="Título 1 6 3" xfId="38884" xr:uid="{00000000-0005-0000-0000-0000E6970000}"/>
    <cellStyle name="Título 1 6 4" xfId="38885" xr:uid="{00000000-0005-0000-0000-0000E7970000}"/>
    <cellStyle name="Título 1 7" xfId="38886" xr:uid="{00000000-0005-0000-0000-0000E8970000}"/>
    <cellStyle name="Título 1 7 2" xfId="38887" xr:uid="{00000000-0005-0000-0000-0000E9970000}"/>
    <cellStyle name="Título 1 7 2 2" xfId="38888" xr:uid="{00000000-0005-0000-0000-0000EA970000}"/>
    <cellStyle name="Título 1 7 2 3" xfId="38889" xr:uid="{00000000-0005-0000-0000-0000EB970000}"/>
    <cellStyle name="Título 1 7 3" xfId="38890" xr:uid="{00000000-0005-0000-0000-0000EC970000}"/>
    <cellStyle name="Título 1 7 4" xfId="38891" xr:uid="{00000000-0005-0000-0000-0000ED970000}"/>
    <cellStyle name="Título 1 8" xfId="38892" xr:uid="{00000000-0005-0000-0000-0000EE970000}"/>
    <cellStyle name="Título 1 8 2" xfId="38893" xr:uid="{00000000-0005-0000-0000-0000EF970000}"/>
    <cellStyle name="Título 1 8 2 2" xfId="38894" xr:uid="{00000000-0005-0000-0000-0000F0970000}"/>
    <cellStyle name="Título 1 8 2 3" xfId="38895" xr:uid="{00000000-0005-0000-0000-0000F1970000}"/>
    <cellStyle name="Título 1 8 3" xfId="38896" xr:uid="{00000000-0005-0000-0000-0000F2970000}"/>
    <cellStyle name="Título 1 8 4" xfId="38897" xr:uid="{00000000-0005-0000-0000-0000F3970000}"/>
    <cellStyle name="Título 1 9" xfId="38898" xr:uid="{00000000-0005-0000-0000-0000F4970000}"/>
    <cellStyle name="Título 1 9 2" xfId="38899" xr:uid="{00000000-0005-0000-0000-0000F5970000}"/>
    <cellStyle name="Título 1 9 3" xfId="38900" xr:uid="{00000000-0005-0000-0000-0000F6970000}"/>
    <cellStyle name="Título 10" xfId="38901" xr:uid="{00000000-0005-0000-0000-0000F7970000}"/>
    <cellStyle name="Título 10 2" xfId="38902" xr:uid="{00000000-0005-0000-0000-0000F8970000}"/>
    <cellStyle name="Título 10 2 2" xfId="38903" xr:uid="{00000000-0005-0000-0000-0000F9970000}"/>
    <cellStyle name="Título 10 2 3" xfId="38904" xr:uid="{00000000-0005-0000-0000-0000FA970000}"/>
    <cellStyle name="Título 10 3" xfId="38905" xr:uid="{00000000-0005-0000-0000-0000FB970000}"/>
    <cellStyle name="Título 10 4" xfId="38906" xr:uid="{00000000-0005-0000-0000-0000FC970000}"/>
    <cellStyle name="Título 11" xfId="38907" xr:uid="{00000000-0005-0000-0000-0000FD970000}"/>
    <cellStyle name="Título 11 2" xfId="38908" xr:uid="{00000000-0005-0000-0000-0000FE970000}"/>
    <cellStyle name="Título 11 3" xfId="38909" xr:uid="{00000000-0005-0000-0000-0000FF970000}"/>
    <cellStyle name="Título 12" xfId="38910" xr:uid="{00000000-0005-0000-0000-000000980000}"/>
    <cellStyle name="Título 13" xfId="38911" xr:uid="{00000000-0005-0000-0000-000001980000}"/>
    <cellStyle name="Título 2 10" xfId="38912" xr:uid="{00000000-0005-0000-0000-000002980000}"/>
    <cellStyle name="Título 2 11" xfId="38913" xr:uid="{00000000-0005-0000-0000-000003980000}"/>
    <cellStyle name="Título 2 2" xfId="38914" xr:uid="{00000000-0005-0000-0000-000004980000}"/>
    <cellStyle name="Título 2 2 2" xfId="38915" xr:uid="{00000000-0005-0000-0000-000005980000}"/>
    <cellStyle name="Título 2 2 2 2" xfId="38916" xr:uid="{00000000-0005-0000-0000-000006980000}"/>
    <cellStyle name="Título 2 2 2 3" xfId="38917" xr:uid="{00000000-0005-0000-0000-000007980000}"/>
    <cellStyle name="Título 2 2 2 4" xfId="38918" xr:uid="{00000000-0005-0000-0000-000008980000}"/>
    <cellStyle name="Título 2 2 3" xfId="38919" xr:uid="{00000000-0005-0000-0000-000009980000}"/>
    <cellStyle name="Título 2 2 4" xfId="38920" xr:uid="{00000000-0005-0000-0000-00000A980000}"/>
    <cellStyle name="Título 2 3" xfId="38921" xr:uid="{00000000-0005-0000-0000-00000B980000}"/>
    <cellStyle name="Título 2 3 2" xfId="38922" xr:uid="{00000000-0005-0000-0000-00000C980000}"/>
    <cellStyle name="Título 2 3 2 2" xfId="38923" xr:uid="{00000000-0005-0000-0000-00000D980000}"/>
    <cellStyle name="Título 2 3 2 3" xfId="38924" xr:uid="{00000000-0005-0000-0000-00000E980000}"/>
    <cellStyle name="Título 2 3 3" xfId="38925" xr:uid="{00000000-0005-0000-0000-00000F980000}"/>
    <cellStyle name="Título 2 3 4" xfId="38926" xr:uid="{00000000-0005-0000-0000-000010980000}"/>
    <cellStyle name="Título 2 4" xfId="38927" xr:uid="{00000000-0005-0000-0000-000011980000}"/>
    <cellStyle name="Título 2 4 2" xfId="38928" xr:uid="{00000000-0005-0000-0000-000012980000}"/>
    <cellStyle name="Título 2 4 2 2" xfId="38929" xr:uid="{00000000-0005-0000-0000-000013980000}"/>
    <cellStyle name="Título 2 4 2 3" xfId="38930" xr:uid="{00000000-0005-0000-0000-000014980000}"/>
    <cellStyle name="Título 2 4 3" xfId="38931" xr:uid="{00000000-0005-0000-0000-000015980000}"/>
    <cellStyle name="Título 2 4 4" xfId="38932" xr:uid="{00000000-0005-0000-0000-000016980000}"/>
    <cellStyle name="Título 2 5" xfId="38933" xr:uid="{00000000-0005-0000-0000-000017980000}"/>
    <cellStyle name="Título 2 5 2" xfId="38934" xr:uid="{00000000-0005-0000-0000-000018980000}"/>
    <cellStyle name="Título 2 5 2 2" xfId="38935" xr:uid="{00000000-0005-0000-0000-000019980000}"/>
    <cellStyle name="Título 2 5 2 3" xfId="38936" xr:uid="{00000000-0005-0000-0000-00001A980000}"/>
    <cellStyle name="Título 2 5 3" xfId="38937" xr:uid="{00000000-0005-0000-0000-00001B980000}"/>
    <cellStyle name="Título 2 5 4" xfId="38938" xr:uid="{00000000-0005-0000-0000-00001C980000}"/>
    <cellStyle name="Título 2 6" xfId="38939" xr:uid="{00000000-0005-0000-0000-00001D980000}"/>
    <cellStyle name="Título 2 6 2" xfId="38940" xr:uid="{00000000-0005-0000-0000-00001E980000}"/>
    <cellStyle name="Título 2 6 2 2" xfId="38941" xr:uid="{00000000-0005-0000-0000-00001F980000}"/>
    <cellStyle name="Título 2 6 2 3" xfId="38942" xr:uid="{00000000-0005-0000-0000-000020980000}"/>
    <cellStyle name="Título 2 6 3" xfId="38943" xr:uid="{00000000-0005-0000-0000-000021980000}"/>
    <cellStyle name="Título 2 6 4" xfId="38944" xr:uid="{00000000-0005-0000-0000-000022980000}"/>
    <cellStyle name="Título 2 7" xfId="38945" xr:uid="{00000000-0005-0000-0000-000023980000}"/>
    <cellStyle name="Título 2 7 2" xfId="38946" xr:uid="{00000000-0005-0000-0000-000024980000}"/>
    <cellStyle name="Título 2 7 2 2" xfId="38947" xr:uid="{00000000-0005-0000-0000-000025980000}"/>
    <cellStyle name="Título 2 7 2 3" xfId="38948" xr:uid="{00000000-0005-0000-0000-000026980000}"/>
    <cellStyle name="Título 2 7 3" xfId="38949" xr:uid="{00000000-0005-0000-0000-000027980000}"/>
    <cellStyle name="Título 2 7 4" xfId="38950" xr:uid="{00000000-0005-0000-0000-000028980000}"/>
    <cellStyle name="Título 2 8" xfId="38951" xr:uid="{00000000-0005-0000-0000-000029980000}"/>
    <cellStyle name="Título 2 8 2" xfId="38952" xr:uid="{00000000-0005-0000-0000-00002A980000}"/>
    <cellStyle name="Título 2 8 2 2" xfId="38953" xr:uid="{00000000-0005-0000-0000-00002B980000}"/>
    <cellStyle name="Título 2 8 2 3" xfId="38954" xr:uid="{00000000-0005-0000-0000-00002C980000}"/>
    <cellStyle name="Título 2 8 3" xfId="38955" xr:uid="{00000000-0005-0000-0000-00002D980000}"/>
    <cellStyle name="Título 2 8 4" xfId="38956" xr:uid="{00000000-0005-0000-0000-00002E980000}"/>
    <cellStyle name="Título 2 9" xfId="38957" xr:uid="{00000000-0005-0000-0000-00002F980000}"/>
    <cellStyle name="Título 2 9 2" xfId="38958" xr:uid="{00000000-0005-0000-0000-000030980000}"/>
    <cellStyle name="Título 2 9 3" xfId="38959" xr:uid="{00000000-0005-0000-0000-000031980000}"/>
    <cellStyle name="Título 3 10" xfId="38960" xr:uid="{00000000-0005-0000-0000-000032980000}"/>
    <cellStyle name="Título 3 11" xfId="38961" xr:uid="{00000000-0005-0000-0000-000033980000}"/>
    <cellStyle name="Título 3 2" xfId="38962" xr:uid="{00000000-0005-0000-0000-000034980000}"/>
    <cellStyle name="Título 3 2 2" xfId="38963" xr:uid="{00000000-0005-0000-0000-000035980000}"/>
    <cellStyle name="Título 3 2 2 2" xfId="38964" xr:uid="{00000000-0005-0000-0000-000036980000}"/>
    <cellStyle name="Título 3 2 2 3" xfId="38965" xr:uid="{00000000-0005-0000-0000-000037980000}"/>
    <cellStyle name="Título 3 2 2 4" xfId="38966" xr:uid="{00000000-0005-0000-0000-000038980000}"/>
    <cellStyle name="Título 3 2 3" xfId="38967" xr:uid="{00000000-0005-0000-0000-000039980000}"/>
    <cellStyle name="Título 3 2 4" xfId="38968" xr:uid="{00000000-0005-0000-0000-00003A980000}"/>
    <cellStyle name="Título 3 3" xfId="38969" xr:uid="{00000000-0005-0000-0000-00003B980000}"/>
    <cellStyle name="Título 3 3 2" xfId="38970" xr:uid="{00000000-0005-0000-0000-00003C980000}"/>
    <cellStyle name="Título 3 3 2 2" xfId="38971" xr:uid="{00000000-0005-0000-0000-00003D980000}"/>
    <cellStyle name="Título 3 3 2 3" xfId="38972" xr:uid="{00000000-0005-0000-0000-00003E980000}"/>
    <cellStyle name="Título 3 3 3" xfId="38973" xr:uid="{00000000-0005-0000-0000-00003F980000}"/>
    <cellStyle name="Título 3 3 4" xfId="38974" xr:uid="{00000000-0005-0000-0000-000040980000}"/>
    <cellStyle name="Título 3 4" xfId="38975" xr:uid="{00000000-0005-0000-0000-000041980000}"/>
    <cellStyle name="Título 3 4 2" xfId="38976" xr:uid="{00000000-0005-0000-0000-000042980000}"/>
    <cellStyle name="Título 3 4 2 2" xfId="38977" xr:uid="{00000000-0005-0000-0000-000043980000}"/>
    <cellStyle name="Título 3 4 2 3" xfId="38978" xr:uid="{00000000-0005-0000-0000-000044980000}"/>
    <cellStyle name="Título 3 4 3" xfId="38979" xr:uid="{00000000-0005-0000-0000-000045980000}"/>
    <cellStyle name="Título 3 4 4" xfId="38980" xr:uid="{00000000-0005-0000-0000-000046980000}"/>
    <cellStyle name="Título 3 5" xfId="38981" xr:uid="{00000000-0005-0000-0000-000047980000}"/>
    <cellStyle name="Título 3 5 2" xfId="38982" xr:uid="{00000000-0005-0000-0000-000048980000}"/>
    <cellStyle name="Título 3 5 2 2" xfId="38983" xr:uid="{00000000-0005-0000-0000-000049980000}"/>
    <cellStyle name="Título 3 5 2 3" xfId="38984" xr:uid="{00000000-0005-0000-0000-00004A980000}"/>
    <cellStyle name="Título 3 5 3" xfId="38985" xr:uid="{00000000-0005-0000-0000-00004B980000}"/>
    <cellStyle name="Título 3 5 4" xfId="38986" xr:uid="{00000000-0005-0000-0000-00004C980000}"/>
    <cellStyle name="Título 3 6" xfId="38987" xr:uid="{00000000-0005-0000-0000-00004D980000}"/>
    <cellStyle name="Título 3 6 2" xfId="38988" xr:uid="{00000000-0005-0000-0000-00004E980000}"/>
    <cellStyle name="Título 3 6 2 2" xfId="38989" xr:uid="{00000000-0005-0000-0000-00004F980000}"/>
    <cellStyle name="Título 3 6 2 3" xfId="38990" xr:uid="{00000000-0005-0000-0000-000050980000}"/>
    <cellStyle name="Título 3 6 3" xfId="38991" xr:uid="{00000000-0005-0000-0000-000051980000}"/>
    <cellStyle name="Título 3 6 4" xfId="38992" xr:uid="{00000000-0005-0000-0000-000052980000}"/>
    <cellStyle name="Título 3 7" xfId="38993" xr:uid="{00000000-0005-0000-0000-000053980000}"/>
    <cellStyle name="Título 3 7 2" xfId="38994" xr:uid="{00000000-0005-0000-0000-000054980000}"/>
    <cellStyle name="Título 3 7 2 2" xfId="38995" xr:uid="{00000000-0005-0000-0000-000055980000}"/>
    <cellStyle name="Título 3 7 2 3" xfId="38996" xr:uid="{00000000-0005-0000-0000-000056980000}"/>
    <cellStyle name="Título 3 7 3" xfId="38997" xr:uid="{00000000-0005-0000-0000-000057980000}"/>
    <cellStyle name="Título 3 7 4" xfId="38998" xr:uid="{00000000-0005-0000-0000-000058980000}"/>
    <cellStyle name="Título 3 8" xfId="38999" xr:uid="{00000000-0005-0000-0000-000059980000}"/>
    <cellStyle name="Título 3 8 2" xfId="39000" xr:uid="{00000000-0005-0000-0000-00005A980000}"/>
    <cellStyle name="Título 3 8 2 2" xfId="39001" xr:uid="{00000000-0005-0000-0000-00005B980000}"/>
    <cellStyle name="Título 3 8 2 3" xfId="39002" xr:uid="{00000000-0005-0000-0000-00005C980000}"/>
    <cellStyle name="Título 3 8 3" xfId="39003" xr:uid="{00000000-0005-0000-0000-00005D980000}"/>
    <cellStyle name="Título 3 8 4" xfId="39004" xr:uid="{00000000-0005-0000-0000-00005E980000}"/>
    <cellStyle name="Título 3 9" xfId="39005" xr:uid="{00000000-0005-0000-0000-00005F980000}"/>
    <cellStyle name="Título 3 9 2" xfId="39006" xr:uid="{00000000-0005-0000-0000-000060980000}"/>
    <cellStyle name="Título 3 9 3" xfId="39007" xr:uid="{00000000-0005-0000-0000-000061980000}"/>
    <cellStyle name="Título 4" xfId="39008" xr:uid="{00000000-0005-0000-0000-000062980000}"/>
    <cellStyle name="Título 4 2" xfId="39009" xr:uid="{00000000-0005-0000-0000-000063980000}"/>
    <cellStyle name="Título 4 2 2" xfId="39010" xr:uid="{00000000-0005-0000-0000-000064980000}"/>
    <cellStyle name="Título 4 2 3" xfId="39011" xr:uid="{00000000-0005-0000-0000-000065980000}"/>
    <cellStyle name="Título 4 2 4" xfId="39012" xr:uid="{00000000-0005-0000-0000-000066980000}"/>
    <cellStyle name="Título 4 3" xfId="39013" xr:uid="{00000000-0005-0000-0000-000067980000}"/>
    <cellStyle name="Título 4 4" xfId="39014" xr:uid="{00000000-0005-0000-0000-000068980000}"/>
    <cellStyle name="Título 5" xfId="39015" xr:uid="{00000000-0005-0000-0000-000069980000}"/>
    <cellStyle name="Título 5 2" xfId="39016" xr:uid="{00000000-0005-0000-0000-00006A980000}"/>
    <cellStyle name="Título 5 2 2" xfId="39017" xr:uid="{00000000-0005-0000-0000-00006B980000}"/>
    <cellStyle name="Título 5 2 3" xfId="39018" xr:uid="{00000000-0005-0000-0000-00006C980000}"/>
    <cellStyle name="Título 5 2 4" xfId="39019" xr:uid="{00000000-0005-0000-0000-00006D980000}"/>
    <cellStyle name="Título 5 3" xfId="39020" xr:uid="{00000000-0005-0000-0000-00006E980000}"/>
    <cellStyle name="Título 5 4" xfId="39021" xr:uid="{00000000-0005-0000-0000-00006F980000}"/>
    <cellStyle name="Título 6" xfId="39022" xr:uid="{00000000-0005-0000-0000-000070980000}"/>
    <cellStyle name="Título 6 2" xfId="39023" xr:uid="{00000000-0005-0000-0000-000071980000}"/>
    <cellStyle name="Título 6 2 2" xfId="39024" xr:uid="{00000000-0005-0000-0000-000072980000}"/>
    <cellStyle name="Título 6 2 3" xfId="39025" xr:uid="{00000000-0005-0000-0000-000073980000}"/>
    <cellStyle name="Título 6 3" xfId="39026" xr:uid="{00000000-0005-0000-0000-000074980000}"/>
    <cellStyle name="Título 6 4" xfId="39027" xr:uid="{00000000-0005-0000-0000-000075980000}"/>
    <cellStyle name="Título 7" xfId="39028" xr:uid="{00000000-0005-0000-0000-000076980000}"/>
    <cellStyle name="Título 7 2" xfId="39029" xr:uid="{00000000-0005-0000-0000-000077980000}"/>
    <cellStyle name="Título 7 2 2" xfId="39030" xr:uid="{00000000-0005-0000-0000-000078980000}"/>
    <cellStyle name="Título 7 2 3" xfId="39031" xr:uid="{00000000-0005-0000-0000-000079980000}"/>
    <cellStyle name="Título 7 3" xfId="39032" xr:uid="{00000000-0005-0000-0000-00007A980000}"/>
    <cellStyle name="Título 7 4" xfId="39033" xr:uid="{00000000-0005-0000-0000-00007B980000}"/>
    <cellStyle name="Título 8" xfId="39034" xr:uid="{00000000-0005-0000-0000-00007C980000}"/>
    <cellStyle name="Título 8 2" xfId="39035" xr:uid="{00000000-0005-0000-0000-00007D980000}"/>
    <cellStyle name="Título 8 2 2" xfId="39036" xr:uid="{00000000-0005-0000-0000-00007E980000}"/>
    <cellStyle name="Título 8 2 3" xfId="39037" xr:uid="{00000000-0005-0000-0000-00007F980000}"/>
    <cellStyle name="Título 8 3" xfId="39038" xr:uid="{00000000-0005-0000-0000-000080980000}"/>
    <cellStyle name="Título 8 4" xfId="39039" xr:uid="{00000000-0005-0000-0000-000081980000}"/>
    <cellStyle name="Título 9" xfId="39040" xr:uid="{00000000-0005-0000-0000-000082980000}"/>
    <cellStyle name="Título 9 2" xfId="39041" xr:uid="{00000000-0005-0000-0000-000083980000}"/>
    <cellStyle name="Título 9 2 2" xfId="39042" xr:uid="{00000000-0005-0000-0000-000084980000}"/>
    <cellStyle name="Título 9 2 3" xfId="39043" xr:uid="{00000000-0005-0000-0000-000085980000}"/>
    <cellStyle name="Título 9 3" xfId="39044" xr:uid="{00000000-0005-0000-0000-000086980000}"/>
    <cellStyle name="Título 9 4" xfId="39045" xr:uid="{00000000-0005-0000-0000-000087980000}"/>
    <cellStyle name="Total 2" xfId="39046" xr:uid="{00000000-0005-0000-0000-000088980000}"/>
    <cellStyle name="Total 2 2" xfId="39047" xr:uid="{00000000-0005-0000-0000-000089980000}"/>
    <cellStyle name="Total 2 2 2" xfId="39048" xr:uid="{00000000-0005-0000-0000-00008A980000}"/>
    <cellStyle name="Total 2 2 3" xfId="39049" xr:uid="{00000000-0005-0000-0000-00008B980000}"/>
    <cellStyle name="Total 2 3" xfId="39050" xr:uid="{00000000-0005-0000-0000-00008C980000}"/>
    <cellStyle name="Total 2 4" xfId="39051" xr:uid="{00000000-0005-0000-0000-00008D980000}"/>
    <cellStyle name="Total 3" xfId="39052" xr:uid="{00000000-0005-0000-0000-00008E980000}"/>
    <cellStyle name="Total 3 2" xfId="39053" xr:uid="{00000000-0005-0000-0000-00008F980000}"/>
    <cellStyle name="Total 3 2 2" xfId="39054" xr:uid="{00000000-0005-0000-0000-000090980000}"/>
    <cellStyle name="Total 3 2 3" xfId="39055" xr:uid="{00000000-0005-0000-0000-000091980000}"/>
    <cellStyle name="Total 3 3" xfId="39056" xr:uid="{00000000-0005-0000-0000-000092980000}"/>
    <cellStyle name="Total 3 4" xfId="39057" xr:uid="{00000000-0005-0000-0000-000093980000}"/>
    <cellStyle name="Total 4" xfId="39058" xr:uid="{00000000-0005-0000-0000-000094980000}"/>
    <cellStyle name="Total 4 2" xfId="39059" xr:uid="{00000000-0005-0000-0000-000095980000}"/>
    <cellStyle name="Total 4 2 2" xfId="39060" xr:uid="{00000000-0005-0000-0000-000096980000}"/>
    <cellStyle name="Total 4 2 3" xfId="39061" xr:uid="{00000000-0005-0000-0000-000097980000}"/>
    <cellStyle name="Total 4 3" xfId="39062" xr:uid="{00000000-0005-0000-0000-000098980000}"/>
    <cellStyle name="Total 4 4" xfId="39063" xr:uid="{00000000-0005-0000-0000-000099980000}"/>
    <cellStyle name="Total 5" xfId="39064" xr:uid="{00000000-0005-0000-0000-00009A980000}"/>
    <cellStyle name="Total 5 2" xfId="39065" xr:uid="{00000000-0005-0000-0000-00009B980000}"/>
    <cellStyle name="Total 5 3" xfId="39066" xr:uid="{00000000-0005-0000-0000-00009C980000}"/>
    <cellStyle name="Total 6" xfId="39067" xr:uid="{00000000-0005-0000-0000-00009D980000}"/>
    <cellStyle name="Total 7" xfId="39068" xr:uid="{00000000-0005-0000-0000-00009E980000}"/>
    <cellStyle name="Warning Text" xfId="39069" xr:uid="{00000000-0005-0000-0000-00009F980000}"/>
    <cellStyle name="Warning Text 2" xfId="39070" xr:uid="{00000000-0005-0000-0000-0000A0980000}"/>
    <cellStyle name="Warning Text 2 2" xfId="39071" xr:uid="{00000000-0005-0000-0000-0000A1980000}"/>
    <cellStyle name="Warning Text 2 2 2" xfId="39072" xr:uid="{00000000-0005-0000-0000-0000A2980000}"/>
    <cellStyle name="Warning Text 2 2 3" xfId="39073" xr:uid="{00000000-0005-0000-0000-0000A3980000}"/>
    <cellStyle name="Warning Text 2 3" xfId="39074" xr:uid="{00000000-0005-0000-0000-0000A4980000}"/>
    <cellStyle name="Warning Text 2 4" xfId="39075" xr:uid="{00000000-0005-0000-0000-0000A5980000}"/>
    <cellStyle name="Warning Text 3" xfId="39076" xr:uid="{00000000-0005-0000-0000-0000A6980000}"/>
    <cellStyle name="Warning Text 3 2" xfId="39077" xr:uid="{00000000-0005-0000-0000-0000A7980000}"/>
    <cellStyle name="Warning Text 3 2 2" xfId="39078" xr:uid="{00000000-0005-0000-0000-0000A8980000}"/>
    <cellStyle name="Warning Text 3 2 3" xfId="39079" xr:uid="{00000000-0005-0000-0000-0000A9980000}"/>
    <cellStyle name="Warning Text 3 3" xfId="39080" xr:uid="{00000000-0005-0000-0000-0000AA980000}"/>
    <cellStyle name="Warning Text 3 4" xfId="39081" xr:uid="{00000000-0005-0000-0000-0000AB980000}"/>
    <cellStyle name="Warning Text 4" xfId="39082" xr:uid="{00000000-0005-0000-0000-0000AC980000}"/>
    <cellStyle name="Warning Text 4 2" xfId="39083" xr:uid="{00000000-0005-0000-0000-0000AD980000}"/>
    <cellStyle name="Warning Text 4 2 2" xfId="39084" xr:uid="{00000000-0005-0000-0000-0000AE980000}"/>
    <cellStyle name="Warning Text 4 2 3" xfId="39085" xr:uid="{00000000-0005-0000-0000-0000AF980000}"/>
    <cellStyle name="Warning Text 4 3" xfId="39086" xr:uid="{00000000-0005-0000-0000-0000B0980000}"/>
    <cellStyle name="Warning Text 4 4" xfId="39087" xr:uid="{00000000-0005-0000-0000-0000B1980000}"/>
    <cellStyle name="Warning Text 5" xfId="39088" xr:uid="{00000000-0005-0000-0000-0000B2980000}"/>
    <cellStyle name="Warning Text 5 2" xfId="39089" xr:uid="{00000000-0005-0000-0000-0000B3980000}"/>
    <cellStyle name="Warning Text 5 2 2" xfId="39090" xr:uid="{00000000-0005-0000-0000-0000B4980000}"/>
    <cellStyle name="Warning Text 5 2 3" xfId="39091" xr:uid="{00000000-0005-0000-0000-0000B5980000}"/>
    <cellStyle name="Warning Text 5 3" xfId="39092" xr:uid="{00000000-0005-0000-0000-0000B6980000}"/>
    <cellStyle name="Warning Text 5 4" xfId="39093" xr:uid="{00000000-0005-0000-0000-0000B7980000}"/>
    <cellStyle name="Warning Text 6" xfId="39094" xr:uid="{00000000-0005-0000-0000-0000B8980000}"/>
    <cellStyle name="Warning Text 6 2" xfId="39095" xr:uid="{00000000-0005-0000-0000-0000B9980000}"/>
    <cellStyle name="Warning Text 6 3" xfId="39096" xr:uid="{00000000-0005-0000-0000-0000BA980000}"/>
    <cellStyle name="Warning Text 7" xfId="39097" xr:uid="{00000000-0005-0000-0000-0000BB980000}"/>
    <cellStyle name="Warning Text 8" xfId="39098" xr:uid="{00000000-0005-0000-0000-0000BC980000}"/>
    <cellStyle name="好" xfId="39099" xr:uid="{00000000-0005-0000-0000-0000BD980000}"/>
    <cellStyle name="差" xfId="39100" xr:uid="{00000000-0005-0000-0000-0000BE980000}"/>
    <cellStyle name="强调文字颜色 1" xfId="39101" xr:uid="{00000000-0005-0000-0000-0000BF980000}"/>
    <cellStyle name="强调文字颜色 2" xfId="39102" xr:uid="{00000000-0005-0000-0000-0000C0980000}"/>
    <cellStyle name="强调文字颜色 3" xfId="39103" xr:uid="{00000000-0005-0000-0000-0000C1980000}"/>
    <cellStyle name="强调文字颜色 4" xfId="39104" xr:uid="{00000000-0005-0000-0000-0000C2980000}"/>
    <cellStyle name="强调文字颜色 5" xfId="39105" xr:uid="{00000000-0005-0000-0000-0000C3980000}"/>
    <cellStyle name="强调文字颜色 6" xfId="39106" xr:uid="{00000000-0005-0000-0000-0000C4980000}"/>
    <cellStyle name="标题" xfId="39107" xr:uid="{00000000-0005-0000-0000-0000C5980000}"/>
    <cellStyle name="标题 1" xfId="39108" xr:uid="{00000000-0005-0000-0000-0000C6980000}"/>
    <cellStyle name="标题 2" xfId="39109" xr:uid="{00000000-0005-0000-0000-0000C7980000}"/>
    <cellStyle name="标题 3" xfId="39110" xr:uid="{00000000-0005-0000-0000-0000C8980000}"/>
    <cellStyle name="标题 4" xfId="39111" xr:uid="{00000000-0005-0000-0000-0000C9980000}"/>
    <cellStyle name="检查单元格" xfId="39112" xr:uid="{00000000-0005-0000-0000-0000CA980000}"/>
    <cellStyle name="汇总" xfId="39113" xr:uid="{00000000-0005-0000-0000-0000CB980000}"/>
    <cellStyle name="注释" xfId="39114" xr:uid="{00000000-0005-0000-0000-0000CC980000}"/>
    <cellStyle name="解释性文本" xfId="39115" xr:uid="{00000000-0005-0000-0000-0000CD980000}"/>
    <cellStyle name="警告文本" xfId="39116" xr:uid="{00000000-0005-0000-0000-0000CE980000}"/>
    <cellStyle name="计算" xfId="39117" xr:uid="{00000000-0005-0000-0000-0000CF980000}"/>
    <cellStyle name="输入" xfId="39118" xr:uid="{00000000-0005-0000-0000-0000D0980000}"/>
    <cellStyle name="输出" xfId="39119" xr:uid="{00000000-0005-0000-0000-0000D1980000}"/>
    <cellStyle name="适中" xfId="39120" xr:uid="{00000000-0005-0000-0000-0000D2980000}"/>
    <cellStyle name="链接单元格" xfId="39121" xr:uid="{00000000-0005-0000-0000-0000D398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82" formatCode="_-[$$-240A]\ * #,##0_-;\-[$$-240A]\ * #,##0_-;_-[$$-240A]\ * &quot;-&quot;_-;_-@_-"/>
    </dxf>
    <dxf>
      <numFmt numFmtId="14" formatCode="0.00%"/>
    </dxf>
  </dxfs>
  <tableStyles count="0" defaultTableStyle="TableStyleMedium2" defaultPivotStyle="PivotStyleLight16"/>
  <colors>
    <mruColors>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34"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customXml" Target="../customXml/item2.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pivotCacheDefinition" Target="pivotCache/pivotCacheDefinition1.xml"/><Relationship Id="rId35" Type="http://schemas.openxmlformats.org/officeDocument/2006/relationships/customXml" Target="../customXml/item1.xml"/><Relationship Id="rId8" Type="http://schemas.openxmlformats.org/officeDocument/2006/relationships/externalLink" Target="externalLinks/externalLink2.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14</xdr:col>
      <xdr:colOff>752475</xdr:colOff>
      <xdr:row>1</xdr:row>
      <xdr:rowOff>0</xdr:rowOff>
    </xdr:from>
    <xdr:to>
      <xdr:col>14</xdr:col>
      <xdr:colOff>762000</xdr:colOff>
      <xdr:row>1</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11B2688-EC77-4BC9-8871-643821A066E5}"/>
            </a:ext>
          </a:extLst>
        </xdr:cNvPr>
        <xdr:cNvSpPr/>
      </xdr:nvSpPr>
      <xdr:spPr bwMode="auto">
        <a:xfrm>
          <a:off x="5324475" y="619125"/>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752475</xdr:colOff>
      <xdr:row>1</xdr:row>
      <xdr:rowOff>0</xdr:rowOff>
    </xdr:from>
    <xdr:ext cx="9525" cy="76200"/>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F8BF9B92-57A4-4ED4-936D-36E4DC42462C}"/>
            </a:ext>
          </a:extLst>
        </xdr:cNvPr>
        <xdr:cNvSpPr/>
      </xdr:nvSpPr>
      <xdr:spPr bwMode="auto">
        <a:xfrm>
          <a:off x="6877050" y="53340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5CA9883B-CEB0-442B-8869-5747EEEC104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7241C82F-BDEA-469C-B88D-661452C7D3C4}"/>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Users\Usuario\Desktop\COORDINACI&#211;N%20NOROCCIDENTE\Operacion\INFORME%20DE%20GESTION%20ESTADO%20DIARIO\MATRIZ%20INFORME%20DE%20GESTION%20JULIO\Matriz%20Formato%20Estado%20Diario%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Informe%20Gestion%20Ordenes%20de%20cambio%20CB%20Bancolombia%20Marzo%202021%20(3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Cerrados Abril"/>
      <sheetName val="Cerrados Mayo"/>
      <sheetName val="OC Abiertas"/>
      <sheetName val="OC AVAL"/>
      <sheetName val="Cierres"/>
      <sheetName val="Cierres AVAL"/>
      <sheetName val="Rollos RBM"/>
      <sheetName val="Cerrados Marzo"/>
      <sheetName val="TIPOLOGÍAS REALES"/>
      <sheetName val="Listas desplegables"/>
      <sheetName val="Migraciones"/>
      <sheetName val="MEGA LIN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505730555553" createdVersion="8" refreshedVersion="8" minRefreshableVersion="3" recordCount="214" xr:uid="{31B31C1C-BFC3-4D54-90D9-2275AEE0623A}">
  <cacheSource type="worksheet">
    <worksheetSource ref="A1:AC1048576" sheet="CAPACITACIONES APERTURAS"/>
  </cacheSource>
  <cacheFields count="29">
    <cacheField name="CIUDAD SEDE" numFmtId="0">
      <sharedItems containsBlank="1"/>
    </cacheField>
    <cacheField name="COORDINADOR" numFmtId="0">
      <sharedItems containsBlank="1" count="7">
        <s v="DIEGO FERNANDO HENAO CARDONA"/>
        <s v="JOSE MAURICIO HERNANDEZ ROJAS"/>
        <s v="KEVIN ALEXIS CORZO BUSTOS"/>
        <s v="MIGUEL JULIÁN HERNÁNDEZ GUARÍN"/>
        <s v="JUAN SEBASTIÁN RÍOS CASTRILLÓN"/>
        <s v="WILLIAM ASDRUBAL ROZO ROZO"/>
        <m/>
      </sharedItems>
    </cacheField>
    <cacheField name="CENTRO DE COSTOS LÍNEACOM" numFmtId="0">
      <sharedItems containsBlank="1" count="8">
        <s v="0004-0003"/>
        <s v="0004-0002"/>
        <s v="0004-0001"/>
        <s v="0004-0007"/>
        <s v="0004-0008"/>
        <s v="0004-0005"/>
        <s v="0004-0004"/>
        <m/>
      </sharedItems>
    </cacheField>
    <cacheField name="CÓDIGO DANE" numFmtId="0">
      <sharedItems containsString="0" containsBlank="1" containsNumber="1" containsInteger="1" minValue="5001" maxValue="86865"/>
    </cacheField>
    <cacheField name="TA/CODIGO ACTIVIDAD" numFmtId="0">
      <sharedItems containsBlank="1"/>
    </cacheField>
    <cacheField name="CODIGO CB" numFmtId="0">
      <sharedItems containsString="0" containsBlank="1" containsNumber="1" containsInteger="1" minValue="81133" maxValue="81716"/>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8-21T00:00:00" maxDate="2025-09-30T00:00:00"/>
    </cacheField>
    <cacheField name="FECHA ULTIMA ACTUALIZACION" numFmtId="14">
      <sharedItems containsNonDate="0" containsDate="1" containsString="0" containsBlank="1" minDate="2025-09-01T00:00:00" maxDate="2025-10-01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CAPACITACIÓN COMPLETA" numFmtId="0">
      <sharedItems containsString="0" containsBlank="1" containsNumber="1" containsInteger="1" minValue="1" maxValue="1"/>
    </cacheField>
    <cacheField name="CAPACITACIÓN ESPECÍFICA" numFmtId="0">
      <sharedItems containsString="0" containsBlank="1" containsNumber="1" containsInteger="1" minValue="0" maxValue="0"/>
    </cacheField>
    <cacheField name="VALOR CAPACITACIÓN COMPLETA" numFmtId="0">
      <sharedItems containsString="0" containsBlank="1" containsNumber="1" minValue="122645.45276000001" maxValue="122645.45276000001"/>
    </cacheField>
    <cacheField name="VALOR CAPACITACIÓN ESPECÍFICA" numFmtId="0">
      <sharedItems containsString="0" containsBlank="1" containsNumber="1" minValue="65164.677720000007" maxValue="65164.677720000007"/>
    </cacheField>
    <cacheField name=" VALOR TOTAL " numFmtId="0">
      <sharedItems containsString="0" containsBlank="1" containsNumber="1" minValue="122645.45276000001" maxValue="26000835.9851199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
  <r>
    <s v="PASTO"/>
    <x v="0"/>
    <x v="0"/>
    <n v="52621"/>
    <s v="TA-25-992136"/>
    <n v="81154"/>
    <s v="APERTURA"/>
    <s v="CB CRECIMIENTO - NUEVO"/>
    <s v="NARIÑO"/>
    <s v="ROBERTO PAYAN"/>
    <s v="BARRIO EL VILLA HORIZONTE ROBERTO PAYAN"/>
    <s v="REDEBAN"/>
    <s v="FO-25-1402263"/>
    <d v="2025-08-21T00:00:00"/>
    <d v="2025-09-02T00:00:00"/>
    <s v="UNO A UNO"/>
    <s v="UNO A UNO"/>
    <s v="EJECUTADO"/>
    <s v="21-08 SE REALIZA CONTACTO CON EL CLIENTE VIA WHATSAPP, SE HABLA CON LA SRA MARIA ELVIRA PARRA ARTUNDUAGA AL NÚMERO 3236143368 SE VALIDA DIRECCIÓN OK, CANAL OK, DISPONIBILIDAD TOTAL, LLAMAR EL DIA DE LA INSTALACIÓN PARA CONFIRMAR VISITA, AVISO EXTERIOR ALTURA APROX 8 METROS; TOMACORRIENTE CERCANO: SI; TIENE CABINA DE SEGURIDAD; SI 01-09 SE INICIO DESPLAZAMIENTO PERO SOLO HOY SE LLEGO HASTA BARBACOAS, SE VALIDA Y SE DEBE TOMAR LANCHA EL DIA DE MAÑANA  2/09/2025 SE REALIZA INSTALACIÓN DE CORRESPONSAL, SE INSTALAN EQUIPOS CON PRUEBAS EXITOSAS, SE CAPACITA Y SE EVALÚA AL CLIENTE, SE INSTALA PUBLICIDAD COMPLETA, CB QUEDA OPERATIVO. USUARIO SOMOS BANCOLOMBIA ACTIVO"/>
    <s v="VISITA_TÉCNICA"/>
    <s v="SIZZZ900"/>
    <s v="TIPO IV ESPECIAL"/>
    <s v="FLUVIAL"/>
    <s v="PAZ MARTINEZ RICHARD HUMBERTO"/>
    <n v="1"/>
    <n v="0"/>
    <n v="122645.45276000001"/>
    <n v="65164.677720000007"/>
    <n v="122645.45276000001"/>
  </r>
  <r>
    <s v="CALI"/>
    <x v="0"/>
    <x v="0"/>
    <n v="19256"/>
    <s v="TA-25-992167"/>
    <n v="81133"/>
    <s v="APERTURA"/>
    <s v="CB CRECIMIENTO - NUEVO"/>
    <s v="CAUCA"/>
    <s v="EL TAMBO"/>
    <s v="BARRIO PLAYA RICA EL TAMBO 1"/>
    <s v="REDEBAN"/>
    <s v="FO-25-1402365"/>
    <d v="2025-08-21T00:00:00"/>
    <d v="2025-09-02T00:00:00"/>
    <s v="UNO A UNO"/>
    <s v="UNO A UNO"/>
    <s v="EJECUTADO"/>
    <s v="21-08 SE REALIZA LLAMADA AL CLIENTE, SE HABLA CON LA SRA YUDY MILENA CALVACHE HERNANDEZ SE VALIDA DIRECCIÓN OK, CANAL OK, DISPONIBILIDAD TOTAL, LLAMAR EL DÍA LA INSTALACIÓN PARA CONFIRMAR VISITA, AVISO EXTERIOR ALTURA: NO INDICA ALTURA ; TOMACORRIENTE CERCANO: SI; TIENE CABINA DE SEGURIDAD: NO 25-08 DADO PROBLEMAS DE TRANSPORTE HACIA EL CORREGIMIENTO NO ES POSIBLE EL DESPLAZAMIENTO EL DIA DE HOY , SE VALIDARA EL DIA DE MAÑANA. 26-08 SE REALIZA LLAMADA CON EL CLIENTE, QUIEN INFORMA QUE PARA PODER REALIZAR EL INGRESO A LA ZONA ES NECESARIO DILIGENCIAR UNOS PERMISOS ESPECIALES, YA QUE SE TRATA DE UNA ZONA CON PRESENCIA GUERRILLERA. DEBIDO A ESTA SITUACIÓN, SE ACUERDA REPROGRAMAR LA APERTURA. 02-09 SE REALIZA INSTALACIÓN DE CORRESPONSAL, SE INSTALAN EQUIPOS CON PRUEBAS EXITOSAS, SE CAPACITA Y SE EVALÚA AL CLIENTE, SE INSTALA PUBLICIDAD COMPLETA, CB QUEDA OPERATIVO. USUARIO SOMOS BANCOLOMBIA ACTIVO"/>
    <s v="VISITA_TÉCNICA"/>
    <s v="SIZZZ915"/>
    <s v="TIPO III"/>
    <s v="TERRESTRE"/>
    <s v="GIMBUEL LASSO LUIS GERMAN"/>
    <n v="1"/>
    <n v="0"/>
    <n v="122645.45276000001"/>
    <n v="65164.677720000007"/>
    <n v="122645.45276000001"/>
  </r>
  <r>
    <s v="PASTO"/>
    <x v="0"/>
    <x v="0"/>
    <n v="52079"/>
    <s v="TA-25-1033974"/>
    <n v="81185"/>
    <s v="APERTURA"/>
    <s v="CB CRECIMIENTO - NUEVO"/>
    <s v="NARIÑO"/>
    <s v="BARBACOAS"/>
    <s v="BARRIO GUAYACAL BARBACOAS"/>
    <s v="REDEBAN"/>
    <s v="FO-25-1432981"/>
    <d v="2025-08-27T00:00:00"/>
    <d v="2025-09-02T00:00:00"/>
    <s v="UNO A UNO"/>
    <s v="UNO A UNO"/>
    <s v="EJECUTADO"/>
    <s v="27-08 SE REALIZA LLAMADA AL CLIENTE, SE HABLA CON LA SRA YULIS FIORELA PORTILLA CABEZAS SE VALIDA DIRECCIÓN OK, CANAL OK, DISPONIBILIDAD TOTAL, LLAMAR EL DÍA LA INSTALACIÓN PARA CONFIRMAR VISITA, AVISO EXTERIOR ALTURA APROX 2 METROS; TOMACORRIENTE CERCANO: SI; TIENE CABINA DE SEGURIDAD: NO - COMUNICACIÓN POR WPP / EL MODEM ESTA A 4 MT 29/08/2025 POR DISPONIBILIDAD DE TRASNPORTE NO ES POSIBLE REALIZAR LA ACTIVIDAD EL DIA DE HOY, SE VIAJARA EL DIA LUNES  01-09 SE LLEGO A BARBACOAS, SE ESTA REALIZANDO LA IMPLEMENTACIÓN EL DIA DE MAÑANA  02-09 SE REALIZA INSTALACIÓN DE CORRESPONSAL, SE INSTALAN EQUIPOS CON PRUEBAS EXITOSAS, SE CAPACITA Y SE EVALÚA AL CLIENTE, SE INSTALA PUBLICIDAD COMPLETA, CB QUEDA OPERATIVO. USUARIO SOMOS BANCOLOMBIA ACTIVO"/>
    <s v="VISITA_TÉCNICA"/>
    <s v="FKZZZ635"/>
    <s v="TIPO IV"/>
    <s v="TERRESTRE"/>
    <s v="PAZ MARTINEZ RICHARD HUMBERTO"/>
    <n v="1"/>
    <n v="0"/>
    <n v="122645.45276000001"/>
    <n v="65164.677720000007"/>
    <n v="122645.45276000001"/>
  </r>
  <r>
    <s v="PEREIRA"/>
    <x v="0"/>
    <x v="1"/>
    <n v="66001"/>
    <s v="TA-25-1033985"/>
    <n v="81241"/>
    <s v="APERTURA"/>
    <s v="CB CRECIMIENTO - NUEVO"/>
    <s v="RISARALDA"/>
    <s v="PEREIRA"/>
    <s v="BARRIO CENTRO PEREIRA 55"/>
    <s v="REDEBAN"/>
    <s v="FO-25-1433027"/>
    <d v="2025-08-27T00:00:00"/>
    <d v="2025-09-01T00:00:00"/>
    <s v="UNO A UNO"/>
    <s v="UNO A UNO"/>
    <s v="EJECUTADO"/>
    <s v="27-08-2025 SE REALIZA LLAMADA AL CLIENTE, SE HABLA CON LA SRA JULIANA ECHEVERRY GALVEZ SE VALIDA DIRECCIÓN OK, CANAL OK, DISPONIBILIDAD TOTAL, LLAMAR EL DÍA LA INSTALACIÓN PARA CONFIRMAR VISITA, AVISO EXTERIOR ALTURA APROX 2 METROS; TOMACORRIENTE CERCANO: SI; TIENE CABINA DE SEGURIDAD: NO // CONTACTO REALIZADO POR LA APP 29-08 REALIZAMOS LLAMADA A LA SRA JULIANA LA CUAL NOS INDICA QUE EL DÍA DE HOY NO ES POSIBLE ATENDERNOS YA QUE TIENE UN COMPROMISO QUE POR FAVOR REPROGRAMAR LA VISITA PARA LA OTRA SEMANA. 1/09/2025 SE REALIZA INSTALACIÓN DE CORRESPONSAL, SE INSTALAN EQUIPOS, SE CAPACITA Y SE EVALÚA AL CLIENTE, SE INSTALA PUBLICIDAD COMPLETA, CB QUEDA OPERATIVO. USUARIO SOMOS BANCOLOMBIA ACTIVO. NOTA: SOLO SE REALIZAN PRUEBA DE CONSULTA DE SALDO YA QUE EL CLIENTE NO TIENE TARJETA PARA HACER LAS PRUEBAS DE DEPOSITO, RETIRO, RECAUDO Y TRANSFERENCIA"/>
    <s v="VISITA_TÉCNICA"/>
    <s v="FKZZZ643"/>
    <s v="TIPO I"/>
    <s v="TERRESTRE"/>
    <s v="ARROYAVE CANO MANUEL GUILLERMO"/>
    <n v="1"/>
    <n v="0"/>
    <n v="122645.45276000001"/>
    <n v="65164.677720000007"/>
    <n v="122645.45276000001"/>
  </r>
  <r>
    <s v="MONTERIA"/>
    <x v="1"/>
    <x v="2"/>
    <n v="23001"/>
    <s v="TA-25-1033987"/>
    <n v="81212"/>
    <s v="APERTURA"/>
    <s v="CB CRECIMIENTO - NUEVO"/>
    <s v="CORDOBA"/>
    <s v="MONTERIA"/>
    <s v="BARRIO POLICARPA MONTERIA 3"/>
    <s v="REDEBAN"/>
    <s v="FO-25-1433037"/>
    <d v="2025-08-27T00:00:00"/>
    <d v="2025-09-01T00:00:00"/>
    <s v="UNO A UNO"/>
    <s v="UNO A UNO"/>
    <s v="EJECUTADO"/>
    <s v="26-08 SE REALIZA LLAMADA AL CLIENTE, SE HABLA CON LA SRA  SIDNEY PATRICIA VILLEGAS VILORIA SE VALIDA DIRECCIÓN OK, CANAL OK, DISPONIBILIDAD TOTAL, LLAMAR EL DÍA DE LA INSTALACIÓN PARA CONFIRMAR VISITA, AVISO EXTERIOR NO INDICA ALTURA; TOMACORRIENTE CERCANO: SI; TIENE CABINA DE SEGURIDAD: SI 28-08 SE REALIZÓ LLAMADA DE VALIDACIÓN Y LA SEÑORA SIDNEY PATRICIA VILLEGAS VILORIA, INFORMA QUE POR LAS FUERTE LLUVIA Y BRISA DE ANOCHE SE CAYERON VARIOS ÁRBOLES Y ESTÁ SIN FLUIDO ELÉCTRICO Y DAÑOS EN EL INTERNET. PIDE POR FAVOR ESPERAR A QUE LE SOLUCIONEN PARA RECIBIR LA INSTALACIÓN. 29-08 SE REALIZÓ LLAMADA DE VALIDACIÓN Y EL CLIENTE INFORMA QUE TODAVÍA TIENE PROBLEMAS CON EL CANAL DE COMUNICACIÓN, QUE NO HAN REALIZADO LOS ARREGLOS EN LA ZONA. 30-08 LA ACTIVIDAD SE REAGENDA PARA EL DÍA LUNES 01-09-25. 1/09/2025 SE ESCALA CASO, DONDE SE LLEVA A COMERCIO DE LA PAPELERÍA, PERO EL LOCAL NO CUENTA CON EL NOMBRE DE COMERCIO EN FACHADA, CABE ACLARAR QUE LA MERCANCÍA SI TIENE RELACIÓN CON PAPELERIA, // POR FAVOR, PROCEDAMOS CON LA IMPLANTACIÓN CORRESPONDIENTE Y DEJEMOS COMO EVIDENCIA LA CÁMARA DE COMERCIO, ASÍ COMO LA DOCUMENTACIÓN DE LA NOVEDAD PRESENTADA. 01-09 SE REALIZA INSTALACIÓN DE CORRESPONSAL, SE INSTALAN EQUIPOS CON PRUEBAS EXITOSAS, SE CAPACITA Y SE EVALÚA AL CLIENTE, SE INSTALA PUBLICIDAD COMPLETA, CB QUEDA OPERATIVO. USUARIO SOMOS BANCOLOMBIA ACTIVO. NO SÉ REALIZÓ PRUEBAS DE RECAUDO PORQUE EL CLIENTE NO IBA A PAGAR FACTURA EN EL MOMENTO Y LA DE TRANSFERENCIA EL CLIENTE NO TIENE MÁS CUENTA"/>
    <s v="VISITA_TÉCNICA"/>
    <s v="FKZZZ646"/>
    <s v="TIPO I"/>
    <s v="TERRESTRE"/>
    <s v="CALDERA SALCEDO CARLOS JULIO"/>
    <n v="1"/>
    <n v="0"/>
    <n v="122645.45276000001"/>
    <n v="65164.677720000007"/>
    <n v="122645.45276000001"/>
  </r>
  <r>
    <s v="CALI"/>
    <x v="0"/>
    <x v="0"/>
    <n v="19809"/>
    <s v="TA-25-1033991"/>
    <n v="81252"/>
    <s v="APERTURA"/>
    <s v="CB CRECIMIENTO - NUEVO"/>
    <s v="CAUCA"/>
    <s v="TIMBIQUI"/>
    <s v="BARRIO UNION DE VIVIENDAS TIMBIQUI"/>
    <s v="REDEBAN"/>
    <s v="FO-25-1433056"/>
    <d v="2025-08-27T00:00:00"/>
    <d v="2025-09-04T00:00:00"/>
    <s v="UNO A UNO"/>
    <s v="UNO A UNO"/>
    <s v="EJECUTADO"/>
    <s v="27-08-2025 SE REALIZA LLAMADA AL CLIENTE, SE HABLA CON LA SRA  IRLANDA VENTE CONGOLINO SE VALIDA DIRECCIÓN OK, CANAL OK, DISPONIBILIDAD TOTAL, LLAMAR EL DÍA LA INSTALACIÓN PARA CONFIRMAR VISITA, AVISO EXTERIOR ALTURA APROX 3 METROS; TOMACORRIENTE CERCANO: SI; TIENE CABINA DE SEGURIDAD: SI  04-09 SE REALIZA INSTALACIÓN DE CORRESPONSAL, SE INSTALAN EQUIPOS CON PRUEBAS EXITOSAS, SE CAPACITA Y SE EVALÚA AL CLIENTE, SE INSTALA PUBLICIDAD COMPLETA, CB QUEDA OPERATIVO. USUARIO SOMOS BANCOLOMBIA ACTIVO"/>
    <s v="VISITA_TÉCNICA"/>
    <s v="FKZZZ649"/>
    <s v="TIPO IV ESPECIAL"/>
    <s v="AEREO"/>
    <s v="PAREDES CASTILLO DIEGO"/>
    <n v="1"/>
    <n v="0"/>
    <n v="122645.45276000001"/>
    <n v="65164.677720000007"/>
    <n v="122645.45276000001"/>
  </r>
  <r>
    <s v="NEIVA"/>
    <x v="2"/>
    <x v="3"/>
    <n v="18785"/>
    <s v="TA-25-1034017"/>
    <n v="81251"/>
    <s v="APERTURA"/>
    <s v="CB CRECIMIENTO - NUEVO"/>
    <s v="CAQUETA"/>
    <s v="SOLITA"/>
    <s v="BARRIO JORDAN SOLITA"/>
    <s v="REDEBAN"/>
    <s v="FO-25-1433151"/>
    <d v="2025-08-27T00:00:00"/>
    <d v="2025-09-02T00:00:00"/>
    <s v="UNO A UNO"/>
    <s v="UNO A UNO"/>
    <s v="EJECUTADO"/>
    <s v="27-08 SE REALIZA LLAMADA AL CLIENTE, SE HABLA CON LA SRA IDARYI CANO PINZON  SE VALIDA DIRECCIÓN OK, CANAL OK, DISPONIBILIDAD TOTAL, LLAMAR EL DÍA LA INSTALACIÓN PARA CONFIRMAR VISITA, AVISO EXTERIOR ALTURA APROX 2 METROS; TOMACORRIENTE CERCANO: SI; TIENE CABINA DE SEGURIDAD: NO - EL MODEM ESTA 5 MT  01-09  EN COMUNICACIÓN CON LA CLIENTA PARA CONFIRMAR LA INSTALACIÓN EL DÍA DE HOY, CLIENTE MANIFIESTO QUE NO ES POSIBLE ATENDER LA VISITA YA QUE POR MOTIVOS PERSONALES ESTÁ EN FLORENCIA REALIZANDO UNAS DILIGENCIAS, MANIFESTÓ ATENDER LA VISITA EL DÍA DE MAÑANA 02 DE SEPTIEMBRE EN EL TRANSCURSO DEL DÍA. 2/09/2025 SE REALIZA INSTALACIÓN DE CORRESPONSAL, SE INSTALAN EQUIPOS CON PRUEBAS EXITOSAS, SE CAPACITA Y SE EVALÚA AL CLIENTE, SE INSTALA PUBLICIDAD COMPLETA, CB QUEDA OPERATIVO. USUARIO SOMOS BANCOLOMBIA ACTIVO"/>
    <s v="VISITA_TÉCNICA"/>
    <s v="FKZZZ665"/>
    <s v="TIPO IV"/>
    <s v="TERRESTRE"/>
    <s v="BERMUDEZ SANCHEZ JOSE NEYBER"/>
    <n v="1"/>
    <n v="0"/>
    <n v="122645.45276000001"/>
    <n v="65164.677720000007"/>
    <n v="122645.45276000001"/>
  </r>
  <r>
    <s v="VILLAVICENCIO"/>
    <x v="2"/>
    <x v="3"/>
    <n v="50350"/>
    <s v="TA-25-1034022"/>
    <n v="81208"/>
    <s v="APERTURA"/>
    <s v="CB CRECIMIENTO - NUEVO"/>
    <s v="META"/>
    <s v="LA MACARENA"/>
    <s v="BARRIO CENTRO LA MACARENA 9"/>
    <s v="REDEBAN"/>
    <s v="FO-25-1433176"/>
    <d v="2025-08-27T00:00:00"/>
    <d v="2025-09-03T00:00:00"/>
    <s v="UNO A UNO"/>
    <s v="UNO A UNO"/>
    <s v="EJECUTADO"/>
    <s v="27-08 SE REALIZA LLAMADA AL CLIENTE, SE HABLA CON LA SR RICARDO FLOREZ ARENAS  SE VALIDA DIRECCIÓN OK, CANAL OK, DISPONIBILIDAD TOTAL, LLAMAR EL DÍA LA INSTALACIÓN PARA CONFIRMAR VISITA, AVISO EXTERIOR ALTURA APROX 2 METROS; TOMACORRIENTE CERCANO: SI; TIENE CABINA DE SEGURIDAD: NO - COMUNICACIÓN POR WPP / EL MODEM ESTA A 5 MT  Y NO TIENE PUERTO DISPONIBLES ( LLEVAR SWITCH) 03-09 SE REALIZA INSTALACIÓN DE CORRESPONSAL, SE INSTALAN EQUIPOS CON PRUEBAS EXITOSAS, SE CAPACITA Y SE EVALÚA AL CLIENTE, SE INSTALA PUBLICIDAD COMPLETA, CB QUEDA OPERATIVO. USUARIO SOMOS BANCOLOMBIA ACTIVO"/>
    <s v="VISITA_TÉCNICA"/>
    <s v="FKZZZ669"/>
    <s v="TIPO IV ESPECIAL"/>
    <s v="AEREO"/>
    <s v="ROZO JIMENEZ EDGAR ARMANDO"/>
    <n v="1"/>
    <n v="0"/>
    <n v="122645.45276000001"/>
    <n v="65164.677720000007"/>
    <n v="122645.45276000001"/>
  </r>
  <r>
    <s v="BUCARAMANGA"/>
    <x v="3"/>
    <x v="4"/>
    <n v="68679"/>
    <s v="TA-25-1034026"/>
    <n v="81247"/>
    <s v="APERTURA"/>
    <s v="CB CRECIMIENTO - NUEVO"/>
    <s v="SANTANDER"/>
    <s v="SAN GIL"/>
    <s v="BARRIO CIUDAD FUTURO ETAPA  3 SAN GIL"/>
    <s v="REDEBAN"/>
    <s v="FO-25-1433206"/>
    <d v="2025-08-27T00:00:00"/>
    <d v="2025-09-01T00:00:00"/>
    <s v="UNO A UNO"/>
    <s v="UNO A UNO"/>
    <s v="EJECUTADO"/>
    <s v="27-08 SE REALIZA LLAMADA AL CLIENTE, SE HABLA CON LA SRA OLGA PATRICIA SARMIENTO OTERO  SE VALIDA DIRECCIÓN OK, CANAL OK, DISPONIBILIDAD TOTAL, LLAMAR EL DÍA LA INSTALACIÓN PARA CONFIRMAR VISITA, AVISO EXTERIOR ALTURA APROX 2 METROS; TOMACORRIENTE CERCANO: SI; TIENE CABINA DE SEGURIDAD: NO - SE PROGRAMA PARA DICHA FECHA POR SOLITUD DEL USUARIO 01-09 SE REALIZA INSTALACIÓN DE CORRESPONSAL, SE INSTALAN EQUIPOS CON PRUEBAS EXITOSAS, SE CAPACITA Y SE EVALÚA AL CLIENTE, SE INSTALA PUBLICIDAD COMPLETA, CB QUEDA OPERATIVO. USUARIO SOMOS BANCOLOMBIA ACTIVO"/>
    <s v="VISITA_TÉCNICA"/>
    <s v="FKZZZ672"/>
    <s v="TIPO II"/>
    <s v="TERRESTRE"/>
    <s v="GELVEZ MOGOLLON JOSE ELISEO"/>
    <n v="1"/>
    <n v="0"/>
    <n v="122645.45276000001"/>
    <n v="65164.677720000007"/>
    <n v="122645.45276000001"/>
  </r>
  <r>
    <s v="CALI"/>
    <x v="0"/>
    <x v="0"/>
    <n v="76001"/>
    <s v="TA-25-1034027"/>
    <n v="81195"/>
    <s v="APERTURA"/>
    <s v="CB CRECIMIENTO - NUEVO"/>
    <s v="VALLE DEL CAUCA"/>
    <s v="CALI"/>
    <s v="BARRIO BENAJAMIN HERRERA CALI"/>
    <s v="REDEBAN"/>
    <s v="FO-25-1433211"/>
    <d v="2025-08-27T00:00:00"/>
    <d v="2025-09-02T00:00:00"/>
    <s v="UNO A UNO"/>
    <s v="UNO A UNO"/>
    <s v="EJECUTADO"/>
    <s v="27-08 SE REALIZA LLAMADA AL CLIENTE, SE HABLA CON LA SRA MALLERLY RUBIANO LOPEZ  SE VALIDA DIRECCIÓN OK, CANAL OK, DISPONIBILIDAD TOTAL, LLAMAR EL DÍA LA INSTALACIÓN PARA CONFIRMAR VISITA, AVISO EXTERIOR ALTURA: NO INDICA ALTURA; TOMACORRIENTE CERCANO: SI; TIENE CABINA DE SEGURIDAD: NO 29/08/2025 SE LLAMA AL CLIENTE AL NÚMERO 3104237740 HABLO CON LA SEÑORA MALLERLY INFORMA QUE EL DÍA DE HOY NO PUEDE ATENDER LA INSTALACIÓN TODO EL PERSONAL DE LA DROGUERÍA ESTÁ EN INVENTARIO NO ALGUIEN MÁS QUE NOS ATIENDA LA ACTIVIDAD NO SE PUEDE REPROGRAMAR VENCE EL HOY, SE LE INDICA AL CLIENTE QUE SE CANCELA LA INSTALACIÓN 01-09 SE LLAMO EL CLIENTE PERO NO CONTESTO, SE REALIZARA LLAMADA EL DIA DE MAÑANA PARA VALIDAR DISPONIBILIDAD 02-09 SE REALIZA INSTALACIÓN DE CORRESPONSAL, SE INSTALAN EQUIPOS CON PRUEBAS EXITOSAS, SE CAPACITA Y SE EVALÚA AL CLIENTE, SE INSTALA PUBLICIDAD COMPLETA, CB QUEDA OPERATIVO. USUARIO SOMOS BANCOLOMBIA ACTIVO"/>
    <s v="VISITA_TÉCNICA"/>
    <s v="FKZZZ673"/>
    <s v="TIPO I"/>
    <s v="TERRESTRE"/>
    <s v="PAREDES CASTILLO DIEGO"/>
    <n v="1"/>
    <n v="0"/>
    <n v="122645.45276000001"/>
    <n v="65164.677720000007"/>
    <n v="122645.45276000001"/>
  </r>
  <r>
    <s v="PASTO"/>
    <x v="0"/>
    <x v="0"/>
    <n v="86568"/>
    <s v="TA-25-1034476"/>
    <n v="81229"/>
    <s v="APERTURA"/>
    <s v="CB CRECIMIENTO ALIANZA - NUEVO"/>
    <s v="PUTUMAYO"/>
    <s v="PUERTO ASIS"/>
    <s v="DISTRICOL LADY PERFUMERIA"/>
    <s v="REDEBAN"/>
    <s v="FO-25-1433932"/>
    <d v="2025-08-27T00:00:00"/>
    <d v="2025-09-02T00:00:00"/>
    <s v="AGREGADOR"/>
    <s v="DISTRICOL"/>
    <s v="EJECUTADO"/>
    <s v="27-08 PROGRAMACIÓN REALIZADA POR LA ALIANZA 29/08/2025 POR DISPONIBILIDAD DE TRASNPORTE NO ES POSIBLE REALIZAR LA ACTIVIDAD EL DIA DE HOY, SE VIAJARA EL DIA LUNES 01-09 POR RETRASOS DEBIDO A ARREGLOS EN LA VÍA AL PUTUMAYO NO SE ALCANZA A REALIZAR VISITA EL DÍA DE HOY. SE INFORMA A CLIENTE QUE SE VISITARÁ MAÑANA DESPUÉS DE MEDIO DÍA. SEÑORA RUBIELA PIDE SE LA VISITE A LAS 3 PM 2/09/2025 SE REALIZA INSTALACIÓN DE CORRESPONSAL, SE INSTALAN EQUIPOS CON PRUEBAS EXITOSAS, SE CAPACITA Y SE EVALÚA AL CLIENTE, SE INSTALA PUBLICIDAD COMPLETA, CB QUEDA OPERATIVO. USUARIO SOMOS BANCOLOMBIA ACTIVO"/>
    <s v="VISITA_TÉCNICA"/>
    <s v="FKZZZ695"/>
    <s v="TIPO IV"/>
    <s v="TERRESTRE"/>
    <s v="CASTILLO HERRERA ALEX RICARDO"/>
    <n v="1"/>
    <n v="0"/>
    <n v="122645.45276000001"/>
    <n v="65164.677720000007"/>
    <n v="122645.45276000001"/>
  </r>
  <r>
    <s v="MONTERIA"/>
    <x v="1"/>
    <x v="2"/>
    <n v="5250"/>
    <s v="TA-25-1040105"/>
    <n v="81260"/>
    <s v="APERTURA"/>
    <s v="CB CRECIMIENTO ALIANZA - NUEVO"/>
    <s v="ANTIOQUIA"/>
    <s v="EL BAGRE"/>
    <s v="DISTRICOL DROGUERIA G&amp;P"/>
    <s v="REDEBAN"/>
    <s v="FO-25-1444555"/>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LAS PRUEBAS DE RECAUDO Y TRANSFERENCIA NO SE REALIZARON PORQUE EL CLIENTE NO TIENE OTRA CUENTA Y NO HAY FACTURAS PARA HACER RECAUDOS"/>
    <s v="VISITA_TÉCNICA"/>
    <s v="SKZZZ566"/>
    <s v="TIPO IV"/>
    <s v="TERRESTRE"/>
    <s v="CALDERA SALCEDO CARLOS JULIO"/>
    <n v="1"/>
    <n v="0"/>
    <n v="122645.45276000001"/>
    <n v="65164.677720000007"/>
    <n v="122645.45276000001"/>
  </r>
  <r>
    <s v="APARTADO"/>
    <x v="4"/>
    <x v="5"/>
    <n v="5837"/>
    <s v="TA-25-1040106"/>
    <n v="81261"/>
    <s v="APERTURA"/>
    <s v="CB CRECIMIENTO ALIANZA - NUEVO"/>
    <s v="ANTIOQUIA"/>
    <s v="TURBO"/>
    <s v="DISTRICOL VARIEDADES VIANYS"/>
    <s v="REDEBAN"/>
    <s v="FO-25-1444558"/>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s v="VISITA_TÉCNICA"/>
    <s v="SKZZZ567"/>
    <s v="TIPO II"/>
    <s v="TERRESTRE"/>
    <s v="SALDARRIAGA MIRANDA SANTIAGO"/>
    <n v="1"/>
    <n v="0"/>
    <n v="122645.45276000001"/>
    <n v="65164.677720000007"/>
    <n v="122645.45276000001"/>
  </r>
  <r>
    <s v="MEDELLIN"/>
    <x v="4"/>
    <x v="5"/>
    <n v="5854"/>
    <s v="TA-25-1040107"/>
    <n v="81265"/>
    <s v="APERTURA"/>
    <s v="CB CRECIMIENTO ALIANZA - NUEVO"/>
    <s v="ANTIOQUIA"/>
    <s v="VALDIVIA"/>
    <s v="DISTRICOL AGROABARROTES EL 15"/>
    <s v="REDEBAN"/>
    <s v="FO-25-1444562"/>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s v="VISITA_TÉCNICA"/>
    <s v="SKZZZ568"/>
    <s v="TIPO III"/>
    <s v="TERRESTRE"/>
    <s v="BARRIENTOS HERNANDEZ CRISTIAN HORACIO"/>
    <n v="1"/>
    <n v="0"/>
    <n v="122645.45276000001"/>
    <n v="65164.677720000007"/>
    <n v="122645.45276000001"/>
  </r>
  <r>
    <s v="MANIZALES"/>
    <x v="0"/>
    <x v="1"/>
    <n v="17614"/>
    <s v="TA-25-1040109"/>
    <n v="81263"/>
    <s v="APERTURA"/>
    <s v="CB CRECIMIENTO ALIANZA - NUEVO"/>
    <s v="CALDAS"/>
    <s v="RIOSUCIO"/>
    <s v="DISTRICOL CACHARR MIL COSAS"/>
    <s v="REDEBAN"/>
    <s v="FO-25-1444574"/>
    <d v="2025-08-29T00:00:00"/>
    <d v="2025-09-01T00:00:00"/>
    <s v="AGREGADOR"/>
    <s v="DISTRICOL"/>
    <s v="EJECUTADO"/>
    <s v="29-08 PROGRAMACIÓN REALIZADA POR LA ALIANZA 01-08 SE REALIZA INSTALACIÓN DE CORRESPONSAL, SE INSTALAN EQUIPOS CON PRUEBAS EXITOSAS, SE CAPACITA Y SE EVALÚA AL CLIENTE, SE INSTALA PUBLICIDAD COMPLETA, CB QUEDA OPERATIVO. USUARIO SOMOS BANCOLOMBIA ACTIVO. NO SE CONTABA CON LOS RECURSOS PARA HACER PRUEBAS TRANSFERENCIA"/>
    <s v="VISITA_TÉCNICA"/>
    <s v="SKZZZ570"/>
    <s v="TIPO II"/>
    <s v="TERRESTRE"/>
    <s v="FRANCO CAÑAVERAL YAMID RAUL"/>
    <n v="1"/>
    <n v="0"/>
    <n v="122645.45276000001"/>
    <n v="65164.677720000007"/>
    <n v="122645.45276000001"/>
  </r>
  <r>
    <s v="MANIZALES"/>
    <x v="0"/>
    <x v="1"/>
    <n v="17614"/>
    <s v="TA-25-1040111"/>
    <n v="81264"/>
    <s v="APERTURA"/>
    <s v="CB CRECIMIENTO ALIANZA - NUEVO"/>
    <s v="CALDAS"/>
    <s v="RIOSUCIO"/>
    <s v="DISTRICOL DROGUERIA PAOLA"/>
    <s v="REDEBAN"/>
    <s v="FO-25-1444579"/>
    <d v="2025-08-29T00:00:00"/>
    <d v="2025-09-02T00:00:00"/>
    <s v="AGREGADOR"/>
    <s v="DISTRICOL"/>
    <s v="EJECUTADO"/>
    <s v="29-08 PROGRAMACIÓN REALIZADA POR LA ALIANZA 01-09 NO SE LOGRA LLEGAR AL SITIO, YA QUE DEBIDO LA HORA NO HAY TRANSPORTE PARA LA ZONA, SE LLAMA AL CLIENTE Y SE LE INDICA QUE SE VISITA A PRIMERA HORA. 2/09/2025 SE REALIZA INSTALACIÓN DE CORRESPONSAL, SE INSTALAN EQUIPOS CON PRUEBAS EXITOSAS, SE CAPACITA Y SE EVALÚA AL CLIENTE, SE INSTALA PUBLICIDAD COMPLETA, CB QUEDA OPERATIVO. USUARIO SOMOS BANCOLOMBIA ACTIVO. NO SE ANEXA PRUEBA DE RETIRO, NI TRANSFERENCIA, YA QUE EL CLIENTE NO CUENTA CON TARJETA BANCOLOMBIA."/>
    <s v="VISITA_TÉCNICA"/>
    <s v="SKZZZ571"/>
    <s v="TIPO II"/>
    <s v="TERRESTRE"/>
    <s v="FRANCO CAÑAVERAL YAMID RAUL"/>
    <n v="1"/>
    <n v="0"/>
    <n v="122645.45276000001"/>
    <n v="65164.677720000007"/>
    <n v="122645.45276000001"/>
  </r>
  <r>
    <s v="MANIZALES"/>
    <x v="0"/>
    <x v="1"/>
    <n v="17653"/>
    <s v="TA-25-1040112"/>
    <n v="81262"/>
    <s v="APERTURA"/>
    <s v="CB CRECIMIENTO ALIANZA - NUEVO"/>
    <s v="CALDAS"/>
    <s v="SALAMINA"/>
    <s v="DISTRICOL MUL TIENDA SAN FELIX"/>
    <s v="REDEBAN"/>
    <s v="FO-25-1444582"/>
    <d v="2025-08-29T00:00:00"/>
    <d v="2025-09-02T00:00:00"/>
    <s v="AGREGADOR"/>
    <s v="DISTRICOL"/>
    <s v="EJECUTADO"/>
    <s v="29-08 PROGRAMACIÓN REALIZADA POR LA ALIANZA 02-09 SE REALIZA INSTALACIÓN DE CORRESPONSAL, SE INSTALAN EQUIPOS CON PRUEBAS EXITOSAS, SE CAPACITA Y SE EVALÚA AL CLIENTE, SE INSTALA PUBLICIDAD COMPLETA, CB QUEDA OPERATIVO. USUARIO SOMOS BANCOLOMBIA ACTIVO. SE HACEN PRUEBA DE CONSULTA DE SALDO SOLAMENTE YA QUE USUARIO NO CUENTA CON LOS MEDIOS PARA REALIZAR DEMAS PRUEBAS (RETIRO, CONSIGNACIÓN, RECAUDO) SERVICIO OK"/>
    <s v="VISITA_TÉCNICA"/>
    <s v="SKZZZ572"/>
    <s v="TIPO II"/>
    <s v="TERRESTRE"/>
    <s v="AGUIRRE HENAO RAUL EDUARDO"/>
    <n v="1"/>
    <n v="0"/>
    <n v="122645.45276000001"/>
    <n v="65164.677720000007"/>
    <n v="122645.45276000001"/>
  </r>
  <r>
    <s v="PASTO"/>
    <x v="0"/>
    <x v="0"/>
    <n v="52399"/>
    <s v="TA-25-1040113"/>
    <n v="81270"/>
    <s v="APERTURA"/>
    <s v="CB CRECIMIENTO ALIANZA - NUEVO"/>
    <s v="NARIÑO"/>
    <s v="LA UNION"/>
    <s v="DISTRICOL ARCADIA T. BELLEZA"/>
    <s v="REDEBAN"/>
    <s v="FO-25-1444586"/>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PRUEBAS EXCEPTO RECAUDO POR NO TENER ELEMENTOS PARA HACERLA"/>
    <s v="VISITA_TÉCNICA"/>
    <s v="SKZZZ573"/>
    <s v="TIPO III"/>
    <s v="TERRESTRE"/>
    <s v="GUERRERO RAMIREZ OSCAR DARIO"/>
    <n v="1"/>
    <n v="0"/>
    <n v="122645.45276000001"/>
    <n v="65164.677720000007"/>
    <n v="122645.45276000001"/>
  </r>
  <r>
    <s v="CUCUTA"/>
    <x v="3"/>
    <x v="4"/>
    <n v="54001"/>
    <s v="TA-25-1040114"/>
    <n v="81257"/>
    <s v="APERTURA"/>
    <s v="CB CRECIMIENTO ALIANZA - NUEVO"/>
    <s v="NORTE DE SANTANDER"/>
    <s v="CUCUTA"/>
    <s v="DISTRICOL GIO CAFE"/>
    <s v="REDEBAN"/>
    <s v="FO-25-1444592"/>
    <d v="2025-08-29T00:00:00"/>
    <d v="2025-09-02T00:00:00"/>
    <s v="AGREGADOR"/>
    <s v="DISTRICOL"/>
    <s v="EJECUTADO"/>
    <s v="29-08 PROGRAMACIÓN REALIZADA POR LA ALIANZA 01-09 SE PROGRAMA VISITA PARA EL DÍA DE MAÑANA 02-09-25 ME INFORMAN EL ENCARGADO DE BODEGA QUE LAS TERMINALES TUVIERON UNA NOVEDAD Y NO QUEDARON PRE INSTALADAS PARA EL DÍA DE HOY, SE PROGRAMA VISITA PARA EL DÍA DE MAÑANA PARA DESPUÉS DE LAS 09:00 POR DISPONIBILIDAD DEL CLIENTE 2/09/2025 SE REALIZA INSTALACIÓN DE CORRESPONSAL, SE INSTALAN EQUIPOS CON PRUEBAS EXITOSAS, SE CAPACITA Y SE EVALÚA AL CLIENTE, SE INSTALA PUBLICIDAD COMPLETA, CB QUEDA OPERATIVO. USUARIO SOMOS BANCOLOMBIA ACTIVO"/>
    <s v="VISITA_TÉCNICA"/>
    <s v="SKZZZ718"/>
    <s v="TIPO I"/>
    <s v="TERRESTRE"/>
    <s v="DURAN ACOSTA FRANK YONNY"/>
    <n v="1"/>
    <n v="0"/>
    <n v="122645.45276000001"/>
    <n v="65164.677720000007"/>
    <n v="122645.45276000001"/>
  </r>
  <r>
    <s v="CUCUTA"/>
    <x v="3"/>
    <x v="4"/>
    <n v="54001"/>
    <s v="TA-25-1040116"/>
    <n v="81258"/>
    <s v="APERTURA"/>
    <s v="CB CRECIMIENTO ALIANZA - NUEVO"/>
    <s v="NORTE DE SANTANDER"/>
    <s v="CUCUTA"/>
    <s v="DISTRICOL COSMETICOS JHUR"/>
    <s v="REDEBAN"/>
    <s v="FO-25-1444597"/>
    <d v="2025-08-29T00:00:00"/>
    <d v="2025-09-02T00:00:00"/>
    <s v="AGREGADOR"/>
    <s v="DISTRICOL"/>
    <s v="EJECUTADO"/>
    <s v="29-08 PROGRAMACIÓN REALIZADA POR LA ALIANZA 1/09/2025 AL LLEGAR AL SITIO, SE IDENTIFICA QUE NO CUENTA CON AVISO DE FUNCIONAMIENTO VISIBLE. ADEMÁS, SE OBSERVA QUE EL NOMBRE COMERCIAL REGISTRADO NO CORRESPONDE CON LA ACTIVIDAD QUE SE REALIZA EN EL ESTABLECIMIENTO. EN EL PUNTO SE IDENTIFICA QUE SE TRATA DE UN NEGOCIO TIPO TIENDA. SIN EMBARGO, EL CLIENTE INDICA QUE LOS COSMÉTICOS SE VENDEN ÚNICAMENTE POR CATÁLOGO. / POR FAVOR, PROCEDAMOS CON LA IMPLEMENTACIÓN DEL CB 81258. ES IMPORTANTE QUE AL MOMENTO DE CERRAR LA ACTIVIDAD SE INDIQUE LA NOVEDAD, YA QUE SE EVIDENCIA QUE EL ESTABLECIMIENTO NO CUENTA CON AVISO CON EL NOMBRE. 01-09 SE VISITA CB SE REALIZA INSTALACION, SE PRESENTA NOVEDAD CON LA PLACA ASIGNADA YA QUE LOS CU NO ESTAN  CON TERMINAL PROCESADAS, SE LE INFORMA AL CLIENTE QUE SE VISITA MAÑANA PARA TERMINAR  LA INSTALACION DE CB. 2/09/2025 SE REALIZA INSTALACIÓN DE CORRESPONSAL, SE INSTALAN EQUIPOS CON PRUEBAS EXITOSAS, SE CAPACITA Y SE EVALÚA AL CLIENTE, SE INSTALA PUBLICIDAD COMPLETA, CB QUEDA OPERATIVO. USUARIO SOMOS BANCOLOMBIA ACTIVO. RECAUDO NO HAY CONVENIO. TRANSFERENCIA CLIENTE NO TIENE CUENTAS."/>
    <s v="VISITA_TÉCNICA"/>
    <s v="SKZZZ719"/>
    <s v="TIPO I"/>
    <s v="TERRESTRE"/>
    <s v="NARANJO AFANADOR RUBEN JESUS"/>
    <n v="1"/>
    <n v="0"/>
    <n v="122645.45276000001"/>
    <n v="65164.677720000007"/>
    <n v="122645.45276000001"/>
  </r>
  <r>
    <s v="CUCUTA"/>
    <x v="3"/>
    <x v="4"/>
    <n v="54001"/>
    <s v="TA-25-1040117"/>
    <n v="81259"/>
    <s v="APERTURA"/>
    <s v="CB CRECIMIENTO ALIANZA - NUEVO"/>
    <s v="NORTE DE SANTANDER"/>
    <s v="CUCUTA"/>
    <s v="DISTRICOL VARIEDADES JOSLEY"/>
    <s v="REDEBAN"/>
    <s v="FO-25-1444601"/>
    <d v="2025-08-29T00:00:00"/>
    <d v="2025-09-02T00:00:00"/>
    <s v="AGREGADOR"/>
    <s v="DISTRICOL"/>
    <s v="EJECUTADO"/>
    <s v="29-08 PROGRAMACIÓN REALIZADA POR LA ALIANZA 01-09 SE CONTACTA EL SEÑOR JHOAN CARDENAS, ME INFORMA QUE SE LE PRESENTO UN INCONVENIENTE Y NO PUEDE ATENDER LA INSTALACIÓN EL DÍA DE HOY, SOLICITA QUE SE REAGENDE LA VISITA PARA EL DÍA 02/09 EN LA TARDE. SE REAGENDA VISITA POR SOLICITUD DEL CLIENTE. 02-09 SE REALIZA INSTALACIÓN DE CORRESPONSAL, SE INSTALAN EQUIPOS CON PRUEBAS EXITOSAS, SE CAPACITA Y SE EVALÚA AL CLIENTE, SE INSTALA PUBLICIDAD COMPLETA, CB QUEDA OPERATIVO. USUARIO SOMOS BANCOLOMBIA ACTIVO"/>
    <s v="VISITA_TÉCNICA"/>
    <s v="SKZZZ574"/>
    <s v="TIPO I"/>
    <s v="TERRESTRE"/>
    <s v="NARANJO AFANADOR RUBEN JESUS"/>
    <n v="1"/>
    <n v="0"/>
    <n v="122645.45276000001"/>
    <n v="65164.677720000007"/>
    <n v="122645.45276000001"/>
  </r>
  <r>
    <s v="CUCUTA"/>
    <x v="3"/>
    <x v="4"/>
    <n v="54206"/>
    <s v="TA-25-1040119"/>
    <n v="81255"/>
    <s v="APERTURA"/>
    <s v="CB CRECIMIENTO ALIANZA - NUEVO"/>
    <s v="NORTE DE SANTANDER"/>
    <s v="CONVENCION"/>
    <s v="DISTRICOL TIENDA LOS LLANOS"/>
    <s v="REDEBAN"/>
    <s v="FO-25-1520722"/>
    <d v="2025-08-29T00:00:00"/>
    <d v="2025-09-19T00:00:00"/>
    <s v="AGREGADOR"/>
    <s v="DISTRICOL"/>
    <s v="EJECUTADO"/>
    <s v="29-08 PROGRAMACIÓN REALIZADA POR LA ALIANZA 2/09/2025 IMPOSIBILIDAD DE REALIZAR VISITA DE APERTURA – VEREDA LOS LLANOS, MUNICIPIO DE CONVENCIÓN. SE INFORMA QUE LA VISITA DE APERTURA HACE PARTE DEL MUNICIPIO DE CONVENCIÓN, EL CUAL SE ENCUENTRA AFECTADO POR LA PRESENCIA DE GRUPOS AL MARGEN DE LA LEY. ADICIONALMENTE, SE HA IDENTIFICADO QUE LA IMPLEMENTACIÓN SE REALIZARÁ EN LA VEREDA LOS LLANOS, UNA ZONA DE DIFÍCIL ACCESO Y CONSIDERABLEMENTE ALEJADA DEL CASCO URBANO DEL MUNICIPIO. TENIENDO EN CUENTA LA UBICACIÓN GEOGRÁFICA Y LA ACTUAL SITUACIÓN DE ORDEN PÚBLICO EN LA REGIÓN DEL CATATUMBO, Y CON EL FIN DE PRESERVAR LA SEGURIDAD DEL PERSONAL TÉCNICO, SE COMUNICA QUE NO ES POSIBLE ASUMIR RIESGOS EN ESTE MOMENTO PARA LLEVAR A CABO DICHA VISITA. / TENIENDO EN CUENTA LO QUE NOS INFORMAN QUE EL INGRESO DEL TÉCNICO A LA ZONA NO ES SEGURA POR FAVOR CANCELAR LA IMPLEMENTACIÓN, SERÁ INFORMADA AL ALIADO. / 12/09/2025 DESPUES DE CANCELADA LA ACTIVIDAD SOLICITAN REALIZAR LA INSTALACIÓN POR EN UN PUNTO INTERMEDIO (OCAÑA) Y ENTREGAR EQUIPOS  Y PUBLICIDAD AL USUARIO Y CAPACITAR VIRTUAL 15-09 EN COMUNICACIÓN CON EL CLIENTE ME INFORMA LA JOHANNA GARCÍA 3209400635 QUE SI ESTÁ DE ACUERDO EN RECIBIR LOS EQUIPOS Y PUBLICIDAD EN OCAÑA POR EL ORDEN PÚBLICO EN LA ZONA DEL CATATUMBO,INDICA TENER UN COMERCIO DE UN FAMILIAR PARA REALIZAR LA ACTIVACIÓN Y CAPACITACIÓN DEL DATAFONO , SE PROGRAMA VISITA A LA ESPERA DE RESPUESTA POR PARTE DE LA ENTIDAD PARA PROGRAMAR VIAJE 17/09/2025 SE CONFIRMA LA VISITA CON LA SEÑORA JOHANNA SANJUÁN GARCÍA, IDENTIFICADA CON CÉDULA NÚMERO 1.007.282.907. DIRECCIÓN: KDX 404-460, BARRIO LIBARDO ALONZO PARTE ALTA FECHA Y HORA: 17-09 A LAS 2:30 P.M., SEGÚN LO ACORDADO PREVIAMENTE CON LA USUARIA 320 940 0635 / SE ENTREGÓ PUBLICIDAD Y EQUIPOS AL USUARIO. ADICIONALMENTE, SE REALIZÓ UNA CAPACITACIÓN SOBRE EL MANEJO DEL CB EN OCAÑA. ACTUALMENTE, SE ESTÁ A LA ESPERA DE QUE EL USUARIO SE ENCUENTRE EN SITIO Y ENVÍE LOS REGISTROS FOTOGRÁFICOS DEL CORRESPONSAL INSTALADO. 19-08 USUARIO ENVIA REGISTRO FOTOGRAFICO DEL CORRESPONSAL INSTALADO. SE DOCUMENTAR LAS COORDENADAS ENVIADAS POR EL MISMO / SE REGISTRAN LAS COORDENADAS ENVIADAS POR EL USUARIO"/>
    <s v="VISITA_TÉCNICA"/>
    <s v="SKZZZ720"/>
    <s v="TIPO IV"/>
    <s v="TERRESTRE"/>
    <s v="GONZALEZ ESTUPIÑAN YEISON WALTER ANTONIO"/>
    <n v="1"/>
    <n v="0"/>
    <n v="122645.45276000001"/>
    <n v="65164.677720000007"/>
    <n v="122645.45276000001"/>
  </r>
  <r>
    <s v="CUCUTA"/>
    <x v="3"/>
    <x v="4"/>
    <n v="54874"/>
    <s v="TA-25-1040123"/>
    <n v="81268"/>
    <s v="APERTURA"/>
    <s v="CB CRECIMIENTO ALIANZA - NUEVO"/>
    <s v="NORTE DE SANTANDER"/>
    <s v="VILLA DEL ROSARIO"/>
    <s v="DISTRICOL MISCELANEAGRANPARADA"/>
    <s v="REDEBAN"/>
    <s v="FO-25-1444619"/>
    <d v="2025-08-29T00:00:00"/>
    <d v="2025-09-02T00:00:00"/>
    <s v="AGREGADOR"/>
    <s v="DISTRICOL"/>
    <s v="EJECUTADO"/>
    <s v="29-08 PROGRAMACIÓN REALIZADA POR LA ALIANZA  2/09/2025 SE REALIZA INSTALACIÓN DE CORRESPONSAL, SE INSTALAN EQUIPOS CON PRUEBAS EXITOSAS, SE CAPACITA Y SE EVALÚA AL CLIENTE, SE INSTALA PUBLICIDAD COMPLETA, CB QUEDA OPERATIVO. USUARIO SOMOS BANCOLOMBIA ACTIVO"/>
    <s v="VISITA_TÉCNICA"/>
    <s v="SKZZZ575"/>
    <s v="TIPO I"/>
    <s v="TERRESTRE"/>
    <s v="PACHECO BUITRAGO JAVIER ALONSO"/>
    <n v="1"/>
    <n v="0"/>
    <n v="122645.45276000001"/>
    <n v="65164.677720000007"/>
    <n v="122645.45276000001"/>
  </r>
  <r>
    <s v="CUCUTA"/>
    <x v="3"/>
    <x v="4"/>
    <n v="54874"/>
    <s v="TA-25-1040167"/>
    <n v="81269"/>
    <s v="APERTURA"/>
    <s v="CB CRECIMIENTO ALIANZA - NUEVO"/>
    <s v="NORTE DE SANTANDER"/>
    <s v="VILLA DEL ROSARIO"/>
    <s v="DISTRICOL VARIEDADMARIANAPLUS"/>
    <s v="REDEBAN"/>
    <s v="FO-25-1444686"/>
    <d v="2025-08-29T00:00:00"/>
    <d v="2025-09-02T00:00:00"/>
    <s v="AGREGADOR"/>
    <s v="DISTRICOL"/>
    <s v="EJECUTADO"/>
    <s v="29-08 PROGRAMACIÓN REALIZADA POR LA ALIANZA 02-09 SE REALIZA INSTALACIÓN DE CORRESPONSAL, SE INSTALAN EQUIPOS CON PRUEBAS EXITOSAS, SE CAPACITA Y SE EVALÚA AL CLIENTE, SE INSTALA PUBLICIDAD COMPLETA, CB QUEDA OPERATIVO. USUARIO SOMOS BANCOLOMBIA ACTIVO"/>
    <s v="VISITA_TÉCNICA"/>
    <s v="SKZZZ576"/>
    <s v="TIPO I"/>
    <s v="TERRESTRE"/>
    <s v="PACHECO BUITRAGO JAVIER ALONSO"/>
    <n v="1"/>
    <n v="0"/>
    <n v="122645.45276000001"/>
    <n v="65164.677720000007"/>
    <n v="122645.45276000001"/>
  </r>
  <r>
    <s v="SINCELEJO"/>
    <x v="1"/>
    <x v="2"/>
    <n v="70215"/>
    <s v="TA-25-1040132"/>
    <n v="81256"/>
    <s v="APERTURA"/>
    <s v="CB CRECIMIENTO ALIANZA - NUEVO"/>
    <s v="SUCRE"/>
    <s v="COROZAL"/>
    <s v="DISTRICOL G.M.A"/>
    <s v="REDEBAN"/>
    <s v="FO-25-1444642"/>
    <d v="2025-08-29T00:00:00"/>
    <d v="2025-09-02T00:00:00"/>
    <s v="AGREGADOR"/>
    <s v="DISTRICOL"/>
    <s v="EJECUTADO"/>
    <s v="29-08 PROGRAMACIÓN REALIZADA POR LA ALIANZA 01-09 NO SE REALIZA INSTALACIÓN YA QUE CU NO ESTÁ PROCESADO Y POR ESO NO SE CREA LA TERMINAL, SE LE NOTIFICA AL CLIENTE Y SE LE INFORMA QUE LA INSTALACIÓN QUEDA PARA EL DÍA DE MAÑANA. 2/09/2025 SE REALIZA INSTALACIÓN DE CORRESPONSAL, SE INSTALAN EQUIPOS CON PRUEBAS EXITOSAS, SE CAPACITA Y SE EVALÚA AL CLIENTE, SE INSTALA PUBLICIDAD COMPLETA, CB QUEDA OPERATIVO. USUARIO SOMOS BANCOLOMBIA ACTIVO"/>
    <s v="VISITA_TÉCNICA"/>
    <s v="SKZZZ721"/>
    <s v="TIPO II"/>
    <s v="TERRESTRE"/>
    <s v="CACERES HERNANDEZ ANDRES"/>
    <n v="1"/>
    <n v="0"/>
    <n v="122645.45276000001"/>
    <n v="65164.677720000007"/>
    <n v="122645.45276000001"/>
  </r>
  <r>
    <s v="CALI"/>
    <x v="0"/>
    <x v="0"/>
    <n v="76834"/>
    <s v="TA-25-1040137"/>
    <n v="81266"/>
    <s v="APERTURA"/>
    <s v="CB CRECIMIENTO ALIANZA - NUEVO"/>
    <s v="VALLE DEL CAUCA"/>
    <s v="TULUA"/>
    <s v="DISTRICOL PAGOS Y MAX"/>
    <s v="REDEBAN"/>
    <s v="FO-25-1444654"/>
    <d v="2025-08-29T00:00:00"/>
    <d v="2025-09-01T00:00:00"/>
    <s v="AGREGADOR"/>
    <s v="DISTRICOL"/>
    <s v="EJECUTADO"/>
    <s v="29-08 PROGRAMACIÓN REALIZADA POR LA ALIANZA 1/09/2025 SE REALIZA INSTALACIÓN DE CORRESPONSAL, SE INSTALAN EQUIPOS CON PRUEBAS EXITOSAS, SE CAPACITA Y SE EVALÚA AL CLIENTE, SE INSTALA PUBLICIDAD COMPLETA, CB QUEDA OPERATIVO. USUARIO SOMOS BANCOLOMBIA ACTIVO"/>
    <s v="VISITA_TÉCNICA"/>
    <s v="SKZZZ577"/>
    <s v="TIPO II"/>
    <s v="TERRESTRE"/>
    <s v="TORRES GARCIA JENDRY JOSE"/>
    <n v="1"/>
    <n v="0"/>
    <n v="122645.45276000001"/>
    <n v="65164.677720000007"/>
    <n v="122645.45276000001"/>
  </r>
  <r>
    <s v="APARTADO"/>
    <x v="4"/>
    <x v="5"/>
    <n v="5045"/>
    <s v="TA-25-1040140"/>
    <n v="81254"/>
    <s v="APERTURA"/>
    <s v="CB CRECIMIENTO ALIANZA - NUEVO"/>
    <s v="ANTIOQUIA"/>
    <s v="APARTADO"/>
    <s v="DISTRICOL SWISS LUXURY"/>
    <s v="REDEBAN"/>
    <s v="FO-25-1444664"/>
    <d v="2025-08-29T00:00:00"/>
    <d v="2025-09-03T00:00:00"/>
    <s v="AGREGADOR"/>
    <s v="DISTRICOL"/>
    <s v="EJECUTADO"/>
    <s v="29-08 PROGRAMACIÓN REALIZADA POR LA ALIANZA 01-09 NO SE PUDO REALIZAR ACTIVIDAD POR FALTA DE TERMINAL, SE PROGRAMA VISITA PARA EL DIA MIERCOLES 03-09 SE REALIZA INSTALACIÓN DE CORRESPONSAL, SE INSTALAN EQUIPOS CON PRUEBAS EXITOSAS, SE CAPACITA Y SE EVALÚA AL CLIENTE, SE INSTALA PUBLICIDAD COMPLETA, CB QUEDA OPERATIVO. USUARIO SOMOS BANCOLOMBIA ACTIVO"/>
    <s v="VISITA_TÉCNICA"/>
    <s v="SKZZZ722"/>
    <s v="TIPO I"/>
    <s v="TERRESTRE"/>
    <s v="SALDARRIAGA MIRANDA SANTIAGO"/>
    <n v="1"/>
    <n v="0"/>
    <n v="122645.45276000001"/>
    <n v="65164.677720000007"/>
    <n v="122645.45276000001"/>
  </r>
  <r>
    <s v="MEDELLIN"/>
    <x v="4"/>
    <x v="5"/>
    <n v="5001"/>
    <s v="TA-25-1054540"/>
    <n v="81346"/>
    <s v="APERTURA"/>
    <s v="CB CRECIMIENTO ALIANZA - NUEVO"/>
    <s v="ANTIOQUIA"/>
    <s v="MEDELLIN"/>
    <s v="PTM MEDELLLIN MINIMERCADO PA´Q"/>
    <s v="REDEBAN"/>
    <s v="FO-25-1467769"/>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62"/>
    <s v="TIPO I"/>
    <s v="TERRESTRE"/>
    <s v="CASTAÑEDA PALACIO CARLOS FELIPE"/>
    <n v="1"/>
    <n v="0"/>
    <n v="122645.45276000001"/>
    <n v="65164.677720000007"/>
    <n v="122645.45276000001"/>
  </r>
  <r>
    <s v="MEDELLIN"/>
    <x v="4"/>
    <x v="5"/>
    <n v="5001"/>
    <s v="TA-25-1054548"/>
    <n v="81344"/>
    <s v="APERTURA"/>
    <s v="CB CRECIMIENTO ALIANZA - NUEVO"/>
    <s v="ANTIOQUIA"/>
    <s v="MEDELLIN"/>
    <s v="PTM MEDELLIN MERKE FRUVER LA P"/>
    <s v="REDEBAN"/>
    <s v="FO-25-1467776"/>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NO SE REALIZAN TRANSACCIONES COMPLETAS YA QUE NO SE TIENE HERRAMIENTAS COMO HACERLAS, SE LE PREGUNTA A CLIENTE Y TAMPOCO TIENEN "/>
    <s v="VISITA_TÉCNICA"/>
    <s v="SMZZZ263"/>
    <s v="TIPO I"/>
    <s v="TERRESTRE"/>
    <s v="BADEL ACUÑA LUIS ALBERTO"/>
    <n v="1"/>
    <n v="0"/>
    <n v="122645.45276000001"/>
    <n v="65164.677720000007"/>
    <n v="122645.45276000001"/>
  </r>
  <r>
    <s v="MEDELLIN"/>
    <x v="4"/>
    <x v="5"/>
    <n v="5001"/>
    <s v="TA-25-1054554"/>
    <n v="81345"/>
    <s v="APERTURA"/>
    <s v="CB CRECIMIENTO ALIANZA - NUEVO"/>
    <s v="ANTIOQUIA"/>
    <s v="MEDELLIN"/>
    <s v="PTM MEDELLIN DROGUERIA TRIPLE"/>
    <s v="REDEBAN"/>
    <s v="FO-25-1467787"/>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64"/>
    <s v="TIPO I"/>
    <s v="TERRESTRE"/>
    <s v="CARDONA MOLINA BROLIN STIVEN"/>
    <n v="1"/>
    <n v="0"/>
    <n v="122645.45276000001"/>
    <n v="65164.677720000007"/>
    <n v="122645.45276000001"/>
  </r>
  <r>
    <s v="MEDELLIN"/>
    <x v="4"/>
    <x v="5"/>
    <n v="5001"/>
    <s v="TA-25-1054556"/>
    <n v="81347"/>
    <s v="APERTURA"/>
    <s v="CB CRECIMIENTO ALIANZA - NUEVO"/>
    <s v="ANTIOQUIA"/>
    <s v="MEDELLIN"/>
    <s v="PTM MEDELLIN VARIEDADES LUZ ME"/>
    <s v="REDEBAN"/>
    <s v="FO-25-1467795"/>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66"/>
    <s v="TIPO I"/>
    <s v="TERRESTRE"/>
    <s v="CASTAÑEDA PALACIO CARLOS FELIPE"/>
    <n v="1"/>
    <n v="0"/>
    <n v="122645.45276000001"/>
    <n v="65164.677720000007"/>
    <n v="122645.45276000001"/>
  </r>
  <r>
    <s v="MEDELLIN"/>
    <x v="4"/>
    <x v="5"/>
    <n v="5088"/>
    <s v="TA-25-1054559"/>
    <n v="81341"/>
    <s v="APERTURA"/>
    <s v="CB CRECIMIENTO ALIANZA - NUEVO"/>
    <s v="ANTIOQUIA"/>
    <s v="BELLO"/>
    <s v="PTM BELLO PAPELERIA GRAN AVENI"/>
    <s v="REDEBAN"/>
    <s v="FO-25-1467800"/>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NO SE REALIZAN LAS PRUEBAS POR FALTA DE LAS HERRAMIENTAS CORRESPONDIENTES, SE INDICA AL CLIENTE Y ESTE TAMPOCO CUENTA CON DICHAS HERRAMIENTAS"/>
    <s v="VISITA_TÉCNICA"/>
    <s v="SMZZZ267"/>
    <s v="TIPO I"/>
    <s v="TERRESTRE"/>
    <s v="CARDONA MOLINA BROLIN STIVEN"/>
    <n v="1"/>
    <n v="0"/>
    <n v="122645.45276000001"/>
    <n v="65164.677720000007"/>
    <n v="122645.45276000001"/>
  </r>
  <r>
    <s v="MEDELLIN"/>
    <x v="4"/>
    <x v="5"/>
    <n v="5088"/>
    <s v="TA-25-1054565"/>
    <n v="81342"/>
    <s v="APERTURA"/>
    <s v="CB CRECIMIENTO ALIANZA - NUEVO"/>
    <s v="ANTIOQUIA"/>
    <s v="BELLO"/>
    <s v="PTM BELLO PECADOS GOURMET"/>
    <s v="REDEBAN"/>
    <s v="FO-25-1467813"/>
    <d v="2025-09-03T00:00:00"/>
    <d v="2025-09-04T00:00:00"/>
    <s v="AGREGADOR"/>
    <s v="COMCARD - PTM"/>
    <s v="EJECUTADO"/>
    <s v="03-09  PROGRAMACIÓN REALIZADA POR LA ALIANZA 04-09 SE REALIZA INSTALACIÓN DE CORRESPONSAL, SE INSTALAN EQUIPOS CON PRUEBAS EXITOSAS, SE CAPACITA Y SE EVALÚA AL CLIENTE, SE INSTALA PUBLICIDAD COMPLETA, CB QUEDA OPERATIVO. USUARIO SOMOS BANCOLOMBIA ACTIVO"/>
    <s v="VISITA_TÉCNICA"/>
    <s v="SMZZZ268"/>
    <s v="TIPO I"/>
    <s v="TERRESTRE"/>
    <s v="CARDONA MOLINA BROLIN STIVEN"/>
    <n v="1"/>
    <n v="0"/>
    <n v="122645.45276000001"/>
    <n v="65164.677720000007"/>
    <n v="122645.45276000001"/>
  </r>
  <r>
    <s v="MEDELLIN"/>
    <x v="4"/>
    <x v="5"/>
    <n v="5266"/>
    <s v="TA-25-1054569"/>
    <n v="81343"/>
    <s v="APERTURA"/>
    <s v="CB CRECIMIENTO ALIANZA - NUEVO"/>
    <s v="ANTIOQUIA"/>
    <s v="ENVIGADO"/>
    <s v="PTM ENVIGADO ALVARO DAVID VANE"/>
    <s v="REDEBAN"/>
    <s v="FO-25-1467824"/>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69"/>
    <s v="TIPO I"/>
    <s v="TERRESTRE"/>
    <s v="DIAZ ZABALA FRANCIS DUBAN"/>
    <n v="1"/>
    <n v="0"/>
    <n v="122645.45276000001"/>
    <n v="65164.677720000007"/>
    <n v="122645.45276000001"/>
  </r>
  <r>
    <s v="APARTADO"/>
    <x v="4"/>
    <x v="5"/>
    <n v="5837"/>
    <s v="TA-25-1054571"/>
    <n v="81325"/>
    <s v="APERTURA"/>
    <s v="CB CRECIMIENTO ALIANZA - NUEVO"/>
    <s v="ANTIOQUIA"/>
    <s v="TURBO"/>
    <s v="PTM TURBO CROGUERIA JYZA ESPEC"/>
    <s v="REDEBAN"/>
    <s v="FO-25-1467831"/>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0"/>
    <s v="TIPO II"/>
    <s v="TERRESTRE"/>
    <s v="SALDARRIAGA MIRANDA SANTIAGO"/>
    <n v="1"/>
    <n v="0"/>
    <n v="122645.45276000001"/>
    <n v="65164.677720000007"/>
    <n v="122645.45276000001"/>
  </r>
  <r>
    <s v="TUNJA"/>
    <x v="3"/>
    <x v="4"/>
    <n v="15804"/>
    <s v="TA-25-1054574"/>
    <n v="81335"/>
    <s v="APERTURA"/>
    <s v="CB CRECIMIENTO ALIANZA - NUEVO"/>
    <s v="BOYACA"/>
    <s v="TIBANA"/>
    <s v="PTM TIBANA D' TODITO LA SEXTA"/>
    <s v="REDEBAN"/>
    <s v="FO-25-1467837"/>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2"/>
    <s v="TIPO II"/>
    <s v="TERRESTRE"/>
    <s v="RODRIGUEZ MURCIA YERSON IVAN"/>
    <n v="1"/>
    <n v="0"/>
    <n v="122645.45276000001"/>
    <n v="65164.677720000007"/>
    <n v="122645.45276000001"/>
  </r>
  <r>
    <s v="NEIVA"/>
    <x v="2"/>
    <x v="3"/>
    <n v="18001"/>
    <s v="TA-25-1054576"/>
    <n v="81326"/>
    <s v="APERTURA"/>
    <s v="CB CRECIMIENTO ALIANZA - NUEVO"/>
    <s v="CAQUETA"/>
    <s v="FLORENCIA"/>
    <s v="PTM FLORENCIA DROGUERIA MIIA"/>
    <s v="REDEBAN"/>
    <s v="FO-25-1467843"/>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3"/>
    <s v="TIPO IV"/>
    <s v="TERRESTRE"/>
    <s v="BERMUDEZ SANCHEZ JOSE NEYBER"/>
    <n v="1"/>
    <n v="0"/>
    <n v="122645.45276000001"/>
    <n v="65164.677720000007"/>
    <n v="122645.45276000001"/>
  </r>
  <r>
    <s v="BOGOTA"/>
    <x v="5"/>
    <x v="6"/>
    <n v="25754"/>
    <s v="TA-25-1054579"/>
    <n v="81337"/>
    <s v="APERTURA"/>
    <s v="CB CRECIMIENTO ALIANZA - NUEVO"/>
    <s v="CUNDINAMARCA"/>
    <s v="SOACHA"/>
    <s v="PTM SOACHA MEGAINTERNET LA PUL"/>
    <s v="REDEBAN"/>
    <s v="FO-25-1467849"/>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4"/>
    <s v="TIPO I"/>
    <s v="TERRESTRE"/>
    <s v="BUSTOS MORA DIEGO MANUEL"/>
    <n v="1"/>
    <n v="0"/>
    <n v="122645.45276000001"/>
    <n v="65164.677720000007"/>
    <n v="122645.45276000001"/>
  </r>
  <r>
    <s v="BOGOTA"/>
    <x v="5"/>
    <x v="6"/>
    <n v="25785"/>
    <s v="TA-25-1054583"/>
    <n v="81338"/>
    <s v="APERTURA"/>
    <s v="CB CRECIMIENTO ALIANZA - NUEVO"/>
    <s v="CUNDINAMARCA"/>
    <s v="TABIO"/>
    <s v="PTM TABIO SUPERMARKET LA PRIME"/>
    <s v="REDEBAN"/>
    <s v="FO-25-1467853"/>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5"/>
    <s v="TIPO II"/>
    <s v="TERRESTRE"/>
    <s v="MURCIA HERNANDEZ HARVEY IGNACIO"/>
    <n v="1"/>
    <n v="0"/>
    <n v="122645.45276000001"/>
    <n v="65164.677720000007"/>
    <n v="122645.45276000001"/>
  </r>
  <r>
    <s v="NEIVA"/>
    <x v="2"/>
    <x v="3"/>
    <n v="41396"/>
    <s v="TA-25-1054585"/>
    <n v="81332"/>
    <s v="APERTURA"/>
    <s v="CB CRECIMIENTO ALIANZA - NUEVO"/>
    <s v="HUILA"/>
    <s v="LA PLATA"/>
    <s v="PTM LA PLATA SUPER REPUESTOS D"/>
    <s v="REDEBAN"/>
    <s v="FO-25-1467858"/>
    <d v="2025-09-03T00:00:00"/>
    <d v="2025-09-05T00:00:00"/>
    <s v="AGREGADOR"/>
    <s v="COMCARD - PTM"/>
    <s v="EJECUTADO"/>
    <s v="03-09  PROGRAMACIÓN REALIZADA POR LA ALIANZA 05-09 SE REALIZA INSTALACIÓN DE CORRESPONSAL, SE INSTALAN EQUIPOS CON PRUEBAS EXITOSAS, SE CAPACITA Y SE EVALÚA AL CLIENTE, SE INSTALA PUBLICIDAD COMPLETA, CB QUEDA OPERATIVO. USUARIO SOMOS BANCOLOMBIA ACTIVO"/>
    <s v="VISITA_TÉCNICA"/>
    <s v="SMZZZ276"/>
    <s v="TIPO III"/>
    <s v="TERRESTRE"/>
    <s v="DEVIA REINOSO JUAN CARLOS"/>
    <n v="1"/>
    <n v="0"/>
    <n v="122645.45276000001"/>
    <n v="65164.677720000007"/>
    <n v="122645.45276000001"/>
  </r>
  <r>
    <s v="SANTA MARTA"/>
    <x v="1"/>
    <x v="2"/>
    <n v="47001"/>
    <s v="TA-25-1054588"/>
    <n v="81336"/>
    <s v="APERTURA"/>
    <s v="CB CRECIMIENTO ALIANZA - NUEVO"/>
    <s v="MAGDALENA"/>
    <s v="SANTA MARTA"/>
    <s v="PTM SANTA MARTA VARIEDADES FUT"/>
    <s v="REDEBAN"/>
    <s v="FO-25-1467863"/>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78"/>
    <s v="TIPO I"/>
    <s v="TERRESTRE"/>
    <s v="THOMAS  CAMPO SIGIFREDO SEGUNDO"/>
    <n v="1"/>
    <n v="0"/>
    <n v="122645.45276000001"/>
    <n v="65164.677720000007"/>
    <n v="122645.45276000001"/>
  </r>
  <r>
    <s v="SANTA MARTA"/>
    <x v="1"/>
    <x v="2"/>
    <n v="47030"/>
    <s v="TA-25-1054595"/>
    <n v="81306"/>
    <s v="APERTURA"/>
    <s v="CB CRECIMIENTO ALIANZA - NUEVO"/>
    <s v="MAGDALENA"/>
    <s v="ALGARROBO"/>
    <s v="PTM ALGARROBO SUPERMERCADO EL"/>
    <s v="REDEBAN"/>
    <s v="FO-25-1467869"/>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79"/>
    <s v="TIPO IV"/>
    <s v="TERRESTRE"/>
    <s v="THOMAS  CAMPO SIGIFREDO SEGUNDO"/>
    <n v="1"/>
    <n v="0"/>
    <n v="122645.45276000001"/>
    <n v="65164.677720000007"/>
    <n v="122645.45276000001"/>
  </r>
  <r>
    <s v="PASTO"/>
    <x v="0"/>
    <x v="0"/>
    <n v="52385"/>
    <s v="TA-25-1054597"/>
    <n v="81331"/>
    <s v="APERTURA"/>
    <s v="CB CRECIMIENTO ALIANZA - NUEVO"/>
    <s v="NARIÑO"/>
    <s v="LA LLANADA"/>
    <s v="PTM LLANADA VARIEDADES LOREN V"/>
    <s v="REDEBAN"/>
    <s v="FO-25-1467873"/>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0"/>
    <s v="TIPO IV"/>
    <s v="TERRESTRE"/>
    <s v="CASTILLO HERRERA ALEX RICARDO"/>
    <n v="1"/>
    <n v="0"/>
    <n v="122645.45276000001"/>
    <n v="65164.677720000007"/>
    <n v="122645.45276000001"/>
  </r>
  <r>
    <s v="PASTO"/>
    <x v="0"/>
    <x v="0"/>
    <n v="52838"/>
    <s v="TA-25-1054600"/>
    <n v="81339"/>
    <s v="APERTURA"/>
    <s v="CB CRECIMIENTO ALIANZA - NUEVO"/>
    <s v="NARIÑO"/>
    <s v="TUQUERRES"/>
    <s v="PTM TUQUERRES QUITO DROGUERIAS"/>
    <s v="REDEBAN"/>
    <s v="FO-25-1467878"/>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1"/>
    <s v="TIPO II"/>
    <s v="TERRESTRE"/>
    <s v="GUERRERO RAMIREZ OSCAR DARIO"/>
    <n v="1"/>
    <n v="0"/>
    <n v="122645.45276000001"/>
    <n v="65164.677720000007"/>
    <n v="122645.45276000001"/>
  </r>
  <r>
    <s v="CUCUTA"/>
    <x v="3"/>
    <x v="4"/>
    <n v="54001"/>
    <s v="TA-25-1054602"/>
    <n v="81324"/>
    <s v="APERTURA"/>
    <s v="CB CRECIMIENTO ALIANZA - NUEVO"/>
    <s v="NORTE DE SANTANDER"/>
    <s v="CUCUTA"/>
    <s v="PTM CUCUTA PARKIN MOTO CENTER"/>
    <s v="REDEBAN"/>
    <s v="FO-25-1467882"/>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83"/>
    <s v="TIPO I"/>
    <s v="TERRESTRE"/>
    <s v="PACHECO BUITRAGO JAVIER ALONSO"/>
    <n v="1"/>
    <n v="0"/>
    <n v="122645.45276000001"/>
    <n v="65164.677720000007"/>
    <n v="122645.45276000001"/>
  </r>
  <r>
    <s v="CUCUTA"/>
    <x v="3"/>
    <x v="4"/>
    <n v="54001"/>
    <s v="TA-25-1054606"/>
    <n v="81322"/>
    <s v="APERTURA"/>
    <s v="CB CRECIMIENTO ALIANZA - NUEVO"/>
    <s v="NORTE DE SANTANDER"/>
    <s v="CUCUTA"/>
    <s v="PTM CUCUTA INTERNET Y PAPELERI"/>
    <s v="REDEBAN"/>
    <s v="FO-25-1467888"/>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84"/>
    <s v="TIPO I"/>
    <s v="TERRESTRE"/>
    <s v="MORA VEGA JEAMPIER"/>
    <n v="1"/>
    <n v="0"/>
    <n v="122645.45276000001"/>
    <n v="65164.677720000007"/>
    <n v="122645.45276000001"/>
  </r>
  <r>
    <s v="CUCUTA"/>
    <x v="3"/>
    <x v="4"/>
    <n v="54001"/>
    <s v="TA-25-1054624"/>
    <n v="81323"/>
    <s v="APERTURA"/>
    <s v="CB CRECIMIENTO ALIANZA - NUEVO"/>
    <s v="NORTE DE SANTANDER"/>
    <s v="CUCUTA"/>
    <s v="PTM CUCUTA DROGUERIA FARMABLUE"/>
    <s v="REDEBAN"/>
    <s v="FO-25-1467894"/>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5"/>
    <s v="TIPO I"/>
    <s v="TERRESTRE"/>
    <s v="NARANJO AFANADOR RUBEN JESUS"/>
    <n v="1"/>
    <n v="0"/>
    <n v="122645.45276000001"/>
    <n v="65164.677720000007"/>
    <n v="122645.45276000001"/>
  </r>
  <r>
    <s v="CUCUTA"/>
    <x v="3"/>
    <x v="4"/>
    <n v="54099"/>
    <s v="TA-25-1054676"/>
    <n v="81307"/>
    <s v="APERTURA"/>
    <s v="CB CRECIMIENTO ALIANZA - NUEVO"/>
    <s v="NORTE DE SANTANDER"/>
    <s v="BOCHALEMA"/>
    <s v="PTM NORTE DE SANTANDER ABASTOS"/>
    <s v="REDEBAN"/>
    <s v="FO-25-1467901"/>
    <d v="2025-09-03T00:00:00"/>
    <d v="2025-09-05T00:00:00"/>
    <s v="AGREGADOR"/>
    <s v="COMCARD - PTM"/>
    <s v="EJECUTADO"/>
    <s v="03-09  PROGRAMACIÓN REALIZADA POR LA ALIANZA 05-09 SE REALIZA INSTALACIÓN DE CORRESPONSAL, SE INSTALAN EQUIPOS CON PRUEBAS EXITOSAS, SE CAPACITA Y SE EVALÚA AL CLIENTE, SE INSTALA PUBLICIDAD COMPLETA, CB QUEDA OPERATIVO. USUARIO SOMOS BANCOLOMBIA ACTIVO"/>
    <s v="VISITA_TÉCNICA"/>
    <s v="SMZZZ286"/>
    <s v="TIPO II"/>
    <s v="TERRESTRE"/>
    <s v="PACHECO BUITRAGO JAVIER ALONSO"/>
    <n v="1"/>
    <n v="0"/>
    <n v="122645.45276000001"/>
    <n v="65164.677720000007"/>
    <n v="122645.45276000001"/>
  </r>
  <r>
    <s v="BUCARAMANGA"/>
    <x v="3"/>
    <x v="4"/>
    <n v="68001"/>
    <s v="TA-25-1054754"/>
    <n v="81314"/>
    <s v="APERTURA"/>
    <s v="CB CRECIMIENTO ALIANZA - NUEVO"/>
    <s v="SANTANDER"/>
    <s v="BUCARAMANGA"/>
    <s v="PTM BUCARAMANGA SUPERMERCADO M"/>
    <s v="REDEBAN"/>
    <s v="FO-25-1467917"/>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87"/>
    <s v="TIPO I"/>
    <s v="TERRESTRE"/>
    <s v="REYES RAMIREZ DIEGO ALEXANDER"/>
    <n v="1"/>
    <n v="0"/>
    <n v="122645.45276000001"/>
    <n v="65164.677720000007"/>
    <n v="122645.45276000001"/>
  </r>
  <r>
    <s v="BUCARAMANGA"/>
    <x v="3"/>
    <x v="4"/>
    <n v="68432"/>
    <s v="TA-25-1054948"/>
    <n v="81334"/>
    <s v="APERTURA"/>
    <s v="CB CRECIMIENTO ALIANZA - NUEVO"/>
    <s v="SANTANDER"/>
    <s v="MALAGA"/>
    <s v="PTM MALAGA DISTRIBUIDORA MAYOR"/>
    <s v="REDEBAN"/>
    <s v="FO-25-1467942"/>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89"/>
    <s v="TIPO IV"/>
    <s v="TERRESTRE"/>
    <s v="MARIÑO PABON JORGE ENRIQUE"/>
    <n v="1"/>
    <n v="0"/>
    <n v="122645.45276000001"/>
    <n v="65164.677720000007"/>
    <n v="122645.45276000001"/>
  </r>
  <r>
    <s v="CUCUTA"/>
    <x v="3"/>
    <x v="4"/>
    <n v="68867"/>
    <s v="TA-25-1055041"/>
    <n v="81340"/>
    <s v="APERTURA"/>
    <s v="CB CRECIMIENTO ALIANZA - NUEVO"/>
    <s v="SANTANDER"/>
    <s v="VETAS"/>
    <s v="PTM VETAS INTER.COM"/>
    <s v="REDEBAN"/>
    <s v="FO-25-1467954"/>
    <d v="2025-09-03T00:00:00"/>
    <d v="2025-09-05T00:00:00"/>
    <s v="AGREGADOR"/>
    <s v="COMCARD - PTM"/>
    <s v="EJECUTADO"/>
    <s v="03-09  PROGRAMACIÓN REALIZADA POR LA ALIANZA 4/09/2025 EN COMUNICACIÓN CON LA SEÑORA EMILCE DELGADO AL NÚMERO DE CONTACTO 3108070167, NOS COMENTA QUE DEBIDO A LAS FALLAS GEOLÓGICAS REGISTRADAS EN LA VÍA QUE COMUNICA EL MUNICIPIO DE CALIFORNIA CON VETAS, NOS HACE LA RECOMENDACIÓN DE QUE HAGAMOS EL DESPLAZAMIENTO BUCARAMANGA- BERLÍN, BERLÍN- VETAS,  DADO QUE EL TRANSPORTE QUE SALE HACIA DICHA ZONA SALE EL DÍA DE MAÑANA VIERNES 5 DE SEPTIEMBRE 6 DE LA MAÑANA MOTIVO HAREMOS LA APERTURA EL DÍA DE MAÑANA EN EL TRANSCURSO DEL DÍA 5/09/2025 SE REALIZA INSTALACIÓN DE CORRESPONSAL, SE INSTALAN EQUIPOS CON PRUEBAS EXITOSAS, SE CAPACITA Y SE EVALÚA AL CLIENTE, SE INSTALA PUBLICIDAD COMPLETA, CB QUEDA OPERATIVO. USUARIO SOMOS BANCOLOMBIA ACTIVO"/>
    <s v="VISITA_TÉCNICA"/>
    <s v="SMZZZ290"/>
    <s v="TIPO IV"/>
    <s v="TERRESTRE"/>
    <s v="GONZALEZ ESTUPIÑAN YEISON WALTER ANTONIO"/>
    <n v="1"/>
    <n v="0"/>
    <n v="122645.45276000001"/>
    <n v="65164.677720000007"/>
    <n v="122645.45276000001"/>
  </r>
  <r>
    <s v="IBAGUE"/>
    <x v="2"/>
    <x v="3"/>
    <n v="73001"/>
    <s v="TA-25-1055125"/>
    <n v="81329"/>
    <s v="APERTURA"/>
    <s v="CB CRECIMIENTO ALIANZA - NUEVO"/>
    <s v="TOLIMA"/>
    <s v="IBAGUE"/>
    <s v="PTM IBAGUE DISPHARMA JA PLUS"/>
    <s v="REDEBAN"/>
    <s v="FO-25-1467964"/>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1"/>
    <s v="TIPO I"/>
    <s v="TERRESTRE"/>
    <s v="BARRAGAN TAFUR EDWIN ESTEBAN"/>
    <n v="1"/>
    <n v="0"/>
    <n v="122645.45276000001"/>
    <n v="65164.677720000007"/>
    <n v="122645.45276000001"/>
  </r>
  <r>
    <s v="IBAGUE"/>
    <x v="2"/>
    <x v="3"/>
    <n v="73001"/>
    <s v="TA-25-1055203"/>
    <n v="81330"/>
    <s v="APERTURA"/>
    <s v="CB CRECIMIENTO ALIANZA - NUEVO"/>
    <s v="TOLIMA"/>
    <s v="IBAGUE"/>
    <s v="PTM IBAGUE JYV DOPRGUERIAS MON"/>
    <s v="REDEBAN"/>
    <s v="FO-25-1467971"/>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92"/>
    <s v="TIPO I"/>
    <s v="TERRESTRE"/>
    <s v="GUTIERREZ  CAMILO ANDRES"/>
    <n v="1"/>
    <n v="0"/>
    <n v="122645.45276000001"/>
    <n v="65164.677720000007"/>
    <n v="122645.45276000001"/>
  </r>
  <r>
    <s v="IBAGUE"/>
    <x v="2"/>
    <x v="3"/>
    <n v="73001"/>
    <s v="TA-25-1055292"/>
    <n v="81328"/>
    <s v="APERTURA"/>
    <s v="CB CRECIMIENTO ALIANZA - NUEVO"/>
    <s v="TOLIMA"/>
    <s v="IBAGUE"/>
    <s v="PTM IBAGUE VARIEDADES Y ACCESO"/>
    <s v="REDEBAN"/>
    <s v="FO-25-1467991"/>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93"/>
    <s v="TIPO I"/>
    <s v="TERRESTRE"/>
    <s v="GUTIERREZ  CAMILO ANDRES"/>
    <n v="1"/>
    <n v="0"/>
    <n v="122645.45276000001"/>
    <n v="65164.677720000007"/>
    <n v="122645.45276000001"/>
  </r>
  <r>
    <s v="CALI"/>
    <x v="0"/>
    <x v="0"/>
    <n v="76001"/>
    <s v="TA-25-1055365"/>
    <n v="81316"/>
    <s v="APERTURA"/>
    <s v="CB CRECIMIENTO ALIANZA - NUEVO"/>
    <s v="VALLE DEL CAUCA"/>
    <s v="CALI"/>
    <s v="PTM CALI MINIMARKET BAM BAM"/>
    <s v="REDEBAN"/>
    <s v="FO-25-1468002"/>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4"/>
    <s v="TIPO I"/>
    <s v="TERRESTRE"/>
    <s v="HERRERA MONAR GEOVANNY"/>
    <n v="1"/>
    <n v="0"/>
    <n v="122645.45276000001"/>
    <n v="65164.677720000007"/>
    <n v="122645.45276000001"/>
  </r>
  <r>
    <s v="CALI"/>
    <x v="0"/>
    <x v="0"/>
    <n v="76001"/>
    <s v="TA-25-1055511"/>
    <n v="81319"/>
    <s v="APERTURA"/>
    <s v="CB CRECIMIENTO ALIANZA - NUEVO"/>
    <s v="VALLE DEL CAUCA"/>
    <s v="CALI"/>
    <s v="PTM CALI MAXI FRUVER ALANA"/>
    <s v="REDEBAN"/>
    <s v="FO-25-1468026"/>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295"/>
    <s v="TIPO I"/>
    <s v="TERRESTRE"/>
    <s v="HERRERA MONAR GEOVANNY"/>
    <n v="1"/>
    <n v="0"/>
    <n v="122645.45276000001"/>
    <n v="65164.677720000007"/>
    <n v="122645.45276000001"/>
  </r>
  <r>
    <s v="CALI"/>
    <x v="0"/>
    <x v="0"/>
    <n v="76001"/>
    <s v="TA-25-1055602"/>
    <n v="81318"/>
    <s v="APERTURA"/>
    <s v="CB CRECIMIENTO ALIANZA - NUEVO"/>
    <s v="VALLE DEL CAUCA"/>
    <s v="CALI"/>
    <s v="PTM CALI MULTICOPIAS LA 12"/>
    <s v="REDEBAN"/>
    <s v="FO-25-1468042"/>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6"/>
    <s v="TIPO I"/>
    <s v="TERRESTRE"/>
    <s v="BOLAÑOS TABORDA JORGE ENRIQUE"/>
    <n v="1"/>
    <n v="0"/>
    <n v="122645.45276000001"/>
    <n v="65164.677720000007"/>
    <n v="122645.45276000001"/>
  </r>
  <r>
    <s v="CALI"/>
    <x v="0"/>
    <x v="0"/>
    <n v="76001"/>
    <s v="TA-25-1055700"/>
    <n v="81317"/>
    <s v="APERTURA"/>
    <s v="CB CRECIMIENTO ALIANZA - NUEVO"/>
    <s v="VALLE DEL CAUCA"/>
    <s v="CALI"/>
    <s v="PTM CALI COLMENA SIEMPRE DIVAS"/>
    <s v="REDEBAN"/>
    <s v="FO-25-1468054"/>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TRANSACCIONES DE PRUEBA EXITOSAS( SE REALIZAN LAS QUE EL CLIENTE TIENE DISPONIBLE)."/>
    <s v="VISITA_TÉCNICA"/>
    <s v="SMZZZ298"/>
    <s v="TIPO I"/>
    <s v="TERRESTRE"/>
    <s v="BOLAÑOS TABORDA JORGE ENRIQUE"/>
    <n v="1"/>
    <n v="0"/>
    <n v="122645.45276000001"/>
    <n v="65164.677720000007"/>
    <n v="122645.45276000001"/>
  </r>
  <r>
    <s v="CALI"/>
    <x v="0"/>
    <x v="0"/>
    <n v="76001"/>
    <s v="TA-25-1055830"/>
    <n v="81320"/>
    <s v="APERTURA"/>
    <s v="CB CRECIMIENTO ALIANZA - NUEVO"/>
    <s v="VALLE DEL CAUCA"/>
    <s v="CALI"/>
    <s v="PTM CALI VARIEDADES LOS MILAGR"/>
    <s v="REDEBAN"/>
    <s v="FO-25-1468070"/>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299"/>
    <s v="TIPO I"/>
    <s v="TERRESTRE"/>
    <s v="SANCHEZ URREGO ROBINSON DAVID"/>
    <n v="1"/>
    <n v="0"/>
    <n v="122645.45276000001"/>
    <n v="65164.677720000007"/>
    <n v="122645.45276000001"/>
  </r>
  <r>
    <s v="CALI"/>
    <x v="0"/>
    <x v="0"/>
    <n v="76001"/>
    <s v="TA-25-1055986"/>
    <n v="81315"/>
    <s v="APERTURA"/>
    <s v="CB CRECIMIENTO ALIANZA - NUEVO"/>
    <s v="VALLE DEL CAUCA"/>
    <s v="CALI"/>
    <s v="PTM CALI TIENDA Y LICORES HERR"/>
    <s v="REDEBAN"/>
    <s v="FO-25-1468092"/>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300"/>
    <s v="TIPO I"/>
    <s v="TERRESTRE"/>
    <s v="TORRES GARCIA JENDRY JOSE"/>
    <n v="1"/>
    <n v="0"/>
    <n v="122645.45276000001"/>
    <n v="65164.677720000007"/>
    <n v="122645.45276000001"/>
  </r>
  <r>
    <s v="BOGOTA"/>
    <x v="5"/>
    <x v="6"/>
    <n v="11001"/>
    <s v="TA-25-1056114"/>
    <n v="81313"/>
    <s v="APERTURA"/>
    <s v="CB CRECIMIENTO ALIANZA - NUEVO"/>
    <s v="CUNDINAMARCA"/>
    <s v="BOGOTA"/>
    <s v="PTM BOGOTA CIGARRERIA EMBAJADO"/>
    <s v="REDEBAN"/>
    <s v="FO-25-1468114"/>
    <d v="2025-09-03T00:00:00"/>
    <d v="2025-09-04T00:00:00"/>
    <s v="AGREGADOR"/>
    <s v="COMCARD - PTM"/>
    <s v="EJECUTADO"/>
    <s v="03-09  PROGRAMACIÓN REALIZADA POR LA ALIANZA 4/09/2025 ESTANDO EN SITIO PARA REALIZAR APERTURA REDEBAN CB 3007081313  PTM BOGOTA CIGARRERIA EMBAJADO, EL COMERCIO NO TIENE EL NOMBRE DEL ESTABLECIMIENTO EN LA FACHADA, ADJUNTO CÁMARA DE COMERCIO + REGISTRO FOTOGRÁFICO./PROCEDER CON LA IMPLEMENTACIÓN CORRESPONDIENTE Y DEJAR LA NOVEDAD DOCUMENTADA EN LOS ARCHIVOS, PARA POSTERIORMENTE SER REPORTADA A LA ENTIDAD. 04-09 SE REALIZA INSTALACIÓN DE CORRESPONSAL, SE INSTALAN EQUIPOS CON PRUEBAS EXITOSAS, SE CAPACITA Y SE EVALÚA AL CLIENTE, SE INSTALA PUBLICIDAD COMPLETA, CB QUEDA OPERATIVO. USUARIO SOMOS BANCOLOMBIA ACTIVO"/>
    <s v="VISITA_TÉCNICA"/>
    <s v="SMZZZ301"/>
    <s v="TIPO I"/>
    <s v="TERRESTRE"/>
    <s v="VEGA MANRIQUE JONATAN MAURICIO"/>
    <n v="1"/>
    <n v="0"/>
    <n v="122645.45276000001"/>
    <n v="65164.677720000007"/>
    <n v="122645.45276000001"/>
  </r>
  <r>
    <s v="BOGOTA"/>
    <x v="5"/>
    <x v="6"/>
    <n v="11001"/>
    <s v="TA-25-1056313"/>
    <n v="81308"/>
    <s v="APERTURA"/>
    <s v="CB CRECIMIENTO ALIANZA - NUEVO"/>
    <s v="CUNDINAMARCA"/>
    <s v="BOGOTA"/>
    <s v="PTM BOGOTA DAVITEL COMUNICACIO"/>
    <s v="REDEBAN"/>
    <s v="FO-25-1468145"/>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302"/>
    <s v="TIPO I"/>
    <s v="TERRESTRE"/>
    <s v="ORTIZ MARTINEZ STIVEN"/>
    <n v="1"/>
    <n v="0"/>
    <n v="122645.45276000001"/>
    <n v="65164.677720000007"/>
    <n v="122645.45276000001"/>
  </r>
  <r>
    <s v="BOGOTA"/>
    <x v="5"/>
    <x v="6"/>
    <n v="11001"/>
    <s v="TA-25-1056505"/>
    <n v="81310"/>
    <s v="APERTURA"/>
    <s v="CB CRECIMIENTO ALIANZA - NUEVO"/>
    <s v="CUNDINAMARCA"/>
    <s v="BOGOTA"/>
    <s v="PTM BOGOTA PAPELERIA MI LIBERT"/>
    <s v="REDEBAN"/>
    <s v="FO-25-1468166"/>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304"/>
    <s v="TIPO I"/>
    <s v="TERRESTRE"/>
    <s v="LOZADA ROJAS CHRISTIAN ANDRES"/>
    <n v="1"/>
    <n v="0"/>
    <n v="122645.45276000001"/>
    <n v="65164.677720000007"/>
    <n v="122645.45276000001"/>
  </r>
  <r>
    <s v="BOGOTA"/>
    <x v="5"/>
    <x v="6"/>
    <n v="11001"/>
    <s v="TA-25-1056673"/>
    <n v="81311"/>
    <s v="APERTURA"/>
    <s v="CB CRECIMIENTO ALIANZA - NUEVO"/>
    <s v="CUNDINAMARCA"/>
    <s v="BOGOTA"/>
    <s v="PTM BOGOTA VARIEDADES MB"/>
    <s v="REDEBAN"/>
    <s v="FO-25-1468187"/>
    <d v="2025-09-03T00:00:00"/>
    <d v="2025-09-04T00:00:00"/>
    <s v="AGREGADOR"/>
    <s v="COMCARD - PTM"/>
    <s v="EJECUTADO"/>
    <s v="03-09  PROGRAMACIÓN REALIZADA POR LA ALIANZA 4/09/2025  ESTANDO EN SITIO PARA REALIZAR APERTURA REDEBAN CB 3007081311 PTM BOGOTA VARIEDADES MB, EL COMERCIO NO TIENE EL NOMBRE DEL ESTABLECIMIENTO EN LA FACHADA, ADJUNTO CÁMARA DE COMERCIO + REGISTRO FOTOGRÁFICO / POR FAVOR REALICEMOS LA IMPLEMENTACIÓN Y DOCUMENTEMOS LA NOVEDAD. 04-09 SE REALIZA INSTALACIÓN DE CORRESPONSAL, SE INSTALAN EQUIPOS CON PRUEBAS EXITOSAS, SE CAPACITA Y SE EVALÚA AL CLIENTE, SE INSTALA PUBLICIDAD COMPLETA, CB QUEDA OPERATIVO. USUARIO SOMOS BANCOLOMBIA ACTIVO"/>
    <s v="VISITA_TÉCNICA"/>
    <s v="SMZZZ305"/>
    <s v="TIPO I"/>
    <s v="TERRESTRE"/>
    <s v="VEGA MANRIQUE JONATAN MAURICIO"/>
    <n v="1"/>
    <n v="0"/>
    <n v="122645.45276000001"/>
    <n v="65164.677720000007"/>
    <n v="122645.45276000001"/>
  </r>
  <r>
    <s v="BOGOTA"/>
    <x v="5"/>
    <x v="6"/>
    <n v="11001"/>
    <s v="TA-25-1056800"/>
    <n v="81309"/>
    <s v="APERTURA"/>
    <s v="CB CRECIMIENTO ALIANZA - NUEVO"/>
    <s v="CUNDINAMARCA"/>
    <s v="BOGOTA"/>
    <s v="PTM BOGOTA DROGUERIA J.R.G"/>
    <s v="REDEBAN"/>
    <s v="FO-25-1468211"/>
    <d v="2025-09-03T00:00:00"/>
    <d v="2025-09-05T00:00:00"/>
    <s v="AGREGADOR"/>
    <s v="COMCARD - PTM"/>
    <s v="EJECUTADO"/>
    <s v="03-09  PROGRAMACIÓN REALIZADA POR LA ALIANZA 5/09/2025 SE REALIZA INSTALACIÓN DE CORRESPONSAL, SE INSTALAN EQUIPOS CON PRUEBAS EXITOSAS, SE CAPACITA Y SE EVALÚA AL CLIENTE, SE INSTALA PUBLICIDAD COMPLETA, CB QUEDA OPERATIVO. USUARIO SOMOS BANCOLOMBIA ACTIVO"/>
    <s v="VISITA_TÉCNICA"/>
    <s v="SMZZZ306"/>
    <s v="TIPO I"/>
    <s v="TERRESTRE"/>
    <s v="GALEANO SORIANO JUAN DAVID"/>
    <n v="1"/>
    <n v="0"/>
    <n v="122645.45276000001"/>
    <n v="65164.677720000007"/>
    <n v="122645.45276000001"/>
  </r>
  <r>
    <s v="BOGOTA"/>
    <x v="5"/>
    <x v="6"/>
    <n v="11001"/>
    <s v="TA-25-1056911"/>
    <n v="81312"/>
    <s v="APERTURA"/>
    <s v="CB CRECIMIENTO ALIANZA - NUEVO"/>
    <s v="CUNDINAMARCA"/>
    <s v="BOGOTA"/>
    <s v="PTM BOGOTA DROGUERIA GRAN SALU"/>
    <s v="REDEBAN"/>
    <s v="FO-25-1468221"/>
    <d v="2025-09-03T00:00:00"/>
    <d v="2025-09-04T00:00:00"/>
    <s v="AGREGADOR"/>
    <s v="COMCARD - PTM"/>
    <s v="EJECUTADO"/>
    <s v="03-09  PROGRAMACIÓN REALIZADA POR LA ALIANZA 4/09/2025 SE REALIZA INSTALACIÓN DE CORRESPONSAL, SE INSTALAN EQUIPOS CON PRUEBAS EXITOSAS, SE CAPACITA Y SE EVALÚA AL CLIENTE, SE INSTALA PUBLICIDAD COMPLETA, CB QUEDA OPERATIVO. USUARIO SOMOS BANCOLOMBIA ACTIVO"/>
    <s v="VISITA_TÉCNICA"/>
    <s v="SMZZZ307"/>
    <s v="TIPO I"/>
    <s v="TERRESTRE"/>
    <s v="HERNANDEZ NARANJO OSCAR EDUARDO"/>
    <n v="1"/>
    <n v="0"/>
    <n v="122645.45276000001"/>
    <n v="65164.677720000007"/>
    <n v="122645.45276000001"/>
  </r>
  <r>
    <s v="MEDELLIN"/>
    <x v="4"/>
    <x v="5"/>
    <n v="5001"/>
    <s v="TA-25-1078766"/>
    <n v="81361"/>
    <s v="APERTURA"/>
    <s v="CB CRECIMIENTO ALIANZA - NUEVO"/>
    <s v="ANTIOQUIA"/>
    <s v="MEDELLIN"/>
    <s v="DISTRICOL ALUMIACEROS"/>
    <s v="REDEBAN"/>
    <s v="FO-25-1496124"/>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CLIENTE PIDE NO INSTALAR BASE YA QUE SE ENCUENTRA EN ADECUACIONES LOCATIVAS PERO SE DEJA"/>
    <s v="VISITA_TÉCNICA"/>
    <s v="VGZZZ801"/>
    <s v="TIPO I"/>
    <s v="TERRESTRE"/>
    <s v="CARDONA MOLINA BROLIN STIVEN"/>
    <n v="1"/>
    <n v="0"/>
    <n v="122645.45276000001"/>
    <n v="65164.677720000007"/>
    <n v="122645.45276000001"/>
  </r>
  <r>
    <s v="MEDELLIN"/>
    <x v="4"/>
    <x v="5"/>
    <n v="5321"/>
    <s v="TA-25-1078792"/>
    <n v="81357"/>
    <s v="APERTURA"/>
    <s v="CB CRECIMIENTO ALIANZA - NUEVO"/>
    <s v="ANTIOQUIA"/>
    <s v="GUATAPE"/>
    <s v="DISTRICOL AUTOSERVICIO JAIMITO"/>
    <s v="REDEBAN"/>
    <s v="FO-25-1496138"/>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02"/>
    <s v="TIPO II"/>
    <s v="TERRESTRE"/>
    <s v="PAREJA ECHAVARRIA JHON DAVID"/>
    <n v="1"/>
    <n v="0"/>
    <n v="122645.45276000001"/>
    <n v="65164.677720000007"/>
    <n v="122645.45276000001"/>
  </r>
  <r>
    <s v="MEDELLIN"/>
    <x v="4"/>
    <x v="5"/>
    <n v="5664"/>
    <s v="TA-25-1078807"/>
    <n v="81349"/>
    <s v="APERTURA"/>
    <s v="CB CRECIMIENTO ALIANZA - NUEVO"/>
    <s v="ANTIOQUIA"/>
    <s v="SAN PEDRO DE LOS MILAGROS"/>
    <s v="DISTRICOL  SOLUCIONES INTEGRAL"/>
    <s v="REDEBAN"/>
    <s v="FO-25-1496147"/>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NO SE REALIZA TRANSFERENCIA YA QUE NO HAY CUENTA PARA REALIZARLA"/>
    <s v="VISITA_TÉCNICA"/>
    <s v="VGZZZ803"/>
    <s v="TIPO II"/>
    <s v="TERRESTRE"/>
    <s v="PAREJA ECHAVARRIA JHON DAVID"/>
    <n v="1"/>
    <n v="0"/>
    <n v="122645.45276000001"/>
    <n v="65164.677720000007"/>
    <n v="122645.45276000001"/>
  </r>
  <r>
    <s v="MEDELLIN"/>
    <x v="4"/>
    <x v="5"/>
    <n v="5736"/>
    <s v="TA-25-1078817"/>
    <n v="81355"/>
    <s v="APERTURA"/>
    <s v="CB CRECIMIENTO ALIANZA - NUEVO"/>
    <s v="ANTIOQUIA"/>
    <s v="SEGOVIA"/>
    <s v="DISTRICOL JOSE27BOUTIQUE"/>
    <s v="REDEBAN"/>
    <s v="FO-25-1496158"/>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04"/>
    <s v="TIPO IV"/>
    <s v="TERRESTRE"/>
    <s v="BARRIENTOS HERNANDEZ CRISTIAN HORACIO"/>
    <n v="1"/>
    <n v="0"/>
    <n v="122645.45276000001"/>
    <n v="65164.677720000007"/>
    <n v="122645.45276000001"/>
  </r>
  <r>
    <s v="APARTADO"/>
    <x v="4"/>
    <x v="5"/>
    <n v="5837"/>
    <s v="TA-25-1078831"/>
    <n v="81350"/>
    <s v="APERTURA"/>
    <s v="CB CRECIMIENTO ALIANZA - NUEVO"/>
    <s v="ANTIOQUIA"/>
    <s v="TURBO"/>
    <s v="DISTRICOL ELECTRODOMESTICOS"/>
    <s v="REDEBAN"/>
    <s v="FO-25-1496168"/>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05"/>
    <s v="TIPO II"/>
    <s v="TERRESTRE"/>
    <s v="SALDARRIAGA MIRANDA SANTIAGO"/>
    <n v="1"/>
    <n v="0"/>
    <n v="122645.45276000001"/>
    <n v="65164.677720000007"/>
    <n v="122645.45276000001"/>
  </r>
  <r>
    <s v="VALLEDUPAR"/>
    <x v="1"/>
    <x v="2"/>
    <n v="20001"/>
    <s v="TA-25-1078847"/>
    <n v="81359"/>
    <s v="APERTURA"/>
    <s v="CB CRECIMIENTO ALIANZA - NUEVO"/>
    <s v="CESAR"/>
    <s v="VALLEDUPAR"/>
    <s v="DISTRICOLSOLUCIONSERVICIOSPLAY"/>
    <s v="REDEBAN"/>
    <s v="FO-25-1496179"/>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06"/>
    <s v="TIPO I"/>
    <s v="TERRESTRE"/>
    <s v="MAESTRE MENGUAL EDGAR ENRIQUE"/>
    <n v="1"/>
    <n v="0"/>
    <n v="122645.45276000001"/>
    <n v="65164.677720000007"/>
    <n v="122645.45276000001"/>
  </r>
  <r>
    <s v="MONTERIA"/>
    <x v="1"/>
    <x v="2"/>
    <n v="23555"/>
    <s v="TA-25-1078859"/>
    <n v="81363"/>
    <s v="APERTURA"/>
    <s v="CB CRECIMIENTO ALIANZA - NUEVO"/>
    <s v="CORDOBA"/>
    <s v="PLANETA RICA"/>
    <s v="DISTRICOL ISHATIENDAMULTIMARCA"/>
    <s v="REDEBAN"/>
    <s v="FO-25-1496188"/>
    <d v="2025-09-08T00:00:00"/>
    <d v="2025-09-10T00:00:00"/>
    <s v="AGREGADOR"/>
    <s v="DISTRICOL"/>
    <s v="EJECUTADO"/>
    <s v="08-09 PROGRAMACIÓN REALIZADA POR LA ALIANZA 10/09/2025 SE ESCALA EL SIGUIENTE CASO DE APERTURA CB 81363, DONDE SE LLEGA A SITIO, PERO NO CUENTA CON AVISO CON EL NOMBRE COMERCIAL, LA DIRECCION SI ES LA CORRECTA / DAMOS VB PARA LA APERTURA YA QUE SE EVIDENCIA QUE FUNCIONA UN LOCAL COMERCIAL. 10-09 SE REALIZA INSTALACIÓN DE CORRESPONSAL, SE INSTALAN EQUIPOS CON PRUEBAS EXITOSAS, SE CAPACITA Y SE EVALÚA AL CLIENTE, SE INSTALA PUBLICIDAD COMPLETA, CB QUEDA OPERATIVO. USUARIO SOMOS BANCOLOMBIA ACTIVO"/>
    <s v="VISITA_TÉCNICA"/>
    <s v="VGZZZ807"/>
    <s v="TIPO II"/>
    <s v="TERRESTRE"/>
    <s v="COGOLLO ROSSO CAMILO ANDRES"/>
    <n v="1"/>
    <n v="0"/>
    <n v="122645.45276000001"/>
    <n v="65164.677720000007"/>
    <n v="122645.45276000001"/>
  </r>
  <r>
    <s v="BOGOTA"/>
    <x v="5"/>
    <x v="6"/>
    <n v="25486"/>
    <s v="TA-25-1078867"/>
    <n v="81353"/>
    <s v="APERTURA"/>
    <s v="CB CRECIMIENTO ALIANZA - NUEVO"/>
    <s v="CUNDINAMARCA"/>
    <s v="NEMOCON"/>
    <s v="DISTRICOL NEMORED"/>
    <s v="REDEBAN"/>
    <s v="FO-25-1496196"/>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08"/>
    <s v="TIPO II"/>
    <s v="TERRESTRE"/>
    <s v="LOZADA ROJAS CHRISTIAN ANDRES"/>
    <n v="1"/>
    <n v="0"/>
    <n v="122645.45276000001"/>
    <n v="65164.677720000007"/>
    <n v="122645.45276000001"/>
  </r>
  <r>
    <s v="BOGOTA"/>
    <x v="5"/>
    <x v="6"/>
    <n v="25797"/>
    <s v="TA-25-1078883"/>
    <n v="81356"/>
    <s v="APERTURA"/>
    <s v="CB CRECIMIENTO ALIANZA - NUEVO"/>
    <s v="CUNDINAMARCA"/>
    <s v="TENA"/>
    <s v="DISTRICOL MILLANITO"/>
    <s v="REDEBAN"/>
    <s v="FO-25-1496212"/>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OLO SE REALIZA PRUEBA DE CONSULTA DE SALDO, NO HAY CUENTA PARA CONSIGNAR O RETIRAR"/>
    <s v="VISITA_TÉCNICA"/>
    <s v="VGZZZ809"/>
    <s v="TIPO II"/>
    <s v="TERRESTRE"/>
    <s v="BUSTOS MORA DIEGO MANUEL"/>
    <n v="1"/>
    <n v="0"/>
    <n v="122645.45276000001"/>
    <n v="65164.677720000007"/>
    <n v="122645.45276000001"/>
  </r>
  <r>
    <s v="PASTO"/>
    <x v="0"/>
    <x v="0"/>
    <n v="52001"/>
    <s v="TA-25-1078896"/>
    <n v="81354"/>
    <s v="APERTURA"/>
    <s v="CB CRECIMIENTO ALIANZA - NUEVO"/>
    <s v="NARIÑO"/>
    <s v="PASTO"/>
    <s v="DISTRICOL COLFARMA Y MINIMARK"/>
    <s v="REDEBAN"/>
    <s v="FO-25-1496224"/>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0"/>
    <s v="TIPO I"/>
    <s v="TERRESTRE"/>
    <s v="PAZ MARTINEZ RICHARD HUMBERTO"/>
    <n v="1"/>
    <n v="0"/>
    <n v="122645.45276000001"/>
    <n v="65164.677720000007"/>
    <n v="122645.45276000001"/>
  </r>
  <r>
    <s v="TUNJA"/>
    <x v="3"/>
    <x v="4"/>
    <n v="68861"/>
    <s v="TA-25-1078901"/>
    <n v="81360"/>
    <s v="APERTURA"/>
    <s v="CB CRECIMIENTO ALIANZA - NUEVO"/>
    <s v="SANTANDER"/>
    <s v="VELEZ"/>
    <s v="DISTRICOL SIGMA DISTRIBUCIONE"/>
    <s v="REDEBAN"/>
    <s v="FO-25-1496236"/>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1"/>
    <s v="TIPO II"/>
    <s v="TERRESTRE"/>
    <s v="GONZALEZ GONZALEZ MARIO ALBERTO"/>
    <n v="1"/>
    <n v="0"/>
    <n v="122645.45276000001"/>
    <n v="65164.677720000007"/>
    <n v="122645.45276000001"/>
  </r>
  <r>
    <s v="IBAGUE"/>
    <x v="2"/>
    <x v="3"/>
    <n v="73411"/>
    <s v="TA-25-1078902"/>
    <n v="81352"/>
    <s v="APERTURA"/>
    <s v="CB CRECIMIENTO ALIANZA - NUEVO"/>
    <s v="TOLIMA"/>
    <s v="LIBANO"/>
    <s v="DISTRICOL LUJOS AUTOS Y MOTOS"/>
    <s v="REDEBAN"/>
    <s v="FO-25-1496248"/>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12"/>
    <s v="TIPO III"/>
    <s v="TERRESTRE"/>
    <s v="GUTIERREZ  CAMILO ANDRES"/>
    <n v="1"/>
    <n v="0"/>
    <n v="122645.45276000001"/>
    <n v="65164.677720000007"/>
    <n v="122645.45276000001"/>
  </r>
  <r>
    <s v="PASTO"/>
    <x v="0"/>
    <x v="0"/>
    <n v="86573"/>
    <s v="TA-25-1078904"/>
    <n v="81351"/>
    <s v="APERTURA"/>
    <s v="CB CRECIMIENTO ALIANZA - NUEVO"/>
    <s v="PUTUMAYO"/>
    <s v="PUERTO LEGUIZAMO"/>
    <s v="DISTRICOL AFROELECTRICOS SOLAR"/>
    <s v="REDEBAN"/>
    <s v="FO-25-1496262"/>
    <d v="2025-09-08T00:00:00"/>
    <d v="2025-09-10T00:00:00"/>
    <s v="AGREGADOR"/>
    <s v="DISTRICOL"/>
    <s v="EJECUTADO"/>
    <s v="08-09 PROGRAMACIÓN REALIZADA POR LA ALIANZA 10/09/2025 SE REALIZA INSTALACIÓN DE CORRESPONSAL, SE INSTALAN EQUIPOS CON PRUEBAS EXITOSAS, SE CAPACITA Y SE EVALÚA AL CLIENTE, SE INSTALA PUBLICIDAD COMPLETA, CB QUEDA OPERATIVO. USUARIO SOMOS BANCOLOMBIA ACTIVO"/>
    <s v="VISITA_TÉCNICA"/>
    <s v="VGZZZ813"/>
    <s v="TIPO IV ESPECIAL"/>
    <s v="AEREO"/>
    <s v="GUERRERO RAMIREZ OSCAR DARIO"/>
    <n v="1"/>
    <n v="0"/>
    <n v="122645.45276000001"/>
    <n v="65164.677720000007"/>
    <n v="122645.45276000001"/>
  </r>
  <r>
    <s v="PASTO"/>
    <x v="0"/>
    <x v="0"/>
    <n v="86865"/>
    <s v="TA-25-1078907"/>
    <n v="81358"/>
    <s v="APERTURA"/>
    <s v="CB CRECIMIENTO ALIANZA - NUEVO"/>
    <s v="PUTUMAYO"/>
    <s v="VALLE DEL GUAMUEZ"/>
    <s v="DISTRICOL LA ECONOMIA AYS"/>
    <s v="REDEBAN"/>
    <s v="FO-25-1496272"/>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4"/>
    <s v="TIPO IV"/>
    <s v="TERRESTRE"/>
    <s v="GUERRERO RAMIREZ OSCAR DARIO"/>
    <n v="1"/>
    <n v="0"/>
    <n v="122645.45276000001"/>
    <n v="65164.677720000007"/>
    <n v="122645.45276000001"/>
  </r>
  <r>
    <s v="APARTADO"/>
    <x v="4"/>
    <x v="5"/>
    <n v="5045"/>
    <s v="TA-25-1078910"/>
    <n v="81348"/>
    <s v="APERTURA"/>
    <s v="CB CRECIMIENTO ALIANZA - NUEVO"/>
    <s v="ANTIOQUIA"/>
    <s v="APARTADO"/>
    <s v="DISTRICOL APARTABURGUER"/>
    <s v="REDEBAN"/>
    <s v="FO-25-1496280"/>
    <d v="2025-09-08T00:00:00"/>
    <d v="2025-09-09T00:00:00"/>
    <s v="AGREGADOR"/>
    <s v="DISTRICOL"/>
    <s v="EJECUTADO"/>
    <s v="08-09 PROGRAMACIÓN REALIZADA POR LA ALIANZA 9/09/2025 SE REALIZA INSTALACIÓN DE CORRESPONSAL, SE INSTALAN EQUIPOS CON PRUEBAS EXITOSAS, SE CAPACITA Y SE EVALÚA AL CLIENTE, SE INSTALA PUBLICIDAD COMPLETA, CB QUEDA OPERATIVO. USUARIO SOMOS BANCOLOMBIA ACTIVO"/>
    <s v="VISITA_TÉCNICA"/>
    <s v="VGZZZ815"/>
    <s v="TIPO I"/>
    <s v="TERRESTRE"/>
    <s v="CASTRO HENAO DANIEL ESTEBAN"/>
    <n v="1"/>
    <n v="0"/>
    <n v="122645.45276000001"/>
    <n v="65164.677720000007"/>
    <n v="122645.45276000001"/>
  </r>
  <r>
    <s v="MEDELLIN"/>
    <x v="4"/>
    <x v="5"/>
    <n v="5001"/>
    <s v="TA-25-1099857"/>
    <n v="81488"/>
    <s v="APERTURA"/>
    <s v="CB CRECIMIENTO ALIANZA - NUEVO"/>
    <s v="ANTIOQUIA"/>
    <s v="MEDELLIN"/>
    <s v="PTM MEDELLIN REALFARMA FARMACI"/>
    <s v="REDEBAN"/>
    <s v="FO-25-152043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09"/>
    <s v="TIPO I"/>
    <s v="TERRESTRE"/>
    <s v="CARDONA MOLINA BROLIN STIVEN"/>
    <n v="1"/>
    <n v="0"/>
    <n v="122645.45276000001"/>
    <n v="65164.677720000007"/>
    <n v="122645.45276000001"/>
  </r>
  <r>
    <s v="MEDELLIN"/>
    <x v="4"/>
    <x v="5"/>
    <n v="5001"/>
    <s v="TA-25-1099862"/>
    <n v="81489"/>
    <s v="APERTURA"/>
    <s v="CB CRECIMIENTO ALIANZA - NUEVO"/>
    <s v="ANTIOQUIA"/>
    <s v="MEDELLIN"/>
    <s v="PTM MEDELLIN  TIENDA EL PRIMO"/>
    <s v="REDEBAN"/>
    <s v="FO-25-152044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0"/>
    <s v="TIPO I"/>
    <s v="TERRESTRE"/>
    <s v="CARDONA MOLINA BROLIN STIVEN"/>
    <n v="1"/>
    <n v="0"/>
    <n v="122645.45276000001"/>
    <n v="65164.677720000007"/>
    <n v="122645.45276000001"/>
  </r>
  <r>
    <s v="MEDELLIN"/>
    <x v="4"/>
    <x v="5"/>
    <n v="5088"/>
    <s v="TA-25-1099871"/>
    <n v="81486"/>
    <s v="APERTURA"/>
    <s v="CB CRECIMIENTO ALIANZA - NUEVO"/>
    <s v="ANTIOQUIA"/>
    <s v="BELLO"/>
    <s v="PTM BELLO PARIS TIENDA DE BELL"/>
    <s v="REDEBAN"/>
    <s v="FO-25-1520454"/>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1"/>
    <s v="TIPO I"/>
    <s v="TERRESTRE"/>
    <s v="ZAPATA LOPEZ EDWARD ASDRUBAL"/>
    <n v="1"/>
    <n v="0"/>
    <n v="122645.45276000001"/>
    <n v="65164.677720000007"/>
    <n v="122645.45276000001"/>
  </r>
  <r>
    <s v="MEDELLIN"/>
    <x v="4"/>
    <x v="5"/>
    <n v="5360"/>
    <s v="TA-25-1099874"/>
    <n v="81470"/>
    <s v="APERTURA"/>
    <s v="CB CRECIMIENTO ALIANZA - NUEVO"/>
    <s v="ANTIOQUIA"/>
    <s v="ITAGUI"/>
    <s v="PTM ITAGUI MERCADOS MEDUSA"/>
    <s v="REDEBAN"/>
    <s v="FO-25-1520462"/>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2"/>
    <s v="TIPO I"/>
    <s v="TERRESTRE"/>
    <s v="QUINTERO SANCHEZ JUAN SEBASTIAN"/>
    <n v="1"/>
    <n v="0"/>
    <n v="122645.45276000001"/>
    <n v="65164.677720000007"/>
    <n v="122645.45276000001"/>
  </r>
  <r>
    <s v="MEDELLIN"/>
    <x v="4"/>
    <x v="5"/>
    <n v="5360"/>
    <s v="TA-25-1099876"/>
    <n v="81471"/>
    <s v="APERTURA"/>
    <s v="CB CRECIMIENTO ALIANZA - NUEVO"/>
    <s v="ANTIOQUIA"/>
    <s v="ITAGUI"/>
    <s v="PTM ITAGUI PAPELERIA AGAPE SAN"/>
    <s v="REDEBAN"/>
    <s v="FO-25-152046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3"/>
    <s v="TIPO I"/>
    <s v="TERRESTRE"/>
    <s v="QUINTERO SANCHEZ JUAN SEBASTIAN"/>
    <n v="1"/>
    <n v="0"/>
    <n v="122645.45276000001"/>
    <n v="65164.677720000007"/>
    <n v="122645.45276000001"/>
  </r>
  <r>
    <s v="CARTAGENA"/>
    <x v="1"/>
    <x v="2"/>
    <n v="13001"/>
    <s v="TA-25-1099877"/>
    <n v="81468"/>
    <s v="APERTURA"/>
    <s v="CB CRECIMIENTO ALIANZA - NUEVO"/>
    <s v="BOLIVAR"/>
    <s v="CARTAGENA"/>
    <s v="PTM CARTAGENA REYNET CARTAGENA"/>
    <s v="REDEBAN"/>
    <s v="FO-25-1520469"/>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15"/>
    <s v="TIPO I"/>
    <s v="TERRESTRE"/>
    <s v="CANEDO HERRERA ALEXANDER"/>
    <n v="1"/>
    <n v="0"/>
    <n v="122645.45276000001"/>
    <n v="65164.677720000007"/>
    <n v="122645.45276000001"/>
  </r>
  <r>
    <s v="CALI"/>
    <x v="0"/>
    <x v="0"/>
    <n v="19001"/>
    <s v="TA-25-1099879"/>
    <n v="81483"/>
    <s v="APERTURA"/>
    <s v="CB CRECIMIENTO ALIANZA - NUEVO"/>
    <s v="CAUCA"/>
    <s v="POPAYAN"/>
    <s v="PTM POPAYAN TIENDA Y PAPELERIA"/>
    <s v="REDEBAN"/>
    <s v="FO-25-1520473"/>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17"/>
    <s v="TIPO III"/>
    <s v="TERRESTRE"/>
    <s v="GIMBUEL LASSO LUIS GERMAN"/>
    <n v="1"/>
    <n v="0"/>
    <n v="122645.45276000001"/>
    <n v="65164.677720000007"/>
    <n v="122645.45276000001"/>
  </r>
  <r>
    <s v="BOGOTA"/>
    <x v="5"/>
    <x v="6"/>
    <n v="25214"/>
    <s v="TA-25-1099880"/>
    <n v="81472"/>
    <s v="APERTURA"/>
    <s v="CB CRECIMIENTO ALIANZA - NUEVO"/>
    <s v="CUNDINAMARCA"/>
    <s v="COTA"/>
    <s v="PTM COTA ROBERT YAN CASTIBLANC"/>
    <s v="REDEBAN"/>
    <s v="FO-25-152047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19"/>
    <s v="TIPO II"/>
    <s v="TERRESTRE"/>
    <s v="BUSTOS MORA DIEGO MANUEL"/>
    <n v="1"/>
    <n v="0"/>
    <n v="122645.45276000001"/>
    <n v="65164.677720000007"/>
    <n v="122645.45276000001"/>
  </r>
  <r>
    <s v="BOGOTA"/>
    <x v="5"/>
    <x v="6"/>
    <n v="25473"/>
    <s v="TA-25-1099882"/>
    <n v="81478"/>
    <s v="APERTURA"/>
    <s v="CB CRECIMIENTO ALIANZA - NUEVO"/>
    <s v="CUNDINAMARCA"/>
    <s v="MOSQUERA"/>
    <s v="PTM MOSQUERA JOYA VERSATIL"/>
    <s v="REDEBAN"/>
    <s v="FO-25-1520479"/>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0"/>
    <s v="TIPO I"/>
    <s v="TERRESTRE"/>
    <s v="HERNANDEZ NARANJO OSCAR EDUARDO"/>
    <n v="1"/>
    <n v="0"/>
    <n v="122645.45276000001"/>
    <n v="65164.677720000007"/>
    <n v="122645.45276000001"/>
  </r>
  <r>
    <s v="SANTA MARTA"/>
    <x v="1"/>
    <x v="2"/>
    <n v="44430"/>
    <s v="TA-25-1099886"/>
    <n v="81477"/>
    <s v="APERTURA"/>
    <s v="CB CRECIMIENTO ALIANZA - NUEVO"/>
    <s v="LA GUAJIRA"/>
    <s v="MAICAO"/>
    <s v="PTM MAICAO TIENDA PUERTO ESTRE"/>
    <s v="REDEBAN"/>
    <s v="FO-25-1520488"/>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21"/>
    <s v="TIPO IV"/>
    <s v="TERRESTRE"/>
    <s v="THOMAS  CAMPO SIGIFREDO SEGUNDO"/>
    <n v="1"/>
    <n v="0"/>
    <n v="122645.45276000001"/>
    <n v="65164.677720000007"/>
    <n v="122645.45276000001"/>
  </r>
  <r>
    <s v="PASTO"/>
    <x v="0"/>
    <x v="0"/>
    <n v="52001"/>
    <s v="TA-25-1099890"/>
    <n v="81479"/>
    <s v="APERTURA"/>
    <s v="CB CRECIMIENTO ALIANZA - NUEVO"/>
    <s v="NARIÑO"/>
    <s v="PASTO"/>
    <s v="PTM TAMASAGRA II DROGUERIA GAL"/>
    <s v="REDEBAN"/>
    <s v="FO-25-1520493"/>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2"/>
    <s v="TIPO I"/>
    <s v="TERRESTRE"/>
    <s v="CASTILLO HERRERA ALEX RICARDO"/>
    <n v="1"/>
    <n v="0"/>
    <n v="122645.45276000001"/>
    <n v="65164.677720000007"/>
    <n v="122645.45276000001"/>
  </r>
  <r>
    <s v="CUCUTA"/>
    <x v="3"/>
    <x v="4"/>
    <n v="54001"/>
    <s v="TA-25-1099893"/>
    <n v="81473"/>
    <s v="APERTURA"/>
    <s v="CB CRECIMIENTO ALIANZA - NUEVO"/>
    <s v="NORTE DE SANTANDER"/>
    <s v="CUCUTA"/>
    <s v="PTM CUCUTA TIENDA MIXTA AILINE"/>
    <s v="REDEBAN"/>
    <s v="FO-25-1520498"/>
    <d v="2025-09-12T00:00:00"/>
    <d v="2025-09-16T00:00:00"/>
    <s v="AGREGADOR"/>
    <s v="COMCARD - PTM"/>
    <s v="EJECUTADO"/>
    <s v="12-09 PROGRAMACIÓN REALIZADA POR LA ALIANZA 15-09 SE CONTACTA TELEFÓNICAMENTE AL CLIENTE, LA SEÑORA AIDE ROMERO ME INFORMA QUE TUVO QUE SALIR Y NO PUEDE ATENDER LA INSTALACIÓN, SOLICITA QUE SE REAGENDE LA VISITA PARA EL DÍA DE MAÑANA 16/09 A LAS 9AM 16-09 SE REALIZA INSTALACIÓN DE CORRESPONSAL, SE INSTALAN EQUIPOS CON PRUEBAS EXITOSAS, SE CAPACITA Y SE EVALÚA AL CLIENTE, SE INSTALA PUBLICIDAD COMPLETA, CB QUEDA OPERATIVO. USUARIO SOMOS BANCOLOMBIA ACTIVO"/>
    <s v="VISITA_TÉCNICA"/>
    <s v="VJZZZ923"/>
    <s v="TIPO I"/>
    <s v="TERRESTRE"/>
    <s v="NARANJO AFANADOR RUBEN JESUS"/>
    <n v="1"/>
    <n v="0"/>
    <n v="122645.45276000001"/>
    <n v="65164.677720000007"/>
    <n v="122645.45276000001"/>
  </r>
  <r>
    <s v="CUCUTA"/>
    <x v="3"/>
    <x v="4"/>
    <n v="54001"/>
    <s v="TA-25-1099896"/>
    <n v="81474"/>
    <s v="APERTURA"/>
    <s v="CB CRECIMIENTO ALIANZA - NUEVO"/>
    <s v="NORTE DE SANTANDER"/>
    <s v="CUCUTA"/>
    <s v="PTM CUCUTA DROGUERIA NORFARSAL"/>
    <s v="REDEBAN"/>
    <s v="FO-25-1520504"/>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4"/>
    <s v="TIPO I"/>
    <s v="TERRESTRE"/>
    <s v="NARANJO AFANADOR RUBEN JESUS"/>
    <n v="1"/>
    <n v="0"/>
    <n v="122645.45276000001"/>
    <n v="65164.677720000007"/>
    <n v="122645.45276000001"/>
  </r>
  <r>
    <s v="CUCUTA"/>
    <x v="3"/>
    <x v="4"/>
    <n v="54800"/>
    <s v="TA-25-1099903"/>
    <n v="81484"/>
    <s v="APERTURA"/>
    <s v="CB CRECIMIENTO ALIANZA - NUEVO"/>
    <s v="NORTE DE SANTANDER"/>
    <s v="TEORAMA"/>
    <s v="PTM VDA SAN PABLO TEORAMA IDEA"/>
    <s v="REDEBAN"/>
    <s v="FO-25-1520516"/>
    <d v="2025-09-12T00:00:00"/>
    <d v="2025-09-24T00:00:00"/>
    <s v="AGREGADOR"/>
    <s v="COMCARD - PTM"/>
    <s v="EJECUTADO"/>
    <s v="12-09 PROGRAMACIÓN REALIZADA POR LA ALIANZA 16-09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 SE DEJA CONSTANCIA DE QUE EL MUNICIPIO DE TEORAMA HACE PARTE DE LA REGIÓN DEL CATATUMBO, ZONA QUE ACTUALMENTE PRESENTA CONFLICTOS CON GRUPOS AL MARGEN DE LA LEY. SE ESCALA ESTA NOVEDAD CON EL FIN DE BUSCAR UNA SOLUCIÓN QUE GARANTICE LA SEGURIDAD E INTEGRIDAD DEL PERSONAL TÉCNICO, ASÍ COMO LA ADECUADA IMPLEMENTACIÓN DE ESTE NUEVO PUNTO 22/09/2025 AUTORIZAN LA ENTREGA DE LOS EQUIPOS Y PUBLICDAD EN OCAÑA: POR FAVOR PROCEDER CON LA ENTREGA DE LOS EQUIPOS Y DE LA PUBLICIDAD SEGÚN LO INDICADO. ES IMPORTANTE TENER EN CUENTA QUE, AL MOMENTO DE REALIZAR LA ENTREGA AL CB, SE DEBE BLOQUEAR EL PUNTO CORRESPONDIENTE. ASIMISMO, LAS COORDENADAS DEBEN TOMARSE DIRECTAMENTE EN EL ESTABLECIMIENTO DEL CB, AL IGUAL QUE EL CIERRE DE LA ACTIVIDAD. 23/09/2025 POR MEDIO DEL PRESENTE, SE CONFIRMA LA ENTREGA DE LOS EQUIPOS DE PUBLICIDAD Y LA CAPACITACIÓN EXITOSA DEL PERSONAL CORRESPONDIENTE. SOLICITAMOS, POR FAVOR, EL BLOQUEO DE LA TERMINAL VJZZZ925. 24/09/2025 SE REALIZA INSTALACIÓN DE CORRESPONSAL, SE INSTALAN EQUIPOS CON PRUEBAS EXITOSAS, SE CAPACITA Y SE EVALÚA AL CLIENTE, SE INSTALA PUBLICIDAD COMPLETA, CB QUEDA OPERATIVO. USUARIO SOMOS BANCOLOMBIA ACTIVO. SE DOCUMENTAN COORDENADAS ENVIADAS POR EL USUARIO"/>
    <s v="VISITA_TÉCNICA"/>
    <s v="VJZZZ925"/>
    <s v="TIPO IV"/>
    <s v="TERRESTRE"/>
    <s v="TORRES MANTILLA JOSE DANIEL"/>
    <n v="1"/>
    <n v="0"/>
    <n v="122645.45276000001"/>
    <n v="65164.677720000007"/>
    <n v="122645.45276000001"/>
  </r>
  <r>
    <s v="PEREIRA"/>
    <x v="0"/>
    <x v="1"/>
    <n v="63001"/>
    <s v="TA-25-1099912"/>
    <n v="81461"/>
    <s v="APERTURA"/>
    <s v="CB CRECIMIENTO ALIANZA - NUEVO"/>
    <s v="QUINDIO"/>
    <s v="ARMENIA"/>
    <s v="PTM ARMENIA PAPELERIA  SAMY TM"/>
    <s v="REDEBAN"/>
    <s v="FO-25-1520524"/>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6"/>
    <s v="TIPO II"/>
    <s v="TERRESTRE"/>
    <s v="SANCHEZ SOLORZANO JUAN SEBASTIAN"/>
    <n v="1"/>
    <n v="0"/>
    <n v="122645.45276000001"/>
    <n v="65164.677720000007"/>
    <n v="122645.45276000001"/>
  </r>
  <r>
    <s v="BUCARAMANGA"/>
    <x v="3"/>
    <x v="4"/>
    <n v="68001"/>
    <s v="TA-25-1099913"/>
    <n v="81466"/>
    <s v="APERTURA"/>
    <s v="CB CRECIMIENTO ALIANZA - NUEVO"/>
    <s v="SANTANDER"/>
    <s v="BUCARAMANGA"/>
    <s v="PTM BUCARAMANGA AUTOSERVICIO M"/>
    <s v="REDEBAN"/>
    <s v="FO-25-1520527"/>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7"/>
    <s v="TIPO I"/>
    <s v="TERRESTRE"/>
    <s v="GELVEZ MOGOLLON JOSE ELISEO"/>
    <n v="1"/>
    <n v="0"/>
    <n v="122645.45276000001"/>
    <n v="65164.677720000007"/>
    <n v="122645.45276000001"/>
  </r>
  <r>
    <s v="BUCARAMANGA"/>
    <x v="3"/>
    <x v="4"/>
    <n v="68547"/>
    <s v="TA-25-1099915"/>
    <n v="81481"/>
    <s v="APERTURA"/>
    <s v="CB CRECIMIENTO ALIANZA - NUEVO"/>
    <s v="SANTANDER"/>
    <s v="PIEDECUESTA"/>
    <s v="PTM PIEDECUESTA MICROMERCADO Y"/>
    <s v="REDEBAN"/>
    <s v="FO-25-1520532"/>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28"/>
    <s v="TIPO II"/>
    <s v="TERRESTRE"/>
    <s v="PEÑA DIAZ IVAN YESID"/>
    <n v="1"/>
    <n v="0"/>
    <n v="122645.45276000001"/>
    <n v="65164.677720000007"/>
    <n v="122645.45276000001"/>
  </r>
  <r>
    <s v="BUCARAMANGA"/>
    <x v="3"/>
    <x v="4"/>
    <n v="68872"/>
    <s v="TA-25-1099917"/>
    <n v="81487"/>
    <s v="APERTURA"/>
    <s v="CB CRECIMIENTO ALIANZA - NUEVO"/>
    <s v="SANTANDER"/>
    <s v="VILLANUEVA"/>
    <s v="PTM VILLANUEVA BENYI STORE"/>
    <s v="REDEBAN"/>
    <s v="FO-25-1520536"/>
    <d v="2025-09-12T00:00:00"/>
    <d v="2025-09-17T00:00:00"/>
    <s v="AGREGADOR"/>
    <s v="COMCARD - PTM"/>
    <s v="EJECUTADO"/>
    <s v="12-09 PROGRAMACIÓN REALIZADA POR LA ALIANZA 16-09 EN COMUNICACIÓN CON EL SEÑOR ANDRES AL. MOVIL 3108839586, SE CONFIRMA DISPONIBILIDAD DE ATENCIÓN DEL CLIENTE PARA EL DÍA DE MAÑANA MIÉRCOLES 17 DE SEPTIEMBRE DESPUÉS DE LAS 8AM. 17/09/2025 SE REALIZA INSTALACIÓN DE CORRESPONSAL, SE INSTALAN EQUIPOS CON PRUEBAS EXITOSAS, SE CAPACITA Y SE EVALÚA AL CLIENTE, SE INSTALA PUBLICIDAD COMPLETA, CB QUEDA OPERATIVO. USUARIO SOMOS BANCOLOMBIA ACTIVO"/>
    <s v="VISITA_TÉCNICA"/>
    <s v="VJZZZ929"/>
    <s v="TIPO III"/>
    <s v="TERRESTRE"/>
    <s v="SANTOS GONZALEZ JOHAN FABIAN"/>
    <n v="1"/>
    <n v="0"/>
    <n v="122645.45276000001"/>
    <n v="65164.677720000007"/>
    <n v="122645.45276000001"/>
  </r>
  <r>
    <s v="IBAGUE"/>
    <x v="2"/>
    <x v="3"/>
    <n v="73001"/>
    <s v="TA-25-1099927"/>
    <n v="81475"/>
    <s v="APERTURA"/>
    <s v="CB CRECIMIENTO ALIANZA - NUEVO"/>
    <s v="TOLIMA"/>
    <s v="IBAGUE"/>
    <s v="PTM IBAGUE ZIBA"/>
    <s v="REDEBAN"/>
    <s v="FO-25-1520545"/>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E INSTALA AVISO EXTERIOR SIN MARCO DE ALUMINIO EN LA APERTURA DEL CB 81475, PUESTO QUE LA FACHADA DEL COMERCIO ES EN VIDRIO AUTORIZADO POR REDEBAN."/>
    <s v="VISITA_TÉCNICA"/>
    <s v="VJZZZ930"/>
    <s v="TIPO I"/>
    <s v="TERRESTRE"/>
    <s v="VARGAS HERRERA JHON JAIRO"/>
    <n v="1"/>
    <n v="0"/>
    <n v="122645.45276000001"/>
    <n v="65164.677720000007"/>
    <n v="122645.45276000001"/>
  </r>
  <r>
    <s v="CALI"/>
    <x v="0"/>
    <x v="0"/>
    <n v="76109"/>
    <s v="TA-25-1099933"/>
    <n v="81467"/>
    <s v="APERTURA"/>
    <s v="CB CRECIMIENTO ALIANZA - NUEVO"/>
    <s v="VALLE DEL CAUCA"/>
    <s v="BUENAVENTURA"/>
    <s v="PTM BUENAVENTURA AUTOSERVICIO"/>
    <s v="REDEBAN"/>
    <s v="FO-25-1520552"/>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1"/>
    <s v="TIPO III"/>
    <s v="TERRESTRE"/>
    <s v="HERRERA MONAR GEOVANNY"/>
    <n v="1"/>
    <n v="0"/>
    <n v="122645.45276000001"/>
    <n v="65164.677720000007"/>
    <n v="122645.45276000001"/>
  </r>
  <r>
    <s v="CALI"/>
    <x v="0"/>
    <x v="0"/>
    <n v="76364"/>
    <s v="TA-25-1099934"/>
    <n v="81476"/>
    <s v="APERTURA"/>
    <s v="CB CRECIMIENTO ALIANZA - NUEVO"/>
    <s v="VALLE DEL CAUCA"/>
    <s v="JAMUNDI"/>
    <s v="PTM JAMUNDI TIENDA Y PAPELERIA"/>
    <s v="REDEBAN"/>
    <s v="FO-25-1520555"/>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32"/>
    <s v="TIPO II"/>
    <s v="TERRESTRE"/>
    <s v="TORRES GARCIA JENDRY JOSE"/>
    <n v="1"/>
    <n v="0"/>
    <n v="122645.45276000001"/>
    <n v="65164.677720000007"/>
    <n v="122645.45276000001"/>
  </r>
  <r>
    <s v="CALI"/>
    <x v="0"/>
    <x v="0"/>
    <n v="76834"/>
    <s v="TA-25-1099936"/>
    <n v="81485"/>
    <s v="APERTURA"/>
    <s v="CB CRECIMIENTO ALIANZA - NUEVO"/>
    <s v="VALLE DEL CAUCA"/>
    <s v="TULUA"/>
    <s v="PTM TULUA RAPITIENDA LA 32"/>
    <s v="REDEBAN"/>
    <s v="FO-25-1520560"/>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33"/>
    <s v="TIPO II"/>
    <s v="TERRESTRE"/>
    <s v="PAREDES CASTILLO DIEGO"/>
    <n v="1"/>
    <n v="0"/>
    <n v="122645.45276000001"/>
    <n v="65164.677720000007"/>
    <n v="122645.45276000001"/>
  </r>
  <r>
    <s v="CALI"/>
    <x v="0"/>
    <x v="0"/>
    <n v="76892"/>
    <s v="TA-25-1099944"/>
    <n v="81490"/>
    <s v="APERTURA"/>
    <s v="CB CRECIMIENTO ALIANZA - NUEVO"/>
    <s v="VALLE DEL CAUCA"/>
    <s v="YUMBO"/>
    <s v="PTM YUMBO  ESTACIÓN DE SERVICI"/>
    <s v="REDEBAN"/>
    <s v="FO-25-1520568"/>
    <d v="2025-09-12T00:00:00"/>
    <d v="2025-09-15T00:00:00"/>
    <s v="AGREGADOR"/>
    <s v="COMCARD - PTM"/>
    <s v="EJECUTADO"/>
    <s v="12-09 PROGRAMACIÓN REALIZADA POR LA ALIANZA 15/09/2025 SE REALIZA INSTALACIÓN DE CORRESPONSAL, SE INSTALAN EQUIPOS CON PRUEBAS EXITOSAS, SE CAPACITA Y SE EVALÚA AL CLIENTE, SE INSTALA PUBLICIDAD COMPLETA, CB QUEDA OPERATIVO. USUARIO SOMOS BANCOLOMBIA ACTIVO"/>
    <s v="VISITA_TÉCNICA"/>
    <s v="VJZZZ934"/>
    <s v="TIPO I"/>
    <s v="TERRESTRE"/>
    <s v="HERRERA MONAR GEOVANNY"/>
    <n v="1"/>
    <n v="0"/>
    <n v="122645.45276000001"/>
    <n v="65164.677720000007"/>
    <n v="122645.45276000001"/>
  </r>
  <r>
    <s v="BOGOTA"/>
    <x v="5"/>
    <x v="6"/>
    <n v="11001"/>
    <s v="TA-25-1099954"/>
    <n v="81462"/>
    <s v="APERTURA"/>
    <s v="CB CRECIMIENTO ALIANZA - NUEVO"/>
    <s v="CUNDINAMARCA"/>
    <s v="BOGOTA"/>
    <s v="PTM BOGOTA DROGUERIA TIBABUYES"/>
    <s v="REDEBAN"/>
    <s v="FO-25-1520576"/>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5"/>
    <s v="TIPO I"/>
    <s v="TERRESTRE"/>
    <s v="MURCIA HERNANDEZ HARVEY IGNACIO"/>
    <n v="1"/>
    <n v="0"/>
    <n v="122645.45276000001"/>
    <n v="65164.677720000007"/>
    <n v="122645.45276000001"/>
  </r>
  <r>
    <s v="BOGOTA"/>
    <x v="5"/>
    <x v="6"/>
    <n v="11001"/>
    <s v="TA-25-1099955"/>
    <n v="81463"/>
    <s v="APERTURA"/>
    <s v="CB CRECIMIENTO ALIANZA - NUEVO"/>
    <s v="CUNDINAMARCA"/>
    <s v="BOGOTA"/>
    <s v="PTM BOGOTA PAPELERIA LIAM +"/>
    <s v="REDEBAN"/>
    <s v="FO-25-1520579"/>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6"/>
    <s v="TIPO I"/>
    <s v="TERRESTRE"/>
    <s v="LOZADA ROJAS CHRISTIAN ANDRES"/>
    <n v="1"/>
    <n v="0"/>
    <n v="122645.45276000001"/>
    <n v="65164.677720000007"/>
    <n v="122645.45276000001"/>
  </r>
  <r>
    <s v="BOGOTA"/>
    <x v="5"/>
    <x v="6"/>
    <n v="11001"/>
    <s v="TA-25-1099956"/>
    <n v="81464"/>
    <s v="APERTURA"/>
    <s v="CB CRECIMIENTO ALIANZA - NUEVO"/>
    <s v="CUNDINAMARCA"/>
    <s v="BOGOTA"/>
    <s v="PTM BOGOTA DISTRIBUIDORA DE CO"/>
    <s v="REDEBAN"/>
    <s v="FO-25-1520583"/>
    <d v="2025-09-12T00:00:00"/>
    <d v="2025-09-16T00:00:00"/>
    <s v="AGREGADOR"/>
    <s v="COMCARD - PTM"/>
    <s v="EJECUTADO"/>
    <s v="12-09 PROGRAMACIÓN REALIZADA POR LA ALIANZA 16/09/2025 SE REALIZA INSTALACIÓN DE CORRESPONSAL, SE INSTALAN EQUIPOS CON PRUEBAS EXITOSAS, SE CAPACITA Y SE EVALÚA AL CLIENTE, SE INSTALA PUBLICIDAD COMPLETA, CB QUEDA OPERATIVO. USUARIO SOMOS BANCOLOMBIA ACTIVO"/>
    <s v="VISITA_TÉCNICA"/>
    <s v="VJZZZ938"/>
    <s v="TIPO I"/>
    <s v="TERRESTRE"/>
    <s v="GALINDO ROJAS LUIS FELIPE"/>
    <n v="1"/>
    <n v="0"/>
    <n v="122645.45276000001"/>
    <n v="65164.677720000007"/>
    <n v="122645.45276000001"/>
  </r>
  <r>
    <s v="MEDELLIN"/>
    <x v="4"/>
    <x v="5"/>
    <n v="5264"/>
    <s v="TA-25-1117892"/>
    <n v="81500"/>
    <s v="APERTURA"/>
    <s v="CB CRECIMIENTO ALIANZA - NUEVO"/>
    <s v="ANTIOQUIA"/>
    <s v="ENTRERRIOS"/>
    <s v="DISTRICOL  AMERICA  STORE AG"/>
    <s v="REDEBAN"/>
    <s v="FO-25-1543476"/>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3"/>
    <s v="TIPO II"/>
    <s v="TERRESTRE"/>
    <s v="BADEL ACUÑA LUIS ALBERTO"/>
    <n v="1"/>
    <n v="0"/>
    <n v="122645.45276000001"/>
    <n v="65164.677720000007"/>
    <n v="122645.45276000001"/>
  </r>
  <r>
    <s v="MEDELLIN"/>
    <x v="4"/>
    <x v="5"/>
    <n v="5440"/>
    <s v="TA-25-1117894"/>
    <n v="81516"/>
    <s v="APERTURA"/>
    <s v="CB CRECIMIENTO ALIANZA - NUEVO"/>
    <s v="ANTIOQUIA"/>
    <s v="MARINILLA"/>
    <s v="DISTRICOL SCENTI SOLUCIONES"/>
    <s v="REDEBAN"/>
    <s v="FO-25-1543480"/>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4"/>
    <s v="TIPO II"/>
    <s v="TERRESTRE"/>
    <s v="ALVAREZ ARENAS VICTOR HUGO"/>
    <n v="1"/>
    <n v="0"/>
    <n v="122645.45276000001"/>
    <n v="65164.677720000007"/>
    <n v="122645.45276000001"/>
  </r>
  <r>
    <s v="MEDELLIN"/>
    <x v="4"/>
    <x v="5"/>
    <n v="5736"/>
    <s v="TA-25-1117895"/>
    <n v="81506"/>
    <s v="APERTURA"/>
    <s v="CB CRECIMIENTO ALIANZA - NUEVO"/>
    <s v="ANTIOQUIA"/>
    <s v="SEGOVIA"/>
    <s v="DISTRICOL DROGUERIA SANTANDER"/>
    <s v="REDEBAN"/>
    <s v="FO-25-1543483"/>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5"/>
    <s v="TIPO IV"/>
    <s v="TERRESTRE"/>
    <s v="BARRIENTOS HERNANDEZ CRISTIAN HORACIO"/>
    <n v="1"/>
    <n v="0"/>
    <n v="122645.45276000001"/>
    <n v="65164.677720000007"/>
    <n v="122645.45276000001"/>
  </r>
  <r>
    <s v="MEDELLIN"/>
    <x v="4"/>
    <x v="5"/>
    <n v="5736"/>
    <s v="TA-25-1118169"/>
    <n v="81505"/>
    <s v="APERTURA"/>
    <s v="CB CRECIMIENTO ALIANZA - NUEVO"/>
    <s v="ANTIOQUIA"/>
    <s v="SEGOVIA"/>
    <s v="DISTRICOL TECNOLOGIA NEXUS"/>
    <s v="REDEBAN"/>
    <s v="FO-25-1543625"/>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76"/>
    <s v="TIPO IV"/>
    <s v="TERRESTRE"/>
    <s v="BARRIENTOS HERNANDEZ CRISTIAN HORACIO"/>
    <n v="1"/>
    <n v="0"/>
    <n v="122645.45276000001"/>
    <n v="65164.677720000007"/>
    <n v="122645.45276000001"/>
  </r>
  <r>
    <s v="MONTERIA"/>
    <x v="1"/>
    <x v="2"/>
    <n v="5895"/>
    <s v="TA-25-1117901"/>
    <n v="81513"/>
    <s v="APERTURA"/>
    <s v="CB CRECIMIENTO ALIANZA - NUEVO"/>
    <s v="ANTIOQUIA"/>
    <s v="ZARAGOZA"/>
    <s v="DISTRICOL INNOVATECH Z"/>
    <s v="REDEBAN"/>
    <s v="FO-25-1543503"/>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78"/>
    <s v="TIPO IV"/>
    <s v="TERRESTRE"/>
    <s v="COGOLLO ROSSO CAMILO ANDRES"/>
    <n v="1"/>
    <n v="0"/>
    <n v="122645.45276000001"/>
    <n v="65164.677720000007"/>
    <n v="122645.45276000001"/>
  </r>
  <r>
    <s v="BUCARAMANGA"/>
    <x v="3"/>
    <x v="4"/>
    <n v="13670"/>
    <s v="TA-25-1117904"/>
    <n v="81508"/>
    <s v="APERTURA"/>
    <s v="CB CRECIMIENTO ALIANZA - NUEVO"/>
    <s v="BOLIVAR"/>
    <s v="SAN PABLO"/>
    <s v="DISTRICOL ELECTRO LUNA"/>
    <s v="REDEBAN"/>
    <s v="FO-25-1543509"/>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79"/>
    <s v="TIPO IV ESPECIAL"/>
    <s v="TERRESTRE/FLUVIAL"/>
    <s v="MARIÑO PABON JORGE ENRIQUE"/>
    <n v="1"/>
    <n v="0"/>
    <n v="122645.45276000001"/>
    <n v="65164.677720000007"/>
    <n v="122645.45276000001"/>
  </r>
  <r>
    <s v="BUCARAMANGA"/>
    <x v="3"/>
    <x v="4"/>
    <n v="13688"/>
    <s v="TA-25-1117911"/>
    <n v="81510"/>
    <s v="APERTURA"/>
    <s v="CB CRECIMIENTO ALIANZA - NUEVO"/>
    <s v="BOLIVAR"/>
    <s v="SANTA ROSA DEL SUR"/>
    <s v="DISTRICOL SOLICIONES ANPA"/>
    <s v="REDEBAN"/>
    <s v="FO-25-1543512"/>
    <d v="2025-09-17T00:00:00"/>
    <d v="2025-09-19T00:00:00"/>
    <s v="AGREGADOR"/>
    <s v="DISTRICOL"/>
    <s v="EJECUTADO"/>
    <s v="17-09 PROGRAMACIÓN REALIZADA POR LA ALIANZA 18-09 EN COMUNICACIÓN CON LA SEÑORA ANGELA DÍAZ AL NÚMERO 3172336820 NOS INDICA QUE EL DÍA DE HOY NO TIENE LA DISPONIBILIDAD DE ATENDERNOS QUE EL DÍA DE MAÑANA ESTÁ DISPONIBLE A PARTIR DE LAS 8 AM 19/09/2025 SE REALIZA INSTALACIÓN DE CORRESPONSAL, SE INSTALAN EQUIPOS CON PRUEBAS EXITOSAS, SE CAPACITA Y SE EVALÚA AL CLIENTE, SE INSTALA PUBLICIDAD COMPLETA, CB QUEDA OPERATIVO. USUARIO SOMOS BANCOLOMBIA ACTIVO"/>
    <s v="VISITA_TÉCNICA"/>
    <s v="FSZZZ880"/>
    <s v="TIPO IV ESPECIAL"/>
    <s v="TERRESTRE/FLUVIAL"/>
    <s v="MARIÑO PABON JORGE ENRIQUE"/>
    <n v="1"/>
    <n v="0"/>
    <n v="122645.45276000001"/>
    <n v="65164.677720000007"/>
    <n v="122645.45276000001"/>
  </r>
  <r>
    <s v="BUCARAMANGA"/>
    <x v="3"/>
    <x v="4"/>
    <n v="13688"/>
    <s v="TA-25-1117921"/>
    <n v="81511"/>
    <s v="APERTURA"/>
    <s v="CB CRECIMIENTO ALIANZA - NUEVO"/>
    <s v="BOLIVAR"/>
    <s v="SANTA ROSA DEL SUR"/>
    <s v="DISTRICOL VARIEDADES LAS FERIA"/>
    <s v="REDEBAN"/>
    <s v="FO-25-1543517"/>
    <d v="2025-09-17T00:00:00"/>
    <d v="2025-09-19T00:00:00"/>
    <s v="AGREGADOR"/>
    <s v="DISTRICOL"/>
    <s v="EJECUTADO"/>
    <s v="17-09 PROGRAMACIÓN REALIZADA POR LA ALIANZA 18-09 EN COMUNICACIÓN CON LA SEÑORA MARTHA CUERVO HIDALGO AL NÚMERO 3154002504 NOS INDICA QUE EL DÍA DE HOY NO TIENE LA DISPONIBILIDAD DE ATENDERNOS QUE EL DÍA DE MAÑANA ESTÁ DISPONIBLE A PARTIR DE LAS 9 AM 19/09/2025 SE REALIZA INSTALACIÓN DE CORRESPONSAL, SE INSTALAN EQUIPOS CON PRUEBAS EXITOSAS, SE CAPACITA Y SE EVALÚA AL CLIENTE, SE INSTALA PUBLICIDAD COMPLETA, CB QUEDA OPERATIVO. USUARIO SOMOS BANCOLOMBIA ACTIVO"/>
    <s v="VISITA_TÉCNICA"/>
    <s v="FSZZZ881"/>
    <s v="TIPO IV ESPECIAL"/>
    <s v="TERRESTRE/FLUVIAL"/>
    <s v="MARIÑO PABON JORGE ENRIQUE"/>
    <n v="1"/>
    <n v="0"/>
    <n v="122645.45276000001"/>
    <n v="65164.677720000007"/>
    <n v="122645.45276000001"/>
  </r>
  <r>
    <s v="TUNJA"/>
    <x v="3"/>
    <x v="4"/>
    <n v="15176"/>
    <s v="TA-25-1117930"/>
    <n v="81495"/>
    <s v="APERTURA"/>
    <s v="CB CRECIMIENTO ALIANZA - NUEVO"/>
    <s v="BOYACA"/>
    <s v="CHIQUINQUIRA"/>
    <s v="DISTRICOL TECHNOWORLD CHIQUINQ"/>
    <s v="REDEBAN"/>
    <s v="FO-25-1543521"/>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2"/>
    <s v="TIPO III"/>
    <s v="TERRESTRE"/>
    <s v="HERRERA GARZON JEYSON STEVENT"/>
    <n v="1"/>
    <n v="0"/>
    <n v="122645.45276000001"/>
    <n v="65164.677720000007"/>
    <n v="122645.45276000001"/>
  </r>
  <r>
    <s v="MANIZALES"/>
    <x v="0"/>
    <x v="1"/>
    <n v="17873"/>
    <s v="TA-25-1117941"/>
    <n v="81515"/>
    <s v="APERTURA"/>
    <s v="CB CRECIMIENTO ALIANZA - NUEVO"/>
    <s v="CALDAS"/>
    <s v="VILLAMARIA"/>
    <s v="DISTRICOL VAR VILLA PETS"/>
    <s v="REDEBAN"/>
    <s v="FO-25-1543524"/>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3"/>
    <s v="TIPO I"/>
    <s v="TERRESTRE"/>
    <s v="AGUIRRE HENAO RAUL EDUARDO"/>
    <n v="1"/>
    <n v="0"/>
    <n v="122645.45276000001"/>
    <n v="65164.677720000007"/>
    <n v="122645.45276000001"/>
  </r>
  <r>
    <s v="PASTO"/>
    <x v="0"/>
    <x v="0"/>
    <n v="52001"/>
    <s v="TA-25-1117968"/>
    <n v="81504"/>
    <s v="APERTURA"/>
    <s v="CB CRECIMIENTO ALIANZA - NUEVO"/>
    <s v="NARIÑO"/>
    <s v="PASTO"/>
    <s v="DISTRICOL PAÑ Y VAR LAURITA"/>
    <s v="REDEBAN"/>
    <s v="FO-25-1543532"/>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4"/>
    <s v="TIPO I"/>
    <s v="TERRESTRE"/>
    <s v="REMICIO AMADO JOHN HEBER"/>
    <n v="1"/>
    <n v="0"/>
    <n v="122645.45276000001"/>
    <n v="65164.677720000007"/>
    <n v="122645.45276000001"/>
  </r>
  <r>
    <s v="PASTO"/>
    <x v="0"/>
    <x v="0"/>
    <n v="52678"/>
    <s v="TA-25-1118025"/>
    <n v="81507"/>
    <s v="APERTURA"/>
    <s v="CB CRECIMIENTO ALIANZA - NUEVO"/>
    <s v="NARIÑO"/>
    <s v="SAMANIEGO"/>
    <s v="DISTRICOL SANA MENTE"/>
    <s v="REDEBAN"/>
    <s v="FO-25-1543544"/>
    <d v="2025-09-17T00:00:00"/>
    <d v="2025-09-22T00:00:00"/>
    <s v="AGREGADOR"/>
    <s v="DISTRICOL"/>
    <s v="EJECUTADO"/>
    <s v="17-09 PROGRAMACIÓN REALIZADA POR LA ALIANZA 19-09 NO FUE POSIBLE VIAJAR AL MUNICIPIO POR PROBLEMAS EN EL TRANSPORTE, SE SEPARA BUS PARA EL DIA LUNES 22/09/2025 SE REALIZA INSTALACIÓN DE CORRESPONSAL, SE INSTALAN EQUIPOS CON PRUEBAS EXITOSAS, SE CAPACITA Y SE EVALÚA AL CLIENTE, SE INSTALA PUBLICIDAD COMPLETA, CB QUEDA OPERATIVO. USUARIO SOMOS BANCOLOMBIA ACTIVO"/>
    <s v="VISITA_TÉCNICA"/>
    <s v="FSZZZ886"/>
    <s v="TIPO III"/>
    <s v="TERRESTRE"/>
    <s v="CASTILLO HERRERA ALEX RICARDO"/>
    <n v="1"/>
    <n v="0"/>
    <n v="122645.45276000001"/>
    <n v="65164.677720000007"/>
    <n v="122645.45276000001"/>
  </r>
  <r>
    <s v="PASTO"/>
    <x v="0"/>
    <x v="0"/>
    <n v="52683"/>
    <s v="TA-25-1118045"/>
    <n v="81509"/>
    <s v="APERTURA"/>
    <s v="CB CRECIMIENTO ALIANZA - NUEVO"/>
    <s v="NARIÑO"/>
    <s v="SANDONA"/>
    <s v="DISTRICOL DROG NUEVO AMANECER"/>
    <s v="REDEBAN"/>
    <s v="FO-25-1543553"/>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87"/>
    <s v="TIPO II"/>
    <s v="TERRESTRE"/>
    <s v="CASTILLO HERRERA ALEX RICARDO"/>
    <n v="1"/>
    <n v="0"/>
    <n v="122645.45276000001"/>
    <n v="65164.677720000007"/>
    <n v="122645.45276000001"/>
  </r>
  <r>
    <s v="PEREIRA"/>
    <x v="0"/>
    <x v="1"/>
    <n v="76895"/>
    <s v="TA-25-1118072"/>
    <n v="81519"/>
    <s v="APERTURA"/>
    <s v="CB CRECIMIENTO ALIANZA - NUEVO"/>
    <s v="VALLE DEL CAUCA"/>
    <s v="ZARZAL"/>
    <s v="DISTRICOL DRO ECONOFARMA LA 10"/>
    <s v="REDEBAN"/>
    <s v="FO-25-1543558"/>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88"/>
    <s v="TIPO III"/>
    <s v="TERRESTRE"/>
    <s v="ARROYAVE CANO MANUEL GUILLERMO"/>
    <n v="1"/>
    <n v="0"/>
    <n v="122645.45276000001"/>
    <n v="65164.677720000007"/>
    <n v="122645.45276000001"/>
  </r>
  <r>
    <s v="BUCARAMANGA"/>
    <x v="3"/>
    <x v="4"/>
    <n v="81001"/>
    <s v="TA-25-1118079"/>
    <n v="81492"/>
    <s v="APERTURA"/>
    <s v="CB CRECIMIENTO ALIANZA - NUEVO"/>
    <s v="ARAUCA"/>
    <s v="ARAUCA"/>
    <s v="DISTRICOL MI TESORO"/>
    <s v="REDEBAN"/>
    <s v="FO-25-1543564"/>
    <d v="2025-09-17T00:00:00"/>
    <d v="2025-09-25T00:00:00"/>
    <s v="AGREGADOR"/>
    <s v="DISTRICOL"/>
    <s v="EJECUTADO"/>
    <s v="17-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SZZZ889"/>
    <s v="TIPO IV ESPECIAL"/>
    <s v="AEREO"/>
    <s v="HERRERA LUQUE SAUL JAVIER"/>
    <n v="1"/>
    <n v="0"/>
    <n v="122645.45276000001"/>
    <n v="65164.677720000007"/>
    <n v="122645.45276000001"/>
  </r>
  <r>
    <s v="BUCARAMANGA"/>
    <x v="3"/>
    <x v="4"/>
    <n v="81736"/>
    <s v="TA-25-1118087"/>
    <n v="81512"/>
    <s v="APERTURA"/>
    <s v="CB CRECIMIENTO ALIANZA - NUEVO"/>
    <s v="ARAUCA"/>
    <s v="SARAVENA"/>
    <s v="DISTRICOL INTERBANS"/>
    <s v="REDEBAN"/>
    <s v="FO-25-1543569"/>
    <d v="2025-09-17T00:00:00"/>
    <d v="2025-09-23T00:00:00"/>
    <s v="AGREGADOR"/>
    <s v="DISTRICOL"/>
    <s v="EJECUTADO"/>
    <s v="17-09 PROGRAMACIÓN REALIZADA POR LA ALIANZA 23/09/2025 SE REALIZA INSTALACIÓN DE CORRESPONSAL, SE INSTALAN EQUIPOS CON PRUEBAS EXITOSAS, SE CAPACITA Y SE EVALÚA AL CLIENTE, SE INSTALA PUBLICIDAD COMPLETA, CB QUEDA OPERATIVO. USUARIO SOMOS BANCOLOMBIA ACTIVO"/>
    <s v="VISITA_TÉCNICA"/>
    <s v="FSZZZ890"/>
    <s v="TIPO IV ESPECIAL"/>
    <s v="AEREO"/>
    <s v="HERRERA LUQUE SAUL JAVIER"/>
    <n v="1"/>
    <n v="0"/>
    <n v="122645.45276000001"/>
    <n v="65164.677720000007"/>
    <n v="122645.45276000001"/>
  </r>
  <r>
    <s v="YOPAL"/>
    <x v="2"/>
    <x v="3"/>
    <n v="85001"/>
    <s v="TA-25-1118097"/>
    <n v="81518"/>
    <s v="APERTURA"/>
    <s v="CB CRECIMIENTO ALIANZA - NUEVO"/>
    <s v="CASANARE"/>
    <s v="YOPAL"/>
    <s v="DISTRICOL DROGUERIA FENIX"/>
    <s v="REDEBAN"/>
    <s v="FO-25-1543573"/>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1"/>
    <s v="TIPO I"/>
    <s v="TERRESTRE"/>
    <s v="ROZO JIMENEZ EDGAR ARMANDO"/>
    <n v="1"/>
    <n v="0"/>
    <n v="122645.45276000001"/>
    <n v="65164.677720000007"/>
    <n v="122645.45276000001"/>
  </r>
  <r>
    <s v="YOPAL"/>
    <x v="2"/>
    <x v="3"/>
    <n v="85001"/>
    <s v="TA-25-1118107"/>
    <n v="81517"/>
    <s v="APERTURA"/>
    <s v="CB CRECIMIENTO ALIANZA - NUEVO"/>
    <s v="CASANARE"/>
    <s v="YOPAL"/>
    <s v="DISTRICOL MULTISERVIS CLIKGO"/>
    <s v="REDEBAN"/>
    <s v="FO-25-1543578"/>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2"/>
    <s v="TIPO I"/>
    <s v="TERRESTRE"/>
    <s v="ROZO JIMENEZ EDGAR ARMANDO"/>
    <n v="1"/>
    <n v="0"/>
    <n v="122645.45276000001"/>
    <n v="65164.677720000007"/>
    <n v="122645.45276000001"/>
  </r>
  <r>
    <s v="YOPAL"/>
    <x v="2"/>
    <x v="3"/>
    <n v="85010"/>
    <s v="TA-25-1118118"/>
    <n v="81491"/>
    <s v="APERTURA"/>
    <s v="CB CRECIMIENTO ALIANZA - NUEVO"/>
    <s v="CASANARE"/>
    <s v="AGUAZUL"/>
    <s v="DISTRICOL CACHARRERIA MAVIS"/>
    <s v="REDEBAN"/>
    <s v="FO-25-1543582"/>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3"/>
    <s v="TIPO II"/>
    <s v="TERRESTRE"/>
    <s v="ROZO JIMENEZ EDGAR ARMANDO"/>
    <n v="1"/>
    <n v="0"/>
    <n v="122645.45276000001"/>
    <n v="65164.677720000007"/>
    <n v="122645.45276000001"/>
  </r>
  <r>
    <s v="YOPAL"/>
    <x v="2"/>
    <x v="3"/>
    <n v="85225"/>
    <s v="TA-25-1118128"/>
    <n v="81503"/>
    <s v="APERTURA"/>
    <s v="CB CRECIMIENTO ALIANZA - NUEVO"/>
    <s v="CASANARE"/>
    <s v="NUNCHIA"/>
    <s v="DISTRICOL FERRETERIA 5 ESTRELL"/>
    <s v="REDEBAN"/>
    <s v="FO-25-1543585"/>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4"/>
    <s v="TIPO II"/>
    <s v="TERRESTRE"/>
    <s v="ROZO JIMENEZ EDGAR ARMANDO"/>
    <n v="1"/>
    <n v="0"/>
    <n v="122645.45276000001"/>
    <n v="65164.677720000007"/>
    <n v="122645.45276000001"/>
  </r>
  <r>
    <s v="PASTO"/>
    <x v="0"/>
    <x v="0"/>
    <n v="86749"/>
    <s v="TA-25-1118136"/>
    <n v="81514"/>
    <s v="APERTURA"/>
    <s v="CB CRECIMIENTO ALIANZA - NUEVO"/>
    <s v="PUTUMAYO"/>
    <s v="SIBUNDOY"/>
    <s v="DISTRICOL POLLOS PUNTO FRESCO"/>
    <s v="REDEBAN"/>
    <s v="FO-25-1543590"/>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5"/>
    <s v="TIPO III"/>
    <s v="TERRESTRE"/>
    <s v="GUERRERO RAMIREZ OSCAR DARIO"/>
    <n v="1"/>
    <n v="0"/>
    <n v="122645.45276000001"/>
    <n v="65164.677720000007"/>
    <n v="122645.45276000001"/>
  </r>
  <r>
    <s v="APARTADO"/>
    <x v="4"/>
    <x v="5"/>
    <n v="5045"/>
    <s v="TA-25-1118145"/>
    <n v="81497"/>
    <s v="APERTURA"/>
    <s v="CB CRECIMIENTO ALIANZA - NUEVO"/>
    <s v="ANTIOQUIA"/>
    <s v="APARTADO"/>
    <s v="DISTRICOL FERROUNO"/>
    <s v="REDEBAN"/>
    <s v="FO-25-1543593"/>
    <d v="2025-09-17T00:00:00"/>
    <d v="2025-09-24T00:00:00"/>
    <s v="AGREGADOR"/>
    <s v="DISTRICOL"/>
    <s v="EJECUTADO"/>
    <s v="17-09 PROGRAMACIÓN REALIZADA POR LA ALIANZA 19/09/2025 SE LLAMA AL USUARIO PARA CONFIRMAR VISITA Y NOS CONTESTA UN TRABAJADOR INFORMANDO QUE EL ENCARGADO SOLO ESTÁ EN DE 8-10 AM Y 2-4 PM SE LOGRA COMUNICAR CON EL USUARIO ENCARGADO Y NOS MANIFIESTA QUE SI PODEMOS DEJAR LA INSTALACIÓN PARA EL DÍA MIÉRCOLES DE LA OTRA SEMANA EN HORAS DE LA MAÑANA YA QUE SE LE INDICA QUE SE NECESITA DISPONIBILIDAD DE TIEMPO PARA PODER HACER LA INSTALACIÓN Y PODER DAR LA CAPACITACIÓN DE MANEJO DE TODO EL SISTEMA 24-09 SE REALIZA INSTALACIÓN DE CORRESPONSAL, SE INSTALAN EQUIPOS CON PRUEBAS EXITOSAS, SE CAPACITA Y SE EVALÚA AL CLIENTE, SE INSTALA PUBLICIDAD COMPLETA, CB QUEDA OPERATIVO. USUARIO SOMOS BANCOLOMBIA ACTIVO"/>
    <s v="VISITA_TÉCNICA"/>
    <s v="FSZZZ896"/>
    <s v="TIPO I"/>
    <s v="TERRESTRE"/>
    <s v="SALDARRIAGA MIRANDA SANTIAGO"/>
    <n v="1"/>
    <n v="0"/>
    <n v="122645.45276000001"/>
    <n v="65164.677720000007"/>
    <n v="122645.45276000001"/>
  </r>
  <r>
    <s v="APARTADO"/>
    <x v="4"/>
    <x v="5"/>
    <n v="5045"/>
    <s v="TA-25-1118154"/>
    <n v="81496"/>
    <s v="APERTURA"/>
    <s v="CB CRECIMIENTO ALIANZA - NUEVO"/>
    <s v="ANTIOQUIA"/>
    <s v="APARTADO"/>
    <s v="DISTRICOL DROGUERIA MACROSALUD ETICA"/>
    <s v="REDEBAN"/>
    <s v="FO-25-1543596"/>
    <d v="2025-09-17T00:00:00"/>
    <d v="2025-09-19T00:00:00"/>
    <s v="AGREGADOR"/>
    <s v="DISTRICOL"/>
    <s v="EJECUTADO"/>
    <s v="17-09 PROGRAMACIÓN REALIZADA POR LA ALIANZA 19/09/2025 SE REALIZA INSTALACIÓN DE CORRESPONSAL, SE INSTALAN EQUIPOS CON PRUEBAS EXITOSAS, SE CAPACITA Y SE EVALÚA AL CLIENTE, SE INSTALA PUBLICIDAD COMPLETA, CB QUEDA OPERATIVO. USUARIO SOMOS BANCOLOMBIA ACTIVO"/>
    <s v="VISITA_TÉCNICA"/>
    <s v="FSZZZ897"/>
    <s v="TIPO I"/>
    <s v="TERRESTRE"/>
    <s v="SALDARRIAGA MIRANDA SANTIAGO"/>
    <n v="1"/>
    <n v="0"/>
    <n v="122645.45276000001"/>
    <n v="65164.677720000007"/>
    <n v="122645.45276000001"/>
  </r>
  <r>
    <s v="APARTADO"/>
    <x v="4"/>
    <x v="5"/>
    <n v="5045"/>
    <s v="TA-25-1118161"/>
    <n v="81499"/>
    <s v="APERTURA"/>
    <s v="CB CRECIMIENTO ALIANZA - NUEVO"/>
    <s v="ANTIOQUIA"/>
    <s v="APARTADO"/>
    <s v="DISTRICOL MADURITOS DE LUPE"/>
    <s v="REDEBAN"/>
    <s v="FO-25-1543600"/>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8"/>
    <s v="TIPO I"/>
    <s v="TERRESTRE"/>
    <s v="SALDARRIAGA MIRANDA SANTIAGO"/>
    <n v="1"/>
    <n v="0"/>
    <n v="122645.45276000001"/>
    <n v="65164.677720000007"/>
    <n v="122645.45276000001"/>
  </r>
  <r>
    <s v="APARTADO"/>
    <x v="4"/>
    <x v="5"/>
    <n v="5045"/>
    <s v="TA-25-1118162"/>
    <n v="81498"/>
    <s v="APERTURA"/>
    <s v="CB CRECIMIENTO ALIANZA - NUEVO"/>
    <s v="ANTIOQUIA"/>
    <s v="APARTADO"/>
    <s v="DISTRICOL PAPELERIA JUANES E&amp;E"/>
    <s v="REDEBAN"/>
    <s v="FO-25-1543603"/>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899"/>
    <s v="TIPO I"/>
    <s v="TERRESTRE"/>
    <s v="SALDARRIAGA MIRANDA SANTIAGO"/>
    <n v="1"/>
    <n v="0"/>
    <n v="122645.45276000001"/>
    <n v="65164.677720000007"/>
    <n v="122645.45276000001"/>
  </r>
  <r>
    <s v="BOGOTA"/>
    <x v="5"/>
    <x v="6"/>
    <n v="11001"/>
    <s v="TA-25-1118163"/>
    <n v="81493"/>
    <s v="APERTURA"/>
    <s v="CB CRECIMIENTO ALIANZA - NUEVO"/>
    <s v="CUNDINAMARCA"/>
    <s v="BOGOTA"/>
    <s v="DISTRICOL TODO EN UNO"/>
    <s v="REDEBAN"/>
    <s v="FO-25-1543607"/>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900"/>
    <s v="TIPO I"/>
    <s v="TERRESTRE"/>
    <s v="MURCIA HERNANDEZ HARVEY IGNACIO"/>
    <n v="1"/>
    <n v="0"/>
    <n v="122645.45276000001"/>
    <n v="65164.677720000007"/>
    <n v="122645.45276000001"/>
  </r>
  <r>
    <s v="BOGOTA"/>
    <x v="5"/>
    <x v="6"/>
    <n v="11001"/>
    <s v="TA-25-1118164"/>
    <n v="81494"/>
    <s v="APERTURA"/>
    <s v="CB CRECIMIENTO ALIANZA - NUEVO"/>
    <s v="CUNDINAMARCA"/>
    <s v="BOGOTA"/>
    <s v="DISTRICOL PRACTIPAGOS LA Y"/>
    <s v="REDEBAN"/>
    <s v="FO-25-1543611"/>
    <d v="2025-09-17T00:00:00"/>
    <d v="2025-09-18T00:00:00"/>
    <s v="AGREGADOR"/>
    <s v="DISTRICOL"/>
    <s v="EJECUTADO"/>
    <s v="17-09 PROGRAMACIÓN REALIZADA POR LA ALIANZA 18/09/2025 SE REALIZA INSTALACIÓN DE CORRESPONSAL, SE INSTALAN EQUIPOS CON PRUEBAS EXITOSAS, SE CAPACITA Y SE EVALÚA AL CLIENTE, SE INSTALA PUBLICIDAD COMPLETA, CB QUEDA OPERATIVO. USUARIO SOMOS BANCOLOMBIA ACTIVO"/>
    <s v="VISITA_TÉCNICA"/>
    <s v="FSZZZ901"/>
    <s v="TIPO I"/>
    <s v="TERRESTRE"/>
    <s v="ARIAS QUILINDO JULIAN"/>
    <n v="1"/>
    <n v="0"/>
    <n v="122645.45276000001"/>
    <n v="65164.677720000007"/>
    <n v="122645.45276000001"/>
  </r>
  <r>
    <s v="APARTADO"/>
    <x v="4"/>
    <x v="5"/>
    <n v="27493"/>
    <s v="TA-25-1120952"/>
    <n v="81520"/>
    <s v="APERTURA"/>
    <s v="CB CRECIMIENTO ALIANZA - NUEVO"/>
    <s v="CHOCO"/>
    <s v="NUEVO BELEN DE BAJIRA"/>
    <s v="DISTRICOL DONDE CAMILA F"/>
    <s v="REDEBAN"/>
    <s v="FO-25-1546404"/>
    <d v="2025-09-17T00:00:00"/>
    <d v="2025-09-23T00:00:00"/>
    <s v="AGREGADOR"/>
    <s v="DISTRICOL"/>
    <s v="EJECUTADO"/>
    <s v="17-09 EL SITIO NO HA PROCESADO EN SEI, SE APLAZA INSTALACIÓN HASTA RECIBIR NUEVA INDICACIÓN POR PARTE DE REDEBAN 18/09/2025 REDEBAN INDICA QUE EL PUNTO YA PROCESO, SE PROCEDE CON LA PROGRAMACIÓN 23/09/2025 SE REALIZA INSTALACIÓN DE CORRESPONSAL, SE INSTALAN EQUIPOS CON PRUEBAS EXITOSAS, SE CAPACITA Y SE EVALÚA AL CLIENTE, SE INSTALA PUBLICIDAD COMPLETA, CB QUEDA OPERATIVO. USUARIO SOMOS BANCOLOMBIA ACTIVO"/>
    <s v="VISITA_TÉCNICA"/>
    <s v="FTZZZ084"/>
    <s v="TIPO IV"/>
    <s v="TERRESTRE"/>
    <s v="SALDARRIAGA MIRANDA SANTIAGO"/>
    <n v="1"/>
    <n v="0"/>
    <n v="122645.45276000001"/>
    <n v="65164.677720000007"/>
    <n v="122645.45276000001"/>
  </r>
  <r>
    <s v="MEDELLIN"/>
    <x v="4"/>
    <x v="5"/>
    <n v="5001"/>
    <s v="TA-25-1125548"/>
    <n v="81534"/>
    <s v="APERTURA"/>
    <s v="CB CRECIMIENTO ALIANZA - NUEVO"/>
    <s v="ANTIOQUIA"/>
    <s v="MEDELLIN"/>
    <s v="PTM MEDELLIN DROGUERIA FARMALA"/>
    <s v="REDEBAN"/>
    <s v="FO-25-1553663"/>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1"/>
    <s v="TIPO I"/>
    <s v="TERRESTRE"/>
    <s v="BARRIENTOS HERNANDEZ CRISTIAN HORACIO"/>
    <n v="1"/>
    <n v="0"/>
    <n v="122645.45276000001"/>
    <n v="65164.677720000007"/>
    <n v="122645.45276000001"/>
  </r>
  <r>
    <s v="MEDELLIN"/>
    <x v="4"/>
    <x v="5"/>
    <n v="5001"/>
    <s v="TA-25-1125554"/>
    <n v="81533"/>
    <s v="APERTURA"/>
    <s v="CB CRECIMIENTO ALIANZA - NUEVO"/>
    <s v="ANTIOQUIA"/>
    <s v="MEDELLIN"/>
    <s v="PTM MEDELLIN DISTRIBUIDORA JAL"/>
    <s v="REDEBAN"/>
    <s v="FO-25-1553676"/>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2"/>
    <s v="TIPO I"/>
    <s v="TERRESTRE"/>
    <s v="BARRIENTOS HERNANDEZ CRISTIAN HORACIO"/>
    <n v="1"/>
    <n v="0"/>
    <n v="122645.45276000001"/>
    <n v="65164.677720000007"/>
    <n v="122645.45276000001"/>
  </r>
  <r>
    <s v="MEDELLIN"/>
    <x v="4"/>
    <x v="5"/>
    <n v="5088"/>
    <s v="TA-25-1125567"/>
    <n v="81532"/>
    <s v="APERTURA"/>
    <s v="CB CRECIMIENTO ALIANZA - NUEVO"/>
    <s v="ANTIOQUIA"/>
    <s v="BELLO"/>
    <s v="PTM BELLO ANGELA MARIA RESTREP"/>
    <s v="REDEBAN"/>
    <s v="FO-25-1553687"/>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3"/>
    <s v="TIPO I"/>
    <s v="TERRESTRE"/>
    <s v="ZAPATA LOPEZ EDWARD ASDRUBAL"/>
    <n v="1"/>
    <n v="0"/>
    <n v="122645.45276000001"/>
    <n v="65164.677720000007"/>
    <n v="122645.45276000001"/>
  </r>
  <r>
    <s v="MEDELLIN"/>
    <x v="4"/>
    <x v="5"/>
    <n v="5088"/>
    <s v="TA-25-1125576"/>
    <n v="81531"/>
    <s v="APERTURA"/>
    <s v="CB CRECIMIENTO ALIANZA - NUEVO"/>
    <s v="ANTIOQUIA"/>
    <s v="BELLO"/>
    <s v="PTM BELLO FARMASOLUCIONES BELL"/>
    <s v="REDEBAN"/>
    <s v="FO-25-1553700"/>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4"/>
    <s v="TIPO I"/>
    <s v="TERRESTRE"/>
    <s v="ZAPATA LOPEZ EDWARD ASDRUBAL"/>
    <n v="1"/>
    <n v="0"/>
    <n v="122645.45276000001"/>
    <n v="65164.677720000007"/>
    <n v="122645.45276000001"/>
  </r>
  <r>
    <s v="MEDELLIN"/>
    <x v="4"/>
    <x v="5"/>
    <n v="5129"/>
    <s v="TA-25-1125589"/>
    <n v="81523"/>
    <s v="APERTURA"/>
    <s v="CB CRECIMIENTO ALIANZA - NUEVO"/>
    <s v="ANTIOQUIA"/>
    <s v="CALDAS"/>
    <s v="PTM CALDAS ABARROTES DON BERRI"/>
    <s v="REDEBAN"/>
    <s v="FO-25-1553712"/>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5"/>
    <s v="TIPO I"/>
    <s v="TERRESTRE"/>
    <s v="ZAPATA LOPEZ EDWARD ASDRUBAL"/>
    <n v="1"/>
    <n v="0"/>
    <n v="122645.45276000001"/>
    <n v="65164.677720000007"/>
    <n v="122645.45276000001"/>
  </r>
  <r>
    <s v="MEDELLIN"/>
    <x v="4"/>
    <x v="5"/>
    <n v="5604"/>
    <s v="TA-25-1125599"/>
    <n v="81528"/>
    <s v="APERTURA"/>
    <s v="CB CRECIMIENTO ALIANZA - NUEVO"/>
    <s v="ANTIOQUIA"/>
    <s v="REMEDIOS"/>
    <s v="PTM REMEDIOS Y &amp; M MINI MARKET"/>
    <s v="REDEBAN"/>
    <s v="FO-25-1553723"/>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6"/>
    <s v="TIPO IV"/>
    <s v="TERRESTRE"/>
    <s v="BADEL ACUÑA LUIS ALBERTO"/>
    <n v="1"/>
    <n v="0"/>
    <n v="122645.45276000001"/>
    <n v="65164.677720000007"/>
    <n v="122645.45276000001"/>
  </r>
  <r>
    <s v="NEIVA"/>
    <x v="2"/>
    <x v="3"/>
    <n v="41298"/>
    <s v="TA-25-1125610"/>
    <n v="81525"/>
    <s v="APERTURA"/>
    <s v="CB CRECIMIENTO ALIANZA - NUEVO"/>
    <s v="HUILA"/>
    <s v="GARZON"/>
    <s v="PTM GARZON SOLUCIONES DE CENTR"/>
    <s v="REDEBAN"/>
    <s v="FO-25-1553735"/>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27"/>
    <s v="TIPO III"/>
    <s v="TERRESTRE"/>
    <s v="DEVIA REINOSO JUAN CARLOS"/>
    <n v="1"/>
    <n v="0"/>
    <n v="122645.45276000001"/>
    <n v="65164.677720000007"/>
    <n v="122645.45276000001"/>
  </r>
  <r>
    <s v="BUCARAMANGA"/>
    <x v="3"/>
    <x v="4"/>
    <n v="68406"/>
    <s v="TA-25-1125620"/>
    <n v="81527"/>
    <s v="APERTURA"/>
    <s v="CB CRECIMIENTO ALIANZA - NUEVO"/>
    <s v="SANTANDER"/>
    <s v="LEBRIJA"/>
    <s v="PTM LEBRIJA TIENDA J.V"/>
    <s v="REDEBAN"/>
    <s v="FO-25-1553745"/>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8"/>
    <s v="TIPO II"/>
    <s v="TERRESTRE"/>
    <s v="GELVEZ MOGOLLON JOSE ELISEO"/>
    <n v="1"/>
    <n v="0"/>
    <n v="122645.45276000001"/>
    <n v="65164.677720000007"/>
    <n v="122645.45276000001"/>
  </r>
  <r>
    <s v="IBAGUE"/>
    <x v="2"/>
    <x v="3"/>
    <n v="73001"/>
    <s v="TA-25-1125631"/>
    <n v="81526"/>
    <s v="APERTURA"/>
    <s v="CB CRECIMIENTO ALIANZA - NUEVO"/>
    <s v="TOLIMA"/>
    <s v="IBAGUE"/>
    <s v="PTM IBAGUE AMIGOS PELUDITO'S P"/>
    <s v="REDEBAN"/>
    <s v="FO-25-1553756"/>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29"/>
    <s v="TIPO I"/>
    <s v="TERRESTRE"/>
    <s v="BARRAGAN TAFUR EDWIN ESTEBAN"/>
    <n v="1"/>
    <n v="0"/>
    <n v="122645.45276000001"/>
    <n v="65164.677720000007"/>
    <n v="122645.45276000001"/>
  </r>
  <r>
    <s v="MEDELLIN"/>
    <x v="4"/>
    <x v="5"/>
    <n v="5059"/>
    <s v="TA-25-1125636"/>
    <n v="81524"/>
    <s v="APERTURA"/>
    <s v="CB CRECIMIENTO ALIANZA - NUEVO"/>
    <s v="ANTIOQUIA"/>
    <s v="ARMENIA"/>
    <s v="PTM ARMENIA DACAFE HOGAR Y FER"/>
    <s v="REDEBAN"/>
    <s v="FO-25-1553767"/>
    <d v="2025-09-19T00:00:00"/>
    <d v="2025-09-23T00:00:00"/>
    <s v="AGREGADOR"/>
    <s v="COMCARD - PTM"/>
    <s v="EJECUTADO"/>
    <s v="19-09 PROGRAMACIÓN REALIZADA POR LA ALIANZA 23/09/2025 SE REALIZA INSTALACIÓN DE CORRESPONSAL, SE INSTALAN EQUIPOS CON PRUEBAS EXITOSAS, SE CAPACITA Y SE EVALÚA AL CLIENTE, SE INSTALA PUBLICIDAD COMPLETA, CB QUEDA OPERATIVO. USUARIO SOMOS BANCOLOMBIA ACTIVO"/>
    <s v="VISITA_TÉCNICA"/>
    <s v="SPZZZ330"/>
    <s v="TIPO II"/>
    <s v="TERRESTRE"/>
    <s v="MARTINEZ TOVAR OSCAR DAVID"/>
    <n v="1"/>
    <n v="0"/>
    <n v="122645.45276000001"/>
    <n v="65164.677720000007"/>
    <n v="122645.45276000001"/>
  </r>
  <r>
    <s v="BOGOTA"/>
    <x v="5"/>
    <x v="6"/>
    <n v="11001"/>
    <s v="TA-25-1125647"/>
    <n v="81521"/>
    <s v="APERTURA"/>
    <s v="CB CRECIMIENTO ALIANZA - NUEVO"/>
    <s v="CUNDINAMARCA"/>
    <s v="BOGOTA"/>
    <s v="PTM BOGOTA MISCELANIA Y PAPELE"/>
    <s v="REDEBAN"/>
    <s v="FO-25-1553779"/>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31"/>
    <s v="TIPO I"/>
    <s v="TERRESTRE"/>
    <s v="BUSTOS MORA DIEGO MANUEL"/>
    <n v="1"/>
    <n v="0"/>
    <n v="122645.45276000001"/>
    <n v="65164.677720000007"/>
    <n v="122645.45276000001"/>
  </r>
  <r>
    <s v="BOGOTA"/>
    <x v="5"/>
    <x v="6"/>
    <n v="11001"/>
    <s v="TA-25-1125655"/>
    <n v="81522"/>
    <s v="APERTURA"/>
    <s v="CB CRECIMIENTO ALIANZA - NUEVO"/>
    <s v="CUNDINAMARCA"/>
    <s v="BOGOTA"/>
    <s v="PTM BOGOTA MI TIENDA 258"/>
    <s v="REDEBAN"/>
    <s v="FO-25-1553790"/>
    <d v="2025-09-19T00:00:00"/>
    <d v="2025-09-22T00:00:00"/>
    <s v="AGREGADOR"/>
    <s v="COMCARD - PTM"/>
    <s v="EJECUTADO"/>
    <s v="19-09 PROGRAMACIÓN REALIZADA POR LA ALIANZA 22/09/2025 SE REALIZA INSTALACIÓN DE CORRESPONSAL, SE INSTALAN EQUIPOS CON PRUEBAS EXITOSAS, SE CAPACITA Y SE EVALÚA AL CLIENTE, SE INSTALA PUBLICIDAD COMPLETA, CB QUEDA OPERATIVO. USUARIO SOMOS BANCOLOMBIA ACTIVO"/>
    <s v="VISITA_TÉCNICA"/>
    <s v="SPZZZ332"/>
    <s v="TIPO I"/>
    <s v="TERRESTRE"/>
    <s v="ORTIZ MARTINEZ STIVEN"/>
    <n v="1"/>
    <n v="0"/>
    <n v="122645.45276000001"/>
    <n v="65164.677720000007"/>
    <n v="122645.45276000001"/>
  </r>
  <r>
    <s v="MEDELLIN"/>
    <x v="4"/>
    <x v="5"/>
    <n v="5001"/>
    <s v="TA-25-1145358"/>
    <n v="81698"/>
    <s v="APERTURA"/>
    <s v="CB CRECIMIENTO ALIANZA - NUEVO"/>
    <s v="ANTIOQUIA"/>
    <s v="MEDELLIN"/>
    <s v="DISTRICOL VARIEDADES ITZAMARA"/>
    <s v="REDEBAN"/>
    <s v="FO-25-1577269"/>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30"/>
    <s v="TIPO I"/>
    <s v="TERRESTRE"/>
    <s v="BADEL ACUÑA LUIS ALBERTO"/>
    <n v="1"/>
    <n v="0"/>
    <n v="122645.45276000001"/>
    <n v="65164.677720000007"/>
    <n v="122645.45276000001"/>
  </r>
  <r>
    <s v="MEDELLIN"/>
    <x v="4"/>
    <x v="5"/>
    <n v="5001"/>
    <s v="TA-25-1145359"/>
    <n v="81699"/>
    <s v="APERTURA"/>
    <s v="CB CRECIMIENTO ALIANZA - NUEVO"/>
    <s v="ANTIOQUIA"/>
    <s v="MEDELLIN"/>
    <s v="PTM MEDELLIN DROGUERIA COMUSAL"/>
    <s v="REDEBAN"/>
    <s v="FO-25-1577275"/>
    <d v="2025-09-24T00:00:00"/>
    <d v="2025-09-25T00:00:00"/>
    <s v="AGREGADOR"/>
    <s v="COMCARD - PTM"/>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31"/>
    <s v="TIPO I"/>
    <s v="TERRESTRE"/>
    <s v="BADEL ACUÑA LUIS ALBERTO"/>
    <n v="1"/>
    <n v="0"/>
    <n v="122645.45276000001"/>
    <n v="65164.677720000007"/>
    <n v="122645.45276000001"/>
  </r>
  <r>
    <s v="MEDELLIN"/>
    <x v="4"/>
    <x v="5"/>
    <n v="5088"/>
    <s v="TA-25-1145361"/>
    <n v="81691"/>
    <s v="APERTURA"/>
    <s v="CB CRECIMIENTO ALIANZA - NUEVO"/>
    <s v="ANTIOQUIA"/>
    <s v="BELLO"/>
    <s v="DISTRICOL PAPELERIA Y VAR. S&amp;J"/>
    <s v="REDEBAN"/>
    <s v="FO-25-157727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2"/>
    <s v="TIPO I"/>
    <s v="TERRESTRE"/>
    <s v="BADEL ACUÑA LUIS ALBERTO"/>
    <n v="1"/>
    <n v="0"/>
    <n v="122645.45276000001"/>
    <n v="65164.677720000007"/>
    <n v="122645.45276000001"/>
  </r>
  <r>
    <s v="MEDELLIN"/>
    <x v="4"/>
    <x v="5"/>
    <n v="5088"/>
    <s v="TA-25-1145363"/>
    <n v="81692"/>
    <s v="APERTURA"/>
    <s v="CB CRECIMIENTO ALIANZA - NUEVO"/>
    <s v="ANTIOQUIA"/>
    <s v="BELLO"/>
    <s v="PTM BELLO BUEN PRECIO DE LA 61"/>
    <s v="REDEBAN"/>
    <s v="FO-25-1577284"/>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3"/>
    <s v="TIPO I"/>
    <s v="TERRESTRE"/>
    <s v="BADEL ACUÑA LUIS ALBERTO"/>
    <n v="1"/>
    <n v="0"/>
    <n v="122645.45276000001"/>
    <n v="65164.677720000007"/>
    <n v="122645.45276000001"/>
  </r>
  <r>
    <s v="APARTADO"/>
    <x v="4"/>
    <x v="5"/>
    <n v="5147"/>
    <s v="TA-25-1145366"/>
    <n v="81648"/>
    <s v="APERTURA"/>
    <s v="CB CRECIMIENTO ALIANZA - NUEVO"/>
    <s v="ANTIOQUIA"/>
    <s v="CAREPA"/>
    <s v="DISTRICOL TIENDA MAYELE G&amp;C"/>
    <s v="REDEBAN"/>
    <s v="FO-25-1577290"/>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4"/>
    <s v="TIPO I"/>
    <s v="TERRESTRE"/>
    <s v="CASTRO HENAO DANIEL ESTEBAN"/>
    <n v="1"/>
    <n v="0"/>
    <n v="122645.45276000001"/>
    <n v="65164.677720000007"/>
    <n v="122645.45276000001"/>
  </r>
  <r>
    <s v="MEDELLIN"/>
    <x v="4"/>
    <x v="5"/>
    <n v="5376"/>
    <s v="TA-25-1145367"/>
    <n v="81696"/>
    <s v="APERTURA"/>
    <s v="CB CRECIMIENTO ALIANZA - NUEVO"/>
    <s v="ANTIOQUIA"/>
    <s v="LA CEJA"/>
    <s v="PTM LA CEJA PAWS PLANET"/>
    <s v="REDEBAN"/>
    <s v="FO-25-1577294"/>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36"/>
    <s v="TIPO II"/>
    <s v="TERRESTRE"/>
    <s v="QUINTERO SANCHEZ JUAN SEBASTIAN"/>
    <n v="1"/>
    <n v="0"/>
    <n v="122645.45276000001"/>
    <n v="65164.677720000007"/>
    <n v="122645.45276000001"/>
  </r>
  <r>
    <s v="MEDELLIN"/>
    <x v="4"/>
    <x v="5"/>
    <n v="5615"/>
    <s v="TA-25-1145371"/>
    <n v="81653"/>
    <s v="APERTURA"/>
    <s v="CB CRECIMIENTO ALIANZA - NUEVO"/>
    <s v="ANTIOQUIA"/>
    <s v="RIONEGRO"/>
    <s v="DISTRICOL IXCLOUDS"/>
    <s v="REDEBAN"/>
    <s v="FO-25-1577303"/>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38"/>
    <s v="TIPO II"/>
    <s v="TERRESTRE"/>
    <s v="QUINTERO SANCHEZ JUAN SEBASTIAN"/>
    <n v="1"/>
    <n v="0"/>
    <n v="122645.45276000001"/>
    <n v="65164.677720000007"/>
    <n v="122645.45276000001"/>
  </r>
  <r>
    <s v="MEDELLIN"/>
    <x v="4"/>
    <x v="5"/>
    <n v="5736"/>
    <s v="TA-25-1145374"/>
    <n v="81678"/>
    <s v="APERTURA"/>
    <s v="CB CRECIMIENTO ALIANZA - NUEVO"/>
    <s v="ANTIOQUIA"/>
    <s v="SEGOVIA"/>
    <s v="DISTRICOL MEGA MARKET OFERTON"/>
    <s v="REDEBAN"/>
    <s v="FO-25-1577308"/>
    <d v="2025-09-24T00:00:00"/>
    <d v="2025-09-26T00:00:00"/>
    <s v="AGREGADOR"/>
    <s v="DISTRICOL"/>
    <s v="EJECUTADO"/>
    <s v="24-09 PROGRAMACIÓN REALIZADA POR LA ALIANZA 26/09/2025 ESCALAMOS NOVEDAD DE CERCANÍA. VISITAMOS DIRECCIÓN ENCONTRANDO COMERCIO CERCANO CON CODIGO 3007068151LA BANCA SEGOVIA 1 CON DIRECCIÓN CR 53 49 77 COMERCIO EXISTENTE COORDENADAS 7.080806 -74.702343 COMERCIO A INSTALAR COORDENADAS 7.080554 -74.702437 / ENTIDAD APRUEBA INSTALACIÓN 26/09/2025 SE REALIZA INSTALACIÓN DE CORRESPONSAL, SE INSTALAN EQUIPOS CON PRUEBAS EXITOSAS, SE CAPACITA Y SE EVALÚA AL CLIENTE, SE INSTALA PUBLICIDAD COMPLETA, CB QUEDA OPERATIVO. USUARIO SOMOS BANCOLOMBIA ACTIVO"/>
    <s v="VISITA_TÉCNICA"/>
    <s v="FWZZZ439"/>
    <s v="TIPO IV"/>
    <s v="TERRESTRE"/>
    <s v="DIAZ ZABALA FRANCIS DUBAN"/>
    <n v="1"/>
    <n v="0"/>
    <n v="122645.45276000001"/>
    <n v="65164.677720000007"/>
    <n v="122645.45276000001"/>
  </r>
  <r>
    <s v="APARTADO"/>
    <x v="4"/>
    <x v="5"/>
    <n v="5837"/>
    <s v="TA-25-1145375"/>
    <n v="81656"/>
    <s v="APERTURA"/>
    <s v="CB CRECIMIENTO ALIANZA - NUEVO"/>
    <s v="ANTIOQUIA"/>
    <s v="TURBO"/>
    <s v="DISTRICOL FARMARIVAS"/>
    <s v="REDEBAN"/>
    <s v="FO-25-1577311"/>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0"/>
    <s v="TIPO II"/>
    <s v="TERRESTRE"/>
    <s v="SALDARRIAGA MIRANDA SANTIAGO"/>
    <n v="1"/>
    <n v="0"/>
    <n v="122645.45276000001"/>
    <n v="65164.677720000007"/>
    <n v="122645.45276000001"/>
  </r>
  <r>
    <s v="APARTADO"/>
    <x v="4"/>
    <x v="5"/>
    <n v="5837"/>
    <s v="TA-25-1145377"/>
    <n v="81655"/>
    <s v="APERTURA"/>
    <s v="CB CRECIMIENTO ALIANZA - NUEVO"/>
    <s v="ANTIOQUIA"/>
    <s v="TURBO"/>
    <s v="DISTRICOL EL PRIMO"/>
    <s v="REDEBAN"/>
    <s v="FO-25-157731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1"/>
    <s v="TIPO II"/>
    <s v="TERRESTRE"/>
    <s v="SALDARRIAGA MIRANDA SANTIAGO"/>
    <n v="1"/>
    <n v="0"/>
    <n v="122645.45276000001"/>
    <n v="65164.677720000007"/>
    <n v="122645.45276000001"/>
  </r>
  <r>
    <s v="BARRANQUILLA"/>
    <x v="1"/>
    <x v="2"/>
    <n v="8001"/>
    <s v="TA-25-1145378"/>
    <n v="81624"/>
    <s v="APERTURA"/>
    <s v="CB CRECIMIENTO ALIANZA - NUEVO"/>
    <s v="ATLANTICO"/>
    <s v="BARRANQUILLA"/>
    <s v="PTM BARRANQUILLA DROGUERÍA LA"/>
    <s v="REDEBAN"/>
    <s v="FO-25-1577323"/>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2"/>
    <s v="TIPO I"/>
    <s v="TERRESTRE"/>
    <s v="PORRAS CASTRO DARLON NASCK"/>
    <n v="1"/>
    <n v="0"/>
    <n v="122645.45276000001"/>
    <n v="65164.677720000007"/>
    <n v="122645.45276000001"/>
  </r>
  <r>
    <s v="BARRANQUILLA"/>
    <x v="1"/>
    <x v="2"/>
    <n v="8758"/>
    <s v="TA-25-1145379"/>
    <n v="81687"/>
    <s v="APERTURA"/>
    <s v="CB CRECIMIENTO ALIANZA - NUEVO"/>
    <s v="ATLANTICO"/>
    <s v="SOLEDAD"/>
    <s v="PTM SOLEDAD TIENDA EL TESORO D"/>
    <s v="REDEBAN"/>
    <s v="FO-25-1577328"/>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3"/>
    <s v="TIPO I"/>
    <s v="TERRESTRE"/>
    <s v="PORRAS CASTRO DARLON NASCK"/>
    <n v="1"/>
    <n v="0"/>
    <n v="122645.45276000001"/>
    <n v="65164.677720000007"/>
    <n v="122645.45276000001"/>
  </r>
  <r>
    <s v="BUCARAMANGA"/>
    <x v="3"/>
    <x v="4"/>
    <n v="13688"/>
    <s v="TA-25-1145382"/>
    <n v="81682"/>
    <s v="APERTURA"/>
    <s v="CB CRECIMIENTO ALIANZA - NUEVO"/>
    <s v="BOLIVAR"/>
    <s v="SANTA ROSA DEL SUR"/>
    <s v="DISTRICOL SERVIPARK &amp; WASH"/>
    <s v="REDEBAN"/>
    <s v="FO-25-1577333"/>
    <d v="2025-09-24T00:00:00"/>
    <d v="2025-09-30T00:00:00"/>
    <s v="AGREGADOR"/>
    <s v="DISTRICOL"/>
    <s v="EJECUTADO"/>
    <s v="24-09 PROGRAMACIÓN REALIZADA POR LA ALIANZA 30/09/2025 SE REALIZA INSTALACIÓN DE CORRESPONSAL, SE INSTALAN EQUIPOS CON PRUEBAS EXITOSAS, SE CAPACITA Y SE EVALÚA AL CLIENTE, SE INSTALA PUBLICIDAD COMPLETA, CB QUEDA OPERATIVO. USUARIO SOMOS BANCOLOMBIA ACTIVO"/>
    <s v="VISITA_TÉCNICA"/>
    <s v="FWZZZ444"/>
    <s v="TIPO IV ESPECIAL"/>
    <s v="TERRESTRE/FLUVIAL"/>
    <s v="GONZALEZ ESTUPIÑAN YEISON WALTER ANTONIO"/>
    <n v="1"/>
    <n v="0"/>
    <n v="122645.45276000001"/>
    <n v="65164.677720000007"/>
    <n v="122645.45276000001"/>
  </r>
  <r>
    <s v="TUNJA"/>
    <x v="3"/>
    <x v="4"/>
    <n v="15176"/>
    <s v="TA-25-1145386"/>
    <n v="81645"/>
    <s v="APERTURA"/>
    <s v="CB CRECIMIENTO ALIANZA - NUEVO"/>
    <s v="BOYACA"/>
    <s v="CHIQUINQUIRA"/>
    <s v="PTM CHIQUINQUIRA VARIEDADES LA"/>
    <s v="REDEBAN"/>
    <s v="FO-25-1577338"/>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5"/>
    <s v="TIPO III"/>
    <s v="TERRESTRE"/>
    <s v="GONZALEZ GONZALEZ MARIO ALBERTO"/>
    <n v="1"/>
    <n v="0"/>
    <n v="122645.45276000001"/>
    <n v="65164.677720000007"/>
    <n v="122645.45276000001"/>
  </r>
  <r>
    <s v="TUNJA"/>
    <x v="3"/>
    <x v="4"/>
    <n v="15759"/>
    <s v="TA-25-1145387"/>
    <n v="81686"/>
    <s v="APERTURA"/>
    <s v="CB CRECIMIENTO ALIANZA - NUEVO"/>
    <s v="BOYACA"/>
    <s v="SOGAMOSO"/>
    <s v="DISTRICOL LIZZMORE BABYS"/>
    <s v="REDEBAN"/>
    <s v="FO-25-1577341"/>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6"/>
    <s v="TIPO II"/>
    <s v="TERRESTRE"/>
    <s v="HERRERA GARZON JEYSON STEVENT"/>
    <n v="1"/>
    <n v="0"/>
    <n v="122645.45276000001"/>
    <n v="65164.677720000007"/>
    <n v="122645.45276000001"/>
  </r>
  <r>
    <s v="CALI"/>
    <x v="0"/>
    <x v="0"/>
    <n v="19001"/>
    <s v="TA-25-1145396"/>
    <n v="81674"/>
    <s v="APERTURA"/>
    <s v="CB CRECIMIENTO ALIANZA - NUEVO"/>
    <s v="CAUCA"/>
    <s v="POPAYAN"/>
    <s v="DISTRICOL TIEND MELISA Y CESAR"/>
    <s v="REDEBAN"/>
    <s v="FO-25-1577353"/>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47"/>
    <s v="TIPO III"/>
    <s v="TERRESTRE"/>
    <s v="GIMBUEL LASSO LUIS GERMAN"/>
    <n v="1"/>
    <n v="0"/>
    <n v="122645.45276000001"/>
    <n v="65164.677720000007"/>
    <n v="122645.45276000001"/>
  </r>
  <r>
    <s v="VALLEDUPAR"/>
    <x v="1"/>
    <x v="2"/>
    <n v="20011"/>
    <s v="TA-25-1145401"/>
    <n v="81621"/>
    <s v="APERTURA"/>
    <s v="CB CRECIMIENTO ALIANZA - NUEVO"/>
    <s v="CESAR"/>
    <s v="AGUACHICA"/>
    <s v="DISTRICOL DROGUERIA REB FARMA"/>
    <s v="REDEBAN"/>
    <s v="FO-25-1577360"/>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48"/>
    <s v="TIPO IV"/>
    <s v="TERRESTRE"/>
    <s v="MONTES DIAZ JOHN FRED"/>
    <n v="1"/>
    <n v="0"/>
    <n v="122645.45276000001"/>
    <n v="65164.677720000007"/>
    <n v="122645.45276000001"/>
  </r>
  <r>
    <s v="MONTERIA"/>
    <x v="1"/>
    <x v="2"/>
    <n v="23001"/>
    <s v="TA-25-1145403"/>
    <n v="81668"/>
    <s v="APERTURA"/>
    <s v="CB CRECIMIENTO ALIANZA - NUEVO"/>
    <s v="CORDOBA"/>
    <s v="MONTERIA"/>
    <s v="PTM MONTERIA MISCELANEA Y PAPE"/>
    <s v="REDEBAN"/>
    <s v="FO-25-1586004"/>
    <d v="2025-09-24T00:00:00"/>
    <d v="2025-09-30T00:00:00"/>
    <s v="AGREGADOR"/>
    <s v="COMCARD - PTM"/>
    <s v="EJECUTADO"/>
    <s v="24-09 PROGRAMACIÓN REALIZADA POR LA ALIANZA 25/09/2025 NO ES POSIBLE INSTALAR EL CB POR MOTIVOS DE LA TERMINAL YA QUE NO ESTÁ ACTIVA PARA EL CORRESPONSAL Y REDEBAN NOS INDICO QUE TENÍAN FALLAS CON LA WEB Y NO PUDO SER ASOCIADA LA TERMINAL EL DÍA DE HOY, POR ESE MOTIVO SE REPROGRAMA LA VISITA PARA EL DÍA DE MAÑANA FECHA 26/09/2025 26-09 REDEBAN INFORMA QUE LA VISITA PARA LA APERTURA, SE REALICE EL DÍA LUNES EN HORAS DE LA TARDE FECHA 29/09/2025 YA QUE NO HAN PODIDO SOLUCIONAR LA FALLA CON LA TERMINAL 29-09 EN COMUNICACIÓN CON ALEJANDRA SILVA DE REDEBAN INDICAN QUE NO SE A PODIDO SOLUCIONAR EL TEMA DE ASOCIACIÓN DE TERMINALES, EL DÍA DE HOY NO SE PODRÁ REALIZAR LA INSTALACIÓN YA QUE NO SE HAN ASOCIADO LAS TERMINALES, SIGUEN EN PROCESO DE SOLUCION 30/09/2025 SE REALIZA INSTALACIÓN DE CORRESPONSAL, SE INSTALAN EQUIPOS CON PRUEBAS EXITOSAS, SE CAPACITA Y SE EVALÚA AL CLIENTE, SE INSTALA PUBLICIDAD COMPLETA, CB QUEDA OPERATIVO. USUARIO SOMOS BANCOLOMBIA ACTIVO"/>
    <s v="VISITA_TÉCNICA"/>
    <s v="FWZZZ449"/>
    <s v="TIPO I"/>
    <s v="TERRESTRE"/>
    <s v="GONZALEZ FERRER JESUS ALEXANDER"/>
    <n v="1"/>
    <n v="0"/>
    <n v="122645.45276000001"/>
    <n v="65164.677720000007"/>
    <n v="122645.45276000001"/>
  </r>
  <r>
    <s v="MONTERIA"/>
    <x v="1"/>
    <x v="2"/>
    <n v="23350"/>
    <s v="TA-25-1145405"/>
    <n v="81661"/>
    <s v="APERTURA"/>
    <s v="CB CRECIMIENTO ALIANZA - NUEVO"/>
    <s v="CORDOBA"/>
    <s v="LA APARTADA"/>
    <s v="DISTRICOL MUNDO REPUESTOS"/>
    <s v="REDEBAN"/>
    <s v="FO-25-1577370"/>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50"/>
    <s v="TIPO II"/>
    <s v="TERRESTRE"/>
    <s v="CALDERA SALCEDO CARLOS JULIO"/>
    <n v="1"/>
    <n v="0"/>
    <n v="122645.45276000001"/>
    <n v="65164.677720000007"/>
    <n v="122645.45276000001"/>
  </r>
  <r>
    <s v="MONTERIA"/>
    <x v="1"/>
    <x v="2"/>
    <n v="23660"/>
    <s v="TA-25-1145407"/>
    <n v="81679"/>
    <s v="APERTURA"/>
    <s v="CB CRECIMIENTO ALIANZA - NUEVO"/>
    <s v="CORDOBA"/>
    <s v="SAHAGUN"/>
    <s v="DISTRICOL EL ROSARIO"/>
    <s v="REDEBAN"/>
    <s v="FO-25-1577374"/>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51"/>
    <s v="TIPO II"/>
    <s v="TERRESTRE"/>
    <s v="CALDERA SALCEDO CARLOS JULIO"/>
    <n v="1"/>
    <n v="0"/>
    <n v="122645.45276000001"/>
    <n v="65164.677720000007"/>
    <n v="122645.45276000001"/>
  </r>
  <r>
    <s v="MONTERIA"/>
    <x v="1"/>
    <x v="2"/>
    <n v="23686"/>
    <s v="TA-25-1145408"/>
    <n v="81681"/>
    <s v="APERTURA"/>
    <s v="CB CRECIMIENTO ALIANZA - NUEVO"/>
    <s v="CORDOBA"/>
    <s v="SAN PELAYO"/>
    <s v="DISTRICOL ZONA SMART SP"/>
    <s v="REDEBAN"/>
    <s v="FO-25-157737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53"/>
    <s v="TIPO II"/>
    <s v="TERRESTRE"/>
    <s v="COGOLLO ROSSO CAMILO ANDRES"/>
    <n v="1"/>
    <n v="0"/>
    <n v="122645.45276000001"/>
    <n v="65164.677720000007"/>
    <n v="122645.45276000001"/>
  </r>
  <r>
    <s v="APARTADO"/>
    <x v="4"/>
    <x v="5"/>
    <n v="27615"/>
    <s v="TA-25-1145433"/>
    <n v="81633"/>
    <s v="APERTURA"/>
    <s v="CB CRECIMIENTO ALIANZA - NUEVO"/>
    <s v="CHOCO"/>
    <s v="RIOSUCIO"/>
    <s v="DISTRICOL AGROINSUMOS LA FINCA"/>
    <s v="REDEBAN"/>
    <s v="FO-25-1577388"/>
    <d v="2025-09-24T00:00:00"/>
    <d v="2025-09-30T00:00:00"/>
    <s v="AGREGADOR"/>
    <s v="DISTRICOL"/>
    <s v="EJECUTADO"/>
    <s v="24-09 PROGRAMACIÓN REALIZADA POR LA ALIANZA 30/09/2025 SE REALIZA INSTALACIÓN DE CORRESPONSAL, SE INSTALAN EQUIPOS CON PRUEBAS EXITOSAS, SE CAPACITA Y SE EVALÚA AL CLIENTE, SE INSTALA PUBLICIDAD COMPLETA, CB QUEDA OPERATIVO. USUARIO SOMOS BANCOLOMBIA ACTIVO"/>
    <s v="VISITA_TÉCNICA"/>
    <s v="FWZZZ455"/>
    <s v="TIPO IV ESPECIAL"/>
    <s v="TERRESTRE/FLUVIAL"/>
    <s v="ZAPATA LOPEZ EDWARD ASDRUBAL"/>
    <n v="1"/>
    <n v="0"/>
    <n v="122645.45276000001"/>
    <n v="65164.677720000007"/>
    <n v="122645.45276000001"/>
  </r>
  <r>
    <s v="PASTO"/>
    <x v="0"/>
    <x v="0"/>
    <n v="52001"/>
    <s v="TA-25-1145487"/>
    <n v="81672"/>
    <s v="APERTURA"/>
    <s v="CB CRECIMIENTO ALIANZA - NUEVO"/>
    <s v="NARIÑO"/>
    <s v="PASTO"/>
    <s v="DISTRICOL DROGUERIA SAMU"/>
    <s v="REDEBAN"/>
    <s v="FO-25-1577426"/>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63"/>
    <s v="TIPO I"/>
    <s v="TERRESTRE"/>
    <s v="CASTILLO HERRERA ALEX RICARDO"/>
    <n v="1"/>
    <n v="0"/>
    <n v="122645.45276000001"/>
    <n v="65164.677720000007"/>
    <n v="122645.45276000001"/>
  </r>
  <r>
    <s v="PASTO"/>
    <x v="0"/>
    <x v="0"/>
    <n v="52110"/>
    <s v="TA-25-1145512"/>
    <n v="81635"/>
    <s v="APERTURA"/>
    <s v="CB CRECIMIENTO ALIANZA - NUEVO"/>
    <s v="NARIÑO"/>
    <s v="BUESACO"/>
    <s v="DISTRICOL DROG LA PRESENTACION"/>
    <s v="REDEBAN"/>
    <s v="FO-25-157743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65"/>
    <s v="TIPO II"/>
    <s v="TERRESTRE"/>
    <s v="REMICIO AMADO JOHN HEBER"/>
    <n v="1"/>
    <n v="0"/>
    <n v="122645.45276000001"/>
    <n v="65164.677720000007"/>
    <n v="122645.45276000001"/>
  </r>
  <r>
    <s v="CUCUTA"/>
    <x v="3"/>
    <x v="4"/>
    <n v="54001"/>
    <s v="TA-25-1145545"/>
    <n v="81650"/>
    <s v="APERTURA"/>
    <s v="CB CRECIMIENTO ALIANZA - NUEVO"/>
    <s v="NORTE DE SANTANDER"/>
    <s v="CUCUTA"/>
    <s v="DISTRICOL MARCELAS CHIP STORE"/>
    <s v="REDEBAN"/>
    <s v="FO-25-1577462"/>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68"/>
    <s v="TIPO I"/>
    <s v="TERRESTRE"/>
    <s v="NARANJO AFANADOR RUBEN JESUS"/>
    <n v="1"/>
    <n v="0"/>
    <n v="122645.45276000001"/>
    <n v="65164.677720000007"/>
    <n v="122645.45276000001"/>
  </r>
  <r>
    <s v="CUCUTA"/>
    <x v="3"/>
    <x v="4"/>
    <n v="54001"/>
    <s v="TA-25-1145582"/>
    <n v="81651"/>
    <s v="APERTURA"/>
    <s v="CB CRECIMIENTO ALIANZA - NUEVO"/>
    <s v="NORTE DE SANTANDER"/>
    <s v="CUCUTA"/>
    <s v="DISTRICOL COMIDA RAPIDA NICHE2"/>
    <s v="REDEBAN"/>
    <s v="FO-25-1577485"/>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69"/>
    <s v="TIPO I"/>
    <s v="TERRESTRE"/>
    <s v="DURAN ACOSTA FRANK YONNY"/>
    <n v="1"/>
    <n v="0"/>
    <n v="122645.45276000001"/>
    <n v="65164.677720000007"/>
    <n v="122645.45276000001"/>
  </r>
  <r>
    <s v="CUCUTA"/>
    <x v="3"/>
    <x v="4"/>
    <n v="54001"/>
    <s v="TA-25-1145621"/>
    <n v="81652"/>
    <s v="APERTURA"/>
    <s v="CB CRECIMIENTO ALIANZA - NUEVO"/>
    <s v="NORTE DE SANTANDER"/>
    <s v="CUCUTA"/>
    <s v="DISTRICOL CAFETERIA ASHLEY"/>
    <s v="REDEBAN"/>
    <s v="FO-25-1577509"/>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70"/>
    <s v="TIPO I"/>
    <s v="TERRESTRE"/>
    <s v="MORA VEGA JEAMPIER"/>
    <n v="1"/>
    <n v="0"/>
    <n v="122645.45276000001"/>
    <n v="65164.677720000007"/>
    <n v="122645.45276000001"/>
  </r>
  <r>
    <s v="CUCUTA"/>
    <x v="3"/>
    <x v="4"/>
    <n v="54405"/>
    <s v="TA-25-1145654"/>
    <n v="81665"/>
    <s v="APERTURA"/>
    <s v="CB CRECIMIENTO ALIANZA - NUEVO"/>
    <s v="NORTE DE SANTANDER"/>
    <s v="LOS PATIOS"/>
    <s v="DISTRICOL TU ENSUEÑO"/>
    <s v="REDEBAN"/>
    <s v="FO-25-1577531"/>
    <d v="2025-09-24T00:00:00"/>
    <d v="2025-09-25T00:00:00"/>
    <s v="AGREGADOR"/>
    <s v="DISTRICOL"/>
    <s v="EJECUTADO"/>
    <s v="24-09 PROGRAMACIÓN REALIZADA POR LA ALIANZA 25/09/2025 25-09 SE REALIZA LLAMADA AL CLIENTE, SE HABLA CON LA SRA ERIKA PAOLA LOPEZ GONZALEZ SE VALIDA DIRECCIÓN OK, CANAL OK, DISPONIBILIDAD TOTAL, USUARIO Y CONTRASEÑA WOMPI OK, LLAMAR EL DÍA LA INSTALACIÓN PARA CONFIRMAR VISITA, AVISO EXTERIOR ALTURA APROX 2 METROS"/>
    <s v="VISITA_TÉCNICA"/>
    <s v="FWZZZ471"/>
    <s v="TIPO I"/>
    <s v="TERRESTRE"/>
    <s v="PACHECO BUITRAGO JAVIER ALONSO"/>
    <n v="1"/>
    <n v="0"/>
    <n v="122645.45276000001"/>
    <n v="65164.677720000007"/>
    <n v="122645.45276000001"/>
  </r>
  <r>
    <s v="CUCUTA"/>
    <x v="3"/>
    <x v="4"/>
    <n v="54498"/>
    <s v="TA-25-1145684"/>
    <n v="81669"/>
    <s v="APERTURA"/>
    <s v="CB CRECIMIENTO ALIANZA - NUEVO"/>
    <s v="NORTE DE SANTANDER"/>
    <s v="OCAÑA"/>
    <s v="DISTRICOL QUALITY SHOP COL"/>
    <s v="REDEBAN"/>
    <s v="FO-25-1577553"/>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72"/>
    <s v="TIPO IV"/>
    <s v="TERRESTRE"/>
    <s v="MARTINEZ FLOREZ DONIS ALBERTO"/>
    <n v="1"/>
    <n v="0"/>
    <n v="122645.45276000001"/>
    <n v="65164.677720000007"/>
    <n v="122645.45276000001"/>
  </r>
  <r>
    <s v="PEREIRA"/>
    <x v="0"/>
    <x v="1"/>
    <n v="66400"/>
    <s v="TA-25-1145712"/>
    <n v="81663"/>
    <s v="APERTURA"/>
    <s v="CB CRECIMIENTO ALIANZA - NUEVO"/>
    <s v="RISARALDA"/>
    <s v="LA VIRGINIA"/>
    <s v="DISTRICOL NAUTIMOTOS TITO"/>
    <s v="REDEBAN"/>
    <s v="FO-25-1577574"/>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3"/>
    <s v="TIPO I"/>
    <s v="TERRESTRE"/>
    <s v="FRANCO CAÑAVERAL YAMID RAUL"/>
    <n v="1"/>
    <n v="0"/>
    <n v="122645.45276000001"/>
    <n v="65164.677720000007"/>
    <n v="122645.45276000001"/>
  </r>
  <r>
    <s v="BUCARAMANGA"/>
    <x v="3"/>
    <x v="4"/>
    <n v="68001"/>
    <s v="TA-25-1145744"/>
    <n v="81634"/>
    <s v="APERTURA"/>
    <s v="CB CRECIMIENTO ALIANZA - NUEVO"/>
    <s v="SANTANDER"/>
    <s v="BUCARAMANGA"/>
    <s v="DISTRICOL MICROMERCADO GAMBOA"/>
    <s v="REDEBAN"/>
    <s v="FO-25-1577595"/>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4"/>
    <s v="TIPO I"/>
    <s v="TERRESTRE"/>
    <s v="GONZALEZ ESTUPIÑAN YEISON WALTER ANTONIO"/>
    <n v="1"/>
    <n v="0"/>
    <n v="122645.45276000001"/>
    <n v="65164.677720000007"/>
    <n v="122645.45276000001"/>
  </r>
  <r>
    <s v="BUCARAMANGA"/>
    <x v="3"/>
    <x v="4"/>
    <n v="68307"/>
    <s v="TA-25-1145774"/>
    <n v="81657"/>
    <s v="APERTURA"/>
    <s v="CB CRECIMIENTO ALIANZA - NUEVO"/>
    <s v="SANTANDER"/>
    <s v="GIRON"/>
    <s v="DISTRICOL INVERSIONES EMG"/>
    <s v="REDEBAN"/>
    <s v="FO-25-1577616"/>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5"/>
    <s v="TIPO I"/>
    <s v="TERRESTRE"/>
    <s v="SANTOS GONZALEZ JOHAN FABIAN"/>
    <n v="1"/>
    <n v="0"/>
    <n v="122645.45276000001"/>
    <n v="65164.677720000007"/>
    <n v="122645.45276000001"/>
  </r>
  <r>
    <s v="BUCARAMANGA"/>
    <x v="3"/>
    <x v="4"/>
    <n v="68406"/>
    <s v="TA-25-1145805"/>
    <n v="81664"/>
    <s v="APERTURA"/>
    <s v="CB CRECIMIENTO ALIANZA - NUEVO"/>
    <s v="SANTANDER"/>
    <s v="LEBRIJA"/>
    <s v="PTM LEBRIJA BODEGA EMY AUTOSER"/>
    <s v="REDEBAN"/>
    <s v="FO-25-1577634"/>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6"/>
    <s v="TIPO II"/>
    <s v="TERRESTRE"/>
    <s v="PEÑA DIAZ IVAN YESID"/>
    <n v="1"/>
    <n v="0"/>
    <n v="122645.45276000001"/>
    <n v="65164.677720000007"/>
    <n v="122645.45276000001"/>
  </r>
  <r>
    <s v="BUCARAMANGA"/>
    <x v="3"/>
    <x v="4"/>
    <n v="68872"/>
    <s v="TA-25-1145806"/>
    <n v="81693"/>
    <s v="APERTURA"/>
    <s v="CB CRECIMIENTO ALIANZA - NUEVO"/>
    <s v="SANTANDER"/>
    <s v="VILLANUEVA"/>
    <s v="DISTRICOL LA GRANJA VILLANUEVA"/>
    <s v="REDEBAN"/>
    <s v="FO-25-1577644"/>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7"/>
    <s v="TIPO III"/>
    <s v="TERRESTRE"/>
    <s v="GELVEZ MOGOLLON JOSE ELISEO"/>
    <n v="1"/>
    <n v="0"/>
    <n v="122645.45276000001"/>
    <n v="65164.677720000007"/>
    <n v="122645.45276000001"/>
  </r>
  <r>
    <s v="SINCELEJO"/>
    <x v="1"/>
    <x v="2"/>
    <n v="70001"/>
    <s v="TA-25-1145807"/>
    <n v="81685"/>
    <s v="APERTURA"/>
    <s v="CB CRECIMIENTO ALIANZA - NUEVO"/>
    <s v="SUCRE"/>
    <s v="SINCELEJO"/>
    <s v="DISTRICOL D&amp;V MED FARMA"/>
    <s v="REDEBAN"/>
    <s v="FO-25-1577648"/>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78"/>
    <s v="TIPO I"/>
    <s v="TERRESTRE"/>
    <s v="SANTOS GUZMAN CHRISTIAN FELIPE"/>
    <n v="1"/>
    <n v="0"/>
    <n v="122645.45276000001"/>
    <n v="65164.677720000007"/>
    <n v="122645.45276000001"/>
  </r>
  <r>
    <s v="SINCELEJO"/>
    <x v="1"/>
    <x v="2"/>
    <n v="70001"/>
    <s v="TA-25-1145914"/>
    <n v="81684"/>
    <s v="APERTURA"/>
    <s v="CB CRECIMIENTO ALIANZA - NUEVO"/>
    <s v="SUCRE"/>
    <s v="SINCELEJO"/>
    <s v="DISTRICOL FARMAVID"/>
    <s v="REDEBAN"/>
    <s v="FO-25-157776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79"/>
    <s v="TIPO I"/>
    <s v="TERRESTRE"/>
    <s v="CACERES HERNANDEZ ANDRES"/>
    <n v="1"/>
    <n v="0"/>
    <n v="122645.45276000001"/>
    <n v="65164.677720000007"/>
    <n v="122645.45276000001"/>
  </r>
  <r>
    <s v="IBAGUE"/>
    <x v="2"/>
    <x v="3"/>
    <n v="73001"/>
    <s v="TA-25-1145809"/>
    <n v="81658"/>
    <s v="APERTURA"/>
    <s v="CB CRECIMIENTO ALIANZA - NUEVO"/>
    <s v="TOLIMA"/>
    <s v="IBAGUE"/>
    <s v="DISTRICOL MINIMARKET 1"/>
    <s v="REDEBAN"/>
    <s v="FO-25-1577656"/>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0"/>
    <s v="TIPO I"/>
    <s v="TERRESTRE"/>
    <s v="BARRAGAN TAFUR EDWIN ESTEBAN"/>
    <n v="1"/>
    <n v="0"/>
    <n v="122645.45276000001"/>
    <n v="65164.677720000007"/>
    <n v="122645.45276000001"/>
  </r>
  <r>
    <s v="IBAGUE"/>
    <x v="2"/>
    <x v="3"/>
    <n v="73001"/>
    <s v="TA-25-1145810"/>
    <n v="81659"/>
    <s v="APERTURA"/>
    <s v="CB CRECIMIENTO ALIANZA - NUEVO"/>
    <s v="TOLIMA"/>
    <s v="IBAGUE"/>
    <s v="DISTRICOL KARENA VARIEDADES"/>
    <s v="REDEBAN"/>
    <s v="FO-25-157765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1"/>
    <s v="TIPO I"/>
    <s v="TERRESTRE"/>
    <s v="BARRAGAN TAFUR EDWIN ESTEBAN"/>
    <n v="1"/>
    <n v="0"/>
    <n v="122645.45276000001"/>
    <n v="65164.677720000007"/>
    <n v="122645.45276000001"/>
  </r>
  <r>
    <s v="CALI"/>
    <x v="0"/>
    <x v="0"/>
    <n v="76001"/>
    <s v="TA-25-1145814"/>
    <n v="81640"/>
    <s v="APERTURA"/>
    <s v="CB CRECIMIENTO ALIANZA - NUEVO"/>
    <s v="VALLE DEL CAUCA"/>
    <s v="CALI"/>
    <s v="DISTRICOL BRYART ARTE DIGITAL"/>
    <s v="REDEBAN"/>
    <s v="FO-25-1577663"/>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2"/>
    <s v="TIPO I"/>
    <s v="TERRESTRE"/>
    <s v="HERRERA MONAR GEOVANNY"/>
    <n v="1"/>
    <n v="0"/>
    <n v="122645.45276000001"/>
    <n v="65164.677720000007"/>
    <n v="122645.45276000001"/>
  </r>
  <r>
    <s v="CALI"/>
    <x v="0"/>
    <x v="0"/>
    <n v="76001"/>
    <s v="TA-25-1145817"/>
    <n v="81638"/>
    <s v="APERTURA"/>
    <s v="CB CRECIMIENTO ALIANZA - NUEVO"/>
    <s v="VALLE DEL CAUCA"/>
    <s v="CALI"/>
    <s v="DISTRICOL DYSAR"/>
    <s v="REDEBAN"/>
    <s v="FO-25-1577667"/>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3"/>
    <s v="TIPO I"/>
    <s v="TERRESTRE"/>
    <s v="HERRERA MONAR GEOVANNY"/>
    <n v="1"/>
    <n v="0"/>
    <n v="122645.45276000001"/>
    <n v="65164.677720000007"/>
    <n v="122645.45276000001"/>
  </r>
  <r>
    <s v="CALI"/>
    <x v="0"/>
    <x v="0"/>
    <n v="76001"/>
    <s v="TA-25-1145818"/>
    <n v="81637"/>
    <s v="APERTURA"/>
    <s v="CB CRECIMIENTO ALIANZA - NUEVO"/>
    <s v="VALLE DEL CAUCA"/>
    <s v="CALI"/>
    <s v="PTM CALI PASAJE EXPRESS"/>
    <s v="REDEBAN"/>
    <s v="FO-25-1577670"/>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4"/>
    <s v="TIPO I"/>
    <s v="TERRESTRE"/>
    <s v="TORRES GARCIA JENDRY JOSE"/>
    <n v="1"/>
    <n v="0"/>
    <n v="122645.45276000001"/>
    <n v="65164.677720000007"/>
    <n v="122645.45276000001"/>
  </r>
  <r>
    <s v="CALI"/>
    <x v="0"/>
    <x v="0"/>
    <n v="76001"/>
    <s v="TA-25-1145821"/>
    <n v="81636"/>
    <s v="APERTURA"/>
    <s v="CB CRECIMIENTO ALIANZA - NUEVO"/>
    <s v="VALLE DEL CAUCA"/>
    <s v="CALI"/>
    <s v="PTM CALI MAXITECNO"/>
    <s v="REDEBAN"/>
    <s v="FO-25-1577673"/>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5"/>
    <s v="TIPO I"/>
    <s v="TERRESTRE"/>
    <s v="BOLAÑOS TABORDA JORGE ENRIQUE"/>
    <n v="1"/>
    <n v="0"/>
    <n v="122645.45276000001"/>
    <n v="65164.677720000007"/>
    <n v="122645.45276000001"/>
  </r>
  <r>
    <s v="CALI"/>
    <x v="0"/>
    <x v="0"/>
    <n v="76001"/>
    <s v="TA-25-1145822"/>
    <n v="81641"/>
    <s v="APERTURA"/>
    <s v="CB CRECIMIENTO ALIANZA - NUEVO"/>
    <s v="VALLE DEL CAUCA"/>
    <s v="CALI"/>
    <s v="PTM CALI MULTI TIENDA EL BILLE"/>
    <s v="REDEBAN"/>
    <s v="FO-25-1577676"/>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6"/>
    <s v="TIPO I"/>
    <s v="TERRESTRE"/>
    <s v="BOLAÑOS TABORDA JORGE ENRIQUE"/>
    <n v="1"/>
    <n v="0"/>
    <n v="122645.45276000001"/>
    <n v="65164.677720000007"/>
    <n v="122645.45276000001"/>
  </r>
  <r>
    <s v="CALI"/>
    <x v="0"/>
    <x v="0"/>
    <n v="76001"/>
    <s v="TA-25-1145823"/>
    <n v="81639"/>
    <s v="APERTURA"/>
    <s v="CB CRECIMIENTO ALIANZA - NUEVO"/>
    <s v="VALLE DEL CAUCA"/>
    <s v="CALI"/>
    <s v="PTM CALI CIBERNET PAPELERIA Y"/>
    <s v="REDEBAN"/>
    <s v="FO-25-1577679"/>
    <d v="2025-09-24T00:00:00"/>
    <d v="2025-09-25T00:00:00"/>
    <s v="AGREGADOR"/>
    <s v="COMCARD - PTM"/>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7"/>
    <s v="TIPO I"/>
    <s v="TERRESTRE"/>
    <s v="MONTERO MUESES GIAN CARLO"/>
    <n v="1"/>
    <n v="0"/>
    <n v="122645.45276000001"/>
    <n v="65164.677720000007"/>
    <n v="122645.45276000001"/>
  </r>
  <r>
    <s v="PEREIRA"/>
    <x v="0"/>
    <x v="1"/>
    <n v="76147"/>
    <s v="TA-25-1145827"/>
    <n v="81644"/>
    <s v="APERTURA"/>
    <s v="CB CRECIMIENTO ALIANZA - NUEVO"/>
    <s v="VALLE DEL CAUCA"/>
    <s v="CARTAGO"/>
    <s v="DISTRICOL DROG MEDICAR CARTAGO"/>
    <s v="REDEBAN"/>
    <s v="FO-25-1577688"/>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88"/>
    <s v="TIPO I"/>
    <s v="TERRESTRE"/>
    <s v="FRANCO CAÑAVERAL YAMID RAUL"/>
    <n v="1"/>
    <n v="0"/>
    <n v="122645.45276000001"/>
    <n v="65164.677720000007"/>
    <n v="122645.45276000001"/>
  </r>
  <r>
    <s v="CALI"/>
    <x v="0"/>
    <x v="0"/>
    <n v="76520"/>
    <s v="TA-25-1145828"/>
    <n v="81671"/>
    <s v="APERTURA"/>
    <s v="CB CRECIMIENTO ALIANZA - NUEVO"/>
    <s v="VALLE DEL CAUCA"/>
    <s v="PALMIRA"/>
    <s v="DISTRICOL VARIEDADES JOSUE"/>
    <s v="REDEBAN"/>
    <s v="FO-25-1577691"/>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89"/>
    <s v="TIPO I"/>
    <s v="TERRESTRE"/>
    <s v="TORRES GARCIA JENDRY JOSE"/>
    <n v="1"/>
    <n v="0"/>
    <n v="122645.45276000001"/>
    <n v="65164.677720000007"/>
    <n v="122645.45276000001"/>
  </r>
  <r>
    <s v="CALI"/>
    <x v="0"/>
    <x v="0"/>
    <n v="76834"/>
    <s v="TA-25-1145829"/>
    <n v="81689"/>
    <s v="APERTURA"/>
    <s v="CB CRECIMIENTO ALIANZA - NUEVO"/>
    <s v="VALLE DEL CAUCA"/>
    <s v="TULUA"/>
    <s v="PTM TULUA ALMACEN Y VARIEDADES"/>
    <s v="REDEBAN"/>
    <s v="FO-25-1577694"/>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90"/>
    <s v="TIPO II"/>
    <s v="TERRESTRE"/>
    <s v="MONTERO MUESES GIAN CARLO"/>
    <n v="1"/>
    <n v="0"/>
    <n v="122645.45276000001"/>
    <n v="65164.677720000007"/>
    <n v="122645.45276000001"/>
  </r>
  <r>
    <s v="BUCARAMANGA"/>
    <x v="3"/>
    <x v="4"/>
    <n v="81736"/>
    <s v="TA-25-1145833"/>
    <n v="81683"/>
    <s v="APERTURA"/>
    <s v="CB CRECIMIENTO ALIANZA - NUEVO"/>
    <s v="ARAUCA"/>
    <s v="SARAVENA"/>
    <s v="DISTRICOL VICTORIOSA SHOP"/>
    <s v="REDEBAN"/>
    <s v="FO-25-1577704"/>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91"/>
    <s v="TIPO IV ESPECIAL"/>
    <s v="AEREO"/>
    <s v="HERRERA LUQUE SAUL JAVIER"/>
    <n v="1"/>
    <n v="0"/>
    <n v="122645.45276000001"/>
    <n v="65164.677720000007"/>
    <n v="122645.45276000001"/>
  </r>
  <r>
    <s v="YOPAL"/>
    <x v="2"/>
    <x v="3"/>
    <n v="85001"/>
    <s v="TA-25-1145837"/>
    <n v="81702"/>
    <s v="APERTURA"/>
    <s v="CB CRECIMIENTO ALIANZA - NUEVO"/>
    <s v="CASANARE"/>
    <s v="YOPAL"/>
    <s v="DISTRICOL MINI MARK SOFIA"/>
    <s v="REDEBAN"/>
    <s v="FO-25-1577725"/>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492"/>
    <s v="TIPO I"/>
    <s v="TERRESTRE"/>
    <s v="ROZO JIMENEZ EDGAR ARMANDO"/>
    <n v="1"/>
    <n v="0"/>
    <n v="122645.45276000001"/>
    <n v="65164.677720000007"/>
    <n v="122645.45276000001"/>
  </r>
  <r>
    <s v="VILLAVICENCIO"/>
    <x v="2"/>
    <x v="3"/>
    <n v="85440"/>
    <s v="TA-25-1145838"/>
    <n v="81694"/>
    <s v="APERTURA"/>
    <s v="CB CRECIMIENTO ALIANZA - NUEVO"/>
    <s v="CASANARE"/>
    <s v="VILLANUEVA"/>
    <s v="PTM VILLANUEVA DROGUERIA J&amp;C F"/>
    <s v="REDEBAN"/>
    <s v="FO-25-1577736"/>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93"/>
    <s v="TIPO III"/>
    <s v="TERRESTRE"/>
    <s v="MOLINA CASTRO JAVIER ALBERTO"/>
    <n v="1"/>
    <n v="0"/>
    <n v="122645.45276000001"/>
    <n v="65164.677720000007"/>
    <n v="122645.45276000001"/>
  </r>
  <r>
    <s v="PASTO"/>
    <x v="0"/>
    <x v="0"/>
    <n v="86001"/>
    <s v="TA-25-1145844"/>
    <n v="81666"/>
    <s v="APERTURA"/>
    <s v="CB CRECIMIENTO ALIANZA - NUEVO"/>
    <s v="PUTUMAYO"/>
    <s v="MOCOA"/>
    <s v="DISTRICOL  COPYMAX CM"/>
    <s v="REDEBAN"/>
    <s v="FO-25-1577739"/>
    <d v="2025-09-24T00:00:00"/>
    <d v="2025-09-26T00:00:00"/>
    <s v="AGREGADOR"/>
    <s v="DISTRICOL"/>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494"/>
    <s v="TIPO IV"/>
    <s v="TERRESTRE"/>
    <s v="PAZ MARTINEZ RICHARD HUMBERTO"/>
    <n v="1"/>
    <n v="0"/>
    <n v="122645.45276000001"/>
    <n v="65164.677720000007"/>
    <n v="122645.45276000001"/>
  </r>
  <r>
    <s v="PASTO"/>
    <x v="0"/>
    <x v="0"/>
    <n v="86865"/>
    <s v="TA-25-1145940"/>
    <n v="81690"/>
    <s v="APERTURA"/>
    <s v="CB CRECIMIENTO ALIANZA - NUEVO"/>
    <s v="PUTUMAYO"/>
    <s v="VALLE DEL GUAMUEZ"/>
    <s v="DISTRICOL MILAN LA MARCA ERES"/>
    <s v="REDEBAN"/>
    <s v="FO-25-1577863"/>
    <d v="2025-09-24T00:00:00"/>
    <d v="2025-09-30T00:00:00"/>
    <s v="AGREGADOR"/>
    <s v="DISTRICOL"/>
    <s v="EJECUTADO"/>
    <s v="24-09 PROGRAMACIÓN REALIZADA POR LA ALIANZA 29-09 POR FUERTES LLUVIAS EN LA VÍA SE RETRASA EL TRANSPORTE. SE ATENDERÁ MAÑANA EN HORAS DE LA TARDE 30/09/2025 SE REALIZA INSTALACIÓN DE CORRESPONSAL, SE INSTALAN EQUIPOS CON PRUEBAS EXITOSAS, SE CAPACITA Y SE EVALÚA AL CLIENTE, SE INSTALA PUBLICIDAD COMPLETA, CB QUEDA OPERATIVO. USUARIO SOMOS BANCOLOMBIA ACTIVO"/>
    <s v="VISITA_TÉCNICA"/>
    <s v="FWZZZ501"/>
    <s v="TIPO IV"/>
    <s v="TERRESTRE"/>
    <s v="CASTILLO HERRERA ALEX RICARDO"/>
    <n v="1"/>
    <n v="0"/>
    <n v="122645.45276000001"/>
    <n v="65164.677720000007"/>
    <n v="122645.45276000001"/>
  </r>
  <r>
    <s v="APARTADO"/>
    <x v="4"/>
    <x v="5"/>
    <n v="5045"/>
    <s v="TA-25-1145941"/>
    <n v="81646"/>
    <s v="APERTURA"/>
    <s v="CB CRECIMIENTO ALIANZA - NUEVO"/>
    <s v="ANTIOQUIA"/>
    <s v="APARTADO"/>
    <s v="DISTRICOL DROGUERÍA COMERCIAL"/>
    <s v="REDEBAN"/>
    <s v="FO-25-1577885"/>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502"/>
    <s v="TIPO I"/>
    <s v="TERRESTRE"/>
    <s v="SALDARRIAGA MIRANDA SANTIAGO"/>
    <n v="1"/>
    <n v="0"/>
    <n v="122645.45276000001"/>
    <n v="65164.677720000007"/>
    <n v="122645.45276000001"/>
  </r>
  <r>
    <s v="APARTADO"/>
    <x v="4"/>
    <x v="5"/>
    <n v="5045"/>
    <s v="TA-25-1145944"/>
    <n v="81647"/>
    <s v="APERTURA"/>
    <s v="CB CRECIMIENTO ALIANZA - NUEVO"/>
    <s v="ANTIOQUIA"/>
    <s v="APARTADO"/>
    <s v="DISTRICOL FERROMATERIALES AGUD"/>
    <s v="REDEBAN"/>
    <s v="FO-25-1577897"/>
    <d v="2025-09-24T00:00:00"/>
    <d v="2025-09-25T00:00:00"/>
    <s v="AGREGADOR"/>
    <s v="DISTRICOL"/>
    <s v="EJECUTADO"/>
    <s v="24-09 PROGRAMACIÓN REALIZADA POR LA ALIANZA 25/09/2025 SE REALIZA INSTALACIÓN DE CORRESPONSAL, SE INSTALAN EQUIPOS CON PRUEBAS EXITOSAS, SE CAPACITA Y SE EVALÚA AL CLIENTE, SE INSTALA PUBLICIDAD COMPLETA, CB QUEDA OPERATIVO. USUARIO SOMOS BANCOLOMBIA ACTIVO"/>
    <s v="VISITA_TÉCNICA"/>
    <s v="FWZZZ503"/>
    <s v="TIPO I"/>
    <s v="TERRESTRE"/>
    <s v="SALDARRIAGA MIRANDA SANTIAGO"/>
    <n v="1"/>
    <n v="0"/>
    <n v="122645.45276000001"/>
    <n v="65164.677720000007"/>
    <n v="122645.45276000001"/>
  </r>
  <r>
    <s v="BOGOTA"/>
    <x v="5"/>
    <x v="6"/>
    <n v="11001"/>
    <s v="TA-25-1145946"/>
    <n v="81631"/>
    <s v="APERTURA"/>
    <s v="CB CRECIMIENTO ALIANZA - NUEVO"/>
    <s v="CUNDINAMARCA"/>
    <s v="BOGOTA"/>
    <s v="PTM BOGOTA PAPELERIA GAMER CEN"/>
    <s v="REDEBAN"/>
    <s v="FO-25-1577903"/>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504"/>
    <s v="TIPO I"/>
    <s v="TERRESTRE"/>
    <s v="ORTIZ MARTINEZ STIVEN"/>
    <n v="1"/>
    <n v="0"/>
    <n v="122645.45276000001"/>
    <n v="65164.677720000007"/>
    <n v="122645.45276000001"/>
  </r>
  <r>
    <s v="BOGOTA"/>
    <x v="5"/>
    <x v="6"/>
    <n v="11001"/>
    <s v="TA-25-1145950"/>
    <n v="81632"/>
    <s v="APERTURA"/>
    <s v="CB CRECIMIENTO ALIANZA - NUEVO"/>
    <s v="CUNDINAMARCA"/>
    <s v="BOGOTA"/>
    <s v="PTM BOGOTA MI PAPELERIA Y MAS"/>
    <s v="REDEBAN"/>
    <s v="FO-25-1577909"/>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505"/>
    <s v="TIPO I"/>
    <s v="TERRESTRE"/>
    <s v="VEGA MANRIQUE JONATAN MAURICIO"/>
    <n v="1"/>
    <n v="0"/>
    <n v="122645.45276000001"/>
    <n v="65164.677720000007"/>
    <n v="122645.45276000001"/>
  </r>
  <r>
    <s v="BOGOTA"/>
    <x v="5"/>
    <x v="6"/>
    <n v="11001"/>
    <s v="TA-25-1145952"/>
    <n v="81630"/>
    <s v="APERTURA"/>
    <s v="CB CRECIMIENTO ALIANZA - NUEVO"/>
    <s v="CUNDINAMARCA"/>
    <s v="BOGOTA"/>
    <s v="PTM BOGOTA TIENDA SANTI LA SEP"/>
    <s v="REDEBAN"/>
    <s v="FO-25-1589721"/>
    <d v="2025-09-24T00:00:00"/>
    <d v="2025-09-29T00:00:00"/>
    <s v="AGREGADOR"/>
    <s v="COMCARD - PTM"/>
    <s v="EJECUTADO"/>
    <s v="24-09 PROGRAMACIÓN REALIZADA POR LA ALIANZA 26/09/2025 SE LLEGA A SITIO, SE VERIFICA Y NO AHI PUNTO CABLEADO, NI PUERTO DISPONIBLE PARA LA CONEXIÓN DEL DATAFONO, CLIENTE SE NIEGA A DESCONECTAR DISPOSITIVOS PARA REALIZAR LA INSTALACIÓN. SE REPROGRAMA YA QUE INDICA QUE SE VA A CONSEGUIR UN SWITCH O REPETIDOR. SE ESCALA CON COORDINADOR QUIEN INDICA SE REALIZARA  REPROGRAMACION  PARA VISITAR NUEVAMENTE EL PUNTO. 29/09/2025 SE REALIZA INSTALACIÓN DE CORRESPONSAL, SE INSTALAN EQUIPOS CON PRUEBAS EXITOSAS, SE CAPACITA Y SE EVALÚA AL CLIENTE, SE INSTALA PUBLICIDAD COMPLETA, CB QUEDA OPERATIVO. USUARIO SOMOS BANCOLOMBIA ACTIVO"/>
    <s v="VISITA_TÉCNICA"/>
    <s v="FWZZZ506"/>
    <s v="TIPO I"/>
    <s v="TERRESTRE"/>
    <s v="ARIAS QUILINDO JULIAN"/>
    <n v="1"/>
    <n v="0"/>
    <n v="122645.45276000001"/>
    <n v="65164.677720000007"/>
    <n v="122645.45276000001"/>
  </r>
  <r>
    <s v="BOGOTA"/>
    <x v="5"/>
    <x v="6"/>
    <n v="11001"/>
    <s v="TA-25-1145953"/>
    <n v="81627"/>
    <s v="APERTURA"/>
    <s v="CB CRECIMIENTO ALIANZA - NUEVO"/>
    <s v="CUNDINAMARCA"/>
    <s v="BOGOTA"/>
    <s v="PTM BOGOTA PAGANINI 1A"/>
    <s v="REDEBAN"/>
    <s v="FO-25-1577918"/>
    <d v="2025-09-24T00:00:00"/>
    <d v="2025-09-26T00:00:00"/>
    <s v="AGREGADOR"/>
    <s v="COMCARD - PTM"/>
    <s v="EJECUTADO"/>
    <s v="24-09 PROGRAMACIÓN REALIZADA POR LA ALIANZA 26/09/2025 SE REALIZA INSTALACIÓN DE CORRESPONSAL, SE INSTALAN EQUIPOS CON PRUEBAS EXITOSAS, SE CAPACITA Y SE EVALÚA AL CLIENTE, SE INSTALA PUBLICIDAD COMPLETA, CB QUEDA OPERATIVO. USUARIO SOMOS BANCOLOMBIA ACTIVO"/>
    <s v="VISITA_TÉCNICA"/>
    <s v="FWZZZ507"/>
    <s v="TIPO I"/>
    <s v="TERRESTRE"/>
    <s v="GALINDO ROJAS LUIS FELIPE"/>
    <n v="1"/>
    <n v="0"/>
    <n v="122645.45276000001"/>
    <n v="65164.677720000007"/>
    <n v="122645.45276000001"/>
  </r>
  <r>
    <s v="MEDELLIN"/>
    <x v="4"/>
    <x v="5"/>
    <n v="5001"/>
    <s v="TA-25-1157216"/>
    <n v="81716"/>
    <s v="APERTURA"/>
    <s v="CB CRECIMIENTO ALIANZA - NUEVO"/>
    <s v="ANTIOQUIA"/>
    <s v="MEDELLIN"/>
    <s v="DISTRICOL LA ESPERANZA"/>
    <s v="REDEBAN"/>
    <s v="FO-25-1598618"/>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85"/>
    <s v="TIPO I"/>
    <s v="TERRESTRE"/>
    <s v="PAREJA ECHAVARRIA JHON DAVID"/>
    <n v="1"/>
    <n v="0"/>
    <n v="122645.45276000001"/>
    <n v="65164.677720000007"/>
    <n v="122645.45276000001"/>
  </r>
  <r>
    <s v="CARTAGENA"/>
    <x v="1"/>
    <x v="2"/>
    <n v="13001"/>
    <s v="TA-25-1157217"/>
    <n v="81705"/>
    <s v="APERTURA"/>
    <s v="CB CRECIMIENTO ALIANZA - NUEVO"/>
    <s v="BOLIVAR"/>
    <s v="CARTAGENA"/>
    <s v="DISTRICOL TIENDA EL NIDO"/>
    <s v="REDEBAN"/>
    <s v="FO-25-1598624"/>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86"/>
    <s v="TIPO I"/>
    <s v="TERRESTRE"/>
    <s v="MARTINEZ SALGUEDO ANDRES AUGUSTO"/>
    <n v="1"/>
    <n v="0"/>
    <n v="122645.45276000001"/>
    <n v="65164.677720000007"/>
    <n v="122645.45276000001"/>
  </r>
  <r>
    <s v="PASTO"/>
    <x v="0"/>
    <x v="0"/>
    <n v="52001"/>
    <s v="TA-25-1157224"/>
    <n v="81712"/>
    <s v="APERTURA"/>
    <s v="CB CRECIMIENTO ALIANZA - NUEVO"/>
    <s v="NARIÑO"/>
    <s v="PASTO"/>
    <s v="DISTRICOL TIENDA EL MONO"/>
    <s v="REDEBAN"/>
    <s v="FO-25-1598639"/>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89"/>
    <s v="TIPO I"/>
    <s v="TERRESTRE"/>
    <s v="REMICIO AMADO JOHN HEBER"/>
    <n v="1"/>
    <n v="0"/>
    <n v="122645.45276000001"/>
    <n v="65164.677720000007"/>
    <n v="122645.45276000001"/>
  </r>
  <r>
    <s v="PASTO"/>
    <x v="0"/>
    <x v="0"/>
    <n v="52001"/>
    <s v="TA-25-1157226"/>
    <n v="81711"/>
    <s v="APERTURA"/>
    <s v="CB CRECIMIENTO ALIANZA - NUEVO"/>
    <s v="NARIÑO"/>
    <s v="PASTO"/>
    <s v="DISTRICOL PAP ANGEL AGUALONGO"/>
    <s v="REDEBAN"/>
    <s v="FO-25-1598646"/>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90"/>
    <s v="TIPO I"/>
    <s v="TERRESTRE"/>
    <s v="REMICIO AMADO JOHN HEBER"/>
    <n v="1"/>
    <n v="0"/>
    <n v="122645.45276000001"/>
    <n v="65164.677720000007"/>
    <n v="122645.45276000001"/>
  </r>
  <r>
    <s v="CUCUTA"/>
    <x v="3"/>
    <x v="4"/>
    <n v="54001"/>
    <s v="TA-25-1157228"/>
    <n v="81707"/>
    <s v="APERTURA"/>
    <s v="CB CRECIMIENTO ALIANZA - NUEVO"/>
    <s v="NORTE DE SANTANDER"/>
    <s v="CUCUTA"/>
    <s v="DISTRICOL BONGA BG"/>
    <s v="REDEBAN"/>
    <s v="FO-25-1598659"/>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92"/>
    <s v="TIPO I"/>
    <s v="TERRESTRE"/>
    <s v="MORA VEGA JEAMPIER"/>
    <n v="1"/>
    <n v="0"/>
    <n v="122645.45276000001"/>
    <n v="65164.677720000007"/>
    <n v="122645.45276000001"/>
  </r>
  <r>
    <s v="CUCUTA"/>
    <x v="3"/>
    <x v="4"/>
    <n v="54874"/>
    <s v="TA-25-1157233"/>
    <n v="81715"/>
    <s v="APERTURA"/>
    <s v="CB CRECIMIENTO ALIANZA - NUEVO"/>
    <s v="NORTE DE SANTANDER"/>
    <s v="VILLA DEL ROSARIO"/>
    <s v="DISTRICOL MUEBLERIA CALIFORNIA"/>
    <s v="REDEBAN"/>
    <s v="FO-25-1598673"/>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95"/>
    <s v="TIPO I"/>
    <s v="TERRESTRE"/>
    <s v="PACHECO BUITRAGO JAVIER ALONSO"/>
    <n v="1"/>
    <n v="0"/>
    <n v="122645.45276000001"/>
    <n v="65164.677720000007"/>
    <n v="122645.45276000001"/>
  </r>
  <r>
    <s v="BUCARAMANGA"/>
    <x v="3"/>
    <x v="4"/>
    <n v="68001"/>
    <s v="TA-25-1157235"/>
    <n v="81703"/>
    <s v="APERTURA"/>
    <s v="CB CRECIMIENTO ALIANZA - NUEVO"/>
    <s v="SANTANDER"/>
    <s v="BUCARAMANGA"/>
    <s v="DISTRICOL OPULENCE SHOES"/>
    <s v="REDEBAN"/>
    <s v="FO-25-1598678"/>
    <d v="2025-09-29T00:00:00"/>
    <d v="2025-09-30T00:00:00"/>
    <s v="AGREGADOR"/>
    <s v="DISTRICOL"/>
    <s v="EJECUTADO"/>
    <s v="29-09 PROGRAMACIÓN REALIZADA POR LA ALIANZA 30/09/2025 SE REALIZA INSTALACIÓN DE CORRESPONSAL, SE INSTALAN EQUIPOS CON PRUEBAS EXITOSAS, SE CAPACITA Y SE EVALÚA AL CLIENTE, SE INSTALA PUBLICIDAD COMPLETA, CB QUEDA OPERATIVO. USUARIO SOMOS BANCOLOMBIA ACTIVO"/>
    <s v="VISITA_TÉCNICA"/>
    <s v="FYZZZ196"/>
    <s v="TIPO I"/>
    <s v="TERRESTRE"/>
    <s v="REYES RAMIREZ DIEGO ALEXANDER"/>
    <n v="1"/>
    <n v="0"/>
    <n v="122645.45276000001"/>
    <n v="65164.677720000007"/>
    <n v="122645.45276000001"/>
  </r>
  <r>
    <m/>
    <x v="6"/>
    <x v="7"/>
    <m/>
    <m/>
    <m/>
    <m/>
    <m/>
    <m/>
    <m/>
    <m/>
    <m/>
    <m/>
    <m/>
    <m/>
    <m/>
    <m/>
    <m/>
    <m/>
    <m/>
    <m/>
    <m/>
    <m/>
    <m/>
    <m/>
    <m/>
    <m/>
    <m/>
    <n v="26000835.985119961"/>
  </r>
  <r>
    <m/>
    <x v="6"/>
    <x v="7"/>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4DEE5-F944-4E18-AB6F-1A5CF0B1FA8D}" name="TablaDinámica1" cacheId="40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29">
    <pivotField compact="0" outline="0" showAll="0"/>
    <pivotField axis="axisRow" compact="0" outline="0" showAll="0" defaultSubtotal="0">
      <items count="7">
        <item x="0"/>
        <item x="1"/>
        <item x="4"/>
        <item x="2"/>
        <item x="3"/>
        <item x="5"/>
        <item h="1" x="6"/>
      </items>
    </pivotField>
    <pivotField axis="axisRow" compact="0" outline="0" showAll="0">
      <items count="9">
        <item x="2"/>
        <item x="1"/>
        <item x="0"/>
        <item x="6"/>
        <item x="5"/>
        <item x="3"/>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Suma de  VALOR TOTAL " fld="28" showDataAs="percentOfTotal" baseField="0" baseItem="0" numFmtId="10"/>
    <dataField name="Suma de  VALOR TOTAL 2" fld="28" baseField="0" baseItem="0"/>
  </dataFields>
  <formats count="2">
    <format dxfId="4">
      <pivotArea outline="0" collapsedLevelsAreSubtotals="1" fieldPosition="0"/>
    </format>
    <format dxfId="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M11"/>
  <sheetViews>
    <sheetView workbookViewId="0">
      <selection activeCell="H2" sqref="H2"/>
    </sheetView>
  </sheetViews>
  <sheetFormatPr defaultColWidth="11.42578125" defaultRowHeight="10.9"/>
  <cols>
    <col min="1" max="1" width="16.5703125" style="1" bestFit="1" customWidth="1"/>
    <col min="2" max="2" width="10.140625" style="1" bestFit="1" customWidth="1"/>
    <col min="3" max="3" width="21" style="1" bestFit="1" customWidth="1"/>
    <col min="4" max="4" width="28.140625" style="1" bestFit="1" customWidth="1"/>
    <col min="5" max="5" width="15.28515625" style="1" bestFit="1" customWidth="1"/>
    <col min="6" max="6" width="13.85546875" style="1" customWidth="1"/>
    <col min="7" max="7" width="13.140625" style="1" customWidth="1"/>
    <col min="8" max="8" width="13.7109375" style="1" bestFit="1" customWidth="1"/>
    <col min="9" max="9" width="15.5703125" style="1" bestFit="1" customWidth="1"/>
    <col min="10" max="10" width="2.7109375" style="1" customWidth="1"/>
    <col min="11" max="11" width="16.5703125" style="1" customWidth="1"/>
    <col min="12" max="12" width="15.28515625" style="1" customWidth="1"/>
    <col min="13" max="13" width="14.5703125" style="1" bestFit="1" customWidth="1"/>
    <col min="14" max="16384" width="11.42578125" style="1"/>
  </cols>
  <sheetData>
    <row r="1" spans="1:13" ht="53.45" thickBot="1">
      <c r="A1" s="38" t="s">
        <v>0</v>
      </c>
      <c r="B1" s="39" t="s">
        <v>1</v>
      </c>
      <c r="C1" s="39" t="s">
        <v>2</v>
      </c>
      <c r="D1" s="39" t="s">
        <v>3</v>
      </c>
      <c r="E1" s="39" t="s">
        <v>4</v>
      </c>
      <c r="F1" s="39" t="s">
        <v>5</v>
      </c>
      <c r="G1" s="39" t="s">
        <v>6</v>
      </c>
      <c r="H1" s="39" t="s">
        <v>7</v>
      </c>
      <c r="I1" s="39" t="s">
        <v>8</v>
      </c>
    </row>
    <row r="2" spans="1:13" ht="39.6">
      <c r="A2" s="40" t="s">
        <v>9</v>
      </c>
      <c r="B2" s="41" t="s">
        <v>10</v>
      </c>
      <c r="C2" s="41" t="s">
        <v>11</v>
      </c>
      <c r="D2" s="41" t="s">
        <v>12</v>
      </c>
      <c r="E2" s="41" t="s">
        <v>13</v>
      </c>
      <c r="F2" s="42">
        <f>COUNTA('CAPACITACIONES APERTURAS'!A:A)-1</f>
        <v>212</v>
      </c>
      <c r="G2" s="43">
        <f>'BASE FACTURACION 2025'!C3</f>
        <v>122645.45276000001</v>
      </c>
      <c r="H2" s="43">
        <f>'CAPACITACIONES APERTURAS'!AC214</f>
        <v>26000835.985119961</v>
      </c>
      <c r="I2" s="43">
        <f>H2*1.19</f>
        <v>30940994.822292753</v>
      </c>
    </row>
    <row r="3" spans="1:13" ht="40.15" thickBot="1">
      <c r="A3" s="40" t="str">
        <f>A2</f>
        <v>SEPTIEMBREDE 2025</v>
      </c>
      <c r="B3" s="41" t="s">
        <v>10</v>
      </c>
      <c r="C3" s="41" t="s">
        <v>11</v>
      </c>
      <c r="D3" s="41" t="s">
        <v>14</v>
      </c>
      <c r="E3" s="41" t="s">
        <v>13</v>
      </c>
      <c r="F3" s="42">
        <f>COUNTA('CAPACITACION OC '!A:A)-1</f>
        <v>0</v>
      </c>
      <c r="G3" s="43">
        <v>0</v>
      </c>
      <c r="H3" s="43">
        <f>'CAPACITACION OC '!AW3</f>
        <v>0</v>
      </c>
      <c r="I3" s="43">
        <f t="shared" ref="I3" si="0">H3*1.19</f>
        <v>0</v>
      </c>
    </row>
    <row r="4" spans="1:13" ht="13.9" thickBot="1">
      <c r="A4" s="91" t="s">
        <v>15</v>
      </c>
      <c r="B4" s="92"/>
      <c r="C4" s="92"/>
      <c r="D4" s="93"/>
      <c r="E4" s="44" t="s">
        <v>15</v>
      </c>
      <c r="F4" s="45">
        <f>SUM(F2:F3)</f>
        <v>212</v>
      </c>
      <c r="G4" s="46"/>
      <c r="H4" s="47">
        <f>SUM(H2:H3)</f>
        <v>26000835.985119961</v>
      </c>
      <c r="I4" s="47">
        <f>SUM(I2:I3)</f>
        <v>30940994.822292753</v>
      </c>
      <c r="K4" s="53"/>
      <c r="L4" s="53"/>
      <c r="M4" s="53"/>
    </row>
    <row r="11" spans="1:13">
      <c r="G11" s="63"/>
      <c r="I11" s="63"/>
    </row>
  </sheetData>
  <autoFilter ref="A1:I4" xr:uid="{00000000-0009-0000-0000-000000000000}"/>
  <mergeCells count="1">
    <mergeCell ref="A4:D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L18"/>
  <sheetViews>
    <sheetView workbookViewId="0">
      <selection activeCell="F4" sqref="F4"/>
    </sheetView>
  </sheetViews>
  <sheetFormatPr defaultColWidth="11.42578125" defaultRowHeight="14.45"/>
  <cols>
    <col min="1" max="1" width="18.28515625" style="5" customWidth="1"/>
    <col min="2" max="2" width="18.5703125" style="5" bestFit="1" customWidth="1"/>
    <col min="3" max="3" width="21" style="5" customWidth="1"/>
    <col min="4" max="4" width="18.140625" style="5" bestFit="1" customWidth="1"/>
    <col min="5" max="5" width="23.140625" style="5" customWidth="1"/>
    <col min="6" max="6" width="11.85546875" style="5" bestFit="1" customWidth="1"/>
    <col min="7" max="7" width="3.85546875" style="5" customWidth="1"/>
    <col min="8" max="8" width="17.5703125" style="5" customWidth="1"/>
    <col min="9" max="9" width="12" style="5" bestFit="1" customWidth="1"/>
    <col min="10" max="11" width="20.7109375" style="5" customWidth="1"/>
  </cols>
  <sheetData>
    <row r="1" spans="1:12">
      <c r="A1" s="94" t="s">
        <v>16</v>
      </c>
      <c r="B1" s="94"/>
      <c r="C1" s="94"/>
      <c r="D1" s="94"/>
      <c r="E1" s="94"/>
      <c r="F1" s="94"/>
      <c r="H1" s="11" t="s">
        <v>17</v>
      </c>
    </row>
    <row r="2" spans="1:12" ht="66">
      <c r="A2" s="10" t="s">
        <v>18</v>
      </c>
      <c r="B2" s="10" t="s">
        <v>19</v>
      </c>
      <c r="C2" s="10" t="s">
        <v>20</v>
      </c>
      <c r="D2" s="10" t="s">
        <v>21</v>
      </c>
      <c r="E2" s="10" t="s">
        <v>22</v>
      </c>
      <c r="F2" s="11" t="s">
        <v>23</v>
      </c>
      <c r="H2" s="34">
        <v>5.1999999999999998E-2</v>
      </c>
    </row>
    <row r="3" spans="1:12">
      <c r="A3" s="35" t="s">
        <v>24</v>
      </c>
      <c r="B3" s="35" t="s">
        <v>25</v>
      </c>
      <c r="C3" s="36">
        <f>116583.13*(1+$H$2)</f>
        <v>122645.45276000001</v>
      </c>
      <c r="D3" s="36">
        <f>186397.63*(1+$H$2)</f>
        <v>196090.30676000001</v>
      </c>
      <c r="E3" s="36">
        <f>36031.04*(1+$H$2)</f>
        <v>37904.65408</v>
      </c>
      <c r="F3" s="36">
        <f>61943.61*(1+$H$2)</f>
        <v>65164.677720000007</v>
      </c>
      <c r="H3" s="6"/>
      <c r="I3" s="6"/>
      <c r="J3" s="6"/>
      <c r="K3" s="6"/>
    </row>
    <row r="4" spans="1:12">
      <c r="A4" s="35" t="s">
        <v>26</v>
      </c>
      <c r="B4" s="35" t="s">
        <v>27</v>
      </c>
      <c r="C4" s="36">
        <f t="shared" ref="C4:C7" si="0">116583.13*(1+$H$2)</f>
        <v>122645.45276000001</v>
      </c>
      <c r="D4" s="36">
        <f>239830.52*(1+$H$2)</f>
        <v>252301.70704000001</v>
      </c>
      <c r="E4" s="36">
        <f t="shared" ref="E4:E7" si="1">36031.04*(1+$H$2)</f>
        <v>37904.65408</v>
      </c>
      <c r="F4" s="36">
        <f t="shared" ref="F4:F7" si="2">61943.61*(1+$H$2)</f>
        <v>65164.677720000007</v>
      </c>
      <c r="H4" s="6"/>
      <c r="I4" s="6"/>
      <c r="J4" s="6"/>
      <c r="K4" s="6"/>
    </row>
    <row r="5" spans="1:12">
      <c r="A5" s="35" t="s">
        <v>28</v>
      </c>
      <c r="B5" s="35" t="s">
        <v>29</v>
      </c>
      <c r="C5" s="36">
        <f t="shared" si="0"/>
        <v>122645.45276000001</v>
      </c>
      <c r="D5" s="36">
        <f>385797.87*(1+$H$2)</f>
        <v>405859.35924000002</v>
      </c>
      <c r="E5" s="36">
        <f t="shared" si="1"/>
        <v>37904.65408</v>
      </c>
      <c r="F5" s="36">
        <f t="shared" si="2"/>
        <v>65164.677720000007</v>
      </c>
      <c r="H5" s="6"/>
      <c r="I5" s="6"/>
      <c r="J5" s="6"/>
      <c r="K5" s="6"/>
    </row>
    <row r="6" spans="1:12">
      <c r="A6" s="35" t="s">
        <v>30</v>
      </c>
      <c r="B6" s="35" t="s">
        <v>31</v>
      </c>
      <c r="C6" s="36">
        <f t="shared" si="0"/>
        <v>122645.45276000001</v>
      </c>
      <c r="D6" s="36">
        <f>579581.34*(1+$H$2)</f>
        <v>609719.56967999996</v>
      </c>
      <c r="E6" s="36">
        <f t="shared" si="1"/>
        <v>37904.65408</v>
      </c>
      <c r="F6" s="36">
        <f t="shared" si="2"/>
        <v>65164.677720000007</v>
      </c>
      <c r="H6" s="6"/>
      <c r="I6" s="6"/>
      <c r="J6" s="6"/>
      <c r="K6" s="6"/>
    </row>
    <row r="7" spans="1:12">
      <c r="A7" s="35" t="s">
        <v>32</v>
      </c>
      <c r="B7" s="35" t="s">
        <v>33</v>
      </c>
      <c r="C7" s="36">
        <f t="shared" si="0"/>
        <v>122645.45276000001</v>
      </c>
      <c r="D7" s="36">
        <f>579581.34*(1+$H$2)</f>
        <v>609719.56967999996</v>
      </c>
      <c r="E7" s="36">
        <f t="shared" si="1"/>
        <v>37904.65408</v>
      </c>
      <c r="F7" s="36">
        <f t="shared" si="2"/>
        <v>65164.677720000007</v>
      </c>
      <c r="H7" s="6"/>
      <c r="I7" s="6"/>
      <c r="J7" s="6"/>
      <c r="K7" s="6"/>
    </row>
    <row r="8" spans="1:12">
      <c r="A8" s="95" t="s">
        <v>34</v>
      </c>
      <c r="B8" s="96"/>
      <c r="C8" s="96"/>
      <c r="D8" s="96"/>
      <c r="E8" s="96"/>
      <c r="F8" s="97"/>
    </row>
    <row r="9" spans="1:12">
      <c r="A9" s="95" t="s">
        <v>35</v>
      </c>
      <c r="B9" s="96"/>
      <c r="C9" s="96"/>
      <c r="D9" s="96"/>
      <c r="E9" s="96"/>
      <c r="F9" s="97"/>
    </row>
    <row r="11" spans="1:12">
      <c r="A11" s="98" t="s">
        <v>36</v>
      </c>
      <c r="B11" s="98"/>
      <c r="C11" s="98"/>
      <c r="D11" s="98"/>
      <c r="E11" s="20"/>
      <c r="F11" s="20"/>
    </row>
    <row r="12" spans="1:12">
      <c r="A12" s="16" t="s">
        <v>18</v>
      </c>
      <c r="B12" s="16" t="s">
        <v>19</v>
      </c>
      <c r="C12" s="16" t="s">
        <v>37</v>
      </c>
      <c r="D12" s="16" t="s">
        <v>38</v>
      </c>
    </row>
    <row r="13" spans="1:12">
      <c r="A13" s="17" t="s">
        <v>24</v>
      </c>
      <c r="B13" s="17" t="s">
        <v>25</v>
      </c>
      <c r="C13" s="37">
        <f>62700.07*(1+$H$2)</f>
        <v>65960.473639999997</v>
      </c>
      <c r="D13" s="37">
        <f>42357.4*(1+$H$2)</f>
        <v>44559.984800000006</v>
      </c>
      <c r="E13" s="6"/>
      <c r="F13" s="6"/>
      <c r="H13" s="6"/>
      <c r="I13" s="6"/>
      <c r="J13" s="6"/>
      <c r="K13" s="6"/>
      <c r="L13" s="6"/>
    </row>
    <row r="14" spans="1:12">
      <c r="A14" s="17" t="s">
        <v>26</v>
      </c>
      <c r="B14" s="17" t="s">
        <v>27</v>
      </c>
      <c r="C14" s="37">
        <f>155716.31*(1+$H$2)</f>
        <v>163813.55812</v>
      </c>
      <c r="D14" s="37">
        <f>127766.53*(1+$H$2)</f>
        <v>134410.38956000001</v>
      </c>
      <c r="E14" s="6"/>
      <c r="F14" s="6"/>
      <c r="H14" s="6"/>
      <c r="I14" s="6"/>
      <c r="J14" s="6"/>
      <c r="K14" s="6"/>
      <c r="L14" s="6"/>
    </row>
    <row r="15" spans="1:12">
      <c r="A15" s="17" t="s">
        <v>28</v>
      </c>
      <c r="B15" s="17" t="s">
        <v>29</v>
      </c>
      <c r="C15" s="37">
        <f>262099.22*(1+$H$2)</f>
        <v>275728.37943999999</v>
      </c>
      <c r="D15" s="37">
        <f>211886.19*(1+$H$2)</f>
        <v>222904.27188000001</v>
      </c>
      <c r="E15" s="6"/>
      <c r="F15" s="6"/>
      <c r="H15" s="6"/>
      <c r="I15" s="6"/>
      <c r="J15" s="6"/>
      <c r="K15" s="6"/>
      <c r="L15" s="6"/>
    </row>
    <row r="16" spans="1:12" ht="15" customHeight="1">
      <c r="A16" s="17" t="s">
        <v>30</v>
      </c>
      <c r="B16" s="17" t="s">
        <v>31</v>
      </c>
      <c r="C16" s="37">
        <f>455883.78*(1+$H$2)</f>
        <v>479589.73656000005</v>
      </c>
      <c r="D16" s="37">
        <f>441833.68*(1+$H$2)</f>
        <v>464809.03136000002</v>
      </c>
      <c r="E16" s="6"/>
      <c r="F16" s="6"/>
      <c r="H16" s="6"/>
      <c r="I16" s="6"/>
      <c r="J16" s="6"/>
      <c r="K16" s="6"/>
      <c r="L16" s="6"/>
    </row>
    <row r="17" spans="1:12" ht="27" customHeight="1">
      <c r="A17" s="17" t="s">
        <v>39</v>
      </c>
      <c r="B17" s="17" t="s">
        <v>40</v>
      </c>
      <c r="C17" s="37">
        <f>455883.78*(1+$H$2)</f>
        <v>479589.73656000005</v>
      </c>
      <c r="D17" s="37">
        <f>441833.68*(1+$H$2)</f>
        <v>464809.03136000002</v>
      </c>
      <c r="E17" s="6"/>
      <c r="F17" s="6"/>
      <c r="H17" s="6"/>
      <c r="I17" s="6"/>
      <c r="J17" s="6"/>
      <c r="K17" s="6"/>
      <c r="L17" s="6"/>
    </row>
    <row r="18" spans="1:12" s="19" customFormat="1" ht="24" customHeight="1">
      <c r="A18" s="99" t="s">
        <v>41</v>
      </c>
      <c r="B18" s="100"/>
      <c r="C18" s="100"/>
      <c r="D18" s="101"/>
      <c r="E18" s="18"/>
    </row>
  </sheetData>
  <mergeCells count="5">
    <mergeCell ref="A1:F1"/>
    <mergeCell ref="A8:F8"/>
    <mergeCell ref="A9:F9"/>
    <mergeCell ref="A11:D11"/>
    <mergeCell ref="A18:D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CC79-F853-4081-AAEC-E1D40B88D430}">
  <dimension ref="A3:E11"/>
  <sheetViews>
    <sheetView tabSelected="1" workbookViewId="0">
      <selection activeCell="D10" sqref="D10"/>
    </sheetView>
  </sheetViews>
  <sheetFormatPr defaultColWidth="8.85546875" defaultRowHeight="14.45"/>
  <cols>
    <col min="1" max="1" width="32.85546875" bestFit="1" customWidth="1"/>
    <col min="2" max="2" width="32.5703125" bestFit="1" customWidth="1"/>
    <col min="3" max="3" width="23.140625" bestFit="1" customWidth="1"/>
    <col min="4" max="4" width="24.140625" style="33" bestFit="1" customWidth="1"/>
    <col min="5" max="5" width="30" customWidth="1"/>
  </cols>
  <sheetData>
    <row r="3" spans="1:5">
      <c r="A3" s="31" t="s">
        <v>42</v>
      </c>
      <c r="B3" s="31" t="s">
        <v>43</v>
      </c>
      <c r="C3" t="s">
        <v>44</v>
      </c>
      <c r="D3" t="s">
        <v>45</v>
      </c>
      <c r="E3" t="s">
        <v>46</v>
      </c>
    </row>
    <row r="4" spans="1:5">
      <c r="A4" t="s">
        <v>47</v>
      </c>
      <c r="B4" t="s">
        <v>48</v>
      </c>
      <c r="C4" s="52">
        <v>4.2452830188679284E-2</v>
      </c>
      <c r="D4" s="32">
        <v>1103809.0748400001</v>
      </c>
      <c r="E4" t="str">
        <f>VLOOKUP(B4,'CENTRO DE COSTOS'!B:C,2,0)</f>
        <v>Redeban Eje Cafetero (Pereira)</v>
      </c>
    </row>
    <row r="5" spans="1:5">
      <c r="B5" t="s">
        <v>49</v>
      </c>
      <c r="C5" s="52">
        <v>0.20754716981132074</v>
      </c>
      <c r="D5" s="32">
        <v>5396399.9214399951</v>
      </c>
      <c r="E5" t="str">
        <f>VLOOKUP(B5,'CENTRO DE COSTOS'!B:C,2,0)</f>
        <v>Redeban Suroccidente (Cali)</v>
      </c>
    </row>
    <row r="6" spans="1:5">
      <c r="A6" t="s">
        <v>50</v>
      </c>
      <c r="B6" t="s">
        <v>51</v>
      </c>
      <c r="C6" s="52">
        <v>9.4339622641509524E-2</v>
      </c>
      <c r="D6" s="32">
        <v>2452909.0552000003</v>
      </c>
      <c r="E6" t="str">
        <f>VLOOKUP(B6,'CENTRO DE COSTOS'!B:C,2,0)</f>
        <v>Redeban Costa (Barranqullla)</v>
      </c>
    </row>
    <row r="7" spans="1:5">
      <c r="A7" t="s">
        <v>52</v>
      </c>
      <c r="B7" t="s">
        <v>53</v>
      </c>
      <c r="C7" s="52">
        <v>0.24528301886792447</v>
      </c>
      <c r="D7" s="32">
        <v>6377563.5435199933</v>
      </c>
      <c r="E7" t="str">
        <f>VLOOKUP(B7,'CENTRO DE COSTOS'!B:C,2,0)</f>
        <v>Redeban Noroccidente (Medellín)</v>
      </c>
    </row>
    <row r="8" spans="1:5">
      <c r="A8" t="s">
        <v>54</v>
      </c>
      <c r="B8" t="s">
        <v>55</v>
      </c>
      <c r="C8" s="52">
        <v>8.9622641509434053E-2</v>
      </c>
      <c r="D8" s="32">
        <v>2330263.6024400005</v>
      </c>
      <c r="E8" t="str">
        <f>VLOOKUP(B8,'CENTRO DE COSTOS'!B:C,2,0)</f>
        <v>Redeban Oriente (Otros)</v>
      </c>
    </row>
    <row r="9" spans="1:5">
      <c r="A9" t="s">
        <v>56</v>
      </c>
      <c r="B9" t="s">
        <v>57</v>
      </c>
      <c r="C9" s="52">
        <v>0.21226415094339618</v>
      </c>
      <c r="D9" s="32">
        <v>5519045.3741999948</v>
      </c>
      <c r="E9" t="str">
        <f>VLOOKUP(B9,'CENTRO DE COSTOS'!B:C,2,0)</f>
        <v>Redeban Santander</v>
      </c>
    </row>
    <row r="10" spans="1:5">
      <c r="A10" t="s">
        <v>58</v>
      </c>
      <c r="B10" t="s">
        <v>59</v>
      </c>
      <c r="C10" s="52">
        <v>0.10849056603773592</v>
      </c>
      <c r="D10" s="32">
        <v>2820845.4134799996</v>
      </c>
      <c r="E10" t="str">
        <f>VLOOKUP(B10,'CENTRO DE COSTOS'!B:C,2,0)</f>
        <v>Redeban Centro ( Bogotá)</v>
      </c>
    </row>
    <row r="11" spans="1:5">
      <c r="A11" t="s">
        <v>60</v>
      </c>
      <c r="C11" s="52">
        <v>1</v>
      </c>
      <c r="D11" s="32">
        <v>26000835.98511998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C214"/>
  <sheetViews>
    <sheetView topLeftCell="I1" workbookViewId="0">
      <pane ySplit="1" topLeftCell="A2" activePane="bottomLeft" state="frozen"/>
      <selection pane="bottomLeft" activeCell="I29" sqref="A29:XFD213"/>
      <selection activeCell="C1" sqref="C1"/>
    </sheetView>
  </sheetViews>
  <sheetFormatPr defaultColWidth="11.42578125" defaultRowHeight="15" customHeight="1"/>
  <cols>
    <col min="1" max="1" width="11.42578125" style="48"/>
    <col min="2" max="2" width="11.42578125" style="54"/>
    <col min="3" max="3" width="11.85546875" style="54" customWidth="1"/>
    <col min="4" max="4" width="11.5703125" style="48" bestFit="1" customWidth="1"/>
    <col min="5" max="5" width="11.85546875" style="48" bestFit="1" customWidth="1"/>
    <col min="6" max="6" width="11.5703125" style="50" bestFit="1" customWidth="1"/>
    <col min="7" max="12" width="11.42578125" style="48"/>
    <col min="13" max="13" width="15.7109375" style="48" customWidth="1"/>
    <col min="14" max="14" width="11.5703125" style="49" bestFit="1" customWidth="1"/>
    <col min="15" max="15" width="14.42578125" style="49" customWidth="1"/>
    <col min="16" max="24" width="11.42578125" style="48"/>
    <col min="25" max="26" width="11.5703125" style="48" bestFit="1" customWidth="1"/>
    <col min="27" max="28" width="13.140625" style="48" bestFit="1" customWidth="1"/>
    <col min="29" max="29" width="13.42578125" style="48" bestFit="1" customWidth="1"/>
    <col min="30" max="16384" width="11.42578125" style="48"/>
  </cols>
  <sheetData>
    <row r="1" spans="1:29" s="62" customFormat="1" ht="52.9">
      <c r="A1" s="90" t="s">
        <v>61</v>
      </c>
      <c r="B1" s="90" t="s">
        <v>42</v>
      </c>
      <c r="C1" s="90" t="s">
        <v>43</v>
      </c>
      <c r="D1" s="90" t="s">
        <v>62</v>
      </c>
      <c r="E1" s="90" t="s">
        <v>63</v>
      </c>
      <c r="F1" s="90" t="s">
        <v>64</v>
      </c>
      <c r="G1" s="55" t="s">
        <v>65</v>
      </c>
      <c r="H1" s="55" t="s">
        <v>66</v>
      </c>
      <c r="I1" s="90" t="s">
        <v>67</v>
      </c>
      <c r="J1" s="90" t="s">
        <v>68</v>
      </c>
      <c r="K1" s="90" t="s">
        <v>69</v>
      </c>
      <c r="L1" s="90" t="s">
        <v>70</v>
      </c>
      <c r="M1" s="90" t="s">
        <v>71</v>
      </c>
      <c r="N1" s="56" t="s">
        <v>72</v>
      </c>
      <c r="O1" s="56" t="s">
        <v>73</v>
      </c>
      <c r="P1" s="57" t="s">
        <v>74</v>
      </c>
      <c r="Q1" s="57" t="s">
        <v>75</v>
      </c>
      <c r="R1" s="58" t="s">
        <v>76</v>
      </c>
      <c r="S1" s="58" t="s">
        <v>77</v>
      </c>
      <c r="T1" s="90" t="s">
        <v>78</v>
      </c>
      <c r="U1" s="58" t="s">
        <v>79</v>
      </c>
      <c r="V1" s="57" t="s">
        <v>80</v>
      </c>
      <c r="W1" s="57" t="s">
        <v>81</v>
      </c>
      <c r="X1" s="58" t="s">
        <v>82</v>
      </c>
      <c r="Y1" s="59" t="s">
        <v>83</v>
      </c>
      <c r="Z1" s="60" t="s">
        <v>84</v>
      </c>
      <c r="AA1" s="61" t="s">
        <v>85</v>
      </c>
      <c r="AB1" s="61" t="s">
        <v>86</v>
      </c>
      <c r="AC1" s="61" t="s">
        <v>87</v>
      </c>
    </row>
    <row r="2" spans="1:29" ht="13.15">
      <c r="A2" s="64" t="s">
        <v>88</v>
      </c>
      <c r="B2" s="65" t="str">
        <f>VLOOKUP(A2,'CENTRO DE COSTOS'!A:D,4,FALSE)</f>
        <v>DIEGO FERNANDO HENAO CARDONA</v>
      </c>
      <c r="C2" s="65" t="str">
        <f>VLOOKUP(A2,'CENTRO DE COSTOS'!A:D,2,FALSE)</f>
        <v>0004-0003</v>
      </c>
      <c r="D2" s="64">
        <v>52621</v>
      </c>
      <c r="E2" s="66" t="s">
        <v>89</v>
      </c>
      <c r="F2" s="67">
        <v>81154</v>
      </c>
      <c r="G2" s="68" t="s">
        <v>90</v>
      </c>
      <c r="H2" s="69" t="s">
        <v>91</v>
      </c>
      <c r="I2" s="67" t="s">
        <v>92</v>
      </c>
      <c r="J2" s="70" t="s">
        <v>93</v>
      </c>
      <c r="K2" s="67" t="s">
        <v>94</v>
      </c>
      <c r="L2" s="71" t="s">
        <v>95</v>
      </c>
      <c r="M2" s="72" t="s">
        <v>96</v>
      </c>
      <c r="N2" s="73">
        <v>45890</v>
      </c>
      <c r="O2" s="74">
        <v>45902</v>
      </c>
      <c r="P2" s="75" t="s">
        <v>97</v>
      </c>
      <c r="Q2" s="76" t="s">
        <v>97</v>
      </c>
      <c r="R2" s="64" t="s">
        <v>98</v>
      </c>
      <c r="S2" s="77" t="s">
        <v>99</v>
      </c>
      <c r="T2" s="74" t="s">
        <v>100</v>
      </c>
      <c r="U2" s="64" t="s">
        <v>101</v>
      </c>
      <c r="V2" s="70" t="s">
        <v>102</v>
      </c>
      <c r="W2" s="78" t="s">
        <v>103</v>
      </c>
      <c r="X2" s="68" t="s">
        <v>104</v>
      </c>
      <c r="Y2" s="64">
        <v>1</v>
      </c>
      <c r="Z2" s="79">
        <v>0</v>
      </c>
      <c r="AA2" s="80">
        <f>'BASE FACTURACION 2025'!$C$3</f>
        <v>122645.45276000001</v>
      </c>
      <c r="AB2" s="80">
        <f>'BASE FACTURACION 2025'!$F$3</f>
        <v>65164.677720000007</v>
      </c>
      <c r="AC2" s="80">
        <f>AA2*Y2+AB2*Z2</f>
        <v>122645.45276000001</v>
      </c>
    </row>
    <row r="3" spans="1:29" ht="13.15">
      <c r="A3" s="64" t="s">
        <v>105</v>
      </c>
      <c r="B3" s="65" t="str">
        <f>VLOOKUP(A3,'CENTRO DE COSTOS'!A:D,4,FALSE)</f>
        <v>DIEGO FERNANDO HENAO CARDONA</v>
      </c>
      <c r="C3" s="65" t="str">
        <f>VLOOKUP(A3,'CENTRO DE COSTOS'!A:D,2,FALSE)</f>
        <v>0004-0003</v>
      </c>
      <c r="D3" s="64">
        <v>19256</v>
      </c>
      <c r="E3" s="66" t="s">
        <v>106</v>
      </c>
      <c r="F3" s="67">
        <v>81133</v>
      </c>
      <c r="G3" s="68" t="s">
        <v>90</v>
      </c>
      <c r="H3" s="69" t="s">
        <v>91</v>
      </c>
      <c r="I3" s="67" t="s">
        <v>107</v>
      </c>
      <c r="J3" s="70" t="s">
        <v>108</v>
      </c>
      <c r="K3" s="67" t="s">
        <v>109</v>
      </c>
      <c r="L3" s="71" t="s">
        <v>95</v>
      </c>
      <c r="M3" s="72" t="s">
        <v>110</v>
      </c>
      <c r="N3" s="73">
        <v>45890</v>
      </c>
      <c r="O3" s="74">
        <v>45902</v>
      </c>
      <c r="P3" s="75" t="s">
        <v>97</v>
      </c>
      <c r="Q3" s="76" t="s">
        <v>97</v>
      </c>
      <c r="R3" s="64" t="s">
        <v>98</v>
      </c>
      <c r="S3" s="77" t="s">
        <v>111</v>
      </c>
      <c r="T3" s="74" t="s">
        <v>100</v>
      </c>
      <c r="U3" s="64" t="s">
        <v>112</v>
      </c>
      <c r="V3" s="70" t="s">
        <v>113</v>
      </c>
      <c r="W3" s="78" t="s">
        <v>114</v>
      </c>
      <c r="X3" s="68" t="s">
        <v>115</v>
      </c>
      <c r="Y3" s="64">
        <v>1</v>
      </c>
      <c r="Z3" s="79">
        <v>0</v>
      </c>
      <c r="AA3" s="80">
        <f>'BASE FACTURACION 2025'!$C$3</f>
        <v>122645.45276000001</v>
      </c>
      <c r="AB3" s="80">
        <f>'BASE FACTURACION 2025'!$F$3</f>
        <v>65164.677720000007</v>
      </c>
      <c r="AC3" s="80">
        <f t="shared" ref="AC3:AC65" si="0">AA3*Y3+AB3*Z3</f>
        <v>122645.45276000001</v>
      </c>
    </row>
    <row r="4" spans="1:29" ht="13.15">
      <c r="A4" s="64" t="s">
        <v>88</v>
      </c>
      <c r="B4" s="65" t="str">
        <f>VLOOKUP(A4,'CENTRO DE COSTOS'!A:D,4,FALSE)</f>
        <v>DIEGO FERNANDO HENAO CARDONA</v>
      </c>
      <c r="C4" s="65" t="str">
        <f>VLOOKUP(A4,'CENTRO DE COSTOS'!A:D,2,FALSE)</f>
        <v>0004-0003</v>
      </c>
      <c r="D4" s="64">
        <v>52079</v>
      </c>
      <c r="E4" s="66" t="s">
        <v>116</v>
      </c>
      <c r="F4" s="67">
        <v>81185</v>
      </c>
      <c r="G4" s="68" t="s">
        <v>90</v>
      </c>
      <c r="H4" s="69" t="s">
        <v>91</v>
      </c>
      <c r="I4" s="67" t="s">
        <v>92</v>
      </c>
      <c r="J4" s="70" t="s">
        <v>117</v>
      </c>
      <c r="K4" s="67" t="s">
        <v>118</v>
      </c>
      <c r="L4" s="71" t="s">
        <v>95</v>
      </c>
      <c r="M4" s="72" t="s">
        <v>119</v>
      </c>
      <c r="N4" s="73">
        <v>45896</v>
      </c>
      <c r="O4" s="74">
        <v>45902</v>
      </c>
      <c r="P4" s="75" t="s">
        <v>97</v>
      </c>
      <c r="Q4" s="76" t="s">
        <v>97</v>
      </c>
      <c r="R4" s="64" t="s">
        <v>98</v>
      </c>
      <c r="S4" s="77" t="s">
        <v>120</v>
      </c>
      <c r="T4" s="74" t="s">
        <v>100</v>
      </c>
      <c r="U4" s="64" t="s">
        <v>121</v>
      </c>
      <c r="V4" s="70" t="s">
        <v>122</v>
      </c>
      <c r="W4" s="78" t="s">
        <v>114</v>
      </c>
      <c r="X4" s="68" t="s">
        <v>104</v>
      </c>
      <c r="Y4" s="64">
        <v>1</v>
      </c>
      <c r="Z4" s="79">
        <v>0</v>
      </c>
      <c r="AA4" s="80">
        <f>'BASE FACTURACION 2025'!$C$3</f>
        <v>122645.45276000001</v>
      </c>
      <c r="AB4" s="80">
        <f>'BASE FACTURACION 2025'!$F$3</f>
        <v>65164.677720000007</v>
      </c>
      <c r="AC4" s="80">
        <f t="shared" si="0"/>
        <v>122645.45276000001</v>
      </c>
    </row>
    <row r="5" spans="1:29" ht="13.15">
      <c r="A5" s="64" t="s">
        <v>123</v>
      </c>
      <c r="B5" s="65" t="str">
        <f>VLOOKUP(A5,'CENTRO DE COSTOS'!A:D,4,FALSE)</f>
        <v>DIEGO FERNANDO HENAO CARDONA</v>
      </c>
      <c r="C5" s="65" t="str">
        <f>VLOOKUP(A5,'CENTRO DE COSTOS'!A:D,2,FALSE)</f>
        <v>0004-0002</v>
      </c>
      <c r="D5" s="64">
        <v>66001</v>
      </c>
      <c r="E5" s="66" t="s">
        <v>124</v>
      </c>
      <c r="F5" s="67">
        <v>81241</v>
      </c>
      <c r="G5" s="68" t="s">
        <v>90</v>
      </c>
      <c r="H5" s="69" t="s">
        <v>91</v>
      </c>
      <c r="I5" s="67" t="s">
        <v>125</v>
      </c>
      <c r="J5" s="70" t="s">
        <v>123</v>
      </c>
      <c r="K5" s="67" t="s">
        <v>126</v>
      </c>
      <c r="L5" s="71" t="s">
        <v>95</v>
      </c>
      <c r="M5" s="72" t="s">
        <v>127</v>
      </c>
      <c r="N5" s="73">
        <v>45896</v>
      </c>
      <c r="O5" s="74">
        <v>45901</v>
      </c>
      <c r="P5" s="75" t="s">
        <v>97</v>
      </c>
      <c r="Q5" s="76" t="s">
        <v>97</v>
      </c>
      <c r="R5" s="64" t="s">
        <v>98</v>
      </c>
      <c r="S5" s="77" t="s">
        <v>128</v>
      </c>
      <c r="T5" s="74" t="s">
        <v>100</v>
      </c>
      <c r="U5" s="64" t="s">
        <v>129</v>
      </c>
      <c r="V5" s="70" t="s">
        <v>130</v>
      </c>
      <c r="W5" s="78" t="s">
        <v>114</v>
      </c>
      <c r="X5" s="68" t="s">
        <v>131</v>
      </c>
      <c r="Y5" s="64">
        <v>1</v>
      </c>
      <c r="Z5" s="79">
        <v>0</v>
      </c>
      <c r="AA5" s="80">
        <f>'BASE FACTURACION 2025'!$C$3</f>
        <v>122645.45276000001</v>
      </c>
      <c r="AB5" s="80">
        <f>'BASE FACTURACION 2025'!$F$3</f>
        <v>65164.677720000007</v>
      </c>
      <c r="AC5" s="80">
        <f t="shared" si="0"/>
        <v>122645.45276000001</v>
      </c>
    </row>
    <row r="6" spans="1:29" ht="13.15">
      <c r="A6" s="64" t="s">
        <v>132</v>
      </c>
      <c r="B6" s="65" t="str">
        <f>VLOOKUP(A6,'CENTRO DE COSTOS'!A:D,4,FALSE)</f>
        <v>JOSE MAURICIO HERNANDEZ ROJAS</v>
      </c>
      <c r="C6" s="65" t="str">
        <f>VLOOKUP(A6,'CENTRO DE COSTOS'!A:D,2,FALSE)</f>
        <v>0004-0001</v>
      </c>
      <c r="D6" s="64">
        <v>23001</v>
      </c>
      <c r="E6" s="66" t="s">
        <v>133</v>
      </c>
      <c r="F6" s="67">
        <v>81212</v>
      </c>
      <c r="G6" s="68" t="s">
        <v>90</v>
      </c>
      <c r="H6" s="69" t="s">
        <v>91</v>
      </c>
      <c r="I6" s="67" t="s">
        <v>134</v>
      </c>
      <c r="J6" s="70" t="s">
        <v>132</v>
      </c>
      <c r="K6" s="67" t="s">
        <v>135</v>
      </c>
      <c r="L6" s="71" t="s">
        <v>95</v>
      </c>
      <c r="M6" s="72" t="s">
        <v>136</v>
      </c>
      <c r="N6" s="73">
        <v>45896</v>
      </c>
      <c r="O6" s="74">
        <v>45901</v>
      </c>
      <c r="P6" s="75" t="s">
        <v>97</v>
      </c>
      <c r="Q6" s="76" t="s">
        <v>97</v>
      </c>
      <c r="R6" s="64" t="s">
        <v>98</v>
      </c>
      <c r="S6" s="77" t="s">
        <v>137</v>
      </c>
      <c r="T6" s="74" t="s">
        <v>100</v>
      </c>
      <c r="U6" s="64" t="s">
        <v>138</v>
      </c>
      <c r="V6" s="70" t="s">
        <v>130</v>
      </c>
      <c r="W6" s="78" t="s">
        <v>114</v>
      </c>
      <c r="X6" s="68" t="s">
        <v>139</v>
      </c>
      <c r="Y6" s="64">
        <v>1</v>
      </c>
      <c r="Z6" s="79">
        <v>0</v>
      </c>
      <c r="AA6" s="80">
        <f>'BASE FACTURACION 2025'!$C$3</f>
        <v>122645.45276000001</v>
      </c>
      <c r="AB6" s="80">
        <f>'BASE FACTURACION 2025'!$F$3</f>
        <v>65164.677720000007</v>
      </c>
      <c r="AC6" s="80">
        <f t="shared" si="0"/>
        <v>122645.45276000001</v>
      </c>
    </row>
    <row r="7" spans="1:29" ht="13.15">
      <c r="A7" s="64" t="s">
        <v>105</v>
      </c>
      <c r="B7" s="65" t="str">
        <f>VLOOKUP(A7,'CENTRO DE COSTOS'!A:D,4,FALSE)</f>
        <v>DIEGO FERNANDO HENAO CARDONA</v>
      </c>
      <c r="C7" s="65" t="str">
        <f>VLOOKUP(A7,'CENTRO DE COSTOS'!A:D,2,FALSE)</f>
        <v>0004-0003</v>
      </c>
      <c r="D7" s="64">
        <v>19809</v>
      </c>
      <c r="E7" s="66" t="s">
        <v>140</v>
      </c>
      <c r="F7" s="67">
        <v>81252</v>
      </c>
      <c r="G7" s="68" t="s">
        <v>90</v>
      </c>
      <c r="H7" s="69" t="s">
        <v>91</v>
      </c>
      <c r="I7" s="67" t="s">
        <v>107</v>
      </c>
      <c r="J7" s="70" t="s">
        <v>141</v>
      </c>
      <c r="K7" s="67" t="s">
        <v>142</v>
      </c>
      <c r="L7" s="71" t="s">
        <v>95</v>
      </c>
      <c r="M7" s="72" t="s">
        <v>143</v>
      </c>
      <c r="N7" s="73">
        <v>45896</v>
      </c>
      <c r="O7" s="74">
        <v>45904</v>
      </c>
      <c r="P7" s="75" t="s">
        <v>97</v>
      </c>
      <c r="Q7" s="76" t="s">
        <v>97</v>
      </c>
      <c r="R7" s="64" t="s">
        <v>98</v>
      </c>
      <c r="S7" s="77" t="s">
        <v>144</v>
      </c>
      <c r="T7" s="74" t="s">
        <v>100</v>
      </c>
      <c r="U7" s="64" t="s">
        <v>145</v>
      </c>
      <c r="V7" s="70" t="s">
        <v>102</v>
      </c>
      <c r="W7" s="78" t="s">
        <v>146</v>
      </c>
      <c r="X7" s="68" t="s">
        <v>147</v>
      </c>
      <c r="Y7" s="64">
        <v>1</v>
      </c>
      <c r="Z7" s="79">
        <v>0</v>
      </c>
      <c r="AA7" s="80">
        <f>'BASE FACTURACION 2025'!$C$3</f>
        <v>122645.45276000001</v>
      </c>
      <c r="AB7" s="80">
        <f>'BASE FACTURACION 2025'!$F$3</f>
        <v>65164.677720000007</v>
      </c>
      <c r="AC7" s="80">
        <f t="shared" si="0"/>
        <v>122645.45276000001</v>
      </c>
    </row>
    <row r="8" spans="1:29" ht="13.15">
      <c r="A8" s="64" t="s">
        <v>148</v>
      </c>
      <c r="B8" s="65" t="str">
        <f>VLOOKUP(A8,'CENTRO DE COSTOS'!A:D,4,FALSE)</f>
        <v>KEVIN ALEXIS CORZO BUSTOS</v>
      </c>
      <c r="C8" s="65" t="str">
        <f>VLOOKUP(A8,'CENTRO DE COSTOS'!A:D,2,FALSE)</f>
        <v>0004-0007</v>
      </c>
      <c r="D8" s="64">
        <v>18785</v>
      </c>
      <c r="E8" s="66" t="s">
        <v>149</v>
      </c>
      <c r="F8" s="67">
        <v>81251</v>
      </c>
      <c r="G8" s="68" t="s">
        <v>90</v>
      </c>
      <c r="H8" s="69" t="s">
        <v>91</v>
      </c>
      <c r="I8" s="67" t="s">
        <v>150</v>
      </c>
      <c r="J8" s="70" t="s">
        <v>151</v>
      </c>
      <c r="K8" s="67" t="s">
        <v>152</v>
      </c>
      <c r="L8" s="71" t="s">
        <v>95</v>
      </c>
      <c r="M8" s="72" t="s">
        <v>153</v>
      </c>
      <c r="N8" s="73">
        <v>45896</v>
      </c>
      <c r="O8" s="74">
        <v>45902</v>
      </c>
      <c r="P8" s="75" t="s">
        <v>97</v>
      </c>
      <c r="Q8" s="76" t="s">
        <v>97</v>
      </c>
      <c r="R8" s="64" t="s">
        <v>98</v>
      </c>
      <c r="S8" s="77" t="s">
        <v>154</v>
      </c>
      <c r="T8" s="74" t="s">
        <v>100</v>
      </c>
      <c r="U8" s="64" t="s">
        <v>155</v>
      </c>
      <c r="V8" s="70" t="s">
        <v>122</v>
      </c>
      <c r="W8" s="78" t="s">
        <v>114</v>
      </c>
      <c r="X8" s="68" t="s">
        <v>156</v>
      </c>
      <c r="Y8" s="64">
        <v>1</v>
      </c>
      <c r="Z8" s="79">
        <v>0</v>
      </c>
      <c r="AA8" s="80">
        <f>'BASE FACTURACION 2025'!$C$3</f>
        <v>122645.45276000001</v>
      </c>
      <c r="AB8" s="80">
        <f>'BASE FACTURACION 2025'!$F$3</f>
        <v>65164.677720000007</v>
      </c>
      <c r="AC8" s="80">
        <f t="shared" si="0"/>
        <v>122645.45276000001</v>
      </c>
    </row>
    <row r="9" spans="1:29" ht="13.15">
      <c r="A9" s="64" t="s">
        <v>157</v>
      </c>
      <c r="B9" s="65" t="str">
        <f>VLOOKUP(A9,'CENTRO DE COSTOS'!A:D,4,FALSE)</f>
        <v>KEVIN ALEXIS CORZO BUSTOS</v>
      </c>
      <c r="C9" s="65" t="str">
        <f>VLOOKUP(A9,'CENTRO DE COSTOS'!A:D,2,FALSE)</f>
        <v>0004-0007</v>
      </c>
      <c r="D9" s="64">
        <v>50350</v>
      </c>
      <c r="E9" s="66" t="s">
        <v>158</v>
      </c>
      <c r="F9" s="67">
        <v>81208</v>
      </c>
      <c r="G9" s="68" t="s">
        <v>90</v>
      </c>
      <c r="H9" s="69" t="s">
        <v>91</v>
      </c>
      <c r="I9" s="67" t="s">
        <v>159</v>
      </c>
      <c r="J9" s="70" t="s">
        <v>160</v>
      </c>
      <c r="K9" s="67" t="s">
        <v>161</v>
      </c>
      <c r="L9" s="71" t="s">
        <v>95</v>
      </c>
      <c r="M9" s="72" t="s">
        <v>162</v>
      </c>
      <c r="N9" s="73">
        <v>45896</v>
      </c>
      <c r="O9" s="74">
        <v>45903</v>
      </c>
      <c r="P9" s="75" t="s">
        <v>97</v>
      </c>
      <c r="Q9" s="76" t="s">
        <v>97</v>
      </c>
      <c r="R9" s="64" t="s">
        <v>98</v>
      </c>
      <c r="S9" s="77" t="s">
        <v>163</v>
      </c>
      <c r="T9" s="74" t="s">
        <v>100</v>
      </c>
      <c r="U9" s="64" t="s">
        <v>164</v>
      </c>
      <c r="V9" s="70" t="s">
        <v>102</v>
      </c>
      <c r="W9" s="78" t="s">
        <v>146</v>
      </c>
      <c r="X9" s="68" t="s">
        <v>165</v>
      </c>
      <c r="Y9" s="64">
        <v>1</v>
      </c>
      <c r="Z9" s="79">
        <v>0</v>
      </c>
      <c r="AA9" s="80">
        <f>'BASE FACTURACION 2025'!$C$3</f>
        <v>122645.45276000001</v>
      </c>
      <c r="AB9" s="80">
        <f>'BASE FACTURACION 2025'!$F$3</f>
        <v>65164.677720000007</v>
      </c>
      <c r="AC9" s="80">
        <f t="shared" si="0"/>
        <v>122645.45276000001</v>
      </c>
    </row>
    <row r="10" spans="1:29" ht="13.15">
      <c r="A10" s="64" t="s">
        <v>166</v>
      </c>
      <c r="B10" s="65" t="str">
        <f>VLOOKUP(A10,'CENTRO DE COSTOS'!A:D,4,FALSE)</f>
        <v>MIGUEL JULIÁN HERNÁNDEZ GUARÍN</v>
      </c>
      <c r="C10" s="65" t="str">
        <f>VLOOKUP(A10,'CENTRO DE COSTOS'!A:D,2,FALSE)</f>
        <v>0004-0008</v>
      </c>
      <c r="D10" s="64">
        <v>68679</v>
      </c>
      <c r="E10" s="66" t="s">
        <v>167</v>
      </c>
      <c r="F10" s="67">
        <v>81247</v>
      </c>
      <c r="G10" s="68" t="s">
        <v>90</v>
      </c>
      <c r="H10" s="69" t="s">
        <v>91</v>
      </c>
      <c r="I10" s="67" t="s">
        <v>168</v>
      </c>
      <c r="J10" s="70" t="s">
        <v>169</v>
      </c>
      <c r="K10" s="67" t="s">
        <v>170</v>
      </c>
      <c r="L10" s="71" t="s">
        <v>95</v>
      </c>
      <c r="M10" s="72" t="s">
        <v>171</v>
      </c>
      <c r="N10" s="73">
        <v>45896</v>
      </c>
      <c r="O10" s="74">
        <v>45901</v>
      </c>
      <c r="P10" s="75" t="s">
        <v>97</v>
      </c>
      <c r="Q10" s="76" t="s">
        <v>97</v>
      </c>
      <c r="R10" s="64" t="s">
        <v>98</v>
      </c>
      <c r="S10" s="77" t="s">
        <v>172</v>
      </c>
      <c r="T10" s="74" t="s">
        <v>100</v>
      </c>
      <c r="U10" s="64" t="s">
        <v>173</v>
      </c>
      <c r="V10" s="70" t="s">
        <v>174</v>
      </c>
      <c r="W10" s="78" t="s">
        <v>114</v>
      </c>
      <c r="X10" s="68" t="s">
        <v>175</v>
      </c>
      <c r="Y10" s="64">
        <v>1</v>
      </c>
      <c r="Z10" s="79">
        <v>0</v>
      </c>
      <c r="AA10" s="80">
        <f>'BASE FACTURACION 2025'!$C$3</f>
        <v>122645.45276000001</v>
      </c>
      <c r="AB10" s="80">
        <f>'BASE FACTURACION 2025'!$F$3</f>
        <v>65164.677720000007</v>
      </c>
      <c r="AC10" s="80">
        <f t="shared" si="0"/>
        <v>122645.45276000001</v>
      </c>
    </row>
    <row r="11" spans="1:29" ht="13.15">
      <c r="A11" s="64" t="s">
        <v>105</v>
      </c>
      <c r="B11" s="65" t="str">
        <f>VLOOKUP(A11,'CENTRO DE COSTOS'!A:D,4,FALSE)</f>
        <v>DIEGO FERNANDO HENAO CARDONA</v>
      </c>
      <c r="C11" s="65" t="str">
        <f>VLOOKUP(A11,'CENTRO DE COSTOS'!A:D,2,FALSE)</f>
        <v>0004-0003</v>
      </c>
      <c r="D11" s="64">
        <v>76001</v>
      </c>
      <c r="E11" s="66" t="s">
        <v>176</v>
      </c>
      <c r="F11" s="67">
        <v>81195</v>
      </c>
      <c r="G11" s="68" t="s">
        <v>90</v>
      </c>
      <c r="H11" s="69" t="s">
        <v>91</v>
      </c>
      <c r="I11" s="67" t="s">
        <v>177</v>
      </c>
      <c r="J11" s="70" t="s">
        <v>105</v>
      </c>
      <c r="K11" s="67" t="s">
        <v>178</v>
      </c>
      <c r="L11" s="71" t="s">
        <v>95</v>
      </c>
      <c r="M11" s="72" t="s">
        <v>179</v>
      </c>
      <c r="N11" s="73">
        <v>45896</v>
      </c>
      <c r="O11" s="74">
        <v>45902</v>
      </c>
      <c r="P11" s="75" t="s">
        <v>97</v>
      </c>
      <c r="Q11" s="76" t="s">
        <v>97</v>
      </c>
      <c r="R11" s="64" t="s">
        <v>98</v>
      </c>
      <c r="S11" s="77" t="s">
        <v>180</v>
      </c>
      <c r="T11" s="74" t="s">
        <v>100</v>
      </c>
      <c r="U11" s="64" t="s">
        <v>181</v>
      </c>
      <c r="V11" s="70" t="s">
        <v>130</v>
      </c>
      <c r="W11" s="78" t="s">
        <v>114</v>
      </c>
      <c r="X11" s="68" t="s">
        <v>147</v>
      </c>
      <c r="Y11" s="64">
        <v>1</v>
      </c>
      <c r="Z11" s="79">
        <v>0</v>
      </c>
      <c r="AA11" s="80">
        <f>'BASE FACTURACION 2025'!$C$3</f>
        <v>122645.45276000001</v>
      </c>
      <c r="AB11" s="80">
        <f>'BASE FACTURACION 2025'!$F$3</f>
        <v>65164.677720000007</v>
      </c>
      <c r="AC11" s="80">
        <f t="shared" si="0"/>
        <v>122645.45276000001</v>
      </c>
    </row>
    <row r="12" spans="1:29" ht="13.15">
      <c r="A12" s="64" t="s">
        <v>88</v>
      </c>
      <c r="B12" s="65" t="str">
        <f>VLOOKUP(A12,'CENTRO DE COSTOS'!A:D,4,FALSE)</f>
        <v>DIEGO FERNANDO HENAO CARDONA</v>
      </c>
      <c r="C12" s="65" t="str">
        <f>VLOOKUP(A12,'CENTRO DE COSTOS'!A:D,2,FALSE)</f>
        <v>0004-0003</v>
      </c>
      <c r="D12" s="64">
        <v>86568</v>
      </c>
      <c r="E12" s="66" t="s">
        <v>182</v>
      </c>
      <c r="F12" s="67">
        <v>81229</v>
      </c>
      <c r="G12" s="68" t="s">
        <v>90</v>
      </c>
      <c r="H12" s="69" t="s">
        <v>183</v>
      </c>
      <c r="I12" s="67" t="s">
        <v>184</v>
      </c>
      <c r="J12" s="70" t="s">
        <v>185</v>
      </c>
      <c r="K12" s="67" t="s">
        <v>186</v>
      </c>
      <c r="L12" s="71" t="s">
        <v>95</v>
      </c>
      <c r="M12" s="72" t="s">
        <v>187</v>
      </c>
      <c r="N12" s="73">
        <v>45896</v>
      </c>
      <c r="O12" s="74">
        <v>45902</v>
      </c>
      <c r="P12" s="75" t="s">
        <v>188</v>
      </c>
      <c r="Q12" s="76" t="s">
        <v>189</v>
      </c>
      <c r="R12" s="64" t="s">
        <v>98</v>
      </c>
      <c r="S12" s="77" t="s">
        <v>190</v>
      </c>
      <c r="T12" s="74" t="s">
        <v>100</v>
      </c>
      <c r="U12" s="64" t="s">
        <v>191</v>
      </c>
      <c r="V12" s="70" t="s">
        <v>122</v>
      </c>
      <c r="W12" s="78" t="s">
        <v>114</v>
      </c>
      <c r="X12" s="68" t="s">
        <v>192</v>
      </c>
      <c r="Y12" s="64">
        <v>1</v>
      </c>
      <c r="Z12" s="79">
        <v>0</v>
      </c>
      <c r="AA12" s="80">
        <f>'BASE FACTURACION 2025'!$C$3</f>
        <v>122645.45276000001</v>
      </c>
      <c r="AB12" s="80">
        <f>'BASE FACTURACION 2025'!$F$3</f>
        <v>65164.677720000007</v>
      </c>
      <c r="AC12" s="80">
        <f t="shared" si="0"/>
        <v>122645.45276000001</v>
      </c>
    </row>
    <row r="13" spans="1:29" ht="13.15">
      <c r="A13" s="64" t="s">
        <v>132</v>
      </c>
      <c r="B13" s="65" t="str">
        <f>VLOOKUP(A13,'CENTRO DE COSTOS'!A:D,4,FALSE)</f>
        <v>JOSE MAURICIO HERNANDEZ ROJAS</v>
      </c>
      <c r="C13" s="65" t="str">
        <f>VLOOKUP(A13,'CENTRO DE COSTOS'!A:D,2,FALSE)</f>
        <v>0004-0001</v>
      </c>
      <c r="D13" s="64">
        <v>5250</v>
      </c>
      <c r="E13" s="66" t="s">
        <v>193</v>
      </c>
      <c r="F13" s="67">
        <v>81260</v>
      </c>
      <c r="G13" s="68" t="s">
        <v>90</v>
      </c>
      <c r="H13" s="69" t="s">
        <v>183</v>
      </c>
      <c r="I13" s="67" t="s">
        <v>194</v>
      </c>
      <c r="J13" s="70" t="s">
        <v>195</v>
      </c>
      <c r="K13" s="67" t="s">
        <v>196</v>
      </c>
      <c r="L13" s="71" t="s">
        <v>95</v>
      </c>
      <c r="M13" s="72" t="s">
        <v>197</v>
      </c>
      <c r="N13" s="73">
        <v>45898</v>
      </c>
      <c r="O13" s="74">
        <v>45902</v>
      </c>
      <c r="P13" s="75" t="s">
        <v>188</v>
      </c>
      <c r="Q13" s="76" t="s">
        <v>189</v>
      </c>
      <c r="R13" s="64" t="s">
        <v>98</v>
      </c>
      <c r="S13" s="77" t="s">
        <v>198</v>
      </c>
      <c r="T13" s="74" t="s">
        <v>100</v>
      </c>
      <c r="U13" s="64" t="s">
        <v>199</v>
      </c>
      <c r="V13" s="70" t="s">
        <v>122</v>
      </c>
      <c r="W13" s="78" t="s">
        <v>114</v>
      </c>
      <c r="X13" s="68" t="s">
        <v>139</v>
      </c>
      <c r="Y13" s="64">
        <v>1</v>
      </c>
      <c r="Z13" s="79">
        <v>0</v>
      </c>
      <c r="AA13" s="80">
        <f>'BASE FACTURACION 2025'!$C$3</f>
        <v>122645.45276000001</v>
      </c>
      <c r="AB13" s="80">
        <f>'BASE FACTURACION 2025'!$F$3</f>
        <v>65164.677720000007</v>
      </c>
      <c r="AC13" s="80">
        <f t="shared" si="0"/>
        <v>122645.45276000001</v>
      </c>
    </row>
    <row r="14" spans="1:29" ht="13.15">
      <c r="A14" s="64" t="s">
        <v>200</v>
      </c>
      <c r="B14" s="65" t="str">
        <f>VLOOKUP(A14,'CENTRO DE COSTOS'!A:D,4,FALSE)</f>
        <v>JUAN SEBASTIÁN RÍOS CASTRILLÓN</v>
      </c>
      <c r="C14" s="65" t="str">
        <f>VLOOKUP(A14,'CENTRO DE COSTOS'!A:D,2,FALSE)</f>
        <v>0004-0005</v>
      </c>
      <c r="D14" s="64">
        <v>5837</v>
      </c>
      <c r="E14" s="66" t="s">
        <v>201</v>
      </c>
      <c r="F14" s="67">
        <v>81261</v>
      </c>
      <c r="G14" s="68" t="s">
        <v>90</v>
      </c>
      <c r="H14" s="69" t="s">
        <v>183</v>
      </c>
      <c r="I14" s="67" t="s">
        <v>194</v>
      </c>
      <c r="J14" s="70" t="s">
        <v>202</v>
      </c>
      <c r="K14" s="67" t="s">
        <v>203</v>
      </c>
      <c r="L14" s="71" t="s">
        <v>95</v>
      </c>
      <c r="M14" s="72" t="s">
        <v>204</v>
      </c>
      <c r="N14" s="73">
        <v>45898</v>
      </c>
      <c r="O14" s="74">
        <v>45902</v>
      </c>
      <c r="P14" s="75" t="s">
        <v>188</v>
      </c>
      <c r="Q14" s="76" t="s">
        <v>189</v>
      </c>
      <c r="R14" s="64" t="s">
        <v>98</v>
      </c>
      <c r="S14" s="77" t="s">
        <v>205</v>
      </c>
      <c r="T14" s="74" t="s">
        <v>100</v>
      </c>
      <c r="U14" s="64" t="s">
        <v>206</v>
      </c>
      <c r="V14" s="70" t="s">
        <v>174</v>
      </c>
      <c r="W14" s="78" t="s">
        <v>114</v>
      </c>
      <c r="X14" s="68" t="s">
        <v>207</v>
      </c>
      <c r="Y14" s="64">
        <v>1</v>
      </c>
      <c r="Z14" s="79">
        <v>0</v>
      </c>
      <c r="AA14" s="80">
        <f>'BASE FACTURACION 2025'!$C$3</f>
        <v>122645.45276000001</v>
      </c>
      <c r="AB14" s="80">
        <f>'BASE FACTURACION 2025'!$F$3</f>
        <v>65164.677720000007</v>
      </c>
      <c r="AC14" s="80">
        <f t="shared" si="0"/>
        <v>122645.45276000001</v>
      </c>
    </row>
    <row r="15" spans="1:29" ht="13.15">
      <c r="A15" s="64" t="s">
        <v>208</v>
      </c>
      <c r="B15" s="65" t="str">
        <f>VLOOKUP(A15,'CENTRO DE COSTOS'!A:D,4,FALSE)</f>
        <v>JUAN SEBASTIÁN RÍOS CASTRILLÓN</v>
      </c>
      <c r="C15" s="65" t="str">
        <f>VLOOKUP(A15,'CENTRO DE COSTOS'!A:D,2,FALSE)</f>
        <v>0004-0005</v>
      </c>
      <c r="D15" s="64">
        <v>5854</v>
      </c>
      <c r="E15" s="66" t="s">
        <v>209</v>
      </c>
      <c r="F15" s="67">
        <v>81265</v>
      </c>
      <c r="G15" s="68" t="s">
        <v>90</v>
      </c>
      <c r="H15" s="69" t="s">
        <v>183</v>
      </c>
      <c r="I15" s="67" t="s">
        <v>194</v>
      </c>
      <c r="J15" s="70" t="s">
        <v>210</v>
      </c>
      <c r="K15" s="67" t="s">
        <v>211</v>
      </c>
      <c r="L15" s="71" t="s">
        <v>95</v>
      </c>
      <c r="M15" s="72" t="s">
        <v>212</v>
      </c>
      <c r="N15" s="73">
        <v>45898</v>
      </c>
      <c r="O15" s="74">
        <v>45902</v>
      </c>
      <c r="P15" s="75" t="s">
        <v>188</v>
      </c>
      <c r="Q15" s="76" t="s">
        <v>189</v>
      </c>
      <c r="R15" s="64" t="s">
        <v>98</v>
      </c>
      <c r="S15" s="77" t="s">
        <v>205</v>
      </c>
      <c r="T15" s="74" t="s">
        <v>100</v>
      </c>
      <c r="U15" s="64" t="s">
        <v>213</v>
      </c>
      <c r="V15" s="70" t="s">
        <v>113</v>
      </c>
      <c r="W15" s="78" t="s">
        <v>114</v>
      </c>
      <c r="X15" s="68" t="s">
        <v>214</v>
      </c>
      <c r="Y15" s="64">
        <v>1</v>
      </c>
      <c r="Z15" s="79">
        <v>0</v>
      </c>
      <c r="AA15" s="80">
        <f>'BASE FACTURACION 2025'!$C$3</f>
        <v>122645.45276000001</v>
      </c>
      <c r="AB15" s="80">
        <f>'BASE FACTURACION 2025'!$F$3</f>
        <v>65164.677720000007</v>
      </c>
      <c r="AC15" s="80">
        <f t="shared" si="0"/>
        <v>122645.45276000001</v>
      </c>
    </row>
    <row r="16" spans="1:29" ht="13.15">
      <c r="A16" s="64" t="s">
        <v>215</v>
      </c>
      <c r="B16" s="65" t="str">
        <f>VLOOKUP(A16,'CENTRO DE COSTOS'!A:D,4,FALSE)</f>
        <v>DIEGO FERNANDO HENAO CARDONA</v>
      </c>
      <c r="C16" s="65" t="str">
        <f>VLOOKUP(A16,'CENTRO DE COSTOS'!A:D,2,FALSE)</f>
        <v>0004-0002</v>
      </c>
      <c r="D16" s="64">
        <v>17614</v>
      </c>
      <c r="E16" s="66" t="s">
        <v>216</v>
      </c>
      <c r="F16" s="67">
        <v>81263</v>
      </c>
      <c r="G16" s="68" t="s">
        <v>90</v>
      </c>
      <c r="H16" s="69" t="s">
        <v>183</v>
      </c>
      <c r="I16" s="67" t="s">
        <v>217</v>
      </c>
      <c r="J16" s="70" t="s">
        <v>218</v>
      </c>
      <c r="K16" s="67" t="s">
        <v>219</v>
      </c>
      <c r="L16" s="71" t="s">
        <v>95</v>
      </c>
      <c r="M16" s="72" t="s">
        <v>220</v>
      </c>
      <c r="N16" s="73">
        <v>45898</v>
      </c>
      <c r="O16" s="74">
        <v>45901</v>
      </c>
      <c r="P16" s="75" t="s">
        <v>188</v>
      </c>
      <c r="Q16" s="76" t="s">
        <v>189</v>
      </c>
      <c r="R16" s="64" t="s">
        <v>98</v>
      </c>
      <c r="S16" s="77" t="s">
        <v>221</v>
      </c>
      <c r="T16" s="74" t="s">
        <v>100</v>
      </c>
      <c r="U16" s="64" t="s">
        <v>222</v>
      </c>
      <c r="V16" s="70" t="s">
        <v>174</v>
      </c>
      <c r="W16" s="78" t="s">
        <v>114</v>
      </c>
      <c r="X16" s="68" t="s">
        <v>223</v>
      </c>
      <c r="Y16" s="64">
        <v>1</v>
      </c>
      <c r="Z16" s="79">
        <v>0</v>
      </c>
      <c r="AA16" s="80">
        <f>'BASE FACTURACION 2025'!$C$3</f>
        <v>122645.45276000001</v>
      </c>
      <c r="AB16" s="80">
        <f>'BASE FACTURACION 2025'!$F$3</f>
        <v>65164.677720000007</v>
      </c>
      <c r="AC16" s="80">
        <f t="shared" si="0"/>
        <v>122645.45276000001</v>
      </c>
    </row>
    <row r="17" spans="1:29" ht="13.15">
      <c r="A17" s="64" t="s">
        <v>215</v>
      </c>
      <c r="B17" s="65" t="str">
        <f>VLOOKUP(A17,'CENTRO DE COSTOS'!A:D,4,FALSE)</f>
        <v>DIEGO FERNANDO HENAO CARDONA</v>
      </c>
      <c r="C17" s="65" t="str">
        <f>VLOOKUP(A17,'CENTRO DE COSTOS'!A:D,2,FALSE)</f>
        <v>0004-0002</v>
      </c>
      <c r="D17" s="64">
        <v>17614</v>
      </c>
      <c r="E17" s="66" t="s">
        <v>224</v>
      </c>
      <c r="F17" s="67">
        <v>81264</v>
      </c>
      <c r="G17" s="68" t="s">
        <v>90</v>
      </c>
      <c r="H17" s="69" t="s">
        <v>183</v>
      </c>
      <c r="I17" s="67" t="s">
        <v>217</v>
      </c>
      <c r="J17" s="70" t="s">
        <v>218</v>
      </c>
      <c r="K17" s="67" t="s">
        <v>225</v>
      </c>
      <c r="L17" s="71" t="s">
        <v>95</v>
      </c>
      <c r="M17" s="72" t="s">
        <v>226</v>
      </c>
      <c r="N17" s="73">
        <v>45898</v>
      </c>
      <c r="O17" s="74">
        <v>45902</v>
      </c>
      <c r="P17" s="75" t="s">
        <v>188</v>
      </c>
      <c r="Q17" s="76" t="s">
        <v>189</v>
      </c>
      <c r="R17" s="64" t="s">
        <v>98</v>
      </c>
      <c r="S17" s="77" t="s">
        <v>227</v>
      </c>
      <c r="T17" s="74" t="s">
        <v>100</v>
      </c>
      <c r="U17" s="81" t="s">
        <v>228</v>
      </c>
      <c r="V17" s="70" t="s">
        <v>174</v>
      </c>
      <c r="W17" s="78" t="s">
        <v>114</v>
      </c>
      <c r="X17" s="68" t="s">
        <v>223</v>
      </c>
      <c r="Y17" s="64">
        <v>1</v>
      </c>
      <c r="Z17" s="79">
        <v>0</v>
      </c>
      <c r="AA17" s="80">
        <f>'BASE FACTURACION 2025'!$C$3</f>
        <v>122645.45276000001</v>
      </c>
      <c r="AB17" s="80">
        <f>'BASE FACTURACION 2025'!$F$3</f>
        <v>65164.677720000007</v>
      </c>
      <c r="AC17" s="80">
        <f t="shared" si="0"/>
        <v>122645.45276000001</v>
      </c>
    </row>
    <row r="18" spans="1:29" ht="13.15">
      <c r="A18" s="64" t="s">
        <v>215</v>
      </c>
      <c r="B18" s="65" t="str">
        <f>VLOOKUP(A18,'CENTRO DE COSTOS'!A:D,4,FALSE)</f>
        <v>DIEGO FERNANDO HENAO CARDONA</v>
      </c>
      <c r="C18" s="65" t="str">
        <f>VLOOKUP(A18,'CENTRO DE COSTOS'!A:D,2,FALSE)</f>
        <v>0004-0002</v>
      </c>
      <c r="D18" s="64">
        <v>17653</v>
      </c>
      <c r="E18" s="66" t="s">
        <v>229</v>
      </c>
      <c r="F18" s="67">
        <v>81262</v>
      </c>
      <c r="G18" s="68" t="s">
        <v>90</v>
      </c>
      <c r="H18" s="69" t="s">
        <v>183</v>
      </c>
      <c r="I18" s="67" t="s">
        <v>217</v>
      </c>
      <c r="J18" s="70" t="s">
        <v>230</v>
      </c>
      <c r="K18" s="67" t="s">
        <v>231</v>
      </c>
      <c r="L18" s="71" t="s">
        <v>95</v>
      </c>
      <c r="M18" s="72" t="s">
        <v>232</v>
      </c>
      <c r="N18" s="73">
        <v>45898</v>
      </c>
      <c r="O18" s="74">
        <v>45902</v>
      </c>
      <c r="P18" s="75" t="s">
        <v>188</v>
      </c>
      <c r="Q18" s="76" t="s">
        <v>189</v>
      </c>
      <c r="R18" s="64" t="s">
        <v>98</v>
      </c>
      <c r="S18" s="77" t="s">
        <v>233</v>
      </c>
      <c r="T18" s="74" t="s">
        <v>100</v>
      </c>
      <c r="U18" s="81" t="s">
        <v>234</v>
      </c>
      <c r="V18" s="70" t="s">
        <v>174</v>
      </c>
      <c r="W18" s="78" t="s">
        <v>114</v>
      </c>
      <c r="X18" s="68" t="s">
        <v>235</v>
      </c>
      <c r="Y18" s="64">
        <v>1</v>
      </c>
      <c r="Z18" s="79">
        <v>0</v>
      </c>
      <c r="AA18" s="80">
        <f>'BASE FACTURACION 2025'!$C$3</f>
        <v>122645.45276000001</v>
      </c>
      <c r="AB18" s="80">
        <f>'BASE FACTURACION 2025'!$F$3</f>
        <v>65164.677720000007</v>
      </c>
      <c r="AC18" s="80">
        <f t="shared" si="0"/>
        <v>122645.45276000001</v>
      </c>
    </row>
    <row r="19" spans="1:29" ht="13.15">
      <c r="A19" s="64" t="s">
        <v>88</v>
      </c>
      <c r="B19" s="65" t="str">
        <f>VLOOKUP(A19,'CENTRO DE COSTOS'!A:D,4,FALSE)</f>
        <v>DIEGO FERNANDO HENAO CARDONA</v>
      </c>
      <c r="C19" s="65" t="str">
        <f>VLOOKUP(A19,'CENTRO DE COSTOS'!A:D,2,FALSE)</f>
        <v>0004-0003</v>
      </c>
      <c r="D19" s="64">
        <v>52399</v>
      </c>
      <c r="E19" s="66" t="s">
        <v>236</v>
      </c>
      <c r="F19" s="67">
        <v>81270</v>
      </c>
      <c r="G19" s="68" t="s">
        <v>90</v>
      </c>
      <c r="H19" s="69" t="s">
        <v>183</v>
      </c>
      <c r="I19" s="67" t="s">
        <v>92</v>
      </c>
      <c r="J19" s="70" t="s">
        <v>237</v>
      </c>
      <c r="K19" s="67" t="s">
        <v>238</v>
      </c>
      <c r="L19" s="71" t="s">
        <v>95</v>
      </c>
      <c r="M19" s="72" t="s">
        <v>239</v>
      </c>
      <c r="N19" s="73">
        <v>45898</v>
      </c>
      <c r="O19" s="74">
        <v>45902</v>
      </c>
      <c r="P19" s="75" t="s">
        <v>188</v>
      </c>
      <c r="Q19" s="76" t="s">
        <v>189</v>
      </c>
      <c r="R19" s="64" t="s">
        <v>98</v>
      </c>
      <c r="S19" s="77" t="s">
        <v>240</v>
      </c>
      <c r="T19" s="74" t="s">
        <v>100</v>
      </c>
      <c r="U19" s="81" t="s">
        <v>241</v>
      </c>
      <c r="V19" s="70" t="s">
        <v>113</v>
      </c>
      <c r="W19" s="78" t="s">
        <v>114</v>
      </c>
      <c r="X19" s="68" t="s">
        <v>242</v>
      </c>
      <c r="Y19" s="64">
        <v>1</v>
      </c>
      <c r="Z19" s="79">
        <v>0</v>
      </c>
      <c r="AA19" s="80">
        <f>'BASE FACTURACION 2025'!$C$3</f>
        <v>122645.45276000001</v>
      </c>
      <c r="AB19" s="80">
        <f>'BASE FACTURACION 2025'!$F$3</f>
        <v>65164.677720000007</v>
      </c>
      <c r="AC19" s="80">
        <f t="shared" si="0"/>
        <v>122645.45276000001</v>
      </c>
    </row>
    <row r="20" spans="1:29" ht="13.15">
      <c r="A20" s="64" t="s">
        <v>243</v>
      </c>
      <c r="B20" s="65" t="str">
        <f>VLOOKUP(A20,'CENTRO DE COSTOS'!A:D,4,FALSE)</f>
        <v>MIGUEL JULIÁN HERNÁNDEZ GUARÍN</v>
      </c>
      <c r="C20" s="65" t="str">
        <f>VLOOKUP(A20,'CENTRO DE COSTOS'!A:D,2,FALSE)</f>
        <v>0004-0008</v>
      </c>
      <c r="D20" s="64">
        <v>54001</v>
      </c>
      <c r="E20" s="66" t="s">
        <v>244</v>
      </c>
      <c r="F20" s="67">
        <v>81257</v>
      </c>
      <c r="G20" s="68" t="s">
        <v>90</v>
      </c>
      <c r="H20" s="69" t="s">
        <v>183</v>
      </c>
      <c r="I20" s="67" t="s">
        <v>245</v>
      </c>
      <c r="J20" s="70" t="s">
        <v>243</v>
      </c>
      <c r="K20" s="67" t="s">
        <v>246</v>
      </c>
      <c r="L20" s="71" t="s">
        <v>95</v>
      </c>
      <c r="M20" s="72" t="s">
        <v>247</v>
      </c>
      <c r="N20" s="73">
        <v>45898</v>
      </c>
      <c r="O20" s="74">
        <v>45902</v>
      </c>
      <c r="P20" s="75" t="s">
        <v>188</v>
      </c>
      <c r="Q20" s="76" t="s">
        <v>189</v>
      </c>
      <c r="R20" s="64" t="s">
        <v>98</v>
      </c>
      <c r="S20" s="77" t="s">
        <v>248</v>
      </c>
      <c r="T20" s="74" t="s">
        <v>100</v>
      </c>
      <c r="U20" s="81" t="s">
        <v>249</v>
      </c>
      <c r="V20" s="70" t="s">
        <v>130</v>
      </c>
      <c r="W20" s="78" t="s">
        <v>114</v>
      </c>
      <c r="X20" s="68" t="s">
        <v>250</v>
      </c>
      <c r="Y20" s="64">
        <v>1</v>
      </c>
      <c r="Z20" s="79">
        <v>0</v>
      </c>
      <c r="AA20" s="80">
        <f>'BASE FACTURACION 2025'!$C$3</f>
        <v>122645.45276000001</v>
      </c>
      <c r="AB20" s="80">
        <f>'BASE FACTURACION 2025'!$F$3</f>
        <v>65164.677720000007</v>
      </c>
      <c r="AC20" s="80">
        <f t="shared" si="0"/>
        <v>122645.45276000001</v>
      </c>
    </row>
    <row r="21" spans="1:29" ht="13.15">
      <c r="A21" s="64" t="s">
        <v>243</v>
      </c>
      <c r="B21" s="65" t="str">
        <f>VLOOKUP(A21,'CENTRO DE COSTOS'!A:D,4,FALSE)</f>
        <v>MIGUEL JULIÁN HERNÁNDEZ GUARÍN</v>
      </c>
      <c r="C21" s="65" t="str">
        <f>VLOOKUP(A21,'CENTRO DE COSTOS'!A:D,2,FALSE)</f>
        <v>0004-0008</v>
      </c>
      <c r="D21" s="64">
        <v>54001</v>
      </c>
      <c r="E21" s="66" t="s">
        <v>251</v>
      </c>
      <c r="F21" s="67">
        <v>81258</v>
      </c>
      <c r="G21" s="68" t="s">
        <v>90</v>
      </c>
      <c r="H21" s="69" t="s">
        <v>183</v>
      </c>
      <c r="I21" s="67" t="s">
        <v>245</v>
      </c>
      <c r="J21" s="70" t="s">
        <v>243</v>
      </c>
      <c r="K21" s="67" t="s">
        <v>252</v>
      </c>
      <c r="L21" s="71" t="s">
        <v>95</v>
      </c>
      <c r="M21" s="72" t="s">
        <v>253</v>
      </c>
      <c r="N21" s="73">
        <v>45898</v>
      </c>
      <c r="O21" s="74">
        <v>45902</v>
      </c>
      <c r="P21" s="75" t="s">
        <v>188</v>
      </c>
      <c r="Q21" s="76" t="s">
        <v>189</v>
      </c>
      <c r="R21" s="64" t="s">
        <v>98</v>
      </c>
      <c r="S21" s="77" t="s">
        <v>254</v>
      </c>
      <c r="T21" s="74" t="s">
        <v>100</v>
      </c>
      <c r="U21" s="81" t="s">
        <v>255</v>
      </c>
      <c r="V21" s="70" t="s">
        <v>130</v>
      </c>
      <c r="W21" s="78" t="s">
        <v>114</v>
      </c>
      <c r="X21" s="68" t="s">
        <v>256</v>
      </c>
      <c r="Y21" s="64">
        <v>1</v>
      </c>
      <c r="Z21" s="79">
        <v>0</v>
      </c>
      <c r="AA21" s="80">
        <f>'BASE FACTURACION 2025'!$C$3</f>
        <v>122645.45276000001</v>
      </c>
      <c r="AB21" s="80">
        <f>'BASE FACTURACION 2025'!$F$3</f>
        <v>65164.677720000007</v>
      </c>
      <c r="AC21" s="80">
        <f t="shared" si="0"/>
        <v>122645.45276000001</v>
      </c>
    </row>
    <row r="22" spans="1:29" ht="13.15">
      <c r="A22" s="64" t="s">
        <v>243</v>
      </c>
      <c r="B22" s="65" t="str">
        <f>VLOOKUP(A22,'CENTRO DE COSTOS'!A:D,4,FALSE)</f>
        <v>MIGUEL JULIÁN HERNÁNDEZ GUARÍN</v>
      </c>
      <c r="C22" s="65" t="str">
        <f>VLOOKUP(A22,'CENTRO DE COSTOS'!A:D,2,FALSE)</f>
        <v>0004-0008</v>
      </c>
      <c r="D22" s="64">
        <v>54001</v>
      </c>
      <c r="E22" s="66" t="s">
        <v>257</v>
      </c>
      <c r="F22" s="67">
        <v>81259</v>
      </c>
      <c r="G22" s="68" t="s">
        <v>90</v>
      </c>
      <c r="H22" s="69" t="s">
        <v>183</v>
      </c>
      <c r="I22" s="67" t="s">
        <v>245</v>
      </c>
      <c r="J22" s="70" t="s">
        <v>243</v>
      </c>
      <c r="K22" s="67" t="s">
        <v>258</v>
      </c>
      <c r="L22" s="71" t="s">
        <v>95</v>
      </c>
      <c r="M22" s="72" t="s">
        <v>259</v>
      </c>
      <c r="N22" s="73">
        <v>45898</v>
      </c>
      <c r="O22" s="74">
        <v>45902</v>
      </c>
      <c r="P22" s="75" t="s">
        <v>188</v>
      </c>
      <c r="Q22" s="76" t="s">
        <v>189</v>
      </c>
      <c r="R22" s="64" t="s">
        <v>98</v>
      </c>
      <c r="S22" s="77" t="s">
        <v>260</v>
      </c>
      <c r="T22" s="74" t="s">
        <v>100</v>
      </c>
      <c r="U22" s="81" t="s">
        <v>261</v>
      </c>
      <c r="V22" s="70" t="s">
        <v>130</v>
      </c>
      <c r="W22" s="78" t="s">
        <v>114</v>
      </c>
      <c r="X22" s="68" t="s">
        <v>256</v>
      </c>
      <c r="Y22" s="64">
        <v>1</v>
      </c>
      <c r="Z22" s="79">
        <v>0</v>
      </c>
      <c r="AA22" s="80">
        <f>'BASE FACTURACION 2025'!$C$3</f>
        <v>122645.45276000001</v>
      </c>
      <c r="AB22" s="80">
        <f>'BASE FACTURACION 2025'!$F$3</f>
        <v>65164.677720000007</v>
      </c>
      <c r="AC22" s="80">
        <f t="shared" si="0"/>
        <v>122645.45276000001</v>
      </c>
    </row>
    <row r="23" spans="1:29" ht="13.15">
      <c r="A23" s="64" t="s">
        <v>243</v>
      </c>
      <c r="B23" s="65" t="str">
        <f>VLOOKUP(A23,'CENTRO DE COSTOS'!A:D,4,FALSE)</f>
        <v>MIGUEL JULIÁN HERNÁNDEZ GUARÍN</v>
      </c>
      <c r="C23" s="65" t="str">
        <f>VLOOKUP(A23,'CENTRO DE COSTOS'!A:D,2,FALSE)</f>
        <v>0004-0008</v>
      </c>
      <c r="D23" s="64">
        <v>54206</v>
      </c>
      <c r="E23" s="66" t="s">
        <v>262</v>
      </c>
      <c r="F23" s="67">
        <v>81255</v>
      </c>
      <c r="G23" s="68" t="s">
        <v>90</v>
      </c>
      <c r="H23" s="69" t="s">
        <v>183</v>
      </c>
      <c r="I23" s="67" t="s">
        <v>245</v>
      </c>
      <c r="J23" s="70" t="s">
        <v>263</v>
      </c>
      <c r="K23" s="67" t="s">
        <v>264</v>
      </c>
      <c r="L23" s="71" t="s">
        <v>95</v>
      </c>
      <c r="M23" s="72" t="s">
        <v>265</v>
      </c>
      <c r="N23" s="73">
        <v>45898</v>
      </c>
      <c r="O23" s="74">
        <v>45919</v>
      </c>
      <c r="P23" s="75" t="s">
        <v>188</v>
      </c>
      <c r="Q23" s="76" t="s">
        <v>189</v>
      </c>
      <c r="R23" s="64" t="s">
        <v>98</v>
      </c>
      <c r="S23" s="77" t="s">
        <v>266</v>
      </c>
      <c r="T23" s="74" t="s">
        <v>100</v>
      </c>
      <c r="U23" s="81" t="s">
        <v>267</v>
      </c>
      <c r="V23" s="70" t="s">
        <v>122</v>
      </c>
      <c r="W23" s="78" t="s">
        <v>114</v>
      </c>
      <c r="X23" s="68" t="s">
        <v>268</v>
      </c>
      <c r="Y23" s="64">
        <v>1</v>
      </c>
      <c r="Z23" s="79">
        <v>0</v>
      </c>
      <c r="AA23" s="80">
        <f>'BASE FACTURACION 2025'!$C$3</f>
        <v>122645.45276000001</v>
      </c>
      <c r="AB23" s="80">
        <f>'BASE FACTURACION 2025'!$F$3</f>
        <v>65164.677720000007</v>
      </c>
      <c r="AC23" s="80">
        <f t="shared" si="0"/>
        <v>122645.45276000001</v>
      </c>
    </row>
    <row r="24" spans="1:29" ht="13.15">
      <c r="A24" s="64" t="s">
        <v>243</v>
      </c>
      <c r="B24" s="65" t="str">
        <f>VLOOKUP(A24,'CENTRO DE COSTOS'!A:D,4,FALSE)</f>
        <v>MIGUEL JULIÁN HERNÁNDEZ GUARÍN</v>
      </c>
      <c r="C24" s="65" t="str">
        <f>VLOOKUP(A24,'CENTRO DE COSTOS'!A:D,2,FALSE)</f>
        <v>0004-0008</v>
      </c>
      <c r="D24" s="64">
        <v>54874</v>
      </c>
      <c r="E24" s="66" t="s">
        <v>269</v>
      </c>
      <c r="F24" s="67">
        <v>81268</v>
      </c>
      <c r="G24" s="68" t="s">
        <v>90</v>
      </c>
      <c r="H24" s="69" t="s">
        <v>183</v>
      </c>
      <c r="I24" s="67" t="s">
        <v>245</v>
      </c>
      <c r="J24" s="70" t="s">
        <v>270</v>
      </c>
      <c r="K24" s="67" t="s">
        <v>271</v>
      </c>
      <c r="L24" s="71" t="s">
        <v>95</v>
      </c>
      <c r="M24" s="72" t="s">
        <v>272</v>
      </c>
      <c r="N24" s="73">
        <v>45898</v>
      </c>
      <c r="O24" s="74">
        <v>45902</v>
      </c>
      <c r="P24" s="75" t="s">
        <v>188</v>
      </c>
      <c r="Q24" s="76" t="s">
        <v>189</v>
      </c>
      <c r="R24" s="64" t="s">
        <v>98</v>
      </c>
      <c r="S24" s="77" t="s">
        <v>273</v>
      </c>
      <c r="T24" s="74" t="s">
        <v>100</v>
      </c>
      <c r="U24" s="81" t="s">
        <v>274</v>
      </c>
      <c r="V24" s="70" t="s">
        <v>130</v>
      </c>
      <c r="W24" s="78" t="s">
        <v>114</v>
      </c>
      <c r="X24" s="68" t="s">
        <v>275</v>
      </c>
      <c r="Y24" s="64">
        <v>1</v>
      </c>
      <c r="Z24" s="79">
        <v>0</v>
      </c>
      <c r="AA24" s="80">
        <f>'BASE FACTURACION 2025'!$C$3</f>
        <v>122645.45276000001</v>
      </c>
      <c r="AB24" s="80">
        <f>'BASE FACTURACION 2025'!$F$3</f>
        <v>65164.677720000007</v>
      </c>
      <c r="AC24" s="80">
        <f t="shared" si="0"/>
        <v>122645.45276000001</v>
      </c>
    </row>
    <row r="25" spans="1:29" ht="13.15">
      <c r="A25" s="64" t="s">
        <v>243</v>
      </c>
      <c r="B25" s="65" t="str">
        <f>VLOOKUP(A25,'CENTRO DE COSTOS'!A:D,4,FALSE)</f>
        <v>MIGUEL JULIÁN HERNÁNDEZ GUARÍN</v>
      </c>
      <c r="C25" s="65" t="str">
        <f>VLOOKUP(A25,'CENTRO DE COSTOS'!A:D,2,FALSE)</f>
        <v>0004-0008</v>
      </c>
      <c r="D25" s="64">
        <v>54874</v>
      </c>
      <c r="E25" s="66" t="s">
        <v>276</v>
      </c>
      <c r="F25" s="67">
        <v>81269</v>
      </c>
      <c r="G25" s="68" t="s">
        <v>90</v>
      </c>
      <c r="H25" s="69" t="s">
        <v>183</v>
      </c>
      <c r="I25" s="67" t="s">
        <v>245</v>
      </c>
      <c r="J25" s="70" t="s">
        <v>270</v>
      </c>
      <c r="K25" s="67" t="s">
        <v>277</v>
      </c>
      <c r="L25" s="71" t="s">
        <v>95</v>
      </c>
      <c r="M25" s="72" t="s">
        <v>278</v>
      </c>
      <c r="N25" s="73">
        <v>45898</v>
      </c>
      <c r="O25" s="74">
        <v>45902</v>
      </c>
      <c r="P25" s="75" t="s">
        <v>188</v>
      </c>
      <c r="Q25" s="76" t="s">
        <v>189</v>
      </c>
      <c r="R25" s="64" t="s">
        <v>98</v>
      </c>
      <c r="S25" s="77" t="s">
        <v>279</v>
      </c>
      <c r="T25" s="74" t="s">
        <v>100</v>
      </c>
      <c r="U25" s="81" t="s">
        <v>280</v>
      </c>
      <c r="V25" s="70" t="s">
        <v>130</v>
      </c>
      <c r="W25" s="78" t="s">
        <v>114</v>
      </c>
      <c r="X25" s="68" t="s">
        <v>275</v>
      </c>
      <c r="Y25" s="64">
        <v>1</v>
      </c>
      <c r="Z25" s="79">
        <v>0</v>
      </c>
      <c r="AA25" s="80">
        <f>'BASE FACTURACION 2025'!$C$3</f>
        <v>122645.45276000001</v>
      </c>
      <c r="AB25" s="80">
        <f>'BASE FACTURACION 2025'!$F$3</f>
        <v>65164.677720000007</v>
      </c>
      <c r="AC25" s="80">
        <f t="shared" si="0"/>
        <v>122645.45276000001</v>
      </c>
    </row>
    <row r="26" spans="1:29" ht="13.15">
      <c r="A26" s="64" t="s">
        <v>281</v>
      </c>
      <c r="B26" s="65" t="str">
        <f>VLOOKUP(A26,'CENTRO DE COSTOS'!A:D,4,FALSE)</f>
        <v>JOSE MAURICIO HERNANDEZ ROJAS</v>
      </c>
      <c r="C26" s="65" t="str">
        <f>VLOOKUP(A26,'CENTRO DE COSTOS'!A:D,2,FALSE)</f>
        <v>0004-0001</v>
      </c>
      <c r="D26" s="64">
        <v>70215</v>
      </c>
      <c r="E26" s="66" t="s">
        <v>282</v>
      </c>
      <c r="F26" s="67">
        <v>81256</v>
      </c>
      <c r="G26" s="68" t="s">
        <v>90</v>
      </c>
      <c r="H26" s="69" t="s">
        <v>183</v>
      </c>
      <c r="I26" s="67" t="s">
        <v>283</v>
      </c>
      <c r="J26" s="70" t="s">
        <v>284</v>
      </c>
      <c r="K26" s="67" t="s">
        <v>285</v>
      </c>
      <c r="L26" s="71" t="s">
        <v>95</v>
      </c>
      <c r="M26" s="72" t="s">
        <v>286</v>
      </c>
      <c r="N26" s="73">
        <v>45898</v>
      </c>
      <c r="O26" s="74">
        <v>45902</v>
      </c>
      <c r="P26" s="75" t="s">
        <v>188</v>
      </c>
      <c r="Q26" s="76" t="s">
        <v>189</v>
      </c>
      <c r="R26" s="64" t="s">
        <v>98</v>
      </c>
      <c r="S26" s="77" t="s">
        <v>287</v>
      </c>
      <c r="T26" s="74" t="s">
        <v>100</v>
      </c>
      <c r="U26" s="81" t="s">
        <v>288</v>
      </c>
      <c r="V26" s="70" t="s">
        <v>174</v>
      </c>
      <c r="W26" s="78" t="s">
        <v>114</v>
      </c>
      <c r="X26" s="68" t="s">
        <v>289</v>
      </c>
      <c r="Y26" s="64">
        <v>1</v>
      </c>
      <c r="Z26" s="79">
        <v>0</v>
      </c>
      <c r="AA26" s="80">
        <f>'BASE FACTURACION 2025'!$C$3</f>
        <v>122645.45276000001</v>
      </c>
      <c r="AB26" s="80">
        <f>'BASE FACTURACION 2025'!$F$3</f>
        <v>65164.677720000007</v>
      </c>
      <c r="AC26" s="80">
        <f t="shared" si="0"/>
        <v>122645.45276000001</v>
      </c>
    </row>
    <row r="27" spans="1:29" ht="13.15">
      <c r="A27" s="64" t="s">
        <v>105</v>
      </c>
      <c r="B27" s="65" t="str">
        <f>VLOOKUP(A27,'CENTRO DE COSTOS'!A:D,4,FALSE)</f>
        <v>DIEGO FERNANDO HENAO CARDONA</v>
      </c>
      <c r="C27" s="65" t="str">
        <f>VLOOKUP(A27,'CENTRO DE COSTOS'!A:D,2,FALSE)</f>
        <v>0004-0003</v>
      </c>
      <c r="D27" s="64">
        <v>76834</v>
      </c>
      <c r="E27" s="66" t="s">
        <v>290</v>
      </c>
      <c r="F27" s="67">
        <v>81266</v>
      </c>
      <c r="G27" s="68" t="s">
        <v>90</v>
      </c>
      <c r="H27" s="69" t="s">
        <v>183</v>
      </c>
      <c r="I27" s="67" t="s">
        <v>177</v>
      </c>
      <c r="J27" s="70" t="s">
        <v>291</v>
      </c>
      <c r="K27" s="67" t="s">
        <v>292</v>
      </c>
      <c r="L27" s="71" t="s">
        <v>95</v>
      </c>
      <c r="M27" s="72" t="s">
        <v>293</v>
      </c>
      <c r="N27" s="73">
        <v>45898</v>
      </c>
      <c r="O27" s="74">
        <v>45901</v>
      </c>
      <c r="P27" s="75" t="s">
        <v>188</v>
      </c>
      <c r="Q27" s="76" t="s">
        <v>189</v>
      </c>
      <c r="R27" s="64" t="s">
        <v>98</v>
      </c>
      <c r="S27" s="77" t="s">
        <v>294</v>
      </c>
      <c r="T27" s="74" t="s">
        <v>100</v>
      </c>
      <c r="U27" s="64" t="s">
        <v>295</v>
      </c>
      <c r="V27" s="70" t="s">
        <v>174</v>
      </c>
      <c r="W27" s="78" t="s">
        <v>114</v>
      </c>
      <c r="X27" s="68" t="s">
        <v>296</v>
      </c>
      <c r="Y27" s="64">
        <v>1</v>
      </c>
      <c r="Z27" s="79">
        <v>0</v>
      </c>
      <c r="AA27" s="80">
        <f>'BASE FACTURACION 2025'!$C$3</f>
        <v>122645.45276000001</v>
      </c>
      <c r="AB27" s="80">
        <f>'BASE FACTURACION 2025'!$F$3</f>
        <v>65164.677720000007</v>
      </c>
      <c r="AC27" s="80">
        <f t="shared" si="0"/>
        <v>122645.45276000001</v>
      </c>
    </row>
    <row r="28" spans="1:29" ht="13.15">
      <c r="A28" s="64" t="s">
        <v>200</v>
      </c>
      <c r="B28" s="65" t="str">
        <f>VLOOKUP(A28,'CENTRO DE COSTOS'!A:D,4,FALSE)</f>
        <v>JUAN SEBASTIÁN RÍOS CASTRILLÓN</v>
      </c>
      <c r="C28" s="65" t="str">
        <f>VLOOKUP(A28,'CENTRO DE COSTOS'!A:D,2,FALSE)</f>
        <v>0004-0005</v>
      </c>
      <c r="D28" s="64">
        <v>5045</v>
      </c>
      <c r="E28" s="66" t="s">
        <v>297</v>
      </c>
      <c r="F28" s="67">
        <v>81254</v>
      </c>
      <c r="G28" s="68" t="s">
        <v>90</v>
      </c>
      <c r="H28" s="69" t="s">
        <v>183</v>
      </c>
      <c r="I28" s="67" t="s">
        <v>194</v>
      </c>
      <c r="J28" s="70" t="s">
        <v>200</v>
      </c>
      <c r="K28" s="67" t="s">
        <v>298</v>
      </c>
      <c r="L28" s="71" t="s">
        <v>95</v>
      </c>
      <c r="M28" s="72" t="s">
        <v>299</v>
      </c>
      <c r="N28" s="73">
        <v>45898</v>
      </c>
      <c r="O28" s="74">
        <v>45903</v>
      </c>
      <c r="P28" s="75" t="s">
        <v>188</v>
      </c>
      <c r="Q28" s="76" t="s">
        <v>189</v>
      </c>
      <c r="R28" s="64" t="s">
        <v>98</v>
      </c>
      <c r="S28" s="77" t="s">
        <v>300</v>
      </c>
      <c r="T28" s="74" t="s">
        <v>100</v>
      </c>
      <c r="U28" s="64" t="s">
        <v>301</v>
      </c>
      <c r="V28" s="70" t="s">
        <v>130</v>
      </c>
      <c r="W28" s="78" t="s">
        <v>114</v>
      </c>
      <c r="X28" s="68" t="s">
        <v>207</v>
      </c>
      <c r="Y28" s="64">
        <v>1</v>
      </c>
      <c r="Z28" s="79">
        <v>0</v>
      </c>
      <c r="AA28" s="80">
        <f>'BASE FACTURACION 2025'!$C$3</f>
        <v>122645.45276000001</v>
      </c>
      <c r="AB28" s="80">
        <f>'BASE FACTURACION 2025'!$F$3</f>
        <v>65164.677720000007</v>
      </c>
      <c r="AC28" s="80">
        <f t="shared" si="0"/>
        <v>122645.45276000001</v>
      </c>
    </row>
    <row r="29" spans="1:29" ht="13.15">
      <c r="A29" s="64" t="s">
        <v>208</v>
      </c>
      <c r="B29" s="65" t="str">
        <f>VLOOKUP(A29,'CENTRO DE COSTOS'!A:D,4,FALSE)</f>
        <v>JUAN SEBASTIÁN RÍOS CASTRILLÓN</v>
      </c>
      <c r="C29" s="65" t="str">
        <f>VLOOKUP(A29,'CENTRO DE COSTOS'!A:D,2,FALSE)</f>
        <v>0004-0005</v>
      </c>
      <c r="D29" s="64">
        <v>5001</v>
      </c>
      <c r="E29" s="66" t="s">
        <v>302</v>
      </c>
      <c r="F29" s="67">
        <v>81346</v>
      </c>
      <c r="G29" s="68" t="s">
        <v>90</v>
      </c>
      <c r="H29" s="69" t="s">
        <v>183</v>
      </c>
      <c r="I29" s="67" t="s">
        <v>194</v>
      </c>
      <c r="J29" s="70" t="s">
        <v>208</v>
      </c>
      <c r="K29" s="67" t="s">
        <v>303</v>
      </c>
      <c r="L29" s="71" t="s">
        <v>95</v>
      </c>
      <c r="M29" s="72" t="s">
        <v>304</v>
      </c>
      <c r="N29" s="73">
        <v>45903</v>
      </c>
      <c r="O29" s="74">
        <v>45905</v>
      </c>
      <c r="P29" s="75" t="s">
        <v>188</v>
      </c>
      <c r="Q29" s="76" t="s">
        <v>305</v>
      </c>
      <c r="R29" s="64" t="s">
        <v>98</v>
      </c>
      <c r="S29" s="77" t="s">
        <v>306</v>
      </c>
      <c r="T29" s="74" t="s">
        <v>100</v>
      </c>
      <c r="U29" s="64" t="s">
        <v>307</v>
      </c>
      <c r="V29" s="70" t="s">
        <v>130</v>
      </c>
      <c r="W29" s="78" t="s">
        <v>114</v>
      </c>
      <c r="X29" s="68" t="s">
        <v>308</v>
      </c>
      <c r="Y29" s="64">
        <v>1</v>
      </c>
      <c r="Z29" s="79">
        <v>0</v>
      </c>
      <c r="AA29" s="80">
        <f>'BASE FACTURACION 2025'!$C$3</f>
        <v>122645.45276000001</v>
      </c>
      <c r="AB29" s="80">
        <f>'BASE FACTURACION 2025'!$F$3</f>
        <v>65164.677720000007</v>
      </c>
      <c r="AC29" s="80">
        <f t="shared" si="0"/>
        <v>122645.45276000001</v>
      </c>
    </row>
    <row r="30" spans="1:29" ht="13.15">
      <c r="A30" s="64" t="s">
        <v>208</v>
      </c>
      <c r="B30" s="65" t="str">
        <f>VLOOKUP(A30,'CENTRO DE COSTOS'!A:D,4,FALSE)</f>
        <v>JUAN SEBASTIÁN RÍOS CASTRILLÓN</v>
      </c>
      <c r="C30" s="65" t="str">
        <f>VLOOKUP(A30,'CENTRO DE COSTOS'!A:D,2,FALSE)</f>
        <v>0004-0005</v>
      </c>
      <c r="D30" s="64">
        <v>5001</v>
      </c>
      <c r="E30" s="66" t="s">
        <v>309</v>
      </c>
      <c r="F30" s="67">
        <v>81344</v>
      </c>
      <c r="G30" s="68" t="s">
        <v>90</v>
      </c>
      <c r="H30" s="69" t="s">
        <v>183</v>
      </c>
      <c r="I30" s="67" t="s">
        <v>194</v>
      </c>
      <c r="J30" s="70" t="s">
        <v>208</v>
      </c>
      <c r="K30" s="67" t="s">
        <v>310</v>
      </c>
      <c r="L30" s="71" t="s">
        <v>95</v>
      </c>
      <c r="M30" s="72" t="s">
        <v>311</v>
      </c>
      <c r="N30" s="73">
        <v>45903</v>
      </c>
      <c r="O30" s="74">
        <v>45905</v>
      </c>
      <c r="P30" s="75" t="s">
        <v>188</v>
      </c>
      <c r="Q30" s="76" t="s">
        <v>305</v>
      </c>
      <c r="R30" s="64" t="s">
        <v>98</v>
      </c>
      <c r="S30" s="77" t="s">
        <v>312</v>
      </c>
      <c r="T30" s="74" t="s">
        <v>100</v>
      </c>
      <c r="U30" s="64" t="s">
        <v>313</v>
      </c>
      <c r="V30" s="70" t="s">
        <v>130</v>
      </c>
      <c r="W30" s="78" t="s">
        <v>114</v>
      </c>
      <c r="X30" s="68" t="s">
        <v>314</v>
      </c>
      <c r="Y30" s="64">
        <v>1</v>
      </c>
      <c r="Z30" s="79">
        <v>0</v>
      </c>
      <c r="AA30" s="80">
        <f>'BASE FACTURACION 2025'!$C$3</f>
        <v>122645.45276000001</v>
      </c>
      <c r="AB30" s="80">
        <f>'BASE FACTURACION 2025'!$F$3</f>
        <v>65164.677720000007</v>
      </c>
      <c r="AC30" s="80">
        <f t="shared" si="0"/>
        <v>122645.45276000001</v>
      </c>
    </row>
    <row r="31" spans="1:29" ht="13.15">
      <c r="A31" s="64" t="s">
        <v>208</v>
      </c>
      <c r="B31" s="65" t="str">
        <f>VLOOKUP(A31,'CENTRO DE COSTOS'!A:D,4,FALSE)</f>
        <v>JUAN SEBASTIÁN RÍOS CASTRILLÓN</v>
      </c>
      <c r="C31" s="65" t="str">
        <f>VLOOKUP(A31,'CENTRO DE COSTOS'!A:D,2,FALSE)</f>
        <v>0004-0005</v>
      </c>
      <c r="D31" s="64">
        <v>5001</v>
      </c>
      <c r="E31" s="66" t="s">
        <v>315</v>
      </c>
      <c r="F31" s="67">
        <v>81345</v>
      </c>
      <c r="G31" s="68" t="s">
        <v>90</v>
      </c>
      <c r="H31" s="69" t="s">
        <v>183</v>
      </c>
      <c r="I31" s="67" t="s">
        <v>194</v>
      </c>
      <c r="J31" s="70" t="s">
        <v>208</v>
      </c>
      <c r="K31" s="67" t="s">
        <v>316</v>
      </c>
      <c r="L31" s="71" t="s">
        <v>95</v>
      </c>
      <c r="M31" s="72" t="s">
        <v>317</v>
      </c>
      <c r="N31" s="73">
        <v>45903</v>
      </c>
      <c r="O31" s="74">
        <v>45905</v>
      </c>
      <c r="P31" s="75" t="s">
        <v>188</v>
      </c>
      <c r="Q31" s="76" t="s">
        <v>305</v>
      </c>
      <c r="R31" s="64" t="s">
        <v>98</v>
      </c>
      <c r="S31" s="77" t="s">
        <v>306</v>
      </c>
      <c r="T31" s="74" t="s">
        <v>100</v>
      </c>
      <c r="U31" s="64" t="s">
        <v>318</v>
      </c>
      <c r="V31" s="70" t="s">
        <v>130</v>
      </c>
      <c r="W31" s="78" t="s">
        <v>114</v>
      </c>
      <c r="X31" s="68" t="s">
        <v>319</v>
      </c>
      <c r="Y31" s="64">
        <v>1</v>
      </c>
      <c r="Z31" s="79">
        <v>0</v>
      </c>
      <c r="AA31" s="80">
        <f>'BASE FACTURACION 2025'!$C$3</f>
        <v>122645.45276000001</v>
      </c>
      <c r="AB31" s="80">
        <f>'BASE FACTURACION 2025'!$F$3</f>
        <v>65164.677720000007</v>
      </c>
      <c r="AC31" s="80">
        <f t="shared" si="0"/>
        <v>122645.45276000001</v>
      </c>
    </row>
    <row r="32" spans="1:29" ht="13.15">
      <c r="A32" s="64" t="s">
        <v>208</v>
      </c>
      <c r="B32" s="65" t="str">
        <f>VLOOKUP(A32,'CENTRO DE COSTOS'!A:D,4,FALSE)</f>
        <v>JUAN SEBASTIÁN RÍOS CASTRILLÓN</v>
      </c>
      <c r="C32" s="65" t="str">
        <f>VLOOKUP(A32,'CENTRO DE COSTOS'!A:D,2,FALSE)</f>
        <v>0004-0005</v>
      </c>
      <c r="D32" s="64">
        <v>5001</v>
      </c>
      <c r="E32" s="66" t="s">
        <v>320</v>
      </c>
      <c r="F32" s="67">
        <v>81347</v>
      </c>
      <c r="G32" s="68" t="s">
        <v>90</v>
      </c>
      <c r="H32" s="69" t="s">
        <v>183</v>
      </c>
      <c r="I32" s="67" t="s">
        <v>194</v>
      </c>
      <c r="J32" s="70" t="s">
        <v>208</v>
      </c>
      <c r="K32" s="67" t="s">
        <v>321</v>
      </c>
      <c r="L32" s="71" t="s">
        <v>95</v>
      </c>
      <c r="M32" s="72" t="s">
        <v>322</v>
      </c>
      <c r="N32" s="73">
        <v>45903</v>
      </c>
      <c r="O32" s="74">
        <v>45905</v>
      </c>
      <c r="P32" s="75" t="s">
        <v>188</v>
      </c>
      <c r="Q32" s="76" t="s">
        <v>305</v>
      </c>
      <c r="R32" s="64" t="s">
        <v>98</v>
      </c>
      <c r="S32" s="77" t="s">
        <v>306</v>
      </c>
      <c r="T32" s="74" t="s">
        <v>100</v>
      </c>
      <c r="U32" s="64" t="s">
        <v>323</v>
      </c>
      <c r="V32" s="70" t="s">
        <v>130</v>
      </c>
      <c r="W32" s="78" t="s">
        <v>114</v>
      </c>
      <c r="X32" s="68" t="s">
        <v>308</v>
      </c>
      <c r="Y32" s="64">
        <v>1</v>
      </c>
      <c r="Z32" s="79">
        <v>0</v>
      </c>
      <c r="AA32" s="80">
        <f>'BASE FACTURACION 2025'!$C$3</f>
        <v>122645.45276000001</v>
      </c>
      <c r="AB32" s="80">
        <f>'BASE FACTURACION 2025'!$F$3</f>
        <v>65164.677720000007</v>
      </c>
      <c r="AC32" s="80">
        <f t="shared" si="0"/>
        <v>122645.45276000001</v>
      </c>
    </row>
    <row r="33" spans="1:29" ht="13.15">
      <c r="A33" s="64" t="s">
        <v>208</v>
      </c>
      <c r="B33" s="65" t="str">
        <f>VLOOKUP(A33,'CENTRO DE COSTOS'!A:D,4,FALSE)</f>
        <v>JUAN SEBASTIÁN RÍOS CASTRILLÓN</v>
      </c>
      <c r="C33" s="65" t="str">
        <f>VLOOKUP(A33,'CENTRO DE COSTOS'!A:D,2,FALSE)</f>
        <v>0004-0005</v>
      </c>
      <c r="D33" s="64">
        <v>5088</v>
      </c>
      <c r="E33" s="66" t="s">
        <v>324</v>
      </c>
      <c r="F33" s="67">
        <v>81341</v>
      </c>
      <c r="G33" s="68" t="s">
        <v>90</v>
      </c>
      <c r="H33" s="69" t="s">
        <v>183</v>
      </c>
      <c r="I33" s="67" t="s">
        <v>194</v>
      </c>
      <c r="J33" s="70" t="s">
        <v>325</v>
      </c>
      <c r="K33" s="67" t="s">
        <v>326</v>
      </c>
      <c r="L33" s="71" t="s">
        <v>95</v>
      </c>
      <c r="M33" s="72" t="s">
        <v>327</v>
      </c>
      <c r="N33" s="73">
        <v>45903</v>
      </c>
      <c r="O33" s="74">
        <v>45904</v>
      </c>
      <c r="P33" s="75" t="s">
        <v>188</v>
      </c>
      <c r="Q33" s="76" t="s">
        <v>305</v>
      </c>
      <c r="R33" s="64" t="s">
        <v>98</v>
      </c>
      <c r="S33" s="77" t="s">
        <v>328</v>
      </c>
      <c r="T33" s="74" t="s">
        <v>100</v>
      </c>
      <c r="U33" s="64" t="s">
        <v>329</v>
      </c>
      <c r="V33" s="70" t="s">
        <v>130</v>
      </c>
      <c r="W33" s="78" t="s">
        <v>114</v>
      </c>
      <c r="X33" s="68" t="s">
        <v>319</v>
      </c>
      <c r="Y33" s="64">
        <v>1</v>
      </c>
      <c r="Z33" s="79">
        <v>0</v>
      </c>
      <c r="AA33" s="80">
        <f>'BASE FACTURACION 2025'!$C$3</f>
        <v>122645.45276000001</v>
      </c>
      <c r="AB33" s="80">
        <f>'BASE FACTURACION 2025'!$F$3</f>
        <v>65164.677720000007</v>
      </c>
      <c r="AC33" s="80">
        <f t="shared" si="0"/>
        <v>122645.45276000001</v>
      </c>
    </row>
    <row r="34" spans="1:29" ht="13.15">
      <c r="A34" s="64" t="s">
        <v>208</v>
      </c>
      <c r="B34" s="65" t="str">
        <f>VLOOKUP(A34,'CENTRO DE COSTOS'!A:D,4,FALSE)</f>
        <v>JUAN SEBASTIÁN RÍOS CASTRILLÓN</v>
      </c>
      <c r="C34" s="65" t="str">
        <f>VLOOKUP(A34,'CENTRO DE COSTOS'!A:D,2,FALSE)</f>
        <v>0004-0005</v>
      </c>
      <c r="D34" s="64">
        <v>5088</v>
      </c>
      <c r="E34" s="66" t="s">
        <v>330</v>
      </c>
      <c r="F34" s="67">
        <v>81342</v>
      </c>
      <c r="G34" s="68" t="s">
        <v>90</v>
      </c>
      <c r="H34" s="69" t="s">
        <v>183</v>
      </c>
      <c r="I34" s="67" t="s">
        <v>194</v>
      </c>
      <c r="J34" s="70" t="s">
        <v>325</v>
      </c>
      <c r="K34" s="67" t="s">
        <v>331</v>
      </c>
      <c r="L34" s="71" t="s">
        <v>95</v>
      </c>
      <c r="M34" s="72" t="s">
        <v>332</v>
      </c>
      <c r="N34" s="73">
        <v>45903</v>
      </c>
      <c r="O34" s="74">
        <v>45904</v>
      </c>
      <c r="P34" s="75" t="s">
        <v>188</v>
      </c>
      <c r="Q34" s="76" t="s">
        <v>305</v>
      </c>
      <c r="R34" s="64" t="s">
        <v>98</v>
      </c>
      <c r="S34" s="77" t="s">
        <v>333</v>
      </c>
      <c r="T34" s="74" t="s">
        <v>100</v>
      </c>
      <c r="U34" s="64" t="s">
        <v>334</v>
      </c>
      <c r="V34" s="70" t="s">
        <v>130</v>
      </c>
      <c r="W34" s="78" t="s">
        <v>114</v>
      </c>
      <c r="X34" s="68" t="s">
        <v>319</v>
      </c>
      <c r="Y34" s="64">
        <v>1</v>
      </c>
      <c r="Z34" s="79">
        <v>0</v>
      </c>
      <c r="AA34" s="80">
        <f>'BASE FACTURACION 2025'!$C$3</f>
        <v>122645.45276000001</v>
      </c>
      <c r="AB34" s="80">
        <f>'BASE FACTURACION 2025'!$F$3</f>
        <v>65164.677720000007</v>
      </c>
      <c r="AC34" s="80">
        <f t="shared" si="0"/>
        <v>122645.45276000001</v>
      </c>
    </row>
    <row r="35" spans="1:29" ht="13.15">
      <c r="A35" s="64" t="s">
        <v>208</v>
      </c>
      <c r="B35" s="65" t="str">
        <f>VLOOKUP(A35,'CENTRO DE COSTOS'!A:D,4,FALSE)</f>
        <v>JUAN SEBASTIÁN RÍOS CASTRILLÓN</v>
      </c>
      <c r="C35" s="65" t="str">
        <f>VLOOKUP(A35,'CENTRO DE COSTOS'!A:D,2,FALSE)</f>
        <v>0004-0005</v>
      </c>
      <c r="D35" s="64">
        <v>5266</v>
      </c>
      <c r="E35" s="66" t="s">
        <v>335</v>
      </c>
      <c r="F35" s="67">
        <v>81343</v>
      </c>
      <c r="G35" s="68" t="s">
        <v>90</v>
      </c>
      <c r="H35" s="69" t="s">
        <v>183</v>
      </c>
      <c r="I35" s="67" t="s">
        <v>194</v>
      </c>
      <c r="J35" s="70" t="s">
        <v>336</v>
      </c>
      <c r="K35" s="67" t="s">
        <v>337</v>
      </c>
      <c r="L35" s="71" t="s">
        <v>95</v>
      </c>
      <c r="M35" s="72" t="s">
        <v>338</v>
      </c>
      <c r="N35" s="73">
        <v>45903</v>
      </c>
      <c r="O35" s="74">
        <v>45904</v>
      </c>
      <c r="P35" s="75" t="s">
        <v>188</v>
      </c>
      <c r="Q35" s="76" t="s">
        <v>305</v>
      </c>
      <c r="R35" s="64" t="s">
        <v>98</v>
      </c>
      <c r="S35" s="77" t="s">
        <v>339</v>
      </c>
      <c r="T35" s="74" t="s">
        <v>100</v>
      </c>
      <c r="U35" s="64" t="s">
        <v>340</v>
      </c>
      <c r="V35" s="70" t="s">
        <v>130</v>
      </c>
      <c r="W35" s="78" t="s">
        <v>114</v>
      </c>
      <c r="X35" s="68" t="s">
        <v>341</v>
      </c>
      <c r="Y35" s="64">
        <v>1</v>
      </c>
      <c r="Z35" s="79">
        <v>0</v>
      </c>
      <c r="AA35" s="80">
        <f>'BASE FACTURACION 2025'!$C$3</f>
        <v>122645.45276000001</v>
      </c>
      <c r="AB35" s="80">
        <f>'BASE FACTURACION 2025'!$F$3</f>
        <v>65164.677720000007</v>
      </c>
      <c r="AC35" s="80">
        <f t="shared" si="0"/>
        <v>122645.45276000001</v>
      </c>
    </row>
    <row r="36" spans="1:29" ht="13.15">
      <c r="A36" s="64" t="s">
        <v>200</v>
      </c>
      <c r="B36" s="65" t="str">
        <f>VLOOKUP(A36,'CENTRO DE COSTOS'!A:D,4,FALSE)</f>
        <v>JUAN SEBASTIÁN RÍOS CASTRILLÓN</v>
      </c>
      <c r="C36" s="65" t="str">
        <f>VLOOKUP(A36,'CENTRO DE COSTOS'!A:D,2,FALSE)</f>
        <v>0004-0005</v>
      </c>
      <c r="D36" s="64">
        <v>5837</v>
      </c>
      <c r="E36" s="66" t="s">
        <v>342</v>
      </c>
      <c r="F36" s="67">
        <v>81325</v>
      </c>
      <c r="G36" s="68" t="s">
        <v>90</v>
      </c>
      <c r="H36" s="69" t="s">
        <v>183</v>
      </c>
      <c r="I36" s="67" t="s">
        <v>194</v>
      </c>
      <c r="J36" s="70" t="s">
        <v>202</v>
      </c>
      <c r="K36" s="67" t="s">
        <v>343</v>
      </c>
      <c r="L36" s="71" t="s">
        <v>95</v>
      </c>
      <c r="M36" s="72" t="s">
        <v>344</v>
      </c>
      <c r="N36" s="73">
        <v>45903</v>
      </c>
      <c r="O36" s="74">
        <v>45904</v>
      </c>
      <c r="P36" s="75" t="s">
        <v>188</v>
      </c>
      <c r="Q36" s="76" t="s">
        <v>305</v>
      </c>
      <c r="R36" s="64" t="s">
        <v>98</v>
      </c>
      <c r="S36" s="77" t="s">
        <v>339</v>
      </c>
      <c r="T36" s="74" t="s">
        <v>100</v>
      </c>
      <c r="U36" s="64" t="s">
        <v>345</v>
      </c>
      <c r="V36" s="70" t="s">
        <v>174</v>
      </c>
      <c r="W36" s="78" t="s">
        <v>114</v>
      </c>
      <c r="X36" s="68" t="s">
        <v>207</v>
      </c>
      <c r="Y36" s="64">
        <v>1</v>
      </c>
      <c r="Z36" s="79">
        <v>0</v>
      </c>
      <c r="AA36" s="80">
        <f>'BASE FACTURACION 2025'!$C$3</f>
        <v>122645.45276000001</v>
      </c>
      <c r="AB36" s="80">
        <f>'BASE FACTURACION 2025'!$F$3</f>
        <v>65164.677720000007</v>
      </c>
      <c r="AC36" s="80">
        <f t="shared" si="0"/>
        <v>122645.45276000001</v>
      </c>
    </row>
    <row r="37" spans="1:29" ht="13.15">
      <c r="A37" s="64" t="s">
        <v>346</v>
      </c>
      <c r="B37" s="65" t="str">
        <f>VLOOKUP(A37,'CENTRO DE COSTOS'!A:D,4,FALSE)</f>
        <v>MIGUEL JULIÁN HERNÁNDEZ GUARÍN</v>
      </c>
      <c r="C37" s="65" t="str">
        <f>VLOOKUP(A37,'CENTRO DE COSTOS'!A:D,2,FALSE)</f>
        <v>0004-0008</v>
      </c>
      <c r="D37" s="64">
        <v>15804</v>
      </c>
      <c r="E37" s="66" t="s">
        <v>347</v>
      </c>
      <c r="F37" s="67">
        <v>81335</v>
      </c>
      <c r="G37" s="68" t="s">
        <v>90</v>
      </c>
      <c r="H37" s="69" t="s">
        <v>183</v>
      </c>
      <c r="I37" s="67" t="s">
        <v>348</v>
      </c>
      <c r="J37" s="70" t="s">
        <v>349</v>
      </c>
      <c r="K37" s="67" t="s">
        <v>350</v>
      </c>
      <c r="L37" s="71" t="s">
        <v>95</v>
      </c>
      <c r="M37" s="72" t="s">
        <v>351</v>
      </c>
      <c r="N37" s="73">
        <v>45903</v>
      </c>
      <c r="O37" s="74">
        <v>45904</v>
      </c>
      <c r="P37" s="75" t="s">
        <v>188</v>
      </c>
      <c r="Q37" s="76" t="s">
        <v>305</v>
      </c>
      <c r="R37" s="64" t="s">
        <v>98</v>
      </c>
      <c r="S37" s="77" t="s">
        <v>339</v>
      </c>
      <c r="T37" s="74" t="s">
        <v>100</v>
      </c>
      <c r="U37" s="64" t="s">
        <v>352</v>
      </c>
      <c r="V37" s="70" t="s">
        <v>174</v>
      </c>
      <c r="W37" s="78" t="s">
        <v>114</v>
      </c>
      <c r="X37" s="68" t="s">
        <v>353</v>
      </c>
      <c r="Y37" s="64">
        <v>1</v>
      </c>
      <c r="Z37" s="79">
        <v>0</v>
      </c>
      <c r="AA37" s="80">
        <f>'BASE FACTURACION 2025'!$C$3</f>
        <v>122645.45276000001</v>
      </c>
      <c r="AB37" s="80">
        <f>'BASE FACTURACION 2025'!$F$3</f>
        <v>65164.677720000007</v>
      </c>
      <c r="AC37" s="80">
        <f t="shared" si="0"/>
        <v>122645.45276000001</v>
      </c>
    </row>
    <row r="38" spans="1:29" ht="13.15">
      <c r="A38" s="64" t="s">
        <v>148</v>
      </c>
      <c r="B38" s="65" t="str">
        <f>VLOOKUP(A38,'CENTRO DE COSTOS'!A:D,4,FALSE)</f>
        <v>KEVIN ALEXIS CORZO BUSTOS</v>
      </c>
      <c r="C38" s="65" t="str">
        <f>VLOOKUP(A38,'CENTRO DE COSTOS'!A:D,2,FALSE)</f>
        <v>0004-0007</v>
      </c>
      <c r="D38" s="64">
        <v>18001</v>
      </c>
      <c r="E38" s="66" t="s">
        <v>354</v>
      </c>
      <c r="F38" s="67">
        <v>81326</v>
      </c>
      <c r="G38" s="68" t="s">
        <v>90</v>
      </c>
      <c r="H38" s="69" t="s">
        <v>183</v>
      </c>
      <c r="I38" s="67" t="s">
        <v>150</v>
      </c>
      <c r="J38" s="70" t="s">
        <v>355</v>
      </c>
      <c r="K38" s="67" t="s">
        <v>356</v>
      </c>
      <c r="L38" s="71" t="s">
        <v>95</v>
      </c>
      <c r="M38" s="72" t="s">
        <v>357</v>
      </c>
      <c r="N38" s="73">
        <v>45903</v>
      </c>
      <c r="O38" s="74">
        <v>45904</v>
      </c>
      <c r="P38" s="75" t="s">
        <v>188</v>
      </c>
      <c r="Q38" s="76" t="s">
        <v>305</v>
      </c>
      <c r="R38" s="64" t="s">
        <v>98</v>
      </c>
      <c r="S38" s="77" t="s">
        <v>339</v>
      </c>
      <c r="T38" s="74" t="s">
        <v>100</v>
      </c>
      <c r="U38" s="64" t="s">
        <v>358</v>
      </c>
      <c r="V38" s="70" t="s">
        <v>122</v>
      </c>
      <c r="W38" s="78" t="s">
        <v>114</v>
      </c>
      <c r="X38" s="68" t="s">
        <v>156</v>
      </c>
      <c r="Y38" s="64">
        <v>1</v>
      </c>
      <c r="Z38" s="79">
        <v>0</v>
      </c>
      <c r="AA38" s="80">
        <f>'BASE FACTURACION 2025'!$C$3</f>
        <v>122645.45276000001</v>
      </c>
      <c r="AB38" s="80">
        <f>'BASE FACTURACION 2025'!$F$3</f>
        <v>65164.677720000007</v>
      </c>
      <c r="AC38" s="80">
        <f t="shared" si="0"/>
        <v>122645.45276000001</v>
      </c>
    </row>
    <row r="39" spans="1:29" ht="13.15">
      <c r="A39" s="64" t="s">
        <v>359</v>
      </c>
      <c r="B39" s="65" t="str">
        <f>VLOOKUP(A39,'CENTRO DE COSTOS'!A:D,4,FALSE)</f>
        <v>WILLIAM ASDRUBAL ROZO ROZO</v>
      </c>
      <c r="C39" s="65" t="str">
        <f>VLOOKUP(A39,'CENTRO DE COSTOS'!A:D,2,FALSE)</f>
        <v>0004-0004</v>
      </c>
      <c r="D39" s="64">
        <v>25754</v>
      </c>
      <c r="E39" s="66" t="s">
        <v>360</v>
      </c>
      <c r="F39" s="67">
        <v>81337</v>
      </c>
      <c r="G39" s="68" t="s">
        <v>90</v>
      </c>
      <c r="H39" s="69" t="s">
        <v>183</v>
      </c>
      <c r="I39" s="67" t="s">
        <v>361</v>
      </c>
      <c r="J39" s="70" t="s">
        <v>362</v>
      </c>
      <c r="K39" s="67" t="s">
        <v>363</v>
      </c>
      <c r="L39" s="71" t="s">
        <v>95</v>
      </c>
      <c r="M39" s="72" t="s">
        <v>364</v>
      </c>
      <c r="N39" s="73">
        <v>45903</v>
      </c>
      <c r="O39" s="74">
        <v>45904</v>
      </c>
      <c r="P39" s="75" t="s">
        <v>188</v>
      </c>
      <c r="Q39" s="76" t="s">
        <v>305</v>
      </c>
      <c r="R39" s="64" t="s">
        <v>98</v>
      </c>
      <c r="S39" s="77" t="s">
        <v>339</v>
      </c>
      <c r="T39" s="74" t="s">
        <v>100</v>
      </c>
      <c r="U39" s="64" t="s">
        <v>365</v>
      </c>
      <c r="V39" s="70" t="s">
        <v>130</v>
      </c>
      <c r="W39" s="78" t="s">
        <v>114</v>
      </c>
      <c r="X39" s="68" t="s">
        <v>366</v>
      </c>
      <c r="Y39" s="64">
        <v>1</v>
      </c>
      <c r="Z39" s="79">
        <v>0</v>
      </c>
      <c r="AA39" s="80">
        <f>'BASE FACTURACION 2025'!$C$3</f>
        <v>122645.45276000001</v>
      </c>
      <c r="AB39" s="80">
        <f>'BASE FACTURACION 2025'!$F$3</f>
        <v>65164.677720000007</v>
      </c>
      <c r="AC39" s="80">
        <f t="shared" si="0"/>
        <v>122645.45276000001</v>
      </c>
    </row>
    <row r="40" spans="1:29" ht="13.15">
      <c r="A40" s="64" t="s">
        <v>359</v>
      </c>
      <c r="B40" s="65" t="str">
        <f>VLOOKUP(A40,'CENTRO DE COSTOS'!A:D,4,FALSE)</f>
        <v>WILLIAM ASDRUBAL ROZO ROZO</v>
      </c>
      <c r="C40" s="65" t="str">
        <f>VLOOKUP(A40,'CENTRO DE COSTOS'!A:D,2,FALSE)</f>
        <v>0004-0004</v>
      </c>
      <c r="D40" s="64">
        <v>25785</v>
      </c>
      <c r="E40" s="66" t="s">
        <v>367</v>
      </c>
      <c r="F40" s="67">
        <v>81338</v>
      </c>
      <c r="G40" s="68" t="s">
        <v>90</v>
      </c>
      <c r="H40" s="69" t="s">
        <v>183</v>
      </c>
      <c r="I40" s="67" t="s">
        <v>361</v>
      </c>
      <c r="J40" s="70" t="s">
        <v>368</v>
      </c>
      <c r="K40" s="67" t="s">
        <v>369</v>
      </c>
      <c r="L40" s="71" t="s">
        <v>95</v>
      </c>
      <c r="M40" s="72" t="s">
        <v>370</v>
      </c>
      <c r="N40" s="73">
        <v>45903</v>
      </c>
      <c r="O40" s="74">
        <v>45904</v>
      </c>
      <c r="P40" s="75" t="s">
        <v>188</v>
      </c>
      <c r="Q40" s="76" t="s">
        <v>305</v>
      </c>
      <c r="R40" s="64" t="s">
        <v>98</v>
      </c>
      <c r="S40" s="77" t="s">
        <v>339</v>
      </c>
      <c r="T40" s="74" t="s">
        <v>100</v>
      </c>
      <c r="U40" s="64" t="s">
        <v>371</v>
      </c>
      <c r="V40" s="70" t="s">
        <v>174</v>
      </c>
      <c r="W40" s="78" t="s">
        <v>114</v>
      </c>
      <c r="X40" s="68" t="s">
        <v>372</v>
      </c>
      <c r="Y40" s="64">
        <v>1</v>
      </c>
      <c r="Z40" s="79">
        <v>0</v>
      </c>
      <c r="AA40" s="80">
        <f>'BASE FACTURACION 2025'!$C$3</f>
        <v>122645.45276000001</v>
      </c>
      <c r="AB40" s="80">
        <f>'BASE FACTURACION 2025'!$F$3</f>
        <v>65164.677720000007</v>
      </c>
      <c r="AC40" s="80">
        <f t="shared" si="0"/>
        <v>122645.45276000001</v>
      </c>
    </row>
    <row r="41" spans="1:29" ht="13.15">
      <c r="A41" s="64" t="s">
        <v>148</v>
      </c>
      <c r="B41" s="65" t="str">
        <f>VLOOKUP(A41,'CENTRO DE COSTOS'!A:D,4,FALSE)</f>
        <v>KEVIN ALEXIS CORZO BUSTOS</v>
      </c>
      <c r="C41" s="65" t="str">
        <f>VLOOKUP(A41,'CENTRO DE COSTOS'!A:D,2,FALSE)</f>
        <v>0004-0007</v>
      </c>
      <c r="D41" s="64">
        <v>41396</v>
      </c>
      <c r="E41" s="66" t="s">
        <v>373</v>
      </c>
      <c r="F41" s="67">
        <v>81332</v>
      </c>
      <c r="G41" s="68" t="s">
        <v>90</v>
      </c>
      <c r="H41" s="69" t="s">
        <v>183</v>
      </c>
      <c r="I41" s="67" t="s">
        <v>374</v>
      </c>
      <c r="J41" s="70" t="s">
        <v>375</v>
      </c>
      <c r="K41" s="67" t="s">
        <v>376</v>
      </c>
      <c r="L41" s="71" t="s">
        <v>95</v>
      </c>
      <c r="M41" s="72" t="s">
        <v>377</v>
      </c>
      <c r="N41" s="73">
        <v>45903</v>
      </c>
      <c r="O41" s="74">
        <v>45905</v>
      </c>
      <c r="P41" s="75" t="s">
        <v>188</v>
      </c>
      <c r="Q41" s="76" t="s">
        <v>305</v>
      </c>
      <c r="R41" s="64" t="s">
        <v>98</v>
      </c>
      <c r="S41" s="77" t="s">
        <v>378</v>
      </c>
      <c r="T41" s="74" t="s">
        <v>100</v>
      </c>
      <c r="U41" s="64" t="s">
        <v>379</v>
      </c>
      <c r="V41" s="70" t="s">
        <v>113</v>
      </c>
      <c r="W41" s="78" t="s">
        <v>114</v>
      </c>
      <c r="X41" s="68" t="s">
        <v>380</v>
      </c>
      <c r="Y41" s="64">
        <v>1</v>
      </c>
      <c r="Z41" s="79">
        <v>0</v>
      </c>
      <c r="AA41" s="80">
        <f>'BASE FACTURACION 2025'!$C$3</f>
        <v>122645.45276000001</v>
      </c>
      <c r="AB41" s="80">
        <f>'BASE FACTURACION 2025'!$F$3</f>
        <v>65164.677720000007</v>
      </c>
      <c r="AC41" s="80">
        <f t="shared" si="0"/>
        <v>122645.45276000001</v>
      </c>
    </row>
    <row r="42" spans="1:29" ht="13.15">
      <c r="A42" s="64" t="s">
        <v>381</v>
      </c>
      <c r="B42" s="65" t="str">
        <f>VLOOKUP(A42,'CENTRO DE COSTOS'!A:D,4,FALSE)</f>
        <v>JOSE MAURICIO HERNANDEZ ROJAS</v>
      </c>
      <c r="C42" s="65" t="str">
        <f>VLOOKUP(A42,'CENTRO DE COSTOS'!A:D,2,FALSE)</f>
        <v>0004-0001</v>
      </c>
      <c r="D42" s="64">
        <v>47001</v>
      </c>
      <c r="E42" s="66" t="s">
        <v>382</v>
      </c>
      <c r="F42" s="67">
        <v>81336</v>
      </c>
      <c r="G42" s="68" t="s">
        <v>90</v>
      </c>
      <c r="H42" s="69" t="s">
        <v>183</v>
      </c>
      <c r="I42" s="67" t="s">
        <v>383</v>
      </c>
      <c r="J42" s="70" t="s">
        <v>381</v>
      </c>
      <c r="K42" s="67" t="s">
        <v>384</v>
      </c>
      <c r="L42" s="71" t="s">
        <v>95</v>
      </c>
      <c r="M42" s="72" t="s">
        <v>385</v>
      </c>
      <c r="N42" s="73">
        <v>45903</v>
      </c>
      <c r="O42" s="74">
        <v>45905</v>
      </c>
      <c r="P42" s="75" t="s">
        <v>188</v>
      </c>
      <c r="Q42" s="76" t="s">
        <v>305</v>
      </c>
      <c r="R42" s="64" t="s">
        <v>98</v>
      </c>
      <c r="S42" s="77" t="s">
        <v>306</v>
      </c>
      <c r="T42" s="74" t="s">
        <v>100</v>
      </c>
      <c r="U42" s="64" t="s">
        <v>386</v>
      </c>
      <c r="V42" s="70" t="s">
        <v>130</v>
      </c>
      <c r="W42" s="78" t="s">
        <v>114</v>
      </c>
      <c r="X42" s="68" t="s">
        <v>387</v>
      </c>
      <c r="Y42" s="64">
        <v>1</v>
      </c>
      <c r="Z42" s="79">
        <v>0</v>
      </c>
      <c r="AA42" s="80">
        <f>'BASE FACTURACION 2025'!$C$3</f>
        <v>122645.45276000001</v>
      </c>
      <c r="AB42" s="80">
        <f>'BASE FACTURACION 2025'!$F$3</f>
        <v>65164.677720000007</v>
      </c>
      <c r="AC42" s="80">
        <f t="shared" si="0"/>
        <v>122645.45276000001</v>
      </c>
    </row>
    <row r="43" spans="1:29" ht="13.15">
      <c r="A43" s="64" t="s">
        <v>381</v>
      </c>
      <c r="B43" s="65" t="str">
        <f>VLOOKUP(A43,'CENTRO DE COSTOS'!A:D,4,FALSE)</f>
        <v>JOSE MAURICIO HERNANDEZ ROJAS</v>
      </c>
      <c r="C43" s="65" t="str">
        <f>VLOOKUP(A43,'CENTRO DE COSTOS'!A:D,2,FALSE)</f>
        <v>0004-0001</v>
      </c>
      <c r="D43" s="64">
        <v>47030</v>
      </c>
      <c r="E43" s="66" t="s">
        <v>388</v>
      </c>
      <c r="F43" s="67">
        <v>81306</v>
      </c>
      <c r="G43" s="68" t="s">
        <v>90</v>
      </c>
      <c r="H43" s="69" t="s">
        <v>183</v>
      </c>
      <c r="I43" s="67" t="s">
        <v>383</v>
      </c>
      <c r="J43" s="70" t="s">
        <v>389</v>
      </c>
      <c r="K43" s="67" t="s">
        <v>390</v>
      </c>
      <c r="L43" s="71" t="s">
        <v>95</v>
      </c>
      <c r="M43" s="72" t="s">
        <v>391</v>
      </c>
      <c r="N43" s="73">
        <v>45903</v>
      </c>
      <c r="O43" s="74">
        <v>45904</v>
      </c>
      <c r="P43" s="75" t="s">
        <v>188</v>
      </c>
      <c r="Q43" s="76" t="s">
        <v>305</v>
      </c>
      <c r="R43" s="64" t="s">
        <v>98</v>
      </c>
      <c r="S43" s="77" t="s">
        <v>339</v>
      </c>
      <c r="T43" s="74" t="s">
        <v>100</v>
      </c>
      <c r="U43" s="64" t="s">
        <v>392</v>
      </c>
      <c r="V43" s="70" t="s">
        <v>122</v>
      </c>
      <c r="W43" s="78" t="s">
        <v>114</v>
      </c>
      <c r="X43" s="68" t="s">
        <v>387</v>
      </c>
      <c r="Y43" s="64">
        <v>1</v>
      </c>
      <c r="Z43" s="79">
        <v>0</v>
      </c>
      <c r="AA43" s="80">
        <f>'BASE FACTURACION 2025'!$C$3</f>
        <v>122645.45276000001</v>
      </c>
      <c r="AB43" s="80">
        <f>'BASE FACTURACION 2025'!$F$3</f>
        <v>65164.677720000007</v>
      </c>
      <c r="AC43" s="80">
        <f t="shared" si="0"/>
        <v>122645.45276000001</v>
      </c>
    </row>
    <row r="44" spans="1:29" ht="13.15">
      <c r="A44" s="64" t="s">
        <v>88</v>
      </c>
      <c r="B44" s="65" t="str">
        <f>VLOOKUP(A44,'CENTRO DE COSTOS'!A:D,4,FALSE)</f>
        <v>DIEGO FERNANDO HENAO CARDONA</v>
      </c>
      <c r="C44" s="65" t="str">
        <f>VLOOKUP(A44,'CENTRO DE COSTOS'!A:D,2,FALSE)</f>
        <v>0004-0003</v>
      </c>
      <c r="D44" s="64">
        <v>52385</v>
      </c>
      <c r="E44" s="66" t="s">
        <v>393</v>
      </c>
      <c r="F44" s="67">
        <v>81331</v>
      </c>
      <c r="G44" s="68" t="s">
        <v>90</v>
      </c>
      <c r="H44" s="69" t="s">
        <v>183</v>
      </c>
      <c r="I44" s="67" t="s">
        <v>92</v>
      </c>
      <c r="J44" s="70" t="s">
        <v>394</v>
      </c>
      <c r="K44" s="67" t="s">
        <v>395</v>
      </c>
      <c r="L44" s="71" t="s">
        <v>95</v>
      </c>
      <c r="M44" s="72" t="s">
        <v>396</v>
      </c>
      <c r="N44" s="73">
        <v>45903</v>
      </c>
      <c r="O44" s="74">
        <v>45905</v>
      </c>
      <c r="P44" s="75" t="s">
        <v>188</v>
      </c>
      <c r="Q44" s="76" t="s">
        <v>305</v>
      </c>
      <c r="R44" s="64" t="s">
        <v>98</v>
      </c>
      <c r="S44" s="77" t="s">
        <v>306</v>
      </c>
      <c r="T44" s="74" t="s">
        <v>100</v>
      </c>
      <c r="U44" s="64" t="s">
        <v>397</v>
      </c>
      <c r="V44" s="70" t="s">
        <v>122</v>
      </c>
      <c r="W44" s="78" t="s">
        <v>114</v>
      </c>
      <c r="X44" s="68" t="s">
        <v>192</v>
      </c>
      <c r="Y44" s="64">
        <v>1</v>
      </c>
      <c r="Z44" s="79">
        <v>0</v>
      </c>
      <c r="AA44" s="80">
        <f>'BASE FACTURACION 2025'!$C$3</f>
        <v>122645.45276000001</v>
      </c>
      <c r="AB44" s="80">
        <f>'BASE FACTURACION 2025'!$F$3</f>
        <v>65164.677720000007</v>
      </c>
      <c r="AC44" s="80">
        <f t="shared" si="0"/>
        <v>122645.45276000001</v>
      </c>
    </row>
    <row r="45" spans="1:29" ht="13.15">
      <c r="A45" s="64" t="s">
        <v>88</v>
      </c>
      <c r="B45" s="65" t="str">
        <f>VLOOKUP(A45,'CENTRO DE COSTOS'!A:D,4,FALSE)</f>
        <v>DIEGO FERNANDO HENAO CARDONA</v>
      </c>
      <c r="C45" s="65" t="str">
        <f>VLOOKUP(A45,'CENTRO DE COSTOS'!A:D,2,FALSE)</f>
        <v>0004-0003</v>
      </c>
      <c r="D45" s="64">
        <v>52838</v>
      </c>
      <c r="E45" s="66" t="s">
        <v>398</v>
      </c>
      <c r="F45" s="67">
        <v>81339</v>
      </c>
      <c r="G45" s="68" t="s">
        <v>90</v>
      </c>
      <c r="H45" s="69" t="s">
        <v>183</v>
      </c>
      <c r="I45" s="67" t="s">
        <v>92</v>
      </c>
      <c r="J45" s="70" t="s">
        <v>399</v>
      </c>
      <c r="K45" s="67" t="s">
        <v>400</v>
      </c>
      <c r="L45" s="71" t="s">
        <v>95</v>
      </c>
      <c r="M45" s="72" t="s">
        <v>401</v>
      </c>
      <c r="N45" s="73">
        <v>45903</v>
      </c>
      <c r="O45" s="74">
        <v>45905</v>
      </c>
      <c r="P45" s="75" t="s">
        <v>188</v>
      </c>
      <c r="Q45" s="76" t="s">
        <v>305</v>
      </c>
      <c r="R45" s="64" t="s">
        <v>98</v>
      </c>
      <c r="S45" s="77" t="s">
        <v>306</v>
      </c>
      <c r="T45" s="74" t="s">
        <v>100</v>
      </c>
      <c r="U45" s="64" t="s">
        <v>402</v>
      </c>
      <c r="V45" s="70" t="s">
        <v>174</v>
      </c>
      <c r="W45" s="78" t="s">
        <v>114</v>
      </c>
      <c r="X45" s="68" t="s">
        <v>242</v>
      </c>
      <c r="Y45" s="64">
        <v>1</v>
      </c>
      <c r="Z45" s="79">
        <v>0</v>
      </c>
      <c r="AA45" s="80">
        <f>'BASE FACTURACION 2025'!$C$3</f>
        <v>122645.45276000001</v>
      </c>
      <c r="AB45" s="80">
        <f>'BASE FACTURACION 2025'!$F$3</f>
        <v>65164.677720000007</v>
      </c>
      <c r="AC45" s="80">
        <f t="shared" si="0"/>
        <v>122645.45276000001</v>
      </c>
    </row>
    <row r="46" spans="1:29" ht="13.15">
      <c r="A46" s="64" t="s">
        <v>243</v>
      </c>
      <c r="B46" s="65" t="str">
        <f>VLOOKUP(A46,'CENTRO DE COSTOS'!A:D,4,FALSE)</f>
        <v>MIGUEL JULIÁN HERNÁNDEZ GUARÍN</v>
      </c>
      <c r="C46" s="65" t="str">
        <f>VLOOKUP(A46,'CENTRO DE COSTOS'!A:D,2,FALSE)</f>
        <v>0004-0008</v>
      </c>
      <c r="D46" s="64">
        <v>54001</v>
      </c>
      <c r="E46" s="66" t="s">
        <v>403</v>
      </c>
      <c r="F46" s="67">
        <v>81324</v>
      </c>
      <c r="G46" s="68" t="s">
        <v>90</v>
      </c>
      <c r="H46" s="69" t="s">
        <v>183</v>
      </c>
      <c r="I46" s="67" t="s">
        <v>245</v>
      </c>
      <c r="J46" s="70" t="s">
        <v>243</v>
      </c>
      <c r="K46" s="67" t="s">
        <v>404</v>
      </c>
      <c r="L46" s="71" t="s">
        <v>95</v>
      </c>
      <c r="M46" s="72" t="s">
        <v>405</v>
      </c>
      <c r="N46" s="73">
        <v>45903</v>
      </c>
      <c r="O46" s="74">
        <v>45904</v>
      </c>
      <c r="P46" s="75" t="s">
        <v>188</v>
      </c>
      <c r="Q46" s="76" t="s">
        <v>305</v>
      </c>
      <c r="R46" s="64" t="s">
        <v>98</v>
      </c>
      <c r="S46" s="77" t="s">
        <v>339</v>
      </c>
      <c r="T46" s="74" t="s">
        <v>100</v>
      </c>
      <c r="U46" s="64" t="s">
        <v>406</v>
      </c>
      <c r="V46" s="70" t="s">
        <v>130</v>
      </c>
      <c r="W46" s="78" t="s">
        <v>114</v>
      </c>
      <c r="X46" s="68" t="s">
        <v>275</v>
      </c>
      <c r="Y46" s="64">
        <v>1</v>
      </c>
      <c r="Z46" s="79">
        <v>0</v>
      </c>
      <c r="AA46" s="80">
        <f>'BASE FACTURACION 2025'!$C$3</f>
        <v>122645.45276000001</v>
      </c>
      <c r="AB46" s="80">
        <f>'BASE FACTURACION 2025'!$F$3</f>
        <v>65164.677720000007</v>
      </c>
      <c r="AC46" s="80">
        <f t="shared" si="0"/>
        <v>122645.45276000001</v>
      </c>
    </row>
    <row r="47" spans="1:29" ht="13.15">
      <c r="A47" s="64" t="s">
        <v>243</v>
      </c>
      <c r="B47" s="65" t="str">
        <f>VLOOKUP(A47,'CENTRO DE COSTOS'!A:D,4,FALSE)</f>
        <v>MIGUEL JULIÁN HERNÁNDEZ GUARÍN</v>
      </c>
      <c r="C47" s="65" t="str">
        <f>VLOOKUP(A47,'CENTRO DE COSTOS'!A:D,2,FALSE)</f>
        <v>0004-0008</v>
      </c>
      <c r="D47" s="64">
        <v>54001</v>
      </c>
      <c r="E47" s="66" t="s">
        <v>407</v>
      </c>
      <c r="F47" s="67">
        <v>81322</v>
      </c>
      <c r="G47" s="68" t="s">
        <v>90</v>
      </c>
      <c r="H47" s="69" t="s">
        <v>183</v>
      </c>
      <c r="I47" s="67" t="s">
        <v>245</v>
      </c>
      <c r="J47" s="70" t="s">
        <v>243</v>
      </c>
      <c r="K47" s="67" t="s">
        <v>408</v>
      </c>
      <c r="L47" s="71" t="s">
        <v>95</v>
      </c>
      <c r="M47" s="72" t="s">
        <v>409</v>
      </c>
      <c r="N47" s="73">
        <v>45903</v>
      </c>
      <c r="O47" s="74">
        <v>45904</v>
      </c>
      <c r="P47" s="75" t="s">
        <v>188</v>
      </c>
      <c r="Q47" s="76" t="s">
        <v>305</v>
      </c>
      <c r="R47" s="64" t="s">
        <v>98</v>
      </c>
      <c r="S47" s="77" t="s">
        <v>339</v>
      </c>
      <c r="T47" s="74" t="s">
        <v>100</v>
      </c>
      <c r="U47" s="64" t="s">
        <v>410</v>
      </c>
      <c r="V47" s="70" t="s">
        <v>130</v>
      </c>
      <c r="W47" s="78" t="s">
        <v>114</v>
      </c>
      <c r="X47" s="68" t="s">
        <v>411</v>
      </c>
      <c r="Y47" s="64">
        <v>1</v>
      </c>
      <c r="Z47" s="79">
        <v>0</v>
      </c>
      <c r="AA47" s="80">
        <f>'BASE FACTURACION 2025'!$C$3</f>
        <v>122645.45276000001</v>
      </c>
      <c r="AB47" s="80">
        <f>'BASE FACTURACION 2025'!$F$3</f>
        <v>65164.677720000007</v>
      </c>
      <c r="AC47" s="80">
        <f t="shared" si="0"/>
        <v>122645.45276000001</v>
      </c>
    </row>
    <row r="48" spans="1:29" ht="13.15">
      <c r="A48" s="64" t="s">
        <v>243</v>
      </c>
      <c r="B48" s="65" t="str">
        <f>VLOOKUP(A48,'CENTRO DE COSTOS'!A:D,4,FALSE)</f>
        <v>MIGUEL JULIÁN HERNÁNDEZ GUARÍN</v>
      </c>
      <c r="C48" s="65" t="str">
        <f>VLOOKUP(A48,'CENTRO DE COSTOS'!A:D,2,FALSE)</f>
        <v>0004-0008</v>
      </c>
      <c r="D48" s="64">
        <v>54001</v>
      </c>
      <c r="E48" s="66" t="s">
        <v>412</v>
      </c>
      <c r="F48" s="67">
        <v>81323</v>
      </c>
      <c r="G48" s="68" t="s">
        <v>90</v>
      </c>
      <c r="H48" s="69" t="s">
        <v>183</v>
      </c>
      <c r="I48" s="67" t="s">
        <v>245</v>
      </c>
      <c r="J48" s="70" t="s">
        <v>243</v>
      </c>
      <c r="K48" s="67" t="s">
        <v>413</v>
      </c>
      <c r="L48" s="71" t="s">
        <v>95</v>
      </c>
      <c r="M48" s="72" t="s">
        <v>414</v>
      </c>
      <c r="N48" s="73">
        <v>45903</v>
      </c>
      <c r="O48" s="74">
        <v>45905</v>
      </c>
      <c r="P48" s="75" t="s">
        <v>188</v>
      </c>
      <c r="Q48" s="76" t="s">
        <v>305</v>
      </c>
      <c r="R48" s="64" t="s">
        <v>98</v>
      </c>
      <c r="S48" s="77" t="s">
        <v>306</v>
      </c>
      <c r="T48" s="74" t="s">
        <v>100</v>
      </c>
      <c r="U48" s="64" t="s">
        <v>415</v>
      </c>
      <c r="V48" s="70" t="s">
        <v>130</v>
      </c>
      <c r="W48" s="78" t="s">
        <v>114</v>
      </c>
      <c r="X48" s="68" t="s">
        <v>256</v>
      </c>
      <c r="Y48" s="64">
        <v>1</v>
      </c>
      <c r="Z48" s="79">
        <v>0</v>
      </c>
      <c r="AA48" s="80">
        <f>'BASE FACTURACION 2025'!$C$3</f>
        <v>122645.45276000001</v>
      </c>
      <c r="AB48" s="80">
        <f>'BASE FACTURACION 2025'!$F$3</f>
        <v>65164.677720000007</v>
      </c>
      <c r="AC48" s="80">
        <f t="shared" si="0"/>
        <v>122645.45276000001</v>
      </c>
    </row>
    <row r="49" spans="1:29" ht="13.15">
      <c r="A49" s="64" t="s">
        <v>243</v>
      </c>
      <c r="B49" s="65" t="str">
        <f>VLOOKUP(A49,'CENTRO DE COSTOS'!A:D,4,FALSE)</f>
        <v>MIGUEL JULIÁN HERNÁNDEZ GUARÍN</v>
      </c>
      <c r="C49" s="65" t="str">
        <f>VLOOKUP(A49,'CENTRO DE COSTOS'!A:D,2,FALSE)</f>
        <v>0004-0008</v>
      </c>
      <c r="D49" s="64">
        <v>54099</v>
      </c>
      <c r="E49" s="66" t="s">
        <v>416</v>
      </c>
      <c r="F49" s="67">
        <v>81307</v>
      </c>
      <c r="G49" s="68" t="s">
        <v>90</v>
      </c>
      <c r="H49" s="69" t="s">
        <v>183</v>
      </c>
      <c r="I49" s="67" t="s">
        <v>245</v>
      </c>
      <c r="J49" s="70" t="s">
        <v>417</v>
      </c>
      <c r="K49" s="67" t="s">
        <v>418</v>
      </c>
      <c r="L49" s="71" t="s">
        <v>95</v>
      </c>
      <c r="M49" s="72" t="s">
        <v>419</v>
      </c>
      <c r="N49" s="73">
        <v>45903</v>
      </c>
      <c r="O49" s="74">
        <v>45905</v>
      </c>
      <c r="P49" s="75" t="s">
        <v>188</v>
      </c>
      <c r="Q49" s="76" t="s">
        <v>305</v>
      </c>
      <c r="R49" s="64" t="s">
        <v>98</v>
      </c>
      <c r="S49" s="77" t="s">
        <v>378</v>
      </c>
      <c r="T49" s="74" t="s">
        <v>100</v>
      </c>
      <c r="U49" s="64" t="s">
        <v>420</v>
      </c>
      <c r="V49" s="70" t="s">
        <v>174</v>
      </c>
      <c r="W49" s="78" t="s">
        <v>114</v>
      </c>
      <c r="X49" s="68" t="s">
        <v>275</v>
      </c>
      <c r="Y49" s="64">
        <v>1</v>
      </c>
      <c r="Z49" s="79">
        <v>0</v>
      </c>
      <c r="AA49" s="80">
        <f>'BASE FACTURACION 2025'!$C$3</f>
        <v>122645.45276000001</v>
      </c>
      <c r="AB49" s="80">
        <f>'BASE FACTURACION 2025'!$F$3</f>
        <v>65164.677720000007</v>
      </c>
      <c r="AC49" s="80">
        <f t="shared" si="0"/>
        <v>122645.45276000001</v>
      </c>
    </row>
    <row r="50" spans="1:29" ht="13.15">
      <c r="A50" s="64" t="s">
        <v>166</v>
      </c>
      <c r="B50" s="65" t="str">
        <f>VLOOKUP(A50,'CENTRO DE COSTOS'!A:D,4,FALSE)</f>
        <v>MIGUEL JULIÁN HERNÁNDEZ GUARÍN</v>
      </c>
      <c r="C50" s="65" t="str">
        <f>VLOOKUP(A50,'CENTRO DE COSTOS'!A:D,2,FALSE)</f>
        <v>0004-0008</v>
      </c>
      <c r="D50" s="64">
        <v>68001</v>
      </c>
      <c r="E50" s="66" t="s">
        <v>421</v>
      </c>
      <c r="F50" s="67">
        <v>81314</v>
      </c>
      <c r="G50" s="68" t="s">
        <v>90</v>
      </c>
      <c r="H50" s="69" t="s">
        <v>183</v>
      </c>
      <c r="I50" s="67" t="s">
        <v>168</v>
      </c>
      <c r="J50" s="70" t="s">
        <v>166</v>
      </c>
      <c r="K50" s="67" t="s">
        <v>422</v>
      </c>
      <c r="L50" s="71" t="s">
        <v>95</v>
      </c>
      <c r="M50" s="72" t="s">
        <v>423</v>
      </c>
      <c r="N50" s="73">
        <v>45903</v>
      </c>
      <c r="O50" s="74">
        <v>45904</v>
      </c>
      <c r="P50" s="75" t="s">
        <v>188</v>
      </c>
      <c r="Q50" s="76" t="s">
        <v>305</v>
      </c>
      <c r="R50" s="64" t="s">
        <v>98</v>
      </c>
      <c r="S50" s="77" t="s">
        <v>339</v>
      </c>
      <c r="T50" s="74" t="s">
        <v>100</v>
      </c>
      <c r="U50" s="64" t="s">
        <v>424</v>
      </c>
      <c r="V50" s="70" t="s">
        <v>130</v>
      </c>
      <c r="W50" s="78" t="s">
        <v>114</v>
      </c>
      <c r="X50" s="68" t="s">
        <v>425</v>
      </c>
      <c r="Y50" s="64">
        <v>1</v>
      </c>
      <c r="Z50" s="79">
        <v>0</v>
      </c>
      <c r="AA50" s="80">
        <f>'BASE FACTURACION 2025'!$C$3</f>
        <v>122645.45276000001</v>
      </c>
      <c r="AB50" s="80">
        <f>'BASE FACTURACION 2025'!$F$3</f>
        <v>65164.677720000007</v>
      </c>
      <c r="AC50" s="80">
        <f t="shared" si="0"/>
        <v>122645.45276000001</v>
      </c>
    </row>
    <row r="51" spans="1:29" ht="13.15">
      <c r="A51" s="64" t="s">
        <v>166</v>
      </c>
      <c r="B51" s="65" t="str">
        <f>VLOOKUP(A51,'CENTRO DE COSTOS'!A:D,4,FALSE)</f>
        <v>MIGUEL JULIÁN HERNÁNDEZ GUARÍN</v>
      </c>
      <c r="C51" s="65" t="str">
        <f>VLOOKUP(A51,'CENTRO DE COSTOS'!A:D,2,FALSE)</f>
        <v>0004-0008</v>
      </c>
      <c r="D51" s="64">
        <v>68432</v>
      </c>
      <c r="E51" s="66" t="s">
        <v>426</v>
      </c>
      <c r="F51" s="67">
        <v>81334</v>
      </c>
      <c r="G51" s="68" t="s">
        <v>90</v>
      </c>
      <c r="H51" s="69" t="s">
        <v>183</v>
      </c>
      <c r="I51" s="67" t="s">
        <v>168</v>
      </c>
      <c r="J51" s="70" t="s">
        <v>427</v>
      </c>
      <c r="K51" s="67" t="s">
        <v>428</v>
      </c>
      <c r="L51" s="71" t="s">
        <v>95</v>
      </c>
      <c r="M51" s="72" t="s">
        <v>429</v>
      </c>
      <c r="N51" s="73">
        <v>45903</v>
      </c>
      <c r="O51" s="74">
        <v>45905</v>
      </c>
      <c r="P51" s="75" t="s">
        <v>188</v>
      </c>
      <c r="Q51" s="76" t="s">
        <v>305</v>
      </c>
      <c r="R51" s="64" t="s">
        <v>98</v>
      </c>
      <c r="S51" s="77" t="s">
        <v>306</v>
      </c>
      <c r="T51" s="74" t="s">
        <v>100</v>
      </c>
      <c r="U51" s="64" t="s">
        <v>430</v>
      </c>
      <c r="V51" s="70" t="s">
        <v>122</v>
      </c>
      <c r="W51" s="78" t="s">
        <v>114</v>
      </c>
      <c r="X51" s="68" t="s">
        <v>431</v>
      </c>
      <c r="Y51" s="64">
        <v>1</v>
      </c>
      <c r="Z51" s="79">
        <v>0</v>
      </c>
      <c r="AA51" s="80">
        <f>'BASE FACTURACION 2025'!$C$3</f>
        <v>122645.45276000001</v>
      </c>
      <c r="AB51" s="80">
        <f>'BASE FACTURACION 2025'!$F$3</f>
        <v>65164.677720000007</v>
      </c>
      <c r="AC51" s="80">
        <f t="shared" si="0"/>
        <v>122645.45276000001</v>
      </c>
    </row>
    <row r="52" spans="1:29" ht="13.15">
      <c r="A52" s="64" t="s">
        <v>243</v>
      </c>
      <c r="B52" s="65" t="str">
        <f>VLOOKUP(A52,'CENTRO DE COSTOS'!A:D,4,FALSE)</f>
        <v>MIGUEL JULIÁN HERNÁNDEZ GUARÍN</v>
      </c>
      <c r="C52" s="65" t="str">
        <f>VLOOKUP(A52,'CENTRO DE COSTOS'!A:D,2,FALSE)</f>
        <v>0004-0008</v>
      </c>
      <c r="D52" s="64">
        <v>68867</v>
      </c>
      <c r="E52" s="66" t="s">
        <v>432</v>
      </c>
      <c r="F52" s="67">
        <v>81340</v>
      </c>
      <c r="G52" s="68" t="s">
        <v>90</v>
      </c>
      <c r="H52" s="69" t="s">
        <v>183</v>
      </c>
      <c r="I52" s="67" t="s">
        <v>168</v>
      </c>
      <c r="J52" s="70" t="s">
        <v>433</v>
      </c>
      <c r="K52" s="67" t="s">
        <v>434</v>
      </c>
      <c r="L52" s="71" t="s">
        <v>95</v>
      </c>
      <c r="M52" s="72" t="s">
        <v>435</v>
      </c>
      <c r="N52" s="73">
        <v>45903</v>
      </c>
      <c r="O52" s="74">
        <v>45905</v>
      </c>
      <c r="P52" s="75" t="s">
        <v>188</v>
      </c>
      <c r="Q52" s="76" t="s">
        <v>305</v>
      </c>
      <c r="R52" s="64" t="s">
        <v>98</v>
      </c>
      <c r="S52" s="77" t="s">
        <v>436</v>
      </c>
      <c r="T52" s="74" t="s">
        <v>100</v>
      </c>
      <c r="U52" s="64" t="s">
        <v>437</v>
      </c>
      <c r="V52" s="70" t="s">
        <v>122</v>
      </c>
      <c r="W52" s="78" t="s">
        <v>114</v>
      </c>
      <c r="X52" s="68" t="s">
        <v>268</v>
      </c>
      <c r="Y52" s="64">
        <v>1</v>
      </c>
      <c r="Z52" s="79">
        <v>0</v>
      </c>
      <c r="AA52" s="80">
        <f>'BASE FACTURACION 2025'!$C$3</f>
        <v>122645.45276000001</v>
      </c>
      <c r="AB52" s="80">
        <f>'BASE FACTURACION 2025'!$F$3</f>
        <v>65164.677720000007</v>
      </c>
      <c r="AC52" s="80">
        <f t="shared" si="0"/>
        <v>122645.45276000001</v>
      </c>
    </row>
    <row r="53" spans="1:29" ht="13.15">
      <c r="A53" s="64" t="s">
        <v>438</v>
      </c>
      <c r="B53" s="65" t="str">
        <f>VLOOKUP(A53,'CENTRO DE COSTOS'!A:D,4,FALSE)</f>
        <v>KEVIN ALEXIS CORZO BUSTOS</v>
      </c>
      <c r="C53" s="65" t="str">
        <f>VLOOKUP(A53,'CENTRO DE COSTOS'!A:D,2,FALSE)</f>
        <v>0004-0007</v>
      </c>
      <c r="D53" s="64">
        <v>73001</v>
      </c>
      <c r="E53" s="66" t="s">
        <v>439</v>
      </c>
      <c r="F53" s="67">
        <v>81329</v>
      </c>
      <c r="G53" s="68" t="s">
        <v>90</v>
      </c>
      <c r="H53" s="69" t="s">
        <v>183</v>
      </c>
      <c r="I53" s="67" t="s">
        <v>440</v>
      </c>
      <c r="J53" s="70" t="s">
        <v>438</v>
      </c>
      <c r="K53" s="67" t="s">
        <v>441</v>
      </c>
      <c r="L53" s="71" t="s">
        <v>95</v>
      </c>
      <c r="M53" s="72" t="s">
        <v>442</v>
      </c>
      <c r="N53" s="73">
        <v>45903</v>
      </c>
      <c r="O53" s="74">
        <v>45904</v>
      </c>
      <c r="P53" s="75" t="s">
        <v>188</v>
      </c>
      <c r="Q53" s="76" t="s">
        <v>305</v>
      </c>
      <c r="R53" s="64" t="s">
        <v>98</v>
      </c>
      <c r="S53" s="77" t="s">
        <v>339</v>
      </c>
      <c r="T53" s="74" t="s">
        <v>100</v>
      </c>
      <c r="U53" s="64" t="s">
        <v>443</v>
      </c>
      <c r="V53" s="70" t="s">
        <v>130</v>
      </c>
      <c r="W53" s="78" t="s">
        <v>114</v>
      </c>
      <c r="X53" s="68" t="s">
        <v>444</v>
      </c>
      <c r="Y53" s="64">
        <v>1</v>
      </c>
      <c r="Z53" s="79">
        <v>0</v>
      </c>
      <c r="AA53" s="80">
        <f>'BASE FACTURACION 2025'!$C$3</f>
        <v>122645.45276000001</v>
      </c>
      <c r="AB53" s="80">
        <f>'BASE FACTURACION 2025'!$F$3</f>
        <v>65164.677720000007</v>
      </c>
      <c r="AC53" s="80">
        <f t="shared" si="0"/>
        <v>122645.45276000001</v>
      </c>
    </row>
    <row r="54" spans="1:29" ht="13.15">
      <c r="A54" s="64" t="s">
        <v>438</v>
      </c>
      <c r="B54" s="65" t="str">
        <f>VLOOKUP(A54,'CENTRO DE COSTOS'!A:D,4,FALSE)</f>
        <v>KEVIN ALEXIS CORZO BUSTOS</v>
      </c>
      <c r="C54" s="65" t="str">
        <f>VLOOKUP(A54,'CENTRO DE COSTOS'!A:D,2,FALSE)</f>
        <v>0004-0007</v>
      </c>
      <c r="D54" s="64">
        <v>73001</v>
      </c>
      <c r="E54" s="66" t="s">
        <v>445</v>
      </c>
      <c r="F54" s="67">
        <v>81330</v>
      </c>
      <c r="G54" s="68" t="s">
        <v>90</v>
      </c>
      <c r="H54" s="69" t="s">
        <v>183</v>
      </c>
      <c r="I54" s="67" t="s">
        <v>440</v>
      </c>
      <c r="J54" s="70" t="s">
        <v>438</v>
      </c>
      <c r="K54" s="67" t="s">
        <v>446</v>
      </c>
      <c r="L54" s="71" t="s">
        <v>95</v>
      </c>
      <c r="M54" s="72" t="s">
        <v>447</v>
      </c>
      <c r="N54" s="73">
        <v>45903</v>
      </c>
      <c r="O54" s="74">
        <v>45905</v>
      </c>
      <c r="P54" s="75" t="s">
        <v>188</v>
      </c>
      <c r="Q54" s="76" t="s">
        <v>305</v>
      </c>
      <c r="R54" s="64" t="s">
        <v>98</v>
      </c>
      <c r="S54" s="77" t="s">
        <v>306</v>
      </c>
      <c r="T54" s="74" t="s">
        <v>100</v>
      </c>
      <c r="U54" s="64" t="s">
        <v>448</v>
      </c>
      <c r="V54" s="70" t="s">
        <v>130</v>
      </c>
      <c r="W54" s="78" t="s">
        <v>114</v>
      </c>
      <c r="X54" s="68" t="s">
        <v>449</v>
      </c>
      <c r="Y54" s="64">
        <v>1</v>
      </c>
      <c r="Z54" s="79">
        <v>0</v>
      </c>
      <c r="AA54" s="80">
        <f>'BASE FACTURACION 2025'!$C$3</f>
        <v>122645.45276000001</v>
      </c>
      <c r="AB54" s="80">
        <f>'BASE FACTURACION 2025'!$F$3</f>
        <v>65164.677720000007</v>
      </c>
      <c r="AC54" s="80">
        <f t="shared" si="0"/>
        <v>122645.45276000001</v>
      </c>
    </row>
    <row r="55" spans="1:29" ht="13.15">
      <c r="A55" s="64" t="s">
        <v>438</v>
      </c>
      <c r="B55" s="65" t="str">
        <f>VLOOKUP(A55,'CENTRO DE COSTOS'!A:D,4,FALSE)</f>
        <v>KEVIN ALEXIS CORZO BUSTOS</v>
      </c>
      <c r="C55" s="65" t="str">
        <f>VLOOKUP(A55,'CENTRO DE COSTOS'!A:D,2,FALSE)</f>
        <v>0004-0007</v>
      </c>
      <c r="D55" s="64">
        <v>73001</v>
      </c>
      <c r="E55" s="66" t="s">
        <v>450</v>
      </c>
      <c r="F55" s="67">
        <v>81328</v>
      </c>
      <c r="G55" s="68" t="s">
        <v>90</v>
      </c>
      <c r="H55" s="69" t="s">
        <v>183</v>
      </c>
      <c r="I55" s="67" t="s">
        <v>440</v>
      </c>
      <c r="J55" s="70" t="s">
        <v>438</v>
      </c>
      <c r="K55" s="67" t="s">
        <v>451</v>
      </c>
      <c r="L55" s="71" t="s">
        <v>95</v>
      </c>
      <c r="M55" s="72" t="s">
        <v>452</v>
      </c>
      <c r="N55" s="73">
        <v>45903</v>
      </c>
      <c r="O55" s="74">
        <v>45905</v>
      </c>
      <c r="P55" s="75" t="s">
        <v>188</v>
      </c>
      <c r="Q55" s="76" t="s">
        <v>305</v>
      </c>
      <c r="R55" s="64" t="s">
        <v>98</v>
      </c>
      <c r="S55" s="77" t="s">
        <v>306</v>
      </c>
      <c r="T55" s="74" t="s">
        <v>100</v>
      </c>
      <c r="U55" s="64" t="s">
        <v>453</v>
      </c>
      <c r="V55" s="70" t="s">
        <v>130</v>
      </c>
      <c r="W55" s="78" t="s">
        <v>114</v>
      </c>
      <c r="X55" s="68" t="s">
        <v>449</v>
      </c>
      <c r="Y55" s="64">
        <v>1</v>
      </c>
      <c r="Z55" s="79">
        <v>0</v>
      </c>
      <c r="AA55" s="80">
        <f>'BASE FACTURACION 2025'!$C$3</f>
        <v>122645.45276000001</v>
      </c>
      <c r="AB55" s="80">
        <f>'BASE FACTURACION 2025'!$F$3</f>
        <v>65164.677720000007</v>
      </c>
      <c r="AC55" s="80">
        <f t="shared" si="0"/>
        <v>122645.45276000001</v>
      </c>
    </row>
    <row r="56" spans="1:29" ht="13.15">
      <c r="A56" s="64" t="s">
        <v>105</v>
      </c>
      <c r="B56" s="65" t="str">
        <f>VLOOKUP(A56,'CENTRO DE COSTOS'!A:D,4,FALSE)</f>
        <v>DIEGO FERNANDO HENAO CARDONA</v>
      </c>
      <c r="C56" s="65" t="str">
        <f>VLOOKUP(A56,'CENTRO DE COSTOS'!A:D,2,FALSE)</f>
        <v>0004-0003</v>
      </c>
      <c r="D56" s="64">
        <v>76001</v>
      </c>
      <c r="E56" s="66" t="s">
        <v>454</v>
      </c>
      <c r="F56" s="67">
        <v>81316</v>
      </c>
      <c r="G56" s="68" t="s">
        <v>90</v>
      </c>
      <c r="H56" s="69" t="s">
        <v>183</v>
      </c>
      <c r="I56" s="67" t="s">
        <v>177</v>
      </c>
      <c r="J56" s="70" t="s">
        <v>105</v>
      </c>
      <c r="K56" s="67" t="s">
        <v>455</v>
      </c>
      <c r="L56" s="71" t="s">
        <v>95</v>
      </c>
      <c r="M56" s="72" t="s">
        <v>456</v>
      </c>
      <c r="N56" s="73">
        <v>45903</v>
      </c>
      <c r="O56" s="74">
        <v>45904</v>
      </c>
      <c r="P56" s="75" t="s">
        <v>188</v>
      </c>
      <c r="Q56" s="76" t="s">
        <v>305</v>
      </c>
      <c r="R56" s="64" t="s">
        <v>98</v>
      </c>
      <c r="S56" s="77" t="s">
        <v>339</v>
      </c>
      <c r="T56" s="74" t="s">
        <v>100</v>
      </c>
      <c r="U56" s="64" t="s">
        <v>457</v>
      </c>
      <c r="V56" s="70" t="s">
        <v>130</v>
      </c>
      <c r="W56" s="78" t="s">
        <v>114</v>
      </c>
      <c r="X56" s="68" t="s">
        <v>458</v>
      </c>
      <c r="Y56" s="64">
        <v>1</v>
      </c>
      <c r="Z56" s="79">
        <v>0</v>
      </c>
      <c r="AA56" s="80">
        <f>'BASE FACTURACION 2025'!$C$3</f>
        <v>122645.45276000001</v>
      </c>
      <c r="AB56" s="80">
        <f>'BASE FACTURACION 2025'!$F$3</f>
        <v>65164.677720000007</v>
      </c>
      <c r="AC56" s="80">
        <f t="shared" si="0"/>
        <v>122645.45276000001</v>
      </c>
    </row>
    <row r="57" spans="1:29" ht="13.15">
      <c r="A57" s="64" t="s">
        <v>105</v>
      </c>
      <c r="B57" s="65" t="str">
        <f>VLOOKUP(A57,'CENTRO DE COSTOS'!A:D,4,FALSE)</f>
        <v>DIEGO FERNANDO HENAO CARDONA</v>
      </c>
      <c r="C57" s="65" t="str">
        <f>VLOOKUP(A57,'CENTRO DE COSTOS'!A:D,2,FALSE)</f>
        <v>0004-0003</v>
      </c>
      <c r="D57" s="64">
        <v>76001</v>
      </c>
      <c r="E57" s="66" t="s">
        <v>459</v>
      </c>
      <c r="F57" s="67">
        <v>81319</v>
      </c>
      <c r="G57" s="68" t="s">
        <v>90</v>
      </c>
      <c r="H57" s="69" t="s">
        <v>183</v>
      </c>
      <c r="I57" s="67" t="s">
        <v>177</v>
      </c>
      <c r="J57" s="70" t="s">
        <v>105</v>
      </c>
      <c r="K57" s="67" t="s">
        <v>460</v>
      </c>
      <c r="L57" s="71" t="s">
        <v>95</v>
      </c>
      <c r="M57" s="72" t="s">
        <v>461</v>
      </c>
      <c r="N57" s="73">
        <v>45903</v>
      </c>
      <c r="O57" s="74">
        <v>45905</v>
      </c>
      <c r="P57" s="75" t="s">
        <v>188</v>
      </c>
      <c r="Q57" s="76" t="s">
        <v>305</v>
      </c>
      <c r="R57" s="64" t="s">
        <v>98</v>
      </c>
      <c r="S57" s="77" t="s">
        <v>306</v>
      </c>
      <c r="T57" s="74" t="s">
        <v>100</v>
      </c>
      <c r="U57" s="64" t="s">
        <v>462</v>
      </c>
      <c r="V57" s="70" t="s">
        <v>130</v>
      </c>
      <c r="W57" s="78" t="s">
        <v>114</v>
      </c>
      <c r="X57" s="68" t="s">
        <v>458</v>
      </c>
      <c r="Y57" s="64">
        <v>1</v>
      </c>
      <c r="Z57" s="79">
        <v>0</v>
      </c>
      <c r="AA57" s="80">
        <f>'BASE FACTURACION 2025'!$C$3</f>
        <v>122645.45276000001</v>
      </c>
      <c r="AB57" s="80">
        <f>'BASE FACTURACION 2025'!$F$3</f>
        <v>65164.677720000007</v>
      </c>
      <c r="AC57" s="80">
        <f t="shared" si="0"/>
        <v>122645.45276000001</v>
      </c>
    </row>
    <row r="58" spans="1:29" ht="13.15">
      <c r="A58" s="64" t="s">
        <v>105</v>
      </c>
      <c r="B58" s="65" t="str">
        <f>VLOOKUP(A58,'CENTRO DE COSTOS'!A:D,4,FALSE)</f>
        <v>DIEGO FERNANDO HENAO CARDONA</v>
      </c>
      <c r="C58" s="65" t="str">
        <f>VLOOKUP(A58,'CENTRO DE COSTOS'!A:D,2,FALSE)</f>
        <v>0004-0003</v>
      </c>
      <c r="D58" s="64">
        <v>76001</v>
      </c>
      <c r="E58" s="66" t="s">
        <v>463</v>
      </c>
      <c r="F58" s="67">
        <v>81318</v>
      </c>
      <c r="G58" s="68" t="s">
        <v>90</v>
      </c>
      <c r="H58" s="69" t="s">
        <v>183</v>
      </c>
      <c r="I58" s="67" t="s">
        <v>177</v>
      </c>
      <c r="J58" s="70" t="s">
        <v>105</v>
      </c>
      <c r="K58" s="67" t="s">
        <v>464</v>
      </c>
      <c r="L58" s="71" t="s">
        <v>95</v>
      </c>
      <c r="M58" s="72" t="s">
        <v>465</v>
      </c>
      <c r="N58" s="73">
        <v>45903</v>
      </c>
      <c r="O58" s="74">
        <v>45904</v>
      </c>
      <c r="P58" s="75" t="s">
        <v>188</v>
      </c>
      <c r="Q58" s="76" t="s">
        <v>305</v>
      </c>
      <c r="R58" s="64" t="s">
        <v>98</v>
      </c>
      <c r="S58" s="77" t="s">
        <v>339</v>
      </c>
      <c r="T58" s="74" t="s">
        <v>100</v>
      </c>
      <c r="U58" s="64" t="s">
        <v>466</v>
      </c>
      <c r="V58" s="70" t="s">
        <v>130</v>
      </c>
      <c r="W58" s="78" t="s">
        <v>114</v>
      </c>
      <c r="X58" s="68" t="s">
        <v>467</v>
      </c>
      <c r="Y58" s="64">
        <v>1</v>
      </c>
      <c r="Z58" s="79">
        <v>0</v>
      </c>
      <c r="AA58" s="80">
        <f>'BASE FACTURACION 2025'!$C$3</f>
        <v>122645.45276000001</v>
      </c>
      <c r="AB58" s="80">
        <f>'BASE FACTURACION 2025'!$F$3</f>
        <v>65164.677720000007</v>
      </c>
      <c r="AC58" s="80">
        <f t="shared" si="0"/>
        <v>122645.45276000001</v>
      </c>
    </row>
    <row r="59" spans="1:29" ht="13.15">
      <c r="A59" s="64" t="s">
        <v>105</v>
      </c>
      <c r="B59" s="65" t="str">
        <f>VLOOKUP(A59,'CENTRO DE COSTOS'!A:D,4,FALSE)</f>
        <v>DIEGO FERNANDO HENAO CARDONA</v>
      </c>
      <c r="C59" s="65" t="str">
        <f>VLOOKUP(A59,'CENTRO DE COSTOS'!A:D,2,FALSE)</f>
        <v>0004-0003</v>
      </c>
      <c r="D59" s="64">
        <v>76001</v>
      </c>
      <c r="E59" s="66" t="s">
        <v>468</v>
      </c>
      <c r="F59" s="67">
        <v>81317</v>
      </c>
      <c r="G59" s="68" t="s">
        <v>90</v>
      </c>
      <c r="H59" s="69" t="s">
        <v>183</v>
      </c>
      <c r="I59" s="67" t="s">
        <v>177</v>
      </c>
      <c r="J59" s="70" t="s">
        <v>105</v>
      </c>
      <c r="K59" s="67" t="s">
        <v>469</v>
      </c>
      <c r="L59" s="71" t="s">
        <v>95</v>
      </c>
      <c r="M59" s="72" t="s">
        <v>470</v>
      </c>
      <c r="N59" s="73">
        <v>45903</v>
      </c>
      <c r="O59" s="74">
        <v>45904</v>
      </c>
      <c r="P59" s="75" t="s">
        <v>188</v>
      </c>
      <c r="Q59" s="76" t="s">
        <v>305</v>
      </c>
      <c r="R59" s="64" t="s">
        <v>98</v>
      </c>
      <c r="S59" s="77" t="s">
        <v>471</v>
      </c>
      <c r="T59" s="74" t="s">
        <v>100</v>
      </c>
      <c r="U59" s="64" t="s">
        <v>472</v>
      </c>
      <c r="V59" s="70" t="s">
        <v>130</v>
      </c>
      <c r="W59" s="78" t="s">
        <v>114</v>
      </c>
      <c r="X59" s="68" t="s">
        <v>467</v>
      </c>
      <c r="Y59" s="64">
        <v>1</v>
      </c>
      <c r="Z59" s="79">
        <v>0</v>
      </c>
      <c r="AA59" s="80">
        <f>'BASE FACTURACION 2025'!$C$3</f>
        <v>122645.45276000001</v>
      </c>
      <c r="AB59" s="80">
        <f>'BASE FACTURACION 2025'!$F$3</f>
        <v>65164.677720000007</v>
      </c>
      <c r="AC59" s="80">
        <f t="shared" si="0"/>
        <v>122645.45276000001</v>
      </c>
    </row>
    <row r="60" spans="1:29" ht="13.15">
      <c r="A60" s="64" t="s">
        <v>105</v>
      </c>
      <c r="B60" s="65" t="str">
        <f>VLOOKUP(A60,'CENTRO DE COSTOS'!A:D,4,FALSE)</f>
        <v>DIEGO FERNANDO HENAO CARDONA</v>
      </c>
      <c r="C60" s="65" t="str">
        <f>VLOOKUP(A60,'CENTRO DE COSTOS'!A:D,2,FALSE)</f>
        <v>0004-0003</v>
      </c>
      <c r="D60" s="64">
        <v>76001</v>
      </c>
      <c r="E60" s="66" t="s">
        <v>473</v>
      </c>
      <c r="F60" s="67">
        <v>81320</v>
      </c>
      <c r="G60" s="68" t="s">
        <v>90</v>
      </c>
      <c r="H60" s="69" t="s">
        <v>183</v>
      </c>
      <c r="I60" s="67" t="s">
        <v>177</v>
      </c>
      <c r="J60" s="70" t="s">
        <v>105</v>
      </c>
      <c r="K60" s="67" t="s">
        <v>474</v>
      </c>
      <c r="L60" s="71" t="s">
        <v>95</v>
      </c>
      <c r="M60" s="72" t="s">
        <v>475</v>
      </c>
      <c r="N60" s="73">
        <v>45903</v>
      </c>
      <c r="O60" s="74">
        <v>45904</v>
      </c>
      <c r="P60" s="75" t="s">
        <v>188</v>
      </c>
      <c r="Q60" s="76" t="s">
        <v>305</v>
      </c>
      <c r="R60" s="64" t="s">
        <v>98</v>
      </c>
      <c r="S60" s="77" t="s">
        <v>339</v>
      </c>
      <c r="T60" s="74" t="s">
        <v>100</v>
      </c>
      <c r="U60" s="64" t="s">
        <v>476</v>
      </c>
      <c r="V60" s="70" t="s">
        <v>130</v>
      </c>
      <c r="W60" s="78" t="s">
        <v>114</v>
      </c>
      <c r="X60" s="68" t="s">
        <v>477</v>
      </c>
      <c r="Y60" s="64">
        <v>1</v>
      </c>
      <c r="Z60" s="79">
        <v>0</v>
      </c>
      <c r="AA60" s="80">
        <f>'BASE FACTURACION 2025'!$C$3</f>
        <v>122645.45276000001</v>
      </c>
      <c r="AB60" s="80">
        <f>'BASE FACTURACION 2025'!$F$3</f>
        <v>65164.677720000007</v>
      </c>
      <c r="AC60" s="80">
        <f t="shared" si="0"/>
        <v>122645.45276000001</v>
      </c>
    </row>
    <row r="61" spans="1:29" ht="13.15">
      <c r="A61" s="64" t="s">
        <v>105</v>
      </c>
      <c r="B61" s="65" t="str">
        <f>VLOOKUP(A61,'CENTRO DE COSTOS'!A:D,4,FALSE)</f>
        <v>DIEGO FERNANDO HENAO CARDONA</v>
      </c>
      <c r="C61" s="65" t="str">
        <f>VLOOKUP(A61,'CENTRO DE COSTOS'!A:D,2,FALSE)</f>
        <v>0004-0003</v>
      </c>
      <c r="D61" s="64">
        <v>76001</v>
      </c>
      <c r="E61" s="66" t="s">
        <v>478</v>
      </c>
      <c r="F61" s="67">
        <v>81315</v>
      </c>
      <c r="G61" s="68" t="s">
        <v>90</v>
      </c>
      <c r="H61" s="69" t="s">
        <v>183</v>
      </c>
      <c r="I61" s="67" t="s">
        <v>177</v>
      </c>
      <c r="J61" s="70" t="s">
        <v>105</v>
      </c>
      <c r="K61" s="67" t="s">
        <v>479</v>
      </c>
      <c r="L61" s="71" t="s">
        <v>95</v>
      </c>
      <c r="M61" s="72" t="s">
        <v>480</v>
      </c>
      <c r="N61" s="73">
        <v>45903</v>
      </c>
      <c r="O61" s="74">
        <v>45905</v>
      </c>
      <c r="P61" s="75" t="s">
        <v>188</v>
      </c>
      <c r="Q61" s="76" t="s">
        <v>305</v>
      </c>
      <c r="R61" s="64" t="s">
        <v>98</v>
      </c>
      <c r="S61" s="77" t="s">
        <v>306</v>
      </c>
      <c r="T61" s="74" t="s">
        <v>100</v>
      </c>
      <c r="U61" s="64" t="s">
        <v>481</v>
      </c>
      <c r="V61" s="70" t="s">
        <v>130</v>
      </c>
      <c r="W61" s="78" t="s">
        <v>114</v>
      </c>
      <c r="X61" s="68" t="s">
        <v>296</v>
      </c>
      <c r="Y61" s="64">
        <v>1</v>
      </c>
      <c r="Z61" s="79">
        <v>0</v>
      </c>
      <c r="AA61" s="80">
        <f>'BASE FACTURACION 2025'!$C$3</f>
        <v>122645.45276000001</v>
      </c>
      <c r="AB61" s="80">
        <f>'BASE FACTURACION 2025'!$F$3</f>
        <v>65164.677720000007</v>
      </c>
      <c r="AC61" s="80">
        <f t="shared" si="0"/>
        <v>122645.45276000001</v>
      </c>
    </row>
    <row r="62" spans="1:29" ht="13.15">
      <c r="A62" s="64" t="s">
        <v>359</v>
      </c>
      <c r="B62" s="65" t="str">
        <f>VLOOKUP(A62,'CENTRO DE COSTOS'!A:D,4,FALSE)</f>
        <v>WILLIAM ASDRUBAL ROZO ROZO</v>
      </c>
      <c r="C62" s="65" t="str">
        <f>VLOOKUP(A62,'CENTRO DE COSTOS'!A:D,2,FALSE)</f>
        <v>0004-0004</v>
      </c>
      <c r="D62" s="64">
        <v>11001</v>
      </c>
      <c r="E62" s="66" t="s">
        <v>482</v>
      </c>
      <c r="F62" s="67">
        <v>81313</v>
      </c>
      <c r="G62" s="68" t="s">
        <v>90</v>
      </c>
      <c r="H62" s="69" t="s">
        <v>183</v>
      </c>
      <c r="I62" s="67" t="s">
        <v>361</v>
      </c>
      <c r="J62" s="70" t="s">
        <v>359</v>
      </c>
      <c r="K62" s="67" t="s">
        <v>483</v>
      </c>
      <c r="L62" s="71" t="s">
        <v>95</v>
      </c>
      <c r="M62" s="72" t="s">
        <v>484</v>
      </c>
      <c r="N62" s="73">
        <v>45903</v>
      </c>
      <c r="O62" s="74">
        <v>45904</v>
      </c>
      <c r="P62" s="75" t="s">
        <v>188</v>
      </c>
      <c r="Q62" s="76" t="s">
        <v>305</v>
      </c>
      <c r="R62" s="64" t="s">
        <v>98</v>
      </c>
      <c r="S62" s="77" t="s">
        <v>485</v>
      </c>
      <c r="T62" s="74" t="s">
        <v>100</v>
      </c>
      <c r="U62" s="64" t="s">
        <v>486</v>
      </c>
      <c r="V62" s="70" t="s">
        <v>130</v>
      </c>
      <c r="W62" s="78" t="s">
        <v>114</v>
      </c>
      <c r="X62" s="68" t="s">
        <v>487</v>
      </c>
      <c r="Y62" s="64">
        <v>1</v>
      </c>
      <c r="Z62" s="79">
        <v>0</v>
      </c>
      <c r="AA62" s="80">
        <f>'BASE FACTURACION 2025'!$C$3</f>
        <v>122645.45276000001</v>
      </c>
      <c r="AB62" s="80">
        <f>'BASE FACTURACION 2025'!$F$3</f>
        <v>65164.677720000007</v>
      </c>
      <c r="AC62" s="80">
        <f t="shared" si="0"/>
        <v>122645.45276000001</v>
      </c>
    </row>
    <row r="63" spans="1:29" ht="13.15">
      <c r="A63" s="64" t="s">
        <v>359</v>
      </c>
      <c r="B63" s="65" t="str">
        <f>VLOOKUP(A63,'CENTRO DE COSTOS'!A:D,4,FALSE)</f>
        <v>WILLIAM ASDRUBAL ROZO ROZO</v>
      </c>
      <c r="C63" s="65" t="str">
        <f>VLOOKUP(A63,'CENTRO DE COSTOS'!A:D,2,FALSE)</f>
        <v>0004-0004</v>
      </c>
      <c r="D63" s="64">
        <v>11001</v>
      </c>
      <c r="E63" s="66" t="s">
        <v>488</v>
      </c>
      <c r="F63" s="67">
        <v>81308</v>
      </c>
      <c r="G63" s="68" t="s">
        <v>90</v>
      </c>
      <c r="H63" s="69" t="s">
        <v>183</v>
      </c>
      <c r="I63" s="67" t="s">
        <v>361</v>
      </c>
      <c r="J63" s="70" t="s">
        <v>359</v>
      </c>
      <c r="K63" s="67" t="s">
        <v>489</v>
      </c>
      <c r="L63" s="71" t="s">
        <v>95</v>
      </c>
      <c r="M63" s="72" t="s">
        <v>490</v>
      </c>
      <c r="N63" s="73">
        <v>45903</v>
      </c>
      <c r="O63" s="74">
        <v>45904</v>
      </c>
      <c r="P63" s="75" t="s">
        <v>188</v>
      </c>
      <c r="Q63" s="76" t="s">
        <v>305</v>
      </c>
      <c r="R63" s="64" t="s">
        <v>98</v>
      </c>
      <c r="S63" s="77" t="s">
        <v>339</v>
      </c>
      <c r="T63" s="74" t="s">
        <v>100</v>
      </c>
      <c r="U63" s="64" t="s">
        <v>491</v>
      </c>
      <c r="V63" s="70" t="s">
        <v>130</v>
      </c>
      <c r="W63" s="78" t="s">
        <v>114</v>
      </c>
      <c r="X63" s="68" t="s">
        <v>492</v>
      </c>
      <c r="Y63" s="64">
        <v>1</v>
      </c>
      <c r="Z63" s="79">
        <v>0</v>
      </c>
      <c r="AA63" s="80">
        <f>'BASE FACTURACION 2025'!$C$3</f>
        <v>122645.45276000001</v>
      </c>
      <c r="AB63" s="80">
        <f>'BASE FACTURACION 2025'!$F$3</f>
        <v>65164.677720000007</v>
      </c>
      <c r="AC63" s="80">
        <f t="shared" si="0"/>
        <v>122645.45276000001</v>
      </c>
    </row>
    <row r="64" spans="1:29" ht="13.15">
      <c r="A64" s="64" t="s">
        <v>359</v>
      </c>
      <c r="B64" s="65" t="str">
        <f>VLOOKUP(A64,'CENTRO DE COSTOS'!A:D,4,FALSE)</f>
        <v>WILLIAM ASDRUBAL ROZO ROZO</v>
      </c>
      <c r="C64" s="65" t="str">
        <f>VLOOKUP(A64,'CENTRO DE COSTOS'!A:D,2,FALSE)</f>
        <v>0004-0004</v>
      </c>
      <c r="D64" s="64">
        <v>11001</v>
      </c>
      <c r="E64" s="66" t="s">
        <v>493</v>
      </c>
      <c r="F64" s="67">
        <v>81310</v>
      </c>
      <c r="G64" s="68" t="s">
        <v>90</v>
      </c>
      <c r="H64" s="69" t="s">
        <v>183</v>
      </c>
      <c r="I64" s="67" t="s">
        <v>361</v>
      </c>
      <c r="J64" s="70" t="s">
        <v>359</v>
      </c>
      <c r="K64" s="67" t="s">
        <v>494</v>
      </c>
      <c r="L64" s="71" t="s">
        <v>95</v>
      </c>
      <c r="M64" s="72" t="s">
        <v>495</v>
      </c>
      <c r="N64" s="73">
        <v>45903</v>
      </c>
      <c r="O64" s="74">
        <v>45905</v>
      </c>
      <c r="P64" s="75" t="s">
        <v>188</v>
      </c>
      <c r="Q64" s="76" t="s">
        <v>305</v>
      </c>
      <c r="R64" s="64" t="s">
        <v>98</v>
      </c>
      <c r="S64" s="77" t="s">
        <v>306</v>
      </c>
      <c r="T64" s="74" t="s">
        <v>100</v>
      </c>
      <c r="U64" s="64" t="s">
        <v>496</v>
      </c>
      <c r="V64" s="70" t="s">
        <v>130</v>
      </c>
      <c r="W64" s="78" t="s">
        <v>114</v>
      </c>
      <c r="X64" s="68" t="s">
        <v>497</v>
      </c>
      <c r="Y64" s="64">
        <v>1</v>
      </c>
      <c r="Z64" s="79">
        <v>0</v>
      </c>
      <c r="AA64" s="80">
        <f>'BASE FACTURACION 2025'!$C$3</f>
        <v>122645.45276000001</v>
      </c>
      <c r="AB64" s="80">
        <f>'BASE FACTURACION 2025'!$F$3</f>
        <v>65164.677720000007</v>
      </c>
      <c r="AC64" s="80">
        <f t="shared" si="0"/>
        <v>122645.45276000001</v>
      </c>
    </row>
    <row r="65" spans="1:29" ht="13.15">
      <c r="A65" s="64" t="s">
        <v>359</v>
      </c>
      <c r="B65" s="65" t="str">
        <f>VLOOKUP(A65,'CENTRO DE COSTOS'!A:D,4,FALSE)</f>
        <v>WILLIAM ASDRUBAL ROZO ROZO</v>
      </c>
      <c r="C65" s="65" t="str">
        <f>VLOOKUP(A65,'CENTRO DE COSTOS'!A:D,2,FALSE)</f>
        <v>0004-0004</v>
      </c>
      <c r="D65" s="64">
        <v>11001</v>
      </c>
      <c r="E65" s="66" t="s">
        <v>498</v>
      </c>
      <c r="F65" s="67">
        <v>81311</v>
      </c>
      <c r="G65" s="68" t="s">
        <v>90</v>
      </c>
      <c r="H65" s="69" t="s">
        <v>183</v>
      </c>
      <c r="I65" s="67" t="s">
        <v>361</v>
      </c>
      <c r="J65" s="70" t="s">
        <v>359</v>
      </c>
      <c r="K65" s="67" t="s">
        <v>499</v>
      </c>
      <c r="L65" s="71" t="s">
        <v>95</v>
      </c>
      <c r="M65" s="72" t="s">
        <v>500</v>
      </c>
      <c r="N65" s="73">
        <v>45903</v>
      </c>
      <c r="O65" s="74">
        <v>45904</v>
      </c>
      <c r="P65" s="75" t="s">
        <v>188</v>
      </c>
      <c r="Q65" s="76" t="s">
        <v>305</v>
      </c>
      <c r="R65" s="64" t="s">
        <v>98</v>
      </c>
      <c r="S65" s="77" t="s">
        <v>501</v>
      </c>
      <c r="T65" s="74" t="s">
        <v>100</v>
      </c>
      <c r="U65" s="64" t="s">
        <v>502</v>
      </c>
      <c r="V65" s="70" t="s">
        <v>130</v>
      </c>
      <c r="W65" s="78" t="s">
        <v>114</v>
      </c>
      <c r="X65" s="68" t="s">
        <v>487</v>
      </c>
      <c r="Y65" s="64">
        <v>1</v>
      </c>
      <c r="Z65" s="79">
        <v>0</v>
      </c>
      <c r="AA65" s="80">
        <f>'BASE FACTURACION 2025'!$C$3</f>
        <v>122645.45276000001</v>
      </c>
      <c r="AB65" s="80">
        <f>'BASE FACTURACION 2025'!$F$3</f>
        <v>65164.677720000007</v>
      </c>
      <c r="AC65" s="80">
        <f t="shared" si="0"/>
        <v>122645.45276000001</v>
      </c>
    </row>
    <row r="66" spans="1:29" ht="13.15">
      <c r="A66" s="64" t="s">
        <v>359</v>
      </c>
      <c r="B66" s="65" t="str">
        <f>VLOOKUP(A66,'CENTRO DE COSTOS'!A:D,4,FALSE)</f>
        <v>WILLIAM ASDRUBAL ROZO ROZO</v>
      </c>
      <c r="C66" s="65" t="str">
        <f>VLOOKUP(A66,'CENTRO DE COSTOS'!A:D,2,FALSE)</f>
        <v>0004-0004</v>
      </c>
      <c r="D66" s="64">
        <v>11001</v>
      </c>
      <c r="E66" s="66" t="s">
        <v>503</v>
      </c>
      <c r="F66" s="67">
        <v>81309</v>
      </c>
      <c r="G66" s="68" t="s">
        <v>90</v>
      </c>
      <c r="H66" s="69" t="s">
        <v>183</v>
      </c>
      <c r="I66" s="67" t="s">
        <v>361</v>
      </c>
      <c r="J66" s="70" t="s">
        <v>359</v>
      </c>
      <c r="K66" s="67" t="s">
        <v>504</v>
      </c>
      <c r="L66" s="71" t="s">
        <v>95</v>
      </c>
      <c r="M66" s="72" t="s">
        <v>505</v>
      </c>
      <c r="N66" s="73">
        <v>45903</v>
      </c>
      <c r="O66" s="74">
        <v>45905</v>
      </c>
      <c r="P66" s="75" t="s">
        <v>188</v>
      </c>
      <c r="Q66" s="76" t="s">
        <v>305</v>
      </c>
      <c r="R66" s="64" t="s">
        <v>98</v>
      </c>
      <c r="S66" s="77" t="s">
        <v>306</v>
      </c>
      <c r="T66" s="74" t="s">
        <v>100</v>
      </c>
      <c r="U66" s="64" t="s">
        <v>506</v>
      </c>
      <c r="V66" s="70" t="s">
        <v>130</v>
      </c>
      <c r="W66" s="78" t="s">
        <v>114</v>
      </c>
      <c r="X66" s="68" t="s">
        <v>507</v>
      </c>
      <c r="Y66" s="64">
        <v>1</v>
      </c>
      <c r="Z66" s="79">
        <v>0</v>
      </c>
      <c r="AA66" s="80">
        <f>'BASE FACTURACION 2025'!$C$3</f>
        <v>122645.45276000001</v>
      </c>
      <c r="AB66" s="80">
        <f>'BASE FACTURACION 2025'!$F$3</f>
        <v>65164.677720000007</v>
      </c>
      <c r="AC66" s="80">
        <f t="shared" ref="AC66:AC127" si="1">AA66*Y66+AB66*Z66</f>
        <v>122645.45276000001</v>
      </c>
    </row>
    <row r="67" spans="1:29" ht="13.15">
      <c r="A67" s="64" t="s">
        <v>359</v>
      </c>
      <c r="B67" s="65" t="str">
        <f>VLOOKUP(A67,'CENTRO DE COSTOS'!A:D,4,FALSE)</f>
        <v>WILLIAM ASDRUBAL ROZO ROZO</v>
      </c>
      <c r="C67" s="65" t="str">
        <f>VLOOKUP(A67,'CENTRO DE COSTOS'!A:D,2,FALSE)</f>
        <v>0004-0004</v>
      </c>
      <c r="D67" s="64">
        <v>11001</v>
      </c>
      <c r="E67" s="66" t="s">
        <v>508</v>
      </c>
      <c r="F67" s="67">
        <v>81312</v>
      </c>
      <c r="G67" s="68" t="s">
        <v>90</v>
      </c>
      <c r="H67" s="69" t="s">
        <v>183</v>
      </c>
      <c r="I67" s="67" t="s">
        <v>361</v>
      </c>
      <c r="J67" s="70" t="s">
        <v>359</v>
      </c>
      <c r="K67" s="67" t="s">
        <v>509</v>
      </c>
      <c r="L67" s="71" t="s">
        <v>95</v>
      </c>
      <c r="M67" s="72" t="s">
        <v>510</v>
      </c>
      <c r="N67" s="73">
        <v>45903</v>
      </c>
      <c r="O67" s="74">
        <v>45904</v>
      </c>
      <c r="P67" s="75" t="s">
        <v>188</v>
      </c>
      <c r="Q67" s="76" t="s">
        <v>305</v>
      </c>
      <c r="R67" s="64" t="s">
        <v>98</v>
      </c>
      <c r="S67" s="77" t="s">
        <v>339</v>
      </c>
      <c r="T67" s="74" t="s">
        <v>100</v>
      </c>
      <c r="U67" s="64" t="s">
        <v>511</v>
      </c>
      <c r="V67" s="70" t="s">
        <v>130</v>
      </c>
      <c r="W67" s="78" t="s">
        <v>114</v>
      </c>
      <c r="X67" s="68" t="s">
        <v>512</v>
      </c>
      <c r="Y67" s="64">
        <v>1</v>
      </c>
      <c r="Z67" s="79">
        <v>0</v>
      </c>
      <c r="AA67" s="80">
        <f>'BASE FACTURACION 2025'!$C$3</f>
        <v>122645.45276000001</v>
      </c>
      <c r="AB67" s="80">
        <f>'BASE FACTURACION 2025'!$F$3</f>
        <v>65164.677720000007</v>
      </c>
      <c r="AC67" s="80">
        <f t="shared" si="1"/>
        <v>122645.45276000001</v>
      </c>
    </row>
    <row r="68" spans="1:29" ht="13.15">
      <c r="A68" s="64" t="s">
        <v>208</v>
      </c>
      <c r="B68" s="65" t="str">
        <f>VLOOKUP(A68,'CENTRO DE COSTOS'!A:D,4,FALSE)</f>
        <v>JUAN SEBASTIÁN RÍOS CASTRILLÓN</v>
      </c>
      <c r="C68" s="65" t="str">
        <f>VLOOKUP(A68,'CENTRO DE COSTOS'!A:D,2,FALSE)</f>
        <v>0004-0005</v>
      </c>
      <c r="D68" s="64">
        <v>5001</v>
      </c>
      <c r="E68" s="66" t="s">
        <v>513</v>
      </c>
      <c r="F68" s="67">
        <v>81361</v>
      </c>
      <c r="G68" s="68" t="s">
        <v>90</v>
      </c>
      <c r="H68" s="69" t="s">
        <v>183</v>
      </c>
      <c r="I68" s="67" t="s">
        <v>194</v>
      </c>
      <c r="J68" s="70" t="s">
        <v>208</v>
      </c>
      <c r="K68" s="67" t="s">
        <v>514</v>
      </c>
      <c r="L68" s="71" t="s">
        <v>95</v>
      </c>
      <c r="M68" s="72" t="s">
        <v>515</v>
      </c>
      <c r="N68" s="73">
        <v>45908</v>
      </c>
      <c r="O68" s="74">
        <v>45909</v>
      </c>
      <c r="P68" s="75" t="s">
        <v>188</v>
      </c>
      <c r="Q68" s="76" t="s">
        <v>189</v>
      </c>
      <c r="R68" s="64" t="s">
        <v>98</v>
      </c>
      <c r="S68" s="77" t="s">
        <v>516</v>
      </c>
      <c r="T68" s="74" t="s">
        <v>100</v>
      </c>
      <c r="U68" s="64" t="s">
        <v>517</v>
      </c>
      <c r="V68" s="70" t="s">
        <v>130</v>
      </c>
      <c r="W68" s="78" t="s">
        <v>114</v>
      </c>
      <c r="X68" s="68" t="s">
        <v>319</v>
      </c>
      <c r="Y68" s="64">
        <v>1</v>
      </c>
      <c r="Z68" s="79">
        <v>0</v>
      </c>
      <c r="AA68" s="80">
        <f>'BASE FACTURACION 2025'!$C$3</f>
        <v>122645.45276000001</v>
      </c>
      <c r="AB68" s="80">
        <f>'BASE FACTURACION 2025'!$F$3</f>
        <v>65164.677720000007</v>
      </c>
      <c r="AC68" s="80">
        <f t="shared" si="1"/>
        <v>122645.45276000001</v>
      </c>
    </row>
    <row r="69" spans="1:29" ht="13.15">
      <c r="A69" s="64" t="s">
        <v>208</v>
      </c>
      <c r="B69" s="65" t="str">
        <f>VLOOKUP(A69,'CENTRO DE COSTOS'!A:D,4,FALSE)</f>
        <v>JUAN SEBASTIÁN RÍOS CASTRILLÓN</v>
      </c>
      <c r="C69" s="65" t="str">
        <f>VLOOKUP(A69,'CENTRO DE COSTOS'!A:D,2,FALSE)</f>
        <v>0004-0005</v>
      </c>
      <c r="D69" s="64">
        <v>5321</v>
      </c>
      <c r="E69" s="66" t="s">
        <v>518</v>
      </c>
      <c r="F69" s="67">
        <v>81357</v>
      </c>
      <c r="G69" s="68" t="s">
        <v>90</v>
      </c>
      <c r="H69" s="69" t="s">
        <v>183</v>
      </c>
      <c r="I69" s="67" t="s">
        <v>194</v>
      </c>
      <c r="J69" s="70" t="s">
        <v>519</v>
      </c>
      <c r="K69" s="67" t="s">
        <v>520</v>
      </c>
      <c r="L69" s="71" t="s">
        <v>95</v>
      </c>
      <c r="M69" s="72" t="s">
        <v>521</v>
      </c>
      <c r="N69" s="73">
        <v>45908</v>
      </c>
      <c r="O69" s="74">
        <v>45910</v>
      </c>
      <c r="P69" s="75" t="s">
        <v>188</v>
      </c>
      <c r="Q69" s="76" t="s">
        <v>189</v>
      </c>
      <c r="R69" s="64" t="s">
        <v>98</v>
      </c>
      <c r="S69" s="77" t="s">
        <v>522</v>
      </c>
      <c r="T69" s="74" t="s">
        <v>100</v>
      </c>
      <c r="U69" s="64" t="s">
        <v>523</v>
      </c>
      <c r="V69" s="70" t="s">
        <v>174</v>
      </c>
      <c r="W69" s="78" t="s">
        <v>114</v>
      </c>
      <c r="X69" s="68" t="s">
        <v>524</v>
      </c>
      <c r="Y69" s="64">
        <v>1</v>
      </c>
      <c r="Z69" s="79">
        <v>0</v>
      </c>
      <c r="AA69" s="80">
        <f>'BASE FACTURACION 2025'!$C$3</f>
        <v>122645.45276000001</v>
      </c>
      <c r="AB69" s="80">
        <f>'BASE FACTURACION 2025'!$F$3</f>
        <v>65164.677720000007</v>
      </c>
      <c r="AC69" s="80">
        <f t="shared" si="1"/>
        <v>122645.45276000001</v>
      </c>
    </row>
    <row r="70" spans="1:29" ht="13.15">
      <c r="A70" s="64" t="s">
        <v>208</v>
      </c>
      <c r="B70" s="65" t="str">
        <f>VLOOKUP(A70,'CENTRO DE COSTOS'!A:D,4,FALSE)</f>
        <v>JUAN SEBASTIÁN RÍOS CASTRILLÓN</v>
      </c>
      <c r="C70" s="65" t="str">
        <f>VLOOKUP(A70,'CENTRO DE COSTOS'!A:D,2,FALSE)</f>
        <v>0004-0005</v>
      </c>
      <c r="D70" s="64">
        <v>5664</v>
      </c>
      <c r="E70" s="66" t="s">
        <v>525</v>
      </c>
      <c r="F70" s="67">
        <v>81349</v>
      </c>
      <c r="G70" s="68" t="s">
        <v>90</v>
      </c>
      <c r="H70" s="69" t="s">
        <v>183</v>
      </c>
      <c r="I70" s="67" t="s">
        <v>194</v>
      </c>
      <c r="J70" s="70" t="s">
        <v>526</v>
      </c>
      <c r="K70" s="67" t="s">
        <v>527</v>
      </c>
      <c r="L70" s="71" t="s">
        <v>95</v>
      </c>
      <c r="M70" s="72" t="s">
        <v>528</v>
      </c>
      <c r="N70" s="73">
        <v>45908</v>
      </c>
      <c r="O70" s="74">
        <v>45909</v>
      </c>
      <c r="P70" s="75" t="s">
        <v>188</v>
      </c>
      <c r="Q70" s="76" t="s">
        <v>189</v>
      </c>
      <c r="R70" s="64" t="s">
        <v>98</v>
      </c>
      <c r="S70" s="77" t="s">
        <v>529</v>
      </c>
      <c r="T70" s="74" t="s">
        <v>100</v>
      </c>
      <c r="U70" s="64" t="s">
        <v>530</v>
      </c>
      <c r="V70" s="70" t="s">
        <v>174</v>
      </c>
      <c r="W70" s="78" t="s">
        <v>114</v>
      </c>
      <c r="X70" s="68" t="s">
        <v>524</v>
      </c>
      <c r="Y70" s="64">
        <v>1</v>
      </c>
      <c r="Z70" s="79">
        <v>0</v>
      </c>
      <c r="AA70" s="80">
        <f>'BASE FACTURACION 2025'!$C$3</f>
        <v>122645.45276000001</v>
      </c>
      <c r="AB70" s="80">
        <f>'BASE FACTURACION 2025'!$F$3</f>
        <v>65164.677720000007</v>
      </c>
      <c r="AC70" s="80">
        <f t="shared" si="1"/>
        <v>122645.45276000001</v>
      </c>
    </row>
    <row r="71" spans="1:29" ht="13.15">
      <c r="A71" s="64" t="s">
        <v>208</v>
      </c>
      <c r="B71" s="65" t="str">
        <f>VLOOKUP(A71,'CENTRO DE COSTOS'!A:D,4,FALSE)</f>
        <v>JUAN SEBASTIÁN RÍOS CASTRILLÓN</v>
      </c>
      <c r="C71" s="65" t="str">
        <f>VLOOKUP(A71,'CENTRO DE COSTOS'!A:D,2,FALSE)</f>
        <v>0004-0005</v>
      </c>
      <c r="D71" s="64">
        <v>5736</v>
      </c>
      <c r="E71" s="66" t="s">
        <v>531</v>
      </c>
      <c r="F71" s="67">
        <v>81355</v>
      </c>
      <c r="G71" s="68" t="s">
        <v>90</v>
      </c>
      <c r="H71" s="69" t="s">
        <v>183</v>
      </c>
      <c r="I71" s="67" t="s">
        <v>194</v>
      </c>
      <c r="J71" s="70" t="s">
        <v>532</v>
      </c>
      <c r="K71" s="67" t="s">
        <v>533</v>
      </c>
      <c r="L71" s="71" t="s">
        <v>95</v>
      </c>
      <c r="M71" s="72" t="s">
        <v>534</v>
      </c>
      <c r="N71" s="73">
        <v>45908</v>
      </c>
      <c r="O71" s="74">
        <v>45910</v>
      </c>
      <c r="P71" s="75" t="s">
        <v>188</v>
      </c>
      <c r="Q71" s="76" t="s">
        <v>189</v>
      </c>
      <c r="R71" s="64" t="s">
        <v>98</v>
      </c>
      <c r="S71" s="77" t="s">
        <v>522</v>
      </c>
      <c r="T71" s="74" t="s">
        <v>100</v>
      </c>
      <c r="U71" s="64" t="s">
        <v>535</v>
      </c>
      <c r="V71" s="70" t="s">
        <v>122</v>
      </c>
      <c r="W71" s="78" t="s">
        <v>114</v>
      </c>
      <c r="X71" s="68" t="s">
        <v>214</v>
      </c>
      <c r="Y71" s="64">
        <v>1</v>
      </c>
      <c r="Z71" s="79">
        <v>0</v>
      </c>
      <c r="AA71" s="80">
        <f>'BASE FACTURACION 2025'!$C$3</f>
        <v>122645.45276000001</v>
      </c>
      <c r="AB71" s="80">
        <f>'BASE FACTURACION 2025'!$F$3</f>
        <v>65164.677720000007</v>
      </c>
      <c r="AC71" s="80">
        <f t="shared" si="1"/>
        <v>122645.45276000001</v>
      </c>
    </row>
    <row r="72" spans="1:29" ht="13.15">
      <c r="A72" s="64" t="s">
        <v>200</v>
      </c>
      <c r="B72" s="65" t="str">
        <f>VLOOKUP(A72,'CENTRO DE COSTOS'!A:D,4,FALSE)</f>
        <v>JUAN SEBASTIÁN RÍOS CASTRILLÓN</v>
      </c>
      <c r="C72" s="65" t="str">
        <f>VLOOKUP(A72,'CENTRO DE COSTOS'!A:D,2,FALSE)</f>
        <v>0004-0005</v>
      </c>
      <c r="D72" s="64">
        <v>5837</v>
      </c>
      <c r="E72" s="66" t="s">
        <v>536</v>
      </c>
      <c r="F72" s="67">
        <v>81350</v>
      </c>
      <c r="G72" s="68" t="s">
        <v>90</v>
      </c>
      <c r="H72" s="69" t="s">
        <v>183</v>
      </c>
      <c r="I72" s="67" t="s">
        <v>194</v>
      </c>
      <c r="J72" s="70" t="s">
        <v>202</v>
      </c>
      <c r="K72" s="67" t="s">
        <v>537</v>
      </c>
      <c r="L72" s="71" t="s">
        <v>95</v>
      </c>
      <c r="M72" s="72" t="s">
        <v>538</v>
      </c>
      <c r="N72" s="73">
        <v>45908</v>
      </c>
      <c r="O72" s="74">
        <v>45909</v>
      </c>
      <c r="P72" s="75" t="s">
        <v>188</v>
      </c>
      <c r="Q72" s="76" t="s">
        <v>189</v>
      </c>
      <c r="R72" s="64" t="s">
        <v>98</v>
      </c>
      <c r="S72" s="77" t="s">
        <v>539</v>
      </c>
      <c r="T72" s="74" t="s">
        <v>100</v>
      </c>
      <c r="U72" s="64" t="s">
        <v>540</v>
      </c>
      <c r="V72" s="70" t="s">
        <v>174</v>
      </c>
      <c r="W72" s="78" t="s">
        <v>114</v>
      </c>
      <c r="X72" s="68" t="s">
        <v>207</v>
      </c>
      <c r="Y72" s="64">
        <v>1</v>
      </c>
      <c r="Z72" s="79">
        <v>0</v>
      </c>
      <c r="AA72" s="80">
        <f>'BASE FACTURACION 2025'!$C$3</f>
        <v>122645.45276000001</v>
      </c>
      <c r="AB72" s="80">
        <f>'BASE FACTURACION 2025'!$F$3</f>
        <v>65164.677720000007</v>
      </c>
      <c r="AC72" s="80">
        <f t="shared" si="1"/>
        <v>122645.45276000001</v>
      </c>
    </row>
    <row r="73" spans="1:29" ht="13.15">
      <c r="A73" s="64" t="s">
        <v>541</v>
      </c>
      <c r="B73" s="65" t="str">
        <f>VLOOKUP(A73,'CENTRO DE COSTOS'!A:D,4,FALSE)</f>
        <v>JOSE MAURICIO HERNANDEZ ROJAS</v>
      </c>
      <c r="C73" s="65" t="str">
        <f>VLOOKUP(A73,'CENTRO DE COSTOS'!A:D,2,FALSE)</f>
        <v>0004-0001</v>
      </c>
      <c r="D73" s="64">
        <v>20001</v>
      </c>
      <c r="E73" s="66" t="s">
        <v>542</v>
      </c>
      <c r="F73" s="67">
        <v>81359</v>
      </c>
      <c r="G73" s="68" t="s">
        <v>90</v>
      </c>
      <c r="H73" s="69" t="s">
        <v>183</v>
      </c>
      <c r="I73" s="67" t="s">
        <v>543</v>
      </c>
      <c r="J73" s="70" t="s">
        <v>541</v>
      </c>
      <c r="K73" s="67" t="s">
        <v>544</v>
      </c>
      <c r="L73" s="71" t="s">
        <v>95</v>
      </c>
      <c r="M73" s="72" t="s">
        <v>545</v>
      </c>
      <c r="N73" s="73">
        <v>45908</v>
      </c>
      <c r="O73" s="74">
        <v>45909</v>
      </c>
      <c r="P73" s="75" t="s">
        <v>188</v>
      </c>
      <c r="Q73" s="76" t="s">
        <v>189</v>
      </c>
      <c r="R73" s="64" t="s">
        <v>98</v>
      </c>
      <c r="S73" s="77" t="s">
        <v>539</v>
      </c>
      <c r="T73" s="74" t="s">
        <v>100</v>
      </c>
      <c r="U73" s="64" t="s">
        <v>546</v>
      </c>
      <c r="V73" s="70" t="s">
        <v>130</v>
      </c>
      <c r="W73" s="78" t="s">
        <v>114</v>
      </c>
      <c r="X73" s="68" t="s">
        <v>547</v>
      </c>
      <c r="Y73" s="64">
        <v>1</v>
      </c>
      <c r="Z73" s="79">
        <v>0</v>
      </c>
      <c r="AA73" s="80">
        <f>'BASE FACTURACION 2025'!$C$3</f>
        <v>122645.45276000001</v>
      </c>
      <c r="AB73" s="80">
        <f>'BASE FACTURACION 2025'!$F$3</f>
        <v>65164.677720000007</v>
      </c>
      <c r="AC73" s="80">
        <f t="shared" si="1"/>
        <v>122645.45276000001</v>
      </c>
    </row>
    <row r="74" spans="1:29" ht="13.15">
      <c r="A74" s="64" t="s">
        <v>132</v>
      </c>
      <c r="B74" s="65" t="str">
        <f>VLOOKUP(A74,'CENTRO DE COSTOS'!A:D,4,FALSE)</f>
        <v>JOSE MAURICIO HERNANDEZ ROJAS</v>
      </c>
      <c r="C74" s="65" t="str">
        <f>VLOOKUP(A74,'CENTRO DE COSTOS'!A:D,2,FALSE)</f>
        <v>0004-0001</v>
      </c>
      <c r="D74" s="64">
        <v>23555</v>
      </c>
      <c r="E74" s="66" t="s">
        <v>548</v>
      </c>
      <c r="F74" s="67">
        <v>81363</v>
      </c>
      <c r="G74" s="68" t="s">
        <v>90</v>
      </c>
      <c r="H74" s="69" t="s">
        <v>183</v>
      </c>
      <c r="I74" s="67" t="s">
        <v>134</v>
      </c>
      <c r="J74" s="70" t="s">
        <v>549</v>
      </c>
      <c r="K74" s="67" t="s">
        <v>550</v>
      </c>
      <c r="L74" s="71" t="s">
        <v>95</v>
      </c>
      <c r="M74" s="72" t="s">
        <v>551</v>
      </c>
      <c r="N74" s="73">
        <v>45908</v>
      </c>
      <c r="O74" s="74">
        <v>45910</v>
      </c>
      <c r="P74" s="75" t="s">
        <v>188</v>
      </c>
      <c r="Q74" s="76" t="s">
        <v>189</v>
      </c>
      <c r="R74" s="64" t="s">
        <v>98</v>
      </c>
      <c r="S74" s="77" t="s">
        <v>552</v>
      </c>
      <c r="T74" s="74" t="s">
        <v>100</v>
      </c>
      <c r="U74" s="64" t="s">
        <v>553</v>
      </c>
      <c r="V74" s="70" t="s">
        <v>174</v>
      </c>
      <c r="W74" s="78" t="s">
        <v>114</v>
      </c>
      <c r="X74" s="68" t="s">
        <v>554</v>
      </c>
      <c r="Y74" s="64">
        <v>1</v>
      </c>
      <c r="Z74" s="79">
        <v>0</v>
      </c>
      <c r="AA74" s="80">
        <f>'BASE FACTURACION 2025'!$C$3</f>
        <v>122645.45276000001</v>
      </c>
      <c r="AB74" s="80">
        <f>'BASE FACTURACION 2025'!$F$3</f>
        <v>65164.677720000007</v>
      </c>
      <c r="AC74" s="80">
        <f t="shared" si="1"/>
        <v>122645.45276000001</v>
      </c>
    </row>
    <row r="75" spans="1:29" ht="13.15">
      <c r="A75" s="64" t="s">
        <v>359</v>
      </c>
      <c r="B75" s="65" t="str">
        <f>VLOOKUP(A75,'CENTRO DE COSTOS'!A:D,4,FALSE)</f>
        <v>WILLIAM ASDRUBAL ROZO ROZO</v>
      </c>
      <c r="C75" s="65" t="str">
        <f>VLOOKUP(A75,'CENTRO DE COSTOS'!A:D,2,FALSE)</f>
        <v>0004-0004</v>
      </c>
      <c r="D75" s="64">
        <v>25486</v>
      </c>
      <c r="E75" s="66" t="s">
        <v>555</v>
      </c>
      <c r="F75" s="67">
        <v>81353</v>
      </c>
      <c r="G75" s="68" t="s">
        <v>90</v>
      </c>
      <c r="H75" s="69" t="s">
        <v>183</v>
      </c>
      <c r="I75" s="67" t="s">
        <v>361</v>
      </c>
      <c r="J75" s="70" t="s">
        <v>556</v>
      </c>
      <c r="K75" s="67" t="s">
        <v>557</v>
      </c>
      <c r="L75" s="71" t="s">
        <v>95</v>
      </c>
      <c r="M75" s="72" t="s">
        <v>558</v>
      </c>
      <c r="N75" s="73">
        <v>45908</v>
      </c>
      <c r="O75" s="74">
        <v>45910</v>
      </c>
      <c r="P75" s="75" t="s">
        <v>188</v>
      </c>
      <c r="Q75" s="76" t="s">
        <v>189</v>
      </c>
      <c r="R75" s="64" t="s">
        <v>98</v>
      </c>
      <c r="S75" s="77" t="s">
        <v>522</v>
      </c>
      <c r="T75" s="74" t="s">
        <v>100</v>
      </c>
      <c r="U75" s="64" t="s">
        <v>559</v>
      </c>
      <c r="V75" s="70" t="s">
        <v>174</v>
      </c>
      <c r="W75" s="78" t="s">
        <v>114</v>
      </c>
      <c r="X75" s="68" t="s">
        <v>497</v>
      </c>
      <c r="Y75" s="64">
        <v>1</v>
      </c>
      <c r="Z75" s="79">
        <v>0</v>
      </c>
      <c r="AA75" s="80">
        <f>'BASE FACTURACION 2025'!$C$3</f>
        <v>122645.45276000001</v>
      </c>
      <c r="AB75" s="80">
        <f>'BASE FACTURACION 2025'!$F$3</f>
        <v>65164.677720000007</v>
      </c>
      <c r="AC75" s="80">
        <f t="shared" si="1"/>
        <v>122645.45276000001</v>
      </c>
    </row>
    <row r="76" spans="1:29" ht="13.15">
      <c r="A76" s="64" t="s">
        <v>359</v>
      </c>
      <c r="B76" s="65" t="str">
        <f>VLOOKUP(A76,'CENTRO DE COSTOS'!A:D,4,FALSE)</f>
        <v>WILLIAM ASDRUBAL ROZO ROZO</v>
      </c>
      <c r="C76" s="65" t="str">
        <f>VLOOKUP(A76,'CENTRO DE COSTOS'!A:D,2,FALSE)</f>
        <v>0004-0004</v>
      </c>
      <c r="D76" s="64">
        <v>25797</v>
      </c>
      <c r="E76" s="66" t="s">
        <v>560</v>
      </c>
      <c r="F76" s="67">
        <v>81356</v>
      </c>
      <c r="G76" s="68" t="s">
        <v>90</v>
      </c>
      <c r="H76" s="69" t="s">
        <v>183</v>
      </c>
      <c r="I76" s="67" t="s">
        <v>361</v>
      </c>
      <c r="J76" s="70" t="s">
        <v>561</v>
      </c>
      <c r="K76" s="67" t="s">
        <v>562</v>
      </c>
      <c r="L76" s="71" t="s">
        <v>95</v>
      </c>
      <c r="M76" s="72" t="s">
        <v>563</v>
      </c>
      <c r="N76" s="73">
        <v>45908</v>
      </c>
      <c r="O76" s="74">
        <v>45909</v>
      </c>
      <c r="P76" s="75" t="s">
        <v>188</v>
      </c>
      <c r="Q76" s="76" t="s">
        <v>189</v>
      </c>
      <c r="R76" s="64" t="s">
        <v>98</v>
      </c>
      <c r="S76" s="77" t="s">
        <v>564</v>
      </c>
      <c r="T76" s="74" t="s">
        <v>100</v>
      </c>
      <c r="U76" s="64" t="s">
        <v>565</v>
      </c>
      <c r="V76" s="70" t="s">
        <v>174</v>
      </c>
      <c r="W76" s="78" t="s">
        <v>114</v>
      </c>
      <c r="X76" s="68" t="s">
        <v>366</v>
      </c>
      <c r="Y76" s="64">
        <v>1</v>
      </c>
      <c r="Z76" s="79">
        <v>0</v>
      </c>
      <c r="AA76" s="80">
        <f>'BASE FACTURACION 2025'!$C$3</f>
        <v>122645.45276000001</v>
      </c>
      <c r="AB76" s="80">
        <f>'BASE FACTURACION 2025'!$F$3</f>
        <v>65164.677720000007</v>
      </c>
      <c r="AC76" s="80">
        <f t="shared" si="1"/>
        <v>122645.45276000001</v>
      </c>
    </row>
    <row r="77" spans="1:29" ht="13.15">
      <c r="A77" s="64" t="s">
        <v>88</v>
      </c>
      <c r="B77" s="65" t="str">
        <f>VLOOKUP(A77,'CENTRO DE COSTOS'!A:D,4,FALSE)</f>
        <v>DIEGO FERNANDO HENAO CARDONA</v>
      </c>
      <c r="C77" s="65" t="str">
        <f>VLOOKUP(A77,'CENTRO DE COSTOS'!A:D,2,FALSE)</f>
        <v>0004-0003</v>
      </c>
      <c r="D77" s="64">
        <v>52001</v>
      </c>
      <c r="E77" s="66" t="s">
        <v>566</v>
      </c>
      <c r="F77" s="67">
        <v>81354</v>
      </c>
      <c r="G77" s="68" t="s">
        <v>90</v>
      </c>
      <c r="H77" s="69" t="s">
        <v>183</v>
      </c>
      <c r="I77" s="67" t="s">
        <v>92</v>
      </c>
      <c r="J77" s="70" t="s">
        <v>88</v>
      </c>
      <c r="K77" s="67" t="s">
        <v>567</v>
      </c>
      <c r="L77" s="71" t="s">
        <v>95</v>
      </c>
      <c r="M77" s="72" t="s">
        <v>568</v>
      </c>
      <c r="N77" s="73">
        <v>45908</v>
      </c>
      <c r="O77" s="74">
        <v>45909</v>
      </c>
      <c r="P77" s="75" t="s">
        <v>188</v>
      </c>
      <c r="Q77" s="76" t="s">
        <v>189</v>
      </c>
      <c r="R77" s="64" t="s">
        <v>98</v>
      </c>
      <c r="S77" s="77" t="s">
        <v>539</v>
      </c>
      <c r="T77" s="74" t="s">
        <v>100</v>
      </c>
      <c r="U77" s="64" t="s">
        <v>569</v>
      </c>
      <c r="V77" s="70" t="s">
        <v>130</v>
      </c>
      <c r="W77" s="78" t="s">
        <v>114</v>
      </c>
      <c r="X77" s="68" t="s">
        <v>104</v>
      </c>
      <c r="Y77" s="64">
        <v>1</v>
      </c>
      <c r="Z77" s="79">
        <v>0</v>
      </c>
      <c r="AA77" s="80">
        <f>'BASE FACTURACION 2025'!$C$3</f>
        <v>122645.45276000001</v>
      </c>
      <c r="AB77" s="80">
        <f>'BASE FACTURACION 2025'!$F$3</f>
        <v>65164.677720000007</v>
      </c>
      <c r="AC77" s="80">
        <f t="shared" si="1"/>
        <v>122645.45276000001</v>
      </c>
    </row>
    <row r="78" spans="1:29" ht="13.15">
      <c r="A78" s="64" t="s">
        <v>346</v>
      </c>
      <c r="B78" s="65" t="str">
        <f>VLOOKUP(A78,'CENTRO DE COSTOS'!A:D,4,FALSE)</f>
        <v>MIGUEL JULIÁN HERNÁNDEZ GUARÍN</v>
      </c>
      <c r="C78" s="65" t="str">
        <f>VLOOKUP(A78,'CENTRO DE COSTOS'!A:D,2,FALSE)</f>
        <v>0004-0008</v>
      </c>
      <c r="D78" s="64">
        <v>68861</v>
      </c>
      <c r="E78" s="66" t="s">
        <v>570</v>
      </c>
      <c r="F78" s="67">
        <v>81360</v>
      </c>
      <c r="G78" s="68" t="s">
        <v>90</v>
      </c>
      <c r="H78" s="69" t="s">
        <v>183</v>
      </c>
      <c r="I78" s="67" t="s">
        <v>168</v>
      </c>
      <c r="J78" s="70" t="s">
        <v>571</v>
      </c>
      <c r="K78" s="67" t="s">
        <v>572</v>
      </c>
      <c r="L78" s="71" t="s">
        <v>95</v>
      </c>
      <c r="M78" s="72" t="s">
        <v>573</v>
      </c>
      <c r="N78" s="73">
        <v>45908</v>
      </c>
      <c r="O78" s="74">
        <v>45909</v>
      </c>
      <c r="P78" s="75" t="s">
        <v>188</v>
      </c>
      <c r="Q78" s="76" t="s">
        <v>189</v>
      </c>
      <c r="R78" s="64" t="s">
        <v>98</v>
      </c>
      <c r="S78" s="77" t="s">
        <v>539</v>
      </c>
      <c r="T78" s="74" t="s">
        <v>100</v>
      </c>
      <c r="U78" s="64" t="s">
        <v>574</v>
      </c>
      <c r="V78" s="70" t="s">
        <v>174</v>
      </c>
      <c r="W78" s="78" t="s">
        <v>114</v>
      </c>
      <c r="X78" s="68" t="s">
        <v>575</v>
      </c>
      <c r="Y78" s="64">
        <v>1</v>
      </c>
      <c r="Z78" s="79">
        <v>0</v>
      </c>
      <c r="AA78" s="80">
        <f>'BASE FACTURACION 2025'!$C$3</f>
        <v>122645.45276000001</v>
      </c>
      <c r="AB78" s="80">
        <f>'BASE FACTURACION 2025'!$F$3</f>
        <v>65164.677720000007</v>
      </c>
      <c r="AC78" s="80">
        <f t="shared" si="1"/>
        <v>122645.45276000001</v>
      </c>
    </row>
    <row r="79" spans="1:29" ht="13.15">
      <c r="A79" s="64" t="s">
        <v>438</v>
      </c>
      <c r="B79" s="65" t="str">
        <f>VLOOKUP(A79,'CENTRO DE COSTOS'!A:D,4,FALSE)</f>
        <v>KEVIN ALEXIS CORZO BUSTOS</v>
      </c>
      <c r="C79" s="65" t="str">
        <f>VLOOKUP(A79,'CENTRO DE COSTOS'!A:D,2,FALSE)</f>
        <v>0004-0007</v>
      </c>
      <c r="D79" s="64">
        <v>73411</v>
      </c>
      <c r="E79" s="66" t="s">
        <v>576</v>
      </c>
      <c r="F79" s="67">
        <v>81352</v>
      </c>
      <c r="G79" s="68" t="s">
        <v>90</v>
      </c>
      <c r="H79" s="69" t="s">
        <v>183</v>
      </c>
      <c r="I79" s="67" t="s">
        <v>440</v>
      </c>
      <c r="J79" s="70" t="s">
        <v>577</v>
      </c>
      <c r="K79" s="67" t="s">
        <v>578</v>
      </c>
      <c r="L79" s="71" t="s">
        <v>95</v>
      </c>
      <c r="M79" s="72" t="s">
        <v>579</v>
      </c>
      <c r="N79" s="73">
        <v>45908</v>
      </c>
      <c r="O79" s="74">
        <v>45910</v>
      </c>
      <c r="P79" s="75" t="s">
        <v>188</v>
      </c>
      <c r="Q79" s="76" t="s">
        <v>189</v>
      </c>
      <c r="R79" s="64" t="s">
        <v>98</v>
      </c>
      <c r="S79" s="77" t="s">
        <v>522</v>
      </c>
      <c r="T79" s="74" t="s">
        <v>100</v>
      </c>
      <c r="U79" s="64" t="s">
        <v>580</v>
      </c>
      <c r="V79" s="70" t="s">
        <v>113</v>
      </c>
      <c r="W79" s="78" t="s">
        <v>114</v>
      </c>
      <c r="X79" s="68" t="s">
        <v>449</v>
      </c>
      <c r="Y79" s="64">
        <v>1</v>
      </c>
      <c r="Z79" s="79">
        <v>0</v>
      </c>
      <c r="AA79" s="80">
        <f>'BASE FACTURACION 2025'!$C$3</f>
        <v>122645.45276000001</v>
      </c>
      <c r="AB79" s="80">
        <f>'BASE FACTURACION 2025'!$F$3</f>
        <v>65164.677720000007</v>
      </c>
      <c r="AC79" s="80">
        <f t="shared" si="1"/>
        <v>122645.45276000001</v>
      </c>
    </row>
    <row r="80" spans="1:29" ht="13.15">
      <c r="A80" s="64" t="s">
        <v>88</v>
      </c>
      <c r="B80" s="65" t="str">
        <f>VLOOKUP(A80,'CENTRO DE COSTOS'!A:D,4,FALSE)</f>
        <v>DIEGO FERNANDO HENAO CARDONA</v>
      </c>
      <c r="C80" s="65" t="str">
        <f>VLOOKUP(A80,'CENTRO DE COSTOS'!A:D,2,FALSE)</f>
        <v>0004-0003</v>
      </c>
      <c r="D80" s="64">
        <v>86573</v>
      </c>
      <c r="E80" s="66" t="s">
        <v>581</v>
      </c>
      <c r="F80" s="67">
        <v>81351</v>
      </c>
      <c r="G80" s="68" t="s">
        <v>90</v>
      </c>
      <c r="H80" s="69" t="s">
        <v>183</v>
      </c>
      <c r="I80" s="67" t="s">
        <v>184</v>
      </c>
      <c r="J80" s="70" t="s">
        <v>582</v>
      </c>
      <c r="K80" s="67" t="s">
        <v>583</v>
      </c>
      <c r="L80" s="71" t="s">
        <v>95</v>
      </c>
      <c r="M80" s="72" t="s">
        <v>584</v>
      </c>
      <c r="N80" s="73">
        <v>45908</v>
      </c>
      <c r="O80" s="74">
        <v>45910</v>
      </c>
      <c r="P80" s="75" t="s">
        <v>188</v>
      </c>
      <c r="Q80" s="76" t="s">
        <v>189</v>
      </c>
      <c r="R80" s="64" t="s">
        <v>98</v>
      </c>
      <c r="S80" s="77" t="s">
        <v>522</v>
      </c>
      <c r="T80" s="74" t="s">
        <v>100</v>
      </c>
      <c r="U80" s="64" t="s">
        <v>585</v>
      </c>
      <c r="V80" s="82" t="s">
        <v>102</v>
      </c>
      <c r="W80" s="78" t="s">
        <v>146</v>
      </c>
      <c r="X80" s="68" t="s">
        <v>242</v>
      </c>
      <c r="Y80" s="64">
        <v>1</v>
      </c>
      <c r="Z80" s="79">
        <v>0</v>
      </c>
      <c r="AA80" s="80">
        <f>'BASE FACTURACION 2025'!$C$3</f>
        <v>122645.45276000001</v>
      </c>
      <c r="AB80" s="80">
        <f>'BASE FACTURACION 2025'!$F$3</f>
        <v>65164.677720000007</v>
      </c>
      <c r="AC80" s="80">
        <f t="shared" si="1"/>
        <v>122645.45276000001</v>
      </c>
    </row>
    <row r="81" spans="1:29" ht="13.15">
      <c r="A81" s="64" t="s">
        <v>88</v>
      </c>
      <c r="B81" s="65" t="str">
        <f>VLOOKUP(A81,'CENTRO DE COSTOS'!A:D,4,FALSE)</f>
        <v>DIEGO FERNANDO HENAO CARDONA</v>
      </c>
      <c r="C81" s="65" t="str">
        <f>VLOOKUP(A81,'CENTRO DE COSTOS'!A:D,2,FALSE)</f>
        <v>0004-0003</v>
      </c>
      <c r="D81" s="64">
        <v>86865</v>
      </c>
      <c r="E81" s="66" t="s">
        <v>586</v>
      </c>
      <c r="F81" s="67">
        <v>81358</v>
      </c>
      <c r="G81" s="68" t="s">
        <v>90</v>
      </c>
      <c r="H81" s="69" t="s">
        <v>183</v>
      </c>
      <c r="I81" s="67" t="s">
        <v>184</v>
      </c>
      <c r="J81" s="70" t="s">
        <v>587</v>
      </c>
      <c r="K81" s="67" t="s">
        <v>588</v>
      </c>
      <c r="L81" s="71" t="s">
        <v>95</v>
      </c>
      <c r="M81" s="72" t="s">
        <v>589</v>
      </c>
      <c r="N81" s="73">
        <v>45908</v>
      </c>
      <c r="O81" s="74">
        <v>45909</v>
      </c>
      <c r="P81" s="75" t="s">
        <v>188</v>
      </c>
      <c r="Q81" s="76" t="s">
        <v>189</v>
      </c>
      <c r="R81" s="64" t="s">
        <v>98</v>
      </c>
      <c r="S81" s="77" t="s">
        <v>539</v>
      </c>
      <c r="T81" s="74" t="s">
        <v>100</v>
      </c>
      <c r="U81" s="64" t="s">
        <v>590</v>
      </c>
      <c r="V81" s="70" t="s">
        <v>122</v>
      </c>
      <c r="W81" s="78" t="s">
        <v>114</v>
      </c>
      <c r="X81" s="68" t="s">
        <v>242</v>
      </c>
      <c r="Y81" s="64">
        <v>1</v>
      </c>
      <c r="Z81" s="79">
        <v>0</v>
      </c>
      <c r="AA81" s="80">
        <f>'BASE FACTURACION 2025'!$C$3</f>
        <v>122645.45276000001</v>
      </c>
      <c r="AB81" s="80">
        <f>'BASE FACTURACION 2025'!$F$3</f>
        <v>65164.677720000007</v>
      </c>
      <c r="AC81" s="80">
        <f t="shared" si="1"/>
        <v>122645.45276000001</v>
      </c>
    </row>
    <row r="82" spans="1:29" ht="13.15">
      <c r="A82" s="64" t="s">
        <v>200</v>
      </c>
      <c r="B82" s="65" t="str">
        <f>VLOOKUP(A82,'CENTRO DE COSTOS'!A:D,4,FALSE)</f>
        <v>JUAN SEBASTIÁN RÍOS CASTRILLÓN</v>
      </c>
      <c r="C82" s="65" t="str">
        <f>VLOOKUP(A82,'CENTRO DE COSTOS'!A:D,2,FALSE)</f>
        <v>0004-0005</v>
      </c>
      <c r="D82" s="64">
        <v>5045</v>
      </c>
      <c r="E82" s="66" t="s">
        <v>591</v>
      </c>
      <c r="F82" s="67">
        <v>81348</v>
      </c>
      <c r="G82" s="68" t="s">
        <v>90</v>
      </c>
      <c r="H82" s="69" t="s">
        <v>183</v>
      </c>
      <c r="I82" s="67" t="s">
        <v>194</v>
      </c>
      <c r="J82" s="70" t="s">
        <v>200</v>
      </c>
      <c r="K82" s="67" t="s">
        <v>592</v>
      </c>
      <c r="L82" s="71" t="s">
        <v>95</v>
      </c>
      <c r="M82" s="72" t="s">
        <v>593</v>
      </c>
      <c r="N82" s="73">
        <v>45908</v>
      </c>
      <c r="O82" s="74">
        <v>45909</v>
      </c>
      <c r="P82" s="75" t="s">
        <v>188</v>
      </c>
      <c r="Q82" s="76" t="s">
        <v>189</v>
      </c>
      <c r="R82" s="64" t="s">
        <v>98</v>
      </c>
      <c r="S82" s="77" t="s">
        <v>539</v>
      </c>
      <c r="T82" s="74" t="s">
        <v>100</v>
      </c>
      <c r="U82" s="64" t="s">
        <v>594</v>
      </c>
      <c r="V82" s="70" t="s">
        <v>130</v>
      </c>
      <c r="W82" s="78" t="s">
        <v>114</v>
      </c>
      <c r="X82" s="68" t="s">
        <v>595</v>
      </c>
      <c r="Y82" s="64">
        <v>1</v>
      </c>
      <c r="Z82" s="79">
        <v>0</v>
      </c>
      <c r="AA82" s="80">
        <f>'BASE FACTURACION 2025'!$C$3</f>
        <v>122645.45276000001</v>
      </c>
      <c r="AB82" s="80">
        <f>'BASE FACTURACION 2025'!$F$3</f>
        <v>65164.677720000007</v>
      </c>
      <c r="AC82" s="80">
        <f t="shared" si="1"/>
        <v>122645.45276000001</v>
      </c>
    </row>
    <row r="83" spans="1:29" ht="13.15">
      <c r="A83" s="64" t="s">
        <v>208</v>
      </c>
      <c r="B83" s="65" t="str">
        <f>VLOOKUP(A83,'CENTRO DE COSTOS'!A:D,4,FALSE)</f>
        <v>JUAN SEBASTIÁN RÍOS CASTRILLÓN</v>
      </c>
      <c r="C83" s="65" t="str">
        <f>VLOOKUP(A83,'CENTRO DE COSTOS'!A:D,2,FALSE)</f>
        <v>0004-0005</v>
      </c>
      <c r="D83" s="64">
        <v>5001</v>
      </c>
      <c r="E83" s="66" t="s">
        <v>596</v>
      </c>
      <c r="F83" s="67">
        <v>81488</v>
      </c>
      <c r="G83" s="68" t="s">
        <v>90</v>
      </c>
      <c r="H83" s="69" t="s">
        <v>183</v>
      </c>
      <c r="I83" s="67" t="s">
        <v>194</v>
      </c>
      <c r="J83" s="70" t="s">
        <v>208</v>
      </c>
      <c r="K83" s="67" t="s">
        <v>597</v>
      </c>
      <c r="L83" s="71" t="s">
        <v>95</v>
      </c>
      <c r="M83" s="72" t="s">
        <v>598</v>
      </c>
      <c r="N83" s="73">
        <v>45912</v>
      </c>
      <c r="O83" s="74">
        <v>45916</v>
      </c>
      <c r="P83" s="75" t="s">
        <v>188</v>
      </c>
      <c r="Q83" s="76" t="s">
        <v>305</v>
      </c>
      <c r="R83" s="64" t="s">
        <v>98</v>
      </c>
      <c r="S83" s="77" t="s">
        <v>599</v>
      </c>
      <c r="T83" s="74" t="s">
        <v>100</v>
      </c>
      <c r="U83" s="64" t="s">
        <v>600</v>
      </c>
      <c r="V83" s="70" t="s">
        <v>130</v>
      </c>
      <c r="W83" s="78" t="s">
        <v>114</v>
      </c>
      <c r="X83" s="68" t="s">
        <v>319</v>
      </c>
      <c r="Y83" s="64">
        <v>1</v>
      </c>
      <c r="Z83" s="79">
        <v>0</v>
      </c>
      <c r="AA83" s="80">
        <f>'BASE FACTURACION 2025'!$C$3</f>
        <v>122645.45276000001</v>
      </c>
      <c r="AB83" s="80">
        <f>'BASE FACTURACION 2025'!$F$3</f>
        <v>65164.677720000007</v>
      </c>
      <c r="AC83" s="80">
        <f t="shared" si="1"/>
        <v>122645.45276000001</v>
      </c>
    </row>
    <row r="84" spans="1:29" ht="13.15">
      <c r="A84" s="64" t="s">
        <v>208</v>
      </c>
      <c r="B84" s="65" t="str">
        <f>VLOOKUP(A84,'CENTRO DE COSTOS'!A:D,4,FALSE)</f>
        <v>JUAN SEBASTIÁN RÍOS CASTRILLÓN</v>
      </c>
      <c r="C84" s="65" t="str">
        <f>VLOOKUP(A84,'CENTRO DE COSTOS'!A:D,2,FALSE)</f>
        <v>0004-0005</v>
      </c>
      <c r="D84" s="64">
        <v>5001</v>
      </c>
      <c r="E84" s="66" t="s">
        <v>601</v>
      </c>
      <c r="F84" s="67">
        <v>81489</v>
      </c>
      <c r="G84" s="68" t="s">
        <v>90</v>
      </c>
      <c r="H84" s="69" t="s">
        <v>183</v>
      </c>
      <c r="I84" s="67" t="s">
        <v>194</v>
      </c>
      <c r="J84" s="70" t="s">
        <v>208</v>
      </c>
      <c r="K84" s="67" t="s">
        <v>602</v>
      </c>
      <c r="L84" s="71" t="s">
        <v>95</v>
      </c>
      <c r="M84" s="72" t="s">
        <v>603</v>
      </c>
      <c r="N84" s="73">
        <v>45912</v>
      </c>
      <c r="O84" s="74">
        <v>45916</v>
      </c>
      <c r="P84" s="75" t="s">
        <v>188</v>
      </c>
      <c r="Q84" s="76" t="s">
        <v>305</v>
      </c>
      <c r="R84" s="64" t="s">
        <v>98</v>
      </c>
      <c r="S84" s="77" t="s">
        <v>599</v>
      </c>
      <c r="T84" s="74" t="s">
        <v>100</v>
      </c>
      <c r="U84" s="64" t="s">
        <v>604</v>
      </c>
      <c r="V84" s="70" t="s">
        <v>130</v>
      </c>
      <c r="W84" s="78" t="s">
        <v>114</v>
      </c>
      <c r="X84" s="68" t="s">
        <v>319</v>
      </c>
      <c r="Y84" s="64">
        <v>1</v>
      </c>
      <c r="Z84" s="79">
        <v>0</v>
      </c>
      <c r="AA84" s="80">
        <f>'BASE FACTURACION 2025'!$C$3</f>
        <v>122645.45276000001</v>
      </c>
      <c r="AB84" s="80">
        <f>'BASE FACTURACION 2025'!$F$3</f>
        <v>65164.677720000007</v>
      </c>
      <c r="AC84" s="80">
        <f t="shared" si="1"/>
        <v>122645.45276000001</v>
      </c>
    </row>
    <row r="85" spans="1:29" ht="13.15">
      <c r="A85" s="64" t="s">
        <v>208</v>
      </c>
      <c r="B85" s="65" t="str">
        <f>VLOOKUP(A85,'CENTRO DE COSTOS'!A:D,4,FALSE)</f>
        <v>JUAN SEBASTIÁN RÍOS CASTRILLÓN</v>
      </c>
      <c r="C85" s="65" t="str">
        <f>VLOOKUP(A85,'CENTRO DE COSTOS'!A:D,2,FALSE)</f>
        <v>0004-0005</v>
      </c>
      <c r="D85" s="64">
        <v>5088</v>
      </c>
      <c r="E85" s="66" t="s">
        <v>605</v>
      </c>
      <c r="F85" s="67">
        <v>81486</v>
      </c>
      <c r="G85" s="68" t="s">
        <v>90</v>
      </c>
      <c r="H85" s="69" t="s">
        <v>183</v>
      </c>
      <c r="I85" s="67" t="s">
        <v>194</v>
      </c>
      <c r="J85" s="70" t="s">
        <v>325</v>
      </c>
      <c r="K85" s="67" t="s">
        <v>606</v>
      </c>
      <c r="L85" s="71" t="s">
        <v>95</v>
      </c>
      <c r="M85" s="72" t="s">
        <v>607</v>
      </c>
      <c r="N85" s="73">
        <v>45912</v>
      </c>
      <c r="O85" s="74">
        <v>45916</v>
      </c>
      <c r="P85" s="75" t="s">
        <v>188</v>
      </c>
      <c r="Q85" s="76" t="s">
        <v>305</v>
      </c>
      <c r="R85" s="64" t="s">
        <v>98</v>
      </c>
      <c r="S85" s="77" t="s">
        <v>599</v>
      </c>
      <c r="T85" s="74" t="s">
        <v>100</v>
      </c>
      <c r="U85" s="64" t="s">
        <v>608</v>
      </c>
      <c r="V85" s="70" t="s">
        <v>130</v>
      </c>
      <c r="W85" s="78" t="s">
        <v>114</v>
      </c>
      <c r="X85" s="68" t="s">
        <v>609</v>
      </c>
      <c r="Y85" s="64">
        <v>1</v>
      </c>
      <c r="Z85" s="79">
        <v>0</v>
      </c>
      <c r="AA85" s="80">
        <f>'BASE FACTURACION 2025'!$C$3</f>
        <v>122645.45276000001</v>
      </c>
      <c r="AB85" s="80">
        <f>'BASE FACTURACION 2025'!$F$3</f>
        <v>65164.677720000007</v>
      </c>
      <c r="AC85" s="80">
        <f t="shared" si="1"/>
        <v>122645.45276000001</v>
      </c>
    </row>
    <row r="86" spans="1:29" ht="13.15">
      <c r="A86" s="64" t="s">
        <v>208</v>
      </c>
      <c r="B86" s="65" t="str">
        <f>VLOOKUP(A86,'CENTRO DE COSTOS'!A:D,4,FALSE)</f>
        <v>JUAN SEBASTIÁN RÍOS CASTRILLÓN</v>
      </c>
      <c r="C86" s="65" t="str">
        <f>VLOOKUP(A86,'CENTRO DE COSTOS'!A:D,2,FALSE)</f>
        <v>0004-0005</v>
      </c>
      <c r="D86" s="64">
        <v>5360</v>
      </c>
      <c r="E86" s="66" t="s">
        <v>610</v>
      </c>
      <c r="F86" s="67">
        <v>81470</v>
      </c>
      <c r="G86" s="68" t="s">
        <v>90</v>
      </c>
      <c r="H86" s="69" t="s">
        <v>183</v>
      </c>
      <c r="I86" s="67" t="s">
        <v>194</v>
      </c>
      <c r="J86" s="70" t="s">
        <v>611</v>
      </c>
      <c r="K86" s="67" t="s">
        <v>612</v>
      </c>
      <c r="L86" s="71" t="s">
        <v>95</v>
      </c>
      <c r="M86" s="72" t="s">
        <v>613</v>
      </c>
      <c r="N86" s="73">
        <v>45912</v>
      </c>
      <c r="O86" s="74">
        <v>45916</v>
      </c>
      <c r="P86" s="75" t="s">
        <v>188</v>
      </c>
      <c r="Q86" s="76" t="s">
        <v>305</v>
      </c>
      <c r="R86" s="64" t="s">
        <v>98</v>
      </c>
      <c r="S86" s="77" t="s">
        <v>599</v>
      </c>
      <c r="T86" s="74" t="s">
        <v>100</v>
      </c>
      <c r="U86" s="64" t="s">
        <v>614</v>
      </c>
      <c r="V86" s="70" t="s">
        <v>130</v>
      </c>
      <c r="W86" s="78" t="s">
        <v>114</v>
      </c>
      <c r="X86" s="68" t="s">
        <v>615</v>
      </c>
      <c r="Y86" s="64">
        <v>1</v>
      </c>
      <c r="Z86" s="79">
        <v>0</v>
      </c>
      <c r="AA86" s="80">
        <f>'BASE FACTURACION 2025'!$C$3</f>
        <v>122645.45276000001</v>
      </c>
      <c r="AB86" s="80">
        <f>'BASE FACTURACION 2025'!$F$3</f>
        <v>65164.677720000007</v>
      </c>
      <c r="AC86" s="80">
        <f t="shared" si="1"/>
        <v>122645.45276000001</v>
      </c>
    </row>
    <row r="87" spans="1:29" ht="13.15">
      <c r="A87" s="64" t="s">
        <v>208</v>
      </c>
      <c r="B87" s="65" t="str">
        <f>VLOOKUP(A87,'CENTRO DE COSTOS'!A:D,4,FALSE)</f>
        <v>JUAN SEBASTIÁN RÍOS CASTRILLÓN</v>
      </c>
      <c r="C87" s="65" t="str">
        <f>VLOOKUP(A87,'CENTRO DE COSTOS'!A:D,2,FALSE)</f>
        <v>0004-0005</v>
      </c>
      <c r="D87" s="64">
        <v>5360</v>
      </c>
      <c r="E87" s="66" t="s">
        <v>616</v>
      </c>
      <c r="F87" s="67">
        <v>81471</v>
      </c>
      <c r="G87" s="68" t="s">
        <v>90</v>
      </c>
      <c r="H87" s="69" t="s">
        <v>183</v>
      </c>
      <c r="I87" s="67" t="s">
        <v>194</v>
      </c>
      <c r="J87" s="70" t="s">
        <v>611</v>
      </c>
      <c r="K87" s="67" t="s">
        <v>617</v>
      </c>
      <c r="L87" s="71" t="s">
        <v>95</v>
      </c>
      <c r="M87" s="72" t="s">
        <v>618</v>
      </c>
      <c r="N87" s="73">
        <v>45912</v>
      </c>
      <c r="O87" s="74">
        <v>45916</v>
      </c>
      <c r="P87" s="75" t="s">
        <v>188</v>
      </c>
      <c r="Q87" s="76" t="s">
        <v>305</v>
      </c>
      <c r="R87" s="64" t="s">
        <v>98</v>
      </c>
      <c r="S87" s="77" t="s">
        <v>599</v>
      </c>
      <c r="T87" s="74" t="s">
        <v>100</v>
      </c>
      <c r="U87" s="64" t="s">
        <v>619</v>
      </c>
      <c r="V87" s="70" t="s">
        <v>130</v>
      </c>
      <c r="W87" s="78" t="s">
        <v>114</v>
      </c>
      <c r="X87" s="68" t="s">
        <v>615</v>
      </c>
      <c r="Y87" s="64">
        <v>1</v>
      </c>
      <c r="Z87" s="79">
        <v>0</v>
      </c>
      <c r="AA87" s="80">
        <f>'BASE FACTURACION 2025'!$C$3</f>
        <v>122645.45276000001</v>
      </c>
      <c r="AB87" s="80">
        <f>'BASE FACTURACION 2025'!$F$3</f>
        <v>65164.677720000007</v>
      </c>
      <c r="AC87" s="80">
        <f t="shared" si="1"/>
        <v>122645.45276000001</v>
      </c>
    </row>
    <row r="88" spans="1:29" ht="13.15">
      <c r="A88" s="64" t="s">
        <v>620</v>
      </c>
      <c r="B88" s="65" t="str">
        <f>VLOOKUP(A88,'CENTRO DE COSTOS'!A:D,4,FALSE)</f>
        <v>JOSE MAURICIO HERNANDEZ ROJAS</v>
      </c>
      <c r="C88" s="65" t="str">
        <f>VLOOKUP(A88,'CENTRO DE COSTOS'!A:D,2,FALSE)</f>
        <v>0004-0001</v>
      </c>
      <c r="D88" s="64">
        <v>13001</v>
      </c>
      <c r="E88" s="66" t="s">
        <v>621</v>
      </c>
      <c r="F88" s="67">
        <v>81468</v>
      </c>
      <c r="G88" s="68" t="s">
        <v>90</v>
      </c>
      <c r="H88" s="69" t="s">
        <v>183</v>
      </c>
      <c r="I88" s="67" t="s">
        <v>622</v>
      </c>
      <c r="J88" s="70" t="s">
        <v>620</v>
      </c>
      <c r="K88" s="67" t="s">
        <v>623</v>
      </c>
      <c r="L88" s="71" t="s">
        <v>95</v>
      </c>
      <c r="M88" s="72" t="s">
        <v>624</v>
      </c>
      <c r="N88" s="73">
        <v>45912</v>
      </c>
      <c r="O88" s="74">
        <v>45915</v>
      </c>
      <c r="P88" s="75" t="s">
        <v>188</v>
      </c>
      <c r="Q88" s="76" t="s">
        <v>305</v>
      </c>
      <c r="R88" s="64" t="s">
        <v>98</v>
      </c>
      <c r="S88" s="83" t="s">
        <v>625</v>
      </c>
      <c r="T88" s="74" t="s">
        <v>100</v>
      </c>
      <c r="U88" s="64" t="s">
        <v>626</v>
      </c>
      <c r="V88" s="70" t="s">
        <v>130</v>
      </c>
      <c r="W88" s="78" t="s">
        <v>114</v>
      </c>
      <c r="X88" s="68" t="s">
        <v>627</v>
      </c>
      <c r="Y88" s="64">
        <v>1</v>
      </c>
      <c r="Z88" s="79">
        <v>0</v>
      </c>
      <c r="AA88" s="80">
        <f>'BASE FACTURACION 2025'!$C$3</f>
        <v>122645.45276000001</v>
      </c>
      <c r="AB88" s="80">
        <f>'BASE FACTURACION 2025'!$F$3</f>
        <v>65164.677720000007</v>
      </c>
      <c r="AC88" s="80">
        <f t="shared" si="1"/>
        <v>122645.45276000001</v>
      </c>
    </row>
    <row r="89" spans="1:29" ht="13.15">
      <c r="A89" s="64" t="s">
        <v>105</v>
      </c>
      <c r="B89" s="65" t="str">
        <f>VLOOKUP(A89,'CENTRO DE COSTOS'!A:D,4,FALSE)</f>
        <v>DIEGO FERNANDO HENAO CARDONA</v>
      </c>
      <c r="C89" s="65" t="str">
        <f>VLOOKUP(A89,'CENTRO DE COSTOS'!A:D,2,FALSE)</f>
        <v>0004-0003</v>
      </c>
      <c r="D89" s="64">
        <v>19001</v>
      </c>
      <c r="E89" s="66" t="s">
        <v>628</v>
      </c>
      <c r="F89" s="67">
        <v>81483</v>
      </c>
      <c r="G89" s="68" t="s">
        <v>90</v>
      </c>
      <c r="H89" s="69" t="s">
        <v>183</v>
      </c>
      <c r="I89" s="67" t="s">
        <v>107</v>
      </c>
      <c r="J89" s="70" t="s">
        <v>629</v>
      </c>
      <c r="K89" s="67" t="s">
        <v>630</v>
      </c>
      <c r="L89" s="71" t="s">
        <v>95</v>
      </c>
      <c r="M89" s="72" t="s">
        <v>631</v>
      </c>
      <c r="N89" s="73">
        <v>45912</v>
      </c>
      <c r="O89" s="74">
        <v>45915</v>
      </c>
      <c r="P89" s="75" t="s">
        <v>188</v>
      </c>
      <c r="Q89" s="76" t="s">
        <v>305</v>
      </c>
      <c r="R89" s="64" t="s">
        <v>98</v>
      </c>
      <c r="S89" s="83" t="s">
        <v>625</v>
      </c>
      <c r="T89" s="74" t="s">
        <v>100</v>
      </c>
      <c r="U89" s="64" t="s">
        <v>632</v>
      </c>
      <c r="V89" s="70" t="s">
        <v>113</v>
      </c>
      <c r="W89" s="78" t="s">
        <v>114</v>
      </c>
      <c r="X89" s="68" t="s">
        <v>115</v>
      </c>
      <c r="Y89" s="64">
        <v>1</v>
      </c>
      <c r="Z89" s="79">
        <v>0</v>
      </c>
      <c r="AA89" s="80">
        <f>'BASE FACTURACION 2025'!$C$3</f>
        <v>122645.45276000001</v>
      </c>
      <c r="AB89" s="80">
        <f>'BASE FACTURACION 2025'!$F$3</f>
        <v>65164.677720000007</v>
      </c>
      <c r="AC89" s="80">
        <f t="shared" si="1"/>
        <v>122645.45276000001</v>
      </c>
    </row>
    <row r="90" spans="1:29" ht="13.15">
      <c r="A90" s="64" t="s">
        <v>359</v>
      </c>
      <c r="B90" s="65" t="str">
        <f>VLOOKUP(A90,'CENTRO DE COSTOS'!A:D,4,FALSE)</f>
        <v>WILLIAM ASDRUBAL ROZO ROZO</v>
      </c>
      <c r="C90" s="65" t="str">
        <f>VLOOKUP(A90,'CENTRO DE COSTOS'!A:D,2,FALSE)</f>
        <v>0004-0004</v>
      </c>
      <c r="D90" s="64">
        <v>25214</v>
      </c>
      <c r="E90" s="66" t="s">
        <v>633</v>
      </c>
      <c r="F90" s="67">
        <v>81472</v>
      </c>
      <c r="G90" s="68" t="s">
        <v>90</v>
      </c>
      <c r="H90" s="69" t="s">
        <v>183</v>
      </c>
      <c r="I90" s="67" t="s">
        <v>361</v>
      </c>
      <c r="J90" s="70" t="s">
        <v>634</v>
      </c>
      <c r="K90" s="67" t="s">
        <v>635</v>
      </c>
      <c r="L90" s="71" t="s">
        <v>95</v>
      </c>
      <c r="M90" s="72" t="s">
        <v>636</v>
      </c>
      <c r="N90" s="73">
        <v>45912</v>
      </c>
      <c r="O90" s="74">
        <v>45916</v>
      </c>
      <c r="P90" s="75" t="s">
        <v>188</v>
      </c>
      <c r="Q90" s="76" t="s">
        <v>305</v>
      </c>
      <c r="R90" s="64" t="s">
        <v>98</v>
      </c>
      <c r="S90" s="77" t="s">
        <v>599</v>
      </c>
      <c r="T90" s="74" t="s">
        <v>100</v>
      </c>
      <c r="U90" s="64" t="s">
        <v>637</v>
      </c>
      <c r="V90" s="70" t="s">
        <v>174</v>
      </c>
      <c r="W90" s="78" t="s">
        <v>114</v>
      </c>
      <c r="X90" s="68" t="s">
        <v>366</v>
      </c>
      <c r="Y90" s="64">
        <v>1</v>
      </c>
      <c r="Z90" s="79">
        <v>0</v>
      </c>
      <c r="AA90" s="80">
        <f>'BASE FACTURACION 2025'!$C$3</f>
        <v>122645.45276000001</v>
      </c>
      <c r="AB90" s="80">
        <f>'BASE FACTURACION 2025'!$F$3</f>
        <v>65164.677720000007</v>
      </c>
      <c r="AC90" s="80">
        <f t="shared" si="1"/>
        <v>122645.45276000001</v>
      </c>
    </row>
    <row r="91" spans="1:29" ht="13.15">
      <c r="A91" s="64" t="s">
        <v>359</v>
      </c>
      <c r="B91" s="65" t="str">
        <f>VLOOKUP(A91,'CENTRO DE COSTOS'!A:D,4,FALSE)</f>
        <v>WILLIAM ASDRUBAL ROZO ROZO</v>
      </c>
      <c r="C91" s="65" t="str">
        <f>VLOOKUP(A91,'CENTRO DE COSTOS'!A:D,2,FALSE)</f>
        <v>0004-0004</v>
      </c>
      <c r="D91" s="64">
        <v>25473</v>
      </c>
      <c r="E91" s="66" t="s">
        <v>638</v>
      </c>
      <c r="F91" s="67">
        <v>81478</v>
      </c>
      <c r="G91" s="68" t="s">
        <v>90</v>
      </c>
      <c r="H91" s="69" t="s">
        <v>183</v>
      </c>
      <c r="I91" s="67" t="s">
        <v>361</v>
      </c>
      <c r="J91" s="70" t="s">
        <v>639</v>
      </c>
      <c r="K91" s="67" t="s">
        <v>640</v>
      </c>
      <c r="L91" s="71" t="s">
        <v>95</v>
      </c>
      <c r="M91" s="72" t="s">
        <v>641</v>
      </c>
      <c r="N91" s="73">
        <v>45912</v>
      </c>
      <c r="O91" s="74">
        <v>45915</v>
      </c>
      <c r="P91" s="75" t="s">
        <v>188</v>
      </c>
      <c r="Q91" s="76" t="s">
        <v>305</v>
      </c>
      <c r="R91" s="64" t="s">
        <v>98</v>
      </c>
      <c r="S91" s="83" t="s">
        <v>625</v>
      </c>
      <c r="T91" s="74" t="s">
        <v>100</v>
      </c>
      <c r="U91" s="64" t="s">
        <v>642</v>
      </c>
      <c r="V91" s="70" t="s">
        <v>130</v>
      </c>
      <c r="W91" s="78" t="s">
        <v>114</v>
      </c>
      <c r="X91" s="68" t="s">
        <v>512</v>
      </c>
      <c r="Y91" s="64">
        <v>1</v>
      </c>
      <c r="Z91" s="79">
        <v>0</v>
      </c>
      <c r="AA91" s="80">
        <f>'BASE FACTURACION 2025'!$C$3</f>
        <v>122645.45276000001</v>
      </c>
      <c r="AB91" s="80">
        <f>'BASE FACTURACION 2025'!$F$3</f>
        <v>65164.677720000007</v>
      </c>
      <c r="AC91" s="80">
        <f t="shared" si="1"/>
        <v>122645.45276000001</v>
      </c>
    </row>
    <row r="92" spans="1:29" ht="13.15">
      <c r="A92" s="64" t="s">
        <v>381</v>
      </c>
      <c r="B92" s="65" t="str">
        <f>VLOOKUP(A92,'CENTRO DE COSTOS'!A:D,4,FALSE)</f>
        <v>JOSE MAURICIO HERNANDEZ ROJAS</v>
      </c>
      <c r="C92" s="65" t="str">
        <f>VLOOKUP(A92,'CENTRO DE COSTOS'!A:D,2,FALSE)</f>
        <v>0004-0001</v>
      </c>
      <c r="D92" s="64">
        <v>44430</v>
      </c>
      <c r="E92" s="66" t="s">
        <v>643</v>
      </c>
      <c r="F92" s="67">
        <v>81477</v>
      </c>
      <c r="G92" s="68" t="s">
        <v>90</v>
      </c>
      <c r="H92" s="69" t="s">
        <v>183</v>
      </c>
      <c r="I92" s="67" t="s">
        <v>644</v>
      </c>
      <c r="J92" s="70" t="s">
        <v>645</v>
      </c>
      <c r="K92" s="67" t="s">
        <v>646</v>
      </c>
      <c r="L92" s="71" t="s">
        <v>95</v>
      </c>
      <c r="M92" s="72" t="s">
        <v>647</v>
      </c>
      <c r="N92" s="73">
        <v>45912</v>
      </c>
      <c r="O92" s="74">
        <v>45916</v>
      </c>
      <c r="P92" s="75" t="s">
        <v>188</v>
      </c>
      <c r="Q92" s="76" t="s">
        <v>305</v>
      </c>
      <c r="R92" s="64" t="s">
        <v>98</v>
      </c>
      <c r="S92" s="77" t="s">
        <v>599</v>
      </c>
      <c r="T92" s="74" t="s">
        <v>100</v>
      </c>
      <c r="U92" s="64" t="s">
        <v>648</v>
      </c>
      <c r="V92" s="70" t="s">
        <v>122</v>
      </c>
      <c r="W92" s="78" t="s">
        <v>114</v>
      </c>
      <c r="X92" s="68" t="s">
        <v>387</v>
      </c>
      <c r="Y92" s="64">
        <v>1</v>
      </c>
      <c r="Z92" s="79">
        <v>0</v>
      </c>
      <c r="AA92" s="80">
        <f>'BASE FACTURACION 2025'!$C$3</f>
        <v>122645.45276000001</v>
      </c>
      <c r="AB92" s="80">
        <f>'BASE FACTURACION 2025'!$F$3</f>
        <v>65164.677720000007</v>
      </c>
      <c r="AC92" s="80">
        <f t="shared" si="1"/>
        <v>122645.45276000001</v>
      </c>
    </row>
    <row r="93" spans="1:29" ht="13.15">
      <c r="A93" s="64" t="s">
        <v>88</v>
      </c>
      <c r="B93" s="65" t="str">
        <f>VLOOKUP(A93,'CENTRO DE COSTOS'!A:D,4,FALSE)</f>
        <v>DIEGO FERNANDO HENAO CARDONA</v>
      </c>
      <c r="C93" s="65" t="str">
        <f>VLOOKUP(A93,'CENTRO DE COSTOS'!A:D,2,FALSE)</f>
        <v>0004-0003</v>
      </c>
      <c r="D93" s="64">
        <v>52001</v>
      </c>
      <c r="E93" s="66" t="s">
        <v>649</v>
      </c>
      <c r="F93" s="67">
        <v>81479</v>
      </c>
      <c r="G93" s="68" t="s">
        <v>90</v>
      </c>
      <c r="H93" s="69" t="s">
        <v>183</v>
      </c>
      <c r="I93" s="67" t="s">
        <v>92</v>
      </c>
      <c r="J93" s="70" t="s">
        <v>88</v>
      </c>
      <c r="K93" s="67" t="s">
        <v>650</v>
      </c>
      <c r="L93" s="71" t="s">
        <v>95</v>
      </c>
      <c r="M93" s="72" t="s">
        <v>651</v>
      </c>
      <c r="N93" s="73">
        <v>45912</v>
      </c>
      <c r="O93" s="74">
        <v>45915</v>
      </c>
      <c r="P93" s="75" t="s">
        <v>188</v>
      </c>
      <c r="Q93" s="76" t="s">
        <v>305</v>
      </c>
      <c r="R93" s="64" t="s">
        <v>98</v>
      </c>
      <c r="S93" s="83" t="s">
        <v>625</v>
      </c>
      <c r="T93" s="74" t="s">
        <v>100</v>
      </c>
      <c r="U93" s="64" t="s">
        <v>652</v>
      </c>
      <c r="V93" s="70" t="s">
        <v>130</v>
      </c>
      <c r="W93" s="78" t="s">
        <v>114</v>
      </c>
      <c r="X93" s="68" t="s">
        <v>192</v>
      </c>
      <c r="Y93" s="64">
        <v>1</v>
      </c>
      <c r="Z93" s="79">
        <v>0</v>
      </c>
      <c r="AA93" s="80">
        <f>'BASE FACTURACION 2025'!$C$3</f>
        <v>122645.45276000001</v>
      </c>
      <c r="AB93" s="80">
        <f>'BASE FACTURACION 2025'!$F$3</f>
        <v>65164.677720000007</v>
      </c>
      <c r="AC93" s="80">
        <f t="shared" si="1"/>
        <v>122645.45276000001</v>
      </c>
    </row>
    <row r="94" spans="1:29" ht="13.15">
      <c r="A94" s="64" t="s">
        <v>243</v>
      </c>
      <c r="B94" s="65" t="str">
        <f>VLOOKUP(A94,'CENTRO DE COSTOS'!A:D,4,FALSE)</f>
        <v>MIGUEL JULIÁN HERNÁNDEZ GUARÍN</v>
      </c>
      <c r="C94" s="65" t="str">
        <f>VLOOKUP(A94,'CENTRO DE COSTOS'!A:D,2,FALSE)</f>
        <v>0004-0008</v>
      </c>
      <c r="D94" s="64">
        <v>54001</v>
      </c>
      <c r="E94" s="66" t="s">
        <v>653</v>
      </c>
      <c r="F94" s="67">
        <v>81473</v>
      </c>
      <c r="G94" s="68" t="s">
        <v>90</v>
      </c>
      <c r="H94" s="69" t="s">
        <v>183</v>
      </c>
      <c r="I94" s="67" t="s">
        <v>245</v>
      </c>
      <c r="J94" s="70" t="s">
        <v>243</v>
      </c>
      <c r="K94" s="67" t="s">
        <v>654</v>
      </c>
      <c r="L94" s="71" t="s">
        <v>95</v>
      </c>
      <c r="M94" s="72" t="s">
        <v>655</v>
      </c>
      <c r="N94" s="73">
        <v>45912</v>
      </c>
      <c r="O94" s="74">
        <v>45916</v>
      </c>
      <c r="P94" s="75" t="s">
        <v>188</v>
      </c>
      <c r="Q94" s="76" t="s">
        <v>305</v>
      </c>
      <c r="R94" s="64" t="s">
        <v>98</v>
      </c>
      <c r="S94" s="77" t="s">
        <v>656</v>
      </c>
      <c r="T94" s="74" t="s">
        <v>100</v>
      </c>
      <c r="U94" s="64" t="s">
        <v>657</v>
      </c>
      <c r="V94" s="70" t="s">
        <v>130</v>
      </c>
      <c r="W94" s="78" t="s">
        <v>114</v>
      </c>
      <c r="X94" s="68" t="s">
        <v>256</v>
      </c>
      <c r="Y94" s="64">
        <v>1</v>
      </c>
      <c r="Z94" s="79">
        <v>0</v>
      </c>
      <c r="AA94" s="80">
        <f>'BASE FACTURACION 2025'!$C$3</f>
        <v>122645.45276000001</v>
      </c>
      <c r="AB94" s="80">
        <f>'BASE FACTURACION 2025'!$F$3</f>
        <v>65164.677720000007</v>
      </c>
      <c r="AC94" s="80">
        <f t="shared" si="1"/>
        <v>122645.45276000001</v>
      </c>
    </row>
    <row r="95" spans="1:29" ht="13.15">
      <c r="A95" s="64" t="s">
        <v>243</v>
      </c>
      <c r="B95" s="65" t="str">
        <f>VLOOKUP(A95,'CENTRO DE COSTOS'!A:D,4,FALSE)</f>
        <v>MIGUEL JULIÁN HERNÁNDEZ GUARÍN</v>
      </c>
      <c r="C95" s="65" t="str">
        <f>VLOOKUP(A95,'CENTRO DE COSTOS'!A:D,2,FALSE)</f>
        <v>0004-0008</v>
      </c>
      <c r="D95" s="64">
        <v>54001</v>
      </c>
      <c r="E95" s="66" t="s">
        <v>658</v>
      </c>
      <c r="F95" s="67">
        <v>81474</v>
      </c>
      <c r="G95" s="68" t="s">
        <v>90</v>
      </c>
      <c r="H95" s="69" t="s">
        <v>183</v>
      </c>
      <c r="I95" s="67" t="s">
        <v>245</v>
      </c>
      <c r="J95" s="70" t="s">
        <v>243</v>
      </c>
      <c r="K95" s="67" t="s">
        <v>659</v>
      </c>
      <c r="L95" s="71" t="s">
        <v>95</v>
      </c>
      <c r="M95" s="72" t="s">
        <v>660</v>
      </c>
      <c r="N95" s="73">
        <v>45912</v>
      </c>
      <c r="O95" s="74">
        <v>45915</v>
      </c>
      <c r="P95" s="75" t="s">
        <v>188</v>
      </c>
      <c r="Q95" s="76" t="s">
        <v>305</v>
      </c>
      <c r="R95" s="64" t="s">
        <v>98</v>
      </c>
      <c r="S95" s="77" t="s">
        <v>625</v>
      </c>
      <c r="T95" s="74" t="s">
        <v>100</v>
      </c>
      <c r="U95" s="64" t="s">
        <v>661</v>
      </c>
      <c r="V95" s="70" t="s">
        <v>130</v>
      </c>
      <c r="W95" s="78" t="s">
        <v>114</v>
      </c>
      <c r="X95" s="68" t="s">
        <v>256</v>
      </c>
      <c r="Y95" s="64">
        <v>1</v>
      </c>
      <c r="Z95" s="79">
        <v>0</v>
      </c>
      <c r="AA95" s="80">
        <f>'BASE FACTURACION 2025'!$C$3</f>
        <v>122645.45276000001</v>
      </c>
      <c r="AB95" s="80">
        <f>'BASE FACTURACION 2025'!$F$3</f>
        <v>65164.677720000007</v>
      </c>
      <c r="AC95" s="80">
        <f t="shared" si="1"/>
        <v>122645.45276000001</v>
      </c>
    </row>
    <row r="96" spans="1:29" ht="13.15">
      <c r="A96" s="64" t="s">
        <v>243</v>
      </c>
      <c r="B96" s="65" t="str">
        <f>VLOOKUP(A96,'CENTRO DE COSTOS'!A:D,4,FALSE)</f>
        <v>MIGUEL JULIÁN HERNÁNDEZ GUARÍN</v>
      </c>
      <c r="C96" s="65" t="str">
        <f>VLOOKUP(A96,'CENTRO DE COSTOS'!A:D,2,FALSE)</f>
        <v>0004-0008</v>
      </c>
      <c r="D96" s="64">
        <v>54800</v>
      </c>
      <c r="E96" s="66" t="s">
        <v>662</v>
      </c>
      <c r="F96" s="67">
        <v>81484</v>
      </c>
      <c r="G96" s="68" t="s">
        <v>90</v>
      </c>
      <c r="H96" s="69" t="s">
        <v>183</v>
      </c>
      <c r="I96" s="67" t="s">
        <v>245</v>
      </c>
      <c r="J96" s="70" t="s">
        <v>663</v>
      </c>
      <c r="K96" s="67" t="s">
        <v>664</v>
      </c>
      <c r="L96" s="71" t="s">
        <v>95</v>
      </c>
      <c r="M96" s="72" t="s">
        <v>665</v>
      </c>
      <c r="N96" s="73">
        <v>45912</v>
      </c>
      <c r="O96" s="74">
        <v>45924</v>
      </c>
      <c r="P96" s="75" t="s">
        <v>188</v>
      </c>
      <c r="Q96" s="76" t="s">
        <v>305</v>
      </c>
      <c r="R96" s="64" t="s">
        <v>98</v>
      </c>
      <c r="S96" s="77" t="s">
        <v>666</v>
      </c>
      <c r="T96" s="74" t="s">
        <v>100</v>
      </c>
      <c r="U96" s="64" t="s">
        <v>667</v>
      </c>
      <c r="V96" s="70" t="s">
        <v>122</v>
      </c>
      <c r="W96" s="78" t="s">
        <v>114</v>
      </c>
      <c r="X96" s="68" t="s">
        <v>668</v>
      </c>
      <c r="Y96" s="64">
        <v>1</v>
      </c>
      <c r="Z96" s="79">
        <v>0</v>
      </c>
      <c r="AA96" s="80">
        <f>'BASE FACTURACION 2025'!$C$3</f>
        <v>122645.45276000001</v>
      </c>
      <c r="AB96" s="80">
        <f>'BASE FACTURACION 2025'!$F$3</f>
        <v>65164.677720000007</v>
      </c>
      <c r="AC96" s="80">
        <f t="shared" si="1"/>
        <v>122645.45276000001</v>
      </c>
    </row>
    <row r="97" spans="1:29" ht="13.15">
      <c r="A97" s="64" t="s">
        <v>123</v>
      </c>
      <c r="B97" s="65" t="str">
        <f>VLOOKUP(A97,'CENTRO DE COSTOS'!A:D,4,FALSE)</f>
        <v>DIEGO FERNANDO HENAO CARDONA</v>
      </c>
      <c r="C97" s="65" t="str">
        <f>VLOOKUP(A97,'CENTRO DE COSTOS'!A:D,2,FALSE)</f>
        <v>0004-0002</v>
      </c>
      <c r="D97" s="64">
        <v>63001</v>
      </c>
      <c r="E97" s="66" t="s">
        <v>669</v>
      </c>
      <c r="F97" s="67">
        <v>81461</v>
      </c>
      <c r="G97" s="68" t="s">
        <v>90</v>
      </c>
      <c r="H97" s="69" t="s">
        <v>183</v>
      </c>
      <c r="I97" s="67" t="s">
        <v>670</v>
      </c>
      <c r="J97" s="70" t="s">
        <v>671</v>
      </c>
      <c r="K97" s="67" t="s">
        <v>672</v>
      </c>
      <c r="L97" s="71" t="s">
        <v>95</v>
      </c>
      <c r="M97" s="72" t="s">
        <v>673</v>
      </c>
      <c r="N97" s="73">
        <v>45912</v>
      </c>
      <c r="O97" s="74">
        <v>45915</v>
      </c>
      <c r="P97" s="75" t="s">
        <v>188</v>
      </c>
      <c r="Q97" s="76" t="s">
        <v>305</v>
      </c>
      <c r="R97" s="64" t="s">
        <v>98</v>
      </c>
      <c r="S97" s="77" t="s">
        <v>625</v>
      </c>
      <c r="T97" s="74" t="s">
        <v>100</v>
      </c>
      <c r="U97" s="64" t="s">
        <v>674</v>
      </c>
      <c r="V97" s="70" t="s">
        <v>174</v>
      </c>
      <c r="W97" s="78" t="s">
        <v>114</v>
      </c>
      <c r="X97" s="68" t="s">
        <v>675</v>
      </c>
      <c r="Y97" s="64">
        <v>1</v>
      </c>
      <c r="Z97" s="79">
        <v>0</v>
      </c>
      <c r="AA97" s="80">
        <f>'BASE FACTURACION 2025'!$C$3</f>
        <v>122645.45276000001</v>
      </c>
      <c r="AB97" s="80">
        <f>'BASE FACTURACION 2025'!$F$3</f>
        <v>65164.677720000007</v>
      </c>
      <c r="AC97" s="80">
        <f t="shared" si="1"/>
        <v>122645.45276000001</v>
      </c>
    </row>
    <row r="98" spans="1:29" ht="13.15">
      <c r="A98" s="64" t="s">
        <v>166</v>
      </c>
      <c r="B98" s="65" t="str">
        <f>VLOOKUP(A98,'CENTRO DE COSTOS'!A:D,4,FALSE)</f>
        <v>MIGUEL JULIÁN HERNÁNDEZ GUARÍN</v>
      </c>
      <c r="C98" s="65" t="str">
        <f>VLOOKUP(A98,'CENTRO DE COSTOS'!A:D,2,FALSE)</f>
        <v>0004-0008</v>
      </c>
      <c r="D98" s="64">
        <v>68001</v>
      </c>
      <c r="E98" s="66" t="s">
        <v>676</v>
      </c>
      <c r="F98" s="67">
        <v>81466</v>
      </c>
      <c r="G98" s="68" t="s">
        <v>90</v>
      </c>
      <c r="H98" s="69" t="s">
        <v>183</v>
      </c>
      <c r="I98" s="67" t="s">
        <v>168</v>
      </c>
      <c r="J98" s="70" t="s">
        <v>166</v>
      </c>
      <c r="K98" s="67" t="s">
        <v>677</v>
      </c>
      <c r="L98" s="71" t="s">
        <v>95</v>
      </c>
      <c r="M98" s="72" t="s">
        <v>678</v>
      </c>
      <c r="N98" s="73">
        <v>45912</v>
      </c>
      <c r="O98" s="74">
        <v>45915</v>
      </c>
      <c r="P98" s="75" t="s">
        <v>188</v>
      </c>
      <c r="Q98" s="76" t="s">
        <v>305</v>
      </c>
      <c r="R98" s="64" t="s">
        <v>98</v>
      </c>
      <c r="S98" s="77" t="s">
        <v>625</v>
      </c>
      <c r="T98" s="74" t="s">
        <v>100</v>
      </c>
      <c r="U98" s="64" t="s">
        <v>679</v>
      </c>
      <c r="V98" s="70" t="s">
        <v>130</v>
      </c>
      <c r="W98" s="78" t="s">
        <v>114</v>
      </c>
      <c r="X98" s="68" t="s">
        <v>175</v>
      </c>
      <c r="Y98" s="64">
        <v>1</v>
      </c>
      <c r="Z98" s="79">
        <v>0</v>
      </c>
      <c r="AA98" s="80">
        <f>'BASE FACTURACION 2025'!$C$3</f>
        <v>122645.45276000001</v>
      </c>
      <c r="AB98" s="80">
        <f>'BASE FACTURACION 2025'!$F$3</f>
        <v>65164.677720000007</v>
      </c>
      <c r="AC98" s="80">
        <f t="shared" si="1"/>
        <v>122645.45276000001</v>
      </c>
    </row>
    <row r="99" spans="1:29" ht="13.15">
      <c r="A99" s="64" t="s">
        <v>166</v>
      </c>
      <c r="B99" s="65" t="str">
        <f>VLOOKUP(A99,'CENTRO DE COSTOS'!A:D,4,FALSE)</f>
        <v>MIGUEL JULIÁN HERNÁNDEZ GUARÍN</v>
      </c>
      <c r="C99" s="65" t="str">
        <f>VLOOKUP(A99,'CENTRO DE COSTOS'!A:D,2,FALSE)</f>
        <v>0004-0008</v>
      </c>
      <c r="D99" s="64">
        <v>68547</v>
      </c>
      <c r="E99" s="66" t="s">
        <v>680</v>
      </c>
      <c r="F99" s="67">
        <v>81481</v>
      </c>
      <c r="G99" s="68" t="s">
        <v>90</v>
      </c>
      <c r="H99" s="69" t="s">
        <v>183</v>
      </c>
      <c r="I99" s="67" t="s">
        <v>168</v>
      </c>
      <c r="J99" s="70" t="s">
        <v>681</v>
      </c>
      <c r="K99" s="67" t="s">
        <v>682</v>
      </c>
      <c r="L99" s="71" t="s">
        <v>95</v>
      </c>
      <c r="M99" s="72" t="s">
        <v>683</v>
      </c>
      <c r="N99" s="73">
        <v>45912</v>
      </c>
      <c r="O99" s="74">
        <v>45915</v>
      </c>
      <c r="P99" s="75" t="s">
        <v>188</v>
      </c>
      <c r="Q99" s="76" t="s">
        <v>305</v>
      </c>
      <c r="R99" s="64" t="s">
        <v>98</v>
      </c>
      <c r="S99" s="77" t="s">
        <v>625</v>
      </c>
      <c r="T99" s="74" t="s">
        <v>100</v>
      </c>
      <c r="U99" s="64" t="s">
        <v>684</v>
      </c>
      <c r="V99" s="70" t="s">
        <v>174</v>
      </c>
      <c r="W99" s="78" t="s">
        <v>114</v>
      </c>
      <c r="X99" s="68" t="s">
        <v>685</v>
      </c>
      <c r="Y99" s="64">
        <v>1</v>
      </c>
      <c r="Z99" s="79">
        <v>0</v>
      </c>
      <c r="AA99" s="80">
        <f>'BASE FACTURACION 2025'!$C$3</f>
        <v>122645.45276000001</v>
      </c>
      <c r="AB99" s="80">
        <f>'BASE FACTURACION 2025'!$F$3</f>
        <v>65164.677720000007</v>
      </c>
      <c r="AC99" s="80">
        <f t="shared" si="1"/>
        <v>122645.45276000001</v>
      </c>
    </row>
    <row r="100" spans="1:29" ht="13.15">
      <c r="A100" s="64" t="s">
        <v>166</v>
      </c>
      <c r="B100" s="65" t="str">
        <f>VLOOKUP(A100,'CENTRO DE COSTOS'!A:D,4,FALSE)</f>
        <v>MIGUEL JULIÁN HERNÁNDEZ GUARÍN</v>
      </c>
      <c r="C100" s="65" t="str">
        <f>VLOOKUP(A100,'CENTRO DE COSTOS'!A:D,2,FALSE)</f>
        <v>0004-0008</v>
      </c>
      <c r="D100" s="64">
        <v>68872</v>
      </c>
      <c r="E100" s="66" t="s">
        <v>686</v>
      </c>
      <c r="F100" s="67">
        <v>81487</v>
      </c>
      <c r="G100" s="68" t="s">
        <v>90</v>
      </c>
      <c r="H100" s="69" t="s">
        <v>183</v>
      </c>
      <c r="I100" s="67" t="s">
        <v>168</v>
      </c>
      <c r="J100" s="70" t="s">
        <v>687</v>
      </c>
      <c r="K100" s="67" t="s">
        <v>688</v>
      </c>
      <c r="L100" s="71" t="s">
        <v>95</v>
      </c>
      <c r="M100" s="72" t="s">
        <v>689</v>
      </c>
      <c r="N100" s="73">
        <v>45912</v>
      </c>
      <c r="O100" s="74">
        <v>45917</v>
      </c>
      <c r="P100" s="75" t="s">
        <v>188</v>
      </c>
      <c r="Q100" s="76" t="s">
        <v>305</v>
      </c>
      <c r="R100" s="64" t="s">
        <v>98</v>
      </c>
      <c r="S100" s="77" t="s">
        <v>690</v>
      </c>
      <c r="T100" s="74" t="s">
        <v>100</v>
      </c>
      <c r="U100" s="64" t="s">
        <v>691</v>
      </c>
      <c r="V100" s="70" t="s">
        <v>113</v>
      </c>
      <c r="W100" s="78" t="s">
        <v>114</v>
      </c>
      <c r="X100" s="68" t="s">
        <v>692</v>
      </c>
      <c r="Y100" s="64">
        <v>1</v>
      </c>
      <c r="Z100" s="79">
        <v>0</v>
      </c>
      <c r="AA100" s="80">
        <f>'BASE FACTURACION 2025'!$C$3</f>
        <v>122645.45276000001</v>
      </c>
      <c r="AB100" s="80">
        <f>'BASE FACTURACION 2025'!$F$3</f>
        <v>65164.677720000007</v>
      </c>
      <c r="AC100" s="80">
        <f t="shared" si="1"/>
        <v>122645.45276000001</v>
      </c>
    </row>
    <row r="101" spans="1:29" ht="13.15">
      <c r="A101" s="64" t="s">
        <v>438</v>
      </c>
      <c r="B101" s="65" t="str">
        <f>VLOOKUP(A101,'CENTRO DE COSTOS'!A:D,4,FALSE)</f>
        <v>KEVIN ALEXIS CORZO BUSTOS</v>
      </c>
      <c r="C101" s="65" t="str">
        <f>VLOOKUP(A101,'CENTRO DE COSTOS'!A:D,2,FALSE)</f>
        <v>0004-0007</v>
      </c>
      <c r="D101" s="64">
        <v>73001</v>
      </c>
      <c r="E101" s="66" t="s">
        <v>693</v>
      </c>
      <c r="F101" s="67">
        <v>81475</v>
      </c>
      <c r="G101" s="68" t="s">
        <v>90</v>
      </c>
      <c r="H101" s="69" t="s">
        <v>183</v>
      </c>
      <c r="I101" s="67" t="s">
        <v>440</v>
      </c>
      <c r="J101" s="70" t="s">
        <v>438</v>
      </c>
      <c r="K101" s="67" t="s">
        <v>694</v>
      </c>
      <c r="L101" s="71" t="s">
        <v>95</v>
      </c>
      <c r="M101" s="72" t="s">
        <v>695</v>
      </c>
      <c r="N101" s="73">
        <v>45912</v>
      </c>
      <c r="O101" s="74">
        <v>45915</v>
      </c>
      <c r="P101" s="75" t="s">
        <v>188</v>
      </c>
      <c r="Q101" s="76" t="s">
        <v>305</v>
      </c>
      <c r="R101" s="64" t="s">
        <v>98</v>
      </c>
      <c r="S101" s="77" t="s">
        <v>696</v>
      </c>
      <c r="T101" s="74" t="s">
        <v>100</v>
      </c>
      <c r="U101" s="64" t="s">
        <v>697</v>
      </c>
      <c r="V101" s="70" t="s">
        <v>130</v>
      </c>
      <c r="W101" s="78" t="s">
        <v>114</v>
      </c>
      <c r="X101" s="68" t="s">
        <v>698</v>
      </c>
      <c r="Y101" s="64">
        <v>1</v>
      </c>
      <c r="Z101" s="79">
        <v>0</v>
      </c>
      <c r="AA101" s="80">
        <f>'BASE FACTURACION 2025'!$C$3</f>
        <v>122645.45276000001</v>
      </c>
      <c r="AB101" s="80">
        <f>'BASE FACTURACION 2025'!$F$3</f>
        <v>65164.677720000007</v>
      </c>
      <c r="AC101" s="80">
        <f t="shared" si="1"/>
        <v>122645.45276000001</v>
      </c>
    </row>
    <row r="102" spans="1:29" ht="13.15">
      <c r="A102" s="64" t="s">
        <v>105</v>
      </c>
      <c r="B102" s="65" t="str">
        <f>VLOOKUP(A102,'CENTRO DE COSTOS'!A:D,4,FALSE)</f>
        <v>DIEGO FERNANDO HENAO CARDONA</v>
      </c>
      <c r="C102" s="65" t="str">
        <f>VLOOKUP(A102,'CENTRO DE COSTOS'!A:D,2,FALSE)</f>
        <v>0004-0003</v>
      </c>
      <c r="D102" s="64">
        <v>76109</v>
      </c>
      <c r="E102" s="66" t="s">
        <v>699</v>
      </c>
      <c r="F102" s="67">
        <v>81467</v>
      </c>
      <c r="G102" s="68" t="s">
        <v>90</v>
      </c>
      <c r="H102" s="69" t="s">
        <v>183</v>
      </c>
      <c r="I102" s="67" t="s">
        <v>177</v>
      </c>
      <c r="J102" s="70" t="s">
        <v>700</v>
      </c>
      <c r="K102" s="67" t="s">
        <v>701</v>
      </c>
      <c r="L102" s="71" t="s">
        <v>95</v>
      </c>
      <c r="M102" s="72" t="s">
        <v>702</v>
      </c>
      <c r="N102" s="73">
        <v>45912</v>
      </c>
      <c r="O102" s="74">
        <v>45916</v>
      </c>
      <c r="P102" s="75" t="s">
        <v>188</v>
      </c>
      <c r="Q102" s="76" t="s">
        <v>305</v>
      </c>
      <c r="R102" s="64" t="s">
        <v>98</v>
      </c>
      <c r="S102" s="77" t="s">
        <v>599</v>
      </c>
      <c r="T102" s="74" t="s">
        <v>100</v>
      </c>
      <c r="U102" s="64" t="s">
        <v>703</v>
      </c>
      <c r="V102" s="70" t="s">
        <v>113</v>
      </c>
      <c r="W102" s="78" t="s">
        <v>114</v>
      </c>
      <c r="X102" s="68" t="s">
        <v>458</v>
      </c>
      <c r="Y102" s="64">
        <v>1</v>
      </c>
      <c r="Z102" s="79">
        <v>0</v>
      </c>
      <c r="AA102" s="80">
        <f>'BASE FACTURACION 2025'!$C$3</f>
        <v>122645.45276000001</v>
      </c>
      <c r="AB102" s="80">
        <f>'BASE FACTURACION 2025'!$F$3</f>
        <v>65164.677720000007</v>
      </c>
      <c r="AC102" s="80">
        <f t="shared" si="1"/>
        <v>122645.45276000001</v>
      </c>
    </row>
    <row r="103" spans="1:29" ht="13.15">
      <c r="A103" s="64" t="s">
        <v>105</v>
      </c>
      <c r="B103" s="65" t="str">
        <f>VLOOKUP(A103,'CENTRO DE COSTOS'!A:D,4,FALSE)</f>
        <v>DIEGO FERNANDO HENAO CARDONA</v>
      </c>
      <c r="C103" s="65" t="str">
        <f>VLOOKUP(A103,'CENTRO DE COSTOS'!A:D,2,FALSE)</f>
        <v>0004-0003</v>
      </c>
      <c r="D103" s="64">
        <v>76364</v>
      </c>
      <c r="E103" s="66" t="s">
        <v>704</v>
      </c>
      <c r="F103" s="67">
        <v>81476</v>
      </c>
      <c r="G103" s="68" t="s">
        <v>90</v>
      </c>
      <c r="H103" s="69" t="s">
        <v>183</v>
      </c>
      <c r="I103" s="67" t="s">
        <v>177</v>
      </c>
      <c r="J103" s="70" t="s">
        <v>705</v>
      </c>
      <c r="K103" s="67" t="s">
        <v>706</v>
      </c>
      <c r="L103" s="71" t="s">
        <v>95</v>
      </c>
      <c r="M103" s="72" t="s">
        <v>707</v>
      </c>
      <c r="N103" s="73">
        <v>45912</v>
      </c>
      <c r="O103" s="74">
        <v>45915</v>
      </c>
      <c r="P103" s="75" t="s">
        <v>188</v>
      </c>
      <c r="Q103" s="76" t="s">
        <v>305</v>
      </c>
      <c r="R103" s="64" t="s">
        <v>98</v>
      </c>
      <c r="S103" s="77" t="s">
        <v>625</v>
      </c>
      <c r="T103" s="74" t="s">
        <v>100</v>
      </c>
      <c r="U103" s="64" t="s">
        <v>708</v>
      </c>
      <c r="V103" s="70" t="s">
        <v>174</v>
      </c>
      <c r="W103" s="78" t="s">
        <v>114</v>
      </c>
      <c r="X103" s="68" t="s">
        <v>296</v>
      </c>
      <c r="Y103" s="64">
        <v>1</v>
      </c>
      <c r="Z103" s="79">
        <v>0</v>
      </c>
      <c r="AA103" s="80">
        <f>'BASE FACTURACION 2025'!$C$3</f>
        <v>122645.45276000001</v>
      </c>
      <c r="AB103" s="80">
        <f>'BASE FACTURACION 2025'!$F$3</f>
        <v>65164.677720000007</v>
      </c>
      <c r="AC103" s="80">
        <f t="shared" si="1"/>
        <v>122645.45276000001</v>
      </c>
    </row>
    <row r="104" spans="1:29" ht="13.15">
      <c r="A104" s="64" t="s">
        <v>105</v>
      </c>
      <c r="B104" s="65" t="str">
        <f>VLOOKUP(A104,'CENTRO DE COSTOS'!A:D,4,FALSE)</f>
        <v>DIEGO FERNANDO HENAO CARDONA</v>
      </c>
      <c r="C104" s="65" t="str">
        <f>VLOOKUP(A104,'CENTRO DE COSTOS'!A:D,2,FALSE)</f>
        <v>0004-0003</v>
      </c>
      <c r="D104" s="64">
        <v>76834</v>
      </c>
      <c r="E104" s="66" t="s">
        <v>709</v>
      </c>
      <c r="F104" s="67">
        <v>81485</v>
      </c>
      <c r="G104" s="68" t="s">
        <v>90</v>
      </c>
      <c r="H104" s="69" t="s">
        <v>183</v>
      </c>
      <c r="I104" s="67" t="s">
        <v>177</v>
      </c>
      <c r="J104" s="70" t="s">
        <v>291</v>
      </c>
      <c r="K104" s="67" t="s">
        <v>710</v>
      </c>
      <c r="L104" s="71" t="s">
        <v>95</v>
      </c>
      <c r="M104" s="72" t="s">
        <v>711</v>
      </c>
      <c r="N104" s="73">
        <v>45912</v>
      </c>
      <c r="O104" s="74">
        <v>45915</v>
      </c>
      <c r="P104" s="75" t="s">
        <v>188</v>
      </c>
      <c r="Q104" s="76" t="s">
        <v>305</v>
      </c>
      <c r="R104" s="64" t="s">
        <v>98</v>
      </c>
      <c r="S104" s="77" t="s">
        <v>625</v>
      </c>
      <c r="T104" s="74" t="s">
        <v>100</v>
      </c>
      <c r="U104" s="64" t="s">
        <v>712</v>
      </c>
      <c r="V104" s="70" t="s">
        <v>174</v>
      </c>
      <c r="W104" s="78" t="s">
        <v>114</v>
      </c>
      <c r="X104" s="68" t="s">
        <v>147</v>
      </c>
      <c r="Y104" s="64">
        <v>1</v>
      </c>
      <c r="Z104" s="79">
        <v>0</v>
      </c>
      <c r="AA104" s="80">
        <f>'BASE FACTURACION 2025'!$C$3</f>
        <v>122645.45276000001</v>
      </c>
      <c r="AB104" s="80">
        <f>'BASE FACTURACION 2025'!$F$3</f>
        <v>65164.677720000007</v>
      </c>
      <c r="AC104" s="80">
        <f t="shared" si="1"/>
        <v>122645.45276000001</v>
      </c>
    </row>
    <row r="105" spans="1:29" ht="13.15">
      <c r="A105" s="64" t="s">
        <v>105</v>
      </c>
      <c r="B105" s="65" t="str">
        <f>VLOOKUP(A105,'CENTRO DE COSTOS'!A:D,4,FALSE)</f>
        <v>DIEGO FERNANDO HENAO CARDONA</v>
      </c>
      <c r="C105" s="65" t="str">
        <f>VLOOKUP(A105,'CENTRO DE COSTOS'!A:D,2,FALSE)</f>
        <v>0004-0003</v>
      </c>
      <c r="D105" s="64">
        <v>76892</v>
      </c>
      <c r="E105" s="66" t="s">
        <v>713</v>
      </c>
      <c r="F105" s="67">
        <v>81490</v>
      </c>
      <c r="G105" s="68" t="s">
        <v>90</v>
      </c>
      <c r="H105" s="69" t="s">
        <v>183</v>
      </c>
      <c r="I105" s="67" t="s">
        <v>177</v>
      </c>
      <c r="J105" s="70" t="s">
        <v>714</v>
      </c>
      <c r="K105" s="67" t="s">
        <v>715</v>
      </c>
      <c r="L105" s="71" t="s">
        <v>95</v>
      </c>
      <c r="M105" s="72" t="s">
        <v>716</v>
      </c>
      <c r="N105" s="73">
        <v>45912</v>
      </c>
      <c r="O105" s="74">
        <v>45915</v>
      </c>
      <c r="P105" s="75" t="s">
        <v>188</v>
      </c>
      <c r="Q105" s="76" t="s">
        <v>305</v>
      </c>
      <c r="R105" s="64" t="s">
        <v>98</v>
      </c>
      <c r="S105" s="77" t="s">
        <v>625</v>
      </c>
      <c r="T105" s="74" t="s">
        <v>100</v>
      </c>
      <c r="U105" s="64" t="s">
        <v>717</v>
      </c>
      <c r="V105" s="70" t="s">
        <v>130</v>
      </c>
      <c r="W105" s="78" t="s">
        <v>114</v>
      </c>
      <c r="X105" s="68" t="s">
        <v>458</v>
      </c>
      <c r="Y105" s="64">
        <v>1</v>
      </c>
      <c r="Z105" s="79">
        <v>0</v>
      </c>
      <c r="AA105" s="80">
        <f>'BASE FACTURACION 2025'!$C$3</f>
        <v>122645.45276000001</v>
      </c>
      <c r="AB105" s="80">
        <f>'BASE FACTURACION 2025'!$F$3</f>
        <v>65164.677720000007</v>
      </c>
      <c r="AC105" s="80">
        <f t="shared" si="1"/>
        <v>122645.45276000001</v>
      </c>
    </row>
    <row r="106" spans="1:29" ht="13.15">
      <c r="A106" s="64" t="s">
        <v>359</v>
      </c>
      <c r="B106" s="65" t="str">
        <f>VLOOKUP(A106,'CENTRO DE COSTOS'!A:D,4,FALSE)</f>
        <v>WILLIAM ASDRUBAL ROZO ROZO</v>
      </c>
      <c r="C106" s="65" t="str">
        <f>VLOOKUP(A106,'CENTRO DE COSTOS'!A:D,2,FALSE)</f>
        <v>0004-0004</v>
      </c>
      <c r="D106" s="64">
        <v>11001</v>
      </c>
      <c r="E106" s="66" t="s">
        <v>718</v>
      </c>
      <c r="F106" s="67">
        <v>81462</v>
      </c>
      <c r="G106" s="68" t="s">
        <v>90</v>
      </c>
      <c r="H106" s="69" t="s">
        <v>183</v>
      </c>
      <c r="I106" s="67" t="s">
        <v>361</v>
      </c>
      <c r="J106" s="70" t="s">
        <v>359</v>
      </c>
      <c r="K106" s="67" t="s">
        <v>719</v>
      </c>
      <c r="L106" s="71" t="s">
        <v>95</v>
      </c>
      <c r="M106" s="72" t="s">
        <v>720</v>
      </c>
      <c r="N106" s="73">
        <v>45912</v>
      </c>
      <c r="O106" s="74">
        <v>45916</v>
      </c>
      <c r="P106" s="75" t="s">
        <v>188</v>
      </c>
      <c r="Q106" s="76" t="s">
        <v>305</v>
      </c>
      <c r="R106" s="64" t="s">
        <v>98</v>
      </c>
      <c r="S106" s="77" t="s">
        <v>599</v>
      </c>
      <c r="T106" s="74" t="s">
        <v>100</v>
      </c>
      <c r="U106" s="64" t="s">
        <v>721</v>
      </c>
      <c r="V106" s="70" t="s">
        <v>130</v>
      </c>
      <c r="W106" s="78" t="s">
        <v>114</v>
      </c>
      <c r="X106" s="68" t="s">
        <v>372</v>
      </c>
      <c r="Y106" s="64">
        <v>1</v>
      </c>
      <c r="Z106" s="79">
        <v>0</v>
      </c>
      <c r="AA106" s="80">
        <f>'BASE FACTURACION 2025'!$C$3</f>
        <v>122645.45276000001</v>
      </c>
      <c r="AB106" s="80">
        <f>'BASE FACTURACION 2025'!$F$3</f>
        <v>65164.677720000007</v>
      </c>
      <c r="AC106" s="80">
        <f t="shared" si="1"/>
        <v>122645.45276000001</v>
      </c>
    </row>
    <row r="107" spans="1:29" ht="13.15">
      <c r="A107" s="64" t="s">
        <v>359</v>
      </c>
      <c r="B107" s="65" t="str">
        <f>VLOOKUP(A107,'CENTRO DE COSTOS'!A:D,4,FALSE)</f>
        <v>WILLIAM ASDRUBAL ROZO ROZO</v>
      </c>
      <c r="C107" s="65" t="str">
        <f>VLOOKUP(A107,'CENTRO DE COSTOS'!A:D,2,FALSE)</f>
        <v>0004-0004</v>
      </c>
      <c r="D107" s="64">
        <v>11001</v>
      </c>
      <c r="E107" s="66" t="s">
        <v>722</v>
      </c>
      <c r="F107" s="67">
        <v>81463</v>
      </c>
      <c r="G107" s="68" t="s">
        <v>90</v>
      </c>
      <c r="H107" s="69" t="s">
        <v>183</v>
      </c>
      <c r="I107" s="67" t="s">
        <v>361</v>
      </c>
      <c r="J107" s="70" t="s">
        <v>359</v>
      </c>
      <c r="K107" s="67" t="s">
        <v>723</v>
      </c>
      <c r="L107" s="71" t="s">
        <v>95</v>
      </c>
      <c r="M107" s="72" t="s">
        <v>724</v>
      </c>
      <c r="N107" s="73">
        <v>45912</v>
      </c>
      <c r="O107" s="74">
        <v>45916</v>
      </c>
      <c r="P107" s="75" t="s">
        <v>188</v>
      </c>
      <c r="Q107" s="76" t="s">
        <v>305</v>
      </c>
      <c r="R107" s="64" t="s">
        <v>98</v>
      </c>
      <c r="S107" s="77" t="s">
        <v>599</v>
      </c>
      <c r="T107" s="74" t="s">
        <v>100</v>
      </c>
      <c r="U107" s="64" t="s">
        <v>725</v>
      </c>
      <c r="V107" s="70" t="s">
        <v>130</v>
      </c>
      <c r="W107" s="78" t="s">
        <v>114</v>
      </c>
      <c r="X107" s="68" t="s">
        <v>497</v>
      </c>
      <c r="Y107" s="64">
        <v>1</v>
      </c>
      <c r="Z107" s="79">
        <v>0</v>
      </c>
      <c r="AA107" s="80">
        <f>'BASE FACTURACION 2025'!$C$3</f>
        <v>122645.45276000001</v>
      </c>
      <c r="AB107" s="80">
        <f>'BASE FACTURACION 2025'!$F$3</f>
        <v>65164.677720000007</v>
      </c>
      <c r="AC107" s="80">
        <f t="shared" si="1"/>
        <v>122645.45276000001</v>
      </c>
    </row>
    <row r="108" spans="1:29" ht="13.15">
      <c r="A108" s="64" t="s">
        <v>359</v>
      </c>
      <c r="B108" s="65" t="str">
        <f>VLOOKUP(A108,'CENTRO DE COSTOS'!A:D,4,FALSE)</f>
        <v>WILLIAM ASDRUBAL ROZO ROZO</v>
      </c>
      <c r="C108" s="65" t="str">
        <f>VLOOKUP(A108,'CENTRO DE COSTOS'!A:D,2,FALSE)</f>
        <v>0004-0004</v>
      </c>
      <c r="D108" s="64">
        <v>11001</v>
      </c>
      <c r="E108" s="66" t="s">
        <v>726</v>
      </c>
      <c r="F108" s="67">
        <v>81464</v>
      </c>
      <c r="G108" s="68" t="s">
        <v>90</v>
      </c>
      <c r="H108" s="69" t="s">
        <v>183</v>
      </c>
      <c r="I108" s="67" t="s">
        <v>361</v>
      </c>
      <c r="J108" s="70" t="s">
        <v>359</v>
      </c>
      <c r="K108" s="67" t="s">
        <v>727</v>
      </c>
      <c r="L108" s="71" t="s">
        <v>95</v>
      </c>
      <c r="M108" s="72" t="s">
        <v>728</v>
      </c>
      <c r="N108" s="73">
        <v>45912</v>
      </c>
      <c r="O108" s="74">
        <v>45916</v>
      </c>
      <c r="P108" s="75" t="s">
        <v>188</v>
      </c>
      <c r="Q108" s="76" t="s">
        <v>305</v>
      </c>
      <c r="R108" s="64" t="s">
        <v>98</v>
      </c>
      <c r="S108" s="77" t="s">
        <v>599</v>
      </c>
      <c r="T108" s="74" t="s">
        <v>100</v>
      </c>
      <c r="U108" s="64" t="s">
        <v>729</v>
      </c>
      <c r="V108" s="70" t="s">
        <v>130</v>
      </c>
      <c r="W108" s="78" t="s">
        <v>114</v>
      </c>
      <c r="X108" s="68" t="s">
        <v>730</v>
      </c>
      <c r="Y108" s="64">
        <v>1</v>
      </c>
      <c r="Z108" s="79">
        <v>0</v>
      </c>
      <c r="AA108" s="80">
        <f>'BASE FACTURACION 2025'!$C$3</f>
        <v>122645.45276000001</v>
      </c>
      <c r="AB108" s="80">
        <f>'BASE FACTURACION 2025'!$F$3</f>
        <v>65164.677720000007</v>
      </c>
      <c r="AC108" s="80">
        <f t="shared" si="1"/>
        <v>122645.45276000001</v>
      </c>
    </row>
    <row r="109" spans="1:29" ht="13.15">
      <c r="A109" s="64" t="s">
        <v>208</v>
      </c>
      <c r="B109" s="65" t="str">
        <f>VLOOKUP(A109,'CENTRO DE COSTOS'!A:D,4,FALSE)</f>
        <v>JUAN SEBASTIÁN RÍOS CASTRILLÓN</v>
      </c>
      <c r="C109" s="65" t="str">
        <f>VLOOKUP(A109,'CENTRO DE COSTOS'!A:D,2,FALSE)</f>
        <v>0004-0005</v>
      </c>
      <c r="D109" s="64">
        <v>5264</v>
      </c>
      <c r="E109" s="66" t="s">
        <v>731</v>
      </c>
      <c r="F109" s="67">
        <v>81500</v>
      </c>
      <c r="G109" s="68" t="s">
        <v>90</v>
      </c>
      <c r="H109" s="69" t="s">
        <v>183</v>
      </c>
      <c r="I109" s="67" t="s">
        <v>194</v>
      </c>
      <c r="J109" s="70" t="s">
        <v>732</v>
      </c>
      <c r="K109" s="67" t="s">
        <v>733</v>
      </c>
      <c r="L109" s="71" t="s">
        <v>95</v>
      </c>
      <c r="M109" s="72" t="s">
        <v>734</v>
      </c>
      <c r="N109" s="73">
        <v>45917</v>
      </c>
      <c r="O109" s="74">
        <v>45918</v>
      </c>
      <c r="P109" s="75" t="s">
        <v>188</v>
      </c>
      <c r="Q109" s="76" t="s">
        <v>189</v>
      </c>
      <c r="R109" s="64" t="s">
        <v>98</v>
      </c>
      <c r="S109" s="77" t="s">
        <v>735</v>
      </c>
      <c r="T109" s="74" t="s">
        <v>100</v>
      </c>
      <c r="U109" s="64" t="s">
        <v>736</v>
      </c>
      <c r="V109" s="70" t="s">
        <v>174</v>
      </c>
      <c r="W109" s="78" t="s">
        <v>114</v>
      </c>
      <c r="X109" s="68" t="s">
        <v>314</v>
      </c>
      <c r="Y109" s="64">
        <v>1</v>
      </c>
      <c r="Z109" s="79">
        <v>0</v>
      </c>
      <c r="AA109" s="80">
        <f>'BASE FACTURACION 2025'!$C$3</f>
        <v>122645.45276000001</v>
      </c>
      <c r="AB109" s="80">
        <f>'BASE FACTURACION 2025'!$F$3</f>
        <v>65164.677720000007</v>
      </c>
      <c r="AC109" s="80">
        <f t="shared" si="1"/>
        <v>122645.45276000001</v>
      </c>
    </row>
    <row r="110" spans="1:29" ht="13.15">
      <c r="A110" s="64" t="s">
        <v>208</v>
      </c>
      <c r="B110" s="65" t="str">
        <f>VLOOKUP(A110,'CENTRO DE COSTOS'!A:D,4,FALSE)</f>
        <v>JUAN SEBASTIÁN RÍOS CASTRILLÓN</v>
      </c>
      <c r="C110" s="65" t="str">
        <f>VLOOKUP(A110,'CENTRO DE COSTOS'!A:D,2,FALSE)</f>
        <v>0004-0005</v>
      </c>
      <c r="D110" s="64">
        <v>5440</v>
      </c>
      <c r="E110" s="66" t="s">
        <v>737</v>
      </c>
      <c r="F110" s="67">
        <v>81516</v>
      </c>
      <c r="G110" s="68" t="s">
        <v>90</v>
      </c>
      <c r="H110" s="69" t="s">
        <v>183</v>
      </c>
      <c r="I110" s="67" t="s">
        <v>194</v>
      </c>
      <c r="J110" s="70" t="s">
        <v>738</v>
      </c>
      <c r="K110" s="67" t="s">
        <v>739</v>
      </c>
      <c r="L110" s="71" t="s">
        <v>95</v>
      </c>
      <c r="M110" s="72" t="s">
        <v>740</v>
      </c>
      <c r="N110" s="73">
        <v>45917</v>
      </c>
      <c r="O110" s="74">
        <v>45918</v>
      </c>
      <c r="P110" s="75" t="s">
        <v>188</v>
      </c>
      <c r="Q110" s="76" t="s">
        <v>189</v>
      </c>
      <c r="R110" s="64" t="s">
        <v>98</v>
      </c>
      <c r="S110" s="77" t="s">
        <v>735</v>
      </c>
      <c r="T110" s="74" t="s">
        <v>100</v>
      </c>
      <c r="U110" s="64" t="s">
        <v>741</v>
      </c>
      <c r="V110" s="70" t="s">
        <v>174</v>
      </c>
      <c r="W110" s="78" t="s">
        <v>114</v>
      </c>
      <c r="X110" s="68" t="s">
        <v>742</v>
      </c>
      <c r="Y110" s="64">
        <v>1</v>
      </c>
      <c r="Z110" s="79">
        <v>0</v>
      </c>
      <c r="AA110" s="80">
        <f>'BASE FACTURACION 2025'!$C$3</f>
        <v>122645.45276000001</v>
      </c>
      <c r="AB110" s="80">
        <f>'BASE FACTURACION 2025'!$F$3</f>
        <v>65164.677720000007</v>
      </c>
      <c r="AC110" s="80">
        <f t="shared" si="1"/>
        <v>122645.45276000001</v>
      </c>
    </row>
    <row r="111" spans="1:29" ht="13.15">
      <c r="A111" s="64" t="s">
        <v>208</v>
      </c>
      <c r="B111" s="65" t="str">
        <f>VLOOKUP(A111,'CENTRO DE COSTOS'!A:D,4,FALSE)</f>
        <v>JUAN SEBASTIÁN RÍOS CASTRILLÓN</v>
      </c>
      <c r="C111" s="65" t="str">
        <f>VLOOKUP(A111,'CENTRO DE COSTOS'!A:D,2,FALSE)</f>
        <v>0004-0005</v>
      </c>
      <c r="D111" s="64">
        <v>5736</v>
      </c>
      <c r="E111" s="66" t="s">
        <v>743</v>
      </c>
      <c r="F111" s="67">
        <v>81506</v>
      </c>
      <c r="G111" s="68" t="s">
        <v>90</v>
      </c>
      <c r="H111" s="69" t="s">
        <v>183</v>
      </c>
      <c r="I111" s="67" t="s">
        <v>194</v>
      </c>
      <c r="J111" s="70" t="s">
        <v>532</v>
      </c>
      <c r="K111" s="67" t="s">
        <v>744</v>
      </c>
      <c r="L111" s="71" t="s">
        <v>95</v>
      </c>
      <c r="M111" s="72" t="s">
        <v>745</v>
      </c>
      <c r="N111" s="73">
        <v>45917</v>
      </c>
      <c r="O111" s="74">
        <v>45918</v>
      </c>
      <c r="P111" s="75" t="s">
        <v>188</v>
      </c>
      <c r="Q111" s="76" t="s">
        <v>189</v>
      </c>
      <c r="R111" s="64" t="s">
        <v>98</v>
      </c>
      <c r="S111" s="77" t="s">
        <v>735</v>
      </c>
      <c r="T111" s="74" t="s">
        <v>100</v>
      </c>
      <c r="U111" s="64" t="s">
        <v>746</v>
      </c>
      <c r="V111" s="70" t="s">
        <v>122</v>
      </c>
      <c r="W111" s="78" t="s">
        <v>114</v>
      </c>
      <c r="X111" s="68" t="s">
        <v>214</v>
      </c>
      <c r="Y111" s="64">
        <v>1</v>
      </c>
      <c r="Z111" s="79">
        <v>0</v>
      </c>
      <c r="AA111" s="80">
        <f>'BASE FACTURACION 2025'!$C$3</f>
        <v>122645.45276000001</v>
      </c>
      <c r="AB111" s="80">
        <f>'BASE FACTURACION 2025'!$F$3</f>
        <v>65164.677720000007</v>
      </c>
      <c r="AC111" s="80">
        <f t="shared" si="1"/>
        <v>122645.45276000001</v>
      </c>
    </row>
    <row r="112" spans="1:29" ht="13.15">
      <c r="A112" s="64" t="s">
        <v>208</v>
      </c>
      <c r="B112" s="65" t="str">
        <f>VLOOKUP(A112,'CENTRO DE COSTOS'!A:D,4,FALSE)</f>
        <v>JUAN SEBASTIÁN RÍOS CASTRILLÓN</v>
      </c>
      <c r="C112" s="65" t="str">
        <f>VLOOKUP(A112,'CENTRO DE COSTOS'!A:D,2,FALSE)</f>
        <v>0004-0005</v>
      </c>
      <c r="D112" s="64">
        <v>5736</v>
      </c>
      <c r="E112" s="66" t="s">
        <v>747</v>
      </c>
      <c r="F112" s="67">
        <v>81505</v>
      </c>
      <c r="G112" s="68" t="s">
        <v>90</v>
      </c>
      <c r="H112" s="69" t="s">
        <v>183</v>
      </c>
      <c r="I112" s="67" t="s">
        <v>194</v>
      </c>
      <c r="J112" s="70" t="s">
        <v>532</v>
      </c>
      <c r="K112" s="67" t="s">
        <v>748</v>
      </c>
      <c r="L112" s="71" t="s">
        <v>95</v>
      </c>
      <c r="M112" s="72" t="s">
        <v>749</v>
      </c>
      <c r="N112" s="73">
        <v>45917</v>
      </c>
      <c r="O112" s="74">
        <v>45919</v>
      </c>
      <c r="P112" s="75" t="s">
        <v>188</v>
      </c>
      <c r="Q112" s="76" t="s">
        <v>189</v>
      </c>
      <c r="R112" s="64" t="s">
        <v>98</v>
      </c>
      <c r="S112" s="77" t="s">
        <v>750</v>
      </c>
      <c r="T112" s="74" t="s">
        <v>100</v>
      </c>
      <c r="U112" s="64" t="s">
        <v>751</v>
      </c>
      <c r="V112" s="70" t="s">
        <v>122</v>
      </c>
      <c r="W112" s="78" t="s">
        <v>114</v>
      </c>
      <c r="X112" s="68" t="s">
        <v>214</v>
      </c>
      <c r="Y112" s="64">
        <v>1</v>
      </c>
      <c r="Z112" s="79">
        <v>0</v>
      </c>
      <c r="AA112" s="80">
        <f>'BASE FACTURACION 2025'!$C$3</f>
        <v>122645.45276000001</v>
      </c>
      <c r="AB112" s="80">
        <f>'BASE FACTURACION 2025'!$F$3</f>
        <v>65164.677720000007</v>
      </c>
      <c r="AC112" s="80">
        <f t="shared" si="1"/>
        <v>122645.45276000001</v>
      </c>
    </row>
    <row r="113" spans="1:29" ht="13.15">
      <c r="A113" s="64" t="s">
        <v>132</v>
      </c>
      <c r="B113" s="65" t="str">
        <f>VLOOKUP(A113,'CENTRO DE COSTOS'!A:D,4,FALSE)</f>
        <v>JOSE MAURICIO HERNANDEZ ROJAS</v>
      </c>
      <c r="C113" s="65" t="str">
        <f>VLOOKUP(A113,'CENTRO DE COSTOS'!A:D,2,FALSE)</f>
        <v>0004-0001</v>
      </c>
      <c r="D113" s="64">
        <v>5895</v>
      </c>
      <c r="E113" s="66" t="s">
        <v>752</v>
      </c>
      <c r="F113" s="67">
        <v>81513</v>
      </c>
      <c r="G113" s="68" t="s">
        <v>90</v>
      </c>
      <c r="H113" s="69" t="s">
        <v>183</v>
      </c>
      <c r="I113" s="67" t="s">
        <v>194</v>
      </c>
      <c r="J113" s="70" t="s">
        <v>753</v>
      </c>
      <c r="K113" s="67" t="s">
        <v>754</v>
      </c>
      <c r="L113" s="71" t="s">
        <v>95</v>
      </c>
      <c r="M113" s="72" t="s">
        <v>755</v>
      </c>
      <c r="N113" s="73">
        <v>45917</v>
      </c>
      <c r="O113" s="74">
        <v>45919</v>
      </c>
      <c r="P113" s="75" t="s">
        <v>188</v>
      </c>
      <c r="Q113" s="76" t="s">
        <v>189</v>
      </c>
      <c r="R113" s="64" t="s">
        <v>98</v>
      </c>
      <c r="S113" s="77" t="s">
        <v>750</v>
      </c>
      <c r="T113" s="74" t="s">
        <v>100</v>
      </c>
      <c r="U113" s="64" t="s">
        <v>756</v>
      </c>
      <c r="V113" s="70" t="s">
        <v>122</v>
      </c>
      <c r="W113" s="78" t="s">
        <v>114</v>
      </c>
      <c r="X113" s="68" t="s">
        <v>554</v>
      </c>
      <c r="Y113" s="64">
        <v>1</v>
      </c>
      <c r="Z113" s="79">
        <v>0</v>
      </c>
      <c r="AA113" s="80">
        <f>'BASE FACTURACION 2025'!$C$3</f>
        <v>122645.45276000001</v>
      </c>
      <c r="AB113" s="80">
        <f>'BASE FACTURACION 2025'!$F$3</f>
        <v>65164.677720000007</v>
      </c>
      <c r="AC113" s="80">
        <f t="shared" si="1"/>
        <v>122645.45276000001</v>
      </c>
    </row>
    <row r="114" spans="1:29" ht="13.15">
      <c r="A114" s="64" t="s">
        <v>166</v>
      </c>
      <c r="B114" s="65" t="str">
        <f>VLOOKUP(A114,'CENTRO DE COSTOS'!A:D,4,FALSE)</f>
        <v>MIGUEL JULIÁN HERNÁNDEZ GUARÍN</v>
      </c>
      <c r="C114" s="65" t="str">
        <f>VLOOKUP(A114,'CENTRO DE COSTOS'!A:D,2,FALSE)</f>
        <v>0004-0008</v>
      </c>
      <c r="D114" s="64">
        <v>13670</v>
      </c>
      <c r="E114" s="66" t="s">
        <v>757</v>
      </c>
      <c r="F114" s="67">
        <v>81508</v>
      </c>
      <c r="G114" s="68" t="s">
        <v>90</v>
      </c>
      <c r="H114" s="69" t="s">
        <v>183</v>
      </c>
      <c r="I114" s="67" t="s">
        <v>622</v>
      </c>
      <c r="J114" s="70" t="s">
        <v>758</v>
      </c>
      <c r="K114" s="67" t="s">
        <v>759</v>
      </c>
      <c r="L114" s="71" t="s">
        <v>95</v>
      </c>
      <c r="M114" s="72" t="s">
        <v>760</v>
      </c>
      <c r="N114" s="73">
        <v>45917</v>
      </c>
      <c r="O114" s="74">
        <v>45918</v>
      </c>
      <c r="P114" s="75" t="s">
        <v>188</v>
      </c>
      <c r="Q114" s="76" t="s">
        <v>189</v>
      </c>
      <c r="R114" s="64" t="s">
        <v>98</v>
      </c>
      <c r="S114" s="77" t="s">
        <v>735</v>
      </c>
      <c r="T114" s="74" t="s">
        <v>100</v>
      </c>
      <c r="U114" s="64" t="s">
        <v>761</v>
      </c>
      <c r="V114" s="70" t="s">
        <v>102</v>
      </c>
      <c r="W114" s="78" t="s">
        <v>762</v>
      </c>
      <c r="X114" s="68" t="s">
        <v>431</v>
      </c>
      <c r="Y114" s="64">
        <v>1</v>
      </c>
      <c r="Z114" s="79">
        <v>0</v>
      </c>
      <c r="AA114" s="80">
        <f>'BASE FACTURACION 2025'!$C$3</f>
        <v>122645.45276000001</v>
      </c>
      <c r="AB114" s="80">
        <f>'BASE FACTURACION 2025'!$F$3</f>
        <v>65164.677720000007</v>
      </c>
      <c r="AC114" s="80">
        <f t="shared" si="1"/>
        <v>122645.45276000001</v>
      </c>
    </row>
    <row r="115" spans="1:29" ht="13.15">
      <c r="A115" s="64" t="s">
        <v>166</v>
      </c>
      <c r="B115" s="65" t="str">
        <f>VLOOKUP(A115,'CENTRO DE COSTOS'!A:D,4,FALSE)</f>
        <v>MIGUEL JULIÁN HERNÁNDEZ GUARÍN</v>
      </c>
      <c r="C115" s="65" t="str">
        <f>VLOOKUP(A115,'CENTRO DE COSTOS'!A:D,2,FALSE)</f>
        <v>0004-0008</v>
      </c>
      <c r="D115" s="64">
        <v>13688</v>
      </c>
      <c r="E115" s="66" t="s">
        <v>763</v>
      </c>
      <c r="F115" s="67">
        <v>81510</v>
      </c>
      <c r="G115" s="68" t="s">
        <v>90</v>
      </c>
      <c r="H115" s="69" t="s">
        <v>183</v>
      </c>
      <c r="I115" s="67" t="s">
        <v>622</v>
      </c>
      <c r="J115" s="70" t="s">
        <v>764</v>
      </c>
      <c r="K115" s="67" t="s">
        <v>765</v>
      </c>
      <c r="L115" s="71" t="s">
        <v>95</v>
      </c>
      <c r="M115" s="72" t="s">
        <v>766</v>
      </c>
      <c r="N115" s="73">
        <v>45917</v>
      </c>
      <c r="O115" s="74">
        <v>45919</v>
      </c>
      <c r="P115" s="75" t="s">
        <v>188</v>
      </c>
      <c r="Q115" s="76" t="s">
        <v>189</v>
      </c>
      <c r="R115" s="64" t="s">
        <v>98</v>
      </c>
      <c r="S115" s="77" t="s">
        <v>767</v>
      </c>
      <c r="T115" s="74" t="s">
        <v>100</v>
      </c>
      <c r="U115" s="64" t="s">
        <v>768</v>
      </c>
      <c r="V115" s="70" t="s">
        <v>102</v>
      </c>
      <c r="W115" s="78" t="s">
        <v>762</v>
      </c>
      <c r="X115" s="68" t="s">
        <v>431</v>
      </c>
      <c r="Y115" s="64">
        <v>1</v>
      </c>
      <c r="Z115" s="79">
        <v>0</v>
      </c>
      <c r="AA115" s="80">
        <f>'BASE FACTURACION 2025'!$C$3</f>
        <v>122645.45276000001</v>
      </c>
      <c r="AB115" s="80">
        <f>'BASE FACTURACION 2025'!$F$3</f>
        <v>65164.677720000007</v>
      </c>
      <c r="AC115" s="80">
        <f t="shared" si="1"/>
        <v>122645.45276000001</v>
      </c>
    </row>
    <row r="116" spans="1:29" ht="13.15">
      <c r="A116" s="64" t="s">
        <v>166</v>
      </c>
      <c r="B116" s="65" t="str">
        <f>VLOOKUP(A116,'CENTRO DE COSTOS'!A:D,4,FALSE)</f>
        <v>MIGUEL JULIÁN HERNÁNDEZ GUARÍN</v>
      </c>
      <c r="C116" s="65" t="str">
        <f>VLOOKUP(A116,'CENTRO DE COSTOS'!A:D,2,FALSE)</f>
        <v>0004-0008</v>
      </c>
      <c r="D116" s="64">
        <v>13688</v>
      </c>
      <c r="E116" s="66" t="s">
        <v>769</v>
      </c>
      <c r="F116" s="67">
        <v>81511</v>
      </c>
      <c r="G116" s="68" t="s">
        <v>90</v>
      </c>
      <c r="H116" s="69" t="s">
        <v>183</v>
      </c>
      <c r="I116" s="67" t="s">
        <v>622</v>
      </c>
      <c r="J116" s="70" t="s">
        <v>764</v>
      </c>
      <c r="K116" s="67" t="s">
        <v>770</v>
      </c>
      <c r="L116" s="71" t="s">
        <v>95</v>
      </c>
      <c r="M116" s="72" t="s">
        <v>771</v>
      </c>
      <c r="N116" s="73">
        <v>45917</v>
      </c>
      <c r="O116" s="74">
        <v>45919</v>
      </c>
      <c r="P116" s="75" t="s">
        <v>188</v>
      </c>
      <c r="Q116" s="76" t="s">
        <v>189</v>
      </c>
      <c r="R116" s="64" t="s">
        <v>98</v>
      </c>
      <c r="S116" s="77" t="s">
        <v>772</v>
      </c>
      <c r="T116" s="74" t="s">
        <v>100</v>
      </c>
      <c r="U116" s="64" t="s">
        <v>773</v>
      </c>
      <c r="V116" s="70" t="s">
        <v>102</v>
      </c>
      <c r="W116" s="78" t="s">
        <v>762</v>
      </c>
      <c r="X116" s="68" t="s">
        <v>431</v>
      </c>
      <c r="Y116" s="64">
        <v>1</v>
      </c>
      <c r="Z116" s="79">
        <v>0</v>
      </c>
      <c r="AA116" s="80">
        <f>'BASE FACTURACION 2025'!$C$3</f>
        <v>122645.45276000001</v>
      </c>
      <c r="AB116" s="80">
        <f>'BASE FACTURACION 2025'!$F$3</f>
        <v>65164.677720000007</v>
      </c>
      <c r="AC116" s="80">
        <f t="shared" si="1"/>
        <v>122645.45276000001</v>
      </c>
    </row>
    <row r="117" spans="1:29" ht="13.15">
      <c r="A117" s="64" t="s">
        <v>346</v>
      </c>
      <c r="B117" s="65" t="str">
        <f>VLOOKUP(A117,'CENTRO DE COSTOS'!A:D,4,FALSE)</f>
        <v>MIGUEL JULIÁN HERNÁNDEZ GUARÍN</v>
      </c>
      <c r="C117" s="65" t="str">
        <f>VLOOKUP(A117,'CENTRO DE COSTOS'!A:D,2,FALSE)</f>
        <v>0004-0008</v>
      </c>
      <c r="D117" s="64">
        <v>15176</v>
      </c>
      <c r="E117" s="66" t="s">
        <v>774</v>
      </c>
      <c r="F117" s="67">
        <v>81495</v>
      </c>
      <c r="G117" s="68" t="s">
        <v>90</v>
      </c>
      <c r="H117" s="69" t="s">
        <v>183</v>
      </c>
      <c r="I117" s="67" t="s">
        <v>348</v>
      </c>
      <c r="J117" s="70" t="s">
        <v>775</v>
      </c>
      <c r="K117" s="67" t="s">
        <v>776</v>
      </c>
      <c r="L117" s="71" t="s">
        <v>95</v>
      </c>
      <c r="M117" s="72" t="s">
        <v>777</v>
      </c>
      <c r="N117" s="73">
        <v>45917</v>
      </c>
      <c r="O117" s="74">
        <v>45918</v>
      </c>
      <c r="P117" s="75" t="s">
        <v>188</v>
      </c>
      <c r="Q117" s="76" t="s">
        <v>189</v>
      </c>
      <c r="R117" s="64" t="s">
        <v>98</v>
      </c>
      <c r="S117" s="77" t="s">
        <v>735</v>
      </c>
      <c r="T117" s="74" t="s">
        <v>100</v>
      </c>
      <c r="U117" s="64" t="s">
        <v>778</v>
      </c>
      <c r="V117" s="70" t="s">
        <v>113</v>
      </c>
      <c r="W117" s="78" t="s">
        <v>114</v>
      </c>
      <c r="X117" s="68" t="s">
        <v>779</v>
      </c>
      <c r="Y117" s="64">
        <v>1</v>
      </c>
      <c r="Z117" s="79">
        <v>0</v>
      </c>
      <c r="AA117" s="80">
        <f>'BASE FACTURACION 2025'!$C$3</f>
        <v>122645.45276000001</v>
      </c>
      <c r="AB117" s="80">
        <f>'BASE FACTURACION 2025'!$F$3</f>
        <v>65164.677720000007</v>
      </c>
      <c r="AC117" s="80">
        <f t="shared" si="1"/>
        <v>122645.45276000001</v>
      </c>
    </row>
    <row r="118" spans="1:29" ht="13.15">
      <c r="A118" s="64" t="s">
        <v>215</v>
      </c>
      <c r="B118" s="65" t="str">
        <f>VLOOKUP(A118,'CENTRO DE COSTOS'!A:D,4,FALSE)</f>
        <v>DIEGO FERNANDO HENAO CARDONA</v>
      </c>
      <c r="C118" s="65" t="str">
        <f>VLOOKUP(A118,'CENTRO DE COSTOS'!A:D,2,FALSE)</f>
        <v>0004-0002</v>
      </c>
      <c r="D118" s="64">
        <v>17873</v>
      </c>
      <c r="E118" s="66" t="s">
        <v>780</v>
      </c>
      <c r="F118" s="67">
        <v>81515</v>
      </c>
      <c r="G118" s="68" t="s">
        <v>90</v>
      </c>
      <c r="H118" s="69" t="s">
        <v>183</v>
      </c>
      <c r="I118" s="67" t="s">
        <v>217</v>
      </c>
      <c r="J118" s="70" t="s">
        <v>781</v>
      </c>
      <c r="K118" s="67" t="s">
        <v>782</v>
      </c>
      <c r="L118" s="71" t="s">
        <v>95</v>
      </c>
      <c r="M118" s="72" t="s">
        <v>783</v>
      </c>
      <c r="N118" s="73">
        <v>45917</v>
      </c>
      <c r="O118" s="74">
        <v>45918</v>
      </c>
      <c r="P118" s="75" t="s">
        <v>188</v>
      </c>
      <c r="Q118" s="76" t="s">
        <v>189</v>
      </c>
      <c r="R118" s="64" t="s">
        <v>98</v>
      </c>
      <c r="S118" s="77" t="s">
        <v>735</v>
      </c>
      <c r="T118" s="74" t="s">
        <v>100</v>
      </c>
      <c r="U118" s="64" t="s">
        <v>784</v>
      </c>
      <c r="V118" s="70" t="s">
        <v>130</v>
      </c>
      <c r="W118" s="78" t="s">
        <v>114</v>
      </c>
      <c r="X118" s="68" t="s">
        <v>235</v>
      </c>
      <c r="Y118" s="64">
        <v>1</v>
      </c>
      <c r="Z118" s="79">
        <v>0</v>
      </c>
      <c r="AA118" s="80">
        <f>'BASE FACTURACION 2025'!$C$3</f>
        <v>122645.45276000001</v>
      </c>
      <c r="AB118" s="80">
        <f>'BASE FACTURACION 2025'!$F$3</f>
        <v>65164.677720000007</v>
      </c>
      <c r="AC118" s="80">
        <f t="shared" si="1"/>
        <v>122645.45276000001</v>
      </c>
    </row>
    <row r="119" spans="1:29" ht="13.15">
      <c r="A119" s="64" t="s">
        <v>88</v>
      </c>
      <c r="B119" s="65" t="str">
        <f>VLOOKUP(A119,'CENTRO DE COSTOS'!A:D,4,FALSE)</f>
        <v>DIEGO FERNANDO HENAO CARDONA</v>
      </c>
      <c r="C119" s="65" t="str">
        <f>VLOOKUP(A119,'CENTRO DE COSTOS'!A:D,2,FALSE)</f>
        <v>0004-0003</v>
      </c>
      <c r="D119" s="64">
        <v>52001</v>
      </c>
      <c r="E119" s="66" t="s">
        <v>785</v>
      </c>
      <c r="F119" s="67">
        <v>81504</v>
      </c>
      <c r="G119" s="68" t="s">
        <v>90</v>
      </c>
      <c r="H119" s="69" t="s">
        <v>183</v>
      </c>
      <c r="I119" s="67" t="s">
        <v>92</v>
      </c>
      <c r="J119" s="70" t="s">
        <v>88</v>
      </c>
      <c r="K119" s="67" t="s">
        <v>786</v>
      </c>
      <c r="L119" s="71" t="s">
        <v>95</v>
      </c>
      <c r="M119" s="72" t="s">
        <v>787</v>
      </c>
      <c r="N119" s="73">
        <v>45917</v>
      </c>
      <c r="O119" s="74">
        <v>45918</v>
      </c>
      <c r="P119" s="75" t="s">
        <v>188</v>
      </c>
      <c r="Q119" s="76" t="s">
        <v>189</v>
      </c>
      <c r="R119" s="64" t="s">
        <v>98</v>
      </c>
      <c r="S119" s="77" t="s">
        <v>735</v>
      </c>
      <c r="T119" s="74" t="s">
        <v>100</v>
      </c>
      <c r="U119" s="64" t="s">
        <v>788</v>
      </c>
      <c r="V119" s="70" t="s">
        <v>130</v>
      </c>
      <c r="W119" s="78" t="s">
        <v>114</v>
      </c>
      <c r="X119" s="68" t="s">
        <v>789</v>
      </c>
      <c r="Y119" s="64">
        <v>1</v>
      </c>
      <c r="Z119" s="79">
        <v>0</v>
      </c>
      <c r="AA119" s="80">
        <f>'BASE FACTURACION 2025'!$C$3</f>
        <v>122645.45276000001</v>
      </c>
      <c r="AB119" s="80">
        <f>'BASE FACTURACION 2025'!$F$3</f>
        <v>65164.677720000007</v>
      </c>
      <c r="AC119" s="80">
        <f t="shared" si="1"/>
        <v>122645.45276000001</v>
      </c>
    </row>
    <row r="120" spans="1:29" ht="13.15">
      <c r="A120" s="64" t="s">
        <v>88</v>
      </c>
      <c r="B120" s="65" t="str">
        <f>VLOOKUP(A120,'CENTRO DE COSTOS'!A:D,4,FALSE)</f>
        <v>DIEGO FERNANDO HENAO CARDONA</v>
      </c>
      <c r="C120" s="65" t="str">
        <f>VLOOKUP(A120,'CENTRO DE COSTOS'!A:D,2,FALSE)</f>
        <v>0004-0003</v>
      </c>
      <c r="D120" s="64">
        <v>52678</v>
      </c>
      <c r="E120" s="66" t="s">
        <v>790</v>
      </c>
      <c r="F120" s="67">
        <v>81507</v>
      </c>
      <c r="G120" s="68" t="s">
        <v>90</v>
      </c>
      <c r="H120" s="69" t="s">
        <v>183</v>
      </c>
      <c r="I120" s="67" t="s">
        <v>92</v>
      </c>
      <c r="J120" s="70" t="s">
        <v>791</v>
      </c>
      <c r="K120" s="67" t="s">
        <v>792</v>
      </c>
      <c r="L120" s="71" t="s">
        <v>95</v>
      </c>
      <c r="M120" s="72" t="s">
        <v>793</v>
      </c>
      <c r="N120" s="73">
        <v>45917</v>
      </c>
      <c r="O120" s="74">
        <v>45922</v>
      </c>
      <c r="P120" s="75" t="s">
        <v>188</v>
      </c>
      <c r="Q120" s="76" t="s">
        <v>189</v>
      </c>
      <c r="R120" s="64" t="s">
        <v>98</v>
      </c>
      <c r="S120" s="77" t="s">
        <v>794</v>
      </c>
      <c r="T120" s="74" t="s">
        <v>100</v>
      </c>
      <c r="U120" s="64" t="s">
        <v>795</v>
      </c>
      <c r="V120" s="70" t="s">
        <v>113</v>
      </c>
      <c r="W120" s="78" t="s">
        <v>114</v>
      </c>
      <c r="X120" s="68" t="s">
        <v>192</v>
      </c>
      <c r="Y120" s="64">
        <v>1</v>
      </c>
      <c r="Z120" s="79">
        <v>0</v>
      </c>
      <c r="AA120" s="80">
        <f>'BASE FACTURACION 2025'!$C$3</f>
        <v>122645.45276000001</v>
      </c>
      <c r="AB120" s="80">
        <f>'BASE FACTURACION 2025'!$F$3</f>
        <v>65164.677720000007</v>
      </c>
      <c r="AC120" s="80">
        <f t="shared" si="1"/>
        <v>122645.45276000001</v>
      </c>
    </row>
    <row r="121" spans="1:29" ht="13.15">
      <c r="A121" s="64" t="s">
        <v>88</v>
      </c>
      <c r="B121" s="65" t="str">
        <f>VLOOKUP(A121,'CENTRO DE COSTOS'!A:D,4,FALSE)</f>
        <v>DIEGO FERNANDO HENAO CARDONA</v>
      </c>
      <c r="C121" s="65" t="str">
        <f>VLOOKUP(A121,'CENTRO DE COSTOS'!A:D,2,FALSE)</f>
        <v>0004-0003</v>
      </c>
      <c r="D121" s="64">
        <v>52683</v>
      </c>
      <c r="E121" s="66" t="s">
        <v>796</v>
      </c>
      <c r="F121" s="67">
        <v>81509</v>
      </c>
      <c r="G121" s="68" t="s">
        <v>90</v>
      </c>
      <c r="H121" s="69" t="s">
        <v>183</v>
      </c>
      <c r="I121" s="67" t="s">
        <v>92</v>
      </c>
      <c r="J121" s="70" t="s">
        <v>797</v>
      </c>
      <c r="K121" s="67" t="s">
        <v>798</v>
      </c>
      <c r="L121" s="71" t="s">
        <v>95</v>
      </c>
      <c r="M121" s="72" t="s">
        <v>799</v>
      </c>
      <c r="N121" s="73">
        <v>45917</v>
      </c>
      <c r="O121" s="74">
        <v>45919</v>
      </c>
      <c r="P121" s="75" t="s">
        <v>188</v>
      </c>
      <c r="Q121" s="76" t="s">
        <v>189</v>
      </c>
      <c r="R121" s="64" t="s">
        <v>98</v>
      </c>
      <c r="S121" s="77" t="s">
        <v>750</v>
      </c>
      <c r="T121" s="74" t="s">
        <v>100</v>
      </c>
      <c r="U121" s="64" t="s">
        <v>800</v>
      </c>
      <c r="V121" s="70" t="s">
        <v>174</v>
      </c>
      <c r="W121" s="78" t="s">
        <v>114</v>
      </c>
      <c r="X121" s="68" t="s">
        <v>192</v>
      </c>
      <c r="Y121" s="64">
        <v>1</v>
      </c>
      <c r="Z121" s="79">
        <v>0</v>
      </c>
      <c r="AA121" s="80">
        <f>'BASE FACTURACION 2025'!$C$3</f>
        <v>122645.45276000001</v>
      </c>
      <c r="AB121" s="80">
        <f>'BASE FACTURACION 2025'!$F$3</f>
        <v>65164.677720000007</v>
      </c>
      <c r="AC121" s="80">
        <f t="shared" si="1"/>
        <v>122645.45276000001</v>
      </c>
    </row>
    <row r="122" spans="1:29" ht="13.15">
      <c r="A122" s="64" t="s">
        <v>123</v>
      </c>
      <c r="B122" s="65" t="str">
        <f>VLOOKUP(A122,'CENTRO DE COSTOS'!A:D,4,FALSE)</f>
        <v>DIEGO FERNANDO HENAO CARDONA</v>
      </c>
      <c r="C122" s="65" t="str">
        <f>VLOOKUP(A122,'CENTRO DE COSTOS'!A:D,2,FALSE)</f>
        <v>0004-0002</v>
      </c>
      <c r="D122" s="64">
        <v>76895</v>
      </c>
      <c r="E122" s="66" t="s">
        <v>801</v>
      </c>
      <c r="F122" s="67">
        <v>81519</v>
      </c>
      <c r="G122" s="68" t="s">
        <v>90</v>
      </c>
      <c r="H122" s="69" t="s">
        <v>183</v>
      </c>
      <c r="I122" s="67" t="s">
        <v>177</v>
      </c>
      <c r="J122" s="70" t="s">
        <v>802</v>
      </c>
      <c r="K122" s="67" t="s">
        <v>803</v>
      </c>
      <c r="L122" s="71" t="s">
        <v>95</v>
      </c>
      <c r="M122" s="72" t="s">
        <v>804</v>
      </c>
      <c r="N122" s="73">
        <v>45917</v>
      </c>
      <c r="O122" s="74">
        <v>45918</v>
      </c>
      <c r="P122" s="75" t="s">
        <v>188</v>
      </c>
      <c r="Q122" s="76" t="s">
        <v>189</v>
      </c>
      <c r="R122" s="64" t="s">
        <v>98</v>
      </c>
      <c r="S122" s="77" t="s">
        <v>735</v>
      </c>
      <c r="T122" s="74" t="s">
        <v>100</v>
      </c>
      <c r="U122" s="64" t="s">
        <v>805</v>
      </c>
      <c r="V122" s="70" t="s">
        <v>113</v>
      </c>
      <c r="W122" s="78" t="s">
        <v>114</v>
      </c>
      <c r="X122" s="68" t="s">
        <v>131</v>
      </c>
      <c r="Y122" s="64">
        <v>1</v>
      </c>
      <c r="Z122" s="79">
        <v>0</v>
      </c>
      <c r="AA122" s="80">
        <f>'BASE FACTURACION 2025'!$C$3</f>
        <v>122645.45276000001</v>
      </c>
      <c r="AB122" s="80">
        <f>'BASE FACTURACION 2025'!$F$3</f>
        <v>65164.677720000007</v>
      </c>
      <c r="AC122" s="80">
        <f t="shared" si="1"/>
        <v>122645.45276000001</v>
      </c>
    </row>
    <row r="123" spans="1:29" ht="13.15">
      <c r="A123" s="64" t="s">
        <v>166</v>
      </c>
      <c r="B123" s="65" t="str">
        <f>VLOOKUP(A123,'CENTRO DE COSTOS'!A:D,4,FALSE)</f>
        <v>MIGUEL JULIÁN HERNÁNDEZ GUARÍN</v>
      </c>
      <c r="C123" s="65" t="str">
        <f>VLOOKUP(A123,'CENTRO DE COSTOS'!A:D,2,FALSE)</f>
        <v>0004-0008</v>
      </c>
      <c r="D123" s="64">
        <v>81001</v>
      </c>
      <c r="E123" s="66" t="s">
        <v>806</v>
      </c>
      <c r="F123" s="67">
        <v>81492</v>
      </c>
      <c r="G123" s="68" t="s">
        <v>90</v>
      </c>
      <c r="H123" s="69" t="s">
        <v>183</v>
      </c>
      <c r="I123" s="67" t="s">
        <v>807</v>
      </c>
      <c r="J123" s="70" t="s">
        <v>807</v>
      </c>
      <c r="K123" s="67" t="s">
        <v>808</v>
      </c>
      <c r="L123" s="71" t="s">
        <v>95</v>
      </c>
      <c r="M123" s="72" t="s">
        <v>809</v>
      </c>
      <c r="N123" s="73">
        <v>45917</v>
      </c>
      <c r="O123" s="74">
        <v>45925</v>
      </c>
      <c r="P123" s="75" t="s">
        <v>188</v>
      </c>
      <c r="Q123" s="76" t="s">
        <v>189</v>
      </c>
      <c r="R123" s="64" t="s">
        <v>98</v>
      </c>
      <c r="S123" s="77" t="s">
        <v>810</v>
      </c>
      <c r="T123" s="74" t="s">
        <v>100</v>
      </c>
      <c r="U123" s="64" t="s">
        <v>811</v>
      </c>
      <c r="V123" s="70" t="s">
        <v>102</v>
      </c>
      <c r="W123" s="78" t="s">
        <v>146</v>
      </c>
      <c r="X123" s="68" t="s">
        <v>812</v>
      </c>
      <c r="Y123" s="64">
        <v>1</v>
      </c>
      <c r="Z123" s="79">
        <v>0</v>
      </c>
      <c r="AA123" s="80">
        <f>'BASE FACTURACION 2025'!$C$3</f>
        <v>122645.45276000001</v>
      </c>
      <c r="AB123" s="80">
        <f>'BASE FACTURACION 2025'!$F$3</f>
        <v>65164.677720000007</v>
      </c>
      <c r="AC123" s="80">
        <f t="shared" si="1"/>
        <v>122645.45276000001</v>
      </c>
    </row>
    <row r="124" spans="1:29" ht="13.15">
      <c r="A124" s="64" t="s">
        <v>166</v>
      </c>
      <c r="B124" s="65" t="str">
        <f>VLOOKUP(A124,'CENTRO DE COSTOS'!A:D,4,FALSE)</f>
        <v>MIGUEL JULIÁN HERNÁNDEZ GUARÍN</v>
      </c>
      <c r="C124" s="65" t="str">
        <f>VLOOKUP(A124,'CENTRO DE COSTOS'!A:D,2,FALSE)</f>
        <v>0004-0008</v>
      </c>
      <c r="D124" s="64">
        <v>81736</v>
      </c>
      <c r="E124" s="66" t="s">
        <v>813</v>
      </c>
      <c r="F124" s="67">
        <v>81512</v>
      </c>
      <c r="G124" s="68" t="s">
        <v>90</v>
      </c>
      <c r="H124" s="69" t="s">
        <v>183</v>
      </c>
      <c r="I124" s="67" t="s">
        <v>807</v>
      </c>
      <c r="J124" s="70" t="s">
        <v>814</v>
      </c>
      <c r="K124" s="67" t="s">
        <v>815</v>
      </c>
      <c r="L124" s="71" t="s">
        <v>95</v>
      </c>
      <c r="M124" s="72" t="s">
        <v>816</v>
      </c>
      <c r="N124" s="73">
        <v>45917</v>
      </c>
      <c r="O124" s="74">
        <v>45923</v>
      </c>
      <c r="P124" s="75" t="s">
        <v>188</v>
      </c>
      <c r="Q124" s="76" t="s">
        <v>189</v>
      </c>
      <c r="R124" s="64" t="s">
        <v>98</v>
      </c>
      <c r="S124" s="77" t="s">
        <v>817</v>
      </c>
      <c r="T124" s="74" t="s">
        <v>100</v>
      </c>
      <c r="U124" s="64" t="s">
        <v>818</v>
      </c>
      <c r="V124" s="70" t="s">
        <v>102</v>
      </c>
      <c r="W124" s="78" t="s">
        <v>146</v>
      </c>
      <c r="X124" s="68" t="s">
        <v>812</v>
      </c>
      <c r="Y124" s="64">
        <v>1</v>
      </c>
      <c r="Z124" s="79">
        <v>0</v>
      </c>
      <c r="AA124" s="80">
        <f>'BASE FACTURACION 2025'!$C$3</f>
        <v>122645.45276000001</v>
      </c>
      <c r="AB124" s="80">
        <f>'BASE FACTURACION 2025'!$F$3</f>
        <v>65164.677720000007</v>
      </c>
      <c r="AC124" s="80">
        <f t="shared" si="1"/>
        <v>122645.45276000001</v>
      </c>
    </row>
    <row r="125" spans="1:29" ht="13.15">
      <c r="A125" s="64" t="s">
        <v>819</v>
      </c>
      <c r="B125" s="65" t="str">
        <f>VLOOKUP(A125,'CENTRO DE COSTOS'!A:D,4,FALSE)</f>
        <v>KEVIN ALEXIS CORZO BUSTOS</v>
      </c>
      <c r="C125" s="65" t="str">
        <f>VLOOKUP(A125,'CENTRO DE COSTOS'!A:D,2,FALSE)</f>
        <v>0004-0007</v>
      </c>
      <c r="D125" s="64">
        <v>85001</v>
      </c>
      <c r="E125" s="66" t="s">
        <v>820</v>
      </c>
      <c r="F125" s="67">
        <v>81518</v>
      </c>
      <c r="G125" s="68" t="s">
        <v>90</v>
      </c>
      <c r="H125" s="69" t="s">
        <v>183</v>
      </c>
      <c r="I125" s="67" t="s">
        <v>821</v>
      </c>
      <c r="J125" s="70" t="s">
        <v>819</v>
      </c>
      <c r="K125" s="67" t="s">
        <v>822</v>
      </c>
      <c r="L125" s="71" t="s">
        <v>95</v>
      </c>
      <c r="M125" s="72" t="s">
        <v>823</v>
      </c>
      <c r="N125" s="73">
        <v>45917</v>
      </c>
      <c r="O125" s="74">
        <v>45919</v>
      </c>
      <c r="P125" s="75" t="s">
        <v>188</v>
      </c>
      <c r="Q125" s="76" t="s">
        <v>189</v>
      </c>
      <c r="R125" s="64" t="s">
        <v>98</v>
      </c>
      <c r="S125" s="77" t="s">
        <v>750</v>
      </c>
      <c r="T125" s="74" t="s">
        <v>100</v>
      </c>
      <c r="U125" s="64" t="s">
        <v>824</v>
      </c>
      <c r="V125" s="70" t="s">
        <v>130</v>
      </c>
      <c r="W125" s="78" t="s">
        <v>114</v>
      </c>
      <c r="X125" s="68" t="s">
        <v>165</v>
      </c>
      <c r="Y125" s="64">
        <v>1</v>
      </c>
      <c r="Z125" s="79">
        <v>0</v>
      </c>
      <c r="AA125" s="80">
        <f>'BASE FACTURACION 2025'!$C$3</f>
        <v>122645.45276000001</v>
      </c>
      <c r="AB125" s="80">
        <f>'BASE FACTURACION 2025'!$F$3</f>
        <v>65164.677720000007</v>
      </c>
      <c r="AC125" s="80">
        <f t="shared" si="1"/>
        <v>122645.45276000001</v>
      </c>
    </row>
    <row r="126" spans="1:29" ht="13.15">
      <c r="A126" s="64" t="s">
        <v>819</v>
      </c>
      <c r="B126" s="65" t="str">
        <f>VLOOKUP(A126,'CENTRO DE COSTOS'!A:D,4,FALSE)</f>
        <v>KEVIN ALEXIS CORZO BUSTOS</v>
      </c>
      <c r="C126" s="65" t="str">
        <f>VLOOKUP(A126,'CENTRO DE COSTOS'!A:D,2,FALSE)</f>
        <v>0004-0007</v>
      </c>
      <c r="D126" s="64">
        <v>85001</v>
      </c>
      <c r="E126" s="66" t="s">
        <v>825</v>
      </c>
      <c r="F126" s="67">
        <v>81517</v>
      </c>
      <c r="G126" s="68" t="s">
        <v>90</v>
      </c>
      <c r="H126" s="69" t="s">
        <v>183</v>
      </c>
      <c r="I126" s="67" t="s">
        <v>821</v>
      </c>
      <c r="J126" s="70" t="s">
        <v>819</v>
      </c>
      <c r="K126" s="67" t="s">
        <v>826</v>
      </c>
      <c r="L126" s="71" t="s">
        <v>95</v>
      </c>
      <c r="M126" s="72" t="s">
        <v>827</v>
      </c>
      <c r="N126" s="73">
        <v>45917</v>
      </c>
      <c r="O126" s="74">
        <v>45918</v>
      </c>
      <c r="P126" s="75" t="s">
        <v>188</v>
      </c>
      <c r="Q126" s="76" t="s">
        <v>189</v>
      </c>
      <c r="R126" s="64" t="s">
        <v>98</v>
      </c>
      <c r="S126" s="77" t="s">
        <v>735</v>
      </c>
      <c r="T126" s="74" t="s">
        <v>100</v>
      </c>
      <c r="U126" s="64" t="s">
        <v>828</v>
      </c>
      <c r="V126" s="70" t="s">
        <v>130</v>
      </c>
      <c r="W126" s="78" t="s">
        <v>114</v>
      </c>
      <c r="X126" s="68" t="s">
        <v>165</v>
      </c>
      <c r="Y126" s="64">
        <v>1</v>
      </c>
      <c r="Z126" s="79">
        <v>0</v>
      </c>
      <c r="AA126" s="80">
        <f>'BASE FACTURACION 2025'!$C$3</f>
        <v>122645.45276000001</v>
      </c>
      <c r="AB126" s="80">
        <f>'BASE FACTURACION 2025'!$F$3</f>
        <v>65164.677720000007</v>
      </c>
      <c r="AC126" s="80">
        <f t="shared" si="1"/>
        <v>122645.45276000001</v>
      </c>
    </row>
    <row r="127" spans="1:29" ht="13.15">
      <c r="A127" s="64" t="s">
        <v>819</v>
      </c>
      <c r="B127" s="65" t="str">
        <f>VLOOKUP(A127,'CENTRO DE COSTOS'!A:D,4,FALSE)</f>
        <v>KEVIN ALEXIS CORZO BUSTOS</v>
      </c>
      <c r="C127" s="65" t="str">
        <f>VLOOKUP(A127,'CENTRO DE COSTOS'!A:D,2,FALSE)</f>
        <v>0004-0007</v>
      </c>
      <c r="D127" s="64">
        <v>85010</v>
      </c>
      <c r="E127" s="66" t="s">
        <v>829</v>
      </c>
      <c r="F127" s="67">
        <v>81491</v>
      </c>
      <c r="G127" s="68" t="s">
        <v>90</v>
      </c>
      <c r="H127" s="69" t="s">
        <v>183</v>
      </c>
      <c r="I127" s="67" t="s">
        <v>821</v>
      </c>
      <c r="J127" s="70" t="s">
        <v>830</v>
      </c>
      <c r="K127" s="67" t="s">
        <v>831</v>
      </c>
      <c r="L127" s="71" t="s">
        <v>95</v>
      </c>
      <c r="M127" s="72" t="s">
        <v>832</v>
      </c>
      <c r="N127" s="73">
        <v>45917</v>
      </c>
      <c r="O127" s="74">
        <v>45918</v>
      </c>
      <c r="P127" s="75" t="s">
        <v>188</v>
      </c>
      <c r="Q127" s="76" t="s">
        <v>189</v>
      </c>
      <c r="R127" s="64" t="s">
        <v>98</v>
      </c>
      <c r="S127" s="77" t="s">
        <v>735</v>
      </c>
      <c r="T127" s="74" t="s">
        <v>100</v>
      </c>
      <c r="U127" s="64" t="s">
        <v>833</v>
      </c>
      <c r="V127" s="70" t="s">
        <v>174</v>
      </c>
      <c r="W127" s="78" t="s">
        <v>114</v>
      </c>
      <c r="X127" s="68" t="s">
        <v>165</v>
      </c>
      <c r="Y127" s="64">
        <v>1</v>
      </c>
      <c r="Z127" s="79">
        <v>0</v>
      </c>
      <c r="AA127" s="80">
        <f>'BASE FACTURACION 2025'!$C$3</f>
        <v>122645.45276000001</v>
      </c>
      <c r="AB127" s="80">
        <f>'BASE FACTURACION 2025'!$F$3</f>
        <v>65164.677720000007</v>
      </c>
      <c r="AC127" s="80">
        <f t="shared" si="1"/>
        <v>122645.45276000001</v>
      </c>
    </row>
    <row r="128" spans="1:29" ht="13.15">
      <c r="A128" s="64" t="s">
        <v>819</v>
      </c>
      <c r="B128" s="65" t="str">
        <f>VLOOKUP(A128,'CENTRO DE COSTOS'!A:D,4,FALSE)</f>
        <v>KEVIN ALEXIS CORZO BUSTOS</v>
      </c>
      <c r="C128" s="65" t="str">
        <f>VLOOKUP(A128,'CENTRO DE COSTOS'!A:D,2,FALSE)</f>
        <v>0004-0007</v>
      </c>
      <c r="D128" s="64">
        <v>85225</v>
      </c>
      <c r="E128" s="66" t="s">
        <v>834</v>
      </c>
      <c r="F128" s="67">
        <v>81503</v>
      </c>
      <c r="G128" s="68" t="s">
        <v>90</v>
      </c>
      <c r="H128" s="69" t="s">
        <v>183</v>
      </c>
      <c r="I128" s="67" t="s">
        <v>821</v>
      </c>
      <c r="J128" s="70" t="s">
        <v>835</v>
      </c>
      <c r="K128" s="67" t="s">
        <v>836</v>
      </c>
      <c r="L128" s="71" t="s">
        <v>95</v>
      </c>
      <c r="M128" s="72" t="s">
        <v>837</v>
      </c>
      <c r="N128" s="73">
        <v>45917</v>
      </c>
      <c r="O128" s="74">
        <v>45919</v>
      </c>
      <c r="P128" s="75" t="s">
        <v>188</v>
      </c>
      <c r="Q128" s="76" t="s">
        <v>189</v>
      </c>
      <c r="R128" s="64" t="s">
        <v>98</v>
      </c>
      <c r="S128" s="77" t="s">
        <v>750</v>
      </c>
      <c r="T128" s="74" t="s">
        <v>100</v>
      </c>
      <c r="U128" s="64" t="s">
        <v>838</v>
      </c>
      <c r="V128" s="70" t="s">
        <v>174</v>
      </c>
      <c r="W128" s="78" t="s">
        <v>114</v>
      </c>
      <c r="X128" s="68" t="s">
        <v>165</v>
      </c>
      <c r="Y128" s="64">
        <v>1</v>
      </c>
      <c r="Z128" s="79">
        <v>0</v>
      </c>
      <c r="AA128" s="80">
        <f>'BASE FACTURACION 2025'!$C$3</f>
        <v>122645.45276000001</v>
      </c>
      <c r="AB128" s="80">
        <f>'BASE FACTURACION 2025'!$F$3</f>
        <v>65164.677720000007</v>
      </c>
      <c r="AC128" s="80">
        <f t="shared" ref="AC128:AC190" si="2">AA128*Y128+AB128*Z128</f>
        <v>122645.45276000001</v>
      </c>
    </row>
    <row r="129" spans="1:29" ht="13.15">
      <c r="A129" s="64" t="s">
        <v>88</v>
      </c>
      <c r="B129" s="65" t="str">
        <f>VLOOKUP(A129,'CENTRO DE COSTOS'!A:D,4,FALSE)</f>
        <v>DIEGO FERNANDO HENAO CARDONA</v>
      </c>
      <c r="C129" s="65" t="str">
        <f>VLOOKUP(A129,'CENTRO DE COSTOS'!A:D,2,FALSE)</f>
        <v>0004-0003</v>
      </c>
      <c r="D129" s="64">
        <v>86749</v>
      </c>
      <c r="E129" s="66" t="s">
        <v>839</v>
      </c>
      <c r="F129" s="67">
        <v>81514</v>
      </c>
      <c r="G129" s="68" t="s">
        <v>90</v>
      </c>
      <c r="H129" s="69" t="s">
        <v>183</v>
      </c>
      <c r="I129" s="67" t="s">
        <v>184</v>
      </c>
      <c r="J129" s="70" t="s">
        <v>840</v>
      </c>
      <c r="K129" s="67" t="s">
        <v>841</v>
      </c>
      <c r="L129" s="71" t="s">
        <v>95</v>
      </c>
      <c r="M129" s="72" t="s">
        <v>842</v>
      </c>
      <c r="N129" s="73">
        <v>45917</v>
      </c>
      <c r="O129" s="74">
        <v>45919</v>
      </c>
      <c r="P129" s="75" t="s">
        <v>188</v>
      </c>
      <c r="Q129" s="76" t="s">
        <v>189</v>
      </c>
      <c r="R129" s="64" t="s">
        <v>98</v>
      </c>
      <c r="S129" s="77" t="s">
        <v>750</v>
      </c>
      <c r="T129" s="74" t="s">
        <v>100</v>
      </c>
      <c r="U129" s="64" t="s">
        <v>843</v>
      </c>
      <c r="V129" s="70" t="s">
        <v>113</v>
      </c>
      <c r="W129" s="78" t="s">
        <v>114</v>
      </c>
      <c r="X129" s="68" t="s">
        <v>242</v>
      </c>
      <c r="Y129" s="64">
        <v>1</v>
      </c>
      <c r="Z129" s="79">
        <v>0</v>
      </c>
      <c r="AA129" s="80">
        <f>'BASE FACTURACION 2025'!$C$3</f>
        <v>122645.45276000001</v>
      </c>
      <c r="AB129" s="80">
        <f>'BASE FACTURACION 2025'!$F$3</f>
        <v>65164.677720000007</v>
      </c>
      <c r="AC129" s="80">
        <f t="shared" si="2"/>
        <v>122645.45276000001</v>
      </c>
    </row>
    <row r="130" spans="1:29" ht="13.15">
      <c r="A130" s="64" t="s">
        <v>200</v>
      </c>
      <c r="B130" s="65" t="str">
        <f>VLOOKUP(A130,'CENTRO DE COSTOS'!A:D,4,FALSE)</f>
        <v>JUAN SEBASTIÁN RÍOS CASTRILLÓN</v>
      </c>
      <c r="C130" s="65" t="str">
        <f>VLOOKUP(A130,'CENTRO DE COSTOS'!A:D,2,FALSE)</f>
        <v>0004-0005</v>
      </c>
      <c r="D130" s="64">
        <v>5045</v>
      </c>
      <c r="E130" s="66" t="s">
        <v>844</v>
      </c>
      <c r="F130" s="67">
        <v>81497</v>
      </c>
      <c r="G130" s="68" t="s">
        <v>90</v>
      </c>
      <c r="H130" s="69" t="s">
        <v>183</v>
      </c>
      <c r="I130" s="67" t="s">
        <v>194</v>
      </c>
      <c r="J130" s="70" t="s">
        <v>200</v>
      </c>
      <c r="K130" s="67" t="s">
        <v>845</v>
      </c>
      <c r="L130" s="71" t="s">
        <v>95</v>
      </c>
      <c r="M130" s="72" t="s">
        <v>846</v>
      </c>
      <c r="N130" s="73">
        <v>45917</v>
      </c>
      <c r="O130" s="74">
        <v>45924</v>
      </c>
      <c r="P130" s="75" t="s">
        <v>188</v>
      </c>
      <c r="Q130" s="76" t="s">
        <v>189</v>
      </c>
      <c r="R130" s="64" t="s">
        <v>98</v>
      </c>
      <c r="S130" s="77" t="s">
        <v>847</v>
      </c>
      <c r="T130" s="74" t="s">
        <v>100</v>
      </c>
      <c r="U130" s="64" t="s">
        <v>848</v>
      </c>
      <c r="V130" s="70" t="s">
        <v>130</v>
      </c>
      <c r="W130" s="78" t="s">
        <v>114</v>
      </c>
      <c r="X130" s="68" t="s">
        <v>207</v>
      </c>
      <c r="Y130" s="64">
        <v>1</v>
      </c>
      <c r="Z130" s="79">
        <v>0</v>
      </c>
      <c r="AA130" s="80">
        <f>'BASE FACTURACION 2025'!$C$3</f>
        <v>122645.45276000001</v>
      </c>
      <c r="AB130" s="80">
        <f>'BASE FACTURACION 2025'!$F$3</f>
        <v>65164.677720000007</v>
      </c>
      <c r="AC130" s="80">
        <f t="shared" si="2"/>
        <v>122645.45276000001</v>
      </c>
    </row>
    <row r="131" spans="1:29" ht="13.15">
      <c r="A131" s="64" t="s">
        <v>200</v>
      </c>
      <c r="B131" s="65" t="str">
        <f>VLOOKUP(A131,'CENTRO DE COSTOS'!A:D,4,FALSE)</f>
        <v>JUAN SEBASTIÁN RÍOS CASTRILLÓN</v>
      </c>
      <c r="C131" s="65" t="str">
        <f>VLOOKUP(A131,'CENTRO DE COSTOS'!A:D,2,FALSE)</f>
        <v>0004-0005</v>
      </c>
      <c r="D131" s="64">
        <v>5045</v>
      </c>
      <c r="E131" s="66" t="s">
        <v>849</v>
      </c>
      <c r="F131" s="67">
        <v>81496</v>
      </c>
      <c r="G131" s="68" t="s">
        <v>90</v>
      </c>
      <c r="H131" s="69" t="s">
        <v>183</v>
      </c>
      <c r="I131" s="67" t="s">
        <v>194</v>
      </c>
      <c r="J131" s="70" t="s">
        <v>200</v>
      </c>
      <c r="K131" s="67" t="s">
        <v>850</v>
      </c>
      <c r="L131" s="71" t="s">
        <v>95</v>
      </c>
      <c r="M131" s="72" t="s">
        <v>851</v>
      </c>
      <c r="N131" s="73">
        <v>45917</v>
      </c>
      <c r="O131" s="74">
        <v>45919</v>
      </c>
      <c r="P131" s="75" t="s">
        <v>188</v>
      </c>
      <c r="Q131" s="76" t="s">
        <v>189</v>
      </c>
      <c r="R131" s="64" t="s">
        <v>98</v>
      </c>
      <c r="S131" s="77" t="s">
        <v>750</v>
      </c>
      <c r="T131" s="74" t="s">
        <v>100</v>
      </c>
      <c r="U131" s="64" t="s">
        <v>852</v>
      </c>
      <c r="V131" s="70" t="s">
        <v>130</v>
      </c>
      <c r="W131" s="78" t="s">
        <v>114</v>
      </c>
      <c r="X131" s="68" t="s">
        <v>207</v>
      </c>
      <c r="Y131" s="64">
        <v>1</v>
      </c>
      <c r="Z131" s="79">
        <v>0</v>
      </c>
      <c r="AA131" s="80">
        <f>'BASE FACTURACION 2025'!$C$3</f>
        <v>122645.45276000001</v>
      </c>
      <c r="AB131" s="80">
        <f>'BASE FACTURACION 2025'!$F$3</f>
        <v>65164.677720000007</v>
      </c>
      <c r="AC131" s="80">
        <f t="shared" si="2"/>
        <v>122645.45276000001</v>
      </c>
    </row>
    <row r="132" spans="1:29" ht="13.15">
      <c r="A132" s="64" t="s">
        <v>200</v>
      </c>
      <c r="B132" s="65" t="str">
        <f>VLOOKUP(A132,'CENTRO DE COSTOS'!A:D,4,FALSE)</f>
        <v>JUAN SEBASTIÁN RÍOS CASTRILLÓN</v>
      </c>
      <c r="C132" s="65" t="str">
        <f>VLOOKUP(A132,'CENTRO DE COSTOS'!A:D,2,FALSE)</f>
        <v>0004-0005</v>
      </c>
      <c r="D132" s="64">
        <v>5045</v>
      </c>
      <c r="E132" s="66" t="s">
        <v>853</v>
      </c>
      <c r="F132" s="67">
        <v>81499</v>
      </c>
      <c r="G132" s="68" t="s">
        <v>90</v>
      </c>
      <c r="H132" s="69" t="s">
        <v>183</v>
      </c>
      <c r="I132" s="67" t="s">
        <v>194</v>
      </c>
      <c r="J132" s="70" t="s">
        <v>200</v>
      </c>
      <c r="K132" s="67" t="s">
        <v>854</v>
      </c>
      <c r="L132" s="71" t="s">
        <v>95</v>
      </c>
      <c r="M132" s="72" t="s">
        <v>855</v>
      </c>
      <c r="N132" s="73">
        <v>45917</v>
      </c>
      <c r="O132" s="74">
        <v>45918</v>
      </c>
      <c r="P132" s="75" t="s">
        <v>188</v>
      </c>
      <c r="Q132" s="76" t="s">
        <v>189</v>
      </c>
      <c r="R132" s="64" t="s">
        <v>98</v>
      </c>
      <c r="S132" s="77" t="s">
        <v>735</v>
      </c>
      <c r="T132" s="74" t="s">
        <v>100</v>
      </c>
      <c r="U132" s="64" t="s">
        <v>856</v>
      </c>
      <c r="V132" s="70" t="s">
        <v>130</v>
      </c>
      <c r="W132" s="78" t="s">
        <v>114</v>
      </c>
      <c r="X132" s="68" t="s">
        <v>207</v>
      </c>
      <c r="Y132" s="64">
        <v>1</v>
      </c>
      <c r="Z132" s="79">
        <v>0</v>
      </c>
      <c r="AA132" s="80">
        <f>'BASE FACTURACION 2025'!$C$3</f>
        <v>122645.45276000001</v>
      </c>
      <c r="AB132" s="80">
        <f>'BASE FACTURACION 2025'!$F$3</f>
        <v>65164.677720000007</v>
      </c>
      <c r="AC132" s="80">
        <f t="shared" si="2"/>
        <v>122645.45276000001</v>
      </c>
    </row>
    <row r="133" spans="1:29" ht="13.15">
      <c r="A133" s="64" t="s">
        <v>200</v>
      </c>
      <c r="B133" s="65" t="str">
        <f>VLOOKUP(A133,'CENTRO DE COSTOS'!A:D,4,FALSE)</f>
        <v>JUAN SEBASTIÁN RÍOS CASTRILLÓN</v>
      </c>
      <c r="C133" s="65" t="str">
        <f>VLOOKUP(A133,'CENTRO DE COSTOS'!A:D,2,FALSE)</f>
        <v>0004-0005</v>
      </c>
      <c r="D133" s="64">
        <v>5045</v>
      </c>
      <c r="E133" s="66" t="s">
        <v>857</v>
      </c>
      <c r="F133" s="67">
        <v>81498</v>
      </c>
      <c r="G133" s="68" t="s">
        <v>90</v>
      </c>
      <c r="H133" s="69" t="s">
        <v>183</v>
      </c>
      <c r="I133" s="67" t="s">
        <v>194</v>
      </c>
      <c r="J133" s="70" t="s">
        <v>200</v>
      </c>
      <c r="K133" s="67" t="s">
        <v>858</v>
      </c>
      <c r="L133" s="71" t="s">
        <v>95</v>
      </c>
      <c r="M133" s="72" t="s">
        <v>859</v>
      </c>
      <c r="N133" s="73">
        <v>45917</v>
      </c>
      <c r="O133" s="74">
        <v>45918</v>
      </c>
      <c r="P133" s="75" t="s">
        <v>188</v>
      </c>
      <c r="Q133" s="76" t="s">
        <v>189</v>
      </c>
      <c r="R133" s="64" t="s">
        <v>98</v>
      </c>
      <c r="S133" s="77" t="s">
        <v>735</v>
      </c>
      <c r="T133" s="74" t="s">
        <v>100</v>
      </c>
      <c r="U133" s="64" t="s">
        <v>860</v>
      </c>
      <c r="V133" s="70" t="s">
        <v>130</v>
      </c>
      <c r="W133" s="78" t="s">
        <v>114</v>
      </c>
      <c r="X133" s="68" t="s">
        <v>207</v>
      </c>
      <c r="Y133" s="64">
        <v>1</v>
      </c>
      <c r="Z133" s="79">
        <v>0</v>
      </c>
      <c r="AA133" s="80">
        <f>'BASE FACTURACION 2025'!$C$3</f>
        <v>122645.45276000001</v>
      </c>
      <c r="AB133" s="80">
        <f>'BASE FACTURACION 2025'!$F$3</f>
        <v>65164.677720000007</v>
      </c>
      <c r="AC133" s="80">
        <f t="shared" si="2"/>
        <v>122645.45276000001</v>
      </c>
    </row>
    <row r="134" spans="1:29" ht="13.15">
      <c r="A134" s="64" t="s">
        <v>359</v>
      </c>
      <c r="B134" s="65" t="str">
        <f>VLOOKUP(A134,'CENTRO DE COSTOS'!A:D,4,FALSE)</f>
        <v>WILLIAM ASDRUBAL ROZO ROZO</v>
      </c>
      <c r="C134" s="65" t="str">
        <f>VLOOKUP(A134,'CENTRO DE COSTOS'!A:D,2,FALSE)</f>
        <v>0004-0004</v>
      </c>
      <c r="D134" s="64">
        <v>11001</v>
      </c>
      <c r="E134" s="66" t="s">
        <v>861</v>
      </c>
      <c r="F134" s="67">
        <v>81493</v>
      </c>
      <c r="G134" s="68" t="s">
        <v>90</v>
      </c>
      <c r="H134" s="69" t="s">
        <v>183</v>
      </c>
      <c r="I134" s="67" t="s">
        <v>361</v>
      </c>
      <c r="J134" s="70" t="s">
        <v>359</v>
      </c>
      <c r="K134" s="67" t="s">
        <v>862</v>
      </c>
      <c r="L134" s="71" t="s">
        <v>95</v>
      </c>
      <c r="M134" s="72" t="s">
        <v>863</v>
      </c>
      <c r="N134" s="73">
        <v>45917</v>
      </c>
      <c r="O134" s="74">
        <v>45918</v>
      </c>
      <c r="P134" s="75" t="s">
        <v>188</v>
      </c>
      <c r="Q134" s="76" t="s">
        <v>189</v>
      </c>
      <c r="R134" s="64" t="s">
        <v>98</v>
      </c>
      <c r="S134" s="77" t="s">
        <v>735</v>
      </c>
      <c r="T134" s="74" t="s">
        <v>100</v>
      </c>
      <c r="U134" s="64" t="s">
        <v>864</v>
      </c>
      <c r="V134" s="70" t="s">
        <v>130</v>
      </c>
      <c r="W134" s="78" t="s">
        <v>114</v>
      </c>
      <c r="X134" s="68" t="s">
        <v>372</v>
      </c>
      <c r="Y134" s="64">
        <v>1</v>
      </c>
      <c r="Z134" s="79">
        <v>0</v>
      </c>
      <c r="AA134" s="80">
        <f>'BASE FACTURACION 2025'!$C$3</f>
        <v>122645.45276000001</v>
      </c>
      <c r="AB134" s="80">
        <f>'BASE FACTURACION 2025'!$F$3</f>
        <v>65164.677720000007</v>
      </c>
      <c r="AC134" s="80">
        <f t="shared" si="2"/>
        <v>122645.45276000001</v>
      </c>
    </row>
    <row r="135" spans="1:29" ht="13.15">
      <c r="A135" s="64" t="s">
        <v>359</v>
      </c>
      <c r="B135" s="65" t="str">
        <f>VLOOKUP(A135,'CENTRO DE COSTOS'!A:D,4,FALSE)</f>
        <v>WILLIAM ASDRUBAL ROZO ROZO</v>
      </c>
      <c r="C135" s="65" t="str">
        <f>VLOOKUP(A135,'CENTRO DE COSTOS'!A:D,2,FALSE)</f>
        <v>0004-0004</v>
      </c>
      <c r="D135" s="64">
        <v>11001</v>
      </c>
      <c r="E135" s="66" t="s">
        <v>865</v>
      </c>
      <c r="F135" s="67">
        <v>81494</v>
      </c>
      <c r="G135" s="68" t="s">
        <v>90</v>
      </c>
      <c r="H135" s="69" t="s">
        <v>183</v>
      </c>
      <c r="I135" s="67" t="s">
        <v>361</v>
      </c>
      <c r="J135" s="70" t="s">
        <v>359</v>
      </c>
      <c r="K135" s="67" t="s">
        <v>866</v>
      </c>
      <c r="L135" s="71" t="s">
        <v>95</v>
      </c>
      <c r="M135" s="72" t="s">
        <v>867</v>
      </c>
      <c r="N135" s="73">
        <v>45917</v>
      </c>
      <c r="O135" s="74">
        <v>45918</v>
      </c>
      <c r="P135" s="75" t="s">
        <v>188</v>
      </c>
      <c r="Q135" s="76" t="s">
        <v>189</v>
      </c>
      <c r="R135" s="64" t="s">
        <v>98</v>
      </c>
      <c r="S135" s="77" t="s">
        <v>735</v>
      </c>
      <c r="T135" s="74" t="s">
        <v>100</v>
      </c>
      <c r="U135" s="64" t="s">
        <v>868</v>
      </c>
      <c r="V135" s="70" t="s">
        <v>130</v>
      </c>
      <c r="W135" s="78" t="s">
        <v>114</v>
      </c>
      <c r="X135" s="68" t="s">
        <v>869</v>
      </c>
      <c r="Y135" s="64">
        <v>1</v>
      </c>
      <c r="Z135" s="79">
        <v>0</v>
      </c>
      <c r="AA135" s="80">
        <f>'BASE FACTURACION 2025'!$C$3</f>
        <v>122645.45276000001</v>
      </c>
      <c r="AB135" s="80">
        <f>'BASE FACTURACION 2025'!$F$3</f>
        <v>65164.677720000007</v>
      </c>
      <c r="AC135" s="80">
        <f t="shared" si="2"/>
        <v>122645.45276000001</v>
      </c>
    </row>
    <row r="136" spans="1:29" ht="13.15">
      <c r="A136" s="64" t="s">
        <v>200</v>
      </c>
      <c r="B136" s="65" t="str">
        <f>VLOOKUP(A136,'CENTRO DE COSTOS'!A:D,4,FALSE)</f>
        <v>JUAN SEBASTIÁN RÍOS CASTRILLÓN</v>
      </c>
      <c r="C136" s="65" t="str">
        <f>VLOOKUP(A136,'CENTRO DE COSTOS'!A:D,2,FALSE)</f>
        <v>0004-0005</v>
      </c>
      <c r="D136" s="64">
        <v>27493</v>
      </c>
      <c r="E136" s="66" t="s">
        <v>870</v>
      </c>
      <c r="F136" s="67">
        <v>81520</v>
      </c>
      <c r="G136" s="68" t="s">
        <v>90</v>
      </c>
      <c r="H136" s="69" t="s">
        <v>183</v>
      </c>
      <c r="I136" s="67" t="s">
        <v>871</v>
      </c>
      <c r="J136" s="70" t="s">
        <v>872</v>
      </c>
      <c r="K136" s="67" t="s">
        <v>873</v>
      </c>
      <c r="L136" s="71" t="s">
        <v>95</v>
      </c>
      <c r="M136" s="72" t="s">
        <v>874</v>
      </c>
      <c r="N136" s="73">
        <v>45917</v>
      </c>
      <c r="O136" s="74">
        <v>45923</v>
      </c>
      <c r="P136" s="75" t="s">
        <v>188</v>
      </c>
      <c r="Q136" s="76" t="s">
        <v>189</v>
      </c>
      <c r="R136" s="64" t="s">
        <v>98</v>
      </c>
      <c r="S136" s="77" t="s">
        <v>875</v>
      </c>
      <c r="T136" s="74" t="s">
        <v>100</v>
      </c>
      <c r="U136" s="64" t="s">
        <v>876</v>
      </c>
      <c r="V136" s="70" t="s">
        <v>122</v>
      </c>
      <c r="W136" s="78" t="s">
        <v>114</v>
      </c>
      <c r="X136" s="68" t="s">
        <v>207</v>
      </c>
      <c r="Y136" s="64">
        <v>1</v>
      </c>
      <c r="Z136" s="79">
        <v>0</v>
      </c>
      <c r="AA136" s="80">
        <f>'BASE FACTURACION 2025'!$C$3</f>
        <v>122645.45276000001</v>
      </c>
      <c r="AB136" s="80">
        <f>'BASE FACTURACION 2025'!$F$3</f>
        <v>65164.677720000007</v>
      </c>
      <c r="AC136" s="80">
        <f t="shared" si="2"/>
        <v>122645.45276000001</v>
      </c>
    </row>
    <row r="137" spans="1:29" ht="13.15">
      <c r="A137" s="64" t="s">
        <v>208</v>
      </c>
      <c r="B137" s="65" t="str">
        <f>VLOOKUP(A137,'CENTRO DE COSTOS'!A:D,4,FALSE)</f>
        <v>JUAN SEBASTIÁN RÍOS CASTRILLÓN</v>
      </c>
      <c r="C137" s="65" t="str">
        <f>VLOOKUP(A137,'CENTRO DE COSTOS'!A:D,2,FALSE)</f>
        <v>0004-0005</v>
      </c>
      <c r="D137" s="64">
        <v>5001</v>
      </c>
      <c r="E137" s="66" t="s">
        <v>877</v>
      </c>
      <c r="F137" s="67">
        <v>81534</v>
      </c>
      <c r="G137" s="68" t="s">
        <v>90</v>
      </c>
      <c r="H137" s="69" t="s">
        <v>183</v>
      </c>
      <c r="I137" s="67" t="s">
        <v>194</v>
      </c>
      <c r="J137" s="70" t="s">
        <v>208</v>
      </c>
      <c r="K137" s="67" t="s">
        <v>878</v>
      </c>
      <c r="L137" s="71" t="s">
        <v>95</v>
      </c>
      <c r="M137" s="72" t="s">
        <v>879</v>
      </c>
      <c r="N137" s="73">
        <v>45919</v>
      </c>
      <c r="O137" s="74">
        <v>45922</v>
      </c>
      <c r="P137" s="75" t="s">
        <v>188</v>
      </c>
      <c r="Q137" s="76" t="s">
        <v>305</v>
      </c>
      <c r="R137" s="64" t="s">
        <v>98</v>
      </c>
      <c r="S137" s="77" t="s">
        <v>880</v>
      </c>
      <c r="T137" s="74" t="s">
        <v>100</v>
      </c>
      <c r="U137" s="64" t="s">
        <v>881</v>
      </c>
      <c r="V137" s="70" t="s">
        <v>130</v>
      </c>
      <c r="W137" s="78" t="s">
        <v>114</v>
      </c>
      <c r="X137" s="68" t="s">
        <v>214</v>
      </c>
      <c r="Y137" s="64">
        <v>1</v>
      </c>
      <c r="Z137" s="79">
        <v>0</v>
      </c>
      <c r="AA137" s="80">
        <f>'BASE FACTURACION 2025'!$C$3</f>
        <v>122645.45276000001</v>
      </c>
      <c r="AB137" s="80">
        <f>'BASE FACTURACION 2025'!$F$3</f>
        <v>65164.677720000007</v>
      </c>
      <c r="AC137" s="80">
        <f t="shared" si="2"/>
        <v>122645.45276000001</v>
      </c>
    </row>
    <row r="138" spans="1:29" ht="13.15">
      <c r="A138" s="64" t="s">
        <v>208</v>
      </c>
      <c r="B138" s="65" t="str">
        <f>VLOOKUP(A138,'CENTRO DE COSTOS'!A:D,4,FALSE)</f>
        <v>JUAN SEBASTIÁN RÍOS CASTRILLÓN</v>
      </c>
      <c r="C138" s="65" t="str">
        <f>VLOOKUP(A138,'CENTRO DE COSTOS'!A:D,2,FALSE)</f>
        <v>0004-0005</v>
      </c>
      <c r="D138" s="64">
        <v>5001</v>
      </c>
      <c r="E138" s="66" t="s">
        <v>882</v>
      </c>
      <c r="F138" s="67">
        <v>81533</v>
      </c>
      <c r="G138" s="68" t="s">
        <v>90</v>
      </c>
      <c r="H138" s="69" t="s">
        <v>183</v>
      </c>
      <c r="I138" s="67" t="s">
        <v>194</v>
      </c>
      <c r="J138" s="70" t="s">
        <v>208</v>
      </c>
      <c r="K138" s="67" t="s">
        <v>883</v>
      </c>
      <c r="L138" s="71" t="s">
        <v>95</v>
      </c>
      <c r="M138" s="72" t="s">
        <v>884</v>
      </c>
      <c r="N138" s="73">
        <v>45919</v>
      </c>
      <c r="O138" s="74">
        <v>45922</v>
      </c>
      <c r="P138" s="75" t="s">
        <v>188</v>
      </c>
      <c r="Q138" s="76" t="s">
        <v>305</v>
      </c>
      <c r="R138" s="64" t="s">
        <v>98</v>
      </c>
      <c r="S138" s="77" t="s">
        <v>880</v>
      </c>
      <c r="T138" s="74" t="s">
        <v>100</v>
      </c>
      <c r="U138" s="64" t="s">
        <v>885</v>
      </c>
      <c r="V138" s="70" t="s">
        <v>130</v>
      </c>
      <c r="W138" s="78" t="s">
        <v>114</v>
      </c>
      <c r="X138" s="68" t="s">
        <v>214</v>
      </c>
      <c r="Y138" s="64">
        <v>1</v>
      </c>
      <c r="Z138" s="79">
        <v>0</v>
      </c>
      <c r="AA138" s="80">
        <f>'BASE FACTURACION 2025'!$C$3</f>
        <v>122645.45276000001</v>
      </c>
      <c r="AB138" s="80">
        <f>'BASE FACTURACION 2025'!$F$3</f>
        <v>65164.677720000007</v>
      </c>
      <c r="AC138" s="80">
        <f t="shared" si="2"/>
        <v>122645.45276000001</v>
      </c>
    </row>
    <row r="139" spans="1:29" ht="13.15">
      <c r="A139" s="64" t="s">
        <v>208</v>
      </c>
      <c r="B139" s="65" t="str">
        <f>VLOOKUP(A139,'CENTRO DE COSTOS'!A:D,4,FALSE)</f>
        <v>JUAN SEBASTIÁN RÍOS CASTRILLÓN</v>
      </c>
      <c r="C139" s="65" t="str">
        <f>VLOOKUP(A139,'CENTRO DE COSTOS'!A:D,2,FALSE)</f>
        <v>0004-0005</v>
      </c>
      <c r="D139" s="64">
        <v>5088</v>
      </c>
      <c r="E139" s="66" t="s">
        <v>886</v>
      </c>
      <c r="F139" s="67">
        <v>81532</v>
      </c>
      <c r="G139" s="68" t="s">
        <v>90</v>
      </c>
      <c r="H139" s="69" t="s">
        <v>183</v>
      </c>
      <c r="I139" s="67" t="s">
        <v>194</v>
      </c>
      <c r="J139" s="70" t="s">
        <v>325</v>
      </c>
      <c r="K139" s="67" t="s">
        <v>887</v>
      </c>
      <c r="L139" s="71" t="s">
        <v>95</v>
      </c>
      <c r="M139" s="72" t="s">
        <v>888</v>
      </c>
      <c r="N139" s="73">
        <v>45919</v>
      </c>
      <c r="O139" s="74">
        <v>45923</v>
      </c>
      <c r="P139" s="75" t="s">
        <v>188</v>
      </c>
      <c r="Q139" s="76" t="s">
        <v>305</v>
      </c>
      <c r="R139" s="64" t="s">
        <v>98</v>
      </c>
      <c r="S139" s="77" t="s">
        <v>889</v>
      </c>
      <c r="T139" s="74" t="s">
        <v>100</v>
      </c>
      <c r="U139" s="64" t="s">
        <v>890</v>
      </c>
      <c r="V139" s="70" t="s">
        <v>130</v>
      </c>
      <c r="W139" s="78" t="s">
        <v>114</v>
      </c>
      <c r="X139" s="68" t="s">
        <v>609</v>
      </c>
      <c r="Y139" s="64">
        <v>1</v>
      </c>
      <c r="Z139" s="79">
        <v>0</v>
      </c>
      <c r="AA139" s="80">
        <f>'BASE FACTURACION 2025'!$C$3</f>
        <v>122645.45276000001</v>
      </c>
      <c r="AB139" s="80">
        <f>'BASE FACTURACION 2025'!$F$3</f>
        <v>65164.677720000007</v>
      </c>
      <c r="AC139" s="80">
        <f t="shared" si="2"/>
        <v>122645.45276000001</v>
      </c>
    </row>
    <row r="140" spans="1:29" ht="13.15">
      <c r="A140" s="64" t="s">
        <v>208</v>
      </c>
      <c r="B140" s="65" t="str">
        <f>VLOOKUP(A140,'CENTRO DE COSTOS'!A:D,4,FALSE)</f>
        <v>JUAN SEBASTIÁN RÍOS CASTRILLÓN</v>
      </c>
      <c r="C140" s="65" t="str">
        <f>VLOOKUP(A140,'CENTRO DE COSTOS'!A:D,2,FALSE)</f>
        <v>0004-0005</v>
      </c>
      <c r="D140" s="64">
        <v>5088</v>
      </c>
      <c r="E140" s="66" t="s">
        <v>891</v>
      </c>
      <c r="F140" s="67">
        <v>81531</v>
      </c>
      <c r="G140" s="68" t="s">
        <v>90</v>
      </c>
      <c r="H140" s="69" t="s">
        <v>183</v>
      </c>
      <c r="I140" s="67" t="s">
        <v>194</v>
      </c>
      <c r="J140" s="70" t="s">
        <v>325</v>
      </c>
      <c r="K140" s="67" t="s">
        <v>892</v>
      </c>
      <c r="L140" s="71" t="s">
        <v>95</v>
      </c>
      <c r="M140" s="72" t="s">
        <v>893</v>
      </c>
      <c r="N140" s="73">
        <v>45919</v>
      </c>
      <c r="O140" s="74">
        <v>45923</v>
      </c>
      <c r="P140" s="75" t="s">
        <v>188</v>
      </c>
      <c r="Q140" s="76" t="s">
        <v>305</v>
      </c>
      <c r="R140" s="64" t="s">
        <v>98</v>
      </c>
      <c r="S140" s="77" t="s">
        <v>889</v>
      </c>
      <c r="T140" s="74" t="s">
        <v>100</v>
      </c>
      <c r="U140" s="64" t="s">
        <v>894</v>
      </c>
      <c r="V140" s="70" t="s">
        <v>130</v>
      </c>
      <c r="W140" s="78" t="s">
        <v>114</v>
      </c>
      <c r="X140" s="68" t="s">
        <v>609</v>
      </c>
      <c r="Y140" s="64">
        <v>1</v>
      </c>
      <c r="Z140" s="79">
        <v>0</v>
      </c>
      <c r="AA140" s="80">
        <f>'BASE FACTURACION 2025'!$C$3</f>
        <v>122645.45276000001</v>
      </c>
      <c r="AB140" s="80">
        <f>'BASE FACTURACION 2025'!$F$3</f>
        <v>65164.677720000007</v>
      </c>
      <c r="AC140" s="80">
        <f t="shared" si="2"/>
        <v>122645.45276000001</v>
      </c>
    </row>
    <row r="141" spans="1:29" ht="13.15">
      <c r="A141" s="64" t="s">
        <v>208</v>
      </c>
      <c r="B141" s="65" t="str">
        <f>VLOOKUP(A141,'CENTRO DE COSTOS'!A:D,4,FALSE)</f>
        <v>JUAN SEBASTIÁN RÍOS CASTRILLÓN</v>
      </c>
      <c r="C141" s="65" t="str">
        <f>VLOOKUP(A141,'CENTRO DE COSTOS'!A:D,2,FALSE)</f>
        <v>0004-0005</v>
      </c>
      <c r="D141" s="64">
        <v>5129</v>
      </c>
      <c r="E141" s="66" t="s">
        <v>895</v>
      </c>
      <c r="F141" s="67">
        <v>81523</v>
      </c>
      <c r="G141" s="68" t="s">
        <v>90</v>
      </c>
      <c r="H141" s="69" t="s">
        <v>183</v>
      </c>
      <c r="I141" s="67" t="s">
        <v>194</v>
      </c>
      <c r="J141" s="70" t="s">
        <v>217</v>
      </c>
      <c r="K141" s="67" t="s">
        <v>896</v>
      </c>
      <c r="L141" s="71" t="s">
        <v>95</v>
      </c>
      <c r="M141" s="72" t="s">
        <v>897</v>
      </c>
      <c r="N141" s="73">
        <v>45919</v>
      </c>
      <c r="O141" s="74">
        <v>45922</v>
      </c>
      <c r="P141" s="75" t="s">
        <v>188</v>
      </c>
      <c r="Q141" s="76" t="s">
        <v>305</v>
      </c>
      <c r="R141" s="64" t="s">
        <v>98</v>
      </c>
      <c r="S141" s="77" t="s">
        <v>880</v>
      </c>
      <c r="T141" s="74" t="s">
        <v>100</v>
      </c>
      <c r="U141" s="64" t="s">
        <v>898</v>
      </c>
      <c r="V141" s="70" t="s">
        <v>130</v>
      </c>
      <c r="W141" s="78" t="s">
        <v>114</v>
      </c>
      <c r="X141" s="68" t="s">
        <v>609</v>
      </c>
      <c r="Y141" s="64">
        <v>1</v>
      </c>
      <c r="Z141" s="79">
        <v>0</v>
      </c>
      <c r="AA141" s="80">
        <f>'BASE FACTURACION 2025'!$C$3</f>
        <v>122645.45276000001</v>
      </c>
      <c r="AB141" s="80">
        <f>'BASE FACTURACION 2025'!$F$3</f>
        <v>65164.677720000007</v>
      </c>
      <c r="AC141" s="80">
        <f t="shared" si="2"/>
        <v>122645.45276000001</v>
      </c>
    </row>
    <row r="142" spans="1:29" ht="13.15">
      <c r="A142" s="64" t="s">
        <v>208</v>
      </c>
      <c r="B142" s="65" t="str">
        <f>VLOOKUP(A142,'CENTRO DE COSTOS'!A:D,4,FALSE)</f>
        <v>JUAN SEBASTIÁN RÍOS CASTRILLÓN</v>
      </c>
      <c r="C142" s="65" t="str">
        <f>VLOOKUP(A142,'CENTRO DE COSTOS'!A:D,2,FALSE)</f>
        <v>0004-0005</v>
      </c>
      <c r="D142" s="64">
        <v>5604</v>
      </c>
      <c r="E142" s="66" t="s">
        <v>899</v>
      </c>
      <c r="F142" s="67">
        <v>81528</v>
      </c>
      <c r="G142" s="68" t="s">
        <v>90</v>
      </c>
      <c r="H142" s="69" t="s">
        <v>183</v>
      </c>
      <c r="I142" s="67" t="s">
        <v>194</v>
      </c>
      <c r="J142" s="70" t="s">
        <v>900</v>
      </c>
      <c r="K142" s="67" t="s">
        <v>901</v>
      </c>
      <c r="L142" s="71" t="s">
        <v>95</v>
      </c>
      <c r="M142" s="72" t="s">
        <v>902</v>
      </c>
      <c r="N142" s="73">
        <v>45919</v>
      </c>
      <c r="O142" s="74">
        <v>45923</v>
      </c>
      <c r="P142" s="75" t="s">
        <v>188</v>
      </c>
      <c r="Q142" s="76" t="s">
        <v>305</v>
      </c>
      <c r="R142" s="64" t="s">
        <v>98</v>
      </c>
      <c r="S142" s="77" t="s">
        <v>889</v>
      </c>
      <c r="T142" s="74" t="s">
        <v>100</v>
      </c>
      <c r="U142" s="64" t="s">
        <v>903</v>
      </c>
      <c r="V142" s="70" t="s">
        <v>122</v>
      </c>
      <c r="W142" s="78" t="s">
        <v>114</v>
      </c>
      <c r="X142" s="68" t="s">
        <v>314</v>
      </c>
      <c r="Y142" s="64">
        <v>1</v>
      </c>
      <c r="Z142" s="79">
        <v>0</v>
      </c>
      <c r="AA142" s="80">
        <f>'BASE FACTURACION 2025'!$C$3</f>
        <v>122645.45276000001</v>
      </c>
      <c r="AB142" s="80">
        <f>'BASE FACTURACION 2025'!$F$3</f>
        <v>65164.677720000007</v>
      </c>
      <c r="AC142" s="80">
        <f t="shared" si="2"/>
        <v>122645.45276000001</v>
      </c>
    </row>
    <row r="143" spans="1:29" ht="13.15">
      <c r="A143" s="64" t="s">
        <v>148</v>
      </c>
      <c r="B143" s="65" t="str">
        <f>VLOOKUP(A143,'CENTRO DE COSTOS'!A:D,4,FALSE)</f>
        <v>KEVIN ALEXIS CORZO BUSTOS</v>
      </c>
      <c r="C143" s="65" t="str">
        <f>VLOOKUP(A143,'CENTRO DE COSTOS'!A:D,2,FALSE)</f>
        <v>0004-0007</v>
      </c>
      <c r="D143" s="64">
        <v>41298</v>
      </c>
      <c r="E143" s="66" t="s">
        <v>904</v>
      </c>
      <c r="F143" s="67">
        <v>81525</v>
      </c>
      <c r="G143" s="68" t="s">
        <v>90</v>
      </c>
      <c r="H143" s="69" t="s">
        <v>183</v>
      </c>
      <c r="I143" s="67" t="s">
        <v>374</v>
      </c>
      <c r="J143" s="70" t="s">
        <v>905</v>
      </c>
      <c r="K143" s="67" t="s">
        <v>906</v>
      </c>
      <c r="L143" s="71" t="s">
        <v>95</v>
      </c>
      <c r="M143" s="72" t="s">
        <v>907</v>
      </c>
      <c r="N143" s="73">
        <v>45919</v>
      </c>
      <c r="O143" s="74">
        <v>45923</v>
      </c>
      <c r="P143" s="75" t="s">
        <v>188</v>
      </c>
      <c r="Q143" s="76" t="s">
        <v>305</v>
      </c>
      <c r="R143" s="64" t="s">
        <v>98</v>
      </c>
      <c r="S143" s="77" t="s">
        <v>889</v>
      </c>
      <c r="T143" s="74" t="s">
        <v>100</v>
      </c>
      <c r="U143" s="64" t="s">
        <v>908</v>
      </c>
      <c r="V143" s="70" t="s">
        <v>113</v>
      </c>
      <c r="W143" s="78" t="s">
        <v>114</v>
      </c>
      <c r="X143" s="68" t="s">
        <v>380</v>
      </c>
      <c r="Y143" s="64">
        <v>1</v>
      </c>
      <c r="Z143" s="79">
        <v>0</v>
      </c>
      <c r="AA143" s="80">
        <f>'BASE FACTURACION 2025'!$C$3</f>
        <v>122645.45276000001</v>
      </c>
      <c r="AB143" s="80">
        <f>'BASE FACTURACION 2025'!$F$3</f>
        <v>65164.677720000007</v>
      </c>
      <c r="AC143" s="80">
        <f t="shared" si="2"/>
        <v>122645.45276000001</v>
      </c>
    </row>
    <row r="144" spans="1:29" ht="13.15">
      <c r="A144" s="64" t="s">
        <v>166</v>
      </c>
      <c r="B144" s="65" t="str">
        <f>VLOOKUP(A144,'CENTRO DE COSTOS'!A:D,4,FALSE)</f>
        <v>MIGUEL JULIÁN HERNÁNDEZ GUARÍN</v>
      </c>
      <c r="C144" s="65" t="str">
        <f>VLOOKUP(A144,'CENTRO DE COSTOS'!A:D,2,FALSE)</f>
        <v>0004-0008</v>
      </c>
      <c r="D144" s="64">
        <v>68406</v>
      </c>
      <c r="E144" s="66" t="s">
        <v>909</v>
      </c>
      <c r="F144" s="67">
        <v>81527</v>
      </c>
      <c r="G144" s="68" t="s">
        <v>90</v>
      </c>
      <c r="H144" s="69" t="s">
        <v>183</v>
      </c>
      <c r="I144" s="67" t="s">
        <v>168</v>
      </c>
      <c r="J144" s="70" t="s">
        <v>910</v>
      </c>
      <c r="K144" s="67" t="s">
        <v>911</v>
      </c>
      <c r="L144" s="71" t="s">
        <v>95</v>
      </c>
      <c r="M144" s="72" t="s">
        <v>912</v>
      </c>
      <c r="N144" s="73">
        <v>45919</v>
      </c>
      <c r="O144" s="74">
        <v>45922</v>
      </c>
      <c r="P144" s="75" t="s">
        <v>188</v>
      </c>
      <c r="Q144" s="76" t="s">
        <v>305</v>
      </c>
      <c r="R144" s="64" t="s">
        <v>98</v>
      </c>
      <c r="S144" s="77" t="s">
        <v>880</v>
      </c>
      <c r="T144" s="74" t="s">
        <v>100</v>
      </c>
      <c r="U144" s="64" t="s">
        <v>913</v>
      </c>
      <c r="V144" s="70" t="s">
        <v>174</v>
      </c>
      <c r="W144" s="78" t="s">
        <v>114</v>
      </c>
      <c r="X144" s="68" t="s">
        <v>175</v>
      </c>
      <c r="Y144" s="64">
        <v>1</v>
      </c>
      <c r="Z144" s="79">
        <v>0</v>
      </c>
      <c r="AA144" s="80">
        <f>'BASE FACTURACION 2025'!$C$3</f>
        <v>122645.45276000001</v>
      </c>
      <c r="AB144" s="80">
        <f>'BASE FACTURACION 2025'!$F$3</f>
        <v>65164.677720000007</v>
      </c>
      <c r="AC144" s="80">
        <f t="shared" si="2"/>
        <v>122645.45276000001</v>
      </c>
    </row>
    <row r="145" spans="1:29" ht="13.15">
      <c r="A145" s="64" t="s">
        <v>438</v>
      </c>
      <c r="B145" s="65" t="str">
        <f>VLOOKUP(A145,'CENTRO DE COSTOS'!A:D,4,FALSE)</f>
        <v>KEVIN ALEXIS CORZO BUSTOS</v>
      </c>
      <c r="C145" s="65" t="str">
        <f>VLOOKUP(A145,'CENTRO DE COSTOS'!A:D,2,FALSE)</f>
        <v>0004-0007</v>
      </c>
      <c r="D145" s="64">
        <v>73001</v>
      </c>
      <c r="E145" s="66" t="s">
        <v>914</v>
      </c>
      <c r="F145" s="67">
        <v>81526</v>
      </c>
      <c r="G145" s="68" t="s">
        <v>90</v>
      </c>
      <c r="H145" s="69" t="s">
        <v>183</v>
      </c>
      <c r="I145" s="67" t="s">
        <v>440</v>
      </c>
      <c r="J145" s="70" t="s">
        <v>438</v>
      </c>
      <c r="K145" s="67" t="s">
        <v>915</v>
      </c>
      <c r="L145" s="71" t="s">
        <v>95</v>
      </c>
      <c r="M145" s="72" t="s">
        <v>916</v>
      </c>
      <c r="N145" s="73">
        <v>45919</v>
      </c>
      <c r="O145" s="74">
        <v>45922</v>
      </c>
      <c r="P145" s="75" t="s">
        <v>188</v>
      </c>
      <c r="Q145" s="76" t="s">
        <v>305</v>
      </c>
      <c r="R145" s="64" t="s">
        <v>98</v>
      </c>
      <c r="S145" s="77" t="s">
        <v>880</v>
      </c>
      <c r="T145" s="74" t="s">
        <v>100</v>
      </c>
      <c r="U145" s="64" t="s">
        <v>917</v>
      </c>
      <c r="V145" s="70" t="s">
        <v>130</v>
      </c>
      <c r="W145" s="78" t="s">
        <v>114</v>
      </c>
      <c r="X145" s="68" t="s">
        <v>444</v>
      </c>
      <c r="Y145" s="64">
        <v>1</v>
      </c>
      <c r="Z145" s="79">
        <v>0</v>
      </c>
      <c r="AA145" s="80">
        <f>'BASE FACTURACION 2025'!$C$3</f>
        <v>122645.45276000001</v>
      </c>
      <c r="AB145" s="80">
        <f>'BASE FACTURACION 2025'!$F$3</f>
        <v>65164.677720000007</v>
      </c>
      <c r="AC145" s="80">
        <f t="shared" si="2"/>
        <v>122645.45276000001</v>
      </c>
    </row>
    <row r="146" spans="1:29" ht="13.15">
      <c r="A146" s="64" t="s">
        <v>208</v>
      </c>
      <c r="B146" s="65" t="str">
        <f>VLOOKUP(A146,'CENTRO DE COSTOS'!A:D,4,FALSE)</f>
        <v>JUAN SEBASTIÁN RÍOS CASTRILLÓN</v>
      </c>
      <c r="C146" s="65" t="str">
        <f>VLOOKUP(A146,'CENTRO DE COSTOS'!A:D,2,FALSE)</f>
        <v>0004-0005</v>
      </c>
      <c r="D146" s="64">
        <v>5059</v>
      </c>
      <c r="E146" s="66" t="s">
        <v>918</v>
      </c>
      <c r="F146" s="67">
        <v>81524</v>
      </c>
      <c r="G146" s="68" t="s">
        <v>90</v>
      </c>
      <c r="H146" s="69" t="s">
        <v>183</v>
      </c>
      <c r="I146" s="67" t="s">
        <v>194</v>
      </c>
      <c r="J146" s="70" t="s">
        <v>671</v>
      </c>
      <c r="K146" s="67" t="s">
        <v>919</v>
      </c>
      <c r="L146" s="71" t="s">
        <v>95</v>
      </c>
      <c r="M146" s="72" t="s">
        <v>920</v>
      </c>
      <c r="N146" s="73">
        <v>45919</v>
      </c>
      <c r="O146" s="74">
        <v>45923</v>
      </c>
      <c r="P146" s="75" t="s">
        <v>188</v>
      </c>
      <c r="Q146" s="76" t="s">
        <v>305</v>
      </c>
      <c r="R146" s="64" t="s">
        <v>98</v>
      </c>
      <c r="S146" s="77" t="s">
        <v>889</v>
      </c>
      <c r="T146" s="74" t="s">
        <v>100</v>
      </c>
      <c r="U146" s="64" t="s">
        <v>921</v>
      </c>
      <c r="V146" s="70" t="s">
        <v>174</v>
      </c>
      <c r="W146" s="78" t="s">
        <v>114</v>
      </c>
      <c r="X146" s="68" t="s">
        <v>922</v>
      </c>
      <c r="Y146" s="64">
        <v>1</v>
      </c>
      <c r="Z146" s="79">
        <v>0</v>
      </c>
      <c r="AA146" s="80">
        <f>'BASE FACTURACION 2025'!$C$3</f>
        <v>122645.45276000001</v>
      </c>
      <c r="AB146" s="80">
        <f>'BASE FACTURACION 2025'!$F$3</f>
        <v>65164.677720000007</v>
      </c>
      <c r="AC146" s="80">
        <f t="shared" si="2"/>
        <v>122645.45276000001</v>
      </c>
    </row>
    <row r="147" spans="1:29" ht="13.15">
      <c r="A147" s="64" t="s">
        <v>359</v>
      </c>
      <c r="B147" s="65" t="str">
        <f>VLOOKUP(A147,'CENTRO DE COSTOS'!A:D,4,FALSE)</f>
        <v>WILLIAM ASDRUBAL ROZO ROZO</v>
      </c>
      <c r="C147" s="65" t="str">
        <f>VLOOKUP(A147,'CENTRO DE COSTOS'!A:D,2,FALSE)</f>
        <v>0004-0004</v>
      </c>
      <c r="D147" s="64">
        <v>11001</v>
      </c>
      <c r="E147" s="66" t="s">
        <v>923</v>
      </c>
      <c r="F147" s="67">
        <v>81521</v>
      </c>
      <c r="G147" s="68" t="s">
        <v>90</v>
      </c>
      <c r="H147" s="69" t="s">
        <v>183</v>
      </c>
      <c r="I147" s="67" t="s">
        <v>361</v>
      </c>
      <c r="J147" s="70" t="s">
        <v>359</v>
      </c>
      <c r="K147" s="67" t="s">
        <v>924</v>
      </c>
      <c r="L147" s="71" t="s">
        <v>95</v>
      </c>
      <c r="M147" s="72" t="s">
        <v>925</v>
      </c>
      <c r="N147" s="73">
        <v>45919</v>
      </c>
      <c r="O147" s="74">
        <v>45922</v>
      </c>
      <c r="P147" s="75" t="s">
        <v>188</v>
      </c>
      <c r="Q147" s="76" t="s">
        <v>305</v>
      </c>
      <c r="R147" s="64" t="s">
        <v>98</v>
      </c>
      <c r="S147" s="77" t="s">
        <v>880</v>
      </c>
      <c r="T147" s="74" t="s">
        <v>100</v>
      </c>
      <c r="U147" s="64" t="s">
        <v>926</v>
      </c>
      <c r="V147" s="70" t="s">
        <v>130</v>
      </c>
      <c r="W147" s="78" t="s">
        <v>114</v>
      </c>
      <c r="X147" s="68" t="s">
        <v>366</v>
      </c>
      <c r="Y147" s="64">
        <v>1</v>
      </c>
      <c r="Z147" s="79">
        <v>0</v>
      </c>
      <c r="AA147" s="80">
        <f>'BASE FACTURACION 2025'!$C$3</f>
        <v>122645.45276000001</v>
      </c>
      <c r="AB147" s="80">
        <f>'BASE FACTURACION 2025'!$F$3</f>
        <v>65164.677720000007</v>
      </c>
      <c r="AC147" s="80">
        <f t="shared" si="2"/>
        <v>122645.45276000001</v>
      </c>
    </row>
    <row r="148" spans="1:29" ht="13.15">
      <c r="A148" s="64" t="s">
        <v>359</v>
      </c>
      <c r="B148" s="65" t="str">
        <f>VLOOKUP(A148,'CENTRO DE COSTOS'!A:D,4,FALSE)</f>
        <v>WILLIAM ASDRUBAL ROZO ROZO</v>
      </c>
      <c r="C148" s="65" t="str">
        <f>VLOOKUP(A148,'CENTRO DE COSTOS'!A:D,2,FALSE)</f>
        <v>0004-0004</v>
      </c>
      <c r="D148" s="64">
        <v>11001</v>
      </c>
      <c r="E148" s="66" t="s">
        <v>927</v>
      </c>
      <c r="F148" s="67">
        <v>81522</v>
      </c>
      <c r="G148" s="68" t="s">
        <v>90</v>
      </c>
      <c r="H148" s="69" t="s">
        <v>183</v>
      </c>
      <c r="I148" s="67" t="s">
        <v>361</v>
      </c>
      <c r="J148" s="70" t="s">
        <v>359</v>
      </c>
      <c r="K148" s="67" t="s">
        <v>928</v>
      </c>
      <c r="L148" s="71" t="s">
        <v>95</v>
      </c>
      <c r="M148" s="72" t="s">
        <v>929</v>
      </c>
      <c r="N148" s="73">
        <v>45919</v>
      </c>
      <c r="O148" s="74">
        <v>45922</v>
      </c>
      <c r="P148" s="75" t="s">
        <v>188</v>
      </c>
      <c r="Q148" s="76" t="s">
        <v>305</v>
      </c>
      <c r="R148" s="64" t="s">
        <v>98</v>
      </c>
      <c r="S148" s="77" t="s">
        <v>880</v>
      </c>
      <c r="T148" s="74" t="s">
        <v>100</v>
      </c>
      <c r="U148" s="64" t="s">
        <v>930</v>
      </c>
      <c r="V148" s="70" t="s">
        <v>130</v>
      </c>
      <c r="W148" s="78" t="s">
        <v>114</v>
      </c>
      <c r="X148" s="68" t="s">
        <v>492</v>
      </c>
      <c r="Y148" s="64">
        <v>1</v>
      </c>
      <c r="Z148" s="79">
        <v>0</v>
      </c>
      <c r="AA148" s="80">
        <f>'BASE FACTURACION 2025'!$C$3</f>
        <v>122645.45276000001</v>
      </c>
      <c r="AB148" s="80">
        <f>'BASE FACTURACION 2025'!$F$3</f>
        <v>65164.677720000007</v>
      </c>
      <c r="AC148" s="80">
        <f t="shared" si="2"/>
        <v>122645.45276000001</v>
      </c>
    </row>
    <row r="149" spans="1:29" ht="13.15">
      <c r="A149" s="64" t="s">
        <v>208</v>
      </c>
      <c r="B149" s="65" t="str">
        <f>VLOOKUP(A149,'CENTRO DE COSTOS'!A:D,4,FALSE)</f>
        <v>JUAN SEBASTIÁN RÍOS CASTRILLÓN</v>
      </c>
      <c r="C149" s="65" t="str">
        <f>VLOOKUP(A149,'CENTRO DE COSTOS'!A:D,2,FALSE)</f>
        <v>0004-0005</v>
      </c>
      <c r="D149" s="64">
        <v>5001</v>
      </c>
      <c r="E149" s="66" t="s">
        <v>931</v>
      </c>
      <c r="F149" s="67">
        <v>81698</v>
      </c>
      <c r="G149" s="68" t="s">
        <v>90</v>
      </c>
      <c r="H149" s="69" t="s">
        <v>183</v>
      </c>
      <c r="I149" s="67" t="s">
        <v>194</v>
      </c>
      <c r="J149" s="70" t="s">
        <v>208</v>
      </c>
      <c r="K149" s="67" t="s">
        <v>932</v>
      </c>
      <c r="L149" s="71" t="s">
        <v>95</v>
      </c>
      <c r="M149" s="72" t="s">
        <v>933</v>
      </c>
      <c r="N149" s="73">
        <v>45924</v>
      </c>
      <c r="O149" s="74">
        <v>45925</v>
      </c>
      <c r="P149" s="75" t="s">
        <v>188</v>
      </c>
      <c r="Q149" s="76" t="s">
        <v>189</v>
      </c>
      <c r="R149" s="64" t="s">
        <v>98</v>
      </c>
      <c r="S149" s="77" t="s">
        <v>934</v>
      </c>
      <c r="T149" s="74" t="s">
        <v>100</v>
      </c>
      <c r="U149" s="64" t="s">
        <v>935</v>
      </c>
      <c r="V149" s="70" t="s">
        <v>130</v>
      </c>
      <c r="W149" s="78" t="s">
        <v>114</v>
      </c>
      <c r="X149" s="68" t="s">
        <v>314</v>
      </c>
      <c r="Y149" s="64">
        <v>1</v>
      </c>
      <c r="Z149" s="79">
        <v>0</v>
      </c>
      <c r="AA149" s="80">
        <f>'BASE FACTURACION 2025'!$C$3</f>
        <v>122645.45276000001</v>
      </c>
      <c r="AB149" s="80">
        <f>'BASE FACTURACION 2025'!$F$3</f>
        <v>65164.677720000007</v>
      </c>
      <c r="AC149" s="80">
        <f t="shared" si="2"/>
        <v>122645.45276000001</v>
      </c>
    </row>
    <row r="150" spans="1:29" ht="13.15">
      <c r="A150" s="64" t="s">
        <v>208</v>
      </c>
      <c r="B150" s="65" t="str">
        <f>VLOOKUP(A150,'CENTRO DE COSTOS'!A:D,4,FALSE)</f>
        <v>JUAN SEBASTIÁN RÍOS CASTRILLÓN</v>
      </c>
      <c r="C150" s="65" t="str">
        <f>VLOOKUP(A150,'CENTRO DE COSTOS'!A:D,2,FALSE)</f>
        <v>0004-0005</v>
      </c>
      <c r="D150" s="64">
        <v>5001</v>
      </c>
      <c r="E150" s="66" t="s">
        <v>936</v>
      </c>
      <c r="F150" s="67">
        <v>81699</v>
      </c>
      <c r="G150" s="68" t="s">
        <v>90</v>
      </c>
      <c r="H150" s="69" t="s">
        <v>183</v>
      </c>
      <c r="I150" s="67" t="s">
        <v>194</v>
      </c>
      <c r="J150" s="70" t="s">
        <v>208</v>
      </c>
      <c r="K150" s="67" t="s">
        <v>937</v>
      </c>
      <c r="L150" s="71" t="s">
        <v>95</v>
      </c>
      <c r="M150" s="72" t="s">
        <v>938</v>
      </c>
      <c r="N150" s="73">
        <v>45924</v>
      </c>
      <c r="O150" s="74">
        <v>45925</v>
      </c>
      <c r="P150" s="75" t="s">
        <v>188</v>
      </c>
      <c r="Q150" s="76" t="s">
        <v>305</v>
      </c>
      <c r="R150" s="64" t="s">
        <v>98</v>
      </c>
      <c r="S150" s="77" t="s">
        <v>934</v>
      </c>
      <c r="T150" s="74" t="s">
        <v>100</v>
      </c>
      <c r="U150" s="64" t="s">
        <v>939</v>
      </c>
      <c r="V150" s="70" t="s">
        <v>130</v>
      </c>
      <c r="W150" s="78" t="s">
        <v>114</v>
      </c>
      <c r="X150" s="68" t="s">
        <v>314</v>
      </c>
      <c r="Y150" s="64">
        <v>1</v>
      </c>
      <c r="Z150" s="79">
        <v>0</v>
      </c>
      <c r="AA150" s="80">
        <f>'BASE FACTURACION 2025'!$C$3</f>
        <v>122645.45276000001</v>
      </c>
      <c r="AB150" s="80">
        <f>'BASE FACTURACION 2025'!$F$3</f>
        <v>65164.677720000007</v>
      </c>
      <c r="AC150" s="80">
        <f t="shared" si="2"/>
        <v>122645.45276000001</v>
      </c>
    </row>
    <row r="151" spans="1:29" ht="13.15">
      <c r="A151" s="64" t="s">
        <v>208</v>
      </c>
      <c r="B151" s="65" t="str">
        <f>VLOOKUP(A151,'CENTRO DE COSTOS'!A:D,4,FALSE)</f>
        <v>JUAN SEBASTIÁN RÍOS CASTRILLÓN</v>
      </c>
      <c r="C151" s="65" t="str">
        <f>VLOOKUP(A151,'CENTRO DE COSTOS'!A:D,2,FALSE)</f>
        <v>0004-0005</v>
      </c>
      <c r="D151" s="64">
        <v>5088</v>
      </c>
      <c r="E151" s="66" t="s">
        <v>940</v>
      </c>
      <c r="F151" s="67">
        <v>81691</v>
      </c>
      <c r="G151" s="68" t="s">
        <v>90</v>
      </c>
      <c r="H151" s="69" t="s">
        <v>183</v>
      </c>
      <c r="I151" s="67" t="s">
        <v>194</v>
      </c>
      <c r="J151" s="70" t="s">
        <v>325</v>
      </c>
      <c r="K151" s="67" t="s">
        <v>941</v>
      </c>
      <c r="L151" s="71" t="s">
        <v>95</v>
      </c>
      <c r="M151" s="72" t="s">
        <v>942</v>
      </c>
      <c r="N151" s="73">
        <v>45924</v>
      </c>
      <c r="O151" s="74">
        <v>45926</v>
      </c>
      <c r="P151" s="75" t="s">
        <v>188</v>
      </c>
      <c r="Q151" s="76" t="s">
        <v>189</v>
      </c>
      <c r="R151" s="64" t="s">
        <v>98</v>
      </c>
      <c r="S151" s="77" t="s">
        <v>943</v>
      </c>
      <c r="T151" s="74" t="s">
        <v>100</v>
      </c>
      <c r="U151" s="64" t="s">
        <v>944</v>
      </c>
      <c r="V151" s="70" t="s">
        <v>130</v>
      </c>
      <c r="W151" s="78" t="s">
        <v>114</v>
      </c>
      <c r="X151" s="68" t="s">
        <v>314</v>
      </c>
      <c r="Y151" s="64">
        <v>1</v>
      </c>
      <c r="Z151" s="79">
        <v>0</v>
      </c>
      <c r="AA151" s="80">
        <f>'BASE FACTURACION 2025'!$C$3</f>
        <v>122645.45276000001</v>
      </c>
      <c r="AB151" s="80">
        <f>'BASE FACTURACION 2025'!$F$3</f>
        <v>65164.677720000007</v>
      </c>
      <c r="AC151" s="80">
        <f t="shared" si="2"/>
        <v>122645.45276000001</v>
      </c>
    </row>
    <row r="152" spans="1:29" ht="13.15">
      <c r="A152" s="64" t="s">
        <v>208</v>
      </c>
      <c r="B152" s="65" t="str">
        <f>VLOOKUP(A152,'CENTRO DE COSTOS'!A:D,4,FALSE)</f>
        <v>JUAN SEBASTIÁN RÍOS CASTRILLÓN</v>
      </c>
      <c r="C152" s="65" t="str">
        <f>VLOOKUP(A152,'CENTRO DE COSTOS'!A:D,2,FALSE)</f>
        <v>0004-0005</v>
      </c>
      <c r="D152" s="64">
        <v>5088</v>
      </c>
      <c r="E152" s="66" t="s">
        <v>945</v>
      </c>
      <c r="F152" s="67">
        <v>81692</v>
      </c>
      <c r="G152" s="68" t="s">
        <v>90</v>
      </c>
      <c r="H152" s="69" t="s">
        <v>183</v>
      </c>
      <c r="I152" s="67" t="s">
        <v>194</v>
      </c>
      <c r="J152" s="70" t="s">
        <v>325</v>
      </c>
      <c r="K152" s="67" t="s">
        <v>946</v>
      </c>
      <c r="L152" s="71" t="s">
        <v>95</v>
      </c>
      <c r="M152" s="72" t="s">
        <v>947</v>
      </c>
      <c r="N152" s="73">
        <v>45924</v>
      </c>
      <c r="O152" s="74">
        <v>45926</v>
      </c>
      <c r="P152" s="75" t="s">
        <v>188</v>
      </c>
      <c r="Q152" s="76" t="s">
        <v>305</v>
      </c>
      <c r="R152" s="64" t="s">
        <v>98</v>
      </c>
      <c r="S152" s="77" t="s">
        <v>943</v>
      </c>
      <c r="T152" s="74" t="s">
        <v>100</v>
      </c>
      <c r="U152" s="64" t="s">
        <v>948</v>
      </c>
      <c r="V152" s="70" t="s">
        <v>130</v>
      </c>
      <c r="W152" s="78" t="s">
        <v>114</v>
      </c>
      <c r="X152" s="68" t="s">
        <v>314</v>
      </c>
      <c r="Y152" s="64">
        <v>1</v>
      </c>
      <c r="Z152" s="79">
        <v>0</v>
      </c>
      <c r="AA152" s="80">
        <f>'BASE FACTURACION 2025'!$C$3</f>
        <v>122645.45276000001</v>
      </c>
      <c r="AB152" s="80">
        <f>'BASE FACTURACION 2025'!$F$3</f>
        <v>65164.677720000007</v>
      </c>
      <c r="AC152" s="80">
        <f t="shared" si="2"/>
        <v>122645.45276000001</v>
      </c>
    </row>
    <row r="153" spans="1:29" ht="13.15">
      <c r="A153" s="64" t="s">
        <v>200</v>
      </c>
      <c r="B153" s="65" t="str">
        <f>VLOOKUP(A153,'CENTRO DE COSTOS'!A:D,4,FALSE)</f>
        <v>JUAN SEBASTIÁN RÍOS CASTRILLÓN</v>
      </c>
      <c r="C153" s="65" t="str">
        <f>VLOOKUP(A153,'CENTRO DE COSTOS'!A:D,2,FALSE)</f>
        <v>0004-0005</v>
      </c>
      <c r="D153" s="64">
        <v>5147</v>
      </c>
      <c r="E153" s="66" t="s">
        <v>949</v>
      </c>
      <c r="F153" s="67">
        <v>81648</v>
      </c>
      <c r="G153" s="68" t="s">
        <v>90</v>
      </c>
      <c r="H153" s="69" t="s">
        <v>183</v>
      </c>
      <c r="I153" s="67" t="s">
        <v>194</v>
      </c>
      <c r="J153" s="70" t="s">
        <v>950</v>
      </c>
      <c r="K153" s="67" t="s">
        <v>951</v>
      </c>
      <c r="L153" s="71" t="s">
        <v>95</v>
      </c>
      <c r="M153" s="72" t="s">
        <v>952</v>
      </c>
      <c r="N153" s="73">
        <v>45924</v>
      </c>
      <c r="O153" s="74">
        <v>45926</v>
      </c>
      <c r="P153" s="75" t="s">
        <v>188</v>
      </c>
      <c r="Q153" s="76" t="s">
        <v>189</v>
      </c>
      <c r="R153" s="64" t="s">
        <v>98</v>
      </c>
      <c r="S153" s="77" t="s">
        <v>943</v>
      </c>
      <c r="T153" s="74" t="s">
        <v>100</v>
      </c>
      <c r="U153" s="64" t="s">
        <v>953</v>
      </c>
      <c r="V153" s="70" t="s">
        <v>130</v>
      </c>
      <c r="W153" s="78" t="s">
        <v>114</v>
      </c>
      <c r="X153" s="68" t="s">
        <v>595</v>
      </c>
      <c r="Y153" s="64">
        <v>1</v>
      </c>
      <c r="Z153" s="79">
        <v>0</v>
      </c>
      <c r="AA153" s="80">
        <f>'BASE FACTURACION 2025'!$C$3</f>
        <v>122645.45276000001</v>
      </c>
      <c r="AB153" s="80">
        <f>'BASE FACTURACION 2025'!$F$3</f>
        <v>65164.677720000007</v>
      </c>
      <c r="AC153" s="80">
        <f t="shared" si="2"/>
        <v>122645.45276000001</v>
      </c>
    </row>
    <row r="154" spans="1:29" ht="13.15">
      <c r="A154" s="64" t="s">
        <v>208</v>
      </c>
      <c r="B154" s="65" t="str">
        <f>VLOOKUP(A154,'CENTRO DE COSTOS'!A:D,4,FALSE)</f>
        <v>JUAN SEBASTIÁN RÍOS CASTRILLÓN</v>
      </c>
      <c r="C154" s="65" t="str">
        <f>VLOOKUP(A154,'CENTRO DE COSTOS'!A:D,2,FALSE)</f>
        <v>0004-0005</v>
      </c>
      <c r="D154" s="64">
        <v>5376</v>
      </c>
      <c r="E154" s="66" t="s">
        <v>954</v>
      </c>
      <c r="F154" s="67">
        <v>81696</v>
      </c>
      <c r="G154" s="68" t="s">
        <v>90</v>
      </c>
      <c r="H154" s="69" t="s">
        <v>183</v>
      </c>
      <c r="I154" s="67" t="s">
        <v>194</v>
      </c>
      <c r="J154" s="70" t="s">
        <v>955</v>
      </c>
      <c r="K154" s="67" t="s">
        <v>956</v>
      </c>
      <c r="L154" s="71" t="s">
        <v>95</v>
      </c>
      <c r="M154" s="72" t="s">
        <v>957</v>
      </c>
      <c r="N154" s="73">
        <v>45924</v>
      </c>
      <c r="O154" s="74">
        <v>45926</v>
      </c>
      <c r="P154" s="75" t="s">
        <v>188</v>
      </c>
      <c r="Q154" s="76" t="s">
        <v>305</v>
      </c>
      <c r="R154" s="64" t="s">
        <v>98</v>
      </c>
      <c r="S154" s="77" t="s">
        <v>943</v>
      </c>
      <c r="T154" s="74" t="s">
        <v>100</v>
      </c>
      <c r="U154" s="64" t="s">
        <v>958</v>
      </c>
      <c r="V154" s="70" t="s">
        <v>174</v>
      </c>
      <c r="W154" s="78" t="s">
        <v>114</v>
      </c>
      <c r="X154" s="68" t="s">
        <v>615</v>
      </c>
      <c r="Y154" s="64">
        <v>1</v>
      </c>
      <c r="Z154" s="79">
        <v>0</v>
      </c>
      <c r="AA154" s="80">
        <f>'BASE FACTURACION 2025'!$C$3</f>
        <v>122645.45276000001</v>
      </c>
      <c r="AB154" s="80">
        <f>'BASE FACTURACION 2025'!$F$3</f>
        <v>65164.677720000007</v>
      </c>
      <c r="AC154" s="80">
        <f t="shared" si="2"/>
        <v>122645.45276000001</v>
      </c>
    </row>
    <row r="155" spans="1:29" ht="13.15">
      <c r="A155" s="64" t="s">
        <v>208</v>
      </c>
      <c r="B155" s="65" t="str">
        <f>VLOOKUP(A155,'CENTRO DE COSTOS'!A:D,4,FALSE)</f>
        <v>JUAN SEBASTIÁN RÍOS CASTRILLÓN</v>
      </c>
      <c r="C155" s="65" t="str">
        <f>VLOOKUP(A155,'CENTRO DE COSTOS'!A:D,2,FALSE)</f>
        <v>0004-0005</v>
      </c>
      <c r="D155" s="64">
        <v>5615</v>
      </c>
      <c r="E155" s="66" t="s">
        <v>959</v>
      </c>
      <c r="F155" s="67">
        <v>81653</v>
      </c>
      <c r="G155" s="68" t="s">
        <v>90</v>
      </c>
      <c r="H155" s="69" t="s">
        <v>183</v>
      </c>
      <c r="I155" s="67" t="s">
        <v>194</v>
      </c>
      <c r="J155" s="70" t="s">
        <v>960</v>
      </c>
      <c r="K155" s="67" t="s">
        <v>961</v>
      </c>
      <c r="L155" s="71" t="s">
        <v>95</v>
      </c>
      <c r="M155" s="72" t="s">
        <v>962</v>
      </c>
      <c r="N155" s="73">
        <v>45924</v>
      </c>
      <c r="O155" s="74">
        <v>45925</v>
      </c>
      <c r="P155" s="75" t="s">
        <v>188</v>
      </c>
      <c r="Q155" s="76" t="s">
        <v>189</v>
      </c>
      <c r="R155" s="64" t="s">
        <v>98</v>
      </c>
      <c r="S155" s="77" t="s">
        <v>963</v>
      </c>
      <c r="T155" s="74" t="s">
        <v>100</v>
      </c>
      <c r="U155" s="64" t="s">
        <v>964</v>
      </c>
      <c r="V155" s="70" t="s">
        <v>174</v>
      </c>
      <c r="W155" s="78" t="s">
        <v>114</v>
      </c>
      <c r="X155" s="68" t="s">
        <v>615</v>
      </c>
      <c r="Y155" s="64">
        <v>1</v>
      </c>
      <c r="Z155" s="79">
        <v>0</v>
      </c>
      <c r="AA155" s="80">
        <f>'BASE FACTURACION 2025'!$C$3</f>
        <v>122645.45276000001</v>
      </c>
      <c r="AB155" s="80">
        <f>'BASE FACTURACION 2025'!$F$3</f>
        <v>65164.677720000007</v>
      </c>
      <c r="AC155" s="80">
        <f t="shared" si="2"/>
        <v>122645.45276000001</v>
      </c>
    </row>
    <row r="156" spans="1:29" ht="13.15">
      <c r="A156" s="64" t="s">
        <v>208</v>
      </c>
      <c r="B156" s="65" t="str">
        <f>VLOOKUP(A156,'CENTRO DE COSTOS'!A:D,4,FALSE)</f>
        <v>JUAN SEBASTIÁN RÍOS CASTRILLÓN</v>
      </c>
      <c r="C156" s="65" t="str">
        <f>VLOOKUP(A156,'CENTRO DE COSTOS'!A:D,2,FALSE)</f>
        <v>0004-0005</v>
      </c>
      <c r="D156" s="64">
        <v>5736</v>
      </c>
      <c r="E156" s="66" t="s">
        <v>965</v>
      </c>
      <c r="F156" s="67">
        <v>81678</v>
      </c>
      <c r="G156" s="68" t="s">
        <v>90</v>
      </c>
      <c r="H156" s="69" t="s">
        <v>183</v>
      </c>
      <c r="I156" s="67" t="s">
        <v>194</v>
      </c>
      <c r="J156" s="70" t="s">
        <v>532</v>
      </c>
      <c r="K156" s="67" t="s">
        <v>966</v>
      </c>
      <c r="L156" s="71" t="s">
        <v>95</v>
      </c>
      <c r="M156" s="72" t="s">
        <v>967</v>
      </c>
      <c r="N156" s="73">
        <v>45924</v>
      </c>
      <c r="O156" s="74">
        <v>45926</v>
      </c>
      <c r="P156" s="75" t="s">
        <v>188</v>
      </c>
      <c r="Q156" s="76" t="s">
        <v>189</v>
      </c>
      <c r="R156" s="64" t="s">
        <v>98</v>
      </c>
      <c r="S156" s="77" t="s">
        <v>968</v>
      </c>
      <c r="T156" s="74" t="s">
        <v>100</v>
      </c>
      <c r="U156" s="64" t="s">
        <v>969</v>
      </c>
      <c r="V156" s="70" t="s">
        <v>122</v>
      </c>
      <c r="W156" s="78" t="s">
        <v>114</v>
      </c>
      <c r="X156" s="68" t="s">
        <v>341</v>
      </c>
      <c r="Y156" s="64">
        <v>1</v>
      </c>
      <c r="Z156" s="79">
        <v>0</v>
      </c>
      <c r="AA156" s="80">
        <f>'BASE FACTURACION 2025'!$C$3</f>
        <v>122645.45276000001</v>
      </c>
      <c r="AB156" s="80">
        <f>'BASE FACTURACION 2025'!$F$3</f>
        <v>65164.677720000007</v>
      </c>
      <c r="AC156" s="80">
        <f t="shared" si="2"/>
        <v>122645.45276000001</v>
      </c>
    </row>
    <row r="157" spans="1:29" ht="13.15">
      <c r="A157" s="64" t="s">
        <v>200</v>
      </c>
      <c r="B157" s="65" t="str">
        <f>VLOOKUP(A157,'CENTRO DE COSTOS'!A:D,4,FALSE)</f>
        <v>JUAN SEBASTIÁN RÍOS CASTRILLÓN</v>
      </c>
      <c r="C157" s="65" t="str">
        <f>VLOOKUP(A157,'CENTRO DE COSTOS'!A:D,2,FALSE)</f>
        <v>0004-0005</v>
      </c>
      <c r="D157" s="64">
        <v>5837</v>
      </c>
      <c r="E157" s="66" t="s">
        <v>970</v>
      </c>
      <c r="F157" s="67">
        <v>81656</v>
      </c>
      <c r="G157" s="68" t="s">
        <v>90</v>
      </c>
      <c r="H157" s="69" t="s">
        <v>183</v>
      </c>
      <c r="I157" s="67" t="s">
        <v>194</v>
      </c>
      <c r="J157" s="70" t="s">
        <v>202</v>
      </c>
      <c r="K157" s="67" t="s">
        <v>971</v>
      </c>
      <c r="L157" s="71" t="s">
        <v>95</v>
      </c>
      <c r="M157" s="72" t="s">
        <v>972</v>
      </c>
      <c r="N157" s="73">
        <v>45924</v>
      </c>
      <c r="O157" s="74">
        <v>45926</v>
      </c>
      <c r="P157" s="75" t="s">
        <v>188</v>
      </c>
      <c r="Q157" s="76" t="s">
        <v>189</v>
      </c>
      <c r="R157" s="64" t="s">
        <v>98</v>
      </c>
      <c r="S157" s="77" t="s">
        <v>943</v>
      </c>
      <c r="T157" s="74" t="s">
        <v>100</v>
      </c>
      <c r="U157" s="64" t="s">
        <v>973</v>
      </c>
      <c r="V157" s="70" t="s">
        <v>174</v>
      </c>
      <c r="W157" s="78" t="s">
        <v>114</v>
      </c>
      <c r="X157" s="68" t="s">
        <v>207</v>
      </c>
      <c r="Y157" s="64">
        <v>1</v>
      </c>
      <c r="Z157" s="79">
        <v>0</v>
      </c>
      <c r="AA157" s="80">
        <f>'BASE FACTURACION 2025'!$C$3</f>
        <v>122645.45276000001</v>
      </c>
      <c r="AB157" s="80">
        <f>'BASE FACTURACION 2025'!$F$3</f>
        <v>65164.677720000007</v>
      </c>
      <c r="AC157" s="80">
        <f t="shared" si="2"/>
        <v>122645.45276000001</v>
      </c>
    </row>
    <row r="158" spans="1:29" ht="13.15">
      <c r="A158" s="64" t="s">
        <v>200</v>
      </c>
      <c r="B158" s="65" t="str">
        <f>VLOOKUP(A158,'CENTRO DE COSTOS'!A:D,4,FALSE)</f>
        <v>JUAN SEBASTIÁN RÍOS CASTRILLÓN</v>
      </c>
      <c r="C158" s="65" t="str">
        <f>VLOOKUP(A158,'CENTRO DE COSTOS'!A:D,2,FALSE)</f>
        <v>0004-0005</v>
      </c>
      <c r="D158" s="64">
        <v>5837</v>
      </c>
      <c r="E158" s="66" t="s">
        <v>974</v>
      </c>
      <c r="F158" s="67">
        <v>81655</v>
      </c>
      <c r="G158" s="68" t="s">
        <v>90</v>
      </c>
      <c r="H158" s="69" t="s">
        <v>183</v>
      </c>
      <c r="I158" s="67" t="s">
        <v>194</v>
      </c>
      <c r="J158" s="70" t="s">
        <v>202</v>
      </c>
      <c r="K158" s="67" t="s">
        <v>975</v>
      </c>
      <c r="L158" s="71" t="s">
        <v>95</v>
      </c>
      <c r="M158" s="72" t="s">
        <v>976</v>
      </c>
      <c r="N158" s="73">
        <v>45924</v>
      </c>
      <c r="O158" s="74">
        <v>45926</v>
      </c>
      <c r="P158" s="75" t="s">
        <v>188</v>
      </c>
      <c r="Q158" s="76" t="s">
        <v>189</v>
      </c>
      <c r="R158" s="64" t="s">
        <v>98</v>
      </c>
      <c r="S158" s="77" t="s">
        <v>943</v>
      </c>
      <c r="T158" s="74" t="s">
        <v>100</v>
      </c>
      <c r="U158" s="64" t="s">
        <v>977</v>
      </c>
      <c r="V158" s="70" t="s">
        <v>174</v>
      </c>
      <c r="W158" s="78" t="s">
        <v>114</v>
      </c>
      <c r="X158" s="68" t="s">
        <v>207</v>
      </c>
      <c r="Y158" s="64">
        <v>1</v>
      </c>
      <c r="Z158" s="79">
        <v>0</v>
      </c>
      <c r="AA158" s="80">
        <f>'BASE FACTURACION 2025'!$C$3</f>
        <v>122645.45276000001</v>
      </c>
      <c r="AB158" s="80">
        <f>'BASE FACTURACION 2025'!$F$3</f>
        <v>65164.677720000007</v>
      </c>
      <c r="AC158" s="80">
        <f t="shared" si="2"/>
        <v>122645.45276000001</v>
      </c>
    </row>
    <row r="159" spans="1:29" ht="13.15">
      <c r="A159" s="64" t="s">
        <v>978</v>
      </c>
      <c r="B159" s="65" t="str">
        <f>VLOOKUP(A159,'CENTRO DE COSTOS'!A:D,4,FALSE)</f>
        <v>JOSE MAURICIO HERNANDEZ ROJAS</v>
      </c>
      <c r="C159" s="65" t="str">
        <f>VLOOKUP(A159,'CENTRO DE COSTOS'!A:D,2,FALSE)</f>
        <v>0004-0001</v>
      </c>
      <c r="D159" s="64">
        <v>8001</v>
      </c>
      <c r="E159" s="66" t="s">
        <v>979</v>
      </c>
      <c r="F159" s="67">
        <v>81624</v>
      </c>
      <c r="G159" s="68" t="s">
        <v>90</v>
      </c>
      <c r="H159" s="69" t="s">
        <v>183</v>
      </c>
      <c r="I159" s="67" t="s">
        <v>980</v>
      </c>
      <c r="J159" s="70" t="s">
        <v>978</v>
      </c>
      <c r="K159" s="67" t="s">
        <v>981</v>
      </c>
      <c r="L159" s="71" t="s">
        <v>95</v>
      </c>
      <c r="M159" s="72" t="s">
        <v>982</v>
      </c>
      <c r="N159" s="73">
        <v>45924</v>
      </c>
      <c r="O159" s="74">
        <v>45925</v>
      </c>
      <c r="P159" s="75" t="s">
        <v>188</v>
      </c>
      <c r="Q159" s="76" t="s">
        <v>305</v>
      </c>
      <c r="R159" s="64" t="s">
        <v>98</v>
      </c>
      <c r="S159" s="77" t="s">
        <v>963</v>
      </c>
      <c r="T159" s="74" t="s">
        <v>100</v>
      </c>
      <c r="U159" s="64" t="s">
        <v>983</v>
      </c>
      <c r="V159" s="70" t="s">
        <v>130</v>
      </c>
      <c r="W159" s="78" t="s">
        <v>114</v>
      </c>
      <c r="X159" s="68" t="s">
        <v>984</v>
      </c>
      <c r="Y159" s="64">
        <v>1</v>
      </c>
      <c r="Z159" s="79">
        <v>0</v>
      </c>
      <c r="AA159" s="80">
        <f>'BASE FACTURACION 2025'!$C$3</f>
        <v>122645.45276000001</v>
      </c>
      <c r="AB159" s="80">
        <f>'BASE FACTURACION 2025'!$F$3</f>
        <v>65164.677720000007</v>
      </c>
      <c r="AC159" s="80">
        <f t="shared" si="2"/>
        <v>122645.45276000001</v>
      </c>
    </row>
    <row r="160" spans="1:29" ht="13.15">
      <c r="A160" s="64" t="s">
        <v>978</v>
      </c>
      <c r="B160" s="65" t="str">
        <f>VLOOKUP(A160,'CENTRO DE COSTOS'!A:D,4,FALSE)</f>
        <v>JOSE MAURICIO HERNANDEZ ROJAS</v>
      </c>
      <c r="C160" s="65" t="str">
        <f>VLOOKUP(A160,'CENTRO DE COSTOS'!A:D,2,FALSE)</f>
        <v>0004-0001</v>
      </c>
      <c r="D160" s="64">
        <v>8758</v>
      </c>
      <c r="E160" s="66" t="s">
        <v>985</v>
      </c>
      <c r="F160" s="67">
        <v>81687</v>
      </c>
      <c r="G160" s="68" t="s">
        <v>90</v>
      </c>
      <c r="H160" s="69" t="s">
        <v>183</v>
      </c>
      <c r="I160" s="67" t="s">
        <v>980</v>
      </c>
      <c r="J160" s="70" t="s">
        <v>986</v>
      </c>
      <c r="K160" s="67" t="s">
        <v>987</v>
      </c>
      <c r="L160" s="71" t="s">
        <v>95</v>
      </c>
      <c r="M160" s="72" t="s">
        <v>988</v>
      </c>
      <c r="N160" s="73">
        <v>45924</v>
      </c>
      <c r="O160" s="74">
        <v>45926</v>
      </c>
      <c r="P160" s="75" t="s">
        <v>188</v>
      </c>
      <c r="Q160" s="76" t="s">
        <v>305</v>
      </c>
      <c r="R160" s="64" t="s">
        <v>98</v>
      </c>
      <c r="S160" s="77" t="s">
        <v>943</v>
      </c>
      <c r="T160" s="74" t="s">
        <v>100</v>
      </c>
      <c r="U160" s="64" t="s">
        <v>989</v>
      </c>
      <c r="V160" s="70" t="s">
        <v>130</v>
      </c>
      <c r="W160" s="78" t="s">
        <v>114</v>
      </c>
      <c r="X160" s="68" t="s">
        <v>984</v>
      </c>
      <c r="Y160" s="64">
        <v>1</v>
      </c>
      <c r="Z160" s="79">
        <v>0</v>
      </c>
      <c r="AA160" s="80">
        <f>'BASE FACTURACION 2025'!$C$3</f>
        <v>122645.45276000001</v>
      </c>
      <c r="AB160" s="80">
        <f>'BASE FACTURACION 2025'!$F$3</f>
        <v>65164.677720000007</v>
      </c>
      <c r="AC160" s="80">
        <f t="shared" si="2"/>
        <v>122645.45276000001</v>
      </c>
    </row>
    <row r="161" spans="1:29" ht="13.15">
      <c r="A161" s="64" t="s">
        <v>166</v>
      </c>
      <c r="B161" s="65" t="str">
        <f>VLOOKUP(A161,'CENTRO DE COSTOS'!A:D,4,FALSE)</f>
        <v>MIGUEL JULIÁN HERNÁNDEZ GUARÍN</v>
      </c>
      <c r="C161" s="65" t="str">
        <f>VLOOKUP(A161,'CENTRO DE COSTOS'!A:D,2,FALSE)</f>
        <v>0004-0008</v>
      </c>
      <c r="D161" s="64">
        <v>13688</v>
      </c>
      <c r="E161" s="66" t="s">
        <v>990</v>
      </c>
      <c r="F161" s="67">
        <v>81682</v>
      </c>
      <c r="G161" s="68" t="s">
        <v>90</v>
      </c>
      <c r="H161" s="69" t="s">
        <v>183</v>
      </c>
      <c r="I161" s="67" t="s">
        <v>622</v>
      </c>
      <c r="J161" s="70" t="s">
        <v>764</v>
      </c>
      <c r="K161" s="67" t="s">
        <v>991</v>
      </c>
      <c r="L161" s="71" t="s">
        <v>95</v>
      </c>
      <c r="M161" s="72" t="s">
        <v>992</v>
      </c>
      <c r="N161" s="73">
        <v>45924</v>
      </c>
      <c r="O161" s="74">
        <v>45930</v>
      </c>
      <c r="P161" s="75" t="s">
        <v>188</v>
      </c>
      <c r="Q161" s="76" t="s">
        <v>189</v>
      </c>
      <c r="R161" s="64" t="s">
        <v>98</v>
      </c>
      <c r="S161" s="77" t="s">
        <v>993</v>
      </c>
      <c r="T161" s="74" t="s">
        <v>100</v>
      </c>
      <c r="U161" s="64" t="s">
        <v>994</v>
      </c>
      <c r="V161" s="70" t="s">
        <v>102</v>
      </c>
      <c r="W161" s="78" t="s">
        <v>762</v>
      </c>
      <c r="X161" s="68" t="s">
        <v>268</v>
      </c>
      <c r="Y161" s="64">
        <v>1</v>
      </c>
      <c r="Z161" s="79">
        <v>0</v>
      </c>
      <c r="AA161" s="80">
        <f>'BASE FACTURACION 2025'!$C$3</f>
        <v>122645.45276000001</v>
      </c>
      <c r="AB161" s="80">
        <f>'BASE FACTURACION 2025'!$F$3</f>
        <v>65164.677720000007</v>
      </c>
      <c r="AC161" s="80">
        <f t="shared" si="2"/>
        <v>122645.45276000001</v>
      </c>
    </row>
    <row r="162" spans="1:29" ht="13.15">
      <c r="A162" s="64" t="s">
        <v>346</v>
      </c>
      <c r="B162" s="65" t="str">
        <f>VLOOKUP(A162,'CENTRO DE COSTOS'!A:D,4,FALSE)</f>
        <v>MIGUEL JULIÁN HERNÁNDEZ GUARÍN</v>
      </c>
      <c r="C162" s="65" t="str">
        <f>VLOOKUP(A162,'CENTRO DE COSTOS'!A:D,2,FALSE)</f>
        <v>0004-0008</v>
      </c>
      <c r="D162" s="64">
        <v>15176</v>
      </c>
      <c r="E162" s="66" t="s">
        <v>995</v>
      </c>
      <c r="F162" s="67">
        <v>81645</v>
      </c>
      <c r="G162" s="68" t="s">
        <v>90</v>
      </c>
      <c r="H162" s="69" t="s">
        <v>183</v>
      </c>
      <c r="I162" s="67" t="s">
        <v>348</v>
      </c>
      <c r="J162" s="70" t="s">
        <v>775</v>
      </c>
      <c r="K162" s="67" t="s">
        <v>996</v>
      </c>
      <c r="L162" s="71" t="s">
        <v>95</v>
      </c>
      <c r="M162" s="72" t="s">
        <v>997</v>
      </c>
      <c r="N162" s="73">
        <v>45924</v>
      </c>
      <c r="O162" s="74">
        <v>45925</v>
      </c>
      <c r="P162" s="75" t="s">
        <v>188</v>
      </c>
      <c r="Q162" s="76" t="s">
        <v>305</v>
      </c>
      <c r="R162" s="64" t="s">
        <v>98</v>
      </c>
      <c r="S162" s="77" t="s">
        <v>963</v>
      </c>
      <c r="T162" s="74" t="s">
        <v>100</v>
      </c>
      <c r="U162" s="64" t="s">
        <v>998</v>
      </c>
      <c r="V162" s="70" t="s">
        <v>113</v>
      </c>
      <c r="W162" s="78" t="s">
        <v>114</v>
      </c>
      <c r="X162" s="68" t="s">
        <v>575</v>
      </c>
      <c r="Y162" s="64">
        <v>1</v>
      </c>
      <c r="Z162" s="79">
        <v>0</v>
      </c>
      <c r="AA162" s="80">
        <f>'BASE FACTURACION 2025'!$C$3</f>
        <v>122645.45276000001</v>
      </c>
      <c r="AB162" s="80">
        <f>'BASE FACTURACION 2025'!$F$3</f>
        <v>65164.677720000007</v>
      </c>
      <c r="AC162" s="80">
        <f t="shared" si="2"/>
        <v>122645.45276000001</v>
      </c>
    </row>
    <row r="163" spans="1:29" ht="13.15">
      <c r="A163" s="64" t="s">
        <v>346</v>
      </c>
      <c r="B163" s="65" t="str">
        <f>VLOOKUP(A163,'CENTRO DE COSTOS'!A:D,4,FALSE)</f>
        <v>MIGUEL JULIÁN HERNÁNDEZ GUARÍN</v>
      </c>
      <c r="C163" s="65" t="str">
        <f>VLOOKUP(A163,'CENTRO DE COSTOS'!A:D,2,FALSE)</f>
        <v>0004-0008</v>
      </c>
      <c r="D163" s="64">
        <v>15759</v>
      </c>
      <c r="E163" s="66" t="s">
        <v>999</v>
      </c>
      <c r="F163" s="67">
        <v>81686</v>
      </c>
      <c r="G163" s="68" t="s">
        <v>90</v>
      </c>
      <c r="H163" s="69" t="s">
        <v>183</v>
      </c>
      <c r="I163" s="67" t="s">
        <v>348</v>
      </c>
      <c r="J163" s="70" t="s">
        <v>1000</v>
      </c>
      <c r="K163" s="67" t="s">
        <v>1001</v>
      </c>
      <c r="L163" s="71" t="s">
        <v>95</v>
      </c>
      <c r="M163" s="72" t="s">
        <v>1002</v>
      </c>
      <c r="N163" s="73">
        <v>45924</v>
      </c>
      <c r="O163" s="74">
        <v>45925</v>
      </c>
      <c r="P163" s="75" t="s">
        <v>188</v>
      </c>
      <c r="Q163" s="76" t="s">
        <v>189</v>
      </c>
      <c r="R163" s="64" t="s">
        <v>98</v>
      </c>
      <c r="S163" s="77" t="s">
        <v>963</v>
      </c>
      <c r="T163" s="74" t="s">
        <v>100</v>
      </c>
      <c r="U163" s="64" t="s">
        <v>1003</v>
      </c>
      <c r="V163" s="70" t="s">
        <v>174</v>
      </c>
      <c r="W163" s="78" t="s">
        <v>114</v>
      </c>
      <c r="X163" s="68" t="s">
        <v>779</v>
      </c>
      <c r="Y163" s="64">
        <v>1</v>
      </c>
      <c r="Z163" s="79">
        <v>0</v>
      </c>
      <c r="AA163" s="80">
        <f>'BASE FACTURACION 2025'!$C$3</f>
        <v>122645.45276000001</v>
      </c>
      <c r="AB163" s="80">
        <f>'BASE FACTURACION 2025'!$F$3</f>
        <v>65164.677720000007</v>
      </c>
      <c r="AC163" s="80">
        <f t="shared" si="2"/>
        <v>122645.45276000001</v>
      </c>
    </row>
    <row r="164" spans="1:29" ht="13.15">
      <c r="A164" s="64" t="s">
        <v>105</v>
      </c>
      <c r="B164" s="65" t="str">
        <f>VLOOKUP(A164,'CENTRO DE COSTOS'!A:D,4,FALSE)</f>
        <v>DIEGO FERNANDO HENAO CARDONA</v>
      </c>
      <c r="C164" s="65" t="str">
        <f>VLOOKUP(A164,'CENTRO DE COSTOS'!A:D,2,FALSE)</f>
        <v>0004-0003</v>
      </c>
      <c r="D164" s="64">
        <v>19001</v>
      </c>
      <c r="E164" s="66" t="s">
        <v>1004</v>
      </c>
      <c r="F164" s="67">
        <v>81674</v>
      </c>
      <c r="G164" s="68" t="s">
        <v>90</v>
      </c>
      <c r="H164" s="69" t="s">
        <v>183</v>
      </c>
      <c r="I164" s="67" t="s">
        <v>107</v>
      </c>
      <c r="J164" s="70" t="s">
        <v>629</v>
      </c>
      <c r="K164" s="67" t="s">
        <v>1005</v>
      </c>
      <c r="L164" s="71" t="s">
        <v>95</v>
      </c>
      <c r="M164" s="72" t="s">
        <v>1006</v>
      </c>
      <c r="N164" s="73">
        <v>45924</v>
      </c>
      <c r="O164" s="74">
        <v>45925</v>
      </c>
      <c r="P164" s="75" t="s">
        <v>188</v>
      </c>
      <c r="Q164" s="76" t="s">
        <v>189</v>
      </c>
      <c r="R164" s="64" t="s">
        <v>98</v>
      </c>
      <c r="S164" s="77" t="s">
        <v>963</v>
      </c>
      <c r="T164" s="74" t="s">
        <v>100</v>
      </c>
      <c r="U164" s="64" t="s">
        <v>1007</v>
      </c>
      <c r="V164" s="70" t="s">
        <v>113</v>
      </c>
      <c r="W164" s="78" t="s">
        <v>114</v>
      </c>
      <c r="X164" s="68" t="s">
        <v>115</v>
      </c>
      <c r="Y164" s="64">
        <v>1</v>
      </c>
      <c r="Z164" s="79">
        <v>0</v>
      </c>
      <c r="AA164" s="80">
        <f>'BASE FACTURACION 2025'!$C$3</f>
        <v>122645.45276000001</v>
      </c>
      <c r="AB164" s="80">
        <f>'BASE FACTURACION 2025'!$F$3</f>
        <v>65164.677720000007</v>
      </c>
      <c r="AC164" s="80">
        <f t="shared" si="2"/>
        <v>122645.45276000001</v>
      </c>
    </row>
    <row r="165" spans="1:29" ht="13.15">
      <c r="A165" s="64" t="s">
        <v>541</v>
      </c>
      <c r="B165" s="65" t="str">
        <f>VLOOKUP(A165,'CENTRO DE COSTOS'!A:D,4,FALSE)</f>
        <v>JOSE MAURICIO HERNANDEZ ROJAS</v>
      </c>
      <c r="C165" s="65" t="str">
        <f>VLOOKUP(A165,'CENTRO DE COSTOS'!A:D,2,FALSE)</f>
        <v>0004-0001</v>
      </c>
      <c r="D165" s="64">
        <v>20011</v>
      </c>
      <c r="E165" s="66" t="s">
        <v>1008</v>
      </c>
      <c r="F165" s="67">
        <v>81621</v>
      </c>
      <c r="G165" s="68" t="s">
        <v>90</v>
      </c>
      <c r="H165" s="69" t="s">
        <v>183</v>
      </c>
      <c r="I165" s="67" t="s">
        <v>543</v>
      </c>
      <c r="J165" s="70" t="s">
        <v>1009</v>
      </c>
      <c r="K165" s="67" t="s">
        <v>1010</v>
      </c>
      <c r="L165" s="71" t="s">
        <v>95</v>
      </c>
      <c r="M165" s="72" t="s">
        <v>1011</v>
      </c>
      <c r="N165" s="73">
        <v>45924</v>
      </c>
      <c r="O165" s="74">
        <v>45926</v>
      </c>
      <c r="P165" s="75" t="s">
        <v>188</v>
      </c>
      <c r="Q165" s="76" t="s">
        <v>189</v>
      </c>
      <c r="R165" s="64" t="s">
        <v>98</v>
      </c>
      <c r="S165" s="77" t="s">
        <v>943</v>
      </c>
      <c r="T165" s="74" t="s">
        <v>100</v>
      </c>
      <c r="U165" s="64" t="s">
        <v>1012</v>
      </c>
      <c r="V165" s="70" t="s">
        <v>122</v>
      </c>
      <c r="W165" s="78" t="s">
        <v>114</v>
      </c>
      <c r="X165" s="68" t="s">
        <v>1013</v>
      </c>
      <c r="Y165" s="64">
        <v>1</v>
      </c>
      <c r="Z165" s="79">
        <v>0</v>
      </c>
      <c r="AA165" s="80">
        <f>'BASE FACTURACION 2025'!$C$3</f>
        <v>122645.45276000001</v>
      </c>
      <c r="AB165" s="80">
        <f>'BASE FACTURACION 2025'!$F$3</f>
        <v>65164.677720000007</v>
      </c>
      <c r="AC165" s="80">
        <f t="shared" si="2"/>
        <v>122645.45276000001</v>
      </c>
    </row>
    <row r="166" spans="1:29" ht="13.15">
      <c r="A166" s="64" t="s">
        <v>132</v>
      </c>
      <c r="B166" s="65" t="str">
        <f>VLOOKUP(A166,'CENTRO DE COSTOS'!A:D,4,FALSE)</f>
        <v>JOSE MAURICIO HERNANDEZ ROJAS</v>
      </c>
      <c r="C166" s="65" t="str">
        <f>VLOOKUP(A166,'CENTRO DE COSTOS'!A:D,2,FALSE)</f>
        <v>0004-0001</v>
      </c>
      <c r="D166" s="64">
        <v>23001</v>
      </c>
      <c r="E166" s="66" t="s">
        <v>1014</v>
      </c>
      <c r="F166" s="67">
        <v>81668</v>
      </c>
      <c r="G166" s="68" t="s">
        <v>90</v>
      </c>
      <c r="H166" s="69" t="s">
        <v>183</v>
      </c>
      <c r="I166" s="67" t="s">
        <v>134</v>
      </c>
      <c r="J166" s="70" t="s">
        <v>132</v>
      </c>
      <c r="K166" s="67" t="s">
        <v>1015</v>
      </c>
      <c r="L166" s="71" t="s">
        <v>95</v>
      </c>
      <c r="M166" s="72" t="s">
        <v>1016</v>
      </c>
      <c r="N166" s="73">
        <v>45924</v>
      </c>
      <c r="O166" s="74">
        <v>45930</v>
      </c>
      <c r="P166" s="75" t="s">
        <v>188</v>
      </c>
      <c r="Q166" s="76" t="s">
        <v>305</v>
      </c>
      <c r="R166" s="64" t="s">
        <v>98</v>
      </c>
      <c r="S166" s="77" t="s">
        <v>1017</v>
      </c>
      <c r="T166" s="74" t="s">
        <v>100</v>
      </c>
      <c r="U166" s="64" t="s">
        <v>1018</v>
      </c>
      <c r="V166" s="70" t="s">
        <v>130</v>
      </c>
      <c r="W166" s="78" t="s">
        <v>114</v>
      </c>
      <c r="X166" s="68" t="s">
        <v>1019</v>
      </c>
      <c r="Y166" s="64">
        <v>1</v>
      </c>
      <c r="Z166" s="79">
        <v>0</v>
      </c>
      <c r="AA166" s="80">
        <f>'BASE FACTURACION 2025'!$C$3</f>
        <v>122645.45276000001</v>
      </c>
      <c r="AB166" s="80">
        <f>'BASE FACTURACION 2025'!$F$3</f>
        <v>65164.677720000007</v>
      </c>
      <c r="AC166" s="80">
        <f t="shared" si="2"/>
        <v>122645.45276000001</v>
      </c>
    </row>
    <row r="167" spans="1:29" ht="13.15">
      <c r="A167" s="64" t="s">
        <v>132</v>
      </c>
      <c r="B167" s="65" t="str">
        <f>VLOOKUP(A167,'CENTRO DE COSTOS'!A:D,4,FALSE)</f>
        <v>JOSE MAURICIO HERNANDEZ ROJAS</v>
      </c>
      <c r="C167" s="65" t="str">
        <f>VLOOKUP(A167,'CENTRO DE COSTOS'!A:D,2,FALSE)</f>
        <v>0004-0001</v>
      </c>
      <c r="D167" s="64">
        <v>23350</v>
      </c>
      <c r="E167" s="66" t="s">
        <v>1020</v>
      </c>
      <c r="F167" s="67">
        <v>81661</v>
      </c>
      <c r="G167" s="68" t="s">
        <v>90</v>
      </c>
      <c r="H167" s="69" t="s">
        <v>183</v>
      </c>
      <c r="I167" s="67" t="s">
        <v>134</v>
      </c>
      <c r="J167" s="70" t="s">
        <v>1021</v>
      </c>
      <c r="K167" s="67" t="s">
        <v>1022</v>
      </c>
      <c r="L167" s="71" t="s">
        <v>95</v>
      </c>
      <c r="M167" s="72" t="s">
        <v>1023</v>
      </c>
      <c r="N167" s="73">
        <v>45924</v>
      </c>
      <c r="O167" s="74">
        <v>45926</v>
      </c>
      <c r="P167" s="75" t="s">
        <v>188</v>
      </c>
      <c r="Q167" s="76" t="s">
        <v>189</v>
      </c>
      <c r="R167" s="64" t="s">
        <v>98</v>
      </c>
      <c r="S167" s="77" t="s">
        <v>943</v>
      </c>
      <c r="T167" s="74" t="s">
        <v>100</v>
      </c>
      <c r="U167" s="64" t="s">
        <v>1024</v>
      </c>
      <c r="V167" s="70" t="s">
        <v>174</v>
      </c>
      <c r="W167" s="78" t="s">
        <v>114</v>
      </c>
      <c r="X167" s="68" t="s">
        <v>139</v>
      </c>
      <c r="Y167" s="64">
        <v>1</v>
      </c>
      <c r="Z167" s="79">
        <v>0</v>
      </c>
      <c r="AA167" s="80">
        <f>'BASE FACTURACION 2025'!$C$3</f>
        <v>122645.45276000001</v>
      </c>
      <c r="AB167" s="80">
        <f>'BASE FACTURACION 2025'!$F$3</f>
        <v>65164.677720000007</v>
      </c>
      <c r="AC167" s="80">
        <f t="shared" si="2"/>
        <v>122645.45276000001</v>
      </c>
    </row>
    <row r="168" spans="1:29" ht="13.15">
      <c r="A168" s="64" t="s">
        <v>132</v>
      </c>
      <c r="B168" s="65" t="str">
        <f>VLOOKUP(A168,'CENTRO DE COSTOS'!A:D,4,FALSE)</f>
        <v>JOSE MAURICIO HERNANDEZ ROJAS</v>
      </c>
      <c r="C168" s="65" t="str">
        <f>VLOOKUP(A168,'CENTRO DE COSTOS'!A:D,2,FALSE)</f>
        <v>0004-0001</v>
      </c>
      <c r="D168" s="64">
        <v>23660</v>
      </c>
      <c r="E168" s="66" t="s">
        <v>1025</v>
      </c>
      <c r="F168" s="67">
        <v>81679</v>
      </c>
      <c r="G168" s="68" t="s">
        <v>90</v>
      </c>
      <c r="H168" s="69" t="s">
        <v>183</v>
      </c>
      <c r="I168" s="67" t="s">
        <v>134</v>
      </c>
      <c r="J168" s="70" t="s">
        <v>1026</v>
      </c>
      <c r="K168" s="67" t="s">
        <v>1027</v>
      </c>
      <c r="L168" s="71" t="s">
        <v>95</v>
      </c>
      <c r="M168" s="72" t="s">
        <v>1028</v>
      </c>
      <c r="N168" s="73">
        <v>45924</v>
      </c>
      <c r="O168" s="74">
        <v>45925</v>
      </c>
      <c r="P168" s="75" t="s">
        <v>188</v>
      </c>
      <c r="Q168" s="76" t="s">
        <v>189</v>
      </c>
      <c r="R168" s="64" t="s">
        <v>98</v>
      </c>
      <c r="S168" s="77" t="s">
        <v>934</v>
      </c>
      <c r="T168" s="74" t="s">
        <v>100</v>
      </c>
      <c r="U168" s="64" t="s">
        <v>1029</v>
      </c>
      <c r="V168" s="70" t="s">
        <v>174</v>
      </c>
      <c r="W168" s="78" t="s">
        <v>114</v>
      </c>
      <c r="X168" s="68" t="s">
        <v>139</v>
      </c>
      <c r="Y168" s="64">
        <v>1</v>
      </c>
      <c r="Z168" s="79">
        <v>0</v>
      </c>
      <c r="AA168" s="80">
        <f>'BASE FACTURACION 2025'!$C$3</f>
        <v>122645.45276000001</v>
      </c>
      <c r="AB168" s="80">
        <f>'BASE FACTURACION 2025'!$F$3</f>
        <v>65164.677720000007</v>
      </c>
      <c r="AC168" s="80">
        <f t="shared" si="2"/>
        <v>122645.45276000001</v>
      </c>
    </row>
    <row r="169" spans="1:29" ht="13.15">
      <c r="A169" s="64" t="s">
        <v>132</v>
      </c>
      <c r="B169" s="65" t="str">
        <f>VLOOKUP(A169,'CENTRO DE COSTOS'!A:D,4,FALSE)</f>
        <v>JOSE MAURICIO HERNANDEZ ROJAS</v>
      </c>
      <c r="C169" s="65" t="str">
        <f>VLOOKUP(A169,'CENTRO DE COSTOS'!A:D,2,FALSE)</f>
        <v>0004-0001</v>
      </c>
      <c r="D169" s="64">
        <v>23686</v>
      </c>
      <c r="E169" s="66" t="s">
        <v>1030</v>
      </c>
      <c r="F169" s="67">
        <v>81681</v>
      </c>
      <c r="G169" s="68" t="s">
        <v>90</v>
      </c>
      <c r="H169" s="69" t="s">
        <v>183</v>
      </c>
      <c r="I169" s="67" t="s">
        <v>134</v>
      </c>
      <c r="J169" s="70" t="s">
        <v>1031</v>
      </c>
      <c r="K169" s="67" t="s">
        <v>1032</v>
      </c>
      <c r="L169" s="71" t="s">
        <v>95</v>
      </c>
      <c r="M169" s="72" t="s">
        <v>1033</v>
      </c>
      <c r="N169" s="73">
        <v>45924</v>
      </c>
      <c r="O169" s="74">
        <v>45926</v>
      </c>
      <c r="P169" s="75" t="s">
        <v>188</v>
      </c>
      <c r="Q169" s="76" t="s">
        <v>189</v>
      </c>
      <c r="R169" s="64" t="s">
        <v>98</v>
      </c>
      <c r="S169" s="77" t="s">
        <v>943</v>
      </c>
      <c r="T169" s="74" t="s">
        <v>100</v>
      </c>
      <c r="U169" s="64" t="s">
        <v>1034</v>
      </c>
      <c r="V169" s="70" t="s">
        <v>174</v>
      </c>
      <c r="W169" s="78" t="s">
        <v>114</v>
      </c>
      <c r="X169" s="68" t="s">
        <v>554</v>
      </c>
      <c r="Y169" s="64">
        <v>1</v>
      </c>
      <c r="Z169" s="79">
        <v>0</v>
      </c>
      <c r="AA169" s="80">
        <f>'BASE FACTURACION 2025'!$C$3</f>
        <v>122645.45276000001</v>
      </c>
      <c r="AB169" s="80">
        <f>'BASE FACTURACION 2025'!$F$3</f>
        <v>65164.677720000007</v>
      </c>
      <c r="AC169" s="80">
        <f t="shared" si="2"/>
        <v>122645.45276000001</v>
      </c>
    </row>
    <row r="170" spans="1:29" ht="13.15">
      <c r="A170" s="64" t="s">
        <v>200</v>
      </c>
      <c r="B170" s="65" t="str">
        <f>VLOOKUP(A170,'CENTRO DE COSTOS'!A:D,4,FALSE)</f>
        <v>JUAN SEBASTIÁN RÍOS CASTRILLÓN</v>
      </c>
      <c r="C170" s="65" t="str">
        <f>VLOOKUP(A170,'CENTRO DE COSTOS'!A:D,2,FALSE)</f>
        <v>0004-0005</v>
      </c>
      <c r="D170" s="64">
        <v>27615</v>
      </c>
      <c r="E170" s="66" t="s">
        <v>1035</v>
      </c>
      <c r="F170" s="67">
        <v>81633</v>
      </c>
      <c r="G170" s="68" t="s">
        <v>90</v>
      </c>
      <c r="H170" s="69" t="s">
        <v>183</v>
      </c>
      <c r="I170" s="67" t="s">
        <v>871</v>
      </c>
      <c r="J170" s="70" t="s">
        <v>218</v>
      </c>
      <c r="K170" s="67" t="s">
        <v>1036</v>
      </c>
      <c r="L170" s="71" t="s">
        <v>95</v>
      </c>
      <c r="M170" s="72" t="s">
        <v>1037</v>
      </c>
      <c r="N170" s="73">
        <v>45924</v>
      </c>
      <c r="O170" s="74">
        <v>45930</v>
      </c>
      <c r="P170" s="75" t="s">
        <v>188</v>
      </c>
      <c r="Q170" s="76" t="s">
        <v>189</v>
      </c>
      <c r="R170" s="64" t="s">
        <v>98</v>
      </c>
      <c r="S170" s="77" t="s">
        <v>993</v>
      </c>
      <c r="T170" s="74" t="s">
        <v>100</v>
      </c>
      <c r="U170" s="64" t="s">
        <v>1038</v>
      </c>
      <c r="V170" s="70" t="s">
        <v>102</v>
      </c>
      <c r="W170" s="78" t="s">
        <v>762</v>
      </c>
      <c r="X170" s="68" t="s">
        <v>609</v>
      </c>
      <c r="Y170" s="64">
        <v>1</v>
      </c>
      <c r="Z170" s="79">
        <v>0</v>
      </c>
      <c r="AA170" s="80">
        <f>'BASE FACTURACION 2025'!$C$3</f>
        <v>122645.45276000001</v>
      </c>
      <c r="AB170" s="80">
        <f>'BASE FACTURACION 2025'!$F$3</f>
        <v>65164.677720000007</v>
      </c>
      <c r="AC170" s="80">
        <f t="shared" si="2"/>
        <v>122645.45276000001</v>
      </c>
    </row>
    <row r="171" spans="1:29" ht="13.15">
      <c r="A171" s="64" t="s">
        <v>88</v>
      </c>
      <c r="B171" s="65" t="str">
        <f>VLOOKUP(A171,'CENTRO DE COSTOS'!A:D,4,FALSE)</f>
        <v>DIEGO FERNANDO HENAO CARDONA</v>
      </c>
      <c r="C171" s="65" t="str">
        <f>VLOOKUP(A171,'CENTRO DE COSTOS'!A:D,2,FALSE)</f>
        <v>0004-0003</v>
      </c>
      <c r="D171" s="64">
        <v>52001</v>
      </c>
      <c r="E171" s="66" t="s">
        <v>1039</v>
      </c>
      <c r="F171" s="67">
        <v>81672</v>
      </c>
      <c r="G171" s="68" t="s">
        <v>90</v>
      </c>
      <c r="H171" s="69" t="s">
        <v>183</v>
      </c>
      <c r="I171" s="67" t="s">
        <v>92</v>
      </c>
      <c r="J171" s="70" t="s">
        <v>88</v>
      </c>
      <c r="K171" s="67" t="s">
        <v>1040</v>
      </c>
      <c r="L171" s="71" t="s">
        <v>95</v>
      </c>
      <c r="M171" s="72" t="s">
        <v>1041</v>
      </c>
      <c r="N171" s="73">
        <v>45924</v>
      </c>
      <c r="O171" s="74">
        <v>45925</v>
      </c>
      <c r="P171" s="75" t="s">
        <v>188</v>
      </c>
      <c r="Q171" s="76" t="s">
        <v>189</v>
      </c>
      <c r="R171" s="64" t="s">
        <v>98</v>
      </c>
      <c r="S171" s="77" t="s">
        <v>934</v>
      </c>
      <c r="T171" s="74" t="s">
        <v>100</v>
      </c>
      <c r="U171" s="64" t="s">
        <v>1042</v>
      </c>
      <c r="V171" s="70" t="s">
        <v>130</v>
      </c>
      <c r="W171" s="78" t="s">
        <v>114</v>
      </c>
      <c r="X171" s="68" t="s">
        <v>192</v>
      </c>
      <c r="Y171" s="64">
        <v>1</v>
      </c>
      <c r="Z171" s="79">
        <v>0</v>
      </c>
      <c r="AA171" s="80">
        <f>'BASE FACTURACION 2025'!$C$3</f>
        <v>122645.45276000001</v>
      </c>
      <c r="AB171" s="80">
        <f>'BASE FACTURACION 2025'!$F$3</f>
        <v>65164.677720000007</v>
      </c>
      <c r="AC171" s="80">
        <f t="shared" si="2"/>
        <v>122645.45276000001</v>
      </c>
    </row>
    <row r="172" spans="1:29" ht="13.15">
      <c r="A172" s="64" t="s">
        <v>88</v>
      </c>
      <c r="B172" s="65" t="str">
        <f>VLOOKUP(A172,'CENTRO DE COSTOS'!A:D,4,FALSE)</f>
        <v>DIEGO FERNANDO HENAO CARDONA</v>
      </c>
      <c r="C172" s="65" t="str">
        <f>VLOOKUP(A172,'CENTRO DE COSTOS'!A:D,2,FALSE)</f>
        <v>0004-0003</v>
      </c>
      <c r="D172" s="64">
        <v>52110</v>
      </c>
      <c r="E172" s="66" t="s">
        <v>1043</v>
      </c>
      <c r="F172" s="67">
        <v>81635</v>
      </c>
      <c r="G172" s="68" t="s">
        <v>90</v>
      </c>
      <c r="H172" s="69" t="s">
        <v>183</v>
      </c>
      <c r="I172" s="67" t="s">
        <v>92</v>
      </c>
      <c r="J172" s="70" t="s">
        <v>1044</v>
      </c>
      <c r="K172" s="67" t="s">
        <v>1045</v>
      </c>
      <c r="L172" s="71" t="s">
        <v>95</v>
      </c>
      <c r="M172" s="72" t="s">
        <v>1046</v>
      </c>
      <c r="N172" s="73">
        <v>45924</v>
      </c>
      <c r="O172" s="74">
        <v>45926</v>
      </c>
      <c r="P172" s="75" t="s">
        <v>188</v>
      </c>
      <c r="Q172" s="76" t="s">
        <v>189</v>
      </c>
      <c r="R172" s="64" t="s">
        <v>98</v>
      </c>
      <c r="S172" s="77" t="s">
        <v>943</v>
      </c>
      <c r="T172" s="74" t="s">
        <v>100</v>
      </c>
      <c r="U172" s="64" t="s">
        <v>1047</v>
      </c>
      <c r="V172" s="70" t="s">
        <v>174</v>
      </c>
      <c r="W172" s="78" t="s">
        <v>114</v>
      </c>
      <c r="X172" s="68" t="s">
        <v>789</v>
      </c>
      <c r="Y172" s="64">
        <v>1</v>
      </c>
      <c r="Z172" s="79">
        <v>0</v>
      </c>
      <c r="AA172" s="80">
        <f>'BASE FACTURACION 2025'!$C$3</f>
        <v>122645.45276000001</v>
      </c>
      <c r="AB172" s="80">
        <f>'BASE FACTURACION 2025'!$F$3</f>
        <v>65164.677720000007</v>
      </c>
      <c r="AC172" s="80">
        <f t="shared" si="2"/>
        <v>122645.45276000001</v>
      </c>
    </row>
    <row r="173" spans="1:29" ht="13.15">
      <c r="A173" s="64" t="s">
        <v>243</v>
      </c>
      <c r="B173" s="65" t="str">
        <f>VLOOKUP(A173,'CENTRO DE COSTOS'!A:D,4,FALSE)</f>
        <v>MIGUEL JULIÁN HERNÁNDEZ GUARÍN</v>
      </c>
      <c r="C173" s="65" t="str">
        <f>VLOOKUP(A173,'CENTRO DE COSTOS'!A:D,2,FALSE)</f>
        <v>0004-0008</v>
      </c>
      <c r="D173" s="64">
        <v>54001</v>
      </c>
      <c r="E173" s="66" t="s">
        <v>1048</v>
      </c>
      <c r="F173" s="67">
        <v>81650</v>
      </c>
      <c r="G173" s="68" t="s">
        <v>90</v>
      </c>
      <c r="H173" s="69" t="s">
        <v>183</v>
      </c>
      <c r="I173" s="67" t="s">
        <v>245</v>
      </c>
      <c r="J173" s="70" t="s">
        <v>243</v>
      </c>
      <c r="K173" s="67" t="s">
        <v>1049</v>
      </c>
      <c r="L173" s="71" t="s">
        <v>95</v>
      </c>
      <c r="M173" s="72" t="s">
        <v>1050</v>
      </c>
      <c r="N173" s="73">
        <v>45924</v>
      </c>
      <c r="O173" s="74">
        <v>45925</v>
      </c>
      <c r="P173" s="75" t="s">
        <v>188</v>
      </c>
      <c r="Q173" s="76" t="s">
        <v>189</v>
      </c>
      <c r="R173" s="64" t="s">
        <v>98</v>
      </c>
      <c r="S173" s="77" t="s">
        <v>934</v>
      </c>
      <c r="T173" s="74" t="s">
        <v>100</v>
      </c>
      <c r="U173" s="64" t="s">
        <v>1051</v>
      </c>
      <c r="V173" s="70" t="s">
        <v>130</v>
      </c>
      <c r="W173" s="78" t="s">
        <v>114</v>
      </c>
      <c r="X173" s="68" t="s">
        <v>256</v>
      </c>
      <c r="Y173" s="64">
        <v>1</v>
      </c>
      <c r="Z173" s="79">
        <v>0</v>
      </c>
      <c r="AA173" s="80">
        <f>'BASE FACTURACION 2025'!$C$3</f>
        <v>122645.45276000001</v>
      </c>
      <c r="AB173" s="80">
        <f>'BASE FACTURACION 2025'!$F$3</f>
        <v>65164.677720000007</v>
      </c>
      <c r="AC173" s="80">
        <f t="shared" si="2"/>
        <v>122645.45276000001</v>
      </c>
    </row>
    <row r="174" spans="1:29" ht="13.15">
      <c r="A174" s="64" t="s">
        <v>243</v>
      </c>
      <c r="B174" s="65" t="str">
        <f>VLOOKUP(A174,'CENTRO DE COSTOS'!A:D,4,FALSE)</f>
        <v>MIGUEL JULIÁN HERNÁNDEZ GUARÍN</v>
      </c>
      <c r="C174" s="65" t="str">
        <f>VLOOKUP(A174,'CENTRO DE COSTOS'!A:D,2,FALSE)</f>
        <v>0004-0008</v>
      </c>
      <c r="D174" s="64">
        <v>54001</v>
      </c>
      <c r="E174" s="66" t="s">
        <v>1052</v>
      </c>
      <c r="F174" s="67">
        <v>81651</v>
      </c>
      <c r="G174" s="68" t="s">
        <v>90</v>
      </c>
      <c r="H174" s="69" t="s">
        <v>183</v>
      </c>
      <c r="I174" s="67" t="s">
        <v>245</v>
      </c>
      <c r="J174" s="70" t="s">
        <v>243</v>
      </c>
      <c r="K174" s="67" t="s">
        <v>1053</v>
      </c>
      <c r="L174" s="71" t="s">
        <v>95</v>
      </c>
      <c r="M174" s="72" t="s">
        <v>1054</v>
      </c>
      <c r="N174" s="73">
        <v>45924</v>
      </c>
      <c r="O174" s="74">
        <v>45925</v>
      </c>
      <c r="P174" s="75" t="s">
        <v>188</v>
      </c>
      <c r="Q174" s="76" t="s">
        <v>189</v>
      </c>
      <c r="R174" s="64" t="s">
        <v>98</v>
      </c>
      <c r="S174" s="77" t="s">
        <v>934</v>
      </c>
      <c r="T174" s="74" t="s">
        <v>100</v>
      </c>
      <c r="U174" s="64" t="s">
        <v>1055</v>
      </c>
      <c r="V174" s="70" t="s">
        <v>130</v>
      </c>
      <c r="W174" s="78" t="s">
        <v>114</v>
      </c>
      <c r="X174" s="68" t="s">
        <v>250</v>
      </c>
      <c r="Y174" s="64">
        <v>1</v>
      </c>
      <c r="Z174" s="79">
        <v>0</v>
      </c>
      <c r="AA174" s="80">
        <f>'BASE FACTURACION 2025'!$C$3</f>
        <v>122645.45276000001</v>
      </c>
      <c r="AB174" s="80">
        <f>'BASE FACTURACION 2025'!$F$3</f>
        <v>65164.677720000007</v>
      </c>
      <c r="AC174" s="80">
        <f t="shared" si="2"/>
        <v>122645.45276000001</v>
      </c>
    </row>
    <row r="175" spans="1:29" ht="13.15">
      <c r="A175" s="64" t="s">
        <v>243</v>
      </c>
      <c r="B175" s="65" t="str">
        <f>VLOOKUP(A175,'CENTRO DE COSTOS'!A:D,4,FALSE)</f>
        <v>MIGUEL JULIÁN HERNÁNDEZ GUARÍN</v>
      </c>
      <c r="C175" s="65" t="str">
        <f>VLOOKUP(A175,'CENTRO DE COSTOS'!A:D,2,FALSE)</f>
        <v>0004-0008</v>
      </c>
      <c r="D175" s="64">
        <v>54001</v>
      </c>
      <c r="E175" s="66" t="s">
        <v>1056</v>
      </c>
      <c r="F175" s="67">
        <v>81652</v>
      </c>
      <c r="G175" s="68" t="s">
        <v>90</v>
      </c>
      <c r="H175" s="69" t="s">
        <v>183</v>
      </c>
      <c r="I175" s="67" t="s">
        <v>245</v>
      </c>
      <c r="J175" s="70" t="s">
        <v>243</v>
      </c>
      <c r="K175" s="67" t="s">
        <v>1057</v>
      </c>
      <c r="L175" s="71" t="s">
        <v>95</v>
      </c>
      <c r="M175" s="72" t="s">
        <v>1058</v>
      </c>
      <c r="N175" s="73">
        <v>45924</v>
      </c>
      <c r="O175" s="74">
        <v>45925</v>
      </c>
      <c r="P175" s="75" t="s">
        <v>188</v>
      </c>
      <c r="Q175" s="76" t="s">
        <v>189</v>
      </c>
      <c r="R175" s="64" t="s">
        <v>98</v>
      </c>
      <c r="S175" s="77" t="s">
        <v>934</v>
      </c>
      <c r="T175" s="74" t="s">
        <v>100</v>
      </c>
      <c r="U175" s="64" t="s">
        <v>1059</v>
      </c>
      <c r="V175" s="70" t="s">
        <v>130</v>
      </c>
      <c r="W175" s="78" t="s">
        <v>114</v>
      </c>
      <c r="X175" s="68" t="s">
        <v>411</v>
      </c>
      <c r="Y175" s="64">
        <v>1</v>
      </c>
      <c r="Z175" s="79">
        <v>0</v>
      </c>
      <c r="AA175" s="80">
        <f>'BASE FACTURACION 2025'!$C$3</f>
        <v>122645.45276000001</v>
      </c>
      <c r="AB175" s="80">
        <f>'BASE FACTURACION 2025'!$F$3</f>
        <v>65164.677720000007</v>
      </c>
      <c r="AC175" s="80">
        <f t="shared" si="2"/>
        <v>122645.45276000001</v>
      </c>
    </row>
    <row r="176" spans="1:29" ht="13.15">
      <c r="A176" s="64" t="s">
        <v>243</v>
      </c>
      <c r="B176" s="65" t="str">
        <f>VLOOKUP(A176,'CENTRO DE COSTOS'!A:D,4,FALSE)</f>
        <v>MIGUEL JULIÁN HERNÁNDEZ GUARÍN</v>
      </c>
      <c r="C176" s="65" t="str">
        <f>VLOOKUP(A176,'CENTRO DE COSTOS'!A:D,2,FALSE)</f>
        <v>0004-0008</v>
      </c>
      <c r="D176" s="64">
        <v>54405</v>
      </c>
      <c r="E176" s="66" t="s">
        <v>1060</v>
      </c>
      <c r="F176" s="67">
        <v>81665</v>
      </c>
      <c r="G176" s="68" t="s">
        <v>90</v>
      </c>
      <c r="H176" s="69" t="s">
        <v>183</v>
      </c>
      <c r="I176" s="67" t="s">
        <v>245</v>
      </c>
      <c r="J176" s="70" t="s">
        <v>1061</v>
      </c>
      <c r="K176" s="67" t="s">
        <v>1062</v>
      </c>
      <c r="L176" s="71" t="s">
        <v>95</v>
      </c>
      <c r="M176" s="72" t="s">
        <v>1063</v>
      </c>
      <c r="N176" s="73">
        <v>45924</v>
      </c>
      <c r="O176" s="74">
        <v>45925</v>
      </c>
      <c r="P176" s="75" t="s">
        <v>188</v>
      </c>
      <c r="Q176" s="76" t="s">
        <v>189</v>
      </c>
      <c r="R176" s="64" t="s">
        <v>98</v>
      </c>
      <c r="S176" s="77" t="s">
        <v>934</v>
      </c>
      <c r="T176" s="74" t="s">
        <v>100</v>
      </c>
      <c r="U176" s="64" t="s">
        <v>1064</v>
      </c>
      <c r="V176" s="70" t="s">
        <v>130</v>
      </c>
      <c r="W176" s="78" t="s">
        <v>114</v>
      </c>
      <c r="X176" s="68" t="s">
        <v>275</v>
      </c>
      <c r="Y176" s="64">
        <v>1</v>
      </c>
      <c r="Z176" s="79">
        <v>0</v>
      </c>
      <c r="AA176" s="80">
        <f>'BASE FACTURACION 2025'!$C$3</f>
        <v>122645.45276000001</v>
      </c>
      <c r="AB176" s="80">
        <f>'BASE FACTURACION 2025'!$F$3</f>
        <v>65164.677720000007</v>
      </c>
      <c r="AC176" s="80">
        <f t="shared" si="2"/>
        <v>122645.45276000001</v>
      </c>
    </row>
    <row r="177" spans="1:29" ht="13.15">
      <c r="A177" s="64" t="s">
        <v>243</v>
      </c>
      <c r="B177" s="65" t="str">
        <f>VLOOKUP(A177,'CENTRO DE COSTOS'!A:D,4,FALSE)</f>
        <v>MIGUEL JULIÁN HERNÁNDEZ GUARÍN</v>
      </c>
      <c r="C177" s="65" t="str">
        <f>VLOOKUP(A177,'CENTRO DE COSTOS'!A:D,2,FALSE)</f>
        <v>0004-0008</v>
      </c>
      <c r="D177" s="64">
        <v>54498</v>
      </c>
      <c r="E177" s="66" t="s">
        <v>1065</v>
      </c>
      <c r="F177" s="67">
        <v>81669</v>
      </c>
      <c r="G177" s="68" t="s">
        <v>90</v>
      </c>
      <c r="H177" s="69" t="s">
        <v>183</v>
      </c>
      <c r="I177" s="67" t="s">
        <v>245</v>
      </c>
      <c r="J177" s="70" t="s">
        <v>1066</v>
      </c>
      <c r="K177" s="67" t="s">
        <v>1067</v>
      </c>
      <c r="L177" s="71" t="s">
        <v>95</v>
      </c>
      <c r="M177" s="72" t="s">
        <v>1068</v>
      </c>
      <c r="N177" s="73">
        <v>45924</v>
      </c>
      <c r="O177" s="74">
        <v>45926</v>
      </c>
      <c r="P177" s="75" t="s">
        <v>188</v>
      </c>
      <c r="Q177" s="76" t="s">
        <v>189</v>
      </c>
      <c r="R177" s="64" t="s">
        <v>98</v>
      </c>
      <c r="S177" s="77" t="s">
        <v>943</v>
      </c>
      <c r="T177" s="74" t="s">
        <v>100</v>
      </c>
      <c r="U177" s="64" t="s">
        <v>1069</v>
      </c>
      <c r="V177" s="70" t="s">
        <v>122</v>
      </c>
      <c r="W177" s="78" t="s">
        <v>114</v>
      </c>
      <c r="X177" s="68" t="s">
        <v>1070</v>
      </c>
      <c r="Y177" s="64">
        <v>1</v>
      </c>
      <c r="Z177" s="79">
        <v>0</v>
      </c>
      <c r="AA177" s="80">
        <f>'BASE FACTURACION 2025'!$C$3</f>
        <v>122645.45276000001</v>
      </c>
      <c r="AB177" s="80">
        <f>'BASE FACTURACION 2025'!$F$3</f>
        <v>65164.677720000007</v>
      </c>
      <c r="AC177" s="80">
        <f t="shared" si="2"/>
        <v>122645.45276000001</v>
      </c>
    </row>
    <row r="178" spans="1:29" ht="13.15">
      <c r="A178" s="64" t="s">
        <v>123</v>
      </c>
      <c r="B178" s="65" t="str">
        <f>VLOOKUP(A178,'CENTRO DE COSTOS'!A:D,4,FALSE)</f>
        <v>DIEGO FERNANDO HENAO CARDONA</v>
      </c>
      <c r="C178" s="65" t="str">
        <f>VLOOKUP(A178,'CENTRO DE COSTOS'!A:D,2,FALSE)</f>
        <v>0004-0002</v>
      </c>
      <c r="D178" s="64">
        <v>66400</v>
      </c>
      <c r="E178" s="66" t="s">
        <v>1071</v>
      </c>
      <c r="F178" s="67">
        <v>81663</v>
      </c>
      <c r="G178" s="68" t="s">
        <v>90</v>
      </c>
      <c r="H178" s="69" t="s">
        <v>183</v>
      </c>
      <c r="I178" s="67" t="s">
        <v>125</v>
      </c>
      <c r="J178" s="70" t="s">
        <v>1072</v>
      </c>
      <c r="K178" s="67" t="s">
        <v>1073</v>
      </c>
      <c r="L178" s="71" t="s">
        <v>95</v>
      </c>
      <c r="M178" s="72" t="s">
        <v>1074</v>
      </c>
      <c r="N178" s="73">
        <v>45924</v>
      </c>
      <c r="O178" s="74">
        <v>45925</v>
      </c>
      <c r="P178" s="75" t="s">
        <v>188</v>
      </c>
      <c r="Q178" s="76" t="s">
        <v>189</v>
      </c>
      <c r="R178" s="64" t="s">
        <v>98</v>
      </c>
      <c r="S178" s="77" t="s">
        <v>963</v>
      </c>
      <c r="T178" s="74" t="s">
        <v>100</v>
      </c>
      <c r="U178" s="64" t="s">
        <v>1075</v>
      </c>
      <c r="V178" s="70" t="s">
        <v>130</v>
      </c>
      <c r="W178" s="78" t="s">
        <v>114</v>
      </c>
      <c r="X178" s="68" t="s">
        <v>223</v>
      </c>
      <c r="Y178" s="64">
        <v>1</v>
      </c>
      <c r="Z178" s="79">
        <v>0</v>
      </c>
      <c r="AA178" s="80">
        <f>'BASE FACTURACION 2025'!$C$3</f>
        <v>122645.45276000001</v>
      </c>
      <c r="AB178" s="80">
        <f>'BASE FACTURACION 2025'!$F$3</f>
        <v>65164.677720000007</v>
      </c>
      <c r="AC178" s="80">
        <f t="shared" si="2"/>
        <v>122645.45276000001</v>
      </c>
    </row>
    <row r="179" spans="1:29" ht="13.15">
      <c r="A179" s="64" t="s">
        <v>166</v>
      </c>
      <c r="B179" s="65" t="str">
        <f>VLOOKUP(A179,'CENTRO DE COSTOS'!A:D,4,FALSE)</f>
        <v>MIGUEL JULIÁN HERNÁNDEZ GUARÍN</v>
      </c>
      <c r="C179" s="65" t="str">
        <f>VLOOKUP(A179,'CENTRO DE COSTOS'!A:D,2,FALSE)</f>
        <v>0004-0008</v>
      </c>
      <c r="D179" s="64">
        <v>68001</v>
      </c>
      <c r="E179" s="66" t="s">
        <v>1076</v>
      </c>
      <c r="F179" s="67">
        <v>81634</v>
      </c>
      <c r="G179" s="68" t="s">
        <v>90</v>
      </c>
      <c r="H179" s="69" t="s">
        <v>183</v>
      </c>
      <c r="I179" s="67" t="s">
        <v>168</v>
      </c>
      <c r="J179" s="70" t="s">
        <v>166</v>
      </c>
      <c r="K179" s="67" t="s">
        <v>1077</v>
      </c>
      <c r="L179" s="71" t="s">
        <v>95</v>
      </c>
      <c r="M179" s="72" t="s">
        <v>1078</v>
      </c>
      <c r="N179" s="73">
        <v>45924</v>
      </c>
      <c r="O179" s="74">
        <v>45925</v>
      </c>
      <c r="P179" s="75" t="s">
        <v>188</v>
      </c>
      <c r="Q179" s="76" t="s">
        <v>189</v>
      </c>
      <c r="R179" s="64" t="s">
        <v>98</v>
      </c>
      <c r="S179" s="77" t="s">
        <v>963</v>
      </c>
      <c r="T179" s="74" t="s">
        <v>100</v>
      </c>
      <c r="U179" s="64" t="s">
        <v>1079</v>
      </c>
      <c r="V179" s="70" t="s">
        <v>130</v>
      </c>
      <c r="W179" s="78" t="s">
        <v>114</v>
      </c>
      <c r="X179" s="68" t="s">
        <v>268</v>
      </c>
      <c r="Y179" s="64">
        <v>1</v>
      </c>
      <c r="Z179" s="79">
        <v>0</v>
      </c>
      <c r="AA179" s="80">
        <f>'BASE FACTURACION 2025'!$C$3</f>
        <v>122645.45276000001</v>
      </c>
      <c r="AB179" s="80">
        <f>'BASE FACTURACION 2025'!$F$3</f>
        <v>65164.677720000007</v>
      </c>
      <c r="AC179" s="80">
        <f t="shared" si="2"/>
        <v>122645.45276000001</v>
      </c>
    </row>
    <row r="180" spans="1:29" ht="13.15">
      <c r="A180" s="64" t="s">
        <v>166</v>
      </c>
      <c r="B180" s="65" t="str">
        <f>VLOOKUP(A180,'CENTRO DE COSTOS'!A:D,4,FALSE)</f>
        <v>MIGUEL JULIÁN HERNÁNDEZ GUARÍN</v>
      </c>
      <c r="C180" s="65" t="str">
        <f>VLOOKUP(A180,'CENTRO DE COSTOS'!A:D,2,FALSE)</f>
        <v>0004-0008</v>
      </c>
      <c r="D180" s="64">
        <v>68307</v>
      </c>
      <c r="E180" s="66" t="s">
        <v>1080</v>
      </c>
      <c r="F180" s="67">
        <v>81657</v>
      </c>
      <c r="G180" s="68" t="s">
        <v>90</v>
      </c>
      <c r="H180" s="69" t="s">
        <v>183</v>
      </c>
      <c r="I180" s="67" t="s">
        <v>168</v>
      </c>
      <c r="J180" s="70" t="s">
        <v>1081</v>
      </c>
      <c r="K180" s="67" t="s">
        <v>1082</v>
      </c>
      <c r="L180" s="71" t="s">
        <v>95</v>
      </c>
      <c r="M180" s="72" t="s">
        <v>1083</v>
      </c>
      <c r="N180" s="73">
        <v>45924</v>
      </c>
      <c r="O180" s="74">
        <v>45925</v>
      </c>
      <c r="P180" s="75" t="s">
        <v>188</v>
      </c>
      <c r="Q180" s="76" t="s">
        <v>189</v>
      </c>
      <c r="R180" s="64" t="s">
        <v>98</v>
      </c>
      <c r="S180" s="77" t="s">
        <v>963</v>
      </c>
      <c r="T180" s="74" t="s">
        <v>100</v>
      </c>
      <c r="U180" s="64" t="s">
        <v>1084</v>
      </c>
      <c r="V180" s="70" t="s">
        <v>130</v>
      </c>
      <c r="W180" s="78" t="s">
        <v>114</v>
      </c>
      <c r="X180" s="68" t="s">
        <v>692</v>
      </c>
      <c r="Y180" s="64">
        <v>1</v>
      </c>
      <c r="Z180" s="79">
        <v>0</v>
      </c>
      <c r="AA180" s="80">
        <f>'BASE FACTURACION 2025'!$C$3</f>
        <v>122645.45276000001</v>
      </c>
      <c r="AB180" s="80">
        <f>'BASE FACTURACION 2025'!$F$3</f>
        <v>65164.677720000007</v>
      </c>
      <c r="AC180" s="80">
        <f t="shared" si="2"/>
        <v>122645.45276000001</v>
      </c>
    </row>
    <row r="181" spans="1:29" ht="13.15">
      <c r="A181" s="64" t="s">
        <v>166</v>
      </c>
      <c r="B181" s="65" t="str">
        <f>VLOOKUP(A181,'CENTRO DE COSTOS'!A:D,4,FALSE)</f>
        <v>MIGUEL JULIÁN HERNÁNDEZ GUARÍN</v>
      </c>
      <c r="C181" s="65" t="str">
        <f>VLOOKUP(A181,'CENTRO DE COSTOS'!A:D,2,FALSE)</f>
        <v>0004-0008</v>
      </c>
      <c r="D181" s="64">
        <v>68406</v>
      </c>
      <c r="E181" s="66" t="s">
        <v>1085</v>
      </c>
      <c r="F181" s="67">
        <v>81664</v>
      </c>
      <c r="G181" s="68" t="s">
        <v>90</v>
      </c>
      <c r="H181" s="69" t="s">
        <v>183</v>
      </c>
      <c r="I181" s="67" t="s">
        <v>168</v>
      </c>
      <c r="J181" s="70" t="s">
        <v>910</v>
      </c>
      <c r="K181" s="67" t="s">
        <v>1086</v>
      </c>
      <c r="L181" s="71" t="s">
        <v>95</v>
      </c>
      <c r="M181" s="72" t="s">
        <v>1087</v>
      </c>
      <c r="N181" s="73">
        <v>45924</v>
      </c>
      <c r="O181" s="74">
        <v>45925</v>
      </c>
      <c r="P181" s="75" t="s">
        <v>188</v>
      </c>
      <c r="Q181" s="76" t="s">
        <v>305</v>
      </c>
      <c r="R181" s="64" t="s">
        <v>98</v>
      </c>
      <c r="S181" s="77" t="s">
        <v>963</v>
      </c>
      <c r="T181" s="74" t="s">
        <v>100</v>
      </c>
      <c r="U181" s="64" t="s">
        <v>1088</v>
      </c>
      <c r="V181" s="70" t="s">
        <v>174</v>
      </c>
      <c r="W181" s="78" t="s">
        <v>114</v>
      </c>
      <c r="X181" s="68" t="s">
        <v>685</v>
      </c>
      <c r="Y181" s="64">
        <v>1</v>
      </c>
      <c r="Z181" s="79">
        <v>0</v>
      </c>
      <c r="AA181" s="80">
        <f>'BASE FACTURACION 2025'!$C$3</f>
        <v>122645.45276000001</v>
      </c>
      <c r="AB181" s="80">
        <f>'BASE FACTURACION 2025'!$F$3</f>
        <v>65164.677720000007</v>
      </c>
      <c r="AC181" s="80">
        <f t="shared" si="2"/>
        <v>122645.45276000001</v>
      </c>
    </row>
    <row r="182" spans="1:29" ht="13.15">
      <c r="A182" s="64" t="s">
        <v>166</v>
      </c>
      <c r="B182" s="65" t="str">
        <f>VLOOKUP(A182,'CENTRO DE COSTOS'!A:D,4,FALSE)</f>
        <v>MIGUEL JULIÁN HERNÁNDEZ GUARÍN</v>
      </c>
      <c r="C182" s="65" t="str">
        <f>VLOOKUP(A182,'CENTRO DE COSTOS'!A:D,2,FALSE)</f>
        <v>0004-0008</v>
      </c>
      <c r="D182" s="64">
        <v>68872</v>
      </c>
      <c r="E182" s="66" t="s">
        <v>1089</v>
      </c>
      <c r="F182" s="67">
        <v>81693</v>
      </c>
      <c r="G182" s="68" t="s">
        <v>90</v>
      </c>
      <c r="H182" s="69" t="s">
        <v>183</v>
      </c>
      <c r="I182" s="67" t="s">
        <v>168</v>
      </c>
      <c r="J182" s="70" t="s">
        <v>687</v>
      </c>
      <c r="K182" s="67" t="s">
        <v>1090</v>
      </c>
      <c r="L182" s="71" t="s">
        <v>95</v>
      </c>
      <c r="M182" s="72" t="s">
        <v>1091</v>
      </c>
      <c r="N182" s="73">
        <v>45924</v>
      </c>
      <c r="O182" s="74">
        <v>45925</v>
      </c>
      <c r="P182" s="75" t="s">
        <v>188</v>
      </c>
      <c r="Q182" s="76" t="s">
        <v>189</v>
      </c>
      <c r="R182" s="64" t="s">
        <v>98</v>
      </c>
      <c r="S182" s="77" t="s">
        <v>963</v>
      </c>
      <c r="T182" s="74" t="s">
        <v>100</v>
      </c>
      <c r="U182" s="64" t="s">
        <v>1092</v>
      </c>
      <c r="V182" s="70" t="s">
        <v>113</v>
      </c>
      <c r="W182" s="78" t="s">
        <v>114</v>
      </c>
      <c r="X182" s="68" t="s">
        <v>175</v>
      </c>
      <c r="Y182" s="64">
        <v>1</v>
      </c>
      <c r="Z182" s="79">
        <v>0</v>
      </c>
      <c r="AA182" s="80">
        <f>'BASE FACTURACION 2025'!$C$3</f>
        <v>122645.45276000001</v>
      </c>
      <c r="AB182" s="80">
        <f>'BASE FACTURACION 2025'!$F$3</f>
        <v>65164.677720000007</v>
      </c>
      <c r="AC182" s="80">
        <f t="shared" si="2"/>
        <v>122645.45276000001</v>
      </c>
    </row>
    <row r="183" spans="1:29" ht="13.15">
      <c r="A183" s="64" t="s">
        <v>281</v>
      </c>
      <c r="B183" s="65" t="str">
        <f>VLOOKUP(A183,'CENTRO DE COSTOS'!A:D,4,FALSE)</f>
        <v>JOSE MAURICIO HERNANDEZ ROJAS</v>
      </c>
      <c r="C183" s="65" t="str">
        <f>VLOOKUP(A183,'CENTRO DE COSTOS'!A:D,2,FALSE)</f>
        <v>0004-0001</v>
      </c>
      <c r="D183" s="64">
        <v>70001</v>
      </c>
      <c r="E183" s="66" t="s">
        <v>1093</v>
      </c>
      <c r="F183" s="67">
        <v>81685</v>
      </c>
      <c r="G183" s="68" t="s">
        <v>90</v>
      </c>
      <c r="H183" s="69" t="s">
        <v>183</v>
      </c>
      <c r="I183" s="67" t="s">
        <v>283</v>
      </c>
      <c r="J183" s="70" t="s">
        <v>281</v>
      </c>
      <c r="K183" s="67" t="s">
        <v>1094</v>
      </c>
      <c r="L183" s="71" t="s">
        <v>95</v>
      </c>
      <c r="M183" s="72" t="s">
        <v>1095</v>
      </c>
      <c r="N183" s="73">
        <v>45924</v>
      </c>
      <c r="O183" s="74">
        <v>45925</v>
      </c>
      <c r="P183" s="75" t="s">
        <v>188</v>
      </c>
      <c r="Q183" s="76" t="s">
        <v>189</v>
      </c>
      <c r="R183" s="64" t="s">
        <v>98</v>
      </c>
      <c r="S183" s="77" t="s">
        <v>963</v>
      </c>
      <c r="T183" s="74" t="s">
        <v>100</v>
      </c>
      <c r="U183" s="64" t="s">
        <v>1096</v>
      </c>
      <c r="V183" s="70" t="s">
        <v>130</v>
      </c>
      <c r="W183" s="78" t="s">
        <v>114</v>
      </c>
      <c r="X183" s="68" t="s">
        <v>1097</v>
      </c>
      <c r="Y183" s="64">
        <v>1</v>
      </c>
      <c r="Z183" s="79">
        <v>0</v>
      </c>
      <c r="AA183" s="80">
        <f>'BASE FACTURACION 2025'!$C$3</f>
        <v>122645.45276000001</v>
      </c>
      <c r="AB183" s="80">
        <f>'BASE FACTURACION 2025'!$F$3</f>
        <v>65164.677720000007</v>
      </c>
      <c r="AC183" s="80">
        <f t="shared" si="2"/>
        <v>122645.45276000001</v>
      </c>
    </row>
    <row r="184" spans="1:29" ht="13.15">
      <c r="A184" s="64" t="s">
        <v>281</v>
      </c>
      <c r="B184" s="65" t="str">
        <f>VLOOKUP(A184,'CENTRO DE COSTOS'!A:D,4,FALSE)</f>
        <v>JOSE MAURICIO HERNANDEZ ROJAS</v>
      </c>
      <c r="C184" s="65" t="str">
        <f>VLOOKUP(A184,'CENTRO DE COSTOS'!A:D,2,FALSE)</f>
        <v>0004-0001</v>
      </c>
      <c r="D184" s="64">
        <v>70001</v>
      </c>
      <c r="E184" s="66" t="s">
        <v>1098</v>
      </c>
      <c r="F184" s="67">
        <v>81684</v>
      </c>
      <c r="G184" s="68" t="s">
        <v>90</v>
      </c>
      <c r="H184" s="69" t="s">
        <v>183</v>
      </c>
      <c r="I184" s="67" t="s">
        <v>283</v>
      </c>
      <c r="J184" s="70" t="s">
        <v>281</v>
      </c>
      <c r="K184" s="67" t="s">
        <v>1099</v>
      </c>
      <c r="L184" s="71" t="s">
        <v>95</v>
      </c>
      <c r="M184" s="72" t="s">
        <v>1100</v>
      </c>
      <c r="N184" s="73">
        <v>45924</v>
      </c>
      <c r="O184" s="74">
        <v>45926</v>
      </c>
      <c r="P184" s="75" t="s">
        <v>188</v>
      </c>
      <c r="Q184" s="76" t="s">
        <v>189</v>
      </c>
      <c r="R184" s="64" t="s">
        <v>98</v>
      </c>
      <c r="S184" s="77" t="s">
        <v>943</v>
      </c>
      <c r="T184" s="74" t="s">
        <v>100</v>
      </c>
      <c r="U184" s="64" t="s">
        <v>1101</v>
      </c>
      <c r="V184" s="70" t="s">
        <v>130</v>
      </c>
      <c r="W184" s="78" t="s">
        <v>114</v>
      </c>
      <c r="X184" s="68" t="s">
        <v>289</v>
      </c>
      <c r="Y184" s="64">
        <v>1</v>
      </c>
      <c r="Z184" s="79">
        <v>0</v>
      </c>
      <c r="AA184" s="80">
        <f>'BASE FACTURACION 2025'!$C$3</f>
        <v>122645.45276000001</v>
      </c>
      <c r="AB184" s="80">
        <f>'BASE FACTURACION 2025'!$F$3</f>
        <v>65164.677720000007</v>
      </c>
      <c r="AC184" s="80">
        <f t="shared" si="2"/>
        <v>122645.45276000001</v>
      </c>
    </row>
    <row r="185" spans="1:29" ht="13.15">
      <c r="A185" s="64" t="s">
        <v>438</v>
      </c>
      <c r="B185" s="65" t="str">
        <f>VLOOKUP(A185,'CENTRO DE COSTOS'!A:D,4,FALSE)</f>
        <v>KEVIN ALEXIS CORZO BUSTOS</v>
      </c>
      <c r="C185" s="65" t="str">
        <f>VLOOKUP(A185,'CENTRO DE COSTOS'!A:D,2,FALSE)</f>
        <v>0004-0007</v>
      </c>
      <c r="D185" s="64">
        <v>73001</v>
      </c>
      <c r="E185" s="66" t="s">
        <v>1102</v>
      </c>
      <c r="F185" s="67">
        <v>81658</v>
      </c>
      <c r="G185" s="68" t="s">
        <v>90</v>
      </c>
      <c r="H185" s="69" t="s">
        <v>183</v>
      </c>
      <c r="I185" s="67" t="s">
        <v>440</v>
      </c>
      <c r="J185" s="70" t="s">
        <v>438</v>
      </c>
      <c r="K185" s="67" t="s">
        <v>1103</v>
      </c>
      <c r="L185" s="71" t="s">
        <v>95</v>
      </c>
      <c r="M185" s="72" t="s">
        <v>1104</v>
      </c>
      <c r="N185" s="73">
        <v>45924</v>
      </c>
      <c r="O185" s="74">
        <v>45925</v>
      </c>
      <c r="P185" s="75" t="s">
        <v>188</v>
      </c>
      <c r="Q185" s="76" t="s">
        <v>189</v>
      </c>
      <c r="R185" s="64" t="s">
        <v>98</v>
      </c>
      <c r="S185" s="77" t="s">
        <v>963</v>
      </c>
      <c r="T185" s="74" t="s">
        <v>100</v>
      </c>
      <c r="U185" s="64" t="s">
        <v>1105</v>
      </c>
      <c r="V185" s="70" t="s">
        <v>130</v>
      </c>
      <c r="W185" s="78" t="s">
        <v>114</v>
      </c>
      <c r="X185" s="68" t="s">
        <v>444</v>
      </c>
      <c r="Y185" s="64">
        <v>1</v>
      </c>
      <c r="Z185" s="79">
        <v>0</v>
      </c>
      <c r="AA185" s="80">
        <f>'BASE FACTURACION 2025'!$C$3</f>
        <v>122645.45276000001</v>
      </c>
      <c r="AB185" s="80">
        <f>'BASE FACTURACION 2025'!$F$3</f>
        <v>65164.677720000007</v>
      </c>
      <c r="AC185" s="80">
        <f t="shared" si="2"/>
        <v>122645.45276000001</v>
      </c>
    </row>
    <row r="186" spans="1:29" ht="13.15">
      <c r="A186" s="64" t="s">
        <v>438</v>
      </c>
      <c r="B186" s="65" t="str">
        <f>VLOOKUP(A186,'CENTRO DE COSTOS'!A:D,4,FALSE)</f>
        <v>KEVIN ALEXIS CORZO BUSTOS</v>
      </c>
      <c r="C186" s="65" t="str">
        <f>VLOOKUP(A186,'CENTRO DE COSTOS'!A:D,2,FALSE)</f>
        <v>0004-0007</v>
      </c>
      <c r="D186" s="64">
        <v>73001</v>
      </c>
      <c r="E186" s="66" t="s">
        <v>1106</v>
      </c>
      <c r="F186" s="67">
        <v>81659</v>
      </c>
      <c r="G186" s="68" t="s">
        <v>90</v>
      </c>
      <c r="H186" s="69" t="s">
        <v>183</v>
      </c>
      <c r="I186" s="67" t="s">
        <v>440</v>
      </c>
      <c r="J186" s="70" t="s">
        <v>438</v>
      </c>
      <c r="K186" s="67" t="s">
        <v>1107</v>
      </c>
      <c r="L186" s="71" t="s">
        <v>95</v>
      </c>
      <c r="M186" s="72" t="s">
        <v>1108</v>
      </c>
      <c r="N186" s="73">
        <v>45924</v>
      </c>
      <c r="O186" s="74">
        <v>45926</v>
      </c>
      <c r="P186" s="75" t="s">
        <v>188</v>
      </c>
      <c r="Q186" s="76" t="s">
        <v>189</v>
      </c>
      <c r="R186" s="64" t="s">
        <v>98</v>
      </c>
      <c r="S186" s="77" t="s">
        <v>943</v>
      </c>
      <c r="T186" s="74" t="s">
        <v>100</v>
      </c>
      <c r="U186" s="64" t="s">
        <v>1109</v>
      </c>
      <c r="V186" s="70" t="s">
        <v>130</v>
      </c>
      <c r="W186" s="78" t="s">
        <v>114</v>
      </c>
      <c r="X186" s="68" t="s">
        <v>444</v>
      </c>
      <c r="Y186" s="64">
        <v>1</v>
      </c>
      <c r="Z186" s="79">
        <v>0</v>
      </c>
      <c r="AA186" s="80">
        <f>'BASE FACTURACION 2025'!$C$3</f>
        <v>122645.45276000001</v>
      </c>
      <c r="AB186" s="80">
        <f>'BASE FACTURACION 2025'!$F$3</f>
        <v>65164.677720000007</v>
      </c>
      <c r="AC186" s="80">
        <f t="shared" si="2"/>
        <v>122645.45276000001</v>
      </c>
    </row>
    <row r="187" spans="1:29" ht="13.15">
      <c r="A187" s="64" t="s">
        <v>105</v>
      </c>
      <c r="B187" s="65" t="str">
        <f>VLOOKUP(A187,'CENTRO DE COSTOS'!A:D,4,FALSE)</f>
        <v>DIEGO FERNANDO HENAO CARDONA</v>
      </c>
      <c r="C187" s="65" t="str">
        <f>VLOOKUP(A187,'CENTRO DE COSTOS'!A:D,2,FALSE)</f>
        <v>0004-0003</v>
      </c>
      <c r="D187" s="64">
        <v>76001</v>
      </c>
      <c r="E187" s="66" t="s">
        <v>1110</v>
      </c>
      <c r="F187" s="67">
        <v>81640</v>
      </c>
      <c r="G187" s="68" t="s">
        <v>90</v>
      </c>
      <c r="H187" s="69" t="s">
        <v>183</v>
      </c>
      <c r="I187" s="67" t="s">
        <v>177</v>
      </c>
      <c r="J187" s="70" t="s">
        <v>105</v>
      </c>
      <c r="K187" s="67" t="s">
        <v>1111</v>
      </c>
      <c r="L187" s="71" t="s">
        <v>95</v>
      </c>
      <c r="M187" s="72" t="s">
        <v>1112</v>
      </c>
      <c r="N187" s="73">
        <v>45924</v>
      </c>
      <c r="O187" s="74">
        <v>45925</v>
      </c>
      <c r="P187" s="75" t="s">
        <v>188</v>
      </c>
      <c r="Q187" s="76" t="s">
        <v>189</v>
      </c>
      <c r="R187" s="64" t="s">
        <v>98</v>
      </c>
      <c r="S187" s="77" t="s">
        <v>963</v>
      </c>
      <c r="T187" s="74" t="s">
        <v>100</v>
      </c>
      <c r="U187" s="64" t="s">
        <v>1113</v>
      </c>
      <c r="V187" s="70" t="s">
        <v>130</v>
      </c>
      <c r="W187" s="78" t="s">
        <v>114</v>
      </c>
      <c r="X187" s="68" t="s">
        <v>458</v>
      </c>
      <c r="Y187" s="64">
        <v>1</v>
      </c>
      <c r="Z187" s="79">
        <v>0</v>
      </c>
      <c r="AA187" s="80">
        <f>'BASE FACTURACION 2025'!$C$3</f>
        <v>122645.45276000001</v>
      </c>
      <c r="AB187" s="80">
        <f>'BASE FACTURACION 2025'!$F$3</f>
        <v>65164.677720000007</v>
      </c>
      <c r="AC187" s="80">
        <f t="shared" si="2"/>
        <v>122645.45276000001</v>
      </c>
    </row>
    <row r="188" spans="1:29" ht="13.15">
      <c r="A188" s="64" t="s">
        <v>105</v>
      </c>
      <c r="B188" s="65" t="str">
        <f>VLOOKUP(A188,'CENTRO DE COSTOS'!A:D,4,FALSE)</f>
        <v>DIEGO FERNANDO HENAO CARDONA</v>
      </c>
      <c r="C188" s="65" t="str">
        <f>VLOOKUP(A188,'CENTRO DE COSTOS'!A:D,2,FALSE)</f>
        <v>0004-0003</v>
      </c>
      <c r="D188" s="64">
        <v>76001</v>
      </c>
      <c r="E188" s="66" t="s">
        <v>1114</v>
      </c>
      <c r="F188" s="67">
        <v>81638</v>
      </c>
      <c r="G188" s="68" t="s">
        <v>90</v>
      </c>
      <c r="H188" s="69" t="s">
        <v>183</v>
      </c>
      <c r="I188" s="67" t="s">
        <v>177</v>
      </c>
      <c r="J188" s="70" t="s">
        <v>105</v>
      </c>
      <c r="K188" s="67" t="s">
        <v>1115</v>
      </c>
      <c r="L188" s="71" t="s">
        <v>95</v>
      </c>
      <c r="M188" s="72" t="s">
        <v>1116</v>
      </c>
      <c r="N188" s="73">
        <v>45924</v>
      </c>
      <c r="O188" s="74">
        <v>45925</v>
      </c>
      <c r="P188" s="75" t="s">
        <v>188</v>
      </c>
      <c r="Q188" s="76" t="s">
        <v>189</v>
      </c>
      <c r="R188" s="64" t="s">
        <v>98</v>
      </c>
      <c r="S188" s="77" t="s">
        <v>1117</v>
      </c>
      <c r="T188" s="74" t="s">
        <v>100</v>
      </c>
      <c r="U188" s="64" t="s">
        <v>1118</v>
      </c>
      <c r="V188" s="70" t="s">
        <v>130</v>
      </c>
      <c r="W188" s="78" t="s">
        <v>114</v>
      </c>
      <c r="X188" s="68" t="s">
        <v>458</v>
      </c>
      <c r="Y188" s="64">
        <v>1</v>
      </c>
      <c r="Z188" s="79">
        <v>0</v>
      </c>
      <c r="AA188" s="80">
        <f>'BASE FACTURACION 2025'!$C$3</f>
        <v>122645.45276000001</v>
      </c>
      <c r="AB188" s="80">
        <f>'BASE FACTURACION 2025'!$F$3</f>
        <v>65164.677720000007</v>
      </c>
      <c r="AC188" s="80">
        <f t="shared" si="2"/>
        <v>122645.45276000001</v>
      </c>
    </row>
    <row r="189" spans="1:29" ht="13.15">
      <c r="A189" s="64" t="s">
        <v>105</v>
      </c>
      <c r="B189" s="65" t="str">
        <f>VLOOKUP(A189,'CENTRO DE COSTOS'!A:D,4,FALSE)</f>
        <v>DIEGO FERNANDO HENAO CARDONA</v>
      </c>
      <c r="C189" s="65" t="str">
        <f>VLOOKUP(A189,'CENTRO DE COSTOS'!A:D,2,FALSE)</f>
        <v>0004-0003</v>
      </c>
      <c r="D189" s="64">
        <v>76001</v>
      </c>
      <c r="E189" s="66" t="s">
        <v>1119</v>
      </c>
      <c r="F189" s="67">
        <v>81637</v>
      </c>
      <c r="G189" s="68" t="s">
        <v>90</v>
      </c>
      <c r="H189" s="69" t="s">
        <v>183</v>
      </c>
      <c r="I189" s="67" t="s">
        <v>177</v>
      </c>
      <c r="J189" s="70" t="s">
        <v>105</v>
      </c>
      <c r="K189" s="67" t="s">
        <v>1120</v>
      </c>
      <c r="L189" s="71" t="s">
        <v>95</v>
      </c>
      <c r="M189" s="72" t="s">
        <v>1121</v>
      </c>
      <c r="N189" s="73">
        <v>45924</v>
      </c>
      <c r="O189" s="74">
        <v>45926</v>
      </c>
      <c r="P189" s="75" t="s">
        <v>188</v>
      </c>
      <c r="Q189" s="76" t="s">
        <v>305</v>
      </c>
      <c r="R189" s="64" t="s">
        <v>98</v>
      </c>
      <c r="S189" s="77" t="s">
        <v>943</v>
      </c>
      <c r="T189" s="74" t="s">
        <v>100</v>
      </c>
      <c r="U189" s="64" t="s">
        <v>1122</v>
      </c>
      <c r="V189" s="70" t="s">
        <v>130</v>
      </c>
      <c r="W189" s="78" t="s">
        <v>114</v>
      </c>
      <c r="X189" s="68" t="s">
        <v>296</v>
      </c>
      <c r="Y189" s="64">
        <v>1</v>
      </c>
      <c r="Z189" s="79">
        <v>0</v>
      </c>
      <c r="AA189" s="80">
        <f>'BASE FACTURACION 2025'!$C$3</f>
        <v>122645.45276000001</v>
      </c>
      <c r="AB189" s="80">
        <f>'BASE FACTURACION 2025'!$F$3</f>
        <v>65164.677720000007</v>
      </c>
      <c r="AC189" s="80">
        <f t="shared" si="2"/>
        <v>122645.45276000001</v>
      </c>
    </row>
    <row r="190" spans="1:29" ht="13.15">
      <c r="A190" s="64" t="s">
        <v>105</v>
      </c>
      <c r="B190" s="65" t="str">
        <f>VLOOKUP(A190,'CENTRO DE COSTOS'!A:D,4,FALSE)</f>
        <v>DIEGO FERNANDO HENAO CARDONA</v>
      </c>
      <c r="C190" s="65" t="str">
        <f>VLOOKUP(A190,'CENTRO DE COSTOS'!A:D,2,FALSE)</f>
        <v>0004-0003</v>
      </c>
      <c r="D190" s="64">
        <v>76001</v>
      </c>
      <c r="E190" s="66" t="s">
        <v>1123</v>
      </c>
      <c r="F190" s="67">
        <v>81636</v>
      </c>
      <c r="G190" s="68" t="s">
        <v>90</v>
      </c>
      <c r="H190" s="69" t="s">
        <v>183</v>
      </c>
      <c r="I190" s="67" t="s">
        <v>177</v>
      </c>
      <c r="J190" s="70" t="s">
        <v>105</v>
      </c>
      <c r="K190" s="67" t="s">
        <v>1124</v>
      </c>
      <c r="L190" s="71" t="s">
        <v>95</v>
      </c>
      <c r="M190" s="72" t="s">
        <v>1125</v>
      </c>
      <c r="N190" s="73">
        <v>45924</v>
      </c>
      <c r="O190" s="74">
        <v>45926</v>
      </c>
      <c r="P190" s="75" t="s">
        <v>188</v>
      </c>
      <c r="Q190" s="76" t="s">
        <v>305</v>
      </c>
      <c r="R190" s="64" t="s">
        <v>98</v>
      </c>
      <c r="S190" s="77" t="s">
        <v>943</v>
      </c>
      <c r="T190" s="74" t="s">
        <v>100</v>
      </c>
      <c r="U190" s="64" t="s">
        <v>1126</v>
      </c>
      <c r="V190" s="70" t="s">
        <v>130</v>
      </c>
      <c r="W190" s="78" t="s">
        <v>114</v>
      </c>
      <c r="X190" s="68" t="s">
        <v>467</v>
      </c>
      <c r="Y190" s="64">
        <v>1</v>
      </c>
      <c r="Z190" s="79">
        <v>0</v>
      </c>
      <c r="AA190" s="80">
        <f>'BASE FACTURACION 2025'!$C$3</f>
        <v>122645.45276000001</v>
      </c>
      <c r="AB190" s="80">
        <f>'BASE FACTURACION 2025'!$F$3</f>
        <v>65164.677720000007</v>
      </c>
      <c r="AC190" s="80">
        <f t="shared" si="2"/>
        <v>122645.45276000001</v>
      </c>
    </row>
    <row r="191" spans="1:29" ht="13.15">
      <c r="A191" s="64" t="s">
        <v>105</v>
      </c>
      <c r="B191" s="65" t="str">
        <f>VLOOKUP(A191,'CENTRO DE COSTOS'!A:D,4,FALSE)</f>
        <v>DIEGO FERNANDO HENAO CARDONA</v>
      </c>
      <c r="C191" s="65" t="str">
        <f>VLOOKUP(A191,'CENTRO DE COSTOS'!A:D,2,FALSE)</f>
        <v>0004-0003</v>
      </c>
      <c r="D191" s="64">
        <v>76001</v>
      </c>
      <c r="E191" s="66" t="s">
        <v>1127</v>
      </c>
      <c r="F191" s="67">
        <v>81641</v>
      </c>
      <c r="G191" s="68" t="s">
        <v>90</v>
      </c>
      <c r="H191" s="69" t="s">
        <v>183</v>
      </c>
      <c r="I191" s="67" t="s">
        <v>177</v>
      </c>
      <c r="J191" s="70" t="s">
        <v>105</v>
      </c>
      <c r="K191" s="67" t="s">
        <v>1128</v>
      </c>
      <c r="L191" s="71" t="s">
        <v>95</v>
      </c>
      <c r="M191" s="72" t="s">
        <v>1129</v>
      </c>
      <c r="N191" s="73">
        <v>45924</v>
      </c>
      <c r="O191" s="74">
        <v>45926</v>
      </c>
      <c r="P191" s="75" t="s">
        <v>188</v>
      </c>
      <c r="Q191" s="76" t="s">
        <v>305</v>
      </c>
      <c r="R191" s="64" t="s">
        <v>98</v>
      </c>
      <c r="S191" s="77" t="s">
        <v>943</v>
      </c>
      <c r="T191" s="74" t="s">
        <v>100</v>
      </c>
      <c r="U191" s="64" t="s">
        <v>1130</v>
      </c>
      <c r="V191" s="70" t="s">
        <v>130</v>
      </c>
      <c r="W191" s="78" t="s">
        <v>114</v>
      </c>
      <c r="X191" s="68" t="s">
        <v>467</v>
      </c>
      <c r="Y191" s="64">
        <v>1</v>
      </c>
      <c r="Z191" s="79">
        <v>0</v>
      </c>
      <c r="AA191" s="80">
        <f>'BASE FACTURACION 2025'!$C$3</f>
        <v>122645.45276000001</v>
      </c>
      <c r="AB191" s="80">
        <f>'BASE FACTURACION 2025'!$F$3</f>
        <v>65164.677720000007</v>
      </c>
      <c r="AC191" s="80">
        <f t="shared" ref="AC191:AC213" si="3">AA191*Y191+AB191*Z191</f>
        <v>122645.45276000001</v>
      </c>
    </row>
    <row r="192" spans="1:29" ht="13.15">
      <c r="A192" s="64" t="s">
        <v>105</v>
      </c>
      <c r="B192" s="65" t="str">
        <f>VLOOKUP(A192,'CENTRO DE COSTOS'!A:D,4,FALSE)</f>
        <v>DIEGO FERNANDO HENAO CARDONA</v>
      </c>
      <c r="C192" s="65" t="str">
        <f>VLOOKUP(A192,'CENTRO DE COSTOS'!A:D,2,FALSE)</f>
        <v>0004-0003</v>
      </c>
      <c r="D192" s="64">
        <v>76001</v>
      </c>
      <c r="E192" s="66" t="s">
        <v>1131</v>
      </c>
      <c r="F192" s="67">
        <v>81639</v>
      </c>
      <c r="G192" s="68" t="s">
        <v>90</v>
      </c>
      <c r="H192" s="69" t="s">
        <v>183</v>
      </c>
      <c r="I192" s="67" t="s">
        <v>177</v>
      </c>
      <c r="J192" s="70" t="s">
        <v>105</v>
      </c>
      <c r="K192" s="67" t="s">
        <v>1132</v>
      </c>
      <c r="L192" s="71" t="s">
        <v>95</v>
      </c>
      <c r="M192" s="72" t="s">
        <v>1133</v>
      </c>
      <c r="N192" s="73">
        <v>45924</v>
      </c>
      <c r="O192" s="74">
        <v>45925</v>
      </c>
      <c r="P192" s="75" t="s">
        <v>188</v>
      </c>
      <c r="Q192" s="76" t="s">
        <v>305</v>
      </c>
      <c r="R192" s="64" t="s">
        <v>98</v>
      </c>
      <c r="S192" s="77" t="s">
        <v>1117</v>
      </c>
      <c r="T192" s="74" t="s">
        <v>100</v>
      </c>
      <c r="U192" s="64" t="s">
        <v>1134</v>
      </c>
      <c r="V192" s="70" t="s">
        <v>130</v>
      </c>
      <c r="W192" s="78" t="s">
        <v>114</v>
      </c>
      <c r="X192" s="68" t="s">
        <v>1135</v>
      </c>
      <c r="Y192" s="64">
        <v>1</v>
      </c>
      <c r="Z192" s="79">
        <v>0</v>
      </c>
      <c r="AA192" s="80">
        <f>'BASE FACTURACION 2025'!$C$3</f>
        <v>122645.45276000001</v>
      </c>
      <c r="AB192" s="80">
        <f>'BASE FACTURACION 2025'!$F$3</f>
        <v>65164.677720000007</v>
      </c>
      <c r="AC192" s="80">
        <f t="shared" si="3"/>
        <v>122645.45276000001</v>
      </c>
    </row>
    <row r="193" spans="1:29" ht="15" customHeight="1">
      <c r="A193" s="64" t="s">
        <v>123</v>
      </c>
      <c r="B193" s="65" t="str">
        <f>VLOOKUP(A193,'CENTRO DE COSTOS'!A:D,4,FALSE)</f>
        <v>DIEGO FERNANDO HENAO CARDONA</v>
      </c>
      <c r="C193" s="65" t="str">
        <f>VLOOKUP(A193,'CENTRO DE COSTOS'!A:D,2,FALSE)</f>
        <v>0004-0002</v>
      </c>
      <c r="D193" s="64">
        <v>76147</v>
      </c>
      <c r="E193" s="66" t="s">
        <v>1136</v>
      </c>
      <c r="F193" s="67">
        <v>81644</v>
      </c>
      <c r="G193" s="68" t="s">
        <v>90</v>
      </c>
      <c r="H193" s="69" t="s">
        <v>183</v>
      </c>
      <c r="I193" s="67" t="s">
        <v>177</v>
      </c>
      <c r="J193" s="70" t="s">
        <v>1137</v>
      </c>
      <c r="K193" s="67" t="s">
        <v>1138</v>
      </c>
      <c r="L193" s="71" t="s">
        <v>95</v>
      </c>
      <c r="M193" s="72" t="s">
        <v>1139</v>
      </c>
      <c r="N193" s="73">
        <v>45924</v>
      </c>
      <c r="O193" s="74">
        <v>45926</v>
      </c>
      <c r="P193" s="75" t="s">
        <v>188</v>
      </c>
      <c r="Q193" s="76" t="s">
        <v>189</v>
      </c>
      <c r="R193" s="64" t="s">
        <v>98</v>
      </c>
      <c r="S193" s="77" t="s">
        <v>943</v>
      </c>
      <c r="T193" s="74" t="s">
        <v>100</v>
      </c>
      <c r="U193" s="64" t="s">
        <v>1140</v>
      </c>
      <c r="V193" s="70" t="s">
        <v>130</v>
      </c>
      <c r="W193" s="78" t="s">
        <v>114</v>
      </c>
      <c r="X193" s="68" t="s">
        <v>223</v>
      </c>
      <c r="Y193" s="64">
        <v>1</v>
      </c>
      <c r="Z193" s="79">
        <v>0</v>
      </c>
      <c r="AA193" s="80">
        <f>'BASE FACTURACION 2025'!$C$3</f>
        <v>122645.45276000001</v>
      </c>
      <c r="AB193" s="80">
        <f>'BASE FACTURACION 2025'!$F$3</f>
        <v>65164.677720000007</v>
      </c>
      <c r="AC193" s="80">
        <f t="shared" si="3"/>
        <v>122645.45276000001</v>
      </c>
    </row>
    <row r="194" spans="1:29" ht="15" customHeight="1">
      <c r="A194" s="64" t="s">
        <v>105</v>
      </c>
      <c r="B194" s="65" t="str">
        <f>VLOOKUP(A194,'CENTRO DE COSTOS'!A:D,4,FALSE)</f>
        <v>DIEGO FERNANDO HENAO CARDONA</v>
      </c>
      <c r="C194" s="65" t="str">
        <f>VLOOKUP(A194,'CENTRO DE COSTOS'!A:D,2,FALSE)</f>
        <v>0004-0003</v>
      </c>
      <c r="D194" s="64">
        <v>76520</v>
      </c>
      <c r="E194" s="66" t="s">
        <v>1141</v>
      </c>
      <c r="F194" s="67">
        <v>81671</v>
      </c>
      <c r="G194" s="68" t="s">
        <v>90</v>
      </c>
      <c r="H194" s="69" t="s">
        <v>183</v>
      </c>
      <c r="I194" s="67" t="s">
        <v>177</v>
      </c>
      <c r="J194" s="70" t="s">
        <v>1142</v>
      </c>
      <c r="K194" s="67" t="s">
        <v>1143</v>
      </c>
      <c r="L194" s="71" t="s">
        <v>95</v>
      </c>
      <c r="M194" s="72" t="s">
        <v>1144</v>
      </c>
      <c r="N194" s="73">
        <v>45924</v>
      </c>
      <c r="O194" s="74">
        <v>45925</v>
      </c>
      <c r="P194" s="75" t="s">
        <v>188</v>
      </c>
      <c r="Q194" s="76" t="s">
        <v>189</v>
      </c>
      <c r="R194" s="64" t="s">
        <v>98</v>
      </c>
      <c r="S194" s="77" t="s">
        <v>963</v>
      </c>
      <c r="T194" s="74" t="s">
        <v>100</v>
      </c>
      <c r="U194" s="64" t="s">
        <v>1145</v>
      </c>
      <c r="V194" s="70" t="s">
        <v>130</v>
      </c>
      <c r="W194" s="78" t="s">
        <v>114</v>
      </c>
      <c r="X194" s="68" t="s">
        <v>296</v>
      </c>
      <c r="Y194" s="64">
        <v>1</v>
      </c>
      <c r="Z194" s="79">
        <v>0</v>
      </c>
      <c r="AA194" s="80">
        <f>'BASE FACTURACION 2025'!$C$3</f>
        <v>122645.45276000001</v>
      </c>
      <c r="AB194" s="80">
        <f>'BASE FACTURACION 2025'!$F$3</f>
        <v>65164.677720000007</v>
      </c>
      <c r="AC194" s="80">
        <f t="shared" si="3"/>
        <v>122645.45276000001</v>
      </c>
    </row>
    <row r="195" spans="1:29" ht="15" customHeight="1">
      <c r="A195" s="64" t="s">
        <v>105</v>
      </c>
      <c r="B195" s="65" t="str">
        <f>VLOOKUP(A195,'CENTRO DE COSTOS'!A:D,4,FALSE)</f>
        <v>DIEGO FERNANDO HENAO CARDONA</v>
      </c>
      <c r="C195" s="65" t="str">
        <f>VLOOKUP(A195,'CENTRO DE COSTOS'!A:D,2,FALSE)</f>
        <v>0004-0003</v>
      </c>
      <c r="D195" s="64">
        <v>76834</v>
      </c>
      <c r="E195" s="66" t="s">
        <v>1146</v>
      </c>
      <c r="F195" s="67">
        <v>81689</v>
      </c>
      <c r="G195" s="68" t="s">
        <v>90</v>
      </c>
      <c r="H195" s="69" t="s">
        <v>183</v>
      </c>
      <c r="I195" s="67" t="s">
        <v>177</v>
      </c>
      <c r="J195" s="70" t="s">
        <v>291</v>
      </c>
      <c r="K195" s="67" t="s">
        <v>1147</v>
      </c>
      <c r="L195" s="71" t="s">
        <v>95</v>
      </c>
      <c r="M195" s="72" t="s">
        <v>1148</v>
      </c>
      <c r="N195" s="73">
        <v>45924</v>
      </c>
      <c r="O195" s="74">
        <v>45926</v>
      </c>
      <c r="P195" s="75" t="s">
        <v>188</v>
      </c>
      <c r="Q195" s="76" t="s">
        <v>305</v>
      </c>
      <c r="R195" s="64" t="s">
        <v>98</v>
      </c>
      <c r="S195" s="77" t="s">
        <v>943</v>
      </c>
      <c r="T195" s="74" t="s">
        <v>100</v>
      </c>
      <c r="U195" s="64" t="s">
        <v>1149</v>
      </c>
      <c r="V195" s="70" t="s">
        <v>174</v>
      </c>
      <c r="W195" s="78" t="s">
        <v>114</v>
      </c>
      <c r="X195" s="68" t="s">
        <v>1135</v>
      </c>
      <c r="Y195" s="64">
        <v>1</v>
      </c>
      <c r="Z195" s="79">
        <v>0</v>
      </c>
      <c r="AA195" s="80">
        <f>'BASE FACTURACION 2025'!$C$3</f>
        <v>122645.45276000001</v>
      </c>
      <c r="AB195" s="80">
        <f>'BASE FACTURACION 2025'!$F$3</f>
        <v>65164.677720000007</v>
      </c>
      <c r="AC195" s="80">
        <f t="shared" si="3"/>
        <v>122645.45276000001</v>
      </c>
    </row>
    <row r="196" spans="1:29" ht="15" customHeight="1">
      <c r="A196" s="64" t="s">
        <v>166</v>
      </c>
      <c r="B196" s="65" t="str">
        <f>VLOOKUP(A196,'CENTRO DE COSTOS'!A:D,4,FALSE)</f>
        <v>MIGUEL JULIÁN HERNÁNDEZ GUARÍN</v>
      </c>
      <c r="C196" s="65" t="str">
        <f>VLOOKUP(A196,'CENTRO DE COSTOS'!A:D,2,FALSE)</f>
        <v>0004-0008</v>
      </c>
      <c r="D196" s="64">
        <v>81736</v>
      </c>
      <c r="E196" s="66" t="s">
        <v>1150</v>
      </c>
      <c r="F196" s="67">
        <v>81683</v>
      </c>
      <c r="G196" s="68" t="s">
        <v>90</v>
      </c>
      <c r="H196" s="69" t="s">
        <v>183</v>
      </c>
      <c r="I196" s="67" t="s">
        <v>807</v>
      </c>
      <c r="J196" s="70" t="s">
        <v>814</v>
      </c>
      <c r="K196" s="67" t="s">
        <v>1151</v>
      </c>
      <c r="L196" s="71" t="s">
        <v>95</v>
      </c>
      <c r="M196" s="72" t="s">
        <v>1152</v>
      </c>
      <c r="N196" s="73">
        <v>45924</v>
      </c>
      <c r="O196" s="74">
        <v>45926</v>
      </c>
      <c r="P196" s="75" t="s">
        <v>188</v>
      </c>
      <c r="Q196" s="76" t="s">
        <v>189</v>
      </c>
      <c r="R196" s="64" t="s">
        <v>98</v>
      </c>
      <c r="S196" s="77" t="s">
        <v>943</v>
      </c>
      <c r="T196" s="74" t="s">
        <v>100</v>
      </c>
      <c r="U196" s="64" t="s">
        <v>1153</v>
      </c>
      <c r="V196" s="70" t="s">
        <v>102</v>
      </c>
      <c r="W196" s="78" t="s">
        <v>146</v>
      </c>
      <c r="X196" s="68" t="s">
        <v>812</v>
      </c>
      <c r="Y196" s="64">
        <v>1</v>
      </c>
      <c r="Z196" s="79">
        <v>0</v>
      </c>
      <c r="AA196" s="80">
        <f>'BASE FACTURACION 2025'!$C$3</f>
        <v>122645.45276000001</v>
      </c>
      <c r="AB196" s="80">
        <f>'BASE FACTURACION 2025'!$F$3</f>
        <v>65164.677720000007</v>
      </c>
      <c r="AC196" s="80">
        <f t="shared" si="3"/>
        <v>122645.45276000001</v>
      </c>
    </row>
    <row r="197" spans="1:29" ht="15" customHeight="1">
      <c r="A197" s="64" t="s">
        <v>819</v>
      </c>
      <c r="B197" s="65" t="str">
        <f>VLOOKUP(A197,'CENTRO DE COSTOS'!A:D,4,FALSE)</f>
        <v>KEVIN ALEXIS CORZO BUSTOS</v>
      </c>
      <c r="C197" s="65" t="str">
        <f>VLOOKUP(A197,'CENTRO DE COSTOS'!A:D,2,FALSE)</f>
        <v>0004-0007</v>
      </c>
      <c r="D197" s="64">
        <v>85001</v>
      </c>
      <c r="E197" s="66" t="s">
        <v>1154</v>
      </c>
      <c r="F197" s="67">
        <v>81702</v>
      </c>
      <c r="G197" s="68" t="s">
        <v>90</v>
      </c>
      <c r="H197" s="69" t="s">
        <v>183</v>
      </c>
      <c r="I197" s="67" t="s">
        <v>821</v>
      </c>
      <c r="J197" s="70" t="s">
        <v>819</v>
      </c>
      <c r="K197" s="67" t="s">
        <v>1155</v>
      </c>
      <c r="L197" s="71" t="s">
        <v>95</v>
      </c>
      <c r="M197" s="72" t="s">
        <v>1156</v>
      </c>
      <c r="N197" s="73">
        <v>45924</v>
      </c>
      <c r="O197" s="74">
        <v>45925</v>
      </c>
      <c r="P197" s="75" t="s">
        <v>188</v>
      </c>
      <c r="Q197" s="76" t="s">
        <v>189</v>
      </c>
      <c r="R197" s="64" t="s">
        <v>98</v>
      </c>
      <c r="S197" s="77" t="s">
        <v>963</v>
      </c>
      <c r="T197" s="74" t="s">
        <v>100</v>
      </c>
      <c r="U197" s="64" t="s">
        <v>1157</v>
      </c>
      <c r="V197" s="70" t="s">
        <v>130</v>
      </c>
      <c r="W197" s="78" t="s">
        <v>114</v>
      </c>
      <c r="X197" s="68" t="s">
        <v>165</v>
      </c>
      <c r="Y197" s="64">
        <v>1</v>
      </c>
      <c r="Z197" s="79">
        <v>0</v>
      </c>
      <c r="AA197" s="80">
        <f>'BASE FACTURACION 2025'!$C$3</f>
        <v>122645.45276000001</v>
      </c>
      <c r="AB197" s="80">
        <f>'BASE FACTURACION 2025'!$F$3</f>
        <v>65164.677720000007</v>
      </c>
      <c r="AC197" s="80">
        <f t="shared" si="3"/>
        <v>122645.45276000001</v>
      </c>
    </row>
    <row r="198" spans="1:29" ht="15" customHeight="1">
      <c r="A198" s="64" t="s">
        <v>157</v>
      </c>
      <c r="B198" s="65" t="str">
        <f>VLOOKUP(A198,'CENTRO DE COSTOS'!A:D,4,FALSE)</f>
        <v>KEVIN ALEXIS CORZO BUSTOS</v>
      </c>
      <c r="C198" s="65" t="str">
        <f>VLOOKUP(A198,'CENTRO DE COSTOS'!A:D,2,FALSE)</f>
        <v>0004-0007</v>
      </c>
      <c r="D198" s="64">
        <v>85440</v>
      </c>
      <c r="E198" s="66" t="s">
        <v>1158</v>
      </c>
      <c r="F198" s="67">
        <v>81694</v>
      </c>
      <c r="G198" s="68" t="s">
        <v>90</v>
      </c>
      <c r="H198" s="69" t="s">
        <v>183</v>
      </c>
      <c r="I198" s="67" t="s">
        <v>821</v>
      </c>
      <c r="J198" s="70" t="s">
        <v>687</v>
      </c>
      <c r="K198" s="67" t="s">
        <v>1159</v>
      </c>
      <c r="L198" s="71" t="s">
        <v>95</v>
      </c>
      <c r="M198" s="72" t="s">
        <v>1160</v>
      </c>
      <c r="N198" s="73">
        <v>45924</v>
      </c>
      <c r="O198" s="74">
        <v>45926</v>
      </c>
      <c r="P198" s="75" t="s">
        <v>188</v>
      </c>
      <c r="Q198" s="76" t="s">
        <v>305</v>
      </c>
      <c r="R198" s="64" t="s">
        <v>98</v>
      </c>
      <c r="S198" s="77" t="s">
        <v>943</v>
      </c>
      <c r="T198" s="74" t="s">
        <v>100</v>
      </c>
      <c r="U198" s="64" t="s">
        <v>1161</v>
      </c>
      <c r="V198" s="70" t="s">
        <v>113</v>
      </c>
      <c r="W198" s="78" t="s">
        <v>114</v>
      </c>
      <c r="X198" s="68" t="s">
        <v>1162</v>
      </c>
      <c r="Y198" s="64">
        <v>1</v>
      </c>
      <c r="Z198" s="79">
        <v>0</v>
      </c>
      <c r="AA198" s="80">
        <f>'BASE FACTURACION 2025'!$C$3</f>
        <v>122645.45276000001</v>
      </c>
      <c r="AB198" s="80">
        <f>'BASE FACTURACION 2025'!$F$3</f>
        <v>65164.677720000007</v>
      </c>
      <c r="AC198" s="80">
        <f t="shared" si="3"/>
        <v>122645.45276000001</v>
      </c>
    </row>
    <row r="199" spans="1:29" ht="15" customHeight="1">
      <c r="A199" s="64" t="s">
        <v>88</v>
      </c>
      <c r="B199" s="65" t="str">
        <f>VLOOKUP(A199,'CENTRO DE COSTOS'!A:D,4,FALSE)</f>
        <v>DIEGO FERNANDO HENAO CARDONA</v>
      </c>
      <c r="C199" s="65" t="str">
        <f>VLOOKUP(A199,'CENTRO DE COSTOS'!A:D,2,FALSE)</f>
        <v>0004-0003</v>
      </c>
      <c r="D199" s="64">
        <v>86001</v>
      </c>
      <c r="E199" s="66" t="s">
        <v>1163</v>
      </c>
      <c r="F199" s="67">
        <v>81666</v>
      </c>
      <c r="G199" s="68" t="s">
        <v>90</v>
      </c>
      <c r="H199" s="69" t="s">
        <v>183</v>
      </c>
      <c r="I199" s="67" t="s">
        <v>184</v>
      </c>
      <c r="J199" s="70" t="s">
        <v>1164</v>
      </c>
      <c r="K199" s="67" t="s">
        <v>1165</v>
      </c>
      <c r="L199" s="71" t="s">
        <v>95</v>
      </c>
      <c r="M199" s="72" t="s">
        <v>1166</v>
      </c>
      <c r="N199" s="73">
        <v>45924</v>
      </c>
      <c r="O199" s="74">
        <v>45926</v>
      </c>
      <c r="P199" s="75" t="s">
        <v>188</v>
      </c>
      <c r="Q199" s="76" t="s">
        <v>189</v>
      </c>
      <c r="R199" s="64" t="s">
        <v>98</v>
      </c>
      <c r="S199" s="77" t="s">
        <v>943</v>
      </c>
      <c r="T199" s="74" t="s">
        <v>100</v>
      </c>
      <c r="U199" s="64" t="s">
        <v>1167</v>
      </c>
      <c r="V199" s="70" t="s">
        <v>122</v>
      </c>
      <c r="W199" s="78" t="s">
        <v>114</v>
      </c>
      <c r="X199" s="68" t="s">
        <v>104</v>
      </c>
      <c r="Y199" s="64">
        <v>1</v>
      </c>
      <c r="Z199" s="79">
        <v>0</v>
      </c>
      <c r="AA199" s="80">
        <f>'BASE FACTURACION 2025'!$C$3</f>
        <v>122645.45276000001</v>
      </c>
      <c r="AB199" s="80">
        <f>'BASE FACTURACION 2025'!$F$3</f>
        <v>65164.677720000007</v>
      </c>
      <c r="AC199" s="80">
        <f t="shared" si="3"/>
        <v>122645.45276000001</v>
      </c>
    </row>
    <row r="200" spans="1:29" ht="15" customHeight="1">
      <c r="A200" s="64" t="s">
        <v>88</v>
      </c>
      <c r="B200" s="65" t="str">
        <f>VLOOKUP(A200,'CENTRO DE COSTOS'!A:D,4,FALSE)</f>
        <v>DIEGO FERNANDO HENAO CARDONA</v>
      </c>
      <c r="C200" s="65" t="str">
        <f>VLOOKUP(A200,'CENTRO DE COSTOS'!A:D,2,FALSE)</f>
        <v>0004-0003</v>
      </c>
      <c r="D200" s="64">
        <v>86865</v>
      </c>
      <c r="E200" s="66" t="s">
        <v>1168</v>
      </c>
      <c r="F200" s="67">
        <v>81690</v>
      </c>
      <c r="G200" s="68" t="s">
        <v>90</v>
      </c>
      <c r="H200" s="69" t="s">
        <v>183</v>
      </c>
      <c r="I200" s="67" t="s">
        <v>184</v>
      </c>
      <c r="J200" s="70" t="s">
        <v>587</v>
      </c>
      <c r="K200" s="67" t="s">
        <v>1169</v>
      </c>
      <c r="L200" s="71" t="s">
        <v>95</v>
      </c>
      <c r="M200" s="72" t="s">
        <v>1170</v>
      </c>
      <c r="N200" s="73">
        <v>45924</v>
      </c>
      <c r="O200" s="74">
        <v>45930</v>
      </c>
      <c r="P200" s="75" t="s">
        <v>188</v>
      </c>
      <c r="Q200" s="76" t="s">
        <v>189</v>
      </c>
      <c r="R200" s="64" t="s">
        <v>98</v>
      </c>
      <c r="S200" s="77" t="s">
        <v>1171</v>
      </c>
      <c r="T200" s="74" t="s">
        <v>100</v>
      </c>
      <c r="U200" s="64" t="s">
        <v>1172</v>
      </c>
      <c r="V200" s="70" t="s">
        <v>122</v>
      </c>
      <c r="W200" s="78" t="s">
        <v>114</v>
      </c>
      <c r="X200" s="68" t="s">
        <v>192</v>
      </c>
      <c r="Y200" s="64">
        <v>1</v>
      </c>
      <c r="Z200" s="79">
        <v>0</v>
      </c>
      <c r="AA200" s="80">
        <f>'BASE FACTURACION 2025'!$C$3</f>
        <v>122645.45276000001</v>
      </c>
      <c r="AB200" s="80">
        <f>'BASE FACTURACION 2025'!$F$3</f>
        <v>65164.677720000007</v>
      </c>
      <c r="AC200" s="80">
        <f t="shared" si="3"/>
        <v>122645.45276000001</v>
      </c>
    </row>
    <row r="201" spans="1:29" ht="15" customHeight="1">
      <c r="A201" s="64" t="s">
        <v>200</v>
      </c>
      <c r="B201" s="65" t="str">
        <f>VLOOKUP(A201,'CENTRO DE COSTOS'!A:D,4,FALSE)</f>
        <v>JUAN SEBASTIÁN RÍOS CASTRILLÓN</v>
      </c>
      <c r="C201" s="65" t="str">
        <f>VLOOKUP(A201,'CENTRO DE COSTOS'!A:D,2,FALSE)</f>
        <v>0004-0005</v>
      </c>
      <c r="D201" s="64">
        <v>5045</v>
      </c>
      <c r="E201" s="66" t="s">
        <v>1173</v>
      </c>
      <c r="F201" s="67">
        <v>81646</v>
      </c>
      <c r="G201" s="68" t="s">
        <v>90</v>
      </c>
      <c r="H201" s="69" t="s">
        <v>183</v>
      </c>
      <c r="I201" s="67" t="s">
        <v>194</v>
      </c>
      <c r="J201" s="70" t="s">
        <v>200</v>
      </c>
      <c r="K201" s="67" t="s">
        <v>1174</v>
      </c>
      <c r="L201" s="71" t="s">
        <v>95</v>
      </c>
      <c r="M201" s="72" t="s">
        <v>1175</v>
      </c>
      <c r="N201" s="73">
        <v>45924</v>
      </c>
      <c r="O201" s="74">
        <v>45925</v>
      </c>
      <c r="P201" s="75" t="s">
        <v>188</v>
      </c>
      <c r="Q201" s="76" t="s">
        <v>189</v>
      </c>
      <c r="R201" s="64" t="s">
        <v>98</v>
      </c>
      <c r="S201" s="77" t="s">
        <v>963</v>
      </c>
      <c r="T201" s="74" t="s">
        <v>100</v>
      </c>
      <c r="U201" s="64" t="s">
        <v>1176</v>
      </c>
      <c r="V201" s="70" t="s">
        <v>130</v>
      </c>
      <c r="W201" s="78" t="s">
        <v>114</v>
      </c>
      <c r="X201" s="68" t="s">
        <v>207</v>
      </c>
      <c r="Y201" s="64">
        <v>1</v>
      </c>
      <c r="Z201" s="79">
        <v>0</v>
      </c>
      <c r="AA201" s="80">
        <f>'BASE FACTURACION 2025'!$C$3</f>
        <v>122645.45276000001</v>
      </c>
      <c r="AB201" s="80">
        <f>'BASE FACTURACION 2025'!$F$3</f>
        <v>65164.677720000007</v>
      </c>
      <c r="AC201" s="80">
        <f t="shared" si="3"/>
        <v>122645.45276000001</v>
      </c>
    </row>
    <row r="202" spans="1:29" ht="15" customHeight="1">
      <c r="A202" s="64" t="s">
        <v>200</v>
      </c>
      <c r="B202" s="65" t="str">
        <f>VLOOKUP(A202,'CENTRO DE COSTOS'!A:D,4,FALSE)</f>
        <v>JUAN SEBASTIÁN RÍOS CASTRILLÓN</v>
      </c>
      <c r="C202" s="65" t="str">
        <f>VLOOKUP(A202,'CENTRO DE COSTOS'!A:D,2,FALSE)</f>
        <v>0004-0005</v>
      </c>
      <c r="D202" s="64">
        <v>5045</v>
      </c>
      <c r="E202" s="66" t="s">
        <v>1177</v>
      </c>
      <c r="F202" s="67">
        <v>81647</v>
      </c>
      <c r="G202" s="68" t="s">
        <v>90</v>
      </c>
      <c r="H202" s="69" t="s">
        <v>183</v>
      </c>
      <c r="I202" s="67" t="s">
        <v>194</v>
      </c>
      <c r="J202" s="70" t="s">
        <v>200</v>
      </c>
      <c r="K202" s="67" t="s">
        <v>1178</v>
      </c>
      <c r="L202" s="71" t="s">
        <v>95</v>
      </c>
      <c r="M202" s="72" t="s">
        <v>1179</v>
      </c>
      <c r="N202" s="73">
        <v>45924</v>
      </c>
      <c r="O202" s="74">
        <v>45925</v>
      </c>
      <c r="P202" s="75" t="s">
        <v>188</v>
      </c>
      <c r="Q202" s="76" t="s">
        <v>189</v>
      </c>
      <c r="R202" s="64" t="s">
        <v>98</v>
      </c>
      <c r="S202" s="77" t="s">
        <v>963</v>
      </c>
      <c r="T202" s="74" t="s">
        <v>100</v>
      </c>
      <c r="U202" s="64" t="s">
        <v>1180</v>
      </c>
      <c r="V202" s="70" t="s">
        <v>130</v>
      </c>
      <c r="W202" s="78" t="s">
        <v>114</v>
      </c>
      <c r="X202" s="68" t="s">
        <v>207</v>
      </c>
      <c r="Y202" s="64">
        <v>1</v>
      </c>
      <c r="Z202" s="79">
        <v>0</v>
      </c>
      <c r="AA202" s="80">
        <f>'BASE FACTURACION 2025'!$C$3</f>
        <v>122645.45276000001</v>
      </c>
      <c r="AB202" s="80">
        <f>'BASE FACTURACION 2025'!$F$3</f>
        <v>65164.677720000007</v>
      </c>
      <c r="AC202" s="80">
        <f t="shared" si="3"/>
        <v>122645.45276000001</v>
      </c>
    </row>
    <row r="203" spans="1:29" ht="15" customHeight="1">
      <c r="A203" s="64" t="s">
        <v>359</v>
      </c>
      <c r="B203" s="65" t="str">
        <f>VLOOKUP(A203,'CENTRO DE COSTOS'!A:D,4,FALSE)</f>
        <v>WILLIAM ASDRUBAL ROZO ROZO</v>
      </c>
      <c r="C203" s="65" t="str">
        <f>VLOOKUP(A203,'CENTRO DE COSTOS'!A:D,2,FALSE)</f>
        <v>0004-0004</v>
      </c>
      <c r="D203" s="64">
        <v>11001</v>
      </c>
      <c r="E203" s="66" t="s">
        <v>1181</v>
      </c>
      <c r="F203" s="67">
        <v>81631</v>
      </c>
      <c r="G203" s="68" t="s">
        <v>90</v>
      </c>
      <c r="H203" s="69" t="s">
        <v>183</v>
      </c>
      <c r="I203" s="67" t="s">
        <v>361</v>
      </c>
      <c r="J203" s="70" t="s">
        <v>359</v>
      </c>
      <c r="K203" s="67" t="s">
        <v>1182</v>
      </c>
      <c r="L203" s="71" t="s">
        <v>95</v>
      </c>
      <c r="M203" s="72" t="s">
        <v>1183</v>
      </c>
      <c r="N203" s="73">
        <v>45924</v>
      </c>
      <c r="O203" s="74">
        <v>45926</v>
      </c>
      <c r="P203" s="75" t="s">
        <v>188</v>
      </c>
      <c r="Q203" s="76" t="s">
        <v>305</v>
      </c>
      <c r="R203" s="64" t="s">
        <v>98</v>
      </c>
      <c r="S203" s="77" t="s">
        <v>943</v>
      </c>
      <c r="T203" s="74" t="s">
        <v>100</v>
      </c>
      <c r="U203" s="64" t="s">
        <v>1184</v>
      </c>
      <c r="V203" s="70" t="s">
        <v>130</v>
      </c>
      <c r="W203" s="78" t="s">
        <v>114</v>
      </c>
      <c r="X203" s="68" t="s">
        <v>492</v>
      </c>
      <c r="Y203" s="64">
        <v>1</v>
      </c>
      <c r="Z203" s="79">
        <v>0</v>
      </c>
      <c r="AA203" s="80">
        <f>'BASE FACTURACION 2025'!$C$3</f>
        <v>122645.45276000001</v>
      </c>
      <c r="AB203" s="80">
        <f>'BASE FACTURACION 2025'!$F$3</f>
        <v>65164.677720000007</v>
      </c>
      <c r="AC203" s="80">
        <f t="shared" si="3"/>
        <v>122645.45276000001</v>
      </c>
    </row>
    <row r="204" spans="1:29" ht="15" customHeight="1">
      <c r="A204" s="64" t="s">
        <v>359</v>
      </c>
      <c r="B204" s="65" t="str">
        <f>VLOOKUP(A204,'CENTRO DE COSTOS'!A:D,4,FALSE)</f>
        <v>WILLIAM ASDRUBAL ROZO ROZO</v>
      </c>
      <c r="C204" s="65" t="str">
        <f>VLOOKUP(A204,'CENTRO DE COSTOS'!A:D,2,FALSE)</f>
        <v>0004-0004</v>
      </c>
      <c r="D204" s="64">
        <v>11001</v>
      </c>
      <c r="E204" s="66" t="s">
        <v>1185</v>
      </c>
      <c r="F204" s="67">
        <v>81632</v>
      </c>
      <c r="G204" s="68" t="s">
        <v>90</v>
      </c>
      <c r="H204" s="69" t="s">
        <v>183</v>
      </c>
      <c r="I204" s="67" t="s">
        <v>361</v>
      </c>
      <c r="J204" s="70" t="s">
        <v>359</v>
      </c>
      <c r="K204" s="67" t="s">
        <v>1186</v>
      </c>
      <c r="L204" s="71" t="s">
        <v>95</v>
      </c>
      <c r="M204" s="72" t="s">
        <v>1187</v>
      </c>
      <c r="N204" s="73">
        <v>45924</v>
      </c>
      <c r="O204" s="74">
        <v>45926</v>
      </c>
      <c r="P204" s="75" t="s">
        <v>188</v>
      </c>
      <c r="Q204" s="76" t="s">
        <v>305</v>
      </c>
      <c r="R204" s="64" t="s">
        <v>98</v>
      </c>
      <c r="S204" s="77" t="s">
        <v>943</v>
      </c>
      <c r="T204" s="74" t="s">
        <v>100</v>
      </c>
      <c r="U204" s="64" t="s">
        <v>1188</v>
      </c>
      <c r="V204" s="70" t="s">
        <v>130</v>
      </c>
      <c r="W204" s="78" t="s">
        <v>114</v>
      </c>
      <c r="X204" s="68" t="s">
        <v>487</v>
      </c>
      <c r="Y204" s="64">
        <v>1</v>
      </c>
      <c r="Z204" s="79">
        <v>0</v>
      </c>
      <c r="AA204" s="80">
        <f>'BASE FACTURACION 2025'!$C$3</f>
        <v>122645.45276000001</v>
      </c>
      <c r="AB204" s="80">
        <f>'BASE FACTURACION 2025'!$F$3</f>
        <v>65164.677720000007</v>
      </c>
      <c r="AC204" s="80">
        <f t="shared" si="3"/>
        <v>122645.45276000001</v>
      </c>
    </row>
    <row r="205" spans="1:29" ht="15" customHeight="1">
      <c r="A205" s="64" t="s">
        <v>359</v>
      </c>
      <c r="B205" s="65" t="str">
        <f>VLOOKUP(A205,'CENTRO DE COSTOS'!A:D,4,FALSE)</f>
        <v>WILLIAM ASDRUBAL ROZO ROZO</v>
      </c>
      <c r="C205" s="65" t="str">
        <f>VLOOKUP(A205,'CENTRO DE COSTOS'!A:D,2,FALSE)</f>
        <v>0004-0004</v>
      </c>
      <c r="D205" s="64">
        <v>11001</v>
      </c>
      <c r="E205" s="66" t="s">
        <v>1189</v>
      </c>
      <c r="F205" s="67">
        <v>81630</v>
      </c>
      <c r="G205" s="68" t="s">
        <v>90</v>
      </c>
      <c r="H205" s="69" t="s">
        <v>183</v>
      </c>
      <c r="I205" s="67" t="s">
        <v>361</v>
      </c>
      <c r="J205" s="70" t="s">
        <v>359</v>
      </c>
      <c r="K205" s="67" t="s">
        <v>1190</v>
      </c>
      <c r="L205" s="71" t="s">
        <v>95</v>
      </c>
      <c r="M205" s="72" t="s">
        <v>1191</v>
      </c>
      <c r="N205" s="73">
        <v>45924</v>
      </c>
      <c r="O205" s="74">
        <v>45929</v>
      </c>
      <c r="P205" s="75" t="s">
        <v>188</v>
      </c>
      <c r="Q205" s="76" t="s">
        <v>305</v>
      </c>
      <c r="R205" s="64" t="s">
        <v>98</v>
      </c>
      <c r="S205" s="77" t="s">
        <v>1192</v>
      </c>
      <c r="T205" s="74" t="s">
        <v>100</v>
      </c>
      <c r="U205" s="64" t="s">
        <v>1193</v>
      </c>
      <c r="V205" s="70" t="s">
        <v>130</v>
      </c>
      <c r="W205" s="78" t="s">
        <v>114</v>
      </c>
      <c r="X205" s="68" t="s">
        <v>869</v>
      </c>
      <c r="Y205" s="64">
        <v>1</v>
      </c>
      <c r="Z205" s="79">
        <v>0</v>
      </c>
      <c r="AA205" s="80">
        <f>'BASE FACTURACION 2025'!$C$3</f>
        <v>122645.45276000001</v>
      </c>
      <c r="AB205" s="80">
        <f>'BASE FACTURACION 2025'!$F$3</f>
        <v>65164.677720000007</v>
      </c>
      <c r="AC205" s="80">
        <f t="shared" si="3"/>
        <v>122645.45276000001</v>
      </c>
    </row>
    <row r="206" spans="1:29" ht="15" customHeight="1">
      <c r="A206" s="64" t="s">
        <v>359</v>
      </c>
      <c r="B206" s="65" t="str">
        <f>VLOOKUP(A206,'CENTRO DE COSTOS'!A:D,4,FALSE)</f>
        <v>WILLIAM ASDRUBAL ROZO ROZO</v>
      </c>
      <c r="C206" s="65" t="str">
        <f>VLOOKUP(A206,'CENTRO DE COSTOS'!A:D,2,FALSE)</f>
        <v>0004-0004</v>
      </c>
      <c r="D206" s="64">
        <v>11001</v>
      </c>
      <c r="E206" s="66" t="s">
        <v>1194</v>
      </c>
      <c r="F206" s="67">
        <v>81627</v>
      </c>
      <c r="G206" s="68" t="s">
        <v>90</v>
      </c>
      <c r="H206" s="69" t="s">
        <v>183</v>
      </c>
      <c r="I206" s="67" t="s">
        <v>361</v>
      </c>
      <c r="J206" s="70" t="s">
        <v>359</v>
      </c>
      <c r="K206" s="67" t="s">
        <v>1195</v>
      </c>
      <c r="L206" s="71" t="s">
        <v>95</v>
      </c>
      <c r="M206" s="72" t="s">
        <v>1196</v>
      </c>
      <c r="N206" s="73">
        <v>45924</v>
      </c>
      <c r="O206" s="74">
        <v>45926</v>
      </c>
      <c r="P206" s="75" t="s">
        <v>188</v>
      </c>
      <c r="Q206" s="76" t="s">
        <v>305</v>
      </c>
      <c r="R206" s="64" t="s">
        <v>98</v>
      </c>
      <c r="S206" s="77" t="s">
        <v>943</v>
      </c>
      <c r="T206" s="74" t="s">
        <v>100</v>
      </c>
      <c r="U206" s="64" t="s">
        <v>1197</v>
      </c>
      <c r="V206" s="70" t="s">
        <v>130</v>
      </c>
      <c r="W206" s="78" t="s">
        <v>114</v>
      </c>
      <c r="X206" s="68" t="s">
        <v>730</v>
      </c>
      <c r="Y206" s="64">
        <v>1</v>
      </c>
      <c r="Z206" s="79">
        <v>0</v>
      </c>
      <c r="AA206" s="80">
        <f>'BASE FACTURACION 2025'!$C$3</f>
        <v>122645.45276000001</v>
      </c>
      <c r="AB206" s="80">
        <f>'BASE FACTURACION 2025'!$F$3</f>
        <v>65164.677720000007</v>
      </c>
      <c r="AC206" s="80">
        <f t="shared" si="3"/>
        <v>122645.45276000001</v>
      </c>
    </row>
    <row r="207" spans="1:29" ht="15" customHeight="1">
      <c r="A207" s="64" t="s">
        <v>208</v>
      </c>
      <c r="B207" s="65" t="str">
        <f>VLOOKUP(A207,'CENTRO DE COSTOS'!A:D,4,FALSE)</f>
        <v>JUAN SEBASTIÁN RÍOS CASTRILLÓN</v>
      </c>
      <c r="C207" s="65" t="str">
        <f>VLOOKUP(A207,'CENTRO DE COSTOS'!A:D,2,FALSE)</f>
        <v>0004-0005</v>
      </c>
      <c r="D207" s="64">
        <v>5001</v>
      </c>
      <c r="E207" s="66" t="s">
        <v>1198</v>
      </c>
      <c r="F207" s="67">
        <v>81716</v>
      </c>
      <c r="G207" s="68" t="s">
        <v>90</v>
      </c>
      <c r="H207" s="69" t="s">
        <v>183</v>
      </c>
      <c r="I207" s="67" t="s">
        <v>194</v>
      </c>
      <c r="J207" s="70" t="s">
        <v>208</v>
      </c>
      <c r="K207" s="67" t="s">
        <v>1199</v>
      </c>
      <c r="L207" s="71" t="s">
        <v>95</v>
      </c>
      <c r="M207" s="72" t="s">
        <v>1200</v>
      </c>
      <c r="N207" s="73">
        <v>45929</v>
      </c>
      <c r="O207" s="74">
        <v>45930</v>
      </c>
      <c r="P207" s="75" t="s">
        <v>188</v>
      </c>
      <c r="Q207" s="76" t="s">
        <v>189</v>
      </c>
      <c r="R207" s="64" t="s">
        <v>98</v>
      </c>
      <c r="S207" s="77" t="s">
        <v>1201</v>
      </c>
      <c r="T207" s="74" t="s">
        <v>100</v>
      </c>
      <c r="U207" s="64" t="s">
        <v>1202</v>
      </c>
      <c r="V207" s="70" t="s">
        <v>130</v>
      </c>
      <c r="W207" s="78" t="s">
        <v>114</v>
      </c>
      <c r="X207" s="68" t="s">
        <v>524</v>
      </c>
      <c r="Y207" s="64">
        <v>1</v>
      </c>
      <c r="Z207" s="79">
        <v>0</v>
      </c>
      <c r="AA207" s="80">
        <f>'BASE FACTURACION 2025'!$C$3</f>
        <v>122645.45276000001</v>
      </c>
      <c r="AB207" s="80">
        <f>'BASE FACTURACION 2025'!$F$3</f>
        <v>65164.677720000007</v>
      </c>
      <c r="AC207" s="80">
        <f t="shared" si="3"/>
        <v>122645.45276000001</v>
      </c>
    </row>
    <row r="208" spans="1:29" ht="15" customHeight="1">
      <c r="A208" s="64" t="s">
        <v>620</v>
      </c>
      <c r="B208" s="65" t="str">
        <f>VLOOKUP(A208,'CENTRO DE COSTOS'!A:D,4,FALSE)</f>
        <v>JOSE MAURICIO HERNANDEZ ROJAS</v>
      </c>
      <c r="C208" s="65" t="str">
        <f>VLOOKUP(A208,'CENTRO DE COSTOS'!A:D,2,FALSE)</f>
        <v>0004-0001</v>
      </c>
      <c r="D208" s="64">
        <v>13001</v>
      </c>
      <c r="E208" s="66" t="s">
        <v>1203</v>
      </c>
      <c r="F208" s="67">
        <v>81705</v>
      </c>
      <c r="G208" s="68" t="s">
        <v>90</v>
      </c>
      <c r="H208" s="69" t="s">
        <v>183</v>
      </c>
      <c r="I208" s="67" t="s">
        <v>622</v>
      </c>
      <c r="J208" s="70" t="s">
        <v>620</v>
      </c>
      <c r="K208" s="67" t="s">
        <v>1204</v>
      </c>
      <c r="L208" s="71" t="s">
        <v>95</v>
      </c>
      <c r="M208" s="72" t="s">
        <v>1205</v>
      </c>
      <c r="N208" s="73">
        <v>45929</v>
      </c>
      <c r="O208" s="74">
        <v>45930</v>
      </c>
      <c r="P208" s="75" t="s">
        <v>188</v>
      </c>
      <c r="Q208" s="76" t="s">
        <v>189</v>
      </c>
      <c r="R208" s="64" t="s">
        <v>98</v>
      </c>
      <c r="S208" s="77" t="s">
        <v>1201</v>
      </c>
      <c r="T208" s="74" t="s">
        <v>100</v>
      </c>
      <c r="U208" s="64" t="s">
        <v>1206</v>
      </c>
      <c r="V208" s="70" t="s">
        <v>130</v>
      </c>
      <c r="W208" s="78" t="s">
        <v>114</v>
      </c>
      <c r="X208" s="68" t="s">
        <v>1207</v>
      </c>
      <c r="Y208" s="64">
        <v>1</v>
      </c>
      <c r="Z208" s="79">
        <v>0</v>
      </c>
      <c r="AA208" s="80">
        <f>'BASE FACTURACION 2025'!$C$3</f>
        <v>122645.45276000001</v>
      </c>
      <c r="AB208" s="80">
        <f>'BASE FACTURACION 2025'!$F$3</f>
        <v>65164.677720000007</v>
      </c>
      <c r="AC208" s="80">
        <f t="shared" si="3"/>
        <v>122645.45276000001</v>
      </c>
    </row>
    <row r="209" spans="1:29" ht="15" customHeight="1">
      <c r="A209" s="64" t="s">
        <v>88</v>
      </c>
      <c r="B209" s="65" t="str">
        <f>VLOOKUP(A209,'CENTRO DE COSTOS'!A:D,4,FALSE)</f>
        <v>DIEGO FERNANDO HENAO CARDONA</v>
      </c>
      <c r="C209" s="65" t="str">
        <f>VLOOKUP(A209,'CENTRO DE COSTOS'!A:D,2,FALSE)</f>
        <v>0004-0003</v>
      </c>
      <c r="D209" s="64">
        <v>52001</v>
      </c>
      <c r="E209" s="66" t="s">
        <v>1208</v>
      </c>
      <c r="F209" s="67">
        <v>81712</v>
      </c>
      <c r="G209" s="68" t="s">
        <v>90</v>
      </c>
      <c r="H209" s="69" t="s">
        <v>183</v>
      </c>
      <c r="I209" s="67" t="s">
        <v>92</v>
      </c>
      <c r="J209" s="70" t="s">
        <v>88</v>
      </c>
      <c r="K209" s="67" t="s">
        <v>1209</v>
      </c>
      <c r="L209" s="71" t="s">
        <v>95</v>
      </c>
      <c r="M209" s="72" t="s">
        <v>1210</v>
      </c>
      <c r="N209" s="73">
        <v>45929</v>
      </c>
      <c r="O209" s="74">
        <v>45930</v>
      </c>
      <c r="P209" s="75" t="s">
        <v>188</v>
      </c>
      <c r="Q209" s="76" t="s">
        <v>189</v>
      </c>
      <c r="R209" s="64" t="s">
        <v>98</v>
      </c>
      <c r="S209" s="77" t="s">
        <v>1201</v>
      </c>
      <c r="T209" s="74" t="s">
        <v>100</v>
      </c>
      <c r="U209" s="64" t="s">
        <v>1211</v>
      </c>
      <c r="V209" s="70" t="s">
        <v>130</v>
      </c>
      <c r="W209" s="78" t="s">
        <v>114</v>
      </c>
      <c r="X209" s="68" t="s">
        <v>789</v>
      </c>
      <c r="Y209" s="64">
        <v>1</v>
      </c>
      <c r="Z209" s="79">
        <v>0</v>
      </c>
      <c r="AA209" s="80">
        <f>'BASE FACTURACION 2025'!$C$3</f>
        <v>122645.45276000001</v>
      </c>
      <c r="AB209" s="80">
        <f>'BASE FACTURACION 2025'!$F$3</f>
        <v>65164.677720000007</v>
      </c>
      <c r="AC209" s="80">
        <f t="shared" si="3"/>
        <v>122645.45276000001</v>
      </c>
    </row>
    <row r="210" spans="1:29" ht="15" customHeight="1">
      <c r="A210" s="64" t="s">
        <v>88</v>
      </c>
      <c r="B210" s="65" t="str">
        <f>VLOOKUP(A210,'CENTRO DE COSTOS'!A:D,4,FALSE)</f>
        <v>DIEGO FERNANDO HENAO CARDONA</v>
      </c>
      <c r="C210" s="65" t="str">
        <f>VLOOKUP(A210,'CENTRO DE COSTOS'!A:D,2,FALSE)</f>
        <v>0004-0003</v>
      </c>
      <c r="D210" s="64">
        <v>52001</v>
      </c>
      <c r="E210" s="66" t="s">
        <v>1212</v>
      </c>
      <c r="F210" s="67">
        <v>81711</v>
      </c>
      <c r="G210" s="68" t="s">
        <v>90</v>
      </c>
      <c r="H210" s="69" t="s">
        <v>183</v>
      </c>
      <c r="I210" s="67" t="s">
        <v>92</v>
      </c>
      <c r="J210" s="70" t="s">
        <v>88</v>
      </c>
      <c r="K210" s="67" t="s">
        <v>1213</v>
      </c>
      <c r="L210" s="71" t="s">
        <v>95</v>
      </c>
      <c r="M210" s="72" t="s">
        <v>1214</v>
      </c>
      <c r="N210" s="73">
        <v>45929</v>
      </c>
      <c r="O210" s="74">
        <v>45930</v>
      </c>
      <c r="P210" s="75" t="s">
        <v>188</v>
      </c>
      <c r="Q210" s="76" t="s">
        <v>189</v>
      </c>
      <c r="R210" s="64" t="s">
        <v>98</v>
      </c>
      <c r="S210" s="77" t="s">
        <v>1201</v>
      </c>
      <c r="T210" s="74" t="s">
        <v>100</v>
      </c>
      <c r="U210" s="64" t="s">
        <v>1215</v>
      </c>
      <c r="V210" s="70" t="s">
        <v>130</v>
      </c>
      <c r="W210" s="78" t="s">
        <v>114</v>
      </c>
      <c r="X210" s="68" t="s">
        <v>789</v>
      </c>
      <c r="Y210" s="64">
        <v>1</v>
      </c>
      <c r="Z210" s="79">
        <v>0</v>
      </c>
      <c r="AA210" s="80">
        <f>'BASE FACTURACION 2025'!$C$3</f>
        <v>122645.45276000001</v>
      </c>
      <c r="AB210" s="80">
        <f>'BASE FACTURACION 2025'!$F$3</f>
        <v>65164.677720000007</v>
      </c>
      <c r="AC210" s="80">
        <f t="shared" si="3"/>
        <v>122645.45276000001</v>
      </c>
    </row>
    <row r="211" spans="1:29" ht="15" customHeight="1">
      <c r="A211" s="64" t="s">
        <v>243</v>
      </c>
      <c r="B211" s="65" t="str">
        <f>VLOOKUP(A211,'CENTRO DE COSTOS'!A:D,4,FALSE)</f>
        <v>MIGUEL JULIÁN HERNÁNDEZ GUARÍN</v>
      </c>
      <c r="C211" s="65" t="str">
        <f>VLOOKUP(A211,'CENTRO DE COSTOS'!A:D,2,FALSE)</f>
        <v>0004-0008</v>
      </c>
      <c r="D211" s="64">
        <v>54001</v>
      </c>
      <c r="E211" s="66" t="s">
        <v>1216</v>
      </c>
      <c r="F211" s="67">
        <v>81707</v>
      </c>
      <c r="G211" s="68" t="s">
        <v>90</v>
      </c>
      <c r="H211" s="69" t="s">
        <v>183</v>
      </c>
      <c r="I211" s="67" t="s">
        <v>245</v>
      </c>
      <c r="J211" s="70" t="s">
        <v>243</v>
      </c>
      <c r="K211" s="67" t="s">
        <v>1217</v>
      </c>
      <c r="L211" s="71" t="s">
        <v>95</v>
      </c>
      <c r="M211" s="72" t="s">
        <v>1218</v>
      </c>
      <c r="N211" s="73">
        <v>45929</v>
      </c>
      <c r="O211" s="74">
        <v>45930</v>
      </c>
      <c r="P211" s="75" t="s">
        <v>188</v>
      </c>
      <c r="Q211" s="76" t="s">
        <v>189</v>
      </c>
      <c r="R211" s="64" t="s">
        <v>98</v>
      </c>
      <c r="S211" s="77" t="s">
        <v>1201</v>
      </c>
      <c r="T211" s="74" t="s">
        <v>100</v>
      </c>
      <c r="U211" s="64" t="s">
        <v>1219</v>
      </c>
      <c r="V211" s="70" t="s">
        <v>130</v>
      </c>
      <c r="W211" s="78" t="s">
        <v>114</v>
      </c>
      <c r="X211" s="68" t="s">
        <v>411</v>
      </c>
      <c r="Y211" s="64">
        <v>1</v>
      </c>
      <c r="Z211" s="79">
        <v>0</v>
      </c>
      <c r="AA211" s="80">
        <f>'BASE FACTURACION 2025'!$C$3</f>
        <v>122645.45276000001</v>
      </c>
      <c r="AB211" s="80">
        <f>'BASE FACTURACION 2025'!$F$3</f>
        <v>65164.677720000007</v>
      </c>
      <c r="AC211" s="80">
        <f t="shared" si="3"/>
        <v>122645.45276000001</v>
      </c>
    </row>
    <row r="212" spans="1:29" ht="15" customHeight="1">
      <c r="A212" s="64" t="s">
        <v>243</v>
      </c>
      <c r="B212" s="65" t="str">
        <f>VLOOKUP(A212,'CENTRO DE COSTOS'!A:D,4,FALSE)</f>
        <v>MIGUEL JULIÁN HERNÁNDEZ GUARÍN</v>
      </c>
      <c r="C212" s="65" t="str">
        <f>VLOOKUP(A212,'CENTRO DE COSTOS'!A:D,2,FALSE)</f>
        <v>0004-0008</v>
      </c>
      <c r="D212" s="64">
        <v>54874</v>
      </c>
      <c r="E212" s="66" t="s">
        <v>1220</v>
      </c>
      <c r="F212" s="67">
        <v>81715</v>
      </c>
      <c r="G212" s="68" t="s">
        <v>90</v>
      </c>
      <c r="H212" s="69" t="s">
        <v>183</v>
      </c>
      <c r="I212" s="67" t="s">
        <v>245</v>
      </c>
      <c r="J212" s="70" t="s">
        <v>270</v>
      </c>
      <c r="K212" s="67" t="s">
        <v>1221</v>
      </c>
      <c r="L212" s="71" t="s">
        <v>95</v>
      </c>
      <c r="M212" s="72" t="s">
        <v>1222</v>
      </c>
      <c r="N212" s="73">
        <v>45929</v>
      </c>
      <c r="O212" s="74">
        <v>45930</v>
      </c>
      <c r="P212" s="75" t="s">
        <v>188</v>
      </c>
      <c r="Q212" s="76" t="s">
        <v>189</v>
      </c>
      <c r="R212" s="64" t="s">
        <v>98</v>
      </c>
      <c r="S212" s="77" t="s">
        <v>1201</v>
      </c>
      <c r="T212" s="74" t="s">
        <v>100</v>
      </c>
      <c r="U212" s="64" t="s">
        <v>1223</v>
      </c>
      <c r="V212" s="70" t="s">
        <v>130</v>
      </c>
      <c r="W212" s="78" t="s">
        <v>114</v>
      </c>
      <c r="X212" s="68" t="s">
        <v>275</v>
      </c>
      <c r="Y212" s="64">
        <v>1</v>
      </c>
      <c r="Z212" s="79">
        <v>0</v>
      </c>
      <c r="AA212" s="80">
        <f>'BASE FACTURACION 2025'!$C$3</f>
        <v>122645.45276000001</v>
      </c>
      <c r="AB212" s="80">
        <f>'BASE FACTURACION 2025'!$F$3</f>
        <v>65164.677720000007</v>
      </c>
      <c r="AC212" s="80">
        <f t="shared" si="3"/>
        <v>122645.45276000001</v>
      </c>
    </row>
    <row r="213" spans="1:29" ht="15" customHeight="1">
      <c r="A213" s="66" t="s">
        <v>166</v>
      </c>
      <c r="B213" s="65" t="str">
        <f>VLOOKUP(A213,'CENTRO DE COSTOS'!A:D,4,FALSE)</f>
        <v>MIGUEL JULIÁN HERNÁNDEZ GUARÍN</v>
      </c>
      <c r="C213" s="65" t="str">
        <f>VLOOKUP(A213,'CENTRO DE COSTOS'!A:D,2,FALSE)</f>
        <v>0004-0008</v>
      </c>
      <c r="D213" s="66">
        <v>68001</v>
      </c>
      <c r="E213" s="66" t="s">
        <v>1224</v>
      </c>
      <c r="F213" s="77">
        <v>81703</v>
      </c>
      <c r="G213" s="84" t="s">
        <v>90</v>
      </c>
      <c r="H213" s="85" t="s">
        <v>183</v>
      </c>
      <c r="I213" s="77" t="s">
        <v>168</v>
      </c>
      <c r="J213" s="76" t="s">
        <v>166</v>
      </c>
      <c r="K213" s="77" t="s">
        <v>1225</v>
      </c>
      <c r="L213" s="86" t="s">
        <v>95</v>
      </c>
      <c r="M213" s="72" t="s">
        <v>1226</v>
      </c>
      <c r="N213" s="87">
        <v>45929</v>
      </c>
      <c r="O213" s="88">
        <v>45930</v>
      </c>
      <c r="P213" s="75" t="s">
        <v>188</v>
      </c>
      <c r="Q213" s="76" t="s">
        <v>189</v>
      </c>
      <c r="R213" s="66" t="s">
        <v>98</v>
      </c>
      <c r="S213" s="77" t="s">
        <v>1201</v>
      </c>
      <c r="T213" s="74" t="s">
        <v>100</v>
      </c>
      <c r="U213" s="66" t="s">
        <v>1227</v>
      </c>
      <c r="V213" s="76" t="s">
        <v>130</v>
      </c>
      <c r="W213" s="82" t="s">
        <v>114</v>
      </c>
      <c r="X213" s="84" t="s">
        <v>425</v>
      </c>
      <c r="Y213" s="66">
        <v>1</v>
      </c>
      <c r="Z213" s="89">
        <v>0</v>
      </c>
      <c r="AA213" s="80">
        <f>'BASE FACTURACION 2025'!$C$3</f>
        <v>122645.45276000001</v>
      </c>
      <c r="AB213" s="80">
        <f>'BASE FACTURACION 2025'!$F$3</f>
        <v>65164.677720000007</v>
      </c>
      <c r="AC213" s="80">
        <f t="shared" si="3"/>
        <v>122645.45276000001</v>
      </c>
    </row>
    <row r="214" spans="1:29" ht="15" customHeight="1">
      <c r="AC214" s="51">
        <f>SUM(AC2:AC213)</f>
        <v>26000835.985119961</v>
      </c>
    </row>
  </sheetData>
  <autoFilter ref="A1:AC214" xr:uid="{00000000-0001-0000-0200-000000000000}"/>
  <conditionalFormatting sqref="E214:E1048576">
    <cfRule type="duplicateValues" dxfId="3" priority="927"/>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AW3"/>
  <sheetViews>
    <sheetView workbookViewId="0">
      <pane ySplit="1" topLeftCell="A2" activePane="bottomLeft" state="frozen"/>
      <selection pane="bottomLeft" activeCell="L25" sqref="L25"/>
    </sheetView>
  </sheetViews>
  <sheetFormatPr defaultColWidth="11.42578125" defaultRowHeight="13.9"/>
  <cols>
    <col min="1" max="3" width="11.42578125" style="5"/>
    <col min="4" max="4" width="11.7109375" style="5" bestFit="1" customWidth="1"/>
    <col min="5" max="6" width="11.5703125" style="5" bestFit="1" customWidth="1"/>
    <col min="7" max="12" width="11.42578125" style="5"/>
    <col min="13" max="13" width="12" style="5" bestFit="1" customWidth="1"/>
    <col min="14" max="14" width="13.85546875" style="5" bestFit="1" customWidth="1"/>
    <col min="15" max="15" width="13.7109375" style="5" bestFit="1" customWidth="1"/>
    <col min="16" max="16" width="13.5703125" style="5" customWidth="1"/>
    <col min="17" max="17" width="12.85546875" style="5" bestFit="1" customWidth="1"/>
    <col min="18" max="19" width="12.85546875" style="5" customWidth="1"/>
    <col min="20" max="20" width="26.42578125" style="5" customWidth="1"/>
    <col min="21" max="28" width="11.42578125" style="5"/>
    <col min="29" max="29" width="11.5703125" style="5" bestFit="1" customWidth="1"/>
    <col min="30" max="31" width="11.5703125" style="15" bestFit="1" customWidth="1"/>
    <col min="32" max="33" width="11.42578125" style="5"/>
    <col min="34" max="38" width="11.5703125" style="5" bestFit="1" customWidth="1"/>
    <col min="39" max="43" width="11.42578125" style="5"/>
    <col min="44" max="47" width="11.5703125" style="5" bestFit="1" customWidth="1"/>
    <col min="48" max="16384" width="11.42578125" style="5"/>
  </cols>
  <sheetData>
    <row r="1" spans="1:49" ht="40.9">
      <c r="A1" s="22" t="s">
        <v>1228</v>
      </c>
      <c r="B1" s="22" t="s">
        <v>42</v>
      </c>
      <c r="C1" s="23" t="s">
        <v>43</v>
      </c>
      <c r="D1" s="22" t="s">
        <v>1229</v>
      </c>
      <c r="E1" s="22" t="s">
        <v>1230</v>
      </c>
      <c r="F1" s="22" t="s">
        <v>1231</v>
      </c>
      <c r="G1" s="22" t="s">
        <v>1232</v>
      </c>
      <c r="H1" s="22" t="s">
        <v>1233</v>
      </c>
      <c r="I1" s="22" t="s">
        <v>1234</v>
      </c>
      <c r="J1" s="22" t="s">
        <v>1235</v>
      </c>
      <c r="K1" s="22" t="s">
        <v>1236</v>
      </c>
      <c r="L1" s="22" t="s">
        <v>71</v>
      </c>
      <c r="M1" s="22" t="s">
        <v>1237</v>
      </c>
      <c r="N1" s="22" t="s">
        <v>1238</v>
      </c>
      <c r="O1" s="22" t="s">
        <v>1239</v>
      </c>
      <c r="P1" s="24" t="s">
        <v>1240</v>
      </c>
      <c r="Q1" s="24" t="s">
        <v>1241</v>
      </c>
      <c r="R1" s="24" t="s">
        <v>1242</v>
      </c>
      <c r="S1" s="24" t="s">
        <v>1243</v>
      </c>
      <c r="T1" s="24" t="s">
        <v>1244</v>
      </c>
      <c r="U1" s="22" t="s">
        <v>76</v>
      </c>
      <c r="V1" s="22" t="s">
        <v>1245</v>
      </c>
      <c r="W1" s="22" t="s">
        <v>1246</v>
      </c>
      <c r="X1" s="22" t="s">
        <v>1247</v>
      </c>
      <c r="Y1" s="22" t="s">
        <v>1248</v>
      </c>
      <c r="Z1" s="22" t="s">
        <v>1249</v>
      </c>
      <c r="AA1" s="22" t="s">
        <v>1250</v>
      </c>
      <c r="AB1" s="22" t="s">
        <v>1251</v>
      </c>
      <c r="AC1" s="22" t="s">
        <v>1252</v>
      </c>
      <c r="AD1" s="22" t="s">
        <v>1253</v>
      </c>
      <c r="AE1" s="22" t="s">
        <v>1254</v>
      </c>
      <c r="AF1" s="22" t="s">
        <v>1255</v>
      </c>
      <c r="AG1" s="22" t="s">
        <v>1256</v>
      </c>
      <c r="AH1" s="22" t="s">
        <v>1257</v>
      </c>
      <c r="AI1" s="22" t="s">
        <v>1258</v>
      </c>
      <c r="AJ1" s="22" t="s">
        <v>1259</v>
      </c>
      <c r="AK1" s="22" t="s">
        <v>1260</v>
      </c>
      <c r="AL1" s="22" t="s">
        <v>1261</v>
      </c>
      <c r="AM1" s="25" t="s">
        <v>1262</v>
      </c>
      <c r="AN1" s="25" t="s">
        <v>1263</v>
      </c>
      <c r="AO1" s="25" t="s">
        <v>1264</v>
      </c>
      <c r="AP1" s="22" t="s">
        <v>1265</v>
      </c>
      <c r="AQ1" s="22" t="s">
        <v>1266</v>
      </c>
      <c r="AR1" s="22" t="s">
        <v>1267</v>
      </c>
      <c r="AS1" s="25" t="s">
        <v>1268</v>
      </c>
      <c r="AT1" s="25" t="s">
        <v>1269</v>
      </c>
      <c r="AU1" s="25" t="s">
        <v>1270</v>
      </c>
      <c r="AV1" s="26" t="s">
        <v>1271</v>
      </c>
      <c r="AW1" s="26" t="s">
        <v>1272</v>
      </c>
    </row>
    <row r="2" spans="1:49">
      <c r="A2" s="7"/>
      <c r="B2" s="2" t="e">
        <f>VLOOKUP(A2,'CENTRO DE COSTOS'!A:D,4,FALSE)</f>
        <v>#N/A</v>
      </c>
      <c r="C2" s="3" t="e">
        <f>VLOOKUP(A2,'CENTRO DE COSTOS'!A:D,2,FALSE)</f>
        <v>#N/A</v>
      </c>
      <c r="D2" s="7"/>
      <c r="E2" s="7"/>
      <c r="F2" s="7"/>
      <c r="G2" s="12"/>
      <c r="H2" s="12"/>
      <c r="I2" s="12"/>
      <c r="J2" s="12"/>
      <c r="K2" s="12"/>
      <c r="L2" s="12"/>
      <c r="M2" s="12"/>
      <c r="N2" s="12"/>
      <c r="O2" s="12"/>
      <c r="P2" s="12"/>
      <c r="Q2" s="12"/>
      <c r="R2" s="12"/>
      <c r="S2" s="12"/>
      <c r="T2" s="3"/>
      <c r="U2" s="13"/>
      <c r="V2" s="3"/>
      <c r="W2" s="13"/>
      <c r="X2" s="13"/>
      <c r="Y2" s="3"/>
      <c r="Z2" s="13"/>
      <c r="AA2" s="13"/>
      <c r="AB2" s="7"/>
      <c r="AC2" s="7"/>
      <c r="AD2" s="7"/>
      <c r="AE2" s="7"/>
      <c r="AF2" s="13"/>
      <c r="AG2" s="7"/>
      <c r="AH2" s="7"/>
      <c r="AI2" s="7"/>
      <c r="AJ2" s="3"/>
      <c r="AK2" s="3"/>
      <c r="AL2" s="3"/>
      <c r="AM2" s="7"/>
      <c r="AN2" s="3"/>
      <c r="AO2" s="3"/>
      <c r="AP2" s="3"/>
      <c r="AQ2" s="3"/>
      <c r="AR2" s="7"/>
      <c r="AS2" s="3"/>
      <c r="AT2" s="3"/>
      <c r="AU2" s="3"/>
      <c r="AV2" s="21">
        <f>IF(Z2="SOPORTE_TELEFÓNICO",'BASE FACTURACION 2025'!$E$3,IF(AP2="TIPO I",'BASE FACTURACION 2025'!$D$3,IF(AP2="TIPO II",'BASE FACTURACION 2025'!$D$4,IF(AP2="TIPO III",'BASE FACTURACION 2025'!$D$5,'BASE FACTURACION 2025'!$D$6))))</f>
        <v>609719.56967999996</v>
      </c>
      <c r="AW2" s="14">
        <f>IF(Z2="SOPORTE_TELEFÓNICO",'BASE FACTURACION 2025'!$E$3,AR2*AV2)</f>
        <v>0</v>
      </c>
    </row>
    <row r="3" spans="1:49">
      <c r="AD3" s="5"/>
      <c r="AE3" s="5"/>
      <c r="AV3" s="15"/>
      <c r="AW3" s="4">
        <f>SUM(AW2:AW2)</f>
        <v>0</v>
      </c>
    </row>
  </sheetData>
  <conditionalFormatting sqref="D2:E2">
    <cfRule type="duplicateValues" dxfId="2" priority="925"/>
  </conditionalFormatting>
  <conditionalFormatting sqref="E1">
    <cfRule type="duplicateValues" dxfId="1" priority="1"/>
    <cfRule type="duplicateValues" dxfId="0" priority="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9C9C-A805-45A8-877F-A3CF81B662D8}">
  <dimension ref="A1:D23"/>
  <sheetViews>
    <sheetView workbookViewId="0">
      <selection activeCell="D10" sqref="D10"/>
    </sheetView>
  </sheetViews>
  <sheetFormatPr defaultColWidth="11.42578125" defaultRowHeight="14.45"/>
  <cols>
    <col min="1" max="1" width="15.28515625" style="9" bestFit="1" customWidth="1"/>
    <col min="2" max="2" width="18.28515625" style="9" bestFit="1" customWidth="1"/>
    <col min="3" max="3" width="30.28515625" style="9" bestFit="1" customWidth="1"/>
    <col min="4" max="4" width="34.140625" style="9" bestFit="1" customWidth="1"/>
    <col min="5" max="16384" width="11.42578125" style="9"/>
  </cols>
  <sheetData>
    <row r="1" spans="1:4">
      <c r="A1" s="8" t="s">
        <v>68</v>
      </c>
      <c r="B1" s="8" t="s">
        <v>1273</v>
      </c>
      <c r="C1" s="8" t="s">
        <v>1274</v>
      </c>
      <c r="D1" s="8" t="s">
        <v>42</v>
      </c>
    </row>
    <row r="2" spans="1:4">
      <c r="A2" s="27" t="s">
        <v>200</v>
      </c>
      <c r="B2" s="28" t="s">
        <v>53</v>
      </c>
      <c r="C2" s="28" t="s">
        <v>1275</v>
      </c>
      <c r="D2" s="28" t="s">
        <v>52</v>
      </c>
    </row>
    <row r="3" spans="1:4">
      <c r="A3" s="29" t="s">
        <v>978</v>
      </c>
      <c r="B3" s="30" t="s">
        <v>51</v>
      </c>
      <c r="C3" s="30" t="s">
        <v>1276</v>
      </c>
      <c r="D3" s="30" t="s">
        <v>50</v>
      </c>
    </row>
    <row r="4" spans="1:4">
      <c r="A4" s="29" t="s">
        <v>359</v>
      </c>
      <c r="B4" s="30" t="s">
        <v>59</v>
      </c>
      <c r="C4" s="30" t="s">
        <v>1277</v>
      </c>
      <c r="D4" s="30" t="s">
        <v>58</v>
      </c>
    </row>
    <row r="5" spans="1:4">
      <c r="A5" s="29" t="s">
        <v>166</v>
      </c>
      <c r="B5" s="30" t="s">
        <v>57</v>
      </c>
      <c r="C5" s="30" t="s">
        <v>1278</v>
      </c>
      <c r="D5" s="30" t="s">
        <v>56</v>
      </c>
    </row>
    <row r="6" spans="1:4">
      <c r="A6" s="29" t="s">
        <v>105</v>
      </c>
      <c r="B6" s="30" t="s">
        <v>49</v>
      </c>
      <c r="C6" s="30" t="s">
        <v>1279</v>
      </c>
      <c r="D6" s="30" t="s">
        <v>47</v>
      </c>
    </row>
    <row r="7" spans="1:4">
      <c r="A7" s="29" t="s">
        <v>620</v>
      </c>
      <c r="B7" s="30" t="s">
        <v>51</v>
      </c>
      <c r="C7" s="30" t="s">
        <v>1276</v>
      </c>
      <c r="D7" s="30" t="s">
        <v>50</v>
      </c>
    </row>
    <row r="8" spans="1:4">
      <c r="A8" s="29" t="s">
        <v>243</v>
      </c>
      <c r="B8" s="30" t="s">
        <v>57</v>
      </c>
      <c r="C8" s="30" t="s">
        <v>1278</v>
      </c>
      <c r="D8" s="30" t="s">
        <v>56</v>
      </c>
    </row>
    <row r="9" spans="1:4">
      <c r="A9" s="29" t="s">
        <v>355</v>
      </c>
      <c r="B9" s="30" t="s">
        <v>55</v>
      </c>
      <c r="C9" s="30" t="s">
        <v>1280</v>
      </c>
      <c r="D9" s="30" t="s">
        <v>54</v>
      </c>
    </row>
    <row r="10" spans="1:4">
      <c r="A10" s="29" t="s">
        <v>438</v>
      </c>
      <c r="B10" s="30" t="s">
        <v>55</v>
      </c>
      <c r="C10" s="30" t="s">
        <v>1280</v>
      </c>
      <c r="D10" s="30" t="s">
        <v>54</v>
      </c>
    </row>
    <row r="11" spans="1:4">
      <c r="A11" s="29" t="s">
        <v>215</v>
      </c>
      <c r="B11" s="30" t="s">
        <v>48</v>
      </c>
      <c r="C11" s="30" t="s">
        <v>1281</v>
      </c>
      <c r="D11" s="30" t="s">
        <v>47</v>
      </c>
    </row>
    <row r="12" spans="1:4">
      <c r="A12" s="29" t="s">
        <v>208</v>
      </c>
      <c r="B12" s="30" t="s">
        <v>53</v>
      </c>
      <c r="C12" s="30" t="s">
        <v>1275</v>
      </c>
      <c r="D12" s="30" t="s">
        <v>52</v>
      </c>
    </row>
    <row r="13" spans="1:4">
      <c r="A13" s="29" t="s">
        <v>132</v>
      </c>
      <c r="B13" s="30" t="s">
        <v>51</v>
      </c>
      <c r="C13" s="30" t="s">
        <v>1276</v>
      </c>
      <c r="D13" s="30" t="s">
        <v>50</v>
      </c>
    </row>
    <row r="14" spans="1:4">
      <c r="A14" s="29" t="s">
        <v>148</v>
      </c>
      <c r="B14" s="30" t="s">
        <v>55</v>
      </c>
      <c r="C14" s="30" t="s">
        <v>1280</v>
      </c>
      <c r="D14" s="30" t="s">
        <v>54</v>
      </c>
    </row>
    <row r="15" spans="1:4">
      <c r="A15" s="29" t="s">
        <v>88</v>
      </c>
      <c r="B15" s="30" t="s">
        <v>49</v>
      </c>
      <c r="C15" s="30" t="s">
        <v>1279</v>
      </c>
      <c r="D15" s="30" t="s">
        <v>47</v>
      </c>
    </row>
    <row r="16" spans="1:4">
      <c r="A16" s="29" t="s">
        <v>123</v>
      </c>
      <c r="B16" s="30" t="s">
        <v>48</v>
      </c>
      <c r="C16" s="30" t="s">
        <v>1281</v>
      </c>
      <c r="D16" s="30" t="s">
        <v>47</v>
      </c>
    </row>
    <row r="17" spans="1:4">
      <c r="A17" s="29" t="s">
        <v>629</v>
      </c>
      <c r="B17" s="30" t="s">
        <v>49</v>
      </c>
      <c r="C17" s="30" t="s">
        <v>1279</v>
      </c>
      <c r="D17" s="30" t="s">
        <v>47</v>
      </c>
    </row>
    <row r="18" spans="1:4">
      <c r="A18" s="29" t="s">
        <v>381</v>
      </c>
      <c r="B18" s="30" t="s">
        <v>51</v>
      </c>
      <c r="C18" s="30" t="s">
        <v>1276</v>
      </c>
      <c r="D18" s="30" t="s">
        <v>50</v>
      </c>
    </row>
    <row r="19" spans="1:4">
      <c r="A19" s="29" t="s">
        <v>281</v>
      </c>
      <c r="B19" s="30" t="s">
        <v>51</v>
      </c>
      <c r="C19" s="30" t="s">
        <v>1276</v>
      </c>
      <c r="D19" s="30" t="s">
        <v>50</v>
      </c>
    </row>
    <row r="20" spans="1:4">
      <c r="A20" s="29" t="s">
        <v>346</v>
      </c>
      <c r="B20" s="30" t="s">
        <v>57</v>
      </c>
      <c r="C20" s="30" t="s">
        <v>1278</v>
      </c>
      <c r="D20" s="30" t="s">
        <v>56</v>
      </c>
    </row>
    <row r="21" spans="1:4">
      <c r="A21" s="29" t="s">
        <v>541</v>
      </c>
      <c r="B21" s="30" t="s">
        <v>51</v>
      </c>
      <c r="C21" s="30" t="s">
        <v>1276</v>
      </c>
      <c r="D21" s="30" t="s">
        <v>50</v>
      </c>
    </row>
    <row r="22" spans="1:4">
      <c r="A22" s="29" t="s">
        <v>157</v>
      </c>
      <c r="B22" s="30" t="s">
        <v>55</v>
      </c>
      <c r="C22" s="30" t="s">
        <v>1280</v>
      </c>
      <c r="D22" s="30" t="s">
        <v>54</v>
      </c>
    </row>
    <row r="23" spans="1:4">
      <c r="A23" s="29" t="s">
        <v>819</v>
      </c>
      <c r="B23" s="30" t="s">
        <v>55</v>
      </c>
      <c r="C23" s="30" t="s">
        <v>1280</v>
      </c>
      <c r="D23" s="30" t="s">
        <v>54</v>
      </c>
    </row>
  </sheetData>
  <autoFilter ref="A1:D23" xr:uid="{79339C9C-A805-45A8-877F-A3CF81B662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E8857A-D0E4-4F36-8093-392D04EC116C}"/>
</file>

<file path=customXml/itemProps2.xml><?xml version="1.0" encoding="utf-8"?>
<ds:datastoreItem xmlns:ds="http://schemas.openxmlformats.org/officeDocument/2006/customXml" ds:itemID="{27D3E133-E66B-4019-BF5A-AE710931E548}"/>
</file>

<file path=customXml/itemProps3.xml><?xml version="1.0" encoding="utf-8"?>
<ds:datastoreItem xmlns:ds="http://schemas.openxmlformats.org/officeDocument/2006/customXml" ds:itemID="{6C744C9D-ECED-4029-B862-3C47B67486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Lini Jhojana Hernandez Mora</cp:lastModifiedBy>
  <cp:revision/>
  <dcterms:created xsi:type="dcterms:W3CDTF">2014-05-14T15:22:20Z</dcterms:created>
  <dcterms:modified xsi:type="dcterms:W3CDTF">2025-10-06T17:27:57Z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